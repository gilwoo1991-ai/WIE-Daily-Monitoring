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updateLinks="always"/>
  <mc:AlternateContent xmlns:mc="http://schemas.openxmlformats.org/markup-compatibility/2006">
    <mc:Choice Requires="x15">
      <x15ac:absPath xmlns:x15ac="http://schemas.microsoft.com/office/spreadsheetml/2010/11/ac" url="https://withie.sharepoint.com/sites/msteams_d77f47/Shared Documents/General/3-2. 배출시설 및 방지시설 운영기록부/"/>
    </mc:Choice>
  </mc:AlternateContent>
  <xr:revisionPtr revIDLastSave="2459" documentId="13_ncr:1_{E8584D1B-F7DA-4557-AE35-AD3E08AF7B92}" xr6:coauthVersionLast="47" xr6:coauthVersionMax="47" xr10:uidLastSave="{F572290A-FBAE-4DBA-9FA5-53115BC79DB7}"/>
  <bookViews>
    <workbookView xWindow="-110" yWindow="-110" windowWidth="25820" windowHeight="15500" firstSheet="1" activeTab="3" xr2:uid="{EB34AA41-28F2-490E-ADFF-D7B785632636}"/>
  </bookViews>
  <sheets>
    <sheet name="2026년" sheetId="6" r:id="rId1"/>
    <sheet name="월별" sheetId="5" r:id="rId2"/>
    <sheet name="일일" sheetId="8" r:id="rId3"/>
    <sheet name="일별" sheetId="2" r:id="rId4"/>
    <sheet name="연료전지_원본" sheetId="11" r:id="rId5"/>
    <sheet name="운전실적_원본" sheetId="1" r:id="rId6"/>
    <sheet name="산정" sheetId="9" r:id="rId7"/>
    <sheet name="Waterbalance" sheetId="10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5A">[1]금액내역서!$D$3:$D$10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99_01_29">#REF!</definedName>
    <definedName name="_A1" localSheetId="7">BlankMacro1</definedName>
    <definedName name="_A1">BlankMacro1</definedName>
    <definedName name="_DDB4">[2]Ky!#REF!</definedName>
    <definedName name="_DDB6">[2]Ky!#REF!</definedName>
    <definedName name="_DDB7">[2]Ky!#REF!</definedName>
    <definedName name="_Fill" hidden="1">#REF!</definedName>
    <definedName name="_JJ1">#REF!</definedName>
    <definedName name="_JJ10">#REF!</definedName>
    <definedName name="_JJ100">#N/A</definedName>
    <definedName name="_JJ101">#N/A</definedName>
    <definedName name="_JJ102">#N/A</definedName>
    <definedName name="_JJ103">#N/A</definedName>
    <definedName name="_JJ104">#N/A</definedName>
    <definedName name="_JJ105">#N/A</definedName>
    <definedName name="_JJ106">#N/A</definedName>
    <definedName name="_JJ107">#N/A</definedName>
    <definedName name="_JJ108">#N/A</definedName>
    <definedName name="_JJ109">#N/A</definedName>
    <definedName name="_JJ11">#REF!</definedName>
    <definedName name="_JJ110">#N/A</definedName>
    <definedName name="_JJ111">#N/A</definedName>
    <definedName name="_JJ112">#N/A</definedName>
    <definedName name="_JJ113">#REF!</definedName>
    <definedName name="_JJ114">#REF!</definedName>
    <definedName name="_JJ115">#REF!</definedName>
    <definedName name="_JJ116">#REF!</definedName>
    <definedName name="_JJ117">#REF!</definedName>
    <definedName name="_JJ118">#REF!</definedName>
    <definedName name="_JJ119">#REF!</definedName>
    <definedName name="_JJ12">#REF!</definedName>
    <definedName name="_JJ120">#REF!</definedName>
    <definedName name="_JJ121">#REF!</definedName>
    <definedName name="_JJ122">#REF!</definedName>
    <definedName name="_JJ123">#REF!</definedName>
    <definedName name="_JJ124">#REF!</definedName>
    <definedName name="_JJ125">#REF!</definedName>
    <definedName name="_JJ126">#REF!</definedName>
    <definedName name="_JJ127">#REF!</definedName>
    <definedName name="_JJ128">#REF!</definedName>
    <definedName name="_JJ129">#REF!</definedName>
    <definedName name="_JJ13">#REF!</definedName>
    <definedName name="_JJ130">#REF!</definedName>
    <definedName name="_JJ131">#REF!</definedName>
    <definedName name="_JJ132">#REF!</definedName>
    <definedName name="_JJ133">#REF!</definedName>
    <definedName name="_JJ134">#REF!</definedName>
    <definedName name="_JJ135">#REF!</definedName>
    <definedName name="_JJ136">#REF!</definedName>
    <definedName name="_JJ137">#REF!</definedName>
    <definedName name="_JJ138">#REF!</definedName>
    <definedName name="_JJ139">#REF!</definedName>
    <definedName name="_JJ14">#REF!</definedName>
    <definedName name="_JJ140">#REF!</definedName>
    <definedName name="_JJ141">#N/A</definedName>
    <definedName name="_JJ142">#N/A</definedName>
    <definedName name="_JJ143">#N/A</definedName>
    <definedName name="_JJ144">#N/A</definedName>
    <definedName name="_JJ145">#N/A</definedName>
    <definedName name="_JJ146">#N/A</definedName>
    <definedName name="_JJ147">#N/A</definedName>
    <definedName name="_JJ148">#N/A</definedName>
    <definedName name="_JJ149">#N/A</definedName>
    <definedName name="_JJ15">#REF!</definedName>
    <definedName name="_JJ150">#N/A</definedName>
    <definedName name="_JJ151">#N/A</definedName>
    <definedName name="_JJ152">#N/A</definedName>
    <definedName name="_JJ153">#N/A</definedName>
    <definedName name="_JJ154">#N/A</definedName>
    <definedName name="_JJ155">#N/A</definedName>
    <definedName name="_JJ156">#N/A</definedName>
    <definedName name="_JJ157">#N/A</definedName>
    <definedName name="_JJ158">#N/A</definedName>
    <definedName name="_JJ159">#N/A</definedName>
    <definedName name="_JJ16">#REF!</definedName>
    <definedName name="_JJ160">#N/A</definedName>
    <definedName name="_JJ161">#N/A</definedName>
    <definedName name="_JJ162">#N/A</definedName>
    <definedName name="_JJ163">#N/A</definedName>
    <definedName name="_JJ164">#N/A</definedName>
    <definedName name="_JJ165">#N/A</definedName>
    <definedName name="_JJ166">#N/A</definedName>
    <definedName name="_JJ167">#N/A</definedName>
    <definedName name="_JJ168">#N/A</definedName>
    <definedName name="_JJ169">#N/A</definedName>
    <definedName name="_JJ17">#REF!</definedName>
    <definedName name="_JJ170">#N/A</definedName>
    <definedName name="_JJ171">#N/A</definedName>
    <definedName name="_JJ172">#N/A</definedName>
    <definedName name="_JJ173">#N/A</definedName>
    <definedName name="_JJ174">#N/A</definedName>
    <definedName name="_JJ175">#N/A</definedName>
    <definedName name="_JJ176">#N/A</definedName>
    <definedName name="_JJ177">#N/A</definedName>
    <definedName name="_JJ178">#N/A</definedName>
    <definedName name="_JJ179">#N/A</definedName>
    <definedName name="_JJ18">#REF!</definedName>
    <definedName name="_JJ180">#N/A</definedName>
    <definedName name="_JJ181">#N/A</definedName>
    <definedName name="_JJ182">#N/A</definedName>
    <definedName name="_JJ183">#REF!</definedName>
    <definedName name="_JJ184">#REF!</definedName>
    <definedName name="_JJ185">#REF!</definedName>
    <definedName name="_JJ186">#REF!</definedName>
    <definedName name="_JJ187">#REF!</definedName>
    <definedName name="_JJ188">#REF!</definedName>
    <definedName name="_JJ189">#REF!</definedName>
    <definedName name="_JJ19">#REF!</definedName>
    <definedName name="_JJ190">#REF!</definedName>
    <definedName name="_JJ191">#REF!</definedName>
    <definedName name="_JJ192">#REF!</definedName>
    <definedName name="_JJ193">#REF!</definedName>
    <definedName name="_JJ194">#REF!</definedName>
    <definedName name="_JJ195">#REF!</definedName>
    <definedName name="_JJ196">#REF!</definedName>
    <definedName name="_JJ197">#N/A</definedName>
    <definedName name="_JJ198">#N/A</definedName>
    <definedName name="_JJ199">#N/A</definedName>
    <definedName name="_JJ2">#REF!</definedName>
    <definedName name="_JJ20">#REF!</definedName>
    <definedName name="_JJ200">#N/A</definedName>
    <definedName name="_JJ201">#N/A</definedName>
    <definedName name="_JJ202">#N/A</definedName>
    <definedName name="_JJ203">#N/A</definedName>
    <definedName name="_JJ204">#N/A</definedName>
    <definedName name="_JJ205">#N/A</definedName>
    <definedName name="_JJ206">#N/A</definedName>
    <definedName name="_JJ207">#N/A</definedName>
    <definedName name="_JJ208">#N/A</definedName>
    <definedName name="_JJ209">#N/A</definedName>
    <definedName name="_JJ21">#REF!</definedName>
    <definedName name="_JJ210">#N/A</definedName>
    <definedName name="_JJ211">#REF!</definedName>
    <definedName name="_JJ212">#REF!</definedName>
    <definedName name="_JJ213">#REF!</definedName>
    <definedName name="_JJ214">#REF!</definedName>
    <definedName name="_JJ215">#REF!</definedName>
    <definedName name="_JJ216">#REF!</definedName>
    <definedName name="_JJ217">#REF!</definedName>
    <definedName name="_JJ218">#REF!</definedName>
    <definedName name="_JJ219">#REF!</definedName>
    <definedName name="_JJ22">#REF!</definedName>
    <definedName name="_JJ220">#REF!</definedName>
    <definedName name="_JJ221">#REF!</definedName>
    <definedName name="_JJ222">#REF!</definedName>
    <definedName name="_JJ223">#REF!</definedName>
    <definedName name="_JJ224">#REF!</definedName>
    <definedName name="_JJ225">#REF!</definedName>
    <definedName name="_JJ226">#REF!</definedName>
    <definedName name="_JJ227">#REF!</definedName>
    <definedName name="_JJ228">#REF!</definedName>
    <definedName name="_JJ229">#REF!</definedName>
    <definedName name="_JJ23">#REF!</definedName>
    <definedName name="_JJ230">#REF!</definedName>
    <definedName name="_JJ231">#REF!</definedName>
    <definedName name="_JJ232">#REF!</definedName>
    <definedName name="_JJ233">#REF!</definedName>
    <definedName name="_JJ234">#REF!</definedName>
    <definedName name="_JJ235">#REF!</definedName>
    <definedName name="_JJ236">#REF!</definedName>
    <definedName name="_JJ237">#REF!</definedName>
    <definedName name="_JJ238">#REF!</definedName>
    <definedName name="_JJ239">#REF!</definedName>
    <definedName name="_JJ24">#REF!</definedName>
    <definedName name="_JJ240">#REF!</definedName>
    <definedName name="_JJ241">#REF!</definedName>
    <definedName name="_JJ242">#REF!</definedName>
    <definedName name="_JJ243">#REF!</definedName>
    <definedName name="_JJ244">#REF!</definedName>
    <definedName name="_JJ245">#REF!</definedName>
    <definedName name="_JJ246">#N/A</definedName>
    <definedName name="_JJ247">#N/A</definedName>
    <definedName name="_JJ248">#REF!</definedName>
    <definedName name="_JJ249">#REF!</definedName>
    <definedName name="_JJ25">#REF!</definedName>
    <definedName name="_JJ250">#REF!</definedName>
    <definedName name="_JJ251">#REF!</definedName>
    <definedName name="_JJ252">#REF!</definedName>
    <definedName name="_JJ253">#REF!</definedName>
    <definedName name="_JJ254">#REF!</definedName>
    <definedName name="_JJ255">#REF!</definedName>
    <definedName name="_JJ256">#REF!</definedName>
    <definedName name="_JJ257">#REF!</definedName>
    <definedName name="_JJ258">#REF!</definedName>
    <definedName name="_JJ259">#REF!</definedName>
    <definedName name="_JJ26">#REF!</definedName>
    <definedName name="_JJ260">#REF!</definedName>
    <definedName name="_JJ261">#REF!</definedName>
    <definedName name="_JJ262">#REF!</definedName>
    <definedName name="_JJ263">#REF!</definedName>
    <definedName name="_JJ264">#REF!</definedName>
    <definedName name="_JJ265">#REF!</definedName>
    <definedName name="_JJ266">#REF!</definedName>
    <definedName name="_JJ267">#REF!</definedName>
    <definedName name="_JJ268">#REF!</definedName>
    <definedName name="_JJ269">#REF!</definedName>
    <definedName name="_JJ27">#REF!</definedName>
    <definedName name="_JJ270">#REF!</definedName>
    <definedName name="_JJ271">#REF!</definedName>
    <definedName name="_JJ272">#REF!</definedName>
    <definedName name="_JJ273">#REF!</definedName>
    <definedName name="_JJ274">#REF!</definedName>
    <definedName name="_JJ275">#REF!</definedName>
    <definedName name="_JJ276">#REF!</definedName>
    <definedName name="_JJ277">#REF!</definedName>
    <definedName name="_JJ278">#REF!</definedName>
    <definedName name="_JJ279">#REF!</definedName>
    <definedName name="_JJ28">#REF!</definedName>
    <definedName name="_JJ280">#REF!</definedName>
    <definedName name="_JJ281">#REF!</definedName>
    <definedName name="_JJ282">#REF!</definedName>
    <definedName name="_JJ283">#REF!</definedName>
    <definedName name="_JJ284">#REF!</definedName>
    <definedName name="_JJ285">#REF!</definedName>
    <definedName name="_JJ286">#REF!</definedName>
    <definedName name="_JJ287">#REF!</definedName>
    <definedName name="_JJ288">#REF!</definedName>
    <definedName name="_JJ289">#REF!</definedName>
    <definedName name="_JJ29">#N/A</definedName>
    <definedName name="_JJ290">#REF!</definedName>
    <definedName name="_JJ291">#REF!</definedName>
    <definedName name="_JJ292">#REF!</definedName>
    <definedName name="_JJ293">#REF!</definedName>
    <definedName name="_JJ294">#REF!</definedName>
    <definedName name="_JJ295">#REF!</definedName>
    <definedName name="_JJ296">#REF!</definedName>
    <definedName name="_JJ297">#REF!</definedName>
    <definedName name="_JJ298">#REF!</definedName>
    <definedName name="_JJ299">#REF!</definedName>
    <definedName name="_JJ3">#REF!</definedName>
    <definedName name="_JJ30">#N/A</definedName>
    <definedName name="_JJ300">#REF!</definedName>
    <definedName name="_JJ301">#REF!</definedName>
    <definedName name="_JJ302">#REF!</definedName>
    <definedName name="_JJ303">#REF!</definedName>
    <definedName name="_JJ304">#REF!</definedName>
    <definedName name="_JJ305">#REF!</definedName>
    <definedName name="_JJ306">#REF!</definedName>
    <definedName name="_JJ307">#REF!</definedName>
    <definedName name="_JJ308">#REF!</definedName>
    <definedName name="_JJ309">#N/A</definedName>
    <definedName name="_JJ31">#N/A</definedName>
    <definedName name="_JJ310">#N/A</definedName>
    <definedName name="_JJ311">#N/A</definedName>
    <definedName name="_JJ312">#N/A</definedName>
    <definedName name="_JJ313">#N/A</definedName>
    <definedName name="_JJ314">#N/A</definedName>
    <definedName name="_JJ315">#N/A</definedName>
    <definedName name="_JJ316">#N/A</definedName>
    <definedName name="_JJ317">#N/A</definedName>
    <definedName name="_JJ318">#N/A</definedName>
    <definedName name="_JJ319">#N/A</definedName>
    <definedName name="_JJ32">#N/A</definedName>
    <definedName name="_JJ320">#N/A</definedName>
    <definedName name="_JJ321">#N/A</definedName>
    <definedName name="_JJ322">#N/A</definedName>
    <definedName name="_JJ323">#REF!</definedName>
    <definedName name="_JJ324">#REF!</definedName>
    <definedName name="_JJ325">#N/A</definedName>
    <definedName name="_JJ326">#REF!</definedName>
    <definedName name="_JJ327">#REF!</definedName>
    <definedName name="_JJ328">#REF!</definedName>
    <definedName name="_JJ329">#REF!</definedName>
    <definedName name="_JJ33">#N/A</definedName>
    <definedName name="_JJ330">#REF!</definedName>
    <definedName name="_JJ331">#REF!</definedName>
    <definedName name="_JJ332">#REF!</definedName>
    <definedName name="_JJ333">#REF!</definedName>
    <definedName name="_JJ334">#REF!</definedName>
    <definedName name="_JJ335">#REF!</definedName>
    <definedName name="_JJ336">#REF!</definedName>
    <definedName name="_JJ337">#REF!</definedName>
    <definedName name="_JJ338">#REF!</definedName>
    <definedName name="_JJ339">#REF!</definedName>
    <definedName name="_JJ34">#N/A</definedName>
    <definedName name="_JJ340">#REF!</definedName>
    <definedName name="_JJ341">#REF!</definedName>
    <definedName name="_JJ342">#REF!</definedName>
    <definedName name="_JJ343">#REF!</definedName>
    <definedName name="_JJ344">#REF!</definedName>
    <definedName name="_JJ345">#REF!</definedName>
    <definedName name="_JJ346">#REF!</definedName>
    <definedName name="_JJ347">#REF!</definedName>
    <definedName name="_JJ348">#REF!</definedName>
    <definedName name="_JJ349">#REF!</definedName>
    <definedName name="_JJ35">#N/A</definedName>
    <definedName name="_JJ350">#REF!</definedName>
    <definedName name="_JJ351">#REF!</definedName>
    <definedName name="_JJ352">#REF!</definedName>
    <definedName name="_JJ353">#REF!</definedName>
    <definedName name="_JJ354">#REF!</definedName>
    <definedName name="_JJ355">#REF!</definedName>
    <definedName name="_JJ356">#REF!</definedName>
    <definedName name="_JJ357">#REF!</definedName>
    <definedName name="_JJ358">#REF!</definedName>
    <definedName name="_JJ359">#REF!</definedName>
    <definedName name="_JJ36">#N/A</definedName>
    <definedName name="_JJ360">#REF!</definedName>
    <definedName name="_JJ361">#REF!</definedName>
    <definedName name="_JJ362">#REF!</definedName>
    <definedName name="_JJ363">#REF!</definedName>
    <definedName name="_JJ364">#REF!</definedName>
    <definedName name="_JJ365">#REF!</definedName>
    <definedName name="_JJ366">#REF!</definedName>
    <definedName name="_JJ367">#REF!</definedName>
    <definedName name="_JJ368">#REF!</definedName>
    <definedName name="_JJ369">#REF!</definedName>
    <definedName name="_JJ37">#N/A</definedName>
    <definedName name="_JJ370">#REF!</definedName>
    <definedName name="_JJ371">#REF!</definedName>
    <definedName name="_JJ372">#REF!</definedName>
    <definedName name="_JJ373">#REF!</definedName>
    <definedName name="_JJ374">#REF!</definedName>
    <definedName name="_JJ375">#REF!</definedName>
    <definedName name="_JJ376">#REF!</definedName>
    <definedName name="_JJ377">#REF!</definedName>
    <definedName name="_JJ378">#REF!</definedName>
    <definedName name="_JJ379">#N/A</definedName>
    <definedName name="_JJ38">#N/A</definedName>
    <definedName name="_JJ380">#N/A</definedName>
    <definedName name="_JJ381">#N/A</definedName>
    <definedName name="_JJ382">#N/A</definedName>
    <definedName name="_JJ383">#N/A</definedName>
    <definedName name="_JJ384">#N/A</definedName>
    <definedName name="_JJ385">#N/A</definedName>
    <definedName name="_JJ386">#N/A</definedName>
    <definedName name="_JJ387">#N/A</definedName>
    <definedName name="_JJ388">#N/A</definedName>
    <definedName name="_JJ389">#N/A</definedName>
    <definedName name="_JJ39">#N/A</definedName>
    <definedName name="_JJ390">#N/A</definedName>
    <definedName name="_JJ391">#N/A</definedName>
    <definedName name="_JJ392">#N/A</definedName>
    <definedName name="_JJ393">#REF!</definedName>
    <definedName name="_JJ394">#REF!</definedName>
    <definedName name="_JJ395">#REF!</definedName>
    <definedName name="_JJ396">#REF!</definedName>
    <definedName name="_JJ397">#REF!</definedName>
    <definedName name="_JJ398">#REF!</definedName>
    <definedName name="_JJ399">#REF!</definedName>
    <definedName name="_JJ4">#REF!</definedName>
    <definedName name="_JJ40">#N/A</definedName>
    <definedName name="_JJ400">#REF!</definedName>
    <definedName name="_JJ401">#REF!</definedName>
    <definedName name="_JJ402">#REF!</definedName>
    <definedName name="_JJ403">#REF!</definedName>
    <definedName name="_JJ404">#REF!</definedName>
    <definedName name="_JJ405">#REF!</definedName>
    <definedName name="_JJ406">#REF!</definedName>
    <definedName name="_JJ407">#REF!</definedName>
    <definedName name="_JJ408">#REF!</definedName>
    <definedName name="_JJ409">#REF!</definedName>
    <definedName name="_JJ41">#N/A</definedName>
    <definedName name="_JJ410">#REF!</definedName>
    <definedName name="_JJ411">#REF!</definedName>
    <definedName name="_JJ412">#REF!</definedName>
    <definedName name="_JJ413">#REF!</definedName>
    <definedName name="_JJ414">#REF!</definedName>
    <definedName name="_JJ415">#REF!</definedName>
    <definedName name="_JJ416">#REF!</definedName>
    <definedName name="_JJ417">#REF!</definedName>
    <definedName name="_JJ418">#REF!</definedName>
    <definedName name="_JJ419">#REF!</definedName>
    <definedName name="_JJ42">#N/A</definedName>
    <definedName name="_JJ420">#REF!</definedName>
    <definedName name="_JJ421">#REF!</definedName>
    <definedName name="_JJ422">#REF!</definedName>
    <definedName name="_JJ423">#REF!</definedName>
    <definedName name="_JJ424">#REF!</definedName>
    <definedName name="_JJ425">#REF!</definedName>
    <definedName name="_JJ426">#REF!</definedName>
    <definedName name="_JJ427">#REF!</definedName>
    <definedName name="_JJ428">#REF!</definedName>
    <definedName name="_JJ429">#REF!</definedName>
    <definedName name="_JJ43">#N/A</definedName>
    <definedName name="_JJ430">#REF!</definedName>
    <definedName name="_JJ431">#REF!</definedName>
    <definedName name="_JJ432">#REF!</definedName>
    <definedName name="_JJ433">#REF!</definedName>
    <definedName name="_JJ434">#REF!</definedName>
    <definedName name="_JJ435">#REF!</definedName>
    <definedName name="_JJ436">#REF!</definedName>
    <definedName name="_JJ437">#REF!</definedName>
    <definedName name="_JJ438">#REF!</definedName>
    <definedName name="_JJ439">#REF!</definedName>
    <definedName name="_JJ44">#N/A</definedName>
    <definedName name="_JJ440">#REF!</definedName>
    <definedName name="_JJ441">#REF!</definedName>
    <definedName name="_JJ442">#REF!</definedName>
    <definedName name="_JJ443">#REF!</definedName>
    <definedName name="_JJ444">#REF!</definedName>
    <definedName name="_JJ445">#REF!</definedName>
    <definedName name="_JJ446">#REF!</definedName>
    <definedName name="_JJ447">#REF!</definedName>
    <definedName name="_JJ448">#REF!</definedName>
    <definedName name="_JJ449">#REF!</definedName>
    <definedName name="_JJ45">#N/A</definedName>
    <definedName name="_JJ450">#REF!</definedName>
    <definedName name="_JJ451">#REF!</definedName>
    <definedName name="_JJ452">#REF!</definedName>
    <definedName name="_JJ453">#REF!</definedName>
    <definedName name="_JJ454">#REF!</definedName>
    <definedName name="_JJ455">#REF!</definedName>
    <definedName name="_JJ456">#REF!</definedName>
    <definedName name="_JJ457">#REF!</definedName>
    <definedName name="_JJ458">#REF!</definedName>
    <definedName name="_JJ459">#REF!</definedName>
    <definedName name="_JJ46">#N/A</definedName>
    <definedName name="_JJ460">#REF!</definedName>
    <definedName name="_JJ461">#REF!</definedName>
    <definedName name="_JJ462">#REF!</definedName>
    <definedName name="_JJ463">#REF!</definedName>
    <definedName name="_JJ464">#REF!</definedName>
    <definedName name="_JJ465">#REF!</definedName>
    <definedName name="_JJ466">#REF!</definedName>
    <definedName name="_JJ467">#REF!</definedName>
    <definedName name="_JJ468">#REF!</definedName>
    <definedName name="_JJ469">#REF!</definedName>
    <definedName name="_JJ47">#N/A</definedName>
    <definedName name="_JJ470">#REF!</definedName>
    <definedName name="_JJ471">#REF!</definedName>
    <definedName name="_JJ472">#REF!</definedName>
    <definedName name="_JJ473">#REF!</definedName>
    <definedName name="_JJ474">#REF!</definedName>
    <definedName name="_JJ475">#REF!</definedName>
    <definedName name="_JJ476">#REF!</definedName>
    <definedName name="_JJ477">#REF!</definedName>
    <definedName name="_JJ478">#REF!</definedName>
    <definedName name="_JJ479">#REF!</definedName>
    <definedName name="_JJ48">#N/A</definedName>
    <definedName name="_JJ480">#REF!</definedName>
    <definedName name="_JJ481">#REF!</definedName>
    <definedName name="_JJ482">#REF!</definedName>
    <definedName name="_JJ483">#REF!</definedName>
    <definedName name="_JJ484">#REF!</definedName>
    <definedName name="_JJ485">#REF!</definedName>
    <definedName name="_JJ486">#REF!</definedName>
    <definedName name="_JJ487">#REF!</definedName>
    <definedName name="_JJ488">#REF!</definedName>
    <definedName name="_JJ489">#REF!</definedName>
    <definedName name="_JJ49">#N/A</definedName>
    <definedName name="_JJ490">#REF!</definedName>
    <definedName name="_JJ491">#N/A</definedName>
    <definedName name="_JJ492">#N/A</definedName>
    <definedName name="_JJ493">#N/A</definedName>
    <definedName name="_JJ494">#N/A</definedName>
    <definedName name="_JJ495">#N/A</definedName>
    <definedName name="_JJ496">#N/A</definedName>
    <definedName name="_JJ497">#N/A</definedName>
    <definedName name="_JJ498">#N/A</definedName>
    <definedName name="_JJ499">#N/A</definedName>
    <definedName name="_JJ5">#REF!</definedName>
    <definedName name="_JJ50">#N/A</definedName>
    <definedName name="_JJ500">#N/A</definedName>
    <definedName name="_JJ501">#N/A</definedName>
    <definedName name="_JJ502">#N/A</definedName>
    <definedName name="_JJ503">#N/A</definedName>
    <definedName name="_JJ504">#N/A</definedName>
    <definedName name="_JJ505">#REF!</definedName>
    <definedName name="_JJ506">#REF!</definedName>
    <definedName name="_JJ507">#REF!</definedName>
    <definedName name="_JJ508">#REF!</definedName>
    <definedName name="_JJ509">#REF!</definedName>
    <definedName name="_JJ51">#N/A</definedName>
    <definedName name="_JJ510">#REF!</definedName>
    <definedName name="_JJ511">#REF!</definedName>
    <definedName name="_JJ512">#REF!</definedName>
    <definedName name="_JJ513">#REF!</definedName>
    <definedName name="_JJ514">#REF!</definedName>
    <definedName name="_JJ515">#REF!</definedName>
    <definedName name="_JJ516">#REF!</definedName>
    <definedName name="_JJ517">#REF!</definedName>
    <definedName name="_JJ518">#REF!</definedName>
    <definedName name="_JJ519">#REF!</definedName>
    <definedName name="_JJ52">#N/A</definedName>
    <definedName name="_JJ520">#REF!</definedName>
    <definedName name="_JJ521">#REF!</definedName>
    <definedName name="_JJ522">#REF!</definedName>
    <definedName name="_JJ523">#REF!</definedName>
    <definedName name="_JJ524">#REF!</definedName>
    <definedName name="_JJ525">#REF!</definedName>
    <definedName name="_JJ526">#REF!</definedName>
    <definedName name="_JJ527">#REF!</definedName>
    <definedName name="_JJ528">#REF!</definedName>
    <definedName name="_JJ529">#REF!</definedName>
    <definedName name="_JJ53">#N/A</definedName>
    <definedName name="_JJ530">#REF!</definedName>
    <definedName name="_JJ531">#REF!</definedName>
    <definedName name="_JJ532">#REF!</definedName>
    <definedName name="_JJ533">#N/A</definedName>
    <definedName name="_JJ534">#N/A</definedName>
    <definedName name="_JJ535">#N/A</definedName>
    <definedName name="_JJ536">#N/A</definedName>
    <definedName name="_JJ537">#N/A</definedName>
    <definedName name="_JJ538">#N/A</definedName>
    <definedName name="_JJ539">#N/A</definedName>
    <definedName name="_JJ54">#N/A</definedName>
    <definedName name="_JJ540">#N/A</definedName>
    <definedName name="_JJ541">#N/A</definedName>
    <definedName name="_JJ542">#N/A</definedName>
    <definedName name="_JJ543">#N/A</definedName>
    <definedName name="_JJ544">#N/A</definedName>
    <definedName name="_JJ545">#N/A</definedName>
    <definedName name="_JJ546">#N/A</definedName>
    <definedName name="_JJ547">#REF!</definedName>
    <definedName name="_JJ548">#REF!</definedName>
    <definedName name="_JJ549">#REF!</definedName>
    <definedName name="_JJ55">#N/A</definedName>
    <definedName name="_JJ550">#REF!</definedName>
    <definedName name="_JJ551">#REF!</definedName>
    <definedName name="_JJ552">#REF!</definedName>
    <definedName name="_JJ553">#REF!</definedName>
    <definedName name="_JJ554">#REF!</definedName>
    <definedName name="_JJ555">#REF!</definedName>
    <definedName name="_JJ556">#REF!</definedName>
    <definedName name="_JJ557">#REF!</definedName>
    <definedName name="_JJ558">#REF!</definedName>
    <definedName name="_JJ559">#REF!</definedName>
    <definedName name="_JJ56">#N/A</definedName>
    <definedName name="_JJ560">#REF!</definedName>
    <definedName name="_JJ561">#REF!</definedName>
    <definedName name="_JJ562">#REF!</definedName>
    <definedName name="_JJ563">#REF!</definedName>
    <definedName name="_JJ564">#REF!</definedName>
    <definedName name="_JJ565">#REF!</definedName>
    <definedName name="_JJ566">#REF!</definedName>
    <definedName name="_JJ567">#REF!</definedName>
    <definedName name="_JJ568">#REF!</definedName>
    <definedName name="_JJ569">#REF!</definedName>
    <definedName name="_JJ57">#REF!</definedName>
    <definedName name="_JJ570">#REF!</definedName>
    <definedName name="_JJ571">#REF!</definedName>
    <definedName name="_JJ572">#REF!</definedName>
    <definedName name="_JJ573">#REF!</definedName>
    <definedName name="_JJ574">#REF!</definedName>
    <definedName name="_JJ575">#REF!</definedName>
    <definedName name="_JJ576">#REF!</definedName>
    <definedName name="_JJ577">#REF!</definedName>
    <definedName name="_JJ578">#REF!</definedName>
    <definedName name="_JJ579">#REF!</definedName>
    <definedName name="_JJ58">#REF!</definedName>
    <definedName name="_JJ580">#REF!</definedName>
    <definedName name="_JJ581">#REF!</definedName>
    <definedName name="_JJ582">#REF!</definedName>
    <definedName name="_JJ583">#REF!</definedName>
    <definedName name="_JJ584">#REF!</definedName>
    <definedName name="_JJ585">#REF!</definedName>
    <definedName name="_JJ586">#REF!</definedName>
    <definedName name="_JJ587">#REF!</definedName>
    <definedName name="_JJ588">#REF!</definedName>
    <definedName name="_JJ589">#REF!</definedName>
    <definedName name="_JJ59">#REF!</definedName>
    <definedName name="_JJ590">#REF!</definedName>
    <definedName name="_JJ591">#REF!</definedName>
    <definedName name="_JJ592">#REF!</definedName>
    <definedName name="_JJ593">#REF!</definedName>
    <definedName name="_JJ594">#REF!</definedName>
    <definedName name="_JJ595">#REF!</definedName>
    <definedName name="_JJ596">#REF!</definedName>
    <definedName name="_JJ597">#REF!</definedName>
    <definedName name="_JJ598">#REF!</definedName>
    <definedName name="_JJ599">#REF!</definedName>
    <definedName name="_JJ6">#REF!</definedName>
    <definedName name="_JJ60">#REF!</definedName>
    <definedName name="_JJ600">#REF!</definedName>
    <definedName name="_JJ601">#REF!</definedName>
    <definedName name="_JJ602">#REF!</definedName>
    <definedName name="_JJ603">#REF!</definedName>
    <definedName name="_JJ604">#REF!</definedName>
    <definedName name="_JJ605">#REF!</definedName>
    <definedName name="_JJ606">#REF!</definedName>
    <definedName name="_JJ607">#REF!</definedName>
    <definedName name="_JJ608">#REF!</definedName>
    <definedName name="_JJ609">#REF!</definedName>
    <definedName name="_JJ61">#REF!</definedName>
    <definedName name="_JJ610">#REF!</definedName>
    <definedName name="_JJ611">#REF!</definedName>
    <definedName name="_JJ612">#REF!</definedName>
    <definedName name="_JJ613">#REF!</definedName>
    <definedName name="_JJ614">#REF!</definedName>
    <definedName name="_JJ615">#REF!</definedName>
    <definedName name="_JJ616">#REF!</definedName>
    <definedName name="_JJ617">#REF!</definedName>
    <definedName name="_JJ618">#REF!</definedName>
    <definedName name="_JJ619">#REF!</definedName>
    <definedName name="_JJ62">#REF!</definedName>
    <definedName name="_JJ620">#REF!</definedName>
    <definedName name="_JJ621">#REF!</definedName>
    <definedName name="_JJ622">#REF!</definedName>
    <definedName name="_JJ623">#REF!</definedName>
    <definedName name="_JJ624">#REF!</definedName>
    <definedName name="_JJ625">#REF!</definedName>
    <definedName name="_JJ626">#REF!</definedName>
    <definedName name="_JJ627">#REF!</definedName>
    <definedName name="_JJ628">#REF!</definedName>
    <definedName name="_JJ629">#REF!</definedName>
    <definedName name="_JJ63">#REF!</definedName>
    <definedName name="_JJ630">#REF!</definedName>
    <definedName name="_JJ631">#REF!</definedName>
    <definedName name="_JJ632">#REF!</definedName>
    <definedName name="_JJ633">#REF!</definedName>
    <definedName name="_JJ634">#REF!</definedName>
    <definedName name="_JJ635">#REF!</definedName>
    <definedName name="_JJ636">#REF!</definedName>
    <definedName name="_JJ637">#REF!</definedName>
    <definedName name="_JJ638">#REF!</definedName>
    <definedName name="_JJ639">#REF!</definedName>
    <definedName name="_JJ64">#REF!</definedName>
    <definedName name="_JJ640">#REF!</definedName>
    <definedName name="_JJ641">#REF!</definedName>
    <definedName name="_JJ642">#REF!</definedName>
    <definedName name="_JJ643">#REF!</definedName>
    <definedName name="_JJ644">#REF!</definedName>
    <definedName name="_JJ645">#REF!</definedName>
    <definedName name="_JJ646">#REF!</definedName>
    <definedName name="_JJ647">#REF!</definedName>
    <definedName name="_JJ648">#REF!</definedName>
    <definedName name="_JJ649">#REF!</definedName>
    <definedName name="_JJ65">#REF!</definedName>
    <definedName name="_JJ650">#REF!</definedName>
    <definedName name="_JJ651">#REF!</definedName>
    <definedName name="_JJ652">#REF!</definedName>
    <definedName name="_JJ653">#REF!</definedName>
    <definedName name="_JJ654">#REF!</definedName>
    <definedName name="_JJ655">#REF!</definedName>
    <definedName name="_JJ656">#REF!</definedName>
    <definedName name="_JJ657">#REF!</definedName>
    <definedName name="_JJ658">#REF!</definedName>
    <definedName name="_JJ659">#REF!</definedName>
    <definedName name="_JJ66">#REF!</definedName>
    <definedName name="_JJ660">#REF!</definedName>
    <definedName name="_JJ661">#REF!</definedName>
    <definedName name="_JJ662">#REF!</definedName>
    <definedName name="_JJ663">#REF!</definedName>
    <definedName name="_JJ664">#REF!</definedName>
    <definedName name="_JJ665">#REF!</definedName>
    <definedName name="_JJ666">#REF!</definedName>
    <definedName name="_JJ667">#REF!</definedName>
    <definedName name="_JJ668">#REF!</definedName>
    <definedName name="_JJ669">#REF!</definedName>
    <definedName name="_JJ67">#REF!</definedName>
    <definedName name="_JJ670">#REF!</definedName>
    <definedName name="_JJ671">#REF!</definedName>
    <definedName name="_JJ672">#REF!</definedName>
    <definedName name="_JJ673">#REF!</definedName>
    <definedName name="_JJ674">#REF!</definedName>
    <definedName name="_JJ675">#REF!</definedName>
    <definedName name="_JJ676">#REF!</definedName>
    <definedName name="_JJ677">#REF!</definedName>
    <definedName name="_JJ678">#REF!</definedName>
    <definedName name="_JJ679">#REF!</definedName>
    <definedName name="_JJ68">#REF!</definedName>
    <definedName name="_JJ680">#REF!</definedName>
    <definedName name="_JJ681">#REF!</definedName>
    <definedName name="_JJ682">#REF!</definedName>
    <definedName name="_JJ683">#REF!</definedName>
    <definedName name="_JJ684">#REF!</definedName>
    <definedName name="_JJ685">#REF!</definedName>
    <definedName name="_JJ686">#REF!</definedName>
    <definedName name="_JJ69">#REF!</definedName>
    <definedName name="_JJ7">#REF!</definedName>
    <definedName name="_JJ70">#REF!</definedName>
    <definedName name="_JJ71">#REF!</definedName>
    <definedName name="_JJ72">#REF!</definedName>
    <definedName name="_JJ73">#REF!</definedName>
    <definedName name="_JJ74">#REF!</definedName>
    <definedName name="_JJ75">#REF!</definedName>
    <definedName name="_JJ76">#REF!</definedName>
    <definedName name="_JJ77">#REF!</definedName>
    <definedName name="_JJ78">#REF!</definedName>
    <definedName name="_JJ79">#REF!</definedName>
    <definedName name="_JJ8">#REF!</definedName>
    <definedName name="_JJ80">#REF!</definedName>
    <definedName name="_JJ81">#REF!</definedName>
    <definedName name="_JJ82">#REF!</definedName>
    <definedName name="_JJ83">#REF!</definedName>
    <definedName name="_JJ84">#REF!</definedName>
    <definedName name="_JJ85">#REF!</definedName>
    <definedName name="_JJ86">#REF!</definedName>
    <definedName name="_JJ87">#REF!</definedName>
    <definedName name="_JJ88">#REF!</definedName>
    <definedName name="_JJ89">#REF!</definedName>
    <definedName name="_JJ9">#REF!</definedName>
    <definedName name="_JJ90">#REF!</definedName>
    <definedName name="_JJ91">#REF!</definedName>
    <definedName name="_JJ92">#REF!</definedName>
    <definedName name="_JJ93">#REF!</definedName>
    <definedName name="_JJ94">#REF!</definedName>
    <definedName name="_JJ95">#REF!</definedName>
    <definedName name="_JJ96">#REF!</definedName>
    <definedName name="_JJ97">#REF!</definedName>
    <definedName name="_JJ98">#REF!</definedName>
    <definedName name="_JJ99">#N/A</definedName>
    <definedName name="_Key1" hidden="1">#REF!</definedName>
    <definedName name="_Order1" hidden="1">255</definedName>
    <definedName name="_Order2" hidden="1">255</definedName>
    <definedName name="_Regression_Int" hidden="1">1</definedName>
    <definedName name="_S14" localSheetId="7">BlankMacro1</definedName>
    <definedName name="_S14">BlankMacro1</definedName>
    <definedName name="_SLM15">[2]Ky!#REF!</definedName>
    <definedName name="_SLM25">[2]Ky!#REF!</definedName>
    <definedName name="_SLM30">[2]Ky!#REF!</definedName>
    <definedName name="_Sort" hidden="1">#REF!</definedName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#N/A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x">#REF!</definedName>
    <definedName name="\Y">#REF!</definedName>
    <definedName name="\Z">#REF!</definedName>
    <definedName name="a" localSheetId="7">BlankMacro1</definedName>
    <definedName name="a">BlankMacro1</definedName>
    <definedName name="A_I">[3]별제권_정리담보권!$U$6:$U$213</definedName>
    <definedName name="A_I1">[3]별제권_정리담보권!$O$6:$O$213</definedName>
    <definedName name="A_I2">[3]별제권_정리담보권!$Q$6:$Q$213</definedName>
    <definedName name="A_P">[3]별제권_정리담보권!$T$6:$T$213</definedName>
    <definedName name="ABC">[4]CAT_5!#REF!</definedName>
    <definedName name="AccessDatabase" hidden="1">"C:\홍성일\주간공정\96-10142.mdb"</definedName>
    <definedName name="b">[5]수요예측!$C$43</definedName>
    <definedName name="BREAKDOWN">'[6]Summary Sheets'!$A$2:$K$36</definedName>
    <definedName name="COA_10">#REF!</definedName>
    <definedName name="COA_11">'[7]COA-17'!#REF!</definedName>
    <definedName name="COA_12">'[7]COA-17'!#REF!</definedName>
    <definedName name="COA_13">'[7]COA-17'!#REF!</definedName>
    <definedName name="COA_14">'[7]COA-17'!#REF!</definedName>
    <definedName name="COA_15">'[7]COA-17'!#REF!</definedName>
    <definedName name="COA_16">'[7]COA-17'!#REF!</definedName>
    <definedName name="COA_17">'[7]COA-17'!#REF!</definedName>
    <definedName name="COA_18">'[7]COA-17'!#REF!</definedName>
    <definedName name="COA_19">'[7]COA-17'!#REF!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Ｃｏｄｅ">[8]확인서!$G$10</definedName>
    <definedName name="conb121">[9]!conb121</definedName>
    <definedName name="CONSUM">#REF!</definedName>
    <definedName name="COUPPCD">#REF!</definedName>
    <definedName name="COVER50">[4]CAT_5!#REF!</definedName>
    <definedName name="CV_1">'[7]C-18'!#REF!</definedName>
    <definedName name="CV_11">'[7]C-18'!#REF!</definedName>
    <definedName name="CV_12">'[7]C-18'!#REF!</definedName>
    <definedName name="CV_13">'[7]C-18'!#REF!</definedName>
    <definedName name="CV_14">'[7]C-18'!#REF!</definedName>
    <definedName name="CV_15">'[7]C-18'!#REF!</definedName>
    <definedName name="CV_16">'[7]C-18'!#REF!</definedName>
    <definedName name="CV_17">'[7]C-18'!#REF!</definedName>
    <definedName name="CV_18">#REF!</definedName>
    <definedName name="CV_19">'[7]C-18'!#REF!</definedName>
    <definedName name="CV_20">'[7]C-18'!#REF!</definedName>
    <definedName name="CV_30">'[7]C-18'!#REF!</definedName>
    <definedName name="CV_40">'[7]C-18'!#REF!</definedName>
    <definedName name="CV_50">'[7]C-18'!#REF!</definedName>
    <definedName name="CV_60">'[7]C-18'!#REF!</definedName>
    <definedName name="CV_70">'[7]C-18'!#REF!</definedName>
    <definedName name="CV_80">'[7]C-18'!#REF!</definedName>
    <definedName name="CYCLE___LVL_1____1_HEXENE">'[6]Summary Sheets'!$L$382:$V$416</definedName>
    <definedName name="CYCLE___LVL_1____DOCK">'[6]Summary Sheets'!$L$762:$V$796</definedName>
    <definedName name="CYCLE___LVL_1____NFGP">'[10]ITB COST'!$L$398:$V$438</definedName>
    <definedName name="CYCLE___LVL_1____OFFSITES">'[6]Summary Sheets'!$L$572:$V$606</definedName>
    <definedName name="CYCLE___LVL_1____PIPELINE">'[10]ITB COST'!$L$574:$V$614</definedName>
    <definedName name="CYCLE___LVL_1____TANK">'[10]ITB COST'!$L$706:$V$746</definedName>
    <definedName name="CYCLE___LVL_1_DKADU">'[10]ITB COST'!$L$2:$V$42</definedName>
    <definedName name="CYCLE___LVL_1_ETHYLENE">'[6]Summary Sheets'!$L$2:$V$36</definedName>
    <definedName name="CYCLE___LVL_1_NGL4">'[10]ITB COST'!$L$178:$V$218</definedName>
    <definedName name="CYCLE___LVL_1_POLYETHYLENE">'[6]Summary Sheets'!$L$192:$V$226</definedName>
    <definedName name="CYCLE_LVL_1_PGM">'[10]ITB COST'!$L$881:$V$922</definedName>
    <definedName name="D">#REF!</definedName>
    <definedName name="DATA3월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_xlnm.Database">#REF!</definedName>
    <definedName name="e">#REF!</definedName>
    <definedName name="f">[5]수요예측!$D$44</definedName>
    <definedName name="fds" hidden="1">{#N/A,#N/A,FALSE,"부대2"}</definedName>
    <definedName name="FG" localSheetId="7">BlankMacro1</definedName>
    <definedName name="FG">BlankMacro1</definedName>
    <definedName name="Format_AT_Actual_List">#REF!</definedName>
    <definedName name="H">#REF!</definedName>
    <definedName name="H1_">#REF!</definedName>
    <definedName name="h22.5">#REF!</definedName>
    <definedName name="HE번호">#N/A</definedName>
    <definedName name="HTML_CodePage" hidden="1">949</definedName>
    <definedName name="HTML_Control" hidden="1">{"'Prog-Plot'!$A$1:$P$35"}</definedName>
    <definedName name="HTML_Description" hidden="1">""</definedName>
    <definedName name="HTML_Email" hidden="1">""</definedName>
    <definedName name="HTML_Header" hidden="1">"Prog-Plot"</definedName>
    <definedName name="HTML_LastUpdate" hidden="1">"2002-04-12"</definedName>
    <definedName name="HTML_LineAfter" hidden="1">FALSE</definedName>
    <definedName name="HTML_LineBefore" hidden="1">FALSE</definedName>
    <definedName name="HTML_Name" hidden="1">"daelim"</definedName>
    <definedName name="HTML_OBDlg2" hidden="1">TRUE</definedName>
    <definedName name="HTML_OBDlg4" hidden="1">TRUE</definedName>
    <definedName name="HTML_OS" hidden="1">0</definedName>
    <definedName name="HTML_PathFile" hidden="1">"C:\basf_tdi\environment\MyHTML.htm"</definedName>
    <definedName name="HTML_Title" hidden="1">"Progress calculation"</definedName>
    <definedName name="INSTDKADU">#REF!</definedName>
    <definedName name="INSTNFGP">#REF!</definedName>
    <definedName name="INSTNGL4">#REF!</definedName>
    <definedName name="INSTPGM">#REF!</definedName>
    <definedName name="INSTPIPELINE">#REF!</definedName>
    <definedName name="INSTTANK">#REF!</definedName>
    <definedName name="LAST">#REF!</definedName>
    <definedName name="LEVEL_2_1_HEXENE_PG.1">'[6]Summary Sheets'!$W$382:$AG$416</definedName>
    <definedName name="LEVEL_2_1_HEXENE_PG.2">'[6]Summary Sheets'!$W$420:$AG$454</definedName>
    <definedName name="LEVEL_2_1_HEXENE_PG.3">'[6]Summary Sheets'!$W$458:$AG$492</definedName>
    <definedName name="LEVEL_2_1_HEXENE_PG.4">'[6]Summary Sheets'!$W$496:$AG$530</definedName>
    <definedName name="LEVEL_2_1_HEXENE_PG_5">'[6]Summary Sheets'!$W$534:$AG$568</definedName>
    <definedName name="LEVEL_2_DKADU_PG.1">'[10]ITB COST'!$W$2:$AG$42</definedName>
    <definedName name="LEVEL_2_DKADU_PG.2">'[10]ITB COST'!$W$46:$AG$86</definedName>
    <definedName name="LEVEL_2_DKADU_PG.3">'[10]ITB COST'!$W$90:$AG$130</definedName>
    <definedName name="LEVEL_2_DKADU_PG.4">'[10]ITB COST'!$W$134:$AG$174</definedName>
    <definedName name="LEVEL_2_DOCK_PG.1">'[6]Summary Sheets'!$W$762:$AG$796</definedName>
    <definedName name="LEVEL_2_DOCK_PG.2">'[6]Summary Sheets'!$W$800:$AG$834</definedName>
    <definedName name="LEVEL_2_DOCK_PG.3">'[6]Summary Sheets'!$W$838:$AG$872</definedName>
    <definedName name="LEVEL_2_DOCK_PG.4">'[6]Summary Sheets'!$W$876:$AG$910</definedName>
    <definedName name="LEVEL_2_DOCK_PG_5">'[6]Summary Sheets'!$W$914:$AG$948</definedName>
    <definedName name="LEVEL_2_ETHYLENE_PG.1">'[6]Summary Sheets'!$W$2:$AG$36</definedName>
    <definedName name="LEVEL_2_ETHYLENE_PG.2">'[6]Summary Sheets'!$W$40:$AG$74</definedName>
    <definedName name="LEVEL_2_ETHYLENE_PG.3">'[6]Summary Sheets'!$W$78:$AG$112</definedName>
    <definedName name="LEVEL_2_ETHYLENE_PG.4">'[6]Summary Sheets'!$W$116:$AG$150</definedName>
    <definedName name="LEVEL_2_ETHYLENE_PG_5">'[6]Summary Sheets'!$W$154:$AG$188</definedName>
    <definedName name="LEVEL_2_NFGP_PG.1">'[10]ITB COST'!$W$398:$AG$438</definedName>
    <definedName name="LEVEL_2_NFGP_PG.2">'[10]ITB COST'!$W$442:$AG$482</definedName>
    <definedName name="LEVEL_2_NFGP_PG.3">'[10]ITB COST'!$W$486:$AG$526</definedName>
    <definedName name="LEVEL_2_NFGP_PG.4">'[10]ITB COST'!$W$530:$AG$570</definedName>
    <definedName name="LEVEL_2_NGL4_PG.1">'[10]ITB COST'!$W$178:$AG$218</definedName>
    <definedName name="LEVEL_2_NGL4_PG.2">'[10]ITB COST'!$W$222:$AG$262</definedName>
    <definedName name="LEVEL_2_NGL4_PG.3">'[10]ITB COST'!$W$266:$AG$306</definedName>
    <definedName name="LEVEL_2_NGL4_PG.4">'[10]ITB COST'!$W$310:$AG$350</definedName>
    <definedName name="LEVEL_2_OFFSITES_PG.1">'[6]Summary Sheets'!$W$572:$AG$606</definedName>
    <definedName name="LEVEL_2_OFFSITES_PG.2">'[6]Summary Sheets'!$W$610:$AG$644</definedName>
    <definedName name="LEVEL_2_OFFSITES_PG.3">'[6]Summary Sheets'!$W$648:$AG$682</definedName>
    <definedName name="LEVEL_2_OFFSITES_PG.4">'[6]Summary Sheets'!$W$686:$AG$720</definedName>
    <definedName name="LEVEL_2_OFFSITES_PG_5">'[6]Summary Sheets'!$W$724:$AG$758</definedName>
    <definedName name="LEVEL_2_PGM_PG.1">'[10]ITB COST'!$W$881:$AG$922</definedName>
    <definedName name="LEVEL_2_PGM_PG.2">'[10]ITB COST'!$W$925:$AG$966</definedName>
    <definedName name="LEVEL_2_PIPELINE_PG.1">'[10]ITB COST'!$W$574:$AG$614</definedName>
    <definedName name="LEVEL_2_PIPELINE_PG.2">'[10]ITB COST'!$W$618:$AG$658</definedName>
    <definedName name="LEVEL_2_PIPELINE_PG.3">'[10]ITB COST'!$W$662:$AG$702</definedName>
    <definedName name="LEVEL_2_POLYETHYLENE_PG.1">'[6]Summary Sheets'!$W$192:$AG$226</definedName>
    <definedName name="LEVEL_2_POLYETHYLENE_PG.2">'[6]Summary Sheets'!$W$230:$AG$264</definedName>
    <definedName name="LEVEL_2_POLYETHYLENE_PG.3">'[6]Summary Sheets'!$W$268:$AG$302</definedName>
    <definedName name="LEVEL_2_POLYETHYLENE_PG.4">'[6]Summary Sheets'!$W$306:$AG$340</definedName>
    <definedName name="LEVEL_2_POLYETHYLENE_PG_5">'[6]Summary Sheets'!$W$344:$AG$378</definedName>
    <definedName name="LEVEL_2_TANK_PG.1">'[10]ITB COST'!$W$706:$AG$746</definedName>
    <definedName name="LEVEL_2_TANK_PG.2">'[10]ITB COST'!$W$750:$AG$790</definedName>
    <definedName name="LEVEL_2_TANK_PG.3">'[10]ITB COST'!$W$794:$AG$834</definedName>
    <definedName name="LEVEL_2_TANK_PG.4">'[10]ITB COST'!$W$838:$AG$878</definedName>
    <definedName name="LEVEL_3_1_HEXENE_EQUIP_PG_1">'[6]Summary Sheets'!$AH$382:$AR$416</definedName>
    <definedName name="LEVEL_3_1_HEXENE_EQUIP_PG_2">'[6]Summary Sheets'!$AH$420:$AR$454</definedName>
    <definedName name="LEVEL_3_1_HEXENE_EQUIP_PG_3">'[6]Summary Sheets'!$AH$458:$AR$492</definedName>
    <definedName name="LEVEL_3_DKADU_EQUIP_PG_1">'[10]ITB COST'!$AH$2:$AR$42</definedName>
    <definedName name="LEVEL_3_DKADU_EQUIP_PG_2">'[10]ITB COST'!$AH$46:$AR$86</definedName>
    <definedName name="LEVEL_3_DKADU_EQUIP_PG_3">'[10]ITB COST'!$AH$90:$AR$130</definedName>
    <definedName name="LEVEL_3_DOCK_EQUIP_PG_1">'[6]Summary Sheets'!$AH$762:$AR$796</definedName>
    <definedName name="LEVEL_3_DOCK_EQUIP_PG_2">'[6]Summary Sheets'!$AH$800:$AR$834</definedName>
    <definedName name="LEVEL_3_DOCK_EQUIP_PG_3">'[6]Summary Sheets'!$AH$838:$AR$872</definedName>
    <definedName name="LEVEL_3_ETHYLENE_EQUIP_PG_1">'[6]Summary Sheets'!$AH$2:$AR$36</definedName>
    <definedName name="LEVEL_3_ETHYLENE_EQUIP_PG_2">'[6]Summary Sheets'!$AH$40:$AR$74</definedName>
    <definedName name="LEVEL_3_ETHYLENE_EQUIP_PG_3">'[6]Summary Sheets'!$AH$78:$AR$112</definedName>
    <definedName name="LEVEL_3_NFGP_EQUIP_PG_1">'[10]ITB COST'!$AH$398:$AR$438</definedName>
    <definedName name="LEVEL_3_NFGP_EQUIP_PG_2">'[10]ITB COST'!$AH$442:$AR$482</definedName>
    <definedName name="LEVEL_3_NFGP_EQUIP_PG_3">'[10]ITB COST'!$AH$486:$AR$526</definedName>
    <definedName name="LEVEL_3_NGL4_EQUIP_PG_1">'[10]ITB COST'!$AH$178:$AR$218</definedName>
    <definedName name="LEVEL_3_NGL4_EQUIP_PG_2">'[10]ITB COST'!$AH$222:$AR$262</definedName>
    <definedName name="LEVEL_3_NGL4_EQUIP_PG_3">'[10]ITB COST'!$AH$266:$AR$306</definedName>
    <definedName name="LEVEL_3_NGL4_EQUIP_PG_4">'[10]ITB COST'!$AH$310:$AR$350</definedName>
    <definedName name="LEVEL_3_NGL4_EQUIP_PG_5">'[10]ITB COST'!$AH$354:$AR$394</definedName>
    <definedName name="LEVEL_3_OFFSITES_EQUIP_PG_1">'[6]Summary Sheets'!$AH$572:$AR$606</definedName>
    <definedName name="LEVEL_3_OFFSITES_EQUIP_PG_2">'[6]Summary Sheets'!$AH$610:$AR$644</definedName>
    <definedName name="LEVEL_3_OFFSITES_EQUIP_PG_3">'[6]Summary Sheets'!$AH$648:$AR$682</definedName>
    <definedName name="LEVEL_3_PIPELINE_EQUIP_PG_1">'[10]ITB COST'!$AH$574:$AR$614</definedName>
    <definedName name="LEVEL_3_POLYETHYLENE_EQUIP_PG_1">'[6]Summary Sheets'!$AH$192:$AR$226</definedName>
    <definedName name="LEVEL_3_POLYETHYLENE_EQUIP_PG_2">'[6]Summary Sheets'!$AH$230:$AR$264</definedName>
    <definedName name="LEVEL_3_POLYETHYLENE_EQUIP_PG_3">'[6]Summary Sheets'!$AH$268:$AR$302</definedName>
    <definedName name="LEVEL_3_TANK_EQUIP_PG_1">'[10]ITB COST'!$AH$706:$AR$746</definedName>
    <definedName name="Macro10">#REF!</definedName>
    <definedName name="Macro11">#REF!</definedName>
    <definedName name="Macro12">#REF!</definedName>
    <definedName name="Macro13">#REF!</definedName>
    <definedName name="Macro14">#REF!</definedName>
    <definedName name="Macro15">#REF!</definedName>
    <definedName name="Macro16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IN">[11]!MAIN</definedName>
    <definedName name="mmmm">#REF!</definedName>
    <definedName name="MODEL명">#N/A</definedName>
    <definedName name="_xlnm.Print_Area">#REF!</definedName>
    <definedName name="PRINT_AREA_MI">#REF!</definedName>
    <definedName name="_xlnm.Print_Titles">#REF!</definedName>
    <definedName name="Project_Start">#REF!</definedName>
    <definedName name="PROJECT_TOTAL">'[6]Summary Sheets'!$A$2:$K$36</definedName>
    <definedName name="_xlnm.Recorder">#REF!</definedName>
    <definedName name="rrrrr">#REF!</definedName>
    <definedName name="SEC" localSheetId="7">BlankMacro1</definedName>
    <definedName name="SEC">BlankMacro1</definedName>
    <definedName name="SMLTOOLS">#REF!</definedName>
    <definedName name="sss">#REF!</definedName>
    <definedName name="t">[12]별제권_정리담보권1!$O$6:$O$213</definedName>
    <definedName name="TIT">#REF!</definedName>
    <definedName name="wrn.97년._.사업계획._.및._.예산지침." hidden="1">{#N/A,#N/A,TRUE,"1";#N/A,#N/A,TRUE,"2";#N/A,#N/A,TRUE,"3";#N/A,#N/A,TRUE,"4";#N/A,#N/A,TRUE,"5";#N/A,#N/A,TRUE,"6";#N/A,#N/A,TRUE,"7"}</definedName>
    <definedName name="wrn.구조2." hidden="1">{#N/A,#N/A,FALSE,"구조2"}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속도." hidden="1">{#N/A,#N/A,FALSE,"속도"}</definedName>
    <definedName name="wrn.씨엠정1.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산.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이정표." hidden="1">{#N/A,#N/A,FALSE,"이정표"}</definedName>
    <definedName name="wrn.토공1." hidden="1">{#N/A,#N/A,FALSE,"구조1"}</definedName>
    <definedName name="wrn.토공2." hidden="1">{#N/A,#N/A,FALSE,"토공2"}</definedName>
    <definedName name="wrn.통신지." hidden="1">{#N/A,#N/A,FALSE,"기안지";#N/A,#N/A,FALSE,"통신지"}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현장._.NCR._.분석." hidden="1">{#N/A,#N/A,FALSE,"현장 NCR 분석";#N/A,#N/A,FALSE,"현장품질감사";#N/A,#N/A,FALSE,"현장품질감사"}</definedName>
    <definedName name="WWW" localSheetId="7">[13]!MAIN</definedName>
    <definedName name="WWW">[13]!MAIN</definedName>
    <definedName name="Z">#REF!</definedName>
    <definedName name="가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가나">#REF!</definedName>
    <definedName name="가나다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강HOB">[14]열생산!$G$127</definedName>
    <definedName name="강공세">[14]열공급!$E$70</definedName>
    <definedName name="강디비">[14]비용분석!$C$50</definedName>
    <definedName name="강디사">[14]전력용수연료!$D$106</definedName>
    <definedName name="강엘비">[14]비용분석!$C$51</definedName>
    <definedName name="강엘사">[14]전력용수연료!$D$109</definedName>
    <definedName name="강연비">[14]비용분석!$C$49</definedName>
    <definedName name="강연수">[14]열공급!$G$70</definedName>
    <definedName name="강열공">#REF!</definedName>
    <definedName name="강열생">[14]열생산!$J$127</definedName>
    <definedName name="강열손">[14]열공급!$J$34</definedName>
    <definedName name="강외온">[14]열공급!$D$70</definedName>
    <definedName name="강용비">[14]비용분석!$C$53</definedName>
    <definedName name="강용사">[14]전력용수연료!$D$35</definedName>
    <definedName name="강자공">#REF!</definedName>
    <definedName name="강재비">[14]비용분석!$C$54</definedName>
    <definedName name="강전비">[14]비용분석!$C$52</definedName>
    <definedName name="강전사">[14]전력용수연료!$D$20</definedName>
    <definedName name="결_재">#REF!</definedName>
    <definedName name="결손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손등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계" hidden="1">{#N/A,#N/A,FALSE,"부대2"}</definedName>
    <definedName name="고CHP">[14]열생산!$F$145</definedName>
    <definedName name="고HOB">[14]열생산!$G$145</definedName>
    <definedName name="고공세">[14]열공급!$E$85</definedName>
    <definedName name="고디비">[14]비용분석!$F$50</definedName>
    <definedName name="고디사">[14]전력용수연료!$G$106</definedName>
    <definedName name="고보">[14]열생산!$E$145</definedName>
    <definedName name="고수비">[14]비용분석!$F$44</definedName>
    <definedName name="고엘비">[14]비용분석!$F$51</definedName>
    <definedName name="고엘사">[14]전력용수연료!$G$109</definedName>
    <definedName name="고엠1">[14]열생산!$C$145</definedName>
    <definedName name="고엠4">[14]열생산!$D$145</definedName>
    <definedName name="고연비">[14]비용분석!$F$49</definedName>
    <definedName name="고열공">#REF!</definedName>
    <definedName name="고열생">[14]열생산!$J$145</definedName>
    <definedName name="고열손">[14]열공급!$J$37</definedName>
    <definedName name="고외온">[14]열공급!$D$85</definedName>
    <definedName name="고용비">[14]비용분석!$F$53</definedName>
    <definedName name="고용사">[14]전력용수연료!$D$38</definedName>
    <definedName name="고자공">#REF!</definedName>
    <definedName name="고재비">[14]비용분석!$F$54</definedName>
    <definedName name="고전비">[14]비용분석!$F$52</definedName>
    <definedName name="고전사">[14]전력용수연료!$D$23</definedName>
    <definedName name="공사명">#REF!</definedName>
    <definedName name="공일">#REF!</definedName>
    <definedName name="공정" localSheetId="7">BlankMacro1</definedName>
    <definedName name="공정">BlankMacro1</definedName>
    <definedName name="과__장">#REF!</definedName>
    <definedName name="구분">#N/A</definedName>
    <definedName name="구조" hidden="1">{#N/A,#N/A,FALSE,"구조2"}</definedName>
    <definedName name="급탕매수">#N/A</definedName>
    <definedName name="급탕용량">#N/A</definedName>
    <definedName name="기계내역서">#REF!</definedName>
    <definedName name="기계실번호">#N/A</definedName>
    <definedName name="기설">#REF!</definedName>
    <definedName name="ㄴㄴㄴ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나">#REF!</definedName>
    <definedName name="나나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난방매수">#N/A</definedName>
    <definedName name="난방용량">#N/A</definedName>
    <definedName name="내선전공">#REF!</definedName>
    <definedName name="내용연수">#REF!</definedName>
    <definedName name="내용연수2">#REF!</definedName>
    <definedName name="노ㅗ" localSheetId="7">BlankMacro1</definedName>
    <definedName name="노ㅗ">BlankMacro1</definedName>
    <definedName name="ㄷㄱㄷ" hidden="1">{#N/A,#N/A,TRUE,"1";#N/A,#N/A,TRUE,"2";#N/A,#N/A,TRUE,"3";#N/A,#N/A,TRUE,"4";#N/A,#N/A,TRUE,"5";#N/A,#N/A,TRUE,"6";#N/A,#N/A,TRUE,"7"}</definedName>
    <definedName name="닥트">#REF!</definedName>
    <definedName name="단가">#N/A</definedName>
    <definedName name="담__당">#REF!</definedName>
    <definedName name="담보">[3]별제권_정리담보권!$F$5:$V$214</definedName>
    <definedName name="대디비">#REF!</definedName>
    <definedName name="대디사">[15]중앙!$I$102</definedName>
    <definedName name="대상" hidden="1">{#N/A,#N/A,FALSE,"구조2"}</definedName>
    <definedName name="대용비">#REF!</definedName>
    <definedName name="대용사">[15]중앙!$D$39</definedName>
    <definedName name="대자공">#REF!</definedName>
    <definedName name="대전비">#REF!</definedName>
    <definedName name="대전사">[15]중앙!$D$26</definedName>
    <definedName name="도급1" hidden="1">{#N/A,#N/A,TRUE,"1";#N/A,#N/A,TRUE,"2";#N/A,#N/A,TRUE,"3";#N/A,#N/A,TRUE,"4";#N/A,#N/A,TRUE,"5";#N/A,#N/A,TRUE,"6";#N/A,#N/A,TRUE,"7"}</definedName>
    <definedName name="도급갑지" hidden="1">{#N/A,#N/A,FALSE,"부대1"}</definedName>
    <definedName name="도로" hidden="1">{#N/A,#N/A,FALSE,"현장 NCR 분석";#N/A,#N/A,FALSE,"현장품질감사";#N/A,#N/A,FALSE,"현장품질감사"}</definedName>
    <definedName name="도장">#REF!</definedName>
    <definedName name="동서별2">[12]별제권_정리담보권1!$T$6:$T$213</definedName>
    <definedName name="ㄹㄹㄹ">#REF!</definedName>
    <definedName name="ㄹㄹㅇㅇㄴㄹ" hidden="1">{#N/A,#N/A,FALSE,"부대2"}</definedName>
    <definedName name="ㅀㅎ" hidden="1">{#N/A,#N/A,FALSE,"표지"}</definedName>
    <definedName name="ㅁ100">#REF!</definedName>
    <definedName name="ㅁ1353">#REF!</definedName>
    <definedName name="ㅁ1362">[16]건축기성!#REF!</definedName>
    <definedName name="ㅁ190">#REF!</definedName>
    <definedName name="ㅁ191">#REF!</definedName>
    <definedName name="ㅁ2705">'[17]외 주 비'!#REF!</definedName>
    <definedName name="ㅁ3110">[16]건축기성!#REF!</definedName>
    <definedName name="ㅁ734">#REF!</definedName>
    <definedName name="ㅁㅁ">#REF!</definedName>
    <definedName name="ㅁㅁㅁㅁㅁ">#REF!</definedName>
    <definedName name="ㅁㅁㅁㅁㅁㅁ">#REF!</definedName>
    <definedName name="만기보장수익율">#REF!</definedName>
    <definedName name="모1">#REF!</definedName>
    <definedName name="목공">#REF!</definedName>
    <definedName name="목차">#N/A</definedName>
    <definedName name="ㅂㅂㅂㅂㅂㅂㅂㅂㅂㅂㅂㅂ">#REF!</definedName>
    <definedName name="방" hidden="1">{#N/A,#N/A,TRUE,"1";#N/A,#N/A,TRUE,"2";#N/A,#N/A,TRUE,"3";#N/A,#N/A,TRUE,"4";#N/A,#N/A,TRUE,"5";#N/A,#N/A,TRUE,"6";#N/A,#N/A,TRUE,"7"}</definedName>
    <definedName name="방발리" hidden="1">{#N/A,#N/A,TRUE,"1";#N/A,#N/A,TRUE,"2";#N/A,#N/A,TRUE,"3";#N/A,#N/A,TRUE,"4";#N/A,#N/A,TRUE,"5";#N/A,#N/A,TRUE,"6";#N/A,#N/A,TRUE,"7"}</definedName>
    <definedName name="배관">#REF!</definedName>
    <definedName name="배관1" hidden="1">{#N/A,#N/A,TRUE,"1";#N/A,#N/A,TRUE,"2";#N/A,#N/A,TRUE,"3";#N/A,#N/A,TRUE,"4";#N/A,#N/A,TRUE,"5";#N/A,#N/A,TRUE,"6";#N/A,#N/A,TRUE,"7"}</definedName>
    <definedName name="배수1" hidden="1">{#N/A,#N/A,FALSE,"배수2"}</definedName>
    <definedName name="배수2" hidden="1">{#N/A,#N/A,FALSE,"배수1"}</definedName>
    <definedName name="범위">#REF!</definedName>
    <definedName name="범위1">#REF!</definedName>
    <definedName name="법인세율">#REF!</definedName>
    <definedName name="보고_BS">#REF!</definedName>
    <definedName name="보고_EVA1">#REF!</definedName>
    <definedName name="보고_EVA2">#REF!</definedName>
    <definedName name="보고_PL">#REF!</definedName>
    <definedName name="보온">#REF!</definedName>
    <definedName name="보인">#REF!</definedName>
    <definedName name="보일">#REF!</definedName>
    <definedName name="보증기관">#REF!</definedName>
    <definedName name="복사" hidden="1">{#N/A,#N/A,TRUE,"1";#N/A,#N/A,TRUE,"2";#N/A,#N/A,TRUE,"3";#N/A,#N/A,TRUE,"4";#N/A,#N/A,TRUE,"5";#N/A,#N/A,TRUE,"6";#N/A,#N/A,TRUE,"7"}</definedName>
    <definedName name="부CHP">[14]열생산!$F$151</definedName>
    <definedName name="부HOB">[14]열생산!$G$151</definedName>
    <definedName name="부공세">[14]열공급!$E$90</definedName>
    <definedName name="부대2" hidden="1">{#N/A,#N/A,FALSE,"부대1"}</definedName>
    <definedName name="부대공" hidden="1">{#N/A,#N/A,FALSE,"부대1"}</definedName>
    <definedName name="부디비">[14]비용분석!$G$50</definedName>
    <definedName name="부디사">[14]전력용수연료!$H$106</definedName>
    <definedName name="부보">[14]열생산!$E$151</definedName>
    <definedName name="부손익" hidden="1">{#N/A,#N/A,FALSE,"현장 NCR 분석";#N/A,#N/A,FALSE,"현장품질감사";#N/A,#N/A,FALSE,"현장품질감사"}</definedName>
    <definedName name="부수비">[14]비용분석!$G$44</definedName>
    <definedName name="부엘비">[14]비용분석!$G$51</definedName>
    <definedName name="부엘사">[14]전력용수연료!$H$109</definedName>
    <definedName name="부엠1">[14]열생산!$C$151</definedName>
    <definedName name="부엠4">[14]열생산!$D$151</definedName>
    <definedName name="부연비">[14]비용분석!$G$49</definedName>
    <definedName name="부열공">#REF!</definedName>
    <definedName name="부열생">[14]열생산!$J$151</definedName>
    <definedName name="부열손">[14]열공급!$J$38</definedName>
    <definedName name="부외온">[14]열공급!$D$90</definedName>
    <definedName name="부용비">[14]비용분석!$G$53</definedName>
    <definedName name="부용사">[14]전력용수연료!$D$39</definedName>
    <definedName name="부자공">#REF!</definedName>
    <definedName name="부재비">[14]비용분석!$G$54</definedName>
    <definedName name="부전비">[14]비용분석!$G$52</definedName>
    <definedName name="부전사">[14]전력용수연료!$D$24</definedName>
    <definedName name="분CHP">[14]열생산!$F$133</definedName>
    <definedName name="분HOB">[14]열생산!$G$133</definedName>
    <definedName name="분공세">[14]열공급!$E$75</definedName>
    <definedName name="분디비">[14]비용분석!$D$50</definedName>
    <definedName name="분디사">[14]전력용수연료!$E$106</definedName>
    <definedName name="분류">#N/A</definedName>
    <definedName name="분보">[14]열생산!$E$133</definedName>
    <definedName name="분수비">[14]비용분석!$D$44</definedName>
    <definedName name="분엘비">[14]비용분석!$D$51</definedName>
    <definedName name="분엘사">[14]전력용수연료!$E$109</definedName>
    <definedName name="분엠1">[14]열생산!$C$133</definedName>
    <definedName name="분엠4">[14]열생산!$D$133</definedName>
    <definedName name="분연공">[14]열공급!$G$75</definedName>
    <definedName name="분연비">[14]비용분석!$D$49</definedName>
    <definedName name="분열공">#REF!</definedName>
    <definedName name="분열생">[14]열생산!$J$133</definedName>
    <definedName name="분열손">[14]열공급!$J$35</definedName>
    <definedName name="분외온">[14]열공급!$D$75</definedName>
    <definedName name="분용비">[14]비용분석!$D$53</definedName>
    <definedName name="분용사">[14]전력용수연료!$D$36</definedName>
    <definedName name="분자공">#REF!</definedName>
    <definedName name="분재비">[14]비용분석!$D$54</definedName>
    <definedName name="분전비">[14]비용분석!$D$52</definedName>
    <definedName name="분전사">[14]전력용수연료!$D$21</definedName>
    <definedName name="비계">#REF!</definedName>
    <definedName name="비고">#N/A</definedName>
    <definedName name="비목1">#REF!</definedName>
    <definedName name="비목2">#REF!</definedName>
    <definedName name="비목3">#REF!</definedName>
    <definedName name="비목4">#REF!</definedName>
    <definedName name="ㅅㅅ" hidden="1">{#N/A,#N/A,FALSE,"배수1"}</definedName>
    <definedName name="ㅅㅅㅅㅅ">#REF!</definedName>
    <definedName name="소방" localSheetId="7">BlankMacro1</definedName>
    <definedName name="소방">BlankMacro1</definedName>
    <definedName name="속도" hidden="1">{#N/A,#N/A,FALSE,"속도"}</definedName>
    <definedName name="속도2" hidden="1">{#N/A,#N/A,FALSE,"속도"}</definedName>
    <definedName name="속도23" hidden="1">{#N/A,#N/A,FALSE,"속도"}</definedName>
    <definedName name="속도감" hidden="1">{#N/A,#N/A,FALSE,"속도"}</definedName>
    <definedName name="수용가명">#N/A</definedName>
    <definedName name="스크롤증가값">#REF!</definedName>
    <definedName name="시공">#N/A</definedName>
    <definedName name="실공정" localSheetId="7">BlankMacro1</definedName>
    <definedName name="실공정">BlankMacro1</definedName>
    <definedName name="실내엔탈피">#REF!</definedName>
    <definedName name="실내온도">#REF!</definedName>
    <definedName name="실행내역" localSheetId="7">BlankMacro1</definedName>
    <definedName name="실행내역">BlankMacro1</definedName>
    <definedName name="씨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ㅇㅇ">#REF!</definedName>
    <definedName name="ㅇㅇㄴ" hidden="1">{#N/A,#N/A,FALSE,"구조2"}</definedName>
    <definedName name="ㅇㅇㅇ">#REF!</definedName>
    <definedName name="ㅇㅇㅇㅇㅇㅇ" hidden="1">{#N/A,#N/A,FALSE,"이정표"}</definedName>
    <definedName name="안CHP">[14]열생산!$F$139</definedName>
    <definedName name="안HOB">[14]열생산!$G$139</definedName>
    <definedName name="안공세">[14]열공급!$E$80</definedName>
    <definedName name="안디사">[14]전력용수연료!$F$106</definedName>
    <definedName name="안보">[14]열생산!$E$139</definedName>
    <definedName name="안소">[14]열생산!$H$139</definedName>
    <definedName name="안수비">[14]비용분석!$E$44</definedName>
    <definedName name="안엘사">[14]전력용수연료!$F$109</definedName>
    <definedName name="안엠1">[14]열생산!$C$139</definedName>
    <definedName name="안엠4">[14]열생산!$D$139</definedName>
    <definedName name="안연비">[14]비용분석!$E$49</definedName>
    <definedName name="안열공">#REF!</definedName>
    <definedName name="안열생">[14]열생산!$J$139</definedName>
    <definedName name="안열손">[14]열공급!$J$36</definedName>
    <definedName name="안외온">[14]열공급!$D$80</definedName>
    <definedName name="안용비">[14]비용분석!$E$53</definedName>
    <definedName name="안용사">[14]전력용수연료!$D$37</definedName>
    <definedName name="안자공">#REF!</definedName>
    <definedName name="안재비">[14]비용분석!$E$54</definedName>
    <definedName name="안전비">[14]비용분석!$E$52</definedName>
    <definedName name="안전사">[14]전력용수연료!$D$22</definedName>
    <definedName name="열전달율">#REF!</definedName>
    <definedName name="영업외비용">#REF!</definedName>
    <definedName name="영업외수익">#REF!</definedName>
    <definedName name="외기중량">#REF!</definedName>
    <definedName name="외피면적">#REF!</definedName>
    <definedName name="용접">#REF!</definedName>
    <definedName name="원_가_계_산_서">#REF!</definedName>
    <definedName name="위생">#REF!</definedName>
    <definedName name="이정표" hidden="1">{#N/A,#N/A,FALSE,"이정표"}</definedName>
    <definedName name="입출고">#N/A</definedName>
    <definedName name="장부가액">#REF!</definedName>
    <definedName name="장부가액합계">#REF!</definedName>
    <definedName name="재료표">#REF!</definedName>
    <definedName name="전CHP">[14]열생산!$F$157</definedName>
    <definedName name="전공세">[14]열공급!$E$95</definedName>
    <definedName name="전열공">#REF!</definedName>
    <definedName name="전열생">[14]열생산!$J$157</definedName>
    <definedName name="전외온">[14]열공급!$D$95</definedName>
    <definedName name="전용비">#REF!</definedName>
    <definedName name="전용사">[15]중앙!$D$40</definedName>
    <definedName name="전자공">#REF!</definedName>
    <definedName name="전재비">[14]비용분석!$H$54</definedName>
    <definedName name="전전비">#REF!</definedName>
    <definedName name="전전사">[15]중앙!$D$27</definedName>
    <definedName name="전최부">#REF!</definedName>
    <definedName name="정산" hidden="1">{#N/A,#N/A,FALSE,"표지"}</definedName>
    <definedName name="제작사">#N/A</definedName>
    <definedName name="종류">#N/A</definedName>
    <definedName name="주부신수익권증서_400">#REF!</definedName>
    <definedName name="주주" hidden="1">{#N/A,#N/A,FALSE,"배수1"}</definedName>
    <definedName name="주ㅜ" hidden="1">{#N/A,#N/A,FALSE,"배수2"}</definedName>
    <definedName name="중CHP">[14]열생산!$F$121</definedName>
    <definedName name="중경">#REF!</definedName>
    <definedName name="중공세">[14]열공급!$E$65</definedName>
    <definedName name="중기">#REF!</definedName>
    <definedName name="중보">[14]열생산!$E$121</definedName>
    <definedName name="중수비">[14]비용분석!$B$44</definedName>
    <definedName name="중엠1">[14]열생산!$C$121</definedName>
    <definedName name="중엠4">[14]열생산!$D$121</definedName>
    <definedName name="중연공">[14]열공급!$G$65</definedName>
    <definedName name="중열공">#REF!</definedName>
    <definedName name="중열생">[14]열생산!$J$121</definedName>
    <definedName name="중열손">[14]열공급!$J$33</definedName>
    <definedName name="중외온">[14]열공급!$D$65</definedName>
    <definedName name="중용비">[14]비용분석!$B$53</definedName>
    <definedName name="중용사">[14]전력용수연료!$D$34</definedName>
    <definedName name="중자공">#REF!</definedName>
    <definedName name="중재">#REF!</definedName>
    <definedName name="중재비">[14]비용분석!$B$54</definedName>
    <definedName name="중전비">[14]비용분석!$B$52</definedName>
    <definedName name="중전사">[14]전력용수연료!$D$19</definedName>
    <definedName name="지역">#N/A</definedName>
    <definedName name="집계표">#REF!</definedName>
    <definedName name="ㅊㅊㅊㅊ" hidden="1">{#N/A,#N/A,FALSE,"속도"}</definedName>
    <definedName name="철공">#REF!</definedName>
    <definedName name="총" hidden="1">{#N/A,#N/A,FALSE,"표지"}</definedName>
    <definedName name="총괄1" hidden="1">{#N/A,#N/A,TRUE,"1";#N/A,#N/A,TRUE,"2";#N/A,#N/A,TRUE,"3";#N/A,#N/A,TRUE,"4";#N/A,#N/A,TRUE,"5";#N/A,#N/A,TRUE,"6";#N/A,#N/A,TRUE,"7"}</definedName>
    <definedName name="총괄표" hidden="1">#REF!</definedName>
    <definedName name="테스트">#REF!</definedName>
    <definedName name="테스트1">#REF!</definedName>
    <definedName name="템플리트모듈1" localSheetId="7">BlankMacro1</definedName>
    <definedName name="템플리트모듈1">BlankMacro1</definedName>
    <definedName name="템플리트모듈2" localSheetId="7">BlankMacro1</definedName>
    <definedName name="템플리트모듈2">BlankMacro1</definedName>
    <definedName name="템플리트모듈3" localSheetId="7">BlankMacro1</definedName>
    <definedName name="템플리트모듈3">BlankMacro1</definedName>
    <definedName name="템플리트모듈4" localSheetId="7">BlankMacro1</definedName>
    <definedName name="템플리트모듈4">BlankMacro1</definedName>
    <definedName name="템플리트모듈5" localSheetId="7">BlankMacro1</definedName>
    <definedName name="템플리트모듈5">BlankMacro1</definedName>
    <definedName name="템플리트모듈6" localSheetId="7">BlankMacro1</definedName>
    <definedName name="템플리트모듈6">BlankMacro1</definedName>
    <definedName name="토공" hidden="1">{#N/A,#N/A,FALSE,"토공2"}</definedName>
    <definedName name="특인">#REF!</definedName>
    <definedName name="팀__장">#REF!</definedName>
    <definedName name="ㅍㅍㅍ" hidden="1">{#N/A,#N/A,FALSE,"배수1"}</definedName>
    <definedName name="판관비">#REF!</definedName>
    <definedName name="포장공" hidden="1">{#N/A,#N/A,FALSE,"포장1";#N/A,#N/A,FALSE,"포장1"}</definedName>
    <definedName name="포장포장" hidden="1">{#N/A,#N/A,FALSE,"포장1";#N/A,#N/A,FALSE,"포장1"}</definedName>
    <definedName name="표지" localSheetId="7">BlankMacro1</definedName>
    <definedName name="표지">BlankMacro1</definedName>
    <definedName name="표지2" localSheetId="7">BlankMacro1</definedName>
    <definedName name="표지2">BlankMacro1</definedName>
    <definedName name="표지지" hidden="1">{#N/A,#N/A,FALSE,"표지"}</definedName>
    <definedName name="플기">#REF!</definedName>
    <definedName name="플배">#REF!</definedName>
    <definedName name="플용">#REF!</definedName>
    <definedName name="ㅎㅎ" hidden="1">{#N/A,#N/A,TRUE,"1";#N/A,#N/A,TRUE,"2";#N/A,#N/A,TRUE,"3";#N/A,#N/A,TRUE,"4";#N/A,#N/A,TRUE,"5";#N/A,#N/A,TRUE,"6";#N/A,#N/A,TRUE,"7"}</definedName>
    <definedName name="ㅎㅎㅎㅎㅎ" hidden="1">{#N/A,#N/A,FALSE,"표지"}</definedName>
    <definedName name="함석">#REF!</definedName>
    <definedName name="현금정산료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정산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현금표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환경관리비" hidden="1">{#N/A,#N/A,FALSE,"현장 NCR 분석";#N/A,#N/A,FALSE,"현장품질감사";#N/A,#N/A,FALSE,"현장품질감사"}</definedName>
    <definedName name="ㅏ파호하ㅗ하">#REF!</definedName>
    <definedName name="ㅐㅗㅅ">#REF!</definedName>
    <definedName name="ㅓㅓㅓ">#REF!</definedName>
    <definedName name="ㅔ6">#REF!</definedName>
    <definedName name="ㅗㅗㅗ" hidden="1">{#N/A,#N/A,FALSE,"부대1"}</definedName>
    <definedName name="ㅣ34">#REF!</definedName>
    <definedName name="ㅣㅣㅣ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7" i="1" l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6" i="1"/>
  <c r="AM100" i="2"/>
  <c r="I64" i="11"/>
  <c r="J64" i="11"/>
  <c r="K64" i="11"/>
  <c r="S64" i="11"/>
  <c r="T64" i="11"/>
  <c r="U64" i="11"/>
  <c r="AC64" i="11"/>
  <c r="AD64" i="11"/>
  <c r="AE64" i="11"/>
  <c r="AM64" i="11"/>
  <c r="AN64" i="11"/>
  <c r="AO64" i="11"/>
  <c r="AW64" i="11"/>
  <c r="AX64" i="11"/>
  <c r="AY64" i="11"/>
  <c r="BG64" i="11"/>
  <c r="BH64" i="11"/>
  <c r="BI64" i="11"/>
  <c r="BQ64" i="11"/>
  <c r="BR64" i="11"/>
  <c r="BS64" i="11"/>
  <c r="CA64" i="11"/>
  <c r="CB64" i="11"/>
  <c r="CC64" i="11"/>
  <c r="CK64" i="11"/>
  <c r="CL64" i="11"/>
  <c r="CM64" i="11"/>
  <c r="CU64" i="11"/>
  <c r="CV64" i="11"/>
  <c r="CW64" i="11"/>
  <c r="DE64" i="11"/>
  <c r="DF64" i="11"/>
  <c r="DG64" i="11"/>
  <c r="DO64" i="11"/>
  <c r="DP64" i="11"/>
  <c r="DQ64" i="11"/>
  <c r="DY64" i="11"/>
  <c r="DZ64" i="11"/>
  <c r="EA64" i="11"/>
  <c r="EI64" i="11"/>
  <c r="EJ64" i="11"/>
  <c r="EK64" i="11"/>
  <c r="ES64" i="11"/>
  <c r="ET64" i="11"/>
  <c r="EU64" i="11"/>
  <c r="FB64" i="11"/>
  <c r="FC64" i="11" s="1"/>
  <c r="FE64" i="11"/>
  <c r="FM64" i="11"/>
  <c r="FN64" i="11"/>
  <c r="FO64" i="11"/>
  <c r="FW64" i="11"/>
  <c r="FX64" i="11"/>
  <c r="FY64" i="11"/>
  <c r="GG64" i="11"/>
  <c r="GH64" i="11"/>
  <c r="GI64" i="11"/>
  <c r="GQ64" i="11"/>
  <c r="GR64" i="11"/>
  <c r="GS64" i="11"/>
  <c r="HA64" i="11"/>
  <c r="HB64" i="11"/>
  <c r="HC64" i="11"/>
  <c r="HK64" i="11"/>
  <c r="HL64" i="11"/>
  <c r="HM64" i="11"/>
  <c r="I65" i="11"/>
  <c r="J65" i="11"/>
  <c r="K65" i="11"/>
  <c r="S65" i="11"/>
  <c r="T65" i="11"/>
  <c r="U65" i="11"/>
  <c r="AC65" i="11"/>
  <c r="AD65" i="11"/>
  <c r="AE65" i="11"/>
  <c r="AM65" i="11"/>
  <c r="AN65" i="11"/>
  <c r="AO65" i="11"/>
  <c r="AW65" i="11"/>
  <c r="AX65" i="11"/>
  <c r="AY65" i="11"/>
  <c r="BG65" i="11"/>
  <c r="BH65" i="11"/>
  <c r="BI65" i="11"/>
  <c r="BQ65" i="11"/>
  <c r="BR65" i="11"/>
  <c r="BS65" i="11"/>
  <c r="CA65" i="11"/>
  <c r="CB65" i="11"/>
  <c r="CC65" i="11"/>
  <c r="CK65" i="11"/>
  <c r="CL65" i="11"/>
  <c r="CM65" i="11"/>
  <c r="CU65" i="11"/>
  <c r="CV65" i="11"/>
  <c r="CW65" i="11"/>
  <c r="DE65" i="11"/>
  <c r="DF65" i="11"/>
  <c r="DG65" i="11"/>
  <c r="DO65" i="11"/>
  <c r="DP65" i="11"/>
  <c r="DQ65" i="11"/>
  <c r="DY65" i="11"/>
  <c r="DZ65" i="11"/>
  <c r="EA65" i="11"/>
  <c r="EI65" i="11"/>
  <c r="EJ65" i="11"/>
  <c r="EK65" i="11"/>
  <c r="ES65" i="11"/>
  <c r="ET65" i="11"/>
  <c r="EU65" i="11"/>
  <c r="FC65" i="11"/>
  <c r="FD65" i="11"/>
  <c r="FE65" i="11"/>
  <c r="FM65" i="11"/>
  <c r="FN65" i="11"/>
  <c r="FO65" i="11"/>
  <c r="FW65" i="11"/>
  <c r="FX65" i="11"/>
  <c r="FY65" i="11"/>
  <c r="GG65" i="11"/>
  <c r="GH65" i="11"/>
  <c r="GI65" i="11"/>
  <c r="GQ65" i="11"/>
  <c r="GR65" i="11"/>
  <c r="GS65" i="11"/>
  <c r="HA65" i="11"/>
  <c r="HB65" i="11"/>
  <c r="HC65" i="11"/>
  <c r="HK65" i="11"/>
  <c r="HL65" i="11"/>
  <c r="HM65" i="11"/>
  <c r="I66" i="11"/>
  <c r="J66" i="11"/>
  <c r="K66" i="11"/>
  <c r="S66" i="11"/>
  <c r="T66" i="11"/>
  <c r="U66" i="11"/>
  <c r="AC66" i="11"/>
  <c r="AD66" i="11"/>
  <c r="AE66" i="11"/>
  <c r="AM66" i="11"/>
  <c r="AN66" i="11"/>
  <c r="AO66" i="11"/>
  <c r="AW66" i="11"/>
  <c r="AX66" i="11"/>
  <c r="AY66" i="11"/>
  <c r="BG66" i="11"/>
  <c r="BH66" i="11"/>
  <c r="BI66" i="11"/>
  <c r="BQ66" i="11"/>
  <c r="BR66" i="11"/>
  <c r="BS66" i="11"/>
  <c r="CA66" i="11"/>
  <c r="CB66" i="11"/>
  <c r="CC66" i="11"/>
  <c r="CK66" i="11"/>
  <c r="CL66" i="11"/>
  <c r="CM66" i="11"/>
  <c r="CU66" i="11"/>
  <c r="CV66" i="11"/>
  <c r="CW66" i="11"/>
  <c r="DE66" i="11"/>
  <c r="DF66" i="11"/>
  <c r="DG66" i="11"/>
  <c r="DO66" i="11"/>
  <c r="DP66" i="11"/>
  <c r="DQ66" i="11"/>
  <c r="DY66" i="11"/>
  <c r="DZ66" i="11"/>
  <c r="EA66" i="11"/>
  <c r="EI66" i="11"/>
  <c r="EJ66" i="11"/>
  <c r="EK66" i="11"/>
  <c r="ES66" i="11"/>
  <c r="ET66" i="11"/>
  <c r="EU66" i="11"/>
  <c r="FC66" i="11"/>
  <c r="FD66" i="11"/>
  <c r="FE66" i="11"/>
  <c r="FM66" i="11"/>
  <c r="FN66" i="11"/>
  <c r="FO66" i="11"/>
  <c r="FW66" i="11"/>
  <c r="FX66" i="11"/>
  <c r="FY66" i="11"/>
  <c r="GG66" i="11"/>
  <c r="GH66" i="11"/>
  <c r="GI66" i="11"/>
  <c r="GQ66" i="11"/>
  <c r="GR66" i="11"/>
  <c r="GS66" i="11"/>
  <c r="HA66" i="11"/>
  <c r="HB66" i="11"/>
  <c r="HC66" i="11"/>
  <c r="HK66" i="11"/>
  <c r="HL66" i="11"/>
  <c r="HM66" i="11"/>
  <c r="I67" i="11"/>
  <c r="J67" i="11"/>
  <c r="K67" i="11"/>
  <c r="S67" i="11"/>
  <c r="T67" i="11"/>
  <c r="U67" i="11"/>
  <c r="AC67" i="11"/>
  <c r="AD67" i="11"/>
  <c r="AE67" i="11"/>
  <c r="AM67" i="11"/>
  <c r="AN67" i="11"/>
  <c r="AO67" i="11"/>
  <c r="AW67" i="11"/>
  <c r="AX67" i="11"/>
  <c r="AY67" i="11"/>
  <c r="BG67" i="11"/>
  <c r="BH67" i="11"/>
  <c r="BI67" i="11"/>
  <c r="BQ67" i="11"/>
  <c r="BR67" i="11"/>
  <c r="BS67" i="11"/>
  <c r="CA67" i="11"/>
  <c r="CB67" i="11"/>
  <c r="CC67" i="11"/>
  <c r="CK67" i="11"/>
  <c r="CL67" i="11"/>
  <c r="CM67" i="11"/>
  <c r="CU67" i="11"/>
  <c r="CV67" i="11"/>
  <c r="CW67" i="11"/>
  <c r="DE67" i="11"/>
  <c r="DF67" i="11"/>
  <c r="DG67" i="11"/>
  <c r="DO67" i="11"/>
  <c r="DP67" i="11"/>
  <c r="DQ67" i="11"/>
  <c r="DY67" i="11"/>
  <c r="DZ67" i="11"/>
  <c r="EA67" i="11"/>
  <c r="EI67" i="11"/>
  <c r="EJ67" i="11"/>
  <c r="EK67" i="11"/>
  <c r="ES67" i="11"/>
  <c r="ET67" i="11"/>
  <c r="EU67" i="11"/>
  <c r="FB67" i="11"/>
  <c r="FC67" i="11"/>
  <c r="FD67" i="11"/>
  <c r="FE67" i="11"/>
  <c r="FM67" i="11"/>
  <c r="FN67" i="11"/>
  <c r="FO67" i="11"/>
  <c r="FW67" i="11"/>
  <c r="FX67" i="11"/>
  <c r="FY67" i="11"/>
  <c r="GG67" i="11"/>
  <c r="GH67" i="11"/>
  <c r="GI67" i="11"/>
  <c r="GQ67" i="11"/>
  <c r="GR67" i="11"/>
  <c r="GS67" i="11"/>
  <c r="HA67" i="11"/>
  <c r="HB67" i="11"/>
  <c r="HC67" i="11"/>
  <c r="HK67" i="11"/>
  <c r="HL67" i="11"/>
  <c r="HM67" i="11"/>
  <c r="I68" i="11"/>
  <c r="J68" i="11"/>
  <c r="K68" i="11"/>
  <c r="S68" i="11"/>
  <c r="T68" i="11"/>
  <c r="U68" i="11"/>
  <c r="AC68" i="11"/>
  <c r="AD68" i="11"/>
  <c r="AE68" i="11"/>
  <c r="AM68" i="11"/>
  <c r="AN68" i="11"/>
  <c r="AO68" i="11"/>
  <c r="AW68" i="11"/>
  <c r="AX68" i="11"/>
  <c r="AY68" i="11"/>
  <c r="BG68" i="11"/>
  <c r="BH68" i="11"/>
  <c r="BI68" i="11"/>
  <c r="BQ68" i="11"/>
  <c r="BR68" i="11"/>
  <c r="BS68" i="11"/>
  <c r="CA68" i="11"/>
  <c r="CB68" i="11"/>
  <c r="CC68" i="11"/>
  <c r="CK68" i="11"/>
  <c r="CL68" i="11"/>
  <c r="CM68" i="11"/>
  <c r="CU68" i="11"/>
  <c r="CV68" i="11"/>
  <c r="CW68" i="11"/>
  <c r="DE68" i="11"/>
  <c r="DF68" i="11"/>
  <c r="DG68" i="11"/>
  <c r="DO68" i="11"/>
  <c r="DP68" i="11"/>
  <c r="DQ68" i="11"/>
  <c r="DY68" i="11"/>
  <c r="DZ68" i="11"/>
  <c r="EA68" i="11"/>
  <c r="EI68" i="11"/>
  <c r="EJ68" i="11"/>
  <c r="EK68" i="11"/>
  <c r="ES68" i="11"/>
  <c r="ET68" i="11"/>
  <c r="EU68" i="11"/>
  <c r="FC68" i="11"/>
  <c r="FD68" i="11"/>
  <c r="FE68" i="11"/>
  <c r="FM68" i="11"/>
  <c r="FN68" i="11"/>
  <c r="FO68" i="11"/>
  <c r="FW68" i="11"/>
  <c r="FX68" i="11"/>
  <c r="FY68" i="11"/>
  <c r="GG68" i="11"/>
  <c r="GH68" i="11"/>
  <c r="GI68" i="11"/>
  <c r="GQ68" i="11"/>
  <c r="GR68" i="11"/>
  <c r="GS68" i="11"/>
  <c r="HA68" i="11"/>
  <c r="HB68" i="11"/>
  <c r="HC68" i="11"/>
  <c r="HK68" i="11"/>
  <c r="HL68" i="11"/>
  <c r="HM68" i="11"/>
  <c r="I69" i="11"/>
  <c r="J69" i="11"/>
  <c r="K69" i="11"/>
  <c r="S69" i="11"/>
  <c r="T69" i="11"/>
  <c r="U69" i="11"/>
  <c r="AC69" i="11"/>
  <c r="AD69" i="11"/>
  <c r="AE69" i="11"/>
  <c r="AM69" i="11"/>
  <c r="AN69" i="11"/>
  <c r="AO69" i="11"/>
  <c r="AW69" i="11"/>
  <c r="AX69" i="11"/>
  <c r="AY69" i="11"/>
  <c r="BG69" i="11"/>
  <c r="BH69" i="11"/>
  <c r="BI69" i="11"/>
  <c r="BQ69" i="11"/>
  <c r="BR69" i="11"/>
  <c r="BS69" i="11"/>
  <c r="CA69" i="11"/>
  <c r="CB69" i="11"/>
  <c r="CC69" i="11"/>
  <c r="CK69" i="11"/>
  <c r="CL69" i="11"/>
  <c r="CM69" i="11"/>
  <c r="CU69" i="11"/>
  <c r="CV69" i="11"/>
  <c r="CW69" i="11"/>
  <c r="DE69" i="11"/>
  <c r="DF69" i="11"/>
  <c r="DG69" i="11"/>
  <c r="DO69" i="11"/>
  <c r="DP69" i="11"/>
  <c r="DQ69" i="11"/>
  <c r="DY69" i="11"/>
  <c r="DZ69" i="11"/>
  <c r="EA69" i="11"/>
  <c r="EH69" i="11"/>
  <c r="EI69" i="11"/>
  <c r="EJ69" i="11"/>
  <c r="EK69" i="11"/>
  <c r="ES69" i="11"/>
  <c r="ET69" i="11"/>
  <c r="EU69" i="11"/>
  <c r="FC69" i="11"/>
  <c r="FD69" i="11"/>
  <c r="FE69" i="11"/>
  <c r="FM69" i="11"/>
  <c r="FN69" i="11"/>
  <c r="FO69" i="11"/>
  <c r="FW69" i="11"/>
  <c r="FX69" i="11"/>
  <c r="FY69" i="11"/>
  <c r="GG69" i="11"/>
  <c r="GH69" i="11"/>
  <c r="GI69" i="11"/>
  <c r="GQ69" i="11"/>
  <c r="GR69" i="11"/>
  <c r="GS69" i="11"/>
  <c r="HA69" i="11"/>
  <c r="HB69" i="11"/>
  <c r="HC69" i="11"/>
  <c r="HK69" i="11"/>
  <c r="HL69" i="11"/>
  <c r="HM69" i="11"/>
  <c r="I70" i="11"/>
  <c r="J70" i="11"/>
  <c r="K70" i="11"/>
  <c r="S70" i="11"/>
  <c r="T70" i="11"/>
  <c r="U70" i="11"/>
  <c r="AC70" i="11"/>
  <c r="AD70" i="11"/>
  <c r="AE70" i="11"/>
  <c r="AM70" i="11"/>
  <c r="AN70" i="11"/>
  <c r="AO70" i="11"/>
  <c r="AW70" i="11"/>
  <c r="AX70" i="11"/>
  <c r="AY70" i="11"/>
  <c r="BG70" i="11"/>
  <c r="BH70" i="11"/>
  <c r="BI70" i="11"/>
  <c r="BQ70" i="11"/>
  <c r="BR70" i="11"/>
  <c r="BS70" i="11"/>
  <c r="CA70" i="11"/>
  <c r="CB70" i="11"/>
  <c r="CC70" i="11"/>
  <c r="CK70" i="11"/>
  <c r="CL70" i="11"/>
  <c r="CM70" i="11"/>
  <c r="CU70" i="11"/>
  <c r="CV70" i="11"/>
  <c r="CW70" i="11"/>
  <c r="DE70" i="11"/>
  <c r="DF70" i="11"/>
  <c r="DG70" i="11"/>
  <c r="DO70" i="11"/>
  <c r="DP70" i="11"/>
  <c r="DQ70" i="11"/>
  <c r="DY70" i="11"/>
  <c r="DZ70" i="11"/>
  <c r="EA70" i="11"/>
  <c r="EI70" i="11"/>
  <c r="EJ70" i="11"/>
  <c r="EK70" i="11"/>
  <c r="ES70" i="11"/>
  <c r="ET70" i="11"/>
  <c r="EU70" i="11"/>
  <c r="FC70" i="11"/>
  <c r="FD70" i="11"/>
  <c r="FE70" i="11"/>
  <c r="FM70" i="11"/>
  <c r="FN70" i="11"/>
  <c r="FO70" i="11"/>
  <c r="FW70" i="11"/>
  <c r="FX70" i="11"/>
  <c r="FY70" i="11"/>
  <c r="GG70" i="11"/>
  <c r="GH70" i="11"/>
  <c r="GI70" i="11"/>
  <c r="GQ70" i="11"/>
  <c r="GR70" i="11"/>
  <c r="GS70" i="11"/>
  <c r="HA70" i="11"/>
  <c r="HB70" i="11"/>
  <c r="HC70" i="11"/>
  <c r="HK70" i="11"/>
  <c r="HL70" i="11"/>
  <c r="HM70" i="11"/>
  <c r="I71" i="11"/>
  <c r="J71" i="11"/>
  <c r="K71" i="11"/>
  <c r="S71" i="11"/>
  <c r="T71" i="11"/>
  <c r="U71" i="11"/>
  <c r="AC71" i="11"/>
  <c r="AD71" i="11"/>
  <c r="AE71" i="11"/>
  <c r="AM71" i="11"/>
  <c r="AN71" i="11"/>
  <c r="AO71" i="11"/>
  <c r="AW71" i="11"/>
  <c r="AX71" i="11"/>
  <c r="AY71" i="11"/>
  <c r="BG71" i="11"/>
  <c r="BH71" i="11"/>
  <c r="BI71" i="11"/>
  <c r="BQ71" i="11"/>
  <c r="BR71" i="11"/>
  <c r="BS71" i="11"/>
  <c r="CA71" i="11"/>
  <c r="CB71" i="11"/>
  <c r="CC71" i="11"/>
  <c r="CK71" i="11"/>
  <c r="CL71" i="11"/>
  <c r="CM71" i="11"/>
  <c r="CU71" i="11"/>
  <c r="CV71" i="11"/>
  <c r="CW71" i="11"/>
  <c r="DE71" i="11"/>
  <c r="DF71" i="11"/>
  <c r="DG71" i="11"/>
  <c r="DO71" i="11"/>
  <c r="DP71" i="11"/>
  <c r="DQ71" i="11"/>
  <c r="DY71" i="11"/>
  <c r="DZ71" i="11"/>
  <c r="EA71" i="11"/>
  <c r="EI71" i="11"/>
  <c r="EJ71" i="11"/>
  <c r="EK71" i="11"/>
  <c r="ES71" i="11"/>
  <c r="ET71" i="11"/>
  <c r="EU71" i="11"/>
  <c r="FC71" i="11"/>
  <c r="FD71" i="11"/>
  <c r="FE71" i="11"/>
  <c r="FM71" i="11"/>
  <c r="FN71" i="11"/>
  <c r="FO71" i="11"/>
  <c r="FW71" i="11"/>
  <c r="FX71" i="11"/>
  <c r="FY71" i="11"/>
  <c r="GG71" i="11"/>
  <c r="GH71" i="11"/>
  <c r="GI71" i="11"/>
  <c r="GQ71" i="11"/>
  <c r="GR71" i="11"/>
  <c r="GS71" i="11"/>
  <c r="HA71" i="11"/>
  <c r="HB71" i="11"/>
  <c r="HC71" i="11"/>
  <c r="HK71" i="11"/>
  <c r="HL71" i="11"/>
  <c r="HM71" i="11"/>
  <c r="I72" i="11"/>
  <c r="J72" i="11"/>
  <c r="K72" i="11"/>
  <c r="S72" i="11"/>
  <c r="T72" i="11"/>
  <c r="U72" i="11"/>
  <c r="AC72" i="11"/>
  <c r="AD72" i="11"/>
  <c r="AE72" i="11"/>
  <c r="AM72" i="11"/>
  <c r="AN72" i="11"/>
  <c r="AO72" i="11"/>
  <c r="AW72" i="11"/>
  <c r="AX72" i="11"/>
  <c r="AY72" i="11"/>
  <c r="BG72" i="11"/>
  <c r="BH72" i="11"/>
  <c r="BI72" i="11"/>
  <c r="BQ72" i="11"/>
  <c r="BR72" i="11"/>
  <c r="BS72" i="11"/>
  <c r="CA72" i="11"/>
  <c r="CB72" i="11"/>
  <c r="CC72" i="11"/>
  <c r="CK72" i="11"/>
  <c r="CL72" i="11"/>
  <c r="CM72" i="11"/>
  <c r="CU72" i="11"/>
  <c r="CV72" i="11"/>
  <c r="CW72" i="11"/>
  <c r="DE72" i="11"/>
  <c r="DF72" i="11"/>
  <c r="DG72" i="11"/>
  <c r="DO72" i="11"/>
  <c r="DP72" i="11"/>
  <c r="DQ72" i="11"/>
  <c r="DY72" i="11"/>
  <c r="DZ72" i="11"/>
  <c r="EA72" i="11"/>
  <c r="EI72" i="11"/>
  <c r="EJ72" i="11"/>
  <c r="EK72" i="11"/>
  <c r="ES72" i="11"/>
  <c r="ET72" i="11"/>
  <c r="EU72" i="11"/>
  <c r="FC72" i="11"/>
  <c r="FD72" i="11"/>
  <c r="FE72" i="11"/>
  <c r="FM72" i="11"/>
  <c r="FN72" i="11"/>
  <c r="FO72" i="11"/>
  <c r="FW72" i="11"/>
  <c r="FX72" i="11"/>
  <c r="FY72" i="11"/>
  <c r="GG72" i="11"/>
  <c r="GH72" i="11"/>
  <c r="GI72" i="11"/>
  <c r="GQ72" i="11"/>
  <c r="GR72" i="11"/>
  <c r="GS72" i="11"/>
  <c r="HA72" i="11"/>
  <c r="HB72" i="11"/>
  <c r="HC72" i="11"/>
  <c r="HK72" i="11"/>
  <c r="HL72" i="11"/>
  <c r="HM72" i="11"/>
  <c r="I73" i="11"/>
  <c r="J73" i="11"/>
  <c r="K73" i="11"/>
  <c r="S73" i="11"/>
  <c r="T73" i="11"/>
  <c r="U73" i="11"/>
  <c r="AC73" i="11"/>
  <c r="AD73" i="11"/>
  <c r="AE73" i="11"/>
  <c r="AM73" i="11"/>
  <c r="AN73" i="11"/>
  <c r="AO73" i="11"/>
  <c r="AW73" i="11"/>
  <c r="AX73" i="11"/>
  <c r="AY73" i="11"/>
  <c r="BG73" i="11"/>
  <c r="BH73" i="11"/>
  <c r="BI73" i="11"/>
  <c r="BQ73" i="11"/>
  <c r="BR73" i="11"/>
  <c r="BS73" i="11"/>
  <c r="CA73" i="11"/>
  <c r="CB73" i="11"/>
  <c r="CC73" i="11"/>
  <c r="CK73" i="11"/>
  <c r="CL73" i="11"/>
  <c r="CM73" i="11"/>
  <c r="CU73" i="11"/>
  <c r="CV73" i="11"/>
  <c r="CW73" i="11"/>
  <c r="DE73" i="11"/>
  <c r="DF73" i="11"/>
  <c r="DG73" i="11"/>
  <c r="DO73" i="11"/>
  <c r="DP73" i="11"/>
  <c r="DQ73" i="11"/>
  <c r="DY73" i="11"/>
  <c r="DZ73" i="11"/>
  <c r="EA73" i="11"/>
  <c r="EI73" i="11"/>
  <c r="EJ73" i="11"/>
  <c r="EK73" i="11"/>
  <c r="ES73" i="11"/>
  <c r="ET73" i="11"/>
  <c r="EU73" i="11"/>
  <c r="FC73" i="11"/>
  <c r="FD73" i="11"/>
  <c r="FE73" i="11"/>
  <c r="FM73" i="11"/>
  <c r="FN73" i="11"/>
  <c r="FO73" i="11"/>
  <c r="FW73" i="11"/>
  <c r="FX73" i="11"/>
  <c r="FY73" i="11"/>
  <c r="GG73" i="11"/>
  <c r="GH73" i="11"/>
  <c r="GI73" i="11"/>
  <c r="GQ73" i="11"/>
  <c r="GR73" i="11"/>
  <c r="GS73" i="11"/>
  <c r="HA73" i="11"/>
  <c r="HB73" i="11"/>
  <c r="HC73" i="11"/>
  <c r="HK73" i="11"/>
  <c r="HL73" i="11"/>
  <c r="HM73" i="11"/>
  <c r="I74" i="11"/>
  <c r="J74" i="11"/>
  <c r="K74" i="11"/>
  <c r="S74" i="11"/>
  <c r="T74" i="11"/>
  <c r="U74" i="11"/>
  <c r="AC74" i="11"/>
  <c r="AD74" i="11"/>
  <c r="AE74" i="11"/>
  <c r="AM74" i="11"/>
  <c r="AN74" i="11"/>
  <c r="AO74" i="11"/>
  <c r="AW74" i="11"/>
  <c r="AX74" i="11"/>
  <c r="AY74" i="11"/>
  <c r="BG74" i="11"/>
  <c r="BH74" i="11"/>
  <c r="BI74" i="11"/>
  <c r="BQ74" i="11"/>
  <c r="BR74" i="11"/>
  <c r="BS74" i="11"/>
  <c r="CA74" i="11"/>
  <c r="CB74" i="11"/>
  <c r="CC74" i="11"/>
  <c r="CK74" i="11"/>
  <c r="CL74" i="11"/>
  <c r="CM74" i="11"/>
  <c r="CU74" i="11"/>
  <c r="CV74" i="11"/>
  <c r="CW74" i="11"/>
  <c r="DE74" i="11"/>
  <c r="DF74" i="11"/>
  <c r="DG74" i="11"/>
  <c r="DO74" i="11"/>
  <c r="DP74" i="11"/>
  <c r="DQ74" i="11"/>
  <c r="DY74" i="11"/>
  <c r="DZ74" i="11"/>
  <c r="EA74" i="11"/>
  <c r="EI74" i="11"/>
  <c r="EJ74" i="11"/>
  <c r="EK74" i="11"/>
  <c r="ES74" i="11"/>
  <c r="ET74" i="11"/>
  <c r="EU74" i="11"/>
  <c r="FC74" i="11"/>
  <c r="FD74" i="11"/>
  <c r="FE74" i="11"/>
  <c r="FM74" i="11"/>
  <c r="FN74" i="11"/>
  <c r="FO74" i="11"/>
  <c r="FW74" i="11"/>
  <c r="FX74" i="11"/>
  <c r="FY74" i="11"/>
  <c r="GG74" i="11"/>
  <c r="GH74" i="11"/>
  <c r="GI74" i="11"/>
  <c r="GQ74" i="11"/>
  <c r="GR74" i="11"/>
  <c r="GS74" i="11"/>
  <c r="HA74" i="11"/>
  <c r="HB74" i="11"/>
  <c r="HC74" i="11"/>
  <c r="HK74" i="11"/>
  <c r="HL74" i="11"/>
  <c r="HM74" i="11"/>
  <c r="I75" i="11"/>
  <c r="J75" i="11"/>
  <c r="K75" i="11"/>
  <c r="S75" i="11"/>
  <c r="T75" i="11"/>
  <c r="U75" i="11"/>
  <c r="AC75" i="11"/>
  <c r="AD75" i="11"/>
  <c r="AE75" i="11"/>
  <c r="AM75" i="11"/>
  <c r="AN75" i="11"/>
  <c r="AO75" i="11"/>
  <c r="AW75" i="11"/>
  <c r="AX75" i="11"/>
  <c r="AY75" i="11"/>
  <c r="BG75" i="11"/>
  <c r="BH75" i="11"/>
  <c r="BI75" i="11"/>
  <c r="BQ75" i="11"/>
  <c r="BR75" i="11"/>
  <c r="BS75" i="11"/>
  <c r="CA75" i="11"/>
  <c r="CB75" i="11"/>
  <c r="CC75" i="11"/>
  <c r="CK75" i="11"/>
  <c r="CL75" i="11"/>
  <c r="CM75" i="11"/>
  <c r="CU75" i="11"/>
  <c r="CV75" i="11"/>
  <c r="CW75" i="11"/>
  <c r="DE75" i="11"/>
  <c r="DF75" i="11"/>
  <c r="DG75" i="11"/>
  <c r="DO75" i="11"/>
  <c r="DP75" i="11"/>
  <c r="DQ75" i="11"/>
  <c r="DY75" i="11"/>
  <c r="DZ75" i="11"/>
  <c r="EA75" i="11"/>
  <c r="EI75" i="11"/>
  <c r="EJ75" i="11"/>
  <c r="EK75" i="11"/>
  <c r="ES75" i="11"/>
  <c r="ET75" i="11"/>
  <c r="EU75" i="11"/>
  <c r="FC75" i="11"/>
  <c r="FD75" i="11"/>
  <c r="FE75" i="11"/>
  <c r="FM75" i="11"/>
  <c r="FN75" i="11"/>
  <c r="FO75" i="11"/>
  <c r="FW75" i="11"/>
  <c r="FX75" i="11"/>
  <c r="FY75" i="11"/>
  <c r="GG75" i="11"/>
  <c r="GH75" i="11"/>
  <c r="GI75" i="11"/>
  <c r="GQ75" i="11"/>
  <c r="GR75" i="11"/>
  <c r="GS75" i="11"/>
  <c r="HA75" i="11"/>
  <c r="HB75" i="11"/>
  <c r="HC75" i="11"/>
  <c r="HK75" i="11"/>
  <c r="HL75" i="11"/>
  <c r="HM75" i="11"/>
  <c r="I76" i="11"/>
  <c r="J76" i="11"/>
  <c r="K76" i="11"/>
  <c r="S76" i="11"/>
  <c r="T76" i="11"/>
  <c r="U76" i="11"/>
  <c r="AC76" i="11"/>
  <c r="AD76" i="11"/>
  <c r="AE76" i="11"/>
  <c r="AM76" i="11"/>
  <c r="AN76" i="11"/>
  <c r="AO76" i="11"/>
  <c r="AW76" i="11"/>
  <c r="AX76" i="11"/>
  <c r="AY76" i="11"/>
  <c r="BG76" i="11"/>
  <c r="BH76" i="11"/>
  <c r="BI76" i="11"/>
  <c r="BQ76" i="11"/>
  <c r="BR76" i="11"/>
  <c r="BS76" i="11"/>
  <c r="CA76" i="11"/>
  <c r="CB76" i="11"/>
  <c r="CC76" i="11"/>
  <c r="CK76" i="11"/>
  <c r="CL76" i="11"/>
  <c r="CM76" i="11"/>
  <c r="CU76" i="11"/>
  <c r="CV76" i="11"/>
  <c r="CW76" i="11"/>
  <c r="DE76" i="11"/>
  <c r="DF76" i="11"/>
  <c r="DG76" i="11"/>
  <c r="DO76" i="11"/>
  <c r="DP76" i="11"/>
  <c r="DQ76" i="11"/>
  <c r="DY76" i="11"/>
  <c r="DZ76" i="11"/>
  <c r="EA76" i="11"/>
  <c r="EI76" i="11"/>
  <c r="EJ76" i="11"/>
  <c r="EK76" i="11"/>
  <c r="ES76" i="11"/>
  <c r="ET76" i="11"/>
  <c r="EU76" i="11"/>
  <c r="FC76" i="11"/>
  <c r="FD76" i="11"/>
  <c r="FE76" i="11"/>
  <c r="FM76" i="11"/>
  <c r="FN76" i="11"/>
  <c r="FO76" i="11"/>
  <c r="FW76" i="11"/>
  <c r="FX76" i="11"/>
  <c r="FY76" i="11"/>
  <c r="GG76" i="11"/>
  <c r="GH76" i="11"/>
  <c r="GI76" i="11"/>
  <c r="GQ76" i="11"/>
  <c r="GR76" i="11"/>
  <c r="GS76" i="11"/>
  <c r="HA76" i="11"/>
  <c r="HB76" i="11"/>
  <c r="HC76" i="11"/>
  <c r="HK76" i="11"/>
  <c r="HL76" i="11"/>
  <c r="HM76" i="11"/>
  <c r="I77" i="11"/>
  <c r="J77" i="11"/>
  <c r="K77" i="11"/>
  <c r="S77" i="11"/>
  <c r="T77" i="11"/>
  <c r="U77" i="11"/>
  <c r="AC77" i="11"/>
  <c r="AD77" i="11"/>
  <c r="AE77" i="11"/>
  <c r="AM77" i="11"/>
  <c r="AN77" i="11"/>
  <c r="AO77" i="11"/>
  <c r="AW77" i="11"/>
  <c r="AX77" i="11"/>
  <c r="AY77" i="11"/>
  <c r="BG77" i="11"/>
  <c r="BH77" i="11"/>
  <c r="BI77" i="11"/>
  <c r="BQ77" i="11"/>
  <c r="BR77" i="11"/>
  <c r="BS77" i="11"/>
  <c r="CA77" i="11"/>
  <c r="CB77" i="11"/>
  <c r="CC77" i="11"/>
  <c r="CK77" i="11"/>
  <c r="CL77" i="11"/>
  <c r="CM77" i="11"/>
  <c r="CU77" i="11"/>
  <c r="CV77" i="11"/>
  <c r="CW77" i="11"/>
  <c r="DE77" i="11"/>
  <c r="DF77" i="11"/>
  <c r="DG77" i="11"/>
  <c r="DO77" i="11"/>
  <c r="DP77" i="11"/>
  <c r="DQ77" i="11"/>
  <c r="DY77" i="11"/>
  <c r="DZ77" i="11"/>
  <c r="EA77" i="11"/>
  <c r="EI77" i="11"/>
  <c r="EJ77" i="11"/>
  <c r="EK77" i="11"/>
  <c r="ES77" i="11"/>
  <c r="ET77" i="11"/>
  <c r="EU77" i="11"/>
  <c r="FC77" i="11"/>
  <c r="FD77" i="11"/>
  <c r="FE77" i="11"/>
  <c r="FM77" i="11"/>
  <c r="FN77" i="11"/>
  <c r="FO77" i="11"/>
  <c r="FW77" i="11"/>
  <c r="FX77" i="11"/>
  <c r="FY77" i="11"/>
  <c r="GG77" i="11"/>
  <c r="GH77" i="11"/>
  <c r="GI77" i="11"/>
  <c r="GQ77" i="11"/>
  <c r="GR77" i="11"/>
  <c r="GS77" i="11"/>
  <c r="HA77" i="11"/>
  <c r="HB77" i="11"/>
  <c r="HC77" i="11"/>
  <c r="HK77" i="11"/>
  <c r="HL77" i="11"/>
  <c r="HM77" i="11"/>
  <c r="I78" i="11"/>
  <c r="J78" i="11"/>
  <c r="K78" i="11"/>
  <c r="S78" i="11"/>
  <c r="T78" i="11"/>
  <c r="U78" i="11"/>
  <c r="AC78" i="11"/>
  <c r="AD78" i="11"/>
  <c r="AE78" i="11"/>
  <c r="AM78" i="11"/>
  <c r="AN78" i="11"/>
  <c r="AO78" i="11"/>
  <c r="AW78" i="11"/>
  <c r="AX78" i="11"/>
  <c r="AY78" i="11"/>
  <c r="BG78" i="11"/>
  <c r="BH78" i="11"/>
  <c r="BI78" i="11"/>
  <c r="BQ78" i="11"/>
  <c r="BR78" i="11"/>
  <c r="BS78" i="11"/>
  <c r="CA78" i="11"/>
  <c r="CB78" i="11"/>
  <c r="CC78" i="11"/>
  <c r="CK78" i="11"/>
  <c r="CL78" i="11"/>
  <c r="CM78" i="11"/>
  <c r="CU78" i="11"/>
  <c r="CV78" i="11"/>
  <c r="CW78" i="11"/>
  <c r="DE78" i="11"/>
  <c r="DF78" i="11"/>
  <c r="DG78" i="11"/>
  <c r="DO78" i="11"/>
  <c r="DP78" i="11"/>
  <c r="DQ78" i="11"/>
  <c r="DY78" i="11"/>
  <c r="DZ78" i="11"/>
  <c r="EA78" i="11"/>
  <c r="EI78" i="11"/>
  <c r="EJ78" i="11"/>
  <c r="EK78" i="11"/>
  <c r="ES78" i="11"/>
  <c r="ET78" i="11"/>
  <c r="EU78" i="11"/>
  <c r="FC78" i="11"/>
  <c r="FD78" i="11"/>
  <c r="FE78" i="11"/>
  <c r="FM78" i="11"/>
  <c r="FN78" i="11"/>
  <c r="FO78" i="11"/>
  <c r="FW78" i="11"/>
  <c r="FX78" i="11"/>
  <c r="FY78" i="11"/>
  <c r="GG78" i="11"/>
  <c r="GH78" i="11"/>
  <c r="GI78" i="11"/>
  <c r="GQ78" i="11"/>
  <c r="GR78" i="11"/>
  <c r="GS78" i="11"/>
  <c r="HA78" i="11"/>
  <c r="HB78" i="11"/>
  <c r="HC78" i="11"/>
  <c r="HK78" i="11"/>
  <c r="HL78" i="11"/>
  <c r="HM78" i="11"/>
  <c r="I79" i="11"/>
  <c r="J79" i="11"/>
  <c r="K79" i="11"/>
  <c r="S79" i="11"/>
  <c r="T79" i="11"/>
  <c r="U79" i="11"/>
  <c r="AC79" i="11"/>
  <c r="AD79" i="11"/>
  <c r="AE79" i="11"/>
  <c r="AM79" i="11"/>
  <c r="AN79" i="11"/>
  <c r="AO79" i="11"/>
  <c r="AW79" i="11"/>
  <c r="AX79" i="11"/>
  <c r="AY79" i="11"/>
  <c r="BG79" i="11"/>
  <c r="BH79" i="11"/>
  <c r="BI79" i="11"/>
  <c r="BQ79" i="11"/>
  <c r="BR79" i="11"/>
  <c r="BS79" i="11"/>
  <c r="CA79" i="11"/>
  <c r="CB79" i="11"/>
  <c r="CC79" i="11"/>
  <c r="CK79" i="11"/>
  <c r="CL79" i="11"/>
  <c r="CM79" i="11"/>
  <c r="CU79" i="11"/>
  <c r="CV79" i="11"/>
  <c r="CW79" i="11"/>
  <c r="DE79" i="11"/>
  <c r="DF79" i="11"/>
  <c r="DG79" i="11"/>
  <c r="DO79" i="11"/>
  <c r="DP79" i="11"/>
  <c r="DQ79" i="11"/>
  <c r="DY79" i="11"/>
  <c r="DZ79" i="11"/>
  <c r="EA79" i="11"/>
  <c r="EI79" i="11"/>
  <c r="EJ79" i="11"/>
  <c r="EK79" i="11"/>
  <c r="ES79" i="11"/>
  <c r="ET79" i="11"/>
  <c r="EU79" i="11"/>
  <c r="FC79" i="11"/>
  <c r="FD79" i="11"/>
  <c r="FE79" i="11"/>
  <c r="FM79" i="11"/>
  <c r="FN79" i="11"/>
  <c r="FO79" i="11"/>
  <c r="FW79" i="11"/>
  <c r="FX79" i="11"/>
  <c r="FY79" i="11"/>
  <c r="GG79" i="11"/>
  <c r="GH79" i="11"/>
  <c r="GI79" i="11"/>
  <c r="GQ79" i="11"/>
  <c r="GR79" i="11"/>
  <c r="GS79" i="11"/>
  <c r="HA79" i="11"/>
  <c r="HB79" i="11"/>
  <c r="HC79" i="11"/>
  <c r="HK79" i="11"/>
  <c r="HL79" i="11"/>
  <c r="HM79" i="11"/>
  <c r="I80" i="11"/>
  <c r="J80" i="11"/>
  <c r="K80" i="11"/>
  <c r="S80" i="11"/>
  <c r="T80" i="11"/>
  <c r="U80" i="11"/>
  <c r="AC80" i="11"/>
  <c r="AD80" i="11"/>
  <c r="AE80" i="11"/>
  <c r="AM80" i="11"/>
  <c r="AN80" i="11"/>
  <c r="AO80" i="11"/>
  <c r="AW80" i="11"/>
  <c r="AX80" i="11"/>
  <c r="AY80" i="11"/>
  <c r="BG80" i="11"/>
  <c r="BH80" i="11"/>
  <c r="BI80" i="11"/>
  <c r="BQ80" i="11"/>
  <c r="BR80" i="11"/>
  <c r="BS80" i="11"/>
  <c r="CA80" i="11"/>
  <c r="CB80" i="11"/>
  <c r="CC80" i="11"/>
  <c r="CK80" i="11"/>
  <c r="CL80" i="11"/>
  <c r="CM80" i="11"/>
  <c r="CU80" i="11"/>
  <c r="CV80" i="11"/>
  <c r="CW80" i="11"/>
  <c r="DE80" i="11"/>
  <c r="DF80" i="11"/>
  <c r="DG80" i="11"/>
  <c r="DO80" i="11"/>
  <c r="DP80" i="11"/>
  <c r="DQ80" i="11"/>
  <c r="DY80" i="11"/>
  <c r="DZ80" i="11"/>
  <c r="EA80" i="11"/>
  <c r="EI80" i="11"/>
  <c r="EJ80" i="11"/>
  <c r="EK80" i="11"/>
  <c r="ES80" i="11"/>
  <c r="ET80" i="11"/>
  <c r="EU80" i="11"/>
  <c r="FC80" i="11"/>
  <c r="FD80" i="11"/>
  <c r="FE80" i="11"/>
  <c r="FM80" i="11"/>
  <c r="FN80" i="11"/>
  <c r="FO80" i="11"/>
  <c r="FW80" i="11"/>
  <c r="FX80" i="11"/>
  <c r="FY80" i="11"/>
  <c r="GG80" i="11"/>
  <c r="GH80" i="11"/>
  <c r="GI80" i="11"/>
  <c r="GQ80" i="11"/>
  <c r="GR80" i="11"/>
  <c r="GS80" i="11"/>
  <c r="HA80" i="11"/>
  <c r="HB80" i="11"/>
  <c r="HC80" i="11"/>
  <c r="HK80" i="11"/>
  <c r="HL80" i="11"/>
  <c r="HM80" i="11"/>
  <c r="I81" i="11"/>
  <c r="J81" i="11"/>
  <c r="K81" i="11"/>
  <c r="S81" i="11"/>
  <c r="T81" i="11"/>
  <c r="U81" i="11"/>
  <c r="AC81" i="11"/>
  <c r="AD81" i="11"/>
  <c r="AE81" i="11"/>
  <c r="AM81" i="11"/>
  <c r="AN81" i="11"/>
  <c r="AO81" i="11"/>
  <c r="AW81" i="11"/>
  <c r="AX81" i="11"/>
  <c r="AY81" i="11"/>
  <c r="BG81" i="11"/>
  <c r="BH81" i="11"/>
  <c r="BI81" i="11"/>
  <c r="BQ81" i="11"/>
  <c r="BR81" i="11"/>
  <c r="BS81" i="11"/>
  <c r="CA81" i="11"/>
  <c r="CB81" i="11"/>
  <c r="CC81" i="11"/>
  <c r="CK81" i="11"/>
  <c r="CL81" i="11"/>
  <c r="CM81" i="11"/>
  <c r="CU81" i="11"/>
  <c r="CV81" i="11"/>
  <c r="CW81" i="11"/>
  <c r="DE81" i="11"/>
  <c r="DF81" i="11"/>
  <c r="DG81" i="11"/>
  <c r="DO81" i="11"/>
  <c r="DP81" i="11"/>
  <c r="DQ81" i="11"/>
  <c r="DY81" i="11"/>
  <c r="DZ81" i="11"/>
  <c r="EA81" i="11"/>
  <c r="EI81" i="11"/>
  <c r="EJ81" i="11"/>
  <c r="EK81" i="11"/>
  <c r="ES81" i="11"/>
  <c r="ET81" i="11"/>
  <c r="EU81" i="11"/>
  <c r="FC81" i="11"/>
  <c r="FD81" i="11"/>
  <c r="FE81" i="11"/>
  <c r="FM81" i="11"/>
  <c r="FN81" i="11"/>
  <c r="FO81" i="11"/>
  <c r="FW81" i="11"/>
  <c r="FX81" i="11"/>
  <c r="FY81" i="11"/>
  <c r="GG81" i="11"/>
  <c r="GH81" i="11"/>
  <c r="GI81" i="11"/>
  <c r="GQ81" i="11"/>
  <c r="GR81" i="11"/>
  <c r="GS81" i="11"/>
  <c r="HA81" i="11"/>
  <c r="HB81" i="11"/>
  <c r="HC81" i="11"/>
  <c r="HK81" i="11"/>
  <c r="HL81" i="11"/>
  <c r="HM81" i="11"/>
  <c r="I82" i="11"/>
  <c r="J82" i="11"/>
  <c r="K82" i="11"/>
  <c r="S82" i="11"/>
  <c r="T82" i="11"/>
  <c r="U82" i="11"/>
  <c r="AC82" i="11"/>
  <c r="AD82" i="11"/>
  <c r="AE82" i="11"/>
  <c r="AM82" i="11"/>
  <c r="AN82" i="11"/>
  <c r="AO82" i="11"/>
  <c r="AW82" i="11"/>
  <c r="AX82" i="11"/>
  <c r="AY82" i="11"/>
  <c r="BG82" i="11"/>
  <c r="BH82" i="11"/>
  <c r="BI82" i="11"/>
  <c r="BQ82" i="11"/>
  <c r="BR82" i="11"/>
  <c r="BS82" i="11"/>
  <c r="CA82" i="11"/>
  <c r="CB82" i="11"/>
  <c r="CC82" i="11"/>
  <c r="CK82" i="11"/>
  <c r="CL82" i="11"/>
  <c r="CM82" i="11"/>
  <c r="CU82" i="11"/>
  <c r="CV82" i="11"/>
  <c r="CW82" i="11"/>
  <c r="DE82" i="11"/>
  <c r="DF82" i="11"/>
  <c r="DG82" i="11"/>
  <c r="DO82" i="11"/>
  <c r="DP82" i="11"/>
  <c r="DQ82" i="11"/>
  <c r="DY82" i="11"/>
  <c r="DZ82" i="11"/>
  <c r="EA82" i="11"/>
  <c r="EI82" i="11"/>
  <c r="EJ82" i="11"/>
  <c r="EK82" i="11"/>
  <c r="ES82" i="11"/>
  <c r="ET82" i="11"/>
  <c r="EU82" i="11"/>
  <c r="FC82" i="11"/>
  <c r="FD82" i="11"/>
  <c r="FE82" i="11"/>
  <c r="FM82" i="11"/>
  <c r="FN82" i="11"/>
  <c r="FO82" i="11"/>
  <c r="FW82" i="11"/>
  <c r="FX82" i="11"/>
  <c r="FY82" i="11"/>
  <c r="GG82" i="11"/>
  <c r="GH82" i="11"/>
  <c r="GI82" i="11"/>
  <c r="GQ82" i="11"/>
  <c r="GR82" i="11"/>
  <c r="GS82" i="11"/>
  <c r="HA82" i="11"/>
  <c r="HB82" i="11"/>
  <c r="HC82" i="11"/>
  <c r="HK82" i="11"/>
  <c r="HL82" i="11"/>
  <c r="HM82" i="11"/>
  <c r="I83" i="11"/>
  <c r="J83" i="11"/>
  <c r="K83" i="11"/>
  <c r="S83" i="11"/>
  <c r="T83" i="11"/>
  <c r="U83" i="11"/>
  <c r="AC83" i="11"/>
  <c r="AD83" i="11"/>
  <c r="AE83" i="11"/>
  <c r="AM83" i="11"/>
  <c r="AN83" i="11"/>
  <c r="AO83" i="11"/>
  <c r="AW83" i="11"/>
  <c r="AX83" i="11"/>
  <c r="AY83" i="11"/>
  <c r="BG83" i="11"/>
  <c r="BH83" i="11"/>
  <c r="BI83" i="11"/>
  <c r="BQ83" i="11"/>
  <c r="BR83" i="11"/>
  <c r="BS83" i="11"/>
  <c r="CA83" i="11"/>
  <c r="CB83" i="11"/>
  <c r="CC83" i="11"/>
  <c r="CK83" i="11"/>
  <c r="CL83" i="11"/>
  <c r="CM83" i="11"/>
  <c r="CU83" i="11"/>
  <c r="CV83" i="11"/>
  <c r="CW83" i="11"/>
  <c r="DE83" i="11"/>
  <c r="DF83" i="11"/>
  <c r="DG83" i="11"/>
  <c r="DO83" i="11"/>
  <c r="DP83" i="11"/>
  <c r="DQ83" i="11"/>
  <c r="DY83" i="11"/>
  <c r="DZ83" i="11"/>
  <c r="EA83" i="11"/>
  <c r="EI83" i="11"/>
  <c r="EJ83" i="11"/>
  <c r="EK83" i="11"/>
  <c r="ES83" i="11"/>
  <c r="ET83" i="11"/>
  <c r="EU83" i="11"/>
  <c r="FC83" i="11"/>
  <c r="FD83" i="11"/>
  <c r="FE83" i="11"/>
  <c r="FM83" i="11"/>
  <c r="FN83" i="11"/>
  <c r="FO83" i="11"/>
  <c r="FW83" i="11"/>
  <c r="FX83" i="11"/>
  <c r="FY83" i="11"/>
  <c r="GG83" i="11"/>
  <c r="GH83" i="11"/>
  <c r="GI83" i="11"/>
  <c r="GQ83" i="11"/>
  <c r="GR83" i="11"/>
  <c r="GS83" i="11"/>
  <c r="HA83" i="11"/>
  <c r="HB83" i="11"/>
  <c r="HC83" i="11"/>
  <c r="HK83" i="11"/>
  <c r="HL83" i="11"/>
  <c r="HM83" i="11"/>
  <c r="I84" i="11"/>
  <c r="J84" i="11"/>
  <c r="K84" i="11"/>
  <c r="S84" i="11"/>
  <c r="T84" i="11"/>
  <c r="U84" i="11"/>
  <c r="AC84" i="11"/>
  <c r="AD84" i="11"/>
  <c r="AE84" i="11"/>
  <c r="AM84" i="11"/>
  <c r="AN84" i="11"/>
  <c r="AO84" i="11"/>
  <c r="AW84" i="11"/>
  <c r="AX84" i="11"/>
  <c r="AY84" i="11"/>
  <c r="BG84" i="11"/>
  <c r="BH84" i="11"/>
  <c r="BI84" i="11"/>
  <c r="BQ84" i="11"/>
  <c r="BR84" i="11"/>
  <c r="BS84" i="11"/>
  <c r="CA84" i="11"/>
  <c r="CB84" i="11"/>
  <c r="CC84" i="11"/>
  <c r="CK84" i="11"/>
  <c r="CL84" i="11"/>
  <c r="CM84" i="11"/>
  <c r="CU84" i="11"/>
  <c r="CV84" i="11"/>
  <c r="CW84" i="11"/>
  <c r="DE84" i="11"/>
  <c r="DF84" i="11"/>
  <c r="DG84" i="11"/>
  <c r="DO84" i="11"/>
  <c r="DP84" i="11"/>
  <c r="DQ84" i="11"/>
  <c r="DY84" i="11"/>
  <c r="DZ84" i="11"/>
  <c r="EA84" i="11"/>
  <c r="EI84" i="11"/>
  <c r="EJ84" i="11"/>
  <c r="EK84" i="11"/>
  <c r="ES84" i="11"/>
  <c r="ET84" i="11"/>
  <c r="EU84" i="11"/>
  <c r="FC84" i="11"/>
  <c r="FD84" i="11"/>
  <c r="FE84" i="11"/>
  <c r="FM84" i="11"/>
  <c r="FN84" i="11"/>
  <c r="FO84" i="11"/>
  <c r="FW84" i="11"/>
  <c r="FX84" i="11"/>
  <c r="FY84" i="11"/>
  <c r="GG84" i="11"/>
  <c r="GH84" i="11"/>
  <c r="GI84" i="11"/>
  <c r="GQ84" i="11"/>
  <c r="GR84" i="11"/>
  <c r="GS84" i="11"/>
  <c r="HA84" i="11"/>
  <c r="HB84" i="11"/>
  <c r="HC84" i="11"/>
  <c r="HK84" i="11"/>
  <c r="HL84" i="11"/>
  <c r="HM84" i="11"/>
  <c r="I85" i="11"/>
  <c r="J85" i="11"/>
  <c r="K85" i="11"/>
  <c r="S85" i="11"/>
  <c r="T85" i="11"/>
  <c r="U85" i="11"/>
  <c r="AC85" i="11"/>
  <c r="AD85" i="11"/>
  <c r="AE85" i="11"/>
  <c r="AM85" i="11"/>
  <c r="AN85" i="11"/>
  <c r="AO85" i="11"/>
  <c r="AW85" i="11"/>
  <c r="AX85" i="11"/>
  <c r="AY85" i="11"/>
  <c r="BG85" i="11"/>
  <c r="BH85" i="11"/>
  <c r="BI85" i="11"/>
  <c r="BQ85" i="11"/>
  <c r="BR85" i="11"/>
  <c r="BS85" i="11"/>
  <c r="CA85" i="11"/>
  <c r="CB85" i="11"/>
  <c r="CC85" i="11"/>
  <c r="CK85" i="11"/>
  <c r="CL85" i="11"/>
  <c r="CM85" i="11"/>
  <c r="CU85" i="11"/>
  <c r="CV85" i="11"/>
  <c r="CW85" i="11"/>
  <c r="DE85" i="11"/>
  <c r="DF85" i="11"/>
  <c r="DG85" i="11"/>
  <c r="DO85" i="11"/>
  <c r="DP85" i="11"/>
  <c r="DQ85" i="11"/>
  <c r="DY85" i="11"/>
  <c r="DZ85" i="11"/>
  <c r="EA85" i="11"/>
  <c r="EI85" i="11"/>
  <c r="EJ85" i="11"/>
  <c r="EK85" i="11"/>
  <c r="ES85" i="11"/>
  <c r="ET85" i="11"/>
  <c r="EU85" i="11"/>
  <c r="FC85" i="11"/>
  <c r="FD85" i="11"/>
  <c r="FE85" i="11"/>
  <c r="FM85" i="11"/>
  <c r="FN85" i="11"/>
  <c r="FO85" i="11"/>
  <c r="FW85" i="11"/>
  <c r="FX85" i="11"/>
  <c r="FY85" i="11"/>
  <c r="GG85" i="11"/>
  <c r="GH85" i="11"/>
  <c r="GI85" i="11"/>
  <c r="GQ85" i="11"/>
  <c r="GR85" i="11"/>
  <c r="GS85" i="11"/>
  <c r="HA85" i="11"/>
  <c r="HB85" i="11"/>
  <c r="HC85" i="11"/>
  <c r="HK85" i="11"/>
  <c r="HL85" i="11"/>
  <c r="HM85" i="11"/>
  <c r="I86" i="11"/>
  <c r="J86" i="11"/>
  <c r="K86" i="11"/>
  <c r="S86" i="11"/>
  <c r="T86" i="11"/>
  <c r="U86" i="11"/>
  <c r="AC86" i="11"/>
  <c r="AD86" i="11"/>
  <c r="AE86" i="11"/>
  <c r="AM86" i="11"/>
  <c r="AN86" i="11"/>
  <c r="AO86" i="11"/>
  <c r="AW86" i="11"/>
  <c r="AX86" i="11"/>
  <c r="AY86" i="11"/>
  <c r="BG86" i="11"/>
  <c r="BH86" i="11"/>
  <c r="BI86" i="11"/>
  <c r="BQ86" i="11"/>
  <c r="BR86" i="11"/>
  <c r="BS86" i="11"/>
  <c r="CA86" i="11"/>
  <c r="CB86" i="11"/>
  <c r="CC86" i="11"/>
  <c r="CK86" i="11"/>
  <c r="CL86" i="11"/>
  <c r="CM86" i="11"/>
  <c r="CU86" i="11"/>
  <c r="CV86" i="11"/>
  <c r="CW86" i="11"/>
  <c r="DE86" i="11"/>
  <c r="DF86" i="11"/>
  <c r="DG86" i="11"/>
  <c r="DO86" i="11"/>
  <c r="DP86" i="11"/>
  <c r="DQ86" i="11"/>
  <c r="DY86" i="11"/>
  <c r="DZ86" i="11"/>
  <c r="EA86" i="11"/>
  <c r="EI86" i="11"/>
  <c r="EJ86" i="11"/>
  <c r="EK86" i="11"/>
  <c r="ES86" i="11"/>
  <c r="ET86" i="11"/>
  <c r="EU86" i="11"/>
  <c r="FC86" i="11"/>
  <c r="FD86" i="11"/>
  <c r="FE86" i="11"/>
  <c r="FM86" i="11"/>
  <c r="FN86" i="11"/>
  <c r="FO86" i="11"/>
  <c r="FW86" i="11"/>
  <c r="FX86" i="11"/>
  <c r="FY86" i="11"/>
  <c r="GG86" i="11"/>
  <c r="GH86" i="11"/>
  <c r="GI86" i="11"/>
  <c r="GQ86" i="11"/>
  <c r="GR86" i="11"/>
  <c r="GS86" i="11"/>
  <c r="HA86" i="11"/>
  <c r="HB86" i="11"/>
  <c r="HC86" i="11"/>
  <c r="HK86" i="11"/>
  <c r="HL86" i="11"/>
  <c r="HM86" i="11"/>
  <c r="I87" i="11"/>
  <c r="J87" i="11"/>
  <c r="K87" i="11"/>
  <c r="S87" i="11"/>
  <c r="T87" i="11"/>
  <c r="U87" i="11"/>
  <c r="AC87" i="11"/>
  <c r="AD87" i="11"/>
  <c r="AE87" i="11"/>
  <c r="AM87" i="11"/>
  <c r="AN87" i="11"/>
  <c r="AO87" i="11"/>
  <c r="AW87" i="11"/>
  <c r="AX87" i="11"/>
  <c r="AY87" i="11"/>
  <c r="BG87" i="11"/>
  <c r="BH87" i="11"/>
  <c r="BI87" i="11"/>
  <c r="BQ87" i="11"/>
  <c r="BR87" i="11"/>
  <c r="BS87" i="11"/>
  <c r="CA87" i="11"/>
  <c r="CB87" i="11"/>
  <c r="CC87" i="11"/>
  <c r="CK87" i="11"/>
  <c r="CL87" i="11"/>
  <c r="CM87" i="11"/>
  <c r="CU87" i="11"/>
  <c r="CV87" i="11"/>
  <c r="CW87" i="11"/>
  <c r="DE87" i="11"/>
  <c r="DF87" i="11"/>
  <c r="DG87" i="11"/>
  <c r="DO87" i="11"/>
  <c r="DP87" i="11"/>
  <c r="DQ87" i="11"/>
  <c r="DY87" i="11"/>
  <c r="DZ87" i="11"/>
  <c r="EA87" i="11"/>
  <c r="EI87" i="11"/>
  <c r="EJ87" i="11"/>
  <c r="EK87" i="11"/>
  <c r="ES87" i="11"/>
  <c r="ET87" i="11"/>
  <c r="EU87" i="11"/>
  <c r="FC87" i="11"/>
  <c r="FD87" i="11"/>
  <c r="FE87" i="11"/>
  <c r="FM87" i="11"/>
  <c r="FN87" i="11"/>
  <c r="FO87" i="11"/>
  <c r="FW87" i="11"/>
  <c r="FX87" i="11"/>
  <c r="FY87" i="11"/>
  <c r="GG87" i="11"/>
  <c r="GH87" i="11"/>
  <c r="GI87" i="11"/>
  <c r="GQ87" i="11"/>
  <c r="GR87" i="11"/>
  <c r="GS87" i="11"/>
  <c r="HA87" i="11"/>
  <c r="HB87" i="11"/>
  <c r="HC87" i="11"/>
  <c r="HK87" i="11"/>
  <c r="HL87" i="11"/>
  <c r="HM87" i="11"/>
  <c r="I88" i="11"/>
  <c r="J88" i="11"/>
  <c r="K88" i="11"/>
  <c r="S88" i="11"/>
  <c r="T88" i="11"/>
  <c r="U88" i="11"/>
  <c r="AB88" i="11"/>
  <c r="AD88" i="11" s="1"/>
  <c r="AC88" i="11"/>
  <c r="AE88" i="11"/>
  <c r="AM88" i="11"/>
  <c r="AN88" i="11"/>
  <c r="AO88" i="11"/>
  <c r="AW88" i="11"/>
  <c r="AX88" i="11"/>
  <c r="AY88" i="11"/>
  <c r="BG88" i="11"/>
  <c r="BH88" i="11"/>
  <c r="BI88" i="11"/>
  <c r="BQ88" i="11"/>
  <c r="BR88" i="11"/>
  <c r="BS88" i="11"/>
  <c r="CA88" i="11"/>
  <c r="CB88" i="11"/>
  <c r="CC88" i="11"/>
  <c r="CK88" i="11"/>
  <c r="CL88" i="11"/>
  <c r="CM88" i="11"/>
  <c r="CT88" i="11"/>
  <c r="CV88" i="11" s="1"/>
  <c r="CU88" i="11"/>
  <c r="CW88" i="11"/>
  <c r="DD88" i="11"/>
  <c r="DE88" i="11" s="1"/>
  <c r="DG88" i="11"/>
  <c r="DO88" i="11"/>
  <c r="DP88" i="11"/>
  <c r="DQ88" i="11"/>
  <c r="DY88" i="11"/>
  <c r="DZ88" i="11"/>
  <c r="EA88" i="11"/>
  <c r="EI88" i="11"/>
  <c r="EJ88" i="11"/>
  <c r="EK88" i="11"/>
  <c r="ES88" i="11"/>
  <c r="ET88" i="11"/>
  <c r="EU88" i="11"/>
  <c r="FB88" i="11"/>
  <c r="FC88" i="11"/>
  <c r="FD88" i="11"/>
  <c r="FE88" i="11"/>
  <c r="FM88" i="11"/>
  <c r="FN88" i="11"/>
  <c r="FO88" i="11"/>
  <c r="FW88" i="11"/>
  <c r="FX88" i="11"/>
  <c r="FY88" i="11"/>
  <c r="GG88" i="11"/>
  <c r="GH88" i="11"/>
  <c r="GI88" i="11"/>
  <c r="GQ88" i="11"/>
  <c r="GR88" i="11"/>
  <c r="GS88" i="11"/>
  <c r="HA88" i="11"/>
  <c r="HB88" i="11"/>
  <c r="HC88" i="11"/>
  <c r="HK88" i="11"/>
  <c r="HL88" i="11"/>
  <c r="HM88" i="11"/>
  <c r="I89" i="11"/>
  <c r="J89" i="11"/>
  <c r="K89" i="11"/>
  <c r="S89" i="11"/>
  <c r="T89" i="11"/>
  <c r="U89" i="11"/>
  <c r="AC89" i="11"/>
  <c r="AD89" i="11"/>
  <c r="AE89" i="11"/>
  <c r="AM89" i="11"/>
  <c r="AN89" i="11"/>
  <c r="AO89" i="11"/>
  <c r="AW89" i="11"/>
  <c r="AX89" i="11"/>
  <c r="AY89" i="11"/>
  <c r="BG89" i="11"/>
  <c r="BH89" i="11"/>
  <c r="BI89" i="11"/>
  <c r="BQ89" i="11"/>
  <c r="BR89" i="11"/>
  <c r="BS89" i="11"/>
  <c r="CA89" i="11"/>
  <c r="CB89" i="11"/>
  <c r="CC89" i="11"/>
  <c r="CK89" i="11"/>
  <c r="CL89" i="11"/>
  <c r="CM89" i="11"/>
  <c r="CT89" i="11"/>
  <c r="CV89" i="11" s="1"/>
  <c r="CU89" i="11"/>
  <c r="CW89" i="11"/>
  <c r="DE89" i="11"/>
  <c r="DF89" i="11"/>
  <c r="DG89" i="11"/>
  <c r="DO89" i="11"/>
  <c r="DP89" i="11"/>
  <c r="DQ89" i="11"/>
  <c r="DY89" i="11"/>
  <c r="DZ89" i="11"/>
  <c r="EA89" i="11"/>
  <c r="EI89" i="11"/>
  <c r="EJ89" i="11"/>
  <c r="EK89" i="11"/>
  <c r="ES89" i="11"/>
  <c r="ET89" i="11"/>
  <c r="EU89" i="11"/>
  <c r="FC89" i="11"/>
  <c r="FD89" i="11"/>
  <c r="FE89" i="11"/>
  <c r="FM89" i="11"/>
  <c r="FN89" i="11"/>
  <c r="FO89" i="11"/>
  <c r="FW89" i="11"/>
  <c r="FX89" i="11"/>
  <c r="FY89" i="11"/>
  <c r="GG89" i="11"/>
  <c r="GH89" i="11"/>
  <c r="GI89" i="11"/>
  <c r="GQ89" i="11"/>
  <c r="GR89" i="11"/>
  <c r="GS89" i="11"/>
  <c r="HA89" i="11"/>
  <c r="HB89" i="11"/>
  <c r="HC89" i="11"/>
  <c r="HK89" i="11"/>
  <c r="HL89" i="11"/>
  <c r="HM89" i="11"/>
  <c r="I90" i="11"/>
  <c r="J90" i="11"/>
  <c r="K90" i="11"/>
  <c r="S90" i="11"/>
  <c r="T90" i="11"/>
  <c r="U90" i="11"/>
  <c r="AC90" i="11"/>
  <c r="AD90" i="11"/>
  <c r="AE90" i="11"/>
  <c r="AM90" i="11"/>
  <c r="AN90" i="11"/>
  <c r="AO90" i="11"/>
  <c r="AW90" i="11"/>
  <c r="AX90" i="11"/>
  <c r="AY90" i="11"/>
  <c r="BG90" i="11"/>
  <c r="BH90" i="11"/>
  <c r="BI90" i="11"/>
  <c r="BQ90" i="11"/>
  <c r="BR90" i="11"/>
  <c r="BS90" i="11"/>
  <c r="CA90" i="11"/>
  <c r="CB90" i="11"/>
  <c r="CC90" i="11"/>
  <c r="CK90" i="11"/>
  <c r="CL90" i="11"/>
  <c r="CM90" i="11"/>
  <c r="CU90" i="11"/>
  <c r="CV90" i="11"/>
  <c r="CW90" i="11"/>
  <c r="DE90" i="11"/>
  <c r="DF90" i="11"/>
  <c r="DG90" i="11"/>
  <c r="DO90" i="11"/>
  <c r="DP90" i="11"/>
  <c r="DQ90" i="11"/>
  <c r="DY90" i="11"/>
  <c r="DZ90" i="11"/>
  <c r="EA90" i="11"/>
  <c r="EI90" i="11"/>
  <c r="EJ90" i="11"/>
  <c r="EK90" i="11"/>
  <c r="ES90" i="11"/>
  <c r="ET90" i="11"/>
  <c r="EU90" i="11"/>
  <c r="FC90" i="11"/>
  <c r="FD90" i="11"/>
  <c r="FE90" i="11"/>
  <c r="FM90" i="11"/>
  <c r="FN90" i="11"/>
  <c r="FO90" i="11"/>
  <c r="FW90" i="11"/>
  <c r="FX90" i="11"/>
  <c r="FY90" i="11"/>
  <c r="GG90" i="11"/>
  <c r="GH90" i="11"/>
  <c r="GI90" i="11"/>
  <c r="GQ90" i="11"/>
  <c r="GR90" i="11"/>
  <c r="GS90" i="11"/>
  <c r="HA90" i="11"/>
  <c r="HB90" i="11"/>
  <c r="HC90" i="11"/>
  <c r="HK90" i="11"/>
  <c r="HL90" i="11"/>
  <c r="HM90" i="11"/>
  <c r="I91" i="11"/>
  <c r="J91" i="11"/>
  <c r="K91" i="11"/>
  <c r="S91" i="11"/>
  <c r="T91" i="11"/>
  <c r="U91" i="11"/>
  <c r="AC91" i="11"/>
  <c r="AD91" i="11"/>
  <c r="AE91" i="11"/>
  <c r="AM91" i="11"/>
  <c r="AN91" i="11"/>
  <c r="AO91" i="11"/>
  <c r="AW91" i="11"/>
  <c r="AX91" i="11"/>
  <c r="AY91" i="11"/>
  <c r="BG91" i="11"/>
  <c r="BH91" i="11"/>
  <c r="BI91" i="11"/>
  <c r="BQ91" i="11"/>
  <c r="BR91" i="11"/>
  <c r="BS91" i="11"/>
  <c r="CA91" i="11"/>
  <c r="CB91" i="11"/>
  <c r="CC91" i="11"/>
  <c r="CK91" i="11"/>
  <c r="CL91" i="11"/>
  <c r="CM91" i="11"/>
  <c r="CU91" i="11"/>
  <c r="CV91" i="11"/>
  <c r="CW91" i="11"/>
  <c r="DE91" i="11"/>
  <c r="DF91" i="11"/>
  <c r="DG91" i="11"/>
  <c r="DO91" i="11"/>
  <c r="DP91" i="11"/>
  <c r="DQ91" i="11"/>
  <c r="DY91" i="11"/>
  <c r="DZ91" i="11"/>
  <c r="EA91" i="11"/>
  <c r="EI91" i="11"/>
  <c r="EJ91" i="11"/>
  <c r="EK91" i="11"/>
  <c r="ES91" i="11"/>
  <c r="ET91" i="11"/>
  <c r="EU91" i="11"/>
  <c r="FC91" i="11"/>
  <c r="FD91" i="11"/>
  <c r="FE91" i="11"/>
  <c r="FM91" i="11"/>
  <c r="FN91" i="11"/>
  <c r="FO91" i="11"/>
  <c r="FW91" i="11"/>
  <c r="FX91" i="11"/>
  <c r="FY91" i="11"/>
  <c r="GG91" i="11"/>
  <c r="GH91" i="11"/>
  <c r="GI91" i="11"/>
  <c r="GQ91" i="11"/>
  <c r="GR91" i="11"/>
  <c r="GS91" i="11"/>
  <c r="HA91" i="11"/>
  <c r="HB91" i="11"/>
  <c r="HC91" i="11"/>
  <c r="HK91" i="11"/>
  <c r="HL91" i="11"/>
  <c r="HM91" i="11"/>
  <c r="I92" i="11"/>
  <c r="J92" i="11"/>
  <c r="K92" i="11"/>
  <c r="S92" i="11"/>
  <c r="T92" i="11"/>
  <c r="U92" i="11"/>
  <c r="AC92" i="11"/>
  <c r="AD92" i="11"/>
  <c r="AE92" i="11"/>
  <c r="AM92" i="11"/>
  <c r="AN92" i="11"/>
  <c r="AO92" i="11"/>
  <c r="AW92" i="11"/>
  <c r="AX92" i="11"/>
  <c r="AY92" i="11"/>
  <c r="BG92" i="11"/>
  <c r="BH92" i="11"/>
  <c r="BI92" i="11"/>
  <c r="BQ92" i="11"/>
  <c r="BR92" i="11"/>
  <c r="BS92" i="11"/>
  <c r="CA92" i="11"/>
  <c r="CB92" i="11"/>
  <c r="CC92" i="11"/>
  <c r="CK92" i="11"/>
  <c r="CL92" i="11"/>
  <c r="CM92" i="11"/>
  <c r="CU92" i="11"/>
  <c r="CV92" i="11"/>
  <c r="CW92" i="11"/>
  <c r="DE92" i="11"/>
  <c r="DF92" i="11"/>
  <c r="DG92" i="11"/>
  <c r="DO92" i="11"/>
  <c r="DP92" i="11"/>
  <c r="DQ92" i="11"/>
  <c r="DY92" i="11"/>
  <c r="DZ92" i="11"/>
  <c r="EA92" i="11"/>
  <c r="EI92" i="11"/>
  <c r="EJ92" i="11"/>
  <c r="EK92" i="11"/>
  <c r="ES92" i="11"/>
  <c r="ET92" i="11"/>
  <c r="EU92" i="11"/>
  <c r="FC92" i="11"/>
  <c r="FD92" i="11"/>
  <c r="FE92" i="11"/>
  <c r="FM92" i="11"/>
  <c r="FN92" i="11"/>
  <c r="FO92" i="11"/>
  <c r="FW92" i="11"/>
  <c r="FX92" i="11"/>
  <c r="FY92" i="11"/>
  <c r="GG92" i="11"/>
  <c r="GH92" i="11"/>
  <c r="GI92" i="11"/>
  <c r="GQ92" i="11"/>
  <c r="GR92" i="11"/>
  <c r="GS92" i="11"/>
  <c r="HA92" i="11"/>
  <c r="HB92" i="11"/>
  <c r="HC92" i="11"/>
  <c r="HK92" i="11"/>
  <c r="HL92" i="11"/>
  <c r="HM92" i="11"/>
  <c r="I93" i="11"/>
  <c r="J93" i="11"/>
  <c r="K93" i="11"/>
  <c r="S93" i="11"/>
  <c r="T93" i="11"/>
  <c r="U93" i="11"/>
  <c r="AB93" i="11"/>
  <c r="AC93" i="11"/>
  <c r="AD93" i="11"/>
  <c r="AE93" i="11"/>
  <c r="AM93" i="11"/>
  <c r="AN93" i="11"/>
  <c r="AO93" i="11"/>
  <c r="AW93" i="11"/>
  <c r="AX93" i="11"/>
  <c r="AY93" i="11"/>
  <c r="BG93" i="11"/>
  <c r="BH93" i="11"/>
  <c r="BI93" i="11"/>
  <c r="BQ93" i="11"/>
  <c r="BR93" i="11"/>
  <c r="BS93" i="11"/>
  <c r="CA93" i="11"/>
  <c r="CB93" i="11"/>
  <c r="CC93" i="11"/>
  <c r="CK93" i="11"/>
  <c r="CL93" i="11"/>
  <c r="CM93" i="11"/>
  <c r="CU93" i="11"/>
  <c r="CV93" i="11"/>
  <c r="CW93" i="11"/>
  <c r="DE93" i="11"/>
  <c r="DF93" i="11"/>
  <c r="DG93" i="11"/>
  <c r="DO93" i="11"/>
  <c r="DP93" i="11"/>
  <c r="DQ93" i="11"/>
  <c r="DY93" i="11"/>
  <c r="DZ93" i="11"/>
  <c r="EA93" i="11"/>
  <c r="EI93" i="11"/>
  <c r="EJ93" i="11"/>
  <c r="EK93" i="11"/>
  <c r="ES93" i="11"/>
  <c r="ET93" i="11"/>
  <c r="EU93" i="11"/>
  <c r="FC93" i="11"/>
  <c r="FD93" i="11"/>
  <c r="FE93" i="11"/>
  <c r="FM93" i="11"/>
  <c r="FN93" i="11"/>
  <c r="FO93" i="11"/>
  <c r="FW93" i="11"/>
  <c r="FX93" i="11"/>
  <c r="FY93" i="11"/>
  <c r="GG93" i="11"/>
  <c r="GH93" i="11"/>
  <c r="GI93" i="11"/>
  <c r="GQ93" i="11"/>
  <c r="GR93" i="11"/>
  <c r="GS93" i="11"/>
  <c r="HA93" i="11"/>
  <c r="HB93" i="11"/>
  <c r="HC93" i="11"/>
  <c r="HK93" i="11"/>
  <c r="HL93" i="11"/>
  <c r="HM93" i="11"/>
  <c r="I94" i="11"/>
  <c r="J94" i="11"/>
  <c r="K94" i="11"/>
  <c r="S94" i="11"/>
  <c r="T94" i="11"/>
  <c r="U94" i="11"/>
  <c r="AC94" i="11"/>
  <c r="AD94" i="11"/>
  <c r="AE94" i="11"/>
  <c r="AM94" i="11"/>
  <c r="AN94" i="11"/>
  <c r="AO94" i="11"/>
  <c r="AW94" i="11"/>
  <c r="AX94" i="11"/>
  <c r="AY94" i="11"/>
  <c r="BG94" i="11"/>
  <c r="BH94" i="11"/>
  <c r="BI94" i="11"/>
  <c r="BQ94" i="11"/>
  <c r="BR94" i="11"/>
  <c r="BS94" i="11"/>
  <c r="CA94" i="11"/>
  <c r="CB94" i="11"/>
  <c r="CC94" i="11"/>
  <c r="CK94" i="11"/>
  <c r="CL94" i="11"/>
  <c r="CM94" i="11"/>
  <c r="CU94" i="11"/>
  <c r="CV94" i="11"/>
  <c r="CW94" i="11"/>
  <c r="DE94" i="11"/>
  <c r="DF94" i="11"/>
  <c r="DG94" i="11"/>
  <c r="DO94" i="11"/>
  <c r="DP94" i="11"/>
  <c r="DQ94" i="11"/>
  <c r="DY94" i="11"/>
  <c r="DZ94" i="11"/>
  <c r="EA94" i="11"/>
  <c r="EI94" i="11"/>
  <c r="EJ94" i="11"/>
  <c r="EK94" i="11"/>
  <c r="ES94" i="11"/>
  <c r="ET94" i="11"/>
  <c r="EU94" i="11"/>
  <c r="FC94" i="11"/>
  <c r="FD94" i="11"/>
  <c r="FE94" i="11"/>
  <c r="FM94" i="11"/>
  <c r="FN94" i="11"/>
  <c r="FO94" i="11"/>
  <c r="FW94" i="11"/>
  <c r="FX94" i="11"/>
  <c r="FY94" i="11"/>
  <c r="GG94" i="11"/>
  <c r="GH94" i="11"/>
  <c r="GI94" i="11"/>
  <c r="GQ94" i="11"/>
  <c r="GR94" i="11"/>
  <c r="GS94" i="11"/>
  <c r="HA94" i="11"/>
  <c r="HB94" i="11"/>
  <c r="HC94" i="11"/>
  <c r="HK94" i="11"/>
  <c r="HL94" i="11"/>
  <c r="HM94" i="11"/>
  <c r="DF88" i="11" l="1"/>
  <c r="FD64" i="11"/>
  <c r="AI27" i="2"/>
  <c r="W7" i="1"/>
  <c r="X7" i="1"/>
  <c r="Y7" i="1"/>
  <c r="Z7" i="1"/>
  <c r="AA7" i="1"/>
  <c r="AB7" i="1"/>
  <c r="W8" i="1"/>
  <c r="X8" i="1"/>
  <c r="Y8" i="1"/>
  <c r="Z8" i="1"/>
  <c r="AA8" i="1"/>
  <c r="AB8" i="1"/>
  <c r="W9" i="1"/>
  <c r="X9" i="1"/>
  <c r="Y9" i="1"/>
  <c r="Z9" i="1"/>
  <c r="AA9" i="1"/>
  <c r="AB9" i="1"/>
  <c r="W10" i="1"/>
  <c r="X10" i="1"/>
  <c r="Y10" i="1"/>
  <c r="Z10" i="1"/>
  <c r="AA10" i="1"/>
  <c r="AB10" i="1"/>
  <c r="W11" i="1"/>
  <c r="X11" i="1"/>
  <c r="Y11" i="1"/>
  <c r="Z11" i="1"/>
  <c r="AA11" i="1"/>
  <c r="AB11" i="1"/>
  <c r="W12" i="1"/>
  <c r="X12" i="1"/>
  <c r="Y12" i="1"/>
  <c r="Z12" i="1"/>
  <c r="AA12" i="1"/>
  <c r="AB12" i="1"/>
  <c r="W13" i="1"/>
  <c r="X13" i="1"/>
  <c r="Y13" i="1"/>
  <c r="Z13" i="1"/>
  <c r="AA13" i="1"/>
  <c r="AB13" i="1"/>
  <c r="W14" i="1"/>
  <c r="X14" i="1"/>
  <c r="Y14" i="1"/>
  <c r="Z14" i="1"/>
  <c r="AA14" i="1"/>
  <c r="AB14" i="1"/>
  <c r="W15" i="1"/>
  <c r="X15" i="1"/>
  <c r="Y15" i="1"/>
  <c r="Z15" i="1"/>
  <c r="AA15" i="1"/>
  <c r="AB15" i="1"/>
  <c r="W16" i="1"/>
  <c r="X16" i="1"/>
  <c r="Y16" i="1"/>
  <c r="Z16" i="1"/>
  <c r="AA16" i="1"/>
  <c r="AB16" i="1"/>
  <c r="W17" i="1"/>
  <c r="X17" i="1"/>
  <c r="Y17" i="1"/>
  <c r="Z17" i="1"/>
  <c r="AA17" i="1"/>
  <c r="AB17" i="1"/>
  <c r="W18" i="1"/>
  <c r="X18" i="1"/>
  <c r="Y18" i="1"/>
  <c r="Z18" i="1"/>
  <c r="AA18" i="1"/>
  <c r="AB18" i="1"/>
  <c r="W19" i="1"/>
  <c r="X19" i="1"/>
  <c r="Y19" i="1"/>
  <c r="Z19" i="1"/>
  <c r="AA19" i="1"/>
  <c r="AB19" i="1"/>
  <c r="W20" i="1"/>
  <c r="X20" i="1"/>
  <c r="Y20" i="1"/>
  <c r="Z20" i="1"/>
  <c r="AA20" i="1"/>
  <c r="AB20" i="1"/>
  <c r="W21" i="1"/>
  <c r="X21" i="1"/>
  <c r="Y21" i="1"/>
  <c r="Z21" i="1"/>
  <c r="AA21" i="1"/>
  <c r="AB21" i="1"/>
  <c r="W22" i="1"/>
  <c r="X22" i="1"/>
  <c r="Y22" i="1"/>
  <c r="Z22" i="1"/>
  <c r="AA22" i="1"/>
  <c r="AB22" i="1"/>
  <c r="W23" i="1"/>
  <c r="X23" i="1"/>
  <c r="Y23" i="1"/>
  <c r="Z23" i="1"/>
  <c r="AA23" i="1"/>
  <c r="AB23" i="1"/>
  <c r="W24" i="1"/>
  <c r="X24" i="1"/>
  <c r="Y24" i="1"/>
  <c r="Z24" i="1"/>
  <c r="AA24" i="1"/>
  <c r="AB24" i="1"/>
  <c r="W25" i="1"/>
  <c r="X25" i="1"/>
  <c r="Y25" i="1"/>
  <c r="Z25" i="1"/>
  <c r="AA25" i="1"/>
  <c r="AB25" i="1"/>
  <c r="W26" i="1"/>
  <c r="X26" i="1"/>
  <c r="Y26" i="1"/>
  <c r="Z26" i="1"/>
  <c r="AA26" i="1"/>
  <c r="AB26" i="1"/>
  <c r="W27" i="1"/>
  <c r="X27" i="1"/>
  <c r="Y27" i="1"/>
  <c r="Z27" i="1"/>
  <c r="AA27" i="1"/>
  <c r="AB27" i="1"/>
  <c r="W28" i="1"/>
  <c r="X28" i="1"/>
  <c r="Y28" i="1"/>
  <c r="Z28" i="1"/>
  <c r="AA28" i="1"/>
  <c r="AB28" i="1"/>
  <c r="W29" i="1"/>
  <c r="X29" i="1"/>
  <c r="Y29" i="1"/>
  <c r="Z29" i="1"/>
  <c r="AA29" i="1"/>
  <c r="AB29" i="1"/>
  <c r="W30" i="1"/>
  <c r="X30" i="1"/>
  <c r="Y30" i="1"/>
  <c r="Z30" i="1"/>
  <c r="AA30" i="1"/>
  <c r="AB30" i="1"/>
  <c r="W31" i="1"/>
  <c r="X31" i="1"/>
  <c r="Y31" i="1"/>
  <c r="Z31" i="1"/>
  <c r="AA31" i="1"/>
  <c r="AB31" i="1"/>
  <c r="W32" i="1"/>
  <c r="X32" i="1"/>
  <c r="Y32" i="1"/>
  <c r="Z32" i="1"/>
  <c r="AA32" i="1"/>
  <c r="AB32" i="1"/>
  <c r="W33" i="1"/>
  <c r="X33" i="1"/>
  <c r="Y33" i="1"/>
  <c r="Z33" i="1"/>
  <c r="AA33" i="1"/>
  <c r="AB33" i="1"/>
  <c r="W34" i="1"/>
  <c r="X34" i="1"/>
  <c r="Y34" i="1"/>
  <c r="Z34" i="1"/>
  <c r="AA34" i="1"/>
  <c r="AB34" i="1"/>
  <c r="W35" i="1"/>
  <c r="X35" i="1"/>
  <c r="Y35" i="1"/>
  <c r="Z35" i="1"/>
  <c r="AA35" i="1"/>
  <c r="AB35" i="1"/>
  <c r="W36" i="1"/>
  <c r="X36" i="1"/>
  <c r="Y36" i="1"/>
  <c r="Z36" i="1"/>
  <c r="AA36" i="1"/>
  <c r="AB36" i="1"/>
  <c r="W37" i="1"/>
  <c r="X37" i="1"/>
  <c r="Y37" i="1"/>
  <c r="Z37" i="1"/>
  <c r="AA37" i="1"/>
  <c r="AB37" i="1"/>
  <c r="W38" i="1"/>
  <c r="X38" i="1"/>
  <c r="Y38" i="1"/>
  <c r="Z38" i="1"/>
  <c r="AA38" i="1"/>
  <c r="AB38" i="1"/>
  <c r="W39" i="1"/>
  <c r="X39" i="1"/>
  <c r="Y39" i="1"/>
  <c r="Z39" i="1"/>
  <c r="AA39" i="1"/>
  <c r="AB39" i="1"/>
  <c r="W40" i="1"/>
  <c r="X40" i="1"/>
  <c r="Y40" i="1"/>
  <c r="Z40" i="1"/>
  <c r="AA40" i="1"/>
  <c r="AB40" i="1"/>
  <c r="W41" i="1"/>
  <c r="X41" i="1"/>
  <c r="Y41" i="1"/>
  <c r="Z41" i="1"/>
  <c r="AA41" i="1"/>
  <c r="AB41" i="1"/>
  <c r="W42" i="1"/>
  <c r="X42" i="1"/>
  <c r="Y42" i="1"/>
  <c r="Z42" i="1"/>
  <c r="AA42" i="1"/>
  <c r="AB42" i="1"/>
  <c r="W43" i="1"/>
  <c r="X43" i="1"/>
  <c r="Y43" i="1"/>
  <c r="Z43" i="1"/>
  <c r="AA43" i="1"/>
  <c r="AB43" i="1"/>
  <c r="W44" i="1"/>
  <c r="X44" i="1"/>
  <c r="Y44" i="1"/>
  <c r="Z44" i="1"/>
  <c r="AA44" i="1"/>
  <c r="AB44" i="1"/>
  <c r="W45" i="1"/>
  <c r="X45" i="1"/>
  <c r="Y45" i="1"/>
  <c r="Z45" i="1"/>
  <c r="AA45" i="1"/>
  <c r="AB45" i="1"/>
  <c r="W46" i="1"/>
  <c r="X46" i="1"/>
  <c r="Y46" i="1"/>
  <c r="Z46" i="1"/>
  <c r="AA46" i="1"/>
  <c r="AB46" i="1"/>
  <c r="W47" i="1"/>
  <c r="X47" i="1"/>
  <c r="Y47" i="1"/>
  <c r="Z47" i="1"/>
  <c r="AA47" i="1"/>
  <c r="AB47" i="1"/>
  <c r="W48" i="1"/>
  <c r="X48" i="1"/>
  <c r="Y48" i="1"/>
  <c r="Z48" i="1"/>
  <c r="AA48" i="1"/>
  <c r="AB48" i="1"/>
  <c r="W49" i="1"/>
  <c r="X49" i="1"/>
  <c r="Y49" i="1"/>
  <c r="Z49" i="1"/>
  <c r="AA49" i="1"/>
  <c r="AB49" i="1"/>
  <c r="W50" i="1"/>
  <c r="X50" i="1"/>
  <c r="Y50" i="1"/>
  <c r="Z50" i="1"/>
  <c r="AA50" i="1"/>
  <c r="AB50" i="1"/>
  <c r="W51" i="1"/>
  <c r="X51" i="1"/>
  <c r="Y51" i="1"/>
  <c r="Z51" i="1"/>
  <c r="AA51" i="1"/>
  <c r="AB51" i="1"/>
  <c r="W52" i="1"/>
  <c r="X52" i="1"/>
  <c r="Y52" i="1"/>
  <c r="Z52" i="1"/>
  <c r="AA52" i="1"/>
  <c r="AB52" i="1"/>
  <c r="W53" i="1"/>
  <c r="X53" i="1"/>
  <c r="Y53" i="1"/>
  <c r="Z53" i="1"/>
  <c r="AA53" i="1"/>
  <c r="AB53" i="1"/>
  <c r="W54" i="1"/>
  <c r="X54" i="1"/>
  <c r="Y54" i="1"/>
  <c r="Z54" i="1"/>
  <c r="AA54" i="1"/>
  <c r="AB54" i="1"/>
  <c r="W55" i="1"/>
  <c r="X55" i="1"/>
  <c r="Y55" i="1"/>
  <c r="Z55" i="1"/>
  <c r="AA55" i="1"/>
  <c r="AB55" i="1"/>
  <c r="W56" i="1"/>
  <c r="X56" i="1"/>
  <c r="Y56" i="1"/>
  <c r="Z56" i="1"/>
  <c r="AA56" i="1"/>
  <c r="AB56" i="1"/>
  <c r="W57" i="1"/>
  <c r="X57" i="1"/>
  <c r="Y57" i="1"/>
  <c r="Z57" i="1"/>
  <c r="AA57" i="1"/>
  <c r="AB57" i="1"/>
  <c r="W58" i="1"/>
  <c r="X58" i="1"/>
  <c r="Y58" i="1"/>
  <c r="Z58" i="1"/>
  <c r="AA58" i="1"/>
  <c r="AB58" i="1"/>
  <c r="W59" i="1"/>
  <c r="X59" i="1"/>
  <c r="Y59" i="1"/>
  <c r="Z59" i="1"/>
  <c r="AA59" i="1"/>
  <c r="AB59" i="1"/>
  <c r="W60" i="1"/>
  <c r="X60" i="1"/>
  <c r="Y60" i="1"/>
  <c r="Z60" i="1"/>
  <c r="AA60" i="1"/>
  <c r="AB60" i="1"/>
  <c r="W61" i="1"/>
  <c r="X61" i="1"/>
  <c r="Y61" i="1"/>
  <c r="Z61" i="1"/>
  <c r="AA61" i="1"/>
  <c r="AB61" i="1"/>
  <c r="W62" i="1"/>
  <c r="X62" i="1"/>
  <c r="Y62" i="1"/>
  <c r="Z62" i="1"/>
  <c r="AA62" i="1"/>
  <c r="AB62" i="1"/>
  <c r="W63" i="1"/>
  <c r="X63" i="1"/>
  <c r="Y63" i="1"/>
  <c r="Z63" i="1"/>
  <c r="AA63" i="1"/>
  <c r="AB63" i="1"/>
  <c r="W64" i="1"/>
  <c r="X64" i="1"/>
  <c r="Y64" i="1"/>
  <c r="Z64" i="1"/>
  <c r="AA64" i="1"/>
  <c r="AB64" i="1"/>
  <c r="W65" i="1"/>
  <c r="X65" i="1"/>
  <c r="Y65" i="1"/>
  <c r="Z65" i="1"/>
  <c r="AA65" i="1"/>
  <c r="AB65" i="1"/>
  <c r="W66" i="1"/>
  <c r="X66" i="1"/>
  <c r="Y66" i="1"/>
  <c r="Z66" i="1"/>
  <c r="AA66" i="1"/>
  <c r="AB66" i="1"/>
  <c r="W67" i="1"/>
  <c r="X67" i="1"/>
  <c r="Y67" i="1"/>
  <c r="Z67" i="1"/>
  <c r="AA67" i="1"/>
  <c r="AB67" i="1"/>
  <c r="W68" i="1"/>
  <c r="X68" i="1"/>
  <c r="Y68" i="1"/>
  <c r="Z68" i="1"/>
  <c r="AA68" i="1"/>
  <c r="AB68" i="1"/>
  <c r="W69" i="1"/>
  <c r="X69" i="1"/>
  <c r="Y69" i="1"/>
  <c r="Z69" i="1"/>
  <c r="AA69" i="1"/>
  <c r="AB69" i="1"/>
  <c r="W70" i="1"/>
  <c r="X70" i="1"/>
  <c r="Y70" i="1"/>
  <c r="Z70" i="1"/>
  <c r="AA70" i="1"/>
  <c r="AB70" i="1"/>
  <c r="W71" i="1"/>
  <c r="X71" i="1"/>
  <c r="Y71" i="1"/>
  <c r="Z71" i="1"/>
  <c r="AA71" i="1"/>
  <c r="AB71" i="1"/>
  <c r="W72" i="1"/>
  <c r="X72" i="1"/>
  <c r="Y72" i="1"/>
  <c r="Z72" i="1"/>
  <c r="AA72" i="1"/>
  <c r="AB72" i="1"/>
  <c r="W73" i="1"/>
  <c r="X73" i="1"/>
  <c r="Y73" i="1"/>
  <c r="Z73" i="1"/>
  <c r="AA73" i="1"/>
  <c r="AB73" i="1"/>
  <c r="W74" i="1"/>
  <c r="X74" i="1"/>
  <c r="Y74" i="1"/>
  <c r="Z74" i="1"/>
  <c r="AA74" i="1"/>
  <c r="AB74" i="1"/>
  <c r="W75" i="1"/>
  <c r="X75" i="1"/>
  <c r="Y75" i="1"/>
  <c r="Z75" i="1"/>
  <c r="AA75" i="1"/>
  <c r="AB75" i="1"/>
  <c r="W76" i="1"/>
  <c r="X76" i="1"/>
  <c r="Y76" i="1"/>
  <c r="Z76" i="1"/>
  <c r="AA76" i="1"/>
  <c r="AB76" i="1"/>
  <c r="W77" i="1"/>
  <c r="X77" i="1"/>
  <c r="Y77" i="1"/>
  <c r="Z77" i="1"/>
  <c r="AA77" i="1"/>
  <c r="AB77" i="1"/>
  <c r="W78" i="1"/>
  <c r="X78" i="1"/>
  <c r="Y78" i="1"/>
  <c r="Z78" i="1"/>
  <c r="AA78" i="1"/>
  <c r="AB78" i="1"/>
  <c r="W79" i="1"/>
  <c r="X79" i="1"/>
  <c r="Y79" i="1"/>
  <c r="Z79" i="1"/>
  <c r="AA79" i="1"/>
  <c r="AB79" i="1"/>
  <c r="W80" i="1"/>
  <c r="X80" i="1"/>
  <c r="Y80" i="1"/>
  <c r="Z80" i="1"/>
  <c r="AA80" i="1"/>
  <c r="AB80" i="1"/>
  <c r="W81" i="1"/>
  <c r="X81" i="1"/>
  <c r="Y81" i="1"/>
  <c r="Z81" i="1"/>
  <c r="AA81" i="1"/>
  <c r="AB81" i="1"/>
  <c r="W82" i="1"/>
  <c r="X82" i="1"/>
  <c r="Y82" i="1"/>
  <c r="Z82" i="1"/>
  <c r="AA82" i="1"/>
  <c r="AB82" i="1"/>
  <c r="W83" i="1"/>
  <c r="X83" i="1"/>
  <c r="Y83" i="1"/>
  <c r="Z83" i="1"/>
  <c r="AA83" i="1"/>
  <c r="AB83" i="1"/>
  <c r="W84" i="1"/>
  <c r="X84" i="1"/>
  <c r="Y84" i="1"/>
  <c r="Z84" i="1"/>
  <c r="AA84" i="1"/>
  <c r="AB84" i="1"/>
  <c r="W85" i="1"/>
  <c r="X85" i="1"/>
  <c r="Y85" i="1"/>
  <c r="Z85" i="1"/>
  <c r="AA85" i="1"/>
  <c r="AB85" i="1"/>
  <c r="W86" i="1"/>
  <c r="X86" i="1"/>
  <c r="Y86" i="1"/>
  <c r="Z86" i="1"/>
  <c r="AA86" i="1"/>
  <c r="AB86" i="1"/>
  <c r="W87" i="1"/>
  <c r="X87" i="1"/>
  <c r="Y87" i="1"/>
  <c r="Z87" i="1"/>
  <c r="AA87" i="1"/>
  <c r="AB87" i="1"/>
  <c r="W88" i="1"/>
  <c r="X88" i="1"/>
  <c r="Y88" i="1"/>
  <c r="Z88" i="1"/>
  <c r="AA88" i="1"/>
  <c r="AB88" i="1"/>
  <c r="W89" i="1"/>
  <c r="X89" i="1"/>
  <c r="Y89" i="1"/>
  <c r="Z89" i="1"/>
  <c r="AA89" i="1"/>
  <c r="AB89" i="1"/>
  <c r="W90" i="1"/>
  <c r="X90" i="1"/>
  <c r="Y90" i="1"/>
  <c r="Z90" i="1"/>
  <c r="AA90" i="1"/>
  <c r="AB90" i="1"/>
  <c r="W91" i="1"/>
  <c r="X91" i="1"/>
  <c r="Y91" i="1"/>
  <c r="Z91" i="1"/>
  <c r="AA91" i="1"/>
  <c r="AB91" i="1"/>
  <c r="W92" i="1"/>
  <c r="X92" i="1"/>
  <c r="Y92" i="1"/>
  <c r="Z92" i="1"/>
  <c r="AA92" i="1"/>
  <c r="AB92" i="1"/>
  <c r="W93" i="1"/>
  <c r="X93" i="1"/>
  <c r="Y93" i="1"/>
  <c r="Z93" i="1"/>
  <c r="AA93" i="1"/>
  <c r="AB93" i="1"/>
  <c r="W94" i="1"/>
  <c r="X94" i="1"/>
  <c r="Y94" i="1"/>
  <c r="Z94" i="1"/>
  <c r="AA94" i="1"/>
  <c r="AB94" i="1"/>
  <c r="W95" i="1"/>
  <c r="X95" i="1"/>
  <c r="Y95" i="1"/>
  <c r="Z95" i="1"/>
  <c r="AA95" i="1"/>
  <c r="AB95" i="1"/>
  <c r="W96" i="1"/>
  <c r="X96" i="1"/>
  <c r="Y96" i="1"/>
  <c r="Z96" i="1"/>
  <c r="AA96" i="1"/>
  <c r="AB96" i="1"/>
  <c r="W97" i="1"/>
  <c r="X97" i="1"/>
  <c r="Y97" i="1"/>
  <c r="Z97" i="1"/>
  <c r="AA97" i="1"/>
  <c r="AB97" i="1"/>
  <c r="W98" i="1"/>
  <c r="X98" i="1"/>
  <c r="Y98" i="1"/>
  <c r="Z98" i="1"/>
  <c r="AA98" i="1"/>
  <c r="AB98" i="1"/>
  <c r="W99" i="1"/>
  <c r="X99" i="1"/>
  <c r="Y99" i="1"/>
  <c r="Z99" i="1"/>
  <c r="AA99" i="1"/>
  <c r="AB99" i="1"/>
  <c r="W100" i="1"/>
  <c r="X100" i="1"/>
  <c r="Y100" i="1"/>
  <c r="Z100" i="1"/>
  <c r="AA100" i="1"/>
  <c r="AB100" i="1"/>
  <c r="W101" i="1"/>
  <c r="X101" i="1"/>
  <c r="Y101" i="1"/>
  <c r="Z101" i="1"/>
  <c r="AA101" i="1"/>
  <c r="AB101" i="1"/>
  <c r="W102" i="1"/>
  <c r="X102" i="1"/>
  <c r="Y102" i="1"/>
  <c r="Z102" i="1"/>
  <c r="AA102" i="1"/>
  <c r="AB102" i="1"/>
  <c r="W103" i="1"/>
  <c r="X103" i="1"/>
  <c r="Y103" i="1"/>
  <c r="Z103" i="1"/>
  <c r="AA103" i="1"/>
  <c r="AB103" i="1"/>
  <c r="W104" i="1"/>
  <c r="X104" i="1"/>
  <c r="Y104" i="1"/>
  <c r="Z104" i="1"/>
  <c r="AA104" i="1"/>
  <c r="AB104" i="1"/>
  <c r="W105" i="1"/>
  <c r="X105" i="1"/>
  <c r="Y105" i="1"/>
  <c r="Z105" i="1"/>
  <c r="AA105" i="1"/>
  <c r="AB105" i="1"/>
  <c r="W106" i="1"/>
  <c r="X106" i="1"/>
  <c r="Y106" i="1"/>
  <c r="Z106" i="1"/>
  <c r="AA106" i="1"/>
  <c r="AB106" i="1"/>
  <c r="W107" i="1"/>
  <c r="X107" i="1"/>
  <c r="Y107" i="1"/>
  <c r="Z107" i="1"/>
  <c r="AA107" i="1"/>
  <c r="AB107" i="1"/>
  <c r="W108" i="1"/>
  <c r="X108" i="1"/>
  <c r="Y108" i="1"/>
  <c r="Z108" i="1"/>
  <c r="AA108" i="1"/>
  <c r="AB108" i="1"/>
  <c r="W109" i="1"/>
  <c r="X109" i="1"/>
  <c r="Y109" i="1"/>
  <c r="Z109" i="1"/>
  <c r="AA109" i="1"/>
  <c r="AB109" i="1"/>
  <c r="W110" i="1"/>
  <c r="X110" i="1"/>
  <c r="Y110" i="1"/>
  <c r="Z110" i="1"/>
  <c r="AA110" i="1"/>
  <c r="AB110" i="1"/>
  <c r="W111" i="1"/>
  <c r="X111" i="1"/>
  <c r="Y111" i="1"/>
  <c r="Z111" i="1"/>
  <c r="AA111" i="1"/>
  <c r="AB111" i="1"/>
  <c r="W112" i="1"/>
  <c r="X112" i="1"/>
  <c r="Y112" i="1"/>
  <c r="Z112" i="1"/>
  <c r="AA112" i="1"/>
  <c r="AB112" i="1"/>
  <c r="W113" i="1"/>
  <c r="X113" i="1"/>
  <c r="Y113" i="1"/>
  <c r="Z113" i="1"/>
  <c r="AA113" i="1"/>
  <c r="AB113" i="1"/>
  <c r="W114" i="1"/>
  <c r="X114" i="1"/>
  <c r="Y114" i="1"/>
  <c r="Z114" i="1"/>
  <c r="AA114" i="1"/>
  <c r="AB114" i="1"/>
  <c r="W115" i="1"/>
  <c r="X115" i="1"/>
  <c r="Y115" i="1"/>
  <c r="Z115" i="1"/>
  <c r="AA115" i="1"/>
  <c r="AB115" i="1"/>
  <c r="W116" i="1"/>
  <c r="X116" i="1"/>
  <c r="Y116" i="1"/>
  <c r="Z116" i="1"/>
  <c r="AA116" i="1"/>
  <c r="AB116" i="1"/>
  <c r="W117" i="1"/>
  <c r="X117" i="1"/>
  <c r="Y117" i="1"/>
  <c r="Z117" i="1"/>
  <c r="AA117" i="1"/>
  <c r="AB117" i="1"/>
  <c r="W118" i="1"/>
  <c r="X118" i="1"/>
  <c r="Y118" i="1"/>
  <c r="Z118" i="1"/>
  <c r="AA118" i="1"/>
  <c r="AB118" i="1"/>
  <c r="W119" i="1"/>
  <c r="X119" i="1"/>
  <c r="Y119" i="1"/>
  <c r="Z119" i="1"/>
  <c r="AA119" i="1"/>
  <c r="AB119" i="1"/>
  <c r="W120" i="1"/>
  <c r="X120" i="1"/>
  <c r="Y120" i="1"/>
  <c r="Z120" i="1"/>
  <c r="AA120" i="1"/>
  <c r="AB120" i="1"/>
  <c r="W121" i="1"/>
  <c r="X121" i="1"/>
  <c r="Y121" i="1"/>
  <c r="Z121" i="1"/>
  <c r="AA121" i="1"/>
  <c r="AB121" i="1"/>
  <c r="W122" i="1"/>
  <c r="X122" i="1"/>
  <c r="Y122" i="1"/>
  <c r="Z122" i="1"/>
  <c r="AA122" i="1"/>
  <c r="AB122" i="1"/>
  <c r="W123" i="1"/>
  <c r="X123" i="1"/>
  <c r="Y123" i="1"/>
  <c r="Z123" i="1"/>
  <c r="AA123" i="1"/>
  <c r="AB123" i="1"/>
  <c r="W124" i="1"/>
  <c r="X124" i="1"/>
  <c r="Y124" i="1"/>
  <c r="Z124" i="1"/>
  <c r="AA124" i="1"/>
  <c r="AB124" i="1"/>
  <c r="W125" i="1"/>
  <c r="X125" i="1"/>
  <c r="Y125" i="1"/>
  <c r="Z125" i="1"/>
  <c r="AA125" i="1"/>
  <c r="AB125" i="1"/>
  <c r="W126" i="1"/>
  <c r="X126" i="1"/>
  <c r="Y126" i="1"/>
  <c r="Z126" i="1"/>
  <c r="AA126" i="1"/>
  <c r="AB126" i="1"/>
  <c r="W127" i="1"/>
  <c r="X127" i="1"/>
  <c r="Y127" i="1"/>
  <c r="Z127" i="1"/>
  <c r="AA127" i="1"/>
  <c r="AB127" i="1"/>
  <c r="W128" i="1"/>
  <c r="X128" i="1"/>
  <c r="Y128" i="1"/>
  <c r="Z128" i="1"/>
  <c r="AA128" i="1"/>
  <c r="AB128" i="1"/>
  <c r="W129" i="1"/>
  <c r="X129" i="1"/>
  <c r="Y129" i="1"/>
  <c r="Z129" i="1"/>
  <c r="AA129" i="1"/>
  <c r="AB129" i="1"/>
  <c r="W130" i="1"/>
  <c r="X130" i="1"/>
  <c r="Y130" i="1"/>
  <c r="Z130" i="1"/>
  <c r="AA130" i="1"/>
  <c r="AB130" i="1"/>
  <c r="W131" i="1"/>
  <c r="X131" i="1"/>
  <c r="Y131" i="1"/>
  <c r="Z131" i="1"/>
  <c r="AA131" i="1"/>
  <c r="AB131" i="1"/>
  <c r="W132" i="1"/>
  <c r="X132" i="1"/>
  <c r="Y132" i="1"/>
  <c r="Z132" i="1"/>
  <c r="AA132" i="1"/>
  <c r="AB132" i="1"/>
  <c r="W133" i="1"/>
  <c r="X133" i="1"/>
  <c r="Y133" i="1"/>
  <c r="Z133" i="1"/>
  <c r="AA133" i="1"/>
  <c r="AB133" i="1"/>
  <c r="W134" i="1"/>
  <c r="X134" i="1"/>
  <c r="Y134" i="1"/>
  <c r="Z134" i="1"/>
  <c r="AA134" i="1"/>
  <c r="AB134" i="1"/>
  <c r="W135" i="1"/>
  <c r="X135" i="1"/>
  <c r="Y135" i="1"/>
  <c r="Z135" i="1"/>
  <c r="AA135" i="1"/>
  <c r="AB135" i="1"/>
  <c r="W136" i="1"/>
  <c r="X136" i="1"/>
  <c r="Y136" i="1"/>
  <c r="Z136" i="1"/>
  <c r="AA136" i="1"/>
  <c r="AB136" i="1"/>
  <c r="W137" i="1"/>
  <c r="X137" i="1"/>
  <c r="Y137" i="1"/>
  <c r="Z137" i="1"/>
  <c r="AA137" i="1"/>
  <c r="AB137" i="1"/>
  <c r="W138" i="1"/>
  <c r="X138" i="1"/>
  <c r="Y138" i="1"/>
  <c r="Z138" i="1"/>
  <c r="AA138" i="1"/>
  <c r="AB138" i="1"/>
  <c r="W139" i="1"/>
  <c r="X139" i="1"/>
  <c r="Y139" i="1"/>
  <c r="Z139" i="1"/>
  <c r="AA139" i="1"/>
  <c r="AB139" i="1"/>
  <c r="W140" i="1"/>
  <c r="X140" i="1"/>
  <c r="Y140" i="1"/>
  <c r="Z140" i="1"/>
  <c r="AA140" i="1"/>
  <c r="AB140" i="1"/>
  <c r="W141" i="1"/>
  <c r="X141" i="1"/>
  <c r="Y141" i="1"/>
  <c r="Z141" i="1"/>
  <c r="AA141" i="1"/>
  <c r="AB141" i="1"/>
  <c r="W142" i="1"/>
  <c r="X142" i="1"/>
  <c r="Y142" i="1"/>
  <c r="Z142" i="1"/>
  <c r="AA142" i="1"/>
  <c r="AB142" i="1"/>
  <c r="W143" i="1"/>
  <c r="X143" i="1"/>
  <c r="Y143" i="1"/>
  <c r="Z143" i="1"/>
  <c r="AA143" i="1"/>
  <c r="AB143" i="1"/>
  <c r="W144" i="1"/>
  <c r="X144" i="1"/>
  <c r="Y144" i="1"/>
  <c r="Z144" i="1"/>
  <c r="AA144" i="1"/>
  <c r="AB144" i="1"/>
  <c r="W145" i="1"/>
  <c r="X145" i="1"/>
  <c r="Y145" i="1"/>
  <c r="Z145" i="1"/>
  <c r="AA145" i="1"/>
  <c r="AB145" i="1"/>
  <c r="W146" i="1"/>
  <c r="X146" i="1"/>
  <c r="Y146" i="1"/>
  <c r="Z146" i="1"/>
  <c r="AA146" i="1"/>
  <c r="AB146" i="1"/>
  <c r="W147" i="1"/>
  <c r="X147" i="1"/>
  <c r="Y147" i="1"/>
  <c r="Z147" i="1"/>
  <c r="AA147" i="1"/>
  <c r="AB147" i="1"/>
  <c r="W148" i="1"/>
  <c r="X148" i="1"/>
  <c r="Y148" i="1"/>
  <c r="Z148" i="1"/>
  <c r="AA148" i="1"/>
  <c r="AB148" i="1"/>
  <c r="W149" i="1"/>
  <c r="X149" i="1"/>
  <c r="Y149" i="1"/>
  <c r="Z149" i="1"/>
  <c r="AA149" i="1"/>
  <c r="AB149" i="1"/>
  <c r="W150" i="1"/>
  <c r="X150" i="1"/>
  <c r="Y150" i="1"/>
  <c r="Z150" i="1"/>
  <c r="AA150" i="1"/>
  <c r="AB150" i="1"/>
  <c r="W151" i="1"/>
  <c r="X151" i="1"/>
  <c r="Y151" i="1"/>
  <c r="Z151" i="1"/>
  <c r="AA151" i="1"/>
  <c r="AB151" i="1"/>
  <c r="W152" i="1"/>
  <c r="X152" i="1"/>
  <c r="Y152" i="1"/>
  <c r="Z152" i="1"/>
  <c r="AA152" i="1"/>
  <c r="AB152" i="1"/>
  <c r="W153" i="1"/>
  <c r="X153" i="1"/>
  <c r="Y153" i="1"/>
  <c r="Z153" i="1"/>
  <c r="AA153" i="1"/>
  <c r="AB153" i="1"/>
  <c r="W154" i="1"/>
  <c r="X154" i="1"/>
  <c r="Y154" i="1"/>
  <c r="Z154" i="1"/>
  <c r="AA154" i="1"/>
  <c r="AB154" i="1"/>
  <c r="W155" i="1"/>
  <c r="X155" i="1"/>
  <c r="Y155" i="1"/>
  <c r="Z155" i="1"/>
  <c r="AA155" i="1"/>
  <c r="AB155" i="1"/>
  <c r="W156" i="1"/>
  <c r="X156" i="1"/>
  <c r="Y156" i="1"/>
  <c r="Z156" i="1"/>
  <c r="AA156" i="1"/>
  <c r="AB156" i="1"/>
  <c r="W157" i="1"/>
  <c r="X157" i="1"/>
  <c r="Y157" i="1"/>
  <c r="Z157" i="1"/>
  <c r="AA157" i="1"/>
  <c r="AB157" i="1"/>
  <c r="W158" i="1"/>
  <c r="X158" i="1"/>
  <c r="Y158" i="1"/>
  <c r="Z158" i="1"/>
  <c r="AA158" i="1"/>
  <c r="AB158" i="1"/>
  <c r="W159" i="1"/>
  <c r="X159" i="1"/>
  <c r="Y159" i="1"/>
  <c r="Z159" i="1"/>
  <c r="AA159" i="1"/>
  <c r="AB159" i="1"/>
  <c r="W160" i="1"/>
  <c r="X160" i="1"/>
  <c r="Y160" i="1"/>
  <c r="Z160" i="1"/>
  <c r="AA160" i="1"/>
  <c r="AB160" i="1"/>
  <c r="W161" i="1"/>
  <c r="X161" i="1"/>
  <c r="Y161" i="1"/>
  <c r="Z161" i="1"/>
  <c r="AA161" i="1"/>
  <c r="AB161" i="1"/>
  <c r="W162" i="1"/>
  <c r="X162" i="1"/>
  <c r="Y162" i="1"/>
  <c r="Z162" i="1"/>
  <c r="AA162" i="1"/>
  <c r="AB162" i="1"/>
  <c r="W163" i="1"/>
  <c r="X163" i="1"/>
  <c r="Y163" i="1"/>
  <c r="Z163" i="1"/>
  <c r="AA163" i="1"/>
  <c r="AB163" i="1"/>
  <c r="W164" i="1"/>
  <c r="X164" i="1"/>
  <c r="Y164" i="1"/>
  <c r="Z164" i="1"/>
  <c r="AA164" i="1"/>
  <c r="AB164" i="1"/>
  <c r="W165" i="1"/>
  <c r="X165" i="1"/>
  <c r="Y165" i="1"/>
  <c r="Z165" i="1"/>
  <c r="AA165" i="1"/>
  <c r="AB165" i="1"/>
  <c r="W166" i="1"/>
  <c r="X166" i="1"/>
  <c r="Y166" i="1"/>
  <c r="Z166" i="1"/>
  <c r="AA166" i="1"/>
  <c r="AB166" i="1"/>
  <c r="W167" i="1"/>
  <c r="X167" i="1"/>
  <c r="Y167" i="1"/>
  <c r="Z167" i="1"/>
  <c r="AA167" i="1"/>
  <c r="AB167" i="1"/>
  <c r="W168" i="1"/>
  <c r="X168" i="1"/>
  <c r="Y168" i="1"/>
  <c r="Z168" i="1"/>
  <c r="AA168" i="1"/>
  <c r="AB168" i="1"/>
  <c r="W169" i="1"/>
  <c r="X169" i="1"/>
  <c r="Y169" i="1"/>
  <c r="Z169" i="1"/>
  <c r="AA169" i="1"/>
  <c r="AB169" i="1"/>
  <c r="W170" i="1"/>
  <c r="X170" i="1"/>
  <c r="Y170" i="1"/>
  <c r="Z170" i="1"/>
  <c r="AA170" i="1"/>
  <c r="AB170" i="1"/>
  <c r="W171" i="1"/>
  <c r="X171" i="1"/>
  <c r="Y171" i="1"/>
  <c r="Z171" i="1"/>
  <c r="AA171" i="1"/>
  <c r="AB171" i="1"/>
  <c r="W172" i="1"/>
  <c r="X172" i="1"/>
  <c r="Y172" i="1"/>
  <c r="Z172" i="1"/>
  <c r="AA172" i="1"/>
  <c r="AB172" i="1"/>
  <c r="W173" i="1"/>
  <c r="X173" i="1"/>
  <c r="Y173" i="1"/>
  <c r="Z173" i="1"/>
  <c r="AA173" i="1"/>
  <c r="AB173" i="1"/>
  <c r="W174" i="1"/>
  <c r="X174" i="1"/>
  <c r="Y174" i="1"/>
  <c r="Z174" i="1"/>
  <c r="AA174" i="1"/>
  <c r="AB174" i="1"/>
  <c r="W175" i="1"/>
  <c r="X175" i="1"/>
  <c r="Y175" i="1"/>
  <c r="Z175" i="1"/>
  <c r="AA175" i="1"/>
  <c r="AB175" i="1"/>
  <c r="W176" i="1"/>
  <c r="X176" i="1"/>
  <c r="Y176" i="1"/>
  <c r="Z176" i="1"/>
  <c r="AA176" i="1"/>
  <c r="AB176" i="1"/>
  <c r="W177" i="1"/>
  <c r="X177" i="1"/>
  <c r="Y177" i="1"/>
  <c r="Z177" i="1"/>
  <c r="AA177" i="1"/>
  <c r="AB177" i="1"/>
  <c r="W178" i="1"/>
  <c r="X178" i="1"/>
  <c r="Y178" i="1"/>
  <c r="Z178" i="1"/>
  <c r="AA178" i="1"/>
  <c r="AB178" i="1"/>
  <c r="W179" i="1"/>
  <c r="X179" i="1"/>
  <c r="Y179" i="1"/>
  <c r="Z179" i="1"/>
  <c r="AA179" i="1"/>
  <c r="AB179" i="1"/>
  <c r="W180" i="1"/>
  <c r="X180" i="1"/>
  <c r="Y180" i="1"/>
  <c r="Z180" i="1"/>
  <c r="AA180" i="1"/>
  <c r="AB180" i="1"/>
  <c r="W181" i="1"/>
  <c r="X181" i="1"/>
  <c r="Y181" i="1"/>
  <c r="Z181" i="1"/>
  <c r="AA181" i="1"/>
  <c r="AB181" i="1"/>
  <c r="W182" i="1"/>
  <c r="X182" i="1"/>
  <c r="Y182" i="1"/>
  <c r="Z182" i="1"/>
  <c r="AA182" i="1"/>
  <c r="AB182" i="1"/>
  <c r="W183" i="1"/>
  <c r="X183" i="1"/>
  <c r="Y183" i="1"/>
  <c r="Z183" i="1"/>
  <c r="AA183" i="1"/>
  <c r="AB183" i="1"/>
  <c r="W184" i="1"/>
  <c r="X184" i="1"/>
  <c r="Y184" i="1"/>
  <c r="Z184" i="1"/>
  <c r="AA184" i="1"/>
  <c r="AB184" i="1"/>
  <c r="W185" i="1"/>
  <c r="X185" i="1"/>
  <c r="Y185" i="1"/>
  <c r="Z185" i="1"/>
  <c r="AA185" i="1"/>
  <c r="AB185" i="1"/>
  <c r="W186" i="1"/>
  <c r="X186" i="1"/>
  <c r="Y186" i="1"/>
  <c r="Z186" i="1"/>
  <c r="AA186" i="1"/>
  <c r="AB186" i="1"/>
  <c r="W187" i="1"/>
  <c r="X187" i="1"/>
  <c r="Y187" i="1"/>
  <c r="Z187" i="1"/>
  <c r="AA187" i="1"/>
  <c r="AB187" i="1"/>
  <c r="W188" i="1"/>
  <c r="X188" i="1"/>
  <c r="Y188" i="1"/>
  <c r="Z188" i="1"/>
  <c r="AA188" i="1"/>
  <c r="AB188" i="1"/>
  <c r="W189" i="1"/>
  <c r="X189" i="1"/>
  <c r="Y189" i="1"/>
  <c r="Z189" i="1"/>
  <c r="AA189" i="1"/>
  <c r="AB189" i="1"/>
  <c r="W190" i="1"/>
  <c r="X190" i="1"/>
  <c r="Y190" i="1"/>
  <c r="Z190" i="1"/>
  <c r="AA190" i="1"/>
  <c r="AB190" i="1"/>
  <c r="W191" i="1"/>
  <c r="X191" i="1"/>
  <c r="Y191" i="1"/>
  <c r="Z191" i="1"/>
  <c r="AA191" i="1"/>
  <c r="AB191" i="1"/>
  <c r="W192" i="1"/>
  <c r="X192" i="1"/>
  <c r="Y192" i="1"/>
  <c r="Z192" i="1"/>
  <c r="AA192" i="1"/>
  <c r="AB192" i="1"/>
  <c r="W193" i="1"/>
  <c r="X193" i="1"/>
  <c r="Y193" i="1"/>
  <c r="Z193" i="1"/>
  <c r="AA193" i="1"/>
  <c r="AB193" i="1"/>
  <c r="W194" i="1"/>
  <c r="X194" i="1"/>
  <c r="Y194" i="1"/>
  <c r="Z194" i="1"/>
  <c r="AA194" i="1"/>
  <c r="AB194" i="1"/>
  <c r="W195" i="1"/>
  <c r="X195" i="1"/>
  <c r="Y195" i="1"/>
  <c r="Z195" i="1"/>
  <c r="AA195" i="1"/>
  <c r="AB195" i="1"/>
  <c r="W196" i="1"/>
  <c r="X196" i="1"/>
  <c r="Y196" i="1"/>
  <c r="Z196" i="1"/>
  <c r="AA196" i="1"/>
  <c r="AB196" i="1"/>
  <c r="W197" i="1"/>
  <c r="X197" i="1"/>
  <c r="Y197" i="1"/>
  <c r="Z197" i="1"/>
  <c r="AA197" i="1"/>
  <c r="AB197" i="1"/>
  <c r="W198" i="1"/>
  <c r="X198" i="1"/>
  <c r="Y198" i="1"/>
  <c r="Z198" i="1"/>
  <c r="AA198" i="1"/>
  <c r="AB198" i="1"/>
  <c r="W199" i="1"/>
  <c r="X199" i="1"/>
  <c r="Y199" i="1"/>
  <c r="Z199" i="1"/>
  <c r="AA199" i="1"/>
  <c r="AB199" i="1"/>
  <c r="W200" i="1"/>
  <c r="X200" i="1"/>
  <c r="Y200" i="1"/>
  <c r="Z200" i="1"/>
  <c r="AA200" i="1"/>
  <c r="AB200" i="1"/>
  <c r="W201" i="1"/>
  <c r="X201" i="1"/>
  <c r="Y201" i="1"/>
  <c r="Z201" i="1"/>
  <c r="AA201" i="1"/>
  <c r="AB201" i="1"/>
  <c r="W202" i="1"/>
  <c r="X202" i="1"/>
  <c r="Y202" i="1"/>
  <c r="Z202" i="1"/>
  <c r="AA202" i="1"/>
  <c r="AB202" i="1"/>
  <c r="W203" i="1"/>
  <c r="X203" i="1"/>
  <c r="Y203" i="1"/>
  <c r="Z203" i="1"/>
  <c r="AA203" i="1"/>
  <c r="AB203" i="1"/>
  <c r="W204" i="1"/>
  <c r="X204" i="1"/>
  <c r="Y204" i="1"/>
  <c r="Z204" i="1"/>
  <c r="AA204" i="1"/>
  <c r="AB204" i="1"/>
  <c r="W205" i="1"/>
  <c r="X205" i="1"/>
  <c r="Y205" i="1"/>
  <c r="Z205" i="1"/>
  <c r="AA205" i="1"/>
  <c r="AB205" i="1"/>
  <c r="W206" i="1"/>
  <c r="X206" i="1"/>
  <c r="Y206" i="1"/>
  <c r="Z206" i="1"/>
  <c r="AA206" i="1"/>
  <c r="AB206" i="1"/>
  <c r="W207" i="1"/>
  <c r="X207" i="1"/>
  <c r="Y207" i="1"/>
  <c r="Z207" i="1"/>
  <c r="AA207" i="1"/>
  <c r="AB207" i="1"/>
  <c r="W208" i="1"/>
  <c r="X208" i="1"/>
  <c r="Y208" i="1"/>
  <c r="Z208" i="1"/>
  <c r="AA208" i="1"/>
  <c r="AB208" i="1"/>
  <c r="W209" i="1"/>
  <c r="X209" i="1"/>
  <c r="Y209" i="1"/>
  <c r="Z209" i="1"/>
  <c r="AA209" i="1"/>
  <c r="AB209" i="1"/>
  <c r="W210" i="1"/>
  <c r="X210" i="1"/>
  <c r="Y210" i="1"/>
  <c r="Z210" i="1"/>
  <c r="AA210" i="1"/>
  <c r="AB210" i="1"/>
  <c r="W211" i="1"/>
  <c r="X211" i="1"/>
  <c r="Y211" i="1"/>
  <c r="Z211" i="1"/>
  <c r="AA211" i="1"/>
  <c r="AB211" i="1"/>
  <c r="W212" i="1"/>
  <c r="X212" i="1"/>
  <c r="Y212" i="1"/>
  <c r="Z212" i="1"/>
  <c r="AA212" i="1"/>
  <c r="AB212" i="1"/>
  <c r="W213" i="1"/>
  <c r="X213" i="1"/>
  <c r="Y213" i="1"/>
  <c r="Z213" i="1"/>
  <c r="AA213" i="1"/>
  <c r="AB213" i="1"/>
  <c r="W214" i="1"/>
  <c r="X214" i="1"/>
  <c r="Y214" i="1"/>
  <c r="Z214" i="1"/>
  <c r="AA214" i="1"/>
  <c r="AB214" i="1"/>
  <c r="W215" i="1"/>
  <c r="X215" i="1"/>
  <c r="Y215" i="1"/>
  <c r="Z215" i="1"/>
  <c r="AA215" i="1"/>
  <c r="AB215" i="1"/>
  <c r="W216" i="1"/>
  <c r="X216" i="1"/>
  <c r="Y216" i="1"/>
  <c r="Z216" i="1"/>
  <c r="AA216" i="1"/>
  <c r="AB216" i="1"/>
  <c r="W217" i="1"/>
  <c r="X217" i="1"/>
  <c r="Y217" i="1"/>
  <c r="Z217" i="1"/>
  <c r="AA217" i="1"/>
  <c r="AB217" i="1"/>
  <c r="W218" i="1"/>
  <c r="X218" i="1"/>
  <c r="Y218" i="1"/>
  <c r="Z218" i="1"/>
  <c r="AA218" i="1"/>
  <c r="AB218" i="1"/>
  <c r="W219" i="1"/>
  <c r="X219" i="1"/>
  <c r="Y219" i="1"/>
  <c r="Z219" i="1"/>
  <c r="AA219" i="1"/>
  <c r="AB219" i="1"/>
  <c r="W220" i="1"/>
  <c r="X220" i="1"/>
  <c r="Y220" i="1"/>
  <c r="Z220" i="1"/>
  <c r="AA220" i="1"/>
  <c r="AB220" i="1"/>
  <c r="W221" i="1"/>
  <c r="X221" i="1"/>
  <c r="Y221" i="1"/>
  <c r="Z221" i="1"/>
  <c r="AA221" i="1"/>
  <c r="AB221" i="1"/>
  <c r="W222" i="1"/>
  <c r="X222" i="1"/>
  <c r="Y222" i="1"/>
  <c r="Z222" i="1"/>
  <c r="AA222" i="1"/>
  <c r="AB222" i="1"/>
  <c r="W223" i="1"/>
  <c r="X223" i="1"/>
  <c r="Y223" i="1"/>
  <c r="Z223" i="1"/>
  <c r="AA223" i="1"/>
  <c r="AB223" i="1"/>
  <c r="W224" i="1"/>
  <c r="X224" i="1"/>
  <c r="Y224" i="1"/>
  <c r="Z224" i="1"/>
  <c r="AA224" i="1"/>
  <c r="AB224" i="1"/>
  <c r="W225" i="1"/>
  <c r="X225" i="1"/>
  <c r="Y225" i="1"/>
  <c r="Z225" i="1"/>
  <c r="AA225" i="1"/>
  <c r="AB225" i="1"/>
  <c r="W226" i="1"/>
  <c r="X226" i="1"/>
  <c r="Y226" i="1"/>
  <c r="Z226" i="1"/>
  <c r="AA226" i="1"/>
  <c r="AB226" i="1"/>
  <c r="W227" i="1"/>
  <c r="X227" i="1"/>
  <c r="Y227" i="1"/>
  <c r="Z227" i="1"/>
  <c r="AA227" i="1"/>
  <c r="AB227" i="1"/>
  <c r="W228" i="1"/>
  <c r="X228" i="1"/>
  <c r="Y228" i="1"/>
  <c r="Z228" i="1"/>
  <c r="AA228" i="1"/>
  <c r="AB228" i="1"/>
  <c r="W229" i="1"/>
  <c r="X229" i="1"/>
  <c r="Y229" i="1"/>
  <c r="Z229" i="1"/>
  <c r="AA229" i="1"/>
  <c r="AB229" i="1"/>
  <c r="W230" i="1"/>
  <c r="X230" i="1"/>
  <c r="Y230" i="1"/>
  <c r="Z230" i="1"/>
  <c r="AA230" i="1"/>
  <c r="AB230" i="1"/>
  <c r="W231" i="1"/>
  <c r="X231" i="1"/>
  <c r="Y231" i="1"/>
  <c r="Z231" i="1"/>
  <c r="AA231" i="1"/>
  <c r="AB231" i="1"/>
  <c r="W232" i="1"/>
  <c r="X232" i="1"/>
  <c r="Y232" i="1"/>
  <c r="Z232" i="1"/>
  <c r="AA232" i="1"/>
  <c r="AB232" i="1"/>
  <c r="W233" i="1"/>
  <c r="X233" i="1"/>
  <c r="Y233" i="1"/>
  <c r="Z233" i="1"/>
  <c r="AA233" i="1"/>
  <c r="AB233" i="1"/>
  <c r="W234" i="1"/>
  <c r="X234" i="1"/>
  <c r="Y234" i="1"/>
  <c r="Z234" i="1"/>
  <c r="AA234" i="1"/>
  <c r="AB234" i="1"/>
  <c r="W235" i="1"/>
  <c r="X235" i="1"/>
  <c r="Y235" i="1"/>
  <c r="Z235" i="1"/>
  <c r="AA235" i="1"/>
  <c r="AB235" i="1"/>
  <c r="W236" i="1"/>
  <c r="X236" i="1"/>
  <c r="Y236" i="1"/>
  <c r="Z236" i="1"/>
  <c r="AA236" i="1"/>
  <c r="AB236" i="1"/>
  <c r="W237" i="1"/>
  <c r="X237" i="1"/>
  <c r="Y237" i="1"/>
  <c r="Z237" i="1"/>
  <c r="AA237" i="1"/>
  <c r="AB237" i="1"/>
  <c r="W238" i="1"/>
  <c r="X238" i="1"/>
  <c r="Y238" i="1"/>
  <c r="Z238" i="1"/>
  <c r="AA238" i="1"/>
  <c r="AB238" i="1"/>
  <c r="W239" i="1"/>
  <c r="X239" i="1"/>
  <c r="Y239" i="1"/>
  <c r="Z239" i="1"/>
  <c r="AA239" i="1"/>
  <c r="AB239" i="1"/>
  <c r="W240" i="1"/>
  <c r="X240" i="1"/>
  <c r="Y240" i="1"/>
  <c r="Z240" i="1"/>
  <c r="AA240" i="1"/>
  <c r="AB240" i="1"/>
  <c r="W241" i="1"/>
  <c r="X241" i="1"/>
  <c r="Y241" i="1"/>
  <c r="Z241" i="1"/>
  <c r="AA241" i="1"/>
  <c r="AB241" i="1"/>
  <c r="W242" i="1"/>
  <c r="X242" i="1"/>
  <c r="Y242" i="1"/>
  <c r="Z242" i="1"/>
  <c r="AA242" i="1"/>
  <c r="AB242" i="1"/>
  <c r="W243" i="1"/>
  <c r="X243" i="1"/>
  <c r="Y243" i="1"/>
  <c r="Z243" i="1"/>
  <c r="AA243" i="1"/>
  <c r="AB243" i="1"/>
  <c r="W244" i="1"/>
  <c r="X244" i="1"/>
  <c r="Y244" i="1"/>
  <c r="Z244" i="1"/>
  <c r="AA244" i="1"/>
  <c r="AB244" i="1"/>
  <c r="W245" i="1"/>
  <c r="X245" i="1"/>
  <c r="Y245" i="1"/>
  <c r="Z245" i="1"/>
  <c r="AA245" i="1"/>
  <c r="AB245" i="1"/>
  <c r="W246" i="1"/>
  <c r="X246" i="1"/>
  <c r="Y246" i="1"/>
  <c r="Z246" i="1"/>
  <c r="AA246" i="1"/>
  <c r="AB246" i="1"/>
  <c r="W247" i="1"/>
  <c r="X247" i="1"/>
  <c r="Y247" i="1"/>
  <c r="Z247" i="1"/>
  <c r="AA247" i="1"/>
  <c r="AB247" i="1"/>
  <c r="W248" i="1"/>
  <c r="X248" i="1"/>
  <c r="Y248" i="1"/>
  <c r="Z248" i="1"/>
  <c r="AA248" i="1"/>
  <c r="AB248" i="1"/>
  <c r="W249" i="1"/>
  <c r="X249" i="1"/>
  <c r="Y249" i="1"/>
  <c r="Z249" i="1"/>
  <c r="AA249" i="1"/>
  <c r="AB249" i="1"/>
  <c r="W250" i="1"/>
  <c r="X250" i="1"/>
  <c r="Y250" i="1"/>
  <c r="Z250" i="1"/>
  <c r="AA250" i="1"/>
  <c r="AB250" i="1"/>
  <c r="W251" i="1"/>
  <c r="X251" i="1"/>
  <c r="Y251" i="1"/>
  <c r="Z251" i="1"/>
  <c r="AA251" i="1"/>
  <c r="AB251" i="1"/>
  <c r="W252" i="1"/>
  <c r="X252" i="1"/>
  <c r="Y252" i="1"/>
  <c r="Z252" i="1"/>
  <c r="AA252" i="1"/>
  <c r="AB252" i="1"/>
  <c r="W253" i="1"/>
  <c r="X253" i="1"/>
  <c r="Y253" i="1"/>
  <c r="Z253" i="1"/>
  <c r="AA253" i="1"/>
  <c r="AB253" i="1"/>
  <c r="W254" i="1"/>
  <c r="X254" i="1"/>
  <c r="Y254" i="1"/>
  <c r="Z254" i="1"/>
  <c r="AA254" i="1"/>
  <c r="AB254" i="1"/>
  <c r="W255" i="1"/>
  <c r="X255" i="1"/>
  <c r="Y255" i="1"/>
  <c r="Z255" i="1"/>
  <c r="AA255" i="1"/>
  <c r="AB255" i="1"/>
  <c r="W256" i="1"/>
  <c r="X256" i="1"/>
  <c r="Y256" i="1"/>
  <c r="Z256" i="1"/>
  <c r="AA256" i="1"/>
  <c r="AB256" i="1"/>
  <c r="W257" i="1"/>
  <c r="X257" i="1"/>
  <c r="Y257" i="1"/>
  <c r="Z257" i="1"/>
  <c r="AA257" i="1"/>
  <c r="AB257" i="1"/>
  <c r="W258" i="1"/>
  <c r="X258" i="1"/>
  <c r="Y258" i="1"/>
  <c r="Z258" i="1"/>
  <c r="AA258" i="1"/>
  <c r="AB258" i="1"/>
  <c r="W259" i="1"/>
  <c r="X259" i="1"/>
  <c r="Y259" i="1"/>
  <c r="Z259" i="1"/>
  <c r="AA259" i="1"/>
  <c r="AB259" i="1"/>
  <c r="W260" i="1"/>
  <c r="X260" i="1"/>
  <c r="Y260" i="1"/>
  <c r="Z260" i="1"/>
  <c r="AA260" i="1"/>
  <c r="AB260" i="1"/>
  <c r="W261" i="1"/>
  <c r="X261" i="1"/>
  <c r="Y261" i="1"/>
  <c r="Z261" i="1"/>
  <c r="AA261" i="1"/>
  <c r="AB261" i="1"/>
  <c r="W262" i="1"/>
  <c r="X262" i="1"/>
  <c r="Y262" i="1"/>
  <c r="Z262" i="1"/>
  <c r="AA262" i="1"/>
  <c r="AB262" i="1"/>
  <c r="W263" i="1"/>
  <c r="X263" i="1"/>
  <c r="Y263" i="1"/>
  <c r="Z263" i="1"/>
  <c r="AA263" i="1"/>
  <c r="AB263" i="1"/>
  <c r="W264" i="1"/>
  <c r="X264" i="1"/>
  <c r="Y264" i="1"/>
  <c r="Z264" i="1"/>
  <c r="AA264" i="1"/>
  <c r="AB264" i="1"/>
  <c r="W265" i="1"/>
  <c r="X265" i="1"/>
  <c r="Y265" i="1"/>
  <c r="Z265" i="1"/>
  <c r="AA265" i="1"/>
  <c r="AB265" i="1"/>
  <c r="W266" i="1"/>
  <c r="X266" i="1"/>
  <c r="Y266" i="1"/>
  <c r="Z266" i="1"/>
  <c r="AA266" i="1"/>
  <c r="AB266" i="1"/>
  <c r="W267" i="1"/>
  <c r="X267" i="1"/>
  <c r="Y267" i="1"/>
  <c r="Z267" i="1"/>
  <c r="AA267" i="1"/>
  <c r="AB267" i="1"/>
  <c r="W268" i="1"/>
  <c r="X268" i="1"/>
  <c r="Y268" i="1"/>
  <c r="Z268" i="1"/>
  <c r="AA268" i="1"/>
  <c r="AB268" i="1"/>
  <c r="W269" i="1"/>
  <c r="X269" i="1"/>
  <c r="Y269" i="1"/>
  <c r="Z269" i="1"/>
  <c r="AA269" i="1"/>
  <c r="AB269" i="1"/>
  <c r="W270" i="1"/>
  <c r="X270" i="1"/>
  <c r="Y270" i="1"/>
  <c r="Z270" i="1"/>
  <c r="AA270" i="1"/>
  <c r="AB270" i="1"/>
  <c r="W271" i="1"/>
  <c r="X271" i="1"/>
  <c r="Y271" i="1"/>
  <c r="Z271" i="1"/>
  <c r="AA271" i="1"/>
  <c r="AB271" i="1"/>
  <c r="W272" i="1"/>
  <c r="X272" i="1"/>
  <c r="Y272" i="1"/>
  <c r="Z272" i="1"/>
  <c r="AA272" i="1"/>
  <c r="AB272" i="1"/>
  <c r="W273" i="1"/>
  <c r="X273" i="1"/>
  <c r="Y273" i="1"/>
  <c r="Z273" i="1"/>
  <c r="AA273" i="1"/>
  <c r="AB273" i="1"/>
  <c r="W274" i="1"/>
  <c r="X274" i="1"/>
  <c r="Y274" i="1"/>
  <c r="Z274" i="1"/>
  <c r="AA274" i="1"/>
  <c r="AB274" i="1"/>
  <c r="W275" i="1"/>
  <c r="X275" i="1"/>
  <c r="Y275" i="1"/>
  <c r="Z275" i="1"/>
  <c r="AA275" i="1"/>
  <c r="AB275" i="1"/>
  <c r="W276" i="1"/>
  <c r="X276" i="1"/>
  <c r="Y276" i="1"/>
  <c r="Z276" i="1"/>
  <c r="AA276" i="1"/>
  <c r="AB276" i="1"/>
  <c r="W277" i="1"/>
  <c r="X277" i="1"/>
  <c r="Y277" i="1"/>
  <c r="Z277" i="1"/>
  <c r="AA277" i="1"/>
  <c r="AB277" i="1"/>
  <c r="W278" i="1"/>
  <c r="X278" i="1"/>
  <c r="Y278" i="1"/>
  <c r="Z278" i="1"/>
  <c r="AA278" i="1"/>
  <c r="AB278" i="1"/>
  <c r="W279" i="1"/>
  <c r="X279" i="1"/>
  <c r="Y279" i="1"/>
  <c r="Z279" i="1"/>
  <c r="AA279" i="1"/>
  <c r="AB279" i="1"/>
  <c r="W280" i="1"/>
  <c r="X280" i="1"/>
  <c r="Y280" i="1"/>
  <c r="Z280" i="1"/>
  <c r="AA280" i="1"/>
  <c r="AB280" i="1"/>
  <c r="W281" i="1"/>
  <c r="X281" i="1"/>
  <c r="Y281" i="1"/>
  <c r="Z281" i="1"/>
  <c r="AA281" i="1"/>
  <c r="AB281" i="1"/>
  <c r="W282" i="1"/>
  <c r="X282" i="1"/>
  <c r="Y282" i="1"/>
  <c r="Z282" i="1"/>
  <c r="AA282" i="1"/>
  <c r="AB282" i="1"/>
  <c r="W283" i="1"/>
  <c r="X283" i="1"/>
  <c r="Y283" i="1"/>
  <c r="Z283" i="1"/>
  <c r="AA283" i="1"/>
  <c r="AB283" i="1"/>
  <c r="W284" i="1"/>
  <c r="X284" i="1"/>
  <c r="Y284" i="1"/>
  <c r="Z284" i="1"/>
  <c r="AA284" i="1"/>
  <c r="AB284" i="1"/>
  <c r="W285" i="1"/>
  <c r="X285" i="1"/>
  <c r="Y285" i="1"/>
  <c r="Z285" i="1"/>
  <c r="AA285" i="1"/>
  <c r="AB285" i="1"/>
  <c r="W286" i="1"/>
  <c r="X286" i="1"/>
  <c r="Y286" i="1"/>
  <c r="Z286" i="1"/>
  <c r="AA286" i="1"/>
  <c r="AB286" i="1"/>
  <c r="W287" i="1"/>
  <c r="X287" i="1"/>
  <c r="Y287" i="1"/>
  <c r="Z287" i="1"/>
  <c r="AA287" i="1"/>
  <c r="AB287" i="1"/>
  <c r="W288" i="1"/>
  <c r="X288" i="1"/>
  <c r="Y288" i="1"/>
  <c r="Z288" i="1"/>
  <c r="AA288" i="1"/>
  <c r="AB288" i="1"/>
  <c r="W289" i="1"/>
  <c r="X289" i="1"/>
  <c r="Y289" i="1"/>
  <c r="Z289" i="1"/>
  <c r="AA289" i="1"/>
  <c r="AB289" i="1"/>
  <c r="W290" i="1"/>
  <c r="X290" i="1"/>
  <c r="Y290" i="1"/>
  <c r="Z290" i="1"/>
  <c r="AA290" i="1"/>
  <c r="AB290" i="1"/>
  <c r="W291" i="1"/>
  <c r="X291" i="1"/>
  <c r="Y291" i="1"/>
  <c r="Z291" i="1"/>
  <c r="AA291" i="1"/>
  <c r="AB291" i="1"/>
  <c r="W292" i="1"/>
  <c r="X292" i="1"/>
  <c r="Y292" i="1"/>
  <c r="Z292" i="1"/>
  <c r="AA292" i="1"/>
  <c r="AB292" i="1"/>
  <c r="W293" i="1"/>
  <c r="X293" i="1"/>
  <c r="Y293" i="1"/>
  <c r="Z293" i="1"/>
  <c r="AA293" i="1"/>
  <c r="AB293" i="1"/>
  <c r="W294" i="1"/>
  <c r="X294" i="1"/>
  <c r="Y294" i="1"/>
  <c r="Z294" i="1"/>
  <c r="AA294" i="1"/>
  <c r="AB294" i="1"/>
  <c r="W295" i="1"/>
  <c r="X295" i="1"/>
  <c r="Y295" i="1"/>
  <c r="Z295" i="1"/>
  <c r="AA295" i="1"/>
  <c r="AB295" i="1"/>
  <c r="W296" i="1"/>
  <c r="X296" i="1"/>
  <c r="Y296" i="1"/>
  <c r="Z296" i="1"/>
  <c r="AA296" i="1"/>
  <c r="AB296" i="1"/>
  <c r="W297" i="1"/>
  <c r="X297" i="1"/>
  <c r="Y297" i="1"/>
  <c r="Z297" i="1"/>
  <c r="AA297" i="1"/>
  <c r="AB297" i="1"/>
  <c r="W298" i="1"/>
  <c r="X298" i="1"/>
  <c r="Y298" i="1"/>
  <c r="Z298" i="1"/>
  <c r="AA298" i="1"/>
  <c r="AB298" i="1"/>
  <c r="W299" i="1"/>
  <c r="X299" i="1"/>
  <c r="Y299" i="1"/>
  <c r="Z299" i="1"/>
  <c r="AA299" i="1"/>
  <c r="AB299" i="1"/>
  <c r="W300" i="1"/>
  <c r="X300" i="1"/>
  <c r="Y300" i="1"/>
  <c r="Z300" i="1"/>
  <c r="AA300" i="1"/>
  <c r="AB300" i="1"/>
  <c r="W301" i="1"/>
  <c r="X301" i="1"/>
  <c r="Y301" i="1"/>
  <c r="Z301" i="1"/>
  <c r="AA301" i="1"/>
  <c r="AB301" i="1"/>
  <c r="W302" i="1"/>
  <c r="X302" i="1"/>
  <c r="Y302" i="1"/>
  <c r="Z302" i="1"/>
  <c r="AA302" i="1"/>
  <c r="AB302" i="1"/>
  <c r="W303" i="1"/>
  <c r="X303" i="1"/>
  <c r="Y303" i="1"/>
  <c r="Z303" i="1"/>
  <c r="AA303" i="1"/>
  <c r="AB303" i="1"/>
  <c r="W304" i="1"/>
  <c r="X304" i="1"/>
  <c r="Y304" i="1"/>
  <c r="Z304" i="1"/>
  <c r="AA304" i="1"/>
  <c r="AB304" i="1"/>
  <c r="W305" i="1"/>
  <c r="X305" i="1"/>
  <c r="Y305" i="1"/>
  <c r="Z305" i="1"/>
  <c r="AA305" i="1"/>
  <c r="AB305" i="1"/>
  <c r="W306" i="1"/>
  <c r="X306" i="1"/>
  <c r="Y306" i="1"/>
  <c r="Z306" i="1"/>
  <c r="AA306" i="1"/>
  <c r="AB306" i="1"/>
  <c r="W307" i="1"/>
  <c r="X307" i="1"/>
  <c r="Y307" i="1"/>
  <c r="Z307" i="1"/>
  <c r="AA307" i="1"/>
  <c r="AB307" i="1"/>
  <c r="W308" i="1"/>
  <c r="X308" i="1"/>
  <c r="Y308" i="1"/>
  <c r="Z308" i="1"/>
  <c r="AA308" i="1"/>
  <c r="AB308" i="1"/>
  <c r="W309" i="1"/>
  <c r="X309" i="1"/>
  <c r="Y309" i="1"/>
  <c r="Z309" i="1"/>
  <c r="AA309" i="1"/>
  <c r="AB309" i="1"/>
  <c r="W310" i="1"/>
  <c r="X310" i="1"/>
  <c r="Y310" i="1"/>
  <c r="Z310" i="1"/>
  <c r="AA310" i="1"/>
  <c r="AB310" i="1"/>
  <c r="W311" i="1"/>
  <c r="X311" i="1"/>
  <c r="Y311" i="1"/>
  <c r="Z311" i="1"/>
  <c r="AA311" i="1"/>
  <c r="AB311" i="1"/>
  <c r="W312" i="1"/>
  <c r="X312" i="1"/>
  <c r="Y312" i="1"/>
  <c r="Z312" i="1"/>
  <c r="AA312" i="1"/>
  <c r="AB312" i="1"/>
  <c r="W313" i="1"/>
  <c r="X313" i="1"/>
  <c r="Y313" i="1"/>
  <c r="Z313" i="1"/>
  <c r="AA313" i="1"/>
  <c r="AB313" i="1"/>
  <c r="W314" i="1"/>
  <c r="X314" i="1"/>
  <c r="Y314" i="1"/>
  <c r="Z314" i="1"/>
  <c r="AA314" i="1"/>
  <c r="AB314" i="1"/>
  <c r="W315" i="1"/>
  <c r="X315" i="1"/>
  <c r="Y315" i="1"/>
  <c r="Z315" i="1"/>
  <c r="AA315" i="1"/>
  <c r="AB315" i="1"/>
  <c r="W316" i="1"/>
  <c r="X316" i="1"/>
  <c r="Y316" i="1"/>
  <c r="Z316" i="1"/>
  <c r="AA316" i="1"/>
  <c r="AB316" i="1"/>
  <c r="W317" i="1"/>
  <c r="X317" i="1"/>
  <c r="Y317" i="1"/>
  <c r="Z317" i="1"/>
  <c r="AA317" i="1"/>
  <c r="AB317" i="1"/>
  <c r="W318" i="1"/>
  <c r="X318" i="1"/>
  <c r="Y318" i="1"/>
  <c r="Z318" i="1"/>
  <c r="AA318" i="1"/>
  <c r="AB318" i="1"/>
  <c r="W319" i="1"/>
  <c r="X319" i="1"/>
  <c r="Y319" i="1"/>
  <c r="Z319" i="1"/>
  <c r="AA319" i="1"/>
  <c r="AB319" i="1"/>
  <c r="W320" i="1"/>
  <c r="X320" i="1"/>
  <c r="Y320" i="1"/>
  <c r="Z320" i="1"/>
  <c r="AA320" i="1"/>
  <c r="AB320" i="1"/>
  <c r="W321" i="1"/>
  <c r="X321" i="1"/>
  <c r="Y321" i="1"/>
  <c r="Z321" i="1"/>
  <c r="AA321" i="1"/>
  <c r="AB321" i="1"/>
  <c r="W322" i="1"/>
  <c r="X322" i="1"/>
  <c r="Y322" i="1"/>
  <c r="Z322" i="1"/>
  <c r="AA322" i="1"/>
  <c r="AB322" i="1"/>
  <c r="W323" i="1"/>
  <c r="X323" i="1"/>
  <c r="Y323" i="1"/>
  <c r="Z323" i="1"/>
  <c r="AA323" i="1"/>
  <c r="AB323" i="1"/>
  <c r="W324" i="1"/>
  <c r="X324" i="1"/>
  <c r="Y324" i="1"/>
  <c r="Z324" i="1"/>
  <c r="AA324" i="1"/>
  <c r="AB324" i="1"/>
  <c r="W325" i="1"/>
  <c r="X325" i="1"/>
  <c r="Y325" i="1"/>
  <c r="Z325" i="1"/>
  <c r="AA325" i="1"/>
  <c r="AB325" i="1"/>
  <c r="W326" i="1"/>
  <c r="X326" i="1"/>
  <c r="Y326" i="1"/>
  <c r="Z326" i="1"/>
  <c r="AA326" i="1"/>
  <c r="AB326" i="1"/>
  <c r="W327" i="1"/>
  <c r="X327" i="1"/>
  <c r="Y327" i="1"/>
  <c r="Z327" i="1"/>
  <c r="AA327" i="1"/>
  <c r="AB327" i="1"/>
  <c r="W328" i="1"/>
  <c r="X328" i="1"/>
  <c r="Y328" i="1"/>
  <c r="Z328" i="1"/>
  <c r="AA328" i="1"/>
  <c r="AB328" i="1"/>
  <c r="W329" i="1"/>
  <c r="X329" i="1"/>
  <c r="Y329" i="1"/>
  <c r="Z329" i="1"/>
  <c r="AA329" i="1"/>
  <c r="AB329" i="1"/>
  <c r="W330" i="1"/>
  <c r="X330" i="1"/>
  <c r="Y330" i="1"/>
  <c r="Z330" i="1"/>
  <c r="AA330" i="1"/>
  <c r="AB330" i="1"/>
  <c r="W331" i="1"/>
  <c r="X331" i="1"/>
  <c r="Y331" i="1"/>
  <c r="Z331" i="1"/>
  <c r="AA331" i="1"/>
  <c r="AB331" i="1"/>
  <c r="W332" i="1"/>
  <c r="X332" i="1"/>
  <c r="Y332" i="1"/>
  <c r="Z332" i="1"/>
  <c r="AA332" i="1"/>
  <c r="AB332" i="1"/>
  <c r="W333" i="1"/>
  <c r="X333" i="1"/>
  <c r="Y333" i="1"/>
  <c r="Z333" i="1"/>
  <c r="AA333" i="1"/>
  <c r="AB333" i="1"/>
  <c r="W334" i="1"/>
  <c r="X334" i="1"/>
  <c r="Y334" i="1"/>
  <c r="Z334" i="1"/>
  <c r="AA334" i="1"/>
  <c r="AB334" i="1"/>
  <c r="W335" i="1"/>
  <c r="X335" i="1"/>
  <c r="Y335" i="1"/>
  <c r="Z335" i="1"/>
  <c r="AA335" i="1"/>
  <c r="AB335" i="1"/>
  <c r="W336" i="1"/>
  <c r="X336" i="1"/>
  <c r="Y336" i="1"/>
  <c r="Z336" i="1"/>
  <c r="AA336" i="1"/>
  <c r="AB336" i="1"/>
  <c r="W337" i="1"/>
  <c r="X337" i="1"/>
  <c r="Y337" i="1"/>
  <c r="Z337" i="1"/>
  <c r="AA337" i="1"/>
  <c r="AB337" i="1"/>
  <c r="W338" i="1"/>
  <c r="X338" i="1"/>
  <c r="Y338" i="1"/>
  <c r="Z338" i="1"/>
  <c r="AA338" i="1"/>
  <c r="AB338" i="1"/>
  <c r="W339" i="1"/>
  <c r="X339" i="1"/>
  <c r="Y339" i="1"/>
  <c r="Z339" i="1"/>
  <c r="AA339" i="1"/>
  <c r="AB339" i="1"/>
  <c r="W340" i="1"/>
  <c r="X340" i="1"/>
  <c r="Y340" i="1"/>
  <c r="Z340" i="1"/>
  <c r="AA340" i="1"/>
  <c r="AB340" i="1"/>
  <c r="W341" i="1"/>
  <c r="X341" i="1"/>
  <c r="Y341" i="1"/>
  <c r="Z341" i="1"/>
  <c r="AA341" i="1"/>
  <c r="AB341" i="1"/>
  <c r="W342" i="1"/>
  <c r="X342" i="1"/>
  <c r="Y342" i="1"/>
  <c r="Z342" i="1"/>
  <c r="AA342" i="1"/>
  <c r="AB342" i="1"/>
  <c r="W343" i="1"/>
  <c r="X343" i="1"/>
  <c r="Y343" i="1"/>
  <c r="Z343" i="1"/>
  <c r="AA343" i="1"/>
  <c r="AB343" i="1"/>
  <c r="W344" i="1"/>
  <c r="X344" i="1"/>
  <c r="Y344" i="1"/>
  <c r="Z344" i="1"/>
  <c r="AA344" i="1"/>
  <c r="AB344" i="1"/>
  <c r="W345" i="1"/>
  <c r="X345" i="1"/>
  <c r="Y345" i="1"/>
  <c r="Z345" i="1"/>
  <c r="AA345" i="1"/>
  <c r="AB345" i="1"/>
  <c r="W346" i="1"/>
  <c r="X346" i="1"/>
  <c r="Y346" i="1"/>
  <c r="Z346" i="1"/>
  <c r="AA346" i="1"/>
  <c r="AB346" i="1"/>
  <c r="W347" i="1"/>
  <c r="X347" i="1"/>
  <c r="Y347" i="1"/>
  <c r="Z347" i="1"/>
  <c r="AA347" i="1"/>
  <c r="AB347" i="1"/>
  <c r="W348" i="1"/>
  <c r="X348" i="1"/>
  <c r="Y348" i="1"/>
  <c r="Z348" i="1"/>
  <c r="AA348" i="1"/>
  <c r="AB348" i="1"/>
  <c r="W349" i="1"/>
  <c r="X349" i="1"/>
  <c r="Y349" i="1"/>
  <c r="Z349" i="1"/>
  <c r="AA349" i="1"/>
  <c r="AB349" i="1"/>
  <c r="W350" i="1"/>
  <c r="X350" i="1"/>
  <c r="Y350" i="1"/>
  <c r="Z350" i="1"/>
  <c r="AA350" i="1"/>
  <c r="AB350" i="1"/>
  <c r="W351" i="1"/>
  <c r="X351" i="1"/>
  <c r="Y351" i="1"/>
  <c r="Z351" i="1"/>
  <c r="AA351" i="1"/>
  <c r="AB351" i="1"/>
  <c r="W352" i="1"/>
  <c r="X352" i="1"/>
  <c r="Y352" i="1"/>
  <c r="Z352" i="1"/>
  <c r="AA352" i="1"/>
  <c r="AB352" i="1"/>
  <c r="W353" i="1"/>
  <c r="X353" i="1"/>
  <c r="Y353" i="1"/>
  <c r="Z353" i="1"/>
  <c r="AA353" i="1"/>
  <c r="AB353" i="1"/>
  <c r="W354" i="1"/>
  <c r="X354" i="1"/>
  <c r="Y354" i="1"/>
  <c r="Z354" i="1"/>
  <c r="AA354" i="1"/>
  <c r="AB354" i="1"/>
  <c r="W355" i="1"/>
  <c r="X355" i="1"/>
  <c r="Y355" i="1"/>
  <c r="Z355" i="1"/>
  <c r="AA355" i="1"/>
  <c r="AB355" i="1"/>
  <c r="W356" i="1"/>
  <c r="X356" i="1"/>
  <c r="Y356" i="1"/>
  <c r="Z356" i="1"/>
  <c r="AA356" i="1"/>
  <c r="AB356" i="1"/>
  <c r="W357" i="1"/>
  <c r="X357" i="1"/>
  <c r="Y357" i="1"/>
  <c r="Z357" i="1"/>
  <c r="AA357" i="1"/>
  <c r="AB357" i="1"/>
  <c r="W358" i="1"/>
  <c r="X358" i="1"/>
  <c r="Y358" i="1"/>
  <c r="Z358" i="1"/>
  <c r="AA358" i="1"/>
  <c r="AB358" i="1"/>
  <c r="W359" i="1"/>
  <c r="X359" i="1"/>
  <c r="Y359" i="1"/>
  <c r="Z359" i="1"/>
  <c r="AA359" i="1"/>
  <c r="AB359" i="1"/>
  <c r="W360" i="1"/>
  <c r="X360" i="1"/>
  <c r="Y360" i="1"/>
  <c r="Z360" i="1"/>
  <c r="AA360" i="1"/>
  <c r="AB360" i="1"/>
  <c r="W361" i="1"/>
  <c r="X361" i="1"/>
  <c r="Y361" i="1"/>
  <c r="Z361" i="1"/>
  <c r="AA361" i="1"/>
  <c r="AB361" i="1"/>
  <c r="W362" i="1"/>
  <c r="X362" i="1"/>
  <c r="Y362" i="1"/>
  <c r="Z362" i="1"/>
  <c r="AA362" i="1"/>
  <c r="AB362" i="1"/>
  <c r="W363" i="1"/>
  <c r="X363" i="1"/>
  <c r="Y363" i="1"/>
  <c r="Z363" i="1"/>
  <c r="AA363" i="1"/>
  <c r="AB363" i="1"/>
  <c r="W364" i="1"/>
  <c r="X364" i="1"/>
  <c r="Y364" i="1"/>
  <c r="Z364" i="1"/>
  <c r="AA364" i="1"/>
  <c r="AB364" i="1"/>
  <c r="W365" i="1"/>
  <c r="X365" i="1"/>
  <c r="Y365" i="1"/>
  <c r="Z365" i="1"/>
  <c r="AA365" i="1"/>
  <c r="AB365" i="1"/>
  <c r="W366" i="1"/>
  <c r="X366" i="1"/>
  <c r="Y366" i="1"/>
  <c r="Z366" i="1"/>
  <c r="AA366" i="1"/>
  <c r="AB366" i="1"/>
  <c r="W367" i="1"/>
  <c r="X367" i="1"/>
  <c r="Y367" i="1"/>
  <c r="Z367" i="1"/>
  <c r="AA367" i="1"/>
  <c r="AB367" i="1"/>
  <c r="W368" i="1"/>
  <c r="X368" i="1"/>
  <c r="Y368" i="1"/>
  <c r="Z368" i="1"/>
  <c r="AA368" i="1"/>
  <c r="AB368" i="1"/>
  <c r="W369" i="1"/>
  <c r="X369" i="1"/>
  <c r="Y369" i="1"/>
  <c r="Z369" i="1"/>
  <c r="AA369" i="1"/>
  <c r="AB369" i="1"/>
  <c r="W370" i="1"/>
  <c r="X370" i="1"/>
  <c r="Y370" i="1"/>
  <c r="Z370" i="1"/>
  <c r="AA370" i="1"/>
  <c r="AB370" i="1"/>
  <c r="AB6" i="1"/>
  <c r="AA6" i="1"/>
  <c r="Z6" i="1"/>
  <c r="Y6" i="1"/>
  <c r="X6" i="1"/>
  <c r="W6" i="1"/>
  <c r="A2" i="8"/>
  <c r="B90" i="1"/>
  <c r="AT6" i="5" a="1"/>
  <c r="AT6" i="5" s="1"/>
  <c r="AU6" i="5" s="1"/>
  <c r="AT7" i="5" a="1"/>
  <c r="AT7" i="5" s="1"/>
  <c r="AU7" i="5" s="1"/>
  <c r="AT8" i="5" a="1"/>
  <c r="AT8" i="5" s="1"/>
  <c r="AU8" i="5" s="1"/>
  <c r="AT9" i="5" a="1"/>
  <c r="AT9" i="5" s="1"/>
  <c r="AU9" i="5" s="1"/>
  <c r="AT10" i="5" a="1"/>
  <c r="AT10" i="5" s="1"/>
  <c r="AU10" i="5" s="1"/>
  <c r="AT11" i="5" a="1"/>
  <c r="AT11" i="5" s="1"/>
  <c r="AU11" i="5" s="1"/>
  <c r="AT12" i="5" a="1"/>
  <c r="AT12" i="5" s="1"/>
  <c r="AU12" i="5" s="1"/>
  <c r="AT13" i="5" a="1"/>
  <c r="AT13" i="5" s="1"/>
  <c r="AU13" i="5" s="1"/>
  <c r="AT14" i="5" a="1"/>
  <c r="AT14" i="5" s="1"/>
  <c r="AU14" i="5" s="1"/>
  <c r="AT15" i="5" a="1"/>
  <c r="AT15" i="5" s="1"/>
  <c r="AU15" i="5" s="1"/>
  <c r="AT16" i="5" a="1"/>
  <c r="AT16" i="5" s="1"/>
  <c r="AU16" i="5" s="1"/>
  <c r="AT5" i="5" a="1"/>
  <c r="AT5" i="5" s="1"/>
  <c r="CN5" i="5" a="1"/>
  <c r="CN5" i="5" s="1"/>
  <c r="CO5" i="5" a="1"/>
  <c r="CO5" i="5" s="1"/>
  <c r="CP5" i="5" a="1"/>
  <c r="CP5" i="5" s="1"/>
  <c r="CQ5" i="5" a="1"/>
  <c r="CQ5" i="5" s="1"/>
  <c r="CR5" i="5" a="1"/>
  <c r="CR5" i="5" s="1"/>
  <c r="CS5" i="5" a="1"/>
  <c r="CS5" i="5" s="1"/>
  <c r="CT5" i="5" a="1"/>
  <c r="CT5" i="5" s="1"/>
  <c r="CU5" i="5" a="1"/>
  <c r="CU5" i="5" s="1"/>
  <c r="CV5" i="5" a="1"/>
  <c r="CV5" i="5" s="1"/>
  <c r="CW5" i="5" a="1"/>
  <c r="CW5" i="5" s="1"/>
  <c r="CX5" i="5" a="1"/>
  <c r="CX5" i="5" s="1"/>
  <c r="CX17" i="5" s="1"/>
  <c r="CY5" i="5" a="1"/>
  <c r="CY5" i="5" s="1"/>
  <c r="CZ5" i="5" a="1"/>
  <c r="CZ5" i="5" s="1"/>
  <c r="DA5" i="5" a="1"/>
  <c r="DA5" i="5" s="1"/>
  <c r="DB5" i="5" a="1"/>
  <c r="DB5" i="5" s="1"/>
  <c r="DC5" i="5" a="1"/>
  <c r="DC5" i="5" s="1"/>
  <c r="DD5" i="5" a="1"/>
  <c r="DD5" i="5" s="1"/>
  <c r="DE5" i="5" a="1"/>
  <c r="DE5" i="5" s="1"/>
  <c r="DF5" i="5" a="1"/>
  <c r="DF5" i="5" s="1"/>
  <c r="DG5" i="5" a="1"/>
  <c r="DG5" i="5" s="1"/>
  <c r="DH5" i="5" a="1"/>
  <c r="DH5" i="5" s="1"/>
  <c r="DI5" i="5" a="1"/>
  <c r="DI5" i="5" s="1"/>
  <c r="CN6" i="5" a="1"/>
  <c r="CN6" i="5" s="1"/>
  <c r="CO6" i="5" a="1"/>
  <c r="CO6" i="5" s="1"/>
  <c r="CP6" i="5" a="1"/>
  <c r="CP6" i="5" s="1"/>
  <c r="CQ6" i="5" a="1"/>
  <c r="CQ6" i="5" s="1"/>
  <c r="CR6" i="5" a="1"/>
  <c r="CR6" i="5" s="1"/>
  <c r="CS6" i="5" a="1"/>
  <c r="CS6" i="5" s="1"/>
  <c r="CT6" i="5" a="1"/>
  <c r="CT6" i="5" s="1"/>
  <c r="CU6" i="5" a="1"/>
  <c r="CU6" i="5" s="1"/>
  <c r="CV6" i="5" a="1"/>
  <c r="CV6" i="5" s="1"/>
  <c r="CW6" i="5" a="1"/>
  <c r="CW6" i="5" s="1"/>
  <c r="CX6" i="5" a="1"/>
  <c r="CX6" i="5" s="1"/>
  <c r="CY6" i="5" a="1"/>
  <c r="CY6" i="5" s="1"/>
  <c r="CZ6" i="5" a="1"/>
  <c r="CZ6" i="5" s="1"/>
  <c r="DA6" i="5" a="1"/>
  <c r="DA6" i="5" s="1"/>
  <c r="DB6" i="5" a="1"/>
  <c r="DB6" i="5" s="1"/>
  <c r="DC6" i="5" a="1"/>
  <c r="DC6" i="5" s="1"/>
  <c r="DD6" i="5" a="1"/>
  <c r="DD6" i="5" s="1"/>
  <c r="DE6" i="5" a="1"/>
  <c r="DE6" i="5" s="1"/>
  <c r="DF6" i="5" a="1"/>
  <c r="DF6" i="5" s="1"/>
  <c r="DG6" i="5" a="1"/>
  <c r="DG6" i="5" s="1"/>
  <c r="DH6" i="5" a="1"/>
  <c r="DH6" i="5" s="1"/>
  <c r="DI6" i="5" a="1"/>
  <c r="DI6" i="5" s="1"/>
  <c r="CN7" i="5" a="1"/>
  <c r="CN7" i="5" s="1"/>
  <c r="CO7" i="5" a="1"/>
  <c r="CO7" i="5" s="1"/>
  <c r="CP7" i="5" a="1"/>
  <c r="CP7" i="5" s="1"/>
  <c r="CQ7" i="5" a="1"/>
  <c r="CQ7" i="5" s="1"/>
  <c r="CR7" i="5" a="1"/>
  <c r="CR7" i="5" s="1"/>
  <c r="CS7" i="5" a="1"/>
  <c r="CS7" i="5" s="1"/>
  <c r="CT7" i="5" a="1"/>
  <c r="CT7" i="5" s="1"/>
  <c r="CU7" i="5" a="1"/>
  <c r="CU7" i="5" s="1"/>
  <c r="CV7" i="5" a="1"/>
  <c r="CV7" i="5" s="1"/>
  <c r="CW7" i="5" a="1"/>
  <c r="CW7" i="5" s="1"/>
  <c r="CX7" i="5" a="1"/>
  <c r="CX7" i="5" s="1"/>
  <c r="CY7" i="5" a="1"/>
  <c r="CY7" i="5" s="1"/>
  <c r="CZ7" i="5" a="1"/>
  <c r="CZ7" i="5" s="1"/>
  <c r="DA7" i="5" a="1"/>
  <c r="DA7" i="5" s="1"/>
  <c r="DB7" i="5" a="1"/>
  <c r="DB7" i="5" s="1"/>
  <c r="DC7" i="5" a="1"/>
  <c r="DC7" i="5" s="1"/>
  <c r="DD7" i="5" a="1"/>
  <c r="DD7" i="5" s="1"/>
  <c r="DE7" i="5" a="1"/>
  <c r="DE7" i="5" s="1"/>
  <c r="DF7" i="5" a="1"/>
  <c r="DF7" i="5" s="1"/>
  <c r="DG7" i="5" a="1"/>
  <c r="DG7" i="5" s="1"/>
  <c r="DH7" i="5" a="1"/>
  <c r="DH7" i="5" s="1"/>
  <c r="DI7" i="5" a="1"/>
  <c r="DI7" i="5" s="1"/>
  <c r="CN8" i="5" a="1"/>
  <c r="CN8" i="5" s="1"/>
  <c r="CO8" i="5" a="1"/>
  <c r="CO8" i="5" s="1"/>
  <c r="CP8" i="5" a="1"/>
  <c r="CP8" i="5" s="1"/>
  <c r="CQ8" i="5" a="1"/>
  <c r="CQ8" i="5" s="1"/>
  <c r="CR8" i="5" a="1"/>
  <c r="CR8" i="5" s="1"/>
  <c r="CS8" i="5" a="1"/>
  <c r="CS8" i="5" s="1"/>
  <c r="CT8" i="5" a="1"/>
  <c r="CT8" i="5" s="1"/>
  <c r="CU8" i="5" a="1"/>
  <c r="CU8" i="5" s="1"/>
  <c r="CV8" i="5" a="1"/>
  <c r="CV8" i="5" s="1"/>
  <c r="CW8" i="5" a="1"/>
  <c r="CW8" i="5" s="1"/>
  <c r="CX8" i="5" a="1"/>
  <c r="CX8" i="5" s="1"/>
  <c r="CY8" i="5" a="1"/>
  <c r="CY8" i="5" s="1"/>
  <c r="CZ8" i="5" a="1"/>
  <c r="CZ8" i="5" s="1"/>
  <c r="DA8" i="5" a="1"/>
  <c r="DA8" i="5" s="1"/>
  <c r="DB8" i="5" a="1"/>
  <c r="DB8" i="5" s="1"/>
  <c r="DC8" i="5" a="1"/>
  <c r="DC8" i="5" s="1"/>
  <c r="DD8" i="5" a="1"/>
  <c r="DD8" i="5" s="1"/>
  <c r="DE8" i="5" a="1"/>
  <c r="DE8" i="5" s="1"/>
  <c r="DF8" i="5" a="1"/>
  <c r="DF8" i="5" s="1"/>
  <c r="DG8" i="5" a="1"/>
  <c r="DG8" i="5" s="1"/>
  <c r="DH8" i="5" a="1"/>
  <c r="DH8" i="5" s="1"/>
  <c r="DI8" i="5" a="1"/>
  <c r="DI8" i="5" s="1"/>
  <c r="CN9" i="5" a="1"/>
  <c r="CN9" i="5" s="1"/>
  <c r="CO9" i="5" a="1"/>
  <c r="CO9" i="5" s="1"/>
  <c r="CP9" i="5" a="1"/>
  <c r="CP9" i="5" s="1"/>
  <c r="CQ9" i="5" a="1"/>
  <c r="CQ9" i="5" s="1"/>
  <c r="CR9" i="5" a="1"/>
  <c r="CR9" i="5" s="1"/>
  <c r="CS9" i="5" a="1"/>
  <c r="CS9" i="5" s="1"/>
  <c r="CT9" i="5" a="1"/>
  <c r="CT9" i="5" s="1"/>
  <c r="CU9" i="5" a="1"/>
  <c r="CU9" i="5" s="1"/>
  <c r="CV9" i="5" a="1"/>
  <c r="CV9" i="5" s="1"/>
  <c r="CW9" i="5" a="1"/>
  <c r="CW9" i="5" s="1"/>
  <c r="CX9" i="5" a="1"/>
  <c r="CX9" i="5" s="1"/>
  <c r="CY9" i="5" a="1"/>
  <c r="CY9" i="5" s="1"/>
  <c r="CZ9" i="5" a="1"/>
  <c r="CZ9" i="5" s="1"/>
  <c r="DA9" i="5" a="1"/>
  <c r="DA9" i="5" s="1"/>
  <c r="DB9" i="5" a="1"/>
  <c r="DB9" i="5" s="1"/>
  <c r="DC9" i="5" a="1"/>
  <c r="DC9" i="5" s="1"/>
  <c r="DD9" i="5" a="1"/>
  <c r="DD9" i="5" s="1"/>
  <c r="DE9" i="5" a="1"/>
  <c r="DE9" i="5" s="1"/>
  <c r="DF9" i="5" a="1"/>
  <c r="DF9" i="5" s="1"/>
  <c r="DG9" i="5" a="1"/>
  <c r="DG9" i="5" s="1"/>
  <c r="DH9" i="5" a="1"/>
  <c r="DH9" i="5" s="1"/>
  <c r="DI9" i="5" a="1"/>
  <c r="DI9" i="5" s="1"/>
  <c r="CN10" i="5" a="1"/>
  <c r="CN10" i="5" s="1"/>
  <c r="CO10" i="5" a="1"/>
  <c r="CO10" i="5" s="1"/>
  <c r="CP10" i="5" a="1"/>
  <c r="CP10" i="5" s="1"/>
  <c r="CQ10" i="5" a="1"/>
  <c r="CQ10" i="5" s="1"/>
  <c r="CR10" i="5" a="1"/>
  <c r="CR10" i="5" s="1"/>
  <c r="CS10" i="5" a="1"/>
  <c r="CS10" i="5" s="1"/>
  <c r="CT10" i="5" a="1"/>
  <c r="CT10" i="5" s="1"/>
  <c r="CU10" i="5" a="1"/>
  <c r="CU10" i="5" s="1"/>
  <c r="CV10" i="5" a="1"/>
  <c r="CV10" i="5" s="1"/>
  <c r="CW10" i="5" a="1"/>
  <c r="CW10" i="5" s="1"/>
  <c r="CX10" i="5" a="1"/>
  <c r="CX10" i="5" s="1"/>
  <c r="CY10" i="5" a="1"/>
  <c r="CY10" i="5" s="1"/>
  <c r="CZ10" i="5" a="1"/>
  <c r="CZ10" i="5" s="1"/>
  <c r="DA10" i="5" a="1"/>
  <c r="DA10" i="5" s="1"/>
  <c r="DB10" i="5" a="1"/>
  <c r="DB10" i="5" s="1"/>
  <c r="DC10" i="5" a="1"/>
  <c r="DC10" i="5" s="1"/>
  <c r="DD10" i="5" a="1"/>
  <c r="DD10" i="5" s="1"/>
  <c r="DE10" i="5" a="1"/>
  <c r="DE10" i="5" s="1"/>
  <c r="DF10" i="5" a="1"/>
  <c r="DF10" i="5" s="1"/>
  <c r="DG10" i="5" a="1"/>
  <c r="DG10" i="5" s="1"/>
  <c r="DH10" i="5" a="1"/>
  <c r="DH10" i="5" s="1"/>
  <c r="DI10" i="5" a="1"/>
  <c r="DI10" i="5" s="1"/>
  <c r="CN11" i="5" a="1"/>
  <c r="CN11" i="5" s="1"/>
  <c r="CO11" i="5" a="1"/>
  <c r="CO11" i="5" s="1"/>
  <c r="CP11" i="5" a="1"/>
  <c r="CP11" i="5" s="1"/>
  <c r="CQ11" i="5" a="1"/>
  <c r="CQ11" i="5" s="1"/>
  <c r="CR11" i="5" a="1"/>
  <c r="CR11" i="5" s="1"/>
  <c r="CS11" i="5" a="1"/>
  <c r="CS11" i="5" s="1"/>
  <c r="CT11" i="5" a="1"/>
  <c r="CT11" i="5" s="1"/>
  <c r="CU11" i="5" a="1"/>
  <c r="CU11" i="5" s="1"/>
  <c r="CV11" i="5" a="1"/>
  <c r="CV11" i="5" s="1"/>
  <c r="CW11" i="5" a="1"/>
  <c r="CW11" i="5" s="1"/>
  <c r="CX11" i="5" a="1"/>
  <c r="CX11" i="5" s="1"/>
  <c r="CY11" i="5" a="1"/>
  <c r="CY11" i="5" s="1"/>
  <c r="CZ11" i="5" a="1"/>
  <c r="CZ11" i="5" s="1"/>
  <c r="DA11" i="5" a="1"/>
  <c r="DA11" i="5" s="1"/>
  <c r="DB11" i="5" a="1"/>
  <c r="DB11" i="5" s="1"/>
  <c r="DC11" i="5" a="1"/>
  <c r="DC11" i="5" s="1"/>
  <c r="DD11" i="5" a="1"/>
  <c r="DD11" i="5" s="1"/>
  <c r="DE11" i="5" a="1"/>
  <c r="DE11" i="5" s="1"/>
  <c r="DF11" i="5" a="1"/>
  <c r="DF11" i="5" s="1"/>
  <c r="DG11" i="5" a="1"/>
  <c r="DG11" i="5" s="1"/>
  <c r="DH11" i="5" a="1"/>
  <c r="DH11" i="5" s="1"/>
  <c r="DI11" i="5" a="1"/>
  <c r="DI11" i="5" s="1"/>
  <c r="CN12" i="5" a="1"/>
  <c r="CN12" i="5" s="1"/>
  <c r="CO12" i="5" a="1"/>
  <c r="CO12" i="5" s="1"/>
  <c r="CP12" i="5" a="1"/>
  <c r="CP12" i="5" s="1"/>
  <c r="CQ12" i="5" a="1"/>
  <c r="CQ12" i="5" s="1"/>
  <c r="CR12" i="5" a="1"/>
  <c r="CR12" i="5" s="1"/>
  <c r="CS12" i="5" a="1"/>
  <c r="CS12" i="5" s="1"/>
  <c r="CT12" i="5" a="1"/>
  <c r="CT12" i="5" s="1"/>
  <c r="CU12" i="5" a="1"/>
  <c r="CU12" i="5" s="1"/>
  <c r="CV12" i="5" a="1"/>
  <c r="CV12" i="5" s="1"/>
  <c r="CW12" i="5" a="1"/>
  <c r="CW12" i="5" s="1"/>
  <c r="CX12" i="5" a="1"/>
  <c r="CX12" i="5" s="1"/>
  <c r="CY12" i="5" a="1"/>
  <c r="CY12" i="5" s="1"/>
  <c r="CZ12" i="5" a="1"/>
  <c r="CZ12" i="5" s="1"/>
  <c r="DA12" i="5" a="1"/>
  <c r="DA12" i="5" s="1"/>
  <c r="DB12" i="5" a="1"/>
  <c r="DB12" i="5" s="1"/>
  <c r="DC12" i="5" a="1"/>
  <c r="DC12" i="5" s="1"/>
  <c r="DD12" i="5" a="1"/>
  <c r="DD12" i="5" s="1"/>
  <c r="DE12" i="5" a="1"/>
  <c r="DE12" i="5" s="1"/>
  <c r="DF12" i="5" a="1"/>
  <c r="DF12" i="5" s="1"/>
  <c r="DG12" i="5" a="1"/>
  <c r="DG12" i="5" s="1"/>
  <c r="DH12" i="5" a="1"/>
  <c r="DH12" i="5" s="1"/>
  <c r="DI12" i="5" a="1"/>
  <c r="DI12" i="5" s="1"/>
  <c r="CN13" i="5" a="1"/>
  <c r="CN13" i="5" s="1"/>
  <c r="CO13" i="5" a="1"/>
  <c r="CO13" i="5" s="1"/>
  <c r="CP13" i="5" a="1"/>
  <c r="CP13" i="5" s="1"/>
  <c r="CQ13" i="5" a="1"/>
  <c r="CQ13" i="5" s="1"/>
  <c r="CR13" i="5" a="1"/>
  <c r="CR13" i="5" s="1"/>
  <c r="CS13" i="5" a="1"/>
  <c r="CS13" i="5" s="1"/>
  <c r="CT13" i="5" a="1"/>
  <c r="CT13" i="5" s="1"/>
  <c r="CU13" i="5" a="1"/>
  <c r="CU13" i="5" s="1"/>
  <c r="CV13" i="5" a="1"/>
  <c r="CV13" i="5" s="1"/>
  <c r="CW13" i="5" a="1"/>
  <c r="CW13" i="5" s="1"/>
  <c r="CX13" i="5" a="1"/>
  <c r="CX13" i="5" s="1"/>
  <c r="CY13" i="5" a="1"/>
  <c r="CY13" i="5" s="1"/>
  <c r="CZ13" i="5" a="1"/>
  <c r="CZ13" i="5" s="1"/>
  <c r="DA13" i="5" a="1"/>
  <c r="DA13" i="5" s="1"/>
  <c r="DB13" i="5" a="1"/>
  <c r="DB13" i="5" s="1"/>
  <c r="DC13" i="5" a="1"/>
  <c r="DC13" i="5" s="1"/>
  <c r="DD13" i="5" a="1"/>
  <c r="DD13" i="5" s="1"/>
  <c r="DE13" i="5" a="1"/>
  <c r="DE13" i="5" s="1"/>
  <c r="DF13" i="5" a="1"/>
  <c r="DF13" i="5" s="1"/>
  <c r="DG13" i="5" a="1"/>
  <c r="DG13" i="5" s="1"/>
  <c r="DH13" i="5" a="1"/>
  <c r="DH13" i="5" s="1"/>
  <c r="DI13" i="5" a="1"/>
  <c r="DI13" i="5" s="1"/>
  <c r="CN14" i="5" a="1"/>
  <c r="CN14" i="5" s="1"/>
  <c r="CO14" i="5" a="1"/>
  <c r="CO14" i="5" s="1"/>
  <c r="CP14" i="5" a="1"/>
  <c r="CP14" i="5" s="1"/>
  <c r="CQ14" i="5" a="1"/>
  <c r="CQ14" i="5" s="1"/>
  <c r="CR14" i="5" a="1"/>
  <c r="CR14" i="5" s="1"/>
  <c r="CS14" i="5" a="1"/>
  <c r="CS14" i="5" s="1"/>
  <c r="CT14" i="5" a="1"/>
  <c r="CT14" i="5" s="1"/>
  <c r="CU14" i="5" a="1"/>
  <c r="CU14" i="5" s="1"/>
  <c r="CV14" i="5" a="1"/>
  <c r="CV14" i="5" s="1"/>
  <c r="CW14" i="5" a="1"/>
  <c r="CW14" i="5" s="1"/>
  <c r="CX14" i="5" a="1"/>
  <c r="CX14" i="5" s="1"/>
  <c r="CY14" i="5" a="1"/>
  <c r="CY14" i="5" s="1"/>
  <c r="CZ14" i="5" a="1"/>
  <c r="CZ14" i="5" s="1"/>
  <c r="DA14" i="5" a="1"/>
  <c r="DA14" i="5" s="1"/>
  <c r="DB14" i="5" a="1"/>
  <c r="DB14" i="5" s="1"/>
  <c r="DC14" i="5" a="1"/>
  <c r="DC14" i="5" s="1"/>
  <c r="DD14" i="5" a="1"/>
  <c r="DD14" i="5" s="1"/>
  <c r="DE14" i="5" a="1"/>
  <c r="DE14" i="5" s="1"/>
  <c r="DF14" i="5" a="1"/>
  <c r="DF14" i="5" s="1"/>
  <c r="DG14" i="5" a="1"/>
  <c r="DG14" i="5" s="1"/>
  <c r="DH14" i="5" a="1"/>
  <c r="DH14" i="5" s="1"/>
  <c r="DI14" i="5" a="1"/>
  <c r="DI14" i="5" s="1"/>
  <c r="CN15" i="5" a="1"/>
  <c r="CN15" i="5" s="1"/>
  <c r="CO15" i="5" a="1"/>
  <c r="CO15" i="5" s="1"/>
  <c r="CP15" i="5" a="1"/>
  <c r="CP15" i="5" s="1"/>
  <c r="CQ15" i="5" a="1"/>
  <c r="CQ15" i="5" s="1"/>
  <c r="CR15" i="5" a="1"/>
  <c r="CR15" i="5" s="1"/>
  <c r="CS15" i="5" a="1"/>
  <c r="CS15" i="5" s="1"/>
  <c r="CT15" i="5" a="1"/>
  <c r="CT15" i="5" s="1"/>
  <c r="CU15" i="5" a="1"/>
  <c r="CU15" i="5" s="1"/>
  <c r="CV15" i="5" a="1"/>
  <c r="CV15" i="5" s="1"/>
  <c r="CW15" i="5" a="1"/>
  <c r="CW15" i="5" s="1"/>
  <c r="CX15" i="5" a="1"/>
  <c r="CX15" i="5" s="1"/>
  <c r="CY15" i="5" a="1"/>
  <c r="CY15" i="5" s="1"/>
  <c r="CZ15" i="5" a="1"/>
  <c r="CZ15" i="5" s="1"/>
  <c r="DA15" i="5" a="1"/>
  <c r="DA15" i="5" s="1"/>
  <c r="DB15" i="5" a="1"/>
  <c r="DB15" i="5" s="1"/>
  <c r="DC15" i="5" a="1"/>
  <c r="DC15" i="5" s="1"/>
  <c r="DD15" i="5" a="1"/>
  <c r="DD15" i="5" s="1"/>
  <c r="DE15" i="5" a="1"/>
  <c r="DE15" i="5" s="1"/>
  <c r="DF15" i="5" a="1"/>
  <c r="DF15" i="5" s="1"/>
  <c r="DG15" i="5" a="1"/>
  <c r="DG15" i="5" s="1"/>
  <c r="DH15" i="5" a="1"/>
  <c r="DH15" i="5" s="1"/>
  <c r="DI15" i="5" a="1"/>
  <c r="DI15" i="5" s="1"/>
  <c r="CN16" i="5" a="1"/>
  <c r="CN16" i="5" s="1"/>
  <c r="CO16" i="5" a="1"/>
  <c r="CO16" i="5" s="1"/>
  <c r="CP16" i="5" a="1"/>
  <c r="CP16" i="5" s="1"/>
  <c r="CQ16" i="5" a="1"/>
  <c r="CQ16" i="5" s="1"/>
  <c r="CR16" i="5" a="1"/>
  <c r="CR16" i="5" s="1"/>
  <c r="CS16" i="5" a="1"/>
  <c r="CS16" i="5" s="1"/>
  <c r="CT16" i="5" a="1"/>
  <c r="CT16" i="5" s="1"/>
  <c r="CU16" i="5" a="1"/>
  <c r="CU16" i="5" s="1"/>
  <c r="CV16" i="5" a="1"/>
  <c r="CV16" i="5" s="1"/>
  <c r="CW16" i="5" a="1"/>
  <c r="CW16" i="5" s="1"/>
  <c r="CX16" i="5" a="1"/>
  <c r="CX16" i="5" s="1"/>
  <c r="CY16" i="5" a="1"/>
  <c r="CY16" i="5" s="1"/>
  <c r="CZ16" i="5" a="1"/>
  <c r="CZ16" i="5" s="1"/>
  <c r="DA16" i="5" a="1"/>
  <c r="DA16" i="5" s="1"/>
  <c r="DB16" i="5" a="1"/>
  <c r="DB16" i="5" s="1"/>
  <c r="DC16" i="5" a="1"/>
  <c r="DC16" i="5" s="1"/>
  <c r="DD16" i="5" a="1"/>
  <c r="DD16" i="5" s="1"/>
  <c r="DE16" i="5" a="1"/>
  <c r="DE16" i="5" s="1"/>
  <c r="DF16" i="5" a="1"/>
  <c r="DF16" i="5" s="1"/>
  <c r="DG16" i="5" a="1"/>
  <c r="DG16" i="5" s="1"/>
  <c r="DH16" i="5" a="1"/>
  <c r="DH16" i="5" s="1"/>
  <c r="DI16" i="5" a="1"/>
  <c r="DI16" i="5" s="1"/>
  <c r="DV65" i="2"/>
  <c r="DV66" i="2"/>
  <c r="DV67" i="2"/>
  <c r="DV68" i="2"/>
  <c r="DV69" i="2"/>
  <c r="DV70" i="2"/>
  <c r="DV71" i="2"/>
  <c r="DV72" i="2"/>
  <c r="DV73" i="2"/>
  <c r="DV74" i="2"/>
  <c r="DV75" i="2"/>
  <c r="DV76" i="2"/>
  <c r="DV77" i="2"/>
  <c r="DV78" i="2"/>
  <c r="DV79" i="2"/>
  <c r="DV80" i="2"/>
  <c r="DV81" i="2"/>
  <c r="DV82" i="2"/>
  <c r="DV83" i="2"/>
  <c r="DV84" i="2"/>
  <c r="DV85" i="2"/>
  <c r="DV86" i="2"/>
  <c r="DV87" i="2"/>
  <c r="DV88" i="2"/>
  <c r="DV89" i="2"/>
  <c r="DV90" i="2"/>
  <c r="DV91" i="2"/>
  <c r="DV92" i="2"/>
  <c r="DV93" i="2"/>
  <c r="DV94" i="2"/>
  <c r="DV95" i="2"/>
  <c r="DV96" i="2"/>
  <c r="DV97" i="2"/>
  <c r="DV98" i="2"/>
  <c r="DV99" i="2"/>
  <c r="DV100" i="2"/>
  <c r="DV101" i="2"/>
  <c r="DV102" i="2"/>
  <c r="DV103" i="2"/>
  <c r="DV104" i="2"/>
  <c r="DV105" i="2"/>
  <c r="DV106" i="2"/>
  <c r="DV107" i="2"/>
  <c r="DV108" i="2"/>
  <c r="DV109" i="2"/>
  <c r="DV110" i="2"/>
  <c r="DV111" i="2"/>
  <c r="DV112" i="2"/>
  <c r="DV113" i="2"/>
  <c r="DV114" i="2"/>
  <c r="DV115" i="2"/>
  <c r="DV116" i="2"/>
  <c r="DV117" i="2"/>
  <c r="DV118" i="2"/>
  <c r="DV119" i="2"/>
  <c r="DV120" i="2"/>
  <c r="DV121" i="2"/>
  <c r="DV122" i="2"/>
  <c r="DV123" i="2"/>
  <c r="DV124" i="2"/>
  <c r="DV125" i="2"/>
  <c r="DV126" i="2"/>
  <c r="DV127" i="2"/>
  <c r="DV128" i="2"/>
  <c r="DV129" i="2"/>
  <c r="DV130" i="2"/>
  <c r="DV131" i="2"/>
  <c r="DV132" i="2"/>
  <c r="DV133" i="2"/>
  <c r="DV134" i="2"/>
  <c r="DV135" i="2"/>
  <c r="DV136" i="2"/>
  <c r="DV137" i="2"/>
  <c r="DV138" i="2"/>
  <c r="DV139" i="2"/>
  <c r="DV140" i="2"/>
  <c r="DV141" i="2"/>
  <c r="DV142" i="2"/>
  <c r="DV143" i="2"/>
  <c r="DV144" i="2"/>
  <c r="DV145" i="2"/>
  <c r="DV146" i="2"/>
  <c r="DV147" i="2"/>
  <c r="DV148" i="2"/>
  <c r="DV149" i="2"/>
  <c r="DV150" i="2"/>
  <c r="DV151" i="2"/>
  <c r="DV152" i="2"/>
  <c r="DV153" i="2"/>
  <c r="DV154" i="2"/>
  <c r="DV155" i="2"/>
  <c r="DV156" i="2"/>
  <c r="DV157" i="2"/>
  <c r="DV158" i="2"/>
  <c r="DV159" i="2"/>
  <c r="DV160" i="2"/>
  <c r="DV161" i="2"/>
  <c r="DV162" i="2"/>
  <c r="DV163" i="2"/>
  <c r="DV164" i="2"/>
  <c r="DV165" i="2"/>
  <c r="DV166" i="2"/>
  <c r="DV167" i="2"/>
  <c r="DV168" i="2"/>
  <c r="DV169" i="2"/>
  <c r="DV170" i="2"/>
  <c r="DV171" i="2"/>
  <c r="DV172" i="2"/>
  <c r="DV173" i="2"/>
  <c r="DV174" i="2"/>
  <c r="DV175" i="2"/>
  <c r="DV176" i="2"/>
  <c r="DV177" i="2"/>
  <c r="DV178" i="2"/>
  <c r="DV179" i="2"/>
  <c r="DV180" i="2"/>
  <c r="DV181" i="2"/>
  <c r="DV182" i="2"/>
  <c r="DV183" i="2"/>
  <c r="DV184" i="2"/>
  <c r="DV185" i="2"/>
  <c r="DV186" i="2"/>
  <c r="DV187" i="2"/>
  <c r="DV188" i="2"/>
  <c r="DV189" i="2"/>
  <c r="DV190" i="2"/>
  <c r="DV191" i="2"/>
  <c r="DV192" i="2"/>
  <c r="DV193" i="2"/>
  <c r="DV194" i="2"/>
  <c r="DV195" i="2"/>
  <c r="DV196" i="2"/>
  <c r="DV197" i="2"/>
  <c r="DV198" i="2"/>
  <c r="DV199" i="2"/>
  <c r="DV200" i="2"/>
  <c r="DV201" i="2"/>
  <c r="DV202" i="2"/>
  <c r="DV203" i="2"/>
  <c r="DV204" i="2"/>
  <c r="DV205" i="2"/>
  <c r="DV206" i="2"/>
  <c r="DV207" i="2"/>
  <c r="DV208" i="2"/>
  <c r="DV209" i="2"/>
  <c r="DV210" i="2"/>
  <c r="DV211" i="2"/>
  <c r="DV212" i="2"/>
  <c r="DV213" i="2"/>
  <c r="DV214" i="2"/>
  <c r="DV215" i="2"/>
  <c r="DV216" i="2"/>
  <c r="DV217" i="2"/>
  <c r="DV218" i="2"/>
  <c r="DV219" i="2"/>
  <c r="DV220" i="2"/>
  <c r="DV221" i="2"/>
  <c r="DV222" i="2"/>
  <c r="DV223" i="2"/>
  <c r="DV224" i="2"/>
  <c r="DV225" i="2"/>
  <c r="DV226" i="2"/>
  <c r="DV227" i="2"/>
  <c r="DV228" i="2"/>
  <c r="DV229" i="2"/>
  <c r="DV230" i="2"/>
  <c r="DV231" i="2"/>
  <c r="DV232" i="2"/>
  <c r="DV233" i="2"/>
  <c r="DV234" i="2"/>
  <c r="DV235" i="2"/>
  <c r="DV236" i="2"/>
  <c r="DV237" i="2"/>
  <c r="DV238" i="2"/>
  <c r="DV239" i="2"/>
  <c r="DV240" i="2"/>
  <c r="DV241" i="2"/>
  <c r="DV242" i="2"/>
  <c r="DV243" i="2"/>
  <c r="DV244" i="2"/>
  <c r="DV245" i="2"/>
  <c r="DV246" i="2"/>
  <c r="DV247" i="2"/>
  <c r="DV248" i="2"/>
  <c r="DV249" i="2"/>
  <c r="DV250" i="2"/>
  <c r="DV251" i="2"/>
  <c r="DV252" i="2"/>
  <c r="DV253" i="2"/>
  <c r="DV254" i="2"/>
  <c r="DV255" i="2"/>
  <c r="DV256" i="2"/>
  <c r="DV257" i="2"/>
  <c r="DV258" i="2"/>
  <c r="DV259" i="2"/>
  <c r="DV260" i="2"/>
  <c r="DV261" i="2"/>
  <c r="DV262" i="2"/>
  <c r="DV263" i="2"/>
  <c r="DV264" i="2"/>
  <c r="DV265" i="2"/>
  <c r="DV266" i="2"/>
  <c r="DV267" i="2"/>
  <c r="DV268" i="2"/>
  <c r="DV269" i="2"/>
  <c r="DV270" i="2"/>
  <c r="DV271" i="2"/>
  <c r="DV272" i="2"/>
  <c r="DV273" i="2"/>
  <c r="DV274" i="2"/>
  <c r="DV275" i="2"/>
  <c r="DV276" i="2"/>
  <c r="DV277" i="2"/>
  <c r="DV278" i="2"/>
  <c r="DV279" i="2"/>
  <c r="DV280" i="2"/>
  <c r="DV281" i="2"/>
  <c r="DV282" i="2"/>
  <c r="DV283" i="2"/>
  <c r="DV284" i="2"/>
  <c r="DV285" i="2"/>
  <c r="DV286" i="2"/>
  <c r="DV287" i="2"/>
  <c r="DV288" i="2"/>
  <c r="DV289" i="2"/>
  <c r="DV290" i="2"/>
  <c r="DV291" i="2"/>
  <c r="DV292" i="2"/>
  <c r="DV293" i="2"/>
  <c r="DV294" i="2"/>
  <c r="DV295" i="2"/>
  <c r="DV296" i="2"/>
  <c r="DV297" i="2"/>
  <c r="DV298" i="2"/>
  <c r="DV299" i="2"/>
  <c r="DV300" i="2"/>
  <c r="DV301" i="2"/>
  <c r="DV302" i="2"/>
  <c r="DV303" i="2"/>
  <c r="DV304" i="2"/>
  <c r="DV305" i="2"/>
  <c r="DV306" i="2"/>
  <c r="DV307" i="2"/>
  <c r="DV308" i="2"/>
  <c r="DV309" i="2"/>
  <c r="DV310" i="2"/>
  <c r="DV311" i="2"/>
  <c r="DV312" i="2"/>
  <c r="DV313" i="2"/>
  <c r="DV314" i="2"/>
  <c r="DV315" i="2"/>
  <c r="DV316" i="2"/>
  <c r="DV317" i="2"/>
  <c r="DV318" i="2"/>
  <c r="DV319" i="2"/>
  <c r="DV320" i="2"/>
  <c r="DV321" i="2"/>
  <c r="DV322" i="2"/>
  <c r="DV323" i="2"/>
  <c r="DV324" i="2"/>
  <c r="DV325" i="2"/>
  <c r="DV326" i="2"/>
  <c r="DV327" i="2"/>
  <c r="DV328" i="2"/>
  <c r="DV329" i="2"/>
  <c r="DV330" i="2"/>
  <c r="DV331" i="2"/>
  <c r="DV332" i="2"/>
  <c r="DV333" i="2"/>
  <c r="DV334" i="2"/>
  <c r="DV335" i="2"/>
  <c r="DV336" i="2"/>
  <c r="DV337" i="2"/>
  <c r="DV338" i="2"/>
  <c r="DV339" i="2"/>
  <c r="DV340" i="2"/>
  <c r="DV341" i="2"/>
  <c r="DV342" i="2"/>
  <c r="DV343" i="2"/>
  <c r="DV344" i="2"/>
  <c r="DV345" i="2"/>
  <c r="DV346" i="2"/>
  <c r="DV347" i="2"/>
  <c r="DV348" i="2"/>
  <c r="DV349" i="2"/>
  <c r="DV350" i="2"/>
  <c r="DV351" i="2"/>
  <c r="DV352" i="2"/>
  <c r="DV353" i="2"/>
  <c r="DV354" i="2"/>
  <c r="DV355" i="2"/>
  <c r="DV356" i="2"/>
  <c r="DV357" i="2"/>
  <c r="DV358" i="2"/>
  <c r="DV359" i="2"/>
  <c r="DV360" i="2"/>
  <c r="DV361" i="2"/>
  <c r="DV362" i="2"/>
  <c r="DV363" i="2"/>
  <c r="DV364" i="2"/>
  <c r="DV365" i="2"/>
  <c r="DV366" i="2"/>
  <c r="DV367" i="2"/>
  <c r="DV368" i="2"/>
  <c r="DV369" i="2"/>
  <c r="DV370" i="2"/>
  <c r="DV38" i="2"/>
  <c r="DV39" i="2"/>
  <c r="DV40" i="2"/>
  <c r="DV41" i="2"/>
  <c r="DV42" i="2"/>
  <c r="DV43" i="2"/>
  <c r="DV44" i="2"/>
  <c r="DV45" i="2"/>
  <c r="DV46" i="2"/>
  <c r="DV47" i="2"/>
  <c r="DV48" i="2"/>
  <c r="DV49" i="2"/>
  <c r="DV50" i="2"/>
  <c r="DV51" i="2"/>
  <c r="DV52" i="2"/>
  <c r="DV53" i="2"/>
  <c r="DV54" i="2"/>
  <c r="DV55" i="2"/>
  <c r="DV56" i="2"/>
  <c r="DV57" i="2"/>
  <c r="DV58" i="2"/>
  <c r="DV59" i="2"/>
  <c r="DV60" i="2"/>
  <c r="DV61" i="2"/>
  <c r="DV62" i="2"/>
  <c r="DV63" i="2"/>
  <c r="DV64" i="2"/>
  <c r="DV37" i="2"/>
  <c r="AT17" i="5" l="1"/>
  <c r="AU5" i="5"/>
  <c r="AU17" i="5" s="1"/>
  <c r="DC17" i="5"/>
  <c r="CU17" i="5"/>
  <c r="CT17" i="5"/>
  <c r="CN17" i="5"/>
  <c r="DA17" i="5"/>
  <c r="CW17" i="5"/>
  <c r="CV17" i="5"/>
  <c r="CS17" i="5"/>
  <c r="DD17" i="5"/>
  <c r="CO17" i="5"/>
  <c r="CP17" i="5"/>
  <c r="CR17" i="5"/>
  <c r="CQ17" i="5"/>
  <c r="CY17" i="5"/>
  <c r="CZ17" i="5"/>
  <c r="DF17" i="5"/>
  <c r="DE17" i="5"/>
  <c r="DG17" i="5"/>
  <c r="DI17" i="5"/>
  <c r="DH17" i="5"/>
  <c r="DB17" i="5"/>
  <c r="CD47" i="2"/>
  <c r="CE47" i="2"/>
  <c r="CF47" i="2"/>
  <c r="CG47" i="2"/>
  <c r="CH47" i="2"/>
  <c r="CI47" i="2"/>
  <c r="CJ47" i="2"/>
  <c r="CK47" i="2"/>
  <c r="CL47" i="2"/>
  <c r="CM47" i="2"/>
  <c r="CN47" i="2"/>
  <c r="CO47" i="2"/>
  <c r="CP47" i="2"/>
  <c r="CQ47" i="2"/>
  <c r="CR47" i="2"/>
  <c r="CS47" i="2"/>
  <c r="CT47" i="2"/>
  <c r="CU47" i="2"/>
  <c r="CV47" i="2"/>
  <c r="CW47" i="2"/>
  <c r="CX47" i="2"/>
  <c r="CY47" i="2"/>
  <c r="CD48" i="2"/>
  <c r="CE48" i="2"/>
  <c r="CF48" i="2"/>
  <c r="CG48" i="2"/>
  <c r="CH48" i="2"/>
  <c r="CI48" i="2"/>
  <c r="CJ48" i="2"/>
  <c r="CK48" i="2"/>
  <c r="CL48" i="2"/>
  <c r="CM48" i="2"/>
  <c r="CN48" i="2"/>
  <c r="CO48" i="2"/>
  <c r="CP48" i="2"/>
  <c r="CQ48" i="2"/>
  <c r="CR48" i="2"/>
  <c r="CS48" i="2"/>
  <c r="CT48" i="2"/>
  <c r="CU48" i="2"/>
  <c r="CV48" i="2"/>
  <c r="CW48" i="2"/>
  <c r="CX48" i="2"/>
  <c r="CY48" i="2"/>
  <c r="CD49" i="2"/>
  <c r="CE49" i="2"/>
  <c r="CF49" i="2"/>
  <c r="CG49" i="2"/>
  <c r="CH49" i="2"/>
  <c r="CI49" i="2"/>
  <c r="CJ49" i="2"/>
  <c r="CK49" i="2"/>
  <c r="CL49" i="2"/>
  <c r="CM49" i="2"/>
  <c r="CN49" i="2"/>
  <c r="CO49" i="2"/>
  <c r="CP49" i="2"/>
  <c r="CQ49" i="2"/>
  <c r="CR49" i="2"/>
  <c r="CS49" i="2"/>
  <c r="CT49" i="2"/>
  <c r="CU49" i="2"/>
  <c r="CV49" i="2"/>
  <c r="CW49" i="2"/>
  <c r="CX49" i="2"/>
  <c r="CY49" i="2"/>
  <c r="CD50" i="2"/>
  <c r="CE50" i="2"/>
  <c r="CF50" i="2"/>
  <c r="CG50" i="2"/>
  <c r="CH50" i="2"/>
  <c r="CI50" i="2"/>
  <c r="CJ50" i="2"/>
  <c r="CK50" i="2"/>
  <c r="CL50" i="2"/>
  <c r="CM50" i="2"/>
  <c r="CN50" i="2"/>
  <c r="CO50" i="2"/>
  <c r="CP50" i="2"/>
  <c r="CQ50" i="2"/>
  <c r="CR50" i="2"/>
  <c r="CS50" i="2"/>
  <c r="CT50" i="2"/>
  <c r="CU50" i="2"/>
  <c r="CV50" i="2"/>
  <c r="CW50" i="2"/>
  <c r="CX50" i="2"/>
  <c r="CY50" i="2"/>
  <c r="CD51" i="2"/>
  <c r="CE51" i="2"/>
  <c r="CF51" i="2"/>
  <c r="CG51" i="2"/>
  <c r="CH51" i="2"/>
  <c r="CI51" i="2"/>
  <c r="CJ51" i="2"/>
  <c r="CK51" i="2"/>
  <c r="CL51" i="2"/>
  <c r="CM51" i="2"/>
  <c r="CN51" i="2"/>
  <c r="CO51" i="2"/>
  <c r="CP51" i="2"/>
  <c r="CQ51" i="2"/>
  <c r="CR51" i="2"/>
  <c r="CS51" i="2"/>
  <c r="CT51" i="2"/>
  <c r="CU51" i="2"/>
  <c r="CV51" i="2"/>
  <c r="CW51" i="2"/>
  <c r="CX51" i="2"/>
  <c r="CY51" i="2"/>
  <c r="CD52" i="2"/>
  <c r="CE52" i="2"/>
  <c r="CF52" i="2"/>
  <c r="CG52" i="2"/>
  <c r="CH52" i="2"/>
  <c r="CI52" i="2"/>
  <c r="CJ52" i="2"/>
  <c r="CK52" i="2"/>
  <c r="CL52" i="2"/>
  <c r="CM52" i="2"/>
  <c r="CN52" i="2"/>
  <c r="CO52" i="2"/>
  <c r="CP52" i="2"/>
  <c r="CQ52" i="2"/>
  <c r="CR52" i="2"/>
  <c r="CS52" i="2"/>
  <c r="CT52" i="2"/>
  <c r="CU52" i="2"/>
  <c r="CV52" i="2"/>
  <c r="CW52" i="2"/>
  <c r="CX52" i="2"/>
  <c r="CY52" i="2"/>
  <c r="CD53" i="2"/>
  <c r="CE53" i="2"/>
  <c r="CF53" i="2"/>
  <c r="CG53" i="2"/>
  <c r="CH53" i="2"/>
  <c r="CI53" i="2"/>
  <c r="CJ53" i="2"/>
  <c r="CK53" i="2"/>
  <c r="CL53" i="2"/>
  <c r="CM53" i="2"/>
  <c r="CN53" i="2"/>
  <c r="CO53" i="2"/>
  <c r="CP53" i="2"/>
  <c r="CQ53" i="2"/>
  <c r="CR53" i="2"/>
  <c r="CS53" i="2"/>
  <c r="CT53" i="2"/>
  <c r="CU53" i="2"/>
  <c r="CV53" i="2"/>
  <c r="CW53" i="2"/>
  <c r="CX53" i="2"/>
  <c r="CY53" i="2"/>
  <c r="CD54" i="2"/>
  <c r="CE54" i="2"/>
  <c r="CF54" i="2"/>
  <c r="CG54" i="2"/>
  <c r="CH54" i="2"/>
  <c r="CI54" i="2"/>
  <c r="CJ54" i="2"/>
  <c r="CK54" i="2"/>
  <c r="CL54" i="2"/>
  <c r="CM54" i="2"/>
  <c r="CN54" i="2"/>
  <c r="CO54" i="2"/>
  <c r="CP54" i="2"/>
  <c r="CQ54" i="2"/>
  <c r="CR54" i="2"/>
  <c r="CS54" i="2"/>
  <c r="CT54" i="2"/>
  <c r="CU54" i="2"/>
  <c r="CV54" i="2"/>
  <c r="CW54" i="2"/>
  <c r="CX54" i="2"/>
  <c r="CY54" i="2"/>
  <c r="CD55" i="2"/>
  <c r="CE55" i="2"/>
  <c r="CF55" i="2"/>
  <c r="CG55" i="2"/>
  <c r="CH55" i="2"/>
  <c r="CI55" i="2"/>
  <c r="CJ55" i="2"/>
  <c r="CK55" i="2"/>
  <c r="CL55" i="2"/>
  <c r="CM55" i="2"/>
  <c r="CN55" i="2"/>
  <c r="CO55" i="2"/>
  <c r="CP55" i="2"/>
  <c r="CQ55" i="2"/>
  <c r="CR55" i="2"/>
  <c r="CS55" i="2"/>
  <c r="CT55" i="2"/>
  <c r="CU55" i="2"/>
  <c r="CV55" i="2"/>
  <c r="CW55" i="2"/>
  <c r="CX55" i="2"/>
  <c r="CY55" i="2"/>
  <c r="CD56" i="2"/>
  <c r="CE56" i="2"/>
  <c r="CF56" i="2"/>
  <c r="CG56" i="2"/>
  <c r="CH56" i="2"/>
  <c r="CI56" i="2"/>
  <c r="CJ56" i="2"/>
  <c r="CK56" i="2"/>
  <c r="CL56" i="2"/>
  <c r="CM56" i="2"/>
  <c r="CN56" i="2"/>
  <c r="CO56" i="2"/>
  <c r="CP56" i="2"/>
  <c r="CQ56" i="2"/>
  <c r="CR56" i="2"/>
  <c r="CS56" i="2"/>
  <c r="CT56" i="2"/>
  <c r="CU56" i="2"/>
  <c r="CV56" i="2"/>
  <c r="CW56" i="2"/>
  <c r="CX56" i="2"/>
  <c r="CY56" i="2"/>
  <c r="CD57" i="2"/>
  <c r="CE57" i="2"/>
  <c r="CF57" i="2"/>
  <c r="CG57" i="2"/>
  <c r="CH57" i="2"/>
  <c r="CI57" i="2"/>
  <c r="CJ57" i="2"/>
  <c r="CK57" i="2"/>
  <c r="CL57" i="2"/>
  <c r="CM57" i="2"/>
  <c r="CN57" i="2"/>
  <c r="CO57" i="2"/>
  <c r="CP57" i="2"/>
  <c r="CQ57" i="2"/>
  <c r="CR57" i="2"/>
  <c r="CS57" i="2"/>
  <c r="CT57" i="2"/>
  <c r="CU57" i="2"/>
  <c r="CV57" i="2"/>
  <c r="CW57" i="2"/>
  <c r="CX57" i="2"/>
  <c r="CY57" i="2"/>
  <c r="CD58" i="2"/>
  <c r="CE58" i="2"/>
  <c r="CF58" i="2"/>
  <c r="CG58" i="2"/>
  <c r="CH58" i="2"/>
  <c r="CI58" i="2"/>
  <c r="CJ58" i="2"/>
  <c r="CK58" i="2"/>
  <c r="CL58" i="2"/>
  <c r="CM58" i="2"/>
  <c r="CN58" i="2"/>
  <c r="CO58" i="2"/>
  <c r="CP58" i="2"/>
  <c r="CQ58" i="2"/>
  <c r="CR58" i="2"/>
  <c r="CS58" i="2"/>
  <c r="CT58" i="2"/>
  <c r="CU58" i="2"/>
  <c r="CV58" i="2"/>
  <c r="CW58" i="2"/>
  <c r="CX58" i="2"/>
  <c r="CY58" i="2"/>
  <c r="CD59" i="2"/>
  <c r="CE59" i="2"/>
  <c r="CF59" i="2"/>
  <c r="CG59" i="2"/>
  <c r="CH59" i="2"/>
  <c r="CI59" i="2"/>
  <c r="CJ59" i="2"/>
  <c r="CK59" i="2"/>
  <c r="CL59" i="2"/>
  <c r="CM59" i="2"/>
  <c r="CN59" i="2"/>
  <c r="CO59" i="2"/>
  <c r="CP59" i="2"/>
  <c r="CQ59" i="2"/>
  <c r="CR59" i="2"/>
  <c r="CS59" i="2"/>
  <c r="CT59" i="2"/>
  <c r="CU59" i="2"/>
  <c r="CV59" i="2"/>
  <c r="CW59" i="2"/>
  <c r="CX59" i="2"/>
  <c r="CY59" i="2"/>
  <c r="CD60" i="2"/>
  <c r="CE60" i="2"/>
  <c r="CF60" i="2"/>
  <c r="CG60" i="2"/>
  <c r="CH60" i="2"/>
  <c r="CI60" i="2"/>
  <c r="CJ60" i="2"/>
  <c r="CK60" i="2"/>
  <c r="CL60" i="2"/>
  <c r="CM60" i="2"/>
  <c r="CN60" i="2"/>
  <c r="CO60" i="2"/>
  <c r="CP60" i="2"/>
  <c r="CQ60" i="2"/>
  <c r="CR60" i="2"/>
  <c r="CS60" i="2"/>
  <c r="CT60" i="2"/>
  <c r="CU60" i="2"/>
  <c r="CV60" i="2"/>
  <c r="CW60" i="2"/>
  <c r="CX60" i="2"/>
  <c r="CY60" i="2"/>
  <c r="CD61" i="2"/>
  <c r="CE61" i="2"/>
  <c r="CF61" i="2"/>
  <c r="CG61" i="2"/>
  <c r="CH61" i="2"/>
  <c r="CI61" i="2"/>
  <c r="CJ61" i="2"/>
  <c r="CK61" i="2"/>
  <c r="CL61" i="2"/>
  <c r="CM61" i="2"/>
  <c r="CN61" i="2"/>
  <c r="CO61" i="2"/>
  <c r="CP61" i="2"/>
  <c r="CQ61" i="2"/>
  <c r="CR61" i="2"/>
  <c r="CS61" i="2"/>
  <c r="CT61" i="2"/>
  <c r="CU61" i="2"/>
  <c r="CV61" i="2"/>
  <c r="CW61" i="2"/>
  <c r="CX61" i="2"/>
  <c r="CY61" i="2"/>
  <c r="CD62" i="2"/>
  <c r="CE62" i="2"/>
  <c r="CF62" i="2"/>
  <c r="CG62" i="2"/>
  <c r="CH62" i="2"/>
  <c r="CI62" i="2"/>
  <c r="CJ62" i="2"/>
  <c r="CK62" i="2"/>
  <c r="CL62" i="2"/>
  <c r="CM62" i="2"/>
  <c r="CN62" i="2"/>
  <c r="CO62" i="2"/>
  <c r="CP62" i="2"/>
  <c r="CQ62" i="2"/>
  <c r="CR62" i="2"/>
  <c r="CS62" i="2"/>
  <c r="CT62" i="2"/>
  <c r="CU62" i="2"/>
  <c r="CV62" i="2"/>
  <c r="CW62" i="2"/>
  <c r="CX62" i="2"/>
  <c r="CY62" i="2"/>
  <c r="CD63" i="2"/>
  <c r="CE63" i="2"/>
  <c r="CF63" i="2"/>
  <c r="CG63" i="2"/>
  <c r="CH63" i="2"/>
  <c r="CI63" i="2"/>
  <c r="CJ63" i="2"/>
  <c r="CK63" i="2"/>
  <c r="CL63" i="2"/>
  <c r="CM63" i="2"/>
  <c r="CN63" i="2"/>
  <c r="CO63" i="2"/>
  <c r="CP63" i="2"/>
  <c r="CQ63" i="2"/>
  <c r="CR63" i="2"/>
  <c r="CS63" i="2"/>
  <c r="CT63" i="2"/>
  <c r="CU63" i="2"/>
  <c r="CV63" i="2"/>
  <c r="CW63" i="2"/>
  <c r="CX63" i="2"/>
  <c r="CY63" i="2"/>
  <c r="CD64" i="2"/>
  <c r="CE64" i="2"/>
  <c r="CF64" i="2"/>
  <c r="CG64" i="2"/>
  <c r="CH64" i="2"/>
  <c r="CI64" i="2"/>
  <c r="CJ64" i="2"/>
  <c r="CK64" i="2"/>
  <c r="CL64" i="2"/>
  <c r="CM64" i="2"/>
  <c r="CN64" i="2"/>
  <c r="CO64" i="2"/>
  <c r="CP64" i="2"/>
  <c r="CQ64" i="2"/>
  <c r="CR64" i="2"/>
  <c r="CS64" i="2"/>
  <c r="CT64" i="2"/>
  <c r="CU64" i="2"/>
  <c r="CV64" i="2"/>
  <c r="CW64" i="2"/>
  <c r="CX64" i="2"/>
  <c r="CY64" i="2"/>
  <c r="CD65" i="2"/>
  <c r="CE65" i="2"/>
  <c r="CF65" i="2"/>
  <c r="CG65" i="2"/>
  <c r="CH65" i="2"/>
  <c r="CI65" i="2"/>
  <c r="CJ65" i="2"/>
  <c r="CK65" i="2"/>
  <c r="CL65" i="2"/>
  <c r="CM65" i="2"/>
  <c r="CN65" i="2"/>
  <c r="CO65" i="2"/>
  <c r="CP65" i="2"/>
  <c r="CQ65" i="2"/>
  <c r="CR65" i="2"/>
  <c r="CS65" i="2"/>
  <c r="CT65" i="2"/>
  <c r="CU65" i="2"/>
  <c r="CV65" i="2"/>
  <c r="CW65" i="2"/>
  <c r="CX65" i="2"/>
  <c r="CY65" i="2"/>
  <c r="CD66" i="2"/>
  <c r="CE66" i="2"/>
  <c r="CF66" i="2"/>
  <c r="CG66" i="2"/>
  <c r="CH66" i="2"/>
  <c r="CI66" i="2"/>
  <c r="CJ66" i="2"/>
  <c r="CK66" i="2"/>
  <c r="CL66" i="2"/>
  <c r="CM66" i="2"/>
  <c r="CN66" i="2"/>
  <c r="CO66" i="2"/>
  <c r="CP66" i="2"/>
  <c r="CQ66" i="2"/>
  <c r="CR66" i="2"/>
  <c r="CS66" i="2"/>
  <c r="CT66" i="2"/>
  <c r="CU66" i="2"/>
  <c r="CV66" i="2"/>
  <c r="CW66" i="2"/>
  <c r="CX66" i="2"/>
  <c r="CY66" i="2"/>
  <c r="CD67" i="2"/>
  <c r="CE67" i="2"/>
  <c r="CF67" i="2"/>
  <c r="CG67" i="2"/>
  <c r="CH67" i="2"/>
  <c r="CI67" i="2"/>
  <c r="CJ67" i="2"/>
  <c r="CK67" i="2"/>
  <c r="CL67" i="2"/>
  <c r="CM67" i="2"/>
  <c r="CN67" i="2"/>
  <c r="CO67" i="2"/>
  <c r="CP67" i="2"/>
  <c r="CQ67" i="2"/>
  <c r="CR67" i="2"/>
  <c r="CS67" i="2"/>
  <c r="CT67" i="2"/>
  <c r="CU67" i="2"/>
  <c r="CV67" i="2"/>
  <c r="CW67" i="2"/>
  <c r="CX67" i="2"/>
  <c r="CY67" i="2"/>
  <c r="CD68" i="2"/>
  <c r="CE68" i="2"/>
  <c r="CF68" i="2"/>
  <c r="CG68" i="2"/>
  <c r="CH68" i="2"/>
  <c r="CI68" i="2"/>
  <c r="CJ68" i="2"/>
  <c r="CK68" i="2"/>
  <c r="CL68" i="2"/>
  <c r="CM68" i="2"/>
  <c r="CN68" i="2"/>
  <c r="CO68" i="2"/>
  <c r="CP68" i="2"/>
  <c r="CQ68" i="2"/>
  <c r="CR68" i="2"/>
  <c r="CS68" i="2"/>
  <c r="CT68" i="2"/>
  <c r="CU68" i="2"/>
  <c r="CV68" i="2"/>
  <c r="CW68" i="2"/>
  <c r="CX68" i="2"/>
  <c r="CY68" i="2"/>
  <c r="CD69" i="2"/>
  <c r="CE69" i="2"/>
  <c r="CF69" i="2"/>
  <c r="CG69" i="2"/>
  <c r="CH69" i="2"/>
  <c r="CI69" i="2"/>
  <c r="CJ69" i="2"/>
  <c r="CK69" i="2"/>
  <c r="CL69" i="2"/>
  <c r="CM69" i="2"/>
  <c r="CN69" i="2"/>
  <c r="CO69" i="2"/>
  <c r="CP69" i="2"/>
  <c r="CQ69" i="2"/>
  <c r="CR69" i="2"/>
  <c r="CS69" i="2"/>
  <c r="CT69" i="2"/>
  <c r="CU69" i="2"/>
  <c r="CV69" i="2"/>
  <c r="CW69" i="2"/>
  <c r="CX69" i="2"/>
  <c r="CY69" i="2"/>
  <c r="CD70" i="2"/>
  <c r="CE70" i="2"/>
  <c r="CF70" i="2"/>
  <c r="CG70" i="2"/>
  <c r="CH70" i="2"/>
  <c r="CI70" i="2"/>
  <c r="CJ70" i="2"/>
  <c r="CK70" i="2"/>
  <c r="CL70" i="2"/>
  <c r="CM70" i="2"/>
  <c r="CN70" i="2"/>
  <c r="CO70" i="2"/>
  <c r="CP70" i="2"/>
  <c r="CQ70" i="2"/>
  <c r="CR70" i="2"/>
  <c r="CS70" i="2"/>
  <c r="CT70" i="2"/>
  <c r="CU70" i="2"/>
  <c r="CV70" i="2"/>
  <c r="CW70" i="2"/>
  <c r="CX70" i="2"/>
  <c r="CY70" i="2"/>
  <c r="CD71" i="2"/>
  <c r="CE71" i="2"/>
  <c r="CF71" i="2"/>
  <c r="CG71" i="2"/>
  <c r="CH71" i="2"/>
  <c r="CI71" i="2"/>
  <c r="CJ71" i="2"/>
  <c r="CK71" i="2"/>
  <c r="CL71" i="2"/>
  <c r="CM71" i="2"/>
  <c r="CN71" i="2"/>
  <c r="CO71" i="2"/>
  <c r="CP71" i="2"/>
  <c r="CQ71" i="2"/>
  <c r="CR71" i="2"/>
  <c r="CS71" i="2"/>
  <c r="CT71" i="2"/>
  <c r="CU71" i="2"/>
  <c r="CV71" i="2"/>
  <c r="CW71" i="2"/>
  <c r="CX71" i="2"/>
  <c r="CY71" i="2"/>
  <c r="CD72" i="2"/>
  <c r="CE72" i="2"/>
  <c r="CF72" i="2"/>
  <c r="CG72" i="2"/>
  <c r="CH72" i="2"/>
  <c r="CI72" i="2"/>
  <c r="CJ72" i="2"/>
  <c r="CK72" i="2"/>
  <c r="CL72" i="2"/>
  <c r="CM72" i="2"/>
  <c r="CN72" i="2"/>
  <c r="CO72" i="2"/>
  <c r="CP72" i="2"/>
  <c r="CQ72" i="2"/>
  <c r="CR72" i="2"/>
  <c r="CS72" i="2"/>
  <c r="CT72" i="2"/>
  <c r="CU72" i="2"/>
  <c r="CV72" i="2"/>
  <c r="CW72" i="2"/>
  <c r="CX72" i="2"/>
  <c r="CY72" i="2"/>
  <c r="CD73" i="2"/>
  <c r="CE73" i="2"/>
  <c r="CF73" i="2"/>
  <c r="CG73" i="2"/>
  <c r="CH73" i="2"/>
  <c r="CI73" i="2"/>
  <c r="CJ73" i="2"/>
  <c r="CK73" i="2"/>
  <c r="CL73" i="2"/>
  <c r="CM73" i="2"/>
  <c r="CN73" i="2"/>
  <c r="CO73" i="2"/>
  <c r="CP73" i="2"/>
  <c r="CQ73" i="2"/>
  <c r="CR73" i="2"/>
  <c r="CS73" i="2"/>
  <c r="CT73" i="2"/>
  <c r="CU73" i="2"/>
  <c r="CV73" i="2"/>
  <c r="CW73" i="2"/>
  <c r="CX73" i="2"/>
  <c r="CY73" i="2"/>
  <c r="CD74" i="2"/>
  <c r="CE74" i="2"/>
  <c r="CF74" i="2"/>
  <c r="CG74" i="2"/>
  <c r="CH74" i="2"/>
  <c r="CI74" i="2"/>
  <c r="CJ74" i="2"/>
  <c r="CK74" i="2"/>
  <c r="CL74" i="2"/>
  <c r="CM74" i="2"/>
  <c r="CN74" i="2"/>
  <c r="CO74" i="2"/>
  <c r="CP74" i="2"/>
  <c r="CQ74" i="2"/>
  <c r="CR74" i="2"/>
  <c r="CS74" i="2"/>
  <c r="CT74" i="2"/>
  <c r="CU74" i="2"/>
  <c r="CV74" i="2"/>
  <c r="CW74" i="2"/>
  <c r="CX74" i="2"/>
  <c r="CY74" i="2"/>
  <c r="CD75" i="2"/>
  <c r="CE75" i="2"/>
  <c r="CF75" i="2"/>
  <c r="CG75" i="2"/>
  <c r="CH75" i="2"/>
  <c r="CI75" i="2"/>
  <c r="CJ75" i="2"/>
  <c r="CK75" i="2"/>
  <c r="CL75" i="2"/>
  <c r="CM75" i="2"/>
  <c r="CN75" i="2"/>
  <c r="CO75" i="2"/>
  <c r="CP75" i="2"/>
  <c r="CQ75" i="2"/>
  <c r="CR75" i="2"/>
  <c r="CS75" i="2"/>
  <c r="CT75" i="2"/>
  <c r="CU75" i="2"/>
  <c r="CV75" i="2"/>
  <c r="CW75" i="2"/>
  <c r="CX75" i="2"/>
  <c r="CY75" i="2"/>
  <c r="CD76" i="2"/>
  <c r="CE76" i="2"/>
  <c r="CF76" i="2"/>
  <c r="CG76" i="2"/>
  <c r="CH76" i="2"/>
  <c r="CI76" i="2"/>
  <c r="CJ76" i="2"/>
  <c r="CK76" i="2"/>
  <c r="CL76" i="2"/>
  <c r="CM76" i="2"/>
  <c r="CN76" i="2"/>
  <c r="CO76" i="2"/>
  <c r="CP76" i="2"/>
  <c r="CQ76" i="2"/>
  <c r="CR76" i="2"/>
  <c r="CS76" i="2"/>
  <c r="CT76" i="2"/>
  <c r="CU76" i="2"/>
  <c r="CV76" i="2"/>
  <c r="CW76" i="2"/>
  <c r="CX76" i="2"/>
  <c r="CY76" i="2"/>
  <c r="CD77" i="2"/>
  <c r="CE77" i="2"/>
  <c r="CF77" i="2"/>
  <c r="CG77" i="2"/>
  <c r="CH77" i="2"/>
  <c r="CI77" i="2"/>
  <c r="CJ77" i="2"/>
  <c r="CK77" i="2"/>
  <c r="CL77" i="2"/>
  <c r="CM77" i="2"/>
  <c r="CN77" i="2"/>
  <c r="CO77" i="2"/>
  <c r="CP77" i="2"/>
  <c r="CQ77" i="2"/>
  <c r="CR77" i="2"/>
  <c r="CS77" i="2"/>
  <c r="CT77" i="2"/>
  <c r="CU77" i="2"/>
  <c r="CV77" i="2"/>
  <c r="CW77" i="2"/>
  <c r="CX77" i="2"/>
  <c r="CY77" i="2"/>
  <c r="CD78" i="2"/>
  <c r="CE78" i="2"/>
  <c r="CF78" i="2"/>
  <c r="CG78" i="2"/>
  <c r="CH78" i="2"/>
  <c r="CI78" i="2"/>
  <c r="CJ78" i="2"/>
  <c r="CK78" i="2"/>
  <c r="CL78" i="2"/>
  <c r="CM78" i="2"/>
  <c r="CN78" i="2"/>
  <c r="CO78" i="2"/>
  <c r="CP78" i="2"/>
  <c r="CQ78" i="2"/>
  <c r="CR78" i="2"/>
  <c r="CS78" i="2"/>
  <c r="CT78" i="2"/>
  <c r="CU78" i="2"/>
  <c r="CV78" i="2"/>
  <c r="CW78" i="2"/>
  <c r="CX78" i="2"/>
  <c r="CY78" i="2"/>
  <c r="CD79" i="2"/>
  <c r="CE79" i="2"/>
  <c r="CF79" i="2"/>
  <c r="CG79" i="2"/>
  <c r="CH79" i="2"/>
  <c r="CI79" i="2"/>
  <c r="CJ79" i="2"/>
  <c r="CK79" i="2"/>
  <c r="CL79" i="2"/>
  <c r="CM79" i="2"/>
  <c r="CN79" i="2"/>
  <c r="CO79" i="2"/>
  <c r="CP79" i="2"/>
  <c r="CQ79" i="2"/>
  <c r="CR79" i="2"/>
  <c r="CS79" i="2"/>
  <c r="CT79" i="2"/>
  <c r="CU79" i="2"/>
  <c r="CV79" i="2"/>
  <c r="CW79" i="2"/>
  <c r="CX79" i="2"/>
  <c r="CY79" i="2"/>
  <c r="CD80" i="2"/>
  <c r="CE80" i="2"/>
  <c r="CF80" i="2"/>
  <c r="CG80" i="2"/>
  <c r="CH80" i="2"/>
  <c r="CI80" i="2"/>
  <c r="CJ80" i="2"/>
  <c r="CK80" i="2"/>
  <c r="CL80" i="2"/>
  <c r="CM80" i="2"/>
  <c r="CN80" i="2"/>
  <c r="CO80" i="2"/>
  <c r="CP80" i="2"/>
  <c r="CQ80" i="2"/>
  <c r="CR80" i="2"/>
  <c r="CS80" i="2"/>
  <c r="CT80" i="2"/>
  <c r="CU80" i="2"/>
  <c r="CV80" i="2"/>
  <c r="CW80" i="2"/>
  <c r="CX80" i="2"/>
  <c r="CY80" i="2"/>
  <c r="CD81" i="2"/>
  <c r="CE81" i="2"/>
  <c r="CF81" i="2"/>
  <c r="CG81" i="2"/>
  <c r="CH81" i="2"/>
  <c r="CI81" i="2"/>
  <c r="CJ81" i="2"/>
  <c r="CK81" i="2"/>
  <c r="CL81" i="2"/>
  <c r="CM81" i="2"/>
  <c r="CN81" i="2"/>
  <c r="CO81" i="2"/>
  <c r="CP81" i="2"/>
  <c r="CQ81" i="2"/>
  <c r="CR81" i="2"/>
  <c r="CS81" i="2"/>
  <c r="CT81" i="2"/>
  <c r="CU81" i="2"/>
  <c r="CV81" i="2"/>
  <c r="CW81" i="2"/>
  <c r="CX81" i="2"/>
  <c r="CY81" i="2"/>
  <c r="CD82" i="2"/>
  <c r="CE82" i="2"/>
  <c r="CF82" i="2"/>
  <c r="CG82" i="2"/>
  <c r="CH82" i="2"/>
  <c r="CI82" i="2"/>
  <c r="CJ82" i="2"/>
  <c r="CK82" i="2"/>
  <c r="CL82" i="2"/>
  <c r="CM82" i="2"/>
  <c r="CN82" i="2"/>
  <c r="CO82" i="2"/>
  <c r="CP82" i="2"/>
  <c r="CQ82" i="2"/>
  <c r="CR82" i="2"/>
  <c r="CS82" i="2"/>
  <c r="CT82" i="2"/>
  <c r="CU82" i="2"/>
  <c r="CV82" i="2"/>
  <c r="CW82" i="2"/>
  <c r="CX82" i="2"/>
  <c r="CY82" i="2"/>
  <c r="CD83" i="2"/>
  <c r="CE83" i="2"/>
  <c r="CF83" i="2"/>
  <c r="CG83" i="2"/>
  <c r="CH83" i="2"/>
  <c r="CI83" i="2"/>
  <c r="CJ83" i="2"/>
  <c r="CK83" i="2"/>
  <c r="CL83" i="2"/>
  <c r="CM83" i="2"/>
  <c r="CN83" i="2"/>
  <c r="CO83" i="2"/>
  <c r="CP83" i="2"/>
  <c r="CQ83" i="2"/>
  <c r="CR83" i="2"/>
  <c r="CS83" i="2"/>
  <c r="CT83" i="2"/>
  <c r="CU83" i="2"/>
  <c r="CV83" i="2"/>
  <c r="CW83" i="2"/>
  <c r="CX83" i="2"/>
  <c r="CY83" i="2"/>
  <c r="CD84" i="2"/>
  <c r="CE84" i="2"/>
  <c r="CF84" i="2"/>
  <c r="CG84" i="2"/>
  <c r="CH84" i="2"/>
  <c r="CI84" i="2"/>
  <c r="CJ84" i="2"/>
  <c r="CK84" i="2"/>
  <c r="CL84" i="2"/>
  <c r="CM84" i="2"/>
  <c r="CN84" i="2"/>
  <c r="CO84" i="2"/>
  <c r="CP84" i="2"/>
  <c r="CQ84" i="2"/>
  <c r="CR84" i="2"/>
  <c r="CS84" i="2"/>
  <c r="CT84" i="2"/>
  <c r="CU84" i="2"/>
  <c r="CV84" i="2"/>
  <c r="CW84" i="2"/>
  <c r="CX84" i="2"/>
  <c r="CY84" i="2"/>
  <c r="CD85" i="2"/>
  <c r="CE85" i="2"/>
  <c r="CF85" i="2"/>
  <c r="CG85" i="2"/>
  <c r="CH85" i="2"/>
  <c r="CI85" i="2"/>
  <c r="CJ85" i="2"/>
  <c r="CK85" i="2"/>
  <c r="CL85" i="2"/>
  <c r="CM85" i="2"/>
  <c r="CN85" i="2"/>
  <c r="CO85" i="2"/>
  <c r="CP85" i="2"/>
  <c r="CQ85" i="2"/>
  <c r="CR85" i="2"/>
  <c r="CS85" i="2"/>
  <c r="CT85" i="2"/>
  <c r="CU85" i="2"/>
  <c r="CV85" i="2"/>
  <c r="CW85" i="2"/>
  <c r="CX85" i="2"/>
  <c r="CY85" i="2"/>
  <c r="CD86" i="2"/>
  <c r="CE86" i="2"/>
  <c r="CF86" i="2"/>
  <c r="CG86" i="2"/>
  <c r="CH86" i="2"/>
  <c r="CI86" i="2"/>
  <c r="CJ86" i="2"/>
  <c r="CK86" i="2"/>
  <c r="CL86" i="2"/>
  <c r="CM86" i="2"/>
  <c r="CN86" i="2"/>
  <c r="CO86" i="2"/>
  <c r="CP86" i="2"/>
  <c r="CQ86" i="2"/>
  <c r="CR86" i="2"/>
  <c r="CS86" i="2"/>
  <c r="CT86" i="2"/>
  <c r="CU86" i="2"/>
  <c r="CV86" i="2"/>
  <c r="CW86" i="2"/>
  <c r="CX86" i="2"/>
  <c r="CY86" i="2"/>
  <c r="CD87" i="2"/>
  <c r="CE87" i="2"/>
  <c r="CF87" i="2"/>
  <c r="CG87" i="2"/>
  <c r="CH87" i="2"/>
  <c r="CI87" i="2"/>
  <c r="CJ87" i="2"/>
  <c r="CK87" i="2"/>
  <c r="CL87" i="2"/>
  <c r="CM87" i="2"/>
  <c r="CN87" i="2"/>
  <c r="CO87" i="2"/>
  <c r="CP87" i="2"/>
  <c r="CQ87" i="2"/>
  <c r="CR87" i="2"/>
  <c r="CS87" i="2"/>
  <c r="CT87" i="2"/>
  <c r="CU87" i="2"/>
  <c r="CV87" i="2"/>
  <c r="CW87" i="2"/>
  <c r="CX87" i="2"/>
  <c r="CY87" i="2"/>
  <c r="CD88" i="2"/>
  <c r="CE88" i="2"/>
  <c r="CF88" i="2"/>
  <c r="CG88" i="2"/>
  <c r="CH88" i="2"/>
  <c r="CI88" i="2"/>
  <c r="CJ88" i="2"/>
  <c r="CK88" i="2"/>
  <c r="CL88" i="2"/>
  <c r="CM88" i="2"/>
  <c r="CN88" i="2"/>
  <c r="CO88" i="2"/>
  <c r="CP88" i="2"/>
  <c r="CQ88" i="2"/>
  <c r="CR88" i="2"/>
  <c r="CS88" i="2"/>
  <c r="CT88" i="2"/>
  <c r="CU88" i="2"/>
  <c r="CV88" i="2"/>
  <c r="CW88" i="2"/>
  <c r="CX88" i="2"/>
  <c r="CY88" i="2"/>
  <c r="CD89" i="2"/>
  <c r="CE89" i="2"/>
  <c r="CF89" i="2"/>
  <c r="CG89" i="2"/>
  <c r="CH89" i="2"/>
  <c r="CI89" i="2"/>
  <c r="CJ89" i="2"/>
  <c r="CK89" i="2"/>
  <c r="CL89" i="2"/>
  <c r="CM89" i="2"/>
  <c r="CN89" i="2"/>
  <c r="CO89" i="2"/>
  <c r="CP89" i="2"/>
  <c r="CQ89" i="2"/>
  <c r="CR89" i="2"/>
  <c r="CS89" i="2"/>
  <c r="CT89" i="2"/>
  <c r="CU89" i="2"/>
  <c r="CV89" i="2"/>
  <c r="CW89" i="2"/>
  <c r="CX89" i="2"/>
  <c r="CY89" i="2"/>
  <c r="CD90" i="2"/>
  <c r="CE90" i="2"/>
  <c r="CF90" i="2"/>
  <c r="CG90" i="2"/>
  <c r="CH90" i="2"/>
  <c r="CI90" i="2"/>
  <c r="CJ90" i="2"/>
  <c r="CK90" i="2"/>
  <c r="CL90" i="2"/>
  <c r="CM90" i="2"/>
  <c r="CN90" i="2"/>
  <c r="CO90" i="2"/>
  <c r="CP90" i="2"/>
  <c r="CQ90" i="2"/>
  <c r="CR90" i="2"/>
  <c r="CS90" i="2"/>
  <c r="CT90" i="2"/>
  <c r="CU90" i="2"/>
  <c r="CV90" i="2"/>
  <c r="CW90" i="2"/>
  <c r="CX90" i="2"/>
  <c r="CY90" i="2"/>
  <c r="CD91" i="2"/>
  <c r="CE91" i="2"/>
  <c r="CF91" i="2"/>
  <c r="CG91" i="2"/>
  <c r="CH91" i="2"/>
  <c r="CI91" i="2"/>
  <c r="CJ91" i="2"/>
  <c r="CK91" i="2"/>
  <c r="CL91" i="2"/>
  <c r="CM91" i="2"/>
  <c r="CN91" i="2"/>
  <c r="CO91" i="2"/>
  <c r="CP91" i="2"/>
  <c r="CQ91" i="2"/>
  <c r="CR91" i="2"/>
  <c r="CS91" i="2"/>
  <c r="CT91" i="2"/>
  <c r="CU91" i="2"/>
  <c r="CV91" i="2"/>
  <c r="CW91" i="2"/>
  <c r="CX91" i="2"/>
  <c r="CY91" i="2"/>
  <c r="CD92" i="2"/>
  <c r="CE92" i="2"/>
  <c r="CF92" i="2"/>
  <c r="CG92" i="2"/>
  <c r="CH92" i="2"/>
  <c r="CI92" i="2"/>
  <c r="CJ92" i="2"/>
  <c r="CK92" i="2"/>
  <c r="CL92" i="2"/>
  <c r="CM92" i="2"/>
  <c r="CN92" i="2"/>
  <c r="CO92" i="2"/>
  <c r="CP92" i="2"/>
  <c r="CQ92" i="2"/>
  <c r="CR92" i="2"/>
  <c r="CS92" i="2"/>
  <c r="CT92" i="2"/>
  <c r="CU92" i="2"/>
  <c r="CV92" i="2"/>
  <c r="CW92" i="2"/>
  <c r="CX92" i="2"/>
  <c r="CY92" i="2"/>
  <c r="CD93" i="2"/>
  <c r="CE93" i="2"/>
  <c r="CF93" i="2"/>
  <c r="CG93" i="2"/>
  <c r="CH93" i="2"/>
  <c r="CI93" i="2"/>
  <c r="CJ93" i="2"/>
  <c r="CK93" i="2"/>
  <c r="CL93" i="2"/>
  <c r="CM93" i="2"/>
  <c r="CN93" i="2"/>
  <c r="CO93" i="2"/>
  <c r="CP93" i="2"/>
  <c r="CQ93" i="2"/>
  <c r="CR93" i="2"/>
  <c r="CS93" i="2"/>
  <c r="CT93" i="2"/>
  <c r="CU93" i="2"/>
  <c r="CV93" i="2"/>
  <c r="CW93" i="2"/>
  <c r="CX93" i="2"/>
  <c r="CY93" i="2"/>
  <c r="CD94" i="2"/>
  <c r="CE94" i="2"/>
  <c r="CF94" i="2"/>
  <c r="CG94" i="2"/>
  <c r="CH94" i="2"/>
  <c r="CI94" i="2"/>
  <c r="CJ94" i="2"/>
  <c r="CK94" i="2"/>
  <c r="CL94" i="2"/>
  <c r="CM94" i="2"/>
  <c r="CN94" i="2"/>
  <c r="CO94" i="2"/>
  <c r="CP94" i="2"/>
  <c r="CQ94" i="2"/>
  <c r="CR94" i="2"/>
  <c r="CS94" i="2"/>
  <c r="CT94" i="2"/>
  <c r="CU94" i="2"/>
  <c r="CV94" i="2"/>
  <c r="CW94" i="2"/>
  <c r="CX94" i="2"/>
  <c r="CY94" i="2"/>
  <c r="CD95" i="2"/>
  <c r="CE95" i="2"/>
  <c r="CF95" i="2"/>
  <c r="CG95" i="2"/>
  <c r="CH95" i="2"/>
  <c r="CI95" i="2"/>
  <c r="CJ95" i="2"/>
  <c r="CK95" i="2"/>
  <c r="CL95" i="2"/>
  <c r="CM95" i="2"/>
  <c r="CN95" i="2"/>
  <c r="CO95" i="2"/>
  <c r="CP95" i="2"/>
  <c r="CQ95" i="2"/>
  <c r="CR95" i="2"/>
  <c r="CS95" i="2"/>
  <c r="CT95" i="2"/>
  <c r="CU95" i="2"/>
  <c r="CV95" i="2"/>
  <c r="CW95" i="2"/>
  <c r="CX95" i="2"/>
  <c r="CY95" i="2"/>
  <c r="CD96" i="2"/>
  <c r="CE96" i="2"/>
  <c r="CF96" i="2"/>
  <c r="CG96" i="2"/>
  <c r="CH96" i="2"/>
  <c r="CI96" i="2"/>
  <c r="CJ96" i="2"/>
  <c r="CK96" i="2"/>
  <c r="CL96" i="2"/>
  <c r="CM96" i="2"/>
  <c r="CN96" i="2"/>
  <c r="CO96" i="2"/>
  <c r="CP96" i="2"/>
  <c r="CQ96" i="2"/>
  <c r="CR96" i="2"/>
  <c r="CS96" i="2"/>
  <c r="CT96" i="2"/>
  <c r="CU96" i="2"/>
  <c r="CV96" i="2"/>
  <c r="CW96" i="2"/>
  <c r="CX96" i="2"/>
  <c r="CY96" i="2"/>
  <c r="CD97" i="2"/>
  <c r="CE97" i="2"/>
  <c r="CF97" i="2"/>
  <c r="CG97" i="2"/>
  <c r="CH97" i="2"/>
  <c r="CI97" i="2"/>
  <c r="CJ97" i="2"/>
  <c r="CK97" i="2"/>
  <c r="CL97" i="2"/>
  <c r="CM97" i="2"/>
  <c r="CN97" i="2"/>
  <c r="CO97" i="2"/>
  <c r="CP97" i="2"/>
  <c r="CQ97" i="2"/>
  <c r="CR97" i="2"/>
  <c r="CS97" i="2"/>
  <c r="CT97" i="2"/>
  <c r="CU97" i="2"/>
  <c r="CV97" i="2"/>
  <c r="CW97" i="2"/>
  <c r="CX97" i="2"/>
  <c r="CY97" i="2"/>
  <c r="CD98" i="2"/>
  <c r="CE98" i="2"/>
  <c r="CF98" i="2"/>
  <c r="CG98" i="2"/>
  <c r="CH98" i="2"/>
  <c r="CI98" i="2"/>
  <c r="CJ98" i="2"/>
  <c r="CK98" i="2"/>
  <c r="CL98" i="2"/>
  <c r="CM98" i="2"/>
  <c r="CN98" i="2"/>
  <c r="CO98" i="2"/>
  <c r="CP98" i="2"/>
  <c r="CQ98" i="2"/>
  <c r="CR98" i="2"/>
  <c r="CS98" i="2"/>
  <c r="CT98" i="2"/>
  <c r="CU98" i="2"/>
  <c r="CV98" i="2"/>
  <c r="CW98" i="2"/>
  <c r="CX98" i="2"/>
  <c r="CY98" i="2"/>
  <c r="CD99" i="2"/>
  <c r="CE99" i="2"/>
  <c r="CF99" i="2"/>
  <c r="CG99" i="2"/>
  <c r="CH99" i="2"/>
  <c r="CI99" i="2"/>
  <c r="CJ99" i="2"/>
  <c r="CK99" i="2"/>
  <c r="CL99" i="2"/>
  <c r="CM99" i="2"/>
  <c r="CN99" i="2"/>
  <c r="CO99" i="2"/>
  <c r="CP99" i="2"/>
  <c r="CQ99" i="2"/>
  <c r="CR99" i="2"/>
  <c r="CS99" i="2"/>
  <c r="CT99" i="2"/>
  <c r="CU99" i="2"/>
  <c r="CV99" i="2"/>
  <c r="CW99" i="2"/>
  <c r="CX99" i="2"/>
  <c r="CY99" i="2"/>
  <c r="CD100" i="2"/>
  <c r="CE100" i="2"/>
  <c r="CF100" i="2"/>
  <c r="CG100" i="2"/>
  <c r="CH100" i="2"/>
  <c r="CI100" i="2"/>
  <c r="CJ100" i="2"/>
  <c r="CK100" i="2"/>
  <c r="CL100" i="2"/>
  <c r="CM100" i="2"/>
  <c r="CN100" i="2"/>
  <c r="CO100" i="2"/>
  <c r="CP100" i="2"/>
  <c r="CQ100" i="2"/>
  <c r="CR100" i="2"/>
  <c r="CS100" i="2"/>
  <c r="CT100" i="2"/>
  <c r="CU100" i="2"/>
  <c r="CV100" i="2"/>
  <c r="CW100" i="2"/>
  <c r="CX100" i="2"/>
  <c r="CY100" i="2"/>
  <c r="CD101" i="2"/>
  <c r="CE101" i="2"/>
  <c r="CF101" i="2"/>
  <c r="CG101" i="2"/>
  <c r="CH101" i="2"/>
  <c r="CI101" i="2"/>
  <c r="CJ101" i="2"/>
  <c r="CK101" i="2"/>
  <c r="CL101" i="2"/>
  <c r="CM101" i="2"/>
  <c r="CN101" i="2"/>
  <c r="CO101" i="2"/>
  <c r="CP101" i="2"/>
  <c r="CQ101" i="2"/>
  <c r="CR101" i="2"/>
  <c r="CS101" i="2"/>
  <c r="CT101" i="2"/>
  <c r="CU101" i="2"/>
  <c r="CV101" i="2"/>
  <c r="CW101" i="2"/>
  <c r="CX101" i="2"/>
  <c r="CY101" i="2"/>
  <c r="CD102" i="2"/>
  <c r="CE102" i="2"/>
  <c r="CF102" i="2"/>
  <c r="CG102" i="2"/>
  <c r="CH102" i="2"/>
  <c r="CI102" i="2"/>
  <c r="CJ102" i="2"/>
  <c r="CK102" i="2"/>
  <c r="CL102" i="2"/>
  <c r="CM102" i="2"/>
  <c r="CN102" i="2"/>
  <c r="CO102" i="2"/>
  <c r="CP102" i="2"/>
  <c r="CQ102" i="2"/>
  <c r="CR102" i="2"/>
  <c r="CS102" i="2"/>
  <c r="CT102" i="2"/>
  <c r="CU102" i="2"/>
  <c r="CV102" i="2"/>
  <c r="CW102" i="2"/>
  <c r="CX102" i="2"/>
  <c r="CY102" i="2"/>
  <c r="CD103" i="2"/>
  <c r="CE103" i="2"/>
  <c r="CF103" i="2"/>
  <c r="CG103" i="2"/>
  <c r="CH103" i="2"/>
  <c r="CI103" i="2"/>
  <c r="CJ103" i="2"/>
  <c r="CK103" i="2"/>
  <c r="CL103" i="2"/>
  <c r="CM103" i="2"/>
  <c r="CN103" i="2"/>
  <c r="CO103" i="2"/>
  <c r="CP103" i="2"/>
  <c r="CQ103" i="2"/>
  <c r="CR103" i="2"/>
  <c r="CS103" i="2"/>
  <c r="CT103" i="2"/>
  <c r="CU103" i="2"/>
  <c r="CV103" i="2"/>
  <c r="CW103" i="2"/>
  <c r="CX103" i="2"/>
  <c r="CY103" i="2"/>
  <c r="CD104" i="2"/>
  <c r="CE104" i="2"/>
  <c r="CF104" i="2"/>
  <c r="CG104" i="2"/>
  <c r="CH104" i="2"/>
  <c r="CI104" i="2"/>
  <c r="CJ104" i="2"/>
  <c r="CK104" i="2"/>
  <c r="CL104" i="2"/>
  <c r="CM104" i="2"/>
  <c r="CN104" i="2"/>
  <c r="CO104" i="2"/>
  <c r="CP104" i="2"/>
  <c r="CQ104" i="2"/>
  <c r="CR104" i="2"/>
  <c r="CS104" i="2"/>
  <c r="CT104" i="2"/>
  <c r="CU104" i="2"/>
  <c r="CV104" i="2"/>
  <c r="CW104" i="2"/>
  <c r="CX104" i="2"/>
  <c r="CY104" i="2"/>
  <c r="CD105" i="2"/>
  <c r="CE105" i="2"/>
  <c r="CF105" i="2"/>
  <c r="CG105" i="2"/>
  <c r="CH105" i="2"/>
  <c r="CI105" i="2"/>
  <c r="CJ105" i="2"/>
  <c r="CK105" i="2"/>
  <c r="CL105" i="2"/>
  <c r="CM105" i="2"/>
  <c r="CN105" i="2"/>
  <c r="CO105" i="2"/>
  <c r="CP105" i="2"/>
  <c r="CQ105" i="2"/>
  <c r="CR105" i="2"/>
  <c r="CS105" i="2"/>
  <c r="CT105" i="2"/>
  <c r="CU105" i="2"/>
  <c r="CV105" i="2"/>
  <c r="CW105" i="2"/>
  <c r="CX105" i="2"/>
  <c r="CY105" i="2"/>
  <c r="CD106" i="2"/>
  <c r="CE106" i="2"/>
  <c r="CF106" i="2"/>
  <c r="CG106" i="2"/>
  <c r="CH106" i="2"/>
  <c r="CI106" i="2"/>
  <c r="CJ106" i="2"/>
  <c r="CK106" i="2"/>
  <c r="CL106" i="2"/>
  <c r="CM106" i="2"/>
  <c r="CN106" i="2"/>
  <c r="CO106" i="2"/>
  <c r="CP106" i="2"/>
  <c r="CQ106" i="2"/>
  <c r="CR106" i="2"/>
  <c r="CS106" i="2"/>
  <c r="CT106" i="2"/>
  <c r="CU106" i="2"/>
  <c r="CV106" i="2"/>
  <c r="CW106" i="2"/>
  <c r="CX106" i="2"/>
  <c r="CY106" i="2"/>
  <c r="CD107" i="2"/>
  <c r="CE107" i="2"/>
  <c r="CF107" i="2"/>
  <c r="CG107" i="2"/>
  <c r="CH107" i="2"/>
  <c r="CI107" i="2"/>
  <c r="CJ107" i="2"/>
  <c r="CK107" i="2"/>
  <c r="CL107" i="2"/>
  <c r="CM107" i="2"/>
  <c r="CN107" i="2"/>
  <c r="CO107" i="2"/>
  <c r="CP107" i="2"/>
  <c r="CQ107" i="2"/>
  <c r="CR107" i="2"/>
  <c r="CS107" i="2"/>
  <c r="CT107" i="2"/>
  <c r="CU107" i="2"/>
  <c r="CV107" i="2"/>
  <c r="CW107" i="2"/>
  <c r="CX107" i="2"/>
  <c r="CY107" i="2"/>
  <c r="CD108" i="2"/>
  <c r="CE108" i="2"/>
  <c r="CF108" i="2"/>
  <c r="CG108" i="2"/>
  <c r="CH108" i="2"/>
  <c r="CI108" i="2"/>
  <c r="CJ108" i="2"/>
  <c r="CK108" i="2"/>
  <c r="CL108" i="2"/>
  <c r="CM108" i="2"/>
  <c r="CN108" i="2"/>
  <c r="CO108" i="2"/>
  <c r="CP108" i="2"/>
  <c r="CQ108" i="2"/>
  <c r="CR108" i="2"/>
  <c r="CS108" i="2"/>
  <c r="CT108" i="2"/>
  <c r="CU108" i="2"/>
  <c r="CV108" i="2"/>
  <c r="CW108" i="2"/>
  <c r="CX108" i="2"/>
  <c r="CY108" i="2"/>
  <c r="CD109" i="2"/>
  <c r="CE109" i="2"/>
  <c r="CF109" i="2"/>
  <c r="CG109" i="2"/>
  <c r="CH109" i="2"/>
  <c r="CI109" i="2"/>
  <c r="CJ109" i="2"/>
  <c r="CK109" i="2"/>
  <c r="CL109" i="2"/>
  <c r="CM109" i="2"/>
  <c r="CN109" i="2"/>
  <c r="CO109" i="2"/>
  <c r="CP109" i="2"/>
  <c r="CQ109" i="2"/>
  <c r="CR109" i="2"/>
  <c r="CS109" i="2"/>
  <c r="CT109" i="2"/>
  <c r="CU109" i="2"/>
  <c r="CV109" i="2"/>
  <c r="CW109" i="2"/>
  <c r="CX109" i="2"/>
  <c r="CY109" i="2"/>
  <c r="CD110" i="2"/>
  <c r="CE110" i="2"/>
  <c r="CF110" i="2"/>
  <c r="CG110" i="2"/>
  <c r="CH110" i="2"/>
  <c r="CI110" i="2"/>
  <c r="CJ110" i="2"/>
  <c r="CK110" i="2"/>
  <c r="CL110" i="2"/>
  <c r="CM110" i="2"/>
  <c r="CN110" i="2"/>
  <c r="CO110" i="2"/>
  <c r="CP110" i="2"/>
  <c r="CQ110" i="2"/>
  <c r="CR110" i="2"/>
  <c r="CS110" i="2"/>
  <c r="CT110" i="2"/>
  <c r="CU110" i="2"/>
  <c r="CV110" i="2"/>
  <c r="CW110" i="2"/>
  <c r="CX110" i="2"/>
  <c r="CY110" i="2"/>
  <c r="CD111" i="2"/>
  <c r="CE111" i="2"/>
  <c r="CF111" i="2"/>
  <c r="CG111" i="2"/>
  <c r="CH111" i="2"/>
  <c r="CI111" i="2"/>
  <c r="CJ111" i="2"/>
  <c r="CK111" i="2"/>
  <c r="CL111" i="2"/>
  <c r="CM111" i="2"/>
  <c r="CN111" i="2"/>
  <c r="CO111" i="2"/>
  <c r="CP111" i="2"/>
  <c r="CQ111" i="2"/>
  <c r="CR111" i="2"/>
  <c r="CS111" i="2"/>
  <c r="CT111" i="2"/>
  <c r="CU111" i="2"/>
  <c r="CV111" i="2"/>
  <c r="CW111" i="2"/>
  <c r="CX111" i="2"/>
  <c r="CY111" i="2"/>
  <c r="CD112" i="2"/>
  <c r="CE112" i="2"/>
  <c r="CF112" i="2"/>
  <c r="CG112" i="2"/>
  <c r="CH112" i="2"/>
  <c r="CI112" i="2"/>
  <c r="CJ112" i="2"/>
  <c r="CK112" i="2"/>
  <c r="CL112" i="2"/>
  <c r="CM112" i="2"/>
  <c r="CN112" i="2"/>
  <c r="CO112" i="2"/>
  <c r="CP112" i="2"/>
  <c r="CQ112" i="2"/>
  <c r="CR112" i="2"/>
  <c r="CS112" i="2"/>
  <c r="CT112" i="2"/>
  <c r="CU112" i="2"/>
  <c r="CV112" i="2"/>
  <c r="CW112" i="2"/>
  <c r="CX112" i="2"/>
  <c r="CY112" i="2"/>
  <c r="CD113" i="2"/>
  <c r="CE113" i="2"/>
  <c r="CF113" i="2"/>
  <c r="CG113" i="2"/>
  <c r="CH113" i="2"/>
  <c r="CI113" i="2"/>
  <c r="CJ113" i="2"/>
  <c r="CK113" i="2"/>
  <c r="CL113" i="2"/>
  <c r="CM113" i="2"/>
  <c r="CN113" i="2"/>
  <c r="CO113" i="2"/>
  <c r="CP113" i="2"/>
  <c r="CQ113" i="2"/>
  <c r="CR113" i="2"/>
  <c r="CS113" i="2"/>
  <c r="CT113" i="2"/>
  <c r="CU113" i="2"/>
  <c r="CV113" i="2"/>
  <c r="CW113" i="2"/>
  <c r="CX113" i="2"/>
  <c r="CY113" i="2"/>
  <c r="CD114" i="2"/>
  <c r="CE114" i="2"/>
  <c r="CF114" i="2"/>
  <c r="CG114" i="2"/>
  <c r="CH114" i="2"/>
  <c r="CI114" i="2"/>
  <c r="CJ114" i="2"/>
  <c r="CK114" i="2"/>
  <c r="CL114" i="2"/>
  <c r="CM114" i="2"/>
  <c r="CN114" i="2"/>
  <c r="CO114" i="2"/>
  <c r="CP114" i="2"/>
  <c r="CQ114" i="2"/>
  <c r="CR114" i="2"/>
  <c r="CS114" i="2"/>
  <c r="CT114" i="2"/>
  <c r="CU114" i="2"/>
  <c r="CV114" i="2"/>
  <c r="CW114" i="2"/>
  <c r="CX114" i="2"/>
  <c r="CY114" i="2"/>
  <c r="CD115" i="2"/>
  <c r="CE115" i="2"/>
  <c r="CF115" i="2"/>
  <c r="CG115" i="2"/>
  <c r="CH115" i="2"/>
  <c r="CI115" i="2"/>
  <c r="CJ115" i="2"/>
  <c r="CK115" i="2"/>
  <c r="CL115" i="2"/>
  <c r="CM115" i="2"/>
  <c r="CN115" i="2"/>
  <c r="CO115" i="2"/>
  <c r="CP115" i="2"/>
  <c r="CQ115" i="2"/>
  <c r="CR115" i="2"/>
  <c r="CS115" i="2"/>
  <c r="CT115" i="2"/>
  <c r="CU115" i="2"/>
  <c r="CV115" i="2"/>
  <c r="CW115" i="2"/>
  <c r="CX115" i="2"/>
  <c r="CY115" i="2"/>
  <c r="CD116" i="2"/>
  <c r="CE116" i="2"/>
  <c r="CF116" i="2"/>
  <c r="CG116" i="2"/>
  <c r="CH116" i="2"/>
  <c r="CI116" i="2"/>
  <c r="CJ116" i="2"/>
  <c r="CK116" i="2"/>
  <c r="CL116" i="2"/>
  <c r="CM116" i="2"/>
  <c r="CN116" i="2"/>
  <c r="CO116" i="2"/>
  <c r="CP116" i="2"/>
  <c r="CQ116" i="2"/>
  <c r="CR116" i="2"/>
  <c r="CS116" i="2"/>
  <c r="CT116" i="2"/>
  <c r="CU116" i="2"/>
  <c r="CV116" i="2"/>
  <c r="CW116" i="2"/>
  <c r="CX116" i="2"/>
  <c r="CY116" i="2"/>
  <c r="CD117" i="2"/>
  <c r="CE117" i="2"/>
  <c r="CF117" i="2"/>
  <c r="CG117" i="2"/>
  <c r="CH117" i="2"/>
  <c r="CI117" i="2"/>
  <c r="CJ117" i="2"/>
  <c r="CK117" i="2"/>
  <c r="CL117" i="2"/>
  <c r="CM117" i="2"/>
  <c r="CN117" i="2"/>
  <c r="CO117" i="2"/>
  <c r="CP117" i="2"/>
  <c r="CQ117" i="2"/>
  <c r="CR117" i="2"/>
  <c r="CS117" i="2"/>
  <c r="CT117" i="2"/>
  <c r="CU117" i="2"/>
  <c r="CV117" i="2"/>
  <c r="CW117" i="2"/>
  <c r="CX117" i="2"/>
  <c r="CY117" i="2"/>
  <c r="CD118" i="2"/>
  <c r="CE118" i="2"/>
  <c r="CF118" i="2"/>
  <c r="CG118" i="2"/>
  <c r="CH118" i="2"/>
  <c r="CI118" i="2"/>
  <c r="CJ118" i="2"/>
  <c r="CK118" i="2"/>
  <c r="CL118" i="2"/>
  <c r="CM118" i="2"/>
  <c r="CN118" i="2"/>
  <c r="CO118" i="2"/>
  <c r="CP118" i="2"/>
  <c r="CQ118" i="2"/>
  <c r="CR118" i="2"/>
  <c r="CS118" i="2"/>
  <c r="CT118" i="2"/>
  <c r="CU118" i="2"/>
  <c r="CV118" i="2"/>
  <c r="CW118" i="2"/>
  <c r="CX118" i="2"/>
  <c r="CY118" i="2"/>
  <c r="CD119" i="2"/>
  <c r="CE119" i="2"/>
  <c r="CF119" i="2"/>
  <c r="CG119" i="2"/>
  <c r="CH119" i="2"/>
  <c r="CI119" i="2"/>
  <c r="CJ119" i="2"/>
  <c r="CK119" i="2"/>
  <c r="CL119" i="2"/>
  <c r="CM119" i="2"/>
  <c r="CN119" i="2"/>
  <c r="CO119" i="2"/>
  <c r="CP119" i="2"/>
  <c r="CQ119" i="2"/>
  <c r="CR119" i="2"/>
  <c r="CS119" i="2"/>
  <c r="CT119" i="2"/>
  <c r="CU119" i="2"/>
  <c r="CV119" i="2"/>
  <c r="CW119" i="2"/>
  <c r="CX119" i="2"/>
  <c r="CY119" i="2"/>
  <c r="CD120" i="2"/>
  <c r="CE120" i="2"/>
  <c r="CF120" i="2"/>
  <c r="CG120" i="2"/>
  <c r="CH120" i="2"/>
  <c r="CI120" i="2"/>
  <c r="CJ120" i="2"/>
  <c r="CK120" i="2"/>
  <c r="CL120" i="2"/>
  <c r="CM120" i="2"/>
  <c r="CN120" i="2"/>
  <c r="CO120" i="2"/>
  <c r="CP120" i="2"/>
  <c r="CQ120" i="2"/>
  <c r="CR120" i="2"/>
  <c r="CS120" i="2"/>
  <c r="CT120" i="2"/>
  <c r="CU120" i="2"/>
  <c r="CV120" i="2"/>
  <c r="CW120" i="2"/>
  <c r="CX120" i="2"/>
  <c r="CY120" i="2"/>
  <c r="CD121" i="2"/>
  <c r="CE121" i="2"/>
  <c r="CF121" i="2"/>
  <c r="CG121" i="2"/>
  <c r="CH121" i="2"/>
  <c r="CI121" i="2"/>
  <c r="CJ121" i="2"/>
  <c r="CK121" i="2"/>
  <c r="CL121" i="2"/>
  <c r="CM121" i="2"/>
  <c r="CN121" i="2"/>
  <c r="CO121" i="2"/>
  <c r="CP121" i="2"/>
  <c r="CQ121" i="2"/>
  <c r="CR121" i="2"/>
  <c r="CS121" i="2"/>
  <c r="CT121" i="2"/>
  <c r="CU121" i="2"/>
  <c r="CV121" i="2"/>
  <c r="CW121" i="2"/>
  <c r="CX121" i="2"/>
  <c r="CY121" i="2"/>
  <c r="CD122" i="2"/>
  <c r="CE122" i="2"/>
  <c r="CF122" i="2"/>
  <c r="CG122" i="2"/>
  <c r="CH122" i="2"/>
  <c r="CI122" i="2"/>
  <c r="CJ122" i="2"/>
  <c r="CK122" i="2"/>
  <c r="CL122" i="2"/>
  <c r="CM122" i="2"/>
  <c r="CN122" i="2"/>
  <c r="CO122" i="2"/>
  <c r="CP122" i="2"/>
  <c r="CQ122" i="2"/>
  <c r="CR122" i="2"/>
  <c r="CS122" i="2"/>
  <c r="CT122" i="2"/>
  <c r="CU122" i="2"/>
  <c r="CV122" i="2"/>
  <c r="CW122" i="2"/>
  <c r="CX122" i="2"/>
  <c r="CY122" i="2"/>
  <c r="CD123" i="2"/>
  <c r="CE123" i="2"/>
  <c r="CF123" i="2"/>
  <c r="CG123" i="2"/>
  <c r="CH123" i="2"/>
  <c r="CI123" i="2"/>
  <c r="CJ123" i="2"/>
  <c r="CK123" i="2"/>
  <c r="CL123" i="2"/>
  <c r="CM123" i="2"/>
  <c r="CN123" i="2"/>
  <c r="CO123" i="2"/>
  <c r="CP123" i="2"/>
  <c r="CQ123" i="2"/>
  <c r="CR123" i="2"/>
  <c r="CS123" i="2"/>
  <c r="CT123" i="2"/>
  <c r="CU123" i="2"/>
  <c r="CV123" i="2"/>
  <c r="CW123" i="2"/>
  <c r="CX123" i="2"/>
  <c r="CY123" i="2"/>
  <c r="CD124" i="2"/>
  <c r="CE124" i="2"/>
  <c r="CF124" i="2"/>
  <c r="CG124" i="2"/>
  <c r="CH124" i="2"/>
  <c r="CI124" i="2"/>
  <c r="CJ124" i="2"/>
  <c r="CK124" i="2"/>
  <c r="CL124" i="2"/>
  <c r="CM124" i="2"/>
  <c r="CN124" i="2"/>
  <c r="CO124" i="2"/>
  <c r="CP124" i="2"/>
  <c r="CQ124" i="2"/>
  <c r="CR124" i="2"/>
  <c r="CS124" i="2"/>
  <c r="CT124" i="2"/>
  <c r="CU124" i="2"/>
  <c r="CV124" i="2"/>
  <c r="CW124" i="2"/>
  <c r="CX124" i="2"/>
  <c r="CY124" i="2"/>
  <c r="CD125" i="2"/>
  <c r="CE125" i="2"/>
  <c r="CF125" i="2"/>
  <c r="CG125" i="2"/>
  <c r="CH125" i="2"/>
  <c r="CI125" i="2"/>
  <c r="CJ125" i="2"/>
  <c r="CK125" i="2"/>
  <c r="CL125" i="2"/>
  <c r="CM125" i="2"/>
  <c r="CN125" i="2"/>
  <c r="CO125" i="2"/>
  <c r="CP125" i="2"/>
  <c r="CQ125" i="2"/>
  <c r="CR125" i="2"/>
  <c r="CS125" i="2"/>
  <c r="CT125" i="2"/>
  <c r="CU125" i="2"/>
  <c r="CV125" i="2"/>
  <c r="CW125" i="2"/>
  <c r="CX125" i="2"/>
  <c r="CY125" i="2"/>
  <c r="CD126" i="2"/>
  <c r="CE126" i="2"/>
  <c r="CF126" i="2"/>
  <c r="CG126" i="2"/>
  <c r="CH126" i="2"/>
  <c r="CI126" i="2"/>
  <c r="CJ126" i="2"/>
  <c r="CK126" i="2"/>
  <c r="CL126" i="2"/>
  <c r="CM126" i="2"/>
  <c r="CN126" i="2"/>
  <c r="CO126" i="2"/>
  <c r="CP126" i="2"/>
  <c r="CQ126" i="2"/>
  <c r="CR126" i="2"/>
  <c r="CS126" i="2"/>
  <c r="CT126" i="2"/>
  <c r="CU126" i="2"/>
  <c r="CV126" i="2"/>
  <c r="CW126" i="2"/>
  <c r="CX126" i="2"/>
  <c r="CY126" i="2"/>
  <c r="CD127" i="2"/>
  <c r="CE127" i="2"/>
  <c r="CF127" i="2"/>
  <c r="CG127" i="2"/>
  <c r="CH127" i="2"/>
  <c r="CI127" i="2"/>
  <c r="CJ127" i="2"/>
  <c r="CK127" i="2"/>
  <c r="CL127" i="2"/>
  <c r="CM127" i="2"/>
  <c r="CN127" i="2"/>
  <c r="CO127" i="2"/>
  <c r="CP127" i="2"/>
  <c r="CQ127" i="2"/>
  <c r="CR127" i="2"/>
  <c r="CS127" i="2"/>
  <c r="CT127" i="2"/>
  <c r="CU127" i="2"/>
  <c r="CV127" i="2"/>
  <c r="CW127" i="2"/>
  <c r="CX127" i="2"/>
  <c r="CY127" i="2"/>
  <c r="CD128" i="2"/>
  <c r="CE128" i="2"/>
  <c r="CF128" i="2"/>
  <c r="CG128" i="2"/>
  <c r="CH128" i="2"/>
  <c r="CI128" i="2"/>
  <c r="CJ128" i="2"/>
  <c r="CK128" i="2"/>
  <c r="CL128" i="2"/>
  <c r="CM128" i="2"/>
  <c r="CN128" i="2"/>
  <c r="CO128" i="2"/>
  <c r="CP128" i="2"/>
  <c r="CQ128" i="2"/>
  <c r="CR128" i="2"/>
  <c r="CS128" i="2"/>
  <c r="CT128" i="2"/>
  <c r="CU128" i="2"/>
  <c r="CV128" i="2"/>
  <c r="CW128" i="2"/>
  <c r="CX128" i="2"/>
  <c r="CY128" i="2"/>
  <c r="CD129" i="2"/>
  <c r="CE129" i="2"/>
  <c r="CF129" i="2"/>
  <c r="CG129" i="2"/>
  <c r="CH129" i="2"/>
  <c r="CI129" i="2"/>
  <c r="CJ129" i="2"/>
  <c r="CK129" i="2"/>
  <c r="CL129" i="2"/>
  <c r="CM129" i="2"/>
  <c r="CN129" i="2"/>
  <c r="CO129" i="2"/>
  <c r="CP129" i="2"/>
  <c r="CQ129" i="2"/>
  <c r="CR129" i="2"/>
  <c r="CS129" i="2"/>
  <c r="CT129" i="2"/>
  <c r="CU129" i="2"/>
  <c r="CV129" i="2"/>
  <c r="CW129" i="2"/>
  <c r="CX129" i="2"/>
  <c r="CY129" i="2"/>
  <c r="CD130" i="2"/>
  <c r="CE130" i="2"/>
  <c r="CF130" i="2"/>
  <c r="CG130" i="2"/>
  <c r="CH130" i="2"/>
  <c r="CI130" i="2"/>
  <c r="CJ130" i="2"/>
  <c r="CK130" i="2"/>
  <c r="CL130" i="2"/>
  <c r="CM130" i="2"/>
  <c r="CN130" i="2"/>
  <c r="CO130" i="2"/>
  <c r="CP130" i="2"/>
  <c r="CQ130" i="2"/>
  <c r="CR130" i="2"/>
  <c r="CS130" i="2"/>
  <c r="CT130" i="2"/>
  <c r="CU130" i="2"/>
  <c r="CV130" i="2"/>
  <c r="CW130" i="2"/>
  <c r="CX130" i="2"/>
  <c r="CY130" i="2"/>
  <c r="CD131" i="2"/>
  <c r="CE131" i="2"/>
  <c r="CF131" i="2"/>
  <c r="CG131" i="2"/>
  <c r="CH131" i="2"/>
  <c r="CI131" i="2"/>
  <c r="CJ131" i="2"/>
  <c r="CK131" i="2"/>
  <c r="CL131" i="2"/>
  <c r="CM131" i="2"/>
  <c r="CN131" i="2"/>
  <c r="CO131" i="2"/>
  <c r="CP131" i="2"/>
  <c r="CQ131" i="2"/>
  <c r="CR131" i="2"/>
  <c r="CS131" i="2"/>
  <c r="CT131" i="2"/>
  <c r="CU131" i="2"/>
  <c r="CV131" i="2"/>
  <c r="CW131" i="2"/>
  <c r="CX131" i="2"/>
  <c r="CY131" i="2"/>
  <c r="CD132" i="2"/>
  <c r="CE132" i="2"/>
  <c r="CF132" i="2"/>
  <c r="CG132" i="2"/>
  <c r="CH132" i="2"/>
  <c r="CI132" i="2"/>
  <c r="CJ132" i="2"/>
  <c r="CK132" i="2"/>
  <c r="CL132" i="2"/>
  <c r="CM132" i="2"/>
  <c r="CN132" i="2"/>
  <c r="CO132" i="2"/>
  <c r="CP132" i="2"/>
  <c r="CQ132" i="2"/>
  <c r="CR132" i="2"/>
  <c r="CS132" i="2"/>
  <c r="CT132" i="2"/>
  <c r="CU132" i="2"/>
  <c r="CV132" i="2"/>
  <c r="CW132" i="2"/>
  <c r="CX132" i="2"/>
  <c r="CY132" i="2"/>
  <c r="CD133" i="2"/>
  <c r="CE133" i="2"/>
  <c r="CF133" i="2"/>
  <c r="CG133" i="2"/>
  <c r="CH133" i="2"/>
  <c r="CI133" i="2"/>
  <c r="CJ133" i="2"/>
  <c r="CK133" i="2"/>
  <c r="CL133" i="2"/>
  <c r="CM133" i="2"/>
  <c r="CN133" i="2"/>
  <c r="CO133" i="2"/>
  <c r="CP133" i="2"/>
  <c r="CQ133" i="2"/>
  <c r="CR133" i="2"/>
  <c r="CS133" i="2"/>
  <c r="CT133" i="2"/>
  <c r="CU133" i="2"/>
  <c r="CV133" i="2"/>
  <c r="CW133" i="2"/>
  <c r="CX133" i="2"/>
  <c r="CY133" i="2"/>
  <c r="CD134" i="2"/>
  <c r="CE134" i="2"/>
  <c r="CF134" i="2"/>
  <c r="CG134" i="2"/>
  <c r="CH134" i="2"/>
  <c r="CI134" i="2"/>
  <c r="CJ134" i="2"/>
  <c r="CK134" i="2"/>
  <c r="CL134" i="2"/>
  <c r="CM134" i="2"/>
  <c r="CN134" i="2"/>
  <c r="CO134" i="2"/>
  <c r="CP134" i="2"/>
  <c r="CQ134" i="2"/>
  <c r="CR134" i="2"/>
  <c r="CS134" i="2"/>
  <c r="CT134" i="2"/>
  <c r="CU134" i="2"/>
  <c r="CV134" i="2"/>
  <c r="CW134" i="2"/>
  <c r="CX134" i="2"/>
  <c r="CY134" i="2"/>
  <c r="CD135" i="2"/>
  <c r="CE135" i="2"/>
  <c r="CF135" i="2"/>
  <c r="CG135" i="2"/>
  <c r="CH135" i="2"/>
  <c r="CI135" i="2"/>
  <c r="CJ135" i="2"/>
  <c r="CK135" i="2"/>
  <c r="CL135" i="2"/>
  <c r="CM135" i="2"/>
  <c r="CN135" i="2"/>
  <c r="CO135" i="2"/>
  <c r="CP135" i="2"/>
  <c r="CQ135" i="2"/>
  <c r="CR135" i="2"/>
  <c r="CS135" i="2"/>
  <c r="CT135" i="2"/>
  <c r="CU135" i="2"/>
  <c r="CV135" i="2"/>
  <c r="CW135" i="2"/>
  <c r="CX135" i="2"/>
  <c r="CY135" i="2"/>
  <c r="CD136" i="2"/>
  <c r="CE136" i="2"/>
  <c r="CF136" i="2"/>
  <c r="CG136" i="2"/>
  <c r="CH136" i="2"/>
  <c r="CI136" i="2"/>
  <c r="CJ136" i="2"/>
  <c r="CK136" i="2"/>
  <c r="CL136" i="2"/>
  <c r="CM136" i="2"/>
  <c r="CN136" i="2"/>
  <c r="CO136" i="2"/>
  <c r="CP136" i="2"/>
  <c r="CQ136" i="2"/>
  <c r="CR136" i="2"/>
  <c r="CS136" i="2"/>
  <c r="CT136" i="2"/>
  <c r="CU136" i="2"/>
  <c r="CV136" i="2"/>
  <c r="CW136" i="2"/>
  <c r="CX136" i="2"/>
  <c r="CY136" i="2"/>
  <c r="CD137" i="2"/>
  <c r="CE137" i="2"/>
  <c r="CF137" i="2"/>
  <c r="CG137" i="2"/>
  <c r="CH137" i="2"/>
  <c r="CI137" i="2"/>
  <c r="CJ137" i="2"/>
  <c r="CK137" i="2"/>
  <c r="CL137" i="2"/>
  <c r="CM137" i="2"/>
  <c r="CN137" i="2"/>
  <c r="CO137" i="2"/>
  <c r="CP137" i="2"/>
  <c r="CQ137" i="2"/>
  <c r="CR137" i="2"/>
  <c r="CS137" i="2"/>
  <c r="CT137" i="2"/>
  <c r="CU137" i="2"/>
  <c r="CV137" i="2"/>
  <c r="CW137" i="2"/>
  <c r="CX137" i="2"/>
  <c r="CY137" i="2"/>
  <c r="CD138" i="2"/>
  <c r="CE138" i="2"/>
  <c r="CF138" i="2"/>
  <c r="CG138" i="2"/>
  <c r="CH138" i="2"/>
  <c r="CI138" i="2"/>
  <c r="CJ138" i="2"/>
  <c r="CK138" i="2"/>
  <c r="CL138" i="2"/>
  <c r="CM138" i="2"/>
  <c r="CN138" i="2"/>
  <c r="CO138" i="2"/>
  <c r="CP138" i="2"/>
  <c r="CQ138" i="2"/>
  <c r="CR138" i="2"/>
  <c r="CS138" i="2"/>
  <c r="CT138" i="2"/>
  <c r="CU138" i="2"/>
  <c r="CV138" i="2"/>
  <c r="CW138" i="2"/>
  <c r="CX138" i="2"/>
  <c r="CY138" i="2"/>
  <c r="CD139" i="2"/>
  <c r="CE139" i="2"/>
  <c r="CF139" i="2"/>
  <c r="CG139" i="2"/>
  <c r="CH139" i="2"/>
  <c r="CI139" i="2"/>
  <c r="CJ139" i="2"/>
  <c r="CK139" i="2"/>
  <c r="CL139" i="2"/>
  <c r="CM139" i="2"/>
  <c r="CN139" i="2"/>
  <c r="CO139" i="2"/>
  <c r="CP139" i="2"/>
  <c r="CQ139" i="2"/>
  <c r="CR139" i="2"/>
  <c r="CS139" i="2"/>
  <c r="CT139" i="2"/>
  <c r="CU139" i="2"/>
  <c r="CV139" i="2"/>
  <c r="CW139" i="2"/>
  <c r="CX139" i="2"/>
  <c r="CY139" i="2"/>
  <c r="CD140" i="2"/>
  <c r="CE140" i="2"/>
  <c r="CF140" i="2"/>
  <c r="CG140" i="2"/>
  <c r="CH140" i="2"/>
  <c r="CI140" i="2"/>
  <c r="CJ140" i="2"/>
  <c r="CK140" i="2"/>
  <c r="CL140" i="2"/>
  <c r="CM140" i="2"/>
  <c r="CN140" i="2"/>
  <c r="CO140" i="2"/>
  <c r="CP140" i="2"/>
  <c r="CQ140" i="2"/>
  <c r="CR140" i="2"/>
  <c r="CS140" i="2"/>
  <c r="CT140" i="2"/>
  <c r="CU140" i="2"/>
  <c r="CV140" i="2"/>
  <c r="CW140" i="2"/>
  <c r="CX140" i="2"/>
  <c r="CY140" i="2"/>
  <c r="CD141" i="2"/>
  <c r="CE141" i="2"/>
  <c r="CF141" i="2"/>
  <c r="CG141" i="2"/>
  <c r="CH141" i="2"/>
  <c r="CI141" i="2"/>
  <c r="CJ141" i="2"/>
  <c r="CK141" i="2"/>
  <c r="CL141" i="2"/>
  <c r="CM141" i="2"/>
  <c r="CN141" i="2"/>
  <c r="CO141" i="2"/>
  <c r="CP141" i="2"/>
  <c r="CQ141" i="2"/>
  <c r="CR141" i="2"/>
  <c r="CS141" i="2"/>
  <c r="CT141" i="2"/>
  <c r="CU141" i="2"/>
  <c r="CV141" i="2"/>
  <c r="CW141" i="2"/>
  <c r="CX141" i="2"/>
  <c r="CY141" i="2"/>
  <c r="CD142" i="2"/>
  <c r="CE142" i="2"/>
  <c r="CF142" i="2"/>
  <c r="CG142" i="2"/>
  <c r="CH142" i="2"/>
  <c r="CI142" i="2"/>
  <c r="CJ142" i="2"/>
  <c r="CK142" i="2"/>
  <c r="CL142" i="2"/>
  <c r="CM142" i="2"/>
  <c r="CN142" i="2"/>
  <c r="CO142" i="2"/>
  <c r="CP142" i="2"/>
  <c r="CQ142" i="2"/>
  <c r="CR142" i="2"/>
  <c r="CS142" i="2"/>
  <c r="CT142" i="2"/>
  <c r="CU142" i="2"/>
  <c r="CV142" i="2"/>
  <c r="CW142" i="2"/>
  <c r="CX142" i="2"/>
  <c r="CY142" i="2"/>
  <c r="CD143" i="2"/>
  <c r="CE143" i="2"/>
  <c r="CF143" i="2"/>
  <c r="CG143" i="2"/>
  <c r="CH143" i="2"/>
  <c r="CI143" i="2"/>
  <c r="CJ143" i="2"/>
  <c r="CK143" i="2"/>
  <c r="CL143" i="2"/>
  <c r="CM143" i="2"/>
  <c r="CN143" i="2"/>
  <c r="CO143" i="2"/>
  <c r="CP143" i="2"/>
  <c r="CQ143" i="2"/>
  <c r="CR143" i="2"/>
  <c r="CS143" i="2"/>
  <c r="CT143" i="2"/>
  <c r="CU143" i="2"/>
  <c r="CV143" i="2"/>
  <c r="CW143" i="2"/>
  <c r="CX143" i="2"/>
  <c r="CY143" i="2"/>
  <c r="CD144" i="2"/>
  <c r="CE144" i="2"/>
  <c r="CF144" i="2"/>
  <c r="CG144" i="2"/>
  <c r="CH144" i="2"/>
  <c r="CI144" i="2"/>
  <c r="CJ144" i="2"/>
  <c r="CK144" i="2"/>
  <c r="CL144" i="2"/>
  <c r="CM144" i="2"/>
  <c r="CN144" i="2"/>
  <c r="CO144" i="2"/>
  <c r="CP144" i="2"/>
  <c r="CQ144" i="2"/>
  <c r="CR144" i="2"/>
  <c r="CS144" i="2"/>
  <c r="CT144" i="2"/>
  <c r="CU144" i="2"/>
  <c r="CV144" i="2"/>
  <c r="CW144" i="2"/>
  <c r="CX144" i="2"/>
  <c r="CY144" i="2"/>
  <c r="CD145" i="2"/>
  <c r="CE145" i="2"/>
  <c r="CF145" i="2"/>
  <c r="CG145" i="2"/>
  <c r="CH145" i="2"/>
  <c r="CI145" i="2"/>
  <c r="CJ145" i="2"/>
  <c r="CK145" i="2"/>
  <c r="CL145" i="2"/>
  <c r="CM145" i="2"/>
  <c r="CN145" i="2"/>
  <c r="CO145" i="2"/>
  <c r="CP145" i="2"/>
  <c r="CQ145" i="2"/>
  <c r="CR145" i="2"/>
  <c r="CS145" i="2"/>
  <c r="CT145" i="2"/>
  <c r="CU145" i="2"/>
  <c r="CV145" i="2"/>
  <c r="CW145" i="2"/>
  <c r="CX145" i="2"/>
  <c r="CY145" i="2"/>
  <c r="CD146" i="2"/>
  <c r="CE146" i="2"/>
  <c r="CF146" i="2"/>
  <c r="CG146" i="2"/>
  <c r="CH146" i="2"/>
  <c r="CI146" i="2"/>
  <c r="CJ146" i="2"/>
  <c r="CK146" i="2"/>
  <c r="CL146" i="2"/>
  <c r="CM146" i="2"/>
  <c r="CN146" i="2"/>
  <c r="CO146" i="2"/>
  <c r="CP146" i="2"/>
  <c r="CQ146" i="2"/>
  <c r="CR146" i="2"/>
  <c r="CS146" i="2"/>
  <c r="CT146" i="2"/>
  <c r="CU146" i="2"/>
  <c r="CV146" i="2"/>
  <c r="CW146" i="2"/>
  <c r="CX146" i="2"/>
  <c r="CY146" i="2"/>
  <c r="CD147" i="2"/>
  <c r="CE147" i="2"/>
  <c r="CF147" i="2"/>
  <c r="CG147" i="2"/>
  <c r="CH147" i="2"/>
  <c r="CI147" i="2"/>
  <c r="CJ147" i="2"/>
  <c r="CK147" i="2"/>
  <c r="CL147" i="2"/>
  <c r="CM147" i="2"/>
  <c r="CN147" i="2"/>
  <c r="CO147" i="2"/>
  <c r="CP147" i="2"/>
  <c r="CQ147" i="2"/>
  <c r="CR147" i="2"/>
  <c r="CS147" i="2"/>
  <c r="CT147" i="2"/>
  <c r="CU147" i="2"/>
  <c r="CV147" i="2"/>
  <c r="CW147" i="2"/>
  <c r="CX147" i="2"/>
  <c r="CY147" i="2"/>
  <c r="CD148" i="2"/>
  <c r="CE148" i="2"/>
  <c r="CF148" i="2"/>
  <c r="CG148" i="2"/>
  <c r="CH148" i="2"/>
  <c r="CI148" i="2"/>
  <c r="CJ148" i="2"/>
  <c r="CK148" i="2"/>
  <c r="CL148" i="2"/>
  <c r="CM148" i="2"/>
  <c r="CN148" i="2"/>
  <c r="CO148" i="2"/>
  <c r="CP148" i="2"/>
  <c r="CQ148" i="2"/>
  <c r="CR148" i="2"/>
  <c r="CS148" i="2"/>
  <c r="CT148" i="2"/>
  <c r="CU148" i="2"/>
  <c r="CV148" i="2"/>
  <c r="CW148" i="2"/>
  <c r="CX148" i="2"/>
  <c r="CY148" i="2"/>
  <c r="CD149" i="2"/>
  <c r="CE149" i="2"/>
  <c r="CF149" i="2"/>
  <c r="CG149" i="2"/>
  <c r="CH149" i="2"/>
  <c r="CI149" i="2"/>
  <c r="CJ149" i="2"/>
  <c r="CK149" i="2"/>
  <c r="CL149" i="2"/>
  <c r="CM149" i="2"/>
  <c r="CN149" i="2"/>
  <c r="CO149" i="2"/>
  <c r="CP149" i="2"/>
  <c r="CQ149" i="2"/>
  <c r="CR149" i="2"/>
  <c r="CS149" i="2"/>
  <c r="CT149" i="2"/>
  <c r="CU149" i="2"/>
  <c r="CV149" i="2"/>
  <c r="CW149" i="2"/>
  <c r="CX149" i="2"/>
  <c r="CY149" i="2"/>
  <c r="CD150" i="2"/>
  <c r="CE150" i="2"/>
  <c r="CF150" i="2"/>
  <c r="CG150" i="2"/>
  <c r="CH150" i="2"/>
  <c r="CI150" i="2"/>
  <c r="CJ150" i="2"/>
  <c r="CK150" i="2"/>
  <c r="CL150" i="2"/>
  <c r="CM150" i="2"/>
  <c r="CN150" i="2"/>
  <c r="CO150" i="2"/>
  <c r="CP150" i="2"/>
  <c r="CQ150" i="2"/>
  <c r="CR150" i="2"/>
  <c r="CS150" i="2"/>
  <c r="CT150" i="2"/>
  <c r="CU150" i="2"/>
  <c r="CV150" i="2"/>
  <c r="CW150" i="2"/>
  <c r="CX150" i="2"/>
  <c r="CY150" i="2"/>
  <c r="CD151" i="2"/>
  <c r="CE151" i="2"/>
  <c r="CF151" i="2"/>
  <c r="CG151" i="2"/>
  <c r="CH151" i="2"/>
  <c r="CI151" i="2"/>
  <c r="CJ151" i="2"/>
  <c r="CK151" i="2"/>
  <c r="CL151" i="2"/>
  <c r="CM151" i="2"/>
  <c r="CN151" i="2"/>
  <c r="CO151" i="2"/>
  <c r="CP151" i="2"/>
  <c r="CQ151" i="2"/>
  <c r="CR151" i="2"/>
  <c r="CS151" i="2"/>
  <c r="CT151" i="2"/>
  <c r="CU151" i="2"/>
  <c r="CV151" i="2"/>
  <c r="CW151" i="2"/>
  <c r="CX151" i="2"/>
  <c r="CY151" i="2"/>
  <c r="CD152" i="2"/>
  <c r="CE152" i="2"/>
  <c r="CF152" i="2"/>
  <c r="CG152" i="2"/>
  <c r="CH152" i="2"/>
  <c r="CI152" i="2"/>
  <c r="CJ152" i="2"/>
  <c r="CK152" i="2"/>
  <c r="CL152" i="2"/>
  <c r="CM152" i="2"/>
  <c r="CN152" i="2"/>
  <c r="CO152" i="2"/>
  <c r="CP152" i="2"/>
  <c r="CQ152" i="2"/>
  <c r="CR152" i="2"/>
  <c r="CS152" i="2"/>
  <c r="CT152" i="2"/>
  <c r="CU152" i="2"/>
  <c r="CV152" i="2"/>
  <c r="CW152" i="2"/>
  <c r="CX152" i="2"/>
  <c r="CY152" i="2"/>
  <c r="CD153" i="2"/>
  <c r="CE153" i="2"/>
  <c r="CF153" i="2"/>
  <c r="CG153" i="2"/>
  <c r="CH153" i="2"/>
  <c r="CI153" i="2"/>
  <c r="CJ153" i="2"/>
  <c r="CK153" i="2"/>
  <c r="CL153" i="2"/>
  <c r="CM153" i="2"/>
  <c r="CN153" i="2"/>
  <c r="CO153" i="2"/>
  <c r="CP153" i="2"/>
  <c r="CQ153" i="2"/>
  <c r="CR153" i="2"/>
  <c r="CS153" i="2"/>
  <c r="CT153" i="2"/>
  <c r="CU153" i="2"/>
  <c r="CV153" i="2"/>
  <c r="CW153" i="2"/>
  <c r="CX153" i="2"/>
  <c r="CY153" i="2"/>
  <c r="CD154" i="2"/>
  <c r="CE154" i="2"/>
  <c r="CF154" i="2"/>
  <c r="CG154" i="2"/>
  <c r="CH154" i="2"/>
  <c r="CI154" i="2"/>
  <c r="CJ154" i="2"/>
  <c r="CK154" i="2"/>
  <c r="CL154" i="2"/>
  <c r="CM154" i="2"/>
  <c r="CN154" i="2"/>
  <c r="CO154" i="2"/>
  <c r="CP154" i="2"/>
  <c r="CQ154" i="2"/>
  <c r="CR154" i="2"/>
  <c r="CS154" i="2"/>
  <c r="CT154" i="2"/>
  <c r="CU154" i="2"/>
  <c r="CV154" i="2"/>
  <c r="CW154" i="2"/>
  <c r="CX154" i="2"/>
  <c r="CY154" i="2"/>
  <c r="CD155" i="2"/>
  <c r="CE155" i="2"/>
  <c r="CF155" i="2"/>
  <c r="CG155" i="2"/>
  <c r="CH155" i="2"/>
  <c r="CI155" i="2"/>
  <c r="CJ155" i="2"/>
  <c r="CK155" i="2"/>
  <c r="CL155" i="2"/>
  <c r="CM155" i="2"/>
  <c r="CN155" i="2"/>
  <c r="CO155" i="2"/>
  <c r="CP155" i="2"/>
  <c r="CQ155" i="2"/>
  <c r="CR155" i="2"/>
  <c r="CS155" i="2"/>
  <c r="CT155" i="2"/>
  <c r="CU155" i="2"/>
  <c r="CV155" i="2"/>
  <c r="CW155" i="2"/>
  <c r="CX155" i="2"/>
  <c r="CY155" i="2"/>
  <c r="CD156" i="2"/>
  <c r="CE156" i="2"/>
  <c r="CF156" i="2"/>
  <c r="CG156" i="2"/>
  <c r="CH156" i="2"/>
  <c r="CI156" i="2"/>
  <c r="CJ156" i="2"/>
  <c r="CK156" i="2"/>
  <c r="CL156" i="2"/>
  <c r="CM156" i="2"/>
  <c r="CN156" i="2"/>
  <c r="CO156" i="2"/>
  <c r="CP156" i="2"/>
  <c r="CQ156" i="2"/>
  <c r="CR156" i="2"/>
  <c r="CS156" i="2"/>
  <c r="CT156" i="2"/>
  <c r="CU156" i="2"/>
  <c r="CV156" i="2"/>
  <c r="CW156" i="2"/>
  <c r="CX156" i="2"/>
  <c r="CY156" i="2"/>
  <c r="CD157" i="2"/>
  <c r="CE157" i="2"/>
  <c r="CF157" i="2"/>
  <c r="CG157" i="2"/>
  <c r="CH157" i="2"/>
  <c r="CI157" i="2"/>
  <c r="CJ157" i="2"/>
  <c r="CK157" i="2"/>
  <c r="CL157" i="2"/>
  <c r="CM157" i="2"/>
  <c r="CN157" i="2"/>
  <c r="CO157" i="2"/>
  <c r="CP157" i="2"/>
  <c r="CQ157" i="2"/>
  <c r="CR157" i="2"/>
  <c r="CS157" i="2"/>
  <c r="CT157" i="2"/>
  <c r="CU157" i="2"/>
  <c r="CV157" i="2"/>
  <c r="CW157" i="2"/>
  <c r="CX157" i="2"/>
  <c r="CY157" i="2"/>
  <c r="CD158" i="2"/>
  <c r="CE158" i="2"/>
  <c r="CF158" i="2"/>
  <c r="CG158" i="2"/>
  <c r="CH158" i="2"/>
  <c r="CI158" i="2"/>
  <c r="CJ158" i="2"/>
  <c r="CK158" i="2"/>
  <c r="CL158" i="2"/>
  <c r="CM158" i="2"/>
  <c r="CN158" i="2"/>
  <c r="CO158" i="2"/>
  <c r="CP158" i="2"/>
  <c r="CQ158" i="2"/>
  <c r="CR158" i="2"/>
  <c r="CS158" i="2"/>
  <c r="CT158" i="2"/>
  <c r="CU158" i="2"/>
  <c r="CV158" i="2"/>
  <c r="CW158" i="2"/>
  <c r="CX158" i="2"/>
  <c r="CY158" i="2"/>
  <c r="CD159" i="2"/>
  <c r="CE159" i="2"/>
  <c r="CF159" i="2"/>
  <c r="CG159" i="2"/>
  <c r="CH159" i="2"/>
  <c r="CI159" i="2"/>
  <c r="CJ159" i="2"/>
  <c r="CK159" i="2"/>
  <c r="CL159" i="2"/>
  <c r="CM159" i="2"/>
  <c r="CN159" i="2"/>
  <c r="CO159" i="2"/>
  <c r="CP159" i="2"/>
  <c r="CQ159" i="2"/>
  <c r="CR159" i="2"/>
  <c r="CS159" i="2"/>
  <c r="CT159" i="2"/>
  <c r="CU159" i="2"/>
  <c r="CV159" i="2"/>
  <c r="CW159" i="2"/>
  <c r="CX159" i="2"/>
  <c r="CY159" i="2"/>
  <c r="CD160" i="2"/>
  <c r="CE160" i="2"/>
  <c r="CF160" i="2"/>
  <c r="CG160" i="2"/>
  <c r="CH160" i="2"/>
  <c r="CI160" i="2"/>
  <c r="CJ160" i="2"/>
  <c r="CK160" i="2"/>
  <c r="CL160" i="2"/>
  <c r="CM160" i="2"/>
  <c r="CN160" i="2"/>
  <c r="CO160" i="2"/>
  <c r="CP160" i="2"/>
  <c r="CQ160" i="2"/>
  <c r="CR160" i="2"/>
  <c r="CS160" i="2"/>
  <c r="CT160" i="2"/>
  <c r="CU160" i="2"/>
  <c r="CV160" i="2"/>
  <c r="CW160" i="2"/>
  <c r="CX160" i="2"/>
  <c r="CY160" i="2"/>
  <c r="CD161" i="2"/>
  <c r="CE161" i="2"/>
  <c r="CF161" i="2"/>
  <c r="CG161" i="2"/>
  <c r="CH161" i="2"/>
  <c r="CI161" i="2"/>
  <c r="CJ161" i="2"/>
  <c r="CK161" i="2"/>
  <c r="CL161" i="2"/>
  <c r="CM161" i="2"/>
  <c r="CN161" i="2"/>
  <c r="CO161" i="2"/>
  <c r="CP161" i="2"/>
  <c r="CQ161" i="2"/>
  <c r="CR161" i="2"/>
  <c r="CS161" i="2"/>
  <c r="CT161" i="2"/>
  <c r="CU161" i="2"/>
  <c r="CV161" i="2"/>
  <c r="CW161" i="2"/>
  <c r="CX161" i="2"/>
  <c r="CY161" i="2"/>
  <c r="CD162" i="2"/>
  <c r="CE162" i="2"/>
  <c r="CF162" i="2"/>
  <c r="CG162" i="2"/>
  <c r="CH162" i="2"/>
  <c r="CI162" i="2"/>
  <c r="CJ162" i="2"/>
  <c r="CK162" i="2"/>
  <c r="CL162" i="2"/>
  <c r="CM162" i="2"/>
  <c r="CN162" i="2"/>
  <c r="CO162" i="2"/>
  <c r="CP162" i="2"/>
  <c r="CQ162" i="2"/>
  <c r="CR162" i="2"/>
  <c r="CS162" i="2"/>
  <c r="CT162" i="2"/>
  <c r="CU162" i="2"/>
  <c r="CV162" i="2"/>
  <c r="CW162" i="2"/>
  <c r="CX162" i="2"/>
  <c r="CY162" i="2"/>
  <c r="CD163" i="2"/>
  <c r="CE163" i="2"/>
  <c r="CF163" i="2"/>
  <c r="CG163" i="2"/>
  <c r="CH163" i="2"/>
  <c r="CI163" i="2"/>
  <c r="CJ163" i="2"/>
  <c r="CK163" i="2"/>
  <c r="CL163" i="2"/>
  <c r="CM163" i="2"/>
  <c r="CN163" i="2"/>
  <c r="CO163" i="2"/>
  <c r="CP163" i="2"/>
  <c r="CQ163" i="2"/>
  <c r="CR163" i="2"/>
  <c r="CS163" i="2"/>
  <c r="CT163" i="2"/>
  <c r="CU163" i="2"/>
  <c r="CV163" i="2"/>
  <c r="CW163" i="2"/>
  <c r="CX163" i="2"/>
  <c r="CY163" i="2"/>
  <c r="CD164" i="2"/>
  <c r="CE164" i="2"/>
  <c r="CF164" i="2"/>
  <c r="CG164" i="2"/>
  <c r="CH164" i="2"/>
  <c r="CI164" i="2"/>
  <c r="CJ164" i="2"/>
  <c r="CK164" i="2"/>
  <c r="CL164" i="2"/>
  <c r="CM164" i="2"/>
  <c r="CN164" i="2"/>
  <c r="CO164" i="2"/>
  <c r="CP164" i="2"/>
  <c r="CQ164" i="2"/>
  <c r="CR164" i="2"/>
  <c r="CS164" i="2"/>
  <c r="CT164" i="2"/>
  <c r="CU164" i="2"/>
  <c r="CV164" i="2"/>
  <c r="CW164" i="2"/>
  <c r="CX164" i="2"/>
  <c r="CY164" i="2"/>
  <c r="CD165" i="2"/>
  <c r="CE165" i="2"/>
  <c r="CF165" i="2"/>
  <c r="CG165" i="2"/>
  <c r="CH165" i="2"/>
  <c r="CI165" i="2"/>
  <c r="CJ165" i="2"/>
  <c r="CK165" i="2"/>
  <c r="CL165" i="2"/>
  <c r="CM165" i="2"/>
  <c r="CN165" i="2"/>
  <c r="CO165" i="2"/>
  <c r="CP165" i="2"/>
  <c r="CQ165" i="2"/>
  <c r="CR165" i="2"/>
  <c r="CS165" i="2"/>
  <c r="CT165" i="2"/>
  <c r="CU165" i="2"/>
  <c r="CV165" i="2"/>
  <c r="CW165" i="2"/>
  <c r="CX165" i="2"/>
  <c r="CY165" i="2"/>
  <c r="CD166" i="2"/>
  <c r="CE166" i="2"/>
  <c r="CF166" i="2"/>
  <c r="CG166" i="2"/>
  <c r="CH166" i="2"/>
  <c r="CI166" i="2"/>
  <c r="CJ166" i="2"/>
  <c r="CK166" i="2"/>
  <c r="CL166" i="2"/>
  <c r="CM166" i="2"/>
  <c r="CN166" i="2"/>
  <c r="CO166" i="2"/>
  <c r="CP166" i="2"/>
  <c r="CQ166" i="2"/>
  <c r="CR166" i="2"/>
  <c r="CS166" i="2"/>
  <c r="CT166" i="2"/>
  <c r="CU166" i="2"/>
  <c r="CV166" i="2"/>
  <c r="CW166" i="2"/>
  <c r="CX166" i="2"/>
  <c r="CY166" i="2"/>
  <c r="CD167" i="2"/>
  <c r="CE167" i="2"/>
  <c r="CF167" i="2"/>
  <c r="CG167" i="2"/>
  <c r="CH167" i="2"/>
  <c r="CI167" i="2"/>
  <c r="CJ167" i="2"/>
  <c r="CK167" i="2"/>
  <c r="CL167" i="2"/>
  <c r="CM167" i="2"/>
  <c r="CN167" i="2"/>
  <c r="CO167" i="2"/>
  <c r="CP167" i="2"/>
  <c r="CQ167" i="2"/>
  <c r="CR167" i="2"/>
  <c r="CS167" i="2"/>
  <c r="CT167" i="2"/>
  <c r="CU167" i="2"/>
  <c r="CV167" i="2"/>
  <c r="CW167" i="2"/>
  <c r="CX167" i="2"/>
  <c r="CY167" i="2"/>
  <c r="CD168" i="2"/>
  <c r="CE168" i="2"/>
  <c r="CF168" i="2"/>
  <c r="CG168" i="2"/>
  <c r="CH168" i="2"/>
  <c r="CI168" i="2"/>
  <c r="CJ168" i="2"/>
  <c r="CK168" i="2"/>
  <c r="CL168" i="2"/>
  <c r="CM168" i="2"/>
  <c r="CN168" i="2"/>
  <c r="CO168" i="2"/>
  <c r="CP168" i="2"/>
  <c r="CQ168" i="2"/>
  <c r="CR168" i="2"/>
  <c r="CS168" i="2"/>
  <c r="CT168" i="2"/>
  <c r="CU168" i="2"/>
  <c r="CV168" i="2"/>
  <c r="CW168" i="2"/>
  <c r="CX168" i="2"/>
  <c r="CY168" i="2"/>
  <c r="CD169" i="2"/>
  <c r="CE169" i="2"/>
  <c r="CF169" i="2"/>
  <c r="CG169" i="2"/>
  <c r="CH169" i="2"/>
  <c r="CI169" i="2"/>
  <c r="CJ169" i="2"/>
  <c r="CK169" i="2"/>
  <c r="CL169" i="2"/>
  <c r="CM169" i="2"/>
  <c r="CN169" i="2"/>
  <c r="CO169" i="2"/>
  <c r="CP169" i="2"/>
  <c r="CQ169" i="2"/>
  <c r="CR169" i="2"/>
  <c r="CS169" i="2"/>
  <c r="CT169" i="2"/>
  <c r="CU169" i="2"/>
  <c r="CV169" i="2"/>
  <c r="CW169" i="2"/>
  <c r="CX169" i="2"/>
  <c r="CY169" i="2"/>
  <c r="CD170" i="2"/>
  <c r="CE170" i="2"/>
  <c r="CF170" i="2"/>
  <c r="CG170" i="2"/>
  <c r="CH170" i="2"/>
  <c r="CI170" i="2"/>
  <c r="CJ170" i="2"/>
  <c r="CK170" i="2"/>
  <c r="CL170" i="2"/>
  <c r="CM170" i="2"/>
  <c r="CN170" i="2"/>
  <c r="CO170" i="2"/>
  <c r="CP170" i="2"/>
  <c r="CQ170" i="2"/>
  <c r="CR170" i="2"/>
  <c r="CS170" i="2"/>
  <c r="CT170" i="2"/>
  <c r="CU170" i="2"/>
  <c r="CV170" i="2"/>
  <c r="CW170" i="2"/>
  <c r="CX170" i="2"/>
  <c r="CY170" i="2"/>
  <c r="CD171" i="2"/>
  <c r="CE171" i="2"/>
  <c r="CF171" i="2"/>
  <c r="CG171" i="2"/>
  <c r="CH171" i="2"/>
  <c r="CI171" i="2"/>
  <c r="CJ171" i="2"/>
  <c r="CK171" i="2"/>
  <c r="CL171" i="2"/>
  <c r="CM171" i="2"/>
  <c r="CN171" i="2"/>
  <c r="CO171" i="2"/>
  <c r="CP171" i="2"/>
  <c r="CQ171" i="2"/>
  <c r="CR171" i="2"/>
  <c r="CS171" i="2"/>
  <c r="CT171" i="2"/>
  <c r="CU171" i="2"/>
  <c r="CV171" i="2"/>
  <c r="CW171" i="2"/>
  <c r="CX171" i="2"/>
  <c r="CY171" i="2"/>
  <c r="CD172" i="2"/>
  <c r="CE172" i="2"/>
  <c r="CF172" i="2"/>
  <c r="CG172" i="2"/>
  <c r="CH172" i="2"/>
  <c r="CI172" i="2"/>
  <c r="CJ172" i="2"/>
  <c r="CK172" i="2"/>
  <c r="CL172" i="2"/>
  <c r="CM172" i="2"/>
  <c r="CN172" i="2"/>
  <c r="CO172" i="2"/>
  <c r="CP172" i="2"/>
  <c r="CQ172" i="2"/>
  <c r="CR172" i="2"/>
  <c r="CS172" i="2"/>
  <c r="CT172" i="2"/>
  <c r="CU172" i="2"/>
  <c r="CV172" i="2"/>
  <c r="CW172" i="2"/>
  <c r="CX172" i="2"/>
  <c r="CY172" i="2"/>
  <c r="CD173" i="2"/>
  <c r="CE173" i="2"/>
  <c r="CF173" i="2"/>
  <c r="CG173" i="2"/>
  <c r="CH173" i="2"/>
  <c r="CI173" i="2"/>
  <c r="CJ173" i="2"/>
  <c r="CK173" i="2"/>
  <c r="CL173" i="2"/>
  <c r="CM173" i="2"/>
  <c r="CN173" i="2"/>
  <c r="CO173" i="2"/>
  <c r="CP173" i="2"/>
  <c r="CQ173" i="2"/>
  <c r="CR173" i="2"/>
  <c r="CS173" i="2"/>
  <c r="CT173" i="2"/>
  <c r="CU173" i="2"/>
  <c r="CV173" i="2"/>
  <c r="CW173" i="2"/>
  <c r="CX173" i="2"/>
  <c r="CY173" i="2"/>
  <c r="CD174" i="2"/>
  <c r="CE174" i="2"/>
  <c r="CF174" i="2"/>
  <c r="CG174" i="2"/>
  <c r="CH174" i="2"/>
  <c r="CI174" i="2"/>
  <c r="CJ174" i="2"/>
  <c r="CK174" i="2"/>
  <c r="CL174" i="2"/>
  <c r="CM174" i="2"/>
  <c r="CN174" i="2"/>
  <c r="CO174" i="2"/>
  <c r="CP174" i="2"/>
  <c r="CQ174" i="2"/>
  <c r="CR174" i="2"/>
  <c r="CS174" i="2"/>
  <c r="CT174" i="2"/>
  <c r="CU174" i="2"/>
  <c r="CV174" i="2"/>
  <c r="CW174" i="2"/>
  <c r="CX174" i="2"/>
  <c r="CY174" i="2"/>
  <c r="CD175" i="2"/>
  <c r="CE175" i="2"/>
  <c r="CF175" i="2"/>
  <c r="CG175" i="2"/>
  <c r="CH175" i="2"/>
  <c r="CI175" i="2"/>
  <c r="CJ175" i="2"/>
  <c r="CK175" i="2"/>
  <c r="CL175" i="2"/>
  <c r="CM175" i="2"/>
  <c r="CN175" i="2"/>
  <c r="CO175" i="2"/>
  <c r="CP175" i="2"/>
  <c r="CQ175" i="2"/>
  <c r="CR175" i="2"/>
  <c r="CS175" i="2"/>
  <c r="CT175" i="2"/>
  <c r="CU175" i="2"/>
  <c r="CV175" i="2"/>
  <c r="CW175" i="2"/>
  <c r="CX175" i="2"/>
  <c r="CY175" i="2"/>
  <c r="CD176" i="2"/>
  <c r="CE176" i="2"/>
  <c r="CF176" i="2"/>
  <c r="CG176" i="2"/>
  <c r="CH176" i="2"/>
  <c r="CI176" i="2"/>
  <c r="CJ176" i="2"/>
  <c r="CK176" i="2"/>
  <c r="CL176" i="2"/>
  <c r="CM176" i="2"/>
  <c r="CN176" i="2"/>
  <c r="CO176" i="2"/>
  <c r="CP176" i="2"/>
  <c r="CQ176" i="2"/>
  <c r="CR176" i="2"/>
  <c r="CS176" i="2"/>
  <c r="CT176" i="2"/>
  <c r="CU176" i="2"/>
  <c r="CV176" i="2"/>
  <c r="CW176" i="2"/>
  <c r="CX176" i="2"/>
  <c r="CY176" i="2"/>
  <c r="CD177" i="2"/>
  <c r="CE177" i="2"/>
  <c r="CF177" i="2"/>
  <c r="CG177" i="2"/>
  <c r="CH177" i="2"/>
  <c r="CI177" i="2"/>
  <c r="CJ177" i="2"/>
  <c r="CK177" i="2"/>
  <c r="CL177" i="2"/>
  <c r="CM177" i="2"/>
  <c r="CN177" i="2"/>
  <c r="CO177" i="2"/>
  <c r="CP177" i="2"/>
  <c r="CQ177" i="2"/>
  <c r="CR177" i="2"/>
  <c r="CS177" i="2"/>
  <c r="CT177" i="2"/>
  <c r="CU177" i="2"/>
  <c r="CV177" i="2"/>
  <c r="CW177" i="2"/>
  <c r="CX177" i="2"/>
  <c r="CY177" i="2"/>
  <c r="CD178" i="2"/>
  <c r="CE178" i="2"/>
  <c r="CF178" i="2"/>
  <c r="CG178" i="2"/>
  <c r="CH178" i="2"/>
  <c r="CI178" i="2"/>
  <c r="CJ178" i="2"/>
  <c r="CK178" i="2"/>
  <c r="CL178" i="2"/>
  <c r="CM178" i="2"/>
  <c r="CN178" i="2"/>
  <c r="CO178" i="2"/>
  <c r="CP178" i="2"/>
  <c r="CQ178" i="2"/>
  <c r="CR178" i="2"/>
  <c r="CS178" i="2"/>
  <c r="CT178" i="2"/>
  <c r="CU178" i="2"/>
  <c r="CV178" i="2"/>
  <c r="CW178" i="2"/>
  <c r="CX178" i="2"/>
  <c r="CY178" i="2"/>
  <c r="CD179" i="2"/>
  <c r="CE179" i="2"/>
  <c r="CF179" i="2"/>
  <c r="CG179" i="2"/>
  <c r="CH179" i="2"/>
  <c r="CI179" i="2"/>
  <c r="CJ179" i="2"/>
  <c r="CK179" i="2"/>
  <c r="CL179" i="2"/>
  <c r="CM179" i="2"/>
  <c r="CN179" i="2"/>
  <c r="CO179" i="2"/>
  <c r="CP179" i="2"/>
  <c r="CQ179" i="2"/>
  <c r="CR179" i="2"/>
  <c r="CS179" i="2"/>
  <c r="CT179" i="2"/>
  <c r="CU179" i="2"/>
  <c r="CV179" i="2"/>
  <c r="CW179" i="2"/>
  <c r="CX179" i="2"/>
  <c r="CY179" i="2"/>
  <c r="CD180" i="2"/>
  <c r="CE180" i="2"/>
  <c r="CF180" i="2"/>
  <c r="CG180" i="2"/>
  <c r="CH180" i="2"/>
  <c r="CI180" i="2"/>
  <c r="CJ180" i="2"/>
  <c r="CK180" i="2"/>
  <c r="CL180" i="2"/>
  <c r="CM180" i="2"/>
  <c r="CN180" i="2"/>
  <c r="CO180" i="2"/>
  <c r="CP180" i="2"/>
  <c r="CQ180" i="2"/>
  <c r="CR180" i="2"/>
  <c r="CS180" i="2"/>
  <c r="CT180" i="2"/>
  <c r="CU180" i="2"/>
  <c r="CV180" i="2"/>
  <c r="CW180" i="2"/>
  <c r="CX180" i="2"/>
  <c r="CY180" i="2"/>
  <c r="CD181" i="2"/>
  <c r="CE181" i="2"/>
  <c r="CF181" i="2"/>
  <c r="CG181" i="2"/>
  <c r="CH181" i="2"/>
  <c r="CI181" i="2"/>
  <c r="CJ181" i="2"/>
  <c r="CK181" i="2"/>
  <c r="CL181" i="2"/>
  <c r="CM181" i="2"/>
  <c r="CN181" i="2"/>
  <c r="CO181" i="2"/>
  <c r="CP181" i="2"/>
  <c r="CQ181" i="2"/>
  <c r="CR181" i="2"/>
  <c r="CS181" i="2"/>
  <c r="CT181" i="2"/>
  <c r="CU181" i="2"/>
  <c r="CV181" i="2"/>
  <c r="CW181" i="2"/>
  <c r="CX181" i="2"/>
  <c r="CY181" i="2"/>
  <c r="CD182" i="2"/>
  <c r="CE182" i="2"/>
  <c r="CF182" i="2"/>
  <c r="CG182" i="2"/>
  <c r="CH182" i="2"/>
  <c r="CI182" i="2"/>
  <c r="CJ182" i="2"/>
  <c r="CK182" i="2"/>
  <c r="CL182" i="2"/>
  <c r="CM182" i="2"/>
  <c r="CN182" i="2"/>
  <c r="CO182" i="2"/>
  <c r="CP182" i="2"/>
  <c r="CQ182" i="2"/>
  <c r="CR182" i="2"/>
  <c r="CS182" i="2"/>
  <c r="CT182" i="2"/>
  <c r="CU182" i="2"/>
  <c r="CV182" i="2"/>
  <c r="CW182" i="2"/>
  <c r="CX182" i="2"/>
  <c r="CY182" i="2"/>
  <c r="CD183" i="2"/>
  <c r="CE183" i="2"/>
  <c r="CF183" i="2"/>
  <c r="CG183" i="2"/>
  <c r="CH183" i="2"/>
  <c r="CI183" i="2"/>
  <c r="CJ183" i="2"/>
  <c r="CK183" i="2"/>
  <c r="CL183" i="2"/>
  <c r="CM183" i="2"/>
  <c r="CN183" i="2"/>
  <c r="CO183" i="2"/>
  <c r="CP183" i="2"/>
  <c r="CQ183" i="2"/>
  <c r="CR183" i="2"/>
  <c r="CS183" i="2"/>
  <c r="CT183" i="2"/>
  <c r="CU183" i="2"/>
  <c r="CV183" i="2"/>
  <c r="CW183" i="2"/>
  <c r="CX183" i="2"/>
  <c r="CY183" i="2"/>
  <c r="CD184" i="2"/>
  <c r="CE184" i="2"/>
  <c r="CF184" i="2"/>
  <c r="CG184" i="2"/>
  <c r="CH184" i="2"/>
  <c r="CI184" i="2"/>
  <c r="CJ184" i="2"/>
  <c r="CK184" i="2"/>
  <c r="CL184" i="2"/>
  <c r="CM184" i="2"/>
  <c r="CN184" i="2"/>
  <c r="CO184" i="2"/>
  <c r="CP184" i="2"/>
  <c r="CQ184" i="2"/>
  <c r="CR184" i="2"/>
  <c r="CS184" i="2"/>
  <c r="CT184" i="2"/>
  <c r="CU184" i="2"/>
  <c r="CV184" i="2"/>
  <c r="CW184" i="2"/>
  <c r="CX184" i="2"/>
  <c r="CY184" i="2"/>
  <c r="CD185" i="2"/>
  <c r="CE185" i="2"/>
  <c r="CF185" i="2"/>
  <c r="CG185" i="2"/>
  <c r="CH185" i="2"/>
  <c r="CI185" i="2"/>
  <c r="CJ185" i="2"/>
  <c r="CK185" i="2"/>
  <c r="CL185" i="2"/>
  <c r="CM185" i="2"/>
  <c r="CN185" i="2"/>
  <c r="CO185" i="2"/>
  <c r="CP185" i="2"/>
  <c r="CQ185" i="2"/>
  <c r="CR185" i="2"/>
  <c r="CS185" i="2"/>
  <c r="CT185" i="2"/>
  <c r="CU185" i="2"/>
  <c r="CV185" i="2"/>
  <c r="CW185" i="2"/>
  <c r="CX185" i="2"/>
  <c r="CY185" i="2"/>
  <c r="CD186" i="2"/>
  <c r="CE186" i="2"/>
  <c r="CF186" i="2"/>
  <c r="CG186" i="2"/>
  <c r="CH186" i="2"/>
  <c r="CI186" i="2"/>
  <c r="CJ186" i="2"/>
  <c r="CK186" i="2"/>
  <c r="CL186" i="2"/>
  <c r="CM186" i="2"/>
  <c r="CN186" i="2"/>
  <c r="CO186" i="2"/>
  <c r="CP186" i="2"/>
  <c r="CQ186" i="2"/>
  <c r="CR186" i="2"/>
  <c r="CS186" i="2"/>
  <c r="CT186" i="2"/>
  <c r="CU186" i="2"/>
  <c r="CV186" i="2"/>
  <c r="CW186" i="2"/>
  <c r="CX186" i="2"/>
  <c r="CY186" i="2"/>
  <c r="CD187" i="2"/>
  <c r="CE187" i="2"/>
  <c r="CF187" i="2"/>
  <c r="CG187" i="2"/>
  <c r="CH187" i="2"/>
  <c r="CI187" i="2"/>
  <c r="CJ187" i="2"/>
  <c r="CK187" i="2"/>
  <c r="CL187" i="2"/>
  <c r="CM187" i="2"/>
  <c r="CN187" i="2"/>
  <c r="CO187" i="2"/>
  <c r="CP187" i="2"/>
  <c r="CQ187" i="2"/>
  <c r="CR187" i="2"/>
  <c r="CS187" i="2"/>
  <c r="CT187" i="2"/>
  <c r="CU187" i="2"/>
  <c r="CV187" i="2"/>
  <c r="CW187" i="2"/>
  <c r="CX187" i="2"/>
  <c r="CY187" i="2"/>
  <c r="CD188" i="2"/>
  <c r="CE188" i="2"/>
  <c r="CF188" i="2"/>
  <c r="CG188" i="2"/>
  <c r="CH188" i="2"/>
  <c r="CI188" i="2"/>
  <c r="CJ188" i="2"/>
  <c r="CK188" i="2"/>
  <c r="CL188" i="2"/>
  <c r="CM188" i="2"/>
  <c r="CN188" i="2"/>
  <c r="CO188" i="2"/>
  <c r="CP188" i="2"/>
  <c r="CQ188" i="2"/>
  <c r="CR188" i="2"/>
  <c r="CS188" i="2"/>
  <c r="CT188" i="2"/>
  <c r="CU188" i="2"/>
  <c r="CV188" i="2"/>
  <c r="CW188" i="2"/>
  <c r="CX188" i="2"/>
  <c r="CY188" i="2"/>
  <c r="CD189" i="2"/>
  <c r="CE189" i="2"/>
  <c r="CF189" i="2"/>
  <c r="CG189" i="2"/>
  <c r="CH189" i="2"/>
  <c r="CI189" i="2"/>
  <c r="CJ189" i="2"/>
  <c r="CK189" i="2"/>
  <c r="CL189" i="2"/>
  <c r="CM189" i="2"/>
  <c r="CN189" i="2"/>
  <c r="CO189" i="2"/>
  <c r="CP189" i="2"/>
  <c r="CQ189" i="2"/>
  <c r="CR189" i="2"/>
  <c r="CS189" i="2"/>
  <c r="CT189" i="2"/>
  <c r="CU189" i="2"/>
  <c r="CV189" i="2"/>
  <c r="CW189" i="2"/>
  <c r="CX189" i="2"/>
  <c r="CY189" i="2"/>
  <c r="CD190" i="2"/>
  <c r="CE190" i="2"/>
  <c r="CF190" i="2"/>
  <c r="CG190" i="2"/>
  <c r="CH190" i="2"/>
  <c r="CI190" i="2"/>
  <c r="CJ190" i="2"/>
  <c r="CK190" i="2"/>
  <c r="CL190" i="2"/>
  <c r="CM190" i="2"/>
  <c r="CN190" i="2"/>
  <c r="CO190" i="2"/>
  <c r="CP190" i="2"/>
  <c r="CQ190" i="2"/>
  <c r="CR190" i="2"/>
  <c r="CS190" i="2"/>
  <c r="CT190" i="2"/>
  <c r="CU190" i="2"/>
  <c r="CV190" i="2"/>
  <c r="CW190" i="2"/>
  <c r="CX190" i="2"/>
  <c r="CY190" i="2"/>
  <c r="CD191" i="2"/>
  <c r="CE191" i="2"/>
  <c r="CF191" i="2"/>
  <c r="CG191" i="2"/>
  <c r="CH191" i="2"/>
  <c r="CI191" i="2"/>
  <c r="CJ191" i="2"/>
  <c r="CK191" i="2"/>
  <c r="CL191" i="2"/>
  <c r="CM191" i="2"/>
  <c r="CN191" i="2"/>
  <c r="CO191" i="2"/>
  <c r="CP191" i="2"/>
  <c r="CQ191" i="2"/>
  <c r="CR191" i="2"/>
  <c r="CS191" i="2"/>
  <c r="CT191" i="2"/>
  <c r="CU191" i="2"/>
  <c r="CV191" i="2"/>
  <c r="CW191" i="2"/>
  <c r="CX191" i="2"/>
  <c r="CY191" i="2"/>
  <c r="CD192" i="2"/>
  <c r="CE192" i="2"/>
  <c r="CF192" i="2"/>
  <c r="CG192" i="2"/>
  <c r="CH192" i="2"/>
  <c r="CI192" i="2"/>
  <c r="CJ192" i="2"/>
  <c r="CK192" i="2"/>
  <c r="CL192" i="2"/>
  <c r="CM192" i="2"/>
  <c r="CN192" i="2"/>
  <c r="CO192" i="2"/>
  <c r="CP192" i="2"/>
  <c r="CQ192" i="2"/>
  <c r="CR192" i="2"/>
  <c r="CS192" i="2"/>
  <c r="CT192" i="2"/>
  <c r="CU192" i="2"/>
  <c r="CV192" i="2"/>
  <c r="CW192" i="2"/>
  <c r="CX192" i="2"/>
  <c r="CY192" i="2"/>
  <c r="CD193" i="2"/>
  <c r="CE193" i="2"/>
  <c r="CF193" i="2"/>
  <c r="CG193" i="2"/>
  <c r="CH193" i="2"/>
  <c r="CI193" i="2"/>
  <c r="CJ193" i="2"/>
  <c r="CK193" i="2"/>
  <c r="CL193" i="2"/>
  <c r="CM193" i="2"/>
  <c r="CN193" i="2"/>
  <c r="CO193" i="2"/>
  <c r="CP193" i="2"/>
  <c r="CQ193" i="2"/>
  <c r="CR193" i="2"/>
  <c r="CS193" i="2"/>
  <c r="CT193" i="2"/>
  <c r="CU193" i="2"/>
  <c r="CV193" i="2"/>
  <c r="CW193" i="2"/>
  <c r="CX193" i="2"/>
  <c r="CY193" i="2"/>
  <c r="CD194" i="2"/>
  <c r="CE194" i="2"/>
  <c r="CF194" i="2"/>
  <c r="CG194" i="2"/>
  <c r="CH194" i="2"/>
  <c r="CI194" i="2"/>
  <c r="CJ194" i="2"/>
  <c r="CK194" i="2"/>
  <c r="CL194" i="2"/>
  <c r="CM194" i="2"/>
  <c r="CN194" i="2"/>
  <c r="CO194" i="2"/>
  <c r="CP194" i="2"/>
  <c r="CQ194" i="2"/>
  <c r="CR194" i="2"/>
  <c r="CS194" i="2"/>
  <c r="CT194" i="2"/>
  <c r="CU194" i="2"/>
  <c r="CV194" i="2"/>
  <c r="CW194" i="2"/>
  <c r="CX194" i="2"/>
  <c r="CY194" i="2"/>
  <c r="CD195" i="2"/>
  <c r="CE195" i="2"/>
  <c r="CF195" i="2"/>
  <c r="CG195" i="2"/>
  <c r="CH195" i="2"/>
  <c r="CI195" i="2"/>
  <c r="CJ195" i="2"/>
  <c r="CK195" i="2"/>
  <c r="CL195" i="2"/>
  <c r="CM195" i="2"/>
  <c r="CN195" i="2"/>
  <c r="CO195" i="2"/>
  <c r="CP195" i="2"/>
  <c r="CQ195" i="2"/>
  <c r="CR195" i="2"/>
  <c r="CS195" i="2"/>
  <c r="CT195" i="2"/>
  <c r="CU195" i="2"/>
  <c r="CV195" i="2"/>
  <c r="CW195" i="2"/>
  <c r="CX195" i="2"/>
  <c r="CY195" i="2"/>
  <c r="CD196" i="2"/>
  <c r="CE196" i="2"/>
  <c r="CF196" i="2"/>
  <c r="CG196" i="2"/>
  <c r="CH196" i="2"/>
  <c r="CI196" i="2"/>
  <c r="CJ196" i="2"/>
  <c r="CK196" i="2"/>
  <c r="CL196" i="2"/>
  <c r="CM196" i="2"/>
  <c r="CN196" i="2"/>
  <c r="CO196" i="2"/>
  <c r="CP196" i="2"/>
  <c r="CQ196" i="2"/>
  <c r="CR196" i="2"/>
  <c r="CS196" i="2"/>
  <c r="CT196" i="2"/>
  <c r="CU196" i="2"/>
  <c r="CV196" i="2"/>
  <c r="CW196" i="2"/>
  <c r="CX196" i="2"/>
  <c r="CY196" i="2"/>
  <c r="CD197" i="2"/>
  <c r="CE197" i="2"/>
  <c r="CF197" i="2"/>
  <c r="CG197" i="2"/>
  <c r="CH197" i="2"/>
  <c r="CI197" i="2"/>
  <c r="CJ197" i="2"/>
  <c r="CK197" i="2"/>
  <c r="CL197" i="2"/>
  <c r="CM197" i="2"/>
  <c r="CN197" i="2"/>
  <c r="CO197" i="2"/>
  <c r="CP197" i="2"/>
  <c r="CQ197" i="2"/>
  <c r="CR197" i="2"/>
  <c r="CS197" i="2"/>
  <c r="CT197" i="2"/>
  <c r="CU197" i="2"/>
  <c r="CV197" i="2"/>
  <c r="CW197" i="2"/>
  <c r="CX197" i="2"/>
  <c r="CY197" i="2"/>
  <c r="CD198" i="2"/>
  <c r="CE198" i="2"/>
  <c r="CF198" i="2"/>
  <c r="CG198" i="2"/>
  <c r="CH198" i="2"/>
  <c r="CI198" i="2"/>
  <c r="CJ198" i="2"/>
  <c r="CK198" i="2"/>
  <c r="CL198" i="2"/>
  <c r="CM198" i="2"/>
  <c r="CN198" i="2"/>
  <c r="CO198" i="2"/>
  <c r="CP198" i="2"/>
  <c r="CQ198" i="2"/>
  <c r="CR198" i="2"/>
  <c r="CS198" i="2"/>
  <c r="CT198" i="2"/>
  <c r="CU198" i="2"/>
  <c r="CV198" i="2"/>
  <c r="CW198" i="2"/>
  <c r="CX198" i="2"/>
  <c r="CY198" i="2"/>
  <c r="CD199" i="2"/>
  <c r="CE199" i="2"/>
  <c r="CF199" i="2"/>
  <c r="CG199" i="2"/>
  <c r="CH199" i="2"/>
  <c r="CI199" i="2"/>
  <c r="CJ199" i="2"/>
  <c r="CK199" i="2"/>
  <c r="CL199" i="2"/>
  <c r="CM199" i="2"/>
  <c r="CN199" i="2"/>
  <c r="CO199" i="2"/>
  <c r="CP199" i="2"/>
  <c r="CQ199" i="2"/>
  <c r="CR199" i="2"/>
  <c r="CS199" i="2"/>
  <c r="CT199" i="2"/>
  <c r="CU199" i="2"/>
  <c r="CV199" i="2"/>
  <c r="CW199" i="2"/>
  <c r="CX199" i="2"/>
  <c r="CY199" i="2"/>
  <c r="CD200" i="2"/>
  <c r="CE200" i="2"/>
  <c r="CF200" i="2"/>
  <c r="CG200" i="2"/>
  <c r="CH200" i="2"/>
  <c r="CI200" i="2"/>
  <c r="CJ200" i="2"/>
  <c r="CK200" i="2"/>
  <c r="CL200" i="2"/>
  <c r="CM200" i="2"/>
  <c r="CN200" i="2"/>
  <c r="CO200" i="2"/>
  <c r="CP200" i="2"/>
  <c r="CQ200" i="2"/>
  <c r="CR200" i="2"/>
  <c r="CS200" i="2"/>
  <c r="CT200" i="2"/>
  <c r="CU200" i="2"/>
  <c r="CV200" i="2"/>
  <c r="CW200" i="2"/>
  <c r="CX200" i="2"/>
  <c r="CY200" i="2"/>
  <c r="CD201" i="2"/>
  <c r="CE201" i="2"/>
  <c r="CF201" i="2"/>
  <c r="CG201" i="2"/>
  <c r="CH201" i="2"/>
  <c r="CI201" i="2"/>
  <c r="CJ201" i="2"/>
  <c r="CK201" i="2"/>
  <c r="CL201" i="2"/>
  <c r="CM201" i="2"/>
  <c r="CN201" i="2"/>
  <c r="CO201" i="2"/>
  <c r="CP201" i="2"/>
  <c r="CQ201" i="2"/>
  <c r="CR201" i="2"/>
  <c r="CS201" i="2"/>
  <c r="CT201" i="2"/>
  <c r="CU201" i="2"/>
  <c r="CV201" i="2"/>
  <c r="CW201" i="2"/>
  <c r="CX201" i="2"/>
  <c r="CY201" i="2"/>
  <c r="CD202" i="2"/>
  <c r="CE202" i="2"/>
  <c r="CF202" i="2"/>
  <c r="CG202" i="2"/>
  <c r="CH202" i="2"/>
  <c r="CI202" i="2"/>
  <c r="CJ202" i="2"/>
  <c r="CK202" i="2"/>
  <c r="CL202" i="2"/>
  <c r="CM202" i="2"/>
  <c r="CN202" i="2"/>
  <c r="CO202" i="2"/>
  <c r="CP202" i="2"/>
  <c r="CQ202" i="2"/>
  <c r="CR202" i="2"/>
  <c r="CS202" i="2"/>
  <c r="CT202" i="2"/>
  <c r="CU202" i="2"/>
  <c r="CV202" i="2"/>
  <c r="CW202" i="2"/>
  <c r="CX202" i="2"/>
  <c r="CY202" i="2"/>
  <c r="CD203" i="2"/>
  <c r="CE203" i="2"/>
  <c r="CF203" i="2"/>
  <c r="CG203" i="2"/>
  <c r="CH203" i="2"/>
  <c r="CI203" i="2"/>
  <c r="CJ203" i="2"/>
  <c r="CK203" i="2"/>
  <c r="CL203" i="2"/>
  <c r="CM203" i="2"/>
  <c r="CN203" i="2"/>
  <c r="CO203" i="2"/>
  <c r="CP203" i="2"/>
  <c r="CQ203" i="2"/>
  <c r="CR203" i="2"/>
  <c r="CS203" i="2"/>
  <c r="CT203" i="2"/>
  <c r="CU203" i="2"/>
  <c r="CV203" i="2"/>
  <c r="CW203" i="2"/>
  <c r="CX203" i="2"/>
  <c r="CY203" i="2"/>
  <c r="CD204" i="2"/>
  <c r="CE204" i="2"/>
  <c r="CF204" i="2"/>
  <c r="CG204" i="2"/>
  <c r="CH204" i="2"/>
  <c r="CI204" i="2"/>
  <c r="CJ204" i="2"/>
  <c r="CK204" i="2"/>
  <c r="CL204" i="2"/>
  <c r="CM204" i="2"/>
  <c r="CN204" i="2"/>
  <c r="CO204" i="2"/>
  <c r="CP204" i="2"/>
  <c r="CQ204" i="2"/>
  <c r="CR204" i="2"/>
  <c r="CS204" i="2"/>
  <c r="CT204" i="2"/>
  <c r="CU204" i="2"/>
  <c r="CV204" i="2"/>
  <c r="CW204" i="2"/>
  <c r="CX204" i="2"/>
  <c r="CY204" i="2"/>
  <c r="CD205" i="2"/>
  <c r="CE205" i="2"/>
  <c r="CF205" i="2"/>
  <c r="CG205" i="2"/>
  <c r="CH205" i="2"/>
  <c r="CI205" i="2"/>
  <c r="CJ205" i="2"/>
  <c r="CK205" i="2"/>
  <c r="CL205" i="2"/>
  <c r="CM205" i="2"/>
  <c r="CN205" i="2"/>
  <c r="CO205" i="2"/>
  <c r="CP205" i="2"/>
  <c r="CQ205" i="2"/>
  <c r="CR205" i="2"/>
  <c r="CS205" i="2"/>
  <c r="CT205" i="2"/>
  <c r="CU205" i="2"/>
  <c r="CV205" i="2"/>
  <c r="CW205" i="2"/>
  <c r="CX205" i="2"/>
  <c r="CY205" i="2"/>
  <c r="CD206" i="2"/>
  <c r="CE206" i="2"/>
  <c r="CF206" i="2"/>
  <c r="CG206" i="2"/>
  <c r="CH206" i="2"/>
  <c r="CI206" i="2"/>
  <c r="CJ206" i="2"/>
  <c r="CK206" i="2"/>
  <c r="CL206" i="2"/>
  <c r="CM206" i="2"/>
  <c r="CN206" i="2"/>
  <c r="CO206" i="2"/>
  <c r="CP206" i="2"/>
  <c r="CQ206" i="2"/>
  <c r="CR206" i="2"/>
  <c r="CS206" i="2"/>
  <c r="CT206" i="2"/>
  <c r="CU206" i="2"/>
  <c r="CV206" i="2"/>
  <c r="CW206" i="2"/>
  <c r="CX206" i="2"/>
  <c r="CY206" i="2"/>
  <c r="CD207" i="2"/>
  <c r="CE207" i="2"/>
  <c r="CF207" i="2"/>
  <c r="CG207" i="2"/>
  <c r="CH207" i="2"/>
  <c r="CI207" i="2"/>
  <c r="CJ207" i="2"/>
  <c r="CK207" i="2"/>
  <c r="CL207" i="2"/>
  <c r="CM207" i="2"/>
  <c r="CN207" i="2"/>
  <c r="CO207" i="2"/>
  <c r="CP207" i="2"/>
  <c r="CQ207" i="2"/>
  <c r="CR207" i="2"/>
  <c r="CS207" i="2"/>
  <c r="CT207" i="2"/>
  <c r="CU207" i="2"/>
  <c r="CV207" i="2"/>
  <c r="CW207" i="2"/>
  <c r="CX207" i="2"/>
  <c r="CY207" i="2"/>
  <c r="CD208" i="2"/>
  <c r="CE208" i="2"/>
  <c r="CF208" i="2"/>
  <c r="CG208" i="2"/>
  <c r="CH208" i="2"/>
  <c r="CI208" i="2"/>
  <c r="CJ208" i="2"/>
  <c r="CK208" i="2"/>
  <c r="CL208" i="2"/>
  <c r="CM208" i="2"/>
  <c r="CN208" i="2"/>
  <c r="CO208" i="2"/>
  <c r="CP208" i="2"/>
  <c r="CQ208" i="2"/>
  <c r="CR208" i="2"/>
  <c r="CS208" i="2"/>
  <c r="CT208" i="2"/>
  <c r="CU208" i="2"/>
  <c r="CV208" i="2"/>
  <c r="CW208" i="2"/>
  <c r="CX208" i="2"/>
  <c r="CY208" i="2"/>
  <c r="CD209" i="2"/>
  <c r="CE209" i="2"/>
  <c r="CF209" i="2"/>
  <c r="CG209" i="2"/>
  <c r="CH209" i="2"/>
  <c r="CI209" i="2"/>
  <c r="CJ209" i="2"/>
  <c r="CK209" i="2"/>
  <c r="CL209" i="2"/>
  <c r="CM209" i="2"/>
  <c r="CN209" i="2"/>
  <c r="CO209" i="2"/>
  <c r="CP209" i="2"/>
  <c r="CQ209" i="2"/>
  <c r="CR209" i="2"/>
  <c r="CS209" i="2"/>
  <c r="CT209" i="2"/>
  <c r="CU209" i="2"/>
  <c r="CV209" i="2"/>
  <c r="CW209" i="2"/>
  <c r="CX209" i="2"/>
  <c r="CY209" i="2"/>
  <c r="CD210" i="2"/>
  <c r="CE210" i="2"/>
  <c r="CF210" i="2"/>
  <c r="CG210" i="2"/>
  <c r="CH210" i="2"/>
  <c r="CI210" i="2"/>
  <c r="CJ210" i="2"/>
  <c r="CK210" i="2"/>
  <c r="CL210" i="2"/>
  <c r="CM210" i="2"/>
  <c r="CN210" i="2"/>
  <c r="CO210" i="2"/>
  <c r="CP210" i="2"/>
  <c r="CQ210" i="2"/>
  <c r="CR210" i="2"/>
  <c r="CS210" i="2"/>
  <c r="CT210" i="2"/>
  <c r="CU210" i="2"/>
  <c r="CV210" i="2"/>
  <c r="CW210" i="2"/>
  <c r="CX210" i="2"/>
  <c r="CY210" i="2"/>
  <c r="CD211" i="2"/>
  <c r="CE211" i="2"/>
  <c r="CF211" i="2"/>
  <c r="CG211" i="2"/>
  <c r="CH211" i="2"/>
  <c r="CI211" i="2"/>
  <c r="CJ211" i="2"/>
  <c r="CK211" i="2"/>
  <c r="CL211" i="2"/>
  <c r="CM211" i="2"/>
  <c r="CN211" i="2"/>
  <c r="CO211" i="2"/>
  <c r="CP211" i="2"/>
  <c r="CQ211" i="2"/>
  <c r="CR211" i="2"/>
  <c r="CS211" i="2"/>
  <c r="CT211" i="2"/>
  <c r="CU211" i="2"/>
  <c r="CV211" i="2"/>
  <c r="CW211" i="2"/>
  <c r="CX211" i="2"/>
  <c r="CY211" i="2"/>
  <c r="CD212" i="2"/>
  <c r="CE212" i="2"/>
  <c r="CF212" i="2"/>
  <c r="CG212" i="2"/>
  <c r="CH212" i="2"/>
  <c r="CI212" i="2"/>
  <c r="CJ212" i="2"/>
  <c r="CK212" i="2"/>
  <c r="CL212" i="2"/>
  <c r="CM212" i="2"/>
  <c r="CN212" i="2"/>
  <c r="CO212" i="2"/>
  <c r="CP212" i="2"/>
  <c r="CQ212" i="2"/>
  <c r="CR212" i="2"/>
  <c r="CS212" i="2"/>
  <c r="CT212" i="2"/>
  <c r="CU212" i="2"/>
  <c r="CV212" i="2"/>
  <c r="CW212" i="2"/>
  <c r="CX212" i="2"/>
  <c r="CY212" i="2"/>
  <c r="CD213" i="2"/>
  <c r="CE213" i="2"/>
  <c r="CF213" i="2"/>
  <c r="CG213" i="2"/>
  <c r="CH213" i="2"/>
  <c r="CI213" i="2"/>
  <c r="CJ213" i="2"/>
  <c r="CK213" i="2"/>
  <c r="CL213" i="2"/>
  <c r="CM213" i="2"/>
  <c r="CN213" i="2"/>
  <c r="CO213" i="2"/>
  <c r="CP213" i="2"/>
  <c r="CQ213" i="2"/>
  <c r="CR213" i="2"/>
  <c r="CS213" i="2"/>
  <c r="CT213" i="2"/>
  <c r="CU213" i="2"/>
  <c r="CV213" i="2"/>
  <c r="CW213" i="2"/>
  <c r="CX213" i="2"/>
  <c r="CY213" i="2"/>
  <c r="CD214" i="2"/>
  <c r="CE214" i="2"/>
  <c r="CF214" i="2"/>
  <c r="CG214" i="2"/>
  <c r="CH214" i="2"/>
  <c r="CI214" i="2"/>
  <c r="CJ214" i="2"/>
  <c r="CK214" i="2"/>
  <c r="CL214" i="2"/>
  <c r="CM214" i="2"/>
  <c r="CN214" i="2"/>
  <c r="CO214" i="2"/>
  <c r="CP214" i="2"/>
  <c r="CQ214" i="2"/>
  <c r="CR214" i="2"/>
  <c r="CS214" i="2"/>
  <c r="CT214" i="2"/>
  <c r="CU214" i="2"/>
  <c r="CV214" i="2"/>
  <c r="CW214" i="2"/>
  <c r="CX214" i="2"/>
  <c r="CY214" i="2"/>
  <c r="CD215" i="2"/>
  <c r="CE215" i="2"/>
  <c r="CF215" i="2"/>
  <c r="CG215" i="2"/>
  <c r="CH215" i="2"/>
  <c r="CI215" i="2"/>
  <c r="CJ215" i="2"/>
  <c r="CK215" i="2"/>
  <c r="CL215" i="2"/>
  <c r="CM215" i="2"/>
  <c r="CN215" i="2"/>
  <c r="CO215" i="2"/>
  <c r="CP215" i="2"/>
  <c r="CQ215" i="2"/>
  <c r="CR215" i="2"/>
  <c r="CS215" i="2"/>
  <c r="CT215" i="2"/>
  <c r="CU215" i="2"/>
  <c r="CV215" i="2"/>
  <c r="CW215" i="2"/>
  <c r="CX215" i="2"/>
  <c r="CY215" i="2"/>
  <c r="CD216" i="2"/>
  <c r="CE216" i="2"/>
  <c r="CF216" i="2"/>
  <c r="CG216" i="2"/>
  <c r="CH216" i="2"/>
  <c r="CI216" i="2"/>
  <c r="CJ216" i="2"/>
  <c r="CK216" i="2"/>
  <c r="CL216" i="2"/>
  <c r="CM216" i="2"/>
  <c r="CN216" i="2"/>
  <c r="CO216" i="2"/>
  <c r="CP216" i="2"/>
  <c r="CQ216" i="2"/>
  <c r="CR216" i="2"/>
  <c r="CS216" i="2"/>
  <c r="CT216" i="2"/>
  <c r="CU216" i="2"/>
  <c r="CV216" i="2"/>
  <c r="CW216" i="2"/>
  <c r="CX216" i="2"/>
  <c r="CY216" i="2"/>
  <c r="CD217" i="2"/>
  <c r="CE217" i="2"/>
  <c r="CF217" i="2"/>
  <c r="CG217" i="2"/>
  <c r="CH217" i="2"/>
  <c r="CI217" i="2"/>
  <c r="CJ217" i="2"/>
  <c r="CK217" i="2"/>
  <c r="CL217" i="2"/>
  <c r="CM217" i="2"/>
  <c r="CN217" i="2"/>
  <c r="CO217" i="2"/>
  <c r="CP217" i="2"/>
  <c r="CQ217" i="2"/>
  <c r="CR217" i="2"/>
  <c r="CS217" i="2"/>
  <c r="CT217" i="2"/>
  <c r="CU217" i="2"/>
  <c r="CV217" i="2"/>
  <c r="CW217" i="2"/>
  <c r="CX217" i="2"/>
  <c r="CY217" i="2"/>
  <c r="CD218" i="2"/>
  <c r="CE218" i="2"/>
  <c r="CF218" i="2"/>
  <c r="CG218" i="2"/>
  <c r="CH218" i="2"/>
  <c r="CI218" i="2"/>
  <c r="CJ218" i="2"/>
  <c r="CK218" i="2"/>
  <c r="CL218" i="2"/>
  <c r="CM218" i="2"/>
  <c r="CN218" i="2"/>
  <c r="CO218" i="2"/>
  <c r="CP218" i="2"/>
  <c r="CQ218" i="2"/>
  <c r="CR218" i="2"/>
  <c r="CS218" i="2"/>
  <c r="CT218" i="2"/>
  <c r="CU218" i="2"/>
  <c r="CV218" i="2"/>
  <c r="CW218" i="2"/>
  <c r="CX218" i="2"/>
  <c r="CY218" i="2"/>
  <c r="CD219" i="2"/>
  <c r="CE219" i="2"/>
  <c r="CF219" i="2"/>
  <c r="CG219" i="2"/>
  <c r="CH219" i="2"/>
  <c r="CI219" i="2"/>
  <c r="CJ219" i="2"/>
  <c r="CK219" i="2"/>
  <c r="CL219" i="2"/>
  <c r="CM219" i="2"/>
  <c r="CN219" i="2"/>
  <c r="CO219" i="2"/>
  <c r="CP219" i="2"/>
  <c r="CQ219" i="2"/>
  <c r="CR219" i="2"/>
  <c r="CS219" i="2"/>
  <c r="CT219" i="2"/>
  <c r="CU219" i="2"/>
  <c r="CV219" i="2"/>
  <c r="CW219" i="2"/>
  <c r="CX219" i="2"/>
  <c r="CY219" i="2"/>
  <c r="CD220" i="2"/>
  <c r="CE220" i="2"/>
  <c r="CF220" i="2"/>
  <c r="CG220" i="2"/>
  <c r="CH220" i="2"/>
  <c r="CI220" i="2"/>
  <c r="CJ220" i="2"/>
  <c r="CK220" i="2"/>
  <c r="CL220" i="2"/>
  <c r="CM220" i="2"/>
  <c r="CN220" i="2"/>
  <c r="CO220" i="2"/>
  <c r="CP220" i="2"/>
  <c r="CQ220" i="2"/>
  <c r="CR220" i="2"/>
  <c r="CS220" i="2"/>
  <c r="CT220" i="2"/>
  <c r="CU220" i="2"/>
  <c r="CV220" i="2"/>
  <c r="CW220" i="2"/>
  <c r="CX220" i="2"/>
  <c r="CY220" i="2"/>
  <c r="CD221" i="2"/>
  <c r="CE221" i="2"/>
  <c r="CF221" i="2"/>
  <c r="CG221" i="2"/>
  <c r="CH221" i="2"/>
  <c r="CI221" i="2"/>
  <c r="CJ221" i="2"/>
  <c r="CK221" i="2"/>
  <c r="CL221" i="2"/>
  <c r="CM221" i="2"/>
  <c r="CN221" i="2"/>
  <c r="CO221" i="2"/>
  <c r="CP221" i="2"/>
  <c r="CQ221" i="2"/>
  <c r="CR221" i="2"/>
  <c r="CS221" i="2"/>
  <c r="CT221" i="2"/>
  <c r="CU221" i="2"/>
  <c r="CV221" i="2"/>
  <c r="CW221" i="2"/>
  <c r="CX221" i="2"/>
  <c r="CY221" i="2"/>
  <c r="CD222" i="2"/>
  <c r="CE222" i="2"/>
  <c r="CF222" i="2"/>
  <c r="CG222" i="2"/>
  <c r="CH222" i="2"/>
  <c r="CI222" i="2"/>
  <c r="CJ222" i="2"/>
  <c r="CK222" i="2"/>
  <c r="CL222" i="2"/>
  <c r="CM222" i="2"/>
  <c r="CN222" i="2"/>
  <c r="CO222" i="2"/>
  <c r="CP222" i="2"/>
  <c r="CQ222" i="2"/>
  <c r="CR222" i="2"/>
  <c r="CS222" i="2"/>
  <c r="CT222" i="2"/>
  <c r="CU222" i="2"/>
  <c r="CV222" i="2"/>
  <c r="CW222" i="2"/>
  <c r="CX222" i="2"/>
  <c r="CY222" i="2"/>
  <c r="CD223" i="2"/>
  <c r="CE223" i="2"/>
  <c r="CF223" i="2"/>
  <c r="CG223" i="2"/>
  <c r="CH223" i="2"/>
  <c r="CI223" i="2"/>
  <c r="CJ223" i="2"/>
  <c r="CK223" i="2"/>
  <c r="CL223" i="2"/>
  <c r="CM223" i="2"/>
  <c r="CN223" i="2"/>
  <c r="CO223" i="2"/>
  <c r="CP223" i="2"/>
  <c r="CQ223" i="2"/>
  <c r="CR223" i="2"/>
  <c r="CS223" i="2"/>
  <c r="CT223" i="2"/>
  <c r="CU223" i="2"/>
  <c r="CV223" i="2"/>
  <c r="CW223" i="2"/>
  <c r="CX223" i="2"/>
  <c r="CY223" i="2"/>
  <c r="CD224" i="2"/>
  <c r="CE224" i="2"/>
  <c r="CF224" i="2"/>
  <c r="CG224" i="2"/>
  <c r="CH224" i="2"/>
  <c r="CI224" i="2"/>
  <c r="CJ224" i="2"/>
  <c r="CK224" i="2"/>
  <c r="CL224" i="2"/>
  <c r="CM224" i="2"/>
  <c r="CN224" i="2"/>
  <c r="CO224" i="2"/>
  <c r="CP224" i="2"/>
  <c r="CQ224" i="2"/>
  <c r="CR224" i="2"/>
  <c r="CS224" i="2"/>
  <c r="CT224" i="2"/>
  <c r="CU224" i="2"/>
  <c r="CV224" i="2"/>
  <c r="CW224" i="2"/>
  <c r="CX224" i="2"/>
  <c r="CY224" i="2"/>
  <c r="CD225" i="2"/>
  <c r="CE225" i="2"/>
  <c r="CF225" i="2"/>
  <c r="CG225" i="2"/>
  <c r="CH225" i="2"/>
  <c r="CI225" i="2"/>
  <c r="CJ225" i="2"/>
  <c r="CK225" i="2"/>
  <c r="CL225" i="2"/>
  <c r="CM225" i="2"/>
  <c r="CN225" i="2"/>
  <c r="CO225" i="2"/>
  <c r="CP225" i="2"/>
  <c r="CQ225" i="2"/>
  <c r="CR225" i="2"/>
  <c r="CS225" i="2"/>
  <c r="CT225" i="2"/>
  <c r="CU225" i="2"/>
  <c r="CV225" i="2"/>
  <c r="CW225" i="2"/>
  <c r="CX225" i="2"/>
  <c r="CY225" i="2"/>
  <c r="CD226" i="2"/>
  <c r="CE226" i="2"/>
  <c r="CF226" i="2"/>
  <c r="CG226" i="2"/>
  <c r="CH226" i="2"/>
  <c r="CI226" i="2"/>
  <c r="CJ226" i="2"/>
  <c r="CK226" i="2"/>
  <c r="CL226" i="2"/>
  <c r="CM226" i="2"/>
  <c r="CN226" i="2"/>
  <c r="CO226" i="2"/>
  <c r="CP226" i="2"/>
  <c r="CQ226" i="2"/>
  <c r="CR226" i="2"/>
  <c r="CS226" i="2"/>
  <c r="CT226" i="2"/>
  <c r="CU226" i="2"/>
  <c r="CV226" i="2"/>
  <c r="CW226" i="2"/>
  <c r="CX226" i="2"/>
  <c r="CY226" i="2"/>
  <c r="CD227" i="2"/>
  <c r="CE227" i="2"/>
  <c r="CF227" i="2"/>
  <c r="CG227" i="2"/>
  <c r="CH227" i="2"/>
  <c r="CI227" i="2"/>
  <c r="CJ227" i="2"/>
  <c r="CK227" i="2"/>
  <c r="CL227" i="2"/>
  <c r="CM227" i="2"/>
  <c r="CN227" i="2"/>
  <c r="CO227" i="2"/>
  <c r="CP227" i="2"/>
  <c r="CQ227" i="2"/>
  <c r="CR227" i="2"/>
  <c r="CS227" i="2"/>
  <c r="CT227" i="2"/>
  <c r="CU227" i="2"/>
  <c r="CV227" i="2"/>
  <c r="CW227" i="2"/>
  <c r="CX227" i="2"/>
  <c r="CY227" i="2"/>
  <c r="CD228" i="2"/>
  <c r="CE228" i="2"/>
  <c r="CF228" i="2"/>
  <c r="CG228" i="2"/>
  <c r="CH228" i="2"/>
  <c r="CI228" i="2"/>
  <c r="CJ228" i="2"/>
  <c r="CK228" i="2"/>
  <c r="CL228" i="2"/>
  <c r="CM228" i="2"/>
  <c r="CN228" i="2"/>
  <c r="CO228" i="2"/>
  <c r="CP228" i="2"/>
  <c r="CQ228" i="2"/>
  <c r="CR228" i="2"/>
  <c r="CS228" i="2"/>
  <c r="CT228" i="2"/>
  <c r="CU228" i="2"/>
  <c r="CV228" i="2"/>
  <c r="CW228" i="2"/>
  <c r="CX228" i="2"/>
  <c r="CY228" i="2"/>
  <c r="CD229" i="2"/>
  <c r="CE229" i="2"/>
  <c r="CF229" i="2"/>
  <c r="CG229" i="2"/>
  <c r="CH229" i="2"/>
  <c r="CI229" i="2"/>
  <c r="CJ229" i="2"/>
  <c r="CK229" i="2"/>
  <c r="CL229" i="2"/>
  <c r="CM229" i="2"/>
  <c r="CN229" i="2"/>
  <c r="CO229" i="2"/>
  <c r="CP229" i="2"/>
  <c r="CQ229" i="2"/>
  <c r="CR229" i="2"/>
  <c r="CS229" i="2"/>
  <c r="CT229" i="2"/>
  <c r="CU229" i="2"/>
  <c r="CV229" i="2"/>
  <c r="CW229" i="2"/>
  <c r="CX229" i="2"/>
  <c r="CY229" i="2"/>
  <c r="CD230" i="2"/>
  <c r="CE230" i="2"/>
  <c r="CF230" i="2"/>
  <c r="CG230" i="2"/>
  <c r="CH230" i="2"/>
  <c r="CI230" i="2"/>
  <c r="CJ230" i="2"/>
  <c r="CK230" i="2"/>
  <c r="CL230" i="2"/>
  <c r="CM230" i="2"/>
  <c r="CN230" i="2"/>
  <c r="CO230" i="2"/>
  <c r="CP230" i="2"/>
  <c r="CQ230" i="2"/>
  <c r="CR230" i="2"/>
  <c r="CS230" i="2"/>
  <c r="CT230" i="2"/>
  <c r="CU230" i="2"/>
  <c r="CV230" i="2"/>
  <c r="CW230" i="2"/>
  <c r="CX230" i="2"/>
  <c r="CY230" i="2"/>
  <c r="CD231" i="2"/>
  <c r="CE231" i="2"/>
  <c r="CF231" i="2"/>
  <c r="CG231" i="2"/>
  <c r="CH231" i="2"/>
  <c r="CI231" i="2"/>
  <c r="CJ231" i="2"/>
  <c r="CK231" i="2"/>
  <c r="CL231" i="2"/>
  <c r="CM231" i="2"/>
  <c r="CN231" i="2"/>
  <c r="CO231" i="2"/>
  <c r="CP231" i="2"/>
  <c r="CQ231" i="2"/>
  <c r="CR231" i="2"/>
  <c r="CS231" i="2"/>
  <c r="CT231" i="2"/>
  <c r="CU231" i="2"/>
  <c r="CV231" i="2"/>
  <c r="CW231" i="2"/>
  <c r="CX231" i="2"/>
  <c r="CY231" i="2"/>
  <c r="CD232" i="2"/>
  <c r="CE232" i="2"/>
  <c r="CF232" i="2"/>
  <c r="CG232" i="2"/>
  <c r="CH232" i="2"/>
  <c r="CI232" i="2"/>
  <c r="CJ232" i="2"/>
  <c r="CK232" i="2"/>
  <c r="CL232" i="2"/>
  <c r="CM232" i="2"/>
  <c r="CN232" i="2"/>
  <c r="CO232" i="2"/>
  <c r="CP232" i="2"/>
  <c r="CQ232" i="2"/>
  <c r="CR232" i="2"/>
  <c r="CS232" i="2"/>
  <c r="CT232" i="2"/>
  <c r="CU232" i="2"/>
  <c r="CV232" i="2"/>
  <c r="CW232" i="2"/>
  <c r="CX232" i="2"/>
  <c r="CY232" i="2"/>
  <c r="CD233" i="2"/>
  <c r="CE233" i="2"/>
  <c r="CF233" i="2"/>
  <c r="CG233" i="2"/>
  <c r="CH233" i="2"/>
  <c r="CI233" i="2"/>
  <c r="CJ233" i="2"/>
  <c r="CK233" i="2"/>
  <c r="CL233" i="2"/>
  <c r="CM233" i="2"/>
  <c r="CN233" i="2"/>
  <c r="CO233" i="2"/>
  <c r="CP233" i="2"/>
  <c r="CQ233" i="2"/>
  <c r="CR233" i="2"/>
  <c r="CS233" i="2"/>
  <c r="CT233" i="2"/>
  <c r="CU233" i="2"/>
  <c r="CV233" i="2"/>
  <c r="CW233" i="2"/>
  <c r="CX233" i="2"/>
  <c r="CY233" i="2"/>
  <c r="CD234" i="2"/>
  <c r="CE234" i="2"/>
  <c r="CF234" i="2"/>
  <c r="CG234" i="2"/>
  <c r="CH234" i="2"/>
  <c r="CI234" i="2"/>
  <c r="CJ234" i="2"/>
  <c r="CK234" i="2"/>
  <c r="CL234" i="2"/>
  <c r="CM234" i="2"/>
  <c r="CN234" i="2"/>
  <c r="CO234" i="2"/>
  <c r="CP234" i="2"/>
  <c r="CQ234" i="2"/>
  <c r="CR234" i="2"/>
  <c r="CS234" i="2"/>
  <c r="CT234" i="2"/>
  <c r="CU234" i="2"/>
  <c r="CV234" i="2"/>
  <c r="CW234" i="2"/>
  <c r="CX234" i="2"/>
  <c r="CY234" i="2"/>
  <c r="CD235" i="2"/>
  <c r="CE235" i="2"/>
  <c r="CF235" i="2"/>
  <c r="CG235" i="2"/>
  <c r="CH235" i="2"/>
  <c r="CI235" i="2"/>
  <c r="CJ235" i="2"/>
  <c r="CK235" i="2"/>
  <c r="CL235" i="2"/>
  <c r="CM235" i="2"/>
  <c r="CN235" i="2"/>
  <c r="CO235" i="2"/>
  <c r="CP235" i="2"/>
  <c r="CQ235" i="2"/>
  <c r="CR235" i="2"/>
  <c r="CS235" i="2"/>
  <c r="CT235" i="2"/>
  <c r="CU235" i="2"/>
  <c r="CV235" i="2"/>
  <c r="CW235" i="2"/>
  <c r="CX235" i="2"/>
  <c r="CY235" i="2"/>
  <c r="CD236" i="2"/>
  <c r="CE236" i="2"/>
  <c r="CF236" i="2"/>
  <c r="CG236" i="2"/>
  <c r="CH236" i="2"/>
  <c r="CI236" i="2"/>
  <c r="CJ236" i="2"/>
  <c r="CK236" i="2"/>
  <c r="CL236" i="2"/>
  <c r="CM236" i="2"/>
  <c r="CN236" i="2"/>
  <c r="CO236" i="2"/>
  <c r="CP236" i="2"/>
  <c r="CQ236" i="2"/>
  <c r="CR236" i="2"/>
  <c r="CS236" i="2"/>
  <c r="CT236" i="2"/>
  <c r="CU236" i="2"/>
  <c r="CV236" i="2"/>
  <c r="CW236" i="2"/>
  <c r="CX236" i="2"/>
  <c r="CY236" i="2"/>
  <c r="CD237" i="2"/>
  <c r="CE237" i="2"/>
  <c r="CF237" i="2"/>
  <c r="CG237" i="2"/>
  <c r="CH237" i="2"/>
  <c r="CI237" i="2"/>
  <c r="CJ237" i="2"/>
  <c r="CK237" i="2"/>
  <c r="CL237" i="2"/>
  <c r="CM237" i="2"/>
  <c r="CN237" i="2"/>
  <c r="CO237" i="2"/>
  <c r="CP237" i="2"/>
  <c r="CQ237" i="2"/>
  <c r="CR237" i="2"/>
  <c r="CS237" i="2"/>
  <c r="CT237" i="2"/>
  <c r="CU237" i="2"/>
  <c r="CV237" i="2"/>
  <c r="CW237" i="2"/>
  <c r="CX237" i="2"/>
  <c r="CY237" i="2"/>
  <c r="CD238" i="2"/>
  <c r="CE238" i="2"/>
  <c r="CF238" i="2"/>
  <c r="CG238" i="2"/>
  <c r="CH238" i="2"/>
  <c r="CI238" i="2"/>
  <c r="CJ238" i="2"/>
  <c r="CK238" i="2"/>
  <c r="CL238" i="2"/>
  <c r="CM238" i="2"/>
  <c r="CN238" i="2"/>
  <c r="CO238" i="2"/>
  <c r="CP238" i="2"/>
  <c r="CQ238" i="2"/>
  <c r="CR238" i="2"/>
  <c r="CS238" i="2"/>
  <c r="CT238" i="2"/>
  <c r="CU238" i="2"/>
  <c r="CV238" i="2"/>
  <c r="CW238" i="2"/>
  <c r="CX238" i="2"/>
  <c r="CY238" i="2"/>
  <c r="CD239" i="2"/>
  <c r="CE239" i="2"/>
  <c r="CF239" i="2"/>
  <c r="CG239" i="2"/>
  <c r="CH239" i="2"/>
  <c r="CI239" i="2"/>
  <c r="CJ239" i="2"/>
  <c r="CK239" i="2"/>
  <c r="CL239" i="2"/>
  <c r="CM239" i="2"/>
  <c r="CN239" i="2"/>
  <c r="CO239" i="2"/>
  <c r="CP239" i="2"/>
  <c r="CQ239" i="2"/>
  <c r="CR239" i="2"/>
  <c r="CS239" i="2"/>
  <c r="CT239" i="2"/>
  <c r="CU239" i="2"/>
  <c r="CV239" i="2"/>
  <c r="CW239" i="2"/>
  <c r="CX239" i="2"/>
  <c r="CY239" i="2"/>
  <c r="CD240" i="2"/>
  <c r="CE240" i="2"/>
  <c r="CF240" i="2"/>
  <c r="CG240" i="2"/>
  <c r="CH240" i="2"/>
  <c r="CI240" i="2"/>
  <c r="CJ240" i="2"/>
  <c r="CK240" i="2"/>
  <c r="CL240" i="2"/>
  <c r="CM240" i="2"/>
  <c r="CN240" i="2"/>
  <c r="CO240" i="2"/>
  <c r="CP240" i="2"/>
  <c r="CQ240" i="2"/>
  <c r="CR240" i="2"/>
  <c r="CS240" i="2"/>
  <c r="CT240" i="2"/>
  <c r="CU240" i="2"/>
  <c r="CV240" i="2"/>
  <c r="CW240" i="2"/>
  <c r="CX240" i="2"/>
  <c r="CY240" i="2"/>
  <c r="CD241" i="2"/>
  <c r="CE241" i="2"/>
  <c r="CF241" i="2"/>
  <c r="CG241" i="2"/>
  <c r="CH241" i="2"/>
  <c r="CI241" i="2"/>
  <c r="CJ241" i="2"/>
  <c r="CK241" i="2"/>
  <c r="CL241" i="2"/>
  <c r="CM241" i="2"/>
  <c r="CN241" i="2"/>
  <c r="CO241" i="2"/>
  <c r="CP241" i="2"/>
  <c r="CQ241" i="2"/>
  <c r="CR241" i="2"/>
  <c r="CS241" i="2"/>
  <c r="CT241" i="2"/>
  <c r="CU241" i="2"/>
  <c r="CV241" i="2"/>
  <c r="CW241" i="2"/>
  <c r="CX241" i="2"/>
  <c r="CY241" i="2"/>
  <c r="CD242" i="2"/>
  <c r="CE242" i="2"/>
  <c r="CF242" i="2"/>
  <c r="CG242" i="2"/>
  <c r="CH242" i="2"/>
  <c r="CI242" i="2"/>
  <c r="CJ242" i="2"/>
  <c r="CK242" i="2"/>
  <c r="CL242" i="2"/>
  <c r="CM242" i="2"/>
  <c r="CN242" i="2"/>
  <c r="CO242" i="2"/>
  <c r="CP242" i="2"/>
  <c r="CQ242" i="2"/>
  <c r="CR242" i="2"/>
  <c r="CS242" i="2"/>
  <c r="CT242" i="2"/>
  <c r="CU242" i="2"/>
  <c r="CV242" i="2"/>
  <c r="CW242" i="2"/>
  <c r="CX242" i="2"/>
  <c r="CY242" i="2"/>
  <c r="CD243" i="2"/>
  <c r="CE243" i="2"/>
  <c r="CF243" i="2"/>
  <c r="CG243" i="2"/>
  <c r="CH243" i="2"/>
  <c r="CI243" i="2"/>
  <c r="CJ243" i="2"/>
  <c r="CK243" i="2"/>
  <c r="CL243" i="2"/>
  <c r="CM243" i="2"/>
  <c r="CN243" i="2"/>
  <c r="CO243" i="2"/>
  <c r="CP243" i="2"/>
  <c r="CQ243" i="2"/>
  <c r="CR243" i="2"/>
  <c r="CS243" i="2"/>
  <c r="CT243" i="2"/>
  <c r="CU243" i="2"/>
  <c r="CV243" i="2"/>
  <c r="CW243" i="2"/>
  <c r="CX243" i="2"/>
  <c r="CY243" i="2"/>
  <c r="CD244" i="2"/>
  <c r="CE244" i="2"/>
  <c r="CF244" i="2"/>
  <c r="CG244" i="2"/>
  <c r="CH244" i="2"/>
  <c r="CI244" i="2"/>
  <c r="CJ244" i="2"/>
  <c r="CK244" i="2"/>
  <c r="CL244" i="2"/>
  <c r="CM244" i="2"/>
  <c r="CN244" i="2"/>
  <c r="CO244" i="2"/>
  <c r="CP244" i="2"/>
  <c r="CQ244" i="2"/>
  <c r="CR244" i="2"/>
  <c r="CS244" i="2"/>
  <c r="CT244" i="2"/>
  <c r="CU244" i="2"/>
  <c r="CV244" i="2"/>
  <c r="CW244" i="2"/>
  <c r="CX244" i="2"/>
  <c r="CY244" i="2"/>
  <c r="CD245" i="2"/>
  <c r="CE245" i="2"/>
  <c r="CF245" i="2"/>
  <c r="CG245" i="2"/>
  <c r="CH245" i="2"/>
  <c r="CI245" i="2"/>
  <c r="CJ245" i="2"/>
  <c r="CK245" i="2"/>
  <c r="CL245" i="2"/>
  <c r="CM245" i="2"/>
  <c r="CN245" i="2"/>
  <c r="CO245" i="2"/>
  <c r="CP245" i="2"/>
  <c r="CQ245" i="2"/>
  <c r="CR245" i="2"/>
  <c r="CS245" i="2"/>
  <c r="CT245" i="2"/>
  <c r="CU245" i="2"/>
  <c r="CV245" i="2"/>
  <c r="CW245" i="2"/>
  <c r="CX245" i="2"/>
  <c r="CY245" i="2"/>
  <c r="CD246" i="2"/>
  <c r="CE246" i="2"/>
  <c r="CF246" i="2"/>
  <c r="CG246" i="2"/>
  <c r="CH246" i="2"/>
  <c r="CI246" i="2"/>
  <c r="CJ246" i="2"/>
  <c r="CK246" i="2"/>
  <c r="CL246" i="2"/>
  <c r="CM246" i="2"/>
  <c r="CN246" i="2"/>
  <c r="CO246" i="2"/>
  <c r="CP246" i="2"/>
  <c r="CQ246" i="2"/>
  <c r="CR246" i="2"/>
  <c r="CS246" i="2"/>
  <c r="CT246" i="2"/>
  <c r="CU246" i="2"/>
  <c r="CV246" i="2"/>
  <c r="CW246" i="2"/>
  <c r="CX246" i="2"/>
  <c r="CY246" i="2"/>
  <c r="CD247" i="2"/>
  <c r="CE247" i="2"/>
  <c r="CF247" i="2"/>
  <c r="CG247" i="2"/>
  <c r="CH247" i="2"/>
  <c r="CI247" i="2"/>
  <c r="CJ247" i="2"/>
  <c r="CK247" i="2"/>
  <c r="CL247" i="2"/>
  <c r="CM247" i="2"/>
  <c r="CN247" i="2"/>
  <c r="CO247" i="2"/>
  <c r="CP247" i="2"/>
  <c r="CQ247" i="2"/>
  <c r="CR247" i="2"/>
  <c r="CS247" i="2"/>
  <c r="CT247" i="2"/>
  <c r="CU247" i="2"/>
  <c r="CV247" i="2"/>
  <c r="CW247" i="2"/>
  <c r="CX247" i="2"/>
  <c r="CY247" i="2"/>
  <c r="CD248" i="2"/>
  <c r="CE248" i="2"/>
  <c r="CF248" i="2"/>
  <c r="CG248" i="2"/>
  <c r="CH248" i="2"/>
  <c r="CI248" i="2"/>
  <c r="CJ248" i="2"/>
  <c r="CK248" i="2"/>
  <c r="CL248" i="2"/>
  <c r="CM248" i="2"/>
  <c r="CN248" i="2"/>
  <c r="CO248" i="2"/>
  <c r="CP248" i="2"/>
  <c r="CQ248" i="2"/>
  <c r="CR248" i="2"/>
  <c r="CS248" i="2"/>
  <c r="CT248" i="2"/>
  <c r="CU248" i="2"/>
  <c r="CV248" i="2"/>
  <c r="CW248" i="2"/>
  <c r="CX248" i="2"/>
  <c r="CY248" i="2"/>
  <c r="CD249" i="2"/>
  <c r="CE249" i="2"/>
  <c r="CF249" i="2"/>
  <c r="CG249" i="2"/>
  <c r="CH249" i="2"/>
  <c r="CI249" i="2"/>
  <c r="CJ249" i="2"/>
  <c r="CK249" i="2"/>
  <c r="CL249" i="2"/>
  <c r="CM249" i="2"/>
  <c r="CN249" i="2"/>
  <c r="CO249" i="2"/>
  <c r="CP249" i="2"/>
  <c r="CQ249" i="2"/>
  <c r="CR249" i="2"/>
  <c r="CS249" i="2"/>
  <c r="CT249" i="2"/>
  <c r="CU249" i="2"/>
  <c r="CV249" i="2"/>
  <c r="CW249" i="2"/>
  <c r="CX249" i="2"/>
  <c r="CY249" i="2"/>
  <c r="CD250" i="2"/>
  <c r="CE250" i="2"/>
  <c r="CF250" i="2"/>
  <c r="CG250" i="2"/>
  <c r="CH250" i="2"/>
  <c r="CI250" i="2"/>
  <c r="CJ250" i="2"/>
  <c r="CK250" i="2"/>
  <c r="CL250" i="2"/>
  <c r="CM250" i="2"/>
  <c r="CN250" i="2"/>
  <c r="CO250" i="2"/>
  <c r="CP250" i="2"/>
  <c r="CQ250" i="2"/>
  <c r="CR250" i="2"/>
  <c r="CS250" i="2"/>
  <c r="CT250" i="2"/>
  <c r="CU250" i="2"/>
  <c r="CV250" i="2"/>
  <c r="CW250" i="2"/>
  <c r="CX250" i="2"/>
  <c r="CY250" i="2"/>
  <c r="CD251" i="2"/>
  <c r="CE251" i="2"/>
  <c r="CF251" i="2"/>
  <c r="CG251" i="2"/>
  <c r="CH251" i="2"/>
  <c r="CI251" i="2"/>
  <c r="CJ251" i="2"/>
  <c r="CK251" i="2"/>
  <c r="CL251" i="2"/>
  <c r="CM251" i="2"/>
  <c r="CN251" i="2"/>
  <c r="CO251" i="2"/>
  <c r="CP251" i="2"/>
  <c r="CQ251" i="2"/>
  <c r="CR251" i="2"/>
  <c r="CS251" i="2"/>
  <c r="CT251" i="2"/>
  <c r="CU251" i="2"/>
  <c r="CV251" i="2"/>
  <c r="CW251" i="2"/>
  <c r="CX251" i="2"/>
  <c r="CY251" i="2"/>
  <c r="CD252" i="2"/>
  <c r="CE252" i="2"/>
  <c r="CF252" i="2"/>
  <c r="CG252" i="2"/>
  <c r="CH252" i="2"/>
  <c r="CI252" i="2"/>
  <c r="CJ252" i="2"/>
  <c r="CK252" i="2"/>
  <c r="CL252" i="2"/>
  <c r="CM252" i="2"/>
  <c r="CN252" i="2"/>
  <c r="CO252" i="2"/>
  <c r="CP252" i="2"/>
  <c r="CQ252" i="2"/>
  <c r="CR252" i="2"/>
  <c r="CS252" i="2"/>
  <c r="CT252" i="2"/>
  <c r="CU252" i="2"/>
  <c r="CV252" i="2"/>
  <c r="CW252" i="2"/>
  <c r="CX252" i="2"/>
  <c r="CY252" i="2"/>
  <c r="CD253" i="2"/>
  <c r="CE253" i="2"/>
  <c r="CF253" i="2"/>
  <c r="CG253" i="2"/>
  <c r="CH253" i="2"/>
  <c r="CI253" i="2"/>
  <c r="CJ253" i="2"/>
  <c r="CK253" i="2"/>
  <c r="CL253" i="2"/>
  <c r="CM253" i="2"/>
  <c r="CN253" i="2"/>
  <c r="CO253" i="2"/>
  <c r="CP253" i="2"/>
  <c r="CQ253" i="2"/>
  <c r="CR253" i="2"/>
  <c r="CS253" i="2"/>
  <c r="CT253" i="2"/>
  <c r="CU253" i="2"/>
  <c r="CV253" i="2"/>
  <c r="CW253" i="2"/>
  <c r="CX253" i="2"/>
  <c r="CY253" i="2"/>
  <c r="CD254" i="2"/>
  <c r="CE254" i="2"/>
  <c r="CF254" i="2"/>
  <c r="CG254" i="2"/>
  <c r="CH254" i="2"/>
  <c r="CI254" i="2"/>
  <c r="CJ254" i="2"/>
  <c r="CK254" i="2"/>
  <c r="CL254" i="2"/>
  <c r="CM254" i="2"/>
  <c r="CN254" i="2"/>
  <c r="CO254" i="2"/>
  <c r="CP254" i="2"/>
  <c r="CQ254" i="2"/>
  <c r="CR254" i="2"/>
  <c r="CS254" i="2"/>
  <c r="CT254" i="2"/>
  <c r="CU254" i="2"/>
  <c r="CV254" i="2"/>
  <c r="CW254" i="2"/>
  <c r="CX254" i="2"/>
  <c r="CY254" i="2"/>
  <c r="CD255" i="2"/>
  <c r="CE255" i="2"/>
  <c r="CF255" i="2"/>
  <c r="CG255" i="2"/>
  <c r="CH255" i="2"/>
  <c r="CI255" i="2"/>
  <c r="CJ255" i="2"/>
  <c r="CK255" i="2"/>
  <c r="CL255" i="2"/>
  <c r="CM255" i="2"/>
  <c r="CN255" i="2"/>
  <c r="CO255" i="2"/>
  <c r="CP255" i="2"/>
  <c r="CQ255" i="2"/>
  <c r="CR255" i="2"/>
  <c r="CS255" i="2"/>
  <c r="CT255" i="2"/>
  <c r="CU255" i="2"/>
  <c r="CV255" i="2"/>
  <c r="CW255" i="2"/>
  <c r="CX255" i="2"/>
  <c r="CY255" i="2"/>
  <c r="CD256" i="2"/>
  <c r="CE256" i="2"/>
  <c r="CF256" i="2"/>
  <c r="CG256" i="2"/>
  <c r="CH256" i="2"/>
  <c r="CI256" i="2"/>
  <c r="CJ256" i="2"/>
  <c r="CK256" i="2"/>
  <c r="CL256" i="2"/>
  <c r="CM256" i="2"/>
  <c r="CN256" i="2"/>
  <c r="CO256" i="2"/>
  <c r="CP256" i="2"/>
  <c r="CQ256" i="2"/>
  <c r="CR256" i="2"/>
  <c r="CS256" i="2"/>
  <c r="CT256" i="2"/>
  <c r="CU256" i="2"/>
  <c r="CV256" i="2"/>
  <c r="CW256" i="2"/>
  <c r="CX256" i="2"/>
  <c r="CY256" i="2"/>
  <c r="CD257" i="2"/>
  <c r="CE257" i="2"/>
  <c r="CF257" i="2"/>
  <c r="CG257" i="2"/>
  <c r="CH257" i="2"/>
  <c r="CI257" i="2"/>
  <c r="CJ257" i="2"/>
  <c r="CK257" i="2"/>
  <c r="CL257" i="2"/>
  <c r="CM257" i="2"/>
  <c r="CN257" i="2"/>
  <c r="CO257" i="2"/>
  <c r="CP257" i="2"/>
  <c r="CQ257" i="2"/>
  <c r="CR257" i="2"/>
  <c r="CS257" i="2"/>
  <c r="CT257" i="2"/>
  <c r="CU257" i="2"/>
  <c r="CV257" i="2"/>
  <c r="CW257" i="2"/>
  <c r="CX257" i="2"/>
  <c r="CY257" i="2"/>
  <c r="CD258" i="2"/>
  <c r="CE258" i="2"/>
  <c r="CF258" i="2"/>
  <c r="CG258" i="2"/>
  <c r="CH258" i="2"/>
  <c r="CI258" i="2"/>
  <c r="CJ258" i="2"/>
  <c r="CK258" i="2"/>
  <c r="CL258" i="2"/>
  <c r="CM258" i="2"/>
  <c r="CN258" i="2"/>
  <c r="CO258" i="2"/>
  <c r="CP258" i="2"/>
  <c r="CQ258" i="2"/>
  <c r="CR258" i="2"/>
  <c r="CS258" i="2"/>
  <c r="CT258" i="2"/>
  <c r="CU258" i="2"/>
  <c r="CV258" i="2"/>
  <c r="CW258" i="2"/>
  <c r="CX258" i="2"/>
  <c r="CY258" i="2"/>
  <c r="CD259" i="2"/>
  <c r="CE259" i="2"/>
  <c r="CF259" i="2"/>
  <c r="CG259" i="2"/>
  <c r="CH259" i="2"/>
  <c r="CI259" i="2"/>
  <c r="CJ259" i="2"/>
  <c r="CK259" i="2"/>
  <c r="CL259" i="2"/>
  <c r="CM259" i="2"/>
  <c r="CN259" i="2"/>
  <c r="CO259" i="2"/>
  <c r="CP259" i="2"/>
  <c r="CQ259" i="2"/>
  <c r="CR259" i="2"/>
  <c r="CS259" i="2"/>
  <c r="CT259" i="2"/>
  <c r="CU259" i="2"/>
  <c r="CV259" i="2"/>
  <c r="CW259" i="2"/>
  <c r="CX259" i="2"/>
  <c r="CY259" i="2"/>
  <c r="CD260" i="2"/>
  <c r="CE260" i="2"/>
  <c r="CF260" i="2"/>
  <c r="CG260" i="2"/>
  <c r="CH260" i="2"/>
  <c r="CI260" i="2"/>
  <c r="CJ260" i="2"/>
  <c r="CK260" i="2"/>
  <c r="CL260" i="2"/>
  <c r="CM260" i="2"/>
  <c r="CN260" i="2"/>
  <c r="CO260" i="2"/>
  <c r="CP260" i="2"/>
  <c r="CQ260" i="2"/>
  <c r="CR260" i="2"/>
  <c r="CS260" i="2"/>
  <c r="CT260" i="2"/>
  <c r="CU260" i="2"/>
  <c r="CV260" i="2"/>
  <c r="CW260" i="2"/>
  <c r="CX260" i="2"/>
  <c r="CY260" i="2"/>
  <c r="CD261" i="2"/>
  <c r="CE261" i="2"/>
  <c r="CF261" i="2"/>
  <c r="CG261" i="2"/>
  <c r="CH261" i="2"/>
  <c r="CI261" i="2"/>
  <c r="CJ261" i="2"/>
  <c r="CK261" i="2"/>
  <c r="CL261" i="2"/>
  <c r="CM261" i="2"/>
  <c r="CN261" i="2"/>
  <c r="CO261" i="2"/>
  <c r="CP261" i="2"/>
  <c r="CQ261" i="2"/>
  <c r="CR261" i="2"/>
  <c r="CS261" i="2"/>
  <c r="CT261" i="2"/>
  <c r="CU261" i="2"/>
  <c r="CV261" i="2"/>
  <c r="CW261" i="2"/>
  <c r="CX261" i="2"/>
  <c r="CY261" i="2"/>
  <c r="CD262" i="2"/>
  <c r="CE262" i="2"/>
  <c r="CF262" i="2"/>
  <c r="CG262" i="2"/>
  <c r="CH262" i="2"/>
  <c r="CI262" i="2"/>
  <c r="CJ262" i="2"/>
  <c r="CK262" i="2"/>
  <c r="CL262" i="2"/>
  <c r="CM262" i="2"/>
  <c r="CN262" i="2"/>
  <c r="CO262" i="2"/>
  <c r="CP262" i="2"/>
  <c r="CQ262" i="2"/>
  <c r="CR262" i="2"/>
  <c r="CS262" i="2"/>
  <c r="CT262" i="2"/>
  <c r="CU262" i="2"/>
  <c r="CV262" i="2"/>
  <c r="CW262" i="2"/>
  <c r="CX262" i="2"/>
  <c r="CY262" i="2"/>
  <c r="CD263" i="2"/>
  <c r="CE263" i="2"/>
  <c r="CF263" i="2"/>
  <c r="CG263" i="2"/>
  <c r="CH263" i="2"/>
  <c r="CI263" i="2"/>
  <c r="CJ263" i="2"/>
  <c r="CK263" i="2"/>
  <c r="CL263" i="2"/>
  <c r="CM263" i="2"/>
  <c r="CN263" i="2"/>
  <c r="CO263" i="2"/>
  <c r="CP263" i="2"/>
  <c r="CQ263" i="2"/>
  <c r="CR263" i="2"/>
  <c r="CS263" i="2"/>
  <c r="CT263" i="2"/>
  <c r="CU263" i="2"/>
  <c r="CV263" i="2"/>
  <c r="CW263" i="2"/>
  <c r="CX263" i="2"/>
  <c r="CY263" i="2"/>
  <c r="CD264" i="2"/>
  <c r="CE264" i="2"/>
  <c r="CF264" i="2"/>
  <c r="CG264" i="2"/>
  <c r="CH264" i="2"/>
  <c r="CI264" i="2"/>
  <c r="CJ264" i="2"/>
  <c r="CK264" i="2"/>
  <c r="CL264" i="2"/>
  <c r="CM264" i="2"/>
  <c r="CN264" i="2"/>
  <c r="CO264" i="2"/>
  <c r="CP264" i="2"/>
  <c r="CQ264" i="2"/>
  <c r="CR264" i="2"/>
  <c r="CS264" i="2"/>
  <c r="CT264" i="2"/>
  <c r="CU264" i="2"/>
  <c r="CV264" i="2"/>
  <c r="CW264" i="2"/>
  <c r="CX264" i="2"/>
  <c r="CY264" i="2"/>
  <c r="CD265" i="2"/>
  <c r="CE265" i="2"/>
  <c r="CF265" i="2"/>
  <c r="CG265" i="2"/>
  <c r="CH265" i="2"/>
  <c r="CI265" i="2"/>
  <c r="CJ265" i="2"/>
  <c r="CK265" i="2"/>
  <c r="CL265" i="2"/>
  <c r="CM265" i="2"/>
  <c r="CN265" i="2"/>
  <c r="CO265" i="2"/>
  <c r="CP265" i="2"/>
  <c r="CQ265" i="2"/>
  <c r="CR265" i="2"/>
  <c r="CS265" i="2"/>
  <c r="CT265" i="2"/>
  <c r="CU265" i="2"/>
  <c r="CV265" i="2"/>
  <c r="CW265" i="2"/>
  <c r="CX265" i="2"/>
  <c r="CY265" i="2"/>
  <c r="CD266" i="2"/>
  <c r="CE266" i="2"/>
  <c r="CF266" i="2"/>
  <c r="CG266" i="2"/>
  <c r="CH266" i="2"/>
  <c r="CI266" i="2"/>
  <c r="CJ266" i="2"/>
  <c r="CK266" i="2"/>
  <c r="CL266" i="2"/>
  <c r="CM266" i="2"/>
  <c r="CN266" i="2"/>
  <c r="CO266" i="2"/>
  <c r="CP266" i="2"/>
  <c r="CQ266" i="2"/>
  <c r="CR266" i="2"/>
  <c r="CS266" i="2"/>
  <c r="CT266" i="2"/>
  <c r="CU266" i="2"/>
  <c r="CV266" i="2"/>
  <c r="CW266" i="2"/>
  <c r="CX266" i="2"/>
  <c r="CY266" i="2"/>
  <c r="CD267" i="2"/>
  <c r="CE267" i="2"/>
  <c r="CF267" i="2"/>
  <c r="CG267" i="2"/>
  <c r="CH267" i="2"/>
  <c r="CI267" i="2"/>
  <c r="CJ267" i="2"/>
  <c r="CK267" i="2"/>
  <c r="CL267" i="2"/>
  <c r="CM267" i="2"/>
  <c r="CN267" i="2"/>
  <c r="CO267" i="2"/>
  <c r="CP267" i="2"/>
  <c r="CQ267" i="2"/>
  <c r="CR267" i="2"/>
  <c r="CS267" i="2"/>
  <c r="CT267" i="2"/>
  <c r="CU267" i="2"/>
  <c r="CV267" i="2"/>
  <c r="CW267" i="2"/>
  <c r="CX267" i="2"/>
  <c r="CY267" i="2"/>
  <c r="CD268" i="2"/>
  <c r="CE268" i="2"/>
  <c r="CF268" i="2"/>
  <c r="CG268" i="2"/>
  <c r="CH268" i="2"/>
  <c r="CI268" i="2"/>
  <c r="CJ268" i="2"/>
  <c r="CK268" i="2"/>
  <c r="CL268" i="2"/>
  <c r="CM268" i="2"/>
  <c r="CN268" i="2"/>
  <c r="CO268" i="2"/>
  <c r="CP268" i="2"/>
  <c r="CQ268" i="2"/>
  <c r="CR268" i="2"/>
  <c r="CS268" i="2"/>
  <c r="CT268" i="2"/>
  <c r="CU268" i="2"/>
  <c r="CV268" i="2"/>
  <c r="CW268" i="2"/>
  <c r="CX268" i="2"/>
  <c r="CY268" i="2"/>
  <c r="CD269" i="2"/>
  <c r="CE269" i="2"/>
  <c r="CF269" i="2"/>
  <c r="CG269" i="2"/>
  <c r="CH269" i="2"/>
  <c r="CI269" i="2"/>
  <c r="CJ269" i="2"/>
  <c r="CK269" i="2"/>
  <c r="CL269" i="2"/>
  <c r="CM269" i="2"/>
  <c r="CN269" i="2"/>
  <c r="CO269" i="2"/>
  <c r="CP269" i="2"/>
  <c r="CQ269" i="2"/>
  <c r="CR269" i="2"/>
  <c r="CS269" i="2"/>
  <c r="CT269" i="2"/>
  <c r="CU269" i="2"/>
  <c r="CV269" i="2"/>
  <c r="CW269" i="2"/>
  <c r="CX269" i="2"/>
  <c r="CY269" i="2"/>
  <c r="CD270" i="2"/>
  <c r="CE270" i="2"/>
  <c r="CF270" i="2"/>
  <c r="CG270" i="2"/>
  <c r="CH270" i="2"/>
  <c r="CI270" i="2"/>
  <c r="CJ270" i="2"/>
  <c r="CK270" i="2"/>
  <c r="CL270" i="2"/>
  <c r="CM270" i="2"/>
  <c r="CN270" i="2"/>
  <c r="CO270" i="2"/>
  <c r="CP270" i="2"/>
  <c r="CQ270" i="2"/>
  <c r="CR270" i="2"/>
  <c r="CS270" i="2"/>
  <c r="CT270" i="2"/>
  <c r="CU270" i="2"/>
  <c r="CV270" i="2"/>
  <c r="CW270" i="2"/>
  <c r="CX270" i="2"/>
  <c r="CY270" i="2"/>
  <c r="CD271" i="2"/>
  <c r="CE271" i="2"/>
  <c r="CF271" i="2"/>
  <c r="CG271" i="2"/>
  <c r="CH271" i="2"/>
  <c r="CI271" i="2"/>
  <c r="CJ271" i="2"/>
  <c r="CK271" i="2"/>
  <c r="CL271" i="2"/>
  <c r="CM271" i="2"/>
  <c r="CN271" i="2"/>
  <c r="CO271" i="2"/>
  <c r="CP271" i="2"/>
  <c r="CQ271" i="2"/>
  <c r="CR271" i="2"/>
  <c r="CS271" i="2"/>
  <c r="CT271" i="2"/>
  <c r="CU271" i="2"/>
  <c r="CV271" i="2"/>
  <c r="CW271" i="2"/>
  <c r="CX271" i="2"/>
  <c r="CY271" i="2"/>
  <c r="CD272" i="2"/>
  <c r="CE272" i="2"/>
  <c r="CF272" i="2"/>
  <c r="CG272" i="2"/>
  <c r="CH272" i="2"/>
  <c r="CI272" i="2"/>
  <c r="CJ272" i="2"/>
  <c r="CK272" i="2"/>
  <c r="CL272" i="2"/>
  <c r="CM272" i="2"/>
  <c r="CN272" i="2"/>
  <c r="CO272" i="2"/>
  <c r="CP272" i="2"/>
  <c r="CQ272" i="2"/>
  <c r="CR272" i="2"/>
  <c r="CS272" i="2"/>
  <c r="CT272" i="2"/>
  <c r="CU272" i="2"/>
  <c r="CV272" i="2"/>
  <c r="CW272" i="2"/>
  <c r="CX272" i="2"/>
  <c r="CY272" i="2"/>
  <c r="CD273" i="2"/>
  <c r="CE273" i="2"/>
  <c r="CF273" i="2"/>
  <c r="CG273" i="2"/>
  <c r="CH273" i="2"/>
  <c r="CI273" i="2"/>
  <c r="CJ273" i="2"/>
  <c r="CK273" i="2"/>
  <c r="CL273" i="2"/>
  <c r="CM273" i="2"/>
  <c r="CN273" i="2"/>
  <c r="CO273" i="2"/>
  <c r="CP273" i="2"/>
  <c r="CQ273" i="2"/>
  <c r="CR273" i="2"/>
  <c r="CS273" i="2"/>
  <c r="CT273" i="2"/>
  <c r="CU273" i="2"/>
  <c r="CV273" i="2"/>
  <c r="CW273" i="2"/>
  <c r="CX273" i="2"/>
  <c r="CY273" i="2"/>
  <c r="CD274" i="2"/>
  <c r="CE274" i="2"/>
  <c r="CF274" i="2"/>
  <c r="CG274" i="2"/>
  <c r="CH274" i="2"/>
  <c r="CI274" i="2"/>
  <c r="CJ274" i="2"/>
  <c r="CK274" i="2"/>
  <c r="CL274" i="2"/>
  <c r="CM274" i="2"/>
  <c r="CN274" i="2"/>
  <c r="CO274" i="2"/>
  <c r="CP274" i="2"/>
  <c r="CQ274" i="2"/>
  <c r="CR274" i="2"/>
  <c r="CS274" i="2"/>
  <c r="CT274" i="2"/>
  <c r="CU274" i="2"/>
  <c r="CV274" i="2"/>
  <c r="CW274" i="2"/>
  <c r="CX274" i="2"/>
  <c r="CY274" i="2"/>
  <c r="CD275" i="2"/>
  <c r="CE275" i="2"/>
  <c r="CF275" i="2"/>
  <c r="CG275" i="2"/>
  <c r="CH275" i="2"/>
  <c r="CI275" i="2"/>
  <c r="CJ275" i="2"/>
  <c r="CK275" i="2"/>
  <c r="CL275" i="2"/>
  <c r="CM275" i="2"/>
  <c r="CN275" i="2"/>
  <c r="CO275" i="2"/>
  <c r="CP275" i="2"/>
  <c r="CQ275" i="2"/>
  <c r="CR275" i="2"/>
  <c r="CS275" i="2"/>
  <c r="CT275" i="2"/>
  <c r="CU275" i="2"/>
  <c r="CV275" i="2"/>
  <c r="CW275" i="2"/>
  <c r="CX275" i="2"/>
  <c r="CY275" i="2"/>
  <c r="CD276" i="2"/>
  <c r="CE276" i="2"/>
  <c r="CF276" i="2"/>
  <c r="CG276" i="2"/>
  <c r="CH276" i="2"/>
  <c r="CI276" i="2"/>
  <c r="CJ276" i="2"/>
  <c r="CK276" i="2"/>
  <c r="CL276" i="2"/>
  <c r="CM276" i="2"/>
  <c r="CN276" i="2"/>
  <c r="CO276" i="2"/>
  <c r="CP276" i="2"/>
  <c r="CQ276" i="2"/>
  <c r="CR276" i="2"/>
  <c r="CS276" i="2"/>
  <c r="CT276" i="2"/>
  <c r="CU276" i="2"/>
  <c r="CV276" i="2"/>
  <c r="CW276" i="2"/>
  <c r="CX276" i="2"/>
  <c r="CY276" i="2"/>
  <c r="CD277" i="2"/>
  <c r="CE277" i="2"/>
  <c r="CF277" i="2"/>
  <c r="CG277" i="2"/>
  <c r="CH277" i="2"/>
  <c r="CI277" i="2"/>
  <c r="CJ277" i="2"/>
  <c r="CK277" i="2"/>
  <c r="CL277" i="2"/>
  <c r="CM277" i="2"/>
  <c r="CN277" i="2"/>
  <c r="CO277" i="2"/>
  <c r="CP277" i="2"/>
  <c r="CQ277" i="2"/>
  <c r="CR277" i="2"/>
  <c r="CS277" i="2"/>
  <c r="CT277" i="2"/>
  <c r="CU277" i="2"/>
  <c r="CV277" i="2"/>
  <c r="CW277" i="2"/>
  <c r="CX277" i="2"/>
  <c r="CY277" i="2"/>
  <c r="CD278" i="2"/>
  <c r="CE278" i="2"/>
  <c r="CF278" i="2"/>
  <c r="CG278" i="2"/>
  <c r="CH278" i="2"/>
  <c r="CI278" i="2"/>
  <c r="CJ278" i="2"/>
  <c r="CK278" i="2"/>
  <c r="CL278" i="2"/>
  <c r="CM278" i="2"/>
  <c r="CN278" i="2"/>
  <c r="CO278" i="2"/>
  <c r="CP278" i="2"/>
  <c r="CQ278" i="2"/>
  <c r="CR278" i="2"/>
  <c r="CS278" i="2"/>
  <c r="CT278" i="2"/>
  <c r="CU278" i="2"/>
  <c r="CV278" i="2"/>
  <c r="CW278" i="2"/>
  <c r="CX278" i="2"/>
  <c r="CY278" i="2"/>
  <c r="CD279" i="2"/>
  <c r="CE279" i="2"/>
  <c r="CF279" i="2"/>
  <c r="CG279" i="2"/>
  <c r="BU14" i="5" s="1" a="1"/>
  <c r="BU14" i="5" s="1"/>
  <c r="CH279" i="2"/>
  <c r="CI279" i="2"/>
  <c r="CJ279" i="2"/>
  <c r="CK279" i="2"/>
  <c r="CL279" i="2"/>
  <c r="CM279" i="2"/>
  <c r="CN279" i="2"/>
  <c r="CO279" i="2"/>
  <c r="CP279" i="2"/>
  <c r="CQ279" i="2"/>
  <c r="CR279" i="2"/>
  <c r="CS279" i="2"/>
  <c r="CT279" i="2"/>
  <c r="CH14" i="5" s="1" a="1"/>
  <c r="CH14" i="5" s="1"/>
  <c r="CU279" i="2"/>
  <c r="CV279" i="2"/>
  <c r="CW279" i="2"/>
  <c r="CX279" i="2"/>
  <c r="CY279" i="2"/>
  <c r="CD280" i="2"/>
  <c r="CE280" i="2"/>
  <c r="CF280" i="2"/>
  <c r="CG280" i="2"/>
  <c r="CH280" i="2"/>
  <c r="CI280" i="2"/>
  <c r="CJ280" i="2"/>
  <c r="CK280" i="2"/>
  <c r="CL280" i="2"/>
  <c r="CM280" i="2"/>
  <c r="CN280" i="2"/>
  <c r="CO280" i="2"/>
  <c r="CP280" i="2"/>
  <c r="CQ280" i="2"/>
  <c r="CR280" i="2"/>
  <c r="CS280" i="2"/>
  <c r="CT280" i="2"/>
  <c r="CU280" i="2"/>
  <c r="CV280" i="2"/>
  <c r="CW280" i="2"/>
  <c r="CX280" i="2"/>
  <c r="CY280" i="2"/>
  <c r="CD281" i="2"/>
  <c r="CE281" i="2"/>
  <c r="CF281" i="2"/>
  <c r="CG281" i="2"/>
  <c r="CH281" i="2"/>
  <c r="CI281" i="2"/>
  <c r="CJ281" i="2"/>
  <c r="CK281" i="2"/>
  <c r="CL281" i="2"/>
  <c r="CM281" i="2"/>
  <c r="CN281" i="2"/>
  <c r="CO281" i="2"/>
  <c r="CP281" i="2"/>
  <c r="CQ281" i="2"/>
  <c r="CR281" i="2"/>
  <c r="CS281" i="2"/>
  <c r="CT281" i="2"/>
  <c r="CU281" i="2"/>
  <c r="CV281" i="2"/>
  <c r="CW281" i="2"/>
  <c r="CX281" i="2"/>
  <c r="CY281" i="2"/>
  <c r="CD282" i="2"/>
  <c r="CE282" i="2"/>
  <c r="CF282" i="2"/>
  <c r="CG282" i="2"/>
  <c r="CH282" i="2"/>
  <c r="CI282" i="2"/>
  <c r="CJ282" i="2"/>
  <c r="CK282" i="2"/>
  <c r="CL282" i="2"/>
  <c r="CM282" i="2"/>
  <c r="CN282" i="2"/>
  <c r="CO282" i="2"/>
  <c r="CP282" i="2"/>
  <c r="CQ282" i="2"/>
  <c r="CR282" i="2"/>
  <c r="CS282" i="2"/>
  <c r="CT282" i="2"/>
  <c r="CU282" i="2"/>
  <c r="CV282" i="2"/>
  <c r="CW282" i="2"/>
  <c r="CX282" i="2"/>
  <c r="CY282" i="2"/>
  <c r="CD283" i="2"/>
  <c r="CE283" i="2"/>
  <c r="CF283" i="2"/>
  <c r="CG283" i="2"/>
  <c r="CH283" i="2"/>
  <c r="CI283" i="2"/>
  <c r="CJ283" i="2"/>
  <c r="CK283" i="2"/>
  <c r="CL283" i="2"/>
  <c r="CM283" i="2"/>
  <c r="CN283" i="2"/>
  <c r="CO283" i="2"/>
  <c r="CP283" i="2"/>
  <c r="CQ283" i="2"/>
  <c r="CR283" i="2"/>
  <c r="CS283" i="2"/>
  <c r="CT283" i="2"/>
  <c r="CU283" i="2"/>
  <c r="CV283" i="2"/>
  <c r="CW283" i="2"/>
  <c r="CX283" i="2"/>
  <c r="CY283" i="2"/>
  <c r="CD284" i="2"/>
  <c r="CE284" i="2"/>
  <c r="CF284" i="2"/>
  <c r="CG284" i="2"/>
  <c r="CH284" i="2"/>
  <c r="CI284" i="2"/>
  <c r="CJ284" i="2"/>
  <c r="CK284" i="2"/>
  <c r="CL284" i="2"/>
  <c r="CM284" i="2"/>
  <c r="CN284" i="2"/>
  <c r="CO284" i="2"/>
  <c r="CP284" i="2"/>
  <c r="CQ284" i="2"/>
  <c r="CR284" i="2"/>
  <c r="CS284" i="2"/>
  <c r="CT284" i="2"/>
  <c r="CU284" i="2"/>
  <c r="CV284" i="2"/>
  <c r="CW284" i="2"/>
  <c r="CX284" i="2"/>
  <c r="CY284" i="2"/>
  <c r="CD285" i="2"/>
  <c r="CE285" i="2"/>
  <c r="CF285" i="2"/>
  <c r="CG285" i="2"/>
  <c r="CH285" i="2"/>
  <c r="CI285" i="2"/>
  <c r="CJ285" i="2"/>
  <c r="CK285" i="2"/>
  <c r="CL285" i="2"/>
  <c r="CM285" i="2"/>
  <c r="CN285" i="2"/>
  <c r="CO285" i="2"/>
  <c r="CP285" i="2"/>
  <c r="CQ285" i="2"/>
  <c r="CR285" i="2"/>
  <c r="CS285" i="2"/>
  <c r="CT285" i="2"/>
  <c r="CU285" i="2"/>
  <c r="CV285" i="2"/>
  <c r="CW285" i="2"/>
  <c r="CX285" i="2"/>
  <c r="CY285" i="2"/>
  <c r="CD286" i="2"/>
  <c r="CE286" i="2"/>
  <c r="CF286" i="2"/>
  <c r="CG286" i="2"/>
  <c r="CH286" i="2"/>
  <c r="CI286" i="2"/>
  <c r="CJ286" i="2"/>
  <c r="CK286" i="2"/>
  <c r="CL286" i="2"/>
  <c r="CM286" i="2"/>
  <c r="CN286" i="2"/>
  <c r="CO286" i="2"/>
  <c r="CP286" i="2"/>
  <c r="CQ286" i="2"/>
  <c r="CR286" i="2"/>
  <c r="CS286" i="2"/>
  <c r="CT286" i="2"/>
  <c r="CU286" i="2"/>
  <c r="CV286" i="2"/>
  <c r="CW286" i="2"/>
  <c r="CX286" i="2"/>
  <c r="CY286" i="2"/>
  <c r="CD287" i="2"/>
  <c r="CE287" i="2"/>
  <c r="CF287" i="2"/>
  <c r="CG287" i="2"/>
  <c r="CH287" i="2"/>
  <c r="CI287" i="2"/>
  <c r="CJ287" i="2"/>
  <c r="CK287" i="2"/>
  <c r="CL287" i="2"/>
  <c r="CM287" i="2"/>
  <c r="CN287" i="2"/>
  <c r="CO287" i="2"/>
  <c r="CP287" i="2"/>
  <c r="CQ287" i="2"/>
  <c r="CR287" i="2"/>
  <c r="CS287" i="2"/>
  <c r="CT287" i="2"/>
  <c r="CU287" i="2"/>
  <c r="CV287" i="2"/>
  <c r="CW287" i="2"/>
  <c r="CX287" i="2"/>
  <c r="CY287" i="2"/>
  <c r="CD288" i="2"/>
  <c r="CE288" i="2"/>
  <c r="CF288" i="2"/>
  <c r="CG288" i="2"/>
  <c r="CH288" i="2"/>
  <c r="CI288" i="2"/>
  <c r="CJ288" i="2"/>
  <c r="CK288" i="2"/>
  <c r="CL288" i="2"/>
  <c r="CM288" i="2"/>
  <c r="CN288" i="2"/>
  <c r="CO288" i="2"/>
  <c r="CP288" i="2"/>
  <c r="CQ288" i="2"/>
  <c r="CR288" i="2"/>
  <c r="CS288" i="2"/>
  <c r="CT288" i="2"/>
  <c r="CU288" i="2"/>
  <c r="CV288" i="2"/>
  <c r="CW288" i="2"/>
  <c r="CX288" i="2"/>
  <c r="CY288" i="2"/>
  <c r="CD289" i="2"/>
  <c r="CE289" i="2"/>
  <c r="CF289" i="2"/>
  <c r="CG289" i="2"/>
  <c r="CH289" i="2"/>
  <c r="CI289" i="2"/>
  <c r="CJ289" i="2"/>
  <c r="CK289" i="2"/>
  <c r="CL289" i="2"/>
  <c r="CM289" i="2"/>
  <c r="CN289" i="2"/>
  <c r="CO289" i="2"/>
  <c r="CP289" i="2"/>
  <c r="CQ289" i="2"/>
  <c r="CR289" i="2"/>
  <c r="CS289" i="2"/>
  <c r="CT289" i="2"/>
  <c r="CU289" i="2"/>
  <c r="CV289" i="2"/>
  <c r="CW289" i="2"/>
  <c r="CX289" i="2"/>
  <c r="CY289" i="2"/>
  <c r="CD290" i="2"/>
  <c r="CE290" i="2"/>
  <c r="CF290" i="2"/>
  <c r="CG290" i="2"/>
  <c r="CH290" i="2"/>
  <c r="CI290" i="2"/>
  <c r="CJ290" i="2"/>
  <c r="CK290" i="2"/>
  <c r="CL290" i="2"/>
  <c r="CM290" i="2"/>
  <c r="CN290" i="2"/>
  <c r="CO290" i="2"/>
  <c r="CP290" i="2"/>
  <c r="CQ290" i="2"/>
  <c r="CR290" i="2"/>
  <c r="CS290" i="2"/>
  <c r="CT290" i="2"/>
  <c r="CU290" i="2"/>
  <c r="CV290" i="2"/>
  <c r="CW290" i="2"/>
  <c r="CX290" i="2"/>
  <c r="CY290" i="2"/>
  <c r="CD291" i="2"/>
  <c r="CE291" i="2"/>
  <c r="CF291" i="2"/>
  <c r="CG291" i="2"/>
  <c r="CH291" i="2"/>
  <c r="CI291" i="2"/>
  <c r="CJ291" i="2"/>
  <c r="CK291" i="2"/>
  <c r="CL291" i="2"/>
  <c r="CM291" i="2"/>
  <c r="CN291" i="2"/>
  <c r="CO291" i="2"/>
  <c r="CP291" i="2"/>
  <c r="CQ291" i="2"/>
  <c r="CR291" i="2"/>
  <c r="CS291" i="2"/>
  <c r="CT291" i="2"/>
  <c r="CU291" i="2"/>
  <c r="CV291" i="2"/>
  <c r="CW291" i="2"/>
  <c r="CX291" i="2"/>
  <c r="CY291" i="2"/>
  <c r="CD292" i="2"/>
  <c r="CE292" i="2"/>
  <c r="CF292" i="2"/>
  <c r="CG292" i="2"/>
  <c r="CH292" i="2"/>
  <c r="CI292" i="2"/>
  <c r="CJ292" i="2"/>
  <c r="CK292" i="2"/>
  <c r="CL292" i="2"/>
  <c r="CM292" i="2"/>
  <c r="CN292" i="2"/>
  <c r="CO292" i="2"/>
  <c r="CP292" i="2"/>
  <c r="CQ292" i="2"/>
  <c r="CR292" i="2"/>
  <c r="CS292" i="2"/>
  <c r="CT292" i="2"/>
  <c r="CU292" i="2"/>
  <c r="CV292" i="2"/>
  <c r="CW292" i="2"/>
  <c r="CX292" i="2"/>
  <c r="CY292" i="2"/>
  <c r="CD293" i="2"/>
  <c r="CE293" i="2"/>
  <c r="CF293" i="2"/>
  <c r="CG293" i="2"/>
  <c r="CH293" i="2"/>
  <c r="CI293" i="2"/>
  <c r="CJ293" i="2"/>
  <c r="CK293" i="2"/>
  <c r="CL293" i="2"/>
  <c r="CM293" i="2"/>
  <c r="CN293" i="2"/>
  <c r="CO293" i="2"/>
  <c r="CP293" i="2"/>
  <c r="CQ293" i="2"/>
  <c r="CR293" i="2"/>
  <c r="CS293" i="2"/>
  <c r="CT293" i="2"/>
  <c r="CU293" i="2"/>
  <c r="CV293" i="2"/>
  <c r="CW293" i="2"/>
  <c r="CX293" i="2"/>
  <c r="CY293" i="2"/>
  <c r="CD294" i="2"/>
  <c r="CE294" i="2"/>
  <c r="CF294" i="2"/>
  <c r="CG294" i="2"/>
  <c r="CH294" i="2"/>
  <c r="CI294" i="2"/>
  <c r="CJ294" i="2"/>
  <c r="CK294" i="2"/>
  <c r="CL294" i="2"/>
  <c r="CM294" i="2"/>
  <c r="CN294" i="2"/>
  <c r="CO294" i="2"/>
  <c r="CP294" i="2"/>
  <c r="CQ294" i="2"/>
  <c r="CR294" i="2"/>
  <c r="CS294" i="2"/>
  <c r="CT294" i="2"/>
  <c r="CU294" i="2"/>
  <c r="CV294" i="2"/>
  <c r="CW294" i="2"/>
  <c r="CX294" i="2"/>
  <c r="CY294" i="2"/>
  <c r="CD295" i="2"/>
  <c r="CE295" i="2"/>
  <c r="CF295" i="2"/>
  <c r="CG295" i="2"/>
  <c r="CH295" i="2"/>
  <c r="CI295" i="2"/>
  <c r="CJ295" i="2"/>
  <c r="CK295" i="2"/>
  <c r="CL295" i="2"/>
  <c r="CM295" i="2"/>
  <c r="CN295" i="2"/>
  <c r="CO295" i="2"/>
  <c r="CP295" i="2"/>
  <c r="CQ295" i="2"/>
  <c r="CR295" i="2"/>
  <c r="CS295" i="2"/>
  <c r="CT295" i="2"/>
  <c r="CU295" i="2"/>
  <c r="CV295" i="2"/>
  <c r="CW295" i="2"/>
  <c r="CX295" i="2"/>
  <c r="CY295" i="2"/>
  <c r="CD296" i="2"/>
  <c r="CE296" i="2"/>
  <c r="CF296" i="2"/>
  <c r="CG296" i="2"/>
  <c r="CH296" i="2"/>
  <c r="CI296" i="2"/>
  <c r="CJ296" i="2"/>
  <c r="CK296" i="2"/>
  <c r="CL296" i="2"/>
  <c r="CM296" i="2"/>
  <c r="CN296" i="2"/>
  <c r="CO296" i="2"/>
  <c r="CP296" i="2"/>
  <c r="CQ296" i="2"/>
  <c r="CR296" i="2"/>
  <c r="CS296" i="2"/>
  <c r="CT296" i="2"/>
  <c r="CU296" i="2"/>
  <c r="CV296" i="2"/>
  <c r="CW296" i="2"/>
  <c r="CX296" i="2"/>
  <c r="CY296" i="2"/>
  <c r="CD297" i="2"/>
  <c r="CE297" i="2"/>
  <c r="CF297" i="2"/>
  <c r="CG297" i="2"/>
  <c r="CH297" i="2"/>
  <c r="CI297" i="2"/>
  <c r="CJ297" i="2"/>
  <c r="CK297" i="2"/>
  <c r="CL297" i="2"/>
  <c r="CM297" i="2"/>
  <c r="CN297" i="2"/>
  <c r="CO297" i="2"/>
  <c r="CP297" i="2"/>
  <c r="CQ297" i="2"/>
  <c r="CR297" i="2"/>
  <c r="CS297" i="2"/>
  <c r="CT297" i="2"/>
  <c r="CU297" i="2"/>
  <c r="CV297" i="2"/>
  <c r="CW297" i="2"/>
  <c r="CX297" i="2"/>
  <c r="CY297" i="2"/>
  <c r="CD298" i="2"/>
  <c r="CE298" i="2"/>
  <c r="CF298" i="2"/>
  <c r="CG298" i="2"/>
  <c r="CH298" i="2"/>
  <c r="CI298" i="2"/>
  <c r="CJ298" i="2"/>
  <c r="CK298" i="2"/>
  <c r="CL298" i="2"/>
  <c r="CM298" i="2"/>
  <c r="CN298" i="2"/>
  <c r="CO298" i="2"/>
  <c r="CP298" i="2"/>
  <c r="CQ298" i="2"/>
  <c r="CR298" i="2"/>
  <c r="CS298" i="2"/>
  <c r="CT298" i="2"/>
  <c r="CU298" i="2"/>
  <c r="CV298" i="2"/>
  <c r="CW298" i="2"/>
  <c r="CX298" i="2"/>
  <c r="CY298" i="2"/>
  <c r="CD299" i="2"/>
  <c r="CE299" i="2"/>
  <c r="CF299" i="2"/>
  <c r="CG299" i="2"/>
  <c r="CH299" i="2"/>
  <c r="CI299" i="2"/>
  <c r="CJ299" i="2"/>
  <c r="CK299" i="2"/>
  <c r="CL299" i="2"/>
  <c r="CM299" i="2"/>
  <c r="CN299" i="2"/>
  <c r="CO299" i="2"/>
  <c r="CP299" i="2"/>
  <c r="CQ299" i="2"/>
  <c r="CR299" i="2"/>
  <c r="CS299" i="2"/>
  <c r="CT299" i="2"/>
  <c r="CU299" i="2"/>
  <c r="CV299" i="2"/>
  <c r="CW299" i="2"/>
  <c r="CX299" i="2"/>
  <c r="CY299" i="2"/>
  <c r="CD300" i="2"/>
  <c r="CE300" i="2"/>
  <c r="CF300" i="2"/>
  <c r="CG300" i="2"/>
  <c r="CH300" i="2"/>
  <c r="CI300" i="2"/>
  <c r="CJ300" i="2"/>
  <c r="CK300" i="2"/>
  <c r="CL300" i="2"/>
  <c r="CM300" i="2"/>
  <c r="CN300" i="2"/>
  <c r="CO300" i="2"/>
  <c r="CP300" i="2"/>
  <c r="CQ300" i="2"/>
  <c r="CR300" i="2"/>
  <c r="CS300" i="2"/>
  <c r="CT300" i="2"/>
  <c r="CU300" i="2"/>
  <c r="CV300" i="2"/>
  <c r="CW300" i="2"/>
  <c r="CX300" i="2"/>
  <c r="CY300" i="2"/>
  <c r="CD301" i="2"/>
  <c r="CE301" i="2"/>
  <c r="CF301" i="2"/>
  <c r="CG301" i="2"/>
  <c r="CH301" i="2"/>
  <c r="CI301" i="2"/>
  <c r="CJ301" i="2"/>
  <c r="CK301" i="2"/>
  <c r="CL301" i="2"/>
  <c r="CM301" i="2"/>
  <c r="CN301" i="2"/>
  <c r="CO301" i="2"/>
  <c r="CP301" i="2"/>
  <c r="CQ301" i="2"/>
  <c r="CR301" i="2"/>
  <c r="CS301" i="2"/>
  <c r="CT301" i="2"/>
  <c r="CU301" i="2"/>
  <c r="CV301" i="2"/>
  <c r="CW301" i="2"/>
  <c r="CX301" i="2"/>
  <c r="CY301" i="2"/>
  <c r="CD302" i="2"/>
  <c r="CE302" i="2"/>
  <c r="CF302" i="2"/>
  <c r="CG302" i="2"/>
  <c r="CH302" i="2"/>
  <c r="CI302" i="2"/>
  <c r="CJ302" i="2"/>
  <c r="CK302" i="2"/>
  <c r="CL302" i="2"/>
  <c r="CM302" i="2"/>
  <c r="CN302" i="2"/>
  <c r="CO302" i="2"/>
  <c r="CP302" i="2"/>
  <c r="CQ302" i="2"/>
  <c r="CR302" i="2"/>
  <c r="CS302" i="2"/>
  <c r="CT302" i="2"/>
  <c r="CU302" i="2"/>
  <c r="CV302" i="2"/>
  <c r="CW302" i="2"/>
  <c r="CX302" i="2"/>
  <c r="CY302" i="2"/>
  <c r="CD303" i="2"/>
  <c r="CE303" i="2"/>
  <c r="CF303" i="2"/>
  <c r="CG303" i="2"/>
  <c r="CH303" i="2"/>
  <c r="CI303" i="2"/>
  <c r="CJ303" i="2"/>
  <c r="CK303" i="2"/>
  <c r="CL303" i="2"/>
  <c r="CM303" i="2"/>
  <c r="CN303" i="2"/>
  <c r="CO303" i="2"/>
  <c r="CP303" i="2"/>
  <c r="CQ303" i="2"/>
  <c r="CR303" i="2"/>
  <c r="CS303" i="2"/>
  <c r="CT303" i="2"/>
  <c r="CU303" i="2"/>
  <c r="CV303" i="2"/>
  <c r="CW303" i="2"/>
  <c r="CX303" i="2"/>
  <c r="CY303" i="2"/>
  <c r="CD304" i="2"/>
  <c r="CE304" i="2"/>
  <c r="CF304" i="2"/>
  <c r="CG304" i="2"/>
  <c r="CH304" i="2"/>
  <c r="CI304" i="2"/>
  <c r="CJ304" i="2"/>
  <c r="CK304" i="2"/>
  <c r="CL304" i="2"/>
  <c r="CM304" i="2"/>
  <c r="CN304" i="2"/>
  <c r="CO304" i="2"/>
  <c r="CP304" i="2"/>
  <c r="CQ304" i="2"/>
  <c r="CR304" i="2"/>
  <c r="CS304" i="2"/>
  <c r="CT304" i="2"/>
  <c r="CU304" i="2"/>
  <c r="CV304" i="2"/>
  <c r="CW304" i="2"/>
  <c r="CX304" i="2"/>
  <c r="CY304" i="2"/>
  <c r="CD305" i="2"/>
  <c r="CE305" i="2"/>
  <c r="CF305" i="2"/>
  <c r="CG305" i="2"/>
  <c r="CH305" i="2"/>
  <c r="CI305" i="2"/>
  <c r="CJ305" i="2"/>
  <c r="CK305" i="2"/>
  <c r="CL305" i="2"/>
  <c r="CM305" i="2"/>
  <c r="CN305" i="2"/>
  <c r="CO305" i="2"/>
  <c r="CP305" i="2"/>
  <c r="CQ305" i="2"/>
  <c r="CR305" i="2"/>
  <c r="CS305" i="2"/>
  <c r="CT305" i="2"/>
  <c r="CU305" i="2"/>
  <c r="CV305" i="2"/>
  <c r="CW305" i="2"/>
  <c r="CX305" i="2"/>
  <c r="CY305" i="2"/>
  <c r="CD306" i="2"/>
  <c r="CE306" i="2"/>
  <c r="CF306" i="2"/>
  <c r="CG306" i="2"/>
  <c r="CH306" i="2"/>
  <c r="CI306" i="2"/>
  <c r="CJ306" i="2"/>
  <c r="CK306" i="2"/>
  <c r="CL306" i="2"/>
  <c r="CM306" i="2"/>
  <c r="CN306" i="2"/>
  <c r="CO306" i="2"/>
  <c r="CP306" i="2"/>
  <c r="CQ306" i="2"/>
  <c r="CR306" i="2"/>
  <c r="CS306" i="2"/>
  <c r="CT306" i="2"/>
  <c r="CU306" i="2"/>
  <c r="CV306" i="2"/>
  <c r="CW306" i="2"/>
  <c r="CX306" i="2"/>
  <c r="CY306" i="2"/>
  <c r="CD307" i="2"/>
  <c r="CE307" i="2"/>
  <c r="CF307" i="2"/>
  <c r="CG307" i="2"/>
  <c r="CH307" i="2"/>
  <c r="CI307" i="2"/>
  <c r="CJ307" i="2"/>
  <c r="CK307" i="2"/>
  <c r="CL307" i="2"/>
  <c r="CM307" i="2"/>
  <c r="CN307" i="2"/>
  <c r="CO307" i="2"/>
  <c r="CP307" i="2"/>
  <c r="CQ307" i="2"/>
  <c r="CR307" i="2"/>
  <c r="CS307" i="2"/>
  <c r="CT307" i="2"/>
  <c r="CU307" i="2"/>
  <c r="CV307" i="2"/>
  <c r="CW307" i="2"/>
  <c r="CX307" i="2"/>
  <c r="CY307" i="2"/>
  <c r="CD308" i="2"/>
  <c r="CE308" i="2"/>
  <c r="CF308" i="2"/>
  <c r="CG308" i="2"/>
  <c r="CH308" i="2"/>
  <c r="CI308" i="2"/>
  <c r="CJ308" i="2"/>
  <c r="CK308" i="2"/>
  <c r="CL308" i="2"/>
  <c r="CM308" i="2"/>
  <c r="CN308" i="2"/>
  <c r="CO308" i="2"/>
  <c r="CP308" i="2"/>
  <c r="CQ308" i="2"/>
  <c r="CR308" i="2"/>
  <c r="CS308" i="2"/>
  <c r="CT308" i="2"/>
  <c r="CU308" i="2"/>
  <c r="CV308" i="2"/>
  <c r="CW308" i="2"/>
  <c r="CX308" i="2"/>
  <c r="CY308" i="2"/>
  <c r="CD309" i="2"/>
  <c r="CE309" i="2"/>
  <c r="CF309" i="2"/>
  <c r="CG309" i="2"/>
  <c r="CH309" i="2"/>
  <c r="CI309" i="2"/>
  <c r="CJ309" i="2"/>
  <c r="CK309" i="2"/>
  <c r="CL309" i="2"/>
  <c r="CM309" i="2"/>
  <c r="CN309" i="2"/>
  <c r="CO309" i="2"/>
  <c r="CP309" i="2"/>
  <c r="CQ309" i="2"/>
  <c r="CR309" i="2"/>
  <c r="CS309" i="2"/>
  <c r="CT309" i="2"/>
  <c r="CU309" i="2"/>
  <c r="CV309" i="2"/>
  <c r="CW309" i="2"/>
  <c r="CX309" i="2"/>
  <c r="CY309" i="2"/>
  <c r="CD310" i="2"/>
  <c r="CE310" i="2"/>
  <c r="CF310" i="2"/>
  <c r="CG310" i="2"/>
  <c r="BU15" i="5" s="1" a="1"/>
  <c r="BU15" i="5" s="1"/>
  <c r="CH310" i="2"/>
  <c r="CI310" i="2"/>
  <c r="CJ310" i="2"/>
  <c r="CK310" i="2"/>
  <c r="CL310" i="2"/>
  <c r="CM310" i="2"/>
  <c r="CN310" i="2"/>
  <c r="CO310" i="2"/>
  <c r="CP310" i="2"/>
  <c r="CQ310" i="2"/>
  <c r="CR310" i="2"/>
  <c r="CS310" i="2"/>
  <c r="CT310" i="2"/>
  <c r="CH15" i="5" s="1" a="1"/>
  <c r="CH15" i="5" s="1"/>
  <c r="CU310" i="2"/>
  <c r="CI15" i="5" s="1" a="1"/>
  <c r="CI15" i="5" s="1"/>
  <c r="CV310" i="2"/>
  <c r="CW310" i="2"/>
  <c r="CX310" i="2"/>
  <c r="CY310" i="2"/>
  <c r="CD311" i="2"/>
  <c r="CE311" i="2"/>
  <c r="CF311" i="2"/>
  <c r="CG311" i="2"/>
  <c r="CH311" i="2"/>
  <c r="CI311" i="2"/>
  <c r="CJ311" i="2"/>
  <c r="CK311" i="2"/>
  <c r="CL311" i="2"/>
  <c r="CM311" i="2"/>
  <c r="CN311" i="2"/>
  <c r="CO311" i="2"/>
  <c r="CP311" i="2"/>
  <c r="CQ311" i="2"/>
  <c r="CR311" i="2"/>
  <c r="CS311" i="2"/>
  <c r="CT311" i="2"/>
  <c r="CU311" i="2"/>
  <c r="CV311" i="2"/>
  <c r="CW311" i="2"/>
  <c r="CX311" i="2"/>
  <c r="CY311" i="2"/>
  <c r="CD312" i="2"/>
  <c r="CE312" i="2"/>
  <c r="CF312" i="2"/>
  <c r="CG312" i="2"/>
  <c r="CH312" i="2"/>
  <c r="CI312" i="2"/>
  <c r="CJ312" i="2"/>
  <c r="CK312" i="2"/>
  <c r="CL312" i="2"/>
  <c r="CM312" i="2"/>
  <c r="CN312" i="2"/>
  <c r="CO312" i="2"/>
  <c r="CP312" i="2"/>
  <c r="CQ312" i="2"/>
  <c r="CR312" i="2"/>
  <c r="CS312" i="2"/>
  <c r="CT312" i="2"/>
  <c r="CU312" i="2"/>
  <c r="CV312" i="2"/>
  <c r="CW312" i="2"/>
  <c r="CX312" i="2"/>
  <c r="CY312" i="2"/>
  <c r="CD313" i="2"/>
  <c r="CE313" i="2"/>
  <c r="CF313" i="2"/>
  <c r="CG313" i="2"/>
  <c r="CH313" i="2"/>
  <c r="CI313" i="2"/>
  <c r="CJ313" i="2"/>
  <c r="CK313" i="2"/>
  <c r="CL313" i="2"/>
  <c r="CM313" i="2"/>
  <c r="CN313" i="2"/>
  <c r="CO313" i="2"/>
  <c r="CP313" i="2"/>
  <c r="CQ313" i="2"/>
  <c r="CR313" i="2"/>
  <c r="CS313" i="2"/>
  <c r="CT313" i="2"/>
  <c r="CU313" i="2"/>
  <c r="CV313" i="2"/>
  <c r="CW313" i="2"/>
  <c r="CX313" i="2"/>
  <c r="CY313" i="2"/>
  <c r="CD314" i="2"/>
  <c r="CE314" i="2"/>
  <c r="CF314" i="2"/>
  <c r="CG314" i="2"/>
  <c r="CH314" i="2"/>
  <c r="CI314" i="2"/>
  <c r="CJ314" i="2"/>
  <c r="CK314" i="2"/>
  <c r="CL314" i="2"/>
  <c r="CM314" i="2"/>
  <c r="CN314" i="2"/>
  <c r="CO314" i="2"/>
  <c r="CP314" i="2"/>
  <c r="CQ314" i="2"/>
  <c r="CR314" i="2"/>
  <c r="CS314" i="2"/>
  <c r="CT314" i="2"/>
  <c r="CU314" i="2"/>
  <c r="CV314" i="2"/>
  <c r="CW314" i="2"/>
  <c r="CX314" i="2"/>
  <c r="CY314" i="2"/>
  <c r="CD315" i="2"/>
  <c r="CE315" i="2"/>
  <c r="CF315" i="2"/>
  <c r="CG315" i="2"/>
  <c r="CH315" i="2"/>
  <c r="CI315" i="2"/>
  <c r="CJ315" i="2"/>
  <c r="CK315" i="2"/>
  <c r="CL315" i="2"/>
  <c r="CM315" i="2"/>
  <c r="CN315" i="2"/>
  <c r="CO315" i="2"/>
  <c r="CP315" i="2"/>
  <c r="CQ315" i="2"/>
  <c r="CR315" i="2"/>
  <c r="CS315" i="2"/>
  <c r="CT315" i="2"/>
  <c r="CU315" i="2"/>
  <c r="CV315" i="2"/>
  <c r="CW315" i="2"/>
  <c r="CX315" i="2"/>
  <c r="CY315" i="2"/>
  <c r="CD316" i="2"/>
  <c r="CE316" i="2"/>
  <c r="CF316" i="2"/>
  <c r="CG316" i="2"/>
  <c r="CH316" i="2"/>
  <c r="CI316" i="2"/>
  <c r="CJ316" i="2"/>
  <c r="CK316" i="2"/>
  <c r="CL316" i="2"/>
  <c r="CM316" i="2"/>
  <c r="CN316" i="2"/>
  <c r="CO316" i="2"/>
  <c r="CP316" i="2"/>
  <c r="CQ316" i="2"/>
  <c r="CR316" i="2"/>
  <c r="CS316" i="2"/>
  <c r="CT316" i="2"/>
  <c r="CU316" i="2"/>
  <c r="CV316" i="2"/>
  <c r="CW316" i="2"/>
  <c r="CX316" i="2"/>
  <c r="CY316" i="2"/>
  <c r="CD317" i="2"/>
  <c r="CE317" i="2"/>
  <c r="CF317" i="2"/>
  <c r="CG317" i="2"/>
  <c r="CH317" i="2"/>
  <c r="CI317" i="2"/>
  <c r="CJ317" i="2"/>
  <c r="CK317" i="2"/>
  <c r="CL317" i="2"/>
  <c r="CM317" i="2"/>
  <c r="CN317" i="2"/>
  <c r="CO317" i="2"/>
  <c r="CP317" i="2"/>
  <c r="CQ317" i="2"/>
  <c r="CR317" i="2"/>
  <c r="CS317" i="2"/>
  <c r="CT317" i="2"/>
  <c r="CU317" i="2"/>
  <c r="CV317" i="2"/>
  <c r="CW317" i="2"/>
  <c r="CX317" i="2"/>
  <c r="CY317" i="2"/>
  <c r="CD318" i="2"/>
  <c r="CE318" i="2"/>
  <c r="CF318" i="2"/>
  <c r="CG318" i="2"/>
  <c r="CH318" i="2"/>
  <c r="CI318" i="2"/>
  <c r="CJ318" i="2"/>
  <c r="CK318" i="2"/>
  <c r="CL318" i="2"/>
  <c r="CM318" i="2"/>
  <c r="CN318" i="2"/>
  <c r="CO318" i="2"/>
  <c r="CP318" i="2"/>
  <c r="CQ318" i="2"/>
  <c r="CR318" i="2"/>
  <c r="CS318" i="2"/>
  <c r="CT318" i="2"/>
  <c r="CU318" i="2"/>
  <c r="CV318" i="2"/>
  <c r="CW318" i="2"/>
  <c r="CX318" i="2"/>
  <c r="CY318" i="2"/>
  <c r="CD319" i="2"/>
  <c r="CE319" i="2"/>
  <c r="CF319" i="2"/>
  <c r="CG319" i="2"/>
  <c r="CH319" i="2"/>
  <c r="CI319" i="2"/>
  <c r="CJ319" i="2"/>
  <c r="CK319" i="2"/>
  <c r="CL319" i="2"/>
  <c r="CM319" i="2"/>
  <c r="CN319" i="2"/>
  <c r="CO319" i="2"/>
  <c r="CP319" i="2"/>
  <c r="CQ319" i="2"/>
  <c r="CR319" i="2"/>
  <c r="CS319" i="2"/>
  <c r="CT319" i="2"/>
  <c r="CU319" i="2"/>
  <c r="CV319" i="2"/>
  <c r="CW319" i="2"/>
  <c r="CX319" i="2"/>
  <c r="CY319" i="2"/>
  <c r="CD320" i="2"/>
  <c r="CE320" i="2"/>
  <c r="CF320" i="2"/>
  <c r="CG320" i="2"/>
  <c r="CH320" i="2"/>
  <c r="CI320" i="2"/>
  <c r="CJ320" i="2"/>
  <c r="CK320" i="2"/>
  <c r="CL320" i="2"/>
  <c r="CM320" i="2"/>
  <c r="CN320" i="2"/>
  <c r="CO320" i="2"/>
  <c r="CP320" i="2"/>
  <c r="CQ320" i="2"/>
  <c r="CR320" i="2"/>
  <c r="CS320" i="2"/>
  <c r="CT320" i="2"/>
  <c r="CU320" i="2"/>
  <c r="CV320" i="2"/>
  <c r="CW320" i="2"/>
  <c r="CX320" i="2"/>
  <c r="CY320" i="2"/>
  <c r="CD321" i="2"/>
  <c r="CE321" i="2"/>
  <c r="CF321" i="2"/>
  <c r="CG321" i="2"/>
  <c r="CH321" i="2"/>
  <c r="CI321" i="2"/>
  <c r="CJ321" i="2"/>
  <c r="CK321" i="2"/>
  <c r="CL321" i="2"/>
  <c r="CM321" i="2"/>
  <c r="CN321" i="2"/>
  <c r="CO321" i="2"/>
  <c r="CP321" i="2"/>
  <c r="CQ321" i="2"/>
  <c r="CR321" i="2"/>
  <c r="CS321" i="2"/>
  <c r="CT321" i="2"/>
  <c r="CU321" i="2"/>
  <c r="CV321" i="2"/>
  <c r="CW321" i="2"/>
  <c r="CX321" i="2"/>
  <c r="CY321" i="2"/>
  <c r="CD322" i="2"/>
  <c r="CE322" i="2"/>
  <c r="CF322" i="2"/>
  <c r="CG322" i="2"/>
  <c r="CH322" i="2"/>
  <c r="CI322" i="2"/>
  <c r="CJ322" i="2"/>
  <c r="CK322" i="2"/>
  <c r="CL322" i="2"/>
  <c r="CM322" i="2"/>
  <c r="CN322" i="2"/>
  <c r="CO322" i="2"/>
  <c r="CP322" i="2"/>
  <c r="CQ322" i="2"/>
  <c r="CR322" i="2"/>
  <c r="CS322" i="2"/>
  <c r="CT322" i="2"/>
  <c r="CU322" i="2"/>
  <c r="CV322" i="2"/>
  <c r="CW322" i="2"/>
  <c r="CX322" i="2"/>
  <c r="CY322" i="2"/>
  <c r="CD323" i="2"/>
  <c r="CE323" i="2"/>
  <c r="CF323" i="2"/>
  <c r="CG323" i="2"/>
  <c r="CH323" i="2"/>
  <c r="CI323" i="2"/>
  <c r="CJ323" i="2"/>
  <c r="CK323" i="2"/>
  <c r="CL323" i="2"/>
  <c r="CM323" i="2"/>
  <c r="CN323" i="2"/>
  <c r="CO323" i="2"/>
  <c r="CP323" i="2"/>
  <c r="CQ323" i="2"/>
  <c r="CR323" i="2"/>
  <c r="CS323" i="2"/>
  <c r="CT323" i="2"/>
  <c r="CU323" i="2"/>
  <c r="CV323" i="2"/>
  <c r="CW323" i="2"/>
  <c r="CX323" i="2"/>
  <c r="CY323" i="2"/>
  <c r="CD324" i="2"/>
  <c r="CE324" i="2"/>
  <c r="CF324" i="2"/>
  <c r="CG324" i="2"/>
  <c r="CH324" i="2"/>
  <c r="CI324" i="2"/>
  <c r="CJ324" i="2"/>
  <c r="CK324" i="2"/>
  <c r="CL324" i="2"/>
  <c r="CM324" i="2"/>
  <c r="CN324" i="2"/>
  <c r="CO324" i="2"/>
  <c r="CP324" i="2"/>
  <c r="CQ324" i="2"/>
  <c r="CR324" i="2"/>
  <c r="CS324" i="2"/>
  <c r="CT324" i="2"/>
  <c r="CU324" i="2"/>
  <c r="CV324" i="2"/>
  <c r="CW324" i="2"/>
  <c r="CX324" i="2"/>
  <c r="CY324" i="2"/>
  <c r="CD325" i="2"/>
  <c r="CE325" i="2"/>
  <c r="CF325" i="2"/>
  <c r="CG325" i="2"/>
  <c r="CH325" i="2"/>
  <c r="CI325" i="2"/>
  <c r="CJ325" i="2"/>
  <c r="CK325" i="2"/>
  <c r="CL325" i="2"/>
  <c r="CM325" i="2"/>
  <c r="CN325" i="2"/>
  <c r="CO325" i="2"/>
  <c r="CP325" i="2"/>
  <c r="CQ325" i="2"/>
  <c r="CR325" i="2"/>
  <c r="CS325" i="2"/>
  <c r="CT325" i="2"/>
  <c r="CU325" i="2"/>
  <c r="CV325" i="2"/>
  <c r="CW325" i="2"/>
  <c r="CX325" i="2"/>
  <c r="CY325" i="2"/>
  <c r="CD326" i="2"/>
  <c r="CE326" i="2"/>
  <c r="CF326" i="2"/>
  <c r="CG326" i="2"/>
  <c r="CH326" i="2"/>
  <c r="CI326" i="2"/>
  <c r="CJ326" i="2"/>
  <c r="CK326" i="2"/>
  <c r="CL326" i="2"/>
  <c r="CM326" i="2"/>
  <c r="CN326" i="2"/>
  <c r="CO326" i="2"/>
  <c r="CP326" i="2"/>
  <c r="CQ326" i="2"/>
  <c r="CR326" i="2"/>
  <c r="CS326" i="2"/>
  <c r="CT326" i="2"/>
  <c r="CU326" i="2"/>
  <c r="CV326" i="2"/>
  <c r="CW326" i="2"/>
  <c r="CX326" i="2"/>
  <c r="CY326" i="2"/>
  <c r="CD327" i="2"/>
  <c r="CE327" i="2"/>
  <c r="CF327" i="2"/>
  <c r="CG327" i="2"/>
  <c r="CH327" i="2"/>
  <c r="CI327" i="2"/>
  <c r="CJ327" i="2"/>
  <c r="CK327" i="2"/>
  <c r="CL327" i="2"/>
  <c r="CM327" i="2"/>
  <c r="CN327" i="2"/>
  <c r="CO327" i="2"/>
  <c r="CP327" i="2"/>
  <c r="CQ327" i="2"/>
  <c r="CR327" i="2"/>
  <c r="CS327" i="2"/>
  <c r="CT327" i="2"/>
  <c r="CU327" i="2"/>
  <c r="CV327" i="2"/>
  <c r="CW327" i="2"/>
  <c r="CX327" i="2"/>
  <c r="CY327" i="2"/>
  <c r="CD328" i="2"/>
  <c r="CE328" i="2"/>
  <c r="CF328" i="2"/>
  <c r="CG328" i="2"/>
  <c r="CH328" i="2"/>
  <c r="CI328" i="2"/>
  <c r="CJ328" i="2"/>
  <c r="CK328" i="2"/>
  <c r="CL328" i="2"/>
  <c r="CM328" i="2"/>
  <c r="CN328" i="2"/>
  <c r="CO328" i="2"/>
  <c r="CP328" i="2"/>
  <c r="CQ328" i="2"/>
  <c r="CR328" i="2"/>
  <c r="CS328" i="2"/>
  <c r="CT328" i="2"/>
  <c r="CU328" i="2"/>
  <c r="CV328" i="2"/>
  <c r="CW328" i="2"/>
  <c r="CX328" i="2"/>
  <c r="CY328" i="2"/>
  <c r="CD329" i="2"/>
  <c r="CE329" i="2"/>
  <c r="CF329" i="2"/>
  <c r="CG329" i="2"/>
  <c r="CH329" i="2"/>
  <c r="CI329" i="2"/>
  <c r="CJ329" i="2"/>
  <c r="CK329" i="2"/>
  <c r="CL329" i="2"/>
  <c r="CM329" i="2"/>
  <c r="CN329" i="2"/>
  <c r="CO329" i="2"/>
  <c r="CP329" i="2"/>
  <c r="CQ329" i="2"/>
  <c r="CR329" i="2"/>
  <c r="CS329" i="2"/>
  <c r="CT329" i="2"/>
  <c r="CU329" i="2"/>
  <c r="CV329" i="2"/>
  <c r="CW329" i="2"/>
  <c r="CX329" i="2"/>
  <c r="CY329" i="2"/>
  <c r="CD330" i="2"/>
  <c r="CE330" i="2"/>
  <c r="CF330" i="2"/>
  <c r="CG330" i="2"/>
  <c r="CH330" i="2"/>
  <c r="CI330" i="2"/>
  <c r="CJ330" i="2"/>
  <c r="CK330" i="2"/>
  <c r="CL330" i="2"/>
  <c r="CM330" i="2"/>
  <c r="CN330" i="2"/>
  <c r="CO330" i="2"/>
  <c r="CP330" i="2"/>
  <c r="CQ330" i="2"/>
  <c r="CR330" i="2"/>
  <c r="CS330" i="2"/>
  <c r="CT330" i="2"/>
  <c r="CU330" i="2"/>
  <c r="CV330" i="2"/>
  <c r="CW330" i="2"/>
  <c r="CX330" i="2"/>
  <c r="CY330" i="2"/>
  <c r="CD331" i="2"/>
  <c r="CE331" i="2"/>
  <c r="CF331" i="2"/>
  <c r="CG331" i="2"/>
  <c r="CH331" i="2"/>
  <c r="CI331" i="2"/>
  <c r="CJ331" i="2"/>
  <c r="CK331" i="2"/>
  <c r="CL331" i="2"/>
  <c r="CM331" i="2"/>
  <c r="CN331" i="2"/>
  <c r="CO331" i="2"/>
  <c r="CP331" i="2"/>
  <c r="CQ331" i="2"/>
  <c r="CR331" i="2"/>
  <c r="CS331" i="2"/>
  <c r="CT331" i="2"/>
  <c r="CU331" i="2"/>
  <c r="CV331" i="2"/>
  <c r="CW331" i="2"/>
  <c r="CX331" i="2"/>
  <c r="CY331" i="2"/>
  <c r="CD332" i="2"/>
  <c r="CE332" i="2"/>
  <c r="CF332" i="2"/>
  <c r="CG332" i="2"/>
  <c r="CH332" i="2"/>
  <c r="CI332" i="2"/>
  <c r="CJ332" i="2"/>
  <c r="CK332" i="2"/>
  <c r="CL332" i="2"/>
  <c r="CM332" i="2"/>
  <c r="CN332" i="2"/>
  <c r="CO332" i="2"/>
  <c r="CP332" i="2"/>
  <c r="CQ332" i="2"/>
  <c r="CR332" i="2"/>
  <c r="CS332" i="2"/>
  <c r="CT332" i="2"/>
  <c r="CU332" i="2"/>
  <c r="CV332" i="2"/>
  <c r="CW332" i="2"/>
  <c r="CX332" i="2"/>
  <c r="CY332" i="2"/>
  <c r="CD333" i="2"/>
  <c r="CE333" i="2"/>
  <c r="CF333" i="2"/>
  <c r="CG333" i="2"/>
  <c r="CH333" i="2"/>
  <c r="CI333" i="2"/>
  <c r="CJ333" i="2"/>
  <c r="CK333" i="2"/>
  <c r="CL333" i="2"/>
  <c r="CM333" i="2"/>
  <c r="CN333" i="2"/>
  <c r="CO333" i="2"/>
  <c r="CP333" i="2"/>
  <c r="CQ333" i="2"/>
  <c r="CR333" i="2"/>
  <c r="CS333" i="2"/>
  <c r="CT333" i="2"/>
  <c r="CU333" i="2"/>
  <c r="CV333" i="2"/>
  <c r="CW333" i="2"/>
  <c r="CX333" i="2"/>
  <c r="CY333" i="2"/>
  <c r="CD334" i="2"/>
  <c r="CE334" i="2"/>
  <c r="CF334" i="2"/>
  <c r="CG334" i="2"/>
  <c r="CH334" i="2"/>
  <c r="CI334" i="2"/>
  <c r="CJ334" i="2"/>
  <c r="CK334" i="2"/>
  <c r="CL334" i="2"/>
  <c r="CM334" i="2"/>
  <c r="CN334" i="2"/>
  <c r="CO334" i="2"/>
  <c r="CP334" i="2"/>
  <c r="CQ334" i="2"/>
  <c r="CR334" i="2"/>
  <c r="CS334" i="2"/>
  <c r="CT334" i="2"/>
  <c r="CU334" i="2"/>
  <c r="CV334" i="2"/>
  <c r="CW334" i="2"/>
  <c r="CX334" i="2"/>
  <c r="CY334" i="2"/>
  <c r="CD335" i="2"/>
  <c r="CE335" i="2"/>
  <c r="CF335" i="2"/>
  <c r="CG335" i="2"/>
  <c r="CH335" i="2"/>
  <c r="CI335" i="2"/>
  <c r="CJ335" i="2"/>
  <c r="CK335" i="2"/>
  <c r="CL335" i="2"/>
  <c r="CM335" i="2"/>
  <c r="CN335" i="2"/>
  <c r="CO335" i="2"/>
  <c r="CP335" i="2"/>
  <c r="CQ335" i="2"/>
  <c r="CR335" i="2"/>
  <c r="CS335" i="2"/>
  <c r="CT335" i="2"/>
  <c r="CU335" i="2"/>
  <c r="CV335" i="2"/>
  <c r="CW335" i="2"/>
  <c r="CX335" i="2"/>
  <c r="CY335" i="2"/>
  <c r="CD336" i="2"/>
  <c r="CE336" i="2"/>
  <c r="CF336" i="2"/>
  <c r="CG336" i="2"/>
  <c r="CH336" i="2"/>
  <c r="CI336" i="2"/>
  <c r="CJ336" i="2"/>
  <c r="CK336" i="2"/>
  <c r="CL336" i="2"/>
  <c r="CM336" i="2"/>
  <c r="CN336" i="2"/>
  <c r="CO336" i="2"/>
  <c r="CP336" i="2"/>
  <c r="CQ336" i="2"/>
  <c r="CR336" i="2"/>
  <c r="CS336" i="2"/>
  <c r="CT336" i="2"/>
  <c r="CU336" i="2"/>
  <c r="CV336" i="2"/>
  <c r="CW336" i="2"/>
  <c r="CX336" i="2"/>
  <c r="CY336" i="2"/>
  <c r="CD337" i="2"/>
  <c r="CE337" i="2"/>
  <c r="CF337" i="2"/>
  <c r="CG337" i="2"/>
  <c r="CH337" i="2"/>
  <c r="CI337" i="2"/>
  <c r="CJ337" i="2"/>
  <c r="CK337" i="2"/>
  <c r="CL337" i="2"/>
  <c r="CM337" i="2"/>
  <c r="CN337" i="2"/>
  <c r="CO337" i="2"/>
  <c r="CP337" i="2"/>
  <c r="CQ337" i="2"/>
  <c r="CR337" i="2"/>
  <c r="CS337" i="2"/>
  <c r="CT337" i="2"/>
  <c r="CU337" i="2"/>
  <c r="CV337" i="2"/>
  <c r="CW337" i="2"/>
  <c r="CX337" i="2"/>
  <c r="CY337" i="2"/>
  <c r="CD338" i="2"/>
  <c r="CE338" i="2"/>
  <c r="CF338" i="2"/>
  <c r="CG338" i="2"/>
  <c r="CH338" i="2"/>
  <c r="CI338" i="2"/>
  <c r="CJ338" i="2"/>
  <c r="CK338" i="2"/>
  <c r="CL338" i="2"/>
  <c r="CM338" i="2"/>
  <c r="CN338" i="2"/>
  <c r="CO338" i="2"/>
  <c r="CP338" i="2"/>
  <c r="CQ338" i="2"/>
  <c r="CR338" i="2"/>
  <c r="CS338" i="2"/>
  <c r="CT338" i="2"/>
  <c r="CU338" i="2"/>
  <c r="CV338" i="2"/>
  <c r="CW338" i="2"/>
  <c r="CX338" i="2"/>
  <c r="CY338" i="2"/>
  <c r="CD339" i="2"/>
  <c r="CE339" i="2"/>
  <c r="CF339" i="2"/>
  <c r="CG339" i="2"/>
  <c r="CH339" i="2"/>
  <c r="CI339" i="2"/>
  <c r="CJ339" i="2"/>
  <c r="CK339" i="2"/>
  <c r="CL339" i="2"/>
  <c r="CM339" i="2"/>
  <c r="CN339" i="2"/>
  <c r="CO339" i="2"/>
  <c r="CP339" i="2"/>
  <c r="CQ339" i="2"/>
  <c r="CR339" i="2"/>
  <c r="CS339" i="2"/>
  <c r="CT339" i="2"/>
  <c r="CU339" i="2"/>
  <c r="CV339" i="2"/>
  <c r="CW339" i="2"/>
  <c r="CX339" i="2"/>
  <c r="CY339" i="2"/>
  <c r="CD340" i="2"/>
  <c r="CE340" i="2"/>
  <c r="CF340" i="2"/>
  <c r="CG340" i="2"/>
  <c r="BU16" i="5" s="1" a="1"/>
  <c r="BU16" i="5" s="1"/>
  <c r="CH340" i="2"/>
  <c r="CI340" i="2"/>
  <c r="CJ340" i="2"/>
  <c r="CK340" i="2"/>
  <c r="CL340" i="2"/>
  <c r="CM340" i="2"/>
  <c r="CN340" i="2"/>
  <c r="CO340" i="2"/>
  <c r="CP340" i="2"/>
  <c r="CQ340" i="2"/>
  <c r="CR340" i="2"/>
  <c r="CS340" i="2"/>
  <c r="CT340" i="2"/>
  <c r="CH16" i="5" s="1" a="1"/>
  <c r="CH16" i="5" s="1"/>
  <c r="CU340" i="2"/>
  <c r="CI16" i="5" s="1" a="1"/>
  <c r="CI16" i="5" s="1"/>
  <c r="CV340" i="2"/>
  <c r="CW340" i="2"/>
  <c r="CX340" i="2"/>
  <c r="CY340" i="2"/>
  <c r="CD341" i="2"/>
  <c r="CE341" i="2"/>
  <c r="CF341" i="2"/>
  <c r="CG341" i="2"/>
  <c r="CH341" i="2"/>
  <c r="CI341" i="2"/>
  <c r="CJ341" i="2"/>
  <c r="CK341" i="2"/>
  <c r="CL341" i="2"/>
  <c r="CM341" i="2"/>
  <c r="CN341" i="2"/>
  <c r="CO341" i="2"/>
  <c r="CP341" i="2"/>
  <c r="CQ341" i="2"/>
  <c r="CR341" i="2"/>
  <c r="CS341" i="2"/>
  <c r="CT341" i="2"/>
  <c r="CU341" i="2"/>
  <c r="CV341" i="2"/>
  <c r="CW341" i="2"/>
  <c r="CX341" i="2"/>
  <c r="CY341" i="2"/>
  <c r="CD342" i="2"/>
  <c r="CE342" i="2"/>
  <c r="CF342" i="2"/>
  <c r="CG342" i="2"/>
  <c r="CH342" i="2"/>
  <c r="CI342" i="2"/>
  <c r="CJ342" i="2"/>
  <c r="CK342" i="2"/>
  <c r="CL342" i="2"/>
  <c r="CM342" i="2"/>
  <c r="CN342" i="2"/>
  <c r="CO342" i="2"/>
  <c r="CP342" i="2"/>
  <c r="CQ342" i="2"/>
  <c r="CR342" i="2"/>
  <c r="CS342" i="2"/>
  <c r="CT342" i="2"/>
  <c r="CU342" i="2"/>
  <c r="CV342" i="2"/>
  <c r="CW342" i="2"/>
  <c r="CX342" i="2"/>
  <c r="CY342" i="2"/>
  <c r="CD343" i="2"/>
  <c r="CE343" i="2"/>
  <c r="CF343" i="2"/>
  <c r="CG343" i="2"/>
  <c r="CH343" i="2"/>
  <c r="CI343" i="2"/>
  <c r="CJ343" i="2"/>
  <c r="CK343" i="2"/>
  <c r="CL343" i="2"/>
  <c r="CM343" i="2"/>
  <c r="CN343" i="2"/>
  <c r="CO343" i="2"/>
  <c r="CP343" i="2"/>
  <c r="CQ343" i="2"/>
  <c r="CR343" i="2"/>
  <c r="CS343" i="2"/>
  <c r="CT343" i="2"/>
  <c r="CU343" i="2"/>
  <c r="CV343" i="2"/>
  <c r="CW343" i="2"/>
  <c r="CX343" i="2"/>
  <c r="CY343" i="2"/>
  <c r="CD344" i="2"/>
  <c r="CE344" i="2"/>
  <c r="CF344" i="2"/>
  <c r="CG344" i="2"/>
  <c r="CH344" i="2"/>
  <c r="CI344" i="2"/>
  <c r="CJ344" i="2"/>
  <c r="CK344" i="2"/>
  <c r="CL344" i="2"/>
  <c r="CM344" i="2"/>
  <c r="CN344" i="2"/>
  <c r="CO344" i="2"/>
  <c r="CP344" i="2"/>
  <c r="CQ344" i="2"/>
  <c r="CR344" i="2"/>
  <c r="CS344" i="2"/>
  <c r="CT344" i="2"/>
  <c r="CU344" i="2"/>
  <c r="CV344" i="2"/>
  <c r="CW344" i="2"/>
  <c r="CX344" i="2"/>
  <c r="CY344" i="2"/>
  <c r="CD345" i="2"/>
  <c r="CE345" i="2"/>
  <c r="CF345" i="2"/>
  <c r="CG345" i="2"/>
  <c r="CH345" i="2"/>
  <c r="CI345" i="2"/>
  <c r="CJ345" i="2"/>
  <c r="CK345" i="2"/>
  <c r="CL345" i="2"/>
  <c r="CM345" i="2"/>
  <c r="CN345" i="2"/>
  <c r="CO345" i="2"/>
  <c r="CP345" i="2"/>
  <c r="CQ345" i="2"/>
  <c r="CR345" i="2"/>
  <c r="CS345" i="2"/>
  <c r="CT345" i="2"/>
  <c r="CU345" i="2"/>
  <c r="CV345" i="2"/>
  <c r="CW345" i="2"/>
  <c r="CX345" i="2"/>
  <c r="CY345" i="2"/>
  <c r="CD346" i="2"/>
  <c r="CE346" i="2"/>
  <c r="CF346" i="2"/>
  <c r="CG346" i="2"/>
  <c r="CH346" i="2"/>
  <c r="CI346" i="2"/>
  <c r="CJ346" i="2"/>
  <c r="CK346" i="2"/>
  <c r="CL346" i="2"/>
  <c r="CM346" i="2"/>
  <c r="CN346" i="2"/>
  <c r="CO346" i="2"/>
  <c r="CP346" i="2"/>
  <c r="CQ346" i="2"/>
  <c r="CR346" i="2"/>
  <c r="CS346" i="2"/>
  <c r="CT346" i="2"/>
  <c r="CU346" i="2"/>
  <c r="CV346" i="2"/>
  <c r="CW346" i="2"/>
  <c r="CX346" i="2"/>
  <c r="CY346" i="2"/>
  <c r="CD347" i="2"/>
  <c r="CE347" i="2"/>
  <c r="CF347" i="2"/>
  <c r="CG347" i="2"/>
  <c r="CH347" i="2"/>
  <c r="CI347" i="2"/>
  <c r="CJ347" i="2"/>
  <c r="CK347" i="2"/>
  <c r="CL347" i="2"/>
  <c r="CM347" i="2"/>
  <c r="CN347" i="2"/>
  <c r="CO347" i="2"/>
  <c r="CP347" i="2"/>
  <c r="CQ347" i="2"/>
  <c r="CR347" i="2"/>
  <c r="CS347" i="2"/>
  <c r="CT347" i="2"/>
  <c r="CU347" i="2"/>
  <c r="CV347" i="2"/>
  <c r="CW347" i="2"/>
  <c r="CX347" i="2"/>
  <c r="CY347" i="2"/>
  <c r="CD348" i="2"/>
  <c r="CE348" i="2"/>
  <c r="CF348" i="2"/>
  <c r="CG348" i="2"/>
  <c r="CH348" i="2"/>
  <c r="CI348" i="2"/>
  <c r="CJ348" i="2"/>
  <c r="CK348" i="2"/>
  <c r="CL348" i="2"/>
  <c r="CM348" i="2"/>
  <c r="CN348" i="2"/>
  <c r="CO348" i="2"/>
  <c r="CP348" i="2"/>
  <c r="CQ348" i="2"/>
  <c r="CR348" i="2"/>
  <c r="CS348" i="2"/>
  <c r="CT348" i="2"/>
  <c r="CU348" i="2"/>
  <c r="CV348" i="2"/>
  <c r="CW348" i="2"/>
  <c r="CX348" i="2"/>
  <c r="CY348" i="2"/>
  <c r="CD349" i="2"/>
  <c r="CE349" i="2"/>
  <c r="CF349" i="2"/>
  <c r="CG349" i="2"/>
  <c r="CH349" i="2"/>
  <c r="CI349" i="2"/>
  <c r="CJ349" i="2"/>
  <c r="CK349" i="2"/>
  <c r="CL349" i="2"/>
  <c r="CM349" i="2"/>
  <c r="CN349" i="2"/>
  <c r="CO349" i="2"/>
  <c r="CP349" i="2"/>
  <c r="CQ349" i="2"/>
  <c r="CR349" i="2"/>
  <c r="CS349" i="2"/>
  <c r="CT349" i="2"/>
  <c r="CU349" i="2"/>
  <c r="CV349" i="2"/>
  <c r="CW349" i="2"/>
  <c r="CX349" i="2"/>
  <c r="CY349" i="2"/>
  <c r="CD350" i="2"/>
  <c r="CE350" i="2"/>
  <c r="CF350" i="2"/>
  <c r="CG350" i="2"/>
  <c r="CH350" i="2"/>
  <c r="CI350" i="2"/>
  <c r="CJ350" i="2"/>
  <c r="CK350" i="2"/>
  <c r="CL350" i="2"/>
  <c r="CM350" i="2"/>
  <c r="CN350" i="2"/>
  <c r="CO350" i="2"/>
  <c r="CP350" i="2"/>
  <c r="CQ350" i="2"/>
  <c r="CR350" i="2"/>
  <c r="CS350" i="2"/>
  <c r="CT350" i="2"/>
  <c r="CU350" i="2"/>
  <c r="CV350" i="2"/>
  <c r="CW350" i="2"/>
  <c r="CX350" i="2"/>
  <c r="CY350" i="2"/>
  <c r="CD351" i="2"/>
  <c r="CE351" i="2"/>
  <c r="CF351" i="2"/>
  <c r="CG351" i="2"/>
  <c r="CH351" i="2"/>
  <c r="CI351" i="2"/>
  <c r="CJ351" i="2"/>
  <c r="CK351" i="2"/>
  <c r="CL351" i="2"/>
  <c r="CM351" i="2"/>
  <c r="CN351" i="2"/>
  <c r="CO351" i="2"/>
  <c r="CP351" i="2"/>
  <c r="CQ351" i="2"/>
  <c r="CR351" i="2"/>
  <c r="CS351" i="2"/>
  <c r="CT351" i="2"/>
  <c r="CU351" i="2"/>
  <c r="CV351" i="2"/>
  <c r="CW351" i="2"/>
  <c r="CX351" i="2"/>
  <c r="CY351" i="2"/>
  <c r="CD352" i="2"/>
  <c r="CE352" i="2"/>
  <c r="CF352" i="2"/>
  <c r="CG352" i="2"/>
  <c r="CH352" i="2"/>
  <c r="CI352" i="2"/>
  <c r="CJ352" i="2"/>
  <c r="CK352" i="2"/>
  <c r="CL352" i="2"/>
  <c r="CM352" i="2"/>
  <c r="CN352" i="2"/>
  <c r="CO352" i="2"/>
  <c r="CP352" i="2"/>
  <c r="CQ352" i="2"/>
  <c r="CR352" i="2"/>
  <c r="CS352" i="2"/>
  <c r="CT352" i="2"/>
  <c r="CU352" i="2"/>
  <c r="CV352" i="2"/>
  <c r="CW352" i="2"/>
  <c r="CX352" i="2"/>
  <c r="CY352" i="2"/>
  <c r="CD353" i="2"/>
  <c r="CE353" i="2"/>
  <c r="CF353" i="2"/>
  <c r="CG353" i="2"/>
  <c r="CH353" i="2"/>
  <c r="CI353" i="2"/>
  <c r="CJ353" i="2"/>
  <c r="CK353" i="2"/>
  <c r="CL353" i="2"/>
  <c r="CM353" i="2"/>
  <c r="CN353" i="2"/>
  <c r="CO353" i="2"/>
  <c r="CP353" i="2"/>
  <c r="CQ353" i="2"/>
  <c r="CR353" i="2"/>
  <c r="CS353" i="2"/>
  <c r="CT353" i="2"/>
  <c r="CU353" i="2"/>
  <c r="CV353" i="2"/>
  <c r="CW353" i="2"/>
  <c r="CX353" i="2"/>
  <c r="CY353" i="2"/>
  <c r="CD354" i="2"/>
  <c r="CE354" i="2"/>
  <c r="CF354" i="2"/>
  <c r="CG354" i="2"/>
  <c r="CH354" i="2"/>
  <c r="CI354" i="2"/>
  <c r="CJ354" i="2"/>
  <c r="CK354" i="2"/>
  <c r="CL354" i="2"/>
  <c r="CM354" i="2"/>
  <c r="CN354" i="2"/>
  <c r="CO354" i="2"/>
  <c r="CP354" i="2"/>
  <c r="CQ354" i="2"/>
  <c r="CR354" i="2"/>
  <c r="CS354" i="2"/>
  <c r="CT354" i="2"/>
  <c r="CU354" i="2"/>
  <c r="CV354" i="2"/>
  <c r="CW354" i="2"/>
  <c r="CX354" i="2"/>
  <c r="CY354" i="2"/>
  <c r="CD355" i="2"/>
  <c r="CE355" i="2"/>
  <c r="CF355" i="2"/>
  <c r="CG355" i="2"/>
  <c r="CH355" i="2"/>
  <c r="CI355" i="2"/>
  <c r="CJ355" i="2"/>
  <c r="CK355" i="2"/>
  <c r="CL355" i="2"/>
  <c r="CM355" i="2"/>
  <c r="CN355" i="2"/>
  <c r="CO355" i="2"/>
  <c r="CP355" i="2"/>
  <c r="CQ355" i="2"/>
  <c r="CR355" i="2"/>
  <c r="CS355" i="2"/>
  <c r="CT355" i="2"/>
  <c r="CU355" i="2"/>
  <c r="CV355" i="2"/>
  <c r="CW355" i="2"/>
  <c r="CX355" i="2"/>
  <c r="CY355" i="2"/>
  <c r="CD356" i="2"/>
  <c r="CE356" i="2"/>
  <c r="CF356" i="2"/>
  <c r="CG356" i="2"/>
  <c r="CH356" i="2"/>
  <c r="CI356" i="2"/>
  <c r="CJ356" i="2"/>
  <c r="CK356" i="2"/>
  <c r="CL356" i="2"/>
  <c r="CM356" i="2"/>
  <c r="CN356" i="2"/>
  <c r="CO356" i="2"/>
  <c r="CP356" i="2"/>
  <c r="CQ356" i="2"/>
  <c r="CR356" i="2"/>
  <c r="CS356" i="2"/>
  <c r="CT356" i="2"/>
  <c r="CU356" i="2"/>
  <c r="CV356" i="2"/>
  <c r="CW356" i="2"/>
  <c r="CX356" i="2"/>
  <c r="CY356" i="2"/>
  <c r="CD357" i="2"/>
  <c r="CE357" i="2"/>
  <c r="CF357" i="2"/>
  <c r="CG357" i="2"/>
  <c r="CH357" i="2"/>
  <c r="CI357" i="2"/>
  <c r="CJ357" i="2"/>
  <c r="CK357" i="2"/>
  <c r="CL357" i="2"/>
  <c r="CM357" i="2"/>
  <c r="CN357" i="2"/>
  <c r="CO357" i="2"/>
  <c r="CP357" i="2"/>
  <c r="CQ357" i="2"/>
  <c r="CR357" i="2"/>
  <c r="CS357" i="2"/>
  <c r="CT357" i="2"/>
  <c r="CU357" i="2"/>
  <c r="CV357" i="2"/>
  <c r="CW357" i="2"/>
  <c r="CX357" i="2"/>
  <c r="CY357" i="2"/>
  <c r="CD358" i="2"/>
  <c r="CE358" i="2"/>
  <c r="CF358" i="2"/>
  <c r="CG358" i="2"/>
  <c r="CH358" i="2"/>
  <c r="CI358" i="2"/>
  <c r="CJ358" i="2"/>
  <c r="CK358" i="2"/>
  <c r="CL358" i="2"/>
  <c r="CM358" i="2"/>
  <c r="CN358" i="2"/>
  <c r="CO358" i="2"/>
  <c r="CP358" i="2"/>
  <c r="CQ358" i="2"/>
  <c r="CR358" i="2"/>
  <c r="CS358" i="2"/>
  <c r="CT358" i="2"/>
  <c r="CU358" i="2"/>
  <c r="CV358" i="2"/>
  <c r="CW358" i="2"/>
  <c r="CX358" i="2"/>
  <c r="CY358" i="2"/>
  <c r="CD359" i="2"/>
  <c r="CE359" i="2"/>
  <c r="CF359" i="2"/>
  <c r="CG359" i="2"/>
  <c r="CH359" i="2"/>
  <c r="CI359" i="2"/>
  <c r="CJ359" i="2"/>
  <c r="CK359" i="2"/>
  <c r="CL359" i="2"/>
  <c r="CM359" i="2"/>
  <c r="CN359" i="2"/>
  <c r="CO359" i="2"/>
  <c r="CP359" i="2"/>
  <c r="CQ359" i="2"/>
  <c r="CR359" i="2"/>
  <c r="CS359" i="2"/>
  <c r="CT359" i="2"/>
  <c r="CU359" i="2"/>
  <c r="CV359" i="2"/>
  <c r="CW359" i="2"/>
  <c r="CX359" i="2"/>
  <c r="CY359" i="2"/>
  <c r="CD360" i="2"/>
  <c r="CE360" i="2"/>
  <c r="CF360" i="2"/>
  <c r="CG360" i="2"/>
  <c r="CH360" i="2"/>
  <c r="CI360" i="2"/>
  <c r="CJ360" i="2"/>
  <c r="CK360" i="2"/>
  <c r="CL360" i="2"/>
  <c r="CM360" i="2"/>
  <c r="CN360" i="2"/>
  <c r="CO360" i="2"/>
  <c r="CP360" i="2"/>
  <c r="CQ360" i="2"/>
  <c r="CR360" i="2"/>
  <c r="CS360" i="2"/>
  <c r="CT360" i="2"/>
  <c r="CU360" i="2"/>
  <c r="CV360" i="2"/>
  <c r="CW360" i="2"/>
  <c r="CX360" i="2"/>
  <c r="CY360" i="2"/>
  <c r="CD361" i="2"/>
  <c r="CE361" i="2"/>
  <c r="CF361" i="2"/>
  <c r="CG361" i="2"/>
  <c r="CH361" i="2"/>
  <c r="CI361" i="2"/>
  <c r="CJ361" i="2"/>
  <c r="CK361" i="2"/>
  <c r="CL361" i="2"/>
  <c r="CM361" i="2"/>
  <c r="CN361" i="2"/>
  <c r="CO361" i="2"/>
  <c r="CP361" i="2"/>
  <c r="CQ361" i="2"/>
  <c r="CR361" i="2"/>
  <c r="CS361" i="2"/>
  <c r="CT361" i="2"/>
  <c r="CU361" i="2"/>
  <c r="CV361" i="2"/>
  <c r="CW361" i="2"/>
  <c r="CX361" i="2"/>
  <c r="CY361" i="2"/>
  <c r="CD362" i="2"/>
  <c r="CE362" i="2"/>
  <c r="CF362" i="2"/>
  <c r="CG362" i="2"/>
  <c r="CH362" i="2"/>
  <c r="CI362" i="2"/>
  <c r="CJ362" i="2"/>
  <c r="CK362" i="2"/>
  <c r="CL362" i="2"/>
  <c r="CM362" i="2"/>
  <c r="CN362" i="2"/>
  <c r="CO362" i="2"/>
  <c r="CP362" i="2"/>
  <c r="CQ362" i="2"/>
  <c r="CR362" i="2"/>
  <c r="CS362" i="2"/>
  <c r="CT362" i="2"/>
  <c r="CU362" i="2"/>
  <c r="CV362" i="2"/>
  <c r="CW362" i="2"/>
  <c r="CX362" i="2"/>
  <c r="CY362" i="2"/>
  <c r="CD363" i="2"/>
  <c r="CE363" i="2"/>
  <c r="CF363" i="2"/>
  <c r="CG363" i="2"/>
  <c r="CH363" i="2"/>
  <c r="CI363" i="2"/>
  <c r="CJ363" i="2"/>
  <c r="CK363" i="2"/>
  <c r="CL363" i="2"/>
  <c r="CM363" i="2"/>
  <c r="CN363" i="2"/>
  <c r="CO363" i="2"/>
  <c r="CP363" i="2"/>
  <c r="CQ363" i="2"/>
  <c r="CR363" i="2"/>
  <c r="CS363" i="2"/>
  <c r="CT363" i="2"/>
  <c r="CU363" i="2"/>
  <c r="CV363" i="2"/>
  <c r="CW363" i="2"/>
  <c r="CX363" i="2"/>
  <c r="CY363" i="2"/>
  <c r="CD364" i="2"/>
  <c r="CE364" i="2"/>
  <c r="CF364" i="2"/>
  <c r="CG364" i="2"/>
  <c r="CH364" i="2"/>
  <c r="CI364" i="2"/>
  <c r="CJ364" i="2"/>
  <c r="CK364" i="2"/>
  <c r="CL364" i="2"/>
  <c r="CM364" i="2"/>
  <c r="CN364" i="2"/>
  <c r="CO364" i="2"/>
  <c r="CP364" i="2"/>
  <c r="CQ364" i="2"/>
  <c r="CR364" i="2"/>
  <c r="CS364" i="2"/>
  <c r="CT364" i="2"/>
  <c r="CU364" i="2"/>
  <c r="CV364" i="2"/>
  <c r="CW364" i="2"/>
  <c r="CX364" i="2"/>
  <c r="CY364" i="2"/>
  <c r="CD365" i="2"/>
  <c r="CE365" i="2"/>
  <c r="CF365" i="2"/>
  <c r="CG365" i="2"/>
  <c r="CH365" i="2"/>
  <c r="CI365" i="2"/>
  <c r="CJ365" i="2"/>
  <c r="CK365" i="2"/>
  <c r="CL365" i="2"/>
  <c r="CM365" i="2"/>
  <c r="CN365" i="2"/>
  <c r="CO365" i="2"/>
  <c r="CP365" i="2"/>
  <c r="CQ365" i="2"/>
  <c r="CR365" i="2"/>
  <c r="CS365" i="2"/>
  <c r="CT365" i="2"/>
  <c r="CU365" i="2"/>
  <c r="CV365" i="2"/>
  <c r="CW365" i="2"/>
  <c r="CX365" i="2"/>
  <c r="CY365" i="2"/>
  <c r="CD366" i="2"/>
  <c r="CE366" i="2"/>
  <c r="CF366" i="2"/>
  <c r="CG366" i="2"/>
  <c r="CH366" i="2"/>
  <c r="CI366" i="2"/>
  <c r="CJ366" i="2"/>
  <c r="CK366" i="2"/>
  <c r="CL366" i="2"/>
  <c r="CM366" i="2"/>
  <c r="CN366" i="2"/>
  <c r="CO366" i="2"/>
  <c r="CP366" i="2"/>
  <c r="CQ366" i="2"/>
  <c r="CR366" i="2"/>
  <c r="CS366" i="2"/>
  <c r="CT366" i="2"/>
  <c r="CU366" i="2"/>
  <c r="CV366" i="2"/>
  <c r="CW366" i="2"/>
  <c r="CX366" i="2"/>
  <c r="CY366" i="2"/>
  <c r="CD367" i="2"/>
  <c r="CE367" i="2"/>
  <c r="CF367" i="2"/>
  <c r="CG367" i="2"/>
  <c r="CH367" i="2"/>
  <c r="CI367" i="2"/>
  <c r="CJ367" i="2"/>
  <c r="CK367" i="2"/>
  <c r="CL367" i="2"/>
  <c r="CM367" i="2"/>
  <c r="CN367" i="2"/>
  <c r="CO367" i="2"/>
  <c r="CP367" i="2"/>
  <c r="CQ367" i="2"/>
  <c r="CR367" i="2"/>
  <c r="CS367" i="2"/>
  <c r="CT367" i="2"/>
  <c r="CU367" i="2"/>
  <c r="CV367" i="2"/>
  <c r="CW367" i="2"/>
  <c r="CX367" i="2"/>
  <c r="CY367" i="2"/>
  <c r="CD368" i="2"/>
  <c r="CE368" i="2"/>
  <c r="CF368" i="2"/>
  <c r="CG368" i="2"/>
  <c r="CH368" i="2"/>
  <c r="CI368" i="2"/>
  <c r="CJ368" i="2"/>
  <c r="CK368" i="2"/>
  <c r="CL368" i="2"/>
  <c r="CM368" i="2"/>
  <c r="CN368" i="2"/>
  <c r="CO368" i="2"/>
  <c r="CP368" i="2"/>
  <c r="CQ368" i="2"/>
  <c r="CR368" i="2"/>
  <c r="CS368" i="2"/>
  <c r="CT368" i="2"/>
  <c r="CU368" i="2"/>
  <c r="CV368" i="2"/>
  <c r="CW368" i="2"/>
  <c r="CX368" i="2"/>
  <c r="CY368" i="2"/>
  <c r="CD369" i="2"/>
  <c r="CE369" i="2"/>
  <c r="CF369" i="2"/>
  <c r="CG369" i="2"/>
  <c r="CH369" i="2"/>
  <c r="CI369" i="2"/>
  <c r="CJ369" i="2"/>
  <c r="CK369" i="2"/>
  <c r="CL369" i="2"/>
  <c r="CM369" i="2"/>
  <c r="CN369" i="2"/>
  <c r="CO369" i="2"/>
  <c r="CP369" i="2"/>
  <c r="CQ369" i="2"/>
  <c r="CR369" i="2"/>
  <c r="CS369" i="2"/>
  <c r="CT369" i="2"/>
  <c r="CU369" i="2"/>
  <c r="CV369" i="2"/>
  <c r="CW369" i="2"/>
  <c r="CX369" i="2"/>
  <c r="CY369" i="2"/>
  <c r="CD370" i="2"/>
  <c r="CE370" i="2"/>
  <c r="CF370" i="2"/>
  <c r="CG370" i="2"/>
  <c r="CH370" i="2"/>
  <c r="CI370" i="2"/>
  <c r="CJ370" i="2"/>
  <c r="CK370" i="2"/>
  <c r="CL370" i="2"/>
  <c r="CM370" i="2"/>
  <c r="CN370" i="2"/>
  <c r="CO370" i="2"/>
  <c r="CP370" i="2"/>
  <c r="CQ370" i="2"/>
  <c r="CR370" i="2"/>
  <c r="CS370" i="2"/>
  <c r="CT370" i="2"/>
  <c r="CU370" i="2"/>
  <c r="CV370" i="2"/>
  <c r="CW370" i="2"/>
  <c r="CX370" i="2"/>
  <c r="CY370" i="2"/>
  <c r="CD7" i="2"/>
  <c r="CE7" i="2"/>
  <c r="CF7" i="2"/>
  <c r="CG7" i="2"/>
  <c r="CH7" i="2"/>
  <c r="CI7" i="2"/>
  <c r="CJ7" i="2"/>
  <c r="CK7" i="2"/>
  <c r="CL7" i="2"/>
  <c r="CM7" i="2"/>
  <c r="CN7" i="2"/>
  <c r="CO7" i="2"/>
  <c r="CP7" i="2"/>
  <c r="CQ7" i="2"/>
  <c r="CR7" i="2"/>
  <c r="CS7" i="2"/>
  <c r="CT7" i="2"/>
  <c r="CU7" i="2"/>
  <c r="CV7" i="2"/>
  <c r="CW7" i="2"/>
  <c r="CX7" i="2"/>
  <c r="CY7" i="2"/>
  <c r="CD8" i="2"/>
  <c r="CE8" i="2"/>
  <c r="CF8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CV8" i="2"/>
  <c r="CW8" i="2"/>
  <c r="CX8" i="2"/>
  <c r="CY8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CY9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CW11" i="2"/>
  <c r="CX11" i="2"/>
  <c r="CY11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CY12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CV13" i="2"/>
  <c r="CW13" i="2"/>
  <c r="CX13" i="2"/>
  <c r="CY13" i="2"/>
  <c r="CD14" i="2"/>
  <c r="CE14" i="2"/>
  <c r="CF14" i="2"/>
  <c r="CG14" i="2"/>
  <c r="CH14" i="2"/>
  <c r="CI14" i="2"/>
  <c r="CJ14" i="2"/>
  <c r="CK14" i="2"/>
  <c r="CL14" i="2"/>
  <c r="CM14" i="2"/>
  <c r="CN14" i="2"/>
  <c r="CO14" i="2"/>
  <c r="CP14" i="2"/>
  <c r="CQ14" i="2"/>
  <c r="CR14" i="2"/>
  <c r="CS14" i="2"/>
  <c r="CT14" i="2"/>
  <c r="CU14" i="2"/>
  <c r="CV14" i="2"/>
  <c r="CW14" i="2"/>
  <c r="CX14" i="2"/>
  <c r="CY14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CU15" i="2"/>
  <c r="CV15" i="2"/>
  <c r="CW15" i="2"/>
  <c r="CX15" i="2"/>
  <c r="CY15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CY16" i="2"/>
  <c r="CD17" i="2"/>
  <c r="CE17" i="2"/>
  <c r="CF17" i="2"/>
  <c r="CG17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CT17" i="2"/>
  <c r="CU17" i="2"/>
  <c r="CV17" i="2"/>
  <c r="CW17" i="2"/>
  <c r="CX17" i="2"/>
  <c r="CY17" i="2"/>
  <c r="CD18" i="2"/>
  <c r="CE18" i="2"/>
  <c r="CF18" i="2"/>
  <c r="CG18" i="2"/>
  <c r="CH18" i="2"/>
  <c r="CI18" i="2"/>
  <c r="CJ18" i="2"/>
  <c r="CK18" i="2"/>
  <c r="CL18" i="2"/>
  <c r="CM18" i="2"/>
  <c r="CN18" i="2"/>
  <c r="CO18" i="2"/>
  <c r="CP18" i="2"/>
  <c r="CQ18" i="2"/>
  <c r="CR18" i="2"/>
  <c r="CS18" i="2"/>
  <c r="CT18" i="2"/>
  <c r="CU18" i="2"/>
  <c r="CV18" i="2"/>
  <c r="CW18" i="2"/>
  <c r="CX18" i="2"/>
  <c r="CY18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CW19" i="2"/>
  <c r="CX19" i="2"/>
  <c r="CY19" i="2"/>
  <c r="CD20" i="2"/>
  <c r="CE20" i="2"/>
  <c r="CF20" i="2"/>
  <c r="CG20" i="2"/>
  <c r="CH20" i="2"/>
  <c r="CI20" i="2"/>
  <c r="CJ20" i="2"/>
  <c r="CK20" i="2"/>
  <c r="CL20" i="2"/>
  <c r="CM20" i="2"/>
  <c r="CN20" i="2"/>
  <c r="CO20" i="2"/>
  <c r="CP20" i="2"/>
  <c r="CQ20" i="2"/>
  <c r="CR20" i="2"/>
  <c r="CS20" i="2"/>
  <c r="CT20" i="2"/>
  <c r="CU20" i="2"/>
  <c r="CV20" i="2"/>
  <c r="CW20" i="2"/>
  <c r="CX20" i="2"/>
  <c r="CY20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CU21" i="2"/>
  <c r="CV21" i="2"/>
  <c r="CW21" i="2"/>
  <c r="CX21" i="2"/>
  <c r="CY21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CX22" i="2"/>
  <c r="CY22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CW23" i="2"/>
  <c r="CX23" i="2"/>
  <c r="CY23" i="2"/>
  <c r="CD24" i="2"/>
  <c r="CE24" i="2"/>
  <c r="CF24" i="2"/>
  <c r="CG24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CT24" i="2"/>
  <c r="CU24" i="2"/>
  <c r="CV24" i="2"/>
  <c r="CW24" i="2"/>
  <c r="CX24" i="2"/>
  <c r="CY24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CV25" i="2"/>
  <c r="CW25" i="2"/>
  <c r="CX25" i="2"/>
  <c r="CY25" i="2"/>
  <c r="CD26" i="2"/>
  <c r="CE26" i="2"/>
  <c r="CF26" i="2"/>
  <c r="CG26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CT26" i="2"/>
  <c r="CU26" i="2"/>
  <c r="CV26" i="2"/>
  <c r="CW26" i="2"/>
  <c r="CX26" i="2"/>
  <c r="CY26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CW27" i="2"/>
  <c r="CX27" i="2"/>
  <c r="CY27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CU28" i="2"/>
  <c r="CV28" i="2"/>
  <c r="CW28" i="2"/>
  <c r="CX28" i="2"/>
  <c r="CY28" i="2"/>
  <c r="CD29" i="2"/>
  <c r="CE29" i="2"/>
  <c r="CF29" i="2"/>
  <c r="CG29" i="2"/>
  <c r="CH29" i="2"/>
  <c r="CI29" i="2"/>
  <c r="CJ29" i="2"/>
  <c r="CK29" i="2"/>
  <c r="CL29" i="2"/>
  <c r="CM29" i="2"/>
  <c r="CN29" i="2"/>
  <c r="CO29" i="2"/>
  <c r="CP29" i="2"/>
  <c r="CQ29" i="2"/>
  <c r="CR29" i="2"/>
  <c r="CS29" i="2"/>
  <c r="CT29" i="2"/>
  <c r="CU29" i="2"/>
  <c r="CV29" i="2"/>
  <c r="CW29" i="2"/>
  <c r="CX29" i="2"/>
  <c r="CY29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CU30" i="2"/>
  <c r="CV30" i="2"/>
  <c r="CW30" i="2"/>
  <c r="CX30" i="2"/>
  <c r="CY30" i="2"/>
  <c r="CD31" i="2"/>
  <c r="CE31" i="2"/>
  <c r="CF31" i="2"/>
  <c r="CG31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CT31" i="2"/>
  <c r="CU31" i="2"/>
  <c r="CV31" i="2"/>
  <c r="CW31" i="2"/>
  <c r="CX31" i="2"/>
  <c r="CY31" i="2"/>
  <c r="CD32" i="2"/>
  <c r="CE32" i="2"/>
  <c r="CF32" i="2"/>
  <c r="CG32" i="2"/>
  <c r="CH32" i="2"/>
  <c r="CI32" i="2"/>
  <c r="CJ32" i="2"/>
  <c r="CK32" i="2"/>
  <c r="CL32" i="2"/>
  <c r="CM32" i="2"/>
  <c r="CN32" i="2"/>
  <c r="CO32" i="2"/>
  <c r="CP32" i="2"/>
  <c r="CQ32" i="2"/>
  <c r="CR32" i="2"/>
  <c r="CS32" i="2"/>
  <c r="CT32" i="2"/>
  <c r="CU32" i="2"/>
  <c r="CV32" i="2"/>
  <c r="CW32" i="2"/>
  <c r="CX32" i="2"/>
  <c r="CY32" i="2"/>
  <c r="CD33" i="2"/>
  <c r="CE33" i="2"/>
  <c r="CF33" i="2"/>
  <c r="CG33" i="2"/>
  <c r="CH33" i="2"/>
  <c r="CI33" i="2"/>
  <c r="CJ33" i="2"/>
  <c r="CK33" i="2"/>
  <c r="CL33" i="2"/>
  <c r="CM33" i="2"/>
  <c r="CN33" i="2"/>
  <c r="CO33" i="2"/>
  <c r="CP33" i="2"/>
  <c r="CQ33" i="2"/>
  <c r="CR33" i="2"/>
  <c r="CS33" i="2"/>
  <c r="CT33" i="2"/>
  <c r="CU33" i="2"/>
  <c r="CV33" i="2"/>
  <c r="CW33" i="2"/>
  <c r="CX33" i="2"/>
  <c r="CY33" i="2"/>
  <c r="CD34" i="2"/>
  <c r="CE34" i="2"/>
  <c r="CF34" i="2"/>
  <c r="CG34" i="2"/>
  <c r="CH34" i="2"/>
  <c r="CI34" i="2"/>
  <c r="CJ34" i="2"/>
  <c r="CK34" i="2"/>
  <c r="CL34" i="2"/>
  <c r="CM34" i="2"/>
  <c r="CN34" i="2"/>
  <c r="CO34" i="2"/>
  <c r="CP34" i="2"/>
  <c r="CQ34" i="2"/>
  <c r="CR34" i="2"/>
  <c r="CS34" i="2"/>
  <c r="CT34" i="2"/>
  <c r="CU34" i="2"/>
  <c r="CV34" i="2"/>
  <c r="CW34" i="2"/>
  <c r="CX34" i="2"/>
  <c r="CY34" i="2"/>
  <c r="CD35" i="2"/>
  <c r="CE35" i="2"/>
  <c r="CF35" i="2"/>
  <c r="CG35" i="2"/>
  <c r="CH35" i="2"/>
  <c r="CI35" i="2"/>
  <c r="CJ35" i="2"/>
  <c r="CK35" i="2"/>
  <c r="CL35" i="2"/>
  <c r="CM35" i="2"/>
  <c r="CN35" i="2"/>
  <c r="CO35" i="2"/>
  <c r="CP35" i="2"/>
  <c r="CQ35" i="2"/>
  <c r="CR35" i="2"/>
  <c r="CS35" i="2"/>
  <c r="CT35" i="2"/>
  <c r="CU35" i="2"/>
  <c r="CV35" i="2"/>
  <c r="CW35" i="2"/>
  <c r="CX35" i="2"/>
  <c r="CY35" i="2"/>
  <c r="CD36" i="2"/>
  <c r="CE36" i="2"/>
  <c r="CF36" i="2"/>
  <c r="CG36" i="2"/>
  <c r="CH36" i="2"/>
  <c r="CI36" i="2"/>
  <c r="CJ36" i="2"/>
  <c r="CK36" i="2"/>
  <c r="CL36" i="2"/>
  <c r="CM36" i="2"/>
  <c r="CN36" i="2"/>
  <c r="CO36" i="2"/>
  <c r="CP36" i="2"/>
  <c r="CQ36" i="2"/>
  <c r="CR36" i="2"/>
  <c r="CS36" i="2"/>
  <c r="CT36" i="2"/>
  <c r="CU36" i="2"/>
  <c r="CV36" i="2"/>
  <c r="CW36" i="2"/>
  <c r="CX36" i="2"/>
  <c r="CY36" i="2"/>
  <c r="CD37" i="2"/>
  <c r="CE37" i="2"/>
  <c r="CF37" i="2"/>
  <c r="CG37" i="2"/>
  <c r="BU6" i="5" s="1" a="1"/>
  <c r="BU6" i="5" s="1"/>
  <c r="CH37" i="2"/>
  <c r="CI37" i="2"/>
  <c r="CJ37" i="2"/>
  <c r="CK37" i="2"/>
  <c r="CL37" i="2"/>
  <c r="CM37" i="2"/>
  <c r="CN37" i="2"/>
  <c r="CO37" i="2"/>
  <c r="CP37" i="2"/>
  <c r="CD6" i="5" s="1" a="1"/>
  <c r="CD6" i="5" s="1"/>
  <c r="CQ37" i="2"/>
  <c r="CR37" i="2"/>
  <c r="CF6" i="5" s="1" a="1"/>
  <c r="CF6" i="5" s="1"/>
  <c r="CS37" i="2"/>
  <c r="CT37" i="2"/>
  <c r="CH6" i="5" s="1" a="1"/>
  <c r="CH6" i="5" s="1"/>
  <c r="CU37" i="2"/>
  <c r="CI6" i="5" s="1" a="1"/>
  <c r="CI6" i="5" s="1"/>
  <c r="CV37" i="2"/>
  <c r="CW37" i="2"/>
  <c r="CX37" i="2"/>
  <c r="CY37" i="2"/>
  <c r="CD38" i="2"/>
  <c r="CE38" i="2"/>
  <c r="CF38" i="2"/>
  <c r="CG38" i="2"/>
  <c r="CH38" i="2"/>
  <c r="CI38" i="2"/>
  <c r="CJ38" i="2"/>
  <c r="CK38" i="2"/>
  <c r="CL38" i="2"/>
  <c r="CM38" i="2"/>
  <c r="CN38" i="2"/>
  <c r="CO38" i="2"/>
  <c r="CP38" i="2"/>
  <c r="CQ38" i="2"/>
  <c r="CR38" i="2"/>
  <c r="CS38" i="2"/>
  <c r="CT38" i="2"/>
  <c r="CU38" i="2"/>
  <c r="CV38" i="2"/>
  <c r="CW38" i="2"/>
  <c r="CX38" i="2"/>
  <c r="CY38" i="2"/>
  <c r="CD39" i="2"/>
  <c r="CE39" i="2"/>
  <c r="CF39" i="2"/>
  <c r="CG39" i="2"/>
  <c r="CH39" i="2"/>
  <c r="CI39" i="2"/>
  <c r="CJ39" i="2"/>
  <c r="CK39" i="2"/>
  <c r="CL39" i="2"/>
  <c r="CM39" i="2"/>
  <c r="CN39" i="2"/>
  <c r="CO39" i="2"/>
  <c r="CP39" i="2"/>
  <c r="CQ39" i="2"/>
  <c r="CR39" i="2"/>
  <c r="CS39" i="2"/>
  <c r="CT39" i="2"/>
  <c r="CU39" i="2"/>
  <c r="CV39" i="2"/>
  <c r="CW39" i="2"/>
  <c r="CX39" i="2"/>
  <c r="CY39" i="2"/>
  <c r="CD40" i="2"/>
  <c r="CE40" i="2"/>
  <c r="CF40" i="2"/>
  <c r="CG40" i="2"/>
  <c r="CH40" i="2"/>
  <c r="CI40" i="2"/>
  <c r="CJ40" i="2"/>
  <c r="CK40" i="2"/>
  <c r="CL40" i="2"/>
  <c r="CM40" i="2"/>
  <c r="CN40" i="2"/>
  <c r="CO40" i="2"/>
  <c r="CP40" i="2"/>
  <c r="CQ40" i="2"/>
  <c r="CR40" i="2"/>
  <c r="CS40" i="2"/>
  <c r="CT40" i="2"/>
  <c r="CU40" i="2"/>
  <c r="CV40" i="2"/>
  <c r="CW40" i="2"/>
  <c r="CX40" i="2"/>
  <c r="CY40" i="2"/>
  <c r="CD41" i="2"/>
  <c r="CE41" i="2"/>
  <c r="CF41" i="2"/>
  <c r="CG41" i="2"/>
  <c r="CH41" i="2"/>
  <c r="CI41" i="2"/>
  <c r="CJ41" i="2"/>
  <c r="CK41" i="2"/>
  <c r="CL41" i="2"/>
  <c r="CM41" i="2"/>
  <c r="CN41" i="2"/>
  <c r="CO41" i="2"/>
  <c r="CP41" i="2"/>
  <c r="CQ41" i="2"/>
  <c r="CR41" i="2"/>
  <c r="CS41" i="2"/>
  <c r="CT41" i="2"/>
  <c r="CU41" i="2"/>
  <c r="CV41" i="2"/>
  <c r="CW41" i="2"/>
  <c r="CX41" i="2"/>
  <c r="CY41" i="2"/>
  <c r="CD42" i="2"/>
  <c r="CE42" i="2"/>
  <c r="CF42" i="2"/>
  <c r="CG42" i="2"/>
  <c r="CH42" i="2"/>
  <c r="CI42" i="2"/>
  <c r="CJ42" i="2"/>
  <c r="CK42" i="2"/>
  <c r="CL42" i="2"/>
  <c r="CM42" i="2"/>
  <c r="CN42" i="2"/>
  <c r="CO42" i="2"/>
  <c r="CP42" i="2"/>
  <c r="CQ42" i="2"/>
  <c r="CR42" i="2"/>
  <c r="CS42" i="2"/>
  <c r="CT42" i="2"/>
  <c r="CU42" i="2"/>
  <c r="CV42" i="2"/>
  <c r="CW42" i="2"/>
  <c r="CX42" i="2"/>
  <c r="CY42" i="2"/>
  <c r="CD43" i="2"/>
  <c r="CE43" i="2"/>
  <c r="CF43" i="2"/>
  <c r="CG43" i="2"/>
  <c r="CH43" i="2"/>
  <c r="CI43" i="2"/>
  <c r="CJ43" i="2"/>
  <c r="CK43" i="2"/>
  <c r="CL43" i="2"/>
  <c r="CM43" i="2"/>
  <c r="CN43" i="2"/>
  <c r="CO43" i="2"/>
  <c r="CP43" i="2"/>
  <c r="CQ43" i="2"/>
  <c r="CR43" i="2"/>
  <c r="CS43" i="2"/>
  <c r="CT43" i="2"/>
  <c r="CU43" i="2"/>
  <c r="CV43" i="2"/>
  <c r="CW43" i="2"/>
  <c r="CX43" i="2"/>
  <c r="CY43" i="2"/>
  <c r="CD44" i="2"/>
  <c r="CE44" i="2"/>
  <c r="CF44" i="2"/>
  <c r="CG44" i="2"/>
  <c r="CH44" i="2"/>
  <c r="CI44" i="2"/>
  <c r="CJ44" i="2"/>
  <c r="CK44" i="2"/>
  <c r="CL44" i="2"/>
  <c r="CM44" i="2"/>
  <c r="CN44" i="2"/>
  <c r="CO44" i="2"/>
  <c r="CP44" i="2"/>
  <c r="CQ44" i="2"/>
  <c r="CR44" i="2"/>
  <c r="CS44" i="2"/>
  <c r="CT44" i="2"/>
  <c r="CU44" i="2"/>
  <c r="CV44" i="2"/>
  <c r="CW44" i="2"/>
  <c r="CX44" i="2"/>
  <c r="CY44" i="2"/>
  <c r="CD45" i="2"/>
  <c r="CE45" i="2"/>
  <c r="CF45" i="2"/>
  <c r="CG45" i="2"/>
  <c r="CH45" i="2"/>
  <c r="CI45" i="2"/>
  <c r="CJ45" i="2"/>
  <c r="CK45" i="2"/>
  <c r="CL45" i="2"/>
  <c r="CM45" i="2"/>
  <c r="CN45" i="2"/>
  <c r="CO45" i="2"/>
  <c r="CP45" i="2"/>
  <c r="CQ45" i="2"/>
  <c r="CR45" i="2"/>
  <c r="CS45" i="2"/>
  <c r="CT45" i="2"/>
  <c r="CU45" i="2"/>
  <c r="CV45" i="2"/>
  <c r="CW45" i="2"/>
  <c r="CX45" i="2"/>
  <c r="CY45" i="2"/>
  <c r="CD46" i="2"/>
  <c r="CE46" i="2"/>
  <c r="CF46" i="2"/>
  <c r="CG46" i="2"/>
  <c r="CH46" i="2"/>
  <c r="CI46" i="2"/>
  <c r="CJ46" i="2"/>
  <c r="CK46" i="2"/>
  <c r="CL46" i="2"/>
  <c r="CM46" i="2"/>
  <c r="CN46" i="2"/>
  <c r="CO46" i="2"/>
  <c r="CP46" i="2"/>
  <c r="CQ46" i="2"/>
  <c r="CR46" i="2"/>
  <c r="CS46" i="2"/>
  <c r="CT46" i="2"/>
  <c r="CU46" i="2"/>
  <c r="CV46" i="2"/>
  <c r="CW46" i="2"/>
  <c r="CX46" i="2"/>
  <c r="CY46" i="2"/>
  <c r="CE6" i="2"/>
  <c r="BS5" i="5" s="1" a="1"/>
  <c r="BS5" i="5" s="1"/>
  <c r="CF6" i="2"/>
  <c r="BT5" i="5" s="1" a="1"/>
  <c r="BT5" i="5" s="1"/>
  <c r="CG6" i="2"/>
  <c r="CH6" i="2"/>
  <c r="BV5" i="5" s="1" a="1"/>
  <c r="BV5" i="5" s="1"/>
  <c r="CI6" i="2"/>
  <c r="BW5" i="5" s="1" a="1"/>
  <c r="BW5" i="5" s="1"/>
  <c r="CJ6" i="2"/>
  <c r="BX5" i="5" s="1" a="1"/>
  <c r="BX5" i="5" s="1"/>
  <c r="CK6" i="2"/>
  <c r="BY5" i="5" s="1" a="1"/>
  <c r="BY5" i="5" s="1"/>
  <c r="CL6" i="2"/>
  <c r="BZ5" i="5" s="1" a="1"/>
  <c r="BZ5" i="5" s="1"/>
  <c r="CM6" i="2"/>
  <c r="CA5" i="5" s="1" a="1"/>
  <c r="CA5" i="5" s="1"/>
  <c r="CN6" i="2"/>
  <c r="CB5" i="5" s="1" a="1"/>
  <c r="CB5" i="5" s="1"/>
  <c r="CO6" i="2"/>
  <c r="CC5" i="5" s="1" a="1"/>
  <c r="CC5" i="5" s="1"/>
  <c r="CP6" i="2"/>
  <c r="CD5" i="5" s="1" a="1"/>
  <c r="CD5" i="5" s="1"/>
  <c r="CQ6" i="2"/>
  <c r="CE5" i="5" s="1" a="1"/>
  <c r="CE5" i="5" s="1"/>
  <c r="CR6" i="2"/>
  <c r="CF5" i="5" s="1" a="1"/>
  <c r="CF5" i="5" s="1"/>
  <c r="CS6" i="2"/>
  <c r="CG5" i="5" s="1" a="1"/>
  <c r="CG5" i="5" s="1"/>
  <c r="CT6" i="2"/>
  <c r="CU6" i="2"/>
  <c r="CI5" i="5" s="1" a="1"/>
  <c r="CI5" i="5" s="1"/>
  <c r="CV6" i="2"/>
  <c r="CJ5" i="5" s="1" a="1"/>
  <c r="CJ5" i="5" s="1"/>
  <c r="CW6" i="2"/>
  <c r="CK5" i="5" s="1" a="1"/>
  <c r="CK5" i="5" s="1"/>
  <c r="CX6" i="2"/>
  <c r="CL5" i="5" s="1" a="1"/>
  <c r="CL5" i="5" s="1"/>
  <c r="CY6" i="2"/>
  <c r="CM5" i="5" s="1" a="1"/>
  <c r="CM5" i="5" s="1"/>
  <c r="CD6" i="2"/>
  <c r="BR5" i="5" s="1" a="1"/>
  <c r="BR5" i="5" s="1"/>
  <c r="CC6" i="5" l="1" a="1"/>
  <c r="CC6" i="5" s="1"/>
  <c r="CC16" i="5" a="1"/>
  <c r="CC16" i="5" s="1"/>
  <c r="CC15" i="5" a="1"/>
  <c r="CC15" i="5" s="1"/>
  <c r="CC14" i="5" a="1"/>
  <c r="CC14" i="5" s="1"/>
  <c r="CC13" i="5" a="1"/>
  <c r="CC13" i="5" s="1"/>
  <c r="CC12" i="5" a="1"/>
  <c r="CC12" i="5" s="1"/>
  <c r="CC11" i="5" a="1"/>
  <c r="CC11" i="5" s="1"/>
  <c r="CC10" i="5" a="1"/>
  <c r="CC10" i="5" s="1"/>
  <c r="CC9" i="5" a="1"/>
  <c r="CC9" i="5" s="1"/>
  <c r="CC8" i="5" a="1"/>
  <c r="CC8" i="5" s="1"/>
  <c r="CC7" i="5" a="1"/>
  <c r="CC7" i="5" s="1"/>
  <c r="CB6" i="5" a="1"/>
  <c r="CB6" i="5" s="1"/>
  <c r="CB16" i="5" a="1"/>
  <c r="CB16" i="5" s="1"/>
  <c r="CB15" i="5" a="1"/>
  <c r="CB15" i="5" s="1"/>
  <c r="CB14" i="5" a="1"/>
  <c r="CB14" i="5" s="1"/>
  <c r="CB13" i="5" a="1"/>
  <c r="CB13" i="5" s="1"/>
  <c r="CB12" i="5" a="1"/>
  <c r="CB12" i="5" s="1"/>
  <c r="CB11" i="5" a="1"/>
  <c r="CB11" i="5" s="1"/>
  <c r="CB10" i="5" a="1"/>
  <c r="CB10" i="5" s="1"/>
  <c r="CB9" i="5" a="1"/>
  <c r="CB9" i="5" s="1"/>
  <c r="CB8" i="5" a="1"/>
  <c r="CB8" i="5" s="1"/>
  <c r="CB7" i="5" a="1"/>
  <c r="CB7" i="5" s="1"/>
  <c r="CA6" i="5" a="1"/>
  <c r="CA6" i="5" s="1"/>
  <c r="CA16" i="5" a="1"/>
  <c r="CA16" i="5" s="1"/>
  <c r="CA15" i="5" a="1"/>
  <c r="CA15" i="5" s="1"/>
  <c r="CA14" i="5" a="1"/>
  <c r="CA14" i="5" s="1"/>
  <c r="CA13" i="5" a="1"/>
  <c r="CA13" i="5" s="1"/>
  <c r="CA12" i="5" a="1"/>
  <c r="CA12" i="5" s="1"/>
  <c r="CA11" i="5" a="1"/>
  <c r="CA11" i="5" s="1"/>
  <c r="CA10" i="5" a="1"/>
  <c r="CA10" i="5" s="1"/>
  <c r="CA9" i="5" a="1"/>
  <c r="CA9" i="5" s="1"/>
  <c r="CA8" i="5" a="1"/>
  <c r="CA8" i="5" s="1"/>
  <c r="CA7" i="5" a="1"/>
  <c r="CA7" i="5" s="1"/>
  <c r="BZ6" i="5" a="1"/>
  <c r="BZ6" i="5" s="1"/>
  <c r="BZ16" i="5" a="1"/>
  <c r="BZ16" i="5" s="1"/>
  <c r="BZ15" i="5" a="1"/>
  <c r="BZ15" i="5" s="1"/>
  <c r="BZ14" i="5" a="1"/>
  <c r="BZ14" i="5" s="1"/>
  <c r="BZ13" i="5" a="1"/>
  <c r="BZ13" i="5" s="1"/>
  <c r="BZ12" i="5" a="1"/>
  <c r="BZ12" i="5" s="1"/>
  <c r="BZ11" i="5" a="1"/>
  <c r="BZ11" i="5" s="1"/>
  <c r="BZ10" i="5" a="1"/>
  <c r="BZ10" i="5" s="1"/>
  <c r="BZ9" i="5" a="1"/>
  <c r="BZ9" i="5" s="1"/>
  <c r="BZ8" i="5" a="1"/>
  <c r="BZ8" i="5" s="1"/>
  <c r="BZ7" i="5" a="1"/>
  <c r="BZ7" i="5" s="1"/>
  <c r="BY6" i="5" a="1"/>
  <c r="BY6" i="5" s="1"/>
  <c r="BY17" i="5" s="1"/>
  <c r="BY16" i="5" a="1"/>
  <c r="BY16" i="5" s="1"/>
  <c r="BY15" i="5" a="1"/>
  <c r="BY15" i="5" s="1"/>
  <c r="BY14" i="5" a="1"/>
  <c r="BY14" i="5" s="1"/>
  <c r="BY13" i="5" a="1"/>
  <c r="BY13" i="5" s="1"/>
  <c r="BY12" i="5" a="1"/>
  <c r="BY12" i="5" s="1"/>
  <c r="BY11" i="5" a="1"/>
  <c r="BY11" i="5" s="1"/>
  <c r="BY10" i="5" a="1"/>
  <c r="BY10" i="5" s="1"/>
  <c r="BY9" i="5" a="1"/>
  <c r="BY9" i="5" s="1"/>
  <c r="BY8" i="5" a="1"/>
  <c r="BY8" i="5" s="1"/>
  <c r="BY7" i="5" a="1"/>
  <c r="BY7" i="5" s="1"/>
  <c r="BX6" i="5" a="1"/>
  <c r="BX6" i="5" s="1"/>
  <c r="BX16" i="5" a="1"/>
  <c r="BX16" i="5" s="1"/>
  <c r="BX15" i="5" a="1"/>
  <c r="BX15" i="5" s="1"/>
  <c r="BX14" i="5" a="1"/>
  <c r="BX14" i="5" s="1"/>
  <c r="BX13" i="5" a="1"/>
  <c r="BX13" i="5" s="1"/>
  <c r="BX12" i="5" a="1"/>
  <c r="BX12" i="5" s="1"/>
  <c r="BX11" i="5" a="1"/>
  <c r="BX11" i="5" s="1"/>
  <c r="BX10" i="5" a="1"/>
  <c r="BX10" i="5" s="1"/>
  <c r="BX9" i="5" a="1"/>
  <c r="BX9" i="5" s="1"/>
  <c r="BX8" i="5" a="1"/>
  <c r="BX8" i="5" s="1"/>
  <c r="BX7" i="5" a="1"/>
  <c r="BX7" i="5" s="1"/>
  <c r="BW6" i="5" a="1"/>
  <c r="BW6" i="5" s="1"/>
  <c r="BW16" i="5" a="1"/>
  <c r="BW16" i="5" s="1"/>
  <c r="BW15" i="5" a="1"/>
  <c r="BW15" i="5" s="1"/>
  <c r="BW14" i="5" a="1"/>
  <c r="BW14" i="5" s="1"/>
  <c r="BW13" i="5" a="1"/>
  <c r="BW13" i="5" s="1"/>
  <c r="BW12" i="5" a="1"/>
  <c r="BW12" i="5" s="1"/>
  <c r="BW11" i="5" a="1"/>
  <c r="BW11" i="5" s="1"/>
  <c r="BW10" i="5" a="1"/>
  <c r="BW10" i="5" s="1"/>
  <c r="BW9" i="5" a="1"/>
  <c r="BW9" i="5" s="1"/>
  <c r="BW8" i="5" a="1"/>
  <c r="BW8" i="5" s="1"/>
  <c r="BW7" i="5" a="1"/>
  <c r="BW7" i="5" s="1"/>
  <c r="BV6" i="5" a="1"/>
  <c r="BV6" i="5" s="1"/>
  <c r="BV16" i="5" a="1"/>
  <c r="BV16" i="5" s="1"/>
  <c r="BV15" i="5" a="1"/>
  <c r="BV15" i="5" s="1"/>
  <c r="BV14" i="5" a="1"/>
  <c r="BV14" i="5" s="1"/>
  <c r="BV13" i="5" a="1"/>
  <c r="BV13" i="5" s="1"/>
  <c r="BV12" i="5" a="1"/>
  <c r="BV12" i="5" s="1"/>
  <c r="BV11" i="5" a="1"/>
  <c r="BV11" i="5" s="1"/>
  <c r="BV10" i="5" a="1"/>
  <c r="BV10" i="5" s="1"/>
  <c r="BV9" i="5" a="1"/>
  <c r="BV9" i="5" s="1"/>
  <c r="BV8" i="5" a="1"/>
  <c r="BV8" i="5" s="1"/>
  <c r="BV7" i="5" a="1"/>
  <c r="BV7" i="5" s="1"/>
  <c r="BU13" i="5" a="1"/>
  <c r="BU13" i="5" s="1"/>
  <c r="BU12" i="5" a="1"/>
  <c r="BU12" i="5" s="1"/>
  <c r="BU11" i="5" a="1"/>
  <c r="BU11" i="5" s="1"/>
  <c r="BU10" i="5" a="1"/>
  <c r="BU10" i="5" s="1"/>
  <c r="BU9" i="5" a="1"/>
  <c r="BU9" i="5" s="1"/>
  <c r="BU8" i="5" a="1"/>
  <c r="BU8" i="5" s="1"/>
  <c r="BU7" i="5" a="1"/>
  <c r="BU7" i="5" s="1"/>
  <c r="BU5" i="5" a="1"/>
  <c r="BU5" i="5" s="1"/>
  <c r="BT6" i="5" a="1"/>
  <c r="BT6" i="5" s="1"/>
  <c r="BT16" i="5" a="1"/>
  <c r="BT16" i="5" s="1"/>
  <c r="BT15" i="5" a="1"/>
  <c r="BT15" i="5" s="1"/>
  <c r="BT14" i="5" a="1"/>
  <c r="BT14" i="5" s="1"/>
  <c r="BT13" i="5" a="1"/>
  <c r="BT13" i="5" s="1"/>
  <c r="BT12" i="5" a="1"/>
  <c r="BT12" i="5" s="1"/>
  <c r="BT11" i="5" a="1"/>
  <c r="BT11" i="5" s="1"/>
  <c r="BT10" i="5" a="1"/>
  <c r="BT10" i="5" s="1"/>
  <c r="BT9" i="5" a="1"/>
  <c r="BT9" i="5" s="1"/>
  <c r="BT8" i="5" a="1"/>
  <c r="BT8" i="5" s="1"/>
  <c r="BT7" i="5" a="1"/>
  <c r="BT7" i="5" s="1"/>
  <c r="BS6" i="5" a="1"/>
  <c r="BS6" i="5" s="1"/>
  <c r="BS16" i="5" a="1"/>
  <c r="BS16" i="5" s="1"/>
  <c r="BS15" i="5" a="1"/>
  <c r="BS15" i="5" s="1"/>
  <c r="BS14" i="5" a="1"/>
  <c r="BS14" i="5" s="1"/>
  <c r="BS13" i="5" a="1"/>
  <c r="BS13" i="5" s="1"/>
  <c r="BS12" i="5" a="1"/>
  <c r="BS12" i="5" s="1"/>
  <c r="BS11" i="5" a="1"/>
  <c r="BS11" i="5" s="1"/>
  <c r="BS10" i="5" a="1"/>
  <c r="BS10" i="5" s="1"/>
  <c r="BS9" i="5" a="1"/>
  <c r="BS9" i="5" s="1"/>
  <c r="BS8" i="5" a="1"/>
  <c r="BS8" i="5" s="1"/>
  <c r="BS7" i="5" a="1"/>
  <c r="BS7" i="5" s="1"/>
  <c r="BR6" i="5" a="1"/>
  <c r="BR6" i="5" s="1"/>
  <c r="BR17" i="5" s="1"/>
  <c r="BR16" i="5" a="1"/>
  <c r="BR16" i="5" s="1"/>
  <c r="BR15" i="5" a="1"/>
  <c r="BR15" i="5" s="1"/>
  <c r="BR14" i="5" a="1"/>
  <c r="BR14" i="5" s="1"/>
  <c r="BR13" i="5" a="1"/>
  <c r="BR13" i="5" s="1"/>
  <c r="BR12" i="5" a="1"/>
  <c r="BR12" i="5" s="1"/>
  <c r="BR11" i="5" a="1"/>
  <c r="BR11" i="5" s="1"/>
  <c r="BR10" i="5" a="1"/>
  <c r="BR10" i="5" s="1"/>
  <c r="BR9" i="5" a="1"/>
  <c r="BR9" i="5" s="1"/>
  <c r="BR8" i="5" a="1"/>
  <c r="BR8" i="5" s="1"/>
  <c r="BR7" i="5" a="1"/>
  <c r="BR7" i="5" s="1"/>
  <c r="CM6" i="5" a="1"/>
  <c r="CM6" i="5" s="1"/>
  <c r="CM16" i="5" a="1"/>
  <c r="CM16" i="5" s="1"/>
  <c r="CM15" i="5" a="1"/>
  <c r="CM15" i="5" s="1"/>
  <c r="CM14" i="5" a="1"/>
  <c r="CM14" i="5" s="1"/>
  <c r="CM13" i="5" a="1"/>
  <c r="CM13" i="5" s="1"/>
  <c r="CM12" i="5" a="1"/>
  <c r="CM12" i="5" s="1"/>
  <c r="CM11" i="5" a="1"/>
  <c r="CM11" i="5" s="1"/>
  <c r="CM10" i="5" a="1"/>
  <c r="CM10" i="5" s="1"/>
  <c r="CM9" i="5" a="1"/>
  <c r="CM9" i="5" s="1"/>
  <c r="CM8" i="5" a="1"/>
  <c r="CM8" i="5" s="1"/>
  <c r="CM7" i="5" a="1"/>
  <c r="CM7" i="5" s="1"/>
  <c r="CL6" i="5" a="1"/>
  <c r="CL6" i="5" s="1"/>
  <c r="CL17" i="5" s="1"/>
  <c r="CL16" i="5" a="1"/>
  <c r="CL16" i="5" s="1"/>
  <c r="CL15" i="5" a="1"/>
  <c r="CL15" i="5" s="1"/>
  <c r="CL14" i="5" a="1"/>
  <c r="CL14" i="5" s="1"/>
  <c r="CL13" i="5" a="1"/>
  <c r="CL13" i="5" s="1"/>
  <c r="CL12" i="5" a="1"/>
  <c r="CL12" i="5" s="1"/>
  <c r="CL11" i="5" a="1"/>
  <c r="CL11" i="5" s="1"/>
  <c r="CL10" i="5" a="1"/>
  <c r="CL10" i="5" s="1"/>
  <c r="CL9" i="5" a="1"/>
  <c r="CL9" i="5" s="1"/>
  <c r="CL8" i="5" a="1"/>
  <c r="CL8" i="5" s="1"/>
  <c r="CL7" i="5" a="1"/>
  <c r="CL7" i="5" s="1"/>
  <c r="CK6" i="5" a="1"/>
  <c r="CK6" i="5" s="1"/>
  <c r="CK17" i="5" s="1"/>
  <c r="CK16" i="5" a="1"/>
  <c r="CK16" i="5" s="1"/>
  <c r="CK15" i="5" a="1"/>
  <c r="CK15" i="5" s="1"/>
  <c r="CK14" i="5" a="1"/>
  <c r="CK14" i="5" s="1"/>
  <c r="CK13" i="5" a="1"/>
  <c r="CK13" i="5" s="1"/>
  <c r="CK12" i="5" a="1"/>
  <c r="CK12" i="5" s="1"/>
  <c r="CK11" i="5" a="1"/>
  <c r="CK11" i="5" s="1"/>
  <c r="CK10" i="5" a="1"/>
  <c r="CK10" i="5" s="1"/>
  <c r="CK9" i="5" a="1"/>
  <c r="CK9" i="5" s="1"/>
  <c r="CK8" i="5" a="1"/>
  <c r="CK8" i="5" s="1"/>
  <c r="CK7" i="5" a="1"/>
  <c r="CK7" i="5" s="1"/>
  <c r="CJ6" i="5" a="1"/>
  <c r="CJ6" i="5" s="1"/>
  <c r="CJ16" i="5" a="1"/>
  <c r="CJ16" i="5" s="1"/>
  <c r="CJ15" i="5" a="1"/>
  <c r="CJ15" i="5" s="1"/>
  <c r="CJ14" i="5" a="1"/>
  <c r="CJ14" i="5" s="1"/>
  <c r="CJ13" i="5" a="1"/>
  <c r="CJ13" i="5" s="1"/>
  <c r="CJ12" i="5" a="1"/>
  <c r="CJ12" i="5" s="1"/>
  <c r="CJ11" i="5" a="1"/>
  <c r="CJ11" i="5" s="1"/>
  <c r="CJ10" i="5" a="1"/>
  <c r="CJ10" i="5" s="1"/>
  <c r="CJ9" i="5" a="1"/>
  <c r="CJ9" i="5" s="1"/>
  <c r="CJ8" i="5" a="1"/>
  <c r="CJ8" i="5" s="1"/>
  <c r="CJ7" i="5" a="1"/>
  <c r="CJ7" i="5" s="1"/>
  <c r="CI14" i="5" a="1"/>
  <c r="CI14" i="5" s="1"/>
  <c r="CI13" i="5" a="1"/>
  <c r="CI13" i="5" s="1"/>
  <c r="CI12" i="5" a="1"/>
  <c r="CI12" i="5" s="1"/>
  <c r="CI11" i="5" a="1"/>
  <c r="CI11" i="5" s="1"/>
  <c r="CI10" i="5" a="1"/>
  <c r="CI10" i="5" s="1"/>
  <c r="CI9" i="5" a="1"/>
  <c r="CI9" i="5" s="1"/>
  <c r="CI8" i="5" a="1"/>
  <c r="CI8" i="5" s="1"/>
  <c r="CI7" i="5" a="1"/>
  <c r="CI7" i="5" s="1"/>
  <c r="CI17" i="5" s="1"/>
  <c r="CH13" i="5" a="1"/>
  <c r="CH13" i="5" s="1"/>
  <c r="CH12" i="5" a="1"/>
  <c r="CH12" i="5" s="1"/>
  <c r="CH11" i="5" a="1"/>
  <c r="CH11" i="5" s="1"/>
  <c r="CH10" i="5" a="1"/>
  <c r="CH10" i="5" s="1"/>
  <c r="CH9" i="5" a="1"/>
  <c r="CH9" i="5" s="1"/>
  <c r="CH8" i="5" a="1"/>
  <c r="CH8" i="5" s="1"/>
  <c r="CH7" i="5" a="1"/>
  <c r="CH7" i="5" s="1"/>
  <c r="CH5" i="5" a="1"/>
  <c r="CH5" i="5" s="1"/>
  <c r="CH17" i="5" s="1"/>
  <c r="CG6" i="5" a="1"/>
  <c r="CG6" i="5" s="1"/>
  <c r="CG17" i="5" s="1"/>
  <c r="CG16" i="5" a="1"/>
  <c r="CG16" i="5" s="1"/>
  <c r="CG15" i="5" a="1"/>
  <c r="CG15" i="5" s="1"/>
  <c r="CG14" i="5" a="1"/>
  <c r="CG14" i="5" s="1"/>
  <c r="CG13" i="5" a="1"/>
  <c r="CG13" i="5" s="1"/>
  <c r="CG12" i="5" a="1"/>
  <c r="CG12" i="5" s="1"/>
  <c r="CG11" i="5" a="1"/>
  <c r="CG11" i="5" s="1"/>
  <c r="CG10" i="5" a="1"/>
  <c r="CG10" i="5" s="1"/>
  <c r="CG9" i="5" a="1"/>
  <c r="CG9" i="5" s="1"/>
  <c r="CG8" i="5" a="1"/>
  <c r="CG8" i="5" s="1"/>
  <c r="CG7" i="5" a="1"/>
  <c r="CG7" i="5" s="1"/>
  <c r="CF16" i="5" a="1"/>
  <c r="CF16" i="5" s="1"/>
  <c r="CF15" i="5" a="1"/>
  <c r="CF15" i="5" s="1"/>
  <c r="CF14" i="5" a="1"/>
  <c r="CF14" i="5" s="1"/>
  <c r="CF13" i="5" a="1"/>
  <c r="CF13" i="5" s="1"/>
  <c r="CF12" i="5" a="1"/>
  <c r="CF12" i="5" s="1"/>
  <c r="CF11" i="5" a="1"/>
  <c r="CF11" i="5" s="1"/>
  <c r="CF10" i="5" a="1"/>
  <c r="CF10" i="5" s="1"/>
  <c r="CF9" i="5" a="1"/>
  <c r="CF9" i="5" s="1"/>
  <c r="CF8" i="5" a="1"/>
  <c r="CF8" i="5" s="1"/>
  <c r="CF7" i="5" a="1"/>
  <c r="CF7" i="5" s="1"/>
  <c r="CF17" i="5" s="1"/>
  <c r="CE6" i="5" a="1"/>
  <c r="CE6" i="5" s="1"/>
  <c r="CE17" i="5" s="1"/>
  <c r="CE16" i="5" a="1"/>
  <c r="CE16" i="5" s="1"/>
  <c r="CE15" i="5" a="1"/>
  <c r="CE15" i="5" s="1"/>
  <c r="CE14" i="5" a="1"/>
  <c r="CE14" i="5" s="1"/>
  <c r="CE13" i="5" a="1"/>
  <c r="CE13" i="5" s="1"/>
  <c r="CE12" i="5" a="1"/>
  <c r="CE12" i="5" s="1"/>
  <c r="CE11" i="5" a="1"/>
  <c r="CE11" i="5" s="1"/>
  <c r="CE10" i="5" a="1"/>
  <c r="CE10" i="5" s="1"/>
  <c r="CE9" i="5" a="1"/>
  <c r="CE9" i="5" s="1"/>
  <c r="CE8" i="5" a="1"/>
  <c r="CE8" i="5" s="1"/>
  <c r="CE7" i="5" a="1"/>
  <c r="CE7" i="5" s="1"/>
  <c r="CD16" i="5" a="1"/>
  <c r="CD16" i="5" s="1"/>
  <c r="CD15" i="5" a="1"/>
  <c r="CD15" i="5" s="1"/>
  <c r="CD14" i="5" a="1"/>
  <c r="CD14" i="5" s="1"/>
  <c r="CD13" i="5" a="1"/>
  <c r="CD13" i="5" s="1"/>
  <c r="CD12" i="5" a="1"/>
  <c r="CD12" i="5" s="1"/>
  <c r="CD11" i="5" a="1"/>
  <c r="CD11" i="5" s="1"/>
  <c r="CD10" i="5" a="1"/>
  <c r="CD10" i="5" s="1"/>
  <c r="CD9" i="5" a="1"/>
  <c r="CD9" i="5" s="1"/>
  <c r="CD8" i="5" a="1"/>
  <c r="CD8" i="5" s="1"/>
  <c r="CD7" i="5" a="1"/>
  <c r="CD7" i="5" s="1"/>
  <c r="CD17" i="5" s="1"/>
  <c r="BS17" i="5"/>
  <c r="BT17" i="5"/>
  <c r="BU17" i="5"/>
  <c r="BV17" i="5"/>
  <c r="BW17" i="5"/>
  <c r="BX17" i="5"/>
  <c r="CM17" i="5"/>
  <c r="BZ17" i="5"/>
  <c r="CA17" i="5"/>
  <c r="CB17" i="5"/>
  <c r="CC17" i="5"/>
  <c r="BP27" i="2"/>
  <c r="BV63" i="2"/>
  <c r="BH65" i="2"/>
  <c r="BI65" i="2"/>
  <c r="BJ65" i="2"/>
  <c r="BK65" i="2"/>
  <c r="BL65" i="2"/>
  <c r="BM65" i="2"/>
  <c r="BN65" i="2"/>
  <c r="BO65" i="2"/>
  <c r="BP65" i="2"/>
  <c r="BQ65" i="2"/>
  <c r="BR65" i="2"/>
  <c r="BS65" i="2"/>
  <c r="BT65" i="2"/>
  <c r="BU65" i="2"/>
  <c r="BV65" i="2"/>
  <c r="BW65" i="2"/>
  <c r="BX65" i="2"/>
  <c r="BY65" i="2"/>
  <c r="BZ65" i="2"/>
  <c r="CA65" i="2"/>
  <c r="CB65" i="2"/>
  <c r="CC65" i="2"/>
  <c r="BH66" i="2"/>
  <c r="BI66" i="2"/>
  <c r="BJ66" i="2"/>
  <c r="BK66" i="2"/>
  <c r="BL66" i="2"/>
  <c r="BM66" i="2"/>
  <c r="BN66" i="2"/>
  <c r="BO66" i="2"/>
  <c r="BP66" i="2"/>
  <c r="BQ66" i="2"/>
  <c r="BR66" i="2"/>
  <c r="BS66" i="2"/>
  <c r="BT66" i="2"/>
  <c r="BU66" i="2"/>
  <c r="BV66" i="2"/>
  <c r="BW66" i="2"/>
  <c r="BX66" i="2"/>
  <c r="BY66" i="2"/>
  <c r="BZ66" i="2"/>
  <c r="CA66" i="2"/>
  <c r="CB66" i="2"/>
  <c r="CC66" i="2"/>
  <c r="BH67" i="2"/>
  <c r="BI67" i="2"/>
  <c r="BJ67" i="2"/>
  <c r="BK67" i="2"/>
  <c r="BL67" i="2"/>
  <c r="BM67" i="2"/>
  <c r="BN67" i="2"/>
  <c r="BO67" i="2"/>
  <c r="BP67" i="2"/>
  <c r="BQ67" i="2"/>
  <c r="BR67" i="2"/>
  <c r="BS67" i="2"/>
  <c r="BT67" i="2"/>
  <c r="BU67" i="2"/>
  <c r="BV67" i="2"/>
  <c r="BW67" i="2"/>
  <c r="BX67" i="2"/>
  <c r="BY67" i="2"/>
  <c r="BZ67" i="2"/>
  <c r="CA67" i="2"/>
  <c r="CB67" i="2"/>
  <c r="CC67" i="2"/>
  <c r="BH68" i="2"/>
  <c r="BI68" i="2"/>
  <c r="BJ68" i="2"/>
  <c r="BK68" i="2"/>
  <c r="BL68" i="2"/>
  <c r="BM68" i="2"/>
  <c r="BN68" i="2"/>
  <c r="BO68" i="2"/>
  <c r="BP68" i="2"/>
  <c r="BQ68" i="2"/>
  <c r="BR68" i="2"/>
  <c r="BS68" i="2"/>
  <c r="BT68" i="2"/>
  <c r="BU68" i="2"/>
  <c r="BV68" i="2"/>
  <c r="BW68" i="2"/>
  <c r="BX68" i="2"/>
  <c r="BY68" i="2"/>
  <c r="BZ68" i="2"/>
  <c r="CA68" i="2"/>
  <c r="CB68" i="2"/>
  <c r="CC68" i="2"/>
  <c r="BH69" i="2"/>
  <c r="BI69" i="2"/>
  <c r="BJ69" i="2"/>
  <c r="BK69" i="2"/>
  <c r="BL69" i="2"/>
  <c r="BM69" i="2"/>
  <c r="BN69" i="2"/>
  <c r="BO69" i="2"/>
  <c r="BP69" i="2"/>
  <c r="BQ69" i="2"/>
  <c r="BR69" i="2"/>
  <c r="BS69" i="2"/>
  <c r="BT69" i="2"/>
  <c r="BU69" i="2"/>
  <c r="BV69" i="2"/>
  <c r="BW69" i="2"/>
  <c r="BX69" i="2"/>
  <c r="BY69" i="2"/>
  <c r="BZ69" i="2"/>
  <c r="CA69" i="2"/>
  <c r="CB69" i="2"/>
  <c r="CC69" i="2"/>
  <c r="BH70" i="2"/>
  <c r="BI70" i="2"/>
  <c r="BJ70" i="2"/>
  <c r="BK70" i="2"/>
  <c r="BL70" i="2"/>
  <c r="BM70" i="2"/>
  <c r="BN70" i="2"/>
  <c r="BO70" i="2"/>
  <c r="BP70" i="2"/>
  <c r="BQ70" i="2"/>
  <c r="BR70" i="2"/>
  <c r="BS70" i="2"/>
  <c r="BT70" i="2"/>
  <c r="BU70" i="2"/>
  <c r="BV70" i="2"/>
  <c r="BW70" i="2"/>
  <c r="BX70" i="2"/>
  <c r="BY70" i="2"/>
  <c r="BZ70" i="2"/>
  <c r="CA70" i="2"/>
  <c r="CB70" i="2"/>
  <c r="CC70" i="2"/>
  <c r="BH71" i="2"/>
  <c r="BI71" i="2"/>
  <c r="BJ71" i="2"/>
  <c r="BK71" i="2"/>
  <c r="BL71" i="2"/>
  <c r="BM71" i="2"/>
  <c r="BN71" i="2"/>
  <c r="BO71" i="2"/>
  <c r="BP71" i="2"/>
  <c r="BQ71" i="2"/>
  <c r="BR71" i="2"/>
  <c r="BS71" i="2"/>
  <c r="BT71" i="2"/>
  <c r="BU71" i="2"/>
  <c r="BV71" i="2"/>
  <c r="BW71" i="2"/>
  <c r="BX71" i="2"/>
  <c r="BY71" i="2"/>
  <c r="BZ71" i="2"/>
  <c r="CA71" i="2"/>
  <c r="CB71" i="2"/>
  <c r="CC71" i="2"/>
  <c r="BH72" i="2"/>
  <c r="BI72" i="2"/>
  <c r="BJ72" i="2"/>
  <c r="BK72" i="2"/>
  <c r="BL72" i="2"/>
  <c r="BM72" i="2"/>
  <c r="BN72" i="2"/>
  <c r="BO72" i="2"/>
  <c r="BP72" i="2"/>
  <c r="BQ72" i="2"/>
  <c r="BR72" i="2"/>
  <c r="BS72" i="2"/>
  <c r="BT72" i="2"/>
  <c r="BU72" i="2"/>
  <c r="BV72" i="2"/>
  <c r="BW72" i="2"/>
  <c r="BX72" i="2"/>
  <c r="BY72" i="2"/>
  <c r="BZ72" i="2"/>
  <c r="CA72" i="2"/>
  <c r="CB72" i="2"/>
  <c r="CC72" i="2"/>
  <c r="BH73" i="2"/>
  <c r="BI73" i="2"/>
  <c r="BJ73" i="2"/>
  <c r="BK73" i="2"/>
  <c r="BL73" i="2"/>
  <c r="BM73" i="2"/>
  <c r="BN73" i="2"/>
  <c r="BO73" i="2"/>
  <c r="BP73" i="2"/>
  <c r="BQ73" i="2"/>
  <c r="BR73" i="2"/>
  <c r="BS73" i="2"/>
  <c r="BT73" i="2"/>
  <c r="BU73" i="2"/>
  <c r="BV73" i="2"/>
  <c r="BW73" i="2"/>
  <c r="BX73" i="2"/>
  <c r="BY73" i="2"/>
  <c r="BZ73" i="2"/>
  <c r="CA73" i="2"/>
  <c r="CB73" i="2"/>
  <c r="CC73" i="2"/>
  <c r="BH74" i="2"/>
  <c r="BI74" i="2"/>
  <c r="BJ74" i="2"/>
  <c r="BK74" i="2"/>
  <c r="BL74" i="2"/>
  <c r="BM74" i="2"/>
  <c r="BN74" i="2"/>
  <c r="BO74" i="2"/>
  <c r="BP74" i="2"/>
  <c r="BQ74" i="2"/>
  <c r="BR74" i="2"/>
  <c r="BS74" i="2"/>
  <c r="BT74" i="2"/>
  <c r="BU74" i="2"/>
  <c r="BV74" i="2"/>
  <c r="BW74" i="2"/>
  <c r="BX74" i="2"/>
  <c r="BY74" i="2"/>
  <c r="BZ74" i="2"/>
  <c r="CA74" i="2"/>
  <c r="CB74" i="2"/>
  <c r="CC74" i="2"/>
  <c r="BH75" i="2"/>
  <c r="BI75" i="2"/>
  <c r="BJ75" i="2"/>
  <c r="BK75" i="2"/>
  <c r="BL75" i="2"/>
  <c r="BM75" i="2"/>
  <c r="BN75" i="2"/>
  <c r="BO75" i="2"/>
  <c r="BP75" i="2"/>
  <c r="BQ75" i="2"/>
  <c r="BR75" i="2"/>
  <c r="BS75" i="2"/>
  <c r="BT75" i="2"/>
  <c r="BU75" i="2"/>
  <c r="BV75" i="2"/>
  <c r="BW75" i="2"/>
  <c r="BX75" i="2"/>
  <c r="BY75" i="2"/>
  <c r="BZ75" i="2"/>
  <c r="CA75" i="2"/>
  <c r="CB75" i="2"/>
  <c r="CC75" i="2"/>
  <c r="BH76" i="2"/>
  <c r="BI76" i="2"/>
  <c r="BJ76" i="2"/>
  <c r="BK76" i="2"/>
  <c r="BL76" i="2"/>
  <c r="BM76" i="2"/>
  <c r="BN76" i="2"/>
  <c r="BO76" i="2"/>
  <c r="BP76" i="2"/>
  <c r="BQ76" i="2"/>
  <c r="BR76" i="2"/>
  <c r="BS76" i="2"/>
  <c r="BT76" i="2"/>
  <c r="BU76" i="2"/>
  <c r="BV76" i="2"/>
  <c r="BW76" i="2"/>
  <c r="BX76" i="2"/>
  <c r="BY76" i="2"/>
  <c r="BZ76" i="2"/>
  <c r="CA76" i="2"/>
  <c r="CB76" i="2"/>
  <c r="CC76" i="2"/>
  <c r="BH77" i="2"/>
  <c r="BI77" i="2"/>
  <c r="BJ77" i="2"/>
  <c r="BK77" i="2"/>
  <c r="BL77" i="2"/>
  <c r="BM77" i="2"/>
  <c r="BN77" i="2"/>
  <c r="BO77" i="2"/>
  <c r="BP77" i="2"/>
  <c r="BQ77" i="2"/>
  <c r="BR77" i="2"/>
  <c r="BS77" i="2"/>
  <c r="BT77" i="2"/>
  <c r="BU77" i="2"/>
  <c r="BV77" i="2"/>
  <c r="BW77" i="2"/>
  <c r="BX77" i="2"/>
  <c r="BY77" i="2"/>
  <c r="BZ77" i="2"/>
  <c r="CA77" i="2"/>
  <c r="CB77" i="2"/>
  <c r="CC77" i="2"/>
  <c r="BH78" i="2"/>
  <c r="BI78" i="2"/>
  <c r="BJ78" i="2"/>
  <c r="BK78" i="2"/>
  <c r="BL78" i="2"/>
  <c r="BM78" i="2"/>
  <c r="BN78" i="2"/>
  <c r="BO78" i="2"/>
  <c r="BP78" i="2"/>
  <c r="BQ78" i="2"/>
  <c r="BR78" i="2"/>
  <c r="BS78" i="2"/>
  <c r="BT78" i="2"/>
  <c r="BU78" i="2"/>
  <c r="BV78" i="2"/>
  <c r="BW78" i="2"/>
  <c r="BX78" i="2"/>
  <c r="BY78" i="2"/>
  <c r="BZ78" i="2"/>
  <c r="CA78" i="2"/>
  <c r="CB78" i="2"/>
  <c r="CC78" i="2"/>
  <c r="BH79" i="2"/>
  <c r="BI79" i="2"/>
  <c r="BJ79" i="2"/>
  <c r="BK79" i="2"/>
  <c r="BL79" i="2"/>
  <c r="BM79" i="2"/>
  <c r="BN79" i="2"/>
  <c r="BO79" i="2"/>
  <c r="BP79" i="2"/>
  <c r="BQ79" i="2"/>
  <c r="BR79" i="2"/>
  <c r="BS79" i="2"/>
  <c r="BT79" i="2"/>
  <c r="BU79" i="2"/>
  <c r="BV79" i="2"/>
  <c r="BW79" i="2"/>
  <c r="BX79" i="2"/>
  <c r="BY79" i="2"/>
  <c r="BZ79" i="2"/>
  <c r="CA79" i="2"/>
  <c r="CB79" i="2"/>
  <c r="CC79" i="2"/>
  <c r="BH80" i="2"/>
  <c r="BI80" i="2"/>
  <c r="BJ80" i="2"/>
  <c r="BK80" i="2"/>
  <c r="BL80" i="2"/>
  <c r="BM80" i="2"/>
  <c r="BN80" i="2"/>
  <c r="BO80" i="2"/>
  <c r="BP80" i="2"/>
  <c r="BQ80" i="2"/>
  <c r="BR80" i="2"/>
  <c r="BS80" i="2"/>
  <c r="BT80" i="2"/>
  <c r="BU80" i="2"/>
  <c r="BV80" i="2"/>
  <c r="BW80" i="2"/>
  <c r="BX80" i="2"/>
  <c r="BY80" i="2"/>
  <c r="BZ80" i="2"/>
  <c r="CA80" i="2"/>
  <c r="CB80" i="2"/>
  <c r="CC80" i="2"/>
  <c r="BH81" i="2"/>
  <c r="BI81" i="2"/>
  <c r="BJ81" i="2"/>
  <c r="BK81" i="2"/>
  <c r="BL81" i="2"/>
  <c r="BM81" i="2"/>
  <c r="BN81" i="2"/>
  <c r="BO81" i="2"/>
  <c r="BP81" i="2"/>
  <c r="BQ81" i="2"/>
  <c r="BR81" i="2"/>
  <c r="BS81" i="2"/>
  <c r="BT81" i="2"/>
  <c r="BU81" i="2"/>
  <c r="BV81" i="2"/>
  <c r="BW81" i="2"/>
  <c r="BX81" i="2"/>
  <c r="BY81" i="2"/>
  <c r="BZ81" i="2"/>
  <c r="CA81" i="2"/>
  <c r="CB81" i="2"/>
  <c r="CC81" i="2"/>
  <c r="BH82" i="2"/>
  <c r="BI82" i="2"/>
  <c r="BJ82" i="2"/>
  <c r="BK82" i="2"/>
  <c r="BL82" i="2"/>
  <c r="BM82" i="2"/>
  <c r="BN82" i="2"/>
  <c r="BO82" i="2"/>
  <c r="BP82" i="2"/>
  <c r="BQ82" i="2"/>
  <c r="BR82" i="2"/>
  <c r="BS82" i="2"/>
  <c r="BT82" i="2"/>
  <c r="BU82" i="2"/>
  <c r="BV82" i="2"/>
  <c r="BW82" i="2"/>
  <c r="BX82" i="2"/>
  <c r="BY82" i="2"/>
  <c r="BZ82" i="2"/>
  <c r="CA82" i="2"/>
  <c r="CB82" i="2"/>
  <c r="CC82" i="2"/>
  <c r="BH83" i="2"/>
  <c r="BI83" i="2"/>
  <c r="BJ83" i="2"/>
  <c r="BK83" i="2"/>
  <c r="BL83" i="2"/>
  <c r="BM83" i="2"/>
  <c r="BN83" i="2"/>
  <c r="BO83" i="2"/>
  <c r="BP83" i="2"/>
  <c r="BQ83" i="2"/>
  <c r="BR83" i="2"/>
  <c r="BS83" i="2"/>
  <c r="BT83" i="2"/>
  <c r="BU83" i="2"/>
  <c r="BV83" i="2"/>
  <c r="BW83" i="2"/>
  <c r="BX83" i="2"/>
  <c r="BY83" i="2"/>
  <c r="BZ83" i="2"/>
  <c r="CA83" i="2"/>
  <c r="CB83" i="2"/>
  <c r="CC83" i="2"/>
  <c r="BH84" i="2"/>
  <c r="BI84" i="2"/>
  <c r="BJ84" i="2"/>
  <c r="BK84" i="2"/>
  <c r="BL84" i="2"/>
  <c r="BM84" i="2"/>
  <c r="BN84" i="2"/>
  <c r="BO84" i="2"/>
  <c r="BP84" i="2"/>
  <c r="BQ84" i="2"/>
  <c r="BR84" i="2"/>
  <c r="BS84" i="2"/>
  <c r="BT84" i="2"/>
  <c r="BU84" i="2"/>
  <c r="BV84" i="2"/>
  <c r="BW84" i="2"/>
  <c r="BX84" i="2"/>
  <c r="BY84" i="2"/>
  <c r="BZ84" i="2"/>
  <c r="CA84" i="2"/>
  <c r="CB84" i="2"/>
  <c r="CC84" i="2"/>
  <c r="BH85" i="2"/>
  <c r="BI85" i="2"/>
  <c r="BJ85" i="2"/>
  <c r="BK85" i="2"/>
  <c r="BL85" i="2"/>
  <c r="BM85" i="2"/>
  <c r="BN85" i="2"/>
  <c r="BO85" i="2"/>
  <c r="BP85" i="2"/>
  <c r="BQ85" i="2"/>
  <c r="BR85" i="2"/>
  <c r="BS85" i="2"/>
  <c r="BT85" i="2"/>
  <c r="BU85" i="2"/>
  <c r="BV85" i="2"/>
  <c r="BW85" i="2"/>
  <c r="BX85" i="2"/>
  <c r="BY85" i="2"/>
  <c r="BZ85" i="2"/>
  <c r="CA85" i="2"/>
  <c r="CB85" i="2"/>
  <c r="CC85" i="2"/>
  <c r="BH86" i="2"/>
  <c r="BI86" i="2"/>
  <c r="BJ86" i="2"/>
  <c r="BK86" i="2"/>
  <c r="BL86" i="2"/>
  <c r="BM86" i="2"/>
  <c r="BN86" i="2"/>
  <c r="BO86" i="2"/>
  <c r="BP86" i="2"/>
  <c r="BQ86" i="2"/>
  <c r="BR86" i="2"/>
  <c r="BS86" i="2"/>
  <c r="BT86" i="2"/>
  <c r="BU86" i="2"/>
  <c r="BV86" i="2"/>
  <c r="BW86" i="2"/>
  <c r="BX86" i="2"/>
  <c r="BY86" i="2"/>
  <c r="BZ86" i="2"/>
  <c r="CA86" i="2"/>
  <c r="CB86" i="2"/>
  <c r="CC86" i="2"/>
  <c r="BH87" i="2"/>
  <c r="BI87" i="2"/>
  <c r="BJ87" i="2"/>
  <c r="BK87" i="2"/>
  <c r="BL87" i="2"/>
  <c r="BM87" i="2"/>
  <c r="BN87" i="2"/>
  <c r="BO87" i="2"/>
  <c r="BP87" i="2"/>
  <c r="BQ87" i="2"/>
  <c r="BR87" i="2"/>
  <c r="BS87" i="2"/>
  <c r="BT87" i="2"/>
  <c r="BU87" i="2"/>
  <c r="BV87" i="2"/>
  <c r="BW87" i="2"/>
  <c r="BX87" i="2"/>
  <c r="BY87" i="2"/>
  <c r="BZ87" i="2"/>
  <c r="CA87" i="2"/>
  <c r="CB87" i="2"/>
  <c r="CC87" i="2"/>
  <c r="BH88" i="2"/>
  <c r="BI88" i="2"/>
  <c r="BJ88" i="2"/>
  <c r="BK88" i="2"/>
  <c r="BL88" i="2"/>
  <c r="BM88" i="2"/>
  <c r="BN88" i="2"/>
  <c r="BO88" i="2"/>
  <c r="BP88" i="2"/>
  <c r="BQ88" i="2"/>
  <c r="BR88" i="2"/>
  <c r="BS88" i="2"/>
  <c r="BT88" i="2"/>
  <c r="BU88" i="2"/>
  <c r="BV88" i="2"/>
  <c r="BW88" i="2"/>
  <c r="BX88" i="2"/>
  <c r="BY88" i="2"/>
  <c r="BZ88" i="2"/>
  <c r="CA88" i="2"/>
  <c r="CB88" i="2"/>
  <c r="CC88" i="2"/>
  <c r="BH89" i="2"/>
  <c r="BI89" i="2"/>
  <c r="BJ89" i="2"/>
  <c r="BK89" i="2"/>
  <c r="BL89" i="2"/>
  <c r="BM89" i="2"/>
  <c r="BN89" i="2"/>
  <c r="BO89" i="2"/>
  <c r="BP89" i="2"/>
  <c r="BQ89" i="2"/>
  <c r="BR89" i="2"/>
  <c r="BS89" i="2"/>
  <c r="BT89" i="2"/>
  <c r="BU89" i="2"/>
  <c r="BV89" i="2"/>
  <c r="BW89" i="2"/>
  <c r="BX89" i="2"/>
  <c r="BY89" i="2"/>
  <c r="BZ89" i="2"/>
  <c r="CA89" i="2"/>
  <c r="CB89" i="2"/>
  <c r="CC89" i="2"/>
  <c r="BH90" i="2"/>
  <c r="BI90" i="2"/>
  <c r="BJ90" i="2"/>
  <c r="BK90" i="2"/>
  <c r="BL90" i="2"/>
  <c r="BM90" i="2"/>
  <c r="BN90" i="2"/>
  <c r="BO90" i="2"/>
  <c r="BP90" i="2"/>
  <c r="BQ90" i="2"/>
  <c r="BR90" i="2"/>
  <c r="BS90" i="2"/>
  <c r="BT90" i="2"/>
  <c r="BU90" i="2"/>
  <c r="BV90" i="2"/>
  <c r="BW90" i="2"/>
  <c r="BX90" i="2"/>
  <c r="BY90" i="2"/>
  <c r="BZ90" i="2"/>
  <c r="CA90" i="2"/>
  <c r="CB90" i="2"/>
  <c r="CC90" i="2"/>
  <c r="BH91" i="2"/>
  <c r="BI91" i="2"/>
  <c r="BJ91" i="2"/>
  <c r="BK91" i="2"/>
  <c r="BL91" i="2"/>
  <c r="BM91" i="2"/>
  <c r="BN91" i="2"/>
  <c r="BO91" i="2"/>
  <c r="BP91" i="2"/>
  <c r="BQ91" i="2"/>
  <c r="BR91" i="2"/>
  <c r="BS91" i="2"/>
  <c r="BT91" i="2"/>
  <c r="BU91" i="2"/>
  <c r="BV91" i="2"/>
  <c r="BW91" i="2"/>
  <c r="BX91" i="2"/>
  <c r="BY91" i="2"/>
  <c r="BZ91" i="2"/>
  <c r="CA91" i="2"/>
  <c r="CB91" i="2"/>
  <c r="CC91" i="2"/>
  <c r="BH92" i="2"/>
  <c r="BI92" i="2"/>
  <c r="BJ92" i="2"/>
  <c r="BK92" i="2"/>
  <c r="BL92" i="2"/>
  <c r="BM92" i="2"/>
  <c r="BN92" i="2"/>
  <c r="BO92" i="2"/>
  <c r="BP92" i="2"/>
  <c r="BQ92" i="2"/>
  <c r="BR92" i="2"/>
  <c r="BS92" i="2"/>
  <c r="BT92" i="2"/>
  <c r="BU92" i="2"/>
  <c r="BV92" i="2"/>
  <c r="BW92" i="2"/>
  <c r="BX92" i="2"/>
  <c r="BY92" i="2"/>
  <c r="BZ92" i="2"/>
  <c r="CA92" i="2"/>
  <c r="CB92" i="2"/>
  <c r="CC92" i="2"/>
  <c r="BH93" i="2"/>
  <c r="BI93" i="2"/>
  <c r="BJ93" i="2"/>
  <c r="BK93" i="2"/>
  <c r="BL93" i="2"/>
  <c r="BM93" i="2"/>
  <c r="BN93" i="2"/>
  <c r="BO93" i="2"/>
  <c r="BP93" i="2"/>
  <c r="BQ93" i="2"/>
  <c r="BR93" i="2"/>
  <c r="BS93" i="2"/>
  <c r="BT93" i="2"/>
  <c r="BU93" i="2"/>
  <c r="BV93" i="2"/>
  <c r="BW93" i="2"/>
  <c r="BX93" i="2"/>
  <c r="BY93" i="2"/>
  <c r="BZ93" i="2"/>
  <c r="CA93" i="2"/>
  <c r="CB93" i="2"/>
  <c r="CC93" i="2"/>
  <c r="BH94" i="2"/>
  <c r="BI94" i="2"/>
  <c r="BJ94" i="2"/>
  <c r="BK94" i="2"/>
  <c r="BL94" i="2"/>
  <c r="BM94" i="2"/>
  <c r="BN94" i="2"/>
  <c r="BO94" i="2"/>
  <c r="BP94" i="2"/>
  <c r="BQ94" i="2"/>
  <c r="BR94" i="2"/>
  <c r="BS94" i="2"/>
  <c r="BT94" i="2"/>
  <c r="BU94" i="2"/>
  <c r="BV94" i="2"/>
  <c r="BW94" i="2"/>
  <c r="BX94" i="2"/>
  <c r="BY94" i="2"/>
  <c r="BZ94" i="2"/>
  <c r="CA94" i="2"/>
  <c r="CB94" i="2"/>
  <c r="CC94" i="2"/>
  <c r="BH95" i="2"/>
  <c r="BI95" i="2"/>
  <c r="BJ95" i="2"/>
  <c r="BK95" i="2"/>
  <c r="BL95" i="2"/>
  <c r="BM95" i="2"/>
  <c r="BN95" i="2"/>
  <c r="BO95" i="2"/>
  <c r="BP95" i="2"/>
  <c r="BQ95" i="2"/>
  <c r="BR95" i="2"/>
  <c r="BS95" i="2"/>
  <c r="BT95" i="2"/>
  <c r="BU95" i="2"/>
  <c r="BV95" i="2"/>
  <c r="BW95" i="2"/>
  <c r="BX95" i="2"/>
  <c r="BY95" i="2"/>
  <c r="BZ95" i="2"/>
  <c r="CA95" i="2"/>
  <c r="CB95" i="2"/>
  <c r="CC95" i="2"/>
  <c r="BL113" i="2"/>
  <c r="BO143" i="2"/>
  <c r="JI6" i="11"/>
  <c r="BK7" i="2" s="1"/>
  <c r="JJ6" i="11"/>
  <c r="BL7" i="2" s="1"/>
  <c r="JK6" i="11"/>
  <c r="BM7" i="2" s="1"/>
  <c r="JL6" i="11"/>
  <c r="BN7" i="2" s="1"/>
  <c r="JM6" i="11"/>
  <c r="BO7" i="2" s="1"/>
  <c r="JN6" i="11"/>
  <c r="BP7" i="2" s="1"/>
  <c r="JO6" i="11"/>
  <c r="BQ7" i="2" s="1"/>
  <c r="JP6" i="11"/>
  <c r="BR7" i="2" s="1"/>
  <c r="JQ6" i="11"/>
  <c r="BS7" i="2" s="1"/>
  <c r="JR6" i="11"/>
  <c r="BT7" i="2" s="1"/>
  <c r="JS6" i="11"/>
  <c r="BU7" i="2" s="1"/>
  <c r="JT6" i="11"/>
  <c r="BV7" i="2" s="1"/>
  <c r="JU6" i="11"/>
  <c r="BW7" i="2" s="1"/>
  <c r="JV6" i="11"/>
  <c r="BX7" i="2" s="1"/>
  <c r="JW6" i="11"/>
  <c r="BY7" i="2" s="1"/>
  <c r="JX6" i="11"/>
  <c r="BZ7" i="2" s="1"/>
  <c r="JY6" i="11"/>
  <c r="CA7" i="2" s="1"/>
  <c r="JZ6" i="11"/>
  <c r="CB7" i="2" s="1"/>
  <c r="KA6" i="11"/>
  <c r="CC7" i="2" s="1"/>
  <c r="JI7" i="11"/>
  <c r="BK8" i="2" s="1"/>
  <c r="JJ7" i="11"/>
  <c r="BL8" i="2" s="1"/>
  <c r="JK7" i="11"/>
  <c r="BM8" i="2" s="1"/>
  <c r="JL7" i="11"/>
  <c r="BN8" i="2" s="1"/>
  <c r="JM7" i="11"/>
  <c r="BO8" i="2" s="1"/>
  <c r="JN7" i="11"/>
  <c r="BP8" i="2" s="1"/>
  <c r="JO7" i="11"/>
  <c r="BQ8" i="2" s="1"/>
  <c r="JP7" i="11"/>
  <c r="BR8" i="2" s="1"/>
  <c r="JQ7" i="11"/>
  <c r="BS8" i="2" s="1"/>
  <c r="JR7" i="11"/>
  <c r="BT8" i="2" s="1"/>
  <c r="JS7" i="11"/>
  <c r="BU8" i="2" s="1"/>
  <c r="JT7" i="11"/>
  <c r="BV8" i="2" s="1"/>
  <c r="JU7" i="11"/>
  <c r="BW8" i="2" s="1"/>
  <c r="JV7" i="11"/>
  <c r="BX8" i="2" s="1"/>
  <c r="JW7" i="11"/>
  <c r="BY8" i="2" s="1"/>
  <c r="JX7" i="11"/>
  <c r="BZ8" i="2" s="1"/>
  <c r="JY7" i="11"/>
  <c r="CA8" i="2" s="1"/>
  <c r="JZ7" i="11"/>
  <c r="CB8" i="2" s="1"/>
  <c r="KA7" i="11"/>
  <c r="CC8" i="2" s="1"/>
  <c r="JI8" i="11"/>
  <c r="BK9" i="2" s="1"/>
  <c r="JJ8" i="11"/>
  <c r="BL9" i="2" s="1"/>
  <c r="JK8" i="11"/>
  <c r="BM9" i="2" s="1"/>
  <c r="JL8" i="11"/>
  <c r="BN9" i="2" s="1"/>
  <c r="JM8" i="11"/>
  <c r="BO9" i="2" s="1"/>
  <c r="JN8" i="11"/>
  <c r="BP9" i="2" s="1"/>
  <c r="JO8" i="11"/>
  <c r="BQ9" i="2" s="1"/>
  <c r="JP8" i="11"/>
  <c r="BR9" i="2" s="1"/>
  <c r="JQ8" i="11"/>
  <c r="BS9" i="2" s="1"/>
  <c r="JR8" i="11"/>
  <c r="BT9" i="2" s="1"/>
  <c r="JS8" i="11"/>
  <c r="BU9" i="2" s="1"/>
  <c r="JT8" i="11"/>
  <c r="BV9" i="2" s="1"/>
  <c r="JU8" i="11"/>
  <c r="BW9" i="2" s="1"/>
  <c r="JV8" i="11"/>
  <c r="BX9" i="2" s="1"/>
  <c r="JW8" i="11"/>
  <c r="BY9" i="2" s="1"/>
  <c r="JX8" i="11"/>
  <c r="BZ9" i="2" s="1"/>
  <c r="JY8" i="11"/>
  <c r="CA9" i="2" s="1"/>
  <c r="JZ8" i="11"/>
  <c r="CB9" i="2" s="1"/>
  <c r="KA8" i="11"/>
  <c r="CC9" i="2" s="1"/>
  <c r="JI9" i="11"/>
  <c r="BK10" i="2" s="1"/>
  <c r="JJ9" i="11"/>
  <c r="BL10" i="2" s="1"/>
  <c r="JK9" i="11"/>
  <c r="BM10" i="2" s="1"/>
  <c r="JL9" i="11"/>
  <c r="BN10" i="2" s="1"/>
  <c r="JM9" i="11"/>
  <c r="BO10" i="2" s="1"/>
  <c r="JN9" i="11"/>
  <c r="BP10" i="2" s="1"/>
  <c r="JO9" i="11"/>
  <c r="BQ10" i="2" s="1"/>
  <c r="JP9" i="11"/>
  <c r="BR10" i="2" s="1"/>
  <c r="JQ9" i="11"/>
  <c r="BS10" i="2" s="1"/>
  <c r="JR9" i="11"/>
  <c r="BT10" i="2" s="1"/>
  <c r="JS9" i="11"/>
  <c r="BU10" i="2" s="1"/>
  <c r="JT9" i="11"/>
  <c r="BV10" i="2" s="1"/>
  <c r="JU9" i="11"/>
  <c r="BW10" i="2" s="1"/>
  <c r="JV9" i="11"/>
  <c r="BX10" i="2" s="1"/>
  <c r="JW9" i="11"/>
  <c r="BY10" i="2" s="1"/>
  <c r="JX9" i="11"/>
  <c r="BZ10" i="2" s="1"/>
  <c r="JY9" i="11"/>
  <c r="CA10" i="2" s="1"/>
  <c r="JZ9" i="11"/>
  <c r="CB10" i="2" s="1"/>
  <c r="KA9" i="11"/>
  <c r="CC10" i="2" s="1"/>
  <c r="JI10" i="11"/>
  <c r="BK11" i="2" s="1"/>
  <c r="JJ10" i="11"/>
  <c r="BL11" i="2" s="1"/>
  <c r="JK10" i="11"/>
  <c r="BM11" i="2" s="1"/>
  <c r="JL10" i="11"/>
  <c r="BN11" i="2" s="1"/>
  <c r="JM10" i="11"/>
  <c r="BO11" i="2" s="1"/>
  <c r="JN10" i="11"/>
  <c r="BP11" i="2" s="1"/>
  <c r="JO10" i="11"/>
  <c r="BQ11" i="2" s="1"/>
  <c r="JP10" i="11"/>
  <c r="BR11" i="2" s="1"/>
  <c r="JQ10" i="11"/>
  <c r="BS11" i="2" s="1"/>
  <c r="JR10" i="11"/>
  <c r="BT11" i="2" s="1"/>
  <c r="JS10" i="11"/>
  <c r="BU11" i="2" s="1"/>
  <c r="JT10" i="11"/>
  <c r="BV11" i="2" s="1"/>
  <c r="JU10" i="11"/>
  <c r="BW11" i="2" s="1"/>
  <c r="JV10" i="11"/>
  <c r="BX11" i="2" s="1"/>
  <c r="JW10" i="11"/>
  <c r="BY11" i="2" s="1"/>
  <c r="JX10" i="11"/>
  <c r="BZ11" i="2" s="1"/>
  <c r="JY10" i="11"/>
  <c r="CA11" i="2" s="1"/>
  <c r="JZ10" i="11"/>
  <c r="CB11" i="2" s="1"/>
  <c r="KA10" i="11"/>
  <c r="CC11" i="2" s="1"/>
  <c r="JI11" i="11"/>
  <c r="BK12" i="2" s="1"/>
  <c r="JJ11" i="11"/>
  <c r="BL12" i="2" s="1"/>
  <c r="JK11" i="11"/>
  <c r="BM12" i="2" s="1"/>
  <c r="JL11" i="11"/>
  <c r="BN12" i="2" s="1"/>
  <c r="JM11" i="11"/>
  <c r="BO12" i="2" s="1"/>
  <c r="JN11" i="11"/>
  <c r="BP12" i="2" s="1"/>
  <c r="JO11" i="11"/>
  <c r="BQ12" i="2" s="1"/>
  <c r="JP11" i="11"/>
  <c r="BR12" i="2" s="1"/>
  <c r="JQ11" i="11"/>
  <c r="BS12" i="2" s="1"/>
  <c r="JR11" i="11"/>
  <c r="BT12" i="2" s="1"/>
  <c r="JS11" i="11"/>
  <c r="BU12" i="2" s="1"/>
  <c r="JT11" i="11"/>
  <c r="BV12" i="2" s="1"/>
  <c r="JU11" i="11"/>
  <c r="BW12" i="2" s="1"/>
  <c r="JV11" i="11"/>
  <c r="BX12" i="2" s="1"/>
  <c r="JW11" i="11"/>
  <c r="BY12" i="2" s="1"/>
  <c r="JX11" i="11"/>
  <c r="BZ12" i="2" s="1"/>
  <c r="JY11" i="11"/>
  <c r="CA12" i="2" s="1"/>
  <c r="JZ11" i="11"/>
  <c r="CB12" i="2" s="1"/>
  <c r="KA11" i="11"/>
  <c r="CC12" i="2" s="1"/>
  <c r="JI12" i="11"/>
  <c r="BK13" i="2" s="1"/>
  <c r="JJ12" i="11"/>
  <c r="BL13" i="2" s="1"/>
  <c r="JK12" i="11"/>
  <c r="BM13" i="2" s="1"/>
  <c r="JL12" i="11"/>
  <c r="BN13" i="2" s="1"/>
  <c r="JM12" i="11"/>
  <c r="BO13" i="2" s="1"/>
  <c r="JN12" i="11"/>
  <c r="BP13" i="2" s="1"/>
  <c r="JO12" i="11"/>
  <c r="BQ13" i="2" s="1"/>
  <c r="JP12" i="11"/>
  <c r="BR13" i="2" s="1"/>
  <c r="JQ12" i="11"/>
  <c r="BS13" i="2" s="1"/>
  <c r="JR12" i="11"/>
  <c r="BT13" i="2" s="1"/>
  <c r="JS12" i="11"/>
  <c r="BU13" i="2" s="1"/>
  <c r="JT12" i="11"/>
  <c r="BV13" i="2" s="1"/>
  <c r="JU12" i="11"/>
  <c r="BW13" i="2" s="1"/>
  <c r="JV12" i="11"/>
  <c r="BX13" i="2" s="1"/>
  <c r="JW12" i="11"/>
  <c r="BY13" i="2" s="1"/>
  <c r="JX12" i="11"/>
  <c r="BZ13" i="2" s="1"/>
  <c r="JY12" i="11"/>
  <c r="CA13" i="2" s="1"/>
  <c r="JZ12" i="11"/>
  <c r="CB13" i="2" s="1"/>
  <c r="KA12" i="11"/>
  <c r="CC13" i="2" s="1"/>
  <c r="JI13" i="11"/>
  <c r="BK14" i="2" s="1"/>
  <c r="JJ13" i="11"/>
  <c r="BL14" i="2" s="1"/>
  <c r="JK13" i="11"/>
  <c r="BM14" i="2" s="1"/>
  <c r="JL13" i="11"/>
  <c r="BN14" i="2" s="1"/>
  <c r="JM13" i="11"/>
  <c r="BO14" i="2" s="1"/>
  <c r="JN13" i="11"/>
  <c r="BP14" i="2" s="1"/>
  <c r="JO13" i="11"/>
  <c r="BQ14" i="2" s="1"/>
  <c r="JP13" i="11"/>
  <c r="BR14" i="2" s="1"/>
  <c r="JQ13" i="11"/>
  <c r="BS14" i="2" s="1"/>
  <c r="JR13" i="11"/>
  <c r="BT14" i="2" s="1"/>
  <c r="JS13" i="11"/>
  <c r="BU14" i="2" s="1"/>
  <c r="JT13" i="11"/>
  <c r="BV14" i="2" s="1"/>
  <c r="JU13" i="11"/>
  <c r="BW14" i="2" s="1"/>
  <c r="JV13" i="11"/>
  <c r="BX14" i="2" s="1"/>
  <c r="JW13" i="11"/>
  <c r="BY14" i="2" s="1"/>
  <c r="JX13" i="11"/>
  <c r="BZ14" i="2" s="1"/>
  <c r="JY13" i="11"/>
  <c r="CA14" i="2" s="1"/>
  <c r="JZ13" i="11"/>
  <c r="CB14" i="2" s="1"/>
  <c r="KA13" i="11"/>
  <c r="CC14" i="2" s="1"/>
  <c r="JI14" i="11"/>
  <c r="BK15" i="2" s="1"/>
  <c r="JJ14" i="11"/>
  <c r="BL15" i="2" s="1"/>
  <c r="JK14" i="11"/>
  <c r="BM15" i="2" s="1"/>
  <c r="JL14" i="11"/>
  <c r="BN15" i="2" s="1"/>
  <c r="JM14" i="11"/>
  <c r="BO15" i="2" s="1"/>
  <c r="JN14" i="11"/>
  <c r="BP15" i="2" s="1"/>
  <c r="JO14" i="11"/>
  <c r="BQ15" i="2" s="1"/>
  <c r="JP14" i="11"/>
  <c r="BR15" i="2" s="1"/>
  <c r="JQ14" i="11"/>
  <c r="BS15" i="2" s="1"/>
  <c r="JR14" i="11"/>
  <c r="BT15" i="2" s="1"/>
  <c r="JS14" i="11"/>
  <c r="BU15" i="2" s="1"/>
  <c r="JT14" i="11"/>
  <c r="BV15" i="2" s="1"/>
  <c r="JU14" i="11"/>
  <c r="BW15" i="2" s="1"/>
  <c r="JV14" i="11"/>
  <c r="BX15" i="2" s="1"/>
  <c r="JW14" i="11"/>
  <c r="BY15" i="2" s="1"/>
  <c r="JX14" i="11"/>
  <c r="BZ15" i="2" s="1"/>
  <c r="JY14" i="11"/>
  <c r="CA15" i="2" s="1"/>
  <c r="JZ14" i="11"/>
  <c r="CB15" i="2" s="1"/>
  <c r="KA14" i="11"/>
  <c r="CC15" i="2" s="1"/>
  <c r="JI15" i="11"/>
  <c r="BK16" i="2" s="1"/>
  <c r="JJ15" i="11"/>
  <c r="BL16" i="2" s="1"/>
  <c r="JK15" i="11"/>
  <c r="BM16" i="2" s="1"/>
  <c r="JL15" i="11"/>
  <c r="BN16" i="2" s="1"/>
  <c r="JM15" i="11"/>
  <c r="BO16" i="2" s="1"/>
  <c r="JN15" i="11"/>
  <c r="BP16" i="2" s="1"/>
  <c r="JO15" i="11"/>
  <c r="BQ16" i="2" s="1"/>
  <c r="JP15" i="11"/>
  <c r="BR16" i="2" s="1"/>
  <c r="JQ15" i="11"/>
  <c r="BS16" i="2" s="1"/>
  <c r="JR15" i="11"/>
  <c r="BT16" i="2" s="1"/>
  <c r="JS15" i="11"/>
  <c r="BU16" i="2" s="1"/>
  <c r="JT15" i="11"/>
  <c r="BV16" i="2" s="1"/>
  <c r="JU15" i="11"/>
  <c r="BW16" i="2" s="1"/>
  <c r="JV15" i="11"/>
  <c r="BX16" i="2" s="1"/>
  <c r="JW15" i="11"/>
  <c r="BY16" i="2" s="1"/>
  <c r="JX15" i="11"/>
  <c r="BZ16" i="2" s="1"/>
  <c r="JY15" i="11"/>
  <c r="CA16" i="2" s="1"/>
  <c r="JZ15" i="11"/>
  <c r="CB16" i="2" s="1"/>
  <c r="KA15" i="11"/>
  <c r="CC16" i="2" s="1"/>
  <c r="JI16" i="11"/>
  <c r="BK17" i="2" s="1"/>
  <c r="JJ16" i="11"/>
  <c r="BL17" i="2" s="1"/>
  <c r="JK16" i="11"/>
  <c r="BM17" i="2" s="1"/>
  <c r="JL16" i="11"/>
  <c r="BN17" i="2" s="1"/>
  <c r="JM16" i="11"/>
  <c r="BO17" i="2" s="1"/>
  <c r="JN16" i="11"/>
  <c r="BP17" i="2" s="1"/>
  <c r="JO16" i="11"/>
  <c r="BQ17" i="2" s="1"/>
  <c r="JP16" i="11"/>
  <c r="BR17" i="2" s="1"/>
  <c r="JQ16" i="11"/>
  <c r="BS17" i="2" s="1"/>
  <c r="JR16" i="11"/>
  <c r="BT17" i="2" s="1"/>
  <c r="JS16" i="11"/>
  <c r="BU17" i="2" s="1"/>
  <c r="JT16" i="11"/>
  <c r="BV17" i="2" s="1"/>
  <c r="JU16" i="11"/>
  <c r="BW17" i="2" s="1"/>
  <c r="JV16" i="11"/>
  <c r="BX17" i="2" s="1"/>
  <c r="JW16" i="11"/>
  <c r="BY17" i="2" s="1"/>
  <c r="JX16" i="11"/>
  <c r="BZ17" i="2" s="1"/>
  <c r="JY16" i="11"/>
  <c r="CA17" i="2" s="1"/>
  <c r="JZ16" i="11"/>
  <c r="CB17" i="2" s="1"/>
  <c r="KA16" i="11"/>
  <c r="CC17" i="2" s="1"/>
  <c r="JI17" i="11"/>
  <c r="BK18" i="2" s="1"/>
  <c r="JJ17" i="11"/>
  <c r="BL18" i="2" s="1"/>
  <c r="JK17" i="11"/>
  <c r="BM18" i="2" s="1"/>
  <c r="JL17" i="11"/>
  <c r="BN18" i="2" s="1"/>
  <c r="JM17" i="11"/>
  <c r="BO18" i="2" s="1"/>
  <c r="JN17" i="11"/>
  <c r="BP18" i="2" s="1"/>
  <c r="JO17" i="11"/>
  <c r="BQ18" i="2" s="1"/>
  <c r="JP17" i="11"/>
  <c r="BR18" i="2" s="1"/>
  <c r="JQ17" i="11"/>
  <c r="BS18" i="2" s="1"/>
  <c r="JR17" i="11"/>
  <c r="BT18" i="2" s="1"/>
  <c r="JS17" i="11"/>
  <c r="BU18" i="2" s="1"/>
  <c r="JT17" i="11"/>
  <c r="BV18" i="2" s="1"/>
  <c r="JU17" i="11"/>
  <c r="BW18" i="2" s="1"/>
  <c r="JV17" i="11"/>
  <c r="BX18" i="2" s="1"/>
  <c r="JW17" i="11"/>
  <c r="BY18" i="2" s="1"/>
  <c r="JX17" i="11"/>
  <c r="BZ18" i="2" s="1"/>
  <c r="JY17" i="11"/>
  <c r="CA18" i="2" s="1"/>
  <c r="JZ17" i="11"/>
  <c r="CB18" i="2" s="1"/>
  <c r="KA17" i="11"/>
  <c r="CC18" i="2" s="1"/>
  <c r="JI18" i="11"/>
  <c r="BK19" i="2" s="1"/>
  <c r="JJ18" i="11"/>
  <c r="BL19" i="2" s="1"/>
  <c r="JK18" i="11"/>
  <c r="BM19" i="2" s="1"/>
  <c r="JL18" i="11"/>
  <c r="BN19" i="2" s="1"/>
  <c r="JM18" i="11"/>
  <c r="BO19" i="2" s="1"/>
  <c r="JN18" i="11"/>
  <c r="BP19" i="2" s="1"/>
  <c r="JO18" i="11"/>
  <c r="BQ19" i="2" s="1"/>
  <c r="JP18" i="11"/>
  <c r="BR19" i="2" s="1"/>
  <c r="JQ18" i="11"/>
  <c r="BS19" i="2" s="1"/>
  <c r="JR18" i="11"/>
  <c r="BT19" i="2" s="1"/>
  <c r="JS18" i="11"/>
  <c r="BU19" i="2" s="1"/>
  <c r="JT18" i="11"/>
  <c r="BV19" i="2" s="1"/>
  <c r="JU18" i="11"/>
  <c r="BW19" i="2" s="1"/>
  <c r="JV18" i="11"/>
  <c r="BX19" i="2" s="1"/>
  <c r="JW18" i="11"/>
  <c r="BY19" i="2" s="1"/>
  <c r="JX18" i="11"/>
  <c r="BZ19" i="2" s="1"/>
  <c r="JY18" i="11"/>
  <c r="CA19" i="2" s="1"/>
  <c r="JZ18" i="11"/>
  <c r="CB19" i="2" s="1"/>
  <c r="KA18" i="11"/>
  <c r="CC19" i="2" s="1"/>
  <c r="JI19" i="11"/>
  <c r="BK20" i="2" s="1"/>
  <c r="JJ19" i="11"/>
  <c r="BL20" i="2" s="1"/>
  <c r="JK19" i="11"/>
  <c r="BM20" i="2" s="1"/>
  <c r="JL19" i="11"/>
  <c r="BN20" i="2" s="1"/>
  <c r="JM19" i="11"/>
  <c r="BO20" i="2" s="1"/>
  <c r="JN19" i="11"/>
  <c r="BP20" i="2" s="1"/>
  <c r="JO19" i="11"/>
  <c r="BQ20" i="2" s="1"/>
  <c r="JP19" i="11"/>
  <c r="BR20" i="2" s="1"/>
  <c r="JQ19" i="11"/>
  <c r="BS20" i="2" s="1"/>
  <c r="JR19" i="11"/>
  <c r="BT20" i="2" s="1"/>
  <c r="JS19" i="11"/>
  <c r="BU20" i="2" s="1"/>
  <c r="JT19" i="11"/>
  <c r="BV20" i="2" s="1"/>
  <c r="JU19" i="11"/>
  <c r="BW20" i="2" s="1"/>
  <c r="JV19" i="11"/>
  <c r="BX20" i="2" s="1"/>
  <c r="JW19" i="11"/>
  <c r="BY20" i="2" s="1"/>
  <c r="JX19" i="11"/>
  <c r="BZ20" i="2" s="1"/>
  <c r="JY19" i="11"/>
  <c r="CA20" i="2" s="1"/>
  <c r="JZ19" i="11"/>
  <c r="CB20" i="2" s="1"/>
  <c r="KA19" i="11"/>
  <c r="CC20" i="2" s="1"/>
  <c r="JI20" i="11"/>
  <c r="BK21" i="2" s="1"/>
  <c r="JJ20" i="11"/>
  <c r="BL21" i="2" s="1"/>
  <c r="JK20" i="11"/>
  <c r="BM21" i="2" s="1"/>
  <c r="JL20" i="11"/>
  <c r="BN21" i="2" s="1"/>
  <c r="JM20" i="11"/>
  <c r="BO21" i="2" s="1"/>
  <c r="JN20" i="11"/>
  <c r="BP21" i="2" s="1"/>
  <c r="JO20" i="11"/>
  <c r="BQ21" i="2" s="1"/>
  <c r="JP20" i="11"/>
  <c r="BR21" i="2" s="1"/>
  <c r="JQ20" i="11"/>
  <c r="BS21" i="2" s="1"/>
  <c r="JR20" i="11"/>
  <c r="BT21" i="2" s="1"/>
  <c r="JS20" i="11"/>
  <c r="BU21" i="2" s="1"/>
  <c r="JT20" i="11"/>
  <c r="BV21" i="2" s="1"/>
  <c r="JU20" i="11"/>
  <c r="BW21" i="2" s="1"/>
  <c r="JV20" i="11"/>
  <c r="BX21" i="2" s="1"/>
  <c r="JW20" i="11"/>
  <c r="BY21" i="2" s="1"/>
  <c r="JX20" i="11"/>
  <c r="BZ21" i="2" s="1"/>
  <c r="JY20" i="11"/>
  <c r="CA21" i="2" s="1"/>
  <c r="JZ20" i="11"/>
  <c r="CB21" i="2" s="1"/>
  <c r="KA20" i="11"/>
  <c r="CC21" i="2" s="1"/>
  <c r="JI21" i="11"/>
  <c r="BK22" i="2" s="1"/>
  <c r="JJ21" i="11"/>
  <c r="BL22" i="2" s="1"/>
  <c r="JK21" i="11"/>
  <c r="BM22" i="2" s="1"/>
  <c r="JL21" i="11"/>
  <c r="BN22" i="2" s="1"/>
  <c r="JM21" i="11"/>
  <c r="BO22" i="2" s="1"/>
  <c r="JN21" i="11"/>
  <c r="BP22" i="2" s="1"/>
  <c r="JO21" i="11"/>
  <c r="BQ22" i="2" s="1"/>
  <c r="JP21" i="11"/>
  <c r="BR22" i="2" s="1"/>
  <c r="JQ21" i="11"/>
  <c r="BS22" i="2" s="1"/>
  <c r="JR21" i="11"/>
  <c r="BT22" i="2" s="1"/>
  <c r="JS21" i="11"/>
  <c r="BU22" i="2" s="1"/>
  <c r="JT21" i="11"/>
  <c r="BV22" i="2" s="1"/>
  <c r="JU21" i="11"/>
  <c r="BW22" i="2" s="1"/>
  <c r="JV21" i="11"/>
  <c r="BX22" i="2" s="1"/>
  <c r="JW21" i="11"/>
  <c r="BY22" i="2" s="1"/>
  <c r="JX21" i="11"/>
  <c r="BZ22" i="2" s="1"/>
  <c r="JY21" i="11"/>
  <c r="CA22" i="2" s="1"/>
  <c r="JZ21" i="11"/>
  <c r="CB22" i="2" s="1"/>
  <c r="KA21" i="11"/>
  <c r="CC22" i="2" s="1"/>
  <c r="JI22" i="11"/>
  <c r="BK23" i="2" s="1"/>
  <c r="JJ22" i="11"/>
  <c r="BL23" i="2" s="1"/>
  <c r="JK22" i="11"/>
  <c r="BM23" i="2" s="1"/>
  <c r="JL22" i="11"/>
  <c r="BN23" i="2" s="1"/>
  <c r="JM22" i="11"/>
  <c r="BO23" i="2" s="1"/>
  <c r="JN22" i="11"/>
  <c r="BP23" i="2" s="1"/>
  <c r="JO22" i="11"/>
  <c r="BQ23" i="2" s="1"/>
  <c r="JP22" i="11"/>
  <c r="BR23" i="2" s="1"/>
  <c r="JQ22" i="11"/>
  <c r="BS23" i="2" s="1"/>
  <c r="JR22" i="11"/>
  <c r="BT23" i="2" s="1"/>
  <c r="JS22" i="11"/>
  <c r="BU23" i="2" s="1"/>
  <c r="JT22" i="11"/>
  <c r="BV23" i="2" s="1"/>
  <c r="JU22" i="11"/>
  <c r="BW23" i="2" s="1"/>
  <c r="JV22" i="11"/>
  <c r="BX23" i="2" s="1"/>
  <c r="JW22" i="11"/>
  <c r="BY23" i="2" s="1"/>
  <c r="JX22" i="11"/>
  <c r="BZ23" i="2" s="1"/>
  <c r="JY22" i="11"/>
  <c r="CA23" i="2" s="1"/>
  <c r="JZ22" i="11"/>
  <c r="CB23" i="2" s="1"/>
  <c r="KA22" i="11"/>
  <c r="CC23" i="2" s="1"/>
  <c r="JI23" i="11"/>
  <c r="BK24" i="2" s="1"/>
  <c r="JJ23" i="11"/>
  <c r="BL24" i="2" s="1"/>
  <c r="JK23" i="11"/>
  <c r="BM24" i="2" s="1"/>
  <c r="JL23" i="11"/>
  <c r="BN24" i="2" s="1"/>
  <c r="JM23" i="11"/>
  <c r="BO24" i="2" s="1"/>
  <c r="JN23" i="11"/>
  <c r="BP24" i="2" s="1"/>
  <c r="JO23" i="11"/>
  <c r="BQ24" i="2" s="1"/>
  <c r="JP23" i="11"/>
  <c r="BR24" i="2" s="1"/>
  <c r="JQ23" i="11"/>
  <c r="BS24" i="2" s="1"/>
  <c r="JR23" i="11"/>
  <c r="BT24" i="2" s="1"/>
  <c r="JS23" i="11"/>
  <c r="BU24" i="2" s="1"/>
  <c r="JT23" i="11"/>
  <c r="BV24" i="2" s="1"/>
  <c r="JU23" i="11"/>
  <c r="BW24" i="2" s="1"/>
  <c r="JV23" i="11"/>
  <c r="BX24" i="2" s="1"/>
  <c r="JW23" i="11"/>
  <c r="BY24" i="2" s="1"/>
  <c r="JX23" i="11"/>
  <c r="BZ24" i="2" s="1"/>
  <c r="JY23" i="11"/>
  <c r="CA24" i="2" s="1"/>
  <c r="JZ23" i="11"/>
  <c r="CB24" i="2" s="1"/>
  <c r="KA23" i="11"/>
  <c r="CC24" i="2" s="1"/>
  <c r="JI24" i="11"/>
  <c r="BK25" i="2" s="1"/>
  <c r="JJ24" i="11"/>
  <c r="BL25" i="2" s="1"/>
  <c r="JK24" i="11"/>
  <c r="BM25" i="2" s="1"/>
  <c r="JL24" i="11"/>
  <c r="BN25" i="2" s="1"/>
  <c r="JM24" i="11"/>
  <c r="BO25" i="2" s="1"/>
  <c r="JN24" i="11"/>
  <c r="BP25" i="2" s="1"/>
  <c r="JO24" i="11"/>
  <c r="BQ25" i="2" s="1"/>
  <c r="JP24" i="11"/>
  <c r="BR25" i="2" s="1"/>
  <c r="JQ24" i="11"/>
  <c r="BS25" i="2" s="1"/>
  <c r="JR24" i="11"/>
  <c r="BT25" i="2" s="1"/>
  <c r="JS24" i="11"/>
  <c r="BU25" i="2" s="1"/>
  <c r="JT24" i="11"/>
  <c r="BV25" i="2" s="1"/>
  <c r="JU24" i="11"/>
  <c r="BW25" i="2" s="1"/>
  <c r="JV24" i="11"/>
  <c r="BX25" i="2" s="1"/>
  <c r="JW24" i="11"/>
  <c r="BY25" i="2" s="1"/>
  <c r="JX24" i="11"/>
  <c r="BZ25" i="2" s="1"/>
  <c r="JY24" i="11"/>
  <c r="CA25" i="2" s="1"/>
  <c r="JZ24" i="11"/>
  <c r="CB25" i="2" s="1"/>
  <c r="KA24" i="11"/>
  <c r="CC25" i="2" s="1"/>
  <c r="JI25" i="11"/>
  <c r="BK26" i="2" s="1"/>
  <c r="JJ25" i="11"/>
  <c r="BL26" i="2" s="1"/>
  <c r="JK25" i="11"/>
  <c r="BM26" i="2" s="1"/>
  <c r="JL25" i="11"/>
  <c r="BN26" i="2" s="1"/>
  <c r="JM25" i="11"/>
  <c r="BO26" i="2" s="1"/>
  <c r="JN25" i="11"/>
  <c r="BP26" i="2" s="1"/>
  <c r="JO25" i="11"/>
  <c r="BQ26" i="2" s="1"/>
  <c r="JP25" i="11"/>
  <c r="BR26" i="2" s="1"/>
  <c r="JQ25" i="11"/>
  <c r="BS26" i="2" s="1"/>
  <c r="JR25" i="11"/>
  <c r="BT26" i="2" s="1"/>
  <c r="JS25" i="11"/>
  <c r="BU26" i="2" s="1"/>
  <c r="JT25" i="11"/>
  <c r="BV26" i="2" s="1"/>
  <c r="JU25" i="11"/>
  <c r="BW26" i="2" s="1"/>
  <c r="JV25" i="11"/>
  <c r="BX26" i="2" s="1"/>
  <c r="JW25" i="11"/>
  <c r="BY26" i="2" s="1"/>
  <c r="JX25" i="11"/>
  <c r="BZ26" i="2" s="1"/>
  <c r="JY25" i="11"/>
  <c r="CA26" i="2" s="1"/>
  <c r="JZ25" i="11"/>
  <c r="CB26" i="2" s="1"/>
  <c r="KA25" i="11"/>
  <c r="CC26" i="2" s="1"/>
  <c r="JI26" i="11"/>
  <c r="BK27" i="2" s="1"/>
  <c r="JJ26" i="11"/>
  <c r="BL27" i="2" s="1"/>
  <c r="JK26" i="11"/>
  <c r="BM27" i="2" s="1"/>
  <c r="JL26" i="11"/>
  <c r="BN27" i="2" s="1"/>
  <c r="JM26" i="11"/>
  <c r="BO27" i="2" s="1"/>
  <c r="JN26" i="11"/>
  <c r="JO26" i="11"/>
  <c r="BQ27" i="2" s="1"/>
  <c r="JP26" i="11"/>
  <c r="BR27" i="2" s="1"/>
  <c r="JQ26" i="11"/>
  <c r="BS27" i="2" s="1"/>
  <c r="JR26" i="11"/>
  <c r="BT27" i="2" s="1"/>
  <c r="JS26" i="11"/>
  <c r="BU27" i="2" s="1"/>
  <c r="JT26" i="11"/>
  <c r="BV27" i="2" s="1"/>
  <c r="JU26" i="11"/>
  <c r="BW27" i="2" s="1"/>
  <c r="JV26" i="11"/>
  <c r="BX27" i="2" s="1"/>
  <c r="JW26" i="11"/>
  <c r="BY27" i="2" s="1"/>
  <c r="JX26" i="11"/>
  <c r="BZ27" i="2" s="1"/>
  <c r="JY26" i="11"/>
  <c r="CA27" i="2" s="1"/>
  <c r="JZ26" i="11"/>
  <c r="CB27" i="2" s="1"/>
  <c r="KA26" i="11"/>
  <c r="CC27" i="2" s="1"/>
  <c r="JI27" i="11"/>
  <c r="BK28" i="2" s="1"/>
  <c r="JJ27" i="11"/>
  <c r="BL28" i="2" s="1"/>
  <c r="JK27" i="11"/>
  <c r="BM28" i="2" s="1"/>
  <c r="JL27" i="11"/>
  <c r="BN28" i="2" s="1"/>
  <c r="JM27" i="11"/>
  <c r="BO28" i="2" s="1"/>
  <c r="JN27" i="11"/>
  <c r="BP28" i="2" s="1"/>
  <c r="JO27" i="11"/>
  <c r="BQ28" i="2" s="1"/>
  <c r="JP27" i="11"/>
  <c r="BR28" i="2" s="1"/>
  <c r="JQ27" i="11"/>
  <c r="BS28" i="2" s="1"/>
  <c r="JR27" i="11"/>
  <c r="BT28" i="2" s="1"/>
  <c r="JS27" i="11"/>
  <c r="BU28" i="2" s="1"/>
  <c r="JT27" i="11"/>
  <c r="BV28" i="2" s="1"/>
  <c r="JU27" i="11"/>
  <c r="BW28" i="2" s="1"/>
  <c r="JV27" i="11"/>
  <c r="BX28" i="2" s="1"/>
  <c r="JW27" i="11"/>
  <c r="BY28" i="2" s="1"/>
  <c r="JX27" i="11"/>
  <c r="BZ28" i="2" s="1"/>
  <c r="JY27" i="11"/>
  <c r="CA28" i="2" s="1"/>
  <c r="JZ27" i="11"/>
  <c r="CB28" i="2" s="1"/>
  <c r="KA27" i="11"/>
  <c r="CC28" i="2" s="1"/>
  <c r="JI28" i="11"/>
  <c r="BK29" i="2" s="1"/>
  <c r="JJ28" i="11"/>
  <c r="BL29" i="2" s="1"/>
  <c r="JK28" i="11"/>
  <c r="BM29" i="2" s="1"/>
  <c r="JL28" i="11"/>
  <c r="BN29" i="2" s="1"/>
  <c r="JM28" i="11"/>
  <c r="BO29" i="2" s="1"/>
  <c r="JN28" i="11"/>
  <c r="BP29" i="2" s="1"/>
  <c r="JO28" i="11"/>
  <c r="BQ29" i="2" s="1"/>
  <c r="JP28" i="11"/>
  <c r="BR29" i="2" s="1"/>
  <c r="JQ28" i="11"/>
  <c r="BS29" i="2" s="1"/>
  <c r="JR28" i="11"/>
  <c r="BT29" i="2" s="1"/>
  <c r="JS28" i="11"/>
  <c r="BU29" i="2" s="1"/>
  <c r="JT28" i="11"/>
  <c r="BV29" i="2" s="1"/>
  <c r="JU28" i="11"/>
  <c r="BW29" i="2" s="1"/>
  <c r="JV28" i="11"/>
  <c r="BX29" i="2" s="1"/>
  <c r="JW28" i="11"/>
  <c r="BY29" i="2" s="1"/>
  <c r="JX28" i="11"/>
  <c r="BZ29" i="2" s="1"/>
  <c r="JY28" i="11"/>
  <c r="CA29" i="2" s="1"/>
  <c r="JZ28" i="11"/>
  <c r="CB29" i="2" s="1"/>
  <c r="KA28" i="11"/>
  <c r="CC29" i="2" s="1"/>
  <c r="JI29" i="11"/>
  <c r="BK30" i="2" s="1"/>
  <c r="JJ29" i="11"/>
  <c r="BL30" i="2" s="1"/>
  <c r="JK29" i="11"/>
  <c r="BM30" i="2" s="1"/>
  <c r="JL29" i="11"/>
  <c r="BN30" i="2" s="1"/>
  <c r="JM29" i="11"/>
  <c r="BO30" i="2" s="1"/>
  <c r="JN29" i="11"/>
  <c r="BP30" i="2" s="1"/>
  <c r="JO29" i="11"/>
  <c r="BQ30" i="2" s="1"/>
  <c r="JP29" i="11"/>
  <c r="BR30" i="2" s="1"/>
  <c r="JQ29" i="11"/>
  <c r="BS30" i="2" s="1"/>
  <c r="JR29" i="11"/>
  <c r="BT30" i="2" s="1"/>
  <c r="JS29" i="11"/>
  <c r="BU30" i="2" s="1"/>
  <c r="JT29" i="11"/>
  <c r="BV30" i="2" s="1"/>
  <c r="JU29" i="11"/>
  <c r="BW30" i="2" s="1"/>
  <c r="JV29" i="11"/>
  <c r="BX30" i="2" s="1"/>
  <c r="JW29" i="11"/>
  <c r="BY30" i="2" s="1"/>
  <c r="JX29" i="11"/>
  <c r="BZ30" i="2" s="1"/>
  <c r="JY29" i="11"/>
  <c r="CA30" i="2" s="1"/>
  <c r="JZ29" i="11"/>
  <c r="CB30" i="2" s="1"/>
  <c r="KA29" i="11"/>
  <c r="CC30" i="2" s="1"/>
  <c r="JI30" i="11"/>
  <c r="BK31" i="2" s="1"/>
  <c r="JJ30" i="11"/>
  <c r="BL31" i="2" s="1"/>
  <c r="JK30" i="11"/>
  <c r="BM31" i="2" s="1"/>
  <c r="JL30" i="11"/>
  <c r="BN31" i="2" s="1"/>
  <c r="JM30" i="11"/>
  <c r="BO31" i="2" s="1"/>
  <c r="JN30" i="11"/>
  <c r="BP31" i="2" s="1"/>
  <c r="JO30" i="11"/>
  <c r="BQ31" i="2" s="1"/>
  <c r="JP30" i="11"/>
  <c r="BR31" i="2" s="1"/>
  <c r="JQ30" i="11"/>
  <c r="BS31" i="2" s="1"/>
  <c r="JR30" i="11"/>
  <c r="BT31" i="2" s="1"/>
  <c r="JS30" i="11"/>
  <c r="BU31" i="2" s="1"/>
  <c r="JT30" i="11"/>
  <c r="BV31" i="2" s="1"/>
  <c r="JU30" i="11"/>
  <c r="BW31" i="2" s="1"/>
  <c r="JV30" i="11"/>
  <c r="BX31" i="2" s="1"/>
  <c r="JW30" i="11"/>
  <c r="BY31" i="2" s="1"/>
  <c r="JX30" i="11"/>
  <c r="BZ31" i="2" s="1"/>
  <c r="JY30" i="11"/>
  <c r="CA31" i="2" s="1"/>
  <c r="JZ30" i="11"/>
  <c r="CB31" i="2" s="1"/>
  <c r="KA30" i="11"/>
  <c r="CC31" i="2" s="1"/>
  <c r="JI31" i="11"/>
  <c r="BK32" i="2" s="1"/>
  <c r="JJ31" i="11"/>
  <c r="BL32" i="2" s="1"/>
  <c r="JK31" i="11"/>
  <c r="BM32" i="2" s="1"/>
  <c r="JL31" i="11"/>
  <c r="BN32" i="2" s="1"/>
  <c r="JM31" i="11"/>
  <c r="BO32" i="2" s="1"/>
  <c r="JN31" i="11"/>
  <c r="BP32" i="2" s="1"/>
  <c r="JO31" i="11"/>
  <c r="BQ32" i="2" s="1"/>
  <c r="JP31" i="11"/>
  <c r="BR32" i="2" s="1"/>
  <c r="JQ31" i="11"/>
  <c r="BS32" i="2" s="1"/>
  <c r="JR31" i="11"/>
  <c r="BT32" i="2" s="1"/>
  <c r="JS31" i="11"/>
  <c r="BU32" i="2" s="1"/>
  <c r="JT31" i="11"/>
  <c r="BV32" i="2" s="1"/>
  <c r="JU31" i="11"/>
  <c r="BW32" i="2" s="1"/>
  <c r="JV31" i="11"/>
  <c r="BX32" i="2" s="1"/>
  <c r="JW31" i="11"/>
  <c r="BY32" i="2" s="1"/>
  <c r="JX31" i="11"/>
  <c r="BZ32" i="2" s="1"/>
  <c r="JY31" i="11"/>
  <c r="CA32" i="2" s="1"/>
  <c r="JZ31" i="11"/>
  <c r="CB32" i="2" s="1"/>
  <c r="KA31" i="11"/>
  <c r="CC32" i="2" s="1"/>
  <c r="JI32" i="11"/>
  <c r="BK33" i="2" s="1"/>
  <c r="JJ32" i="11"/>
  <c r="BL33" i="2" s="1"/>
  <c r="JK32" i="11"/>
  <c r="BM33" i="2" s="1"/>
  <c r="JL32" i="11"/>
  <c r="BN33" i="2" s="1"/>
  <c r="JM32" i="11"/>
  <c r="BO33" i="2" s="1"/>
  <c r="JN32" i="11"/>
  <c r="BP33" i="2" s="1"/>
  <c r="JO32" i="11"/>
  <c r="BQ33" i="2" s="1"/>
  <c r="JP32" i="11"/>
  <c r="BR33" i="2" s="1"/>
  <c r="JQ32" i="11"/>
  <c r="BS33" i="2" s="1"/>
  <c r="JR32" i="11"/>
  <c r="BT33" i="2" s="1"/>
  <c r="JS32" i="11"/>
  <c r="BU33" i="2" s="1"/>
  <c r="JT32" i="11"/>
  <c r="BV33" i="2" s="1"/>
  <c r="JU32" i="11"/>
  <c r="BW33" i="2" s="1"/>
  <c r="JV32" i="11"/>
  <c r="BX33" i="2" s="1"/>
  <c r="JW32" i="11"/>
  <c r="BY33" i="2" s="1"/>
  <c r="JX32" i="11"/>
  <c r="BZ33" i="2" s="1"/>
  <c r="JY32" i="11"/>
  <c r="CA33" i="2" s="1"/>
  <c r="JZ32" i="11"/>
  <c r="CB33" i="2" s="1"/>
  <c r="KA32" i="11"/>
  <c r="CC33" i="2" s="1"/>
  <c r="JI33" i="11"/>
  <c r="BK34" i="2" s="1"/>
  <c r="JJ33" i="11"/>
  <c r="BL34" i="2" s="1"/>
  <c r="JK33" i="11"/>
  <c r="BM34" i="2" s="1"/>
  <c r="JL33" i="11"/>
  <c r="BN34" i="2" s="1"/>
  <c r="JM33" i="11"/>
  <c r="BO34" i="2" s="1"/>
  <c r="JN33" i="11"/>
  <c r="BP34" i="2" s="1"/>
  <c r="JO33" i="11"/>
  <c r="BQ34" i="2" s="1"/>
  <c r="JP33" i="11"/>
  <c r="BR34" i="2" s="1"/>
  <c r="JQ33" i="11"/>
  <c r="BS34" i="2" s="1"/>
  <c r="JR33" i="11"/>
  <c r="BT34" i="2" s="1"/>
  <c r="JS33" i="11"/>
  <c r="BU34" i="2" s="1"/>
  <c r="JT33" i="11"/>
  <c r="BV34" i="2" s="1"/>
  <c r="JU33" i="11"/>
  <c r="BW34" i="2" s="1"/>
  <c r="JV33" i="11"/>
  <c r="BX34" i="2" s="1"/>
  <c r="JW33" i="11"/>
  <c r="BY34" i="2" s="1"/>
  <c r="JX33" i="11"/>
  <c r="BZ34" i="2" s="1"/>
  <c r="JY33" i="11"/>
  <c r="CA34" i="2" s="1"/>
  <c r="JZ33" i="11"/>
  <c r="CB34" i="2" s="1"/>
  <c r="KA33" i="11"/>
  <c r="CC34" i="2" s="1"/>
  <c r="JI34" i="11"/>
  <c r="BK35" i="2" s="1"/>
  <c r="JJ34" i="11"/>
  <c r="BL35" i="2" s="1"/>
  <c r="JK34" i="11"/>
  <c r="BM35" i="2" s="1"/>
  <c r="JL34" i="11"/>
  <c r="BN35" i="2" s="1"/>
  <c r="JM34" i="11"/>
  <c r="BO35" i="2" s="1"/>
  <c r="JN34" i="11"/>
  <c r="BP35" i="2" s="1"/>
  <c r="JO34" i="11"/>
  <c r="BQ35" i="2" s="1"/>
  <c r="JP34" i="11"/>
  <c r="BR35" i="2" s="1"/>
  <c r="JQ34" i="11"/>
  <c r="BS35" i="2" s="1"/>
  <c r="JR34" i="11"/>
  <c r="BT35" i="2" s="1"/>
  <c r="JS34" i="11"/>
  <c r="BU35" i="2" s="1"/>
  <c r="JT34" i="11"/>
  <c r="BV35" i="2" s="1"/>
  <c r="JU34" i="11"/>
  <c r="BW35" i="2" s="1"/>
  <c r="JV34" i="11"/>
  <c r="BX35" i="2" s="1"/>
  <c r="JW34" i="11"/>
  <c r="BY35" i="2" s="1"/>
  <c r="JX34" i="11"/>
  <c r="BZ35" i="2" s="1"/>
  <c r="JY34" i="11"/>
  <c r="CA35" i="2" s="1"/>
  <c r="JZ34" i="11"/>
  <c r="CB35" i="2" s="1"/>
  <c r="KA34" i="11"/>
  <c r="CC35" i="2" s="1"/>
  <c r="JI35" i="11"/>
  <c r="BK36" i="2" s="1"/>
  <c r="JJ35" i="11"/>
  <c r="BL36" i="2" s="1"/>
  <c r="JK35" i="11"/>
  <c r="BM36" i="2" s="1"/>
  <c r="JL35" i="11"/>
  <c r="BN36" i="2" s="1"/>
  <c r="JM35" i="11"/>
  <c r="BO36" i="2" s="1"/>
  <c r="JN35" i="11"/>
  <c r="BP36" i="2" s="1"/>
  <c r="JO35" i="11"/>
  <c r="BQ36" i="2" s="1"/>
  <c r="JP35" i="11"/>
  <c r="BR36" i="2" s="1"/>
  <c r="JQ35" i="11"/>
  <c r="BS36" i="2" s="1"/>
  <c r="JR35" i="11"/>
  <c r="BT36" i="2" s="1"/>
  <c r="JS35" i="11"/>
  <c r="BU36" i="2" s="1"/>
  <c r="JT35" i="11"/>
  <c r="BV36" i="2" s="1"/>
  <c r="JU35" i="11"/>
  <c r="BW36" i="2" s="1"/>
  <c r="JV35" i="11"/>
  <c r="BX36" i="2" s="1"/>
  <c r="JW35" i="11"/>
  <c r="BY36" i="2" s="1"/>
  <c r="JX35" i="11"/>
  <c r="BZ36" i="2" s="1"/>
  <c r="JY35" i="11"/>
  <c r="CA36" i="2" s="1"/>
  <c r="JZ35" i="11"/>
  <c r="CB36" i="2" s="1"/>
  <c r="KA35" i="11"/>
  <c r="CC36" i="2" s="1"/>
  <c r="JI36" i="11"/>
  <c r="BK37" i="2" s="1"/>
  <c r="JJ36" i="11"/>
  <c r="BL37" i="2" s="1"/>
  <c r="JK36" i="11"/>
  <c r="BM37" i="2" s="1"/>
  <c r="JL36" i="11"/>
  <c r="BN37" i="2" s="1"/>
  <c r="JM36" i="11"/>
  <c r="BO37" i="2" s="1"/>
  <c r="JN36" i="11"/>
  <c r="BP37" i="2" s="1"/>
  <c r="JO36" i="11"/>
  <c r="BQ37" i="2" s="1"/>
  <c r="JP36" i="11"/>
  <c r="BR37" i="2" s="1"/>
  <c r="JQ36" i="11"/>
  <c r="BS37" i="2" s="1"/>
  <c r="JR36" i="11"/>
  <c r="BT37" i="2" s="1"/>
  <c r="JS36" i="11"/>
  <c r="BU37" i="2" s="1"/>
  <c r="JT36" i="11"/>
  <c r="BV37" i="2" s="1"/>
  <c r="JU36" i="11"/>
  <c r="BW37" i="2" s="1"/>
  <c r="JV36" i="11"/>
  <c r="BX37" i="2" s="1"/>
  <c r="JW36" i="11"/>
  <c r="BY37" i="2" s="1"/>
  <c r="JX36" i="11"/>
  <c r="BZ37" i="2" s="1"/>
  <c r="JY36" i="11"/>
  <c r="CA37" i="2" s="1"/>
  <c r="JZ36" i="11"/>
  <c r="CB37" i="2" s="1"/>
  <c r="KA36" i="11"/>
  <c r="CC37" i="2" s="1"/>
  <c r="JI37" i="11"/>
  <c r="BK38" i="2" s="1"/>
  <c r="JJ37" i="11"/>
  <c r="BL38" i="2" s="1"/>
  <c r="JK37" i="11"/>
  <c r="BM38" i="2" s="1"/>
  <c r="JL37" i="11"/>
  <c r="BN38" i="2" s="1"/>
  <c r="JM37" i="11"/>
  <c r="BO38" i="2" s="1"/>
  <c r="JN37" i="11"/>
  <c r="BP38" i="2" s="1"/>
  <c r="JO37" i="11"/>
  <c r="BQ38" i="2" s="1"/>
  <c r="JP37" i="11"/>
  <c r="BR38" i="2" s="1"/>
  <c r="JQ37" i="11"/>
  <c r="BS38" i="2" s="1"/>
  <c r="JR37" i="11"/>
  <c r="BT38" i="2" s="1"/>
  <c r="JS37" i="11"/>
  <c r="BU38" i="2" s="1"/>
  <c r="JT37" i="11"/>
  <c r="BV38" i="2" s="1"/>
  <c r="JU37" i="11"/>
  <c r="BW38" i="2" s="1"/>
  <c r="JV37" i="11"/>
  <c r="BX38" i="2" s="1"/>
  <c r="JW37" i="11"/>
  <c r="BY38" i="2" s="1"/>
  <c r="JX37" i="11"/>
  <c r="BZ38" i="2" s="1"/>
  <c r="JY37" i="11"/>
  <c r="CA38" i="2" s="1"/>
  <c r="JZ37" i="11"/>
  <c r="CB38" i="2" s="1"/>
  <c r="KA37" i="11"/>
  <c r="CC38" i="2" s="1"/>
  <c r="JI38" i="11"/>
  <c r="BK39" i="2" s="1"/>
  <c r="JJ38" i="11"/>
  <c r="BL39" i="2" s="1"/>
  <c r="JK38" i="11"/>
  <c r="BM39" i="2" s="1"/>
  <c r="JL38" i="11"/>
  <c r="BN39" i="2" s="1"/>
  <c r="JM38" i="11"/>
  <c r="BO39" i="2" s="1"/>
  <c r="JN38" i="11"/>
  <c r="BP39" i="2" s="1"/>
  <c r="JO38" i="11"/>
  <c r="BQ39" i="2" s="1"/>
  <c r="JP38" i="11"/>
  <c r="BR39" i="2" s="1"/>
  <c r="JQ38" i="11"/>
  <c r="BS39" i="2" s="1"/>
  <c r="JR38" i="11"/>
  <c r="BT39" i="2" s="1"/>
  <c r="JS38" i="11"/>
  <c r="BU39" i="2" s="1"/>
  <c r="JT38" i="11"/>
  <c r="BV39" i="2" s="1"/>
  <c r="JU38" i="11"/>
  <c r="BW39" i="2" s="1"/>
  <c r="JV38" i="11"/>
  <c r="BX39" i="2" s="1"/>
  <c r="JW38" i="11"/>
  <c r="BY39" i="2" s="1"/>
  <c r="JX38" i="11"/>
  <c r="BZ39" i="2" s="1"/>
  <c r="JY38" i="11"/>
  <c r="CA39" i="2" s="1"/>
  <c r="JZ38" i="11"/>
  <c r="CB39" i="2" s="1"/>
  <c r="KA38" i="11"/>
  <c r="CC39" i="2" s="1"/>
  <c r="JI39" i="11"/>
  <c r="BK40" i="2" s="1"/>
  <c r="JJ39" i="11"/>
  <c r="BL40" i="2" s="1"/>
  <c r="JK39" i="11"/>
  <c r="BM40" i="2" s="1"/>
  <c r="JL39" i="11"/>
  <c r="BN40" i="2" s="1"/>
  <c r="JM39" i="11"/>
  <c r="BO40" i="2" s="1"/>
  <c r="JN39" i="11"/>
  <c r="BP40" i="2" s="1"/>
  <c r="JO39" i="11"/>
  <c r="BQ40" i="2" s="1"/>
  <c r="JP39" i="11"/>
  <c r="BR40" i="2" s="1"/>
  <c r="JQ39" i="11"/>
  <c r="BS40" i="2" s="1"/>
  <c r="JR39" i="11"/>
  <c r="BT40" i="2" s="1"/>
  <c r="JS39" i="11"/>
  <c r="BU40" i="2" s="1"/>
  <c r="JT39" i="11"/>
  <c r="BV40" i="2" s="1"/>
  <c r="JU39" i="11"/>
  <c r="BW40" i="2" s="1"/>
  <c r="JV39" i="11"/>
  <c r="BX40" i="2" s="1"/>
  <c r="JW39" i="11"/>
  <c r="BY40" i="2" s="1"/>
  <c r="JX39" i="11"/>
  <c r="BZ40" i="2" s="1"/>
  <c r="JY39" i="11"/>
  <c r="CA40" i="2" s="1"/>
  <c r="JZ39" i="11"/>
  <c r="CB40" i="2" s="1"/>
  <c r="KA39" i="11"/>
  <c r="CC40" i="2" s="1"/>
  <c r="JI40" i="11"/>
  <c r="BK41" i="2" s="1"/>
  <c r="JJ40" i="11"/>
  <c r="BL41" i="2" s="1"/>
  <c r="JK40" i="11"/>
  <c r="BM41" i="2" s="1"/>
  <c r="JL40" i="11"/>
  <c r="BN41" i="2" s="1"/>
  <c r="JM40" i="11"/>
  <c r="BO41" i="2" s="1"/>
  <c r="JN40" i="11"/>
  <c r="BP41" i="2" s="1"/>
  <c r="JO40" i="11"/>
  <c r="BQ41" i="2" s="1"/>
  <c r="JP40" i="11"/>
  <c r="BR41" i="2" s="1"/>
  <c r="JQ40" i="11"/>
  <c r="BS41" i="2" s="1"/>
  <c r="JR40" i="11"/>
  <c r="BT41" i="2" s="1"/>
  <c r="JS40" i="11"/>
  <c r="BU41" i="2" s="1"/>
  <c r="JT40" i="11"/>
  <c r="BV41" i="2" s="1"/>
  <c r="JU40" i="11"/>
  <c r="BW41" i="2" s="1"/>
  <c r="JV40" i="11"/>
  <c r="BX41" i="2" s="1"/>
  <c r="JW40" i="11"/>
  <c r="BY41" i="2" s="1"/>
  <c r="JX40" i="11"/>
  <c r="BZ41" i="2" s="1"/>
  <c r="JY40" i="11"/>
  <c r="CA41" i="2" s="1"/>
  <c r="JZ40" i="11"/>
  <c r="CB41" i="2" s="1"/>
  <c r="KA40" i="11"/>
  <c r="CC41" i="2" s="1"/>
  <c r="JI41" i="11"/>
  <c r="BK42" i="2" s="1"/>
  <c r="JJ41" i="11"/>
  <c r="BL42" i="2" s="1"/>
  <c r="JK41" i="11"/>
  <c r="BM42" i="2" s="1"/>
  <c r="JL41" i="11"/>
  <c r="BN42" i="2" s="1"/>
  <c r="JM41" i="11"/>
  <c r="BO42" i="2" s="1"/>
  <c r="JN41" i="11"/>
  <c r="BP42" i="2" s="1"/>
  <c r="JO41" i="11"/>
  <c r="BQ42" i="2" s="1"/>
  <c r="JP41" i="11"/>
  <c r="BR42" i="2" s="1"/>
  <c r="JQ41" i="11"/>
  <c r="BS42" i="2" s="1"/>
  <c r="JR41" i="11"/>
  <c r="BT42" i="2" s="1"/>
  <c r="JS41" i="11"/>
  <c r="BU42" i="2" s="1"/>
  <c r="JT41" i="11"/>
  <c r="BV42" i="2" s="1"/>
  <c r="JU41" i="11"/>
  <c r="BW42" i="2" s="1"/>
  <c r="JV41" i="11"/>
  <c r="BX42" i="2" s="1"/>
  <c r="JW41" i="11"/>
  <c r="BY42" i="2" s="1"/>
  <c r="JX41" i="11"/>
  <c r="BZ42" i="2" s="1"/>
  <c r="JY41" i="11"/>
  <c r="CA42" i="2" s="1"/>
  <c r="JZ41" i="11"/>
  <c r="CB42" i="2" s="1"/>
  <c r="KA41" i="11"/>
  <c r="CC42" i="2" s="1"/>
  <c r="JI42" i="11"/>
  <c r="BK43" i="2" s="1"/>
  <c r="JJ42" i="11"/>
  <c r="BL43" i="2" s="1"/>
  <c r="JK42" i="11"/>
  <c r="BM43" i="2" s="1"/>
  <c r="JL42" i="11"/>
  <c r="BN43" i="2" s="1"/>
  <c r="JM42" i="11"/>
  <c r="BO43" i="2" s="1"/>
  <c r="JN42" i="11"/>
  <c r="BP43" i="2" s="1"/>
  <c r="JO42" i="11"/>
  <c r="BQ43" i="2" s="1"/>
  <c r="JP42" i="11"/>
  <c r="BR43" i="2" s="1"/>
  <c r="JQ42" i="11"/>
  <c r="BS43" i="2" s="1"/>
  <c r="JR42" i="11"/>
  <c r="BT43" i="2" s="1"/>
  <c r="JS42" i="11"/>
  <c r="BU43" i="2" s="1"/>
  <c r="JT42" i="11"/>
  <c r="BV43" i="2" s="1"/>
  <c r="JU42" i="11"/>
  <c r="BW43" i="2" s="1"/>
  <c r="JV42" i="11"/>
  <c r="BX43" i="2" s="1"/>
  <c r="JW42" i="11"/>
  <c r="BY43" i="2" s="1"/>
  <c r="JX42" i="11"/>
  <c r="BZ43" i="2" s="1"/>
  <c r="JY42" i="11"/>
  <c r="CA43" i="2" s="1"/>
  <c r="JZ42" i="11"/>
  <c r="CB43" i="2" s="1"/>
  <c r="KA42" i="11"/>
  <c r="CC43" i="2" s="1"/>
  <c r="JI43" i="11"/>
  <c r="BK44" i="2" s="1"/>
  <c r="JJ43" i="11"/>
  <c r="BL44" i="2" s="1"/>
  <c r="JK43" i="11"/>
  <c r="BM44" i="2" s="1"/>
  <c r="JL43" i="11"/>
  <c r="BN44" i="2" s="1"/>
  <c r="JM43" i="11"/>
  <c r="BO44" i="2" s="1"/>
  <c r="JN43" i="11"/>
  <c r="BP44" i="2" s="1"/>
  <c r="JO43" i="11"/>
  <c r="BQ44" i="2" s="1"/>
  <c r="JP43" i="11"/>
  <c r="BR44" i="2" s="1"/>
  <c r="JQ43" i="11"/>
  <c r="BS44" i="2" s="1"/>
  <c r="JR43" i="11"/>
  <c r="BT44" i="2" s="1"/>
  <c r="JS43" i="11"/>
  <c r="BU44" i="2" s="1"/>
  <c r="JT43" i="11"/>
  <c r="BV44" i="2" s="1"/>
  <c r="JU43" i="11"/>
  <c r="BW44" i="2" s="1"/>
  <c r="JV43" i="11"/>
  <c r="BX44" i="2" s="1"/>
  <c r="JW43" i="11"/>
  <c r="BY44" i="2" s="1"/>
  <c r="JX43" i="11"/>
  <c r="BZ44" i="2" s="1"/>
  <c r="JY43" i="11"/>
  <c r="CA44" i="2" s="1"/>
  <c r="JZ43" i="11"/>
  <c r="CB44" i="2" s="1"/>
  <c r="KA43" i="11"/>
  <c r="CC44" i="2" s="1"/>
  <c r="JI44" i="11"/>
  <c r="BK45" i="2" s="1"/>
  <c r="JJ44" i="11"/>
  <c r="BL45" i="2" s="1"/>
  <c r="JK44" i="11"/>
  <c r="BM45" i="2" s="1"/>
  <c r="JL44" i="11"/>
  <c r="BN45" i="2" s="1"/>
  <c r="JM44" i="11"/>
  <c r="BO45" i="2" s="1"/>
  <c r="JN44" i="11"/>
  <c r="BP45" i="2" s="1"/>
  <c r="JO44" i="11"/>
  <c r="BQ45" i="2" s="1"/>
  <c r="JP44" i="11"/>
  <c r="BR45" i="2" s="1"/>
  <c r="JQ44" i="11"/>
  <c r="BS45" i="2" s="1"/>
  <c r="JR44" i="11"/>
  <c r="BT45" i="2" s="1"/>
  <c r="JS44" i="11"/>
  <c r="BU45" i="2" s="1"/>
  <c r="JT44" i="11"/>
  <c r="BV45" i="2" s="1"/>
  <c r="JU44" i="11"/>
  <c r="BW45" i="2" s="1"/>
  <c r="JV44" i="11"/>
  <c r="BX45" i="2" s="1"/>
  <c r="JW44" i="11"/>
  <c r="BY45" i="2" s="1"/>
  <c r="JX44" i="11"/>
  <c r="BZ45" i="2" s="1"/>
  <c r="JY44" i="11"/>
  <c r="CA45" i="2" s="1"/>
  <c r="JZ44" i="11"/>
  <c r="CB45" i="2" s="1"/>
  <c r="KA44" i="11"/>
  <c r="CC45" i="2" s="1"/>
  <c r="JI45" i="11"/>
  <c r="BK46" i="2" s="1"/>
  <c r="JJ45" i="11"/>
  <c r="BL46" i="2" s="1"/>
  <c r="JK45" i="11"/>
  <c r="BM46" i="2" s="1"/>
  <c r="JL45" i="11"/>
  <c r="BN46" i="2" s="1"/>
  <c r="JM45" i="11"/>
  <c r="BO46" i="2" s="1"/>
  <c r="JN45" i="11"/>
  <c r="BP46" i="2" s="1"/>
  <c r="JO45" i="11"/>
  <c r="BQ46" i="2" s="1"/>
  <c r="JP45" i="11"/>
  <c r="BR46" i="2" s="1"/>
  <c r="JQ45" i="11"/>
  <c r="BS46" i="2" s="1"/>
  <c r="JR45" i="11"/>
  <c r="BT46" i="2" s="1"/>
  <c r="JS45" i="11"/>
  <c r="BU46" i="2" s="1"/>
  <c r="JT45" i="11"/>
  <c r="BV46" i="2" s="1"/>
  <c r="JU45" i="11"/>
  <c r="BW46" i="2" s="1"/>
  <c r="JV45" i="11"/>
  <c r="BX46" i="2" s="1"/>
  <c r="JW45" i="11"/>
  <c r="BY46" i="2" s="1"/>
  <c r="JX45" i="11"/>
  <c r="BZ46" i="2" s="1"/>
  <c r="JY45" i="11"/>
  <c r="CA46" i="2" s="1"/>
  <c r="JZ45" i="11"/>
  <c r="CB46" i="2" s="1"/>
  <c r="KA45" i="11"/>
  <c r="CC46" i="2" s="1"/>
  <c r="JI46" i="11"/>
  <c r="BK47" i="2" s="1"/>
  <c r="JJ46" i="11"/>
  <c r="BL47" i="2" s="1"/>
  <c r="JK46" i="11"/>
  <c r="BM47" i="2" s="1"/>
  <c r="JL46" i="11"/>
  <c r="BN47" i="2" s="1"/>
  <c r="JM46" i="11"/>
  <c r="BO47" i="2" s="1"/>
  <c r="JN46" i="11"/>
  <c r="BP47" i="2" s="1"/>
  <c r="JO46" i="11"/>
  <c r="BQ47" i="2" s="1"/>
  <c r="JP46" i="11"/>
  <c r="BR47" i="2" s="1"/>
  <c r="JQ46" i="11"/>
  <c r="BS47" i="2" s="1"/>
  <c r="JR46" i="11"/>
  <c r="BT47" i="2" s="1"/>
  <c r="JS46" i="11"/>
  <c r="BU47" i="2" s="1"/>
  <c r="JT46" i="11"/>
  <c r="BV47" i="2" s="1"/>
  <c r="JU46" i="11"/>
  <c r="BW47" i="2" s="1"/>
  <c r="JV46" i="11"/>
  <c r="BX47" i="2" s="1"/>
  <c r="JW46" i="11"/>
  <c r="BY47" i="2" s="1"/>
  <c r="JX46" i="11"/>
  <c r="BZ47" i="2" s="1"/>
  <c r="JY46" i="11"/>
  <c r="CA47" i="2" s="1"/>
  <c r="JZ46" i="11"/>
  <c r="CB47" i="2" s="1"/>
  <c r="KA46" i="11"/>
  <c r="CC47" i="2" s="1"/>
  <c r="JI47" i="11"/>
  <c r="BK48" i="2" s="1"/>
  <c r="JJ47" i="11"/>
  <c r="BL48" i="2" s="1"/>
  <c r="JK47" i="11"/>
  <c r="BM48" i="2" s="1"/>
  <c r="JL47" i="11"/>
  <c r="BN48" i="2" s="1"/>
  <c r="JM47" i="11"/>
  <c r="BO48" i="2" s="1"/>
  <c r="JN47" i="11"/>
  <c r="BP48" i="2" s="1"/>
  <c r="JO47" i="11"/>
  <c r="BQ48" i="2" s="1"/>
  <c r="JP47" i="11"/>
  <c r="BR48" i="2" s="1"/>
  <c r="JQ47" i="11"/>
  <c r="BS48" i="2" s="1"/>
  <c r="JR47" i="11"/>
  <c r="BT48" i="2" s="1"/>
  <c r="JS47" i="11"/>
  <c r="BU48" i="2" s="1"/>
  <c r="JT47" i="11"/>
  <c r="BV48" i="2" s="1"/>
  <c r="JU47" i="11"/>
  <c r="BW48" i="2" s="1"/>
  <c r="JV47" i="11"/>
  <c r="BX48" i="2" s="1"/>
  <c r="JW47" i="11"/>
  <c r="BY48" i="2" s="1"/>
  <c r="JX47" i="11"/>
  <c r="BZ48" i="2" s="1"/>
  <c r="JY47" i="11"/>
  <c r="CA48" i="2" s="1"/>
  <c r="JZ47" i="11"/>
  <c r="CB48" i="2" s="1"/>
  <c r="KA47" i="11"/>
  <c r="CC48" i="2" s="1"/>
  <c r="JI48" i="11"/>
  <c r="BK49" i="2" s="1"/>
  <c r="JJ48" i="11"/>
  <c r="BL49" i="2" s="1"/>
  <c r="JK48" i="11"/>
  <c r="BM49" i="2" s="1"/>
  <c r="JL48" i="11"/>
  <c r="BN49" i="2" s="1"/>
  <c r="JM48" i="11"/>
  <c r="BO49" i="2" s="1"/>
  <c r="JN48" i="11"/>
  <c r="BP49" i="2" s="1"/>
  <c r="JO48" i="11"/>
  <c r="BQ49" i="2" s="1"/>
  <c r="JP48" i="11"/>
  <c r="BR49" i="2" s="1"/>
  <c r="JQ48" i="11"/>
  <c r="BS49" i="2" s="1"/>
  <c r="JR48" i="11"/>
  <c r="BT49" i="2" s="1"/>
  <c r="JS48" i="11"/>
  <c r="BU49" i="2" s="1"/>
  <c r="JT48" i="11"/>
  <c r="BV49" i="2" s="1"/>
  <c r="JU48" i="11"/>
  <c r="BW49" i="2" s="1"/>
  <c r="JV48" i="11"/>
  <c r="BX49" i="2" s="1"/>
  <c r="JW48" i="11"/>
  <c r="BY49" i="2" s="1"/>
  <c r="JX48" i="11"/>
  <c r="BZ49" i="2" s="1"/>
  <c r="JY48" i="11"/>
  <c r="CA49" i="2" s="1"/>
  <c r="JZ48" i="11"/>
  <c r="CB49" i="2" s="1"/>
  <c r="KA48" i="11"/>
  <c r="CC49" i="2" s="1"/>
  <c r="JI49" i="11"/>
  <c r="BK50" i="2" s="1"/>
  <c r="JJ49" i="11"/>
  <c r="BL50" i="2" s="1"/>
  <c r="JK49" i="11"/>
  <c r="BM50" i="2" s="1"/>
  <c r="JL49" i="11"/>
  <c r="BN50" i="2" s="1"/>
  <c r="JM49" i="11"/>
  <c r="BO50" i="2" s="1"/>
  <c r="JN49" i="11"/>
  <c r="BP50" i="2" s="1"/>
  <c r="JO49" i="11"/>
  <c r="BQ50" i="2" s="1"/>
  <c r="JP49" i="11"/>
  <c r="BR50" i="2" s="1"/>
  <c r="JQ49" i="11"/>
  <c r="BS50" i="2" s="1"/>
  <c r="JR49" i="11"/>
  <c r="BT50" i="2" s="1"/>
  <c r="JS49" i="11"/>
  <c r="BU50" i="2" s="1"/>
  <c r="JT49" i="11"/>
  <c r="BV50" i="2" s="1"/>
  <c r="JU49" i="11"/>
  <c r="BW50" i="2" s="1"/>
  <c r="JV49" i="11"/>
  <c r="BX50" i="2" s="1"/>
  <c r="JW49" i="11"/>
  <c r="BY50" i="2" s="1"/>
  <c r="JX49" i="11"/>
  <c r="BZ50" i="2" s="1"/>
  <c r="JY49" i="11"/>
  <c r="CA50" i="2" s="1"/>
  <c r="JZ49" i="11"/>
  <c r="CB50" i="2" s="1"/>
  <c r="KA49" i="11"/>
  <c r="CC50" i="2" s="1"/>
  <c r="JI50" i="11"/>
  <c r="BK51" i="2" s="1"/>
  <c r="JJ50" i="11"/>
  <c r="BL51" i="2" s="1"/>
  <c r="JK50" i="11"/>
  <c r="BM51" i="2" s="1"/>
  <c r="JL50" i="11"/>
  <c r="BN51" i="2" s="1"/>
  <c r="JM50" i="11"/>
  <c r="BO51" i="2" s="1"/>
  <c r="JN50" i="11"/>
  <c r="BP51" i="2" s="1"/>
  <c r="JO50" i="11"/>
  <c r="BQ51" i="2" s="1"/>
  <c r="JP50" i="11"/>
  <c r="BR51" i="2" s="1"/>
  <c r="JQ50" i="11"/>
  <c r="BS51" i="2" s="1"/>
  <c r="JR50" i="11"/>
  <c r="BT51" i="2" s="1"/>
  <c r="JS50" i="11"/>
  <c r="BU51" i="2" s="1"/>
  <c r="JT50" i="11"/>
  <c r="BV51" i="2" s="1"/>
  <c r="JU50" i="11"/>
  <c r="BW51" i="2" s="1"/>
  <c r="JV50" i="11"/>
  <c r="BX51" i="2" s="1"/>
  <c r="JW50" i="11"/>
  <c r="BY51" i="2" s="1"/>
  <c r="JX50" i="11"/>
  <c r="BZ51" i="2" s="1"/>
  <c r="JY50" i="11"/>
  <c r="CA51" i="2" s="1"/>
  <c r="JZ50" i="11"/>
  <c r="CB51" i="2" s="1"/>
  <c r="KA50" i="11"/>
  <c r="CC51" i="2" s="1"/>
  <c r="JI51" i="11"/>
  <c r="BK52" i="2" s="1"/>
  <c r="JJ51" i="11"/>
  <c r="BL52" i="2" s="1"/>
  <c r="JK51" i="11"/>
  <c r="BM52" i="2" s="1"/>
  <c r="JL51" i="11"/>
  <c r="BN52" i="2" s="1"/>
  <c r="JM51" i="11"/>
  <c r="BO52" i="2" s="1"/>
  <c r="JN51" i="11"/>
  <c r="BP52" i="2" s="1"/>
  <c r="JO51" i="11"/>
  <c r="BQ52" i="2" s="1"/>
  <c r="JP51" i="11"/>
  <c r="BR52" i="2" s="1"/>
  <c r="JQ51" i="11"/>
  <c r="BS52" i="2" s="1"/>
  <c r="JR51" i="11"/>
  <c r="BT52" i="2" s="1"/>
  <c r="JS51" i="11"/>
  <c r="BU52" i="2" s="1"/>
  <c r="JT51" i="11"/>
  <c r="BV52" i="2" s="1"/>
  <c r="JU51" i="11"/>
  <c r="BW52" i="2" s="1"/>
  <c r="JV51" i="11"/>
  <c r="BX52" i="2" s="1"/>
  <c r="JW51" i="11"/>
  <c r="BY52" i="2" s="1"/>
  <c r="JX51" i="11"/>
  <c r="BZ52" i="2" s="1"/>
  <c r="JY51" i="11"/>
  <c r="CA52" i="2" s="1"/>
  <c r="JZ51" i="11"/>
  <c r="CB52" i="2" s="1"/>
  <c r="KA51" i="11"/>
  <c r="CC52" i="2" s="1"/>
  <c r="JI52" i="11"/>
  <c r="BK53" i="2" s="1"/>
  <c r="JJ52" i="11"/>
  <c r="BL53" i="2" s="1"/>
  <c r="JK52" i="11"/>
  <c r="BM53" i="2" s="1"/>
  <c r="JL52" i="11"/>
  <c r="BN53" i="2" s="1"/>
  <c r="JM52" i="11"/>
  <c r="BO53" i="2" s="1"/>
  <c r="JN52" i="11"/>
  <c r="BP53" i="2" s="1"/>
  <c r="JO52" i="11"/>
  <c r="BQ53" i="2" s="1"/>
  <c r="JP52" i="11"/>
  <c r="BR53" i="2" s="1"/>
  <c r="JQ52" i="11"/>
  <c r="BS53" i="2" s="1"/>
  <c r="JR52" i="11"/>
  <c r="BT53" i="2" s="1"/>
  <c r="JS52" i="11"/>
  <c r="BU53" i="2" s="1"/>
  <c r="JT52" i="11"/>
  <c r="BV53" i="2" s="1"/>
  <c r="JU52" i="11"/>
  <c r="BW53" i="2" s="1"/>
  <c r="JV52" i="11"/>
  <c r="BX53" i="2" s="1"/>
  <c r="JW52" i="11"/>
  <c r="BY53" i="2" s="1"/>
  <c r="JX52" i="11"/>
  <c r="BZ53" i="2" s="1"/>
  <c r="JY52" i="11"/>
  <c r="CA53" i="2" s="1"/>
  <c r="JZ52" i="11"/>
  <c r="CB53" i="2" s="1"/>
  <c r="KA52" i="11"/>
  <c r="CC53" i="2" s="1"/>
  <c r="JI53" i="11"/>
  <c r="BK54" i="2" s="1"/>
  <c r="JJ53" i="11"/>
  <c r="BL54" i="2" s="1"/>
  <c r="JK53" i="11"/>
  <c r="BM54" i="2" s="1"/>
  <c r="JL53" i="11"/>
  <c r="BN54" i="2" s="1"/>
  <c r="JM53" i="11"/>
  <c r="BO54" i="2" s="1"/>
  <c r="JN53" i="11"/>
  <c r="BP54" i="2" s="1"/>
  <c r="JO53" i="11"/>
  <c r="BQ54" i="2" s="1"/>
  <c r="JP53" i="11"/>
  <c r="BR54" i="2" s="1"/>
  <c r="JQ53" i="11"/>
  <c r="BS54" i="2" s="1"/>
  <c r="JR53" i="11"/>
  <c r="BT54" i="2" s="1"/>
  <c r="JS53" i="11"/>
  <c r="BU54" i="2" s="1"/>
  <c r="JT53" i="11"/>
  <c r="BV54" i="2" s="1"/>
  <c r="JU53" i="11"/>
  <c r="BW54" i="2" s="1"/>
  <c r="JV53" i="11"/>
  <c r="BX54" i="2" s="1"/>
  <c r="JW53" i="11"/>
  <c r="BY54" i="2" s="1"/>
  <c r="JX53" i="11"/>
  <c r="BZ54" i="2" s="1"/>
  <c r="JY53" i="11"/>
  <c r="CA54" i="2" s="1"/>
  <c r="JZ53" i="11"/>
  <c r="CB54" i="2" s="1"/>
  <c r="KA53" i="11"/>
  <c r="CC54" i="2" s="1"/>
  <c r="JI54" i="11"/>
  <c r="BK55" i="2" s="1"/>
  <c r="JJ54" i="11"/>
  <c r="BL55" i="2" s="1"/>
  <c r="JK54" i="11"/>
  <c r="BM55" i="2" s="1"/>
  <c r="JL54" i="11"/>
  <c r="BN55" i="2" s="1"/>
  <c r="JM54" i="11"/>
  <c r="BO55" i="2" s="1"/>
  <c r="JN54" i="11"/>
  <c r="BP55" i="2" s="1"/>
  <c r="JO54" i="11"/>
  <c r="BQ55" i="2" s="1"/>
  <c r="JP54" i="11"/>
  <c r="BR55" i="2" s="1"/>
  <c r="JQ54" i="11"/>
  <c r="BS55" i="2" s="1"/>
  <c r="JR54" i="11"/>
  <c r="BT55" i="2" s="1"/>
  <c r="JS54" i="11"/>
  <c r="BU55" i="2" s="1"/>
  <c r="JT54" i="11"/>
  <c r="BV55" i="2" s="1"/>
  <c r="JU54" i="11"/>
  <c r="BW55" i="2" s="1"/>
  <c r="JV54" i="11"/>
  <c r="BX55" i="2" s="1"/>
  <c r="JW54" i="11"/>
  <c r="BY55" i="2" s="1"/>
  <c r="JX54" i="11"/>
  <c r="BZ55" i="2" s="1"/>
  <c r="JY54" i="11"/>
  <c r="CA55" i="2" s="1"/>
  <c r="JZ54" i="11"/>
  <c r="CB55" i="2" s="1"/>
  <c r="KA54" i="11"/>
  <c r="CC55" i="2" s="1"/>
  <c r="JI55" i="11"/>
  <c r="BK56" i="2" s="1"/>
  <c r="JJ55" i="11"/>
  <c r="BL56" i="2" s="1"/>
  <c r="JK55" i="11"/>
  <c r="BM56" i="2" s="1"/>
  <c r="JL55" i="11"/>
  <c r="BN56" i="2" s="1"/>
  <c r="JM55" i="11"/>
  <c r="BO56" i="2" s="1"/>
  <c r="JN55" i="11"/>
  <c r="BP56" i="2" s="1"/>
  <c r="JO55" i="11"/>
  <c r="BQ56" i="2" s="1"/>
  <c r="JP55" i="11"/>
  <c r="BR56" i="2" s="1"/>
  <c r="JQ55" i="11"/>
  <c r="BS56" i="2" s="1"/>
  <c r="JR55" i="11"/>
  <c r="BT56" i="2" s="1"/>
  <c r="JS55" i="11"/>
  <c r="BU56" i="2" s="1"/>
  <c r="JT55" i="11"/>
  <c r="BV56" i="2" s="1"/>
  <c r="JU55" i="11"/>
  <c r="BW56" i="2" s="1"/>
  <c r="JV55" i="11"/>
  <c r="BX56" i="2" s="1"/>
  <c r="JW55" i="11"/>
  <c r="BY56" i="2" s="1"/>
  <c r="JX55" i="11"/>
  <c r="BZ56" i="2" s="1"/>
  <c r="JY55" i="11"/>
  <c r="CA56" i="2" s="1"/>
  <c r="JZ55" i="11"/>
  <c r="CB56" i="2" s="1"/>
  <c r="KA55" i="11"/>
  <c r="CC56" i="2" s="1"/>
  <c r="JI56" i="11"/>
  <c r="BK57" i="2" s="1"/>
  <c r="JJ56" i="11"/>
  <c r="BL57" i="2" s="1"/>
  <c r="JK56" i="11"/>
  <c r="BM57" i="2" s="1"/>
  <c r="JL56" i="11"/>
  <c r="BN57" i="2" s="1"/>
  <c r="JM56" i="11"/>
  <c r="BO57" i="2" s="1"/>
  <c r="JN56" i="11"/>
  <c r="BP57" i="2" s="1"/>
  <c r="JO56" i="11"/>
  <c r="BQ57" i="2" s="1"/>
  <c r="JP56" i="11"/>
  <c r="BR57" i="2" s="1"/>
  <c r="JQ56" i="11"/>
  <c r="BS57" i="2" s="1"/>
  <c r="JR56" i="11"/>
  <c r="BT57" i="2" s="1"/>
  <c r="JS56" i="11"/>
  <c r="BU57" i="2" s="1"/>
  <c r="JT56" i="11"/>
  <c r="BV57" i="2" s="1"/>
  <c r="JU56" i="11"/>
  <c r="BW57" i="2" s="1"/>
  <c r="JV56" i="11"/>
  <c r="BX57" i="2" s="1"/>
  <c r="JW56" i="11"/>
  <c r="BY57" i="2" s="1"/>
  <c r="JX56" i="11"/>
  <c r="BZ57" i="2" s="1"/>
  <c r="JY56" i="11"/>
  <c r="CA57" i="2" s="1"/>
  <c r="JZ56" i="11"/>
  <c r="CB57" i="2" s="1"/>
  <c r="KA56" i="11"/>
  <c r="CC57" i="2" s="1"/>
  <c r="JI57" i="11"/>
  <c r="BK58" i="2" s="1"/>
  <c r="JJ57" i="11"/>
  <c r="BL58" i="2" s="1"/>
  <c r="JK57" i="11"/>
  <c r="BM58" i="2" s="1"/>
  <c r="JL57" i="11"/>
  <c r="BN58" i="2" s="1"/>
  <c r="JM57" i="11"/>
  <c r="BO58" i="2" s="1"/>
  <c r="JN57" i="11"/>
  <c r="BP58" i="2" s="1"/>
  <c r="JO57" i="11"/>
  <c r="BQ58" i="2" s="1"/>
  <c r="JP57" i="11"/>
  <c r="BR58" i="2" s="1"/>
  <c r="JQ57" i="11"/>
  <c r="BS58" i="2" s="1"/>
  <c r="JR57" i="11"/>
  <c r="BT58" i="2" s="1"/>
  <c r="JS57" i="11"/>
  <c r="BU58" i="2" s="1"/>
  <c r="JT57" i="11"/>
  <c r="BV58" i="2" s="1"/>
  <c r="JU57" i="11"/>
  <c r="BW58" i="2" s="1"/>
  <c r="JV57" i="11"/>
  <c r="BX58" i="2" s="1"/>
  <c r="JW57" i="11"/>
  <c r="BY58" i="2" s="1"/>
  <c r="JX57" i="11"/>
  <c r="BZ58" i="2" s="1"/>
  <c r="JY57" i="11"/>
  <c r="CA58" i="2" s="1"/>
  <c r="JZ57" i="11"/>
  <c r="CB58" i="2" s="1"/>
  <c r="KA57" i="11"/>
  <c r="CC58" i="2" s="1"/>
  <c r="JI58" i="11"/>
  <c r="BK59" i="2" s="1"/>
  <c r="JJ58" i="11"/>
  <c r="BL59" i="2" s="1"/>
  <c r="JK58" i="11"/>
  <c r="BM59" i="2" s="1"/>
  <c r="JL58" i="11"/>
  <c r="BN59" i="2" s="1"/>
  <c r="JM58" i="11"/>
  <c r="BO59" i="2" s="1"/>
  <c r="JN58" i="11"/>
  <c r="BP59" i="2" s="1"/>
  <c r="JO58" i="11"/>
  <c r="BQ59" i="2" s="1"/>
  <c r="JP58" i="11"/>
  <c r="BR59" i="2" s="1"/>
  <c r="JQ58" i="11"/>
  <c r="BS59" i="2" s="1"/>
  <c r="JR58" i="11"/>
  <c r="BT59" i="2" s="1"/>
  <c r="JS58" i="11"/>
  <c r="BU59" i="2" s="1"/>
  <c r="JT58" i="11"/>
  <c r="BV59" i="2" s="1"/>
  <c r="JU58" i="11"/>
  <c r="BW59" i="2" s="1"/>
  <c r="JV58" i="11"/>
  <c r="BX59" i="2" s="1"/>
  <c r="JW58" i="11"/>
  <c r="BY59" i="2" s="1"/>
  <c r="JX58" i="11"/>
  <c r="BZ59" i="2" s="1"/>
  <c r="JY58" i="11"/>
  <c r="CA59" i="2" s="1"/>
  <c r="JZ58" i="11"/>
  <c r="CB59" i="2" s="1"/>
  <c r="KA58" i="11"/>
  <c r="CC59" i="2" s="1"/>
  <c r="JI59" i="11"/>
  <c r="BK60" i="2" s="1"/>
  <c r="JJ59" i="11"/>
  <c r="BL60" i="2" s="1"/>
  <c r="JK59" i="11"/>
  <c r="BM60" i="2" s="1"/>
  <c r="JL59" i="11"/>
  <c r="BN60" i="2" s="1"/>
  <c r="JM59" i="11"/>
  <c r="BO60" i="2" s="1"/>
  <c r="JN59" i="11"/>
  <c r="BP60" i="2" s="1"/>
  <c r="JO59" i="11"/>
  <c r="BQ60" i="2" s="1"/>
  <c r="JP59" i="11"/>
  <c r="BR60" i="2" s="1"/>
  <c r="JQ59" i="11"/>
  <c r="BS60" i="2" s="1"/>
  <c r="JR59" i="11"/>
  <c r="BT60" i="2" s="1"/>
  <c r="JS59" i="11"/>
  <c r="BU60" i="2" s="1"/>
  <c r="JT59" i="11"/>
  <c r="BV60" i="2" s="1"/>
  <c r="JU59" i="11"/>
  <c r="BW60" i="2" s="1"/>
  <c r="JV59" i="11"/>
  <c r="BX60" i="2" s="1"/>
  <c r="JW59" i="11"/>
  <c r="BY60" i="2" s="1"/>
  <c r="JX59" i="11"/>
  <c r="BZ60" i="2" s="1"/>
  <c r="JY59" i="11"/>
  <c r="CA60" i="2" s="1"/>
  <c r="JZ59" i="11"/>
  <c r="CB60" i="2" s="1"/>
  <c r="KA59" i="11"/>
  <c r="CC60" i="2" s="1"/>
  <c r="JI60" i="11"/>
  <c r="BK61" i="2" s="1"/>
  <c r="JJ60" i="11"/>
  <c r="BL61" i="2" s="1"/>
  <c r="JK60" i="11"/>
  <c r="BM61" i="2" s="1"/>
  <c r="JL60" i="11"/>
  <c r="BN61" i="2" s="1"/>
  <c r="JM60" i="11"/>
  <c r="BO61" i="2" s="1"/>
  <c r="JN60" i="11"/>
  <c r="BP61" i="2" s="1"/>
  <c r="JO60" i="11"/>
  <c r="BQ61" i="2" s="1"/>
  <c r="JP60" i="11"/>
  <c r="BR61" i="2" s="1"/>
  <c r="JQ60" i="11"/>
  <c r="BS61" i="2" s="1"/>
  <c r="JR60" i="11"/>
  <c r="BT61" i="2" s="1"/>
  <c r="JS60" i="11"/>
  <c r="BU61" i="2" s="1"/>
  <c r="JT60" i="11"/>
  <c r="BV61" i="2" s="1"/>
  <c r="JU60" i="11"/>
  <c r="BW61" i="2" s="1"/>
  <c r="JV60" i="11"/>
  <c r="BX61" i="2" s="1"/>
  <c r="JW60" i="11"/>
  <c r="BY61" i="2" s="1"/>
  <c r="JX60" i="11"/>
  <c r="BZ61" i="2" s="1"/>
  <c r="JY60" i="11"/>
  <c r="CA61" i="2" s="1"/>
  <c r="JZ60" i="11"/>
  <c r="CB61" i="2" s="1"/>
  <c r="KA60" i="11"/>
  <c r="CC61" i="2" s="1"/>
  <c r="JI61" i="11"/>
  <c r="BK62" i="2" s="1"/>
  <c r="JJ61" i="11"/>
  <c r="BL62" i="2" s="1"/>
  <c r="JK61" i="11"/>
  <c r="BM62" i="2" s="1"/>
  <c r="JL61" i="11"/>
  <c r="BN62" i="2" s="1"/>
  <c r="JM61" i="11"/>
  <c r="BO62" i="2" s="1"/>
  <c r="JN61" i="11"/>
  <c r="BP62" i="2" s="1"/>
  <c r="JO61" i="11"/>
  <c r="BQ62" i="2" s="1"/>
  <c r="JP61" i="11"/>
  <c r="BR62" i="2" s="1"/>
  <c r="JQ61" i="11"/>
  <c r="BS62" i="2" s="1"/>
  <c r="JR61" i="11"/>
  <c r="BT62" i="2" s="1"/>
  <c r="JS61" i="11"/>
  <c r="BU62" i="2" s="1"/>
  <c r="JT61" i="11"/>
  <c r="BV62" i="2" s="1"/>
  <c r="JU61" i="11"/>
  <c r="BW62" i="2" s="1"/>
  <c r="JV61" i="11"/>
  <c r="BX62" i="2" s="1"/>
  <c r="JW61" i="11"/>
  <c r="BY62" i="2" s="1"/>
  <c r="JX61" i="11"/>
  <c r="BZ62" i="2" s="1"/>
  <c r="JY61" i="11"/>
  <c r="CA62" i="2" s="1"/>
  <c r="JZ61" i="11"/>
  <c r="CB62" i="2" s="1"/>
  <c r="KA61" i="11"/>
  <c r="CC62" i="2" s="1"/>
  <c r="JI62" i="11"/>
  <c r="BK63" i="2" s="1"/>
  <c r="JJ62" i="11"/>
  <c r="BL63" i="2" s="1"/>
  <c r="JK62" i="11"/>
  <c r="BM63" i="2" s="1"/>
  <c r="JL62" i="11"/>
  <c r="BN63" i="2" s="1"/>
  <c r="JM62" i="11"/>
  <c r="BO63" i="2" s="1"/>
  <c r="JN62" i="11"/>
  <c r="BP63" i="2" s="1"/>
  <c r="JO62" i="11"/>
  <c r="BQ63" i="2" s="1"/>
  <c r="JP62" i="11"/>
  <c r="BR63" i="2" s="1"/>
  <c r="JQ62" i="11"/>
  <c r="BS63" i="2" s="1"/>
  <c r="JR62" i="11"/>
  <c r="BT63" i="2" s="1"/>
  <c r="JS62" i="11"/>
  <c r="BU63" i="2" s="1"/>
  <c r="JT62" i="11"/>
  <c r="JU62" i="11"/>
  <c r="BW63" i="2" s="1"/>
  <c r="JV62" i="11"/>
  <c r="BX63" i="2" s="1"/>
  <c r="JW62" i="11"/>
  <c r="BY63" i="2" s="1"/>
  <c r="JX62" i="11"/>
  <c r="BZ63" i="2" s="1"/>
  <c r="JY62" i="11"/>
  <c r="CA63" i="2" s="1"/>
  <c r="JZ62" i="11"/>
  <c r="CB63" i="2" s="1"/>
  <c r="KA62" i="11"/>
  <c r="CC63" i="2" s="1"/>
  <c r="JI63" i="11"/>
  <c r="BK64" i="2" s="1"/>
  <c r="JJ63" i="11"/>
  <c r="BL64" i="2" s="1"/>
  <c r="JK63" i="11"/>
  <c r="BM64" i="2" s="1"/>
  <c r="JL63" i="11"/>
  <c r="BN64" i="2" s="1"/>
  <c r="JM63" i="11"/>
  <c r="BO64" i="2" s="1"/>
  <c r="JN63" i="11"/>
  <c r="BP64" i="2" s="1"/>
  <c r="JO63" i="11"/>
  <c r="BQ64" i="2" s="1"/>
  <c r="JP63" i="11"/>
  <c r="BR64" i="2" s="1"/>
  <c r="JQ63" i="11"/>
  <c r="BS64" i="2" s="1"/>
  <c r="JR63" i="11"/>
  <c r="BT64" i="2" s="1"/>
  <c r="JS63" i="11"/>
  <c r="BU64" i="2" s="1"/>
  <c r="JT63" i="11"/>
  <c r="BV64" i="2" s="1"/>
  <c r="JU63" i="11"/>
  <c r="BW64" i="2" s="1"/>
  <c r="JV63" i="11"/>
  <c r="BX64" i="2" s="1"/>
  <c r="JW63" i="11"/>
  <c r="BY64" i="2" s="1"/>
  <c r="JX63" i="11"/>
  <c r="BZ64" i="2" s="1"/>
  <c r="JY63" i="11"/>
  <c r="CA64" i="2" s="1"/>
  <c r="JZ63" i="11"/>
  <c r="CB64" i="2" s="1"/>
  <c r="KA63" i="11"/>
  <c r="CC64" i="2" s="1"/>
  <c r="JI95" i="11"/>
  <c r="BK96" i="2" s="1"/>
  <c r="JJ95" i="11"/>
  <c r="BL96" i="2" s="1"/>
  <c r="JK95" i="11"/>
  <c r="BM96" i="2" s="1"/>
  <c r="JL95" i="11"/>
  <c r="BN96" i="2" s="1"/>
  <c r="JM95" i="11"/>
  <c r="BO96" i="2" s="1"/>
  <c r="JN95" i="11"/>
  <c r="BP96" i="2" s="1"/>
  <c r="JO95" i="11"/>
  <c r="BQ96" i="2" s="1"/>
  <c r="JP95" i="11"/>
  <c r="BR96" i="2" s="1"/>
  <c r="JQ95" i="11"/>
  <c r="BS96" i="2" s="1"/>
  <c r="JR95" i="11"/>
  <c r="BT96" i="2" s="1"/>
  <c r="JS95" i="11"/>
  <c r="BU96" i="2" s="1"/>
  <c r="JT95" i="11"/>
  <c r="BV96" i="2" s="1"/>
  <c r="JU95" i="11"/>
  <c r="BW96" i="2" s="1"/>
  <c r="JV95" i="11"/>
  <c r="BX96" i="2" s="1"/>
  <c r="JW95" i="11"/>
  <c r="BY96" i="2" s="1"/>
  <c r="JX95" i="11"/>
  <c r="BZ96" i="2" s="1"/>
  <c r="JY95" i="11"/>
  <c r="CA96" i="2" s="1"/>
  <c r="JZ95" i="11"/>
  <c r="CB96" i="2" s="1"/>
  <c r="KA95" i="11"/>
  <c r="CC96" i="2" s="1"/>
  <c r="JI96" i="11"/>
  <c r="BK97" i="2" s="1"/>
  <c r="JJ96" i="11"/>
  <c r="BL97" i="2" s="1"/>
  <c r="JK96" i="11"/>
  <c r="BM97" i="2" s="1"/>
  <c r="JL96" i="11"/>
  <c r="BN97" i="2" s="1"/>
  <c r="JM96" i="11"/>
  <c r="BO97" i="2" s="1"/>
  <c r="JN96" i="11"/>
  <c r="BP97" i="2" s="1"/>
  <c r="JO96" i="11"/>
  <c r="BQ97" i="2" s="1"/>
  <c r="JP96" i="11"/>
  <c r="BR97" i="2" s="1"/>
  <c r="JQ96" i="11"/>
  <c r="BS97" i="2" s="1"/>
  <c r="JR96" i="11"/>
  <c r="BT97" i="2" s="1"/>
  <c r="JS96" i="11"/>
  <c r="BU97" i="2" s="1"/>
  <c r="JT96" i="11"/>
  <c r="BV97" i="2" s="1"/>
  <c r="JU96" i="11"/>
  <c r="BW97" i="2" s="1"/>
  <c r="JV96" i="11"/>
  <c r="BX97" i="2" s="1"/>
  <c r="JW96" i="11"/>
  <c r="BY97" i="2" s="1"/>
  <c r="JX96" i="11"/>
  <c r="BZ97" i="2" s="1"/>
  <c r="JY96" i="11"/>
  <c r="CA97" i="2" s="1"/>
  <c r="JZ96" i="11"/>
  <c r="CB97" i="2" s="1"/>
  <c r="KA96" i="11"/>
  <c r="CC97" i="2" s="1"/>
  <c r="JI97" i="11"/>
  <c r="BK98" i="2" s="1"/>
  <c r="JJ97" i="11"/>
  <c r="BL98" i="2" s="1"/>
  <c r="JK97" i="11"/>
  <c r="BM98" i="2" s="1"/>
  <c r="JL97" i="11"/>
  <c r="BN98" i="2" s="1"/>
  <c r="JM97" i="11"/>
  <c r="BO98" i="2" s="1"/>
  <c r="JN97" i="11"/>
  <c r="BP98" i="2" s="1"/>
  <c r="JO97" i="11"/>
  <c r="BQ98" i="2" s="1"/>
  <c r="JP97" i="11"/>
  <c r="BR98" i="2" s="1"/>
  <c r="JQ97" i="11"/>
  <c r="BS98" i="2" s="1"/>
  <c r="JR97" i="11"/>
  <c r="BT98" i="2" s="1"/>
  <c r="JS97" i="11"/>
  <c r="BU98" i="2" s="1"/>
  <c r="JT97" i="11"/>
  <c r="BV98" i="2" s="1"/>
  <c r="JU97" i="11"/>
  <c r="BW98" i="2" s="1"/>
  <c r="JV97" i="11"/>
  <c r="BX98" i="2" s="1"/>
  <c r="JW97" i="11"/>
  <c r="BY98" i="2" s="1"/>
  <c r="JX97" i="11"/>
  <c r="BZ98" i="2" s="1"/>
  <c r="JY97" i="11"/>
  <c r="CA98" i="2" s="1"/>
  <c r="JZ97" i="11"/>
  <c r="CB98" i="2" s="1"/>
  <c r="KA97" i="11"/>
  <c r="CC98" i="2" s="1"/>
  <c r="JI98" i="11"/>
  <c r="BK99" i="2" s="1"/>
  <c r="JJ98" i="11"/>
  <c r="BL99" i="2" s="1"/>
  <c r="JK98" i="11"/>
  <c r="BM99" i="2" s="1"/>
  <c r="JL98" i="11"/>
  <c r="BN99" i="2" s="1"/>
  <c r="JM98" i="11"/>
  <c r="BO99" i="2" s="1"/>
  <c r="JN98" i="11"/>
  <c r="BP99" i="2" s="1"/>
  <c r="JO98" i="11"/>
  <c r="BQ99" i="2" s="1"/>
  <c r="JP98" i="11"/>
  <c r="BR99" i="2" s="1"/>
  <c r="JQ98" i="11"/>
  <c r="BS99" i="2" s="1"/>
  <c r="JR98" i="11"/>
  <c r="BT99" i="2" s="1"/>
  <c r="JS98" i="11"/>
  <c r="BU99" i="2" s="1"/>
  <c r="JT98" i="11"/>
  <c r="BV99" i="2" s="1"/>
  <c r="JU98" i="11"/>
  <c r="BW99" i="2" s="1"/>
  <c r="JV98" i="11"/>
  <c r="BX99" i="2" s="1"/>
  <c r="JW98" i="11"/>
  <c r="BY99" i="2" s="1"/>
  <c r="JX98" i="11"/>
  <c r="BZ99" i="2" s="1"/>
  <c r="JY98" i="11"/>
  <c r="CA99" i="2" s="1"/>
  <c r="JZ98" i="11"/>
  <c r="CB99" i="2" s="1"/>
  <c r="KA98" i="11"/>
  <c r="CC99" i="2" s="1"/>
  <c r="JI99" i="11"/>
  <c r="BK100" i="2" s="1"/>
  <c r="JJ99" i="11"/>
  <c r="BL100" i="2" s="1"/>
  <c r="JK99" i="11"/>
  <c r="BM100" i="2" s="1"/>
  <c r="JL99" i="11"/>
  <c r="BN100" i="2" s="1"/>
  <c r="JM99" i="11"/>
  <c r="BO100" i="2" s="1"/>
  <c r="JN99" i="11"/>
  <c r="BP100" i="2" s="1"/>
  <c r="JO99" i="11"/>
  <c r="BQ100" i="2" s="1"/>
  <c r="JP99" i="11"/>
  <c r="BR100" i="2" s="1"/>
  <c r="JQ99" i="11"/>
  <c r="BS100" i="2" s="1"/>
  <c r="JR99" i="11"/>
  <c r="BT100" i="2" s="1"/>
  <c r="JS99" i="11"/>
  <c r="BU100" i="2" s="1"/>
  <c r="JT99" i="11"/>
  <c r="BV100" i="2" s="1"/>
  <c r="JU99" i="11"/>
  <c r="BW100" i="2" s="1"/>
  <c r="JV99" i="11"/>
  <c r="BX100" i="2" s="1"/>
  <c r="JW99" i="11"/>
  <c r="BY100" i="2" s="1"/>
  <c r="JX99" i="11"/>
  <c r="BZ100" i="2" s="1"/>
  <c r="JY99" i="11"/>
  <c r="CA100" i="2" s="1"/>
  <c r="JZ99" i="11"/>
  <c r="CB100" i="2" s="1"/>
  <c r="KA99" i="11"/>
  <c r="CC100" i="2" s="1"/>
  <c r="JI100" i="11"/>
  <c r="BK101" i="2" s="1"/>
  <c r="JJ100" i="11"/>
  <c r="BL101" i="2" s="1"/>
  <c r="JK100" i="11"/>
  <c r="BM101" i="2" s="1"/>
  <c r="JL100" i="11"/>
  <c r="BN101" i="2" s="1"/>
  <c r="JM100" i="11"/>
  <c r="BO101" i="2" s="1"/>
  <c r="JN100" i="11"/>
  <c r="BP101" i="2" s="1"/>
  <c r="JO100" i="11"/>
  <c r="BQ101" i="2" s="1"/>
  <c r="JP100" i="11"/>
  <c r="BR101" i="2" s="1"/>
  <c r="JQ100" i="11"/>
  <c r="BS101" i="2" s="1"/>
  <c r="JR100" i="11"/>
  <c r="BT101" i="2" s="1"/>
  <c r="JS100" i="11"/>
  <c r="BU101" i="2" s="1"/>
  <c r="JT100" i="11"/>
  <c r="BV101" i="2" s="1"/>
  <c r="JU100" i="11"/>
  <c r="BW101" i="2" s="1"/>
  <c r="JV100" i="11"/>
  <c r="BX101" i="2" s="1"/>
  <c r="JW100" i="11"/>
  <c r="BY101" i="2" s="1"/>
  <c r="JX100" i="11"/>
  <c r="BZ101" i="2" s="1"/>
  <c r="JY100" i="11"/>
  <c r="CA101" i="2" s="1"/>
  <c r="JZ100" i="11"/>
  <c r="CB101" i="2" s="1"/>
  <c r="KA100" i="11"/>
  <c r="CC101" i="2" s="1"/>
  <c r="JI101" i="11"/>
  <c r="BK102" i="2" s="1"/>
  <c r="JJ101" i="11"/>
  <c r="BL102" i="2" s="1"/>
  <c r="JK101" i="11"/>
  <c r="BM102" i="2" s="1"/>
  <c r="JL101" i="11"/>
  <c r="BN102" i="2" s="1"/>
  <c r="JM101" i="11"/>
  <c r="BO102" i="2" s="1"/>
  <c r="JN101" i="11"/>
  <c r="BP102" i="2" s="1"/>
  <c r="JO101" i="11"/>
  <c r="BQ102" i="2" s="1"/>
  <c r="JP101" i="11"/>
  <c r="BR102" i="2" s="1"/>
  <c r="JQ101" i="11"/>
  <c r="BS102" i="2" s="1"/>
  <c r="JR101" i="11"/>
  <c r="BT102" i="2" s="1"/>
  <c r="JS101" i="11"/>
  <c r="BU102" i="2" s="1"/>
  <c r="JT101" i="11"/>
  <c r="BV102" i="2" s="1"/>
  <c r="JU101" i="11"/>
  <c r="BW102" i="2" s="1"/>
  <c r="JV101" i="11"/>
  <c r="BX102" i="2" s="1"/>
  <c r="JW101" i="11"/>
  <c r="BY102" i="2" s="1"/>
  <c r="JX101" i="11"/>
  <c r="BZ102" i="2" s="1"/>
  <c r="JY101" i="11"/>
  <c r="CA102" i="2" s="1"/>
  <c r="JZ101" i="11"/>
  <c r="CB102" i="2" s="1"/>
  <c r="KA101" i="11"/>
  <c r="CC102" i="2" s="1"/>
  <c r="JI102" i="11"/>
  <c r="BK103" i="2" s="1"/>
  <c r="JJ102" i="11"/>
  <c r="BL103" i="2" s="1"/>
  <c r="JK102" i="11"/>
  <c r="BM103" i="2" s="1"/>
  <c r="JL102" i="11"/>
  <c r="BN103" i="2" s="1"/>
  <c r="JM102" i="11"/>
  <c r="BO103" i="2" s="1"/>
  <c r="JN102" i="11"/>
  <c r="BP103" i="2" s="1"/>
  <c r="JO102" i="11"/>
  <c r="BQ103" i="2" s="1"/>
  <c r="JP102" i="11"/>
  <c r="BR103" i="2" s="1"/>
  <c r="JQ102" i="11"/>
  <c r="BS103" i="2" s="1"/>
  <c r="JR102" i="11"/>
  <c r="BT103" i="2" s="1"/>
  <c r="JS102" i="11"/>
  <c r="BU103" i="2" s="1"/>
  <c r="JT102" i="11"/>
  <c r="BV103" i="2" s="1"/>
  <c r="JU102" i="11"/>
  <c r="BW103" i="2" s="1"/>
  <c r="JV102" i="11"/>
  <c r="BX103" i="2" s="1"/>
  <c r="JW102" i="11"/>
  <c r="BY103" i="2" s="1"/>
  <c r="JX102" i="11"/>
  <c r="BZ103" i="2" s="1"/>
  <c r="JY102" i="11"/>
  <c r="CA103" i="2" s="1"/>
  <c r="JZ102" i="11"/>
  <c r="CB103" i="2" s="1"/>
  <c r="KA102" i="11"/>
  <c r="CC103" i="2" s="1"/>
  <c r="JI103" i="11"/>
  <c r="BK104" i="2" s="1"/>
  <c r="JJ103" i="11"/>
  <c r="BL104" i="2" s="1"/>
  <c r="JK103" i="11"/>
  <c r="BM104" i="2" s="1"/>
  <c r="JL103" i="11"/>
  <c r="BN104" i="2" s="1"/>
  <c r="JM103" i="11"/>
  <c r="BO104" i="2" s="1"/>
  <c r="JN103" i="11"/>
  <c r="BP104" i="2" s="1"/>
  <c r="JO103" i="11"/>
  <c r="BQ104" i="2" s="1"/>
  <c r="JP103" i="11"/>
  <c r="BR104" i="2" s="1"/>
  <c r="JQ103" i="11"/>
  <c r="BS104" i="2" s="1"/>
  <c r="JR103" i="11"/>
  <c r="BT104" i="2" s="1"/>
  <c r="JS103" i="11"/>
  <c r="BU104" i="2" s="1"/>
  <c r="JT103" i="11"/>
  <c r="BV104" i="2" s="1"/>
  <c r="JU103" i="11"/>
  <c r="BW104" i="2" s="1"/>
  <c r="JV103" i="11"/>
  <c r="BX104" i="2" s="1"/>
  <c r="JW103" i="11"/>
  <c r="BY104" i="2" s="1"/>
  <c r="JX103" i="11"/>
  <c r="BZ104" i="2" s="1"/>
  <c r="JY103" i="11"/>
  <c r="CA104" i="2" s="1"/>
  <c r="JZ103" i="11"/>
  <c r="CB104" i="2" s="1"/>
  <c r="KA103" i="11"/>
  <c r="CC104" i="2" s="1"/>
  <c r="JI104" i="11"/>
  <c r="BK105" i="2" s="1"/>
  <c r="JJ104" i="11"/>
  <c r="BL105" i="2" s="1"/>
  <c r="JK104" i="11"/>
  <c r="BM105" i="2" s="1"/>
  <c r="JL104" i="11"/>
  <c r="BN105" i="2" s="1"/>
  <c r="JM104" i="11"/>
  <c r="BO105" i="2" s="1"/>
  <c r="JN104" i="11"/>
  <c r="BP105" i="2" s="1"/>
  <c r="JO104" i="11"/>
  <c r="BQ105" i="2" s="1"/>
  <c r="JP104" i="11"/>
  <c r="BR105" i="2" s="1"/>
  <c r="JQ104" i="11"/>
  <c r="BS105" i="2" s="1"/>
  <c r="JR104" i="11"/>
  <c r="BT105" i="2" s="1"/>
  <c r="JS104" i="11"/>
  <c r="BU105" i="2" s="1"/>
  <c r="JT104" i="11"/>
  <c r="BV105" i="2" s="1"/>
  <c r="JU104" i="11"/>
  <c r="BW105" i="2" s="1"/>
  <c r="JV104" i="11"/>
  <c r="BX105" i="2" s="1"/>
  <c r="JW104" i="11"/>
  <c r="BY105" i="2" s="1"/>
  <c r="JX104" i="11"/>
  <c r="BZ105" i="2" s="1"/>
  <c r="JY104" i="11"/>
  <c r="CA105" i="2" s="1"/>
  <c r="JZ104" i="11"/>
  <c r="CB105" i="2" s="1"/>
  <c r="KA104" i="11"/>
  <c r="CC105" i="2" s="1"/>
  <c r="JI105" i="11"/>
  <c r="BK106" i="2" s="1"/>
  <c r="JJ105" i="11"/>
  <c r="BL106" i="2" s="1"/>
  <c r="JK105" i="11"/>
  <c r="BM106" i="2" s="1"/>
  <c r="JL105" i="11"/>
  <c r="BN106" i="2" s="1"/>
  <c r="JM105" i="11"/>
  <c r="BO106" i="2" s="1"/>
  <c r="JN105" i="11"/>
  <c r="BP106" i="2" s="1"/>
  <c r="JO105" i="11"/>
  <c r="BQ106" i="2" s="1"/>
  <c r="JP105" i="11"/>
  <c r="BR106" i="2" s="1"/>
  <c r="JQ105" i="11"/>
  <c r="BS106" i="2" s="1"/>
  <c r="JR105" i="11"/>
  <c r="BT106" i="2" s="1"/>
  <c r="JS105" i="11"/>
  <c r="BU106" i="2" s="1"/>
  <c r="JT105" i="11"/>
  <c r="BV106" i="2" s="1"/>
  <c r="JU105" i="11"/>
  <c r="BW106" i="2" s="1"/>
  <c r="JV105" i="11"/>
  <c r="BX106" i="2" s="1"/>
  <c r="JW105" i="11"/>
  <c r="BY106" i="2" s="1"/>
  <c r="JX105" i="11"/>
  <c r="BZ106" i="2" s="1"/>
  <c r="JY105" i="11"/>
  <c r="CA106" i="2" s="1"/>
  <c r="JZ105" i="11"/>
  <c r="CB106" i="2" s="1"/>
  <c r="KA105" i="11"/>
  <c r="CC106" i="2" s="1"/>
  <c r="JI106" i="11"/>
  <c r="BK107" i="2" s="1"/>
  <c r="JJ106" i="11"/>
  <c r="BL107" i="2" s="1"/>
  <c r="JK106" i="11"/>
  <c r="BM107" i="2" s="1"/>
  <c r="JL106" i="11"/>
  <c r="BN107" i="2" s="1"/>
  <c r="JM106" i="11"/>
  <c r="BO107" i="2" s="1"/>
  <c r="JN106" i="11"/>
  <c r="BP107" i="2" s="1"/>
  <c r="JO106" i="11"/>
  <c r="BQ107" i="2" s="1"/>
  <c r="JP106" i="11"/>
  <c r="BR107" i="2" s="1"/>
  <c r="JQ106" i="11"/>
  <c r="BS107" i="2" s="1"/>
  <c r="JR106" i="11"/>
  <c r="BT107" i="2" s="1"/>
  <c r="JS106" i="11"/>
  <c r="BU107" i="2" s="1"/>
  <c r="JT106" i="11"/>
  <c r="BV107" i="2" s="1"/>
  <c r="JU106" i="11"/>
  <c r="BW107" i="2" s="1"/>
  <c r="JV106" i="11"/>
  <c r="BX107" i="2" s="1"/>
  <c r="JW106" i="11"/>
  <c r="BY107" i="2" s="1"/>
  <c r="JX106" i="11"/>
  <c r="BZ107" i="2" s="1"/>
  <c r="JY106" i="11"/>
  <c r="CA107" i="2" s="1"/>
  <c r="JZ106" i="11"/>
  <c r="CB107" i="2" s="1"/>
  <c r="KA106" i="11"/>
  <c r="CC107" i="2" s="1"/>
  <c r="JI107" i="11"/>
  <c r="BK108" i="2" s="1"/>
  <c r="JJ107" i="11"/>
  <c r="BL108" i="2" s="1"/>
  <c r="JK107" i="11"/>
  <c r="BM108" i="2" s="1"/>
  <c r="JL107" i="11"/>
  <c r="BN108" i="2" s="1"/>
  <c r="JM107" i="11"/>
  <c r="BO108" i="2" s="1"/>
  <c r="JN107" i="11"/>
  <c r="BP108" i="2" s="1"/>
  <c r="JO107" i="11"/>
  <c r="BQ108" i="2" s="1"/>
  <c r="JP107" i="11"/>
  <c r="BR108" i="2" s="1"/>
  <c r="JQ107" i="11"/>
  <c r="BS108" i="2" s="1"/>
  <c r="JR107" i="11"/>
  <c r="BT108" i="2" s="1"/>
  <c r="JS107" i="11"/>
  <c r="BU108" i="2" s="1"/>
  <c r="JT107" i="11"/>
  <c r="BV108" i="2" s="1"/>
  <c r="JU107" i="11"/>
  <c r="BW108" i="2" s="1"/>
  <c r="JV107" i="11"/>
  <c r="BX108" i="2" s="1"/>
  <c r="JW107" i="11"/>
  <c r="BY108" i="2" s="1"/>
  <c r="JX107" i="11"/>
  <c r="BZ108" i="2" s="1"/>
  <c r="JY107" i="11"/>
  <c r="CA108" i="2" s="1"/>
  <c r="JZ107" i="11"/>
  <c r="CB108" i="2" s="1"/>
  <c r="KA107" i="11"/>
  <c r="CC108" i="2" s="1"/>
  <c r="JI108" i="11"/>
  <c r="BK109" i="2" s="1"/>
  <c r="JJ108" i="11"/>
  <c r="BL109" i="2" s="1"/>
  <c r="JK108" i="11"/>
  <c r="BM109" i="2" s="1"/>
  <c r="JL108" i="11"/>
  <c r="BN109" i="2" s="1"/>
  <c r="JM108" i="11"/>
  <c r="BO109" i="2" s="1"/>
  <c r="JN108" i="11"/>
  <c r="BP109" i="2" s="1"/>
  <c r="JO108" i="11"/>
  <c r="BQ109" i="2" s="1"/>
  <c r="JP108" i="11"/>
  <c r="BR109" i="2" s="1"/>
  <c r="JQ108" i="11"/>
  <c r="BS109" i="2" s="1"/>
  <c r="JR108" i="11"/>
  <c r="BT109" i="2" s="1"/>
  <c r="JS108" i="11"/>
  <c r="BU109" i="2" s="1"/>
  <c r="JT108" i="11"/>
  <c r="BV109" i="2" s="1"/>
  <c r="JU108" i="11"/>
  <c r="BW109" i="2" s="1"/>
  <c r="JV108" i="11"/>
  <c r="BX109" i="2" s="1"/>
  <c r="JW108" i="11"/>
  <c r="BY109" i="2" s="1"/>
  <c r="JX108" i="11"/>
  <c r="BZ109" i="2" s="1"/>
  <c r="JY108" i="11"/>
  <c r="CA109" i="2" s="1"/>
  <c r="JZ108" i="11"/>
  <c r="CB109" i="2" s="1"/>
  <c r="KA108" i="11"/>
  <c r="CC109" i="2" s="1"/>
  <c r="JI109" i="11"/>
  <c r="BK110" i="2" s="1"/>
  <c r="JJ109" i="11"/>
  <c r="BL110" i="2" s="1"/>
  <c r="JK109" i="11"/>
  <c r="BM110" i="2" s="1"/>
  <c r="JL109" i="11"/>
  <c r="BN110" i="2" s="1"/>
  <c r="JM109" i="11"/>
  <c r="BO110" i="2" s="1"/>
  <c r="JN109" i="11"/>
  <c r="BP110" i="2" s="1"/>
  <c r="JO109" i="11"/>
  <c r="BQ110" i="2" s="1"/>
  <c r="JP109" i="11"/>
  <c r="BR110" i="2" s="1"/>
  <c r="JQ109" i="11"/>
  <c r="BS110" i="2" s="1"/>
  <c r="JR109" i="11"/>
  <c r="BT110" i="2" s="1"/>
  <c r="JS109" i="11"/>
  <c r="BU110" i="2" s="1"/>
  <c r="JT109" i="11"/>
  <c r="BV110" i="2" s="1"/>
  <c r="JU109" i="11"/>
  <c r="BW110" i="2" s="1"/>
  <c r="JV109" i="11"/>
  <c r="BX110" i="2" s="1"/>
  <c r="JW109" i="11"/>
  <c r="BY110" i="2" s="1"/>
  <c r="JX109" i="11"/>
  <c r="BZ110" i="2" s="1"/>
  <c r="JY109" i="11"/>
  <c r="CA110" i="2" s="1"/>
  <c r="JZ109" i="11"/>
  <c r="CB110" i="2" s="1"/>
  <c r="KA109" i="11"/>
  <c r="CC110" i="2" s="1"/>
  <c r="JI110" i="11"/>
  <c r="BK111" i="2" s="1"/>
  <c r="JJ110" i="11"/>
  <c r="BL111" i="2" s="1"/>
  <c r="JK110" i="11"/>
  <c r="BM111" i="2" s="1"/>
  <c r="JL110" i="11"/>
  <c r="BN111" i="2" s="1"/>
  <c r="JM110" i="11"/>
  <c r="BO111" i="2" s="1"/>
  <c r="JN110" i="11"/>
  <c r="BP111" i="2" s="1"/>
  <c r="JO110" i="11"/>
  <c r="BQ111" i="2" s="1"/>
  <c r="JP110" i="11"/>
  <c r="BR111" i="2" s="1"/>
  <c r="JQ110" i="11"/>
  <c r="BS111" i="2" s="1"/>
  <c r="JR110" i="11"/>
  <c r="BT111" i="2" s="1"/>
  <c r="JS110" i="11"/>
  <c r="BU111" i="2" s="1"/>
  <c r="JT110" i="11"/>
  <c r="BV111" i="2" s="1"/>
  <c r="JU110" i="11"/>
  <c r="BW111" i="2" s="1"/>
  <c r="JV110" i="11"/>
  <c r="BX111" i="2" s="1"/>
  <c r="JW110" i="11"/>
  <c r="BY111" i="2" s="1"/>
  <c r="JX110" i="11"/>
  <c r="BZ111" i="2" s="1"/>
  <c r="JY110" i="11"/>
  <c r="CA111" i="2" s="1"/>
  <c r="JZ110" i="11"/>
  <c r="CB111" i="2" s="1"/>
  <c r="KA110" i="11"/>
  <c r="CC111" i="2" s="1"/>
  <c r="JI111" i="11"/>
  <c r="BK112" i="2" s="1"/>
  <c r="JJ111" i="11"/>
  <c r="BL112" i="2" s="1"/>
  <c r="JK111" i="11"/>
  <c r="BM112" i="2" s="1"/>
  <c r="JL111" i="11"/>
  <c r="BN112" i="2" s="1"/>
  <c r="JM111" i="11"/>
  <c r="BO112" i="2" s="1"/>
  <c r="JN111" i="11"/>
  <c r="BP112" i="2" s="1"/>
  <c r="JO111" i="11"/>
  <c r="BQ112" i="2" s="1"/>
  <c r="JP111" i="11"/>
  <c r="BR112" i="2" s="1"/>
  <c r="JQ111" i="11"/>
  <c r="BS112" i="2" s="1"/>
  <c r="JR111" i="11"/>
  <c r="BT112" i="2" s="1"/>
  <c r="JS111" i="11"/>
  <c r="BU112" i="2" s="1"/>
  <c r="JT111" i="11"/>
  <c r="BV112" i="2" s="1"/>
  <c r="JU111" i="11"/>
  <c r="BW112" i="2" s="1"/>
  <c r="JV111" i="11"/>
  <c r="BX112" i="2" s="1"/>
  <c r="JW111" i="11"/>
  <c r="BY112" i="2" s="1"/>
  <c r="JX111" i="11"/>
  <c r="BZ112" i="2" s="1"/>
  <c r="JY111" i="11"/>
  <c r="CA112" i="2" s="1"/>
  <c r="JZ111" i="11"/>
  <c r="CB112" i="2" s="1"/>
  <c r="KA111" i="11"/>
  <c r="CC112" i="2" s="1"/>
  <c r="JI112" i="11"/>
  <c r="BK113" i="2" s="1"/>
  <c r="JJ112" i="11"/>
  <c r="JK112" i="11"/>
  <c r="BM113" i="2" s="1"/>
  <c r="JL112" i="11"/>
  <c r="BN113" i="2" s="1"/>
  <c r="JM112" i="11"/>
  <c r="BO113" i="2" s="1"/>
  <c r="JN112" i="11"/>
  <c r="BP113" i="2" s="1"/>
  <c r="JO112" i="11"/>
  <c r="BQ113" i="2" s="1"/>
  <c r="JP112" i="11"/>
  <c r="BR113" i="2" s="1"/>
  <c r="JQ112" i="11"/>
  <c r="BS113" i="2" s="1"/>
  <c r="JR112" i="11"/>
  <c r="BT113" i="2" s="1"/>
  <c r="JS112" i="11"/>
  <c r="BU113" i="2" s="1"/>
  <c r="JT112" i="11"/>
  <c r="BV113" i="2" s="1"/>
  <c r="JU112" i="11"/>
  <c r="BW113" i="2" s="1"/>
  <c r="JV112" i="11"/>
  <c r="BX113" i="2" s="1"/>
  <c r="JW112" i="11"/>
  <c r="BY113" i="2" s="1"/>
  <c r="JX112" i="11"/>
  <c r="BZ113" i="2" s="1"/>
  <c r="JY112" i="11"/>
  <c r="CA113" i="2" s="1"/>
  <c r="JZ112" i="11"/>
  <c r="CB113" i="2" s="1"/>
  <c r="KA112" i="11"/>
  <c r="CC113" i="2" s="1"/>
  <c r="JI113" i="11"/>
  <c r="BK114" i="2" s="1"/>
  <c r="JJ113" i="11"/>
  <c r="BL114" i="2" s="1"/>
  <c r="JK113" i="11"/>
  <c r="BM114" i="2" s="1"/>
  <c r="JL113" i="11"/>
  <c r="BN114" i="2" s="1"/>
  <c r="JM113" i="11"/>
  <c r="BO114" i="2" s="1"/>
  <c r="JN113" i="11"/>
  <c r="BP114" i="2" s="1"/>
  <c r="JO113" i="11"/>
  <c r="BQ114" i="2" s="1"/>
  <c r="JP113" i="11"/>
  <c r="BR114" i="2" s="1"/>
  <c r="JQ113" i="11"/>
  <c r="BS114" i="2" s="1"/>
  <c r="JR113" i="11"/>
  <c r="BT114" i="2" s="1"/>
  <c r="JS113" i="11"/>
  <c r="BU114" i="2" s="1"/>
  <c r="JT113" i="11"/>
  <c r="BV114" i="2" s="1"/>
  <c r="JU113" i="11"/>
  <c r="BW114" i="2" s="1"/>
  <c r="JV113" i="11"/>
  <c r="BX114" i="2" s="1"/>
  <c r="JW113" i="11"/>
  <c r="BY114" i="2" s="1"/>
  <c r="JX113" i="11"/>
  <c r="BZ114" i="2" s="1"/>
  <c r="JY113" i="11"/>
  <c r="CA114" i="2" s="1"/>
  <c r="JZ113" i="11"/>
  <c r="CB114" i="2" s="1"/>
  <c r="KA113" i="11"/>
  <c r="CC114" i="2" s="1"/>
  <c r="JI114" i="11"/>
  <c r="BK115" i="2" s="1"/>
  <c r="JJ114" i="11"/>
  <c r="BL115" i="2" s="1"/>
  <c r="JK114" i="11"/>
  <c r="BM115" i="2" s="1"/>
  <c r="JL114" i="11"/>
  <c r="BN115" i="2" s="1"/>
  <c r="JM114" i="11"/>
  <c r="BO115" i="2" s="1"/>
  <c r="JN114" i="11"/>
  <c r="BP115" i="2" s="1"/>
  <c r="JO114" i="11"/>
  <c r="BQ115" i="2" s="1"/>
  <c r="JP114" i="11"/>
  <c r="BR115" i="2" s="1"/>
  <c r="JQ114" i="11"/>
  <c r="BS115" i="2" s="1"/>
  <c r="JR114" i="11"/>
  <c r="BT115" i="2" s="1"/>
  <c r="JS114" i="11"/>
  <c r="BU115" i="2" s="1"/>
  <c r="JT114" i="11"/>
  <c r="BV115" i="2" s="1"/>
  <c r="JU114" i="11"/>
  <c r="BW115" i="2" s="1"/>
  <c r="JV114" i="11"/>
  <c r="BX115" i="2" s="1"/>
  <c r="JW114" i="11"/>
  <c r="BY115" i="2" s="1"/>
  <c r="JX114" i="11"/>
  <c r="BZ115" i="2" s="1"/>
  <c r="JY114" i="11"/>
  <c r="CA115" i="2" s="1"/>
  <c r="JZ114" i="11"/>
  <c r="CB115" i="2" s="1"/>
  <c r="KA114" i="11"/>
  <c r="CC115" i="2" s="1"/>
  <c r="JI115" i="11"/>
  <c r="BK116" i="2" s="1"/>
  <c r="JJ115" i="11"/>
  <c r="BL116" i="2" s="1"/>
  <c r="JK115" i="11"/>
  <c r="BM116" i="2" s="1"/>
  <c r="JL115" i="11"/>
  <c r="BN116" i="2" s="1"/>
  <c r="JM115" i="11"/>
  <c r="BO116" i="2" s="1"/>
  <c r="JN115" i="11"/>
  <c r="BP116" i="2" s="1"/>
  <c r="JO115" i="11"/>
  <c r="BQ116" i="2" s="1"/>
  <c r="JP115" i="11"/>
  <c r="BR116" i="2" s="1"/>
  <c r="JQ115" i="11"/>
  <c r="BS116" i="2" s="1"/>
  <c r="JR115" i="11"/>
  <c r="BT116" i="2" s="1"/>
  <c r="JS115" i="11"/>
  <c r="BU116" i="2" s="1"/>
  <c r="JT115" i="11"/>
  <c r="BV116" i="2" s="1"/>
  <c r="JU115" i="11"/>
  <c r="BW116" i="2" s="1"/>
  <c r="JV115" i="11"/>
  <c r="BX116" i="2" s="1"/>
  <c r="JW115" i="11"/>
  <c r="BY116" i="2" s="1"/>
  <c r="JX115" i="11"/>
  <c r="BZ116" i="2" s="1"/>
  <c r="JY115" i="11"/>
  <c r="CA116" i="2" s="1"/>
  <c r="JZ115" i="11"/>
  <c r="CB116" i="2" s="1"/>
  <c r="KA115" i="11"/>
  <c r="CC116" i="2" s="1"/>
  <c r="JI116" i="11"/>
  <c r="BK117" i="2" s="1"/>
  <c r="JJ116" i="11"/>
  <c r="BL117" i="2" s="1"/>
  <c r="JK116" i="11"/>
  <c r="BM117" i="2" s="1"/>
  <c r="JL116" i="11"/>
  <c r="BN117" i="2" s="1"/>
  <c r="JM116" i="11"/>
  <c r="BO117" i="2" s="1"/>
  <c r="JN116" i="11"/>
  <c r="BP117" i="2" s="1"/>
  <c r="JO116" i="11"/>
  <c r="BQ117" i="2" s="1"/>
  <c r="JP116" i="11"/>
  <c r="BR117" i="2" s="1"/>
  <c r="JQ116" i="11"/>
  <c r="BS117" i="2" s="1"/>
  <c r="JR116" i="11"/>
  <c r="BT117" i="2" s="1"/>
  <c r="JS116" i="11"/>
  <c r="BU117" i="2" s="1"/>
  <c r="JT116" i="11"/>
  <c r="BV117" i="2" s="1"/>
  <c r="JU116" i="11"/>
  <c r="BW117" i="2" s="1"/>
  <c r="JV116" i="11"/>
  <c r="BX117" i="2" s="1"/>
  <c r="JW116" i="11"/>
  <c r="BY117" i="2" s="1"/>
  <c r="JX116" i="11"/>
  <c r="BZ117" i="2" s="1"/>
  <c r="JY116" i="11"/>
  <c r="CA117" i="2" s="1"/>
  <c r="JZ116" i="11"/>
  <c r="CB117" i="2" s="1"/>
  <c r="KA116" i="11"/>
  <c r="CC117" i="2" s="1"/>
  <c r="JI117" i="11"/>
  <c r="BK118" i="2" s="1"/>
  <c r="JJ117" i="11"/>
  <c r="BL118" i="2" s="1"/>
  <c r="JK117" i="11"/>
  <c r="BM118" i="2" s="1"/>
  <c r="JL117" i="11"/>
  <c r="BN118" i="2" s="1"/>
  <c r="JM117" i="11"/>
  <c r="BO118" i="2" s="1"/>
  <c r="JN117" i="11"/>
  <c r="BP118" i="2" s="1"/>
  <c r="JO117" i="11"/>
  <c r="BQ118" i="2" s="1"/>
  <c r="JP117" i="11"/>
  <c r="BR118" i="2" s="1"/>
  <c r="JQ117" i="11"/>
  <c r="BS118" i="2" s="1"/>
  <c r="JR117" i="11"/>
  <c r="BT118" i="2" s="1"/>
  <c r="JS117" i="11"/>
  <c r="BU118" i="2" s="1"/>
  <c r="JT117" i="11"/>
  <c r="BV118" i="2" s="1"/>
  <c r="JU117" i="11"/>
  <c r="BW118" i="2" s="1"/>
  <c r="JV117" i="11"/>
  <c r="BX118" i="2" s="1"/>
  <c r="JW117" i="11"/>
  <c r="BY118" i="2" s="1"/>
  <c r="JX117" i="11"/>
  <c r="BZ118" i="2" s="1"/>
  <c r="JY117" i="11"/>
  <c r="CA118" i="2" s="1"/>
  <c r="JZ117" i="11"/>
  <c r="CB118" i="2" s="1"/>
  <c r="KA117" i="11"/>
  <c r="CC118" i="2" s="1"/>
  <c r="JI118" i="11"/>
  <c r="BK119" i="2" s="1"/>
  <c r="JJ118" i="11"/>
  <c r="BL119" i="2" s="1"/>
  <c r="JK118" i="11"/>
  <c r="BM119" i="2" s="1"/>
  <c r="JL118" i="11"/>
  <c r="BN119" i="2" s="1"/>
  <c r="JM118" i="11"/>
  <c r="BO119" i="2" s="1"/>
  <c r="JN118" i="11"/>
  <c r="BP119" i="2" s="1"/>
  <c r="JO118" i="11"/>
  <c r="BQ119" i="2" s="1"/>
  <c r="JP118" i="11"/>
  <c r="BR119" i="2" s="1"/>
  <c r="JQ118" i="11"/>
  <c r="BS119" i="2" s="1"/>
  <c r="JR118" i="11"/>
  <c r="BT119" i="2" s="1"/>
  <c r="JS118" i="11"/>
  <c r="BU119" i="2" s="1"/>
  <c r="JT118" i="11"/>
  <c r="BV119" i="2" s="1"/>
  <c r="JU118" i="11"/>
  <c r="BW119" i="2" s="1"/>
  <c r="JV118" i="11"/>
  <c r="BX119" i="2" s="1"/>
  <c r="JW118" i="11"/>
  <c r="BY119" i="2" s="1"/>
  <c r="JX118" i="11"/>
  <c r="BZ119" i="2" s="1"/>
  <c r="JY118" i="11"/>
  <c r="CA119" i="2" s="1"/>
  <c r="JZ118" i="11"/>
  <c r="CB119" i="2" s="1"/>
  <c r="KA118" i="11"/>
  <c r="CC119" i="2" s="1"/>
  <c r="JI119" i="11"/>
  <c r="BK120" i="2" s="1"/>
  <c r="JJ119" i="11"/>
  <c r="BL120" i="2" s="1"/>
  <c r="JK119" i="11"/>
  <c r="BM120" i="2" s="1"/>
  <c r="JL119" i="11"/>
  <c r="BN120" i="2" s="1"/>
  <c r="JM119" i="11"/>
  <c r="BO120" i="2" s="1"/>
  <c r="JN119" i="11"/>
  <c r="BP120" i="2" s="1"/>
  <c r="JO119" i="11"/>
  <c r="BQ120" i="2" s="1"/>
  <c r="JP119" i="11"/>
  <c r="BR120" i="2" s="1"/>
  <c r="JQ119" i="11"/>
  <c r="BS120" i="2" s="1"/>
  <c r="JR119" i="11"/>
  <c r="BT120" i="2" s="1"/>
  <c r="JS119" i="11"/>
  <c r="BU120" i="2" s="1"/>
  <c r="JT119" i="11"/>
  <c r="BV120" i="2" s="1"/>
  <c r="JU119" i="11"/>
  <c r="BW120" i="2" s="1"/>
  <c r="JV119" i="11"/>
  <c r="BX120" i="2" s="1"/>
  <c r="JW119" i="11"/>
  <c r="BY120" i="2" s="1"/>
  <c r="JX119" i="11"/>
  <c r="BZ120" i="2" s="1"/>
  <c r="JY119" i="11"/>
  <c r="CA120" i="2" s="1"/>
  <c r="JZ119" i="11"/>
  <c r="CB120" i="2" s="1"/>
  <c r="KA119" i="11"/>
  <c r="CC120" i="2" s="1"/>
  <c r="JI120" i="11"/>
  <c r="BK121" i="2" s="1"/>
  <c r="JJ120" i="11"/>
  <c r="BL121" i="2" s="1"/>
  <c r="JK120" i="11"/>
  <c r="BM121" i="2" s="1"/>
  <c r="JL120" i="11"/>
  <c r="BN121" i="2" s="1"/>
  <c r="JM120" i="11"/>
  <c r="BO121" i="2" s="1"/>
  <c r="JN120" i="11"/>
  <c r="BP121" i="2" s="1"/>
  <c r="JO120" i="11"/>
  <c r="BQ121" i="2" s="1"/>
  <c r="JP120" i="11"/>
  <c r="BR121" i="2" s="1"/>
  <c r="JQ120" i="11"/>
  <c r="BS121" i="2" s="1"/>
  <c r="JR120" i="11"/>
  <c r="BT121" i="2" s="1"/>
  <c r="JS120" i="11"/>
  <c r="BU121" i="2" s="1"/>
  <c r="JT120" i="11"/>
  <c r="BV121" i="2" s="1"/>
  <c r="JU120" i="11"/>
  <c r="BW121" i="2" s="1"/>
  <c r="JV120" i="11"/>
  <c r="BX121" i="2" s="1"/>
  <c r="JW120" i="11"/>
  <c r="BY121" i="2" s="1"/>
  <c r="JX120" i="11"/>
  <c r="BZ121" i="2" s="1"/>
  <c r="JY120" i="11"/>
  <c r="CA121" i="2" s="1"/>
  <c r="JZ120" i="11"/>
  <c r="CB121" i="2" s="1"/>
  <c r="KA120" i="11"/>
  <c r="CC121" i="2" s="1"/>
  <c r="JI121" i="11"/>
  <c r="BK122" i="2" s="1"/>
  <c r="JJ121" i="11"/>
  <c r="BL122" i="2" s="1"/>
  <c r="JK121" i="11"/>
  <c r="BM122" i="2" s="1"/>
  <c r="JL121" i="11"/>
  <c r="BN122" i="2" s="1"/>
  <c r="JM121" i="11"/>
  <c r="BO122" i="2" s="1"/>
  <c r="JN121" i="11"/>
  <c r="BP122" i="2" s="1"/>
  <c r="JO121" i="11"/>
  <c r="BQ122" i="2" s="1"/>
  <c r="JP121" i="11"/>
  <c r="BR122" i="2" s="1"/>
  <c r="JQ121" i="11"/>
  <c r="BS122" i="2" s="1"/>
  <c r="JR121" i="11"/>
  <c r="BT122" i="2" s="1"/>
  <c r="JS121" i="11"/>
  <c r="BU122" i="2" s="1"/>
  <c r="JT121" i="11"/>
  <c r="BV122" i="2" s="1"/>
  <c r="JU121" i="11"/>
  <c r="BW122" i="2" s="1"/>
  <c r="JV121" i="11"/>
  <c r="BX122" i="2" s="1"/>
  <c r="JW121" i="11"/>
  <c r="BY122" i="2" s="1"/>
  <c r="JX121" i="11"/>
  <c r="BZ122" i="2" s="1"/>
  <c r="JY121" i="11"/>
  <c r="CA122" i="2" s="1"/>
  <c r="JZ121" i="11"/>
  <c r="CB122" i="2" s="1"/>
  <c r="KA121" i="11"/>
  <c r="CC122" i="2" s="1"/>
  <c r="JI122" i="11"/>
  <c r="BK123" i="2" s="1"/>
  <c r="JJ122" i="11"/>
  <c r="BL123" i="2" s="1"/>
  <c r="JK122" i="11"/>
  <c r="BM123" i="2" s="1"/>
  <c r="JL122" i="11"/>
  <c r="BN123" i="2" s="1"/>
  <c r="JM122" i="11"/>
  <c r="BO123" i="2" s="1"/>
  <c r="JN122" i="11"/>
  <c r="BP123" i="2" s="1"/>
  <c r="JO122" i="11"/>
  <c r="BQ123" i="2" s="1"/>
  <c r="JP122" i="11"/>
  <c r="BR123" i="2" s="1"/>
  <c r="JQ122" i="11"/>
  <c r="BS123" i="2" s="1"/>
  <c r="JR122" i="11"/>
  <c r="BT123" i="2" s="1"/>
  <c r="JS122" i="11"/>
  <c r="BU123" i="2" s="1"/>
  <c r="JT122" i="11"/>
  <c r="BV123" i="2" s="1"/>
  <c r="JU122" i="11"/>
  <c r="BW123" i="2" s="1"/>
  <c r="JV122" i="11"/>
  <c r="BX123" i="2" s="1"/>
  <c r="JW122" i="11"/>
  <c r="BY123" i="2" s="1"/>
  <c r="JX122" i="11"/>
  <c r="BZ123" i="2" s="1"/>
  <c r="JY122" i="11"/>
  <c r="CA123" i="2" s="1"/>
  <c r="JZ122" i="11"/>
  <c r="CB123" i="2" s="1"/>
  <c r="KA122" i="11"/>
  <c r="CC123" i="2" s="1"/>
  <c r="JI123" i="11"/>
  <c r="BK124" i="2" s="1"/>
  <c r="JJ123" i="11"/>
  <c r="BL124" i="2" s="1"/>
  <c r="JK123" i="11"/>
  <c r="BM124" i="2" s="1"/>
  <c r="JL123" i="11"/>
  <c r="BN124" i="2" s="1"/>
  <c r="JM123" i="11"/>
  <c r="BO124" i="2" s="1"/>
  <c r="JN123" i="11"/>
  <c r="BP124" i="2" s="1"/>
  <c r="JO123" i="11"/>
  <c r="BQ124" i="2" s="1"/>
  <c r="JP123" i="11"/>
  <c r="BR124" i="2" s="1"/>
  <c r="JQ123" i="11"/>
  <c r="BS124" i="2" s="1"/>
  <c r="JR123" i="11"/>
  <c r="BT124" i="2" s="1"/>
  <c r="JS123" i="11"/>
  <c r="BU124" i="2" s="1"/>
  <c r="JT123" i="11"/>
  <c r="BV124" i="2" s="1"/>
  <c r="JU123" i="11"/>
  <c r="BW124" i="2" s="1"/>
  <c r="JV123" i="11"/>
  <c r="BX124" i="2" s="1"/>
  <c r="JW123" i="11"/>
  <c r="BY124" i="2" s="1"/>
  <c r="JX123" i="11"/>
  <c r="BZ124" i="2" s="1"/>
  <c r="JY123" i="11"/>
  <c r="CA124" i="2" s="1"/>
  <c r="JZ123" i="11"/>
  <c r="CB124" i="2" s="1"/>
  <c r="KA123" i="11"/>
  <c r="CC124" i="2" s="1"/>
  <c r="JI124" i="11"/>
  <c r="BK125" i="2" s="1"/>
  <c r="JJ124" i="11"/>
  <c r="BL125" i="2" s="1"/>
  <c r="JK124" i="11"/>
  <c r="BM125" i="2" s="1"/>
  <c r="JL124" i="11"/>
  <c r="BN125" i="2" s="1"/>
  <c r="JM124" i="11"/>
  <c r="BO125" i="2" s="1"/>
  <c r="JN124" i="11"/>
  <c r="BP125" i="2" s="1"/>
  <c r="JO124" i="11"/>
  <c r="BQ125" i="2" s="1"/>
  <c r="JP124" i="11"/>
  <c r="BR125" i="2" s="1"/>
  <c r="JQ124" i="11"/>
  <c r="BS125" i="2" s="1"/>
  <c r="JR124" i="11"/>
  <c r="BT125" i="2" s="1"/>
  <c r="JS124" i="11"/>
  <c r="BU125" i="2" s="1"/>
  <c r="JT124" i="11"/>
  <c r="BV125" i="2" s="1"/>
  <c r="JU124" i="11"/>
  <c r="BW125" i="2" s="1"/>
  <c r="JV124" i="11"/>
  <c r="BX125" i="2" s="1"/>
  <c r="JW124" i="11"/>
  <c r="BY125" i="2" s="1"/>
  <c r="JX124" i="11"/>
  <c r="BZ125" i="2" s="1"/>
  <c r="JY124" i="11"/>
  <c r="CA125" i="2" s="1"/>
  <c r="JZ124" i="11"/>
  <c r="CB125" i="2" s="1"/>
  <c r="KA124" i="11"/>
  <c r="CC125" i="2" s="1"/>
  <c r="JI125" i="11"/>
  <c r="BK126" i="2" s="1"/>
  <c r="JJ125" i="11"/>
  <c r="BL126" i="2" s="1"/>
  <c r="JK125" i="11"/>
  <c r="BM126" i="2" s="1"/>
  <c r="JL125" i="11"/>
  <c r="BN126" i="2" s="1"/>
  <c r="JM125" i="11"/>
  <c r="BO126" i="2" s="1"/>
  <c r="JN125" i="11"/>
  <c r="BP126" i="2" s="1"/>
  <c r="JO125" i="11"/>
  <c r="BQ126" i="2" s="1"/>
  <c r="JP125" i="11"/>
  <c r="BR126" i="2" s="1"/>
  <c r="JQ125" i="11"/>
  <c r="BS126" i="2" s="1"/>
  <c r="JR125" i="11"/>
  <c r="BT126" i="2" s="1"/>
  <c r="JS125" i="11"/>
  <c r="BU126" i="2" s="1"/>
  <c r="JT125" i="11"/>
  <c r="BV126" i="2" s="1"/>
  <c r="JU125" i="11"/>
  <c r="BW126" i="2" s="1"/>
  <c r="JV125" i="11"/>
  <c r="BX126" i="2" s="1"/>
  <c r="JW125" i="11"/>
  <c r="BY126" i="2" s="1"/>
  <c r="JX125" i="11"/>
  <c r="BZ126" i="2" s="1"/>
  <c r="JY125" i="11"/>
  <c r="CA126" i="2" s="1"/>
  <c r="JZ125" i="11"/>
  <c r="CB126" i="2" s="1"/>
  <c r="KA125" i="11"/>
  <c r="CC126" i="2" s="1"/>
  <c r="BQ9" i="5" s="1" a="1"/>
  <c r="BQ9" i="5" s="1"/>
  <c r="JI126" i="11"/>
  <c r="BK127" i="2" s="1"/>
  <c r="JJ126" i="11"/>
  <c r="BL127" i="2" s="1"/>
  <c r="JK126" i="11"/>
  <c r="BM127" i="2" s="1"/>
  <c r="JL126" i="11"/>
  <c r="BN127" i="2" s="1"/>
  <c r="JM126" i="11"/>
  <c r="BO127" i="2" s="1"/>
  <c r="JN126" i="11"/>
  <c r="BP127" i="2" s="1"/>
  <c r="JO126" i="11"/>
  <c r="BQ127" i="2" s="1"/>
  <c r="JP126" i="11"/>
  <c r="BR127" i="2" s="1"/>
  <c r="JQ126" i="11"/>
  <c r="BS127" i="2" s="1"/>
  <c r="JR126" i="11"/>
  <c r="BT127" i="2" s="1"/>
  <c r="JS126" i="11"/>
  <c r="BU127" i="2" s="1"/>
  <c r="JT126" i="11"/>
  <c r="BV127" i="2" s="1"/>
  <c r="JU126" i="11"/>
  <c r="BW127" i="2" s="1"/>
  <c r="JV126" i="11"/>
  <c r="BX127" i="2" s="1"/>
  <c r="JW126" i="11"/>
  <c r="BY127" i="2" s="1"/>
  <c r="JX126" i="11"/>
  <c r="BZ127" i="2" s="1"/>
  <c r="JY126" i="11"/>
  <c r="CA127" i="2" s="1"/>
  <c r="JZ126" i="11"/>
  <c r="CB127" i="2" s="1"/>
  <c r="KA126" i="11"/>
  <c r="CC127" i="2" s="1"/>
  <c r="JI127" i="11"/>
  <c r="BK128" i="2" s="1"/>
  <c r="JJ127" i="11"/>
  <c r="BL128" i="2" s="1"/>
  <c r="JK127" i="11"/>
  <c r="BM128" i="2" s="1"/>
  <c r="JL127" i="11"/>
  <c r="BN128" i="2" s="1"/>
  <c r="JM127" i="11"/>
  <c r="BO128" i="2" s="1"/>
  <c r="JN127" i="11"/>
  <c r="BP128" i="2" s="1"/>
  <c r="JO127" i="11"/>
  <c r="BQ128" i="2" s="1"/>
  <c r="JP127" i="11"/>
  <c r="BR128" i="2" s="1"/>
  <c r="JQ127" i="11"/>
  <c r="BS128" i="2" s="1"/>
  <c r="JR127" i="11"/>
  <c r="BT128" i="2" s="1"/>
  <c r="JS127" i="11"/>
  <c r="BU128" i="2" s="1"/>
  <c r="JT127" i="11"/>
  <c r="BV128" i="2" s="1"/>
  <c r="JU127" i="11"/>
  <c r="BW128" i="2" s="1"/>
  <c r="JV127" i="11"/>
  <c r="BX128" i="2" s="1"/>
  <c r="JW127" i="11"/>
  <c r="BY128" i="2" s="1"/>
  <c r="JX127" i="11"/>
  <c r="BZ128" i="2" s="1"/>
  <c r="JY127" i="11"/>
  <c r="CA128" i="2" s="1"/>
  <c r="JZ127" i="11"/>
  <c r="CB128" i="2" s="1"/>
  <c r="KA127" i="11"/>
  <c r="CC128" i="2" s="1"/>
  <c r="JI128" i="11"/>
  <c r="BK129" i="2" s="1"/>
  <c r="JJ128" i="11"/>
  <c r="BL129" i="2" s="1"/>
  <c r="JK128" i="11"/>
  <c r="BM129" i="2" s="1"/>
  <c r="JL128" i="11"/>
  <c r="BN129" i="2" s="1"/>
  <c r="JM128" i="11"/>
  <c r="BO129" i="2" s="1"/>
  <c r="JN128" i="11"/>
  <c r="BP129" i="2" s="1"/>
  <c r="JO128" i="11"/>
  <c r="BQ129" i="2" s="1"/>
  <c r="JP128" i="11"/>
  <c r="BR129" i="2" s="1"/>
  <c r="JQ128" i="11"/>
  <c r="BS129" i="2" s="1"/>
  <c r="JR128" i="11"/>
  <c r="BT129" i="2" s="1"/>
  <c r="JS128" i="11"/>
  <c r="BU129" i="2" s="1"/>
  <c r="JT128" i="11"/>
  <c r="BV129" i="2" s="1"/>
  <c r="JU128" i="11"/>
  <c r="BW129" i="2" s="1"/>
  <c r="JV128" i="11"/>
  <c r="BX129" i="2" s="1"/>
  <c r="JW128" i="11"/>
  <c r="BY129" i="2" s="1"/>
  <c r="JX128" i="11"/>
  <c r="BZ129" i="2" s="1"/>
  <c r="JY128" i="11"/>
  <c r="CA129" i="2" s="1"/>
  <c r="JZ128" i="11"/>
  <c r="CB129" i="2" s="1"/>
  <c r="KA128" i="11"/>
  <c r="CC129" i="2" s="1"/>
  <c r="JI129" i="11"/>
  <c r="BK130" i="2" s="1"/>
  <c r="JJ129" i="11"/>
  <c r="BL130" i="2" s="1"/>
  <c r="JK129" i="11"/>
  <c r="BM130" i="2" s="1"/>
  <c r="JL129" i="11"/>
  <c r="BN130" i="2" s="1"/>
  <c r="JM129" i="11"/>
  <c r="BO130" i="2" s="1"/>
  <c r="JN129" i="11"/>
  <c r="BP130" i="2" s="1"/>
  <c r="JO129" i="11"/>
  <c r="BQ130" i="2" s="1"/>
  <c r="JP129" i="11"/>
  <c r="BR130" i="2" s="1"/>
  <c r="JQ129" i="11"/>
  <c r="BS130" i="2" s="1"/>
  <c r="JR129" i="11"/>
  <c r="BT130" i="2" s="1"/>
  <c r="JS129" i="11"/>
  <c r="BU130" i="2" s="1"/>
  <c r="JT129" i="11"/>
  <c r="BV130" i="2" s="1"/>
  <c r="JU129" i="11"/>
  <c r="BW130" i="2" s="1"/>
  <c r="JV129" i="11"/>
  <c r="BX130" i="2" s="1"/>
  <c r="JW129" i="11"/>
  <c r="BY130" i="2" s="1"/>
  <c r="JX129" i="11"/>
  <c r="BZ130" i="2" s="1"/>
  <c r="JY129" i="11"/>
  <c r="CA130" i="2" s="1"/>
  <c r="JZ129" i="11"/>
  <c r="CB130" i="2" s="1"/>
  <c r="KA129" i="11"/>
  <c r="CC130" i="2" s="1"/>
  <c r="JI130" i="11"/>
  <c r="BK131" i="2" s="1"/>
  <c r="JJ130" i="11"/>
  <c r="BL131" i="2" s="1"/>
  <c r="JK130" i="11"/>
  <c r="BM131" i="2" s="1"/>
  <c r="JL130" i="11"/>
  <c r="BN131" i="2" s="1"/>
  <c r="JM130" i="11"/>
  <c r="BO131" i="2" s="1"/>
  <c r="JN130" i="11"/>
  <c r="BP131" i="2" s="1"/>
  <c r="JO130" i="11"/>
  <c r="BQ131" i="2" s="1"/>
  <c r="JP130" i="11"/>
  <c r="BR131" i="2" s="1"/>
  <c r="JQ130" i="11"/>
  <c r="BS131" i="2" s="1"/>
  <c r="JR130" i="11"/>
  <c r="BT131" i="2" s="1"/>
  <c r="JS130" i="11"/>
  <c r="BU131" i="2" s="1"/>
  <c r="JT130" i="11"/>
  <c r="BV131" i="2" s="1"/>
  <c r="JU130" i="11"/>
  <c r="BW131" i="2" s="1"/>
  <c r="JV130" i="11"/>
  <c r="BX131" i="2" s="1"/>
  <c r="JW130" i="11"/>
  <c r="BY131" i="2" s="1"/>
  <c r="JX130" i="11"/>
  <c r="BZ131" i="2" s="1"/>
  <c r="JY130" i="11"/>
  <c r="CA131" i="2" s="1"/>
  <c r="JZ130" i="11"/>
  <c r="CB131" i="2" s="1"/>
  <c r="KA130" i="11"/>
  <c r="CC131" i="2" s="1"/>
  <c r="JI131" i="11"/>
  <c r="BK132" i="2" s="1"/>
  <c r="JJ131" i="11"/>
  <c r="BL132" i="2" s="1"/>
  <c r="JK131" i="11"/>
  <c r="BM132" i="2" s="1"/>
  <c r="JL131" i="11"/>
  <c r="BN132" i="2" s="1"/>
  <c r="JM131" i="11"/>
  <c r="BO132" i="2" s="1"/>
  <c r="JN131" i="11"/>
  <c r="BP132" i="2" s="1"/>
  <c r="JO131" i="11"/>
  <c r="BQ132" i="2" s="1"/>
  <c r="JP131" i="11"/>
  <c r="BR132" i="2" s="1"/>
  <c r="JQ131" i="11"/>
  <c r="BS132" i="2" s="1"/>
  <c r="JR131" i="11"/>
  <c r="BT132" i="2" s="1"/>
  <c r="JS131" i="11"/>
  <c r="BU132" i="2" s="1"/>
  <c r="JT131" i="11"/>
  <c r="BV132" i="2" s="1"/>
  <c r="JU131" i="11"/>
  <c r="BW132" i="2" s="1"/>
  <c r="JV131" i="11"/>
  <c r="BX132" i="2" s="1"/>
  <c r="JW131" i="11"/>
  <c r="BY132" i="2" s="1"/>
  <c r="JX131" i="11"/>
  <c r="BZ132" i="2" s="1"/>
  <c r="JY131" i="11"/>
  <c r="CA132" i="2" s="1"/>
  <c r="JZ131" i="11"/>
  <c r="CB132" i="2" s="1"/>
  <c r="KA131" i="11"/>
  <c r="CC132" i="2" s="1"/>
  <c r="JI132" i="11"/>
  <c r="BK133" i="2" s="1"/>
  <c r="JJ132" i="11"/>
  <c r="BL133" i="2" s="1"/>
  <c r="JK132" i="11"/>
  <c r="BM133" i="2" s="1"/>
  <c r="JL132" i="11"/>
  <c r="BN133" i="2" s="1"/>
  <c r="JM132" i="11"/>
  <c r="BO133" i="2" s="1"/>
  <c r="JN132" i="11"/>
  <c r="BP133" i="2" s="1"/>
  <c r="JO132" i="11"/>
  <c r="BQ133" i="2" s="1"/>
  <c r="JP132" i="11"/>
  <c r="BR133" i="2" s="1"/>
  <c r="JQ132" i="11"/>
  <c r="BS133" i="2" s="1"/>
  <c r="JR132" i="11"/>
  <c r="BT133" i="2" s="1"/>
  <c r="JS132" i="11"/>
  <c r="BU133" i="2" s="1"/>
  <c r="JT132" i="11"/>
  <c r="BV133" i="2" s="1"/>
  <c r="JU132" i="11"/>
  <c r="BW133" i="2" s="1"/>
  <c r="JV132" i="11"/>
  <c r="BX133" i="2" s="1"/>
  <c r="JW132" i="11"/>
  <c r="BY133" i="2" s="1"/>
  <c r="JX132" i="11"/>
  <c r="BZ133" i="2" s="1"/>
  <c r="JY132" i="11"/>
  <c r="CA133" i="2" s="1"/>
  <c r="JZ132" i="11"/>
  <c r="CB133" i="2" s="1"/>
  <c r="KA132" i="11"/>
  <c r="CC133" i="2" s="1"/>
  <c r="JI133" i="11"/>
  <c r="BK134" i="2" s="1"/>
  <c r="JJ133" i="11"/>
  <c r="BL134" i="2" s="1"/>
  <c r="JK133" i="11"/>
  <c r="BM134" i="2" s="1"/>
  <c r="JL133" i="11"/>
  <c r="BN134" i="2" s="1"/>
  <c r="JM133" i="11"/>
  <c r="BO134" i="2" s="1"/>
  <c r="JN133" i="11"/>
  <c r="BP134" i="2" s="1"/>
  <c r="JO133" i="11"/>
  <c r="BQ134" i="2" s="1"/>
  <c r="JP133" i="11"/>
  <c r="BR134" i="2" s="1"/>
  <c r="JQ133" i="11"/>
  <c r="BS134" i="2" s="1"/>
  <c r="JR133" i="11"/>
  <c r="BT134" i="2" s="1"/>
  <c r="JS133" i="11"/>
  <c r="BU134" i="2" s="1"/>
  <c r="JT133" i="11"/>
  <c r="BV134" i="2" s="1"/>
  <c r="JU133" i="11"/>
  <c r="BW134" i="2" s="1"/>
  <c r="JV133" i="11"/>
  <c r="BX134" i="2" s="1"/>
  <c r="JW133" i="11"/>
  <c r="BY134" i="2" s="1"/>
  <c r="JX133" i="11"/>
  <c r="BZ134" i="2" s="1"/>
  <c r="JY133" i="11"/>
  <c r="CA134" i="2" s="1"/>
  <c r="JZ133" i="11"/>
  <c r="CB134" i="2" s="1"/>
  <c r="KA133" i="11"/>
  <c r="CC134" i="2" s="1"/>
  <c r="JI134" i="11"/>
  <c r="BK135" i="2" s="1"/>
  <c r="JJ134" i="11"/>
  <c r="BL135" i="2" s="1"/>
  <c r="JK134" i="11"/>
  <c r="BM135" i="2" s="1"/>
  <c r="JL134" i="11"/>
  <c r="BN135" i="2" s="1"/>
  <c r="JM134" i="11"/>
  <c r="BO135" i="2" s="1"/>
  <c r="JN134" i="11"/>
  <c r="BP135" i="2" s="1"/>
  <c r="JO134" i="11"/>
  <c r="BQ135" i="2" s="1"/>
  <c r="JP134" i="11"/>
  <c r="BR135" i="2" s="1"/>
  <c r="JQ134" i="11"/>
  <c r="BS135" i="2" s="1"/>
  <c r="JR134" i="11"/>
  <c r="BT135" i="2" s="1"/>
  <c r="JS134" i="11"/>
  <c r="BU135" i="2" s="1"/>
  <c r="JT134" i="11"/>
  <c r="BV135" i="2" s="1"/>
  <c r="JU134" i="11"/>
  <c r="BW135" i="2" s="1"/>
  <c r="JV134" i="11"/>
  <c r="BX135" i="2" s="1"/>
  <c r="JW134" i="11"/>
  <c r="BY135" i="2" s="1"/>
  <c r="JX134" i="11"/>
  <c r="BZ135" i="2" s="1"/>
  <c r="JY134" i="11"/>
  <c r="CA135" i="2" s="1"/>
  <c r="JZ134" i="11"/>
  <c r="CB135" i="2" s="1"/>
  <c r="KA134" i="11"/>
  <c r="CC135" i="2" s="1"/>
  <c r="JI135" i="11"/>
  <c r="BK136" i="2" s="1"/>
  <c r="JJ135" i="11"/>
  <c r="BL136" i="2" s="1"/>
  <c r="JK135" i="11"/>
  <c r="BM136" i="2" s="1"/>
  <c r="JL135" i="11"/>
  <c r="BN136" i="2" s="1"/>
  <c r="JM135" i="11"/>
  <c r="BO136" i="2" s="1"/>
  <c r="JN135" i="11"/>
  <c r="BP136" i="2" s="1"/>
  <c r="JO135" i="11"/>
  <c r="BQ136" i="2" s="1"/>
  <c r="JP135" i="11"/>
  <c r="BR136" i="2" s="1"/>
  <c r="JQ135" i="11"/>
  <c r="BS136" i="2" s="1"/>
  <c r="JR135" i="11"/>
  <c r="BT136" i="2" s="1"/>
  <c r="JS135" i="11"/>
  <c r="BU136" i="2" s="1"/>
  <c r="JT135" i="11"/>
  <c r="BV136" i="2" s="1"/>
  <c r="JU135" i="11"/>
  <c r="BW136" i="2" s="1"/>
  <c r="JV135" i="11"/>
  <c r="BX136" i="2" s="1"/>
  <c r="JW135" i="11"/>
  <c r="BY136" i="2" s="1"/>
  <c r="JX135" i="11"/>
  <c r="BZ136" i="2" s="1"/>
  <c r="JY135" i="11"/>
  <c r="CA136" i="2" s="1"/>
  <c r="JZ135" i="11"/>
  <c r="CB136" i="2" s="1"/>
  <c r="KA135" i="11"/>
  <c r="CC136" i="2" s="1"/>
  <c r="JI136" i="11"/>
  <c r="BK137" i="2" s="1"/>
  <c r="JJ136" i="11"/>
  <c r="BL137" i="2" s="1"/>
  <c r="JK136" i="11"/>
  <c r="BM137" i="2" s="1"/>
  <c r="JL136" i="11"/>
  <c r="BN137" i="2" s="1"/>
  <c r="JM136" i="11"/>
  <c r="BO137" i="2" s="1"/>
  <c r="JN136" i="11"/>
  <c r="BP137" i="2" s="1"/>
  <c r="JO136" i="11"/>
  <c r="BQ137" i="2" s="1"/>
  <c r="JP136" i="11"/>
  <c r="BR137" i="2" s="1"/>
  <c r="JQ136" i="11"/>
  <c r="BS137" i="2" s="1"/>
  <c r="JR136" i="11"/>
  <c r="BT137" i="2" s="1"/>
  <c r="JS136" i="11"/>
  <c r="BU137" i="2" s="1"/>
  <c r="JT136" i="11"/>
  <c r="BV137" i="2" s="1"/>
  <c r="JU136" i="11"/>
  <c r="BW137" i="2" s="1"/>
  <c r="JV136" i="11"/>
  <c r="BX137" i="2" s="1"/>
  <c r="JW136" i="11"/>
  <c r="BY137" i="2" s="1"/>
  <c r="JX136" i="11"/>
  <c r="BZ137" i="2" s="1"/>
  <c r="JY136" i="11"/>
  <c r="CA137" i="2" s="1"/>
  <c r="JZ136" i="11"/>
  <c r="CB137" i="2" s="1"/>
  <c r="KA136" i="11"/>
  <c r="CC137" i="2" s="1"/>
  <c r="JI137" i="11"/>
  <c r="BK138" i="2" s="1"/>
  <c r="JJ137" i="11"/>
  <c r="BL138" i="2" s="1"/>
  <c r="JK137" i="11"/>
  <c r="BM138" i="2" s="1"/>
  <c r="JL137" i="11"/>
  <c r="BN138" i="2" s="1"/>
  <c r="JM137" i="11"/>
  <c r="BO138" i="2" s="1"/>
  <c r="JN137" i="11"/>
  <c r="BP138" i="2" s="1"/>
  <c r="JO137" i="11"/>
  <c r="BQ138" i="2" s="1"/>
  <c r="JP137" i="11"/>
  <c r="BR138" i="2" s="1"/>
  <c r="JQ137" i="11"/>
  <c r="BS138" i="2" s="1"/>
  <c r="JR137" i="11"/>
  <c r="BT138" i="2" s="1"/>
  <c r="JS137" i="11"/>
  <c r="BU138" i="2" s="1"/>
  <c r="JT137" i="11"/>
  <c r="BV138" i="2" s="1"/>
  <c r="JU137" i="11"/>
  <c r="BW138" i="2" s="1"/>
  <c r="JV137" i="11"/>
  <c r="BX138" i="2" s="1"/>
  <c r="JW137" i="11"/>
  <c r="BY138" i="2" s="1"/>
  <c r="JX137" i="11"/>
  <c r="BZ138" i="2" s="1"/>
  <c r="JY137" i="11"/>
  <c r="CA138" i="2" s="1"/>
  <c r="JZ137" i="11"/>
  <c r="CB138" i="2" s="1"/>
  <c r="KA137" i="11"/>
  <c r="CC138" i="2" s="1"/>
  <c r="JI138" i="11"/>
  <c r="BK139" i="2" s="1"/>
  <c r="JJ138" i="11"/>
  <c r="BL139" i="2" s="1"/>
  <c r="JK138" i="11"/>
  <c r="BM139" i="2" s="1"/>
  <c r="JL138" i="11"/>
  <c r="BN139" i="2" s="1"/>
  <c r="JM138" i="11"/>
  <c r="BO139" i="2" s="1"/>
  <c r="JN138" i="11"/>
  <c r="BP139" i="2" s="1"/>
  <c r="JO138" i="11"/>
  <c r="BQ139" i="2" s="1"/>
  <c r="JP138" i="11"/>
  <c r="BR139" i="2" s="1"/>
  <c r="JQ138" i="11"/>
  <c r="BS139" i="2" s="1"/>
  <c r="JR138" i="11"/>
  <c r="BT139" i="2" s="1"/>
  <c r="JS138" i="11"/>
  <c r="BU139" i="2" s="1"/>
  <c r="JT138" i="11"/>
  <c r="BV139" i="2" s="1"/>
  <c r="JU138" i="11"/>
  <c r="BW139" i="2" s="1"/>
  <c r="JV138" i="11"/>
  <c r="BX139" i="2" s="1"/>
  <c r="JW138" i="11"/>
  <c r="BY139" i="2" s="1"/>
  <c r="JX138" i="11"/>
  <c r="BZ139" i="2" s="1"/>
  <c r="JY138" i="11"/>
  <c r="CA139" i="2" s="1"/>
  <c r="JZ138" i="11"/>
  <c r="CB139" i="2" s="1"/>
  <c r="KA138" i="11"/>
  <c r="CC139" i="2" s="1"/>
  <c r="JI139" i="11"/>
  <c r="BK140" i="2" s="1"/>
  <c r="JJ139" i="11"/>
  <c r="BL140" i="2" s="1"/>
  <c r="JK139" i="11"/>
  <c r="BM140" i="2" s="1"/>
  <c r="JL139" i="11"/>
  <c r="BN140" i="2" s="1"/>
  <c r="JM139" i="11"/>
  <c r="BO140" i="2" s="1"/>
  <c r="JN139" i="11"/>
  <c r="BP140" i="2" s="1"/>
  <c r="JO139" i="11"/>
  <c r="BQ140" i="2" s="1"/>
  <c r="JP139" i="11"/>
  <c r="BR140" i="2" s="1"/>
  <c r="JQ139" i="11"/>
  <c r="BS140" i="2" s="1"/>
  <c r="JR139" i="11"/>
  <c r="BT140" i="2" s="1"/>
  <c r="JS139" i="11"/>
  <c r="BU140" i="2" s="1"/>
  <c r="JT139" i="11"/>
  <c r="BV140" i="2" s="1"/>
  <c r="JU139" i="11"/>
  <c r="BW140" i="2" s="1"/>
  <c r="JV139" i="11"/>
  <c r="BX140" i="2" s="1"/>
  <c r="JW139" i="11"/>
  <c r="BY140" i="2" s="1"/>
  <c r="JX139" i="11"/>
  <c r="BZ140" i="2" s="1"/>
  <c r="JY139" i="11"/>
  <c r="CA140" i="2" s="1"/>
  <c r="JZ139" i="11"/>
  <c r="CB140" i="2" s="1"/>
  <c r="KA139" i="11"/>
  <c r="CC140" i="2" s="1"/>
  <c r="JI140" i="11"/>
  <c r="BK141" i="2" s="1"/>
  <c r="JJ140" i="11"/>
  <c r="BL141" i="2" s="1"/>
  <c r="JK140" i="11"/>
  <c r="BM141" i="2" s="1"/>
  <c r="JL140" i="11"/>
  <c r="BN141" i="2" s="1"/>
  <c r="JM140" i="11"/>
  <c r="BO141" i="2" s="1"/>
  <c r="JN140" i="11"/>
  <c r="BP141" i="2" s="1"/>
  <c r="JO140" i="11"/>
  <c r="BQ141" i="2" s="1"/>
  <c r="JP140" i="11"/>
  <c r="BR141" i="2" s="1"/>
  <c r="JQ140" i="11"/>
  <c r="BS141" i="2" s="1"/>
  <c r="JR140" i="11"/>
  <c r="BT141" i="2" s="1"/>
  <c r="JS140" i="11"/>
  <c r="BU141" i="2" s="1"/>
  <c r="JT140" i="11"/>
  <c r="BV141" i="2" s="1"/>
  <c r="JU140" i="11"/>
  <c r="BW141" i="2" s="1"/>
  <c r="JV140" i="11"/>
  <c r="BX141" i="2" s="1"/>
  <c r="JW140" i="11"/>
  <c r="BY141" i="2" s="1"/>
  <c r="JX140" i="11"/>
  <c r="BZ141" i="2" s="1"/>
  <c r="JY140" i="11"/>
  <c r="CA141" i="2" s="1"/>
  <c r="JZ140" i="11"/>
  <c r="CB141" i="2" s="1"/>
  <c r="KA140" i="11"/>
  <c r="CC141" i="2" s="1"/>
  <c r="JI141" i="11"/>
  <c r="BK142" i="2" s="1"/>
  <c r="JJ141" i="11"/>
  <c r="BL142" i="2" s="1"/>
  <c r="JK141" i="11"/>
  <c r="BM142" i="2" s="1"/>
  <c r="JL141" i="11"/>
  <c r="BN142" i="2" s="1"/>
  <c r="JM141" i="11"/>
  <c r="BO142" i="2" s="1"/>
  <c r="JN141" i="11"/>
  <c r="BP142" i="2" s="1"/>
  <c r="JO141" i="11"/>
  <c r="BQ142" i="2" s="1"/>
  <c r="JP141" i="11"/>
  <c r="BR142" i="2" s="1"/>
  <c r="JQ141" i="11"/>
  <c r="BS142" i="2" s="1"/>
  <c r="JR141" i="11"/>
  <c r="BT142" i="2" s="1"/>
  <c r="JS141" i="11"/>
  <c r="BU142" i="2" s="1"/>
  <c r="JT141" i="11"/>
  <c r="BV142" i="2" s="1"/>
  <c r="JU141" i="11"/>
  <c r="BW142" i="2" s="1"/>
  <c r="JV141" i="11"/>
  <c r="BX142" i="2" s="1"/>
  <c r="JW141" i="11"/>
  <c r="BY142" i="2" s="1"/>
  <c r="JX141" i="11"/>
  <c r="BZ142" i="2" s="1"/>
  <c r="JY141" i="11"/>
  <c r="CA142" i="2" s="1"/>
  <c r="JZ141" i="11"/>
  <c r="CB142" i="2" s="1"/>
  <c r="KA141" i="11"/>
  <c r="CC142" i="2" s="1"/>
  <c r="JI142" i="11"/>
  <c r="BK143" i="2" s="1"/>
  <c r="JJ142" i="11"/>
  <c r="BL143" i="2" s="1"/>
  <c r="JK142" i="11"/>
  <c r="BM143" i="2" s="1"/>
  <c r="JL142" i="11"/>
  <c r="BN143" i="2" s="1"/>
  <c r="JM142" i="11"/>
  <c r="JN142" i="11"/>
  <c r="BP143" i="2" s="1"/>
  <c r="JO142" i="11"/>
  <c r="BQ143" i="2" s="1"/>
  <c r="JP142" i="11"/>
  <c r="BR143" i="2" s="1"/>
  <c r="JQ142" i="11"/>
  <c r="BS143" i="2" s="1"/>
  <c r="JR142" i="11"/>
  <c r="BT143" i="2" s="1"/>
  <c r="JS142" i="11"/>
  <c r="BU143" i="2" s="1"/>
  <c r="JT142" i="11"/>
  <c r="BV143" i="2" s="1"/>
  <c r="JU142" i="11"/>
  <c r="BW143" i="2" s="1"/>
  <c r="JV142" i="11"/>
  <c r="BX143" i="2" s="1"/>
  <c r="JW142" i="11"/>
  <c r="BY143" i="2" s="1"/>
  <c r="JX142" i="11"/>
  <c r="BZ143" i="2" s="1"/>
  <c r="JY142" i="11"/>
  <c r="CA143" i="2" s="1"/>
  <c r="JZ142" i="11"/>
  <c r="CB143" i="2" s="1"/>
  <c r="KA142" i="11"/>
  <c r="CC143" i="2" s="1"/>
  <c r="JI143" i="11"/>
  <c r="BK144" i="2" s="1"/>
  <c r="JJ143" i="11"/>
  <c r="BL144" i="2" s="1"/>
  <c r="JK143" i="11"/>
  <c r="BM144" i="2" s="1"/>
  <c r="JL143" i="11"/>
  <c r="BN144" i="2" s="1"/>
  <c r="JM143" i="11"/>
  <c r="BO144" i="2" s="1"/>
  <c r="JN143" i="11"/>
  <c r="BP144" i="2" s="1"/>
  <c r="JO143" i="11"/>
  <c r="BQ144" i="2" s="1"/>
  <c r="JP143" i="11"/>
  <c r="BR144" i="2" s="1"/>
  <c r="JQ143" i="11"/>
  <c r="BS144" i="2" s="1"/>
  <c r="JR143" i="11"/>
  <c r="BT144" i="2" s="1"/>
  <c r="JS143" i="11"/>
  <c r="BU144" i="2" s="1"/>
  <c r="JT143" i="11"/>
  <c r="BV144" i="2" s="1"/>
  <c r="JU143" i="11"/>
  <c r="BW144" i="2" s="1"/>
  <c r="JV143" i="11"/>
  <c r="BX144" i="2" s="1"/>
  <c r="JW143" i="11"/>
  <c r="BY144" i="2" s="1"/>
  <c r="JX143" i="11"/>
  <c r="BZ144" i="2" s="1"/>
  <c r="JY143" i="11"/>
  <c r="CA144" i="2" s="1"/>
  <c r="JZ143" i="11"/>
  <c r="CB144" i="2" s="1"/>
  <c r="KA143" i="11"/>
  <c r="CC144" i="2" s="1"/>
  <c r="JI144" i="11"/>
  <c r="BK145" i="2" s="1"/>
  <c r="JJ144" i="11"/>
  <c r="BL145" i="2" s="1"/>
  <c r="JK144" i="11"/>
  <c r="BM145" i="2" s="1"/>
  <c r="JL144" i="11"/>
  <c r="BN145" i="2" s="1"/>
  <c r="JM144" i="11"/>
  <c r="BO145" i="2" s="1"/>
  <c r="JN144" i="11"/>
  <c r="BP145" i="2" s="1"/>
  <c r="JO144" i="11"/>
  <c r="BQ145" i="2" s="1"/>
  <c r="JP144" i="11"/>
  <c r="BR145" i="2" s="1"/>
  <c r="JQ144" i="11"/>
  <c r="BS145" i="2" s="1"/>
  <c r="JR144" i="11"/>
  <c r="BT145" i="2" s="1"/>
  <c r="JS144" i="11"/>
  <c r="BU145" i="2" s="1"/>
  <c r="JT144" i="11"/>
  <c r="BV145" i="2" s="1"/>
  <c r="JU144" i="11"/>
  <c r="BW145" i="2" s="1"/>
  <c r="JV144" i="11"/>
  <c r="BX145" i="2" s="1"/>
  <c r="JW144" i="11"/>
  <c r="BY145" i="2" s="1"/>
  <c r="JX144" i="11"/>
  <c r="BZ145" i="2" s="1"/>
  <c r="JY144" i="11"/>
  <c r="CA145" i="2" s="1"/>
  <c r="JZ144" i="11"/>
  <c r="CB145" i="2" s="1"/>
  <c r="KA144" i="11"/>
  <c r="CC145" i="2" s="1"/>
  <c r="JI145" i="11"/>
  <c r="BK146" i="2" s="1"/>
  <c r="JJ145" i="11"/>
  <c r="BL146" i="2" s="1"/>
  <c r="JK145" i="11"/>
  <c r="BM146" i="2" s="1"/>
  <c r="JL145" i="11"/>
  <c r="BN146" i="2" s="1"/>
  <c r="JM145" i="11"/>
  <c r="BO146" i="2" s="1"/>
  <c r="JN145" i="11"/>
  <c r="BP146" i="2" s="1"/>
  <c r="JO145" i="11"/>
  <c r="BQ146" i="2" s="1"/>
  <c r="JP145" i="11"/>
  <c r="BR146" i="2" s="1"/>
  <c r="JQ145" i="11"/>
  <c r="BS146" i="2" s="1"/>
  <c r="JR145" i="11"/>
  <c r="BT146" i="2" s="1"/>
  <c r="JS145" i="11"/>
  <c r="BU146" i="2" s="1"/>
  <c r="JT145" i="11"/>
  <c r="BV146" i="2" s="1"/>
  <c r="JU145" i="11"/>
  <c r="BW146" i="2" s="1"/>
  <c r="JV145" i="11"/>
  <c r="BX146" i="2" s="1"/>
  <c r="JW145" i="11"/>
  <c r="BY146" i="2" s="1"/>
  <c r="JX145" i="11"/>
  <c r="BZ146" i="2" s="1"/>
  <c r="JY145" i="11"/>
  <c r="CA146" i="2" s="1"/>
  <c r="JZ145" i="11"/>
  <c r="CB146" i="2" s="1"/>
  <c r="KA145" i="11"/>
  <c r="CC146" i="2" s="1"/>
  <c r="JI146" i="11"/>
  <c r="BK147" i="2" s="1"/>
  <c r="JJ146" i="11"/>
  <c r="BL147" i="2" s="1"/>
  <c r="JK146" i="11"/>
  <c r="BM147" i="2" s="1"/>
  <c r="JL146" i="11"/>
  <c r="BN147" i="2" s="1"/>
  <c r="JM146" i="11"/>
  <c r="BO147" i="2" s="1"/>
  <c r="JN146" i="11"/>
  <c r="BP147" i="2" s="1"/>
  <c r="JO146" i="11"/>
  <c r="BQ147" i="2" s="1"/>
  <c r="JP146" i="11"/>
  <c r="BR147" i="2" s="1"/>
  <c r="JQ146" i="11"/>
  <c r="BS147" i="2" s="1"/>
  <c r="JR146" i="11"/>
  <c r="BT147" i="2" s="1"/>
  <c r="JS146" i="11"/>
  <c r="BU147" i="2" s="1"/>
  <c r="JT146" i="11"/>
  <c r="BV147" i="2" s="1"/>
  <c r="JU146" i="11"/>
  <c r="BW147" i="2" s="1"/>
  <c r="JV146" i="11"/>
  <c r="BX147" i="2" s="1"/>
  <c r="JW146" i="11"/>
  <c r="BY147" i="2" s="1"/>
  <c r="JX146" i="11"/>
  <c r="BZ147" i="2" s="1"/>
  <c r="JY146" i="11"/>
  <c r="CA147" i="2" s="1"/>
  <c r="JZ146" i="11"/>
  <c r="CB147" i="2" s="1"/>
  <c r="KA146" i="11"/>
  <c r="CC147" i="2" s="1"/>
  <c r="JI147" i="11"/>
  <c r="BK148" i="2" s="1"/>
  <c r="JJ147" i="11"/>
  <c r="BL148" i="2" s="1"/>
  <c r="JK147" i="11"/>
  <c r="BM148" i="2" s="1"/>
  <c r="JL147" i="11"/>
  <c r="BN148" i="2" s="1"/>
  <c r="JM147" i="11"/>
  <c r="BO148" i="2" s="1"/>
  <c r="JN147" i="11"/>
  <c r="BP148" i="2" s="1"/>
  <c r="JO147" i="11"/>
  <c r="BQ148" i="2" s="1"/>
  <c r="JP147" i="11"/>
  <c r="BR148" i="2" s="1"/>
  <c r="JQ147" i="11"/>
  <c r="BS148" i="2" s="1"/>
  <c r="JR147" i="11"/>
  <c r="BT148" i="2" s="1"/>
  <c r="JS147" i="11"/>
  <c r="BU148" i="2" s="1"/>
  <c r="JT147" i="11"/>
  <c r="BV148" i="2" s="1"/>
  <c r="JU147" i="11"/>
  <c r="BW148" i="2" s="1"/>
  <c r="JV147" i="11"/>
  <c r="BX148" i="2" s="1"/>
  <c r="JW147" i="11"/>
  <c r="BY148" i="2" s="1"/>
  <c r="JX147" i="11"/>
  <c r="BZ148" i="2" s="1"/>
  <c r="JY147" i="11"/>
  <c r="CA148" i="2" s="1"/>
  <c r="JZ147" i="11"/>
  <c r="CB148" i="2" s="1"/>
  <c r="KA147" i="11"/>
  <c r="CC148" i="2" s="1"/>
  <c r="JI148" i="11"/>
  <c r="BK149" i="2" s="1"/>
  <c r="JJ148" i="11"/>
  <c r="BL149" i="2" s="1"/>
  <c r="JK148" i="11"/>
  <c r="BM149" i="2" s="1"/>
  <c r="JL148" i="11"/>
  <c r="BN149" i="2" s="1"/>
  <c r="JM148" i="11"/>
  <c r="BO149" i="2" s="1"/>
  <c r="JN148" i="11"/>
  <c r="BP149" i="2" s="1"/>
  <c r="JO148" i="11"/>
  <c r="BQ149" i="2" s="1"/>
  <c r="JP148" i="11"/>
  <c r="BR149" i="2" s="1"/>
  <c r="JQ148" i="11"/>
  <c r="BS149" i="2" s="1"/>
  <c r="JR148" i="11"/>
  <c r="BT149" i="2" s="1"/>
  <c r="JS148" i="11"/>
  <c r="BU149" i="2" s="1"/>
  <c r="JT148" i="11"/>
  <c r="BV149" i="2" s="1"/>
  <c r="JU148" i="11"/>
  <c r="BW149" i="2" s="1"/>
  <c r="JV148" i="11"/>
  <c r="BX149" i="2" s="1"/>
  <c r="JW148" i="11"/>
  <c r="BY149" i="2" s="1"/>
  <c r="JX148" i="11"/>
  <c r="BZ149" i="2" s="1"/>
  <c r="JY148" i="11"/>
  <c r="CA149" i="2" s="1"/>
  <c r="JZ148" i="11"/>
  <c r="CB149" i="2" s="1"/>
  <c r="KA148" i="11"/>
  <c r="CC149" i="2" s="1"/>
  <c r="JI149" i="11"/>
  <c r="BK150" i="2" s="1"/>
  <c r="JJ149" i="11"/>
  <c r="BL150" i="2" s="1"/>
  <c r="JK149" i="11"/>
  <c r="BM150" i="2" s="1"/>
  <c r="JL149" i="11"/>
  <c r="BN150" i="2" s="1"/>
  <c r="JM149" i="11"/>
  <c r="BO150" i="2" s="1"/>
  <c r="JN149" i="11"/>
  <c r="BP150" i="2" s="1"/>
  <c r="JO149" i="11"/>
  <c r="BQ150" i="2" s="1"/>
  <c r="JP149" i="11"/>
  <c r="BR150" i="2" s="1"/>
  <c r="JQ149" i="11"/>
  <c r="BS150" i="2" s="1"/>
  <c r="JR149" i="11"/>
  <c r="BT150" i="2" s="1"/>
  <c r="JS149" i="11"/>
  <c r="BU150" i="2" s="1"/>
  <c r="JT149" i="11"/>
  <c r="BV150" i="2" s="1"/>
  <c r="JU149" i="11"/>
  <c r="BW150" i="2" s="1"/>
  <c r="JV149" i="11"/>
  <c r="BX150" i="2" s="1"/>
  <c r="JW149" i="11"/>
  <c r="BY150" i="2" s="1"/>
  <c r="JX149" i="11"/>
  <c r="BZ150" i="2" s="1"/>
  <c r="JY149" i="11"/>
  <c r="CA150" i="2" s="1"/>
  <c r="JZ149" i="11"/>
  <c r="CB150" i="2" s="1"/>
  <c r="KA149" i="11"/>
  <c r="CC150" i="2" s="1"/>
  <c r="JI150" i="11"/>
  <c r="BK151" i="2" s="1"/>
  <c r="JJ150" i="11"/>
  <c r="BL151" i="2" s="1"/>
  <c r="JK150" i="11"/>
  <c r="BM151" i="2" s="1"/>
  <c r="JL150" i="11"/>
  <c r="BN151" i="2" s="1"/>
  <c r="JM150" i="11"/>
  <c r="BO151" i="2" s="1"/>
  <c r="JN150" i="11"/>
  <c r="BP151" i="2" s="1"/>
  <c r="JO150" i="11"/>
  <c r="BQ151" i="2" s="1"/>
  <c r="JP150" i="11"/>
  <c r="BR151" i="2" s="1"/>
  <c r="JQ150" i="11"/>
  <c r="BS151" i="2" s="1"/>
  <c r="JR150" i="11"/>
  <c r="BT151" i="2" s="1"/>
  <c r="JS150" i="11"/>
  <c r="BU151" i="2" s="1"/>
  <c r="JT150" i="11"/>
  <c r="BV151" i="2" s="1"/>
  <c r="JU150" i="11"/>
  <c r="BW151" i="2" s="1"/>
  <c r="JV150" i="11"/>
  <c r="BX151" i="2" s="1"/>
  <c r="JW150" i="11"/>
  <c r="BY151" i="2" s="1"/>
  <c r="JX150" i="11"/>
  <c r="BZ151" i="2" s="1"/>
  <c r="JY150" i="11"/>
  <c r="CA151" i="2" s="1"/>
  <c r="JZ150" i="11"/>
  <c r="CB151" i="2" s="1"/>
  <c r="KA150" i="11"/>
  <c r="CC151" i="2" s="1"/>
  <c r="JI151" i="11"/>
  <c r="BK152" i="2" s="1"/>
  <c r="JJ151" i="11"/>
  <c r="BL152" i="2" s="1"/>
  <c r="JK151" i="11"/>
  <c r="BM152" i="2" s="1"/>
  <c r="JL151" i="11"/>
  <c r="BN152" i="2" s="1"/>
  <c r="JM151" i="11"/>
  <c r="BO152" i="2" s="1"/>
  <c r="JN151" i="11"/>
  <c r="BP152" i="2" s="1"/>
  <c r="JO151" i="11"/>
  <c r="BQ152" i="2" s="1"/>
  <c r="JP151" i="11"/>
  <c r="BR152" i="2" s="1"/>
  <c r="JQ151" i="11"/>
  <c r="BS152" i="2" s="1"/>
  <c r="JR151" i="11"/>
  <c r="BT152" i="2" s="1"/>
  <c r="JS151" i="11"/>
  <c r="BU152" i="2" s="1"/>
  <c r="JT151" i="11"/>
  <c r="BV152" i="2" s="1"/>
  <c r="JU151" i="11"/>
  <c r="BW152" i="2" s="1"/>
  <c r="JV151" i="11"/>
  <c r="BX152" i="2" s="1"/>
  <c r="JW151" i="11"/>
  <c r="BY152" i="2" s="1"/>
  <c r="JX151" i="11"/>
  <c r="BZ152" i="2" s="1"/>
  <c r="JY151" i="11"/>
  <c r="CA152" i="2" s="1"/>
  <c r="JZ151" i="11"/>
  <c r="CB152" i="2" s="1"/>
  <c r="KA151" i="11"/>
  <c r="CC152" i="2" s="1"/>
  <c r="JI152" i="11"/>
  <c r="BK153" i="2" s="1"/>
  <c r="JJ152" i="11"/>
  <c r="BL153" i="2" s="1"/>
  <c r="JK152" i="11"/>
  <c r="BM153" i="2" s="1"/>
  <c r="JL152" i="11"/>
  <c r="BN153" i="2" s="1"/>
  <c r="JM152" i="11"/>
  <c r="BO153" i="2" s="1"/>
  <c r="JN152" i="11"/>
  <c r="BP153" i="2" s="1"/>
  <c r="JO152" i="11"/>
  <c r="BQ153" i="2" s="1"/>
  <c r="JP152" i="11"/>
  <c r="BR153" i="2" s="1"/>
  <c r="JQ152" i="11"/>
  <c r="BS153" i="2" s="1"/>
  <c r="JR152" i="11"/>
  <c r="BT153" i="2" s="1"/>
  <c r="JS152" i="11"/>
  <c r="BU153" i="2" s="1"/>
  <c r="JT152" i="11"/>
  <c r="BV153" i="2" s="1"/>
  <c r="JU152" i="11"/>
  <c r="BW153" i="2" s="1"/>
  <c r="JV152" i="11"/>
  <c r="BX153" i="2" s="1"/>
  <c r="JW152" i="11"/>
  <c r="BY153" i="2" s="1"/>
  <c r="JX152" i="11"/>
  <c r="BZ153" i="2" s="1"/>
  <c r="JY152" i="11"/>
  <c r="CA153" i="2" s="1"/>
  <c r="JZ152" i="11"/>
  <c r="CB153" i="2" s="1"/>
  <c r="KA152" i="11"/>
  <c r="CC153" i="2" s="1"/>
  <c r="JI153" i="11"/>
  <c r="BK154" i="2" s="1"/>
  <c r="JJ153" i="11"/>
  <c r="BL154" i="2" s="1"/>
  <c r="JK153" i="11"/>
  <c r="BM154" i="2" s="1"/>
  <c r="JL153" i="11"/>
  <c r="BN154" i="2" s="1"/>
  <c r="JM153" i="11"/>
  <c r="BO154" i="2" s="1"/>
  <c r="JN153" i="11"/>
  <c r="BP154" i="2" s="1"/>
  <c r="JO153" i="11"/>
  <c r="BQ154" i="2" s="1"/>
  <c r="JP153" i="11"/>
  <c r="BR154" i="2" s="1"/>
  <c r="JQ153" i="11"/>
  <c r="BS154" i="2" s="1"/>
  <c r="JR153" i="11"/>
  <c r="BT154" i="2" s="1"/>
  <c r="JS153" i="11"/>
  <c r="BU154" i="2" s="1"/>
  <c r="JT153" i="11"/>
  <c r="BV154" i="2" s="1"/>
  <c r="JU153" i="11"/>
  <c r="BW154" i="2" s="1"/>
  <c r="JV153" i="11"/>
  <c r="BX154" i="2" s="1"/>
  <c r="JW153" i="11"/>
  <c r="BY154" i="2" s="1"/>
  <c r="JX153" i="11"/>
  <c r="BZ154" i="2" s="1"/>
  <c r="JY153" i="11"/>
  <c r="CA154" i="2" s="1"/>
  <c r="JZ153" i="11"/>
  <c r="CB154" i="2" s="1"/>
  <c r="KA153" i="11"/>
  <c r="CC154" i="2" s="1"/>
  <c r="JI154" i="11"/>
  <c r="BK155" i="2" s="1"/>
  <c r="JJ154" i="11"/>
  <c r="BL155" i="2" s="1"/>
  <c r="JK154" i="11"/>
  <c r="BM155" i="2" s="1"/>
  <c r="JL154" i="11"/>
  <c r="BN155" i="2" s="1"/>
  <c r="JM154" i="11"/>
  <c r="BO155" i="2" s="1"/>
  <c r="JN154" i="11"/>
  <c r="BP155" i="2" s="1"/>
  <c r="JO154" i="11"/>
  <c r="BQ155" i="2" s="1"/>
  <c r="JP154" i="11"/>
  <c r="BR155" i="2" s="1"/>
  <c r="JQ154" i="11"/>
  <c r="BS155" i="2" s="1"/>
  <c r="JR154" i="11"/>
  <c r="BT155" i="2" s="1"/>
  <c r="JS154" i="11"/>
  <c r="BU155" i="2" s="1"/>
  <c r="JT154" i="11"/>
  <c r="BV155" i="2" s="1"/>
  <c r="JU154" i="11"/>
  <c r="BW155" i="2" s="1"/>
  <c r="JV154" i="11"/>
  <c r="BX155" i="2" s="1"/>
  <c r="JW154" i="11"/>
  <c r="BY155" i="2" s="1"/>
  <c r="JX154" i="11"/>
  <c r="BZ155" i="2" s="1"/>
  <c r="JY154" i="11"/>
  <c r="CA155" i="2" s="1"/>
  <c r="JZ154" i="11"/>
  <c r="CB155" i="2" s="1"/>
  <c r="KA154" i="11"/>
  <c r="CC155" i="2" s="1"/>
  <c r="JI155" i="11"/>
  <c r="BK156" i="2" s="1"/>
  <c r="JJ155" i="11"/>
  <c r="BL156" i="2" s="1"/>
  <c r="JK155" i="11"/>
  <c r="BM156" i="2" s="1"/>
  <c r="JL155" i="11"/>
  <c r="BN156" i="2" s="1"/>
  <c r="JM155" i="11"/>
  <c r="BO156" i="2" s="1"/>
  <c r="JN155" i="11"/>
  <c r="BP156" i="2" s="1"/>
  <c r="JO155" i="11"/>
  <c r="BQ156" i="2" s="1"/>
  <c r="JP155" i="11"/>
  <c r="BR156" i="2" s="1"/>
  <c r="JQ155" i="11"/>
  <c r="BS156" i="2" s="1"/>
  <c r="JR155" i="11"/>
  <c r="BT156" i="2" s="1"/>
  <c r="JS155" i="11"/>
  <c r="BU156" i="2" s="1"/>
  <c r="JT155" i="11"/>
  <c r="BV156" i="2" s="1"/>
  <c r="JU155" i="11"/>
  <c r="BW156" i="2" s="1"/>
  <c r="JV155" i="11"/>
  <c r="BX156" i="2" s="1"/>
  <c r="JW155" i="11"/>
  <c r="BY156" i="2" s="1"/>
  <c r="JX155" i="11"/>
  <c r="BZ156" i="2" s="1"/>
  <c r="JY155" i="11"/>
  <c r="CA156" i="2" s="1"/>
  <c r="JZ155" i="11"/>
  <c r="CB156" i="2" s="1"/>
  <c r="KA155" i="11"/>
  <c r="CC156" i="2" s="1"/>
  <c r="JI156" i="11"/>
  <c r="BK157" i="2" s="1"/>
  <c r="JJ156" i="11"/>
  <c r="BL157" i="2" s="1"/>
  <c r="JK156" i="11"/>
  <c r="BM157" i="2" s="1"/>
  <c r="JL156" i="11"/>
  <c r="BN157" i="2" s="1"/>
  <c r="JM156" i="11"/>
  <c r="BO157" i="2" s="1"/>
  <c r="JN156" i="11"/>
  <c r="BP157" i="2" s="1"/>
  <c r="JO156" i="11"/>
  <c r="BQ157" i="2" s="1"/>
  <c r="JP156" i="11"/>
  <c r="BR157" i="2" s="1"/>
  <c r="JQ156" i="11"/>
  <c r="BS157" i="2" s="1"/>
  <c r="JR156" i="11"/>
  <c r="BT157" i="2" s="1"/>
  <c r="JS156" i="11"/>
  <c r="BU157" i="2" s="1"/>
  <c r="JT156" i="11"/>
  <c r="BV157" i="2" s="1"/>
  <c r="JU156" i="11"/>
  <c r="BW157" i="2" s="1"/>
  <c r="JV156" i="11"/>
  <c r="BX157" i="2" s="1"/>
  <c r="JW156" i="11"/>
  <c r="BY157" i="2" s="1"/>
  <c r="JX156" i="11"/>
  <c r="BZ157" i="2" s="1"/>
  <c r="JY156" i="11"/>
  <c r="CA157" i="2" s="1"/>
  <c r="JZ156" i="11"/>
  <c r="CB157" i="2" s="1"/>
  <c r="BP10" i="5" s="1" a="1"/>
  <c r="BP10" i="5" s="1"/>
  <c r="KA156" i="11"/>
  <c r="CC157" i="2" s="1"/>
  <c r="JI157" i="11"/>
  <c r="BK158" i="2" s="1"/>
  <c r="JJ157" i="11"/>
  <c r="BL158" i="2" s="1"/>
  <c r="JK157" i="11"/>
  <c r="BM158" i="2" s="1"/>
  <c r="JL157" i="11"/>
  <c r="BN158" i="2" s="1"/>
  <c r="JM157" i="11"/>
  <c r="BO158" i="2" s="1"/>
  <c r="JN157" i="11"/>
  <c r="BP158" i="2" s="1"/>
  <c r="JO157" i="11"/>
  <c r="BQ158" i="2" s="1"/>
  <c r="JP157" i="11"/>
  <c r="BR158" i="2" s="1"/>
  <c r="JQ157" i="11"/>
  <c r="BS158" i="2" s="1"/>
  <c r="JR157" i="11"/>
  <c r="BT158" i="2" s="1"/>
  <c r="JS157" i="11"/>
  <c r="BU158" i="2" s="1"/>
  <c r="JT157" i="11"/>
  <c r="BV158" i="2" s="1"/>
  <c r="JU157" i="11"/>
  <c r="BW158" i="2" s="1"/>
  <c r="JV157" i="11"/>
  <c r="BX158" i="2" s="1"/>
  <c r="JW157" i="11"/>
  <c r="BY158" i="2" s="1"/>
  <c r="JX157" i="11"/>
  <c r="BZ158" i="2" s="1"/>
  <c r="JY157" i="11"/>
  <c r="CA158" i="2" s="1"/>
  <c r="JZ157" i="11"/>
  <c r="CB158" i="2" s="1"/>
  <c r="KA157" i="11"/>
  <c r="CC158" i="2" s="1"/>
  <c r="JI158" i="11"/>
  <c r="BK159" i="2" s="1"/>
  <c r="JJ158" i="11"/>
  <c r="BL159" i="2" s="1"/>
  <c r="JK158" i="11"/>
  <c r="BM159" i="2" s="1"/>
  <c r="JL158" i="11"/>
  <c r="BN159" i="2" s="1"/>
  <c r="JM158" i="11"/>
  <c r="BO159" i="2" s="1"/>
  <c r="JN158" i="11"/>
  <c r="BP159" i="2" s="1"/>
  <c r="JO158" i="11"/>
  <c r="BQ159" i="2" s="1"/>
  <c r="JP158" i="11"/>
  <c r="BR159" i="2" s="1"/>
  <c r="JQ158" i="11"/>
  <c r="BS159" i="2" s="1"/>
  <c r="JR158" i="11"/>
  <c r="BT159" i="2" s="1"/>
  <c r="JS158" i="11"/>
  <c r="BU159" i="2" s="1"/>
  <c r="JT158" i="11"/>
  <c r="BV159" i="2" s="1"/>
  <c r="JU158" i="11"/>
  <c r="BW159" i="2" s="1"/>
  <c r="JV158" i="11"/>
  <c r="BX159" i="2" s="1"/>
  <c r="JW158" i="11"/>
  <c r="BY159" i="2" s="1"/>
  <c r="JX158" i="11"/>
  <c r="BZ159" i="2" s="1"/>
  <c r="JY158" i="11"/>
  <c r="CA159" i="2" s="1"/>
  <c r="JZ158" i="11"/>
  <c r="CB159" i="2" s="1"/>
  <c r="KA158" i="11"/>
  <c r="CC159" i="2" s="1"/>
  <c r="JI159" i="11"/>
  <c r="BK160" i="2" s="1"/>
  <c r="JJ159" i="11"/>
  <c r="BL160" i="2" s="1"/>
  <c r="JK159" i="11"/>
  <c r="BM160" i="2" s="1"/>
  <c r="JL159" i="11"/>
  <c r="BN160" i="2" s="1"/>
  <c r="JM159" i="11"/>
  <c r="BO160" i="2" s="1"/>
  <c r="JN159" i="11"/>
  <c r="BP160" i="2" s="1"/>
  <c r="JO159" i="11"/>
  <c r="BQ160" i="2" s="1"/>
  <c r="JP159" i="11"/>
  <c r="BR160" i="2" s="1"/>
  <c r="JQ159" i="11"/>
  <c r="BS160" i="2" s="1"/>
  <c r="JR159" i="11"/>
  <c r="BT160" i="2" s="1"/>
  <c r="JS159" i="11"/>
  <c r="BU160" i="2" s="1"/>
  <c r="JT159" i="11"/>
  <c r="BV160" i="2" s="1"/>
  <c r="JU159" i="11"/>
  <c r="BW160" i="2" s="1"/>
  <c r="JV159" i="11"/>
  <c r="BX160" i="2" s="1"/>
  <c r="JW159" i="11"/>
  <c r="BY160" i="2" s="1"/>
  <c r="JX159" i="11"/>
  <c r="BZ160" i="2" s="1"/>
  <c r="JY159" i="11"/>
  <c r="CA160" i="2" s="1"/>
  <c r="JZ159" i="11"/>
  <c r="CB160" i="2" s="1"/>
  <c r="KA159" i="11"/>
  <c r="CC160" i="2" s="1"/>
  <c r="JI160" i="11"/>
  <c r="BK161" i="2" s="1"/>
  <c r="JJ160" i="11"/>
  <c r="BL161" i="2" s="1"/>
  <c r="JK160" i="11"/>
  <c r="BM161" i="2" s="1"/>
  <c r="JL160" i="11"/>
  <c r="BN161" i="2" s="1"/>
  <c r="JM160" i="11"/>
  <c r="BO161" i="2" s="1"/>
  <c r="JN160" i="11"/>
  <c r="BP161" i="2" s="1"/>
  <c r="JO160" i="11"/>
  <c r="BQ161" i="2" s="1"/>
  <c r="JP160" i="11"/>
  <c r="BR161" i="2" s="1"/>
  <c r="JQ160" i="11"/>
  <c r="BS161" i="2" s="1"/>
  <c r="JR160" i="11"/>
  <c r="BT161" i="2" s="1"/>
  <c r="JS160" i="11"/>
  <c r="BU161" i="2" s="1"/>
  <c r="JT160" i="11"/>
  <c r="BV161" i="2" s="1"/>
  <c r="JU160" i="11"/>
  <c r="BW161" i="2" s="1"/>
  <c r="JV160" i="11"/>
  <c r="BX161" i="2" s="1"/>
  <c r="JW160" i="11"/>
  <c r="BY161" i="2" s="1"/>
  <c r="JX160" i="11"/>
  <c r="BZ161" i="2" s="1"/>
  <c r="JY160" i="11"/>
  <c r="CA161" i="2" s="1"/>
  <c r="JZ160" i="11"/>
  <c r="CB161" i="2" s="1"/>
  <c r="KA160" i="11"/>
  <c r="CC161" i="2" s="1"/>
  <c r="JI161" i="11"/>
  <c r="BK162" i="2" s="1"/>
  <c r="JJ161" i="11"/>
  <c r="BL162" i="2" s="1"/>
  <c r="JK161" i="11"/>
  <c r="BM162" i="2" s="1"/>
  <c r="JL161" i="11"/>
  <c r="BN162" i="2" s="1"/>
  <c r="JM161" i="11"/>
  <c r="BO162" i="2" s="1"/>
  <c r="JN161" i="11"/>
  <c r="BP162" i="2" s="1"/>
  <c r="JO161" i="11"/>
  <c r="BQ162" i="2" s="1"/>
  <c r="JP161" i="11"/>
  <c r="BR162" i="2" s="1"/>
  <c r="JQ161" i="11"/>
  <c r="BS162" i="2" s="1"/>
  <c r="JR161" i="11"/>
  <c r="BT162" i="2" s="1"/>
  <c r="JS161" i="11"/>
  <c r="BU162" i="2" s="1"/>
  <c r="JT161" i="11"/>
  <c r="BV162" i="2" s="1"/>
  <c r="JU161" i="11"/>
  <c r="BW162" i="2" s="1"/>
  <c r="JV161" i="11"/>
  <c r="BX162" i="2" s="1"/>
  <c r="JW161" i="11"/>
  <c r="BY162" i="2" s="1"/>
  <c r="JX161" i="11"/>
  <c r="BZ162" i="2" s="1"/>
  <c r="JY161" i="11"/>
  <c r="CA162" i="2" s="1"/>
  <c r="JZ161" i="11"/>
  <c r="CB162" i="2" s="1"/>
  <c r="KA161" i="11"/>
  <c r="CC162" i="2" s="1"/>
  <c r="JI162" i="11"/>
  <c r="BK163" i="2" s="1"/>
  <c r="JJ162" i="11"/>
  <c r="BL163" i="2" s="1"/>
  <c r="JK162" i="11"/>
  <c r="BM163" i="2" s="1"/>
  <c r="JL162" i="11"/>
  <c r="BN163" i="2" s="1"/>
  <c r="JM162" i="11"/>
  <c r="BO163" i="2" s="1"/>
  <c r="JN162" i="11"/>
  <c r="BP163" i="2" s="1"/>
  <c r="JO162" i="11"/>
  <c r="BQ163" i="2" s="1"/>
  <c r="JP162" i="11"/>
  <c r="BR163" i="2" s="1"/>
  <c r="JQ162" i="11"/>
  <c r="BS163" i="2" s="1"/>
  <c r="JR162" i="11"/>
  <c r="BT163" i="2" s="1"/>
  <c r="JS162" i="11"/>
  <c r="BU163" i="2" s="1"/>
  <c r="JT162" i="11"/>
  <c r="BV163" i="2" s="1"/>
  <c r="JU162" i="11"/>
  <c r="BW163" i="2" s="1"/>
  <c r="JV162" i="11"/>
  <c r="BX163" i="2" s="1"/>
  <c r="JW162" i="11"/>
  <c r="BY163" i="2" s="1"/>
  <c r="JX162" i="11"/>
  <c r="BZ163" i="2" s="1"/>
  <c r="JY162" i="11"/>
  <c r="CA163" i="2" s="1"/>
  <c r="JZ162" i="11"/>
  <c r="CB163" i="2" s="1"/>
  <c r="KA162" i="11"/>
  <c r="CC163" i="2" s="1"/>
  <c r="JI163" i="11"/>
  <c r="BK164" i="2" s="1"/>
  <c r="JJ163" i="11"/>
  <c r="BL164" i="2" s="1"/>
  <c r="JK163" i="11"/>
  <c r="BM164" i="2" s="1"/>
  <c r="JL163" i="11"/>
  <c r="BN164" i="2" s="1"/>
  <c r="JM163" i="11"/>
  <c r="BO164" i="2" s="1"/>
  <c r="JN163" i="11"/>
  <c r="BP164" i="2" s="1"/>
  <c r="JO163" i="11"/>
  <c r="BQ164" i="2" s="1"/>
  <c r="JP163" i="11"/>
  <c r="BR164" i="2" s="1"/>
  <c r="JQ163" i="11"/>
  <c r="BS164" i="2" s="1"/>
  <c r="JR163" i="11"/>
  <c r="BT164" i="2" s="1"/>
  <c r="JS163" i="11"/>
  <c r="BU164" i="2" s="1"/>
  <c r="JT163" i="11"/>
  <c r="BV164" i="2" s="1"/>
  <c r="JU163" i="11"/>
  <c r="BW164" i="2" s="1"/>
  <c r="JV163" i="11"/>
  <c r="BX164" i="2" s="1"/>
  <c r="JW163" i="11"/>
  <c r="BY164" i="2" s="1"/>
  <c r="JX163" i="11"/>
  <c r="BZ164" i="2" s="1"/>
  <c r="JY163" i="11"/>
  <c r="CA164" i="2" s="1"/>
  <c r="JZ163" i="11"/>
  <c r="CB164" i="2" s="1"/>
  <c r="KA163" i="11"/>
  <c r="CC164" i="2" s="1"/>
  <c r="JI164" i="11"/>
  <c r="BK165" i="2" s="1"/>
  <c r="JJ164" i="11"/>
  <c r="BL165" i="2" s="1"/>
  <c r="JK164" i="11"/>
  <c r="BM165" i="2" s="1"/>
  <c r="JL164" i="11"/>
  <c r="BN165" i="2" s="1"/>
  <c r="JM164" i="11"/>
  <c r="BO165" i="2" s="1"/>
  <c r="JN164" i="11"/>
  <c r="BP165" i="2" s="1"/>
  <c r="JO164" i="11"/>
  <c r="BQ165" i="2" s="1"/>
  <c r="JP164" i="11"/>
  <c r="BR165" i="2" s="1"/>
  <c r="JQ164" i="11"/>
  <c r="BS165" i="2" s="1"/>
  <c r="JR164" i="11"/>
  <c r="BT165" i="2" s="1"/>
  <c r="JS164" i="11"/>
  <c r="BU165" i="2" s="1"/>
  <c r="JT164" i="11"/>
  <c r="BV165" i="2" s="1"/>
  <c r="JU164" i="11"/>
  <c r="BW165" i="2" s="1"/>
  <c r="JV164" i="11"/>
  <c r="BX165" i="2" s="1"/>
  <c r="JW164" i="11"/>
  <c r="BY165" i="2" s="1"/>
  <c r="JX164" i="11"/>
  <c r="BZ165" i="2" s="1"/>
  <c r="JY164" i="11"/>
  <c r="CA165" i="2" s="1"/>
  <c r="JZ164" i="11"/>
  <c r="CB165" i="2" s="1"/>
  <c r="KA164" i="11"/>
  <c r="CC165" i="2" s="1"/>
  <c r="JI165" i="11"/>
  <c r="BK166" i="2" s="1"/>
  <c r="JJ165" i="11"/>
  <c r="BL166" i="2" s="1"/>
  <c r="JK165" i="11"/>
  <c r="BM166" i="2" s="1"/>
  <c r="JL165" i="11"/>
  <c r="BN166" i="2" s="1"/>
  <c r="JM165" i="11"/>
  <c r="BO166" i="2" s="1"/>
  <c r="JN165" i="11"/>
  <c r="BP166" i="2" s="1"/>
  <c r="JO165" i="11"/>
  <c r="BQ166" i="2" s="1"/>
  <c r="JP165" i="11"/>
  <c r="BR166" i="2" s="1"/>
  <c r="JQ165" i="11"/>
  <c r="BS166" i="2" s="1"/>
  <c r="JR165" i="11"/>
  <c r="BT166" i="2" s="1"/>
  <c r="JS165" i="11"/>
  <c r="BU166" i="2" s="1"/>
  <c r="JT165" i="11"/>
  <c r="BV166" i="2" s="1"/>
  <c r="JU165" i="11"/>
  <c r="BW166" i="2" s="1"/>
  <c r="JV165" i="11"/>
  <c r="BX166" i="2" s="1"/>
  <c r="JW165" i="11"/>
  <c r="BY166" i="2" s="1"/>
  <c r="JX165" i="11"/>
  <c r="BZ166" i="2" s="1"/>
  <c r="JY165" i="11"/>
  <c r="CA166" i="2" s="1"/>
  <c r="JZ165" i="11"/>
  <c r="CB166" i="2" s="1"/>
  <c r="KA165" i="11"/>
  <c r="CC166" i="2" s="1"/>
  <c r="JI166" i="11"/>
  <c r="BK167" i="2" s="1"/>
  <c r="JJ166" i="11"/>
  <c r="BL167" i="2" s="1"/>
  <c r="JK166" i="11"/>
  <c r="BM167" i="2" s="1"/>
  <c r="JL166" i="11"/>
  <c r="BN167" i="2" s="1"/>
  <c r="JM166" i="11"/>
  <c r="BO167" i="2" s="1"/>
  <c r="JN166" i="11"/>
  <c r="BP167" i="2" s="1"/>
  <c r="JO166" i="11"/>
  <c r="BQ167" i="2" s="1"/>
  <c r="JP166" i="11"/>
  <c r="BR167" i="2" s="1"/>
  <c r="JQ166" i="11"/>
  <c r="BS167" i="2" s="1"/>
  <c r="JR166" i="11"/>
  <c r="BT167" i="2" s="1"/>
  <c r="JS166" i="11"/>
  <c r="BU167" i="2" s="1"/>
  <c r="JT166" i="11"/>
  <c r="BV167" i="2" s="1"/>
  <c r="JU166" i="11"/>
  <c r="BW167" i="2" s="1"/>
  <c r="JV166" i="11"/>
  <c r="BX167" i="2" s="1"/>
  <c r="JW166" i="11"/>
  <c r="BY167" i="2" s="1"/>
  <c r="JX166" i="11"/>
  <c r="BZ167" i="2" s="1"/>
  <c r="JY166" i="11"/>
  <c r="CA167" i="2" s="1"/>
  <c r="JZ166" i="11"/>
  <c r="CB167" i="2" s="1"/>
  <c r="KA166" i="11"/>
  <c r="CC167" i="2" s="1"/>
  <c r="JI167" i="11"/>
  <c r="BK168" i="2" s="1"/>
  <c r="JJ167" i="11"/>
  <c r="BL168" i="2" s="1"/>
  <c r="JK167" i="11"/>
  <c r="BM168" i="2" s="1"/>
  <c r="JL167" i="11"/>
  <c r="BN168" i="2" s="1"/>
  <c r="JM167" i="11"/>
  <c r="BO168" i="2" s="1"/>
  <c r="JN167" i="11"/>
  <c r="BP168" i="2" s="1"/>
  <c r="JO167" i="11"/>
  <c r="BQ168" i="2" s="1"/>
  <c r="JP167" i="11"/>
  <c r="BR168" i="2" s="1"/>
  <c r="JQ167" i="11"/>
  <c r="BS168" i="2" s="1"/>
  <c r="JR167" i="11"/>
  <c r="BT168" i="2" s="1"/>
  <c r="JS167" i="11"/>
  <c r="BU168" i="2" s="1"/>
  <c r="JT167" i="11"/>
  <c r="BV168" i="2" s="1"/>
  <c r="JU167" i="11"/>
  <c r="BW168" i="2" s="1"/>
  <c r="JV167" i="11"/>
  <c r="BX168" i="2" s="1"/>
  <c r="JW167" i="11"/>
  <c r="BY168" i="2" s="1"/>
  <c r="JX167" i="11"/>
  <c r="BZ168" i="2" s="1"/>
  <c r="JY167" i="11"/>
  <c r="CA168" i="2" s="1"/>
  <c r="JZ167" i="11"/>
  <c r="CB168" i="2" s="1"/>
  <c r="KA167" i="11"/>
  <c r="CC168" i="2" s="1"/>
  <c r="JI168" i="11"/>
  <c r="BK169" i="2" s="1"/>
  <c r="JJ168" i="11"/>
  <c r="BL169" i="2" s="1"/>
  <c r="JK168" i="11"/>
  <c r="BM169" i="2" s="1"/>
  <c r="JL168" i="11"/>
  <c r="BN169" i="2" s="1"/>
  <c r="JM168" i="11"/>
  <c r="BO169" i="2" s="1"/>
  <c r="JN168" i="11"/>
  <c r="BP169" i="2" s="1"/>
  <c r="JO168" i="11"/>
  <c r="BQ169" i="2" s="1"/>
  <c r="JP168" i="11"/>
  <c r="BR169" i="2" s="1"/>
  <c r="JQ168" i="11"/>
  <c r="BS169" i="2" s="1"/>
  <c r="JR168" i="11"/>
  <c r="BT169" i="2" s="1"/>
  <c r="JS168" i="11"/>
  <c r="BU169" i="2" s="1"/>
  <c r="JT168" i="11"/>
  <c r="BV169" i="2" s="1"/>
  <c r="JU168" i="11"/>
  <c r="BW169" i="2" s="1"/>
  <c r="JV168" i="11"/>
  <c r="BX169" i="2" s="1"/>
  <c r="JW168" i="11"/>
  <c r="BY169" i="2" s="1"/>
  <c r="JX168" i="11"/>
  <c r="BZ169" i="2" s="1"/>
  <c r="JY168" i="11"/>
  <c r="CA169" i="2" s="1"/>
  <c r="JZ168" i="11"/>
  <c r="CB169" i="2" s="1"/>
  <c r="KA168" i="11"/>
  <c r="CC169" i="2" s="1"/>
  <c r="JI169" i="11"/>
  <c r="BK170" i="2" s="1"/>
  <c r="JJ169" i="11"/>
  <c r="BL170" i="2" s="1"/>
  <c r="JK169" i="11"/>
  <c r="BM170" i="2" s="1"/>
  <c r="JL169" i="11"/>
  <c r="BN170" i="2" s="1"/>
  <c r="JM169" i="11"/>
  <c r="BO170" i="2" s="1"/>
  <c r="JN169" i="11"/>
  <c r="BP170" i="2" s="1"/>
  <c r="JO169" i="11"/>
  <c r="BQ170" i="2" s="1"/>
  <c r="JP169" i="11"/>
  <c r="BR170" i="2" s="1"/>
  <c r="JQ169" i="11"/>
  <c r="BS170" i="2" s="1"/>
  <c r="JR169" i="11"/>
  <c r="BT170" i="2" s="1"/>
  <c r="JS169" i="11"/>
  <c r="BU170" i="2" s="1"/>
  <c r="JT169" i="11"/>
  <c r="BV170" i="2" s="1"/>
  <c r="JU169" i="11"/>
  <c r="BW170" i="2" s="1"/>
  <c r="JV169" i="11"/>
  <c r="BX170" i="2" s="1"/>
  <c r="JW169" i="11"/>
  <c r="BY170" i="2" s="1"/>
  <c r="JX169" i="11"/>
  <c r="BZ170" i="2" s="1"/>
  <c r="JY169" i="11"/>
  <c r="CA170" i="2" s="1"/>
  <c r="JZ169" i="11"/>
  <c r="CB170" i="2" s="1"/>
  <c r="KA169" i="11"/>
  <c r="CC170" i="2" s="1"/>
  <c r="JI170" i="11"/>
  <c r="BK171" i="2" s="1"/>
  <c r="JJ170" i="11"/>
  <c r="BL171" i="2" s="1"/>
  <c r="JK170" i="11"/>
  <c r="BM171" i="2" s="1"/>
  <c r="JL170" i="11"/>
  <c r="BN171" i="2" s="1"/>
  <c r="JM170" i="11"/>
  <c r="BO171" i="2" s="1"/>
  <c r="JN170" i="11"/>
  <c r="BP171" i="2" s="1"/>
  <c r="JO170" i="11"/>
  <c r="BQ171" i="2" s="1"/>
  <c r="JP170" i="11"/>
  <c r="BR171" i="2" s="1"/>
  <c r="JQ170" i="11"/>
  <c r="BS171" i="2" s="1"/>
  <c r="JR170" i="11"/>
  <c r="BT171" i="2" s="1"/>
  <c r="JS170" i="11"/>
  <c r="BU171" i="2" s="1"/>
  <c r="JT170" i="11"/>
  <c r="BV171" i="2" s="1"/>
  <c r="JU170" i="11"/>
  <c r="BW171" i="2" s="1"/>
  <c r="JV170" i="11"/>
  <c r="BX171" i="2" s="1"/>
  <c r="JW170" i="11"/>
  <c r="BY171" i="2" s="1"/>
  <c r="JX170" i="11"/>
  <c r="BZ171" i="2" s="1"/>
  <c r="JY170" i="11"/>
  <c r="CA171" i="2" s="1"/>
  <c r="JZ170" i="11"/>
  <c r="CB171" i="2" s="1"/>
  <c r="KA170" i="11"/>
  <c r="CC171" i="2" s="1"/>
  <c r="JI171" i="11"/>
  <c r="BK172" i="2" s="1"/>
  <c r="JJ171" i="11"/>
  <c r="BL172" i="2" s="1"/>
  <c r="JK171" i="11"/>
  <c r="BM172" i="2" s="1"/>
  <c r="JL171" i="11"/>
  <c r="BN172" i="2" s="1"/>
  <c r="JM171" i="11"/>
  <c r="BO172" i="2" s="1"/>
  <c r="JN171" i="11"/>
  <c r="BP172" i="2" s="1"/>
  <c r="JO171" i="11"/>
  <c r="BQ172" i="2" s="1"/>
  <c r="JP171" i="11"/>
  <c r="BR172" i="2" s="1"/>
  <c r="JQ171" i="11"/>
  <c r="BS172" i="2" s="1"/>
  <c r="JR171" i="11"/>
  <c r="BT172" i="2" s="1"/>
  <c r="JS171" i="11"/>
  <c r="BU172" i="2" s="1"/>
  <c r="JT171" i="11"/>
  <c r="BV172" i="2" s="1"/>
  <c r="JU171" i="11"/>
  <c r="BW172" i="2" s="1"/>
  <c r="JV171" i="11"/>
  <c r="BX172" i="2" s="1"/>
  <c r="JW171" i="11"/>
  <c r="BY172" i="2" s="1"/>
  <c r="JX171" i="11"/>
  <c r="BZ172" i="2" s="1"/>
  <c r="JY171" i="11"/>
  <c r="CA172" i="2" s="1"/>
  <c r="JZ171" i="11"/>
  <c r="CB172" i="2" s="1"/>
  <c r="KA171" i="11"/>
  <c r="CC172" i="2" s="1"/>
  <c r="JI172" i="11"/>
  <c r="BK173" i="2" s="1"/>
  <c r="JJ172" i="11"/>
  <c r="BL173" i="2" s="1"/>
  <c r="JK172" i="11"/>
  <c r="BM173" i="2" s="1"/>
  <c r="JL172" i="11"/>
  <c r="BN173" i="2" s="1"/>
  <c r="JM172" i="11"/>
  <c r="BO173" i="2" s="1"/>
  <c r="JN172" i="11"/>
  <c r="BP173" i="2" s="1"/>
  <c r="JO172" i="11"/>
  <c r="BQ173" i="2" s="1"/>
  <c r="JP172" i="11"/>
  <c r="BR173" i="2" s="1"/>
  <c r="JQ172" i="11"/>
  <c r="BS173" i="2" s="1"/>
  <c r="JR172" i="11"/>
  <c r="BT173" i="2" s="1"/>
  <c r="JS172" i="11"/>
  <c r="BU173" i="2" s="1"/>
  <c r="JT172" i="11"/>
  <c r="BV173" i="2" s="1"/>
  <c r="JU172" i="11"/>
  <c r="BW173" i="2" s="1"/>
  <c r="JV172" i="11"/>
  <c r="BX173" i="2" s="1"/>
  <c r="JW172" i="11"/>
  <c r="BY173" i="2" s="1"/>
  <c r="JX172" i="11"/>
  <c r="BZ173" i="2" s="1"/>
  <c r="JY172" i="11"/>
  <c r="CA173" i="2" s="1"/>
  <c r="JZ172" i="11"/>
  <c r="CB173" i="2" s="1"/>
  <c r="KA172" i="11"/>
  <c r="CC173" i="2" s="1"/>
  <c r="JI173" i="11"/>
  <c r="BK174" i="2" s="1"/>
  <c r="JJ173" i="11"/>
  <c r="BL174" i="2" s="1"/>
  <c r="JK173" i="11"/>
  <c r="BM174" i="2" s="1"/>
  <c r="JL173" i="11"/>
  <c r="BN174" i="2" s="1"/>
  <c r="JM173" i="11"/>
  <c r="BO174" i="2" s="1"/>
  <c r="JN173" i="11"/>
  <c r="BP174" i="2" s="1"/>
  <c r="JO173" i="11"/>
  <c r="BQ174" i="2" s="1"/>
  <c r="JP173" i="11"/>
  <c r="BR174" i="2" s="1"/>
  <c r="JQ173" i="11"/>
  <c r="BS174" i="2" s="1"/>
  <c r="JR173" i="11"/>
  <c r="BT174" i="2" s="1"/>
  <c r="JS173" i="11"/>
  <c r="BU174" i="2" s="1"/>
  <c r="JT173" i="11"/>
  <c r="BV174" i="2" s="1"/>
  <c r="JU173" i="11"/>
  <c r="BW174" i="2" s="1"/>
  <c r="JV173" i="11"/>
  <c r="BX174" i="2" s="1"/>
  <c r="JW173" i="11"/>
  <c r="BY174" i="2" s="1"/>
  <c r="JX173" i="11"/>
  <c r="BZ174" i="2" s="1"/>
  <c r="JY173" i="11"/>
  <c r="CA174" i="2" s="1"/>
  <c r="JZ173" i="11"/>
  <c r="CB174" i="2" s="1"/>
  <c r="KA173" i="11"/>
  <c r="CC174" i="2" s="1"/>
  <c r="JI174" i="11"/>
  <c r="BK175" i="2" s="1"/>
  <c r="JJ174" i="11"/>
  <c r="BL175" i="2" s="1"/>
  <c r="JK174" i="11"/>
  <c r="BM175" i="2" s="1"/>
  <c r="JL174" i="11"/>
  <c r="BN175" i="2" s="1"/>
  <c r="JM174" i="11"/>
  <c r="BO175" i="2" s="1"/>
  <c r="JN174" i="11"/>
  <c r="BP175" i="2" s="1"/>
  <c r="JO174" i="11"/>
  <c r="BQ175" i="2" s="1"/>
  <c r="JP174" i="11"/>
  <c r="BR175" i="2" s="1"/>
  <c r="JQ174" i="11"/>
  <c r="BS175" i="2" s="1"/>
  <c r="JR174" i="11"/>
  <c r="BT175" i="2" s="1"/>
  <c r="JS174" i="11"/>
  <c r="BU175" i="2" s="1"/>
  <c r="JT174" i="11"/>
  <c r="BV175" i="2" s="1"/>
  <c r="JU174" i="11"/>
  <c r="BW175" i="2" s="1"/>
  <c r="JV174" i="11"/>
  <c r="BX175" i="2" s="1"/>
  <c r="JW174" i="11"/>
  <c r="BY175" i="2" s="1"/>
  <c r="JX174" i="11"/>
  <c r="BZ175" i="2" s="1"/>
  <c r="JY174" i="11"/>
  <c r="CA175" i="2" s="1"/>
  <c r="JZ174" i="11"/>
  <c r="CB175" i="2" s="1"/>
  <c r="KA174" i="11"/>
  <c r="CC175" i="2" s="1"/>
  <c r="JI175" i="11"/>
  <c r="BK176" i="2" s="1"/>
  <c r="JJ175" i="11"/>
  <c r="BL176" i="2" s="1"/>
  <c r="JK175" i="11"/>
  <c r="BM176" i="2" s="1"/>
  <c r="JL175" i="11"/>
  <c r="BN176" i="2" s="1"/>
  <c r="JM175" i="11"/>
  <c r="BO176" i="2" s="1"/>
  <c r="JN175" i="11"/>
  <c r="BP176" i="2" s="1"/>
  <c r="JO175" i="11"/>
  <c r="BQ176" i="2" s="1"/>
  <c r="JP175" i="11"/>
  <c r="BR176" i="2" s="1"/>
  <c r="JQ175" i="11"/>
  <c r="BS176" i="2" s="1"/>
  <c r="JR175" i="11"/>
  <c r="BT176" i="2" s="1"/>
  <c r="JS175" i="11"/>
  <c r="BU176" i="2" s="1"/>
  <c r="JT175" i="11"/>
  <c r="BV176" i="2" s="1"/>
  <c r="JU175" i="11"/>
  <c r="BW176" i="2" s="1"/>
  <c r="JV175" i="11"/>
  <c r="BX176" i="2" s="1"/>
  <c r="JW175" i="11"/>
  <c r="BY176" i="2" s="1"/>
  <c r="JX175" i="11"/>
  <c r="BZ176" i="2" s="1"/>
  <c r="JY175" i="11"/>
  <c r="CA176" i="2" s="1"/>
  <c r="JZ175" i="11"/>
  <c r="CB176" i="2" s="1"/>
  <c r="KA175" i="11"/>
  <c r="CC176" i="2" s="1"/>
  <c r="JI176" i="11"/>
  <c r="BK177" i="2" s="1"/>
  <c r="JJ176" i="11"/>
  <c r="BL177" i="2" s="1"/>
  <c r="JK176" i="11"/>
  <c r="BM177" i="2" s="1"/>
  <c r="JL176" i="11"/>
  <c r="BN177" i="2" s="1"/>
  <c r="JM176" i="11"/>
  <c r="BO177" i="2" s="1"/>
  <c r="JN176" i="11"/>
  <c r="BP177" i="2" s="1"/>
  <c r="JO176" i="11"/>
  <c r="BQ177" i="2" s="1"/>
  <c r="JP176" i="11"/>
  <c r="BR177" i="2" s="1"/>
  <c r="JQ176" i="11"/>
  <c r="BS177" i="2" s="1"/>
  <c r="JR176" i="11"/>
  <c r="BT177" i="2" s="1"/>
  <c r="JS176" i="11"/>
  <c r="BU177" i="2" s="1"/>
  <c r="JT176" i="11"/>
  <c r="BV177" i="2" s="1"/>
  <c r="JU176" i="11"/>
  <c r="BW177" i="2" s="1"/>
  <c r="JV176" i="11"/>
  <c r="BX177" i="2" s="1"/>
  <c r="JW176" i="11"/>
  <c r="BY177" i="2" s="1"/>
  <c r="JX176" i="11"/>
  <c r="BZ177" i="2" s="1"/>
  <c r="JY176" i="11"/>
  <c r="CA177" i="2" s="1"/>
  <c r="JZ176" i="11"/>
  <c r="CB177" i="2" s="1"/>
  <c r="KA176" i="11"/>
  <c r="CC177" i="2" s="1"/>
  <c r="JI177" i="11"/>
  <c r="BK178" i="2" s="1"/>
  <c r="JJ177" i="11"/>
  <c r="BL178" i="2" s="1"/>
  <c r="JK177" i="11"/>
  <c r="BM178" i="2" s="1"/>
  <c r="JL177" i="11"/>
  <c r="BN178" i="2" s="1"/>
  <c r="JM177" i="11"/>
  <c r="BO178" i="2" s="1"/>
  <c r="JN177" i="11"/>
  <c r="BP178" i="2" s="1"/>
  <c r="JO177" i="11"/>
  <c r="BQ178" i="2" s="1"/>
  <c r="JP177" i="11"/>
  <c r="BR178" i="2" s="1"/>
  <c r="JQ177" i="11"/>
  <c r="BS178" i="2" s="1"/>
  <c r="JR177" i="11"/>
  <c r="BT178" i="2" s="1"/>
  <c r="JS177" i="11"/>
  <c r="BU178" i="2" s="1"/>
  <c r="JT177" i="11"/>
  <c r="BV178" i="2" s="1"/>
  <c r="JU177" i="11"/>
  <c r="BW178" i="2" s="1"/>
  <c r="JV177" i="11"/>
  <c r="BX178" i="2" s="1"/>
  <c r="JW177" i="11"/>
  <c r="BY178" i="2" s="1"/>
  <c r="JX177" i="11"/>
  <c r="BZ178" i="2" s="1"/>
  <c r="JY177" i="11"/>
  <c r="CA178" i="2" s="1"/>
  <c r="JZ177" i="11"/>
  <c r="CB178" i="2" s="1"/>
  <c r="KA177" i="11"/>
  <c r="CC178" i="2" s="1"/>
  <c r="JI178" i="11"/>
  <c r="BK179" i="2" s="1"/>
  <c r="JJ178" i="11"/>
  <c r="BL179" i="2" s="1"/>
  <c r="JK178" i="11"/>
  <c r="BM179" i="2" s="1"/>
  <c r="JL178" i="11"/>
  <c r="BN179" i="2" s="1"/>
  <c r="JM178" i="11"/>
  <c r="BO179" i="2" s="1"/>
  <c r="JN178" i="11"/>
  <c r="BP179" i="2" s="1"/>
  <c r="JO178" i="11"/>
  <c r="BQ179" i="2" s="1"/>
  <c r="JP178" i="11"/>
  <c r="BR179" i="2" s="1"/>
  <c r="JQ178" i="11"/>
  <c r="BS179" i="2" s="1"/>
  <c r="JR178" i="11"/>
  <c r="BT179" i="2" s="1"/>
  <c r="JS178" i="11"/>
  <c r="BU179" i="2" s="1"/>
  <c r="JT178" i="11"/>
  <c r="BV179" i="2" s="1"/>
  <c r="JU178" i="11"/>
  <c r="BW179" i="2" s="1"/>
  <c r="JV178" i="11"/>
  <c r="BX179" i="2" s="1"/>
  <c r="JW178" i="11"/>
  <c r="BY179" i="2" s="1"/>
  <c r="JX178" i="11"/>
  <c r="BZ179" i="2" s="1"/>
  <c r="JY178" i="11"/>
  <c r="CA179" i="2" s="1"/>
  <c r="JZ178" i="11"/>
  <c r="CB179" i="2" s="1"/>
  <c r="KA178" i="11"/>
  <c r="CC179" i="2" s="1"/>
  <c r="JI179" i="11"/>
  <c r="BK180" i="2" s="1"/>
  <c r="JJ179" i="11"/>
  <c r="BL180" i="2" s="1"/>
  <c r="JK179" i="11"/>
  <c r="BM180" i="2" s="1"/>
  <c r="JL179" i="11"/>
  <c r="BN180" i="2" s="1"/>
  <c r="JM179" i="11"/>
  <c r="BO180" i="2" s="1"/>
  <c r="JN179" i="11"/>
  <c r="BP180" i="2" s="1"/>
  <c r="JO179" i="11"/>
  <c r="BQ180" i="2" s="1"/>
  <c r="JP179" i="11"/>
  <c r="BR180" i="2" s="1"/>
  <c r="JQ179" i="11"/>
  <c r="BS180" i="2" s="1"/>
  <c r="JR179" i="11"/>
  <c r="BT180" i="2" s="1"/>
  <c r="JS179" i="11"/>
  <c r="BU180" i="2" s="1"/>
  <c r="JT179" i="11"/>
  <c r="BV180" i="2" s="1"/>
  <c r="JU179" i="11"/>
  <c r="BW180" i="2" s="1"/>
  <c r="JV179" i="11"/>
  <c r="BX180" i="2" s="1"/>
  <c r="JW179" i="11"/>
  <c r="BY180" i="2" s="1"/>
  <c r="JX179" i="11"/>
  <c r="BZ180" i="2" s="1"/>
  <c r="JY179" i="11"/>
  <c r="CA180" i="2" s="1"/>
  <c r="JZ179" i="11"/>
  <c r="CB180" i="2" s="1"/>
  <c r="KA179" i="11"/>
  <c r="CC180" i="2" s="1"/>
  <c r="JI180" i="11"/>
  <c r="BK181" i="2" s="1"/>
  <c r="JJ180" i="11"/>
  <c r="BL181" i="2" s="1"/>
  <c r="JK180" i="11"/>
  <c r="BM181" i="2" s="1"/>
  <c r="JL180" i="11"/>
  <c r="BN181" i="2" s="1"/>
  <c r="JM180" i="11"/>
  <c r="BO181" i="2" s="1"/>
  <c r="JN180" i="11"/>
  <c r="BP181" i="2" s="1"/>
  <c r="JO180" i="11"/>
  <c r="BQ181" i="2" s="1"/>
  <c r="JP180" i="11"/>
  <c r="BR181" i="2" s="1"/>
  <c r="JQ180" i="11"/>
  <c r="BS181" i="2" s="1"/>
  <c r="JR180" i="11"/>
  <c r="BT181" i="2" s="1"/>
  <c r="JS180" i="11"/>
  <c r="BU181" i="2" s="1"/>
  <c r="JT180" i="11"/>
  <c r="BV181" i="2" s="1"/>
  <c r="JU180" i="11"/>
  <c r="BW181" i="2" s="1"/>
  <c r="JV180" i="11"/>
  <c r="BX181" i="2" s="1"/>
  <c r="JW180" i="11"/>
  <c r="BY181" i="2" s="1"/>
  <c r="JX180" i="11"/>
  <c r="BZ181" i="2" s="1"/>
  <c r="JY180" i="11"/>
  <c r="CA181" i="2" s="1"/>
  <c r="JZ180" i="11"/>
  <c r="CB181" i="2" s="1"/>
  <c r="KA180" i="11"/>
  <c r="CC181" i="2" s="1"/>
  <c r="JI181" i="11"/>
  <c r="BK182" i="2" s="1"/>
  <c r="JJ181" i="11"/>
  <c r="BL182" i="2" s="1"/>
  <c r="JK181" i="11"/>
  <c r="BM182" i="2" s="1"/>
  <c r="JL181" i="11"/>
  <c r="BN182" i="2" s="1"/>
  <c r="JM181" i="11"/>
  <c r="BO182" i="2" s="1"/>
  <c r="JN181" i="11"/>
  <c r="BP182" i="2" s="1"/>
  <c r="JO181" i="11"/>
  <c r="BQ182" i="2" s="1"/>
  <c r="JP181" i="11"/>
  <c r="BR182" i="2" s="1"/>
  <c r="JQ181" i="11"/>
  <c r="BS182" i="2" s="1"/>
  <c r="JR181" i="11"/>
  <c r="BT182" i="2" s="1"/>
  <c r="JS181" i="11"/>
  <c r="BU182" i="2" s="1"/>
  <c r="JT181" i="11"/>
  <c r="BV182" i="2" s="1"/>
  <c r="JU181" i="11"/>
  <c r="BW182" i="2" s="1"/>
  <c r="JV181" i="11"/>
  <c r="BX182" i="2" s="1"/>
  <c r="JW181" i="11"/>
  <c r="BY182" i="2" s="1"/>
  <c r="JX181" i="11"/>
  <c r="BZ182" i="2" s="1"/>
  <c r="JY181" i="11"/>
  <c r="CA182" i="2" s="1"/>
  <c r="JZ181" i="11"/>
  <c r="CB182" i="2" s="1"/>
  <c r="KA181" i="11"/>
  <c r="CC182" i="2" s="1"/>
  <c r="JI182" i="11"/>
  <c r="BK183" i="2" s="1"/>
  <c r="JJ182" i="11"/>
  <c r="BL183" i="2" s="1"/>
  <c r="JK182" i="11"/>
  <c r="BM183" i="2" s="1"/>
  <c r="JL182" i="11"/>
  <c r="BN183" i="2" s="1"/>
  <c r="JM182" i="11"/>
  <c r="BO183" i="2" s="1"/>
  <c r="JN182" i="11"/>
  <c r="BP183" i="2" s="1"/>
  <c r="JO182" i="11"/>
  <c r="BQ183" i="2" s="1"/>
  <c r="JP182" i="11"/>
  <c r="BR183" i="2" s="1"/>
  <c r="JQ182" i="11"/>
  <c r="BS183" i="2" s="1"/>
  <c r="JR182" i="11"/>
  <c r="BT183" i="2" s="1"/>
  <c r="JS182" i="11"/>
  <c r="BU183" i="2" s="1"/>
  <c r="JT182" i="11"/>
  <c r="BV183" i="2" s="1"/>
  <c r="JU182" i="11"/>
  <c r="BW183" i="2" s="1"/>
  <c r="JV182" i="11"/>
  <c r="BX183" i="2" s="1"/>
  <c r="JW182" i="11"/>
  <c r="BY183" i="2" s="1"/>
  <c r="JX182" i="11"/>
  <c r="BZ183" i="2" s="1"/>
  <c r="JY182" i="11"/>
  <c r="CA183" i="2" s="1"/>
  <c r="JZ182" i="11"/>
  <c r="CB183" i="2" s="1"/>
  <c r="KA182" i="11"/>
  <c r="CC183" i="2" s="1"/>
  <c r="JI183" i="11"/>
  <c r="BK184" i="2" s="1"/>
  <c r="JJ183" i="11"/>
  <c r="BL184" i="2" s="1"/>
  <c r="JK183" i="11"/>
  <c r="BM184" i="2" s="1"/>
  <c r="JL183" i="11"/>
  <c r="BN184" i="2" s="1"/>
  <c r="JM183" i="11"/>
  <c r="BO184" i="2" s="1"/>
  <c r="JN183" i="11"/>
  <c r="BP184" i="2" s="1"/>
  <c r="JO183" i="11"/>
  <c r="BQ184" i="2" s="1"/>
  <c r="JP183" i="11"/>
  <c r="BR184" i="2" s="1"/>
  <c r="JQ183" i="11"/>
  <c r="BS184" i="2" s="1"/>
  <c r="JR183" i="11"/>
  <c r="BT184" i="2" s="1"/>
  <c r="JS183" i="11"/>
  <c r="BU184" i="2" s="1"/>
  <c r="JT183" i="11"/>
  <c r="BV184" i="2" s="1"/>
  <c r="JU183" i="11"/>
  <c r="BW184" i="2" s="1"/>
  <c r="JV183" i="11"/>
  <c r="BX184" i="2" s="1"/>
  <c r="JW183" i="11"/>
  <c r="BY184" i="2" s="1"/>
  <c r="JX183" i="11"/>
  <c r="BZ184" i="2" s="1"/>
  <c r="JY183" i="11"/>
  <c r="CA184" i="2" s="1"/>
  <c r="JZ183" i="11"/>
  <c r="CB184" i="2" s="1"/>
  <c r="KA183" i="11"/>
  <c r="CC184" i="2" s="1"/>
  <c r="JI184" i="11"/>
  <c r="BK185" i="2" s="1"/>
  <c r="JJ184" i="11"/>
  <c r="BL185" i="2" s="1"/>
  <c r="JK184" i="11"/>
  <c r="BM185" i="2" s="1"/>
  <c r="JL184" i="11"/>
  <c r="BN185" i="2" s="1"/>
  <c r="JM184" i="11"/>
  <c r="BO185" i="2" s="1"/>
  <c r="JN184" i="11"/>
  <c r="BP185" i="2" s="1"/>
  <c r="JO184" i="11"/>
  <c r="BQ185" i="2" s="1"/>
  <c r="JP184" i="11"/>
  <c r="BR185" i="2" s="1"/>
  <c r="JQ184" i="11"/>
  <c r="BS185" i="2" s="1"/>
  <c r="JR184" i="11"/>
  <c r="BT185" i="2" s="1"/>
  <c r="JS184" i="11"/>
  <c r="BU185" i="2" s="1"/>
  <c r="JT184" i="11"/>
  <c r="BV185" i="2" s="1"/>
  <c r="JU184" i="11"/>
  <c r="BW185" i="2" s="1"/>
  <c r="JV184" i="11"/>
  <c r="BX185" i="2" s="1"/>
  <c r="JW184" i="11"/>
  <c r="BY185" i="2" s="1"/>
  <c r="JX184" i="11"/>
  <c r="BZ185" i="2" s="1"/>
  <c r="JY184" i="11"/>
  <c r="CA185" i="2" s="1"/>
  <c r="JZ184" i="11"/>
  <c r="CB185" i="2" s="1"/>
  <c r="KA184" i="11"/>
  <c r="CC185" i="2" s="1"/>
  <c r="JI185" i="11"/>
  <c r="BK186" i="2" s="1"/>
  <c r="JJ185" i="11"/>
  <c r="BL186" i="2" s="1"/>
  <c r="JK185" i="11"/>
  <c r="BM186" i="2" s="1"/>
  <c r="JL185" i="11"/>
  <c r="BN186" i="2" s="1"/>
  <c r="JM185" i="11"/>
  <c r="BO186" i="2" s="1"/>
  <c r="JN185" i="11"/>
  <c r="BP186" i="2" s="1"/>
  <c r="JO185" i="11"/>
  <c r="BQ186" i="2" s="1"/>
  <c r="JP185" i="11"/>
  <c r="BR186" i="2" s="1"/>
  <c r="JQ185" i="11"/>
  <c r="BS186" i="2" s="1"/>
  <c r="JR185" i="11"/>
  <c r="BT186" i="2" s="1"/>
  <c r="JS185" i="11"/>
  <c r="BU186" i="2" s="1"/>
  <c r="JT185" i="11"/>
  <c r="BV186" i="2" s="1"/>
  <c r="JU185" i="11"/>
  <c r="BW186" i="2" s="1"/>
  <c r="JV185" i="11"/>
  <c r="BX186" i="2" s="1"/>
  <c r="JW185" i="11"/>
  <c r="BY186" i="2" s="1"/>
  <c r="JX185" i="11"/>
  <c r="BZ186" i="2" s="1"/>
  <c r="JY185" i="11"/>
  <c r="CA186" i="2" s="1"/>
  <c r="JZ185" i="11"/>
  <c r="CB186" i="2" s="1"/>
  <c r="KA185" i="11"/>
  <c r="CC186" i="2" s="1"/>
  <c r="JI186" i="11"/>
  <c r="BK187" i="2" s="1"/>
  <c r="JJ186" i="11"/>
  <c r="BL187" i="2" s="1"/>
  <c r="JK186" i="11"/>
  <c r="BM187" i="2" s="1"/>
  <c r="JL186" i="11"/>
  <c r="BN187" i="2" s="1"/>
  <c r="BB11" i="5" s="1" a="1"/>
  <c r="BB11" i="5" s="1"/>
  <c r="JM186" i="11"/>
  <c r="BO187" i="2" s="1"/>
  <c r="JN186" i="11"/>
  <c r="BP187" i="2" s="1"/>
  <c r="JO186" i="11"/>
  <c r="BQ187" i="2" s="1"/>
  <c r="JP186" i="11"/>
  <c r="BR187" i="2" s="1"/>
  <c r="JQ186" i="11"/>
  <c r="BS187" i="2" s="1"/>
  <c r="JR186" i="11"/>
  <c r="BT187" i="2" s="1"/>
  <c r="JS186" i="11"/>
  <c r="BU187" i="2" s="1"/>
  <c r="JT186" i="11"/>
  <c r="BV187" i="2" s="1"/>
  <c r="JU186" i="11"/>
  <c r="BW187" i="2" s="1"/>
  <c r="JV186" i="11"/>
  <c r="BX187" i="2" s="1"/>
  <c r="JW186" i="11"/>
  <c r="BY187" i="2" s="1"/>
  <c r="JX186" i="11"/>
  <c r="BZ187" i="2" s="1"/>
  <c r="JY186" i="11"/>
  <c r="CA187" i="2" s="1"/>
  <c r="JZ186" i="11"/>
  <c r="CB187" i="2" s="1"/>
  <c r="KA186" i="11"/>
  <c r="CC187" i="2" s="1"/>
  <c r="JI187" i="11"/>
  <c r="BK188" i="2" s="1"/>
  <c r="JJ187" i="11"/>
  <c r="BL188" i="2" s="1"/>
  <c r="JK187" i="11"/>
  <c r="BM188" i="2" s="1"/>
  <c r="JL187" i="11"/>
  <c r="BN188" i="2" s="1"/>
  <c r="JM187" i="11"/>
  <c r="BO188" i="2" s="1"/>
  <c r="JN187" i="11"/>
  <c r="BP188" i="2" s="1"/>
  <c r="JO187" i="11"/>
  <c r="BQ188" i="2" s="1"/>
  <c r="JP187" i="11"/>
  <c r="BR188" i="2" s="1"/>
  <c r="JQ187" i="11"/>
  <c r="BS188" i="2" s="1"/>
  <c r="JR187" i="11"/>
  <c r="BT188" i="2" s="1"/>
  <c r="JS187" i="11"/>
  <c r="BU188" i="2" s="1"/>
  <c r="JT187" i="11"/>
  <c r="BV188" i="2" s="1"/>
  <c r="JU187" i="11"/>
  <c r="BW188" i="2" s="1"/>
  <c r="JV187" i="11"/>
  <c r="BX188" i="2" s="1"/>
  <c r="JW187" i="11"/>
  <c r="BY188" i="2" s="1"/>
  <c r="JX187" i="11"/>
  <c r="BZ188" i="2" s="1"/>
  <c r="JY187" i="11"/>
  <c r="CA188" i="2" s="1"/>
  <c r="JZ187" i="11"/>
  <c r="CB188" i="2" s="1"/>
  <c r="KA187" i="11"/>
  <c r="CC188" i="2" s="1"/>
  <c r="JI188" i="11"/>
  <c r="BK189" i="2" s="1"/>
  <c r="JJ188" i="11"/>
  <c r="BL189" i="2" s="1"/>
  <c r="JK188" i="11"/>
  <c r="BM189" i="2" s="1"/>
  <c r="JL188" i="11"/>
  <c r="BN189" i="2" s="1"/>
  <c r="JM188" i="11"/>
  <c r="BO189" i="2" s="1"/>
  <c r="JN188" i="11"/>
  <c r="BP189" i="2" s="1"/>
  <c r="JO188" i="11"/>
  <c r="BQ189" i="2" s="1"/>
  <c r="JP188" i="11"/>
  <c r="BR189" i="2" s="1"/>
  <c r="JQ188" i="11"/>
  <c r="BS189" i="2" s="1"/>
  <c r="JR188" i="11"/>
  <c r="BT189" i="2" s="1"/>
  <c r="JS188" i="11"/>
  <c r="BU189" i="2" s="1"/>
  <c r="JT188" i="11"/>
  <c r="BV189" i="2" s="1"/>
  <c r="JU188" i="11"/>
  <c r="BW189" i="2" s="1"/>
  <c r="JV188" i="11"/>
  <c r="BX189" i="2" s="1"/>
  <c r="JW188" i="11"/>
  <c r="BY189" i="2" s="1"/>
  <c r="JX188" i="11"/>
  <c r="BZ189" i="2" s="1"/>
  <c r="JY188" i="11"/>
  <c r="CA189" i="2" s="1"/>
  <c r="JZ188" i="11"/>
  <c r="CB189" i="2" s="1"/>
  <c r="KA188" i="11"/>
  <c r="CC189" i="2" s="1"/>
  <c r="JI189" i="11"/>
  <c r="BK190" i="2" s="1"/>
  <c r="JJ189" i="11"/>
  <c r="BL190" i="2" s="1"/>
  <c r="JK189" i="11"/>
  <c r="BM190" i="2" s="1"/>
  <c r="JL189" i="11"/>
  <c r="BN190" i="2" s="1"/>
  <c r="JM189" i="11"/>
  <c r="BO190" i="2" s="1"/>
  <c r="JN189" i="11"/>
  <c r="BP190" i="2" s="1"/>
  <c r="JO189" i="11"/>
  <c r="BQ190" i="2" s="1"/>
  <c r="JP189" i="11"/>
  <c r="BR190" i="2" s="1"/>
  <c r="JQ189" i="11"/>
  <c r="BS190" i="2" s="1"/>
  <c r="JR189" i="11"/>
  <c r="BT190" i="2" s="1"/>
  <c r="JS189" i="11"/>
  <c r="BU190" i="2" s="1"/>
  <c r="JT189" i="11"/>
  <c r="BV190" i="2" s="1"/>
  <c r="JU189" i="11"/>
  <c r="BW190" i="2" s="1"/>
  <c r="JV189" i="11"/>
  <c r="BX190" i="2" s="1"/>
  <c r="JW189" i="11"/>
  <c r="BY190" i="2" s="1"/>
  <c r="JX189" i="11"/>
  <c r="BZ190" i="2" s="1"/>
  <c r="JY189" i="11"/>
  <c r="CA190" i="2" s="1"/>
  <c r="JZ189" i="11"/>
  <c r="CB190" i="2" s="1"/>
  <c r="KA189" i="11"/>
  <c r="CC190" i="2" s="1"/>
  <c r="JI190" i="11"/>
  <c r="BK191" i="2" s="1"/>
  <c r="JJ190" i="11"/>
  <c r="BL191" i="2" s="1"/>
  <c r="JK190" i="11"/>
  <c r="BM191" i="2" s="1"/>
  <c r="JL190" i="11"/>
  <c r="BN191" i="2" s="1"/>
  <c r="JM190" i="11"/>
  <c r="BO191" i="2" s="1"/>
  <c r="JN190" i="11"/>
  <c r="BP191" i="2" s="1"/>
  <c r="JO190" i="11"/>
  <c r="BQ191" i="2" s="1"/>
  <c r="JP190" i="11"/>
  <c r="BR191" i="2" s="1"/>
  <c r="JQ190" i="11"/>
  <c r="BS191" i="2" s="1"/>
  <c r="JR190" i="11"/>
  <c r="BT191" i="2" s="1"/>
  <c r="JS190" i="11"/>
  <c r="BU191" i="2" s="1"/>
  <c r="JT190" i="11"/>
  <c r="BV191" i="2" s="1"/>
  <c r="JU190" i="11"/>
  <c r="BW191" i="2" s="1"/>
  <c r="JV190" i="11"/>
  <c r="BX191" i="2" s="1"/>
  <c r="JW190" i="11"/>
  <c r="BY191" i="2" s="1"/>
  <c r="JX190" i="11"/>
  <c r="BZ191" i="2" s="1"/>
  <c r="JY190" i="11"/>
  <c r="CA191" i="2" s="1"/>
  <c r="JZ190" i="11"/>
  <c r="CB191" i="2" s="1"/>
  <c r="KA190" i="11"/>
  <c r="CC191" i="2" s="1"/>
  <c r="JI191" i="11"/>
  <c r="BK192" i="2" s="1"/>
  <c r="JJ191" i="11"/>
  <c r="BL192" i="2" s="1"/>
  <c r="JK191" i="11"/>
  <c r="BM192" i="2" s="1"/>
  <c r="JL191" i="11"/>
  <c r="BN192" i="2" s="1"/>
  <c r="JM191" i="11"/>
  <c r="BO192" i="2" s="1"/>
  <c r="JN191" i="11"/>
  <c r="BP192" i="2" s="1"/>
  <c r="JO191" i="11"/>
  <c r="BQ192" i="2" s="1"/>
  <c r="JP191" i="11"/>
  <c r="BR192" i="2" s="1"/>
  <c r="JQ191" i="11"/>
  <c r="BS192" i="2" s="1"/>
  <c r="JR191" i="11"/>
  <c r="BT192" i="2" s="1"/>
  <c r="JS191" i="11"/>
  <c r="BU192" i="2" s="1"/>
  <c r="JT191" i="11"/>
  <c r="BV192" i="2" s="1"/>
  <c r="JU191" i="11"/>
  <c r="BW192" i="2" s="1"/>
  <c r="JV191" i="11"/>
  <c r="BX192" i="2" s="1"/>
  <c r="JW191" i="11"/>
  <c r="BY192" i="2" s="1"/>
  <c r="JX191" i="11"/>
  <c r="BZ192" i="2" s="1"/>
  <c r="JY191" i="11"/>
  <c r="CA192" i="2" s="1"/>
  <c r="JZ191" i="11"/>
  <c r="CB192" i="2" s="1"/>
  <c r="KA191" i="11"/>
  <c r="CC192" i="2" s="1"/>
  <c r="JI192" i="11"/>
  <c r="BK193" i="2" s="1"/>
  <c r="JJ192" i="11"/>
  <c r="BL193" i="2" s="1"/>
  <c r="JK192" i="11"/>
  <c r="BM193" i="2" s="1"/>
  <c r="JL192" i="11"/>
  <c r="BN193" i="2" s="1"/>
  <c r="JM192" i="11"/>
  <c r="BO193" i="2" s="1"/>
  <c r="JN192" i="11"/>
  <c r="BP193" i="2" s="1"/>
  <c r="JO192" i="11"/>
  <c r="BQ193" i="2" s="1"/>
  <c r="JP192" i="11"/>
  <c r="BR193" i="2" s="1"/>
  <c r="JQ192" i="11"/>
  <c r="BS193" i="2" s="1"/>
  <c r="JR192" i="11"/>
  <c r="BT193" i="2" s="1"/>
  <c r="JS192" i="11"/>
  <c r="BU193" i="2" s="1"/>
  <c r="JT192" i="11"/>
  <c r="BV193" i="2" s="1"/>
  <c r="JU192" i="11"/>
  <c r="BW193" i="2" s="1"/>
  <c r="JV192" i="11"/>
  <c r="BX193" i="2" s="1"/>
  <c r="JW192" i="11"/>
  <c r="BY193" i="2" s="1"/>
  <c r="JX192" i="11"/>
  <c r="BZ193" i="2" s="1"/>
  <c r="JY192" i="11"/>
  <c r="CA193" i="2" s="1"/>
  <c r="JZ192" i="11"/>
  <c r="CB193" i="2" s="1"/>
  <c r="KA192" i="11"/>
  <c r="CC193" i="2" s="1"/>
  <c r="JI193" i="11"/>
  <c r="BK194" i="2" s="1"/>
  <c r="JJ193" i="11"/>
  <c r="BL194" i="2" s="1"/>
  <c r="JK193" i="11"/>
  <c r="BM194" i="2" s="1"/>
  <c r="JL193" i="11"/>
  <c r="BN194" i="2" s="1"/>
  <c r="JM193" i="11"/>
  <c r="BO194" i="2" s="1"/>
  <c r="JN193" i="11"/>
  <c r="BP194" i="2" s="1"/>
  <c r="JO193" i="11"/>
  <c r="BQ194" i="2" s="1"/>
  <c r="JP193" i="11"/>
  <c r="BR194" i="2" s="1"/>
  <c r="JQ193" i="11"/>
  <c r="BS194" i="2" s="1"/>
  <c r="JR193" i="11"/>
  <c r="BT194" i="2" s="1"/>
  <c r="JS193" i="11"/>
  <c r="BU194" i="2" s="1"/>
  <c r="JT193" i="11"/>
  <c r="BV194" i="2" s="1"/>
  <c r="JU193" i="11"/>
  <c r="BW194" i="2" s="1"/>
  <c r="JV193" i="11"/>
  <c r="BX194" i="2" s="1"/>
  <c r="JW193" i="11"/>
  <c r="BY194" i="2" s="1"/>
  <c r="JX193" i="11"/>
  <c r="BZ194" i="2" s="1"/>
  <c r="JY193" i="11"/>
  <c r="CA194" i="2" s="1"/>
  <c r="JZ193" i="11"/>
  <c r="CB194" i="2" s="1"/>
  <c r="KA193" i="11"/>
  <c r="CC194" i="2" s="1"/>
  <c r="JI194" i="11"/>
  <c r="BK195" i="2" s="1"/>
  <c r="JJ194" i="11"/>
  <c r="BL195" i="2" s="1"/>
  <c r="JK194" i="11"/>
  <c r="BM195" i="2" s="1"/>
  <c r="JL194" i="11"/>
  <c r="BN195" i="2" s="1"/>
  <c r="JM194" i="11"/>
  <c r="BO195" i="2" s="1"/>
  <c r="JN194" i="11"/>
  <c r="BP195" i="2" s="1"/>
  <c r="JO194" i="11"/>
  <c r="BQ195" i="2" s="1"/>
  <c r="JP194" i="11"/>
  <c r="BR195" i="2" s="1"/>
  <c r="JQ194" i="11"/>
  <c r="BS195" i="2" s="1"/>
  <c r="JR194" i="11"/>
  <c r="BT195" i="2" s="1"/>
  <c r="JS194" i="11"/>
  <c r="BU195" i="2" s="1"/>
  <c r="JT194" i="11"/>
  <c r="BV195" i="2" s="1"/>
  <c r="JU194" i="11"/>
  <c r="BW195" i="2" s="1"/>
  <c r="JV194" i="11"/>
  <c r="BX195" i="2" s="1"/>
  <c r="JW194" i="11"/>
  <c r="BY195" i="2" s="1"/>
  <c r="JX194" i="11"/>
  <c r="BZ195" i="2" s="1"/>
  <c r="JY194" i="11"/>
  <c r="CA195" i="2" s="1"/>
  <c r="JZ194" i="11"/>
  <c r="CB195" i="2" s="1"/>
  <c r="KA194" i="11"/>
  <c r="CC195" i="2" s="1"/>
  <c r="JI195" i="11"/>
  <c r="BK196" i="2" s="1"/>
  <c r="JJ195" i="11"/>
  <c r="BL196" i="2" s="1"/>
  <c r="JK195" i="11"/>
  <c r="BM196" i="2" s="1"/>
  <c r="JL195" i="11"/>
  <c r="BN196" i="2" s="1"/>
  <c r="JM195" i="11"/>
  <c r="BO196" i="2" s="1"/>
  <c r="JN195" i="11"/>
  <c r="BP196" i="2" s="1"/>
  <c r="JO195" i="11"/>
  <c r="BQ196" i="2" s="1"/>
  <c r="JP195" i="11"/>
  <c r="BR196" i="2" s="1"/>
  <c r="JQ195" i="11"/>
  <c r="BS196" i="2" s="1"/>
  <c r="JR195" i="11"/>
  <c r="BT196" i="2" s="1"/>
  <c r="JS195" i="11"/>
  <c r="BU196" i="2" s="1"/>
  <c r="JT195" i="11"/>
  <c r="BV196" i="2" s="1"/>
  <c r="JU195" i="11"/>
  <c r="BW196" i="2" s="1"/>
  <c r="JV195" i="11"/>
  <c r="BX196" i="2" s="1"/>
  <c r="JW195" i="11"/>
  <c r="BY196" i="2" s="1"/>
  <c r="JX195" i="11"/>
  <c r="BZ196" i="2" s="1"/>
  <c r="JY195" i="11"/>
  <c r="CA196" i="2" s="1"/>
  <c r="JZ195" i="11"/>
  <c r="CB196" i="2" s="1"/>
  <c r="KA195" i="11"/>
  <c r="CC196" i="2" s="1"/>
  <c r="JI196" i="11"/>
  <c r="BK197" i="2" s="1"/>
  <c r="JJ196" i="11"/>
  <c r="BL197" i="2" s="1"/>
  <c r="JK196" i="11"/>
  <c r="BM197" i="2" s="1"/>
  <c r="JL196" i="11"/>
  <c r="BN197" i="2" s="1"/>
  <c r="JM196" i="11"/>
  <c r="BO197" i="2" s="1"/>
  <c r="JN196" i="11"/>
  <c r="BP197" i="2" s="1"/>
  <c r="JO196" i="11"/>
  <c r="BQ197" i="2" s="1"/>
  <c r="JP196" i="11"/>
  <c r="BR197" i="2" s="1"/>
  <c r="JQ196" i="11"/>
  <c r="BS197" i="2" s="1"/>
  <c r="JR196" i="11"/>
  <c r="BT197" i="2" s="1"/>
  <c r="JS196" i="11"/>
  <c r="BU197" i="2" s="1"/>
  <c r="JT196" i="11"/>
  <c r="BV197" i="2" s="1"/>
  <c r="JU196" i="11"/>
  <c r="BW197" i="2" s="1"/>
  <c r="JV196" i="11"/>
  <c r="BX197" i="2" s="1"/>
  <c r="JW196" i="11"/>
  <c r="BY197" i="2" s="1"/>
  <c r="JX196" i="11"/>
  <c r="BZ197" i="2" s="1"/>
  <c r="JY196" i="11"/>
  <c r="CA197" i="2" s="1"/>
  <c r="JZ196" i="11"/>
  <c r="CB197" i="2" s="1"/>
  <c r="KA196" i="11"/>
  <c r="CC197" i="2" s="1"/>
  <c r="JI197" i="11"/>
  <c r="BK198" i="2" s="1"/>
  <c r="JJ197" i="11"/>
  <c r="BL198" i="2" s="1"/>
  <c r="JK197" i="11"/>
  <c r="BM198" i="2" s="1"/>
  <c r="JL197" i="11"/>
  <c r="BN198" i="2" s="1"/>
  <c r="JM197" i="11"/>
  <c r="BO198" i="2" s="1"/>
  <c r="JN197" i="11"/>
  <c r="BP198" i="2" s="1"/>
  <c r="JO197" i="11"/>
  <c r="BQ198" i="2" s="1"/>
  <c r="JP197" i="11"/>
  <c r="BR198" i="2" s="1"/>
  <c r="JQ197" i="11"/>
  <c r="BS198" i="2" s="1"/>
  <c r="JR197" i="11"/>
  <c r="BT198" i="2" s="1"/>
  <c r="JS197" i="11"/>
  <c r="BU198" i="2" s="1"/>
  <c r="JT197" i="11"/>
  <c r="BV198" i="2" s="1"/>
  <c r="JU197" i="11"/>
  <c r="BW198" i="2" s="1"/>
  <c r="JV197" i="11"/>
  <c r="BX198" i="2" s="1"/>
  <c r="JW197" i="11"/>
  <c r="BY198" i="2" s="1"/>
  <c r="JX197" i="11"/>
  <c r="BZ198" i="2" s="1"/>
  <c r="JY197" i="11"/>
  <c r="CA198" i="2" s="1"/>
  <c r="JZ197" i="11"/>
  <c r="CB198" i="2" s="1"/>
  <c r="KA197" i="11"/>
  <c r="CC198" i="2" s="1"/>
  <c r="JI198" i="11"/>
  <c r="BK199" i="2" s="1"/>
  <c r="JJ198" i="11"/>
  <c r="BL199" i="2" s="1"/>
  <c r="JK198" i="11"/>
  <c r="BM199" i="2" s="1"/>
  <c r="JL198" i="11"/>
  <c r="BN199" i="2" s="1"/>
  <c r="JM198" i="11"/>
  <c r="BO199" i="2" s="1"/>
  <c r="JN198" i="11"/>
  <c r="BP199" i="2" s="1"/>
  <c r="JO198" i="11"/>
  <c r="BQ199" i="2" s="1"/>
  <c r="JP198" i="11"/>
  <c r="BR199" i="2" s="1"/>
  <c r="JQ198" i="11"/>
  <c r="BS199" i="2" s="1"/>
  <c r="JR198" i="11"/>
  <c r="BT199" i="2" s="1"/>
  <c r="JS198" i="11"/>
  <c r="BU199" i="2" s="1"/>
  <c r="JT198" i="11"/>
  <c r="BV199" i="2" s="1"/>
  <c r="JU198" i="11"/>
  <c r="BW199" i="2" s="1"/>
  <c r="JV198" i="11"/>
  <c r="BX199" i="2" s="1"/>
  <c r="JW198" i="11"/>
  <c r="BY199" i="2" s="1"/>
  <c r="JX198" i="11"/>
  <c r="BZ199" i="2" s="1"/>
  <c r="JY198" i="11"/>
  <c r="CA199" i="2" s="1"/>
  <c r="JZ198" i="11"/>
  <c r="CB199" i="2" s="1"/>
  <c r="KA198" i="11"/>
  <c r="CC199" i="2" s="1"/>
  <c r="JI199" i="11"/>
  <c r="BK200" i="2" s="1"/>
  <c r="JJ199" i="11"/>
  <c r="BL200" i="2" s="1"/>
  <c r="JK199" i="11"/>
  <c r="BM200" i="2" s="1"/>
  <c r="JL199" i="11"/>
  <c r="BN200" i="2" s="1"/>
  <c r="JM199" i="11"/>
  <c r="BO200" i="2" s="1"/>
  <c r="JN199" i="11"/>
  <c r="BP200" i="2" s="1"/>
  <c r="JO199" i="11"/>
  <c r="BQ200" i="2" s="1"/>
  <c r="JP199" i="11"/>
  <c r="BR200" i="2" s="1"/>
  <c r="JQ199" i="11"/>
  <c r="BS200" i="2" s="1"/>
  <c r="JR199" i="11"/>
  <c r="BT200" i="2" s="1"/>
  <c r="JS199" i="11"/>
  <c r="BU200" i="2" s="1"/>
  <c r="JT199" i="11"/>
  <c r="BV200" i="2" s="1"/>
  <c r="JU199" i="11"/>
  <c r="BW200" i="2" s="1"/>
  <c r="JV199" i="11"/>
  <c r="BX200" i="2" s="1"/>
  <c r="JW199" i="11"/>
  <c r="BY200" i="2" s="1"/>
  <c r="JX199" i="11"/>
  <c r="BZ200" i="2" s="1"/>
  <c r="JY199" i="11"/>
  <c r="CA200" i="2" s="1"/>
  <c r="JZ199" i="11"/>
  <c r="CB200" i="2" s="1"/>
  <c r="KA199" i="11"/>
  <c r="CC200" i="2" s="1"/>
  <c r="JI200" i="11"/>
  <c r="BK201" i="2" s="1"/>
  <c r="JJ200" i="11"/>
  <c r="BL201" i="2" s="1"/>
  <c r="JK200" i="11"/>
  <c r="BM201" i="2" s="1"/>
  <c r="JL200" i="11"/>
  <c r="BN201" i="2" s="1"/>
  <c r="JM200" i="11"/>
  <c r="BO201" i="2" s="1"/>
  <c r="JN200" i="11"/>
  <c r="BP201" i="2" s="1"/>
  <c r="JO200" i="11"/>
  <c r="BQ201" i="2" s="1"/>
  <c r="JP200" i="11"/>
  <c r="BR201" i="2" s="1"/>
  <c r="JQ200" i="11"/>
  <c r="BS201" i="2" s="1"/>
  <c r="JR200" i="11"/>
  <c r="BT201" i="2" s="1"/>
  <c r="JS200" i="11"/>
  <c r="BU201" i="2" s="1"/>
  <c r="JT200" i="11"/>
  <c r="BV201" i="2" s="1"/>
  <c r="JU200" i="11"/>
  <c r="BW201" i="2" s="1"/>
  <c r="JV200" i="11"/>
  <c r="BX201" i="2" s="1"/>
  <c r="JW200" i="11"/>
  <c r="BY201" i="2" s="1"/>
  <c r="JX200" i="11"/>
  <c r="BZ201" i="2" s="1"/>
  <c r="JY200" i="11"/>
  <c r="CA201" i="2" s="1"/>
  <c r="JZ200" i="11"/>
  <c r="CB201" i="2" s="1"/>
  <c r="KA200" i="11"/>
  <c r="CC201" i="2" s="1"/>
  <c r="JI201" i="11"/>
  <c r="BK202" i="2" s="1"/>
  <c r="JJ201" i="11"/>
  <c r="BL202" i="2" s="1"/>
  <c r="JK201" i="11"/>
  <c r="BM202" i="2" s="1"/>
  <c r="JL201" i="11"/>
  <c r="BN202" i="2" s="1"/>
  <c r="JM201" i="11"/>
  <c r="BO202" i="2" s="1"/>
  <c r="JN201" i="11"/>
  <c r="BP202" i="2" s="1"/>
  <c r="JO201" i="11"/>
  <c r="BQ202" i="2" s="1"/>
  <c r="JP201" i="11"/>
  <c r="BR202" i="2" s="1"/>
  <c r="JQ201" i="11"/>
  <c r="BS202" i="2" s="1"/>
  <c r="JR201" i="11"/>
  <c r="BT202" i="2" s="1"/>
  <c r="JS201" i="11"/>
  <c r="BU202" i="2" s="1"/>
  <c r="JT201" i="11"/>
  <c r="BV202" i="2" s="1"/>
  <c r="JU201" i="11"/>
  <c r="BW202" i="2" s="1"/>
  <c r="JV201" i="11"/>
  <c r="BX202" i="2" s="1"/>
  <c r="JW201" i="11"/>
  <c r="BY202" i="2" s="1"/>
  <c r="JX201" i="11"/>
  <c r="BZ202" i="2" s="1"/>
  <c r="JY201" i="11"/>
  <c r="CA202" i="2" s="1"/>
  <c r="JZ201" i="11"/>
  <c r="CB202" i="2" s="1"/>
  <c r="KA201" i="11"/>
  <c r="CC202" i="2" s="1"/>
  <c r="JI202" i="11"/>
  <c r="BK203" i="2" s="1"/>
  <c r="JJ202" i="11"/>
  <c r="BL203" i="2" s="1"/>
  <c r="JK202" i="11"/>
  <c r="BM203" i="2" s="1"/>
  <c r="JL202" i="11"/>
  <c r="BN203" i="2" s="1"/>
  <c r="JM202" i="11"/>
  <c r="BO203" i="2" s="1"/>
  <c r="JN202" i="11"/>
  <c r="BP203" i="2" s="1"/>
  <c r="JO202" i="11"/>
  <c r="BQ203" i="2" s="1"/>
  <c r="JP202" i="11"/>
  <c r="BR203" i="2" s="1"/>
  <c r="JQ202" i="11"/>
  <c r="BS203" i="2" s="1"/>
  <c r="JR202" i="11"/>
  <c r="BT203" i="2" s="1"/>
  <c r="JS202" i="11"/>
  <c r="BU203" i="2" s="1"/>
  <c r="JT202" i="11"/>
  <c r="BV203" i="2" s="1"/>
  <c r="JU202" i="11"/>
  <c r="BW203" i="2" s="1"/>
  <c r="JV202" i="11"/>
  <c r="BX203" i="2" s="1"/>
  <c r="JW202" i="11"/>
  <c r="BY203" i="2" s="1"/>
  <c r="JX202" i="11"/>
  <c r="BZ203" i="2" s="1"/>
  <c r="JY202" i="11"/>
  <c r="CA203" i="2" s="1"/>
  <c r="JZ202" i="11"/>
  <c r="CB203" i="2" s="1"/>
  <c r="KA202" i="11"/>
  <c r="CC203" i="2" s="1"/>
  <c r="JI203" i="11"/>
  <c r="BK204" i="2" s="1"/>
  <c r="JJ203" i="11"/>
  <c r="BL204" i="2" s="1"/>
  <c r="JK203" i="11"/>
  <c r="BM204" i="2" s="1"/>
  <c r="JL203" i="11"/>
  <c r="BN204" i="2" s="1"/>
  <c r="JM203" i="11"/>
  <c r="BO204" i="2" s="1"/>
  <c r="JN203" i="11"/>
  <c r="BP204" i="2" s="1"/>
  <c r="JO203" i="11"/>
  <c r="BQ204" i="2" s="1"/>
  <c r="JP203" i="11"/>
  <c r="BR204" i="2" s="1"/>
  <c r="JQ203" i="11"/>
  <c r="BS204" i="2" s="1"/>
  <c r="JR203" i="11"/>
  <c r="BT204" i="2" s="1"/>
  <c r="JS203" i="11"/>
  <c r="BU204" i="2" s="1"/>
  <c r="JT203" i="11"/>
  <c r="BV204" i="2" s="1"/>
  <c r="JU203" i="11"/>
  <c r="BW204" i="2" s="1"/>
  <c r="JV203" i="11"/>
  <c r="BX204" i="2" s="1"/>
  <c r="JW203" i="11"/>
  <c r="BY204" i="2" s="1"/>
  <c r="JX203" i="11"/>
  <c r="BZ204" i="2" s="1"/>
  <c r="JY203" i="11"/>
  <c r="CA204" i="2" s="1"/>
  <c r="JZ203" i="11"/>
  <c r="CB204" i="2" s="1"/>
  <c r="KA203" i="11"/>
  <c r="CC204" i="2" s="1"/>
  <c r="JI204" i="11"/>
  <c r="BK205" i="2" s="1"/>
  <c r="JJ204" i="11"/>
  <c r="BL205" i="2" s="1"/>
  <c r="JK204" i="11"/>
  <c r="BM205" i="2" s="1"/>
  <c r="JL204" i="11"/>
  <c r="BN205" i="2" s="1"/>
  <c r="JM204" i="11"/>
  <c r="BO205" i="2" s="1"/>
  <c r="JN204" i="11"/>
  <c r="BP205" i="2" s="1"/>
  <c r="JO204" i="11"/>
  <c r="BQ205" i="2" s="1"/>
  <c r="JP204" i="11"/>
  <c r="BR205" i="2" s="1"/>
  <c r="JQ204" i="11"/>
  <c r="BS205" i="2" s="1"/>
  <c r="JR204" i="11"/>
  <c r="BT205" i="2" s="1"/>
  <c r="JS204" i="11"/>
  <c r="BU205" i="2" s="1"/>
  <c r="JT204" i="11"/>
  <c r="BV205" i="2" s="1"/>
  <c r="JU204" i="11"/>
  <c r="BW205" i="2" s="1"/>
  <c r="JV204" i="11"/>
  <c r="BX205" i="2" s="1"/>
  <c r="JW204" i="11"/>
  <c r="BY205" i="2" s="1"/>
  <c r="JX204" i="11"/>
  <c r="BZ205" i="2" s="1"/>
  <c r="JY204" i="11"/>
  <c r="CA205" i="2" s="1"/>
  <c r="JZ204" i="11"/>
  <c r="CB205" i="2" s="1"/>
  <c r="KA204" i="11"/>
  <c r="CC205" i="2" s="1"/>
  <c r="JI205" i="11"/>
  <c r="BK206" i="2" s="1"/>
  <c r="JJ205" i="11"/>
  <c r="BL206" i="2" s="1"/>
  <c r="JK205" i="11"/>
  <c r="BM206" i="2" s="1"/>
  <c r="JL205" i="11"/>
  <c r="BN206" i="2" s="1"/>
  <c r="JM205" i="11"/>
  <c r="BO206" i="2" s="1"/>
  <c r="JN205" i="11"/>
  <c r="BP206" i="2" s="1"/>
  <c r="JO205" i="11"/>
  <c r="BQ206" i="2" s="1"/>
  <c r="JP205" i="11"/>
  <c r="BR206" i="2" s="1"/>
  <c r="JQ205" i="11"/>
  <c r="BS206" i="2" s="1"/>
  <c r="JR205" i="11"/>
  <c r="BT206" i="2" s="1"/>
  <c r="JS205" i="11"/>
  <c r="BU206" i="2" s="1"/>
  <c r="JT205" i="11"/>
  <c r="BV206" i="2" s="1"/>
  <c r="JU205" i="11"/>
  <c r="BW206" i="2" s="1"/>
  <c r="JV205" i="11"/>
  <c r="BX206" i="2" s="1"/>
  <c r="JW205" i="11"/>
  <c r="BY206" i="2" s="1"/>
  <c r="JX205" i="11"/>
  <c r="BZ206" i="2" s="1"/>
  <c r="JY205" i="11"/>
  <c r="CA206" i="2" s="1"/>
  <c r="JZ205" i="11"/>
  <c r="CB206" i="2" s="1"/>
  <c r="KA205" i="11"/>
  <c r="CC206" i="2" s="1"/>
  <c r="JI206" i="11"/>
  <c r="BK207" i="2" s="1"/>
  <c r="JJ206" i="11"/>
  <c r="BL207" i="2" s="1"/>
  <c r="JK206" i="11"/>
  <c r="BM207" i="2" s="1"/>
  <c r="JL206" i="11"/>
  <c r="BN207" i="2" s="1"/>
  <c r="JM206" i="11"/>
  <c r="BO207" i="2" s="1"/>
  <c r="JN206" i="11"/>
  <c r="BP207" i="2" s="1"/>
  <c r="JO206" i="11"/>
  <c r="BQ207" i="2" s="1"/>
  <c r="JP206" i="11"/>
  <c r="BR207" i="2" s="1"/>
  <c r="JQ206" i="11"/>
  <c r="BS207" i="2" s="1"/>
  <c r="JR206" i="11"/>
  <c r="BT207" i="2" s="1"/>
  <c r="JS206" i="11"/>
  <c r="BU207" i="2" s="1"/>
  <c r="JT206" i="11"/>
  <c r="BV207" i="2" s="1"/>
  <c r="JU206" i="11"/>
  <c r="BW207" i="2" s="1"/>
  <c r="JV206" i="11"/>
  <c r="BX207" i="2" s="1"/>
  <c r="JW206" i="11"/>
  <c r="BY207" i="2" s="1"/>
  <c r="JX206" i="11"/>
  <c r="BZ207" i="2" s="1"/>
  <c r="JY206" i="11"/>
  <c r="CA207" i="2" s="1"/>
  <c r="JZ206" i="11"/>
  <c r="CB207" i="2" s="1"/>
  <c r="KA206" i="11"/>
  <c r="CC207" i="2" s="1"/>
  <c r="JI207" i="11"/>
  <c r="BK208" i="2" s="1"/>
  <c r="JJ207" i="11"/>
  <c r="BL208" i="2" s="1"/>
  <c r="JK207" i="11"/>
  <c r="BM208" i="2" s="1"/>
  <c r="JL207" i="11"/>
  <c r="BN208" i="2" s="1"/>
  <c r="JM207" i="11"/>
  <c r="BO208" i="2" s="1"/>
  <c r="JN207" i="11"/>
  <c r="BP208" i="2" s="1"/>
  <c r="JO207" i="11"/>
  <c r="BQ208" i="2" s="1"/>
  <c r="JP207" i="11"/>
  <c r="BR208" i="2" s="1"/>
  <c r="JQ207" i="11"/>
  <c r="BS208" i="2" s="1"/>
  <c r="JR207" i="11"/>
  <c r="BT208" i="2" s="1"/>
  <c r="JS207" i="11"/>
  <c r="BU208" i="2" s="1"/>
  <c r="JT207" i="11"/>
  <c r="BV208" i="2" s="1"/>
  <c r="JU207" i="11"/>
  <c r="BW208" i="2" s="1"/>
  <c r="JV207" i="11"/>
  <c r="BX208" i="2" s="1"/>
  <c r="JW207" i="11"/>
  <c r="BY208" i="2" s="1"/>
  <c r="JX207" i="11"/>
  <c r="BZ208" i="2" s="1"/>
  <c r="JY207" i="11"/>
  <c r="CA208" i="2" s="1"/>
  <c r="JZ207" i="11"/>
  <c r="CB208" i="2" s="1"/>
  <c r="KA207" i="11"/>
  <c r="CC208" i="2" s="1"/>
  <c r="JI208" i="11"/>
  <c r="BK209" i="2" s="1"/>
  <c r="JJ208" i="11"/>
  <c r="BL209" i="2" s="1"/>
  <c r="JK208" i="11"/>
  <c r="BM209" i="2" s="1"/>
  <c r="JL208" i="11"/>
  <c r="BN209" i="2" s="1"/>
  <c r="JM208" i="11"/>
  <c r="BO209" i="2" s="1"/>
  <c r="JN208" i="11"/>
  <c r="BP209" i="2" s="1"/>
  <c r="JO208" i="11"/>
  <c r="BQ209" i="2" s="1"/>
  <c r="JP208" i="11"/>
  <c r="BR209" i="2" s="1"/>
  <c r="JQ208" i="11"/>
  <c r="BS209" i="2" s="1"/>
  <c r="JR208" i="11"/>
  <c r="BT209" i="2" s="1"/>
  <c r="JS208" i="11"/>
  <c r="BU209" i="2" s="1"/>
  <c r="JT208" i="11"/>
  <c r="BV209" i="2" s="1"/>
  <c r="JU208" i="11"/>
  <c r="BW209" i="2" s="1"/>
  <c r="JV208" i="11"/>
  <c r="BX209" i="2" s="1"/>
  <c r="JW208" i="11"/>
  <c r="BY209" i="2" s="1"/>
  <c r="JX208" i="11"/>
  <c r="BZ209" i="2" s="1"/>
  <c r="JY208" i="11"/>
  <c r="CA209" i="2" s="1"/>
  <c r="JZ208" i="11"/>
  <c r="CB209" i="2" s="1"/>
  <c r="KA208" i="11"/>
  <c r="CC209" i="2" s="1"/>
  <c r="JI209" i="11"/>
  <c r="BK210" i="2" s="1"/>
  <c r="JJ209" i="11"/>
  <c r="BL210" i="2" s="1"/>
  <c r="JK209" i="11"/>
  <c r="BM210" i="2" s="1"/>
  <c r="JL209" i="11"/>
  <c r="BN210" i="2" s="1"/>
  <c r="JM209" i="11"/>
  <c r="BO210" i="2" s="1"/>
  <c r="JN209" i="11"/>
  <c r="BP210" i="2" s="1"/>
  <c r="JO209" i="11"/>
  <c r="BQ210" i="2" s="1"/>
  <c r="JP209" i="11"/>
  <c r="BR210" i="2" s="1"/>
  <c r="JQ209" i="11"/>
  <c r="BS210" i="2" s="1"/>
  <c r="JR209" i="11"/>
  <c r="BT210" i="2" s="1"/>
  <c r="JS209" i="11"/>
  <c r="BU210" i="2" s="1"/>
  <c r="JT209" i="11"/>
  <c r="BV210" i="2" s="1"/>
  <c r="JU209" i="11"/>
  <c r="BW210" i="2" s="1"/>
  <c r="JV209" i="11"/>
  <c r="BX210" i="2" s="1"/>
  <c r="JW209" i="11"/>
  <c r="BY210" i="2" s="1"/>
  <c r="JX209" i="11"/>
  <c r="BZ210" i="2" s="1"/>
  <c r="JY209" i="11"/>
  <c r="CA210" i="2" s="1"/>
  <c r="JZ209" i="11"/>
  <c r="CB210" i="2" s="1"/>
  <c r="KA209" i="11"/>
  <c r="CC210" i="2" s="1"/>
  <c r="JI210" i="11"/>
  <c r="BK211" i="2" s="1"/>
  <c r="JJ210" i="11"/>
  <c r="BL211" i="2" s="1"/>
  <c r="JK210" i="11"/>
  <c r="BM211" i="2" s="1"/>
  <c r="JL210" i="11"/>
  <c r="BN211" i="2" s="1"/>
  <c r="JM210" i="11"/>
  <c r="BO211" i="2" s="1"/>
  <c r="JN210" i="11"/>
  <c r="BP211" i="2" s="1"/>
  <c r="JO210" i="11"/>
  <c r="BQ211" i="2" s="1"/>
  <c r="JP210" i="11"/>
  <c r="BR211" i="2" s="1"/>
  <c r="JQ210" i="11"/>
  <c r="BS211" i="2" s="1"/>
  <c r="JR210" i="11"/>
  <c r="BT211" i="2" s="1"/>
  <c r="JS210" i="11"/>
  <c r="BU211" i="2" s="1"/>
  <c r="JT210" i="11"/>
  <c r="BV211" i="2" s="1"/>
  <c r="JU210" i="11"/>
  <c r="BW211" i="2" s="1"/>
  <c r="JV210" i="11"/>
  <c r="BX211" i="2" s="1"/>
  <c r="JW210" i="11"/>
  <c r="BY211" i="2" s="1"/>
  <c r="JX210" i="11"/>
  <c r="BZ211" i="2" s="1"/>
  <c r="JY210" i="11"/>
  <c r="CA211" i="2" s="1"/>
  <c r="JZ210" i="11"/>
  <c r="CB211" i="2" s="1"/>
  <c r="KA210" i="11"/>
  <c r="CC211" i="2" s="1"/>
  <c r="JI211" i="11"/>
  <c r="BK212" i="2" s="1"/>
  <c r="JJ211" i="11"/>
  <c r="BL212" i="2" s="1"/>
  <c r="JK211" i="11"/>
  <c r="BM212" i="2" s="1"/>
  <c r="JL211" i="11"/>
  <c r="BN212" i="2" s="1"/>
  <c r="JM211" i="11"/>
  <c r="BO212" i="2" s="1"/>
  <c r="JN211" i="11"/>
  <c r="BP212" i="2" s="1"/>
  <c r="JO211" i="11"/>
  <c r="BQ212" i="2" s="1"/>
  <c r="JP211" i="11"/>
  <c r="BR212" i="2" s="1"/>
  <c r="JQ211" i="11"/>
  <c r="BS212" i="2" s="1"/>
  <c r="JR211" i="11"/>
  <c r="BT212" i="2" s="1"/>
  <c r="JS211" i="11"/>
  <c r="BU212" i="2" s="1"/>
  <c r="JT211" i="11"/>
  <c r="BV212" i="2" s="1"/>
  <c r="JU211" i="11"/>
  <c r="BW212" i="2" s="1"/>
  <c r="JV211" i="11"/>
  <c r="BX212" i="2" s="1"/>
  <c r="JW211" i="11"/>
  <c r="BY212" i="2" s="1"/>
  <c r="JX211" i="11"/>
  <c r="BZ212" i="2" s="1"/>
  <c r="JY211" i="11"/>
  <c r="CA212" i="2" s="1"/>
  <c r="JZ211" i="11"/>
  <c r="CB212" i="2" s="1"/>
  <c r="KA211" i="11"/>
  <c r="CC212" i="2" s="1"/>
  <c r="JI212" i="11"/>
  <c r="BK213" i="2" s="1"/>
  <c r="JJ212" i="11"/>
  <c r="BL213" i="2" s="1"/>
  <c r="JK212" i="11"/>
  <c r="BM213" i="2" s="1"/>
  <c r="JL212" i="11"/>
  <c r="BN213" i="2" s="1"/>
  <c r="JM212" i="11"/>
  <c r="BO213" i="2" s="1"/>
  <c r="JN212" i="11"/>
  <c r="BP213" i="2" s="1"/>
  <c r="JO212" i="11"/>
  <c r="BQ213" i="2" s="1"/>
  <c r="JP212" i="11"/>
  <c r="BR213" i="2" s="1"/>
  <c r="JQ212" i="11"/>
  <c r="BS213" i="2" s="1"/>
  <c r="JR212" i="11"/>
  <c r="BT213" i="2" s="1"/>
  <c r="JS212" i="11"/>
  <c r="BU213" i="2" s="1"/>
  <c r="JT212" i="11"/>
  <c r="BV213" i="2" s="1"/>
  <c r="JU212" i="11"/>
  <c r="BW213" i="2" s="1"/>
  <c r="JV212" i="11"/>
  <c r="BX213" i="2" s="1"/>
  <c r="JW212" i="11"/>
  <c r="BY213" i="2" s="1"/>
  <c r="JX212" i="11"/>
  <c r="BZ213" i="2" s="1"/>
  <c r="JY212" i="11"/>
  <c r="CA213" i="2" s="1"/>
  <c r="JZ212" i="11"/>
  <c r="CB213" i="2" s="1"/>
  <c r="KA212" i="11"/>
  <c r="CC213" i="2" s="1"/>
  <c r="JI213" i="11"/>
  <c r="BK214" i="2" s="1"/>
  <c r="JJ213" i="11"/>
  <c r="BL214" i="2" s="1"/>
  <c r="JK213" i="11"/>
  <c r="BM214" i="2" s="1"/>
  <c r="JL213" i="11"/>
  <c r="BN214" i="2" s="1"/>
  <c r="JM213" i="11"/>
  <c r="BO214" i="2" s="1"/>
  <c r="JN213" i="11"/>
  <c r="BP214" i="2" s="1"/>
  <c r="JO213" i="11"/>
  <c r="BQ214" i="2" s="1"/>
  <c r="JP213" i="11"/>
  <c r="BR214" i="2" s="1"/>
  <c r="JQ213" i="11"/>
  <c r="BS214" i="2" s="1"/>
  <c r="JR213" i="11"/>
  <c r="BT214" i="2" s="1"/>
  <c r="JS213" i="11"/>
  <c r="BU214" i="2" s="1"/>
  <c r="JT213" i="11"/>
  <c r="BV214" i="2" s="1"/>
  <c r="JU213" i="11"/>
  <c r="BW214" i="2" s="1"/>
  <c r="JV213" i="11"/>
  <c r="BX214" i="2" s="1"/>
  <c r="JW213" i="11"/>
  <c r="BY214" i="2" s="1"/>
  <c r="JX213" i="11"/>
  <c r="BZ214" i="2" s="1"/>
  <c r="JY213" i="11"/>
  <c r="CA214" i="2" s="1"/>
  <c r="JZ213" i="11"/>
  <c r="CB214" i="2" s="1"/>
  <c r="KA213" i="11"/>
  <c r="CC214" i="2" s="1"/>
  <c r="JI214" i="11"/>
  <c r="BK215" i="2" s="1"/>
  <c r="JJ214" i="11"/>
  <c r="BL215" i="2" s="1"/>
  <c r="JK214" i="11"/>
  <c r="BM215" i="2" s="1"/>
  <c r="JL214" i="11"/>
  <c r="BN215" i="2" s="1"/>
  <c r="JM214" i="11"/>
  <c r="BO215" i="2" s="1"/>
  <c r="JN214" i="11"/>
  <c r="BP215" i="2" s="1"/>
  <c r="JO214" i="11"/>
  <c r="BQ215" i="2" s="1"/>
  <c r="JP214" i="11"/>
  <c r="BR215" i="2" s="1"/>
  <c r="JQ214" i="11"/>
  <c r="BS215" i="2" s="1"/>
  <c r="JR214" i="11"/>
  <c r="BT215" i="2" s="1"/>
  <c r="JS214" i="11"/>
  <c r="BU215" i="2" s="1"/>
  <c r="JT214" i="11"/>
  <c r="BV215" i="2" s="1"/>
  <c r="JU214" i="11"/>
  <c r="BW215" i="2" s="1"/>
  <c r="JV214" i="11"/>
  <c r="BX215" i="2" s="1"/>
  <c r="JW214" i="11"/>
  <c r="BY215" i="2" s="1"/>
  <c r="JX214" i="11"/>
  <c r="BZ215" i="2" s="1"/>
  <c r="JY214" i="11"/>
  <c r="CA215" i="2" s="1"/>
  <c r="JZ214" i="11"/>
  <c r="CB215" i="2" s="1"/>
  <c r="KA214" i="11"/>
  <c r="CC215" i="2" s="1"/>
  <c r="JI215" i="11"/>
  <c r="BK216" i="2" s="1"/>
  <c r="JJ215" i="11"/>
  <c r="BL216" i="2" s="1"/>
  <c r="JK215" i="11"/>
  <c r="BM216" i="2" s="1"/>
  <c r="JL215" i="11"/>
  <c r="BN216" i="2" s="1"/>
  <c r="JM215" i="11"/>
  <c r="BO216" i="2" s="1"/>
  <c r="JN215" i="11"/>
  <c r="BP216" i="2" s="1"/>
  <c r="JO215" i="11"/>
  <c r="BQ216" i="2" s="1"/>
  <c r="JP215" i="11"/>
  <c r="BR216" i="2" s="1"/>
  <c r="JQ215" i="11"/>
  <c r="BS216" i="2" s="1"/>
  <c r="JR215" i="11"/>
  <c r="BT216" i="2" s="1"/>
  <c r="JS215" i="11"/>
  <c r="BU216" i="2" s="1"/>
  <c r="JT215" i="11"/>
  <c r="BV216" i="2" s="1"/>
  <c r="JU215" i="11"/>
  <c r="BW216" i="2" s="1"/>
  <c r="JV215" i="11"/>
  <c r="BX216" i="2" s="1"/>
  <c r="JW215" i="11"/>
  <c r="BY216" i="2" s="1"/>
  <c r="JX215" i="11"/>
  <c r="BZ216" i="2" s="1"/>
  <c r="JY215" i="11"/>
  <c r="CA216" i="2" s="1"/>
  <c r="JZ215" i="11"/>
  <c r="CB216" i="2" s="1"/>
  <c r="KA215" i="11"/>
  <c r="CC216" i="2" s="1"/>
  <c r="JI216" i="11"/>
  <c r="BK217" i="2" s="1"/>
  <c r="JJ216" i="11"/>
  <c r="BL217" i="2" s="1"/>
  <c r="JK216" i="11"/>
  <c r="BM217" i="2" s="1"/>
  <c r="JL216" i="11"/>
  <c r="BN217" i="2" s="1"/>
  <c r="JM216" i="11"/>
  <c r="BO217" i="2" s="1"/>
  <c r="JN216" i="11"/>
  <c r="BP217" i="2" s="1"/>
  <c r="JO216" i="11"/>
  <c r="BQ217" i="2" s="1"/>
  <c r="JP216" i="11"/>
  <c r="BR217" i="2" s="1"/>
  <c r="JQ216" i="11"/>
  <c r="BS217" i="2" s="1"/>
  <c r="JR216" i="11"/>
  <c r="BT217" i="2" s="1"/>
  <c r="JS216" i="11"/>
  <c r="BU217" i="2" s="1"/>
  <c r="JT216" i="11"/>
  <c r="BV217" i="2" s="1"/>
  <c r="JU216" i="11"/>
  <c r="BW217" i="2" s="1"/>
  <c r="JV216" i="11"/>
  <c r="BX217" i="2" s="1"/>
  <c r="JW216" i="11"/>
  <c r="BY217" i="2" s="1"/>
  <c r="JX216" i="11"/>
  <c r="BZ217" i="2" s="1"/>
  <c r="JY216" i="11"/>
  <c r="CA217" i="2" s="1"/>
  <c r="JZ216" i="11"/>
  <c r="CB217" i="2" s="1"/>
  <c r="KA216" i="11"/>
  <c r="CC217" i="2" s="1"/>
  <c r="JI217" i="11"/>
  <c r="BK218" i="2" s="1"/>
  <c r="JJ217" i="11"/>
  <c r="BL218" i="2" s="1"/>
  <c r="JK217" i="11"/>
  <c r="BM218" i="2" s="1"/>
  <c r="JL217" i="11"/>
  <c r="BN218" i="2" s="1"/>
  <c r="JM217" i="11"/>
  <c r="BO218" i="2" s="1"/>
  <c r="JN217" i="11"/>
  <c r="BP218" i="2" s="1"/>
  <c r="JO217" i="11"/>
  <c r="BQ218" i="2" s="1"/>
  <c r="JP217" i="11"/>
  <c r="BR218" i="2" s="1"/>
  <c r="JQ217" i="11"/>
  <c r="BS218" i="2" s="1"/>
  <c r="BG12" i="5" s="1" a="1"/>
  <c r="BG12" i="5" s="1"/>
  <c r="JR217" i="11"/>
  <c r="BT218" i="2" s="1"/>
  <c r="JS217" i="11"/>
  <c r="BU218" i="2" s="1"/>
  <c r="BI12" i="5" s="1" a="1"/>
  <c r="BI12" i="5" s="1"/>
  <c r="JT217" i="11"/>
  <c r="BV218" i="2" s="1"/>
  <c r="JU217" i="11"/>
  <c r="BW218" i="2" s="1"/>
  <c r="JV217" i="11"/>
  <c r="BX218" i="2" s="1"/>
  <c r="JW217" i="11"/>
  <c r="BY218" i="2" s="1"/>
  <c r="BM12" i="5" s="1" a="1"/>
  <c r="BM12" i="5" s="1"/>
  <c r="JX217" i="11"/>
  <c r="BZ218" i="2" s="1"/>
  <c r="JY217" i="11"/>
  <c r="CA218" i="2" s="1"/>
  <c r="JZ217" i="11"/>
  <c r="CB218" i="2" s="1"/>
  <c r="KA217" i="11"/>
  <c r="CC218" i="2" s="1"/>
  <c r="JI218" i="11"/>
  <c r="BK219" i="2" s="1"/>
  <c r="JJ218" i="11"/>
  <c r="BL219" i="2" s="1"/>
  <c r="JK218" i="11"/>
  <c r="BM219" i="2" s="1"/>
  <c r="JL218" i="11"/>
  <c r="BN219" i="2" s="1"/>
  <c r="JM218" i="11"/>
  <c r="BO219" i="2" s="1"/>
  <c r="JN218" i="11"/>
  <c r="BP219" i="2" s="1"/>
  <c r="JO218" i="11"/>
  <c r="BQ219" i="2" s="1"/>
  <c r="JP218" i="11"/>
  <c r="BR219" i="2" s="1"/>
  <c r="JQ218" i="11"/>
  <c r="BS219" i="2" s="1"/>
  <c r="JR218" i="11"/>
  <c r="BT219" i="2" s="1"/>
  <c r="JS218" i="11"/>
  <c r="BU219" i="2" s="1"/>
  <c r="JT218" i="11"/>
  <c r="BV219" i="2" s="1"/>
  <c r="JU218" i="11"/>
  <c r="BW219" i="2" s="1"/>
  <c r="JV218" i="11"/>
  <c r="BX219" i="2" s="1"/>
  <c r="JW218" i="11"/>
  <c r="BY219" i="2" s="1"/>
  <c r="JX218" i="11"/>
  <c r="BZ219" i="2" s="1"/>
  <c r="JY218" i="11"/>
  <c r="CA219" i="2" s="1"/>
  <c r="JZ218" i="11"/>
  <c r="CB219" i="2" s="1"/>
  <c r="KA218" i="11"/>
  <c r="CC219" i="2" s="1"/>
  <c r="JI219" i="11"/>
  <c r="BK220" i="2" s="1"/>
  <c r="JJ219" i="11"/>
  <c r="BL220" i="2" s="1"/>
  <c r="JK219" i="11"/>
  <c r="BM220" i="2" s="1"/>
  <c r="JL219" i="11"/>
  <c r="BN220" i="2" s="1"/>
  <c r="JM219" i="11"/>
  <c r="BO220" i="2" s="1"/>
  <c r="JN219" i="11"/>
  <c r="BP220" i="2" s="1"/>
  <c r="JO219" i="11"/>
  <c r="BQ220" i="2" s="1"/>
  <c r="JP219" i="11"/>
  <c r="BR220" i="2" s="1"/>
  <c r="JQ219" i="11"/>
  <c r="BS220" i="2" s="1"/>
  <c r="JR219" i="11"/>
  <c r="BT220" i="2" s="1"/>
  <c r="JS219" i="11"/>
  <c r="BU220" i="2" s="1"/>
  <c r="JT219" i="11"/>
  <c r="BV220" i="2" s="1"/>
  <c r="JU219" i="11"/>
  <c r="BW220" i="2" s="1"/>
  <c r="JV219" i="11"/>
  <c r="BX220" i="2" s="1"/>
  <c r="JW219" i="11"/>
  <c r="BY220" i="2" s="1"/>
  <c r="JX219" i="11"/>
  <c r="BZ220" i="2" s="1"/>
  <c r="JY219" i="11"/>
  <c r="CA220" i="2" s="1"/>
  <c r="JZ219" i="11"/>
  <c r="CB220" i="2" s="1"/>
  <c r="KA219" i="11"/>
  <c r="CC220" i="2" s="1"/>
  <c r="JI220" i="11"/>
  <c r="BK221" i="2" s="1"/>
  <c r="JJ220" i="11"/>
  <c r="BL221" i="2" s="1"/>
  <c r="JK220" i="11"/>
  <c r="BM221" i="2" s="1"/>
  <c r="JL220" i="11"/>
  <c r="BN221" i="2" s="1"/>
  <c r="JM220" i="11"/>
  <c r="BO221" i="2" s="1"/>
  <c r="JN220" i="11"/>
  <c r="BP221" i="2" s="1"/>
  <c r="JO220" i="11"/>
  <c r="BQ221" i="2" s="1"/>
  <c r="JP220" i="11"/>
  <c r="BR221" i="2" s="1"/>
  <c r="JQ220" i="11"/>
  <c r="BS221" i="2" s="1"/>
  <c r="JR220" i="11"/>
  <c r="BT221" i="2" s="1"/>
  <c r="JS220" i="11"/>
  <c r="BU221" i="2" s="1"/>
  <c r="JT220" i="11"/>
  <c r="BV221" i="2" s="1"/>
  <c r="JU220" i="11"/>
  <c r="BW221" i="2" s="1"/>
  <c r="JV220" i="11"/>
  <c r="BX221" i="2" s="1"/>
  <c r="JW220" i="11"/>
  <c r="BY221" i="2" s="1"/>
  <c r="JX220" i="11"/>
  <c r="BZ221" i="2" s="1"/>
  <c r="JY220" i="11"/>
  <c r="CA221" i="2" s="1"/>
  <c r="JZ220" i="11"/>
  <c r="CB221" i="2" s="1"/>
  <c r="KA220" i="11"/>
  <c r="CC221" i="2" s="1"/>
  <c r="JI221" i="11"/>
  <c r="BK222" i="2" s="1"/>
  <c r="JJ221" i="11"/>
  <c r="BL222" i="2" s="1"/>
  <c r="JK221" i="11"/>
  <c r="BM222" i="2" s="1"/>
  <c r="JL221" i="11"/>
  <c r="BN222" i="2" s="1"/>
  <c r="JM221" i="11"/>
  <c r="BO222" i="2" s="1"/>
  <c r="JN221" i="11"/>
  <c r="BP222" i="2" s="1"/>
  <c r="JO221" i="11"/>
  <c r="BQ222" i="2" s="1"/>
  <c r="JP221" i="11"/>
  <c r="BR222" i="2" s="1"/>
  <c r="JQ221" i="11"/>
  <c r="BS222" i="2" s="1"/>
  <c r="JR221" i="11"/>
  <c r="BT222" i="2" s="1"/>
  <c r="JS221" i="11"/>
  <c r="BU222" i="2" s="1"/>
  <c r="JT221" i="11"/>
  <c r="BV222" i="2" s="1"/>
  <c r="JU221" i="11"/>
  <c r="BW222" i="2" s="1"/>
  <c r="JV221" i="11"/>
  <c r="BX222" i="2" s="1"/>
  <c r="JW221" i="11"/>
  <c r="BY222" i="2" s="1"/>
  <c r="JX221" i="11"/>
  <c r="BZ222" i="2" s="1"/>
  <c r="JY221" i="11"/>
  <c r="CA222" i="2" s="1"/>
  <c r="JZ221" i="11"/>
  <c r="CB222" i="2" s="1"/>
  <c r="KA221" i="11"/>
  <c r="CC222" i="2" s="1"/>
  <c r="JI222" i="11"/>
  <c r="BK223" i="2" s="1"/>
  <c r="JJ222" i="11"/>
  <c r="BL223" i="2" s="1"/>
  <c r="JK222" i="11"/>
  <c r="BM223" i="2" s="1"/>
  <c r="JL222" i="11"/>
  <c r="BN223" i="2" s="1"/>
  <c r="JM222" i="11"/>
  <c r="BO223" i="2" s="1"/>
  <c r="JN222" i="11"/>
  <c r="BP223" i="2" s="1"/>
  <c r="JO222" i="11"/>
  <c r="BQ223" i="2" s="1"/>
  <c r="JP222" i="11"/>
  <c r="BR223" i="2" s="1"/>
  <c r="JQ222" i="11"/>
  <c r="BS223" i="2" s="1"/>
  <c r="JR222" i="11"/>
  <c r="BT223" i="2" s="1"/>
  <c r="JS222" i="11"/>
  <c r="BU223" i="2" s="1"/>
  <c r="JT222" i="11"/>
  <c r="BV223" i="2" s="1"/>
  <c r="JU222" i="11"/>
  <c r="BW223" i="2" s="1"/>
  <c r="JV222" i="11"/>
  <c r="BX223" i="2" s="1"/>
  <c r="JW222" i="11"/>
  <c r="BY223" i="2" s="1"/>
  <c r="JX222" i="11"/>
  <c r="BZ223" i="2" s="1"/>
  <c r="JY222" i="11"/>
  <c r="CA223" i="2" s="1"/>
  <c r="JZ222" i="11"/>
  <c r="CB223" i="2" s="1"/>
  <c r="KA222" i="11"/>
  <c r="CC223" i="2" s="1"/>
  <c r="JI223" i="11"/>
  <c r="BK224" i="2" s="1"/>
  <c r="JJ223" i="11"/>
  <c r="BL224" i="2" s="1"/>
  <c r="JK223" i="11"/>
  <c r="BM224" i="2" s="1"/>
  <c r="JL223" i="11"/>
  <c r="BN224" i="2" s="1"/>
  <c r="JM223" i="11"/>
  <c r="BO224" i="2" s="1"/>
  <c r="JN223" i="11"/>
  <c r="BP224" i="2" s="1"/>
  <c r="JO223" i="11"/>
  <c r="BQ224" i="2" s="1"/>
  <c r="JP223" i="11"/>
  <c r="BR224" i="2" s="1"/>
  <c r="JQ223" i="11"/>
  <c r="BS224" i="2" s="1"/>
  <c r="JR223" i="11"/>
  <c r="BT224" i="2" s="1"/>
  <c r="JS223" i="11"/>
  <c r="BU224" i="2" s="1"/>
  <c r="JT223" i="11"/>
  <c r="BV224" i="2" s="1"/>
  <c r="JU223" i="11"/>
  <c r="BW224" i="2" s="1"/>
  <c r="JV223" i="11"/>
  <c r="BX224" i="2" s="1"/>
  <c r="JW223" i="11"/>
  <c r="BY224" i="2" s="1"/>
  <c r="JX223" i="11"/>
  <c r="BZ224" i="2" s="1"/>
  <c r="JY223" i="11"/>
  <c r="CA224" i="2" s="1"/>
  <c r="JZ223" i="11"/>
  <c r="CB224" i="2" s="1"/>
  <c r="KA223" i="11"/>
  <c r="CC224" i="2" s="1"/>
  <c r="JI224" i="11"/>
  <c r="BK225" i="2" s="1"/>
  <c r="JJ224" i="11"/>
  <c r="BL225" i="2" s="1"/>
  <c r="JK224" i="11"/>
  <c r="BM225" i="2" s="1"/>
  <c r="JL224" i="11"/>
  <c r="BN225" i="2" s="1"/>
  <c r="JM224" i="11"/>
  <c r="BO225" i="2" s="1"/>
  <c r="JN224" i="11"/>
  <c r="BP225" i="2" s="1"/>
  <c r="JO224" i="11"/>
  <c r="BQ225" i="2" s="1"/>
  <c r="JP224" i="11"/>
  <c r="BR225" i="2" s="1"/>
  <c r="JQ224" i="11"/>
  <c r="BS225" i="2" s="1"/>
  <c r="JR224" i="11"/>
  <c r="BT225" i="2" s="1"/>
  <c r="JS224" i="11"/>
  <c r="BU225" i="2" s="1"/>
  <c r="JT224" i="11"/>
  <c r="BV225" i="2" s="1"/>
  <c r="JU224" i="11"/>
  <c r="BW225" i="2" s="1"/>
  <c r="JV224" i="11"/>
  <c r="BX225" i="2" s="1"/>
  <c r="JW224" i="11"/>
  <c r="BY225" i="2" s="1"/>
  <c r="JX224" i="11"/>
  <c r="BZ225" i="2" s="1"/>
  <c r="JY224" i="11"/>
  <c r="CA225" i="2" s="1"/>
  <c r="JZ224" i="11"/>
  <c r="CB225" i="2" s="1"/>
  <c r="KA224" i="11"/>
  <c r="CC225" i="2" s="1"/>
  <c r="JI225" i="11"/>
  <c r="BK226" i="2" s="1"/>
  <c r="JJ225" i="11"/>
  <c r="BL226" i="2" s="1"/>
  <c r="JK225" i="11"/>
  <c r="BM226" i="2" s="1"/>
  <c r="JL225" i="11"/>
  <c r="BN226" i="2" s="1"/>
  <c r="JM225" i="11"/>
  <c r="BO226" i="2" s="1"/>
  <c r="JN225" i="11"/>
  <c r="BP226" i="2" s="1"/>
  <c r="JO225" i="11"/>
  <c r="BQ226" i="2" s="1"/>
  <c r="JP225" i="11"/>
  <c r="BR226" i="2" s="1"/>
  <c r="JQ225" i="11"/>
  <c r="BS226" i="2" s="1"/>
  <c r="JR225" i="11"/>
  <c r="BT226" i="2" s="1"/>
  <c r="JS225" i="11"/>
  <c r="BU226" i="2" s="1"/>
  <c r="JT225" i="11"/>
  <c r="BV226" i="2" s="1"/>
  <c r="JU225" i="11"/>
  <c r="BW226" i="2" s="1"/>
  <c r="JV225" i="11"/>
  <c r="BX226" i="2" s="1"/>
  <c r="JW225" i="11"/>
  <c r="BY226" i="2" s="1"/>
  <c r="JX225" i="11"/>
  <c r="BZ226" i="2" s="1"/>
  <c r="JY225" i="11"/>
  <c r="CA226" i="2" s="1"/>
  <c r="JZ225" i="11"/>
  <c r="CB226" i="2" s="1"/>
  <c r="KA225" i="11"/>
  <c r="CC226" i="2" s="1"/>
  <c r="JI226" i="11"/>
  <c r="BK227" i="2" s="1"/>
  <c r="JJ226" i="11"/>
  <c r="BL227" i="2" s="1"/>
  <c r="JK226" i="11"/>
  <c r="BM227" i="2" s="1"/>
  <c r="JL226" i="11"/>
  <c r="BN227" i="2" s="1"/>
  <c r="JM226" i="11"/>
  <c r="BO227" i="2" s="1"/>
  <c r="JN226" i="11"/>
  <c r="BP227" i="2" s="1"/>
  <c r="JO226" i="11"/>
  <c r="BQ227" i="2" s="1"/>
  <c r="JP226" i="11"/>
  <c r="BR227" i="2" s="1"/>
  <c r="JQ226" i="11"/>
  <c r="BS227" i="2" s="1"/>
  <c r="JR226" i="11"/>
  <c r="BT227" i="2" s="1"/>
  <c r="JS226" i="11"/>
  <c r="BU227" i="2" s="1"/>
  <c r="JT226" i="11"/>
  <c r="BV227" i="2" s="1"/>
  <c r="JU226" i="11"/>
  <c r="BW227" i="2" s="1"/>
  <c r="JV226" i="11"/>
  <c r="BX227" i="2" s="1"/>
  <c r="JW226" i="11"/>
  <c r="BY227" i="2" s="1"/>
  <c r="JX226" i="11"/>
  <c r="BZ227" i="2" s="1"/>
  <c r="JY226" i="11"/>
  <c r="CA227" i="2" s="1"/>
  <c r="JZ226" i="11"/>
  <c r="CB227" i="2" s="1"/>
  <c r="KA226" i="11"/>
  <c r="CC227" i="2" s="1"/>
  <c r="JI227" i="11"/>
  <c r="BK228" i="2" s="1"/>
  <c r="JJ227" i="11"/>
  <c r="BL228" i="2" s="1"/>
  <c r="JK227" i="11"/>
  <c r="BM228" i="2" s="1"/>
  <c r="JL227" i="11"/>
  <c r="BN228" i="2" s="1"/>
  <c r="JM227" i="11"/>
  <c r="BO228" i="2" s="1"/>
  <c r="JN227" i="11"/>
  <c r="BP228" i="2" s="1"/>
  <c r="JO227" i="11"/>
  <c r="BQ228" i="2" s="1"/>
  <c r="JP227" i="11"/>
  <c r="BR228" i="2" s="1"/>
  <c r="JQ227" i="11"/>
  <c r="BS228" i="2" s="1"/>
  <c r="JR227" i="11"/>
  <c r="BT228" i="2" s="1"/>
  <c r="JS227" i="11"/>
  <c r="BU228" i="2" s="1"/>
  <c r="JT227" i="11"/>
  <c r="BV228" i="2" s="1"/>
  <c r="JU227" i="11"/>
  <c r="BW228" i="2" s="1"/>
  <c r="JV227" i="11"/>
  <c r="BX228" i="2" s="1"/>
  <c r="JW227" i="11"/>
  <c r="BY228" i="2" s="1"/>
  <c r="JX227" i="11"/>
  <c r="BZ228" i="2" s="1"/>
  <c r="JY227" i="11"/>
  <c r="CA228" i="2" s="1"/>
  <c r="JZ227" i="11"/>
  <c r="CB228" i="2" s="1"/>
  <c r="KA227" i="11"/>
  <c r="CC228" i="2" s="1"/>
  <c r="JI228" i="11"/>
  <c r="BK229" i="2" s="1"/>
  <c r="JJ228" i="11"/>
  <c r="BL229" i="2" s="1"/>
  <c r="JK228" i="11"/>
  <c r="BM229" i="2" s="1"/>
  <c r="JL228" i="11"/>
  <c r="BN229" i="2" s="1"/>
  <c r="JM228" i="11"/>
  <c r="BO229" i="2" s="1"/>
  <c r="JN228" i="11"/>
  <c r="BP229" i="2" s="1"/>
  <c r="JO228" i="11"/>
  <c r="BQ229" i="2" s="1"/>
  <c r="JP228" i="11"/>
  <c r="BR229" i="2" s="1"/>
  <c r="JQ228" i="11"/>
  <c r="BS229" i="2" s="1"/>
  <c r="JR228" i="11"/>
  <c r="BT229" i="2" s="1"/>
  <c r="JS228" i="11"/>
  <c r="BU229" i="2" s="1"/>
  <c r="JT228" i="11"/>
  <c r="BV229" i="2" s="1"/>
  <c r="JU228" i="11"/>
  <c r="BW229" i="2" s="1"/>
  <c r="JV228" i="11"/>
  <c r="BX229" i="2" s="1"/>
  <c r="JW228" i="11"/>
  <c r="BY229" i="2" s="1"/>
  <c r="JX228" i="11"/>
  <c r="BZ229" i="2" s="1"/>
  <c r="JY228" i="11"/>
  <c r="CA229" i="2" s="1"/>
  <c r="JZ228" i="11"/>
  <c r="CB229" i="2" s="1"/>
  <c r="KA228" i="11"/>
  <c r="CC229" i="2" s="1"/>
  <c r="JI229" i="11"/>
  <c r="BK230" i="2" s="1"/>
  <c r="JJ229" i="11"/>
  <c r="BL230" i="2" s="1"/>
  <c r="JK229" i="11"/>
  <c r="BM230" i="2" s="1"/>
  <c r="JL229" i="11"/>
  <c r="BN230" i="2" s="1"/>
  <c r="JM229" i="11"/>
  <c r="BO230" i="2" s="1"/>
  <c r="JN229" i="11"/>
  <c r="BP230" i="2" s="1"/>
  <c r="JO229" i="11"/>
  <c r="BQ230" i="2" s="1"/>
  <c r="JP229" i="11"/>
  <c r="BR230" i="2" s="1"/>
  <c r="JQ229" i="11"/>
  <c r="BS230" i="2" s="1"/>
  <c r="JR229" i="11"/>
  <c r="BT230" i="2" s="1"/>
  <c r="JS229" i="11"/>
  <c r="BU230" i="2" s="1"/>
  <c r="JT229" i="11"/>
  <c r="BV230" i="2" s="1"/>
  <c r="JU229" i="11"/>
  <c r="BW230" i="2" s="1"/>
  <c r="JV229" i="11"/>
  <c r="BX230" i="2" s="1"/>
  <c r="JW229" i="11"/>
  <c r="BY230" i="2" s="1"/>
  <c r="JX229" i="11"/>
  <c r="BZ230" i="2" s="1"/>
  <c r="JY229" i="11"/>
  <c r="CA230" i="2" s="1"/>
  <c r="JZ229" i="11"/>
  <c r="CB230" i="2" s="1"/>
  <c r="KA229" i="11"/>
  <c r="CC230" i="2" s="1"/>
  <c r="JI230" i="11"/>
  <c r="BK231" i="2" s="1"/>
  <c r="JJ230" i="11"/>
  <c r="BL231" i="2" s="1"/>
  <c r="JK230" i="11"/>
  <c r="BM231" i="2" s="1"/>
  <c r="JL230" i="11"/>
  <c r="BN231" i="2" s="1"/>
  <c r="JM230" i="11"/>
  <c r="BO231" i="2" s="1"/>
  <c r="JN230" i="11"/>
  <c r="BP231" i="2" s="1"/>
  <c r="JO230" i="11"/>
  <c r="BQ231" i="2" s="1"/>
  <c r="JP230" i="11"/>
  <c r="BR231" i="2" s="1"/>
  <c r="JQ230" i="11"/>
  <c r="BS231" i="2" s="1"/>
  <c r="JR230" i="11"/>
  <c r="BT231" i="2" s="1"/>
  <c r="JS230" i="11"/>
  <c r="BU231" i="2" s="1"/>
  <c r="JT230" i="11"/>
  <c r="BV231" i="2" s="1"/>
  <c r="JU230" i="11"/>
  <c r="BW231" i="2" s="1"/>
  <c r="JV230" i="11"/>
  <c r="BX231" i="2" s="1"/>
  <c r="JW230" i="11"/>
  <c r="BY231" i="2" s="1"/>
  <c r="JX230" i="11"/>
  <c r="BZ231" i="2" s="1"/>
  <c r="JY230" i="11"/>
  <c r="CA231" i="2" s="1"/>
  <c r="JZ230" i="11"/>
  <c r="CB231" i="2" s="1"/>
  <c r="KA230" i="11"/>
  <c r="CC231" i="2" s="1"/>
  <c r="JI231" i="11"/>
  <c r="BK232" i="2" s="1"/>
  <c r="JJ231" i="11"/>
  <c r="BL232" i="2" s="1"/>
  <c r="JK231" i="11"/>
  <c r="BM232" i="2" s="1"/>
  <c r="JL231" i="11"/>
  <c r="BN232" i="2" s="1"/>
  <c r="JM231" i="11"/>
  <c r="BO232" i="2" s="1"/>
  <c r="JN231" i="11"/>
  <c r="BP232" i="2" s="1"/>
  <c r="JO231" i="11"/>
  <c r="BQ232" i="2" s="1"/>
  <c r="JP231" i="11"/>
  <c r="BR232" i="2" s="1"/>
  <c r="JQ231" i="11"/>
  <c r="BS232" i="2" s="1"/>
  <c r="JR231" i="11"/>
  <c r="BT232" i="2" s="1"/>
  <c r="JS231" i="11"/>
  <c r="BU232" i="2" s="1"/>
  <c r="JT231" i="11"/>
  <c r="BV232" i="2" s="1"/>
  <c r="JU231" i="11"/>
  <c r="BW232" i="2" s="1"/>
  <c r="JV231" i="11"/>
  <c r="BX232" i="2" s="1"/>
  <c r="JW231" i="11"/>
  <c r="BY232" i="2" s="1"/>
  <c r="JX231" i="11"/>
  <c r="BZ232" i="2" s="1"/>
  <c r="JY231" i="11"/>
  <c r="CA232" i="2" s="1"/>
  <c r="JZ231" i="11"/>
  <c r="CB232" i="2" s="1"/>
  <c r="KA231" i="11"/>
  <c r="CC232" i="2" s="1"/>
  <c r="JI232" i="11"/>
  <c r="BK233" i="2" s="1"/>
  <c r="JJ232" i="11"/>
  <c r="BL233" i="2" s="1"/>
  <c r="JK232" i="11"/>
  <c r="BM233" i="2" s="1"/>
  <c r="JL232" i="11"/>
  <c r="BN233" i="2" s="1"/>
  <c r="JM232" i="11"/>
  <c r="BO233" i="2" s="1"/>
  <c r="JN232" i="11"/>
  <c r="BP233" i="2" s="1"/>
  <c r="JO232" i="11"/>
  <c r="BQ233" i="2" s="1"/>
  <c r="JP232" i="11"/>
  <c r="BR233" i="2" s="1"/>
  <c r="JQ232" i="11"/>
  <c r="BS233" i="2" s="1"/>
  <c r="JR232" i="11"/>
  <c r="BT233" i="2" s="1"/>
  <c r="JS232" i="11"/>
  <c r="BU233" i="2" s="1"/>
  <c r="JT232" i="11"/>
  <c r="BV233" i="2" s="1"/>
  <c r="JU232" i="11"/>
  <c r="BW233" i="2" s="1"/>
  <c r="JV232" i="11"/>
  <c r="BX233" i="2" s="1"/>
  <c r="JW232" i="11"/>
  <c r="BY233" i="2" s="1"/>
  <c r="JX232" i="11"/>
  <c r="BZ233" i="2" s="1"/>
  <c r="JY232" i="11"/>
  <c r="CA233" i="2" s="1"/>
  <c r="JZ232" i="11"/>
  <c r="CB233" i="2" s="1"/>
  <c r="KA232" i="11"/>
  <c r="CC233" i="2" s="1"/>
  <c r="JI233" i="11"/>
  <c r="BK234" i="2" s="1"/>
  <c r="JJ233" i="11"/>
  <c r="BL234" i="2" s="1"/>
  <c r="JK233" i="11"/>
  <c r="BM234" i="2" s="1"/>
  <c r="JL233" i="11"/>
  <c r="BN234" i="2" s="1"/>
  <c r="JM233" i="11"/>
  <c r="BO234" i="2" s="1"/>
  <c r="JN233" i="11"/>
  <c r="BP234" i="2" s="1"/>
  <c r="JO233" i="11"/>
  <c r="BQ234" i="2" s="1"/>
  <c r="JP233" i="11"/>
  <c r="BR234" i="2" s="1"/>
  <c r="JQ233" i="11"/>
  <c r="BS234" i="2" s="1"/>
  <c r="JR233" i="11"/>
  <c r="BT234" i="2" s="1"/>
  <c r="JS233" i="11"/>
  <c r="BU234" i="2" s="1"/>
  <c r="JT233" i="11"/>
  <c r="BV234" i="2" s="1"/>
  <c r="JU233" i="11"/>
  <c r="BW234" i="2" s="1"/>
  <c r="JV233" i="11"/>
  <c r="BX234" i="2" s="1"/>
  <c r="JW233" i="11"/>
  <c r="BY234" i="2" s="1"/>
  <c r="JX233" i="11"/>
  <c r="BZ234" i="2" s="1"/>
  <c r="JY233" i="11"/>
  <c r="CA234" i="2" s="1"/>
  <c r="JZ233" i="11"/>
  <c r="CB234" i="2" s="1"/>
  <c r="KA233" i="11"/>
  <c r="CC234" i="2" s="1"/>
  <c r="JI234" i="11"/>
  <c r="BK235" i="2" s="1"/>
  <c r="JJ234" i="11"/>
  <c r="BL235" i="2" s="1"/>
  <c r="JK234" i="11"/>
  <c r="BM235" i="2" s="1"/>
  <c r="JL234" i="11"/>
  <c r="BN235" i="2" s="1"/>
  <c r="JM234" i="11"/>
  <c r="BO235" i="2" s="1"/>
  <c r="JN234" i="11"/>
  <c r="BP235" i="2" s="1"/>
  <c r="JO234" i="11"/>
  <c r="BQ235" i="2" s="1"/>
  <c r="JP234" i="11"/>
  <c r="BR235" i="2" s="1"/>
  <c r="JQ234" i="11"/>
  <c r="BS235" i="2" s="1"/>
  <c r="JR234" i="11"/>
  <c r="BT235" i="2" s="1"/>
  <c r="JS234" i="11"/>
  <c r="BU235" i="2" s="1"/>
  <c r="JT234" i="11"/>
  <c r="BV235" i="2" s="1"/>
  <c r="JU234" i="11"/>
  <c r="BW235" i="2" s="1"/>
  <c r="JV234" i="11"/>
  <c r="BX235" i="2" s="1"/>
  <c r="JW234" i="11"/>
  <c r="BY235" i="2" s="1"/>
  <c r="JX234" i="11"/>
  <c r="BZ235" i="2" s="1"/>
  <c r="JY234" i="11"/>
  <c r="CA235" i="2" s="1"/>
  <c r="JZ234" i="11"/>
  <c r="CB235" i="2" s="1"/>
  <c r="KA234" i="11"/>
  <c r="CC235" i="2" s="1"/>
  <c r="JI235" i="11"/>
  <c r="BK236" i="2" s="1"/>
  <c r="JJ235" i="11"/>
  <c r="BL236" i="2" s="1"/>
  <c r="JK235" i="11"/>
  <c r="BM236" i="2" s="1"/>
  <c r="JL235" i="11"/>
  <c r="BN236" i="2" s="1"/>
  <c r="JM235" i="11"/>
  <c r="BO236" i="2" s="1"/>
  <c r="JN235" i="11"/>
  <c r="BP236" i="2" s="1"/>
  <c r="JO235" i="11"/>
  <c r="BQ236" i="2" s="1"/>
  <c r="JP235" i="11"/>
  <c r="BR236" i="2" s="1"/>
  <c r="JQ235" i="11"/>
  <c r="BS236" i="2" s="1"/>
  <c r="JR235" i="11"/>
  <c r="BT236" i="2" s="1"/>
  <c r="JS235" i="11"/>
  <c r="BU236" i="2" s="1"/>
  <c r="JT235" i="11"/>
  <c r="BV236" i="2" s="1"/>
  <c r="JU235" i="11"/>
  <c r="BW236" i="2" s="1"/>
  <c r="JV235" i="11"/>
  <c r="BX236" i="2" s="1"/>
  <c r="JW235" i="11"/>
  <c r="BY236" i="2" s="1"/>
  <c r="JX235" i="11"/>
  <c r="BZ236" i="2" s="1"/>
  <c r="JY235" i="11"/>
  <c r="CA236" i="2" s="1"/>
  <c r="JZ235" i="11"/>
  <c r="CB236" i="2" s="1"/>
  <c r="KA235" i="11"/>
  <c r="CC236" i="2" s="1"/>
  <c r="JI236" i="11"/>
  <c r="BK237" i="2" s="1"/>
  <c r="JJ236" i="11"/>
  <c r="BL237" i="2" s="1"/>
  <c r="JK236" i="11"/>
  <c r="BM237" i="2" s="1"/>
  <c r="JL236" i="11"/>
  <c r="BN237" i="2" s="1"/>
  <c r="JM236" i="11"/>
  <c r="BO237" i="2" s="1"/>
  <c r="JN236" i="11"/>
  <c r="BP237" i="2" s="1"/>
  <c r="JO236" i="11"/>
  <c r="BQ237" i="2" s="1"/>
  <c r="JP236" i="11"/>
  <c r="BR237" i="2" s="1"/>
  <c r="JQ236" i="11"/>
  <c r="BS237" i="2" s="1"/>
  <c r="JR236" i="11"/>
  <c r="BT237" i="2" s="1"/>
  <c r="JS236" i="11"/>
  <c r="BU237" i="2" s="1"/>
  <c r="JT236" i="11"/>
  <c r="BV237" i="2" s="1"/>
  <c r="JU236" i="11"/>
  <c r="BW237" i="2" s="1"/>
  <c r="JV236" i="11"/>
  <c r="BX237" i="2" s="1"/>
  <c r="JW236" i="11"/>
  <c r="BY237" i="2" s="1"/>
  <c r="JX236" i="11"/>
  <c r="BZ237" i="2" s="1"/>
  <c r="JY236" i="11"/>
  <c r="CA237" i="2" s="1"/>
  <c r="JZ236" i="11"/>
  <c r="CB237" i="2" s="1"/>
  <c r="KA236" i="11"/>
  <c r="CC237" i="2" s="1"/>
  <c r="JI237" i="11"/>
  <c r="BK238" i="2" s="1"/>
  <c r="JJ237" i="11"/>
  <c r="BL238" i="2" s="1"/>
  <c r="JK237" i="11"/>
  <c r="BM238" i="2" s="1"/>
  <c r="JL237" i="11"/>
  <c r="BN238" i="2" s="1"/>
  <c r="JM237" i="11"/>
  <c r="BO238" i="2" s="1"/>
  <c r="JN237" i="11"/>
  <c r="BP238" i="2" s="1"/>
  <c r="JO237" i="11"/>
  <c r="BQ238" i="2" s="1"/>
  <c r="JP237" i="11"/>
  <c r="BR238" i="2" s="1"/>
  <c r="JQ237" i="11"/>
  <c r="BS238" i="2" s="1"/>
  <c r="JR237" i="11"/>
  <c r="BT238" i="2" s="1"/>
  <c r="JS237" i="11"/>
  <c r="BU238" i="2" s="1"/>
  <c r="JT237" i="11"/>
  <c r="BV238" i="2" s="1"/>
  <c r="JU237" i="11"/>
  <c r="BW238" i="2" s="1"/>
  <c r="JV237" i="11"/>
  <c r="BX238" i="2" s="1"/>
  <c r="JW237" i="11"/>
  <c r="BY238" i="2" s="1"/>
  <c r="JX237" i="11"/>
  <c r="BZ238" i="2" s="1"/>
  <c r="JY237" i="11"/>
  <c r="CA238" i="2" s="1"/>
  <c r="JZ237" i="11"/>
  <c r="CB238" i="2" s="1"/>
  <c r="KA237" i="11"/>
  <c r="CC238" i="2" s="1"/>
  <c r="JI238" i="11"/>
  <c r="BK239" i="2" s="1"/>
  <c r="JJ238" i="11"/>
  <c r="BL239" i="2" s="1"/>
  <c r="JK238" i="11"/>
  <c r="BM239" i="2" s="1"/>
  <c r="JL238" i="11"/>
  <c r="BN239" i="2" s="1"/>
  <c r="JM238" i="11"/>
  <c r="BO239" i="2" s="1"/>
  <c r="JN238" i="11"/>
  <c r="BP239" i="2" s="1"/>
  <c r="JO238" i="11"/>
  <c r="BQ239" i="2" s="1"/>
  <c r="JP238" i="11"/>
  <c r="BR239" i="2" s="1"/>
  <c r="JQ238" i="11"/>
  <c r="BS239" i="2" s="1"/>
  <c r="JR238" i="11"/>
  <c r="BT239" i="2" s="1"/>
  <c r="JS238" i="11"/>
  <c r="BU239" i="2" s="1"/>
  <c r="JT238" i="11"/>
  <c r="BV239" i="2" s="1"/>
  <c r="JU238" i="11"/>
  <c r="BW239" i="2" s="1"/>
  <c r="JV238" i="11"/>
  <c r="BX239" i="2" s="1"/>
  <c r="JW238" i="11"/>
  <c r="BY239" i="2" s="1"/>
  <c r="JX238" i="11"/>
  <c r="BZ239" i="2" s="1"/>
  <c r="JY238" i="11"/>
  <c r="CA239" i="2" s="1"/>
  <c r="JZ238" i="11"/>
  <c r="CB239" i="2" s="1"/>
  <c r="KA238" i="11"/>
  <c r="CC239" i="2" s="1"/>
  <c r="JI239" i="11"/>
  <c r="BK240" i="2" s="1"/>
  <c r="JJ239" i="11"/>
  <c r="BL240" i="2" s="1"/>
  <c r="JK239" i="11"/>
  <c r="BM240" i="2" s="1"/>
  <c r="JL239" i="11"/>
  <c r="BN240" i="2" s="1"/>
  <c r="JM239" i="11"/>
  <c r="BO240" i="2" s="1"/>
  <c r="JN239" i="11"/>
  <c r="BP240" i="2" s="1"/>
  <c r="JO239" i="11"/>
  <c r="BQ240" i="2" s="1"/>
  <c r="JP239" i="11"/>
  <c r="BR240" i="2" s="1"/>
  <c r="JQ239" i="11"/>
  <c r="BS240" i="2" s="1"/>
  <c r="JR239" i="11"/>
  <c r="BT240" i="2" s="1"/>
  <c r="JS239" i="11"/>
  <c r="BU240" i="2" s="1"/>
  <c r="JT239" i="11"/>
  <c r="BV240" i="2" s="1"/>
  <c r="JU239" i="11"/>
  <c r="BW240" i="2" s="1"/>
  <c r="JV239" i="11"/>
  <c r="BX240" i="2" s="1"/>
  <c r="JW239" i="11"/>
  <c r="BY240" i="2" s="1"/>
  <c r="JX239" i="11"/>
  <c r="BZ240" i="2" s="1"/>
  <c r="JY239" i="11"/>
  <c r="CA240" i="2" s="1"/>
  <c r="JZ239" i="11"/>
  <c r="CB240" i="2" s="1"/>
  <c r="KA239" i="11"/>
  <c r="CC240" i="2" s="1"/>
  <c r="JI240" i="11"/>
  <c r="BK241" i="2" s="1"/>
  <c r="JJ240" i="11"/>
  <c r="BL241" i="2" s="1"/>
  <c r="JK240" i="11"/>
  <c r="BM241" i="2" s="1"/>
  <c r="JL240" i="11"/>
  <c r="BN241" i="2" s="1"/>
  <c r="JM240" i="11"/>
  <c r="BO241" i="2" s="1"/>
  <c r="JN240" i="11"/>
  <c r="BP241" i="2" s="1"/>
  <c r="JO240" i="11"/>
  <c r="BQ241" i="2" s="1"/>
  <c r="JP240" i="11"/>
  <c r="BR241" i="2" s="1"/>
  <c r="JQ240" i="11"/>
  <c r="BS241" i="2" s="1"/>
  <c r="JR240" i="11"/>
  <c r="BT241" i="2" s="1"/>
  <c r="JS240" i="11"/>
  <c r="BU241" i="2" s="1"/>
  <c r="JT240" i="11"/>
  <c r="BV241" i="2" s="1"/>
  <c r="JU240" i="11"/>
  <c r="BW241" i="2" s="1"/>
  <c r="JV240" i="11"/>
  <c r="BX241" i="2" s="1"/>
  <c r="JW240" i="11"/>
  <c r="BY241" i="2" s="1"/>
  <c r="JX240" i="11"/>
  <c r="BZ241" i="2" s="1"/>
  <c r="JY240" i="11"/>
  <c r="CA241" i="2" s="1"/>
  <c r="JZ240" i="11"/>
  <c r="CB241" i="2" s="1"/>
  <c r="KA240" i="11"/>
  <c r="CC241" i="2" s="1"/>
  <c r="JI241" i="11"/>
  <c r="BK242" i="2" s="1"/>
  <c r="JJ241" i="11"/>
  <c r="BL242" i="2" s="1"/>
  <c r="JK241" i="11"/>
  <c r="BM242" i="2" s="1"/>
  <c r="JL241" i="11"/>
  <c r="BN242" i="2" s="1"/>
  <c r="JM241" i="11"/>
  <c r="BO242" i="2" s="1"/>
  <c r="JN241" i="11"/>
  <c r="BP242" i="2" s="1"/>
  <c r="JO241" i="11"/>
  <c r="BQ242" i="2" s="1"/>
  <c r="JP241" i="11"/>
  <c r="BR242" i="2" s="1"/>
  <c r="JQ241" i="11"/>
  <c r="BS242" i="2" s="1"/>
  <c r="JR241" i="11"/>
  <c r="BT242" i="2" s="1"/>
  <c r="JS241" i="11"/>
  <c r="BU242" i="2" s="1"/>
  <c r="JT241" i="11"/>
  <c r="BV242" i="2" s="1"/>
  <c r="JU241" i="11"/>
  <c r="BW242" i="2" s="1"/>
  <c r="JV241" i="11"/>
  <c r="BX242" i="2" s="1"/>
  <c r="JW241" i="11"/>
  <c r="BY242" i="2" s="1"/>
  <c r="JX241" i="11"/>
  <c r="BZ242" i="2" s="1"/>
  <c r="JY241" i="11"/>
  <c r="CA242" i="2" s="1"/>
  <c r="JZ241" i="11"/>
  <c r="CB242" i="2" s="1"/>
  <c r="KA241" i="11"/>
  <c r="CC242" i="2" s="1"/>
  <c r="JI242" i="11"/>
  <c r="BK243" i="2" s="1"/>
  <c r="JJ242" i="11"/>
  <c r="BL243" i="2" s="1"/>
  <c r="JK242" i="11"/>
  <c r="BM243" i="2" s="1"/>
  <c r="JL242" i="11"/>
  <c r="BN243" i="2" s="1"/>
  <c r="JM242" i="11"/>
  <c r="BO243" i="2" s="1"/>
  <c r="JN242" i="11"/>
  <c r="BP243" i="2" s="1"/>
  <c r="JO242" i="11"/>
  <c r="BQ243" i="2" s="1"/>
  <c r="JP242" i="11"/>
  <c r="BR243" i="2" s="1"/>
  <c r="JQ242" i="11"/>
  <c r="BS243" i="2" s="1"/>
  <c r="JR242" i="11"/>
  <c r="BT243" i="2" s="1"/>
  <c r="JS242" i="11"/>
  <c r="BU243" i="2" s="1"/>
  <c r="JT242" i="11"/>
  <c r="BV243" i="2" s="1"/>
  <c r="JU242" i="11"/>
  <c r="BW243" i="2" s="1"/>
  <c r="JV242" i="11"/>
  <c r="BX243" i="2" s="1"/>
  <c r="JW242" i="11"/>
  <c r="BY243" i="2" s="1"/>
  <c r="JX242" i="11"/>
  <c r="BZ243" i="2" s="1"/>
  <c r="JY242" i="11"/>
  <c r="CA243" i="2" s="1"/>
  <c r="JZ242" i="11"/>
  <c r="CB243" i="2" s="1"/>
  <c r="KA242" i="11"/>
  <c r="CC243" i="2" s="1"/>
  <c r="JI243" i="11"/>
  <c r="BK244" i="2" s="1"/>
  <c r="JJ243" i="11"/>
  <c r="BL244" i="2" s="1"/>
  <c r="JK243" i="11"/>
  <c r="BM244" i="2" s="1"/>
  <c r="JL243" i="11"/>
  <c r="BN244" i="2" s="1"/>
  <c r="JM243" i="11"/>
  <c r="BO244" i="2" s="1"/>
  <c r="JN243" i="11"/>
  <c r="BP244" i="2" s="1"/>
  <c r="JO243" i="11"/>
  <c r="BQ244" i="2" s="1"/>
  <c r="JP243" i="11"/>
  <c r="BR244" i="2" s="1"/>
  <c r="JQ243" i="11"/>
  <c r="BS244" i="2" s="1"/>
  <c r="JR243" i="11"/>
  <c r="BT244" i="2" s="1"/>
  <c r="JS243" i="11"/>
  <c r="BU244" i="2" s="1"/>
  <c r="JT243" i="11"/>
  <c r="BV244" i="2" s="1"/>
  <c r="JU243" i="11"/>
  <c r="BW244" i="2" s="1"/>
  <c r="JV243" i="11"/>
  <c r="BX244" i="2" s="1"/>
  <c r="JW243" i="11"/>
  <c r="BY244" i="2" s="1"/>
  <c r="JX243" i="11"/>
  <c r="BZ244" i="2" s="1"/>
  <c r="JY243" i="11"/>
  <c r="CA244" i="2" s="1"/>
  <c r="JZ243" i="11"/>
  <c r="CB244" i="2" s="1"/>
  <c r="KA243" i="11"/>
  <c r="CC244" i="2" s="1"/>
  <c r="JI244" i="11"/>
  <c r="BK245" i="2" s="1"/>
  <c r="JJ244" i="11"/>
  <c r="BL245" i="2" s="1"/>
  <c r="JK244" i="11"/>
  <c r="BM245" i="2" s="1"/>
  <c r="JL244" i="11"/>
  <c r="BN245" i="2" s="1"/>
  <c r="JM244" i="11"/>
  <c r="BO245" i="2" s="1"/>
  <c r="JN244" i="11"/>
  <c r="BP245" i="2" s="1"/>
  <c r="JO244" i="11"/>
  <c r="BQ245" i="2" s="1"/>
  <c r="JP244" i="11"/>
  <c r="BR245" i="2" s="1"/>
  <c r="JQ244" i="11"/>
  <c r="BS245" i="2" s="1"/>
  <c r="JR244" i="11"/>
  <c r="BT245" i="2" s="1"/>
  <c r="JS244" i="11"/>
  <c r="BU245" i="2" s="1"/>
  <c r="JT244" i="11"/>
  <c r="BV245" i="2" s="1"/>
  <c r="JU244" i="11"/>
  <c r="BW245" i="2" s="1"/>
  <c r="JV244" i="11"/>
  <c r="BX245" i="2" s="1"/>
  <c r="JW244" i="11"/>
  <c r="BY245" i="2" s="1"/>
  <c r="JX244" i="11"/>
  <c r="BZ245" i="2" s="1"/>
  <c r="JY244" i="11"/>
  <c r="CA245" i="2" s="1"/>
  <c r="JZ244" i="11"/>
  <c r="CB245" i="2" s="1"/>
  <c r="KA244" i="11"/>
  <c r="CC245" i="2" s="1"/>
  <c r="JI245" i="11"/>
  <c r="BK246" i="2" s="1"/>
  <c r="JJ245" i="11"/>
  <c r="BL246" i="2" s="1"/>
  <c r="JK245" i="11"/>
  <c r="BM246" i="2" s="1"/>
  <c r="JL245" i="11"/>
  <c r="BN246" i="2" s="1"/>
  <c r="JM245" i="11"/>
  <c r="BO246" i="2" s="1"/>
  <c r="JN245" i="11"/>
  <c r="BP246" i="2" s="1"/>
  <c r="JO245" i="11"/>
  <c r="BQ246" i="2" s="1"/>
  <c r="JP245" i="11"/>
  <c r="BR246" i="2" s="1"/>
  <c r="JQ245" i="11"/>
  <c r="BS246" i="2" s="1"/>
  <c r="JR245" i="11"/>
  <c r="BT246" i="2" s="1"/>
  <c r="JS245" i="11"/>
  <c r="BU246" i="2" s="1"/>
  <c r="JT245" i="11"/>
  <c r="BV246" i="2" s="1"/>
  <c r="JU245" i="11"/>
  <c r="BW246" i="2" s="1"/>
  <c r="JV245" i="11"/>
  <c r="BX246" i="2" s="1"/>
  <c r="JW245" i="11"/>
  <c r="BY246" i="2" s="1"/>
  <c r="JX245" i="11"/>
  <c r="BZ246" i="2" s="1"/>
  <c r="JY245" i="11"/>
  <c r="CA246" i="2" s="1"/>
  <c r="JZ245" i="11"/>
  <c r="CB246" i="2" s="1"/>
  <c r="KA245" i="11"/>
  <c r="CC246" i="2" s="1"/>
  <c r="JI246" i="11"/>
  <c r="BK247" i="2" s="1"/>
  <c r="JJ246" i="11"/>
  <c r="BL247" i="2" s="1"/>
  <c r="JK246" i="11"/>
  <c r="BM247" i="2" s="1"/>
  <c r="JL246" i="11"/>
  <c r="BN247" i="2" s="1"/>
  <c r="JM246" i="11"/>
  <c r="BO247" i="2" s="1"/>
  <c r="JN246" i="11"/>
  <c r="BP247" i="2" s="1"/>
  <c r="JO246" i="11"/>
  <c r="BQ247" i="2" s="1"/>
  <c r="JP246" i="11"/>
  <c r="BR247" i="2" s="1"/>
  <c r="JQ246" i="11"/>
  <c r="BS247" i="2" s="1"/>
  <c r="JR246" i="11"/>
  <c r="BT247" i="2" s="1"/>
  <c r="JS246" i="11"/>
  <c r="BU247" i="2" s="1"/>
  <c r="JT246" i="11"/>
  <c r="BV247" i="2" s="1"/>
  <c r="JU246" i="11"/>
  <c r="BW247" i="2" s="1"/>
  <c r="JV246" i="11"/>
  <c r="BX247" i="2" s="1"/>
  <c r="JW246" i="11"/>
  <c r="BY247" i="2" s="1"/>
  <c r="JX246" i="11"/>
  <c r="BZ247" i="2" s="1"/>
  <c r="JY246" i="11"/>
  <c r="CA247" i="2" s="1"/>
  <c r="JZ246" i="11"/>
  <c r="CB247" i="2" s="1"/>
  <c r="KA246" i="11"/>
  <c r="CC247" i="2" s="1"/>
  <c r="JI247" i="11"/>
  <c r="BK248" i="2" s="1"/>
  <c r="JJ247" i="11"/>
  <c r="BL248" i="2" s="1"/>
  <c r="JK247" i="11"/>
  <c r="BM248" i="2" s="1"/>
  <c r="JL247" i="11"/>
  <c r="BN248" i="2" s="1"/>
  <c r="JM247" i="11"/>
  <c r="BO248" i="2" s="1"/>
  <c r="JN247" i="11"/>
  <c r="BP248" i="2" s="1"/>
  <c r="JO247" i="11"/>
  <c r="BQ248" i="2" s="1"/>
  <c r="JP247" i="11"/>
  <c r="BR248" i="2" s="1"/>
  <c r="JQ247" i="11"/>
  <c r="BS248" i="2" s="1"/>
  <c r="JR247" i="11"/>
  <c r="BT248" i="2" s="1"/>
  <c r="JS247" i="11"/>
  <c r="BU248" i="2" s="1"/>
  <c r="JT247" i="11"/>
  <c r="BV248" i="2" s="1"/>
  <c r="JU247" i="11"/>
  <c r="BW248" i="2" s="1"/>
  <c r="JV247" i="11"/>
  <c r="BX248" i="2" s="1"/>
  <c r="JW247" i="11"/>
  <c r="BY248" i="2" s="1"/>
  <c r="JX247" i="11"/>
  <c r="BZ248" i="2" s="1"/>
  <c r="JY247" i="11"/>
  <c r="CA248" i="2" s="1"/>
  <c r="JZ247" i="11"/>
  <c r="CB248" i="2" s="1"/>
  <c r="KA247" i="11"/>
  <c r="CC248" i="2" s="1"/>
  <c r="JI248" i="11"/>
  <c r="BK249" i="2" s="1"/>
  <c r="JJ248" i="11"/>
  <c r="BL249" i="2" s="1"/>
  <c r="AZ13" i="5" s="1" a="1"/>
  <c r="AZ13" i="5" s="1"/>
  <c r="JK248" i="11"/>
  <c r="BM249" i="2" s="1"/>
  <c r="JL248" i="11"/>
  <c r="BN249" i="2" s="1"/>
  <c r="JM248" i="11"/>
  <c r="BO249" i="2" s="1"/>
  <c r="JN248" i="11"/>
  <c r="BP249" i="2" s="1"/>
  <c r="JO248" i="11"/>
  <c r="BQ249" i="2" s="1"/>
  <c r="JP248" i="11"/>
  <c r="BR249" i="2" s="1"/>
  <c r="JQ248" i="11"/>
  <c r="BS249" i="2" s="1"/>
  <c r="JR248" i="11"/>
  <c r="BT249" i="2" s="1"/>
  <c r="JS248" i="11"/>
  <c r="BU249" i="2" s="1"/>
  <c r="JT248" i="11"/>
  <c r="BV249" i="2" s="1"/>
  <c r="JU248" i="11"/>
  <c r="BW249" i="2" s="1"/>
  <c r="JV248" i="11"/>
  <c r="BX249" i="2" s="1"/>
  <c r="JW248" i="11"/>
  <c r="BY249" i="2" s="1"/>
  <c r="JX248" i="11"/>
  <c r="BZ249" i="2" s="1"/>
  <c r="JY248" i="11"/>
  <c r="CA249" i="2" s="1"/>
  <c r="JZ248" i="11"/>
  <c r="CB249" i="2" s="1"/>
  <c r="KA248" i="11"/>
  <c r="CC249" i="2" s="1"/>
  <c r="JI249" i="11"/>
  <c r="BK250" i="2" s="1"/>
  <c r="JJ249" i="11"/>
  <c r="BL250" i="2" s="1"/>
  <c r="JK249" i="11"/>
  <c r="BM250" i="2" s="1"/>
  <c r="JL249" i="11"/>
  <c r="BN250" i="2" s="1"/>
  <c r="JM249" i="11"/>
  <c r="BO250" i="2" s="1"/>
  <c r="JN249" i="11"/>
  <c r="BP250" i="2" s="1"/>
  <c r="JO249" i="11"/>
  <c r="BQ250" i="2" s="1"/>
  <c r="JP249" i="11"/>
  <c r="BR250" i="2" s="1"/>
  <c r="JQ249" i="11"/>
  <c r="BS250" i="2" s="1"/>
  <c r="JR249" i="11"/>
  <c r="BT250" i="2" s="1"/>
  <c r="JS249" i="11"/>
  <c r="BU250" i="2" s="1"/>
  <c r="JT249" i="11"/>
  <c r="BV250" i="2" s="1"/>
  <c r="JU249" i="11"/>
  <c r="BW250" i="2" s="1"/>
  <c r="JV249" i="11"/>
  <c r="BX250" i="2" s="1"/>
  <c r="JW249" i="11"/>
  <c r="BY250" i="2" s="1"/>
  <c r="JX249" i="11"/>
  <c r="BZ250" i="2" s="1"/>
  <c r="JY249" i="11"/>
  <c r="CA250" i="2" s="1"/>
  <c r="JZ249" i="11"/>
  <c r="CB250" i="2" s="1"/>
  <c r="KA249" i="11"/>
  <c r="CC250" i="2" s="1"/>
  <c r="JI250" i="11"/>
  <c r="BK251" i="2" s="1"/>
  <c r="JJ250" i="11"/>
  <c r="BL251" i="2" s="1"/>
  <c r="JK250" i="11"/>
  <c r="BM251" i="2" s="1"/>
  <c r="JL250" i="11"/>
  <c r="BN251" i="2" s="1"/>
  <c r="JM250" i="11"/>
  <c r="BO251" i="2" s="1"/>
  <c r="JN250" i="11"/>
  <c r="BP251" i="2" s="1"/>
  <c r="JO250" i="11"/>
  <c r="BQ251" i="2" s="1"/>
  <c r="JP250" i="11"/>
  <c r="BR251" i="2" s="1"/>
  <c r="JQ250" i="11"/>
  <c r="BS251" i="2" s="1"/>
  <c r="JR250" i="11"/>
  <c r="BT251" i="2" s="1"/>
  <c r="JS250" i="11"/>
  <c r="BU251" i="2" s="1"/>
  <c r="JT250" i="11"/>
  <c r="BV251" i="2" s="1"/>
  <c r="JU250" i="11"/>
  <c r="BW251" i="2" s="1"/>
  <c r="JV250" i="11"/>
  <c r="BX251" i="2" s="1"/>
  <c r="JW250" i="11"/>
  <c r="BY251" i="2" s="1"/>
  <c r="JX250" i="11"/>
  <c r="BZ251" i="2" s="1"/>
  <c r="JY250" i="11"/>
  <c r="CA251" i="2" s="1"/>
  <c r="JZ250" i="11"/>
  <c r="CB251" i="2" s="1"/>
  <c r="KA250" i="11"/>
  <c r="CC251" i="2" s="1"/>
  <c r="JI251" i="11"/>
  <c r="BK252" i="2" s="1"/>
  <c r="JJ251" i="11"/>
  <c r="BL252" i="2" s="1"/>
  <c r="JK251" i="11"/>
  <c r="BM252" i="2" s="1"/>
  <c r="JL251" i="11"/>
  <c r="BN252" i="2" s="1"/>
  <c r="JM251" i="11"/>
  <c r="BO252" i="2" s="1"/>
  <c r="JN251" i="11"/>
  <c r="BP252" i="2" s="1"/>
  <c r="JO251" i="11"/>
  <c r="BQ252" i="2" s="1"/>
  <c r="JP251" i="11"/>
  <c r="BR252" i="2" s="1"/>
  <c r="JQ251" i="11"/>
  <c r="BS252" i="2" s="1"/>
  <c r="JR251" i="11"/>
  <c r="BT252" i="2" s="1"/>
  <c r="JS251" i="11"/>
  <c r="BU252" i="2" s="1"/>
  <c r="JT251" i="11"/>
  <c r="BV252" i="2" s="1"/>
  <c r="JU251" i="11"/>
  <c r="BW252" i="2" s="1"/>
  <c r="JV251" i="11"/>
  <c r="BX252" i="2" s="1"/>
  <c r="JW251" i="11"/>
  <c r="BY252" i="2" s="1"/>
  <c r="JX251" i="11"/>
  <c r="BZ252" i="2" s="1"/>
  <c r="JY251" i="11"/>
  <c r="CA252" i="2" s="1"/>
  <c r="JZ251" i="11"/>
  <c r="CB252" i="2" s="1"/>
  <c r="KA251" i="11"/>
  <c r="CC252" i="2" s="1"/>
  <c r="JI252" i="11"/>
  <c r="BK253" i="2" s="1"/>
  <c r="JJ252" i="11"/>
  <c r="BL253" i="2" s="1"/>
  <c r="JK252" i="11"/>
  <c r="BM253" i="2" s="1"/>
  <c r="JL252" i="11"/>
  <c r="BN253" i="2" s="1"/>
  <c r="JM252" i="11"/>
  <c r="BO253" i="2" s="1"/>
  <c r="JN252" i="11"/>
  <c r="BP253" i="2" s="1"/>
  <c r="JO252" i="11"/>
  <c r="BQ253" i="2" s="1"/>
  <c r="JP252" i="11"/>
  <c r="BR253" i="2" s="1"/>
  <c r="JQ252" i="11"/>
  <c r="BS253" i="2" s="1"/>
  <c r="JR252" i="11"/>
  <c r="BT253" i="2" s="1"/>
  <c r="JS252" i="11"/>
  <c r="BU253" i="2" s="1"/>
  <c r="JT252" i="11"/>
  <c r="BV253" i="2" s="1"/>
  <c r="JU252" i="11"/>
  <c r="BW253" i="2" s="1"/>
  <c r="JV252" i="11"/>
  <c r="BX253" i="2" s="1"/>
  <c r="JW252" i="11"/>
  <c r="BY253" i="2" s="1"/>
  <c r="JX252" i="11"/>
  <c r="BZ253" i="2" s="1"/>
  <c r="JY252" i="11"/>
  <c r="CA253" i="2" s="1"/>
  <c r="JZ252" i="11"/>
  <c r="CB253" i="2" s="1"/>
  <c r="KA252" i="11"/>
  <c r="CC253" i="2" s="1"/>
  <c r="JI253" i="11"/>
  <c r="BK254" i="2" s="1"/>
  <c r="JJ253" i="11"/>
  <c r="BL254" i="2" s="1"/>
  <c r="JK253" i="11"/>
  <c r="BM254" i="2" s="1"/>
  <c r="JL253" i="11"/>
  <c r="BN254" i="2" s="1"/>
  <c r="JM253" i="11"/>
  <c r="BO254" i="2" s="1"/>
  <c r="JN253" i="11"/>
  <c r="BP254" i="2" s="1"/>
  <c r="JO253" i="11"/>
  <c r="BQ254" i="2" s="1"/>
  <c r="JP253" i="11"/>
  <c r="BR254" i="2" s="1"/>
  <c r="JQ253" i="11"/>
  <c r="BS254" i="2" s="1"/>
  <c r="JR253" i="11"/>
  <c r="BT254" i="2" s="1"/>
  <c r="JS253" i="11"/>
  <c r="BU254" i="2" s="1"/>
  <c r="JT253" i="11"/>
  <c r="BV254" i="2" s="1"/>
  <c r="JU253" i="11"/>
  <c r="BW254" i="2" s="1"/>
  <c r="JV253" i="11"/>
  <c r="BX254" i="2" s="1"/>
  <c r="JW253" i="11"/>
  <c r="BY254" i="2" s="1"/>
  <c r="JX253" i="11"/>
  <c r="BZ254" i="2" s="1"/>
  <c r="JY253" i="11"/>
  <c r="CA254" i="2" s="1"/>
  <c r="JZ253" i="11"/>
  <c r="CB254" i="2" s="1"/>
  <c r="KA253" i="11"/>
  <c r="CC254" i="2" s="1"/>
  <c r="JI254" i="11"/>
  <c r="BK255" i="2" s="1"/>
  <c r="JJ254" i="11"/>
  <c r="BL255" i="2" s="1"/>
  <c r="JK254" i="11"/>
  <c r="BM255" i="2" s="1"/>
  <c r="JL254" i="11"/>
  <c r="BN255" i="2" s="1"/>
  <c r="JM254" i="11"/>
  <c r="BO255" i="2" s="1"/>
  <c r="JN254" i="11"/>
  <c r="BP255" i="2" s="1"/>
  <c r="JO254" i="11"/>
  <c r="BQ255" i="2" s="1"/>
  <c r="JP254" i="11"/>
  <c r="BR255" i="2" s="1"/>
  <c r="JQ254" i="11"/>
  <c r="BS255" i="2" s="1"/>
  <c r="JR254" i="11"/>
  <c r="BT255" i="2" s="1"/>
  <c r="JS254" i="11"/>
  <c r="BU255" i="2" s="1"/>
  <c r="JT254" i="11"/>
  <c r="BV255" i="2" s="1"/>
  <c r="JU254" i="11"/>
  <c r="BW255" i="2" s="1"/>
  <c r="JV254" i="11"/>
  <c r="BX255" i="2" s="1"/>
  <c r="JW254" i="11"/>
  <c r="BY255" i="2" s="1"/>
  <c r="JX254" i="11"/>
  <c r="BZ255" i="2" s="1"/>
  <c r="JY254" i="11"/>
  <c r="CA255" i="2" s="1"/>
  <c r="JZ254" i="11"/>
  <c r="CB255" i="2" s="1"/>
  <c r="KA254" i="11"/>
  <c r="CC255" i="2" s="1"/>
  <c r="JI255" i="11"/>
  <c r="BK256" i="2" s="1"/>
  <c r="JJ255" i="11"/>
  <c r="BL256" i="2" s="1"/>
  <c r="JK255" i="11"/>
  <c r="BM256" i="2" s="1"/>
  <c r="JL255" i="11"/>
  <c r="BN256" i="2" s="1"/>
  <c r="JM255" i="11"/>
  <c r="BO256" i="2" s="1"/>
  <c r="JN255" i="11"/>
  <c r="BP256" i="2" s="1"/>
  <c r="JO255" i="11"/>
  <c r="BQ256" i="2" s="1"/>
  <c r="JP255" i="11"/>
  <c r="BR256" i="2" s="1"/>
  <c r="JQ255" i="11"/>
  <c r="BS256" i="2" s="1"/>
  <c r="JR255" i="11"/>
  <c r="BT256" i="2" s="1"/>
  <c r="JS255" i="11"/>
  <c r="BU256" i="2" s="1"/>
  <c r="JT255" i="11"/>
  <c r="BV256" i="2" s="1"/>
  <c r="JU255" i="11"/>
  <c r="BW256" i="2" s="1"/>
  <c r="JV255" i="11"/>
  <c r="BX256" i="2" s="1"/>
  <c r="JW255" i="11"/>
  <c r="BY256" i="2" s="1"/>
  <c r="JX255" i="11"/>
  <c r="BZ256" i="2" s="1"/>
  <c r="JY255" i="11"/>
  <c r="CA256" i="2" s="1"/>
  <c r="JZ255" i="11"/>
  <c r="CB256" i="2" s="1"/>
  <c r="KA255" i="11"/>
  <c r="CC256" i="2" s="1"/>
  <c r="JI256" i="11"/>
  <c r="BK257" i="2" s="1"/>
  <c r="JJ256" i="11"/>
  <c r="BL257" i="2" s="1"/>
  <c r="JK256" i="11"/>
  <c r="BM257" i="2" s="1"/>
  <c r="JL256" i="11"/>
  <c r="BN257" i="2" s="1"/>
  <c r="JM256" i="11"/>
  <c r="BO257" i="2" s="1"/>
  <c r="JN256" i="11"/>
  <c r="BP257" i="2" s="1"/>
  <c r="JO256" i="11"/>
  <c r="BQ257" i="2" s="1"/>
  <c r="JP256" i="11"/>
  <c r="BR257" i="2" s="1"/>
  <c r="JQ256" i="11"/>
  <c r="BS257" i="2" s="1"/>
  <c r="JR256" i="11"/>
  <c r="BT257" i="2" s="1"/>
  <c r="JS256" i="11"/>
  <c r="BU257" i="2" s="1"/>
  <c r="JT256" i="11"/>
  <c r="BV257" i="2" s="1"/>
  <c r="JU256" i="11"/>
  <c r="BW257" i="2" s="1"/>
  <c r="JV256" i="11"/>
  <c r="BX257" i="2" s="1"/>
  <c r="JW256" i="11"/>
  <c r="BY257" i="2" s="1"/>
  <c r="JX256" i="11"/>
  <c r="BZ257" i="2" s="1"/>
  <c r="JY256" i="11"/>
  <c r="CA257" i="2" s="1"/>
  <c r="JZ256" i="11"/>
  <c r="CB257" i="2" s="1"/>
  <c r="KA256" i="11"/>
  <c r="CC257" i="2" s="1"/>
  <c r="JI257" i="11"/>
  <c r="BK258" i="2" s="1"/>
  <c r="JJ257" i="11"/>
  <c r="BL258" i="2" s="1"/>
  <c r="JK257" i="11"/>
  <c r="BM258" i="2" s="1"/>
  <c r="JL257" i="11"/>
  <c r="BN258" i="2" s="1"/>
  <c r="JM257" i="11"/>
  <c r="BO258" i="2" s="1"/>
  <c r="JN257" i="11"/>
  <c r="BP258" i="2" s="1"/>
  <c r="JO257" i="11"/>
  <c r="BQ258" i="2" s="1"/>
  <c r="JP257" i="11"/>
  <c r="BR258" i="2" s="1"/>
  <c r="JQ257" i="11"/>
  <c r="BS258" i="2" s="1"/>
  <c r="JR257" i="11"/>
  <c r="BT258" i="2" s="1"/>
  <c r="JS257" i="11"/>
  <c r="BU258" i="2" s="1"/>
  <c r="JT257" i="11"/>
  <c r="BV258" i="2" s="1"/>
  <c r="JU257" i="11"/>
  <c r="BW258" i="2" s="1"/>
  <c r="JV257" i="11"/>
  <c r="BX258" i="2" s="1"/>
  <c r="JW257" i="11"/>
  <c r="BY258" i="2" s="1"/>
  <c r="JX257" i="11"/>
  <c r="BZ258" i="2" s="1"/>
  <c r="JY257" i="11"/>
  <c r="CA258" i="2" s="1"/>
  <c r="JZ257" i="11"/>
  <c r="CB258" i="2" s="1"/>
  <c r="KA257" i="11"/>
  <c r="CC258" i="2" s="1"/>
  <c r="JI258" i="11"/>
  <c r="BK259" i="2" s="1"/>
  <c r="JJ258" i="11"/>
  <c r="BL259" i="2" s="1"/>
  <c r="JK258" i="11"/>
  <c r="BM259" i="2" s="1"/>
  <c r="JL258" i="11"/>
  <c r="BN259" i="2" s="1"/>
  <c r="JM258" i="11"/>
  <c r="BO259" i="2" s="1"/>
  <c r="JN258" i="11"/>
  <c r="BP259" i="2" s="1"/>
  <c r="JO258" i="11"/>
  <c r="BQ259" i="2" s="1"/>
  <c r="JP258" i="11"/>
  <c r="BR259" i="2" s="1"/>
  <c r="JQ258" i="11"/>
  <c r="BS259" i="2" s="1"/>
  <c r="JR258" i="11"/>
  <c r="BT259" i="2" s="1"/>
  <c r="JS258" i="11"/>
  <c r="BU259" i="2" s="1"/>
  <c r="JT258" i="11"/>
  <c r="BV259" i="2" s="1"/>
  <c r="JU258" i="11"/>
  <c r="BW259" i="2" s="1"/>
  <c r="JV258" i="11"/>
  <c r="BX259" i="2" s="1"/>
  <c r="JW258" i="11"/>
  <c r="BY259" i="2" s="1"/>
  <c r="JX258" i="11"/>
  <c r="BZ259" i="2" s="1"/>
  <c r="JY258" i="11"/>
  <c r="CA259" i="2" s="1"/>
  <c r="JZ258" i="11"/>
  <c r="CB259" i="2" s="1"/>
  <c r="KA258" i="11"/>
  <c r="CC259" i="2" s="1"/>
  <c r="JI259" i="11"/>
  <c r="BK260" i="2" s="1"/>
  <c r="JJ259" i="11"/>
  <c r="BL260" i="2" s="1"/>
  <c r="JK259" i="11"/>
  <c r="BM260" i="2" s="1"/>
  <c r="JL259" i="11"/>
  <c r="BN260" i="2" s="1"/>
  <c r="JM259" i="11"/>
  <c r="BO260" i="2" s="1"/>
  <c r="JN259" i="11"/>
  <c r="BP260" i="2" s="1"/>
  <c r="JO259" i="11"/>
  <c r="BQ260" i="2" s="1"/>
  <c r="JP259" i="11"/>
  <c r="BR260" i="2" s="1"/>
  <c r="JQ259" i="11"/>
  <c r="BS260" i="2" s="1"/>
  <c r="JR259" i="11"/>
  <c r="BT260" i="2" s="1"/>
  <c r="JS259" i="11"/>
  <c r="BU260" i="2" s="1"/>
  <c r="JT259" i="11"/>
  <c r="BV260" i="2" s="1"/>
  <c r="JU259" i="11"/>
  <c r="BW260" i="2" s="1"/>
  <c r="JV259" i="11"/>
  <c r="BX260" i="2" s="1"/>
  <c r="JW259" i="11"/>
  <c r="BY260" i="2" s="1"/>
  <c r="JX259" i="11"/>
  <c r="BZ260" i="2" s="1"/>
  <c r="JY259" i="11"/>
  <c r="CA260" i="2" s="1"/>
  <c r="JZ259" i="11"/>
  <c r="CB260" i="2" s="1"/>
  <c r="KA259" i="11"/>
  <c r="CC260" i="2" s="1"/>
  <c r="JI260" i="11"/>
  <c r="BK261" i="2" s="1"/>
  <c r="JJ260" i="11"/>
  <c r="BL261" i="2" s="1"/>
  <c r="JK260" i="11"/>
  <c r="BM261" i="2" s="1"/>
  <c r="JL260" i="11"/>
  <c r="BN261" i="2" s="1"/>
  <c r="JM260" i="11"/>
  <c r="BO261" i="2" s="1"/>
  <c r="JN260" i="11"/>
  <c r="BP261" i="2" s="1"/>
  <c r="JO260" i="11"/>
  <c r="BQ261" i="2" s="1"/>
  <c r="JP260" i="11"/>
  <c r="BR261" i="2" s="1"/>
  <c r="JQ260" i="11"/>
  <c r="BS261" i="2" s="1"/>
  <c r="JR260" i="11"/>
  <c r="BT261" i="2" s="1"/>
  <c r="JS260" i="11"/>
  <c r="BU261" i="2" s="1"/>
  <c r="JT260" i="11"/>
  <c r="BV261" i="2" s="1"/>
  <c r="JU260" i="11"/>
  <c r="BW261" i="2" s="1"/>
  <c r="JV260" i="11"/>
  <c r="BX261" i="2" s="1"/>
  <c r="JW260" i="11"/>
  <c r="BY261" i="2" s="1"/>
  <c r="JX260" i="11"/>
  <c r="BZ261" i="2" s="1"/>
  <c r="JY260" i="11"/>
  <c r="CA261" i="2" s="1"/>
  <c r="JZ260" i="11"/>
  <c r="CB261" i="2" s="1"/>
  <c r="KA260" i="11"/>
  <c r="CC261" i="2" s="1"/>
  <c r="JI261" i="11"/>
  <c r="BK262" i="2" s="1"/>
  <c r="JJ261" i="11"/>
  <c r="BL262" i="2" s="1"/>
  <c r="JK261" i="11"/>
  <c r="BM262" i="2" s="1"/>
  <c r="JL261" i="11"/>
  <c r="BN262" i="2" s="1"/>
  <c r="JM261" i="11"/>
  <c r="BO262" i="2" s="1"/>
  <c r="JN261" i="11"/>
  <c r="BP262" i="2" s="1"/>
  <c r="JO261" i="11"/>
  <c r="BQ262" i="2" s="1"/>
  <c r="JP261" i="11"/>
  <c r="BR262" i="2" s="1"/>
  <c r="JQ261" i="11"/>
  <c r="BS262" i="2" s="1"/>
  <c r="JR261" i="11"/>
  <c r="BT262" i="2" s="1"/>
  <c r="JS261" i="11"/>
  <c r="BU262" i="2" s="1"/>
  <c r="JT261" i="11"/>
  <c r="BV262" i="2" s="1"/>
  <c r="JU261" i="11"/>
  <c r="BW262" i="2" s="1"/>
  <c r="JV261" i="11"/>
  <c r="BX262" i="2" s="1"/>
  <c r="JW261" i="11"/>
  <c r="BY262" i="2" s="1"/>
  <c r="JX261" i="11"/>
  <c r="BZ262" i="2" s="1"/>
  <c r="JY261" i="11"/>
  <c r="CA262" i="2" s="1"/>
  <c r="JZ261" i="11"/>
  <c r="CB262" i="2" s="1"/>
  <c r="KA261" i="11"/>
  <c r="CC262" i="2" s="1"/>
  <c r="JI262" i="11"/>
  <c r="BK263" i="2" s="1"/>
  <c r="JJ262" i="11"/>
  <c r="BL263" i="2" s="1"/>
  <c r="JK262" i="11"/>
  <c r="BM263" i="2" s="1"/>
  <c r="JL262" i="11"/>
  <c r="BN263" i="2" s="1"/>
  <c r="JM262" i="11"/>
  <c r="BO263" i="2" s="1"/>
  <c r="JN262" i="11"/>
  <c r="BP263" i="2" s="1"/>
  <c r="JO262" i="11"/>
  <c r="BQ263" i="2" s="1"/>
  <c r="JP262" i="11"/>
  <c r="BR263" i="2" s="1"/>
  <c r="JQ262" i="11"/>
  <c r="BS263" i="2" s="1"/>
  <c r="JR262" i="11"/>
  <c r="BT263" i="2" s="1"/>
  <c r="JS262" i="11"/>
  <c r="BU263" i="2" s="1"/>
  <c r="JT262" i="11"/>
  <c r="BV263" i="2" s="1"/>
  <c r="JU262" i="11"/>
  <c r="BW263" i="2" s="1"/>
  <c r="JV262" i="11"/>
  <c r="BX263" i="2" s="1"/>
  <c r="JW262" i="11"/>
  <c r="BY263" i="2" s="1"/>
  <c r="JX262" i="11"/>
  <c r="BZ263" i="2" s="1"/>
  <c r="JY262" i="11"/>
  <c r="CA263" i="2" s="1"/>
  <c r="JZ262" i="11"/>
  <c r="CB263" i="2" s="1"/>
  <c r="KA262" i="11"/>
  <c r="CC263" i="2" s="1"/>
  <c r="JI263" i="11"/>
  <c r="BK264" i="2" s="1"/>
  <c r="JJ263" i="11"/>
  <c r="BL264" i="2" s="1"/>
  <c r="JK263" i="11"/>
  <c r="BM264" i="2" s="1"/>
  <c r="JL263" i="11"/>
  <c r="BN264" i="2" s="1"/>
  <c r="JM263" i="11"/>
  <c r="BO264" i="2" s="1"/>
  <c r="JN263" i="11"/>
  <c r="BP264" i="2" s="1"/>
  <c r="JO263" i="11"/>
  <c r="BQ264" i="2" s="1"/>
  <c r="JP263" i="11"/>
  <c r="BR264" i="2" s="1"/>
  <c r="JQ263" i="11"/>
  <c r="BS264" i="2" s="1"/>
  <c r="JR263" i="11"/>
  <c r="BT264" i="2" s="1"/>
  <c r="JS263" i="11"/>
  <c r="BU264" i="2" s="1"/>
  <c r="JT263" i="11"/>
  <c r="BV264" i="2" s="1"/>
  <c r="JU263" i="11"/>
  <c r="BW264" i="2" s="1"/>
  <c r="JV263" i="11"/>
  <c r="BX264" i="2" s="1"/>
  <c r="JW263" i="11"/>
  <c r="BY264" i="2" s="1"/>
  <c r="JX263" i="11"/>
  <c r="BZ264" i="2" s="1"/>
  <c r="JY263" i="11"/>
  <c r="CA264" i="2" s="1"/>
  <c r="JZ263" i="11"/>
  <c r="CB264" i="2" s="1"/>
  <c r="KA263" i="11"/>
  <c r="CC264" i="2" s="1"/>
  <c r="JI264" i="11"/>
  <c r="BK265" i="2" s="1"/>
  <c r="JJ264" i="11"/>
  <c r="BL265" i="2" s="1"/>
  <c r="JK264" i="11"/>
  <c r="BM265" i="2" s="1"/>
  <c r="JL264" i="11"/>
  <c r="BN265" i="2" s="1"/>
  <c r="JM264" i="11"/>
  <c r="BO265" i="2" s="1"/>
  <c r="JN264" i="11"/>
  <c r="BP265" i="2" s="1"/>
  <c r="JO264" i="11"/>
  <c r="BQ265" i="2" s="1"/>
  <c r="JP264" i="11"/>
  <c r="BR265" i="2" s="1"/>
  <c r="JQ264" i="11"/>
  <c r="BS265" i="2" s="1"/>
  <c r="JR264" i="11"/>
  <c r="BT265" i="2" s="1"/>
  <c r="JS264" i="11"/>
  <c r="BU265" i="2" s="1"/>
  <c r="JT264" i="11"/>
  <c r="BV265" i="2" s="1"/>
  <c r="JU264" i="11"/>
  <c r="BW265" i="2" s="1"/>
  <c r="JV264" i="11"/>
  <c r="BX265" i="2" s="1"/>
  <c r="JW264" i="11"/>
  <c r="BY265" i="2" s="1"/>
  <c r="JX264" i="11"/>
  <c r="BZ265" i="2" s="1"/>
  <c r="JY264" i="11"/>
  <c r="CA265" i="2" s="1"/>
  <c r="JZ264" i="11"/>
  <c r="CB265" i="2" s="1"/>
  <c r="KA264" i="11"/>
  <c r="CC265" i="2" s="1"/>
  <c r="JI265" i="11"/>
  <c r="BK266" i="2" s="1"/>
  <c r="JJ265" i="11"/>
  <c r="BL266" i="2" s="1"/>
  <c r="JK265" i="11"/>
  <c r="BM266" i="2" s="1"/>
  <c r="JL265" i="11"/>
  <c r="BN266" i="2" s="1"/>
  <c r="JM265" i="11"/>
  <c r="BO266" i="2" s="1"/>
  <c r="JN265" i="11"/>
  <c r="BP266" i="2" s="1"/>
  <c r="JO265" i="11"/>
  <c r="BQ266" i="2" s="1"/>
  <c r="JP265" i="11"/>
  <c r="BR266" i="2" s="1"/>
  <c r="JQ265" i="11"/>
  <c r="BS266" i="2" s="1"/>
  <c r="JR265" i="11"/>
  <c r="BT266" i="2" s="1"/>
  <c r="JS265" i="11"/>
  <c r="BU266" i="2" s="1"/>
  <c r="JT265" i="11"/>
  <c r="BV266" i="2" s="1"/>
  <c r="JU265" i="11"/>
  <c r="BW266" i="2" s="1"/>
  <c r="JV265" i="11"/>
  <c r="BX266" i="2" s="1"/>
  <c r="JW265" i="11"/>
  <c r="BY266" i="2" s="1"/>
  <c r="JX265" i="11"/>
  <c r="BZ266" i="2" s="1"/>
  <c r="JY265" i="11"/>
  <c r="CA266" i="2" s="1"/>
  <c r="JZ265" i="11"/>
  <c r="CB266" i="2" s="1"/>
  <c r="KA265" i="11"/>
  <c r="CC266" i="2" s="1"/>
  <c r="JI266" i="11"/>
  <c r="BK267" i="2" s="1"/>
  <c r="JJ266" i="11"/>
  <c r="BL267" i="2" s="1"/>
  <c r="JK266" i="11"/>
  <c r="BM267" i="2" s="1"/>
  <c r="JL266" i="11"/>
  <c r="BN267" i="2" s="1"/>
  <c r="JM266" i="11"/>
  <c r="BO267" i="2" s="1"/>
  <c r="JN266" i="11"/>
  <c r="BP267" i="2" s="1"/>
  <c r="JO266" i="11"/>
  <c r="BQ267" i="2" s="1"/>
  <c r="JP266" i="11"/>
  <c r="BR267" i="2" s="1"/>
  <c r="JQ266" i="11"/>
  <c r="BS267" i="2" s="1"/>
  <c r="JR266" i="11"/>
  <c r="BT267" i="2" s="1"/>
  <c r="JS266" i="11"/>
  <c r="BU267" i="2" s="1"/>
  <c r="JT266" i="11"/>
  <c r="BV267" i="2" s="1"/>
  <c r="JU266" i="11"/>
  <c r="BW267" i="2" s="1"/>
  <c r="JV266" i="11"/>
  <c r="BX267" i="2" s="1"/>
  <c r="JW266" i="11"/>
  <c r="BY267" i="2" s="1"/>
  <c r="JX266" i="11"/>
  <c r="BZ267" i="2" s="1"/>
  <c r="JY266" i="11"/>
  <c r="CA267" i="2" s="1"/>
  <c r="JZ266" i="11"/>
  <c r="CB267" i="2" s="1"/>
  <c r="KA266" i="11"/>
  <c r="CC267" i="2" s="1"/>
  <c r="JI267" i="11"/>
  <c r="BK268" i="2" s="1"/>
  <c r="JJ267" i="11"/>
  <c r="BL268" i="2" s="1"/>
  <c r="JK267" i="11"/>
  <c r="BM268" i="2" s="1"/>
  <c r="JL267" i="11"/>
  <c r="BN268" i="2" s="1"/>
  <c r="JM267" i="11"/>
  <c r="BO268" i="2" s="1"/>
  <c r="JN267" i="11"/>
  <c r="BP268" i="2" s="1"/>
  <c r="JO267" i="11"/>
  <c r="BQ268" i="2" s="1"/>
  <c r="JP267" i="11"/>
  <c r="BR268" i="2" s="1"/>
  <c r="JQ267" i="11"/>
  <c r="BS268" i="2" s="1"/>
  <c r="JR267" i="11"/>
  <c r="BT268" i="2" s="1"/>
  <c r="JS267" i="11"/>
  <c r="BU268" i="2" s="1"/>
  <c r="JT267" i="11"/>
  <c r="BV268" i="2" s="1"/>
  <c r="JU267" i="11"/>
  <c r="BW268" i="2" s="1"/>
  <c r="JV267" i="11"/>
  <c r="BX268" i="2" s="1"/>
  <c r="JW267" i="11"/>
  <c r="BY268" i="2" s="1"/>
  <c r="JX267" i="11"/>
  <c r="BZ268" i="2" s="1"/>
  <c r="JY267" i="11"/>
  <c r="CA268" i="2" s="1"/>
  <c r="JZ267" i="11"/>
  <c r="CB268" i="2" s="1"/>
  <c r="KA267" i="11"/>
  <c r="CC268" i="2" s="1"/>
  <c r="JI268" i="11"/>
  <c r="BK269" i="2" s="1"/>
  <c r="JJ268" i="11"/>
  <c r="BL269" i="2" s="1"/>
  <c r="JK268" i="11"/>
  <c r="BM269" i="2" s="1"/>
  <c r="JL268" i="11"/>
  <c r="BN269" i="2" s="1"/>
  <c r="JM268" i="11"/>
  <c r="BO269" i="2" s="1"/>
  <c r="JN268" i="11"/>
  <c r="BP269" i="2" s="1"/>
  <c r="JO268" i="11"/>
  <c r="BQ269" i="2" s="1"/>
  <c r="JP268" i="11"/>
  <c r="BR269" i="2" s="1"/>
  <c r="JQ268" i="11"/>
  <c r="BS269" i="2" s="1"/>
  <c r="JR268" i="11"/>
  <c r="BT269" i="2" s="1"/>
  <c r="JS268" i="11"/>
  <c r="BU269" i="2" s="1"/>
  <c r="JT268" i="11"/>
  <c r="BV269" i="2" s="1"/>
  <c r="JU268" i="11"/>
  <c r="BW269" i="2" s="1"/>
  <c r="JV268" i="11"/>
  <c r="BX269" i="2" s="1"/>
  <c r="JW268" i="11"/>
  <c r="BY269" i="2" s="1"/>
  <c r="JX268" i="11"/>
  <c r="BZ269" i="2" s="1"/>
  <c r="JY268" i="11"/>
  <c r="CA269" i="2" s="1"/>
  <c r="JZ268" i="11"/>
  <c r="CB269" i="2" s="1"/>
  <c r="KA268" i="11"/>
  <c r="CC269" i="2" s="1"/>
  <c r="JI269" i="11"/>
  <c r="BK270" i="2" s="1"/>
  <c r="JJ269" i="11"/>
  <c r="BL270" i="2" s="1"/>
  <c r="JK269" i="11"/>
  <c r="BM270" i="2" s="1"/>
  <c r="JL269" i="11"/>
  <c r="BN270" i="2" s="1"/>
  <c r="JM269" i="11"/>
  <c r="BO270" i="2" s="1"/>
  <c r="JN269" i="11"/>
  <c r="BP270" i="2" s="1"/>
  <c r="JO269" i="11"/>
  <c r="BQ270" i="2" s="1"/>
  <c r="JP269" i="11"/>
  <c r="BR270" i="2" s="1"/>
  <c r="JQ269" i="11"/>
  <c r="BS270" i="2" s="1"/>
  <c r="JR269" i="11"/>
  <c r="BT270" i="2" s="1"/>
  <c r="JS269" i="11"/>
  <c r="BU270" i="2" s="1"/>
  <c r="JT269" i="11"/>
  <c r="BV270" i="2" s="1"/>
  <c r="JU269" i="11"/>
  <c r="BW270" i="2" s="1"/>
  <c r="JV269" i="11"/>
  <c r="BX270" i="2" s="1"/>
  <c r="JW269" i="11"/>
  <c r="BY270" i="2" s="1"/>
  <c r="JX269" i="11"/>
  <c r="BZ270" i="2" s="1"/>
  <c r="JY269" i="11"/>
  <c r="CA270" i="2" s="1"/>
  <c r="JZ269" i="11"/>
  <c r="CB270" i="2" s="1"/>
  <c r="KA269" i="11"/>
  <c r="CC270" i="2" s="1"/>
  <c r="JI270" i="11"/>
  <c r="BK271" i="2" s="1"/>
  <c r="JJ270" i="11"/>
  <c r="BL271" i="2" s="1"/>
  <c r="JK270" i="11"/>
  <c r="BM271" i="2" s="1"/>
  <c r="JL270" i="11"/>
  <c r="BN271" i="2" s="1"/>
  <c r="JM270" i="11"/>
  <c r="BO271" i="2" s="1"/>
  <c r="JN270" i="11"/>
  <c r="BP271" i="2" s="1"/>
  <c r="JO270" i="11"/>
  <c r="BQ271" i="2" s="1"/>
  <c r="JP270" i="11"/>
  <c r="BR271" i="2" s="1"/>
  <c r="JQ270" i="11"/>
  <c r="BS271" i="2" s="1"/>
  <c r="JR270" i="11"/>
  <c r="BT271" i="2" s="1"/>
  <c r="JS270" i="11"/>
  <c r="BU271" i="2" s="1"/>
  <c r="JT270" i="11"/>
  <c r="BV271" i="2" s="1"/>
  <c r="JU270" i="11"/>
  <c r="BW271" i="2" s="1"/>
  <c r="JV270" i="11"/>
  <c r="BX271" i="2" s="1"/>
  <c r="JW270" i="11"/>
  <c r="BY271" i="2" s="1"/>
  <c r="JX270" i="11"/>
  <c r="BZ271" i="2" s="1"/>
  <c r="JY270" i="11"/>
  <c r="CA271" i="2" s="1"/>
  <c r="JZ270" i="11"/>
  <c r="CB271" i="2" s="1"/>
  <c r="KA270" i="11"/>
  <c r="CC271" i="2" s="1"/>
  <c r="JI271" i="11"/>
  <c r="BK272" i="2" s="1"/>
  <c r="JJ271" i="11"/>
  <c r="BL272" i="2" s="1"/>
  <c r="JK271" i="11"/>
  <c r="BM272" i="2" s="1"/>
  <c r="JL271" i="11"/>
  <c r="BN272" i="2" s="1"/>
  <c r="JM271" i="11"/>
  <c r="BO272" i="2" s="1"/>
  <c r="JN271" i="11"/>
  <c r="BP272" i="2" s="1"/>
  <c r="JO271" i="11"/>
  <c r="BQ272" i="2" s="1"/>
  <c r="JP271" i="11"/>
  <c r="BR272" i="2" s="1"/>
  <c r="JQ271" i="11"/>
  <c r="BS272" i="2" s="1"/>
  <c r="JR271" i="11"/>
  <c r="BT272" i="2" s="1"/>
  <c r="JS271" i="11"/>
  <c r="BU272" i="2" s="1"/>
  <c r="JT271" i="11"/>
  <c r="BV272" i="2" s="1"/>
  <c r="JU271" i="11"/>
  <c r="BW272" i="2" s="1"/>
  <c r="JV271" i="11"/>
  <c r="BX272" i="2" s="1"/>
  <c r="JW271" i="11"/>
  <c r="BY272" i="2" s="1"/>
  <c r="JX271" i="11"/>
  <c r="BZ272" i="2" s="1"/>
  <c r="JY271" i="11"/>
  <c r="CA272" i="2" s="1"/>
  <c r="JZ271" i="11"/>
  <c r="CB272" i="2" s="1"/>
  <c r="KA271" i="11"/>
  <c r="CC272" i="2" s="1"/>
  <c r="JI272" i="11"/>
  <c r="BK273" i="2" s="1"/>
  <c r="JJ272" i="11"/>
  <c r="BL273" i="2" s="1"/>
  <c r="JK272" i="11"/>
  <c r="BM273" i="2" s="1"/>
  <c r="JL272" i="11"/>
  <c r="BN273" i="2" s="1"/>
  <c r="JM272" i="11"/>
  <c r="BO273" i="2" s="1"/>
  <c r="JN272" i="11"/>
  <c r="BP273" i="2" s="1"/>
  <c r="JO272" i="11"/>
  <c r="BQ273" i="2" s="1"/>
  <c r="JP272" i="11"/>
  <c r="BR273" i="2" s="1"/>
  <c r="JQ272" i="11"/>
  <c r="BS273" i="2" s="1"/>
  <c r="JR272" i="11"/>
  <c r="BT273" i="2" s="1"/>
  <c r="JS272" i="11"/>
  <c r="BU273" i="2" s="1"/>
  <c r="JT272" i="11"/>
  <c r="BV273" i="2" s="1"/>
  <c r="JU272" i="11"/>
  <c r="BW273" i="2" s="1"/>
  <c r="JV272" i="11"/>
  <c r="BX273" i="2" s="1"/>
  <c r="JW272" i="11"/>
  <c r="BY273" i="2" s="1"/>
  <c r="JX272" i="11"/>
  <c r="BZ273" i="2" s="1"/>
  <c r="JY272" i="11"/>
  <c r="CA273" i="2" s="1"/>
  <c r="JZ272" i="11"/>
  <c r="CB273" i="2" s="1"/>
  <c r="KA272" i="11"/>
  <c r="CC273" i="2" s="1"/>
  <c r="JI273" i="11"/>
  <c r="BK274" i="2" s="1"/>
  <c r="JJ273" i="11"/>
  <c r="BL274" i="2" s="1"/>
  <c r="JK273" i="11"/>
  <c r="BM274" i="2" s="1"/>
  <c r="JL273" i="11"/>
  <c r="BN274" i="2" s="1"/>
  <c r="JM273" i="11"/>
  <c r="BO274" i="2" s="1"/>
  <c r="JN273" i="11"/>
  <c r="BP274" i="2" s="1"/>
  <c r="JO273" i="11"/>
  <c r="BQ274" i="2" s="1"/>
  <c r="JP273" i="11"/>
  <c r="BR274" i="2" s="1"/>
  <c r="JQ273" i="11"/>
  <c r="BS274" i="2" s="1"/>
  <c r="JR273" i="11"/>
  <c r="BT274" i="2" s="1"/>
  <c r="JS273" i="11"/>
  <c r="BU274" i="2" s="1"/>
  <c r="JT273" i="11"/>
  <c r="BV274" i="2" s="1"/>
  <c r="JU273" i="11"/>
  <c r="BW274" i="2" s="1"/>
  <c r="JV273" i="11"/>
  <c r="BX274" i="2" s="1"/>
  <c r="JW273" i="11"/>
  <c r="BY274" i="2" s="1"/>
  <c r="JX273" i="11"/>
  <c r="BZ274" i="2" s="1"/>
  <c r="JY273" i="11"/>
  <c r="CA274" i="2" s="1"/>
  <c r="JZ273" i="11"/>
  <c r="CB274" i="2" s="1"/>
  <c r="KA273" i="11"/>
  <c r="CC274" i="2" s="1"/>
  <c r="JI274" i="11"/>
  <c r="BK275" i="2" s="1"/>
  <c r="JJ274" i="11"/>
  <c r="BL275" i="2" s="1"/>
  <c r="JK274" i="11"/>
  <c r="BM275" i="2" s="1"/>
  <c r="JL274" i="11"/>
  <c r="BN275" i="2" s="1"/>
  <c r="JM274" i="11"/>
  <c r="BO275" i="2" s="1"/>
  <c r="JN274" i="11"/>
  <c r="BP275" i="2" s="1"/>
  <c r="JO274" i="11"/>
  <c r="BQ275" i="2" s="1"/>
  <c r="JP274" i="11"/>
  <c r="BR275" i="2" s="1"/>
  <c r="JQ274" i="11"/>
  <c r="BS275" i="2" s="1"/>
  <c r="JR274" i="11"/>
  <c r="BT275" i="2" s="1"/>
  <c r="JS274" i="11"/>
  <c r="BU275" i="2" s="1"/>
  <c r="JT274" i="11"/>
  <c r="BV275" i="2" s="1"/>
  <c r="JU274" i="11"/>
  <c r="BW275" i="2" s="1"/>
  <c r="JV274" i="11"/>
  <c r="BX275" i="2" s="1"/>
  <c r="JW274" i="11"/>
  <c r="BY275" i="2" s="1"/>
  <c r="JX274" i="11"/>
  <c r="BZ275" i="2" s="1"/>
  <c r="JY274" i="11"/>
  <c r="CA275" i="2" s="1"/>
  <c r="JZ274" i="11"/>
  <c r="CB275" i="2" s="1"/>
  <c r="KA274" i="11"/>
  <c r="CC275" i="2" s="1"/>
  <c r="JI275" i="11"/>
  <c r="BK276" i="2" s="1"/>
  <c r="JJ275" i="11"/>
  <c r="BL276" i="2" s="1"/>
  <c r="JK275" i="11"/>
  <c r="BM276" i="2" s="1"/>
  <c r="JL275" i="11"/>
  <c r="BN276" i="2" s="1"/>
  <c r="JM275" i="11"/>
  <c r="BO276" i="2" s="1"/>
  <c r="JN275" i="11"/>
  <c r="BP276" i="2" s="1"/>
  <c r="JO275" i="11"/>
  <c r="BQ276" i="2" s="1"/>
  <c r="JP275" i="11"/>
  <c r="BR276" i="2" s="1"/>
  <c r="JQ275" i="11"/>
  <c r="BS276" i="2" s="1"/>
  <c r="JR275" i="11"/>
  <c r="BT276" i="2" s="1"/>
  <c r="JS275" i="11"/>
  <c r="BU276" i="2" s="1"/>
  <c r="JT275" i="11"/>
  <c r="BV276" i="2" s="1"/>
  <c r="JU275" i="11"/>
  <c r="BW276" i="2" s="1"/>
  <c r="JV275" i="11"/>
  <c r="BX276" i="2" s="1"/>
  <c r="JW275" i="11"/>
  <c r="BY276" i="2" s="1"/>
  <c r="JX275" i="11"/>
  <c r="BZ276" i="2" s="1"/>
  <c r="JY275" i="11"/>
  <c r="CA276" i="2" s="1"/>
  <c r="JZ275" i="11"/>
  <c r="CB276" i="2" s="1"/>
  <c r="KA275" i="11"/>
  <c r="CC276" i="2" s="1"/>
  <c r="JI276" i="11"/>
  <c r="BK277" i="2" s="1"/>
  <c r="JJ276" i="11"/>
  <c r="BL277" i="2" s="1"/>
  <c r="JK276" i="11"/>
  <c r="BM277" i="2" s="1"/>
  <c r="JL276" i="11"/>
  <c r="BN277" i="2" s="1"/>
  <c r="JM276" i="11"/>
  <c r="BO277" i="2" s="1"/>
  <c r="JN276" i="11"/>
  <c r="BP277" i="2" s="1"/>
  <c r="JO276" i="11"/>
  <c r="BQ277" i="2" s="1"/>
  <c r="JP276" i="11"/>
  <c r="BR277" i="2" s="1"/>
  <c r="JQ276" i="11"/>
  <c r="BS277" i="2" s="1"/>
  <c r="JR276" i="11"/>
  <c r="BT277" i="2" s="1"/>
  <c r="JS276" i="11"/>
  <c r="BU277" i="2" s="1"/>
  <c r="JT276" i="11"/>
  <c r="BV277" i="2" s="1"/>
  <c r="JU276" i="11"/>
  <c r="BW277" i="2" s="1"/>
  <c r="JV276" i="11"/>
  <c r="BX277" i="2" s="1"/>
  <c r="JW276" i="11"/>
  <c r="BY277" i="2" s="1"/>
  <c r="JX276" i="11"/>
  <c r="BZ277" i="2" s="1"/>
  <c r="JY276" i="11"/>
  <c r="CA277" i="2" s="1"/>
  <c r="JZ276" i="11"/>
  <c r="CB277" i="2" s="1"/>
  <c r="KA276" i="11"/>
  <c r="CC277" i="2" s="1"/>
  <c r="JI277" i="11"/>
  <c r="BK278" i="2" s="1"/>
  <c r="JJ277" i="11"/>
  <c r="BL278" i="2" s="1"/>
  <c r="JK277" i="11"/>
  <c r="BM278" i="2" s="1"/>
  <c r="JL277" i="11"/>
  <c r="BN278" i="2" s="1"/>
  <c r="JM277" i="11"/>
  <c r="BO278" i="2" s="1"/>
  <c r="JN277" i="11"/>
  <c r="BP278" i="2" s="1"/>
  <c r="JO277" i="11"/>
  <c r="BQ278" i="2" s="1"/>
  <c r="JP277" i="11"/>
  <c r="BR278" i="2" s="1"/>
  <c r="JQ277" i="11"/>
  <c r="BS278" i="2" s="1"/>
  <c r="JR277" i="11"/>
  <c r="BT278" i="2" s="1"/>
  <c r="JS277" i="11"/>
  <c r="BU278" i="2" s="1"/>
  <c r="JT277" i="11"/>
  <c r="BV278" i="2" s="1"/>
  <c r="JU277" i="11"/>
  <c r="BW278" i="2" s="1"/>
  <c r="JV277" i="11"/>
  <c r="BX278" i="2" s="1"/>
  <c r="JW277" i="11"/>
  <c r="BY278" i="2" s="1"/>
  <c r="JX277" i="11"/>
  <c r="BZ278" i="2" s="1"/>
  <c r="JY277" i="11"/>
  <c r="CA278" i="2" s="1"/>
  <c r="JZ277" i="11"/>
  <c r="CB278" i="2" s="1"/>
  <c r="KA277" i="11"/>
  <c r="CC278" i="2" s="1"/>
  <c r="JI278" i="11"/>
  <c r="BK279" i="2" s="1"/>
  <c r="JJ278" i="11"/>
  <c r="BL279" i="2" s="1"/>
  <c r="JK278" i="11"/>
  <c r="BM279" i="2" s="1"/>
  <c r="JL278" i="11"/>
  <c r="BN279" i="2" s="1"/>
  <c r="BB14" i="5" s="1" a="1"/>
  <c r="BB14" i="5" s="1"/>
  <c r="JM278" i="11"/>
  <c r="BO279" i="2" s="1"/>
  <c r="BC14" i="5" s="1" a="1"/>
  <c r="BC14" i="5" s="1"/>
  <c r="JN278" i="11"/>
  <c r="BP279" i="2" s="1"/>
  <c r="BD14" i="5" s="1" a="1"/>
  <c r="BD14" i="5" s="1"/>
  <c r="JO278" i="11"/>
  <c r="BQ279" i="2" s="1"/>
  <c r="JP278" i="11"/>
  <c r="BR279" i="2" s="1"/>
  <c r="JQ278" i="11"/>
  <c r="BS279" i="2" s="1"/>
  <c r="JR278" i="11"/>
  <c r="BT279" i="2" s="1"/>
  <c r="JS278" i="11"/>
  <c r="BU279" i="2" s="1"/>
  <c r="JT278" i="11"/>
  <c r="BV279" i="2" s="1"/>
  <c r="JU278" i="11"/>
  <c r="BW279" i="2" s="1"/>
  <c r="JV278" i="11"/>
  <c r="BX279" i="2" s="1"/>
  <c r="JW278" i="11"/>
  <c r="BY279" i="2" s="1"/>
  <c r="JX278" i="11"/>
  <c r="BZ279" i="2" s="1"/>
  <c r="JY278" i="11"/>
  <c r="CA279" i="2" s="1"/>
  <c r="JZ278" i="11"/>
  <c r="CB279" i="2" s="1"/>
  <c r="KA278" i="11"/>
  <c r="CC279" i="2" s="1"/>
  <c r="JI279" i="11"/>
  <c r="BK280" i="2" s="1"/>
  <c r="JJ279" i="11"/>
  <c r="BL280" i="2" s="1"/>
  <c r="JK279" i="11"/>
  <c r="BM280" i="2" s="1"/>
  <c r="JL279" i="11"/>
  <c r="BN280" i="2" s="1"/>
  <c r="JM279" i="11"/>
  <c r="BO280" i="2" s="1"/>
  <c r="JN279" i="11"/>
  <c r="BP280" i="2" s="1"/>
  <c r="JO279" i="11"/>
  <c r="BQ280" i="2" s="1"/>
  <c r="JP279" i="11"/>
  <c r="BR280" i="2" s="1"/>
  <c r="JQ279" i="11"/>
  <c r="BS280" i="2" s="1"/>
  <c r="JR279" i="11"/>
  <c r="BT280" i="2" s="1"/>
  <c r="JS279" i="11"/>
  <c r="BU280" i="2" s="1"/>
  <c r="JT279" i="11"/>
  <c r="BV280" i="2" s="1"/>
  <c r="JU279" i="11"/>
  <c r="BW280" i="2" s="1"/>
  <c r="JV279" i="11"/>
  <c r="BX280" i="2" s="1"/>
  <c r="JW279" i="11"/>
  <c r="BY280" i="2" s="1"/>
  <c r="JX279" i="11"/>
  <c r="BZ280" i="2" s="1"/>
  <c r="JY279" i="11"/>
  <c r="CA280" i="2" s="1"/>
  <c r="JZ279" i="11"/>
  <c r="CB280" i="2" s="1"/>
  <c r="KA279" i="11"/>
  <c r="CC280" i="2" s="1"/>
  <c r="JI280" i="11"/>
  <c r="BK281" i="2" s="1"/>
  <c r="JJ280" i="11"/>
  <c r="BL281" i="2" s="1"/>
  <c r="JK280" i="11"/>
  <c r="BM281" i="2" s="1"/>
  <c r="JL280" i="11"/>
  <c r="BN281" i="2" s="1"/>
  <c r="JM280" i="11"/>
  <c r="BO281" i="2" s="1"/>
  <c r="JN280" i="11"/>
  <c r="BP281" i="2" s="1"/>
  <c r="JO280" i="11"/>
  <c r="BQ281" i="2" s="1"/>
  <c r="JP280" i="11"/>
  <c r="BR281" i="2" s="1"/>
  <c r="JQ280" i="11"/>
  <c r="BS281" i="2" s="1"/>
  <c r="JR280" i="11"/>
  <c r="BT281" i="2" s="1"/>
  <c r="JS280" i="11"/>
  <c r="BU281" i="2" s="1"/>
  <c r="JT280" i="11"/>
  <c r="BV281" i="2" s="1"/>
  <c r="JU280" i="11"/>
  <c r="BW281" i="2" s="1"/>
  <c r="JV280" i="11"/>
  <c r="BX281" i="2" s="1"/>
  <c r="JW280" i="11"/>
  <c r="BY281" i="2" s="1"/>
  <c r="JX280" i="11"/>
  <c r="BZ281" i="2" s="1"/>
  <c r="JY280" i="11"/>
  <c r="CA281" i="2" s="1"/>
  <c r="JZ280" i="11"/>
  <c r="CB281" i="2" s="1"/>
  <c r="KA280" i="11"/>
  <c r="CC281" i="2" s="1"/>
  <c r="JI281" i="11"/>
  <c r="BK282" i="2" s="1"/>
  <c r="JJ281" i="11"/>
  <c r="BL282" i="2" s="1"/>
  <c r="JK281" i="11"/>
  <c r="BM282" i="2" s="1"/>
  <c r="JL281" i="11"/>
  <c r="BN282" i="2" s="1"/>
  <c r="JM281" i="11"/>
  <c r="BO282" i="2" s="1"/>
  <c r="JN281" i="11"/>
  <c r="BP282" i="2" s="1"/>
  <c r="JO281" i="11"/>
  <c r="BQ282" i="2" s="1"/>
  <c r="JP281" i="11"/>
  <c r="BR282" i="2" s="1"/>
  <c r="JQ281" i="11"/>
  <c r="BS282" i="2" s="1"/>
  <c r="JR281" i="11"/>
  <c r="BT282" i="2" s="1"/>
  <c r="JS281" i="11"/>
  <c r="BU282" i="2" s="1"/>
  <c r="JT281" i="11"/>
  <c r="BV282" i="2" s="1"/>
  <c r="JU281" i="11"/>
  <c r="BW282" i="2" s="1"/>
  <c r="JV281" i="11"/>
  <c r="BX282" i="2" s="1"/>
  <c r="JW281" i="11"/>
  <c r="BY282" i="2" s="1"/>
  <c r="JX281" i="11"/>
  <c r="BZ282" i="2" s="1"/>
  <c r="JY281" i="11"/>
  <c r="CA282" i="2" s="1"/>
  <c r="JZ281" i="11"/>
  <c r="CB282" i="2" s="1"/>
  <c r="KA281" i="11"/>
  <c r="CC282" i="2" s="1"/>
  <c r="JI282" i="11"/>
  <c r="BK283" i="2" s="1"/>
  <c r="JJ282" i="11"/>
  <c r="BL283" i="2" s="1"/>
  <c r="JK282" i="11"/>
  <c r="BM283" i="2" s="1"/>
  <c r="JL282" i="11"/>
  <c r="BN283" i="2" s="1"/>
  <c r="JM282" i="11"/>
  <c r="BO283" i="2" s="1"/>
  <c r="JN282" i="11"/>
  <c r="BP283" i="2" s="1"/>
  <c r="JO282" i="11"/>
  <c r="BQ283" i="2" s="1"/>
  <c r="JP282" i="11"/>
  <c r="BR283" i="2" s="1"/>
  <c r="JQ282" i="11"/>
  <c r="BS283" i="2" s="1"/>
  <c r="JR282" i="11"/>
  <c r="BT283" i="2" s="1"/>
  <c r="JS282" i="11"/>
  <c r="BU283" i="2" s="1"/>
  <c r="JT282" i="11"/>
  <c r="BV283" i="2" s="1"/>
  <c r="JU282" i="11"/>
  <c r="BW283" i="2" s="1"/>
  <c r="JV282" i="11"/>
  <c r="BX283" i="2" s="1"/>
  <c r="JW282" i="11"/>
  <c r="BY283" i="2" s="1"/>
  <c r="JX282" i="11"/>
  <c r="BZ283" i="2" s="1"/>
  <c r="JY282" i="11"/>
  <c r="CA283" i="2" s="1"/>
  <c r="JZ282" i="11"/>
  <c r="CB283" i="2" s="1"/>
  <c r="KA282" i="11"/>
  <c r="CC283" i="2" s="1"/>
  <c r="JI283" i="11"/>
  <c r="BK284" i="2" s="1"/>
  <c r="JJ283" i="11"/>
  <c r="BL284" i="2" s="1"/>
  <c r="JK283" i="11"/>
  <c r="BM284" i="2" s="1"/>
  <c r="JL283" i="11"/>
  <c r="BN284" i="2" s="1"/>
  <c r="JM283" i="11"/>
  <c r="BO284" i="2" s="1"/>
  <c r="JN283" i="11"/>
  <c r="BP284" i="2" s="1"/>
  <c r="JO283" i="11"/>
  <c r="BQ284" i="2" s="1"/>
  <c r="JP283" i="11"/>
  <c r="BR284" i="2" s="1"/>
  <c r="JQ283" i="11"/>
  <c r="BS284" i="2" s="1"/>
  <c r="JR283" i="11"/>
  <c r="BT284" i="2" s="1"/>
  <c r="JS283" i="11"/>
  <c r="BU284" i="2" s="1"/>
  <c r="JT283" i="11"/>
  <c r="BV284" i="2" s="1"/>
  <c r="JU283" i="11"/>
  <c r="BW284" i="2" s="1"/>
  <c r="JV283" i="11"/>
  <c r="BX284" i="2" s="1"/>
  <c r="JW283" i="11"/>
  <c r="BY284" i="2" s="1"/>
  <c r="JX283" i="11"/>
  <c r="BZ284" i="2" s="1"/>
  <c r="JY283" i="11"/>
  <c r="CA284" i="2" s="1"/>
  <c r="JZ283" i="11"/>
  <c r="CB284" i="2" s="1"/>
  <c r="KA283" i="11"/>
  <c r="CC284" i="2" s="1"/>
  <c r="JI284" i="11"/>
  <c r="BK285" i="2" s="1"/>
  <c r="JJ284" i="11"/>
  <c r="BL285" i="2" s="1"/>
  <c r="JK284" i="11"/>
  <c r="BM285" i="2" s="1"/>
  <c r="JL284" i="11"/>
  <c r="BN285" i="2" s="1"/>
  <c r="JM284" i="11"/>
  <c r="BO285" i="2" s="1"/>
  <c r="JN284" i="11"/>
  <c r="BP285" i="2" s="1"/>
  <c r="JO284" i="11"/>
  <c r="BQ285" i="2" s="1"/>
  <c r="JP284" i="11"/>
  <c r="BR285" i="2" s="1"/>
  <c r="JQ284" i="11"/>
  <c r="BS285" i="2" s="1"/>
  <c r="JR284" i="11"/>
  <c r="BT285" i="2" s="1"/>
  <c r="JS284" i="11"/>
  <c r="BU285" i="2" s="1"/>
  <c r="JT284" i="11"/>
  <c r="BV285" i="2" s="1"/>
  <c r="JU284" i="11"/>
  <c r="BW285" i="2" s="1"/>
  <c r="JV284" i="11"/>
  <c r="BX285" i="2" s="1"/>
  <c r="JW284" i="11"/>
  <c r="BY285" i="2" s="1"/>
  <c r="JX284" i="11"/>
  <c r="BZ285" i="2" s="1"/>
  <c r="JY284" i="11"/>
  <c r="CA285" i="2" s="1"/>
  <c r="JZ284" i="11"/>
  <c r="CB285" i="2" s="1"/>
  <c r="KA284" i="11"/>
  <c r="CC285" i="2" s="1"/>
  <c r="JI285" i="11"/>
  <c r="BK286" i="2" s="1"/>
  <c r="JJ285" i="11"/>
  <c r="BL286" i="2" s="1"/>
  <c r="JK285" i="11"/>
  <c r="BM286" i="2" s="1"/>
  <c r="JL285" i="11"/>
  <c r="BN286" i="2" s="1"/>
  <c r="JM285" i="11"/>
  <c r="BO286" i="2" s="1"/>
  <c r="JN285" i="11"/>
  <c r="BP286" i="2" s="1"/>
  <c r="JO285" i="11"/>
  <c r="BQ286" i="2" s="1"/>
  <c r="JP285" i="11"/>
  <c r="BR286" i="2" s="1"/>
  <c r="JQ285" i="11"/>
  <c r="BS286" i="2" s="1"/>
  <c r="JR285" i="11"/>
  <c r="BT286" i="2" s="1"/>
  <c r="JS285" i="11"/>
  <c r="BU286" i="2" s="1"/>
  <c r="JT285" i="11"/>
  <c r="BV286" i="2" s="1"/>
  <c r="JU285" i="11"/>
  <c r="BW286" i="2" s="1"/>
  <c r="JV285" i="11"/>
  <c r="BX286" i="2" s="1"/>
  <c r="JW285" i="11"/>
  <c r="BY286" i="2" s="1"/>
  <c r="JX285" i="11"/>
  <c r="BZ286" i="2" s="1"/>
  <c r="JY285" i="11"/>
  <c r="CA286" i="2" s="1"/>
  <c r="JZ285" i="11"/>
  <c r="CB286" i="2" s="1"/>
  <c r="KA285" i="11"/>
  <c r="CC286" i="2" s="1"/>
  <c r="JI286" i="11"/>
  <c r="BK287" i="2" s="1"/>
  <c r="JJ286" i="11"/>
  <c r="BL287" i="2" s="1"/>
  <c r="JK286" i="11"/>
  <c r="BM287" i="2" s="1"/>
  <c r="JL286" i="11"/>
  <c r="BN287" i="2" s="1"/>
  <c r="JM286" i="11"/>
  <c r="BO287" i="2" s="1"/>
  <c r="JN286" i="11"/>
  <c r="BP287" i="2" s="1"/>
  <c r="JO286" i="11"/>
  <c r="BQ287" i="2" s="1"/>
  <c r="JP286" i="11"/>
  <c r="BR287" i="2" s="1"/>
  <c r="JQ286" i="11"/>
  <c r="BS287" i="2" s="1"/>
  <c r="JR286" i="11"/>
  <c r="BT287" i="2" s="1"/>
  <c r="JS286" i="11"/>
  <c r="BU287" i="2" s="1"/>
  <c r="JT286" i="11"/>
  <c r="BV287" i="2" s="1"/>
  <c r="JU286" i="11"/>
  <c r="BW287" i="2" s="1"/>
  <c r="JV286" i="11"/>
  <c r="BX287" i="2" s="1"/>
  <c r="JW286" i="11"/>
  <c r="BY287" i="2" s="1"/>
  <c r="JX286" i="11"/>
  <c r="BZ287" i="2" s="1"/>
  <c r="JY286" i="11"/>
  <c r="CA287" i="2" s="1"/>
  <c r="JZ286" i="11"/>
  <c r="CB287" i="2" s="1"/>
  <c r="KA286" i="11"/>
  <c r="CC287" i="2" s="1"/>
  <c r="JI287" i="11"/>
  <c r="BK288" i="2" s="1"/>
  <c r="JJ287" i="11"/>
  <c r="BL288" i="2" s="1"/>
  <c r="JK287" i="11"/>
  <c r="BM288" i="2" s="1"/>
  <c r="JL287" i="11"/>
  <c r="BN288" i="2" s="1"/>
  <c r="JM287" i="11"/>
  <c r="BO288" i="2" s="1"/>
  <c r="JN287" i="11"/>
  <c r="BP288" i="2" s="1"/>
  <c r="JO287" i="11"/>
  <c r="BQ288" i="2" s="1"/>
  <c r="JP287" i="11"/>
  <c r="BR288" i="2" s="1"/>
  <c r="JQ287" i="11"/>
  <c r="BS288" i="2" s="1"/>
  <c r="JR287" i="11"/>
  <c r="BT288" i="2" s="1"/>
  <c r="JS287" i="11"/>
  <c r="BU288" i="2" s="1"/>
  <c r="JT287" i="11"/>
  <c r="BV288" i="2" s="1"/>
  <c r="JU287" i="11"/>
  <c r="BW288" i="2" s="1"/>
  <c r="JV287" i="11"/>
  <c r="BX288" i="2" s="1"/>
  <c r="JW287" i="11"/>
  <c r="BY288" i="2" s="1"/>
  <c r="JX287" i="11"/>
  <c r="BZ288" i="2" s="1"/>
  <c r="JY287" i="11"/>
  <c r="CA288" i="2" s="1"/>
  <c r="JZ287" i="11"/>
  <c r="CB288" i="2" s="1"/>
  <c r="KA287" i="11"/>
  <c r="CC288" i="2" s="1"/>
  <c r="JI288" i="11"/>
  <c r="BK289" i="2" s="1"/>
  <c r="JJ288" i="11"/>
  <c r="BL289" i="2" s="1"/>
  <c r="JK288" i="11"/>
  <c r="BM289" i="2" s="1"/>
  <c r="JL288" i="11"/>
  <c r="BN289" i="2" s="1"/>
  <c r="JM288" i="11"/>
  <c r="BO289" i="2" s="1"/>
  <c r="JN288" i="11"/>
  <c r="BP289" i="2" s="1"/>
  <c r="JO288" i="11"/>
  <c r="BQ289" i="2" s="1"/>
  <c r="JP288" i="11"/>
  <c r="BR289" i="2" s="1"/>
  <c r="JQ288" i="11"/>
  <c r="BS289" i="2" s="1"/>
  <c r="JR288" i="11"/>
  <c r="BT289" i="2" s="1"/>
  <c r="JS288" i="11"/>
  <c r="BU289" i="2" s="1"/>
  <c r="JT288" i="11"/>
  <c r="BV289" i="2" s="1"/>
  <c r="JU288" i="11"/>
  <c r="BW289" i="2" s="1"/>
  <c r="JV288" i="11"/>
  <c r="BX289" i="2" s="1"/>
  <c r="JW288" i="11"/>
  <c r="BY289" i="2" s="1"/>
  <c r="JX288" i="11"/>
  <c r="BZ289" i="2" s="1"/>
  <c r="JY288" i="11"/>
  <c r="CA289" i="2" s="1"/>
  <c r="JZ288" i="11"/>
  <c r="CB289" i="2" s="1"/>
  <c r="KA288" i="11"/>
  <c r="CC289" i="2" s="1"/>
  <c r="JI289" i="11"/>
  <c r="BK290" i="2" s="1"/>
  <c r="JJ289" i="11"/>
  <c r="BL290" i="2" s="1"/>
  <c r="JK289" i="11"/>
  <c r="BM290" i="2" s="1"/>
  <c r="JL289" i="11"/>
  <c r="BN290" i="2" s="1"/>
  <c r="JM289" i="11"/>
  <c r="BO290" i="2" s="1"/>
  <c r="JN289" i="11"/>
  <c r="BP290" i="2" s="1"/>
  <c r="JO289" i="11"/>
  <c r="BQ290" i="2" s="1"/>
  <c r="JP289" i="11"/>
  <c r="BR290" i="2" s="1"/>
  <c r="JQ289" i="11"/>
  <c r="BS290" i="2" s="1"/>
  <c r="JR289" i="11"/>
  <c r="BT290" i="2" s="1"/>
  <c r="JS289" i="11"/>
  <c r="BU290" i="2" s="1"/>
  <c r="JT289" i="11"/>
  <c r="BV290" i="2" s="1"/>
  <c r="JU289" i="11"/>
  <c r="BW290" i="2" s="1"/>
  <c r="JV289" i="11"/>
  <c r="BX290" i="2" s="1"/>
  <c r="JW289" i="11"/>
  <c r="BY290" i="2" s="1"/>
  <c r="JX289" i="11"/>
  <c r="BZ290" i="2" s="1"/>
  <c r="JY289" i="11"/>
  <c r="CA290" i="2" s="1"/>
  <c r="JZ289" i="11"/>
  <c r="CB290" i="2" s="1"/>
  <c r="KA289" i="11"/>
  <c r="CC290" i="2" s="1"/>
  <c r="JI290" i="11"/>
  <c r="BK291" i="2" s="1"/>
  <c r="JJ290" i="11"/>
  <c r="BL291" i="2" s="1"/>
  <c r="JK290" i="11"/>
  <c r="BM291" i="2" s="1"/>
  <c r="JL290" i="11"/>
  <c r="BN291" i="2" s="1"/>
  <c r="JM290" i="11"/>
  <c r="BO291" i="2" s="1"/>
  <c r="JN290" i="11"/>
  <c r="BP291" i="2" s="1"/>
  <c r="JO290" i="11"/>
  <c r="BQ291" i="2" s="1"/>
  <c r="JP290" i="11"/>
  <c r="BR291" i="2" s="1"/>
  <c r="JQ290" i="11"/>
  <c r="BS291" i="2" s="1"/>
  <c r="JR290" i="11"/>
  <c r="BT291" i="2" s="1"/>
  <c r="JS290" i="11"/>
  <c r="BU291" i="2" s="1"/>
  <c r="JT290" i="11"/>
  <c r="BV291" i="2" s="1"/>
  <c r="JU290" i="11"/>
  <c r="BW291" i="2" s="1"/>
  <c r="JV290" i="11"/>
  <c r="BX291" i="2" s="1"/>
  <c r="JW290" i="11"/>
  <c r="BY291" i="2" s="1"/>
  <c r="JX290" i="11"/>
  <c r="BZ291" i="2" s="1"/>
  <c r="JY290" i="11"/>
  <c r="CA291" i="2" s="1"/>
  <c r="JZ290" i="11"/>
  <c r="CB291" i="2" s="1"/>
  <c r="KA290" i="11"/>
  <c r="CC291" i="2" s="1"/>
  <c r="JI291" i="11"/>
  <c r="BK292" i="2" s="1"/>
  <c r="JJ291" i="11"/>
  <c r="BL292" i="2" s="1"/>
  <c r="JK291" i="11"/>
  <c r="BM292" i="2" s="1"/>
  <c r="JL291" i="11"/>
  <c r="BN292" i="2" s="1"/>
  <c r="JM291" i="11"/>
  <c r="BO292" i="2" s="1"/>
  <c r="JN291" i="11"/>
  <c r="BP292" i="2" s="1"/>
  <c r="JO291" i="11"/>
  <c r="BQ292" i="2" s="1"/>
  <c r="JP291" i="11"/>
  <c r="BR292" i="2" s="1"/>
  <c r="JQ291" i="11"/>
  <c r="BS292" i="2" s="1"/>
  <c r="JR291" i="11"/>
  <c r="BT292" i="2" s="1"/>
  <c r="JS291" i="11"/>
  <c r="BU292" i="2" s="1"/>
  <c r="JT291" i="11"/>
  <c r="BV292" i="2" s="1"/>
  <c r="JU291" i="11"/>
  <c r="BW292" i="2" s="1"/>
  <c r="JV291" i="11"/>
  <c r="BX292" i="2" s="1"/>
  <c r="JW291" i="11"/>
  <c r="BY292" i="2" s="1"/>
  <c r="JX291" i="11"/>
  <c r="BZ292" i="2" s="1"/>
  <c r="JY291" i="11"/>
  <c r="CA292" i="2" s="1"/>
  <c r="JZ291" i="11"/>
  <c r="CB292" i="2" s="1"/>
  <c r="KA291" i="11"/>
  <c r="CC292" i="2" s="1"/>
  <c r="JI292" i="11"/>
  <c r="BK293" i="2" s="1"/>
  <c r="JJ292" i="11"/>
  <c r="BL293" i="2" s="1"/>
  <c r="JK292" i="11"/>
  <c r="BM293" i="2" s="1"/>
  <c r="JL292" i="11"/>
  <c r="BN293" i="2" s="1"/>
  <c r="JM292" i="11"/>
  <c r="BO293" i="2" s="1"/>
  <c r="JN292" i="11"/>
  <c r="BP293" i="2" s="1"/>
  <c r="JO292" i="11"/>
  <c r="BQ293" i="2" s="1"/>
  <c r="JP292" i="11"/>
  <c r="BR293" i="2" s="1"/>
  <c r="JQ292" i="11"/>
  <c r="BS293" i="2" s="1"/>
  <c r="JR292" i="11"/>
  <c r="BT293" i="2" s="1"/>
  <c r="JS292" i="11"/>
  <c r="BU293" i="2" s="1"/>
  <c r="JT292" i="11"/>
  <c r="BV293" i="2" s="1"/>
  <c r="JU292" i="11"/>
  <c r="BW293" i="2" s="1"/>
  <c r="JV292" i="11"/>
  <c r="BX293" i="2" s="1"/>
  <c r="JW292" i="11"/>
  <c r="BY293" i="2" s="1"/>
  <c r="JX292" i="11"/>
  <c r="BZ293" i="2" s="1"/>
  <c r="JY292" i="11"/>
  <c r="CA293" i="2" s="1"/>
  <c r="JZ292" i="11"/>
  <c r="CB293" i="2" s="1"/>
  <c r="KA292" i="11"/>
  <c r="CC293" i="2" s="1"/>
  <c r="JI293" i="11"/>
  <c r="BK294" i="2" s="1"/>
  <c r="JJ293" i="11"/>
  <c r="BL294" i="2" s="1"/>
  <c r="JK293" i="11"/>
  <c r="BM294" i="2" s="1"/>
  <c r="JL293" i="11"/>
  <c r="BN294" i="2" s="1"/>
  <c r="JM293" i="11"/>
  <c r="BO294" i="2" s="1"/>
  <c r="JN293" i="11"/>
  <c r="BP294" i="2" s="1"/>
  <c r="JO293" i="11"/>
  <c r="BQ294" i="2" s="1"/>
  <c r="JP293" i="11"/>
  <c r="BR294" i="2" s="1"/>
  <c r="JQ293" i="11"/>
  <c r="BS294" i="2" s="1"/>
  <c r="JR293" i="11"/>
  <c r="BT294" i="2" s="1"/>
  <c r="JS293" i="11"/>
  <c r="BU294" i="2" s="1"/>
  <c r="JT293" i="11"/>
  <c r="BV294" i="2" s="1"/>
  <c r="JU293" i="11"/>
  <c r="BW294" i="2" s="1"/>
  <c r="JV293" i="11"/>
  <c r="BX294" i="2" s="1"/>
  <c r="JW293" i="11"/>
  <c r="BY294" i="2" s="1"/>
  <c r="JX293" i="11"/>
  <c r="BZ294" i="2" s="1"/>
  <c r="JY293" i="11"/>
  <c r="CA294" i="2" s="1"/>
  <c r="JZ293" i="11"/>
  <c r="CB294" i="2" s="1"/>
  <c r="KA293" i="11"/>
  <c r="CC294" i="2" s="1"/>
  <c r="JI294" i="11"/>
  <c r="BK295" i="2" s="1"/>
  <c r="JJ294" i="11"/>
  <c r="BL295" i="2" s="1"/>
  <c r="JK294" i="11"/>
  <c r="BM295" i="2" s="1"/>
  <c r="JL294" i="11"/>
  <c r="BN295" i="2" s="1"/>
  <c r="JM294" i="11"/>
  <c r="BO295" i="2" s="1"/>
  <c r="JN294" i="11"/>
  <c r="BP295" i="2" s="1"/>
  <c r="JO294" i="11"/>
  <c r="BQ295" i="2" s="1"/>
  <c r="JP294" i="11"/>
  <c r="BR295" i="2" s="1"/>
  <c r="JQ294" i="11"/>
  <c r="BS295" i="2" s="1"/>
  <c r="JR294" i="11"/>
  <c r="BT295" i="2" s="1"/>
  <c r="JS294" i="11"/>
  <c r="BU295" i="2" s="1"/>
  <c r="JT294" i="11"/>
  <c r="BV295" i="2" s="1"/>
  <c r="JU294" i="11"/>
  <c r="BW295" i="2" s="1"/>
  <c r="JV294" i="11"/>
  <c r="BX295" i="2" s="1"/>
  <c r="JW294" i="11"/>
  <c r="BY295" i="2" s="1"/>
  <c r="JX294" i="11"/>
  <c r="BZ295" i="2" s="1"/>
  <c r="JY294" i="11"/>
  <c r="CA295" i="2" s="1"/>
  <c r="JZ294" i="11"/>
  <c r="CB295" i="2" s="1"/>
  <c r="KA294" i="11"/>
  <c r="CC295" i="2" s="1"/>
  <c r="JI295" i="11"/>
  <c r="BK296" i="2" s="1"/>
  <c r="JJ295" i="11"/>
  <c r="BL296" i="2" s="1"/>
  <c r="JK295" i="11"/>
  <c r="BM296" i="2" s="1"/>
  <c r="JL295" i="11"/>
  <c r="BN296" i="2" s="1"/>
  <c r="JM295" i="11"/>
  <c r="BO296" i="2" s="1"/>
  <c r="JN295" i="11"/>
  <c r="BP296" i="2" s="1"/>
  <c r="JO295" i="11"/>
  <c r="BQ296" i="2" s="1"/>
  <c r="JP295" i="11"/>
  <c r="BR296" i="2" s="1"/>
  <c r="JQ295" i="11"/>
  <c r="BS296" i="2" s="1"/>
  <c r="JR295" i="11"/>
  <c r="BT296" i="2" s="1"/>
  <c r="JS295" i="11"/>
  <c r="BU296" i="2" s="1"/>
  <c r="JT295" i="11"/>
  <c r="BV296" i="2" s="1"/>
  <c r="JU295" i="11"/>
  <c r="BW296" i="2" s="1"/>
  <c r="JV295" i="11"/>
  <c r="BX296" i="2" s="1"/>
  <c r="JW295" i="11"/>
  <c r="BY296" i="2" s="1"/>
  <c r="JX295" i="11"/>
  <c r="BZ296" i="2" s="1"/>
  <c r="JY295" i="11"/>
  <c r="CA296" i="2" s="1"/>
  <c r="JZ295" i="11"/>
  <c r="CB296" i="2" s="1"/>
  <c r="KA295" i="11"/>
  <c r="CC296" i="2" s="1"/>
  <c r="JI296" i="11"/>
  <c r="BK297" i="2" s="1"/>
  <c r="JJ296" i="11"/>
  <c r="BL297" i="2" s="1"/>
  <c r="JK296" i="11"/>
  <c r="BM297" i="2" s="1"/>
  <c r="JL296" i="11"/>
  <c r="BN297" i="2" s="1"/>
  <c r="JM296" i="11"/>
  <c r="BO297" i="2" s="1"/>
  <c r="JN296" i="11"/>
  <c r="BP297" i="2" s="1"/>
  <c r="JO296" i="11"/>
  <c r="BQ297" i="2" s="1"/>
  <c r="JP296" i="11"/>
  <c r="BR297" i="2" s="1"/>
  <c r="JQ296" i="11"/>
  <c r="BS297" i="2" s="1"/>
  <c r="JR296" i="11"/>
  <c r="BT297" i="2" s="1"/>
  <c r="JS296" i="11"/>
  <c r="BU297" i="2" s="1"/>
  <c r="JT296" i="11"/>
  <c r="BV297" i="2" s="1"/>
  <c r="JU296" i="11"/>
  <c r="BW297" i="2" s="1"/>
  <c r="JV296" i="11"/>
  <c r="BX297" i="2" s="1"/>
  <c r="JW296" i="11"/>
  <c r="BY297" i="2" s="1"/>
  <c r="JX296" i="11"/>
  <c r="BZ297" i="2" s="1"/>
  <c r="JY296" i="11"/>
  <c r="CA297" i="2" s="1"/>
  <c r="JZ296" i="11"/>
  <c r="CB297" i="2" s="1"/>
  <c r="KA296" i="11"/>
  <c r="CC297" i="2" s="1"/>
  <c r="JI297" i="11"/>
  <c r="BK298" i="2" s="1"/>
  <c r="JJ297" i="11"/>
  <c r="BL298" i="2" s="1"/>
  <c r="JK297" i="11"/>
  <c r="BM298" i="2" s="1"/>
  <c r="JL297" i="11"/>
  <c r="BN298" i="2" s="1"/>
  <c r="JM297" i="11"/>
  <c r="BO298" i="2" s="1"/>
  <c r="JN297" i="11"/>
  <c r="BP298" i="2" s="1"/>
  <c r="JO297" i="11"/>
  <c r="BQ298" i="2" s="1"/>
  <c r="JP297" i="11"/>
  <c r="BR298" i="2" s="1"/>
  <c r="JQ297" i="11"/>
  <c r="BS298" i="2" s="1"/>
  <c r="JR297" i="11"/>
  <c r="BT298" i="2" s="1"/>
  <c r="JS297" i="11"/>
  <c r="BU298" i="2" s="1"/>
  <c r="JT297" i="11"/>
  <c r="BV298" i="2" s="1"/>
  <c r="JU297" i="11"/>
  <c r="BW298" i="2" s="1"/>
  <c r="JV297" i="11"/>
  <c r="BX298" i="2" s="1"/>
  <c r="JW297" i="11"/>
  <c r="BY298" i="2" s="1"/>
  <c r="JX297" i="11"/>
  <c r="BZ298" i="2" s="1"/>
  <c r="JY297" i="11"/>
  <c r="CA298" i="2" s="1"/>
  <c r="JZ297" i="11"/>
  <c r="CB298" i="2" s="1"/>
  <c r="KA297" i="11"/>
  <c r="CC298" i="2" s="1"/>
  <c r="JI298" i="11"/>
  <c r="BK299" i="2" s="1"/>
  <c r="JJ298" i="11"/>
  <c r="BL299" i="2" s="1"/>
  <c r="JK298" i="11"/>
  <c r="BM299" i="2" s="1"/>
  <c r="JL298" i="11"/>
  <c r="BN299" i="2" s="1"/>
  <c r="JM298" i="11"/>
  <c r="BO299" i="2" s="1"/>
  <c r="JN298" i="11"/>
  <c r="BP299" i="2" s="1"/>
  <c r="JO298" i="11"/>
  <c r="BQ299" i="2" s="1"/>
  <c r="JP298" i="11"/>
  <c r="BR299" i="2" s="1"/>
  <c r="JQ298" i="11"/>
  <c r="BS299" i="2" s="1"/>
  <c r="JR298" i="11"/>
  <c r="BT299" i="2" s="1"/>
  <c r="JS298" i="11"/>
  <c r="BU299" i="2" s="1"/>
  <c r="JT298" i="11"/>
  <c r="BV299" i="2" s="1"/>
  <c r="JU298" i="11"/>
  <c r="BW299" i="2" s="1"/>
  <c r="JV298" i="11"/>
  <c r="BX299" i="2" s="1"/>
  <c r="JW298" i="11"/>
  <c r="BY299" i="2" s="1"/>
  <c r="JX298" i="11"/>
  <c r="BZ299" i="2" s="1"/>
  <c r="JY298" i="11"/>
  <c r="CA299" i="2" s="1"/>
  <c r="JZ298" i="11"/>
  <c r="CB299" i="2" s="1"/>
  <c r="KA298" i="11"/>
  <c r="CC299" i="2" s="1"/>
  <c r="JI299" i="11"/>
  <c r="BK300" i="2" s="1"/>
  <c r="JJ299" i="11"/>
  <c r="BL300" i="2" s="1"/>
  <c r="JK299" i="11"/>
  <c r="BM300" i="2" s="1"/>
  <c r="JL299" i="11"/>
  <c r="BN300" i="2" s="1"/>
  <c r="JM299" i="11"/>
  <c r="BO300" i="2" s="1"/>
  <c r="JN299" i="11"/>
  <c r="BP300" i="2" s="1"/>
  <c r="JO299" i="11"/>
  <c r="BQ300" i="2" s="1"/>
  <c r="JP299" i="11"/>
  <c r="BR300" i="2" s="1"/>
  <c r="JQ299" i="11"/>
  <c r="BS300" i="2" s="1"/>
  <c r="JR299" i="11"/>
  <c r="BT300" i="2" s="1"/>
  <c r="JS299" i="11"/>
  <c r="BU300" i="2" s="1"/>
  <c r="JT299" i="11"/>
  <c r="BV300" i="2" s="1"/>
  <c r="JU299" i="11"/>
  <c r="BW300" i="2" s="1"/>
  <c r="JV299" i="11"/>
  <c r="BX300" i="2" s="1"/>
  <c r="JW299" i="11"/>
  <c r="BY300" i="2" s="1"/>
  <c r="JX299" i="11"/>
  <c r="BZ300" i="2" s="1"/>
  <c r="JY299" i="11"/>
  <c r="CA300" i="2" s="1"/>
  <c r="JZ299" i="11"/>
  <c r="CB300" i="2" s="1"/>
  <c r="KA299" i="11"/>
  <c r="CC300" i="2" s="1"/>
  <c r="JI300" i="11"/>
  <c r="BK301" i="2" s="1"/>
  <c r="JJ300" i="11"/>
  <c r="BL301" i="2" s="1"/>
  <c r="JK300" i="11"/>
  <c r="BM301" i="2" s="1"/>
  <c r="JL300" i="11"/>
  <c r="BN301" i="2" s="1"/>
  <c r="JM300" i="11"/>
  <c r="BO301" i="2" s="1"/>
  <c r="JN300" i="11"/>
  <c r="BP301" i="2" s="1"/>
  <c r="JO300" i="11"/>
  <c r="BQ301" i="2" s="1"/>
  <c r="JP300" i="11"/>
  <c r="BR301" i="2" s="1"/>
  <c r="JQ300" i="11"/>
  <c r="BS301" i="2" s="1"/>
  <c r="JR300" i="11"/>
  <c r="BT301" i="2" s="1"/>
  <c r="JS300" i="11"/>
  <c r="BU301" i="2" s="1"/>
  <c r="JT300" i="11"/>
  <c r="BV301" i="2" s="1"/>
  <c r="JU300" i="11"/>
  <c r="BW301" i="2" s="1"/>
  <c r="JV300" i="11"/>
  <c r="BX301" i="2" s="1"/>
  <c r="JW300" i="11"/>
  <c r="BY301" i="2" s="1"/>
  <c r="JX300" i="11"/>
  <c r="BZ301" i="2" s="1"/>
  <c r="JY300" i="11"/>
  <c r="CA301" i="2" s="1"/>
  <c r="JZ300" i="11"/>
  <c r="CB301" i="2" s="1"/>
  <c r="KA300" i="11"/>
  <c r="CC301" i="2" s="1"/>
  <c r="JI301" i="11"/>
  <c r="BK302" i="2" s="1"/>
  <c r="JJ301" i="11"/>
  <c r="BL302" i="2" s="1"/>
  <c r="JK301" i="11"/>
  <c r="BM302" i="2" s="1"/>
  <c r="JL301" i="11"/>
  <c r="BN302" i="2" s="1"/>
  <c r="JM301" i="11"/>
  <c r="BO302" i="2" s="1"/>
  <c r="JN301" i="11"/>
  <c r="BP302" i="2" s="1"/>
  <c r="JO301" i="11"/>
  <c r="BQ302" i="2" s="1"/>
  <c r="JP301" i="11"/>
  <c r="BR302" i="2" s="1"/>
  <c r="JQ301" i="11"/>
  <c r="BS302" i="2" s="1"/>
  <c r="JR301" i="11"/>
  <c r="BT302" i="2" s="1"/>
  <c r="JS301" i="11"/>
  <c r="BU302" i="2" s="1"/>
  <c r="JT301" i="11"/>
  <c r="BV302" i="2" s="1"/>
  <c r="JU301" i="11"/>
  <c r="BW302" i="2" s="1"/>
  <c r="JV301" i="11"/>
  <c r="BX302" i="2" s="1"/>
  <c r="JW301" i="11"/>
  <c r="BY302" i="2" s="1"/>
  <c r="JX301" i="11"/>
  <c r="BZ302" i="2" s="1"/>
  <c r="JY301" i="11"/>
  <c r="CA302" i="2" s="1"/>
  <c r="JZ301" i="11"/>
  <c r="CB302" i="2" s="1"/>
  <c r="KA301" i="11"/>
  <c r="CC302" i="2" s="1"/>
  <c r="JI302" i="11"/>
  <c r="BK303" i="2" s="1"/>
  <c r="JJ302" i="11"/>
  <c r="BL303" i="2" s="1"/>
  <c r="JK302" i="11"/>
  <c r="BM303" i="2" s="1"/>
  <c r="JL302" i="11"/>
  <c r="BN303" i="2" s="1"/>
  <c r="JM302" i="11"/>
  <c r="BO303" i="2" s="1"/>
  <c r="JN302" i="11"/>
  <c r="BP303" i="2" s="1"/>
  <c r="JO302" i="11"/>
  <c r="BQ303" i="2" s="1"/>
  <c r="JP302" i="11"/>
  <c r="BR303" i="2" s="1"/>
  <c r="JQ302" i="11"/>
  <c r="BS303" i="2" s="1"/>
  <c r="JR302" i="11"/>
  <c r="BT303" i="2" s="1"/>
  <c r="JS302" i="11"/>
  <c r="BU303" i="2" s="1"/>
  <c r="JT302" i="11"/>
  <c r="BV303" i="2" s="1"/>
  <c r="JU302" i="11"/>
  <c r="BW303" i="2" s="1"/>
  <c r="JV302" i="11"/>
  <c r="BX303" i="2" s="1"/>
  <c r="JW302" i="11"/>
  <c r="BY303" i="2" s="1"/>
  <c r="JX302" i="11"/>
  <c r="BZ303" i="2" s="1"/>
  <c r="JY302" i="11"/>
  <c r="CA303" i="2" s="1"/>
  <c r="JZ302" i="11"/>
  <c r="CB303" i="2" s="1"/>
  <c r="KA302" i="11"/>
  <c r="CC303" i="2" s="1"/>
  <c r="JI303" i="11"/>
  <c r="BK304" i="2" s="1"/>
  <c r="JJ303" i="11"/>
  <c r="BL304" i="2" s="1"/>
  <c r="JK303" i="11"/>
  <c r="BM304" i="2" s="1"/>
  <c r="JL303" i="11"/>
  <c r="BN304" i="2" s="1"/>
  <c r="JM303" i="11"/>
  <c r="BO304" i="2" s="1"/>
  <c r="JN303" i="11"/>
  <c r="BP304" i="2" s="1"/>
  <c r="JO303" i="11"/>
  <c r="BQ304" i="2" s="1"/>
  <c r="JP303" i="11"/>
  <c r="BR304" i="2" s="1"/>
  <c r="JQ303" i="11"/>
  <c r="BS304" i="2" s="1"/>
  <c r="JR303" i="11"/>
  <c r="BT304" i="2" s="1"/>
  <c r="JS303" i="11"/>
  <c r="BU304" i="2" s="1"/>
  <c r="JT303" i="11"/>
  <c r="BV304" i="2" s="1"/>
  <c r="JU303" i="11"/>
  <c r="BW304" i="2" s="1"/>
  <c r="JV303" i="11"/>
  <c r="BX304" i="2" s="1"/>
  <c r="JW303" i="11"/>
  <c r="BY304" i="2" s="1"/>
  <c r="JX303" i="11"/>
  <c r="BZ304" i="2" s="1"/>
  <c r="JY303" i="11"/>
  <c r="CA304" i="2" s="1"/>
  <c r="JZ303" i="11"/>
  <c r="CB304" i="2" s="1"/>
  <c r="KA303" i="11"/>
  <c r="CC304" i="2" s="1"/>
  <c r="JI304" i="11"/>
  <c r="BK305" i="2" s="1"/>
  <c r="JJ304" i="11"/>
  <c r="BL305" i="2" s="1"/>
  <c r="JK304" i="11"/>
  <c r="BM305" i="2" s="1"/>
  <c r="JL304" i="11"/>
  <c r="BN305" i="2" s="1"/>
  <c r="JM304" i="11"/>
  <c r="BO305" i="2" s="1"/>
  <c r="JN304" i="11"/>
  <c r="BP305" i="2" s="1"/>
  <c r="JO304" i="11"/>
  <c r="BQ305" i="2" s="1"/>
  <c r="JP304" i="11"/>
  <c r="BR305" i="2" s="1"/>
  <c r="JQ304" i="11"/>
  <c r="BS305" i="2" s="1"/>
  <c r="JR304" i="11"/>
  <c r="BT305" i="2" s="1"/>
  <c r="JS304" i="11"/>
  <c r="BU305" i="2" s="1"/>
  <c r="JT304" i="11"/>
  <c r="BV305" i="2" s="1"/>
  <c r="JU304" i="11"/>
  <c r="BW305" i="2" s="1"/>
  <c r="JV304" i="11"/>
  <c r="BX305" i="2" s="1"/>
  <c r="JW304" i="11"/>
  <c r="BY305" i="2" s="1"/>
  <c r="JX304" i="11"/>
  <c r="BZ305" i="2" s="1"/>
  <c r="JY304" i="11"/>
  <c r="CA305" i="2" s="1"/>
  <c r="JZ304" i="11"/>
  <c r="CB305" i="2" s="1"/>
  <c r="KA304" i="11"/>
  <c r="CC305" i="2" s="1"/>
  <c r="JI305" i="11"/>
  <c r="BK306" i="2" s="1"/>
  <c r="JJ305" i="11"/>
  <c r="BL306" i="2" s="1"/>
  <c r="JK305" i="11"/>
  <c r="BM306" i="2" s="1"/>
  <c r="JL305" i="11"/>
  <c r="BN306" i="2" s="1"/>
  <c r="JM305" i="11"/>
  <c r="BO306" i="2" s="1"/>
  <c r="JN305" i="11"/>
  <c r="BP306" i="2" s="1"/>
  <c r="JO305" i="11"/>
  <c r="BQ306" i="2" s="1"/>
  <c r="JP305" i="11"/>
  <c r="BR306" i="2" s="1"/>
  <c r="JQ305" i="11"/>
  <c r="BS306" i="2" s="1"/>
  <c r="JR305" i="11"/>
  <c r="BT306" i="2" s="1"/>
  <c r="JS305" i="11"/>
  <c r="BU306" i="2" s="1"/>
  <c r="JT305" i="11"/>
  <c r="BV306" i="2" s="1"/>
  <c r="JU305" i="11"/>
  <c r="BW306" i="2" s="1"/>
  <c r="JV305" i="11"/>
  <c r="BX306" i="2" s="1"/>
  <c r="JW305" i="11"/>
  <c r="BY306" i="2" s="1"/>
  <c r="JX305" i="11"/>
  <c r="BZ306" i="2" s="1"/>
  <c r="JY305" i="11"/>
  <c r="CA306" i="2" s="1"/>
  <c r="JZ305" i="11"/>
  <c r="CB306" i="2" s="1"/>
  <c r="KA305" i="11"/>
  <c r="CC306" i="2" s="1"/>
  <c r="JI306" i="11"/>
  <c r="BK307" i="2" s="1"/>
  <c r="JJ306" i="11"/>
  <c r="BL307" i="2" s="1"/>
  <c r="JK306" i="11"/>
  <c r="BM307" i="2" s="1"/>
  <c r="JL306" i="11"/>
  <c r="BN307" i="2" s="1"/>
  <c r="JM306" i="11"/>
  <c r="BO307" i="2" s="1"/>
  <c r="JN306" i="11"/>
  <c r="BP307" i="2" s="1"/>
  <c r="JO306" i="11"/>
  <c r="BQ307" i="2" s="1"/>
  <c r="JP306" i="11"/>
  <c r="BR307" i="2" s="1"/>
  <c r="JQ306" i="11"/>
  <c r="BS307" i="2" s="1"/>
  <c r="JR306" i="11"/>
  <c r="BT307" i="2" s="1"/>
  <c r="JS306" i="11"/>
  <c r="BU307" i="2" s="1"/>
  <c r="JT306" i="11"/>
  <c r="BV307" i="2" s="1"/>
  <c r="JU306" i="11"/>
  <c r="BW307" i="2" s="1"/>
  <c r="JV306" i="11"/>
  <c r="BX307" i="2" s="1"/>
  <c r="JW306" i="11"/>
  <c r="BY307" i="2" s="1"/>
  <c r="JX306" i="11"/>
  <c r="BZ307" i="2" s="1"/>
  <c r="JY306" i="11"/>
  <c r="CA307" i="2" s="1"/>
  <c r="JZ306" i="11"/>
  <c r="CB307" i="2" s="1"/>
  <c r="KA306" i="11"/>
  <c r="CC307" i="2" s="1"/>
  <c r="JI307" i="11"/>
  <c r="BK308" i="2" s="1"/>
  <c r="JJ307" i="11"/>
  <c r="BL308" i="2" s="1"/>
  <c r="JK307" i="11"/>
  <c r="BM308" i="2" s="1"/>
  <c r="JL307" i="11"/>
  <c r="BN308" i="2" s="1"/>
  <c r="JM307" i="11"/>
  <c r="BO308" i="2" s="1"/>
  <c r="JN307" i="11"/>
  <c r="BP308" i="2" s="1"/>
  <c r="JO307" i="11"/>
  <c r="BQ308" i="2" s="1"/>
  <c r="JP307" i="11"/>
  <c r="BR308" i="2" s="1"/>
  <c r="JQ307" i="11"/>
  <c r="BS308" i="2" s="1"/>
  <c r="JR307" i="11"/>
  <c r="BT308" i="2" s="1"/>
  <c r="JS307" i="11"/>
  <c r="BU308" i="2" s="1"/>
  <c r="JT307" i="11"/>
  <c r="BV308" i="2" s="1"/>
  <c r="JU307" i="11"/>
  <c r="BW308" i="2" s="1"/>
  <c r="JV307" i="11"/>
  <c r="BX308" i="2" s="1"/>
  <c r="JW307" i="11"/>
  <c r="BY308" i="2" s="1"/>
  <c r="JX307" i="11"/>
  <c r="BZ308" i="2" s="1"/>
  <c r="JY307" i="11"/>
  <c r="CA308" i="2" s="1"/>
  <c r="JZ307" i="11"/>
  <c r="CB308" i="2" s="1"/>
  <c r="KA307" i="11"/>
  <c r="CC308" i="2" s="1"/>
  <c r="JI308" i="11"/>
  <c r="BK309" i="2" s="1"/>
  <c r="JJ308" i="11"/>
  <c r="BL309" i="2" s="1"/>
  <c r="JK308" i="11"/>
  <c r="BM309" i="2" s="1"/>
  <c r="JL308" i="11"/>
  <c r="BN309" i="2" s="1"/>
  <c r="JM308" i="11"/>
  <c r="BO309" i="2" s="1"/>
  <c r="JN308" i="11"/>
  <c r="BP309" i="2" s="1"/>
  <c r="JO308" i="11"/>
  <c r="BQ309" i="2" s="1"/>
  <c r="JP308" i="11"/>
  <c r="BR309" i="2" s="1"/>
  <c r="JQ308" i="11"/>
  <c r="BS309" i="2" s="1"/>
  <c r="JR308" i="11"/>
  <c r="BT309" i="2" s="1"/>
  <c r="JS308" i="11"/>
  <c r="BU309" i="2" s="1"/>
  <c r="JT308" i="11"/>
  <c r="BV309" i="2" s="1"/>
  <c r="JU308" i="11"/>
  <c r="BW309" i="2" s="1"/>
  <c r="JV308" i="11"/>
  <c r="BX309" i="2" s="1"/>
  <c r="JW308" i="11"/>
  <c r="BY309" i="2" s="1"/>
  <c r="JX308" i="11"/>
  <c r="BZ309" i="2" s="1"/>
  <c r="JY308" i="11"/>
  <c r="CA309" i="2" s="1"/>
  <c r="JZ308" i="11"/>
  <c r="CB309" i="2" s="1"/>
  <c r="KA308" i="11"/>
  <c r="CC309" i="2" s="1"/>
  <c r="JI309" i="11"/>
  <c r="BK310" i="2" s="1"/>
  <c r="JJ309" i="11"/>
  <c r="BL310" i="2" s="1"/>
  <c r="JK309" i="11"/>
  <c r="BM310" i="2" s="1"/>
  <c r="JL309" i="11"/>
  <c r="BN310" i="2" s="1"/>
  <c r="JM309" i="11"/>
  <c r="BO310" i="2" s="1"/>
  <c r="JN309" i="11"/>
  <c r="BP310" i="2" s="1"/>
  <c r="JO309" i="11"/>
  <c r="BQ310" i="2" s="1"/>
  <c r="JP309" i="11"/>
  <c r="BR310" i="2" s="1"/>
  <c r="JQ309" i="11"/>
  <c r="BS310" i="2" s="1"/>
  <c r="BG15" i="5" s="1" a="1"/>
  <c r="BG15" i="5" s="1"/>
  <c r="JR309" i="11"/>
  <c r="BT310" i="2" s="1"/>
  <c r="BH15" i="5" s="1" a="1"/>
  <c r="BH15" i="5" s="1"/>
  <c r="JS309" i="11"/>
  <c r="BU310" i="2" s="1"/>
  <c r="BI15" i="5" s="1" a="1"/>
  <c r="BI15" i="5" s="1"/>
  <c r="JT309" i="11"/>
  <c r="BV310" i="2" s="1"/>
  <c r="JU309" i="11"/>
  <c r="BW310" i="2" s="1"/>
  <c r="JV309" i="11"/>
  <c r="BX310" i="2" s="1"/>
  <c r="JW309" i="11"/>
  <c r="BY310" i="2" s="1"/>
  <c r="JX309" i="11"/>
  <c r="BZ310" i="2" s="1"/>
  <c r="JY309" i="11"/>
  <c r="CA310" i="2" s="1"/>
  <c r="JZ309" i="11"/>
  <c r="CB310" i="2" s="1"/>
  <c r="KA309" i="11"/>
  <c r="CC310" i="2" s="1"/>
  <c r="JI310" i="11"/>
  <c r="BK311" i="2" s="1"/>
  <c r="JJ310" i="11"/>
  <c r="BL311" i="2" s="1"/>
  <c r="JK310" i="11"/>
  <c r="BM311" i="2" s="1"/>
  <c r="JL310" i="11"/>
  <c r="BN311" i="2" s="1"/>
  <c r="JM310" i="11"/>
  <c r="BO311" i="2" s="1"/>
  <c r="JN310" i="11"/>
  <c r="BP311" i="2" s="1"/>
  <c r="JO310" i="11"/>
  <c r="BQ311" i="2" s="1"/>
  <c r="JP310" i="11"/>
  <c r="BR311" i="2" s="1"/>
  <c r="JQ310" i="11"/>
  <c r="BS311" i="2" s="1"/>
  <c r="JR310" i="11"/>
  <c r="BT311" i="2" s="1"/>
  <c r="JS310" i="11"/>
  <c r="BU311" i="2" s="1"/>
  <c r="JT310" i="11"/>
  <c r="BV311" i="2" s="1"/>
  <c r="JU310" i="11"/>
  <c r="BW311" i="2" s="1"/>
  <c r="JV310" i="11"/>
  <c r="BX311" i="2" s="1"/>
  <c r="JW310" i="11"/>
  <c r="BY311" i="2" s="1"/>
  <c r="JX310" i="11"/>
  <c r="BZ311" i="2" s="1"/>
  <c r="JY310" i="11"/>
  <c r="CA311" i="2" s="1"/>
  <c r="JZ310" i="11"/>
  <c r="CB311" i="2" s="1"/>
  <c r="KA310" i="11"/>
  <c r="CC311" i="2" s="1"/>
  <c r="JI311" i="11"/>
  <c r="BK312" i="2" s="1"/>
  <c r="JJ311" i="11"/>
  <c r="BL312" i="2" s="1"/>
  <c r="JK311" i="11"/>
  <c r="BM312" i="2" s="1"/>
  <c r="JL311" i="11"/>
  <c r="BN312" i="2" s="1"/>
  <c r="JM311" i="11"/>
  <c r="BO312" i="2" s="1"/>
  <c r="JN311" i="11"/>
  <c r="BP312" i="2" s="1"/>
  <c r="JO311" i="11"/>
  <c r="BQ312" i="2" s="1"/>
  <c r="JP311" i="11"/>
  <c r="BR312" i="2" s="1"/>
  <c r="JQ311" i="11"/>
  <c r="BS312" i="2" s="1"/>
  <c r="JR311" i="11"/>
  <c r="BT312" i="2" s="1"/>
  <c r="JS311" i="11"/>
  <c r="BU312" i="2" s="1"/>
  <c r="JT311" i="11"/>
  <c r="BV312" i="2" s="1"/>
  <c r="JU311" i="11"/>
  <c r="BW312" i="2" s="1"/>
  <c r="JV311" i="11"/>
  <c r="BX312" i="2" s="1"/>
  <c r="JW311" i="11"/>
  <c r="BY312" i="2" s="1"/>
  <c r="JX311" i="11"/>
  <c r="BZ312" i="2" s="1"/>
  <c r="JY311" i="11"/>
  <c r="CA312" i="2" s="1"/>
  <c r="JZ311" i="11"/>
  <c r="CB312" i="2" s="1"/>
  <c r="KA311" i="11"/>
  <c r="CC312" i="2" s="1"/>
  <c r="JI312" i="11"/>
  <c r="BK313" i="2" s="1"/>
  <c r="JJ312" i="11"/>
  <c r="BL313" i="2" s="1"/>
  <c r="JK312" i="11"/>
  <c r="BM313" i="2" s="1"/>
  <c r="JL312" i="11"/>
  <c r="BN313" i="2" s="1"/>
  <c r="JM312" i="11"/>
  <c r="BO313" i="2" s="1"/>
  <c r="JN312" i="11"/>
  <c r="BP313" i="2" s="1"/>
  <c r="JO312" i="11"/>
  <c r="BQ313" i="2" s="1"/>
  <c r="JP312" i="11"/>
  <c r="BR313" i="2" s="1"/>
  <c r="JQ312" i="11"/>
  <c r="BS313" i="2" s="1"/>
  <c r="JR312" i="11"/>
  <c r="BT313" i="2" s="1"/>
  <c r="JS312" i="11"/>
  <c r="BU313" i="2" s="1"/>
  <c r="JT312" i="11"/>
  <c r="BV313" i="2" s="1"/>
  <c r="JU312" i="11"/>
  <c r="BW313" i="2" s="1"/>
  <c r="JV312" i="11"/>
  <c r="BX313" i="2" s="1"/>
  <c r="JW312" i="11"/>
  <c r="BY313" i="2" s="1"/>
  <c r="JX312" i="11"/>
  <c r="BZ313" i="2" s="1"/>
  <c r="JY312" i="11"/>
  <c r="CA313" i="2" s="1"/>
  <c r="JZ312" i="11"/>
  <c r="CB313" i="2" s="1"/>
  <c r="KA312" i="11"/>
  <c r="CC313" i="2" s="1"/>
  <c r="JI313" i="11"/>
  <c r="BK314" i="2" s="1"/>
  <c r="JJ313" i="11"/>
  <c r="BL314" i="2" s="1"/>
  <c r="JK313" i="11"/>
  <c r="BM314" i="2" s="1"/>
  <c r="JL313" i="11"/>
  <c r="BN314" i="2" s="1"/>
  <c r="JM313" i="11"/>
  <c r="BO314" i="2" s="1"/>
  <c r="JN313" i="11"/>
  <c r="BP314" i="2" s="1"/>
  <c r="JO313" i="11"/>
  <c r="BQ314" i="2" s="1"/>
  <c r="JP313" i="11"/>
  <c r="BR314" i="2" s="1"/>
  <c r="JQ313" i="11"/>
  <c r="BS314" i="2" s="1"/>
  <c r="JR313" i="11"/>
  <c r="BT314" i="2" s="1"/>
  <c r="JS313" i="11"/>
  <c r="BU314" i="2" s="1"/>
  <c r="JT313" i="11"/>
  <c r="BV314" i="2" s="1"/>
  <c r="JU313" i="11"/>
  <c r="BW314" i="2" s="1"/>
  <c r="JV313" i="11"/>
  <c r="BX314" i="2" s="1"/>
  <c r="JW313" i="11"/>
  <c r="BY314" i="2" s="1"/>
  <c r="JX313" i="11"/>
  <c r="BZ314" i="2" s="1"/>
  <c r="JY313" i="11"/>
  <c r="CA314" i="2" s="1"/>
  <c r="JZ313" i="11"/>
  <c r="CB314" i="2" s="1"/>
  <c r="KA313" i="11"/>
  <c r="CC314" i="2" s="1"/>
  <c r="JI314" i="11"/>
  <c r="BK315" i="2" s="1"/>
  <c r="JJ314" i="11"/>
  <c r="BL315" i="2" s="1"/>
  <c r="JK314" i="11"/>
  <c r="BM315" i="2" s="1"/>
  <c r="JL314" i="11"/>
  <c r="BN315" i="2" s="1"/>
  <c r="JM314" i="11"/>
  <c r="BO315" i="2" s="1"/>
  <c r="JN314" i="11"/>
  <c r="BP315" i="2" s="1"/>
  <c r="JO314" i="11"/>
  <c r="BQ315" i="2" s="1"/>
  <c r="JP314" i="11"/>
  <c r="BR315" i="2" s="1"/>
  <c r="JQ314" i="11"/>
  <c r="BS315" i="2" s="1"/>
  <c r="JR314" i="11"/>
  <c r="BT315" i="2" s="1"/>
  <c r="JS314" i="11"/>
  <c r="BU315" i="2" s="1"/>
  <c r="JT314" i="11"/>
  <c r="BV315" i="2" s="1"/>
  <c r="JU314" i="11"/>
  <c r="BW315" i="2" s="1"/>
  <c r="JV314" i="11"/>
  <c r="BX315" i="2" s="1"/>
  <c r="JW314" i="11"/>
  <c r="BY315" i="2" s="1"/>
  <c r="JX314" i="11"/>
  <c r="BZ315" i="2" s="1"/>
  <c r="JY314" i="11"/>
  <c r="CA315" i="2" s="1"/>
  <c r="JZ314" i="11"/>
  <c r="CB315" i="2" s="1"/>
  <c r="KA314" i="11"/>
  <c r="CC315" i="2" s="1"/>
  <c r="JI315" i="11"/>
  <c r="BK316" i="2" s="1"/>
  <c r="JJ315" i="11"/>
  <c r="BL316" i="2" s="1"/>
  <c r="JK315" i="11"/>
  <c r="BM316" i="2" s="1"/>
  <c r="JL315" i="11"/>
  <c r="BN316" i="2" s="1"/>
  <c r="JM315" i="11"/>
  <c r="BO316" i="2" s="1"/>
  <c r="JN315" i="11"/>
  <c r="BP316" i="2" s="1"/>
  <c r="JO315" i="11"/>
  <c r="BQ316" i="2" s="1"/>
  <c r="JP315" i="11"/>
  <c r="BR316" i="2" s="1"/>
  <c r="JQ315" i="11"/>
  <c r="BS316" i="2" s="1"/>
  <c r="JR315" i="11"/>
  <c r="BT316" i="2" s="1"/>
  <c r="JS315" i="11"/>
  <c r="BU316" i="2" s="1"/>
  <c r="JT315" i="11"/>
  <c r="BV316" i="2" s="1"/>
  <c r="JU315" i="11"/>
  <c r="BW316" i="2" s="1"/>
  <c r="JV315" i="11"/>
  <c r="BX316" i="2" s="1"/>
  <c r="JW315" i="11"/>
  <c r="BY316" i="2" s="1"/>
  <c r="JX315" i="11"/>
  <c r="BZ316" i="2" s="1"/>
  <c r="JY315" i="11"/>
  <c r="CA316" i="2" s="1"/>
  <c r="JZ315" i="11"/>
  <c r="CB316" i="2" s="1"/>
  <c r="KA315" i="11"/>
  <c r="CC316" i="2" s="1"/>
  <c r="JI316" i="11"/>
  <c r="BK317" i="2" s="1"/>
  <c r="JJ316" i="11"/>
  <c r="BL317" i="2" s="1"/>
  <c r="JK316" i="11"/>
  <c r="BM317" i="2" s="1"/>
  <c r="JL316" i="11"/>
  <c r="BN317" i="2" s="1"/>
  <c r="JM316" i="11"/>
  <c r="BO317" i="2" s="1"/>
  <c r="JN316" i="11"/>
  <c r="BP317" i="2" s="1"/>
  <c r="JO316" i="11"/>
  <c r="BQ317" i="2" s="1"/>
  <c r="JP316" i="11"/>
  <c r="BR317" i="2" s="1"/>
  <c r="JQ316" i="11"/>
  <c r="BS317" i="2" s="1"/>
  <c r="JR316" i="11"/>
  <c r="BT317" i="2" s="1"/>
  <c r="JS316" i="11"/>
  <c r="BU317" i="2" s="1"/>
  <c r="JT316" i="11"/>
  <c r="BV317" i="2" s="1"/>
  <c r="JU316" i="11"/>
  <c r="BW317" i="2" s="1"/>
  <c r="JV316" i="11"/>
  <c r="BX317" i="2" s="1"/>
  <c r="JW316" i="11"/>
  <c r="BY317" i="2" s="1"/>
  <c r="JX316" i="11"/>
  <c r="BZ317" i="2" s="1"/>
  <c r="JY316" i="11"/>
  <c r="CA317" i="2" s="1"/>
  <c r="JZ316" i="11"/>
  <c r="CB317" i="2" s="1"/>
  <c r="KA316" i="11"/>
  <c r="CC317" i="2" s="1"/>
  <c r="JI317" i="11"/>
  <c r="BK318" i="2" s="1"/>
  <c r="JJ317" i="11"/>
  <c r="BL318" i="2" s="1"/>
  <c r="JK317" i="11"/>
  <c r="BM318" i="2" s="1"/>
  <c r="JL317" i="11"/>
  <c r="BN318" i="2" s="1"/>
  <c r="JM317" i="11"/>
  <c r="BO318" i="2" s="1"/>
  <c r="JN317" i="11"/>
  <c r="BP318" i="2" s="1"/>
  <c r="JO317" i="11"/>
  <c r="BQ318" i="2" s="1"/>
  <c r="JP317" i="11"/>
  <c r="BR318" i="2" s="1"/>
  <c r="JQ317" i="11"/>
  <c r="BS318" i="2" s="1"/>
  <c r="JR317" i="11"/>
  <c r="BT318" i="2" s="1"/>
  <c r="JS317" i="11"/>
  <c r="BU318" i="2" s="1"/>
  <c r="JT317" i="11"/>
  <c r="BV318" i="2" s="1"/>
  <c r="JU317" i="11"/>
  <c r="BW318" i="2" s="1"/>
  <c r="JV317" i="11"/>
  <c r="BX318" i="2" s="1"/>
  <c r="JW317" i="11"/>
  <c r="BY318" i="2" s="1"/>
  <c r="JX317" i="11"/>
  <c r="BZ318" i="2" s="1"/>
  <c r="JY317" i="11"/>
  <c r="CA318" i="2" s="1"/>
  <c r="JZ317" i="11"/>
  <c r="CB318" i="2" s="1"/>
  <c r="KA317" i="11"/>
  <c r="CC318" i="2" s="1"/>
  <c r="JI318" i="11"/>
  <c r="BK319" i="2" s="1"/>
  <c r="JJ318" i="11"/>
  <c r="BL319" i="2" s="1"/>
  <c r="JK318" i="11"/>
  <c r="BM319" i="2" s="1"/>
  <c r="JL318" i="11"/>
  <c r="BN319" i="2" s="1"/>
  <c r="JM318" i="11"/>
  <c r="BO319" i="2" s="1"/>
  <c r="JN318" i="11"/>
  <c r="BP319" i="2" s="1"/>
  <c r="JO318" i="11"/>
  <c r="BQ319" i="2" s="1"/>
  <c r="JP318" i="11"/>
  <c r="BR319" i="2" s="1"/>
  <c r="JQ318" i="11"/>
  <c r="BS319" i="2" s="1"/>
  <c r="JR318" i="11"/>
  <c r="BT319" i="2" s="1"/>
  <c r="JS318" i="11"/>
  <c r="BU319" i="2" s="1"/>
  <c r="JT318" i="11"/>
  <c r="BV319" i="2" s="1"/>
  <c r="JU318" i="11"/>
  <c r="BW319" i="2" s="1"/>
  <c r="JV318" i="11"/>
  <c r="BX319" i="2" s="1"/>
  <c r="JW318" i="11"/>
  <c r="BY319" i="2" s="1"/>
  <c r="JX318" i="11"/>
  <c r="BZ319" i="2" s="1"/>
  <c r="JY318" i="11"/>
  <c r="CA319" i="2" s="1"/>
  <c r="JZ318" i="11"/>
  <c r="CB319" i="2" s="1"/>
  <c r="KA318" i="11"/>
  <c r="CC319" i="2" s="1"/>
  <c r="JI319" i="11"/>
  <c r="BK320" i="2" s="1"/>
  <c r="JJ319" i="11"/>
  <c r="BL320" i="2" s="1"/>
  <c r="JK319" i="11"/>
  <c r="BM320" i="2" s="1"/>
  <c r="JL319" i="11"/>
  <c r="BN320" i="2" s="1"/>
  <c r="JM319" i="11"/>
  <c r="BO320" i="2" s="1"/>
  <c r="JN319" i="11"/>
  <c r="BP320" i="2" s="1"/>
  <c r="JO319" i="11"/>
  <c r="BQ320" i="2" s="1"/>
  <c r="JP319" i="11"/>
  <c r="BR320" i="2" s="1"/>
  <c r="JQ319" i="11"/>
  <c r="BS320" i="2" s="1"/>
  <c r="JR319" i="11"/>
  <c r="BT320" i="2" s="1"/>
  <c r="JS319" i="11"/>
  <c r="BU320" i="2" s="1"/>
  <c r="JT319" i="11"/>
  <c r="BV320" i="2" s="1"/>
  <c r="JU319" i="11"/>
  <c r="BW320" i="2" s="1"/>
  <c r="JV319" i="11"/>
  <c r="BX320" i="2" s="1"/>
  <c r="JW319" i="11"/>
  <c r="BY320" i="2" s="1"/>
  <c r="JX319" i="11"/>
  <c r="BZ320" i="2" s="1"/>
  <c r="JY319" i="11"/>
  <c r="CA320" i="2" s="1"/>
  <c r="JZ319" i="11"/>
  <c r="CB320" i="2" s="1"/>
  <c r="KA319" i="11"/>
  <c r="CC320" i="2" s="1"/>
  <c r="JI320" i="11"/>
  <c r="BK321" i="2" s="1"/>
  <c r="JJ320" i="11"/>
  <c r="BL321" i="2" s="1"/>
  <c r="JK320" i="11"/>
  <c r="BM321" i="2" s="1"/>
  <c r="JL320" i="11"/>
  <c r="BN321" i="2" s="1"/>
  <c r="JM320" i="11"/>
  <c r="BO321" i="2" s="1"/>
  <c r="JN320" i="11"/>
  <c r="BP321" i="2" s="1"/>
  <c r="JO320" i="11"/>
  <c r="BQ321" i="2" s="1"/>
  <c r="JP320" i="11"/>
  <c r="BR321" i="2" s="1"/>
  <c r="JQ320" i="11"/>
  <c r="BS321" i="2" s="1"/>
  <c r="JR320" i="11"/>
  <c r="BT321" i="2" s="1"/>
  <c r="JS320" i="11"/>
  <c r="BU321" i="2" s="1"/>
  <c r="JT320" i="11"/>
  <c r="BV321" i="2" s="1"/>
  <c r="JU320" i="11"/>
  <c r="BW321" i="2" s="1"/>
  <c r="JV320" i="11"/>
  <c r="BX321" i="2" s="1"/>
  <c r="JW320" i="11"/>
  <c r="BY321" i="2" s="1"/>
  <c r="JX320" i="11"/>
  <c r="BZ321" i="2" s="1"/>
  <c r="JY320" i="11"/>
  <c r="CA321" i="2" s="1"/>
  <c r="JZ320" i="11"/>
  <c r="CB321" i="2" s="1"/>
  <c r="KA320" i="11"/>
  <c r="CC321" i="2" s="1"/>
  <c r="JI321" i="11"/>
  <c r="BK322" i="2" s="1"/>
  <c r="JJ321" i="11"/>
  <c r="BL322" i="2" s="1"/>
  <c r="JK321" i="11"/>
  <c r="BM322" i="2" s="1"/>
  <c r="JL321" i="11"/>
  <c r="BN322" i="2" s="1"/>
  <c r="JM321" i="11"/>
  <c r="BO322" i="2" s="1"/>
  <c r="JN321" i="11"/>
  <c r="BP322" i="2" s="1"/>
  <c r="JO321" i="11"/>
  <c r="BQ322" i="2" s="1"/>
  <c r="JP321" i="11"/>
  <c r="BR322" i="2" s="1"/>
  <c r="JQ321" i="11"/>
  <c r="BS322" i="2" s="1"/>
  <c r="JR321" i="11"/>
  <c r="BT322" i="2" s="1"/>
  <c r="JS321" i="11"/>
  <c r="BU322" i="2" s="1"/>
  <c r="JT321" i="11"/>
  <c r="BV322" i="2" s="1"/>
  <c r="JU321" i="11"/>
  <c r="BW322" i="2" s="1"/>
  <c r="JV321" i="11"/>
  <c r="BX322" i="2" s="1"/>
  <c r="JW321" i="11"/>
  <c r="BY322" i="2" s="1"/>
  <c r="JX321" i="11"/>
  <c r="BZ322" i="2" s="1"/>
  <c r="JY321" i="11"/>
  <c r="CA322" i="2" s="1"/>
  <c r="JZ321" i="11"/>
  <c r="CB322" i="2" s="1"/>
  <c r="KA321" i="11"/>
  <c r="CC322" i="2" s="1"/>
  <c r="JI322" i="11"/>
  <c r="BK323" i="2" s="1"/>
  <c r="JJ322" i="11"/>
  <c r="BL323" i="2" s="1"/>
  <c r="JK322" i="11"/>
  <c r="BM323" i="2" s="1"/>
  <c r="JL322" i="11"/>
  <c r="BN323" i="2" s="1"/>
  <c r="JM322" i="11"/>
  <c r="BO323" i="2" s="1"/>
  <c r="JN322" i="11"/>
  <c r="BP323" i="2" s="1"/>
  <c r="JO322" i="11"/>
  <c r="BQ323" i="2" s="1"/>
  <c r="JP322" i="11"/>
  <c r="BR323" i="2" s="1"/>
  <c r="JQ322" i="11"/>
  <c r="BS323" i="2" s="1"/>
  <c r="JR322" i="11"/>
  <c r="BT323" i="2" s="1"/>
  <c r="JS322" i="11"/>
  <c r="BU323" i="2" s="1"/>
  <c r="JT322" i="11"/>
  <c r="BV323" i="2" s="1"/>
  <c r="JU322" i="11"/>
  <c r="BW323" i="2" s="1"/>
  <c r="JV322" i="11"/>
  <c r="BX323" i="2" s="1"/>
  <c r="JW322" i="11"/>
  <c r="BY323" i="2" s="1"/>
  <c r="JX322" i="11"/>
  <c r="BZ323" i="2" s="1"/>
  <c r="JY322" i="11"/>
  <c r="CA323" i="2" s="1"/>
  <c r="JZ322" i="11"/>
  <c r="CB323" i="2" s="1"/>
  <c r="KA322" i="11"/>
  <c r="CC323" i="2" s="1"/>
  <c r="JI323" i="11"/>
  <c r="BK324" i="2" s="1"/>
  <c r="JJ323" i="11"/>
  <c r="BL324" i="2" s="1"/>
  <c r="JK323" i="11"/>
  <c r="BM324" i="2" s="1"/>
  <c r="JL323" i="11"/>
  <c r="BN324" i="2" s="1"/>
  <c r="JM323" i="11"/>
  <c r="BO324" i="2" s="1"/>
  <c r="JN323" i="11"/>
  <c r="BP324" i="2" s="1"/>
  <c r="JO323" i="11"/>
  <c r="BQ324" i="2" s="1"/>
  <c r="JP323" i="11"/>
  <c r="BR324" i="2" s="1"/>
  <c r="JQ323" i="11"/>
  <c r="BS324" i="2" s="1"/>
  <c r="JR323" i="11"/>
  <c r="BT324" i="2" s="1"/>
  <c r="JS323" i="11"/>
  <c r="BU324" i="2" s="1"/>
  <c r="JT323" i="11"/>
  <c r="BV324" i="2" s="1"/>
  <c r="JU323" i="11"/>
  <c r="BW324" i="2" s="1"/>
  <c r="JV323" i="11"/>
  <c r="BX324" i="2" s="1"/>
  <c r="JW323" i="11"/>
  <c r="BY324" i="2" s="1"/>
  <c r="JX323" i="11"/>
  <c r="BZ324" i="2" s="1"/>
  <c r="JY323" i="11"/>
  <c r="CA324" i="2" s="1"/>
  <c r="JZ323" i="11"/>
  <c r="CB324" i="2" s="1"/>
  <c r="KA323" i="11"/>
  <c r="CC324" i="2" s="1"/>
  <c r="JI324" i="11"/>
  <c r="BK325" i="2" s="1"/>
  <c r="JJ324" i="11"/>
  <c r="BL325" i="2" s="1"/>
  <c r="JK324" i="11"/>
  <c r="BM325" i="2" s="1"/>
  <c r="JL324" i="11"/>
  <c r="BN325" i="2" s="1"/>
  <c r="JM324" i="11"/>
  <c r="BO325" i="2" s="1"/>
  <c r="JN324" i="11"/>
  <c r="BP325" i="2" s="1"/>
  <c r="JO324" i="11"/>
  <c r="BQ325" i="2" s="1"/>
  <c r="JP324" i="11"/>
  <c r="BR325" i="2" s="1"/>
  <c r="JQ324" i="11"/>
  <c r="BS325" i="2" s="1"/>
  <c r="JR324" i="11"/>
  <c r="BT325" i="2" s="1"/>
  <c r="JS324" i="11"/>
  <c r="BU325" i="2" s="1"/>
  <c r="JT324" i="11"/>
  <c r="BV325" i="2" s="1"/>
  <c r="JU324" i="11"/>
  <c r="BW325" i="2" s="1"/>
  <c r="JV324" i="11"/>
  <c r="BX325" i="2" s="1"/>
  <c r="JW324" i="11"/>
  <c r="BY325" i="2" s="1"/>
  <c r="JX324" i="11"/>
  <c r="BZ325" i="2" s="1"/>
  <c r="JY324" i="11"/>
  <c r="CA325" i="2" s="1"/>
  <c r="JZ324" i="11"/>
  <c r="CB325" i="2" s="1"/>
  <c r="KA324" i="11"/>
  <c r="CC325" i="2" s="1"/>
  <c r="JI325" i="11"/>
  <c r="BK326" i="2" s="1"/>
  <c r="JJ325" i="11"/>
  <c r="BL326" i="2" s="1"/>
  <c r="JK325" i="11"/>
  <c r="BM326" i="2" s="1"/>
  <c r="JL325" i="11"/>
  <c r="BN326" i="2" s="1"/>
  <c r="JM325" i="11"/>
  <c r="BO326" i="2" s="1"/>
  <c r="JN325" i="11"/>
  <c r="BP326" i="2" s="1"/>
  <c r="JO325" i="11"/>
  <c r="BQ326" i="2" s="1"/>
  <c r="JP325" i="11"/>
  <c r="BR326" i="2" s="1"/>
  <c r="JQ325" i="11"/>
  <c r="BS326" i="2" s="1"/>
  <c r="JR325" i="11"/>
  <c r="BT326" i="2" s="1"/>
  <c r="JS325" i="11"/>
  <c r="BU326" i="2" s="1"/>
  <c r="JT325" i="11"/>
  <c r="BV326" i="2" s="1"/>
  <c r="JU325" i="11"/>
  <c r="BW326" i="2" s="1"/>
  <c r="JV325" i="11"/>
  <c r="BX326" i="2" s="1"/>
  <c r="JW325" i="11"/>
  <c r="BY326" i="2" s="1"/>
  <c r="JX325" i="11"/>
  <c r="BZ326" i="2" s="1"/>
  <c r="JY325" i="11"/>
  <c r="CA326" i="2" s="1"/>
  <c r="JZ325" i="11"/>
  <c r="CB326" i="2" s="1"/>
  <c r="KA325" i="11"/>
  <c r="CC326" i="2" s="1"/>
  <c r="JI326" i="11"/>
  <c r="BK327" i="2" s="1"/>
  <c r="JJ326" i="11"/>
  <c r="BL327" i="2" s="1"/>
  <c r="JK326" i="11"/>
  <c r="BM327" i="2" s="1"/>
  <c r="JL326" i="11"/>
  <c r="BN327" i="2" s="1"/>
  <c r="JM326" i="11"/>
  <c r="BO327" i="2" s="1"/>
  <c r="JN326" i="11"/>
  <c r="BP327" i="2" s="1"/>
  <c r="JO326" i="11"/>
  <c r="BQ327" i="2" s="1"/>
  <c r="JP326" i="11"/>
  <c r="BR327" i="2" s="1"/>
  <c r="JQ326" i="11"/>
  <c r="BS327" i="2" s="1"/>
  <c r="JR326" i="11"/>
  <c r="BT327" i="2" s="1"/>
  <c r="JS326" i="11"/>
  <c r="BU327" i="2" s="1"/>
  <c r="JT326" i="11"/>
  <c r="BV327" i="2" s="1"/>
  <c r="JU326" i="11"/>
  <c r="BW327" i="2" s="1"/>
  <c r="JV326" i="11"/>
  <c r="BX327" i="2" s="1"/>
  <c r="JW326" i="11"/>
  <c r="BY327" i="2" s="1"/>
  <c r="JX326" i="11"/>
  <c r="BZ327" i="2" s="1"/>
  <c r="JY326" i="11"/>
  <c r="CA327" i="2" s="1"/>
  <c r="JZ326" i="11"/>
  <c r="CB327" i="2" s="1"/>
  <c r="KA326" i="11"/>
  <c r="CC327" i="2" s="1"/>
  <c r="JI327" i="11"/>
  <c r="BK328" i="2" s="1"/>
  <c r="JJ327" i="11"/>
  <c r="BL328" i="2" s="1"/>
  <c r="JK327" i="11"/>
  <c r="BM328" i="2" s="1"/>
  <c r="JL327" i="11"/>
  <c r="BN328" i="2" s="1"/>
  <c r="JM327" i="11"/>
  <c r="BO328" i="2" s="1"/>
  <c r="JN327" i="11"/>
  <c r="BP328" i="2" s="1"/>
  <c r="JO327" i="11"/>
  <c r="BQ328" i="2" s="1"/>
  <c r="JP327" i="11"/>
  <c r="BR328" i="2" s="1"/>
  <c r="JQ327" i="11"/>
  <c r="BS328" i="2" s="1"/>
  <c r="JR327" i="11"/>
  <c r="BT328" i="2" s="1"/>
  <c r="JS327" i="11"/>
  <c r="BU328" i="2" s="1"/>
  <c r="JT327" i="11"/>
  <c r="BV328" i="2" s="1"/>
  <c r="JU327" i="11"/>
  <c r="BW328" i="2" s="1"/>
  <c r="JV327" i="11"/>
  <c r="BX328" i="2" s="1"/>
  <c r="JW327" i="11"/>
  <c r="BY328" i="2" s="1"/>
  <c r="JX327" i="11"/>
  <c r="BZ328" i="2" s="1"/>
  <c r="JY327" i="11"/>
  <c r="CA328" i="2" s="1"/>
  <c r="JZ327" i="11"/>
  <c r="CB328" i="2" s="1"/>
  <c r="KA327" i="11"/>
  <c r="CC328" i="2" s="1"/>
  <c r="JI328" i="11"/>
  <c r="BK329" i="2" s="1"/>
  <c r="JJ328" i="11"/>
  <c r="BL329" i="2" s="1"/>
  <c r="JK328" i="11"/>
  <c r="BM329" i="2" s="1"/>
  <c r="JL328" i="11"/>
  <c r="BN329" i="2" s="1"/>
  <c r="JM328" i="11"/>
  <c r="BO329" i="2" s="1"/>
  <c r="JN328" i="11"/>
  <c r="BP329" i="2" s="1"/>
  <c r="JO328" i="11"/>
  <c r="BQ329" i="2" s="1"/>
  <c r="JP328" i="11"/>
  <c r="BR329" i="2" s="1"/>
  <c r="JQ328" i="11"/>
  <c r="BS329" i="2" s="1"/>
  <c r="JR328" i="11"/>
  <c r="BT329" i="2" s="1"/>
  <c r="JS328" i="11"/>
  <c r="BU329" i="2" s="1"/>
  <c r="JT328" i="11"/>
  <c r="BV329" i="2" s="1"/>
  <c r="JU328" i="11"/>
  <c r="BW329" i="2" s="1"/>
  <c r="JV328" i="11"/>
  <c r="BX329" i="2" s="1"/>
  <c r="JW328" i="11"/>
  <c r="BY329" i="2" s="1"/>
  <c r="JX328" i="11"/>
  <c r="BZ329" i="2" s="1"/>
  <c r="JY328" i="11"/>
  <c r="CA329" i="2" s="1"/>
  <c r="JZ328" i="11"/>
  <c r="CB329" i="2" s="1"/>
  <c r="KA328" i="11"/>
  <c r="CC329" i="2" s="1"/>
  <c r="JI329" i="11"/>
  <c r="BK330" i="2" s="1"/>
  <c r="JJ329" i="11"/>
  <c r="BL330" i="2" s="1"/>
  <c r="JK329" i="11"/>
  <c r="BM330" i="2" s="1"/>
  <c r="JL329" i="11"/>
  <c r="BN330" i="2" s="1"/>
  <c r="JM329" i="11"/>
  <c r="BO330" i="2" s="1"/>
  <c r="JN329" i="11"/>
  <c r="BP330" i="2" s="1"/>
  <c r="JO329" i="11"/>
  <c r="BQ330" i="2" s="1"/>
  <c r="JP329" i="11"/>
  <c r="BR330" i="2" s="1"/>
  <c r="JQ329" i="11"/>
  <c r="BS330" i="2" s="1"/>
  <c r="JR329" i="11"/>
  <c r="BT330" i="2" s="1"/>
  <c r="JS329" i="11"/>
  <c r="BU330" i="2" s="1"/>
  <c r="JT329" i="11"/>
  <c r="BV330" i="2" s="1"/>
  <c r="JU329" i="11"/>
  <c r="BW330" i="2" s="1"/>
  <c r="JV329" i="11"/>
  <c r="BX330" i="2" s="1"/>
  <c r="JW329" i="11"/>
  <c r="BY330" i="2" s="1"/>
  <c r="JX329" i="11"/>
  <c r="BZ330" i="2" s="1"/>
  <c r="JY329" i="11"/>
  <c r="CA330" i="2" s="1"/>
  <c r="JZ329" i="11"/>
  <c r="CB330" i="2" s="1"/>
  <c r="KA329" i="11"/>
  <c r="CC330" i="2" s="1"/>
  <c r="JI330" i="11"/>
  <c r="BK331" i="2" s="1"/>
  <c r="JJ330" i="11"/>
  <c r="BL331" i="2" s="1"/>
  <c r="JK330" i="11"/>
  <c r="BM331" i="2" s="1"/>
  <c r="JL330" i="11"/>
  <c r="BN331" i="2" s="1"/>
  <c r="JM330" i="11"/>
  <c r="BO331" i="2" s="1"/>
  <c r="JN330" i="11"/>
  <c r="BP331" i="2" s="1"/>
  <c r="JO330" i="11"/>
  <c r="BQ331" i="2" s="1"/>
  <c r="JP330" i="11"/>
  <c r="BR331" i="2" s="1"/>
  <c r="JQ330" i="11"/>
  <c r="BS331" i="2" s="1"/>
  <c r="JR330" i="11"/>
  <c r="BT331" i="2" s="1"/>
  <c r="JS330" i="11"/>
  <c r="BU331" i="2" s="1"/>
  <c r="JT330" i="11"/>
  <c r="BV331" i="2" s="1"/>
  <c r="JU330" i="11"/>
  <c r="BW331" i="2" s="1"/>
  <c r="JV330" i="11"/>
  <c r="BX331" i="2" s="1"/>
  <c r="JW330" i="11"/>
  <c r="BY331" i="2" s="1"/>
  <c r="JX330" i="11"/>
  <c r="BZ331" i="2" s="1"/>
  <c r="JY330" i="11"/>
  <c r="CA331" i="2" s="1"/>
  <c r="JZ330" i="11"/>
  <c r="CB331" i="2" s="1"/>
  <c r="KA330" i="11"/>
  <c r="CC331" i="2" s="1"/>
  <c r="JI331" i="11"/>
  <c r="BK332" i="2" s="1"/>
  <c r="JJ331" i="11"/>
  <c r="BL332" i="2" s="1"/>
  <c r="JK331" i="11"/>
  <c r="BM332" i="2" s="1"/>
  <c r="JL331" i="11"/>
  <c r="BN332" i="2" s="1"/>
  <c r="JM331" i="11"/>
  <c r="BO332" i="2" s="1"/>
  <c r="JN331" i="11"/>
  <c r="BP332" i="2" s="1"/>
  <c r="JO331" i="11"/>
  <c r="BQ332" i="2" s="1"/>
  <c r="JP331" i="11"/>
  <c r="BR332" i="2" s="1"/>
  <c r="JQ331" i="11"/>
  <c r="BS332" i="2" s="1"/>
  <c r="JR331" i="11"/>
  <c r="BT332" i="2" s="1"/>
  <c r="JS331" i="11"/>
  <c r="BU332" i="2" s="1"/>
  <c r="JT331" i="11"/>
  <c r="BV332" i="2" s="1"/>
  <c r="JU331" i="11"/>
  <c r="BW332" i="2" s="1"/>
  <c r="JV331" i="11"/>
  <c r="BX332" i="2" s="1"/>
  <c r="JW331" i="11"/>
  <c r="BY332" i="2" s="1"/>
  <c r="JX331" i="11"/>
  <c r="BZ332" i="2" s="1"/>
  <c r="JY331" i="11"/>
  <c r="CA332" i="2" s="1"/>
  <c r="JZ331" i="11"/>
  <c r="CB332" i="2" s="1"/>
  <c r="KA331" i="11"/>
  <c r="CC332" i="2" s="1"/>
  <c r="JI332" i="11"/>
  <c r="BK333" i="2" s="1"/>
  <c r="JJ332" i="11"/>
  <c r="BL333" i="2" s="1"/>
  <c r="JK332" i="11"/>
  <c r="BM333" i="2" s="1"/>
  <c r="JL332" i="11"/>
  <c r="BN333" i="2" s="1"/>
  <c r="JM332" i="11"/>
  <c r="BO333" i="2" s="1"/>
  <c r="JN332" i="11"/>
  <c r="BP333" i="2" s="1"/>
  <c r="JO332" i="11"/>
  <c r="BQ333" i="2" s="1"/>
  <c r="JP332" i="11"/>
  <c r="BR333" i="2" s="1"/>
  <c r="JQ332" i="11"/>
  <c r="BS333" i="2" s="1"/>
  <c r="JR332" i="11"/>
  <c r="BT333" i="2" s="1"/>
  <c r="JS332" i="11"/>
  <c r="BU333" i="2" s="1"/>
  <c r="JT332" i="11"/>
  <c r="BV333" i="2" s="1"/>
  <c r="JU332" i="11"/>
  <c r="BW333" i="2" s="1"/>
  <c r="JV332" i="11"/>
  <c r="BX333" i="2" s="1"/>
  <c r="JW332" i="11"/>
  <c r="BY333" i="2" s="1"/>
  <c r="JX332" i="11"/>
  <c r="BZ333" i="2" s="1"/>
  <c r="JY332" i="11"/>
  <c r="CA333" i="2" s="1"/>
  <c r="JZ332" i="11"/>
  <c r="CB333" i="2" s="1"/>
  <c r="KA332" i="11"/>
  <c r="CC333" i="2" s="1"/>
  <c r="JI333" i="11"/>
  <c r="BK334" i="2" s="1"/>
  <c r="JJ333" i="11"/>
  <c r="BL334" i="2" s="1"/>
  <c r="JK333" i="11"/>
  <c r="BM334" i="2" s="1"/>
  <c r="JL333" i="11"/>
  <c r="BN334" i="2" s="1"/>
  <c r="JM333" i="11"/>
  <c r="BO334" i="2" s="1"/>
  <c r="JN333" i="11"/>
  <c r="BP334" i="2" s="1"/>
  <c r="JO333" i="11"/>
  <c r="BQ334" i="2" s="1"/>
  <c r="JP333" i="11"/>
  <c r="BR334" i="2" s="1"/>
  <c r="JQ333" i="11"/>
  <c r="BS334" i="2" s="1"/>
  <c r="JR333" i="11"/>
  <c r="BT334" i="2" s="1"/>
  <c r="JS333" i="11"/>
  <c r="BU334" i="2" s="1"/>
  <c r="JT333" i="11"/>
  <c r="BV334" i="2" s="1"/>
  <c r="JU333" i="11"/>
  <c r="BW334" i="2" s="1"/>
  <c r="JV333" i="11"/>
  <c r="BX334" i="2" s="1"/>
  <c r="JW333" i="11"/>
  <c r="BY334" i="2" s="1"/>
  <c r="JX333" i="11"/>
  <c r="BZ334" i="2" s="1"/>
  <c r="JY333" i="11"/>
  <c r="CA334" i="2" s="1"/>
  <c r="JZ333" i="11"/>
  <c r="CB334" i="2" s="1"/>
  <c r="KA333" i="11"/>
  <c r="CC334" i="2" s="1"/>
  <c r="JI334" i="11"/>
  <c r="BK335" i="2" s="1"/>
  <c r="JJ334" i="11"/>
  <c r="BL335" i="2" s="1"/>
  <c r="JK334" i="11"/>
  <c r="BM335" i="2" s="1"/>
  <c r="JL334" i="11"/>
  <c r="BN335" i="2" s="1"/>
  <c r="JM334" i="11"/>
  <c r="BO335" i="2" s="1"/>
  <c r="JN334" i="11"/>
  <c r="BP335" i="2" s="1"/>
  <c r="JO334" i="11"/>
  <c r="BQ335" i="2" s="1"/>
  <c r="JP334" i="11"/>
  <c r="BR335" i="2" s="1"/>
  <c r="JQ334" i="11"/>
  <c r="BS335" i="2" s="1"/>
  <c r="JR334" i="11"/>
  <c r="BT335" i="2" s="1"/>
  <c r="JS334" i="11"/>
  <c r="BU335" i="2" s="1"/>
  <c r="JT334" i="11"/>
  <c r="BV335" i="2" s="1"/>
  <c r="JU334" i="11"/>
  <c r="BW335" i="2" s="1"/>
  <c r="JV334" i="11"/>
  <c r="BX335" i="2" s="1"/>
  <c r="JW334" i="11"/>
  <c r="BY335" i="2" s="1"/>
  <c r="JX334" i="11"/>
  <c r="BZ335" i="2" s="1"/>
  <c r="JY334" i="11"/>
  <c r="CA335" i="2" s="1"/>
  <c r="JZ334" i="11"/>
  <c r="CB335" i="2" s="1"/>
  <c r="KA334" i="11"/>
  <c r="CC335" i="2" s="1"/>
  <c r="JI335" i="11"/>
  <c r="BK336" i="2" s="1"/>
  <c r="JJ335" i="11"/>
  <c r="BL336" i="2" s="1"/>
  <c r="JK335" i="11"/>
  <c r="BM336" i="2" s="1"/>
  <c r="JL335" i="11"/>
  <c r="BN336" i="2" s="1"/>
  <c r="JM335" i="11"/>
  <c r="BO336" i="2" s="1"/>
  <c r="JN335" i="11"/>
  <c r="BP336" i="2" s="1"/>
  <c r="JO335" i="11"/>
  <c r="BQ336" i="2" s="1"/>
  <c r="JP335" i="11"/>
  <c r="BR336" i="2" s="1"/>
  <c r="JQ335" i="11"/>
  <c r="BS336" i="2" s="1"/>
  <c r="JR335" i="11"/>
  <c r="BT336" i="2" s="1"/>
  <c r="JS335" i="11"/>
  <c r="BU336" i="2" s="1"/>
  <c r="JT335" i="11"/>
  <c r="BV336" i="2" s="1"/>
  <c r="JU335" i="11"/>
  <c r="BW336" i="2" s="1"/>
  <c r="JV335" i="11"/>
  <c r="BX336" i="2" s="1"/>
  <c r="JW335" i="11"/>
  <c r="BY336" i="2" s="1"/>
  <c r="JX335" i="11"/>
  <c r="BZ336" i="2" s="1"/>
  <c r="JY335" i="11"/>
  <c r="CA336" i="2" s="1"/>
  <c r="JZ335" i="11"/>
  <c r="CB336" i="2" s="1"/>
  <c r="KA335" i="11"/>
  <c r="CC336" i="2" s="1"/>
  <c r="JI336" i="11"/>
  <c r="BK337" i="2" s="1"/>
  <c r="JJ336" i="11"/>
  <c r="BL337" i="2" s="1"/>
  <c r="JK336" i="11"/>
  <c r="BM337" i="2" s="1"/>
  <c r="JL336" i="11"/>
  <c r="BN337" i="2" s="1"/>
  <c r="JM336" i="11"/>
  <c r="BO337" i="2" s="1"/>
  <c r="JN336" i="11"/>
  <c r="BP337" i="2" s="1"/>
  <c r="JO336" i="11"/>
  <c r="BQ337" i="2" s="1"/>
  <c r="JP336" i="11"/>
  <c r="BR337" i="2" s="1"/>
  <c r="JQ336" i="11"/>
  <c r="BS337" i="2" s="1"/>
  <c r="JR336" i="11"/>
  <c r="BT337" i="2" s="1"/>
  <c r="JS336" i="11"/>
  <c r="BU337" i="2" s="1"/>
  <c r="JT336" i="11"/>
  <c r="BV337" i="2" s="1"/>
  <c r="JU336" i="11"/>
  <c r="BW337" i="2" s="1"/>
  <c r="JV336" i="11"/>
  <c r="BX337" i="2" s="1"/>
  <c r="JW336" i="11"/>
  <c r="BY337" i="2" s="1"/>
  <c r="JX336" i="11"/>
  <c r="BZ337" i="2" s="1"/>
  <c r="JY336" i="11"/>
  <c r="CA337" i="2" s="1"/>
  <c r="JZ336" i="11"/>
  <c r="CB337" i="2" s="1"/>
  <c r="KA336" i="11"/>
  <c r="CC337" i="2" s="1"/>
  <c r="JI337" i="11"/>
  <c r="BK338" i="2" s="1"/>
  <c r="JJ337" i="11"/>
  <c r="BL338" i="2" s="1"/>
  <c r="JK337" i="11"/>
  <c r="BM338" i="2" s="1"/>
  <c r="JL337" i="11"/>
  <c r="BN338" i="2" s="1"/>
  <c r="JM337" i="11"/>
  <c r="BO338" i="2" s="1"/>
  <c r="JN337" i="11"/>
  <c r="BP338" i="2" s="1"/>
  <c r="JO337" i="11"/>
  <c r="BQ338" i="2" s="1"/>
  <c r="JP337" i="11"/>
  <c r="BR338" i="2" s="1"/>
  <c r="JQ337" i="11"/>
  <c r="BS338" i="2" s="1"/>
  <c r="JR337" i="11"/>
  <c r="BT338" i="2" s="1"/>
  <c r="JS337" i="11"/>
  <c r="BU338" i="2" s="1"/>
  <c r="JT337" i="11"/>
  <c r="BV338" i="2" s="1"/>
  <c r="JU337" i="11"/>
  <c r="BW338" i="2" s="1"/>
  <c r="JV337" i="11"/>
  <c r="BX338" i="2" s="1"/>
  <c r="JW337" i="11"/>
  <c r="BY338" i="2" s="1"/>
  <c r="JX337" i="11"/>
  <c r="BZ338" i="2" s="1"/>
  <c r="JY337" i="11"/>
  <c r="CA338" i="2" s="1"/>
  <c r="JZ337" i="11"/>
  <c r="CB338" i="2" s="1"/>
  <c r="KA337" i="11"/>
  <c r="CC338" i="2" s="1"/>
  <c r="JI338" i="11"/>
  <c r="BK339" i="2" s="1"/>
  <c r="JJ338" i="11"/>
  <c r="BL339" i="2" s="1"/>
  <c r="JK338" i="11"/>
  <c r="BM339" i="2" s="1"/>
  <c r="JL338" i="11"/>
  <c r="BN339" i="2" s="1"/>
  <c r="JM338" i="11"/>
  <c r="BO339" i="2" s="1"/>
  <c r="JN338" i="11"/>
  <c r="BP339" i="2" s="1"/>
  <c r="JO338" i="11"/>
  <c r="BQ339" i="2" s="1"/>
  <c r="JP338" i="11"/>
  <c r="BR339" i="2" s="1"/>
  <c r="JQ338" i="11"/>
  <c r="BS339" i="2" s="1"/>
  <c r="JR338" i="11"/>
  <c r="BT339" i="2" s="1"/>
  <c r="JS338" i="11"/>
  <c r="BU339" i="2" s="1"/>
  <c r="JT338" i="11"/>
  <c r="BV339" i="2" s="1"/>
  <c r="JU338" i="11"/>
  <c r="BW339" i="2" s="1"/>
  <c r="JV338" i="11"/>
  <c r="BX339" i="2" s="1"/>
  <c r="JW338" i="11"/>
  <c r="BY339" i="2" s="1"/>
  <c r="JX338" i="11"/>
  <c r="BZ339" i="2" s="1"/>
  <c r="JY338" i="11"/>
  <c r="CA339" i="2" s="1"/>
  <c r="JZ338" i="11"/>
  <c r="CB339" i="2" s="1"/>
  <c r="KA338" i="11"/>
  <c r="CC339" i="2" s="1"/>
  <c r="JI339" i="11"/>
  <c r="BK340" i="2" s="1"/>
  <c r="JJ339" i="11"/>
  <c r="BL340" i="2" s="1"/>
  <c r="JK339" i="11"/>
  <c r="BM340" i="2" s="1"/>
  <c r="JL339" i="11"/>
  <c r="BN340" i="2" s="1"/>
  <c r="JM339" i="11"/>
  <c r="BO340" i="2" s="1"/>
  <c r="JN339" i="11"/>
  <c r="BP340" i="2" s="1"/>
  <c r="JO339" i="11"/>
  <c r="BQ340" i="2" s="1"/>
  <c r="JP339" i="11"/>
  <c r="BR340" i="2" s="1"/>
  <c r="JQ339" i="11"/>
  <c r="BS340" i="2" s="1"/>
  <c r="JR339" i="11"/>
  <c r="BT340" i="2" s="1"/>
  <c r="JS339" i="11"/>
  <c r="BU340" i="2" s="1"/>
  <c r="BI16" i="5" s="1" a="1"/>
  <c r="BI16" i="5" s="1"/>
  <c r="JT339" i="11"/>
  <c r="BV340" i="2" s="1"/>
  <c r="BJ16" i="5" s="1" a="1"/>
  <c r="BJ16" i="5" s="1"/>
  <c r="JU339" i="11"/>
  <c r="BW340" i="2" s="1"/>
  <c r="BK16" i="5" s="1" a="1"/>
  <c r="BK16" i="5" s="1"/>
  <c r="JV339" i="11"/>
  <c r="BX340" i="2" s="1"/>
  <c r="BL16" i="5" s="1" a="1"/>
  <c r="BL16" i="5" s="1"/>
  <c r="JW339" i="11"/>
  <c r="BY340" i="2" s="1"/>
  <c r="BM16" i="5" s="1" a="1"/>
  <c r="BM16" i="5" s="1"/>
  <c r="JX339" i="11"/>
  <c r="BZ340" i="2" s="1"/>
  <c r="JY339" i="11"/>
  <c r="CA340" i="2" s="1"/>
  <c r="JZ339" i="11"/>
  <c r="CB340" i="2" s="1"/>
  <c r="BP16" i="5" s="1" a="1"/>
  <c r="BP16" i="5" s="1"/>
  <c r="KA339" i="11"/>
  <c r="CC340" i="2" s="1"/>
  <c r="JI340" i="11"/>
  <c r="BK341" i="2" s="1"/>
  <c r="JJ340" i="11"/>
  <c r="BL341" i="2" s="1"/>
  <c r="JK340" i="11"/>
  <c r="BM341" i="2" s="1"/>
  <c r="JL340" i="11"/>
  <c r="BN341" i="2" s="1"/>
  <c r="JM340" i="11"/>
  <c r="BO341" i="2" s="1"/>
  <c r="JN340" i="11"/>
  <c r="BP341" i="2" s="1"/>
  <c r="JO340" i="11"/>
  <c r="BQ341" i="2" s="1"/>
  <c r="JP340" i="11"/>
  <c r="BR341" i="2" s="1"/>
  <c r="JQ340" i="11"/>
  <c r="BS341" i="2" s="1"/>
  <c r="JR340" i="11"/>
  <c r="BT341" i="2" s="1"/>
  <c r="JS340" i="11"/>
  <c r="BU341" i="2" s="1"/>
  <c r="JT340" i="11"/>
  <c r="BV341" i="2" s="1"/>
  <c r="JU340" i="11"/>
  <c r="BW341" i="2" s="1"/>
  <c r="JV340" i="11"/>
  <c r="BX341" i="2" s="1"/>
  <c r="JW340" i="11"/>
  <c r="BY341" i="2" s="1"/>
  <c r="JX340" i="11"/>
  <c r="BZ341" i="2" s="1"/>
  <c r="JY340" i="11"/>
  <c r="CA341" i="2" s="1"/>
  <c r="JZ340" i="11"/>
  <c r="CB341" i="2" s="1"/>
  <c r="KA340" i="11"/>
  <c r="CC341" i="2" s="1"/>
  <c r="JI341" i="11"/>
  <c r="BK342" i="2" s="1"/>
  <c r="JJ341" i="11"/>
  <c r="BL342" i="2" s="1"/>
  <c r="JK341" i="11"/>
  <c r="BM342" i="2" s="1"/>
  <c r="JL341" i="11"/>
  <c r="BN342" i="2" s="1"/>
  <c r="JM341" i="11"/>
  <c r="BO342" i="2" s="1"/>
  <c r="JN341" i="11"/>
  <c r="BP342" i="2" s="1"/>
  <c r="JO341" i="11"/>
  <c r="BQ342" i="2" s="1"/>
  <c r="JP341" i="11"/>
  <c r="BR342" i="2" s="1"/>
  <c r="JQ341" i="11"/>
  <c r="BS342" i="2" s="1"/>
  <c r="JR341" i="11"/>
  <c r="BT342" i="2" s="1"/>
  <c r="JS341" i="11"/>
  <c r="BU342" i="2" s="1"/>
  <c r="JT341" i="11"/>
  <c r="BV342" i="2" s="1"/>
  <c r="JU341" i="11"/>
  <c r="BW342" i="2" s="1"/>
  <c r="JV341" i="11"/>
  <c r="BX342" i="2" s="1"/>
  <c r="JW341" i="11"/>
  <c r="BY342" i="2" s="1"/>
  <c r="JX341" i="11"/>
  <c r="BZ342" i="2" s="1"/>
  <c r="JY341" i="11"/>
  <c r="CA342" i="2" s="1"/>
  <c r="JZ341" i="11"/>
  <c r="CB342" i="2" s="1"/>
  <c r="KA341" i="11"/>
  <c r="CC342" i="2" s="1"/>
  <c r="JI342" i="11"/>
  <c r="BK343" i="2" s="1"/>
  <c r="JJ342" i="11"/>
  <c r="BL343" i="2" s="1"/>
  <c r="JK342" i="11"/>
  <c r="BM343" i="2" s="1"/>
  <c r="JL342" i="11"/>
  <c r="BN343" i="2" s="1"/>
  <c r="JM342" i="11"/>
  <c r="BO343" i="2" s="1"/>
  <c r="JN342" i="11"/>
  <c r="BP343" i="2" s="1"/>
  <c r="JO342" i="11"/>
  <c r="BQ343" i="2" s="1"/>
  <c r="JP342" i="11"/>
  <c r="BR343" i="2" s="1"/>
  <c r="JQ342" i="11"/>
  <c r="BS343" i="2" s="1"/>
  <c r="JR342" i="11"/>
  <c r="BT343" i="2" s="1"/>
  <c r="JS342" i="11"/>
  <c r="BU343" i="2" s="1"/>
  <c r="JT342" i="11"/>
  <c r="BV343" i="2" s="1"/>
  <c r="JU342" i="11"/>
  <c r="BW343" i="2" s="1"/>
  <c r="JV342" i="11"/>
  <c r="BX343" i="2" s="1"/>
  <c r="JW342" i="11"/>
  <c r="BY343" i="2" s="1"/>
  <c r="JX342" i="11"/>
  <c r="BZ343" i="2" s="1"/>
  <c r="JY342" i="11"/>
  <c r="CA343" i="2" s="1"/>
  <c r="JZ342" i="11"/>
  <c r="CB343" i="2" s="1"/>
  <c r="KA342" i="11"/>
  <c r="CC343" i="2" s="1"/>
  <c r="JI343" i="11"/>
  <c r="BK344" i="2" s="1"/>
  <c r="JJ343" i="11"/>
  <c r="BL344" i="2" s="1"/>
  <c r="JK343" i="11"/>
  <c r="BM344" i="2" s="1"/>
  <c r="JL343" i="11"/>
  <c r="BN344" i="2" s="1"/>
  <c r="JM343" i="11"/>
  <c r="BO344" i="2" s="1"/>
  <c r="JN343" i="11"/>
  <c r="BP344" i="2" s="1"/>
  <c r="JO343" i="11"/>
  <c r="BQ344" i="2" s="1"/>
  <c r="JP343" i="11"/>
  <c r="BR344" i="2" s="1"/>
  <c r="JQ343" i="11"/>
  <c r="BS344" i="2" s="1"/>
  <c r="JR343" i="11"/>
  <c r="BT344" i="2" s="1"/>
  <c r="JS343" i="11"/>
  <c r="BU344" i="2" s="1"/>
  <c r="JT343" i="11"/>
  <c r="BV344" i="2" s="1"/>
  <c r="JU343" i="11"/>
  <c r="BW344" i="2" s="1"/>
  <c r="JV343" i="11"/>
  <c r="BX344" i="2" s="1"/>
  <c r="JW343" i="11"/>
  <c r="BY344" i="2" s="1"/>
  <c r="JX343" i="11"/>
  <c r="BZ344" i="2" s="1"/>
  <c r="JY343" i="11"/>
  <c r="CA344" i="2" s="1"/>
  <c r="JZ343" i="11"/>
  <c r="CB344" i="2" s="1"/>
  <c r="KA343" i="11"/>
  <c r="CC344" i="2" s="1"/>
  <c r="JI344" i="11"/>
  <c r="BK345" i="2" s="1"/>
  <c r="JJ344" i="11"/>
  <c r="BL345" i="2" s="1"/>
  <c r="JK344" i="11"/>
  <c r="BM345" i="2" s="1"/>
  <c r="JL344" i="11"/>
  <c r="BN345" i="2" s="1"/>
  <c r="JM344" i="11"/>
  <c r="BO345" i="2" s="1"/>
  <c r="JN344" i="11"/>
  <c r="BP345" i="2" s="1"/>
  <c r="JO344" i="11"/>
  <c r="BQ345" i="2" s="1"/>
  <c r="JP344" i="11"/>
  <c r="BR345" i="2" s="1"/>
  <c r="JQ344" i="11"/>
  <c r="BS345" i="2" s="1"/>
  <c r="JR344" i="11"/>
  <c r="BT345" i="2" s="1"/>
  <c r="JS344" i="11"/>
  <c r="BU345" i="2" s="1"/>
  <c r="JT344" i="11"/>
  <c r="BV345" i="2" s="1"/>
  <c r="JU344" i="11"/>
  <c r="BW345" i="2" s="1"/>
  <c r="JV344" i="11"/>
  <c r="BX345" i="2" s="1"/>
  <c r="JW344" i="11"/>
  <c r="BY345" i="2" s="1"/>
  <c r="JX344" i="11"/>
  <c r="BZ345" i="2" s="1"/>
  <c r="JY344" i="11"/>
  <c r="CA345" i="2" s="1"/>
  <c r="JZ344" i="11"/>
  <c r="CB345" i="2" s="1"/>
  <c r="KA344" i="11"/>
  <c r="CC345" i="2" s="1"/>
  <c r="JI345" i="11"/>
  <c r="BK346" i="2" s="1"/>
  <c r="JJ345" i="11"/>
  <c r="BL346" i="2" s="1"/>
  <c r="JK345" i="11"/>
  <c r="BM346" i="2" s="1"/>
  <c r="JL345" i="11"/>
  <c r="BN346" i="2" s="1"/>
  <c r="JM345" i="11"/>
  <c r="BO346" i="2" s="1"/>
  <c r="JN345" i="11"/>
  <c r="BP346" i="2" s="1"/>
  <c r="JO345" i="11"/>
  <c r="BQ346" i="2" s="1"/>
  <c r="JP345" i="11"/>
  <c r="BR346" i="2" s="1"/>
  <c r="JQ345" i="11"/>
  <c r="BS346" i="2" s="1"/>
  <c r="JR345" i="11"/>
  <c r="BT346" i="2" s="1"/>
  <c r="JS345" i="11"/>
  <c r="BU346" i="2" s="1"/>
  <c r="JT345" i="11"/>
  <c r="BV346" i="2" s="1"/>
  <c r="JU345" i="11"/>
  <c r="BW346" i="2" s="1"/>
  <c r="JV345" i="11"/>
  <c r="BX346" i="2" s="1"/>
  <c r="JW345" i="11"/>
  <c r="BY346" i="2" s="1"/>
  <c r="JX345" i="11"/>
  <c r="BZ346" i="2" s="1"/>
  <c r="JY345" i="11"/>
  <c r="CA346" i="2" s="1"/>
  <c r="JZ345" i="11"/>
  <c r="CB346" i="2" s="1"/>
  <c r="KA345" i="11"/>
  <c r="CC346" i="2" s="1"/>
  <c r="JI346" i="11"/>
  <c r="BK347" i="2" s="1"/>
  <c r="JJ346" i="11"/>
  <c r="BL347" i="2" s="1"/>
  <c r="JK346" i="11"/>
  <c r="BM347" i="2" s="1"/>
  <c r="JL346" i="11"/>
  <c r="BN347" i="2" s="1"/>
  <c r="JM346" i="11"/>
  <c r="BO347" i="2" s="1"/>
  <c r="JN346" i="11"/>
  <c r="BP347" i="2" s="1"/>
  <c r="JO346" i="11"/>
  <c r="BQ347" i="2" s="1"/>
  <c r="JP346" i="11"/>
  <c r="BR347" i="2" s="1"/>
  <c r="JQ346" i="11"/>
  <c r="BS347" i="2" s="1"/>
  <c r="JR346" i="11"/>
  <c r="BT347" i="2" s="1"/>
  <c r="JS346" i="11"/>
  <c r="BU347" i="2" s="1"/>
  <c r="JT346" i="11"/>
  <c r="BV347" i="2" s="1"/>
  <c r="JU346" i="11"/>
  <c r="BW347" i="2" s="1"/>
  <c r="JV346" i="11"/>
  <c r="BX347" i="2" s="1"/>
  <c r="JW346" i="11"/>
  <c r="BY347" i="2" s="1"/>
  <c r="JX346" i="11"/>
  <c r="BZ347" i="2" s="1"/>
  <c r="JY346" i="11"/>
  <c r="CA347" i="2" s="1"/>
  <c r="JZ346" i="11"/>
  <c r="CB347" i="2" s="1"/>
  <c r="KA346" i="11"/>
  <c r="CC347" i="2" s="1"/>
  <c r="JI347" i="11"/>
  <c r="BK348" i="2" s="1"/>
  <c r="JJ347" i="11"/>
  <c r="BL348" i="2" s="1"/>
  <c r="JK347" i="11"/>
  <c r="BM348" i="2" s="1"/>
  <c r="JL347" i="11"/>
  <c r="BN348" i="2" s="1"/>
  <c r="JM347" i="11"/>
  <c r="BO348" i="2" s="1"/>
  <c r="JN347" i="11"/>
  <c r="BP348" i="2" s="1"/>
  <c r="JO347" i="11"/>
  <c r="BQ348" i="2" s="1"/>
  <c r="JP347" i="11"/>
  <c r="BR348" i="2" s="1"/>
  <c r="JQ347" i="11"/>
  <c r="BS348" i="2" s="1"/>
  <c r="JR347" i="11"/>
  <c r="BT348" i="2" s="1"/>
  <c r="JS347" i="11"/>
  <c r="BU348" i="2" s="1"/>
  <c r="JT347" i="11"/>
  <c r="BV348" i="2" s="1"/>
  <c r="JU347" i="11"/>
  <c r="BW348" i="2" s="1"/>
  <c r="JV347" i="11"/>
  <c r="BX348" i="2" s="1"/>
  <c r="JW347" i="11"/>
  <c r="BY348" i="2" s="1"/>
  <c r="JX347" i="11"/>
  <c r="BZ348" i="2" s="1"/>
  <c r="JY347" i="11"/>
  <c r="CA348" i="2" s="1"/>
  <c r="JZ347" i="11"/>
  <c r="CB348" i="2" s="1"/>
  <c r="KA347" i="11"/>
  <c r="CC348" i="2" s="1"/>
  <c r="JI348" i="11"/>
  <c r="BK349" i="2" s="1"/>
  <c r="JJ348" i="11"/>
  <c r="BL349" i="2" s="1"/>
  <c r="JK348" i="11"/>
  <c r="BM349" i="2" s="1"/>
  <c r="JL348" i="11"/>
  <c r="BN349" i="2" s="1"/>
  <c r="JM348" i="11"/>
  <c r="BO349" i="2" s="1"/>
  <c r="JN348" i="11"/>
  <c r="BP349" i="2" s="1"/>
  <c r="JO348" i="11"/>
  <c r="BQ349" i="2" s="1"/>
  <c r="JP348" i="11"/>
  <c r="BR349" i="2" s="1"/>
  <c r="JQ348" i="11"/>
  <c r="BS349" i="2" s="1"/>
  <c r="JR348" i="11"/>
  <c r="BT349" i="2" s="1"/>
  <c r="JS348" i="11"/>
  <c r="BU349" i="2" s="1"/>
  <c r="JT348" i="11"/>
  <c r="BV349" i="2" s="1"/>
  <c r="JU348" i="11"/>
  <c r="BW349" i="2" s="1"/>
  <c r="JV348" i="11"/>
  <c r="BX349" i="2" s="1"/>
  <c r="JW348" i="11"/>
  <c r="BY349" i="2" s="1"/>
  <c r="JX348" i="11"/>
  <c r="BZ349" i="2" s="1"/>
  <c r="JY348" i="11"/>
  <c r="CA349" i="2" s="1"/>
  <c r="JZ348" i="11"/>
  <c r="CB349" i="2" s="1"/>
  <c r="KA348" i="11"/>
  <c r="CC349" i="2" s="1"/>
  <c r="JI349" i="11"/>
  <c r="BK350" i="2" s="1"/>
  <c r="JJ349" i="11"/>
  <c r="BL350" i="2" s="1"/>
  <c r="JK349" i="11"/>
  <c r="BM350" i="2" s="1"/>
  <c r="JL349" i="11"/>
  <c r="BN350" i="2" s="1"/>
  <c r="JM349" i="11"/>
  <c r="BO350" i="2" s="1"/>
  <c r="JN349" i="11"/>
  <c r="BP350" i="2" s="1"/>
  <c r="JO349" i="11"/>
  <c r="BQ350" i="2" s="1"/>
  <c r="JP349" i="11"/>
  <c r="BR350" i="2" s="1"/>
  <c r="JQ349" i="11"/>
  <c r="BS350" i="2" s="1"/>
  <c r="JR349" i="11"/>
  <c r="BT350" i="2" s="1"/>
  <c r="JS349" i="11"/>
  <c r="BU350" i="2" s="1"/>
  <c r="JT349" i="11"/>
  <c r="BV350" i="2" s="1"/>
  <c r="JU349" i="11"/>
  <c r="BW350" i="2" s="1"/>
  <c r="JV349" i="11"/>
  <c r="BX350" i="2" s="1"/>
  <c r="JW349" i="11"/>
  <c r="BY350" i="2" s="1"/>
  <c r="JX349" i="11"/>
  <c r="BZ350" i="2" s="1"/>
  <c r="JY349" i="11"/>
  <c r="CA350" i="2" s="1"/>
  <c r="JZ349" i="11"/>
  <c r="CB350" i="2" s="1"/>
  <c r="KA349" i="11"/>
  <c r="CC350" i="2" s="1"/>
  <c r="JI350" i="11"/>
  <c r="BK351" i="2" s="1"/>
  <c r="JJ350" i="11"/>
  <c r="BL351" i="2" s="1"/>
  <c r="JK350" i="11"/>
  <c r="BM351" i="2" s="1"/>
  <c r="JL350" i="11"/>
  <c r="BN351" i="2" s="1"/>
  <c r="JM350" i="11"/>
  <c r="BO351" i="2" s="1"/>
  <c r="JN350" i="11"/>
  <c r="BP351" i="2" s="1"/>
  <c r="JO350" i="11"/>
  <c r="BQ351" i="2" s="1"/>
  <c r="JP350" i="11"/>
  <c r="BR351" i="2" s="1"/>
  <c r="JQ350" i="11"/>
  <c r="BS351" i="2" s="1"/>
  <c r="JR350" i="11"/>
  <c r="BT351" i="2" s="1"/>
  <c r="JS350" i="11"/>
  <c r="BU351" i="2" s="1"/>
  <c r="JT350" i="11"/>
  <c r="BV351" i="2" s="1"/>
  <c r="JU350" i="11"/>
  <c r="BW351" i="2" s="1"/>
  <c r="JV350" i="11"/>
  <c r="BX351" i="2" s="1"/>
  <c r="JW350" i="11"/>
  <c r="BY351" i="2" s="1"/>
  <c r="JX350" i="11"/>
  <c r="BZ351" i="2" s="1"/>
  <c r="JY350" i="11"/>
  <c r="CA351" i="2" s="1"/>
  <c r="JZ350" i="11"/>
  <c r="CB351" i="2" s="1"/>
  <c r="KA350" i="11"/>
  <c r="CC351" i="2" s="1"/>
  <c r="JI351" i="11"/>
  <c r="BK352" i="2" s="1"/>
  <c r="JJ351" i="11"/>
  <c r="BL352" i="2" s="1"/>
  <c r="JK351" i="11"/>
  <c r="BM352" i="2" s="1"/>
  <c r="JL351" i="11"/>
  <c r="BN352" i="2" s="1"/>
  <c r="JM351" i="11"/>
  <c r="BO352" i="2" s="1"/>
  <c r="JN351" i="11"/>
  <c r="BP352" i="2" s="1"/>
  <c r="JO351" i="11"/>
  <c r="BQ352" i="2" s="1"/>
  <c r="JP351" i="11"/>
  <c r="BR352" i="2" s="1"/>
  <c r="JQ351" i="11"/>
  <c r="BS352" i="2" s="1"/>
  <c r="JR351" i="11"/>
  <c r="BT352" i="2" s="1"/>
  <c r="JS351" i="11"/>
  <c r="BU352" i="2" s="1"/>
  <c r="JT351" i="11"/>
  <c r="BV352" i="2" s="1"/>
  <c r="JU351" i="11"/>
  <c r="BW352" i="2" s="1"/>
  <c r="JV351" i="11"/>
  <c r="BX352" i="2" s="1"/>
  <c r="JW351" i="11"/>
  <c r="BY352" i="2" s="1"/>
  <c r="JX351" i="11"/>
  <c r="BZ352" i="2" s="1"/>
  <c r="JY351" i="11"/>
  <c r="CA352" i="2" s="1"/>
  <c r="JZ351" i="11"/>
  <c r="CB352" i="2" s="1"/>
  <c r="KA351" i="11"/>
  <c r="CC352" i="2" s="1"/>
  <c r="JI352" i="11"/>
  <c r="BK353" i="2" s="1"/>
  <c r="JJ352" i="11"/>
  <c r="BL353" i="2" s="1"/>
  <c r="JK352" i="11"/>
  <c r="BM353" i="2" s="1"/>
  <c r="JL352" i="11"/>
  <c r="BN353" i="2" s="1"/>
  <c r="JM352" i="11"/>
  <c r="BO353" i="2" s="1"/>
  <c r="JN352" i="11"/>
  <c r="BP353" i="2" s="1"/>
  <c r="JO352" i="11"/>
  <c r="BQ353" i="2" s="1"/>
  <c r="JP352" i="11"/>
  <c r="BR353" i="2" s="1"/>
  <c r="JQ352" i="11"/>
  <c r="BS353" i="2" s="1"/>
  <c r="JR352" i="11"/>
  <c r="BT353" i="2" s="1"/>
  <c r="JS352" i="11"/>
  <c r="BU353" i="2" s="1"/>
  <c r="JT352" i="11"/>
  <c r="BV353" i="2" s="1"/>
  <c r="JU352" i="11"/>
  <c r="BW353" i="2" s="1"/>
  <c r="JV352" i="11"/>
  <c r="BX353" i="2" s="1"/>
  <c r="JW352" i="11"/>
  <c r="BY353" i="2" s="1"/>
  <c r="JX352" i="11"/>
  <c r="BZ353" i="2" s="1"/>
  <c r="JY352" i="11"/>
  <c r="CA353" i="2" s="1"/>
  <c r="JZ352" i="11"/>
  <c r="CB353" i="2" s="1"/>
  <c r="KA352" i="11"/>
  <c r="CC353" i="2" s="1"/>
  <c r="JI353" i="11"/>
  <c r="BK354" i="2" s="1"/>
  <c r="JJ353" i="11"/>
  <c r="BL354" i="2" s="1"/>
  <c r="JK353" i="11"/>
  <c r="BM354" i="2" s="1"/>
  <c r="JL353" i="11"/>
  <c r="BN354" i="2" s="1"/>
  <c r="JM353" i="11"/>
  <c r="BO354" i="2" s="1"/>
  <c r="JN353" i="11"/>
  <c r="BP354" i="2" s="1"/>
  <c r="JO353" i="11"/>
  <c r="BQ354" i="2" s="1"/>
  <c r="JP353" i="11"/>
  <c r="BR354" i="2" s="1"/>
  <c r="JQ353" i="11"/>
  <c r="BS354" i="2" s="1"/>
  <c r="JR353" i="11"/>
  <c r="BT354" i="2" s="1"/>
  <c r="JS353" i="11"/>
  <c r="BU354" i="2" s="1"/>
  <c r="JT353" i="11"/>
  <c r="BV354" i="2" s="1"/>
  <c r="JU353" i="11"/>
  <c r="BW354" i="2" s="1"/>
  <c r="JV353" i="11"/>
  <c r="BX354" i="2" s="1"/>
  <c r="JW353" i="11"/>
  <c r="BY354" i="2" s="1"/>
  <c r="JX353" i="11"/>
  <c r="BZ354" i="2" s="1"/>
  <c r="JY353" i="11"/>
  <c r="CA354" i="2" s="1"/>
  <c r="JZ353" i="11"/>
  <c r="CB354" i="2" s="1"/>
  <c r="KA353" i="11"/>
  <c r="CC354" i="2" s="1"/>
  <c r="JI354" i="11"/>
  <c r="BK355" i="2" s="1"/>
  <c r="JJ354" i="11"/>
  <c r="BL355" i="2" s="1"/>
  <c r="JK354" i="11"/>
  <c r="BM355" i="2" s="1"/>
  <c r="JL354" i="11"/>
  <c r="BN355" i="2" s="1"/>
  <c r="JM354" i="11"/>
  <c r="BO355" i="2" s="1"/>
  <c r="JN354" i="11"/>
  <c r="BP355" i="2" s="1"/>
  <c r="JO354" i="11"/>
  <c r="BQ355" i="2" s="1"/>
  <c r="JP354" i="11"/>
  <c r="BR355" i="2" s="1"/>
  <c r="JQ354" i="11"/>
  <c r="BS355" i="2" s="1"/>
  <c r="JR354" i="11"/>
  <c r="BT355" i="2" s="1"/>
  <c r="JS354" i="11"/>
  <c r="BU355" i="2" s="1"/>
  <c r="JT354" i="11"/>
  <c r="BV355" i="2" s="1"/>
  <c r="JU354" i="11"/>
  <c r="BW355" i="2" s="1"/>
  <c r="JV354" i="11"/>
  <c r="BX355" i="2" s="1"/>
  <c r="JW354" i="11"/>
  <c r="BY355" i="2" s="1"/>
  <c r="JX354" i="11"/>
  <c r="BZ355" i="2" s="1"/>
  <c r="JY354" i="11"/>
  <c r="CA355" i="2" s="1"/>
  <c r="JZ354" i="11"/>
  <c r="CB355" i="2" s="1"/>
  <c r="KA354" i="11"/>
  <c r="CC355" i="2" s="1"/>
  <c r="JI355" i="11"/>
  <c r="BK356" i="2" s="1"/>
  <c r="JJ355" i="11"/>
  <c r="BL356" i="2" s="1"/>
  <c r="JK355" i="11"/>
  <c r="BM356" i="2" s="1"/>
  <c r="JL355" i="11"/>
  <c r="BN356" i="2" s="1"/>
  <c r="JM355" i="11"/>
  <c r="BO356" i="2" s="1"/>
  <c r="JN355" i="11"/>
  <c r="BP356" i="2" s="1"/>
  <c r="JO355" i="11"/>
  <c r="BQ356" i="2" s="1"/>
  <c r="JP355" i="11"/>
  <c r="BR356" i="2" s="1"/>
  <c r="JQ355" i="11"/>
  <c r="BS356" i="2" s="1"/>
  <c r="JR355" i="11"/>
  <c r="BT356" i="2" s="1"/>
  <c r="JS355" i="11"/>
  <c r="BU356" i="2" s="1"/>
  <c r="JT355" i="11"/>
  <c r="BV356" i="2" s="1"/>
  <c r="JU355" i="11"/>
  <c r="BW356" i="2" s="1"/>
  <c r="JV355" i="11"/>
  <c r="BX356" i="2" s="1"/>
  <c r="JW355" i="11"/>
  <c r="BY356" i="2" s="1"/>
  <c r="JX355" i="11"/>
  <c r="BZ356" i="2" s="1"/>
  <c r="JY355" i="11"/>
  <c r="CA356" i="2" s="1"/>
  <c r="JZ355" i="11"/>
  <c r="CB356" i="2" s="1"/>
  <c r="KA355" i="11"/>
  <c r="CC356" i="2" s="1"/>
  <c r="JI356" i="11"/>
  <c r="BK357" i="2" s="1"/>
  <c r="JJ356" i="11"/>
  <c r="BL357" i="2" s="1"/>
  <c r="JK356" i="11"/>
  <c r="BM357" i="2" s="1"/>
  <c r="JL356" i="11"/>
  <c r="BN357" i="2" s="1"/>
  <c r="JM356" i="11"/>
  <c r="BO357" i="2" s="1"/>
  <c r="JN356" i="11"/>
  <c r="BP357" i="2" s="1"/>
  <c r="JO356" i="11"/>
  <c r="BQ357" i="2" s="1"/>
  <c r="JP356" i="11"/>
  <c r="BR357" i="2" s="1"/>
  <c r="JQ356" i="11"/>
  <c r="BS357" i="2" s="1"/>
  <c r="JR356" i="11"/>
  <c r="BT357" i="2" s="1"/>
  <c r="JS356" i="11"/>
  <c r="BU357" i="2" s="1"/>
  <c r="JT356" i="11"/>
  <c r="BV357" i="2" s="1"/>
  <c r="JU356" i="11"/>
  <c r="BW357" i="2" s="1"/>
  <c r="JV356" i="11"/>
  <c r="BX357" i="2" s="1"/>
  <c r="JW356" i="11"/>
  <c r="BY357" i="2" s="1"/>
  <c r="JX356" i="11"/>
  <c r="BZ357" i="2" s="1"/>
  <c r="JY356" i="11"/>
  <c r="CA357" i="2" s="1"/>
  <c r="JZ356" i="11"/>
  <c r="CB357" i="2" s="1"/>
  <c r="KA356" i="11"/>
  <c r="CC357" i="2" s="1"/>
  <c r="JI357" i="11"/>
  <c r="BK358" i="2" s="1"/>
  <c r="JJ357" i="11"/>
  <c r="BL358" i="2" s="1"/>
  <c r="JK357" i="11"/>
  <c r="BM358" i="2" s="1"/>
  <c r="JL357" i="11"/>
  <c r="BN358" i="2" s="1"/>
  <c r="JM357" i="11"/>
  <c r="BO358" i="2" s="1"/>
  <c r="JN357" i="11"/>
  <c r="BP358" i="2" s="1"/>
  <c r="JO357" i="11"/>
  <c r="BQ358" i="2" s="1"/>
  <c r="JP357" i="11"/>
  <c r="BR358" i="2" s="1"/>
  <c r="JQ357" i="11"/>
  <c r="BS358" i="2" s="1"/>
  <c r="JR357" i="11"/>
  <c r="BT358" i="2" s="1"/>
  <c r="JS357" i="11"/>
  <c r="BU358" i="2" s="1"/>
  <c r="JT357" i="11"/>
  <c r="BV358" i="2" s="1"/>
  <c r="JU357" i="11"/>
  <c r="BW358" i="2" s="1"/>
  <c r="JV357" i="11"/>
  <c r="BX358" i="2" s="1"/>
  <c r="JW357" i="11"/>
  <c r="BY358" i="2" s="1"/>
  <c r="JX357" i="11"/>
  <c r="BZ358" i="2" s="1"/>
  <c r="JY357" i="11"/>
  <c r="CA358" i="2" s="1"/>
  <c r="JZ357" i="11"/>
  <c r="CB358" i="2" s="1"/>
  <c r="KA357" i="11"/>
  <c r="CC358" i="2" s="1"/>
  <c r="JI358" i="11"/>
  <c r="BK359" i="2" s="1"/>
  <c r="JJ358" i="11"/>
  <c r="BL359" i="2" s="1"/>
  <c r="JK358" i="11"/>
  <c r="BM359" i="2" s="1"/>
  <c r="JL358" i="11"/>
  <c r="BN359" i="2" s="1"/>
  <c r="JM358" i="11"/>
  <c r="BO359" i="2" s="1"/>
  <c r="JN358" i="11"/>
  <c r="BP359" i="2" s="1"/>
  <c r="JO358" i="11"/>
  <c r="BQ359" i="2" s="1"/>
  <c r="JP358" i="11"/>
  <c r="BR359" i="2" s="1"/>
  <c r="JQ358" i="11"/>
  <c r="BS359" i="2" s="1"/>
  <c r="JR358" i="11"/>
  <c r="BT359" i="2" s="1"/>
  <c r="JS358" i="11"/>
  <c r="BU359" i="2" s="1"/>
  <c r="JT358" i="11"/>
  <c r="BV359" i="2" s="1"/>
  <c r="JU358" i="11"/>
  <c r="BW359" i="2" s="1"/>
  <c r="JV358" i="11"/>
  <c r="BX359" i="2" s="1"/>
  <c r="JW358" i="11"/>
  <c r="BY359" i="2" s="1"/>
  <c r="JX358" i="11"/>
  <c r="BZ359" i="2" s="1"/>
  <c r="JY358" i="11"/>
  <c r="CA359" i="2" s="1"/>
  <c r="JZ358" i="11"/>
  <c r="CB359" i="2" s="1"/>
  <c r="KA358" i="11"/>
  <c r="CC359" i="2" s="1"/>
  <c r="JI359" i="11"/>
  <c r="BK360" i="2" s="1"/>
  <c r="JJ359" i="11"/>
  <c r="BL360" i="2" s="1"/>
  <c r="JK359" i="11"/>
  <c r="BM360" i="2" s="1"/>
  <c r="JL359" i="11"/>
  <c r="BN360" i="2" s="1"/>
  <c r="JM359" i="11"/>
  <c r="BO360" i="2" s="1"/>
  <c r="JN359" i="11"/>
  <c r="BP360" i="2" s="1"/>
  <c r="JO359" i="11"/>
  <c r="BQ360" i="2" s="1"/>
  <c r="JP359" i="11"/>
  <c r="BR360" i="2" s="1"/>
  <c r="JQ359" i="11"/>
  <c r="BS360" i="2" s="1"/>
  <c r="JR359" i="11"/>
  <c r="BT360" i="2" s="1"/>
  <c r="JS359" i="11"/>
  <c r="BU360" i="2" s="1"/>
  <c r="JT359" i="11"/>
  <c r="BV360" i="2" s="1"/>
  <c r="JU359" i="11"/>
  <c r="BW360" i="2" s="1"/>
  <c r="JV359" i="11"/>
  <c r="BX360" i="2" s="1"/>
  <c r="JW359" i="11"/>
  <c r="BY360" i="2" s="1"/>
  <c r="JX359" i="11"/>
  <c r="BZ360" i="2" s="1"/>
  <c r="JY359" i="11"/>
  <c r="CA360" i="2" s="1"/>
  <c r="JZ359" i="11"/>
  <c r="CB360" i="2" s="1"/>
  <c r="KA359" i="11"/>
  <c r="CC360" i="2" s="1"/>
  <c r="JI360" i="11"/>
  <c r="BK361" i="2" s="1"/>
  <c r="JJ360" i="11"/>
  <c r="BL361" i="2" s="1"/>
  <c r="JK360" i="11"/>
  <c r="BM361" i="2" s="1"/>
  <c r="JL360" i="11"/>
  <c r="BN361" i="2" s="1"/>
  <c r="JM360" i="11"/>
  <c r="BO361" i="2" s="1"/>
  <c r="JN360" i="11"/>
  <c r="BP361" i="2" s="1"/>
  <c r="JO360" i="11"/>
  <c r="BQ361" i="2" s="1"/>
  <c r="JP360" i="11"/>
  <c r="BR361" i="2" s="1"/>
  <c r="JQ360" i="11"/>
  <c r="BS361" i="2" s="1"/>
  <c r="JR360" i="11"/>
  <c r="BT361" i="2" s="1"/>
  <c r="JS360" i="11"/>
  <c r="BU361" i="2" s="1"/>
  <c r="JT360" i="11"/>
  <c r="BV361" i="2" s="1"/>
  <c r="JU360" i="11"/>
  <c r="BW361" i="2" s="1"/>
  <c r="JV360" i="11"/>
  <c r="BX361" i="2" s="1"/>
  <c r="JW360" i="11"/>
  <c r="BY361" i="2" s="1"/>
  <c r="JX360" i="11"/>
  <c r="BZ361" i="2" s="1"/>
  <c r="JY360" i="11"/>
  <c r="CA361" i="2" s="1"/>
  <c r="JZ360" i="11"/>
  <c r="CB361" i="2" s="1"/>
  <c r="KA360" i="11"/>
  <c r="CC361" i="2" s="1"/>
  <c r="JI361" i="11"/>
  <c r="BK362" i="2" s="1"/>
  <c r="JJ361" i="11"/>
  <c r="BL362" i="2" s="1"/>
  <c r="JK361" i="11"/>
  <c r="BM362" i="2" s="1"/>
  <c r="JL361" i="11"/>
  <c r="BN362" i="2" s="1"/>
  <c r="JM361" i="11"/>
  <c r="BO362" i="2" s="1"/>
  <c r="JN361" i="11"/>
  <c r="BP362" i="2" s="1"/>
  <c r="JO361" i="11"/>
  <c r="BQ362" i="2" s="1"/>
  <c r="JP361" i="11"/>
  <c r="BR362" i="2" s="1"/>
  <c r="JQ361" i="11"/>
  <c r="BS362" i="2" s="1"/>
  <c r="JR361" i="11"/>
  <c r="BT362" i="2" s="1"/>
  <c r="JS361" i="11"/>
  <c r="BU362" i="2" s="1"/>
  <c r="JT361" i="11"/>
  <c r="BV362" i="2" s="1"/>
  <c r="JU361" i="11"/>
  <c r="BW362" i="2" s="1"/>
  <c r="JV361" i="11"/>
  <c r="BX362" i="2" s="1"/>
  <c r="JW361" i="11"/>
  <c r="BY362" i="2" s="1"/>
  <c r="JX361" i="11"/>
  <c r="BZ362" i="2" s="1"/>
  <c r="JY361" i="11"/>
  <c r="CA362" i="2" s="1"/>
  <c r="JZ361" i="11"/>
  <c r="CB362" i="2" s="1"/>
  <c r="KA361" i="11"/>
  <c r="CC362" i="2" s="1"/>
  <c r="JI362" i="11"/>
  <c r="BK363" i="2" s="1"/>
  <c r="JJ362" i="11"/>
  <c r="BL363" i="2" s="1"/>
  <c r="JK362" i="11"/>
  <c r="BM363" i="2" s="1"/>
  <c r="JL362" i="11"/>
  <c r="BN363" i="2" s="1"/>
  <c r="JM362" i="11"/>
  <c r="BO363" i="2" s="1"/>
  <c r="JN362" i="11"/>
  <c r="BP363" i="2" s="1"/>
  <c r="JO362" i="11"/>
  <c r="BQ363" i="2" s="1"/>
  <c r="JP362" i="11"/>
  <c r="BR363" i="2" s="1"/>
  <c r="JQ362" i="11"/>
  <c r="BS363" i="2" s="1"/>
  <c r="JR362" i="11"/>
  <c r="BT363" i="2" s="1"/>
  <c r="JS362" i="11"/>
  <c r="BU363" i="2" s="1"/>
  <c r="JT362" i="11"/>
  <c r="BV363" i="2" s="1"/>
  <c r="JU362" i="11"/>
  <c r="BW363" i="2" s="1"/>
  <c r="JV362" i="11"/>
  <c r="BX363" i="2" s="1"/>
  <c r="JW362" i="11"/>
  <c r="BY363" i="2" s="1"/>
  <c r="JX362" i="11"/>
  <c r="BZ363" i="2" s="1"/>
  <c r="JY362" i="11"/>
  <c r="CA363" i="2" s="1"/>
  <c r="JZ362" i="11"/>
  <c r="CB363" i="2" s="1"/>
  <c r="KA362" i="11"/>
  <c r="CC363" i="2" s="1"/>
  <c r="JI363" i="11"/>
  <c r="BK364" i="2" s="1"/>
  <c r="JJ363" i="11"/>
  <c r="BL364" i="2" s="1"/>
  <c r="JK363" i="11"/>
  <c r="BM364" i="2" s="1"/>
  <c r="JL363" i="11"/>
  <c r="BN364" i="2" s="1"/>
  <c r="JM363" i="11"/>
  <c r="BO364" i="2" s="1"/>
  <c r="JN363" i="11"/>
  <c r="BP364" i="2" s="1"/>
  <c r="JO363" i="11"/>
  <c r="BQ364" i="2" s="1"/>
  <c r="JP363" i="11"/>
  <c r="BR364" i="2" s="1"/>
  <c r="JQ363" i="11"/>
  <c r="BS364" i="2" s="1"/>
  <c r="JR363" i="11"/>
  <c r="BT364" i="2" s="1"/>
  <c r="JS363" i="11"/>
  <c r="BU364" i="2" s="1"/>
  <c r="JT363" i="11"/>
  <c r="BV364" i="2" s="1"/>
  <c r="JU363" i="11"/>
  <c r="BW364" i="2" s="1"/>
  <c r="JV363" i="11"/>
  <c r="BX364" i="2" s="1"/>
  <c r="JW363" i="11"/>
  <c r="BY364" i="2" s="1"/>
  <c r="JX363" i="11"/>
  <c r="BZ364" i="2" s="1"/>
  <c r="JY363" i="11"/>
  <c r="CA364" i="2" s="1"/>
  <c r="JZ363" i="11"/>
  <c r="CB364" i="2" s="1"/>
  <c r="KA363" i="11"/>
  <c r="CC364" i="2" s="1"/>
  <c r="JI364" i="11"/>
  <c r="BK365" i="2" s="1"/>
  <c r="JJ364" i="11"/>
  <c r="BL365" i="2" s="1"/>
  <c r="JK364" i="11"/>
  <c r="BM365" i="2" s="1"/>
  <c r="JL364" i="11"/>
  <c r="BN365" i="2" s="1"/>
  <c r="JM364" i="11"/>
  <c r="BO365" i="2" s="1"/>
  <c r="JN364" i="11"/>
  <c r="BP365" i="2" s="1"/>
  <c r="JO364" i="11"/>
  <c r="BQ365" i="2" s="1"/>
  <c r="JP364" i="11"/>
  <c r="BR365" i="2" s="1"/>
  <c r="JQ364" i="11"/>
  <c r="BS365" i="2" s="1"/>
  <c r="JR364" i="11"/>
  <c r="BT365" i="2" s="1"/>
  <c r="JS364" i="11"/>
  <c r="BU365" i="2" s="1"/>
  <c r="JT364" i="11"/>
  <c r="BV365" i="2" s="1"/>
  <c r="JU364" i="11"/>
  <c r="BW365" i="2" s="1"/>
  <c r="JV364" i="11"/>
  <c r="BX365" i="2" s="1"/>
  <c r="JW364" i="11"/>
  <c r="BY365" i="2" s="1"/>
  <c r="JX364" i="11"/>
  <c r="BZ365" i="2" s="1"/>
  <c r="JY364" i="11"/>
  <c r="CA365" i="2" s="1"/>
  <c r="JZ364" i="11"/>
  <c r="CB365" i="2" s="1"/>
  <c r="KA364" i="11"/>
  <c r="CC365" i="2" s="1"/>
  <c r="JI365" i="11"/>
  <c r="BK366" i="2" s="1"/>
  <c r="JJ365" i="11"/>
  <c r="BL366" i="2" s="1"/>
  <c r="JK365" i="11"/>
  <c r="BM366" i="2" s="1"/>
  <c r="JL365" i="11"/>
  <c r="BN366" i="2" s="1"/>
  <c r="JM365" i="11"/>
  <c r="BO366" i="2" s="1"/>
  <c r="JN365" i="11"/>
  <c r="BP366" i="2" s="1"/>
  <c r="JO365" i="11"/>
  <c r="BQ366" i="2" s="1"/>
  <c r="JP365" i="11"/>
  <c r="BR366" i="2" s="1"/>
  <c r="JQ365" i="11"/>
  <c r="BS366" i="2" s="1"/>
  <c r="JR365" i="11"/>
  <c r="BT366" i="2" s="1"/>
  <c r="JS365" i="11"/>
  <c r="BU366" i="2" s="1"/>
  <c r="JT365" i="11"/>
  <c r="BV366" i="2" s="1"/>
  <c r="JU365" i="11"/>
  <c r="BW366" i="2" s="1"/>
  <c r="JV365" i="11"/>
  <c r="BX366" i="2" s="1"/>
  <c r="JW365" i="11"/>
  <c r="BY366" i="2" s="1"/>
  <c r="JX365" i="11"/>
  <c r="BZ366" i="2" s="1"/>
  <c r="JY365" i="11"/>
  <c r="CA366" i="2" s="1"/>
  <c r="JZ365" i="11"/>
  <c r="CB366" i="2" s="1"/>
  <c r="KA365" i="11"/>
  <c r="CC366" i="2" s="1"/>
  <c r="JI366" i="11"/>
  <c r="BK367" i="2" s="1"/>
  <c r="JJ366" i="11"/>
  <c r="BL367" i="2" s="1"/>
  <c r="JK366" i="11"/>
  <c r="BM367" i="2" s="1"/>
  <c r="JL366" i="11"/>
  <c r="BN367" i="2" s="1"/>
  <c r="JM366" i="11"/>
  <c r="BO367" i="2" s="1"/>
  <c r="JN366" i="11"/>
  <c r="BP367" i="2" s="1"/>
  <c r="JO366" i="11"/>
  <c r="BQ367" i="2" s="1"/>
  <c r="JP366" i="11"/>
  <c r="BR367" i="2" s="1"/>
  <c r="JQ366" i="11"/>
  <c r="BS367" i="2" s="1"/>
  <c r="JR366" i="11"/>
  <c r="BT367" i="2" s="1"/>
  <c r="JS366" i="11"/>
  <c r="BU367" i="2" s="1"/>
  <c r="JT366" i="11"/>
  <c r="BV367" i="2" s="1"/>
  <c r="JU366" i="11"/>
  <c r="BW367" i="2" s="1"/>
  <c r="JV366" i="11"/>
  <c r="BX367" i="2" s="1"/>
  <c r="JW366" i="11"/>
  <c r="BY367" i="2" s="1"/>
  <c r="JX366" i="11"/>
  <c r="BZ367" i="2" s="1"/>
  <c r="JY366" i="11"/>
  <c r="CA367" i="2" s="1"/>
  <c r="JZ366" i="11"/>
  <c r="CB367" i="2" s="1"/>
  <c r="KA366" i="11"/>
  <c r="CC367" i="2" s="1"/>
  <c r="JI367" i="11"/>
  <c r="BK368" i="2" s="1"/>
  <c r="JJ367" i="11"/>
  <c r="BL368" i="2" s="1"/>
  <c r="JK367" i="11"/>
  <c r="BM368" i="2" s="1"/>
  <c r="JL367" i="11"/>
  <c r="BN368" i="2" s="1"/>
  <c r="JM367" i="11"/>
  <c r="BO368" i="2" s="1"/>
  <c r="JN367" i="11"/>
  <c r="BP368" i="2" s="1"/>
  <c r="JO367" i="11"/>
  <c r="BQ368" i="2" s="1"/>
  <c r="JP367" i="11"/>
  <c r="BR368" i="2" s="1"/>
  <c r="JQ367" i="11"/>
  <c r="BS368" i="2" s="1"/>
  <c r="JR367" i="11"/>
  <c r="BT368" i="2" s="1"/>
  <c r="JS367" i="11"/>
  <c r="BU368" i="2" s="1"/>
  <c r="JT367" i="11"/>
  <c r="BV368" i="2" s="1"/>
  <c r="JU367" i="11"/>
  <c r="BW368" i="2" s="1"/>
  <c r="JV367" i="11"/>
  <c r="BX368" i="2" s="1"/>
  <c r="JW367" i="11"/>
  <c r="BY368" i="2" s="1"/>
  <c r="JX367" i="11"/>
  <c r="BZ368" i="2" s="1"/>
  <c r="JY367" i="11"/>
  <c r="CA368" i="2" s="1"/>
  <c r="JZ367" i="11"/>
  <c r="CB368" i="2" s="1"/>
  <c r="KA367" i="11"/>
  <c r="CC368" i="2" s="1"/>
  <c r="JI368" i="11"/>
  <c r="BK369" i="2" s="1"/>
  <c r="JJ368" i="11"/>
  <c r="BL369" i="2" s="1"/>
  <c r="JK368" i="11"/>
  <c r="BM369" i="2" s="1"/>
  <c r="JL368" i="11"/>
  <c r="BN369" i="2" s="1"/>
  <c r="JM368" i="11"/>
  <c r="BO369" i="2" s="1"/>
  <c r="JN368" i="11"/>
  <c r="BP369" i="2" s="1"/>
  <c r="JO368" i="11"/>
  <c r="BQ369" i="2" s="1"/>
  <c r="JP368" i="11"/>
  <c r="BR369" i="2" s="1"/>
  <c r="JQ368" i="11"/>
  <c r="BS369" i="2" s="1"/>
  <c r="JR368" i="11"/>
  <c r="BT369" i="2" s="1"/>
  <c r="JS368" i="11"/>
  <c r="BU369" i="2" s="1"/>
  <c r="JT368" i="11"/>
  <c r="BV369" i="2" s="1"/>
  <c r="JU368" i="11"/>
  <c r="BW369" i="2" s="1"/>
  <c r="JV368" i="11"/>
  <c r="BX369" i="2" s="1"/>
  <c r="JW368" i="11"/>
  <c r="BY369" i="2" s="1"/>
  <c r="JX368" i="11"/>
  <c r="BZ369" i="2" s="1"/>
  <c r="JY368" i="11"/>
  <c r="CA369" i="2" s="1"/>
  <c r="JZ368" i="11"/>
  <c r="CB369" i="2" s="1"/>
  <c r="KA368" i="11"/>
  <c r="CC369" i="2" s="1"/>
  <c r="JI369" i="11"/>
  <c r="BK370" i="2" s="1"/>
  <c r="JJ369" i="11"/>
  <c r="BL370" i="2" s="1"/>
  <c r="JK369" i="11"/>
  <c r="BM370" i="2" s="1"/>
  <c r="JL369" i="11"/>
  <c r="BN370" i="2" s="1"/>
  <c r="JM369" i="11"/>
  <c r="BO370" i="2" s="1"/>
  <c r="JN369" i="11"/>
  <c r="BP370" i="2" s="1"/>
  <c r="JO369" i="11"/>
  <c r="BQ370" i="2" s="1"/>
  <c r="JP369" i="11"/>
  <c r="BR370" i="2" s="1"/>
  <c r="JQ369" i="11"/>
  <c r="BS370" i="2" s="1"/>
  <c r="JR369" i="11"/>
  <c r="BT370" i="2" s="1"/>
  <c r="JS369" i="11"/>
  <c r="BU370" i="2" s="1"/>
  <c r="JT369" i="11"/>
  <c r="BV370" i="2" s="1"/>
  <c r="JU369" i="11"/>
  <c r="BW370" i="2" s="1"/>
  <c r="JV369" i="11"/>
  <c r="BX370" i="2" s="1"/>
  <c r="JW369" i="11"/>
  <c r="BY370" i="2" s="1"/>
  <c r="JX369" i="11"/>
  <c r="BZ370" i="2" s="1"/>
  <c r="JY369" i="11"/>
  <c r="CA370" i="2" s="1"/>
  <c r="JZ369" i="11"/>
  <c r="CB370" i="2" s="1"/>
  <c r="KA369" i="11"/>
  <c r="CC370" i="2" s="1"/>
  <c r="KA5" i="11"/>
  <c r="CC6" i="2" s="1"/>
  <c r="BQ5" i="5" s="1" a="1"/>
  <c r="BQ5" i="5" s="1"/>
  <c r="JZ5" i="11"/>
  <c r="CB6" i="2" s="1"/>
  <c r="BP5" i="5" s="1" a="1"/>
  <c r="BP5" i="5" s="1"/>
  <c r="JY5" i="11"/>
  <c r="CA6" i="2" s="1"/>
  <c r="BO5" i="5" s="1" a="1"/>
  <c r="BO5" i="5" s="1"/>
  <c r="JX5" i="11"/>
  <c r="BZ6" i="2" s="1"/>
  <c r="BN5" i="5" s="1" a="1"/>
  <c r="BN5" i="5" s="1"/>
  <c r="JW5" i="11"/>
  <c r="BY6" i="2" s="1"/>
  <c r="BM5" i="5" s="1" a="1"/>
  <c r="BM5" i="5" s="1"/>
  <c r="JV5" i="11"/>
  <c r="BX6" i="2" s="1"/>
  <c r="BL5" i="5" s="1" a="1"/>
  <c r="BL5" i="5" s="1"/>
  <c r="JU5" i="11"/>
  <c r="BW6" i="2" s="1"/>
  <c r="BK5" i="5" s="1" a="1"/>
  <c r="BK5" i="5" s="1"/>
  <c r="JT5" i="11"/>
  <c r="BV6" i="2" s="1"/>
  <c r="BJ5" i="5" s="1" a="1"/>
  <c r="BJ5" i="5" s="1"/>
  <c r="JS5" i="11"/>
  <c r="BU6" i="2" s="1"/>
  <c r="BI5" i="5" s="1" a="1"/>
  <c r="BI5" i="5" s="1"/>
  <c r="JR5" i="11"/>
  <c r="BT6" i="2" s="1"/>
  <c r="BH5" i="5" s="1" a="1"/>
  <c r="BH5" i="5" s="1"/>
  <c r="JQ5" i="11"/>
  <c r="BS6" i="2" s="1"/>
  <c r="BG5" i="5" s="1" a="1"/>
  <c r="BG5" i="5" s="1"/>
  <c r="JP5" i="11"/>
  <c r="BR6" i="2" s="1"/>
  <c r="BF5" i="5" s="1" a="1"/>
  <c r="BF5" i="5" s="1"/>
  <c r="JO5" i="11"/>
  <c r="BQ6" i="2" s="1"/>
  <c r="BE5" i="5" s="1" a="1"/>
  <c r="BE5" i="5" s="1"/>
  <c r="JN5" i="11"/>
  <c r="BP6" i="2" s="1"/>
  <c r="BD5" i="5" s="1" a="1"/>
  <c r="BD5" i="5" s="1"/>
  <c r="JM5" i="11"/>
  <c r="BO6" i="2" s="1"/>
  <c r="BC5" i="5" s="1" a="1"/>
  <c r="BC5" i="5" s="1"/>
  <c r="JL5" i="11"/>
  <c r="BN6" i="2" s="1"/>
  <c r="BB5" i="5" s="1" a="1"/>
  <c r="BB5" i="5" s="1"/>
  <c r="JK5" i="11"/>
  <c r="BM6" i="2" s="1"/>
  <c r="BA5" i="5" s="1" a="1"/>
  <c r="BA5" i="5" s="1"/>
  <c r="JJ5" i="11"/>
  <c r="BL6" i="2" s="1"/>
  <c r="AZ5" i="5" s="1" a="1"/>
  <c r="AZ5" i="5" s="1"/>
  <c r="JI5" i="11"/>
  <c r="BK6" i="2" s="1"/>
  <c r="AY5" i="5" s="1" a="1"/>
  <c r="AY5" i="5" s="1"/>
  <c r="JF5" i="11"/>
  <c r="BH6" i="2" s="1"/>
  <c r="AV5" i="5" s="1" a="1"/>
  <c r="AV5" i="5" s="1"/>
  <c r="JG5" i="11"/>
  <c r="BI6" i="2" s="1"/>
  <c r="AW5" i="5" s="1" a="1"/>
  <c r="AW5" i="5" s="1"/>
  <c r="JH5" i="11"/>
  <c r="BJ6" i="2" s="1"/>
  <c r="AX5" i="5" s="1" a="1"/>
  <c r="AX5" i="5" s="1"/>
  <c r="JF6" i="11"/>
  <c r="BH7" i="2" s="1"/>
  <c r="JG6" i="11"/>
  <c r="BI7" i="2" s="1"/>
  <c r="JH6" i="11"/>
  <c r="BJ7" i="2" s="1"/>
  <c r="JF7" i="11"/>
  <c r="BH8" i="2" s="1"/>
  <c r="JG7" i="11"/>
  <c r="BI8" i="2" s="1"/>
  <c r="JH7" i="11"/>
  <c r="BJ8" i="2" s="1"/>
  <c r="JF8" i="11"/>
  <c r="BH9" i="2" s="1"/>
  <c r="JG8" i="11"/>
  <c r="BI9" i="2" s="1"/>
  <c r="JH8" i="11"/>
  <c r="BJ9" i="2" s="1"/>
  <c r="JF9" i="11"/>
  <c r="BH10" i="2" s="1"/>
  <c r="JG9" i="11"/>
  <c r="BI10" i="2" s="1"/>
  <c r="JH9" i="11"/>
  <c r="BJ10" i="2" s="1"/>
  <c r="JF10" i="11"/>
  <c r="BH11" i="2" s="1"/>
  <c r="JG10" i="11"/>
  <c r="BI11" i="2" s="1"/>
  <c r="JH10" i="11"/>
  <c r="BJ11" i="2" s="1"/>
  <c r="JF11" i="11"/>
  <c r="BH12" i="2" s="1"/>
  <c r="JG11" i="11"/>
  <c r="BI12" i="2" s="1"/>
  <c r="JH11" i="11"/>
  <c r="BJ12" i="2" s="1"/>
  <c r="JF12" i="11"/>
  <c r="BH13" i="2" s="1"/>
  <c r="JG12" i="11"/>
  <c r="BI13" i="2" s="1"/>
  <c r="JH12" i="11"/>
  <c r="BJ13" i="2" s="1"/>
  <c r="JF13" i="11"/>
  <c r="BH14" i="2" s="1"/>
  <c r="JG13" i="11"/>
  <c r="BI14" i="2" s="1"/>
  <c r="JH13" i="11"/>
  <c r="BJ14" i="2" s="1"/>
  <c r="JF14" i="11"/>
  <c r="BH15" i="2" s="1"/>
  <c r="JG14" i="11"/>
  <c r="BI15" i="2" s="1"/>
  <c r="JH14" i="11"/>
  <c r="BJ15" i="2" s="1"/>
  <c r="JF15" i="11"/>
  <c r="BH16" i="2" s="1"/>
  <c r="JG15" i="11"/>
  <c r="BI16" i="2" s="1"/>
  <c r="JH15" i="11"/>
  <c r="BJ16" i="2" s="1"/>
  <c r="JF16" i="11"/>
  <c r="BH17" i="2" s="1"/>
  <c r="JG16" i="11"/>
  <c r="BI17" i="2" s="1"/>
  <c r="JH16" i="11"/>
  <c r="BJ17" i="2" s="1"/>
  <c r="JF17" i="11"/>
  <c r="BH18" i="2" s="1"/>
  <c r="JG17" i="11"/>
  <c r="BI18" i="2" s="1"/>
  <c r="JH17" i="11"/>
  <c r="BJ18" i="2" s="1"/>
  <c r="JF18" i="11"/>
  <c r="BH19" i="2" s="1"/>
  <c r="JG18" i="11"/>
  <c r="BI19" i="2" s="1"/>
  <c r="JH18" i="11"/>
  <c r="BJ19" i="2" s="1"/>
  <c r="JF19" i="11"/>
  <c r="BH20" i="2" s="1"/>
  <c r="JG19" i="11"/>
  <c r="BI20" i="2" s="1"/>
  <c r="JH19" i="11"/>
  <c r="BJ20" i="2" s="1"/>
  <c r="JF20" i="11"/>
  <c r="BH21" i="2" s="1"/>
  <c r="JG20" i="11"/>
  <c r="BI21" i="2" s="1"/>
  <c r="JH20" i="11"/>
  <c r="BJ21" i="2" s="1"/>
  <c r="JF21" i="11"/>
  <c r="BH22" i="2" s="1"/>
  <c r="JG21" i="11"/>
  <c r="BI22" i="2" s="1"/>
  <c r="JH21" i="11"/>
  <c r="BJ22" i="2" s="1"/>
  <c r="JF22" i="11"/>
  <c r="BH23" i="2" s="1"/>
  <c r="JG22" i="11"/>
  <c r="BI23" i="2" s="1"/>
  <c r="JH22" i="11"/>
  <c r="BJ23" i="2" s="1"/>
  <c r="JF23" i="11"/>
  <c r="BH24" i="2" s="1"/>
  <c r="JG23" i="11"/>
  <c r="BI24" i="2" s="1"/>
  <c r="JH23" i="11"/>
  <c r="BJ24" i="2" s="1"/>
  <c r="JF24" i="11"/>
  <c r="BH25" i="2" s="1"/>
  <c r="JG24" i="11"/>
  <c r="BI25" i="2" s="1"/>
  <c r="JH24" i="11"/>
  <c r="BJ25" i="2" s="1"/>
  <c r="JF25" i="11"/>
  <c r="BH26" i="2" s="1"/>
  <c r="JG25" i="11"/>
  <c r="BI26" i="2" s="1"/>
  <c r="JH25" i="11"/>
  <c r="BJ26" i="2" s="1"/>
  <c r="JF26" i="11"/>
  <c r="BH27" i="2" s="1"/>
  <c r="JG26" i="11"/>
  <c r="BI27" i="2" s="1"/>
  <c r="JH26" i="11"/>
  <c r="BJ27" i="2" s="1"/>
  <c r="JF27" i="11"/>
  <c r="BH28" i="2" s="1"/>
  <c r="JG27" i="11"/>
  <c r="BI28" i="2" s="1"/>
  <c r="JH27" i="11"/>
  <c r="BJ28" i="2" s="1"/>
  <c r="JF28" i="11"/>
  <c r="BH29" i="2" s="1"/>
  <c r="JG28" i="11"/>
  <c r="BI29" i="2" s="1"/>
  <c r="JH28" i="11"/>
  <c r="BJ29" i="2" s="1"/>
  <c r="JF29" i="11"/>
  <c r="BH30" i="2" s="1"/>
  <c r="JG29" i="11"/>
  <c r="BI30" i="2" s="1"/>
  <c r="JH29" i="11"/>
  <c r="BJ30" i="2" s="1"/>
  <c r="JF30" i="11"/>
  <c r="BH31" i="2" s="1"/>
  <c r="JG30" i="11"/>
  <c r="BI31" i="2" s="1"/>
  <c r="JH30" i="11"/>
  <c r="BJ31" i="2" s="1"/>
  <c r="JF31" i="11"/>
  <c r="BH32" i="2" s="1"/>
  <c r="JG31" i="11"/>
  <c r="BI32" i="2" s="1"/>
  <c r="JH31" i="11"/>
  <c r="BJ32" i="2" s="1"/>
  <c r="JF32" i="11"/>
  <c r="BH33" i="2" s="1"/>
  <c r="JG32" i="11"/>
  <c r="BI33" i="2" s="1"/>
  <c r="JH32" i="11"/>
  <c r="BJ33" i="2" s="1"/>
  <c r="JF33" i="11"/>
  <c r="BH34" i="2" s="1"/>
  <c r="JG33" i="11"/>
  <c r="BI34" i="2" s="1"/>
  <c r="JH33" i="11"/>
  <c r="BJ34" i="2" s="1"/>
  <c r="JF34" i="11"/>
  <c r="BH35" i="2" s="1"/>
  <c r="JG34" i="11"/>
  <c r="BI35" i="2" s="1"/>
  <c r="JH34" i="11"/>
  <c r="BJ35" i="2" s="1"/>
  <c r="JF35" i="11"/>
  <c r="BH36" i="2" s="1"/>
  <c r="JG35" i="11"/>
  <c r="BI36" i="2" s="1"/>
  <c r="JH35" i="11"/>
  <c r="BJ36" i="2" s="1"/>
  <c r="JF36" i="11"/>
  <c r="BH37" i="2" s="1"/>
  <c r="JG36" i="11"/>
  <c r="BI37" i="2" s="1"/>
  <c r="JH36" i="11"/>
  <c r="BJ37" i="2" s="1"/>
  <c r="JF37" i="11"/>
  <c r="BH38" i="2" s="1"/>
  <c r="JG37" i="11"/>
  <c r="BI38" i="2" s="1"/>
  <c r="JH37" i="11"/>
  <c r="BJ38" i="2" s="1"/>
  <c r="JF38" i="11"/>
  <c r="BH39" i="2" s="1"/>
  <c r="JG38" i="11"/>
  <c r="BI39" i="2" s="1"/>
  <c r="JH38" i="11"/>
  <c r="BJ39" i="2" s="1"/>
  <c r="JF39" i="11"/>
  <c r="BH40" i="2" s="1"/>
  <c r="JG39" i="11"/>
  <c r="BI40" i="2" s="1"/>
  <c r="JH39" i="11"/>
  <c r="BJ40" i="2" s="1"/>
  <c r="JF40" i="11"/>
  <c r="BH41" i="2" s="1"/>
  <c r="JG40" i="11"/>
  <c r="BI41" i="2" s="1"/>
  <c r="JH40" i="11"/>
  <c r="BJ41" i="2" s="1"/>
  <c r="JF41" i="11"/>
  <c r="BH42" i="2" s="1"/>
  <c r="JG41" i="11"/>
  <c r="BI42" i="2" s="1"/>
  <c r="JH41" i="11"/>
  <c r="BJ42" i="2" s="1"/>
  <c r="JF42" i="11"/>
  <c r="BH43" i="2" s="1"/>
  <c r="JG42" i="11"/>
  <c r="BI43" i="2" s="1"/>
  <c r="JH42" i="11"/>
  <c r="BJ43" i="2" s="1"/>
  <c r="JF43" i="11"/>
  <c r="BH44" i="2" s="1"/>
  <c r="JG43" i="11"/>
  <c r="BI44" i="2" s="1"/>
  <c r="JH43" i="11"/>
  <c r="BJ44" i="2" s="1"/>
  <c r="JF44" i="11"/>
  <c r="BH45" i="2" s="1"/>
  <c r="JG44" i="11"/>
  <c r="BI45" i="2" s="1"/>
  <c r="JH44" i="11"/>
  <c r="BJ45" i="2" s="1"/>
  <c r="JF45" i="11"/>
  <c r="BH46" i="2" s="1"/>
  <c r="JG45" i="11"/>
  <c r="BI46" i="2" s="1"/>
  <c r="JH45" i="11"/>
  <c r="BJ46" i="2" s="1"/>
  <c r="JF46" i="11"/>
  <c r="BH47" i="2" s="1"/>
  <c r="JG46" i="11"/>
  <c r="BI47" i="2" s="1"/>
  <c r="JH46" i="11"/>
  <c r="BJ47" i="2" s="1"/>
  <c r="JF47" i="11"/>
  <c r="BH48" i="2" s="1"/>
  <c r="JG47" i="11"/>
  <c r="BI48" i="2" s="1"/>
  <c r="JH47" i="11"/>
  <c r="BJ48" i="2" s="1"/>
  <c r="JF48" i="11"/>
  <c r="BH49" i="2" s="1"/>
  <c r="JG48" i="11"/>
  <c r="BI49" i="2" s="1"/>
  <c r="JH48" i="11"/>
  <c r="BJ49" i="2" s="1"/>
  <c r="JF49" i="11"/>
  <c r="BH50" i="2" s="1"/>
  <c r="JG49" i="11"/>
  <c r="BI50" i="2" s="1"/>
  <c r="JH49" i="11"/>
  <c r="BJ50" i="2" s="1"/>
  <c r="JF50" i="11"/>
  <c r="BH51" i="2" s="1"/>
  <c r="JG50" i="11"/>
  <c r="BI51" i="2" s="1"/>
  <c r="JH50" i="11"/>
  <c r="BJ51" i="2" s="1"/>
  <c r="JF51" i="11"/>
  <c r="BH52" i="2" s="1"/>
  <c r="JG51" i="11"/>
  <c r="BI52" i="2" s="1"/>
  <c r="JH51" i="11"/>
  <c r="BJ52" i="2" s="1"/>
  <c r="JF52" i="11"/>
  <c r="BH53" i="2" s="1"/>
  <c r="JG52" i="11"/>
  <c r="BI53" i="2" s="1"/>
  <c r="JH52" i="11"/>
  <c r="BJ53" i="2" s="1"/>
  <c r="JF53" i="11"/>
  <c r="BH54" i="2" s="1"/>
  <c r="JG53" i="11"/>
  <c r="BI54" i="2" s="1"/>
  <c r="JH53" i="11"/>
  <c r="BJ54" i="2" s="1"/>
  <c r="JF54" i="11"/>
  <c r="BH55" i="2" s="1"/>
  <c r="JG54" i="11"/>
  <c r="BI55" i="2" s="1"/>
  <c r="JH54" i="11"/>
  <c r="BJ55" i="2" s="1"/>
  <c r="JF55" i="11"/>
  <c r="BH56" i="2" s="1"/>
  <c r="JG55" i="11"/>
  <c r="BI56" i="2" s="1"/>
  <c r="JH55" i="11"/>
  <c r="BJ56" i="2" s="1"/>
  <c r="JF56" i="11"/>
  <c r="BH57" i="2" s="1"/>
  <c r="JG56" i="11"/>
  <c r="BI57" i="2" s="1"/>
  <c r="JH56" i="11"/>
  <c r="BJ57" i="2" s="1"/>
  <c r="JF57" i="11"/>
  <c r="BH58" i="2" s="1"/>
  <c r="JG57" i="11"/>
  <c r="BI58" i="2" s="1"/>
  <c r="JH57" i="11"/>
  <c r="BJ58" i="2" s="1"/>
  <c r="JF58" i="11"/>
  <c r="BH59" i="2" s="1"/>
  <c r="JG58" i="11"/>
  <c r="BI59" i="2" s="1"/>
  <c r="JH58" i="11"/>
  <c r="BJ59" i="2" s="1"/>
  <c r="JF59" i="11"/>
  <c r="BH60" i="2" s="1"/>
  <c r="JG59" i="11"/>
  <c r="BI60" i="2" s="1"/>
  <c r="JH59" i="11"/>
  <c r="BJ60" i="2" s="1"/>
  <c r="JF60" i="11"/>
  <c r="BH61" i="2" s="1"/>
  <c r="JG60" i="11"/>
  <c r="BI61" i="2" s="1"/>
  <c r="JH60" i="11"/>
  <c r="BJ61" i="2" s="1"/>
  <c r="JF61" i="11"/>
  <c r="BH62" i="2" s="1"/>
  <c r="JG61" i="11"/>
  <c r="BI62" i="2" s="1"/>
  <c r="JH61" i="11"/>
  <c r="BJ62" i="2" s="1"/>
  <c r="JF62" i="11"/>
  <c r="BH63" i="2" s="1"/>
  <c r="JG62" i="11"/>
  <c r="BI63" i="2" s="1"/>
  <c r="JH62" i="11"/>
  <c r="BJ63" i="2" s="1"/>
  <c r="JF63" i="11"/>
  <c r="BH64" i="2" s="1"/>
  <c r="JG63" i="11"/>
  <c r="BI64" i="2" s="1"/>
  <c r="JH63" i="11"/>
  <c r="BJ64" i="2" s="1"/>
  <c r="JF95" i="11"/>
  <c r="BH96" i="2" s="1"/>
  <c r="JG95" i="11"/>
  <c r="BI96" i="2" s="1"/>
  <c r="JH95" i="11"/>
  <c r="BJ96" i="2" s="1"/>
  <c r="JF96" i="11"/>
  <c r="BH97" i="2" s="1"/>
  <c r="JG96" i="11"/>
  <c r="BI97" i="2" s="1"/>
  <c r="JH96" i="11"/>
  <c r="BJ97" i="2" s="1"/>
  <c r="JF97" i="11"/>
  <c r="BH98" i="2" s="1"/>
  <c r="JG97" i="11"/>
  <c r="BI98" i="2" s="1"/>
  <c r="JH97" i="11"/>
  <c r="BJ98" i="2" s="1"/>
  <c r="JF98" i="11"/>
  <c r="BH99" i="2" s="1"/>
  <c r="JG98" i="11"/>
  <c r="BI99" i="2" s="1"/>
  <c r="JH98" i="11"/>
  <c r="BJ99" i="2" s="1"/>
  <c r="JF99" i="11"/>
  <c r="BH100" i="2" s="1"/>
  <c r="JG99" i="11"/>
  <c r="BI100" i="2" s="1"/>
  <c r="JH99" i="11"/>
  <c r="BJ100" i="2" s="1"/>
  <c r="JF100" i="11"/>
  <c r="BH101" i="2" s="1"/>
  <c r="JG100" i="11"/>
  <c r="BI101" i="2" s="1"/>
  <c r="JH100" i="11"/>
  <c r="BJ101" i="2" s="1"/>
  <c r="JF101" i="11"/>
  <c r="BH102" i="2" s="1"/>
  <c r="JG101" i="11"/>
  <c r="BI102" i="2" s="1"/>
  <c r="JH101" i="11"/>
  <c r="BJ102" i="2" s="1"/>
  <c r="JF102" i="11"/>
  <c r="BH103" i="2" s="1"/>
  <c r="JG102" i="11"/>
  <c r="BI103" i="2" s="1"/>
  <c r="JH102" i="11"/>
  <c r="BJ103" i="2" s="1"/>
  <c r="JF103" i="11"/>
  <c r="BH104" i="2" s="1"/>
  <c r="JG103" i="11"/>
  <c r="BI104" i="2" s="1"/>
  <c r="JH103" i="11"/>
  <c r="BJ104" i="2" s="1"/>
  <c r="JF104" i="11"/>
  <c r="BH105" i="2" s="1"/>
  <c r="JG104" i="11"/>
  <c r="BI105" i="2" s="1"/>
  <c r="JH104" i="11"/>
  <c r="BJ105" i="2" s="1"/>
  <c r="JF105" i="11"/>
  <c r="BH106" i="2" s="1"/>
  <c r="JG105" i="11"/>
  <c r="BI106" i="2" s="1"/>
  <c r="JH105" i="11"/>
  <c r="BJ106" i="2" s="1"/>
  <c r="JF106" i="11"/>
  <c r="BH107" i="2" s="1"/>
  <c r="JG106" i="11"/>
  <c r="BI107" i="2" s="1"/>
  <c r="JH106" i="11"/>
  <c r="BJ107" i="2" s="1"/>
  <c r="JF107" i="11"/>
  <c r="BH108" i="2" s="1"/>
  <c r="JG107" i="11"/>
  <c r="BI108" i="2" s="1"/>
  <c r="JH107" i="11"/>
  <c r="BJ108" i="2" s="1"/>
  <c r="JF108" i="11"/>
  <c r="BH109" i="2" s="1"/>
  <c r="JG108" i="11"/>
  <c r="BI109" i="2" s="1"/>
  <c r="JH108" i="11"/>
  <c r="BJ109" i="2" s="1"/>
  <c r="JF109" i="11"/>
  <c r="BH110" i="2" s="1"/>
  <c r="JG109" i="11"/>
  <c r="BI110" i="2" s="1"/>
  <c r="JH109" i="11"/>
  <c r="BJ110" i="2" s="1"/>
  <c r="JF110" i="11"/>
  <c r="BH111" i="2" s="1"/>
  <c r="JG110" i="11"/>
  <c r="BI111" i="2" s="1"/>
  <c r="JH110" i="11"/>
  <c r="BJ111" i="2" s="1"/>
  <c r="JF111" i="11"/>
  <c r="BH112" i="2" s="1"/>
  <c r="JG111" i="11"/>
  <c r="BI112" i="2" s="1"/>
  <c r="JH111" i="11"/>
  <c r="BJ112" i="2" s="1"/>
  <c r="JF112" i="11"/>
  <c r="BH113" i="2" s="1"/>
  <c r="JG112" i="11"/>
  <c r="BI113" i="2" s="1"/>
  <c r="JH112" i="11"/>
  <c r="BJ113" i="2" s="1"/>
  <c r="JF113" i="11"/>
  <c r="BH114" i="2" s="1"/>
  <c r="JG113" i="11"/>
  <c r="BI114" i="2" s="1"/>
  <c r="JH113" i="11"/>
  <c r="BJ114" i="2" s="1"/>
  <c r="JF114" i="11"/>
  <c r="BH115" i="2" s="1"/>
  <c r="JG114" i="11"/>
  <c r="BI115" i="2" s="1"/>
  <c r="JH114" i="11"/>
  <c r="BJ115" i="2" s="1"/>
  <c r="JF115" i="11"/>
  <c r="BH116" i="2" s="1"/>
  <c r="JG115" i="11"/>
  <c r="BI116" i="2" s="1"/>
  <c r="JH115" i="11"/>
  <c r="BJ116" i="2" s="1"/>
  <c r="JF116" i="11"/>
  <c r="BH117" i="2" s="1"/>
  <c r="JG116" i="11"/>
  <c r="BI117" i="2" s="1"/>
  <c r="JH116" i="11"/>
  <c r="BJ117" i="2" s="1"/>
  <c r="JF117" i="11"/>
  <c r="BH118" i="2" s="1"/>
  <c r="JG117" i="11"/>
  <c r="BI118" i="2" s="1"/>
  <c r="JH117" i="11"/>
  <c r="BJ118" i="2" s="1"/>
  <c r="JF118" i="11"/>
  <c r="BH119" i="2" s="1"/>
  <c r="JG118" i="11"/>
  <c r="BI119" i="2" s="1"/>
  <c r="JH118" i="11"/>
  <c r="BJ119" i="2" s="1"/>
  <c r="JF119" i="11"/>
  <c r="BH120" i="2" s="1"/>
  <c r="JG119" i="11"/>
  <c r="BI120" i="2" s="1"/>
  <c r="JH119" i="11"/>
  <c r="BJ120" i="2" s="1"/>
  <c r="JF120" i="11"/>
  <c r="BH121" i="2" s="1"/>
  <c r="JG120" i="11"/>
  <c r="BI121" i="2" s="1"/>
  <c r="JH120" i="11"/>
  <c r="BJ121" i="2" s="1"/>
  <c r="JF121" i="11"/>
  <c r="BH122" i="2" s="1"/>
  <c r="JG121" i="11"/>
  <c r="BI122" i="2" s="1"/>
  <c r="JH121" i="11"/>
  <c r="BJ122" i="2" s="1"/>
  <c r="JF122" i="11"/>
  <c r="BH123" i="2" s="1"/>
  <c r="JG122" i="11"/>
  <c r="BI123" i="2" s="1"/>
  <c r="JH122" i="11"/>
  <c r="BJ123" i="2" s="1"/>
  <c r="JF123" i="11"/>
  <c r="BH124" i="2" s="1"/>
  <c r="JG123" i="11"/>
  <c r="BI124" i="2" s="1"/>
  <c r="JH123" i="11"/>
  <c r="BJ124" i="2" s="1"/>
  <c r="JF124" i="11"/>
  <c r="BH125" i="2" s="1"/>
  <c r="JG124" i="11"/>
  <c r="BI125" i="2" s="1"/>
  <c r="JH124" i="11"/>
  <c r="BJ125" i="2" s="1"/>
  <c r="JF125" i="11"/>
  <c r="BH126" i="2" s="1"/>
  <c r="JG125" i="11"/>
  <c r="BI126" i="2" s="1"/>
  <c r="JH125" i="11"/>
  <c r="BJ126" i="2" s="1"/>
  <c r="JF126" i="11"/>
  <c r="BH127" i="2" s="1"/>
  <c r="JG126" i="11"/>
  <c r="BI127" i="2" s="1"/>
  <c r="JH126" i="11"/>
  <c r="BJ127" i="2" s="1"/>
  <c r="JF127" i="11"/>
  <c r="BH128" i="2" s="1"/>
  <c r="JG127" i="11"/>
  <c r="BI128" i="2" s="1"/>
  <c r="JH127" i="11"/>
  <c r="BJ128" i="2" s="1"/>
  <c r="JF128" i="11"/>
  <c r="BH129" i="2" s="1"/>
  <c r="JG128" i="11"/>
  <c r="BI129" i="2" s="1"/>
  <c r="JH128" i="11"/>
  <c r="BJ129" i="2" s="1"/>
  <c r="JF129" i="11"/>
  <c r="BH130" i="2" s="1"/>
  <c r="JG129" i="11"/>
  <c r="BI130" i="2" s="1"/>
  <c r="JH129" i="11"/>
  <c r="BJ130" i="2" s="1"/>
  <c r="JF130" i="11"/>
  <c r="BH131" i="2" s="1"/>
  <c r="JG130" i="11"/>
  <c r="BI131" i="2" s="1"/>
  <c r="JH130" i="11"/>
  <c r="BJ131" i="2" s="1"/>
  <c r="JF131" i="11"/>
  <c r="BH132" i="2" s="1"/>
  <c r="JG131" i="11"/>
  <c r="BI132" i="2" s="1"/>
  <c r="JH131" i="11"/>
  <c r="BJ132" i="2" s="1"/>
  <c r="JF132" i="11"/>
  <c r="BH133" i="2" s="1"/>
  <c r="JG132" i="11"/>
  <c r="BI133" i="2" s="1"/>
  <c r="JH132" i="11"/>
  <c r="BJ133" i="2" s="1"/>
  <c r="JF133" i="11"/>
  <c r="BH134" i="2" s="1"/>
  <c r="JG133" i="11"/>
  <c r="BI134" i="2" s="1"/>
  <c r="JH133" i="11"/>
  <c r="BJ134" i="2" s="1"/>
  <c r="JF134" i="11"/>
  <c r="BH135" i="2" s="1"/>
  <c r="JG134" i="11"/>
  <c r="BI135" i="2" s="1"/>
  <c r="JH134" i="11"/>
  <c r="BJ135" i="2" s="1"/>
  <c r="JF135" i="11"/>
  <c r="BH136" i="2" s="1"/>
  <c r="JG135" i="11"/>
  <c r="BI136" i="2" s="1"/>
  <c r="JH135" i="11"/>
  <c r="BJ136" i="2" s="1"/>
  <c r="JF136" i="11"/>
  <c r="BH137" i="2" s="1"/>
  <c r="JG136" i="11"/>
  <c r="BI137" i="2" s="1"/>
  <c r="JH136" i="11"/>
  <c r="BJ137" i="2" s="1"/>
  <c r="JF137" i="11"/>
  <c r="BH138" i="2" s="1"/>
  <c r="JG137" i="11"/>
  <c r="BI138" i="2" s="1"/>
  <c r="JH137" i="11"/>
  <c r="BJ138" i="2" s="1"/>
  <c r="JF138" i="11"/>
  <c r="BH139" i="2" s="1"/>
  <c r="JG138" i="11"/>
  <c r="BI139" i="2" s="1"/>
  <c r="JH138" i="11"/>
  <c r="BJ139" i="2" s="1"/>
  <c r="JF139" i="11"/>
  <c r="BH140" i="2" s="1"/>
  <c r="JG139" i="11"/>
  <c r="BI140" i="2" s="1"/>
  <c r="JH139" i="11"/>
  <c r="BJ140" i="2" s="1"/>
  <c r="JF140" i="11"/>
  <c r="BH141" i="2" s="1"/>
  <c r="JG140" i="11"/>
  <c r="BI141" i="2" s="1"/>
  <c r="JH140" i="11"/>
  <c r="BJ141" i="2" s="1"/>
  <c r="JF141" i="11"/>
  <c r="BH142" i="2" s="1"/>
  <c r="JG141" i="11"/>
  <c r="BI142" i="2" s="1"/>
  <c r="JH141" i="11"/>
  <c r="BJ142" i="2" s="1"/>
  <c r="JF142" i="11"/>
  <c r="BH143" i="2" s="1"/>
  <c r="JG142" i="11"/>
  <c r="BI143" i="2" s="1"/>
  <c r="JH142" i="11"/>
  <c r="BJ143" i="2" s="1"/>
  <c r="JF143" i="11"/>
  <c r="BH144" i="2" s="1"/>
  <c r="JG143" i="11"/>
  <c r="BI144" i="2" s="1"/>
  <c r="JH143" i="11"/>
  <c r="BJ144" i="2" s="1"/>
  <c r="JF144" i="11"/>
  <c r="BH145" i="2" s="1"/>
  <c r="JG144" i="11"/>
  <c r="BI145" i="2" s="1"/>
  <c r="JH144" i="11"/>
  <c r="BJ145" i="2" s="1"/>
  <c r="JF145" i="11"/>
  <c r="BH146" i="2" s="1"/>
  <c r="JG145" i="11"/>
  <c r="BI146" i="2" s="1"/>
  <c r="JH145" i="11"/>
  <c r="BJ146" i="2" s="1"/>
  <c r="JF146" i="11"/>
  <c r="BH147" i="2" s="1"/>
  <c r="JG146" i="11"/>
  <c r="BI147" i="2" s="1"/>
  <c r="JH146" i="11"/>
  <c r="BJ147" i="2" s="1"/>
  <c r="JF147" i="11"/>
  <c r="BH148" i="2" s="1"/>
  <c r="JG147" i="11"/>
  <c r="BI148" i="2" s="1"/>
  <c r="JH147" i="11"/>
  <c r="BJ148" i="2" s="1"/>
  <c r="JF148" i="11"/>
  <c r="BH149" i="2" s="1"/>
  <c r="JG148" i="11"/>
  <c r="BI149" i="2" s="1"/>
  <c r="JH148" i="11"/>
  <c r="BJ149" i="2" s="1"/>
  <c r="JF149" i="11"/>
  <c r="BH150" i="2" s="1"/>
  <c r="JG149" i="11"/>
  <c r="BI150" i="2" s="1"/>
  <c r="JH149" i="11"/>
  <c r="BJ150" i="2" s="1"/>
  <c r="JF150" i="11"/>
  <c r="BH151" i="2" s="1"/>
  <c r="JG150" i="11"/>
  <c r="BI151" i="2" s="1"/>
  <c r="JH150" i="11"/>
  <c r="BJ151" i="2" s="1"/>
  <c r="JF151" i="11"/>
  <c r="BH152" i="2" s="1"/>
  <c r="JG151" i="11"/>
  <c r="BI152" i="2" s="1"/>
  <c r="JH151" i="11"/>
  <c r="BJ152" i="2" s="1"/>
  <c r="JF152" i="11"/>
  <c r="BH153" i="2" s="1"/>
  <c r="JG152" i="11"/>
  <c r="BI153" i="2" s="1"/>
  <c r="JH152" i="11"/>
  <c r="BJ153" i="2" s="1"/>
  <c r="JF153" i="11"/>
  <c r="BH154" i="2" s="1"/>
  <c r="JG153" i="11"/>
  <c r="BI154" i="2" s="1"/>
  <c r="JH153" i="11"/>
  <c r="BJ154" i="2" s="1"/>
  <c r="JF154" i="11"/>
  <c r="BH155" i="2" s="1"/>
  <c r="JG154" i="11"/>
  <c r="BI155" i="2" s="1"/>
  <c r="JH154" i="11"/>
  <c r="BJ155" i="2" s="1"/>
  <c r="JF155" i="11"/>
  <c r="BH156" i="2" s="1"/>
  <c r="JG155" i="11"/>
  <c r="BI156" i="2" s="1"/>
  <c r="JH155" i="11"/>
  <c r="BJ156" i="2" s="1"/>
  <c r="JF156" i="11"/>
  <c r="BH157" i="2" s="1"/>
  <c r="AV10" i="5" s="1" a="1"/>
  <c r="AV10" i="5" s="1"/>
  <c r="JG156" i="11"/>
  <c r="BI157" i="2" s="1"/>
  <c r="AW10" i="5" s="1" a="1"/>
  <c r="AW10" i="5" s="1"/>
  <c r="JH156" i="11"/>
  <c r="BJ157" i="2" s="1"/>
  <c r="AX10" i="5" s="1" a="1"/>
  <c r="AX10" i="5" s="1"/>
  <c r="JF157" i="11"/>
  <c r="BH158" i="2" s="1"/>
  <c r="JG157" i="11"/>
  <c r="BI158" i="2" s="1"/>
  <c r="JH157" i="11"/>
  <c r="BJ158" i="2" s="1"/>
  <c r="JF158" i="11"/>
  <c r="BH159" i="2" s="1"/>
  <c r="JG158" i="11"/>
  <c r="BI159" i="2" s="1"/>
  <c r="JH158" i="11"/>
  <c r="BJ159" i="2" s="1"/>
  <c r="JF159" i="11"/>
  <c r="BH160" i="2" s="1"/>
  <c r="JG159" i="11"/>
  <c r="BI160" i="2" s="1"/>
  <c r="JH159" i="11"/>
  <c r="BJ160" i="2" s="1"/>
  <c r="JF160" i="11"/>
  <c r="BH161" i="2" s="1"/>
  <c r="JG160" i="11"/>
  <c r="BI161" i="2" s="1"/>
  <c r="JH160" i="11"/>
  <c r="BJ161" i="2" s="1"/>
  <c r="JF161" i="11"/>
  <c r="BH162" i="2" s="1"/>
  <c r="JG161" i="11"/>
  <c r="BI162" i="2" s="1"/>
  <c r="JH161" i="11"/>
  <c r="BJ162" i="2" s="1"/>
  <c r="JF162" i="11"/>
  <c r="BH163" i="2" s="1"/>
  <c r="JG162" i="11"/>
  <c r="BI163" i="2" s="1"/>
  <c r="JH162" i="11"/>
  <c r="BJ163" i="2" s="1"/>
  <c r="JF163" i="11"/>
  <c r="BH164" i="2" s="1"/>
  <c r="JG163" i="11"/>
  <c r="BI164" i="2" s="1"/>
  <c r="JH163" i="11"/>
  <c r="BJ164" i="2" s="1"/>
  <c r="JF164" i="11"/>
  <c r="BH165" i="2" s="1"/>
  <c r="JG164" i="11"/>
  <c r="BI165" i="2" s="1"/>
  <c r="JH164" i="11"/>
  <c r="BJ165" i="2" s="1"/>
  <c r="JF165" i="11"/>
  <c r="BH166" i="2" s="1"/>
  <c r="JG165" i="11"/>
  <c r="BI166" i="2" s="1"/>
  <c r="JH165" i="11"/>
  <c r="BJ166" i="2" s="1"/>
  <c r="JF166" i="11"/>
  <c r="BH167" i="2" s="1"/>
  <c r="JG166" i="11"/>
  <c r="BI167" i="2" s="1"/>
  <c r="JH166" i="11"/>
  <c r="BJ167" i="2" s="1"/>
  <c r="JF167" i="11"/>
  <c r="BH168" i="2" s="1"/>
  <c r="JG167" i="11"/>
  <c r="BI168" i="2" s="1"/>
  <c r="JH167" i="11"/>
  <c r="BJ168" i="2" s="1"/>
  <c r="JF168" i="11"/>
  <c r="BH169" i="2" s="1"/>
  <c r="JG168" i="11"/>
  <c r="BI169" i="2" s="1"/>
  <c r="JH168" i="11"/>
  <c r="BJ169" i="2" s="1"/>
  <c r="JF169" i="11"/>
  <c r="BH170" i="2" s="1"/>
  <c r="JG169" i="11"/>
  <c r="BI170" i="2" s="1"/>
  <c r="JH169" i="11"/>
  <c r="BJ170" i="2" s="1"/>
  <c r="JF170" i="11"/>
  <c r="BH171" i="2" s="1"/>
  <c r="JG170" i="11"/>
  <c r="BI171" i="2" s="1"/>
  <c r="JH170" i="11"/>
  <c r="BJ171" i="2" s="1"/>
  <c r="JF171" i="11"/>
  <c r="BH172" i="2" s="1"/>
  <c r="JG171" i="11"/>
  <c r="BI172" i="2" s="1"/>
  <c r="JH171" i="11"/>
  <c r="BJ172" i="2" s="1"/>
  <c r="JF172" i="11"/>
  <c r="BH173" i="2" s="1"/>
  <c r="JG172" i="11"/>
  <c r="BI173" i="2" s="1"/>
  <c r="JH172" i="11"/>
  <c r="BJ173" i="2" s="1"/>
  <c r="JF173" i="11"/>
  <c r="BH174" i="2" s="1"/>
  <c r="JG173" i="11"/>
  <c r="BI174" i="2" s="1"/>
  <c r="JH173" i="11"/>
  <c r="BJ174" i="2" s="1"/>
  <c r="JF174" i="11"/>
  <c r="BH175" i="2" s="1"/>
  <c r="JG174" i="11"/>
  <c r="BI175" i="2" s="1"/>
  <c r="JH174" i="11"/>
  <c r="BJ175" i="2" s="1"/>
  <c r="JF175" i="11"/>
  <c r="BH176" i="2" s="1"/>
  <c r="JG175" i="11"/>
  <c r="BI176" i="2" s="1"/>
  <c r="JH175" i="11"/>
  <c r="BJ176" i="2" s="1"/>
  <c r="JF176" i="11"/>
  <c r="BH177" i="2" s="1"/>
  <c r="JG176" i="11"/>
  <c r="BI177" i="2" s="1"/>
  <c r="JH176" i="11"/>
  <c r="BJ177" i="2" s="1"/>
  <c r="JF177" i="11"/>
  <c r="BH178" i="2" s="1"/>
  <c r="JG177" i="11"/>
  <c r="BI178" i="2" s="1"/>
  <c r="JH177" i="11"/>
  <c r="BJ178" i="2" s="1"/>
  <c r="JF178" i="11"/>
  <c r="BH179" i="2" s="1"/>
  <c r="JG178" i="11"/>
  <c r="BI179" i="2" s="1"/>
  <c r="JH178" i="11"/>
  <c r="BJ179" i="2" s="1"/>
  <c r="JF179" i="11"/>
  <c r="BH180" i="2" s="1"/>
  <c r="JG179" i="11"/>
  <c r="BI180" i="2" s="1"/>
  <c r="JH179" i="11"/>
  <c r="BJ180" i="2" s="1"/>
  <c r="JF180" i="11"/>
  <c r="BH181" i="2" s="1"/>
  <c r="JG180" i="11"/>
  <c r="BI181" i="2" s="1"/>
  <c r="JH180" i="11"/>
  <c r="BJ181" i="2" s="1"/>
  <c r="JF181" i="11"/>
  <c r="BH182" i="2" s="1"/>
  <c r="JG181" i="11"/>
  <c r="BI182" i="2" s="1"/>
  <c r="JH181" i="11"/>
  <c r="BJ182" i="2" s="1"/>
  <c r="JF182" i="11"/>
  <c r="BH183" i="2" s="1"/>
  <c r="JG182" i="11"/>
  <c r="BI183" i="2" s="1"/>
  <c r="JH182" i="11"/>
  <c r="BJ183" i="2" s="1"/>
  <c r="JF183" i="11"/>
  <c r="BH184" i="2" s="1"/>
  <c r="JG183" i="11"/>
  <c r="BI184" i="2" s="1"/>
  <c r="JH183" i="11"/>
  <c r="BJ184" i="2" s="1"/>
  <c r="JF184" i="11"/>
  <c r="BH185" i="2" s="1"/>
  <c r="JG184" i="11"/>
  <c r="BI185" i="2" s="1"/>
  <c r="JH184" i="11"/>
  <c r="BJ185" i="2" s="1"/>
  <c r="JF185" i="11"/>
  <c r="BH186" i="2" s="1"/>
  <c r="JG185" i="11"/>
  <c r="BI186" i="2" s="1"/>
  <c r="JH185" i="11"/>
  <c r="BJ186" i="2" s="1"/>
  <c r="JF186" i="11"/>
  <c r="BH187" i="2" s="1"/>
  <c r="AV11" i="5" s="1" a="1"/>
  <c r="AV11" i="5" s="1"/>
  <c r="JG186" i="11"/>
  <c r="BI187" i="2" s="1"/>
  <c r="JH186" i="11"/>
  <c r="BJ187" i="2" s="1"/>
  <c r="AX11" i="5" s="1" a="1"/>
  <c r="AX11" i="5" s="1"/>
  <c r="JF187" i="11"/>
  <c r="BH188" i="2" s="1"/>
  <c r="JG187" i="11"/>
  <c r="BI188" i="2" s="1"/>
  <c r="JH187" i="11"/>
  <c r="BJ188" i="2" s="1"/>
  <c r="JF188" i="11"/>
  <c r="BH189" i="2" s="1"/>
  <c r="JG188" i="11"/>
  <c r="BI189" i="2" s="1"/>
  <c r="JH188" i="11"/>
  <c r="BJ189" i="2" s="1"/>
  <c r="JF189" i="11"/>
  <c r="BH190" i="2" s="1"/>
  <c r="JG189" i="11"/>
  <c r="BI190" i="2" s="1"/>
  <c r="JH189" i="11"/>
  <c r="BJ190" i="2" s="1"/>
  <c r="JF190" i="11"/>
  <c r="BH191" i="2" s="1"/>
  <c r="JG190" i="11"/>
  <c r="BI191" i="2" s="1"/>
  <c r="JH190" i="11"/>
  <c r="BJ191" i="2" s="1"/>
  <c r="JF191" i="11"/>
  <c r="BH192" i="2" s="1"/>
  <c r="JG191" i="11"/>
  <c r="BI192" i="2" s="1"/>
  <c r="JH191" i="11"/>
  <c r="BJ192" i="2" s="1"/>
  <c r="JF192" i="11"/>
  <c r="BH193" i="2" s="1"/>
  <c r="JG192" i="11"/>
  <c r="BI193" i="2" s="1"/>
  <c r="JH192" i="11"/>
  <c r="BJ193" i="2" s="1"/>
  <c r="JF193" i="11"/>
  <c r="BH194" i="2" s="1"/>
  <c r="JG193" i="11"/>
  <c r="BI194" i="2" s="1"/>
  <c r="JH193" i="11"/>
  <c r="BJ194" i="2" s="1"/>
  <c r="JF194" i="11"/>
  <c r="BH195" i="2" s="1"/>
  <c r="JG194" i="11"/>
  <c r="BI195" i="2" s="1"/>
  <c r="JH194" i="11"/>
  <c r="BJ195" i="2" s="1"/>
  <c r="JF195" i="11"/>
  <c r="BH196" i="2" s="1"/>
  <c r="JG195" i="11"/>
  <c r="BI196" i="2" s="1"/>
  <c r="JH195" i="11"/>
  <c r="BJ196" i="2" s="1"/>
  <c r="JF196" i="11"/>
  <c r="BH197" i="2" s="1"/>
  <c r="JG196" i="11"/>
  <c r="BI197" i="2" s="1"/>
  <c r="JH196" i="11"/>
  <c r="BJ197" i="2" s="1"/>
  <c r="JF197" i="11"/>
  <c r="BH198" i="2" s="1"/>
  <c r="JG197" i="11"/>
  <c r="BI198" i="2" s="1"/>
  <c r="JH197" i="11"/>
  <c r="BJ198" i="2" s="1"/>
  <c r="JF198" i="11"/>
  <c r="BH199" i="2" s="1"/>
  <c r="JG198" i="11"/>
  <c r="BI199" i="2" s="1"/>
  <c r="JH198" i="11"/>
  <c r="BJ199" i="2" s="1"/>
  <c r="JF199" i="11"/>
  <c r="BH200" i="2" s="1"/>
  <c r="JG199" i="11"/>
  <c r="BI200" i="2" s="1"/>
  <c r="JH199" i="11"/>
  <c r="BJ200" i="2" s="1"/>
  <c r="JF200" i="11"/>
  <c r="BH201" i="2" s="1"/>
  <c r="JG200" i="11"/>
  <c r="BI201" i="2" s="1"/>
  <c r="JH200" i="11"/>
  <c r="BJ201" i="2" s="1"/>
  <c r="JF201" i="11"/>
  <c r="BH202" i="2" s="1"/>
  <c r="JG201" i="11"/>
  <c r="BI202" i="2" s="1"/>
  <c r="JH201" i="11"/>
  <c r="BJ202" i="2" s="1"/>
  <c r="JF202" i="11"/>
  <c r="BH203" i="2" s="1"/>
  <c r="JG202" i="11"/>
  <c r="BI203" i="2" s="1"/>
  <c r="JH202" i="11"/>
  <c r="BJ203" i="2" s="1"/>
  <c r="JF203" i="11"/>
  <c r="BH204" i="2" s="1"/>
  <c r="JG203" i="11"/>
  <c r="BI204" i="2" s="1"/>
  <c r="JH203" i="11"/>
  <c r="BJ204" i="2" s="1"/>
  <c r="JF204" i="11"/>
  <c r="BH205" i="2" s="1"/>
  <c r="JG204" i="11"/>
  <c r="BI205" i="2" s="1"/>
  <c r="JH204" i="11"/>
  <c r="BJ205" i="2" s="1"/>
  <c r="JF205" i="11"/>
  <c r="BH206" i="2" s="1"/>
  <c r="JG205" i="11"/>
  <c r="BI206" i="2" s="1"/>
  <c r="JH205" i="11"/>
  <c r="BJ206" i="2" s="1"/>
  <c r="JF206" i="11"/>
  <c r="BH207" i="2" s="1"/>
  <c r="JG206" i="11"/>
  <c r="BI207" i="2" s="1"/>
  <c r="JH206" i="11"/>
  <c r="BJ207" i="2" s="1"/>
  <c r="JF207" i="11"/>
  <c r="BH208" i="2" s="1"/>
  <c r="JG207" i="11"/>
  <c r="BI208" i="2" s="1"/>
  <c r="JH207" i="11"/>
  <c r="BJ208" i="2" s="1"/>
  <c r="JF208" i="11"/>
  <c r="BH209" i="2" s="1"/>
  <c r="JG208" i="11"/>
  <c r="BI209" i="2" s="1"/>
  <c r="JH208" i="11"/>
  <c r="BJ209" i="2" s="1"/>
  <c r="JF209" i="11"/>
  <c r="BH210" i="2" s="1"/>
  <c r="JG209" i="11"/>
  <c r="BI210" i="2" s="1"/>
  <c r="JH209" i="11"/>
  <c r="BJ210" i="2" s="1"/>
  <c r="JF210" i="11"/>
  <c r="BH211" i="2" s="1"/>
  <c r="JG210" i="11"/>
  <c r="BI211" i="2" s="1"/>
  <c r="JH210" i="11"/>
  <c r="BJ211" i="2" s="1"/>
  <c r="JF211" i="11"/>
  <c r="BH212" i="2" s="1"/>
  <c r="JG211" i="11"/>
  <c r="BI212" i="2" s="1"/>
  <c r="JH211" i="11"/>
  <c r="BJ212" i="2" s="1"/>
  <c r="JF212" i="11"/>
  <c r="BH213" i="2" s="1"/>
  <c r="JG212" i="11"/>
  <c r="BI213" i="2" s="1"/>
  <c r="JH212" i="11"/>
  <c r="BJ213" i="2" s="1"/>
  <c r="JF213" i="11"/>
  <c r="BH214" i="2" s="1"/>
  <c r="JG213" i="11"/>
  <c r="BI214" i="2" s="1"/>
  <c r="JH213" i="11"/>
  <c r="BJ214" i="2" s="1"/>
  <c r="JF214" i="11"/>
  <c r="BH215" i="2" s="1"/>
  <c r="JG214" i="11"/>
  <c r="BI215" i="2" s="1"/>
  <c r="JH214" i="11"/>
  <c r="BJ215" i="2" s="1"/>
  <c r="JF215" i="11"/>
  <c r="BH216" i="2" s="1"/>
  <c r="JG215" i="11"/>
  <c r="BI216" i="2" s="1"/>
  <c r="JH215" i="11"/>
  <c r="BJ216" i="2" s="1"/>
  <c r="JF216" i="11"/>
  <c r="BH217" i="2" s="1"/>
  <c r="JG216" i="11"/>
  <c r="BI217" i="2" s="1"/>
  <c r="JH216" i="11"/>
  <c r="BJ217" i="2" s="1"/>
  <c r="JF217" i="11"/>
  <c r="BH218" i="2" s="1"/>
  <c r="AV12" i="5" s="1" a="1"/>
  <c r="AV12" i="5" s="1"/>
  <c r="JG217" i="11"/>
  <c r="BI218" i="2" s="1"/>
  <c r="AW12" i="5" s="1" a="1"/>
  <c r="AW12" i="5" s="1"/>
  <c r="JH217" i="11"/>
  <c r="BJ218" i="2" s="1"/>
  <c r="AX12" i="5" s="1" a="1"/>
  <c r="AX12" i="5" s="1"/>
  <c r="JF218" i="11"/>
  <c r="BH219" i="2" s="1"/>
  <c r="JG218" i="11"/>
  <c r="BI219" i="2" s="1"/>
  <c r="JH218" i="11"/>
  <c r="BJ219" i="2" s="1"/>
  <c r="JF219" i="11"/>
  <c r="BH220" i="2" s="1"/>
  <c r="JG219" i="11"/>
  <c r="BI220" i="2" s="1"/>
  <c r="JH219" i="11"/>
  <c r="BJ220" i="2" s="1"/>
  <c r="JF220" i="11"/>
  <c r="BH221" i="2" s="1"/>
  <c r="JG220" i="11"/>
  <c r="BI221" i="2" s="1"/>
  <c r="JH220" i="11"/>
  <c r="BJ221" i="2" s="1"/>
  <c r="JF221" i="11"/>
  <c r="BH222" i="2" s="1"/>
  <c r="JG221" i="11"/>
  <c r="BI222" i="2" s="1"/>
  <c r="JH221" i="11"/>
  <c r="BJ222" i="2" s="1"/>
  <c r="JF222" i="11"/>
  <c r="BH223" i="2" s="1"/>
  <c r="JG222" i="11"/>
  <c r="BI223" i="2" s="1"/>
  <c r="JH222" i="11"/>
  <c r="BJ223" i="2" s="1"/>
  <c r="JF223" i="11"/>
  <c r="BH224" i="2" s="1"/>
  <c r="JG223" i="11"/>
  <c r="BI224" i="2" s="1"/>
  <c r="JH223" i="11"/>
  <c r="BJ224" i="2" s="1"/>
  <c r="JF224" i="11"/>
  <c r="BH225" i="2" s="1"/>
  <c r="JG224" i="11"/>
  <c r="BI225" i="2" s="1"/>
  <c r="JH224" i="11"/>
  <c r="BJ225" i="2" s="1"/>
  <c r="JF225" i="11"/>
  <c r="BH226" i="2" s="1"/>
  <c r="JG225" i="11"/>
  <c r="BI226" i="2" s="1"/>
  <c r="JH225" i="11"/>
  <c r="BJ226" i="2" s="1"/>
  <c r="JF226" i="11"/>
  <c r="BH227" i="2" s="1"/>
  <c r="JG226" i="11"/>
  <c r="BI227" i="2" s="1"/>
  <c r="JH226" i="11"/>
  <c r="BJ227" i="2" s="1"/>
  <c r="JF227" i="11"/>
  <c r="BH228" i="2" s="1"/>
  <c r="JG227" i="11"/>
  <c r="BI228" i="2" s="1"/>
  <c r="JH227" i="11"/>
  <c r="BJ228" i="2" s="1"/>
  <c r="JF228" i="11"/>
  <c r="BH229" i="2" s="1"/>
  <c r="JG228" i="11"/>
  <c r="BI229" i="2" s="1"/>
  <c r="JH228" i="11"/>
  <c r="BJ229" i="2" s="1"/>
  <c r="JF229" i="11"/>
  <c r="BH230" i="2" s="1"/>
  <c r="JG229" i="11"/>
  <c r="BI230" i="2" s="1"/>
  <c r="JH229" i="11"/>
  <c r="BJ230" i="2" s="1"/>
  <c r="JF230" i="11"/>
  <c r="BH231" i="2" s="1"/>
  <c r="JG230" i="11"/>
  <c r="BI231" i="2" s="1"/>
  <c r="JH230" i="11"/>
  <c r="BJ231" i="2" s="1"/>
  <c r="JF231" i="11"/>
  <c r="BH232" i="2" s="1"/>
  <c r="JG231" i="11"/>
  <c r="BI232" i="2" s="1"/>
  <c r="JH231" i="11"/>
  <c r="BJ232" i="2" s="1"/>
  <c r="JF232" i="11"/>
  <c r="BH233" i="2" s="1"/>
  <c r="JG232" i="11"/>
  <c r="BI233" i="2" s="1"/>
  <c r="JH232" i="11"/>
  <c r="BJ233" i="2" s="1"/>
  <c r="JF233" i="11"/>
  <c r="BH234" i="2" s="1"/>
  <c r="JG233" i="11"/>
  <c r="BI234" i="2" s="1"/>
  <c r="JH233" i="11"/>
  <c r="BJ234" i="2" s="1"/>
  <c r="JF234" i="11"/>
  <c r="BH235" i="2" s="1"/>
  <c r="JG234" i="11"/>
  <c r="BI235" i="2" s="1"/>
  <c r="JH234" i="11"/>
  <c r="BJ235" i="2" s="1"/>
  <c r="JF235" i="11"/>
  <c r="BH236" i="2" s="1"/>
  <c r="JG235" i="11"/>
  <c r="BI236" i="2" s="1"/>
  <c r="JH235" i="11"/>
  <c r="BJ236" i="2" s="1"/>
  <c r="JF236" i="11"/>
  <c r="BH237" i="2" s="1"/>
  <c r="JG236" i="11"/>
  <c r="BI237" i="2" s="1"/>
  <c r="JH236" i="11"/>
  <c r="BJ237" i="2" s="1"/>
  <c r="JF237" i="11"/>
  <c r="BH238" i="2" s="1"/>
  <c r="JG237" i="11"/>
  <c r="BI238" i="2" s="1"/>
  <c r="JH237" i="11"/>
  <c r="BJ238" i="2" s="1"/>
  <c r="JF238" i="11"/>
  <c r="BH239" i="2" s="1"/>
  <c r="JG238" i="11"/>
  <c r="BI239" i="2" s="1"/>
  <c r="JH238" i="11"/>
  <c r="BJ239" i="2" s="1"/>
  <c r="JF239" i="11"/>
  <c r="BH240" i="2" s="1"/>
  <c r="JG239" i="11"/>
  <c r="BI240" i="2" s="1"/>
  <c r="JH239" i="11"/>
  <c r="BJ240" i="2" s="1"/>
  <c r="JF240" i="11"/>
  <c r="BH241" i="2" s="1"/>
  <c r="JG240" i="11"/>
  <c r="BI241" i="2" s="1"/>
  <c r="JH240" i="11"/>
  <c r="BJ241" i="2" s="1"/>
  <c r="JF241" i="11"/>
  <c r="BH242" i="2" s="1"/>
  <c r="JG241" i="11"/>
  <c r="BI242" i="2" s="1"/>
  <c r="JH241" i="11"/>
  <c r="BJ242" i="2" s="1"/>
  <c r="JF242" i="11"/>
  <c r="BH243" i="2" s="1"/>
  <c r="JG242" i="11"/>
  <c r="BI243" i="2" s="1"/>
  <c r="JH242" i="11"/>
  <c r="BJ243" i="2" s="1"/>
  <c r="JF243" i="11"/>
  <c r="BH244" i="2" s="1"/>
  <c r="JG243" i="11"/>
  <c r="BI244" i="2" s="1"/>
  <c r="JH243" i="11"/>
  <c r="BJ244" i="2" s="1"/>
  <c r="JF244" i="11"/>
  <c r="BH245" i="2" s="1"/>
  <c r="JG244" i="11"/>
  <c r="BI245" i="2" s="1"/>
  <c r="JH244" i="11"/>
  <c r="BJ245" i="2" s="1"/>
  <c r="JF245" i="11"/>
  <c r="BH246" i="2" s="1"/>
  <c r="JG245" i="11"/>
  <c r="BI246" i="2" s="1"/>
  <c r="JH245" i="11"/>
  <c r="BJ246" i="2" s="1"/>
  <c r="JF246" i="11"/>
  <c r="BH247" i="2" s="1"/>
  <c r="JG246" i="11"/>
  <c r="BI247" i="2" s="1"/>
  <c r="JH246" i="11"/>
  <c r="BJ247" i="2" s="1"/>
  <c r="JF247" i="11"/>
  <c r="BH248" i="2" s="1"/>
  <c r="JG247" i="11"/>
  <c r="BI248" i="2" s="1"/>
  <c r="JH247" i="11"/>
  <c r="BJ248" i="2" s="1"/>
  <c r="JF248" i="11"/>
  <c r="BH249" i="2" s="1"/>
  <c r="AV13" i="5" s="1" a="1"/>
  <c r="AV13" i="5" s="1"/>
  <c r="JG248" i="11"/>
  <c r="BI249" i="2" s="1"/>
  <c r="AW13" i="5" s="1" a="1"/>
  <c r="AW13" i="5" s="1"/>
  <c r="JH248" i="11"/>
  <c r="BJ249" i="2" s="1"/>
  <c r="AX13" i="5" s="1" a="1"/>
  <c r="AX13" i="5" s="1"/>
  <c r="JF249" i="11"/>
  <c r="BH250" i="2" s="1"/>
  <c r="JG249" i="11"/>
  <c r="BI250" i="2" s="1"/>
  <c r="JH249" i="11"/>
  <c r="BJ250" i="2" s="1"/>
  <c r="JF250" i="11"/>
  <c r="BH251" i="2" s="1"/>
  <c r="JG250" i="11"/>
  <c r="BI251" i="2" s="1"/>
  <c r="JH250" i="11"/>
  <c r="BJ251" i="2" s="1"/>
  <c r="JF251" i="11"/>
  <c r="BH252" i="2" s="1"/>
  <c r="JG251" i="11"/>
  <c r="BI252" i="2" s="1"/>
  <c r="JH251" i="11"/>
  <c r="BJ252" i="2" s="1"/>
  <c r="JF252" i="11"/>
  <c r="BH253" i="2" s="1"/>
  <c r="JG252" i="11"/>
  <c r="BI253" i="2" s="1"/>
  <c r="JH252" i="11"/>
  <c r="BJ253" i="2" s="1"/>
  <c r="JF253" i="11"/>
  <c r="BH254" i="2" s="1"/>
  <c r="JG253" i="11"/>
  <c r="BI254" i="2" s="1"/>
  <c r="JH253" i="11"/>
  <c r="BJ254" i="2" s="1"/>
  <c r="JF254" i="11"/>
  <c r="BH255" i="2" s="1"/>
  <c r="JG254" i="11"/>
  <c r="BI255" i="2" s="1"/>
  <c r="JH254" i="11"/>
  <c r="BJ255" i="2" s="1"/>
  <c r="JF255" i="11"/>
  <c r="BH256" i="2" s="1"/>
  <c r="JG255" i="11"/>
  <c r="BI256" i="2" s="1"/>
  <c r="JH255" i="11"/>
  <c r="BJ256" i="2" s="1"/>
  <c r="JF256" i="11"/>
  <c r="BH257" i="2" s="1"/>
  <c r="JG256" i="11"/>
  <c r="BI257" i="2" s="1"/>
  <c r="JH256" i="11"/>
  <c r="BJ257" i="2" s="1"/>
  <c r="JF257" i="11"/>
  <c r="BH258" i="2" s="1"/>
  <c r="JG257" i="11"/>
  <c r="BI258" i="2" s="1"/>
  <c r="JH257" i="11"/>
  <c r="BJ258" i="2" s="1"/>
  <c r="JF258" i="11"/>
  <c r="BH259" i="2" s="1"/>
  <c r="JG258" i="11"/>
  <c r="BI259" i="2" s="1"/>
  <c r="JH258" i="11"/>
  <c r="BJ259" i="2" s="1"/>
  <c r="JF259" i="11"/>
  <c r="BH260" i="2" s="1"/>
  <c r="JG259" i="11"/>
  <c r="BI260" i="2" s="1"/>
  <c r="JH259" i="11"/>
  <c r="BJ260" i="2" s="1"/>
  <c r="JF260" i="11"/>
  <c r="BH261" i="2" s="1"/>
  <c r="JG260" i="11"/>
  <c r="BI261" i="2" s="1"/>
  <c r="JH260" i="11"/>
  <c r="BJ261" i="2" s="1"/>
  <c r="JF261" i="11"/>
  <c r="BH262" i="2" s="1"/>
  <c r="JG261" i="11"/>
  <c r="BI262" i="2" s="1"/>
  <c r="JH261" i="11"/>
  <c r="BJ262" i="2" s="1"/>
  <c r="JF262" i="11"/>
  <c r="BH263" i="2" s="1"/>
  <c r="JG262" i="11"/>
  <c r="BI263" i="2" s="1"/>
  <c r="JH262" i="11"/>
  <c r="BJ263" i="2" s="1"/>
  <c r="JF263" i="11"/>
  <c r="BH264" i="2" s="1"/>
  <c r="JG263" i="11"/>
  <c r="BI264" i="2" s="1"/>
  <c r="JH263" i="11"/>
  <c r="BJ264" i="2" s="1"/>
  <c r="JF264" i="11"/>
  <c r="BH265" i="2" s="1"/>
  <c r="JG264" i="11"/>
  <c r="BI265" i="2" s="1"/>
  <c r="JH264" i="11"/>
  <c r="BJ265" i="2" s="1"/>
  <c r="JF265" i="11"/>
  <c r="BH266" i="2" s="1"/>
  <c r="JG265" i="11"/>
  <c r="BI266" i="2" s="1"/>
  <c r="JH265" i="11"/>
  <c r="BJ266" i="2" s="1"/>
  <c r="JF266" i="11"/>
  <c r="BH267" i="2" s="1"/>
  <c r="JG266" i="11"/>
  <c r="BI267" i="2" s="1"/>
  <c r="JH266" i="11"/>
  <c r="BJ267" i="2" s="1"/>
  <c r="JF267" i="11"/>
  <c r="BH268" i="2" s="1"/>
  <c r="JG267" i="11"/>
  <c r="BI268" i="2" s="1"/>
  <c r="JH267" i="11"/>
  <c r="BJ268" i="2" s="1"/>
  <c r="JF268" i="11"/>
  <c r="BH269" i="2" s="1"/>
  <c r="JG268" i="11"/>
  <c r="BI269" i="2" s="1"/>
  <c r="JH268" i="11"/>
  <c r="BJ269" i="2" s="1"/>
  <c r="JF269" i="11"/>
  <c r="BH270" i="2" s="1"/>
  <c r="JG269" i="11"/>
  <c r="BI270" i="2" s="1"/>
  <c r="JH269" i="11"/>
  <c r="BJ270" i="2" s="1"/>
  <c r="JF270" i="11"/>
  <c r="BH271" i="2" s="1"/>
  <c r="JG270" i="11"/>
  <c r="BI271" i="2" s="1"/>
  <c r="JH270" i="11"/>
  <c r="BJ271" i="2" s="1"/>
  <c r="JF271" i="11"/>
  <c r="BH272" i="2" s="1"/>
  <c r="JG271" i="11"/>
  <c r="BI272" i="2" s="1"/>
  <c r="JH271" i="11"/>
  <c r="BJ272" i="2" s="1"/>
  <c r="JF272" i="11"/>
  <c r="BH273" i="2" s="1"/>
  <c r="JG272" i="11"/>
  <c r="BI273" i="2" s="1"/>
  <c r="JH272" i="11"/>
  <c r="BJ273" i="2" s="1"/>
  <c r="JF273" i="11"/>
  <c r="BH274" i="2" s="1"/>
  <c r="JG273" i="11"/>
  <c r="BI274" i="2" s="1"/>
  <c r="JH273" i="11"/>
  <c r="BJ274" i="2" s="1"/>
  <c r="JF274" i="11"/>
  <c r="BH275" i="2" s="1"/>
  <c r="JG274" i="11"/>
  <c r="BI275" i="2" s="1"/>
  <c r="JH274" i="11"/>
  <c r="BJ275" i="2" s="1"/>
  <c r="JF275" i="11"/>
  <c r="BH276" i="2" s="1"/>
  <c r="JG275" i="11"/>
  <c r="BI276" i="2" s="1"/>
  <c r="JH275" i="11"/>
  <c r="BJ276" i="2" s="1"/>
  <c r="JF276" i="11"/>
  <c r="BH277" i="2" s="1"/>
  <c r="JG276" i="11"/>
  <c r="BI277" i="2" s="1"/>
  <c r="JH276" i="11"/>
  <c r="BJ277" i="2" s="1"/>
  <c r="JF277" i="11"/>
  <c r="BH278" i="2" s="1"/>
  <c r="JG277" i="11"/>
  <c r="BI278" i="2" s="1"/>
  <c r="JH277" i="11"/>
  <c r="BJ278" i="2" s="1"/>
  <c r="JF278" i="11"/>
  <c r="BH279" i="2" s="1"/>
  <c r="AV14" i="5" s="1" a="1"/>
  <c r="AV14" i="5" s="1"/>
  <c r="JG278" i="11"/>
  <c r="BI279" i="2" s="1"/>
  <c r="AW14" i="5" s="1" a="1"/>
  <c r="AW14" i="5" s="1"/>
  <c r="JH278" i="11"/>
  <c r="BJ279" i="2" s="1"/>
  <c r="AX14" i="5" s="1" a="1"/>
  <c r="AX14" i="5" s="1"/>
  <c r="JF279" i="11"/>
  <c r="BH280" i="2" s="1"/>
  <c r="JG279" i="11"/>
  <c r="BI280" i="2" s="1"/>
  <c r="JH279" i="11"/>
  <c r="BJ280" i="2" s="1"/>
  <c r="JF280" i="11"/>
  <c r="BH281" i="2" s="1"/>
  <c r="JG280" i="11"/>
  <c r="BI281" i="2" s="1"/>
  <c r="JH280" i="11"/>
  <c r="BJ281" i="2" s="1"/>
  <c r="JF281" i="11"/>
  <c r="BH282" i="2" s="1"/>
  <c r="JG281" i="11"/>
  <c r="BI282" i="2" s="1"/>
  <c r="JH281" i="11"/>
  <c r="BJ282" i="2" s="1"/>
  <c r="JF282" i="11"/>
  <c r="BH283" i="2" s="1"/>
  <c r="JG282" i="11"/>
  <c r="BI283" i="2" s="1"/>
  <c r="JH282" i="11"/>
  <c r="BJ283" i="2" s="1"/>
  <c r="JF283" i="11"/>
  <c r="BH284" i="2" s="1"/>
  <c r="JG283" i="11"/>
  <c r="BI284" i="2" s="1"/>
  <c r="JH283" i="11"/>
  <c r="BJ284" i="2" s="1"/>
  <c r="JF284" i="11"/>
  <c r="BH285" i="2" s="1"/>
  <c r="JG284" i="11"/>
  <c r="BI285" i="2" s="1"/>
  <c r="JH284" i="11"/>
  <c r="BJ285" i="2" s="1"/>
  <c r="JF285" i="11"/>
  <c r="BH286" i="2" s="1"/>
  <c r="JG285" i="11"/>
  <c r="BI286" i="2" s="1"/>
  <c r="JH285" i="11"/>
  <c r="BJ286" i="2" s="1"/>
  <c r="JF286" i="11"/>
  <c r="BH287" i="2" s="1"/>
  <c r="JG286" i="11"/>
  <c r="BI287" i="2" s="1"/>
  <c r="JH286" i="11"/>
  <c r="BJ287" i="2" s="1"/>
  <c r="JF287" i="11"/>
  <c r="BH288" i="2" s="1"/>
  <c r="JG287" i="11"/>
  <c r="BI288" i="2" s="1"/>
  <c r="JH287" i="11"/>
  <c r="BJ288" i="2" s="1"/>
  <c r="JF288" i="11"/>
  <c r="BH289" i="2" s="1"/>
  <c r="JG288" i="11"/>
  <c r="BI289" i="2" s="1"/>
  <c r="JH288" i="11"/>
  <c r="BJ289" i="2" s="1"/>
  <c r="JF289" i="11"/>
  <c r="BH290" i="2" s="1"/>
  <c r="JG289" i="11"/>
  <c r="BI290" i="2" s="1"/>
  <c r="JH289" i="11"/>
  <c r="BJ290" i="2" s="1"/>
  <c r="JF290" i="11"/>
  <c r="BH291" i="2" s="1"/>
  <c r="JG290" i="11"/>
  <c r="BI291" i="2" s="1"/>
  <c r="JH290" i="11"/>
  <c r="BJ291" i="2" s="1"/>
  <c r="JF291" i="11"/>
  <c r="BH292" i="2" s="1"/>
  <c r="JG291" i="11"/>
  <c r="BI292" i="2" s="1"/>
  <c r="JH291" i="11"/>
  <c r="BJ292" i="2" s="1"/>
  <c r="JF292" i="11"/>
  <c r="BH293" i="2" s="1"/>
  <c r="JG292" i="11"/>
  <c r="BI293" i="2" s="1"/>
  <c r="JH292" i="11"/>
  <c r="BJ293" i="2" s="1"/>
  <c r="JF293" i="11"/>
  <c r="BH294" i="2" s="1"/>
  <c r="JG293" i="11"/>
  <c r="BI294" i="2" s="1"/>
  <c r="JH293" i="11"/>
  <c r="BJ294" i="2" s="1"/>
  <c r="JF294" i="11"/>
  <c r="BH295" i="2" s="1"/>
  <c r="JG294" i="11"/>
  <c r="BI295" i="2" s="1"/>
  <c r="JH294" i="11"/>
  <c r="BJ295" i="2" s="1"/>
  <c r="JF295" i="11"/>
  <c r="BH296" i="2" s="1"/>
  <c r="JG295" i="11"/>
  <c r="BI296" i="2" s="1"/>
  <c r="JH295" i="11"/>
  <c r="BJ296" i="2" s="1"/>
  <c r="JF296" i="11"/>
  <c r="BH297" i="2" s="1"/>
  <c r="JG296" i="11"/>
  <c r="BI297" i="2" s="1"/>
  <c r="JH296" i="11"/>
  <c r="BJ297" i="2" s="1"/>
  <c r="JF297" i="11"/>
  <c r="BH298" i="2" s="1"/>
  <c r="JG297" i="11"/>
  <c r="BI298" i="2" s="1"/>
  <c r="JH297" i="11"/>
  <c r="BJ298" i="2" s="1"/>
  <c r="JF298" i="11"/>
  <c r="BH299" i="2" s="1"/>
  <c r="JG298" i="11"/>
  <c r="BI299" i="2" s="1"/>
  <c r="JH298" i="11"/>
  <c r="BJ299" i="2" s="1"/>
  <c r="JF299" i="11"/>
  <c r="BH300" i="2" s="1"/>
  <c r="JG299" i="11"/>
  <c r="BI300" i="2" s="1"/>
  <c r="JH299" i="11"/>
  <c r="BJ300" i="2" s="1"/>
  <c r="JF300" i="11"/>
  <c r="BH301" i="2" s="1"/>
  <c r="JG300" i="11"/>
  <c r="BI301" i="2" s="1"/>
  <c r="JH300" i="11"/>
  <c r="BJ301" i="2" s="1"/>
  <c r="JF301" i="11"/>
  <c r="BH302" i="2" s="1"/>
  <c r="JG301" i="11"/>
  <c r="BI302" i="2" s="1"/>
  <c r="JH301" i="11"/>
  <c r="BJ302" i="2" s="1"/>
  <c r="JF302" i="11"/>
  <c r="BH303" i="2" s="1"/>
  <c r="JG302" i="11"/>
  <c r="BI303" i="2" s="1"/>
  <c r="JH302" i="11"/>
  <c r="BJ303" i="2" s="1"/>
  <c r="JF303" i="11"/>
  <c r="BH304" i="2" s="1"/>
  <c r="JG303" i="11"/>
  <c r="BI304" i="2" s="1"/>
  <c r="JH303" i="11"/>
  <c r="BJ304" i="2" s="1"/>
  <c r="JF304" i="11"/>
  <c r="BH305" i="2" s="1"/>
  <c r="JG304" i="11"/>
  <c r="BI305" i="2" s="1"/>
  <c r="JH304" i="11"/>
  <c r="BJ305" i="2" s="1"/>
  <c r="JF305" i="11"/>
  <c r="BH306" i="2" s="1"/>
  <c r="JG305" i="11"/>
  <c r="BI306" i="2" s="1"/>
  <c r="JH305" i="11"/>
  <c r="BJ306" i="2" s="1"/>
  <c r="JF306" i="11"/>
  <c r="BH307" i="2" s="1"/>
  <c r="JG306" i="11"/>
  <c r="BI307" i="2" s="1"/>
  <c r="JH306" i="11"/>
  <c r="BJ307" i="2" s="1"/>
  <c r="JF307" i="11"/>
  <c r="BH308" i="2" s="1"/>
  <c r="JG307" i="11"/>
  <c r="BI308" i="2" s="1"/>
  <c r="JH307" i="11"/>
  <c r="BJ308" i="2" s="1"/>
  <c r="JF308" i="11"/>
  <c r="BH309" i="2" s="1"/>
  <c r="JG308" i="11"/>
  <c r="BI309" i="2" s="1"/>
  <c r="JH308" i="11"/>
  <c r="BJ309" i="2" s="1"/>
  <c r="JF309" i="11"/>
  <c r="BH310" i="2" s="1"/>
  <c r="AV15" i="5" s="1" a="1"/>
  <c r="AV15" i="5" s="1"/>
  <c r="JG309" i="11"/>
  <c r="BI310" i="2" s="1"/>
  <c r="AW15" i="5" s="1" a="1"/>
  <c r="AW15" i="5" s="1"/>
  <c r="JH309" i="11"/>
  <c r="BJ310" i="2" s="1"/>
  <c r="AX15" i="5" s="1" a="1"/>
  <c r="AX15" i="5" s="1"/>
  <c r="JF310" i="11"/>
  <c r="BH311" i="2" s="1"/>
  <c r="JG310" i="11"/>
  <c r="BI311" i="2" s="1"/>
  <c r="JH310" i="11"/>
  <c r="BJ311" i="2" s="1"/>
  <c r="JF311" i="11"/>
  <c r="BH312" i="2" s="1"/>
  <c r="JG311" i="11"/>
  <c r="BI312" i="2" s="1"/>
  <c r="JH311" i="11"/>
  <c r="BJ312" i="2" s="1"/>
  <c r="JF312" i="11"/>
  <c r="BH313" i="2" s="1"/>
  <c r="JG312" i="11"/>
  <c r="BI313" i="2" s="1"/>
  <c r="JH312" i="11"/>
  <c r="BJ313" i="2" s="1"/>
  <c r="JF313" i="11"/>
  <c r="BH314" i="2" s="1"/>
  <c r="JG313" i="11"/>
  <c r="BI314" i="2" s="1"/>
  <c r="JH313" i="11"/>
  <c r="BJ314" i="2" s="1"/>
  <c r="JF314" i="11"/>
  <c r="BH315" i="2" s="1"/>
  <c r="JG314" i="11"/>
  <c r="BI315" i="2" s="1"/>
  <c r="JH314" i="11"/>
  <c r="BJ315" i="2" s="1"/>
  <c r="JF315" i="11"/>
  <c r="BH316" i="2" s="1"/>
  <c r="JG315" i="11"/>
  <c r="BI316" i="2" s="1"/>
  <c r="JH315" i="11"/>
  <c r="BJ316" i="2" s="1"/>
  <c r="JF316" i="11"/>
  <c r="BH317" i="2" s="1"/>
  <c r="JG316" i="11"/>
  <c r="BI317" i="2" s="1"/>
  <c r="JH316" i="11"/>
  <c r="BJ317" i="2" s="1"/>
  <c r="JF317" i="11"/>
  <c r="BH318" i="2" s="1"/>
  <c r="JG317" i="11"/>
  <c r="BI318" i="2" s="1"/>
  <c r="JH317" i="11"/>
  <c r="BJ318" i="2" s="1"/>
  <c r="JF318" i="11"/>
  <c r="BH319" i="2" s="1"/>
  <c r="JG318" i="11"/>
  <c r="BI319" i="2" s="1"/>
  <c r="JH318" i="11"/>
  <c r="BJ319" i="2" s="1"/>
  <c r="JF319" i="11"/>
  <c r="BH320" i="2" s="1"/>
  <c r="JG319" i="11"/>
  <c r="BI320" i="2" s="1"/>
  <c r="JH319" i="11"/>
  <c r="BJ320" i="2" s="1"/>
  <c r="JF320" i="11"/>
  <c r="BH321" i="2" s="1"/>
  <c r="JG320" i="11"/>
  <c r="BI321" i="2" s="1"/>
  <c r="JH320" i="11"/>
  <c r="BJ321" i="2" s="1"/>
  <c r="JF321" i="11"/>
  <c r="BH322" i="2" s="1"/>
  <c r="JG321" i="11"/>
  <c r="BI322" i="2" s="1"/>
  <c r="JH321" i="11"/>
  <c r="BJ322" i="2" s="1"/>
  <c r="JF322" i="11"/>
  <c r="BH323" i="2" s="1"/>
  <c r="JG322" i="11"/>
  <c r="BI323" i="2" s="1"/>
  <c r="JH322" i="11"/>
  <c r="BJ323" i="2" s="1"/>
  <c r="JF323" i="11"/>
  <c r="BH324" i="2" s="1"/>
  <c r="JG323" i="11"/>
  <c r="BI324" i="2" s="1"/>
  <c r="JH323" i="11"/>
  <c r="BJ324" i="2" s="1"/>
  <c r="JF324" i="11"/>
  <c r="BH325" i="2" s="1"/>
  <c r="JG324" i="11"/>
  <c r="BI325" i="2" s="1"/>
  <c r="JH324" i="11"/>
  <c r="BJ325" i="2" s="1"/>
  <c r="JF325" i="11"/>
  <c r="BH326" i="2" s="1"/>
  <c r="JG325" i="11"/>
  <c r="BI326" i="2" s="1"/>
  <c r="JH325" i="11"/>
  <c r="BJ326" i="2" s="1"/>
  <c r="JF326" i="11"/>
  <c r="BH327" i="2" s="1"/>
  <c r="JG326" i="11"/>
  <c r="BI327" i="2" s="1"/>
  <c r="JH326" i="11"/>
  <c r="BJ327" i="2" s="1"/>
  <c r="JF327" i="11"/>
  <c r="BH328" i="2" s="1"/>
  <c r="JG327" i="11"/>
  <c r="BI328" i="2" s="1"/>
  <c r="JH327" i="11"/>
  <c r="BJ328" i="2" s="1"/>
  <c r="JF328" i="11"/>
  <c r="BH329" i="2" s="1"/>
  <c r="JG328" i="11"/>
  <c r="BI329" i="2" s="1"/>
  <c r="JH328" i="11"/>
  <c r="BJ329" i="2" s="1"/>
  <c r="JF329" i="11"/>
  <c r="BH330" i="2" s="1"/>
  <c r="JG329" i="11"/>
  <c r="BI330" i="2" s="1"/>
  <c r="JH329" i="11"/>
  <c r="BJ330" i="2" s="1"/>
  <c r="JF330" i="11"/>
  <c r="BH331" i="2" s="1"/>
  <c r="JG330" i="11"/>
  <c r="BI331" i="2" s="1"/>
  <c r="JH330" i="11"/>
  <c r="BJ331" i="2" s="1"/>
  <c r="JF331" i="11"/>
  <c r="BH332" i="2" s="1"/>
  <c r="JG331" i="11"/>
  <c r="BI332" i="2" s="1"/>
  <c r="JH331" i="11"/>
  <c r="BJ332" i="2" s="1"/>
  <c r="JF332" i="11"/>
  <c r="BH333" i="2" s="1"/>
  <c r="JG332" i="11"/>
  <c r="BI333" i="2" s="1"/>
  <c r="JH332" i="11"/>
  <c r="BJ333" i="2" s="1"/>
  <c r="JF333" i="11"/>
  <c r="BH334" i="2" s="1"/>
  <c r="JG333" i="11"/>
  <c r="BI334" i="2" s="1"/>
  <c r="JH333" i="11"/>
  <c r="BJ334" i="2" s="1"/>
  <c r="JF334" i="11"/>
  <c r="BH335" i="2" s="1"/>
  <c r="JG334" i="11"/>
  <c r="BI335" i="2" s="1"/>
  <c r="JH334" i="11"/>
  <c r="BJ335" i="2" s="1"/>
  <c r="JF335" i="11"/>
  <c r="BH336" i="2" s="1"/>
  <c r="JG335" i="11"/>
  <c r="BI336" i="2" s="1"/>
  <c r="JH335" i="11"/>
  <c r="BJ336" i="2" s="1"/>
  <c r="JF336" i="11"/>
  <c r="BH337" i="2" s="1"/>
  <c r="JG336" i="11"/>
  <c r="BI337" i="2" s="1"/>
  <c r="JH336" i="11"/>
  <c r="BJ337" i="2" s="1"/>
  <c r="JF337" i="11"/>
  <c r="BH338" i="2" s="1"/>
  <c r="JG337" i="11"/>
  <c r="BI338" i="2" s="1"/>
  <c r="JH337" i="11"/>
  <c r="BJ338" i="2" s="1"/>
  <c r="JF338" i="11"/>
  <c r="BH339" i="2" s="1"/>
  <c r="JG338" i="11"/>
  <c r="BI339" i="2" s="1"/>
  <c r="JH338" i="11"/>
  <c r="BJ339" i="2" s="1"/>
  <c r="JF339" i="11"/>
  <c r="BH340" i="2" s="1"/>
  <c r="JG339" i="11"/>
  <c r="BI340" i="2" s="1"/>
  <c r="JH339" i="11"/>
  <c r="BJ340" i="2" s="1"/>
  <c r="JF340" i="11"/>
  <c r="BH341" i="2" s="1"/>
  <c r="JG340" i="11"/>
  <c r="BI341" i="2" s="1"/>
  <c r="JH340" i="11"/>
  <c r="BJ341" i="2" s="1"/>
  <c r="JF341" i="11"/>
  <c r="BH342" i="2" s="1"/>
  <c r="JG341" i="11"/>
  <c r="BI342" i="2" s="1"/>
  <c r="JH341" i="11"/>
  <c r="BJ342" i="2" s="1"/>
  <c r="JF342" i="11"/>
  <c r="BH343" i="2" s="1"/>
  <c r="JG342" i="11"/>
  <c r="BI343" i="2" s="1"/>
  <c r="JH342" i="11"/>
  <c r="BJ343" i="2" s="1"/>
  <c r="JF343" i="11"/>
  <c r="BH344" i="2" s="1"/>
  <c r="JG343" i="11"/>
  <c r="BI344" i="2" s="1"/>
  <c r="JH343" i="11"/>
  <c r="BJ344" i="2" s="1"/>
  <c r="JF344" i="11"/>
  <c r="BH345" i="2" s="1"/>
  <c r="JG344" i="11"/>
  <c r="BI345" i="2" s="1"/>
  <c r="JH344" i="11"/>
  <c r="BJ345" i="2" s="1"/>
  <c r="JF345" i="11"/>
  <c r="BH346" i="2" s="1"/>
  <c r="JG345" i="11"/>
  <c r="BI346" i="2" s="1"/>
  <c r="JH345" i="11"/>
  <c r="BJ346" i="2" s="1"/>
  <c r="JF346" i="11"/>
  <c r="BH347" i="2" s="1"/>
  <c r="JG346" i="11"/>
  <c r="BI347" i="2" s="1"/>
  <c r="JH346" i="11"/>
  <c r="BJ347" i="2" s="1"/>
  <c r="JF347" i="11"/>
  <c r="BH348" i="2" s="1"/>
  <c r="JG347" i="11"/>
  <c r="BI348" i="2" s="1"/>
  <c r="JH347" i="11"/>
  <c r="BJ348" i="2" s="1"/>
  <c r="JF348" i="11"/>
  <c r="BH349" i="2" s="1"/>
  <c r="JG348" i="11"/>
  <c r="BI349" i="2" s="1"/>
  <c r="JH348" i="11"/>
  <c r="BJ349" i="2" s="1"/>
  <c r="JF349" i="11"/>
  <c r="BH350" i="2" s="1"/>
  <c r="JG349" i="11"/>
  <c r="BI350" i="2" s="1"/>
  <c r="JH349" i="11"/>
  <c r="BJ350" i="2" s="1"/>
  <c r="JF350" i="11"/>
  <c r="BH351" i="2" s="1"/>
  <c r="JG350" i="11"/>
  <c r="BI351" i="2" s="1"/>
  <c r="JH350" i="11"/>
  <c r="BJ351" i="2" s="1"/>
  <c r="JF351" i="11"/>
  <c r="BH352" i="2" s="1"/>
  <c r="JG351" i="11"/>
  <c r="BI352" i="2" s="1"/>
  <c r="JH351" i="11"/>
  <c r="BJ352" i="2" s="1"/>
  <c r="JF352" i="11"/>
  <c r="BH353" i="2" s="1"/>
  <c r="JG352" i="11"/>
  <c r="BI353" i="2" s="1"/>
  <c r="JH352" i="11"/>
  <c r="BJ353" i="2" s="1"/>
  <c r="JF353" i="11"/>
  <c r="BH354" i="2" s="1"/>
  <c r="JG353" i="11"/>
  <c r="BI354" i="2" s="1"/>
  <c r="JH353" i="11"/>
  <c r="BJ354" i="2" s="1"/>
  <c r="JF354" i="11"/>
  <c r="BH355" i="2" s="1"/>
  <c r="JG354" i="11"/>
  <c r="BI355" i="2" s="1"/>
  <c r="JH354" i="11"/>
  <c r="BJ355" i="2" s="1"/>
  <c r="JF355" i="11"/>
  <c r="BH356" i="2" s="1"/>
  <c r="JG355" i="11"/>
  <c r="BI356" i="2" s="1"/>
  <c r="JH355" i="11"/>
  <c r="BJ356" i="2" s="1"/>
  <c r="JF356" i="11"/>
  <c r="BH357" i="2" s="1"/>
  <c r="JG356" i="11"/>
  <c r="BI357" i="2" s="1"/>
  <c r="JH356" i="11"/>
  <c r="BJ357" i="2" s="1"/>
  <c r="JF357" i="11"/>
  <c r="BH358" i="2" s="1"/>
  <c r="JG357" i="11"/>
  <c r="BI358" i="2" s="1"/>
  <c r="JH357" i="11"/>
  <c r="BJ358" i="2" s="1"/>
  <c r="JF358" i="11"/>
  <c r="BH359" i="2" s="1"/>
  <c r="JG358" i="11"/>
  <c r="BI359" i="2" s="1"/>
  <c r="JH358" i="11"/>
  <c r="BJ359" i="2" s="1"/>
  <c r="JF359" i="11"/>
  <c r="BH360" i="2" s="1"/>
  <c r="JG359" i="11"/>
  <c r="BI360" i="2" s="1"/>
  <c r="JH359" i="11"/>
  <c r="BJ360" i="2" s="1"/>
  <c r="JF360" i="11"/>
  <c r="BH361" i="2" s="1"/>
  <c r="JG360" i="11"/>
  <c r="BI361" i="2" s="1"/>
  <c r="JH360" i="11"/>
  <c r="BJ361" i="2" s="1"/>
  <c r="JF361" i="11"/>
  <c r="BH362" i="2" s="1"/>
  <c r="JG361" i="11"/>
  <c r="BI362" i="2" s="1"/>
  <c r="JH361" i="11"/>
  <c r="BJ362" i="2" s="1"/>
  <c r="JF362" i="11"/>
  <c r="BH363" i="2" s="1"/>
  <c r="JG362" i="11"/>
  <c r="BI363" i="2" s="1"/>
  <c r="JH362" i="11"/>
  <c r="BJ363" i="2" s="1"/>
  <c r="JF363" i="11"/>
  <c r="BH364" i="2" s="1"/>
  <c r="JG363" i="11"/>
  <c r="BI364" i="2" s="1"/>
  <c r="JH363" i="11"/>
  <c r="BJ364" i="2" s="1"/>
  <c r="JF364" i="11"/>
  <c r="BH365" i="2" s="1"/>
  <c r="JG364" i="11"/>
  <c r="BI365" i="2" s="1"/>
  <c r="JH364" i="11"/>
  <c r="BJ365" i="2" s="1"/>
  <c r="JF365" i="11"/>
  <c r="BH366" i="2" s="1"/>
  <c r="JG365" i="11"/>
  <c r="BI366" i="2" s="1"/>
  <c r="JH365" i="11"/>
  <c r="BJ366" i="2" s="1"/>
  <c r="JF366" i="11"/>
  <c r="BH367" i="2" s="1"/>
  <c r="JG366" i="11"/>
  <c r="BI367" i="2" s="1"/>
  <c r="JH366" i="11"/>
  <c r="BJ367" i="2" s="1"/>
  <c r="JF367" i="11"/>
  <c r="BH368" i="2" s="1"/>
  <c r="JG367" i="11"/>
  <c r="BI368" i="2" s="1"/>
  <c r="JH367" i="11"/>
  <c r="BJ368" i="2" s="1"/>
  <c r="JF368" i="11"/>
  <c r="BH369" i="2" s="1"/>
  <c r="JG368" i="11"/>
  <c r="BI369" i="2" s="1"/>
  <c r="JH368" i="11"/>
  <c r="BJ369" i="2" s="1"/>
  <c r="JF369" i="11"/>
  <c r="BH370" i="2" s="1"/>
  <c r="JG369" i="11"/>
  <c r="BI370" i="2" s="1"/>
  <c r="JH369" i="11"/>
  <c r="BJ370" i="2" s="1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58" i="2"/>
  <c r="AO57" i="2"/>
  <c r="AH57" i="2" s="1"/>
  <c r="BF12" i="5" l="1" a="1"/>
  <c r="BF12" i="5" s="1"/>
  <c r="BE12" i="5" a="1"/>
  <c r="BE12" i="5" s="1"/>
  <c r="BD12" i="5" a="1"/>
  <c r="BD12" i="5" s="1"/>
  <c r="AY11" i="5" a="1"/>
  <c r="AY11" i="5" s="1"/>
  <c r="BC12" i="5" a="1"/>
  <c r="BC12" i="5" s="1"/>
  <c r="BB12" i="5" a="1"/>
  <c r="BB12" i="5" s="1"/>
  <c r="BJ8" i="5" a="1"/>
  <c r="BJ8" i="5" s="1"/>
  <c r="BA12" i="5" a="1"/>
  <c r="BA12" i="5" s="1"/>
  <c r="BQ11" i="5" a="1"/>
  <c r="BQ11" i="5" s="1"/>
  <c r="BJ9" i="5" a="1"/>
  <c r="BJ9" i="5" s="1"/>
  <c r="BP11" i="5" a="1"/>
  <c r="BP11" i="5" s="1"/>
  <c r="AY12" i="5" a="1"/>
  <c r="AY12" i="5" s="1"/>
  <c r="BM10" i="5" a="1"/>
  <c r="BM10" i="5" s="1"/>
  <c r="AZ12" i="5" a="1"/>
  <c r="AZ12" i="5" s="1"/>
  <c r="BQ12" i="5" a="1"/>
  <c r="BQ12" i="5" s="1"/>
  <c r="BP12" i="5" a="1"/>
  <c r="BP12" i="5" s="1"/>
  <c r="BK11" i="5" a="1"/>
  <c r="BK11" i="5" s="1"/>
  <c r="BO12" i="5" a="1"/>
  <c r="BO12" i="5" s="1"/>
  <c r="BN12" i="5" a="1"/>
  <c r="BN12" i="5" s="1"/>
  <c r="BG10" i="5" a="1"/>
  <c r="BG10" i="5" s="1"/>
  <c r="BH11" i="5" a="1"/>
  <c r="BH11" i="5" s="1"/>
  <c r="BF10" i="5" a="1"/>
  <c r="BF10" i="5" s="1"/>
  <c r="BL12" i="5" a="1"/>
  <c r="BL12" i="5" s="1"/>
  <c r="BG11" i="5" a="1"/>
  <c r="BG11" i="5" s="1"/>
  <c r="BK12" i="5" a="1"/>
  <c r="BK12" i="5" s="1"/>
  <c r="BF11" i="5" a="1"/>
  <c r="BF11" i="5" s="1"/>
  <c r="BJ12" i="5" a="1"/>
  <c r="BJ12" i="5" s="1"/>
  <c r="BE11" i="5" a="1"/>
  <c r="BE11" i="5" s="1"/>
  <c r="BD11" i="5" a="1"/>
  <c r="BD11" i="5" s="1"/>
  <c r="BB10" i="5" a="1"/>
  <c r="BB10" i="5" s="1"/>
  <c r="BH12" i="5" a="1"/>
  <c r="BH12" i="5" s="1"/>
  <c r="BC11" i="5" a="1"/>
  <c r="BC11" i="5" s="1"/>
  <c r="BH16" i="5" a="1"/>
  <c r="BH16" i="5" s="1"/>
  <c r="BE16" i="5" a="1"/>
  <c r="BE16" i="5" s="1"/>
  <c r="BC15" i="5" a="1"/>
  <c r="BC15" i="5" s="1"/>
  <c r="BA9" i="5" a="1"/>
  <c r="BA9" i="5" s="1"/>
  <c r="AY8" i="5" a="1"/>
  <c r="AY8" i="5" s="1"/>
  <c r="BC6" i="5" a="1"/>
  <c r="BC6" i="5" s="1"/>
  <c r="BC17" i="5" s="1"/>
  <c r="BB15" i="5" a="1"/>
  <c r="BB15" i="5" s="1"/>
  <c r="BQ13" i="5" a="1"/>
  <c r="BQ13" i="5" s="1"/>
  <c r="BE10" i="5" a="1"/>
  <c r="BE10" i="5" s="1"/>
  <c r="AZ9" i="5" a="1"/>
  <c r="AZ9" i="5" s="1"/>
  <c r="BB6" i="5" a="1"/>
  <c r="BB6" i="5" s="1"/>
  <c r="BB17" i="5" s="1"/>
  <c r="BG16" i="5" a="1"/>
  <c r="BG16" i="5" s="1"/>
  <c r="BA15" i="5" a="1"/>
  <c r="BA15" i="5" s="1"/>
  <c r="BP13" i="5" a="1"/>
  <c r="BP13" i="5" s="1"/>
  <c r="BD10" i="5" a="1"/>
  <c r="BD10" i="5" s="1"/>
  <c r="AY9" i="5" a="1"/>
  <c r="AY9" i="5" s="1"/>
  <c r="BA6" i="5" a="1"/>
  <c r="BA6" i="5" s="1"/>
  <c r="BA17" i="5" s="1"/>
  <c r="BC16" i="5" a="1"/>
  <c r="BC16" i="5" s="1"/>
  <c r="AZ15" i="5" a="1"/>
  <c r="AZ15" i="5" s="1"/>
  <c r="BQ14" i="5" a="1"/>
  <c r="BQ14" i="5" s="1"/>
  <c r="BO13" i="5" a="1"/>
  <c r="BO13" i="5" s="1"/>
  <c r="BC10" i="5" a="1"/>
  <c r="BC10" i="5" s="1"/>
  <c r="AZ6" i="5" a="1"/>
  <c r="AZ6" i="5" s="1"/>
  <c r="AZ17" i="5" s="1"/>
  <c r="BD16" i="5" a="1"/>
  <c r="BD16" i="5" s="1"/>
  <c r="BA16" i="5" a="1"/>
  <c r="BA16" i="5" s="1"/>
  <c r="AY15" i="5" a="1"/>
  <c r="AY15" i="5" s="1"/>
  <c r="BP14" i="5" a="1"/>
  <c r="BP14" i="5" s="1"/>
  <c r="BN13" i="5" a="1"/>
  <c r="BN13" i="5" s="1"/>
  <c r="BQ8" i="5" a="1"/>
  <c r="BQ8" i="5" s="1"/>
  <c r="AY6" i="5" a="1"/>
  <c r="AY6" i="5" s="1"/>
  <c r="AY17" i="5" s="1"/>
  <c r="BB16" i="5" a="1"/>
  <c r="BB16" i="5" s="1"/>
  <c r="AX16" i="5" a="1"/>
  <c r="AX16" i="5" s="1"/>
  <c r="AZ16" i="5" a="1"/>
  <c r="AZ16" i="5" s="1"/>
  <c r="BO14" i="5" a="1"/>
  <c r="BO14" i="5" s="1"/>
  <c r="BM13" i="5" a="1"/>
  <c r="BM13" i="5" s="1"/>
  <c r="BA10" i="5" a="1"/>
  <c r="BA10" i="5" s="1"/>
  <c r="BP8" i="5" a="1"/>
  <c r="BP8" i="5" s="1"/>
  <c r="AW11" i="5" a="1"/>
  <c r="AW11" i="5" s="1"/>
  <c r="AW16" i="5" a="1"/>
  <c r="AW16" i="5" s="1"/>
  <c r="AY16" i="5" a="1"/>
  <c r="AY16" i="5" s="1"/>
  <c r="BN14" i="5" a="1"/>
  <c r="BN14" i="5" s="1"/>
  <c r="BL13" i="5" a="1"/>
  <c r="BL13" i="5" s="1"/>
  <c r="AZ10" i="5" a="1"/>
  <c r="AZ10" i="5" s="1"/>
  <c r="BO8" i="5" a="1"/>
  <c r="BO8" i="5" s="1"/>
  <c r="AX6" i="5" a="1"/>
  <c r="AX6" i="5" s="1"/>
  <c r="AX17" i="5" s="1"/>
  <c r="BM14" i="5" a="1"/>
  <c r="BM14" i="5" s="1"/>
  <c r="BK13" i="5" a="1"/>
  <c r="BK13" i="5" s="1"/>
  <c r="BA11" i="5" a="1"/>
  <c r="BA11" i="5" s="1"/>
  <c r="AY10" i="5" a="1"/>
  <c r="AY10" i="5" s="1"/>
  <c r="BP9" i="5" a="1"/>
  <c r="BP9" i="5" s="1"/>
  <c r="BN8" i="5" a="1"/>
  <c r="BN8" i="5" s="1"/>
  <c r="AW6" i="5" a="1"/>
  <c r="AW6" i="5" s="1"/>
  <c r="AW17" i="5" s="1"/>
  <c r="BQ15" i="5" a="1"/>
  <c r="BQ15" i="5" s="1"/>
  <c r="BL14" i="5" a="1"/>
  <c r="BL14" i="5" s="1"/>
  <c r="BJ13" i="5" a="1"/>
  <c r="BJ13" i="5" s="1"/>
  <c r="AZ11" i="5" a="1"/>
  <c r="AZ11" i="5" s="1"/>
  <c r="BO9" i="5" a="1"/>
  <c r="BO9" i="5" s="1"/>
  <c r="BM8" i="5" a="1"/>
  <c r="BM8" i="5" s="1"/>
  <c r="BQ6" i="5" a="1"/>
  <c r="BQ6" i="5" s="1"/>
  <c r="BQ17" i="5" s="1"/>
  <c r="AX9" i="5" a="1"/>
  <c r="AX9" i="5" s="1"/>
  <c r="AV6" i="5" a="1"/>
  <c r="AV6" i="5" s="1"/>
  <c r="AV17" i="5" s="1"/>
  <c r="BP15" i="5" a="1"/>
  <c r="BP15" i="5" s="1"/>
  <c r="BK14" i="5" a="1"/>
  <c r="BK14" i="5" s="1"/>
  <c r="BI13" i="5" a="1"/>
  <c r="BI13" i="5" s="1"/>
  <c r="BN9" i="5" a="1"/>
  <c r="BN9" i="5" s="1"/>
  <c r="BL8" i="5" a="1"/>
  <c r="BL8" i="5" s="1"/>
  <c r="BP6" i="5" a="1"/>
  <c r="BP6" i="5" s="1"/>
  <c r="BP17" i="5" s="1"/>
  <c r="AW9" i="5" a="1"/>
  <c r="AW9" i="5" s="1"/>
  <c r="BQ16" i="5" a="1"/>
  <c r="BQ16" i="5" s="1"/>
  <c r="BO15" i="5" a="1"/>
  <c r="BO15" i="5" s="1"/>
  <c r="BJ14" i="5" a="1"/>
  <c r="BJ14" i="5" s="1"/>
  <c r="BH13" i="5" a="1"/>
  <c r="BH13" i="5" s="1"/>
  <c r="BM9" i="5" a="1"/>
  <c r="BM9" i="5" s="1"/>
  <c r="BK8" i="5" a="1"/>
  <c r="BK8" i="5" s="1"/>
  <c r="BO6" i="5" a="1"/>
  <c r="BO6" i="5" s="1"/>
  <c r="BO17" i="5" s="1"/>
  <c r="BN15" i="5" a="1"/>
  <c r="BN15" i="5" s="1"/>
  <c r="BI14" i="5" a="1"/>
  <c r="BI14" i="5" s="1"/>
  <c r="BG13" i="5" a="1"/>
  <c r="BG13" i="5" s="1"/>
  <c r="BQ10" i="5" a="1"/>
  <c r="BQ10" i="5" s="1"/>
  <c r="BL9" i="5" a="1"/>
  <c r="BL9" i="5" s="1"/>
  <c r="BN6" i="5" a="1"/>
  <c r="BN6" i="5" s="1"/>
  <c r="BN17" i="5" s="1"/>
  <c r="AW8" i="5" a="1"/>
  <c r="AW8" i="5" s="1"/>
  <c r="BO16" i="5" a="1"/>
  <c r="BO16" i="5" s="1"/>
  <c r="BM15" i="5" a="1"/>
  <c r="BM15" i="5" s="1"/>
  <c r="BH14" i="5" a="1"/>
  <c r="BH14" i="5" s="1"/>
  <c r="BF13" i="5" a="1"/>
  <c r="BF13" i="5" s="1"/>
  <c r="BK9" i="5" a="1"/>
  <c r="BK9" i="5" s="1"/>
  <c r="BI8" i="5" a="1"/>
  <c r="BI8" i="5" s="1"/>
  <c r="BM6" i="5" a="1"/>
  <c r="BM6" i="5" s="1"/>
  <c r="BM17" i="5" s="1"/>
  <c r="AV9" i="5" a="1"/>
  <c r="AV9" i="5" s="1"/>
  <c r="AV8" i="5" a="1"/>
  <c r="AV8" i="5" s="1"/>
  <c r="BN16" i="5" a="1"/>
  <c r="BN16" i="5" s="1"/>
  <c r="BL15" i="5" a="1"/>
  <c r="BL15" i="5" s="1"/>
  <c r="BG14" i="5" a="1"/>
  <c r="BG14" i="5" s="1"/>
  <c r="BE13" i="5" a="1"/>
  <c r="BE13" i="5" s="1"/>
  <c r="BO10" i="5" a="1"/>
  <c r="BO10" i="5" s="1"/>
  <c r="BH8" i="5" a="1"/>
  <c r="BH8" i="5" s="1"/>
  <c r="BL6" i="5" a="1"/>
  <c r="BL6" i="5" s="1"/>
  <c r="BL17" i="5" s="1"/>
  <c r="BK15" i="5" a="1"/>
  <c r="BK15" i="5" s="1"/>
  <c r="BF14" i="5" a="1"/>
  <c r="BF14" i="5" s="1"/>
  <c r="BD13" i="5" a="1"/>
  <c r="BD13" i="5" s="1"/>
  <c r="BN10" i="5" a="1"/>
  <c r="BN10" i="5" s="1"/>
  <c r="BI9" i="5" a="1"/>
  <c r="BI9" i="5" s="1"/>
  <c r="BG8" i="5" a="1"/>
  <c r="BG8" i="5" s="1"/>
  <c r="BK6" i="5" a="1"/>
  <c r="BK6" i="5" s="1"/>
  <c r="BK17" i="5" s="1"/>
  <c r="BJ15" i="5" a="1"/>
  <c r="BJ15" i="5" s="1"/>
  <c r="BE14" i="5" a="1"/>
  <c r="BE14" i="5" s="1"/>
  <c r="BC13" i="5" a="1"/>
  <c r="BC13" i="5" s="1"/>
  <c r="BO11" i="5" a="1"/>
  <c r="BO11" i="5" s="1"/>
  <c r="BH9" i="5" a="1"/>
  <c r="BH9" i="5" s="1"/>
  <c r="BF8" i="5" a="1"/>
  <c r="BF8" i="5" s="1"/>
  <c r="BJ6" i="5" a="1"/>
  <c r="BJ6" i="5" s="1"/>
  <c r="BJ17" i="5" s="1"/>
  <c r="BB13" i="5" a="1"/>
  <c r="BB13" i="5" s="1"/>
  <c r="BN11" i="5" a="1"/>
  <c r="BN11" i="5" s="1"/>
  <c r="BL10" i="5" a="1"/>
  <c r="BL10" i="5" s="1"/>
  <c r="BG9" i="5" a="1"/>
  <c r="BG9" i="5" s="1"/>
  <c r="BE8" i="5" a="1"/>
  <c r="BE8" i="5" s="1"/>
  <c r="BI6" i="5" a="1"/>
  <c r="BI6" i="5" s="1"/>
  <c r="BI17" i="5" s="1"/>
  <c r="BA13" i="5" a="1"/>
  <c r="BA13" i="5" s="1"/>
  <c r="BM11" i="5" a="1"/>
  <c r="BM11" i="5" s="1"/>
  <c r="BK10" i="5" a="1"/>
  <c r="BK10" i="5" s="1"/>
  <c r="BF9" i="5" a="1"/>
  <c r="BF9" i="5" s="1"/>
  <c r="BD8" i="5" a="1"/>
  <c r="BD8" i="5" s="1"/>
  <c r="BH6" i="5" a="1"/>
  <c r="BH6" i="5" s="1"/>
  <c r="BH17" i="5" s="1"/>
  <c r="AX8" i="5" a="1"/>
  <c r="AX8" i="5" s="1"/>
  <c r="BL11" i="5" a="1"/>
  <c r="BL11" i="5" s="1"/>
  <c r="BJ10" i="5" a="1"/>
  <c r="BJ10" i="5" s="1"/>
  <c r="BE9" i="5" a="1"/>
  <c r="BE9" i="5" s="1"/>
  <c r="BC8" i="5" a="1"/>
  <c r="BC8" i="5" s="1"/>
  <c r="BG6" i="5" a="1"/>
  <c r="BG6" i="5" s="1"/>
  <c r="BG17" i="5" s="1"/>
  <c r="BF15" i="5" a="1"/>
  <c r="BF15" i="5" s="1"/>
  <c r="BA14" i="5" a="1"/>
  <c r="BA14" i="5" s="1"/>
  <c r="AY13" i="5" a="1"/>
  <c r="AY13" i="5" s="1"/>
  <c r="BI10" i="5" a="1"/>
  <c r="BI10" i="5" s="1"/>
  <c r="BD9" i="5" a="1"/>
  <c r="BD9" i="5" s="1"/>
  <c r="BB8" i="5" a="1"/>
  <c r="BB8" i="5" s="1"/>
  <c r="BF6" i="5" a="1"/>
  <c r="BF6" i="5" s="1"/>
  <c r="BF17" i="5" s="1"/>
  <c r="AV16" i="5" a="1"/>
  <c r="AV16" i="5" s="1"/>
  <c r="BE15" i="5" a="1"/>
  <c r="BE15" i="5" s="1"/>
  <c r="AZ14" i="5" a="1"/>
  <c r="AZ14" i="5" s="1"/>
  <c r="BJ11" i="5" a="1"/>
  <c r="BJ11" i="5" s="1"/>
  <c r="BH10" i="5" a="1"/>
  <c r="BH10" i="5" s="1"/>
  <c r="BC9" i="5" a="1"/>
  <c r="BC9" i="5" s="1"/>
  <c r="BA8" i="5" a="1"/>
  <c r="BA8" i="5" s="1"/>
  <c r="BE6" i="5" a="1"/>
  <c r="BE6" i="5" s="1"/>
  <c r="BE17" i="5" s="1"/>
  <c r="BF16" i="5" a="1"/>
  <c r="BF16" i="5" s="1"/>
  <c r="BD15" i="5" a="1"/>
  <c r="BD15" i="5" s="1"/>
  <c r="AY14" i="5" a="1"/>
  <c r="AY14" i="5" s="1"/>
  <c r="BI11" i="5" a="1"/>
  <c r="BI11" i="5" s="1"/>
  <c r="BB9" i="5" a="1"/>
  <c r="BB9" i="5" s="1"/>
  <c r="AZ8" i="5" a="1"/>
  <c r="AZ8" i="5" s="1"/>
  <c r="BD6" i="5" a="1"/>
  <c r="BD6" i="5" s="1"/>
  <c r="BD17" i="5" s="1"/>
  <c r="BJ7" i="5" a="1"/>
  <c r="BJ7" i="5" s="1"/>
  <c r="BH7" i="5" a="1"/>
  <c r="BH7" i="5" s="1"/>
  <c r="BC7" i="5" a="1"/>
  <c r="BC7" i="5" s="1"/>
  <c r="BB7" i="5" a="1"/>
  <c r="BB7" i="5" s="1"/>
  <c r="AY7" i="5" a="1"/>
  <c r="AY7" i="5" s="1"/>
  <c r="AX7" i="5" a="1"/>
  <c r="AX7" i="5" s="1"/>
  <c r="BF7" i="5" a="1"/>
  <c r="BF7" i="5" s="1"/>
  <c r="BE7" i="5" a="1"/>
  <c r="BE7" i="5" s="1"/>
  <c r="BD7" i="5" a="1"/>
  <c r="BD7" i="5" s="1"/>
  <c r="BA7" i="5" a="1"/>
  <c r="BA7" i="5" s="1"/>
  <c r="AZ7" i="5" a="1"/>
  <c r="AZ7" i="5" s="1"/>
  <c r="AW7" i="5" a="1"/>
  <c r="AW7" i="5" s="1"/>
  <c r="AV7" i="5" a="1"/>
  <c r="AV7" i="5" s="1"/>
  <c r="BQ7" i="5" a="1"/>
  <c r="BQ7" i="5" s="1"/>
  <c r="BP7" i="5" a="1"/>
  <c r="BP7" i="5" s="1"/>
  <c r="BO7" i="5" a="1"/>
  <c r="BO7" i="5" s="1"/>
  <c r="BN7" i="5" a="1"/>
  <c r="BN7" i="5" s="1"/>
  <c r="BM7" i="5" a="1"/>
  <c r="BM7" i="5" s="1"/>
  <c r="BL7" i="5" a="1"/>
  <c r="BL7" i="5" s="1"/>
  <c r="BK7" i="5" a="1"/>
  <c r="BK7" i="5" s="1"/>
  <c r="BI7" i="5" a="1"/>
  <c r="BI7" i="5" s="1"/>
  <c r="BG7" i="5" a="1"/>
  <c r="BG7" i="5" s="1"/>
  <c r="CJ17" i="5"/>
  <c r="AM56" i="2"/>
  <c r="AH56" i="2" s="1"/>
  <c r="AM55" i="2"/>
  <c r="AH55" i="2" s="1"/>
  <c r="AO54" i="2"/>
  <c r="AH54" i="2" s="1"/>
  <c r="AO53" i="2"/>
  <c r="AH53" i="2" s="1"/>
  <c r="AO52" i="2"/>
  <c r="AH52" i="2" s="1"/>
  <c r="AM49" i="2"/>
  <c r="AH49" i="2" s="1"/>
  <c r="AM50" i="2"/>
  <c r="AH50" i="2" s="1"/>
  <c r="AM51" i="2"/>
  <c r="AH51" i="2" s="1"/>
  <c r="AM48" i="2"/>
  <c r="AH48" i="2" s="1"/>
  <c r="AM47" i="2"/>
  <c r="AH47" i="2" s="1"/>
  <c r="AM46" i="2"/>
  <c r="AH46" i="2" s="1"/>
  <c r="AY8" i="10"/>
  <c r="BD28" i="10"/>
  <c r="BD31" i="10"/>
  <c r="C35" i="10"/>
  <c r="AY18" i="10" l="1"/>
  <c r="AY25" i="10" s="1"/>
  <c r="J11" i="10" s="1"/>
  <c r="C40" i="10"/>
  <c r="AP46" i="10" s="1"/>
  <c r="AQ42" i="2"/>
  <c r="AH42" i="2" s="1"/>
  <c r="AM41" i="2"/>
  <c r="AH41" i="2" s="1"/>
  <c r="AR16" i="5" a="1"/>
  <c r="AR16" i="5" s="1"/>
  <c r="AS16" i="5" s="1"/>
  <c r="AR6" i="5" a="1"/>
  <c r="AR6" i="5" s="1"/>
  <c r="AS6" i="5" s="1"/>
  <c r="AR7" i="5" a="1"/>
  <c r="AR7" i="5" s="1"/>
  <c r="AS7" i="5" s="1"/>
  <c r="AR8" i="5" a="1"/>
  <c r="AR8" i="5" s="1"/>
  <c r="AS8" i="5" s="1"/>
  <c r="AR9" i="5" a="1"/>
  <c r="AR9" i="5" s="1"/>
  <c r="AS9" i="5" s="1"/>
  <c r="AR10" i="5" a="1"/>
  <c r="AR10" i="5" s="1"/>
  <c r="AS10" i="5" s="1"/>
  <c r="AR11" i="5" a="1"/>
  <c r="AR11" i="5" s="1"/>
  <c r="AS11" i="5" s="1"/>
  <c r="AR12" i="5" a="1"/>
  <c r="AR12" i="5" s="1"/>
  <c r="AS12" i="5" s="1"/>
  <c r="AR13" i="5" a="1"/>
  <c r="AR13" i="5" s="1"/>
  <c r="AS13" i="5" s="1"/>
  <c r="AR14" i="5" a="1"/>
  <c r="AR14" i="5" s="1"/>
  <c r="AS14" i="5" s="1"/>
  <c r="AR15" i="5" a="1"/>
  <c r="AR15" i="5" s="1"/>
  <c r="AS15" i="5" s="1"/>
  <c r="AR5" i="5" a="1"/>
  <c r="AR5" i="5" s="1"/>
  <c r="AS5" i="5" s="1"/>
  <c r="AP16" i="5" a="1"/>
  <c r="AP16" i="5" s="1"/>
  <c r="AQ16" i="5" s="1"/>
  <c r="AP6" i="5" a="1"/>
  <c r="AP6" i="5" s="1"/>
  <c r="AQ6" i="5" s="1"/>
  <c r="AP7" i="5" a="1"/>
  <c r="AP7" i="5" s="1"/>
  <c r="AQ7" i="5" s="1"/>
  <c r="AP8" i="5" a="1"/>
  <c r="AP8" i="5" s="1"/>
  <c r="AQ8" i="5" s="1"/>
  <c r="AP9" i="5" a="1"/>
  <c r="AP9" i="5" s="1"/>
  <c r="AQ9" i="5" s="1"/>
  <c r="AP10" i="5" a="1"/>
  <c r="AP10" i="5" s="1"/>
  <c r="AQ10" i="5" s="1"/>
  <c r="AP11" i="5" a="1"/>
  <c r="AP11" i="5" s="1"/>
  <c r="AQ11" i="5" s="1"/>
  <c r="AP12" i="5" a="1"/>
  <c r="AP12" i="5" s="1"/>
  <c r="AQ12" i="5" s="1"/>
  <c r="AP13" i="5" a="1"/>
  <c r="AP13" i="5" s="1"/>
  <c r="AQ13" i="5" s="1"/>
  <c r="AP14" i="5" a="1"/>
  <c r="AP14" i="5" s="1"/>
  <c r="AQ14" i="5" s="1"/>
  <c r="AP15" i="5" a="1"/>
  <c r="AP15" i="5" s="1"/>
  <c r="AQ15" i="5" s="1"/>
  <c r="AP5" i="5" a="1"/>
  <c r="AP5" i="5" s="1"/>
  <c r="AQ5" i="5" s="1"/>
  <c r="AR17" i="5" l="1"/>
  <c r="AP17" i="5"/>
  <c r="AS17" i="5"/>
  <c r="AQ17" i="5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6" i="2"/>
  <c r="AM45" i="2" l="1"/>
  <c r="AH45" i="2" s="1"/>
  <c r="AM44" i="2"/>
  <c r="AH44" i="2" s="1"/>
  <c r="AM43" i="2"/>
  <c r="AH43" i="2" s="1"/>
  <c r="S7" i="1"/>
  <c r="AD7" i="2" s="1"/>
  <c r="T7" i="1"/>
  <c r="AE7" i="2" s="1"/>
  <c r="U7" i="1"/>
  <c r="AF7" i="2" s="1"/>
  <c r="V7" i="1"/>
  <c r="AG7" i="2" s="1"/>
  <c r="S8" i="1"/>
  <c r="AD8" i="2" s="1"/>
  <c r="T8" i="1"/>
  <c r="AE8" i="2" s="1"/>
  <c r="U8" i="1"/>
  <c r="AF8" i="2" s="1"/>
  <c r="V8" i="1"/>
  <c r="AG8" i="2" s="1"/>
  <c r="S9" i="1"/>
  <c r="AD9" i="2" s="1"/>
  <c r="T9" i="1"/>
  <c r="AE9" i="2" s="1"/>
  <c r="U9" i="1"/>
  <c r="AF9" i="2" s="1"/>
  <c r="V9" i="1"/>
  <c r="AG9" i="2" s="1"/>
  <c r="S10" i="1"/>
  <c r="AD10" i="2" s="1"/>
  <c r="T10" i="1"/>
  <c r="AE10" i="2" s="1"/>
  <c r="U10" i="1"/>
  <c r="AF10" i="2" s="1"/>
  <c r="V10" i="1"/>
  <c r="AG10" i="2" s="1"/>
  <c r="S11" i="1"/>
  <c r="AD11" i="2" s="1"/>
  <c r="T11" i="1"/>
  <c r="AE11" i="2" s="1"/>
  <c r="U11" i="1"/>
  <c r="AF11" i="2" s="1"/>
  <c r="V11" i="1"/>
  <c r="AG11" i="2" s="1"/>
  <c r="S12" i="1"/>
  <c r="AD12" i="2" s="1"/>
  <c r="T12" i="1"/>
  <c r="AE12" i="2" s="1"/>
  <c r="U12" i="1"/>
  <c r="AF12" i="2" s="1"/>
  <c r="V12" i="1"/>
  <c r="AG12" i="2" s="1"/>
  <c r="S13" i="1"/>
  <c r="AD13" i="2" s="1"/>
  <c r="T13" i="1"/>
  <c r="AE13" i="2" s="1"/>
  <c r="U13" i="1"/>
  <c r="AF13" i="2" s="1"/>
  <c r="V13" i="1"/>
  <c r="AG13" i="2" s="1"/>
  <c r="S14" i="1"/>
  <c r="AD14" i="2" s="1"/>
  <c r="T14" i="1"/>
  <c r="AE14" i="2" s="1"/>
  <c r="U14" i="1"/>
  <c r="AF14" i="2" s="1"/>
  <c r="V14" i="1"/>
  <c r="AG14" i="2" s="1"/>
  <c r="S15" i="1"/>
  <c r="AD15" i="2" s="1"/>
  <c r="T15" i="1"/>
  <c r="AE15" i="2" s="1"/>
  <c r="U15" i="1"/>
  <c r="AF15" i="2" s="1"/>
  <c r="V15" i="1"/>
  <c r="AG15" i="2" s="1"/>
  <c r="S16" i="1"/>
  <c r="AD16" i="2" s="1"/>
  <c r="T16" i="1"/>
  <c r="AE16" i="2" s="1"/>
  <c r="U16" i="1"/>
  <c r="AF16" i="2" s="1"/>
  <c r="V16" i="1"/>
  <c r="AG16" i="2" s="1"/>
  <c r="S17" i="1"/>
  <c r="AD17" i="2" s="1"/>
  <c r="T17" i="1"/>
  <c r="AE17" i="2" s="1"/>
  <c r="U17" i="1"/>
  <c r="AF17" i="2" s="1"/>
  <c r="V17" i="1"/>
  <c r="AG17" i="2" s="1"/>
  <c r="S18" i="1"/>
  <c r="AD18" i="2" s="1"/>
  <c r="T18" i="1"/>
  <c r="AE18" i="2" s="1"/>
  <c r="U18" i="1"/>
  <c r="AF18" i="2" s="1"/>
  <c r="V18" i="1"/>
  <c r="AG18" i="2" s="1"/>
  <c r="S19" i="1"/>
  <c r="AD19" i="2" s="1"/>
  <c r="T19" i="1"/>
  <c r="AE19" i="2" s="1"/>
  <c r="U19" i="1"/>
  <c r="AF19" i="2" s="1"/>
  <c r="V19" i="1"/>
  <c r="AG19" i="2" s="1"/>
  <c r="S20" i="1"/>
  <c r="AD20" i="2" s="1"/>
  <c r="T20" i="1"/>
  <c r="AE20" i="2" s="1"/>
  <c r="U20" i="1"/>
  <c r="AF20" i="2" s="1"/>
  <c r="V20" i="1"/>
  <c r="AG20" i="2" s="1"/>
  <c r="S21" i="1"/>
  <c r="AD21" i="2" s="1"/>
  <c r="T21" i="1"/>
  <c r="AE21" i="2" s="1"/>
  <c r="U21" i="1"/>
  <c r="AF21" i="2" s="1"/>
  <c r="V21" i="1"/>
  <c r="AG21" i="2" s="1"/>
  <c r="S22" i="1"/>
  <c r="AD22" i="2" s="1"/>
  <c r="T22" i="1"/>
  <c r="AE22" i="2" s="1"/>
  <c r="U22" i="1"/>
  <c r="AF22" i="2" s="1"/>
  <c r="V22" i="1"/>
  <c r="AG22" i="2" s="1"/>
  <c r="S23" i="1"/>
  <c r="AD23" i="2" s="1"/>
  <c r="T23" i="1"/>
  <c r="AE23" i="2" s="1"/>
  <c r="U23" i="1"/>
  <c r="AF23" i="2" s="1"/>
  <c r="V23" i="1"/>
  <c r="AG23" i="2" s="1"/>
  <c r="S24" i="1"/>
  <c r="AD24" i="2" s="1"/>
  <c r="T24" i="1"/>
  <c r="AE24" i="2" s="1"/>
  <c r="U24" i="1"/>
  <c r="AF24" i="2" s="1"/>
  <c r="V24" i="1"/>
  <c r="AG24" i="2" s="1"/>
  <c r="S25" i="1"/>
  <c r="AD25" i="2" s="1"/>
  <c r="T25" i="1"/>
  <c r="AE25" i="2" s="1"/>
  <c r="U25" i="1"/>
  <c r="AF25" i="2" s="1"/>
  <c r="V25" i="1"/>
  <c r="AG25" i="2" s="1"/>
  <c r="S26" i="1"/>
  <c r="AD26" i="2" s="1"/>
  <c r="T26" i="1"/>
  <c r="AE26" i="2" s="1"/>
  <c r="U26" i="1"/>
  <c r="AF26" i="2" s="1"/>
  <c r="V26" i="1"/>
  <c r="AG26" i="2" s="1"/>
  <c r="S27" i="1"/>
  <c r="AD27" i="2" s="1"/>
  <c r="T27" i="1"/>
  <c r="AE27" i="2" s="1"/>
  <c r="U27" i="1"/>
  <c r="AF27" i="2" s="1"/>
  <c r="V27" i="1"/>
  <c r="AG27" i="2" s="1"/>
  <c r="S28" i="1"/>
  <c r="AD28" i="2" s="1"/>
  <c r="T28" i="1"/>
  <c r="AE28" i="2" s="1"/>
  <c r="U28" i="1"/>
  <c r="AF28" i="2" s="1"/>
  <c r="V28" i="1"/>
  <c r="AG28" i="2" s="1"/>
  <c r="S29" i="1"/>
  <c r="AD29" i="2" s="1"/>
  <c r="T29" i="1"/>
  <c r="AE29" i="2" s="1"/>
  <c r="U29" i="1"/>
  <c r="AF29" i="2" s="1"/>
  <c r="V29" i="1"/>
  <c r="AG29" i="2" s="1"/>
  <c r="S30" i="1"/>
  <c r="AD30" i="2" s="1"/>
  <c r="T30" i="1"/>
  <c r="AE30" i="2" s="1"/>
  <c r="U30" i="1"/>
  <c r="AF30" i="2" s="1"/>
  <c r="V30" i="1"/>
  <c r="AG30" i="2" s="1"/>
  <c r="S31" i="1"/>
  <c r="AD31" i="2" s="1"/>
  <c r="T31" i="1"/>
  <c r="AE31" i="2" s="1"/>
  <c r="U31" i="1"/>
  <c r="AF31" i="2" s="1"/>
  <c r="V31" i="1"/>
  <c r="AG31" i="2" s="1"/>
  <c r="S32" i="1"/>
  <c r="AD32" i="2" s="1"/>
  <c r="T32" i="1"/>
  <c r="AE32" i="2" s="1"/>
  <c r="U32" i="1"/>
  <c r="AF32" i="2" s="1"/>
  <c r="V32" i="1"/>
  <c r="AG32" i="2" s="1"/>
  <c r="S33" i="1"/>
  <c r="AD33" i="2" s="1"/>
  <c r="T33" i="1"/>
  <c r="AE33" i="2" s="1"/>
  <c r="U33" i="1"/>
  <c r="AF33" i="2" s="1"/>
  <c r="V33" i="1"/>
  <c r="AG33" i="2" s="1"/>
  <c r="S34" i="1"/>
  <c r="AD34" i="2" s="1"/>
  <c r="T34" i="1"/>
  <c r="AE34" i="2" s="1"/>
  <c r="U34" i="1"/>
  <c r="AF34" i="2" s="1"/>
  <c r="V34" i="1"/>
  <c r="AG34" i="2" s="1"/>
  <c r="S35" i="1"/>
  <c r="AD35" i="2" s="1"/>
  <c r="T35" i="1"/>
  <c r="AE35" i="2" s="1"/>
  <c r="U35" i="1"/>
  <c r="AF35" i="2" s="1"/>
  <c r="V35" i="1"/>
  <c r="AG35" i="2" s="1"/>
  <c r="S36" i="1"/>
  <c r="AD36" i="2" s="1"/>
  <c r="T36" i="1"/>
  <c r="AE36" i="2" s="1"/>
  <c r="U36" i="1"/>
  <c r="AF36" i="2" s="1"/>
  <c r="V36" i="1"/>
  <c r="AG36" i="2" s="1"/>
  <c r="S37" i="1"/>
  <c r="AD37" i="2" s="1"/>
  <c r="T37" i="1"/>
  <c r="AE37" i="2" s="1"/>
  <c r="U37" i="1"/>
  <c r="AF37" i="2" s="1"/>
  <c r="V37" i="1"/>
  <c r="AG37" i="2" s="1"/>
  <c r="S38" i="1"/>
  <c r="AD38" i="2" s="1"/>
  <c r="T38" i="1"/>
  <c r="AE38" i="2" s="1"/>
  <c r="U38" i="1"/>
  <c r="AF38" i="2" s="1"/>
  <c r="V38" i="1"/>
  <c r="AG38" i="2" s="1"/>
  <c r="S39" i="1"/>
  <c r="AD39" i="2" s="1"/>
  <c r="T39" i="1"/>
  <c r="AE39" i="2" s="1"/>
  <c r="U39" i="1"/>
  <c r="AF39" i="2" s="1"/>
  <c r="V39" i="1"/>
  <c r="AG39" i="2" s="1"/>
  <c r="S40" i="1"/>
  <c r="AD40" i="2" s="1"/>
  <c r="T40" i="1"/>
  <c r="AE40" i="2" s="1"/>
  <c r="U40" i="1"/>
  <c r="AF40" i="2" s="1"/>
  <c r="V40" i="1"/>
  <c r="AG40" i="2" s="1"/>
  <c r="S41" i="1"/>
  <c r="AD41" i="2" s="1"/>
  <c r="T41" i="1"/>
  <c r="AE41" i="2" s="1"/>
  <c r="U41" i="1"/>
  <c r="AF41" i="2" s="1"/>
  <c r="V41" i="1"/>
  <c r="AG41" i="2" s="1"/>
  <c r="S42" i="1"/>
  <c r="AD42" i="2" s="1"/>
  <c r="T42" i="1"/>
  <c r="AE42" i="2" s="1"/>
  <c r="U42" i="1"/>
  <c r="AF42" i="2" s="1"/>
  <c r="V42" i="1"/>
  <c r="AG42" i="2" s="1"/>
  <c r="S43" i="1"/>
  <c r="AD43" i="2" s="1"/>
  <c r="T43" i="1"/>
  <c r="AE43" i="2" s="1"/>
  <c r="U43" i="1"/>
  <c r="AF43" i="2" s="1"/>
  <c r="V43" i="1"/>
  <c r="AG43" i="2" s="1"/>
  <c r="S44" i="1"/>
  <c r="AD44" i="2" s="1"/>
  <c r="T44" i="1"/>
  <c r="AE44" i="2" s="1"/>
  <c r="U44" i="1"/>
  <c r="AF44" i="2" s="1"/>
  <c r="V44" i="1"/>
  <c r="AG44" i="2" s="1"/>
  <c r="S45" i="1"/>
  <c r="AD45" i="2" s="1"/>
  <c r="T45" i="1"/>
  <c r="AE45" i="2" s="1"/>
  <c r="U45" i="1"/>
  <c r="AF45" i="2" s="1"/>
  <c r="V45" i="1"/>
  <c r="AG45" i="2" s="1"/>
  <c r="S46" i="1"/>
  <c r="AD46" i="2" s="1"/>
  <c r="T46" i="1"/>
  <c r="AE46" i="2" s="1"/>
  <c r="U46" i="1"/>
  <c r="AF46" i="2" s="1"/>
  <c r="V46" i="1"/>
  <c r="AG46" i="2" s="1"/>
  <c r="S47" i="1"/>
  <c r="AD47" i="2" s="1"/>
  <c r="T47" i="1"/>
  <c r="AE47" i="2" s="1"/>
  <c r="U47" i="1"/>
  <c r="AF47" i="2" s="1"/>
  <c r="V47" i="1"/>
  <c r="AG47" i="2" s="1"/>
  <c r="S48" i="1"/>
  <c r="AD48" i="2" s="1"/>
  <c r="T48" i="1"/>
  <c r="AE48" i="2" s="1"/>
  <c r="U48" i="1"/>
  <c r="AF48" i="2" s="1"/>
  <c r="V48" i="1"/>
  <c r="AG48" i="2" s="1"/>
  <c r="S49" i="1"/>
  <c r="AD49" i="2" s="1"/>
  <c r="T49" i="1"/>
  <c r="AE49" i="2" s="1"/>
  <c r="U49" i="1"/>
  <c r="AF49" i="2" s="1"/>
  <c r="V49" i="1"/>
  <c r="AG49" i="2" s="1"/>
  <c r="S50" i="1"/>
  <c r="AD50" i="2" s="1"/>
  <c r="T50" i="1"/>
  <c r="AE50" i="2" s="1"/>
  <c r="U50" i="1"/>
  <c r="AF50" i="2" s="1"/>
  <c r="V50" i="1"/>
  <c r="AG50" i="2" s="1"/>
  <c r="S51" i="1"/>
  <c r="AD51" i="2" s="1"/>
  <c r="T51" i="1"/>
  <c r="AE51" i="2" s="1"/>
  <c r="U51" i="1"/>
  <c r="AF51" i="2" s="1"/>
  <c r="V51" i="1"/>
  <c r="AG51" i="2" s="1"/>
  <c r="S52" i="1"/>
  <c r="AD52" i="2" s="1"/>
  <c r="T52" i="1"/>
  <c r="AE52" i="2" s="1"/>
  <c r="U52" i="1"/>
  <c r="AF52" i="2" s="1"/>
  <c r="V52" i="1"/>
  <c r="AG52" i="2" s="1"/>
  <c r="S53" i="1"/>
  <c r="AD53" i="2" s="1"/>
  <c r="T53" i="1"/>
  <c r="AE53" i="2" s="1"/>
  <c r="U53" i="1"/>
  <c r="AF53" i="2" s="1"/>
  <c r="V53" i="1"/>
  <c r="AG53" i="2" s="1"/>
  <c r="S54" i="1"/>
  <c r="AD54" i="2" s="1"/>
  <c r="T54" i="1"/>
  <c r="AE54" i="2" s="1"/>
  <c r="U54" i="1"/>
  <c r="AF54" i="2" s="1"/>
  <c r="V54" i="1"/>
  <c r="AG54" i="2" s="1"/>
  <c r="S55" i="1"/>
  <c r="AD55" i="2" s="1"/>
  <c r="T55" i="1"/>
  <c r="AE55" i="2" s="1"/>
  <c r="U55" i="1"/>
  <c r="AF55" i="2" s="1"/>
  <c r="V55" i="1"/>
  <c r="AG55" i="2" s="1"/>
  <c r="S56" i="1"/>
  <c r="AD56" i="2" s="1"/>
  <c r="T56" i="1"/>
  <c r="AE56" i="2" s="1"/>
  <c r="U56" i="1"/>
  <c r="AF56" i="2" s="1"/>
  <c r="V56" i="1"/>
  <c r="AG56" i="2" s="1"/>
  <c r="S57" i="1"/>
  <c r="AD57" i="2" s="1"/>
  <c r="T57" i="1"/>
  <c r="AE57" i="2" s="1"/>
  <c r="U57" i="1"/>
  <c r="AF57" i="2" s="1"/>
  <c r="V57" i="1"/>
  <c r="AG57" i="2" s="1"/>
  <c r="S58" i="1"/>
  <c r="AD58" i="2" s="1"/>
  <c r="T58" i="1"/>
  <c r="AE58" i="2" s="1"/>
  <c r="U58" i="1"/>
  <c r="AF58" i="2" s="1"/>
  <c r="V58" i="1"/>
  <c r="AG58" i="2" s="1"/>
  <c r="S59" i="1"/>
  <c r="AD59" i="2" s="1"/>
  <c r="T59" i="1"/>
  <c r="AE59" i="2" s="1"/>
  <c r="U59" i="1"/>
  <c r="AF59" i="2" s="1"/>
  <c r="V59" i="1"/>
  <c r="AG59" i="2" s="1"/>
  <c r="S60" i="1"/>
  <c r="AD60" i="2" s="1"/>
  <c r="T60" i="1"/>
  <c r="AE60" i="2" s="1"/>
  <c r="U60" i="1"/>
  <c r="AF60" i="2" s="1"/>
  <c r="V60" i="1"/>
  <c r="AG60" i="2" s="1"/>
  <c r="S61" i="1"/>
  <c r="AD61" i="2" s="1"/>
  <c r="T61" i="1"/>
  <c r="AE61" i="2" s="1"/>
  <c r="U61" i="1"/>
  <c r="AF61" i="2" s="1"/>
  <c r="V61" i="1"/>
  <c r="AG61" i="2" s="1"/>
  <c r="S62" i="1"/>
  <c r="AD62" i="2" s="1"/>
  <c r="T62" i="1"/>
  <c r="AE62" i="2" s="1"/>
  <c r="U62" i="1"/>
  <c r="AF62" i="2" s="1"/>
  <c r="V62" i="1"/>
  <c r="AG62" i="2" s="1"/>
  <c r="S63" i="1"/>
  <c r="AD63" i="2" s="1"/>
  <c r="T63" i="1"/>
  <c r="AE63" i="2" s="1"/>
  <c r="U63" i="1"/>
  <c r="AF63" i="2" s="1"/>
  <c r="V63" i="1"/>
  <c r="AG63" i="2" s="1"/>
  <c r="S64" i="1"/>
  <c r="AD64" i="2" s="1"/>
  <c r="T64" i="1"/>
  <c r="AE64" i="2" s="1"/>
  <c r="U64" i="1"/>
  <c r="AF64" i="2" s="1"/>
  <c r="V64" i="1"/>
  <c r="AG64" i="2" s="1"/>
  <c r="S65" i="1"/>
  <c r="AD65" i="2" s="1"/>
  <c r="T65" i="1"/>
  <c r="AE65" i="2" s="1"/>
  <c r="U65" i="1"/>
  <c r="AF65" i="2" s="1"/>
  <c r="V65" i="1"/>
  <c r="AG65" i="2" s="1"/>
  <c r="S66" i="1"/>
  <c r="AD66" i="2" s="1"/>
  <c r="T66" i="1"/>
  <c r="AE66" i="2" s="1"/>
  <c r="U66" i="1"/>
  <c r="AF66" i="2" s="1"/>
  <c r="V66" i="1"/>
  <c r="AG66" i="2" s="1"/>
  <c r="S67" i="1"/>
  <c r="AD67" i="2" s="1"/>
  <c r="T67" i="1"/>
  <c r="AE67" i="2" s="1"/>
  <c r="U67" i="1"/>
  <c r="AF67" i="2" s="1"/>
  <c r="V67" i="1"/>
  <c r="AG67" i="2" s="1"/>
  <c r="S68" i="1"/>
  <c r="AD68" i="2" s="1"/>
  <c r="T68" i="1"/>
  <c r="AE68" i="2" s="1"/>
  <c r="U68" i="1"/>
  <c r="AF68" i="2" s="1"/>
  <c r="V68" i="1"/>
  <c r="AG68" i="2" s="1"/>
  <c r="S69" i="1"/>
  <c r="AD69" i="2" s="1"/>
  <c r="T69" i="1"/>
  <c r="AE69" i="2" s="1"/>
  <c r="U69" i="1"/>
  <c r="AF69" i="2" s="1"/>
  <c r="V69" i="1"/>
  <c r="AG69" i="2" s="1"/>
  <c r="S70" i="1"/>
  <c r="AD70" i="2" s="1"/>
  <c r="T70" i="1"/>
  <c r="AE70" i="2" s="1"/>
  <c r="U70" i="1"/>
  <c r="AF70" i="2" s="1"/>
  <c r="V70" i="1"/>
  <c r="AG70" i="2" s="1"/>
  <c r="S71" i="1"/>
  <c r="AD71" i="2" s="1"/>
  <c r="T71" i="1"/>
  <c r="AE71" i="2" s="1"/>
  <c r="U71" i="1"/>
  <c r="AF71" i="2" s="1"/>
  <c r="V71" i="1"/>
  <c r="AG71" i="2" s="1"/>
  <c r="S72" i="1"/>
  <c r="AD72" i="2" s="1"/>
  <c r="T72" i="1"/>
  <c r="AE72" i="2" s="1"/>
  <c r="U72" i="1"/>
  <c r="AF72" i="2" s="1"/>
  <c r="V72" i="1"/>
  <c r="AG72" i="2" s="1"/>
  <c r="S73" i="1"/>
  <c r="AD73" i="2" s="1"/>
  <c r="T73" i="1"/>
  <c r="AE73" i="2" s="1"/>
  <c r="U73" i="1"/>
  <c r="AF73" i="2" s="1"/>
  <c r="V73" i="1"/>
  <c r="AG73" i="2" s="1"/>
  <c r="S74" i="1"/>
  <c r="AD74" i="2" s="1"/>
  <c r="T74" i="1"/>
  <c r="AE74" i="2" s="1"/>
  <c r="U74" i="1"/>
  <c r="AF74" i="2" s="1"/>
  <c r="V74" i="1"/>
  <c r="AG74" i="2" s="1"/>
  <c r="S75" i="1"/>
  <c r="AD75" i="2" s="1"/>
  <c r="T75" i="1"/>
  <c r="AE75" i="2" s="1"/>
  <c r="U75" i="1"/>
  <c r="AF75" i="2" s="1"/>
  <c r="V75" i="1"/>
  <c r="AG75" i="2" s="1"/>
  <c r="S76" i="1"/>
  <c r="AD76" i="2" s="1"/>
  <c r="T76" i="1"/>
  <c r="AE76" i="2" s="1"/>
  <c r="U76" i="1"/>
  <c r="AF76" i="2" s="1"/>
  <c r="V76" i="1"/>
  <c r="AG76" i="2" s="1"/>
  <c r="S77" i="1"/>
  <c r="AD77" i="2" s="1"/>
  <c r="T77" i="1"/>
  <c r="AE77" i="2" s="1"/>
  <c r="U77" i="1"/>
  <c r="AF77" i="2" s="1"/>
  <c r="V77" i="1"/>
  <c r="AG77" i="2" s="1"/>
  <c r="S78" i="1"/>
  <c r="AD78" i="2" s="1"/>
  <c r="T78" i="1"/>
  <c r="AE78" i="2" s="1"/>
  <c r="U78" i="1"/>
  <c r="AF78" i="2" s="1"/>
  <c r="V78" i="1"/>
  <c r="AG78" i="2" s="1"/>
  <c r="S79" i="1"/>
  <c r="AD79" i="2" s="1"/>
  <c r="T79" i="1"/>
  <c r="AE79" i="2" s="1"/>
  <c r="U79" i="1"/>
  <c r="AF79" i="2" s="1"/>
  <c r="V79" i="1"/>
  <c r="AG79" i="2" s="1"/>
  <c r="S80" i="1"/>
  <c r="AD80" i="2" s="1"/>
  <c r="T80" i="1"/>
  <c r="AE80" i="2" s="1"/>
  <c r="U80" i="1"/>
  <c r="AF80" i="2" s="1"/>
  <c r="V80" i="1"/>
  <c r="AG80" i="2" s="1"/>
  <c r="S81" i="1"/>
  <c r="AD81" i="2" s="1"/>
  <c r="T81" i="1"/>
  <c r="AE81" i="2" s="1"/>
  <c r="U81" i="1"/>
  <c r="AF81" i="2" s="1"/>
  <c r="V81" i="1"/>
  <c r="AG81" i="2" s="1"/>
  <c r="S82" i="1"/>
  <c r="AD82" i="2" s="1"/>
  <c r="T82" i="1"/>
  <c r="AE82" i="2" s="1"/>
  <c r="U82" i="1"/>
  <c r="AF82" i="2" s="1"/>
  <c r="V82" i="1"/>
  <c r="AG82" i="2" s="1"/>
  <c r="S83" i="1"/>
  <c r="AD83" i="2" s="1"/>
  <c r="T83" i="1"/>
  <c r="AE83" i="2" s="1"/>
  <c r="U83" i="1"/>
  <c r="AF83" i="2" s="1"/>
  <c r="V83" i="1"/>
  <c r="AG83" i="2" s="1"/>
  <c r="S84" i="1"/>
  <c r="AD84" i="2" s="1"/>
  <c r="T84" i="1"/>
  <c r="AE84" i="2" s="1"/>
  <c r="U84" i="1"/>
  <c r="AF84" i="2" s="1"/>
  <c r="V84" i="1"/>
  <c r="AG84" i="2" s="1"/>
  <c r="S85" i="1"/>
  <c r="AD85" i="2" s="1"/>
  <c r="T85" i="1"/>
  <c r="AE85" i="2" s="1"/>
  <c r="U85" i="1"/>
  <c r="AF85" i="2" s="1"/>
  <c r="V85" i="1"/>
  <c r="AG85" i="2" s="1"/>
  <c r="S86" i="1"/>
  <c r="AD86" i="2" s="1"/>
  <c r="T86" i="1"/>
  <c r="AE86" i="2" s="1"/>
  <c r="U86" i="1"/>
  <c r="AF86" i="2" s="1"/>
  <c r="V86" i="1"/>
  <c r="AG86" i="2" s="1"/>
  <c r="S87" i="1"/>
  <c r="AD87" i="2" s="1"/>
  <c r="T87" i="1"/>
  <c r="AE87" i="2" s="1"/>
  <c r="U87" i="1"/>
  <c r="AF87" i="2" s="1"/>
  <c r="V87" i="1"/>
  <c r="AG87" i="2" s="1"/>
  <c r="S88" i="1"/>
  <c r="AD88" i="2" s="1"/>
  <c r="T88" i="1"/>
  <c r="AE88" i="2" s="1"/>
  <c r="U88" i="1"/>
  <c r="AF88" i="2" s="1"/>
  <c r="V88" i="1"/>
  <c r="AG88" i="2" s="1"/>
  <c r="S89" i="1"/>
  <c r="AD89" i="2" s="1"/>
  <c r="T89" i="1"/>
  <c r="AE89" i="2" s="1"/>
  <c r="U89" i="1"/>
  <c r="AF89" i="2" s="1"/>
  <c r="V89" i="1"/>
  <c r="AG89" i="2" s="1"/>
  <c r="S90" i="1"/>
  <c r="AD90" i="2" s="1"/>
  <c r="T90" i="1"/>
  <c r="AE90" i="2" s="1"/>
  <c r="U90" i="1"/>
  <c r="AF90" i="2" s="1"/>
  <c r="V90" i="1"/>
  <c r="AG90" i="2" s="1"/>
  <c r="S91" i="1"/>
  <c r="AD91" i="2" s="1"/>
  <c r="T91" i="1"/>
  <c r="AE91" i="2" s="1"/>
  <c r="U91" i="1"/>
  <c r="AF91" i="2" s="1"/>
  <c r="V91" i="1"/>
  <c r="AG91" i="2" s="1"/>
  <c r="S92" i="1"/>
  <c r="AD92" i="2" s="1"/>
  <c r="T92" i="1"/>
  <c r="AE92" i="2" s="1"/>
  <c r="U92" i="1"/>
  <c r="AF92" i="2" s="1"/>
  <c r="V92" i="1"/>
  <c r="AG92" i="2" s="1"/>
  <c r="S93" i="1"/>
  <c r="AD93" i="2" s="1"/>
  <c r="T93" i="1"/>
  <c r="AE93" i="2" s="1"/>
  <c r="U93" i="1"/>
  <c r="AF93" i="2" s="1"/>
  <c r="V93" i="1"/>
  <c r="AG93" i="2" s="1"/>
  <c r="S94" i="1"/>
  <c r="AD94" i="2" s="1"/>
  <c r="T94" i="1"/>
  <c r="AE94" i="2" s="1"/>
  <c r="U94" i="1"/>
  <c r="AF94" i="2" s="1"/>
  <c r="V94" i="1"/>
  <c r="AG94" i="2" s="1"/>
  <c r="S95" i="1"/>
  <c r="AD95" i="2" s="1"/>
  <c r="T95" i="1"/>
  <c r="AE95" i="2" s="1"/>
  <c r="U95" i="1"/>
  <c r="AF95" i="2" s="1"/>
  <c r="V95" i="1"/>
  <c r="AG95" i="2" s="1"/>
  <c r="S96" i="1"/>
  <c r="AD96" i="2" s="1"/>
  <c r="T96" i="1"/>
  <c r="AE96" i="2" s="1"/>
  <c r="U96" i="1"/>
  <c r="AF96" i="2" s="1"/>
  <c r="V96" i="1"/>
  <c r="AG96" i="2" s="1"/>
  <c r="S97" i="1"/>
  <c r="AD97" i="2" s="1"/>
  <c r="T97" i="1"/>
  <c r="AE97" i="2" s="1"/>
  <c r="U97" i="1"/>
  <c r="AF97" i="2" s="1"/>
  <c r="V97" i="1"/>
  <c r="AG97" i="2" s="1"/>
  <c r="S98" i="1"/>
  <c r="AD98" i="2" s="1"/>
  <c r="T98" i="1"/>
  <c r="AE98" i="2" s="1"/>
  <c r="U98" i="1"/>
  <c r="AF98" i="2" s="1"/>
  <c r="V98" i="1"/>
  <c r="AG98" i="2" s="1"/>
  <c r="S99" i="1"/>
  <c r="AD99" i="2" s="1"/>
  <c r="T99" i="1"/>
  <c r="AE99" i="2" s="1"/>
  <c r="U99" i="1"/>
  <c r="AF99" i="2" s="1"/>
  <c r="V99" i="1"/>
  <c r="AG99" i="2" s="1"/>
  <c r="S100" i="1"/>
  <c r="AD100" i="2" s="1"/>
  <c r="T100" i="1"/>
  <c r="AE100" i="2" s="1"/>
  <c r="U100" i="1"/>
  <c r="AF100" i="2" s="1"/>
  <c r="V100" i="1"/>
  <c r="AG100" i="2" s="1"/>
  <c r="S101" i="1"/>
  <c r="AD101" i="2" s="1"/>
  <c r="T101" i="1"/>
  <c r="AE101" i="2" s="1"/>
  <c r="U101" i="1"/>
  <c r="AF101" i="2" s="1"/>
  <c r="V101" i="1"/>
  <c r="AG101" i="2" s="1"/>
  <c r="S102" i="1"/>
  <c r="AD102" i="2" s="1"/>
  <c r="T102" i="1"/>
  <c r="AE102" i="2" s="1"/>
  <c r="U102" i="1"/>
  <c r="AF102" i="2" s="1"/>
  <c r="V102" i="1"/>
  <c r="AG102" i="2" s="1"/>
  <c r="S103" i="1"/>
  <c r="AD103" i="2" s="1"/>
  <c r="T103" i="1"/>
  <c r="AE103" i="2" s="1"/>
  <c r="U103" i="1"/>
  <c r="AF103" i="2" s="1"/>
  <c r="V103" i="1"/>
  <c r="AG103" i="2" s="1"/>
  <c r="S104" i="1"/>
  <c r="AD104" i="2" s="1"/>
  <c r="T104" i="1"/>
  <c r="AE104" i="2" s="1"/>
  <c r="U104" i="1"/>
  <c r="AF104" i="2" s="1"/>
  <c r="V104" i="1"/>
  <c r="AG104" i="2" s="1"/>
  <c r="S105" i="1"/>
  <c r="AD105" i="2" s="1"/>
  <c r="T105" i="1"/>
  <c r="AE105" i="2" s="1"/>
  <c r="U105" i="1"/>
  <c r="AF105" i="2" s="1"/>
  <c r="V105" i="1"/>
  <c r="AG105" i="2" s="1"/>
  <c r="S106" i="1"/>
  <c r="AD106" i="2" s="1"/>
  <c r="T106" i="1"/>
  <c r="AE106" i="2" s="1"/>
  <c r="U106" i="1"/>
  <c r="AF106" i="2" s="1"/>
  <c r="V106" i="1"/>
  <c r="AG106" i="2" s="1"/>
  <c r="S107" i="1"/>
  <c r="AD107" i="2" s="1"/>
  <c r="T107" i="1"/>
  <c r="AE107" i="2" s="1"/>
  <c r="U107" i="1"/>
  <c r="AF107" i="2" s="1"/>
  <c r="V107" i="1"/>
  <c r="AG107" i="2" s="1"/>
  <c r="S108" i="1"/>
  <c r="AD108" i="2" s="1"/>
  <c r="T108" i="1"/>
  <c r="AE108" i="2" s="1"/>
  <c r="U108" i="1"/>
  <c r="AF108" i="2" s="1"/>
  <c r="V108" i="1"/>
  <c r="AG108" i="2" s="1"/>
  <c r="S109" i="1"/>
  <c r="AD109" i="2" s="1"/>
  <c r="T109" i="1"/>
  <c r="AE109" i="2" s="1"/>
  <c r="U109" i="1"/>
  <c r="AF109" i="2" s="1"/>
  <c r="V109" i="1"/>
  <c r="AG109" i="2" s="1"/>
  <c r="S110" i="1"/>
  <c r="AD110" i="2" s="1"/>
  <c r="T110" i="1"/>
  <c r="AE110" i="2" s="1"/>
  <c r="U110" i="1"/>
  <c r="AF110" i="2" s="1"/>
  <c r="V110" i="1"/>
  <c r="AG110" i="2" s="1"/>
  <c r="S111" i="1"/>
  <c r="AD111" i="2" s="1"/>
  <c r="T111" i="1"/>
  <c r="AE111" i="2" s="1"/>
  <c r="U111" i="1"/>
  <c r="AF111" i="2" s="1"/>
  <c r="V111" i="1"/>
  <c r="AG111" i="2" s="1"/>
  <c r="S112" i="1"/>
  <c r="AD112" i="2" s="1"/>
  <c r="T112" i="1"/>
  <c r="AE112" i="2" s="1"/>
  <c r="U112" i="1"/>
  <c r="AF112" i="2" s="1"/>
  <c r="V112" i="1"/>
  <c r="AG112" i="2" s="1"/>
  <c r="S113" i="1"/>
  <c r="AD113" i="2" s="1"/>
  <c r="T113" i="1"/>
  <c r="AE113" i="2" s="1"/>
  <c r="U113" i="1"/>
  <c r="AF113" i="2" s="1"/>
  <c r="V113" i="1"/>
  <c r="AG113" i="2" s="1"/>
  <c r="S114" i="1"/>
  <c r="AD114" i="2" s="1"/>
  <c r="T114" i="1"/>
  <c r="AE114" i="2" s="1"/>
  <c r="U114" i="1"/>
  <c r="AF114" i="2" s="1"/>
  <c r="V114" i="1"/>
  <c r="AG114" i="2" s="1"/>
  <c r="S115" i="1"/>
  <c r="AD115" i="2" s="1"/>
  <c r="T115" i="1"/>
  <c r="AE115" i="2" s="1"/>
  <c r="U115" i="1"/>
  <c r="AF115" i="2" s="1"/>
  <c r="V115" i="1"/>
  <c r="AG115" i="2" s="1"/>
  <c r="S116" i="1"/>
  <c r="AD116" i="2" s="1"/>
  <c r="T116" i="1"/>
  <c r="AE116" i="2" s="1"/>
  <c r="U116" i="1"/>
  <c r="AF116" i="2" s="1"/>
  <c r="V116" i="1"/>
  <c r="AG116" i="2" s="1"/>
  <c r="S117" i="1"/>
  <c r="AD117" i="2" s="1"/>
  <c r="T117" i="1"/>
  <c r="AE117" i="2" s="1"/>
  <c r="U117" i="1"/>
  <c r="AF117" i="2" s="1"/>
  <c r="V117" i="1"/>
  <c r="AG117" i="2" s="1"/>
  <c r="S118" i="1"/>
  <c r="AD118" i="2" s="1"/>
  <c r="T118" i="1"/>
  <c r="AE118" i="2" s="1"/>
  <c r="U118" i="1"/>
  <c r="AF118" i="2" s="1"/>
  <c r="V118" i="1"/>
  <c r="AG118" i="2" s="1"/>
  <c r="S119" i="1"/>
  <c r="AD119" i="2" s="1"/>
  <c r="T119" i="1"/>
  <c r="AE119" i="2" s="1"/>
  <c r="U119" i="1"/>
  <c r="AF119" i="2" s="1"/>
  <c r="V119" i="1"/>
  <c r="AG119" i="2" s="1"/>
  <c r="S120" i="1"/>
  <c r="AD120" i="2" s="1"/>
  <c r="T120" i="1"/>
  <c r="AE120" i="2" s="1"/>
  <c r="U120" i="1"/>
  <c r="AF120" i="2" s="1"/>
  <c r="V120" i="1"/>
  <c r="AG120" i="2" s="1"/>
  <c r="S121" i="1"/>
  <c r="AD121" i="2" s="1"/>
  <c r="T121" i="1"/>
  <c r="AE121" i="2" s="1"/>
  <c r="U121" i="1"/>
  <c r="AF121" i="2" s="1"/>
  <c r="V121" i="1"/>
  <c r="AG121" i="2" s="1"/>
  <c r="S122" i="1"/>
  <c r="AD122" i="2" s="1"/>
  <c r="T122" i="1"/>
  <c r="AE122" i="2" s="1"/>
  <c r="U122" i="1"/>
  <c r="AF122" i="2" s="1"/>
  <c r="V122" i="1"/>
  <c r="AG122" i="2" s="1"/>
  <c r="S123" i="1"/>
  <c r="AD123" i="2" s="1"/>
  <c r="T123" i="1"/>
  <c r="AE123" i="2" s="1"/>
  <c r="U123" i="1"/>
  <c r="AF123" i="2" s="1"/>
  <c r="V123" i="1"/>
  <c r="AG123" i="2" s="1"/>
  <c r="S124" i="1"/>
  <c r="AD124" i="2" s="1"/>
  <c r="T124" i="1"/>
  <c r="AE124" i="2" s="1"/>
  <c r="U124" i="1"/>
  <c r="AF124" i="2" s="1"/>
  <c r="V124" i="1"/>
  <c r="AG124" i="2" s="1"/>
  <c r="S125" i="1"/>
  <c r="AD125" i="2" s="1"/>
  <c r="T125" i="1"/>
  <c r="AE125" i="2" s="1"/>
  <c r="U125" i="1"/>
  <c r="AF125" i="2" s="1"/>
  <c r="V125" i="1"/>
  <c r="AG125" i="2" s="1"/>
  <c r="S126" i="1"/>
  <c r="AD126" i="2" s="1"/>
  <c r="T126" i="1"/>
  <c r="AE126" i="2" s="1"/>
  <c r="U126" i="1"/>
  <c r="AF126" i="2" s="1"/>
  <c r="V126" i="1"/>
  <c r="AG126" i="2" s="1"/>
  <c r="S127" i="1"/>
  <c r="AD127" i="2" s="1"/>
  <c r="T127" i="1"/>
  <c r="AE127" i="2" s="1"/>
  <c r="U127" i="1"/>
  <c r="AF127" i="2" s="1"/>
  <c r="V127" i="1"/>
  <c r="AG127" i="2" s="1"/>
  <c r="S128" i="1"/>
  <c r="AD128" i="2" s="1"/>
  <c r="T128" i="1"/>
  <c r="AE128" i="2" s="1"/>
  <c r="U128" i="1"/>
  <c r="AF128" i="2" s="1"/>
  <c r="V128" i="1"/>
  <c r="AG128" i="2" s="1"/>
  <c r="S129" i="1"/>
  <c r="AD129" i="2" s="1"/>
  <c r="T129" i="1"/>
  <c r="AE129" i="2" s="1"/>
  <c r="U129" i="1"/>
  <c r="AF129" i="2" s="1"/>
  <c r="V129" i="1"/>
  <c r="AG129" i="2" s="1"/>
  <c r="S130" i="1"/>
  <c r="AD130" i="2" s="1"/>
  <c r="T130" i="1"/>
  <c r="AE130" i="2" s="1"/>
  <c r="U130" i="1"/>
  <c r="AF130" i="2" s="1"/>
  <c r="V130" i="1"/>
  <c r="AG130" i="2" s="1"/>
  <c r="S131" i="1"/>
  <c r="AD131" i="2" s="1"/>
  <c r="T131" i="1"/>
  <c r="AE131" i="2" s="1"/>
  <c r="U131" i="1"/>
  <c r="AF131" i="2" s="1"/>
  <c r="V131" i="1"/>
  <c r="AG131" i="2" s="1"/>
  <c r="S132" i="1"/>
  <c r="AD132" i="2" s="1"/>
  <c r="T132" i="1"/>
  <c r="AE132" i="2" s="1"/>
  <c r="U132" i="1"/>
  <c r="AF132" i="2" s="1"/>
  <c r="V132" i="1"/>
  <c r="AG132" i="2" s="1"/>
  <c r="S133" i="1"/>
  <c r="AD133" i="2" s="1"/>
  <c r="T133" i="1"/>
  <c r="AE133" i="2" s="1"/>
  <c r="U133" i="1"/>
  <c r="AF133" i="2" s="1"/>
  <c r="V133" i="1"/>
  <c r="AG133" i="2" s="1"/>
  <c r="S134" i="1"/>
  <c r="AD134" i="2" s="1"/>
  <c r="T134" i="1"/>
  <c r="AE134" i="2" s="1"/>
  <c r="U134" i="1"/>
  <c r="AF134" i="2" s="1"/>
  <c r="V134" i="1"/>
  <c r="AG134" i="2" s="1"/>
  <c r="S135" i="1"/>
  <c r="AD135" i="2" s="1"/>
  <c r="T135" i="1"/>
  <c r="AE135" i="2" s="1"/>
  <c r="U135" i="1"/>
  <c r="AF135" i="2" s="1"/>
  <c r="V135" i="1"/>
  <c r="AG135" i="2" s="1"/>
  <c r="S136" i="1"/>
  <c r="AD136" i="2" s="1"/>
  <c r="T136" i="1"/>
  <c r="AE136" i="2" s="1"/>
  <c r="U136" i="1"/>
  <c r="AF136" i="2" s="1"/>
  <c r="V136" i="1"/>
  <c r="AG136" i="2" s="1"/>
  <c r="S137" i="1"/>
  <c r="AD137" i="2" s="1"/>
  <c r="T137" i="1"/>
  <c r="AE137" i="2" s="1"/>
  <c r="U137" i="1"/>
  <c r="AF137" i="2" s="1"/>
  <c r="V137" i="1"/>
  <c r="AG137" i="2" s="1"/>
  <c r="S138" i="1"/>
  <c r="AD138" i="2" s="1"/>
  <c r="T138" i="1"/>
  <c r="AE138" i="2" s="1"/>
  <c r="U138" i="1"/>
  <c r="AF138" i="2" s="1"/>
  <c r="V138" i="1"/>
  <c r="AG138" i="2" s="1"/>
  <c r="S139" i="1"/>
  <c r="AD139" i="2" s="1"/>
  <c r="T139" i="1"/>
  <c r="AE139" i="2" s="1"/>
  <c r="U139" i="1"/>
  <c r="AF139" i="2" s="1"/>
  <c r="V139" i="1"/>
  <c r="AG139" i="2" s="1"/>
  <c r="S140" i="1"/>
  <c r="AD140" i="2" s="1"/>
  <c r="T140" i="1"/>
  <c r="AE140" i="2" s="1"/>
  <c r="U140" i="1"/>
  <c r="AF140" i="2" s="1"/>
  <c r="V140" i="1"/>
  <c r="AG140" i="2" s="1"/>
  <c r="S141" i="1"/>
  <c r="AD141" i="2" s="1"/>
  <c r="T141" i="1"/>
  <c r="AE141" i="2" s="1"/>
  <c r="U141" i="1"/>
  <c r="AF141" i="2" s="1"/>
  <c r="V141" i="1"/>
  <c r="AG141" i="2" s="1"/>
  <c r="S142" i="1"/>
  <c r="AD142" i="2" s="1"/>
  <c r="T142" i="1"/>
  <c r="AE142" i="2" s="1"/>
  <c r="U142" i="1"/>
  <c r="AF142" i="2" s="1"/>
  <c r="V142" i="1"/>
  <c r="AG142" i="2" s="1"/>
  <c r="S143" i="1"/>
  <c r="AD143" i="2" s="1"/>
  <c r="T143" i="1"/>
  <c r="AE143" i="2" s="1"/>
  <c r="U143" i="1"/>
  <c r="AF143" i="2" s="1"/>
  <c r="V143" i="1"/>
  <c r="AG143" i="2" s="1"/>
  <c r="S144" i="1"/>
  <c r="AD144" i="2" s="1"/>
  <c r="T144" i="1"/>
  <c r="AE144" i="2" s="1"/>
  <c r="U144" i="1"/>
  <c r="AF144" i="2" s="1"/>
  <c r="V144" i="1"/>
  <c r="AG144" i="2" s="1"/>
  <c r="S145" i="1"/>
  <c r="AD145" i="2" s="1"/>
  <c r="T145" i="1"/>
  <c r="AE145" i="2" s="1"/>
  <c r="U145" i="1"/>
  <c r="AF145" i="2" s="1"/>
  <c r="V145" i="1"/>
  <c r="AG145" i="2" s="1"/>
  <c r="S146" i="1"/>
  <c r="AD146" i="2" s="1"/>
  <c r="T146" i="1"/>
  <c r="AE146" i="2" s="1"/>
  <c r="U146" i="1"/>
  <c r="AF146" i="2" s="1"/>
  <c r="V146" i="1"/>
  <c r="AG146" i="2" s="1"/>
  <c r="S147" i="1"/>
  <c r="AD147" i="2" s="1"/>
  <c r="T147" i="1"/>
  <c r="AE147" i="2" s="1"/>
  <c r="U147" i="1"/>
  <c r="AF147" i="2" s="1"/>
  <c r="V147" i="1"/>
  <c r="AG147" i="2" s="1"/>
  <c r="S148" i="1"/>
  <c r="AD148" i="2" s="1"/>
  <c r="T148" i="1"/>
  <c r="AE148" i="2" s="1"/>
  <c r="U148" i="1"/>
  <c r="AF148" i="2" s="1"/>
  <c r="V148" i="1"/>
  <c r="AG148" i="2" s="1"/>
  <c r="S149" i="1"/>
  <c r="AD149" i="2" s="1"/>
  <c r="T149" i="1"/>
  <c r="AE149" i="2" s="1"/>
  <c r="U149" i="1"/>
  <c r="AF149" i="2" s="1"/>
  <c r="V149" i="1"/>
  <c r="AG149" i="2" s="1"/>
  <c r="S150" i="1"/>
  <c r="AD150" i="2" s="1"/>
  <c r="T150" i="1"/>
  <c r="AE150" i="2" s="1"/>
  <c r="U150" i="1"/>
  <c r="AF150" i="2" s="1"/>
  <c r="V150" i="1"/>
  <c r="AG150" i="2" s="1"/>
  <c r="S151" i="1"/>
  <c r="AD151" i="2" s="1"/>
  <c r="T151" i="1"/>
  <c r="AE151" i="2" s="1"/>
  <c r="U151" i="1"/>
  <c r="AF151" i="2" s="1"/>
  <c r="V151" i="1"/>
  <c r="AG151" i="2" s="1"/>
  <c r="S152" i="1"/>
  <c r="AD152" i="2" s="1"/>
  <c r="T152" i="1"/>
  <c r="AE152" i="2" s="1"/>
  <c r="U152" i="1"/>
  <c r="AF152" i="2" s="1"/>
  <c r="V152" i="1"/>
  <c r="AG152" i="2" s="1"/>
  <c r="S153" i="1"/>
  <c r="AD153" i="2" s="1"/>
  <c r="T153" i="1"/>
  <c r="AE153" i="2" s="1"/>
  <c r="U153" i="1"/>
  <c r="AF153" i="2" s="1"/>
  <c r="V153" i="1"/>
  <c r="AG153" i="2" s="1"/>
  <c r="S154" i="1"/>
  <c r="AD154" i="2" s="1"/>
  <c r="T154" i="1"/>
  <c r="AE154" i="2" s="1"/>
  <c r="U154" i="1"/>
  <c r="AF154" i="2" s="1"/>
  <c r="V154" i="1"/>
  <c r="AG154" i="2" s="1"/>
  <c r="S155" i="1"/>
  <c r="AD155" i="2" s="1"/>
  <c r="T155" i="1"/>
  <c r="AE155" i="2" s="1"/>
  <c r="U155" i="1"/>
  <c r="AF155" i="2" s="1"/>
  <c r="V155" i="1"/>
  <c r="AG155" i="2" s="1"/>
  <c r="S156" i="1"/>
  <c r="AD156" i="2" s="1"/>
  <c r="T156" i="1"/>
  <c r="AE156" i="2" s="1"/>
  <c r="U156" i="1"/>
  <c r="AF156" i="2" s="1"/>
  <c r="V156" i="1"/>
  <c r="AG156" i="2" s="1"/>
  <c r="S157" i="1"/>
  <c r="AD157" i="2" s="1"/>
  <c r="T157" i="1"/>
  <c r="AE157" i="2" s="1"/>
  <c r="U157" i="1"/>
  <c r="AF157" i="2" s="1"/>
  <c r="V157" i="1"/>
  <c r="AG157" i="2" s="1"/>
  <c r="S158" i="1"/>
  <c r="AD158" i="2" s="1"/>
  <c r="T158" i="1"/>
  <c r="AE158" i="2" s="1"/>
  <c r="U158" i="1"/>
  <c r="AF158" i="2" s="1"/>
  <c r="V158" i="1"/>
  <c r="AG158" i="2" s="1"/>
  <c r="S159" i="1"/>
  <c r="AD159" i="2" s="1"/>
  <c r="T159" i="1"/>
  <c r="AE159" i="2" s="1"/>
  <c r="U159" i="1"/>
  <c r="AF159" i="2" s="1"/>
  <c r="V159" i="1"/>
  <c r="AG159" i="2" s="1"/>
  <c r="S160" i="1"/>
  <c r="AD160" i="2" s="1"/>
  <c r="T160" i="1"/>
  <c r="AE160" i="2" s="1"/>
  <c r="U160" i="1"/>
  <c r="AF160" i="2" s="1"/>
  <c r="V160" i="1"/>
  <c r="AG160" i="2" s="1"/>
  <c r="S161" i="1"/>
  <c r="AD161" i="2" s="1"/>
  <c r="T161" i="1"/>
  <c r="AE161" i="2" s="1"/>
  <c r="U161" i="1"/>
  <c r="AF161" i="2" s="1"/>
  <c r="V161" i="1"/>
  <c r="AG161" i="2" s="1"/>
  <c r="S162" i="1"/>
  <c r="AD162" i="2" s="1"/>
  <c r="T162" i="1"/>
  <c r="AE162" i="2" s="1"/>
  <c r="U162" i="1"/>
  <c r="AF162" i="2" s="1"/>
  <c r="V162" i="1"/>
  <c r="AG162" i="2" s="1"/>
  <c r="S163" i="1"/>
  <c r="AD163" i="2" s="1"/>
  <c r="T163" i="1"/>
  <c r="AE163" i="2" s="1"/>
  <c r="U163" i="1"/>
  <c r="AF163" i="2" s="1"/>
  <c r="V163" i="1"/>
  <c r="AG163" i="2" s="1"/>
  <c r="S164" i="1"/>
  <c r="AD164" i="2" s="1"/>
  <c r="T164" i="1"/>
  <c r="AE164" i="2" s="1"/>
  <c r="U164" i="1"/>
  <c r="AF164" i="2" s="1"/>
  <c r="V164" i="1"/>
  <c r="AG164" i="2" s="1"/>
  <c r="S165" i="1"/>
  <c r="AD165" i="2" s="1"/>
  <c r="T165" i="1"/>
  <c r="AE165" i="2" s="1"/>
  <c r="U165" i="1"/>
  <c r="AF165" i="2" s="1"/>
  <c r="V165" i="1"/>
  <c r="AG165" i="2" s="1"/>
  <c r="S166" i="1"/>
  <c r="AD166" i="2" s="1"/>
  <c r="T166" i="1"/>
  <c r="AE166" i="2" s="1"/>
  <c r="U166" i="1"/>
  <c r="AF166" i="2" s="1"/>
  <c r="V166" i="1"/>
  <c r="AG166" i="2" s="1"/>
  <c r="S167" i="1"/>
  <c r="AD167" i="2" s="1"/>
  <c r="T167" i="1"/>
  <c r="AE167" i="2" s="1"/>
  <c r="U167" i="1"/>
  <c r="AF167" i="2" s="1"/>
  <c r="V167" i="1"/>
  <c r="AG167" i="2" s="1"/>
  <c r="S168" i="1"/>
  <c r="AD168" i="2" s="1"/>
  <c r="T168" i="1"/>
  <c r="AE168" i="2" s="1"/>
  <c r="U168" i="1"/>
  <c r="AF168" i="2" s="1"/>
  <c r="V168" i="1"/>
  <c r="AG168" i="2" s="1"/>
  <c r="S169" i="1"/>
  <c r="AD169" i="2" s="1"/>
  <c r="T169" i="1"/>
  <c r="AE169" i="2" s="1"/>
  <c r="U169" i="1"/>
  <c r="AF169" i="2" s="1"/>
  <c r="V169" i="1"/>
  <c r="AG169" i="2" s="1"/>
  <c r="S170" i="1"/>
  <c r="AD170" i="2" s="1"/>
  <c r="T170" i="1"/>
  <c r="AE170" i="2" s="1"/>
  <c r="U170" i="1"/>
  <c r="AF170" i="2" s="1"/>
  <c r="V170" i="1"/>
  <c r="AG170" i="2" s="1"/>
  <c r="S171" i="1"/>
  <c r="AD171" i="2" s="1"/>
  <c r="T171" i="1"/>
  <c r="AE171" i="2" s="1"/>
  <c r="U171" i="1"/>
  <c r="AF171" i="2" s="1"/>
  <c r="V171" i="1"/>
  <c r="AG171" i="2" s="1"/>
  <c r="S172" i="1"/>
  <c r="AD172" i="2" s="1"/>
  <c r="T172" i="1"/>
  <c r="AE172" i="2" s="1"/>
  <c r="U172" i="1"/>
  <c r="AF172" i="2" s="1"/>
  <c r="V172" i="1"/>
  <c r="AG172" i="2" s="1"/>
  <c r="S173" i="1"/>
  <c r="AD173" i="2" s="1"/>
  <c r="T173" i="1"/>
  <c r="AE173" i="2" s="1"/>
  <c r="U173" i="1"/>
  <c r="AF173" i="2" s="1"/>
  <c r="V173" i="1"/>
  <c r="AG173" i="2" s="1"/>
  <c r="S174" i="1"/>
  <c r="AD174" i="2" s="1"/>
  <c r="T174" i="1"/>
  <c r="AE174" i="2" s="1"/>
  <c r="U174" i="1"/>
  <c r="AF174" i="2" s="1"/>
  <c r="V174" i="1"/>
  <c r="AG174" i="2" s="1"/>
  <c r="S175" i="1"/>
  <c r="AD175" i="2" s="1"/>
  <c r="T175" i="1"/>
  <c r="AE175" i="2" s="1"/>
  <c r="U175" i="1"/>
  <c r="AF175" i="2" s="1"/>
  <c r="V175" i="1"/>
  <c r="AG175" i="2" s="1"/>
  <c r="S176" i="1"/>
  <c r="AD176" i="2" s="1"/>
  <c r="T176" i="1"/>
  <c r="AE176" i="2" s="1"/>
  <c r="U176" i="1"/>
  <c r="AF176" i="2" s="1"/>
  <c r="V176" i="1"/>
  <c r="AG176" i="2" s="1"/>
  <c r="S177" i="1"/>
  <c r="AD177" i="2" s="1"/>
  <c r="T177" i="1"/>
  <c r="AE177" i="2" s="1"/>
  <c r="U177" i="1"/>
  <c r="AF177" i="2" s="1"/>
  <c r="V177" i="1"/>
  <c r="AG177" i="2" s="1"/>
  <c r="S178" i="1"/>
  <c r="AD178" i="2" s="1"/>
  <c r="T178" i="1"/>
  <c r="AE178" i="2" s="1"/>
  <c r="U178" i="1"/>
  <c r="AF178" i="2" s="1"/>
  <c r="V178" i="1"/>
  <c r="AG178" i="2" s="1"/>
  <c r="S179" i="1"/>
  <c r="AD179" i="2" s="1"/>
  <c r="T179" i="1"/>
  <c r="AE179" i="2" s="1"/>
  <c r="U179" i="1"/>
  <c r="AF179" i="2" s="1"/>
  <c r="V179" i="1"/>
  <c r="AG179" i="2" s="1"/>
  <c r="S180" i="1"/>
  <c r="AD180" i="2" s="1"/>
  <c r="T180" i="1"/>
  <c r="AE180" i="2" s="1"/>
  <c r="U180" i="1"/>
  <c r="AF180" i="2" s="1"/>
  <c r="V180" i="1"/>
  <c r="AG180" i="2" s="1"/>
  <c r="S181" i="1"/>
  <c r="AD181" i="2" s="1"/>
  <c r="T181" i="1"/>
  <c r="AE181" i="2" s="1"/>
  <c r="U181" i="1"/>
  <c r="AF181" i="2" s="1"/>
  <c r="V181" i="1"/>
  <c r="AG181" i="2" s="1"/>
  <c r="S182" i="1"/>
  <c r="AD182" i="2" s="1"/>
  <c r="T182" i="1"/>
  <c r="AE182" i="2" s="1"/>
  <c r="U182" i="1"/>
  <c r="AF182" i="2" s="1"/>
  <c r="V182" i="1"/>
  <c r="AG182" i="2" s="1"/>
  <c r="S183" i="1"/>
  <c r="AD183" i="2" s="1"/>
  <c r="T183" i="1"/>
  <c r="AE183" i="2" s="1"/>
  <c r="U183" i="1"/>
  <c r="AF183" i="2" s="1"/>
  <c r="V183" i="1"/>
  <c r="AG183" i="2" s="1"/>
  <c r="S184" i="1"/>
  <c r="AD184" i="2" s="1"/>
  <c r="T184" i="1"/>
  <c r="AE184" i="2" s="1"/>
  <c r="U184" i="1"/>
  <c r="AF184" i="2" s="1"/>
  <c r="V184" i="1"/>
  <c r="AG184" i="2" s="1"/>
  <c r="S185" i="1"/>
  <c r="AD185" i="2" s="1"/>
  <c r="T185" i="1"/>
  <c r="AE185" i="2" s="1"/>
  <c r="U185" i="1"/>
  <c r="AF185" i="2" s="1"/>
  <c r="V185" i="1"/>
  <c r="AG185" i="2" s="1"/>
  <c r="S186" i="1"/>
  <c r="AD186" i="2" s="1"/>
  <c r="T186" i="1"/>
  <c r="AE186" i="2" s="1"/>
  <c r="U186" i="1"/>
  <c r="AF186" i="2" s="1"/>
  <c r="V186" i="1"/>
  <c r="AG186" i="2" s="1"/>
  <c r="S187" i="1"/>
  <c r="AD187" i="2" s="1"/>
  <c r="T187" i="1"/>
  <c r="AE187" i="2" s="1"/>
  <c r="U187" i="1"/>
  <c r="AF187" i="2" s="1"/>
  <c r="V187" i="1"/>
  <c r="AG187" i="2" s="1"/>
  <c r="S188" i="1"/>
  <c r="AD188" i="2" s="1"/>
  <c r="T188" i="1"/>
  <c r="AE188" i="2" s="1"/>
  <c r="U188" i="1"/>
  <c r="AF188" i="2" s="1"/>
  <c r="V188" i="1"/>
  <c r="AG188" i="2" s="1"/>
  <c r="S189" i="1"/>
  <c r="AD189" i="2" s="1"/>
  <c r="T189" i="1"/>
  <c r="AE189" i="2" s="1"/>
  <c r="U189" i="1"/>
  <c r="AF189" i="2" s="1"/>
  <c r="V189" i="1"/>
  <c r="AG189" i="2" s="1"/>
  <c r="S190" i="1"/>
  <c r="AD190" i="2" s="1"/>
  <c r="T190" i="1"/>
  <c r="AE190" i="2" s="1"/>
  <c r="U190" i="1"/>
  <c r="AF190" i="2" s="1"/>
  <c r="V190" i="1"/>
  <c r="AG190" i="2" s="1"/>
  <c r="S191" i="1"/>
  <c r="AD191" i="2" s="1"/>
  <c r="T191" i="1"/>
  <c r="AE191" i="2" s="1"/>
  <c r="U191" i="1"/>
  <c r="AF191" i="2" s="1"/>
  <c r="V191" i="1"/>
  <c r="AG191" i="2" s="1"/>
  <c r="S192" i="1"/>
  <c r="AD192" i="2" s="1"/>
  <c r="T192" i="1"/>
  <c r="AE192" i="2" s="1"/>
  <c r="U192" i="1"/>
  <c r="AF192" i="2" s="1"/>
  <c r="V192" i="1"/>
  <c r="AG192" i="2" s="1"/>
  <c r="S193" i="1"/>
  <c r="AD193" i="2" s="1"/>
  <c r="T193" i="1"/>
  <c r="AE193" i="2" s="1"/>
  <c r="U193" i="1"/>
  <c r="AF193" i="2" s="1"/>
  <c r="V193" i="1"/>
  <c r="AG193" i="2" s="1"/>
  <c r="S194" i="1"/>
  <c r="AD194" i="2" s="1"/>
  <c r="T194" i="1"/>
  <c r="AE194" i="2" s="1"/>
  <c r="U194" i="1"/>
  <c r="AF194" i="2" s="1"/>
  <c r="V194" i="1"/>
  <c r="AG194" i="2" s="1"/>
  <c r="S195" i="1"/>
  <c r="AD195" i="2" s="1"/>
  <c r="T195" i="1"/>
  <c r="AE195" i="2" s="1"/>
  <c r="U195" i="1"/>
  <c r="AF195" i="2" s="1"/>
  <c r="V195" i="1"/>
  <c r="AG195" i="2" s="1"/>
  <c r="S196" i="1"/>
  <c r="AD196" i="2" s="1"/>
  <c r="T196" i="1"/>
  <c r="AE196" i="2" s="1"/>
  <c r="U196" i="1"/>
  <c r="AF196" i="2" s="1"/>
  <c r="V196" i="1"/>
  <c r="AG196" i="2" s="1"/>
  <c r="S197" i="1"/>
  <c r="AD197" i="2" s="1"/>
  <c r="T197" i="1"/>
  <c r="AE197" i="2" s="1"/>
  <c r="U197" i="1"/>
  <c r="AF197" i="2" s="1"/>
  <c r="V197" i="1"/>
  <c r="AG197" i="2" s="1"/>
  <c r="S198" i="1"/>
  <c r="AD198" i="2" s="1"/>
  <c r="T198" i="1"/>
  <c r="AE198" i="2" s="1"/>
  <c r="U198" i="1"/>
  <c r="AF198" i="2" s="1"/>
  <c r="V198" i="1"/>
  <c r="AG198" i="2" s="1"/>
  <c r="S199" i="1"/>
  <c r="AD199" i="2" s="1"/>
  <c r="T199" i="1"/>
  <c r="AE199" i="2" s="1"/>
  <c r="U199" i="1"/>
  <c r="AF199" i="2" s="1"/>
  <c r="V199" i="1"/>
  <c r="AG199" i="2" s="1"/>
  <c r="S200" i="1"/>
  <c r="AD200" i="2" s="1"/>
  <c r="T200" i="1"/>
  <c r="AE200" i="2" s="1"/>
  <c r="U200" i="1"/>
  <c r="AF200" i="2" s="1"/>
  <c r="V200" i="1"/>
  <c r="AG200" i="2" s="1"/>
  <c r="S201" i="1"/>
  <c r="AD201" i="2" s="1"/>
  <c r="T201" i="1"/>
  <c r="AE201" i="2" s="1"/>
  <c r="U201" i="1"/>
  <c r="AF201" i="2" s="1"/>
  <c r="V201" i="1"/>
  <c r="AG201" i="2" s="1"/>
  <c r="S202" i="1"/>
  <c r="AD202" i="2" s="1"/>
  <c r="T202" i="1"/>
  <c r="AE202" i="2" s="1"/>
  <c r="U202" i="1"/>
  <c r="AF202" i="2" s="1"/>
  <c r="V202" i="1"/>
  <c r="AG202" i="2" s="1"/>
  <c r="S203" i="1"/>
  <c r="AD203" i="2" s="1"/>
  <c r="T203" i="1"/>
  <c r="AE203" i="2" s="1"/>
  <c r="U203" i="1"/>
  <c r="AF203" i="2" s="1"/>
  <c r="V203" i="1"/>
  <c r="AG203" i="2" s="1"/>
  <c r="S204" i="1"/>
  <c r="AD204" i="2" s="1"/>
  <c r="T204" i="1"/>
  <c r="AE204" i="2" s="1"/>
  <c r="U204" i="1"/>
  <c r="AF204" i="2" s="1"/>
  <c r="V204" i="1"/>
  <c r="AG204" i="2" s="1"/>
  <c r="S205" i="1"/>
  <c r="AD205" i="2" s="1"/>
  <c r="T205" i="1"/>
  <c r="AE205" i="2" s="1"/>
  <c r="U205" i="1"/>
  <c r="AF205" i="2" s="1"/>
  <c r="V205" i="1"/>
  <c r="AG205" i="2" s="1"/>
  <c r="S206" i="1"/>
  <c r="AD206" i="2" s="1"/>
  <c r="T206" i="1"/>
  <c r="AE206" i="2" s="1"/>
  <c r="U206" i="1"/>
  <c r="AF206" i="2" s="1"/>
  <c r="V206" i="1"/>
  <c r="AG206" i="2" s="1"/>
  <c r="S207" i="1"/>
  <c r="AD207" i="2" s="1"/>
  <c r="T207" i="1"/>
  <c r="AE207" i="2" s="1"/>
  <c r="U207" i="1"/>
  <c r="AF207" i="2" s="1"/>
  <c r="V207" i="1"/>
  <c r="AG207" i="2" s="1"/>
  <c r="S208" i="1"/>
  <c r="AD208" i="2" s="1"/>
  <c r="T208" i="1"/>
  <c r="AE208" i="2" s="1"/>
  <c r="U208" i="1"/>
  <c r="AF208" i="2" s="1"/>
  <c r="V208" i="1"/>
  <c r="AG208" i="2" s="1"/>
  <c r="S209" i="1"/>
  <c r="AD209" i="2" s="1"/>
  <c r="T209" i="1"/>
  <c r="AE209" i="2" s="1"/>
  <c r="U209" i="1"/>
  <c r="AF209" i="2" s="1"/>
  <c r="V209" i="1"/>
  <c r="AG209" i="2" s="1"/>
  <c r="S210" i="1"/>
  <c r="AD210" i="2" s="1"/>
  <c r="T210" i="1"/>
  <c r="AE210" i="2" s="1"/>
  <c r="U210" i="1"/>
  <c r="AF210" i="2" s="1"/>
  <c r="V210" i="1"/>
  <c r="AG210" i="2" s="1"/>
  <c r="S211" i="1"/>
  <c r="AD211" i="2" s="1"/>
  <c r="T211" i="1"/>
  <c r="AE211" i="2" s="1"/>
  <c r="U211" i="1"/>
  <c r="AF211" i="2" s="1"/>
  <c r="V211" i="1"/>
  <c r="AG211" i="2" s="1"/>
  <c r="S212" i="1"/>
  <c r="AD212" i="2" s="1"/>
  <c r="T212" i="1"/>
  <c r="AE212" i="2" s="1"/>
  <c r="U212" i="1"/>
  <c r="AF212" i="2" s="1"/>
  <c r="V212" i="1"/>
  <c r="AG212" i="2" s="1"/>
  <c r="S213" i="1"/>
  <c r="AD213" i="2" s="1"/>
  <c r="T213" i="1"/>
  <c r="AE213" i="2" s="1"/>
  <c r="U213" i="1"/>
  <c r="AF213" i="2" s="1"/>
  <c r="V213" i="1"/>
  <c r="AG213" i="2" s="1"/>
  <c r="S214" i="1"/>
  <c r="AD214" i="2" s="1"/>
  <c r="T214" i="1"/>
  <c r="AE214" i="2" s="1"/>
  <c r="U214" i="1"/>
  <c r="AF214" i="2" s="1"/>
  <c r="V214" i="1"/>
  <c r="AG214" i="2" s="1"/>
  <c r="S215" i="1"/>
  <c r="AD215" i="2" s="1"/>
  <c r="T215" i="1"/>
  <c r="AE215" i="2" s="1"/>
  <c r="U215" i="1"/>
  <c r="AF215" i="2" s="1"/>
  <c r="V215" i="1"/>
  <c r="AG215" i="2" s="1"/>
  <c r="S216" i="1"/>
  <c r="AD216" i="2" s="1"/>
  <c r="T216" i="1"/>
  <c r="AE216" i="2" s="1"/>
  <c r="U216" i="1"/>
  <c r="AF216" i="2" s="1"/>
  <c r="V216" i="1"/>
  <c r="AG216" i="2" s="1"/>
  <c r="S217" i="1"/>
  <c r="AD217" i="2" s="1"/>
  <c r="T217" i="1"/>
  <c r="AE217" i="2" s="1"/>
  <c r="U217" i="1"/>
  <c r="AF217" i="2" s="1"/>
  <c r="V217" i="1"/>
  <c r="AG217" i="2" s="1"/>
  <c r="S218" i="1"/>
  <c r="AD218" i="2" s="1"/>
  <c r="T218" i="1"/>
  <c r="AE218" i="2" s="1"/>
  <c r="U218" i="1"/>
  <c r="AF218" i="2" s="1"/>
  <c r="V218" i="1"/>
  <c r="AG218" i="2" s="1"/>
  <c r="S219" i="1"/>
  <c r="AD219" i="2" s="1"/>
  <c r="T219" i="1"/>
  <c r="AE219" i="2" s="1"/>
  <c r="U219" i="1"/>
  <c r="AF219" i="2" s="1"/>
  <c r="V219" i="1"/>
  <c r="AG219" i="2" s="1"/>
  <c r="S220" i="1"/>
  <c r="AD220" i="2" s="1"/>
  <c r="T220" i="1"/>
  <c r="AE220" i="2" s="1"/>
  <c r="U220" i="1"/>
  <c r="AF220" i="2" s="1"/>
  <c r="V220" i="1"/>
  <c r="AG220" i="2" s="1"/>
  <c r="S221" i="1"/>
  <c r="AD221" i="2" s="1"/>
  <c r="T221" i="1"/>
  <c r="AE221" i="2" s="1"/>
  <c r="U221" i="1"/>
  <c r="AF221" i="2" s="1"/>
  <c r="V221" i="1"/>
  <c r="AG221" i="2" s="1"/>
  <c r="S222" i="1"/>
  <c r="AD222" i="2" s="1"/>
  <c r="T222" i="1"/>
  <c r="AE222" i="2" s="1"/>
  <c r="U222" i="1"/>
  <c r="AF222" i="2" s="1"/>
  <c r="V222" i="1"/>
  <c r="AG222" i="2" s="1"/>
  <c r="S223" i="1"/>
  <c r="AD223" i="2" s="1"/>
  <c r="T223" i="1"/>
  <c r="AE223" i="2" s="1"/>
  <c r="U223" i="1"/>
  <c r="AF223" i="2" s="1"/>
  <c r="V223" i="1"/>
  <c r="AG223" i="2" s="1"/>
  <c r="S224" i="1"/>
  <c r="AD224" i="2" s="1"/>
  <c r="T224" i="1"/>
  <c r="AE224" i="2" s="1"/>
  <c r="U224" i="1"/>
  <c r="AF224" i="2" s="1"/>
  <c r="V224" i="1"/>
  <c r="AG224" i="2" s="1"/>
  <c r="S225" i="1"/>
  <c r="AD225" i="2" s="1"/>
  <c r="T225" i="1"/>
  <c r="AE225" i="2" s="1"/>
  <c r="U225" i="1"/>
  <c r="AF225" i="2" s="1"/>
  <c r="V225" i="1"/>
  <c r="AG225" i="2" s="1"/>
  <c r="S226" i="1"/>
  <c r="AD226" i="2" s="1"/>
  <c r="T226" i="1"/>
  <c r="AE226" i="2" s="1"/>
  <c r="U226" i="1"/>
  <c r="AF226" i="2" s="1"/>
  <c r="V226" i="1"/>
  <c r="AG226" i="2" s="1"/>
  <c r="S227" i="1"/>
  <c r="AD227" i="2" s="1"/>
  <c r="T227" i="1"/>
  <c r="AE227" i="2" s="1"/>
  <c r="U227" i="1"/>
  <c r="AF227" i="2" s="1"/>
  <c r="V227" i="1"/>
  <c r="AG227" i="2" s="1"/>
  <c r="S228" i="1"/>
  <c r="AD228" i="2" s="1"/>
  <c r="T228" i="1"/>
  <c r="AE228" i="2" s="1"/>
  <c r="U228" i="1"/>
  <c r="AF228" i="2" s="1"/>
  <c r="V228" i="1"/>
  <c r="AG228" i="2" s="1"/>
  <c r="S229" i="1"/>
  <c r="AD229" i="2" s="1"/>
  <c r="T229" i="1"/>
  <c r="AE229" i="2" s="1"/>
  <c r="U229" i="1"/>
  <c r="AF229" i="2" s="1"/>
  <c r="V229" i="1"/>
  <c r="AG229" i="2" s="1"/>
  <c r="S230" i="1"/>
  <c r="AD230" i="2" s="1"/>
  <c r="T230" i="1"/>
  <c r="AE230" i="2" s="1"/>
  <c r="U230" i="1"/>
  <c r="AF230" i="2" s="1"/>
  <c r="V230" i="1"/>
  <c r="AG230" i="2" s="1"/>
  <c r="S231" i="1"/>
  <c r="AD231" i="2" s="1"/>
  <c r="T231" i="1"/>
  <c r="AE231" i="2" s="1"/>
  <c r="U231" i="1"/>
  <c r="AF231" i="2" s="1"/>
  <c r="V231" i="1"/>
  <c r="AG231" i="2" s="1"/>
  <c r="S232" i="1"/>
  <c r="AD232" i="2" s="1"/>
  <c r="T232" i="1"/>
  <c r="AE232" i="2" s="1"/>
  <c r="U232" i="1"/>
  <c r="AF232" i="2" s="1"/>
  <c r="V232" i="1"/>
  <c r="AG232" i="2" s="1"/>
  <c r="S233" i="1"/>
  <c r="AD233" i="2" s="1"/>
  <c r="T233" i="1"/>
  <c r="AE233" i="2" s="1"/>
  <c r="U233" i="1"/>
  <c r="AF233" i="2" s="1"/>
  <c r="V233" i="1"/>
  <c r="AG233" i="2" s="1"/>
  <c r="S234" i="1"/>
  <c r="AD234" i="2" s="1"/>
  <c r="T234" i="1"/>
  <c r="AE234" i="2" s="1"/>
  <c r="U234" i="1"/>
  <c r="AF234" i="2" s="1"/>
  <c r="V234" i="1"/>
  <c r="AG234" i="2" s="1"/>
  <c r="S235" i="1"/>
  <c r="AD235" i="2" s="1"/>
  <c r="T235" i="1"/>
  <c r="AE235" i="2" s="1"/>
  <c r="U235" i="1"/>
  <c r="AF235" i="2" s="1"/>
  <c r="V235" i="1"/>
  <c r="AG235" i="2" s="1"/>
  <c r="S236" i="1"/>
  <c r="AD236" i="2" s="1"/>
  <c r="T236" i="1"/>
  <c r="AE236" i="2" s="1"/>
  <c r="U236" i="1"/>
  <c r="AF236" i="2" s="1"/>
  <c r="V236" i="1"/>
  <c r="AG236" i="2" s="1"/>
  <c r="S237" i="1"/>
  <c r="AD237" i="2" s="1"/>
  <c r="T237" i="1"/>
  <c r="AE237" i="2" s="1"/>
  <c r="U237" i="1"/>
  <c r="AF237" i="2" s="1"/>
  <c r="V237" i="1"/>
  <c r="AG237" i="2" s="1"/>
  <c r="S238" i="1"/>
  <c r="AD238" i="2" s="1"/>
  <c r="T238" i="1"/>
  <c r="AE238" i="2" s="1"/>
  <c r="U238" i="1"/>
  <c r="AF238" i="2" s="1"/>
  <c r="V238" i="1"/>
  <c r="AG238" i="2" s="1"/>
  <c r="S239" i="1"/>
  <c r="AD239" i="2" s="1"/>
  <c r="T239" i="1"/>
  <c r="AE239" i="2" s="1"/>
  <c r="U239" i="1"/>
  <c r="AF239" i="2" s="1"/>
  <c r="V239" i="1"/>
  <c r="AG239" i="2" s="1"/>
  <c r="S240" i="1"/>
  <c r="AD240" i="2" s="1"/>
  <c r="T240" i="1"/>
  <c r="AE240" i="2" s="1"/>
  <c r="U240" i="1"/>
  <c r="AF240" i="2" s="1"/>
  <c r="V240" i="1"/>
  <c r="AG240" i="2" s="1"/>
  <c r="S241" i="1"/>
  <c r="AD241" i="2" s="1"/>
  <c r="T241" i="1"/>
  <c r="AE241" i="2" s="1"/>
  <c r="U241" i="1"/>
  <c r="AF241" i="2" s="1"/>
  <c r="V241" i="1"/>
  <c r="AG241" i="2" s="1"/>
  <c r="S242" i="1"/>
  <c r="AD242" i="2" s="1"/>
  <c r="T242" i="1"/>
  <c r="AE242" i="2" s="1"/>
  <c r="U242" i="1"/>
  <c r="AF242" i="2" s="1"/>
  <c r="V242" i="1"/>
  <c r="AG242" i="2" s="1"/>
  <c r="S243" i="1"/>
  <c r="AD243" i="2" s="1"/>
  <c r="T243" i="1"/>
  <c r="AE243" i="2" s="1"/>
  <c r="U243" i="1"/>
  <c r="AF243" i="2" s="1"/>
  <c r="V243" i="1"/>
  <c r="AG243" i="2" s="1"/>
  <c r="S244" i="1"/>
  <c r="AD244" i="2" s="1"/>
  <c r="T244" i="1"/>
  <c r="AE244" i="2" s="1"/>
  <c r="U244" i="1"/>
  <c r="AF244" i="2" s="1"/>
  <c r="V244" i="1"/>
  <c r="AG244" i="2" s="1"/>
  <c r="S245" i="1"/>
  <c r="AD245" i="2" s="1"/>
  <c r="T245" i="1"/>
  <c r="AE245" i="2" s="1"/>
  <c r="U245" i="1"/>
  <c r="AF245" i="2" s="1"/>
  <c r="V245" i="1"/>
  <c r="AG245" i="2" s="1"/>
  <c r="S246" i="1"/>
  <c r="AD246" i="2" s="1"/>
  <c r="T246" i="1"/>
  <c r="AE246" i="2" s="1"/>
  <c r="U246" i="1"/>
  <c r="AF246" i="2" s="1"/>
  <c r="V246" i="1"/>
  <c r="AG246" i="2" s="1"/>
  <c r="S247" i="1"/>
  <c r="AD247" i="2" s="1"/>
  <c r="T247" i="1"/>
  <c r="AE247" i="2" s="1"/>
  <c r="U247" i="1"/>
  <c r="AF247" i="2" s="1"/>
  <c r="V247" i="1"/>
  <c r="AG247" i="2" s="1"/>
  <c r="S248" i="1"/>
  <c r="AD248" i="2" s="1"/>
  <c r="T248" i="1"/>
  <c r="AE248" i="2" s="1"/>
  <c r="U248" i="1"/>
  <c r="AF248" i="2" s="1"/>
  <c r="V248" i="1"/>
  <c r="AG248" i="2" s="1"/>
  <c r="S249" i="1"/>
  <c r="AD249" i="2" s="1"/>
  <c r="T249" i="1"/>
  <c r="AE249" i="2" s="1"/>
  <c r="U249" i="1"/>
  <c r="AF249" i="2" s="1"/>
  <c r="V249" i="1"/>
  <c r="AG249" i="2" s="1"/>
  <c r="S250" i="1"/>
  <c r="AD250" i="2" s="1"/>
  <c r="T250" i="1"/>
  <c r="AE250" i="2" s="1"/>
  <c r="U250" i="1"/>
  <c r="AF250" i="2" s="1"/>
  <c r="V250" i="1"/>
  <c r="AG250" i="2" s="1"/>
  <c r="S251" i="1"/>
  <c r="AD251" i="2" s="1"/>
  <c r="T251" i="1"/>
  <c r="AE251" i="2" s="1"/>
  <c r="U251" i="1"/>
  <c r="AF251" i="2" s="1"/>
  <c r="V251" i="1"/>
  <c r="AG251" i="2" s="1"/>
  <c r="S252" i="1"/>
  <c r="AD252" i="2" s="1"/>
  <c r="T252" i="1"/>
  <c r="AE252" i="2" s="1"/>
  <c r="U252" i="1"/>
  <c r="AF252" i="2" s="1"/>
  <c r="V252" i="1"/>
  <c r="AG252" i="2" s="1"/>
  <c r="S253" i="1"/>
  <c r="AD253" i="2" s="1"/>
  <c r="T253" i="1"/>
  <c r="AE253" i="2" s="1"/>
  <c r="U253" i="1"/>
  <c r="AF253" i="2" s="1"/>
  <c r="V253" i="1"/>
  <c r="AG253" i="2" s="1"/>
  <c r="S254" i="1"/>
  <c r="AD254" i="2" s="1"/>
  <c r="T254" i="1"/>
  <c r="AE254" i="2" s="1"/>
  <c r="U254" i="1"/>
  <c r="AF254" i="2" s="1"/>
  <c r="V254" i="1"/>
  <c r="AG254" i="2" s="1"/>
  <c r="S255" i="1"/>
  <c r="AD255" i="2" s="1"/>
  <c r="T255" i="1"/>
  <c r="AE255" i="2" s="1"/>
  <c r="U255" i="1"/>
  <c r="AF255" i="2" s="1"/>
  <c r="V255" i="1"/>
  <c r="AG255" i="2" s="1"/>
  <c r="S256" i="1"/>
  <c r="AD256" i="2" s="1"/>
  <c r="T256" i="1"/>
  <c r="AE256" i="2" s="1"/>
  <c r="U256" i="1"/>
  <c r="AF256" i="2" s="1"/>
  <c r="V256" i="1"/>
  <c r="AG256" i="2" s="1"/>
  <c r="S257" i="1"/>
  <c r="AD257" i="2" s="1"/>
  <c r="T257" i="1"/>
  <c r="AE257" i="2" s="1"/>
  <c r="U257" i="1"/>
  <c r="AF257" i="2" s="1"/>
  <c r="V257" i="1"/>
  <c r="AG257" i="2" s="1"/>
  <c r="S258" i="1"/>
  <c r="AD258" i="2" s="1"/>
  <c r="T258" i="1"/>
  <c r="AE258" i="2" s="1"/>
  <c r="U258" i="1"/>
  <c r="AF258" i="2" s="1"/>
  <c r="V258" i="1"/>
  <c r="AG258" i="2" s="1"/>
  <c r="S259" i="1"/>
  <c r="AD259" i="2" s="1"/>
  <c r="T259" i="1"/>
  <c r="AE259" i="2" s="1"/>
  <c r="U259" i="1"/>
  <c r="AF259" i="2" s="1"/>
  <c r="V259" i="1"/>
  <c r="AG259" i="2" s="1"/>
  <c r="S260" i="1"/>
  <c r="AD260" i="2" s="1"/>
  <c r="T260" i="1"/>
  <c r="AE260" i="2" s="1"/>
  <c r="U260" i="1"/>
  <c r="AF260" i="2" s="1"/>
  <c r="V260" i="1"/>
  <c r="AG260" i="2" s="1"/>
  <c r="S261" i="1"/>
  <c r="AD261" i="2" s="1"/>
  <c r="T261" i="1"/>
  <c r="AE261" i="2" s="1"/>
  <c r="U261" i="1"/>
  <c r="AF261" i="2" s="1"/>
  <c r="V261" i="1"/>
  <c r="AG261" i="2" s="1"/>
  <c r="S262" i="1"/>
  <c r="AD262" i="2" s="1"/>
  <c r="T262" i="1"/>
  <c r="AE262" i="2" s="1"/>
  <c r="U262" i="1"/>
  <c r="AF262" i="2" s="1"/>
  <c r="V262" i="1"/>
  <c r="AG262" i="2" s="1"/>
  <c r="S263" i="1"/>
  <c r="AD263" i="2" s="1"/>
  <c r="T263" i="1"/>
  <c r="AE263" i="2" s="1"/>
  <c r="U263" i="1"/>
  <c r="AF263" i="2" s="1"/>
  <c r="V263" i="1"/>
  <c r="AG263" i="2" s="1"/>
  <c r="S264" i="1"/>
  <c r="AD264" i="2" s="1"/>
  <c r="T264" i="1"/>
  <c r="AE264" i="2" s="1"/>
  <c r="U264" i="1"/>
  <c r="AF264" i="2" s="1"/>
  <c r="V264" i="1"/>
  <c r="AG264" i="2" s="1"/>
  <c r="S265" i="1"/>
  <c r="AD265" i="2" s="1"/>
  <c r="T265" i="1"/>
  <c r="AE265" i="2" s="1"/>
  <c r="U265" i="1"/>
  <c r="AF265" i="2" s="1"/>
  <c r="V265" i="1"/>
  <c r="AG265" i="2" s="1"/>
  <c r="S266" i="1"/>
  <c r="AD266" i="2" s="1"/>
  <c r="T266" i="1"/>
  <c r="AE266" i="2" s="1"/>
  <c r="U266" i="1"/>
  <c r="AF266" i="2" s="1"/>
  <c r="V266" i="1"/>
  <c r="AG266" i="2" s="1"/>
  <c r="S267" i="1"/>
  <c r="AD267" i="2" s="1"/>
  <c r="T267" i="1"/>
  <c r="AE267" i="2" s="1"/>
  <c r="U267" i="1"/>
  <c r="AF267" i="2" s="1"/>
  <c r="V267" i="1"/>
  <c r="AG267" i="2" s="1"/>
  <c r="S268" i="1"/>
  <c r="AD268" i="2" s="1"/>
  <c r="T268" i="1"/>
  <c r="AE268" i="2" s="1"/>
  <c r="U268" i="1"/>
  <c r="AF268" i="2" s="1"/>
  <c r="V268" i="1"/>
  <c r="AG268" i="2" s="1"/>
  <c r="S269" i="1"/>
  <c r="AD269" i="2" s="1"/>
  <c r="T269" i="1"/>
  <c r="AE269" i="2" s="1"/>
  <c r="U269" i="1"/>
  <c r="AF269" i="2" s="1"/>
  <c r="V269" i="1"/>
  <c r="AG269" i="2" s="1"/>
  <c r="S270" i="1"/>
  <c r="AD270" i="2" s="1"/>
  <c r="T270" i="1"/>
  <c r="AE270" i="2" s="1"/>
  <c r="U270" i="1"/>
  <c r="AF270" i="2" s="1"/>
  <c r="V270" i="1"/>
  <c r="AG270" i="2" s="1"/>
  <c r="S271" i="1"/>
  <c r="AD271" i="2" s="1"/>
  <c r="T271" i="1"/>
  <c r="AE271" i="2" s="1"/>
  <c r="U271" i="1"/>
  <c r="AF271" i="2" s="1"/>
  <c r="V271" i="1"/>
  <c r="AG271" i="2" s="1"/>
  <c r="S272" i="1"/>
  <c r="AD272" i="2" s="1"/>
  <c r="T272" i="1"/>
  <c r="AE272" i="2" s="1"/>
  <c r="U272" i="1"/>
  <c r="AF272" i="2" s="1"/>
  <c r="V272" i="1"/>
  <c r="AG272" i="2" s="1"/>
  <c r="S273" i="1"/>
  <c r="AD273" i="2" s="1"/>
  <c r="T273" i="1"/>
  <c r="AE273" i="2" s="1"/>
  <c r="U273" i="1"/>
  <c r="AF273" i="2" s="1"/>
  <c r="V273" i="1"/>
  <c r="AG273" i="2" s="1"/>
  <c r="S274" i="1"/>
  <c r="AD274" i="2" s="1"/>
  <c r="T274" i="1"/>
  <c r="AE274" i="2" s="1"/>
  <c r="U274" i="1"/>
  <c r="AF274" i="2" s="1"/>
  <c r="V274" i="1"/>
  <c r="AG274" i="2" s="1"/>
  <c r="S275" i="1"/>
  <c r="AD275" i="2" s="1"/>
  <c r="T275" i="1"/>
  <c r="AE275" i="2" s="1"/>
  <c r="U275" i="1"/>
  <c r="AF275" i="2" s="1"/>
  <c r="V275" i="1"/>
  <c r="AG275" i="2" s="1"/>
  <c r="S276" i="1"/>
  <c r="AD276" i="2" s="1"/>
  <c r="T276" i="1"/>
  <c r="AE276" i="2" s="1"/>
  <c r="U276" i="1"/>
  <c r="AF276" i="2" s="1"/>
  <c r="V276" i="1"/>
  <c r="AG276" i="2" s="1"/>
  <c r="S277" i="1"/>
  <c r="AD277" i="2" s="1"/>
  <c r="T277" i="1"/>
  <c r="AE277" i="2" s="1"/>
  <c r="U277" i="1"/>
  <c r="AF277" i="2" s="1"/>
  <c r="V277" i="1"/>
  <c r="AG277" i="2" s="1"/>
  <c r="S278" i="1"/>
  <c r="AD278" i="2" s="1"/>
  <c r="T278" i="1"/>
  <c r="AE278" i="2" s="1"/>
  <c r="U278" i="1"/>
  <c r="AF278" i="2" s="1"/>
  <c r="V278" i="1"/>
  <c r="AG278" i="2" s="1"/>
  <c r="S279" i="1"/>
  <c r="AD279" i="2" s="1"/>
  <c r="T279" i="1"/>
  <c r="AE279" i="2" s="1"/>
  <c r="U279" i="1"/>
  <c r="AF279" i="2" s="1"/>
  <c r="V279" i="1"/>
  <c r="AG279" i="2" s="1"/>
  <c r="S280" i="1"/>
  <c r="AD280" i="2" s="1"/>
  <c r="T280" i="1"/>
  <c r="AE280" i="2" s="1"/>
  <c r="U280" i="1"/>
  <c r="AF280" i="2" s="1"/>
  <c r="V280" i="1"/>
  <c r="AG280" i="2" s="1"/>
  <c r="S281" i="1"/>
  <c r="AD281" i="2" s="1"/>
  <c r="T281" i="1"/>
  <c r="AE281" i="2" s="1"/>
  <c r="U281" i="1"/>
  <c r="AF281" i="2" s="1"/>
  <c r="V281" i="1"/>
  <c r="AG281" i="2" s="1"/>
  <c r="S282" i="1"/>
  <c r="AD282" i="2" s="1"/>
  <c r="T282" i="1"/>
  <c r="AE282" i="2" s="1"/>
  <c r="U282" i="1"/>
  <c r="AF282" i="2" s="1"/>
  <c r="V282" i="1"/>
  <c r="AG282" i="2" s="1"/>
  <c r="S283" i="1"/>
  <c r="AD283" i="2" s="1"/>
  <c r="T283" i="1"/>
  <c r="AE283" i="2" s="1"/>
  <c r="U283" i="1"/>
  <c r="AF283" i="2" s="1"/>
  <c r="V283" i="1"/>
  <c r="AG283" i="2" s="1"/>
  <c r="S284" i="1"/>
  <c r="AD284" i="2" s="1"/>
  <c r="T284" i="1"/>
  <c r="AE284" i="2" s="1"/>
  <c r="U284" i="1"/>
  <c r="AF284" i="2" s="1"/>
  <c r="V284" i="1"/>
  <c r="AG284" i="2" s="1"/>
  <c r="S285" i="1"/>
  <c r="AD285" i="2" s="1"/>
  <c r="T285" i="1"/>
  <c r="AE285" i="2" s="1"/>
  <c r="U285" i="1"/>
  <c r="AF285" i="2" s="1"/>
  <c r="V285" i="1"/>
  <c r="AG285" i="2" s="1"/>
  <c r="S286" i="1"/>
  <c r="AD286" i="2" s="1"/>
  <c r="T286" i="1"/>
  <c r="AE286" i="2" s="1"/>
  <c r="U286" i="1"/>
  <c r="AF286" i="2" s="1"/>
  <c r="V286" i="1"/>
  <c r="AG286" i="2" s="1"/>
  <c r="S287" i="1"/>
  <c r="AD287" i="2" s="1"/>
  <c r="T287" i="1"/>
  <c r="AE287" i="2" s="1"/>
  <c r="U287" i="1"/>
  <c r="AF287" i="2" s="1"/>
  <c r="V287" i="1"/>
  <c r="AG287" i="2" s="1"/>
  <c r="S288" i="1"/>
  <c r="AD288" i="2" s="1"/>
  <c r="T288" i="1"/>
  <c r="AE288" i="2" s="1"/>
  <c r="U288" i="1"/>
  <c r="AF288" i="2" s="1"/>
  <c r="V288" i="1"/>
  <c r="AG288" i="2" s="1"/>
  <c r="S289" i="1"/>
  <c r="AD289" i="2" s="1"/>
  <c r="T289" i="1"/>
  <c r="AE289" i="2" s="1"/>
  <c r="U289" i="1"/>
  <c r="AF289" i="2" s="1"/>
  <c r="V289" i="1"/>
  <c r="AG289" i="2" s="1"/>
  <c r="S290" i="1"/>
  <c r="AD290" i="2" s="1"/>
  <c r="T290" i="1"/>
  <c r="AE290" i="2" s="1"/>
  <c r="U290" i="1"/>
  <c r="AF290" i="2" s="1"/>
  <c r="V290" i="1"/>
  <c r="AG290" i="2" s="1"/>
  <c r="S291" i="1"/>
  <c r="AD291" i="2" s="1"/>
  <c r="T291" i="1"/>
  <c r="AE291" i="2" s="1"/>
  <c r="U291" i="1"/>
  <c r="AF291" i="2" s="1"/>
  <c r="V291" i="1"/>
  <c r="AG291" i="2" s="1"/>
  <c r="S292" i="1"/>
  <c r="AD292" i="2" s="1"/>
  <c r="T292" i="1"/>
  <c r="AE292" i="2" s="1"/>
  <c r="U292" i="1"/>
  <c r="AF292" i="2" s="1"/>
  <c r="V292" i="1"/>
  <c r="AG292" i="2" s="1"/>
  <c r="S293" i="1"/>
  <c r="AD293" i="2" s="1"/>
  <c r="T293" i="1"/>
  <c r="AE293" i="2" s="1"/>
  <c r="U293" i="1"/>
  <c r="AF293" i="2" s="1"/>
  <c r="V293" i="1"/>
  <c r="AG293" i="2" s="1"/>
  <c r="S294" i="1"/>
  <c r="AD294" i="2" s="1"/>
  <c r="T294" i="1"/>
  <c r="AE294" i="2" s="1"/>
  <c r="U294" i="1"/>
  <c r="AF294" i="2" s="1"/>
  <c r="V294" i="1"/>
  <c r="AG294" i="2" s="1"/>
  <c r="S295" i="1"/>
  <c r="AD295" i="2" s="1"/>
  <c r="T295" i="1"/>
  <c r="AE295" i="2" s="1"/>
  <c r="U295" i="1"/>
  <c r="AF295" i="2" s="1"/>
  <c r="V295" i="1"/>
  <c r="AG295" i="2" s="1"/>
  <c r="S296" i="1"/>
  <c r="AD296" i="2" s="1"/>
  <c r="T296" i="1"/>
  <c r="AE296" i="2" s="1"/>
  <c r="U296" i="1"/>
  <c r="AF296" i="2" s="1"/>
  <c r="V296" i="1"/>
  <c r="AG296" i="2" s="1"/>
  <c r="S297" i="1"/>
  <c r="AD297" i="2" s="1"/>
  <c r="T297" i="1"/>
  <c r="AE297" i="2" s="1"/>
  <c r="U297" i="1"/>
  <c r="AF297" i="2" s="1"/>
  <c r="V297" i="1"/>
  <c r="AG297" i="2" s="1"/>
  <c r="S298" i="1"/>
  <c r="AD298" i="2" s="1"/>
  <c r="T298" i="1"/>
  <c r="AE298" i="2" s="1"/>
  <c r="U298" i="1"/>
  <c r="AF298" i="2" s="1"/>
  <c r="V298" i="1"/>
  <c r="AG298" i="2" s="1"/>
  <c r="S299" i="1"/>
  <c r="AD299" i="2" s="1"/>
  <c r="T299" i="1"/>
  <c r="AE299" i="2" s="1"/>
  <c r="U299" i="1"/>
  <c r="AF299" i="2" s="1"/>
  <c r="V299" i="1"/>
  <c r="AG299" i="2" s="1"/>
  <c r="S300" i="1"/>
  <c r="AD300" i="2" s="1"/>
  <c r="T300" i="1"/>
  <c r="AE300" i="2" s="1"/>
  <c r="U300" i="1"/>
  <c r="AF300" i="2" s="1"/>
  <c r="V300" i="1"/>
  <c r="AG300" i="2" s="1"/>
  <c r="S301" i="1"/>
  <c r="AD301" i="2" s="1"/>
  <c r="T301" i="1"/>
  <c r="AE301" i="2" s="1"/>
  <c r="U301" i="1"/>
  <c r="AF301" i="2" s="1"/>
  <c r="V301" i="1"/>
  <c r="AG301" i="2" s="1"/>
  <c r="S302" i="1"/>
  <c r="AD302" i="2" s="1"/>
  <c r="T302" i="1"/>
  <c r="AE302" i="2" s="1"/>
  <c r="U302" i="1"/>
  <c r="AF302" i="2" s="1"/>
  <c r="V302" i="1"/>
  <c r="AG302" i="2" s="1"/>
  <c r="S303" i="1"/>
  <c r="AD303" i="2" s="1"/>
  <c r="T303" i="1"/>
  <c r="AE303" i="2" s="1"/>
  <c r="U303" i="1"/>
  <c r="AF303" i="2" s="1"/>
  <c r="V303" i="1"/>
  <c r="AG303" i="2" s="1"/>
  <c r="S304" i="1"/>
  <c r="AD304" i="2" s="1"/>
  <c r="T304" i="1"/>
  <c r="AE304" i="2" s="1"/>
  <c r="U304" i="1"/>
  <c r="AF304" i="2" s="1"/>
  <c r="V304" i="1"/>
  <c r="AG304" i="2" s="1"/>
  <c r="S305" i="1"/>
  <c r="AD305" i="2" s="1"/>
  <c r="T305" i="1"/>
  <c r="AE305" i="2" s="1"/>
  <c r="U305" i="1"/>
  <c r="AF305" i="2" s="1"/>
  <c r="V305" i="1"/>
  <c r="AG305" i="2" s="1"/>
  <c r="S306" i="1"/>
  <c r="AD306" i="2" s="1"/>
  <c r="T306" i="1"/>
  <c r="AE306" i="2" s="1"/>
  <c r="U306" i="1"/>
  <c r="AF306" i="2" s="1"/>
  <c r="V306" i="1"/>
  <c r="AG306" i="2" s="1"/>
  <c r="S307" i="1"/>
  <c r="AD307" i="2" s="1"/>
  <c r="T307" i="1"/>
  <c r="AE307" i="2" s="1"/>
  <c r="U307" i="1"/>
  <c r="AF307" i="2" s="1"/>
  <c r="V307" i="1"/>
  <c r="AG307" i="2" s="1"/>
  <c r="S308" i="1"/>
  <c r="AD308" i="2" s="1"/>
  <c r="T308" i="1"/>
  <c r="AE308" i="2" s="1"/>
  <c r="U308" i="1"/>
  <c r="AF308" i="2" s="1"/>
  <c r="V308" i="1"/>
  <c r="AG308" i="2" s="1"/>
  <c r="S309" i="1"/>
  <c r="AD309" i="2" s="1"/>
  <c r="T309" i="1"/>
  <c r="AE309" i="2" s="1"/>
  <c r="U309" i="1"/>
  <c r="AF309" i="2" s="1"/>
  <c r="V309" i="1"/>
  <c r="AG309" i="2" s="1"/>
  <c r="S310" i="1"/>
  <c r="AD310" i="2" s="1"/>
  <c r="T310" i="1"/>
  <c r="AE310" i="2" s="1"/>
  <c r="U310" i="1"/>
  <c r="AF310" i="2" s="1"/>
  <c r="V310" i="1"/>
  <c r="AG310" i="2" s="1"/>
  <c r="S311" i="1"/>
  <c r="AD311" i="2" s="1"/>
  <c r="T311" i="1"/>
  <c r="AE311" i="2" s="1"/>
  <c r="U311" i="1"/>
  <c r="AF311" i="2" s="1"/>
  <c r="V311" i="1"/>
  <c r="AG311" i="2" s="1"/>
  <c r="S312" i="1"/>
  <c r="AD312" i="2" s="1"/>
  <c r="T312" i="1"/>
  <c r="AE312" i="2" s="1"/>
  <c r="U312" i="1"/>
  <c r="AF312" i="2" s="1"/>
  <c r="V312" i="1"/>
  <c r="AG312" i="2" s="1"/>
  <c r="S313" i="1"/>
  <c r="AD313" i="2" s="1"/>
  <c r="T313" i="1"/>
  <c r="AE313" i="2" s="1"/>
  <c r="U313" i="1"/>
  <c r="AF313" i="2" s="1"/>
  <c r="V313" i="1"/>
  <c r="AG313" i="2" s="1"/>
  <c r="S314" i="1"/>
  <c r="AD314" i="2" s="1"/>
  <c r="T314" i="1"/>
  <c r="AE314" i="2" s="1"/>
  <c r="U314" i="1"/>
  <c r="AF314" i="2" s="1"/>
  <c r="V314" i="1"/>
  <c r="AG314" i="2" s="1"/>
  <c r="S315" i="1"/>
  <c r="AD315" i="2" s="1"/>
  <c r="T315" i="1"/>
  <c r="AE315" i="2" s="1"/>
  <c r="U315" i="1"/>
  <c r="AF315" i="2" s="1"/>
  <c r="V315" i="1"/>
  <c r="AG315" i="2" s="1"/>
  <c r="S316" i="1"/>
  <c r="AD316" i="2" s="1"/>
  <c r="T316" i="1"/>
  <c r="AE316" i="2" s="1"/>
  <c r="U316" i="1"/>
  <c r="AF316" i="2" s="1"/>
  <c r="V316" i="1"/>
  <c r="AG316" i="2" s="1"/>
  <c r="S317" i="1"/>
  <c r="AD317" i="2" s="1"/>
  <c r="T317" i="1"/>
  <c r="AE317" i="2" s="1"/>
  <c r="U317" i="1"/>
  <c r="AF317" i="2" s="1"/>
  <c r="V317" i="1"/>
  <c r="AG317" i="2" s="1"/>
  <c r="S318" i="1"/>
  <c r="AD318" i="2" s="1"/>
  <c r="T318" i="1"/>
  <c r="AE318" i="2" s="1"/>
  <c r="U318" i="1"/>
  <c r="AF318" i="2" s="1"/>
  <c r="V318" i="1"/>
  <c r="AG318" i="2" s="1"/>
  <c r="S319" i="1"/>
  <c r="AD319" i="2" s="1"/>
  <c r="T319" i="1"/>
  <c r="AE319" i="2" s="1"/>
  <c r="U319" i="1"/>
  <c r="AF319" i="2" s="1"/>
  <c r="V319" i="1"/>
  <c r="AG319" i="2" s="1"/>
  <c r="S320" i="1"/>
  <c r="AD320" i="2" s="1"/>
  <c r="T320" i="1"/>
  <c r="AE320" i="2" s="1"/>
  <c r="U320" i="1"/>
  <c r="AF320" i="2" s="1"/>
  <c r="V320" i="1"/>
  <c r="AG320" i="2" s="1"/>
  <c r="S321" i="1"/>
  <c r="AD321" i="2" s="1"/>
  <c r="T321" i="1"/>
  <c r="AE321" i="2" s="1"/>
  <c r="U321" i="1"/>
  <c r="AF321" i="2" s="1"/>
  <c r="V321" i="1"/>
  <c r="AG321" i="2" s="1"/>
  <c r="S322" i="1"/>
  <c r="AD322" i="2" s="1"/>
  <c r="T322" i="1"/>
  <c r="AE322" i="2" s="1"/>
  <c r="U322" i="1"/>
  <c r="AF322" i="2" s="1"/>
  <c r="V322" i="1"/>
  <c r="AG322" i="2" s="1"/>
  <c r="S323" i="1"/>
  <c r="AD323" i="2" s="1"/>
  <c r="T323" i="1"/>
  <c r="AE323" i="2" s="1"/>
  <c r="U323" i="1"/>
  <c r="AF323" i="2" s="1"/>
  <c r="V323" i="1"/>
  <c r="AG323" i="2" s="1"/>
  <c r="S324" i="1"/>
  <c r="AD324" i="2" s="1"/>
  <c r="T324" i="1"/>
  <c r="AE324" i="2" s="1"/>
  <c r="U324" i="1"/>
  <c r="AF324" i="2" s="1"/>
  <c r="V324" i="1"/>
  <c r="AG324" i="2" s="1"/>
  <c r="S325" i="1"/>
  <c r="AD325" i="2" s="1"/>
  <c r="T325" i="1"/>
  <c r="AE325" i="2" s="1"/>
  <c r="U325" i="1"/>
  <c r="AF325" i="2" s="1"/>
  <c r="V325" i="1"/>
  <c r="AG325" i="2" s="1"/>
  <c r="S326" i="1"/>
  <c r="AD326" i="2" s="1"/>
  <c r="T326" i="1"/>
  <c r="AE326" i="2" s="1"/>
  <c r="U326" i="1"/>
  <c r="AF326" i="2" s="1"/>
  <c r="V326" i="1"/>
  <c r="AG326" i="2" s="1"/>
  <c r="S327" i="1"/>
  <c r="AD327" i="2" s="1"/>
  <c r="T327" i="1"/>
  <c r="AE327" i="2" s="1"/>
  <c r="U327" i="1"/>
  <c r="AF327" i="2" s="1"/>
  <c r="V327" i="1"/>
  <c r="AG327" i="2" s="1"/>
  <c r="S328" i="1"/>
  <c r="AD328" i="2" s="1"/>
  <c r="T328" i="1"/>
  <c r="AE328" i="2" s="1"/>
  <c r="U328" i="1"/>
  <c r="AF328" i="2" s="1"/>
  <c r="V328" i="1"/>
  <c r="AG328" i="2" s="1"/>
  <c r="S329" i="1"/>
  <c r="AD329" i="2" s="1"/>
  <c r="T329" i="1"/>
  <c r="AE329" i="2" s="1"/>
  <c r="U329" i="1"/>
  <c r="AF329" i="2" s="1"/>
  <c r="V329" i="1"/>
  <c r="AG329" i="2" s="1"/>
  <c r="S330" i="1"/>
  <c r="AD330" i="2" s="1"/>
  <c r="T330" i="1"/>
  <c r="AE330" i="2" s="1"/>
  <c r="U330" i="1"/>
  <c r="AF330" i="2" s="1"/>
  <c r="V330" i="1"/>
  <c r="AG330" i="2" s="1"/>
  <c r="S331" i="1"/>
  <c r="AD331" i="2" s="1"/>
  <c r="T331" i="1"/>
  <c r="AE331" i="2" s="1"/>
  <c r="U331" i="1"/>
  <c r="AF331" i="2" s="1"/>
  <c r="V331" i="1"/>
  <c r="AG331" i="2" s="1"/>
  <c r="S332" i="1"/>
  <c r="AD332" i="2" s="1"/>
  <c r="T332" i="1"/>
  <c r="AE332" i="2" s="1"/>
  <c r="U332" i="1"/>
  <c r="AF332" i="2" s="1"/>
  <c r="V332" i="1"/>
  <c r="AG332" i="2" s="1"/>
  <c r="S333" i="1"/>
  <c r="AD333" i="2" s="1"/>
  <c r="T333" i="1"/>
  <c r="AE333" i="2" s="1"/>
  <c r="U333" i="1"/>
  <c r="AF333" i="2" s="1"/>
  <c r="V333" i="1"/>
  <c r="AG333" i="2" s="1"/>
  <c r="S334" i="1"/>
  <c r="AD334" i="2" s="1"/>
  <c r="T334" i="1"/>
  <c r="AE334" i="2" s="1"/>
  <c r="U334" i="1"/>
  <c r="AF334" i="2" s="1"/>
  <c r="V334" i="1"/>
  <c r="AG334" i="2" s="1"/>
  <c r="S335" i="1"/>
  <c r="AD335" i="2" s="1"/>
  <c r="T335" i="1"/>
  <c r="AE335" i="2" s="1"/>
  <c r="U335" i="1"/>
  <c r="AF335" i="2" s="1"/>
  <c r="V335" i="1"/>
  <c r="AG335" i="2" s="1"/>
  <c r="S336" i="1"/>
  <c r="AD336" i="2" s="1"/>
  <c r="T336" i="1"/>
  <c r="AE336" i="2" s="1"/>
  <c r="U336" i="1"/>
  <c r="AF336" i="2" s="1"/>
  <c r="V336" i="1"/>
  <c r="AG336" i="2" s="1"/>
  <c r="S337" i="1"/>
  <c r="AD337" i="2" s="1"/>
  <c r="T337" i="1"/>
  <c r="AE337" i="2" s="1"/>
  <c r="U337" i="1"/>
  <c r="AF337" i="2" s="1"/>
  <c r="V337" i="1"/>
  <c r="AG337" i="2" s="1"/>
  <c r="S338" i="1"/>
  <c r="AD338" i="2" s="1"/>
  <c r="T338" i="1"/>
  <c r="AE338" i="2" s="1"/>
  <c r="U338" i="1"/>
  <c r="AF338" i="2" s="1"/>
  <c r="V338" i="1"/>
  <c r="AG338" i="2" s="1"/>
  <c r="S339" i="1"/>
  <c r="AD339" i="2" s="1"/>
  <c r="T339" i="1"/>
  <c r="AE339" i="2" s="1"/>
  <c r="U339" i="1"/>
  <c r="AF339" i="2" s="1"/>
  <c r="V339" i="1"/>
  <c r="AG339" i="2" s="1"/>
  <c r="S340" i="1"/>
  <c r="AD340" i="2" s="1"/>
  <c r="T340" i="1"/>
  <c r="AE340" i="2" s="1"/>
  <c r="U340" i="1"/>
  <c r="AF340" i="2" s="1"/>
  <c r="V340" i="1"/>
  <c r="AG340" i="2" s="1"/>
  <c r="S341" i="1"/>
  <c r="AD341" i="2" s="1"/>
  <c r="T341" i="1"/>
  <c r="AE341" i="2" s="1"/>
  <c r="U341" i="1"/>
  <c r="AF341" i="2" s="1"/>
  <c r="V341" i="1"/>
  <c r="AG341" i="2" s="1"/>
  <c r="S342" i="1"/>
  <c r="AD342" i="2" s="1"/>
  <c r="T342" i="1"/>
  <c r="AE342" i="2" s="1"/>
  <c r="U342" i="1"/>
  <c r="AF342" i="2" s="1"/>
  <c r="V342" i="1"/>
  <c r="AG342" i="2" s="1"/>
  <c r="S343" i="1"/>
  <c r="AD343" i="2" s="1"/>
  <c r="T343" i="1"/>
  <c r="AE343" i="2" s="1"/>
  <c r="U343" i="1"/>
  <c r="AF343" i="2" s="1"/>
  <c r="V343" i="1"/>
  <c r="AG343" i="2" s="1"/>
  <c r="S344" i="1"/>
  <c r="AD344" i="2" s="1"/>
  <c r="T344" i="1"/>
  <c r="AE344" i="2" s="1"/>
  <c r="U344" i="1"/>
  <c r="AF344" i="2" s="1"/>
  <c r="V344" i="1"/>
  <c r="AG344" i="2" s="1"/>
  <c r="S345" i="1"/>
  <c r="AD345" i="2" s="1"/>
  <c r="T345" i="1"/>
  <c r="AE345" i="2" s="1"/>
  <c r="U345" i="1"/>
  <c r="AF345" i="2" s="1"/>
  <c r="V345" i="1"/>
  <c r="AG345" i="2" s="1"/>
  <c r="S346" i="1"/>
  <c r="AD346" i="2" s="1"/>
  <c r="T346" i="1"/>
  <c r="AE346" i="2" s="1"/>
  <c r="U346" i="1"/>
  <c r="AF346" i="2" s="1"/>
  <c r="V346" i="1"/>
  <c r="AG346" i="2" s="1"/>
  <c r="S347" i="1"/>
  <c r="AD347" i="2" s="1"/>
  <c r="T347" i="1"/>
  <c r="AE347" i="2" s="1"/>
  <c r="U347" i="1"/>
  <c r="AF347" i="2" s="1"/>
  <c r="V347" i="1"/>
  <c r="AG347" i="2" s="1"/>
  <c r="S348" i="1"/>
  <c r="AD348" i="2" s="1"/>
  <c r="T348" i="1"/>
  <c r="AE348" i="2" s="1"/>
  <c r="U348" i="1"/>
  <c r="AF348" i="2" s="1"/>
  <c r="V348" i="1"/>
  <c r="AG348" i="2" s="1"/>
  <c r="S349" i="1"/>
  <c r="AD349" i="2" s="1"/>
  <c r="T349" i="1"/>
  <c r="AE349" i="2" s="1"/>
  <c r="U349" i="1"/>
  <c r="AF349" i="2" s="1"/>
  <c r="V349" i="1"/>
  <c r="AG349" i="2" s="1"/>
  <c r="S350" i="1"/>
  <c r="AD350" i="2" s="1"/>
  <c r="T350" i="1"/>
  <c r="AE350" i="2" s="1"/>
  <c r="U350" i="1"/>
  <c r="AF350" i="2" s="1"/>
  <c r="V350" i="1"/>
  <c r="AG350" i="2" s="1"/>
  <c r="S351" i="1"/>
  <c r="AD351" i="2" s="1"/>
  <c r="T351" i="1"/>
  <c r="AE351" i="2" s="1"/>
  <c r="U351" i="1"/>
  <c r="AF351" i="2" s="1"/>
  <c r="V351" i="1"/>
  <c r="AG351" i="2" s="1"/>
  <c r="S352" i="1"/>
  <c r="AD352" i="2" s="1"/>
  <c r="T352" i="1"/>
  <c r="AE352" i="2" s="1"/>
  <c r="U352" i="1"/>
  <c r="AF352" i="2" s="1"/>
  <c r="V352" i="1"/>
  <c r="AG352" i="2" s="1"/>
  <c r="S353" i="1"/>
  <c r="AD353" i="2" s="1"/>
  <c r="T353" i="1"/>
  <c r="AE353" i="2" s="1"/>
  <c r="U353" i="1"/>
  <c r="AF353" i="2" s="1"/>
  <c r="V353" i="1"/>
  <c r="AG353" i="2" s="1"/>
  <c r="S354" i="1"/>
  <c r="AD354" i="2" s="1"/>
  <c r="T354" i="1"/>
  <c r="AE354" i="2" s="1"/>
  <c r="U354" i="1"/>
  <c r="AF354" i="2" s="1"/>
  <c r="V354" i="1"/>
  <c r="AG354" i="2" s="1"/>
  <c r="S355" i="1"/>
  <c r="AD355" i="2" s="1"/>
  <c r="T355" i="1"/>
  <c r="AE355" i="2" s="1"/>
  <c r="U355" i="1"/>
  <c r="AF355" i="2" s="1"/>
  <c r="V355" i="1"/>
  <c r="AG355" i="2" s="1"/>
  <c r="S356" i="1"/>
  <c r="AD356" i="2" s="1"/>
  <c r="T356" i="1"/>
  <c r="AE356" i="2" s="1"/>
  <c r="U356" i="1"/>
  <c r="AF356" i="2" s="1"/>
  <c r="V356" i="1"/>
  <c r="AG356" i="2" s="1"/>
  <c r="S357" i="1"/>
  <c r="AD357" i="2" s="1"/>
  <c r="T357" i="1"/>
  <c r="AE357" i="2" s="1"/>
  <c r="U357" i="1"/>
  <c r="AF357" i="2" s="1"/>
  <c r="V357" i="1"/>
  <c r="AG357" i="2" s="1"/>
  <c r="S358" i="1"/>
  <c r="AD358" i="2" s="1"/>
  <c r="T358" i="1"/>
  <c r="AE358" i="2" s="1"/>
  <c r="U358" i="1"/>
  <c r="AF358" i="2" s="1"/>
  <c r="V358" i="1"/>
  <c r="AG358" i="2" s="1"/>
  <c r="S359" i="1"/>
  <c r="AD359" i="2" s="1"/>
  <c r="T359" i="1"/>
  <c r="AE359" i="2" s="1"/>
  <c r="U359" i="1"/>
  <c r="AF359" i="2" s="1"/>
  <c r="V359" i="1"/>
  <c r="AG359" i="2" s="1"/>
  <c r="S360" i="1"/>
  <c r="AD360" i="2" s="1"/>
  <c r="T360" i="1"/>
  <c r="AE360" i="2" s="1"/>
  <c r="U360" i="1"/>
  <c r="AF360" i="2" s="1"/>
  <c r="V360" i="1"/>
  <c r="AG360" i="2" s="1"/>
  <c r="S361" i="1"/>
  <c r="AD361" i="2" s="1"/>
  <c r="T361" i="1"/>
  <c r="AE361" i="2" s="1"/>
  <c r="U361" i="1"/>
  <c r="AF361" i="2" s="1"/>
  <c r="V361" i="1"/>
  <c r="AG361" i="2" s="1"/>
  <c r="S362" i="1"/>
  <c r="AD362" i="2" s="1"/>
  <c r="T362" i="1"/>
  <c r="AE362" i="2" s="1"/>
  <c r="U362" i="1"/>
  <c r="AF362" i="2" s="1"/>
  <c r="V362" i="1"/>
  <c r="AG362" i="2" s="1"/>
  <c r="S363" i="1"/>
  <c r="AD363" i="2" s="1"/>
  <c r="T363" i="1"/>
  <c r="AE363" i="2" s="1"/>
  <c r="U363" i="1"/>
  <c r="AF363" i="2" s="1"/>
  <c r="V363" i="1"/>
  <c r="AG363" i="2" s="1"/>
  <c r="S364" i="1"/>
  <c r="AD364" i="2" s="1"/>
  <c r="T364" i="1"/>
  <c r="AE364" i="2" s="1"/>
  <c r="U364" i="1"/>
  <c r="AF364" i="2" s="1"/>
  <c r="V364" i="1"/>
  <c r="AG364" i="2" s="1"/>
  <c r="S365" i="1"/>
  <c r="AD365" i="2" s="1"/>
  <c r="T365" i="1"/>
  <c r="AE365" i="2" s="1"/>
  <c r="U365" i="1"/>
  <c r="AF365" i="2" s="1"/>
  <c r="V365" i="1"/>
  <c r="AG365" i="2" s="1"/>
  <c r="S366" i="1"/>
  <c r="AD366" i="2" s="1"/>
  <c r="T366" i="1"/>
  <c r="AE366" i="2" s="1"/>
  <c r="U366" i="1"/>
  <c r="AF366" i="2" s="1"/>
  <c r="V366" i="1"/>
  <c r="AG366" i="2" s="1"/>
  <c r="S367" i="1"/>
  <c r="AD367" i="2" s="1"/>
  <c r="T367" i="1"/>
  <c r="AE367" i="2" s="1"/>
  <c r="U367" i="1"/>
  <c r="AF367" i="2" s="1"/>
  <c r="V367" i="1"/>
  <c r="AG367" i="2" s="1"/>
  <c r="S368" i="1"/>
  <c r="AD368" i="2" s="1"/>
  <c r="T368" i="1"/>
  <c r="AE368" i="2" s="1"/>
  <c r="U368" i="1"/>
  <c r="AF368" i="2" s="1"/>
  <c r="V368" i="1"/>
  <c r="AG368" i="2" s="1"/>
  <c r="S369" i="1"/>
  <c r="AD369" i="2" s="1"/>
  <c r="T369" i="1"/>
  <c r="AE369" i="2" s="1"/>
  <c r="U369" i="1"/>
  <c r="AF369" i="2" s="1"/>
  <c r="V369" i="1"/>
  <c r="AG369" i="2" s="1"/>
  <c r="S370" i="1"/>
  <c r="AD370" i="2" s="1"/>
  <c r="T370" i="1"/>
  <c r="AE370" i="2" s="1"/>
  <c r="U370" i="1"/>
  <c r="AF370" i="2" s="1"/>
  <c r="V370" i="1"/>
  <c r="AG370" i="2" s="1"/>
  <c r="AF11" i="5" l="1"/>
  <c r="AF9" i="5"/>
  <c r="AF7" i="5"/>
  <c r="AF14" i="5"/>
  <c r="AF6" i="5"/>
  <c r="AF12" i="5"/>
  <c r="AF10" i="5"/>
  <c r="AF8" i="5"/>
  <c r="AF15" i="5"/>
  <c r="AF13" i="5"/>
  <c r="AM22" i="2"/>
  <c r="AH22" i="2" s="1"/>
  <c r="AO23" i="2"/>
  <c r="AH23" i="2" s="1"/>
  <c r="D353" i="9"/>
  <c r="D354" i="9"/>
  <c r="D355" i="9"/>
  <c r="D356" i="9"/>
  <c r="D357" i="9"/>
  <c r="D358" i="9"/>
  <c r="D359" i="9"/>
  <c r="D360" i="9"/>
  <c r="F360" i="9" s="1"/>
  <c r="D361" i="9"/>
  <c r="D362" i="9"/>
  <c r="D363" i="9"/>
  <c r="D364" i="9"/>
  <c r="D365" i="9"/>
  <c r="F365" i="9" s="1"/>
  <c r="D366" i="9"/>
  <c r="D367" i="9"/>
  <c r="D368" i="9"/>
  <c r="D369" i="9"/>
  <c r="D370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AM40" i="2"/>
  <c r="AH40" i="2" s="1"/>
  <c r="F370" i="9" l="1"/>
  <c r="F362" i="9"/>
  <c r="F364" i="9"/>
  <c r="F361" i="9"/>
  <c r="F359" i="9"/>
  <c r="F358" i="9"/>
  <c r="F357" i="9"/>
  <c r="F356" i="9"/>
  <c r="F355" i="9"/>
  <c r="F354" i="9"/>
  <c r="F353" i="9"/>
  <c r="F369" i="9"/>
  <c r="F368" i="9"/>
  <c r="F367" i="9"/>
  <c r="F363" i="9"/>
  <c r="F366" i="9"/>
  <c r="AM39" i="2"/>
  <c r="AH39" i="2" s="1"/>
  <c r="AM38" i="2"/>
  <c r="AH38" i="2" s="1"/>
  <c r="X16" i="5"/>
  <c r="Y16" i="5" s="1"/>
  <c r="V16" i="5"/>
  <c r="W16" i="5" s="1"/>
  <c r="T16" i="5"/>
  <c r="U16" i="5" s="1"/>
  <c r="R16" i="5"/>
  <c r="S16" i="5" s="1"/>
  <c r="P16" i="5"/>
  <c r="Q16" i="5" s="1"/>
  <c r="N16" i="5"/>
  <c r="L16" i="5"/>
  <c r="J16" i="5"/>
  <c r="F16" i="5"/>
  <c r="D16" i="5"/>
  <c r="AM37" i="2" l="1"/>
  <c r="AH37" i="2" s="1"/>
  <c r="E20" i="8"/>
  <c r="C20" i="8"/>
  <c r="AI5" i="2" l="1"/>
  <c r="AM24" i="2" l="1"/>
  <c r="AH24" i="2" s="1"/>
  <c r="AM25" i="2"/>
  <c r="AH25" i="2" s="1"/>
  <c r="AM26" i="2"/>
  <c r="AH26" i="2" s="1"/>
  <c r="AM27" i="2"/>
  <c r="AH27" i="2" s="1"/>
  <c r="AM28" i="2"/>
  <c r="AH28" i="2" s="1"/>
  <c r="AM29" i="2"/>
  <c r="AH29" i="2" s="1"/>
  <c r="AM30" i="2"/>
  <c r="AH30" i="2" s="1"/>
  <c r="AM31" i="2"/>
  <c r="AH31" i="2" s="1"/>
  <c r="AM32" i="2"/>
  <c r="AH32" i="2" s="1"/>
  <c r="AM33" i="2"/>
  <c r="AH33" i="2" s="1"/>
  <c r="AM34" i="2"/>
  <c r="AH34" i="2" s="1"/>
  <c r="AM35" i="2"/>
  <c r="AH35" i="2" s="1"/>
  <c r="AM36" i="2"/>
  <c r="AH36" i="2" s="1"/>
  <c r="AM7" i="2"/>
  <c r="AH7" i="2" s="1"/>
  <c r="AM8" i="2"/>
  <c r="AH8" i="2" s="1"/>
  <c r="AM9" i="2"/>
  <c r="AH9" i="2" s="1"/>
  <c r="AM10" i="2"/>
  <c r="AH10" i="2" s="1"/>
  <c r="AM11" i="2"/>
  <c r="AH11" i="2" s="1"/>
  <c r="AM12" i="2"/>
  <c r="AH12" i="2" s="1"/>
  <c r="AM13" i="2"/>
  <c r="AH13" i="2" s="1"/>
  <c r="AM14" i="2"/>
  <c r="AH14" i="2" s="1"/>
  <c r="AM15" i="2"/>
  <c r="AH15" i="2" s="1"/>
  <c r="AM16" i="2"/>
  <c r="AH16" i="2" s="1"/>
  <c r="AM17" i="2"/>
  <c r="AH17" i="2" s="1"/>
  <c r="AM18" i="2"/>
  <c r="AH18" i="2" s="1"/>
  <c r="AM19" i="2"/>
  <c r="AH19" i="2" s="1"/>
  <c r="AM20" i="2"/>
  <c r="AH20" i="2" s="1"/>
  <c r="AM21" i="2"/>
  <c r="AH21" i="2" s="1"/>
  <c r="AM6" i="2"/>
  <c r="AH6" i="2" s="1"/>
  <c r="AM5" i="2"/>
  <c r="AH5" i="2" s="1"/>
  <c r="L20" i="8"/>
  <c r="L15" i="8"/>
  <c r="J20" i="8"/>
  <c r="J15" i="8"/>
  <c r="N10" i="8"/>
  <c r="L10" i="8"/>
  <c r="J10" i="8"/>
  <c r="N5" i="8"/>
  <c r="L5" i="8"/>
  <c r="J5" i="8"/>
  <c r="G20" i="8"/>
  <c r="C10" i="8"/>
  <c r="E15" i="8"/>
  <c r="C15" i="8"/>
  <c r="G10" i="8"/>
  <c r="E10" i="8"/>
  <c r="G5" i="8"/>
  <c r="E5" i="8"/>
  <c r="C5" i="8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BF42" i="2"/>
  <c r="BF43" i="2"/>
  <c r="BF44" i="2"/>
  <c r="BF45" i="2"/>
  <c r="BF46" i="2"/>
  <c r="BF47" i="2"/>
  <c r="BF48" i="2"/>
  <c r="BF49" i="2"/>
  <c r="BF50" i="2"/>
  <c r="BF51" i="2"/>
  <c r="BF52" i="2"/>
  <c r="BF53" i="2"/>
  <c r="BF54" i="2"/>
  <c r="BF55" i="2"/>
  <c r="BF56" i="2"/>
  <c r="BF57" i="2"/>
  <c r="BF58" i="2"/>
  <c r="BF59" i="2"/>
  <c r="BF60" i="2"/>
  <c r="BF61" i="2"/>
  <c r="BF62" i="2"/>
  <c r="BF63" i="2"/>
  <c r="BF64" i="2"/>
  <c r="BF65" i="2"/>
  <c r="BF66" i="2"/>
  <c r="BF67" i="2"/>
  <c r="BF68" i="2"/>
  <c r="BF69" i="2"/>
  <c r="BF70" i="2"/>
  <c r="BF71" i="2"/>
  <c r="BF72" i="2"/>
  <c r="BF73" i="2"/>
  <c r="BF74" i="2"/>
  <c r="BF75" i="2"/>
  <c r="BF76" i="2"/>
  <c r="BF77" i="2"/>
  <c r="BF78" i="2"/>
  <c r="BF79" i="2"/>
  <c r="BF80" i="2"/>
  <c r="BF81" i="2"/>
  <c r="BF82" i="2"/>
  <c r="BF83" i="2"/>
  <c r="BF84" i="2"/>
  <c r="BF85" i="2"/>
  <c r="BF86" i="2"/>
  <c r="BF87" i="2"/>
  <c r="BF88" i="2"/>
  <c r="BF89" i="2"/>
  <c r="BF90" i="2"/>
  <c r="BF91" i="2"/>
  <c r="BF92" i="2"/>
  <c r="BF93" i="2"/>
  <c r="BF94" i="2"/>
  <c r="BF95" i="2"/>
  <c r="BF96" i="2"/>
  <c r="BF97" i="2"/>
  <c r="BF98" i="2"/>
  <c r="BF99" i="2"/>
  <c r="BF100" i="2"/>
  <c r="BF101" i="2"/>
  <c r="BF102" i="2"/>
  <c r="BF103" i="2"/>
  <c r="BF104" i="2"/>
  <c r="BF105" i="2"/>
  <c r="BF106" i="2"/>
  <c r="BF107" i="2"/>
  <c r="BF108" i="2"/>
  <c r="BF109" i="2"/>
  <c r="BF110" i="2"/>
  <c r="BF111" i="2"/>
  <c r="BF112" i="2"/>
  <c r="BF113" i="2"/>
  <c r="BF114" i="2"/>
  <c r="BF115" i="2"/>
  <c r="BF116" i="2"/>
  <c r="BF117" i="2"/>
  <c r="BF118" i="2"/>
  <c r="BF119" i="2"/>
  <c r="BF120" i="2"/>
  <c r="BF121" i="2"/>
  <c r="BF122" i="2"/>
  <c r="BF123" i="2"/>
  <c r="BF124" i="2"/>
  <c r="BF125" i="2"/>
  <c r="BF126" i="2"/>
  <c r="BF127" i="2"/>
  <c r="BF128" i="2"/>
  <c r="BF129" i="2"/>
  <c r="BF130" i="2"/>
  <c r="BF131" i="2"/>
  <c r="BF132" i="2"/>
  <c r="BF133" i="2"/>
  <c r="BF134" i="2"/>
  <c r="BF135" i="2"/>
  <c r="BF136" i="2"/>
  <c r="BF137" i="2"/>
  <c r="BF138" i="2"/>
  <c r="BF139" i="2"/>
  <c r="BF140" i="2"/>
  <c r="BF141" i="2"/>
  <c r="BF142" i="2"/>
  <c r="BF143" i="2"/>
  <c r="BF144" i="2"/>
  <c r="BF145" i="2"/>
  <c r="BF146" i="2"/>
  <c r="BF147" i="2"/>
  <c r="BF148" i="2"/>
  <c r="BF149" i="2"/>
  <c r="BF150" i="2"/>
  <c r="BF151" i="2"/>
  <c r="BF152" i="2"/>
  <c r="BF153" i="2"/>
  <c r="BF154" i="2"/>
  <c r="BF155" i="2"/>
  <c r="BF156" i="2"/>
  <c r="BF157" i="2"/>
  <c r="BF158" i="2"/>
  <c r="BF159" i="2"/>
  <c r="BF160" i="2"/>
  <c r="BF161" i="2"/>
  <c r="BF162" i="2"/>
  <c r="BF163" i="2"/>
  <c r="BF164" i="2"/>
  <c r="BF165" i="2"/>
  <c r="BF166" i="2"/>
  <c r="BF167" i="2"/>
  <c r="BF168" i="2"/>
  <c r="BF169" i="2"/>
  <c r="BF170" i="2"/>
  <c r="BF171" i="2"/>
  <c r="BF172" i="2"/>
  <c r="BF173" i="2"/>
  <c r="BF174" i="2"/>
  <c r="BF175" i="2"/>
  <c r="BF176" i="2"/>
  <c r="BF177" i="2"/>
  <c r="BF178" i="2"/>
  <c r="BF179" i="2"/>
  <c r="BF180" i="2"/>
  <c r="BF181" i="2"/>
  <c r="BF182" i="2"/>
  <c r="BF183" i="2"/>
  <c r="BF184" i="2"/>
  <c r="BF185" i="2"/>
  <c r="BF186" i="2"/>
  <c r="BF187" i="2"/>
  <c r="BF188" i="2"/>
  <c r="BF189" i="2"/>
  <c r="BF190" i="2"/>
  <c r="BF191" i="2"/>
  <c r="BF192" i="2"/>
  <c r="BF193" i="2"/>
  <c r="BF194" i="2"/>
  <c r="BF195" i="2"/>
  <c r="BF196" i="2"/>
  <c r="BF197" i="2"/>
  <c r="BF198" i="2"/>
  <c r="BF199" i="2"/>
  <c r="BF200" i="2"/>
  <c r="BF201" i="2"/>
  <c r="BF202" i="2"/>
  <c r="BF203" i="2"/>
  <c r="BF204" i="2"/>
  <c r="BF205" i="2"/>
  <c r="BF206" i="2"/>
  <c r="BF207" i="2"/>
  <c r="BF208" i="2"/>
  <c r="BF209" i="2"/>
  <c r="BF210" i="2"/>
  <c r="BF211" i="2"/>
  <c r="BF212" i="2"/>
  <c r="BF213" i="2"/>
  <c r="BF214" i="2"/>
  <c r="BF215" i="2"/>
  <c r="BF216" i="2"/>
  <c r="BF217" i="2"/>
  <c r="BF218" i="2"/>
  <c r="BF219" i="2"/>
  <c r="BF220" i="2"/>
  <c r="BF221" i="2"/>
  <c r="BF222" i="2"/>
  <c r="BF223" i="2"/>
  <c r="BF224" i="2"/>
  <c r="BF225" i="2"/>
  <c r="BF226" i="2"/>
  <c r="BF227" i="2"/>
  <c r="BF228" i="2"/>
  <c r="BF229" i="2"/>
  <c r="BF230" i="2"/>
  <c r="BF231" i="2"/>
  <c r="BF232" i="2"/>
  <c r="BF233" i="2"/>
  <c r="BF234" i="2"/>
  <c r="BF235" i="2"/>
  <c r="BF236" i="2"/>
  <c r="BF237" i="2"/>
  <c r="BF238" i="2"/>
  <c r="BF239" i="2"/>
  <c r="BF240" i="2"/>
  <c r="BF241" i="2"/>
  <c r="BF242" i="2"/>
  <c r="BF243" i="2"/>
  <c r="BF244" i="2"/>
  <c r="BF245" i="2"/>
  <c r="BF246" i="2"/>
  <c r="BF247" i="2"/>
  <c r="BF248" i="2"/>
  <c r="BF249" i="2"/>
  <c r="BF250" i="2"/>
  <c r="BF251" i="2"/>
  <c r="BF252" i="2"/>
  <c r="BF253" i="2"/>
  <c r="BF254" i="2"/>
  <c r="BF255" i="2"/>
  <c r="BF256" i="2"/>
  <c r="BF257" i="2"/>
  <c r="BF258" i="2"/>
  <c r="BF259" i="2"/>
  <c r="BF260" i="2"/>
  <c r="BF261" i="2"/>
  <c r="BF262" i="2"/>
  <c r="BF263" i="2"/>
  <c r="BF264" i="2"/>
  <c r="BF265" i="2"/>
  <c r="BF266" i="2"/>
  <c r="BF267" i="2"/>
  <c r="BF268" i="2"/>
  <c r="BF269" i="2"/>
  <c r="BF270" i="2"/>
  <c r="BF271" i="2"/>
  <c r="BF272" i="2"/>
  <c r="BF273" i="2"/>
  <c r="BF274" i="2"/>
  <c r="BF275" i="2"/>
  <c r="BF276" i="2"/>
  <c r="BF277" i="2"/>
  <c r="BF278" i="2"/>
  <c r="BF279" i="2"/>
  <c r="BF280" i="2"/>
  <c r="BF281" i="2"/>
  <c r="BF282" i="2"/>
  <c r="BF283" i="2"/>
  <c r="BF284" i="2"/>
  <c r="BF285" i="2"/>
  <c r="BF286" i="2"/>
  <c r="BF287" i="2"/>
  <c r="BF288" i="2"/>
  <c r="BF289" i="2"/>
  <c r="BF290" i="2"/>
  <c r="BF291" i="2"/>
  <c r="BF292" i="2"/>
  <c r="BF293" i="2"/>
  <c r="BF294" i="2"/>
  <c r="BF295" i="2"/>
  <c r="BF296" i="2"/>
  <c r="BF297" i="2"/>
  <c r="BF298" i="2"/>
  <c r="BF299" i="2"/>
  <c r="BF300" i="2"/>
  <c r="BF301" i="2"/>
  <c r="BF302" i="2"/>
  <c r="BF303" i="2"/>
  <c r="BF304" i="2"/>
  <c r="BF305" i="2"/>
  <c r="BF306" i="2"/>
  <c r="BF307" i="2"/>
  <c r="BF308" i="2"/>
  <c r="BF309" i="2"/>
  <c r="BF310" i="2"/>
  <c r="BF311" i="2"/>
  <c r="BF312" i="2"/>
  <c r="BF313" i="2"/>
  <c r="BF314" i="2"/>
  <c r="BF315" i="2"/>
  <c r="BF316" i="2"/>
  <c r="BF317" i="2"/>
  <c r="BF318" i="2"/>
  <c r="BF319" i="2"/>
  <c r="BF320" i="2"/>
  <c r="BF321" i="2"/>
  <c r="BF322" i="2"/>
  <c r="BF323" i="2"/>
  <c r="BF324" i="2"/>
  <c r="BF325" i="2"/>
  <c r="BF326" i="2"/>
  <c r="BF327" i="2"/>
  <c r="BF328" i="2"/>
  <c r="BF329" i="2"/>
  <c r="BF330" i="2"/>
  <c r="BF331" i="2"/>
  <c r="BF332" i="2"/>
  <c r="BF333" i="2"/>
  <c r="BF334" i="2"/>
  <c r="BF335" i="2"/>
  <c r="BF336" i="2"/>
  <c r="BF337" i="2"/>
  <c r="BF338" i="2"/>
  <c r="BF339" i="2"/>
  <c r="BF340" i="2"/>
  <c r="BF341" i="2"/>
  <c r="BF342" i="2"/>
  <c r="BF343" i="2"/>
  <c r="BF344" i="2"/>
  <c r="BF345" i="2"/>
  <c r="BF346" i="2"/>
  <c r="BF347" i="2"/>
  <c r="BF348" i="2"/>
  <c r="BF349" i="2"/>
  <c r="BF350" i="2"/>
  <c r="BF351" i="2"/>
  <c r="BF352" i="2"/>
  <c r="BF353" i="2"/>
  <c r="BF354" i="2"/>
  <c r="BF355" i="2"/>
  <c r="BF356" i="2"/>
  <c r="BF357" i="2"/>
  <c r="BF358" i="2"/>
  <c r="BF359" i="2"/>
  <c r="BF360" i="2"/>
  <c r="BF361" i="2"/>
  <c r="BF362" i="2"/>
  <c r="BF363" i="2"/>
  <c r="BF364" i="2"/>
  <c r="BF365" i="2"/>
  <c r="BF366" i="2"/>
  <c r="BF367" i="2"/>
  <c r="BF368" i="2"/>
  <c r="BF369" i="2"/>
  <c r="BF370" i="2"/>
  <c r="H16" i="5" l="1"/>
  <c r="BG75" i="2"/>
  <c r="BG76" i="2"/>
  <c r="BG77" i="2"/>
  <c r="BG163" i="2"/>
  <c r="BG166" i="2"/>
  <c r="BG216" i="2"/>
  <c r="BG217" i="2"/>
  <c r="BG218" i="2"/>
  <c r="BG221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43" i="2"/>
  <c r="BG44" i="2"/>
  <c r="BG45" i="2"/>
  <c r="BG46" i="2"/>
  <c r="BG47" i="2"/>
  <c r="BG48" i="2"/>
  <c r="BG49" i="2"/>
  <c r="BG50" i="2"/>
  <c r="BG51" i="2"/>
  <c r="BG52" i="2"/>
  <c r="BG53" i="2"/>
  <c r="BG54" i="2"/>
  <c r="BG55" i="2"/>
  <c r="BG56" i="2"/>
  <c r="BG57" i="2"/>
  <c r="BG58" i="2"/>
  <c r="BG59" i="2"/>
  <c r="BG60" i="2"/>
  <c r="BG61" i="2"/>
  <c r="BG62" i="2"/>
  <c r="BG63" i="2"/>
  <c r="BG64" i="2"/>
  <c r="BG65" i="2"/>
  <c r="BG66" i="2"/>
  <c r="BG67" i="2"/>
  <c r="BG68" i="2"/>
  <c r="BG69" i="2"/>
  <c r="BG70" i="2"/>
  <c r="BG71" i="2"/>
  <c r="BG72" i="2"/>
  <c r="BG73" i="2"/>
  <c r="BG74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110" i="2"/>
  <c r="BG111" i="2"/>
  <c r="BG112" i="2"/>
  <c r="BG113" i="2"/>
  <c r="BG114" i="2"/>
  <c r="BG115" i="2"/>
  <c r="BG116" i="2"/>
  <c r="BG117" i="2"/>
  <c r="BG118" i="2"/>
  <c r="BG119" i="2"/>
  <c r="BG120" i="2"/>
  <c r="BG121" i="2"/>
  <c r="BG122" i="2"/>
  <c r="BG123" i="2"/>
  <c r="BG124" i="2"/>
  <c r="BG125" i="2"/>
  <c r="BG126" i="2"/>
  <c r="BG127" i="2"/>
  <c r="BG128" i="2"/>
  <c r="BG129" i="2"/>
  <c r="BG130" i="2"/>
  <c r="BG131" i="2"/>
  <c r="BG132" i="2"/>
  <c r="BG133" i="2"/>
  <c r="BG134" i="2"/>
  <c r="BG135" i="2"/>
  <c r="BG136" i="2"/>
  <c r="BG137" i="2"/>
  <c r="BG138" i="2"/>
  <c r="BG139" i="2"/>
  <c r="BG140" i="2"/>
  <c r="BG141" i="2"/>
  <c r="BG142" i="2"/>
  <c r="BG143" i="2"/>
  <c r="BG144" i="2"/>
  <c r="BG145" i="2"/>
  <c r="BG146" i="2"/>
  <c r="BG147" i="2"/>
  <c r="BG148" i="2"/>
  <c r="BG149" i="2"/>
  <c r="BG150" i="2"/>
  <c r="BG151" i="2"/>
  <c r="BG152" i="2"/>
  <c r="BG153" i="2"/>
  <c r="BG154" i="2"/>
  <c r="BG155" i="2"/>
  <c r="BG156" i="2"/>
  <c r="BG157" i="2"/>
  <c r="BG158" i="2"/>
  <c r="BG159" i="2"/>
  <c r="BG160" i="2"/>
  <c r="BG161" i="2"/>
  <c r="BG162" i="2"/>
  <c r="BG164" i="2"/>
  <c r="BG165" i="2"/>
  <c r="BG167" i="2"/>
  <c r="BG168" i="2"/>
  <c r="BG169" i="2"/>
  <c r="BG170" i="2"/>
  <c r="BG171" i="2"/>
  <c r="BG172" i="2"/>
  <c r="BG173" i="2"/>
  <c r="BG174" i="2"/>
  <c r="BG175" i="2"/>
  <c r="BG176" i="2"/>
  <c r="BG177" i="2"/>
  <c r="BG178" i="2"/>
  <c r="BG179" i="2"/>
  <c r="BG180" i="2"/>
  <c r="BG181" i="2"/>
  <c r="BG182" i="2"/>
  <c r="BG183" i="2"/>
  <c r="BG184" i="2"/>
  <c r="BG185" i="2"/>
  <c r="BG186" i="2"/>
  <c r="BG187" i="2"/>
  <c r="BG188" i="2"/>
  <c r="BG189" i="2"/>
  <c r="BG190" i="2"/>
  <c r="BG191" i="2"/>
  <c r="BG192" i="2"/>
  <c r="BG193" i="2"/>
  <c r="BG194" i="2"/>
  <c r="BG195" i="2"/>
  <c r="BG196" i="2"/>
  <c r="BG197" i="2"/>
  <c r="BG198" i="2"/>
  <c r="BG199" i="2"/>
  <c r="BG200" i="2"/>
  <c r="BG201" i="2"/>
  <c r="BG202" i="2"/>
  <c r="BG203" i="2"/>
  <c r="BG204" i="2"/>
  <c r="BG205" i="2"/>
  <c r="BG206" i="2"/>
  <c r="BG207" i="2"/>
  <c r="BG208" i="2"/>
  <c r="BG209" i="2"/>
  <c r="BG210" i="2"/>
  <c r="BG211" i="2"/>
  <c r="BG212" i="2"/>
  <c r="BG213" i="2"/>
  <c r="BG214" i="2"/>
  <c r="BG215" i="2"/>
  <c r="BG219" i="2"/>
  <c r="BG220" i="2"/>
  <c r="BG222" i="2"/>
  <c r="BG223" i="2"/>
  <c r="BG224" i="2"/>
  <c r="BG225" i="2"/>
  <c r="BG226" i="2"/>
  <c r="BG227" i="2"/>
  <c r="BG228" i="2"/>
  <c r="BG229" i="2"/>
  <c r="BG230" i="2"/>
  <c r="BG231" i="2"/>
  <c r="BG232" i="2"/>
  <c r="BG233" i="2"/>
  <c r="BG234" i="2"/>
  <c r="BG235" i="2"/>
  <c r="BG236" i="2"/>
  <c r="BG237" i="2"/>
  <c r="BG238" i="2"/>
  <c r="BG239" i="2"/>
  <c r="BG240" i="2"/>
  <c r="BG241" i="2"/>
  <c r="BG242" i="2"/>
  <c r="BG243" i="2"/>
  <c r="BG244" i="2"/>
  <c r="BG245" i="2"/>
  <c r="BG246" i="2"/>
  <c r="BG247" i="2"/>
  <c r="BG248" i="2"/>
  <c r="BG249" i="2"/>
  <c r="BG250" i="2"/>
  <c r="BG251" i="2"/>
  <c r="BG252" i="2"/>
  <c r="BG253" i="2"/>
  <c r="BG254" i="2"/>
  <c r="BG255" i="2"/>
  <c r="BG256" i="2"/>
  <c r="BG257" i="2"/>
  <c r="BG258" i="2"/>
  <c r="BG259" i="2"/>
  <c r="BG260" i="2"/>
  <c r="BG261" i="2"/>
  <c r="BG262" i="2"/>
  <c r="BG263" i="2"/>
  <c r="BG264" i="2"/>
  <c r="BG265" i="2"/>
  <c r="BG266" i="2"/>
  <c r="BG267" i="2"/>
  <c r="BG268" i="2"/>
  <c r="BG269" i="2"/>
  <c r="BG270" i="2"/>
  <c r="BG271" i="2"/>
  <c r="BG272" i="2"/>
  <c r="BG273" i="2"/>
  <c r="BG274" i="2"/>
  <c r="BG275" i="2"/>
  <c r="BG276" i="2"/>
  <c r="BG277" i="2"/>
  <c r="BG278" i="2"/>
  <c r="BG279" i="2"/>
  <c r="BG280" i="2"/>
  <c r="BG281" i="2"/>
  <c r="BG282" i="2"/>
  <c r="BG283" i="2"/>
  <c r="BG284" i="2"/>
  <c r="BG285" i="2"/>
  <c r="BG286" i="2"/>
  <c r="BG287" i="2"/>
  <c r="BG288" i="2"/>
  <c r="BG289" i="2"/>
  <c r="BG290" i="2"/>
  <c r="BG291" i="2"/>
  <c r="BG292" i="2"/>
  <c r="BG293" i="2"/>
  <c r="BG294" i="2"/>
  <c r="BG295" i="2"/>
  <c r="BG296" i="2"/>
  <c r="BG297" i="2"/>
  <c r="BG298" i="2"/>
  <c r="BG299" i="2"/>
  <c r="BG300" i="2"/>
  <c r="BG301" i="2"/>
  <c r="BG302" i="2"/>
  <c r="BG303" i="2"/>
  <c r="BG304" i="2"/>
  <c r="BG305" i="2"/>
  <c r="BG306" i="2"/>
  <c r="BG307" i="2"/>
  <c r="BG308" i="2"/>
  <c r="BG309" i="2"/>
  <c r="BG310" i="2"/>
  <c r="BG311" i="2"/>
  <c r="BG312" i="2"/>
  <c r="BG313" i="2"/>
  <c r="BG314" i="2"/>
  <c r="BG315" i="2"/>
  <c r="BG316" i="2"/>
  <c r="BG317" i="2"/>
  <c r="BG318" i="2"/>
  <c r="BG319" i="2"/>
  <c r="BG320" i="2"/>
  <c r="BG321" i="2"/>
  <c r="BG322" i="2"/>
  <c r="BG323" i="2"/>
  <c r="BG324" i="2"/>
  <c r="BG325" i="2"/>
  <c r="BG326" i="2"/>
  <c r="BG327" i="2"/>
  <c r="BG328" i="2"/>
  <c r="BG329" i="2"/>
  <c r="BG330" i="2"/>
  <c r="BG331" i="2"/>
  <c r="BG332" i="2"/>
  <c r="BG333" i="2"/>
  <c r="BG334" i="2"/>
  <c r="BG335" i="2"/>
  <c r="BG336" i="2"/>
  <c r="BG337" i="2"/>
  <c r="BG338" i="2"/>
  <c r="BG339" i="2"/>
  <c r="BG340" i="2"/>
  <c r="BG341" i="2"/>
  <c r="BG342" i="2"/>
  <c r="BG343" i="2"/>
  <c r="BG344" i="2"/>
  <c r="BG345" i="2"/>
  <c r="BG346" i="2"/>
  <c r="BG347" i="2"/>
  <c r="BG348" i="2"/>
  <c r="BG349" i="2"/>
  <c r="BG350" i="2"/>
  <c r="BG351" i="2"/>
  <c r="BG352" i="2"/>
  <c r="BG353" i="2"/>
  <c r="BG354" i="2"/>
  <c r="BG355" i="2"/>
  <c r="BG356" i="2"/>
  <c r="BG357" i="2"/>
  <c r="BG358" i="2"/>
  <c r="BG359" i="2"/>
  <c r="BG360" i="2"/>
  <c r="BG361" i="2"/>
  <c r="BG362" i="2"/>
  <c r="BG363" i="2"/>
  <c r="BG364" i="2"/>
  <c r="BG365" i="2"/>
  <c r="BG366" i="2"/>
  <c r="BG367" i="2"/>
  <c r="BG368" i="2"/>
  <c r="BG369" i="2"/>
  <c r="BG370" i="2"/>
  <c r="BG27" i="2"/>
  <c r="BB370" i="2" l="1"/>
  <c r="BC370" i="2"/>
  <c r="AY370" i="2" l="1"/>
  <c r="BA370" i="2"/>
  <c r="AK370" i="2"/>
  <c r="AZ370" i="2"/>
  <c r="AJ370" i="2"/>
  <c r="AX370" i="2"/>
  <c r="O16" i="5"/>
  <c r="M16" i="5"/>
  <c r="K16" i="5"/>
  <c r="G16" i="5"/>
  <c r="E16" i="5"/>
  <c r="I16" i="5" l="1"/>
  <c r="N5" i="2"/>
  <c r="R5" i="2"/>
  <c r="N6" i="2"/>
  <c r="P6" i="2"/>
  <c r="R6" i="2"/>
  <c r="N7" i="2"/>
  <c r="P7" i="2"/>
  <c r="R7" i="2"/>
  <c r="N8" i="2"/>
  <c r="R8" i="2"/>
  <c r="N9" i="2"/>
  <c r="R9" i="2"/>
  <c r="N10" i="2"/>
  <c r="R10" i="2"/>
  <c r="N11" i="2"/>
  <c r="R11" i="2"/>
  <c r="N12" i="2"/>
  <c r="R12" i="2"/>
  <c r="N13" i="2"/>
  <c r="R13" i="2"/>
  <c r="N14" i="2"/>
  <c r="R14" i="2"/>
  <c r="N15" i="2"/>
  <c r="P15" i="2"/>
  <c r="R15" i="2"/>
  <c r="N16" i="2"/>
  <c r="P16" i="2"/>
  <c r="R16" i="2"/>
  <c r="N17" i="2"/>
  <c r="P17" i="2"/>
  <c r="R17" i="2"/>
  <c r="N18" i="2"/>
  <c r="R18" i="2"/>
  <c r="N19" i="2"/>
  <c r="R19" i="2"/>
  <c r="N20" i="2"/>
  <c r="R20" i="2"/>
  <c r="N21" i="2"/>
  <c r="R21" i="2"/>
  <c r="N22" i="2"/>
  <c r="P22" i="2"/>
  <c r="R22" i="2"/>
  <c r="N23" i="2"/>
  <c r="P23" i="2"/>
  <c r="R23" i="2"/>
  <c r="N24" i="2"/>
  <c r="R24" i="2"/>
  <c r="N25" i="2"/>
  <c r="R25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B5" i="2"/>
  <c r="D5" i="2"/>
  <c r="F5" i="2"/>
  <c r="T5" i="2"/>
  <c r="V5" i="2"/>
  <c r="X5" i="2"/>
  <c r="Y5" i="2"/>
  <c r="Z5" i="2"/>
  <c r="AA5" i="2"/>
  <c r="AB5" i="2"/>
  <c r="AC5" i="2"/>
  <c r="B6" i="2"/>
  <c r="D6" i="2"/>
  <c r="F6" i="2"/>
  <c r="T6" i="2"/>
  <c r="V6" i="2"/>
  <c r="X6" i="2"/>
  <c r="Y6" i="2"/>
  <c r="Z6" i="2"/>
  <c r="AA6" i="2"/>
  <c r="AB6" i="2"/>
  <c r="AC6" i="2"/>
  <c r="B7" i="2"/>
  <c r="D7" i="2"/>
  <c r="F7" i="2"/>
  <c r="T7" i="2"/>
  <c r="V7" i="2"/>
  <c r="X7" i="2"/>
  <c r="Y7" i="2"/>
  <c r="Z7" i="2"/>
  <c r="AA7" i="2"/>
  <c r="AB7" i="2"/>
  <c r="AC7" i="2"/>
  <c r="B8" i="2"/>
  <c r="D8" i="2"/>
  <c r="F8" i="2"/>
  <c r="T8" i="2"/>
  <c r="V8" i="2"/>
  <c r="X8" i="2"/>
  <c r="Y8" i="2"/>
  <c r="Z8" i="2"/>
  <c r="AA8" i="2"/>
  <c r="AB8" i="2"/>
  <c r="AC8" i="2"/>
  <c r="B9" i="2"/>
  <c r="D9" i="2"/>
  <c r="F9" i="2"/>
  <c r="T9" i="2"/>
  <c r="V9" i="2"/>
  <c r="X9" i="2"/>
  <c r="Y9" i="2"/>
  <c r="Z9" i="2"/>
  <c r="AA9" i="2"/>
  <c r="AB9" i="2"/>
  <c r="AC9" i="2"/>
  <c r="B10" i="2"/>
  <c r="D10" i="2"/>
  <c r="F10" i="2"/>
  <c r="T10" i="2"/>
  <c r="V10" i="2"/>
  <c r="X10" i="2"/>
  <c r="Y10" i="2"/>
  <c r="Z10" i="2"/>
  <c r="AA10" i="2"/>
  <c r="AB10" i="2"/>
  <c r="AC10" i="2"/>
  <c r="B11" i="2"/>
  <c r="D11" i="2"/>
  <c r="F11" i="2"/>
  <c r="T11" i="2"/>
  <c r="V11" i="2"/>
  <c r="X11" i="2"/>
  <c r="Y11" i="2"/>
  <c r="Z11" i="2"/>
  <c r="AA11" i="2"/>
  <c r="AB11" i="2"/>
  <c r="AC11" i="2"/>
  <c r="B12" i="2"/>
  <c r="D12" i="2"/>
  <c r="F12" i="2"/>
  <c r="T12" i="2"/>
  <c r="V12" i="2"/>
  <c r="X12" i="2"/>
  <c r="Y12" i="2"/>
  <c r="Z12" i="2"/>
  <c r="AA12" i="2"/>
  <c r="AB12" i="2"/>
  <c r="AC12" i="2"/>
  <c r="B13" i="2"/>
  <c r="D13" i="2"/>
  <c r="F13" i="2"/>
  <c r="T13" i="2"/>
  <c r="V13" i="2"/>
  <c r="X13" i="2"/>
  <c r="Y13" i="2"/>
  <c r="Z13" i="2"/>
  <c r="AA13" i="2"/>
  <c r="AB13" i="2"/>
  <c r="AC13" i="2"/>
  <c r="B14" i="2"/>
  <c r="D14" i="2"/>
  <c r="F14" i="2"/>
  <c r="T14" i="2"/>
  <c r="V14" i="2"/>
  <c r="X14" i="2"/>
  <c r="Y14" i="2"/>
  <c r="Z14" i="2"/>
  <c r="AA14" i="2"/>
  <c r="AB14" i="2"/>
  <c r="AC14" i="2"/>
  <c r="B15" i="2"/>
  <c r="D15" i="2"/>
  <c r="F15" i="2"/>
  <c r="T15" i="2"/>
  <c r="V15" i="2"/>
  <c r="X15" i="2"/>
  <c r="Y15" i="2"/>
  <c r="Z15" i="2"/>
  <c r="AA15" i="2"/>
  <c r="AB15" i="2"/>
  <c r="AC15" i="2"/>
  <c r="B16" i="2"/>
  <c r="D16" i="2"/>
  <c r="F16" i="2"/>
  <c r="T16" i="2"/>
  <c r="V16" i="2"/>
  <c r="X16" i="2"/>
  <c r="Y16" i="2"/>
  <c r="Z16" i="2"/>
  <c r="AA16" i="2"/>
  <c r="AB16" i="2"/>
  <c r="AC16" i="2"/>
  <c r="B17" i="2"/>
  <c r="D17" i="2"/>
  <c r="F17" i="2"/>
  <c r="T17" i="2"/>
  <c r="V17" i="2"/>
  <c r="X17" i="2"/>
  <c r="Y17" i="2"/>
  <c r="Z17" i="2"/>
  <c r="AA17" i="2"/>
  <c r="AB17" i="2"/>
  <c r="AC17" i="2"/>
  <c r="B18" i="2"/>
  <c r="D18" i="2"/>
  <c r="F18" i="2"/>
  <c r="T18" i="2"/>
  <c r="V18" i="2"/>
  <c r="X18" i="2"/>
  <c r="Y18" i="2"/>
  <c r="Z18" i="2"/>
  <c r="AA18" i="2"/>
  <c r="AB18" i="2"/>
  <c r="AC18" i="2"/>
  <c r="B19" i="2"/>
  <c r="D19" i="2"/>
  <c r="F19" i="2"/>
  <c r="T19" i="2"/>
  <c r="V19" i="2"/>
  <c r="X19" i="2"/>
  <c r="Y19" i="2"/>
  <c r="Z19" i="2"/>
  <c r="AA19" i="2"/>
  <c r="AB19" i="2"/>
  <c r="AC19" i="2"/>
  <c r="B20" i="2"/>
  <c r="D20" i="2"/>
  <c r="F20" i="2"/>
  <c r="T20" i="2"/>
  <c r="V20" i="2"/>
  <c r="X20" i="2"/>
  <c r="Y20" i="2"/>
  <c r="Z20" i="2"/>
  <c r="AA20" i="2"/>
  <c r="AB20" i="2"/>
  <c r="AC20" i="2"/>
  <c r="B21" i="2"/>
  <c r="D21" i="2"/>
  <c r="F21" i="2"/>
  <c r="T21" i="2"/>
  <c r="V21" i="2"/>
  <c r="X21" i="2"/>
  <c r="Y21" i="2"/>
  <c r="Z21" i="2"/>
  <c r="AA21" i="2"/>
  <c r="AB21" i="2"/>
  <c r="AC21" i="2"/>
  <c r="B22" i="2"/>
  <c r="D22" i="2"/>
  <c r="F22" i="2"/>
  <c r="T22" i="2"/>
  <c r="V22" i="2"/>
  <c r="X22" i="2"/>
  <c r="Y22" i="2"/>
  <c r="Z22" i="2"/>
  <c r="AA22" i="2"/>
  <c r="AB22" i="2"/>
  <c r="AC22" i="2"/>
  <c r="B23" i="2"/>
  <c r="D23" i="2"/>
  <c r="F23" i="2"/>
  <c r="T23" i="2"/>
  <c r="V23" i="2"/>
  <c r="X23" i="2"/>
  <c r="Y23" i="2"/>
  <c r="Z23" i="2"/>
  <c r="AA23" i="2"/>
  <c r="AB23" i="2"/>
  <c r="AC23" i="2"/>
  <c r="B24" i="2"/>
  <c r="D24" i="2"/>
  <c r="F24" i="2"/>
  <c r="T24" i="2"/>
  <c r="V24" i="2"/>
  <c r="X24" i="2"/>
  <c r="Y24" i="2"/>
  <c r="Z24" i="2"/>
  <c r="AA24" i="2"/>
  <c r="AB24" i="2"/>
  <c r="AC24" i="2"/>
  <c r="B25" i="2"/>
  <c r="D25" i="2"/>
  <c r="F25" i="2"/>
  <c r="T25" i="2"/>
  <c r="V25" i="2"/>
  <c r="I7" i="1"/>
  <c r="I8" i="1"/>
  <c r="P8" i="2" s="1"/>
  <c r="I9" i="1"/>
  <c r="P9" i="2" s="1"/>
  <c r="I10" i="1"/>
  <c r="P10" i="2" s="1"/>
  <c r="I11" i="1"/>
  <c r="P11" i="2" s="1"/>
  <c r="I12" i="1"/>
  <c r="P12" i="2" s="1"/>
  <c r="I13" i="1"/>
  <c r="P13" i="2" s="1"/>
  <c r="I14" i="1"/>
  <c r="P14" i="2" s="1"/>
  <c r="I18" i="1"/>
  <c r="P18" i="2" s="1"/>
  <c r="I19" i="1"/>
  <c r="P19" i="2" s="1"/>
  <c r="I20" i="1"/>
  <c r="P20" i="2" s="1"/>
  <c r="I21" i="1"/>
  <c r="P21" i="2" s="1"/>
  <c r="I22" i="1"/>
  <c r="I23" i="1"/>
  <c r="I24" i="1"/>
  <c r="P24" i="2" s="1"/>
  <c r="I25" i="1"/>
  <c r="P25" i="2" s="1"/>
  <c r="B26" i="1"/>
  <c r="B26" i="2" s="1"/>
  <c r="C26" i="1"/>
  <c r="D26" i="2" s="1"/>
  <c r="D26" i="1"/>
  <c r="F26" i="2" s="1"/>
  <c r="E26" i="1"/>
  <c r="H26" i="2" s="1"/>
  <c r="F26" i="1"/>
  <c r="J26" i="2" s="1"/>
  <c r="G26" i="1"/>
  <c r="L26" i="2" s="1"/>
  <c r="H26" i="1"/>
  <c r="N26" i="2" s="1"/>
  <c r="I26" i="1"/>
  <c r="P26" i="2" s="1"/>
  <c r="J26" i="1"/>
  <c r="R26" i="2" s="1"/>
  <c r="K26" i="1"/>
  <c r="T26" i="2" s="1"/>
  <c r="L26" i="1"/>
  <c r="V26" i="2" s="1"/>
  <c r="B27" i="1"/>
  <c r="B27" i="2" s="1"/>
  <c r="C27" i="1"/>
  <c r="D27" i="2" s="1"/>
  <c r="D27" i="1"/>
  <c r="F27" i="2" s="1"/>
  <c r="E27" i="1"/>
  <c r="H27" i="2" s="1"/>
  <c r="F27" i="1"/>
  <c r="J27" i="2" s="1"/>
  <c r="G27" i="1"/>
  <c r="L27" i="2" s="1"/>
  <c r="H27" i="1"/>
  <c r="N27" i="2" s="1"/>
  <c r="I27" i="1"/>
  <c r="P27" i="2" s="1"/>
  <c r="J27" i="1"/>
  <c r="R27" i="2" s="1"/>
  <c r="K27" i="1"/>
  <c r="T27" i="2" s="1"/>
  <c r="L27" i="1"/>
  <c r="V27" i="2" s="1"/>
  <c r="B28" i="1"/>
  <c r="B28" i="2" s="1"/>
  <c r="C28" i="1"/>
  <c r="D28" i="2" s="1"/>
  <c r="D28" i="1"/>
  <c r="F28" i="2" s="1"/>
  <c r="E28" i="1"/>
  <c r="H28" i="2" s="1"/>
  <c r="F28" i="1"/>
  <c r="J28" i="2" s="1"/>
  <c r="G28" i="1"/>
  <c r="L28" i="2" s="1"/>
  <c r="H28" i="1"/>
  <c r="N28" i="2" s="1"/>
  <c r="I28" i="1"/>
  <c r="P28" i="2" s="1"/>
  <c r="J28" i="1"/>
  <c r="R28" i="2" s="1"/>
  <c r="K28" i="1"/>
  <c r="T28" i="2" s="1"/>
  <c r="L28" i="1"/>
  <c r="V28" i="2" s="1"/>
  <c r="B29" i="1"/>
  <c r="B29" i="2" s="1"/>
  <c r="C29" i="1"/>
  <c r="D29" i="2" s="1"/>
  <c r="D29" i="1"/>
  <c r="F29" i="2" s="1"/>
  <c r="E29" i="1"/>
  <c r="H29" i="2" s="1"/>
  <c r="F29" i="1"/>
  <c r="J29" i="2" s="1"/>
  <c r="G29" i="1"/>
  <c r="L29" i="2" s="1"/>
  <c r="H29" i="1"/>
  <c r="N29" i="2" s="1"/>
  <c r="I29" i="1"/>
  <c r="P29" i="2" s="1"/>
  <c r="J29" i="1"/>
  <c r="R29" i="2" s="1"/>
  <c r="K29" i="1"/>
  <c r="T29" i="2" s="1"/>
  <c r="L29" i="1"/>
  <c r="V29" i="2" s="1"/>
  <c r="B30" i="1"/>
  <c r="B30" i="2" s="1"/>
  <c r="C30" i="1"/>
  <c r="D30" i="2" s="1"/>
  <c r="D30" i="1"/>
  <c r="F30" i="2" s="1"/>
  <c r="E30" i="1"/>
  <c r="H30" i="2" s="1"/>
  <c r="F30" i="1"/>
  <c r="J30" i="2" s="1"/>
  <c r="G30" i="1"/>
  <c r="L30" i="2" s="1"/>
  <c r="H30" i="1"/>
  <c r="N30" i="2" s="1"/>
  <c r="I30" i="1"/>
  <c r="P30" i="2" s="1"/>
  <c r="J30" i="1"/>
  <c r="R30" i="2" s="1"/>
  <c r="K30" i="1"/>
  <c r="T30" i="2" s="1"/>
  <c r="L30" i="1"/>
  <c r="V30" i="2" s="1"/>
  <c r="I5" i="1"/>
  <c r="P5" i="2" s="1"/>
  <c r="Q27" i="1"/>
  <c r="AB27" i="2" s="1"/>
  <c r="Q28" i="1"/>
  <c r="AB28" i="2" s="1"/>
  <c r="Q29" i="1"/>
  <c r="AB29" i="2" s="1"/>
  <c r="Q30" i="1"/>
  <c r="AB30" i="2" s="1"/>
  <c r="B31" i="1"/>
  <c r="B31" i="2" s="1"/>
  <c r="C31" i="1"/>
  <c r="D31" i="2" s="1"/>
  <c r="D31" i="1"/>
  <c r="F31" i="2" s="1"/>
  <c r="E31" i="1"/>
  <c r="H31" i="2" s="1"/>
  <c r="F31" i="1"/>
  <c r="J31" i="2" s="1"/>
  <c r="G31" i="1"/>
  <c r="L31" i="2" s="1"/>
  <c r="H31" i="1"/>
  <c r="N31" i="2" s="1"/>
  <c r="I31" i="1"/>
  <c r="P31" i="2" s="1"/>
  <c r="J31" i="1"/>
  <c r="R31" i="2" s="1"/>
  <c r="K31" i="1"/>
  <c r="T31" i="2" s="1"/>
  <c r="L31" i="1"/>
  <c r="V31" i="2" s="1"/>
  <c r="Q31" i="1"/>
  <c r="AB31" i="2" s="1"/>
  <c r="B32" i="1"/>
  <c r="B32" i="2" s="1"/>
  <c r="C32" i="1"/>
  <c r="D32" i="2" s="1"/>
  <c r="D32" i="1"/>
  <c r="F32" i="2" s="1"/>
  <c r="E32" i="1"/>
  <c r="H32" i="2" s="1"/>
  <c r="F32" i="1"/>
  <c r="J32" i="2" s="1"/>
  <c r="G32" i="1"/>
  <c r="L32" i="2" s="1"/>
  <c r="H32" i="1"/>
  <c r="N32" i="2" s="1"/>
  <c r="I32" i="1"/>
  <c r="P32" i="2" s="1"/>
  <c r="J32" i="1"/>
  <c r="R32" i="2" s="1"/>
  <c r="K32" i="1"/>
  <c r="T32" i="2" s="1"/>
  <c r="L32" i="1"/>
  <c r="V32" i="2" s="1"/>
  <c r="Q32" i="1"/>
  <c r="AB32" i="2" s="1"/>
  <c r="B33" i="1"/>
  <c r="B33" i="2" s="1"/>
  <c r="C33" i="1"/>
  <c r="D33" i="2" s="1"/>
  <c r="D33" i="1"/>
  <c r="F33" i="2" s="1"/>
  <c r="E33" i="1"/>
  <c r="H33" i="2" s="1"/>
  <c r="F33" i="1"/>
  <c r="J33" i="2" s="1"/>
  <c r="G33" i="1"/>
  <c r="L33" i="2" s="1"/>
  <c r="H33" i="1"/>
  <c r="N33" i="2" s="1"/>
  <c r="I33" i="1"/>
  <c r="P33" i="2" s="1"/>
  <c r="J33" i="1"/>
  <c r="R33" i="2" s="1"/>
  <c r="K33" i="1"/>
  <c r="T33" i="2" s="1"/>
  <c r="L33" i="1"/>
  <c r="V33" i="2" s="1"/>
  <c r="Q33" i="1"/>
  <c r="AB33" i="2" s="1"/>
  <c r="B34" i="1"/>
  <c r="B34" i="2" s="1"/>
  <c r="C34" i="1"/>
  <c r="D34" i="2" s="1"/>
  <c r="D34" i="1"/>
  <c r="F34" i="2" s="1"/>
  <c r="E34" i="1"/>
  <c r="H34" i="2" s="1"/>
  <c r="F34" i="1"/>
  <c r="J34" i="2" s="1"/>
  <c r="G34" i="1"/>
  <c r="L34" i="2" s="1"/>
  <c r="H34" i="1"/>
  <c r="N34" i="2" s="1"/>
  <c r="I34" i="1"/>
  <c r="P34" i="2" s="1"/>
  <c r="J34" i="1"/>
  <c r="R34" i="2" s="1"/>
  <c r="K34" i="1"/>
  <c r="T34" i="2" s="1"/>
  <c r="L34" i="1"/>
  <c r="V34" i="2" s="1"/>
  <c r="Q34" i="1"/>
  <c r="AB34" i="2" s="1"/>
  <c r="B35" i="1"/>
  <c r="B35" i="2" s="1"/>
  <c r="C35" i="1"/>
  <c r="D35" i="2" s="1"/>
  <c r="D35" i="1"/>
  <c r="F35" i="2" s="1"/>
  <c r="E35" i="1"/>
  <c r="H35" i="2" s="1"/>
  <c r="F35" i="1"/>
  <c r="J35" i="2" s="1"/>
  <c r="G35" i="1"/>
  <c r="L35" i="2" s="1"/>
  <c r="H35" i="1"/>
  <c r="N35" i="2" s="1"/>
  <c r="I35" i="1"/>
  <c r="P35" i="2" s="1"/>
  <c r="J35" i="1"/>
  <c r="R35" i="2" s="1"/>
  <c r="K35" i="1"/>
  <c r="T35" i="2" s="1"/>
  <c r="L35" i="1"/>
  <c r="V35" i="2" s="1"/>
  <c r="Q35" i="1"/>
  <c r="AB35" i="2" s="1"/>
  <c r="B36" i="1"/>
  <c r="B36" i="2" s="1"/>
  <c r="C36" i="1"/>
  <c r="D36" i="2" s="1"/>
  <c r="D36" i="1"/>
  <c r="F36" i="2" s="1"/>
  <c r="E36" i="1"/>
  <c r="H36" i="2" s="1"/>
  <c r="F36" i="1"/>
  <c r="J36" i="2" s="1"/>
  <c r="G36" i="1"/>
  <c r="L36" i="2" s="1"/>
  <c r="H36" i="1"/>
  <c r="N36" i="2" s="1"/>
  <c r="I36" i="1"/>
  <c r="P36" i="2" s="1"/>
  <c r="J36" i="1"/>
  <c r="R36" i="2" s="1"/>
  <c r="K36" i="1"/>
  <c r="T36" i="2" s="1"/>
  <c r="L36" i="1"/>
  <c r="V36" i="2" s="1"/>
  <c r="Q36" i="1"/>
  <c r="AB36" i="2" s="1"/>
  <c r="B37" i="1"/>
  <c r="B37" i="2" s="1"/>
  <c r="C37" i="1"/>
  <c r="D37" i="2" s="1"/>
  <c r="D37" i="1"/>
  <c r="F37" i="2" s="1"/>
  <c r="E37" i="1"/>
  <c r="H37" i="2" s="1"/>
  <c r="F37" i="1"/>
  <c r="J37" i="2" s="1"/>
  <c r="G37" i="1"/>
  <c r="L37" i="2" s="1"/>
  <c r="H37" i="1"/>
  <c r="N37" i="2" s="1"/>
  <c r="I37" i="1"/>
  <c r="P37" i="2" s="1"/>
  <c r="J37" i="1"/>
  <c r="R37" i="2" s="1"/>
  <c r="K37" i="1"/>
  <c r="T37" i="2" s="1"/>
  <c r="L37" i="1"/>
  <c r="V37" i="2" s="1"/>
  <c r="Q37" i="1"/>
  <c r="AB37" i="2" s="1"/>
  <c r="B38" i="1"/>
  <c r="B38" i="2" s="1"/>
  <c r="C38" i="1"/>
  <c r="D38" i="2" s="1"/>
  <c r="D38" i="1"/>
  <c r="F38" i="2" s="1"/>
  <c r="E38" i="1"/>
  <c r="H38" i="2" s="1"/>
  <c r="F38" i="1"/>
  <c r="J38" i="2" s="1"/>
  <c r="G38" i="1"/>
  <c r="L38" i="2" s="1"/>
  <c r="H38" i="1"/>
  <c r="N38" i="2" s="1"/>
  <c r="I38" i="1"/>
  <c r="P38" i="2" s="1"/>
  <c r="J38" i="1"/>
  <c r="R38" i="2" s="1"/>
  <c r="K38" i="1"/>
  <c r="T38" i="2" s="1"/>
  <c r="L38" i="1"/>
  <c r="V38" i="2" s="1"/>
  <c r="Q38" i="1"/>
  <c r="AB38" i="2" s="1"/>
  <c r="B39" i="1"/>
  <c r="B39" i="2" s="1"/>
  <c r="C39" i="1"/>
  <c r="D39" i="2" s="1"/>
  <c r="D39" i="1"/>
  <c r="F39" i="2" s="1"/>
  <c r="E39" i="1"/>
  <c r="H39" i="2" s="1"/>
  <c r="F39" i="1"/>
  <c r="J39" i="2" s="1"/>
  <c r="G39" i="1"/>
  <c r="L39" i="2" s="1"/>
  <c r="H39" i="1"/>
  <c r="N39" i="2" s="1"/>
  <c r="I39" i="1"/>
  <c r="P39" i="2" s="1"/>
  <c r="J39" i="1"/>
  <c r="R39" i="2" s="1"/>
  <c r="K39" i="1"/>
  <c r="T39" i="2" s="1"/>
  <c r="L39" i="1"/>
  <c r="V39" i="2" s="1"/>
  <c r="Q39" i="1"/>
  <c r="AB39" i="2" s="1"/>
  <c r="B40" i="1"/>
  <c r="B40" i="2" s="1"/>
  <c r="C40" i="1"/>
  <c r="D40" i="2" s="1"/>
  <c r="D40" i="1"/>
  <c r="F40" i="2" s="1"/>
  <c r="E40" i="1"/>
  <c r="H40" i="2" s="1"/>
  <c r="F40" i="1"/>
  <c r="J40" i="2" s="1"/>
  <c r="G40" i="1"/>
  <c r="L40" i="2" s="1"/>
  <c r="H40" i="1"/>
  <c r="N40" i="2" s="1"/>
  <c r="I40" i="1"/>
  <c r="P40" i="2" s="1"/>
  <c r="J40" i="1"/>
  <c r="R40" i="2" s="1"/>
  <c r="K40" i="1"/>
  <c r="T40" i="2" s="1"/>
  <c r="L40" i="1"/>
  <c r="V40" i="2" s="1"/>
  <c r="Q40" i="1"/>
  <c r="AB40" i="2" s="1"/>
  <c r="B41" i="1"/>
  <c r="B41" i="2" s="1"/>
  <c r="C41" i="1"/>
  <c r="D41" i="2" s="1"/>
  <c r="D41" i="1"/>
  <c r="F41" i="2" s="1"/>
  <c r="E41" i="1"/>
  <c r="H41" i="2" s="1"/>
  <c r="F41" i="1"/>
  <c r="J41" i="2" s="1"/>
  <c r="G41" i="1"/>
  <c r="L41" i="2" s="1"/>
  <c r="H41" i="1"/>
  <c r="N41" i="2" s="1"/>
  <c r="I41" i="1"/>
  <c r="P41" i="2" s="1"/>
  <c r="J41" i="1"/>
  <c r="R41" i="2" s="1"/>
  <c r="K41" i="1"/>
  <c r="T41" i="2" s="1"/>
  <c r="L41" i="1"/>
  <c r="V41" i="2" s="1"/>
  <c r="Q41" i="1"/>
  <c r="AB41" i="2" s="1"/>
  <c r="B42" i="1"/>
  <c r="B42" i="2" s="1"/>
  <c r="C42" i="1"/>
  <c r="D42" i="2" s="1"/>
  <c r="D42" i="1"/>
  <c r="F42" i="2" s="1"/>
  <c r="E42" i="1"/>
  <c r="H42" i="2" s="1"/>
  <c r="F42" i="1"/>
  <c r="J42" i="2" s="1"/>
  <c r="G42" i="1"/>
  <c r="L42" i="2" s="1"/>
  <c r="H42" i="1"/>
  <c r="N42" i="2" s="1"/>
  <c r="I42" i="1"/>
  <c r="P42" i="2" s="1"/>
  <c r="J42" i="1"/>
  <c r="R42" i="2" s="1"/>
  <c r="K42" i="1"/>
  <c r="T42" i="2" s="1"/>
  <c r="L42" i="1"/>
  <c r="V42" i="2" s="1"/>
  <c r="Q42" i="1"/>
  <c r="AB42" i="2" s="1"/>
  <c r="B43" i="1"/>
  <c r="B43" i="2" s="1"/>
  <c r="C43" i="1"/>
  <c r="D43" i="2" s="1"/>
  <c r="D43" i="1"/>
  <c r="F43" i="2" s="1"/>
  <c r="E43" i="1"/>
  <c r="H43" i="2" s="1"/>
  <c r="F43" i="1"/>
  <c r="J43" i="2" s="1"/>
  <c r="G43" i="1"/>
  <c r="L43" i="2" s="1"/>
  <c r="H43" i="1"/>
  <c r="N43" i="2" s="1"/>
  <c r="I43" i="1"/>
  <c r="P43" i="2" s="1"/>
  <c r="J43" i="1"/>
  <c r="R43" i="2" s="1"/>
  <c r="K43" i="1"/>
  <c r="T43" i="2" s="1"/>
  <c r="L43" i="1"/>
  <c r="V43" i="2" s="1"/>
  <c r="Q43" i="1"/>
  <c r="AB43" i="2" s="1"/>
  <c r="B44" i="1"/>
  <c r="B44" i="2" s="1"/>
  <c r="C44" i="1"/>
  <c r="D44" i="2" s="1"/>
  <c r="D44" i="1"/>
  <c r="F44" i="2" s="1"/>
  <c r="E44" i="1"/>
  <c r="H44" i="2" s="1"/>
  <c r="F44" i="1"/>
  <c r="J44" i="2" s="1"/>
  <c r="G44" i="1"/>
  <c r="L44" i="2" s="1"/>
  <c r="H44" i="1"/>
  <c r="N44" i="2" s="1"/>
  <c r="I44" i="1"/>
  <c r="P44" i="2" s="1"/>
  <c r="J44" i="1"/>
  <c r="R44" i="2" s="1"/>
  <c r="K44" i="1"/>
  <c r="T44" i="2" s="1"/>
  <c r="L44" i="1"/>
  <c r="V44" i="2" s="1"/>
  <c r="Q44" i="1"/>
  <c r="AB44" i="2" s="1"/>
  <c r="B45" i="1"/>
  <c r="B45" i="2" s="1"/>
  <c r="C45" i="1"/>
  <c r="D45" i="2" s="1"/>
  <c r="D45" i="1"/>
  <c r="F45" i="2" s="1"/>
  <c r="E45" i="1"/>
  <c r="H45" i="2" s="1"/>
  <c r="F45" i="1"/>
  <c r="J45" i="2" s="1"/>
  <c r="G45" i="1"/>
  <c r="L45" i="2" s="1"/>
  <c r="H45" i="1"/>
  <c r="N45" i="2" s="1"/>
  <c r="I45" i="1"/>
  <c r="P45" i="2" s="1"/>
  <c r="J45" i="1"/>
  <c r="R45" i="2" s="1"/>
  <c r="K45" i="1"/>
  <c r="T45" i="2" s="1"/>
  <c r="L45" i="1"/>
  <c r="V45" i="2" s="1"/>
  <c r="Q45" i="1"/>
  <c r="AB45" i="2" s="1"/>
  <c r="B46" i="1"/>
  <c r="B46" i="2" s="1"/>
  <c r="C46" i="1"/>
  <c r="D46" i="2" s="1"/>
  <c r="D46" i="1"/>
  <c r="F46" i="2" s="1"/>
  <c r="E46" i="1"/>
  <c r="H46" i="2" s="1"/>
  <c r="F46" i="1"/>
  <c r="J46" i="2" s="1"/>
  <c r="G46" i="1"/>
  <c r="L46" i="2" s="1"/>
  <c r="H46" i="1"/>
  <c r="N46" i="2" s="1"/>
  <c r="I46" i="1"/>
  <c r="P46" i="2" s="1"/>
  <c r="J46" i="1"/>
  <c r="R46" i="2" s="1"/>
  <c r="K46" i="1"/>
  <c r="T46" i="2" s="1"/>
  <c r="L46" i="1"/>
  <c r="V46" i="2" s="1"/>
  <c r="Q46" i="1"/>
  <c r="AB46" i="2" s="1"/>
  <c r="B47" i="1"/>
  <c r="B47" i="2" s="1"/>
  <c r="C47" i="1"/>
  <c r="D47" i="2" s="1"/>
  <c r="D47" i="1"/>
  <c r="F47" i="2" s="1"/>
  <c r="E47" i="1"/>
  <c r="H47" i="2" s="1"/>
  <c r="F47" i="1"/>
  <c r="J47" i="2" s="1"/>
  <c r="G47" i="1"/>
  <c r="L47" i="2" s="1"/>
  <c r="H47" i="1"/>
  <c r="N47" i="2" s="1"/>
  <c r="I47" i="1"/>
  <c r="P47" i="2" s="1"/>
  <c r="J47" i="1"/>
  <c r="R47" i="2" s="1"/>
  <c r="K47" i="1"/>
  <c r="T47" i="2" s="1"/>
  <c r="L47" i="1"/>
  <c r="V47" i="2" s="1"/>
  <c r="Q47" i="1"/>
  <c r="AB47" i="2" s="1"/>
  <c r="B48" i="1"/>
  <c r="B48" i="2" s="1"/>
  <c r="C48" i="1"/>
  <c r="D48" i="2" s="1"/>
  <c r="D48" i="1"/>
  <c r="F48" i="2" s="1"/>
  <c r="E48" i="1"/>
  <c r="H48" i="2" s="1"/>
  <c r="F48" i="1"/>
  <c r="J48" i="2" s="1"/>
  <c r="G48" i="1"/>
  <c r="L48" i="2" s="1"/>
  <c r="H48" i="1"/>
  <c r="N48" i="2" s="1"/>
  <c r="I48" i="1"/>
  <c r="P48" i="2" s="1"/>
  <c r="J48" i="1"/>
  <c r="R48" i="2" s="1"/>
  <c r="K48" i="1"/>
  <c r="T48" i="2" s="1"/>
  <c r="L48" i="1"/>
  <c r="V48" i="2" s="1"/>
  <c r="Q48" i="1"/>
  <c r="AB48" i="2" s="1"/>
  <c r="B49" i="1"/>
  <c r="B49" i="2" s="1"/>
  <c r="C49" i="1"/>
  <c r="D49" i="2" s="1"/>
  <c r="D49" i="1"/>
  <c r="F49" i="2" s="1"/>
  <c r="E49" i="1"/>
  <c r="H49" i="2" s="1"/>
  <c r="F49" i="1"/>
  <c r="J49" i="2" s="1"/>
  <c r="G49" i="1"/>
  <c r="L49" i="2" s="1"/>
  <c r="H49" i="1"/>
  <c r="N49" i="2" s="1"/>
  <c r="I49" i="1"/>
  <c r="P49" i="2" s="1"/>
  <c r="J49" i="1"/>
  <c r="R49" i="2" s="1"/>
  <c r="K49" i="1"/>
  <c r="T49" i="2" s="1"/>
  <c r="L49" i="1"/>
  <c r="V49" i="2" s="1"/>
  <c r="Q49" i="1"/>
  <c r="AB49" i="2" s="1"/>
  <c r="B50" i="1"/>
  <c r="B50" i="2" s="1"/>
  <c r="C50" i="1"/>
  <c r="D50" i="2" s="1"/>
  <c r="D50" i="1"/>
  <c r="F50" i="2" s="1"/>
  <c r="E50" i="1"/>
  <c r="H50" i="2" s="1"/>
  <c r="F50" i="1"/>
  <c r="J50" i="2" s="1"/>
  <c r="G50" i="1"/>
  <c r="L50" i="2" s="1"/>
  <c r="H50" i="1"/>
  <c r="N50" i="2" s="1"/>
  <c r="I50" i="1"/>
  <c r="P50" i="2" s="1"/>
  <c r="J50" i="1"/>
  <c r="R50" i="2" s="1"/>
  <c r="K50" i="1"/>
  <c r="T50" i="2" s="1"/>
  <c r="L50" i="1"/>
  <c r="V50" i="2" s="1"/>
  <c r="Q50" i="1"/>
  <c r="AB50" i="2" s="1"/>
  <c r="B51" i="1"/>
  <c r="B51" i="2" s="1"/>
  <c r="C51" i="1"/>
  <c r="D51" i="2" s="1"/>
  <c r="D51" i="1"/>
  <c r="F51" i="2" s="1"/>
  <c r="E51" i="1"/>
  <c r="H51" i="2" s="1"/>
  <c r="F51" i="1"/>
  <c r="J51" i="2" s="1"/>
  <c r="G51" i="1"/>
  <c r="L51" i="2" s="1"/>
  <c r="H51" i="1"/>
  <c r="N51" i="2" s="1"/>
  <c r="I51" i="1"/>
  <c r="P51" i="2" s="1"/>
  <c r="J51" i="1"/>
  <c r="R51" i="2" s="1"/>
  <c r="K51" i="1"/>
  <c r="T51" i="2" s="1"/>
  <c r="L51" i="1"/>
  <c r="V51" i="2" s="1"/>
  <c r="Q51" i="1"/>
  <c r="AB51" i="2" s="1"/>
  <c r="B52" i="1"/>
  <c r="B52" i="2" s="1"/>
  <c r="C52" i="1"/>
  <c r="D52" i="2" s="1"/>
  <c r="D52" i="1"/>
  <c r="F52" i="2" s="1"/>
  <c r="E52" i="1"/>
  <c r="H52" i="2" s="1"/>
  <c r="F52" i="1"/>
  <c r="J52" i="2" s="1"/>
  <c r="G52" i="1"/>
  <c r="L52" i="2" s="1"/>
  <c r="H52" i="1"/>
  <c r="N52" i="2" s="1"/>
  <c r="I52" i="1"/>
  <c r="P52" i="2" s="1"/>
  <c r="J52" i="1"/>
  <c r="R52" i="2" s="1"/>
  <c r="K52" i="1"/>
  <c r="T52" i="2" s="1"/>
  <c r="L52" i="1"/>
  <c r="V52" i="2" s="1"/>
  <c r="Q52" i="1"/>
  <c r="AB52" i="2" s="1"/>
  <c r="B53" i="1"/>
  <c r="B53" i="2" s="1"/>
  <c r="C53" i="1"/>
  <c r="D53" i="2" s="1"/>
  <c r="D53" i="1"/>
  <c r="F53" i="2" s="1"/>
  <c r="E53" i="1"/>
  <c r="H53" i="2" s="1"/>
  <c r="F53" i="1"/>
  <c r="J53" i="2" s="1"/>
  <c r="G53" i="1"/>
  <c r="L53" i="2" s="1"/>
  <c r="H53" i="1"/>
  <c r="N53" i="2" s="1"/>
  <c r="I53" i="1"/>
  <c r="P53" i="2" s="1"/>
  <c r="J53" i="1"/>
  <c r="R53" i="2" s="1"/>
  <c r="K53" i="1"/>
  <c r="T53" i="2" s="1"/>
  <c r="L53" i="1"/>
  <c r="V53" i="2" s="1"/>
  <c r="Q53" i="1"/>
  <c r="AB53" i="2" s="1"/>
  <c r="B54" i="1"/>
  <c r="B54" i="2" s="1"/>
  <c r="C54" i="1"/>
  <c r="D54" i="2" s="1"/>
  <c r="D54" i="1"/>
  <c r="F54" i="2" s="1"/>
  <c r="E54" i="1"/>
  <c r="H54" i="2" s="1"/>
  <c r="F54" i="1"/>
  <c r="J54" i="2" s="1"/>
  <c r="G54" i="1"/>
  <c r="L54" i="2" s="1"/>
  <c r="H54" i="1"/>
  <c r="N54" i="2" s="1"/>
  <c r="I54" i="1"/>
  <c r="P54" i="2" s="1"/>
  <c r="J54" i="1"/>
  <c r="R54" i="2" s="1"/>
  <c r="K54" i="1"/>
  <c r="T54" i="2" s="1"/>
  <c r="L54" i="1"/>
  <c r="V54" i="2" s="1"/>
  <c r="Q54" i="1"/>
  <c r="AB54" i="2" s="1"/>
  <c r="B55" i="1"/>
  <c r="B55" i="2" s="1"/>
  <c r="C55" i="1"/>
  <c r="D55" i="2" s="1"/>
  <c r="D55" i="1"/>
  <c r="F55" i="2" s="1"/>
  <c r="E55" i="1"/>
  <c r="H55" i="2" s="1"/>
  <c r="F55" i="1"/>
  <c r="J55" i="2" s="1"/>
  <c r="G55" i="1"/>
  <c r="L55" i="2" s="1"/>
  <c r="H55" i="1"/>
  <c r="N55" i="2" s="1"/>
  <c r="I55" i="1"/>
  <c r="P55" i="2" s="1"/>
  <c r="J55" i="1"/>
  <c r="R55" i="2" s="1"/>
  <c r="K55" i="1"/>
  <c r="T55" i="2" s="1"/>
  <c r="L55" i="1"/>
  <c r="V55" i="2" s="1"/>
  <c r="Q55" i="1"/>
  <c r="AB55" i="2" s="1"/>
  <c r="B56" i="1"/>
  <c r="B56" i="2" s="1"/>
  <c r="C56" i="1"/>
  <c r="D56" i="2" s="1"/>
  <c r="D56" i="1"/>
  <c r="F56" i="2" s="1"/>
  <c r="E56" i="1"/>
  <c r="H56" i="2" s="1"/>
  <c r="F56" i="1"/>
  <c r="J56" i="2" s="1"/>
  <c r="G56" i="1"/>
  <c r="L56" i="2" s="1"/>
  <c r="H56" i="1"/>
  <c r="N56" i="2" s="1"/>
  <c r="I56" i="1"/>
  <c r="P56" i="2" s="1"/>
  <c r="J56" i="1"/>
  <c r="R56" i="2" s="1"/>
  <c r="K56" i="1"/>
  <c r="T56" i="2" s="1"/>
  <c r="L56" i="1"/>
  <c r="V56" i="2" s="1"/>
  <c r="Q56" i="1"/>
  <c r="AB56" i="2" s="1"/>
  <c r="B57" i="1"/>
  <c r="B57" i="2" s="1"/>
  <c r="C57" i="1"/>
  <c r="D57" i="2" s="1"/>
  <c r="D57" i="1"/>
  <c r="F57" i="2" s="1"/>
  <c r="E57" i="1"/>
  <c r="H57" i="2" s="1"/>
  <c r="F57" i="1"/>
  <c r="J57" i="2" s="1"/>
  <c r="G57" i="1"/>
  <c r="L57" i="2" s="1"/>
  <c r="H57" i="1"/>
  <c r="N57" i="2" s="1"/>
  <c r="I57" i="1"/>
  <c r="P57" i="2" s="1"/>
  <c r="J57" i="1"/>
  <c r="R57" i="2" s="1"/>
  <c r="K57" i="1"/>
  <c r="T57" i="2" s="1"/>
  <c r="L57" i="1"/>
  <c r="V57" i="2" s="1"/>
  <c r="Q57" i="1"/>
  <c r="AB57" i="2" s="1"/>
  <c r="B58" i="1"/>
  <c r="B58" i="2" s="1"/>
  <c r="C58" i="1"/>
  <c r="D58" i="2" s="1"/>
  <c r="D58" i="1"/>
  <c r="F58" i="2" s="1"/>
  <c r="E58" i="1"/>
  <c r="H58" i="2" s="1"/>
  <c r="F58" i="1"/>
  <c r="J58" i="2" s="1"/>
  <c r="G58" i="1"/>
  <c r="L58" i="2" s="1"/>
  <c r="H58" i="1"/>
  <c r="N58" i="2" s="1"/>
  <c r="I58" i="1"/>
  <c r="P58" i="2" s="1"/>
  <c r="J58" i="1"/>
  <c r="R58" i="2" s="1"/>
  <c r="K58" i="1"/>
  <c r="T58" i="2" s="1"/>
  <c r="L58" i="1"/>
  <c r="V58" i="2" s="1"/>
  <c r="Q58" i="1"/>
  <c r="AB58" i="2" s="1"/>
  <c r="B59" i="1"/>
  <c r="B59" i="2" s="1"/>
  <c r="C59" i="1"/>
  <c r="D59" i="2" s="1"/>
  <c r="D59" i="1"/>
  <c r="F59" i="2" s="1"/>
  <c r="E59" i="1"/>
  <c r="H59" i="2" s="1"/>
  <c r="F59" i="1"/>
  <c r="J59" i="2" s="1"/>
  <c r="G59" i="1"/>
  <c r="L59" i="2" s="1"/>
  <c r="H59" i="1"/>
  <c r="N59" i="2" s="1"/>
  <c r="I59" i="1"/>
  <c r="P59" i="2" s="1"/>
  <c r="J59" i="1"/>
  <c r="R59" i="2" s="1"/>
  <c r="K59" i="1"/>
  <c r="T59" i="2" s="1"/>
  <c r="L59" i="1"/>
  <c r="V59" i="2" s="1"/>
  <c r="Q59" i="1"/>
  <c r="AB59" i="2" s="1"/>
  <c r="B60" i="1"/>
  <c r="B60" i="2" s="1"/>
  <c r="C60" i="1"/>
  <c r="D60" i="2" s="1"/>
  <c r="D60" i="1"/>
  <c r="F60" i="2" s="1"/>
  <c r="E60" i="1"/>
  <c r="H60" i="2" s="1"/>
  <c r="F60" i="1"/>
  <c r="J60" i="2" s="1"/>
  <c r="G60" i="1"/>
  <c r="L60" i="2" s="1"/>
  <c r="H60" i="1"/>
  <c r="N60" i="2" s="1"/>
  <c r="I60" i="1"/>
  <c r="P60" i="2" s="1"/>
  <c r="J60" i="1"/>
  <c r="R60" i="2" s="1"/>
  <c r="K60" i="1"/>
  <c r="T60" i="2" s="1"/>
  <c r="L60" i="1"/>
  <c r="V60" i="2" s="1"/>
  <c r="Q60" i="1"/>
  <c r="AB60" i="2" s="1"/>
  <c r="B61" i="1"/>
  <c r="B61" i="2" s="1"/>
  <c r="C61" i="1"/>
  <c r="D61" i="2" s="1"/>
  <c r="D61" i="1"/>
  <c r="F61" i="2" s="1"/>
  <c r="E61" i="1"/>
  <c r="H61" i="2" s="1"/>
  <c r="F61" i="1"/>
  <c r="J61" i="2" s="1"/>
  <c r="G61" i="1"/>
  <c r="L61" i="2" s="1"/>
  <c r="H61" i="1"/>
  <c r="N61" i="2" s="1"/>
  <c r="I61" i="1"/>
  <c r="P61" i="2" s="1"/>
  <c r="J61" i="1"/>
  <c r="R61" i="2" s="1"/>
  <c r="K61" i="1"/>
  <c r="T61" i="2" s="1"/>
  <c r="L61" i="1"/>
  <c r="V61" i="2" s="1"/>
  <c r="Q61" i="1"/>
  <c r="AB61" i="2" s="1"/>
  <c r="B62" i="1"/>
  <c r="B62" i="2" s="1"/>
  <c r="C62" i="1"/>
  <c r="D62" i="2" s="1"/>
  <c r="D62" i="1"/>
  <c r="F62" i="2" s="1"/>
  <c r="E62" i="1"/>
  <c r="H62" i="2" s="1"/>
  <c r="F62" i="1"/>
  <c r="J62" i="2" s="1"/>
  <c r="G62" i="1"/>
  <c r="L62" i="2" s="1"/>
  <c r="H62" i="1"/>
  <c r="N62" i="2" s="1"/>
  <c r="I62" i="1"/>
  <c r="P62" i="2" s="1"/>
  <c r="J62" i="1"/>
  <c r="R62" i="2" s="1"/>
  <c r="K62" i="1"/>
  <c r="T62" i="2" s="1"/>
  <c r="L62" i="1"/>
  <c r="V62" i="2" s="1"/>
  <c r="Q62" i="1"/>
  <c r="AB62" i="2" s="1"/>
  <c r="B63" i="1"/>
  <c r="B63" i="2" s="1"/>
  <c r="C63" i="1"/>
  <c r="D63" i="2" s="1"/>
  <c r="D63" i="1"/>
  <c r="F63" i="2" s="1"/>
  <c r="E63" i="1"/>
  <c r="H63" i="2" s="1"/>
  <c r="F63" i="1"/>
  <c r="J63" i="2" s="1"/>
  <c r="G63" i="1"/>
  <c r="L63" i="2" s="1"/>
  <c r="H63" i="1"/>
  <c r="N63" i="2" s="1"/>
  <c r="I63" i="1"/>
  <c r="P63" i="2" s="1"/>
  <c r="J63" i="1"/>
  <c r="R63" i="2" s="1"/>
  <c r="K63" i="1"/>
  <c r="T63" i="2" s="1"/>
  <c r="L63" i="1"/>
  <c r="V63" i="2" s="1"/>
  <c r="Q63" i="1"/>
  <c r="AB63" i="2" s="1"/>
  <c r="B64" i="1"/>
  <c r="B64" i="2" s="1"/>
  <c r="C64" i="1"/>
  <c r="D64" i="2" s="1"/>
  <c r="D64" i="1"/>
  <c r="F64" i="2" s="1"/>
  <c r="E64" i="1"/>
  <c r="H64" i="2" s="1"/>
  <c r="F64" i="1"/>
  <c r="J64" i="2" s="1"/>
  <c r="G64" i="1"/>
  <c r="L64" i="2" s="1"/>
  <c r="H64" i="1"/>
  <c r="N64" i="2" s="1"/>
  <c r="I64" i="1"/>
  <c r="P64" i="2" s="1"/>
  <c r="J64" i="1"/>
  <c r="R64" i="2" s="1"/>
  <c r="K64" i="1"/>
  <c r="T64" i="2" s="1"/>
  <c r="L64" i="1"/>
  <c r="V64" i="2" s="1"/>
  <c r="Q64" i="1"/>
  <c r="AB64" i="2" s="1"/>
  <c r="B65" i="1"/>
  <c r="B65" i="2" s="1"/>
  <c r="C65" i="1"/>
  <c r="D65" i="2" s="1"/>
  <c r="D65" i="1"/>
  <c r="F65" i="2" s="1"/>
  <c r="E65" i="1"/>
  <c r="H65" i="2" s="1"/>
  <c r="F65" i="1"/>
  <c r="J65" i="2" s="1"/>
  <c r="G65" i="1"/>
  <c r="L65" i="2" s="1"/>
  <c r="H65" i="1"/>
  <c r="N65" i="2" s="1"/>
  <c r="I65" i="1"/>
  <c r="P65" i="2" s="1"/>
  <c r="J65" i="1"/>
  <c r="R65" i="2" s="1"/>
  <c r="K65" i="1"/>
  <c r="T65" i="2" s="1"/>
  <c r="L65" i="1"/>
  <c r="V65" i="2" s="1"/>
  <c r="Q65" i="1"/>
  <c r="AB65" i="2" s="1"/>
  <c r="B66" i="1"/>
  <c r="B66" i="2" s="1"/>
  <c r="C66" i="1"/>
  <c r="D66" i="2" s="1"/>
  <c r="D66" i="1"/>
  <c r="F66" i="2" s="1"/>
  <c r="E66" i="1"/>
  <c r="H66" i="2" s="1"/>
  <c r="F66" i="1"/>
  <c r="J66" i="2" s="1"/>
  <c r="G66" i="1"/>
  <c r="L66" i="2" s="1"/>
  <c r="H66" i="1"/>
  <c r="N66" i="2" s="1"/>
  <c r="I66" i="1"/>
  <c r="P66" i="2" s="1"/>
  <c r="J66" i="1"/>
  <c r="R66" i="2" s="1"/>
  <c r="K66" i="1"/>
  <c r="T66" i="2" s="1"/>
  <c r="L66" i="1"/>
  <c r="V66" i="2" s="1"/>
  <c r="Q66" i="1"/>
  <c r="AB66" i="2" s="1"/>
  <c r="B67" i="1"/>
  <c r="B67" i="2" s="1"/>
  <c r="C67" i="1"/>
  <c r="D67" i="2" s="1"/>
  <c r="D67" i="1"/>
  <c r="F67" i="2" s="1"/>
  <c r="E67" i="1"/>
  <c r="H67" i="2" s="1"/>
  <c r="F67" i="1"/>
  <c r="J67" i="2" s="1"/>
  <c r="G67" i="1"/>
  <c r="L67" i="2" s="1"/>
  <c r="H67" i="1"/>
  <c r="N67" i="2" s="1"/>
  <c r="I67" i="1"/>
  <c r="P67" i="2" s="1"/>
  <c r="J67" i="1"/>
  <c r="R67" i="2" s="1"/>
  <c r="K67" i="1"/>
  <c r="T67" i="2" s="1"/>
  <c r="L67" i="1"/>
  <c r="V67" i="2" s="1"/>
  <c r="Q67" i="1"/>
  <c r="AB67" i="2" s="1"/>
  <c r="B68" i="1"/>
  <c r="B68" i="2" s="1"/>
  <c r="C68" i="1"/>
  <c r="D68" i="2" s="1"/>
  <c r="D68" i="1"/>
  <c r="F68" i="2" s="1"/>
  <c r="E68" i="1"/>
  <c r="H68" i="2" s="1"/>
  <c r="F68" i="1"/>
  <c r="J68" i="2" s="1"/>
  <c r="G68" i="1"/>
  <c r="L68" i="2" s="1"/>
  <c r="H68" i="1"/>
  <c r="N68" i="2" s="1"/>
  <c r="I68" i="1"/>
  <c r="P68" i="2" s="1"/>
  <c r="J68" i="1"/>
  <c r="R68" i="2" s="1"/>
  <c r="K68" i="1"/>
  <c r="T68" i="2" s="1"/>
  <c r="L68" i="1"/>
  <c r="V68" i="2" s="1"/>
  <c r="Q68" i="1"/>
  <c r="AB68" i="2" s="1"/>
  <c r="B69" i="1"/>
  <c r="B69" i="2" s="1"/>
  <c r="C69" i="1"/>
  <c r="D69" i="2" s="1"/>
  <c r="D69" i="1"/>
  <c r="F69" i="2" s="1"/>
  <c r="E69" i="1"/>
  <c r="H69" i="2" s="1"/>
  <c r="F69" i="1"/>
  <c r="J69" i="2" s="1"/>
  <c r="G69" i="1"/>
  <c r="L69" i="2" s="1"/>
  <c r="H69" i="1"/>
  <c r="N69" i="2" s="1"/>
  <c r="I69" i="1"/>
  <c r="P69" i="2" s="1"/>
  <c r="J69" i="1"/>
  <c r="R69" i="2" s="1"/>
  <c r="K69" i="1"/>
  <c r="T69" i="2" s="1"/>
  <c r="L69" i="1"/>
  <c r="V69" i="2" s="1"/>
  <c r="Q69" i="1"/>
  <c r="AB69" i="2" s="1"/>
  <c r="B70" i="1"/>
  <c r="B70" i="2" s="1"/>
  <c r="C70" i="1"/>
  <c r="D70" i="2" s="1"/>
  <c r="D70" i="1"/>
  <c r="F70" i="2" s="1"/>
  <c r="E70" i="1"/>
  <c r="H70" i="2" s="1"/>
  <c r="F70" i="1"/>
  <c r="J70" i="2" s="1"/>
  <c r="G70" i="1"/>
  <c r="L70" i="2" s="1"/>
  <c r="H70" i="1"/>
  <c r="N70" i="2" s="1"/>
  <c r="I70" i="1"/>
  <c r="P70" i="2" s="1"/>
  <c r="J70" i="1"/>
  <c r="R70" i="2" s="1"/>
  <c r="K70" i="1"/>
  <c r="T70" i="2" s="1"/>
  <c r="L70" i="1"/>
  <c r="V70" i="2" s="1"/>
  <c r="Q70" i="1"/>
  <c r="AB70" i="2" s="1"/>
  <c r="B71" i="1"/>
  <c r="B71" i="2" s="1"/>
  <c r="C71" i="1"/>
  <c r="D71" i="2" s="1"/>
  <c r="D71" i="1"/>
  <c r="F71" i="2" s="1"/>
  <c r="E71" i="1"/>
  <c r="H71" i="2" s="1"/>
  <c r="F71" i="1"/>
  <c r="J71" i="2" s="1"/>
  <c r="G71" i="1"/>
  <c r="L71" i="2" s="1"/>
  <c r="H71" i="1"/>
  <c r="N71" i="2" s="1"/>
  <c r="I71" i="1"/>
  <c r="P71" i="2" s="1"/>
  <c r="J71" i="1"/>
  <c r="R71" i="2" s="1"/>
  <c r="K71" i="1"/>
  <c r="T71" i="2" s="1"/>
  <c r="L71" i="1"/>
  <c r="V71" i="2" s="1"/>
  <c r="Q71" i="1"/>
  <c r="AB71" i="2" s="1"/>
  <c r="B72" i="1"/>
  <c r="B72" i="2" s="1"/>
  <c r="C72" i="1"/>
  <c r="D72" i="2" s="1"/>
  <c r="D72" i="1"/>
  <c r="F72" i="2" s="1"/>
  <c r="E72" i="1"/>
  <c r="H72" i="2" s="1"/>
  <c r="F72" i="1"/>
  <c r="J72" i="2" s="1"/>
  <c r="G72" i="1"/>
  <c r="L72" i="2" s="1"/>
  <c r="H72" i="1"/>
  <c r="N72" i="2" s="1"/>
  <c r="I72" i="1"/>
  <c r="P72" i="2" s="1"/>
  <c r="J72" i="1"/>
  <c r="R72" i="2" s="1"/>
  <c r="K72" i="1"/>
  <c r="T72" i="2" s="1"/>
  <c r="L72" i="1"/>
  <c r="V72" i="2" s="1"/>
  <c r="Q72" i="1"/>
  <c r="AB72" i="2" s="1"/>
  <c r="B73" i="1"/>
  <c r="B73" i="2" s="1"/>
  <c r="C73" i="1"/>
  <c r="D73" i="2" s="1"/>
  <c r="D73" i="1"/>
  <c r="F73" i="2" s="1"/>
  <c r="E73" i="1"/>
  <c r="H73" i="2" s="1"/>
  <c r="F73" i="1"/>
  <c r="J73" i="2" s="1"/>
  <c r="G73" i="1"/>
  <c r="L73" i="2" s="1"/>
  <c r="H73" i="1"/>
  <c r="N73" i="2" s="1"/>
  <c r="I73" i="1"/>
  <c r="P73" i="2" s="1"/>
  <c r="J73" i="1"/>
  <c r="R73" i="2" s="1"/>
  <c r="K73" i="1"/>
  <c r="T73" i="2" s="1"/>
  <c r="L73" i="1"/>
  <c r="V73" i="2" s="1"/>
  <c r="Q73" i="1"/>
  <c r="AB73" i="2" s="1"/>
  <c r="B74" i="1"/>
  <c r="B74" i="2" s="1"/>
  <c r="C74" i="1"/>
  <c r="D74" i="2" s="1"/>
  <c r="D74" i="1"/>
  <c r="F74" i="2" s="1"/>
  <c r="E74" i="1"/>
  <c r="H74" i="2" s="1"/>
  <c r="F74" i="1"/>
  <c r="J74" i="2" s="1"/>
  <c r="G74" i="1"/>
  <c r="L74" i="2" s="1"/>
  <c r="H74" i="1"/>
  <c r="N74" i="2" s="1"/>
  <c r="I74" i="1"/>
  <c r="P74" i="2" s="1"/>
  <c r="J74" i="1"/>
  <c r="R74" i="2" s="1"/>
  <c r="K74" i="1"/>
  <c r="T74" i="2" s="1"/>
  <c r="L74" i="1"/>
  <c r="V74" i="2" s="1"/>
  <c r="Q74" i="1"/>
  <c r="AB74" i="2" s="1"/>
  <c r="B75" i="1"/>
  <c r="B75" i="2" s="1"/>
  <c r="C75" i="1"/>
  <c r="D75" i="2" s="1"/>
  <c r="D75" i="1"/>
  <c r="F75" i="2" s="1"/>
  <c r="E75" i="1"/>
  <c r="H75" i="2" s="1"/>
  <c r="F75" i="1"/>
  <c r="J75" i="2" s="1"/>
  <c r="G75" i="1"/>
  <c r="L75" i="2" s="1"/>
  <c r="H75" i="1"/>
  <c r="N75" i="2" s="1"/>
  <c r="I75" i="1"/>
  <c r="P75" i="2" s="1"/>
  <c r="J75" i="1"/>
  <c r="R75" i="2" s="1"/>
  <c r="K75" i="1"/>
  <c r="T75" i="2" s="1"/>
  <c r="L75" i="1"/>
  <c r="V75" i="2" s="1"/>
  <c r="Q75" i="1"/>
  <c r="AB75" i="2" s="1"/>
  <c r="B76" i="1"/>
  <c r="B76" i="2" s="1"/>
  <c r="C76" i="1"/>
  <c r="D76" i="2" s="1"/>
  <c r="D76" i="1"/>
  <c r="F76" i="2" s="1"/>
  <c r="E76" i="1"/>
  <c r="H76" i="2" s="1"/>
  <c r="F76" i="1"/>
  <c r="J76" i="2" s="1"/>
  <c r="G76" i="1"/>
  <c r="L76" i="2" s="1"/>
  <c r="H76" i="1"/>
  <c r="N76" i="2" s="1"/>
  <c r="I76" i="1"/>
  <c r="P76" i="2" s="1"/>
  <c r="J76" i="1"/>
  <c r="R76" i="2" s="1"/>
  <c r="K76" i="1"/>
  <c r="T76" i="2" s="1"/>
  <c r="L76" i="1"/>
  <c r="V76" i="2" s="1"/>
  <c r="Q76" i="1"/>
  <c r="AB76" i="2" s="1"/>
  <c r="B77" i="1"/>
  <c r="B77" i="2" s="1"/>
  <c r="C77" i="1"/>
  <c r="D77" i="2" s="1"/>
  <c r="D77" i="1"/>
  <c r="F77" i="2" s="1"/>
  <c r="E77" i="1"/>
  <c r="H77" i="2" s="1"/>
  <c r="F77" i="1"/>
  <c r="J77" i="2" s="1"/>
  <c r="G77" i="1"/>
  <c r="L77" i="2" s="1"/>
  <c r="H77" i="1"/>
  <c r="N77" i="2" s="1"/>
  <c r="I77" i="1"/>
  <c r="P77" i="2" s="1"/>
  <c r="J77" i="1"/>
  <c r="R77" i="2" s="1"/>
  <c r="K77" i="1"/>
  <c r="T77" i="2" s="1"/>
  <c r="L77" i="1"/>
  <c r="V77" i="2" s="1"/>
  <c r="Q77" i="1"/>
  <c r="AB77" i="2" s="1"/>
  <c r="B78" i="1"/>
  <c r="B78" i="2" s="1"/>
  <c r="C78" i="1"/>
  <c r="D78" i="2" s="1"/>
  <c r="D78" i="1"/>
  <c r="F78" i="2" s="1"/>
  <c r="E78" i="1"/>
  <c r="H78" i="2" s="1"/>
  <c r="F78" i="1"/>
  <c r="J78" i="2" s="1"/>
  <c r="G78" i="1"/>
  <c r="L78" i="2" s="1"/>
  <c r="H78" i="1"/>
  <c r="N78" i="2" s="1"/>
  <c r="I78" i="1"/>
  <c r="P78" i="2" s="1"/>
  <c r="J78" i="1"/>
  <c r="R78" i="2" s="1"/>
  <c r="K78" i="1"/>
  <c r="T78" i="2" s="1"/>
  <c r="L78" i="1"/>
  <c r="V78" i="2" s="1"/>
  <c r="Q78" i="1"/>
  <c r="AB78" i="2" s="1"/>
  <c r="B79" i="1"/>
  <c r="B79" i="2" s="1"/>
  <c r="C79" i="1"/>
  <c r="D79" i="2" s="1"/>
  <c r="D79" i="1"/>
  <c r="F79" i="2" s="1"/>
  <c r="E79" i="1"/>
  <c r="H79" i="2" s="1"/>
  <c r="F79" i="1"/>
  <c r="J79" i="2" s="1"/>
  <c r="G79" i="1"/>
  <c r="L79" i="2" s="1"/>
  <c r="H79" i="1"/>
  <c r="N79" i="2" s="1"/>
  <c r="I79" i="1"/>
  <c r="P79" i="2" s="1"/>
  <c r="J79" i="1"/>
  <c r="R79" i="2" s="1"/>
  <c r="K79" i="1"/>
  <c r="T79" i="2" s="1"/>
  <c r="L79" i="1"/>
  <c r="V79" i="2" s="1"/>
  <c r="Q79" i="1"/>
  <c r="AB79" i="2" s="1"/>
  <c r="B80" i="1"/>
  <c r="B80" i="2" s="1"/>
  <c r="C80" i="1"/>
  <c r="D80" i="2" s="1"/>
  <c r="D80" i="1"/>
  <c r="F80" i="2" s="1"/>
  <c r="E80" i="1"/>
  <c r="H80" i="2" s="1"/>
  <c r="F80" i="1"/>
  <c r="J80" i="2" s="1"/>
  <c r="G80" i="1"/>
  <c r="L80" i="2" s="1"/>
  <c r="H80" i="1"/>
  <c r="N80" i="2" s="1"/>
  <c r="I80" i="1"/>
  <c r="P80" i="2" s="1"/>
  <c r="J80" i="1"/>
  <c r="R80" i="2" s="1"/>
  <c r="K80" i="1"/>
  <c r="T80" i="2" s="1"/>
  <c r="L80" i="1"/>
  <c r="V80" i="2" s="1"/>
  <c r="Q80" i="1"/>
  <c r="AB80" i="2" s="1"/>
  <c r="B81" i="1"/>
  <c r="B81" i="2" s="1"/>
  <c r="C81" i="1"/>
  <c r="D81" i="2" s="1"/>
  <c r="D81" i="1"/>
  <c r="F81" i="2" s="1"/>
  <c r="E81" i="1"/>
  <c r="H81" i="2" s="1"/>
  <c r="F81" i="1"/>
  <c r="J81" i="2" s="1"/>
  <c r="G81" i="1"/>
  <c r="L81" i="2" s="1"/>
  <c r="H81" i="1"/>
  <c r="N81" i="2" s="1"/>
  <c r="I81" i="1"/>
  <c r="P81" i="2" s="1"/>
  <c r="J81" i="1"/>
  <c r="R81" i="2" s="1"/>
  <c r="K81" i="1"/>
  <c r="T81" i="2" s="1"/>
  <c r="L81" i="1"/>
  <c r="V81" i="2" s="1"/>
  <c r="Q81" i="1"/>
  <c r="AB81" i="2" s="1"/>
  <c r="B82" i="1"/>
  <c r="B82" i="2" s="1"/>
  <c r="C82" i="1"/>
  <c r="D82" i="2" s="1"/>
  <c r="D82" i="1"/>
  <c r="F82" i="2" s="1"/>
  <c r="E82" i="1"/>
  <c r="H82" i="2" s="1"/>
  <c r="F82" i="1"/>
  <c r="J82" i="2" s="1"/>
  <c r="G82" i="1"/>
  <c r="L82" i="2" s="1"/>
  <c r="H82" i="1"/>
  <c r="N82" i="2" s="1"/>
  <c r="I82" i="1"/>
  <c r="P82" i="2" s="1"/>
  <c r="J82" i="1"/>
  <c r="R82" i="2" s="1"/>
  <c r="K82" i="1"/>
  <c r="T82" i="2" s="1"/>
  <c r="L82" i="1"/>
  <c r="V82" i="2" s="1"/>
  <c r="Q82" i="1"/>
  <c r="AB82" i="2" s="1"/>
  <c r="B83" i="1"/>
  <c r="B83" i="2" s="1"/>
  <c r="C83" i="1"/>
  <c r="D83" i="2" s="1"/>
  <c r="D83" i="1"/>
  <c r="F83" i="2" s="1"/>
  <c r="E83" i="1"/>
  <c r="H83" i="2" s="1"/>
  <c r="F83" i="1"/>
  <c r="J83" i="2" s="1"/>
  <c r="G83" i="1"/>
  <c r="L83" i="2" s="1"/>
  <c r="H83" i="1"/>
  <c r="N83" i="2" s="1"/>
  <c r="I83" i="1"/>
  <c r="P83" i="2" s="1"/>
  <c r="J83" i="1"/>
  <c r="R83" i="2" s="1"/>
  <c r="K83" i="1"/>
  <c r="T83" i="2" s="1"/>
  <c r="L83" i="1"/>
  <c r="V83" i="2" s="1"/>
  <c r="Q83" i="1"/>
  <c r="AB83" i="2" s="1"/>
  <c r="B84" i="1"/>
  <c r="B84" i="2" s="1"/>
  <c r="C84" i="1"/>
  <c r="D84" i="2" s="1"/>
  <c r="D84" i="1"/>
  <c r="F84" i="2" s="1"/>
  <c r="E84" i="1"/>
  <c r="H84" i="2" s="1"/>
  <c r="F84" i="1"/>
  <c r="J84" i="2" s="1"/>
  <c r="G84" i="1"/>
  <c r="L84" i="2" s="1"/>
  <c r="H84" i="1"/>
  <c r="N84" i="2" s="1"/>
  <c r="I84" i="1"/>
  <c r="P84" i="2" s="1"/>
  <c r="J84" i="1"/>
  <c r="R84" i="2" s="1"/>
  <c r="K84" i="1"/>
  <c r="T84" i="2" s="1"/>
  <c r="L84" i="1"/>
  <c r="V84" i="2" s="1"/>
  <c r="Q84" i="1"/>
  <c r="AB84" i="2" s="1"/>
  <c r="B85" i="1"/>
  <c r="B85" i="2" s="1"/>
  <c r="C85" i="1"/>
  <c r="D85" i="2" s="1"/>
  <c r="D85" i="1"/>
  <c r="F85" i="2" s="1"/>
  <c r="E85" i="1"/>
  <c r="H85" i="2" s="1"/>
  <c r="F85" i="1"/>
  <c r="J85" i="2" s="1"/>
  <c r="G85" i="1"/>
  <c r="L85" i="2" s="1"/>
  <c r="H85" i="1"/>
  <c r="N85" i="2" s="1"/>
  <c r="I85" i="1"/>
  <c r="P85" i="2" s="1"/>
  <c r="J85" i="1"/>
  <c r="R85" i="2" s="1"/>
  <c r="K85" i="1"/>
  <c r="T85" i="2" s="1"/>
  <c r="L85" i="1"/>
  <c r="V85" i="2" s="1"/>
  <c r="Q85" i="1"/>
  <c r="AB85" i="2" s="1"/>
  <c r="B86" i="1"/>
  <c r="B86" i="2" s="1"/>
  <c r="C86" i="1"/>
  <c r="D86" i="2" s="1"/>
  <c r="D86" i="1"/>
  <c r="F86" i="2" s="1"/>
  <c r="E86" i="1"/>
  <c r="H86" i="2" s="1"/>
  <c r="F86" i="1"/>
  <c r="J86" i="2" s="1"/>
  <c r="G86" i="1"/>
  <c r="L86" i="2" s="1"/>
  <c r="H86" i="1"/>
  <c r="N86" i="2" s="1"/>
  <c r="I86" i="1"/>
  <c r="P86" i="2" s="1"/>
  <c r="J86" i="1"/>
  <c r="R86" i="2" s="1"/>
  <c r="K86" i="1"/>
  <c r="T86" i="2" s="1"/>
  <c r="L86" i="1"/>
  <c r="V86" i="2" s="1"/>
  <c r="Q86" i="1"/>
  <c r="AB86" i="2" s="1"/>
  <c r="B87" i="1"/>
  <c r="B87" i="2" s="1"/>
  <c r="C87" i="1"/>
  <c r="D87" i="2" s="1"/>
  <c r="D87" i="1"/>
  <c r="F87" i="2" s="1"/>
  <c r="E87" i="1"/>
  <c r="H87" i="2" s="1"/>
  <c r="F87" i="1"/>
  <c r="J87" i="2" s="1"/>
  <c r="G87" i="1"/>
  <c r="L87" i="2" s="1"/>
  <c r="H87" i="1"/>
  <c r="N87" i="2" s="1"/>
  <c r="I87" i="1"/>
  <c r="P87" i="2" s="1"/>
  <c r="J87" i="1"/>
  <c r="R87" i="2" s="1"/>
  <c r="K87" i="1"/>
  <c r="T87" i="2" s="1"/>
  <c r="L87" i="1"/>
  <c r="V87" i="2" s="1"/>
  <c r="Q87" i="1"/>
  <c r="AB87" i="2" s="1"/>
  <c r="B88" i="1"/>
  <c r="B88" i="2" s="1"/>
  <c r="C88" i="1"/>
  <c r="D88" i="2" s="1"/>
  <c r="D88" i="1"/>
  <c r="F88" i="2" s="1"/>
  <c r="E88" i="1"/>
  <c r="H88" i="2" s="1"/>
  <c r="F88" i="1"/>
  <c r="J88" i="2" s="1"/>
  <c r="G88" i="1"/>
  <c r="L88" i="2" s="1"/>
  <c r="H88" i="1"/>
  <c r="N88" i="2" s="1"/>
  <c r="I88" i="1"/>
  <c r="P88" i="2" s="1"/>
  <c r="J88" i="1"/>
  <c r="R88" i="2" s="1"/>
  <c r="K88" i="1"/>
  <c r="T88" i="2" s="1"/>
  <c r="L88" i="1"/>
  <c r="V88" i="2" s="1"/>
  <c r="Q88" i="1"/>
  <c r="AB88" i="2" s="1"/>
  <c r="B89" i="1"/>
  <c r="B89" i="2" s="1"/>
  <c r="C89" i="1"/>
  <c r="D89" i="2" s="1"/>
  <c r="D89" i="1"/>
  <c r="F89" i="2" s="1"/>
  <c r="E89" i="1"/>
  <c r="H89" i="2" s="1"/>
  <c r="F89" i="1"/>
  <c r="J89" i="2" s="1"/>
  <c r="G89" i="1"/>
  <c r="L89" i="2" s="1"/>
  <c r="H89" i="1"/>
  <c r="N89" i="2" s="1"/>
  <c r="I89" i="1"/>
  <c r="P89" i="2" s="1"/>
  <c r="J89" i="1"/>
  <c r="R89" i="2" s="1"/>
  <c r="K89" i="1"/>
  <c r="T89" i="2" s="1"/>
  <c r="L89" i="1"/>
  <c r="V89" i="2" s="1"/>
  <c r="Q89" i="1"/>
  <c r="AB89" i="2" s="1"/>
  <c r="B90" i="2"/>
  <c r="C90" i="1"/>
  <c r="D90" i="2" s="1"/>
  <c r="D90" i="1"/>
  <c r="F90" i="2" s="1"/>
  <c r="E90" i="1"/>
  <c r="H90" i="2" s="1"/>
  <c r="F90" i="1"/>
  <c r="J90" i="2" s="1"/>
  <c r="G90" i="1"/>
  <c r="L90" i="2" s="1"/>
  <c r="H90" i="1"/>
  <c r="N90" i="2" s="1"/>
  <c r="I90" i="1"/>
  <c r="P90" i="2" s="1"/>
  <c r="J90" i="1"/>
  <c r="R90" i="2" s="1"/>
  <c r="K90" i="1"/>
  <c r="T90" i="2" s="1"/>
  <c r="L90" i="1"/>
  <c r="V90" i="2" s="1"/>
  <c r="Q90" i="1"/>
  <c r="AB90" i="2" s="1"/>
  <c r="B91" i="1"/>
  <c r="B91" i="2" s="1"/>
  <c r="C91" i="1"/>
  <c r="D91" i="2" s="1"/>
  <c r="D91" i="1"/>
  <c r="F91" i="2" s="1"/>
  <c r="E91" i="1"/>
  <c r="H91" i="2" s="1"/>
  <c r="F91" i="1"/>
  <c r="J91" i="2" s="1"/>
  <c r="G91" i="1"/>
  <c r="L91" i="2" s="1"/>
  <c r="H91" i="1"/>
  <c r="N91" i="2" s="1"/>
  <c r="I91" i="1"/>
  <c r="P91" i="2" s="1"/>
  <c r="J91" i="1"/>
  <c r="R91" i="2" s="1"/>
  <c r="K91" i="1"/>
  <c r="T91" i="2" s="1"/>
  <c r="L91" i="1"/>
  <c r="V91" i="2" s="1"/>
  <c r="Q91" i="1"/>
  <c r="AB91" i="2" s="1"/>
  <c r="B92" i="1"/>
  <c r="B92" i="2" s="1"/>
  <c r="C92" i="1"/>
  <c r="D92" i="2" s="1"/>
  <c r="D92" i="1"/>
  <c r="F92" i="2" s="1"/>
  <c r="E92" i="1"/>
  <c r="H92" i="2" s="1"/>
  <c r="F92" i="1"/>
  <c r="J92" i="2" s="1"/>
  <c r="G92" i="1"/>
  <c r="L92" i="2" s="1"/>
  <c r="H92" i="1"/>
  <c r="N92" i="2" s="1"/>
  <c r="I92" i="1"/>
  <c r="P92" i="2" s="1"/>
  <c r="J92" i="1"/>
  <c r="R92" i="2" s="1"/>
  <c r="K92" i="1"/>
  <c r="T92" i="2" s="1"/>
  <c r="L92" i="1"/>
  <c r="V92" i="2" s="1"/>
  <c r="Q92" i="1"/>
  <c r="AB92" i="2" s="1"/>
  <c r="B93" i="1"/>
  <c r="B93" i="2" s="1"/>
  <c r="C93" i="1"/>
  <c r="D93" i="2" s="1"/>
  <c r="D93" i="1"/>
  <c r="F93" i="2" s="1"/>
  <c r="E93" i="1"/>
  <c r="H93" i="2" s="1"/>
  <c r="F93" i="1"/>
  <c r="J93" i="2" s="1"/>
  <c r="G93" i="1"/>
  <c r="L93" i="2" s="1"/>
  <c r="H93" i="1"/>
  <c r="N93" i="2" s="1"/>
  <c r="I93" i="1"/>
  <c r="P93" i="2" s="1"/>
  <c r="J93" i="1"/>
  <c r="R93" i="2" s="1"/>
  <c r="K93" i="1"/>
  <c r="T93" i="2" s="1"/>
  <c r="L93" i="1"/>
  <c r="V93" i="2" s="1"/>
  <c r="Q93" i="1"/>
  <c r="AB93" i="2" s="1"/>
  <c r="B94" i="1"/>
  <c r="B94" i="2" s="1"/>
  <c r="C94" i="1"/>
  <c r="D94" i="2" s="1"/>
  <c r="D94" i="1"/>
  <c r="F94" i="2" s="1"/>
  <c r="E94" i="1"/>
  <c r="H94" i="2" s="1"/>
  <c r="F94" i="1"/>
  <c r="J94" i="2" s="1"/>
  <c r="G94" i="1"/>
  <c r="L94" i="2" s="1"/>
  <c r="H94" i="1"/>
  <c r="N94" i="2" s="1"/>
  <c r="I94" i="1"/>
  <c r="P94" i="2" s="1"/>
  <c r="J94" i="1"/>
  <c r="R94" i="2" s="1"/>
  <c r="K94" i="1"/>
  <c r="T94" i="2" s="1"/>
  <c r="L94" i="1"/>
  <c r="V94" i="2" s="1"/>
  <c r="Q94" i="1"/>
  <c r="AB94" i="2" s="1"/>
  <c r="B95" i="1"/>
  <c r="B95" i="2" s="1"/>
  <c r="C95" i="1"/>
  <c r="D95" i="2" s="1"/>
  <c r="D95" i="1"/>
  <c r="F95" i="2" s="1"/>
  <c r="E95" i="1"/>
  <c r="H95" i="2" s="1"/>
  <c r="F95" i="1"/>
  <c r="J95" i="2" s="1"/>
  <c r="G95" i="1"/>
  <c r="L95" i="2" s="1"/>
  <c r="H95" i="1"/>
  <c r="N95" i="2" s="1"/>
  <c r="I95" i="1"/>
  <c r="P95" i="2" s="1"/>
  <c r="J95" i="1"/>
  <c r="R95" i="2" s="1"/>
  <c r="K95" i="1"/>
  <c r="T95" i="2" s="1"/>
  <c r="L95" i="1"/>
  <c r="V95" i="2" s="1"/>
  <c r="Q95" i="1"/>
  <c r="AB95" i="2" s="1"/>
  <c r="B96" i="1"/>
  <c r="B96" i="2" s="1"/>
  <c r="C96" i="1"/>
  <c r="D96" i="2" s="1"/>
  <c r="D96" i="1"/>
  <c r="F96" i="2" s="1"/>
  <c r="E96" i="1"/>
  <c r="H96" i="2" s="1"/>
  <c r="F96" i="1"/>
  <c r="J96" i="2" s="1"/>
  <c r="G96" i="1"/>
  <c r="L96" i="2" s="1"/>
  <c r="H96" i="1"/>
  <c r="N96" i="2" s="1"/>
  <c r="I96" i="1"/>
  <c r="P96" i="2" s="1"/>
  <c r="J96" i="1"/>
  <c r="R96" i="2" s="1"/>
  <c r="K96" i="1"/>
  <c r="T96" i="2" s="1"/>
  <c r="L96" i="1"/>
  <c r="V96" i="2" s="1"/>
  <c r="Q96" i="1"/>
  <c r="AB96" i="2" s="1"/>
  <c r="B97" i="1"/>
  <c r="B97" i="2" s="1"/>
  <c r="C97" i="1"/>
  <c r="D97" i="2" s="1"/>
  <c r="D97" i="1"/>
  <c r="F97" i="2" s="1"/>
  <c r="E97" i="1"/>
  <c r="H97" i="2" s="1"/>
  <c r="F97" i="1"/>
  <c r="J97" i="2" s="1"/>
  <c r="G97" i="1"/>
  <c r="L97" i="2" s="1"/>
  <c r="H97" i="1"/>
  <c r="N97" i="2" s="1"/>
  <c r="I97" i="1"/>
  <c r="P97" i="2" s="1"/>
  <c r="J97" i="1"/>
  <c r="R97" i="2" s="1"/>
  <c r="K97" i="1"/>
  <c r="T97" i="2" s="1"/>
  <c r="L97" i="1"/>
  <c r="V97" i="2" s="1"/>
  <c r="Q97" i="1"/>
  <c r="AB97" i="2" s="1"/>
  <c r="B98" i="1"/>
  <c r="B98" i="2" s="1"/>
  <c r="C98" i="1"/>
  <c r="D98" i="2" s="1"/>
  <c r="D98" i="1"/>
  <c r="F98" i="2" s="1"/>
  <c r="E98" i="1"/>
  <c r="H98" i="2" s="1"/>
  <c r="F98" i="1"/>
  <c r="J98" i="2" s="1"/>
  <c r="G98" i="1"/>
  <c r="L98" i="2" s="1"/>
  <c r="H98" i="1"/>
  <c r="N98" i="2" s="1"/>
  <c r="I98" i="1"/>
  <c r="P98" i="2" s="1"/>
  <c r="Q98" i="2" s="1"/>
  <c r="C80" i="9" s="1"/>
  <c r="J98" i="1"/>
  <c r="R98" i="2" s="1"/>
  <c r="K98" i="1"/>
  <c r="T98" i="2" s="1"/>
  <c r="L98" i="1"/>
  <c r="V98" i="2" s="1"/>
  <c r="W98" i="2" s="1"/>
  <c r="Q98" i="1"/>
  <c r="AB98" i="2" s="1"/>
  <c r="B99" i="1"/>
  <c r="B99" i="2" s="1"/>
  <c r="C99" i="2" s="1"/>
  <c r="C99" i="1"/>
  <c r="D99" i="2" s="1"/>
  <c r="D99" i="1"/>
  <c r="F99" i="2" s="1"/>
  <c r="E99" i="1"/>
  <c r="H99" i="2" s="1"/>
  <c r="F99" i="1"/>
  <c r="J99" i="2" s="1"/>
  <c r="G99" i="1"/>
  <c r="L99" i="2" s="1"/>
  <c r="H99" i="1"/>
  <c r="N99" i="2" s="1"/>
  <c r="I99" i="1"/>
  <c r="P99" i="2" s="1"/>
  <c r="J99" i="1"/>
  <c r="R99" i="2" s="1"/>
  <c r="K99" i="1"/>
  <c r="T99" i="2" s="1"/>
  <c r="L99" i="1"/>
  <c r="V99" i="2" s="1"/>
  <c r="Q99" i="1"/>
  <c r="AB99" i="2" s="1"/>
  <c r="B100" i="1"/>
  <c r="B100" i="2" s="1"/>
  <c r="C100" i="1"/>
  <c r="D100" i="2" s="1"/>
  <c r="D100" i="1"/>
  <c r="F100" i="2" s="1"/>
  <c r="E100" i="1"/>
  <c r="H100" i="2" s="1"/>
  <c r="F100" i="1"/>
  <c r="J100" i="2" s="1"/>
  <c r="G100" i="1"/>
  <c r="L100" i="2" s="1"/>
  <c r="H100" i="1"/>
  <c r="N100" i="2" s="1"/>
  <c r="I100" i="1"/>
  <c r="P100" i="2" s="1"/>
  <c r="Q100" i="2" s="1"/>
  <c r="C82" i="9" s="1"/>
  <c r="J100" i="1"/>
  <c r="R100" i="2" s="1"/>
  <c r="K100" i="1"/>
  <c r="T100" i="2" s="1"/>
  <c r="L100" i="1"/>
  <c r="V100" i="2" s="1"/>
  <c r="Q100" i="1"/>
  <c r="AB100" i="2" s="1"/>
  <c r="B101" i="1"/>
  <c r="B101" i="2" s="1"/>
  <c r="C101" i="1"/>
  <c r="D101" i="2" s="1"/>
  <c r="D101" i="1"/>
  <c r="F101" i="2" s="1"/>
  <c r="E101" i="1"/>
  <c r="H101" i="2" s="1"/>
  <c r="F101" i="1"/>
  <c r="J101" i="2" s="1"/>
  <c r="G101" i="1"/>
  <c r="L101" i="2" s="1"/>
  <c r="H101" i="1"/>
  <c r="N101" i="2" s="1"/>
  <c r="I101" i="1"/>
  <c r="P101" i="2" s="1"/>
  <c r="J101" i="1"/>
  <c r="R101" i="2" s="1"/>
  <c r="K101" i="1"/>
  <c r="T101" i="2" s="1"/>
  <c r="L101" i="1"/>
  <c r="V101" i="2" s="1"/>
  <c r="Q101" i="1"/>
  <c r="AB101" i="2" s="1"/>
  <c r="B102" i="1"/>
  <c r="B102" i="2" s="1"/>
  <c r="C102" i="1"/>
  <c r="D102" i="2" s="1"/>
  <c r="E102" i="2" s="1"/>
  <c r="D102" i="1"/>
  <c r="F102" i="2" s="1"/>
  <c r="E102" i="1"/>
  <c r="H102" i="2" s="1"/>
  <c r="F102" i="1"/>
  <c r="J102" i="2" s="1"/>
  <c r="K102" i="2" s="1"/>
  <c r="G102" i="1"/>
  <c r="L102" i="2" s="1"/>
  <c r="M102" i="2" s="1"/>
  <c r="H102" i="1"/>
  <c r="N102" i="2" s="1"/>
  <c r="O102" i="2" s="1"/>
  <c r="I102" i="1"/>
  <c r="P102" i="2" s="1"/>
  <c r="Q102" i="2" s="1"/>
  <c r="C84" i="9" s="1"/>
  <c r="J102" i="1"/>
  <c r="R102" i="2" s="1"/>
  <c r="K102" i="1"/>
  <c r="T102" i="2" s="1"/>
  <c r="L102" i="1"/>
  <c r="V102" i="2" s="1"/>
  <c r="W102" i="2" s="1"/>
  <c r="Q102" i="1"/>
  <c r="AB102" i="2" s="1"/>
  <c r="B103" i="1"/>
  <c r="B103" i="2" s="1"/>
  <c r="C103" i="2" s="1"/>
  <c r="C103" i="1"/>
  <c r="D103" i="2" s="1"/>
  <c r="E103" i="2" s="1"/>
  <c r="D103" i="1"/>
  <c r="F103" i="2" s="1"/>
  <c r="G103" i="2" s="1"/>
  <c r="E103" i="1"/>
  <c r="H103" i="2" s="1"/>
  <c r="I103" i="2" s="1"/>
  <c r="D85" i="9" s="1"/>
  <c r="F103" i="1"/>
  <c r="J103" i="2" s="1"/>
  <c r="K103" i="2" s="1"/>
  <c r="G103" i="1"/>
  <c r="L103" i="2" s="1"/>
  <c r="M103" i="2" s="1"/>
  <c r="H103" i="1"/>
  <c r="N103" i="2" s="1"/>
  <c r="O103" i="2" s="1"/>
  <c r="I103" i="1"/>
  <c r="P103" i="2" s="1"/>
  <c r="Q103" i="2" s="1"/>
  <c r="C85" i="9" s="1"/>
  <c r="J103" i="1"/>
  <c r="R103" i="2" s="1"/>
  <c r="S103" i="2" s="1"/>
  <c r="K103" i="1"/>
  <c r="T103" i="2" s="1"/>
  <c r="U103" i="2" s="1"/>
  <c r="L103" i="1"/>
  <c r="V103" i="2" s="1"/>
  <c r="W103" i="2" s="1"/>
  <c r="Q103" i="1"/>
  <c r="AB103" i="2" s="1"/>
  <c r="B104" i="1"/>
  <c r="B104" i="2" s="1"/>
  <c r="C104" i="2" s="1"/>
  <c r="C104" i="1"/>
  <c r="D104" i="2" s="1"/>
  <c r="E104" i="2" s="1"/>
  <c r="D104" i="1"/>
  <c r="F104" i="2" s="1"/>
  <c r="G104" i="2" s="1"/>
  <c r="E104" i="1"/>
  <c r="H104" i="2" s="1"/>
  <c r="I104" i="2" s="1"/>
  <c r="D86" i="9" s="1"/>
  <c r="F104" i="1"/>
  <c r="J104" i="2" s="1"/>
  <c r="K104" i="2" s="1"/>
  <c r="G104" i="1"/>
  <c r="L104" i="2" s="1"/>
  <c r="M104" i="2" s="1"/>
  <c r="H104" i="1"/>
  <c r="N104" i="2" s="1"/>
  <c r="O104" i="2" s="1"/>
  <c r="I104" i="1"/>
  <c r="P104" i="2" s="1"/>
  <c r="Q104" i="2" s="1"/>
  <c r="C86" i="9" s="1"/>
  <c r="J104" i="1"/>
  <c r="R104" i="2" s="1"/>
  <c r="S104" i="2" s="1"/>
  <c r="K104" i="1"/>
  <c r="T104" i="2" s="1"/>
  <c r="U104" i="2" s="1"/>
  <c r="L104" i="1"/>
  <c r="V104" i="2" s="1"/>
  <c r="W104" i="2" s="1"/>
  <c r="Q104" i="1"/>
  <c r="AB104" i="2" s="1"/>
  <c r="B105" i="1"/>
  <c r="B105" i="2" s="1"/>
  <c r="C105" i="2" s="1"/>
  <c r="C105" i="1"/>
  <c r="D105" i="2" s="1"/>
  <c r="E105" i="2" s="1"/>
  <c r="D105" i="1"/>
  <c r="F105" i="2" s="1"/>
  <c r="G105" i="2" s="1"/>
  <c r="E105" i="1"/>
  <c r="H105" i="2" s="1"/>
  <c r="I105" i="2" s="1"/>
  <c r="D87" i="9" s="1"/>
  <c r="F105" i="1"/>
  <c r="J105" i="2" s="1"/>
  <c r="K105" i="2" s="1"/>
  <c r="G105" i="1"/>
  <c r="L105" i="2" s="1"/>
  <c r="M105" i="2" s="1"/>
  <c r="H105" i="1"/>
  <c r="N105" i="2" s="1"/>
  <c r="O105" i="2" s="1"/>
  <c r="I105" i="1"/>
  <c r="P105" i="2" s="1"/>
  <c r="Q105" i="2" s="1"/>
  <c r="C87" i="9" s="1"/>
  <c r="J105" i="1"/>
  <c r="R105" i="2" s="1"/>
  <c r="S105" i="2" s="1"/>
  <c r="K105" i="1"/>
  <c r="T105" i="2" s="1"/>
  <c r="U105" i="2" s="1"/>
  <c r="L105" i="1"/>
  <c r="V105" i="2" s="1"/>
  <c r="W105" i="2" s="1"/>
  <c r="Q105" i="1"/>
  <c r="AB105" i="2" s="1"/>
  <c r="B106" i="1"/>
  <c r="B106" i="2" s="1"/>
  <c r="C106" i="2" s="1"/>
  <c r="C106" i="1"/>
  <c r="D106" i="2" s="1"/>
  <c r="E106" i="2" s="1"/>
  <c r="D106" i="1"/>
  <c r="F106" i="2" s="1"/>
  <c r="G106" i="2" s="1"/>
  <c r="E106" i="1"/>
  <c r="H106" i="2" s="1"/>
  <c r="I106" i="2" s="1"/>
  <c r="D88" i="9" s="1"/>
  <c r="F106" i="1"/>
  <c r="J106" i="2" s="1"/>
  <c r="K106" i="2" s="1"/>
  <c r="G106" i="1"/>
  <c r="L106" i="2" s="1"/>
  <c r="M106" i="2" s="1"/>
  <c r="H106" i="1"/>
  <c r="N106" i="2" s="1"/>
  <c r="O106" i="2" s="1"/>
  <c r="I106" i="1"/>
  <c r="P106" i="2" s="1"/>
  <c r="Q106" i="2" s="1"/>
  <c r="C88" i="9" s="1"/>
  <c r="J106" i="1"/>
  <c r="R106" i="2" s="1"/>
  <c r="S106" i="2" s="1"/>
  <c r="K106" i="1"/>
  <c r="T106" i="2" s="1"/>
  <c r="U106" i="2" s="1"/>
  <c r="L106" i="1"/>
  <c r="V106" i="2" s="1"/>
  <c r="W106" i="2" s="1"/>
  <c r="Q106" i="1"/>
  <c r="AB106" i="2" s="1"/>
  <c r="B107" i="1"/>
  <c r="B107" i="2" s="1"/>
  <c r="C107" i="2" s="1"/>
  <c r="C107" i="1"/>
  <c r="D107" i="2" s="1"/>
  <c r="E107" i="2" s="1"/>
  <c r="D107" i="1"/>
  <c r="F107" i="2" s="1"/>
  <c r="G107" i="2" s="1"/>
  <c r="E107" i="1"/>
  <c r="H107" i="2" s="1"/>
  <c r="I107" i="2" s="1"/>
  <c r="D89" i="9" s="1"/>
  <c r="F107" i="1"/>
  <c r="J107" i="2" s="1"/>
  <c r="K107" i="2" s="1"/>
  <c r="G107" i="1"/>
  <c r="L107" i="2" s="1"/>
  <c r="M107" i="2" s="1"/>
  <c r="H107" i="1"/>
  <c r="N107" i="2" s="1"/>
  <c r="O107" i="2" s="1"/>
  <c r="I107" i="1"/>
  <c r="P107" i="2" s="1"/>
  <c r="Q107" i="2" s="1"/>
  <c r="C89" i="9" s="1"/>
  <c r="J107" i="1"/>
  <c r="R107" i="2" s="1"/>
  <c r="S107" i="2" s="1"/>
  <c r="K107" i="1"/>
  <c r="T107" i="2" s="1"/>
  <c r="U107" i="2" s="1"/>
  <c r="L107" i="1"/>
  <c r="V107" i="2" s="1"/>
  <c r="W107" i="2" s="1"/>
  <c r="Q107" i="1"/>
  <c r="AB107" i="2" s="1"/>
  <c r="B108" i="1"/>
  <c r="B108" i="2" s="1"/>
  <c r="C108" i="2" s="1"/>
  <c r="C108" i="1"/>
  <c r="D108" i="2" s="1"/>
  <c r="E108" i="2" s="1"/>
  <c r="D108" i="1"/>
  <c r="F108" i="2" s="1"/>
  <c r="G108" i="2" s="1"/>
  <c r="E108" i="1"/>
  <c r="H108" i="2" s="1"/>
  <c r="I108" i="2" s="1"/>
  <c r="D90" i="9" s="1"/>
  <c r="F108" i="1"/>
  <c r="J108" i="2" s="1"/>
  <c r="K108" i="2" s="1"/>
  <c r="G108" i="1"/>
  <c r="L108" i="2" s="1"/>
  <c r="M108" i="2" s="1"/>
  <c r="H108" i="1"/>
  <c r="N108" i="2" s="1"/>
  <c r="O108" i="2" s="1"/>
  <c r="I108" i="1"/>
  <c r="P108" i="2" s="1"/>
  <c r="Q108" i="2" s="1"/>
  <c r="C90" i="9" s="1"/>
  <c r="J108" i="1"/>
  <c r="R108" i="2" s="1"/>
  <c r="S108" i="2" s="1"/>
  <c r="K108" i="1"/>
  <c r="T108" i="2" s="1"/>
  <c r="U108" i="2" s="1"/>
  <c r="L108" i="1"/>
  <c r="V108" i="2" s="1"/>
  <c r="W108" i="2" s="1"/>
  <c r="Q108" i="1"/>
  <c r="AB108" i="2" s="1"/>
  <c r="B109" i="1"/>
  <c r="B109" i="2" s="1"/>
  <c r="C109" i="2" s="1"/>
  <c r="C109" i="1"/>
  <c r="D109" i="2" s="1"/>
  <c r="E109" i="2" s="1"/>
  <c r="D109" i="1"/>
  <c r="F109" i="2" s="1"/>
  <c r="G109" i="2" s="1"/>
  <c r="E109" i="1"/>
  <c r="H109" i="2" s="1"/>
  <c r="I109" i="2" s="1"/>
  <c r="D91" i="9" s="1"/>
  <c r="F109" i="1"/>
  <c r="J109" i="2" s="1"/>
  <c r="K109" i="2" s="1"/>
  <c r="G109" i="1"/>
  <c r="L109" i="2" s="1"/>
  <c r="M109" i="2" s="1"/>
  <c r="H109" i="1"/>
  <c r="N109" i="2" s="1"/>
  <c r="O109" i="2" s="1"/>
  <c r="I109" i="1"/>
  <c r="P109" i="2" s="1"/>
  <c r="Q109" i="2" s="1"/>
  <c r="C91" i="9" s="1"/>
  <c r="J109" i="1"/>
  <c r="R109" i="2" s="1"/>
  <c r="S109" i="2" s="1"/>
  <c r="K109" i="1"/>
  <c r="T109" i="2" s="1"/>
  <c r="U109" i="2" s="1"/>
  <c r="L109" i="1"/>
  <c r="V109" i="2" s="1"/>
  <c r="W109" i="2" s="1"/>
  <c r="Q109" i="1"/>
  <c r="AB109" i="2" s="1"/>
  <c r="B110" i="1"/>
  <c r="B110" i="2" s="1"/>
  <c r="C110" i="2" s="1"/>
  <c r="C110" i="1"/>
  <c r="D110" i="2" s="1"/>
  <c r="E110" i="2" s="1"/>
  <c r="D110" i="1"/>
  <c r="F110" i="2" s="1"/>
  <c r="G110" i="2" s="1"/>
  <c r="E110" i="1"/>
  <c r="H110" i="2" s="1"/>
  <c r="I110" i="2" s="1"/>
  <c r="D92" i="9" s="1"/>
  <c r="F110" i="1"/>
  <c r="J110" i="2" s="1"/>
  <c r="K110" i="2" s="1"/>
  <c r="G110" i="1"/>
  <c r="L110" i="2" s="1"/>
  <c r="M110" i="2" s="1"/>
  <c r="H110" i="1"/>
  <c r="N110" i="2" s="1"/>
  <c r="O110" i="2" s="1"/>
  <c r="I110" i="1"/>
  <c r="P110" i="2" s="1"/>
  <c r="Q110" i="2" s="1"/>
  <c r="C92" i="9" s="1"/>
  <c r="J110" i="1"/>
  <c r="R110" i="2" s="1"/>
  <c r="S110" i="2" s="1"/>
  <c r="K110" i="1"/>
  <c r="T110" i="2" s="1"/>
  <c r="U110" i="2" s="1"/>
  <c r="L110" i="1"/>
  <c r="V110" i="2" s="1"/>
  <c r="W110" i="2" s="1"/>
  <c r="Q110" i="1"/>
  <c r="AB110" i="2" s="1"/>
  <c r="B111" i="1"/>
  <c r="B111" i="2" s="1"/>
  <c r="C111" i="2" s="1"/>
  <c r="C111" i="1"/>
  <c r="D111" i="2" s="1"/>
  <c r="E111" i="2" s="1"/>
  <c r="D111" i="1"/>
  <c r="F111" i="2" s="1"/>
  <c r="G111" i="2" s="1"/>
  <c r="E111" i="1"/>
  <c r="H111" i="2" s="1"/>
  <c r="I111" i="2" s="1"/>
  <c r="D93" i="9" s="1"/>
  <c r="F111" i="1"/>
  <c r="J111" i="2" s="1"/>
  <c r="K111" i="2" s="1"/>
  <c r="G111" i="1"/>
  <c r="L111" i="2" s="1"/>
  <c r="M111" i="2" s="1"/>
  <c r="H111" i="1"/>
  <c r="N111" i="2" s="1"/>
  <c r="O111" i="2" s="1"/>
  <c r="I111" i="1"/>
  <c r="P111" i="2" s="1"/>
  <c r="Q111" i="2" s="1"/>
  <c r="C93" i="9" s="1"/>
  <c r="J111" i="1"/>
  <c r="R111" i="2" s="1"/>
  <c r="S111" i="2" s="1"/>
  <c r="K111" i="1"/>
  <c r="T111" i="2" s="1"/>
  <c r="U111" i="2" s="1"/>
  <c r="L111" i="1"/>
  <c r="V111" i="2" s="1"/>
  <c r="W111" i="2" s="1"/>
  <c r="Q111" i="1"/>
  <c r="AB111" i="2" s="1"/>
  <c r="B112" i="1"/>
  <c r="B112" i="2" s="1"/>
  <c r="C112" i="2" s="1"/>
  <c r="C112" i="1"/>
  <c r="D112" i="2" s="1"/>
  <c r="E112" i="2" s="1"/>
  <c r="D112" i="1"/>
  <c r="F112" i="2" s="1"/>
  <c r="G112" i="2" s="1"/>
  <c r="E112" i="1"/>
  <c r="H112" i="2" s="1"/>
  <c r="I112" i="2" s="1"/>
  <c r="D94" i="9" s="1"/>
  <c r="F112" i="1"/>
  <c r="J112" i="2" s="1"/>
  <c r="K112" i="2" s="1"/>
  <c r="G112" i="1"/>
  <c r="L112" i="2" s="1"/>
  <c r="M112" i="2" s="1"/>
  <c r="H112" i="1"/>
  <c r="N112" i="2" s="1"/>
  <c r="O112" i="2" s="1"/>
  <c r="I112" i="1"/>
  <c r="P112" i="2" s="1"/>
  <c r="Q112" i="2" s="1"/>
  <c r="C94" i="9" s="1"/>
  <c r="J112" i="1"/>
  <c r="R112" i="2" s="1"/>
  <c r="S112" i="2" s="1"/>
  <c r="K112" i="1"/>
  <c r="T112" i="2" s="1"/>
  <c r="U112" i="2" s="1"/>
  <c r="L112" i="1"/>
  <c r="V112" i="2" s="1"/>
  <c r="W112" i="2" s="1"/>
  <c r="Q112" i="1"/>
  <c r="AB112" i="2" s="1"/>
  <c r="B113" i="1"/>
  <c r="B113" i="2" s="1"/>
  <c r="C113" i="2" s="1"/>
  <c r="C113" i="1"/>
  <c r="D113" i="2" s="1"/>
  <c r="E113" i="2" s="1"/>
  <c r="D113" i="1"/>
  <c r="F113" i="2" s="1"/>
  <c r="G113" i="2" s="1"/>
  <c r="E113" i="1"/>
  <c r="H113" i="2" s="1"/>
  <c r="I113" i="2" s="1"/>
  <c r="D95" i="9" s="1"/>
  <c r="F113" i="1"/>
  <c r="J113" i="2" s="1"/>
  <c r="K113" i="2" s="1"/>
  <c r="G113" i="1"/>
  <c r="L113" i="2" s="1"/>
  <c r="M113" i="2" s="1"/>
  <c r="H113" i="1"/>
  <c r="N113" i="2" s="1"/>
  <c r="O113" i="2" s="1"/>
  <c r="I113" i="1"/>
  <c r="P113" i="2" s="1"/>
  <c r="Q113" i="2" s="1"/>
  <c r="C95" i="9" s="1"/>
  <c r="J113" i="1"/>
  <c r="R113" i="2" s="1"/>
  <c r="S113" i="2" s="1"/>
  <c r="K113" i="1"/>
  <c r="T113" i="2" s="1"/>
  <c r="U113" i="2" s="1"/>
  <c r="L113" i="1"/>
  <c r="V113" i="2" s="1"/>
  <c r="W113" i="2" s="1"/>
  <c r="Q113" i="1"/>
  <c r="AB113" i="2" s="1"/>
  <c r="B114" i="1"/>
  <c r="B114" i="2" s="1"/>
  <c r="C114" i="2" s="1"/>
  <c r="C114" i="1"/>
  <c r="D114" i="2" s="1"/>
  <c r="E114" i="2" s="1"/>
  <c r="D114" i="1"/>
  <c r="F114" i="2" s="1"/>
  <c r="G114" i="2" s="1"/>
  <c r="E114" i="1"/>
  <c r="H114" i="2" s="1"/>
  <c r="I114" i="2" s="1"/>
  <c r="D96" i="9" s="1"/>
  <c r="F114" i="1"/>
  <c r="J114" i="2" s="1"/>
  <c r="K114" i="2" s="1"/>
  <c r="G114" i="1"/>
  <c r="L114" i="2" s="1"/>
  <c r="M114" i="2" s="1"/>
  <c r="H114" i="1"/>
  <c r="N114" i="2" s="1"/>
  <c r="O114" i="2" s="1"/>
  <c r="I114" i="1"/>
  <c r="P114" i="2" s="1"/>
  <c r="Q114" i="2" s="1"/>
  <c r="C96" i="9" s="1"/>
  <c r="J114" i="1"/>
  <c r="R114" i="2" s="1"/>
  <c r="S114" i="2" s="1"/>
  <c r="K114" i="1"/>
  <c r="T114" i="2" s="1"/>
  <c r="U114" i="2" s="1"/>
  <c r="L114" i="1"/>
  <c r="V114" i="2" s="1"/>
  <c r="W114" i="2" s="1"/>
  <c r="Q114" i="1"/>
  <c r="AB114" i="2" s="1"/>
  <c r="B115" i="1"/>
  <c r="B115" i="2" s="1"/>
  <c r="C115" i="2" s="1"/>
  <c r="C115" i="1"/>
  <c r="D115" i="2" s="1"/>
  <c r="E115" i="2" s="1"/>
  <c r="D115" i="1"/>
  <c r="F115" i="2" s="1"/>
  <c r="G115" i="2" s="1"/>
  <c r="E115" i="1"/>
  <c r="H115" i="2" s="1"/>
  <c r="I115" i="2" s="1"/>
  <c r="D97" i="9" s="1"/>
  <c r="F115" i="1"/>
  <c r="J115" i="2" s="1"/>
  <c r="K115" i="2" s="1"/>
  <c r="G115" i="1"/>
  <c r="L115" i="2" s="1"/>
  <c r="M115" i="2" s="1"/>
  <c r="H115" i="1"/>
  <c r="N115" i="2" s="1"/>
  <c r="O115" i="2" s="1"/>
  <c r="I115" i="1"/>
  <c r="P115" i="2" s="1"/>
  <c r="Q115" i="2" s="1"/>
  <c r="C97" i="9" s="1"/>
  <c r="J115" i="1"/>
  <c r="R115" i="2" s="1"/>
  <c r="S115" i="2" s="1"/>
  <c r="K115" i="1"/>
  <c r="T115" i="2" s="1"/>
  <c r="U115" i="2" s="1"/>
  <c r="L115" i="1"/>
  <c r="V115" i="2" s="1"/>
  <c r="W115" i="2" s="1"/>
  <c r="Q115" i="1"/>
  <c r="AB115" i="2" s="1"/>
  <c r="B116" i="1"/>
  <c r="B116" i="2" s="1"/>
  <c r="C116" i="2" s="1"/>
  <c r="C116" i="1"/>
  <c r="D116" i="2" s="1"/>
  <c r="E116" i="2" s="1"/>
  <c r="D116" i="1"/>
  <c r="F116" i="2" s="1"/>
  <c r="G116" i="2" s="1"/>
  <c r="E116" i="1"/>
  <c r="H116" i="2" s="1"/>
  <c r="I116" i="2" s="1"/>
  <c r="D98" i="9" s="1"/>
  <c r="F116" i="1"/>
  <c r="J116" i="2" s="1"/>
  <c r="K116" i="2" s="1"/>
  <c r="G116" i="1"/>
  <c r="L116" i="2" s="1"/>
  <c r="M116" i="2" s="1"/>
  <c r="H116" i="1"/>
  <c r="N116" i="2" s="1"/>
  <c r="O116" i="2" s="1"/>
  <c r="I116" i="1"/>
  <c r="P116" i="2" s="1"/>
  <c r="Q116" i="2" s="1"/>
  <c r="C98" i="9" s="1"/>
  <c r="J116" i="1"/>
  <c r="R116" i="2" s="1"/>
  <c r="S116" i="2" s="1"/>
  <c r="K116" i="1"/>
  <c r="T116" i="2" s="1"/>
  <c r="U116" i="2" s="1"/>
  <c r="L116" i="1"/>
  <c r="V116" i="2" s="1"/>
  <c r="W116" i="2" s="1"/>
  <c r="Q116" i="1"/>
  <c r="AB116" i="2" s="1"/>
  <c r="B117" i="1"/>
  <c r="B117" i="2" s="1"/>
  <c r="C117" i="2" s="1"/>
  <c r="C117" i="1"/>
  <c r="D117" i="2" s="1"/>
  <c r="E117" i="2" s="1"/>
  <c r="D117" i="1"/>
  <c r="F117" i="2" s="1"/>
  <c r="G117" i="2" s="1"/>
  <c r="E117" i="1"/>
  <c r="H117" i="2" s="1"/>
  <c r="I117" i="2" s="1"/>
  <c r="D99" i="9" s="1"/>
  <c r="F117" i="1"/>
  <c r="J117" i="2" s="1"/>
  <c r="K117" i="2" s="1"/>
  <c r="G117" i="1"/>
  <c r="L117" i="2" s="1"/>
  <c r="M117" i="2" s="1"/>
  <c r="H117" i="1"/>
  <c r="N117" i="2" s="1"/>
  <c r="O117" i="2" s="1"/>
  <c r="I117" i="1"/>
  <c r="P117" i="2" s="1"/>
  <c r="Q117" i="2" s="1"/>
  <c r="C99" i="9" s="1"/>
  <c r="J117" i="1"/>
  <c r="R117" i="2" s="1"/>
  <c r="S117" i="2" s="1"/>
  <c r="K117" i="1"/>
  <c r="T117" i="2" s="1"/>
  <c r="U117" i="2" s="1"/>
  <c r="L117" i="1"/>
  <c r="V117" i="2" s="1"/>
  <c r="W117" i="2" s="1"/>
  <c r="Q117" i="1"/>
  <c r="AB117" i="2" s="1"/>
  <c r="B118" i="1"/>
  <c r="B118" i="2" s="1"/>
  <c r="C118" i="2" s="1"/>
  <c r="C118" i="1"/>
  <c r="D118" i="2" s="1"/>
  <c r="E118" i="2" s="1"/>
  <c r="D118" i="1"/>
  <c r="F118" i="2" s="1"/>
  <c r="G118" i="2" s="1"/>
  <c r="E118" i="1"/>
  <c r="H118" i="2" s="1"/>
  <c r="I118" i="2" s="1"/>
  <c r="D100" i="9" s="1"/>
  <c r="F118" i="1"/>
  <c r="J118" i="2" s="1"/>
  <c r="K118" i="2" s="1"/>
  <c r="G118" i="1"/>
  <c r="L118" i="2" s="1"/>
  <c r="M118" i="2" s="1"/>
  <c r="H118" i="1"/>
  <c r="N118" i="2" s="1"/>
  <c r="O118" i="2" s="1"/>
  <c r="I118" i="1"/>
  <c r="P118" i="2" s="1"/>
  <c r="Q118" i="2" s="1"/>
  <c r="C100" i="9" s="1"/>
  <c r="J118" i="1"/>
  <c r="R118" i="2" s="1"/>
  <c r="S118" i="2" s="1"/>
  <c r="K118" i="1"/>
  <c r="T118" i="2" s="1"/>
  <c r="U118" i="2" s="1"/>
  <c r="L118" i="1"/>
  <c r="V118" i="2" s="1"/>
  <c r="W118" i="2" s="1"/>
  <c r="Q118" i="1"/>
  <c r="AB118" i="2" s="1"/>
  <c r="B119" i="1"/>
  <c r="B119" i="2" s="1"/>
  <c r="C119" i="2" s="1"/>
  <c r="C119" i="1"/>
  <c r="D119" i="2" s="1"/>
  <c r="E119" i="2" s="1"/>
  <c r="D119" i="1"/>
  <c r="F119" i="2" s="1"/>
  <c r="G119" i="2" s="1"/>
  <c r="E119" i="1"/>
  <c r="H119" i="2" s="1"/>
  <c r="I119" i="2" s="1"/>
  <c r="D101" i="9" s="1"/>
  <c r="F119" i="1"/>
  <c r="J119" i="2" s="1"/>
  <c r="K119" i="2" s="1"/>
  <c r="G119" i="1"/>
  <c r="L119" i="2" s="1"/>
  <c r="M119" i="2" s="1"/>
  <c r="H119" i="1"/>
  <c r="N119" i="2" s="1"/>
  <c r="O119" i="2" s="1"/>
  <c r="I119" i="1"/>
  <c r="P119" i="2" s="1"/>
  <c r="Q119" i="2" s="1"/>
  <c r="C101" i="9" s="1"/>
  <c r="J119" i="1"/>
  <c r="R119" i="2" s="1"/>
  <c r="S119" i="2" s="1"/>
  <c r="K119" i="1"/>
  <c r="T119" i="2" s="1"/>
  <c r="U119" i="2" s="1"/>
  <c r="L119" i="1"/>
  <c r="V119" i="2" s="1"/>
  <c r="W119" i="2" s="1"/>
  <c r="Q119" i="1"/>
  <c r="AB119" i="2" s="1"/>
  <c r="B120" i="1"/>
  <c r="B120" i="2" s="1"/>
  <c r="C120" i="2" s="1"/>
  <c r="C120" i="1"/>
  <c r="D120" i="2" s="1"/>
  <c r="E120" i="2" s="1"/>
  <c r="D120" i="1"/>
  <c r="F120" i="2" s="1"/>
  <c r="G120" i="2" s="1"/>
  <c r="E120" i="1"/>
  <c r="H120" i="2" s="1"/>
  <c r="I120" i="2" s="1"/>
  <c r="D102" i="9" s="1"/>
  <c r="F120" i="1"/>
  <c r="J120" i="2" s="1"/>
  <c r="K120" i="2" s="1"/>
  <c r="G120" i="1"/>
  <c r="L120" i="2" s="1"/>
  <c r="M120" i="2" s="1"/>
  <c r="H120" i="1"/>
  <c r="N120" i="2" s="1"/>
  <c r="O120" i="2" s="1"/>
  <c r="I120" i="1"/>
  <c r="P120" i="2" s="1"/>
  <c r="Q120" i="2" s="1"/>
  <c r="C102" i="9" s="1"/>
  <c r="J120" i="1"/>
  <c r="R120" i="2" s="1"/>
  <c r="S120" i="2" s="1"/>
  <c r="K120" i="1"/>
  <c r="T120" i="2" s="1"/>
  <c r="U120" i="2" s="1"/>
  <c r="L120" i="1"/>
  <c r="V120" i="2" s="1"/>
  <c r="W120" i="2" s="1"/>
  <c r="Q120" i="1"/>
  <c r="AB120" i="2" s="1"/>
  <c r="B121" i="1"/>
  <c r="B121" i="2" s="1"/>
  <c r="C121" i="2" s="1"/>
  <c r="C121" i="1"/>
  <c r="D121" i="2" s="1"/>
  <c r="E121" i="2" s="1"/>
  <c r="D121" i="1"/>
  <c r="F121" i="2" s="1"/>
  <c r="G121" i="2" s="1"/>
  <c r="E121" i="1"/>
  <c r="H121" i="2" s="1"/>
  <c r="I121" i="2" s="1"/>
  <c r="D103" i="9" s="1"/>
  <c r="F121" i="1"/>
  <c r="J121" i="2" s="1"/>
  <c r="K121" i="2" s="1"/>
  <c r="G121" i="1"/>
  <c r="L121" i="2" s="1"/>
  <c r="M121" i="2" s="1"/>
  <c r="H121" i="1"/>
  <c r="N121" i="2" s="1"/>
  <c r="O121" i="2" s="1"/>
  <c r="I121" i="1"/>
  <c r="P121" i="2" s="1"/>
  <c r="Q121" i="2" s="1"/>
  <c r="C103" i="9" s="1"/>
  <c r="J121" i="1"/>
  <c r="R121" i="2" s="1"/>
  <c r="S121" i="2" s="1"/>
  <c r="K121" i="1"/>
  <c r="T121" i="2" s="1"/>
  <c r="U121" i="2" s="1"/>
  <c r="L121" i="1"/>
  <c r="V121" i="2" s="1"/>
  <c r="W121" i="2" s="1"/>
  <c r="Q121" i="1"/>
  <c r="AB121" i="2" s="1"/>
  <c r="B122" i="1"/>
  <c r="B122" i="2" s="1"/>
  <c r="C122" i="2" s="1"/>
  <c r="C122" i="1"/>
  <c r="D122" i="2" s="1"/>
  <c r="E122" i="2" s="1"/>
  <c r="D122" i="1"/>
  <c r="F122" i="2" s="1"/>
  <c r="G122" i="2" s="1"/>
  <c r="E122" i="1"/>
  <c r="H122" i="2" s="1"/>
  <c r="I122" i="2" s="1"/>
  <c r="D104" i="9" s="1"/>
  <c r="F122" i="1"/>
  <c r="J122" i="2" s="1"/>
  <c r="K122" i="2" s="1"/>
  <c r="G122" i="1"/>
  <c r="L122" i="2" s="1"/>
  <c r="M122" i="2" s="1"/>
  <c r="H122" i="1"/>
  <c r="N122" i="2" s="1"/>
  <c r="O122" i="2" s="1"/>
  <c r="I122" i="1"/>
  <c r="P122" i="2" s="1"/>
  <c r="Q122" i="2" s="1"/>
  <c r="C104" i="9" s="1"/>
  <c r="J122" i="1"/>
  <c r="R122" i="2" s="1"/>
  <c r="S122" i="2" s="1"/>
  <c r="K122" i="1"/>
  <c r="T122" i="2" s="1"/>
  <c r="U122" i="2" s="1"/>
  <c r="L122" i="1"/>
  <c r="V122" i="2" s="1"/>
  <c r="W122" i="2" s="1"/>
  <c r="Q122" i="1"/>
  <c r="AB122" i="2" s="1"/>
  <c r="B123" i="1"/>
  <c r="B123" i="2" s="1"/>
  <c r="C123" i="2" s="1"/>
  <c r="C123" i="1"/>
  <c r="D123" i="2" s="1"/>
  <c r="E123" i="2" s="1"/>
  <c r="D123" i="1"/>
  <c r="F123" i="2" s="1"/>
  <c r="G123" i="2" s="1"/>
  <c r="E123" i="1"/>
  <c r="H123" i="2" s="1"/>
  <c r="I123" i="2" s="1"/>
  <c r="D105" i="9" s="1"/>
  <c r="F123" i="1"/>
  <c r="J123" i="2" s="1"/>
  <c r="K123" i="2" s="1"/>
  <c r="G123" i="1"/>
  <c r="L123" i="2" s="1"/>
  <c r="M123" i="2" s="1"/>
  <c r="H123" i="1"/>
  <c r="N123" i="2" s="1"/>
  <c r="O123" i="2" s="1"/>
  <c r="I123" i="1"/>
  <c r="P123" i="2" s="1"/>
  <c r="Q123" i="2" s="1"/>
  <c r="C105" i="9" s="1"/>
  <c r="J123" i="1"/>
  <c r="R123" i="2" s="1"/>
  <c r="S123" i="2" s="1"/>
  <c r="K123" i="1"/>
  <c r="T123" i="2" s="1"/>
  <c r="U123" i="2" s="1"/>
  <c r="L123" i="1"/>
  <c r="V123" i="2" s="1"/>
  <c r="W123" i="2" s="1"/>
  <c r="Q123" i="1"/>
  <c r="AB123" i="2" s="1"/>
  <c r="B124" i="1"/>
  <c r="B124" i="2" s="1"/>
  <c r="C124" i="2" s="1"/>
  <c r="C124" i="1"/>
  <c r="D124" i="2" s="1"/>
  <c r="E124" i="2" s="1"/>
  <c r="D124" i="1"/>
  <c r="F124" i="2" s="1"/>
  <c r="G124" i="2" s="1"/>
  <c r="E124" i="1"/>
  <c r="H124" i="2" s="1"/>
  <c r="I124" i="2" s="1"/>
  <c r="D106" i="9" s="1"/>
  <c r="F124" i="1"/>
  <c r="J124" i="2" s="1"/>
  <c r="K124" i="2" s="1"/>
  <c r="G124" i="1"/>
  <c r="L124" i="2" s="1"/>
  <c r="M124" i="2" s="1"/>
  <c r="H124" i="1"/>
  <c r="N124" i="2" s="1"/>
  <c r="O124" i="2" s="1"/>
  <c r="I124" i="1"/>
  <c r="P124" i="2" s="1"/>
  <c r="Q124" i="2" s="1"/>
  <c r="C106" i="9" s="1"/>
  <c r="J124" i="1"/>
  <c r="R124" i="2" s="1"/>
  <c r="S124" i="2" s="1"/>
  <c r="K124" i="1"/>
  <c r="T124" i="2" s="1"/>
  <c r="U124" i="2" s="1"/>
  <c r="L124" i="1"/>
  <c r="V124" i="2" s="1"/>
  <c r="W124" i="2" s="1"/>
  <c r="Q124" i="1"/>
  <c r="AB124" i="2" s="1"/>
  <c r="B125" i="1"/>
  <c r="B125" i="2" s="1"/>
  <c r="C125" i="2" s="1"/>
  <c r="C125" i="1"/>
  <c r="D125" i="2" s="1"/>
  <c r="E125" i="2" s="1"/>
  <c r="D125" i="1"/>
  <c r="F125" i="2" s="1"/>
  <c r="G125" i="2" s="1"/>
  <c r="E125" i="1"/>
  <c r="H125" i="2" s="1"/>
  <c r="I125" i="2" s="1"/>
  <c r="D107" i="9" s="1"/>
  <c r="F125" i="1"/>
  <c r="J125" i="2" s="1"/>
  <c r="K125" i="2" s="1"/>
  <c r="G125" i="1"/>
  <c r="L125" i="2" s="1"/>
  <c r="M125" i="2" s="1"/>
  <c r="H125" i="1"/>
  <c r="N125" i="2" s="1"/>
  <c r="O125" i="2" s="1"/>
  <c r="I125" i="1"/>
  <c r="P125" i="2" s="1"/>
  <c r="Q125" i="2" s="1"/>
  <c r="C107" i="9" s="1"/>
  <c r="J125" i="1"/>
  <c r="R125" i="2" s="1"/>
  <c r="S125" i="2" s="1"/>
  <c r="K125" i="1"/>
  <c r="T125" i="2" s="1"/>
  <c r="U125" i="2" s="1"/>
  <c r="L125" i="1"/>
  <c r="V125" i="2" s="1"/>
  <c r="W125" i="2" s="1"/>
  <c r="Q125" i="1"/>
  <c r="AB125" i="2" s="1"/>
  <c r="B126" i="1"/>
  <c r="B126" i="2" s="1"/>
  <c r="C126" i="2" s="1"/>
  <c r="C126" i="1"/>
  <c r="D126" i="2" s="1"/>
  <c r="E126" i="2" s="1"/>
  <c r="D126" i="1"/>
  <c r="F126" i="2" s="1"/>
  <c r="G126" i="2" s="1"/>
  <c r="E126" i="1"/>
  <c r="H126" i="2" s="1"/>
  <c r="I126" i="2" s="1"/>
  <c r="D108" i="9" s="1"/>
  <c r="F126" i="1"/>
  <c r="J126" i="2" s="1"/>
  <c r="K126" i="2" s="1"/>
  <c r="G126" i="1"/>
  <c r="L126" i="2" s="1"/>
  <c r="M126" i="2" s="1"/>
  <c r="H126" i="1"/>
  <c r="N126" i="2" s="1"/>
  <c r="O126" i="2" s="1"/>
  <c r="I126" i="1"/>
  <c r="P126" i="2" s="1"/>
  <c r="Q126" i="2" s="1"/>
  <c r="C108" i="9" s="1"/>
  <c r="J126" i="1"/>
  <c r="R126" i="2" s="1"/>
  <c r="S126" i="2" s="1"/>
  <c r="K126" i="1"/>
  <c r="T126" i="2" s="1"/>
  <c r="U126" i="2" s="1"/>
  <c r="L126" i="1"/>
  <c r="V126" i="2" s="1"/>
  <c r="W126" i="2" s="1"/>
  <c r="Q126" i="1"/>
  <c r="AB126" i="2" s="1"/>
  <c r="B127" i="1"/>
  <c r="B127" i="2" s="1"/>
  <c r="C127" i="2" s="1"/>
  <c r="C127" i="1"/>
  <c r="D127" i="2" s="1"/>
  <c r="E127" i="2" s="1"/>
  <c r="D127" i="1"/>
  <c r="F127" i="2" s="1"/>
  <c r="G127" i="2" s="1"/>
  <c r="E127" i="1"/>
  <c r="H127" i="2" s="1"/>
  <c r="I127" i="2" s="1"/>
  <c r="D109" i="9" s="1"/>
  <c r="F127" i="1"/>
  <c r="J127" i="2" s="1"/>
  <c r="K127" i="2" s="1"/>
  <c r="G127" i="1"/>
  <c r="L127" i="2" s="1"/>
  <c r="M127" i="2" s="1"/>
  <c r="H127" i="1"/>
  <c r="N127" i="2" s="1"/>
  <c r="O127" i="2" s="1"/>
  <c r="I127" i="1"/>
  <c r="P127" i="2" s="1"/>
  <c r="Q127" i="2" s="1"/>
  <c r="C109" i="9" s="1"/>
  <c r="J127" i="1"/>
  <c r="R127" i="2" s="1"/>
  <c r="S127" i="2" s="1"/>
  <c r="K127" i="1"/>
  <c r="T127" i="2" s="1"/>
  <c r="U127" i="2" s="1"/>
  <c r="L127" i="1"/>
  <c r="V127" i="2" s="1"/>
  <c r="W127" i="2" s="1"/>
  <c r="Q127" i="1"/>
  <c r="AB127" i="2" s="1"/>
  <c r="B128" i="1"/>
  <c r="B128" i="2" s="1"/>
  <c r="C128" i="2" s="1"/>
  <c r="C128" i="1"/>
  <c r="D128" i="2" s="1"/>
  <c r="E128" i="2" s="1"/>
  <c r="D128" i="1"/>
  <c r="F128" i="2" s="1"/>
  <c r="G128" i="2" s="1"/>
  <c r="E128" i="1"/>
  <c r="H128" i="2" s="1"/>
  <c r="I128" i="2" s="1"/>
  <c r="D110" i="9" s="1"/>
  <c r="F128" i="1"/>
  <c r="J128" i="2" s="1"/>
  <c r="K128" i="2" s="1"/>
  <c r="G128" i="1"/>
  <c r="L128" i="2" s="1"/>
  <c r="M128" i="2" s="1"/>
  <c r="H128" i="1"/>
  <c r="N128" i="2" s="1"/>
  <c r="O128" i="2" s="1"/>
  <c r="I128" i="1"/>
  <c r="P128" i="2" s="1"/>
  <c r="Q128" i="2" s="1"/>
  <c r="C110" i="9" s="1"/>
  <c r="J128" i="1"/>
  <c r="R128" i="2" s="1"/>
  <c r="S128" i="2" s="1"/>
  <c r="K128" i="1"/>
  <c r="T128" i="2" s="1"/>
  <c r="U128" i="2" s="1"/>
  <c r="L128" i="1"/>
  <c r="V128" i="2" s="1"/>
  <c r="W128" i="2" s="1"/>
  <c r="Q128" i="1"/>
  <c r="AB128" i="2" s="1"/>
  <c r="B129" i="1"/>
  <c r="B129" i="2" s="1"/>
  <c r="C129" i="2" s="1"/>
  <c r="C129" i="1"/>
  <c r="D129" i="2" s="1"/>
  <c r="E129" i="2" s="1"/>
  <c r="D129" i="1"/>
  <c r="F129" i="2" s="1"/>
  <c r="G129" i="2" s="1"/>
  <c r="E129" i="1"/>
  <c r="H129" i="2" s="1"/>
  <c r="I129" i="2" s="1"/>
  <c r="D111" i="9" s="1"/>
  <c r="F129" i="1"/>
  <c r="J129" i="2" s="1"/>
  <c r="K129" i="2" s="1"/>
  <c r="G129" i="1"/>
  <c r="L129" i="2" s="1"/>
  <c r="M129" i="2" s="1"/>
  <c r="H129" i="1"/>
  <c r="N129" i="2" s="1"/>
  <c r="O129" i="2" s="1"/>
  <c r="I129" i="1"/>
  <c r="P129" i="2" s="1"/>
  <c r="Q129" i="2" s="1"/>
  <c r="C111" i="9" s="1"/>
  <c r="J129" i="1"/>
  <c r="R129" i="2" s="1"/>
  <c r="S129" i="2" s="1"/>
  <c r="K129" i="1"/>
  <c r="T129" i="2" s="1"/>
  <c r="U129" i="2" s="1"/>
  <c r="L129" i="1"/>
  <c r="V129" i="2" s="1"/>
  <c r="W129" i="2" s="1"/>
  <c r="Q129" i="1"/>
  <c r="AB129" i="2" s="1"/>
  <c r="B130" i="1"/>
  <c r="B130" i="2" s="1"/>
  <c r="C130" i="2" s="1"/>
  <c r="C130" i="1"/>
  <c r="D130" i="2" s="1"/>
  <c r="E130" i="2" s="1"/>
  <c r="D130" i="1"/>
  <c r="F130" i="2" s="1"/>
  <c r="G130" i="2" s="1"/>
  <c r="E130" i="1"/>
  <c r="H130" i="2" s="1"/>
  <c r="I130" i="2" s="1"/>
  <c r="D112" i="9" s="1"/>
  <c r="F130" i="1"/>
  <c r="J130" i="2" s="1"/>
  <c r="K130" i="2" s="1"/>
  <c r="G130" i="1"/>
  <c r="L130" i="2" s="1"/>
  <c r="M130" i="2" s="1"/>
  <c r="H130" i="1"/>
  <c r="N130" i="2" s="1"/>
  <c r="O130" i="2" s="1"/>
  <c r="I130" i="1"/>
  <c r="P130" i="2" s="1"/>
  <c r="Q130" i="2" s="1"/>
  <c r="C112" i="9" s="1"/>
  <c r="J130" i="1"/>
  <c r="R130" i="2" s="1"/>
  <c r="S130" i="2" s="1"/>
  <c r="K130" i="1"/>
  <c r="T130" i="2" s="1"/>
  <c r="U130" i="2" s="1"/>
  <c r="L130" i="1"/>
  <c r="V130" i="2" s="1"/>
  <c r="W130" i="2" s="1"/>
  <c r="Q130" i="1"/>
  <c r="AB130" i="2" s="1"/>
  <c r="B131" i="1"/>
  <c r="B131" i="2" s="1"/>
  <c r="C131" i="2" s="1"/>
  <c r="C131" i="1"/>
  <c r="D131" i="2" s="1"/>
  <c r="E131" i="2" s="1"/>
  <c r="D131" i="1"/>
  <c r="F131" i="2" s="1"/>
  <c r="G131" i="2" s="1"/>
  <c r="E131" i="1"/>
  <c r="H131" i="2" s="1"/>
  <c r="I131" i="2" s="1"/>
  <c r="D113" i="9" s="1"/>
  <c r="F131" i="1"/>
  <c r="J131" i="2" s="1"/>
  <c r="K131" i="2" s="1"/>
  <c r="G131" i="1"/>
  <c r="L131" i="2" s="1"/>
  <c r="M131" i="2" s="1"/>
  <c r="H131" i="1"/>
  <c r="N131" i="2" s="1"/>
  <c r="O131" i="2" s="1"/>
  <c r="I131" i="1"/>
  <c r="P131" i="2" s="1"/>
  <c r="Q131" i="2" s="1"/>
  <c r="C113" i="9" s="1"/>
  <c r="J131" i="1"/>
  <c r="R131" i="2" s="1"/>
  <c r="S131" i="2" s="1"/>
  <c r="K131" i="1"/>
  <c r="T131" i="2" s="1"/>
  <c r="U131" i="2" s="1"/>
  <c r="L131" i="1"/>
  <c r="V131" i="2" s="1"/>
  <c r="W131" i="2" s="1"/>
  <c r="Q131" i="1"/>
  <c r="AB131" i="2" s="1"/>
  <c r="B132" i="1"/>
  <c r="B132" i="2" s="1"/>
  <c r="C132" i="2" s="1"/>
  <c r="C132" i="1"/>
  <c r="D132" i="2" s="1"/>
  <c r="E132" i="2" s="1"/>
  <c r="D132" i="1"/>
  <c r="F132" i="2" s="1"/>
  <c r="G132" i="2" s="1"/>
  <c r="E132" i="1"/>
  <c r="H132" i="2" s="1"/>
  <c r="I132" i="2" s="1"/>
  <c r="D114" i="9" s="1"/>
  <c r="F132" i="1"/>
  <c r="J132" i="2" s="1"/>
  <c r="K132" i="2" s="1"/>
  <c r="G132" i="1"/>
  <c r="L132" i="2" s="1"/>
  <c r="M132" i="2" s="1"/>
  <c r="H132" i="1"/>
  <c r="N132" i="2" s="1"/>
  <c r="O132" i="2" s="1"/>
  <c r="I132" i="1"/>
  <c r="P132" i="2" s="1"/>
  <c r="Q132" i="2" s="1"/>
  <c r="C114" i="9" s="1"/>
  <c r="J132" i="1"/>
  <c r="R132" i="2" s="1"/>
  <c r="S132" i="2" s="1"/>
  <c r="K132" i="1"/>
  <c r="T132" i="2" s="1"/>
  <c r="U132" i="2" s="1"/>
  <c r="L132" i="1"/>
  <c r="V132" i="2" s="1"/>
  <c r="W132" i="2" s="1"/>
  <c r="Q132" i="1"/>
  <c r="AB132" i="2" s="1"/>
  <c r="B133" i="1"/>
  <c r="B133" i="2" s="1"/>
  <c r="C133" i="2" s="1"/>
  <c r="C133" i="1"/>
  <c r="D133" i="2" s="1"/>
  <c r="E133" i="2" s="1"/>
  <c r="D133" i="1"/>
  <c r="F133" i="2" s="1"/>
  <c r="G133" i="2" s="1"/>
  <c r="E133" i="1"/>
  <c r="H133" i="2" s="1"/>
  <c r="I133" i="2" s="1"/>
  <c r="D115" i="9" s="1"/>
  <c r="F133" i="1"/>
  <c r="J133" i="2" s="1"/>
  <c r="K133" i="2" s="1"/>
  <c r="G133" i="1"/>
  <c r="L133" i="2" s="1"/>
  <c r="M133" i="2" s="1"/>
  <c r="H133" i="1"/>
  <c r="N133" i="2" s="1"/>
  <c r="O133" i="2" s="1"/>
  <c r="I133" i="1"/>
  <c r="P133" i="2" s="1"/>
  <c r="Q133" i="2" s="1"/>
  <c r="C115" i="9" s="1"/>
  <c r="J133" i="1"/>
  <c r="R133" i="2" s="1"/>
  <c r="S133" i="2" s="1"/>
  <c r="K133" i="1"/>
  <c r="T133" i="2" s="1"/>
  <c r="U133" i="2" s="1"/>
  <c r="L133" i="1"/>
  <c r="V133" i="2" s="1"/>
  <c r="W133" i="2" s="1"/>
  <c r="Q133" i="1"/>
  <c r="AB133" i="2" s="1"/>
  <c r="B134" i="1"/>
  <c r="B134" i="2" s="1"/>
  <c r="C134" i="2" s="1"/>
  <c r="C134" i="1"/>
  <c r="D134" i="2" s="1"/>
  <c r="E134" i="2" s="1"/>
  <c r="D134" i="1"/>
  <c r="F134" i="2" s="1"/>
  <c r="G134" i="2" s="1"/>
  <c r="E134" i="1"/>
  <c r="H134" i="2" s="1"/>
  <c r="I134" i="2" s="1"/>
  <c r="D116" i="9" s="1"/>
  <c r="F134" i="1"/>
  <c r="J134" i="2" s="1"/>
  <c r="K134" i="2" s="1"/>
  <c r="G134" i="1"/>
  <c r="L134" i="2" s="1"/>
  <c r="M134" i="2" s="1"/>
  <c r="H134" i="1"/>
  <c r="N134" i="2" s="1"/>
  <c r="O134" i="2" s="1"/>
  <c r="I134" i="1"/>
  <c r="P134" i="2" s="1"/>
  <c r="Q134" i="2" s="1"/>
  <c r="C116" i="9" s="1"/>
  <c r="J134" i="1"/>
  <c r="R134" i="2" s="1"/>
  <c r="S134" i="2" s="1"/>
  <c r="K134" i="1"/>
  <c r="T134" i="2" s="1"/>
  <c r="U134" i="2" s="1"/>
  <c r="L134" i="1"/>
  <c r="V134" i="2" s="1"/>
  <c r="W134" i="2" s="1"/>
  <c r="Q134" i="1"/>
  <c r="AB134" i="2" s="1"/>
  <c r="B135" i="1"/>
  <c r="B135" i="2" s="1"/>
  <c r="C135" i="2" s="1"/>
  <c r="C135" i="1"/>
  <c r="D135" i="2" s="1"/>
  <c r="E135" i="2" s="1"/>
  <c r="D135" i="1"/>
  <c r="F135" i="2" s="1"/>
  <c r="G135" i="2" s="1"/>
  <c r="E135" i="1"/>
  <c r="H135" i="2" s="1"/>
  <c r="I135" i="2" s="1"/>
  <c r="D117" i="9" s="1"/>
  <c r="F135" i="1"/>
  <c r="J135" i="2" s="1"/>
  <c r="K135" i="2" s="1"/>
  <c r="G135" i="1"/>
  <c r="L135" i="2" s="1"/>
  <c r="M135" i="2" s="1"/>
  <c r="H135" i="1"/>
  <c r="N135" i="2" s="1"/>
  <c r="O135" i="2" s="1"/>
  <c r="I135" i="1"/>
  <c r="P135" i="2" s="1"/>
  <c r="Q135" i="2" s="1"/>
  <c r="C117" i="9" s="1"/>
  <c r="J135" i="1"/>
  <c r="R135" i="2" s="1"/>
  <c r="S135" i="2" s="1"/>
  <c r="K135" i="1"/>
  <c r="T135" i="2" s="1"/>
  <c r="U135" i="2" s="1"/>
  <c r="L135" i="1"/>
  <c r="V135" i="2" s="1"/>
  <c r="W135" i="2" s="1"/>
  <c r="Q135" i="1"/>
  <c r="AB135" i="2" s="1"/>
  <c r="B136" i="1"/>
  <c r="B136" i="2" s="1"/>
  <c r="C136" i="2" s="1"/>
  <c r="C136" i="1"/>
  <c r="D136" i="2" s="1"/>
  <c r="E136" i="2" s="1"/>
  <c r="D136" i="1"/>
  <c r="F136" i="2" s="1"/>
  <c r="G136" i="2" s="1"/>
  <c r="E136" i="1"/>
  <c r="H136" i="2" s="1"/>
  <c r="I136" i="2" s="1"/>
  <c r="D118" i="9" s="1"/>
  <c r="F136" i="1"/>
  <c r="J136" i="2" s="1"/>
  <c r="K136" i="2" s="1"/>
  <c r="G136" i="1"/>
  <c r="L136" i="2" s="1"/>
  <c r="M136" i="2" s="1"/>
  <c r="H136" i="1"/>
  <c r="N136" i="2" s="1"/>
  <c r="O136" i="2" s="1"/>
  <c r="I136" i="1"/>
  <c r="P136" i="2" s="1"/>
  <c r="Q136" i="2" s="1"/>
  <c r="C118" i="9" s="1"/>
  <c r="J136" i="1"/>
  <c r="R136" i="2" s="1"/>
  <c r="S136" i="2" s="1"/>
  <c r="K136" i="1"/>
  <c r="T136" i="2" s="1"/>
  <c r="U136" i="2" s="1"/>
  <c r="L136" i="1"/>
  <c r="V136" i="2" s="1"/>
  <c r="W136" i="2" s="1"/>
  <c r="Q136" i="1"/>
  <c r="AB136" i="2" s="1"/>
  <c r="B137" i="1"/>
  <c r="B137" i="2" s="1"/>
  <c r="C137" i="2" s="1"/>
  <c r="C137" i="1"/>
  <c r="D137" i="2" s="1"/>
  <c r="E137" i="2" s="1"/>
  <c r="D137" i="1"/>
  <c r="F137" i="2" s="1"/>
  <c r="G137" i="2" s="1"/>
  <c r="E137" i="1"/>
  <c r="H137" i="2" s="1"/>
  <c r="I137" i="2" s="1"/>
  <c r="D119" i="9" s="1"/>
  <c r="F137" i="1"/>
  <c r="J137" i="2" s="1"/>
  <c r="K137" i="2" s="1"/>
  <c r="G137" i="1"/>
  <c r="L137" i="2" s="1"/>
  <c r="M137" i="2" s="1"/>
  <c r="H137" i="1"/>
  <c r="N137" i="2" s="1"/>
  <c r="O137" i="2" s="1"/>
  <c r="I137" i="1"/>
  <c r="P137" i="2" s="1"/>
  <c r="Q137" i="2" s="1"/>
  <c r="C119" i="9" s="1"/>
  <c r="J137" i="1"/>
  <c r="R137" i="2" s="1"/>
  <c r="S137" i="2" s="1"/>
  <c r="K137" i="1"/>
  <c r="T137" i="2" s="1"/>
  <c r="U137" i="2" s="1"/>
  <c r="L137" i="1"/>
  <c r="V137" i="2" s="1"/>
  <c r="W137" i="2" s="1"/>
  <c r="Q137" i="1"/>
  <c r="AB137" i="2" s="1"/>
  <c r="B138" i="1"/>
  <c r="B138" i="2" s="1"/>
  <c r="C138" i="2" s="1"/>
  <c r="C138" i="1"/>
  <c r="D138" i="2" s="1"/>
  <c r="E138" i="2" s="1"/>
  <c r="D138" i="1"/>
  <c r="F138" i="2" s="1"/>
  <c r="G138" i="2" s="1"/>
  <c r="E138" i="1"/>
  <c r="H138" i="2" s="1"/>
  <c r="I138" i="2" s="1"/>
  <c r="D120" i="9" s="1"/>
  <c r="F138" i="1"/>
  <c r="J138" i="2" s="1"/>
  <c r="K138" i="2" s="1"/>
  <c r="G138" i="1"/>
  <c r="L138" i="2" s="1"/>
  <c r="M138" i="2" s="1"/>
  <c r="H138" i="1"/>
  <c r="N138" i="2" s="1"/>
  <c r="O138" i="2" s="1"/>
  <c r="I138" i="1"/>
  <c r="P138" i="2" s="1"/>
  <c r="Q138" i="2" s="1"/>
  <c r="C120" i="9" s="1"/>
  <c r="J138" i="1"/>
  <c r="R138" i="2" s="1"/>
  <c r="S138" i="2" s="1"/>
  <c r="K138" i="1"/>
  <c r="T138" i="2" s="1"/>
  <c r="U138" i="2" s="1"/>
  <c r="L138" i="1"/>
  <c r="V138" i="2" s="1"/>
  <c r="W138" i="2" s="1"/>
  <c r="Q138" i="1"/>
  <c r="AB138" i="2" s="1"/>
  <c r="B139" i="1"/>
  <c r="B139" i="2" s="1"/>
  <c r="C139" i="2" s="1"/>
  <c r="C139" i="1"/>
  <c r="D139" i="2" s="1"/>
  <c r="E139" i="2" s="1"/>
  <c r="D139" i="1"/>
  <c r="F139" i="2" s="1"/>
  <c r="G139" i="2" s="1"/>
  <c r="E139" i="1"/>
  <c r="H139" i="2" s="1"/>
  <c r="I139" i="2" s="1"/>
  <c r="D121" i="9" s="1"/>
  <c r="F139" i="1"/>
  <c r="J139" i="2" s="1"/>
  <c r="K139" i="2" s="1"/>
  <c r="G139" i="1"/>
  <c r="L139" i="2" s="1"/>
  <c r="M139" i="2" s="1"/>
  <c r="H139" i="1"/>
  <c r="N139" i="2" s="1"/>
  <c r="O139" i="2" s="1"/>
  <c r="I139" i="1"/>
  <c r="P139" i="2" s="1"/>
  <c r="Q139" i="2" s="1"/>
  <c r="C121" i="9" s="1"/>
  <c r="J139" i="1"/>
  <c r="R139" i="2" s="1"/>
  <c r="S139" i="2" s="1"/>
  <c r="K139" i="1"/>
  <c r="T139" i="2" s="1"/>
  <c r="U139" i="2" s="1"/>
  <c r="L139" i="1"/>
  <c r="V139" i="2" s="1"/>
  <c r="W139" i="2" s="1"/>
  <c r="Q139" i="1"/>
  <c r="AB139" i="2" s="1"/>
  <c r="B140" i="1"/>
  <c r="B140" i="2" s="1"/>
  <c r="C140" i="2" s="1"/>
  <c r="C140" i="1"/>
  <c r="D140" i="2" s="1"/>
  <c r="E140" i="2" s="1"/>
  <c r="D140" i="1"/>
  <c r="F140" i="2" s="1"/>
  <c r="G140" i="2" s="1"/>
  <c r="E140" i="1"/>
  <c r="H140" i="2" s="1"/>
  <c r="I140" i="2" s="1"/>
  <c r="D122" i="9" s="1"/>
  <c r="F140" i="1"/>
  <c r="J140" i="2" s="1"/>
  <c r="K140" i="2" s="1"/>
  <c r="G140" i="1"/>
  <c r="L140" i="2" s="1"/>
  <c r="M140" i="2" s="1"/>
  <c r="H140" i="1"/>
  <c r="N140" i="2" s="1"/>
  <c r="O140" i="2" s="1"/>
  <c r="I140" i="1"/>
  <c r="P140" i="2" s="1"/>
  <c r="Q140" i="2" s="1"/>
  <c r="C122" i="9" s="1"/>
  <c r="J140" i="1"/>
  <c r="R140" i="2" s="1"/>
  <c r="S140" i="2" s="1"/>
  <c r="K140" i="1"/>
  <c r="T140" i="2" s="1"/>
  <c r="U140" i="2" s="1"/>
  <c r="L140" i="1"/>
  <c r="V140" i="2" s="1"/>
  <c r="W140" i="2" s="1"/>
  <c r="Q140" i="1"/>
  <c r="AB140" i="2" s="1"/>
  <c r="B141" i="1"/>
  <c r="B141" i="2" s="1"/>
  <c r="C141" i="2" s="1"/>
  <c r="C141" i="1"/>
  <c r="D141" i="2" s="1"/>
  <c r="E141" i="2" s="1"/>
  <c r="D141" i="1"/>
  <c r="F141" i="2" s="1"/>
  <c r="G141" i="2" s="1"/>
  <c r="E141" i="1"/>
  <c r="H141" i="2" s="1"/>
  <c r="I141" i="2" s="1"/>
  <c r="D123" i="9" s="1"/>
  <c r="F141" i="1"/>
  <c r="J141" i="2" s="1"/>
  <c r="K141" i="2" s="1"/>
  <c r="G141" i="1"/>
  <c r="L141" i="2" s="1"/>
  <c r="M141" i="2" s="1"/>
  <c r="H141" i="1"/>
  <c r="N141" i="2" s="1"/>
  <c r="O141" i="2" s="1"/>
  <c r="I141" i="1"/>
  <c r="P141" i="2" s="1"/>
  <c r="Q141" i="2" s="1"/>
  <c r="C123" i="9" s="1"/>
  <c r="J141" i="1"/>
  <c r="R141" i="2" s="1"/>
  <c r="S141" i="2" s="1"/>
  <c r="K141" i="1"/>
  <c r="T141" i="2" s="1"/>
  <c r="U141" i="2" s="1"/>
  <c r="L141" i="1"/>
  <c r="V141" i="2" s="1"/>
  <c r="W141" i="2" s="1"/>
  <c r="Q141" i="1"/>
  <c r="AB141" i="2" s="1"/>
  <c r="B142" i="1"/>
  <c r="B142" i="2" s="1"/>
  <c r="C142" i="2" s="1"/>
  <c r="C142" i="1"/>
  <c r="D142" i="2" s="1"/>
  <c r="E142" i="2" s="1"/>
  <c r="D142" i="1"/>
  <c r="F142" i="2" s="1"/>
  <c r="G142" i="2" s="1"/>
  <c r="E142" i="1"/>
  <c r="H142" i="2" s="1"/>
  <c r="I142" i="2" s="1"/>
  <c r="D124" i="9" s="1"/>
  <c r="F142" i="1"/>
  <c r="J142" i="2" s="1"/>
  <c r="K142" i="2" s="1"/>
  <c r="G142" i="1"/>
  <c r="L142" i="2" s="1"/>
  <c r="M142" i="2" s="1"/>
  <c r="H142" i="1"/>
  <c r="N142" i="2" s="1"/>
  <c r="O142" i="2" s="1"/>
  <c r="I142" i="1"/>
  <c r="P142" i="2" s="1"/>
  <c r="Q142" i="2" s="1"/>
  <c r="C124" i="9" s="1"/>
  <c r="J142" i="1"/>
  <c r="R142" i="2" s="1"/>
  <c r="S142" i="2" s="1"/>
  <c r="K142" i="1"/>
  <c r="T142" i="2" s="1"/>
  <c r="U142" i="2" s="1"/>
  <c r="L142" i="1"/>
  <c r="V142" i="2" s="1"/>
  <c r="W142" i="2" s="1"/>
  <c r="Q142" i="1"/>
  <c r="AB142" i="2" s="1"/>
  <c r="B143" i="1"/>
  <c r="B143" i="2" s="1"/>
  <c r="C143" i="2" s="1"/>
  <c r="C143" i="1"/>
  <c r="D143" i="2" s="1"/>
  <c r="E143" i="2" s="1"/>
  <c r="D143" i="1"/>
  <c r="F143" i="2" s="1"/>
  <c r="G143" i="2" s="1"/>
  <c r="E143" i="1"/>
  <c r="H143" i="2" s="1"/>
  <c r="I143" i="2" s="1"/>
  <c r="D125" i="9" s="1"/>
  <c r="F143" i="1"/>
  <c r="J143" i="2" s="1"/>
  <c r="K143" i="2" s="1"/>
  <c r="G143" i="1"/>
  <c r="L143" i="2" s="1"/>
  <c r="M143" i="2" s="1"/>
  <c r="H143" i="1"/>
  <c r="N143" i="2" s="1"/>
  <c r="O143" i="2" s="1"/>
  <c r="I143" i="1"/>
  <c r="P143" i="2" s="1"/>
  <c r="Q143" i="2" s="1"/>
  <c r="C125" i="9" s="1"/>
  <c r="J143" i="1"/>
  <c r="R143" i="2" s="1"/>
  <c r="S143" i="2" s="1"/>
  <c r="K143" i="1"/>
  <c r="T143" i="2" s="1"/>
  <c r="U143" i="2" s="1"/>
  <c r="L143" i="1"/>
  <c r="V143" i="2" s="1"/>
  <c r="W143" i="2" s="1"/>
  <c r="Q143" i="1"/>
  <c r="AB143" i="2" s="1"/>
  <c r="B144" i="1"/>
  <c r="B144" i="2" s="1"/>
  <c r="C144" i="2" s="1"/>
  <c r="C144" i="1"/>
  <c r="D144" i="2" s="1"/>
  <c r="E144" i="2" s="1"/>
  <c r="D144" i="1"/>
  <c r="F144" i="2" s="1"/>
  <c r="G144" i="2" s="1"/>
  <c r="E144" i="1"/>
  <c r="H144" i="2" s="1"/>
  <c r="I144" i="2" s="1"/>
  <c r="D126" i="9" s="1"/>
  <c r="F144" i="1"/>
  <c r="J144" i="2" s="1"/>
  <c r="K144" i="2" s="1"/>
  <c r="G144" i="1"/>
  <c r="L144" i="2" s="1"/>
  <c r="M144" i="2" s="1"/>
  <c r="H144" i="1"/>
  <c r="N144" i="2" s="1"/>
  <c r="O144" i="2" s="1"/>
  <c r="I144" i="1"/>
  <c r="P144" i="2" s="1"/>
  <c r="Q144" i="2" s="1"/>
  <c r="C126" i="9" s="1"/>
  <c r="J144" i="1"/>
  <c r="R144" i="2" s="1"/>
  <c r="S144" i="2" s="1"/>
  <c r="K144" i="1"/>
  <c r="T144" i="2" s="1"/>
  <c r="U144" i="2" s="1"/>
  <c r="L144" i="1"/>
  <c r="V144" i="2" s="1"/>
  <c r="W144" i="2" s="1"/>
  <c r="Q144" i="1"/>
  <c r="AB144" i="2" s="1"/>
  <c r="B145" i="1"/>
  <c r="B145" i="2" s="1"/>
  <c r="C145" i="2" s="1"/>
  <c r="C145" i="1"/>
  <c r="D145" i="2" s="1"/>
  <c r="E145" i="2" s="1"/>
  <c r="D145" i="1"/>
  <c r="F145" i="2" s="1"/>
  <c r="G145" i="2" s="1"/>
  <c r="E145" i="1"/>
  <c r="H145" i="2" s="1"/>
  <c r="I145" i="2" s="1"/>
  <c r="D127" i="9" s="1"/>
  <c r="F145" i="1"/>
  <c r="J145" i="2" s="1"/>
  <c r="K145" i="2" s="1"/>
  <c r="G145" i="1"/>
  <c r="L145" i="2" s="1"/>
  <c r="M145" i="2" s="1"/>
  <c r="H145" i="1"/>
  <c r="N145" i="2" s="1"/>
  <c r="O145" i="2" s="1"/>
  <c r="I145" i="1"/>
  <c r="P145" i="2" s="1"/>
  <c r="Q145" i="2" s="1"/>
  <c r="C127" i="9" s="1"/>
  <c r="J145" i="1"/>
  <c r="R145" i="2" s="1"/>
  <c r="S145" i="2" s="1"/>
  <c r="K145" i="1"/>
  <c r="T145" i="2" s="1"/>
  <c r="U145" i="2" s="1"/>
  <c r="L145" i="1"/>
  <c r="V145" i="2" s="1"/>
  <c r="W145" i="2" s="1"/>
  <c r="Q145" i="1"/>
  <c r="AB145" i="2" s="1"/>
  <c r="B146" i="1"/>
  <c r="B146" i="2" s="1"/>
  <c r="C146" i="2" s="1"/>
  <c r="C146" i="1"/>
  <c r="D146" i="2" s="1"/>
  <c r="E146" i="2" s="1"/>
  <c r="D146" i="1"/>
  <c r="F146" i="2" s="1"/>
  <c r="G146" i="2" s="1"/>
  <c r="E146" i="1"/>
  <c r="H146" i="2" s="1"/>
  <c r="I146" i="2" s="1"/>
  <c r="D128" i="9" s="1"/>
  <c r="F146" i="1"/>
  <c r="J146" i="2" s="1"/>
  <c r="K146" i="2" s="1"/>
  <c r="G146" i="1"/>
  <c r="L146" i="2" s="1"/>
  <c r="M146" i="2" s="1"/>
  <c r="H146" i="1"/>
  <c r="N146" i="2" s="1"/>
  <c r="O146" i="2" s="1"/>
  <c r="I146" i="1"/>
  <c r="P146" i="2" s="1"/>
  <c r="Q146" i="2" s="1"/>
  <c r="C128" i="9" s="1"/>
  <c r="J146" i="1"/>
  <c r="R146" i="2" s="1"/>
  <c r="S146" i="2" s="1"/>
  <c r="K146" i="1"/>
  <c r="T146" i="2" s="1"/>
  <c r="U146" i="2" s="1"/>
  <c r="L146" i="1"/>
  <c r="V146" i="2" s="1"/>
  <c r="W146" i="2" s="1"/>
  <c r="Q146" i="1"/>
  <c r="AB146" i="2" s="1"/>
  <c r="B147" i="1"/>
  <c r="B147" i="2" s="1"/>
  <c r="C147" i="2" s="1"/>
  <c r="C147" i="1"/>
  <c r="D147" i="2" s="1"/>
  <c r="E147" i="2" s="1"/>
  <c r="D147" i="1"/>
  <c r="F147" i="2" s="1"/>
  <c r="G147" i="2" s="1"/>
  <c r="E147" i="1"/>
  <c r="H147" i="2" s="1"/>
  <c r="I147" i="2" s="1"/>
  <c r="D129" i="9" s="1"/>
  <c r="F147" i="1"/>
  <c r="J147" i="2" s="1"/>
  <c r="K147" i="2" s="1"/>
  <c r="G147" i="1"/>
  <c r="L147" i="2" s="1"/>
  <c r="M147" i="2" s="1"/>
  <c r="H147" i="1"/>
  <c r="N147" i="2" s="1"/>
  <c r="O147" i="2" s="1"/>
  <c r="I147" i="1"/>
  <c r="P147" i="2" s="1"/>
  <c r="Q147" i="2" s="1"/>
  <c r="C129" i="9" s="1"/>
  <c r="J147" i="1"/>
  <c r="R147" i="2" s="1"/>
  <c r="S147" i="2" s="1"/>
  <c r="K147" i="1"/>
  <c r="T147" i="2" s="1"/>
  <c r="U147" i="2" s="1"/>
  <c r="L147" i="1"/>
  <c r="V147" i="2" s="1"/>
  <c r="W147" i="2" s="1"/>
  <c r="Q147" i="1"/>
  <c r="AB147" i="2" s="1"/>
  <c r="B148" i="1"/>
  <c r="B148" i="2" s="1"/>
  <c r="C148" i="2" s="1"/>
  <c r="C148" i="1"/>
  <c r="D148" i="2" s="1"/>
  <c r="E148" i="2" s="1"/>
  <c r="D148" i="1"/>
  <c r="F148" i="2" s="1"/>
  <c r="G148" i="2" s="1"/>
  <c r="E148" i="1"/>
  <c r="H148" i="2" s="1"/>
  <c r="I148" i="2" s="1"/>
  <c r="D130" i="9" s="1"/>
  <c r="F148" i="1"/>
  <c r="J148" i="2" s="1"/>
  <c r="K148" i="2" s="1"/>
  <c r="G148" i="1"/>
  <c r="L148" i="2" s="1"/>
  <c r="M148" i="2" s="1"/>
  <c r="H148" i="1"/>
  <c r="N148" i="2" s="1"/>
  <c r="O148" i="2" s="1"/>
  <c r="I148" i="1"/>
  <c r="P148" i="2" s="1"/>
  <c r="Q148" i="2" s="1"/>
  <c r="C130" i="9" s="1"/>
  <c r="J148" i="1"/>
  <c r="R148" i="2" s="1"/>
  <c r="S148" i="2" s="1"/>
  <c r="K148" i="1"/>
  <c r="T148" i="2" s="1"/>
  <c r="U148" i="2" s="1"/>
  <c r="L148" i="1"/>
  <c r="V148" i="2" s="1"/>
  <c r="W148" i="2" s="1"/>
  <c r="Q148" i="1"/>
  <c r="AB148" i="2" s="1"/>
  <c r="B149" i="1"/>
  <c r="B149" i="2" s="1"/>
  <c r="C149" i="2" s="1"/>
  <c r="C149" i="1"/>
  <c r="D149" i="2" s="1"/>
  <c r="E149" i="2" s="1"/>
  <c r="D149" i="1"/>
  <c r="F149" i="2" s="1"/>
  <c r="G149" i="2" s="1"/>
  <c r="E149" i="1"/>
  <c r="H149" i="2" s="1"/>
  <c r="I149" i="2" s="1"/>
  <c r="D131" i="9" s="1"/>
  <c r="F149" i="1"/>
  <c r="J149" i="2" s="1"/>
  <c r="K149" i="2" s="1"/>
  <c r="G149" i="1"/>
  <c r="L149" i="2" s="1"/>
  <c r="M149" i="2" s="1"/>
  <c r="H149" i="1"/>
  <c r="N149" i="2" s="1"/>
  <c r="O149" i="2" s="1"/>
  <c r="I149" i="1"/>
  <c r="P149" i="2" s="1"/>
  <c r="Q149" i="2" s="1"/>
  <c r="C131" i="9" s="1"/>
  <c r="J149" i="1"/>
  <c r="R149" i="2" s="1"/>
  <c r="S149" i="2" s="1"/>
  <c r="K149" i="1"/>
  <c r="T149" i="2" s="1"/>
  <c r="U149" i="2" s="1"/>
  <c r="L149" i="1"/>
  <c r="V149" i="2" s="1"/>
  <c r="W149" i="2" s="1"/>
  <c r="Q149" i="1"/>
  <c r="AB149" i="2" s="1"/>
  <c r="B150" i="1"/>
  <c r="B150" i="2" s="1"/>
  <c r="C150" i="2" s="1"/>
  <c r="C150" i="1"/>
  <c r="D150" i="2" s="1"/>
  <c r="E150" i="2" s="1"/>
  <c r="D150" i="1"/>
  <c r="F150" i="2" s="1"/>
  <c r="G150" i="2" s="1"/>
  <c r="E150" i="1"/>
  <c r="H150" i="2" s="1"/>
  <c r="I150" i="2" s="1"/>
  <c r="D132" i="9" s="1"/>
  <c r="F150" i="1"/>
  <c r="J150" i="2" s="1"/>
  <c r="K150" i="2" s="1"/>
  <c r="G150" i="1"/>
  <c r="L150" i="2" s="1"/>
  <c r="M150" i="2" s="1"/>
  <c r="H150" i="1"/>
  <c r="N150" i="2" s="1"/>
  <c r="O150" i="2" s="1"/>
  <c r="I150" i="1"/>
  <c r="P150" i="2" s="1"/>
  <c r="Q150" i="2" s="1"/>
  <c r="C132" i="9" s="1"/>
  <c r="J150" i="1"/>
  <c r="R150" i="2" s="1"/>
  <c r="S150" i="2" s="1"/>
  <c r="K150" i="1"/>
  <c r="T150" i="2" s="1"/>
  <c r="U150" i="2" s="1"/>
  <c r="L150" i="1"/>
  <c r="V150" i="2" s="1"/>
  <c r="W150" i="2" s="1"/>
  <c r="Q150" i="1"/>
  <c r="AB150" i="2" s="1"/>
  <c r="B151" i="1"/>
  <c r="B151" i="2" s="1"/>
  <c r="C151" i="2" s="1"/>
  <c r="C151" i="1"/>
  <c r="D151" i="2" s="1"/>
  <c r="E151" i="2" s="1"/>
  <c r="D151" i="1"/>
  <c r="F151" i="2" s="1"/>
  <c r="G151" i="2" s="1"/>
  <c r="E151" i="1"/>
  <c r="H151" i="2" s="1"/>
  <c r="I151" i="2" s="1"/>
  <c r="D133" i="9" s="1"/>
  <c r="F151" i="1"/>
  <c r="J151" i="2" s="1"/>
  <c r="K151" i="2" s="1"/>
  <c r="G151" i="1"/>
  <c r="L151" i="2" s="1"/>
  <c r="M151" i="2" s="1"/>
  <c r="H151" i="1"/>
  <c r="N151" i="2" s="1"/>
  <c r="O151" i="2" s="1"/>
  <c r="I151" i="1"/>
  <c r="P151" i="2" s="1"/>
  <c r="Q151" i="2" s="1"/>
  <c r="C133" i="9" s="1"/>
  <c r="J151" i="1"/>
  <c r="R151" i="2" s="1"/>
  <c r="S151" i="2" s="1"/>
  <c r="K151" i="1"/>
  <c r="T151" i="2" s="1"/>
  <c r="U151" i="2" s="1"/>
  <c r="L151" i="1"/>
  <c r="V151" i="2" s="1"/>
  <c r="W151" i="2" s="1"/>
  <c r="Q151" i="1"/>
  <c r="AB151" i="2" s="1"/>
  <c r="B152" i="1"/>
  <c r="B152" i="2" s="1"/>
  <c r="C152" i="2" s="1"/>
  <c r="C152" i="1"/>
  <c r="D152" i="2" s="1"/>
  <c r="E152" i="2" s="1"/>
  <c r="D152" i="1"/>
  <c r="F152" i="2" s="1"/>
  <c r="G152" i="2" s="1"/>
  <c r="E152" i="1"/>
  <c r="H152" i="2" s="1"/>
  <c r="I152" i="2" s="1"/>
  <c r="D134" i="9" s="1"/>
  <c r="F152" i="1"/>
  <c r="J152" i="2" s="1"/>
  <c r="K152" i="2" s="1"/>
  <c r="G152" i="1"/>
  <c r="L152" i="2" s="1"/>
  <c r="M152" i="2" s="1"/>
  <c r="H152" i="1"/>
  <c r="N152" i="2" s="1"/>
  <c r="O152" i="2" s="1"/>
  <c r="I152" i="1"/>
  <c r="P152" i="2" s="1"/>
  <c r="Q152" i="2" s="1"/>
  <c r="C134" i="9" s="1"/>
  <c r="J152" i="1"/>
  <c r="R152" i="2" s="1"/>
  <c r="S152" i="2" s="1"/>
  <c r="K152" i="1"/>
  <c r="T152" i="2" s="1"/>
  <c r="U152" i="2" s="1"/>
  <c r="L152" i="1"/>
  <c r="V152" i="2" s="1"/>
  <c r="W152" i="2" s="1"/>
  <c r="Q152" i="1"/>
  <c r="AB152" i="2" s="1"/>
  <c r="B153" i="1"/>
  <c r="B153" i="2" s="1"/>
  <c r="C153" i="2" s="1"/>
  <c r="C153" i="1"/>
  <c r="D153" i="2" s="1"/>
  <c r="E153" i="2" s="1"/>
  <c r="D153" i="1"/>
  <c r="F153" i="2" s="1"/>
  <c r="G153" i="2" s="1"/>
  <c r="E153" i="1"/>
  <c r="H153" i="2" s="1"/>
  <c r="I153" i="2" s="1"/>
  <c r="D135" i="9" s="1"/>
  <c r="F153" i="1"/>
  <c r="J153" i="2" s="1"/>
  <c r="K153" i="2" s="1"/>
  <c r="G153" i="1"/>
  <c r="L153" i="2" s="1"/>
  <c r="M153" i="2" s="1"/>
  <c r="H153" i="1"/>
  <c r="N153" i="2" s="1"/>
  <c r="O153" i="2" s="1"/>
  <c r="I153" i="1"/>
  <c r="P153" i="2" s="1"/>
  <c r="Q153" i="2" s="1"/>
  <c r="C135" i="9" s="1"/>
  <c r="J153" i="1"/>
  <c r="R153" i="2" s="1"/>
  <c r="S153" i="2" s="1"/>
  <c r="K153" i="1"/>
  <c r="T153" i="2" s="1"/>
  <c r="U153" i="2" s="1"/>
  <c r="L153" i="1"/>
  <c r="V153" i="2" s="1"/>
  <c r="W153" i="2" s="1"/>
  <c r="Q153" i="1"/>
  <c r="AB153" i="2" s="1"/>
  <c r="B154" i="1"/>
  <c r="B154" i="2" s="1"/>
  <c r="C154" i="2" s="1"/>
  <c r="C154" i="1"/>
  <c r="D154" i="2" s="1"/>
  <c r="E154" i="2" s="1"/>
  <c r="D154" i="1"/>
  <c r="F154" i="2" s="1"/>
  <c r="G154" i="2" s="1"/>
  <c r="E154" i="1"/>
  <c r="H154" i="2" s="1"/>
  <c r="I154" i="2" s="1"/>
  <c r="D136" i="9" s="1"/>
  <c r="F154" i="1"/>
  <c r="J154" i="2" s="1"/>
  <c r="K154" i="2" s="1"/>
  <c r="G154" i="1"/>
  <c r="L154" i="2" s="1"/>
  <c r="M154" i="2" s="1"/>
  <c r="H154" i="1"/>
  <c r="N154" i="2" s="1"/>
  <c r="O154" i="2" s="1"/>
  <c r="I154" i="1"/>
  <c r="P154" i="2" s="1"/>
  <c r="Q154" i="2" s="1"/>
  <c r="C136" i="9" s="1"/>
  <c r="J154" i="1"/>
  <c r="R154" i="2" s="1"/>
  <c r="S154" i="2" s="1"/>
  <c r="K154" i="1"/>
  <c r="T154" i="2" s="1"/>
  <c r="U154" i="2" s="1"/>
  <c r="L154" i="1"/>
  <c r="V154" i="2" s="1"/>
  <c r="W154" i="2" s="1"/>
  <c r="Q154" i="1"/>
  <c r="AB154" i="2" s="1"/>
  <c r="B155" i="1"/>
  <c r="B155" i="2" s="1"/>
  <c r="C155" i="2" s="1"/>
  <c r="C155" i="1"/>
  <c r="D155" i="2" s="1"/>
  <c r="E155" i="2" s="1"/>
  <c r="D155" i="1"/>
  <c r="F155" i="2" s="1"/>
  <c r="G155" i="2" s="1"/>
  <c r="E155" i="1"/>
  <c r="H155" i="2" s="1"/>
  <c r="I155" i="2" s="1"/>
  <c r="D137" i="9" s="1"/>
  <c r="F155" i="1"/>
  <c r="J155" i="2" s="1"/>
  <c r="K155" i="2" s="1"/>
  <c r="G155" i="1"/>
  <c r="L155" i="2" s="1"/>
  <c r="M155" i="2" s="1"/>
  <c r="H155" i="1"/>
  <c r="N155" i="2" s="1"/>
  <c r="O155" i="2" s="1"/>
  <c r="I155" i="1"/>
  <c r="P155" i="2" s="1"/>
  <c r="Q155" i="2" s="1"/>
  <c r="C137" i="9" s="1"/>
  <c r="J155" i="1"/>
  <c r="R155" i="2" s="1"/>
  <c r="S155" i="2" s="1"/>
  <c r="K155" i="1"/>
  <c r="T155" i="2" s="1"/>
  <c r="U155" i="2" s="1"/>
  <c r="L155" i="1"/>
  <c r="V155" i="2" s="1"/>
  <c r="W155" i="2" s="1"/>
  <c r="Q155" i="1"/>
  <c r="AB155" i="2" s="1"/>
  <c r="B156" i="1"/>
  <c r="B156" i="2" s="1"/>
  <c r="C156" i="2" s="1"/>
  <c r="C156" i="1"/>
  <c r="D156" i="2" s="1"/>
  <c r="E156" i="2" s="1"/>
  <c r="D156" i="1"/>
  <c r="F156" i="2" s="1"/>
  <c r="G156" i="2" s="1"/>
  <c r="E156" i="1"/>
  <c r="H156" i="2" s="1"/>
  <c r="I156" i="2" s="1"/>
  <c r="D138" i="9" s="1"/>
  <c r="F156" i="1"/>
  <c r="J156" i="2" s="1"/>
  <c r="K156" i="2" s="1"/>
  <c r="G156" i="1"/>
  <c r="L156" i="2" s="1"/>
  <c r="M156" i="2" s="1"/>
  <c r="H156" i="1"/>
  <c r="N156" i="2" s="1"/>
  <c r="O156" i="2" s="1"/>
  <c r="I156" i="1"/>
  <c r="P156" i="2" s="1"/>
  <c r="Q156" i="2" s="1"/>
  <c r="C138" i="9" s="1"/>
  <c r="J156" i="1"/>
  <c r="R156" i="2" s="1"/>
  <c r="S156" i="2" s="1"/>
  <c r="K156" i="1"/>
  <c r="T156" i="2" s="1"/>
  <c r="U156" i="2" s="1"/>
  <c r="L156" i="1"/>
  <c r="V156" i="2" s="1"/>
  <c r="W156" i="2" s="1"/>
  <c r="Q156" i="1"/>
  <c r="AB156" i="2" s="1"/>
  <c r="B157" i="1"/>
  <c r="B157" i="2" s="1"/>
  <c r="C157" i="2" s="1"/>
  <c r="C157" i="1"/>
  <c r="D157" i="2" s="1"/>
  <c r="E157" i="2" s="1"/>
  <c r="D157" i="1"/>
  <c r="F157" i="2" s="1"/>
  <c r="G157" i="2" s="1"/>
  <c r="E157" i="1"/>
  <c r="H157" i="2" s="1"/>
  <c r="I157" i="2" s="1"/>
  <c r="D139" i="9" s="1"/>
  <c r="F157" i="1"/>
  <c r="J157" i="2" s="1"/>
  <c r="K157" i="2" s="1"/>
  <c r="G157" i="1"/>
  <c r="L157" i="2" s="1"/>
  <c r="M157" i="2" s="1"/>
  <c r="H157" i="1"/>
  <c r="N157" i="2" s="1"/>
  <c r="O157" i="2" s="1"/>
  <c r="I157" i="1"/>
  <c r="P157" i="2" s="1"/>
  <c r="Q157" i="2" s="1"/>
  <c r="C139" i="9" s="1"/>
  <c r="J157" i="1"/>
  <c r="R157" i="2" s="1"/>
  <c r="S157" i="2" s="1"/>
  <c r="K157" i="1"/>
  <c r="T157" i="2" s="1"/>
  <c r="U157" i="2" s="1"/>
  <c r="L157" i="1"/>
  <c r="V157" i="2" s="1"/>
  <c r="W157" i="2" s="1"/>
  <c r="Q157" i="1"/>
  <c r="AB157" i="2" s="1"/>
  <c r="B158" i="1"/>
  <c r="B158" i="2" s="1"/>
  <c r="C158" i="2" s="1"/>
  <c r="C158" i="1"/>
  <c r="D158" i="2" s="1"/>
  <c r="E158" i="2" s="1"/>
  <c r="D158" i="1"/>
  <c r="F158" i="2" s="1"/>
  <c r="G158" i="2" s="1"/>
  <c r="E158" i="1"/>
  <c r="H158" i="2" s="1"/>
  <c r="I158" i="2" s="1"/>
  <c r="D140" i="9" s="1"/>
  <c r="F158" i="1"/>
  <c r="J158" i="2" s="1"/>
  <c r="K158" i="2" s="1"/>
  <c r="G158" i="1"/>
  <c r="L158" i="2" s="1"/>
  <c r="M158" i="2" s="1"/>
  <c r="H158" i="1"/>
  <c r="N158" i="2" s="1"/>
  <c r="O158" i="2" s="1"/>
  <c r="I158" i="1"/>
  <c r="P158" i="2" s="1"/>
  <c r="Q158" i="2" s="1"/>
  <c r="C140" i="9" s="1"/>
  <c r="J158" i="1"/>
  <c r="R158" i="2" s="1"/>
  <c r="S158" i="2" s="1"/>
  <c r="K158" i="1"/>
  <c r="T158" i="2" s="1"/>
  <c r="U158" i="2" s="1"/>
  <c r="L158" i="1"/>
  <c r="V158" i="2" s="1"/>
  <c r="W158" i="2" s="1"/>
  <c r="Q158" i="1"/>
  <c r="AB158" i="2" s="1"/>
  <c r="B159" i="1"/>
  <c r="B159" i="2" s="1"/>
  <c r="C159" i="2" s="1"/>
  <c r="C159" i="1"/>
  <c r="D159" i="2" s="1"/>
  <c r="E159" i="2" s="1"/>
  <c r="D159" i="1"/>
  <c r="F159" i="2" s="1"/>
  <c r="G159" i="2" s="1"/>
  <c r="E159" i="1"/>
  <c r="H159" i="2" s="1"/>
  <c r="I159" i="2" s="1"/>
  <c r="D141" i="9" s="1"/>
  <c r="F159" i="1"/>
  <c r="J159" i="2" s="1"/>
  <c r="K159" i="2" s="1"/>
  <c r="G159" i="1"/>
  <c r="L159" i="2" s="1"/>
  <c r="M159" i="2" s="1"/>
  <c r="H159" i="1"/>
  <c r="N159" i="2" s="1"/>
  <c r="O159" i="2" s="1"/>
  <c r="I159" i="1"/>
  <c r="P159" i="2" s="1"/>
  <c r="Q159" i="2" s="1"/>
  <c r="C141" i="9" s="1"/>
  <c r="J159" i="1"/>
  <c r="R159" i="2" s="1"/>
  <c r="S159" i="2" s="1"/>
  <c r="K159" i="1"/>
  <c r="T159" i="2" s="1"/>
  <c r="U159" i="2" s="1"/>
  <c r="L159" i="1"/>
  <c r="V159" i="2" s="1"/>
  <c r="W159" i="2" s="1"/>
  <c r="Q159" i="1"/>
  <c r="AB159" i="2" s="1"/>
  <c r="B160" i="1"/>
  <c r="B160" i="2" s="1"/>
  <c r="C160" i="2" s="1"/>
  <c r="C160" i="1"/>
  <c r="D160" i="2" s="1"/>
  <c r="E160" i="2" s="1"/>
  <c r="D160" i="1"/>
  <c r="F160" i="2" s="1"/>
  <c r="G160" i="2" s="1"/>
  <c r="E160" i="1"/>
  <c r="H160" i="2" s="1"/>
  <c r="I160" i="2" s="1"/>
  <c r="D142" i="9" s="1"/>
  <c r="F160" i="1"/>
  <c r="J160" i="2" s="1"/>
  <c r="K160" i="2" s="1"/>
  <c r="G160" i="1"/>
  <c r="L160" i="2" s="1"/>
  <c r="M160" i="2" s="1"/>
  <c r="H160" i="1"/>
  <c r="N160" i="2" s="1"/>
  <c r="O160" i="2" s="1"/>
  <c r="I160" i="1"/>
  <c r="P160" i="2" s="1"/>
  <c r="Q160" i="2" s="1"/>
  <c r="C142" i="9" s="1"/>
  <c r="J160" i="1"/>
  <c r="R160" i="2" s="1"/>
  <c r="S160" i="2" s="1"/>
  <c r="K160" i="1"/>
  <c r="T160" i="2" s="1"/>
  <c r="U160" i="2" s="1"/>
  <c r="L160" i="1"/>
  <c r="V160" i="2" s="1"/>
  <c r="W160" i="2" s="1"/>
  <c r="Q160" i="1"/>
  <c r="AB160" i="2" s="1"/>
  <c r="B161" i="1"/>
  <c r="B161" i="2" s="1"/>
  <c r="C161" i="2" s="1"/>
  <c r="C161" i="1"/>
  <c r="D161" i="2" s="1"/>
  <c r="E161" i="2" s="1"/>
  <c r="D161" i="1"/>
  <c r="F161" i="2" s="1"/>
  <c r="G161" i="2" s="1"/>
  <c r="E161" i="1"/>
  <c r="H161" i="2" s="1"/>
  <c r="I161" i="2" s="1"/>
  <c r="D143" i="9" s="1"/>
  <c r="F161" i="1"/>
  <c r="J161" i="2" s="1"/>
  <c r="K161" i="2" s="1"/>
  <c r="G161" i="1"/>
  <c r="L161" i="2" s="1"/>
  <c r="M161" i="2" s="1"/>
  <c r="H161" i="1"/>
  <c r="N161" i="2" s="1"/>
  <c r="O161" i="2" s="1"/>
  <c r="I161" i="1"/>
  <c r="P161" i="2" s="1"/>
  <c r="Q161" i="2" s="1"/>
  <c r="C143" i="9" s="1"/>
  <c r="J161" i="1"/>
  <c r="R161" i="2" s="1"/>
  <c r="S161" i="2" s="1"/>
  <c r="K161" i="1"/>
  <c r="T161" i="2" s="1"/>
  <c r="U161" i="2" s="1"/>
  <c r="L161" i="1"/>
  <c r="V161" i="2" s="1"/>
  <c r="W161" i="2" s="1"/>
  <c r="Q161" i="1"/>
  <c r="AB161" i="2" s="1"/>
  <c r="B162" i="1"/>
  <c r="B162" i="2" s="1"/>
  <c r="C162" i="2" s="1"/>
  <c r="C162" i="1"/>
  <c r="D162" i="2" s="1"/>
  <c r="E162" i="2" s="1"/>
  <c r="D162" i="1"/>
  <c r="F162" i="2" s="1"/>
  <c r="G162" i="2" s="1"/>
  <c r="E162" i="1"/>
  <c r="H162" i="2" s="1"/>
  <c r="I162" i="2" s="1"/>
  <c r="D144" i="9" s="1"/>
  <c r="F162" i="1"/>
  <c r="J162" i="2" s="1"/>
  <c r="K162" i="2" s="1"/>
  <c r="G162" i="1"/>
  <c r="L162" i="2" s="1"/>
  <c r="M162" i="2" s="1"/>
  <c r="H162" i="1"/>
  <c r="N162" i="2" s="1"/>
  <c r="O162" i="2" s="1"/>
  <c r="I162" i="1"/>
  <c r="P162" i="2" s="1"/>
  <c r="Q162" i="2" s="1"/>
  <c r="C144" i="9" s="1"/>
  <c r="J162" i="1"/>
  <c r="R162" i="2" s="1"/>
  <c r="S162" i="2" s="1"/>
  <c r="K162" i="1"/>
  <c r="T162" i="2" s="1"/>
  <c r="U162" i="2" s="1"/>
  <c r="L162" i="1"/>
  <c r="V162" i="2" s="1"/>
  <c r="W162" i="2" s="1"/>
  <c r="Q162" i="1"/>
  <c r="AB162" i="2" s="1"/>
  <c r="B163" i="1"/>
  <c r="B163" i="2" s="1"/>
  <c r="C163" i="2" s="1"/>
  <c r="C163" i="1"/>
  <c r="D163" i="2" s="1"/>
  <c r="E163" i="2" s="1"/>
  <c r="D163" i="1"/>
  <c r="F163" i="2" s="1"/>
  <c r="G163" i="2" s="1"/>
  <c r="E163" i="1"/>
  <c r="H163" i="2" s="1"/>
  <c r="I163" i="2" s="1"/>
  <c r="D145" i="9" s="1"/>
  <c r="F163" i="1"/>
  <c r="J163" i="2" s="1"/>
  <c r="K163" i="2" s="1"/>
  <c r="G163" i="1"/>
  <c r="L163" i="2" s="1"/>
  <c r="M163" i="2" s="1"/>
  <c r="H163" i="1"/>
  <c r="N163" i="2" s="1"/>
  <c r="O163" i="2" s="1"/>
  <c r="I163" i="1"/>
  <c r="P163" i="2" s="1"/>
  <c r="Q163" i="2" s="1"/>
  <c r="C145" i="9" s="1"/>
  <c r="J163" i="1"/>
  <c r="R163" i="2" s="1"/>
  <c r="S163" i="2" s="1"/>
  <c r="K163" i="1"/>
  <c r="T163" i="2" s="1"/>
  <c r="U163" i="2" s="1"/>
  <c r="L163" i="1"/>
  <c r="V163" i="2" s="1"/>
  <c r="W163" i="2" s="1"/>
  <c r="Q163" i="1"/>
  <c r="AB163" i="2" s="1"/>
  <c r="B164" i="1"/>
  <c r="B164" i="2" s="1"/>
  <c r="C164" i="2" s="1"/>
  <c r="C164" i="1"/>
  <c r="D164" i="2" s="1"/>
  <c r="E164" i="2" s="1"/>
  <c r="D164" i="1"/>
  <c r="F164" i="2" s="1"/>
  <c r="G164" i="2" s="1"/>
  <c r="E164" i="1"/>
  <c r="H164" i="2" s="1"/>
  <c r="I164" i="2" s="1"/>
  <c r="D146" i="9" s="1"/>
  <c r="F164" i="1"/>
  <c r="J164" i="2" s="1"/>
  <c r="K164" i="2" s="1"/>
  <c r="G164" i="1"/>
  <c r="L164" i="2" s="1"/>
  <c r="M164" i="2" s="1"/>
  <c r="H164" i="1"/>
  <c r="N164" i="2" s="1"/>
  <c r="O164" i="2" s="1"/>
  <c r="I164" i="1"/>
  <c r="P164" i="2" s="1"/>
  <c r="Q164" i="2" s="1"/>
  <c r="C146" i="9" s="1"/>
  <c r="J164" i="1"/>
  <c r="R164" i="2" s="1"/>
  <c r="S164" i="2" s="1"/>
  <c r="K164" i="1"/>
  <c r="T164" i="2" s="1"/>
  <c r="U164" i="2" s="1"/>
  <c r="L164" i="1"/>
  <c r="V164" i="2" s="1"/>
  <c r="W164" i="2" s="1"/>
  <c r="Q164" i="1"/>
  <c r="AB164" i="2" s="1"/>
  <c r="B165" i="1"/>
  <c r="B165" i="2" s="1"/>
  <c r="C165" i="2" s="1"/>
  <c r="C165" i="1"/>
  <c r="D165" i="2" s="1"/>
  <c r="E165" i="2" s="1"/>
  <c r="D165" i="1"/>
  <c r="F165" i="2" s="1"/>
  <c r="G165" i="2" s="1"/>
  <c r="E165" i="1"/>
  <c r="H165" i="2" s="1"/>
  <c r="I165" i="2" s="1"/>
  <c r="D147" i="9" s="1"/>
  <c r="F165" i="1"/>
  <c r="J165" i="2" s="1"/>
  <c r="K165" i="2" s="1"/>
  <c r="G165" i="1"/>
  <c r="L165" i="2" s="1"/>
  <c r="M165" i="2" s="1"/>
  <c r="H165" i="1"/>
  <c r="N165" i="2" s="1"/>
  <c r="O165" i="2" s="1"/>
  <c r="I165" i="1"/>
  <c r="P165" i="2" s="1"/>
  <c r="Q165" i="2" s="1"/>
  <c r="C147" i="9" s="1"/>
  <c r="J165" i="1"/>
  <c r="R165" i="2" s="1"/>
  <c r="S165" i="2" s="1"/>
  <c r="K165" i="1"/>
  <c r="T165" i="2" s="1"/>
  <c r="U165" i="2" s="1"/>
  <c r="L165" i="1"/>
  <c r="V165" i="2" s="1"/>
  <c r="W165" i="2" s="1"/>
  <c r="Q165" i="1"/>
  <c r="AB165" i="2" s="1"/>
  <c r="B166" i="1"/>
  <c r="B166" i="2" s="1"/>
  <c r="C166" i="2" s="1"/>
  <c r="C166" i="1"/>
  <c r="D166" i="2" s="1"/>
  <c r="E166" i="2" s="1"/>
  <c r="D166" i="1"/>
  <c r="F166" i="2" s="1"/>
  <c r="G166" i="2" s="1"/>
  <c r="E166" i="1"/>
  <c r="H166" i="2" s="1"/>
  <c r="I166" i="2" s="1"/>
  <c r="D148" i="9" s="1"/>
  <c r="F166" i="1"/>
  <c r="J166" i="2" s="1"/>
  <c r="K166" i="2" s="1"/>
  <c r="G166" i="1"/>
  <c r="L166" i="2" s="1"/>
  <c r="M166" i="2" s="1"/>
  <c r="H166" i="1"/>
  <c r="N166" i="2" s="1"/>
  <c r="O166" i="2" s="1"/>
  <c r="I166" i="1"/>
  <c r="P166" i="2" s="1"/>
  <c r="Q166" i="2" s="1"/>
  <c r="C148" i="9" s="1"/>
  <c r="J166" i="1"/>
  <c r="R166" i="2" s="1"/>
  <c r="S166" i="2" s="1"/>
  <c r="K166" i="1"/>
  <c r="T166" i="2" s="1"/>
  <c r="U166" i="2" s="1"/>
  <c r="L166" i="1"/>
  <c r="V166" i="2" s="1"/>
  <c r="W166" i="2" s="1"/>
  <c r="Q166" i="1"/>
  <c r="AB166" i="2" s="1"/>
  <c r="B167" i="1"/>
  <c r="B167" i="2" s="1"/>
  <c r="C167" i="2" s="1"/>
  <c r="C167" i="1"/>
  <c r="D167" i="2" s="1"/>
  <c r="E167" i="2" s="1"/>
  <c r="D167" i="1"/>
  <c r="F167" i="2" s="1"/>
  <c r="G167" i="2" s="1"/>
  <c r="E167" i="1"/>
  <c r="H167" i="2" s="1"/>
  <c r="I167" i="2" s="1"/>
  <c r="D149" i="9" s="1"/>
  <c r="F167" i="1"/>
  <c r="J167" i="2" s="1"/>
  <c r="K167" i="2" s="1"/>
  <c r="G167" i="1"/>
  <c r="L167" i="2" s="1"/>
  <c r="M167" i="2" s="1"/>
  <c r="H167" i="1"/>
  <c r="N167" i="2" s="1"/>
  <c r="O167" i="2" s="1"/>
  <c r="I167" i="1"/>
  <c r="P167" i="2" s="1"/>
  <c r="Q167" i="2" s="1"/>
  <c r="C149" i="9" s="1"/>
  <c r="J167" i="1"/>
  <c r="R167" i="2" s="1"/>
  <c r="S167" i="2" s="1"/>
  <c r="K167" i="1"/>
  <c r="T167" i="2" s="1"/>
  <c r="U167" i="2" s="1"/>
  <c r="L167" i="1"/>
  <c r="V167" i="2" s="1"/>
  <c r="W167" i="2" s="1"/>
  <c r="Q167" i="1"/>
  <c r="AB167" i="2" s="1"/>
  <c r="B168" i="1"/>
  <c r="B168" i="2" s="1"/>
  <c r="C168" i="2" s="1"/>
  <c r="C168" i="1"/>
  <c r="D168" i="2" s="1"/>
  <c r="E168" i="2" s="1"/>
  <c r="D168" i="1"/>
  <c r="F168" i="2" s="1"/>
  <c r="G168" i="2" s="1"/>
  <c r="E168" i="1"/>
  <c r="H168" i="2" s="1"/>
  <c r="I168" i="2" s="1"/>
  <c r="D150" i="9" s="1"/>
  <c r="F168" i="1"/>
  <c r="J168" i="2" s="1"/>
  <c r="K168" i="2" s="1"/>
  <c r="G168" i="1"/>
  <c r="L168" i="2" s="1"/>
  <c r="M168" i="2" s="1"/>
  <c r="H168" i="1"/>
  <c r="N168" i="2" s="1"/>
  <c r="O168" i="2" s="1"/>
  <c r="I168" i="1"/>
  <c r="P168" i="2" s="1"/>
  <c r="Q168" i="2" s="1"/>
  <c r="C150" i="9" s="1"/>
  <c r="J168" i="1"/>
  <c r="R168" i="2" s="1"/>
  <c r="S168" i="2" s="1"/>
  <c r="K168" i="1"/>
  <c r="T168" i="2" s="1"/>
  <c r="U168" i="2" s="1"/>
  <c r="L168" i="1"/>
  <c r="V168" i="2" s="1"/>
  <c r="W168" i="2" s="1"/>
  <c r="Q168" i="1"/>
  <c r="AB168" i="2" s="1"/>
  <c r="B169" i="1"/>
  <c r="B169" i="2" s="1"/>
  <c r="C169" i="2" s="1"/>
  <c r="C169" i="1"/>
  <c r="D169" i="2" s="1"/>
  <c r="E169" i="2" s="1"/>
  <c r="D169" i="1"/>
  <c r="F169" i="2" s="1"/>
  <c r="G169" i="2" s="1"/>
  <c r="E169" i="1"/>
  <c r="H169" i="2" s="1"/>
  <c r="I169" i="2" s="1"/>
  <c r="D151" i="9" s="1"/>
  <c r="F169" i="1"/>
  <c r="J169" i="2" s="1"/>
  <c r="K169" i="2" s="1"/>
  <c r="G169" i="1"/>
  <c r="L169" i="2" s="1"/>
  <c r="M169" i="2" s="1"/>
  <c r="H169" i="1"/>
  <c r="N169" i="2" s="1"/>
  <c r="O169" i="2" s="1"/>
  <c r="I169" i="1"/>
  <c r="P169" i="2" s="1"/>
  <c r="Q169" i="2" s="1"/>
  <c r="C151" i="9" s="1"/>
  <c r="J169" i="1"/>
  <c r="R169" i="2" s="1"/>
  <c r="S169" i="2" s="1"/>
  <c r="K169" i="1"/>
  <c r="T169" i="2" s="1"/>
  <c r="U169" i="2" s="1"/>
  <c r="L169" i="1"/>
  <c r="V169" i="2" s="1"/>
  <c r="W169" i="2" s="1"/>
  <c r="Q169" i="1"/>
  <c r="AB169" i="2" s="1"/>
  <c r="B170" i="1"/>
  <c r="B170" i="2" s="1"/>
  <c r="C170" i="2" s="1"/>
  <c r="C170" i="1"/>
  <c r="D170" i="2" s="1"/>
  <c r="E170" i="2" s="1"/>
  <c r="D170" i="1"/>
  <c r="F170" i="2" s="1"/>
  <c r="G170" i="2" s="1"/>
  <c r="E170" i="1"/>
  <c r="H170" i="2" s="1"/>
  <c r="I170" i="2" s="1"/>
  <c r="D152" i="9" s="1"/>
  <c r="F170" i="1"/>
  <c r="J170" i="2" s="1"/>
  <c r="K170" i="2" s="1"/>
  <c r="G170" i="1"/>
  <c r="L170" i="2" s="1"/>
  <c r="M170" i="2" s="1"/>
  <c r="H170" i="1"/>
  <c r="N170" i="2" s="1"/>
  <c r="O170" i="2" s="1"/>
  <c r="I170" i="1"/>
  <c r="P170" i="2" s="1"/>
  <c r="Q170" i="2" s="1"/>
  <c r="C152" i="9" s="1"/>
  <c r="J170" i="1"/>
  <c r="R170" i="2" s="1"/>
  <c r="S170" i="2" s="1"/>
  <c r="K170" i="1"/>
  <c r="T170" i="2" s="1"/>
  <c r="U170" i="2" s="1"/>
  <c r="L170" i="1"/>
  <c r="V170" i="2" s="1"/>
  <c r="W170" i="2" s="1"/>
  <c r="Q170" i="1"/>
  <c r="AB170" i="2" s="1"/>
  <c r="B171" i="1"/>
  <c r="B171" i="2" s="1"/>
  <c r="C171" i="2" s="1"/>
  <c r="C171" i="1"/>
  <c r="D171" i="2" s="1"/>
  <c r="E171" i="2" s="1"/>
  <c r="D171" i="1"/>
  <c r="F171" i="2" s="1"/>
  <c r="G171" i="2" s="1"/>
  <c r="E171" i="1"/>
  <c r="H171" i="2" s="1"/>
  <c r="I171" i="2" s="1"/>
  <c r="D153" i="9" s="1"/>
  <c r="F171" i="1"/>
  <c r="J171" i="2" s="1"/>
  <c r="K171" i="2" s="1"/>
  <c r="G171" i="1"/>
  <c r="L171" i="2" s="1"/>
  <c r="M171" i="2" s="1"/>
  <c r="H171" i="1"/>
  <c r="N171" i="2" s="1"/>
  <c r="O171" i="2" s="1"/>
  <c r="I171" i="1"/>
  <c r="P171" i="2" s="1"/>
  <c r="Q171" i="2" s="1"/>
  <c r="C153" i="9" s="1"/>
  <c r="J171" i="1"/>
  <c r="R171" i="2" s="1"/>
  <c r="S171" i="2" s="1"/>
  <c r="K171" i="1"/>
  <c r="T171" i="2" s="1"/>
  <c r="U171" i="2" s="1"/>
  <c r="L171" i="1"/>
  <c r="V171" i="2" s="1"/>
  <c r="W171" i="2" s="1"/>
  <c r="Q171" i="1"/>
  <c r="AB171" i="2" s="1"/>
  <c r="B172" i="1"/>
  <c r="B172" i="2" s="1"/>
  <c r="C172" i="2" s="1"/>
  <c r="C172" i="1"/>
  <c r="D172" i="2" s="1"/>
  <c r="E172" i="2" s="1"/>
  <c r="D172" i="1"/>
  <c r="F172" i="2" s="1"/>
  <c r="G172" i="2" s="1"/>
  <c r="E172" i="1"/>
  <c r="H172" i="2" s="1"/>
  <c r="I172" i="2" s="1"/>
  <c r="D154" i="9" s="1"/>
  <c r="F172" i="1"/>
  <c r="J172" i="2" s="1"/>
  <c r="K172" i="2" s="1"/>
  <c r="G172" i="1"/>
  <c r="L172" i="2" s="1"/>
  <c r="M172" i="2" s="1"/>
  <c r="H172" i="1"/>
  <c r="N172" i="2" s="1"/>
  <c r="O172" i="2" s="1"/>
  <c r="I172" i="1"/>
  <c r="P172" i="2" s="1"/>
  <c r="Q172" i="2" s="1"/>
  <c r="C154" i="9" s="1"/>
  <c r="J172" i="1"/>
  <c r="R172" i="2" s="1"/>
  <c r="S172" i="2" s="1"/>
  <c r="K172" i="1"/>
  <c r="T172" i="2" s="1"/>
  <c r="U172" i="2" s="1"/>
  <c r="L172" i="1"/>
  <c r="V172" i="2" s="1"/>
  <c r="W172" i="2" s="1"/>
  <c r="Q172" i="1"/>
  <c r="AB172" i="2" s="1"/>
  <c r="B173" i="1"/>
  <c r="B173" i="2" s="1"/>
  <c r="C173" i="2" s="1"/>
  <c r="C173" i="1"/>
  <c r="D173" i="2" s="1"/>
  <c r="E173" i="2" s="1"/>
  <c r="D173" i="1"/>
  <c r="F173" i="2" s="1"/>
  <c r="G173" i="2" s="1"/>
  <c r="E173" i="1"/>
  <c r="H173" i="2" s="1"/>
  <c r="I173" i="2" s="1"/>
  <c r="D155" i="9" s="1"/>
  <c r="F173" i="1"/>
  <c r="J173" i="2" s="1"/>
  <c r="K173" i="2" s="1"/>
  <c r="G173" i="1"/>
  <c r="L173" i="2" s="1"/>
  <c r="M173" i="2" s="1"/>
  <c r="H173" i="1"/>
  <c r="N173" i="2" s="1"/>
  <c r="O173" i="2" s="1"/>
  <c r="I173" i="1"/>
  <c r="P173" i="2" s="1"/>
  <c r="Q173" i="2" s="1"/>
  <c r="C155" i="9" s="1"/>
  <c r="J173" i="1"/>
  <c r="R173" i="2" s="1"/>
  <c r="S173" i="2" s="1"/>
  <c r="K173" i="1"/>
  <c r="T173" i="2" s="1"/>
  <c r="U173" i="2" s="1"/>
  <c r="L173" i="1"/>
  <c r="V173" i="2" s="1"/>
  <c r="W173" i="2" s="1"/>
  <c r="Q173" i="1"/>
  <c r="AB173" i="2" s="1"/>
  <c r="B174" i="1"/>
  <c r="B174" i="2" s="1"/>
  <c r="C174" i="2" s="1"/>
  <c r="C174" i="1"/>
  <c r="D174" i="2" s="1"/>
  <c r="E174" i="2" s="1"/>
  <c r="D174" i="1"/>
  <c r="F174" i="2" s="1"/>
  <c r="G174" i="2" s="1"/>
  <c r="E174" i="1"/>
  <c r="H174" i="2" s="1"/>
  <c r="I174" i="2" s="1"/>
  <c r="D156" i="9" s="1"/>
  <c r="F174" i="1"/>
  <c r="J174" i="2" s="1"/>
  <c r="K174" i="2" s="1"/>
  <c r="G174" i="1"/>
  <c r="L174" i="2" s="1"/>
  <c r="M174" i="2" s="1"/>
  <c r="H174" i="1"/>
  <c r="N174" i="2" s="1"/>
  <c r="O174" i="2" s="1"/>
  <c r="I174" i="1"/>
  <c r="P174" i="2" s="1"/>
  <c r="Q174" i="2" s="1"/>
  <c r="C156" i="9" s="1"/>
  <c r="J174" i="1"/>
  <c r="R174" i="2" s="1"/>
  <c r="S174" i="2" s="1"/>
  <c r="K174" i="1"/>
  <c r="T174" i="2" s="1"/>
  <c r="U174" i="2" s="1"/>
  <c r="L174" i="1"/>
  <c r="V174" i="2" s="1"/>
  <c r="W174" i="2" s="1"/>
  <c r="Q174" i="1"/>
  <c r="AB174" i="2" s="1"/>
  <c r="B175" i="1"/>
  <c r="B175" i="2" s="1"/>
  <c r="C175" i="2" s="1"/>
  <c r="C175" i="1"/>
  <c r="D175" i="2" s="1"/>
  <c r="E175" i="2" s="1"/>
  <c r="D175" i="1"/>
  <c r="F175" i="2" s="1"/>
  <c r="G175" i="2" s="1"/>
  <c r="E175" i="1"/>
  <c r="H175" i="2" s="1"/>
  <c r="I175" i="2" s="1"/>
  <c r="D157" i="9" s="1"/>
  <c r="F175" i="1"/>
  <c r="J175" i="2" s="1"/>
  <c r="K175" i="2" s="1"/>
  <c r="G175" i="1"/>
  <c r="L175" i="2" s="1"/>
  <c r="M175" i="2" s="1"/>
  <c r="H175" i="1"/>
  <c r="N175" i="2" s="1"/>
  <c r="O175" i="2" s="1"/>
  <c r="I175" i="1"/>
  <c r="P175" i="2" s="1"/>
  <c r="Q175" i="2" s="1"/>
  <c r="C157" i="9" s="1"/>
  <c r="J175" i="1"/>
  <c r="R175" i="2" s="1"/>
  <c r="S175" i="2" s="1"/>
  <c r="K175" i="1"/>
  <c r="T175" i="2" s="1"/>
  <c r="U175" i="2" s="1"/>
  <c r="L175" i="1"/>
  <c r="V175" i="2" s="1"/>
  <c r="W175" i="2" s="1"/>
  <c r="Q175" i="1"/>
  <c r="AB175" i="2" s="1"/>
  <c r="B176" i="1"/>
  <c r="B176" i="2" s="1"/>
  <c r="C176" i="2" s="1"/>
  <c r="C176" i="1"/>
  <c r="D176" i="2" s="1"/>
  <c r="E176" i="2" s="1"/>
  <c r="D176" i="1"/>
  <c r="F176" i="2" s="1"/>
  <c r="G176" i="2" s="1"/>
  <c r="E176" i="1"/>
  <c r="H176" i="2" s="1"/>
  <c r="I176" i="2" s="1"/>
  <c r="D158" i="9" s="1"/>
  <c r="F176" i="1"/>
  <c r="J176" i="2" s="1"/>
  <c r="K176" i="2" s="1"/>
  <c r="G176" i="1"/>
  <c r="L176" i="2" s="1"/>
  <c r="M176" i="2" s="1"/>
  <c r="H176" i="1"/>
  <c r="N176" i="2" s="1"/>
  <c r="O176" i="2" s="1"/>
  <c r="I176" i="1"/>
  <c r="P176" i="2" s="1"/>
  <c r="Q176" i="2" s="1"/>
  <c r="C158" i="9" s="1"/>
  <c r="J176" i="1"/>
  <c r="R176" i="2" s="1"/>
  <c r="S176" i="2" s="1"/>
  <c r="K176" i="1"/>
  <c r="T176" i="2" s="1"/>
  <c r="U176" i="2" s="1"/>
  <c r="L176" i="1"/>
  <c r="V176" i="2" s="1"/>
  <c r="W176" i="2" s="1"/>
  <c r="Q176" i="1"/>
  <c r="AB176" i="2" s="1"/>
  <c r="B177" i="1"/>
  <c r="B177" i="2" s="1"/>
  <c r="C177" i="2" s="1"/>
  <c r="C177" i="1"/>
  <c r="D177" i="2" s="1"/>
  <c r="E177" i="2" s="1"/>
  <c r="D177" i="1"/>
  <c r="F177" i="2" s="1"/>
  <c r="G177" i="2" s="1"/>
  <c r="E177" i="1"/>
  <c r="H177" i="2" s="1"/>
  <c r="I177" i="2" s="1"/>
  <c r="D159" i="9" s="1"/>
  <c r="F177" i="1"/>
  <c r="J177" i="2" s="1"/>
  <c r="K177" i="2" s="1"/>
  <c r="G177" i="1"/>
  <c r="L177" i="2" s="1"/>
  <c r="M177" i="2" s="1"/>
  <c r="H177" i="1"/>
  <c r="N177" i="2" s="1"/>
  <c r="O177" i="2" s="1"/>
  <c r="I177" i="1"/>
  <c r="P177" i="2" s="1"/>
  <c r="Q177" i="2" s="1"/>
  <c r="C159" i="9" s="1"/>
  <c r="J177" i="1"/>
  <c r="R177" i="2" s="1"/>
  <c r="S177" i="2" s="1"/>
  <c r="K177" i="1"/>
  <c r="T177" i="2" s="1"/>
  <c r="U177" i="2" s="1"/>
  <c r="L177" i="1"/>
  <c r="V177" i="2" s="1"/>
  <c r="W177" i="2" s="1"/>
  <c r="Q177" i="1"/>
  <c r="AB177" i="2" s="1"/>
  <c r="B178" i="1"/>
  <c r="B178" i="2" s="1"/>
  <c r="C178" i="2" s="1"/>
  <c r="C178" i="1"/>
  <c r="D178" i="2" s="1"/>
  <c r="E178" i="2" s="1"/>
  <c r="D178" i="1"/>
  <c r="F178" i="2" s="1"/>
  <c r="G178" i="2" s="1"/>
  <c r="E178" i="1"/>
  <c r="H178" i="2" s="1"/>
  <c r="I178" i="2" s="1"/>
  <c r="D160" i="9" s="1"/>
  <c r="F178" i="1"/>
  <c r="J178" i="2" s="1"/>
  <c r="K178" i="2" s="1"/>
  <c r="G178" i="1"/>
  <c r="L178" i="2" s="1"/>
  <c r="M178" i="2" s="1"/>
  <c r="H178" i="1"/>
  <c r="N178" i="2" s="1"/>
  <c r="O178" i="2" s="1"/>
  <c r="I178" i="1"/>
  <c r="P178" i="2" s="1"/>
  <c r="Q178" i="2" s="1"/>
  <c r="C160" i="9" s="1"/>
  <c r="J178" i="1"/>
  <c r="R178" i="2" s="1"/>
  <c r="S178" i="2" s="1"/>
  <c r="K178" i="1"/>
  <c r="T178" i="2" s="1"/>
  <c r="U178" i="2" s="1"/>
  <c r="L178" i="1"/>
  <c r="V178" i="2" s="1"/>
  <c r="W178" i="2" s="1"/>
  <c r="Q178" i="1"/>
  <c r="AB178" i="2" s="1"/>
  <c r="B179" i="1"/>
  <c r="B179" i="2" s="1"/>
  <c r="C179" i="2" s="1"/>
  <c r="C179" i="1"/>
  <c r="D179" i="2" s="1"/>
  <c r="E179" i="2" s="1"/>
  <c r="D179" i="1"/>
  <c r="F179" i="2" s="1"/>
  <c r="G179" i="2" s="1"/>
  <c r="E179" i="1"/>
  <c r="H179" i="2" s="1"/>
  <c r="I179" i="2" s="1"/>
  <c r="D161" i="9" s="1"/>
  <c r="F179" i="1"/>
  <c r="J179" i="2" s="1"/>
  <c r="K179" i="2" s="1"/>
  <c r="G179" i="1"/>
  <c r="L179" i="2" s="1"/>
  <c r="M179" i="2" s="1"/>
  <c r="H179" i="1"/>
  <c r="N179" i="2" s="1"/>
  <c r="O179" i="2" s="1"/>
  <c r="I179" i="1"/>
  <c r="P179" i="2" s="1"/>
  <c r="Q179" i="2" s="1"/>
  <c r="C161" i="9" s="1"/>
  <c r="J179" i="1"/>
  <c r="R179" i="2" s="1"/>
  <c r="S179" i="2" s="1"/>
  <c r="K179" i="1"/>
  <c r="T179" i="2" s="1"/>
  <c r="U179" i="2" s="1"/>
  <c r="L179" i="1"/>
  <c r="V179" i="2" s="1"/>
  <c r="W179" i="2" s="1"/>
  <c r="Q179" i="1"/>
  <c r="AB179" i="2" s="1"/>
  <c r="B180" i="1"/>
  <c r="B180" i="2" s="1"/>
  <c r="C180" i="2" s="1"/>
  <c r="C180" i="1"/>
  <c r="D180" i="2" s="1"/>
  <c r="E180" i="2" s="1"/>
  <c r="D180" i="1"/>
  <c r="F180" i="2" s="1"/>
  <c r="G180" i="2" s="1"/>
  <c r="E180" i="1"/>
  <c r="H180" i="2" s="1"/>
  <c r="I180" i="2" s="1"/>
  <c r="D162" i="9" s="1"/>
  <c r="F180" i="1"/>
  <c r="J180" i="2" s="1"/>
  <c r="K180" i="2" s="1"/>
  <c r="G180" i="1"/>
  <c r="L180" i="2" s="1"/>
  <c r="M180" i="2" s="1"/>
  <c r="H180" i="1"/>
  <c r="N180" i="2" s="1"/>
  <c r="O180" i="2" s="1"/>
  <c r="I180" i="1"/>
  <c r="P180" i="2" s="1"/>
  <c r="Q180" i="2" s="1"/>
  <c r="C162" i="9" s="1"/>
  <c r="J180" i="1"/>
  <c r="R180" i="2" s="1"/>
  <c r="S180" i="2" s="1"/>
  <c r="K180" i="1"/>
  <c r="T180" i="2" s="1"/>
  <c r="U180" i="2" s="1"/>
  <c r="L180" i="1"/>
  <c r="V180" i="2" s="1"/>
  <c r="W180" i="2" s="1"/>
  <c r="Q180" i="1"/>
  <c r="AB180" i="2" s="1"/>
  <c r="B181" i="1"/>
  <c r="B181" i="2" s="1"/>
  <c r="C181" i="2" s="1"/>
  <c r="C181" i="1"/>
  <c r="D181" i="2" s="1"/>
  <c r="E181" i="2" s="1"/>
  <c r="D181" i="1"/>
  <c r="F181" i="2" s="1"/>
  <c r="G181" i="2" s="1"/>
  <c r="E181" i="1"/>
  <c r="H181" i="2" s="1"/>
  <c r="I181" i="2" s="1"/>
  <c r="D163" i="9" s="1"/>
  <c r="F181" i="1"/>
  <c r="J181" i="2" s="1"/>
  <c r="K181" i="2" s="1"/>
  <c r="G181" i="1"/>
  <c r="L181" i="2" s="1"/>
  <c r="M181" i="2" s="1"/>
  <c r="H181" i="1"/>
  <c r="N181" i="2" s="1"/>
  <c r="O181" i="2" s="1"/>
  <c r="I181" i="1"/>
  <c r="P181" i="2" s="1"/>
  <c r="Q181" i="2" s="1"/>
  <c r="C163" i="9" s="1"/>
  <c r="J181" i="1"/>
  <c r="R181" i="2" s="1"/>
  <c r="S181" i="2" s="1"/>
  <c r="K181" i="1"/>
  <c r="T181" i="2" s="1"/>
  <c r="U181" i="2" s="1"/>
  <c r="L181" i="1"/>
  <c r="V181" i="2" s="1"/>
  <c r="W181" i="2" s="1"/>
  <c r="Q181" i="1"/>
  <c r="AB181" i="2" s="1"/>
  <c r="B182" i="1"/>
  <c r="B182" i="2" s="1"/>
  <c r="C182" i="2" s="1"/>
  <c r="C182" i="1"/>
  <c r="D182" i="2" s="1"/>
  <c r="E182" i="2" s="1"/>
  <c r="D182" i="1"/>
  <c r="F182" i="2" s="1"/>
  <c r="G182" i="2" s="1"/>
  <c r="E182" i="1"/>
  <c r="H182" i="2" s="1"/>
  <c r="I182" i="2" s="1"/>
  <c r="D164" i="9" s="1"/>
  <c r="F182" i="1"/>
  <c r="J182" i="2" s="1"/>
  <c r="K182" i="2" s="1"/>
  <c r="G182" i="1"/>
  <c r="L182" i="2" s="1"/>
  <c r="M182" i="2" s="1"/>
  <c r="H182" i="1"/>
  <c r="N182" i="2" s="1"/>
  <c r="O182" i="2" s="1"/>
  <c r="I182" i="1"/>
  <c r="P182" i="2" s="1"/>
  <c r="Q182" i="2" s="1"/>
  <c r="C164" i="9" s="1"/>
  <c r="J182" i="1"/>
  <c r="R182" i="2" s="1"/>
  <c r="S182" i="2" s="1"/>
  <c r="K182" i="1"/>
  <c r="T182" i="2" s="1"/>
  <c r="U182" i="2" s="1"/>
  <c r="L182" i="1"/>
  <c r="V182" i="2" s="1"/>
  <c r="W182" i="2" s="1"/>
  <c r="Q182" i="1"/>
  <c r="AB182" i="2" s="1"/>
  <c r="B183" i="1"/>
  <c r="B183" i="2" s="1"/>
  <c r="C183" i="2" s="1"/>
  <c r="C183" i="1"/>
  <c r="D183" i="2" s="1"/>
  <c r="E183" i="2" s="1"/>
  <c r="D183" i="1"/>
  <c r="F183" i="2" s="1"/>
  <c r="G183" i="2" s="1"/>
  <c r="E183" i="1"/>
  <c r="H183" i="2" s="1"/>
  <c r="I183" i="2" s="1"/>
  <c r="D165" i="9" s="1"/>
  <c r="F183" i="1"/>
  <c r="J183" i="2" s="1"/>
  <c r="K183" i="2" s="1"/>
  <c r="G183" i="1"/>
  <c r="L183" i="2" s="1"/>
  <c r="M183" i="2" s="1"/>
  <c r="H183" i="1"/>
  <c r="N183" i="2" s="1"/>
  <c r="O183" i="2" s="1"/>
  <c r="I183" i="1"/>
  <c r="P183" i="2" s="1"/>
  <c r="Q183" i="2" s="1"/>
  <c r="C165" i="9" s="1"/>
  <c r="J183" i="1"/>
  <c r="R183" i="2" s="1"/>
  <c r="S183" i="2" s="1"/>
  <c r="K183" i="1"/>
  <c r="T183" i="2" s="1"/>
  <c r="U183" i="2" s="1"/>
  <c r="L183" i="1"/>
  <c r="V183" i="2" s="1"/>
  <c r="W183" i="2" s="1"/>
  <c r="Q183" i="1"/>
  <c r="AB183" i="2" s="1"/>
  <c r="B184" i="1"/>
  <c r="B184" i="2" s="1"/>
  <c r="C184" i="2" s="1"/>
  <c r="C184" i="1"/>
  <c r="D184" i="2" s="1"/>
  <c r="E184" i="2" s="1"/>
  <c r="D184" i="1"/>
  <c r="F184" i="2" s="1"/>
  <c r="G184" i="2" s="1"/>
  <c r="E184" i="1"/>
  <c r="H184" i="2" s="1"/>
  <c r="I184" i="2" s="1"/>
  <c r="D166" i="9" s="1"/>
  <c r="F184" i="1"/>
  <c r="J184" i="2" s="1"/>
  <c r="K184" i="2" s="1"/>
  <c r="G184" i="1"/>
  <c r="L184" i="2" s="1"/>
  <c r="M184" i="2" s="1"/>
  <c r="H184" i="1"/>
  <c r="N184" i="2" s="1"/>
  <c r="O184" i="2" s="1"/>
  <c r="I184" i="1"/>
  <c r="P184" i="2" s="1"/>
  <c r="Q184" i="2" s="1"/>
  <c r="C166" i="9" s="1"/>
  <c r="J184" i="1"/>
  <c r="R184" i="2" s="1"/>
  <c r="S184" i="2" s="1"/>
  <c r="K184" i="1"/>
  <c r="T184" i="2" s="1"/>
  <c r="U184" i="2" s="1"/>
  <c r="L184" i="1"/>
  <c r="V184" i="2" s="1"/>
  <c r="W184" i="2" s="1"/>
  <c r="Q184" i="1"/>
  <c r="AB184" i="2" s="1"/>
  <c r="B185" i="1"/>
  <c r="B185" i="2" s="1"/>
  <c r="C185" i="2" s="1"/>
  <c r="C185" i="1"/>
  <c r="D185" i="2" s="1"/>
  <c r="E185" i="2" s="1"/>
  <c r="D185" i="1"/>
  <c r="F185" i="2" s="1"/>
  <c r="G185" i="2" s="1"/>
  <c r="E185" i="1"/>
  <c r="H185" i="2" s="1"/>
  <c r="I185" i="2" s="1"/>
  <c r="D167" i="9" s="1"/>
  <c r="F185" i="1"/>
  <c r="J185" i="2" s="1"/>
  <c r="K185" i="2" s="1"/>
  <c r="G185" i="1"/>
  <c r="L185" i="2" s="1"/>
  <c r="M185" i="2" s="1"/>
  <c r="H185" i="1"/>
  <c r="N185" i="2" s="1"/>
  <c r="O185" i="2" s="1"/>
  <c r="I185" i="1"/>
  <c r="P185" i="2" s="1"/>
  <c r="Q185" i="2" s="1"/>
  <c r="C167" i="9" s="1"/>
  <c r="J185" i="1"/>
  <c r="R185" i="2" s="1"/>
  <c r="S185" i="2" s="1"/>
  <c r="K185" i="1"/>
  <c r="T185" i="2" s="1"/>
  <c r="U185" i="2" s="1"/>
  <c r="L185" i="1"/>
  <c r="V185" i="2" s="1"/>
  <c r="W185" i="2" s="1"/>
  <c r="Q185" i="1"/>
  <c r="AB185" i="2" s="1"/>
  <c r="B186" i="1"/>
  <c r="B186" i="2" s="1"/>
  <c r="C186" i="2" s="1"/>
  <c r="C186" i="1"/>
  <c r="D186" i="2" s="1"/>
  <c r="E186" i="2" s="1"/>
  <c r="D186" i="1"/>
  <c r="F186" i="2" s="1"/>
  <c r="G186" i="2" s="1"/>
  <c r="E186" i="1"/>
  <c r="H186" i="2" s="1"/>
  <c r="I186" i="2" s="1"/>
  <c r="D168" i="9" s="1"/>
  <c r="F186" i="1"/>
  <c r="J186" i="2" s="1"/>
  <c r="K186" i="2" s="1"/>
  <c r="G186" i="1"/>
  <c r="L186" i="2" s="1"/>
  <c r="M186" i="2" s="1"/>
  <c r="H186" i="1"/>
  <c r="N186" i="2" s="1"/>
  <c r="O186" i="2" s="1"/>
  <c r="I186" i="1"/>
  <c r="P186" i="2" s="1"/>
  <c r="Q186" i="2" s="1"/>
  <c r="C168" i="9" s="1"/>
  <c r="J186" i="1"/>
  <c r="R186" i="2" s="1"/>
  <c r="S186" i="2" s="1"/>
  <c r="K186" i="1"/>
  <c r="T186" i="2" s="1"/>
  <c r="U186" i="2" s="1"/>
  <c r="L186" i="1"/>
  <c r="V186" i="2" s="1"/>
  <c r="W186" i="2" s="1"/>
  <c r="Q186" i="1"/>
  <c r="AB186" i="2" s="1"/>
  <c r="B187" i="1"/>
  <c r="B187" i="2" s="1"/>
  <c r="C187" i="2" s="1"/>
  <c r="C187" i="1"/>
  <c r="D187" i="2" s="1"/>
  <c r="E187" i="2" s="1"/>
  <c r="D187" i="1"/>
  <c r="F187" i="2" s="1"/>
  <c r="G187" i="2" s="1"/>
  <c r="E187" i="1"/>
  <c r="H187" i="2" s="1"/>
  <c r="I187" i="2" s="1"/>
  <c r="D169" i="9" s="1"/>
  <c r="F187" i="1"/>
  <c r="J187" i="2" s="1"/>
  <c r="K187" i="2" s="1"/>
  <c r="G187" i="1"/>
  <c r="L187" i="2" s="1"/>
  <c r="M187" i="2" s="1"/>
  <c r="H187" i="1"/>
  <c r="N187" i="2" s="1"/>
  <c r="O187" i="2" s="1"/>
  <c r="I187" i="1"/>
  <c r="P187" i="2" s="1"/>
  <c r="Q187" i="2" s="1"/>
  <c r="C169" i="9" s="1"/>
  <c r="J187" i="1"/>
  <c r="R187" i="2" s="1"/>
  <c r="S187" i="2" s="1"/>
  <c r="K187" i="1"/>
  <c r="T187" i="2" s="1"/>
  <c r="U187" i="2" s="1"/>
  <c r="L187" i="1"/>
  <c r="V187" i="2" s="1"/>
  <c r="W187" i="2" s="1"/>
  <c r="Q187" i="1"/>
  <c r="AB187" i="2" s="1"/>
  <c r="B188" i="1"/>
  <c r="B188" i="2" s="1"/>
  <c r="C188" i="2" s="1"/>
  <c r="C188" i="1"/>
  <c r="D188" i="2" s="1"/>
  <c r="E188" i="2" s="1"/>
  <c r="D188" i="1"/>
  <c r="F188" i="2" s="1"/>
  <c r="G188" i="2" s="1"/>
  <c r="E188" i="1"/>
  <c r="H188" i="2" s="1"/>
  <c r="I188" i="2" s="1"/>
  <c r="D170" i="9" s="1"/>
  <c r="F188" i="1"/>
  <c r="J188" i="2" s="1"/>
  <c r="K188" i="2" s="1"/>
  <c r="G188" i="1"/>
  <c r="L188" i="2" s="1"/>
  <c r="M188" i="2" s="1"/>
  <c r="H188" i="1"/>
  <c r="N188" i="2" s="1"/>
  <c r="O188" i="2" s="1"/>
  <c r="I188" i="1"/>
  <c r="P188" i="2" s="1"/>
  <c r="Q188" i="2" s="1"/>
  <c r="C170" i="9" s="1"/>
  <c r="J188" i="1"/>
  <c r="R188" i="2" s="1"/>
  <c r="S188" i="2" s="1"/>
  <c r="K188" i="1"/>
  <c r="T188" i="2" s="1"/>
  <c r="U188" i="2" s="1"/>
  <c r="L188" i="1"/>
  <c r="V188" i="2" s="1"/>
  <c r="W188" i="2" s="1"/>
  <c r="Q188" i="1"/>
  <c r="AB188" i="2" s="1"/>
  <c r="B189" i="1"/>
  <c r="B189" i="2" s="1"/>
  <c r="C189" i="2" s="1"/>
  <c r="C189" i="1"/>
  <c r="D189" i="2" s="1"/>
  <c r="E189" i="2" s="1"/>
  <c r="D189" i="1"/>
  <c r="F189" i="2" s="1"/>
  <c r="G189" i="2" s="1"/>
  <c r="E189" i="1"/>
  <c r="H189" i="2" s="1"/>
  <c r="I189" i="2" s="1"/>
  <c r="D171" i="9" s="1"/>
  <c r="F189" i="1"/>
  <c r="J189" i="2" s="1"/>
  <c r="K189" i="2" s="1"/>
  <c r="G189" i="1"/>
  <c r="L189" i="2" s="1"/>
  <c r="M189" i="2" s="1"/>
  <c r="H189" i="1"/>
  <c r="N189" i="2" s="1"/>
  <c r="O189" i="2" s="1"/>
  <c r="I189" i="1"/>
  <c r="P189" i="2" s="1"/>
  <c r="Q189" i="2" s="1"/>
  <c r="C171" i="9" s="1"/>
  <c r="J189" i="1"/>
  <c r="R189" i="2" s="1"/>
  <c r="S189" i="2" s="1"/>
  <c r="K189" i="1"/>
  <c r="T189" i="2" s="1"/>
  <c r="U189" i="2" s="1"/>
  <c r="L189" i="1"/>
  <c r="V189" i="2" s="1"/>
  <c r="W189" i="2" s="1"/>
  <c r="Q189" i="1"/>
  <c r="AB189" i="2" s="1"/>
  <c r="B190" i="1"/>
  <c r="B190" i="2" s="1"/>
  <c r="C190" i="2" s="1"/>
  <c r="C190" i="1"/>
  <c r="D190" i="2" s="1"/>
  <c r="E190" i="2" s="1"/>
  <c r="D190" i="1"/>
  <c r="F190" i="2" s="1"/>
  <c r="G190" i="2" s="1"/>
  <c r="E190" i="1"/>
  <c r="H190" i="2" s="1"/>
  <c r="I190" i="2" s="1"/>
  <c r="D172" i="9" s="1"/>
  <c r="F190" i="1"/>
  <c r="J190" i="2" s="1"/>
  <c r="K190" i="2" s="1"/>
  <c r="G190" i="1"/>
  <c r="L190" i="2" s="1"/>
  <c r="M190" i="2" s="1"/>
  <c r="H190" i="1"/>
  <c r="N190" i="2" s="1"/>
  <c r="O190" i="2" s="1"/>
  <c r="I190" i="1"/>
  <c r="P190" i="2" s="1"/>
  <c r="Q190" i="2" s="1"/>
  <c r="C172" i="9" s="1"/>
  <c r="J190" i="1"/>
  <c r="R190" i="2" s="1"/>
  <c r="S190" i="2" s="1"/>
  <c r="K190" i="1"/>
  <c r="T190" i="2" s="1"/>
  <c r="U190" i="2" s="1"/>
  <c r="L190" i="1"/>
  <c r="V190" i="2" s="1"/>
  <c r="W190" i="2" s="1"/>
  <c r="Q190" i="1"/>
  <c r="AB190" i="2" s="1"/>
  <c r="B191" i="1"/>
  <c r="B191" i="2" s="1"/>
  <c r="C191" i="2" s="1"/>
  <c r="C191" i="1"/>
  <c r="D191" i="2" s="1"/>
  <c r="E191" i="2" s="1"/>
  <c r="D191" i="1"/>
  <c r="F191" i="2" s="1"/>
  <c r="G191" i="2" s="1"/>
  <c r="E191" i="1"/>
  <c r="H191" i="2" s="1"/>
  <c r="I191" i="2" s="1"/>
  <c r="D173" i="9" s="1"/>
  <c r="F191" i="1"/>
  <c r="J191" i="2" s="1"/>
  <c r="K191" i="2" s="1"/>
  <c r="G191" i="1"/>
  <c r="L191" i="2" s="1"/>
  <c r="M191" i="2" s="1"/>
  <c r="H191" i="1"/>
  <c r="N191" i="2" s="1"/>
  <c r="O191" i="2" s="1"/>
  <c r="I191" i="1"/>
  <c r="P191" i="2" s="1"/>
  <c r="Q191" i="2" s="1"/>
  <c r="C173" i="9" s="1"/>
  <c r="J191" i="1"/>
  <c r="R191" i="2" s="1"/>
  <c r="S191" i="2" s="1"/>
  <c r="K191" i="1"/>
  <c r="T191" i="2" s="1"/>
  <c r="U191" i="2" s="1"/>
  <c r="L191" i="1"/>
  <c r="V191" i="2" s="1"/>
  <c r="W191" i="2" s="1"/>
  <c r="Q191" i="1"/>
  <c r="AB191" i="2" s="1"/>
  <c r="B192" i="1"/>
  <c r="B192" i="2" s="1"/>
  <c r="C192" i="2" s="1"/>
  <c r="C192" i="1"/>
  <c r="D192" i="2" s="1"/>
  <c r="E192" i="2" s="1"/>
  <c r="D192" i="1"/>
  <c r="F192" i="2" s="1"/>
  <c r="G192" i="2" s="1"/>
  <c r="E192" i="1"/>
  <c r="H192" i="2" s="1"/>
  <c r="I192" i="2" s="1"/>
  <c r="D174" i="9" s="1"/>
  <c r="F192" i="1"/>
  <c r="J192" i="2" s="1"/>
  <c r="K192" i="2" s="1"/>
  <c r="G192" i="1"/>
  <c r="L192" i="2" s="1"/>
  <c r="M192" i="2" s="1"/>
  <c r="H192" i="1"/>
  <c r="N192" i="2" s="1"/>
  <c r="O192" i="2" s="1"/>
  <c r="I192" i="1"/>
  <c r="P192" i="2" s="1"/>
  <c r="Q192" i="2" s="1"/>
  <c r="C174" i="9" s="1"/>
  <c r="J192" i="1"/>
  <c r="R192" i="2" s="1"/>
  <c r="S192" i="2" s="1"/>
  <c r="K192" i="1"/>
  <c r="T192" i="2" s="1"/>
  <c r="U192" i="2" s="1"/>
  <c r="L192" i="1"/>
  <c r="V192" i="2" s="1"/>
  <c r="W192" i="2" s="1"/>
  <c r="Q192" i="1"/>
  <c r="AB192" i="2" s="1"/>
  <c r="B193" i="1"/>
  <c r="B193" i="2" s="1"/>
  <c r="C193" i="2" s="1"/>
  <c r="C193" i="1"/>
  <c r="D193" i="2" s="1"/>
  <c r="E193" i="2" s="1"/>
  <c r="D193" i="1"/>
  <c r="F193" i="2" s="1"/>
  <c r="G193" i="2" s="1"/>
  <c r="E193" i="1"/>
  <c r="H193" i="2" s="1"/>
  <c r="I193" i="2" s="1"/>
  <c r="D175" i="9" s="1"/>
  <c r="F193" i="1"/>
  <c r="J193" i="2" s="1"/>
  <c r="K193" i="2" s="1"/>
  <c r="G193" i="1"/>
  <c r="L193" i="2" s="1"/>
  <c r="M193" i="2" s="1"/>
  <c r="H193" i="1"/>
  <c r="N193" i="2" s="1"/>
  <c r="O193" i="2" s="1"/>
  <c r="I193" i="1"/>
  <c r="P193" i="2" s="1"/>
  <c r="Q193" i="2" s="1"/>
  <c r="C175" i="9" s="1"/>
  <c r="J193" i="1"/>
  <c r="R193" i="2" s="1"/>
  <c r="S193" i="2" s="1"/>
  <c r="K193" i="1"/>
  <c r="T193" i="2" s="1"/>
  <c r="U193" i="2" s="1"/>
  <c r="L193" i="1"/>
  <c r="V193" i="2" s="1"/>
  <c r="W193" i="2" s="1"/>
  <c r="Q193" i="1"/>
  <c r="AB193" i="2" s="1"/>
  <c r="B194" i="1"/>
  <c r="B194" i="2" s="1"/>
  <c r="C194" i="2" s="1"/>
  <c r="C194" i="1"/>
  <c r="D194" i="2" s="1"/>
  <c r="E194" i="2" s="1"/>
  <c r="D194" i="1"/>
  <c r="F194" i="2" s="1"/>
  <c r="G194" i="2" s="1"/>
  <c r="E194" i="1"/>
  <c r="H194" i="2" s="1"/>
  <c r="I194" i="2" s="1"/>
  <c r="D176" i="9" s="1"/>
  <c r="F194" i="1"/>
  <c r="J194" i="2" s="1"/>
  <c r="K194" i="2" s="1"/>
  <c r="G194" i="1"/>
  <c r="L194" i="2" s="1"/>
  <c r="M194" i="2" s="1"/>
  <c r="H194" i="1"/>
  <c r="N194" i="2" s="1"/>
  <c r="O194" i="2" s="1"/>
  <c r="I194" i="1"/>
  <c r="P194" i="2" s="1"/>
  <c r="Q194" i="2" s="1"/>
  <c r="C176" i="9" s="1"/>
  <c r="J194" i="1"/>
  <c r="R194" i="2" s="1"/>
  <c r="S194" i="2" s="1"/>
  <c r="K194" i="1"/>
  <c r="T194" i="2" s="1"/>
  <c r="U194" i="2" s="1"/>
  <c r="L194" i="1"/>
  <c r="V194" i="2" s="1"/>
  <c r="W194" i="2" s="1"/>
  <c r="Q194" i="1"/>
  <c r="AB194" i="2" s="1"/>
  <c r="B195" i="1"/>
  <c r="B195" i="2" s="1"/>
  <c r="C195" i="2" s="1"/>
  <c r="C195" i="1"/>
  <c r="D195" i="2" s="1"/>
  <c r="E195" i="2" s="1"/>
  <c r="D195" i="1"/>
  <c r="F195" i="2" s="1"/>
  <c r="G195" i="2" s="1"/>
  <c r="E195" i="1"/>
  <c r="H195" i="2" s="1"/>
  <c r="I195" i="2" s="1"/>
  <c r="D177" i="9" s="1"/>
  <c r="F195" i="1"/>
  <c r="J195" i="2" s="1"/>
  <c r="K195" i="2" s="1"/>
  <c r="G195" i="1"/>
  <c r="L195" i="2" s="1"/>
  <c r="M195" i="2" s="1"/>
  <c r="H195" i="1"/>
  <c r="N195" i="2" s="1"/>
  <c r="O195" i="2" s="1"/>
  <c r="I195" i="1"/>
  <c r="P195" i="2" s="1"/>
  <c r="Q195" i="2" s="1"/>
  <c r="C177" i="9" s="1"/>
  <c r="J195" i="1"/>
  <c r="R195" i="2" s="1"/>
  <c r="S195" i="2" s="1"/>
  <c r="K195" i="1"/>
  <c r="T195" i="2" s="1"/>
  <c r="U195" i="2" s="1"/>
  <c r="L195" i="1"/>
  <c r="V195" i="2" s="1"/>
  <c r="W195" i="2" s="1"/>
  <c r="Q195" i="1"/>
  <c r="AB195" i="2" s="1"/>
  <c r="B196" i="1"/>
  <c r="B196" i="2" s="1"/>
  <c r="C196" i="2" s="1"/>
  <c r="C196" i="1"/>
  <c r="D196" i="2" s="1"/>
  <c r="E196" i="2" s="1"/>
  <c r="D196" i="1"/>
  <c r="F196" i="2" s="1"/>
  <c r="G196" i="2" s="1"/>
  <c r="E196" i="1"/>
  <c r="H196" i="2" s="1"/>
  <c r="I196" i="2" s="1"/>
  <c r="D178" i="9" s="1"/>
  <c r="F196" i="1"/>
  <c r="J196" i="2" s="1"/>
  <c r="K196" i="2" s="1"/>
  <c r="G196" i="1"/>
  <c r="L196" i="2" s="1"/>
  <c r="M196" i="2" s="1"/>
  <c r="H196" i="1"/>
  <c r="N196" i="2" s="1"/>
  <c r="O196" i="2" s="1"/>
  <c r="I196" i="1"/>
  <c r="P196" i="2" s="1"/>
  <c r="Q196" i="2" s="1"/>
  <c r="C178" i="9" s="1"/>
  <c r="J196" i="1"/>
  <c r="R196" i="2" s="1"/>
  <c r="S196" i="2" s="1"/>
  <c r="K196" i="1"/>
  <c r="T196" i="2" s="1"/>
  <c r="U196" i="2" s="1"/>
  <c r="L196" i="1"/>
  <c r="V196" i="2" s="1"/>
  <c r="W196" i="2" s="1"/>
  <c r="Q196" i="1"/>
  <c r="AB196" i="2" s="1"/>
  <c r="B197" i="1"/>
  <c r="B197" i="2" s="1"/>
  <c r="C197" i="2" s="1"/>
  <c r="C197" i="1"/>
  <c r="D197" i="2" s="1"/>
  <c r="E197" i="2" s="1"/>
  <c r="D197" i="1"/>
  <c r="F197" i="2" s="1"/>
  <c r="G197" i="2" s="1"/>
  <c r="E197" i="1"/>
  <c r="H197" i="2" s="1"/>
  <c r="I197" i="2" s="1"/>
  <c r="D179" i="9" s="1"/>
  <c r="F197" i="1"/>
  <c r="J197" i="2" s="1"/>
  <c r="K197" i="2" s="1"/>
  <c r="G197" i="1"/>
  <c r="L197" i="2" s="1"/>
  <c r="M197" i="2" s="1"/>
  <c r="H197" i="1"/>
  <c r="N197" i="2" s="1"/>
  <c r="O197" i="2" s="1"/>
  <c r="I197" i="1"/>
  <c r="P197" i="2" s="1"/>
  <c r="Q197" i="2" s="1"/>
  <c r="C179" i="9" s="1"/>
  <c r="J197" i="1"/>
  <c r="R197" i="2" s="1"/>
  <c r="S197" i="2" s="1"/>
  <c r="K197" i="1"/>
  <c r="T197" i="2" s="1"/>
  <c r="U197" i="2" s="1"/>
  <c r="L197" i="1"/>
  <c r="V197" i="2" s="1"/>
  <c r="W197" i="2" s="1"/>
  <c r="Q197" i="1"/>
  <c r="AB197" i="2" s="1"/>
  <c r="B198" i="1"/>
  <c r="B198" i="2" s="1"/>
  <c r="C198" i="2" s="1"/>
  <c r="C198" i="1"/>
  <c r="D198" i="2" s="1"/>
  <c r="E198" i="2" s="1"/>
  <c r="D198" i="1"/>
  <c r="F198" i="2" s="1"/>
  <c r="G198" i="2" s="1"/>
  <c r="E198" i="1"/>
  <c r="H198" i="2" s="1"/>
  <c r="I198" i="2" s="1"/>
  <c r="D180" i="9" s="1"/>
  <c r="F198" i="1"/>
  <c r="J198" i="2" s="1"/>
  <c r="K198" i="2" s="1"/>
  <c r="G198" i="1"/>
  <c r="L198" i="2" s="1"/>
  <c r="M198" i="2" s="1"/>
  <c r="H198" i="1"/>
  <c r="N198" i="2" s="1"/>
  <c r="O198" i="2" s="1"/>
  <c r="I198" i="1"/>
  <c r="P198" i="2" s="1"/>
  <c r="Q198" i="2" s="1"/>
  <c r="C180" i="9" s="1"/>
  <c r="J198" i="1"/>
  <c r="R198" i="2" s="1"/>
  <c r="S198" i="2" s="1"/>
  <c r="K198" i="1"/>
  <c r="T198" i="2" s="1"/>
  <c r="U198" i="2" s="1"/>
  <c r="L198" i="1"/>
  <c r="V198" i="2" s="1"/>
  <c r="W198" i="2" s="1"/>
  <c r="Q198" i="1"/>
  <c r="AB198" i="2" s="1"/>
  <c r="B199" i="1"/>
  <c r="B199" i="2" s="1"/>
  <c r="C199" i="2" s="1"/>
  <c r="C199" i="1"/>
  <c r="D199" i="2" s="1"/>
  <c r="E199" i="2" s="1"/>
  <c r="D199" i="1"/>
  <c r="F199" i="2" s="1"/>
  <c r="G199" i="2" s="1"/>
  <c r="E199" i="1"/>
  <c r="H199" i="2" s="1"/>
  <c r="I199" i="2" s="1"/>
  <c r="D181" i="9" s="1"/>
  <c r="F199" i="1"/>
  <c r="J199" i="2" s="1"/>
  <c r="K199" i="2" s="1"/>
  <c r="G199" i="1"/>
  <c r="L199" i="2" s="1"/>
  <c r="M199" i="2" s="1"/>
  <c r="H199" i="1"/>
  <c r="N199" i="2" s="1"/>
  <c r="O199" i="2" s="1"/>
  <c r="I199" i="1"/>
  <c r="P199" i="2" s="1"/>
  <c r="Q199" i="2" s="1"/>
  <c r="C181" i="9" s="1"/>
  <c r="J199" i="1"/>
  <c r="R199" i="2" s="1"/>
  <c r="S199" i="2" s="1"/>
  <c r="K199" i="1"/>
  <c r="T199" i="2" s="1"/>
  <c r="U199" i="2" s="1"/>
  <c r="L199" i="1"/>
  <c r="V199" i="2" s="1"/>
  <c r="W199" i="2" s="1"/>
  <c r="Q199" i="1"/>
  <c r="AB199" i="2" s="1"/>
  <c r="B200" i="1"/>
  <c r="B200" i="2" s="1"/>
  <c r="C200" i="2" s="1"/>
  <c r="C200" i="1"/>
  <c r="D200" i="2" s="1"/>
  <c r="E200" i="2" s="1"/>
  <c r="D200" i="1"/>
  <c r="F200" i="2" s="1"/>
  <c r="G200" i="2" s="1"/>
  <c r="E200" i="1"/>
  <c r="H200" i="2" s="1"/>
  <c r="I200" i="2" s="1"/>
  <c r="D182" i="9" s="1"/>
  <c r="F200" i="1"/>
  <c r="J200" i="2" s="1"/>
  <c r="K200" i="2" s="1"/>
  <c r="G200" i="1"/>
  <c r="L200" i="2" s="1"/>
  <c r="M200" i="2" s="1"/>
  <c r="H200" i="1"/>
  <c r="N200" i="2" s="1"/>
  <c r="O200" i="2" s="1"/>
  <c r="I200" i="1"/>
  <c r="P200" i="2" s="1"/>
  <c r="Q200" i="2" s="1"/>
  <c r="C182" i="9" s="1"/>
  <c r="J200" i="1"/>
  <c r="R200" i="2" s="1"/>
  <c r="S200" i="2" s="1"/>
  <c r="K200" i="1"/>
  <c r="T200" i="2" s="1"/>
  <c r="U200" i="2" s="1"/>
  <c r="L200" i="1"/>
  <c r="V200" i="2" s="1"/>
  <c r="W200" i="2" s="1"/>
  <c r="Q200" i="1"/>
  <c r="AB200" i="2" s="1"/>
  <c r="B201" i="1"/>
  <c r="B201" i="2" s="1"/>
  <c r="C201" i="2" s="1"/>
  <c r="C201" i="1"/>
  <c r="D201" i="2" s="1"/>
  <c r="E201" i="2" s="1"/>
  <c r="D201" i="1"/>
  <c r="F201" i="2" s="1"/>
  <c r="G201" i="2" s="1"/>
  <c r="E201" i="1"/>
  <c r="H201" i="2" s="1"/>
  <c r="I201" i="2" s="1"/>
  <c r="D183" i="9" s="1"/>
  <c r="F201" i="1"/>
  <c r="J201" i="2" s="1"/>
  <c r="K201" i="2" s="1"/>
  <c r="G201" i="1"/>
  <c r="L201" i="2" s="1"/>
  <c r="M201" i="2" s="1"/>
  <c r="H201" i="1"/>
  <c r="N201" i="2" s="1"/>
  <c r="O201" i="2" s="1"/>
  <c r="I201" i="1"/>
  <c r="P201" i="2" s="1"/>
  <c r="Q201" i="2" s="1"/>
  <c r="C183" i="9" s="1"/>
  <c r="J201" i="1"/>
  <c r="R201" i="2" s="1"/>
  <c r="S201" i="2" s="1"/>
  <c r="K201" i="1"/>
  <c r="T201" i="2" s="1"/>
  <c r="U201" i="2" s="1"/>
  <c r="L201" i="1"/>
  <c r="V201" i="2" s="1"/>
  <c r="W201" i="2" s="1"/>
  <c r="Q201" i="1"/>
  <c r="AB201" i="2" s="1"/>
  <c r="B202" i="1"/>
  <c r="B202" i="2" s="1"/>
  <c r="C202" i="2" s="1"/>
  <c r="C202" i="1"/>
  <c r="D202" i="2" s="1"/>
  <c r="E202" i="2" s="1"/>
  <c r="D202" i="1"/>
  <c r="F202" i="2" s="1"/>
  <c r="G202" i="2" s="1"/>
  <c r="E202" i="1"/>
  <c r="H202" i="2" s="1"/>
  <c r="I202" i="2" s="1"/>
  <c r="D184" i="9" s="1"/>
  <c r="F202" i="1"/>
  <c r="J202" i="2" s="1"/>
  <c r="K202" i="2" s="1"/>
  <c r="G202" i="1"/>
  <c r="L202" i="2" s="1"/>
  <c r="M202" i="2" s="1"/>
  <c r="H202" i="1"/>
  <c r="N202" i="2" s="1"/>
  <c r="O202" i="2" s="1"/>
  <c r="I202" i="1"/>
  <c r="P202" i="2" s="1"/>
  <c r="Q202" i="2" s="1"/>
  <c r="C184" i="9" s="1"/>
  <c r="J202" i="1"/>
  <c r="R202" i="2" s="1"/>
  <c r="S202" i="2" s="1"/>
  <c r="K202" i="1"/>
  <c r="T202" i="2" s="1"/>
  <c r="U202" i="2" s="1"/>
  <c r="L202" i="1"/>
  <c r="V202" i="2" s="1"/>
  <c r="W202" i="2" s="1"/>
  <c r="Q202" i="1"/>
  <c r="AB202" i="2" s="1"/>
  <c r="B203" i="1"/>
  <c r="B203" i="2" s="1"/>
  <c r="C203" i="2" s="1"/>
  <c r="C203" i="1"/>
  <c r="D203" i="2" s="1"/>
  <c r="E203" i="2" s="1"/>
  <c r="D203" i="1"/>
  <c r="F203" i="2" s="1"/>
  <c r="G203" i="2" s="1"/>
  <c r="E203" i="1"/>
  <c r="H203" i="2" s="1"/>
  <c r="I203" i="2" s="1"/>
  <c r="D185" i="9" s="1"/>
  <c r="F203" i="1"/>
  <c r="J203" i="2" s="1"/>
  <c r="K203" i="2" s="1"/>
  <c r="G203" i="1"/>
  <c r="L203" i="2" s="1"/>
  <c r="M203" i="2" s="1"/>
  <c r="H203" i="1"/>
  <c r="N203" i="2" s="1"/>
  <c r="O203" i="2" s="1"/>
  <c r="I203" i="1"/>
  <c r="P203" i="2" s="1"/>
  <c r="Q203" i="2" s="1"/>
  <c r="C185" i="9" s="1"/>
  <c r="J203" i="1"/>
  <c r="R203" i="2" s="1"/>
  <c r="S203" i="2" s="1"/>
  <c r="K203" i="1"/>
  <c r="T203" i="2" s="1"/>
  <c r="U203" i="2" s="1"/>
  <c r="L203" i="1"/>
  <c r="V203" i="2" s="1"/>
  <c r="W203" i="2" s="1"/>
  <c r="Q203" i="1"/>
  <c r="AB203" i="2" s="1"/>
  <c r="B204" i="1"/>
  <c r="B204" i="2" s="1"/>
  <c r="C204" i="2" s="1"/>
  <c r="C204" i="1"/>
  <c r="D204" i="2" s="1"/>
  <c r="E204" i="2" s="1"/>
  <c r="D204" i="1"/>
  <c r="F204" i="2" s="1"/>
  <c r="G204" i="2" s="1"/>
  <c r="E204" i="1"/>
  <c r="H204" i="2" s="1"/>
  <c r="I204" i="2" s="1"/>
  <c r="D186" i="9" s="1"/>
  <c r="F204" i="1"/>
  <c r="J204" i="2" s="1"/>
  <c r="K204" i="2" s="1"/>
  <c r="G204" i="1"/>
  <c r="L204" i="2" s="1"/>
  <c r="M204" i="2" s="1"/>
  <c r="H204" i="1"/>
  <c r="N204" i="2" s="1"/>
  <c r="O204" i="2" s="1"/>
  <c r="I204" i="1"/>
  <c r="P204" i="2" s="1"/>
  <c r="Q204" i="2" s="1"/>
  <c r="C186" i="9" s="1"/>
  <c r="J204" i="1"/>
  <c r="R204" i="2" s="1"/>
  <c r="S204" i="2" s="1"/>
  <c r="K204" i="1"/>
  <c r="T204" i="2" s="1"/>
  <c r="U204" i="2" s="1"/>
  <c r="L204" i="1"/>
  <c r="V204" i="2" s="1"/>
  <c r="W204" i="2" s="1"/>
  <c r="Q204" i="1"/>
  <c r="AB204" i="2" s="1"/>
  <c r="B205" i="1"/>
  <c r="B205" i="2" s="1"/>
  <c r="C205" i="2" s="1"/>
  <c r="C205" i="1"/>
  <c r="D205" i="2" s="1"/>
  <c r="E205" i="2" s="1"/>
  <c r="D205" i="1"/>
  <c r="F205" i="2" s="1"/>
  <c r="G205" i="2" s="1"/>
  <c r="E205" i="1"/>
  <c r="H205" i="2" s="1"/>
  <c r="I205" i="2" s="1"/>
  <c r="D187" i="9" s="1"/>
  <c r="F205" i="1"/>
  <c r="J205" i="2" s="1"/>
  <c r="K205" i="2" s="1"/>
  <c r="G205" i="1"/>
  <c r="L205" i="2" s="1"/>
  <c r="M205" i="2" s="1"/>
  <c r="H205" i="1"/>
  <c r="N205" i="2" s="1"/>
  <c r="O205" i="2" s="1"/>
  <c r="I205" i="1"/>
  <c r="P205" i="2" s="1"/>
  <c r="Q205" i="2" s="1"/>
  <c r="C187" i="9" s="1"/>
  <c r="J205" i="1"/>
  <c r="R205" i="2" s="1"/>
  <c r="S205" i="2" s="1"/>
  <c r="K205" i="1"/>
  <c r="T205" i="2" s="1"/>
  <c r="U205" i="2" s="1"/>
  <c r="L205" i="1"/>
  <c r="V205" i="2" s="1"/>
  <c r="W205" i="2" s="1"/>
  <c r="Q205" i="1"/>
  <c r="AB205" i="2" s="1"/>
  <c r="B206" i="1"/>
  <c r="B206" i="2" s="1"/>
  <c r="C206" i="2" s="1"/>
  <c r="C206" i="1"/>
  <c r="D206" i="2" s="1"/>
  <c r="E206" i="2" s="1"/>
  <c r="D206" i="1"/>
  <c r="F206" i="2" s="1"/>
  <c r="G206" i="2" s="1"/>
  <c r="E206" i="1"/>
  <c r="H206" i="2" s="1"/>
  <c r="I206" i="2" s="1"/>
  <c r="D188" i="9" s="1"/>
  <c r="F206" i="1"/>
  <c r="J206" i="2" s="1"/>
  <c r="K206" i="2" s="1"/>
  <c r="G206" i="1"/>
  <c r="L206" i="2" s="1"/>
  <c r="M206" i="2" s="1"/>
  <c r="H206" i="1"/>
  <c r="N206" i="2" s="1"/>
  <c r="O206" i="2" s="1"/>
  <c r="I206" i="1"/>
  <c r="P206" i="2" s="1"/>
  <c r="Q206" i="2" s="1"/>
  <c r="C188" i="9" s="1"/>
  <c r="J206" i="1"/>
  <c r="R206" i="2" s="1"/>
  <c r="S206" i="2" s="1"/>
  <c r="K206" i="1"/>
  <c r="T206" i="2" s="1"/>
  <c r="U206" i="2" s="1"/>
  <c r="L206" i="1"/>
  <c r="V206" i="2" s="1"/>
  <c r="W206" i="2" s="1"/>
  <c r="Q206" i="1"/>
  <c r="AB206" i="2" s="1"/>
  <c r="B207" i="1"/>
  <c r="B207" i="2" s="1"/>
  <c r="C207" i="2" s="1"/>
  <c r="C207" i="1"/>
  <c r="D207" i="2" s="1"/>
  <c r="E207" i="2" s="1"/>
  <c r="D207" i="1"/>
  <c r="F207" i="2" s="1"/>
  <c r="G207" i="2" s="1"/>
  <c r="E207" i="1"/>
  <c r="H207" i="2" s="1"/>
  <c r="I207" i="2" s="1"/>
  <c r="D189" i="9" s="1"/>
  <c r="F207" i="1"/>
  <c r="J207" i="2" s="1"/>
  <c r="K207" i="2" s="1"/>
  <c r="G207" i="1"/>
  <c r="L207" i="2" s="1"/>
  <c r="M207" i="2" s="1"/>
  <c r="H207" i="1"/>
  <c r="N207" i="2" s="1"/>
  <c r="O207" i="2" s="1"/>
  <c r="I207" i="1"/>
  <c r="P207" i="2" s="1"/>
  <c r="Q207" i="2" s="1"/>
  <c r="C189" i="9" s="1"/>
  <c r="J207" i="1"/>
  <c r="R207" i="2" s="1"/>
  <c r="S207" i="2" s="1"/>
  <c r="K207" i="1"/>
  <c r="T207" i="2" s="1"/>
  <c r="U207" i="2" s="1"/>
  <c r="L207" i="1"/>
  <c r="V207" i="2" s="1"/>
  <c r="W207" i="2" s="1"/>
  <c r="Q207" i="1"/>
  <c r="AB207" i="2" s="1"/>
  <c r="B208" i="1"/>
  <c r="B208" i="2" s="1"/>
  <c r="C208" i="2" s="1"/>
  <c r="C208" i="1"/>
  <c r="D208" i="2" s="1"/>
  <c r="E208" i="2" s="1"/>
  <c r="D208" i="1"/>
  <c r="F208" i="2" s="1"/>
  <c r="G208" i="2" s="1"/>
  <c r="E208" i="1"/>
  <c r="H208" i="2" s="1"/>
  <c r="I208" i="2" s="1"/>
  <c r="D190" i="9" s="1"/>
  <c r="F208" i="1"/>
  <c r="J208" i="2" s="1"/>
  <c r="K208" i="2" s="1"/>
  <c r="G208" i="1"/>
  <c r="L208" i="2" s="1"/>
  <c r="M208" i="2" s="1"/>
  <c r="H208" i="1"/>
  <c r="N208" i="2" s="1"/>
  <c r="O208" i="2" s="1"/>
  <c r="I208" i="1"/>
  <c r="P208" i="2" s="1"/>
  <c r="Q208" i="2" s="1"/>
  <c r="C190" i="9" s="1"/>
  <c r="J208" i="1"/>
  <c r="R208" i="2" s="1"/>
  <c r="S208" i="2" s="1"/>
  <c r="K208" i="1"/>
  <c r="T208" i="2" s="1"/>
  <c r="U208" i="2" s="1"/>
  <c r="L208" i="1"/>
  <c r="V208" i="2" s="1"/>
  <c r="W208" i="2" s="1"/>
  <c r="Q208" i="1"/>
  <c r="AB208" i="2" s="1"/>
  <c r="B209" i="1"/>
  <c r="B209" i="2" s="1"/>
  <c r="C209" i="2" s="1"/>
  <c r="C209" i="1"/>
  <c r="D209" i="2" s="1"/>
  <c r="E209" i="2" s="1"/>
  <c r="D209" i="1"/>
  <c r="F209" i="2" s="1"/>
  <c r="G209" i="2" s="1"/>
  <c r="E209" i="1"/>
  <c r="H209" i="2" s="1"/>
  <c r="I209" i="2" s="1"/>
  <c r="D191" i="9" s="1"/>
  <c r="F209" i="1"/>
  <c r="J209" i="2" s="1"/>
  <c r="K209" i="2" s="1"/>
  <c r="G209" i="1"/>
  <c r="L209" i="2" s="1"/>
  <c r="M209" i="2" s="1"/>
  <c r="H209" i="1"/>
  <c r="N209" i="2" s="1"/>
  <c r="O209" i="2" s="1"/>
  <c r="I209" i="1"/>
  <c r="P209" i="2" s="1"/>
  <c r="Q209" i="2" s="1"/>
  <c r="C191" i="9" s="1"/>
  <c r="J209" i="1"/>
  <c r="R209" i="2" s="1"/>
  <c r="S209" i="2" s="1"/>
  <c r="K209" i="1"/>
  <c r="T209" i="2" s="1"/>
  <c r="U209" i="2" s="1"/>
  <c r="L209" i="1"/>
  <c r="V209" i="2" s="1"/>
  <c r="W209" i="2" s="1"/>
  <c r="Q209" i="1"/>
  <c r="AB209" i="2" s="1"/>
  <c r="B210" i="1"/>
  <c r="B210" i="2" s="1"/>
  <c r="C210" i="2" s="1"/>
  <c r="C210" i="1"/>
  <c r="D210" i="2" s="1"/>
  <c r="E210" i="2" s="1"/>
  <c r="D210" i="1"/>
  <c r="F210" i="2" s="1"/>
  <c r="G210" i="2" s="1"/>
  <c r="E210" i="1"/>
  <c r="H210" i="2" s="1"/>
  <c r="I210" i="2" s="1"/>
  <c r="D192" i="9" s="1"/>
  <c r="F210" i="1"/>
  <c r="J210" i="2" s="1"/>
  <c r="K210" i="2" s="1"/>
  <c r="G210" i="1"/>
  <c r="L210" i="2" s="1"/>
  <c r="M210" i="2" s="1"/>
  <c r="H210" i="1"/>
  <c r="N210" i="2" s="1"/>
  <c r="O210" i="2" s="1"/>
  <c r="I210" i="1"/>
  <c r="P210" i="2" s="1"/>
  <c r="Q210" i="2" s="1"/>
  <c r="C192" i="9" s="1"/>
  <c r="J210" i="1"/>
  <c r="R210" i="2" s="1"/>
  <c r="S210" i="2" s="1"/>
  <c r="K210" i="1"/>
  <c r="T210" i="2" s="1"/>
  <c r="U210" i="2" s="1"/>
  <c r="L210" i="1"/>
  <c r="V210" i="2" s="1"/>
  <c r="W210" i="2" s="1"/>
  <c r="Q210" i="1"/>
  <c r="AB210" i="2" s="1"/>
  <c r="B211" i="1"/>
  <c r="B211" i="2" s="1"/>
  <c r="C211" i="2" s="1"/>
  <c r="C211" i="1"/>
  <c r="D211" i="2" s="1"/>
  <c r="E211" i="2" s="1"/>
  <c r="D211" i="1"/>
  <c r="F211" i="2" s="1"/>
  <c r="G211" i="2" s="1"/>
  <c r="E211" i="1"/>
  <c r="H211" i="2" s="1"/>
  <c r="I211" i="2" s="1"/>
  <c r="D193" i="9" s="1"/>
  <c r="F211" i="1"/>
  <c r="J211" i="2" s="1"/>
  <c r="K211" i="2" s="1"/>
  <c r="G211" i="1"/>
  <c r="L211" i="2" s="1"/>
  <c r="M211" i="2" s="1"/>
  <c r="H211" i="1"/>
  <c r="N211" i="2" s="1"/>
  <c r="O211" i="2" s="1"/>
  <c r="I211" i="1"/>
  <c r="P211" i="2" s="1"/>
  <c r="Q211" i="2" s="1"/>
  <c r="C193" i="9" s="1"/>
  <c r="J211" i="1"/>
  <c r="R211" i="2" s="1"/>
  <c r="S211" i="2" s="1"/>
  <c r="K211" i="1"/>
  <c r="T211" i="2" s="1"/>
  <c r="U211" i="2" s="1"/>
  <c r="L211" i="1"/>
  <c r="V211" i="2" s="1"/>
  <c r="W211" i="2" s="1"/>
  <c r="Q211" i="1"/>
  <c r="AB211" i="2" s="1"/>
  <c r="B212" i="1"/>
  <c r="B212" i="2" s="1"/>
  <c r="C212" i="2" s="1"/>
  <c r="C212" i="1"/>
  <c r="D212" i="2" s="1"/>
  <c r="E212" i="2" s="1"/>
  <c r="D212" i="1"/>
  <c r="F212" i="2" s="1"/>
  <c r="G212" i="2" s="1"/>
  <c r="E212" i="1"/>
  <c r="H212" i="2" s="1"/>
  <c r="I212" i="2" s="1"/>
  <c r="D194" i="9" s="1"/>
  <c r="F212" i="1"/>
  <c r="J212" i="2" s="1"/>
  <c r="K212" i="2" s="1"/>
  <c r="G212" i="1"/>
  <c r="L212" i="2" s="1"/>
  <c r="M212" i="2" s="1"/>
  <c r="H212" i="1"/>
  <c r="N212" i="2" s="1"/>
  <c r="O212" i="2" s="1"/>
  <c r="I212" i="1"/>
  <c r="P212" i="2" s="1"/>
  <c r="Q212" i="2" s="1"/>
  <c r="C194" i="9" s="1"/>
  <c r="J212" i="1"/>
  <c r="R212" i="2" s="1"/>
  <c r="S212" i="2" s="1"/>
  <c r="K212" i="1"/>
  <c r="T212" i="2" s="1"/>
  <c r="U212" i="2" s="1"/>
  <c r="L212" i="1"/>
  <c r="V212" i="2" s="1"/>
  <c r="W212" i="2" s="1"/>
  <c r="Q212" i="1"/>
  <c r="AB212" i="2" s="1"/>
  <c r="B213" i="1"/>
  <c r="B213" i="2" s="1"/>
  <c r="C213" i="2" s="1"/>
  <c r="C213" i="1"/>
  <c r="D213" i="2" s="1"/>
  <c r="E213" i="2" s="1"/>
  <c r="D213" i="1"/>
  <c r="F213" i="2" s="1"/>
  <c r="G213" i="2" s="1"/>
  <c r="E213" i="1"/>
  <c r="H213" i="2" s="1"/>
  <c r="I213" i="2" s="1"/>
  <c r="D195" i="9" s="1"/>
  <c r="F213" i="1"/>
  <c r="J213" i="2" s="1"/>
  <c r="K213" i="2" s="1"/>
  <c r="G213" i="1"/>
  <c r="L213" i="2" s="1"/>
  <c r="M213" i="2" s="1"/>
  <c r="H213" i="1"/>
  <c r="N213" i="2" s="1"/>
  <c r="O213" i="2" s="1"/>
  <c r="I213" i="1"/>
  <c r="P213" i="2" s="1"/>
  <c r="Q213" i="2" s="1"/>
  <c r="C195" i="9" s="1"/>
  <c r="J213" i="1"/>
  <c r="R213" i="2" s="1"/>
  <c r="S213" i="2" s="1"/>
  <c r="K213" i="1"/>
  <c r="T213" i="2" s="1"/>
  <c r="U213" i="2" s="1"/>
  <c r="L213" i="1"/>
  <c r="V213" i="2" s="1"/>
  <c r="W213" i="2" s="1"/>
  <c r="Q213" i="1"/>
  <c r="AB213" i="2" s="1"/>
  <c r="B214" i="1"/>
  <c r="B214" i="2" s="1"/>
  <c r="C214" i="2" s="1"/>
  <c r="C214" i="1"/>
  <c r="D214" i="2" s="1"/>
  <c r="E214" i="2" s="1"/>
  <c r="D214" i="1"/>
  <c r="F214" i="2" s="1"/>
  <c r="G214" i="2" s="1"/>
  <c r="E214" i="1"/>
  <c r="H214" i="2" s="1"/>
  <c r="I214" i="2" s="1"/>
  <c r="D196" i="9" s="1"/>
  <c r="F214" i="1"/>
  <c r="J214" i="2" s="1"/>
  <c r="K214" i="2" s="1"/>
  <c r="G214" i="1"/>
  <c r="L214" i="2" s="1"/>
  <c r="M214" i="2" s="1"/>
  <c r="H214" i="1"/>
  <c r="N214" i="2" s="1"/>
  <c r="O214" i="2" s="1"/>
  <c r="I214" i="1"/>
  <c r="P214" i="2" s="1"/>
  <c r="Q214" i="2" s="1"/>
  <c r="C196" i="9" s="1"/>
  <c r="J214" i="1"/>
  <c r="R214" i="2" s="1"/>
  <c r="S214" i="2" s="1"/>
  <c r="K214" i="1"/>
  <c r="T214" i="2" s="1"/>
  <c r="U214" i="2" s="1"/>
  <c r="L214" i="1"/>
  <c r="V214" i="2" s="1"/>
  <c r="W214" i="2" s="1"/>
  <c r="Q214" i="1"/>
  <c r="AB214" i="2" s="1"/>
  <c r="B215" i="1"/>
  <c r="B215" i="2" s="1"/>
  <c r="C215" i="2" s="1"/>
  <c r="C215" i="1"/>
  <c r="D215" i="2" s="1"/>
  <c r="E215" i="2" s="1"/>
  <c r="D215" i="1"/>
  <c r="F215" i="2" s="1"/>
  <c r="G215" i="2" s="1"/>
  <c r="E215" i="1"/>
  <c r="H215" i="2" s="1"/>
  <c r="I215" i="2" s="1"/>
  <c r="D197" i="9" s="1"/>
  <c r="F215" i="1"/>
  <c r="J215" i="2" s="1"/>
  <c r="K215" i="2" s="1"/>
  <c r="G215" i="1"/>
  <c r="L215" i="2" s="1"/>
  <c r="M215" i="2" s="1"/>
  <c r="H215" i="1"/>
  <c r="N215" i="2" s="1"/>
  <c r="O215" i="2" s="1"/>
  <c r="I215" i="1"/>
  <c r="P215" i="2" s="1"/>
  <c r="Q215" i="2" s="1"/>
  <c r="C197" i="9" s="1"/>
  <c r="J215" i="1"/>
  <c r="R215" i="2" s="1"/>
  <c r="S215" i="2" s="1"/>
  <c r="K215" i="1"/>
  <c r="T215" i="2" s="1"/>
  <c r="U215" i="2" s="1"/>
  <c r="L215" i="1"/>
  <c r="V215" i="2" s="1"/>
  <c r="W215" i="2" s="1"/>
  <c r="Q215" i="1"/>
  <c r="AB215" i="2" s="1"/>
  <c r="B216" i="1"/>
  <c r="B216" i="2" s="1"/>
  <c r="C216" i="2" s="1"/>
  <c r="C216" i="1"/>
  <c r="D216" i="2" s="1"/>
  <c r="E216" i="2" s="1"/>
  <c r="D216" i="1"/>
  <c r="F216" i="2" s="1"/>
  <c r="G216" i="2" s="1"/>
  <c r="E216" i="1"/>
  <c r="H216" i="2" s="1"/>
  <c r="I216" i="2" s="1"/>
  <c r="D198" i="9" s="1"/>
  <c r="F216" i="1"/>
  <c r="J216" i="2" s="1"/>
  <c r="K216" i="2" s="1"/>
  <c r="G216" i="1"/>
  <c r="L216" i="2" s="1"/>
  <c r="M216" i="2" s="1"/>
  <c r="H216" i="1"/>
  <c r="N216" i="2" s="1"/>
  <c r="O216" i="2" s="1"/>
  <c r="I216" i="1"/>
  <c r="P216" i="2" s="1"/>
  <c r="Q216" i="2" s="1"/>
  <c r="C198" i="9" s="1"/>
  <c r="J216" i="1"/>
  <c r="R216" i="2" s="1"/>
  <c r="S216" i="2" s="1"/>
  <c r="K216" i="1"/>
  <c r="T216" i="2" s="1"/>
  <c r="U216" i="2" s="1"/>
  <c r="L216" i="1"/>
  <c r="V216" i="2" s="1"/>
  <c r="W216" i="2" s="1"/>
  <c r="Q216" i="1"/>
  <c r="AB216" i="2" s="1"/>
  <c r="B217" i="1"/>
  <c r="B217" i="2" s="1"/>
  <c r="C217" i="2" s="1"/>
  <c r="C217" i="1"/>
  <c r="D217" i="2" s="1"/>
  <c r="E217" i="2" s="1"/>
  <c r="D217" i="1"/>
  <c r="F217" i="2" s="1"/>
  <c r="G217" i="2" s="1"/>
  <c r="E217" i="1"/>
  <c r="H217" i="2" s="1"/>
  <c r="I217" i="2" s="1"/>
  <c r="D199" i="9" s="1"/>
  <c r="F217" i="1"/>
  <c r="J217" i="2" s="1"/>
  <c r="K217" i="2" s="1"/>
  <c r="G217" i="1"/>
  <c r="L217" i="2" s="1"/>
  <c r="M217" i="2" s="1"/>
  <c r="H217" i="1"/>
  <c r="N217" i="2" s="1"/>
  <c r="O217" i="2" s="1"/>
  <c r="I217" i="1"/>
  <c r="P217" i="2" s="1"/>
  <c r="Q217" i="2" s="1"/>
  <c r="C199" i="9" s="1"/>
  <c r="J217" i="1"/>
  <c r="R217" i="2" s="1"/>
  <c r="S217" i="2" s="1"/>
  <c r="K217" i="1"/>
  <c r="T217" i="2" s="1"/>
  <c r="U217" i="2" s="1"/>
  <c r="L217" i="1"/>
  <c r="V217" i="2" s="1"/>
  <c r="W217" i="2" s="1"/>
  <c r="Q217" i="1"/>
  <c r="AB217" i="2" s="1"/>
  <c r="B218" i="1"/>
  <c r="B218" i="2" s="1"/>
  <c r="C218" i="2" s="1"/>
  <c r="C218" i="1"/>
  <c r="D218" i="2" s="1"/>
  <c r="E218" i="2" s="1"/>
  <c r="D218" i="1"/>
  <c r="F218" i="2" s="1"/>
  <c r="G218" i="2" s="1"/>
  <c r="E218" i="1"/>
  <c r="H218" i="2" s="1"/>
  <c r="I218" i="2" s="1"/>
  <c r="D200" i="9" s="1"/>
  <c r="F218" i="1"/>
  <c r="J218" i="2" s="1"/>
  <c r="K218" i="2" s="1"/>
  <c r="G218" i="1"/>
  <c r="L218" i="2" s="1"/>
  <c r="M218" i="2" s="1"/>
  <c r="H218" i="1"/>
  <c r="N218" i="2" s="1"/>
  <c r="O218" i="2" s="1"/>
  <c r="I218" i="1"/>
  <c r="P218" i="2" s="1"/>
  <c r="Q218" i="2" s="1"/>
  <c r="C200" i="9" s="1"/>
  <c r="J218" i="1"/>
  <c r="R218" i="2" s="1"/>
  <c r="S218" i="2" s="1"/>
  <c r="K218" i="1"/>
  <c r="T218" i="2" s="1"/>
  <c r="U218" i="2" s="1"/>
  <c r="L218" i="1"/>
  <c r="V218" i="2" s="1"/>
  <c r="W218" i="2" s="1"/>
  <c r="Q218" i="1"/>
  <c r="AB218" i="2" s="1"/>
  <c r="B219" i="1"/>
  <c r="B219" i="2" s="1"/>
  <c r="C219" i="2" s="1"/>
  <c r="C219" i="1"/>
  <c r="D219" i="2" s="1"/>
  <c r="E219" i="2" s="1"/>
  <c r="D219" i="1"/>
  <c r="F219" i="2" s="1"/>
  <c r="G219" i="2" s="1"/>
  <c r="E219" i="1"/>
  <c r="H219" i="2" s="1"/>
  <c r="I219" i="2" s="1"/>
  <c r="D201" i="9" s="1"/>
  <c r="F219" i="1"/>
  <c r="J219" i="2" s="1"/>
  <c r="K219" i="2" s="1"/>
  <c r="G219" i="1"/>
  <c r="L219" i="2" s="1"/>
  <c r="M219" i="2" s="1"/>
  <c r="H219" i="1"/>
  <c r="N219" i="2" s="1"/>
  <c r="O219" i="2" s="1"/>
  <c r="I219" i="1"/>
  <c r="P219" i="2" s="1"/>
  <c r="Q219" i="2" s="1"/>
  <c r="C201" i="9" s="1"/>
  <c r="J219" i="1"/>
  <c r="R219" i="2" s="1"/>
  <c r="S219" i="2" s="1"/>
  <c r="K219" i="1"/>
  <c r="T219" i="2" s="1"/>
  <c r="U219" i="2" s="1"/>
  <c r="L219" i="1"/>
  <c r="V219" i="2" s="1"/>
  <c r="W219" i="2" s="1"/>
  <c r="Q219" i="1"/>
  <c r="AB219" i="2" s="1"/>
  <c r="B220" i="1"/>
  <c r="B220" i="2" s="1"/>
  <c r="C220" i="2" s="1"/>
  <c r="C220" i="1"/>
  <c r="D220" i="2" s="1"/>
  <c r="E220" i="2" s="1"/>
  <c r="D220" i="1"/>
  <c r="F220" i="2" s="1"/>
  <c r="G220" i="2" s="1"/>
  <c r="E220" i="1"/>
  <c r="H220" i="2" s="1"/>
  <c r="I220" i="2" s="1"/>
  <c r="D202" i="9" s="1"/>
  <c r="F220" i="1"/>
  <c r="J220" i="2" s="1"/>
  <c r="K220" i="2" s="1"/>
  <c r="G220" i="1"/>
  <c r="L220" i="2" s="1"/>
  <c r="M220" i="2" s="1"/>
  <c r="H220" i="1"/>
  <c r="N220" i="2" s="1"/>
  <c r="O220" i="2" s="1"/>
  <c r="I220" i="1"/>
  <c r="P220" i="2" s="1"/>
  <c r="Q220" i="2" s="1"/>
  <c r="C202" i="9" s="1"/>
  <c r="J220" i="1"/>
  <c r="R220" i="2" s="1"/>
  <c r="S220" i="2" s="1"/>
  <c r="K220" i="1"/>
  <c r="T220" i="2" s="1"/>
  <c r="U220" i="2" s="1"/>
  <c r="L220" i="1"/>
  <c r="V220" i="2" s="1"/>
  <c r="W220" i="2" s="1"/>
  <c r="Q220" i="1"/>
  <c r="AB220" i="2" s="1"/>
  <c r="B221" i="1"/>
  <c r="B221" i="2" s="1"/>
  <c r="C221" i="2" s="1"/>
  <c r="C221" i="1"/>
  <c r="D221" i="2" s="1"/>
  <c r="E221" i="2" s="1"/>
  <c r="D221" i="1"/>
  <c r="F221" i="2" s="1"/>
  <c r="G221" i="2" s="1"/>
  <c r="E221" i="1"/>
  <c r="H221" i="2" s="1"/>
  <c r="I221" i="2" s="1"/>
  <c r="D203" i="9" s="1"/>
  <c r="F221" i="1"/>
  <c r="J221" i="2" s="1"/>
  <c r="K221" i="2" s="1"/>
  <c r="G221" i="1"/>
  <c r="L221" i="2" s="1"/>
  <c r="M221" i="2" s="1"/>
  <c r="H221" i="1"/>
  <c r="N221" i="2" s="1"/>
  <c r="O221" i="2" s="1"/>
  <c r="I221" i="1"/>
  <c r="P221" i="2" s="1"/>
  <c r="Q221" i="2" s="1"/>
  <c r="C203" i="9" s="1"/>
  <c r="J221" i="1"/>
  <c r="R221" i="2" s="1"/>
  <c r="S221" i="2" s="1"/>
  <c r="K221" i="1"/>
  <c r="T221" i="2" s="1"/>
  <c r="U221" i="2" s="1"/>
  <c r="L221" i="1"/>
  <c r="V221" i="2" s="1"/>
  <c r="W221" i="2" s="1"/>
  <c r="Q221" i="1"/>
  <c r="AB221" i="2" s="1"/>
  <c r="B222" i="1"/>
  <c r="B222" i="2" s="1"/>
  <c r="C222" i="2" s="1"/>
  <c r="C222" i="1"/>
  <c r="D222" i="2" s="1"/>
  <c r="E222" i="2" s="1"/>
  <c r="D222" i="1"/>
  <c r="F222" i="2" s="1"/>
  <c r="G222" i="2" s="1"/>
  <c r="E222" i="1"/>
  <c r="H222" i="2" s="1"/>
  <c r="I222" i="2" s="1"/>
  <c r="D204" i="9" s="1"/>
  <c r="F222" i="1"/>
  <c r="J222" i="2" s="1"/>
  <c r="K222" i="2" s="1"/>
  <c r="G222" i="1"/>
  <c r="L222" i="2" s="1"/>
  <c r="M222" i="2" s="1"/>
  <c r="H222" i="1"/>
  <c r="N222" i="2" s="1"/>
  <c r="O222" i="2" s="1"/>
  <c r="I222" i="1"/>
  <c r="P222" i="2" s="1"/>
  <c r="Q222" i="2" s="1"/>
  <c r="C204" i="9" s="1"/>
  <c r="J222" i="1"/>
  <c r="R222" i="2" s="1"/>
  <c r="S222" i="2" s="1"/>
  <c r="K222" i="1"/>
  <c r="T222" i="2" s="1"/>
  <c r="U222" i="2" s="1"/>
  <c r="L222" i="1"/>
  <c r="V222" i="2" s="1"/>
  <c r="W222" i="2" s="1"/>
  <c r="Q222" i="1"/>
  <c r="AB222" i="2" s="1"/>
  <c r="B223" i="1"/>
  <c r="B223" i="2" s="1"/>
  <c r="C223" i="2" s="1"/>
  <c r="C223" i="1"/>
  <c r="D223" i="2" s="1"/>
  <c r="E223" i="2" s="1"/>
  <c r="D223" i="1"/>
  <c r="F223" i="2" s="1"/>
  <c r="G223" i="2" s="1"/>
  <c r="E223" i="1"/>
  <c r="H223" i="2" s="1"/>
  <c r="I223" i="2" s="1"/>
  <c r="D205" i="9" s="1"/>
  <c r="F223" i="1"/>
  <c r="J223" i="2" s="1"/>
  <c r="K223" i="2" s="1"/>
  <c r="G223" i="1"/>
  <c r="L223" i="2" s="1"/>
  <c r="M223" i="2" s="1"/>
  <c r="H223" i="1"/>
  <c r="N223" i="2" s="1"/>
  <c r="O223" i="2" s="1"/>
  <c r="I223" i="1"/>
  <c r="P223" i="2" s="1"/>
  <c r="Q223" i="2" s="1"/>
  <c r="C205" i="9" s="1"/>
  <c r="J223" i="1"/>
  <c r="R223" i="2" s="1"/>
  <c r="S223" i="2" s="1"/>
  <c r="K223" i="1"/>
  <c r="T223" i="2" s="1"/>
  <c r="U223" i="2" s="1"/>
  <c r="L223" i="1"/>
  <c r="V223" i="2" s="1"/>
  <c r="W223" i="2" s="1"/>
  <c r="Q223" i="1"/>
  <c r="AB223" i="2" s="1"/>
  <c r="B224" i="1"/>
  <c r="B224" i="2" s="1"/>
  <c r="C224" i="2" s="1"/>
  <c r="C224" i="1"/>
  <c r="D224" i="2" s="1"/>
  <c r="E224" i="2" s="1"/>
  <c r="D224" i="1"/>
  <c r="F224" i="2" s="1"/>
  <c r="G224" i="2" s="1"/>
  <c r="E224" i="1"/>
  <c r="H224" i="2" s="1"/>
  <c r="I224" i="2" s="1"/>
  <c r="D206" i="9" s="1"/>
  <c r="F224" i="1"/>
  <c r="J224" i="2" s="1"/>
  <c r="K224" i="2" s="1"/>
  <c r="G224" i="1"/>
  <c r="L224" i="2" s="1"/>
  <c r="M224" i="2" s="1"/>
  <c r="H224" i="1"/>
  <c r="N224" i="2" s="1"/>
  <c r="O224" i="2" s="1"/>
  <c r="I224" i="1"/>
  <c r="P224" i="2" s="1"/>
  <c r="Q224" i="2" s="1"/>
  <c r="C206" i="9" s="1"/>
  <c r="J224" i="1"/>
  <c r="R224" i="2" s="1"/>
  <c r="S224" i="2" s="1"/>
  <c r="K224" i="1"/>
  <c r="T224" i="2" s="1"/>
  <c r="U224" i="2" s="1"/>
  <c r="L224" i="1"/>
  <c r="V224" i="2" s="1"/>
  <c r="W224" i="2" s="1"/>
  <c r="Q224" i="1"/>
  <c r="AB224" i="2" s="1"/>
  <c r="B225" i="1"/>
  <c r="B225" i="2" s="1"/>
  <c r="C225" i="2" s="1"/>
  <c r="C225" i="1"/>
  <c r="D225" i="2" s="1"/>
  <c r="E225" i="2" s="1"/>
  <c r="D225" i="1"/>
  <c r="F225" i="2" s="1"/>
  <c r="G225" i="2" s="1"/>
  <c r="E225" i="1"/>
  <c r="H225" i="2" s="1"/>
  <c r="I225" i="2" s="1"/>
  <c r="D207" i="9" s="1"/>
  <c r="F225" i="1"/>
  <c r="J225" i="2" s="1"/>
  <c r="K225" i="2" s="1"/>
  <c r="G225" i="1"/>
  <c r="L225" i="2" s="1"/>
  <c r="M225" i="2" s="1"/>
  <c r="H225" i="1"/>
  <c r="N225" i="2" s="1"/>
  <c r="O225" i="2" s="1"/>
  <c r="I225" i="1"/>
  <c r="P225" i="2" s="1"/>
  <c r="Q225" i="2" s="1"/>
  <c r="C207" i="9" s="1"/>
  <c r="J225" i="1"/>
  <c r="R225" i="2" s="1"/>
  <c r="S225" i="2" s="1"/>
  <c r="K225" i="1"/>
  <c r="T225" i="2" s="1"/>
  <c r="U225" i="2" s="1"/>
  <c r="L225" i="1"/>
  <c r="V225" i="2" s="1"/>
  <c r="W225" i="2" s="1"/>
  <c r="Q225" i="1"/>
  <c r="AB225" i="2" s="1"/>
  <c r="B226" i="1"/>
  <c r="B226" i="2" s="1"/>
  <c r="C226" i="2" s="1"/>
  <c r="C226" i="1"/>
  <c r="D226" i="2" s="1"/>
  <c r="E226" i="2" s="1"/>
  <c r="D226" i="1"/>
  <c r="F226" i="2" s="1"/>
  <c r="G226" i="2" s="1"/>
  <c r="E226" i="1"/>
  <c r="H226" i="2" s="1"/>
  <c r="I226" i="2" s="1"/>
  <c r="D208" i="9" s="1"/>
  <c r="F226" i="1"/>
  <c r="J226" i="2" s="1"/>
  <c r="K226" i="2" s="1"/>
  <c r="G226" i="1"/>
  <c r="L226" i="2" s="1"/>
  <c r="M226" i="2" s="1"/>
  <c r="H226" i="1"/>
  <c r="N226" i="2" s="1"/>
  <c r="O226" i="2" s="1"/>
  <c r="I226" i="1"/>
  <c r="P226" i="2" s="1"/>
  <c r="Q226" i="2" s="1"/>
  <c r="C208" i="9" s="1"/>
  <c r="J226" i="1"/>
  <c r="R226" i="2" s="1"/>
  <c r="S226" i="2" s="1"/>
  <c r="K226" i="1"/>
  <c r="T226" i="2" s="1"/>
  <c r="U226" i="2" s="1"/>
  <c r="L226" i="1"/>
  <c r="V226" i="2" s="1"/>
  <c r="W226" i="2" s="1"/>
  <c r="Q226" i="1"/>
  <c r="AB226" i="2" s="1"/>
  <c r="B227" i="1"/>
  <c r="B227" i="2" s="1"/>
  <c r="C227" i="2" s="1"/>
  <c r="C227" i="1"/>
  <c r="D227" i="2" s="1"/>
  <c r="E227" i="2" s="1"/>
  <c r="D227" i="1"/>
  <c r="F227" i="2" s="1"/>
  <c r="G227" i="2" s="1"/>
  <c r="E227" i="1"/>
  <c r="H227" i="2" s="1"/>
  <c r="I227" i="2" s="1"/>
  <c r="D209" i="9" s="1"/>
  <c r="F227" i="1"/>
  <c r="J227" i="2" s="1"/>
  <c r="K227" i="2" s="1"/>
  <c r="G227" i="1"/>
  <c r="L227" i="2" s="1"/>
  <c r="M227" i="2" s="1"/>
  <c r="H227" i="1"/>
  <c r="N227" i="2" s="1"/>
  <c r="O227" i="2" s="1"/>
  <c r="I227" i="1"/>
  <c r="P227" i="2" s="1"/>
  <c r="Q227" i="2" s="1"/>
  <c r="C209" i="9" s="1"/>
  <c r="J227" i="1"/>
  <c r="R227" i="2" s="1"/>
  <c r="S227" i="2" s="1"/>
  <c r="K227" i="1"/>
  <c r="T227" i="2" s="1"/>
  <c r="U227" i="2" s="1"/>
  <c r="L227" i="1"/>
  <c r="V227" i="2" s="1"/>
  <c r="W227" i="2" s="1"/>
  <c r="Q227" i="1"/>
  <c r="AB227" i="2" s="1"/>
  <c r="B228" i="1"/>
  <c r="B228" i="2" s="1"/>
  <c r="C228" i="2" s="1"/>
  <c r="C228" i="1"/>
  <c r="D228" i="2" s="1"/>
  <c r="E228" i="2" s="1"/>
  <c r="D228" i="1"/>
  <c r="F228" i="2" s="1"/>
  <c r="G228" i="2" s="1"/>
  <c r="E228" i="1"/>
  <c r="H228" i="2" s="1"/>
  <c r="I228" i="2" s="1"/>
  <c r="D210" i="9" s="1"/>
  <c r="F228" i="1"/>
  <c r="J228" i="2" s="1"/>
  <c r="K228" i="2" s="1"/>
  <c r="G228" i="1"/>
  <c r="L228" i="2" s="1"/>
  <c r="M228" i="2" s="1"/>
  <c r="H228" i="1"/>
  <c r="N228" i="2" s="1"/>
  <c r="O228" i="2" s="1"/>
  <c r="I228" i="1"/>
  <c r="P228" i="2" s="1"/>
  <c r="Q228" i="2" s="1"/>
  <c r="C210" i="9" s="1"/>
  <c r="J228" i="1"/>
  <c r="R228" i="2" s="1"/>
  <c r="S228" i="2" s="1"/>
  <c r="K228" i="1"/>
  <c r="T228" i="2" s="1"/>
  <c r="U228" i="2" s="1"/>
  <c r="L228" i="1"/>
  <c r="V228" i="2" s="1"/>
  <c r="W228" i="2" s="1"/>
  <c r="Q228" i="1"/>
  <c r="AB228" i="2" s="1"/>
  <c r="B229" i="1"/>
  <c r="B229" i="2" s="1"/>
  <c r="C229" i="2" s="1"/>
  <c r="C229" i="1"/>
  <c r="D229" i="2" s="1"/>
  <c r="E229" i="2" s="1"/>
  <c r="D229" i="1"/>
  <c r="F229" i="2" s="1"/>
  <c r="G229" i="2" s="1"/>
  <c r="E229" i="1"/>
  <c r="H229" i="2" s="1"/>
  <c r="I229" i="2" s="1"/>
  <c r="D211" i="9" s="1"/>
  <c r="F229" i="1"/>
  <c r="J229" i="2" s="1"/>
  <c r="K229" i="2" s="1"/>
  <c r="G229" i="1"/>
  <c r="L229" i="2" s="1"/>
  <c r="M229" i="2" s="1"/>
  <c r="H229" i="1"/>
  <c r="N229" i="2" s="1"/>
  <c r="O229" i="2" s="1"/>
  <c r="I229" i="1"/>
  <c r="P229" i="2" s="1"/>
  <c r="Q229" i="2" s="1"/>
  <c r="C211" i="9" s="1"/>
  <c r="J229" i="1"/>
  <c r="R229" i="2" s="1"/>
  <c r="S229" i="2" s="1"/>
  <c r="K229" i="1"/>
  <c r="T229" i="2" s="1"/>
  <c r="U229" i="2" s="1"/>
  <c r="L229" i="1"/>
  <c r="V229" i="2" s="1"/>
  <c r="W229" i="2" s="1"/>
  <c r="Q229" i="1"/>
  <c r="AB229" i="2" s="1"/>
  <c r="B230" i="1"/>
  <c r="B230" i="2" s="1"/>
  <c r="C230" i="2" s="1"/>
  <c r="C230" i="1"/>
  <c r="D230" i="2" s="1"/>
  <c r="E230" i="2" s="1"/>
  <c r="D230" i="1"/>
  <c r="F230" i="2" s="1"/>
  <c r="G230" i="2" s="1"/>
  <c r="E230" i="1"/>
  <c r="H230" i="2" s="1"/>
  <c r="I230" i="2" s="1"/>
  <c r="D212" i="9" s="1"/>
  <c r="F230" i="1"/>
  <c r="J230" i="2" s="1"/>
  <c r="K230" i="2" s="1"/>
  <c r="G230" i="1"/>
  <c r="L230" i="2" s="1"/>
  <c r="M230" i="2" s="1"/>
  <c r="H230" i="1"/>
  <c r="N230" i="2" s="1"/>
  <c r="O230" i="2" s="1"/>
  <c r="I230" i="1"/>
  <c r="P230" i="2" s="1"/>
  <c r="Q230" i="2" s="1"/>
  <c r="C212" i="9" s="1"/>
  <c r="J230" i="1"/>
  <c r="R230" i="2" s="1"/>
  <c r="S230" i="2" s="1"/>
  <c r="K230" i="1"/>
  <c r="T230" i="2" s="1"/>
  <c r="U230" i="2" s="1"/>
  <c r="L230" i="1"/>
  <c r="V230" i="2" s="1"/>
  <c r="W230" i="2" s="1"/>
  <c r="Q230" i="1"/>
  <c r="AB230" i="2" s="1"/>
  <c r="B231" i="1"/>
  <c r="B231" i="2" s="1"/>
  <c r="C231" i="2" s="1"/>
  <c r="C231" i="1"/>
  <c r="D231" i="2" s="1"/>
  <c r="E231" i="2" s="1"/>
  <c r="D231" i="1"/>
  <c r="F231" i="2" s="1"/>
  <c r="G231" i="2" s="1"/>
  <c r="E231" i="1"/>
  <c r="H231" i="2" s="1"/>
  <c r="I231" i="2" s="1"/>
  <c r="D213" i="9" s="1"/>
  <c r="F231" i="1"/>
  <c r="J231" i="2" s="1"/>
  <c r="K231" i="2" s="1"/>
  <c r="G231" i="1"/>
  <c r="L231" i="2" s="1"/>
  <c r="M231" i="2" s="1"/>
  <c r="H231" i="1"/>
  <c r="N231" i="2" s="1"/>
  <c r="O231" i="2" s="1"/>
  <c r="I231" i="1"/>
  <c r="P231" i="2" s="1"/>
  <c r="Q231" i="2" s="1"/>
  <c r="C213" i="9" s="1"/>
  <c r="J231" i="1"/>
  <c r="R231" i="2" s="1"/>
  <c r="S231" i="2" s="1"/>
  <c r="K231" i="1"/>
  <c r="T231" i="2" s="1"/>
  <c r="U231" i="2" s="1"/>
  <c r="L231" i="1"/>
  <c r="V231" i="2" s="1"/>
  <c r="W231" i="2" s="1"/>
  <c r="Q231" i="1"/>
  <c r="AB231" i="2" s="1"/>
  <c r="B232" i="1"/>
  <c r="B232" i="2" s="1"/>
  <c r="C232" i="2" s="1"/>
  <c r="C232" i="1"/>
  <c r="D232" i="2" s="1"/>
  <c r="E232" i="2" s="1"/>
  <c r="D232" i="1"/>
  <c r="F232" i="2" s="1"/>
  <c r="G232" i="2" s="1"/>
  <c r="E232" i="1"/>
  <c r="H232" i="2" s="1"/>
  <c r="I232" i="2" s="1"/>
  <c r="D214" i="9" s="1"/>
  <c r="F232" i="1"/>
  <c r="J232" i="2" s="1"/>
  <c r="K232" i="2" s="1"/>
  <c r="G232" i="1"/>
  <c r="L232" i="2" s="1"/>
  <c r="M232" i="2" s="1"/>
  <c r="H232" i="1"/>
  <c r="N232" i="2" s="1"/>
  <c r="O232" i="2" s="1"/>
  <c r="I232" i="1"/>
  <c r="P232" i="2" s="1"/>
  <c r="Q232" i="2" s="1"/>
  <c r="C214" i="9" s="1"/>
  <c r="J232" i="1"/>
  <c r="R232" i="2" s="1"/>
  <c r="S232" i="2" s="1"/>
  <c r="K232" i="1"/>
  <c r="T232" i="2" s="1"/>
  <c r="U232" i="2" s="1"/>
  <c r="L232" i="1"/>
  <c r="V232" i="2" s="1"/>
  <c r="W232" i="2" s="1"/>
  <c r="Q232" i="1"/>
  <c r="AB232" i="2" s="1"/>
  <c r="B233" i="1"/>
  <c r="B233" i="2" s="1"/>
  <c r="C233" i="2" s="1"/>
  <c r="C233" i="1"/>
  <c r="D233" i="2" s="1"/>
  <c r="E233" i="2" s="1"/>
  <c r="D233" i="1"/>
  <c r="F233" i="2" s="1"/>
  <c r="G233" i="2" s="1"/>
  <c r="E233" i="1"/>
  <c r="H233" i="2" s="1"/>
  <c r="I233" i="2" s="1"/>
  <c r="D215" i="9" s="1"/>
  <c r="F233" i="1"/>
  <c r="J233" i="2" s="1"/>
  <c r="K233" i="2" s="1"/>
  <c r="G233" i="1"/>
  <c r="L233" i="2" s="1"/>
  <c r="M233" i="2" s="1"/>
  <c r="H233" i="1"/>
  <c r="N233" i="2" s="1"/>
  <c r="O233" i="2" s="1"/>
  <c r="I233" i="1"/>
  <c r="P233" i="2" s="1"/>
  <c r="Q233" i="2" s="1"/>
  <c r="C215" i="9" s="1"/>
  <c r="J233" i="1"/>
  <c r="R233" i="2" s="1"/>
  <c r="S233" i="2" s="1"/>
  <c r="K233" i="1"/>
  <c r="T233" i="2" s="1"/>
  <c r="U233" i="2" s="1"/>
  <c r="L233" i="1"/>
  <c r="V233" i="2" s="1"/>
  <c r="W233" i="2" s="1"/>
  <c r="Q233" i="1"/>
  <c r="AB233" i="2" s="1"/>
  <c r="B234" i="1"/>
  <c r="B234" i="2" s="1"/>
  <c r="C234" i="2" s="1"/>
  <c r="C234" i="1"/>
  <c r="D234" i="2" s="1"/>
  <c r="E234" i="2" s="1"/>
  <c r="D234" i="1"/>
  <c r="F234" i="2" s="1"/>
  <c r="G234" i="2" s="1"/>
  <c r="E234" i="1"/>
  <c r="H234" i="2" s="1"/>
  <c r="I234" i="2" s="1"/>
  <c r="D216" i="9" s="1"/>
  <c r="F234" i="1"/>
  <c r="J234" i="2" s="1"/>
  <c r="K234" i="2" s="1"/>
  <c r="G234" i="1"/>
  <c r="L234" i="2" s="1"/>
  <c r="M234" i="2" s="1"/>
  <c r="H234" i="1"/>
  <c r="N234" i="2" s="1"/>
  <c r="O234" i="2" s="1"/>
  <c r="I234" i="1"/>
  <c r="P234" i="2" s="1"/>
  <c r="Q234" i="2" s="1"/>
  <c r="C216" i="9" s="1"/>
  <c r="J234" i="1"/>
  <c r="R234" i="2" s="1"/>
  <c r="S234" i="2" s="1"/>
  <c r="K234" i="1"/>
  <c r="T234" i="2" s="1"/>
  <c r="U234" i="2" s="1"/>
  <c r="L234" i="1"/>
  <c r="V234" i="2" s="1"/>
  <c r="W234" i="2" s="1"/>
  <c r="Q234" i="1"/>
  <c r="AB234" i="2" s="1"/>
  <c r="B235" i="1"/>
  <c r="B235" i="2" s="1"/>
  <c r="C235" i="2" s="1"/>
  <c r="C235" i="1"/>
  <c r="D235" i="2" s="1"/>
  <c r="E235" i="2" s="1"/>
  <c r="D235" i="1"/>
  <c r="F235" i="2" s="1"/>
  <c r="G235" i="2" s="1"/>
  <c r="E235" i="1"/>
  <c r="H235" i="2" s="1"/>
  <c r="I235" i="2" s="1"/>
  <c r="D217" i="9" s="1"/>
  <c r="F235" i="1"/>
  <c r="J235" i="2" s="1"/>
  <c r="K235" i="2" s="1"/>
  <c r="G235" i="1"/>
  <c r="L235" i="2" s="1"/>
  <c r="M235" i="2" s="1"/>
  <c r="H235" i="1"/>
  <c r="N235" i="2" s="1"/>
  <c r="O235" i="2" s="1"/>
  <c r="I235" i="1"/>
  <c r="P235" i="2" s="1"/>
  <c r="Q235" i="2" s="1"/>
  <c r="C217" i="9" s="1"/>
  <c r="J235" i="1"/>
  <c r="R235" i="2" s="1"/>
  <c r="S235" i="2" s="1"/>
  <c r="K235" i="1"/>
  <c r="T235" i="2" s="1"/>
  <c r="U235" i="2" s="1"/>
  <c r="L235" i="1"/>
  <c r="V235" i="2" s="1"/>
  <c r="W235" i="2" s="1"/>
  <c r="Q235" i="1"/>
  <c r="AB235" i="2" s="1"/>
  <c r="B236" i="1"/>
  <c r="B236" i="2" s="1"/>
  <c r="C236" i="2" s="1"/>
  <c r="C236" i="1"/>
  <c r="D236" i="2" s="1"/>
  <c r="E236" i="2" s="1"/>
  <c r="D236" i="1"/>
  <c r="F236" i="2" s="1"/>
  <c r="G236" i="2" s="1"/>
  <c r="E236" i="1"/>
  <c r="H236" i="2" s="1"/>
  <c r="I236" i="2" s="1"/>
  <c r="D218" i="9" s="1"/>
  <c r="F236" i="1"/>
  <c r="J236" i="2" s="1"/>
  <c r="K236" i="2" s="1"/>
  <c r="G236" i="1"/>
  <c r="L236" i="2" s="1"/>
  <c r="M236" i="2" s="1"/>
  <c r="H236" i="1"/>
  <c r="N236" i="2" s="1"/>
  <c r="O236" i="2" s="1"/>
  <c r="I236" i="1"/>
  <c r="P236" i="2" s="1"/>
  <c r="Q236" i="2" s="1"/>
  <c r="C218" i="9" s="1"/>
  <c r="J236" i="1"/>
  <c r="R236" i="2" s="1"/>
  <c r="S236" i="2" s="1"/>
  <c r="K236" i="1"/>
  <c r="T236" i="2" s="1"/>
  <c r="U236" i="2" s="1"/>
  <c r="L236" i="1"/>
  <c r="V236" i="2" s="1"/>
  <c r="W236" i="2" s="1"/>
  <c r="Q236" i="1"/>
  <c r="AB236" i="2" s="1"/>
  <c r="B237" i="1"/>
  <c r="B237" i="2" s="1"/>
  <c r="C237" i="2" s="1"/>
  <c r="C237" i="1"/>
  <c r="D237" i="2" s="1"/>
  <c r="E237" i="2" s="1"/>
  <c r="D237" i="1"/>
  <c r="F237" i="2" s="1"/>
  <c r="G237" i="2" s="1"/>
  <c r="E237" i="1"/>
  <c r="H237" i="2" s="1"/>
  <c r="I237" i="2" s="1"/>
  <c r="D219" i="9" s="1"/>
  <c r="F237" i="1"/>
  <c r="J237" i="2" s="1"/>
  <c r="K237" i="2" s="1"/>
  <c r="G237" i="1"/>
  <c r="L237" i="2" s="1"/>
  <c r="M237" i="2" s="1"/>
  <c r="H237" i="1"/>
  <c r="N237" i="2" s="1"/>
  <c r="O237" i="2" s="1"/>
  <c r="I237" i="1"/>
  <c r="P237" i="2" s="1"/>
  <c r="Q237" i="2" s="1"/>
  <c r="C219" i="9" s="1"/>
  <c r="J237" i="1"/>
  <c r="R237" i="2" s="1"/>
  <c r="S237" i="2" s="1"/>
  <c r="K237" i="1"/>
  <c r="T237" i="2" s="1"/>
  <c r="U237" i="2" s="1"/>
  <c r="L237" i="1"/>
  <c r="V237" i="2" s="1"/>
  <c r="W237" i="2" s="1"/>
  <c r="Q237" i="1"/>
  <c r="AB237" i="2" s="1"/>
  <c r="B238" i="1"/>
  <c r="B238" i="2" s="1"/>
  <c r="C238" i="2" s="1"/>
  <c r="C238" i="1"/>
  <c r="D238" i="2" s="1"/>
  <c r="E238" i="2" s="1"/>
  <c r="D238" i="1"/>
  <c r="F238" i="2" s="1"/>
  <c r="G238" i="2" s="1"/>
  <c r="E238" i="1"/>
  <c r="H238" i="2" s="1"/>
  <c r="I238" i="2" s="1"/>
  <c r="D220" i="9" s="1"/>
  <c r="F238" i="1"/>
  <c r="J238" i="2" s="1"/>
  <c r="K238" i="2" s="1"/>
  <c r="G238" i="1"/>
  <c r="L238" i="2" s="1"/>
  <c r="M238" i="2" s="1"/>
  <c r="H238" i="1"/>
  <c r="N238" i="2" s="1"/>
  <c r="O238" i="2" s="1"/>
  <c r="I238" i="1"/>
  <c r="P238" i="2" s="1"/>
  <c r="Q238" i="2" s="1"/>
  <c r="C220" i="9" s="1"/>
  <c r="J238" i="1"/>
  <c r="R238" i="2" s="1"/>
  <c r="S238" i="2" s="1"/>
  <c r="K238" i="1"/>
  <c r="T238" i="2" s="1"/>
  <c r="U238" i="2" s="1"/>
  <c r="L238" i="1"/>
  <c r="V238" i="2" s="1"/>
  <c r="W238" i="2" s="1"/>
  <c r="Q238" i="1"/>
  <c r="AB238" i="2" s="1"/>
  <c r="B239" i="1"/>
  <c r="B239" i="2" s="1"/>
  <c r="C239" i="2" s="1"/>
  <c r="C239" i="1"/>
  <c r="D239" i="2" s="1"/>
  <c r="E239" i="2" s="1"/>
  <c r="D239" i="1"/>
  <c r="F239" i="2" s="1"/>
  <c r="G239" i="2" s="1"/>
  <c r="E239" i="1"/>
  <c r="H239" i="2" s="1"/>
  <c r="I239" i="2" s="1"/>
  <c r="D221" i="9" s="1"/>
  <c r="F239" i="1"/>
  <c r="J239" i="2" s="1"/>
  <c r="K239" i="2" s="1"/>
  <c r="G239" i="1"/>
  <c r="L239" i="2" s="1"/>
  <c r="M239" i="2" s="1"/>
  <c r="H239" i="1"/>
  <c r="N239" i="2" s="1"/>
  <c r="O239" i="2" s="1"/>
  <c r="I239" i="1"/>
  <c r="P239" i="2" s="1"/>
  <c r="Q239" i="2" s="1"/>
  <c r="C221" i="9" s="1"/>
  <c r="J239" i="1"/>
  <c r="R239" i="2" s="1"/>
  <c r="S239" i="2" s="1"/>
  <c r="K239" i="1"/>
  <c r="T239" i="2" s="1"/>
  <c r="U239" i="2" s="1"/>
  <c r="L239" i="1"/>
  <c r="V239" i="2" s="1"/>
  <c r="W239" i="2" s="1"/>
  <c r="Q239" i="1"/>
  <c r="AB239" i="2" s="1"/>
  <c r="B240" i="1"/>
  <c r="B240" i="2" s="1"/>
  <c r="C240" i="2" s="1"/>
  <c r="C240" i="1"/>
  <c r="D240" i="2" s="1"/>
  <c r="E240" i="2" s="1"/>
  <c r="D240" i="1"/>
  <c r="F240" i="2" s="1"/>
  <c r="G240" i="2" s="1"/>
  <c r="E240" i="1"/>
  <c r="H240" i="2" s="1"/>
  <c r="I240" i="2" s="1"/>
  <c r="D222" i="9" s="1"/>
  <c r="F240" i="1"/>
  <c r="J240" i="2" s="1"/>
  <c r="K240" i="2" s="1"/>
  <c r="G240" i="1"/>
  <c r="L240" i="2" s="1"/>
  <c r="M240" i="2" s="1"/>
  <c r="H240" i="1"/>
  <c r="N240" i="2" s="1"/>
  <c r="O240" i="2" s="1"/>
  <c r="I240" i="1"/>
  <c r="P240" i="2" s="1"/>
  <c r="Q240" i="2" s="1"/>
  <c r="C222" i="9" s="1"/>
  <c r="J240" i="1"/>
  <c r="R240" i="2" s="1"/>
  <c r="S240" i="2" s="1"/>
  <c r="K240" i="1"/>
  <c r="T240" i="2" s="1"/>
  <c r="U240" i="2" s="1"/>
  <c r="L240" i="1"/>
  <c r="V240" i="2" s="1"/>
  <c r="W240" i="2" s="1"/>
  <c r="Q240" i="1"/>
  <c r="AB240" i="2" s="1"/>
  <c r="B241" i="1"/>
  <c r="B241" i="2" s="1"/>
  <c r="C241" i="2" s="1"/>
  <c r="C241" i="1"/>
  <c r="D241" i="2" s="1"/>
  <c r="E241" i="2" s="1"/>
  <c r="D241" i="1"/>
  <c r="F241" i="2" s="1"/>
  <c r="G241" i="2" s="1"/>
  <c r="E241" i="1"/>
  <c r="H241" i="2" s="1"/>
  <c r="I241" i="2" s="1"/>
  <c r="D223" i="9" s="1"/>
  <c r="F241" i="1"/>
  <c r="J241" i="2" s="1"/>
  <c r="K241" i="2" s="1"/>
  <c r="G241" i="1"/>
  <c r="L241" i="2" s="1"/>
  <c r="M241" i="2" s="1"/>
  <c r="H241" i="1"/>
  <c r="N241" i="2" s="1"/>
  <c r="O241" i="2" s="1"/>
  <c r="I241" i="1"/>
  <c r="P241" i="2" s="1"/>
  <c r="Q241" i="2" s="1"/>
  <c r="C223" i="9" s="1"/>
  <c r="J241" i="1"/>
  <c r="R241" i="2" s="1"/>
  <c r="S241" i="2" s="1"/>
  <c r="K241" i="1"/>
  <c r="T241" i="2" s="1"/>
  <c r="U241" i="2" s="1"/>
  <c r="L241" i="1"/>
  <c r="V241" i="2" s="1"/>
  <c r="W241" i="2" s="1"/>
  <c r="Q241" i="1"/>
  <c r="AB241" i="2" s="1"/>
  <c r="B242" i="1"/>
  <c r="B242" i="2" s="1"/>
  <c r="C242" i="2" s="1"/>
  <c r="C242" i="1"/>
  <c r="D242" i="2" s="1"/>
  <c r="E242" i="2" s="1"/>
  <c r="D242" i="1"/>
  <c r="F242" i="2" s="1"/>
  <c r="G242" i="2" s="1"/>
  <c r="E242" i="1"/>
  <c r="H242" i="2" s="1"/>
  <c r="I242" i="2" s="1"/>
  <c r="D224" i="9" s="1"/>
  <c r="F242" i="1"/>
  <c r="J242" i="2" s="1"/>
  <c r="K242" i="2" s="1"/>
  <c r="G242" i="1"/>
  <c r="L242" i="2" s="1"/>
  <c r="M242" i="2" s="1"/>
  <c r="H242" i="1"/>
  <c r="N242" i="2" s="1"/>
  <c r="O242" i="2" s="1"/>
  <c r="I242" i="1"/>
  <c r="P242" i="2" s="1"/>
  <c r="Q242" i="2" s="1"/>
  <c r="C224" i="9" s="1"/>
  <c r="J242" i="1"/>
  <c r="R242" i="2" s="1"/>
  <c r="S242" i="2" s="1"/>
  <c r="K242" i="1"/>
  <c r="T242" i="2" s="1"/>
  <c r="U242" i="2" s="1"/>
  <c r="L242" i="1"/>
  <c r="V242" i="2" s="1"/>
  <c r="W242" i="2" s="1"/>
  <c r="Q242" i="1"/>
  <c r="AB242" i="2" s="1"/>
  <c r="B243" i="1"/>
  <c r="B243" i="2" s="1"/>
  <c r="C243" i="2" s="1"/>
  <c r="C243" i="1"/>
  <c r="D243" i="2" s="1"/>
  <c r="E243" i="2" s="1"/>
  <c r="D243" i="1"/>
  <c r="F243" i="2" s="1"/>
  <c r="G243" i="2" s="1"/>
  <c r="E243" i="1"/>
  <c r="H243" i="2" s="1"/>
  <c r="I243" i="2" s="1"/>
  <c r="D225" i="9" s="1"/>
  <c r="F243" i="1"/>
  <c r="J243" i="2" s="1"/>
  <c r="K243" i="2" s="1"/>
  <c r="G243" i="1"/>
  <c r="L243" i="2" s="1"/>
  <c r="M243" i="2" s="1"/>
  <c r="H243" i="1"/>
  <c r="N243" i="2" s="1"/>
  <c r="O243" i="2" s="1"/>
  <c r="I243" i="1"/>
  <c r="P243" i="2" s="1"/>
  <c r="Q243" i="2" s="1"/>
  <c r="C225" i="9" s="1"/>
  <c r="J243" i="1"/>
  <c r="R243" i="2" s="1"/>
  <c r="S243" i="2" s="1"/>
  <c r="K243" i="1"/>
  <c r="T243" i="2" s="1"/>
  <c r="U243" i="2" s="1"/>
  <c r="L243" i="1"/>
  <c r="V243" i="2" s="1"/>
  <c r="W243" i="2" s="1"/>
  <c r="Q243" i="1"/>
  <c r="AB243" i="2" s="1"/>
  <c r="B244" i="1"/>
  <c r="B244" i="2" s="1"/>
  <c r="C244" i="2" s="1"/>
  <c r="C244" i="1"/>
  <c r="D244" i="2" s="1"/>
  <c r="E244" i="2" s="1"/>
  <c r="D244" i="1"/>
  <c r="F244" i="2" s="1"/>
  <c r="G244" i="2" s="1"/>
  <c r="E244" i="1"/>
  <c r="H244" i="2" s="1"/>
  <c r="I244" i="2" s="1"/>
  <c r="D226" i="9" s="1"/>
  <c r="F244" i="1"/>
  <c r="J244" i="2" s="1"/>
  <c r="K244" i="2" s="1"/>
  <c r="G244" i="1"/>
  <c r="L244" i="2" s="1"/>
  <c r="M244" i="2" s="1"/>
  <c r="H244" i="1"/>
  <c r="N244" i="2" s="1"/>
  <c r="O244" i="2" s="1"/>
  <c r="I244" i="1"/>
  <c r="P244" i="2" s="1"/>
  <c r="Q244" i="2" s="1"/>
  <c r="C226" i="9" s="1"/>
  <c r="J244" i="1"/>
  <c r="R244" i="2" s="1"/>
  <c r="S244" i="2" s="1"/>
  <c r="K244" i="1"/>
  <c r="T244" i="2" s="1"/>
  <c r="U244" i="2" s="1"/>
  <c r="L244" i="1"/>
  <c r="V244" i="2" s="1"/>
  <c r="W244" i="2" s="1"/>
  <c r="Q244" i="1"/>
  <c r="AB244" i="2" s="1"/>
  <c r="B245" i="1"/>
  <c r="B245" i="2" s="1"/>
  <c r="C245" i="2" s="1"/>
  <c r="C245" i="1"/>
  <c r="D245" i="2" s="1"/>
  <c r="E245" i="2" s="1"/>
  <c r="D245" i="1"/>
  <c r="F245" i="2" s="1"/>
  <c r="G245" i="2" s="1"/>
  <c r="E245" i="1"/>
  <c r="H245" i="2" s="1"/>
  <c r="I245" i="2" s="1"/>
  <c r="D227" i="9" s="1"/>
  <c r="F245" i="1"/>
  <c r="J245" i="2" s="1"/>
  <c r="K245" i="2" s="1"/>
  <c r="G245" i="1"/>
  <c r="L245" i="2" s="1"/>
  <c r="M245" i="2" s="1"/>
  <c r="H245" i="1"/>
  <c r="N245" i="2" s="1"/>
  <c r="O245" i="2" s="1"/>
  <c r="I245" i="1"/>
  <c r="P245" i="2" s="1"/>
  <c r="Q245" i="2" s="1"/>
  <c r="C227" i="9" s="1"/>
  <c r="J245" i="1"/>
  <c r="R245" i="2" s="1"/>
  <c r="S245" i="2" s="1"/>
  <c r="K245" i="1"/>
  <c r="T245" i="2" s="1"/>
  <c r="U245" i="2" s="1"/>
  <c r="L245" i="1"/>
  <c r="V245" i="2" s="1"/>
  <c r="W245" i="2" s="1"/>
  <c r="Q245" i="1"/>
  <c r="AB245" i="2" s="1"/>
  <c r="B246" i="1"/>
  <c r="B246" i="2" s="1"/>
  <c r="C246" i="2" s="1"/>
  <c r="C246" i="1"/>
  <c r="D246" i="2" s="1"/>
  <c r="E246" i="2" s="1"/>
  <c r="D246" i="1"/>
  <c r="F246" i="2" s="1"/>
  <c r="G246" i="2" s="1"/>
  <c r="E246" i="1"/>
  <c r="H246" i="2" s="1"/>
  <c r="I246" i="2" s="1"/>
  <c r="D228" i="9" s="1"/>
  <c r="F246" i="1"/>
  <c r="J246" i="2" s="1"/>
  <c r="K246" i="2" s="1"/>
  <c r="G246" i="1"/>
  <c r="L246" i="2" s="1"/>
  <c r="M246" i="2" s="1"/>
  <c r="H246" i="1"/>
  <c r="N246" i="2" s="1"/>
  <c r="O246" i="2" s="1"/>
  <c r="I246" i="1"/>
  <c r="P246" i="2" s="1"/>
  <c r="Q246" i="2" s="1"/>
  <c r="C228" i="9" s="1"/>
  <c r="J246" i="1"/>
  <c r="R246" i="2" s="1"/>
  <c r="S246" i="2" s="1"/>
  <c r="K246" i="1"/>
  <c r="T246" i="2" s="1"/>
  <c r="U246" i="2" s="1"/>
  <c r="L246" i="1"/>
  <c r="V246" i="2" s="1"/>
  <c r="W246" i="2" s="1"/>
  <c r="Q246" i="1"/>
  <c r="AB246" i="2" s="1"/>
  <c r="B247" i="1"/>
  <c r="B247" i="2" s="1"/>
  <c r="C247" i="2" s="1"/>
  <c r="C247" i="1"/>
  <c r="D247" i="2" s="1"/>
  <c r="E247" i="2" s="1"/>
  <c r="D247" i="1"/>
  <c r="F247" i="2" s="1"/>
  <c r="G247" i="2" s="1"/>
  <c r="E247" i="1"/>
  <c r="H247" i="2" s="1"/>
  <c r="I247" i="2" s="1"/>
  <c r="D229" i="9" s="1"/>
  <c r="F247" i="1"/>
  <c r="J247" i="2" s="1"/>
  <c r="K247" i="2" s="1"/>
  <c r="G247" i="1"/>
  <c r="L247" i="2" s="1"/>
  <c r="M247" i="2" s="1"/>
  <c r="H247" i="1"/>
  <c r="N247" i="2" s="1"/>
  <c r="O247" i="2" s="1"/>
  <c r="I247" i="1"/>
  <c r="P247" i="2" s="1"/>
  <c r="Q247" i="2" s="1"/>
  <c r="C229" i="9" s="1"/>
  <c r="J247" i="1"/>
  <c r="R247" i="2" s="1"/>
  <c r="S247" i="2" s="1"/>
  <c r="K247" i="1"/>
  <c r="T247" i="2" s="1"/>
  <c r="U247" i="2" s="1"/>
  <c r="L247" i="1"/>
  <c r="V247" i="2" s="1"/>
  <c r="W247" i="2" s="1"/>
  <c r="Q247" i="1"/>
  <c r="AB247" i="2" s="1"/>
  <c r="B248" i="1"/>
  <c r="B248" i="2" s="1"/>
  <c r="C248" i="2" s="1"/>
  <c r="C248" i="1"/>
  <c r="D248" i="2" s="1"/>
  <c r="E248" i="2" s="1"/>
  <c r="D248" i="1"/>
  <c r="F248" i="2" s="1"/>
  <c r="G248" i="2" s="1"/>
  <c r="E248" i="1"/>
  <c r="H248" i="2" s="1"/>
  <c r="I248" i="2" s="1"/>
  <c r="D230" i="9" s="1"/>
  <c r="F248" i="1"/>
  <c r="J248" i="2" s="1"/>
  <c r="K248" i="2" s="1"/>
  <c r="G248" i="1"/>
  <c r="L248" i="2" s="1"/>
  <c r="M248" i="2" s="1"/>
  <c r="H248" i="1"/>
  <c r="N248" i="2" s="1"/>
  <c r="O248" i="2" s="1"/>
  <c r="I248" i="1"/>
  <c r="P248" i="2" s="1"/>
  <c r="Q248" i="2" s="1"/>
  <c r="C230" i="9" s="1"/>
  <c r="J248" i="1"/>
  <c r="R248" i="2" s="1"/>
  <c r="S248" i="2" s="1"/>
  <c r="K248" i="1"/>
  <c r="T248" i="2" s="1"/>
  <c r="U248" i="2" s="1"/>
  <c r="L248" i="1"/>
  <c r="V248" i="2" s="1"/>
  <c r="W248" i="2" s="1"/>
  <c r="Q248" i="1"/>
  <c r="AB248" i="2" s="1"/>
  <c r="B249" i="1"/>
  <c r="B249" i="2" s="1"/>
  <c r="C249" i="2" s="1"/>
  <c r="C249" i="1"/>
  <c r="D249" i="2" s="1"/>
  <c r="E249" i="2" s="1"/>
  <c r="D249" i="1"/>
  <c r="F249" i="2" s="1"/>
  <c r="G249" i="2" s="1"/>
  <c r="E249" i="1"/>
  <c r="H249" i="2" s="1"/>
  <c r="I249" i="2" s="1"/>
  <c r="D231" i="9" s="1"/>
  <c r="F249" i="1"/>
  <c r="J249" i="2" s="1"/>
  <c r="K249" i="2" s="1"/>
  <c r="G249" i="1"/>
  <c r="L249" i="2" s="1"/>
  <c r="M249" i="2" s="1"/>
  <c r="H249" i="1"/>
  <c r="N249" i="2" s="1"/>
  <c r="O249" i="2" s="1"/>
  <c r="I249" i="1"/>
  <c r="P249" i="2" s="1"/>
  <c r="Q249" i="2" s="1"/>
  <c r="C231" i="9" s="1"/>
  <c r="J249" i="1"/>
  <c r="R249" i="2" s="1"/>
  <c r="S249" i="2" s="1"/>
  <c r="K249" i="1"/>
  <c r="T249" i="2" s="1"/>
  <c r="U249" i="2" s="1"/>
  <c r="L249" i="1"/>
  <c r="V249" i="2" s="1"/>
  <c r="W249" i="2" s="1"/>
  <c r="Q249" i="1"/>
  <c r="AB249" i="2" s="1"/>
  <c r="B250" i="1"/>
  <c r="B250" i="2" s="1"/>
  <c r="C250" i="2" s="1"/>
  <c r="C250" i="1"/>
  <c r="D250" i="2" s="1"/>
  <c r="E250" i="2" s="1"/>
  <c r="D250" i="1"/>
  <c r="F250" i="2" s="1"/>
  <c r="G250" i="2" s="1"/>
  <c r="E250" i="1"/>
  <c r="H250" i="2" s="1"/>
  <c r="I250" i="2" s="1"/>
  <c r="D232" i="9" s="1"/>
  <c r="F250" i="1"/>
  <c r="J250" i="2" s="1"/>
  <c r="K250" i="2" s="1"/>
  <c r="G250" i="1"/>
  <c r="L250" i="2" s="1"/>
  <c r="M250" i="2" s="1"/>
  <c r="H250" i="1"/>
  <c r="N250" i="2" s="1"/>
  <c r="O250" i="2" s="1"/>
  <c r="I250" i="1"/>
  <c r="P250" i="2" s="1"/>
  <c r="Q250" i="2" s="1"/>
  <c r="C232" i="9" s="1"/>
  <c r="J250" i="1"/>
  <c r="R250" i="2" s="1"/>
  <c r="S250" i="2" s="1"/>
  <c r="K250" i="1"/>
  <c r="T250" i="2" s="1"/>
  <c r="U250" i="2" s="1"/>
  <c r="L250" i="1"/>
  <c r="V250" i="2" s="1"/>
  <c r="W250" i="2" s="1"/>
  <c r="Q250" i="1"/>
  <c r="AB250" i="2" s="1"/>
  <c r="B251" i="1"/>
  <c r="B251" i="2" s="1"/>
  <c r="C251" i="2" s="1"/>
  <c r="C251" i="1"/>
  <c r="D251" i="2" s="1"/>
  <c r="E251" i="2" s="1"/>
  <c r="D251" i="1"/>
  <c r="F251" i="2" s="1"/>
  <c r="G251" i="2" s="1"/>
  <c r="E251" i="1"/>
  <c r="H251" i="2" s="1"/>
  <c r="I251" i="2" s="1"/>
  <c r="D233" i="9" s="1"/>
  <c r="F251" i="1"/>
  <c r="J251" i="2" s="1"/>
  <c r="K251" i="2" s="1"/>
  <c r="G251" i="1"/>
  <c r="L251" i="2" s="1"/>
  <c r="M251" i="2" s="1"/>
  <c r="H251" i="1"/>
  <c r="N251" i="2" s="1"/>
  <c r="O251" i="2" s="1"/>
  <c r="I251" i="1"/>
  <c r="P251" i="2" s="1"/>
  <c r="Q251" i="2" s="1"/>
  <c r="C233" i="9" s="1"/>
  <c r="J251" i="1"/>
  <c r="R251" i="2" s="1"/>
  <c r="S251" i="2" s="1"/>
  <c r="K251" i="1"/>
  <c r="T251" i="2" s="1"/>
  <c r="U251" i="2" s="1"/>
  <c r="L251" i="1"/>
  <c r="V251" i="2" s="1"/>
  <c r="W251" i="2" s="1"/>
  <c r="Q251" i="1"/>
  <c r="AB251" i="2" s="1"/>
  <c r="B252" i="1"/>
  <c r="B252" i="2" s="1"/>
  <c r="C252" i="2" s="1"/>
  <c r="C252" i="1"/>
  <c r="D252" i="2" s="1"/>
  <c r="E252" i="2" s="1"/>
  <c r="D252" i="1"/>
  <c r="F252" i="2" s="1"/>
  <c r="G252" i="2" s="1"/>
  <c r="E252" i="1"/>
  <c r="H252" i="2" s="1"/>
  <c r="I252" i="2" s="1"/>
  <c r="D234" i="9" s="1"/>
  <c r="F252" i="1"/>
  <c r="J252" i="2" s="1"/>
  <c r="K252" i="2" s="1"/>
  <c r="G252" i="1"/>
  <c r="L252" i="2" s="1"/>
  <c r="M252" i="2" s="1"/>
  <c r="H252" i="1"/>
  <c r="N252" i="2" s="1"/>
  <c r="O252" i="2" s="1"/>
  <c r="I252" i="1"/>
  <c r="P252" i="2" s="1"/>
  <c r="Q252" i="2" s="1"/>
  <c r="C234" i="9" s="1"/>
  <c r="J252" i="1"/>
  <c r="R252" i="2" s="1"/>
  <c r="S252" i="2" s="1"/>
  <c r="K252" i="1"/>
  <c r="T252" i="2" s="1"/>
  <c r="U252" i="2" s="1"/>
  <c r="L252" i="1"/>
  <c r="V252" i="2" s="1"/>
  <c r="W252" i="2" s="1"/>
  <c r="Q252" i="1"/>
  <c r="AB252" i="2" s="1"/>
  <c r="B253" i="1"/>
  <c r="B253" i="2" s="1"/>
  <c r="C253" i="2" s="1"/>
  <c r="C253" i="1"/>
  <c r="D253" i="2" s="1"/>
  <c r="E253" i="2" s="1"/>
  <c r="D253" i="1"/>
  <c r="F253" i="2" s="1"/>
  <c r="G253" i="2" s="1"/>
  <c r="E253" i="1"/>
  <c r="H253" i="2" s="1"/>
  <c r="I253" i="2" s="1"/>
  <c r="D235" i="9" s="1"/>
  <c r="F253" i="1"/>
  <c r="J253" i="2" s="1"/>
  <c r="K253" i="2" s="1"/>
  <c r="G253" i="1"/>
  <c r="L253" i="2" s="1"/>
  <c r="M253" i="2" s="1"/>
  <c r="H253" i="1"/>
  <c r="N253" i="2" s="1"/>
  <c r="O253" i="2" s="1"/>
  <c r="I253" i="1"/>
  <c r="P253" i="2" s="1"/>
  <c r="Q253" i="2" s="1"/>
  <c r="C235" i="9" s="1"/>
  <c r="J253" i="1"/>
  <c r="R253" i="2" s="1"/>
  <c r="S253" i="2" s="1"/>
  <c r="K253" i="1"/>
  <c r="T253" i="2" s="1"/>
  <c r="U253" i="2" s="1"/>
  <c r="L253" i="1"/>
  <c r="V253" i="2" s="1"/>
  <c r="W253" i="2" s="1"/>
  <c r="Q253" i="1"/>
  <c r="AB253" i="2" s="1"/>
  <c r="B254" i="1"/>
  <c r="B254" i="2" s="1"/>
  <c r="C254" i="2" s="1"/>
  <c r="C254" i="1"/>
  <c r="D254" i="2" s="1"/>
  <c r="E254" i="2" s="1"/>
  <c r="D254" i="1"/>
  <c r="F254" i="2" s="1"/>
  <c r="G254" i="2" s="1"/>
  <c r="E254" i="1"/>
  <c r="H254" i="2" s="1"/>
  <c r="I254" i="2" s="1"/>
  <c r="D236" i="9" s="1"/>
  <c r="F254" i="1"/>
  <c r="J254" i="2" s="1"/>
  <c r="K254" i="2" s="1"/>
  <c r="G254" i="1"/>
  <c r="L254" i="2" s="1"/>
  <c r="M254" i="2" s="1"/>
  <c r="H254" i="1"/>
  <c r="N254" i="2" s="1"/>
  <c r="O254" i="2" s="1"/>
  <c r="I254" i="1"/>
  <c r="P254" i="2" s="1"/>
  <c r="Q254" i="2" s="1"/>
  <c r="C236" i="9" s="1"/>
  <c r="J254" i="1"/>
  <c r="R254" i="2" s="1"/>
  <c r="S254" i="2" s="1"/>
  <c r="K254" i="1"/>
  <c r="T254" i="2" s="1"/>
  <c r="U254" i="2" s="1"/>
  <c r="L254" i="1"/>
  <c r="V254" i="2" s="1"/>
  <c r="W254" i="2" s="1"/>
  <c r="Q254" i="1"/>
  <c r="AB254" i="2" s="1"/>
  <c r="B255" i="1"/>
  <c r="B255" i="2" s="1"/>
  <c r="C255" i="2" s="1"/>
  <c r="C255" i="1"/>
  <c r="D255" i="2" s="1"/>
  <c r="E255" i="2" s="1"/>
  <c r="D255" i="1"/>
  <c r="F255" i="2" s="1"/>
  <c r="G255" i="2" s="1"/>
  <c r="E255" i="1"/>
  <c r="H255" i="2" s="1"/>
  <c r="I255" i="2" s="1"/>
  <c r="D237" i="9" s="1"/>
  <c r="F255" i="1"/>
  <c r="J255" i="2" s="1"/>
  <c r="K255" i="2" s="1"/>
  <c r="G255" i="1"/>
  <c r="L255" i="2" s="1"/>
  <c r="M255" i="2" s="1"/>
  <c r="H255" i="1"/>
  <c r="N255" i="2" s="1"/>
  <c r="O255" i="2" s="1"/>
  <c r="I255" i="1"/>
  <c r="P255" i="2" s="1"/>
  <c r="Q255" i="2" s="1"/>
  <c r="C237" i="9" s="1"/>
  <c r="J255" i="1"/>
  <c r="R255" i="2" s="1"/>
  <c r="S255" i="2" s="1"/>
  <c r="K255" i="1"/>
  <c r="T255" i="2" s="1"/>
  <c r="U255" i="2" s="1"/>
  <c r="L255" i="1"/>
  <c r="V255" i="2" s="1"/>
  <c r="W255" i="2" s="1"/>
  <c r="Q255" i="1"/>
  <c r="AB255" i="2" s="1"/>
  <c r="B256" i="1"/>
  <c r="B256" i="2" s="1"/>
  <c r="C256" i="2" s="1"/>
  <c r="C256" i="1"/>
  <c r="D256" i="2" s="1"/>
  <c r="E256" i="2" s="1"/>
  <c r="D256" i="1"/>
  <c r="F256" i="2" s="1"/>
  <c r="G256" i="2" s="1"/>
  <c r="E256" i="1"/>
  <c r="H256" i="2" s="1"/>
  <c r="I256" i="2" s="1"/>
  <c r="D238" i="9" s="1"/>
  <c r="F256" i="1"/>
  <c r="J256" i="2" s="1"/>
  <c r="K256" i="2" s="1"/>
  <c r="G256" i="1"/>
  <c r="L256" i="2" s="1"/>
  <c r="M256" i="2" s="1"/>
  <c r="H256" i="1"/>
  <c r="N256" i="2" s="1"/>
  <c r="O256" i="2" s="1"/>
  <c r="I256" i="1"/>
  <c r="P256" i="2" s="1"/>
  <c r="Q256" i="2" s="1"/>
  <c r="C238" i="9" s="1"/>
  <c r="J256" i="1"/>
  <c r="R256" i="2" s="1"/>
  <c r="S256" i="2" s="1"/>
  <c r="K256" i="1"/>
  <c r="T256" i="2" s="1"/>
  <c r="U256" i="2" s="1"/>
  <c r="L256" i="1"/>
  <c r="V256" i="2" s="1"/>
  <c r="W256" i="2" s="1"/>
  <c r="Q256" i="1"/>
  <c r="AB256" i="2" s="1"/>
  <c r="B257" i="1"/>
  <c r="B257" i="2" s="1"/>
  <c r="C257" i="2" s="1"/>
  <c r="C257" i="1"/>
  <c r="D257" i="2" s="1"/>
  <c r="E257" i="2" s="1"/>
  <c r="D257" i="1"/>
  <c r="F257" i="2" s="1"/>
  <c r="G257" i="2" s="1"/>
  <c r="E257" i="1"/>
  <c r="H257" i="2" s="1"/>
  <c r="I257" i="2" s="1"/>
  <c r="D239" i="9" s="1"/>
  <c r="F257" i="1"/>
  <c r="J257" i="2" s="1"/>
  <c r="K257" i="2" s="1"/>
  <c r="G257" i="1"/>
  <c r="L257" i="2" s="1"/>
  <c r="M257" i="2" s="1"/>
  <c r="H257" i="1"/>
  <c r="N257" i="2" s="1"/>
  <c r="O257" i="2" s="1"/>
  <c r="I257" i="1"/>
  <c r="P257" i="2" s="1"/>
  <c r="Q257" i="2" s="1"/>
  <c r="C239" i="9" s="1"/>
  <c r="J257" i="1"/>
  <c r="R257" i="2" s="1"/>
  <c r="S257" i="2" s="1"/>
  <c r="K257" i="1"/>
  <c r="T257" i="2" s="1"/>
  <c r="U257" i="2" s="1"/>
  <c r="L257" i="1"/>
  <c r="V257" i="2" s="1"/>
  <c r="W257" i="2" s="1"/>
  <c r="Q257" i="1"/>
  <c r="AB257" i="2" s="1"/>
  <c r="B258" i="1"/>
  <c r="B258" i="2" s="1"/>
  <c r="C258" i="2" s="1"/>
  <c r="C258" i="1"/>
  <c r="D258" i="2" s="1"/>
  <c r="E258" i="2" s="1"/>
  <c r="D258" i="1"/>
  <c r="F258" i="2" s="1"/>
  <c r="G258" i="2" s="1"/>
  <c r="E258" i="1"/>
  <c r="H258" i="2" s="1"/>
  <c r="I258" i="2" s="1"/>
  <c r="D240" i="9" s="1"/>
  <c r="F258" i="1"/>
  <c r="J258" i="2" s="1"/>
  <c r="K258" i="2" s="1"/>
  <c r="G258" i="1"/>
  <c r="L258" i="2" s="1"/>
  <c r="M258" i="2" s="1"/>
  <c r="H258" i="1"/>
  <c r="N258" i="2" s="1"/>
  <c r="O258" i="2" s="1"/>
  <c r="I258" i="1"/>
  <c r="P258" i="2" s="1"/>
  <c r="Q258" i="2" s="1"/>
  <c r="C240" i="9" s="1"/>
  <c r="J258" i="1"/>
  <c r="R258" i="2" s="1"/>
  <c r="S258" i="2" s="1"/>
  <c r="K258" i="1"/>
  <c r="T258" i="2" s="1"/>
  <c r="U258" i="2" s="1"/>
  <c r="L258" i="1"/>
  <c r="V258" i="2" s="1"/>
  <c r="W258" i="2" s="1"/>
  <c r="Q258" i="1"/>
  <c r="AB258" i="2" s="1"/>
  <c r="B259" i="1"/>
  <c r="B259" i="2" s="1"/>
  <c r="C259" i="2" s="1"/>
  <c r="C259" i="1"/>
  <c r="D259" i="2" s="1"/>
  <c r="E259" i="2" s="1"/>
  <c r="D259" i="1"/>
  <c r="F259" i="2" s="1"/>
  <c r="G259" i="2" s="1"/>
  <c r="E259" i="1"/>
  <c r="H259" i="2" s="1"/>
  <c r="I259" i="2" s="1"/>
  <c r="D241" i="9" s="1"/>
  <c r="F259" i="1"/>
  <c r="J259" i="2" s="1"/>
  <c r="K259" i="2" s="1"/>
  <c r="G259" i="1"/>
  <c r="L259" i="2" s="1"/>
  <c r="M259" i="2" s="1"/>
  <c r="H259" i="1"/>
  <c r="N259" i="2" s="1"/>
  <c r="O259" i="2" s="1"/>
  <c r="I259" i="1"/>
  <c r="P259" i="2" s="1"/>
  <c r="Q259" i="2" s="1"/>
  <c r="C241" i="9" s="1"/>
  <c r="J259" i="1"/>
  <c r="R259" i="2" s="1"/>
  <c r="S259" i="2" s="1"/>
  <c r="K259" i="1"/>
  <c r="T259" i="2" s="1"/>
  <c r="U259" i="2" s="1"/>
  <c r="L259" i="1"/>
  <c r="V259" i="2" s="1"/>
  <c r="W259" i="2" s="1"/>
  <c r="Q259" i="1"/>
  <c r="AB259" i="2" s="1"/>
  <c r="B260" i="1"/>
  <c r="B260" i="2" s="1"/>
  <c r="C260" i="2" s="1"/>
  <c r="C260" i="1"/>
  <c r="D260" i="2" s="1"/>
  <c r="E260" i="2" s="1"/>
  <c r="D260" i="1"/>
  <c r="F260" i="2" s="1"/>
  <c r="G260" i="2" s="1"/>
  <c r="E260" i="1"/>
  <c r="H260" i="2" s="1"/>
  <c r="I260" i="2" s="1"/>
  <c r="D242" i="9" s="1"/>
  <c r="F260" i="1"/>
  <c r="J260" i="2" s="1"/>
  <c r="K260" i="2" s="1"/>
  <c r="G260" i="1"/>
  <c r="L260" i="2" s="1"/>
  <c r="M260" i="2" s="1"/>
  <c r="H260" i="1"/>
  <c r="N260" i="2" s="1"/>
  <c r="O260" i="2" s="1"/>
  <c r="I260" i="1"/>
  <c r="P260" i="2" s="1"/>
  <c r="Q260" i="2" s="1"/>
  <c r="C242" i="9" s="1"/>
  <c r="J260" i="1"/>
  <c r="R260" i="2" s="1"/>
  <c r="S260" i="2" s="1"/>
  <c r="K260" i="1"/>
  <c r="T260" i="2" s="1"/>
  <c r="U260" i="2" s="1"/>
  <c r="L260" i="1"/>
  <c r="V260" i="2" s="1"/>
  <c r="W260" i="2" s="1"/>
  <c r="Q260" i="1"/>
  <c r="AB260" i="2" s="1"/>
  <c r="B261" i="1"/>
  <c r="B261" i="2" s="1"/>
  <c r="C261" i="2" s="1"/>
  <c r="C261" i="1"/>
  <c r="D261" i="2" s="1"/>
  <c r="E261" i="2" s="1"/>
  <c r="D261" i="1"/>
  <c r="F261" i="2" s="1"/>
  <c r="G261" i="2" s="1"/>
  <c r="E261" i="1"/>
  <c r="H261" i="2" s="1"/>
  <c r="I261" i="2" s="1"/>
  <c r="D243" i="9" s="1"/>
  <c r="F261" i="1"/>
  <c r="J261" i="2" s="1"/>
  <c r="K261" i="2" s="1"/>
  <c r="G261" i="1"/>
  <c r="L261" i="2" s="1"/>
  <c r="M261" i="2" s="1"/>
  <c r="H261" i="1"/>
  <c r="N261" i="2" s="1"/>
  <c r="O261" i="2" s="1"/>
  <c r="I261" i="1"/>
  <c r="P261" i="2" s="1"/>
  <c r="Q261" i="2" s="1"/>
  <c r="C243" i="9" s="1"/>
  <c r="J261" i="1"/>
  <c r="R261" i="2" s="1"/>
  <c r="S261" i="2" s="1"/>
  <c r="K261" i="1"/>
  <c r="T261" i="2" s="1"/>
  <c r="U261" i="2" s="1"/>
  <c r="L261" i="1"/>
  <c r="V261" i="2" s="1"/>
  <c r="W261" i="2" s="1"/>
  <c r="Q261" i="1"/>
  <c r="AB261" i="2" s="1"/>
  <c r="B262" i="1"/>
  <c r="B262" i="2" s="1"/>
  <c r="C262" i="2" s="1"/>
  <c r="C262" i="1"/>
  <c r="D262" i="2" s="1"/>
  <c r="E262" i="2" s="1"/>
  <c r="D262" i="1"/>
  <c r="F262" i="2" s="1"/>
  <c r="G262" i="2" s="1"/>
  <c r="E262" i="1"/>
  <c r="H262" i="2" s="1"/>
  <c r="I262" i="2" s="1"/>
  <c r="D244" i="9" s="1"/>
  <c r="F262" i="1"/>
  <c r="J262" i="2" s="1"/>
  <c r="K262" i="2" s="1"/>
  <c r="G262" i="1"/>
  <c r="L262" i="2" s="1"/>
  <c r="M262" i="2" s="1"/>
  <c r="H262" i="1"/>
  <c r="N262" i="2" s="1"/>
  <c r="O262" i="2" s="1"/>
  <c r="I262" i="1"/>
  <c r="P262" i="2" s="1"/>
  <c r="Q262" i="2" s="1"/>
  <c r="C244" i="9" s="1"/>
  <c r="J262" i="1"/>
  <c r="R262" i="2" s="1"/>
  <c r="S262" i="2" s="1"/>
  <c r="K262" i="1"/>
  <c r="T262" i="2" s="1"/>
  <c r="U262" i="2" s="1"/>
  <c r="L262" i="1"/>
  <c r="V262" i="2" s="1"/>
  <c r="W262" i="2" s="1"/>
  <c r="Q262" i="1"/>
  <c r="AB262" i="2" s="1"/>
  <c r="B263" i="1"/>
  <c r="B263" i="2" s="1"/>
  <c r="C263" i="2" s="1"/>
  <c r="C263" i="1"/>
  <c r="D263" i="2" s="1"/>
  <c r="E263" i="2" s="1"/>
  <c r="D263" i="1"/>
  <c r="F263" i="2" s="1"/>
  <c r="G263" i="2" s="1"/>
  <c r="E263" i="1"/>
  <c r="H263" i="2" s="1"/>
  <c r="I263" i="2" s="1"/>
  <c r="D245" i="9" s="1"/>
  <c r="F263" i="1"/>
  <c r="J263" i="2" s="1"/>
  <c r="K263" i="2" s="1"/>
  <c r="G263" i="1"/>
  <c r="L263" i="2" s="1"/>
  <c r="M263" i="2" s="1"/>
  <c r="H263" i="1"/>
  <c r="N263" i="2" s="1"/>
  <c r="O263" i="2" s="1"/>
  <c r="I263" i="1"/>
  <c r="P263" i="2" s="1"/>
  <c r="Q263" i="2" s="1"/>
  <c r="C245" i="9" s="1"/>
  <c r="J263" i="1"/>
  <c r="R263" i="2" s="1"/>
  <c r="S263" i="2" s="1"/>
  <c r="K263" i="1"/>
  <c r="T263" i="2" s="1"/>
  <c r="U263" i="2" s="1"/>
  <c r="L263" i="1"/>
  <c r="V263" i="2" s="1"/>
  <c r="W263" i="2" s="1"/>
  <c r="Q263" i="1"/>
  <c r="AB263" i="2" s="1"/>
  <c r="B264" i="1"/>
  <c r="B264" i="2" s="1"/>
  <c r="C264" i="2" s="1"/>
  <c r="C264" i="1"/>
  <c r="D264" i="2" s="1"/>
  <c r="E264" i="2" s="1"/>
  <c r="D264" i="1"/>
  <c r="F264" i="2" s="1"/>
  <c r="G264" i="2" s="1"/>
  <c r="E264" i="1"/>
  <c r="H264" i="2" s="1"/>
  <c r="I264" i="2" s="1"/>
  <c r="D246" i="9" s="1"/>
  <c r="F264" i="1"/>
  <c r="J264" i="2" s="1"/>
  <c r="K264" i="2" s="1"/>
  <c r="G264" i="1"/>
  <c r="L264" i="2" s="1"/>
  <c r="M264" i="2" s="1"/>
  <c r="H264" i="1"/>
  <c r="N264" i="2" s="1"/>
  <c r="O264" i="2" s="1"/>
  <c r="I264" i="1"/>
  <c r="P264" i="2" s="1"/>
  <c r="Q264" i="2" s="1"/>
  <c r="C246" i="9" s="1"/>
  <c r="J264" i="1"/>
  <c r="R264" i="2" s="1"/>
  <c r="S264" i="2" s="1"/>
  <c r="K264" i="1"/>
  <c r="T264" i="2" s="1"/>
  <c r="U264" i="2" s="1"/>
  <c r="L264" i="1"/>
  <c r="V264" i="2" s="1"/>
  <c r="W264" i="2" s="1"/>
  <c r="Q264" i="1"/>
  <c r="AB264" i="2" s="1"/>
  <c r="B265" i="1"/>
  <c r="B265" i="2" s="1"/>
  <c r="C265" i="2" s="1"/>
  <c r="C265" i="1"/>
  <c r="D265" i="2" s="1"/>
  <c r="E265" i="2" s="1"/>
  <c r="D265" i="1"/>
  <c r="F265" i="2" s="1"/>
  <c r="G265" i="2" s="1"/>
  <c r="E265" i="1"/>
  <c r="H265" i="2" s="1"/>
  <c r="I265" i="2" s="1"/>
  <c r="D247" i="9" s="1"/>
  <c r="F265" i="1"/>
  <c r="J265" i="2" s="1"/>
  <c r="K265" i="2" s="1"/>
  <c r="G265" i="1"/>
  <c r="L265" i="2" s="1"/>
  <c r="M265" i="2" s="1"/>
  <c r="H265" i="1"/>
  <c r="N265" i="2" s="1"/>
  <c r="O265" i="2" s="1"/>
  <c r="I265" i="1"/>
  <c r="P265" i="2" s="1"/>
  <c r="Q265" i="2" s="1"/>
  <c r="C247" i="9" s="1"/>
  <c r="J265" i="1"/>
  <c r="R265" i="2" s="1"/>
  <c r="S265" i="2" s="1"/>
  <c r="K265" i="1"/>
  <c r="T265" i="2" s="1"/>
  <c r="U265" i="2" s="1"/>
  <c r="L265" i="1"/>
  <c r="V265" i="2" s="1"/>
  <c r="W265" i="2" s="1"/>
  <c r="Q265" i="1"/>
  <c r="AB265" i="2" s="1"/>
  <c r="B266" i="1"/>
  <c r="B266" i="2" s="1"/>
  <c r="C266" i="2" s="1"/>
  <c r="C266" i="1"/>
  <c r="D266" i="2" s="1"/>
  <c r="E266" i="2" s="1"/>
  <c r="D266" i="1"/>
  <c r="F266" i="2" s="1"/>
  <c r="G266" i="2" s="1"/>
  <c r="E266" i="1"/>
  <c r="H266" i="2" s="1"/>
  <c r="I266" i="2" s="1"/>
  <c r="D248" i="9" s="1"/>
  <c r="F266" i="1"/>
  <c r="J266" i="2" s="1"/>
  <c r="K266" i="2" s="1"/>
  <c r="G266" i="1"/>
  <c r="L266" i="2" s="1"/>
  <c r="M266" i="2" s="1"/>
  <c r="H266" i="1"/>
  <c r="N266" i="2" s="1"/>
  <c r="O266" i="2" s="1"/>
  <c r="I266" i="1"/>
  <c r="P266" i="2" s="1"/>
  <c r="Q266" i="2" s="1"/>
  <c r="C248" i="9" s="1"/>
  <c r="J266" i="1"/>
  <c r="R266" i="2" s="1"/>
  <c r="S266" i="2" s="1"/>
  <c r="K266" i="1"/>
  <c r="T266" i="2" s="1"/>
  <c r="U266" i="2" s="1"/>
  <c r="L266" i="1"/>
  <c r="V266" i="2" s="1"/>
  <c r="W266" i="2" s="1"/>
  <c r="Q266" i="1"/>
  <c r="AB266" i="2" s="1"/>
  <c r="B267" i="1"/>
  <c r="B267" i="2" s="1"/>
  <c r="C267" i="2" s="1"/>
  <c r="C267" i="1"/>
  <c r="D267" i="2" s="1"/>
  <c r="E267" i="2" s="1"/>
  <c r="D267" i="1"/>
  <c r="F267" i="2" s="1"/>
  <c r="G267" i="2" s="1"/>
  <c r="E267" i="1"/>
  <c r="H267" i="2" s="1"/>
  <c r="I267" i="2" s="1"/>
  <c r="D249" i="9" s="1"/>
  <c r="F267" i="1"/>
  <c r="J267" i="2" s="1"/>
  <c r="K267" i="2" s="1"/>
  <c r="G267" i="1"/>
  <c r="L267" i="2" s="1"/>
  <c r="M267" i="2" s="1"/>
  <c r="H267" i="1"/>
  <c r="N267" i="2" s="1"/>
  <c r="O267" i="2" s="1"/>
  <c r="I267" i="1"/>
  <c r="P267" i="2" s="1"/>
  <c r="Q267" i="2" s="1"/>
  <c r="C249" i="9" s="1"/>
  <c r="J267" i="1"/>
  <c r="R267" i="2" s="1"/>
  <c r="S267" i="2" s="1"/>
  <c r="K267" i="1"/>
  <c r="T267" i="2" s="1"/>
  <c r="U267" i="2" s="1"/>
  <c r="L267" i="1"/>
  <c r="V267" i="2" s="1"/>
  <c r="W267" i="2" s="1"/>
  <c r="Q267" i="1"/>
  <c r="AB267" i="2" s="1"/>
  <c r="B268" i="1"/>
  <c r="B268" i="2" s="1"/>
  <c r="C268" i="2" s="1"/>
  <c r="C268" i="1"/>
  <c r="D268" i="2" s="1"/>
  <c r="E268" i="2" s="1"/>
  <c r="D268" i="1"/>
  <c r="F268" i="2" s="1"/>
  <c r="G268" i="2" s="1"/>
  <c r="E268" i="1"/>
  <c r="H268" i="2" s="1"/>
  <c r="I268" i="2" s="1"/>
  <c r="D250" i="9" s="1"/>
  <c r="F268" i="1"/>
  <c r="J268" i="2" s="1"/>
  <c r="K268" i="2" s="1"/>
  <c r="G268" i="1"/>
  <c r="L268" i="2" s="1"/>
  <c r="M268" i="2" s="1"/>
  <c r="H268" i="1"/>
  <c r="N268" i="2" s="1"/>
  <c r="O268" i="2" s="1"/>
  <c r="I268" i="1"/>
  <c r="P268" i="2" s="1"/>
  <c r="Q268" i="2" s="1"/>
  <c r="C250" i="9" s="1"/>
  <c r="J268" i="1"/>
  <c r="R268" i="2" s="1"/>
  <c r="S268" i="2" s="1"/>
  <c r="K268" i="1"/>
  <c r="T268" i="2" s="1"/>
  <c r="U268" i="2" s="1"/>
  <c r="L268" i="1"/>
  <c r="V268" i="2" s="1"/>
  <c r="W268" i="2" s="1"/>
  <c r="Q268" i="1"/>
  <c r="AB268" i="2" s="1"/>
  <c r="B269" i="1"/>
  <c r="B269" i="2" s="1"/>
  <c r="C269" i="2" s="1"/>
  <c r="C269" i="1"/>
  <c r="D269" i="2" s="1"/>
  <c r="E269" i="2" s="1"/>
  <c r="D269" i="1"/>
  <c r="F269" i="2" s="1"/>
  <c r="G269" i="2" s="1"/>
  <c r="E269" i="1"/>
  <c r="H269" i="2" s="1"/>
  <c r="I269" i="2" s="1"/>
  <c r="D251" i="9" s="1"/>
  <c r="F269" i="1"/>
  <c r="J269" i="2" s="1"/>
  <c r="K269" i="2" s="1"/>
  <c r="G269" i="1"/>
  <c r="L269" i="2" s="1"/>
  <c r="M269" i="2" s="1"/>
  <c r="H269" i="1"/>
  <c r="N269" i="2" s="1"/>
  <c r="O269" i="2" s="1"/>
  <c r="I269" i="1"/>
  <c r="P269" i="2" s="1"/>
  <c r="Q269" i="2" s="1"/>
  <c r="C251" i="9" s="1"/>
  <c r="J269" i="1"/>
  <c r="R269" i="2" s="1"/>
  <c r="S269" i="2" s="1"/>
  <c r="K269" i="1"/>
  <c r="T269" i="2" s="1"/>
  <c r="U269" i="2" s="1"/>
  <c r="L269" i="1"/>
  <c r="V269" i="2" s="1"/>
  <c r="W269" i="2" s="1"/>
  <c r="Q269" i="1"/>
  <c r="AB269" i="2" s="1"/>
  <c r="B270" i="1"/>
  <c r="B270" i="2" s="1"/>
  <c r="C270" i="2" s="1"/>
  <c r="C270" i="1"/>
  <c r="D270" i="2" s="1"/>
  <c r="E270" i="2" s="1"/>
  <c r="D270" i="1"/>
  <c r="F270" i="2" s="1"/>
  <c r="G270" i="2" s="1"/>
  <c r="E270" i="1"/>
  <c r="H270" i="2" s="1"/>
  <c r="I270" i="2" s="1"/>
  <c r="D252" i="9" s="1"/>
  <c r="F270" i="1"/>
  <c r="J270" i="2" s="1"/>
  <c r="K270" i="2" s="1"/>
  <c r="G270" i="1"/>
  <c r="L270" i="2" s="1"/>
  <c r="M270" i="2" s="1"/>
  <c r="H270" i="1"/>
  <c r="N270" i="2" s="1"/>
  <c r="O270" i="2" s="1"/>
  <c r="I270" i="1"/>
  <c r="P270" i="2" s="1"/>
  <c r="Q270" i="2" s="1"/>
  <c r="C252" i="9" s="1"/>
  <c r="J270" i="1"/>
  <c r="R270" i="2" s="1"/>
  <c r="S270" i="2" s="1"/>
  <c r="K270" i="1"/>
  <c r="T270" i="2" s="1"/>
  <c r="U270" i="2" s="1"/>
  <c r="L270" i="1"/>
  <c r="V270" i="2" s="1"/>
  <c r="W270" i="2" s="1"/>
  <c r="Q270" i="1"/>
  <c r="AB270" i="2" s="1"/>
  <c r="B271" i="1"/>
  <c r="B271" i="2" s="1"/>
  <c r="C271" i="2" s="1"/>
  <c r="C271" i="1"/>
  <c r="D271" i="2" s="1"/>
  <c r="E271" i="2" s="1"/>
  <c r="D271" i="1"/>
  <c r="F271" i="2" s="1"/>
  <c r="G271" i="2" s="1"/>
  <c r="E271" i="1"/>
  <c r="H271" i="2" s="1"/>
  <c r="I271" i="2" s="1"/>
  <c r="D253" i="9" s="1"/>
  <c r="F271" i="1"/>
  <c r="J271" i="2" s="1"/>
  <c r="K271" i="2" s="1"/>
  <c r="G271" i="1"/>
  <c r="L271" i="2" s="1"/>
  <c r="M271" i="2" s="1"/>
  <c r="H271" i="1"/>
  <c r="N271" i="2" s="1"/>
  <c r="O271" i="2" s="1"/>
  <c r="I271" i="1"/>
  <c r="P271" i="2" s="1"/>
  <c r="Q271" i="2" s="1"/>
  <c r="C253" i="9" s="1"/>
  <c r="J271" i="1"/>
  <c r="R271" i="2" s="1"/>
  <c r="S271" i="2" s="1"/>
  <c r="K271" i="1"/>
  <c r="T271" i="2" s="1"/>
  <c r="U271" i="2" s="1"/>
  <c r="L271" i="1"/>
  <c r="V271" i="2" s="1"/>
  <c r="W271" i="2" s="1"/>
  <c r="Q271" i="1"/>
  <c r="AB271" i="2" s="1"/>
  <c r="B272" i="1"/>
  <c r="B272" i="2" s="1"/>
  <c r="C272" i="2" s="1"/>
  <c r="C272" i="1"/>
  <c r="D272" i="2" s="1"/>
  <c r="E272" i="2" s="1"/>
  <c r="D272" i="1"/>
  <c r="F272" i="2" s="1"/>
  <c r="G272" i="2" s="1"/>
  <c r="E272" i="1"/>
  <c r="H272" i="2" s="1"/>
  <c r="I272" i="2" s="1"/>
  <c r="D254" i="9" s="1"/>
  <c r="F272" i="1"/>
  <c r="J272" i="2" s="1"/>
  <c r="K272" i="2" s="1"/>
  <c r="G272" i="1"/>
  <c r="L272" i="2" s="1"/>
  <c r="M272" i="2" s="1"/>
  <c r="H272" i="1"/>
  <c r="N272" i="2" s="1"/>
  <c r="O272" i="2" s="1"/>
  <c r="I272" i="1"/>
  <c r="P272" i="2" s="1"/>
  <c r="Q272" i="2" s="1"/>
  <c r="C254" i="9" s="1"/>
  <c r="J272" i="1"/>
  <c r="R272" i="2" s="1"/>
  <c r="S272" i="2" s="1"/>
  <c r="K272" i="1"/>
  <c r="T272" i="2" s="1"/>
  <c r="U272" i="2" s="1"/>
  <c r="L272" i="1"/>
  <c r="V272" i="2" s="1"/>
  <c r="W272" i="2" s="1"/>
  <c r="Q272" i="1"/>
  <c r="AB272" i="2" s="1"/>
  <c r="B273" i="1"/>
  <c r="B273" i="2" s="1"/>
  <c r="C273" i="2" s="1"/>
  <c r="C273" i="1"/>
  <c r="D273" i="2" s="1"/>
  <c r="E273" i="2" s="1"/>
  <c r="D273" i="1"/>
  <c r="F273" i="2" s="1"/>
  <c r="G273" i="2" s="1"/>
  <c r="E273" i="1"/>
  <c r="H273" i="2" s="1"/>
  <c r="I273" i="2" s="1"/>
  <c r="D255" i="9" s="1"/>
  <c r="F273" i="1"/>
  <c r="J273" i="2" s="1"/>
  <c r="K273" i="2" s="1"/>
  <c r="G273" i="1"/>
  <c r="L273" i="2" s="1"/>
  <c r="M273" i="2" s="1"/>
  <c r="H273" i="1"/>
  <c r="N273" i="2" s="1"/>
  <c r="O273" i="2" s="1"/>
  <c r="I273" i="1"/>
  <c r="P273" i="2" s="1"/>
  <c r="Q273" i="2" s="1"/>
  <c r="C255" i="9" s="1"/>
  <c r="J273" i="1"/>
  <c r="R273" i="2" s="1"/>
  <c r="S273" i="2" s="1"/>
  <c r="K273" i="1"/>
  <c r="T273" i="2" s="1"/>
  <c r="U273" i="2" s="1"/>
  <c r="L273" i="1"/>
  <c r="V273" i="2" s="1"/>
  <c r="W273" i="2" s="1"/>
  <c r="Q273" i="1"/>
  <c r="AB273" i="2" s="1"/>
  <c r="B274" i="1"/>
  <c r="B274" i="2" s="1"/>
  <c r="C274" i="2" s="1"/>
  <c r="C274" i="1"/>
  <c r="D274" i="2" s="1"/>
  <c r="E274" i="2" s="1"/>
  <c r="D274" i="1"/>
  <c r="F274" i="2" s="1"/>
  <c r="G274" i="2" s="1"/>
  <c r="E274" i="1"/>
  <c r="H274" i="2" s="1"/>
  <c r="I274" i="2" s="1"/>
  <c r="D256" i="9" s="1"/>
  <c r="F274" i="1"/>
  <c r="J274" i="2" s="1"/>
  <c r="K274" i="2" s="1"/>
  <c r="G274" i="1"/>
  <c r="L274" i="2" s="1"/>
  <c r="M274" i="2" s="1"/>
  <c r="H274" i="1"/>
  <c r="N274" i="2" s="1"/>
  <c r="O274" i="2" s="1"/>
  <c r="I274" i="1"/>
  <c r="P274" i="2" s="1"/>
  <c r="Q274" i="2" s="1"/>
  <c r="C256" i="9" s="1"/>
  <c r="J274" i="1"/>
  <c r="R274" i="2" s="1"/>
  <c r="S274" i="2" s="1"/>
  <c r="K274" i="1"/>
  <c r="T274" i="2" s="1"/>
  <c r="U274" i="2" s="1"/>
  <c r="L274" i="1"/>
  <c r="V274" i="2" s="1"/>
  <c r="W274" i="2" s="1"/>
  <c r="Q274" i="1"/>
  <c r="AB274" i="2" s="1"/>
  <c r="B275" i="1"/>
  <c r="B275" i="2" s="1"/>
  <c r="C275" i="2" s="1"/>
  <c r="C275" i="1"/>
  <c r="D275" i="2" s="1"/>
  <c r="E275" i="2" s="1"/>
  <c r="D275" i="1"/>
  <c r="F275" i="2" s="1"/>
  <c r="G275" i="2" s="1"/>
  <c r="E275" i="1"/>
  <c r="H275" i="2" s="1"/>
  <c r="I275" i="2" s="1"/>
  <c r="D257" i="9" s="1"/>
  <c r="F275" i="1"/>
  <c r="J275" i="2" s="1"/>
  <c r="K275" i="2" s="1"/>
  <c r="G275" i="1"/>
  <c r="L275" i="2" s="1"/>
  <c r="M275" i="2" s="1"/>
  <c r="H275" i="1"/>
  <c r="N275" i="2" s="1"/>
  <c r="O275" i="2" s="1"/>
  <c r="I275" i="1"/>
  <c r="P275" i="2" s="1"/>
  <c r="Q275" i="2" s="1"/>
  <c r="C257" i="9" s="1"/>
  <c r="J275" i="1"/>
  <c r="R275" i="2" s="1"/>
  <c r="S275" i="2" s="1"/>
  <c r="K275" i="1"/>
  <c r="T275" i="2" s="1"/>
  <c r="U275" i="2" s="1"/>
  <c r="L275" i="1"/>
  <c r="V275" i="2" s="1"/>
  <c r="W275" i="2" s="1"/>
  <c r="Q275" i="1"/>
  <c r="AB275" i="2" s="1"/>
  <c r="B276" i="1"/>
  <c r="B276" i="2" s="1"/>
  <c r="C276" i="2" s="1"/>
  <c r="C276" i="1"/>
  <c r="D276" i="2" s="1"/>
  <c r="E276" i="2" s="1"/>
  <c r="D276" i="1"/>
  <c r="F276" i="2" s="1"/>
  <c r="G276" i="2" s="1"/>
  <c r="E276" i="1"/>
  <c r="H276" i="2" s="1"/>
  <c r="I276" i="2" s="1"/>
  <c r="D258" i="9" s="1"/>
  <c r="F276" i="1"/>
  <c r="J276" i="2" s="1"/>
  <c r="K276" i="2" s="1"/>
  <c r="G276" i="1"/>
  <c r="L276" i="2" s="1"/>
  <c r="M276" i="2" s="1"/>
  <c r="H276" i="1"/>
  <c r="N276" i="2" s="1"/>
  <c r="O276" i="2" s="1"/>
  <c r="I276" i="1"/>
  <c r="P276" i="2" s="1"/>
  <c r="Q276" i="2" s="1"/>
  <c r="C258" i="9" s="1"/>
  <c r="J276" i="1"/>
  <c r="R276" i="2" s="1"/>
  <c r="S276" i="2" s="1"/>
  <c r="K276" i="1"/>
  <c r="T276" i="2" s="1"/>
  <c r="U276" i="2" s="1"/>
  <c r="L276" i="1"/>
  <c r="V276" i="2" s="1"/>
  <c r="W276" i="2" s="1"/>
  <c r="Q276" i="1"/>
  <c r="AB276" i="2" s="1"/>
  <c r="B277" i="1"/>
  <c r="B277" i="2" s="1"/>
  <c r="C277" i="2" s="1"/>
  <c r="C277" i="1"/>
  <c r="D277" i="2" s="1"/>
  <c r="E277" i="2" s="1"/>
  <c r="D277" i="1"/>
  <c r="F277" i="2" s="1"/>
  <c r="G277" i="2" s="1"/>
  <c r="E277" i="1"/>
  <c r="H277" i="2" s="1"/>
  <c r="I277" i="2" s="1"/>
  <c r="D259" i="9" s="1"/>
  <c r="F277" i="1"/>
  <c r="J277" i="2" s="1"/>
  <c r="K277" i="2" s="1"/>
  <c r="G277" i="1"/>
  <c r="L277" i="2" s="1"/>
  <c r="M277" i="2" s="1"/>
  <c r="H277" i="1"/>
  <c r="N277" i="2" s="1"/>
  <c r="O277" i="2" s="1"/>
  <c r="I277" i="1"/>
  <c r="P277" i="2" s="1"/>
  <c r="Q277" i="2" s="1"/>
  <c r="C259" i="9" s="1"/>
  <c r="J277" i="1"/>
  <c r="R277" i="2" s="1"/>
  <c r="S277" i="2" s="1"/>
  <c r="K277" i="1"/>
  <c r="T277" i="2" s="1"/>
  <c r="U277" i="2" s="1"/>
  <c r="L277" i="1"/>
  <c r="V277" i="2" s="1"/>
  <c r="W277" i="2" s="1"/>
  <c r="Q277" i="1"/>
  <c r="AB277" i="2" s="1"/>
  <c r="B278" i="1"/>
  <c r="B278" i="2" s="1"/>
  <c r="C278" i="2" s="1"/>
  <c r="C278" i="1"/>
  <c r="D278" i="2" s="1"/>
  <c r="E278" i="2" s="1"/>
  <c r="D278" i="1"/>
  <c r="F278" i="2" s="1"/>
  <c r="G278" i="2" s="1"/>
  <c r="E278" i="1"/>
  <c r="H278" i="2" s="1"/>
  <c r="I278" i="2" s="1"/>
  <c r="D260" i="9" s="1"/>
  <c r="F278" i="1"/>
  <c r="J278" i="2" s="1"/>
  <c r="K278" i="2" s="1"/>
  <c r="G278" i="1"/>
  <c r="L278" i="2" s="1"/>
  <c r="M278" i="2" s="1"/>
  <c r="H278" i="1"/>
  <c r="N278" i="2" s="1"/>
  <c r="O278" i="2" s="1"/>
  <c r="I278" i="1"/>
  <c r="P278" i="2" s="1"/>
  <c r="Q278" i="2" s="1"/>
  <c r="C260" i="9" s="1"/>
  <c r="J278" i="1"/>
  <c r="R278" i="2" s="1"/>
  <c r="S278" i="2" s="1"/>
  <c r="K278" i="1"/>
  <c r="T278" i="2" s="1"/>
  <c r="U278" i="2" s="1"/>
  <c r="L278" i="1"/>
  <c r="V278" i="2" s="1"/>
  <c r="W278" i="2" s="1"/>
  <c r="Q278" i="1"/>
  <c r="AB278" i="2" s="1"/>
  <c r="B279" i="1"/>
  <c r="B279" i="2" s="1"/>
  <c r="C279" i="2" s="1"/>
  <c r="C279" i="1"/>
  <c r="D279" i="2" s="1"/>
  <c r="E279" i="2" s="1"/>
  <c r="D279" i="1"/>
  <c r="F279" i="2" s="1"/>
  <c r="G279" i="2" s="1"/>
  <c r="E279" i="1"/>
  <c r="H279" i="2" s="1"/>
  <c r="I279" i="2" s="1"/>
  <c r="D261" i="9" s="1"/>
  <c r="F279" i="1"/>
  <c r="J279" i="2" s="1"/>
  <c r="K279" i="2" s="1"/>
  <c r="G279" i="1"/>
  <c r="L279" i="2" s="1"/>
  <c r="M279" i="2" s="1"/>
  <c r="H279" i="1"/>
  <c r="N279" i="2" s="1"/>
  <c r="O279" i="2" s="1"/>
  <c r="I279" i="1"/>
  <c r="P279" i="2" s="1"/>
  <c r="Q279" i="2" s="1"/>
  <c r="C261" i="9" s="1"/>
  <c r="J279" i="1"/>
  <c r="R279" i="2" s="1"/>
  <c r="S279" i="2" s="1"/>
  <c r="K279" i="1"/>
  <c r="T279" i="2" s="1"/>
  <c r="U279" i="2" s="1"/>
  <c r="L279" i="1"/>
  <c r="V279" i="2" s="1"/>
  <c r="W279" i="2" s="1"/>
  <c r="Q279" i="1"/>
  <c r="AB279" i="2" s="1"/>
  <c r="B280" i="1"/>
  <c r="B280" i="2" s="1"/>
  <c r="C280" i="2" s="1"/>
  <c r="C280" i="1"/>
  <c r="D280" i="2" s="1"/>
  <c r="E280" i="2" s="1"/>
  <c r="D280" i="1"/>
  <c r="F280" i="2" s="1"/>
  <c r="G280" i="2" s="1"/>
  <c r="E280" i="1"/>
  <c r="H280" i="2" s="1"/>
  <c r="I280" i="2" s="1"/>
  <c r="D262" i="9" s="1"/>
  <c r="F280" i="1"/>
  <c r="J280" i="2" s="1"/>
  <c r="K280" i="2" s="1"/>
  <c r="G280" i="1"/>
  <c r="L280" i="2" s="1"/>
  <c r="M280" i="2" s="1"/>
  <c r="H280" i="1"/>
  <c r="N280" i="2" s="1"/>
  <c r="O280" i="2" s="1"/>
  <c r="I280" i="1"/>
  <c r="P280" i="2" s="1"/>
  <c r="Q280" i="2" s="1"/>
  <c r="C262" i="9" s="1"/>
  <c r="J280" i="1"/>
  <c r="R280" i="2" s="1"/>
  <c r="S280" i="2" s="1"/>
  <c r="K280" i="1"/>
  <c r="T280" i="2" s="1"/>
  <c r="U280" i="2" s="1"/>
  <c r="L280" i="1"/>
  <c r="V280" i="2" s="1"/>
  <c r="W280" i="2" s="1"/>
  <c r="Q280" i="1"/>
  <c r="AB280" i="2" s="1"/>
  <c r="B281" i="1"/>
  <c r="B281" i="2" s="1"/>
  <c r="C281" i="2" s="1"/>
  <c r="C281" i="1"/>
  <c r="D281" i="2" s="1"/>
  <c r="E281" i="2" s="1"/>
  <c r="D281" i="1"/>
  <c r="F281" i="2" s="1"/>
  <c r="G281" i="2" s="1"/>
  <c r="E281" i="1"/>
  <c r="H281" i="2" s="1"/>
  <c r="I281" i="2" s="1"/>
  <c r="D263" i="9" s="1"/>
  <c r="F281" i="1"/>
  <c r="J281" i="2" s="1"/>
  <c r="K281" i="2" s="1"/>
  <c r="G281" i="1"/>
  <c r="L281" i="2" s="1"/>
  <c r="M281" i="2" s="1"/>
  <c r="H281" i="1"/>
  <c r="N281" i="2" s="1"/>
  <c r="O281" i="2" s="1"/>
  <c r="I281" i="1"/>
  <c r="P281" i="2" s="1"/>
  <c r="Q281" i="2" s="1"/>
  <c r="C263" i="9" s="1"/>
  <c r="J281" i="1"/>
  <c r="R281" i="2" s="1"/>
  <c r="S281" i="2" s="1"/>
  <c r="K281" i="1"/>
  <c r="T281" i="2" s="1"/>
  <c r="U281" i="2" s="1"/>
  <c r="L281" i="1"/>
  <c r="V281" i="2" s="1"/>
  <c r="W281" i="2" s="1"/>
  <c r="Q281" i="1"/>
  <c r="AB281" i="2" s="1"/>
  <c r="B282" i="1"/>
  <c r="B282" i="2" s="1"/>
  <c r="C282" i="2" s="1"/>
  <c r="C282" i="1"/>
  <c r="D282" i="2" s="1"/>
  <c r="E282" i="2" s="1"/>
  <c r="D282" i="1"/>
  <c r="F282" i="2" s="1"/>
  <c r="G282" i="2" s="1"/>
  <c r="E282" i="1"/>
  <c r="H282" i="2" s="1"/>
  <c r="I282" i="2" s="1"/>
  <c r="D264" i="9" s="1"/>
  <c r="F282" i="1"/>
  <c r="J282" i="2" s="1"/>
  <c r="K282" i="2" s="1"/>
  <c r="G282" i="1"/>
  <c r="L282" i="2" s="1"/>
  <c r="M282" i="2" s="1"/>
  <c r="H282" i="1"/>
  <c r="N282" i="2" s="1"/>
  <c r="O282" i="2" s="1"/>
  <c r="I282" i="1"/>
  <c r="P282" i="2" s="1"/>
  <c r="Q282" i="2" s="1"/>
  <c r="C264" i="9" s="1"/>
  <c r="J282" i="1"/>
  <c r="R282" i="2" s="1"/>
  <c r="S282" i="2" s="1"/>
  <c r="K282" i="1"/>
  <c r="T282" i="2" s="1"/>
  <c r="U282" i="2" s="1"/>
  <c r="L282" i="1"/>
  <c r="V282" i="2" s="1"/>
  <c r="W282" i="2" s="1"/>
  <c r="Q282" i="1"/>
  <c r="AB282" i="2" s="1"/>
  <c r="B283" i="1"/>
  <c r="B283" i="2" s="1"/>
  <c r="C283" i="2" s="1"/>
  <c r="C283" i="1"/>
  <c r="D283" i="2" s="1"/>
  <c r="E283" i="2" s="1"/>
  <c r="D283" i="1"/>
  <c r="F283" i="2" s="1"/>
  <c r="G283" i="2" s="1"/>
  <c r="E283" i="1"/>
  <c r="H283" i="2" s="1"/>
  <c r="I283" i="2" s="1"/>
  <c r="D265" i="9" s="1"/>
  <c r="F283" i="1"/>
  <c r="J283" i="2" s="1"/>
  <c r="K283" i="2" s="1"/>
  <c r="G283" i="1"/>
  <c r="L283" i="2" s="1"/>
  <c r="M283" i="2" s="1"/>
  <c r="H283" i="1"/>
  <c r="N283" i="2" s="1"/>
  <c r="O283" i="2" s="1"/>
  <c r="I283" i="1"/>
  <c r="P283" i="2" s="1"/>
  <c r="Q283" i="2" s="1"/>
  <c r="C265" i="9" s="1"/>
  <c r="J283" i="1"/>
  <c r="R283" i="2" s="1"/>
  <c r="S283" i="2" s="1"/>
  <c r="K283" i="1"/>
  <c r="T283" i="2" s="1"/>
  <c r="U283" i="2" s="1"/>
  <c r="L283" i="1"/>
  <c r="V283" i="2" s="1"/>
  <c r="W283" i="2" s="1"/>
  <c r="Q283" i="1"/>
  <c r="AB283" i="2" s="1"/>
  <c r="B284" i="1"/>
  <c r="B284" i="2" s="1"/>
  <c r="C284" i="2" s="1"/>
  <c r="C284" i="1"/>
  <c r="D284" i="2" s="1"/>
  <c r="E284" i="2" s="1"/>
  <c r="D284" i="1"/>
  <c r="F284" i="2" s="1"/>
  <c r="G284" i="2" s="1"/>
  <c r="E284" i="1"/>
  <c r="H284" i="2" s="1"/>
  <c r="I284" i="2" s="1"/>
  <c r="D266" i="9" s="1"/>
  <c r="F284" i="1"/>
  <c r="J284" i="2" s="1"/>
  <c r="K284" i="2" s="1"/>
  <c r="G284" i="1"/>
  <c r="L284" i="2" s="1"/>
  <c r="M284" i="2" s="1"/>
  <c r="H284" i="1"/>
  <c r="N284" i="2" s="1"/>
  <c r="O284" i="2" s="1"/>
  <c r="I284" i="1"/>
  <c r="P284" i="2" s="1"/>
  <c r="Q284" i="2" s="1"/>
  <c r="C266" i="9" s="1"/>
  <c r="J284" i="1"/>
  <c r="R284" i="2" s="1"/>
  <c r="S284" i="2" s="1"/>
  <c r="K284" i="1"/>
  <c r="T284" i="2" s="1"/>
  <c r="U284" i="2" s="1"/>
  <c r="L284" i="1"/>
  <c r="V284" i="2" s="1"/>
  <c r="W284" i="2" s="1"/>
  <c r="Q284" i="1"/>
  <c r="AB284" i="2" s="1"/>
  <c r="B285" i="1"/>
  <c r="B285" i="2" s="1"/>
  <c r="C285" i="2" s="1"/>
  <c r="C285" i="1"/>
  <c r="D285" i="2" s="1"/>
  <c r="E285" i="2" s="1"/>
  <c r="D285" i="1"/>
  <c r="F285" i="2" s="1"/>
  <c r="G285" i="2" s="1"/>
  <c r="E285" i="1"/>
  <c r="H285" i="2" s="1"/>
  <c r="I285" i="2" s="1"/>
  <c r="D267" i="9" s="1"/>
  <c r="F285" i="1"/>
  <c r="J285" i="2" s="1"/>
  <c r="K285" i="2" s="1"/>
  <c r="G285" i="1"/>
  <c r="L285" i="2" s="1"/>
  <c r="M285" i="2" s="1"/>
  <c r="H285" i="1"/>
  <c r="N285" i="2" s="1"/>
  <c r="O285" i="2" s="1"/>
  <c r="I285" i="1"/>
  <c r="P285" i="2" s="1"/>
  <c r="Q285" i="2" s="1"/>
  <c r="C267" i="9" s="1"/>
  <c r="J285" i="1"/>
  <c r="R285" i="2" s="1"/>
  <c r="S285" i="2" s="1"/>
  <c r="K285" i="1"/>
  <c r="T285" i="2" s="1"/>
  <c r="U285" i="2" s="1"/>
  <c r="L285" i="1"/>
  <c r="V285" i="2" s="1"/>
  <c r="W285" i="2" s="1"/>
  <c r="Q285" i="1"/>
  <c r="AB285" i="2" s="1"/>
  <c r="B286" i="1"/>
  <c r="B286" i="2" s="1"/>
  <c r="C286" i="2" s="1"/>
  <c r="C286" i="1"/>
  <c r="D286" i="2" s="1"/>
  <c r="E286" i="2" s="1"/>
  <c r="D286" i="1"/>
  <c r="F286" i="2" s="1"/>
  <c r="G286" i="2" s="1"/>
  <c r="E286" i="1"/>
  <c r="H286" i="2" s="1"/>
  <c r="I286" i="2" s="1"/>
  <c r="D268" i="9" s="1"/>
  <c r="F286" i="1"/>
  <c r="J286" i="2" s="1"/>
  <c r="K286" i="2" s="1"/>
  <c r="G286" i="1"/>
  <c r="L286" i="2" s="1"/>
  <c r="M286" i="2" s="1"/>
  <c r="H286" i="1"/>
  <c r="N286" i="2" s="1"/>
  <c r="O286" i="2" s="1"/>
  <c r="I286" i="1"/>
  <c r="P286" i="2" s="1"/>
  <c r="Q286" i="2" s="1"/>
  <c r="C268" i="9" s="1"/>
  <c r="J286" i="1"/>
  <c r="R286" i="2" s="1"/>
  <c r="S286" i="2" s="1"/>
  <c r="K286" i="1"/>
  <c r="T286" i="2" s="1"/>
  <c r="U286" i="2" s="1"/>
  <c r="L286" i="1"/>
  <c r="V286" i="2" s="1"/>
  <c r="W286" i="2" s="1"/>
  <c r="Q286" i="1"/>
  <c r="AB286" i="2" s="1"/>
  <c r="B287" i="1"/>
  <c r="B287" i="2" s="1"/>
  <c r="C287" i="2" s="1"/>
  <c r="C287" i="1"/>
  <c r="D287" i="2" s="1"/>
  <c r="E287" i="2" s="1"/>
  <c r="D287" i="1"/>
  <c r="F287" i="2" s="1"/>
  <c r="G287" i="2" s="1"/>
  <c r="E287" i="1"/>
  <c r="H287" i="2" s="1"/>
  <c r="I287" i="2" s="1"/>
  <c r="D269" i="9" s="1"/>
  <c r="F287" i="1"/>
  <c r="J287" i="2" s="1"/>
  <c r="K287" i="2" s="1"/>
  <c r="G287" i="1"/>
  <c r="L287" i="2" s="1"/>
  <c r="M287" i="2" s="1"/>
  <c r="H287" i="1"/>
  <c r="N287" i="2" s="1"/>
  <c r="O287" i="2" s="1"/>
  <c r="I287" i="1"/>
  <c r="P287" i="2" s="1"/>
  <c r="Q287" i="2" s="1"/>
  <c r="C269" i="9" s="1"/>
  <c r="J287" i="1"/>
  <c r="R287" i="2" s="1"/>
  <c r="S287" i="2" s="1"/>
  <c r="K287" i="1"/>
  <c r="T287" i="2" s="1"/>
  <c r="U287" i="2" s="1"/>
  <c r="L287" i="1"/>
  <c r="V287" i="2" s="1"/>
  <c r="W287" i="2" s="1"/>
  <c r="Q287" i="1"/>
  <c r="AB287" i="2" s="1"/>
  <c r="B288" i="1"/>
  <c r="B288" i="2" s="1"/>
  <c r="C288" i="2" s="1"/>
  <c r="C288" i="1"/>
  <c r="D288" i="2" s="1"/>
  <c r="E288" i="2" s="1"/>
  <c r="D288" i="1"/>
  <c r="F288" i="2" s="1"/>
  <c r="G288" i="2" s="1"/>
  <c r="E288" i="1"/>
  <c r="H288" i="2" s="1"/>
  <c r="I288" i="2" s="1"/>
  <c r="D270" i="9" s="1"/>
  <c r="F288" i="1"/>
  <c r="J288" i="2" s="1"/>
  <c r="K288" i="2" s="1"/>
  <c r="G288" i="1"/>
  <c r="L288" i="2" s="1"/>
  <c r="M288" i="2" s="1"/>
  <c r="H288" i="1"/>
  <c r="N288" i="2" s="1"/>
  <c r="O288" i="2" s="1"/>
  <c r="I288" i="1"/>
  <c r="P288" i="2" s="1"/>
  <c r="Q288" i="2" s="1"/>
  <c r="C270" i="9" s="1"/>
  <c r="J288" i="1"/>
  <c r="R288" i="2" s="1"/>
  <c r="S288" i="2" s="1"/>
  <c r="K288" i="1"/>
  <c r="T288" i="2" s="1"/>
  <c r="U288" i="2" s="1"/>
  <c r="L288" i="1"/>
  <c r="V288" i="2" s="1"/>
  <c r="W288" i="2" s="1"/>
  <c r="Q288" i="1"/>
  <c r="AB288" i="2" s="1"/>
  <c r="B289" i="1"/>
  <c r="B289" i="2" s="1"/>
  <c r="C289" i="2" s="1"/>
  <c r="C289" i="1"/>
  <c r="D289" i="2" s="1"/>
  <c r="E289" i="2" s="1"/>
  <c r="D289" i="1"/>
  <c r="F289" i="2" s="1"/>
  <c r="G289" i="2" s="1"/>
  <c r="E289" i="1"/>
  <c r="H289" i="2" s="1"/>
  <c r="I289" i="2" s="1"/>
  <c r="D271" i="9" s="1"/>
  <c r="F289" i="1"/>
  <c r="J289" i="2" s="1"/>
  <c r="K289" i="2" s="1"/>
  <c r="G289" i="1"/>
  <c r="L289" i="2" s="1"/>
  <c r="M289" i="2" s="1"/>
  <c r="H289" i="1"/>
  <c r="N289" i="2" s="1"/>
  <c r="O289" i="2" s="1"/>
  <c r="I289" i="1"/>
  <c r="P289" i="2" s="1"/>
  <c r="Q289" i="2" s="1"/>
  <c r="C271" i="9" s="1"/>
  <c r="J289" i="1"/>
  <c r="R289" i="2" s="1"/>
  <c r="S289" i="2" s="1"/>
  <c r="K289" i="1"/>
  <c r="T289" i="2" s="1"/>
  <c r="U289" i="2" s="1"/>
  <c r="L289" i="1"/>
  <c r="V289" i="2" s="1"/>
  <c r="W289" i="2" s="1"/>
  <c r="Q289" i="1"/>
  <c r="AB289" i="2" s="1"/>
  <c r="B290" i="1"/>
  <c r="B290" i="2" s="1"/>
  <c r="C290" i="2" s="1"/>
  <c r="C290" i="1"/>
  <c r="D290" i="2" s="1"/>
  <c r="E290" i="2" s="1"/>
  <c r="D290" i="1"/>
  <c r="F290" i="2" s="1"/>
  <c r="G290" i="2" s="1"/>
  <c r="E290" i="1"/>
  <c r="H290" i="2" s="1"/>
  <c r="I290" i="2" s="1"/>
  <c r="D272" i="9" s="1"/>
  <c r="F290" i="1"/>
  <c r="J290" i="2" s="1"/>
  <c r="K290" i="2" s="1"/>
  <c r="G290" i="1"/>
  <c r="L290" i="2" s="1"/>
  <c r="M290" i="2" s="1"/>
  <c r="H290" i="1"/>
  <c r="N290" i="2" s="1"/>
  <c r="O290" i="2" s="1"/>
  <c r="I290" i="1"/>
  <c r="P290" i="2" s="1"/>
  <c r="Q290" i="2" s="1"/>
  <c r="C272" i="9" s="1"/>
  <c r="J290" i="1"/>
  <c r="R290" i="2" s="1"/>
  <c r="S290" i="2" s="1"/>
  <c r="K290" i="1"/>
  <c r="T290" i="2" s="1"/>
  <c r="U290" i="2" s="1"/>
  <c r="L290" i="1"/>
  <c r="V290" i="2" s="1"/>
  <c r="W290" i="2" s="1"/>
  <c r="Q290" i="1"/>
  <c r="AB290" i="2" s="1"/>
  <c r="B291" i="1"/>
  <c r="B291" i="2" s="1"/>
  <c r="C291" i="2" s="1"/>
  <c r="C291" i="1"/>
  <c r="D291" i="2" s="1"/>
  <c r="E291" i="2" s="1"/>
  <c r="D291" i="1"/>
  <c r="F291" i="2" s="1"/>
  <c r="G291" i="2" s="1"/>
  <c r="E291" i="1"/>
  <c r="H291" i="2" s="1"/>
  <c r="I291" i="2" s="1"/>
  <c r="D273" i="9" s="1"/>
  <c r="F291" i="1"/>
  <c r="J291" i="2" s="1"/>
  <c r="K291" i="2" s="1"/>
  <c r="G291" i="1"/>
  <c r="L291" i="2" s="1"/>
  <c r="M291" i="2" s="1"/>
  <c r="H291" i="1"/>
  <c r="N291" i="2" s="1"/>
  <c r="O291" i="2" s="1"/>
  <c r="I291" i="1"/>
  <c r="P291" i="2" s="1"/>
  <c r="Q291" i="2" s="1"/>
  <c r="C273" i="9" s="1"/>
  <c r="J291" i="1"/>
  <c r="R291" i="2" s="1"/>
  <c r="S291" i="2" s="1"/>
  <c r="K291" i="1"/>
  <c r="T291" i="2" s="1"/>
  <c r="U291" i="2" s="1"/>
  <c r="L291" i="1"/>
  <c r="V291" i="2" s="1"/>
  <c r="W291" i="2" s="1"/>
  <c r="Q291" i="1"/>
  <c r="AB291" i="2" s="1"/>
  <c r="B292" i="1"/>
  <c r="B292" i="2" s="1"/>
  <c r="C292" i="2" s="1"/>
  <c r="C292" i="1"/>
  <c r="D292" i="2" s="1"/>
  <c r="E292" i="2" s="1"/>
  <c r="D292" i="1"/>
  <c r="F292" i="2" s="1"/>
  <c r="G292" i="2" s="1"/>
  <c r="E292" i="1"/>
  <c r="H292" i="2" s="1"/>
  <c r="I292" i="2" s="1"/>
  <c r="D274" i="9" s="1"/>
  <c r="F292" i="1"/>
  <c r="J292" i="2" s="1"/>
  <c r="K292" i="2" s="1"/>
  <c r="G292" i="1"/>
  <c r="L292" i="2" s="1"/>
  <c r="M292" i="2" s="1"/>
  <c r="H292" i="1"/>
  <c r="N292" i="2" s="1"/>
  <c r="O292" i="2" s="1"/>
  <c r="I292" i="1"/>
  <c r="P292" i="2" s="1"/>
  <c r="Q292" i="2" s="1"/>
  <c r="C274" i="9" s="1"/>
  <c r="J292" i="1"/>
  <c r="R292" i="2" s="1"/>
  <c r="S292" i="2" s="1"/>
  <c r="K292" i="1"/>
  <c r="T292" i="2" s="1"/>
  <c r="U292" i="2" s="1"/>
  <c r="L292" i="1"/>
  <c r="V292" i="2" s="1"/>
  <c r="W292" i="2" s="1"/>
  <c r="Q292" i="1"/>
  <c r="AB292" i="2" s="1"/>
  <c r="B293" i="1"/>
  <c r="B293" i="2" s="1"/>
  <c r="C293" i="2" s="1"/>
  <c r="C293" i="1"/>
  <c r="D293" i="2" s="1"/>
  <c r="E293" i="2" s="1"/>
  <c r="D293" i="1"/>
  <c r="F293" i="2" s="1"/>
  <c r="G293" i="2" s="1"/>
  <c r="E293" i="1"/>
  <c r="H293" i="2" s="1"/>
  <c r="I293" i="2" s="1"/>
  <c r="D275" i="9" s="1"/>
  <c r="F293" i="1"/>
  <c r="J293" i="2" s="1"/>
  <c r="K293" i="2" s="1"/>
  <c r="G293" i="1"/>
  <c r="L293" i="2" s="1"/>
  <c r="M293" i="2" s="1"/>
  <c r="H293" i="1"/>
  <c r="N293" i="2" s="1"/>
  <c r="O293" i="2" s="1"/>
  <c r="I293" i="1"/>
  <c r="P293" i="2" s="1"/>
  <c r="Q293" i="2" s="1"/>
  <c r="C275" i="9" s="1"/>
  <c r="J293" i="1"/>
  <c r="R293" i="2" s="1"/>
  <c r="S293" i="2" s="1"/>
  <c r="K293" i="1"/>
  <c r="T293" i="2" s="1"/>
  <c r="U293" i="2" s="1"/>
  <c r="L293" i="1"/>
  <c r="V293" i="2" s="1"/>
  <c r="W293" i="2" s="1"/>
  <c r="Q293" i="1"/>
  <c r="AB293" i="2" s="1"/>
  <c r="B294" i="1"/>
  <c r="B294" i="2" s="1"/>
  <c r="C294" i="2" s="1"/>
  <c r="C294" i="1"/>
  <c r="D294" i="2" s="1"/>
  <c r="E294" i="2" s="1"/>
  <c r="D294" i="1"/>
  <c r="F294" i="2" s="1"/>
  <c r="G294" i="2" s="1"/>
  <c r="E294" i="1"/>
  <c r="H294" i="2" s="1"/>
  <c r="I294" i="2" s="1"/>
  <c r="D276" i="9" s="1"/>
  <c r="F294" i="1"/>
  <c r="J294" i="2" s="1"/>
  <c r="K294" i="2" s="1"/>
  <c r="G294" i="1"/>
  <c r="L294" i="2" s="1"/>
  <c r="M294" i="2" s="1"/>
  <c r="H294" i="1"/>
  <c r="N294" i="2" s="1"/>
  <c r="O294" i="2" s="1"/>
  <c r="I294" i="1"/>
  <c r="P294" i="2" s="1"/>
  <c r="Q294" i="2" s="1"/>
  <c r="C276" i="9" s="1"/>
  <c r="J294" i="1"/>
  <c r="R294" i="2" s="1"/>
  <c r="S294" i="2" s="1"/>
  <c r="K294" i="1"/>
  <c r="T294" i="2" s="1"/>
  <c r="U294" i="2" s="1"/>
  <c r="L294" i="1"/>
  <c r="V294" i="2" s="1"/>
  <c r="W294" i="2" s="1"/>
  <c r="Q294" i="1"/>
  <c r="AB294" i="2" s="1"/>
  <c r="B295" i="1"/>
  <c r="B295" i="2" s="1"/>
  <c r="C295" i="2" s="1"/>
  <c r="C295" i="1"/>
  <c r="D295" i="2" s="1"/>
  <c r="E295" i="2" s="1"/>
  <c r="D295" i="1"/>
  <c r="F295" i="2" s="1"/>
  <c r="G295" i="2" s="1"/>
  <c r="E295" i="1"/>
  <c r="H295" i="2" s="1"/>
  <c r="I295" i="2" s="1"/>
  <c r="D277" i="9" s="1"/>
  <c r="F295" i="1"/>
  <c r="J295" i="2" s="1"/>
  <c r="K295" i="2" s="1"/>
  <c r="G295" i="1"/>
  <c r="L295" i="2" s="1"/>
  <c r="M295" i="2" s="1"/>
  <c r="H295" i="1"/>
  <c r="N295" i="2" s="1"/>
  <c r="O295" i="2" s="1"/>
  <c r="I295" i="1"/>
  <c r="P295" i="2" s="1"/>
  <c r="Q295" i="2" s="1"/>
  <c r="C277" i="9" s="1"/>
  <c r="J295" i="1"/>
  <c r="R295" i="2" s="1"/>
  <c r="S295" i="2" s="1"/>
  <c r="K295" i="1"/>
  <c r="T295" i="2" s="1"/>
  <c r="U295" i="2" s="1"/>
  <c r="L295" i="1"/>
  <c r="V295" i="2" s="1"/>
  <c r="W295" i="2" s="1"/>
  <c r="Q295" i="1"/>
  <c r="AB295" i="2" s="1"/>
  <c r="B296" i="1"/>
  <c r="B296" i="2" s="1"/>
  <c r="C296" i="2" s="1"/>
  <c r="C296" i="1"/>
  <c r="D296" i="2" s="1"/>
  <c r="E296" i="2" s="1"/>
  <c r="D296" i="1"/>
  <c r="F296" i="2" s="1"/>
  <c r="G296" i="2" s="1"/>
  <c r="E296" i="1"/>
  <c r="H296" i="2" s="1"/>
  <c r="I296" i="2" s="1"/>
  <c r="D278" i="9" s="1"/>
  <c r="F296" i="1"/>
  <c r="J296" i="2" s="1"/>
  <c r="K296" i="2" s="1"/>
  <c r="G296" i="1"/>
  <c r="L296" i="2" s="1"/>
  <c r="M296" i="2" s="1"/>
  <c r="H296" i="1"/>
  <c r="N296" i="2" s="1"/>
  <c r="O296" i="2" s="1"/>
  <c r="I296" i="1"/>
  <c r="P296" i="2" s="1"/>
  <c r="Q296" i="2" s="1"/>
  <c r="C278" i="9" s="1"/>
  <c r="J296" i="1"/>
  <c r="R296" i="2" s="1"/>
  <c r="S296" i="2" s="1"/>
  <c r="K296" i="1"/>
  <c r="T296" i="2" s="1"/>
  <c r="U296" i="2" s="1"/>
  <c r="L296" i="1"/>
  <c r="V296" i="2" s="1"/>
  <c r="W296" i="2" s="1"/>
  <c r="Q296" i="1"/>
  <c r="AB296" i="2" s="1"/>
  <c r="B297" i="1"/>
  <c r="B297" i="2" s="1"/>
  <c r="C297" i="2" s="1"/>
  <c r="C297" i="1"/>
  <c r="D297" i="2" s="1"/>
  <c r="E297" i="2" s="1"/>
  <c r="D297" i="1"/>
  <c r="F297" i="2" s="1"/>
  <c r="G297" i="2" s="1"/>
  <c r="E297" i="1"/>
  <c r="H297" i="2" s="1"/>
  <c r="I297" i="2" s="1"/>
  <c r="D279" i="9" s="1"/>
  <c r="F297" i="1"/>
  <c r="J297" i="2" s="1"/>
  <c r="K297" i="2" s="1"/>
  <c r="G297" i="1"/>
  <c r="L297" i="2" s="1"/>
  <c r="M297" i="2" s="1"/>
  <c r="H297" i="1"/>
  <c r="N297" i="2" s="1"/>
  <c r="O297" i="2" s="1"/>
  <c r="I297" i="1"/>
  <c r="P297" i="2" s="1"/>
  <c r="Q297" i="2" s="1"/>
  <c r="C279" i="9" s="1"/>
  <c r="J297" i="1"/>
  <c r="R297" i="2" s="1"/>
  <c r="S297" i="2" s="1"/>
  <c r="K297" i="1"/>
  <c r="T297" i="2" s="1"/>
  <c r="U297" i="2" s="1"/>
  <c r="L297" i="1"/>
  <c r="V297" i="2" s="1"/>
  <c r="W297" i="2" s="1"/>
  <c r="Q297" i="1"/>
  <c r="AB297" i="2" s="1"/>
  <c r="B298" i="1"/>
  <c r="B298" i="2" s="1"/>
  <c r="C298" i="2" s="1"/>
  <c r="C298" i="1"/>
  <c r="D298" i="2" s="1"/>
  <c r="E298" i="2" s="1"/>
  <c r="D298" i="1"/>
  <c r="F298" i="2" s="1"/>
  <c r="G298" i="2" s="1"/>
  <c r="E298" i="1"/>
  <c r="H298" i="2" s="1"/>
  <c r="I298" i="2" s="1"/>
  <c r="D280" i="9" s="1"/>
  <c r="F298" i="1"/>
  <c r="J298" i="2" s="1"/>
  <c r="K298" i="2" s="1"/>
  <c r="G298" i="1"/>
  <c r="L298" i="2" s="1"/>
  <c r="M298" i="2" s="1"/>
  <c r="H298" i="1"/>
  <c r="N298" i="2" s="1"/>
  <c r="O298" i="2" s="1"/>
  <c r="I298" i="1"/>
  <c r="P298" i="2" s="1"/>
  <c r="Q298" i="2" s="1"/>
  <c r="C280" i="9" s="1"/>
  <c r="J298" i="1"/>
  <c r="R298" i="2" s="1"/>
  <c r="S298" i="2" s="1"/>
  <c r="K298" i="1"/>
  <c r="T298" i="2" s="1"/>
  <c r="U298" i="2" s="1"/>
  <c r="L298" i="1"/>
  <c r="V298" i="2" s="1"/>
  <c r="W298" i="2" s="1"/>
  <c r="Q298" i="1"/>
  <c r="AB298" i="2" s="1"/>
  <c r="B299" i="1"/>
  <c r="B299" i="2" s="1"/>
  <c r="C299" i="2" s="1"/>
  <c r="C299" i="1"/>
  <c r="D299" i="2" s="1"/>
  <c r="E299" i="2" s="1"/>
  <c r="D299" i="1"/>
  <c r="F299" i="2" s="1"/>
  <c r="G299" i="2" s="1"/>
  <c r="E299" i="1"/>
  <c r="H299" i="2" s="1"/>
  <c r="I299" i="2" s="1"/>
  <c r="D281" i="9" s="1"/>
  <c r="F299" i="1"/>
  <c r="J299" i="2" s="1"/>
  <c r="K299" i="2" s="1"/>
  <c r="G299" i="1"/>
  <c r="L299" i="2" s="1"/>
  <c r="M299" i="2" s="1"/>
  <c r="H299" i="1"/>
  <c r="N299" i="2" s="1"/>
  <c r="O299" i="2" s="1"/>
  <c r="I299" i="1"/>
  <c r="P299" i="2" s="1"/>
  <c r="Q299" i="2" s="1"/>
  <c r="C281" i="9" s="1"/>
  <c r="J299" i="1"/>
  <c r="R299" i="2" s="1"/>
  <c r="S299" i="2" s="1"/>
  <c r="K299" i="1"/>
  <c r="T299" i="2" s="1"/>
  <c r="U299" i="2" s="1"/>
  <c r="L299" i="1"/>
  <c r="V299" i="2" s="1"/>
  <c r="W299" i="2" s="1"/>
  <c r="Q299" i="1"/>
  <c r="AB299" i="2" s="1"/>
  <c r="B300" i="1"/>
  <c r="B300" i="2" s="1"/>
  <c r="C300" i="2" s="1"/>
  <c r="C300" i="1"/>
  <c r="D300" i="2" s="1"/>
  <c r="E300" i="2" s="1"/>
  <c r="D300" i="1"/>
  <c r="F300" i="2" s="1"/>
  <c r="G300" i="2" s="1"/>
  <c r="E300" i="1"/>
  <c r="H300" i="2" s="1"/>
  <c r="I300" i="2" s="1"/>
  <c r="D282" i="9" s="1"/>
  <c r="F300" i="1"/>
  <c r="J300" i="2" s="1"/>
  <c r="K300" i="2" s="1"/>
  <c r="G300" i="1"/>
  <c r="L300" i="2" s="1"/>
  <c r="M300" i="2" s="1"/>
  <c r="H300" i="1"/>
  <c r="N300" i="2" s="1"/>
  <c r="O300" i="2" s="1"/>
  <c r="I300" i="1"/>
  <c r="P300" i="2" s="1"/>
  <c r="Q300" i="2" s="1"/>
  <c r="C282" i="9" s="1"/>
  <c r="J300" i="1"/>
  <c r="R300" i="2" s="1"/>
  <c r="S300" i="2" s="1"/>
  <c r="K300" i="1"/>
  <c r="T300" i="2" s="1"/>
  <c r="U300" i="2" s="1"/>
  <c r="L300" i="1"/>
  <c r="V300" i="2" s="1"/>
  <c r="W300" i="2" s="1"/>
  <c r="Q300" i="1"/>
  <c r="AB300" i="2" s="1"/>
  <c r="B301" i="1"/>
  <c r="B301" i="2" s="1"/>
  <c r="C301" i="2" s="1"/>
  <c r="C301" i="1"/>
  <c r="D301" i="2" s="1"/>
  <c r="E301" i="2" s="1"/>
  <c r="D301" i="1"/>
  <c r="F301" i="2" s="1"/>
  <c r="G301" i="2" s="1"/>
  <c r="E301" i="1"/>
  <c r="H301" i="2" s="1"/>
  <c r="I301" i="2" s="1"/>
  <c r="D283" i="9" s="1"/>
  <c r="F301" i="1"/>
  <c r="J301" i="2" s="1"/>
  <c r="K301" i="2" s="1"/>
  <c r="G301" i="1"/>
  <c r="L301" i="2" s="1"/>
  <c r="M301" i="2" s="1"/>
  <c r="H301" i="1"/>
  <c r="N301" i="2" s="1"/>
  <c r="O301" i="2" s="1"/>
  <c r="I301" i="1"/>
  <c r="P301" i="2" s="1"/>
  <c r="Q301" i="2" s="1"/>
  <c r="C283" i="9" s="1"/>
  <c r="J301" i="1"/>
  <c r="R301" i="2" s="1"/>
  <c r="S301" i="2" s="1"/>
  <c r="K301" i="1"/>
  <c r="T301" i="2" s="1"/>
  <c r="U301" i="2" s="1"/>
  <c r="L301" i="1"/>
  <c r="V301" i="2" s="1"/>
  <c r="W301" i="2" s="1"/>
  <c r="Q301" i="1"/>
  <c r="AB301" i="2" s="1"/>
  <c r="B302" i="1"/>
  <c r="B302" i="2" s="1"/>
  <c r="C302" i="2" s="1"/>
  <c r="C302" i="1"/>
  <c r="D302" i="2" s="1"/>
  <c r="E302" i="2" s="1"/>
  <c r="D302" i="1"/>
  <c r="F302" i="2" s="1"/>
  <c r="G302" i="2" s="1"/>
  <c r="E302" i="1"/>
  <c r="H302" i="2" s="1"/>
  <c r="I302" i="2" s="1"/>
  <c r="D284" i="9" s="1"/>
  <c r="F302" i="1"/>
  <c r="J302" i="2" s="1"/>
  <c r="K302" i="2" s="1"/>
  <c r="G302" i="1"/>
  <c r="L302" i="2" s="1"/>
  <c r="M302" i="2" s="1"/>
  <c r="H302" i="1"/>
  <c r="N302" i="2" s="1"/>
  <c r="O302" i="2" s="1"/>
  <c r="I302" i="1"/>
  <c r="P302" i="2" s="1"/>
  <c r="Q302" i="2" s="1"/>
  <c r="C284" i="9" s="1"/>
  <c r="J302" i="1"/>
  <c r="R302" i="2" s="1"/>
  <c r="S302" i="2" s="1"/>
  <c r="K302" i="1"/>
  <c r="T302" i="2" s="1"/>
  <c r="U302" i="2" s="1"/>
  <c r="L302" i="1"/>
  <c r="V302" i="2" s="1"/>
  <c r="W302" i="2" s="1"/>
  <c r="Q302" i="1"/>
  <c r="AB302" i="2" s="1"/>
  <c r="B303" i="1"/>
  <c r="B303" i="2" s="1"/>
  <c r="C303" i="2" s="1"/>
  <c r="C303" i="1"/>
  <c r="D303" i="2" s="1"/>
  <c r="E303" i="2" s="1"/>
  <c r="D303" i="1"/>
  <c r="F303" i="2" s="1"/>
  <c r="G303" i="2" s="1"/>
  <c r="E303" i="1"/>
  <c r="H303" i="2" s="1"/>
  <c r="I303" i="2" s="1"/>
  <c r="D285" i="9" s="1"/>
  <c r="F303" i="1"/>
  <c r="J303" i="2" s="1"/>
  <c r="K303" i="2" s="1"/>
  <c r="G303" i="1"/>
  <c r="L303" i="2" s="1"/>
  <c r="M303" i="2" s="1"/>
  <c r="H303" i="1"/>
  <c r="N303" i="2" s="1"/>
  <c r="O303" i="2" s="1"/>
  <c r="I303" i="1"/>
  <c r="P303" i="2" s="1"/>
  <c r="Q303" i="2" s="1"/>
  <c r="C285" i="9" s="1"/>
  <c r="J303" i="1"/>
  <c r="R303" i="2" s="1"/>
  <c r="S303" i="2" s="1"/>
  <c r="K303" i="1"/>
  <c r="T303" i="2" s="1"/>
  <c r="U303" i="2" s="1"/>
  <c r="L303" i="1"/>
  <c r="V303" i="2" s="1"/>
  <c r="W303" i="2" s="1"/>
  <c r="Q303" i="1"/>
  <c r="AB303" i="2" s="1"/>
  <c r="B304" i="1"/>
  <c r="B304" i="2" s="1"/>
  <c r="C304" i="2" s="1"/>
  <c r="C304" i="1"/>
  <c r="D304" i="2" s="1"/>
  <c r="E304" i="2" s="1"/>
  <c r="D304" i="1"/>
  <c r="F304" i="2" s="1"/>
  <c r="G304" i="2" s="1"/>
  <c r="E304" i="1"/>
  <c r="H304" i="2" s="1"/>
  <c r="I304" i="2" s="1"/>
  <c r="D286" i="9" s="1"/>
  <c r="F304" i="1"/>
  <c r="J304" i="2" s="1"/>
  <c r="K304" i="2" s="1"/>
  <c r="G304" i="1"/>
  <c r="L304" i="2" s="1"/>
  <c r="M304" i="2" s="1"/>
  <c r="H304" i="1"/>
  <c r="N304" i="2" s="1"/>
  <c r="O304" i="2" s="1"/>
  <c r="I304" i="1"/>
  <c r="P304" i="2" s="1"/>
  <c r="Q304" i="2" s="1"/>
  <c r="C286" i="9" s="1"/>
  <c r="J304" i="1"/>
  <c r="R304" i="2" s="1"/>
  <c r="S304" i="2" s="1"/>
  <c r="K304" i="1"/>
  <c r="T304" i="2" s="1"/>
  <c r="U304" i="2" s="1"/>
  <c r="L304" i="1"/>
  <c r="V304" i="2" s="1"/>
  <c r="W304" i="2" s="1"/>
  <c r="Q304" i="1"/>
  <c r="AB304" i="2" s="1"/>
  <c r="B305" i="1"/>
  <c r="B305" i="2" s="1"/>
  <c r="C305" i="2" s="1"/>
  <c r="C305" i="1"/>
  <c r="D305" i="2" s="1"/>
  <c r="E305" i="2" s="1"/>
  <c r="D305" i="1"/>
  <c r="F305" i="2" s="1"/>
  <c r="G305" i="2" s="1"/>
  <c r="E305" i="1"/>
  <c r="H305" i="2" s="1"/>
  <c r="I305" i="2" s="1"/>
  <c r="D287" i="9" s="1"/>
  <c r="F305" i="1"/>
  <c r="J305" i="2" s="1"/>
  <c r="K305" i="2" s="1"/>
  <c r="G305" i="1"/>
  <c r="L305" i="2" s="1"/>
  <c r="M305" i="2" s="1"/>
  <c r="H305" i="1"/>
  <c r="N305" i="2" s="1"/>
  <c r="O305" i="2" s="1"/>
  <c r="I305" i="1"/>
  <c r="P305" i="2" s="1"/>
  <c r="Q305" i="2" s="1"/>
  <c r="C287" i="9" s="1"/>
  <c r="J305" i="1"/>
  <c r="R305" i="2" s="1"/>
  <c r="S305" i="2" s="1"/>
  <c r="K305" i="1"/>
  <c r="T305" i="2" s="1"/>
  <c r="U305" i="2" s="1"/>
  <c r="L305" i="1"/>
  <c r="V305" i="2" s="1"/>
  <c r="W305" i="2" s="1"/>
  <c r="Q305" i="1"/>
  <c r="AB305" i="2" s="1"/>
  <c r="B306" i="1"/>
  <c r="B306" i="2" s="1"/>
  <c r="C306" i="2" s="1"/>
  <c r="C306" i="1"/>
  <c r="D306" i="2" s="1"/>
  <c r="E306" i="2" s="1"/>
  <c r="D306" i="1"/>
  <c r="F306" i="2" s="1"/>
  <c r="G306" i="2" s="1"/>
  <c r="E306" i="1"/>
  <c r="H306" i="2" s="1"/>
  <c r="I306" i="2" s="1"/>
  <c r="D288" i="9" s="1"/>
  <c r="F306" i="1"/>
  <c r="J306" i="2" s="1"/>
  <c r="K306" i="2" s="1"/>
  <c r="G306" i="1"/>
  <c r="L306" i="2" s="1"/>
  <c r="M306" i="2" s="1"/>
  <c r="H306" i="1"/>
  <c r="N306" i="2" s="1"/>
  <c r="O306" i="2" s="1"/>
  <c r="I306" i="1"/>
  <c r="P306" i="2" s="1"/>
  <c r="Q306" i="2" s="1"/>
  <c r="C288" i="9" s="1"/>
  <c r="J306" i="1"/>
  <c r="R306" i="2" s="1"/>
  <c r="S306" i="2" s="1"/>
  <c r="K306" i="1"/>
  <c r="T306" i="2" s="1"/>
  <c r="U306" i="2" s="1"/>
  <c r="L306" i="1"/>
  <c r="V306" i="2" s="1"/>
  <c r="W306" i="2" s="1"/>
  <c r="Q306" i="1"/>
  <c r="AB306" i="2" s="1"/>
  <c r="B307" i="1"/>
  <c r="B307" i="2" s="1"/>
  <c r="C307" i="2" s="1"/>
  <c r="C307" i="1"/>
  <c r="D307" i="2" s="1"/>
  <c r="E307" i="2" s="1"/>
  <c r="D307" i="1"/>
  <c r="F307" i="2" s="1"/>
  <c r="G307" i="2" s="1"/>
  <c r="E307" i="1"/>
  <c r="H307" i="2" s="1"/>
  <c r="I307" i="2" s="1"/>
  <c r="D289" i="9" s="1"/>
  <c r="F307" i="1"/>
  <c r="J307" i="2" s="1"/>
  <c r="K307" i="2" s="1"/>
  <c r="G307" i="1"/>
  <c r="L307" i="2" s="1"/>
  <c r="M307" i="2" s="1"/>
  <c r="H307" i="1"/>
  <c r="N307" i="2" s="1"/>
  <c r="O307" i="2" s="1"/>
  <c r="I307" i="1"/>
  <c r="P307" i="2" s="1"/>
  <c r="Q307" i="2" s="1"/>
  <c r="C289" i="9" s="1"/>
  <c r="J307" i="1"/>
  <c r="R307" i="2" s="1"/>
  <c r="S307" i="2" s="1"/>
  <c r="K307" i="1"/>
  <c r="T307" i="2" s="1"/>
  <c r="U307" i="2" s="1"/>
  <c r="L307" i="1"/>
  <c r="V307" i="2" s="1"/>
  <c r="W307" i="2" s="1"/>
  <c r="Q307" i="1"/>
  <c r="AB307" i="2" s="1"/>
  <c r="B308" i="1"/>
  <c r="B308" i="2" s="1"/>
  <c r="C308" i="2" s="1"/>
  <c r="C308" i="1"/>
  <c r="D308" i="2" s="1"/>
  <c r="E308" i="2" s="1"/>
  <c r="D308" i="1"/>
  <c r="F308" i="2" s="1"/>
  <c r="G308" i="2" s="1"/>
  <c r="E308" i="1"/>
  <c r="H308" i="2" s="1"/>
  <c r="I308" i="2" s="1"/>
  <c r="D290" i="9" s="1"/>
  <c r="F308" i="1"/>
  <c r="J308" i="2" s="1"/>
  <c r="K308" i="2" s="1"/>
  <c r="G308" i="1"/>
  <c r="L308" i="2" s="1"/>
  <c r="M308" i="2" s="1"/>
  <c r="H308" i="1"/>
  <c r="N308" i="2" s="1"/>
  <c r="O308" i="2" s="1"/>
  <c r="I308" i="1"/>
  <c r="P308" i="2" s="1"/>
  <c r="Q308" i="2" s="1"/>
  <c r="C290" i="9" s="1"/>
  <c r="J308" i="1"/>
  <c r="R308" i="2" s="1"/>
  <c r="S308" i="2" s="1"/>
  <c r="K308" i="1"/>
  <c r="T308" i="2" s="1"/>
  <c r="U308" i="2" s="1"/>
  <c r="L308" i="1"/>
  <c r="V308" i="2" s="1"/>
  <c r="W308" i="2" s="1"/>
  <c r="Q308" i="1"/>
  <c r="AB308" i="2" s="1"/>
  <c r="B309" i="1"/>
  <c r="B309" i="2" s="1"/>
  <c r="C309" i="2" s="1"/>
  <c r="C309" i="1"/>
  <c r="D309" i="2" s="1"/>
  <c r="E309" i="2" s="1"/>
  <c r="D309" i="1"/>
  <c r="F309" i="2" s="1"/>
  <c r="G309" i="2" s="1"/>
  <c r="E309" i="1"/>
  <c r="H309" i="2" s="1"/>
  <c r="I309" i="2" s="1"/>
  <c r="D291" i="9" s="1"/>
  <c r="F309" i="1"/>
  <c r="J309" i="2" s="1"/>
  <c r="K309" i="2" s="1"/>
  <c r="G309" i="1"/>
  <c r="L309" i="2" s="1"/>
  <c r="M309" i="2" s="1"/>
  <c r="H309" i="1"/>
  <c r="N309" i="2" s="1"/>
  <c r="O309" i="2" s="1"/>
  <c r="I309" i="1"/>
  <c r="P309" i="2" s="1"/>
  <c r="Q309" i="2" s="1"/>
  <c r="C291" i="9" s="1"/>
  <c r="J309" i="1"/>
  <c r="R309" i="2" s="1"/>
  <c r="S309" i="2" s="1"/>
  <c r="K309" i="1"/>
  <c r="T309" i="2" s="1"/>
  <c r="U309" i="2" s="1"/>
  <c r="L309" i="1"/>
  <c r="V309" i="2" s="1"/>
  <c r="W309" i="2" s="1"/>
  <c r="Q309" i="1"/>
  <c r="AB309" i="2" s="1"/>
  <c r="B310" i="1"/>
  <c r="B310" i="2" s="1"/>
  <c r="C310" i="2" s="1"/>
  <c r="C310" i="1"/>
  <c r="D310" i="2" s="1"/>
  <c r="E310" i="2" s="1"/>
  <c r="D310" i="1"/>
  <c r="F310" i="2" s="1"/>
  <c r="G310" i="2" s="1"/>
  <c r="E310" i="1"/>
  <c r="H310" i="2" s="1"/>
  <c r="I310" i="2" s="1"/>
  <c r="D292" i="9" s="1"/>
  <c r="F310" i="1"/>
  <c r="J310" i="2" s="1"/>
  <c r="K310" i="2" s="1"/>
  <c r="G310" i="1"/>
  <c r="L310" i="2" s="1"/>
  <c r="M310" i="2" s="1"/>
  <c r="H310" i="1"/>
  <c r="N310" i="2" s="1"/>
  <c r="O310" i="2" s="1"/>
  <c r="I310" i="1"/>
  <c r="P310" i="2" s="1"/>
  <c r="Q310" i="2" s="1"/>
  <c r="C292" i="9" s="1"/>
  <c r="J310" i="1"/>
  <c r="R310" i="2" s="1"/>
  <c r="S310" i="2" s="1"/>
  <c r="K310" i="1"/>
  <c r="T310" i="2" s="1"/>
  <c r="U310" i="2" s="1"/>
  <c r="L310" i="1"/>
  <c r="V310" i="2" s="1"/>
  <c r="W310" i="2" s="1"/>
  <c r="Q310" i="1"/>
  <c r="AB310" i="2" s="1"/>
  <c r="B311" i="1"/>
  <c r="B311" i="2" s="1"/>
  <c r="C311" i="2" s="1"/>
  <c r="C311" i="1"/>
  <c r="D311" i="2" s="1"/>
  <c r="E311" i="2" s="1"/>
  <c r="D311" i="1"/>
  <c r="F311" i="2" s="1"/>
  <c r="G311" i="2" s="1"/>
  <c r="E311" i="1"/>
  <c r="H311" i="2" s="1"/>
  <c r="I311" i="2" s="1"/>
  <c r="D293" i="9" s="1"/>
  <c r="F311" i="1"/>
  <c r="J311" i="2" s="1"/>
  <c r="K311" i="2" s="1"/>
  <c r="G311" i="1"/>
  <c r="L311" i="2" s="1"/>
  <c r="M311" i="2" s="1"/>
  <c r="H311" i="1"/>
  <c r="N311" i="2" s="1"/>
  <c r="O311" i="2" s="1"/>
  <c r="I311" i="1"/>
  <c r="P311" i="2" s="1"/>
  <c r="Q311" i="2" s="1"/>
  <c r="C293" i="9" s="1"/>
  <c r="J311" i="1"/>
  <c r="R311" i="2" s="1"/>
  <c r="S311" i="2" s="1"/>
  <c r="K311" i="1"/>
  <c r="T311" i="2" s="1"/>
  <c r="U311" i="2" s="1"/>
  <c r="L311" i="1"/>
  <c r="V311" i="2" s="1"/>
  <c r="W311" i="2" s="1"/>
  <c r="Q311" i="1"/>
  <c r="AB311" i="2" s="1"/>
  <c r="B312" i="1"/>
  <c r="B312" i="2" s="1"/>
  <c r="C312" i="2" s="1"/>
  <c r="C312" i="1"/>
  <c r="D312" i="2" s="1"/>
  <c r="E312" i="2" s="1"/>
  <c r="D312" i="1"/>
  <c r="F312" i="2" s="1"/>
  <c r="G312" i="2" s="1"/>
  <c r="E312" i="1"/>
  <c r="H312" i="2" s="1"/>
  <c r="I312" i="2" s="1"/>
  <c r="D294" i="9" s="1"/>
  <c r="F312" i="1"/>
  <c r="J312" i="2" s="1"/>
  <c r="K312" i="2" s="1"/>
  <c r="G312" i="1"/>
  <c r="L312" i="2" s="1"/>
  <c r="M312" i="2" s="1"/>
  <c r="H312" i="1"/>
  <c r="N312" i="2" s="1"/>
  <c r="O312" i="2" s="1"/>
  <c r="I312" i="1"/>
  <c r="P312" i="2" s="1"/>
  <c r="Q312" i="2" s="1"/>
  <c r="C294" i="9" s="1"/>
  <c r="J312" i="1"/>
  <c r="R312" i="2" s="1"/>
  <c r="S312" i="2" s="1"/>
  <c r="K312" i="1"/>
  <c r="T312" i="2" s="1"/>
  <c r="U312" i="2" s="1"/>
  <c r="L312" i="1"/>
  <c r="V312" i="2" s="1"/>
  <c r="W312" i="2" s="1"/>
  <c r="Q312" i="1"/>
  <c r="AB312" i="2" s="1"/>
  <c r="B313" i="1"/>
  <c r="B313" i="2" s="1"/>
  <c r="C313" i="2" s="1"/>
  <c r="C313" i="1"/>
  <c r="D313" i="2" s="1"/>
  <c r="E313" i="2" s="1"/>
  <c r="D313" i="1"/>
  <c r="F313" i="2" s="1"/>
  <c r="G313" i="2" s="1"/>
  <c r="E313" i="1"/>
  <c r="H313" i="2" s="1"/>
  <c r="I313" i="2" s="1"/>
  <c r="D295" i="9" s="1"/>
  <c r="F313" i="1"/>
  <c r="J313" i="2" s="1"/>
  <c r="K313" i="2" s="1"/>
  <c r="G313" i="1"/>
  <c r="L313" i="2" s="1"/>
  <c r="M313" i="2" s="1"/>
  <c r="H313" i="1"/>
  <c r="N313" i="2" s="1"/>
  <c r="O313" i="2" s="1"/>
  <c r="I313" i="1"/>
  <c r="P313" i="2" s="1"/>
  <c r="Q313" i="2" s="1"/>
  <c r="C295" i="9" s="1"/>
  <c r="J313" i="1"/>
  <c r="R313" i="2" s="1"/>
  <c r="S313" i="2" s="1"/>
  <c r="K313" i="1"/>
  <c r="T313" i="2" s="1"/>
  <c r="U313" i="2" s="1"/>
  <c r="L313" i="1"/>
  <c r="V313" i="2" s="1"/>
  <c r="W313" i="2" s="1"/>
  <c r="Q313" i="1"/>
  <c r="AB313" i="2" s="1"/>
  <c r="B314" i="1"/>
  <c r="B314" i="2" s="1"/>
  <c r="C314" i="2" s="1"/>
  <c r="C314" i="1"/>
  <c r="D314" i="2" s="1"/>
  <c r="E314" i="2" s="1"/>
  <c r="D314" i="1"/>
  <c r="F314" i="2" s="1"/>
  <c r="G314" i="2" s="1"/>
  <c r="E314" i="1"/>
  <c r="H314" i="2" s="1"/>
  <c r="I314" i="2" s="1"/>
  <c r="D296" i="9" s="1"/>
  <c r="F314" i="1"/>
  <c r="J314" i="2" s="1"/>
  <c r="K314" i="2" s="1"/>
  <c r="G314" i="1"/>
  <c r="L314" i="2" s="1"/>
  <c r="M314" i="2" s="1"/>
  <c r="H314" i="1"/>
  <c r="N314" i="2" s="1"/>
  <c r="O314" i="2" s="1"/>
  <c r="I314" i="1"/>
  <c r="P314" i="2" s="1"/>
  <c r="Q314" i="2" s="1"/>
  <c r="C296" i="9" s="1"/>
  <c r="J314" i="1"/>
  <c r="R314" i="2" s="1"/>
  <c r="S314" i="2" s="1"/>
  <c r="K314" i="1"/>
  <c r="T314" i="2" s="1"/>
  <c r="U314" i="2" s="1"/>
  <c r="L314" i="1"/>
  <c r="V314" i="2" s="1"/>
  <c r="W314" i="2" s="1"/>
  <c r="Q314" i="1"/>
  <c r="AB314" i="2" s="1"/>
  <c r="B315" i="1"/>
  <c r="B315" i="2" s="1"/>
  <c r="C315" i="2" s="1"/>
  <c r="C315" i="1"/>
  <c r="D315" i="2" s="1"/>
  <c r="E315" i="2" s="1"/>
  <c r="D315" i="1"/>
  <c r="F315" i="2" s="1"/>
  <c r="G315" i="2" s="1"/>
  <c r="E315" i="1"/>
  <c r="H315" i="2" s="1"/>
  <c r="I315" i="2" s="1"/>
  <c r="D297" i="9" s="1"/>
  <c r="F315" i="1"/>
  <c r="J315" i="2" s="1"/>
  <c r="K315" i="2" s="1"/>
  <c r="G315" i="1"/>
  <c r="L315" i="2" s="1"/>
  <c r="M315" i="2" s="1"/>
  <c r="H315" i="1"/>
  <c r="N315" i="2" s="1"/>
  <c r="O315" i="2" s="1"/>
  <c r="I315" i="1"/>
  <c r="P315" i="2" s="1"/>
  <c r="Q315" i="2" s="1"/>
  <c r="C297" i="9" s="1"/>
  <c r="J315" i="1"/>
  <c r="R315" i="2" s="1"/>
  <c r="S315" i="2" s="1"/>
  <c r="K315" i="1"/>
  <c r="T315" i="2" s="1"/>
  <c r="U315" i="2" s="1"/>
  <c r="L315" i="1"/>
  <c r="V315" i="2" s="1"/>
  <c r="W315" i="2" s="1"/>
  <c r="Q315" i="1"/>
  <c r="AB315" i="2" s="1"/>
  <c r="B316" i="1"/>
  <c r="B316" i="2" s="1"/>
  <c r="C316" i="2" s="1"/>
  <c r="C316" i="1"/>
  <c r="D316" i="2" s="1"/>
  <c r="E316" i="2" s="1"/>
  <c r="D316" i="1"/>
  <c r="F316" i="2" s="1"/>
  <c r="G316" i="2" s="1"/>
  <c r="E316" i="1"/>
  <c r="H316" i="2" s="1"/>
  <c r="I316" i="2" s="1"/>
  <c r="D298" i="9" s="1"/>
  <c r="F316" i="1"/>
  <c r="J316" i="2" s="1"/>
  <c r="K316" i="2" s="1"/>
  <c r="G316" i="1"/>
  <c r="L316" i="2" s="1"/>
  <c r="M316" i="2" s="1"/>
  <c r="H316" i="1"/>
  <c r="N316" i="2" s="1"/>
  <c r="O316" i="2" s="1"/>
  <c r="I316" i="1"/>
  <c r="P316" i="2" s="1"/>
  <c r="Q316" i="2" s="1"/>
  <c r="C298" i="9" s="1"/>
  <c r="J316" i="1"/>
  <c r="R316" i="2" s="1"/>
  <c r="S316" i="2" s="1"/>
  <c r="K316" i="1"/>
  <c r="T316" i="2" s="1"/>
  <c r="U316" i="2" s="1"/>
  <c r="L316" i="1"/>
  <c r="V316" i="2" s="1"/>
  <c r="W316" i="2" s="1"/>
  <c r="Q316" i="1"/>
  <c r="AB316" i="2" s="1"/>
  <c r="B317" i="1"/>
  <c r="B317" i="2" s="1"/>
  <c r="C317" i="2" s="1"/>
  <c r="C317" i="1"/>
  <c r="D317" i="2" s="1"/>
  <c r="E317" i="2" s="1"/>
  <c r="D317" i="1"/>
  <c r="F317" i="2" s="1"/>
  <c r="G317" i="2" s="1"/>
  <c r="E317" i="1"/>
  <c r="H317" i="2" s="1"/>
  <c r="I317" i="2" s="1"/>
  <c r="D299" i="9" s="1"/>
  <c r="F317" i="1"/>
  <c r="J317" i="2" s="1"/>
  <c r="K317" i="2" s="1"/>
  <c r="G317" i="1"/>
  <c r="L317" i="2" s="1"/>
  <c r="M317" i="2" s="1"/>
  <c r="H317" i="1"/>
  <c r="N317" i="2" s="1"/>
  <c r="O317" i="2" s="1"/>
  <c r="I317" i="1"/>
  <c r="P317" i="2" s="1"/>
  <c r="Q317" i="2" s="1"/>
  <c r="C299" i="9" s="1"/>
  <c r="J317" i="1"/>
  <c r="R317" i="2" s="1"/>
  <c r="S317" i="2" s="1"/>
  <c r="K317" i="1"/>
  <c r="T317" i="2" s="1"/>
  <c r="U317" i="2" s="1"/>
  <c r="L317" i="1"/>
  <c r="V317" i="2" s="1"/>
  <c r="W317" i="2" s="1"/>
  <c r="Q317" i="1"/>
  <c r="AB317" i="2" s="1"/>
  <c r="B318" i="1"/>
  <c r="B318" i="2" s="1"/>
  <c r="C318" i="2" s="1"/>
  <c r="C318" i="1"/>
  <c r="D318" i="2" s="1"/>
  <c r="E318" i="2" s="1"/>
  <c r="D318" i="1"/>
  <c r="F318" i="2" s="1"/>
  <c r="G318" i="2" s="1"/>
  <c r="E318" i="1"/>
  <c r="H318" i="2" s="1"/>
  <c r="I318" i="2" s="1"/>
  <c r="D300" i="9" s="1"/>
  <c r="F318" i="1"/>
  <c r="J318" i="2" s="1"/>
  <c r="K318" i="2" s="1"/>
  <c r="G318" i="1"/>
  <c r="L318" i="2" s="1"/>
  <c r="M318" i="2" s="1"/>
  <c r="H318" i="1"/>
  <c r="N318" i="2" s="1"/>
  <c r="O318" i="2" s="1"/>
  <c r="I318" i="1"/>
  <c r="P318" i="2" s="1"/>
  <c r="Q318" i="2" s="1"/>
  <c r="C300" i="9" s="1"/>
  <c r="J318" i="1"/>
  <c r="R318" i="2" s="1"/>
  <c r="S318" i="2" s="1"/>
  <c r="K318" i="1"/>
  <c r="T318" i="2" s="1"/>
  <c r="U318" i="2" s="1"/>
  <c r="L318" i="1"/>
  <c r="V318" i="2" s="1"/>
  <c r="W318" i="2" s="1"/>
  <c r="Q318" i="1"/>
  <c r="AB318" i="2" s="1"/>
  <c r="B319" i="1"/>
  <c r="B319" i="2" s="1"/>
  <c r="C319" i="2" s="1"/>
  <c r="C319" i="1"/>
  <c r="D319" i="2" s="1"/>
  <c r="E319" i="2" s="1"/>
  <c r="D319" i="1"/>
  <c r="F319" i="2" s="1"/>
  <c r="G319" i="2" s="1"/>
  <c r="E319" i="1"/>
  <c r="H319" i="2" s="1"/>
  <c r="I319" i="2" s="1"/>
  <c r="D301" i="9" s="1"/>
  <c r="F319" i="1"/>
  <c r="J319" i="2" s="1"/>
  <c r="K319" i="2" s="1"/>
  <c r="G319" i="1"/>
  <c r="L319" i="2" s="1"/>
  <c r="M319" i="2" s="1"/>
  <c r="H319" i="1"/>
  <c r="N319" i="2" s="1"/>
  <c r="O319" i="2" s="1"/>
  <c r="I319" i="1"/>
  <c r="P319" i="2" s="1"/>
  <c r="Q319" i="2" s="1"/>
  <c r="C301" i="9" s="1"/>
  <c r="J319" i="1"/>
  <c r="R319" i="2" s="1"/>
  <c r="S319" i="2" s="1"/>
  <c r="K319" i="1"/>
  <c r="T319" i="2" s="1"/>
  <c r="U319" i="2" s="1"/>
  <c r="L319" i="1"/>
  <c r="V319" i="2" s="1"/>
  <c r="W319" i="2" s="1"/>
  <c r="Q319" i="1"/>
  <c r="AB319" i="2" s="1"/>
  <c r="B320" i="1"/>
  <c r="B320" i="2" s="1"/>
  <c r="C320" i="2" s="1"/>
  <c r="C320" i="1"/>
  <c r="D320" i="2" s="1"/>
  <c r="E320" i="2" s="1"/>
  <c r="D320" i="1"/>
  <c r="F320" i="2" s="1"/>
  <c r="G320" i="2" s="1"/>
  <c r="E320" i="1"/>
  <c r="H320" i="2" s="1"/>
  <c r="I320" i="2" s="1"/>
  <c r="D302" i="9" s="1"/>
  <c r="F320" i="1"/>
  <c r="J320" i="2" s="1"/>
  <c r="K320" i="2" s="1"/>
  <c r="G320" i="1"/>
  <c r="L320" i="2" s="1"/>
  <c r="M320" i="2" s="1"/>
  <c r="H320" i="1"/>
  <c r="N320" i="2" s="1"/>
  <c r="O320" i="2" s="1"/>
  <c r="I320" i="1"/>
  <c r="P320" i="2" s="1"/>
  <c r="Q320" i="2" s="1"/>
  <c r="C302" i="9" s="1"/>
  <c r="J320" i="1"/>
  <c r="R320" i="2" s="1"/>
  <c r="S320" i="2" s="1"/>
  <c r="K320" i="1"/>
  <c r="T320" i="2" s="1"/>
  <c r="U320" i="2" s="1"/>
  <c r="L320" i="1"/>
  <c r="V320" i="2" s="1"/>
  <c r="W320" i="2" s="1"/>
  <c r="Q320" i="1"/>
  <c r="AB320" i="2" s="1"/>
  <c r="B321" i="1"/>
  <c r="B321" i="2" s="1"/>
  <c r="C321" i="2" s="1"/>
  <c r="C321" i="1"/>
  <c r="D321" i="2" s="1"/>
  <c r="E321" i="2" s="1"/>
  <c r="D321" i="1"/>
  <c r="F321" i="2" s="1"/>
  <c r="G321" i="2" s="1"/>
  <c r="E321" i="1"/>
  <c r="H321" i="2" s="1"/>
  <c r="I321" i="2" s="1"/>
  <c r="D303" i="9" s="1"/>
  <c r="F321" i="1"/>
  <c r="J321" i="2" s="1"/>
  <c r="K321" i="2" s="1"/>
  <c r="G321" i="1"/>
  <c r="L321" i="2" s="1"/>
  <c r="M321" i="2" s="1"/>
  <c r="H321" i="1"/>
  <c r="N321" i="2" s="1"/>
  <c r="O321" i="2" s="1"/>
  <c r="I321" i="1"/>
  <c r="P321" i="2" s="1"/>
  <c r="Q321" i="2" s="1"/>
  <c r="C303" i="9" s="1"/>
  <c r="J321" i="1"/>
  <c r="R321" i="2" s="1"/>
  <c r="S321" i="2" s="1"/>
  <c r="K321" i="1"/>
  <c r="T321" i="2" s="1"/>
  <c r="U321" i="2" s="1"/>
  <c r="L321" i="1"/>
  <c r="V321" i="2" s="1"/>
  <c r="W321" i="2" s="1"/>
  <c r="Q321" i="1"/>
  <c r="AB321" i="2" s="1"/>
  <c r="B322" i="1"/>
  <c r="B322" i="2" s="1"/>
  <c r="C322" i="2" s="1"/>
  <c r="C322" i="1"/>
  <c r="D322" i="2" s="1"/>
  <c r="E322" i="2" s="1"/>
  <c r="D322" i="1"/>
  <c r="F322" i="2" s="1"/>
  <c r="G322" i="2" s="1"/>
  <c r="E322" i="1"/>
  <c r="H322" i="2" s="1"/>
  <c r="I322" i="2" s="1"/>
  <c r="D304" i="9" s="1"/>
  <c r="F322" i="1"/>
  <c r="J322" i="2" s="1"/>
  <c r="K322" i="2" s="1"/>
  <c r="G322" i="1"/>
  <c r="L322" i="2" s="1"/>
  <c r="M322" i="2" s="1"/>
  <c r="H322" i="1"/>
  <c r="N322" i="2" s="1"/>
  <c r="O322" i="2" s="1"/>
  <c r="I322" i="1"/>
  <c r="P322" i="2" s="1"/>
  <c r="Q322" i="2" s="1"/>
  <c r="C304" i="9" s="1"/>
  <c r="J322" i="1"/>
  <c r="R322" i="2" s="1"/>
  <c r="S322" i="2" s="1"/>
  <c r="K322" i="1"/>
  <c r="T322" i="2" s="1"/>
  <c r="U322" i="2" s="1"/>
  <c r="L322" i="1"/>
  <c r="V322" i="2" s="1"/>
  <c r="W322" i="2" s="1"/>
  <c r="Q322" i="1"/>
  <c r="AB322" i="2" s="1"/>
  <c r="B323" i="1"/>
  <c r="B323" i="2" s="1"/>
  <c r="C323" i="2" s="1"/>
  <c r="C323" i="1"/>
  <c r="D323" i="2" s="1"/>
  <c r="E323" i="2" s="1"/>
  <c r="D323" i="1"/>
  <c r="F323" i="2" s="1"/>
  <c r="G323" i="2" s="1"/>
  <c r="E323" i="1"/>
  <c r="H323" i="2" s="1"/>
  <c r="I323" i="2" s="1"/>
  <c r="D305" i="9" s="1"/>
  <c r="F323" i="1"/>
  <c r="J323" i="2" s="1"/>
  <c r="K323" i="2" s="1"/>
  <c r="G323" i="1"/>
  <c r="L323" i="2" s="1"/>
  <c r="M323" i="2" s="1"/>
  <c r="H323" i="1"/>
  <c r="N323" i="2" s="1"/>
  <c r="O323" i="2" s="1"/>
  <c r="I323" i="1"/>
  <c r="P323" i="2" s="1"/>
  <c r="Q323" i="2" s="1"/>
  <c r="C305" i="9" s="1"/>
  <c r="J323" i="1"/>
  <c r="R323" i="2" s="1"/>
  <c r="S323" i="2" s="1"/>
  <c r="K323" i="1"/>
  <c r="T323" i="2" s="1"/>
  <c r="U323" i="2" s="1"/>
  <c r="L323" i="1"/>
  <c r="V323" i="2" s="1"/>
  <c r="W323" i="2" s="1"/>
  <c r="Q323" i="1"/>
  <c r="AB323" i="2" s="1"/>
  <c r="B324" i="1"/>
  <c r="B324" i="2" s="1"/>
  <c r="C324" i="2" s="1"/>
  <c r="C324" i="1"/>
  <c r="D324" i="2" s="1"/>
  <c r="E324" i="2" s="1"/>
  <c r="D324" i="1"/>
  <c r="F324" i="2" s="1"/>
  <c r="G324" i="2" s="1"/>
  <c r="E324" i="1"/>
  <c r="H324" i="2" s="1"/>
  <c r="I324" i="2" s="1"/>
  <c r="D306" i="9" s="1"/>
  <c r="F324" i="1"/>
  <c r="J324" i="2" s="1"/>
  <c r="K324" i="2" s="1"/>
  <c r="G324" i="1"/>
  <c r="L324" i="2" s="1"/>
  <c r="M324" i="2" s="1"/>
  <c r="H324" i="1"/>
  <c r="N324" i="2" s="1"/>
  <c r="O324" i="2" s="1"/>
  <c r="I324" i="1"/>
  <c r="P324" i="2" s="1"/>
  <c r="Q324" i="2" s="1"/>
  <c r="C306" i="9" s="1"/>
  <c r="J324" i="1"/>
  <c r="R324" i="2" s="1"/>
  <c r="S324" i="2" s="1"/>
  <c r="K324" i="1"/>
  <c r="T324" i="2" s="1"/>
  <c r="U324" i="2" s="1"/>
  <c r="L324" i="1"/>
  <c r="V324" i="2" s="1"/>
  <c r="W324" i="2" s="1"/>
  <c r="Q324" i="1"/>
  <c r="AB324" i="2" s="1"/>
  <c r="B325" i="1"/>
  <c r="B325" i="2" s="1"/>
  <c r="C325" i="2" s="1"/>
  <c r="C325" i="1"/>
  <c r="D325" i="2" s="1"/>
  <c r="E325" i="2" s="1"/>
  <c r="D325" i="1"/>
  <c r="F325" i="2" s="1"/>
  <c r="G325" i="2" s="1"/>
  <c r="E325" i="1"/>
  <c r="H325" i="2" s="1"/>
  <c r="I325" i="2" s="1"/>
  <c r="D307" i="9" s="1"/>
  <c r="F325" i="1"/>
  <c r="J325" i="2" s="1"/>
  <c r="K325" i="2" s="1"/>
  <c r="G325" i="1"/>
  <c r="L325" i="2" s="1"/>
  <c r="M325" i="2" s="1"/>
  <c r="H325" i="1"/>
  <c r="N325" i="2" s="1"/>
  <c r="O325" i="2" s="1"/>
  <c r="I325" i="1"/>
  <c r="P325" i="2" s="1"/>
  <c r="Q325" i="2" s="1"/>
  <c r="C307" i="9" s="1"/>
  <c r="J325" i="1"/>
  <c r="R325" i="2" s="1"/>
  <c r="S325" i="2" s="1"/>
  <c r="K325" i="1"/>
  <c r="T325" i="2" s="1"/>
  <c r="U325" i="2" s="1"/>
  <c r="L325" i="1"/>
  <c r="V325" i="2" s="1"/>
  <c r="W325" i="2" s="1"/>
  <c r="Q325" i="1"/>
  <c r="AB325" i="2" s="1"/>
  <c r="B326" i="1"/>
  <c r="B326" i="2" s="1"/>
  <c r="C326" i="2" s="1"/>
  <c r="C326" i="1"/>
  <c r="D326" i="2" s="1"/>
  <c r="E326" i="2" s="1"/>
  <c r="D326" i="1"/>
  <c r="F326" i="2" s="1"/>
  <c r="G326" i="2" s="1"/>
  <c r="E326" i="1"/>
  <c r="H326" i="2" s="1"/>
  <c r="I326" i="2" s="1"/>
  <c r="D308" i="9" s="1"/>
  <c r="F326" i="1"/>
  <c r="J326" i="2" s="1"/>
  <c r="K326" i="2" s="1"/>
  <c r="G326" i="1"/>
  <c r="L326" i="2" s="1"/>
  <c r="M326" i="2" s="1"/>
  <c r="H326" i="1"/>
  <c r="N326" i="2" s="1"/>
  <c r="O326" i="2" s="1"/>
  <c r="I326" i="1"/>
  <c r="P326" i="2" s="1"/>
  <c r="Q326" i="2" s="1"/>
  <c r="C308" i="9" s="1"/>
  <c r="J326" i="1"/>
  <c r="R326" i="2" s="1"/>
  <c r="S326" i="2" s="1"/>
  <c r="K326" i="1"/>
  <c r="T326" i="2" s="1"/>
  <c r="U326" i="2" s="1"/>
  <c r="L326" i="1"/>
  <c r="V326" i="2" s="1"/>
  <c r="W326" i="2" s="1"/>
  <c r="Q326" i="1"/>
  <c r="AB326" i="2" s="1"/>
  <c r="B327" i="1"/>
  <c r="B327" i="2" s="1"/>
  <c r="C327" i="2" s="1"/>
  <c r="C327" i="1"/>
  <c r="D327" i="2" s="1"/>
  <c r="E327" i="2" s="1"/>
  <c r="D327" i="1"/>
  <c r="F327" i="2" s="1"/>
  <c r="G327" i="2" s="1"/>
  <c r="E327" i="1"/>
  <c r="H327" i="2" s="1"/>
  <c r="I327" i="2" s="1"/>
  <c r="D309" i="9" s="1"/>
  <c r="F327" i="1"/>
  <c r="J327" i="2" s="1"/>
  <c r="K327" i="2" s="1"/>
  <c r="G327" i="1"/>
  <c r="L327" i="2" s="1"/>
  <c r="M327" i="2" s="1"/>
  <c r="H327" i="1"/>
  <c r="N327" i="2" s="1"/>
  <c r="O327" i="2" s="1"/>
  <c r="I327" i="1"/>
  <c r="P327" i="2" s="1"/>
  <c r="Q327" i="2" s="1"/>
  <c r="C309" i="9" s="1"/>
  <c r="J327" i="1"/>
  <c r="R327" i="2" s="1"/>
  <c r="S327" i="2" s="1"/>
  <c r="K327" i="1"/>
  <c r="T327" i="2" s="1"/>
  <c r="U327" i="2" s="1"/>
  <c r="L327" i="1"/>
  <c r="V327" i="2" s="1"/>
  <c r="W327" i="2" s="1"/>
  <c r="Q327" i="1"/>
  <c r="AB327" i="2" s="1"/>
  <c r="B328" i="1"/>
  <c r="B328" i="2" s="1"/>
  <c r="C328" i="2" s="1"/>
  <c r="C328" i="1"/>
  <c r="D328" i="2" s="1"/>
  <c r="E328" i="2" s="1"/>
  <c r="D328" i="1"/>
  <c r="F328" i="2" s="1"/>
  <c r="G328" i="2" s="1"/>
  <c r="E328" i="1"/>
  <c r="H328" i="2" s="1"/>
  <c r="I328" i="2" s="1"/>
  <c r="D310" i="9" s="1"/>
  <c r="F328" i="1"/>
  <c r="J328" i="2" s="1"/>
  <c r="K328" i="2" s="1"/>
  <c r="G328" i="1"/>
  <c r="L328" i="2" s="1"/>
  <c r="M328" i="2" s="1"/>
  <c r="H328" i="1"/>
  <c r="N328" i="2" s="1"/>
  <c r="O328" i="2" s="1"/>
  <c r="I328" i="1"/>
  <c r="P328" i="2" s="1"/>
  <c r="Q328" i="2" s="1"/>
  <c r="C310" i="9" s="1"/>
  <c r="J328" i="1"/>
  <c r="R328" i="2" s="1"/>
  <c r="S328" i="2" s="1"/>
  <c r="K328" i="1"/>
  <c r="T328" i="2" s="1"/>
  <c r="U328" i="2" s="1"/>
  <c r="L328" i="1"/>
  <c r="V328" i="2" s="1"/>
  <c r="W328" i="2" s="1"/>
  <c r="Q328" i="1"/>
  <c r="AB328" i="2" s="1"/>
  <c r="B329" i="1"/>
  <c r="B329" i="2" s="1"/>
  <c r="C329" i="2" s="1"/>
  <c r="C329" i="1"/>
  <c r="D329" i="2" s="1"/>
  <c r="E329" i="2" s="1"/>
  <c r="D329" i="1"/>
  <c r="F329" i="2" s="1"/>
  <c r="G329" i="2" s="1"/>
  <c r="E329" i="1"/>
  <c r="H329" i="2" s="1"/>
  <c r="I329" i="2" s="1"/>
  <c r="D311" i="9" s="1"/>
  <c r="F329" i="1"/>
  <c r="J329" i="2" s="1"/>
  <c r="K329" i="2" s="1"/>
  <c r="G329" i="1"/>
  <c r="L329" i="2" s="1"/>
  <c r="M329" i="2" s="1"/>
  <c r="H329" i="1"/>
  <c r="N329" i="2" s="1"/>
  <c r="O329" i="2" s="1"/>
  <c r="I329" i="1"/>
  <c r="P329" i="2" s="1"/>
  <c r="Q329" i="2" s="1"/>
  <c r="C311" i="9" s="1"/>
  <c r="J329" i="1"/>
  <c r="R329" i="2" s="1"/>
  <c r="S329" i="2" s="1"/>
  <c r="K329" i="1"/>
  <c r="T329" i="2" s="1"/>
  <c r="U329" i="2" s="1"/>
  <c r="L329" i="1"/>
  <c r="V329" i="2" s="1"/>
  <c r="W329" i="2" s="1"/>
  <c r="Q329" i="1"/>
  <c r="AB329" i="2" s="1"/>
  <c r="B330" i="1"/>
  <c r="B330" i="2" s="1"/>
  <c r="C330" i="2" s="1"/>
  <c r="C330" i="1"/>
  <c r="D330" i="2" s="1"/>
  <c r="E330" i="2" s="1"/>
  <c r="D330" i="1"/>
  <c r="F330" i="2" s="1"/>
  <c r="G330" i="2" s="1"/>
  <c r="E330" i="1"/>
  <c r="H330" i="2" s="1"/>
  <c r="I330" i="2" s="1"/>
  <c r="D312" i="9" s="1"/>
  <c r="F330" i="1"/>
  <c r="J330" i="2" s="1"/>
  <c r="K330" i="2" s="1"/>
  <c r="G330" i="1"/>
  <c r="L330" i="2" s="1"/>
  <c r="M330" i="2" s="1"/>
  <c r="H330" i="1"/>
  <c r="N330" i="2" s="1"/>
  <c r="O330" i="2" s="1"/>
  <c r="I330" i="1"/>
  <c r="P330" i="2" s="1"/>
  <c r="Q330" i="2" s="1"/>
  <c r="C312" i="9" s="1"/>
  <c r="J330" i="1"/>
  <c r="R330" i="2" s="1"/>
  <c r="S330" i="2" s="1"/>
  <c r="K330" i="1"/>
  <c r="T330" i="2" s="1"/>
  <c r="U330" i="2" s="1"/>
  <c r="L330" i="1"/>
  <c r="V330" i="2" s="1"/>
  <c r="W330" i="2" s="1"/>
  <c r="Q330" i="1"/>
  <c r="AB330" i="2" s="1"/>
  <c r="B331" i="1"/>
  <c r="B331" i="2" s="1"/>
  <c r="C331" i="2" s="1"/>
  <c r="C331" i="1"/>
  <c r="D331" i="2" s="1"/>
  <c r="E331" i="2" s="1"/>
  <c r="D331" i="1"/>
  <c r="F331" i="2" s="1"/>
  <c r="G331" i="2" s="1"/>
  <c r="E331" i="1"/>
  <c r="H331" i="2" s="1"/>
  <c r="I331" i="2" s="1"/>
  <c r="D313" i="9" s="1"/>
  <c r="F331" i="1"/>
  <c r="J331" i="2" s="1"/>
  <c r="K331" i="2" s="1"/>
  <c r="G331" i="1"/>
  <c r="L331" i="2" s="1"/>
  <c r="M331" i="2" s="1"/>
  <c r="H331" i="1"/>
  <c r="N331" i="2" s="1"/>
  <c r="O331" i="2" s="1"/>
  <c r="I331" i="1"/>
  <c r="P331" i="2" s="1"/>
  <c r="Q331" i="2" s="1"/>
  <c r="C313" i="9" s="1"/>
  <c r="J331" i="1"/>
  <c r="R331" i="2" s="1"/>
  <c r="S331" i="2" s="1"/>
  <c r="K331" i="1"/>
  <c r="T331" i="2" s="1"/>
  <c r="U331" i="2" s="1"/>
  <c r="L331" i="1"/>
  <c r="V331" i="2" s="1"/>
  <c r="W331" i="2" s="1"/>
  <c r="Q331" i="1"/>
  <c r="AB331" i="2" s="1"/>
  <c r="B332" i="1"/>
  <c r="B332" i="2" s="1"/>
  <c r="C332" i="2" s="1"/>
  <c r="C332" i="1"/>
  <c r="D332" i="2" s="1"/>
  <c r="E332" i="2" s="1"/>
  <c r="D332" i="1"/>
  <c r="F332" i="2" s="1"/>
  <c r="G332" i="2" s="1"/>
  <c r="E332" i="1"/>
  <c r="H332" i="2" s="1"/>
  <c r="I332" i="2" s="1"/>
  <c r="D314" i="9" s="1"/>
  <c r="F332" i="1"/>
  <c r="J332" i="2" s="1"/>
  <c r="K332" i="2" s="1"/>
  <c r="G332" i="1"/>
  <c r="L332" i="2" s="1"/>
  <c r="M332" i="2" s="1"/>
  <c r="H332" i="1"/>
  <c r="N332" i="2" s="1"/>
  <c r="O332" i="2" s="1"/>
  <c r="I332" i="1"/>
  <c r="P332" i="2" s="1"/>
  <c r="Q332" i="2" s="1"/>
  <c r="C314" i="9" s="1"/>
  <c r="J332" i="1"/>
  <c r="R332" i="2" s="1"/>
  <c r="S332" i="2" s="1"/>
  <c r="K332" i="1"/>
  <c r="T332" i="2" s="1"/>
  <c r="U332" i="2" s="1"/>
  <c r="L332" i="1"/>
  <c r="V332" i="2" s="1"/>
  <c r="W332" i="2" s="1"/>
  <c r="Q332" i="1"/>
  <c r="AB332" i="2" s="1"/>
  <c r="B333" i="1"/>
  <c r="B333" i="2" s="1"/>
  <c r="C333" i="2" s="1"/>
  <c r="C333" i="1"/>
  <c r="D333" i="2" s="1"/>
  <c r="E333" i="2" s="1"/>
  <c r="D333" i="1"/>
  <c r="F333" i="2" s="1"/>
  <c r="G333" i="2" s="1"/>
  <c r="E333" i="1"/>
  <c r="H333" i="2" s="1"/>
  <c r="I333" i="2" s="1"/>
  <c r="D315" i="9" s="1"/>
  <c r="F333" i="1"/>
  <c r="J333" i="2" s="1"/>
  <c r="K333" i="2" s="1"/>
  <c r="G333" i="1"/>
  <c r="L333" i="2" s="1"/>
  <c r="M333" i="2" s="1"/>
  <c r="H333" i="1"/>
  <c r="N333" i="2" s="1"/>
  <c r="O333" i="2" s="1"/>
  <c r="I333" i="1"/>
  <c r="P333" i="2" s="1"/>
  <c r="Q333" i="2" s="1"/>
  <c r="C315" i="9" s="1"/>
  <c r="J333" i="1"/>
  <c r="R333" i="2" s="1"/>
  <c r="S333" i="2" s="1"/>
  <c r="K333" i="1"/>
  <c r="T333" i="2" s="1"/>
  <c r="U333" i="2" s="1"/>
  <c r="L333" i="1"/>
  <c r="V333" i="2" s="1"/>
  <c r="W333" i="2" s="1"/>
  <c r="Q333" i="1"/>
  <c r="AB333" i="2" s="1"/>
  <c r="B334" i="1"/>
  <c r="B334" i="2" s="1"/>
  <c r="C334" i="2" s="1"/>
  <c r="C334" i="1"/>
  <c r="D334" i="2" s="1"/>
  <c r="E334" i="2" s="1"/>
  <c r="D334" i="1"/>
  <c r="F334" i="2" s="1"/>
  <c r="G334" i="2" s="1"/>
  <c r="E334" i="1"/>
  <c r="H334" i="2" s="1"/>
  <c r="I334" i="2" s="1"/>
  <c r="D316" i="9" s="1"/>
  <c r="F334" i="1"/>
  <c r="J334" i="2" s="1"/>
  <c r="K334" i="2" s="1"/>
  <c r="G334" i="1"/>
  <c r="L334" i="2" s="1"/>
  <c r="M334" i="2" s="1"/>
  <c r="H334" i="1"/>
  <c r="N334" i="2" s="1"/>
  <c r="O334" i="2" s="1"/>
  <c r="I334" i="1"/>
  <c r="P334" i="2" s="1"/>
  <c r="Q334" i="2" s="1"/>
  <c r="C316" i="9" s="1"/>
  <c r="J334" i="1"/>
  <c r="R334" i="2" s="1"/>
  <c r="S334" i="2" s="1"/>
  <c r="K334" i="1"/>
  <c r="T334" i="2" s="1"/>
  <c r="U334" i="2" s="1"/>
  <c r="L334" i="1"/>
  <c r="V334" i="2" s="1"/>
  <c r="W334" i="2" s="1"/>
  <c r="Q334" i="1"/>
  <c r="AB334" i="2" s="1"/>
  <c r="B335" i="1"/>
  <c r="B335" i="2" s="1"/>
  <c r="C335" i="2" s="1"/>
  <c r="C335" i="1"/>
  <c r="D335" i="2" s="1"/>
  <c r="E335" i="2" s="1"/>
  <c r="D335" i="1"/>
  <c r="F335" i="2" s="1"/>
  <c r="G335" i="2" s="1"/>
  <c r="E335" i="1"/>
  <c r="H335" i="2" s="1"/>
  <c r="I335" i="2" s="1"/>
  <c r="D317" i="9" s="1"/>
  <c r="F335" i="1"/>
  <c r="J335" i="2" s="1"/>
  <c r="K335" i="2" s="1"/>
  <c r="G335" i="1"/>
  <c r="L335" i="2" s="1"/>
  <c r="M335" i="2" s="1"/>
  <c r="H335" i="1"/>
  <c r="N335" i="2" s="1"/>
  <c r="O335" i="2" s="1"/>
  <c r="I335" i="1"/>
  <c r="P335" i="2" s="1"/>
  <c r="Q335" i="2" s="1"/>
  <c r="C317" i="9" s="1"/>
  <c r="J335" i="1"/>
  <c r="R335" i="2" s="1"/>
  <c r="S335" i="2" s="1"/>
  <c r="K335" i="1"/>
  <c r="T335" i="2" s="1"/>
  <c r="U335" i="2" s="1"/>
  <c r="L335" i="1"/>
  <c r="V335" i="2" s="1"/>
  <c r="W335" i="2" s="1"/>
  <c r="Q335" i="1"/>
  <c r="AB335" i="2" s="1"/>
  <c r="B336" i="1"/>
  <c r="B336" i="2" s="1"/>
  <c r="C336" i="2" s="1"/>
  <c r="C336" i="1"/>
  <c r="D336" i="2" s="1"/>
  <c r="E336" i="2" s="1"/>
  <c r="D336" i="1"/>
  <c r="F336" i="2" s="1"/>
  <c r="G336" i="2" s="1"/>
  <c r="E336" i="1"/>
  <c r="H336" i="2" s="1"/>
  <c r="I336" i="2" s="1"/>
  <c r="D318" i="9" s="1"/>
  <c r="F336" i="1"/>
  <c r="J336" i="2" s="1"/>
  <c r="K336" i="2" s="1"/>
  <c r="G336" i="1"/>
  <c r="L336" i="2" s="1"/>
  <c r="M336" i="2" s="1"/>
  <c r="H336" i="1"/>
  <c r="N336" i="2" s="1"/>
  <c r="O336" i="2" s="1"/>
  <c r="I336" i="1"/>
  <c r="P336" i="2" s="1"/>
  <c r="Q336" i="2" s="1"/>
  <c r="C318" i="9" s="1"/>
  <c r="J336" i="1"/>
  <c r="R336" i="2" s="1"/>
  <c r="S336" i="2" s="1"/>
  <c r="K336" i="1"/>
  <c r="T336" i="2" s="1"/>
  <c r="U336" i="2" s="1"/>
  <c r="L336" i="1"/>
  <c r="V336" i="2" s="1"/>
  <c r="W336" i="2" s="1"/>
  <c r="Q336" i="1"/>
  <c r="AB336" i="2" s="1"/>
  <c r="B337" i="1"/>
  <c r="B337" i="2" s="1"/>
  <c r="C337" i="2" s="1"/>
  <c r="C337" i="1"/>
  <c r="D337" i="2" s="1"/>
  <c r="E337" i="2" s="1"/>
  <c r="D337" i="1"/>
  <c r="F337" i="2" s="1"/>
  <c r="G337" i="2" s="1"/>
  <c r="E337" i="1"/>
  <c r="H337" i="2" s="1"/>
  <c r="I337" i="2" s="1"/>
  <c r="D319" i="9" s="1"/>
  <c r="F337" i="1"/>
  <c r="J337" i="2" s="1"/>
  <c r="K337" i="2" s="1"/>
  <c r="G337" i="1"/>
  <c r="L337" i="2" s="1"/>
  <c r="M337" i="2" s="1"/>
  <c r="H337" i="1"/>
  <c r="N337" i="2" s="1"/>
  <c r="O337" i="2" s="1"/>
  <c r="I337" i="1"/>
  <c r="P337" i="2" s="1"/>
  <c r="Q337" i="2" s="1"/>
  <c r="C319" i="9" s="1"/>
  <c r="J337" i="1"/>
  <c r="R337" i="2" s="1"/>
  <c r="S337" i="2" s="1"/>
  <c r="K337" i="1"/>
  <c r="T337" i="2" s="1"/>
  <c r="U337" i="2" s="1"/>
  <c r="L337" i="1"/>
  <c r="V337" i="2" s="1"/>
  <c r="W337" i="2" s="1"/>
  <c r="Q337" i="1"/>
  <c r="AB337" i="2" s="1"/>
  <c r="B338" i="1"/>
  <c r="B338" i="2" s="1"/>
  <c r="C338" i="2" s="1"/>
  <c r="C338" i="1"/>
  <c r="D338" i="2" s="1"/>
  <c r="E338" i="2" s="1"/>
  <c r="D338" i="1"/>
  <c r="F338" i="2" s="1"/>
  <c r="G338" i="2" s="1"/>
  <c r="E338" i="1"/>
  <c r="H338" i="2" s="1"/>
  <c r="I338" i="2" s="1"/>
  <c r="D320" i="9" s="1"/>
  <c r="F338" i="1"/>
  <c r="J338" i="2" s="1"/>
  <c r="K338" i="2" s="1"/>
  <c r="G338" i="1"/>
  <c r="L338" i="2" s="1"/>
  <c r="M338" i="2" s="1"/>
  <c r="H338" i="1"/>
  <c r="N338" i="2" s="1"/>
  <c r="O338" i="2" s="1"/>
  <c r="I338" i="1"/>
  <c r="P338" i="2" s="1"/>
  <c r="Q338" i="2" s="1"/>
  <c r="C320" i="9" s="1"/>
  <c r="J338" i="1"/>
  <c r="R338" i="2" s="1"/>
  <c r="S338" i="2" s="1"/>
  <c r="K338" i="1"/>
  <c r="T338" i="2" s="1"/>
  <c r="U338" i="2" s="1"/>
  <c r="L338" i="1"/>
  <c r="V338" i="2" s="1"/>
  <c r="W338" i="2" s="1"/>
  <c r="Q338" i="1"/>
  <c r="AB338" i="2" s="1"/>
  <c r="B339" i="1"/>
  <c r="B339" i="2" s="1"/>
  <c r="C339" i="2" s="1"/>
  <c r="C339" i="1"/>
  <c r="D339" i="2" s="1"/>
  <c r="E339" i="2" s="1"/>
  <c r="D339" i="1"/>
  <c r="F339" i="2" s="1"/>
  <c r="G339" i="2" s="1"/>
  <c r="E339" i="1"/>
  <c r="H339" i="2" s="1"/>
  <c r="I339" i="2" s="1"/>
  <c r="D321" i="9" s="1"/>
  <c r="F339" i="1"/>
  <c r="J339" i="2" s="1"/>
  <c r="K339" i="2" s="1"/>
  <c r="G339" i="1"/>
  <c r="L339" i="2" s="1"/>
  <c r="M339" i="2" s="1"/>
  <c r="H339" i="1"/>
  <c r="N339" i="2" s="1"/>
  <c r="O339" i="2" s="1"/>
  <c r="I339" i="1"/>
  <c r="P339" i="2" s="1"/>
  <c r="Q339" i="2" s="1"/>
  <c r="C321" i="9" s="1"/>
  <c r="J339" i="1"/>
  <c r="R339" i="2" s="1"/>
  <c r="S339" i="2" s="1"/>
  <c r="K339" i="1"/>
  <c r="T339" i="2" s="1"/>
  <c r="U339" i="2" s="1"/>
  <c r="L339" i="1"/>
  <c r="V339" i="2" s="1"/>
  <c r="W339" i="2" s="1"/>
  <c r="Q339" i="1"/>
  <c r="AB339" i="2" s="1"/>
  <c r="B340" i="1"/>
  <c r="B340" i="2" s="1"/>
  <c r="C340" i="2" s="1"/>
  <c r="C340" i="1"/>
  <c r="D340" i="2" s="1"/>
  <c r="E340" i="2" s="1"/>
  <c r="D340" i="1"/>
  <c r="F340" i="2" s="1"/>
  <c r="G340" i="2" s="1"/>
  <c r="E340" i="1"/>
  <c r="H340" i="2" s="1"/>
  <c r="I340" i="2" s="1"/>
  <c r="D322" i="9" s="1"/>
  <c r="F340" i="1"/>
  <c r="J340" i="2" s="1"/>
  <c r="K340" i="2" s="1"/>
  <c r="G340" i="1"/>
  <c r="L340" i="2" s="1"/>
  <c r="M340" i="2" s="1"/>
  <c r="H340" i="1"/>
  <c r="N340" i="2" s="1"/>
  <c r="O340" i="2" s="1"/>
  <c r="I340" i="1"/>
  <c r="P340" i="2" s="1"/>
  <c r="Q340" i="2" s="1"/>
  <c r="C322" i="9" s="1"/>
  <c r="J340" i="1"/>
  <c r="R340" i="2" s="1"/>
  <c r="S340" i="2" s="1"/>
  <c r="K340" i="1"/>
  <c r="T340" i="2" s="1"/>
  <c r="U340" i="2" s="1"/>
  <c r="L340" i="1"/>
  <c r="V340" i="2" s="1"/>
  <c r="W340" i="2" s="1"/>
  <c r="Q340" i="1"/>
  <c r="AB340" i="2" s="1"/>
  <c r="B341" i="1"/>
  <c r="B341" i="2" s="1"/>
  <c r="C341" i="2" s="1"/>
  <c r="C341" i="1"/>
  <c r="D341" i="2" s="1"/>
  <c r="E341" i="2" s="1"/>
  <c r="D341" i="1"/>
  <c r="F341" i="2" s="1"/>
  <c r="G341" i="2" s="1"/>
  <c r="E341" i="1"/>
  <c r="H341" i="2" s="1"/>
  <c r="I341" i="2" s="1"/>
  <c r="D323" i="9" s="1"/>
  <c r="F341" i="1"/>
  <c r="J341" i="2" s="1"/>
  <c r="K341" i="2" s="1"/>
  <c r="G341" i="1"/>
  <c r="L341" i="2" s="1"/>
  <c r="M341" i="2" s="1"/>
  <c r="H341" i="1"/>
  <c r="N341" i="2" s="1"/>
  <c r="O341" i="2" s="1"/>
  <c r="I341" i="1"/>
  <c r="P341" i="2" s="1"/>
  <c r="Q341" i="2" s="1"/>
  <c r="C323" i="9" s="1"/>
  <c r="J341" i="1"/>
  <c r="R341" i="2" s="1"/>
  <c r="S341" i="2" s="1"/>
  <c r="K341" i="1"/>
  <c r="T341" i="2" s="1"/>
  <c r="U341" i="2" s="1"/>
  <c r="L341" i="1"/>
  <c r="V341" i="2" s="1"/>
  <c r="W341" i="2" s="1"/>
  <c r="Q341" i="1"/>
  <c r="AB341" i="2" s="1"/>
  <c r="B342" i="1"/>
  <c r="B342" i="2" s="1"/>
  <c r="C342" i="2" s="1"/>
  <c r="C342" i="1"/>
  <c r="D342" i="2" s="1"/>
  <c r="E342" i="2" s="1"/>
  <c r="D342" i="1"/>
  <c r="F342" i="2" s="1"/>
  <c r="G342" i="2" s="1"/>
  <c r="E342" i="1"/>
  <c r="H342" i="2" s="1"/>
  <c r="I342" i="2" s="1"/>
  <c r="D324" i="9" s="1"/>
  <c r="F342" i="1"/>
  <c r="J342" i="2" s="1"/>
  <c r="K342" i="2" s="1"/>
  <c r="G342" i="1"/>
  <c r="L342" i="2" s="1"/>
  <c r="M342" i="2" s="1"/>
  <c r="H342" i="1"/>
  <c r="N342" i="2" s="1"/>
  <c r="O342" i="2" s="1"/>
  <c r="I342" i="1"/>
  <c r="P342" i="2" s="1"/>
  <c r="Q342" i="2" s="1"/>
  <c r="C324" i="9" s="1"/>
  <c r="J342" i="1"/>
  <c r="R342" i="2" s="1"/>
  <c r="S342" i="2" s="1"/>
  <c r="K342" i="1"/>
  <c r="T342" i="2" s="1"/>
  <c r="U342" i="2" s="1"/>
  <c r="L342" i="1"/>
  <c r="V342" i="2" s="1"/>
  <c r="W342" i="2" s="1"/>
  <c r="Q342" i="1"/>
  <c r="AB342" i="2" s="1"/>
  <c r="B343" i="1"/>
  <c r="B343" i="2" s="1"/>
  <c r="C343" i="2" s="1"/>
  <c r="C343" i="1"/>
  <c r="D343" i="2" s="1"/>
  <c r="E343" i="2" s="1"/>
  <c r="D343" i="1"/>
  <c r="F343" i="2" s="1"/>
  <c r="G343" i="2" s="1"/>
  <c r="E343" i="1"/>
  <c r="H343" i="2" s="1"/>
  <c r="I343" i="2" s="1"/>
  <c r="D325" i="9" s="1"/>
  <c r="F343" i="1"/>
  <c r="J343" i="2" s="1"/>
  <c r="K343" i="2" s="1"/>
  <c r="G343" i="1"/>
  <c r="L343" i="2" s="1"/>
  <c r="M343" i="2" s="1"/>
  <c r="H343" i="1"/>
  <c r="N343" i="2" s="1"/>
  <c r="O343" i="2" s="1"/>
  <c r="I343" i="1"/>
  <c r="P343" i="2" s="1"/>
  <c r="Q343" i="2" s="1"/>
  <c r="C325" i="9" s="1"/>
  <c r="J343" i="1"/>
  <c r="R343" i="2" s="1"/>
  <c r="S343" i="2" s="1"/>
  <c r="K343" i="1"/>
  <c r="T343" i="2" s="1"/>
  <c r="U343" i="2" s="1"/>
  <c r="L343" i="1"/>
  <c r="V343" i="2" s="1"/>
  <c r="W343" i="2" s="1"/>
  <c r="Q343" i="1"/>
  <c r="AB343" i="2" s="1"/>
  <c r="B344" i="1"/>
  <c r="B344" i="2" s="1"/>
  <c r="C344" i="2" s="1"/>
  <c r="C344" i="1"/>
  <c r="D344" i="2" s="1"/>
  <c r="E344" i="2" s="1"/>
  <c r="D344" i="1"/>
  <c r="F344" i="2" s="1"/>
  <c r="G344" i="2" s="1"/>
  <c r="E344" i="1"/>
  <c r="H344" i="2" s="1"/>
  <c r="I344" i="2" s="1"/>
  <c r="D326" i="9" s="1"/>
  <c r="F344" i="1"/>
  <c r="J344" i="2" s="1"/>
  <c r="K344" i="2" s="1"/>
  <c r="G344" i="1"/>
  <c r="L344" i="2" s="1"/>
  <c r="M344" i="2" s="1"/>
  <c r="H344" i="1"/>
  <c r="N344" i="2" s="1"/>
  <c r="O344" i="2" s="1"/>
  <c r="I344" i="1"/>
  <c r="P344" i="2" s="1"/>
  <c r="Q344" i="2" s="1"/>
  <c r="C326" i="9" s="1"/>
  <c r="J344" i="1"/>
  <c r="R344" i="2" s="1"/>
  <c r="S344" i="2" s="1"/>
  <c r="K344" i="1"/>
  <c r="T344" i="2" s="1"/>
  <c r="U344" i="2" s="1"/>
  <c r="L344" i="1"/>
  <c r="V344" i="2" s="1"/>
  <c r="W344" i="2" s="1"/>
  <c r="Q344" i="1"/>
  <c r="AB344" i="2" s="1"/>
  <c r="B345" i="1"/>
  <c r="B345" i="2" s="1"/>
  <c r="C345" i="2" s="1"/>
  <c r="C345" i="1"/>
  <c r="D345" i="2" s="1"/>
  <c r="E345" i="2" s="1"/>
  <c r="D345" i="1"/>
  <c r="F345" i="2" s="1"/>
  <c r="G345" i="2" s="1"/>
  <c r="E345" i="1"/>
  <c r="H345" i="2" s="1"/>
  <c r="I345" i="2" s="1"/>
  <c r="D327" i="9" s="1"/>
  <c r="F345" i="1"/>
  <c r="J345" i="2" s="1"/>
  <c r="K345" i="2" s="1"/>
  <c r="G345" i="1"/>
  <c r="L345" i="2" s="1"/>
  <c r="M345" i="2" s="1"/>
  <c r="H345" i="1"/>
  <c r="N345" i="2" s="1"/>
  <c r="O345" i="2" s="1"/>
  <c r="I345" i="1"/>
  <c r="P345" i="2" s="1"/>
  <c r="Q345" i="2" s="1"/>
  <c r="C327" i="9" s="1"/>
  <c r="J345" i="1"/>
  <c r="R345" i="2" s="1"/>
  <c r="S345" i="2" s="1"/>
  <c r="K345" i="1"/>
  <c r="T345" i="2" s="1"/>
  <c r="U345" i="2" s="1"/>
  <c r="L345" i="1"/>
  <c r="V345" i="2" s="1"/>
  <c r="W345" i="2" s="1"/>
  <c r="Q345" i="1"/>
  <c r="AB345" i="2" s="1"/>
  <c r="B346" i="1"/>
  <c r="B346" i="2" s="1"/>
  <c r="C346" i="2" s="1"/>
  <c r="C346" i="1"/>
  <c r="D346" i="2" s="1"/>
  <c r="E346" i="2" s="1"/>
  <c r="D346" i="1"/>
  <c r="F346" i="2" s="1"/>
  <c r="G346" i="2" s="1"/>
  <c r="E346" i="1"/>
  <c r="H346" i="2" s="1"/>
  <c r="I346" i="2" s="1"/>
  <c r="D328" i="9" s="1"/>
  <c r="F346" i="1"/>
  <c r="J346" i="2" s="1"/>
  <c r="K346" i="2" s="1"/>
  <c r="G346" i="1"/>
  <c r="L346" i="2" s="1"/>
  <c r="M346" i="2" s="1"/>
  <c r="H346" i="1"/>
  <c r="N346" i="2" s="1"/>
  <c r="O346" i="2" s="1"/>
  <c r="I346" i="1"/>
  <c r="P346" i="2" s="1"/>
  <c r="Q346" i="2" s="1"/>
  <c r="C328" i="9" s="1"/>
  <c r="J346" i="1"/>
  <c r="R346" i="2" s="1"/>
  <c r="S346" i="2" s="1"/>
  <c r="K346" i="1"/>
  <c r="T346" i="2" s="1"/>
  <c r="U346" i="2" s="1"/>
  <c r="L346" i="1"/>
  <c r="V346" i="2" s="1"/>
  <c r="W346" i="2" s="1"/>
  <c r="Q346" i="1"/>
  <c r="AB346" i="2" s="1"/>
  <c r="B347" i="1"/>
  <c r="B347" i="2" s="1"/>
  <c r="C347" i="2" s="1"/>
  <c r="C347" i="1"/>
  <c r="D347" i="2" s="1"/>
  <c r="E347" i="2" s="1"/>
  <c r="D347" i="1"/>
  <c r="F347" i="2" s="1"/>
  <c r="G347" i="2" s="1"/>
  <c r="E347" i="1"/>
  <c r="H347" i="2" s="1"/>
  <c r="I347" i="2" s="1"/>
  <c r="D329" i="9" s="1"/>
  <c r="F347" i="1"/>
  <c r="J347" i="2" s="1"/>
  <c r="K347" i="2" s="1"/>
  <c r="G347" i="1"/>
  <c r="L347" i="2" s="1"/>
  <c r="M347" i="2" s="1"/>
  <c r="H347" i="1"/>
  <c r="N347" i="2" s="1"/>
  <c r="O347" i="2" s="1"/>
  <c r="I347" i="1"/>
  <c r="P347" i="2" s="1"/>
  <c r="Q347" i="2" s="1"/>
  <c r="C329" i="9" s="1"/>
  <c r="J347" i="1"/>
  <c r="R347" i="2" s="1"/>
  <c r="S347" i="2" s="1"/>
  <c r="K347" i="1"/>
  <c r="T347" i="2" s="1"/>
  <c r="U347" i="2" s="1"/>
  <c r="L347" i="1"/>
  <c r="V347" i="2" s="1"/>
  <c r="W347" i="2" s="1"/>
  <c r="Q347" i="1"/>
  <c r="AB347" i="2" s="1"/>
  <c r="B348" i="1"/>
  <c r="B348" i="2" s="1"/>
  <c r="C348" i="2" s="1"/>
  <c r="C348" i="1"/>
  <c r="D348" i="2" s="1"/>
  <c r="E348" i="2" s="1"/>
  <c r="D348" i="1"/>
  <c r="F348" i="2" s="1"/>
  <c r="G348" i="2" s="1"/>
  <c r="E348" i="1"/>
  <c r="H348" i="2" s="1"/>
  <c r="I348" i="2" s="1"/>
  <c r="D330" i="9" s="1"/>
  <c r="F348" i="1"/>
  <c r="J348" i="2" s="1"/>
  <c r="K348" i="2" s="1"/>
  <c r="G348" i="1"/>
  <c r="L348" i="2" s="1"/>
  <c r="M348" i="2" s="1"/>
  <c r="H348" i="1"/>
  <c r="N348" i="2" s="1"/>
  <c r="O348" i="2" s="1"/>
  <c r="I348" i="1"/>
  <c r="P348" i="2" s="1"/>
  <c r="Q348" i="2" s="1"/>
  <c r="C330" i="9" s="1"/>
  <c r="J348" i="1"/>
  <c r="R348" i="2" s="1"/>
  <c r="S348" i="2" s="1"/>
  <c r="K348" i="1"/>
  <c r="T348" i="2" s="1"/>
  <c r="U348" i="2" s="1"/>
  <c r="L348" i="1"/>
  <c r="V348" i="2" s="1"/>
  <c r="W348" i="2" s="1"/>
  <c r="Q348" i="1"/>
  <c r="AB348" i="2" s="1"/>
  <c r="B349" i="1"/>
  <c r="B349" i="2" s="1"/>
  <c r="C349" i="2" s="1"/>
  <c r="C349" i="1"/>
  <c r="D349" i="2" s="1"/>
  <c r="E349" i="2" s="1"/>
  <c r="D349" i="1"/>
  <c r="F349" i="2" s="1"/>
  <c r="G349" i="2" s="1"/>
  <c r="E349" i="1"/>
  <c r="H349" i="2" s="1"/>
  <c r="I349" i="2" s="1"/>
  <c r="D331" i="9" s="1"/>
  <c r="F349" i="1"/>
  <c r="J349" i="2" s="1"/>
  <c r="K349" i="2" s="1"/>
  <c r="G349" i="1"/>
  <c r="L349" i="2" s="1"/>
  <c r="M349" i="2" s="1"/>
  <c r="H349" i="1"/>
  <c r="N349" i="2" s="1"/>
  <c r="O349" i="2" s="1"/>
  <c r="I349" i="1"/>
  <c r="P349" i="2" s="1"/>
  <c r="Q349" i="2" s="1"/>
  <c r="C331" i="9" s="1"/>
  <c r="J349" i="1"/>
  <c r="R349" i="2" s="1"/>
  <c r="S349" i="2" s="1"/>
  <c r="K349" i="1"/>
  <c r="T349" i="2" s="1"/>
  <c r="U349" i="2" s="1"/>
  <c r="L349" i="1"/>
  <c r="V349" i="2" s="1"/>
  <c r="W349" i="2" s="1"/>
  <c r="Q349" i="1"/>
  <c r="AB349" i="2" s="1"/>
  <c r="B350" i="1"/>
  <c r="B350" i="2" s="1"/>
  <c r="C350" i="2" s="1"/>
  <c r="C350" i="1"/>
  <c r="D350" i="2" s="1"/>
  <c r="E350" i="2" s="1"/>
  <c r="D350" i="1"/>
  <c r="F350" i="2" s="1"/>
  <c r="G350" i="2" s="1"/>
  <c r="E350" i="1"/>
  <c r="H350" i="2" s="1"/>
  <c r="I350" i="2" s="1"/>
  <c r="D332" i="9" s="1"/>
  <c r="F350" i="1"/>
  <c r="J350" i="2" s="1"/>
  <c r="K350" i="2" s="1"/>
  <c r="G350" i="1"/>
  <c r="L350" i="2" s="1"/>
  <c r="M350" i="2" s="1"/>
  <c r="H350" i="1"/>
  <c r="N350" i="2" s="1"/>
  <c r="O350" i="2" s="1"/>
  <c r="I350" i="1"/>
  <c r="P350" i="2" s="1"/>
  <c r="Q350" i="2" s="1"/>
  <c r="C332" i="9" s="1"/>
  <c r="J350" i="1"/>
  <c r="R350" i="2" s="1"/>
  <c r="S350" i="2" s="1"/>
  <c r="K350" i="1"/>
  <c r="T350" i="2" s="1"/>
  <c r="U350" i="2" s="1"/>
  <c r="L350" i="1"/>
  <c r="V350" i="2" s="1"/>
  <c r="W350" i="2" s="1"/>
  <c r="Q350" i="1"/>
  <c r="AB350" i="2" s="1"/>
  <c r="B351" i="1"/>
  <c r="B351" i="2" s="1"/>
  <c r="C351" i="2" s="1"/>
  <c r="C351" i="1"/>
  <c r="D351" i="2" s="1"/>
  <c r="E351" i="2" s="1"/>
  <c r="D351" i="1"/>
  <c r="F351" i="2" s="1"/>
  <c r="G351" i="2" s="1"/>
  <c r="E351" i="1"/>
  <c r="H351" i="2" s="1"/>
  <c r="I351" i="2" s="1"/>
  <c r="D333" i="9" s="1"/>
  <c r="F351" i="1"/>
  <c r="J351" i="2" s="1"/>
  <c r="K351" i="2" s="1"/>
  <c r="G351" i="1"/>
  <c r="L351" i="2" s="1"/>
  <c r="M351" i="2" s="1"/>
  <c r="H351" i="1"/>
  <c r="N351" i="2" s="1"/>
  <c r="O351" i="2" s="1"/>
  <c r="I351" i="1"/>
  <c r="P351" i="2" s="1"/>
  <c r="Q351" i="2" s="1"/>
  <c r="C333" i="9" s="1"/>
  <c r="J351" i="1"/>
  <c r="R351" i="2" s="1"/>
  <c r="S351" i="2" s="1"/>
  <c r="K351" i="1"/>
  <c r="T351" i="2" s="1"/>
  <c r="U351" i="2" s="1"/>
  <c r="L351" i="1"/>
  <c r="V351" i="2" s="1"/>
  <c r="W351" i="2" s="1"/>
  <c r="Q351" i="1"/>
  <c r="AB351" i="2" s="1"/>
  <c r="B352" i="1"/>
  <c r="B352" i="2" s="1"/>
  <c r="C352" i="2" s="1"/>
  <c r="C352" i="1"/>
  <c r="D352" i="2" s="1"/>
  <c r="E352" i="2" s="1"/>
  <c r="D352" i="1"/>
  <c r="F352" i="2" s="1"/>
  <c r="G352" i="2" s="1"/>
  <c r="E352" i="1"/>
  <c r="H352" i="2" s="1"/>
  <c r="I352" i="2" s="1"/>
  <c r="D334" i="9" s="1"/>
  <c r="F352" i="1"/>
  <c r="J352" i="2" s="1"/>
  <c r="K352" i="2" s="1"/>
  <c r="G352" i="1"/>
  <c r="L352" i="2" s="1"/>
  <c r="M352" i="2" s="1"/>
  <c r="H352" i="1"/>
  <c r="N352" i="2" s="1"/>
  <c r="O352" i="2" s="1"/>
  <c r="I352" i="1"/>
  <c r="P352" i="2" s="1"/>
  <c r="Q352" i="2" s="1"/>
  <c r="C334" i="9" s="1"/>
  <c r="J352" i="1"/>
  <c r="R352" i="2" s="1"/>
  <c r="S352" i="2" s="1"/>
  <c r="K352" i="1"/>
  <c r="T352" i="2" s="1"/>
  <c r="U352" i="2" s="1"/>
  <c r="L352" i="1"/>
  <c r="V352" i="2" s="1"/>
  <c r="W352" i="2" s="1"/>
  <c r="Q352" i="1"/>
  <c r="AB352" i="2" s="1"/>
  <c r="B353" i="1"/>
  <c r="B353" i="2" s="1"/>
  <c r="C353" i="2" s="1"/>
  <c r="C353" i="1"/>
  <c r="D353" i="2" s="1"/>
  <c r="E353" i="2" s="1"/>
  <c r="D353" i="1"/>
  <c r="F353" i="2" s="1"/>
  <c r="G353" i="2" s="1"/>
  <c r="E353" i="1"/>
  <c r="H353" i="2" s="1"/>
  <c r="I353" i="2" s="1"/>
  <c r="D335" i="9" s="1"/>
  <c r="F353" i="1"/>
  <c r="J353" i="2" s="1"/>
  <c r="K353" i="2" s="1"/>
  <c r="G353" i="1"/>
  <c r="L353" i="2" s="1"/>
  <c r="M353" i="2" s="1"/>
  <c r="H353" i="1"/>
  <c r="N353" i="2" s="1"/>
  <c r="O353" i="2" s="1"/>
  <c r="I353" i="1"/>
  <c r="P353" i="2" s="1"/>
  <c r="Q353" i="2" s="1"/>
  <c r="C335" i="9" s="1"/>
  <c r="J353" i="1"/>
  <c r="R353" i="2" s="1"/>
  <c r="S353" i="2" s="1"/>
  <c r="K353" i="1"/>
  <c r="T353" i="2" s="1"/>
  <c r="U353" i="2" s="1"/>
  <c r="L353" i="1"/>
  <c r="V353" i="2" s="1"/>
  <c r="W353" i="2" s="1"/>
  <c r="Q353" i="1"/>
  <c r="AB353" i="2" s="1"/>
  <c r="B354" i="1"/>
  <c r="B354" i="2" s="1"/>
  <c r="C354" i="2" s="1"/>
  <c r="C354" i="1"/>
  <c r="D354" i="2" s="1"/>
  <c r="E354" i="2" s="1"/>
  <c r="D354" i="1"/>
  <c r="F354" i="2" s="1"/>
  <c r="G354" i="2" s="1"/>
  <c r="E354" i="1"/>
  <c r="H354" i="2" s="1"/>
  <c r="I354" i="2" s="1"/>
  <c r="D336" i="9" s="1"/>
  <c r="F354" i="1"/>
  <c r="J354" i="2" s="1"/>
  <c r="K354" i="2" s="1"/>
  <c r="G354" i="1"/>
  <c r="L354" i="2" s="1"/>
  <c r="M354" i="2" s="1"/>
  <c r="H354" i="1"/>
  <c r="N354" i="2" s="1"/>
  <c r="O354" i="2" s="1"/>
  <c r="I354" i="1"/>
  <c r="P354" i="2" s="1"/>
  <c r="Q354" i="2" s="1"/>
  <c r="C336" i="9" s="1"/>
  <c r="J354" i="1"/>
  <c r="R354" i="2" s="1"/>
  <c r="S354" i="2" s="1"/>
  <c r="K354" i="1"/>
  <c r="T354" i="2" s="1"/>
  <c r="U354" i="2" s="1"/>
  <c r="L354" i="1"/>
  <c r="V354" i="2" s="1"/>
  <c r="W354" i="2" s="1"/>
  <c r="Q354" i="1"/>
  <c r="AB354" i="2" s="1"/>
  <c r="B355" i="1"/>
  <c r="B355" i="2" s="1"/>
  <c r="C355" i="2" s="1"/>
  <c r="C355" i="1"/>
  <c r="D355" i="2" s="1"/>
  <c r="E355" i="2" s="1"/>
  <c r="D355" i="1"/>
  <c r="F355" i="2" s="1"/>
  <c r="G355" i="2" s="1"/>
  <c r="E355" i="1"/>
  <c r="H355" i="2" s="1"/>
  <c r="I355" i="2" s="1"/>
  <c r="D337" i="9" s="1"/>
  <c r="F355" i="1"/>
  <c r="J355" i="2" s="1"/>
  <c r="K355" i="2" s="1"/>
  <c r="G355" i="1"/>
  <c r="L355" i="2" s="1"/>
  <c r="M355" i="2" s="1"/>
  <c r="H355" i="1"/>
  <c r="N355" i="2" s="1"/>
  <c r="O355" i="2" s="1"/>
  <c r="I355" i="1"/>
  <c r="P355" i="2" s="1"/>
  <c r="Q355" i="2" s="1"/>
  <c r="C337" i="9" s="1"/>
  <c r="J355" i="1"/>
  <c r="R355" i="2" s="1"/>
  <c r="S355" i="2" s="1"/>
  <c r="K355" i="1"/>
  <c r="T355" i="2" s="1"/>
  <c r="U355" i="2" s="1"/>
  <c r="L355" i="1"/>
  <c r="V355" i="2" s="1"/>
  <c r="W355" i="2" s="1"/>
  <c r="Q355" i="1"/>
  <c r="AB355" i="2" s="1"/>
  <c r="B356" i="1"/>
  <c r="B356" i="2" s="1"/>
  <c r="C356" i="2" s="1"/>
  <c r="C356" i="1"/>
  <c r="D356" i="2" s="1"/>
  <c r="E356" i="2" s="1"/>
  <c r="D356" i="1"/>
  <c r="F356" i="2" s="1"/>
  <c r="G356" i="2" s="1"/>
  <c r="E356" i="1"/>
  <c r="H356" i="2" s="1"/>
  <c r="I356" i="2" s="1"/>
  <c r="D338" i="9" s="1"/>
  <c r="F356" i="1"/>
  <c r="J356" i="2" s="1"/>
  <c r="K356" i="2" s="1"/>
  <c r="G356" i="1"/>
  <c r="L356" i="2" s="1"/>
  <c r="M356" i="2" s="1"/>
  <c r="H356" i="1"/>
  <c r="N356" i="2" s="1"/>
  <c r="O356" i="2" s="1"/>
  <c r="I356" i="1"/>
  <c r="P356" i="2" s="1"/>
  <c r="Q356" i="2" s="1"/>
  <c r="C338" i="9" s="1"/>
  <c r="J356" i="1"/>
  <c r="R356" i="2" s="1"/>
  <c r="S356" i="2" s="1"/>
  <c r="K356" i="1"/>
  <c r="T356" i="2" s="1"/>
  <c r="U356" i="2" s="1"/>
  <c r="L356" i="1"/>
  <c r="V356" i="2" s="1"/>
  <c r="W356" i="2" s="1"/>
  <c r="Q356" i="1"/>
  <c r="AB356" i="2" s="1"/>
  <c r="B357" i="1"/>
  <c r="B357" i="2" s="1"/>
  <c r="C357" i="2" s="1"/>
  <c r="C357" i="1"/>
  <c r="D357" i="2" s="1"/>
  <c r="E357" i="2" s="1"/>
  <c r="D357" i="1"/>
  <c r="F357" i="2" s="1"/>
  <c r="G357" i="2" s="1"/>
  <c r="E357" i="1"/>
  <c r="H357" i="2" s="1"/>
  <c r="I357" i="2" s="1"/>
  <c r="D339" i="9" s="1"/>
  <c r="F357" i="1"/>
  <c r="J357" i="2" s="1"/>
  <c r="K357" i="2" s="1"/>
  <c r="G357" i="1"/>
  <c r="L357" i="2" s="1"/>
  <c r="M357" i="2" s="1"/>
  <c r="H357" i="1"/>
  <c r="N357" i="2" s="1"/>
  <c r="O357" i="2" s="1"/>
  <c r="I357" i="1"/>
  <c r="P357" i="2" s="1"/>
  <c r="Q357" i="2" s="1"/>
  <c r="C339" i="9" s="1"/>
  <c r="J357" i="1"/>
  <c r="R357" i="2" s="1"/>
  <c r="S357" i="2" s="1"/>
  <c r="K357" i="1"/>
  <c r="T357" i="2" s="1"/>
  <c r="U357" i="2" s="1"/>
  <c r="L357" i="1"/>
  <c r="V357" i="2" s="1"/>
  <c r="W357" i="2" s="1"/>
  <c r="Q357" i="1"/>
  <c r="AB357" i="2" s="1"/>
  <c r="B358" i="1"/>
  <c r="B358" i="2" s="1"/>
  <c r="C358" i="2" s="1"/>
  <c r="C358" i="1"/>
  <c r="D358" i="2" s="1"/>
  <c r="E358" i="2" s="1"/>
  <c r="D358" i="1"/>
  <c r="F358" i="2" s="1"/>
  <c r="G358" i="2" s="1"/>
  <c r="E358" i="1"/>
  <c r="H358" i="2" s="1"/>
  <c r="I358" i="2" s="1"/>
  <c r="D340" i="9" s="1"/>
  <c r="F358" i="1"/>
  <c r="J358" i="2" s="1"/>
  <c r="K358" i="2" s="1"/>
  <c r="G358" i="1"/>
  <c r="L358" i="2" s="1"/>
  <c r="M358" i="2" s="1"/>
  <c r="H358" i="1"/>
  <c r="N358" i="2" s="1"/>
  <c r="O358" i="2" s="1"/>
  <c r="I358" i="1"/>
  <c r="P358" i="2" s="1"/>
  <c r="Q358" i="2" s="1"/>
  <c r="C340" i="9" s="1"/>
  <c r="J358" i="1"/>
  <c r="R358" i="2" s="1"/>
  <c r="S358" i="2" s="1"/>
  <c r="K358" i="1"/>
  <c r="T358" i="2" s="1"/>
  <c r="U358" i="2" s="1"/>
  <c r="L358" i="1"/>
  <c r="V358" i="2" s="1"/>
  <c r="W358" i="2" s="1"/>
  <c r="Q358" i="1"/>
  <c r="AB358" i="2" s="1"/>
  <c r="B359" i="1"/>
  <c r="B359" i="2" s="1"/>
  <c r="C359" i="2" s="1"/>
  <c r="C359" i="1"/>
  <c r="D359" i="2" s="1"/>
  <c r="E359" i="2" s="1"/>
  <c r="D359" i="1"/>
  <c r="F359" i="2" s="1"/>
  <c r="G359" i="2" s="1"/>
  <c r="E359" i="1"/>
  <c r="H359" i="2" s="1"/>
  <c r="I359" i="2" s="1"/>
  <c r="D341" i="9" s="1"/>
  <c r="F359" i="1"/>
  <c r="J359" i="2" s="1"/>
  <c r="K359" i="2" s="1"/>
  <c r="G359" i="1"/>
  <c r="L359" i="2" s="1"/>
  <c r="M359" i="2" s="1"/>
  <c r="H359" i="1"/>
  <c r="N359" i="2" s="1"/>
  <c r="O359" i="2" s="1"/>
  <c r="I359" i="1"/>
  <c r="P359" i="2" s="1"/>
  <c r="Q359" i="2" s="1"/>
  <c r="C341" i="9" s="1"/>
  <c r="J359" i="1"/>
  <c r="R359" i="2" s="1"/>
  <c r="S359" i="2" s="1"/>
  <c r="K359" i="1"/>
  <c r="T359" i="2" s="1"/>
  <c r="U359" i="2" s="1"/>
  <c r="L359" i="1"/>
  <c r="V359" i="2" s="1"/>
  <c r="W359" i="2" s="1"/>
  <c r="Q359" i="1"/>
  <c r="AB359" i="2" s="1"/>
  <c r="B360" i="1"/>
  <c r="B360" i="2" s="1"/>
  <c r="C360" i="2" s="1"/>
  <c r="C360" i="1"/>
  <c r="D360" i="2" s="1"/>
  <c r="E360" i="2" s="1"/>
  <c r="D360" i="1"/>
  <c r="F360" i="2" s="1"/>
  <c r="G360" i="2" s="1"/>
  <c r="E360" i="1"/>
  <c r="H360" i="2" s="1"/>
  <c r="I360" i="2" s="1"/>
  <c r="D342" i="9" s="1"/>
  <c r="F360" i="1"/>
  <c r="J360" i="2" s="1"/>
  <c r="K360" i="2" s="1"/>
  <c r="G360" i="1"/>
  <c r="L360" i="2" s="1"/>
  <c r="M360" i="2" s="1"/>
  <c r="H360" i="1"/>
  <c r="N360" i="2" s="1"/>
  <c r="O360" i="2" s="1"/>
  <c r="I360" i="1"/>
  <c r="P360" i="2" s="1"/>
  <c r="Q360" i="2" s="1"/>
  <c r="C342" i="9" s="1"/>
  <c r="J360" i="1"/>
  <c r="R360" i="2" s="1"/>
  <c r="S360" i="2" s="1"/>
  <c r="K360" i="1"/>
  <c r="T360" i="2" s="1"/>
  <c r="U360" i="2" s="1"/>
  <c r="L360" i="1"/>
  <c r="V360" i="2" s="1"/>
  <c r="W360" i="2" s="1"/>
  <c r="Q360" i="1"/>
  <c r="AB360" i="2" s="1"/>
  <c r="B361" i="1"/>
  <c r="B361" i="2" s="1"/>
  <c r="C361" i="2" s="1"/>
  <c r="C361" i="1"/>
  <c r="D361" i="2" s="1"/>
  <c r="E361" i="2" s="1"/>
  <c r="D361" i="1"/>
  <c r="F361" i="2" s="1"/>
  <c r="G361" i="2" s="1"/>
  <c r="E361" i="1"/>
  <c r="H361" i="2" s="1"/>
  <c r="I361" i="2" s="1"/>
  <c r="D343" i="9" s="1"/>
  <c r="F361" i="1"/>
  <c r="J361" i="2" s="1"/>
  <c r="K361" i="2" s="1"/>
  <c r="G361" i="1"/>
  <c r="L361" i="2" s="1"/>
  <c r="M361" i="2" s="1"/>
  <c r="H361" i="1"/>
  <c r="N361" i="2" s="1"/>
  <c r="O361" i="2" s="1"/>
  <c r="I361" i="1"/>
  <c r="P361" i="2" s="1"/>
  <c r="Q361" i="2" s="1"/>
  <c r="C343" i="9" s="1"/>
  <c r="J361" i="1"/>
  <c r="R361" i="2" s="1"/>
  <c r="S361" i="2" s="1"/>
  <c r="K361" i="1"/>
  <c r="T361" i="2" s="1"/>
  <c r="U361" i="2" s="1"/>
  <c r="L361" i="1"/>
  <c r="V361" i="2" s="1"/>
  <c r="W361" i="2" s="1"/>
  <c r="Q361" i="1"/>
  <c r="AB361" i="2" s="1"/>
  <c r="B362" i="1"/>
  <c r="B362" i="2" s="1"/>
  <c r="C362" i="2" s="1"/>
  <c r="C362" i="1"/>
  <c r="D362" i="2" s="1"/>
  <c r="E362" i="2" s="1"/>
  <c r="D362" i="1"/>
  <c r="F362" i="2" s="1"/>
  <c r="G362" i="2" s="1"/>
  <c r="E362" i="1"/>
  <c r="H362" i="2" s="1"/>
  <c r="I362" i="2" s="1"/>
  <c r="D344" i="9" s="1"/>
  <c r="F362" i="1"/>
  <c r="J362" i="2" s="1"/>
  <c r="K362" i="2" s="1"/>
  <c r="G362" i="1"/>
  <c r="L362" i="2" s="1"/>
  <c r="M362" i="2" s="1"/>
  <c r="H362" i="1"/>
  <c r="N362" i="2" s="1"/>
  <c r="O362" i="2" s="1"/>
  <c r="I362" i="1"/>
  <c r="P362" i="2" s="1"/>
  <c r="Q362" i="2" s="1"/>
  <c r="C344" i="9" s="1"/>
  <c r="J362" i="1"/>
  <c r="R362" i="2" s="1"/>
  <c r="S362" i="2" s="1"/>
  <c r="K362" i="1"/>
  <c r="T362" i="2" s="1"/>
  <c r="U362" i="2" s="1"/>
  <c r="L362" i="1"/>
  <c r="V362" i="2" s="1"/>
  <c r="W362" i="2" s="1"/>
  <c r="Q362" i="1"/>
  <c r="AB362" i="2" s="1"/>
  <c r="B363" i="1"/>
  <c r="B363" i="2" s="1"/>
  <c r="C363" i="2" s="1"/>
  <c r="C363" i="1"/>
  <c r="D363" i="2" s="1"/>
  <c r="E363" i="2" s="1"/>
  <c r="D363" i="1"/>
  <c r="F363" i="2" s="1"/>
  <c r="G363" i="2" s="1"/>
  <c r="E363" i="1"/>
  <c r="H363" i="2" s="1"/>
  <c r="I363" i="2" s="1"/>
  <c r="D345" i="9" s="1"/>
  <c r="F363" i="1"/>
  <c r="J363" i="2" s="1"/>
  <c r="K363" i="2" s="1"/>
  <c r="G363" i="1"/>
  <c r="L363" i="2" s="1"/>
  <c r="M363" i="2" s="1"/>
  <c r="H363" i="1"/>
  <c r="N363" i="2" s="1"/>
  <c r="O363" i="2" s="1"/>
  <c r="I363" i="1"/>
  <c r="P363" i="2" s="1"/>
  <c r="Q363" i="2" s="1"/>
  <c r="C345" i="9" s="1"/>
  <c r="J363" i="1"/>
  <c r="R363" i="2" s="1"/>
  <c r="S363" i="2" s="1"/>
  <c r="K363" i="1"/>
  <c r="T363" i="2" s="1"/>
  <c r="U363" i="2" s="1"/>
  <c r="L363" i="1"/>
  <c r="V363" i="2" s="1"/>
  <c r="W363" i="2" s="1"/>
  <c r="Q363" i="1"/>
  <c r="AB363" i="2" s="1"/>
  <c r="B364" i="1"/>
  <c r="B364" i="2" s="1"/>
  <c r="C364" i="2" s="1"/>
  <c r="C364" i="1"/>
  <c r="D364" i="2" s="1"/>
  <c r="E364" i="2" s="1"/>
  <c r="D364" i="1"/>
  <c r="F364" i="2" s="1"/>
  <c r="G364" i="2" s="1"/>
  <c r="E364" i="1"/>
  <c r="H364" i="2" s="1"/>
  <c r="I364" i="2" s="1"/>
  <c r="D346" i="9" s="1"/>
  <c r="F364" i="1"/>
  <c r="J364" i="2" s="1"/>
  <c r="K364" i="2" s="1"/>
  <c r="G364" i="1"/>
  <c r="L364" i="2" s="1"/>
  <c r="M364" i="2" s="1"/>
  <c r="H364" i="1"/>
  <c r="N364" i="2" s="1"/>
  <c r="O364" i="2" s="1"/>
  <c r="I364" i="1"/>
  <c r="P364" i="2" s="1"/>
  <c r="Q364" i="2" s="1"/>
  <c r="C346" i="9" s="1"/>
  <c r="J364" i="1"/>
  <c r="R364" i="2" s="1"/>
  <c r="S364" i="2" s="1"/>
  <c r="K364" i="1"/>
  <c r="T364" i="2" s="1"/>
  <c r="U364" i="2" s="1"/>
  <c r="L364" i="1"/>
  <c r="V364" i="2" s="1"/>
  <c r="W364" i="2" s="1"/>
  <c r="Q364" i="1"/>
  <c r="AB364" i="2" s="1"/>
  <c r="B365" i="1"/>
  <c r="B365" i="2" s="1"/>
  <c r="C365" i="2" s="1"/>
  <c r="C365" i="1"/>
  <c r="D365" i="2" s="1"/>
  <c r="E365" i="2" s="1"/>
  <c r="D365" i="1"/>
  <c r="F365" i="2" s="1"/>
  <c r="G365" i="2" s="1"/>
  <c r="E365" i="1"/>
  <c r="H365" i="2" s="1"/>
  <c r="I365" i="2" s="1"/>
  <c r="D347" i="9" s="1"/>
  <c r="F365" i="1"/>
  <c r="J365" i="2" s="1"/>
  <c r="K365" i="2" s="1"/>
  <c r="G365" i="1"/>
  <c r="L365" i="2" s="1"/>
  <c r="M365" i="2" s="1"/>
  <c r="H365" i="1"/>
  <c r="N365" i="2" s="1"/>
  <c r="O365" i="2" s="1"/>
  <c r="I365" i="1"/>
  <c r="P365" i="2" s="1"/>
  <c r="Q365" i="2" s="1"/>
  <c r="C347" i="9" s="1"/>
  <c r="J365" i="1"/>
  <c r="R365" i="2" s="1"/>
  <c r="S365" i="2" s="1"/>
  <c r="K365" i="1"/>
  <c r="T365" i="2" s="1"/>
  <c r="U365" i="2" s="1"/>
  <c r="L365" i="1"/>
  <c r="V365" i="2" s="1"/>
  <c r="W365" i="2" s="1"/>
  <c r="Q365" i="1"/>
  <c r="AB365" i="2" s="1"/>
  <c r="B366" i="1"/>
  <c r="B366" i="2" s="1"/>
  <c r="C366" i="2" s="1"/>
  <c r="C366" i="1"/>
  <c r="D366" i="2" s="1"/>
  <c r="E366" i="2" s="1"/>
  <c r="D366" i="1"/>
  <c r="F366" i="2" s="1"/>
  <c r="G366" i="2" s="1"/>
  <c r="E366" i="1"/>
  <c r="H366" i="2" s="1"/>
  <c r="I366" i="2" s="1"/>
  <c r="D348" i="9" s="1"/>
  <c r="F366" i="1"/>
  <c r="J366" i="2" s="1"/>
  <c r="K366" i="2" s="1"/>
  <c r="G366" i="1"/>
  <c r="L366" i="2" s="1"/>
  <c r="M366" i="2" s="1"/>
  <c r="H366" i="1"/>
  <c r="N366" i="2" s="1"/>
  <c r="O366" i="2" s="1"/>
  <c r="I366" i="1"/>
  <c r="P366" i="2" s="1"/>
  <c r="Q366" i="2" s="1"/>
  <c r="C348" i="9" s="1"/>
  <c r="J366" i="1"/>
  <c r="R366" i="2" s="1"/>
  <c r="S366" i="2" s="1"/>
  <c r="K366" i="1"/>
  <c r="T366" i="2" s="1"/>
  <c r="U366" i="2" s="1"/>
  <c r="L366" i="1"/>
  <c r="V366" i="2" s="1"/>
  <c r="W366" i="2" s="1"/>
  <c r="Q366" i="1"/>
  <c r="AB366" i="2" s="1"/>
  <c r="B367" i="1"/>
  <c r="B367" i="2" s="1"/>
  <c r="C367" i="2" s="1"/>
  <c r="C367" i="1"/>
  <c r="D367" i="2" s="1"/>
  <c r="E367" i="2" s="1"/>
  <c r="D367" i="1"/>
  <c r="F367" i="2" s="1"/>
  <c r="G367" i="2" s="1"/>
  <c r="E367" i="1"/>
  <c r="H367" i="2" s="1"/>
  <c r="I367" i="2" s="1"/>
  <c r="D349" i="9" s="1"/>
  <c r="F367" i="1"/>
  <c r="J367" i="2" s="1"/>
  <c r="K367" i="2" s="1"/>
  <c r="G367" i="1"/>
  <c r="L367" i="2" s="1"/>
  <c r="M367" i="2" s="1"/>
  <c r="H367" i="1"/>
  <c r="N367" i="2" s="1"/>
  <c r="O367" i="2" s="1"/>
  <c r="I367" i="1"/>
  <c r="P367" i="2" s="1"/>
  <c r="Q367" i="2" s="1"/>
  <c r="C349" i="9" s="1"/>
  <c r="J367" i="1"/>
  <c r="R367" i="2" s="1"/>
  <c r="S367" i="2" s="1"/>
  <c r="K367" i="1"/>
  <c r="T367" i="2" s="1"/>
  <c r="U367" i="2" s="1"/>
  <c r="L367" i="1"/>
  <c r="V367" i="2" s="1"/>
  <c r="W367" i="2" s="1"/>
  <c r="Q367" i="1"/>
  <c r="AB367" i="2" s="1"/>
  <c r="B368" i="1"/>
  <c r="B368" i="2" s="1"/>
  <c r="C368" i="2" s="1"/>
  <c r="C368" i="1"/>
  <c r="D368" i="2" s="1"/>
  <c r="E368" i="2" s="1"/>
  <c r="D368" i="1"/>
  <c r="F368" i="2" s="1"/>
  <c r="G368" i="2" s="1"/>
  <c r="E368" i="1"/>
  <c r="H368" i="2" s="1"/>
  <c r="I368" i="2" s="1"/>
  <c r="D350" i="9" s="1"/>
  <c r="F368" i="1"/>
  <c r="J368" i="2" s="1"/>
  <c r="K368" i="2" s="1"/>
  <c r="G368" i="1"/>
  <c r="L368" i="2" s="1"/>
  <c r="M368" i="2" s="1"/>
  <c r="H368" i="1"/>
  <c r="N368" i="2" s="1"/>
  <c r="O368" i="2" s="1"/>
  <c r="I368" i="1"/>
  <c r="P368" i="2" s="1"/>
  <c r="Q368" i="2" s="1"/>
  <c r="C350" i="9" s="1"/>
  <c r="J368" i="1"/>
  <c r="R368" i="2" s="1"/>
  <c r="S368" i="2" s="1"/>
  <c r="K368" i="1"/>
  <c r="T368" i="2" s="1"/>
  <c r="U368" i="2" s="1"/>
  <c r="L368" i="1"/>
  <c r="V368" i="2" s="1"/>
  <c r="W368" i="2" s="1"/>
  <c r="Q368" i="1"/>
  <c r="AB368" i="2" s="1"/>
  <c r="B369" i="1"/>
  <c r="B369" i="2" s="1"/>
  <c r="C369" i="2" s="1"/>
  <c r="C369" i="1"/>
  <c r="D369" i="2" s="1"/>
  <c r="E369" i="2" s="1"/>
  <c r="D369" i="1"/>
  <c r="F369" i="2" s="1"/>
  <c r="G369" i="2" s="1"/>
  <c r="E369" i="1"/>
  <c r="H369" i="2" s="1"/>
  <c r="I369" i="2" s="1"/>
  <c r="D351" i="9" s="1"/>
  <c r="F369" i="1"/>
  <c r="J369" i="2" s="1"/>
  <c r="K369" i="2" s="1"/>
  <c r="G369" i="1"/>
  <c r="L369" i="2" s="1"/>
  <c r="M369" i="2" s="1"/>
  <c r="H369" i="1"/>
  <c r="N369" i="2" s="1"/>
  <c r="O369" i="2" s="1"/>
  <c r="I369" i="1"/>
  <c r="P369" i="2" s="1"/>
  <c r="Q369" i="2" s="1"/>
  <c r="C351" i="9" s="1"/>
  <c r="J369" i="1"/>
  <c r="R369" i="2" s="1"/>
  <c r="S369" i="2" s="1"/>
  <c r="K369" i="1"/>
  <c r="T369" i="2" s="1"/>
  <c r="U369" i="2" s="1"/>
  <c r="L369" i="1"/>
  <c r="V369" i="2" s="1"/>
  <c r="W369" i="2" s="1"/>
  <c r="Q369" i="1"/>
  <c r="AB369" i="2" s="1"/>
  <c r="B370" i="1"/>
  <c r="B370" i="2" s="1"/>
  <c r="C370" i="2" s="1"/>
  <c r="C370" i="1"/>
  <c r="D370" i="2" s="1"/>
  <c r="E370" i="2" s="1"/>
  <c r="D370" i="1"/>
  <c r="F370" i="2" s="1"/>
  <c r="G370" i="2" s="1"/>
  <c r="E370" i="1"/>
  <c r="H370" i="2" s="1"/>
  <c r="I370" i="2" s="1"/>
  <c r="D352" i="9" s="1"/>
  <c r="F370" i="1"/>
  <c r="J370" i="2" s="1"/>
  <c r="K370" i="2" s="1"/>
  <c r="G370" i="1"/>
  <c r="L370" i="2" s="1"/>
  <c r="M370" i="2" s="1"/>
  <c r="H370" i="1"/>
  <c r="N370" i="2" s="1"/>
  <c r="O370" i="2" s="1"/>
  <c r="I370" i="1"/>
  <c r="P370" i="2" s="1"/>
  <c r="Q370" i="2" s="1"/>
  <c r="C352" i="9" s="1"/>
  <c r="J370" i="1"/>
  <c r="R370" i="2" s="1"/>
  <c r="S370" i="2" s="1"/>
  <c r="K370" i="1"/>
  <c r="T370" i="2" s="1"/>
  <c r="U370" i="2" s="1"/>
  <c r="L370" i="1"/>
  <c r="V370" i="2" s="1"/>
  <c r="W370" i="2" s="1"/>
  <c r="Q370" i="1"/>
  <c r="AB370" i="2" s="1"/>
  <c r="BD370" i="2"/>
  <c r="BE370" i="2" s="1"/>
  <c r="M100" i="2" l="1"/>
  <c r="E99" i="2"/>
  <c r="U102" i="2"/>
  <c r="U98" i="2"/>
  <c r="S102" i="2"/>
  <c r="S98" i="2"/>
  <c r="I102" i="2"/>
  <c r="D84" i="9" s="1"/>
  <c r="F84" i="9" s="1"/>
  <c r="G102" i="2"/>
  <c r="W100" i="2"/>
  <c r="C102" i="2"/>
  <c r="S100" i="2"/>
  <c r="O100" i="2"/>
  <c r="U100" i="2"/>
  <c r="O98" i="2"/>
  <c r="I100" i="2"/>
  <c r="D82" i="9" s="1"/>
  <c r="F82" i="9" s="1"/>
  <c r="Q96" i="2"/>
  <c r="C78" i="9" s="1"/>
  <c r="K98" i="2"/>
  <c r="K100" i="2"/>
  <c r="M98" i="2"/>
  <c r="G100" i="2"/>
  <c r="S101" i="2"/>
  <c r="Q101" i="2"/>
  <c r="C83" i="9" s="1"/>
  <c r="W101" i="2"/>
  <c r="U101" i="2"/>
  <c r="M101" i="2"/>
  <c r="K101" i="2"/>
  <c r="I101" i="2"/>
  <c r="D83" i="9" s="1"/>
  <c r="G101" i="2"/>
  <c r="E101" i="2"/>
  <c r="O101" i="2"/>
  <c r="C101" i="2"/>
  <c r="G98" i="2"/>
  <c r="W99" i="2"/>
  <c r="C98" i="2"/>
  <c r="U99" i="2"/>
  <c r="S99" i="2"/>
  <c r="Q99" i="2"/>
  <c r="C81" i="9" s="1"/>
  <c r="O99" i="2"/>
  <c r="M99" i="2"/>
  <c r="K99" i="2"/>
  <c r="E100" i="2"/>
  <c r="I99" i="2"/>
  <c r="D81" i="9" s="1"/>
  <c r="I98" i="2"/>
  <c r="D80" i="9" s="1"/>
  <c r="C100" i="2"/>
  <c r="E98" i="2"/>
  <c r="G99" i="2"/>
  <c r="I97" i="2"/>
  <c r="D79" i="9" s="1"/>
  <c r="E97" i="2"/>
  <c r="W97" i="2"/>
  <c r="U97" i="2"/>
  <c r="O97" i="2"/>
  <c r="G97" i="2"/>
  <c r="C88" i="2"/>
  <c r="W96" i="2"/>
  <c r="U96" i="2"/>
  <c r="S96" i="2"/>
  <c r="O96" i="2"/>
  <c r="C97" i="2"/>
  <c r="S97" i="2"/>
  <c r="Q97" i="2"/>
  <c r="C79" i="9" s="1"/>
  <c r="M97" i="2"/>
  <c r="K97" i="2"/>
  <c r="M96" i="2"/>
  <c r="K96" i="2"/>
  <c r="I96" i="2"/>
  <c r="D78" i="9" s="1"/>
  <c r="E96" i="2"/>
  <c r="C96" i="2"/>
  <c r="U86" i="2"/>
  <c r="G96" i="2"/>
  <c r="S86" i="2"/>
  <c r="C92" i="2"/>
  <c r="W84" i="2"/>
  <c r="W93" i="2"/>
  <c r="W89" i="2"/>
  <c r="C83" i="2"/>
  <c r="O88" i="2"/>
  <c r="U93" i="2"/>
  <c r="O93" i="2"/>
  <c r="W86" i="2"/>
  <c r="W78" i="2"/>
  <c r="M14" i="2"/>
  <c r="W95" i="2"/>
  <c r="O90" i="2"/>
  <c r="O82" i="2"/>
  <c r="U95" i="2"/>
  <c r="U91" i="2"/>
  <c r="S95" i="2"/>
  <c r="S91" i="2"/>
  <c r="C85" i="2"/>
  <c r="C77" i="2"/>
  <c r="O16" i="2"/>
  <c r="U84" i="2"/>
  <c r="U80" i="2"/>
  <c r="C94" i="2"/>
  <c r="S88" i="2"/>
  <c r="S80" i="2"/>
  <c r="O95" i="2"/>
  <c r="S93" i="2"/>
  <c r="W91" i="2"/>
  <c r="C90" i="2"/>
  <c r="O84" i="2"/>
  <c r="S82" i="2"/>
  <c r="W80" i="2"/>
  <c r="C79" i="2"/>
  <c r="O73" i="2"/>
  <c r="S71" i="2"/>
  <c r="W69" i="2"/>
  <c r="C68" i="2"/>
  <c r="C46" i="2"/>
  <c r="W94" i="2"/>
  <c r="C93" i="2"/>
  <c r="C91" i="2"/>
  <c r="U94" i="2"/>
  <c r="S94" i="2"/>
  <c r="W92" i="2"/>
  <c r="U92" i="2"/>
  <c r="W90" i="2"/>
  <c r="U90" i="2"/>
  <c r="O91" i="2"/>
  <c r="C95" i="2"/>
  <c r="O94" i="2"/>
  <c r="S92" i="2"/>
  <c r="O92" i="2"/>
  <c r="S90" i="2"/>
  <c r="U88" i="2"/>
  <c r="U77" i="2"/>
  <c r="O86" i="2"/>
  <c r="S84" i="2"/>
  <c r="W82" i="2"/>
  <c r="C81" i="2"/>
  <c r="U82" i="2"/>
  <c r="U71" i="2"/>
  <c r="M64" i="2"/>
  <c r="C89" i="2"/>
  <c r="S89" i="2"/>
  <c r="O89" i="2"/>
  <c r="U89" i="2"/>
  <c r="W88" i="2"/>
  <c r="O87" i="2"/>
  <c r="W87" i="2"/>
  <c r="U87" i="2"/>
  <c r="S87" i="2"/>
  <c r="C87" i="2"/>
  <c r="I94" i="2"/>
  <c r="D76" i="9" s="1"/>
  <c r="M92" i="2"/>
  <c r="Q90" i="2"/>
  <c r="C72" i="9" s="1"/>
  <c r="E85" i="2"/>
  <c r="I83" i="2"/>
  <c r="D65" i="9" s="1"/>
  <c r="M81" i="2"/>
  <c r="Q79" i="2"/>
  <c r="C61" i="9" s="1"/>
  <c r="G94" i="2"/>
  <c r="K92" i="2"/>
  <c r="G83" i="2"/>
  <c r="K81" i="2"/>
  <c r="E94" i="2"/>
  <c r="M90" i="2"/>
  <c r="E83" i="2"/>
  <c r="K90" i="2"/>
  <c r="Q86" i="2"/>
  <c r="C68" i="9" s="1"/>
  <c r="Q95" i="2"/>
  <c r="C77" i="9" s="1"/>
  <c r="M86" i="2"/>
  <c r="I77" i="2"/>
  <c r="D59" i="9" s="1"/>
  <c r="I86" i="2"/>
  <c r="D68" i="9" s="1"/>
  <c r="E92" i="2"/>
  <c r="Q82" i="2"/>
  <c r="C64" i="9" s="1"/>
  <c r="G86" i="2"/>
  <c r="I95" i="2"/>
  <c r="D77" i="9" s="1"/>
  <c r="M93" i="2"/>
  <c r="Q91" i="2"/>
  <c r="C73" i="9" s="1"/>
  <c r="E86" i="2"/>
  <c r="I84" i="2"/>
  <c r="D66" i="9" s="1"/>
  <c r="M88" i="2"/>
  <c r="G90" i="2"/>
  <c r="I88" i="2"/>
  <c r="D70" i="9" s="1"/>
  <c r="E79" i="2"/>
  <c r="Q73" i="2"/>
  <c r="C55" i="9" s="1"/>
  <c r="E68" i="2"/>
  <c r="K86" i="2"/>
  <c r="K75" i="2"/>
  <c r="Q93" i="2"/>
  <c r="C75" i="9" s="1"/>
  <c r="E77" i="2"/>
  <c r="M73" i="2"/>
  <c r="K95" i="2"/>
  <c r="K84" i="2"/>
  <c r="G75" i="2"/>
  <c r="K73" i="2"/>
  <c r="G95" i="2"/>
  <c r="K93" i="2"/>
  <c r="C86" i="2"/>
  <c r="G84" i="2"/>
  <c r="I92" i="2"/>
  <c r="D74" i="9" s="1"/>
  <c r="Q88" i="2"/>
  <c r="C70" i="9" s="1"/>
  <c r="I81" i="2"/>
  <c r="D63" i="9" s="1"/>
  <c r="M91" i="2"/>
  <c r="E93" i="2"/>
  <c r="M89" i="2"/>
  <c r="Q84" i="2"/>
  <c r="C66" i="9" s="1"/>
  <c r="M75" i="2"/>
  <c r="G88" i="2"/>
  <c r="M95" i="2"/>
  <c r="E88" i="2"/>
  <c r="I93" i="2"/>
  <c r="D75" i="9" s="1"/>
  <c r="Q89" i="2"/>
  <c r="C71" i="9" s="1"/>
  <c r="E84" i="2"/>
  <c r="K91" i="2"/>
  <c r="I91" i="2"/>
  <c r="D73" i="9" s="1"/>
  <c r="Q87" i="2"/>
  <c r="C69" i="9" s="1"/>
  <c r="G91" i="2"/>
  <c r="S85" i="2"/>
  <c r="G92" i="2"/>
  <c r="G81" i="2"/>
  <c r="I90" i="2"/>
  <c r="D72" i="9" s="1"/>
  <c r="E81" i="2"/>
  <c r="K88" i="2"/>
  <c r="E90" i="2"/>
  <c r="G77" i="2"/>
  <c r="M84" i="2"/>
  <c r="I75" i="2"/>
  <c r="D57" i="9" s="1"/>
  <c r="E95" i="2"/>
  <c r="G93" i="2"/>
  <c r="W85" i="2"/>
  <c r="C84" i="2"/>
  <c r="U85" i="2"/>
  <c r="K89" i="2"/>
  <c r="W83" i="2"/>
  <c r="M87" i="2"/>
  <c r="S83" i="2"/>
  <c r="Q94" i="2"/>
  <c r="C76" i="9" s="1"/>
  <c r="E89" i="2"/>
  <c r="I87" i="2"/>
  <c r="D69" i="9" s="1"/>
  <c r="M85" i="2"/>
  <c r="Q83" i="2"/>
  <c r="C65" i="9" s="1"/>
  <c r="U83" i="2"/>
  <c r="G89" i="2"/>
  <c r="G87" i="2"/>
  <c r="K85" i="2"/>
  <c r="O83" i="2"/>
  <c r="O85" i="2"/>
  <c r="M94" i="2"/>
  <c r="Q92" i="2"/>
  <c r="C74" i="9" s="1"/>
  <c r="E87" i="2"/>
  <c r="I85" i="2"/>
  <c r="D67" i="9" s="1"/>
  <c r="M83" i="2"/>
  <c r="E91" i="2"/>
  <c r="I89" i="2"/>
  <c r="D71" i="9" s="1"/>
  <c r="Q85" i="2"/>
  <c r="C67" i="9" s="1"/>
  <c r="K87" i="2"/>
  <c r="K94" i="2"/>
  <c r="G85" i="2"/>
  <c r="K83" i="2"/>
  <c r="M82" i="2"/>
  <c r="O80" i="2"/>
  <c r="M80" i="2"/>
  <c r="K80" i="2"/>
  <c r="E82" i="2"/>
  <c r="M78" i="2"/>
  <c r="G80" i="2"/>
  <c r="W81" i="2"/>
  <c r="Q81" i="2"/>
  <c r="C63" i="9" s="1"/>
  <c r="Q80" i="2"/>
  <c r="C62" i="9" s="1"/>
  <c r="K82" i="2"/>
  <c r="I82" i="2"/>
  <c r="D64" i="9" s="1"/>
  <c r="G82" i="2"/>
  <c r="I80" i="2"/>
  <c r="D62" i="9" s="1"/>
  <c r="C82" i="2"/>
  <c r="K78" i="2"/>
  <c r="E80" i="2"/>
  <c r="C80" i="2"/>
  <c r="U81" i="2"/>
  <c r="S81" i="2"/>
  <c r="O81" i="2"/>
  <c r="O79" i="2"/>
  <c r="S77" i="2"/>
  <c r="M79" i="2"/>
  <c r="Q77" i="2"/>
  <c r="C59" i="9" s="1"/>
  <c r="U75" i="2"/>
  <c r="I78" i="2"/>
  <c r="D60" i="9" s="1"/>
  <c r="K79" i="2"/>
  <c r="O77" i="2"/>
  <c r="S75" i="2"/>
  <c r="W73" i="2"/>
  <c r="C72" i="2"/>
  <c r="G70" i="2"/>
  <c r="K68" i="2"/>
  <c r="I79" i="2"/>
  <c r="D61" i="9" s="1"/>
  <c r="M77" i="2"/>
  <c r="Q75" i="2"/>
  <c r="C57" i="9" s="1"/>
  <c r="U73" i="2"/>
  <c r="E70" i="2"/>
  <c r="I68" i="2"/>
  <c r="D50" i="9" s="1"/>
  <c r="G79" i="2"/>
  <c r="K77" i="2"/>
  <c r="O75" i="2"/>
  <c r="S73" i="2"/>
  <c r="W71" i="2"/>
  <c r="C70" i="2"/>
  <c r="G68" i="2"/>
  <c r="O64" i="2"/>
  <c r="O53" i="2"/>
  <c r="U78" i="2"/>
  <c r="S78" i="2"/>
  <c r="Q78" i="2"/>
  <c r="C60" i="9" s="1"/>
  <c r="O78" i="2"/>
  <c r="G78" i="2"/>
  <c r="E78" i="2"/>
  <c r="W79" i="2"/>
  <c r="C78" i="2"/>
  <c r="U79" i="2"/>
  <c r="S79" i="2"/>
  <c r="W77" i="2"/>
  <c r="C76" i="2"/>
  <c r="C75" i="2"/>
  <c r="W76" i="2"/>
  <c r="K76" i="2"/>
  <c r="I76" i="2"/>
  <c r="D58" i="9" s="1"/>
  <c r="U76" i="2"/>
  <c r="S76" i="2"/>
  <c r="O76" i="2"/>
  <c r="M76" i="2"/>
  <c r="G76" i="2"/>
  <c r="E76" i="2"/>
  <c r="I74" i="2"/>
  <c r="D56" i="9" s="1"/>
  <c r="Q76" i="2"/>
  <c r="C58" i="9" s="1"/>
  <c r="E74" i="2"/>
  <c r="W75" i="2"/>
  <c r="C74" i="2"/>
  <c r="E75" i="2"/>
  <c r="W74" i="2"/>
  <c r="U74" i="2"/>
  <c r="S74" i="2"/>
  <c r="Q74" i="2"/>
  <c r="C56" i="9" s="1"/>
  <c r="O74" i="2"/>
  <c r="M74" i="2"/>
  <c r="K74" i="2"/>
  <c r="G74" i="2"/>
  <c r="E72" i="2"/>
  <c r="I70" i="2"/>
  <c r="D52" i="9" s="1"/>
  <c r="M68" i="2"/>
  <c r="I73" i="2"/>
  <c r="D55" i="9" s="1"/>
  <c r="E73" i="2"/>
  <c r="C73" i="2"/>
  <c r="G73" i="2"/>
  <c r="I72" i="2"/>
  <c r="D54" i="9" s="1"/>
  <c r="M70" i="2"/>
  <c r="Q68" i="2"/>
  <c r="C50" i="9" s="1"/>
  <c r="G72" i="2"/>
  <c r="K70" i="2"/>
  <c r="O68" i="2"/>
  <c r="Q71" i="2"/>
  <c r="C53" i="9" s="1"/>
  <c r="U69" i="2"/>
  <c r="O71" i="2"/>
  <c r="S69" i="2"/>
  <c r="W67" i="2"/>
  <c r="K71" i="2"/>
  <c r="I71" i="2"/>
  <c r="D53" i="9" s="1"/>
  <c r="W72" i="2"/>
  <c r="U72" i="2"/>
  <c r="S72" i="2"/>
  <c r="W70" i="2"/>
  <c r="Q72" i="2"/>
  <c r="C54" i="9" s="1"/>
  <c r="U70" i="2"/>
  <c r="M71" i="2"/>
  <c r="G71" i="2"/>
  <c r="E71" i="2"/>
  <c r="C71" i="2"/>
  <c r="O72" i="2"/>
  <c r="S70" i="2"/>
  <c r="M72" i="2"/>
  <c r="Q70" i="2"/>
  <c r="C52" i="9" s="1"/>
  <c r="K72" i="2"/>
  <c r="O70" i="2"/>
  <c r="Q69" i="2"/>
  <c r="C51" i="9" s="1"/>
  <c r="O69" i="2"/>
  <c r="M69" i="2"/>
  <c r="K69" i="2"/>
  <c r="I69" i="2"/>
  <c r="D51" i="9" s="1"/>
  <c r="G69" i="2"/>
  <c r="E69" i="2"/>
  <c r="C69" i="2"/>
  <c r="W68" i="2"/>
  <c r="U68" i="2"/>
  <c r="S68" i="2"/>
  <c r="E63" i="2"/>
  <c r="Q67" i="2"/>
  <c r="C49" i="9" s="1"/>
  <c r="O67" i="2"/>
  <c r="U67" i="2"/>
  <c r="S67" i="2"/>
  <c r="K67" i="2"/>
  <c r="I67" i="2"/>
  <c r="D49" i="9" s="1"/>
  <c r="G67" i="2"/>
  <c r="E67" i="2"/>
  <c r="K47" i="2"/>
  <c r="M67" i="2"/>
  <c r="C67" i="2"/>
  <c r="W65" i="2"/>
  <c r="U65" i="2"/>
  <c r="S48" i="2"/>
  <c r="G63" i="2"/>
  <c r="G52" i="2"/>
  <c r="K64" i="2"/>
  <c r="S65" i="2"/>
  <c r="C63" i="2"/>
  <c r="E65" i="2"/>
  <c r="C65" i="2"/>
  <c r="W62" i="2"/>
  <c r="K66" i="2"/>
  <c r="W64" i="2"/>
  <c r="O63" i="2"/>
  <c r="S64" i="2"/>
  <c r="K63" i="2"/>
  <c r="C62" i="2"/>
  <c r="Q65" i="2"/>
  <c r="C47" i="9" s="1"/>
  <c r="I64" i="2"/>
  <c r="D46" i="9" s="1"/>
  <c r="O66" i="2"/>
  <c r="Q63" i="2"/>
  <c r="C45" i="9" s="1"/>
  <c r="I62" i="2"/>
  <c r="D44" i="9" s="1"/>
  <c r="Q64" i="2"/>
  <c r="C46" i="9" s="1"/>
  <c r="I63" i="2"/>
  <c r="D45" i="9" s="1"/>
  <c r="I52" i="2"/>
  <c r="D34" i="9" s="1"/>
  <c r="U48" i="2"/>
  <c r="M47" i="2"/>
  <c r="E46" i="2"/>
  <c r="O65" i="2"/>
  <c r="G64" i="2"/>
  <c r="W66" i="2"/>
  <c r="M65" i="2"/>
  <c r="E64" i="2"/>
  <c r="U66" i="2"/>
  <c r="K65" i="2"/>
  <c r="C64" i="2"/>
  <c r="S66" i="2"/>
  <c r="I65" i="2"/>
  <c r="D47" i="9" s="1"/>
  <c r="Q66" i="2"/>
  <c r="C48" i="9" s="1"/>
  <c r="G65" i="2"/>
  <c r="M66" i="2"/>
  <c r="U62" i="2"/>
  <c r="G66" i="2"/>
  <c r="Q62" i="2"/>
  <c r="C44" i="9" s="1"/>
  <c r="O62" i="2"/>
  <c r="E66" i="2"/>
  <c r="W63" i="2"/>
  <c r="C66" i="2"/>
  <c r="U63" i="2"/>
  <c r="M62" i="2"/>
  <c r="I66" i="2"/>
  <c r="D48" i="9" s="1"/>
  <c r="S62" i="2"/>
  <c r="S63" i="2"/>
  <c r="K62" i="2"/>
  <c r="G62" i="2"/>
  <c r="U64" i="2"/>
  <c r="M63" i="2"/>
  <c r="E62" i="2"/>
  <c r="F281" i="9"/>
  <c r="S59" i="2"/>
  <c r="K58" i="2"/>
  <c r="C57" i="2"/>
  <c r="W54" i="2"/>
  <c r="F261" i="9"/>
  <c r="F179" i="9"/>
  <c r="Q58" i="2"/>
  <c r="C40" i="9" s="1"/>
  <c r="I57" i="2"/>
  <c r="D39" i="9" s="1"/>
  <c r="U53" i="2"/>
  <c r="M52" i="2"/>
  <c r="E51" i="2"/>
  <c r="Q47" i="2"/>
  <c r="C29" i="9" s="1"/>
  <c r="I46" i="2"/>
  <c r="D28" i="9" s="1"/>
  <c r="U59" i="2"/>
  <c r="M58" i="2"/>
  <c r="E57" i="2"/>
  <c r="Q53" i="2"/>
  <c r="C35" i="9" s="1"/>
  <c r="F150" i="9"/>
  <c r="S61" i="2"/>
  <c r="K60" i="2"/>
  <c r="F172" i="9"/>
  <c r="Q61" i="2"/>
  <c r="C43" i="9" s="1"/>
  <c r="I60" i="2"/>
  <c r="D42" i="9" s="1"/>
  <c r="W59" i="2"/>
  <c r="O58" i="2"/>
  <c r="G57" i="2"/>
  <c r="S53" i="2"/>
  <c r="K52" i="2"/>
  <c r="C51" i="2"/>
  <c r="W48" i="2"/>
  <c r="O47" i="2"/>
  <c r="G46" i="2"/>
  <c r="U61" i="2"/>
  <c r="M60" i="2"/>
  <c r="O61" i="2"/>
  <c r="G60" i="2"/>
  <c r="W60" i="2"/>
  <c r="F347" i="9"/>
  <c r="F216" i="9"/>
  <c r="F167" i="9"/>
  <c r="U60" i="2"/>
  <c r="S60" i="2"/>
  <c r="Q60" i="2"/>
  <c r="C42" i="9" s="1"/>
  <c r="W61" i="2"/>
  <c r="O60" i="2"/>
  <c r="M61" i="2"/>
  <c r="E60" i="2"/>
  <c r="K61" i="2"/>
  <c r="C60" i="2"/>
  <c r="I61" i="2"/>
  <c r="D43" i="9" s="1"/>
  <c r="G61" i="2"/>
  <c r="E61" i="2"/>
  <c r="C61" i="2"/>
  <c r="Q59" i="2"/>
  <c r="C41" i="9" s="1"/>
  <c r="O59" i="2"/>
  <c r="M59" i="2"/>
  <c r="K59" i="2"/>
  <c r="G59" i="2"/>
  <c r="E59" i="2"/>
  <c r="I59" i="2"/>
  <c r="D41" i="9" s="1"/>
  <c r="C59" i="2"/>
  <c r="F304" i="9"/>
  <c r="F113" i="9"/>
  <c r="C58" i="2"/>
  <c r="S56" i="2"/>
  <c r="W57" i="2"/>
  <c r="O56" i="2"/>
  <c r="Q57" i="2"/>
  <c r="C39" i="9" s="1"/>
  <c r="I56" i="2"/>
  <c r="D38" i="9" s="1"/>
  <c r="S58" i="2"/>
  <c r="K57" i="2"/>
  <c r="C56" i="2"/>
  <c r="I58" i="2"/>
  <c r="D40" i="9" s="1"/>
  <c r="G58" i="2"/>
  <c r="E58" i="2"/>
  <c r="F260" i="9"/>
  <c r="F282" i="9"/>
  <c r="W56" i="2"/>
  <c r="U56" i="2"/>
  <c r="F325" i="9"/>
  <c r="Q56" i="2"/>
  <c r="C38" i="9" s="1"/>
  <c r="U57" i="2"/>
  <c r="M56" i="2"/>
  <c r="S57" i="2"/>
  <c r="K56" i="2"/>
  <c r="W58" i="2"/>
  <c r="O57" i="2"/>
  <c r="G56" i="2"/>
  <c r="U58" i="2"/>
  <c r="M57" i="2"/>
  <c r="E56" i="2"/>
  <c r="I16" i="2"/>
  <c r="F101" i="9"/>
  <c r="O55" i="2"/>
  <c r="G55" i="2"/>
  <c r="E55" i="2"/>
  <c r="U55" i="2"/>
  <c r="S55" i="2"/>
  <c r="K55" i="2"/>
  <c r="I55" i="2"/>
  <c r="D37" i="9" s="1"/>
  <c r="C55" i="2"/>
  <c r="W55" i="2"/>
  <c r="Q55" i="2"/>
  <c r="C37" i="9" s="1"/>
  <c r="M55" i="2"/>
  <c r="F348" i="9"/>
  <c r="F326" i="9"/>
  <c r="F157" i="9"/>
  <c r="F303" i="9"/>
  <c r="E52" i="2"/>
  <c r="S54" i="2"/>
  <c r="K53" i="2"/>
  <c r="C52" i="2"/>
  <c r="W49" i="2"/>
  <c r="M53" i="2"/>
  <c r="I53" i="2"/>
  <c r="D35" i="9" s="1"/>
  <c r="E53" i="2"/>
  <c r="S50" i="2"/>
  <c r="Q50" i="2"/>
  <c r="C32" i="9" s="1"/>
  <c r="M50" i="2"/>
  <c r="C49" i="2"/>
  <c r="Q51" i="2"/>
  <c r="C33" i="9" s="1"/>
  <c r="W52" i="2"/>
  <c r="O51" i="2"/>
  <c r="G50" i="2"/>
  <c r="U52" i="2"/>
  <c r="M51" i="2"/>
  <c r="E50" i="2"/>
  <c r="K54" i="2"/>
  <c r="O49" i="2"/>
  <c r="G54" i="2"/>
  <c r="K49" i="2"/>
  <c r="E54" i="2"/>
  <c r="I49" i="2"/>
  <c r="D31" i="9" s="1"/>
  <c r="W51" i="2"/>
  <c r="G49" i="2"/>
  <c r="U51" i="2"/>
  <c r="E49" i="2"/>
  <c r="S51" i="2"/>
  <c r="K50" i="2"/>
  <c r="I50" i="2"/>
  <c r="D32" i="9" s="1"/>
  <c r="S52" i="2"/>
  <c r="K51" i="2"/>
  <c r="C50" i="2"/>
  <c r="U54" i="2"/>
  <c r="Q54" i="2"/>
  <c r="C36" i="9" s="1"/>
  <c r="U49" i="2"/>
  <c r="O54" i="2"/>
  <c r="M54" i="2"/>
  <c r="Q52" i="2"/>
  <c r="C34" i="9" s="1"/>
  <c r="I51" i="2"/>
  <c r="D33" i="9" s="1"/>
  <c r="G53" i="2"/>
  <c r="S49" i="2"/>
  <c r="Q49" i="2"/>
  <c r="C31" i="9" s="1"/>
  <c r="F135" i="9"/>
  <c r="C53" i="2"/>
  <c r="W50" i="2"/>
  <c r="I54" i="2"/>
  <c r="D36" i="9" s="1"/>
  <c r="U50" i="2"/>
  <c r="M49" i="2"/>
  <c r="C54" i="2"/>
  <c r="O50" i="2"/>
  <c r="W53" i="2"/>
  <c r="O52" i="2"/>
  <c r="G51" i="2"/>
  <c r="C48" i="2"/>
  <c r="F238" i="9"/>
  <c r="K48" i="2"/>
  <c r="C47" i="2"/>
  <c r="I48" i="2"/>
  <c r="D30" i="9" s="1"/>
  <c r="G48" i="2"/>
  <c r="I47" i="2"/>
  <c r="D29" i="9" s="1"/>
  <c r="O48" i="2"/>
  <c r="Q48" i="2"/>
  <c r="C30" i="9" s="1"/>
  <c r="G47" i="2"/>
  <c r="W47" i="2"/>
  <c r="U47" i="2"/>
  <c r="S47" i="2"/>
  <c r="M48" i="2"/>
  <c r="E47" i="2"/>
  <c r="E48" i="2"/>
  <c r="W46" i="2"/>
  <c r="Q46" i="2"/>
  <c r="C28" i="9" s="1"/>
  <c r="U46" i="2"/>
  <c r="O46" i="2"/>
  <c r="S46" i="2"/>
  <c r="M46" i="2"/>
  <c r="K46" i="2"/>
  <c r="F194" i="9"/>
  <c r="K45" i="2"/>
  <c r="F258" i="9"/>
  <c r="F247" i="9"/>
  <c r="F236" i="9"/>
  <c r="F127" i="9"/>
  <c r="F291" i="9"/>
  <c r="F280" i="9"/>
  <c r="F269" i="9"/>
  <c r="F149" i="9"/>
  <c r="F313" i="9"/>
  <c r="F193" i="9"/>
  <c r="F171" i="9"/>
  <c r="F335" i="9"/>
  <c r="F324" i="9"/>
  <c r="F215" i="9"/>
  <c r="F106" i="9"/>
  <c r="F302" i="9"/>
  <c r="F259" i="9"/>
  <c r="F237" i="9"/>
  <c r="F123" i="9"/>
  <c r="F102" i="9"/>
  <c r="F91" i="9"/>
  <c r="F80" i="9"/>
  <c r="F145" i="9"/>
  <c r="M45" i="2"/>
  <c r="E44" i="2"/>
  <c r="I45" i="2"/>
  <c r="D27" i="9" s="1"/>
  <c r="G45" i="2"/>
  <c r="F334" i="9"/>
  <c r="F225" i="9"/>
  <c r="F214" i="9"/>
  <c r="F203" i="9"/>
  <c r="C45" i="2"/>
  <c r="F104" i="9"/>
  <c r="F93" i="9"/>
  <c r="F105" i="9"/>
  <c r="E45" i="2"/>
  <c r="W45" i="2"/>
  <c r="F283" i="9"/>
  <c r="F223" i="9"/>
  <c r="F201" i="9"/>
  <c r="F103" i="9"/>
  <c r="F92" i="9"/>
  <c r="F346" i="9"/>
  <c r="U45" i="2"/>
  <c r="F305" i="9"/>
  <c r="F245" i="9"/>
  <c r="F136" i="9"/>
  <c r="F125" i="9"/>
  <c r="F114" i="9"/>
  <c r="S45" i="2"/>
  <c r="C43" i="2"/>
  <c r="F349" i="9"/>
  <c r="F327" i="9"/>
  <c r="F169" i="9"/>
  <c r="F158" i="9"/>
  <c r="F147" i="9"/>
  <c r="Q45" i="2"/>
  <c r="C27" i="9" s="1"/>
  <c r="F191" i="9"/>
  <c r="F180" i="9"/>
  <c r="O45" i="2"/>
  <c r="F224" i="9"/>
  <c r="F213" i="9"/>
  <c r="F202" i="9"/>
  <c r="F246" i="9"/>
  <c r="F235" i="9"/>
  <c r="F126" i="9"/>
  <c r="F290" i="9"/>
  <c r="F268" i="9"/>
  <c r="F148" i="9"/>
  <c r="F312" i="9"/>
  <c r="F192" i="9"/>
  <c r="F170" i="9"/>
  <c r="F319" i="9"/>
  <c r="F297" i="9"/>
  <c r="F275" i="9"/>
  <c r="F253" i="9"/>
  <c r="F231" i="9"/>
  <c r="F209" i="9"/>
  <c r="F187" i="9"/>
  <c r="F165" i="9"/>
  <c r="F143" i="9"/>
  <c r="F121" i="9"/>
  <c r="F99" i="9"/>
  <c r="O22" i="2"/>
  <c r="F333" i="9"/>
  <c r="F311" i="9"/>
  <c r="F289" i="9"/>
  <c r="F267" i="9"/>
  <c r="F181" i="9"/>
  <c r="F159" i="9"/>
  <c r="F137" i="9"/>
  <c r="F115" i="9"/>
  <c r="F341" i="9"/>
  <c r="I44" i="2"/>
  <c r="D26" i="9" s="1"/>
  <c r="G43" i="2"/>
  <c r="E42" i="2"/>
  <c r="W42" i="2"/>
  <c r="F314" i="9"/>
  <c r="K44" i="2"/>
  <c r="I43" i="2"/>
  <c r="D25" i="9" s="1"/>
  <c r="G42" i="2"/>
  <c r="C44" i="2"/>
  <c r="F128" i="9"/>
  <c r="U39" i="2"/>
  <c r="W43" i="2"/>
  <c r="W44" i="2"/>
  <c r="S42" i="2"/>
  <c r="Q43" i="2"/>
  <c r="C25" i="9" s="1"/>
  <c r="M43" i="2"/>
  <c r="F116" i="9"/>
  <c r="F94" i="9"/>
  <c r="K43" i="2"/>
  <c r="I42" i="2"/>
  <c r="D24" i="9" s="1"/>
  <c r="U42" i="2"/>
  <c r="U43" i="2"/>
  <c r="U44" i="2"/>
  <c r="S43" i="2"/>
  <c r="Q42" i="2"/>
  <c r="C24" i="9" s="1"/>
  <c r="S44" i="2"/>
  <c r="O42" i="2"/>
  <c r="Q44" i="2"/>
  <c r="C26" i="9" s="1"/>
  <c r="O43" i="2"/>
  <c r="M42" i="2"/>
  <c r="O44" i="2"/>
  <c r="K42" i="2"/>
  <c r="F336" i="9"/>
  <c r="F292" i="9"/>
  <c r="F270" i="9"/>
  <c r="F248" i="9"/>
  <c r="F226" i="9"/>
  <c r="F204" i="9"/>
  <c r="F182" i="9"/>
  <c r="F160" i="9"/>
  <c r="F138" i="9"/>
  <c r="M44" i="2"/>
  <c r="G44" i="2"/>
  <c r="E43" i="2"/>
  <c r="C42" i="2"/>
  <c r="F227" i="9"/>
  <c r="F293" i="9"/>
  <c r="F249" i="9"/>
  <c r="F338" i="9"/>
  <c r="F316" i="9"/>
  <c r="F317" i="9"/>
  <c r="F295" i="9"/>
  <c r="F251" i="9"/>
  <c r="F141" i="9"/>
  <c r="F119" i="9"/>
  <c r="F337" i="9"/>
  <c r="F315" i="9"/>
  <c r="F271" i="9"/>
  <c r="F339" i="9"/>
  <c r="F273" i="9"/>
  <c r="F229" i="9"/>
  <c r="F207" i="9"/>
  <c r="F185" i="9"/>
  <c r="F163" i="9"/>
  <c r="F97" i="9"/>
  <c r="F340" i="9"/>
  <c r="F318" i="9"/>
  <c r="F296" i="9"/>
  <c r="F274" i="9"/>
  <c r="F252" i="9"/>
  <c r="F230" i="9"/>
  <c r="F208" i="9"/>
  <c r="F186" i="9"/>
  <c r="F164" i="9"/>
  <c r="F142" i="9"/>
  <c r="I41" i="2"/>
  <c r="D23" i="9" s="1"/>
  <c r="E39" i="2"/>
  <c r="F342" i="9"/>
  <c r="F320" i="9"/>
  <c r="F254" i="9"/>
  <c r="F144" i="9"/>
  <c r="F122" i="9"/>
  <c r="F100" i="9"/>
  <c r="F343" i="9"/>
  <c r="F321" i="9"/>
  <c r="F299" i="9"/>
  <c r="F255" i="9"/>
  <c r="F233" i="9"/>
  <c r="F211" i="9"/>
  <c r="F189" i="9"/>
  <c r="G40" i="2"/>
  <c r="F298" i="9"/>
  <c r="F276" i="9"/>
  <c r="F232" i="9"/>
  <c r="F210" i="9"/>
  <c r="F188" i="9"/>
  <c r="F166" i="9"/>
  <c r="F277" i="9"/>
  <c r="F344" i="9"/>
  <c r="F322" i="9"/>
  <c r="F300" i="9"/>
  <c r="F278" i="9"/>
  <c r="F256" i="9"/>
  <c r="F234" i="9"/>
  <c r="F212" i="9"/>
  <c r="F190" i="9"/>
  <c r="F168" i="9"/>
  <c r="F146" i="9"/>
  <c r="F124" i="9"/>
  <c r="F345" i="9"/>
  <c r="F323" i="9"/>
  <c r="F301" i="9"/>
  <c r="F279" i="9"/>
  <c r="F257" i="9"/>
  <c r="F239" i="9"/>
  <c r="F217" i="9"/>
  <c r="F195" i="9"/>
  <c r="F173" i="9"/>
  <c r="F151" i="9"/>
  <c r="F129" i="9"/>
  <c r="F107" i="9"/>
  <c r="F85" i="9"/>
  <c r="F306" i="9"/>
  <c r="F240" i="9"/>
  <c r="F218" i="9"/>
  <c r="F196" i="9"/>
  <c r="F174" i="9"/>
  <c r="F152" i="9"/>
  <c r="F130" i="9"/>
  <c r="F108" i="9"/>
  <c r="F86" i="9"/>
  <c r="F350" i="9"/>
  <c r="F328" i="9"/>
  <c r="F284" i="9"/>
  <c r="F262" i="9"/>
  <c r="F351" i="9"/>
  <c r="F329" i="9"/>
  <c r="F307" i="9"/>
  <c r="F285" i="9"/>
  <c r="F263" i="9"/>
  <c r="F241" i="9"/>
  <c r="F219" i="9"/>
  <c r="F197" i="9"/>
  <c r="F175" i="9"/>
  <c r="F153" i="9"/>
  <c r="F131" i="9"/>
  <c r="F109" i="9"/>
  <c r="F87" i="9"/>
  <c r="F352" i="9"/>
  <c r="F330" i="9"/>
  <c r="F308" i="9"/>
  <c r="F286" i="9"/>
  <c r="F264" i="9"/>
  <c r="F242" i="9"/>
  <c r="F220" i="9"/>
  <c r="F198" i="9"/>
  <c r="F176" i="9"/>
  <c r="F154" i="9"/>
  <c r="F132" i="9"/>
  <c r="F110" i="9"/>
  <c r="F88" i="9"/>
  <c r="F331" i="9"/>
  <c r="F309" i="9"/>
  <c r="F287" i="9"/>
  <c r="F265" i="9"/>
  <c r="F243" i="9"/>
  <c r="F221" i="9"/>
  <c r="F199" i="9"/>
  <c r="F177" i="9"/>
  <c r="F155" i="9"/>
  <c r="F133" i="9"/>
  <c r="F111" i="9"/>
  <c r="F89" i="9"/>
  <c r="F332" i="9"/>
  <c r="F310" i="9"/>
  <c r="F288" i="9"/>
  <c r="F266" i="9"/>
  <c r="F244" i="9"/>
  <c r="F222" i="9"/>
  <c r="F200" i="9"/>
  <c r="F178" i="9"/>
  <c r="F156" i="9"/>
  <c r="F134" i="9"/>
  <c r="F112" i="9"/>
  <c r="F90" i="9"/>
  <c r="F205" i="9"/>
  <c r="F183" i="9"/>
  <c r="F161" i="9"/>
  <c r="F139" i="9"/>
  <c r="F117" i="9"/>
  <c r="F95" i="9"/>
  <c r="F294" i="9"/>
  <c r="F272" i="9"/>
  <c r="F250" i="9"/>
  <c r="F228" i="9"/>
  <c r="F206" i="9"/>
  <c r="F184" i="9"/>
  <c r="F162" i="9"/>
  <c r="F140" i="9"/>
  <c r="F118" i="9"/>
  <c r="F96" i="9"/>
  <c r="F120" i="9"/>
  <c r="F98" i="9"/>
  <c r="Q39" i="2"/>
  <c r="C21" i="9" s="1"/>
  <c r="Q40" i="2"/>
  <c r="C22" i="9" s="1"/>
  <c r="O40" i="2"/>
  <c r="O41" i="2"/>
  <c r="M40" i="2"/>
  <c r="K39" i="2"/>
  <c r="M41" i="2"/>
  <c r="K40" i="2"/>
  <c r="I39" i="2"/>
  <c r="D21" i="9" s="1"/>
  <c r="K41" i="2"/>
  <c r="I40" i="2"/>
  <c r="D22" i="9" s="1"/>
  <c r="G39" i="2"/>
  <c r="W39" i="2"/>
  <c r="W40" i="2"/>
  <c r="U40" i="2"/>
  <c r="S40" i="2"/>
  <c r="O39" i="2"/>
  <c r="M39" i="2"/>
  <c r="E41" i="2"/>
  <c r="C41" i="2"/>
  <c r="W41" i="2"/>
  <c r="S39" i="2"/>
  <c r="G41" i="2"/>
  <c r="E40" i="2"/>
  <c r="C39" i="2"/>
  <c r="C40" i="2"/>
  <c r="U41" i="2"/>
  <c r="S41" i="2"/>
  <c r="Q41" i="2"/>
  <c r="C23" i="9" s="1"/>
  <c r="T11" i="5"/>
  <c r="U11" i="5" s="1"/>
  <c r="B16" i="5"/>
  <c r="C16" i="5" s="1"/>
  <c r="F13" i="5"/>
  <c r="G13" i="5" s="1"/>
  <c r="AD12" i="5"/>
  <c r="P11" i="5"/>
  <c r="Q11" i="5" s="1"/>
  <c r="AG15" i="5"/>
  <c r="N11" i="5"/>
  <c r="O11" i="5" s="1"/>
  <c r="X9" i="5"/>
  <c r="Y9" i="5" s="1"/>
  <c r="AD7" i="5"/>
  <c r="L11" i="5"/>
  <c r="M11" i="5" s="1"/>
  <c r="AG10" i="5"/>
  <c r="V9" i="5"/>
  <c r="W9" i="5" s="1"/>
  <c r="R14" i="5"/>
  <c r="S14" i="5" s="1"/>
  <c r="P14" i="5"/>
  <c r="Q14" i="5" s="1"/>
  <c r="AI13" i="5"/>
  <c r="N14" i="5"/>
  <c r="O14" i="5" s="1"/>
  <c r="AH13" i="5"/>
  <c r="X12" i="5"/>
  <c r="Y12" i="5" s="1"/>
  <c r="D11" i="5"/>
  <c r="AD10" i="5"/>
  <c r="L14" i="5"/>
  <c r="M14" i="5" s="1"/>
  <c r="AG13" i="5"/>
  <c r="V12" i="5"/>
  <c r="W12" i="5" s="1"/>
  <c r="N9" i="5"/>
  <c r="O9" i="5" s="1"/>
  <c r="AH8" i="5"/>
  <c r="AI16" i="5"/>
  <c r="J14" i="5"/>
  <c r="K14" i="5" s="1"/>
  <c r="T12" i="5"/>
  <c r="U12" i="5" s="1"/>
  <c r="L9" i="5"/>
  <c r="M9" i="5" s="1"/>
  <c r="AG8" i="5"/>
  <c r="T15" i="5"/>
  <c r="U15" i="5" s="1"/>
  <c r="AD16" i="5"/>
  <c r="R15" i="5"/>
  <c r="S15" i="5" s="1"/>
  <c r="AI14" i="5"/>
  <c r="J12" i="5"/>
  <c r="K12" i="5" s="1"/>
  <c r="AH10" i="5"/>
  <c r="T14" i="5"/>
  <c r="U14" i="5" s="1"/>
  <c r="J11" i="5"/>
  <c r="K11" i="5" s="1"/>
  <c r="T9" i="5"/>
  <c r="U9" i="5" s="1"/>
  <c r="AD15" i="5"/>
  <c r="F11" i="5"/>
  <c r="G11" i="5" s="1"/>
  <c r="R9" i="5"/>
  <c r="S9" i="5" s="1"/>
  <c r="P9" i="5"/>
  <c r="Q9" i="5" s="1"/>
  <c r="AI8" i="5"/>
  <c r="AH16" i="5"/>
  <c r="F14" i="5"/>
  <c r="G14" i="5" s="1"/>
  <c r="R12" i="5"/>
  <c r="S12" i="5" s="1"/>
  <c r="AI11" i="5"/>
  <c r="J9" i="5"/>
  <c r="K9" i="5" s="1"/>
  <c r="AG16" i="5"/>
  <c r="X15" i="5"/>
  <c r="Y15" i="5" s="1"/>
  <c r="D14" i="5"/>
  <c r="AD13" i="5"/>
  <c r="P12" i="5"/>
  <c r="Q12" i="5" s="1"/>
  <c r="AH11" i="5"/>
  <c r="F9" i="5"/>
  <c r="G9" i="5" s="1"/>
  <c r="AF16" i="5"/>
  <c r="V15" i="5"/>
  <c r="W15" i="5" s="1"/>
  <c r="N12" i="5"/>
  <c r="O12" i="5" s="1"/>
  <c r="AG11" i="5"/>
  <c r="X10" i="5"/>
  <c r="Y10" i="5" s="1"/>
  <c r="D9" i="5"/>
  <c r="AD8" i="5"/>
  <c r="L12" i="5"/>
  <c r="M12" i="5" s="1"/>
  <c r="V10" i="5"/>
  <c r="W10" i="5" s="1"/>
  <c r="T10" i="5"/>
  <c r="U10" i="5" s="1"/>
  <c r="AI6" i="5"/>
  <c r="P15" i="5"/>
  <c r="Q15" i="5" s="1"/>
  <c r="AH14" i="5"/>
  <c r="F12" i="5"/>
  <c r="G12" i="5" s="1"/>
  <c r="AD11" i="5"/>
  <c r="R10" i="5"/>
  <c r="S10" i="5" s="1"/>
  <c r="AI9" i="5"/>
  <c r="AH6" i="5"/>
  <c r="N15" i="5"/>
  <c r="O15" i="5" s="1"/>
  <c r="AG14" i="5"/>
  <c r="X13" i="5"/>
  <c r="Y13" i="5" s="1"/>
  <c r="D12" i="5"/>
  <c r="P10" i="5"/>
  <c r="Q10" i="5" s="1"/>
  <c r="AH9" i="5"/>
  <c r="AG6" i="5"/>
  <c r="AH15" i="5"/>
  <c r="X14" i="5"/>
  <c r="Y14" i="5" s="1"/>
  <c r="AI10" i="5"/>
  <c r="V14" i="5"/>
  <c r="W14" i="5" s="1"/>
  <c r="D13" i="5"/>
  <c r="L15" i="5"/>
  <c r="M15" i="5" s="1"/>
  <c r="V13" i="5"/>
  <c r="W13" i="5" s="1"/>
  <c r="N10" i="5"/>
  <c r="O10" i="5" s="1"/>
  <c r="AG9" i="5"/>
  <c r="J15" i="5"/>
  <c r="K15" i="5" s="1"/>
  <c r="T13" i="5"/>
  <c r="U13" i="5" s="1"/>
  <c r="L10" i="5"/>
  <c r="M10" i="5" s="1"/>
  <c r="F15" i="5"/>
  <c r="G15" i="5" s="1"/>
  <c r="AD14" i="5"/>
  <c r="R13" i="5"/>
  <c r="S13" i="5" s="1"/>
  <c r="AI12" i="5"/>
  <c r="J10" i="5"/>
  <c r="K10" i="5" s="1"/>
  <c r="AD6" i="5"/>
  <c r="D15" i="5"/>
  <c r="P13" i="5"/>
  <c r="Q13" i="5" s="1"/>
  <c r="AH12" i="5"/>
  <c r="X11" i="5"/>
  <c r="Y11" i="5" s="1"/>
  <c r="F10" i="5"/>
  <c r="G10" i="5" s="1"/>
  <c r="AD9" i="5"/>
  <c r="AI7" i="5"/>
  <c r="N13" i="5"/>
  <c r="O13" i="5" s="1"/>
  <c r="AG12" i="5"/>
  <c r="V11" i="5"/>
  <c r="W11" i="5" s="1"/>
  <c r="D10" i="5"/>
  <c r="AH7" i="5"/>
  <c r="L13" i="5"/>
  <c r="M13" i="5" s="1"/>
  <c r="AG7" i="5"/>
  <c r="AI15" i="5"/>
  <c r="J13" i="5"/>
  <c r="K13" i="5" s="1"/>
  <c r="R11" i="5"/>
  <c r="S11" i="5" s="1"/>
  <c r="I12" i="8"/>
  <c r="I11" i="8"/>
  <c r="S7" i="2"/>
  <c r="I6" i="8"/>
  <c r="I21" i="8"/>
  <c r="I16" i="8"/>
  <c r="I17" i="8"/>
  <c r="I22" i="8"/>
  <c r="M15" i="2"/>
  <c r="O25" i="2"/>
  <c r="S10" i="2"/>
  <c r="M21" i="2"/>
  <c r="I22" i="2"/>
  <c r="K18" i="2"/>
  <c r="Q17" i="2"/>
  <c r="S14" i="2"/>
  <c r="Q7" i="2"/>
  <c r="K8" i="2"/>
  <c r="M20" i="2"/>
  <c r="I10" i="2"/>
  <c r="M24" i="2"/>
  <c r="M10" i="2"/>
  <c r="W31" i="2"/>
  <c r="I20" i="2"/>
  <c r="S16" i="2"/>
  <c r="Q16" i="2"/>
  <c r="K12" i="2"/>
  <c r="M11" i="2"/>
  <c r="I15" i="2"/>
  <c r="Q20" i="2"/>
  <c r="K6" i="2"/>
  <c r="M25" i="2"/>
  <c r="S24" i="2"/>
  <c r="M27" i="2"/>
  <c r="S6" i="2"/>
  <c r="C25" i="2"/>
  <c r="C11" i="2"/>
  <c r="K25" i="2"/>
  <c r="Q6" i="2"/>
  <c r="O24" i="2"/>
  <c r="Q25" i="2"/>
  <c r="C7" i="9" s="1"/>
  <c r="W14" i="2"/>
  <c r="W12" i="2"/>
  <c r="W10" i="2"/>
  <c r="W8" i="2"/>
  <c r="W6" i="2"/>
  <c r="K22" i="2"/>
  <c r="S22" i="2"/>
  <c r="M30" i="2"/>
  <c r="K30" i="2"/>
  <c r="O28" i="2"/>
  <c r="G24" i="2"/>
  <c r="G20" i="2"/>
  <c r="G18" i="2"/>
  <c r="G14" i="2"/>
  <c r="G12" i="2"/>
  <c r="G10" i="2"/>
  <c r="G9" i="2"/>
  <c r="G6" i="2"/>
  <c r="E22" i="2"/>
  <c r="E18" i="2"/>
  <c r="E6" i="2"/>
  <c r="M7" i="2"/>
  <c r="Q28" i="2"/>
  <c r="C10" i="9" s="1"/>
  <c r="Q21" i="2"/>
  <c r="K29" i="2"/>
  <c r="C21" i="2"/>
  <c r="C12" i="2"/>
  <c r="C10" i="2"/>
  <c r="O20" i="2"/>
  <c r="O15" i="2"/>
  <c r="S19" i="2"/>
  <c r="Q10" i="2"/>
  <c r="U36" i="2"/>
  <c r="Q9" i="2"/>
  <c r="W19" i="2"/>
  <c r="O11" i="2"/>
  <c r="I31" i="2"/>
  <c r="D13" i="9" s="1"/>
  <c r="K9" i="2"/>
  <c r="S11" i="2"/>
  <c r="W25" i="2"/>
  <c r="W21" i="2"/>
  <c r="W16" i="2"/>
  <c r="W11" i="2"/>
  <c r="W9" i="2"/>
  <c r="W7" i="2"/>
  <c r="M12" i="2"/>
  <c r="K7" i="2"/>
  <c r="Q11" i="2"/>
  <c r="Q12" i="2"/>
  <c r="S15" i="2"/>
  <c r="Q15" i="2"/>
  <c r="O21" i="2"/>
  <c r="W15" i="2"/>
  <c r="I8" i="2"/>
  <c r="K16" i="2"/>
  <c r="O6" i="2"/>
  <c r="O7" i="2"/>
  <c r="K26" i="2"/>
  <c r="K19" i="2"/>
  <c r="M36" i="2"/>
  <c r="E32" i="2"/>
  <c r="U26" i="2"/>
  <c r="O14" i="2"/>
  <c r="Q8" i="2"/>
  <c r="O8" i="2"/>
  <c r="M13" i="2"/>
  <c r="O13" i="2"/>
  <c r="K20" i="2"/>
  <c r="G23" i="2"/>
  <c r="G22" i="2"/>
  <c r="M23" i="2"/>
  <c r="M22" i="2"/>
  <c r="E34" i="2"/>
  <c r="E20" i="2"/>
  <c r="E21" i="2"/>
  <c r="E17" i="2"/>
  <c r="E16" i="2"/>
  <c r="E13" i="2"/>
  <c r="E12" i="2"/>
  <c r="E10" i="2"/>
  <c r="E11" i="2"/>
  <c r="S8" i="2"/>
  <c r="E7" i="2"/>
  <c r="G28" i="2"/>
  <c r="Q18" i="2"/>
  <c r="O12" i="2"/>
  <c r="G19" i="2"/>
  <c r="I24" i="2"/>
  <c r="D6" i="9" s="1"/>
  <c r="I23" i="2"/>
  <c r="D5" i="9" s="1"/>
  <c r="M32" i="2"/>
  <c r="K14" i="2"/>
  <c r="K15" i="2"/>
  <c r="S30" i="2"/>
  <c r="W28" i="2"/>
  <c r="K13" i="2"/>
  <c r="U34" i="2"/>
  <c r="S23" i="2"/>
  <c r="W26" i="2"/>
  <c r="W24" i="2"/>
  <c r="W20" i="2"/>
  <c r="W18" i="2"/>
  <c r="I6" i="2"/>
  <c r="S17" i="2"/>
  <c r="M17" i="2"/>
  <c r="W35" i="2"/>
  <c r="U25" i="2"/>
  <c r="U23" i="2"/>
  <c r="U21" i="2"/>
  <c r="U19" i="2"/>
  <c r="U17" i="2"/>
  <c r="U15" i="2"/>
  <c r="U13" i="2"/>
  <c r="U11" i="2"/>
  <c r="U9" i="2"/>
  <c r="U7" i="2"/>
  <c r="U6" i="2"/>
  <c r="G15" i="2"/>
  <c r="G7" i="2"/>
  <c r="E23" i="2"/>
  <c r="E19" i="2"/>
  <c r="I14" i="2"/>
  <c r="I13" i="2"/>
  <c r="C15" i="2"/>
  <c r="C30" i="2"/>
  <c r="K21" i="2"/>
  <c r="W33" i="2"/>
  <c r="S31" i="2"/>
  <c r="D22" i="8" s="1"/>
  <c r="E35" i="2"/>
  <c r="E30" i="2"/>
  <c r="C23" i="2"/>
  <c r="C19" i="2"/>
  <c r="C17" i="2"/>
  <c r="C13" i="2"/>
  <c r="C9" i="2"/>
  <c r="C7" i="2"/>
  <c r="O17" i="2"/>
  <c r="W23" i="2"/>
  <c r="W17" i="2"/>
  <c r="W13" i="2"/>
  <c r="I25" i="2"/>
  <c r="D7" i="9" s="1"/>
  <c r="I38" i="2"/>
  <c r="D20" i="9" s="1"/>
  <c r="G37" i="2"/>
  <c r="Q19" i="2"/>
  <c r="W30" i="2"/>
  <c r="G27" i="2"/>
  <c r="W22" i="2"/>
  <c r="E26" i="2"/>
  <c r="I18" i="2"/>
  <c r="I12" i="2"/>
  <c r="I11" i="2"/>
  <c r="M18" i="2"/>
  <c r="M19" i="2"/>
  <c r="K23" i="2"/>
  <c r="K24" i="2"/>
  <c r="O23" i="2"/>
  <c r="Q22" i="2"/>
  <c r="C8" i="2"/>
  <c r="U20" i="2"/>
  <c r="U24" i="2"/>
  <c r="E36" i="2"/>
  <c r="M26" i="2"/>
  <c r="G38" i="2"/>
  <c r="K11" i="2"/>
  <c r="K10" i="2"/>
  <c r="U32" i="2"/>
  <c r="B21" i="8" s="1"/>
  <c r="U18" i="2"/>
  <c r="U14" i="2"/>
  <c r="C32" i="2"/>
  <c r="S26" i="2"/>
  <c r="G16" i="2"/>
  <c r="G17" i="2"/>
  <c r="G8" i="2"/>
  <c r="E25" i="2"/>
  <c r="E24" i="2"/>
  <c r="E14" i="2"/>
  <c r="E15" i="2"/>
  <c r="E9" i="2"/>
  <c r="E8" i="2"/>
  <c r="G11" i="2"/>
  <c r="M8" i="2"/>
  <c r="M9" i="2"/>
  <c r="U22" i="2"/>
  <c r="U16" i="2"/>
  <c r="U12" i="2"/>
  <c r="U10" i="2"/>
  <c r="U8" i="2"/>
  <c r="C24" i="2"/>
  <c r="C22" i="2"/>
  <c r="C20" i="2"/>
  <c r="C18" i="2"/>
  <c r="C16" i="2"/>
  <c r="C14" i="2"/>
  <c r="C6" i="2"/>
  <c r="G13" i="2"/>
  <c r="C35" i="2"/>
  <c r="W37" i="2"/>
  <c r="K31" i="2"/>
  <c r="U30" i="2"/>
  <c r="E27" i="2"/>
  <c r="I9" i="2"/>
  <c r="E29" i="2"/>
  <c r="I7" i="2"/>
  <c r="S34" i="2"/>
  <c r="I21" i="2"/>
  <c r="I19" i="2"/>
  <c r="O30" i="2"/>
  <c r="S25" i="2"/>
  <c r="C26" i="2"/>
  <c r="M6" i="2"/>
  <c r="Q24" i="2"/>
  <c r="C6" i="9" s="1"/>
  <c r="M16" i="2"/>
  <c r="S18" i="2"/>
  <c r="U35" i="2"/>
  <c r="G25" i="2"/>
  <c r="G21" i="2"/>
  <c r="G30" i="2"/>
  <c r="Q23" i="2"/>
  <c r="C5" i="9" s="1"/>
  <c r="C37" i="2"/>
  <c r="I26" i="2"/>
  <c r="D8" i="9" s="1"/>
  <c r="E37" i="2"/>
  <c r="U27" i="2"/>
  <c r="Q30" i="2"/>
  <c r="C12" i="9" s="1"/>
  <c r="Q29" i="2"/>
  <c r="C11" i="9" s="1"/>
  <c r="I29" i="2"/>
  <c r="D11" i="9" s="1"/>
  <c r="I30" i="2"/>
  <c r="D12" i="9" s="1"/>
  <c r="U33" i="2"/>
  <c r="O33" i="2"/>
  <c r="O35" i="2"/>
  <c r="K33" i="2"/>
  <c r="G31" i="2"/>
  <c r="U28" i="2"/>
  <c r="G32" i="2"/>
  <c r="E31" i="2"/>
  <c r="U31" i="2"/>
  <c r="B22" i="8" s="1"/>
  <c r="S37" i="2"/>
  <c r="K32" i="2"/>
  <c r="U38" i="2"/>
  <c r="M34" i="2"/>
  <c r="I32" i="2"/>
  <c r="D14" i="9" s="1"/>
  <c r="E33" i="2"/>
  <c r="E28" i="2"/>
  <c r="W38" i="2"/>
  <c r="M33" i="2"/>
  <c r="C27" i="2"/>
  <c r="C28" i="2"/>
  <c r="S36" i="2"/>
  <c r="S35" i="2"/>
  <c r="U37" i="2"/>
  <c r="O34" i="2"/>
  <c r="G33" i="2"/>
  <c r="U29" i="2"/>
  <c r="C33" i="2"/>
  <c r="W27" i="2"/>
  <c r="I34" i="2"/>
  <c r="D16" i="9" s="1"/>
  <c r="O38" i="2"/>
  <c r="M37" i="2"/>
  <c r="K36" i="2"/>
  <c r="I35" i="2"/>
  <c r="D17" i="9" s="1"/>
  <c r="G34" i="2"/>
  <c r="S38" i="2"/>
  <c r="I33" i="2"/>
  <c r="D15" i="9" s="1"/>
  <c r="S29" i="2"/>
  <c r="W36" i="2"/>
  <c r="E38" i="2"/>
  <c r="Q37" i="2"/>
  <c r="C19" i="9" s="1"/>
  <c r="M35" i="2"/>
  <c r="C31" i="2"/>
  <c r="C36" i="2"/>
  <c r="C38" i="2"/>
  <c r="O36" i="2"/>
  <c r="K34" i="2"/>
  <c r="O37" i="2"/>
  <c r="K35" i="2"/>
  <c r="G35" i="2"/>
  <c r="M38" i="2"/>
  <c r="K37" i="2"/>
  <c r="I36" i="2"/>
  <c r="D18" i="9" s="1"/>
  <c r="M28" i="2"/>
  <c r="K38" i="2"/>
  <c r="I37" i="2"/>
  <c r="D19" i="9" s="1"/>
  <c r="G36" i="2"/>
  <c r="C34" i="2"/>
  <c r="O27" i="2"/>
  <c r="O26" i="2"/>
  <c r="G26" i="2"/>
  <c r="W29" i="2"/>
  <c r="M29" i="2"/>
  <c r="Q27" i="2"/>
  <c r="C9" i="9" s="1"/>
  <c r="W32" i="2"/>
  <c r="W34" i="2"/>
  <c r="S33" i="2"/>
  <c r="S32" i="2"/>
  <c r="D21" i="8" s="1"/>
  <c r="Q31" i="2"/>
  <c r="C13" i="9" s="1"/>
  <c r="G29" i="2"/>
  <c r="K27" i="2"/>
  <c r="Q32" i="2"/>
  <c r="C14" i="9" s="1"/>
  <c r="I27" i="2"/>
  <c r="D9" i="9" s="1"/>
  <c r="Q34" i="2"/>
  <c r="C16" i="9" s="1"/>
  <c r="Q33" i="2"/>
  <c r="C15" i="9" s="1"/>
  <c r="C29" i="2"/>
  <c r="O29" i="2"/>
  <c r="S27" i="2"/>
  <c r="Q26" i="2"/>
  <c r="C8" i="9" s="1"/>
  <c r="O18" i="2"/>
  <c r="O19" i="2"/>
  <c r="S28" i="2"/>
  <c r="O9" i="2"/>
  <c r="O10" i="2"/>
  <c r="S12" i="2"/>
  <c r="S13" i="2"/>
  <c r="S20" i="2"/>
  <c r="S21" i="2"/>
  <c r="Q13" i="2"/>
  <c r="Q14" i="2"/>
  <c r="O31" i="2"/>
  <c r="O32" i="2"/>
  <c r="Q35" i="2"/>
  <c r="C17" i="9" s="1"/>
  <c r="Q36" i="2"/>
  <c r="C18" i="9" s="1"/>
  <c r="Q38" i="2"/>
  <c r="C20" i="9" s="1"/>
  <c r="S9" i="2"/>
  <c r="K17" i="2"/>
  <c r="K28" i="2"/>
  <c r="I28" i="2"/>
  <c r="D10" i="9" s="1"/>
  <c r="I17" i="2"/>
  <c r="F78" i="9" l="1"/>
  <c r="F83" i="9"/>
  <c r="N8" i="5"/>
  <c r="O8" i="5" s="1"/>
  <c r="X8" i="5"/>
  <c r="Y8" i="5" s="1"/>
  <c r="L8" i="5"/>
  <c r="M8" i="5" s="1"/>
  <c r="F81" i="9"/>
  <c r="T8" i="5"/>
  <c r="U8" i="5" s="1"/>
  <c r="P8" i="5"/>
  <c r="Q8" i="5" s="1"/>
  <c r="V8" i="5"/>
  <c r="W8" i="5" s="1"/>
  <c r="F79" i="9"/>
  <c r="D8" i="5"/>
  <c r="J8" i="5"/>
  <c r="K8" i="5" s="1"/>
  <c r="R8" i="5"/>
  <c r="S8" i="5" s="1"/>
  <c r="F8" i="5"/>
  <c r="G8" i="5" s="1"/>
  <c r="F66" i="9"/>
  <c r="F59" i="9"/>
  <c r="F76" i="9"/>
  <c r="F55" i="9"/>
  <c r="F60" i="9"/>
  <c r="F63" i="9"/>
  <c r="F67" i="9"/>
  <c r="F77" i="9"/>
  <c r="F71" i="9"/>
  <c r="F70" i="9"/>
  <c r="F69" i="9"/>
  <c r="F75" i="9"/>
  <c r="F74" i="9"/>
  <c r="F72" i="9"/>
  <c r="F65" i="9"/>
  <c r="F64" i="9"/>
  <c r="F73" i="9"/>
  <c r="F68" i="9"/>
  <c r="F56" i="9"/>
  <c r="F62" i="9"/>
  <c r="F57" i="9"/>
  <c r="F61" i="9"/>
  <c r="F50" i="9"/>
  <c r="F58" i="9"/>
  <c r="F52" i="9"/>
  <c r="F53" i="9"/>
  <c r="F54" i="9"/>
  <c r="F51" i="9"/>
  <c r="F49" i="9"/>
  <c r="D7" i="5"/>
  <c r="E7" i="5" s="1"/>
  <c r="F43" i="9"/>
  <c r="X7" i="5"/>
  <c r="Y7" i="5" s="1"/>
  <c r="L7" i="5"/>
  <c r="M7" i="5" s="1"/>
  <c r="T7" i="5"/>
  <c r="U7" i="5" s="1"/>
  <c r="F44" i="9"/>
  <c r="V7" i="5"/>
  <c r="W7" i="5" s="1"/>
  <c r="F46" i="9"/>
  <c r="F45" i="9"/>
  <c r="F34" i="9"/>
  <c r="P7" i="5"/>
  <c r="Q7" i="5" s="1"/>
  <c r="F29" i="9"/>
  <c r="N7" i="5"/>
  <c r="O7" i="5" s="1"/>
  <c r="F7" i="5"/>
  <c r="G7" i="5" s="1"/>
  <c r="F48" i="9"/>
  <c r="F47" i="9"/>
  <c r="J7" i="5"/>
  <c r="K7" i="5" s="1"/>
  <c r="R7" i="5"/>
  <c r="S7" i="5" s="1"/>
  <c r="F39" i="9"/>
  <c r="F28" i="9"/>
  <c r="F40" i="9"/>
  <c r="F35" i="9"/>
  <c r="F41" i="9"/>
  <c r="F42" i="9"/>
  <c r="F38" i="9"/>
  <c r="F37" i="9"/>
  <c r="F31" i="9"/>
  <c r="F33" i="9"/>
  <c r="F36" i="9"/>
  <c r="F32" i="9"/>
  <c r="F30" i="9"/>
  <c r="F27" i="9"/>
  <c r="F26" i="9"/>
  <c r="F16" i="9"/>
  <c r="F23" i="9"/>
  <c r="F20" i="9"/>
  <c r="F5" i="9"/>
  <c r="F6" i="9"/>
  <c r="F8" i="9"/>
  <c r="F14" i="9"/>
  <c r="F15" i="9"/>
  <c r="F25" i="9"/>
  <c r="F24" i="9"/>
  <c r="F7" i="9"/>
  <c r="F18" i="9"/>
  <c r="F17" i="9"/>
  <c r="F21" i="9"/>
  <c r="F11" i="9"/>
  <c r="F22" i="9"/>
  <c r="F13" i="9"/>
  <c r="F9" i="9"/>
  <c r="F12" i="9"/>
  <c r="F19" i="9"/>
  <c r="F10" i="9"/>
  <c r="D6" i="5"/>
  <c r="E6" i="5" s="1"/>
  <c r="F6" i="5"/>
  <c r="G6" i="5" s="1"/>
  <c r="L6" i="5"/>
  <c r="M6" i="5" s="1"/>
  <c r="P6" i="5"/>
  <c r="Q6" i="5" s="1"/>
  <c r="J6" i="5"/>
  <c r="K6" i="5" s="1"/>
  <c r="T6" i="5"/>
  <c r="U6" i="5" s="1"/>
  <c r="R6" i="5"/>
  <c r="S6" i="5" s="1"/>
  <c r="N6" i="5"/>
  <c r="O6" i="5" s="1"/>
  <c r="H13" i="5"/>
  <c r="E13" i="5"/>
  <c r="I13" i="5" s="1"/>
  <c r="H9" i="5"/>
  <c r="E9" i="5"/>
  <c r="I9" i="5" s="1"/>
  <c r="V6" i="5"/>
  <c r="W6" i="5" s="1"/>
  <c r="E8" i="5"/>
  <c r="H10" i="5"/>
  <c r="E10" i="5"/>
  <c r="I10" i="5" s="1"/>
  <c r="X6" i="5"/>
  <c r="Y6" i="5" s="1"/>
  <c r="H11" i="5"/>
  <c r="E11" i="5"/>
  <c r="I11" i="5" s="1"/>
  <c r="H12" i="5"/>
  <c r="E12" i="5"/>
  <c r="I12" i="5" s="1"/>
  <c r="H14" i="5"/>
  <c r="E14" i="5"/>
  <c r="I14" i="5" s="1"/>
  <c r="H15" i="5"/>
  <c r="E15" i="5"/>
  <c r="I15" i="5" s="1"/>
  <c r="I7" i="8"/>
  <c r="J6" i="8" s="1"/>
  <c r="B11" i="8"/>
  <c r="B12" i="8"/>
  <c r="D6" i="8"/>
  <c r="B17" i="8"/>
  <c r="J11" i="8"/>
  <c r="D11" i="8"/>
  <c r="E21" i="8"/>
  <c r="C21" i="8"/>
  <c r="F12" i="8"/>
  <c r="O6" i="8"/>
  <c r="O12" i="8"/>
  <c r="F21" i="8"/>
  <c r="F6" i="8"/>
  <c r="F7" i="8"/>
  <c r="D17" i="8"/>
  <c r="B6" i="8"/>
  <c r="B16" i="8"/>
  <c r="D16" i="8"/>
  <c r="F22" i="8"/>
  <c r="O7" i="8"/>
  <c r="D12" i="8"/>
  <c r="F11" i="8"/>
  <c r="B7" i="8"/>
  <c r="D7" i="8"/>
  <c r="B5" i="5"/>
  <c r="J5" i="5"/>
  <c r="L5" i="5"/>
  <c r="T5" i="5"/>
  <c r="D5" i="5"/>
  <c r="B14" i="5"/>
  <c r="C14" i="5" s="1"/>
  <c r="B10" i="5"/>
  <c r="C10" i="5" s="1"/>
  <c r="B6" i="5"/>
  <c r="C6" i="5" s="1"/>
  <c r="N5" i="5"/>
  <c r="X5" i="5"/>
  <c r="V5" i="5"/>
  <c r="F5" i="5"/>
  <c r="B11" i="5"/>
  <c r="C11" i="5" s="1"/>
  <c r="B7" i="5"/>
  <c r="C7" i="5" s="1"/>
  <c r="B15" i="5"/>
  <c r="C15" i="5" s="1"/>
  <c r="B8" i="5"/>
  <c r="C8" i="5" s="1"/>
  <c r="B9" i="5"/>
  <c r="C9" i="5" s="1"/>
  <c r="R5" i="5"/>
  <c r="P5" i="5"/>
  <c r="B13" i="5"/>
  <c r="C13" i="5" s="1"/>
  <c r="B12" i="5"/>
  <c r="C12" i="5" s="1"/>
  <c r="T6" i="1"/>
  <c r="S6" i="1"/>
  <c r="AD6" i="2" s="1"/>
  <c r="AF5" i="5" s="1"/>
  <c r="U6" i="1"/>
  <c r="AF6" i="2" s="1"/>
  <c r="V6" i="1"/>
  <c r="AG6" i="2" s="1"/>
  <c r="Q26" i="1"/>
  <c r="AB26" i="2" s="1"/>
  <c r="Q25" i="1"/>
  <c r="AB25" i="2" s="1"/>
  <c r="I8" i="5" l="1"/>
  <c r="H8" i="5"/>
  <c r="I7" i="5"/>
  <c r="H7" i="5"/>
  <c r="I6" i="5"/>
  <c r="H6" i="5"/>
  <c r="D17" i="5"/>
  <c r="C16" i="8"/>
  <c r="C11" i="8"/>
  <c r="E6" i="8"/>
  <c r="AE6" i="2"/>
  <c r="AG5" i="5" s="1"/>
  <c r="E11" i="8"/>
  <c r="C6" i="8"/>
  <c r="E16" i="8"/>
  <c r="G21" i="8"/>
  <c r="G11" i="8"/>
  <c r="G6" i="8"/>
  <c r="H5" i="5"/>
  <c r="S5" i="5"/>
  <c r="S17" i="5" s="1"/>
  <c r="R17" i="5"/>
  <c r="A7" i="6" s="1"/>
  <c r="G5" i="5"/>
  <c r="G17" i="5" s="1"/>
  <c r="F17" i="5"/>
  <c r="Y5" i="5"/>
  <c r="Y17" i="5" s="1"/>
  <c r="X17" i="5"/>
  <c r="Q5" i="5"/>
  <c r="Q17" i="5" s="1"/>
  <c r="P17" i="5"/>
  <c r="G7" i="6" s="1"/>
  <c r="W5" i="5"/>
  <c r="W17" i="5" s="1"/>
  <c r="V17" i="5"/>
  <c r="O5" i="5"/>
  <c r="O17" i="5" s="1"/>
  <c r="N17" i="5"/>
  <c r="J7" i="6" s="1"/>
  <c r="E5" i="5"/>
  <c r="U5" i="5"/>
  <c r="U17" i="5" s="1"/>
  <c r="T17" i="5"/>
  <c r="M5" i="5"/>
  <c r="M17" i="5" s="1"/>
  <c r="L17" i="5"/>
  <c r="K5" i="5"/>
  <c r="K17" i="5" s="1"/>
  <c r="J17" i="5"/>
  <c r="C5" i="5"/>
  <c r="C17" i="5" s="1"/>
  <c r="B17" i="5"/>
  <c r="AD5" i="5"/>
  <c r="AD17" i="5" s="1"/>
  <c r="AI5" i="5"/>
  <c r="AI17" i="5" s="1"/>
  <c r="AH5" i="5"/>
  <c r="AH17" i="5" s="1"/>
  <c r="H17" i="5" l="1"/>
  <c r="D7" i="6"/>
  <c r="AG17" i="5"/>
  <c r="T7" i="6" s="1"/>
  <c r="AF17" i="5"/>
  <c r="N7" i="6" s="1"/>
  <c r="E17" i="5"/>
  <c r="I5" i="5"/>
  <c r="I17" i="5" s="1"/>
  <c r="N46" i="1" l="1"/>
  <c r="Y46" i="2" s="1"/>
  <c r="N52" i="1"/>
  <c r="Y52" i="2" s="1"/>
  <c r="N64" i="1"/>
  <c r="Y64" i="2" s="1"/>
  <c r="N25" i="1"/>
  <c r="Y25" i="2" s="1"/>
  <c r="O25" i="1"/>
  <c r="Z25" i="2" s="1"/>
  <c r="P25" i="1"/>
  <c r="AA25" i="2" s="1"/>
  <c r="N26" i="1"/>
  <c r="Y26" i="2" s="1"/>
  <c r="O26" i="1"/>
  <c r="Z26" i="2" s="1"/>
  <c r="P26" i="1"/>
  <c r="AA26" i="2" s="1"/>
  <c r="N27" i="1"/>
  <c r="Y27" i="2" s="1"/>
  <c r="O27" i="1"/>
  <c r="Z27" i="2" s="1"/>
  <c r="P27" i="1"/>
  <c r="AA27" i="2" s="1"/>
  <c r="N28" i="1"/>
  <c r="Y28" i="2" s="1"/>
  <c r="O28" i="1"/>
  <c r="Z28" i="2" s="1"/>
  <c r="P28" i="1"/>
  <c r="AA28" i="2" s="1"/>
  <c r="N29" i="1"/>
  <c r="Y29" i="2" s="1"/>
  <c r="O29" i="1"/>
  <c r="Z29" i="2" s="1"/>
  <c r="P29" i="1"/>
  <c r="AA29" i="2" s="1"/>
  <c r="N30" i="1"/>
  <c r="Y30" i="2" s="1"/>
  <c r="O30" i="1"/>
  <c r="Z30" i="2" s="1"/>
  <c r="P30" i="1"/>
  <c r="AA30" i="2" s="1"/>
  <c r="N31" i="1"/>
  <c r="Y31" i="2" s="1"/>
  <c r="O31" i="1"/>
  <c r="Z31" i="2" s="1"/>
  <c r="P31" i="1"/>
  <c r="AA31" i="2" s="1"/>
  <c r="N32" i="1"/>
  <c r="Y32" i="2" s="1"/>
  <c r="O32" i="1"/>
  <c r="Z32" i="2" s="1"/>
  <c r="P32" i="1"/>
  <c r="AA32" i="2" s="1"/>
  <c r="N33" i="1"/>
  <c r="Y33" i="2" s="1"/>
  <c r="O33" i="1"/>
  <c r="Z33" i="2" s="1"/>
  <c r="P33" i="1"/>
  <c r="AA33" i="2" s="1"/>
  <c r="N34" i="1"/>
  <c r="Y34" i="2" s="1"/>
  <c r="O34" i="1"/>
  <c r="Z34" i="2" s="1"/>
  <c r="P34" i="1"/>
  <c r="AA34" i="2" s="1"/>
  <c r="N35" i="1"/>
  <c r="Y35" i="2" s="1"/>
  <c r="O35" i="1"/>
  <c r="Z35" i="2" s="1"/>
  <c r="P35" i="1"/>
  <c r="AA35" i="2" s="1"/>
  <c r="N36" i="1"/>
  <c r="Y36" i="2" s="1"/>
  <c r="O36" i="1"/>
  <c r="Z36" i="2" s="1"/>
  <c r="P36" i="1"/>
  <c r="AA36" i="2" s="1"/>
  <c r="N37" i="1"/>
  <c r="Y37" i="2" s="1"/>
  <c r="O37" i="1"/>
  <c r="Z37" i="2" s="1"/>
  <c r="P37" i="1"/>
  <c r="AA37" i="2" s="1"/>
  <c r="N38" i="1"/>
  <c r="Y38" i="2" s="1"/>
  <c r="O38" i="1"/>
  <c r="Z38" i="2" s="1"/>
  <c r="P38" i="1"/>
  <c r="AA38" i="2" s="1"/>
  <c r="N39" i="1"/>
  <c r="Y39" i="2" s="1"/>
  <c r="O39" i="1"/>
  <c r="Z39" i="2" s="1"/>
  <c r="P39" i="1"/>
  <c r="AA39" i="2" s="1"/>
  <c r="N40" i="1"/>
  <c r="Y40" i="2" s="1"/>
  <c r="O40" i="1"/>
  <c r="Z40" i="2" s="1"/>
  <c r="P40" i="1"/>
  <c r="AA40" i="2" s="1"/>
  <c r="N41" i="1"/>
  <c r="Y41" i="2" s="1"/>
  <c r="O41" i="1"/>
  <c r="Z41" i="2" s="1"/>
  <c r="P41" i="1"/>
  <c r="AA41" i="2" s="1"/>
  <c r="N42" i="1"/>
  <c r="Y42" i="2" s="1"/>
  <c r="O42" i="1"/>
  <c r="Z42" i="2" s="1"/>
  <c r="P42" i="1"/>
  <c r="AA42" i="2" s="1"/>
  <c r="N43" i="1"/>
  <c r="Y43" i="2" s="1"/>
  <c r="O43" i="1"/>
  <c r="Z43" i="2" s="1"/>
  <c r="P43" i="1"/>
  <c r="AA43" i="2" s="1"/>
  <c r="N44" i="1"/>
  <c r="Y44" i="2" s="1"/>
  <c r="O44" i="1"/>
  <c r="Z44" i="2" s="1"/>
  <c r="P44" i="1"/>
  <c r="AA44" i="2" s="1"/>
  <c r="N45" i="1"/>
  <c r="Y45" i="2" s="1"/>
  <c r="O45" i="1"/>
  <c r="Z45" i="2" s="1"/>
  <c r="P45" i="1"/>
  <c r="AA45" i="2" s="1"/>
  <c r="O46" i="1"/>
  <c r="Z46" i="2" s="1"/>
  <c r="P46" i="1"/>
  <c r="AA46" i="2" s="1"/>
  <c r="N47" i="1"/>
  <c r="Y47" i="2" s="1"/>
  <c r="O47" i="1"/>
  <c r="Z47" i="2" s="1"/>
  <c r="P47" i="1"/>
  <c r="AA47" i="2" s="1"/>
  <c r="N48" i="1"/>
  <c r="Y48" i="2" s="1"/>
  <c r="O48" i="1"/>
  <c r="Z48" i="2" s="1"/>
  <c r="P48" i="1"/>
  <c r="AA48" i="2" s="1"/>
  <c r="N49" i="1"/>
  <c r="Y49" i="2" s="1"/>
  <c r="O49" i="1"/>
  <c r="Z49" i="2" s="1"/>
  <c r="P49" i="1"/>
  <c r="AA49" i="2" s="1"/>
  <c r="N50" i="1"/>
  <c r="Y50" i="2" s="1"/>
  <c r="O50" i="1"/>
  <c r="Z50" i="2" s="1"/>
  <c r="P50" i="1"/>
  <c r="AA50" i="2" s="1"/>
  <c r="N51" i="1"/>
  <c r="Y51" i="2" s="1"/>
  <c r="O51" i="1"/>
  <c r="Z51" i="2" s="1"/>
  <c r="P51" i="1"/>
  <c r="AA51" i="2" s="1"/>
  <c r="O52" i="1"/>
  <c r="Z52" i="2" s="1"/>
  <c r="P52" i="1"/>
  <c r="AA52" i="2" s="1"/>
  <c r="N53" i="1"/>
  <c r="Y53" i="2" s="1"/>
  <c r="O53" i="1"/>
  <c r="Z53" i="2" s="1"/>
  <c r="P53" i="1"/>
  <c r="AA53" i="2" s="1"/>
  <c r="N54" i="1"/>
  <c r="Y54" i="2" s="1"/>
  <c r="O54" i="1"/>
  <c r="Z54" i="2" s="1"/>
  <c r="P54" i="1"/>
  <c r="AA54" i="2" s="1"/>
  <c r="N55" i="1"/>
  <c r="Y55" i="2" s="1"/>
  <c r="O55" i="1"/>
  <c r="Z55" i="2" s="1"/>
  <c r="P55" i="1"/>
  <c r="AA55" i="2" s="1"/>
  <c r="N56" i="1"/>
  <c r="Y56" i="2" s="1"/>
  <c r="O56" i="1"/>
  <c r="Z56" i="2" s="1"/>
  <c r="P56" i="1"/>
  <c r="AA56" i="2" s="1"/>
  <c r="N57" i="1"/>
  <c r="Y57" i="2" s="1"/>
  <c r="O57" i="1"/>
  <c r="Z57" i="2" s="1"/>
  <c r="P57" i="1"/>
  <c r="AA57" i="2" s="1"/>
  <c r="N58" i="1"/>
  <c r="Y58" i="2" s="1"/>
  <c r="O58" i="1"/>
  <c r="Z58" i="2" s="1"/>
  <c r="P58" i="1"/>
  <c r="AA58" i="2" s="1"/>
  <c r="N59" i="1"/>
  <c r="Y59" i="2" s="1"/>
  <c r="O59" i="1"/>
  <c r="Z59" i="2" s="1"/>
  <c r="P59" i="1"/>
  <c r="AA59" i="2" s="1"/>
  <c r="N60" i="1"/>
  <c r="Y60" i="2" s="1"/>
  <c r="O60" i="1"/>
  <c r="Z60" i="2" s="1"/>
  <c r="P60" i="1"/>
  <c r="AA60" i="2" s="1"/>
  <c r="N61" i="1"/>
  <c r="Y61" i="2" s="1"/>
  <c r="O61" i="1"/>
  <c r="Z61" i="2" s="1"/>
  <c r="P61" i="1"/>
  <c r="AA61" i="2" s="1"/>
  <c r="N62" i="1"/>
  <c r="Y62" i="2" s="1"/>
  <c r="O62" i="1"/>
  <c r="Z62" i="2" s="1"/>
  <c r="P62" i="1"/>
  <c r="AA62" i="2" s="1"/>
  <c r="N63" i="1"/>
  <c r="Y63" i="2" s="1"/>
  <c r="O63" i="1"/>
  <c r="Z63" i="2" s="1"/>
  <c r="P63" i="1"/>
  <c r="AA63" i="2" s="1"/>
  <c r="O64" i="1"/>
  <c r="Z64" i="2" s="1"/>
  <c r="P64" i="1"/>
  <c r="AA64" i="2" s="1"/>
  <c r="O65" i="1"/>
  <c r="Z65" i="2" s="1"/>
  <c r="P65" i="1"/>
  <c r="AA65" i="2" s="1"/>
  <c r="O66" i="1"/>
  <c r="Z66" i="2" s="1"/>
  <c r="P66" i="1"/>
  <c r="AA66" i="2" s="1"/>
  <c r="N67" i="1"/>
  <c r="Y67" i="2" s="1"/>
  <c r="O67" i="1"/>
  <c r="Z67" i="2" s="1"/>
  <c r="P67" i="1"/>
  <c r="AA67" i="2" s="1"/>
  <c r="N68" i="1"/>
  <c r="Y68" i="2" s="1"/>
  <c r="O68" i="1"/>
  <c r="Z68" i="2" s="1"/>
  <c r="P68" i="1"/>
  <c r="AA68" i="2" s="1"/>
  <c r="N69" i="1"/>
  <c r="Y69" i="2" s="1"/>
  <c r="O69" i="1"/>
  <c r="Z69" i="2" s="1"/>
  <c r="P69" i="1"/>
  <c r="AA69" i="2" s="1"/>
  <c r="N70" i="1"/>
  <c r="Y70" i="2" s="1"/>
  <c r="O70" i="1"/>
  <c r="Z70" i="2" s="1"/>
  <c r="P70" i="1"/>
  <c r="AA70" i="2" s="1"/>
  <c r="N71" i="1"/>
  <c r="Y71" i="2" s="1"/>
  <c r="O71" i="1"/>
  <c r="Z71" i="2" s="1"/>
  <c r="P71" i="1"/>
  <c r="AA71" i="2" s="1"/>
  <c r="N72" i="1"/>
  <c r="Y72" i="2" s="1"/>
  <c r="O72" i="1"/>
  <c r="Z72" i="2" s="1"/>
  <c r="P72" i="1"/>
  <c r="AA72" i="2" s="1"/>
  <c r="N73" i="1"/>
  <c r="Y73" i="2" s="1"/>
  <c r="O73" i="1"/>
  <c r="Z73" i="2" s="1"/>
  <c r="P73" i="1"/>
  <c r="AA73" i="2" s="1"/>
  <c r="N74" i="1"/>
  <c r="Y74" i="2" s="1"/>
  <c r="O74" i="1"/>
  <c r="Z74" i="2" s="1"/>
  <c r="P74" i="1"/>
  <c r="AA74" i="2" s="1"/>
  <c r="N75" i="1"/>
  <c r="Y75" i="2" s="1"/>
  <c r="O75" i="1"/>
  <c r="Z75" i="2" s="1"/>
  <c r="P75" i="1"/>
  <c r="AA75" i="2" s="1"/>
  <c r="N76" i="1"/>
  <c r="Y76" i="2" s="1"/>
  <c r="O76" i="1"/>
  <c r="Z76" i="2" s="1"/>
  <c r="P76" i="1"/>
  <c r="AA76" i="2" s="1"/>
  <c r="N77" i="1"/>
  <c r="Y77" i="2" s="1"/>
  <c r="O77" i="1"/>
  <c r="Z77" i="2" s="1"/>
  <c r="P77" i="1"/>
  <c r="AA77" i="2" s="1"/>
  <c r="N78" i="1"/>
  <c r="Y78" i="2" s="1"/>
  <c r="O78" i="1"/>
  <c r="Z78" i="2" s="1"/>
  <c r="P78" i="1"/>
  <c r="AA78" i="2" s="1"/>
  <c r="N79" i="1"/>
  <c r="Y79" i="2" s="1"/>
  <c r="O79" i="1"/>
  <c r="Z79" i="2" s="1"/>
  <c r="P79" i="1"/>
  <c r="AA79" i="2" s="1"/>
  <c r="N80" i="1"/>
  <c r="Y80" i="2" s="1"/>
  <c r="O80" i="1"/>
  <c r="Z80" i="2" s="1"/>
  <c r="P80" i="1"/>
  <c r="AA80" i="2" s="1"/>
  <c r="N81" i="1"/>
  <c r="Y81" i="2" s="1"/>
  <c r="O81" i="1"/>
  <c r="Z81" i="2" s="1"/>
  <c r="P81" i="1"/>
  <c r="AA81" i="2" s="1"/>
  <c r="N82" i="1"/>
  <c r="Y82" i="2" s="1"/>
  <c r="O82" i="1"/>
  <c r="Z82" i="2" s="1"/>
  <c r="P82" i="1"/>
  <c r="AA82" i="2" s="1"/>
  <c r="N83" i="1"/>
  <c r="Y83" i="2" s="1"/>
  <c r="O83" i="1"/>
  <c r="Z83" i="2" s="1"/>
  <c r="P83" i="1"/>
  <c r="AA83" i="2" s="1"/>
  <c r="N84" i="1"/>
  <c r="Y84" i="2" s="1"/>
  <c r="O84" i="1"/>
  <c r="Z84" i="2" s="1"/>
  <c r="P84" i="1"/>
  <c r="AA84" i="2" s="1"/>
  <c r="N85" i="1"/>
  <c r="Y85" i="2" s="1"/>
  <c r="O85" i="1"/>
  <c r="Z85" i="2" s="1"/>
  <c r="P85" i="1"/>
  <c r="AA85" i="2" s="1"/>
  <c r="N86" i="1"/>
  <c r="Y86" i="2" s="1"/>
  <c r="O86" i="1"/>
  <c r="Z86" i="2" s="1"/>
  <c r="P86" i="1"/>
  <c r="AA86" i="2" s="1"/>
  <c r="N87" i="1"/>
  <c r="Y87" i="2" s="1"/>
  <c r="O87" i="1"/>
  <c r="Z87" i="2" s="1"/>
  <c r="P87" i="1"/>
  <c r="AA87" i="2" s="1"/>
  <c r="N88" i="1"/>
  <c r="Y88" i="2" s="1"/>
  <c r="O88" i="1"/>
  <c r="Z88" i="2" s="1"/>
  <c r="P88" i="1"/>
  <c r="AA88" i="2" s="1"/>
  <c r="N89" i="1"/>
  <c r="Y89" i="2" s="1"/>
  <c r="O89" i="1"/>
  <c r="Z89" i="2" s="1"/>
  <c r="P89" i="1"/>
  <c r="AA89" i="2" s="1"/>
  <c r="N90" i="1"/>
  <c r="Y90" i="2" s="1"/>
  <c r="O90" i="1"/>
  <c r="Z90" i="2" s="1"/>
  <c r="P90" i="1"/>
  <c r="AA90" i="2" s="1"/>
  <c r="N91" i="1"/>
  <c r="Y91" i="2" s="1"/>
  <c r="O91" i="1"/>
  <c r="Z91" i="2" s="1"/>
  <c r="P91" i="1"/>
  <c r="AA91" i="2" s="1"/>
  <c r="N92" i="1"/>
  <c r="Y92" i="2" s="1"/>
  <c r="O92" i="1"/>
  <c r="Z92" i="2" s="1"/>
  <c r="P92" i="1"/>
  <c r="AA92" i="2" s="1"/>
  <c r="N93" i="1"/>
  <c r="Y93" i="2" s="1"/>
  <c r="O93" i="1"/>
  <c r="Z93" i="2" s="1"/>
  <c r="P93" i="1"/>
  <c r="AA93" i="2" s="1"/>
  <c r="N94" i="1"/>
  <c r="Y94" i="2" s="1"/>
  <c r="O94" i="1"/>
  <c r="Z94" i="2" s="1"/>
  <c r="P94" i="1"/>
  <c r="AA94" i="2" s="1"/>
  <c r="N95" i="1"/>
  <c r="Y95" i="2" s="1"/>
  <c r="O95" i="1"/>
  <c r="Z95" i="2" s="1"/>
  <c r="P95" i="1"/>
  <c r="AA95" i="2" s="1"/>
  <c r="N96" i="1"/>
  <c r="Y96" i="2" s="1"/>
  <c r="O96" i="1"/>
  <c r="Z96" i="2" s="1"/>
  <c r="P96" i="1"/>
  <c r="AA96" i="2" s="1"/>
  <c r="N97" i="1"/>
  <c r="Y97" i="2" s="1"/>
  <c r="O97" i="1"/>
  <c r="Z97" i="2" s="1"/>
  <c r="P97" i="1"/>
  <c r="AA97" i="2" s="1"/>
  <c r="N98" i="1"/>
  <c r="Y98" i="2" s="1"/>
  <c r="O98" i="1"/>
  <c r="Z98" i="2" s="1"/>
  <c r="P98" i="1"/>
  <c r="AA98" i="2" s="1"/>
  <c r="N99" i="1"/>
  <c r="Y99" i="2" s="1"/>
  <c r="O99" i="1"/>
  <c r="Z99" i="2" s="1"/>
  <c r="P99" i="1"/>
  <c r="AA99" i="2" s="1"/>
  <c r="N100" i="1"/>
  <c r="Y100" i="2" s="1"/>
  <c r="O100" i="1"/>
  <c r="Z100" i="2" s="1"/>
  <c r="P100" i="1"/>
  <c r="AA100" i="2" s="1"/>
  <c r="N101" i="1"/>
  <c r="Y101" i="2" s="1"/>
  <c r="O101" i="1"/>
  <c r="Z101" i="2" s="1"/>
  <c r="P101" i="1"/>
  <c r="AA101" i="2" s="1"/>
  <c r="N102" i="1"/>
  <c r="Y102" i="2" s="1"/>
  <c r="O102" i="1"/>
  <c r="Z102" i="2" s="1"/>
  <c r="P102" i="1"/>
  <c r="AA102" i="2" s="1"/>
  <c r="N103" i="1"/>
  <c r="Y103" i="2" s="1"/>
  <c r="O103" i="1"/>
  <c r="Z103" i="2" s="1"/>
  <c r="P103" i="1"/>
  <c r="AA103" i="2" s="1"/>
  <c r="N104" i="1"/>
  <c r="Y104" i="2" s="1"/>
  <c r="O104" i="1"/>
  <c r="Z104" i="2" s="1"/>
  <c r="P104" i="1"/>
  <c r="AA104" i="2" s="1"/>
  <c r="N105" i="1"/>
  <c r="Y105" i="2" s="1"/>
  <c r="O105" i="1"/>
  <c r="Z105" i="2" s="1"/>
  <c r="P105" i="1"/>
  <c r="AA105" i="2" s="1"/>
  <c r="N106" i="1"/>
  <c r="Y106" i="2" s="1"/>
  <c r="O106" i="1"/>
  <c r="Z106" i="2" s="1"/>
  <c r="P106" i="1"/>
  <c r="AA106" i="2" s="1"/>
  <c r="N107" i="1"/>
  <c r="Y107" i="2" s="1"/>
  <c r="O107" i="1"/>
  <c r="Z107" i="2" s="1"/>
  <c r="P107" i="1"/>
  <c r="AA107" i="2" s="1"/>
  <c r="N108" i="1"/>
  <c r="Y108" i="2" s="1"/>
  <c r="O108" i="1"/>
  <c r="Z108" i="2" s="1"/>
  <c r="P108" i="1"/>
  <c r="AA108" i="2" s="1"/>
  <c r="N109" i="1"/>
  <c r="Y109" i="2" s="1"/>
  <c r="O109" i="1"/>
  <c r="Z109" i="2" s="1"/>
  <c r="P109" i="1"/>
  <c r="AA109" i="2" s="1"/>
  <c r="N110" i="1"/>
  <c r="Y110" i="2" s="1"/>
  <c r="O110" i="1"/>
  <c r="Z110" i="2" s="1"/>
  <c r="P110" i="1"/>
  <c r="AA110" i="2" s="1"/>
  <c r="N111" i="1"/>
  <c r="Y111" i="2" s="1"/>
  <c r="O111" i="1"/>
  <c r="Z111" i="2" s="1"/>
  <c r="P111" i="1"/>
  <c r="AA111" i="2" s="1"/>
  <c r="N112" i="1"/>
  <c r="Y112" i="2" s="1"/>
  <c r="O112" i="1"/>
  <c r="Z112" i="2" s="1"/>
  <c r="P112" i="1"/>
  <c r="AA112" i="2" s="1"/>
  <c r="N113" i="1"/>
  <c r="Y113" i="2" s="1"/>
  <c r="O113" i="1"/>
  <c r="Z113" i="2" s="1"/>
  <c r="P113" i="1"/>
  <c r="AA113" i="2" s="1"/>
  <c r="N114" i="1"/>
  <c r="Y114" i="2" s="1"/>
  <c r="O114" i="1"/>
  <c r="Z114" i="2" s="1"/>
  <c r="P114" i="1"/>
  <c r="AA114" i="2" s="1"/>
  <c r="N115" i="1"/>
  <c r="Y115" i="2" s="1"/>
  <c r="O115" i="1"/>
  <c r="Z115" i="2" s="1"/>
  <c r="P115" i="1"/>
  <c r="AA115" i="2" s="1"/>
  <c r="N116" i="1"/>
  <c r="Y116" i="2" s="1"/>
  <c r="O116" i="1"/>
  <c r="Z116" i="2" s="1"/>
  <c r="P116" i="1"/>
  <c r="AA116" i="2" s="1"/>
  <c r="N117" i="1"/>
  <c r="Y117" i="2" s="1"/>
  <c r="O117" i="1"/>
  <c r="Z117" i="2" s="1"/>
  <c r="P117" i="1"/>
  <c r="AA117" i="2" s="1"/>
  <c r="N118" i="1"/>
  <c r="Y118" i="2" s="1"/>
  <c r="O118" i="1"/>
  <c r="Z118" i="2" s="1"/>
  <c r="P118" i="1"/>
  <c r="AA118" i="2" s="1"/>
  <c r="N119" i="1"/>
  <c r="Y119" i="2" s="1"/>
  <c r="O119" i="1"/>
  <c r="Z119" i="2" s="1"/>
  <c r="P119" i="1"/>
  <c r="AA119" i="2" s="1"/>
  <c r="N120" i="1"/>
  <c r="Y120" i="2" s="1"/>
  <c r="O120" i="1"/>
  <c r="Z120" i="2" s="1"/>
  <c r="P120" i="1"/>
  <c r="AA120" i="2" s="1"/>
  <c r="N121" i="1"/>
  <c r="Y121" i="2" s="1"/>
  <c r="O121" i="1"/>
  <c r="Z121" i="2" s="1"/>
  <c r="P121" i="1"/>
  <c r="AA121" i="2" s="1"/>
  <c r="N122" i="1"/>
  <c r="Y122" i="2" s="1"/>
  <c r="O122" i="1"/>
  <c r="Z122" i="2" s="1"/>
  <c r="P122" i="1"/>
  <c r="AA122" i="2" s="1"/>
  <c r="N123" i="1"/>
  <c r="Y123" i="2" s="1"/>
  <c r="O123" i="1"/>
  <c r="Z123" i="2" s="1"/>
  <c r="P123" i="1"/>
  <c r="AA123" i="2" s="1"/>
  <c r="N124" i="1"/>
  <c r="Y124" i="2" s="1"/>
  <c r="O124" i="1"/>
  <c r="Z124" i="2" s="1"/>
  <c r="P124" i="1"/>
  <c r="AA124" i="2" s="1"/>
  <c r="N125" i="1"/>
  <c r="Y125" i="2" s="1"/>
  <c r="O125" i="1"/>
  <c r="Z125" i="2" s="1"/>
  <c r="P125" i="1"/>
  <c r="AA125" i="2" s="1"/>
  <c r="N126" i="1"/>
  <c r="Y126" i="2" s="1"/>
  <c r="O126" i="1"/>
  <c r="Z126" i="2" s="1"/>
  <c r="P126" i="1"/>
  <c r="AA126" i="2" s="1"/>
  <c r="N127" i="1"/>
  <c r="Y127" i="2" s="1"/>
  <c r="O127" i="1"/>
  <c r="Z127" i="2" s="1"/>
  <c r="P127" i="1"/>
  <c r="AA127" i="2" s="1"/>
  <c r="N128" i="1"/>
  <c r="Y128" i="2" s="1"/>
  <c r="O128" i="1"/>
  <c r="Z128" i="2" s="1"/>
  <c r="P128" i="1"/>
  <c r="AA128" i="2" s="1"/>
  <c r="N129" i="1"/>
  <c r="Y129" i="2" s="1"/>
  <c r="O129" i="1"/>
  <c r="Z129" i="2" s="1"/>
  <c r="P129" i="1"/>
  <c r="AA129" i="2" s="1"/>
  <c r="N130" i="1"/>
  <c r="Y130" i="2" s="1"/>
  <c r="O130" i="1"/>
  <c r="Z130" i="2" s="1"/>
  <c r="P130" i="1"/>
  <c r="AA130" i="2" s="1"/>
  <c r="N131" i="1"/>
  <c r="Y131" i="2" s="1"/>
  <c r="O131" i="1"/>
  <c r="Z131" i="2" s="1"/>
  <c r="P131" i="1"/>
  <c r="AA131" i="2" s="1"/>
  <c r="N132" i="1"/>
  <c r="Y132" i="2" s="1"/>
  <c r="O132" i="1"/>
  <c r="Z132" i="2" s="1"/>
  <c r="P132" i="1"/>
  <c r="AA132" i="2" s="1"/>
  <c r="N133" i="1"/>
  <c r="Y133" i="2" s="1"/>
  <c r="O133" i="1"/>
  <c r="Z133" i="2" s="1"/>
  <c r="P133" i="1"/>
  <c r="AA133" i="2" s="1"/>
  <c r="N134" i="1"/>
  <c r="Y134" i="2" s="1"/>
  <c r="O134" i="1"/>
  <c r="Z134" i="2" s="1"/>
  <c r="P134" i="1"/>
  <c r="AA134" i="2" s="1"/>
  <c r="N135" i="1"/>
  <c r="Y135" i="2" s="1"/>
  <c r="O135" i="1"/>
  <c r="Z135" i="2" s="1"/>
  <c r="P135" i="1"/>
  <c r="AA135" i="2" s="1"/>
  <c r="N136" i="1"/>
  <c r="Y136" i="2" s="1"/>
  <c r="O136" i="1"/>
  <c r="Z136" i="2" s="1"/>
  <c r="P136" i="1"/>
  <c r="AA136" i="2" s="1"/>
  <c r="N137" i="1"/>
  <c r="Y137" i="2" s="1"/>
  <c r="O137" i="1"/>
  <c r="Z137" i="2" s="1"/>
  <c r="P137" i="1"/>
  <c r="AA137" i="2" s="1"/>
  <c r="N138" i="1"/>
  <c r="Y138" i="2" s="1"/>
  <c r="O138" i="1"/>
  <c r="Z138" i="2" s="1"/>
  <c r="P138" i="1"/>
  <c r="AA138" i="2" s="1"/>
  <c r="N139" i="1"/>
  <c r="Y139" i="2" s="1"/>
  <c r="O139" i="1"/>
  <c r="Z139" i="2" s="1"/>
  <c r="P139" i="1"/>
  <c r="AA139" i="2" s="1"/>
  <c r="N140" i="1"/>
  <c r="Y140" i="2" s="1"/>
  <c r="O140" i="1"/>
  <c r="Z140" i="2" s="1"/>
  <c r="P140" i="1"/>
  <c r="AA140" i="2" s="1"/>
  <c r="N141" i="1"/>
  <c r="Y141" i="2" s="1"/>
  <c r="O141" i="1"/>
  <c r="Z141" i="2" s="1"/>
  <c r="P141" i="1"/>
  <c r="AA141" i="2" s="1"/>
  <c r="N142" i="1"/>
  <c r="Y142" i="2" s="1"/>
  <c r="O142" i="1"/>
  <c r="Z142" i="2" s="1"/>
  <c r="P142" i="1"/>
  <c r="AA142" i="2" s="1"/>
  <c r="N143" i="1"/>
  <c r="Y143" i="2" s="1"/>
  <c r="O143" i="1"/>
  <c r="Z143" i="2" s="1"/>
  <c r="P143" i="1"/>
  <c r="AA143" i="2" s="1"/>
  <c r="N144" i="1"/>
  <c r="Y144" i="2" s="1"/>
  <c r="O144" i="1"/>
  <c r="Z144" i="2" s="1"/>
  <c r="P144" i="1"/>
  <c r="AA144" i="2" s="1"/>
  <c r="N145" i="1"/>
  <c r="Y145" i="2" s="1"/>
  <c r="O145" i="1"/>
  <c r="Z145" i="2" s="1"/>
  <c r="P145" i="1"/>
  <c r="AA145" i="2" s="1"/>
  <c r="N146" i="1"/>
  <c r="Y146" i="2" s="1"/>
  <c r="O146" i="1"/>
  <c r="Z146" i="2" s="1"/>
  <c r="P146" i="1"/>
  <c r="AA146" i="2" s="1"/>
  <c r="N147" i="1"/>
  <c r="Y147" i="2" s="1"/>
  <c r="O147" i="1"/>
  <c r="Z147" i="2" s="1"/>
  <c r="P147" i="1"/>
  <c r="AA147" i="2" s="1"/>
  <c r="N148" i="1"/>
  <c r="Y148" i="2" s="1"/>
  <c r="O148" i="1"/>
  <c r="Z148" i="2" s="1"/>
  <c r="P148" i="1"/>
  <c r="AA148" i="2" s="1"/>
  <c r="N149" i="1"/>
  <c r="Y149" i="2" s="1"/>
  <c r="O149" i="1"/>
  <c r="Z149" i="2" s="1"/>
  <c r="P149" i="1"/>
  <c r="AA149" i="2" s="1"/>
  <c r="N150" i="1"/>
  <c r="Y150" i="2" s="1"/>
  <c r="O150" i="1"/>
  <c r="Z150" i="2" s="1"/>
  <c r="P150" i="1"/>
  <c r="AA150" i="2" s="1"/>
  <c r="N151" i="1"/>
  <c r="Y151" i="2" s="1"/>
  <c r="O151" i="1"/>
  <c r="Z151" i="2" s="1"/>
  <c r="P151" i="1"/>
  <c r="AA151" i="2" s="1"/>
  <c r="N152" i="1"/>
  <c r="Y152" i="2" s="1"/>
  <c r="O152" i="1"/>
  <c r="Z152" i="2" s="1"/>
  <c r="P152" i="1"/>
  <c r="AA152" i="2" s="1"/>
  <c r="N153" i="1"/>
  <c r="Y153" i="2" s="1"/>
  <c r="O153" i="1"/>
  <c r="Z153" i="2" s="1"/>
  <c r="P153" i="1"/>
  <c r="AA153" i="2" s="1"/>
  <c r="N154" i="1"/>
  <c r="Y154" i="2" s="1"/>
  <c r="O154" i="1"/>
  <c r="Z154" i="2" s="1"/>
  <c r="P154" i="1"/>
  <c r="AA154" i="2" s="1"/>
  <c r="N155" i="1"/>
  <c r="Y155" i="2" s="1"/>
  <c r="O155" i="1"/>
  <c r="Z155" i="2" s="1"/>
  <c r="P155" i="1"/>
  <c r="AA155" i="2" s="1"/>
  <c r="N156" i="1"/>
  <c r="Y156" i="2" s="1"/>
  <c r="O156" i="1"/>
  <c r="Z156" i="2" s="1"/>
  <c r="P156" i="1"/>
  <c r="AA156" i="2" s="1"/>
  <c r="N157" i="1"/>
  <c r="Y157" i="2" s="1"/>
  <c r="O157" i="1"/>
  <c r="Z157" i="2" s="1"/>
  <c r="P157" i="1"/>
  <c r="AA157" i="2" s="1"/>
  <c r="N158" i="1"/>
  <c r="Y158" i="2" s="1"/>
  <c r="O158" i="1"/>
  <c r="Z158" i="2" s="1"/>
  <c r="P158" i="1"/>
  <c r="AA158" i="2" s="1"/>
  <c r="N159" i="1"/>
  <c r="Y159" i="2" s="1"/>
  <c r="O159" i="1"/>
  <c r="Z159" i="2" s="1"/>
  <c r="P159" i="1"/>
  <c r="AA159" i="2" s="1"/>
  <c r="N160" i="1"/>
  <c r="Y160" i="2" s="1"/>
  <c r="O160" i="1"/>
  <c r="Z160" i="2" s="1"/>
  <c r="P160" i="1"/>
  <c r="AA160" i="2" s="1"/>
  <c r="N161" i="1"/>
  <c r="Y161" i="2" s="1"/>
  <c r="O161" i="1"/>
  <c r="Z161" i="2" s="1"/>
  <c r="P161" i="1"/>
  <c r="AA161" i="2" s="1"/>
  <c r="N162" i="1"/>
  <c r="Y162" i="2" s="1"/>
  <c r="O162" i="1"/>
  <c r="Z162" i="2" s="1"/>
  <c r="P162" i="1"/>
  <c r="AA162" i="2" s="1"/>
  <c r="N163" i="1"/>
  <c r="Y163" i="2" s="1"/>
  <c r="O163" i="1"/>
  <c r="Z163" i="2" s="1"/>
  <c r="P163" i="1"/>
  <c r="AA163" i="2" s="1"/>
  <c r="N164" i="1"/>
  <c r="Y164" i="2" s="1"/>
  <c r="O164" i="1"/>
  <c r="Z164" i="2" s="1"/>
  <c r="P164" i="1"/>
  <c r="AA164" i="2" s="1"/>
  <c r="N165" i="1"/>
  <c r="Y165" i="2" s="1"/>
  <c r="O165" i="1"/>
  <c r="Z165" i="2" s="1"/>
  <c r="P165" i="1"/>
  <c r="AA165" i="2" s="1"/>
  <c r="N166" i="1"/>
  <c r="Y166" i="2" s="1"/>
  <c r="O166" i="1"/>
  <c r="Z166" i="2" s="1"/>
  <c r="P166" i="1"/>
  <c r="AA166" i="2" s="1"/>
  <c r="N167" i="1"/>
  <c r="Y167" i="2" s="1"/>
  <c r="O167" i="1"/>
  <c r="Z167" i="2" s="1"/>
  <c r="P167" i="1"/>
  <c r="AA167" i="2" s="1"/>
  <c r="N168" i="1"/>
  <c r="Y168" i="2" s="1"/>
  <c r="O168" i="1"/>
  <c r="Z168" i="2" s="1"/>
  <c r="P168" i="1"/>
  <c r="AA168" i="2" s="1"/>
  <c r="N169" i="1"/>
  <c r="Y169" i="2" s="1"/>
  <c r="O169" i="1"/>
  <c r="Z169" i="2" s="1"/>
  <c r="P169" i="1"/>
  <c r="AA169" i="2" s="1"/>
  <c r="N170" i="1"/>
  <c r="Y170" i="2" s="1"/>
  <c r="O170" i="1"/>
  <c r="Z170" i="2" s="1"/>
  <c r="P170" i="1"/>
  <c r="AA170" i="2" s="1"/>
  <c r="N171" i="1"/>
  <c r="Y171" i="2" s="1"/>
  <c r="O171" i="1"/>
  <c r="Z171" i="2" s="1"/>
  <c r="P171" i="1"/>
  <c r="AA171" i="2" s="1"/>
  <c r="N172" i="1"/>
  <c r="Y172" i="2" s="1"/>
  <c r="O172" i="1"/>
  <c r="Z172" i="2" s="1"/>
  <c r="P172" i="1"/>
  <c r="AA172" i="2" s="1"/>
  <c r="N173" i="1"/>
  <c r="Y173" i="2" s="1"/>
  <c r="O173" i="1"/>
  <c r="Z173" i="2" s="1"/>
  <c r="P173" i="1"/>
  <c r="AA173" i="2" s="1"/>
  <c r="N174" i="1"/>
  <c r="Y174" i="2" s="1"/>
  <c r="O174" i="1"/>
  <c r="Z174" i="2" s="1"/>
  <c r="P174" i="1"/>
  <c r="AA174" i="2" s="1"/>
  <c r="N175" i="1"/>
  <c r="Y175" i="2" s="1"/>
  <c r="O175" i="1"/>
  <c r="Z175" i="2" s="1"/>
  <c r="P175" i="1"/>
  <c r="AA175" i="2" s="1"/>
  <c r="N176" i="1"/>
  <c r="Y176" i="2" s="1"/>
  <c r="O176" i="1"/>
  <c r="Z176" i="2" s="1"/>
  <c r="P176" i="1"/>
  <c r="AA176" i="2" s="1"/>
  <c r="N177" i="1"/>
  <c r="Y177" i="2" s="1"/>
  <c r="O177" i="1"/>
  <c r="Z177" i="2" s="1"/>
  <c r="P177" i="1"/>
  <c r="AA177" i="2" s="1"/>
  <c r="AY5" i="2"/>
  <c r="AY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79" i="2"/>
  <c r="AY80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08" i="2"/>
  <c r="AY109" i="2"/>
  <c r="AY110" i="2"/>
  <c r="AY111" i="2"/>
  <c r="AY112" i="2"/>
  <c r="AY113" i="2"/>
  <c r="AY114" i="2"/>
  <c r="AY115" i="2"/>
  <c r="AY116" i="2"/>
  <c r="AY117" i="2"/>
  <c r="AY118" i="2"/>
  <c r="AY119" i="2"/>
  <c r="AY120" i="2"/>
  <c r="AY121" i="2"/>
  <c r="AY122" i="2"/>
  <c r="AY123" i="2"/>
  <c r="AY124" i="2"/>
  <c r="AY125" i="2"/>
  <c r="AY126" i="2"/>
  <c r="AY127" i="2"/>
  <c r="AY128" i="2"/>
  <c r="AY129" i="2"/>
  <c r="AY130" i="2"/>
  <c r="AY131" i="2"/>
  <c r="AY132" i="2"/>
  <c r="AY133" i="2"/>
  <c r="AY134" i="2"/>
  <c r="AY135" i="2"/>
  <c r="AY136" i="2"/>
  <c r="AY137" i="2"/>
  <c r="AY138" i="2"/>
  <c r="AY139" i="2"/>
  <c r="AY140" i="2"/>
  <c r="AY141" i="2"/>
  <c r="AY142" i="2"/>
  <c r="AY143" i="2"/>
  <c r="AY144" i="2"/>
  <c r="AY145" i="2"/>
  <c r="AY146" i="2"/>
  <c r="AY147" i="2"/>
  <c r="AY148" i="2"/>
  <c r="AY149" i="2"/>
  <c r="AY150" i="2"/>
  <c r="AY151" i="2"/>
  <c r="AY152" i="2"/>
  <c r="AY153" i="2"/>
  <c r="AY154" i="2"/>
  <c r="AY155" i="2"/>
  <c r="AY156" i="2"/>
  <c r="AY157" i="2"/>
  <c r="AY158" i="2"/>
  <c r="AY159" i="2"/>
  <c r="AY160" i="2"/>
  <c r="AY161" i="2"/>
  <c r="AY162" i="2"/>
  <c r="AY163" i="2"/>
  <c r="AY164" i="2"/>
  <c r="AY165" i="2"/>
  <c r="AY166" i="2"/>
  <c r="AY167" i="2"/>
  <c r="AY168" i="2"/>
  <c r="AY169" i="2"/>
  <c r="AY170" i="2"/>
  <c r="AY171" i="2"/>
  <c r="AY172" i="2"/>
  <c r="AY173" i="2"/>
  <c r="AY174" i="2"/>
  <c r="AY175" i="2"/>
  <c r="AY176" i="2"/>
  <c r="K21" i="8" l="1"/>
  <c r="K17" i="8"/>
  <c r="K22" i="8"/>
  <c r="K16" i="8"/>
  <c r="K11" i="8"/>
  <c r="K12" i="8"/>
  <c r="M12" i="8"/>
  <c r="M11" i="8"/>
  <c r="BA83" i="2"/>
  <c r="AK83" i="2"/>
  <c r="BA39" i="2"/>
  <c r="AK39" i="2"/>
  <c r="BA17" i="2"/>
  <c r="AK17" i="2"/>
  <c r="AK168" i="2"/>
  <c r="BA168" i="2"/>
  <c r="AJ161" i="2"/>
  <c r="AZ161" i="2"/>
  <c r="AK146" i="2"/>
  <c r="BA146" i="2"/>
  <c r="AJ139" i="2"/>
  <c r="AZ139" i="2"/>
  <c r="BA124" i="2"/>
  <c r="AK124" i="2"/>
  <c r="AJ117" i="2"/>
  <c r="AZ117" i="2"/>
  <c r="BA102" i="2"/>
  <c r="AK102" i="2"/>
  <c r="AZ95" i="2"/>
  <c r="AJ95" i="2"/>
  <c r="AK80" i="2"/>
  <c r="BA80" i="2"/>
  <c r="AZ73" i="2"/>
  <c r="AJ73" i="2"/>
  <c r="BA58" i="2"/>
  <c r="AK58" i="2"/>
  <c r="AJ51" i="2"/>
  <c r="AZ51" i="2"/>
  <c r="BA36" i="2"/>
  <c r="AK36" i="2"/>
  <c r="AZ29" i="2"/>
  <c r="AJ29" i="2"/>
  <c r="AZ7" i="2"/>
  <c r="AJ7" i="2"/>
  <c r="AK175" i="2"/>
  <c r="BA175" i="2"/>
  <c r="AZ168" i="2"/>
  <c r="AJ168" i="2"/>
  <c r="BA153" i="2"/>
  <c r="AK153" i="2"/>
  <c r="AZ146" i="2"/>
  <c r="AJ146" i="2"/>
  <c r="BA131" i="2"/>
  <c r="AK131" i="2"/>
  <c r="AZ124" i="2"/>
  <c r="AJ124" i="2"/>
  <c r="BA109" i="2"/>
  <c r="AK109" i="2"/>
  <c r="AZ102" i="2"/>
  <c r="AJ102" i="2"/>
  <c r="BA87" i="2"/>
  <c r="AK87" i="2"/>
  <c r="AZ80" i="2"/>
  <c r="AJ80" i="2"/>
  <c r="BA65" i="2"/>
  <c r="AK65" i="2"/>
  <c r="BA43" i="2"/>
  <c r="AK43" i="2"/>
  <c r="AZ36" i="2"/>
  <c r="AJ36" i="2"/>
  <c r="BA21" i="2"/>
  <c r="AK21" i="2"/>
  <c r="AZ14" i="2"/>
  <c r="AJ14" i="2"/>
  <c r="AC7" i="5"/>
  <c r="AZ175" i="2"/>
  <c r="AJ175" i="2"/>
  <c r="AK160" i="2"/>
  <c r="BA160" i="2"/>
  <c r="AZ153" i="2"/>
  <c r="AJ153" i="2"/>
  <c r="AK138" i="2"/>
  <c r="BA138" i="2"/>
  <c r="AZ131" i="2"/>
  <c r="AJ131" i="2"/>
  <c r="BA116" i="2"/>
  <c r="AK116" i="2"/>
  <c r="AZ109" i="2"/>
  <c r="AJ109" i="2"/>
  <c r="BA94" i="2"/>
  <c r="AK94" i="2"/>
  <c r="AZ87" i="2"/>
  <c r="AJ87" i="2"/>
  <c r="BA72" i="2"/>
  <c r="AK72" i="2"/>
  <c r="AZ65" i="2"/>
  <c r="AJ65" i="2"/>
  <c r="BA50" i="2"/>
  <c r="AK50" i="2"/>
  <c r="AZ43" i="2"/>
  <c r="AJ43" i="2"/>
  <c r="BA28" i="2"/>
  <c r="AK28" i="2"/>
  <c r="AZ21" i="2"/>
  <c r="AJ21" i="2"/>
  <c r="BA6" i="2"/>
  <c r="AK6" i="2"/>
  <c r="AB7" i="5"/>
  <c r="BA167" i="2"/>
  <c r="AK167" i="2"/>
  <c r="AZ160" i="2"/>
  <c r="AJ160" i="2"/>
  <c r="BA145" i="2"/>
  <c r="AK145" i="2"/>
  <c r="AZ138" i="2"/>
  <c r="AJ138" i="2"/>
  <c r="AK123" i="2"/>
  <c r="BA123" i="2"/>
  <c r="AZ116" i="2"/>
  <c r="AJ116" i="2"/>
  <c r="BA101" i="2"/>
  <c r="AK101" i="2"/>
  <c r="AZ94" i="2"/>
  <c r="AJ94" i="2"/>
  <c r="BA79" i="2"/>
  <c r="AK79" i="2"/>
  <c r="AZ72" i="2"/>
  <c r="AJ72" i="2"/>
  <c r="AK7" i="5"/>
  <c r="BA57" i="2"/>
  <c r="AK57" i="2"/>
  <c r="AZ50" i="2"/>
  <c r="AJ50" i="2"/>
  <c r="BA35" i="2"/>
  <c r="AK35" i="2"/>
  <c r="AZ28" i="2"/>
  <c r="AJ28" i="2"/>
  <c r="AK13" i="2"/>
  <c r="BA13" i="2"/>
  <c r="AZ6" i="2"/>
  <c r="AJ6" i="2"/>
  <c r="AK174" i="2"/>
  <c r="BA174" i="2"/>
  <c r="AZ167" i="2"/>
  <c r="AJ167" i="2"/>
  <c r="BA152" i="2"/>
  <c r="AK152" i="2"/>
  <c r="AJ145" i="2"/>
  <c r="AZ145" i="2"/>
  <c r="BA130" i="2"/>
  <c r="AK130" i="2"/>
  <c r="AZ123" i="2"/>
  <c r="AJ123" i="2"/>
  <c r="AK108" i="2"/>
  <c r="BA108" i="2"/>
  <c r="AZ101" i="2"/>
  <c r="AJ101" i="2"/>
  <c r="AK86" i="2"/>
  <c r="BA86" i="2"/>
  <c r="AJ79" i="2"/>
  <c r="AZ79" i="2"/>
  <c r="BA64" i="2"/>
  <c r="AK64" i="2"/>
  <c r="AZ57" i="2"/>
  <c r="AJ57" i="2"/>
  <c r="AK42" i="2"/>
  <c r="BA42" i="2"/>
  <c r="AJ35" i="2"/>
  <c r="AZ35" i="2"/>
  <c r="BA20" i="2"/>
  <c r="AK20" i="2"/>
  <c r="AK5" i="5"/>
  <c r="AJ174" i="2"/>
  <c r="AZ174" i="2"/>
  <c r="BA159" i="2"/>
  <c r="AK159" i="2"/>
  <c r="BA137" i="2"/>
  <c r="AK137" i="2"/>
  <c r="BA115" i="2"/>
  <c r="AK115" i="2"/>
  <c r="AZ86" i="2"/>
  <c r="AJ86" i="2"/>
  <c r="BA49" i="2"/>
  <c r="AK49" i="2"/>
  <c r="AZ42" i="2"/>
  <c r="AJ42" i="2"/>
  <c r="BA27" i="2"/>
  <c r="AK27" i="2"/>
  <c r="BA5" i="2"/>
  <c r="AK5" i="2"/>
  <c r="BA127" i="2"/>
  <c r="AK127" i="2"/>
  <c r="AK105" i="2"/>
  <c r="BA105" i="2"/>
  <c r="AJ98" i="2"/>
  <c r="AZ98" i="2"/>
  <c r="AZ76" i="2"/>
  <c r="AJ76" i="2"/>
  <c r="BA61" i="2"/>
  <c r="AK61" i="2"/>
  <c r="AZ54" i="2"/>
  <c r="AJ54" i="2"/>
  <c r="AJ10" i="2"/>
  <c r="AZ10" i="2"/>
  <c r="BA156" i="2"/>
  <c r="AK156" i="2"/>
  <c r="AZ127" i="2"/>
  <c r="AJ127" i="2"/>
  <c r="AZ39" i="2"/>
  <c r="AJ39" i="2"/>
  <c r="BA24" i="2"/>
  <c r="AK24" i="2"/>
  <c r="AZ17" i="2"/>
  <c r="AJ17" i="2"/>
  <c r="BA163" i="2"/>
  <c r="AK163" i="2"/>
  <c r="AZ156" i="2"/>
  <c r="AJ156" i="2"/>
  <c r="AK141" i="2"/>
  <c r="BA141" i="2"/>
  <c r="AZ134" i="2"/>
  <c r="AJ134" i="2"/>
  <c r="BA119" i="2"/>
  <c r="AK119" i="2"/>
  <c r="AJ112" i="2"/>
  <c r="AZ112" i="2"/>
  <c r="AZ90" i="2"/>
  <c r="AJ90" i="2"/>
  <c r="BA75" i="2"/>
  <c r="AK75" i="2"/>
  <c r="AZ68" i="2"/>
  <c r="AJ68" i="2"/>
  <c r="BA53" i="2"/>
  <c r="AK53" i="2"/>
  <c r="AZ46" i="2"/>
  <c r="AJ46" i="2"/>
  <c r="AK31" i="2"/>
  <c r="BA31" i="2"/>
  <c r="AZ24" i="2"/>
  <c r="AJ24" i="2"/>
  <c r="BA9" i="2"/>
  <c r="AK9" i="2"/>
  <c r="AC6" i="5"/>
  <c r="AZ141" i="2"/>
  <c r="AJ141" i="2"/>
  <c r="BA126" i="2"/>
  <c r="AK126" i="2"/>
  <c r="AZ119" i="2"/>
  <c r="AJ119" i="2"/>
  <c r="AJ97" i="2"/>
  <c r="AZ97" i="2"/>
  <c r="BA82" i="2"/>
  <c r="AK82" i="2"/>
  <c r="AZ75" i="2"/>
  <c r="AJ75" i="2"/>
  <c r="AJ53" i="2"/>
  <c r="AZ53" i="2"/>
  <c r="AK38" i="2"/>
  <c r="BA38" i="2"/>
  <c r="BA16" i="2"/>
  <c r="AK16" i="2"/>
  <c r="AZ9" i="2"/>
  <c r="AJ9" i="2"/>
  <c r="AB6" i="5"/>
  <c r="AZ148" i="2"/>
  <c r="AJ148" i="2"/>
  <c r="BA133" i="2"/>
  <c r="AK133" i="2"/>
  <c r="BA111" i="2"/>
  <c r="AK111" i="2"/>
  <c r="AZ104" i="2"/>
  <c r="AJ104" i="2"/>
  <c r="BA45" i="2"/>
  <c r="AK45" i="2"/>
  <c r="BA23" i="2"/>
  <c r="AK23" i="2"/>
  <c r="AZ16" i="2"/>
  <c r="AJ16" i="2"/>
  <c r="AC9" i="5"/>
  <c r="AA6" i="5"/>
  <c r="AK9" i="5"/>
  <c r="AZ111" i="2"/>
  <c r="AJ111" i="2"/>
  <c r="BA52" i="2"/>
  <c r="AK52" i="2"/>
  <c r="AZ45" i="2"/>
  <c r="AJ45" i="2"/>
  <c r="BA30" i="2"/>
  <c r="AK30" i="2"/>
  <c r="AZ23" i="2"/>
  <c r="AJ23" i="2"/>
  <c r="BA8" i="2"/>
  <c r="AK8" i="2"/>
  <c r="AB9" i="5"/>
  <c r="BA169" i="2"/>
  <c r="AK169" i="2"/>
  <c r="AJ140" i="2"/>
  <c r="AZ140" i="2"/>
  <c r="BA125" i="2"/>
  <c r="AK125" i="2"/>
  <c r="BA103" i="2"/>
  <c r="AK103" i="2"/>
  <c r="BA81" i="2"/>
  <c r="AK81" i="2"/>
  <c r="AZ74" i="2"/>
  <c r="AJ74" i="2"/>
  <c r="AK59" i="2"/>
  <c r="BA59" i="2"/>
  <c r="AJ52" i="2"/>
  <c r="AZ52" i="2"/>
  <c r="AK37" i="2"/>
  <c r="BA37" i="2"/>
  <c r="AJ30" i="2"/>
  <c r="AZ30" i="2"/>
  <c r="AJ8" i="2"/>
  <c r="AZ8" i="2"/>
  <c r="AA9" i="5"/>
  <c r="AC8" i="5"/>
  <c r="AK176" i="2"/>
  <c r="BA176" i="2"/>
  <c r="AJ147" i="2"/>
  <c r="AZ147" i="2"/>
  <c r="AK8" i="5"/>
  <c r="AZ59" i="2"/>
  <c r="AJ59" i="2"/>
  <c r="AK44" i="2"/>
  <c r="BA44" i="2"/>
  <c r="BA22" i="2"/>
  <c r="AK22" i="2"/>
  <c r="AJ15" i="2"/>
  <c r="AZ15" i="2"/>
  <c r="AB8" i="5"/>
  <c r="BA161" i="2"/>
  <c r="AK161" i="2"/>
  <c r="AZ110" i="2"/>
  <c r="AJ110" i="2"/>
  <c r="BA95" i="2"/>
  <c r="AK95" i="2"/>
  <c r="AZ66" i="2"/>
  <c r="AJ66" i="2"/>
  <c r="AZ44" i="2"/>
  <c r="AJ44" i="2"/>
  <c r="AZ22" i="2"/>
  <c r="AJ22" i="2"/>
  <c r="BA7" i="2"/>
  <c r="AK7" i="2"/>
  <c r="AA8" i="5"/>
  <c r="AZ13" i="2"/>
  <c r="AJ13" i="2"/>
  <c r="AZ152" i="2"/>
  <c r="AJ152" i="2"/>
  <c r="AZ130" i="2"/>
  <c r="AJ130" i="2"/>
  <c r="AZ108" i="2"/>
  <c r="AJ108" i="2"/>
  <c r="AK93" i="2"/>
  <c r="BA93" i="2"/>
  <c r="BA71" i="2"/>
  <c r="AK71" i="2"/>
  <c r="AZ64" i="2"/>
  <c r="AJ64" i="2"/>
  <c r="AZ20" i="2"/>
  <c r="AJ20" i="2"/>
  <c r="BA166" i="2"/>
  <c r="AK166" i="2"/>
  <c r="AJ159" i="2"/>
  <c r="AZ159" i="2"/>
  <c r="BA144" i="2"/>
  <c r="AK144" i="2"/>
  <c r="AZ137" i="2"/>
  <c r="AJ137" i="2"/>
  <c r="AK122" i="2"/>
  <c r="BA122" i="2"/>
  <c r="AZ115" i="2"/>
  <c r="AJ115" i="2"/>
  <c r="BA100" i="2"/>
  <c r="AK100" i="2"/>
  <c r="AJ93" i="2"/>
  <c r="AZ93" i="2"/>
  <c r="BA78" i="2"/>
  <c r="AK78" i="2"/>
  <c r="AJ71" i="2"/>
  <c r="AZ71" i="2"/>
  <c r="BA56" i="2"/>
  <c r="AK56" i="2"/>
  <c r="AZ49" i="2"/>
  <c r="AJ49" i="2"/>
  <c r="BA34" i="2"/>
  <c r="AK34" i="2"/>
  <c r="AJ27" i="2"/>
  <c r="AZ27" i="2"/>
  <c r="AK12" i="2"/>
  <c r="BA12" i="2"/>
  <c r="AJ5" i="2"/>
  <c r="AZ5" i="2"/>
  <c r="BA171" i="2"/>
  <c r="AK171" i="2"/>
  <c r="AJ164" i="2"/>
  <c r="AZ164" i="2"/>
  <c r="BA149" i="2"/>
  <c r="AK149" i="2"/>
  <c r="AZ120" i="2"/>
  <c r="AJ120" i="2"/>
  <c r="AZ171" i="2"/>
  <c r="AJ171" i="2"/>
  <c r="AK90" i="2"/>
  <c r="BA90" i="2"/>
  <c r="BA154" i="2"/>
  <c r="AK154" i="2"/>
  <c r="BA139" i="2"/>
  <c r="AK139" i="2"/>
  <c r="AK6" i="5"/>
  <c r="AK14" i="2"/>
  <c r="BA14" i="2"/>
  <c r="AZ58" i="2"/>
  <c r="AJ58" i="2"/>
  <c r="AZ144" i="2"/>
  <c r="AJ144" i="2"/>
  <c r="AZ122" i="2"/>
  <c r="AJ122" i="2"/>
  <c r="AZ12" i="2"/>
  <c r="AJ12" i="2"/>
  <c r="AJ163" i="2"/>
  <c r="AZ163" i="2"/>
  <c r="BA60" i="2"/>
  <c r="AK60" i="2"/>
  <c r="AZ31" i="2"/>
  <c r="AJ31" i="2"/>
  <c r="BA89" i="2"/>
  <c r="AK89" i="2"/>
  <c r="AZ82" i="2"/>
  <c r="AJ82" i="2"/>
  <c r="AZ60" i="2"/>
  <c r="AJ60" i="2"/>
  <c r="AZ38" i="2"/>
  <c r="AJ38" i="2"/>
  <c r="AZ85" i="2"/>
  <c r="AJ85" i="2"/>
  <c r="AZ19" i="2"/>
  <c r="AJ19" i="2"/>
  <c r="AJ114" i="2"/>
  <c r="AZ114" i="2"/>
  <c r="BA99" i="2"/>
  <c r="AK99" i="2"/>
  <c r="AZ26" i="2"/>
  <c r="AJ26" i="2"/>
  <c r="AK11" i="2"/>
  <c r="BA11" i="2"/>
  <c r="AZ143" i="2"/>
  <c r="AJ143" i="2"/>
  <c r="AZ121" i="2"/>
  <c r="AJ121" i="2"/>
  <c r="AZ55" i="2"/>
  <c r="AJ55" i="2"/>
  <c r="AZ172" i="2"/>
  <c r="AJ172" i="2"/>
  <c r="BA157" i="2"/>
  <c r="AK157" i="2"/>
  <c r="AZ150" i="2"/>
  <c r="AJ150" i="2"/>
  <c r="BA135" i="2"/>
  <c r="AK135" i="2"/>
  <c r="AZ128" i="2"/>
  <c r="AJ128" i="2"/>
  <c r="BA113" i="2"/>
  <c r="AK113" i="2"/>
  <c r="AZ106" i="2"/>
  <c r="AJ106" i="2"/>
  <c r="AK91" i="2"/>
  <c r="BA91" i="2"/>
  <c r="AZ84" i="2"/>
  <c r="AJ84" i="2"/>
  <c r="BA69" i="2"/>
  <c r="AK69" i="2"/>
  <c r="AZ62" i="2"/>
  <c r="AJ62" i="2"/>
  <c r="AK47" i="2"/>
  <c r="BA47" i="2"/>
  <c r="AJ40" i="2"/>
  <c r="AZ40" i="2"/>
  <c r="BA25" i="2"/>
  <c r="AK25" i="2"/>
  <c r="AZ18" i="2"/>
  <c r="AJ18" i="2"/>
  <c r="AJ142" i="2"/>
  <c r="AZ142" i="2"/>
  <c r="AZ32" i="2"/>
  <c r="AJ32" i="2"/>
  <c r="AJ149" i="2"/>
  <c r="AZ149" i="2"/>
  <c r="BA134" i="2"/>
  <c r="AK134" i="2"/>
  <c r="BA112" i="2"/>
  <c r="AK112" i="2"/>
  <c r="AJ105" i="2"/>
  <c r="AZ105" i="2"/>
  <c r="AJ83" i="2"/>
  <c r="AZ83" i="2"/>
  <c r="AK68" i="2"/>
  <c r="BA68" i="2"/>
  <c r="AZ61" i="2"/>
  <c r="AJ61" i="2"/>
  <c r="BA46" i="2"/>
  <c r="AK46" i="2"/>
  <c r="BA97" i="2"/>
  <c r="AK97" i="2"/>
  <c r="AK170" i="2"/>
  <c r="BA170" i="2"/>
  <c r="AK148" i="2"/>
  <c r="BA148" i="2"/>
  <c r="BA104" i="2"/>
  <c r="AK104" i="2"/>
  <c r="AZ170" i="2"/>
  <c r="AJ170" i="2"/>
  <c r="BA155" i="2"/>
  <c r="AK155" i="2"/>
  <c r="AZ126" i="2"/>
  <c r="AJ126" i="2"/>
  <c r="BA67" i="2"/>
  <c r="AK67" i="2"/>
  <c r="AK162" i="2"/>
  <c r="BA162" i="2"/>
  <c r="AZ155" i="2"/>
  <c r="AJ155" i="2"/>
  <c r="BA140" i="2"/>
  <c r="AK140" i="2"/>
  <c r="AZ133" i="2"/>
  <c r="AJ133" i="2"/>
  <c r="BA118" i="2"/>
  <c r="AK118" i="2"/>
  <c r="BA96" i="2"/>
  <c r="AK96" i="2"/>
  <c r="AJ89" i="2"/>
  <c r="AZ89" i="2"/>
  <c r="BA74" i="2"/>
  <c r="AK74" i="2"/>
  <c r="AZ67" i="2"/>
  <c r="AJ67" i="2"/>
  <c r="AZ162" i="2"/>
  <c r="AJ162" i="2"/>
  <c r="AK147" i="2"/>
  <c r="BA147" i="2"/>
  <c r="AZ118" i="2"/>
  <c r="AJ118" i="2"/>
  <c r="AZ96" i="2"/>
  <c r="AJ96" i="2"/>
  <c r="BA15" i="2"/>
  <c r="AK15" i="2"/>
  <c r="AZ169" i="2"/>
  <c r="AJ169" i="2"/>
  <c r="BA132" i="2"/>
  <c r="AK132" i="2"/>
  <c r="AZ125" i="2"/>
  <c r="AJ125" i="2"/>
  <c r="AK110" i="2"/>
  <c r="BA110" i="2"/>
  <c r="AJ103" i="2"/>
  <c r="AZ103" i="2"/>
  <c r="BA88" i="2"/>
  <c r="AK88" i="2"/>
  <c r="AZ81" i="2"/>
  <c r="AJ81" i="2"/>
  <c r="BA66" i="2"/>
  <c r="AK66" i="2"/>
  <c r="AZ37" i="2"/>
  <c r="AJ37" i="2"/>
  <c r="AZ176" i="2"/>
  <c r="AJ176" i="2"/>
  <c r="AJ154" i="2"/>
  <c r="AZ154" i="2"/>
  <c r="AJ132" i="2"/>
  <c r="AZ132" i="2"/>
  <c r="BA117" i="2"/>
  <c r="AK117" i="2"/>
  <c r="AJ88" i="2"/>
  <c r="AZ88" i="2"/>
  <c r="BA73" i="2"/>
  <c r="AK73" i="2"/>
  <c r="BA51" i="2"/>
  <c r="AK51" i="2"/>
  <c r="BA29" i="2"/>
  <c r="AK29" i="2"/>
  <c r="BA173" i="2"/>
  <c r="AK173" i="2"/>
  <c r="AJ166" i="2"/>
  <c r="AZ166" i="2"/>
  <c r="BA151" i="2"/>
  <c r="AK151" i="2"/>
  <c r="BA129" i="2"/>
  <c r="AK129" i="2"/>
  <c r="BA107" i="2"/>
  <c r="AK107" i="2"/>
  <c r="AZ100" i="2"/>
  <c r="AJ100" i="2"/>
  <c r="AK85" i="2"/>
  <c r="BA85" i="2"/>
  <c r="AZ78" i="2"/>
  <c r="AJ78" i="2"/>
  <c r="AK63" i="2"/>
  <c r="BA63" i="2"/>
  <c r="AZ56" i="2"/>
  <c r="AJ56" i="2"/>
  <c r="BA41" i="2"/>
  <c r="AK41" i="2"/>
  <c r="AZ34" i="2"/>
  <c r="AJ34" i="2"/>
  <c r="BA19" i="2"/>
  <c r="AK19" i="2"/>
  <c r="AC5" i="5"/>
  <c r="AZ173" i="2"/>
  <c r="AJ173" i="2"/>
  <c r="AK158" i="2"/>
  <c r="BA158" i="2"/>
  <c r="AZ151" i="2"/>
  <c r="AJ151" i="2"/>
  <c r="BA136" i="2"/>
  <c r="AK136" i="2"/>
  <c r="AZ129" i="2"/>
  <c r="AJ129" i="2"/>
  <c r="BA114" i="2"/>
  <c r="AK114" i="2"/>
  <c r="AZ107" i="2"/>
  <c r="AJ107" i="2"/>
  <c r="AK92" i="2"/>
  <c r="BA92" i="2"/>
  <c r="BA70" i="2"/>
  <c r="AK70" i="2"/>
  <c r="AZ63" i="2"/>
  <c r="AJ63" i="2"/>
  <c r="BA48" i="2"/>
  <c r="AK48" i="2"/>
  <c r="AJ41" i="2"/>
  <c r="AZ41" i="2"/>
  <c r="BA26" i="2"/>
  <c r="AK26" i="2"/>
  <c r="AB5" i="5"/>
  <c r="BA165" i="2"/>
  <c r="AK165" i="2"/>
  <c r="AZ158" i="2"/>
  <c r="AJ158" i="2"/>
  <c r="BA143" i="2"/>
  <c r="AK143" i="2"/>
  <c r="AZ136" i="2"/>
  <c r="AJ136" i="2"/>
  <c r="BA121" i="2"/>
  <c r="AK121" i="2"/>
  <c r="AZ92" i="2"/>
  <c r="AJ92" i="2"/>
  <c r="BA77" i="2"/>
  <c r="AK77" i="2"/>
  <c r="AZ70" i="2"/>
  <c r="AJ70" i="2"/>
  <c r="BA55" i="2"/>
  <c r="AK55" i="2"/>
  <c r="AJ48" i="2"/>
  <c r="AZ48" i="2"/>
  <c r="BA33" i="2"/>
  <c r="AK33" i="2"/>
  <c r="AA5" i="5"/>
  <c r="BA172" i="2"/>
  <c r="AK172" i="2"/>
  <c r="AZ165" i="2"/>
  <c r="AJ165" i="2"/>
  <c r="BA150" i="2"/>
  <c r="AK150" i="2"/>
  <c r="BA128" i="2"/>
  <c r="AK128" i="2"/>
  <c r="AK106" i="2"/>
  <c r="BA106" i="2"/>
  <c r="AZ99" i="2"/>
  <c r="AJ99" i="2"/>
  <c r="BA84" i="2"/>
  <c r="AK84" i="2"/>
  <c r="AJ77" i="2"/>
  <c r="AZ77" i="2"/>
  <c r="AK62" i="2"/>
  <c r="BA62" i="2"/>
  <c r="BA40" i="2"/>
  <c r="AK40" i="2"/>
  <c r="AZ33" i="2"/>
  <c r="AJ33" i="2"/>
  <c r="AK18" i="2"/>
  <c r="BA18" i="2"/>
  <c r="AZ11" i="2"/>
  <c r="AJ11" i="2"/>
  <c r="BA164" i="2"/>
  <c r="AK164" i="2"/>
  <c r="AJ157" i="2"/>
  <c r="AZ157" i="2"/>
  <c r="BA142" i="2"/>
  <c r="AK142" i="2"/>
  <c r="AZ135" i="2"/>
  <c r="AJ135" i="2"/>
  <c r="BA120" i="2"/>
  <c r="AK120" i="2"/>
  <c r="AJ113" i="2"/>
  <c r="AZ113" i="2"/>
  <c r="BA98" i="2"/>
  <c r="AK98" i="2"/>
  <c r="AJ91" i="2"/>
  <c r="AZ91" i="2"/>
  <c r="AK76" i="2"/>
  <c r="BA76" i="2"/>
  <c r="AJ69" i="2"/>
  <c r="AZ69" i="2"/>
  <c r="AK54" i="2"/>
  <c r="BA54" i="2"/>
  <c r="AZ47" i="2"/>
  <c r="AJ47" i="2"/>
  <c r="BA32" i="2"/>
  <c r="AK32" i="2"/>
  <c r="AJ25" i="2"/>
  <c r="AZ25" i="2"/>
  <c r="BA10" i="2"/>
  <c r="AK10" i="2"/>
  <c r="N65" i="1"/>
  <c r="Y65" i="2" s="1"/>
  <c r="N66" i="1"/>
  <c r="Y66" i="2" s="1"/>
  <c r="AX31" i="2"/>
  <c r="BD31" i="2" s="1"/>
  <c r="BE31" i="2" s="1"/>
  <c r="N11" i="8" l="1"/>
  <c r="L11" i="8"/>
  <c r="AL6" i="5"/>
  <c r="AA7" i="5"/>
  <c r="AM6" i="5"/>
  <c r="AM8" i="5"/>
  <c r="AL8" i="5"/>
  <c r="AM5" i="5"/>
  <c r="AL9" i="5"/>
  <c r="AM9" i="5"/>
  <c r="AM7" i="5"/>
  <c r="AL5" i="5"/>
  <c r="AL7" i="5"/>
  <c r="AX5" i="2" l="1"/>
  <c r="BD5" i="2" s="1"/>
  <c r="BE5" i="2" s="1"/>
  <c r="AX6" i="2"/>
  <c r="AX7" i="2"/>
  <c r="BD7" i="2" s="1"/>
  <c r="BE7" i="2" s="1"/>
  <c r="AX8" i="2"/>
  <c r="BD8" i="2" s="1"/>
  <c r="BE8" i="2" s="1"/>
  <c r="AX9" i="2"/>
  <c r="BD9" i="2" s="1"/>
  <c r="BE9" i="2" s="1"/>
  <c r="AX10" i="2"/>
  <c r="BD10" i="2" s="1"/>
  <c r="BE10" i="2" s="1"/>
  <c r="AX11" i="2"/>
  <c r="BD11" i="2" s="1"/>
  <c r="BE11" i="2" s="1"/>
  <c r="AX12" i="2"/>
  <c r="BD12" i="2" s="1"/>
  <c r="BE12" i="2" s="1"/>
  <c r="AX13" i="2"/>
  <c r="BD13" i="2" s="1"/>
  <c r="BE13" i="2" s="1"/>
  <c r="AX14" i="2"/>
  <c r="BD14" i="2" s="1"/>
  <c r="BE14" i="2" s="1"/>
  <c r="AX15" i="2"/>
  <c r="BD15" i="2" s="1"/>
  <c r="BE15" i="2" s="1"/>
  <c r="AX16" i="2"/>
  <c r="BD16" i="2" s="1"/>
  <c r="BE16" i="2" s="1"/>
  <c r="AX17" i="2"/>
  <c r="BD17" i="2" s="1"/>
  <c r="BE17" i="2" s="1"/>
  <c r="AX18" i="2"/>
  <c r="BD18" i="2" s="1"/>
  <c r="BE18" i="2" s="1"/>
  <c r="AX19" i="2"/>
  <c r="BD19" i="2" s="1"/>
  <c r="BE19" i="2" s="1"/>
  <c r="AX20" i="2"/>
  <c r="BD20" i="2" s="1"/>
  <c r="BE20" i="2" s="1"/>
  <c r="AX21" i="2"/>
  <c r="BD21" i="2" s="1"/>
  <c r="BE21" i="2" s="1"/>
  <c r="AX22" i="2"/>
  <c r="BD22" i="2" s="1"/>
  <c r="BE22" i="2" s="1"/>
  <c r="AX23" i="2"/>
  <c r="BD23" i="2" s="1"/>
  <c r="BE23" i="2" s="1"/>
  <c r="AX24" i="2"/>
  <c r="BD24" i="2" s="1"/>
  <c r="BE24" i="2" s="1"/>
  <c r="AX25" i="2"/>
  <c r="BD25" i="2" s="1"/>
  <c r="BE25" i="2" s="1"/>
  <c r="AX26" i="2"/>
  <c r="BD26" i="2" s="1"/>
  <c r="BE26" i="2" s="1"/>
  <c r="AX27" i="2"/>
  <c r="BD27" i="2" s="1"/>
  <c r="BE27" i="2" s="1"/>
  <c r="AX28" i="2"/>
  <c r="BD28" i="2" s="1"/>
  <c r="BE28" i="2" s="1"/>
  <c r="AX29" i="2"/>
  <c r="BD29" i="2" s="1"/>
  <c r="BE29" i="2" s="1"/>
  <c r="AX30" i="2"/>
  <c r="BD30" i="2" s="1"/>
  <c r="BE30" i="2" s="1"/>
  <c r="AX32" i="2"/>
  <c r="BD32" i="2" s="1"/>
  <c r="BE32" i="2" s="1"/>
  <c r="O11" i="8" s="1"/>
  <c r="AX33" i="2"/>
  <c r="BD33" i="2" s="1"/>
  <c r="BE33" i="2" s="1"/>
  <c r="AX34" i="2"/>
  <c r="BD34" i="2" s="1"/>
  <c r="BE34" i="2" s="1"/>
  <c r="AX35" i="2"/>
  <c r="BD35" i="2" s="1"/>
  <c r="BE35" i="2" s="1"/>
  <c r="AX69" i="2" l="1"/>
  <c r="BD69" i="2" s="1"/>
  <c r="BE69" i="2" s="1"/>
  <c r="AX68" i="2"/>
  <c r="BD68" i="2" s="1"/>
  <c r="BE68" i="2" s="1"/>
  <c r="AX133" i="2"/>
  <c r="BD133" i="2" s="1"/>
  <c r="BE133" i="2" s="1"/>
  <c r="AX154" i="2"/>
  <c r="BD154" i="2" s="1"/>
  <c r="BE154" i="2" s="1"/>
  <c r="AX44" i="2"/>
  <c r="BD44" i="2" s="1"/>
  <c r="BE44" i="2" s="1"/>
  <c r="AX109" i="2"/>
  <c r="BD109" i="2" s="1"/>
  <c r="BE109" i="2" s="1"/>
  <c r="AX43" i="2"/>
  <c r="BD43" i="2" s="1"/>
  <c r="BE43" i="2" s="1"/>
  <c r="AX174" i="2"/>
  <c r="BD174" i="2" s="1"/>
  <c r="BE174" i="2" s="1"/>
  <c r="AX64" i="2"/>
  <c r="BD64" i="2" s="1"/>
  <c r="BE64" i="2" s="1"/>
  <c r="AX129" i="2"/>
  <c r="BD129" i="2" s="1"/>
  <c r="BE129" i="2" s="1"/>
  <c r="AX63" i="2"/>
  <c r="BD63" i="2" s="1"/>
  <c r="BE63" i="2" s="1"/>
  <c r="AX84" i="2"/>
  <c r="BD84" i="2" s="1"/>
  <c r="BE84" i="2" s="1"/>
  <c r="AX39" i="2"/>
  <c r="BD39" i="2" s="1"/>
  <c r="BE39" i="2" s="1"/>
  <c r="AX169" i="2"/>
  <c r="BD169" i="2" s="1"/>
  <c r="BE169" i="2" s="1"/>
  <c r="AX147" i="2"/>
  <c r="BD147" i="2" s="1"/>
  <c r="BE147" i="2" s="1"/>
  <c r="AX125" i="2"/>
  <c r="BD125" i="2" s="1"/>
  <c r="BE125" i="2" s="1"/>
  <c r="AX103" i="2"/>
  <c r="BD103" i="2" s="1"/>
  <c r="BE103" i="2" s="1"/>
  <c r="AX59" i="2"/>
  <c r="BD59" i="2" s="1"/>
  <c r="BE59" i="2" s="1"/>
  <c r="AX37" i="2"/>
  <c r="AX168" i="2"/>
  <c r="BD168" i="2" s="1"/>
  <c r="BE168" i="2" s="1"/>
  <c r="AX124" i="2"/>
  <c r="BD124" i="2" s="1"/>
  <c r="BE124" i="2" s="1"/>
  <c r="AX58" i="2"/>
  <c r="AX166" i="2"/>
  <c r="BD166" i="2" s="1"/>
  <c r="BE166" i="2" s="1"/>
  <c r="AX122" i="2"/>
  <c r="BD122" i="2" s="1"/>
  <c r="BE122" i="2" s="1"/>
  <c r="AX100" i="2"/>
  <c r="BD100" i="2" s="1"/>
  <c r="BE100" i="2" s="1"/>
  <c r="AX56" i="2"/>
  <c r="BD56" i="2" s="1"/>
  <c r="BE56" i="2" s="1"/>
  <c r="AX165" i="2"/>
  <c r="BD165" i="2" s="1"/>
  <c r="BE165" i="2" s="1"/>
  <c r="AX143" i="2"/>
  <c r="BD143" i="2" s="1"/>
  <c r="BE143" i="2" s="1"/>
  <c r="AX121" i="2"/>
  <c r="BD121" i="2" s="1"/>
  <c r="BE121" i="2" s="1"/>
  <c r="AX99" i="2"/>
  <c r="BD99" i="2" s="1"/>
  <c r="BE99" i="2" s="1"/>
  <c r="AX77" i="2"/>
  <c r="BD77" i="2" s="1"/>
  <c r="BE77" i="2" s="1"/>
  <c r="AX55" i="2"/>
  <c r="BD55" i="2" s="1"/>
  <c r="BE55" i="2" s="1"/>
  <c r="AX157" i="2"/>
  <c r="AX134" i="2"/>
  <c r="BD134" i="2" s="1"/>
  <c r="BE134" i="2" s="1"/>
  <c r="AX112" i="2"/>
  <c r="BD112" i="2" s="1"/>
  <c r="BE112" i="2" s="1"/>
  <c r="AX90" i="2"/>
  <c r="BD90" i="2" s="1"/>
  <c r="BE90" i="2" s="1"/>
  <c r="AX46" i="2"/>
  <c r="BD46" i="2" s="1"/>
  <c r="BE46" i="2" s="1"/>
  <c r="AX155" i="2"/>
  <c r="BD155" i="2" s="1"/>
  <c r="BE155" i="2" s="1"/>
  <c r="AX89" i="2"/>
  <c r="BD89" i="2" s="1"/>
  <c r="BE89" i="2" s="1"/>
  <c r="AX67" i="2"/>
  <c r="BD67" i="2" s="1"/>
  <c r="BE67" i="2" s="1"/>
  <c r="AX132" i="2"/>
  <c r="BD132" i="2" s="1"/>
  <c r="BE132" i="2" s="1"/>
  <c r="AX175" i="2"/>
  <c r="BD175" i="2" s="1"/>
  <c r="BE175" i="2" s="1"/>
  <c r="AX153" i="2"/>
  <c r="BD153" i="2" s="1"/>
  <c r="BE153" i="2" s="1"/>
  <c r="AX131" i="2"/>
  <c r="BD131" i="2" s="1"/>
  <c r="BE131" i="2" s="1"/>
  <c r="AX87" i="2"/>
  <c r="BD87" i="2" s="1"/>
  <c r="BE87" i="2" s="1"/>
  <c r="AX65" i="2"/>
  <c r="AX130" i="2"/>
  <c r="BD130" i="2" s="1"/>
  <c r="BE130" i="2" s="1"/>
  <c r="AX173" i="2"/>
  <c r="BD173" i="2" s="1"/>
  <c r="BE173" i="2" s="1"/>
  <c r="AX107" i="2"/>
  <c r="BD107" i="2" s="1"/>
  <c r="BE107" i="2" s="1"/>
  <c r="AX85" i="2"/>
  <c r="BD85" i="2" s="1"/>
  <c r="BE85" i="2" s="1"/>
  <c r="AX41" i="2"/>
  <c r="BD41" i="2" s="1"/>
  <c r="BE41" i="2" s="1"/>
  <c r="AX172" i="2"/>
  <c r="BD172" i="2" s="1"/>
  <c r="BE172" i="2" s="1"/>
  <c r="AX106" i="2"/>
  <c r="BD106" i="2" s="1"/>
  <c r="BE106" i="2" s="1"/>
  <c r="AX149" i="2"/>
  <c r="BD149" i="2" s="1"/>
  <c r="BE149" i="2" s="1"/>
  <c r="AX127" i="2"/>
  <c r="BD127" i="2" s="1"/>
  <c r="BE127" i="2" s="1"/>
  <c r="AX105" i="2"/>
  <c r="BD105" i="2" s="1"/>
  <c r="BE105" i="2" s="1"/>
  <c r="AX83" i="2"/>
  <c r="BD83" i="2" s="1"/>
  <c r="BE83" i="2" s="1"/>
  <c r="AX61" i="2"/>
  <c r="BD61" i="2" s="1"/>
  <c r="BE61" i="2" s="1"/>
  <c r="AX126" i="2"/>
  <c r="AX146" i="2"/>
  <c r="BD146" i="2" s="1"/>
  <c r="BE146" i="2" s="1"/>
  <c r="AX102" i="2"/>
  <c r="BD102" i="2" s="1"/>
  <c r="BE102" i="2" s="1"/>
  <c r="AX80" i="2"/>
  <c r="BD80" i="2" s="1"/>
  <c r="BE80" i="2" s="1"/>
  <c r="AX36" i="2"/>
  <c r="BD36" i="2" s="1"/>
  <c r="BE36" i="2" s="1"/>
  <c r="AX145" i="2"/>
  <c r="BD145" i="2" s="1"/>
  <c r="BE145" i="2" s="1"/>
  <c r="AX144" i="2"/>
  <c r="BD144" i="2" s="1"/>
  <c r="BE144" i="2" s="1"/>
  <c r="AX78" i="2"/>
  <c r="BD78" i="2" s="1"/>
  <c r="BE78" i="2" s="1"/>
  <c r="AX164" i="2"/>
  <c r="BD164" i="2" s="1"/>
  <c r="BE164" i="2" s="1"/>
  <c r="AX142" i="2"/>
  <c r="BD142" i="2" s="1"/>
  <c r="BE142" i="2" s="1"/>
  <c r="AX120" i="2"/>
  <c r="BD120" i="2" s="1"/>
  <c r="BE120" i="2" s="1"/>
  <c r="AX98" i="2"/>
  <c r="BD98" i="2" s="1"/>
  <c r="BE98" i="2" s="1"/>
  <c r="AX76" i="2"/>
  <c r="BD76" i="2" s="1"/>
  <c r="BE76" i="2" s="1"/>
  <c r="AX54" i="2"/>
  <c r="BD54" i="2" s="1"/>
  <c r="BE54" i="2" s="1"/>
  <c r="AX135" i="2"/>
  <c r="BD135" i="2" s="1"/>
  <c r="BE135" i="2" s="1"/>
  <c r="AX113" i="2"/>
  <c r="BD113" i="2" s="1"/>
  <c r="BE113" i="2" s="1"/>
  <c r="AX91" i="2"/>
  <c r="BD91" i="2" s="1"/>
  <c r="BE91" i="2" s="1"/>
  <c r="AX47" i="2"/>
  <c r="BD47" i="2" s="1"/>
  <c r="BE47" i="2" s="1"/>
  <c r="AX156" i="2"/>
  <c r="BD156" i="2" s="1"/>
  <c r="BE156" i="2" s="1"/>
  <c r="AX111" i="2"/>
  <c r="BD111" i="2" s="1"/>
  <c r="BE111" i="2" s="1"/>
  <c r="AX45" i="2"/>
  <c r="BD45" i="2" s="1"/>
  <c r="BE45" i="2" s="1"/>
  <c r="AX176" i="2"/>
  <c r="BD176" i="2" s="1"/>
  <c r="BE176" i="2" s="1"/>
  <c r="AX88" i="2"/>
  <c r="BD88" i="2" s="1"/>
  <c r="BE88" i="2" s="1"/>
  <c r="AX66" i="2"/>
  <c r="BD66" i="2" s="1"/>
  <c r="BE66" i="2" s="1"/>
  <c r="AX152" i="2"/>
  <c r="BD152" i="2" s="1"/>
  <c r="BE152" i="2" s="1"/>
  <c r="AX108" i="2"/>
  <c r="BD108" i="2" s="1"/>
  <c r="BE108" i="2" s="1"/>
  <c r="AX86" i="2"/>
  <c r="BD86" i="2" s="1"/>
  <c r="BE86" i="2" s="1"/>
  <c r="AX42" i="2"/>
  <c r="BD42" i="2" s="1"/>
  <c r="BE42" i="2" s="1"/>
  <c r="AX151" i="2"/>
  <c r="BD151" i="2" s="1"/>
  <c r="BE151" i="2" s="1"/>
  <c r="AX150" i="2"/>
  <c r="BD150" i="2" s="1"/>
  <c r="BE150" i="2" s="1"/>
  <c r="AX128" i="2"/>
  <c r="BD128" i="2" s="1"/>
  <c r="BE128" i="2" s="1"/>
  <c r="AX62" i="2"/>
  <c r="BD62" i="2" s="1"/>
  <c r="BE62" i="2" s="1"/>
  <c r="AX40" i="2"/>
  <c r="BD40" i="2" s="1"/>
  <c r="BE40" i="2" s="1"/>
  <c r="AX171" i="2"/>
  <c r="BD171" i="2" s="1"/>
  <c r="BE171" i="2" s="1"/>
  <c r="AX170" i="2"/>
  <c r="BD170" i="2" s="1"/>
  <c r="BE170" i="2" s="1"/>
  <c r="AX148" i="2"/>
  <c r="BD148" i="2" s="1"/>
  <c r="BE148" i="2" s="1"/>
  <c r="AX104" i="2"/>
  <c r="BD104" i="2" s="1"/>
  <c r="BE104" i="2" s="1"/>
  <c r="AX82" i="2"/>
  <c r="BD82" i="2" s="1"/>
  <c r="BE82" i="2" s="1"/>
  <c r="AX60" i="2"/>
  <c r="BD60" i="2" s="1"/>
  <c r="BE60" i="2" s="1"/>
  <c r="AX38" i="2"/>
  <c r="BD38" i="2" s="1"/>
  <c r="BE38" i="2" s="1"/>
  <c r="AX81" i="2"/>
  <c r="BD81" i="2" s="1"/>
  <c r="BE81" i="2" s="1"/>
  <c r="AX167" i="2"/>
  <c r="BD167" i="2" s="1"/>
  <c r="BE167" i="2" s="1"/>
  <c r="AX123" i="2"/>
  <c r="BD123" i="2" s="1"/>
  <c r="BE123" i="2" s="1"/>
  <c r="AX101" i="2"/>
  <c r="BD101" i="2" s="1"/>
  <c r="BE101" i="2" s="1"/>
  <c r="AX79" i="2"/>
  <c r="BD79" i="2" s="1"/>
  <c r="BE79" i="2" s="1"/>
  <c r="AX57" i="2"/>
  <c r="AX163" i="2"/>
  <c r="BD163" i="2" s="1"/>
  <c r="BE163" i="2" s="1"/>
  <c r="AX141" i="2"/>
  <c r="BD141" i="2" s="1"/>
  <c r="BE141" i="2" s="1"/>
  <c r="AX119" i="2"/>
  <c r="BD119" i="2" s="1"/>
  <c r="BE119" i="2" s="1"/>
  <c r="AX97" i="2"/>
  <c r="BD97" i="2" s="1"/>
  <c r="BE97" i="2" s="1"/>
  <c r="AX75" i="2"/>
  <c r="BD75" i="2" s="1"/>
  <c r="BE75" i="2" s="1"/>
  <c r="AX53" i="2"/>
  <c r="BD53" i="2" s="1"/>
  <c r="BE53" i="2" s="1"/>
  <c r="AX162" i="2"/>
  <c r="BD162" i="2" s="1"/>
  <c r="BE162" i="2" s="1"/>
  <c r="AX140" i="2"/>
  <c r="BD140" i="2" s="1"/>
  <c r="BE140" i="2" s="1"/>
  <c r="AX118" i="2"/>
  <c r="BD118" i="2" s="1"/>
  <c r="BE118" i="2" s="1"/>
  <c r="AX96" i="2"/>
  <c r="AX74" i="2"/>
  <c r="BD74" i="2" s="1"/>
  <c r="BE74" i="2" s="1"/>
  <c r="AX52" i="2"/>
  <c r="BD52" i="2" s="1"/>
  <c r="BE52" i="2" s="1"/>
  <c r="AX110" i="2"/>
  <c r="BD110" i="2" s="1"/>
  <c r="BE110" i="2" s="1"/>
  <c r="AX161" i="2"/>
  <c r="BD161" i="2" s="1"/>
  <c r="BE161" i="2" s="1"/>
  <c r="AX139" i="2"/>
  <c r="BD139" i="2" s="1"/>
  <c r="BE139" i="2" s="1"/>
  <c r="AX117" i="2"/>
  <c r="BD117" i="2" s="1"/>
  <c r="BE117" i="2" s="1"/>
  <c r="AX95" i="2"/>
  <c r="BD95" i="2" s="1"/>
  <c r="BE95" i="2" s="1"/>
  <c r="AX73" i="2"/>
  <c r="BD73" i="2" s="1"/>
  <c r="BE73" i="2" s="1"/>
  <c r="AX51" i="2"/>
  <c r="BD51" i="2" s="1"/>
  <c r="BE51" i="2" s="1"/>
  <c r="BD6" i="2"/>
  <c r="BE6" i="2" s="1"/>
  <c r="AX160" i="2"/>
  <c r="BD160" i="2" s="1"/>
  <c r="BE160" i="2" s="1"/>
  <c r="AX138" i="2"/>
  <c r="BD138" i="2" s="1"/>
  <c r="BE138" i="2" s="1"/>
  <c r="AX116" i="2"/>
  <c r="BD116" i="2" s="1"/>
  <c r="BE116" i="2" s="1"/>
  <c r="AX94" i="2"/>
  <c r="BD94" i="2" s="1"/>
  <c r="BE94" i="2" s="1"/>
  <c r="AX72" i="2"/>
  <c r="BD72" i="2" s="1"/>
  <c r="BE72" i="2" s="1"/>
  <c r="AX50" i="2"/>
  <c r="BD50" i="2" s="1"/>
  <c r="BE50" i="2" s="1"/>
  <c r="AX159" i="2"/>
  <c r="BD159" i="2" s="1"/>
  <c r="BE159" i="2" s="1"/>
  <c r="AX137" i="2"/>
  <c r="BD137" i="2" s="1"/>
  <c r="BE137" i="2" s="1"/>
  <c r="AX115" i="2"/>
  <c r="BD115" i="2" s="1"/>
  <c r="BE115" i="2" s="1"/>
  <c r="AX93" i="2"/>
  <c r="BD93" i="2" s="1"/>
  <c r="BE93" i="2" s="1"/>
  <c r="AX71" i="2"/>
  <c r="BD71" i="2" s="1"/>
  <c r="BE71" i="2" s="1"/>
  <c r="AX49" i="2"/>
  <c r="BD49" i="2" s="1"/>
  <c r="BE49" i="2" s="1"/>
  <c r="AX158" i="2"/>
  <c r="BD158" i="2" s="1"/>
  <c r="BE158" i="2" s="1"/>
  <c r="AX136" i="2"/>
  <c r="BD136" i="2" s="1"/>
  <c r="BE136" i="2" s="1"/>
  <c r="AX114" i="2"/>
  <c r="BD114" i="2" s="1"/>
  <c r="BE114" i="2" s="1"/>
  <c r="AX92" i="2"/>
  <c r="BD92" i="2" s="1"/>
  <c r="BE92" i="2" s="1"/>
  <c r="AX70" i="2"/>
  <c r="BD70" i="2" s="1"/>
  <c r="BE70" i="2" s="1"/>
  <c r="AX48" i="2"/>
  <c r="BD48" i="2" s="1"/>
  <c r="BE48" i="2" s="1"/>
  <c r="M6" i="8" l="1"/>
  <c r="BD58" i="2"/>
  <c r="BE58" i="2" s="1"/>
  <c r="AJ8" i="5"/>
  <c r="BD96" i="2"/>
  <c r="BE96" i="2" s="1"/>
  <c r="AJ9" i="5"/>
  <c r="BD126" i="2"/>
  <c r="BE126" i="2" s="1"/>
  <c r="AJ6" i="5"/>
  <c r="BD37" i="2"/>
  <c r="BE37" i="2" s="1"/>
  <c r="M7" i="8"/>
  <c r="BD57" i="2"/>
  <c r="BE57" i="2" s="1"/>
  <c r="AJ5" i="5"/>
  <c r="BD157" i="2"/>
  <c r="BE157" i="2" s="1"/>
  <c r="AJ7" i="5"/>
  <c r="BD65" i="2"/>
  <c r="BE65" i="2" s="1"/>
  <c r="N6" i="8" l="1"/>
  <c r="AX177" i="2"/>
  <c r="BD177" i="2" l="1"/>
  <c r="BE177" i="2" s="1"/>
  <c r="P370" i="1" l="1"/>
  <c r="AA370" i="2" s="1"/>
  <c r="O370" i="1"/>
  <c r="Z370" i="2" s="1"/>
  <c r="N370" i="1"/>
  <c r="Y370" i="2" s="1"/>
  <c r="P369" i="1"/>
  <c r="AA369" i="2" s="1"/>
  <c r="O369" i="1"/>
  <c r="Z369" i="2" s="1"/>
  <c r="N369" i="1"/>
  <c r="Y369" i="2" s="1"/>
  <c r="P368" i="1"/>
  <c r="AA368" i="2" s="1"/>
  <c r="O368" i="1"/>
  <c r="Z368" i="2" s="1"/>
  <c r="N368" i="1"/>
  <c r="Y368" i="2" s="1"/>
  <c r="P367" i="1"/>
  <c r="AA367" i="2" s="1"/>
  <c r="O367" i="1"/>
  <c r="Z367" i="2" s="1"/>
  <c r="N367" i="1"/>
  <c r="Y367" i="2" s="1"/>
  <c r="P366" i="1"/>
  <c r="AA366" i="2" s="1"/>
  <c r="O366" i="1"/>
  <c r="Z366" i="2" s="1"/>
  <c r="N366" i="1"/>
  <c r="Y366" i="2" s="1"/>
  <c r="P365" i="1"/>
  <c r="AA365" i="2" s="1"/>
  <c r="O365" i="1"/>
  <c r="Z365" i="2" s="1"/>
  <c r="N365" i="1"/>
  <c r="Y365" i="2" s="1"/>
  <c r="P364" i="1"/>
  <c r="AA364" i="2" s="1"/>
  <c r="O364" i="1"/>
  <c r="Z364" i="2" s="1"/>
  <c r="N364" i="1"/>
  <c r="Y364" i="2" s="1"/>
  <c r="P363" i="1"/>
  <c r="AA363" i="2" s="1"/>
  <c r="O363" i="1"/>
  <c r="Z363" i="2" s="1"/>
  <c r="N363" i="1"/>
  <c r="Y363" i="2" s="1"/>
  <c r="P362" i="1"/>
  <c r="AA362" i="2" s="1"/>
  <c r="O362" i="1"/>
  <c r="Z362" i="2" s="1"/>
  <c r="N362" i="1"/>
  <c r="Y362" i="2" s="1"/>
  <c r="P361" i="1"/>
  <c r="AA361" i="2" s="1"/>
  <c r="O361" i="1"/>
  <c r="Z361" i="2" s="1"/>
  <c r="N361" i="1"/>
  <c r="Y361" i="2" s="1"/>
  <c r="P360" i="1"/>
  <c r="AA360" i="2" s="1"/>
  <c r="O360" i="1"/>
  <c r="Z360" i="2" s="1"/>
  <c r="N360" i="1"/>
  <c r="Y360" i="2" s="1"/>
  <c r="P359" i="1"/>
  <c r="AA359" i="2" s="1"/>
  <c r="O359" i="1"/>
  <c r="Z359" i="2" s="1"/>
  <c r="N359" i="1"/>
  <c r="Y359" i="2" s="1"/>
  <c r="P358" i="1"/>
  <c r="AA358" i="2" s="1"/>
  <c r="O358" i="1"/>
  <c r="Z358" i="2" s="1"/>
  <c r="N358" i="1"/>
  <c r="Y358" i="2" s="1"/>
  <c r="P357" i="1"/>
  <c r="AA357" i="2" s="1"/>
  <c r="O357" i="1"/>
  <c r="Z357" i="2" s="1"/>
  <c r="N357" i="1"/>
  <c r="Y357" i="2" s="1"/>
  <c r="P356" i="1"/>
  <c r="AA356" i="2" s="1"/>
  <c r="O356" i="1"/>
  <c r="Z356" i="2" s="1"/>
  <c r="N356" i="1"/>
  <c r="Y356" i="2" s="1"/>
  <c r="P355" i="1"/>
  <c r="AA355" i="2" s="1"/>
  <c r="O355" i="1"/>
  <c r="Z355" i="2" s="1"/>
  <c r="N355" i="1"/>
  <c r="Y355" i="2" s="1"/>
  <c r="P354" i="1"/>
  <c r="AA354" i="2" s="1"/>
  <c r="O354" i="1"/>
  <c r="Z354" i="2" s="1"/>
  <c r="N354" i="1"/>
  <c r="Y354" i="2" s="1"/>
  <c r="P353" i="1"/>
  <c r="AA353" i="2" s="1"/>
  <c r="O353" i="1"/>
  <c r="Z353" i="2" s="1"/>
  <c r="N353" i="1"/>
  <c r="Y353" i="2" s="1"/>
  <c r="P352" i="1"/>
  <c r="AA352" i="2" s="1"/>
  <c r="O352" i="1"/>
  <c r="Z352" i="2" s="1"/>
  <c r="N352" i="1"/>
  <c r="Y352" i="2" s="1"/>
  <c r="P351" i="1"/>
  <c r="AA351" i="2" s="1"/>
  <c r="O351" i="1"/>
  <c r="Z351" i="2" s="1"/>
  <c r="N351" i="1"/>
  <c r="Y351" i="2" s="1"/>
  <c r="P350" i="1"/>
  <c r="AA350" i="2" s="1"/>
  <c r="O350" i="1"/>
  <c r="Z350" i="2" s="1"/>
  <c r="N350" i="1"/>
  <c r="Y350" i="2" s="1"/>
  <c r="P349" i="1"/>
  <c r="AA349" i="2" s="1"/>
  <c r="O349" i="1"/>
  <c r="Z349" i="2" s="1"/>
  <c r="N349" i="1"/>
  <c r="Y349" i="2" s="1"/>
  <c r="P348" i="1"/>
  <c r="AA348" i="2" s="1"/>
  <c r="O348" i="1"/>
  <c r="Z348" i="2" s="1"/>
  <c r="N348" i="1"/>
  <c r="Y348" i="2" s="1"/>
  <c r="P347" i="1"/>
  <c r="AA347" i="2" s="1"/>
  <c r="O347" i="1"/>
  <c r="Z347" i="2" s="1"/>
  <c r="N347" i="1"/>
  <c r="Y347" i="2" s="1"/>
  <c r="P346" i="1"/>
  <c r="AA346" i="2" s="1"/>
  <c r="O346" i="1"/>
  <c r="Z346" i="2" s="1"/>
  <c r="N346" i="1"/>
  <c r="Y346" i="2" s="1"/>
  <c r="P345" i="1"/>
  <c r="AA345" i="2" s="1"/>
  <c r="O345" i="1"/>
  <c r="Z345" i="2" s="1"/>
  <c r="N345" i="1"/>
  <c r="Y345" i="2" s="1"/>
  <c r="P344" i="1"/>
  <c r="AA344" i="2" s="1"/>
  <c r="O344" i="1"/>
  <c r="Z344" i="2" s="1"/>
  <c r="N344" i="1"/>
  <c r="Y344" i="2" s="1"/>
  <c r="P343" i="1"/>
  <c r="AA343" i="2" s="1"/>
  <c r="O343" i="1"/>
  <c r="Z343" i="2" s="1"/>
  <c r="N343" i="1"/>
  <c r="Y343" i="2" s="1"/>
  <c r="P342" i="1"/>
  <c r="AA342" i="2" s="1"/>
  <c r="O342" i="1"/>
  <c r="Z342" i="2" s="1"/>
  <c r="N342" i="1"/>
  <c r="Y342" i="2" s="1"/>
  <c r="P341" i="1"/>
  <c r="AA341" i="2" s="1"/>
  <c r="O341" i="1"/>
  <c r="Z341" i="2" s="1"/>
  <c r="N341" i="1"/>
  <c r="Y341" i="2" s="1"/>
  <c r="P340" i="1"/>
  <c r="AA340" i="2" s="1"/>
  <c r="O340" i="1"/>
  <c r="Z340" i="2" s="1"/>
  <c r="N340" i="1"/>
  <c r="Y340" i="2" s="1"/>
  <c r="P339" i="1"/>
  <c r="AA339" i="2" s="1"/>
  <c r="O339" i="1"/>
  <c r="Z339" i="2" s="1"/>
  <c r="N339" i="1"/>
  <c r="Y339" i="2" s="1"/>
  <c r="P338" i="1"/>
  <c r="AA338" i="2" s="1"/>
  <c r="O338" i="1"/>
  <c r="Z338" i="2" s="1"/>
  <c r="N338" i="1"/>
  <c r="Y338" i="2" s="1"/>
  <c r="P337" i="1"/>
  <c r="AA337" i="2" s="1"/>
  <c r="O337" i="1"/>
  <c r="Z337" i="2" s="1"/>
  <c r="N337" i="1"/>
  <c r="Y337" i="2" s="1"/>
  <c r="P336" i="1"/>
  <c r="AA336" i="2" s="1"/>
  <c r="O336" i="1"/>
  <c r="Z336" i="2" s="1"/>
  <c r="N336" i="1"/>
  <c r="Y336" i="2" s="1"/>
  <c r="P335" i="1"/>
  <c r="AA335" i="2" s="1"/>
  <c r="O335" i="1"/>
  <c r="Z335" i="2" s="1"/>
  <c r="N335" i="1"/>
  <c r="Y335" i="2" s="1"/>
  <c r="P334" i="1"/>
  <c r="AA334" i="2" s="1"/>
  <c r="O334" i="1"/>
  <c r="Z334" i="2" s="1"/>
  <c r="N334" i="1"/>
  <c r="Y334" i="2" s="1"/>
  <c r="P333" i="1"/>
  <c r="AA333" i="2" s="1"/>
  <c r="O333" i="1"/>
  <c r="Z333" i="2" s="1"/>
  <c r="N333" i="1"/>
  <c r="Y333" i="2" s="1"/>
  <c r="P332" i="1"/>
  <c r="AA332" i="2" s="1"/>
  <c r="O332" i="1"/>
  <c r="Z332" i="2" s="1"/>
  <c r="N332" i="1"/>
  <c r="Y332" i="2" s="1"/>
  <c r="P331" i="1"/>
  <c r="AA331" i="2" s="1"/>
  <c r="O331" i="1"/>
  <c r="Z331" i="2" s="1"/>
  <c r="N331" i="1"/>
  <c r="Y331" i="2" s="1"/>
  <c r="P330" i="1"/>
  <c r="AA330" i="2" s="1"/>
  <c r="O330" i="1"/>
  <c r="Z330" i="2" s="1"/>
  <c r="N330" i="1"/>
  <c r="Y330" i="2" s="1"/>
  <c r="P329" i="1"/>
  <c r="AA329" i="2" s="1"/>
  <c r="O329" i="1"/>
  <c r="Z329" i="2" s="1"/>
  <c r="N329" i="1"/>
  <c r="Y329" i="2" s="1"/>
  <c r="P328" i="1"/>
  <c r="AA328" i="2" s="1"/>
  <c r="O328" i="1"/>
  <c r="Z328" i="2" s="1"/>
  <c r="N328" i="1"/>
  <c r="Y328" i="2" s="1"/>
  <c r="P327" i="1"/>
  <c r="AA327" i="2" s="1"/>
  <c r="O327" i="1"/>
  <c r="Z327" i="2" s="1"/>
  <c r="N327" i="1"/>
  <c r="Y327" i="2" s="1"/>
  <c r="P326" i="1"/>
  <c r="AA326" i="2" s="1"/>
  <c r="O326" i="1"/>
  <c r="Z326" i="2" s="1"/>
  <c r="N326" i="1"/>
  <c r="Y326" i="2" s="1"/>
  <c r="P325" i="1"/>
  <c r="AA325" i="2" s="1"/>
  <c r="O325" i="1"/>
  <c r="Z325" i="2" s="1"/>
  <c r="N325" i="1"/>
  <c r="Y325" i="2" s="1"/>
  <c r="P324" i="1"/>
  <c r="AA324" i="2" s="1"/>
  <c r="O324" i="1"/>
  <c r="Z324" i="2" s="1"/>
  <c r="N324" i="1"/>
  <c r="Y324" i="2" s="1"/>
  <c r="P323" i="1"/>
  <c r="AA323" i="2" s="1"/>
  <c r="O323" i="1"/>
  <c r="Z323" i="2" s="1"/>
  <c r="N323" i="1"/>
  <c r="Y323" i="2" s="1"/>
  <c r="P322" i="1"/>
  <c r="AA322" i="2" s="1"/>
  <c r="O322" i="1"/>
  <c r="Z322" i="2" s="1"/>
  <c r="N322" i="1"/>
  <c r="Y322" i="2" s="1"/>
  <c r="P321" i="1"/>
  <c r="AA321" i="2" s="1"/>
  <c r="O321" i="1"/>
  <c r="Z321" i="2" s="1"/>
  <c r="N321" i="1"/>
  <c r="Y321" i="2" s="1"/>
  <c r="P320" i="1"/>
  <c r="AA320" i="2" s="1"/>
  <c r="O320" i="1"/>
  <c r="Z320" i="2" s="1"/>
  <c r="N320" i="1"/>
  <c r="Y320" i="2" s="1"/>
  <c r="P319" i="1"/>
  <c r="AA319" i="2" s="1"/>
  <c r="O319" i="1"/>
  <c r="Z319" i="2" s="1"/>
  <c r="N319" i="1"/>
  <c r="Y319" i="2" s="1"/>
  <c r="P318" i="1"/>
  <c r="AA318" i="2" s="1"/>
  <c r="O318" i="1"/>
  <c r="Z318" i="2" s="1"/>
  <c r="N318" i="1"/>
  <c r="Y318" i="2" s="1"/>
  <c r="P317" i="1"/>
  <c r="AA317" i="2" s="1"/>
  <c r="O317" i="1"/>
  <c r="Z317" i="2" s="1"/>
  <c r="N317" i="1"/>
  <c r="Y317" i="2" s="1"/>
  <c r="P316" i="1"/>
  <c r="AA316" i="2" s="1"/>
  <c r="O316" i="1"/>
  <c r="Z316" i="2" s="1"/>
  <c r="N316" i="1"/>
  <c r="Y316" i="2" s="1"/>
  <c r="P315" i="1"/>
  <c r="AA315" i="2" s="1"/>
  <c r="O315" i="1"/>
  <c r="Z315" i="2" s="1"/>
  <c r="N315" i="1"/>
  <c r="Y315" i="2" s="1"/>
  <c r="P314" i="1"/>
  <c r="AA314" i="2" s="1"/>
  <c r="O314" i="1"/>
  <c r="Z314" i="2" s="1"/>
  <c r="N314" i="1"/>
  <c r="Y314" i="2" s="1"/>
  <c r="P313" i="1"/>
  <c r="AA313" i="2" s="1"/>
  <c r="O313" i="1"/>
  <c r="Z313" i="2" s="1"/>
  <c r="N313" i="1"/>
  <c r="Y313" i="2" s="1"/>
  <c r="P312" i="1"/>
  <c r="AA312" i="2" s="1"/>
  <c r="O312" i="1"/>
  <c r="Z312" i="2" s="1"/>
  <c r="N312" i="1"/>
  <c r="Y312" i="2" s="1"/>
  <c r="P311" i="1"/>
  <c r="AA311" i="2" s="1"/>
  <c r="O311" i="1"/>
  <c r="Z311" i="2" s="1"/>
  <c r="N311" i="1"/>
  <c r="Y311" i="2" s="1"/>
  <c r="P310" i="1"/>
  <c r="AA310" i="2" s="1"/>
  <c r="O310" i="1"/>
  <c r="Z310" i="2" s="1"/>
  <c r="N310" i="1"/>
  <c r="Y310" i="2" s="1"/>
  <c r="P309" i="1"/>
  <c r="AA309" i="2" s="1"/>
  <c r="O309" i="1"/>
  <c r="Z309" i="2" s="1"/>
  <c r="N309" i="1"/>
  <c r="Y309" i="2" s="1"/>
  <c r="P308" i="1"/>
  <c r="AA308" i="2" s="1"/>
  <c r="O308" i="1"/>
  <c r="Z308" i="2" s="1"/>
  <c r="N308" i="1"/>
  <c r="Y308" i="2" s="1"/>
  <c r="P307" i="1"/>
  <c r="AA307" i="2" s="1"/>
  <c r="O307" i="1"/>
  <c r="Z307" i="2" s="1"/>
  <c r="N307" i="1"/>
  <c r="Y307" i="2" s="1"/>
  <c r="P306" i="1"/>
  <c r="AA306" i="2" s="1"/>
  <c r="O306" i="1"/>
  <c r="Z306" i="2" s="1"/>
  <c r="N306" i="1"/>
  <c r="Y306" i="2" s="1"/>
  <c r="P305" i="1"/>
  <c r="AA305" i="2" s="1"/>
  <c r="O305" i="1"/>
  <c r="Z305" i="2" s="1"/>
  <c r="N305" i="1"/>
  <c r="Y305" i="2" s="1"/>
  <c r="P304" i="1"/>
  <c r="AA304" i="2" s="1"/>
  <c r="O304" i="1"/>
  <c r="Z304" i="2" s="1"/>
  <c r="N304" i="1"/>
  <c r="Y304" i="2" s="1"/>
  <c r="P303" i="1"/>
  <c r="AA303" i="2" s="1"/>
  <c r="O303" i="1"/>
  <c r="Z303" i="2" s="1"/>
  <c r="N303" i="1"/>
  <c r="Y303" i="2" s="1"/>
  <c r="P302" i="1"/>
  <c r="AA302" i="2" s="1"/>
  <c r="O302" i="1"/>
  <c r="Z302" i="2" s="1"/>
  <c r="N302" i="1"/>
  <c r="Y302" i="2" s="1"/>
  <c r="P301" i="1"/>
  <c r="AA301" i="2" s="1"/>
  <c r="O301" i="1"/>
  <c r="Z301" i="2" s="1"/>
  <c r="N301" i="1"/>
  <c r="Y301" i="2" s="1"/>
  <c r="P300" i="1"/>
  <c r="AA300" i="2" s="1"/>
  <c r="O300" i="1"/>
  <c r="Z300" i="2" s="1"/>
  <c r="N300" i="1"/>
  <c r="Y300" i="2" s="1"/>
  <c r="P299" i="1"/>
  <c r="AA299" i="2" s="1"/>
  <c r="O299" i="1"/>
  <c r="Z299" i="2" s="1"/>
  <c r="N299" i="1"/>
  <c r="Y299" i="2" s="1"/>
  <c r="P298" i="1"/>
  <c r="AA298" i="2" s="1"/>
  <c r="O298" i="1"/>
  <c r="Z298" i="2" s="1"/>
  <c r="N298" i="1"/>
  <c r="Y298" i="2" s="1"/>
  <c r="P297" i="1"/>
  <c r="AA297" i="2" s="1"/>
  <c r="O297" i="1"/>
  <c r="Z297" i="2" s="1"/>
  <c r="N297" i="1"/>
  <c r="Y297" i="2" s="1"/>
  <c r="P296" i="1"/>
  <c r="AA296" i="2" s="1"/>
  <c r="O296" i="1"/>
  <c r="Z296" i="2" s="1"/>
  <c r="N296" i="1"/>
  <c r="Y296" i="2" s="1"/>
  <c r="P295" i="1"/>
  <c r="AA295" i="2" s="1"/>
  <c r="O295" i="1"/>
  <c r="Z295" i="2" s="1"/>
  <c r="N295" i="1"/>
  <c r="Y295" i="2" s="1"/>
  <c r="P294" i="1"/>
  <c r="AA294" i="2" s="1"/>
  <c r="O294" i="1"/>
  <c r="Z294" i="2" s="1"/>
  <c r="N294" i="1"/>
  <c r="Y294" i="2" s="1"/>
  <c r="P293" i="1"/>
  <c r="AA293" i="2" s="1"/>
  <c r="O293" i="1"/>
  <c r="Z293" i="2" s="1"/>
  <c r="N293" i="1"/>
  <c r="Y293" i="2" s="1"/>
  <c r="P292" i="1"/>
  <c r="AA292" i="2" s="1"/>
  <c r="O292" i="1"/>
  <c r="Z292" i="2" s="1"/>
  <c r="N292" i="1"/>
  <c r="Y292" i="2" s="1"/>
  <c r="P291" i="1"/>
  <c r="AA291" i="2" s="1"/>
  <c r="O291" i="1"/>
  <c r="Z291" i="2" s="1"/>
  <c r="N291" i="1"/>
  <c r="Y291" i="2" s="1"/>
  <c r="P290" i="1"/>
  <c r="AA290" i="2" s="1"/>
  <c r="O290" i="1"/>
  <c r="Z290" i="2" s="1"/>
  <c r="N290" i="1"/>
  <c r="Y290" i="2" s="1"/>
  <c r="P289" i="1"/>
  <c r="AA289" i="2" s="1"/>
  <c r="O289" i="1"/>
  <c r="Z289" i="2" s="1"/>
  <c r="N289" i="1"/>
  <c r="Y289" i="2" s="1"/>
  <c r="P288" i="1"/>
  <c r="AA288" i="2" s="1"/>
  <c r="O288" i="1"/>
  <c r="Z288" i="2" s="1"/>
  <c r="N288" i="1"/>
  <c r="Y288" i="2" s="1"/>
  <c r="P287" i="1"/>
  <c r="AA287" i="2" s="1"/>
  <c r="O287" i="1"/>
  <c r="Z287" i="2" s="1"/>
  <c r="N287" i="1"/>
  <c r="Y287" i="2" s="1"/>
  <c r="P286" i="1"/>
  <c r="AA286" i="2" s="1"/>
  <c r="O286" i="1"/>
  <c r="Z286" i="2" s="1"/>
  <c r="N286" i="1"/>
  <c r="Y286" i="2" s="1"/>
  <c r="P285" i="1"/>
  <c r="AA285" i="2" s="1"/>
  <c r="O285" i="1"/>
  <c r="Z285" i="2" s="1"/>
  <c r="N285" i="1"/>
  <c r="Y285" i="2" s="1"/>
  <c r="P284" i="1"/>
  <c r="AA284" i="2" s="1"/>
  <c r="O284" i="1"/>
  <c r="Z284" i="2" s="1"/>
  <c r="N284" i="1"/>
  <c r="Y284" i="2" s="1"/>
  <c r="P283" i="1"/>
  <c r="AA283" i="2" s="1"/>
  <c r="O283" i="1"/>
  <c r="Z283" i="2" s="1"/>
  <c r="N283" i="1"/>
  <c r="Y283" i="2" s="1"/>
  <c r="P282" i="1"/>
  <c r="AA282" i="2" s="1"/>
  <c r="O282" i="1"/>
  <c r="Z282" i="2" s="1"/>
  <c r="N282" i="1"/>
  <c r="Y282" i="2" s="1"/>
  <c r="P281" i="1"/>
  <c r="AA281" i="2" s="1"/>
  <c r="O281" i="1"/>
  <c r="Z281" i="2" s="1"/>
  <c r="N281" i="1"/>
  <c r="Y281" i="2" s="1"/>
  <c r="P280" i="1"/>
  <c r="AA280" i="2" s="1"/>
  <c r="O280" i="1"/>
  <c r="Z280" i="2" s="1"/>
  <c r="N280" i="1"/>
  <c r="Y280" i="2" s="1"/>
  <c r="P279" i="1"/>
  <c r="AA279" i="2" s="1"/>
  <c r="O279" i="1"/>
  <c r="Z279" i="2" s="1"/>
  <c r="N279" i="1"/>
  <c r="Y279" i="2" s="1"/>
  <c r="P278" i="1"/>
  <c r="AA278" i="2" s="1"/>
  <c r="O278" i="1"/>
  <c r="Z278" i="2" s="1"/>
  <c r="N278" i="1"/>
  <c r="Y278" i="2" s="1"/>
  <c r="P277" i="1"/>
  <c r="AA277" i="2" s="1"/>
  <c r="O277" i="1"/>
  <c r="Z277" i="2" s="1"/>
  <c r="N277" i="1"/>
  <c r="Y277" i="2" s="1"/>
  <c r="P276" i="1"/>
  <c r="AA276" i="2" s="1"/>
  <c r="O276" i="1"/>
  <c r="Z276" i="2" s="1"/>
  <c r="N276" i="1"/>
  <c r="Y276" i="2" s="1"/>
  <c r="P275" i="1"/>
  <c r="AA275" i="2" s="1"/>
  <c r="O275" i="1"/>
  <c r="Z275" i="2" s="1"/>
  <c r="N275" i="1"/>
  <c r="Y275" i="2" s="1"/>
  <c r="P274" i="1"/>
  <c r="AA274" i="2" s="1"/>
  <c r="O274" i="1"/>
  <c r="Z274" i="2" s="1"/>
  <c r="N274" i="1"/>
  <c r="Y274" i="2" s="1"/>
  <c r="P273" i="1"/>
  <c r="AA273" i="2" s="1"/>
  <c r="O273" i="1"/>
  <c r="Z273" i="2" s="1"/>
  <c r="N273" i="1"/>
  <c r="Y273" i="2" s="1"/>
  <c r="P272" i="1"/>
  <c r="AA272" i="2" s="1"/>
  <c r="O272" i="1"/>
  <c r="Z272" i="2" s="1"/>
  <c r="N272" i="1"/>
  <c r="Y272" i="2" s="1"/>
  <c r="P271" i="1"/>
  <c r="AA271" i="2" s="1"/>
  <c r="O271" i="1"/>
  <c r="Z271" i="2" s="1"/>
  <c r="N271" i="1"/>
  <c r="Y271" i="2" s="1"/>
  <c r="P270" i="1"/>
  <c r="AA270" i="2" s="1"/>
  <c r="O270" i="1"/>
  <c r="Z270" i="2" s="1"/>
  <c r="N270" i="1"/>
  <c r="Y270" i="2" s="1"/>
  <c r="P269" i="1"/>
  <c r="AA269" i="2" s="1"/>
  <c r="O269" i="1"/>
  <c r="Z269" i="2" s="1"/>
  <c r="N269" i="1"/>
  <c r="Y269" i="2" s="1"/>
  <c r="P268" i="1"/>
  <c r="AA268" i="2" s="1"/>
  <c r="O268" i="1"/>
  <c r="Z268" i="2" s="1"/>
  <c r="N268" i="1"/>
  <c r="Y268" i="2" s="1"/>
  <c r="P267" i="1"/>
  <c r="AA267" i="2" s="1"/>
  <c r="O267" i="1"/>
  <c r="Z267" i="2" s="1"/>
  <c r="N267" i="1"/>
  <c r="Y267" i="2" s="1"/>
  <c r="P266" i="1"/>
  <c r="AA266" i="2" s="1"/>
  <c r="O266" i="1"/>
  <c r="Z266" i="2" s="1"/>
  <c r="N266" i="1"/>
  <c r="Y266" i="2" s="1"/>
  <c r="P265" i="1"/>
  <c r="AA265" i="2" s="1"/>
  <c r="O265" i="1"/>
  <c r="Z265" i="2" s="1"/>
  <c r="N265" i="1"/>
  <c r="Y265" i="2" s="1"/>
  <c r="P264" i="1"/>
  <c r="AA264" i="2" s="1"/>
  <c r="O264" i="1"/>
  <c r="Z264" i="2" s="1"/>
  <c r="N264" i="1"/>
  <c r="Y264" i="2" s="1"/>
  <c r="P263" i="1"/>
  <c r="AA263" i="2" s="1"/>
  <c r="O263" i="1"/>
  <c r="Z263" i="2" s="1"/>
  <c r="N263" i="1"/>
  <c r="Y263" i="2" s="1"/>
  <c r="P262" i="1"/>
  <c r="AA262" i="2" s="1"/>
  <c r="O262" i="1"/>
  <c r="Z262" i="2" s="1"/>
  <c r="N262" i="1"/>
  <c r="Y262" i="2" s="1"/>
  <c r="P261" i="1"/>
  <c r="AA261" i="2" s="1"/>
  <c r="O261" i="1"/>
  <c r="Z261" i="2" s="1"/>
  <c r="N261" i="1"/>
  <c r="Y261" i="2" s="1"/>
  <c r="P260" i="1"/>
  <c r="AA260" i="2" s="1"/>
  <c r="O260" i="1"/>
  <c r="Z260" i="2" s="1"/>
  <c r="N260" i="1"/>
  <c r="Y260" i="2" s="1"/>
  <c r="P259" i="1"/>
  <c r="AA259" i="2" s="1"/>
  <c r="O259" i="1"/>
  <c r="Z259" i="2" s="1"/>
  <c r="N259" i="1"/>
  <c r="Y259" i="2" s="1"/>
  <c r="P258" i="1"/>
  <c r="AA258" i="2" s="1"/>
  <c r="O258" i="1"/>
  <c r="Z258" i="2" s="1"/>
  <c r="N258" i="1"/>
  <c r="Y258" i="2" s="1"/>
  <c r="P257" i="1"/>
  <c r="AA257" i="2" s="1"/>
  <c r="O257" i="1"/>
  <c r="Z257" i="2" s="1"/>
  <c r="N257" i="1"/>
  <c r="Y257" i="2" s="1"/>
  <c r="P256" i="1"/>
  <c r="AA256" i="2" s="1"/>
  <c r="O256" i="1"/>
  <c r="Z256" i="2" s="1"/>
  <c r="N256" i="1"/>
  <c r="Y256" i="2" s="1"/>
  <c r="P255" i="1"/>
  <c r="AA255" i="2" s="1"/>
  <c r="O255" i="1"/>
  <c r="Z255" i="2" s="1"/>
  <c r="N255" i="1"/>
  <c r="Y255" i="2" s="1"/>
  <c r="P254" i="1"/>
  <c r="AA254" i="2" s="1"/>
  <c r="O254" i="1"/>
  <c r="Z254" i="2" s="1"/>
  <c r="N254" i="1"/>
  <c r="Y254" i="2" s="1"/>
  <c r="P253" i="1"/>
  <c r="AA253" i="2" s="1"/>
  <c r="O253" i="1"/>
  <c r="Z253" i="2" s="1"/>
  <c r="N253" i="1"/>
  <c r="Y253" i="2" s="1"/>
  <c r="P252" i="1"/>
  <c r="AA252" i="2" s="1"/>
  <c r="O252" i="1"/>
  <c r="Z252" i="2" s="1"/>
  <c r="N252" i="1"/>
  <c r="Y252" i="2" s="1"/>
  <c r="P251" i="1"/>
  <c r="AA251" i="2" s="1"/>
  <c r="O251" i="1"/>
  <c r="Z251" i="2" s="1"/>
  <c r="N251" i="1"/>
  <c r="Y251" i="2" s="1"/>
  <c r="P250" i="1"/>
  <c r="AA250" i="2" s="1"/>
  <c r="O250" i="1"/>
  <c r="Z250" i="2" s="1"/>
  <c r="N250" i="1"/>
  <c r="Y250" i="2" s="1"/>
  <c r="P249" i="1"/>
  <c r="AA249" i="2" s="1"/>
  <c r="O249" i="1"/>
  <c r="Z249" i="2" s="1"/>
  <c r="N249" i="1"/>
  <c r="Y249" i="2" s="1"/>
  <c r="P248" i="1"/>
  <c r="AA248" i="2" s="1"/>
  <c r="O248" i="1"/>
  <c r="Z248" i="2" s="1"/>
  <c r="N248" i="1"/>
  <c r="Y248" i="2" s="1"/>
  <c r="P247" i="1"/>
  <c r="AA247" i="2" s="1"/>
  <c r="O247" i="1"/>
  <c r="Z247" i="2" s="1"/>
  <c r="N247" i="1"/>
  <c r="Y247" i="2" s="1"/>
  <c r="P246" i="1"/>
  <c r="AA246" i="2" s="1"/>
  <c r="O246" i="1"/>
  <c r="Z246" i="2" s="1"/>
  <c r="N246" i="1"/>
  <c r="Y246" i="2" s="1"/>
  <c r="P245" i="1"/>
  <c r="AA245" i="2" s="1"/>
  <c r="O245" i="1"/>
  <c r="Z245" i="2" s="1"/>
  <c r="N245" i="1"/>
  <c r="Y245" i="2" s="1"/>
  <c r="P244" i="1"/>
  <c r="AA244" i="2" s="1"/>
  <c r="O244" i="1"/>
  <c r="Z244" i="2" s="1"/>
  <c r="N244" i="1"/>
  <c r="Y244" i="2" s="1"/>
  <c r="P243" i="1"/>
  <c r="AA243" i="2" s="1"/>
  <c r="O243" i="1"/>
  <c r="Z243" i="2" s="1"/>
  <c r="N243" i="1"/>
  <c r="Y243" i="2" s="1"/>
  <c r="P242" i="1"/>
  <c r="AA242" i="2" s="1"/>
  <c r="O242" i="1"/>
  <c r="Z242" i="2" s="1"/>
  <c r="N242" i="1"/>
  <c r="Y242" i="2" s="1"/>
  <c r="P241" i="1"/>
  <c r="AA241" i="2" s="1"/>
  <c r="O241" i="1"/>
  <c r="Z241" i="2" s="1"/>
  <c r="N241" i="1"/>
  <c r="Y241" i="2" s="1"/>
  <c r="P240" i="1"/>
  <c r="AA240" i="2" s="1"/>
  <c r="O240" i="1"/>
  <c r="Z240" i="2" s="1"/>
  <c r="N240" i="1"/>
  <c r="Y240" i="2" s="1"/>
  <c r="P239" i="1"/>
  <c r="AA239" i="2" s="1"/>
  <c r="O239" i="1"/>
  <c r="Z239" i="2" s="1"/>
  <c r="N239" i="1"/>
  <c r="Y239" i="2" s="1"/>
  <c r="P238" i="1"/>
  <c r="AA238" i="2" s="1"/>
  <c r="O238" i="1"/>
  <c r="Z238" i="2" s="1"/>
  <c r="N238" i="1"/>
  <c r="Y238" i="2" s="1"/>
  <c r="P237" i="1"/>
  <c r="AA237" i="2" s="1"/>
  <c r="O237" i="1"/>
  <c r="Z237" i="2" s="1"/>
  <c r="N237" i="1"/>
  <c r="Y237" i="2" s="1"/>
  <c r="P236" i="1"/>
  <c r="AA236" i="2" s="1"/>
  <c r="O236" i="1"/>
  <c r="Z236" i="2" s="1"/>
  <c r="N236" i="1"/>
  <c r="Y236" i="2" s="1"/>
  <c r="P235" i="1"/>
  <c r="AA235" i="2" s="1"/>
  <c r="O235" i="1"/>
  <c r="Z235" i="2" s="1"/>
  <c r="N235" i="1"/>
  <c r="Y235" i="2" s="1"/>
  <c r="P234" i="1"/>
  <c r="AA234" i="2" s="1"/>
  <c r="O234" i="1"/>
  <c r="Z234" i="2" s="1"/>
  <c r="N234" i="1"/>
  <c r="Y234" i="2" s="1"/>
  <c r="P233" i="1"/>
  <c r="AA233" i="2" s="1"/>
  <c r="O233" i="1"/>
  <c r="Z233" i="2" s="1"/>
  <c r="N233" i="1"/>
  <c r="Y233" i="2" s="1"/>
  <c r="P232" i="1"/>
  <c r="AA232" i="2" s="1"/>
  <c r="O232" i="1"/>
  <c r="Z232" i="2" s="1"/>
  <c r="N232" i="1"/>
  <c r="Y232" i="2" s="1"/>
  <c r="P231" i="1"/>
  <c r="AA231" i="2" s="1"/>
  <c r="O231" i="1"/>
  <c r="Z231" i="2" s="1"/>
  <c r="N231" i="1"/>
  <c r="Y231" i="2" s="1"/>
  <c r="P230" i="1"/>
  <c r="AA230" i="2" s="1"/>
  <c r="O230" i="1"/>
  <c r="Z230" i="2" s="1"/>
  <c r="N230" i="1"/>
  <c r="Y230" i="2" s="1"/>
  <c r="P229" i="1"/>
  <c r="AA229" i="2" s="1"/>
  <c r="O229" i="1"/>
  <c r="Z229" i="2" s="1"/>
  <c r="N229" i="1"/>
  <c r="Y229" i="2" s="1"/>
  <c r="P228" i="1"/>
  <c r="AA228" i="2" s="1"/>
  <c r="O228" i="1"/>
  <c r="Z228" i="2" s="1"/>
  <c r="N228" i="1"/>
  <c r="Y228" i="2" s="1"/>
  <c r="P227" i="1"/>
  <c r="AA227" i="2" s="1"/>
  <c r="O227" i="1"/>
  <c r="Z227" i="2" s="1"/>
  <c r="N227" i="1"/>
  <c r="Y227" i="2" s="1"/>
  <c r="P226" i="1"/>
  <c r="AA226" i="2" s="1"/>
  <c r="O226" i="1"/>
  <c r="Z226" i="2" s="1"/>
  <c r="N226" i="1"/>
  <c r="Y226" i="2" s="1"/>
  <c r="P225" i="1"/>
  <c r="AA225" i="2" s="1"/>
  <c r="O225" i="1"/>
  <c r="Z225" i="2" s="1"/>
  <c r="N225" i="1"/>
  <c r="Y225" i="2" s="1"/>
  <c r="P224" i="1"/>
  <c r="AA224" i="2" s="1"/>
  <c r="O224" i="1"/>
  <c r="Z224" i="2" s="1"/>
  <c r="N224" i="1"/>
  <c r="Y224" i="2" s="1"/>
  <c r="P223" i="1"/>
  <c r="AA223" i="2" s="1"/>
  <c r="O223" i="1"/>
  <c r="Z223" i="2" s="1"/>
  <c r="N223" i="1"/>
  <c r="Y223" i="2" s="1"/>
  <c r="P222" i="1"/>
  <c r="AA222" i="2" s="1"/>
  <c r="O222" i="1"/>
  <c r="Z222" i="2" s="1"/>
  <c r="N222" i="1"/>
  <c r="Y222" i="2" s="1"/>
  <c r="P221" i="1"/>
  <c r="AA221" i="2" s="1"/>
  <c r="O221" i="1"/>
  <c r="Z221" i="2" s="1"/>
  <c r="N221" i="1"/>
  <c r="Y221" i="2" s="1"/>
  <c r="P220" i="1"/>
  <c r="AA220" i="2" s="1"/>
  <c r="O220" i="1"/>
  <c r="Z220" i="2" s="1"/>
  <c r="N220" i="1"/>
  <c r="Y220" i="2" s="1"/>
  <c r="P219" i="1"/>
  <c r="AA219" i="2" s="1"/>
  <c r="O219" i="1"/>
  <c r="Z219" i="2" s="1"/>
  <c r="N219" i="1"/>
  <c r="Y219" i="2" s="1"/>
  <c r="P218" i="1"/>
  <c r="AA218" i="2" s="1"/>
  <c r="O218" i="1"/>
  <c r="Z218" i="2" s="1"/>
  <c r="N218" i="1"/>
  <c r="Y218" i="2" s="1"/>
  <c r="P217" i="1"/>
  <c r="AA217" i="2" s="1"/>
  <c r="O217" i="1"/>
  <c r="Z217" i="2" s="1"/>
  <c r="N217" i="1"/>
  <c r="Y217" i="2" s="1"/>
  <c r="P216" i="1"/>
  <c r="AA216" i="2" s="1"/>
  <c r="O216" i="1"/>
  <c r="Z216" i="2" s="1"/>
  <c r="N216" i="1"/>
  <c r="Y216" i="2" s="1"/>
  <c r="P215" i="1"/>
  <c r="AA215" i="2" s="1"/>
  <c r="O215" i="1"/>
  <c r="Z215" i="2" s="1"/>
  <c r="N215" i="1"/>
  <c r="Y215" i="2" s="1"/>
  <c r="P214" i="1"/>
  <c r="AA214" i="2" s="1"/>
  <c r="O214" i="1"/>
  <c r="Z214" i="2" s="1"/>
  <c r="N214" i="1"/>
  <c r="Y214" i="2" s="1"/>
  <c r="P213" i="1"/>
  <c r="AA213" i="2" s="1"/>
  <c r="O213" i="1"/>
  <c r="Z213" i="2" s="1"/>
  <c r="N213" i="1"/>
  <c r="Y213" i="2" s="1"/>
  <c r="P212" i="1"/>
  <c r="AA212" i="2" s="1"/>
  <c r="O212" i="1"/>
  <c r="Z212" i="2" s="1"/>
  <c r="N212" i="1"/>
  <c r="Y212" i="2" s="1"/>
  <c r="P211" i="1"/>
  <c r="AA211" i="2" s="1"/>
  <c r="O211" i="1"/>
  <c r="Z211" i="2" s="1"/>
  <c r="N211" i="1"/>
  <c r="Y211" i="2" s="1"/>
  <c r="P210" i="1"/>
  <c r="AA210" i="2" s="1"/>
  <c r="O210" i="1"/>
  <c r="Z210" i="2" s="1"/>
  <c r="N210" i="1"/>
  <c r="Y210" i="2" s="1"/>
  <c r="P209" i="1"/>
  <c r="AA209" i="2" s="1"/>
  <c r="O209" i="1"/>
  <c r="Z209" i="2" s="1"/>
  <c r="N209" i="1"/>
  <c r="Y209" i="2" s="1"/>
  <c r="P208" i="1"/>
  <c r="AA208" i="2" s="1"/>
  <c r="O208" i="1"/>
  <c r="Z208" i="2" s="1"/>
  <c r="N208" i="1"/>
  <c r="Y208" i="2" s="1"/>
  <c r="P207" i="1"/>
  <c r="AA207" i="2" s="1"/>
  <c r="O207" i="1"/>
  <c r="Z207" i="2" s="1"/>
  <c r="N207" i="1"/>
  <c r="Y207" i="2" s="1"/>
  <c r="P206" i="1"/>
  <c r="AA206" i="2" s="1"/>
  <c r="O206" i="1"/>
  <c r="Z206" i="2" s="1"/>
  <c r="N206" i="1"/>
  <c r="Y206" i="2" s="1"/>
  <c r="P205" i="1"/>
  <c r="AA205" i="2" s="1"/>
  <c r="O205" i="1"/>
  <c r="Z205" i="2" s="1"/>
  <c r="N205" i="1"/>
  <c r="Y205" i="2" s="1"/>
  <c r="P204" i="1"/>
  <c r="AA204" i="2" s="1"/>
  <c r="O204" i="1"/>
  <c r="Z204" i="2" s="1"/>
  <c r="N204" i="1"/>
  <c r="Y204" i="2" s="1"/>
  <c r="P203" i="1"/>
  <c r="AA203" i="2" s="1"/>
  <c r="O203" i="1"/>
  <c r="Z203" i="2" s="1"/>
  <c r="N203" i="1"/>
  <c r="Y203" i="2" s="1"/>
  <c r="P202" i="1"/>
  <c r="AA202" i="2" s="1"/>
  <c r="O202" i="1"/>
  <c r="Z202" i="2" s="1"/>
  <c r="N202" i="1"/>
  <c r="Y202" i="2" s="1"/>
  <c r="P201" i="1"/>
  <c r="AA201" i="2" s="1"/>
  <c r="O201" i="1"/>
  <c r="Z201" i="2" s="1"/>
  <c r="N201" i="1"/>
  <c r="Y201" i="2" s="1"/>
  <c r="P200" i="1"/>
  <c r="AA200" i="2" s="1"/>
  <c r="O200" i="1"/>
  <c r="Z200" i="2" s="1"/>
  <c r="N200" i="1"/>
  <c r="Y200" i="2" s="1"/>
  <c r="P199" i="1"/>
  <c r="AA199" i="2" s="1"/>
  <c r="O199" i="1"/>
  <c r="Z199" i="2" s="1"/>
  <c r="N199" i="1"/>
  <c r="Y199" i="2" s="1"/>
  <c r="P198" i="1"/>
  <c r="AA198" i="2" s="1"/>
  <c r="O198" i="1"/>
  <c r="Z198" i="2" s="1"/>
  <c r="N198" i="1"/>
  <c r="Y198" i="2" s="1"/>
  <c r="P197" i="1"/>
  <c r="AA197" i="2" s="1"/>
  <c r="O197" i="1"/>
  <c r="Z197" i="2" s="1"/>
  <c r="N197" i="1"/>
  <c r="Y197" i="2" s="1"/>
  <c r="P196" i="1"/>
  <c r="AA196" i="2" s="1"/>
  <c r="O196" i="1"/>
  <c r="Z196" i="2" s="1"/>
  <c r="N196" i="1"/>
  <c r="Y196" i="2" s="1"/>
  <c r="P195" i="1"/>
  <c r="AA195" i="2" s="1"/>
  <c r="O195" i="1"/>
  <c r="Z195" i="2" s="1"/>
  <c r="N195" i="1"/>
  <c r="Y195" i="2" s="1"/>
  <c r="P194" i="1"/>
  <c r="AA194" i="2" s="1"/>
  <c r="O194" i="1"/>
  <c r="Z194" i="2" s="1"/>
  <c r="N194" i="1"/>
  <c r="Y194" i="2" s="1"/>
  <c r="P193" i="1"/>
  <c r="AA193" i="2" s="1"/>
  <c r="O193" i="1"/>
  <c r="Z193" i="2" s="1"/>
  <c r="N193" i="1"/>
  <c r="Y193" i="2" s="1"/>
  <c r="P192" i="1"/>
  <c r="AA192" i="2" s="1"/>
  <c r="O192" i="1"/>
  <c r="Z192" i="2" s="1"/>
  <c r="N192" i="1"/>
  <c r="Y192" i="2" s="1"/>
  <c r="P191" i="1"/>
  <c r="AA191" i="2" s="1"/>
  <c r="O191" i="1"/>
  <c r="Z191" i="2" s="1"/>
  <c r="N191" i="1"/>
  <c r="Y191" i="2" s="1"/>
  <c r="P190" i="1"/>
  <c r="AA190" i="2" s="1"/>
  <c r="O190" i="1"/>
  <c r="Z190" i="2" s="1"/>
  <c r="N190" i="1"/>
  <c r="Y190" i="2" s="1"/>
  <c r="N189" i="1"/>
  <c r="Y189" i="2" s="1"/>
  <c r="O185" i="1"/>
  <c r="Z185" i="2" s="1"/>
  <c r="N185" i="1"/>
  <c r="Y185" i="2" s="1"/>
  <c r="N184" i="1"/>
  <c r="Y184" i="2" s="1"/>
  <c r="AY178" i="2"/>
  <c r="AY179" i="2"/>
  <c r="AY180" i="2"/>
  <c r="AY181" i="2"/>
  <c r="AY182" i="2"/>
  <c r="AY183" i="2"/>
  <c r="AY184" i="2"/>
  <c r="AY185" i="2"/>
  <c r="AY186" i="2"/>
  <c r="AY187" i="2"/>
  <c r="AY188" i="2"/>
  <c r="AY189" i="2"/>
  <c r="AY190" i="2"/>
  <c r="AY191" i="2"/>
  <c r="AY192" i="2"/>
  <c r="AY193" i="2"/>
  <c r="AY194" i="2"/>
  <c r="AY195" i="2"/>
  <c r="AY196" i="2"/>
  <c r="AY197" i="2"/>
  <c r="AY198" i="2"/>
  <c r="AY199" i="2"/>
  <c r="AY200" i="2"/>
  <c r="AY201" i="2"/>
  <c r="AY202" i="2"/>
  <c r="AY203" i="2"/>
  <c r="AY204" i="2"/>
  <c r="AY205" i="2"/>
  <c r="AY206" i="2"/>
  <c r="AY207" i="2"/>
  <c r="AY208" i="2"/>
  <c r="AY209" i="2"/>
  <c r="AY210" i="2"/>
  <c r="AY211" i="2"/>
  <c r="AY212" i="2"/>
  <c r="AY213" i="2"/>
  <c r="AY214" i="2"/>
  <c r="AY215" i="2"/>
  <c r="AY216" i="2"/>
  <c r="AY217" i="2"/>
  <c r="AY218" i="2"/>
  <c r="AY219" i="2"/>
  <c r="AY220" i="2"/>
  <c r="AY221" i="2"/>
  <c r="AY222" i="2"/>
  <c r="AY223" i="2"/>
  <c r="AY224" i="2"/>
  <c r="AY225" i="2"/>
  <c r="AY226" i="2"/>
  <c r="AY227" i="2"/>
  <c r="AY228" i="2"/>
  <c r="AY229" i="2"/>
  <c r="AY230" i="2"/>
  <c r="AY231" i="2"/>
  <c r="AY232" i="2"/>
  <c r="AY233" i="2"/>
  <c r="AY234" i="2"/>
  <c r="AY235" i="2"/>
  <c r="AY236" i="2"/>
  <c r="AY237" i="2"/>
  <c r="AY238" i="2"/>
  <c r="AY239" i="2"/>
  <c r="AY240" i="2"/>
  <c r="AY241" i="2"/>
  <c r="AY242" i="2"/>
  <c r="AY243" i="2"/>
  <c r="AY244" i="2"/>
  <c r="AY245" i="2"/>
  <c r="AY246" i="2"/>
  <c r="AY247" i="2"/>
  <c r="AY248" i="2"/>
  <c r="AY249" i="2"/>
  <c r="AY250" i="2"/>
  <c r="AY251" i="2"/>
  <c r="AY252" i="2"/>
  <c r="AY253" i="2"/>
  <c r="AY254" i="2"/>
  <c r="AY255" i="2"/>
  <c r="AY256" i="2"/>
  <c r="AY257" i="2"/>
  <c r="AY258" i="2"/>
  <c r="AY259" i="2"/>
  <c r="AY260" i="2"/>
  <c r="AY261" i="2"/>
  <c r="AY262" i="2"/>
  <c r="AY263" i="2"/>
  <c r="AY264" i="2"/>
  <c r="AY265" i="2"/>
  <c r="AY266" i="2"/>
  <c r="AY267" i="2"/>
  <c r="AY268" i="2"/>
  <c r="AY269" i="2"/>
  <c r="AY270" i="2"/>
  <c r="AY271" i="2"/>
  <c r="AY272" i="2"/>
  <c r="AY273" i="2"/>
  <c r="AY274" i="2"/>
  <c r="AY275" i="2"/>
  <c r="AY276" i="2"/>
  <c r="AY277" i="2"/>
  <c r="AY278" i="2"/>
  <c r="AY279" i="2"/>
  <c r="AY280" i="2"/>
  <c r="AY281" i="2"/>
  <c r="AY282" i="2"/>
  <c r="AY283" i="2"/>
  <c r="AY284" i="2"/>
  <c r="AY285" i="2"/>
  <c r="AY286" i="2"/>
  <c r="AY287" i="2"/>
  <c r="AY288" i="2"/>
  <c r="AY289" i="2"/>
  <c r="AY290" i="2"/>
  <c r="AY291" i="2"/>
  <c r="AY292" i="2"/>
  <c r="AY293" i="2"/>
  <c r="AY294" i="2"/>
  <c r="AY295" i="2"/>
  <c r="AY296" i="2"/>
  <c r="AY297" i="2"/>
  <c r="AY298" i="2"/>
  <c r="AY299" i="2"/>
  <c r="AY300" i="2"/>
  <c r="AY301" i="2"/>
  <c r="AY302" i="2"/>
  <c r="AY303" i="2"/>
  <c r="AY304" i="2"/>
  <c r="AY305" i="2"/>
  <c r="AY306" i="2"/>
  <c r="AY307" i="2"/>
  <c r="AY308" i="2"/>
  <c r="AY309" i="2"/>
  <c r="AY310" i="2"/>
  <c r="AY311" i="2"/>
  <c r="AY312" i="2"/>
  <c r="AY313" i="2"/>
  <c r="AY314" i="2"/>
  <c r="AY315" i="2"/>
  <c r="AY316" i="2"/>
  <c r="AY317" i="2"/>
  <c r="AY318" i="2"/>
  <c r="AY319" i="2"/>
  <c r="AY320" i="2"/>
  <c r="AY321" i="2"/>
  <c r="AY322" i="2"/>
  <c r="AY323" i="2"/>
  <c r="AY324" i="2"/>
  <c r="AY325" i="2"/>
  <c r="AY326" i="2"/>
  <c r="AY327" i="2"/>
  <c r="AY328" i="2"/>
  <c r="AY329" i="2"/>
  <c r="AY330" i="2"/>
  <c r="AY331" i="2"/>
  <c r="AY332" i="2"/>
  <c r="AY333" i="2"/>
  <c r="AY334" i="2"/>
  <c r="AY335" i="2"/>
  <c r="AY336" i="2"/>
  <c r="AY337" i="2"/>
  <c r="AY338" i="2"/>
  <c r="AY339" i="2"/>
  <c r="AY340" i="2"/>
  <c r="AY341" i="2"/>
  <c r="AY342" i="2"/>
  <c r="AY343" i="2"/>
  <c r="AY344" i="2"/>
  <c r="AY345" i="2"/>
  <c r="AY346" i="2"/>
  <c r="AY347" i="2"/>
  <c r="AY348" i="2"/>
  <c r="AY349" i="2"/>
  <c r="AY350" i="2"/>
  <c r="AY351" i="2"/>
  <c r="AY352" i="2"/>
  <c r="AY353" i="2"/>
  <c r="AY354" i="2"/>
  <c r="AY355" i="2"/>
  <c r="AY356" i="2"/>
  <c r="AY357" i="2"/>
  <c r="AY358" i="2"/>
  <c r="AY359" i="2"/>
  <c r="AY360" i="2"/>
  <c r="AY361" i="2"/>
  <c r="AY362" i="2"/>
  <c r="AY363" i="2"/>
  <c r="AY364" i="2"/>
  <c r="AY365" i="2"/>
  <c r="AY366" i="2"/>
  <c r="AY367" i="2"/>
  <c r="AY368" i="2"/>
  <c r="AY369" i="2"/>
  <c r="AY177" i="2"/>
  <c r="AA12" i="5" l="1"/>
  <c r="AB12" i="5"/>
  <c r="BA203" i="2"/>
  <c r="AK203" i="2"/>
  <c r="AZ357" i="2"/>
  <c r="AJ357" i="2"/>
  <c r="AZ313" i="2"/>
  <c r="AJ313" i="2"/>
  <c r="AK12" i="5"/>
  <c r="AJ203" i="2"/>
  <c r="AZ203" i="2"/>
  <c r="AZ181" i="2"/>
  <c r="AJ181" i="2"/>
  <c r="AJ320" i="2"/>
  <c r="AZ320" i="2"/>
  <c r="AZ254" i="2"/>
  <c r="AJ254" i="2"/>
  <c r="BA217" i="2"/>
  <c r="AK217" i="2"/>
  <c r="AJ188" i="2"/>
  <c r="AZ188" i="2"/>
  <c r="AZ283" i="2"/>
  <c r="AJ283" i="2"/>
  <c r="AZ261" i="2"/>
  <c r="AJ261" i="2"/>
  <c r="AZ239" i="2"/>
  <c r="AJ239" i="2"/>
  <c r="BA180" i="2"/>
  <c r="AK180" i="2"/>
  <c r="BA187" i="2"/>
  <c r="AK187" i="2"/>
  <c r="BA288" i="2"/>
  <c r="AK288" i="2"/>
  <c r="AZ281" i="2"/>
  <c r="AJ281" i="2"/>
  <c r="BA357" i="2"/>
  <c r="AK357" i="2"/>
  <c r="AK335" i="2"/>
  <c r="BA335" i="2"/>
  <c r="AZ328" i="2"/>
  <c r="AJ328" i="2"/>
  <c r="AJ306" i="2"/>
  <c r="AZ306" i="2"/>
  <c r="BA225" i="2"/>
  <c r="AK225" i="2"/>
  <c r="AZ196" i="2"/>
  <c r="AJ196" i="2"/>
  <c r="AZ335" i="2"/>
  <c r="AJ335" i="2"/>
  <c r="BA298" i="2"/>
  <c r="AK298" i="2"/>
  <c r="AZ291" i="2"/>
  <c r="AJ291" i="2"/>
  <c r="AZ269" i="2"/>
  <c r="AJ269" i="2"/>
  <c r="AZ225" i="2"/>
  <c r="AJ225" i="2"/>
  <c r="AK210" i="2"/>
  <c r="BA210" i="2"/>
  <c r="AZ364" i="2"/>
  <c r="AJ364" i="2"/>
  <c r="AZ342" i="2"/>
  <c r="AJ342" i="2"/>
  <c r="AZ298" i="2"/>
  <c r="AJ298" i="2"/>
  <c r="AZ276" i="2"/>
  <c r="AJ276" i="2"/>
  <c r="BA195" i="2"/>
  <c r="AK195" i="2"/>
  <c r="BA356" i="2"/>
  <c r="AK356" i="2"/>
  <c r="AZ327" i="2"/>
  <c r="AJ327" i="2"/>
  <c r="AK312" i="2"/>
  <c r="BA312" i="2"/>
  <c r="AK202" i="2"/>
  <c r="BA202" i="2"/>
  <c r="AZ356" i="2"/>
  <c r="AJ356" i="2"/>
  <c r="AZ363" i="2"/>
  <c r="AJ363" i="2"/>
  <c r="BA348" i="2"/>
  <c r="AK348" i="2"/>
  <c r="AZ341" i="2"/>
  <c r="AJ341" i="2"/>
  <c r="AJ297" i="2"/>
  <c r="AZ297" i="2"/>
  <c r="AK282" i="2"/>
  <c r="BA282" i="2"/>
  <c r="BA216" i="2"/>
  <c r="AK216" i="2"/>
  <c r="BA194" i="2"/>
  <c r="AK194" i="2"/>
  <c r="AJ326" i="2"/>
  <c r="AZ326" i="2"/>
  <c r="AZ260" i="2"/>
  <c r="AJ260" i="2"/>
  <c r="BA245" i="2"/>
  <c r="AK245" i="2"/>
  <c r="AZ355" i="2"/>
  <c r="AJ355" i="2"/>
  <c r="AJ245" i="2"/>
  <c r="AZ245" i="2"/>
  <c r="AZ296" i="2"/>
  <c r="AJ296" i="2"/>
  <c r="BA281" i="2"/>
  <c r="AK281" i="2"/>
  <c r="AZ208" i="2"/>
  <c r="AJ208" i="2"/>
  <c r="BA266" i="2"/>
  <c r="AK266" i="2"/>
  <c r="BA244" i="2"/>
  <c r="AK244" i="2"/>
  <c r="AZ215" i="2"/>
  <c r="AJ215" i="2"/>
  <c r="BA361" i="2"/>
  <c r="AK361" i="2"/>
  <c r="BA339" i="2"/>
  <c r="AK339" i="2"/>
  <c r="BA317" i="2"/>
  <c r="AK317" i="2"/>
  <c r="AZ310" i="2"/>
  <c r="AJ310" i="2"/>
  <c r="BA295" i="2"/>
  <c r="AK295" i="2"/>
  <c r="AZ266" i="2"/>
  <c r="AJ266" i="2"/>
  <c r="BA229" i="2"/>
  <c r="AK229" i="2"/>
  <c r="AJ222" i="2"/>
  <c r="AZ222" i="2"/>
  <c r="AK207" i="2"/>
  <c r="BA207" i="2"/>
  <c r="BA185" i="2"/>
  <c r="AK185" i="2"/>
  <c r="AZ178" i="2"/>
  <c r="AJ178" i="2"/>
  <c r="BA368" i="2"/>
  <c r="AK368" i="2"/>
  <c r="AZ361" i="2"/>
  <c r="AJ361" i="2"/>
  <c r="AK346" i="2"/>
  <c r="BA346" i="2"/>
  <c r="AZ339" i="2"/>
  <c r="AJ339" i="2"/>
  <c r="BA324" i="2"/>
  <c r="AK324" i="2"/>
  <c r="AZ317" i="2"/>
  <c r="AJ317" i="2"/>
  <c r="BA302" i="2"/>
  <c r="AK302" i="2"/>
  <c r="AJ229" i="2"/>
  <c r="AZ229" i="2"/>
  <c r="BA214" i="2"/>
  <c r="AK214" i="2"/>
  <c r="AJ185" i="2"/>
  <c r="AZ185" i="2"/>
  <c r="AZ368" i="2"/>
  <c r="AJ368" i="2"/>
  <c r="BA353" i="2"/>
  <c r="AK353" i="2"/>
  <c r="AZ346" i="2"/>
  <c r="AJ346" i="2"/>
  <c r="BA331" i="2"/>
  <c r="AK331" i="2"/>
  <c r="AZ324" i="2"/>
  <c r="AJ324" i="2"/>
  <c r="BA309" i="2"/>
  <c r="AK309" i="2"/>
  <c r="AZ302" i="2"/>
  <c r="AJ302" i="2"/>
  <c r="AK287" i="2"/>
  <c r="BA287" i="2"/>
  <c r="AZ280" i="2"/>
  <c r="AJ280" i="2"/>
  <c r="BA265" i="2"/>
  <c r="AK265" i="2"/>
  <c r="AZ258" i="2"/>
  <c r="AJ258" i="2"/>
  <c r="BA243" i="2"/>
  <c r="AK243" i="2"/>
  <c r="AZ236" i="2"/>
  <c r="AJ236" i="2"/>
  <c r="BA221" i="2"/>
  <c r="AK221" i="2"/>
  <c r="AZ214" i="2"/>
  <c r="AJ214" i="2"/>
  <c r="BA199" i="2"/>
  <c r="AK199" i="2"/>
  <c r="AJ192" i="2"/>
  <c r="AZ192" i="2"/>
  <c r="AZ358" i="2"/>
  <c r="AJ358" i="2"/>
  <c r="AZ336" i="2"/>
  <c r="AJ336" i="2"/>
  <c r="AJ314" i="2"/>
  <c r="AZ314" i="2"/>
  <c r="AZ270" i="2"/>
  <c r="AJ270" i="2"/>
  <c r="BA233" i="2"/>
  <c r="AK233" i="2"/>
  <c r="BA211" i="2"/>
  <c r="AK211" i="2"/>
  <c r="BA189" i="2"/>
  <c r="AK189" i="2"/>
  <c r="AZ275" i="2"/>
  <c r="AJ275" i="2"/>
  <c r="BA355" i="2"/>
  <c r="AK355" i="2"/>
  <c r="AZ348" i="2"/>
  <c r="AJ348" i="2"/>
  <c r="BA333" i="2"/>
  <c r="AK333" i="2"/>
  <c r="AZ304" i="2"/>
  <c r="AJ304" i="2"/>
  <c r="AK11" i="5"/>
  <c r="BA362" i="2"/>
  <c r="AK362" i="2"/>
  <c r="BA318" i="2"/>
  <c r="AK318" i="2"/>
  <c r="AJ311" i="2"/>
  <c r="AZ311" i="2"/>
  <c r="AZ289" i="2"/>
  <c r="AJ289" i="2"/>
  <c r="AZ267" i="2"/>
  <c r="AJ267" i="2"/>
  <c r="BA230" i="2"/>
  <c r="AK230" i="2"/>
  <c r="AZ223" i="2"/>
  <c r="AJ223" i="2"/>
  <c r="AZ201" i="2"/>
  <c r="AJ201" i="2"/>
  <c r="BA186" i="2"/>
  <c r="AK186" i="2"/>
  <c r="AK369" i="2"/>
  <c r="BA369" i="2"/>
  <c r="AZ362" i="2"/>
  <c r="AJ362" i="2"/>
  <c r="AK347" i="2"/>
  <c r="BA347" i="2"/>
  <c r="AJ340" i="2"/>
  <c r="AZ340" i="2"/>
  <c r="BA325" i="2"/>
  <c r="AK325" i="2"/>
  <c r="AZ318" i="2"/>
  <c r="AJ318" i="2"/>
  <c r="BA303" i="2"/>
  <c r="AK303" i="2"/>
  <c r="AJ274" i="2"/>
  <c r="AZ274" i="2"/>
  <c r="AK259" i="2"/>
  <c r="BA259" i="2"/>
  <c r="AJ252" i="2"/>
  <c r="AZ252" i="2"/>
  <c r="AZ230" i="2"/>
  <c r="AJ230" i="2"/>
  <c r="AZ186" i="2"/>
  <c r="AJ186" i="2"/>
  <c r="AK16" i="5"/>
  <c r="AZ259" i="2"/>
  <c r="AJ259" i="2"/>
  <c r="BA222" i="2"/>
  <c r="AK222" i="2"/>
  <c r="BA178" i="2"/>
  <c r="AK178" i="2"/>
  <c r="AZ354" i="2"/>
  <c r="AJ354" i="2"/>
  <c r="AZ332" i="2"/>
  <c r="AJ332" i="2"/>
  <c r="BA273" i="2"/>
  <c r="AK273" i="2"/>
  <c r="BA251" i="2"/>
  <c r="AK251" i="2"/>
  <c r="AZ244" i="2"/>
  <c r="AJ244" i="2"/>
  <c r="AK15" i="5"/>
  <c r="AJ295" i="2"/>
  <c r="AZ295" i="2"/>
  <c r="BA280" i="2"/>
  <c r="AK280" i="2"/>
  <c r="AZ273" i="2"/>
  <c r="AJ273" i="2"/>
  <c r="BA258" i="2"/>
  <c r="AK258" i="2"/>
  <c r="AZ251" i="2"/>
  <c r="AJ251" i="2"/>
  <c r="BA236" i="2"/>
  <c r="AK236" i="2"/>
  <c r="AJ207" i="2"/>
  <c r="AZ207" i="2"/>
  <c r="BA192" i="2"/>
  <c r="AK192" i="2"/>
  <c r="BA360" i="2"/>
  <c r="AK360" i="2"/>
  <c r="AZ353" i="2"/>
  <c r="AJ353" i="2"/>
  <c r="BA338" i="2"/>
  <c r="AK338" i="2"/>
  <c r="AJ331" i="2"/>
  <c r="AZ331" i="2"/>
  <c r="BA316" i="2"/>
  <c r="AK316" i="2"/>
  <c r="AJ309" i="2"/>
  <c r="AZ309" i="2"/>
  <c r="BA294" i="2"/>
  <c r="AK294" i="2"/>
  <c r="AZ287" i="2"/>
  <c r="AJ287" i="2"/>
  <c r="BA272" i="2"/>
  <c r="AK272" i="2"/>
  <c r="AZ265" i="2"/>
  <c r="AJ265" i="2"/>
  <c r="AK250" i="2"/>
  <c r="BA250" i="2"/>
  <c r="AZ243" i="2"/>
  <c r="AJ243" i="2"/>
  <c r="BA228" i="2"/>
  <c r="AK228" i="2"/>
  <c r="AZ221" i="2"/>
  <c r="AJ221" i="2"/>
  <c r="BA206" i="2"/>
  <c r="AK206" i="2"/>
  <c r="AZ199" i="2"/>
  <c r="AJ199" i="2"/>
  <c r="BA184" i="2"/>
  <c r="AK184" i="2"/>
  <c r="AA16" i="5"/>
  <c r="BA255" i="2"/>
  <c r="AK255" i="2"/>
  <c r="AZ226" i="2"/>
  <c r="AJ226" i="2"/>
  <c r="AZ204" i="2"/>
  <c r="AJ204" i="2"/>
  <c r="AJ365" i="2"/>
  <c r="AZ365" i="2"/>
  <c r="AK350" i="2"/>
  <c r="BA350" i="2"/>
  <c r="AZ343" i="2"/>
  <c r="AJ343" i="2"/>
  <c r="BA328" i="2"/>
  <c r="AK328" i="2"/>
  <c r="AZ321" i="2"/>
  <c r="AJ321" i="2"/>
  <c r="BA306" i="2"/>
  <c r="AK306" i="2"/>
  <c r="AZ299" i="2"/>
  <c r="AJ299" i="2"/>
  <c r="BA284" i="2"/>
  <c r="AK284" i="2"/>
  <c r="AJ277" i="2"/>
  <c r="AZ277" i="2"/>
  <c r="AZ189" i="2"/>
  <c r="AJ189" i="2"/>
  <c r="AZ319" i="2"/>
  <c r="AJ319" i="2"/>
  <c r="BA238" i="2"/>
  <c r="AK238" i="2"/>
  <c r="BA311" i="2"/>
  <c r="AK311" i="2"/>
  <c r="AJ282" i="2"/>
  <c r="AZ282" i="2"/>
  <c r="AZ238" i="2"/>
  <c r="AJ238" i="2"/>
  <c r="BA223" i="2"/>
  <c r="AK223" i="2"/>
  <c r="AZ216" i="2"/>
  <c r="AJ216" i="2"/>
  <c r="BA201" i="2"/>
  <c r="AK201" i="2"/>
  <c r="BA179" i="2"/>
  <c r="AK179" i="2"/>
  <c r="BA340" i="2"/>
  <c r="AK340" i="2"/>
  <c r="AJ333" i="2"/>
  <c r="AZ333" i="2"/>
  <c r="AK296" i="2"/>
  <c r="BA296" i="2"/>
  <c r="BA274" i="2"/>
  <c r="AK274" i="2"/>
  <c r="AK252" i="2"/>
  <c r="BA252" i="2"/>
  <c r="AK208" i="2"/>
  <c r="BA208" i="2"/>
  <c r="AJ179" i="2"/>
  <c r="AZ179" i="2"/>
  <c r="BA237" i="2"/>
  <c r="AK237" i="2"/>
  <c r="BA215" i="2"/>
  <c r="AK215" i="2"/>
  <c r="AK193" i="2"/>
  <c r="BA193" i="2"/>
  <c r="AZ369" i="2"/>
  <c r="AJ369" i="2"/>
  <c r="BA354" i="2"/>
  <c r="AK354" i="2"/>
  <c r="AZ347" i="2"/>
  <c r="AJ347" i="2"/>
  <c r="AK332" i="2"/>
  <c r="BA332" i="2"/>
  <c r="AZ325" i="2"/>
  <c r="AJ325" i="2"/>
  <c r="BA310" i="2"/>
  <c r="AK310" i="2"/>
  <c r="AZ303" i="2"/>
  <c r="AJ303" i="2"/>
  <c r="AJ237" i="2"/>
  <c r="AZ237" i="2"/>
  <c r="BA200" i="2"/>
  <c r="AK200" i="2"/>
  <c r="AZ193" i="2"/>
  <c r="AJ193" i="2"/>
  <c r="AZ288" i="2"/>
  <c r="AJ288" i="2"/>
  <c r="AZ200" i="2"/>
  <c r="AJ200" i="2"/>
  <c r="BA367" i="2"/>
  <c r="AK367" i="2"/>
  <c r="AZ360" i="2"/>
  <c r="AJ360" i="2"/>
  <c r="BA345" i="2"/>
  <c r="AK345" i="2"/>
  <c r="AZ338" i="2"/>
  <c r="AJ338" i="2"/>
  <c r="AK323" i="2"/>
  <c r="BA323" i="2"/>
  <c r="AZ316" i="2"/>
  <c r="AJ316" i="2"/>
  <c r="BA301" i="2"/>
  <c r="AK301" i="2"/>
  <c r="AZ294" i="2"/>
  <c r="AJ294" i="2"/>
  <c r="AK279" i="2"/>
  <c r="BA279" i="2"/>
  <c r="AZ272" i="2"/>
  <c r="AJ272" i="2"/>
  <c r="BA257" i="2"/>
  <c r="AK257" i="2"/>
  <c r="AJ250" i="2"/>
  <c r="AZ250" i="2"/>
  <c r="BA235" i="2"/>
  <c r="AK235" i="2"/>
  <c r="AZ228" i="2"/>
  <c r="AJ228" i="2"/>
  <c r="BA213" i="2"/>
  <c r="AK213" i="2"/>
  <c r="AJ206" i="2"/>
  <c r="AZ206" i="2"/>
  <c r="BA191" i="2"/>
  <c r="AK191" i="2"/>
  <c r="AZ184" i="2"/>
  <c r="AJ184" i="2"/>
  <c r="AB16" i="5"/>
  <c r="AJ367" i="2"/>
  <c r="AZ367" i="2"/>
  <c r="BA352" i="2"/>
  <c r="AK352" i="2"/>
  <c r="AZ345" i="2"/>
  <c r="AJ345" i="2"/>
  <c r="BA330" i="2"/>
  <c r="AK330" i="2"/>
  <c r="AZ323" i="2"/>
  <c r="AJ323" i="2"/>
  <c r="BA308" i="2"/>
  <c r="AK308" i="2"/>
  <c r="AZ301" i="2"/>
  <c r="AJ301" i="2"/>
  <c r="BA286" i="2"/>
  <c r="AK286" i="2"/>
  <c r="AZ279" i="2"/>
  <c r="AJ279" i="2"/>
  <c r="AK264" i="2"/>
  <c r="BA264" i="2"/>
  <c r="AJ257" i="2"/>
  <c r="AZ257" i="2"/>
  <c r="AK242" i="2"/>
  <c r="BA242" i="2"/>
  <c r="AJ235" i="2"/>
  <c r="AZ235" i="2"/>
  <c r="BA220" i="2"/>
  <c r="AK220" i="2"/>
  <c r="AJ213" i="2"/>
  <c r="AZ213" i="2"/>
  <c r="AK198" i="2"/>
  <c r="BA198" i="2"/>
  <c r="AZ191" i="2"/>
  <c r="AJ191" i="2"/>
  <c r="AA15" i="5"/>
  <c r="AC16" i="5"/>
  <c r="AZ218" i="2"/>
  <c r="AJ218" i="2"/>
  <c r="AK181" i="2"/>
  <c r="BA181" i="2"/>
  <c r="BA364" i="2"/>
  <c r="AK364" i="2"/>
  <c r="BA342" i="2"/>
  <c r="AK342" i="2"/>
  <c r="AK320" i="2"/>
  <c r="BA320" i="2"/>
  <c r="AK232" i="2"/>
  <c r="BA232" i="2"/>
  <c r="BA188" i="2"/>
  <c r="AK188" i="2"/>
  <c r="AZ177" i="2"/>
  <c r="AJ177" i="2"/>
  <c r="AK349" i="2"/>
  <c r="BA349" i="2"/>
  <c r="BA327" i="2"/>
  <c r="AK327" i="2"/>
  <c r="AZ232" i="2"/>
  <c r="AJ232" i="2"/>
  <c r="AZ349" i="2"/>
  <c r="AJ349" i="2"/>
  <c r="BA290" i="2"/>
  <c r="AK290" i="2"/>
  <c r="BA224" i="2"/>
  <c r="AK224" i="2"/>
  <c r="BA341" i="2"/>
  <c r="AK341" i="2"/>
  <c r="AZ334" i="2"/>
  <c r="AJ334" i="2"/>
  <c r="AZ312" i="2"/>
  <c r="AJ312" i="2"/>
  <c r="AZ290" i="2"/>
  <c r="AJ290" i="2"/>
  <c r="AK275" i="2"/>
  <c r="BA275" i="2"/>
  <c r="BA253" i="2"/>
  <c r="AK253" i="2"/>
  <c r="BA231" i="2"/>
  <c r="AK231" i="2"/>
  <c r="AZ224" i="2"/>
  <c r="AJ224" i="2"/>
  <c r="AJ202" i="2"/>
  <c r="AZ202" i="2"/>
  <c r="AJ350" i="2"/>
  <c r="AZ350" i="2"/>
  <c r="BA313" i="2"/>
  <c r="AK313" i="2"/>
  <c r="BA291" i="2"/>
  <c r="AK291" i="2"/>
  <c r="AZ284" i="2"/>
  <c r="AJ284" i="2"/>
  <c r="BA269" i="2"/>
  <c r="AK269" i="2"/>
  <c r="AZ262" i="2"/>
  <c r="AJ262" i="2"/>
  <c r="BA247" i="2"/>
  <c r="AK247" i="2"/>
  <c r="AJ240" i="2"/>
  <c r="AZ240" i="2"/>
  <c r="AC12" i="5"/>
  <c r="AK10" i="5"/>
  <c r="AK276" i="2"/>
  <c r="BA276" i="2"/>
  <c r="BA254" i="2"/>
  <c r="AK254" i="2"/>
  <c r="AZ247" i="2"/>
  <c r="AJ247" i="2"/>
  <c r="BA305" i="2"/>
  <c r="AK305" i="2"/>
  <c r="AK283" i="2"/>
  <c r="BA283" i="2"/>
  <c r="BA261" i="2"/>
  <c r="AK261" i="2"/>
  <c r="BA239" i="2"/>
  <c r="AK239" i="2"/>
  <c r="AZ210" i="2"/>
  <c r="AJ210" i="2"/>
  <c r="BA177" i="2"/>
  <c r="AK177" i="2"/>
  <c r="BA334" i="2"/>
  <c r="AK334" i="2"/>
  <c r="AZ305" i="2"/>
  <c r="AJ305" i="2"/>
  <c r="BA268" i="2"/>
  <c r="AK268" i="2"/>
  <c r="BA246" i="2"/>
  <c r="AK246" i="2"/>
  <c r="AZ217" i="2"/>
  <c r="AJ217" i="2"/>
  <c r="AZ195" i="2"/>
  <c r="AJ195" i="2"/>
  <c r="BA363" i="2"/>
  <c r="AK363" i="2"/>
  <c r="BA319" i="2"/>
  <c r="AK319" i="2"/>
  <c r="AK297" i="2"/>
  <c r="BA297" i="2"/>
  <c r="AZ268" i="2"/>
  <c r="AJ268" i="2"/>
  <c r="AZ246" i="2"/>
  <c r="AJ246" i="2"/>
  <c r="BA209" i="2"/>
  <c r="AK209" i="2"/>
  <c r="AZ180" i="2"/>
  <c r="AJ180" i="2"/>
  <c r="AA13" i="5"/>
  <c r="BA365" i="2"/>
  <c r="AK365" i="2"/>
  <c r="BA343" i="2"/>
  <c r="AK343" i="2"/>
  <c r="BA321" i="2"/>
  <c r="AK321" i="2"/>
  <c r="BA299" i="2"/>
  <c r="AK299" i="2"/>
  <c r="AJ292" i="2"/>
  <c r="AZ292" i="2"/>
  <c r="BA277" i="2"/>
  <c r="AK277" i="2"/>
  <c r="AZ248" i="2"/>
  <c r="AJ248" i="2"/>
  <c r="AZ182" i="2"/>
  <c r="AJ182" i="2"/>
  <c r="AK262" i="2"/>
  <c r="BA262" i="2"/>
  <c r="AZ255" i="2"/>
  <c r="AJ255" i="2"/>
  <c r="AK240" i="2"/>
  <c r="BA240" i="2"/>
  <c r="AZ233" i="2"/>
  <c r="AJ233" i="2"/>
  <c r="AK218" i="2"/>
  <c r="BA218" i="2"/>
  <c r="AZ211" i="2"/>
  <c r="AJ211" i="2"/>
  <c r="BA196" i="2"/>
  <c r="AK196" i="2"/>
  <c r="AK326" i="2"/>
  <c r="BA326" i="2"/>
  <c r="BA304" i="2"/>
  <c r="AK304" i="2"/>
  <c r="BA260" i="2"/>
  <c r="AK260" i="2"/>
  <c r="AZ253" i="2"/>
  <c r="AJ253" i="2"/>
  <c r="AZ231" i="2"/>
  <c r="AJ231" i="2"/>
  <c r="AZ209" i="2"/>
  <c r="AJ209" i="2"/>
  <c r="AZ187" i="2"/>
  <c r="AJ187" i="2"/>
  <c r="AB13" i="5"/>
  <c r="BA289" i="2"/>
  <c r="AK289" i="2"/>
  <c r="AK267" i="2"/>
  <c r="BA267" i="2"/>
  <c r="AZ194" i="2"/>
  <c r="AJ194" i="2"/>
  <c r="AC13" i="5"/>
  <c r="AK359" i="2"/>
  <c r="BA359" i="2"/>
  <c r="AZ352" i="2"/>
  <c r="AJ352" i="2"/>
  <c r="AK337" i="2"/>
  <c r="BA337" i="2"/>
  <c r="AJ330" i="2"/>
  <c r="AZ330" i="2"/>
  <c r="BA315" i="2"/>
  <c r="AK315" i="2"/>
  <c r="AZ308" i="2"/>
  <c r="AJ308" i="2"/>
  <c r="AK293" i="2"/>
  <c r="BA293" i="2"/>
  <c r="AJ286" i="2"/>
  <c r="AZ286" i="2"/>
  <c r="AK14" i="5"/>
  <c r="BA271" i="2"/>
  <c r="AK271" i="2"/>
  <c r="AZ264" i="2"/>
  <c r="AJ264" i="2"/>
  <c r="BA249" i="2"/>
  <c r="AK249" i="2"/>
  <c r="AZ242" i="2"/>
  <c r="AJ242" i="2"/>
  <c r="BA227" i="2"/>
  <c r="AK227" i="2"/>
  <c r="AZ220" i="2"/>
  <c r="AJ220" i="2"/>
  <c r="AK205" i="2"/>
  <c r="BA205" i="2"/>
  <c r="AZ198" i="2"/>
  <c r="AJ198" i="2"/>
  <c r="BA183" i="2"/>
  <c r="AK183" i="2"/>
  <c r="AB15" i="5"/>
  <c r="AK366" i="2"/>
  <c r="BA366" i="2"/>
  <c r="AZ359" i="2"/>
  <c r="AJ359" i="2"/>
  <c r="BA344" i="2"/>
  <c r="AK344" i="2"/>
  <c r="AJ337" i="2"/>
  <c r="AZ337" i="2"/>
  <c r="AK322" i="2"/>
  <c r="BA322" i="2"/>
  <c r="AZ315" i="2"/>
  <c r="AJ315" i="2"/>
  <c r="BA300" i="2"/>
  <c r="AK300" i="2"/>
  <c r="AZ293" i="2"/>
  <c r="AJ293" i="2"/>
  <c r="AK278" i="2"/>
  <c r="BA278" i="2"/>
  <c r="AZ271" i="2"/>
  <c r="AJ271" i="2"/>
  <c r="BA256" i="2"/>
  <c r="AK256" i="2"/>
  <c r="AZ249" i="2"/>
  <c r="AJ249" i="2"/>
  <c r="AK234" i="2"/>
  <c r="BA234" i="2"/>
  <c r="AJ227" i="2"/>
  <c r="AZ227" i="2"/>
  <c r="BA212" i="2"/>
  <c r="AK212" i="2"/>
  <c r="AZ205" i="2"/>
  <c r="AJ205" i="2"/>
  <c r="AK190" i="2"/>
  <c r="BA190" i="2"/>
  <c r="AZ183" i="2"/>
  <c r="AJ183" i="2"/>
  <c r="AA14" i="5"/>
  <c r="AC15" i="5"/>
  <c r="AZ366" i="2"/>
  <c r="AJ366" i="2"/>
  <c r="BA351" i="2"/>
  <c r="AK351" i="2"/>
  <c r="AZ344" i="2"/>
  <c r="AJ344" i="2"/>
  <c r="BA329" i="2"/>
  <c r="AK329" i="2"/>
  <c r="AZ322" i="2"/>
  <c r="AJ322" i="2"/>
  <c r="BA307" i="2"/>
  <c r="AK307" i="2"/>
  <c r="AZ300" i="2"/>
  <c r="AJ300" i="2"/>
  <c r="BA285" i="2"/>
  <c r="AK285" i="2"/>
  <c r="AJ278" i="2"/>
  <c r="AZ278" i="2"/>
  <c r="BA263" i="2"/>
  <c r="AK263" i="2"/>
  <c r="AJ256" i="2"/>
  <c r="AZ256" i="2"/>
  <c r="AK13" i="5"/>
  <c r="BA241" i="2"/>
  <c r="AK241" i="2"/>
  <c r="AZ234" i="2"/>
  <c r="AJ234" i="2"/>
  <c r="BA219" i="2"/>
  <c r="AK219" i="2"/>
  <c r="AJ212" i="2"/>
  <c r="AZ212" i="2"/>
  <c r="BA197" i="2"/>
  <c r="AK197" i="2"/>
  <c r="AZ190" i="2"/>
  <c r="AJ190" i="2"/>
  <c r="AB14" i="5"/>
  <c r="BA358" i="2"/>
  <c r="AK358" i="2"/>
  <c r="AZ351" i="2"/>
  <c r="AJ351" i="2"/>
  <c r="BA336" i="2"/>
  <c r="AK336" i="2"/>
  <c r="AZ329" i="2"/>
  <c r="AJ329" i="2"/>
  <c r="BA314" i="2"/>
  <c r="AK314" i="2"/>
  <c r="AZ307" i="2"/>
  <c r="AJ307" i="2"/>
  <c r="BA292" i="2"/>
  <c r="AK292" i="2"/>
  <c r="AJ285" i="2"/>
  <c r="AZ285" i="2"/>
  <c r="BA270" i="2"/>
  <c r="AK270" i="2"/>
  <c r="AJ263" i="2"/>
  <c r="AZ263" i="2"/>
  <c r="BA248" i="2"/>
  <c r="AK248" i="2"/>
  <c r="AZ241" i="2"/>
  <c r="AJ241" i="2"/>
  <c r="BA226" i="2"/>
  <c r="AK226" i="2"/>
  <c r="AZ219" i="2"/>
  <c r="AJ219" i="2"/>
  <c r="BA204" i="2"/>
  <c r="AK204" i="2"/>
  <c r="AJ197" i="2"/>
  <c r="AZ197" i="2"/>
  <c r="BA182" i="2"/>
  <c r="AK182" i="2"/>
  <c r="AC14" i="5"/>
  <c r="AX369" i="2"/>
  <c r="BD369" i="2" s="1"/>
  <c r="BE369" i="2" s="1"/>
  <c r="N186" i="1"/>
  <c r="Y186" i="2" s="1"/>
  <c r="N182" i="1"/>
  <c r="Y182" i="2" s="1"/>
  <c r="AL16" i="5" l="1"/>
  <c r="AX358" i="2"/>
  <c r="BD358" i="2" s="1"/>
  <c r="BE358" i="2" s="1"/>
  <c r="AX251" i="2"/>
  <c r="BD251" i="2" s="1"/>
  <c r="BE251" i="2" s="1"/>
  <c r="AX339" i="2"/>
  <c r="BD339" i="2" s="1"/>
  <c r="BE339" i="2" s="1"/>
  <c r="AX342" i="2"/>
  <c r="BD342" i="2" s="1"/>
  <c r="BE342" i="2" s="1"/>
  <c r="AX292" i="2"/>
  <c r="BD292" i="2" s="1"/>
  <c r="BE292" i="2" s="1"/>
  <c r="AX357" i="2"/>
  <c r="BD357" i="2" s="1"/>
  <c r="BE357" i="2" s="1"/>
  <c r="AX317" i="2"/>
  <c r="BD317" i="2" s="1"/>
  <c r="BE317" i="2" s="1"/>
  <c r="AX297" i="2"/>
  <c r="BD297" i="2" s="1"/>
  <c r="BE297" i="2" s="1"/>
  <c r="AX280" i="2"/>
  <c r="BD280" i="2" s="1"/>
  <c r="BE280" i="2" s="1"/>
  <c r="AX252" i="2"/>
  <c r="BD252" i="2" s="1"/>
  <c r="BE252" i="2" s="1"/>
  <c r="AX255" i="2"/>
  <c r="BD255" i="2" s="1"/>
  <c r="BE255" i="2" s="1"/>
  <c r="AX195" i="2"/>
  <c r="BD195" i="2" s="1"/>
  <c r="BE195" i="2" s="1"/>
  <c r="AX347" i="2"/>
  <c r="BD347" i="2" s="1"/>
  <c r="BE347" i="2" s="1"/>
  <c r="AX348" i="2"/>
  <c r="BD348" i="2" s="1"/>
  <c r="BE348" i="2" s="1"/>
  <c r="AX349" i="2"/>
  <c r="BD349" i="2" s="1"/>
  <c r="BE349" i="2" s="1"/>
  <c r="AX316" i="2"/>
  <c r="BD316" i="2" s="1"/>
  <c r="BE316" i="2" s="1"/>
  <c r="AX362" i="2"/>
  <c r="BD362" i="2" s="1"/>
  <c r="BE362" i="2" s="1"/>
  <c r="AX328" i="2"/>
  <c r="BD328" i="2" s="1"/>
  <c r="BE328" i="2" s="1"/>
  <c r="AX197" i="2"/>
  <c r="BD197" i="2" s="1"/>
  <c r="BE197" i="2" s="1"/>
  <c r="AX267" i="2"/>
  <c r="BD267" i="2" s="1"/>
  <c r="BE267" i="2" s="1"/>
  <c r="AX355" i="2"/>
  <c r="BD355" i="2" s="1"/>
  <c r="BE355" i="2" s="1"/>
  <c r="AX186" i="2"/>
  <c r="BD186" i="2" s="1"/>
  <c r="BE186" i="2" s="1"/>
  <c r="AX360" i="2"/>
  <c r="BD360" i="2" s="1"/>
  <c r="BE360" i="2" s="1"/>
  <c r="AX241" i="2"/>
  <c r="BD241" i="2" s="1"/>
  <c r="BE241" i="2" s="1"/>
  <c r="AX229" i="2"/>
  <c r="BD229" i="2" s="1"/>
  <c r="BE229" i="2" s="1"/>
  <c r="AX361" i="2"/>
  <c r="BD361" i="2" s="1"/>
  <c r="BE361" i="2" s="1"/>
  <c r="AX344" i="2"/>
  <c r="BD344" i="2" s="1"/>
  <c r="BE344" i="2" s="1"/>
  <c r="AX272" i="2"/>
  <c r="BD272" i="2" s="1"/>
  <c r="BE272" i="2" s="1"/>
  <c r="AX203" i="2"/>
  <c r="BD203" i="2" s="1"/>
  <c r="BE203" i="2" s="1"/>
  <c r="AX202" i="2"/>
  <c r="BD202" i="2" s="1"/>
  <c r="BE202" i="2" s="1"/>
  <c r="AX250" i="2"/>
  <c r="BD250" i="2" s="1"/>
  <c r="BE250" i="2" s="1"/>
  <c r="AX337" i="2"/>
  <c r="BD337" i="2" s="1"/>
  <c r="BE337" i="2" s="1"/>
  <c r="AX181" i="2"/>
  <c r="BD181" i="2" s="1"/>
  <c r="BE181" i="2" s="1"/>
  <c r="AX247" i="2"/>
  <c r="BD247" i="2" s="1"/>
  <c r="BE247" i="2" s="1"/>
  <c r="AX338" i="2"/>
  <c r="BD338" i="2" s="1"/>
  <c r="BE338" i="2" s="1"/>
  <c r="AX293" i="2"/>
  <c r="BD293" i="2" s="1"/>
  <c r="BE293" i="2" s="1"/>
  <c r="AX281" i="2"/>
  <c r="BD281" i="2" s="1"/>
  <c r="BE281" i="2" s="1"/>
  <c r="AX236" i="2"/>
  <c r="BD236" i="2" s="1"/>
  <c r="BE236" i="2" s="1"/>
  <c r="AX343" i="2"/>
  <c r="BD343" i="2" s="1"/>
  <c r="BE343" i="2" s="1"/>
  <c r="AX346" i="2"/>
  <c r="BD346" i="2" s="1"/>
  <c r="BE346" i="2" s="1"/>
  <c r="AX300" i="2"/>
  <c r="BD300" i="2" s="1"/>
  <c r="BE300" i="2" s="1"/>
  <c r="AX333" i="2"/>
  <c r="BD333" i="2" s="1"/>
  <c r="BE333" i="2" s="1"/>
  <c r="AX313" i="2"/>
  <c r="BD313" i="2" s="1"/>
  <c r="BE313" i="2" s="1"/>
  <c r="AX296" i="2"/>
  <c r="BD296" i="2" s="1"/>
  <c r="BE296" i="2" s="1"/>
  <c r="AX284" i="2"/>
  <c r="BD284" i="2" s="1"/>
  <c r="BE284" i="2" s="1"/>
  <c r="AX192" i="2"/>
  <c r="BD192" i="2" s="1"/>
  <c r="BE192" i="2" s="1"/>
  <c r="AX259" i="2"/>
  <c r="BD259" i="2" s="1"/>
  <c r="BE259" i="2" s="1"/>
  <c r="AX271" i="2"/>
  <c r="BD271" i="2" s="1"/>
  <c r="BE271" i="2" s="1"/>
  <c r="AX190" i="2"/>
  <c r="BD190" i="2" s="1"/>
  <c r="BE190" i="2" s="1"/>
  <c r="AX257" i="2"/>
  <c r="BD257" i="2" s="1"/>
  <c r="BE257" i="2" s="1"/>
  <c r="AX309" i="2"/>
  <c r="BD309" i="2" s="1"/>
  <c r="BE309" i="2" s="1"/>
  <c r="AX182" i="2"/>
  <c r="BD182" i="2" s="1"/>
  <c r="BE182" i="2" s="1"/>
  <c r="AX368" i="2"/>
  <c r="BD368" i="2" s="1"/>
  <c r="BE368" i="2" s="1"/>
  <c r="AX234" i="2"/>
  <c r="BD234" i="2" s="1"/>
  <c r="BE234" i="2" s="1"/>
  <c r="AX238" i="2"/>
  <c r="BD238" i="2" s="1"/>
  <c r="BE238" i="2" s="1"/>
  <c r="AX207" i="2"/>
  <c r="BD207" i="2" s="1"/>
  <c r="BE207" i="2" s="1"/>
  <c r="AX295" i="2"/>
  <c r="BD295" i="2" s="1"/>
  <c r="BE295" i="2" s="1"/>
  <c r="AX214" i="2"/>
  <c r="BD214" i="2" s="1"/>
  <c r="BE214" i="2" s="1"/>
  <c r="AX254" i="2"/>
  <c r="BD254" i="2" s="1"/>
  <c r="BE254" i="2" s="1"/>
  <c r="AX205" i="2"/>
  <c r="BD205" i="2" s="1"/>
  <c r="BE205" i="2" s="1"/>
  <c r="AX353" i="2"/>
  <c r="BD353" i="2" s="1"/>
  <c r="BE353" i="2" s="1"/>
  <c r="AX261" i="2"/>
  <c r="BD261" i="2" s="1"/>
  <c r="BE261" i="2" s="1"/>
  <c r="AX340" i="2"/>
  <c r="AX220" i="2"/>
  <c r="BD220" i="2" s="1"/>
  <c r="BE220" i="2" s="1"/>
  <c r="AM13" i="5"/>
  <c r="AX242" i="2"/>
  <c r="BD242" i="2" s="1"/>
  <c r="BE242" i="2" s="1"/>
  <c r="AX211" i="2"/>
  <c r="BD211" i="2" s="1"/>
  <c r="BE211" i="2" s="1"/>
  <c r="AX299" i="2"/>
  <c r="BD299" i="2" s="1"/>
  <c r="BE299" i="2" s="1"/>
  <c r="AX222" i="2"/>
  <c r="BD222" i="2" s="1"/>
  <c r="BE222" i="2" s="1"/>
  <c r="AX270" i="2"/>
  <c r="BD270" i="2" s="1"/>
  <c r="BE270" i="2" s="1"/>
  <c r="AX276" i="2"/>
  <c r="BD276" i="2" s="1"/>
  <c r="BE276" i="2" s="1"/>
  <c r="AX188" i="2"/>
  <c r="BD188" i="2" s="1"/>
  <c r="BE188" i="2" s="1"/>
  <c r="AX246" i="2"/>
  <c r="BD246" i="2" s="1"/>
  <c r="BE246" i="2" s="1"/>
  <c r="AX215" i="2"/>
  <c r="BD215" i="2" s="1"/>
  <c r="BE215" i="2" s="1"/>
  <c r="AX303" i="2"/>
  <c r="BD303" i="2" s="1"/>
  <c r="BE303" i="2" s="1"/>
  <c r="AX266" i="2"/>
  <c r="BD266" i="2" s="1"/>
  <c r="BE266" i="2" s="1"/>
  <c r="AX286" i="2"/>
  <c r="BD286" i="2" s="1"/>
  <c r="BE286" i="2" s="1"/>
  <c r="AX208" i="2"/>
  <c r="BD208" i="2" s="1"/>
  <c r="BE208" i="2" s="1"/>
  <c r="AX356" i="2"/>
  <c r="BD356" i="2" s="1"/>
  <c r="BE356" i="2" s="1"/>
  <c r="AX258" i="2"/>
  <c r="BD258" i="2" s="1"/>
  <c r="BE258" i="2" s="1"/>
  <c r="AX219" i="2"/>
  <c r="BD219" i="2" s="1"/>
  <c r="BE219" i="2" s="1"/>
  <c r="AX307" i="2"/>
  <c r="BD307" i="2" s="1"/>
  <c r="BE307" i="2" s="1"/>
  <c r="AX274" i="2"/>
  <c r="BD274" i="2" s="1"/>
  <c r="BE274" i="2" s="1"/>
  <c r="AX314" i="2"/>
  <c r="BD314" i="2" s="1"/>
  <c r="BE314" i="2" s="1"/>
  <c r="AX209" i="2"/>
  <c r="BD209" i="2" s="1"/>
  <c r="BE209" i="2" s="1"/>
  <c r="AX277" i="2"/>
  <c r="BD277" i="2" s="1"/>
  <c r="BE277" i="2" s="1"/>
  <c r="AX260" i="2"/>
  <c r="BD260" i="2" s="1"/>
  <c r="BE260" i="2" s="1"/>
  <c r="AM11" i="5"/>
  <c r="AX326" i="2"/>
  <c r="BD326" i="2" s="1"/>
  <c r="BE326" i="2" s="1"/>
  <c r="AX335" i="2"/>
  <c r="BD335" i="2" s="1"/>
  <c r="BE335" i="2" s="1"/>
  <c r="AX268" i="2"/>
  <c r="BD268" i="2" s="1"/>
  <c r="BE268" i="2" s="1"/>
  <c r="AX301" i="2"/>
  <c r="BD301" i="2" s="1"/>
  <c r="BE301" i="2" s="1"/>
  <c r="AX264" i="2"/>
  <c r="BD264" i="2" s="1"/>
  <c r="BE264" i="2" s="1"/>
  <c r="AX263" i="2"/>
  <c r="BD263" i="2" s="1"/>
  <c r="BE263" i="2" s="1"/>
  <c r="AX351" i="2"/>
  <c r="BD351" i="2" s="1"/>
  <c r="BE351" i="2" s="1"/>
  <c r="AX352" i="2"/>
  <c r="BD352" i="2" s="1"/>
  <c r="BE352" i="2" s="1"/>
  <c r="AX225" i="2"/>
  <c r="BD225" i="2" s="1"/>
  <c r="BE225" i="2" s="1"/>
  <c r="AX345" i="2"/>
  <c r="BD345" i="2" s="1"/>
  <c r="BE345" i="2" s="1"/>
  <c r="AX332" i="2"/>
  <c r="BD332" i="2" s="1"/>
  <c r="BE332" i="2" s="1"/>
  <c r="AX256" i="2"/>
  <c r="BD256" i="2" s="1"/>
  <c r="BE256" i="2" s="1"/>
  <c r="AM10" i="5"/>
  <c r="AX179" i="2"/>
  <c r="BD179" i="2" s="1"/>
  <c r="BE179" i="2" s="1"/>
  <c r="AX364" i="2"/>
  <c r="BD364" i="2" s="1"/>
  <c r="BE364" i="2" s="1"/>
  <c r="AX288" i="2"/>
  <c r="BD288" i="2" s="1"/>
  <c r="BE288" i="2" s="1"/>
  <c r="AX183" i="2"/>
  <c r="BD183" i="2" s="1"/>
  <c r="BE183" i="2" s="1"/>
  <c r="AX275" i="2"/>
  <c r="BD275" i="2" s="1"/>
  <c r="BE275" i="2" s="1"/>
  <c r="AX363" i="2"/>
  <c r="BD363" i="2" s="1"/>
  <c r="BE363" i="2" s="1"/>
  <c r="AX194" i="2"/>
  <c r="BD194" i="2" s="1"/>
  <c r="BE194" i="2" s="1"/>
  <c r="AX325" i="2"/>
  <c r="BD325" i="2" s="1"/>
  <c r="BE325" i="2" s="1"/>
  <c r="AX304" i="2"/>
  <c r="BD304" i="2" s="1"/>
  <c r="BE304" i="2" s="1"/>
  <c r="AX198" i="2"/>
  <c r="BD198" i="2" s="1"/>
  <c r="BE198" i="2" s="1"/>
  <c r="AX187" i="2"/>
  <c r="AX279" i="2"/>
  <c r="AX367" i="2"/>
  <c r="BD367" i="2" s="1"/>
  <c r="BE367" i="2" s="1"/>
  <c r="AX200" i="2"/>
  <c r="BD200" i="2" s="1"/>
  <c r="BE200" i="2" s="1"/>
  <c r="AX289" i="2"/>
  <c r="BD289" i="2" s="1"/>
  <c r="BE289" i="2" s="1"/>
  <c r="AX341" i="2"/>
  <c r="BD341" i="2" s="1"/>
  <c r="BE341" i="2" s="1"/>
  <c r="AX320" i="2"/>
  <c r="BD320" i="2" s="1"/>
  <c r="BE320" i="2" s="1"/>
  <c r="AX230" i="2"/>
  <c r="BD230" i="2" s="1"/>
  <c r="BE230" i="2" s="1"/>
  <c r="AL15" i="5"/>
  <c r="AX262" i="2"/>
  <c r="BD262" i="2" s="1"/>
  <c r="BE262" i="2" s="1"/>
  <c r="AX223" i="2"/>
  <c r="BD223" i="2" s="1"/>
  <c r="BE223" i="2" s="1"/>
  <c r="AX311" i="2"/>
  <c r="BD311" i="2" s="1"/>
  <c r="BE311" i="2" s="1"/>
  <c r="AX298" i="2"/>
  <c r="BD298" i="2" s="1"/>
  <c r="BE298" i="2" s="1"/>
  <c r="AX334" i="2"/>
  <c r="BD334" i="2" s="1"/>
  <c r="BE334" i="2" s="1"/>
  <c r="AX212" i="2"/>
  <c r="BD212" i="2" s="1"/>
  <c r="BE212" i="2" s="1"/>
  <c r="AX189" i="2"/>
  <c r="BD189" i="2" s="1"/>
  <c r="BE189" i="2" s="1"/>
  <c r="AX185" i="2"/>
  <c r="BD185" i="2" s="1"/>
  <c r="BE185" i="2" s="1"/>
  <c r="AX308" i="2"/>
  <c r="BD308" i="2" s="1"/>
  <c r="BE308" i="2" s="1"/>
  <c r="AL14" i="5"/>
  <c r="AX227" i="2"/>
  <c r="BD227" i="2" s="1"/>
  <c r="BE227" i="2" s="1"/>
  <c r="AX221" i="2"/>
  <c r="BD221" i="2" s="1"/>
  <c r="BE221" i="2" s="1"/>
  <c r="AX201" i="2"/>
  <c r="BD201" i="2" s="1"/>
  <c r="BE201" i="2" s="1"/>
  <c r="AX324" i="2"/>
  <c r="BD324" i="2" s="1"/>
  <c r="BE324" i="2" s="1"/>
  <c r="AX282" i="2"/>
  <c r="BD282" i="2" s="1"/>
  <c r="BE282" i="2" s="1"/>
  <c r="AX231" i="2"/>
  <c r="BD231" i="2" s="1"/>
  <c r="BE231" i="2" s="1"/>
  <c r="AX306" i="2"/>
  <c r="BD306" i="2" s="1"/>
  <c r="BE306" i="2" s="1"/>
  <c r="AX366" i="2"/>
  <c r="BD366" i="2" s="1"/>
  <c r="BE366" i="2" s="1"/>
  <c r="AX237" i="2"/>
  <c r="BD237" i="2" s="1"/>
  <c r="BE237" i="2" s="1"/>
  <c r="AX217" i="2"/>
  <c r="BD217" i="2" s="1"/>
  <c r="BE217" i="2" s="1"/>
  <c r="AL12" i="5"/>
  <c r="AX290" i="2"/>
  <c r="BD290" i="2" s="1"/>
  <c r="BE290" i="2" s="1"/>
  <c r="AX235" i="2"/>
  <c r="BD235" i="2" s="1"/>
  <c r="BE235" i="2" s="1"/>
  <c r="AX323" i="2"/>
  <c r="BD323" i="2" s="1"/>
  <c r="BE323" i="2" s="1"/>
  <c r="AX310" i="2"/>
  <c r="AX253" i="2"/>
  <c r="BD253" i="2" s="1"/>
  <c r="BE253" i="2" s="1"/>
  <c r="AX233" i="2"/>
  <c r="BD233" i="2" s="1"/>
  <c r="BE233" i="2" s="1"/>
  <c r="AX184" i="2"/>
  <c r="BD184" i="2" s="1"/>
  <c r="BE184" i="2" s="1"/>
  <c r="AL13" i="5"/>
  <c r="AX294" i="2"/>
  <c r="BD294" i="2" s="1"/>
  <c r="BE294" i="2" s="1"/>
  <c r="AX239" i="2"/>
  <c r="BD239" i="2" s="1"/>
  <c r="BE239" i="2" s="1"/>
  <c r="AX327" i="2"/>
  <c r="BD327" i="2" s="1"/>
  <c r="BE327" i="2" s="1"/>
  <c r="AX322" i="2"/>
  <c r="BD322" i="2" s="1"/>
  <c r="BE322" i="2" s="1"/>
  <c r="AX245" i="2"/>
  <c r="BD245" i="2" s="1"/>
  <c r="BE245" i="2" s="1"/>
  <c r="AX269" i="2"/>
  <c r="BD269" i="2" s="1"/>
  <c r="BE269" i="2" s="1"/>
  <c r="AX249" i="2"/>
  <c r="AX216" i="2"/>
  <c r="BD216" i="2" s="1"/>
  <c r="BE216" i="2" s="1"/>
  <c r="AX196" i="2"/>
  <c r="BD196" i="2" s="1"/>
  <c r="BE196" i="2" s="1"/>
  <c r="AX354" i="2"/>
  <c r="BD354" i="2" s="1"/>
  <c r="BE354" i="2" s="1"/>
  <c r="AX193" i="2"/>
  <c r="BD193" i="2" s="1"/>
  <c r="BE193" i="2" s="1"/>
  <c r="AX329" i="2"/>
  <c r="BD329" i="2" s="1"/>
  <c r="BE329" i="2" s="1"/>
  <c r="AX312" i="2"/>
  <c r="BD312" i="2" s="1"/>
  <c r="BE312" i="2" s="1"/>
  <c r="AX240" i="2"/>
  <c r="BD240" i="2" s="1"/>
  <c r="BE240" i="2" s="1"/>
  <c r="AM16" i="5"/>
  <c r="AX365" i="2"/>
  <c r="BD365" i="2" s="1"/>
  <c r="BE365" i="2" s="1"/>
  <c r="AL10" i="5"/>
  <c r="AX359" i="2"/>
  <c r="BD359" i="2" s="1"/>
  <c r="BE359" i="2" s="1"/>
  <c r="AX244" i="2"/>
  <c r="BD244" i="2" s="1"/>
  <c r="BE244" i="2" s="1"/>
  <c r="AX273" i="2"/>
  <c r="BD273" i="2" s="1"/>
  <c r="BE273" i="2" s="1"/>
  <c r="AX218" i="2"/>
  <c r="AM14" i="5"/>
  <c r="AX206" i="2"/>
  <c r="BD206" i="2" s="1"/>
  <c r="BE206" i="2" s="1"/>
  <c r="AX191" i="2"/>
  <c r="BD191" i="2" s="1"/>
  <c r="BE191" i="2" s="1"/>
  <c r="AX283" i="2"/>
  <c r="BD283" i="2" s="1"/>
  <c r="BE283" i="2" s="1"/>
  <c r="AX226" i="2"/>
  <c r="BD226" i="2" s="1"/>
  <c r="BE226" i="2" s="1"/>
  <c r="AX305" i="2"/>
  <c r="BD305" i="2" s="1"/>
  <c r="BE305" i="2" s="1"/>
  <c r="AX228" i="2"/>
  <c r="BD228" i="2" s="1"/>
  <c r="BE228" i="2" s="1"/>
  <c r="AX336" i="2"/>
  <c r="BD336" i="2" s="1"/>
  <c r="BE336" i="2" s="1"/>
  <c r="AX210" i="2"/>
  <c r="BD210" i="2" s="1"/>
  <c r="BE210" i="2" s="1"/>
  <c r="AX199" i="2"/>
  <c r="BD199" i="2" s="1"/>
  <c r="BE199" i="2" s="1"/>
  <c r="AX287" i="2"/>
  <c r="BD287" i="2" s="1"/>
  <c r="BE287" i="2" s="1"/>
  <c r="AX178" i="2"/>
  <c r="AX204" i="2"/>
  <c r="BD204" i="2" s="1"/>
  <c r="BE204" i="2" s="1"/>
  <c r="AX321" i="2"/>
  <c r="BD321" i="2" s="1"/>
  <c r="BE321" i="2" s="1"/>
  <c r="AX248" i="2"/>
  <c r="BD248" i="2" s="1"/>
  <c r="BE248" i="2" s="1"/>
  <c r="AX291" i="2"/>
  <c r="BD291" i="2" s="1"/>
  <c r="BE291" i="2" s="1"/>
  <c r="AM12" i="5"/>
  <c r="AX278" i="2"/>
  <c r="BD278" i="2" s="1"/>
  <c r="BE278" i="2" s="1"/>
  <c r="AX315" i="2"/>
  <c r="BD315" i="2" s="1"/>
  <c r="BE315" i="2" s="1"/>
  <c r="AX302" i="2"/>
  <c r="BD302" i="2" s="1"/>
  <c r="BE302" i="2" s="1"/>
  <c r="AX350" i="2"/>
  <c r="BD350" i="2" s="1"/>
  <c r="BE350" i="2" s="1"/>
  <c r="AM15" i="5"/>
  <c r="AX319" i="2"/>
  <c r="BD319" i="2" s="1"/>
  <c r="BE319" i="2" s="1"/>
  <c r="AX318" i="2"/>
  <c r="BD318" i="2" s="1"/>
  <c r="BE318" i="2" s="1"/>
  <c r="AX243" i="2"/>
  <c r="BD243" i="2" s="1"/>
  <c r="BE243" i="2" s="1"/>
  <c r="AX331" i="2"/>
  <c r="BD331" i="2" s="1"/>
  <c r="BE331" i="2" s="1"/>
  <c r="AX330" i="2"/>
  <c r="BD330" i="2" s="1"/>
  <c r="BE330" i="2" s="1"/>
  <c r="AX180" i="2"/>
  <c r="BD180" i="2" s="1"/>
  <c r="BE180" i="2" s="1"/>
  <c r="AX213" i="2"/>
  <c r="BD213" i="2" s="1"/>
  <c r="BE213" i="2" s="1"/>
  <c r="AX285" i="2"/>
  <c r="BD285" i="2" s="1"/>
  <c r="BE285" i="2" s="1"/>
  <c r="AX265" i="2"/>
  <c r="BD265" i="2" s="1"/>
  <c r="BE265" i="2" s="1"/>
  <c r="AX232" i="2"/>
  <c r="BD232" i="2" s="1"/>
  <c r="BE232" i="2" s="1"/>
  <c r="AX224" i="2"/>
  <c r="BD224" i="2" s="1"/>
  <c r="BE224" i="2" s="1"/>
  <c r="AL11" i="5"/>
  <c r="AK17" i="5"/>
  <c r="N188" i="1"/>
  <c r="Y188" i="2" s="1"/>
  <c r="N187" i="1"/>
  <c r="Y187" i="2" s="1"/>
  <c r="N183" i="1"/>
  <c r="Y183" i="2" s="1"/>
  <c r="AA11" i="5" l="1"/>
  <c r="AJ15" i="5"/>
  <c r="BD310" i="2"/>
  <c r="BE310" i="2" s="1"/>
  <c r="AJ13" i="5"/>
  <c r="BD249" i="2"/>
  <c r="BE249" i="2" s="1"/>
  <c r="AJ16" i="5"/>
  <c r="BD340" i="2"/>
  <c r="BE340" i="2" s="1"/>
  <c r="AL17" i="5"/>
  <c r="AJ14" i="5"/>
  <c r="BD279" i="2"/>
  <c r="BE279" i="2" s="1"/>
  <c r="BD178" i="2"/>
  <c r="BE178" i="2" s="1"/>
  <c r="AJ10" i="5"/>
  <c r="AJ12" i="5"/>
  <c r="BD218" i="2"/>
  <c r="BE218" i="2" s="1"/>
  <c r="AJ11" i="5"/>
  <c r="BD187" i="2"/>
  <c r="BE187" i="2" s="1"/>
  <c r="AM17" i="5"/>
  <c r="P186" i="1"/>
  <c r="AA186" i="2" s="1"/>
  <c r="O186" i="1"/>
  <c r="Z186" i="2" s="1"/>
  <c r="P184" i="1"/>
  <c r="AA184" i="2" s="1"/>
  <c r="P188" i="1"/>
  <c r="AA188" i="2" s="1"/>
  <c r="O188" i="1"/>
  <c r="Z188" i="2" s="1"/>
  <c r="P189" i="1"/>
  <c r="AA189" i="2" s="1"/>
  <c r="O189" i="1"/>
  <c r="Z189" i="2" s="1"/>
  <c r="O183" i="1"/>
  <c r="Z183" i="2" s="1"/>
  <c r="P187" i="1"/>
  <c r="AA187" i="2" s="1"/>
  <c r="O187" i="1"/>
  <c r="Z187" i="2" s="1"/>
  <c r="P185" i="1"/>
  <c r="AA185" i="2" s="1"/>
  <c r="O184" i="1"/>
  <c r="Z184" i="2" s="1"/>
  <c r="AJ17" i="5" l="1"/>
  <c r="AB11" i="5"/>
  <c r="AC11" i="5"/>
  <c r="N179" i="1" l="1"/>
  <c r="Y179" i="2" s="1"/>
  <c r="N180" i="1"/>
  <c r="Y180" i="2" s="1"/>
  <c r="O181" i="1" l="1"/>
  <c r="Z181" i="2" s="1"/>
  <c r="N181" i="1"/>
  <c r="Y181" i="2" s="1"/>
  <c r="P182" i="1" l="1"/>
  <c r="AA182" i="2" s="1"/>
  <c r="O182" i="1"/>
  <c r="Z182" i="2" s="1"/>
  <c r="P183" i="1"/>
  <c r="AA183" i="2" s="1"/>
  <c r="P181" i="1"/>
  <c r="AA181" i="2" s="1"/>
  <c r="O180" i="1"/>
  <c r="Z180" i="2" s="1"/>
  <c r="N178" i="1" l="1"/>
  <c r="Y178" i="2" s="1"/>
  <c r="AA10" i="5" s="1"/>
  <c r="AA17" i="5" s="1"/>
  <c r="W7" i="6" s="1"/>
  <c r="O179" i="1" l="1"/>
  <c r="Z179" i="2" s="1"/>
  <c r="O178" i="1"/>
  <c r="Z178" i="2" s="1"/>
  <c r="AB10" i="5" l="1"/>
  <c r="AB17" i="5" s="1"/>
  <c r="P179" i="1"/>
  <c r="AA179" i="2" s="1"/>
  <c r="P180" i="1"/>
  <c r="AA180" i="2" s="1"/>
  <c r="P178" i="1"/>
  <c r="AA178" i="2" s="1"/>
  <c r="AC10" i="5" l="1"/>
  <c r="AC17" i="5" s="1"/>
  <c r="R25" i="1" l="1"/>
  <c r="AC25" i="2" s="1"/>
  <c r="R26" i="1"/>
  <c r="AC26" i="2" s="1"/>
  <c r="R27" i="1"/>
  <c r="AC27" i="2" s="1"/>
  <c r="R28" i="1"/>
  <c r="AC28" i="2" s="1"/>
  <c r="R29" i="1"/>
  <c r="AC29" i="2" s="1"/>
  <c r="R30" i="1"/>
  <c r="AC30" i="2" s="1"/>
  <c r="R31" i="1"/>
  <c r="AC31" i="2" s="1"/>
  <c r="R32" i="1"/>
  <c r="AC32" i="2" s="1"/>
  <c r="R33" i="1"/>
  <c r="AC33" i="2" s="1"/>
  <c r="R34" i="1"/>
  <c r="AC34" i="2" s="1"/>
  <c r="R35" i="1"/>
  <c r="AC35" i="2" s="1"/>
  <c r="R36" i="1"/>
  <c r="AC36" i="2" s="1"/>
  <c r="R37" i="1"/>
  <c r="AC37" i="2" s="1"/>
  <c r="R38" i="1"/>
  <c r="AC38" i="2" s="1"/>
  <c r="R39" i="1"/>
  <c r="AC39" i="2" s="1"/>
  <c r="R40" i="1"/>
  <c r="AC40" i="2" s="1"/>
  <c r="R41" i="1"/>
  <c r="AC41" i="2" s="1"/>
  <c r="R42" i="1"/>
  <c r="AC42" i="2" s="1"/>
  <c r="R43" i="1"/>
  <c r="AC43" i="2" s="1"/>
  <c r="R44" i="1"/>
  <c r="AC44" i="2" s="1"/>
  <c r="R45" i="1"/>
  <c r="AC45" i="2" s="1"/>
  <c r="R46" i="1"/>
  <c r="AC46" i="2" s="1"/>
  <c r="R47" i="1"/>
  <c r="AC47" i="2" s="1"/>
  <c r="R48" i="1"/>
  <c r="AC48" i="2" s="1"/>
  <c r="R49" i="1"/>
  <c r="AC49" i="2" s="1"/>
  <c r="R50" i="1"/>
  <c r="AC50" i="2" s="1"/>
  <c r="R51" i="1"/>
  <c r="AC51" i="2" s="1"/>
  <c r="R52" i="1"/>
  <c r="AC52" i="2" s="1"/>
  <c r="R53" i="1"/>
  <c r="AC53" i="2" s="1"/>
  <c r="R54" i="1"/>
  <c r="AC54" i="2" s="1"/>
  <c r="R55" i="1"/>
  <c r="AC55" i="2" s="1"/>
  <c r="R56" i="1"/>
  <c r="AC56" i="2" s="1"/>
  <c r="R57" i="1"/>
  <c r="AC57" i="2" s="1"/>
  <c r="R58" i="1"/>
  <c r="AC58" i="2" s="1"/>
  <c r="R59" i="1"/>
  <c r="AC59" i="2" s="1"/>
  <c r="R60" i="1"/>
  <c r="AC60" i="2" s="1"/>
  <c r="R61" i="1"/>
  <c r="AC61" i="2" s="1"/>
  <c r="R62" i="1"/>
  <c r="AC62" i="2" s="1"/>
  <c r="R63" i="1"/>
  <c r="AC63" i="2" s="1"/>
  <c r="R64" i="1"/>
  <c r="AC64" i="2" s="1"/>
  <c r="R65" i="1"/>
  <c r="AC65" i="2" s="1"/>
  <c r="R66" i="1"/>
  <c r="AC66" i="2" s="1"/>
  <c r="R67" i="1"/>
  <c r="AC67" i="2" s="1"/>
  <c r="R68" i="1"/>
  <c r="AC68" i="2" s="1"/>
  <c r="R69" i="1"/>
  <c r="AC69" i="2" s="1"/>
  <c r="R70" i="1"/>
  <c r="AC70" i="2" s="1"/>
  <c r="R71" i="1"/>
  <c r="AC71" i="2" s="1"/>
  <c r="R72" i="1"/>
  <c r="AC72" i="2" s="1"/>
  <c r="R73" i="1"/>
  <c r="AC73" i="2" s="1"/>
  <c r="R74" i="1"/>
  <c r="AC74" i="2" s="1"/>
  <c r="R75" i="1"/>
  <c r="AC75" i="2" s="1"/>
  <c r="R76" i="1"/>
  <c r="AC76" i="2" s="1"/>
  <c r="R77" i="1"/>
  <c r="AC77" i="2" s="1"/>
  <c r="R78" i="1"/>
  <c r="AC78" i="2" s="1"/>
  <c r="R79" i="1"/>
  <c r="AC79" i="2" s="1"/>
  <c r="R80" i="1"/>
  <c r="AC80" i="2" s="1"/>
  <c r="R81" i="1"/>
  <c r="AC81" i="2" s="1"/>
  <c r="R82" i="1"/>
  <c r="AC82" i="2" s="1"/>
  <c r="R83" i="1"/>
  <c r="AC83" i="2" s="1"/>
  <c r="R84" i="1"/>
  <c r="AC84" i="2" s="1"/>
  <c r="R85" i="1"/>
  <c r="AC85" i="2" s="1"/>
  <c r="R86" i="1"/>
  <c r="AC86" i="2" s="1"/>
  <c r="R87" i="1"/>
  <c r="AC87" i="2" s="1"/>
  <c r="R88" i="1"/>
  <c r="AC88" i="2" s="1"/>
  <c r="R89" i="1"/>
  <c r="AC89" i="2" s="1"/>
  <c r="R90" i="1"/>
  <c r="AC90" i="2" s="1"/>
  <c r="R91" i="1"/>
  <c r="AC91" i="2" s="1"/>
  <c r="R92" i="1"/>
  <c r="AC92" i="2" s="1"/>
  <c r="R93" i="1"/>
  <c r="AC93" i="2" s="1"/>
  <c r="R94" i="1"/>
  <c r="AC94" i="2" s="1"/>
  <c r="R95" i="1"/>
  <c r="AC95" i="2" s="1"/>
  <c r="R96" i="1"/>
  <c r="AC96" i="2" s="1"/>
  <c r="R97" i="1"/>
  <c r="AC97" i="2" s="1"/>
  <c r="R98" i="1"/>
  <c r="AC98" i="2" s="1"/>
  <c r="R99" i="1"/>
  <c r="AC99" i="2" s="1"/>
  <c r="R100" i="1"/>
  <c r="AC100" i="2" s="1"/>
  <c r="R101" i="1"/>
  <c r="AC101" i="2" s="1"/>
  <c r="R102" i="1"/>
  <c r="AC102" i="2" s="1"/>
  <c r="R103" i="1"/>
  <c r="AC103" i="2" s="1"/>
  <c r="R104" i="1"/>
  <c r="AC104" i="2" s="1"/>
  <c r="R105" i="1"/>
  <c r="AC105" i="2" s="1"/>
  <c r="R106" i="1"/>
  <c r="AC106" i="2" s="1"/>
  <c r="R107" i="1"/>
  <c r="AC107" i="2" s="1"/>
  <c r="R108" i="1"/>
  <c r="AC108" i="2" s="1"/>
  <c r="R109" i="1"/>
  <c r="AC109" i="2" s="1"/>
  <c r="R110" i="1"/>
  <c r="AC110" i="2" s="1"/>
  <c r="R111" i="1"/>
  <c r="AC111" i="2" s="1"/>
  <c r="R112" i="1"/>
  <c r="AC112" i="2" s="1"/>
  <c r="R113" i="1"/>
  <c r="AC113" i="2" s="1"/>
  <c r="R114" i="1"/>
  <c r="AC114" i="2" s="1"/>
  <c r="R115" i="1"/>
  <c r="AC115" i="2" s="1"/>
  <c r="R116" i="1"/>
  <c r="AC116" i="2" s="1"/>
  <c r="R117" i="1"/>
  <c r="AC117" i="2" s="1"/>
  <c r="R118" i="1"/>
  <c r="AC118" i="2" s="1"/>
  <c r="R119" i="1"/>
  <c r="AC119" i="2" s="1"/>
  <c r="R120" i="1"/>
  <c r="AC120" i="2" s="1"/>
  <c r="R121" i="1"/>
  <c r="AC121" i="2" s="1"/>
  <c r="R122" i="1"/>
  <c r="AC122" i="2" s="1"/>
  <c r="R123" i="1"/>
  <c r="AC123" i="2" s="1"/>
  <c r="R124" i="1"/>
  <c r="AC124" i="2" s="1"/>
  <c r="R125" i="1"/>
  <c r="AC125" i="2" s="1"/>
  <c r="R126" i="1"/>
  <c r="AC126" i="2" s="1"/>
  <c r="R127" i="1"/>
  <c r="AC127" i="2" s="1"/>
  <c r="R128" i="1"/>
  <c r="AC128" i="2" s="1"/>
  <c r="R129" i="1"/>
  <c r="AC129" i="2" s="1"/>
  <c r="R130" i="1"/>
  <c r="AC130" i="2" s="1"/>
  <c r="R131" i="1"/>
  <c r="AC131" i="2" s="1"/>
  <c r="R132" i="1"/>
  <c r="AC132" i="2" s="1"/>
  <c r="R133" i="1"/>
  <c r="AC133" i="2" s="1"/>
  <c r="R134" i="1"/>
  <c r="AC134" i="2" s="1"/>
  <c r="R135" i="1"/>
  <c r="AC135" i="2" s="1"/>
  <c r="R136" i="1"/>
  <c r="AC136" i="2" s="1"/>
  <c r="R137" i="1"/>
  <c r="AC137" i="2" s="1"/>
  <c r="R138" i="1"/>
  <c r="AC138" i="2" s="1"/>
  <c r="R139" i="1"/>
  <c r="AC139" i="2" s="1"/>
  <c r="R140" i="1"/>
  <c r="AC140" i="2" s="1"/>
  <c r="R141" i="1"/>
  <c r="AC141" i="2" s="1"/>
  <c r="R142" i="1"/>
  <c r="AC142" i="2" s="1"/>
  <c r="R143" i="1"/>
  <c r="AC143" i="2" s="1"/>
  <c r="R144" i="1"/>
  <c r="AC144" i="2" s="1"/>
  <c r="R145" i="1"/>
  <c r="AC145" i="2" s="1"/>
  <c r="R146" i="1"/>
  <c r="AC146" i="2" s="1"/>
  <c r="R147" i="1"/>
  <c r="AC147" i="2" s="1"/>
  <c r="R148" i="1"/>
  <c r="AC148" i="2" s="1"/>
  <c r="R149" i="1"/>
  <c r="AC149" i="2" s="1"/>
  <c r="R150" i="1"/>
  <c r="AC150" i="2" s="1"/>
  <c r="R151" i="1"/>
  <c r="AC151" i="2" s="1"/>
  <c r="R152" i="1"/>
  <c r="AC152" i="2" s="1"/>
  <c r="R153" i="1"/>
  <c r="AC153" i="2" s="1"/>
  <c r="R154" i="1"/>
  <c r="AC154" i="2" s="1"/>
  <c r="R155" i="1"/>
  <c r="AC155" i="2" s="1"/>
  <c r="R156" i="1"/>
  <c r="AC156" i="2" s="1"/>
  <c r="R157" i="1"/>
  <c r="AC157" i="2" s="1"/>
  <c r="R158" i="1"/>
  <c r="AC158" i="2" s="1"/>
  <c r="R159" i="1"/>
  <c r="AC159" i="2" s="1"/>
  <c r="R160" i="1"/>
  <c r="AC160" i="2" s="1"/>
  <c r="R161" i="1"/>
  <c r="AC161" i="2" s="1"/>
  <c r="R162" i="1"/>
  <c r="AC162" i="2" s="1"/>
  <c r="R163" i="1"/>
  <c r="AC163" i="2" s="1"/>
  <c r="R164" i="1"/>
  <c r="AC164" i="2" s="1"/>
  <c r="R165" i="1"/>
  <c r="AC165" i="2" s="1"/>
  <c r="R166" i="1"/>
  <c r="AC166" i="2" s="1"/>
  <c r="R167" i="1"/>
  <c r="AC167" i="2" s="1"/>
  <c r="R168" i="1"/>
  <c r="AC168" i="2" s="1"/>
  <c r="R169" i="1"/>
  <c r="AC169" i="2" s="1"/>
  <c r="R170" i="1"/>
  <c r="AC170" i="2" s="1"/>
  <c r="R171" i="1"/>
  <c r="AC171" i="2" s="1"/>
  <c r="R172" i="1"/>
  <c r="AC172" i="2" s="1"/>
  <c r="R173" i="1"/>
  <c r="AC173" i="2" s="1"/>
  <c r="R174" i="1"/>
  <c r="AC174" i="2" s="1"/>
  <c r="R175" i="1"/>
  <c r="AC175" i="2" s="1"/>
  <c r="R176" i="1"/>
  <c r="AC176" i="2" s="1"/>
  <c r="R177" i="1"/>
  <c r="AC177" i="2" s="1"/>
  <c r="R178" i="1"/>
  <c r="AC178" i="2" s="1"/>
  <c r="R179" i="1"/>
  <c r="AC179" i="2" s="1"/>
  <c r="R180" i="1"/>
  <c r="AC180" i="2" s="1"/>
  <c r="R181" i="1"/>
  <c r="AC181" i="2" s="1"/>
  <c r="R182" i="1"/>
  <c r="AC182" i="2" s="1"/>
  <c r="R183" i="1"/>
  <c r="AC183" i="2" s="1"/>
  <c r="R184" i="1"/>
  <c r="AC184" i="2" s="1"/>
  <c r="R185" i="1"/>
  <c r="AC185" i="2" s="1"/>
  <c r="R186" i="1"/>
  <c r="AC186" i="2" s="1"/>
  <c r="R187" i="1"/>
  <c r="AC187" i="2" s="1"/>
  <c r="R188" i="1"/>
  <c r="AC188" i="2" s="1"/>
  <c r="R189" i="1"/>
  <c r="AC189" i="2" s="1"/>
  <c r="R190" i="1"/>
  <c r="AC190" i="2" s="1"/>
  <c r="R191" i="1"/>
  <c r="AC191" i="2" s="1"/>
  <c r="R192" i="1"/>
  <c r="AC192" i="2" s="1"/>
  <c r="R193" i="1"/>
  <c r="AC193" i="2" s="1"/>
  <c r="R194" i="1"/>
  <c r="AC194" i="2" s="1"/>
  <c r="R195" i="1"/>
  <c r="AC195" i="2" s="1"/>
  <c r="R196" i="1"/>
  <c r="AC196" i="2" s="1"/>
  <c r="R197" i="1"/>
  <c r="AC197" i="2" s="1"/>
  <c r="R198" i="1"/>
  <c r="AC198" i="2" s="1"/>
  <c r="R199" i="1"/>
  <c r="AC199" i="2" s="1"/>
  <c r="R200" i="1"/>
  <c r="AC200" i="2" s="1"/>
  <c r="R201" i="1"/>
  <c r="AC201" i="2" s="1"/>
  <c r="R202" i="1"/>
  <c r="AC202" i="2" s="1"/>
  <c r="R203" i="1"/>
  <c r="AC203" i="2" s="1"/>
  <c r="R204" i="1"/>
  <c r="AC204" i="2" s="1"/>
  <c r="R205" i="1"/>
  <c r="AC205" i="2" s="1"/>
  <c r="R206" i="1"/>
  <c r="AC206" i="2" s="1"/>
  <c r="R207" i="1"/>
  <c r="AC207" i="2" s="1"/>
  <c r="R208" i="1"/>
  <c r="AC208" i="2" s="1"/>
  <c r="R209" i="1"/>
  <c r="AC209" i="2" s="1"/>
  <c r="R210" i="1"/>
  <c r="AC210" i="2" s="1"/>
  <c r="R211" i="1"/>
  <c r="AC211" i="2" s="1"/>
  <c r="R212" i="1"/>
  <c r="AC212" i="2" s="1"/>
  <c r="R213" i="1"/>
  <c r="AC213" i="2" s="1"/>
  <c r="R214" i="1"/>
  <c r="AC214" i="2" s="1"/>
  <c r="R215" i="1"/>
  <c r="AC215" i="2" s="1"/>
  <c r="R216" i="1"/>
  <c r="AC216" i="2" s="1"/>
  <c r="R217" i="1"/>
  <c r="AC217" i="2" s="1"/>
  <c r="R218" i="1"/>
  <c r="AC218" i="2" s="1"/>
  <c r="R219" i="1"/>
  <c r="AC219" i="2" s="1"/>
  <c r="R220" i="1"/>
  <c r="AC220" i="2" s="1"/>
  <c r="R221" i="1"/>
  <c r="AC221" i="2" s="1"/>
  <c r="R222" i="1"/>
  <c r="AC222" i="2" s="1"/>
  <c r="R223" i="1"/>
  <c r="AC223" i="2" s="1"/>
  <c r="R224" i="1"/>
  <c r="AC224" i="2" s="1"/>
  <c r="R225" i="1"/>
  <c r="AC225" i="2" s="1"/>
  <c r="R226" i="1"/>
  <c r="AC226" i="2" s="1"/>
  <c r="R227" i="1"/>
  <c r="AC227" i="2" s="1"/>
  <c r="R228" i="1"/>
  <c r="AC228" i="2" s="1"/>
  <c r="R229" i="1"/>
  <c r="AC229" i="2" s="1"/>
  <c r="R230" i="1"/>
  <c r="AC230" i="2" s="1"/>
  <c r="R231" i="1"/>
  <c r="AC231" i="2" s="1"/>
  <c r="R232" i="1"/>
  <c r="AC232" i="2" s="1"/>
  <c r="R233" i="1"/>
  <c r="AC233" i="2" s="1"/>
  <c r="R234" i="1"/>
  <c r="AC234" i="2" s="1"/>
  <c r="R235" i="1"/>
  <c r="AC235" i="2" s="1"/>
  <c r="R236" i="1"/>
  <c r="AC236" i="2" s="1"/>
  <c r="R237" i="1"/>
  <c r="AC237" i="2" s="1"/>
  <c r="R238" i="1"/>
  <c r="AC238" i="2" s="1"/>
  <c r="R239" i="1"/>
  <c r="AC239" i="2" s="1"/>
  <c r="R240" i="1"/>
  <c r="AC240" i="2" s="1"/>
  <c r="R241" i="1"/>
  <c r="AC241" i="2" s="1"/>
  <c r="R242" i="1"/>
  <c r="AC242" i="2" s="1"/>
  <c r="R243" i="1"/>
  <c r="AC243" i="2" s="1"/>
  <c r="R244" i="1"/>
  <c r="AC244" i="2" s="1"/>
  <c r="R245" i="1"/>
  <c r="AC245" i="2" s="1"/>
  <c r="R246" i="1"/>
  <c r="AC246" i="2" s="1"/>
  <c r="R247" i="1"/>
  <c r="AC247" i="2" s="1"/>
  <c r="R248" i="1"/>
  <c r="AC248" i="2" s="1"/>
  <c r="R249" i="1"/>
  <c r="AC249" i="2" s="1"/>
  <c r="R250" i="1"/>
  <c r="AC250" i="2" s="1"/>
  <c r="R251" i="1"/>
  <c r="AC251" i="2" s="1"/>
  <c r="R252" i="1"/>
  <c r="AC252" i="2" s="1"/>
  <c r="R253" i="1"/>
  <c r="AC253" i="2" s="1"/>
  <c r="R254" i="1"/>
  <c r="AC254" i="2" s="1"/>
  <c r="R255" i="1"/>
  <c r="AC255" i="2" s="1"/>
  <c r="R256" i="1"/>
  <c r="AC256" i="2" s="1"/>
  <c r="R257" i="1"/>
  <c r="AC257" i="2" s="1"/>
  <c r="R258" i="1"/>
  <c r="AC258" i="2" s="1"/>
  <c r="R259" i="1"/>
  <c r="AC259" i="2" s="1"/>
  <c r="R260" i="1"/>
  <c r="AC260" i="2" s="1"/>
  <c r="R261" i="1"/>
  <c r="AC261" i="2" s="1"/>
  <c r="R262" i="1"/>
  <c r="AC262" i="2" s="1"/>
  <c r="R263" i="1"/>
  <c r="AC263" i="2" s="1"/>
  <c r="R264" i="1"/>
  <c r="AC264" i="2" s="1"/>
  <c r="R265" i="1"/>
  <c r="AC265" i="2" s="1"/>
  <c r="R266" i="1"/>
  <c r="AC266" i="2" s="1"/>
  <c r="R267" i="1"/>
  <c r="AC267" i="2" s="1"/>
  <c r="R268" i="1"/>
  <c r="AC268" i="2" s="1"/>
  <c r="R269" i="1"/>
  <c r="AC269" i="2" s="1"/>
  <c r="R270" i="1"/>
  <c r="AC270" i="2" s="1"/>
  <c r="R271" i="1"/>
  <c r="AC271" i="2" s="1"/>
  <c r="R272" i="1"/>
  <c r="AC272" i="2" s="1"/>
  <c r="R273" i="1"/>
  <c r="AC273" i="2" s="1"/>
  <c r="R274" i="1"/>
  <c r="AC274" i="2" s="1"/>
  <c r="R275" i="1"/>
  <c r="AC275" i="2" s="1"/>
  <c r="R276" i="1"/>
  <c r="AC276" i="2" s="1"/>
  <c r="R277" i="1"/>
  <c r="AC277" i="2" s="1"/>
  <c r="R278" i="1"/>
  <c r="AC278" i="2" s="1"/>
  <c r="R279" i="1"/>
  <c r="AC279" i="2" s="1"/>
  <c r="R280" i="1"/>
  <c r="AC280" i="2" s="1"/>
  <c r="R281" i="1"/>
  <c r="AC281" i="2" s="1"/>
  <c r="R282" i="1"/>
  <c r="AC282" i="2" s="1"/>
  <c r="R283" i="1"/>
  <c r="AC283" i="2" s="1"/>
  <c r="R284" i="1"/>
  <c r="AC284" i="2" s="1"/>
  <c r="R285" i="1"/>
  <c r="AC285" i="2" s="1"/>
  <c r="R286" i="1"/>
  <c r="AC286" i="2" s="1"/>
  <c r="R287" i="1"/>
  <c r="AC287" i="2" s="1"/>
  <c r="R288" i="1"/>
  <c r="AC288" i="2" s="1"/>
  <c r="R289" i="1"/>
  <c r="AC289" i="2" s="1"/>
  <c r="R290" i="1"/>
  <c r="AC290" i="2" s="1"/>
  <c r="R291" i="1"/>
  <c r="AC291" i="2" s="1"/>
  <c r="R292" i="1"/>
  <c r="AC292" i="2" s="1"/>
  <c r="R293" i="1"/>
  <c r="AC293" i="2" s="1"/>
  <c r="R294" i="1"/>
  <c r="AC294" i="2" s="1"/>
  <c r="R295" i="1"/>
  <c r="AC295" i="2" s="1"/>
  <c r="R296" i="1"/>
  <c r="AC296" i="2" s="1"/>
  <c r="R297" i="1"/>
  <c r="AC297" i="2" s="1"/>
  <c r="R298" i="1"/>
  <c r="AC298" i="2" s="1"/>
  <c r="R299" i="1"/>
  <c r="AC299" i="2" s="1"/>
  <c r="R300" i="1"/>
  <c r="AC300" i="2" s="1"/>
  <c r="R301" i="1"/>
  <c r="AC301" i="2" s="1"/>
  <c r="R302" i="1"/>
  <c r="AC302" i="2" s="1"/>
  <c r="R303" i="1"/>
  <c r="AC303" i="2" s="1"/>
  <c r="R304" i="1"/>
  <c r="AC304" i="2" s="1"/>
  <c r="R305" i="1"/>
  <c r="AC305" i="2" s="1"/>
  <c r="R306" i="1"/>
  <c r="AC306" i="2" s="1"/>
  <c r="R307" i="1"/>
  <c r="AC307" i="2" s="1"/>
  <c r="R308" i="1"/>
  <c r="AC308" i="2" s="1"/>
  <c r="R309" i="1"/>
  <c r="AC309" i="2" s="1"/>
  <c r="R310" i="1"/>
  <c r="AC310" i="2" s="1"/>
  <c r="R311" i="1"/>
  <c r="AC311" i="2" s="1"/>
  <c r="R312" i="1"/>
  <c r="AC312" i="2" s="1"/>
  <c r="R313" i="1"/>
  <c r="AC313" i="2" s="1"/>
  <c r="R314" i="1"/>
  <c r="AC314" i="2" s="1"/>
  <c r="R315" i="1"/>
  <c r="AC315" i="2" s="1"/>
  <c r="R316" i="1"/>
  <c r="AC316" i="2" s="1"/>
  <c r="R317" i="1"/>
  <c r="AC317" i="2" s="1"/>
  <c r="R318" i="1"/>
  <c r="AC318" i="2" s="1"/>
  <c r="R319" i="1"/>
  <c r="AC319" i="2" s="1"/>
  <c r="R320" i="1"/>
  <c r="AC320" i="2" s="1"/>
  <c r="R321" i="1"/>
  <c r="AC321" i="2" s="1"/>
  <c r="R322" i="1"/>
  <c r="AC322" i="2" s="1"/>
  <c r="R323" i="1"/>
  <c r="AC323" i="2" s="1"/>
  <c r="R324" i="1"/>
  <c r="AC324" i="2" s="1"/>
  <c r="R325" i="1"/>
  <c r="AC325" i="2" s="1"/>
  <c r="R326" i="1"/>
  <c r="AC326" i="2" s="1"/>
  <c r="R327" i="1"/>
  <c r="AC327" i="2" s="1"/>
  <c r="R328" i="1"/>
  <c r="AC328" i="2" s="1"/>
  <c r="R329" i="1"/>
  <c r="AC329" i="2" s="1"/>
  <c r="R330" i="1"/>
  <c r="AC330" i="2" s="1"/>
  <c r="R331" i="1"/>
  <c r="AC331" i="2" s="1"/>
  <c r="R332" i="1"/>
  <c r="AC332" i="2" s="1"/>
  <c r="R333" i="1"/>
  <c r="AC333" i="2" s="1"/>
  <c r="R334" i="1"/>
  <c r="AC334" i="2" s="1"/>
  <c r="R335" i="1"/>
  <c r="AC335" i="2" s="1"/>
  <c r="R336" i="1"/>
  <c r="AC336" i="2" s="1"/>
  <c r="R337" i="1"/>
  <c r="AC337" i="2" s="1"/>
  <c r="R338" i="1"/>
  <c r="AC338" i="2" s="1"/>
  <c r="R339" i="1"/>
  <c r="AC339" i="2" s="1"/>
  <c r="R340" i="1"/>
  <c r="AC340" i="2" s="1"/>
  <c r="R341" i="1"/>
  <c r="AC341" i="2" s="1"/>
  <c r="R342" i="1"/>
  <c r="AC342" i="2" s="1"/>
  <c r="R343" i="1"/>
  <c r="AC343" i="2" s="1"/>
  <c r="R344" i="1"/>
  <c r="AC344" i="2" s="1"/>
  <c r="R345" i="1"/>
  <c r="AC345" i="2" s="1"/>
  <c r="R346" i="1"/>
  <c r="AC346" i="2" s="1"/>
  <c r="R347" i="1"/>
  <c r="AC347" i="2" s="1"/>
  <c r="R348" i="1"/>
  <c r="AC348" i="2" s="1"/>
  <c r="R349" i="1"/>
  <c r="AC349" i="2" s="1"/>
  <c r="R350" i="1"/>
  <c r="AC350" i="2" s="1"/>
  <c r="R351" i="1"/>
  <c r="AC351" i="2" s="1"/>
  <c r="R352" i="1"/>
  <c r="AC352" i="2" s="1"/>
  <c r="R353" i="1"/>
  <c r="AC353" i="2" s="1"/>
  <c r="R354" i="1"/>
  <c r="AC354" i="2" s="1"/>
  <c r="R355" i="1"/>
  <c r="AC355" i="2" s="1"/>
  <c r="R356" i="1"/>
  <c r="AC356" i="2" s="1"/>
  <c r="R357" i="1"/>
  <c r="AC357" i="2" s="1"/>
  <c r="R358" i="1"/>
  <c r="AC358" i="2" s="1"/>
  <c r="R359" i="1"/>
  <c r="AC359" i="2" s="1"/>
  <c r="R360" i="1"/>
  <c r="AC360" i="2" s="1"/>
  <c r="R361" i="1"/>
  <c r="AC361" i="2" s="1"/>
  <c r="R362" i="1"/>
  <c r="AC362" i="2" s="1"/>
  <c r="R363" i="1"/>
  <c r="AC363" i="2" s="1"/>
  <c r="R364" i="1"/>
  <c r="AC364" i="2" s="1"/>
  <c r="R365" i="1"/>
  <c r="AC365" i="2" s="1"/>
  <c r="R366" i="1"/>
  <c r="AC366" i="2" s="1"/>
  <c r="R367" i="1"/>
  <c r="AC367" i="2" s="1"/>
  <c r="R368" i="1"/>
  <c r="AC368" i="2" s="1"/>
  <c r="R369" i="1"/>
  <c r="AC369" i="2" s="1"/>
  <c r="R370" i="1"/>
  <c r="AC370" i="2" s="1"/>
  <c r="M30" i="1"/>
  <c r="X30" i="2" s="1"/>
  <c r="M36" i="1"/>
  <c r="X36" i="2" s="1"/>
  <c r="M43" i="1"/>
  <c r="X43" i="2" s="1"/>
  <c r="M53" i="1"/>
  <c r="X53" i="2" s="1"/>
  <c r="M62" i="1"/>
  <c r="X62" i="2" s="1"/>
  <c r="M63" i="1"/>
  <c r="X63" i="2" s="1"/>
  <c r="M68" i="1"/>
  <c r="X68" i="2" s="1"/>
  <c r="M69" i="1"/>
  <c r="X69" i="2" s="1"/>
  <c r="M70" i="1"/>
  <c r="X70" i="2" s="1"/>
  <c r="M84" i="1"/>
  <c r="X84" i="2" s="1"/>
  <c r="M85" i="1"/>
  <c r="X85" i="2" s="1"/>
  <c r="M100" i="1"/>
  <c r="X100" i="2" s="1"/>
  <c r="M104" i="1"/>
  <c r="X104" i="2" s="1"/>
  <c r="M106" i="1"/>
  <c r="X106" i="2" s="1"/>
  <c r="M107" i="1"/>
  <c r="X107" i="2" s="1"/>
  <c r="M120" i="1"/>
  <c r="X120" i="2" s="1"/>
  <c r="M133" i="1"/>
  <c r="X133" i="2" s="1"/>
  <c r="M149" i="1"/>
  <c r="X149" i="2" s="1"/>
  <c r="M155" i="1"/>
  <c r="X155" i="2" s="1"/>
  <c r="M168" i="1"/>
  <c r="X168" i="2" s="1"/>
  <c r="M190" i="1"/>
  <c r="X190" i="2" s="1"/>
  <c r="M196" i="1"/>
  <c r="X196" i="2" s="1"/>
  <c r="M197" i="1"/>
  <c r="X197" i="2" s="1"/>
  <c r="M203" i="1"/>
  <c r="X203" i="2" s="1"/>
  <c r="M211" i="1"/>
  <c r="X211" i="2" s="1"/>
  <c r="M213" i="1"/>
  <c r="X213" i="2" s="1"/>
  <c r="M234" i="1"/>
  <c r="X234" i="2" s="1"/>
  <c r="M248" i="1"/>
  <c r="X248" i="2" s="1"/>
  <c r="M254" i="1"/>
  <c r="X254" i="2" s="1"/>
  <c r="M259" i="1"/>
  <c r="X259" i="2" s="1"/>
  <c r="M270" i="1"/>
  <c r="X270" i="2" s="1"/>
  <c r="M271" i="1"/>
  <c r="X271" i="2" s="1"/>
  <c r="M285" i="1"/>
  <c r="X285" i="2" s="1"/>
  <c r="M292" i="1"/>
  <c r="X292" i="2" s="1"/>
  <c r="M298" i="1"/>
  <c r="X298" i="2" s="1"/>
  <c r="M329" i="1"/>
  <c r="X329" i="2" s="1"/>
  <c r="M335" i="1"/>
  <c r="X335" i="2" s="1"/>
  <c r="M336" i="1"/>
  <c r="X336" i="2" s="1"/>
  <c r="M342" i="1"/>
  <c r="X342" i="2" s="1"/>
  <c r="M351" i="1"/>
  <c r="X351" i="2" s="1"/>
  <c r="M355" i="1"/>
  <c r="X355" i="2" s="1"/>
  <c r="M356" i="1"/>
  <c r="X356" i="2" s="1"/>
  <c r="M358" i="1"/>
  <c r="X358" i="2" s="1"/>
  <c r="M362" i="1"/>
  <c r="X362" i="2" s="1"/>
  <c r="AE9" i="5" l="1"/>
  <c r="AE8" i="5"/>
  <c r="AE10" i="5"/>
  <c r="AE5" i="5"/>
  <c r="AE15" i="5"/>
  <c r="AE14" i="5"/>
  <c r="AE6" i="5"/>
  <c r="AE16" i="5"/>
  <c r="AE13" i="5"/>
  <c r="AE7" i="5"/>
  <c r="AE11" i="5"/>
  <c r="AE12" i="5"/>
  <c r="M341" i="1"/>
  <c r="X341" i="2" s="1"/>
  <c r="M307" i="1"/>
  <c r="X307" i="2" s="1"/>
  <c r="M303" i="1"/>
  <c r="X303" i="2" s="1"/>
  <c r="M301" i="1"/>
  <c r="X301" i="2" s="1"/>
  <c r="M297" i="1"/>
  <c r="X297" i="2" s="1"/>
  <c r="M286" i="1"/>
  <c r="X286" i="2" s="1"/>
  <c r="M280" i="1"/>
  <c r="X280" i="2" s="1"/>
  <c r="M265" i="1"/>
  <c r="X265" i="2" s="1"/>
  <c r="M245" i="1"/>
  <c r="X245" i="2" s="1"/>
  <c r="M222" i="1"/>
  <c r="X222" i="2" s="1"/>
  <c r="M212" i="1"/>
  <c r="X212" i="2" s="1"/>
  <c r="M206" i="1"/>
  <c r="X206" i="2" s="1"/>
  <c r="M198" i="1"/>
  <c r="X198" i="2" s="1"/>
  <c r="M191" i="1"/>
  <c r="X191" i="2" s="1"/>
  <c r="M184" i="1"/>
  <c r="X184" i="2" s="1"/>
  <c r="M171" i="1"/>
  <c r="X171" i="2" s="1"/>
  <c r="M164" i="1"/>
  <c r="X164" i="2" s="1"/>
  <c r="M148" i="1"/>
  <c r="X148" i="2" s="1"/>
  <c r="M147" i="1"/>
  <c r="X147" i="2" s="1"/>
  <c r="M142" i="1"/>
  <c r="X142" i="2" s="1"/>
  <c r="M134" i="1"/>
  <c r="X134" i="2" s="1"/>
  <c r="M125" i="1"/>
  <c r="X125" i="2" s="1"/>
  <c r="M110" i="1"/>
  <c r="X110" i="2" s="1"/>
  <c r="M93" i="1"/>
  <c r="X93" i="2" s="1"/>
  <c r="M83" i="1"/>
  <c r="X83" i="2" s="1"/>
  <c r="M78" i="1"/>
  <c r="X78" i="2" s="1"/>
  <c r="M59" i="1"/>
  <c r="X59" i="2" s="1"/>
  <c r="M38" i="1"/>
  <c r="X38" i="2" s="1"/>
  <c r="M219" i="1"/>
  <c r="X219" i="2" s="1"/>
  <c r="M94" i="1"/>
  <c r="X94" i="2" s="1"/>
  <c r="M27" i="1"/>
  <c r="X27" i="2" s="1"/>
  <c r="M61" i="1"/>
  <c r="X61" i="2" s="1"/>
  <c r="M170" i="1"/>
  <c r="X170" i="2" s="1"/>
  <c r="M162" i="1"/>
  <c r="X162" i="2" s="1"/>
  <c r="M366" i="1"/>
  <c r="X366" i="2" s="1"/>
  <c r="M360" i="1"/>
  <c r="X360" i="2" s="1"/>
  <c r="M323" i="1"/>
  <c r="X323" i="2" s="1"/>
  <c r="M317" i="1"/>
  <c r="X317" i="2" s="1"/>
  <c r="M288" i="1"/>
  <c r="X288" i="2" s="1"/>
  <c r="M267" i="1"/>
  <c r="X267" i="2" s="1"/>
  <c r="M260" i="1"/>
  <c r="X260" i="2" s="1"/>
  <c r="M253" i="1"/>
  <c r="X253" i="2" s="1"/>
  <c r="M238" i="1"/>
  <c r="X238" i="2" s="1"/>
  <c r="M232" i="1"/>
  <c r="X232" i="2" s="1"/>
  <c r="M181" i="1"/>
  <c r="X181" i="2" s="1"/>
  <c r="M166" i="1"/>
  <c r="X166" i="2" s="1"/>
  <c r="M152" i="1"/>
  <c r="X152" i="2" s="1"/>
  <c r="M139" i="1"/>
  <c r="X139" i="2" s="1"/>
  <c r="M339" i="1"/>
  <c r="X339" i="2" s="1"/>
  <c r="M132" i="1"/>
  <c r="X132" i="2" s="1"/>
  <c r="M345" i="1"/>
  <c r="X345" i="2" s="1"/>
  <c r="M127" i="1"/>
  <c r="X127" i="2" s="1"/>
  <c r="M315" i="1"/>
  <c r="X315" i="2" s="1"/>
  <c r="M309" i="1"/>
  <c r="X309" i="2" s="1"/>
  <c r="M304" i="1"/>
  <c r="X304" i="2" s="1"/>
  <c r="M291" i="1"/>
  <c r="X291" i="2" s="1"/>
  <c r="M282" i="1"/>
  <c r="X282" i="2" s="1"/>
  <c r="M276" i="1"/>
  <c r="X276" i="2" s="1"/>
  <c r="M261" i="1"/>
  <c r="X261" i="2" s="1"/>
  <c r="M255" i="1"/>
  <c r="X255" i="2" s="1"/>
  <c r="M251" i="1"/>
  <c r="X251" i="2" s="1"/>
  <c r="M235" i="1"/>
  <c r="X235" i="2" s="1"/>
  <c r="M230" i="1"/>
  <c r="X230" i="2" s="1"/>
  <c r="M228" i="1"/>
  <c r="X228" i="2" s="1"/>
  <c r="M221" i="1"/>
  <c r="X221" i="2" s="1"/>
  <c r="M216" i="1"/>
  <c r="X216" i="2" s="1"/>
  <c r="M174" i="1"/>
  <c r="X174" i="2" s="1"/>
  <c r="M158" i="1"/>
  <c r="X158" i="2" s="1"/>
  <c r="M123" i="1"/>
  <c r="X123" i="2" s="1"/>
  <c r="M117" i="1"/>
  <c r="X117" i="2" s="1"/>
  <c r="M102" i="1"/>
  <c r="X102" i="2" s="1"/>
  <c r="M88" i="1"/>
  <c r="X88" i="2" s="1"/>
  <c r="M75" i="1"/>
  <c r="X75" i="2" s="1"/>
  <c r="M56" i="1"/>
  <c r="X56" i="2" s="1"/>
  <c r="M46" i="1"/>
  <c r="X46" i="2" s="1"/>
  <c r="M32" i="1"/>
  <c r="X32" i="2" s="1"/>
  <c r="M368" i="1"/>
  <c r="X368" i="2" s="1"/>
  <c r="M91" i="1"/>
  <c r="X91" i="2" s="1"/>
  <c r="M42" i="1"/>
  <c r="X42" i="2" s="1"/>
  <c r="M40" i="1"/>
  <c r="X40" i="2" s="1"/>
  <c r="M357" i="1"/>
  <c r="X357" i="2" s="1"/>
  <c r="M350" i="1"/>
  <c r="X350" i="2" s="1"/>
  <c r="M344" i="1"/>
  <c r="X344" i="2" s="1"/>
  <c r="M333" i="1"/>
  <c r="X333" i="2" s="1"/>
  <c r="M330" i="1"/>
  <c r="X330" i="2" s="1"/>
  <c r="M326" i="1"/>
  <c r="X326" i="2" s="1"/>
  <c r="M324" i="1"/>
  <c r="X324" i="2" s="1"/>
  <c r="M320" i="1"/>
  <c r="X320" i="2" s="1"/>
  <c r="M318" i="1"/>
  <c r="X318" i="2" s="1"/>
  <c r="M314" i="1"/>
  <c r="X314" i="2" s="1"/>
  <c r="M312" i="1"/>
  <c r="X312" i="2" s="1"/>
  <c r="M308" i="1"/>
  <c r="X308" i="2" s="1"/>
  <c r="M302" i="1"/>
  <c r="X302" i="2" s="1"/>
  <c r="M296" i="1"/>
  <c r="X296" i="2" s="1"/>
  <c r="M294" i="1"/>
  <c r="X294" i="2" s="1"/>
  <c r="M283" i="1"/>
  <c r="X283" i="2" s="1"/>
  <c r="M277" i="1"/>
  <c r="X277" i="2" s="1"/>
  <c r="M275" i="1"/>
  <c r="X275" i="2" s="1"/>
  <c r="M269" i="1"/>
  <c r="X269" i="2" s="1"/>
  <c r="M262" i="1"/>
  <c r="X262" i="2" s="1"/>
  <c r="M256" i="1"/>
  <c r="X256" i="2" s="1"/>
  <c r="M250" i="1"/>
  <c r="X250" i="2" s="1"/>
  <c r="M244" i="1"/>
  <c r="X244" i="2" s="1"/>
  <c r="M239" i="1"/>
  <c r="X239" i="2" s="1"/>
  <c r="M233" i="1"/>
  <c r="X233" i="2" s="1"/>
  <c r="M227" i="1"/>
  <c r="X227" i="2" s="1"/>
  <c r="M224" i="1"/>
  <c r="X224" i="2" s="1"/>
  <c r="M207" i="1"/>
  <c r="X207" i="2" s="1"/>
  <c r="M205" i="1"/>
  <c r="X205" i="2" s="1"/>
  <c r="M201" i="1"/>
  <c r="X201" i="2" s="1"/>
  <c r="M195" i="1"/>
  <c r="X195" i="2" s="1"/>
  <c r="M192" i="1"/>
  <c r="X192" i="2" s="1"/>
  <c r="M186" i="1"/>
  <c r="X186" i="2" s="1"/>
  <c r="M180" i="1"/>
  <c r="X180" i="2" s="1"/>
  <c r="M175" i="1"/>
  <c r="X175" i="2" s="1"/>
  <c r="M169" i="1"/>
  <c r="X169" i="2" s="1"/>
  <c r="M163" i="1"/>
  <c r="X163" i="2" s="1"/>
  <c r="M160" i="1"/>
  <c r="X160" i="2" s="1"/>
  <c r="M154" i="1"/>
  <c r="X154" i="2" s="1"/>
  <c r="M143" i="1"/>
  <c r="X143" i="2" s="1"/>
  <c r="M141" i="1"/>
  <c r="X141" i="2" s="1"/>
  <c r="M137" i="1"/>
  <c r="X137" i="2" s="1"/>
  <c r="M131" i="1"/>
  <c r="X131" i="2" s="1"/>
  <c r="M128" i="1"/>
  <c r="X128" i="2" s="1"/>
  <c r="M122" i="1"/>
  <c r="X122" i="2" s="1"/>
  <c r="M116" i="1"/>
  <c r="X116" i="2" s="1"/>
  <c r="M111" i="1"/>
  <c r="X111" i="2" s="1"/>
  <c r="M105" i="1"/>
  <c r="X105" i="2" s="1"/>
  <c r="M99" i="1"/>
  <c r="X99" i="2" s="1"/>
  <c r="M90" i="1"/>
  <c r="X90" i="2" s="1"/>
  <c r="M79" i="1"/>
  <c r="X79" i="2" s="1"/>
  <c r="M77" i="1"/>
  <c r="X77" i="2" s="1"/>
  <c r="M73" i="1"/>
  <c r="X73" i="2" s="1"/>
  <c r="M67" i="1"/>
  <c r="X67" i="2" s="1"/>
  <c r="M64" i="1"/>
  <c r="X64" i="2" s="1"/>
  <c r="M58" i="1"/>
  <c r="X58" i="2" s="1"/>
  <c r="M52" i="1"/>
  <c r="X52" i="2" s="1"/>
  <c r="M47" i="1"/>
  <c r="X47" i="2" s="1"/>
  <c r="M41" i="1"/>
  <c r="X41" i="2" s="1"/>
  <c r="M35" i="1"/>
  <c r="X35" i="2" s="1"/>
  <c r="M29" i="1"/>
  <c r="X29" i="2" s="1"/>
  <c r="M26" i="1"/>
  <c r="X26" i="2" s="1"/>
  <c r="M352" i="1"/>
  <c r="X352" i="2" s="1"/>
  <c r="M367" i="1"/>
  <c r="X367" i="2" s="1"/>
  <c r="M365" i="1"/>
  <c r="X365" i="2" s="1"/>
  <c r="M361" i="1"/>
  <c r="X361" i="2" s="1"/>
  <c r="M359" i="1"/>
  <c r="X359" i="2" s="1"/>
  <c r="M353" i="1"/>
  <c r="X353" i="2" s="1"/>
  <c r="M349" i="1"/>
  <c r="X349" i="2" s="1"/>
  <c r="M346" i="1"/>
  <c r="X346" i="2" s="1"/>
  <c r="M343" i="1"/>
  <c r="X343" i="2" s="1"/>
  <c r="M337" i="1"/>
  <c r="X337" i="2" s="1"/>
  <c r="M331" i="1"/>
  <c r="X331" i="2" s="1"/>
  <c r="M325" i="1"/>
  <c r="X325" i="2" s="1"/>
  <c r="M322" i="1"/>
  <c r="X322" i="2" s="1"/>
  <c r="M319" i="1"/>
  <c r="X319" i="2" s="1"/>
  <c r="M313" i="1"/>
  <c r="X313" i="2" s="1"/>
  <c r="M311" i="1"/>
  <c r="X311" i="2" s="1"/>
  <c r="M305" i="1"/>
  <c r="X305" i="2" s="1"/>
  <c r="M299" i="1"/>
  <c r="X299" i="2" s="1"/>
  <c r="M293" i="1"/>
  <c r="X293" i="2" s="1"/>
  <c r="M290" i="1"/>
  <c r="X290" i="2" s="1"/>
  <c r="M287" i="1"/>
  <c r="X287" i="2" s="1"/>
  <c r="M284" i="1"/>
  <c r="X284" i="2" s="1"/>
  <c r="M281" i="1"/>
  <c r="X281" i="2" s="1"/>
  <c r="M278" i="1"/>
  <c r="X278" i="2" s="1"/>
  <c r="M272" i="1"/>
  <c r="X272" i="2" s="1"/>
  <c r="M266" i="1"/>
  <c r="X266" i="2" s="1"/>
  <c r="M264" i="1"/>
  <c r="X264" i="2" s="1"/>
  <c r="M258" i="1"/>
  <c r="X258" i="2" s="1"/>
  <c r="M252" i="1"/>
  <c r="X252" i="2" s="1"/>
  <c r="M243" i="1"/>
  <c r="X243" i="2" s="1"/>
  <c r="M240" i="1"/>
  <c r="X240" i="2" s="1"/>
  <c r="M237" i="1"/>
  <c r="X237" i="2" s="1"/>
  <c r="M231" i="1"/>
  <c r="X231" i="2" s="1"/>
  <c r="M229" i="1"/>
  <c r="X229" i="2" s="1"/>
  <c r="M226" i="1"/>
  <c r="X226" i="2" s="1"/>
  <c r="M225" i="1"/>
  <c r="X225" i="2" s="1"/>
  <c r="M223" i="1"/>
  <c r="X223" i="2" s="1"/>
  <c r="M220" i="1"/>
  <c r="X220" i="2" s="1"/>
  <c r="M214" i="1"/>
  <c r="X214" i="2" s="1"/>
  <c r="M208" i="1"/>
  <c r="X208" i="2" s="1"/>
  <c r="M202" i="1"/>
  <c r="X202" i="2" s="1"/>
  <c r="M200" i="1"/>
  <c r="X200" i="2" s="1"/>
  <c r="M194" i="1"/>
  <c r="X194" i="2" s="1"/>
  <c r="M188" i="1"/>
  <c r="X188" i="2" s="1"/>
  <c r="M185" i="1"/>
  <c r="X185" i="2" s="1"/>
  <c r="M182" i="1"/>
  <c r="X182" i="2" s="1"/>
  <c r="M179" i="1"/>
  <c r="X179" i="2" s="1"/>
  <c r="M176" i="1"/>
  <c r="X176" i="2" s="1"/>
  <c r="M173" i="1"/>
  <c r="X173" i="2" s="1"/>
  <c r="M167" i="1"/>
  <c r="X167" i="2" s="1"/>
  <c r="M165" i="1"/>
  <c r="X165" i="2" s="1"/>
  <c r="M161" i="1"/>
  <c r="X161" i="2" s="1"/>
  <c r="M159" i="1"/>
  <c r="X159" i="2" s="1"/>
  <c r="M150" i="1"/>
  <c r="X150" i="2" s="1"/>
  <c r="M144" i="1"/>
  <c r="X144" i="2" s="1"/>
  <c r="M138" i="1"/>
  <c r="X138" i="2" s="1"/>
  <c r="M136" i="1"/>
  <c r="X136" i="2" s="1"/>
  <c r="M130" i="1"/>
  <c r="X130" i="2" s="1"/>
  <c r="M124" i="1"/>
  <c r="X124" i="2" s="1"/>
  <c r="M121" i="1"/>
  <c r="X121" i="2" s="1"/>
  <c r="M115" i="1"/>
  <c r="X115" i="2" s="1"/>
  <c r="M109" i="1"/>
  <c r="X109" i="2" s="1"/>
  <c r="M103" i="1"/>
  <c r="X103" i="2" s="1"/>
  <c r="M101" i="1"/>
  <c r="X101" i="2" s="1"/>
  <c r="M98" i="1"/>
  <c r="X98" i="2" s="1"/>
  <c r="M97" i="1"/>
  <c r="X97" i="2" s="1"/>
  <c r="M95" i="1"/>
  <c r="X95" i="2" s="1"/>
  <c r="M92" i="1"/>
  <c r="X92" i="2" s="1"/>
  <c r="M89" i="1"/>
  <c r="X89" i="2" s="1"/>
  <c r="M86" i="1"/>
  <c r="X86" i="2" s="1"/>
  <c r="M80" i="1"/>
  <c r="X80" i="2" s="1"/>
  <c r="M74" i="1"/>
  <c r="X74" i="2" s="1"/>
  <c r="M72" i="1"/>
  <c r="X72" i="2" s="1"/>
  <c r="M66" i="1"/>
  <c r="X66" i="2" s="1"/>
  <c r="M60" i="1"/>
  <c r="X60" i="2" s="1"/>
  <c r="M57" i="1"/>
  <c r="X57" i="2" s="1"/>
  <c r="M51" i="1"/>
  <c r="X51" i="2" s="1"/>
  <c r="M48" i="1"/>
  <c r="X48" i="2" s="1"/>
  <c r="M45" i="1"/>
  <c r="X45" i="2" s="1"/>
  <c r="M39" i="1"/>
  <c r="X39" i="2" s="1"/>
  <c r="M33" i="1"/>
  <c r="X33" i="2" s="1"/>
  <c r="M31" i="1"/>
  <c r="X31" i="2" s="1"/>
  <c r="M246" i="1"/>
  <c r="X246" i="2" s="1"/>
  <c r="M112" i="1"/>
  <c r="X112" i="2" s="1"/>
  <c r="M217" i="1"/>
  <c r="X217" i="2" s="1"/>
  <c r="M316" i="1"/>
  <c r="X316" i="2" s="1"/>
  <c r="M153" i="1"/>
  <c r="X153" i="2" s="1"/>
  <c r="M54" i="1"/>
  <c r="X54" i="2" s="1"/>
  <c r="M328" i="1"/>
  <c r="X328" i="2" s="1"/>
  <c r="M25" i="1"/>
  <c r="X25" i="2" s="1"/>
  <c r="M118" i="1"/>
  <c r="X118" i="2" s="1"/>
  <c r="M334" i="1"/>
  <c r="X334" i="2" s="1"/>
  <c r="M135" i="1"/>
  <c r="X135" i="2" s="1"/>
  <c r="M215" i="1"/>
  <c r="X215" i="2" s="1"/>
  <c r="M268" i="1"/>
  <c r="X268" i="2" s="1"/>
  <c r="M140" i="1"/>
  <c r="X140" i="2" s="1"/>
  <c r="M82" i="1"/>
  <c r="X82" i="2" s="1"/>
  <c r="M332" i="1"/>
  <c r="X332" i="2" s="1"/>
  <c r="M209" i="1"/>
  <c r="X209" i="2" s="1"/>
  <c r="M151" i="1"/>
  <c r="X151" i="2" s="1"/>
  <c r="M81" i="1"/>
  <c r="X81" i="2" s="1"/>
  <c r="M338" i="1"/>
  <c r="X338" i="2" s="1"/>
  <c r="M71" i="1"/>
  <c r="X71" i="2" s="1"/>
  <c r="M363" i="1"/>
  <c r="X363" i="2" s="1"/>
  <c r="M273" i="1"/>
  <c r="X273" i="2" s="1"/>
  <c r="M145" i="1"/>
  <c r="X145" i="2" s="1"/>
  <c r="M87" i="1"/>
  <c r="X87" i="2" s="1"/>
  <c r="M156" i="1"/>
  <c r="X156" i="2" s="1"/>
  <c r="M34" i="1"/>
  <c r="X34" i="2" s="1"/>
  <c r="M28" i="1"/>
  <c r="X28" i="2" s="1"/>
  <c r="M257" i="1"/>
  <c r="X257" i="2" s="1"/>
  <c r="M210" i="1"/>
  <c r="X210" i="2" s="1"/>
  <c r="M193" i="1"/>
  <c r="X193" i="2" s="1"/>
  <c r="M242" i="1"/>
  <c r="X242" i="2" s="1"/>
  <c r="M263" i="1"/>
  <c r="X263" i="2" s="1"/>
  <c r="M199" i="1"/>
  <c r="X199" i="2" s="1"/>
  <c r="M129" i="1"/>
  <c r="X129" i="2" s="1"/>
  <c r="M370" i="1"/>
  <c r="X370" i="2" s="1"/>
  <c r="M321" i="1"/>
  <c r="X321" i="2" s="1"/>
  <c r="M295" i="1"/>
  <c r="X295" i="2" s="1"/>
  <c r="M178" i="1"/>
  <c r="X178" i="2" s="1"/>
  <c r="M108" i="1"/>
  <c r="X108" i="2" s="1"/>
  <c r="M44" i="1"/>
  <c r="X44" i="2" s="1"/>
  <c r="M300" i="1"/>
  <c r="X300" i="2" s="1"/>
  <c r="M347" i="1"/>
  <c r="X347" i="2" s="1"/>
  <c r="M247" i="1"/>
  <c r="X247" i="2" s="1"/>
  <c r="M241" i="1"/>
  <c r="X241" i="2" s="1"/>
  <c r="M183" i="1"/>
  <c r="X183" i="2" s="1"/>
  <c r="M177" i="1"/>
  <c r="X177" i="2" s="1"/>
  <c r="M119" i="1"/>
  <c r="X119" i="2" s="1"/>
  <c r="M113" i="1"/>
  <c r="X113" i="2" s="1"/>
  <c r="M55" i="1"/>
  <c r="X55" i="2" s="1"/>
  <c r="M49" i="1"/>
  <c r="X49" i="2" s="1"/>
  <c r="M364" i="1"/>
  <c r="X364" i="2" s="1"/>
  <c r="M327" i="1"/>
  <c r="X327" i="2" s="1"/>
  <c r="M274" i="1"/>
  <c r="X274" i="2" s="1"/>
  <c r="M204" i="1"/>
  <c r="X204" i="2" s="1"/>
  <c r="M146" i="1"/>
  <c r="X146" i="2" s="1"/>
  <c r="M76" i="1"/>
  <c r="X76" i="2" s="1"/>
  <c r="M369" i="1"/>
  <c r="X369" i="2" s="1"/>
  <c r="M289" i="1"/>
  <c r="X289" i="2" s="1"/>
  <c r="M348" i="1"/>
  <c r="X348" i="2" s="1"/>
  <c r="M236" i="1"/>
  <c r="X236" i="2" s="1"/>
  <c r="M172" i="1"/>
  <c r="X172" i="2" s="1"/>
  <c r="M114" i="1"/>
  <c r="X114" i="2" s="1"/>
  <c r="M50" i="1"/>
  <c r="X50" i="2" s="1"/>
  <c r="M354" i="1"/>
  <c r="X354" i="2" s="1"/>
  <c r="M306" i="1"/>
  <c r="X306" i="2" s="1"/>
  <c r="BB6" i="2"/>
  <c r="BB7" i="2"/>
  <c r="BF7" i="2" s="1"/>
  <c r="BG7" i="2" s="1"/>
  <c r="BB8" i="2"/>
  <c r="BF8" i="2" s="1"/>
  <c r="BG8" i="2" s="1"/>
  <c r="BB9" i="2"/>
  <c r="BF9" i="2" s="1"/>
  <c r="BG9" i="2" s="1"/>
  <c r="BB10" i="2"/>
  <c r="BF10" i="2" s="1"/>
  <c r="BG10" i="2" s="1"/>
  <c r="BB11" i="2"/>
  <c r="BF11" i="2" s="1"/>
  <c r="BG11" i="2" s="1"/>
  <c r="BB12" i="2"/>
  <c r="BF12" i="2" s="1"/>
  <c r="BG12" i="2" s="1"/>
  <c r="BB13" i="2"/>
  <c r="BF13" i="2" s="1"/>
  <c r="BG13" i="2" s="1"/>
  <c r="BB14" i="2"/>
  <c r="BF14" i="2" s="1"/>
  <c r="BG14" i="2" s="1"/>
  <c r="BB15" i="2"/>
  <c r="BF15" i="2" s="1"/>
  <c r="BG15" i="2" s="1"/>
  <c r="BB16" i="2"/>
  <c r="BF16" i="2" s="1"/>
  <c r="BG16" i="2" s="1"/>
  <c r="BB17" i="2"/>
  <c r="BF17" i="2" s="1"/>
  <c r="BG17" i="2" s="1"/>
  <c r="BB18" i="2"/>
  <c r="BF18" i="2" s="1"/>
  <c r="BG18" i="2" s="1"/>
  <c r="BB19" i="2"/>
  <c r="BF19" i="2" s="1"/>
  <c r="BG19" i="2" s="1"/>
  <c r="BB20" i="2"/>
  <c r="BF20" i="2" s="1"/>
  <c r="BG20" i="2" s="1"/>
  <c r="BB21" i="2"/>
  <c r="BF21" i="2" s="1"/>
  <c r="BG21" i="2" s="1"/>
  <c r="BB22" i="2"/>
  <c r="BF22" i="2" s="1"/>
  <c r="BG22" i="2" s="1"/>
  <c r="BB23" i="2"/>
  <c r="BF23" i="2" s="1"/>
  <c r="BG23" i="2" s="1"/>
  <c r="BB24" i="2"/>
  <c r="BF24" i="2" s="1"/>
  <c r="BG24" i="2" s="1"/>
  <c r="BB25" i="2"/>
  <c r="BF25" i="2" s="1"/>
  <c r="BG25" i="2" s="1"/>
  <c r="BB26" i="2"/>
  <c r="BF26" i="2" s="1"/>
  <c r="BG26" i="2" s="1"/>
  <c r="BB27" i="2"/>
  <c r="BB28" i="2"/>
  <c r="BB29" i="2"/>
  <c r="BB30" i="2"/>
  <c r="BB31" i="2"/>
  <c r="BB32" i="2"/>
  <c r="BB33" i="2"/>
  <c r="BB34" i="2"/>
  <c r="BB35" i="2"/>
  <c r="BB369" i="2"/>
  <c r="K7" i="8" l="1"/>
  <c r="BB152" i="2"/>
  <c r="BB130" i="2"/>
  <c r="BB108" i="2"/>
  <c r="BB86" i="2"/>
  <c r="BB64" i="2"/>
  <c r="BB42" i="2"/>
  <c r="BB349" i="2"/>
  <c r="BB305" i="2"/>
  <c r="BB261" i="2"/>
  <c r="BB195" i="2"/>
  <c r="BB151" i="2"/>
  <c r="BB63" i="2"/>
  <c r="BB326" i="2"/>
  <c r="BB260" i="2"/>
  <c r="BB194" i="2"/>
  <c r="BB150" i="2"/>
  <c r="BB62" i="2"/>
  <c r="M340" i="1"/>
  <c r="X340" i="2" s="1"/>
  <c r="Z16" i="5" s="1"/>
  <c r="BB347" i="2"/>
  <c r="BB281" i="2"/>
  <c r="BB237" i="2"/>
  <c r="BB171" i="2"/>
  <c r="BB105" i="2"/>
  <c r="BB61" i="2"/>
  <c r="BB346" i="2"/>
  <c r="BB258" i="2"/>
  <c r="BB148" i="2"/>
  <c r="BB345" i="2"/>
  <c r="BB279" i="2"/>
  <c r="BB235" i="2"/>
  <c r="BB213" i="2"/>
  <c r="BB169" i="2"/>
  <c r="BB147" i="2"/>
  <c r="BB103" i="2"/>
  <c r="BB81" i="2"/>
  <c r="BB59" i="2"/>
  <c r="BB366" i="2"/>
  <c r="BB322" i="2"/>
  <c r="BB278" i="2"/>
  <c r="BB212" i="2"/>
  <c r="BB124" i="2"/>
  <c r="M65" i="1"/>
  <c r="X65" i="2" s="1"/>
  <c r="Z7" i="5" s="1"/>
  <c r="BB343" i="2"/>
  <c r="BB299" i="2"/>
  <c r="BB255" i="2"/>
  <c r="BB189" i="2"/>
  <c r="BB123" i="2"/>
  <c r="BB57" i="2"/>
  <c r="BB342" i="2"/>
  <c r="BB276" i="2"/>
  <c r="BB254" i="2"/>
  <c r="BB210" i="2"/>
  <c r="BB166" i="2"/>
  <c r="BB122" i="2"/>
  <c r="BB100" i="2"/>
  <c r="BB78" i="2"/>
  <c r="BB56" i="2"/>
  <c r="BB283" i="2"/>
  <c r="BB239" i="2"/>
  <c r="BB173" i="2"/>
  <c r="BB129" i="2"/>
  <c r="BB85" i="2"/>
  <c r="BB41" i="2"/>
  <c r="M279" i="1"/>
  <c r="X279" i="2" s="1"/>
  <c r="Z14" i="5" s="1"/>
  <c r="BB304" i="2"/>
  <c r="BB216" i="2"/>
  <c r="BB106" i="2"/>
  <c r="BB303" i="2"/>
  <c r="BB215" i="2"/>
  <c r="BB127" i="2"/>
  <c r="BB368" i="2"/>
  <c r="BB302" i="2"/>
  <c r="BB236" i="2"/>
  <c r="BB192" i="2"/>
  <c r="BB126" i="2"/>
  <c r="BB82" i="2"/>
  <c r="BB60" i="2"/>
  <c r="BB323" i="2"/>
  <c r="M310" i="1"/>
  <c r="X310" i="2" s="1"/>
  <c r="Z15" i="5" s="1"/>
  <c r="BB344" i="2"/>
  <c r="BB300" i="2"/>
  <c r="BB256" i="2"/>
  <c r="BB234" i="2"/>
  <c r="BB190" i="2"/>
  <c r="BB168" i="2"/>
  <c r="BB146" i="2"/>
  <c r="BB102" i="2"/>
  <c r="BB80" i="2"/>
  <c r="BB58" i="2"/>
  <c r="BB36" i="2"/>
  <c r="AN5" i="5" s="1"/>
  <c r="BB365" i="2"/>
  <c r="BB321" i="2"/>
  <c r="BB277" i="2"/>
  <c r="BB233" i="2"/>
  <c r="BB211" i="2"/>
  <c r="BB167" i="2"/>
  <c r="BB145" i="2"/>
  <c r="BB101" i="2"/>
  <c r="BB79" i="2"/>
  <c r="BB320" i="2"/>
  <c r="BB188" i="2"/>
  <c r="BB319" i="2"/>
  <c r="BB275" i="2"/>
  <c r="BB231" i="2"/>
  <c r="BB187" i="2"/>
  <c r="BB143" i="2"/>
  <c r="BB99" i="2"/>
  <c r="BB55" i="2"/>
  <c r="BB296" i="2"/>
  <c r="BB361" i="2"/>
  <c r="BB317" i="2"/>
  <c r="BB273" i="2"/>
  <c r="BB229" i="2"/>
  <c r="BB185" i="2"/>
  <c r="BB119" i="2"/>
  <c r="BB75" i="2"/>
  <c r="Z5" i="5"/>
  <c r="M249" i="1"/>
  <c r="X249" i="2" s="1"/>
  <c r="Z13" i="5" s="1"/>
  <c r="BB338" i="2"/>
  <c r="BB294" i="2"/>
  <c r="BB250" i="2"/>
  <c r="BB184" i="2"/>
  <c r="BB118" i="2"/>
  <c r="BB359" i="2"/>
  <c r="BB315" i="2"/>
  <c r="BB271" i="2"/>
  <c r="BB227" i="2"/>
  <c r="BB183" i="2"/>
  <c r="BB139" i="2"/>
  <c r="BB95" i="2"/>
  <c r="BB51" i="2"/>
  <c r="M187" i="1"/>
  <c r="X187" i="2" s="1"/>
  <c r="BB358" i="2"/>
  <c r="BB270" i="2"/>
  <c r="BB160" i="2"/>
  <c r="M96" i="1"/>
  <c r="X96" i="2" s="1"/>
  <c r="Z8" i="5" s="1"/>
  <c r="BB357" i="2"/>
  <c r="BB335" i="2"/>
  <c r="BB313" i="2"/>
  <c r="BB291" i="2"/>
  <c r="BB269" i="2"/>
  <c r="BB247" i="2"/>
  <c r="BB225" i="2"/>
  <c r="BB203" i="2"/>
  <c r="BB181" i="2"/>
  <c r="BB159" i="2"/>
  <c r="BB137" i="2"/>
  <c r="BB115" i="2"/>
  <c r="BB93" i="2"/>
  <c r="BB71" i="2"/>
  <c r="BB49" i="2"/>
  <c r="M218" i="1"/>
  <c r="X218" i="2" s="1"/>
  <c r="Z12" i="5" s="1"/>
  <c r="BB364" i="2"/>
  <c r="BB298" i="2"/>
  <c r="BB232" i="2"/>
  <c r="BB144" i="2"/>
  <c r="M126" i="1"/>
  <c r="X126" i="2" s="1"/>
  <c r="Z9" i="5" s="1"/>
  <c r="BB363" i="2"/>
  <c r="BB341" i="2"/>
  <c r="BB297" i="2"/>
  <c r="BB253" i="2"/>
  <c r="BB209" i="2"/>
  <c r="BB165" i="2"/>
  <c r="BB121" i="2"/>
  <c r="BB77" i="2"/>
  <c r="M157" i="1"/>
  <c r="X157" i="2" s="1"/>
  <c r="Z10" i="5" s="1"/>
  <c r="BB362" i="2"/>
  <c r="BB340" i="2"/>
  <c r="BB318" i="2"/>
  <c r="BB274" i="2"/>
  <c r="BB252" i="2"/>
  <c r="BB230" i="2"/>
  <c r="BB208" i="2"/>
  <c r="BB186" i="2"/>
  <c r="BB164" i="2"/>
  <c r="BB142" i="2"/>
  <c r="BB120" i="2"/>
  <c r="BB98" i="2"/>
  <c r="BB76" i="2"/>
  <c r="BB54" i="2"/>
  <c r="BB339" i="2"/>
  <c r="BB295" i="2"/>
  <c r="BB251" i="2"/>
  <c r="BB207" i="2"/>
  <c r="BB163" i="2"/>
  <c r="BB141" i="2"/>
  <c r="BB97" i="2"/>
  <c r="BB53" i="2"/>
  <c r="BB360" i="2"/>
  <c r="BB316" i="2"/>
  <c r="BB272" i="2"/>
  <c r="BB228" i="2"/>
  <c r="BB206" i="2"/>
  <c r="BB162" i="2"/>
  <c r="BB140" i="2"/>
  <c r="BB96" i="2"/>
  <c r="BB74" i="2"/>
  <c r="BB52" i="2"/>
  <c r="BB337" i="2"/>
  <c r="BB293" i="2"/>
  <c r="BB249" i="2"/>
  <c r="BB205" i="2"/>
  <c r="BB161" i="2"/>
  <c r="BB117" i="2"/>
  <c r="BB73" i="2"/>
  <c r="BB336" i="2"/>
  <c r="BB314" i="2"/>
  <c r="BB292" i="2"/>
  <c r="BB248" i="2"/>
  <c r="BB226" i="2"/>
  <c r="BB204" i="2"/>
  <c r="BB182" i="2"/>
  <c r="BB138" i="2"/>
  <c r="BB116" i="2"/>
  <c r="BB94" i="2"/>
  <c r="BB72" i="2"/>
  <c r="BB50" i="2"/>
  <c r="BF6" i="2"/>
  <c r="BG6" i="2" s="1"/>
  <c r="BB356" i="2"/>
  <c r="BB334" i="2"/>
  <c r="BB312" i="2"/>
  <c r="BB290" i="2"/>
  <c r="BB268" i="2"/>
  <c r="BB246" i="2"/>
  <c r="BB224" i="2"/>
  <c r="BB202" i="2"/>
  <c r="BB180" i="2"/>
  <c r="BB158" i="2"/>
  <c r="BB136" i="2"/>
  <c r="BB114" i="2"/>
  <c r="BB92" i="2"/>
  <c r="BB70" i="2"/>
  <c r="BB48" i="2"/>
  <c r="BB355" i="2"/>
  <c r="BB333" i="2"/>
  <c r="BB311" i="2"/>
  <c r="BB289" i="2"/>
  <c r="BB267" i="2"/>
  <c r="BB245" i="2"/>
  <c r="BB223" i="2"/>
  <c r="BB201" i="2"/>
  <c r="BB179" i="2"/>
  <c r="BB157" i="2"/>
  <c r="BB135" i="2"/>
  <c r="BB113" i="2"/>
  <c r="BB91" i="2"/>
  <c r="BB69" i="2"/>
  <c r="BB47" i="2"/>
  <c r="BB327" i="2"/>
  <c r="BB217" i="2"/>
  <c r="BB107" i="2"/>
  <c r="BB348" i="2"/>
  <c r="BB282" i="2"/>
  <c r="BB238" i="2"/>
  <c r="BB172" i="2"/>
  <c r="BB128" i="2"/>
  <c r="BB84" i="2"/>
  <c r="BB40" i="2"/>
  <c r="BB325" i="2"/>
  <c r="BB259" i="2"/>
  <c r="BB193" i="2"/>
  <c r="BB149" i="2"/>
  <c r="BB83" i="2"/>
  <c r="BB39" i="2"/>
  <c r="M37" i="1"/>
  <c r="X37" i="2" s="1"/>
  <c r="Z6" i="5" s="1"/>
  <c r="BB324" i="2"/>
  <c r="BB280" i="2"/>
  <c r="BB214" i="2"/>
  <c r="BB170" i="2"/>
  <c r="BB104" i="2"/>
  <c r="BB38" i="2"/>
  <c r="BB367" i="2"/>
  <c r="BB301" i="2"/>
  <c r="BB257" i="2"/>
  <c r="BB191" i="2"/>
  <c r="BB125" i="2"/>
  <c r="BB37" i="2"/>
  <c r="BB354" i="2"/>
  <c r="BB332" i="2"/>
  <c r="BB310" i="2"/>
  <c r="BB288" i="2"/>
  <c r="BB266" i="2"/>
  <c r="BB244" i="2"/>
  <c r="BB222" i="2"/>
  <c r="BB200" i="2"/>
  <c r="BB178" i="2"/>
  <c r="BB156" i="2"/>
  <c r="BB134" i="2"/>
  <c r="BB112" i="2"/>
  <c r="BB90" i="2"/>
  <c r="BB68" i="2"/>
  <c r="BB46" i="2"/>
  <c r="BB353" i="2"/>
  <c r="BB331" i="2"/>
  <c r="BB309" i="2"/>
  <c r="BB287" i="2"/>
  <c r="BB265" i="2"/>
  <c r="BB243" i="2"/>
  <c r="BB221" i="2"/>
  <c r="BB199" i="2"/>
  <c r="BB177" i="2"/>
  <c r="BB155" i="2"/>
  <c r="BB133" i="2"/>
  <c r="BB111" i="2"/>
  <c r="BB89" i="2"/>
  <c r="BB67" i="2"/>
  <c r="BB45" i="2"/>
  <c r="AE17" i="5"/>
  <c r="BB352" i="2"/>
  <c r="BB330" i="2"/>
  <c r="BB308" i="2"/>
  <c r="BB286" i="2"/>
  <c r="BB264" i="2"/>
  <c r="BB242" i="2"/>
  <c r="BB220" i="2"/>
  <c r="BB198" i="2"/>
  <c r="BB176" i="2"/>
  <c r="BB154" i="2"/>
  <c r="BB132" i="2"/>
  <c r="BB110" i="2"/>
  <c r="BB88" i="2"/>
  <c r="BB66" i="2"/>
  <c r="BB44" i="2"/>
  <c r="BB350" i="2"/>
  <c r="BB328" i="2"/>
  <c r="BB306" i="2"/>
  <c r="BB284" i="2"/>
  <c r="BB262" i="2"/>
  <c r="BB240" i="2"/>
  <c r="BB218" i="2"/>
  <c r="BB196" i="2"/>
  <c r="BB174" i="2"/>
  <c r="BB351" i="2"/>
  <c r="BB329" i="2"/>
  <c r="BB307" i="2"/>
  <c r="BB285" i="2"/>
  <c r="BB263" i="2"/>
  <c r="BB241" i="2"/>
  <c r="BB219" i="2"/>
  <c r="BB197" i="2"/>
  <c r="BB175" i="2"/>
  <c r="BB153" i="2"/>
  <c r="BB131" i="2"/>
  <c r="BB109" i="2"/>
  <c r="BB87" i="2"/>
  <c r="BB65" i="2"/>
  <c r="BB43" i="2"/>
  <c r="BC11" i="2"/>
  <c r="BC163" i="2"/>
  <c r="BC147" i="2"/>
  <c r="BC131" i="2"/>
  <c r="BC115" i="2"/>
  <c r="BC99" i="2"/>
  <c r="BC83" i="2"/>
  <c r="BC67" i="2"/>
  <c r="BC51" i="2"/>
  <c r="BC35" i="2"/>
  <c r="BC19" i="2"/>
  <c r="BC162" i="2"/>
  <c r="BC146" i="2"/>
  <c r="BC130" i="2"/>
  <c r="BC114" i="2"/>
  <c r="BC98" i="2"/>
  <c r="BC82" i="2"/>
  <c r="BC66" i="2"/>
  <c r="BC50" i="2"/>
  <c r="BC34" i="2"/>
  <c r="BC18" i="2"/>
  <c r="BC161" i="2"/>
  <c r="BC145" i="2"/>
  <c r="BC129" i="2"/>
  <c r="BC113" i="2"/>
  <c r="BC97" i="2"/>
  <c r="BC81" i="2"/>
  <c r="BC65" i="2"/>
  <c r="BC49" i="2"/>
  <c r="BC33" i="2"/>
  <c r="BC17" i="2"/>
  <c r="BC59" i="2"/>
  <c r="BC160" i="2"/>
  <c r="BC96" i="2"/>
  <c r="BC175" i="2"/>
  <c r="BC159" i="2"/>
  <c r="BC143" i="2"/>
  <c r="BC127" i="2"/>
  <c r="BC111" i="2"/>
  <c r="BC95" i="2"/>
  <c r="BC79" i="2"/>
  <c r="BC63" i="2"/>
  <c r="BC47" i="2"/>
  <c r="BC31" i="2"/>
  <c r="BC15" i="2"/>
  <c r="BC176" i="2"/>
  <c r="BC144" i="2"/>
  <c r="BC128" i="2"/>
  <c r="BC112" i="2"/>
  <c r="BC80" i="2"/>
  <c r="BC64" i="2"/>
  <c r="BC48" i="2"/>
  <c r="BC32" i="2"/>
  <c r="BC16" i="2"/>
  <c r="BC174" i="2"/>
  <c r="BC158" i="2"/>
  <c r="BC142" i="2"/>
  <c r="BC126" i="2"/>
  <c r="BC110" i="2"/>
  <c r="BC94" i="2"/>
  <c r="BC78" i="2"/>
  <c r="BC62" i="2"/>
  <c r="BC46" i="2"/>
  <c r="BC30" i="2"/>
  <c r="BC14" i="2"/>
  <c r="BC173" i="2"/>
  <c r="BC157" i="2"/>
  <c r="BC141" i="2"/>
  <c r="BC125" i="2"/>
  <c r="BC109" i="2"/>
  <c r="BC93" i="2"/>
  <c r="BC77" i="2"/>
  <c r="BC61" i="2"/>
  <c r="BC45" i="2"/>
  <c r="BC29" i="2"/>
  <c r="BC13" i="2"/>
  <c r="BC172" i="2"/>
  <c r="BC156" i="2"/>
  <c r="BC140" i="2"/>
  <c r="BC124" i="2"/>
  <c r="BC108" i="2"/>
  <c r="BC92" i="2"/>
  <c r="BC76" i="2"/>
  <c r="BC60" i="2"/>
  <c r="BC44" i="2"/>
  <c r="BC28" i="2"/>
  <c r="BC12" i="2"/>
  <c r="BC139" i="2"/>
  <c r="BC123" i="2"/>
  <c r="BC154" i="2"/>
  <c r="BC138" i="2"/>
  <c r="BC122" i="2"/>
  <c r="BC106" i="2"/>
  <c r="BC90" i="2"/>
  <c r="BC74" i="2"/>
  <c r="BC58" i="2"/>
  <c r="BC42" i="2"/>
  <c r="BC26" i="2"/>
  <c r="BC10" i="2"/>
  <c r="BC155" i="2"/>
  <c r="BC153" i="2"/>
  <c r="BC137" i="2"/>
  <c r="BC121" i="2"/>
  <c r="BC105" i="2"/>
  <c r="BC89" i="2"/>
  <c r="BC73" i="2"/>
  <c r="BC57" i="2"/>
  <c r="BC41" i="2"/>
  <c r="BC25" i="2"/>
  <c r="BC9" i="2"/>
  <c r="BC152" i="2"/>
  <c r="BC120" i="2"/>
  <c r="BC104" i="2"/>
  <c r="BC88" i="2"/>
  <c r="BC72" i="2"/>
  <c r="BC56" i="2"/>
  <c r="BC40" i="2"/>
  <c r="BC24" i="2"/>
  <c r="BC8" i="2"/>
  <c r="BC119" i="2"/>
  <c r="BC55" i="2"/>
  <c r="BC171" i="2"/>
  <c r="BC107" i="2"/>
  <c r="BC91" i="2"/>
  <c r="BC75" i="2"/>
  <c r="BC27" i="2"/>
  <c r="BC166" i="2"/>
  <c r="BC150" i="2"/>
  <c r="BC118" i="2"/>
  <c r="BC102" i="2"/>
  <c r="BC86" i="2"/>
  <c r="BC70" i="2"/>
  <c r="BC54" i="2"/>
  <c r="BC22" i="2"/>
  <c r="BC6" i="2"/>
  <c r="BC23" i="2"/>
  <c r="BC43" i="2"/>
  <c r="BC151" i="2"/>
  <c r="BC39" i="2"/>
  <c r="BC165" i="2"/>
  <c r="BC149" i="2"/>
  <c r="BC133" i="2"/>
  <c r="BC117" i="2"/>
  <c r="BC101" i="2"/>
  <c r="BC85" i="2"/>
  <c r="BC69" i="2"/>
  <c r="BC53" i="2"/>
  <c r="BC37" i="2"/>
  <c r="BC21" i="2"/>
  <c r="BC164" i="2"/>
  <c r="BC148" i="2"/>
  <c r="BC132" i="2"/>
  <c r="BC116" i="2"/>
  <c r="BC100" i="2"/>
  <c r="BC84" i="2"/>
  <c r="BC68" i="2"/>
  <c r="BC52" i="2"/>
  <c r="BC36" i="2"/>
  <c r="BC20" i="2"/>
  <c r="BC167" i="2"/>
  <c r="BC103" i="2"/>
  <c r="BC87" i="2"/>
  <c r="BC71" i="2"/>
  <c r="BC7" i="2"/>
  <c r="BC329" i="2"/>
  <c r="BC265" i="2"/>
  <c r="BC217" i="2"/>
  <c r="BC355" i="2"/>
  <c r="BC323" i="2"/>
  <c r="BC307" i="2"/>
  <c r="BC275" i="2"/>
  <c r="BC259" i="2"/>
  <c r="BC243" i="2"/>
  <c r="BC227" i="2"/>
  <c r="BC211" i="2"/>
  <c r="BC195" i="2"/>
  <c r="BC179" i="2"/>
  <c r="BC354" i="2"/>
  <c r="BC338" i="2"/>
  <c r="BC322" i="2"/>
  <c r="BC306" i="2"/>
  <c r="BC290" i="2"/>
  <c r="BC274" i="2"/>
  <c r="BC258" i="2"/>
  <c r="BC242" i="2"/>
  <c r="BC226" i="2"/>
  <c r="BC210" i="2"/>
  <c r="BC194" i="2"/>
  <c r="BC178" i="2"/>
  <c r="BC315" i="2"/>
  <c r="BC257" i="2"/>
  <c r="BC368" i="2"/>
  <c r="BC352" i="2"/>
  <c r="BC336" i="2"/>
  <c r="BC320" i="2"/>
  <c r="BC288" i="2"/>
  <c r="BC256" i="2"/>
  <c r="BC240" i="2"/>
  <c r="BC224" i="2"/>
  <c r="BC208" i="2"/>
  <c r="BC192" i="2"/>
  <c r="BC319" i="2"/>
  <c r="BC207" i="2"/>
  <c r="BC281" i="2"/>
  <c r="BC225" i="2"/>
  <c r="BC367" i="2"/>
  <c r="BC351" i="2"/>
  <c r="BC335" i="2"/>
  <c r="BC287" i="2"/>
  <c r="BC255" i="2"/>
  <c r="BC239" i="2"/>
  <c r="BC223" i="2"/>
  <c r="BC191" i="2"/>
  <c r="BC366" i="2"/>
  <c r="BC350" i="2"/>
  <c r="BC334" i="2"/>
  <c r="BC318" i="2"/>
  <c r="BC302" i="2"/>
  <c r="BC286" i="2"/>
  <c r="BC254" i="2"/>
  <c r="BC222" i="2"/>
  <c r="BC206" i="2"/>
  <c r="BC190" i="2"/>
  <c r="BC331" i="2"/>
  <c r="BC283" i="2"/>
  <c r="BC235" i="2"/>
  <c r="BC345" i="2"/>
  <c r="BC369" i="2"/>
  <c r="BC353" i="2"/>
  <c r="BC321" i="2"/>
  <c r="BC289" i="2"/>
  <c r="BC241" i="2"/>
  <c r="BC209" i="2"/>
  <c r="BC177" i="2"/>
  <c r="BC365" i="2"/>
  <c r="BC349" i="2"/>
  <c r="BC333" i="2"/>
  <c r="BC317" i="2"/>
  <c r="BC285" i="2"/>
  <c r="BC269" i="2"/>
  <c r="BC253" i="2"/>
  <c r="BC221" i="2"/>
  <c r="BC189" i="2"/>
  <c r="BC273" i="2"/>
  <c r="BC193" i="2"/>
  <c r="BC301" i="2"/>
  <c r="BC205" i="2"/>
  <c r="BC364" i="2"/>
  <c r="BC348" i="2"/>
  <c r="BC332" i="2"/>
  <c r="BC316" i="2"/>
  <c r="BC300" i="2"/>
  <c r="BC284" i="2"/>
  <c r="BC268" i="2"/>
  <c r="BC252" i="2"/>
  <c r="BC220" i="2"/>
  <c r="BC188" i="2"/>
  <c r="BC267" i="2"/>
  <c r="BC363" i="2"/>
  <c r="BC362" i="2"/>
  <c r="BC346" i="2"/>
  <c r="BC330" i="2"/>
  <c r="BC314" i="2"/>
  <c r="BC298" i="2"/>
  <c r="BC282" i="2"/>
  <c r="BC266" i="2"/>
  <c r="BC250" i="2"/>
  <c r="BC234" i="2"/>
  <c r="BC218" i="2"/>
  <c r="BC186" i="2"/>
  <c r="BC360" i="2"/>
  <c r="BC344" i="2"/>
  <c r="BC328" i="2"/>
  <c r="BC312" i="2"/>
  <c r="BC296" i="2"/>
  <c r="BC280" i="2"/>
  <c r="BC264" i="2"/>
  <c r="BC248" i="2"/>
  <c r="BC232" i="2"/>
  <c r="BC216" i="2"/>
  <c r="BC200" i="2"/>
  <c r="BC184" i="2"/>
  <c r="BC361" i="2"/>
  <c r="BC297" i="2"/>
  <c r="BC249" i="2"/>
  <c r="BC201" i="2"/>
  <c r="BC359" i="2"/>
  <c r="BC327" i="2"/>
  <c r="BC311" i="2"/>
  <c r="BC295" i="2"/>
  <c r="BC263" i="2"/>
  <c r="BC247" i="2"/>
  <c r="BC231" i="2"/>
  <c r="BC215" i="2"/>
  <c r="BC183" i="2"/>
  <c r="BC313" i="2"/>
  <c r="BC233" i="2"/>
  <c r="BC185" i="2"/>
  <c r="BC343" i="2"/>
  <c r="BC279" i="2"/>
  <c r="BC199" i="2"/>
  <c r="BC358" i="2"/>
  <c r="BC342" i="2"/>
  <c r="BC326" i="2"/>
  <c r="BC310" i="2"/>
  <c r="BC294" i="2"/>
  <c r="BC278" i="2"/>
  <c r="BC262" i="2"/>
  <c r="BC246" i="2"/>
  <c r="BC230" i="2"/>
  <c r="BC214" i="2"/>
  <c r="BC198" i="2"/>
  <c r="BC182" i="2"/>
  <c r="BC325" i="2"/>
  <c r="BC277" i="2"/>
  <c r="BC229" i="2"/>
  <c r="BC181" i="2"/>
  <c r="BC347" i="2"/>
  <c r="BC299" i="2"/>
  <c r="BC251" i="2"/>
  <c r="BC219" i="2"/>
  <c r="BC187" i="2"/>
  <c r="BC341" i="2"/>
  <c r="BC309" i="2"/>
  <c r="BC261" i="2"/>
  <c r="BC245" i="2"/>
  <c r="BC213" i="2"/>
  <c r="BC356" i="2"/>
  <c r="BC340" i="2"/>
  <c r="BC324" i="2"/>
  <c r="BC308" i="2"/>
  <c r="BC292" i="2"/>
  <c r="BC276" i="2"/>
  <c r="BC260" i="2"/>
  <c r="BC244" i="2"/>
  <c r="BC228" i="2"/>
  <c r="BC212" i="2"/>
  <c r="BC196" i="2"/>
  <c r="BC180" i="2"/>
  <c r="BC357" i="2"/>
  <c r="BC293" i="2"/>
  <c r="BC197" i="2"/>
  <c r="BC291" i="2"/>
  <c r="K6" i="8" l="1"/>
  <c r="L6" i="8" s="1"/>
  <c r="AN11" i="5"/>
  <c r="BC337" i="2"/>
  <c r="AN15" i="5"/>
  <c r="AN7" i="5"/>
  <c r="BC38" i="2"/>
  <c r="AO6" i="5" s="1"/>
  <c r="BC136" i="2"/>
  <c r="BC203" i="2"/>
  <c r="BC303" i="2"/>
  <c r="BC305" i="2"/>
  <c r="AO16" i="5"/>
  <c r="BC134" i="2"/>
  <c r="BC170" i="2"/>
  <c r="AO7" i="5"/>
  <c r="BC237" i="2"/>
  <c r="BC238" i="2"/>
  <c r="BC270" i="2"/>
  <c r="AN13" i="5"/>
  <c r="AN16" i="5"/>
  <c r="AN9" i="5"/>
  <c r="AN14" i="5"/>
  <c r="BC204" i="2"/>
  <c r="AN6" i="5"/>
  <c r="BC304" i="2"/>
  <c r="AN12" i="5"/>
  <c r="AO5" i="5"/>
  <c r="BC202" i="2"/>
  <c r="AN8" i="5"/>
  <c r="BC271" i="2"/>
  <c r="AO8" i="5"/>
  <c r="BC339" i="2"/>
  <c r="BC168" i="2"/>
  <c r="BC135" i="2"/>
  <c r="BC236" i="2"/>
  <c r="BC272" i="2"/>
  <c r="BC169" i="2"/>
  <c r="AN10" i="5"/>
  <c r="BB5" i="2"/>
  <c r="BF5" i="2" s="1"/>
  <c r="BG5" i="2" s="1"/>
  <c r="AO15" i="5" l="1"/>
  <c r="AO9" i="5"/>
  <c r="AO13" i="5"/>
  <c r="AO14" i="5"/>
  <c r="AO11" i="5"/>
  <c r="AO12" i="5"/>
  <c r="AO10" i="5"/>
  <c r="AN17" i="5"/>
  <c r="BC5" i="2"/>
  <c r="AO17" i="5" l="1"/>
  <c r="M189" i="1"/>
  <c r="X189" i="2" s="1"/>
  <c r="Z11" i="5" s="1"/>
  <c r="Z17" i="5" s="1"/>
  <c r="Q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tc={09889533-6B7A-46E9-9FC7-15207744F02C}</author>
  </authors>
  <commentList>
    <comment ref="AJ3" authorId="0" shapeId="0" xr:uid="{09889533-6B7A-46E9-9FC7-15207744F02C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열병합발전 : 51.39Gcal/h  
온수보일러 : 68.8Gcal/h x 3기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tc={DBF68595-312F-4007-9741-FF1F2A705BC6}</author>
    <author>tc={F2588F72-A389-4863-A5F0-43D8BA729A6F}</author>
    <author>tc={28EC43C5-E6A1-4950-87C3-742652FBF6C8}</author>
    <author>tc={65EBB0F9-2332-4BC4-897B-3E9729025B52}</author>
    <author>tc={E4ED5AEE-F7C8-498D-9AAC-3D954766B330}</author>
    <author>tc={0940C130-0CB0-42E7-A948-49CCFC497C75}</author>
    <author>tc={6345B6FC-380D-46D7-8769-2DF07F33A36E}</author>
    <author>tc={C6903B5B-8074-415B-A115-4F03397DF8CB}</author>
    <author>tc={9E5932B5-66D9-42F7-A4F7-4BBAF76DC2D0}</author>
    <author>tc={CB9A4337-01B0-4F6F-B2A0-745128B54B92}</author>
    <author>tc={3BCE8133-112E-4FED-8D9B-5556EE95087B}</author>
    <author>tc={58253252-66C1-44F9-BDA6-FE625FA52061}</author>
    <author>tc={8DEACC25-44A0-4995-B2B5-069FE2C3EE82}</author>
    <author>tc={0A48CDD5-0EF1-44E7-B23C-4FF9C957977E}</author>
  </authors>
  <commentList>
    <comment ref="AX3" authorId="0" shapeId="0" xr:uid="{DBF68595-312F-4007-9741-FF1F2A705BC6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열병합발전 : 51.39Gcal/h  
온수보일러 : 68.8Gcal/h x 3기 </t>
      </text>
    </comment>
    <comment ref="AL4" authorId="1" shapeId="0" xr:uid="{F2588F72-A389-4863-A5F0-43D8BA729A6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직접 기입</t>
      </text>
    </comment>
    <comment ref="BH18" authorId="2" shapeId="0" xr:uid="{28EC43C5-E6A1-4950-87C3-742652FBF6C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1월의 경우
초기가동 6:00 부터로 전부 동일
초기가동 이후 셧다운 없음으로 산정</t>
      </text>
    </comment>
    <comment ref="L31" authorId="3" shapeId="0" xr:uid="{65EBB0F9-2332-4BC4-897B-3E9729025B5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전력량계 교체</t>
      </text>
    </comment>
    <comment ref="T38" authorId="4" shapeId="0" xr:uid="{E4ED5AEE-F7C8-498D-9AAC-3D954766B33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인테코 dh수로 축열조 충수 중</t>
      </text>
    </comment>
    <comment ref="O41" authorId="5" shapeId="0" xr:uid="{0940C130-0CB0-42E7-A948-49CCFC497C7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밸브 미잠금으로 폐수발생량 많은것으로 예상
2/6 9:00 운영교대 발견 및 공유
 - 지하 TCV-8610 드레인 열림
 - 지하 청소용 시수 열림</t>
      </text>
    </comment>
    <comment ref="AM42" authorId="6" shapeId="0" xr:uid="{6345B6FC-380D-46D7-8769-2DF07F33A36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CHP Trip 
EMB Sol 접점 신호 체계 이상으로 gov_5t65 신호 불량 추정</t>
      </text>
    </comment>
    <comment ref="AO42" authorId="7" shapeId="0" xr:uid="{C6903B5B-8074-415B-A115-4F03397DF8C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CHP Trip</t>
      </text>
    </comment>
    <comment ref="R48" authorId="8" shapeId="0" xr:uid="{9E5932B5-66D9-42F7-A4F7-4BBAF76DC2D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17:10 통수 시작</t>
      </text>
    </comment>
    <comment ref="R49" authorId="9" shapeId="0" xr:uid="{CB9A4337-01B0-4F6F-B2A0-745128B54B9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오후 통수종료</t>
      </text>
    </comment>
    <comment ref="R50" authorId="10" shapeId="0" xr:uid="{3BCE8133-112E-4FED-8D9B-5556EE95087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통수로 인한 overflow</t>
      </text>
    </comment>
    <comment ref="AM89" authorId="11" shapeId="0" xr:uid="{58253252-66C1-44F9-BDA6-FE625FA5206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급전 취소로 정지</t>
      </text>
    </comment>
    <comment ref="AL100" authorId="12" shapeId="0" xr:uid="{8DEACC25-44A0-4995-B2B5-069FE2C3EE8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KPX 지시로 점화</t>
      </text>
    </comment>
    <comment ref="AM101" authorId="13" shapeId="0" xr:uid="{0A48CDD5-0EF1-44E7-B23C-4FF9C957977E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4/6 1:27 KPX 기동지시 취소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tc={B602C519-4E63-44FF-B247-FAF05D4DFFD4}</author>
    <author>tc={B68331CB-529C-463F-B31A-048E6045397D}</author>
    <author>tc={222875CC-4B60-428C-AD0B-6A7C47336C3A}</author>
    <author>tc={2908CA7C-EACA-4086-ADBE-2912A0998F5C}</author>
    <author>tc={E863B8D7-9794-4398-83FE-D4349FEBE1A1}</author>
    <author>tc={1A6151EB-1D7F-4E1E-BDB8-A0BDE16C9CD7}</author>
    <author>tc={24B03DDC-F1E1-41A8-95EA-8B0B604AF626}</author>
    <author>tc={2A9B94CD-31A4-4CF6-AD43-C62ED8038EEF}</author>
    <author>tc={959F6464-7770-421D-815D-DD4BDBC2D363}</author>
    <author>tc={FA7A8534-10FF-497B-8D76-EC0F29C9CC79}</author>
    <author>tc={3E3ADAB3-D8D1-4FCB-A496-A063E99782C7}</author>
    <author>tc={AADF8CB7-D3AB-49C8-A502-85ABCDA38B84}</author>
    <author>tc={22D21C71-5DD3-4A09-A2E0-422266B9653D}</author>
    <author>tc={C535BB44-070B-489E-80DA-1C11BA0D199E}</author>
    <author>tc={0944DF29-B9BB-4812-B378-AA7FAD2F998E}</author>
    <author>tc={8F107094-6BD0-4284-8602-E216CFC237D8}</author>
    <author>tc={15D7CA4B-0FB1-4F67-B675-247E338C40D1}</author>
    <author>tc={E2826956-9ECD-48FF-B77D-3827B5AF6BC4}</author>
    <author>tc={7F0C4704-975C-4810-9730-E771AE9BD7A0}</author>
    <author>tc={740FEA20-7C06-4698-A70E-FCAADDB85C50}</author>
    <author>tc={7F836311-DB65-467B-979C-75A7AECB0025}</author>
    <author>tc={DD2F0F22-8C6A-4DE2-92FB-2E517D82A320}</author>
    <author>tc={4A8DE119-FBB9-442A-9D16-1E83934D7492}</author>
    <author>tc={96C914A2-6367-4BD6-A70A-CCBF1BA1BC26}</author>
    <author>tc={2677D3B7-E5F4-4568-8469-8AACE689BAE6}</author>
    <author>tc={B38A484C-D125-4CA1-AD55-E5CB91520817}</author>
    <author>tc={C5D79542-0245-4FED-B6ED-2D52456B1BDF}</author>
  </authors>
  <commentList>
    <comment ref="B4" authorId="0" shapeId="0" xr:uid="{B602C519-4E63-44FF-B247-FAF05D4DFFD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위드운전실적(비번356).xlsx]key-in(LO)'!AA</t>
      </text>
    </comment>
    <comment ref="D4" authorId="1" shapeId="0" xr:uid="{B68331CB-529C-463F-B31A-048E6045397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수처리동 PC</t>
      </text>
    </comment>
    <comment ref="E4" authorId="2" shapeId="0" xr:uid="{222875CC-4B60-428C-AD0B-6A7C47336C3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4F 공조기실</t>
      </text>
    </comment>
    <comment ref="F4" authorId="3" shapeId="0" xr:uid="{2908CA7C-EACA-4086-ADBE-2912A0998F5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열원동 H/C P/P 앞</t>
      </text>
    </comment>
    <comment ref="G4" authorId="4" shapeId="0" xr:uid="{E863B8D7-9794-4398-83FE-D4349FEBE1A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수처리동 전기실</t>
      </text>
    </comment>
    <comment ref="H4" authorId="5" shapeId="0" xr:uid="{1A6151EB-1D7F-4E1E-BDB8-A0BDE16C9CD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수처리동지하</t>
      </text>
    </comment>
    <comment ref="J4" authorId="6" shapeId="0" xr:uid="{24B03DDC-F1E1-41A8-95EA-8B0B604AF62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위드운전실적(비번356).xlsx]key-in(ACO)'!$AR</t>
      </text>
    </comment>
    <comment ref="K4" authorId="7" shapeId="0" xr:uid="{2A9B94CD-31A4-4CF6-AD43-C62ED8038EE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위드운전실적(비번356).xlsx]key-in(ACO)'!$AS</t>
      </text>
    </comment>
    <comment ref="L4" authorId="8" shapeId="0" xr:uid="{959F6464-7770-421D-815D-DD4BDBC2D36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위드운전실적(비번356).xlsx]key-in(ACO)'!$AV</t>
      </text>
    </comment>
    <comment ref="M4" authorId="9" shapeId="0" xr:uid="{FA7A8534-10FF-497B-8D76-EC0F29C9CC7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위드운전실적(비번356).xlsx]생산'!BA23</t>
      </text>
    </comment>
    <comment ref="N4" authorId="10" shapeId="0" xr:uid="{3E3ADAB3-D8D1-4FCB-A496-A063E99782C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위드운전실적(비번356).xlsx]생산'!BB</t>
      </text>
    </comment>
    <comment ref="O4" authorId="11" shapeId="0" xr:uid="{AADF8CB7-D3AB-49C8-A502-85ABCDA38B8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위드운전실적(비번356).xlsx]생산'!BC</t>
      </text>
    </comment>
    <comment ref="P4" authorId="12" shapeId="0" xr:uid="{22D21C71-5DD3-4A09-A2E0-422266B9653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위드운전실적(비번356).xlsx]생산'!BD</t>
      </text>
    </comment>
    <comment ref="Q4" authorId="13" shapeId="0" xr:uid="{C535BB44-070B-489E-80DA-1C11BA0D199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위드운전실적(비번356).xlsx]생산'!BE</t>
      </text>
    </comment>
    <comment ref="R4" authorId="14" shapeId="0" xr:uid="{0944DF29-B9BB-4812-B378-AA7FAD2F998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위드운전실적(비번356).xlsx]생산'!BF</t>
      </text>
    </comment>
    <comment ref="S4" authorId="15" shapeId="0" xr:uid="{8F107094-6BD0-4284-8602-E216CFC237D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위드운전실적(비번356).xlsx]운전시간외'!C3</t>
      </text>
    </comment>
    <comment ref="T4" authorId="16" shapeId="0" xr:uid="{15D7CA4B-0FB1-4F67-B675-247E338C40D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위드운전실적(비번356).xlsx]운전시간외'!D3</t>
      </text>
    </comment>
    <comment ref="U4" authorId="17" shapeId="0" xr:uid="{E2826956-9ECD-48FF-B77D-3827B5AF6BC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위드운전실적(비번356).xlsx]운전시간외'!E3</t>
      </text>
    </comment>
    <comment ref="V4" authorId="18" shapeId="0" xr:uid="{7F0C4704-975C-4810-9730-E771AE9BD7A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위드운전실적(비번356).xlsx]운전시간외'!F3</t>
      </text>
    </comment>
    <comment ref="W4" authorId="19" shapeId="0" xr:uid="{740FEA20-7C06-4698-A70E-FCAADDB85C5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위드운전실적(비번356).xlsx]생산'!F3</t>
      </text>
    </comment>
    <comment ref="X4" authorId="20" shapeId="0" xr:uid="{7F836311-DB65-467B-979C-75A7AECB002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위드운전실적(비번356).xlsx]생산'!G3</t>
      </text>
    </comment>
    <comment ref="Y4" authorId="21" shapeId="0" xr:uid="{DD2F0F22-8C6A-4DE2-92FB-2E517D82A320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위드운전실적(비번356).xlsx]생산'!H3
</t>
      </text>
    </comment>
    <comment ref="Z4" authorId="22" shapeId="0" xr:uid="{4A8DE119-FBB9-442A-9D16-1E83934D7492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위드운전실적(비번356).xlsx]생산'!I3
</t>
      </text>
    </comment>
    <comment ref="AA4" authorId="23" shapeId="0" xr:uid="{96C914A2-6367-4BD6-A70A-CCBF1BA1BC2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위드운전실적(비번356).xlsx]생산'!J3</t>
      </text>
    </comment>
    <comment ref="AB4" authorId="24" shapeId="0" xr:uid="{2677D3B7-E5F4-4568-8469-8AACE689BAE6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='[2026년 위드운전실적(비번356).xlsx]생산'!K3
</t>
      </text>
    </comment>
    <comment ref="AC4" authorId="25" shapeId="0" xr:uid="{B38A484C-D125-4CA1-AD55-E5CB9152081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사업장대기오염물질관리시스템 다운로드</t>
      </text>
    </comment>
    <comment ref="G31" authorId="26" shapeId="0" xr:uid="{C5D79542-0245-4FED-B6ED-2D52456B1BD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전력량계 교체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tc={45757A23-6F46-48BD-9B2B-B168FDEDC4FF}</author>
  </authors>
  <commentList>
    <comment ref="H4" authorId="0" shapeId="0" xr:uid="{45757A23-6F46-48BD-9B2B-B168FDEDC4F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2~3 톤/hr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<sst xmlns="http://schemas.openxmlformats.org/spreadsheetml/2006/main" count="796" uniqueCount="243">
  <si>
    <t>2026년 운영 현황</t>
    <phoneticPr fontId="3" type="noConversion"/>
  </si>
  <si>
    <t>수질</t>
    <phoneticPr fontId="3" type="noConversion"/>
  </si>
  <si>
    <t>대기</t>
    <phoneticPr fontId="3" type="noConversion"/>
  </si>
  <si>
    <t>총 상수도 사용</t>
  </si>
  <si>
    <t>순수 생산량</t>
    <phoneticPr fontId="3" type="noConversion"/>
  </si>
  <si>
    <t>방류수</t>
    <phoneticPr fontId="3" type="noConversion"/>
  </si>
  <si>
    <t>총 전력 사용</t>
  </si>
  <si>
    <r>
      <t xml:space="preserve">CHP </t>
    </r>
    <r>
      <rPr>
        <b/>
        <sz val="11"/>
        <rFont val="맑은 고딕"/>
        <family val="2"/>
        <charset val="129"/>
      </rPr>
      <t>가동시간</t>
    </r>
    <phoneticPr fontId="3" type="noConversion"/>
  </si>
  <si>
    <t>LNG 사용량</t>
    <phoneticPr fontId="3" type="noConversion"/>
  </si>
  <si>
    <t>PLB#1 가동시간</t>
  </si>
  <si>
    <t>LNG 사용량</t>
  </si>
  <si>
    <t>㎥</t>
  </si>
  <si>
    <t>㎥</t>
    <phoneticPr fontId="3" type="noConversion"/>
  </si>
  <si>
    <t>Kwh</t>
    <phoneticPr fontId="3" type="noConversion"/>
  </si>
  <si>
    <t>hr</t>
    <phoneticPr fontId="3" type="noConversion"/>
  </si>
  <si>
    <t>N㎥</t>
    <phoneticPr fontId="3" type="noConversion"/>
  </si>
  <si>
    <t>hr</t>
  </si>
  <si>
    <t>N㎥</t>
  </si>
  <si>
    <t>💧</t>
  </si>
  <si>
    <t>♻️</t>
  </si>
  <si>
    <t>⚡</t>
  </si>
  <si>
    <t>⏰</t>
    <phoneticPr fontId="3" type="noConversion"/>
  </si>
  <si>
    <t>⛽</t>
    <phoneticPr fontId="3" type="noConversion"/>
  </si>
  <si>
    <t>⏰</t>
  </si>
  <si>
    <t>합계</t>
    <phoneticPr fontId="3" type="noConversion"/>
  </si>
  <si>
    <t>평균</t>
    <phoneticPr fontId="3" type="noConversion"/>
  </si>
  <si>
    <t>단위</t>
    <phoneticPr fontId="4" type="noConversion"/>
  </si>
  <si>
    <t>ACC 충수</t>
  </si>
  <si>
    <t>A Train 생산</t>
  </si>
  <si>
    <t>B Train 생산</t>
  </si>
  <si>
    <t>순수생산</t>
    <phoneticPr fontId="3" type="noConversion"/>
  </si>
  <si>
    <t>생활용수</t>
  </si>
  <si>
    <t>1차 냉각수</t>
  </si>
  <si>
    <t>폐수 전력</t>
  </si>
  <si>
    <t>방류수</t>
  </si>
  <si>
    <t>용수사용량</t>
  </si>
  <si>
    <t>ACC LIT</t>
  </si>
  <si>
    <t>ACC WIT</t>
  </si>
  <si>
    <t>순수 LIT</t>
  </si>
  <si>
    <t>LNG사용량</t>
    <phoneticPr fontId="3" type="noConversion"/>
  </si>
  <si>
    <t>운전시간</t>
    <phoneticPr fontId="4" type="noConversion"/>
  </si>
  <si>
    <t>생산량</t>
    <phoneticPr fontId="4" type="noConversion"/>
  </si>
  <si>
    <t>연료전지 (22기)</t>
    <phoneticPr fontId="3" type="noConversion"/>
  </si>
  <si>
    <t xml:space="preserve">연료전지 기기별 가동시간 </t>
    <phoneticPr fontId="3" type="noConversion"/>
  </si>
  <si>
    <t>연료전지 기기별 LNG 사용량</t>
    <phoneticPr fontId="3" type="noConversion"/>
  </si>
  <si>
    <t>연료전지 기기별 발전량</t>
    <phoneticPr fontId="3" type="noConversion"/>
  </si>
  <si>
    <t>㎥/d</t>
    <phoneticPr fontId="3" type="noConversion"/>
  </si>
  <si>
    <t>W_CHP(사용량)</t>
    <phoneticPr fontId="4" type="noConversion"/>
  </si>
  <si>
    <t>#1 PLB(L)</t>
    <phoneticPr fontId="4" type="noConversion"/>
  </si>
  <si>
    <t>#2 PLB(L)</t>
    <phoneticPr fontId="4" type="noConversion"/>
  </si>
  <si>
    <t>#3 PLB(L)</t>
    <phoneticPr fontId="4" type="noConversion"/>
  </si>
  <si>
    <t>PLB가스
사용량오차</t>
    <phoneticPr fontId="4" type="noConversion"/>
  </si>
  <si>
    <t>W_PLB(사용량)</t>
    <phoneticPr fontId="4" type="noConversion"/>
  </si>
  <si>
    <t>주보일러</t>
    <phoneticPr fontId="4" type="noConversion"/>
  </si>
  <si>
    <t>PLB#1</t>
    <phoneticPr fontId="4" type="noConversion"/>
  </si>
  <si>
    <t>PLB#2</t>
    <phoneticPr fontId="4" type="noConversion"/>
  </si>
  <si>
    <t>PLB#3</t>
    <phoneticPr fontId="4" type="noConversion"/>
  </si>
  <si>
    <t>W_CHP(H생산)</t>
    <phoneticPr fontId="4" type="noConversion"/>
  </si>
  <si>
    <t>#1 PLB</t>
    <phoneticPr fontId="4" type="noConversion"/>
  </si>
  <si>
    <t>#2 PLB</t>
    <phoneticPr fontId="4" type="noConversion"/>
  </si>
  <si>
    <t>#3 PLB</t>
    <phoneticPr fontId="4" type="noConversion"/>
  </si>
  <si>
    <t>W_PLB(H생산)</t>
    <phoneticPr fontId="4" type="noConversion"/>
  </si>
  <si>
    <t>자체생산</t>
    <phoneticPr fontId="4" type="noConversion"/>
  </si>
  <si>
    <t>가동시간</t>
    <phoneticPr fontId="3" type="noConversion"/>
  </si>
  <si>
    <t>발전량</t>
    <phoneticPr fontId="3" type="noConversion"/>
  </si>
  <si>
    <t>計</t>
    <phoneticPr fontId="3" type="noConversion"/>
  </si>
  <si>
    <t>가동 현황</t>
    <phoneticPr fontId="3" type="noConversion"/>
  </si>
  <si>
    <t>용수사용량</t>
    <phoneticPr fontId="3" type="noConversion"/>
  </si>
  <si>
    <t>CHP</t>
    <phoneticPr fontId="3" type="noConversion"/>
  </si>
  <si>
    <t xml:space="preserve">금일 : </t>
    <phoneticPr fontId="3" type="noConversion"/>
  </si>
  <si>
    <t>검정</t>
    <phoneticPr fontId="3" type="noConversion"/>
  </si>
  <si>
    <t>시수</t>
    <phoneticPr fontId="3" type="noConversion"/>
  </si>
  <si>
    <t>생황용수</t>
    <phoneticPr fontId="3" type="noConversion"/>
  </si>
  <si>
    <t>1차냉각수</t>
    <phoneticPr fontId="3" type="noConversion"/>
  </si>
  <si>
    <t>열생산량</t>
    <phoneticPr fontId="3" type="noConversion"/>
  </si>
  <si>
    <t>부하율</t>
    <phoneticPr fontId="3" type="noConversion"/>
  </si>
  <si>
    <t xml:space="preserve">작일 : </t>
    <phoneticPr fontId="3" type="noConversion"/>
  </si>
  <si>
    <t>회색</t>
    <phoneticPr fontId="3" type="noConversion"/>
  </si>
  <si>
    <t>순수탱크</t>
    <phoneticPr fontId="3" type="noConversion"/>
  </si>
  <si>
    <t>순수제조량</t>
    <phoneticPr fontId="3" type="noConversion"/>
  </si>
  <si>
    <t>PLB#1</t>
    <phoneticPr fontId="3" type="noConversion"/>
  </si>
  <si>
    <t>LIT</t>
    <phoneticPr fontId="3" type="noConversion"/>
  </si>
  <si>
    <t>A</t>
    <phoneticPr fontId="3" type="noConversion"/>
  </si>
  <si>
    <t>B</t>
    <phoneticPr fontId="3" type="noConversion"/>
  </si>
  <si>
    <t>폐수처리</t>
    <phoneticPr fontId="3" type="noConversion"/>
  </si>
  <si>
    <t>PLB#2</t>
    <phoneticPr fontId="3" type="noConversion"/>
  </si>
  <si>
    <t>전력량</t>
    <phoneticPr fontId="3" type="noConversion"/>
  </si>
  <si>
    <t>-</t>
    <phoneticPr fontId="3" type="noConversion"/>
  </si>
  <si>
    <t>-</t>
  </si>
  <si>
    <t>ACC</t>
    <phoneticPr fontId="3" type="noConversion"/>
  </si>
  <si>
    <t>PLB#3</t>
    <phoneticPr fontId="3" type="noConversion"/>
  </si>
  <si>
    <t>WIT</t>
    <phoneticPr fontId="3" type="noConversion"/>
  </si>
  <si>
    <t>충수량</t>
    <phoneticPr fontId="3" type="noConversion"/>
  </si>
  <si>
    <t>㎥/d</t>
    <phoneticPr fontId="4" type="noConversion"/>
  </si>
  <si>
    <t>kWh</t>
    <phoneticPr fontId="4" type="noConversion"/>
  </si>
  <si>
    <t>㎥Σ</t>
    <phoneticPr fontId="4" type="noConversion"/>
  </si>
  <si>
    <t>m</t>
    <phoneticPr fontId="4" type="noConversion"/>
  </si>
  <si>
    <t>mm</t>
    <phoneticPr fontId="4" type="noConversion"/>
  </si>
  <si>
    <t>운전시간(운전실적 기준)</t>
    <phoneticPr fontId="4" type="noConversion"/>
  </si>
  <si>
    <t>운전시간(가동시간 기준)</t>
    <phoneticPr fontId="4" type="noConversion"/>
  </si>
  <si>
    <t>가동시간 (기입!)</t>
    <phoneticPr fontId="4" type="noConversion"/>
  </si>
  <si>
    <t>시간당 생산량</t>
    <phoneticPr fontId="4" type="noConversion"/>
  </si>
  <si>
    <t>연료사용량</t>
    <phoneticPr fontId="3" type="noConversion"/>
  </si>
  <si>
    <t>발전량(Trend)  kw</t>
    <phoneticPr fontId="3" type="noConversion"/>
  </si>
  <si>
    <t>구분</t>
    <phoneticPr fontId="4" type="noConversion"/>
  </si>
  <si>
    <t>ACC 충수</t>
    <phoneticPr fontId="4" type="noConversion"/>
  </si>
  <si>
    <t>A Train 생산</t>
    <phoneticPr fontId="4" type="noConversion"/>
  </si>
  <si>
    <t>B Train 생산</t>
    <phoneticPr fontId="4" type="noConversion"/>
  </si>
  <si>
    <t>생활용수</t>
    <phoneticPr fontId="4" type="noConversion"/>
  </si>
  <si>
    <t>1차 냉각수</t>
    <phoneticPr fontId="4" type="noConversion"/>
  </si>
  <si>
    <t>폐수 전력</t>
    <phoneticPr fontId="4" type="noConversion"/>
  </si>
  <si>
    <t>방류수</t>
    <phoneticPr fontId="4" type="noConversion"/>
  </si>
  <si>
    <t>용수사용량</t>
    <phoneticPr fontId="4" type="noConversion"/>
  </si>
  <si>
    <t>ACC LIT</t>
    <phoneticPr fontId="4" type="noConversion"/>
  </si>
  <si>
    <t>ACC WIT</t>
    <phoneticPr fontId="4" type="noConversion"/>
  </si>
  <si>
    <t>순수 LIT</t>
    <phoneticPr fontId="4" type="noConversion"/>
  </si>
  <si>
    <t>PLB#3</t>
  </si>
  <si>
    <t>CHP</t>
    <phoneticPr fontId="4" type="noConversion"/>
  </si>
  <si>
    <t>PLB</t>
    <phoneticPr fontId="4" type="noConversion"/>
  </si>
  <si>
    <t>FC#1</t>
  </si>
  <si>
    <t>FC#2</t>
  </si>
  <si>
    <t>FC#3</t>
  </si>
  <si>
    <t>FC#4</t>
  </si>
  <si>
    <t>FC#5</t>
  </si>
  <si>
    <t>FC#6</t>
  </si>
  <si>
    <t>FC#7</t>
  </si>
  <si>
    <t>FC#8</t>
  </si>
  <si>
    <t>FC#9</t>
  </si>
  <si>
    <t>FC#10</t>
  </si>
  <si>
    <t>FC#11</t>
  </si>
  <si>
    <t>FC#12</t>
  </si>
  <si>
    <t>FC#13</t>
  </si>
  <si>
    <t>FC#14</t>
  </si>
  <si>
    <t>FC#15</t>
  </si>
  <si>
    <t>FC#16</t>
  </si>
  <si>
    <t>FC#17</t>
  </si>
  <si>
    <t>FC#18</t>
  </si>
  <si>
    <t>FC#19</t>
  </si>
  <si>
    <t>FC#20</t>
  </si>
  <si>
    <t>FC#21</t>
  </si>
  <si>
    <t>FC#22</t>
  </si>
  <si>
    <t>FC1</t>
  </si>
  <si>
    <t>FC2</t>
  </si>
  <si>
    <t>FC3</t>
  </si>
  <si>
    <t>FC4</t>
  </si>
  <si>
    <t>FC5</t>
  </si>
  <si>
    <t>FC6</t>
  </si>
  <si>
    <t>FC7</t>
  </si>
  <si>
    <t>FC8</t>
  </si>
  <si>
    <t>FC9</t>
  </si>
  <si>
    <t>FC10</t>
  </si>
  <si>
    <t>FC11</t>
  </si>
  <si>
    <t>FC12</t>
  </si>
  <si>
    <t>FC13</t>
  </si>
  <si>
    <t>FC14</t>
  </si>
  <si>
    <t>FC15</t>
  </si>
  <si>
    <t>FC16</t>
  </si>
  <si>
    <t>FC17</t>
  </si>
  <si>
    <t>FC18</t>
  </si>
  <si>
    <t>FC19</t>
  </si>
  <si>
    <t>FC20</t>
  </si>
  <si>
    <t>FC21</t>
  </si>
  <si>
    <t>FC22</t>
  </si>
  <si>
    <t>■ 연료전지</t>
    <phoneticPr fontId="3" type="noConversion"/>
  </si>
  <si>
    <t>수정</t>
    <phoneticPr fontId="3" type="noConversion"/>
  </si>
  <si>
    <t>FC#1</t>
    <phoneticPr fontId="3" type="noConversion"/>
  </si>
  <si>
    <t>FC#21</t>
    <phoneticPr fontId="3" type="noConversion"/>
  </si>
  <si>
    <t>FC#22</t>
    <phoneticPr fontId="3" type="noConversion"/>
  </si>
  <si>
    <t>FC#2</t>
    <phoneticPr fontId="3" type="noConversion"/>
  </si>
  <si>
    <t>운전시간(보정)</t>
    <phoneticPr fontId="3" type="noConversion"/>
  </si>
  <si>
    <t>연료사용량(천m3)</t>
    <phoneticPr fontId="3" type="noConversion"/>
  </si>
  <si>
    <t>날짜</t>
    <phoneticPr fontId="3" type="noConversion"/>
  </si>
  <si>
    <t>점화</t>
    <phoneticPr fontId="3" type="noConversion"/>
  </si>
  <si>
    <t>정지</t>
    <phoneticPr fontId="3" type="noConversion"/>
  </si>
  <si>
    <t>운전기간</t>
    <phoneticPr fontId="3" type="noConversion"/>
  </si>
  <si>
    <t>시간</t>
    <phoneticPr fontId="3" type="noConversion"/>
  </si>
  <si>
    <t>분</t>
    <phoneticPr fontId="3" type="noConversion"/>
  </si>
  <si>
    <t>가동회수</t>
    <phoneticPr fontId="3" type="noConversion"/>
  </si>
  <si>
    <t>구분</t>
    <phoneticPr fontId="3" type="noConversion"/>
  </si>
  <si>
    <t>일별합계</t>
    <phoneticPr fontId="3" type="noConversion"/>
  </si>
  <si>
    <t>㎥Σ</t>
  </si>
  <si>
    <t>LNG 사용량(N㎥)</t>
    <phoneticPr fontId="4" type="noConversion"/>
  </si>
  <si>
    <t>수열량</t>
    <phoneticPr fontId="4" type="noConversion"/>
  </si>
  <si>
    <t>질소 산화물</t>
    <phoneticPr fontId="4" type="noConversion"/>
  </si>
  <si>
    <t>&lt;원수계통&gt;</t>
    <phoneticPr fontId="3" type="noConversion"/>
  </si>
  <si>
    <t>설비가동</t>
    <phoneticPr fontId="4" type="noConversion"/>
  </si>
  <si>
    <t>사용여부</t>
    <phoneticPr fontId="31" type="noConversion"/>
  </si>
  <si>
    <t>계량기</t>
    <phoneticPr fontId="31" type="noConversion"/>
  </si>
  <si>
    <t>사용량</t>
    <phoneticPr fontId="31" type="noConversion"/>
  </si>
  <si>
    <t>단위</t>
    <phoneticPr fontId="31" type="noConversion"/>
  </si>
  <si>
    <t>근거</t>
    <phoneticPr fontId="31" type="noConversion"/>
  </si>
  <si>
    <t>시수조 유입</t>
    <phoneticPr fontId="4" type="noConversion"/>
  </si>
  <si>
    <t>PLB2</t>
    <phoneticPr fontId="4" type="noConversion"/>
  </si>
  <si>
    <t>생활용수</t>
    <phoneticPr fontId="31" type="noConversion"/>
  </si>
  <si>
    <t>사무동, 화장실</t>
    <phoneticPr fontId="31" type="noConversion"/>
  </si>
  <si>
    <t>사용</t>
    <phoneticPr fontId="31" type="noConversion"/>
  </si>
  <si>
    <t>O</t>
    <phoneticPr fontId="31" type="noConversion"/>
  </si>
  <si>
    <t>원수저장조</t>
    <phoneticPr fontId="31" type="noConversion"/>
  </si>
  <si>
    <t>생활용수탱크</t>
    <phoneticPr fontId="31" type="noConversion"/>
  </si>
  <si>
    <t>미사용</t>
    <phoneticPr fontId="31" type="noConversion"/>
  </si>
  <si>
    <t>-</t>
    <phoneticPr fontId="31" type="noConversion"/>
  </si>
  <si>
    <t>직공급으로 변경해서 미사용</t>
    <phoneticPr fontId="31" type="noConversion"/>
  </si>
  <si>
    <t>리턴</t>
    <phoneticPr fontId="31" type="noConversion"/>
  </si>
  <si>
    <t>리턴으로 산정 제외</t>
    <phoneticPr fontId="31" type="noConversion"/>
  </si>
  <si>
    <t>흄스크러버</t>
    <phoneticPr fontId="31" type="noConversion"/>
  </si>
  <si>
    <t>염산 흄스크러버</t>
    <phoneticPr fontId="31" type="noConversion"/>
  </si>
  <si>
    <t>t/d</t>
    <phoneticPr fontId="31" type="noConversion"/>
  </si>
  <si>
    <t>통합공정도</t>
    <phoneticPr fontId="31" type="noConversion"/>
  </si>
  <si>
    <t>응급세안 및 아이샤워</t>
    <phoneticPr fontId="31" type="noConversion"/>
  </si>
  <si>
    <t>비상 설비로 사용량 없음</t>
    <phoneticPr fontId="31" type="noConversion"/>
  </si>
  <si>
    <t>탈질설비</t>
    <phoneticPr fontId="31" type="noConversion"/>
  </si>
  <si>
    <t>암모니아수 밀봉TK</t>
    <phoneticPr fontId="31" type="noConversion"/>
  </si>
  <si>
    <t>t/y</t>
    <phoneticPr fontId="31" type="noConversion"/>
  </si>
  <si>
    <t>실제교체 년 1-2회로 용량*교체횟수</t>
    <phoneticPr fontId="31" type="noConversion"/>
  </si>
  <si>
    <t>암모니아수 TK</t>
    <phoneticPr fontId="31" type="noConversion"/>
  </si>
  <si>
    <t>암모니아수 TK 살수장치</t>
    <phoneticPr fontId="31" type="noConversion"/>
  </si>
  <si>
    <t>가압장(Service Water)</t>
    <phoneticPr fontId="31" type="noConversion"/>
  </si>
  <si>
    <t>실제로는 설비 세척 등으로 있으나, 산정 어려움</t>
    <phoneticPr fontId="31" type="noConversion"/>
  </si>
  <si>
    <t>가스공기예열기</t>
    <phoneticPr fontId="31" type="noConversion"/>
  </si>
  <si>
    <t xml:space="preserve">2차냉각수 </t>
    <phoneticPr fontId="31" type="noConversion"/>
  </si>
  <si>
    <t>약품주입계통</t>
    <phoneticPr fontId="3" type="noConversion"/>
  </si>
  <si>
    <t xml:space="preserve">수처리동 약품 </t>
    <phoneticPr fontId="3" type="noConversion"/>
  </si>
  <si>
    <t>미사용</t>
    <phoneticPr fontId="3" type="noConversion"/>
  </si>
  <si>
    <t>가성 희석라인으로 미사용</t>
    <phoneticPr fontId="3" type="noConversion"/>
  </si>
  <si>
    <t>냉각수</t>
    <phoneticPr fontId="3" type="noConversion"/>
  </si>
  <si>
    <t>냉각탑</t>
    <phoneticPr fontId="3" type="noConversion"/>
  </si>
  <si>
    <t>사용</t>
    <phoneticPr fontId="3" type="noConversion"/>
  </si>
  <si>
    <t>㎥/hr</t>
    <phoneticPr fontId="3" type="noConversion"/>
  </si>
  <si>
    <t>1차 냉각수</t>
    <phoneticPr fontId="3" type="noConversion"/>
  </si>
  <si>
    <t>대기블로우다운탱크</t>
    <phoneticPr fontId="3" type="noConversion"/>
  </si>
  <si>
    <t>계량 불가능</t>
    <phoneticPr fontId="3" type="noConversion"/>
  </si>
  <si>
    <t>순수제조용 원수공급펌프</t>
    <phoneticPr fontId="3" type="noConversion"/>
  </si>
  <si>
    <t>소방용수</t>
    <phoneticPr fontId="3" type="noConversion"/>
  </si>
  <si>
    <t xml:space="preserve">WATER BALANCE </t>
    <phoneticPr fontId="31" type="noConversion"/>
  </si>
  <si>
    <t>BLR LOAD :</t>
    <phoneticPr fontId="31" type="noConversion"/>
  </si>
  <si>
    <t>BLR LOAD</t>
    <phoneticPr fontId="31" type="noConversion"/>
  </si>
  <si>
    <t>FQIT</t>
    <phoneticPr fontId="31" type="noConversion"/>
  </si>
  <si>
    <t>상수</t>
    <phoneticPr fontId="31" type="noConversion"/>
  </si>
  <si>
    <r>
      <rPr>
        <sz val="11"/>
        <color theme="1"/>
        <rFont val="맑은 고딕"/>
        <family val="3"/>
        <charset val="129"/>
      </rPr>
      <t>㎥</t>
    </r>
    <r>
      <rPr>
        <sz val="10.8"/>
        <color theme="1"/>
        <rFont val="맑은 고딕"/>
        <family val="3"/>
        <charset val="129"/>
      </rPr>
      <t>/h</t>
    </r>
    <phoneticPr fontId="31" type="noConversion"/>
  </si>
  <si>
    <t>변수</t>
    <phoneticPr fontId="31" type="noConversion"/>
  </si>
  <si>
    <t>FQIT-1101</t>
    <phoneticPr fontId="31" type="noConversion"/>
  </si>
  <si>
    <t>미가동</t>
    <phoneticPr fontId="31" type="noConversion"/>
  </si>
  <si>
    <t>FQIT-1101A/B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</si>
</sst>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176" formatCode="_(* #,##0_);_(* \(#,##0\);_(* &quot;-&quot;_);_(@_)"/>
    <numFmt numFmtId="177" formatCode="_(* #,##0.00_);_(* \(#,##0.00\);_(* &quot;-&quot;_);_(@_)"/>
    <numFmt numFmtId="178" formatCode="_(* #,##0.0_);_(* \(#,##0.0\);_(* &quot;-&quot;_);_(@_)"/>
    <numFmt numFmtId="179" formatCode="&quot;₩&quot;#,##0"/>
    <numFmt numFmtId="180" formatCode="#,##0.0"/>
    <numFmt numFmtId="181" formatCode="0_);[Red]\(0\)"/>
    <numFmt numFmtId="182" formatCode="#,##0_);[Red]\(#,##0\)"/>
    <numFmt numFmtId="183" formatCode="#,##0.00_);[Red]\(#,##0.00\)"/>
    <numFmt numFmtId="184" formatCode="[$-412]AM/PM\ h:mm;@"/>
    <numFmt numFmtId="185" formatCode="[$-409]yy&quot;-&quot;m&quot;-&quot;d\ h:mm\ AM/PM;@"/>
    <numFmt numFmtId="186" formatCode="0.00_);[Red]\(0.00\)"/>
    <numFmt numFmtId="187" formatCode="#,##0.0_);[Red]\(#,##0.0\)"/>
    <numFmt numFmtId="188" formatCode="0.00_ "/>
    <numFmt numFmtId="189" formatCode="mm&quot;월&quot;\ dd&quot;일&quot;"/>
    <numFmt numFmtId="190" formatCode="[h]:mm"/>
    <numFmt numFmtId="191" formatCode="h&quot;시&quot;\ mm&quot;분&quot;;@"/>
    <numFmt numFmtId="192" formatCode="0_ "/>
    <numFmt numFmtId="193" formatCode="0.000_ "/>
    <numFmt numFmtId="194" formatCode="[hh]:mm"/>
    <numFmt numFmtId="195" formatCode="0.0_);[Red]\(0.0\)"/>
  </numFmts>
  <fonts count="4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20"/>
      <color rgb="FFFFFFFF"/>
      <name val="Aptos Narrow"/>
      <family val="2"/>
    </font>
    <font>
      <sz val="11"/>
      <name val="맑은 고딕"/>
      <family val="3"/>
      <charset val="129"/>
      <scheme val="minor"/>
    </font>
    <font>
      <b/>
      <sz val="11"/>
      <name val="Aptos Narrow"/>
      <family val="2"/>
    </font>
    <font>
      <b/>
      <sz val="18"/>
      <name val="Aptos Narrow"/>
      <family val="2"/>
    </font>
    <font>
      <sz val="10"/>
      <name val="Aptos Narrow"/>
      <family val="2"/>
    </font>
    <font>
      <b/>
      <sz val="11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11"/>
      <name val="맑은 고딕"/>
      <family val="2"/>
      <charset val="129"/>
    </font>
    <font>
      <sz val="10"/>
      <name val="Segoe UI Emoji"/>
      <family val="2"/>
    </font>
    <font>
      <sz val="10"/>
      <name val="Segoe UI Symbol"/>
      <family val="2"/>
    </font>
    <font>
      <sz val="10"/>
      <name val="맑은 고딕"/>
      <family val="3"/>
      <charset val="129"/>
    </font>
    <font>
      <sz val="10"/>
      <name val="Segoe UI Symbol"/>
      <family val="3"/>
    </font>
    <font>
      <b/>
      <sz val="14"/>
      <color theme="1"/>
      <name val="맑은 고딕"/>
      <family val="3"/>
      <charset val="129"/>
    </font>
    <font>
      <sz val="11"/>
      <color theme="0" tint="-0.34998626667073579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</font>
    <font>
      <sz val="10.8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theme="1"/>
      <name val="나눔고딕"/>
      <family val="3"/>
      <charset val="129"/>
    </font>
    <font>
      <sz val="10"/>
      <color rgb="FF0000FF"/>
      <name val="나눔고딕"/>
      <family val="3"/>
      <charset val="129"/>
    </font>
    <font>
      <sz val="10"/>
      <color theme="1"/>
      <name val="나눔고딕"/>
      <charset val="129"/>
    </font>
    <font>
      <sz val="12"/>
      <color theme="1"/>
      <name val="나눔고딕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나눔고딕"/>
      <family val="3"/>
    </font>
    <font>
      <sz val="10"/>
      <color rgb="FF0000FF"/>
      <name val="나눔고딕"/>
      <family val="3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theme="3" tint="0.24994659260841701"/>
      </right>
      <top/>
      <bottom style="thick">
        <color theme="3" tint="0.24994659260841701"/>
      </bottom>
      <diagonal/>
    </border>
    <border>
      <left/>
      <right/>
      <top/>
      <bottom style="thick">
        <color theme="3" tint="0.24994659260841701"/>
      </bottom>
      <diagonal/>
    </border>
    <border>
      <left style="thick">
        <color theme="3" tint="0.24994659260841701"/>
      </left>
      <right/>
      <top/>
      <bottom style="thick">
        <color theme="3" tint="0.24994659260841701"/>
      </bottom>
      <diagonal/>
    </border>
    <border>
      <left/>
      <right style="thick">
        <color theme="3" tint="0.24994659260841701"/>
      </right>
      <top/>
      <bottom/>
      <diagonal/>
    </border>
    <border>
      <left style="thick">
        <color theme="3" tint="0.24994659260841701"/>
      </left>
      <right/>
      <top/>
      <bottom/>
      <diagonal/>
    </border>
    <border>
      <left/>
      <right style="thick">
        <color theme="3" tint="0.499984740745262"/>
      </right>
      <top/>
      <bottom style="thick">
        <color theme="3" tint="0.499984740745262"/>
      </bottom>
      <diagonal/>
    </border>
    <border>
      <left/>
      <right/>
      <top/>
      <bottom style="thick">
        <color theme="3" tint="0.499984740745262"/>
      </bottom>
      <diagonal/>
    </border>
    <border>
      <left style="thick">
        <color theme="3" tint="0.499984740745262"/>
      </left>
      <right/>
      <top/>
      <bottom style="thick">
        <color theme="3" tint="0.499984740745262"/>
      </bottom>
      <diagonal/>
    </border>
    <border>
      <left/>
      <right style="thick">
        <color theme="3" tint="0.499984740745262"/>
      </right>
      <top/>
      <bottom/>
      <diagonal/>
    </border>
    <border>
      <left style="thick">
        <color theme="3" tint="0.499984740745262"/>
      </left>
      <right/>
      <top/>
      <bottom/>
      <diagonal/>
    </border>
    <border>
      <left/>
      <right style="thick">
        <color theme="3" tint="0.24994659260841701"/>
      </right>
      <top style="thick">
        <color theme="3" tint="0.24994659260841701"/>
      </top>
      <bottom/>
      <diagonal/>
    </border>
    <border>
      <left/>
      <right/>
      <top style="thick">
        <color theme="3" tint="0.24994659260841701"/>
      </top>
      <bottom/>
      <diagonal/>
    </border>
    <border>
      <left/>
      <right style="thick">
        <color theme="3" tint="0.499984740745262"/>
      </right>
      <top style="thick">
        <color theme="3" tint="0.499984740745262"/>
      </top>
      <bottom/>
      <diagonal/>
    </border>
    <border>
      <left/>
      <right/>
      <top style="thick">
        <color theme="3" tint="0.499984740745262"/>
      </top>
      <bottom/>
      <diagonal/>
    </border>
    <border>
      <left style="thick">
        <color theme="3" tint="0.499984740745262"/>
      </left>
      <right/>
      <top style="thick">
        <color theme="3" tint="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/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7" fillId="0" borderId="0"/>
    <xf numFmtId="0" fontId="28" fillId="0" borderId="0"/>
    <xf numFmtId="9" fontId="28" fillId="0" borderId="0" applyFont="0" applyFill="0" applyBorder="0" applyAlignment="0" applyProtection="0">
      <alignment vertical="center"/>
    </xf>
  </cellStyleXfs>
  <cellXfs count="34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0" xfId="1" applyNumberFormat="1" applyFont="1" applyAlignment="1">
      <alignment horizontal="center" vertical="center"/>
    </xf>
    <xf numFmtId="177" fontId="2" fillId="0" borderId="0" xfId="1" applyNumberFormat="1" applyFont="1" applyAlignment="1">
      <alignment horizontal="center" vertical="center"/>
    </xf>
    <xf numFmtId="178" fontId="2" fillId="0" borderId="0" xfId="1" applyNumberFormat="1" applyFont="1" applyAlignment="1">
      <alignment horizontal="center" vertical="center"/>
    </xf>
    <xf numFmtId="176" fontId="2" fillId="0" borderId="0" xfId="1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6" fontId="2" fillId="0" borderId="9" xfId="1" applyNumberFormat="1" applyFont="1" applyBorder="1" applyAlignment="1">
      <alignment horizontal="center" vertical="center"/>
    </xf>
    <xf numFmtId="176" fontId="2" fillId="0" borderId="5" xfId="1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77" fontId="2" fillId="0" borderId="9" xfId="1" applyNumberFormat="1" applyFont="1" applyBorder="1" applyAlignment="1">
      <alignment horizontal="center" vertical="center"/>
    </xf>
    <xf numFmtId="177" fontId="2" fillId="0" borderId="5" xfId="1" applyNumberFormat="1" applyFont="1" applyBorder="1" applyAlignment="1">
      <alignment horizontal="center" vertical="center"/>
    </xf>
    <xf numFmtId="177" fontId="2" fillId="0" borderId="0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Continuous" vertical="center"/>
    </xf>
    <xf numFmtId="0" fontId="2" fillId="0" borderId="3" xfId="0" applyFont="1" applyBorder="1" applyAlignment="1">
      <alignment horizontal="centerContinuous" vertical="center"/>
    </xf>
    <xf numFmtId="0" fontId="2" fillId="0" borderId="7" xfId="0" applyFont="1" applyBorder="1" applyAlignment="1">
      <alignment horizontal="centerContinuous" vertical="center"/>
    </xf>
    <xf numFmtId="0" fontId="2" fillId="0" borderId="6" xfId="0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76" fontId="2" fillId="0" borderId="8" xfId="1" applyNumberFormat="1" applyFont="1" applyBorder="1" applyAlignment="1">
      <alignment horizontal="center" vertical="center"/>
    </xf>
    <xf numFmtId="176" fontId="2" fillId="0" borderId="4" xfId="1" applyNumberFormat="1" applyFont="1" applyBorder="1" applyAlignment="1">
      <alignment horizontal="center" vertical="center"/>
    </xf>
    <xf numFmtId="176" fontId="2" fillId="0" borderId="2" xfId="1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2" fillId="0" borderId="5" xfId="1" applyNumberFormat="1" applyFont="1" applyBorder="1" applyAlignment="1">
      <alignment horizontal="center" vertical="center"/>
    </xf>
    <xf numFmtId="178" fontId="2" fillId="0" borderId="9" xfId="1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Continuous" vertical="center"/>
    </xf>
    <xf numFmtId="179" fontId="2" fillId="0" borderId="7" xfId="0" applyNumberFormat="1" applyFont="1" applyBorder="1" applyAlignment="1">
      <alignment horizontal="centerContinuous" vertical="center"/>
    </xf>
    <xf numFmtId="0" fontId="0" fillId="0" borderId="0" xfId="0" applyAlignment="1"/>
    <xf numFmtId="181" fontId="6" fillId="0" borderId="0" xfId="0" applyNumberFormat="1" applyFont="1">
      <alignment vertical="center"/>
    </xf>
    <xf numFmtId="0" fontId="5" fillId="0" borderId="8" xfId="0" applyFont="1" applyBorder="1" applyAlignment="1">
      <alignment horizontal="centerContinuous" vertical="center"/>
    </xf>
    <xf numFmtId="0" fontId="5" fillId="0" borderId="4" xfId="0" applyFont="1" applyBorder="1" applyAlignment="1">
      <alignment horizontal="centerContinuous" vertical="center"/>
    </xf>
    <xf numFmtId="179" fontId="2" fillId="0" borderId="3" xfId="0" applyNumberFormat="1" applyFont="1" applyBorder="1" applyAlignment="1">
      <alignment horizontal="centerContinuous" vertical="center"/>
    </xf>
    <xf numFmtId="14" fontId="7" fillId="0" borderId="9" xfId="0" applyNumberFormat="1" applyFont="1" applyBorder="1" applyAlignment="1">
      <alignment horizontal="center" vertical="center"/>
    </xf>
    <xf numFmtId="3" fontId="6" fillId="0" borderId="2" xfId="0" applyNumberFormat="1" applyFont="1" applyBorder="1">
      <alignment vertical="center"/>
    </xf>
    <xf numFmtId="3" fontId="6" fillId="0" borderId="13" xfId="0" applyNumberFormat="1" applyFont="1" applyBorder="1">
      <alignment vertical="center"/>
    </xf>
    <xf numFmtId="3" fontId="6" fillId="0" borderId="14" xfId="0" applyNumberFormat="1" applyFont="1" applyBorder="1">
      <alignment vertical="center"/>
    </xf>
    <xf numFmtId="3" fontId="6" fillId="0" borderId="15" xfId="0" applyNumberFormat="1" applyFont="1" applyBorder="1">
      <alignment vertical="center"/>
    </xf>
    <xf numFmtId="176" fontId="2" fillId="0" borderId="7" xfId="1" applyNumberFormat="1" applyFont="1" applyBorder="1" applyAlignment="1">
      <alignment horizontal="center" vertical="center"/>
    </xf>
    <xf numFmtId="176" fontId="2" fillId="0" borderId="3" xfId="1" applyNumberFormat="1" applyFont="1" applyBorder="1" applyAlignment="1">
      <alignment horizontal="center" vertical="center"/>
    </xf>
    <xf numFmtId="0" fontId="8" fillId="2" borderId="0" xfId="0" applyFont="1" applyFill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3" fontId="23" fillId="0" borderId="0" xfId="0" applyNumberFormat="1" applyFont="1" applyAlignment="1">
      <alignment horizontal="right"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26" fillId="0" borderId="0" xfId="0" applyFont="1">
      <alignment vertical="center"/>
    </xf>
    <xf numFmtId="3" fontId="0" fillId="0" borderId="0" xfId="0" applyNumberFormat="1" applyAlignment="1">
      <alignment horizontal="right" vertical="center"/>
    </xf>
    <xf numFmtId="182" fontId="0" fillId="2" borderId="5" xfId="0" applyNumberFormat="1" applyFill="1" applyBorder="1" applyAlignment="1">
      <alignment horizontal="left" vertical="center"/>
    </xf>
    <xf numFmtId="0" fontId="8" fillId="2" borderId="0" xfId="0" applyFont="1" applyFill="1" applyAlignment="1">
      <alignment horizontal="right" vertical="center"/>
    </xf>
    <xf numFmtId="182" fontId="0" fillId="2" borderId="0" xfId="0" applyNumberFormat="1" applyFill="1" applyAlignment="1">
      <alignment horizontal="left" vertical="center"/>
    </xf>
    <xf numFmtId="0" fontId="23" fillId="2" borderId="0" xfId="0" applyFont="1" applyFill="1" applyAlignment="1">
      <alignment horizontal="right" vertical="center"/>
    </xf>
    <xf numFmtId="0" fontId="0" fillId="0" borderId="9" xfId="0" applyBorder="1" applyAlignment="1">
      <alignment horizontal="right" vertical="center"/>
    </xf>
    <xf numFmtId="3" fontId="0" fillId="0" borderId="9" xfId="0" applyNumberFormat="1" applyBorder="1" applyAlignment="1">
      <alignment horizontal="right" vertical="center"/>
    </xf>
    <xf numFmtId="3" fontId="23" fillId="0" borderId="9" xfId="0" applyNumberFormat="1" applyFont="1" applyBorder="1" applyAlignment="1">
      <alignment horizontal="right" vertical="center"/>
    </xf>
    <xf numFmtId="0" fontId="8" fillId="0" borderId="5" xfId="0" applyFont="1" applyBorder="1" applyAlignment="1">
      <alignment horizontal="right" vertical="center"/>
    </xf>
    <xf numFmtId="0" fontId="23" fillId="0" borderId="5" xfId="0" applyFont="1" applyBorder="1" applyAlignment="1">
      <alignment horizontal="right" vertical="center"/>
    </xf>
    <xf numFmtId="0" fontId="24" fillId="3" borderId="13" xfId="0" applyFont="1" applyFill="1" applyBorder="1" applyAlignment="1">
      <alignment horizontal="right" vertical="center"/>
    </xf>
    <xf numFmtId="0" fontId="25" fillId="3" borderId="15" xfId="0" applyFont="1" applyFill="1" applyBorder="1" applyAlignment="1">
      <alignment horizontal="right" vertical="center"/>
    </xf>
    <xf numFmtId="0" fontId="24" fillId="3" borderId="15" xfId="0" applyFont="1" applyFill="1" applyBorder="1" applyAlignment="1">
      <alignment horizontal="right" vertical="center"/>
    </xf>
    <xf numFmtId="0" fontId="25" fillId="3" borderId="14" xfId="0" applyFont="1" applyFill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8" fillId="2" borderId="2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182" fontId="0" fillId="2" borderId="0" xfId="0" applyNumberFormat="1" applyFill="1">
      <alignment vertical="center"/>
    </xf>
    <xf numFmtId="180" fontId="0" fillId="0" borderId="0" xfId="0" applyNumberFormat="1" applyAlignment="1">
      <alignment horizontal="right" vertical="center"/>
    </xf>
    <xf numFmtId="180" fontId="23" fillId="0" borderId="0" xfId="0" applyNumberFormat="1" applyFont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182" fontId="0" fillId="2" borderId="5" xfId="0" applyNumberFormat="1" applyFill="1" applyBorder="1">
      <alignment vertical="center"/>
    </xf>
    <xf numFmtId="0" fontId="24" fillId="9" borderId="13" xfId="0" applyFont="1" applyFill="1" applyBorder="1" applyAlignment="1">
      <alignment horizontal="right" vertical="center"/>
    </xf>
    <xf numFmtId="0" fontId="24" fillId="9" borderId="15" xfId="0" applyFont="1" applyFill="1" applyBorder="1" applyAlignment="1">
      <alignment horizontal="right" vertical="center"/>
    </xf>
    <xf numFmtId="0" fontId="25" fillId="9" borderId="15" xfId="0" applyFont="1" applyFill="1" applyBorder="1" applyAlignment="1">
      <alignment horizontal="right" vertical="center"/>
    </xf>
    <xf numFmtId="0" fontId="25" fillId="9" borderId="14" xfId="0" applyFont="1" applyFill="1" applyBorder="1" applyAlignment="1">
      <alignment horizontal="right" vertical="center"/>
    </xf>
    <xf numFmtId="0" fontId="24" fillId="11" borderId="13" xfId="0" applyFont="1" applyFill="1" applyBorder="1" applyAlignment="1">
      <alignment horizontal="right" vertical="center"/>
    </xf>
    <xf numFmtId="0" fontId="24" fillId="11" borderId="15" xfId="0" applyFont="1" applyFill="1" applyBorder="1" applyAlignment="1">
      <alignment horizontal="right" vertical="center"/>
    </xf>
    <xf numFmtId="0" fontId="25" fillId="11" borderId="15" xfId="0" applyFont="1" applyFill="1" applyBorder="1" applyAlignment="1">
      <alignment horizontal="right" vertical="center"/>
    </xf>
    <xf numFmtId="0" fontId="25" fillId="11" borderId="14" xfId="0" applyFont="1" applyFill="1" applyBorder="1" applyAlignment="1">
      <alignment horizontal="right" vertical="center"/>
    </xf>
    <xf numFmtId="0" fontId="24" fillId="3" borderId="2" xfId="0" applyFont="1" applyFill="1" applyBorder="1" applyAlignment="1">
      <alignment horizontal="right" vertical="center"/>
    </xf>
    <xf numFmtId="0" fontId="25" fillId="3" borderId="2" xfId="0" applyFont="1" applyFill="1" applyBorder="1" applyAlignment="1">
      <alignment horizontal="right" vertical="center"/>
    </xf>
    <xf numFmtId="0" fontId="8" fillId="0" borderId="3" xfId="0" applyFont="1" applyBorder="1" applyAlignment="1">
      <alignment horizontal="left" vertical="center"/>
    </xf>
    <xf numFmtId="0" fontId="25" fillId="0" borderId="0" xfId="0" applyFon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6" fontId="23" fillId="0" borderId="0" xfId="0" applyNumberFormat="1" applyFont="1" applyAlignment="1">
      <alignment horizontal="right" vertical="center"/>
    </xf>
    <xf numFmtId="4" fontId="0" fillId="0" borderId="9" xfId="0" applyNumberFormat="1" applyBorder="1" applyAlignment="1">
      <alignment horizontal="right" vertical="center"/>
    </xf>
    <xf numFmtId="4" fontId="23" fillId="0" borderId="9" xfId="0" applyNumberFormat="1" applyFont="1" applyBorder="1" applyAlignment="1">
      <alignment horizontal="right" vertical="center"/>
    </xf>
    <xf numFmtId="183" fontId="0" fillId="2" borderId="0" xfId="0" applyNumberFormat="1" applyFill="1" applyAlignment="1">
      <alignment horizontal="left" vertical="center"/>
    </xf>
    <xf numFmtId="183" fontId="0" fillId="2" borderId="5" xfId="0" applyNumberFormat="1" applyFill="1" applyBorder="1" applyAlignment="1">
      <alignment horizontal="left" vertical="center"/>
    </xf>
    <xf numFmtId="184" fontId="2" fillId="0" borderId="0" xfId="1" applyNumberFormat="1" applyFont="1" applyBorder="1" applyAlignment="1">
      <alignment horizontal="center" vertical="center"/>
    </xf>
    <xf numFmtId="185" fontId="2" fillId="0" borderId="7" xfId="1" applyNumberFormat="1" applyFont="1" applyBorder="1" applyAlignment="1">
      <alignment horizontal="center" vertical="center"/>
    </xf>
    <xf numFmtId="185" fontId="2" fillId="0" borderId="1" xfId="1" applyNumberFormat="1" applyFont="1" applyBorder="1" applyAlignment="1">
      <alignment horizontal="center" vertical="center"/>
    </xf>
    <xf numFmtId="185" fontId="2" fillId="0" borderId="0" xfId="1" applyNumberFormat="1" applyFont="1" applyBorder="1" applyAlignment="1">
      <alignment horizontal="center" vertical="center"/>
    </xf>
    <xf numFmtId="185" fontId="2" fillId="0" borderId="9" xfId="1" applyNumberFormat="1" applyFont="1" applyBorder="1" applyAlignment="1">
      <alignment horizontal="center" vertical="center"/>
    </xf>
    <xf numFmtId="185" fontId="2" fillId="0" borderId="3" xfId="1" applyNumberFormat="1" applyFont="1" applyBorder="1" applyAlignment="1">
      <alignment horizontal="center" vertical="center"/>
    </xf>
    <xf numFmtId="185" fontId="2" fillId="0" borderId="5" xfId="1" applyNumberFormat="1" applyFont="1" applyBorder="1" applyAlignment="1">
      <alignment horizontal="center" vertical="center"/>
    </xf>
    <xf numFmtId="186" fontId="2" fillId="0" borderId="9" xfId="1" applyNumberFormat="1" applyFont="1" applyBorder="1" applyAlignment="1">
      <alignment horizontal="center" vertical="center"/>
    </xf>
    <xf numFmtId="186" fontId="2" fillId="0" borderId="0" xfId="1" applyNumberFormat="1" applyFont="1" applyBorder="1" applyAlignment="1">
      <alignment horizontal="center" vertical="center"/>
    </xf>
    <xf numFmtId="186" fontId="2" fillId="0" borderId="7" xfId="1" applyNumberFormat="1" applyFont="1" applyBorder="1" applyAlignment="1">
      <alignment horizontal="center" vertical="center"/>
    </xf>
    <xf numFmtId="186" fontId="2" fillId="0" borderId="1" xfId="1" applyNumberFormat="1" applyFont="1" applyBorder="1" applyAlignment="1">
      <alignment horizontal="center" vertical="center"/>
    </xf>
    <xf numFmtId="186" fontId="5" fillId="0" borderId="0" xfId="1" applyNumberFormat="1" applyFont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178" fontId="2" fillId="0" borderId="0" xfId="1" applyNumberFormat="1" applyFont="1" applyBorder="1" applyAlignment="1">
      <alignment horizontal="center" vertical="center"/>
    </xf>
    <xf numFmtId="180" fontId="23" fillId="0" borderId="9" xfId="0" applyNumberFormat="1" applyFont="1" applyBorder="1" applyAlignment="1">
      <alignment horizontal="right" vertical="center"/>
    </xf>
    <xf numFmtId="180" fontId="0" fillId="0" borderId="9" xfId="0" applyNumberFormat="1" applyBorder="1" applyAlignment="1">
      <alignment horizontal="right" vertical="center"/>
    </xf>
    <xf numFmtId="187" fontId="0" fillId="2" borderId="5" xfId="0" applyNumberFormat="1" applyFill="1" applyBorder="1" applyAlignment="1">
      <alignment horizontal="left" vertical="center"/>
    </xf>
    <xf numFmtId="3" fontId="6" fillId="0" borderId="8" xfId="0" applyNumberFormat="1" applyFont="1" applyBorder="1">
      <alignment vertical="center"/>
    </xf>
    <xf numFmtId="3" fontId="6" fillId="0" borderId="4" xfId="0" applyNumberFormat="1" applyFont="1" applyBorder="1">
      <alignment vertical="center"/>
    </xf>
    <xf numFmtId="180" fontId="6" fillId="0" borderId="4" xfId="0" applyNumberFormat="1" applyFont="1" applyBorder="1">
      <alignment vertical="center"/>
    </xf>
    <xf numFmtId="176" fontId="2" fillId="0" borderId="1" xfId="1" applyNumberFormat="1" applyFont="1" applyBorder="1" applyAlignment="1">
      <alignment horizontal="center" vertical="center"/>
    </xf>
    <xf numFmtId="178" fontId="2" fillId="0" borderId="3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Continuous" vertical="center"/>
    </xf>
    <xf numFmtId="176" fontId="2" fillId="0" borderId="11" xfId="1" applyNumberFormat="1" applyFont="1" applyBorder="1" applyAlignment="1">
      <alignment horizontal="center" vertical="center"/>
    </xf>
    <xf numFmtId="176" fontId="2" fillId="0" borderId="10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Continuous" vertical="center"/>
    </xf>
    <xf numFmtId="0" fontId="28" fillId="0" borderId="0" xfId="3"/>
    <xf numFmtId="0" fontId="28" fillId="0" borderId="17" xfId="3" applyBorder="1"/>
    <xf numFmtId="0" fontId="28" fillId="0" borderId="18" xfId="3" applyBorder="1"/>
    <xf numFmtId="0" fontId="28" fillId="0" borderId="19" xfId="3" applyBorder="1"/>
    <xf numFmtId="0" fontId="28" fillId="0" borderId="20" xfId="3" applyBorder="1"/>
    <xf numFmtId="0" fontId="29" fillId="0" borderId="0" xfId="3" applyFont="1"/>
    <xf numFmtId="0" fontId="24" fillId="0" borderId="0" xfId="3" applyFont="1"/>
    <xf numFmtId="0" fontId="28" fillId="0" borderId="21" xfId="3" applyBorder="1"/>
    <xf numFmtId="188" fontId="28" fillId="0" borderId="0" xfId="3" applyNumberFormat="1"/>
    <xf numFmtId="0" fontId="29" fillId="0" borderId="0" xfId="3" applyFont="1" applyAlignment="1">
      <alignment horizontal="center"/>
    </xf>
    <xf numFmtId="9" fontId="16" fillId="0" borderId="0" xfId="3" applyNumberFormat="1" applyFont="1"/>
    <xf numFmtId="0" fontId="32" fillId="0" borderId="0" xfId="3" applyFont="1"/>
    <xf numFmtId="0" fontId="28" fillId="0" borderId="22" xfId="3" applyBorder="1"/>
    <xf numFmtId="0" fontId="28" fillId="0" borderId="23" xfId="3" applyBorder="1"/>
    <xf numFmtId="0" fontId="28" fillId="0" borderId="24" xfId="3" applyBorder="1"/>
    <xf numFmtId="0" fontId="28" fillId="0" borderId="25" xfId="3" applyBorder="1"/>
    <xf numFmtId="0" fontId="28" fillId="0" borderId="26" xfId="3" applyBorder="1"/>
    <xf numFmtId="0" fontId="28" fillId="10" borderId="0" xfId="3" applyFill="1" applyAlignment="1">
      <alignment horizontal="center"/>
    </xf>
    <xf numFmtId="0" fontId="28" fillId="16" borderId="0" xfId="3" applyFill="1" applyAlignment="1">
      <alignment horizontal="center"/>
    </xf>
    <xf numFmtId="0" fontId="24" fillId="0" borderId="20" xfId="3" applyFont="1" applyBorder="1"/>
    <xf numFmtId="0" fontId="24" fillId="0" borderId="25" xfId="3" applyFont="1" applyBorder="1"/>
    <xf numFmtId="0" fontId="24" fillId="0" borderId="26" xfId="3" applyFont="1" applyBorder="1"/>
    <xf numFmtId="0" fontId="28" fillId="0" borderId="27" xfId="3" applyBorder="1"/>
    <xf numFmtId="0" fontId="28" fillId="0" borderId="28" xfId="3" applyBorder="1"/>
    <xf numFmtId="0" fontId="28" fillId="0" borderId="29" xfId="3" applyBorder="1"/>
    <xf numFmtId="0" fontId="28" fillId="0" borderId="30" xfId="3" applyBorder="1"/>
    <xf numFmtId="0" fontId="28" fillId="0" borderId="31" xfId="3" applyBorder="1"/>
    <xf numFmtId="178" fontId="2" fillId="0" borderId="4" xfId="1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78" fontId="2" fillId="0" borderId="8" xfId="1" applyNumberFormat="1" applyFont="1" applyBorder="1" applyAlignment="1">
      <alignment horizontal="center" vertical="center"/>
    </xf>
    <xf numFmtId="177" fontId="2" fillId="0" borderId="8" xfId="1" applyNumberFormat="1" applyFont="1" applyBorder="1" applyAlignment="1">
      <alignment horizontal="center" vertical="center"/>
    </xf>
    <xf numFmtId="177" fontId="2" fillId="0" borderId="4" xfId="1" applyNumberFormat="1" applyFont="1" applyBorder="1" applyAlignment="1">
      <alignment horizontal="center" vertical="center"/>
    </xf>
    <xf numFmtId="177" fontId="2" fillId="0" borderId="2" xfId="1" applyNumberFormat="1" applyFont="1" applyBorder="1" applyAlignment="1">
      <alignment horizontal="center" vertical="center"/>
    </xf>
    <xf numFmtId="186" fontId="2" fillId="0" borderId="8" xfId="1" applyNumberFormat="1" applyFont="1" applyBorder="1" applyAlignment="1">
      <alignment horizontal="center" vertical="center"/>
    </xf>
    <xf numFmtId="186" fontId="2" fillId="0" borderId="2" xfId="1" applyNumberFormat="1" applyFont="1" applyBorder="1" applyAlignment="1">
      <alignment horizontal="center" vertical="center"/>
    </xf>
    <xf numFmtId="185" fontId="2" fillId="0" borderId="8" xfId="1" applyNumberFormat="1" applyFont="1" applyBorder="1" applyAlignment="1">
      <alignment horizontal="center" vertical="center"/>
    </xf>
    <xf numFmtId="185" fontId="2" fillId="0" borderId="2" xfId="1" applyNumberFormat="1" applyFont="1" applyBorder="1" applyAlignment="1">
      <alignment horizontal="center" vertical="center"/>
    </xf>
    <xf numFmtId="185" fontId="2" fillId="0" borderId="4" xfId="1" applyNumberFormat="1" applyFont="1" applyBorder="1" applyAlignment="1">
      <alignment horizontal="center" vertical="center"/>
    </xf>
    <xf numFmtId="184" fontId="2" fillId="0" borderId="2" xfId="1" applyNumberFormat="1" applyFont="1" applyBorder="1" applyAlignment="1">
      <alignment horizontal="center" vertical="center"/>
    </xf>
    <xf numFmtId="178" fontId="2" fillId="0" borderId="2" xfId="1" applyNumberFormat="1" applyFont="1" applyBorder="1" applyAlignment="1">
      <alignment horizontal="center" vertical="center"/>
    </xf>
    <xf numFmtId="0" fontId="28" fillId="0" borderId="12" xfId="3" applyBorder="1" applyAlignment="1">
      <alignment horizontal="center"/>
    </xf>
    <xf numFmtId="0" fontId="28" fillId="0" borderId="12" xfId="3" applyBorder="1" applyAlignment="1">
      <alignment horizontal="center" wrapText="1"/>
    </xf>
    <xf numFmtId="0" fontId="0" fillId="0" borderId="12" xfId="0" applyBorder="1" applyAlignment="1">
      <alignment horizontal="center" vertical="center"/>
    </xf>
    <xf numFmtId="186" fontId="6" fillId="0" borderId="0" xfId="0" applyNumberFormat="1" applyFont="1" applyAlignment="1">
      <alignment horizontal="center" vertical="center"/>
    </xf>
    <xf numFmtId="0" fontId="2" fillId="14" borderId="7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179" fontId="2" fillId="0" borderId="7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79" fontId="2" fillId="14" borderId="8" xfId="0" applyNumberFormat="1" applyFont="1" applyFill="1" applyBorder="1" applyAlignment="1">
      <alignment horizontal="center" vertical="center"/>
    </xf>
    <xf numFmtId="179" fontId="2" fillId="14" borderId="2" xfId="0" applyNumberFormat="1" applyFont="1" applyFill="1" applyBorder="1" applyAlignment="1">
      <alignment horizontal="center" vertical="center"/>
    </xf>
    <xf numFmtId="185" fontId="6" fillId="0" borderId="0" xfId="0" applyNumberFormat="1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84" fontId="6" fillId="0" borderId="0" xfId="0" applyNumberFormat="1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92" fontId="2" fillId="0" borderId="7" xfId="0" applyNumberFormat="1" applyFont="1" applyBorder="1" applyAlignment="1">
      <alignment horizontal="centerContinuous" vertical="center"/>
    </xf>
    <xf numFmtId="192" fontId="2" fillId="0" borderId="1" xfId="0" applyNumberFormat="1" applyFont="1" applyBorder="1" applyAlignment="1">
      <alignment horizontal="centerContinuous" vertical="center"/>
    </xf>
    <xf numFmtId="192" fontId="2" fillId="0" borderId="3" xfId="0" applyNumberFormat="1" applyFont="1" applyBorder="1" applyAlignment="1">
      <alignment horizontal="centerContinuous" vertical="center"/>
    </xf>
    <xf numFmtId="189" fontId="33" fillId="0" borderId="32" xfId="0" applyNumberFormat="1" applyFont="1" applyBorder="1" applyAlignment="1">
      <alignment horizontal="center" vertical="center"/>
    </xf>
    <xf numFmtId="189" fontId="33" fillId="0" borderId="35" xfId="0" applyNumberFormat="1" applyFont="1" applyBorder="1" applyAlignment="1">
      <alignment horizontal="center" vertical="center"/>
    </xf>
    <xf numFmtId="189" fontId="33" fillId="0" borderId="36" xfId="0" applyNumberFormat="1" applyFont="1" applyBorder="1" applyAlignment="1">
      <alignment horizontal="center" vertical="center"/>
    </xf>
    <xf numFmtId="189" fontId="33" fillId="0" borderId="37" xfId="0" applyNumberFormat="1" applyFont="1" applyBorder="1" applyAlignment="1">
      <alignment horizontal="center" vertical="center"/>
    </xf>
    <xf numFmtId="14" fontId="33" fillId="0" borderId="40" xfId="0" applyNumberFormat="1" applyFont="1" applyBorder="1" applyAlignment="1">
      <alignment horizontal="center" vertical="center"/>
    </xf>
    <xf numFmtId="191" fontId="33" fillId="0" borderId="41" xfId="0" applyNumberFormat="1" applyFont="1" applyBorder="1" applyAlignment="1">
      <alignment horizontal="center" vertical="center"/>
    </xf>
    <xf numFmtId="191" fontId="33" fillId="0" borderId="42" xfId="0" applyNumberFormat="1" applyFont="1" applyBorder="1" applyAlignment="1">
      <alignment horizontal="center" vertical="center"/>
    </xf>
    <xf numFmtId="186" fontId="33" fillId="0" borderId="42" xfId="0" applyNumberFormat="1" applyFont="1" applyBorder="1" applyAlignment="1">
      <alignment horizontal="center" vertical="center"/>
    </xf>
    <xf numFmtId="192" fontId="34" fillId="0" borderId="42" xfId="0" applyNumberFormat="1" applyFont="1" applyBorder="1" applyAlignment="1">
      <alignment horizontal="center" vertical="center"/>
    </xf>
    <xf numFmtId="181" fontId="34" fillId="0" borderId="43" xfId="0" applyNumberFormat="1" applyFont="1" applyBorder="1" applyAlignment="1">
      <alignment horizontal="center" vertical="center"/>
    </xf>
    <xf numFmtId="20" fontId="33" fillId="0" borderId="42" xfId="0" applyNumberFormat="1" applyFont="1" applyBorder="1" applyAlignment="1">
      <alignment horizontal="center" vertical="center"/>
    </xf>
    <xf numFmtId="193" fontId="10" fillId="0" borderId="44" xfId="2" applyNumberFormat="1" applyFont="1" applyBorder="1" applyAlignment="1">
      <alignment horizontal="center" vertical="center"/>
    </xf>
    <xf numFmtId="193" fontId="10" fillId="0" borderId="45" xfId="2" applyNumberFormat="1" applyFont="1" applyBorder="1" applyAlignment="1">
      <alignment horizontal="center" vertical="center"/>
    </xf>
    <xf numFmtId="193" fontId="26" fillId="0" borderId="46" xfId="0" applyNumberFormat="1" applyFont="1" applyBorder="1" applyAlignment="1">
      <alignment horizontal="center" vertical="center"/>
    </xf>
    <xf numFmtId="194" fontId="35" fillId="0" borderId="52" xfId="0" applyNumberFormat="1" applyFont="1" applyBorder="1" applyAlignment="1">
      <alignment horizontal="center" vertical="center"/>
    </xf>
    <xf numFmtId="0" fontId="36" fillId="0" borderId="53" xfId="0" applyFont="1" applyBorder="1" applyAlignment="1">
      <alignment horizontal="center" vertical="center"/>
    </xf>
    <xf numFmtId="190" fontId="33" fillId="0" borderId="42" xfId="0" applyNumberFormat="1" applyFont="1" applyBorder="1" applyAlignment="1">
      <alignment horizontal="center" vertical="center"/>
    </xf>
    <xf numFmtId="14" fontId="33" fillId="0" borderId="47" xfId="0" applyNumberFormat="1" applyFont="1" applyBorder="1" applyAlignment="1">
      <alignment horizontal="center" vertical="center"/>
    </xf>
    <xf numFmtId="191" fontId="33" fillId="0" borderId="54" xfId="0" applyNumberFormat="1" applyFont="1" applyBorder="1" applyAlignment="1">
      <alignment horizontal="center" vertical="center"/>
    </xf>
    <xf numFmtId="191" fontId="33" fillId="0" borderId="10" xfId="0" applyNumberFormat="1" applyFont="1" applyBorder="1" applyAlignment="1">
      <alignment horizontal="center" vertical="center"/>
    </xf>
    <xf numFmtId="190" fontId="33" fillId="0" borderId="10" xfId="0" applyNumberFormat="1" applyFont="1" applyBorder="1" applyAlignment="1">
      <alignment horizontal="center" vertical="center"/>
    </xf>
    <xf numFmtId="192" fontId="34" fillId="0" borderId="10" xfId="0" applyNumberFormat="1" applyFont="1" applyBorder="1" applyAlignment="1">
      <alignment horizontal="center" vertical="center"/>
    </xf>
    <xf numFmtId="181" fontId="34" fillId="0" borderId="58" xfId="0" applyNumberFormat="1" applyFont="1" applyBorder="1" applyAlignment="1">
      <alignment horizontal="center" vertical="center"/>
    </xf>
    <xf numFmtId="193" fontId="10" fillId="0" borderId="59" xfId="2" applyNumberFormat="1" applyFont="1" applyBorder="1" applyAlignment="1">
      <alignment horizontal="center" vertical="center"/>
    </xf>
    <xf numFmtId="193" fontId="26" fillId="0" borderId="60" xfId="0" applyNumberFormat="1" applyFont="1" applyBorder="1" applyAlignment="1">
      <alignment horizontal="center" vertical="center"/>
    </xf>
    <xf numFmtId="194" fontId="35" fillId="0" borderId="61" xfId="0" applyNumberFormat="1" applyFont="1" applyBorder="1" applyAlignment="1">
      <alignment horizontal="center" vertical="center"/>
    </xf>
    <xf numFmtId="0" fontId="36" fillId="0" borderId="60" xfId="0" applyFont="1" applyBorder="1" applyAlignment="1">
      <alignment horizontal="center" vertical="center"/>
    </xf>
    <xf numFmtId="14" fontId="33" fillId="0" borderId="55" xfId="0" applyNumberFormat="1" applyFont="1" applyBorder="1" applyAlignment="1">
      <alignment horizontal="center" vertical="center"/>
    </xf>
    <xf numFmtId="193" fontId="10" fillId="0" borderId="56" xfId="2" applyNumberFormat="1" applyFont="1" applyBorder="1" applyAlignment="1">
      <alignment horizontal="center" vertical="center"/>
    </xf>
    <xf numFmtId="193" fontId="10" fillId="0" borderId="57" xfId="2" applyNumberFormat="1" applyFont="1" applyBorder="1" applyAlignment="1">
      <alignment horizontal="center" vertical="center"/>
    </xf>
    <xf numFmtId="193" fontId="10" fillId="0" borderId="62" xfId="2" applyNumberFormat="1" applyFont="1" applyBorder="1" applyAlignment="1">
      <alignment horizontal="center" vertical="center"/>
    </xf>
    <xf numFmtId="0" fontId="37" fillId="17" borderId="12" xfId="0" applyFont="1" applyFill="1" applyBorder="1" applyAlignment="1">
      <alignment horizontal="center" vertical="center"/>
    </xf>
    <xf numFmtId="0" fontId="35" fillId="0" borderId="50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 vertical="center"/>
    </xf>
    <xf numFmtId="0" fontId="10" fillId="0" borderId="38" xfId="2" applyFont="1" applyBorder="1" applyAlignment="1">
      <alignment horizontal="center" vertical="center"/>
    </xf>
    <xf numFmtId="0" fontId="10" fillId="0" borderId="39" xfId="2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9" xfId="0" applyFont="1" applyBorder="1" applyAlignment="1">
      <alignment horizontal="center" vertical="center"/>
    </xf>
    <xf numFmtId="195" fontId="0" fillId="0" borderId="8" xfId="0" applyNumberFormat="1" applyBorder="1" applyAlignment="1">
      <alignment horizontal="center" vertical="center"/>
    </xf>
    <xf numFmtId="195" fontId="0" fillId="0" borderId="2" xfId="0" applyNumberFormat="1" applyBorder="1" applyAlignment="1">
      <alignment horizontal="center" vertical="center"/>
    </xf>
    <xf numFmtId="0" fontId="35" fillId="0" borderId="64" xfId="0" applyFont="1" applyBorder="1" applyAlignment="1">
      <alignment horizontal="center" vertical="center"/>
    </xf>
    <xf numFmtId="0" fontId="35" fillId="0" borderId="62" xfId="0" applyFont="1" applyBorder="1" applyAlignment="1">
      <alignment horizontal="center" vertical="center"/>
    </xf>
    <xf numFmtId="0" fontId="36" fillId="0" borderId="57" xfId="0" applyFont="1" applyBorder="1" applyAlignment="1">
      <alignment horizontal="center" vertical="center"/>
    </xf>
    <xf numFmtId="0" fontId="36" fillId="0" borderId="65" xfId="0" applyFont="1" applyBorder="1" applyAlignment="1">
      <alignment horizontal="center" vertical="center"/>
    </xf>
    <xf numFmtId="195" fontId="0" fillId="0" borderId="0" xfId="0" applyNumberFormat="1" applyAlignment="1">
      <alignment horizontal="center" vertical="center"/>
    </xf>
    <xf numFmtId="195" fontId="0" fillId="0" borderId="9" xfId="0" applyNumberFormat="1" applyBorder="1" applyAlignment="1">
      <alignment horizontal="center" vertical="center"/>
    </xf>
    <xf numFmtId="195" fontId="0" fillId="0" borderId="5" xfId="0" applyNumberFormat="1" applyBorder="1" applyAlignment="1">
      <alignment horizontal="center" vertical="center"/>
    </xf>
    <xf numFmtId="195" fontId="0" fillId="0" borderId="4" xfId="0" applyNumberFormat="1" applyBorder="1" applyAlignment="1">
      <alignment horizontal="center" vertical="center"/>
    </xf>
    <xf numFmtId="178" fontId="2" fillId="0" borderId="9" xfId="1" applyNumberFormat="1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178" fontId="2" fillId="0" borderId="0" xfId="1" applyNumberFormat="1" applyFont="1" applyBorder="1" applyAlignment="1">
      <alignment vertical="center"/>
    </xf>
    <xf numFmtId="178" fontId="2" fillId="0" borderId="5" xfId="1" applyNumberFormat="1" applyFont="1" applyBorder="1" applyAlignment="1">
      <alignment vertical="center"/>
    </xf>
    <xf numFmtId="178" fontId="2" fillId="0" borderId="8" xfId="1" applyNumberFormat="1" applyFont="1" applyBorder="1" applyAlignment="1">
      <alignment vertical="center"/>
    </xf>
    <xf numFmtId="178" fontId="2" fillId="0" borderId="2" xfId="1" applyNumberFormat="1" applyFont="1" applyBorder="1" applyAlignment="1">
      <alignment vertical="center"/>
    </xf>
    <xf numFmtId="178" fontId="2" fillId="0" borderId="4" xfId="1" applyNumberFormat="1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14" fontId="39" fillId="0" borderId="63" xfId="0" applyNumberFormat="1" applyFont="1" applyBorder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3" fontId="6" fillId="0" borderId="7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3" fontId="6" fillId="0" borderId="8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181" fontId="6" fillId="0" borderId="12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77" fontId="2" fillId="0" borderId="7" xfId="1" applyNumberFormat="1" applyFont="1" applyBorder="1" applyAlignment="1">
      <alignment horizontal="center" vertical="center"/>
    </xf>
    <xf numFmtId="177" fontId="2" fillId="0" borderId="1" xfId="1" applyNumberFormat="1" applyFont="1" applyBorder="1" applyAlignment="1">
      <alignment horizontal="center" vertical="center"/>
    </xf>
    <xf numFmtId="177" fontId="2" fillId="0" borderId="3" xfId="1" applyNumberFormat="1" applyFont="1" applyBorder="1" applyAlignment="1">
      <alignment horizontal="center" vertical="center"/>
    </xf>
    <xf numFmtId="177" fontId="6" fillId="0" borderId="8" xfId="0" applyNumberFormat="1" applyFont="1" applyBorder="1">
      <alignment vertical="center"/>
    </xf>
    <xf numFmtId="177" fontId="6" fillId="0" borderId="15" xfId="0" applyNumberFormat="1" applyFont="1" applyBorder="1">
      <alignment vertical="center"/>
    </xf>
    <xf numFmtId="177" fontId="6" fillId="0" borderId="2" xfId="0" applyNumberFormat="1" applyFont="1" applyBorder="1">
      <alignment vertical="center"/>
    </xf>
    <xf numFmtId="177" fontId="6" fillId="0" borderId="13" xfId="0" applyNumberFormat="1" applyFont="1" applyBorder="1">
      <alignment vertical="center"/>
    </xf>
    <xf numFmtId="177" fontId="6" fillId="0" borderId="14" xfId="0" applyNumberFormat="1" applyFont="1" applyBorder="1">
      <alignment vertical="center"/>
    </xf>
    <xf numFmtId="191" fontId="33" fillId="18" borderId="41" xfId="0" applyNumberFormat="1" applyFont="1" applyFill="1" applyBorder="1" applyAlignment="1">
      <alignment horizontal="center" vertical="center"/>
    </xf>
    <xf numFmtId="191" fontId="33" fillId="18" borderId="42" xfId="0" applyNumberFormat="1" applyFont="1" applyFill="1" applyBorder="1" applyAlignment="1">
      <alignment horizontal="center" vertical="center"/>
    </xf>
    <xf numFmtId="190" fontId="33" fillId="18" borderId="42" xfId="0" applyNumberFormat="1" applyFont="1" applyFill="1" applyBorder="1" applyAlignment="1">
      <alignment horizontal="center" vertical="center"/>
    </xf>
    <xf numFmtId="181" fontId="34" fillId="0" borderId="43" xfId="0" applyNumberFormat="1" applyFont="1" applyBorder="1">
      <alignment vertical="center"/>
    </xf>
    <xf numFmtId="20" fontId="33" fillId="18" borderId="42" xfId="0" applyNumberFormat="1" applyFont="1" applyFill="1" applyBorder="1" applyAlignment="1">
      <alignment horizontal="center" vertical="center"/>
    </xf>
    <xf numFmtId="192" fontId="34" fillId="2" borderId="42" xfId="0" applyNumberFormat="1" applyFont="1" applyFill="1" applyBorder="1" applyAlignment="1">
      <alignment horizontal="center" vertical="center"/>
    </xf>
    <xf numFmtId="192" fontId="34" fillId="2" borderId="10" xfId="0" applyNumberFormat="1" applyFont="1" applyFill="1" applyBorder="1" applyAlignment="1">
      <alignment horizontal="center" vertical="center"/>
    </xf>
    <xf numFmtId="194" fontId="40" fillId="0" borderId="52" xfId="0" applyNumberFormat="1" applyFont="1" applyBorder="1" applyAlignment="1">
      <alignment horizontal="center" vertical="center"/>
    </xf>
    <xf numFmtId="0" fontId="41" fillId="0" borderId="53" xfId="0" applyFont="1" applyBorder="1" applyAlignment="1">
      <alignment horizontal="center" vertical="center"/>
    </xf>
    <xf numFmtId="185" fontId="2" fillId="0" borderId="67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12" fillId="12" borderId="0" xfId="0" applyNumberFormat="1" applyFont="1" applyFill="1" applyAlignment="1">
      <alignment horizontal="center" vertical="center"/>
    </xf>
    <xf numFmtId="3" fontId="12" fillId="13" borderId="0" xfId="0" applyNumberFormat="1" applyFont="1" applyFill="1" applyAlignment="1">
      <alignment horizontal="center" vertical="center"/>
    </xf>
    <xf numFmtId="0" fontId="0" fillId="13" borderId="0" xfId="0" applyFill="1" applyAlignment="1"/>
    <xf numFmtId="3" fontId="12" fillId="6" borderId="0" xfId="0" applyNumberFormat="1" applyFont="1" applyFill="1" applyAlignment="1">
      <alignment horizontal="center" vertical="center"/>
    </xf>
    <xf numFmtId="0" fontId="0" fillId="6" borderId="0" xfId="0" applyFill="1" applyAlignment="1"/>
    <xf numFmtId="180" fontId="12" fillId="7" borderId="0" xfId="0" applyNumberFormat="1" applyFont="1" applyFill="1" applyAlignment="1">
      <alignment horizontal="center" vertical="center"/>
    </xf>
    <xf numFmtId="0" fontId="0" fillId="7" borderId="0" xfId="0" applyFill="1" applyAlignment="1"/>
    <xf numFmtId="0" fontId="13" fillId="12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3" fontId="12" fillId="8" borderId="0" xfId="0" applyNumberFormat="1" applyFont="1" applyFill="1" applyAlignment="1">
      <alignment horizontal="center" vertical="center"/>
    </xf>
    <xf numFmtId="3" fontId="12" fillId="9" borderId="0" xfId="0" applyNumberFormat="1" applyFont="1" applyFill="1" applyAlignment="1">
      <alignment horizontal="center" vertical="center"/>
    </xf>
    <xf numFmtId="0" fontId="0" fillId="9" borderId="0" xfId="0" applyFill="1" applyAlignment="1"/>
    <xf numFmtId="180" fontId="12" fillId="10" borderId="0" xfId="0" applyNumberFormat="1" applyFont="1" applyFill="1" applyAlignment="1">
      <alignment horizontal="center" vertical="center"/>
    </xf>
    <xf numFmtId="3" fontId="12" fillId="11" borderId="0" xfId="0" applyNumberFormat="1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6" fillId="5" borderId="0" xfId="0" applyFont="1" applyFill="1" applyAlignment="1"/>
    <xf numFmtId="0" fontId="11" fillId="8" borderId="0" xfId="0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6" fillId="4" borderId="0" xfId="0" applyFont="1" applyFill="1" applyAlignment="1"/>
    <xf numFmtId="0" fontId="11" fillId="12" borderId="0" xfId="0" applyFont="1" applyFill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4" fontId="22" fillId="2" borderId="16" xfId="0" applyNumberFormat="1" applyFont="1" applyFill="1" applyBorder="1" applyAlignment="1">
      <alignment horizontal="right" vertical="center"/>
    </xf>
    <xf numFmtId="0" fontId="22" fillId="2" borderId="16" xfId="0" applyFont="1" applyFill="1" applyBorder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7" fillId="17" borderId="13" xfId="0" applyFont="1" applyFill="1" applyBorder="1" applyAlignment="1">
      <alignment horizontal="center" vertical="center"/>
    </xf>
    <xf numFmtId="0" fontId="37" fillId="17" borderId="15" xfId="0" applyFont="1" applyFill="1" applyBorder="1" applyAlignment="1">
      <alignment horizontal="center" vertical="center"/>
    </xf>
    <xf numFmtId="0" fontId="37" fillId="17" borderId="14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189" fontId="33" fillId="0" borderId="33" xfId="0" applyNumberFormat="1" applyFont="1" applyBorder="1" applyAlignment="1">
      <alignment horizontal="center" vertical="center"/>
    </xf>
    <xf numFmtId="189" fontId="33" fillId="0" borderId="34" xfId="0" applyNumberFormat="1" applyFont="1" applyBorder="1" applyAlignment="1">
      <alignment horizontal="center" vertical="center"/>
    </xf>
    <xf numFmtId="2" fontId="24" fillId="16" borderId="0" xfId="3" applyNumberFormat="1" applyFont="1" applyFill="1" applyAlignment="1">
      <alignment horizontal="center"/>
    </xf>
    <xf numFmtId="9" fontId="24" fillId="14" borderId="0" xfId="4" applyFont="1" applyFill="1" applyAlignment="1">
      <alignment horizontal="center"/>
    </xf>
    <xf numFmtId="0" fontId="24" fillId="15" borderId="0" xfId="3" applyFont="1" applyFill="1" applyAlignment="1">
      <alignment horizontal="center"/>
    </xf>
    <xf numFmtId="0" fontId="28" fillId="15" borderId="0" xfId="3" applyFill="1" applyAlignment="1">
      <alignment horizontal="center"/>
    </xf>
    <xf numFmtId="0" fontId="24" fillId="14" borderId="0" xfId="3" applyFont="1" applyFill="1" applyAlignment="1">
      <alignment horizontal="center"/>
    </xf>
    <xf numFmtId="0" fontId="24" fillId="16" borderId="0" xfId="3" applyFont="1" applyFill="1" applyAlignment="1">
      <alignment horizontal="center"/>
    </xf>
    <xf numFmtId="0" fontId="24" fillId="10" borderId="0" xfId="3" applyFont="1" applyFill="1" applyAlignment="1">
      <alignment horizontal="center"/>
    </xf>
    <xf numFmtId="2" fontId="24" fillId="14" borderId="0" xfId="3" applyNumberFormat="1" applyFont="1" applyFill="1" applyAlignment="1">
      <alignment horizontal="center"/>
    </xf>
    <xf numFmtId="188" fontId="24" fillId="14" borderId="0" xfId="3" applyNumberFormat="1" applyFont="1" applyFill="1" applyAlignment="1">
      <alignment horizontal="center"/>
    </xf>
  </cellXfs>
  <cellStyles count="5">
    <cellStyle name="백분율 2" xfId="4" xr:uid="{93CA1647-39C5-4FBC-BA70-BB1C6159A896}"/>
    <cellStyle name="쉼표 [0]" xfId="1" builtinId="6"/>
    <cellStyle name="표준" xfId="0" builtinId="0"/>
    <cellStyle name="표준 2" xfId="3" xr:uid="{700E7E7A-0E46-44A7-A0EA-3F4123E8B80B}"/>
    <cellStyle name="표준 3" xfId="2" xr:uid="{D543B8D3-F5E3-429F-AAC1-B9D5D9FA0E52}"/>
  </cellStyles>
  <dxfs count="20">
    <dxf>
      <font>
        <b/>
        <i val="0"/>
      </font>
      <border>
        <top style="dotted">
          <color rgb="FFFF0000"/>
        </top>
        <bottom style="dotted">
          <color rgb="FFFF0000"/>
        </bottom>
        <vertical/>
        <horizontal/>
      </border>
    </dxf>
    <dxf>
      <font>
        <b/>
        <i val="0"/>
      </font>
      <border>
        <top style="dotted">
          <color rgb="FFFF0000"/>
        </top>
        <bottom style="dotted">
          <color rgb="FFFF0000"/>
        </bottom>
        <vertical/>
        <horizontal/>
      </border>
    </dxf>
    <dxf>
      <font>
        <b/>
        <i val="0"/>
      </font>
      <border>
        <top style="dotted">
          <color rgb="FFFF0000"/>
        </top>
        <bottom style="dotted">
          <color rgb="FFFF0000"/>
        </bottom>
        <vertical/>
        <horizontal/>
      </border>
    </dxf>
    <dxf>
      <font>
        <b/>
        <i val="0"/>
      </font>
      <border>
        <top style="dotted">
          <color rgb="FFFF0000"/>
        </top>
        <bottom style="dotted">
          <color rgb="FFFF0000"/>
        </bottom>
        <vertical/>
        <horizontal/>
      </border>
    </dxf>
    <dxf>
      <font>
        <b/>
        <i val="0"/>
      </font>
      <border>
        <top style="dotted">
          <color rgb="FFFF0000"/>
        </top>
        <bottom style="dotted">
          <color rgb="FFFF0000"/>
        </bottom>
        <vertical/>
        <horizontal/>
      </border>
    </dxf>
    <dxf>
      <fill>
        <patternFill patternType="lightUp">
          <fgColor theme="2" tint="-0.24994659260841701"/>
        </patternFill>
      </fill>
    </dxf>
    <dxf>
      <fill>
        <patternFill patternType="lightUp">
          <fgColor theme="2" tint="-0.24994659260841701"/>
        </patternFill>
      </fill>
    </dxf>
    <dxf>
      <fill>
        <patternFill patternType="lightUp">
          <fgColor theme="2" tint="-0.24994659260841701"/>
        </patternFill>
      </fill>
    </dxf>
    <dxf>
      <fill>
        <patternFill patternType="lightUp">
          <fgColor theme="2" tint="-0.24994659260841701"/>
        </patternFill>
      </fill>
    </dxf>
    <dxf>
      <fill>
        <patternFill patternType="lightUp">
          <fgColor theme="2" tint="-0.24994659260841701"/>
        </patternFill>
      </fill>
    </dxf>
    <dxf>
      <fill>
        <patternFill patternType="lightUp">
          <fgColor theme="2" tint="-0.24994659260841701"/>
        </patternFill>
      </fill>
    </dxf>
    <dxf>
      <fill>
        <patternFill patternType="lightUp">
          <fgColor theme="2" tint="-0.24994659260841701"/>
        </patternFill>
      </fill>
    </dxf>
    <dxf>
      <fill>
        <patternFill patternType="lightUp">
          <fgColor theme="2" tint="-0.24994659260841701"/>
        </patternFill>
      </fill>
    </dxf>
    <dxf>
      <fill>
        <patternFill patternType="lightUp">
          <fgColor theme="2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border>
        <top style="dotted">
          <color rgb="FFFF0000"/>
        </top>
        <bottom style="dotted">
          <color rgb="FFFF0000"/>
        </bottom>
        <vertical/>
        <horizontal/>
      </border>
    </dxf>
    <dxf>
      <font>
        <b/>
        <i val="0"/>
      </font>
      <border>
        <top style="dotted">
          <color rgb="FFFF0000"/>
        </top>
        <bottom style="dotted">
          <color rgb="FFFF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theme" Target="theme/theme1.xml"/><Relationship Id="rId36" Type="http://schemas.openxmlformats.org/officeDocument/2006/relationships/customXml" Target="../customXml/item3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14764</xdr:colOff>
      <xdr:row>10</xdr:row>
      <xdr:rowOff>163565</xdr:rowOff>
    </xdr:from>
    <xdr:to>
      <xdr:col>33</xdr:col>
      <xdr:colOff>18202</xdr:colOff>
      <xdr:row>20</xdr:row>
      <xdr:rowOff>86274</xdr:rowOff>
    </xdr:to>
    <xdr:sp macro="" textlink="">
      <xdr:nvSpPr>
        <xdr:cNvPr id="2" name="자유형: 도형 1">
          <a:extLst>
            <a:ext uri="{FF2B5EF4-FFF2-40B4-BE49-F238E27FC236}">
              <a16:creationId xmlns:a16="http://schemas.microsoft.com/office/drawing/2014/main" id="{82BAF124-78BA-40FB-8D7A-725648521F91}"/>
            </a:ext>
          </a:extLst>
        </xdr:cNvPr>
        <xdr:cNvSpPr/>
      </xdr:nvSpPr>
      <xdr:spPr>
        <a:xfrm>
          <a:off x="5272564" y="2322565"/>
          <a:ext cx="2289438" cy="2081709"/>
        </a:xfrm>
        <a:custGeom>
          <a:avLst/>
          <a:gdLst>
            <a:gd name="connsiteX0" fmla="*/ 0 w 2752725"/>
            <a:gd name="connsiteY0" fmla="*/ 0 h 1762125"/>
            <a:gd name="connsiteX1" fmla="*/ 0 w 2752725"/>
            <a:gd name="connsiteY1" fmla="*/ 1762125 h 1762125"/>
            <a:gd name="connsiteX2" fmla="*/ 2752725 w 2752725"/>
            <a:gd name="connsiteY2" fmla="*/ 1762125 h 1762125"/>
            <a:gd name="connsiteX3" fmla="*/ 2752725 w 2752725"/>
            <a:gd name="connsiteY3" fmla="*/ 0 h 1762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752725" h="1762125">
              <a:moveTo>
                <a:pt x="0" y="0"/>
              </a:moveTo>
              <a:lnTo>
                <a:pt x="0" y="1762125"/>
              </a:lnTo>
              <a:lnTo>
                <a:pt x="2752725" y="1762125"/>
              </a:lnTo>
              <a:lnTo>
                <a:pt x="2752725" y="0"/>
              </a:lnTo>
            </a:path>
          </a:pathLst>
        </a:custGeom>
        <a:noFill/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56061</xdr:colOff>
      <xdr:row>13</xdr:row>
      <xdr:rowOff>18368</xdr:rowOff>
    </xdr:from>
    <xdr:to>
      <xdr:col>32</xdr:col>
      <xdr:colOff>198287</xdr:colOff>
      <xdr:row>20</xdr:row>
      <xdr:rowOff>48083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EBE14D5-F3F4-45AA-A375-A06B0ABE0C91}"/>
            </a:ext>
          </a:extLst>
        </xdr:cNvPr>
        <xdr:cNvSpPr/>
      </xdr:nvSpPr>
      <xdr:spPr>
        <a:xfrm>
          <a:off x="5313861" y="2825068"/>
          <a:ext cx="2199626" cy="1541015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lang="en-US" altLang="ko-KR" sz="1100" b="1">
              <a:latin typeface="+mn-ea"/>
              <a:ea typeface="+mn-ea"/>
            </a:rPr>
            <a:t>RAW WATER TANK</a:t>
          </a:r>
          <a:endParaRPr lang="ko-KR" altLang="en-US" sz="1100" b="1">
            <a:latin typeface="+mn-ea"/>
            <a:ea typeface="+mn-ea"/>
          </a:endParaRPr>
        </a:p>
      </xdr:txBody>
    </xdr:sp>
    <xdr:clientData/>
  </xdr:twoCellAnchor>
  <xdr:twoCellAnchor>
    <xdr:from>
      <xdr:col>1</xdr:col>
      <xdr:colOff>28589</xdr:colOff>
      <xdr:row>11</xdr:row>
      <xdr:rowOff>30984</xdr:rowOff>
    </xdr:from>
    <xdr:to>
      <xdr:col>6</xdr:col>
      <xdr:colOff>212961</xdr:colOff>
      <xdr:row>12</xdr:row>
      <xdr:rowOff>176688</xdr:rowOff>
    </xdr:to>
    <xdr:sp macro="" textlink="">
      <xdr:nvSpPr>
        <xdr:cNvPr id="4" name="화살표: 오각형 3">
          <a:extLst>
            <a:ext uri="{FF2B5EF4-FFF2-40B4-BE49-F238E27FC236}">
              <a16:creationId xmlns:a16="http://schemas.microsoft.com/office/drawing/2014/main" id="{806C6CCE-21A6-469F-9374-E7900BE4BD68}"/>
            </a:ext>
          </a:extLst>
        </xdr:cNvPr>
        <xdr:cNvSpPr/>
      </xdr:nvSpPr>
      <xdr:spPr>
        <a:xfrm>
          <a:off x="257189" y="2405884"/>
          <a:ext cx="1327372" cy="361604"/>
        </a:xfrm>
        <a:prstGeom prst="homePlate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ctr"/>
          <a:r>
            <a:rPr lang="ko-KR" altLang="en-US" sz="1400"/>
            <a:t>시  수</a:t>
          </a:r>
        </a:p>
      </xdr:txBody>
    </xdr:sp>
    <xdr:clientData/>
  </xdr:twoCellAnchor>
  <xdr:twoCellAnchor>
    <xdr:from>
      <xdr:col>6</xdr:col>
      <xdr:colOff>179746</xdr:colOff>
      <xdr:row>11</xdr:row>
      <xdr:rowOff>166980</xdr:rowOff>
    </xdr:from>
    <xdr:to>
      <xdr:col>23</xdr:col>
      <xdr:colOff>14764</xdr:colOff>
      <xdr:row>12</xdr:row>
      <xdr:rowOff>521</xdr:rowOff>
    </xdr:to>
    <xdr:sp macro="" textlink="">
      <xdr:nvSpPr>
        <xdr:cNvPr id="5" name="자유형: 도형 4">
          <a:extLst>
            <a:ext uri="{FF2B5EF4-FFF2-40B4-BE49-F238E27FC236}">
              <a16:creationId xmlns:a16="http://schemas.microsoft.com/office/drawing/2014/main" id="{DA343CE3-2F4E-46AF-8AC5-3018A8E1D9BC}"/>
            </a:ext>
          </a:extLst>
        </xdr:cNvPr>
        <xdr:cNvSpPr/>
      </xdr:nvSpPr>
      <xdr:spPr>
        <a:xfrm flipV="1">
          <a:off x="1551346" y="2541880"/>
          <a:ext cx="3721218" cy="49441"/>
        </a:xfrm>
        <a:custGeom>
          <a:avLst/>
          <a:gdLst>
            <a:gd name="connsiteX0" fmla="*/ 0 w 1838325"/>
            <a:gd name="connsiteY0" fmla="*/ 0 h 0"/>
            <a:gd name="connsiteX1" fmla="*/ 1838325 w 183832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38325">
              <a:moveTo>
                <a:pt x="0" y="0"/>
              </a:moveTo>
              <a:lnTo>
                <a:pt x="1838325" y="0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87964</xdr:colOff>
      <xdr:row>11</xdr:row>
      <xdr:rowOff>19702</xdr:rowOff>
    </xdr:from>
    <xdr:to>
      <xdr:col>10</xdr:col>
      <xdr:colOff>179145</xdr:colOff>
      <xdr:row>12</xdr:row>
      <xdr:rowOff>199251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E4B48AE5-ADDB-47A0-9E72-7E96CEEEE74B}"/>
            </a:ext>
          </a:extLst>
        </xdr:cNvPr>
        <xdr:cNvGrpSpPr/>
      </xdr:nvGrpSpPr>
      <xdr:grpSpPr>
        <a:xfrm>
          <a:off x="2111016" y="2496202"/>
          <a:ext cx="322668" cy="407860"/>
          <a:chOff x="5522604" y="2931283"/>
          <a:chExt cx="322713" cy="334655"/>
        </a:xfrm>
      </xdr:grpSpPr>
      <xdr:sp macro="" textlink="">
        <xdr:nvSpPr>
          <xdr:cNvPr id="7" name="순서도: 연결자 6">
            <a:extLst>
              <a:ext uri="{FF2B5EF4-FFF2-40B4-BE49-F238E27FC236}">
                <a16:creationId xmlns:a16="http://schemas.microsoft.com/office/drawing/2014/main" id="{4136E206-C427-2F44-8F33-F4C8E26880EF}"/>
              </a:ext>
            </a:extLst>
          </xdr:cNvPr>
          <xdr:cNvSpPr/>
        </xdr:nvSpPr>
        <xdr:spPr>
          <a:xfrm>
            <a:off x="5522604" y="2931283"/>
            <a:ext cx="322713" cy="334655"/>
          </a:xfrm>
          <a:prstGeom prst="flowChartConnector">
            <a:avLst/>
          </a:prstGeom>
          <a:noFill/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" name="순서도: 연결자 7">
            <a:extLst>
              <a:ext uri="{FF2B5EF4-FFF2-40B4-BE49-F238E27FC236}">
                <a16:creationId xmlns:a16="http://schemas.microsoft.com/office/drawing/2014/main" id="{651B43B3-FC8C-38E8-3A3D-2C0935AD8BD1}"/>
              </a:ext>
            </a:extLst>
          </xdr:cNvPr>
          <xdr:cNvSpPr/>
        </xdr:nvSpPr>
        <xdr:spPr>
          <a:xfrm>
            <a:off x="5619228" y="2954598"/>
            <a:ext cx="132213" cy="134393"/>
          </a:xfrm>
          <a:prstGeom prst="flowChartConnector">
            <a:avLst/>
          </a:prstGeom>
          <a:solidFill>
            <a:schemeClr val="bg1"/>
          </a:solidFill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" name="순서도: 연결자 8">
            <a:extLst>
              <a:ext uri="{FF2B5EF4-FFF2-40B4-BE49-F238E27FC236}">
                <a16:creationId xmlns:a16="http://schemas.microsoft.com/office/drawing/2014/main" id="{56511D0A-C131-D936-0654-D50CCEDA6D46}"/>
              </a:ext>
            </a:extLst>
          </xdr:cNvPr>
          <xdr:cNvSpPr/>
        </xdr:nvSpPr>
        <xdr:spPr>
          <a:xfrm>
            <a:off x="5622592" y="3112259"/>
            <a:ext cx="129038" cy="131218"/>
          </a:xfrm>
          <a:prstGeom prst="flowChartConnector">
            <a:avLst/>
          </a:prstGeom>
          <a:solidFill>
            <a:schemeClr val="bg1"/>
          </a:solidFill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15</xdr:col>
      <xdr:colOff>17233</xdr:colOff>
      <xdr:row>12</xdr:row>
      <xdr:rowOff>170</xdr:rowOff>
    </xdr:from>
    <xdr:to>
      <xdr:col>15</xdr:col>
      <xdr:colOff>205874</xdr:colOff>
      <xdr:row>19</xdr:row>
      <xdr:rowOff>42701</xdr:rowOff>
    </xdr:to>
    <xdr:sp macro="" textlink="">
      <xdr:nvSpPr>
        <xdr:cNvPr id="10" name="자유형: 도형 9">
          <a:extLst>
            <a:ext uri="{FF2B5EF4-FFF2-40B4-BE49-F238E27FC236}">
              <a16:creationId xmlns:a16="http://schemas.microsoft.com/office/drawing/2014/main" id="{1F5886EA-5BC9-4647-B75F-C22E009767E4}"/>
            </a:ext>
          </a:extLst>
        </xdr:cNvPr>
        <xdr:cNvSpPr/>
      </xdr:nvSpPr>
      <xdr:spPr>
        <a:xfrm>
          <a:off x="3446233" y="2590970"/>
          <a:ext cx="188641" cy="1553831"/>
        </a:xfrm>
        <a:custGeom>
          <a:avLst/>
          <a:gdLst>
            <a:gd name="connsiteX0" fmla="*/ 0 w 233265"/>
            <a:gd name="connsiteY0" fmla="*/ 0 h 2011914"/>
            <a:gd name="connsiteX1" fmla="*/ 0 w 233265"/>
            <a:gd name="connsiteY1" fmla="*/ 2011914 h 2011914"/>
            <a:gd name="connsiteX2" fmla="*/ 233265 w 233265"/>
            <a:gd name="connsiteY2" fmla="*/ 2011914 h 201191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33265" h="2011914">
              <a:moveTo>
                <a:pt x="0" y="0"/>
              </a:moveTo>
              <a:lnTo>
                <a:pt x="0" y="2011914"/>
              </a:lnTo>
              <a:lnTo>
                <a:pt x="233265" y="2011914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193732</xdr:colOff>
      <xdr:row>18</xdr:row>
      <xdr:rowOff>178966</xdr:rowOff>
    </xdr:from>
    <xdr:to>
      <xdr:col>16</xdr:col>
      <xdr:colOff>205570</xdr:colOff>
      <xdr:row>19</xdr:row>
      <xdr:rowOff>144428</xdr:rowOff>
    </xdr:to>
    <xdr:sp macro="" textlink="">
      <xdr:nvSpPr>
        <xdr:cNvPr id="11" name="순서도: 대조 10">
          <a:extLst>
            <a:ext uri="{FF2B5EF4-FFF2-40B4-BE49-F238E27FC236}">
              <a16:creationId xmlns:a16="http://schemas.microsoft.com/office/drawing/2014/main" id="{E97CC2CE-3224-4269-A283-CE12BDE51E73}"/>
            </a:ext>
          </a:extLst>
        </xdr:cNvPr>
        <xdr:cNvSpPr/>
      </xdr:nvSpPr>
      <xdr:spPr>
        <a:xfrm rot="16200000">
          <a:off x="3652270" y="4035628"/>
          <a:ext cx="181362" cy="240438"/>
        </a:xfrm>
        <a:prstGeom prst="flowChartCollat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2385</xdr:colOff>
      <xdr:row>18</xdr:row>
      <xdr:rowOff>105902</xdr:rowOff>
    </xdr:from>
    <xdr:to>
      <xdr:col>20</xdr:col>
      <xdr:colOff>63923</xdr:colOff>
      <xdr:row>19</xdr:row>
      <xdr:rowOff>203869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EF51CF-693D-432F-B42B-137F82C81A86}"/>
            </a:ext>
          </a:extLst>
        </xdr:cNvPr>
        <xdr:cNvSpPr txBox="1"/>
      </xdr:nvSpPr>
      <xdr:spPr>
        <a:xfrm>
          <a:off x="3888585" y="3992102"/>
          <a:ext cx="747338" cy="3138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r>
            <a:rPr lang="ko-KR" altLang="en-US" sz="1100">
              <a:solidFill>
                <a:srgbClr val="FF0000"/>
              </a:solidFill>
            </a:rPr>
            <a:t>시수소화전</a:t>
          </a:r>
        </a:p>
      </xdr:txBody>
    </xdr:sp>
    <xdr:clientData/>
  </xdr:twoCellAnchor>
  <xdr:twoCellAnchor>
    <xdr:from>
      <xdr:col>15</xdr:col>
      <xdr:colOff>137035</xdr:colOff>
      <xdr:row>11</xdr:row>
      <xdr:rowOff>136434</xdr:rowOff>
    </xdr:from>
    <xdr:to>
      <xdr:col>16</xdr:col>
      <xdr:colOff>141820</xdr:colOff>
      <xdr:row>12</xdr:row>
      <xdr:rowOff>101897</xdr:rowOff>
    </xdr:to>
    <xdr:sp macro="" textlink="">
      <xdr:nvSpPr>
        <xdr:cNvPr id="13" name="순서도: 대조 12">
          <a:extLst>
            <a:ext uri="{FF2B5EF4-FFF2-40B4-BE49-F238E27FC236}">
              <a16:creationId xmlns:a16="http://schemas.microsoft.com/office/drawing/2014/main" id="{FE6A60E4-3BBE-4BD2-9839-E9812F5190A8}"/>
            </a:ext>
          </a:extLst>
        </xdr:cNvPr>
        <xdr:cNvSpPr/>
      </xdr:nvSpPr>
      <xdr:spPr>
        <a:xfrm rot="16200000">
          <a:off x="3592046" y="2485323"/>
          <a:ext cx="181363" cy="233385"/>
        </a:xfrm>
        <a:prstGeom prst="flowChartCollat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175433</xdr:colOff>
      <xdr:row>12</xdr:row>
      <xdr:rowOff>132556</xdr:rowOff>
    </xdr:from>
    <xdr:to>
      <xdr:col>15</xdr:col>
      <xdr:colOff>96886</xdr:colOff>
      <xdr:row>13</xdr:row>
      <xdr:rowOff>205390</xdr:rowOff>
    </xdr:to>
    <xdr:sp macro="" textlink="">
      <xdr:nvSpPr>
        <xdr:cNvPr id="14" name="순서도: 대조 13">
          <a:extLst>
            <a:ext uri="{FF2B5EF4-FFF2-40B4-BE49-F238E27FC236}">
              <a16:creationId xmlns:a16="http://schemas.microsoft.com/office/drawing/2014/main" id="{DB618419-99A3-4900-8150-088207144DCA}"/>
            </a:ext>
          </a:extLst>
        </xdr:cNvPr>
        <xdr:cNvSpPr/>
      </xdr:nvSpPr>
      <xdr:spPr>
        <a:xfrm>
          <a:off x="3375833" y="2723356"/>
          <a:ext cx="150053" cy="288734"/>
        </a:xfrm>
        <a:prstGeom prst="flowChartCollat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23028</xdr:colOff>
      <xdr:row>6</xdr:row>
      <xdr:rowOff>215900</xdr:rowOff>
    </xdr:from>
    <xdr:to>
      <xdr:col>23</xdr:col>
      <xdr:colOff>21484</xdr:colOff>
      <xdr:row>12</xdr:row>
      <xdr:rowOff>11681</xdr:rowOff>
    </xdr:to>
    <xdr:sp macro="" textlink="">
      <xdr:nvSpPr>
        <xdr:cNvPr id="15" name="자유형: 도형 14">
          <a:extLst>
            <a:ext uri="{FF2B5EF4-FFF2-40B4-BE49-F238E27FC236}">
              <a16:creationId xmlns:a16="http://schemas.microsoft.com/office/drawing/2014/main" id="{B6BD2455-C037-4187-A933-633C3EC164E7}"/>
            </a:ext>
          </a:extLst>
        </xdr:cNvPr>
        <xdr:cNvSpPr/>
      </xdr:nvSpPr>
      <xdr:spPr>
        <a:xfrm flipV="1">
          <a:off x="4137828" y="1511300"/>
          <a:ext cx="1141456" cy="1091181"/>
        </a:xfrm>
        <a:custGeom>
          <a:avLst/>
          <a:gdLst>
            <a:gd name="connsiteX0" fmla="*/ 0 w 233265"/>
            <a:gd name="connsiteY0" fmla="*/ 0 h 2011914"/>
            <a:gd name="connsiteX1" fmla="*/ 0 w 233265"/>
            <a:gd name="connsiteY1" fmla="*/ 2011914 h 2011914"/>
            <a:gd name="connsiteX2" fmla="*/ 233265 w 233265"/>
            <a:gd name="connsiteY2" fmla="*/ 2011914 h 201191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33265" h="2011914">
              <a:moveTo>
                <a:pt x="0" y="0"/>
              </a:moveTo>
              <a:lnTo>
                <a:pt x="0" y="2011914"/>
              </a:lnTo>
              <a:lnTo>
                <a:pt x="233265" y="2011914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23</xdr:col>
      <xdr:colOff>21484</xdr:colOff>
      <xdr:row>6</xdr:row>
      <xdr:rowOff>40740</xdr:rowOff>
    </xdr:from>
    <xdr:to>
      <xdr:col>28</xdr:col>
      <xdr:colOff>9525</xdr:colOff>
      <xdr:row>7</xdr:row>
      <xdr:rowOff>183269</xdr:rowOff>
    </xdr:to>
    <xdr:sp macro="" textlink="">
      <xdr:nvSpPr>
        <xdr:cNvPr id="16" name="화살표: 오각형 15">
          <a:extLst>
            <a:ext uri="{FF2B5EF4-FFF2-40B4-BE49-F238E27FC236}">
              <a16:creationId xmlns:a16="http://schemas.microsoft.com/office/drawing/2014/main" id="{38AE08F0-F66E-4905-B9B1-A402B357F228}"/>
            </a:ext>
          </a:extLst>
        </xdr:cNvPr>
        <xdr:cNvSpPr/>
      </xdr:nvSpPr>
      <xdr:spPr>
        <a:xfrm>
          <a:off x="5279284" y="1336140"/>
          <a:ext cx="1131041" cy="358429"/>
        </a:xfrm>
        <a:prstGeom prst="homePlate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ko-KR" altLang="en-US" sz="1400"/>
            <a:t>생활  용수</a:t>
          </a:r>
        </a:p>
      </xdr:txBody>
    </xdr:sp>
    <xdr:clientData/>
  </xdr:twoCellAnchor>
  <xdr:twoCellAnchor>
    <xdr:from>
      <xdr:col>20</xdr:col>
      <xdr:colOff>88341</xdr:colOff>
      <xdr:row>6</xdr:row>
      <xdr:rowOff>55781</xdr:rowOff>
    </xdr:from>
    <xdr:to>
      <xdr:col>21</xdr:col>
      <xdr:colOff>179522</xdr:colOff>
      <xdr:row>8</xdr:row>
      <xdr:rowOff>16260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2E72ED4C-5602-44F0-810C-59841C00A009}"/>
            </a:ext>
          </a:extLst>
        </xdr:cNvPr>
        <xdr:cNvGrpSpPr/>
      </xdr:nvGrpSpPr>
      <xdr:grpSpPr>
        <a:xfrm>
          <a:off x="4587893" y="1406599"/>
          <a:ext cx="322668" cy="410752"/>
          <a:chOff x="5522604" y="4026411"/>
          <a:chExt cx="322713" cy="334655"/>
        </a:xfrm>
      </xdr:grpSpPr>
      <xdr:sp macro="" textlink="">
        <xdr:nvSpPr>
          <xdr:cNvPr id="18" name="순서도: 연결자 17">
            <a:extLst>
              <a:ext uri="{FF2B5EF4-FFF2-40B4-BE49-F238E27FC236}">
                <a16:creationId xmlns:a16="http://schemas.microsoft.com/office/drawing/2014/main" id="{710F4D39-EB78-C98F-8393-4033C32BE0C8}"/>
              </a:ext>
            </a:extLst>
          </xdr:cNvPr>
          <xdr:cNvSpPr/>
        </xdr:nvSpPr>
        <xdr:spPr>
          <a:xfrm>
            <a:off x="5522604" y="4026411"/>
            <a:ext cx="322713" cy="334655"/>
          </a:xfrm>
          <a:prstGeom prst="flowChartConnector">
            <a:avLst/>
          </a:prstGeom>
          <a:noFill/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9" name="순서도: 연결자 18">
            <a:extLst>
              <a:ext uri="{FF2B5EF4-FFF2-40B4-BE49-F238E27FC236}">
                <a16:creationId xmlns:a16="http://schemas.microsoft.com/office/drawing/2014/main" id="{67F7FBF0-A065-ED5B-B8C9-E3AFB31F4A73}"/>
              </a:ext>
            </a:extLst>
          </xdr:cNvPr>
          <xdr:cNvSpPr/>
        </xdr:nvSpPr>
        <xdr:spPr>
          <a:xfrm>
            <a:off x="5619228" y="4049743"/>
            <a:ext cx="132213" cy="134393"/>
          </a:xfrm>
          <a:prstGeom prst="flowChartConnector">
            <a:avLst/>
          </a:prstGeom>
          <a:solidFill>
            <a:schemeClr val="bg1"/>
          </a:solidFill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0" name="순서도: 연결자 19">
            <a:extLst>
              <a:ext uri="{FF2B5EF4-FFF2-40B4-BE49-F238E27FC236}">
                <a16:creationId xmlns:a16="http://schemas.microsoft.com/office/drawing/2014/main" id="{B302CBA3-55E2-D163-1104-0E815604FBE0}"/>
              </a:ext>
            </a:extLst>
          </xdr:cNvPr>
          <xdr:cNvSpPr/>
        </xdr:nvSpPr>
        <xdr:spPr>
          <a:xfrm>
            <a:off x="5622592" y="4207398"/>
            <a:ext cx="129038" cy="131218"/>
          </a:xfrm>
          <a:prstGeom prst="flowChartConnector">
            <a:avLst/>
          </a:prstGeom>
          <a:solidFill>
            <a:schemeClr val="bg1"/>
          </a:solidFill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19391</xdr:colOff>
      <xdr:row>12</xdr:row>
      <xdr:rowOff>11682</xdr:rowOff>
    </xdr:from>
    <xdr:to>
      <xdr:col>13</xdr:col>
      <xdr:colOff>24570</xdr:colOff>
      <xdr:row>15</xdr:row>
      <xdr:rowOff>128912</xdr:rowOff>
    </xdr:to>
    <xdr:sp macro="" textlink="">
      <xdr:nvSpPr>
        <xdr:cNvPr id="21" name="자유형: 도형 20">
          <a:extLst>
            <a:ext uri="{FF2B5EF4-FFF2-40B4-BE49-F238E27FC236}">
              <a16:creationId xmlns:a16="http://schemas.microsoft.com/office/drawing/2014/main" id="{9981351A-7ECD-4B6E-83A6-5F29BD7E58FC}"/>
            </a:ext>
          </a:extLst>
        </xdr:cNvPr>
        <xdr:cNvSpPr/>
      </xdr:nvSpPr>
      <xdr:spPr>
        <a:xfrm>
          <a:off x="1848191" y="2602482"/>
          <a:ext cx="1148179" cy="764930"/>
        </a:xfrm>
        <a:custGeom>
          <a:avLst/>
          <a:gdLst>
            <a:gd name="connsiteX0" fmla="*/ 0 w 1176046"/>
            <a:gd name="connsiteY0" fmla="*/ 0 h 660919"/>
            <a:gd name="connsiteX1" fmla="*/ 0 w 1176046"/>
            <a:gd name="connsiteY1" fmla="*/ 660919 h 660919"/>
            <a:gd name="connsiteX2" fmla="*/ 1176046 w 1176046"/>
            <a:gd name="connsiteY2" fmla="*/ 660919 h 660919"/>
            <a:gd name="connsiteX3" fmla="*/ 1176046 w 1176046"/>
            <a:gd name="connsiteY3" fmla="*/ 0 h 66091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176046" h="660919">
              <a:moveTo>
                <a:pt x="0" y="0"/>
              </a:moveTo>
              <a:lnTo>
                <a:pt x="0" y="660919"/>
              </a:lnTo>
              <a:lnTo>
                <a:pt x="1176046" y="660919"/>
              </a:lnTo>
              <a:lnTo>
                <a:pt x="1176046" y="0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82618</xdr:colOff>
      <xdr:row>14</xdr:row>
      <xdr:rowOff>139714</xdr:rowOff>
    </xdr:from>
    <xdr:to>
      <xdr:col>10</xdr:col>
      <xdr:colOff>180149</xdr:colOff>
      <xdr:row>16</xdr:row>
      <xdr:rowOff>106538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2FFF0626-65AE-497E-8AAD-43C584ADE35F}"/>
            </a:ext>
          </a:extLst>
        </xdr:cNvPr>
        <xdr:cNvGrpSpPr/>
      </xdr:nvGrpSpPr>
      <xdr:grpSpPr>
        <a:xfrm>
          <a:off x="2112020" y="3294798"/>
          <a:ext cx="322668" cy="410747"/>
          <a:chOff x="5522604" y="2931283"/>
          <a:chExt cx="322713" cy="334655"/>
        </a:xfrm>
      </xdr:grpSpPr>
      <xdr:sp macro="" textlink="">
        <xdr:nvSpPr>
          <xdr:cNvPr id="23" name="순서도: 연결자 22">
            <a:extLst>
              <a:ext uri="{FF2B5EF4-FFF2-40B4-BE49-F238E27FC236}">
                <a16:creationId xmlns:a16="http://schemas.microsoft.com/office/drawing/2014/main" id="{BCD5C691-F799-5F0B-DEF3-D7EBDCDACBAB}"/>
              </a:ext>
            </a:extLst>
          </xdr:cNvPr>
          <xdr:cNvSpPr/>
        </xdr:nvSpPr>
        <xdr:spPr>
          <a:xfrm>
            <a:off x="5522604" y="2931283"/>
            <a:ext cx="322713" cy="334655"/>
          </a:xfrm>
          <a:prstGeom prst="flowChartConnector">
            <a:avLst/>
          </a:prstGeom>
          <a:noFill/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4" name="순서도: 연결자 23">
            <a:extLst>
              <a:ext uri="{FF2B5EF4-FFF2-40B4-BE49-F238E27FC236}">
                <a16:creationId xmlns:a16="http://schemas.microsoft.com/office/drawing/2014/main" id="{1214F889-699F-9A3D-FAA8-8D224AC7D25F}"/>
              </a:ext>
            </a:extLst>
          </xdr:cNvPr>
          <xdr:cNvSpPr/>
        </xdr:nvSpPr>
        <xdr:spPr>
          <a:xfrm>
            <a:off x="5619228" y="2954598"/>
            <a:ext cx="132213" cy="134393"/>
          </a:xfrm>
          <a:prstGeom prst="flowChartConnector">
            <a:avLst/>
          </a:prstGeom>
          <a:solidFill>
            <a:schemeClr val="bg1"/>
          </a:solidFill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" name="순서도: 연결자 24">
            <a:extLst>
              <a:ext uri="{FF2B5EF4-FFF2-40B4-BE49-F238E27FC236}">
                <a16:creationId xmlns:a16="http://schemas.microsoft.com/office/drawing/2014/main" id="{3AC0DF1D-4A9E-E23D-17FF-D3F1AB1604D9}"/>
              </a:ext>
            </a:extLst>
          </xdr:cNvPr>
          <xdr:cNvSpPr/>
        </xdr:nvSpPr>
        <xdr:spPr>
          <a:xfrm>
            <a:off x="5622592" y="3112259"/>
            <a:ext cx="129038" cy="131218"/>
          </a:xfrm>
          <a:prstGeom prst="flowChartConnector">
            <a:avLst/>
          </a:prstGeom>
          <a:solidFill>
            <a:schemeClr val="bg1"/>
          </a:solidFill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34</xdr:col>
      <xdr:colOff>188517</xdr:colOff>
      <xdr:row>11</xdr:row>
      <xdr:rowOff>208011</xdr:rowOff>
    </xdr:from>
    <xdr:to>
      <xdr:col>36</xdr:col>
      <xdr:colOff>165099</xdr:colOff>
      <xdr:row>14</xdr:row>
      <xdr:rowOff>18290</xdr:rowOff>
    </xdr:to>
    <xdr:pic>
      <xdr:nvPicPr>
        <xdr:cNvPr id="26" name="그래픽 25" descr="왼쪽 화살표가 있는 원 단색으로 채워진">
          <a:extLst>
            <a:ext uri="{FF2B5EF4-FFF2-40B4-BE49-F238E27FC236}">
              <a16:creationId xmlns:a16="http://schemas.microsoft.com/office/drawing/2014/main" id="{CD5D836D-5E01-48B3-AB13-579A9B807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10800000">
          <a:off x="7960917" y="2582911"/>
          <a:ext cx="433782" cy="457979"/>
        </a:xfrm>
        <a:prstGeom prst="rect">
          <a:avLst/>
        </a:prstGeom>
      </xdr:spPr>
    </xdr:pic>
    <xdr:clientData/>
  </xdr:twoCellAnchor>
  <xdr:twoCellAnchor>
    <xdr:from>
      <xdr:col>34</xdr:col>
      <xdr:colOff>204780</xdr:colOff>
      <xdr:row>17</xdr:row>
      <xdr:rowOff>211693</xdr:rowOff>
    </xdr:from>
    <xdr:to>
      <xdr:col>36</xdr:col>
      <xdr:colOff>172766</xdr:colOff>
      <xdr:row>20</xdr:row>
      <xdr:rowOff>25733</xdr:rowOff>
    </xdr:to>
    <xdr:pic>
      <xdr:nvPicPr>
        <xdr:cNvPr id="27" name="그래픽 26" descr="왼쪽 화살표가 있는 원 단색으로 채워진">
          <a:extLst>
            <a:ext uri="{FF2B5EF4-FFF2-40B4-BE49-F238E27FC236}">
              <a16:creationId xmlns:a16="http://schemas.microsoft.com/office/drawing/2014/main" id="{D12EE885-D315-4726-8F57-E22344025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0800000">
          <a:off x="7977180" y="3881993"/>
          <a:ext cx="425186" cy="461740"/>
        </a:xfrm>
        <a:prstGeom prst="rect">
          <a:avLst/>
        </a:prstGeom>
      </xdr:spPr>
    </xdr:pic>
    <xdr:clientData/>
  </xdr:twoCellAnchor>
  <xdr:twoCellAnchor>
    <xdr:from>
      <xdr:col>33</xdr:col>
      <xdr:colOff>18402</xdr:colOff>
      <xdr:row>19</xdr:row>
      <xdr:rowOff>6012</xdr:rowOff>
    </xdr:from>
    <xdr:to>
      <xdr:col>35</xdr:col>
      <xdr:colOff>31030</xdr:colOff>
      <xdr:row>19</xdr:row>
      <xdr:rowOff>6012</xdr:rowOff>
    </xdr:to>
    <xdr:sp macro="" textlink="">
      <xdr:nvSpPr>
        <xdr:cNvPr id="28" name="자유형: 도형 27">
          <a:extLst>
            <a:ext uri="{FF2B5EF4-FFF2-40B4-BE49-F238E27FC236}">
              <a16:creationId xmlns:a16="http://schemas.microsoft.com/office/drawing/2014/main" id="{DA253D9C-7D59-471D-9300-4DB3CF138F7C}"/>
            </a:ext>
          </a:extLst>
        </xdr:cNvPr>
        <xdr:cNvSpPr/>
      </xdr:nvSpPr>
      <xdr:spPr>
        <a:xfrm>
          <a:off x="7562202" y="4108112"/>
          <a:ext cx="469828" cy="0"/>
        </a:xfrm>
        <a:custGeom>
          <a:avLst/>
          <a:gdLst>
            <a:gd name="connsiteX0" fmla="*/ 0 w 709515"/>
            <a:gd name="connsiteY0" fmla="*/ 0 h 0"/>
            <a:gd name="connsiteX1" fmla="*/ 709515 w 70951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709515">
              <a:moveTo>
                <a:pt x="0" y="0"/>
              </a:moveTo>
              <a:lnTo>
                <a:pt x="709515" y="0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  <a:tailEnd type="non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8196</xdr:colOff>
      <xdr:row>12</xdr:row>
      <xdr:rowOff>209550</xdr:rowOff>
    </xdr:from>
    <xdr:to>
      <xdr:col>35</xdr:col>
      <xdr:colOff>18099</xdr:colOff>
      <xdr:row>18</xdr:row>
      <xdr:rowOff>209550</xdr:rowOff>
    </xdr:to>
    <xdr:sp macro="" textlink="">
      <xdr:nvSpPr>
        <xdr:cNvPr id="29" name="자유형: 도형 28">
          <a:extLst>
            <a:ext uri="{FF2B5EF4-FFF2-40B4-BE49-F238E27FC236}">
              <a16:creationId xmlns:a16="http://schemas.microsoft.com/office/drawing/2014/main" id="{42BE15D3-90D2-4657-917D-B03923BC2CE9}"/>
            </a:ext>
          </a:extLst>
        </xdr:cNvPr>
        <xdr:cNvSpPr/>
      </xdr:nvSpPr>
      <xdr:spPr>
        <a:xfrm flipV="1">
          <a:off x="7780596" y="2800350"/>
          <a:ext cx="238503" cy="1295400"/>
        </a:xfrm>
        <a:custGeom>
          <a:avLst/>
          <a:gdLst>
            <a:gd name="connsiteX0" fmla="*/ 0 w 233265"/>
            <a:gd name="connsiteY0" fmla="*/ 0 h 2011914"/>
            <a:gd name="connsiteX1" fmla="*/ 0 w 233265"/>
            <a:gd name="connsiteY1" fmla="*/ 2011914 h 2011914"/>
            <a:gd name="connsiteX2" fmla="*/ 233265 w 233265"/>
            <a:gd name="connsiteY2" fmla="*/ 2011914 h 201191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33265" h="2011914">
              <a:moveTo>
                <a:pt x="0" y="0"/>
              </a:moveTo>
              <a:lnTo>
                <a:pt x="0" y="2011914"/>
              </a:lnTo>
              <a:lnTo>
                <a:pt x="233265" y="2011914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  <a:tailEnd type="non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100406</xdr:colOff>
      <xdr:row>19</xdr:row>
      <xdr:rowOff>11384</xdr:rowOff>
    </xdr:from>
    <xdr:to>
      <xdr:col>41</xdr:col>
      <xdr:colOff>9211</xdr:colOff>
      <xdr:row>19</xdr:row>
      <xdr:rowOff>186872</xdr:rowOff>
    </xdr:to>
    <xdr:sp macro="" textlink="">
      <xdr:nvSpPr>
        <xdr:cNvPr id="30" name="자유형: 도형 29">
          <a:extLst>
            <a:ext uri="{FF2B5EF4-FFF2-40B4-BE49-F238E27FC236}">
              <a16:creationId xmlns:a16="http://schemas.microsoft.com/office/drawing/2014/main" id="{9E917FC1-8234-4FCC-8527-9FA9EB577563}"/>
            </a:ext>
          </a:extLst>
        </xdr:cNvPr>
        <xdr:cNvSpPr/>
      </xdr:nvSpPr>
      <xdr:spPr>
        <a:xfrm>
          <a:off x="8330006" y="4113484"/>
          <a:ext cx="1051805" cy="175488"/>
        </a:xfrm>
        <a:custGeom>
          <a:avLst/>
          <a:gdLst>
            <a:gd name="connsiteX0" fmla="*/ 0 w 1838325"/>
            <a:gd name="connsiteY0" fmla="*/ 0 h 0"/>
            <a:gd name="connsiteX1" fmla="*/ 1838325 w 183832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38325">
              <a:moveTo>
                <a:pt x="0" y="0"/>
              </a:moveTo>
              <a:lnTo>
                <a:pt x="1838325" y="0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9211</xdr:colOff>
      <xdr:row>18</xdr:row>
      <xdr:rowOff>71003</xdr:rowOff>
    </xdr:from>
    <xdr:to>
      <xdr:col>49</xdr:col>
      <xdr:colOff>133591</xdr:colOff>
      <xdr:row>19</xdr:row>
      <xdr:rowOff>216707</xdr:rowOff>
    </xdr:to>
    <xdr:sp macro="" textlink="">
      <xdr:nvSpPr>
        <xdr:cNvPr id="31" name="화살표: 오각형 30">
          <a:extLst>
            <a:ext uri="{FF2B5EF4-FFF2-40B4-BE49-F238E27FC236}">
              <a16:creationId xmlns:a16="http://schemas.microsoft.com/office/drawing/2014/main" id="{712A7FC0-0433-4663-9152-D110172F7F27}"/>
            </a:ext>
          </a:extLst>
        </xdr:cNvPr>
        <xdr:cNvSpPr/>
      </xdr:nvSpPr>
      <xdr:spPr>
        <a:xfrm>
          <a:off x="9381811" y="3957203"/>
          <a:ext cx="1953180" cy="361604"/>
        </a:xfrm>
        <a:prstGeom prst="homePlate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en-US" altLang="ko-KR" sz="1400"/>
            <a:t>2B3T &amp; MBP A/B Train</a:t>
          </a:r>
          <a:endParaRPr lang="ko-KR" altLang="en-US" sz="1400"/>
        </a:p>
      </xdr:txBody>
    </xdr:sp>
    <xdr:clientData/>
  </xdr:twoCellAnchor>
  <xdr:twoCellAnchor>
    <xdr:from>
      <xdr:col>36</xdr:col>
      <xdr:colOff>77377</xdr:colOff>
      <xdr:row>13</xdr:row>
      <xdr:rowOff>2482</xdr:rowOff>
    </xdr:from>
    <xdr:to>
      <xdr:col>40</xdr:col>
      <xdr:colOff>226097</xdr:colOff>
      <xdr:row>13</xdr:row>
      <xdr:rowOff>173155</xdr:rowOff>
    </xdr:to>
    <xdr:sp macro="" textlink="">
      <xdr:nvSpPr>
        <xdr:cNvPr id="32" name="자유형: 도형 31">
          <a:extLst>
            <a:ext uri="{FF2B5EF4-FFF2-40B4-BE49-F238E27FC236}">
              <a16:creationId xmlns:a16="http://schemas.microsoft.com/office/drawing/2014/main" id="{47D89848-C591-4AD6-A619-0CF45AFF65DC}"/>
            </a:ext>
          </a:extLst>
        </xdr:cNvPr>
        <xdr:cNvSpPr/>
      </xdr:nvSpPr>
      <xdr:spPr>
        <a:xfrm>
          <a:off x="8306977" y="2809182"/>
          <a:ext cx="1063120" cy="170673"/>
        </a:xfrm>
        <a:custGeom>
          <a:avLst/>
          <a:gdLst>
            <a:gd name="connsiteX0" fmla="*/ 0 w 1838325"/>
            <a:gd name="connsiteY0" fmla="*/ 0 h 0"/>
            <a:gd name="connsiteX1" fmla="*/ 1838325 w 183832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38325">
              <a:moveTo>
                <a:pt x="0" y="0"/>
              </a:moveTo>
              <a:lnTo>
                <a:pt x="1838325" y="0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38</xdr:col>
      <xdr:colOff>6961</xdr:colOff>
      <xdr:row>4</xdr:row>
      <xdr:rowOff>0</xdr:rowOff>
    </xdr:from>
    <xdr:to>
      <xdr:col>41</xdr:col>
      <xdr:colOff>16248</xdr:colOff>
      <xdr:row>12</xdr:row>
      <xdr:rowOff>209548</xdr:rowOff>
    </xdr:to>
    <xdr:sp macro="" textlink="">
      <xdr:nvSpPr>
        <xdr:cNvPr id="33" name="자유형: 도형 32">
          <a:extLst>
            <a:ext uri="{FF2B5EF4-FFF2-40B4-BE49-F238E27FC236}">
              <a16:creationId xmlns:a16="http://schemas.microsoft.com/office/drawing/2014/main" id="{427E0058-29A9-4615-811D-807F2735883D}"/>
            </a:ext>
          </a:extLst>
        </xdr:cNvPr>
        <xdr:cNvSpPr/>
      </xdr:nvSpPr>
      <xdr:spPr>
        <a:xfrm flipV="1">
          <a:off x="8693761" y="863600"/>
          <a:ext cx="695087" cy="1936748"/>
        </a:xfrm>
        <a:custGeom>
          <a:avLst/>
          <a:gdLst>
            <a:gd name="connsiteX0" fmla="*/ 0 w 233265"/>
            <a:gd name="connsiteY0" fmla="*/ 0 h 2011914"/>
            <a:gd name="connsiteX1" fmla="*/ 0 w 233265"/>
            <a:gd name="connsiteY1" fmla="*/ 2011914 h 2011914"/>
            <a:gd name="connsiteX2" fmla="*/ 233265 w 233265"/>
            <a:gd name="connsiteY2" fmla="*/ 2011914 h 201191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33265" h="2011914">
              <a:moveTo>
                <a:pt x="0" y="0"/>
              </a:moveTo>
              <a:lnTo>
                <a:pt x="0" y="2011914"/>
              </a:lnTo>
              <a:lnTo>
                <a:pt x="233265" y="2011914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7194</xdr:colOff>
      <xdr:row>12</xdr:row>
      <xdr:rowOff>47324</xdr:rowOff>
    </xdr:from>
    <xdr:to>
      <xdr:col>49</xdr:col>
      <xdr:colOff>112992</xdr:colOff>
      <xdr:row>13</xdr:row>
      <xdr:rowOff>193028</xdr:rowOff>
    </xdr:to>
    <xdr:sp macro="" textlink="">
      <xdr:nvSpPr>
        <xdr:cNvPr id="34" name="화살표: 오각형 33">
          <a:extLst>
            <a:ext uri="{FF2B5EF4-FFF2-40B4-BE49-F238E27FC236}">
              <a16:creationId xmlns:a16="http://schemas.microsoft.com/office/drawing/2014/main" id="{21019671-D0D8-456C-8285-61E2066224AD}"/>
            </a:ext>
          </a:extLst>
        </xdr:cNvPr>
        <xdr:cNvSpPr/>
      </xdr:nvSpPr>
      <xdr:spPr>
        <a:xfrm>
          <a:off x="9379794" y="2638124"/>
          <a:ext cx="1934598" cy="361604"/>
        </a:xfrm>
        <a:prstGeom prst="homePlate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ko-KR" altLang="en-US" sz="1400"/>
            <a:t>기타</a:t>
          </a:r>
          <a:r>
            <a:rPr lang="en-US" altLang="ko-KR" sz="1400"/>
            <a:t>(</a:t>
          </a:r>
          <a:r>
            <a:rPr lang="ko-KR" altLang="en-US" sz="1400"/>
            <a:t>소방</a:t>
          </a:r>
          <a:r>
            <a:rPr lang="en-US" altLang="ko-KR" sz="1400"/>
            <a:t>, </a:t>
          </a:r>
          <a:r>
            <a:rPr lang="ko-KR" altLang="en-US" sz="1400"/>
            <a:t>청소수</a:t>
          </a:r>
          <a:r>
            <a:rPr lang="en-US" altLang="ko-KR" sz="1400"/>
            <a:t>)</a:t>
          </a:r>
          <a:endParaRPr lang="ko-KR" altLang="en-US" sz="1400"/>
        </a:p>
      </xdr:txBody>
    </xdr:sp>
    <xdr:clientData/>
  </xdr:twoCellAnchor>
  <xdr:twoCellAnchor>
    <xdr:from>
      <xdr:col>41</xdr:col>
      <xdr:colOff>29229</xdr:colOff>
      <xdr:row>3</xdr:row>
      <xdr:rowOff>25542</xdr:rowOff>
    </xdr:from>
    <xdr:to>
      <xdr:col>49</xdr:col>
      <xdr:colOff>122381</xdr:colOff>
      <xdr:row>4</xdr:row>
      <xdr:rowOff>180456</xdr:rowOff>
    </xdr:to>
    <xdr:sp macro="" textlink="">
      <xdr:nvSpPr>
        <xdr:cNvPr id="35" name="화살표: 오각형 34">
          <a:extLst>
            <a:ext uri="{FF2B5EF4-FFF2-40B4-BE49-F238E27FC236}">
              <a16:creationId xmlns:a16="http://schemas.microsoft.com/office/drawing/2014/main" id="{D1C68E20-67D9-4984-A9F2-79D632C39B6F}"/>
            </a:ext>
          </a:extLst>
        </xdr:cNvPr>
        <xdr:cNvSpPr/>
      </xdr:nvSpPr>
      <xdr:spPr>
        <a:xfrm>
          <a:off x="9401829" y="673242"/>
          <a:ext cx="1921952" cy="370814"/>
        </a:xfrm>
        <a:prstGeom prst="homePlate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en-US" altLang="ko-KR" sz="1400"/>
            <a:t>1</a:t>
          </a:r>
          <a:r>
            <a:rPr lang="ko-KR" altLang="en-US" sz="1400"/>
            <a:t>차 냉각수 </a:t>
          </a:r>
          <a:r>
            <a:rPr lang="en-US" altLang="ko-KR" sz="1400"/>
            <a:t>C/Tower</a:t>
          </a:r>
          <a:endParaRPr lang="ko-KR" altLang="en-US" sz="1400"/>
        </a:p>
      </xdr:txBody>
    </xdr:sp>
    <xdr:clientData/>
  </xdr:twoCellAnchor>
  <xdr:twoCellAnchor>
    <xdr:from>
      <xdr:col>41</xdr:col>
      <xdr:colOff>19466</xdr:colOff>
      <xdr:row>6</xdr:row>
      <xdr:rowOff>11298</xdr:rowOff>
    </xdr:from>
    <xdr:to>
      <xdr:col>49</xdr:col>
      <xdr:colOff>121114</xdr:colOff>
      <xdr:row>7</xdr:row>
      <xdr:rowOff>210729</xdr:rowOff>
    </xdr:to>
    <xdr:sp macro="" textlink="">
      <xdr:nvSpPr>
        <xdr:cNvPr id="36" name="화살표: 오각형 35">
          <a:extLst>
            <a:ext uri="{FF2B5EF4-FFF2-40B4-BE49-F238E27FC236}">
              <a16:creationId xmlns:a16="http://schemas.microsoft.com/office/drawing/2014/main" id="{017A3021-69DE-4A52-86D8-39B1A739E6BC}"/>
            </a:ext>
          </a:extLst>
        </xdr:cNvPr>
        <xdr:cNvSpPr/>
      </xdr:nvSpPr>
      <xdr:spPr>
        <a:xfrm>
          <a:off x="9392066" y="1306698"/>
          <a:ext cx="1930448" cy="415331"/>
        </a:xfrm>
        <a:prstGeom prst="homePlate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ko-KR" altLang="en-US" sz="1400"/>
            <a:t>대기 블로우다운 탱크</a:t>
          </a:r>
        </a:p>
      </xdr:txBody>
    </xdr:sp>
    <xdr:clientData/>
  </xdr:twoCellAnchor>
  <xdr:twoCellAnchor>
    <xdr:from>
      <xdr:col>41</xdr:col>
      <xdr:colOff>19471</xdr:colOff>
      <xdr:row>9</xdr:row>
      <xdr:rowOff>28177</xdr:rowOff>
    </xdr:from>
    <xdr:to>
      <xdr:col>49</xdr:col>
      <xdr:colOff>124208</xdr:colOff>
      <xdr:row>10</xdr:row>
      <xdr:rowOff>202115</xdr:rowOff>
    </xdr:to>
    <xdr:sp macro="" textlink="">
      <xdr:nvSpPr>
        <xdr:cNvPr id="37" name="화살표: 오각형 36">
          <a:extLst>
            <a:ext uri="{FF2B5EF4-FFF2-40B4-BE49-F238E27FC236}">
              <a16:creationId xmlns:a16="http://schemas.microsoft.com/office/drawing/2014/main" id="{AF09C1DF-339F-425E-AB8E-DF10E0F6C783}"/>
            </a:ext>
          </a:extLst>
        </xdr:cNvPr>
        <xdr:cNvSpPr/>
      </xdr:nvSpPr>
      <xdr:spPr>
        <a:xfrm>
          <a:off x="9392071" y="1971277"/>
          <a:ext cx="1933537" cy="389838"/>
        </a:xfrm>
        <a:prstGeom prst="homePlate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r>
            <a:rPr lang="en-US" altLang="ko-KR" sz="1400">
              <a:solidFill>
                <a:schemeClr val="lt1"/>
              </a:solidFill>
              <a:effectLst/>
              <a:latin typeface="+mn-ea"/>
              <a:ea typeface="+mn-ea"/>
              <a:cs typeface="+mn-cs"/>
            </a:rPr>
            <a:t>WWT SCRUBBER</a:t>
          </a:r>
          <a:endParaRPr lang="ko-KR" altLang="ko-KR" sz="1400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38</xdr:col>
      <xdr:colOff>29874</xdr:colOff>
      <xdr:row>10</xdr:row>
      <xdr:rowOff>10222</xdr:rowOff>
    </xdr:from>
    <xdr:to>
      <xdr:col>41</xdr:col>
      <xdr:colOff>27007</xdr:colOff>
      <xdr:row>10</xdr:row>
      <xdr:rowOff>86339</xdr:rowOff>
    </xdr:to>
    <xdr:sp macro="" textlink="">
      <xdr:nvSpPr>
        <xdr:cNvPr id="38" name="자유형: 도형 37">
          <a:extLst>
            <a:ext uri="{FF2B5EF4-FFF2-40B4-BE49-F238E27FC236}">
              <a16:creationId xmlns:a16="http://schemas.microsoft.com/office/drawing/2014/main" id="{09D06479-FC9E-4C20-975E-0F90972AD170}"/>
            </a:ext>
          </a:extLst>
        </xdr:cNvPr>
        <xdr:cNvSpPr/>
      </xdr:nvSpPr>
      <xdr:spPr>
        <a:xfrm>
          <a:off x="8716674" y="2169222"/>
          <a:ext cx="682933" cy="76117"/>
        </a:xfrm>
        <a:custGeom>
          <a:avLst/>
          <a:gdLst>
            <a:gd name="connsiteX0" fmla="*/ 0 w 1838325"/>
            <a:gd name="connsiteY0" fmla="*/ 0 h 0"/>
            <a:gd name="connsiteX1" fmla="*/ 1838325 w 183832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38325">
              <a:moveTo>
                <a:pt x="0" y="0"/>
              </a:moveTo>
              <a:lnTo>
                <a:pt x="1838325" y="0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38</xdr:col>
      <xdr:colOff>17174</xdr:colOff>
      <xdr:row>7</xdr:row>
      <xdr:rowOff>9550</xdr:rowOff>
    </xdr:from>
    <xdr:to>
      <xdr:col>41</xdr:col>
      <xdr:colOff>17568</xdr:colOff>
      <xdr:row>8</xdr:row>
      <xdr:rowOff>11147</xdr:rowOff>
    </xdr:to>
    <xdr:sp macro="" textlink="">
      <xdr:nvSpPr>
        <xdr:cNvPr id="39" name="자유형: 도형 38">
          <a:extLst>
            <a:ext uri="{FF2B5EF4-FFF2-40B4-BE49-F238E27FC236}">
              <a16:creationId xmlns:a16="http://schemas.microsoft.com/office/drawing/2014/main" id="{BF25B429-888E-40CA-A16C-1F8DFB3D5547}"/>
            </a:ext>
          </a:extLst>
        </xdr:cNvPr>
        <xdr:cNvSpPr/>
      </xdr:nvSpPr>
      <xdr:spPr>
        <a:xfrm>
          <a:off x="8703974" y="1520850"/>
          <a:ext cx="686194" cy="217497"/>
        </a:xfrm>
        <a:custGeom>
          <a:avLst/>
          <a:gdLst>
            <a:gd name="connsiteX0" fmla="*/ 0 w 1838325"/>
            <a:gd name="connsiteY0" fmla="*/ 0 h 0"/>
            <a:gd name="connsiteX1" fmla="*/ 1838325 w 183832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38325">
              <a:moveTo>
                <a:pt x="0" y="0"/>
              </a:moveTo>
              <a:lnTo>
                <a:pt x="1838325" y="0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191695</xdr:colOff>
      <xdr:row>10</xdr:row>
      <xdr:rowOff>46591</xdr:rowOff>
    </xdr:from>
    <xdr:to>
      <xdr:col>18</xdr:col>
      <xdr:colOff>113148</xdr:colOff>
      <xdr:row>11</xdr:row>
      <xdr:rowOff>115665</xdr:rowOff>
    </xdr:to>
    <xdr:sp macro="" textlink="">
      <xdr:nvSpPr>
        <xdr:cNvPr id="40" name="순서도: 대조 39">
          <a:extLst>
            <a:ext uri="{FF2B5EF4-FFF2-40B4-BE49-F238E27FC236}">
              <a16:creationId xmlns:a16="http://schemas.microsoft.com/office/drawing/2014/main" id="{44A5A874-0B36-444F-8D64-E8AD0AA0FCB3}"/>
            </a:ext>
          </a:extLst>
        </xdr:cNvPr>
        <xdr:cNvSpPr/>
      </xdr:nvSpPr>
      <xdr:spPr>
        <a:xfrm>
          <a:off x="4077895" y="2205591"/>
          <a:ext cx="150053" cy="284974"/>
        </a:xfrm>
        <a:prstGeom prst="flowChartCollat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38</xdr:col>
      <xdr:colOff>122819</xdr:colOff>
      <xdr:row>3</xdr:row>
      <xdr:rowOff>117185</xdr:rowOff>
    </xdr:from>
    <xdr:to>
      <xdr:col>39</xdr:col>
      <xdr:colOff>139850</xdr:colOff>
      <xdr:row>4</xdr:row>
      <xdr:rowOff>87515</xdr:rowOff>
    </xdr:to>
    <xdr:sp macro="" textlink="">
      <xdr:nvSpPr>
        <xdr:cNvPr id="41" name="순서도: 대조 40">
          <a:extLst>
            <a:ext uri="{FF2B5EF4-FFF2-40B4-BE49-F238E27FC236}">
              <a16:creationId xmlns:a16="http://schemas.microsoft.com/office/drawing/2014/main" id="{509D0936-AE5F-4BEA-8D7E-71F79CB698D7}"/>
            </a:ext>
          </a:extLst>
        </xdr:cNvPr>
        <xdr:cNvSpPr/>
      </xdr:nvSpPr>
      <xdr:spPr>
        <a:xfrm rot="16200000">
          <a:off x="8839320" y="735184"/>
          <a:ext cx="186230" cy="245631"/>
        </a:xfrm>
        <a:prstGeom prst="flowChartCollat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38</xdr:col>
      <xdr:colOff>130992</xdr:colOff>
      <xdr:row>12</xdr:row>
      <xdr:rowOff>112573</xdr:rowOff>
    </xdr:from>
    <xdr:to>
      <xdr:col>39</xdr:col>
      <xdr:colOff>161136</xdr:colOff>
      <xdr:row>13</xdr:row>
      <xdr:rowOff>105601</xdr:rowOff>
    </xdr:to>
    <xdr:sp macro="" textlink="">
      <xdr:nvSpPr>
        <xdr:cNvPr id="42" name="순서도: 대조 41">
          <a:extLst>
            <a:ext uri="{FF2B5EF4-FFF2-40B4-BE49-F238E27FC236}">
              <a16:creationId xmlns:a16="http://schemas.microsoft.com/office/drawing/2014/main" id="{585BAE1D-308B-4CF4-834D-49ED05858902}"/>
            </a:ext>
          </a:extLst>
        </xdr:cNvPr>
        <xdr:cNvSpPr/>
      </xdr:nvSpPr>
      <xdr:spPr>
        <a:xfrm rot="16200000">
          <a:off x="8842700" y="2678465"/>
          <a:ext cx="208928" cy="258744"/>
        </a:xfrm>
        <a:prstGeom prst="flowChartCollat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67996</xdr:colOff>
      <xdr:row>34</xdr:row>
      <xdr:rowOff>67054</xdr:rowOff>
    </xdr:from>
    <xdr:to>
      <xdr:col>33</xdr:col>
      <xdr:colOff>9022</xdr:colOff>
      <xdr:row>40</xdr:row>
      <xdr:rowOff>39317</xdr:rowOff>
    </xdr:to>
    <xdr:grpSp>
      <xdr:nvGrpSpPr>
        <xdr:cNvPr id="43" name="그룹 42">
          <a:extLst>
            <a:ext uri="{FF2B5EF4-FFF2-40B4-BE49-F238E27FC236}">
              <a16:creationId xmlns:a16="http://schemas.microsoft.com/office/drawing/2014/main" id="{ABC74718-22F3-48E5-8270-E8E162FA4F5A}"/>
            </a:ext>
          </a:extLst>
        </xdr:cNvPr>
        <xdr:cNvGrpSpPr/>
      </xdr:nvGrpSpPr>
      <xdr:grpSpPr>
        <a:xfrm>
          <a:off x="5918366" y="7718515"/>
          <a:ext cx="1523331" cy="1326257"/>
          <a:chOff x="12690142" y="4201026"/>
          <a:chExt cx="1587333" cy="1082342"/>
        </a:xfrm>
      </xdr:grpSpPr>
      <xdr:sp macro="" textlink="">
        <xdr:nvSpPr>
          <xdr:cNvPr id="44" name="자유형: 도형 43">
            <a:extLst>
              <a:ext uri="{FF2B5EF4-FFF2-40B4-BE49-F238E27FC236}">
                <a16:creationId xmlns:a16="http://schemas.microsoft.com/office/drawing/2014/main" id="{9AAAF3F3-DC98-7B74-2BE2-B1D035492121}"/>
              </a:ext>
            </a:extLst>
          </xdr:cNvPr>
          <xdr:cNvSpPr/>
        </xdr:nvSpPr>
        <xdr:spPr>
          <a:xfrm>
            <a:off x="12690142" y="4201026"/>
            <a:ext cx="1587333" cy="1082342"/>
          </a:xfrm>
          <a:custGeom>
            <a:avLst/>
            <a:gdLst>
              <a:gd name="connsiteX0" fmla="*/ 0 w 2752725"/>
              <a:gd name="connsiteY0" fmla="*/ 0 h 1762125"/>
              <a:gd name="connsiteX1" fmla="*/ 0 w 2752725"/>
              <a:gd name="connsiteY1" fmla="*/ 1762125 h 1762125"/>
              <a:gd name="connsiteX2" fmla="*/ 2752725 w 2752725"/>
              <a:gd name="connsiteY2" fmla="*/ 1762125 h 1762125"/>
              <a:gd name="connsiteX3" fmla="*/ 2752725 w 2752725"/>
              <a:gd name="connsiteY3" fmla="*/ 0 h 1762125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2752725" h="1762125">
                <a:moveTo>
                  <a:pt x="0" y="0"/>
                </a:moveTo>
                <a:lnTo>
                  <a:pt x="0" y="1762125"/>
                </a:lnTo>
                <a:lnTo>
                  <a:pt x="2752725" y="1762125"/>
                </a:lnTo>
                <a:lnTo>
                  <a:pt x="2752725" y="0"/>
                </a:lnTo>
              </a:path>
            </a:pathLst>
          </a:custGeom>
          <a:noFill/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5" name="직사각형 44">
            <a:extLst>
              <a:ext uri="{FF2B5EF4-FFF2-40B4-BE49-F238E27FC236}">
                <a16:creationId xmlns:a16="http://schemas.microsoft.com/office/drawing/2014/main" id="{00F8B124-F47F-7C4C-188A-D55E7878F4A3}"/>
              </a:ext>
            </a:extLst>
          </xdr:cNvPr>
          <xdr:cNvSpPr/>
        </xdr:nvSpPr>
        <xdr:spPr>
          <a:xfrm>
            <a:off x="12713625" y="4437633"/>
            <a:ext cx="1534026" cy="819492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en-US" altLang="ko-KR" sz="1100" b="1">
                <a:latin typeface="+mn-ea"/>
                <a:ea typeface="+mn-ea"/>
              </a:rPr>
              <a:t>DEMI WATER TANK</a:t>
            </a:r>
            <a:endParaRPr lang="ko-KR" altLang="en-US" sz="1100" b="1"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49</xdr:col>
      <xdr:colOff>116254</xdr:colOff>
      <xdr:row>19</xdr:row>
      <xdr:rowOff>6012</xdr:rowOff>
    </xdr:from>
    <xdr:to>
      <xdr:col>55</xdr:col>
      <xdr:colOff>221168</xdr:colOff>
      <xdr:row>19</xdr:row>
      <xdr:rowOff>207897</xdr:rowOff>
    </xdr:to>
    <xdr:sp macro="" textlink="">
      <xdr:nvSpPr>
        <xdr:cNvPr id="46" name="자유형: 도형 45">
          <a:extLst>
            <a:ext uri="{FF2B5EF4-FFF2-40B4-BE49-F238E27FC236}">
              <a16:creationId xmlns:a16="http://schemas.microsoft.com/office/drawing/2014/main" id="{BE2A1603-39A0-4EF4-BE39-5007E57D514D}"/>
            </a:ext>
          </a:extLst>
        </xdr:cNvPr>
        <xdr:cNvSpPr/>
      </xdr:nvSpPr>
      <xdr:spPr>
        <a:xfrm>
          <a:off x="11317654" y="4108112"/>
          <a:ext cx="1476514" cy="201885"/>
        </a:xfrm>
        <a:custGeom>
          <a:avLst/>
          <a:gdLst>
            <a:gd name="connsiteX0" fmla="*/ 0 w 1838325"/>
            <a:gd name="connsiteY0" fmla="*/ 0 h 0"/>
            <a:gd name="connsiteX1" fmla="*/ 1838325 w 183832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38325">
              <a:moveTo>
                <a:pt x="0" y="0"/>
              </a:moveTo>
              <a:lnTo>
                <a:pt x="1838325" y="0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55</xdr:col>
      <xdr:colOff>220482</xdr:colOff>
      <xdr:row>18</xdr:row>
      <xdr:rowOff>123824</xdr:rowOff>
    </xdr:from>
    <xdr:to>
      <xdr:col>62</xdr:col>
      <xdr:colOff>107949</xdr:colOff>
      <xdr:row>19</xdr:row>
      <xdr:rowOff>120650</xdr:rowOff>
    </xdr:to>
    <xdr:sp macro="" textlink="">
      <xdr:nvSpPr>
        <xdr:cNvPr id="47" name="화살표: 오각형 46">
          <a:extLst>
            <a:ext uri="{FF2B5EF4-FFF2-40B4-BE49-F238E27FC236}">
              <a16:creationId xmlns:a16="http://schemas.microsoft.com/office/drawing/2014/main" id="{C67DDCD4-EDE4-4E93-A711-71F6A7FF6E87}"/>
            </a:ext>
          </a:extLst>
        </xdr:cNvPr>
        <xdr:cNvSpPr/>
      </xdr:nvSpPr>
      <xdr:spPr>
        <a:xfrm>
          <a:off x="12793482" y="4010024"/>
          <a:ext cx="1487667" cy="212726"/>
        </a:xfrm>
        <a:prstGeom prst="homePlate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en-US" altLang="ko-KR" sz="1400"/>
            <a:t>to DEMI</a:t>
          </a:r>
          <a:r>
            <a:rPr lang="en-US" altLang="ko-KR" sz="1400" baseline="0"/>
            <a:t> TANK  </a:t>
          </a:r>
          <a:r>
            <a:rPr lang="en-US" altLang="ko-KR" sz="1400" b="1" baseline="0">
              <a:latin typeface="돋움" panose="020B0600000101010101" pitchFamily="50" charset="-127"/>
              <a:ea typeface="돋움" panose="020B0600000101010101" pitchFamily="50" charset="-127"/>
            </a:rPr>
            <a:t>①</a:t>
          </a:r>
          <a:r>
            <a:rPr lang="en-US" altLang="ko-KR" sz="1400" baseline="0">
              <a:latin typeface="돋움" panose="020B0600000101010101" pitchFamily="50" charset="-127"/>
              <a:ea typeface="돋움" panose="020B0600000101010101" pitchFamily="50" charset="-127"/>
            </a:rPr>
            <a:t> </a:t>
          </a:r>
          <a:endParaRPr lang="ko-KR" altLang="en-US" sz="1400"/>
        </a:p>
      </xdr:txBody>
    </xdr:sp>
    <xdr:clientData/>
  </xdr:twoCellAnchor>
  <xdr:twoCellAnchor>
    <xdr:from>
      <xdr:col>51</xdr:col>
      <xdr:colOff>75122</xdr:colOff>
      <xdr:row>18</xdr:row>
      <xdr:rowOff>46423</xdr:rowOff>
    </xdr:from>
    <xdr:to>
      <xdr:col>52</xdr:col>
      <xdr:colOff>182523</xdr:colOff>
      <xdr:row>20</xdr:row>
      <xdr:rowOff>6897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11F5161F-3CF7-4E6E-B673-EB896B8F7EDE}"/>
            </a:ext>
          </a:extLst>
        </xdr:cNvPr>
        <xdr:cNvGrpSpPr/>
      </xdr:nvGrpSpPr>
      <xdr:grpSpPr>
        <a:xfrm>
          <a:off x="11557077" y="4102053"/>
          <a:ext cx="329362" cy="410746"/>
          <a:chOff x="5522604" y="2931283"/>
          <a:chExt cx="322713" cy="334655"/>
        </a:xfrm>
      </xdr:grpSpPr>
      <xdr:sp macro="" textlink="">
        <xdr:nvSpPr>
          <xdr:cNvPr id="49" name="순서도: 연결자 48">
            <a:extLst>
              <a:ext uri="{FF2B5EF4-FFF2-40B4-BE49-F238E27FC236}">
                <a16:creationId xmlns:a16="http://schemas.microsoft.com/office/drawing/2014/main" id="{5A19FC73-C02C-E08F-E607-C8424B61F055}"/>
              </a:ext>
            </a:extLst>
          </xdr:cNvPr>
          <xdr:cNvSpPr/>
        </xdr:nvSpPr>
        <xdr:spPr>
          <a:xfrm>
            <a:off x="5522604" y="2931283"/>
            <a:ext cx="322713" cy="334655"/>
          </a:xfrm>
          <a:prstGeom prst="flowChartConnector">
            <a:avLst/>
          </a:prstGeom>
          <a:noFill/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0" name="순서도: 연결자 49">
            <a:extLst>
              <a:ext uri="{FF2B5EF4-FFF2-40B4-BE49-F238E27FC236}">
                <a16:creationId xmlns:a16="http://schemas.microsoft.com/office/drawing/2014/main" id="{B0C2925D-18A5-451A-B899-42E459D07BD8}"/>
              </a:ext>
            </a:extLst>
          </xdr:cNvPr>
          <xdr:cNvSpPr/>
        </xdr:nvSpPr>
        <xdr:spPr>
          <a:xfrm>
            <a:off x="5619228" y="2954598"/>
            <a:ext cx="132213" cy="134393"/>
          </a:xfrm>
          <a:prstGeom prst="flowChartConnector">
            <a:avLst/>
          </a:prstGeom>
          <a:solidFill>
            <a:schemeClr val="bg1"/>
          </a:solidFill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1" name="순서도: 연결자 50">
            <a:extLst>
              <a:ext uri="{FF2B5EF4-FFF2-40B4-BE49-F238E27FC236}">
                <a16:creationId xmlns:a16="http://schemas.microsoft.com/office/drawing/2014/main" id="{26428097-5EEB-20B9-3909-164FBA8402F3}"/>
              </a:ext>
            </a:extLst>
          </xdr:cNvPr>
          <xdr:cNvSpPr/>
        </xdr:nvSpPr>
        <xdr:spPr>
          <a:xfrm>
            <a:off x="5622592" y="3112259"/>
            <a:ext cx="129038" cy="131218"/>
          </a:xfrm>
          <a:prstGeom prst="flowChartConnector">
            <a:avLst/>
          </a:prstGeom>
          <a:solidFill>
            <a:schemeClr val="bg1"/>
          </a:solidFill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38</xdr:col>
      <xdr:colOff>10136</xdr:colOff>
      <xdr:row>19</xdr:row>
      <xdr:rowOff>20732</xdr:rowOff>
    </xdr:from>
    <xdr:to>
      <xdr:col>41</xdr:col>
      <xdr:colOff>16248</xdr:colOff>
      <xdr:row>22</xdr:row>
      <xdr:rowOff>1</xdr:rowOff>
    </xdr:to>
    <xdr:sp macro="" textlink="">
      <xdr:nvSpPr>
        <xdr:cNvPr id="52" name="자유형: 도형 51">
          <a:extLst>
            <a:ext uri="{FF2B5EF4-FFF2-40B4-BE49-F238E27FC236}">
              <a16:creationId xmlns:a16="http://schemas.microsoft.com/office/drawing/2014/main" id="{BE2B0407-A5F5-4173-8D8D-E6046BBBF7B4}"/>
            </a:ext>
          </a:extLst>
        </xdr:cNvPr>
        <xdr:cNvSpPr/>
      </xdr:nvSpPr>
      <xdr:spPr>
        <a:xfrm>
          <a:off x="8696936" y="4122832"/>
          <a:ext cx="691912" cy="626969"/>
        </a:xfrm>
        <a:custGeom>
          <a:avLst/>
          <a:gdLst>
            <a:gd name="connsiteX0" fmla="*/ 0 w 233265"/>
            <a:gd name="connsiteY0" fmla="*/ 0 h 2011914"/>
            <a:gd name="connsiteX1" fmla="*/ 0 w 233265"/>
            <a:gd name="connsiteY1" fmla="*/ 2011914 h 2011914"/>
            <a:gd name="connsiteX2" fmla="*/ 233265 w 233265"/>
            <a:gd name="connsiteY2" fmla="*/ 2011914 h 201191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33265" h="2011914">
              <a:moveTo>
                <a:pt x="0" y="0"/>
              </a:moveTo>
              <a:lnTo>
                <a:pt x="0" y="2011914"/>
              </a:lnTo>
              <a:lnTo>
                <a:pt x="233265" y="2011914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9211</xdr:colOff>
      <xdr:row>21</xdr:row>
      <xdr:rowOff>50728</xdr:rowOff>
    </xdr:from>
    <xdr:to>
      <xdr:col>49</xdr:col>
      <xdr:colOff>133591</xdr:colOff>
      <xdr:row>22</xdr:row>
      <xdr:rowOff>185150</xdr:rowOff>
    </xdr:to>
    <xdr:sp macro="" textlink="">
      <xdr:nvSpPr>
        <xdr:cNvPr id="53" name="화살표: 오각형 52">
          <a:extLst>
            <a:ext uri="{FF2B5EF4-FFF2-40B4-BE49-F238E27FC236}">
              <a16:creationId xmlns:a16="http://schemas.microsoft.com/office/drawing/2014/main" id="{FC31DF22-9260-407B-940F-86CDA3F3F5D4}"/>
            </a:ext>
          </a:extLst>
        </xdr:cNvPr>
        <xdr:cNvSpPr/>
      </xdr:nvSpPr>
      <xdr:spPr>
        <a:xfrm>
          <a:off x="9381811" y="4584628"/>
          <a:ext cx="1953180" cy="350322"/>
        </a:xfrm>
        <a:prstGeom prst="homePlate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ko-KR" altLang="en-US" sz="1400"/>
            <a:t>순수 제조계통 재생</a:t>
          </a:r>
        </a:p>
      </xdr:txBody>
    </xdr:sp>
    <xdr:clientData/>
  </xdr:twoCellAnchor>
  <xdr:twoCellAnchor>
    <xdr:from>
      <xdr:col>49</xdr:col>
      <xdr:colOff>136857</xdr:colOff>
      <xdr:row>19</xdr:row>
      <xdr:rowOff>32602</xdr:rowOff>
    </xdr:from>
    <xdr:to>
      <xdr:col>54</xdr:col>
      <xdr:colOff>228516</xdr:colOff>
      <xdr:row>22</xdr:row>
      <xdr:rowOff>0</xdr:rowOff>
    </xdr:to>
    <xdr:sp macro="" textlink="">
      <xdr:nvSpPr>
        <xdr:cNvPr id="54" name="자유형: 도형 53">
          <a:extLst>
            <a:ext uri="{FF2B5EF4-FFF2-40B4-BE49-F238E27FC236}">
              <a16:creationId xmlns:a16="http://schemas.microsoft.com/office/drawing/2014/main" id="{CCE6C562-0BAB-427B-8ABD-F70D9FEE80BE}"/>
            </a:ext>
          </a:extLst>
        </xdr:cNvPr>
        <xdr:cNvSpPr/>
      </xdr:nvSpPr>
      <xdr:spPr>
        <a:xfrm rot="16200000">
          <a:off x="11648038" y="3824921"/>
          <a:ext cx="615098" cy="1234659"/>
        </a:xfrm>
        <a:custGeom>
          <a:avLst/>
          <a:gdLst>
            <a:gd name="connsiteX0" fmla="*/ 0 w 233265"/>
            <a:gd name="connsiteY0" fmla="*/ 0 h 2011914"/>
            <a:gd name="connsiteX1" fmla="*/ 0 w 233265"/>
            <a:gd name="connsiteY1" fmla="*/ 2011914 h 2011914"/>
            <a:gd name="connsiteX2" fmla="*/ 233265 w 233265"/>
            <a:gd name="connsiteY2" fmla="*/ 2011914 h 201191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33265" h="2011914">
              <a:moveTo>
                <a:pt x="0" y="0"/>
              </a:moveTo>
              <a:lnTo>
                <a:pt x="0" y="2011914"/>
              </a:lnTo>
              <a:lnTo>
                <a:pt x="233265" y="2011914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45004</xdr:colOff>
      <xdr:row>38</xdr:row>
      <xdr:rowOff>472</xdr:rowOff>
    </xdr:from>
    <xdr:to>
      <xdr:col>37</xdr:col>
      <xdr:colOff>228136</xdr:colOff>
      <xdr:row>40</xdr:row>
      <xdr:rowOff>41108</xdr:rowOff>
    </xdr:to>
    <xdr:pic>
      <xdr:nvPicPr>
        <xdr:cNvPr id="55" name="그래픽 54" descr="왼쪽 화살표가 있는 원 단색으로 채워진">
          <a:extLst>
            <a:ext uri="{FF2B5EF4-FFF2-40B4-BE49-F238E27FC236}">
              <a16:creationId xmlns:a16="http://schemas.microsoft.com/office/drawing/2014/main" id="{03D5CB40-F8C0-49E9-9700-263A2D5A4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0800000">
          <a:off x="8274604" y="8204672"/>
          <a:ext cx="411732" cy="472436"/>
        </a:xfrm>
        <a:prstGeom prst="rect">
          <a:avLst/>
        </a:prstGeom>
      </xdr:spPr>
    </xdr:pic>
    <xdr:clientData/>
  </xdr:twoCellAnchor>
  <xdr:twoCellAnchor>
    <xdr:from>
      <xdr:col>36</xdr:col>
      <xdr:colOff>48179</xdr:colOff>
      <xdr:row>34</xdr:row>
      <xdr:rowOff>211996</xdr:rowOff>
    </xdr:from>
    <xdr:to>
      <xdr:col>37</xdr:col>
      <xdr:colOff>228136</xdr:colOff>
      <xdr:row>37</xdr:row>
      <xdr:rowOff>30382</xdr:rowOff>
    </xdr:to>
    <xdr:pic>
      <xdr:nvPicPr>
        <xdr:cNvPr id="56" name="그래픽 55" descr="왼쪽 화살표가 있는 원 단색으로 채워진">
          <a:extLst>
            <a:ext uri="{FF2B5EF4-FFF2-40B4-BE49-F238E27FC236}">
              <a16:creationId xmlns:a16="http://schemas.microsoft.com/office/drawing/2014/main" id="{6498ABED-B5AF-4E70-82B3-DBA0E8406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0800000">
          <a:off x="8277779" y="7552596"/>
          <a:ext cx="408557" cy="466086"/>
        </a:xfrm>
        <a:prstGeom prst="rect">
          <a:avLst/>
        </a:prstGeom>
      </xdr:spPr>
    </xdr:pic>
    <xdr:clientData/>
  </xdr:twoCellAnchor>
  <xdr:twoCellAnchor>
    <xdr:from>
      <xdr:col>20</xdr:col>
      <xdr:colOff>56884</xdr:colOff>
      <xdr:row>34</xdr:row>
      <xdr:rowOff>198469</xdr:rowOff>
    </xdr:from>
    <xdr:to>
      <xdr:col>22</xdr:col>
      <xdr:colOff>3056</xdr:colOff>
      <xdr:row>37</xdr:row>
      <xdr:rowOff>20030</xdr:rowOff>
    </xdr:to>
    <xdr:pic>
      <xdr:nvPicPr>
        <xdr:cNvPr id="57" name="그래픽 56" descr="왼쪽 화살표가 있는 원 단색으로 채워진">
          <a:extLst>
            <a:ext uri="{FF2B5EF4-FFF2-40B4-BE49-F238E27FC236}">
              <a16:creationId xmlns:a16="http://schemas.microsoft.com/office/drawing/2014/main" id="{9A65028E-177C-46C6-82F7-5DEC6F901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0800000" flipH="1">
          <a:off x="4628884" y="7539069"/>
          <a:ext cx="403372" cy="469261"/>
        </a:xfrm>
        <a:prstGeom prst="rect">
          <a:avLst/>
        </a:prstGeom>
      </xdr:spPr>
    </xdr:pic>
    <xdr:clientData/>
  </xdr:twoCellAnchor>
  <xdr:twoCellAnchor>
    <xdr:from>
      <xdr:col>20</xdr:col>
      <xdr:colOff>50448</xdr:colOff>
      <xdr:row>38</xdr:row>
      <xdr:rowOff>473</xdr:rowOff>
    </xdr:from>
    <xdr:to>
      <xdr:col>21</xdr:col>
      <xdr:colOff>228395</xdr:colOff>
      <xdr:row>40</xdr:row>
      <xdr:rowOff>41109</xdr:rowOff>
    </xdr:to>
    <xdr:pic>
      <xdr:nvPicPr>
        <xdr:cNvPr id="58" name="그래픽 57" descr="왼쪽 화살표가 있는 원 단색으로 채워진">
          <a:extLst>
            <a:ext uri="{FF2B5EF4-FFF2-40B4-BE49-F238E27FC236}">
              <a16:creationId xmlns:a16="http://schemas.microsoft.com/office/drawing/2014/main" id="{E9EF5992-2F4D-46BC-A41C-EAAC0C9B4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0800000" flipH="1">
          <a:off x="4622448" y="8204673"/>
          <a:ext cx="406547" cy="472436"/>
        </a:xfrm>
        <a:prstGeom prst="rect">
          <a:avLst/>
        </a:prstGeom>
      </xdr:spPr>
    </xdr:pic>
    <xdr:clientData/>
  </xdr:twoCellAnchor>
  <xdr:twoCellAnchor>
    <xdr:from>
      <xdr:col>21</xdr:col>
      <xdr:colOff>169863</xdr:colOff>
      <xdr:row>38</xdr:row>
      <xdr:rowOff>126162</xdr:rowOff>
    </xdr:from>
    <xdr:to>
      <xdr:col>26</xdr:col>
      <xdr:colOff>68507</xdr:colOff>
      <xdr:row>38</xdr:row>
      <xdr:rowOff>208465</xdr:rowOff>
    </xdr:to>
    <xdr:sp macro="" textlink="">
      <xdr:nvSpPr>
        <xdr:cNvPr id="59" name="자유형: 도형 58">
          <a:extLst>
            <a:ext uri="{FF2B5EF4-FFF2-40B4-BE49-F238E27FC236}">
              <a16:creationId xmlns:a16="http://schemas.microsoft.com/office/drawing/2014/main" id="{D216FBF8-8FE7-44A7-8C3C-649520280755}"/>
            </a:ext>
          </a:extLst>
        </xdr:cNvPr>
        <xdr:cNvSpPr/>
      </xdr:nvSpPr>
      <xdr:spPr>
        <a:xfrm rot="10800000">
          <a:off x="4970463" y="8330362"/>
          <a:ext cx="1041644" cy="82303"/>
        </a:xfrm>
        <a:custGeom>
          <a:avLst/>
          <a:gdLst>
            <a:gd name="connsiteX0" fmla="*/ 0 w 1838325"/>
            <a:gd name="connsiteY0" fmla="*/ 0 h 0"/>
            <a:gd name="connsiteX1" fmla="*/ 1838325 w 183832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38325">
              <a:moveTo>
                <a:pt x="0" y="0"/>
              </a:moveTo>
              <a:lnTo>
                <a:pt x="1838325" y="0"/>
              </a:lnTo>
            </a:path>
          </a:pathLst>
        </a:custGeom>
        <a:noFill/>
        <a:ln w="25400">
          <a:solidFill>
            <a:srgbClr val="00B0F0"/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190458</xdr:colOff>
      <xdr:row>36</xdr:row>
      <xdr:rowOff>9525</xdr:rowOff>
    </xdr:from>
    <xdr:to>
      <xdr:col>24</xdr:col>
      <xdr:colOff>9475</xdr:colOff>
      <xdr:row>39</xdr:row>
      <xdr:rowOff>7032</xdr:rowOff>
    </xdr:to>
    <xdr:sp macro="" textlink="">
      <xdr:nvSpPr>
        <xdr:cNvPr id="60" name="자유형: 도형 59">
          <a:extLst>
            <a:ext uri="{FF2B5EF4-FFF2-40B4-BE49-F238E27FC236}">
              <a16:creationId xmlns:a16="http://schemas.microsoft.com/office/drawing/2014/main" id="{0D273A1A-D59A-4A85-9F28-DB7AA3B4C138}"/>
            </a:ext>
          </a:extLst>
        </xdr:cNvPr>
        <xdr:cNvSpPr/>
      </xdr:nvSpPr>
      <xdr:spPr>
        <a:xfrm rot="10800000">
          <a:off x="4991058" y="7781925"/>
          <a:ext cx="504817" cy="645207"/>
        </a:xfrm>
        <a:custGeom>
          <a:avLst/>
          <a:gdLst>
            <a:gd name="connsiteX0" fmla="*/ 0 w 233265"/>
            <a:gd name="connsiteY0" fmla="*/ 0 h 2011914"/>
            <a:gd name="connsiteX1" fmla="*/ 0 w 233265"/>
            <a:gd name="connsiteY1" fmla="*/ 2011914 h 2011914"/>
            <a:gd name="connsiteX2" fmla="*/ 233265 w 233265"/>
            <a:gd name="connsiteY2" fmla="*/ 2011914 h 201191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33265" h="2011914">
              <a:moveTo>
                <a:pt x="0" y="0"/>
              </a:moveTo>
              <a:lnTo>
                <a:pt x="0" y="2011914"/>
              </a:lnTo>
              <a:lnTo>
                <a:pt x="233265" y="2011914"/>
              </a:lnTo>
            </a:path>
          </a:pathLst>
        </a:custGeom>
        <a:noFill/>
        <a:ln w="25400">
          <a:solidFill>
            <a:srgbClr val="00B0F0"/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10972</xdr:colOff>
      <xdr:row>38</xdr:row>
      <xdr:rowOff>208468</xdr:rowOff>
    </xdr:from>
    <xdr:to>
      <xdr:col>36</xdr:col>
      <xdr:colOff>96406</xdr:colOff>
      <xdr:row>42</xdr:row>
      <xdr:rowOff>153389</xdr:rowOff>
    </xdr:to>
    <xdr:sp macro="" textlink="">
      <xdr:nvSpPr>
        <xdr:cNvPr id="61" name="자유형: 도형 60">
          <a:extLst>
            <a:ext uri="{FF2B5EF4-FFF2-40B4-BE49-F238E27FC236}">
              <a16:creationId xmlns:a16="http://schemas.microsoft.com/office/drawing/2014/main" id="{081189EB-ABC6-41AB-A004-CDC410D83EED}"/>
            </a:ext>
          </a:extLst>
        </xdr:cNvPr>
        <xdr:cNvSpPr/>
      </xdr:nvSpPr>
      <xdr:spPr>
        <a:xfrm>
          <a:off x="5725972" y="8412668"/>
          <a:ext cx="2600034" cy="808521"/>
        </a:xfrm>
        <a:custGeom>
          <a:avLst/>
          <a:gdLst>
            <a:gd name="connsiteX0" fmla="*/ 0 w 2616868"/>
            <a:gd name="connsiteY0" fmla="*/ 0 h 681789"/>
            <a:gd name="connsiteX1" fmla="*/ 0 w 2616868"/>
            <a:gd name="connsiteY1" fmla="*/ 681789 h 681789"/>
            <a:gd name="connsiteX2" fmla="*/ 2085473 w 2616868"/>
            <a:gd name="connsiteY2" fmla="*/ 681789 h 681789"/>
            <a:gd name="connsiteX3" fmla="*/ 2085473 w 2616868"/>
            <a:gd name="connsiteY3" fmla="*/ 20052 h 681789"/>
            <a:gd name="connsiteX4" fmla="*/ 2616868 w 2616868"/>
            <a:gd name="connsiteY4" fmla="*/ 20052 h 68178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616868" h="681789">
              <a:moveTo>
                <a:pt x="0" y="0"/>
              </a:moveTo>
              <a:lnTo>
                <a:pt x="0" y="681789"/>
              </a:lnTo>
              <a:lnTo>
                <a:pt x="2085473" y="681789"/>
              </a:lnTo>
              <a:lnTo>
                <a:pt x="2085473" y="20052"/>
              </a:lnTo>
              <a:lnTo>
                <a:pt x="2616868" y="20052"/>
              </a:lnTo>
            </a:path>
          </a:pathLst>
        </a:custGeom>
        <a:noFill/>
        <a:ln w="25400">
          <a:solidFill>
            <a:srgbClr val="00B0F0"/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34</xdr:col>
      <xdr:colOff>31749</xdr:colOff>
      <xdr:row>36</xdr:row>
      <xdr:rowOff>9524</xdr:rowOff>
    </xdr:from>
    <xdr:to>
      <xdr:col>36</xdr:col>
      <xdr:colOff>96405</xdr:colOff>
      <xdr:row>39</xdr:row>
      <xdr:rowOff>28575</xdr:rowOff>
    </xdr:to>
    <xdr:sp macro="" textlink="">
      <xdr:nvSpPr>
        <xdr:cNvPr id="62" name="자유형: 도형 61">
          <a:extLst>
            <a:ext uri="{FF2B5EF4-FFF2-40B4-BE49-F238E27FC236}">
              <a16:creationId xmlns:a16="http://schemas.microsoft.com/office/drawing/2014/main" id="{4C2ED5B2-8F0F-44A0-A7AE-D5D76027B2CB}"/>
            </a:ext>
          </a:extLst>
        </xdr:cNvPr>
        <xdr:cNvSpPr/>
      </xdr:nvSpPr>
      <xdr:spPr>
        <a:xfrm rot="10800000" flipH="1">
          <a:off x="7804149" y="7781924"/>
          <a:ext cx="521856" cy="666751"/>
        </a:xfrm>
        <a:custGeom>
          <a:avLst/>
          <a:gdLst>
            <a:gd name="connsiteX0" fmla="*/ 0 w 233265"/>
            <a:gd name="connsiteY0" fmla="*/ 0 h 2011914"/>
            <a:gd name="connsiteX1" fmla="*/ 0 w 233265"/>
            <a:gd name="connsiteY1" fmla="*/ 2011914 h 2011914"/>
            <a:gd name="connsiteX2" fmla="*/ 233265 w 233265"/>
            <a:gd name="connsiteY2" fmla="*/ 2011914 h 201191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33265" h="2011914">
              <a:moveTo>
                <a:pt x="0" y="0"/>
              </a:moveTo>
              <a:lnTo>
                <a:pt x="0" y="2011914"/>
              </a:lnTo>
              <a:lnTo>
                <a:pt x="233265" y="2011914"/>
              </a:lnTo>
            </a:path>
          </a:pathLst>
        </a:custGeom>
        <a:noFill/>
        <a:ln w="25400">
          <a:solidFill>
            <a:schemeClr val="accent4"/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979</xdr:colOff>
      <xdr:row>33</xdr:row>
      <xdr:rowOff>27230</xdr:rowOff>
    </xdr:from>
    <xdr:to>
      <xdr:col>15</xdr:col>
      <xdr:colOff>50093</xdr:colOff>
      <xdr:row>34</xdr:row>
      <xdr:rowOff>179869</xdr:rowOff>
    </xdr:to>
    <xdr:sp macro="" textlink="">
      <xdr:nvSpPr>
        <xdr:cNvPr id="63" name="화살표: 오각형 62">
          <a:extLst>
            <a:ext uri="{FF2B5EF4-FFF2-40B4-BE49-F238E27FC236}">
              <a16:creationId xmlns:a16="http://schemas.microsoft.com/office/drawing/2014/main" id="{3B563DF2-48C9-42F1-9C2E-28CB56E4A72F}"/>
            </a:ext>
          </a:extLst>
        </xdr:cNvPr>
        <xdr:cNvSpPr/>
      </xdr:nvSpPr>
      <xdr:spPr>
        <a:xfrm flipH="1">
          <a:off x="1601179" y="7151930"/>
          <a:ext cx="1877914" cy="368539"/>
        </a:xfrm>
        <a:prstGeom prst="homePlate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r"/>
          <a:r>
            <a:rPr lang="en-US" altLang="ko-KR" sz="1400"/>
            <a:t>DH </a:t>
          </a:r>
          <a:r>
            <a:rPr lang="ko-KR" altLang="en-US" sz="1400"/>
            <a:t>순환수 처리계통</a:t>
          </a:r>
        </a:p>
      </xdr:txBody>
    </xdr:sp>
    <xdr:clientData/>
  </xdr:twoCellAnchor>
  <xdr:twoCellAnchor>
    <xdr:from>
      <xdr:col>6</xdr:col>
      <xdr:colOff>155264</xdr:colOff>
      <xdr:row>38</xdr:row>
      <xdr:rowOff>39024</xdr:rowOff>
    </xdr:from>
    <xdr:to>
      <xdr:col>14</xdr:col>
      <xdr:colOff>210814</xdr:colOff>
      <xdr:row>39</xdr:row>
      <xdr:rowOff>192834</xdr:rowOff>
    </xdr:to>
    <xdr:sp macro="" textlink="">
      <xdr:nvSpPr>
        <xdr:cNvPr id="64" name="화살표: 오각형 63">
          <a:extLst>
            <a:ext uri="{FF2B5EF4-FFF2-40B4-BE49-F238E27FC236}">
              <a16:creationId xmlns:a16="http://schemas.microsoft.com/office/drawing/2014/main" id="{EEF17610-D663-4167-948C-C605A9D17FB7}"/>
            </a:ext>
          </a:extLst>
        </xdr:cNvPr>
        <xdr:cNvSpPr/>
      </xdr:nvSpPr>
      <xdr:spPr>
        <a:xfrm flipH="1">
          <a:off x="1526864" y="8243224"/>
          <a:ext cx="1884350" cy="369710"/>
        </a:xfrm>
        <a:prstGeom prst="homePlate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108000" bIns="0" rtlCol="0" anchor="ctr" anchorCtr="0"/>
        <a:lstStyle/>
        <a:p>
          <a:pPr algn="r"/>
          <a:r>
            <a:rPr lang="ko-KR" altLang="en-US" sz="1400"/>
            <a:t>순수 제조 재생설비</a:t>
          </a:r>
        </a:p>
      </xdr:txBody>
    </xdr:sp>
    <xdr:clientData/>
  </xdr:twoCellAnchor>
  <xdr:twoCellAnchor>
    <xdr:from>
      <xdr:col>14</xdr:col>
      <xdr:colOff>192621</xdr:colOff>
      <xdr:row>38</xdr:row>
      <xdr:rowOff>135449</xdr:rowOff>
    </xdr:from>
    <xdr:to>
      <xdr:col>20</xdr:col>
      <xdr:colOff>115415</xdr:colOff>
      <xdr:row>39</xdr:row>
      <xdr:rowOff>10199</xdr:rowOff>
    </xdr:to>
    <xdr:sp macro="" textlink="">
      <xdr:nvSpPr>
        <xdr:cNvPr id="65" name="자유형: 도형 64">
          <a:extLst>
            <a:ext uri="{FF2B5EF4-FFF2-40B4-BE49-F238E27FC236}">
              <a16:creationId xmlns:a16="http://schemas.microsoft.com/office/drawing/2014/main" id="{83E7646B-E194-4834-8720-6DF797BBC06C}"/>
            </a:ext>
          </a:extLst>
        </xdr:cNvPr>
        <xdr:cNvSpPr/>
      </xdr:nvSpPr>
      <xdr:spPr>
        <a:xfrm rot="10800000">
          <a:off x="3393021" y="8339649"/>
          <a:ext cx="1294394" cy="90650"/>
        </a:xfrm>
        <a:custGeom>
          <a:avLst/>
          <a:gdLst>
            <a:gd name="connsiteX0" fmla="*/ 0 w 1838325"/>
            <a:gd name="connsiteY0" fmla="*/ 0 h 0"/>
            <a:gd name="connsiteX1" fmla="*/ 1838325 w 183832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38325">
              <a:moveTo>
                <a:pt x="0" y="0"/>
              </a:moveTo>
              <a:lnTo>
                <a:pt x="1838325" y="0"/>
              </a:lnTo>
            </a:path>
          </a:pathLst>
        </a:custGeom>
        <a:noFill/>
        <a:ln w="25400">
          <a:solidFill>
            <a:srgbClr val="00B0F0"/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8558</xdr:colOff>
      <xdr:row>34</xdr:row>
      <xdr:rowOff>9524</xdr:rowOff>
    </xdr:from>
    <xdr:to>
      <xdr:col>17</xdr:col>
      <xdr:colOff>7941</xdr:colOff>
      <xdr:row>39</xdr:row>
      <xdr:rowOff>12698</xdr:rowOff>
    </xdr:to>
    <xdr:sp macro="" textlink="">
      <xdr:nvSpPr>
        <xdr:cNvPr id="66" name="자유형: 도형 65">
          <a:extLst>
            <a:ext uri="{FF2B5EF4-FFF2-40B4-BE49-F238E27FC236}">
              <a16:creationId xmlns:a16="http://schemas.microsoft.com/office/drawing/2014/main" id="{0A58DEE5-078B-4231-AD75-4FAEF7E1F5A5}"/>
            </a:ext>
          </a:extLst>
        </xdr:cNvPr>
        <xdr:cNvSpPr/>
      </xdr:nvSpPr>
      <xdr:spPr>
        <a:xfrm rot="10800000">
          <a:off x="3437558" y="7350124"/>
          <a:ext cx="456583" cy="1082674"/>
        </a:xfrm>
        <a:custGeom>
          <a:avLst/>
          <a:gdLst>
            <a:gd name="connsiteX0" fmla="*/ 0 w 233265"/>
            <a:gd name="connsiteY0" fmla="*/ 0 h 2011914"/>
            <a:gd name="connsiteX1" fmla="*/ 0 w 233265"/>
            <a:gd name="connsiteY1" fmla="*/ 2011914 h 2011914"/>
            <a:gd name="connsiteX2" fmla="*/ 233265 w 233265"/>
            <a:gd name="connsiteY2" fmla="*/ 2011914 h 201191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33265" h="2011914">
              <a:moveTo>
                <a:pt x="0" y="0"/>
              </a:moveTo>
              <a:lnTo>
                <a:pt x="0" y="2011914"/>
              </a:lnTo>
              <a:lnTo>
                <a:pt x="233265" y="2011914"/>
              </a:lnTo>
            </a:path>
          </a:pathLst>
        </a:custGeom>
        <a:noFill/>
        <a:ln w="25400">
          <a:solidFill>
            <a:srgbClr val="00B0F0"/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16305</xdr:colOff>
      <xdr:row>36</xdr:row>
      <xdr:rowOff>2408</xdr:rowOff>
    </xdr:from>
    <xdr:to>
      <xdr:col>20</xdr:col>
      <xdr:colOff>105120</xdr:colOff>
      <xdr:row>39</xdr:row>
      <xdr:rowOff>9525</xdr:rowOff>
    </xdr:to>
    <xdr:sp macro="" textlink="">
      <xdr:nvSpPr>
        <xdr:cNvPr id="67" name="자유형: 도형 66">
          <a:extLst>
            <a:ext uri="{FF2B5EF4-FFF2-40B4-BE49-F238E27FC236}">
              <a16:creationId xmlns:a16="http://schemas.microsoft.com/office/drawing/2014/main" id="{7334A958-4B93-45BC-A34F-BDC8C7D8BB13}"/>
            </a:ext>
          </a:extLst>
        </xdr:cNvPr>
        <xdr:cNvSpPr/>
      </xdr:nvSpPr>
      <xdr:spPr>
        <a:xfrm rot="5400000">
          <a:off x="4076704" y="7829209"/>
          <a:ext cx="654817" cy="546015"/>
        </a:xfrm>
        <a:custGeom>
          <a:avLst/>
          <a:gdLst>
            <a:gd name="connsiteX0" fmla="*/ 0 w 233265"/>
            <a:gd name="connsiteY0" fmla="*/ 0 h 2011914"/>
            <a:gd name="connsiteX1" fmla="*/ 0 w 233265"/>
            <a:gd name="connsiteY1" fmla="*/ 2011914 h 2011914"/>
            <a:gd name="connsiteX2" fmla="*/ 233265 w 233265"/>
            <a:gd name="connsiteY2" fmla="*/ 2011914 h 201191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33265" h="2011914">
              <a:moveTo>
                <a:pt x="0" y="0"/>
              </a:moveTo>
              <a:lnTo>
                <a:pt x="0" y="2011914"/>
              </a:lnTo>
              <a:lnTo>
                <a:pt x="233265" y="2011914"/>
              </a:lnTo>
            </a:path>
          </a:pathLst>
        </a:custGeom>
        <a:noFill/>
        <a:ln w="25400">
          <a:solidFill>
            <a:srgbClr val="00B0F0"/>
          </a:solidFill>
          <a:tailEnd type="non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16306</xdr:colOff>
      <xdr:row>33</xdr:row>
      <xdr:rowOff>15952</xdr:rowOff>
    </xdr:from>
    <xdr:to>
      <xdr:col>26</xdr:col>
      <xdr:colOff>219075</xdr:colOff>
      <xdr:row>36</xdr:row>
      <xdr:rowOff>140338</xdr:rowOff>
    </xdr:to>
    <xdr:sp macro="" textlink="">
      <xdr:nvSpPr>
        <xdr:cNvPr id="68" name="자유형: 도형 67">
          <a:extLst>
            <a:ext uri="{FF2B5EF4-FFF2-40B4-BE49-F238E27FC236}">
              <a16:creationId xmlns:a16="http://schemas.microsoft.com/office/drawing/2014/main" id="{7E99C47F-81E1-4FC5-9A81-48B9E3185DDF}"/>
            </a:ext>
          </a:extLst>
        </xdr:cNvPr>
        <xdr:cNvSpPr/>
      </xdr:nvSpPr>
      <xdr:spPr>
        <a:xfrm>
          <a:off x="4131106" y="7140652"/>
          <a:ext cx="2031569" cy="772086"/>
        </a:xfrm>
        <a:custGeom>
          <a:avLst/>
          <a:gdLst>
            <a:gd name="connsiteX0" fmla="*/ 0 w 2095500"/>
            <a:gd name="connsiteY0" fmla="*/ 651710 h 651710"/>
            <a:gd name="connsiteX1" fmla="*/ 0 w 2095500"/>
            <a:gd name="connsiteY1" fmla="*/ 0 h 651710"/>
            <a:gd name="connsiteX2" fmla="*/ 2095500 w 2095500"/>
            <a:gd name="connsiteY2" fmla="*/ 0 h 651710"/>
            <a:gd name="connsiteX3" fmla="*/ 2095500 w 2095500"/>
            <a:gd name="connsiteY3" fmla="*/ 421105 h 65171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95500" h="651710">
              <a:moveTo>
                <a:pt x="0" y="651710"/>
              </a:moveTo>
              <a:lnTo>
                <a:pt x="0" y="0"/>
              </a:lnTo>
              <a:lnTo>
                <a:pt x="2095500" y="0"/>
              </a:lnTo>
              <a:lnTo>
                <a:pt x="2095500" y="421105"/>
              </a:lnTo>
            </a:path>
          </a:pathLst>
        </a:custGeom>
        <a:noFill/>
        <a:ln w="25400">
          <a:solidFill>
            <a:srgbClr val="00B0F0"/>
          </a:solidFill>
          <a:headEnd type="none"/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45</xdr:col>
      <xdr:colOff>22139</xdr:colOff>
      <xdr:row>29</xdr:row>
      <xdr:rowOff>46495</xdr:rowOff>
    </xdr:from>
    <xdr:to>
      <xdr:col>55</xdr:col>
      <xdr:colOff>2405</xdr:colOff>
      <xdr:row>30</xdr:row>
      <xdr:rowOff>180917</xdr:rowOff>
    </xdr:to>
    <xdr:sp macro="" textlink="">
      <xdr:nvSpPr>
        <xdr:cNvPr id="69" name="화살표: 오각형 68">
          <a:extLst>
            <a:ext uri="{FF2B5EF4-FFF2-40B4-BE49-F238E27FC236}">
              <a16:creationId xmlns:a16="http://schemas.microsoft.com/office/drawing/2014/main" id="{C637D893-E4AB-400F-B7A0-7E92338239E1}"/>
            </a:ext>
          </a:extLst>
        </xdr:cNvPr>
        <xdr:cNvSpPr/>
      </xdr:nvSpPr>
      <xdr:spPr>
        <a:xfrm>
          <a:off x="10309139" y="6307595"/>
          <a:ext cx="2266266" cy="350322"/>
        </a:xfrm>
        <a:prstGeom prst="homePlate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en-US" altLang="ko-KR" sz="1400"/>
            <a:t>CHP BLR Blow-down</a:t>
          </a:r>
          <a:endParaRPr lang="ko-KR" altLang="en-US" sz="1400"/>
        </a:p>
      </xdr:txBody>
    </xdr:sp>
    <xdr:clientData/>
  </xdr:twoCellAnchor>
  <xdr:twoCellAnchor>
    <xdr:from>
      <xdr:col>45</xdr:col>
      <xdr:colOff>7977</xdr:colOff>
      <xdr:row>35</xdr:row>
      <xdr:rowOff>50583</xdr:rowOff>
    </xdr:from>
    <xdr:to>
      <xdr:col>55</xdr:col>
      <xdr:colOff>9526</xdr:colOff>
      <xdr:row>36</xdr:row>
      <xdr:rowOff>178655</xdr:rowOff>
    </xdr:to>
    <xdr:sp macro="" textlink="">
      <xdr:nvSpPr>
        <xdr:cNvPr id="70" name="화살표: 오각형 69">
          <a:extLst>
            <a:ext uri="{FF2B5EF4-FFF2-40B4-BE49-F238E27FC236}">
              <a16:creationId xmlns:a16="http://schemas.microsoft.com/office/drawing/2014/main" id="{6A6C7C58-D537-4DBE-A537-34C55B268D2D}"/>
            </a:ext>
          </a:extLst>
        </xdr:cNvPr>
        <xdr:cNvSpPr/>
      </xdr:nvSpPr>
      <xdr:spPr>
        <a:xfrm>
          <a:off x="10294977" y="7607083"/>
          <a:ext cx="2287549" cy="343972"/>
        </a:xfrm>
        <a:prstGeom prst="homePlate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en-US" altLang="ko-KR" sz="1400"/>
            <a:t>2</a:t>
          </a:r>
          <a:r>
            <a:rPr lang="ko-KR" altLang="en-US" sz="1400"/>
            <a:t>차 냉각수 </a:t>
          </a:r>
          <a:r>
            <a:rPr lang="en-US" altLang="ko-KR" sz="1400"/>
            <a:t>Make-up</a:t>
          </a:r>
          <a:endParaRPr lang="ko-KR" altLang="en-US" sz="1400"/>
        </a:p>
      </xdr:txBody>
    </xdr:sp>
    <xdr:clientData/>
  </xdr:twoCellAnchor>
  <xdr:twoCellAnchor>
    <xdr:from>
      <xdr:col>45</xdr:col>
      <xdr:colOff>9439</xdr:colOff>
      <xdr:row>32</xdr:row>
      <xdr:rowOff>36337</xdr:rowOff>
    </xdr:from>
    <xdr:to>
      <xdr:col>54</xdr:col>
      <xdr:colOff>221567</xdr:colOff>
      <xdr:row>33</xdr:row>
      <xdr:rowOff>180284</xdr:rowOff>
    </xdr:to>
    <xdr:sp macro="" textlink="">
      <xdr:nvSpPr>
        <xdr:cNvPr id="71" name="화살표: 오각형 70">
          <a:extLst>
            <a:ext uri="{FF2B5EF4-FFF2-40B4-BE49-F238E27FC236}">
              <a16:creationId xmlns:a16="http://schemas.microsoft.com/office/drawing/2014/main" id="{D4FD49D9-C549-4463-88F8-07DE95684C60}"/>
            </a:ext>
          </a:extLst>
        </xdr:cNvPr>
        <xdr:cNvSpPr/>
      </xdr:nvSpPr>
      <xdr:spPr>
        <a:xfrm>
          <a:off x="10296439" y="6945137"/>
          <a:ext cx="2269528" cy="359847"/>
        </a:xfrm>
        <a:prstGeom prst="homePlate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ko-KR" altLang="en-US" sz="1400"/>
            <a:t>약품 용해 탱크</a:t>
          </a:r>
        </a:p>
      </xdr:txBody>
    </xdr:sp>
    <xdr:clientData/>
  </xdr:twoCellAnchor>
  <xdr:twoCellAnchor>
    <xdr:from>
      <xdr:col>45</xdr:col>
      <xdr:colOff>8663</xdr:colOff>
      <xdr:row>38</xdr:row>
      <xdr:rowOff>58650</xdr:rowOff>
    </xdr:from>
    <xdr:to>
      <xdr:col>55</xdr:col>
      <xdr:colOff>7123</xdr:colOff>
      <xdr:row>39</xdr:row>
      <xdr:rowOff>193072</xdr:rowOff>
    </xdr:to>
    <xdr:sp macro="" textlink="">
      <xdr:nvSpPr>
        <xdr:cNvPr id="72" name="화살표: 오각형 71">
          <a:extLst>
            <a:ext uri="{FF2B5EF4-FFF2-40B4-BE49-F238E27FC236}">
              <a16:creationId xmlns:a16="http://schemas.microsoft.com/office/drawing/2014/main" id="{86EFC197-0E34-4DE2-8F26-F6087AEA527B}"/>
            </a:ext>
          </a:extLst>
        </xdr:cNvPr>
        <xdr:cNvSpPr/>
      </xdr:nvSpPr>
      <xdr:spPr>
        <a:xfrm>
          <a:off x="10295663" y="8262850"/>
          <a:ext cx="2284460" cy="350322"/>
        </a:xfrm>
        <a:prstGeom prst="homePlate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en-US" altLang="ko-KR" sz="1400"/>
            <a:t>Accumulator Make-up</a:t>
          </a:r>
          <a:endParaRPr lang="ko-KR" altLang="en-US" sz="1400"/>
        </a:p>
      </xdr:txBody>
    </xdr:sp>
    <xdr:clientData/>
  </xdr:twoCellAnchor>
  <xdr:twoCellAnchor>
    <xdr:from>
      <xdr:col>45</xdr:col>
      <xdr:colOff>7033</xdr:colOff>
      <xdr:row>26</xdr:row>
      <xdr:rowOff>58630</xdr:rowOff>
    </xdr:from>
    <xdr:to>
      <xdr:col>54</xdr:col>
      <xdr:colOff>222249</xdr:colOff>
      <xdr:row>27</xdr:row>
      <xdr:rowOff>193053</xdr:rowOff>
    </xdr:to>
    <xdr:sp macro="" textlink="">
      <xdr:nvSpPr>
        <xdr:cNvPr id="73" name="화살표: 오각형 72">
          <a:extLst>
            <a:ext uri="{FF2B5EF4-FFF2-40B4-BE49-F238E27FC236}">
              <a16:creationId xmlns:a16="http://schemas.microsoft.com/office/drawing/2014/main" id="{5959B400-B7DF-4907-9357-B4A0397A09F0}"/>
            </a:ext>
          </a:extLst>
        </xdr:cNvPr>
        <xdr:cNvSpPr/>
      </xdr:nvSpPr>
      <xdr:spPr>
        <a:xfrm>
          <a:off x="10294033" y="5672030"/>
          <a:ext cx="2272616" cy="350323"/>
        </a:xfrm>
        <a:prstGeom prst="homePlate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en-US" altLang="ko-KR" sz="1400"/>
            <a:t>CHP BLR Make-up</a:t>
          </a:r>
          <a:endParaRPr lang="ko-KR" altLang="en-US" sz="1400"/>
        </a:p>
      </xdr:txBody>
    </xdr:sp>
    <xdr:clientData/>
  </xdr:twoCellAnchor>
  <xdr:twoCellAnchor>
    <xdr:from>
      <xdr:col>37</xdr:col>
      <xdr:colOff>178402</xdr:colOff>
      <xdr:row>39</xdr:row>
      <xdr:rowOff>18297</xdr:rowOff>
    </xdr:from>
    <xdr:to>
      <xdr:col>45</xdr:col>
      <xdr:colOff>11839</xdr:colOff>
      <xdr:row>40</xdr:row>
      <xdr:rowOff>27448</xdr:rowOff>
    </xdr:to>
    <xdr:sp macro="" textlink="">
      <xdr:nvSpPr>
        <xdr:cNvPr id="74" name="자유형: 도형 73">
          <a:extLst>
            <a:ext uri="{FF2B5EF4-FFF2-40B4-BE49-F238E27FC236}">
              <a16:creationId xmlns:a16="http://schemas.microsoft.com/office/drawing/2014/main" id="{55173A86-B658-47C2-9511-D443609D45E0}"/>
            </a:ext>
          </a:extLst>
        </xdr:cNvPr>
        <xdr:cNvSpPr/>
      </xdr:nvSpPr>
      <xdr:spPr>
        <a:xfrm>
          <a:off x="8636602" y="8438397"/>
          <a:ext cx="1662237" cy="225051"/>
        </a:xfrm>
        <a:custGeom>
          <a:avLst/>
          <a:gdLst>
            <a:gd name="connsiteX0" fmla="*/ 0 w 1838325"/>
            <a:gd name="connsiteY0" fmla="*/ 0 h 0"/>
            <a:gd name="connsiteX1" fmla="*/ 1838325 w 1838325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1838325">
              <a:moveTo>
                <a:pt x="0" y="0"/>
              </a:moveTo>
              <a:lnTo>
                <a:pt x="1838325" y="0"/>
              </a:lnTo>
            </a:path>
          </a:pathLst>
        </a:custGeom>
        <a:noFill/>
        <a:ln w="25400">
          <a:solidFill>
            <a:srgbClr val="00B0F0"/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12386</xdr:colOff>
      <xdr:row>26</xdr:row>
      <xdr:rowOff>219074</xdr:rowOff>
    </xdr:from>
    <xdr:to>
      <xdr:col>45</xdr:col>
      <xdr:colOff>2998</xdr:colOff>
      <xdr:row>39</xdr:row>
      <xdr:rowOff>18296</xdr:rowOff>
    </xdr:to>
    <xdr:sp macro="" textlink="">
      <xdr:nvSpPr>
        <xdr:cNvPr id="75" name="자유형: 도형 74">
          <a:extLst>
            <a:ext uri="{FF2B5EF4-FFF2-40B4-BE49-F238E27FC236}">
              <a16:creationId xmlns:a16="http://schemas.microsoft.com/office/drawing/2014/main" id="{53AC657A-380D-4958-B89B-320B376C3376}"/>
            </a:ext>
          </a:extLst>
        </xdr:cNvPr>
        <xdr:cNvSpPr/>
      </xdr:nvSpPr>
      <xdr:spPr>
        <a:xfrm flipV="1">
          <a:off x="9384986" y="5832474"/>
          <a:ext cx="905012" cy="2605922"/>
        </a:xfrm>
        <a:custGeom>
          <a:avLst/>
          <a:gdLst>
            <a:gd name="connsiteX0" fmla="*/ 0 w 233265"/>
            <a:gd name="connsiteY0" fmla="*/ 0 h 2011914"/>
            <a:gd name="connsiteX1" fmla="*/ 0 w 233265"/>
            <a:gd name="connsiteY1" fmla="*/ 2011914 h 2011914"/>
            <a:gd name="connsiteX2" fmla="*/ 233265 w 233265"/>
            <a:gd name="connsiteY2" fmla="*/ 2011914 h 201191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33265" h="2011914">
              <a:moveTo>
                <a:pt x="0" y="0"/>
              </a:moveTo>
              <a:lnTo>
                <a:pt x="0" y="2011914"/>
              </a:lnTo>
              <a:lnTo>
                <a:pt x="233265" y="2011914"/>
              </a:lnTo>
            </a:path>
          </a:pathLst>
        </a:custGeom>
        <a:noFill/>
        <a:ln w="25400">
          <a:solidFill>
            <a:srgbClr val="00B0F0"/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37</xdr:col>
      <xdr:colOff>178492</xdr:colOff>
      <xdr:row>36</xdr:row>
      <xdr:rowOff>9526</xdr:rowOff>
    </xdr:from>
    <xdr:to>
      <xdr:col>39</xdr:col>
      <xdr:colOff>9829</xdr:colOff>
      <xdr:row>39</xdr:row>
      <xdr:rowOff>17707</xdr:rowOff>
    </xdr:to>
    <xdr:sp macro="" textlink="">
      <xdr:nvSpPr>
        <xdr:cNvPr id="76" name="자유형: 도형 75">
          <a:extLst>
            <a:ext uri="{FF2B5EF4-FFF2-40B4-BE49-F238E27FC236}">
              <a16:creationId xmlns:a16="http://schemas.microsoft.com/office/drawing/2014/main" id="{295A9BD3-CDE4-4C40-B815-1441BB8D487F}"/>
            </a:ext>
          </a:extLst>
        </xdr:cNvPr>
        <xdr:cNvSpPr/>
      </xdr:nvSpPr>
      <xdr:spPr>
        <a:xfrm rot="5400000" flipV="1">
          <a:off x="8453020" y="7965598"/>
          <a:ext cx="655881" cy="288537"/>
        </a:xfrm>
        <a:custGeom>
          <a:avLst/>
          <a:gdLst>
            <a:gd name="connsiteX0" fmla="*/ 0 w 233265"/>
            <a:gd name="connsiteY0" fmla="*/ 0 h 2011914"/>
            <a:gd name="connsiteX1" fmla="*/ 0 w 233265"/>
            <a:gd name="connsiteY1" fmla="*/ 2011914 h 2011914"/>
            <a:gd name="connsiteX2" fmla="*/ 233265 w 233265"/>
            <a:gd name="connsiteY2" fmla="*/ 2011914 h 201191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33265" h="2011914">
              <a:moveTo>
                <a:pt x="0" y="0"/>
              </a:moveTo>
              <a:lnTo>
                <a:pt x="0" y="2011914"/>
              </a:lnTo>
              <a:lnTo>
                <a:pt x="233265" y="2011914"/>
              </a:lnTo>
            </a:path>
          </a:pathLst>
        </a:custGeom>
        <a:noFill/>
        <a:ln w="25400">
          <a:solidFill>
            <a:srgbClr val="00B0F0"/>
          </a:solidFill>
          <a:tailEnd type="non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32</xdr:col>
      <xdr:colOff>9499</xdr:colOff>
      <xdr:row>33</xdr:row>
      <xdr:rowOff>9031</xdr:rowOff>
    </xdr:from>
    <xdr:to>
      <xdr:col>39</xdr:col>
      <xdr:colOff>8883</xdr:colOff>
      <xdr:row>36</xdr:row>
      <xdr:rowOff>155387</xdr:rowOff>
    </xdr:to>
    <xdr:sp macro="" textlink="">
      <xdr:nvSpPr>
        <xdr:cNvPr id="77" name="자유형: 도형 76">
          <a:extLst>
            <a:ext uri="{FF2B5EF4-FFF2-40B4-BE49-F238E27FC236}">
              <a16:creationId xmlns:a16="http://schemas.microsoft.com/office/drawing/2014/main" id="{87B3D780-5023-4808-AD23-63DFBF6B161E}"/>
            </a:ext>
          </a:extLst>
        </xdr:cNvPr>
        <xdr:cNvSpPr/>
      </xdr:nvSpPr>
      <xdr:spPr>
        <a:xfrm flipH="1">
          <a:off x="7324699" y="7133731"/>
          <a:ext cx="1599584" cy="794056"/>
        </a:xfrm>
        <a:custGeom>
          <a:avLst/>
          <a:gdLst>
            <a:gd name="connsiteX0" fmla="*/ 0 w 2095500"/>
            <a:gd name="connsiteY0" fmla="*/ 651710 h 651710"/>
            <a:gd name="connsiteX1" fmla="*/ 0 w 2095500"/>
            <a:gd name="connsiteY1" fmla="*/ 0 h 651710"/>
            <a:gd name="connsiteX2" fmla="*/ 2095500 w 2095500"/>
            <a:gd name="connsiteY2" fmla="*/ 0 h 651710"/>
            <a:gd name="connsiteX3" fmla="*/ 2095500 w 2095500"/>
            <a:gd name="connsiteY3" fmla="*/ 421105 h 65171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095500" h="651710">
              <a:moveTo>
                <a:pt x="0" y="651710"/>
              </a:moveTo>
              <a:lnTo>
                <a:pt x="0" y="0"/>
              </a:lnTo>
              <a:lnTo>
                <a:pt x="2095500" y="0"/>
              </a:lnTo>
              <a:lnTo>
                <a:pt x="2095500" y="421105"/>
              </a:lnTo>
            </a:path>
          </a:pathLst>
        </a:custGeom>
        <a:noFill/>
        <a:ln w="25400">
          <a:solidFill>
            <a:srgbClr val="00B0F0"/>
          </a:solidFill>
          <a:headEnd type="none"/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41</xdr:col>
      <xdr:colOff>136060</xdr:colOff>
      <xdr:row>26</xdr:row>
      <xdr:rowOff>126707</xdr:rowOff>
    </xdr:from>
    <xdr:to>
      <xdr:col>42</xdr:col>
      <xdr:colOff>153091</xdr:colOff>
      <xdr:row>27</xdr:row>
      <xdr:rowOff>107148</xdr:rowOff>
    </xdr:to>
    <xdr:sp macro="" textlink="">
      <xdr:nvSpPr>
        <xdr:cNvPr id="78" name="순서도: 대조 77">
          <a:extLst>
            <a:ext uri="{FF2B5EF4-FFF2-40B4-BE49-F238E27FC236}">
              <a16:creationId xmlns:a16="http://schemas.microsoft.com/office/drawing/2014/main" id="{C11AD661-C022-4EDA-8D32-6612192F10AA}"/>
            </a:ext>
          </a:extLst>
        </xdr:cNvPr>
        <xdr:cNvSpPr/>
      </xdr:nvSpPr>
      <xdr:spPr>
        <a:xfrm rot="16200000">
          <a:off x="9533305" y="5715462"/>
          <a:ext cx="196341" cy="245631"/>
        </a:xfrm>
        <a:prstGeom prst="flowChartCollat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41</xdr:col>
      <xdr:colOff>9211</xdr:colOff>
      <xdr:row>29</xdr:row>
      <xdr:rowOff>151093</xdr:rowOff>
    </xdr:from>
    <xdr:to>
      <xdr:col>45</xdr:col>
      <xdr:colOff>48947</xdr:colOff>
      <xdr:row>31</xdr:row>
      <xdr:rowOff>55768</xdr:rowOff>
    </xdr:to>
    <xdr:grpSp>
      <xdr:nvGrpSpPr>
        <xdr:cNvPr id="79" name="그룹 78">
          <a:extLst>
            <a:ext uri="{FF2B5EF4-FFF2-40B4-BE49-F238E27FC236}">
              <a16:creationId xmlns:a16="http://schemas.microsoft.com/office/drawing/2014/main" id="{2D5A89D8-07D2-4C9D-B32C-25B84AB64925}"/>
            </a:ext>
          </a:extLst>
        </xdr:cNvPr>
        <xdr:cNvGrpSpPr/>
      </xdr:nvGrpSpPr>
      <xdr:grpSpPr>
        <a:xfrm>
          <a:off x="9242977" y="6680048"/>
          <a:ext cx="933931" cy="354947"/>
          <a:chOff x="13144500" y="6837947"/>
          <a:chExt cx="962307" cy="277562"/>
        </a:xfrm>
      </xdr:grpSpPr>
      <xdr:sp macro="" textlink="">
        <xdr:nvSpPr>
          <xdr:cNvPr id="80" name="자유형: 도형 79">
            <a:extLst>
              <a:ext uri="{FF2B5EF4-FFF2-40B4-BE49-F238E27FC236}">
                <a16:creationId xmlns:a16="http://schemas.microsoft.com/office/drawing/2014/main" id="{D69EEF1A-F2C9-1224-5FF0-A425F6510183}"/>
              </a:ext>
            </a:extLst>
          </xdr:cNvPr>
          <xdr:cNvSpPr/>
        </xdr:nvSpPr>
        <xdr:spPr>
          <a:xfrm>
            <a:off x="13144500" y="6901781"/>
            <a:ext cx="962307" cy="213728"/>
          </a:xfrm>
          <a:custGeom>
            <a:avLst/>
            <a:gdLst>
              <a:gd name="connsiteX0" fmla="*/ 0 w 1838325"/>
              <a:gd name="connsiteY0" fmla="*/ 0 h 0"/>
              <a:gd name="connsiteX1" fmla="*/ 1838325 w 1838325"/>
              <a:gd name="connsiteY1" fmla="*/ 0 h 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</a:cxnLst>
            <a:rect l="l" t="t" r="r" b="b"/>
            <a:pathLst>
              <a:path w="1838325">
                <a:moveTo>
                  <a:pt x="0" y="0"/>
                </a:moveTo>
                <a:lnTo>
                  <a:pt x="1838325" y="0"/>
                </a:lnTo>
              </a:path>
            </a:pathLst>
          </a:custGeom>
          <a:noFill/>
          <a:ln w="25400">
            <a:solidFill>
              <a:srgbClr val="00B0F0"/>
            </a:solidFill>
            <a:tailEnd type="triangle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1" name="순서도: 대조 80">
            <a:extLst>
              <a:ext uri="{FF2B5EF4-FFF2-40B4-BE49-F238E27FC236}">
                <a16:creationId xmlns:a16="http://schemas.microsoft.com/office/drawing/2014/main" id="{24366059-3D01-356D-BA8B-A60D408EFE3B}"/>
              </a:ext>
            </a:extLst>
          </xdr:cNvPr>
          <xdr:cNvSpPr/>
        </xdr:nvSpPr>
        <xdr:spPr>
          <a:xfrm rot="16200000">
            <a:off x="13310187" y="6796252"/>
            <a:ext cx="164095" cy="247486"/>
          </a:xfrm>
          <a:prstGeom prst="flowChartCollat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41</xdr:col>
      <xdr:colOff>19510</xdr:colOff>
      <xdr:row>32</xdr:row>
      <xdr:rowOff>142086</xdr:rowOff>
    </xdr:from>
    <xdr:to>
      <xdr:col>45</xdr:col>
      <xdr:colOff>59246</xdr:colOff>
      <xdr:row>34</xdr:row>
      <xdr:rowOff>37846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23F71944-9ED6-48BA-8BFA-584DD1386962}"/>
            </a:ext>
          </a:extLst>
        </xdr:cNvPr>
        <xdr:cNvGrpSpPr/>
      </xdr:nvGrpSpPr>
      <xdr:grpSpPr>
        <a:xfrm>
          <a:off x="9250101" y="7349625"/>
          <a:ext cx="940281" cy="342857"/>
          <a:chOff x="13144500" y="6837947"/>
          <a:chExt cx="962307" cy="277562"/>
        </a:xfrm>
      </xdr:grpSpPr>
      <xdr:sp macro="" textlink="">
        <xdr:nvSpPr>
          <xdr:cNvPr id="83" name="자유형: 도형 82">
            <a:extLst>
              <a:ext uri="{FF2B5EF4-FFF2-40B4-BE49-F238E27FC236}">
                <a16:creationId xmlns:a16="http://schemas.microsoft.com/office/drawing/2014/main" id="{5BF4A0B4-F49C-DF26-F760-CBF62DCF0A0C}"/>
              </a:ext>
            </a:extLst>
          </xdr:cNvPr>
          <xdr:cNvSpPr/>
        </xdr:nvSpPr>
        <xdr:spPr>
          <a:xfrm>
            <a:off x="13144500" y="6901781"/>
            <a:ext cx="962307" cy="213728"/>
          </a:xfrm>
          <a:custGeom>
            <a:avLst/>
            <a:gdLst>
              <a:gd name="connsiteX0" fmla="*/ 0 w 1838325"/>
              <a:gd name="connsiteY0" fmla="*/ 0 h 0"/>
              <a:gd name="connsiteX1" fmla="*/ 1838325 w 1838325"/>
              <a:gd name="connsiteY1" fmla="*/ 0 h 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</a:cxnLst>
            <a:rect l="l" t="t" r="r" b="b"/>
            <a:pathLst>
              <a:path w="1838325">
                <a:moveTo>
                  <a:pt x="0" y="0"/>
                </a:moveTo>
                <a:lnTo>
                  <a:pt x="1838325" y="0"/>
                </a:lnTo>
              </a:path>
            </a:pathLst>
          </a:custGeom>
          <a:noFill/>
          <a:ln w="25400">
            <a:solidFill>
              <a:srgbClr val="00B0F0"/>
            </a:solidFill>
            <a:tailEnd type="triangle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4" name="순서도: 대조 83">
            <a:extLst>
              <a:ext uri="{FF2B5EF4-FFF2-40B4-BE49-F238E27FC236}">
                <a16:creationId xmlns:a16="http://schemas.microsoft.com/office/drawing/2014/main" id="{139B8A72-0E1E-EE37-663F-4E5013FC75E3}"/>
              </a:ext>
            </a:extLst>
          </xdr:cNvPr>
          <xdr:cNvSpPr/>
        </xdr:nvSpPr>
        <xdr:spPr>
          <a:xfrm rot="16200000">
            <a:off x="13310187" y="6796252"/>
            <a:ext cx="164095" cy="247486"/>
          </a:xfrm>
          <a:prstGeom prst="flowChartCollat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40</xdr:col>
      <xdr:colOff>225796</xdr:colOff>
      <xdr:row>35</xdr:row>
      <xdr:rowOff>131171</xdr:rowOff>
    </xdr:from>
    <xdr:to>
      <xdr:col>45</xdr:col>
      <xdr:colOff>28350</xdr:colOff>
      <xdr:row>37</xdr:row>
      <xdr:rowOff>17406</xdr:rowOff>
    </xdr:to>
    <xdr:grpSp>
      <xdr:nvGrpSpPr>
        <xdr:cNvPr id="85" name="그룹 84">
          <a:extLst>
            <a:ext uri="{FF2B5EF4-FFF2-40B4-BE49-F238E27FC236}">
              <a16:creationId xmlns:a16="http://schemas.microsoft.com/office/drawing/2014/main" id="{6CCF00A0-2FB5-4E9E-9DDF-5E0FF3A96721}"/>
            </a:ext>
          </a:extLst>
        </xdr:cNvPr>
        <xdr:cNvGrpSpPr/>
      </xdr:nvGrpSpPr>
      <xdr:grpSpPr>
        <a:xfrm>
          <a:off x="9231251" y="8010944"/>
          <a:ext cx="931410" cy="336507"/>
          <a:chOff x="13144500" y="6837947"/>
          <a:chExt cx="962307" cy="277562"/>
        </a:xfrm>
      </xdr:grpSpPr>
      <xdr:sp macro="" textlink="">
        <xdr:nvSpPr>
          <xdr:cNvPr id="86" name="자유형: 도형 85">
            <a:extLst>
              <a:ext uri="{FF2B5EF4-FFF2-40B4-BE49-F238E27FC236}">
                <a16:creationId xmlns:a16="http://schemas.microsoft.com/office/drawing/2014/main" id="{9983C4E4-76B2-4658-4121-3143675147D4}"/>
              </a:ext>
            </a:extLst>
          </xdr:cNvPr>
          <xdr:cNvSpPr/>
        </xdr:nvSpPr>
        <xdr:spPr>
          <a:xfrm>
            <a:off x="13144500" y="6901781"/>
            <a:ext cx="962307" cy="213728"/>
          </a:xfrm>
          <a:custGeom>
            <a:avLst/>
            <a:gdLst>
              <a:gd name="connsiteX0" fmla="*/ 0 w 1838325"/>
              <a:gd name="connsiteY0" fmla="*/ 0 h 0"/>
              <a:gd name="connsiteX1" fmla="*/ 1838325 w 1838325"/>
              <a:gd name="connsiteY1" fmla="*/ 0 h 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</a:cxnLst>
            <a:rect l="l" t="t" r="r" b="b"/>
            <a:pathLst>
              <a:path w="1838325">
                <a:moveTo>
                  <a:pt x="0" y="0"/>
                </a:moveTo>
                <a:lnTo>
                  <a:pt x="1838325" y="0"/>
                </a:lnTo>
              </a:path>
            </a:pathLst>
          </a:custGeom>
          <a:noFill/>
          <a:ln w="25400">
            <a:solidFill>
              <a:srgbClr val="00B0F0"/>
            </a:solidFill>
            <a:tailEnd type="triangle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7" name="순서도: 대조 86">
            <a:extLst>
              <a:ext uri="{FF2B5EF4-FFF2-40B4-BE49-F238E27FC236}">
                <a16:creationId xmlns:a16="http://schemas.microsoft.com/office/drawing/2014/main" id="{B304CFA4-70D1-F9AC-96DF-BB6E89D8D1EB}"/>
              </a:ext>
            </a:extLst>
          </xdr:cNvPr>
          <xdr:cNvSpPr/>
        </xdr:nvSpPr>
        <xdr:spPr>
          <a:xfrm rot="16200000">
            <a:off x="13310187" y="6796252"/>
            <a:ext cx="164095" cy="247486"/>
          </a:xfrm>
          <a:prstGeom prst="flowChartCollat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38</xdr:col>
      <xdr:colOff>116634</xdr:colOff>
      <xdr:row>6</xdr:row>
      <xdr:rowOff>142626</xdr:rowOff>
    </xdr:from>
    <xdr:to>
      <xdr:col>39</xdr:col>
      <xdr:colOff>136075</xdr:colOff>
      <xdr:row>7</xdr:row>
      <xdr:rowOff>111170</xdr:rowOff>
    </xdr:to>
    <xdr:sp macro="" textlink="">
      <xdr:nvSpPr>
        <xdr:cNvPr id="88" name="순서도: 대조 87">
          <a:extLst>
            <a:ext uri="{FF2B5EF4-FFF2-40B4-BE49-F238E27FC236}">
              <a16:creationId xmlns:a16="http://schemas.microsoft.com/office/drawing/2014/main" id="{894EF9FB-717F-4680-9DC5-1D0503C910F1}"/>
            </a:ext>
          </a:extLst>
        </xdr:cNvPr>
        <xdr:cNvSpPr/>
      </xdr:nvSpPr>
      <xdr:spPr>
        <a:xfrm rot="16200000">
          <a:off x="8835233" y="1406227"/>
          <a:ext cx="184444" cy="248041"/>
        </a:xfrm>
        <a:prstGeom prst="flowChartCollat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38</xdr:col>
      <xdr:colOff>103737</xdr:colOff>
      <xdr:row>9</xdr:row>
      <xdr:rowOff>132909</xdr:rowOff>
    </xdr:from>
    <xdr:to>
      <xdr:col>39</xdr:col>
      <xdr:colOff>123178</xdr:colOff>
      <xdr:row>10</xdr:row>
      <xdr:rowOff>88755</xdr:rowOff>
    </xdr:to>
    <xdr:sp macro="" textlink="">
      <xdr:nvSpPr>
        <xdr:cNvPr id="89" name="순서도: 대조 88">
          <a:extLst>
            <a:ext uri="{FF2B5EF4-FFF2-40B4-BE49-F238E27FC236}">
              <a16:creationId xmlns:a16="http://schemas.microsoft.com/office/drawing/2014/main" id="{65A7C18B-82FB-4AE5-89FF-953F07E16FA2}"/>
            </a:ext>
          </a:extLst>
        </xdr:cNvPr>
        <xdr:cNvSpPr/>
      </xdr:nvSpPr>
      <xdr:spPr>
        <a:xfrm rot="16200000">
          <a:off x="8828685" y="2037861"/>
          <a:ext cx="171746" cy="248041"/>
        </a:xfrm>
        <a:prstGeom prst="flowChartCollat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51</xdr:col>
      <xdr:colOff>53975</xdr:colOff>
      <xdr:row>21</xdr:row>
      <xdr:rowOff>19050</xdr:rowOff>
    </xdr:from>
    <xdr:to>
      <xdr:col>52</xdr:col>
      <xdr:colOff>161376</xdr:colOff>
      <xdr:row>22</xdr:row>
      <xdr:rowOff>198599</xdr:rowOff>
    </xdr:to>
    <xdr:grpSp>
      <xdr:nvGrpSpPr>
        <xdr:cNvPr id="90" name="그룹 89">
          <a:extLst>
            <a:ext uri="{FF2B5EF4-FFF2-40B4-BE49-F238E27FC236}">
              <a16:creationId xmlns:a16="http://schemas.microsoft.com/office/drawing/2014/main" id="{A4331FA4-B41D-4507-BDEC-36A962C0A952}"/>
            </a:ext>
          </a:extLst>
        </xdr:cNvPr>
        <xdr:cNvGrpSpPr/>
      </xdr:nvGrpSpPr>
      <xdr:grpSpPr>
        <a:xfrm>
          <a:off x="11535930" y="4746914"/>
          <a:ext cx="335712" cy="407860"/>
          <a:chOff x="5522604" y="2931283"/>
          <a:chExt cx="322713" cy="334655"/>
        </a:xfrm>
      </xdr:grpSpPr>
      <xdr:sp macro="" textlink="">
        <xdr:nvSpPr>
          <xdr:cNvPr id="91" name="순서도: 연결자 90">
            <a:extLst>
              <a:ext uri="{FF2B5EF4-FFF2-40B4-BE49-F238E27FC236}">
                <a16:creationId xmlns:a16="http://schemas.microsoft.com/office/drawing/2014/main" id="{C722A04D-F75A-0C13-11D1-8AE605400C4E}"/>
              </a:ext>
            </a:extLst>
          </xdr:cNvPr>
          <xdr:cNvSpPr/>
        </xdr:nvSpPr>
        <xdr:spPr>
          <a:xfrm>
            <a:off x="5522604" y="2931283"/>
            <a:ext cx="322713" cy="334655"/>
          </a:xfrm>
          <a:prstGeom prst="flowChartConnector">
            <a:avLst/>
          </a:prstGeom>
          <a:noFill/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" name="순서도: 연결자 91">
            <a:extLst>
              <a:ext uri="{FF2B5EF4-FFF2-40B4-BE49-F238E27FC236}">
                <a16:creationId xmlns:a16="http://schemas.microsoft.com/office/drawing/2014/main" id="{53908726-D042-B700-F65F-A3B16E9024FA}"/>
              </a:ext>
            </a:extLst>
          </xdr:cNvPr>
          <xdr:cNvSpPr/>
        </xdr:nvSpPr>
        <xdr:spPr>
          <a:xfrm>
            <a:off x="5619228" y="2954598"/>
            <a:ext cx="132213" cy="134393"/>
          </a:xfrm>
          <a:prstGeom prst="flowChartConnector">
            <a:avLst/>
          </a:prstGeom>
          <a:solidFill>
            <a:schemeClr val="bg1"/>
          </a:solidFill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" name="순서도: 연결자 92">
            <a:extLst>
              <a:ext uri="{FF2B5EF4-FFF2-40B4-BE49-F238E27FC236}">
                <a16:creationId xmlns:a16="http://schemas.microsoft.com/office/drawing/2014/main" id="{4242A3ED-E723-BF90-1EA9-EBCB14A1DF84}"/>
              </a:ext>
            </a:extLst>
          </xdr:cNvPr>
          <xdr:cNvSpPr/>
        </xdr:nvSpPr>
        <xdr:spPr>
          <a:xfrm>
            <a:off x="5622592" y="3112259"/>
            <a:ext cx="129038" cy="131218"/>
          </a:xfrm>
          <a:prstGeom prst="flowChartConnector">
            <a:avLst/>
          </a:prstGeom>
          <a:solidFill>
            <a:schemeClr val="bg1"/>
          </a:solidFill>
          <a:ln w="254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28</xdr:col>
      <xdr:colOff>0</xdr:colOff>
      <xdr:row>6</xdr:row>
      <xdr:rowOff>44450</xdr:rowOff>
    </xdr:from>
    <xdr:to>
      <xdr:col>33</xdr:col>
      <xdr:colOff>171450</xdr:colOff>
      <xdr:row>7</xdr:row>
      <xdr:rowOff>190154</xdr:rowOff>
    </xdr:to>
    <xdr:sp macro="" textlink="">
      <xdr:nvSpPr>
        <xdr:cNvPr id="94" name="화살표: 오각형 93">
          <a:extLst>
            <a:ext uri="{FF2B5EF4-FFF2-40B4-BE49-F238E27FC236}">
              <a16:creationId xmlns:a16="http://schemas.microsoft.com/office/drawing/2014/main" id="{547AF788-3257-436D-AAE1-29AEFA954DF7}"/>
            </a:ext>
          </a:extLst>
        </xdr:cNvPr>
        <xdr:cNvSpPr/>
      </xdr:nvSpPr>
      <xdr:spPr>
        <a:xfrm>
          <a:off x="6400800" y="1339850"/>
          <a:ext cx="1314450" cy="361604"/>
        </a:xfrm>
        <a:prstGeom prst="homePlat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ko-KR" altLang="en-US" sz="1400"/>
            <a:t>오수처리장</a:t>
          </a:r>
        </a:p>
      </xdr:txBody>
    </xdr:sp>
    <xdr:clientData/>
  </xdr:twoCellAnchor>
  <xdr:twoCellAnchor>
    <xdr:from>
      <xdr:col>1</xdr:col>
      <xdr:colOff>0</xdr:colOff>
      <xdr:row>43</xdr:row>
      <xdr:rowOff>0</xdr:rowOff>
    </xdr:from>
    <xdr:to>
      <xdr:col>31</xdr:col>
      <xdr:colOff>114300</xdr:colOff>
      <xdr:row>45</xdr:row>
      <xdr:rowOff>0</xdr:rowOff>
    </xdr:to>
    <xdr:sp macro="" textlink="">
      <xdr:nvSpPr>
        <xdr:cNvPr id="95" name="자유형: 도형 94">
          <a:extLst>
            <a:ext uri="{FF2B5EF4-FFF2-40B4-BE49-F238E27FC236}">
              <a16:creationId xmlns:a16="http://schemas.microsoft.com/office/drawing/2014/main" id="{7A5011A8-53F9-4B3B-9B66-4B39AA58C831}"/>
            </a:ext>
          </a:extLst>
        </xdr:cNvPr>
        <xdr:cNvSpPr/>
      </xdr:nvSpPr>
      <xdr:spPr>
        <a:xfrm>
          <a:off x="228600" y="9283700"/>
          <a:ext cx="6972300" cy="431800"/>
        </a:xfrm>
        <a:custGeom>
          <a:avLst/>
          <a:gdLst>
            <a:gd name="connsiteX0" fmla="*/ 0 w 6972300"/>
            <a:gd name="connsiteY0" fmla="*/ 0 h 438150"/>
            <a:gd name="connsiteX1" fmla="*/ 219075 w 6972300"/>
            <a:gd name="connsiteY1" fmla="*/ 219075 h 438150"/>
            <a:gd name="connsiteX2" fmla="*/ 6972300 w 6972300"/>
            <a:gd name="connsiteY2" fmla="*/ 219075 h 438150"/>
            <a:gd name="connsiteX3" fmla="*/ 6972300 w 6972300"/>
            <a:gd name="connsiteY3" fmla="*/ 438150 h 4381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972300" h="438150">
              <a:moveTo>
                <a:pt x="0" y="0"/>
              </a:moveTo>
              <a:lnTo>
                <a:pt x="219075" y="219075"/>
              </a:lnTo>
              <a:lnTo>
                <a:pt x="6972300" y="219075"/>
              </a:lnTo>
              <a:lnTo>
                <a:pt x="6972300" y="438150"/>
              </a:lnTo>
            </a:path>
          </a:pathLst>
        </a:custGeom>
        <a:noFill/>
        <a:ln w="38100">
          <a:solidFill>
            <a:schemeClr val="tx1"/>
          </a:solidFill>
          <a:tailEnd type="arrow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114300</xdr:colOff>
      <xdr:row>43</xdr:row>
      <xdr:rowOff>0</xdr:rowOff>
    </xdr:from>
    <xdr:to>
      <xdr:col>62</xdr:col>
      <xdr:colOff>9524</xdr:colOff>
      <xdr:row>45</xdr:row>
      <xdr:rowOff>0</xdr:rowOff>
    </xdr:to>
    <xdr:sp macro="" textlink="">
      <xdr:nvSpPr>
        <xdr:cNvPr id="96" name="자유형: 도형 95">
          <a:extLst>
            <a:ext uri="{FF2B5EF4-FFF2-40B4-BE49-F238E27FC236}">
              <a16:creationId xmlns:a16="http://schemas.microsoft.com/office/drawing/2014/main" id="{795DFB70-F7DF-4D47-A041-234D0847CF78}"/>
            </a:ext>
          </a:extLst>
        </xdr:cNvPr>
        <xdr:cNvSpPr/>
      </xdr:nvSpPr>
      <xdr:spPr>
        <a:xfrm flipH="1">
          <a:off x="7200900" y="9283700"/>
          <a:ext cx="6981824" cy="431800"/>
        </a:xfrm>
        <a:custGeom>
          <a:avLst/>
          <a:gdLst>
            <a:gd name="connsiteX0" fmla="*/ 0 w 6972300"/>
            <a:gd name="connsiteY0" fmla="*/ 0 h 438150"/>
            <a:gd name="connsiteX1" fmla="*/ 219075 w 6972300"/>
            <a:gd name="connsiteY1" fmla="*/ 219075 h 438150"/>
            <a:gd name="connsiteX2" fmla="*/ 6972300 w 6972300"/>
            <a:gd name="connsiteY2" fmla="*/ 219075 h 438150"/>
            <a:gd name="connsiteX3" fmla="*/ 6972300 w 6972300"/>
            <a:gd name="connsiteY3" fmla="*/ 438150 h 4381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972300" h="438150">
              <a:moveTo>
                <a:pt x="0" y="0"/>
              </a:moveTo>
              <a:lnTo>
                <a:pt x="219075" y="219075"/>
              </a:lnTo>
              <a:lnTo>
                <a:pt x="6972300" y="219075"/>
              </a:lnTo>
              <a:lnTo>
                <a:pt x="6972300" y="438150"/>
              </a:lnTo>
            </a:path>
          </a:pathLst>
        </a:custGeom>
        <a:noFill/>
        <a:ln w="38100">
          <a:solidFill>
            <a:schemeClr val="tx1"/>
          </a:solidFill>
          <a:tailEnd type="arrow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28</xdr:col>
      <xdr:colOff>228597</xdr:colOff>
      <xdr:row>31</xdr:row>
      <xdr:rowOff>76201</xdr:rowOff>
    </xdr:from>
    <xdr:to>
      <xdr:col>30</xdr:col>
      <xdr:colOff>10228</xdr:colOff>
      <xdr:row>35</xdr:row>
      <xdr:rowOff>130177</xdr:rowOff>
    </xdr:to>
    <xdr:sp macro="" textlink="">
      <xdr:nvSpPr>
        <xdr:cNvPr id="97" name="화살표: 오각형 96">
          <a:extLst>
            <a:ext uri="{FF2B5EF4-FFF2-40B4-BE49-F238E27FC236}">
              <a16:creationId xmlns:a16="http://schemas.microsoft.com/office/drawing/2014/main" id="{212B7F77-7C67-4385-8DC6-4A33DEE407DC}"/>
            </a:ext>
          </a:extLst>
        </xdr:cNvPr>
        <xdr:cNvSpPr/>
      </xdr:nvSpPr>
      <xdr:spPr>
        <a:xfrm rot="5400000">
          <a:off x="6290025" y="7108473"/>
          <a:ext cx="917576" cy="238831"/>
        </a:xfrm>
        <a:prstGeom prst="homePlate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en-US" altLang="ko-KR" sz="1400" b="1" baseline="0">
              <a:latin typeface="돋움" panose="020B0600000101010101" pitchFamily="50" charset="-127"/>
              <a:ea typeface="돋움" panose="020B0600000101010101" pitchFamily="50" charset="-127"/>
            </a:rPr>
            <a:t>①</a:t>
          </a:r>
          <a:r>
            <a:rPr lang="en-US" altLang="ko-KR" sz="1400" baseline="0">
              <a:latin typeface="돋움" panose="020B0600000101010101" pitchFamily="50" charset="-127"/>
              <a:ea typeface="돋움" panose="020B0600000101010101" pitchFamily="50" charset="-127"/>
            </a:rPr>
            <a:t> </a:t>
          </a:r>
          <a:endParaRPr lang="ko-KR" altLang="en-US" sz="1400"/>
        </a:p>
      </xdr:txBody>
    </xdr:sp>
    <xdr:clientData/>
  </xdr:twoCellAnchor>
  <xdr:twoCellAnchor>
    <xdr:from>
      <xdr:col>31</xdr:col>
      <xdr:colOff>104775</xdr:colOff>
      <xdr:row>45</xdr:row>
      <xdr:rowOff>6351</xdr:rowOff>
    </xdr:from>
    <xdr:to>
      <xdr:col>40</xdr:col>
      <xdr:colOff>190500</xdr:colOff>
      <xdr:row>46</xdr:row>
      <xdr:rowOff>57151</xdr:rowOff>
    </xdr:to>
    <xdr:sp macro="" textlink="">
      <xdr:nvSpPr>
        <xdr:cNvPr id="98" name="화살표: 오각형 97">
          <a:extLst>
            <a:ext uri="{FF2B5EF4-FFF2-40B4-BE49-F238E27FC236}">
              <a16:creationId xmlns:a16="http://schemas.microsoft.com/office/drawing/2014/main" id="{EDB4C6CD-E586-4656-9C1D-443456E3ECEE}"/>
            </a:ext>
          </a:extLst>
        </xdr:cNvPr>
        <xdr:cNvSpPr/>
      </xdr:nvSpPr>
      <xdr:spPr>
        <a:xfrm>
          <a:off x="7191375" y="9721851"/>
          <a:ext cx="2143125" cy="266700"/>
        </a:xfrm>
        <a:prstGeom prst="homePlat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ctr"/>
          <a:r>
            <a:rPr lang="en-US" altLang="ko-KR" sz="1400"/>
            <a:t>to </a:t>
          </a:r>
          <a:r>
            <a:rPr lang="ko-KR" altLang="en-US" sz="1400"/>
            <a:t>승기하수처리장</a:t>
          </a:r>
        </a:p>
      </xdr:txBody>
    </xdr:sp>
    <xdr:clientData/>
  </xdr:twoCellAnchor>
  <xdr:twoCellAnchor>
    <xdr:from>
      <xdr:col>15</xdr:col>
      <xdr:colOff>6350</xdr:colOff>
      <xdr:row>12</xdr:row>
      <xdr:rowOff>6520</xdr:rowOff>
    </xdr:from>
    <xdr:to>
      <xdr:col>21</xdr:col>
      <xdr:colOff>106132</xdr:colOff>
      <xdr:row>25</xdr:row>
      <xdr:rowOff>0</xdr:rowOff>
    </xdr:to>
    <xdr:sp macro="" textlink="">
      <xdr:nvSpPr>
        <xdr:cNvPr id="99" name="자유형: 도형 98">
          <a:extLst>
            <a:ext uri="{FF2B5EF4-FFF2-40B4-BE49-F238E27FC236}">
              <a16:creationId xmlns:a16="http://schemas.microsoft.com/office/drawing/2014/main" id="{A28E89F3-1C46-4C17-B07C-74C770AE1751}"/>
            </a:ext>
          </a:extLst>
        </xdr:cNvPr>
        <xdr:cNvSpPr/>
      </xdr:nvSpPr>
      <xdr:spPr>
        <a:xfrm flipH="1">
          <a:off x="3435350" y="2597320"/>
          <a:ext cx="1471382" cy="2800180"/>
        </a:xfrm>
        <a:custGeom>
          <a:avLst/>
          <a:gdLst>
            <a:gd name="connsiteX0" fmla="*/ 0 w 233265"/>
            <a:gd name="connsiteY0" fmla="*/ 0 h 2011914"/>
            <a:gd name="connsiteX1" fmla="*/ 0 w 233265"/>
            <a:gd name="connsiteY1" fmla="*/ 2011914 h 2011914"/>
            <a:gd name="connsiteX2" fmla="*/ 233265 w 233265"/>
            <a:gd name="connsiteY2" fmla="*/ 2011914 h 201191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33265" h="2011914">
              <a:moveTo>
                <a:pt x="0" y="0"/>
              </a:moveTo>
              <a:lnTo>
                <a:pt x="0" y="2011914"/>
              </a:lnTo>
              <a:lnTo>
                <a:pt x="233265" y="2011914"/>
              </a:lnTo>
            </a:path>
          </a:pathLst>
        </a:custGeom>
        <a:noFill/>
        <a:ln w="25400">
          <a:solidFill>
            <a:schemeClr val="tx2">
              <a:lumMod val="50000"/>
              <a:lumOff val="50000"/>
            </a:schemeClr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199563</xdr:colOff>
      <xdr:row>24</xdr:row>
      <xdr:rowOff>126707</xdr:rowOff>
    </xdr:from>
    <xdr:to>
      <xdr:col>16</xdr:col>
      <xdr:colOff>216594</xdr:colOff>
      <xdr:row>25</xdr:row>
      <xdr:rowOff>107148</xdr:rowOff>
    </xdr:to>
    <xdr:sp macro="" textlink="">
      <xdr:nvSpPr>
        <xdr:cNvPr id="100" name="순서도: 대조 99">
          <a:extLst>
            <a:ext uri="{FF2B5EF4-FFF2-40B4-BE49-F238E27FC236}">
              <a16:creationId xmlns:a16="http://schemas.microsoft.com/office/drawing/2014/main" id="{EBF26891-D013-49E2-8C7F-165857ACCA42}"/>
            </a:ext>
          </a:extLst>
        </xdr:cNvPr>
        <xdr:cNvSpPr/>
      </xdr:nvSpPr>
      <xdr:spPr>
        <a:xfrm rot="16200000">
          <a:off x="3653208" y="5283662"/>
          <a:ext cx="196341" cy="245631"/>
        </a:xfrm>
        <a:prstGeom prst="flowChartCollat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19049</xdr:colOff>
      <xdr:row>24</xdr:row>
      <xdr:rowOff>64980</xdr:rowOff>
    </xdr:from>
    <xdr:to>
      <xdr:col>15</xdr:col>
      <xdr:colOff>682</xdr:colOff>
      <xdr:row>25</xdr:row>
      <xdr:rowOff>202578</xdr:rowOff>
    </xdr:to>
    <xdr:sp macro="" textlink="">
      <xdr:nvSpPr>
        <xdr:cNvPr id="101" name="화살표: 오각형 100">
          <a:extLst>
            <a:ext uri="{FF2B5EF4-FFF2-40B4-BE49-F238E27FC236}">
              <a16:creationId xmlns:a16="http://schemas.microsoft.com/office/drawing/2014/main" id="{3BE4EEF0-66EE-4CF0-9929-32E045A44957}"/>
            </a:ext>
          </a:extLst>
        </xdr:cNvPr>
        <xdr:cNvSpPr/>
      </xdr:nvSpPr>
      <xdr:spPr>
        <a:xfrm flipH="1">
          <a:off x="1619249" y="5246580"/>
          <a:ext cx="1810433" cy="353498"/>
        </a:xfrm>
        <a:prstGeom prst="homePlate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44000" tIns="0" rIns="0" bIns="0" rtlCol="0" anchor="ctr" anchorCtr="0"/>
        <a:lstStyle/>
        <a:p>
          <a:pPr algn="l"/>
          <a:r>
            <a:rPr lang="en-US" altLang="ko-KR" sz="1400"/>
            <a:t>Fuel Cell Make-up</a:t>
          </a:r>
          <a:endParaRPr lang="ko-KR" altLang="en-US" sz="14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XLS\ALL-XLS\ULSAN\PRIC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8;&#50612;&#49892;\My%20Documents\Cashflow\model\01B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8;&#50612;&#49892;\My%20Documents\client\&#45768;&#53944;&#51221;&#48372;\yearend\WINDOWS\Temporary%20Internet%20Files\Content.IE5\2TC1SH01\IIIIIIIIIIIIIIIIKamco_abs\Template\&#49688;&#51221;Template\&#52380;&#44305;&#49328;&#50629;(&#51452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wk\c\5N10\PJT%20Control\Job\5n10\CODE509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8;&#50612;&#49892;\&#49888;&#51221;&#49453;%20&#50629;&#47924;\2016&#45380;\&#49324;&#50629;&#44228;&#54925;\&#50696;&#49328;&#44288;&#47144;\&#51473;&#51109;&#44592;%20&#49688;&#50836;&#44228;&#54925;(2014.10.24)_&#49324;&#50629;&#44060;&#48156;&#54016;_R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wk\c\5N10\PJT%20Control\&#54644;&#50808;&#44204;&#51201;\kuwait\5M99,5N04\cost%20breakdown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wk\c\5N10\PJT%20Control\Job\5n10\Lnx$LPS-A301(Excel)_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8;&#50612;&#49892;\My%20Documents\client\&#45768;&#53944;&#51221;&#48372;\yearend\WINDOWS\Temporary%20Internet%20Files\Content.IE5\2TC1SH01\&#44277;&#50976;\&#49352;%20&#54260;&#45908;\&#49457;&#50629;&#44277;&#49324;-&#49688;&#51221;\&#50864;&#49457;&#47784;&#51649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ATA\COMMON\CTRFORM\CT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wk\c\5N10\PJT%20Control\&#54644;&#50808;&#44204;&#51201;\kuwait\5M99,5N04\NGL4%20COST%20BREAKDOWN%20TMP%20REV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&#49444;&#44228;&#48320;&#44221;\&#54217;&#52492;\VV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8;&#50612;&#49892;\My%20Documents\client\&#45768;&#53944;&#51221;&#48372;\yearend\WINDOWS\Temporary%20Internet%20Files\Content.IE5\2TC1SH01\&#44277;&#50976;\&#49352;%20&#54260;&#45908;\&#49457;&#50629;&#44277;&#49324;-&#49688;&#51221;\&#46041;&#49436;&#44032;&#4439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&#51456;&#44277;\&#51473;&#50521;\1&#52264;&#51221;&#4932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648;&#54984;\C\DATA\EXCELL\&#50868;&#50689;&#49892;&#51201;\WORK\EXOPER\&#50868;&#50689;&#49892;&#51201;\1995\95-4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648;&#54984;\C\DATA\EXCELL\&#50868;&#50689;&#49892;&#51201;\WORK\EXOPER\&#50868;&#50689;&#49892;&#51201;\1995\95-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8;&#50612;&#49892;\&#49569;&#46020;&#49888;&#46020;&#49884;&#50676;&#48176;&#44288;\2&#52264;&#49444;&#48320;\&#45236;&#50669;&#49436;\WORK7\5&#52264;&#44592;&#49457;\&#44148;&#52629;\&#44148;&#44592;5-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8;&#50612;&#49892;\&#50980;&#51221;&#49885;\&#51088;&#49328;&#52712;&#46301;\2&#44277;&#44396;\&#51088;&#49328;&#52712;&#46301;(041130).xls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msteams_6d3663/Shared%20Documents/General/&#50868;&#50689;&#49892;&#51201;(&#51228;&#50612;&#49892;)/1.%20&#51216;&#44160;&#51068;&#51648;%20(&#49325;&#51228;&#51200;&#51109;&#51452;&#51032;)/&#50868;&#51204;&#48372;&#44256;&#49436;%202026&#45380;/&#50868;&#51204;&#49892;&#51201;/2026&#45380;%20&#50948;&#46300;&#50868;&#51204;&#49892;&#51201;(&#48708;&#48264;356).xlsx" TargetMode="External"/><Relationship Id="rId2" Type="http://schemas.openxmlformats.org/officeDocument/2006/relationships/externalLinkPath" Target="https://withie.sharepoint.com/sites/msteams_6d3663/Shared%20Documents/General/&#50868;&#50689;&#49892;&#51201;(&#51228;&#50612;&#49892;)/1.%20&#51216;&#44160;&#51068;&#51648;%20(&#49325;&#51228;&#51200;&#51109;&#51452;&#51032;)/&#50868;&#51204;&#48372;&#44256;&#49436;%202026&#45380;/&#50868;&#51204;&#49892;&#51201;/2026&#45380;%20&#50948;&#46300;&#50868;&#51204;&#49892;&#51201;(&#48708;&#48264;356).xlsx" TargetMode="External"/><Relationship Id="rId1" Type="http://schemas.openxmlformats.org/officeDocument/2006/relationships/externalLinkPath" Target="/sites/msteams_6d3663/Shared%20Documents/General/&#50868;&#50689;&#49892;&#51201;(&#51228;&#50612;&#49892;)/1.%20&#51216;&#44160;&#51068;&#51648;%20(&#49325;&#51228;&#51200;&#51109;&#51452;&#51032;)/&#50868;&#51204;&#48372;&#44256;&#49436;%202026&#45380;/&#50868;&#51204;&#49892;&#51201;/2026&#45380;%20&#50948;&#46300;&#50868;&#51204;&#49892;&#51201;(&#48708;&#48264;356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CHP%20&#51656;&#49548;&#49328;&#54868;&#47932;%20&#48176;&#52636;&#4704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X"/>
      <sheetName val="산출서"/>
      <sheetName val="집계표"/>
      <sheetName val="내역서"/>
      <sheetName val="기자재단가"/>
      <sheetName val="배관단가"/>
      <sheetName val="일위대가목차"/>
      <sheetName val="일위대가표"/>
      <sheetName val="단가표"/>
      <sheetName val="단가구분"/>
      <sheetName val="PCODE"/>
      <sheetName val="원가계산서"/>
      <sheetName val="금액총괄표"/>
      <sheetName val="금액내역서"/>
      <sheetName val="laroux"/>
      <sheetName val="단가조사서"/>
      <sheetName val="장비단가비교표"/>
      <sheetName val="일위대가"/>
      <sheetName val="SUPPORT산출서"/>
      <sheetName val="support집계"/>
      <sheetName val="WALKWAY 집계"/>
      <sheetName val="HOISTRAIL집계"/>
      <sheetName val="2공구관급"/>
      <sheetName val="2공구도급"/>
      <sheetName val="산출내역"/>
      <sheetName val="토목"/>
      <sheetName val="품질관리비"/>
      <sheetName val="건축"/>
      <sheetName val="기계 "/>
      <sheetName val="설치공사"/>
      <sheetName val="XXXXXX"/>
      <sheetName val="년차사용내역"/>
      <sheetName val="전기1과자료"/>
      <sheetName val="각서(교통사고)"/>
      <sheetName val="개별계획서"/>
      <sheetName val="공사내용"/>
      <sheetName val="증설CM보수"/>
      <sheetName val="용접기현황"/>
      <sheetName val="무전기"/>
      <sheetName val="경위서"/>
      <sheetName val="작업일지"/>
      <sheetName val="일지"/>
      <sheetName val="월간공정"/>
      <sheetName val="계측관리(가로)"/>
      <sheetName val="당직표"/>
      <sheetName val="안전관리과일지"/>
      <sheetName val="공사현황보고"/>
      <sheetName val="수량산출서"/>
      <sheetName val="인건비"/>
      <sheetName val="배관자재 단가조사서"/>
      <sheetName val="000000"/>
      <sheetName val="VXXXX"/>
      <sheetName val="사급자재대"/>
      <sheetName val="단가비교"/>
      <sheetName val="4. 배관공사"/>
      <sheetName val="3.시운전비"/>
      <sheetName val="원가계산"/>
      <sheetName val="총괄내역"/>
      <sheetName val="시운전비(계약직)"/>
      <sheetName val="침출배관"/>
      <sheetName val="SEC 1-D850"/>
      <sheetName val="노임단가"/>
      <sheetName val="전기공사"/>
      <sheetName val="건축내역"/>
      <sheetName val="연돌일위집계"/>
      <sheetName val="WORK"/>
      <sheetName val="결과조달"/>
      <sheetName val="9-1차이내역."/>
      <sheetName val="견적서"/>
      <sheetName val="ELECTRIC"/>
      <sheetName val="CTEMCOST"/>
      <sheetName val="SCHEDULE"/>
      <sheetName val="실행철강하도"/>
      <sheetName val="?????"/>
      <sheetName val="정부노임단가"/>
      <sheetName val="설계"/>
      <sheetName val="#REF"/>
      <sheetName val="G2설비도급"/>
      <sheetName val="국내"/>
      <sheetName val="3.공통공사대비"/>
      <sheetName val="2000년1차"/>
      <sheetName val="¿ø°¡°è»ê¼­"/>
      <sheetName val="±Ý¾×ÃÑ°ýÇ¥"/>
      <sheetName val="±Ý¾×³»¿ª¼­"/>
      <sheetName val="´Ü°¡Á¶»ç¼­"/>
      <sheetName val="Àåºñ´Ü°¡ºñ±³Ç¥"/>
      <sheetName val="ÀÏÀ§´ë°¡¸ñÂ÷"/>
      <sheetName val="ÀÏÀ§´ë°¡"/>
      <sheetName val="»êÃâ¼­"/>
      <sheetName val="Áý°èÇ¥"/>
      <sheetName val="SUPPORT»êÃâ¼­"/>
      <sheetName val="supportÁý°è"/>
      <sheetName val="WALKWAY Áý°è"/>
      <sheetName val="HOISTRAILÁý°è"/>
      <sheetName val="2°ø±¸°ü±Þ"/>
      <sheetName val="2°ø±¸µµ±Þ"/>
      <sheetName val="³»¿ª¼­"/>
      <sheetName val="±âÀÚÀç´Ü°¡"/>
      <sheetName val="¹è°ü´Ü°¡"/>
      <sheetName val="ÀÏÀ§´ë°¡Ç¥"/>
      <sheetName val="´Ü°¡Ç¥"/>
      <sheetName val="´Ü°¡±¸ºÐ"/>
      <sheetName val="³âÂ÷»ç¿ë³»¿ª"/>
      <sheetName val="Àü±â1°úÀÚ·á"/>
      <sheetName val="°¢¼­(±³Åë»ç°í)"/>
      <sheetName val="°³º°°èÈ¹¼­"/>
      <sheetName val="°ø»ç³»¿ë"/>
      <sheetName val="Áõ¼³CMº¸¼ö"/>
      <sheetName val="¿ëÁ¢±âÇöÈ²"/>
      <sheetName val="¹«Àü±â"/>
      <sheetName val="°æÀ§¼­"/>
      <sheetName val="ÀÛ¾÷ÀÏÁö"/>
      <sheetName val="ÀÏÁö"/>
      <sheetName val="¿ù°£°øÁ¤"/>
      <sheetName val="°èÃø°ü¸®(°¡·Î)"/>
      <sheetName val="´çÁ÷Ç¥"/>
      <sheetName val="¾ÈÀü°ü¸®°úÀÏÁö"/>
      <sheetName val="°ø»çÇöÈ²º¸°í"/>
      <sheetName val="ÀÎ°Çºñ"/>
      <sheetName val="¹è°üÀÚÀç ´Ü°¡Á¶»ç¼­"/>
      <sheetName val="¼ö·®»êÃâ¼­"/>
      <sheetName val="»êÃâ³»¿ª"/>
      <sheetName val="Åä¸ñ"/>
      <sheetName val="Ç°Áú°ü¸®ºñ"/>
      <sheetName val="°ÇÃà"/>
      <sheetName val="±â°è "/>
      <sheetName val="¼³Ä¡°ø»ç"/>
      <sheetName val="»ç±ÞÀÚÀç´ë"/>
      <sheetName val="´Ü°¡ºñ±³"/>
      <sheetName val="4. ¹è°ü°ø»ç"/>
      <sheetName val="3.½Ã¿îÀüºñ"/>
      <sheetName val="¿ø°¡°è»ê"/>
      <sheetName val="ÃÑ°ý³»¿ª"/>
      <sheetName val="½Ã¿îÀüºñ(°è¾àÁ÷)"/>
      <sheetName val="Ä§Ãâ¹è°ü"/>
      <sheetName val="°á°úÁ¶´Þ"/>
      <sheetName val="½ÇÇàÃ¶°­ÇÏµµ"/>
      <sheetName val="¼³°è"/>
      <sheetName val="°ßÀû¼­"/>
      <sheetName val="¿¬µ¹ÀÏÀ§Áý°è"/>
      <sheetName val="예정(3)"/>
      <sheetName val="동원(3)"/>
      <sheetName val="단가"/>
      <sheetName val="소방"/>
      <sheetName val="약품공급2"/>
      <sheetName val="전기내역서(총계)"/>
      <sheetName val="밸브설치"/>
      <sheetName val="IMP(MAIN)"/>
      <sheetName val="IMP (REACTOR)"/>
      <sheetName val="코드표"/>
      <sheetName val="각종손료"/>
      <sheetName val="일위목록"/>
      <sheetName val="H腏ISTRAIL집계"/>
      <sheetName val="2공구도급_x0007_嘀塘塘塘_x0003_됁᳅ׁĀ기자재단가_x0004_、¼²֬Ā일위대"/>
      <sheetName val="해전배수"/>
      <sheetName val="연습"/>
      <sheetName val="PRICE"/>
      <sheetName val="지수결과표-3"/>
      <sheetName val="CIVIL4"/>
      <sheetName val="내역"/>
      <sheetName val="목표세부명세"/>
      <sheetName val="EQT-ESTN"/>
      <sheetName val="물가자료"/>
      <sheetName val="손익분석"/>
      <sheetName val="기자재비"/>
      <sheetName val="106C0300"/>
      <sheetName val="공량산출서"/>
      <sheetName val="Baby일위대가"/>
      <sheetName val="1단계"/>
      <sheetName val="대림경상68억"/>
      <sheetName val="설계개요"/>
      <sheetName val="철집"/>
      <sheetName val="공사개요(사업승인)"/>
      <sheetName val="식재"/>
      <sheetName val="시설물"/>
      <sheetName val="식재출력용"/>
      <sheetName val="유지관리"/>
      <sheetName val="2000시행총괄"/>
      <sheetName val="청하배수"/>
      <sheetName val="총괄표"/>
      <sheetName val="조내역"/>
      <sheetName val="Sheet1"/>
      <sheetName val="수지계산"/>
      <sheetName val="가스비열"/>
      <sheetName val="CB"/>
      <sheetName val="설계명세서"/>
      <sheetName val="기초자료입력"/>
      <sheetName val="PRICES"/>
      <sheetName val="COVER"/>
      <sheetName val="아울렛박스"/>
      <sheetName val="주소"/>
      <sheetName val="물가대비표"/>
      <sheetName val="cal"/>
      <sheetName val="기성2"/>
      <sheetName val="표지 (2)"/>
      <sheetName val="sheets"/>
      <sheetName val="예가표"/>
      <sheetName val="총괄내역서"/>
      <sheetName val="하수급견적대비"/>
      <sheetName val="조명투자및환수계획"/>
      <sheetName val="제조중간결과"/>
      <sheetName val="예산대비"/>
      <sheetName val="GI_LIST"/>
      <sheetName val="h-013211-2"/>
      <sheetName val="금융비용"/>
      <sheetName val="단가산출"/>
      <sheetName val="품셈"/>
      <sheetName val="TR"/>
      <sheetName val="직재"/>
      <sheetName val="설계예산서"/>
      <sheetName val="산출조서1"/>
      <sheetName val="I一般比"/>
      <sheetName val="조경"/>
      <sheetName val="울산시산표"/>
      <sheetName val="집계"/>
      <sheetName val="데이타"/>
      <sheetName val="식재인부"/>
      <sheetName val="LinerWt"/>
      <sheetName val="산출내역서집계표"/>
      <sheetName val="Detail"/>
      <sheetName val="금융"/>
      <sheetName val="프로젝트"/>
      <sheetName val="오억미만"/>
      <sheetName val="삼원"/>
      <sheetName val="그린"/>
      <sheetName val="한창-을"/>
      <sheetName val="수량산출"/>
      <sheetName val="건축기성"/>
      <sheetName val="SS"/>
      <sheetName val="차액보증"/>
      <sheetName val="J直材4"/>
      <sheetName val="설직재-1"/>
      <sheetName val="N賃率-職"/>
      <sheetName val="일위"/>
      <sheetName val="기본일위"/>
      <sheetName val="내역서2안"/>
      <sheetName val="직노"/>
      <sheetName val="실행내역"/>
      <sheetName val="제직재"/>
      <sheetName val="공사비예산서(토목분)"/>
      <sheetName val="약품설비"/>
      <sheetName val="견적"/>
      <sheetName val="급여조견표"/>
      <sheetName val="배관배선 단가조사"/>
      <sheetName val="일위대가집계"/>
      <sheetName val="배관단가조사서"/>
      <sheetName val="일위_파일"/>
      <sheetName val="BID"/>
      <sheetName val="일반부표"/>
      <sheetName val="4.2유효폭의 계산"/>
      <sheetName val="도면자료제출일정"/>
      <sheetName val="시멘트,모래,자갈 및 골재산출표(총괄)"/>
      <sheetName val="일위대가(여기까지)"/>
      <sheetName val="노임"/>
      <sheetName val="조건표"/>
      <sheetName val="9811"/>
      <sheetName val="DATA"/>
      <sheetName val="Sheet2"/>
      <sheetName val="공사비집계"/>
      <sheetName val="내역서 (2)"/>
      <sheetName val="SG"/>
      <sheetName val="설계내역"/>
      <sheetName val="5.월별목표금액(월시공금액만표시)"/>
      <sheetName val="충돌 내용"/>
      <sheetName val="본선 토공 분배표"/>
      <sheetName val="기기리스트"/>
      <sheetName val="ENE-CAL 1"/>
      <sheetName val="항목별자금청구3"/>
      <sheetName val="장비비청구9"/>
      <sheetName val="_____"/>
      <sheetName val="기준FACTOR"/>
      <sheetName val="2월분"/>
      <sheetName val="공문"/>
      <sheetName val="1995년 섹터별 매출"/>
      <sheetName val="WALKWAY_집계"/>
      <sheetName val="배관자재_단가조사서"/>
      <sheetName val="4__배관공사"/>
      <sheetName val="3_시운전비"/>
      <sheetName val="기계_"/>
      <sheetName val="원본(갑지)"/>
      <sheetName val="업무분장"/>
      <sheetName val="일위(PN)"/>
      <sheetName val="카렌스센터계량기설치공사"/>
      <sheetName val="정공공사"/>
      <sheetName val="2.대외공문"/>
      <sheetName val="Code"/>
      <sheetName val="대공종"/>
      <sheetName val="계정"/>
      <sheetName val="남양시작동자105노65기1.3화1.2"/>
      <sheetName val="남양시작동010313100%"/>
      <sheetName val="조명율"/>
      <sheetName val="경상직원"/>
      <sheetName val="조건"/>
      <sheetName val="입력"/>
      <sheetName val="항목등록"/>
      <sheetName val="TOT"/>
      <sheetName val="견적990322"/>
      <sheetName val="협조전"/>
      <sheetName val="부대대비"/>
      <sheetName val="TEL"/>
      <sheetName val="냉연집계"/>
      <sheetName val="관람석제출"/>
      <sheetName val="96수출"/>
      <sheetName val="소상 &quot;1&quot;"/>
      <sheetName val="98지급계획"/>
      <sheetName val="시험장S자로가로등공사"/>
      <sheetName val="내역(정지)"/>
      <sheetName val="남양구조시험동"/>
      <sheetName val="일위대가(1)"/>
      <sheetName val="6차2회변경내역서"/>
      <sheetName val="COPING"/>
      <sheetName val="단면 (2)"/>
      <sheetName val="교각1"/>
      <sheetName val="참조 (2)"/>
      <sheetName val="참조"/>
      <sheetName val="01"/>
      <sheetName val="6호기"/>
      <sheetName val="제경비산출서"/>
      <sheetName val="초기화면"/>
      <sheetName val="Macro2"/>
      <sheetName val="분석내역(총괄)"/>
      <sheetName val="물집"/>
      <sheetName val="1차증가원가계산"/>
      <sheetName val="입찰안"/>
      <sheetName val="수로단위수량"/>
      <sheetName val="갑지(추정)"/>
      <sheetName val="직재집계"/>
      <sheetName val="직노집계"/>
      <sheetName val="PIPE"/>
      <sheetName val="당초"/>
      <sheetName val="부하계산서"/>
      <sheetName val="WALKWAY_Áý°è"/>
      <sheetName val="¹è°üÀÚÀç_´Ü°¡Á¶»ç¼­"/>
      <sheetName val="±â°è_"/>
      <sheetName val="4__¹è°ü°ø»ç"/>
      <sheetName val="3_½Ã¿îÀüºñ"/>
      <sheetName val="3_공통공사대비"/>
      <sheetName val="IMP_(REACTOR)"/>
      <sheetName val="2공구도급嘀塘塘塘됁᳅ׁĀ기자재단가、¼²֬Ā일위대"/>
      <sheetName val="9-1차이내역_"/>
      <sheetName val="SEC_1-D850"/>
      <sheetName val="도급원가"/>
      <sheetName val="PAD TR보호대기초"/>
      <sheetName val="가로등기초"/>
      <sheetName val="HANDHOLE(2)"/>
      <sheetName val="DATE"/>
      <sheetName val="유림골조"/>
      <sheetName val="유림총괄"/>
      <sheetName val="IT-BAT"/>
      <sheetName val="프랜트면허"/>
      <sheetName val="토목주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y"/>
      <sheetName val="Da"/>
      <sheetName val="Fn"/>
      <sheetName val="WF"/>
      <sheetName val="0W"/>
      <sheetName val="0D"/>
      <sheetName val="1W"/>
      <sheetName val="1D"/>
      <sheetName val="YW"/>
      <sheetName val="YD"/>
      <sheetName val="BS"/>
      <sheetName val="CF"/>
      <sheetName val="Rto"/>
      <sheetName val="EVA1"/>
      <sheetName val="EVA2"/>
      <sheetName val="B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우대금리"/>
      <sheetName val="check"/>
      <sheetName val="확인서"/>
      <sheetName val="별제권_정리담보권"/>
      <sheetName val="화의채권_정리채권"/>
      <sheetName val="전체 통합"/>
      <sheetName val="계약서상Schedul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_5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수요예측"/>
      <sheetName val="실적원단위('08.01~'14.10)"/>
      <sheetName val="사용량 실적('08.01~'14.10) (적용)"/>
      <sheetName val="추세검토('08.01~'13.12)"/>
      <sheetName val="추세검토('08.01~'14.10)"/>
      <sheetName val="열공급예정일"/>
      <sheetName val="상업예정구역 수요예측"/>
      <sheetName val="상업 예정구역"/>
      <sheetName val="사용량 실적('08.01~'14.09) (실적)"/>
      <sheetName val="추세검토('08.01~'14.10)_data"/>
      <sheetName val="중장기 및 2015년 월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Sheets"/>
      <sheetName val="#REF"/>
      <sheetName val="LDPE"/>
      <sheetName val="원료구매"/>
      <sheetName val="Sheet1"/>
      <sheetName val="의왕F사"/>
      <sheetName val="가공사"/>
      <sheetName val="95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10"/>
      <sheetName val="C-11"/>
      <sheetName val="C-12"/>
      <sheetName val="C-13"/>
      <sheetName val="C-14"/>
      <sheetName val="C-15"/>
      <sheetName val="C-16"/>
      <sheetName val="C-17"/>
      <sheetName val="C-18"/>
      <sheetName val="C-19"/>
      <sheetName val="C-20"/>
      <sheetName val="C-30"/>
      <sheetName val="C-40"/>
      <sheetName val="C-50"/>
      <sheetName val="C-60"/>
      <sheetName val="C-70~90"/>
      <sheetName val="COA-11"/>
      <sheetName val="COA-12"/>
      <sheetName val="COA-13"/>
      <sheetName val="COA-14"/>
      <sheetName val="COA-16"/>
      <sheetName val="COA-17"/>
      <sheetName val="COA-18"/>
      <sheetName val="COA-19"/>
      <sheetName val="COA -20's "/>
      <sheetName val="COA -30's  "/>
      <sheetName val="COA -40's"/>
      <sheetName val="COA-50"/>
      <sheetName val="Small Tools"/>
      <sheetName val="Consummables"/>
      <sheetName val="COA-60"/>
      <sheetName val="COA 70~90"/>
      <sheetName val="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우대금리"/>
      <sheetName val="check"/>
      <sheetName val="확인서"/>
      <sheetName val="별제권_정리담보권"/>
      <sheetName val="화의채권_정리채권"/>
      <sheetName val="전체 통합"/>
      <sheetName val="계약서상Schedule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법인세Provision"/>
      <sheetName val="이연법인세"/>
      <sheetName val="21"/>
      <sheetName val="23(갑)"/>
      <sheetName val="23(을)"/>
      <sheetName val="32"/>
      <sheetName val="33"/>
      <sheetName val="퇴직급여충당금"/>
      <sheetName val="대손충당금"/>
      <sheetName val="program"/>
      <sheetName val="총괄표"/>
      <sheetName val="inform"/>
      <sheetName val="BS"/>
      <sheetName val="PL"/>
      <sheetName val="RE"/>
      <sheetName val="COGM"/>
      <sheetName val="T1"/>
      <sheetName val="T1-2"/>
      <sheetName val="T2"/>
      <sheetName val="T2A"/>
      <sheetName val="T3-1(7)"/>
      <sheetName val="T3-3A"/>
      <sheetName val="T3-3B"/>
      <sheetName val="T5"/>
      <sheetName val="T5-2A"/>
      <sheetName val="T5-2B"/>
      <sheetName val="T6"/>
      <sheetName val="T6A"/>
      <sheetName val="T6B"/>
      <sheetName val="T6-1"/>
      <sheetName val="T6-2(1)"/>
      <sheetName val="T6-2(7)"/>
      <sheetName val="T6-2(11)A"/>
      <sheetName val="T6-3(2)"/>
      <sheetName val="T6-3(3)"/>
      <sheetName val="T6-3(4)"/>
      <sheetName val="T6-5A"/>
      <sheetName val="T6-5B"/>
      <sheetName val="T6-6(2)"/>
      <sheetName val="T6-6(3)"/>
      <sheetName val="T6-6(4)"/>
      <sheetName val="T6-6(5)"/>
      <sheetName val="T6-6(6)"/>
      <sheetName val="T6-6(7)"/>
      <sheetName val="T6-6A"/>
      <sheetName val="T6-6B"/>
      <sheetName val="T6-7A"/>
      <sheetName val="T6-7B"/>
      <sheetName val="T6-10"/>
      <sheetName val="T6-11"/>
      <sheetName val="T6-12"/>
      <sheetName val="T6-13"/>
      <sheetName val="T6-14A"/>
      <sheetName val="T6-14B"/>
      <sheetName val="T6-14C"/>
      <sheetName val="T8"/>
      <sheetName val="T9A"/>
      <sheetName val="T9B"/>
      <sheetName val="T10(2)"/>
      <sheetName val="T10(3)"/>
      <sheetName val="T10(3)A"/>
      <sheetName val="T10(4)"/>
      <sheetName val="T11"/>
      <sheetName val="T12"/>
      <sheetName val="T14-1A"/>
      <sheetName val="T14-1B"/>
      <sheetName val="T15A"/>
      <sheetName val="T15B"/>
      <sheetName val="T16"/>
      <sheetName val="T17A"/>
      <sheetName val="제조소득"/>
      <sheetName val="공장면제신청"/>
      <sheetName val="공장감면"/>
      <sheetName val="T27"/>
      <sheetName val="T36"/>
      <sheetName val="T43"/>
      <sheetName val="T56"/>
      <sheetName val="T59"/>
      <sheetName val="T60A"/>
      <sheetName val="T60B"/>
      <sheetName val="CTR"/>
      <sheetName val="#REF"/>
      <sheetName val="확인서"/>
    </sheetNames>
    <definedNames>
      <definedName name="conb121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B COST"/>
      <sheetName val="Summary Sheets"/>
      <sheetName val="원료구매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표지"/>
      <sheetName val="목차"/>
      <sheetName val="월간"/>
      <sheetName val="1-1"/>
      <sheetName val="목차2"/>
      <sheetName val="2-1"/>
      <sheetName val="2-2"/>
      <sheetName val="2-3"/>
      <sheetName val="3"/>
      <sheetName val="4"/>
      <sheetName val="5"/>
      <sheetName val="6"/>
      <sheetName val="공사진도"/>
      <sheetName val="업무추진"/>
      <sheetName val="시공"/>
      <sheetName val="전주금주차주"/>
      <sheetName val="인원장비"/>
      <sheetName val="현안대책"/>
      <sheetName val="7"/>
      <sheetName val="VV1"/>
      <sheetName val="Sheet1"/>
      <sheetName val="토목검측서"/>
      <sheetName val="정부노임단가"/>
      <sheetName val="플랜트 설치"/>
      <sheetName val="JUCK"/>
      <sheetName val="일반공사"/>
      <sheetName val="ELECTRIC"/>
      <sheetName val="SCHEDULE"/>
      <sheetName val="CB"/>
      <sheetName val="재료비단가(VALVE)"/>
      <sheetName val="BID"/>
      <sheetName val="설계예산서"/>
      <sheetName val="절단표"/>
      <sheetName val="별표집계"/>
      <sheetName val="공통(20-91)"/>
      <sheetName val="금액내역서"/>
      <sheetName val="가상data"/>
      <sheetName val="산거각호표"/>
      <sheetName val="공통비"/>
      <sheetName val="토공정보"/>
      <sheetName val="두앙"/>
      <sheetName val="견적총괄표"/>
      <sheetName val="2"/>
      <sheetName val="하중계산"/>
      <sheetName val="설계조건"/>
      <sheetName val="조도계산서 (도서)"/>
      <sheetName val="하수처리장"/>
      <sheetName val="GTG TR PIT"/>
      <sheetName val="#REF"/>
      <sheetName val="ⴭⴭⴭⴭ"/>
      <sheetName val="토공A"/>
      <sheetName val="3련 BOX"/>
      <sheetName val="SS"/>
      <sheetName val="도급양식"/>
      <sheetName val="노임단가"/>
      <sheetName val="수목단가"/>
      <sheetName val="시설수량표"/>
      <sheetName val="식재수량표"/>
      <sheetName val="일위목록"/>
      <sheetName val="자재단가"/>
      <sheetName val="MOTOR"/>
      <sheetName val="실행내역서"/>
      <sheetName val="General Data"/>
      <sheetName val="일보"/>
      <sheetName val="PIPE"/>
      <sheetName val="FLANGE"/>
      <sheetName val="VALVE"/>
      <sheetName val="날개벽수량표"/>
      <sheetName val="실행(1)"/>
      <sheetName val="일위대가(가설)"/>
      <sheetName val="확인서"/>
      <sheetName val="COVER"/>
      <sheetName val="3BL공동구 수량"/>
      <sheetName val="전차선로 물량표"/>
      <sheetName val="부표총괄"/>
      <sheetName val="말뚝지지력산정"/>
      <sheetName val="Macro1"/>
      <sheetName val="차액보증"/>
      <sheetName val="보온자재단가표"/>
      <sheetName val="우편번호"/>
      <sheetName val="BEQ내역"/>
      <sheetName val="LOPCALC"/>
      <sheetName val="철거현황"/>
      <sheetName val="MW-BM"/>
      <sheetName val="대비"/>
      <sheetName val="외 주 비"/>
      <sheetName val="98"/>
      <sheetName val="준검 내역서"/>
      <sheetName val="지급자재"/>
    </sheetNames>
    <definedNames>
      <definedName name="MAIN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우대금리"/>
      <sheetName val="check"/>
      <sheetName val="확인서"/>
      <sheetName val="별제권_정리담보권1"/>
      <sheetName val="별제권_정리담보권2"/>
      <sheetName val="별제권_정리담보권"/>
      <sheetName val="화의채권_정리채권"/>
      <sheetName val="전체 통합"/>
      <sheetName val="계약서상Schedule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차정산"/>
      <sheetName val="토공정보"/>
      <sheetName val="P-산#1-1(WOWA1)"/>
      <sheetName val="DATA"/>
      <sheetName val="내역서"/>
      <sheetName val="1.설계조건"/>
      <sheetName val="UNIT"/>
      <sheetName val="PIPE"/>
      <sheetName val="단중표-ST"/>
      <sheetName val="DATE"/>
      <sheetName val="Factor"/>
      <sheetName val="Piping Design Data"/>
      <sheetName val="#REF"/>
      <sheetName val="현장관리비 산출내역"/>
      <sheetName val="1.외주공사"/>
      <sheetName val="수량산출"/>
      <sheetName val="Sheet1"/>
      <sheetName val="도면자료제출일정"/>
      <sheetName val="X17-TOTAL"/>
      <sheetName val="Vari by Vendor"/>
      <sheetName val="기기리스트"/>
      <sheetName val="수량집계"/>
      <sheetName val="총괄집계표"/>
      <sheetName val="노무비단가"/>
      <sheetName val="HVAC"/>
      <sheetName val="static.cal"/>
      <sheetName val="TOTAL"/>
      <sheetName val="철거현황"/>
      <sheetName val="집수정(600-700)"/>
      <sheetName val="보활"/>
      <sheetName val="DESIGN CRETERIA"/>
      <sheetName val="설계조건"/>
      <sheetName val="combi(wall)"/>
      <sheetName val="별제권_정리담보권1"/>
      <sheetName val="총괄표"/>
      <sheetName val="포장공"/>
      <sheetName val="지장물C"/>
      <sheetName val="수입"/>
      <sheetName val="1.31"/>
      <sheetName val="두앙"/>
      <sheetName val="D-623D"/>
      <sheetName val="말뚝지지력산정"/>
      <sheetName val="토목검측서"/>
      <sheetName val="LinerWt"/>
      <sheetName val="MOTOR"/>
      <sheetName val="내역(한신APT)"/>
      <sheetName val="S0"/>
      <sheetName val="원데이타"/>
      <sheetName val="구조물철거타공정이월"/>
      <sheetName val="2"/>
      <sheetName val="토적표"/>
      <sheetName val="견적조건"/>
      <sheetName val="갑지(추정)"/>
      <sheetName val="J直材4"/>
      <sheetName val="도급VS재"/>
      <sheetName val="노임"/>
      <sheetName val="명세서"/>
      <sheetName val="G.R300경비"/>
      <sheetName val="절단표"/>
      <sheetName val="노임단가"/>
      <sheetName val="수목단가"/>
      <sheetName val="시설수량표"/>
      <sheetName val="식재수량표"/>
      <sheetName val="일위목록"/>
      <sheetName val="자재단가"/>
      <sheetName val="포장"/>
      <sheetName val="충주"/>
      <sheetName val="품의서(TL)"/>
      <sheetName val="품셈표(전기) (2)"/>
      <sheetName val="품셈표(전기)"/>
      <sheetName val="BREAKDOWN"/>
      <sheetName val="추가작업"/>
      <sheetName val="대치판정"/>
      <sheetName val="Vari by Trade"/>
      <sheetName val="ABUT수량-A1"/>
      <sheetName val="보온자재단가표"/>
      <sheetName val="노무"/>
      <sheetName val="산출서"/>
      <sheetName val="steel data sheet"/>
      <sheetName val="수압집계"/>
      <sheetName val="건축전기약전.소방"/>
      <sheetName val="실행철강하도"/>
      <sheetName val="외 주 비"/>
      <sheetName val="VST재료산출"/>
      <sheetName val="계수시트"/>
      <sheetName val="원가계산서"/>
      <sheetName val="교대시점"/>
      <sheetName val="설계명세서"/>
      <sheetName val="준검 내역서"/>
      <sheetName val="가도공"/>
      <sheetName val="기준"/>
      <sheetName val=""/>
      <sheetName val="수량산출서"/>
    </sheetNames>
    <definedNames>
      <definedName name="MAI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열생산"/>
      <sheetName val="열공급"/>
      <sheetName val="전력용수연료"/>
      <sheetName val="비용분석"/>
      <sheetName val="도급"/>
      <sheetName val="95-4"/>
      <sheetName val="별제권_정리담보권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중앙"/>
      <sheetName val="강남+일원"/>
      <sheetName val="분당+용인"/>
      <sheetName val="고양"/>
      <sheetName val="안양"/>
      <sheetName val="부천"/>
      <sheetName val="대구"/>
      <sheetName val="수원"/>
      <sheetName val="청주"/>
      <sheetName val="양산"/>
      <sheetName val="김해"/>
      <sheetName val="전사"/>
      <sheetName val="분당"/>
      <sheetName val="용인"/>
      <sheetName val="강남"/>
      <sheetName val="일원"/>
      <sheetName val="6개지사"/>
      <sheetName val="연계지사"/>
      <sheetName val="CHP지사"/>
      <sheetName val="대구생산비"/>
      <sheetName val="수원생산비"/>
      <sheetName val="실적종합"/>
      <sheetName val="대구계획"/>
      <sheetName val="수원계획"/>
      <sheetName val="종합계획"/>
      <sheetName val="대구보정"/>
      <sheetName val="수원보정"/>
      <sheetName val="종합보정"/>
      <sheetName val="배분식"/>
      <sheetName val="연료00"/>
      <sheetName val="기조실송"/>
      <sheetName val="전력용수연료"/>
      <sheetName val="기본데이타"/>
      <sheetName val="HOB"/>
      <sheetName val="CHP"/>
      <sheetName val="효율"/>
      <sheetName val="5월"/>
      <sheetName val="95-8"/>
      <sheetName val="일일운전현황새양식"/>
      <sheetName val="열생산"/>
      <sheetName val="열공급"/>
      <sheetName val="비용분석"/>
      <sheetName val="B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축기성"/>
      <sheetName val="단가조사"/>
    </sheetNames>
    <sheetDataSet>
      <sheetData sheetId="0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tion"/>
      <sheetName val="집계표"/>
      <sheetName val="간접경비"/>
      <sheetName val="취득세"/>
      <sheetName val=" 자산분류"/>
      <sheetName val="외 주 비"/>
      <sheetName val="재 료 비"/>
      <sheetName val="간접경비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"/>
      <sheetName val="OP-DT"/>
      <sheetName val="6월CM누적(X)"/>
      <sheetName val="기여도"/>
      <sheetName val="종합표(운영모델)"/>
      <sheetName val="실적(월누계분석)"/>
      <sheetName val="공헌이익 분석"/>
      <sheetName val="CM"/>
      <sheetName val="Y"/>
      <sheetName val="D(구)"/>
      <sheetName val="충수량"/>
      <sheetName val="D"/>
      <sheetName val="연료전지"/>
      <sheetName val="연료전지실적"/>
      <sheetName val="생산"/>
      <sheetName val="생산(M)"/>
      <sheetName val="판매(M)"/>
      <sheetName val="판매"/>
      <sheetName val="SMP"/>
      <sheetName val="수전량"/>
      <sheetName val="수전량(연료전지)"/>
      <sheetName val="송전량(CHP)"/>
      <sheetName val="송전량(FC)"/>
      <sheetName val="운전시간외"/>
      <sheetName val="용수"/>
      <sheetName val="월가중치"/>
      <sheetName val="일별실적"/>
      <sheetName val="설정"/>
      <sheetName val="월별집계"/>
      <sheetName val="대시보드"/>
      <sheetName val="단가(M)"/>
      <sheetName val="단가(D)"/>
      <sheetName val="단가변수"/>
      <sheetName val="실적"/>
      <sheetName val="전기요금표"/>
      <sheetName val="단가(환경M)"/>
      <sheetName val="CHP열요금표"/>
      <sheetName val="공휴일"/>
      <sheetName val="마감추정"/>
      <sheetName val="경영위원회"/>
      <sheetName val="종합계획"/>
      <sheetName val="일일실적"/>
      <sheetName val="종합계획분포"/>
      <sheetName val="DB"/>
      <sheetName val="key-in(ACO)"/>
      <sheetName val="key-in(LO)"/>
      <sheetName val="계획"/>
      <sheetName val="3월 안산수열량 비중"/>
      <sheetName val="M월별"/>
      <sheetName val="일일운영실적"/>
      <sheetName val="CHP생산단가"/>
      <sheetName val="계획(일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F3">
            <v>1223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1223</v>
          </cell>
        </row>
        <row r="4">
          <cell r="F4">
            <v>1246</v>
          </cell>
          <cell r="G4">
            <v>89</v>
          </cell>
          <cell r="H4">
            <v>0</v>
          </cell>
          <cell r="I4">
            <v>0</v>
          </cell>
          <cell r="J4">
            <v>89</v>
          </cell>
          <cell r="K4">
            <v>1335</v>
          </cell>
        </row>
        <row r="5">
          <cell r="F5">
            <v>1225</v>
          </cell>
          <cell r="G5">
            <v>587</v>
          </cell>
          <cell r="H5">
            <v>0</v>
          </cell>
          <cell r="I5">
            <v>0</v>
          </cell>
          <cell r="J5">
            <v>587</v>
          </cell>
          <cell r="K5">
            <v>1812</v>
          </cell>
        </row>
        <row r="6">
          <cell r="F6">
            <v>1242</v>
          </cell>
          <cell r="G6">
            <v>518</v>
          </cell>
          <cell r="H6">
            <v>0</v>
          </cell>
          <cell r="I6">
            <v>0</v>
          </cell>
          <cell r="J6">
            <v>518</v>
          </cell>
          <cell r="K6">
            <v>1760</v>
          </cell>
        </row>
        <row r="7">
          <cell r="F7">
            <v>1243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1243</v>
          </cell>
        </row>
        <row r="8">
          <cell r="F8">
            <v>1254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1254</v>
          </cell>
        </row>
        <row r="9">
          <cell r="F9">
            <v>1253.2449999999999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1253.2449999999999</v>
          </cell>
        </row>
        <row r="10">
          <cell r="F10">
            <v>1256.4369999999999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1256.4369999999999</v>
          </cell>
        </row>
        <row r="11">
          <cell r="F11">
            <v>1250.3180000000002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1250.3180000000002</v>
          </cell>
        </row>
        <row r="12">
          <cell r="F12">
            <v>1249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1249</v>
          </cell>
        </row>
        <row r="13">
          <cell r="F13">
            <v>1246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1246</v>
          </cell>
        </row>
        <row r="14">
          <cell r="F14">
            <v>1243</v>
          </cell>
          <cell r="G14">
            <v>292</v>
          </cell>
          <cell r="H14">
            <v>0</v>
          </cell>
          <cell r="I14">
            <v>0</v>
          </cell>
          <cell r="J14">
            <v>292</v>
          </cell>
          <cell r="K14">
            <v>1535</v>
          </cell>
        </row>
        <row r="15">
          <cell r="F15">
            <v>1248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1248</v>
          </cell>
        </row>
        <row r="16">
          <cell r="F16">
            <v>1247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1247</v>
          </cell>
        </row>
        <row r="17">
          <cell r="F17">
            <v>1249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1249</v>
          </cell>
        </row>
        <row r="18">
          <cell r="F18">
            <v>1247.6909999999998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1247.6909999999998</v>
          </cell>
        </row>
        <row r="19">
          <cell r="F19">
            <v>1139.3460000000005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1139.3460000000005</v>
          </cell>
        </row>
        <row r="20">
          <cell r="F20">
            <v>900.96299999999974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900.96299999999974</v>
          </cell>
        </row>
        <row r="21">
          <cell r="F21">
            <v>1252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1252</v>
          </cell>
        </row>
        <row r="22">
          <cell r="F22">
            <v>1256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1256</v>
          </cell>
          <cell r="BA22">
            <v>196331.77000000328</v>
          </cell>
          <cell r="BB22">
            <v>0</v>
          </cell>
          <cell r="BC22">
            <v>0</v>
          </cell>
          <cell r="BD22">
            <v>0</v>
          </cell>
          <cell r="BE22"/>
          <cell r="BF22">
            <v>0</v>
          </cell>
        </row>
        <row r="23">
          <cell r="F23">
            <v>1246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1246</v>
          </cell>
          <cell r="BA23">
            <v>195874.45000000298</v>
          </cell>
          <cell r="BB23">
            <v>0</v>
          </cell>
          <cell r="BC23">
            <v>0</v>
          </cell>
          <cell r="BD23">
            <v>0</v>
          </cell>
          <cell r="BE23"/>
          <cell r="BF23">
            <v>0</v>
          </cell>
        </row>
        <row r="24">
          <cell r="F24">
            <v>1248</v>
          </cell>
          <cell r="G24">
            <v>828</v>
          </cell>
          <cell r="H24">
            <v>0</v>
          </cell>
          <cell r="I24">
            <v>0</v>
          </cell>
          <cell r="J24">
            <v>828</v>
          </cell>
          <cell r="K24">
            <v>2076</v>
          </cell>
          <cell r="BA24">
            <v>197636.55999999493</v>
          </cell>
          <cell r="BB24">
            <v>93993.350000000093</v>
          </cell>
          <cell r="BC24">
            <v>0</v>
          </cell>
          <cell r="BD24">
            <v>0</v>
          </cell>
          <cell r="BE24"/>
          <cell r="BF24">
            <v>93993.350000000093</v>
          </cell>
        </row>
        <row r="25">
          <cell r="F25">
            <v>1247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1247</v>
          </cell>
          <cell r="BA25">
            <v>199251.25</v>
          </cell>
          <cell r="BB25">
            <v>0</v>
          </cell>
          <cell r="BC25">
            <v>0</v>
          </cell>
          <cell r="BD25">
            <v>0</v>
          </cell>
          <cell r="BE25"/>
          <cell r="BF25">
            <v>0</v>
          </cell>
        </row>
        <row r="26">
          <cell r="F26">
            <v>1245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1245</v>
          </cell>
          <cell r="BA26">
            <v>198598.77000000328</v>
          </cell>
          <cell r="BB26">
            <v>0</v>
          </cell>
          <cell r="BC26">
            <v>0</v>
          </cell>
          <cell r="BD26">
            <v>0</v>
          </cell>
          <cell r="BE26"/>
          <cell r="BF26">
            <v>0</v>
          </cell>
        </row>
        <row r="27">
          <cell r="F27">
            <v>1207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1207</v>
          </cell>
          <cell r="BA27">
            <v>190879.75999999791</v>
          </cell>
          <cell r="BB27">
            <v>0</v>
          </cell>
          <cell r="BC27">
            <v>0</v>
          </cell>
          <cell r="BD27">
            <v>0</v>
          </cell>
          <cell r="BE27"/>
          <cell r="BF27">
            <v>0</v>
          </cell>
        </row>
        <row r="28">
          <cell r="F28">
            <v>1255.5110000000004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1255.5110000000004</v>
          </cell>
          <cell r="BA28">
            <v>196015.34000000358</v>
          </cell>
          <cell r="BB28">
            <v>0</v>
          </cell>
          <cell r="BC28">
            <v>0</v>
          </cell>
          <cell r="BD28">
            <v>0</v>
          </cell>
          <cell r="BE28"/>
          <cell r="BF28">
            <v>0</v>
          </cell>
        </row>
        <row r="29">
          <cell r="F29">
            <v>1243.732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1243.732</v>
          </cell>
          <cell r="BA29">
            <v>197436.95999999344</v>
          </cell>
          <cell r="BB29">
            <v>0</v>
          </cell>
          <cell r="BC29">
            <v>0</v>
          </cell>
          <cell r="BD29">
            <v>0</v>
          </cell>
          <cell r="BE29"/>
          <cell r="BF29">
            <v>0</v>
          </cell>
        </row>
        <row r="30">
          <cell r="F30">
            <v>1248.7569999999996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1248.7569999999996</v>
          </cell>
          <cell r="BA30">
            <v>198156.38000000268</v>
          </cell>
          <cell r="BB30">
            <v>0</v>
          </cell>
          <cell r="BC30">
            <v>0</v>
          </cell>
          <cell r="BD30">
            <v>0</v>
          </cell>
          <cell r="BE30"/>
          <cell r="BF30">
            <v>0</v>
          </cell>
        </row>
        <row r="31">
          <cell r="F31">
            <v>1243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1243</v>
          </cell>
          <cell r="BA31">
            <v>197448.1799999997</v>
          </cell>
          <cell r="BB31">
            <v>0</v>
          </cell>
          <cell r="BC31">
            <v>0</v>
          </cell>
          <cell r="BD31">
            <v>0</v>
          </cell>
          <cell r="BE31"/>
          <cell r="BF31">
            <v>0</v>
          </cell>
        </row>
        <row r="32">
          <cell r="F32">
            <v>1249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1249</v>
          </cell>
          <cell r="BA32">
            <v>196745.93999999762</v>
          </cell>
          <cell r="BB32">
            <v>0</v>
          </cell>
          <cell r="BC32">
            <v>0</v>
          </cell>
          <cell r="BD32">
            <v>0</v>
          </cell>
          <cell r="BE32"/>
          <cell r="BF32">
            <v>0</v>
          </cell>
        </row>
        <row r="33">
          <cell r="F33">
            <v>1238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1238</v>
          </cell>
          <cell r="BA33">
            <v>198383.49000000209</v>
          </cell>
          <cell r="BB33">
            <v>0</v>
          </cell>
          <cell r="BC33">
            <v>0</v>
          </cell>
          <cell r="BD33">
            <v>0</v>
          </cell>
          <cell r="BE33"/>
          <cell r="BF33">
            <v>0</v>
          </cell>
        </row>
        <row r="34">
          <cell r="F34">
            <v>1126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1126</v>
          </cell>
          <cell r="BA34">
            <v>177707.49000000209</v>
          </cell>
          <cell r="BB34">
            <v>0</v>
          </cell>
          <cell r="BC34">
            <v>0</v>
          </cell>
          <cell r="BD34">
            <v>0</v>
          </cell>
          <cell r="BE34"/>
          <cell r="BF34">
            <v>0</v>
          </cell>
        </row>
        <row r="35">
          <cell r="F35">
            <v>1243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1243</v>
          </cell>
          <cell r="BA35">
            <v>198776.49000000209</v>
          </cell>
          <cell r="BB35">
            <v>0</v>
          </cell>
          <cell r="BC35">
            <v>0</v>
          </cell>
          <cell r="BD35">
            <v>0</v>
          </cell>
          <cell r="BE35"/>
          <cell r="BF35">
            <v>0</v>
          </cell>
        </row>
        <row r="36">
          <cell r="F36">
            <v>1249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1249</v>
          </cell>
          <cell r="BA36">
            <v>196295.22999999672</v>
          </cell>
          <cell r="BB36">
            <v>0</v>
          </cell>
          <cell r="BC36">
            <v>0</v>
          </cell>
          <cell r="BD36">
            <v>0</v>
          </cell>
          <cell r="BE36"/>
          <cell r="BF36">
            <v>0</v>
          </cell>
        </row>
        <row r="37">
          <cell r="F37">
            <v>1243.8500000000004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1243.8500000000004</v>
          </cell>
          <cell r="BA37">
            <v>195728.46000000089</v>
          </cell>
          <cell r="BB37">
            <v>0</v>
          </cell>
          <cell r="BC37">
            <v>0</v>
          </cell>
          <cell r="BD37">
            <v>0</v>
          </cell>
          <cell r="BE37"/>
          <cell r="BF37">
            <v>0</v>
          </cell>
        </row>
        <row r="38">
          <cell r="F38">
            <v>1249.9349999999995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1249.9349999999995</v>
          </cell>
          <cell r="BA38">
            <v>197029.77000000328</v>
          </cell>
          <cell r="BB38">
            <v>0</v>
          </cell>
          <cell r="BC38">
            <v>0</v>
          </cell>
          <cell r="BD38">
            <v>0</v>
          </cell>
          <cell r="BE38"/>
          <cell r="BF38">
            <v>0</v>
          </cell>
        </row>
        <row r="39">
          <cell r="F39">
            <v>886.21500000000003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886.21500000000003</v>
          </cell>
          <cell r="BA39">
            <v>139041.94999999553</v>
          </cell>
          <cell r="BB39">
            <v>0</v>
          </cell>
          <cell r="BC39">
            <v>0</v>
          </cell>
          <cell r="BD39">
            <v>0</v>
          </cell>
          <cell r="BE39"/>
          <cell r="BF39">
            <v>0</v>
          </cell>
        </row>
        <row r="40">
          <cell r="F40">
            <v>1270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1270</v>
          </cell>
          <cell r="BA40">
            <v>195601.91000000387</v>
          </cell>
          <cell r="BB40">
            <v>0</v>
          </cell>
          <cell r="BC40">
            <v>0</v>
          </cell>
          <cell r="BD40">
            <v>0</v>
          </cell>
          <cell r="BE40"/>
          <cell r="BF40">
            <v>0</v>
          </cell>
        </row>
        <row r="41">
          <cell r="F41">
            <v>1269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1269</v>
          </cell>
          <cell r="BA41">
            <v>197119.82999999821</v>
          </cell>
          <cell r="BB41">
            <v>0</v>
          </cell>
          <cell r="BC41">
            <v>0</v>
          </cell>
          <cell r="BD41">
            <v>0</v>
          </cell>
          <cell r="BE41"/>
          <cell r="BF41">
            <v>0</v>
          </cell>
        </row>
        <row r="42">
          <cell r="F42">
            <v>1239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1239</v>
          </cell>
          <cell r="BA42">
            <v>191506.51999999583</v>
          </cell>
          <cell r="BB42">
            <v>0</v>
          </cell>
          <cell r="BC42">
            <v>0</v>
          </cell>
          <cell r="BD42">
            <v>0</v>
          </cell>
          <cell r="BE42"/>
          <cell r="BF42">
            <v>0</v>
          </cell>
        </row>
        <row r="43">
          <cell r="F43">
            <v>1255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1255</v>
          </cell>
          <cell r="BA43">
            <v>196417.79000000656</v>
          </cell>
          <cell r="BB43">
            <v>0</v>
          </cell>
          <cell r="BC43">
            <v>0</v>
          </cell>
          <cell r="BD43">
            <v>0</v>
          </cell>
          <cell r="BE43"/>
          <cell r="BF43">
            <v>0</v>
          </cell>
        </row>
        <row r="44">
          <cell r="F44">
            <v>1257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1257</v>
          </cell>
          <cell r="BA44">
            <v>195832.66999999434</v>
          </cell>
          <cell r="BB44">
            <v>0</v>
          </cell>
          <cell r="BC44">
            <v>0</v>
          </cell>
          <cell r="BD44">
            <v>0</v>
          </cell>
          <cell r="BE44"/>
          <cell r="BF44">
            <v>0</v>
          </cell>
        </row>
        <row r="45">
          <cell r="F45">
            <v>1262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1262</v>
          </cell>
          <cell r="BA45">
            <v>196425.25</v>
          </cell>
          <cell r="BB45">
            <v>0</v>
          </cell>
          <cell r="BC45">
            <v>0</v>
          </cell>
          <cell r="BD45">
            <v>0</v>
          </cell>
          <cell r="BE45"/>
          <cell r="BF45">
            <v>0</v>
          </cell>
        </row>
        <row r="46">
          <cell r="F46">
            <v>1264.4169999999995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1264.4169999999995</v>
          </cell>
          <cell r="BA46">
            <v>193930.53999999911</v>
          </cell>
          <cell r="BB46">
            <v>0</v>
          </cell>
          <cell r="BC46">
            <v>0</v>
          </cell>
          <cell r="BD46">
            <v>0</v>
          </cell>
          <cell r="BE46"/>
          <cell r="BF46">
            <v>0</v>
          </cell>
        </row>
        <row r="47">
          <cell r="F47">
            <v>1255.3780000000002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1255.3780000000002</v>
          </cell>
          <cell r="BA47">
            <v>195191.70000000298</v>
          </cell>
          <cell r="BB47">
            <v>0</v>
          </cell>
          <cell r="BC47">
            <v>0</v>
          </cell>
          <cell r="BD47">
            <v>0</v>
          </cell>
          <cell r="BE47"/>
          <cell r="BF47">
            <v>0</v>
          </cell>
        </row>
        <row r="48">
          <cell r="F48">
            <v>989.88900000000012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989.88900000000012</v>
          </cell>
          <cell r="BA48">
            <v>153669.07999999821</v>
          </cell>
          <cell r="BB48">
            <v>0</v>
          </cell>
          <cell r="BC48">
            <v>0</v>
          </cell>
          <cell r="BD48">
            <v>0</v>
          </cell>
          <cell r="BE48"/>
          <cell r="BF48">
            <v>0</v>
          </cell>
        </row>
        <row r="49">
          <cell r="F49">
            <v>782.3159999999998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782.3159999999998</v>
          </cell>
          <cell r="BA49">
            <v>121653.23000000417</v>
          </cell>
          <cell r="BB49">
            <v>0</v>
          </cell>
          <cell r="BC49">
            <v>0</v>
          </cell>
          <cell r="BD49">
            <v>0</v>
          </cell>
          <cell r="BE49"/>
          <cell r="BF49">
            <v>0</v>
          </cell>
        </row>
        <row r="50">
          <cell r="F50">
            <v>818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818</v>
          </cell>
          <cell r="BA50">
            <v>129943.08999999613</v>
          </cell>
          <cell r="BB50">
            <v>0</v>
          </cell>
          <cell r="BC50">
            <v>0</v>
          </cell>
          <cell r="BD50">
            <v>0</v>
          </cell>
          <cell r="BE50"/>
          <cell r="BF50">
            <v>0</v>
          </cell>
        </row>
        <row r="51">
          <cell r="F51">
            <v>810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810</v>
          </cell>
          <cell r="BA51">
            <v>124679.16000000387</v>
          </cell>
          <cell r="BB51">
            <v>0</v>
          </cell>
          <cell r="BC51">
            <v>0</v>
          </cell>
          <cell r="BD51">
            <v>0</v>
          </cell>
          <cell r="BE51"/>
          <cell r="BF51">
            <v>0</v>
          </cell>
        </row>
        <row r="52">
          <cell r="F52">
            <v>1056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1056</v>
          </cell>
          <cell r="BA52">
            <v>164397.25</v>
          </cell>
          <cell r="BB52">
            <v>0</v>
          </cell>
          <cell r="BC52">
            <v>0</v>
          </cell>
          <cell r="BD52">
            <v>0</v>
          </cell>
          <cell r="BE52"/>
          <cell r="BF52">
            <v>0</v>
          </cell>
        </row>
        <row r="53">
          <cell r="F53">
            <v>1099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1099</v>
          </cell>
          <cell r="BA53">
            <v>171067.78999999911</v>
          </cell>
          <cell r="BB53">
            <v>0</v>
          </cell>
          <cell r="BC53">
            <v>0</v>
          </cell>
          <cell r="BD53">
            <v>0</v>
          </cell>
          <cell r="BE53"/>
          <cell r="BF53">
            <v>0</v>
          </cell>
        </row>
        <row r="54">
          <cell r="F54">
            <v>814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814</v>
          </cell>
          <cell r="BA54">
            <v>127072.28999999911</v>
          </cell>
          <cell r="BB54">
            <v>0</v>
          </cell>
          <cell r="BC54">
            <v>0</v>
          </cell>
          <cell r="BD54">
            <v>0</v>
          </cell>
          <cell r="BE54"/>
          <cell r="BF54">
            <v>0</v>
          </cell>
        </row>
        <row r="55">
          <cell r="F55">
            <v>306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306</v>
          </cell>
          <cell r="BA55">
            <v>45966.5</v>
          </cell>
          <cell r="BB55">
            <v>0</v>
          </cell>
          <cell r="BC55">
            <v>0</v>
          </cell>
          <cell r="BD55">
            <v>0</v>
          </cell>
          <cell r="BE55"/>
          <cell r="BF55">
            <v>0</v>
          </cell>
        </row>
        <row r="56">
          <cell r="F56">
            <v>743.28600000000006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743.28600000000006</v>
          </cell>
          <cell r="BA56">
            <v>115059.92000000179</v>
          </cell>
          <cell r="BB56">
            <v>0</v>
          </cell>
          <cell r="BC56">
            <v>0</v>
          </cell>
          <cell r="BD56">
            <v>0</v>
          </cell>
          <cell r="BE56"/>
          <cell r="BF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/>
          <cell r="BF57">
            <v>0</v>
          </cell>
        </row>
        <row r="58"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/>
          <cell r="BF58">
            <v>0</v>
          </cell>
        </row>
        <row r="59"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/>
          <cell r="BF59">
            <v>0</v>
          </cell>
        </row>
        <row r="60"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/>
          <cell r="BF60">
            <v>0</v>
          </cell>
        </row>
        <row r="61"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/>
          <cell r="BF61">
            <v>0</v>
          </cell>
        </row>
        <row r="62"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/>
          <cell r="BF62">
            <v>0</v>
          </cell>
        </row>
        <row r="63"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/>
          <cell r="BF63">
            <v>0</v>
          </cell>
        </row>
        <row r="64">
          <cell r="F64">
            <v>104.38700000000063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104.38700000000063</v>
          </cell>
          <cell r="BA64">
            <v>18806.789999999106</v>
          </cell>
          <cell r="BB64">
            <v>0</v>
          </cell>
          <cell r="BC64">
            <v>0</v>
          </cell>
          <cell r="BD64">
            <v>0</v>
          </cell>
          <cell r="BE64"/>
          <cell r="BF64">
            <v>0</v>
          </cell>
        </row>
        <row r="65"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/>
          <cell r="BF65">
            <v>0</v>
          </cell>
        </row>
        <row r="66"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/>
          <cell r="BF66">
            <v>0</v>
          </cell>
        </row>
        <row r="67">
          <cell r="F67">
            <v>368.32699999999932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368.32699999999932</v>
          </cell>
          <cell r="BA67">
            <v>58840.25</v>
          </cell>
          <cell r="BB67">
            <v>0</v>
          </cell>
          <cell r="BC67">
            <v>0</v>
          </cell>
          <cell r="BD67">
            <v>0</v>
          </cell>
          <cell r="BE67"/>
          <cell r="BF67">
            <v>0</v>
          </cell>
        </row>
        <row r="68">
          <cell r="F68">
            <v>1255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1255</v>
          </cell>
          <cell r="BA68">
            <v>197048.3900000006</v>
          </cell>
          <cell r="BB68">
            <v>0</v>
          </cell>
          <cell r="BC68">
            <v>0</v>
          </cell>
          <cell r="BD68">
            <v>0</v>
          </cell>
          <cell r="BE68"/>
          <cell r="BF68">
            <v>0</v>
          </cell>
        </row>
        <row r="69">
          <cell r="F69">
            <v>1241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1241</v>
          </cell>
          <cell r="BA69">
            <v>194029.6400000006</v>
          </cell>
          <cell r="BB69">
            <v>0</v>
          </cell>
          <cell r="BC69">
            <v>0</v>
          </cell>
          <cell r="BD69">
            <v>0</v>
          </cell>
          <cell r="BE69"/>
          <cell r="BF69">
            <v>0</v>
          </cell>
        </row>
        <row r="70">
          <cell r="F70">
            <v>840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840</v>
          </cell>
          <cell r="BA70">
            <v>129863.62</v>
          </cell>
          <cell r="BB70">
            <v>0</v>
          </cell>
          <cell r="BC70">
            <v>0</v>
          </cell>
          <cell r="BD70">
            <v>0</v>
          </cell>
          <cell r="BE70"/>
          <cell r="BF70">
            <v>0</v>
          </cell>
        </row>
        <row r="71">
          <cell r="F71">
            <v>1227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1227</v>
          </cell>
          <cell r="BA71">
            <v>194440.47999999672</v>
          </cell>
          <cell r="BB71">
            <v>0</v>
          </cell>
          <cell r="BC71">
            <v>0</v>
          </cell>
          <cell r="BD71">
            <v>0</v>
          </cell>
          <cell r="BE71"/>
          <cell r="BF71">
            <v>0</v>
          </cell>
        </row>
        <row r="72"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/>
          <cell r="BF72">
            <v>0</v>
          </cell>
        </row>
        <row r="73">
          <cell r="F73">
            <v>812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812</v>
          </cell>
          <cell r="BA73">
            <v>128339.70000000001</v>
          </cell>
          <cell r="BB73">
            <v>0</v>
          </cell>
          <cell r="BC73">
            <v>0</v>
          </cell>
          <cell r="BD73">
            <v>0</v>
          </cell>
          <cell r="BE73"/>
          <cell r="BF73">
            <v>0</v>
          </cell>
        </row>
        <row r="74">
          <cell r="F74">
            <v>818.6899999999996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818.6899999999996</v>
          </cell>
          <cell r="BA74">
            <v>126804.49000000209</v>
          </cell>
          <cell r="BB74">
            <v>0</v>
          </cell>
          <cell r="BC74">
            <v>0</v>
          </cell>
          <cell r="BD74">
            <v>0</v>
          </cell>
          <cell r="BE74"/>
          <cell r="BF74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/>
          <cell r="BF75">
            <v>0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/>
          <cell r="BF76">
            <v>0</v>
          </cell>
        </row>
        <row r="77">
          <cell r="F77">
            <v>113.3100000000004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113.3100000000004</v>
          </cell>
          <cell r="BA77">
            <v>17880.289999999106</v>
          </cell>
          <cell r="BB77">
            <v>0</v>
          </cell>
          <cell r="BC77">
            <v>0</v>
          </cell>
          <cell r="BD77">
            <v>0</v>
          </cell>
          <cell r="BE77"/>
          <cell r="BF77">
            <v>0</v>
          </cell>
        </row>
        <row r="78"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/>
          <cell r="BF78">
            <v>0</v>
          </cell>
        </row>
        <row r="79">
          <cell r="F79">
            <v>172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172</v>
          </cell>
          <cell r="BA79">
            <v>27274.90000000596</v>
          </cell>
          <cell r="BB79">
            <v>0</v>
          </cell>
          <cell r="BC79">
            <v>0</v>
          </cell>
          <cell r="BD79">
            <v>0</v>
          </cell>
          <cell r="BE79"/>
          <cell r="BF79">
            <v>0</v>
          </cell>
        </row>
        <row r="80">
          <cell r="F80">
            <v>108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108</v>
          </cell>
          <cell r="BA80">
            <v>17274.819999992847</v>
          </cell>
          <cell r="BB80">
            <v>0</v>
          </cell>
          <cell r="BC80">
            <v>0</v>
          </cell>
          <cell r="BD80">
            <v>0</v>
          </cell>
          <cell r="BE80"/>
          <cell r="BF80">
            <v>0</v>
          </cell>
        </row>
        <row r="81"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/>
          <cell r="BF81">
            <v>0</v>
          </cell>
        </row>
        <row r="82"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/>
          <cell r="BF82">
            <v>0</v>
          </cell>
        </row>
        <row r="83"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/>
          <cell r="BF83">
            <v>0</v>
          </cell>
        </row>
        <row r="84"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/>
          <cell r="BF84">
            <v>0</v>
          </cell>
        </row>
        <row r="85"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/>
          <cell r="BF85">
            <v>0</v>
          </cell>
        </row>
        <row r="86"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BA86">
            <v>216.22000000625849</v>
          </cell>
          <cell r="BB86">
            <v>0</v>
          </cell>
          <cell r="BC86">
            <v>0</v>
          </cell>
          <cell r="BD86">
            <v>0</v>
          </cell>
          <cell r="BE86"/>
          <cell r="BF86">
            <v>0</v>
          </cell>
        </row>
        <row r="87"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/>
          <cell r="BF87">
            <v>0</v>
          </cell>
        </row>
        <row r="88"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/>
          <cell r="BF88">
            <v>0</v>
          </cell>
        </row>
        <row r="89"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/>
          <cell r="BF89">
            <v>0</v>
          </cell>
        </row>
        <row r="90"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/>
          <cell r="BF90">
            <v>0</v>
          </cell>
        </row>
        <row r="91"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/>
          <cell r="BF91">
            <v>0</v>
          </cell>
        </row>
        <row r="92"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/>
          <cell r="BF92">
            <v>0</v>
          </cell>
        </row>
        <row r="93"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/>
          <cell r="BF93">
            <v>0</v>
          </cell>
        </row>
        <row r="94"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/>
          <cell r="BF94">
            <v>0</v>
          </cell>
        </row>
        <row r="95"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/>
          <cell r="BF95">
            <v>0</v>
          </cell>
        </row>
        <row r="96"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/>
          <cell r="BF96">
            <v>0</v>
          </cell>
        </row>
        <row r="97"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BA97">
            <v>492.32999999821186</v>
          </cell>
          <cell r="BB97">
            <v>0</v>
          </cell>
          <cell r="BC97">
            <v>0</v>
          </cell>
          <cell r="BD97">
            <v>0</v>
          </cell>
          <cell r="BE97"/>
          <cell r="BF97">
            <v>0</v>
          </cell>
        </row>
        <row r="98"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BA98">
            <v>831.85999999940395</v>
          </cell>
          <cell r="BB98">
            <v>0</v>
          </cell>
          <cell r="BC98">
            <v>0</v>
          </cell>
          <cell r="BD98">
            <v>0</v>
          </cell>
          <cell r="BE98"/>
          <cell r="BF98">
            <v>0</v>
          </cell>
        </row>
        <row r="99">
          <cell r="F99">
            <v>114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114</v>
          </cell>
          <cell r="BA99">
            <v>20127.75</v>
          </cell>
          <cell r="BB99">
            <v>0</v>
          </cell>
          <cell r="BC99">
            <v>0</v>
          </cell>
          <cell r="BD99">
            <v>0</v>
          </cell>
          <cell r="BE99"/>
          <cell r="BF99">
            <v>0</v>
          </cell>
        </row>
        <row r="100"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/>
          <cell r="BF100">
            <v>0</v>
          </cell>
        </row>
        <row r="101"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/>
          <cell r="BF101">
            <v>0</v>
          </cell>
        </row>
        <row r="102"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/>
          <cell r="BF102">
            <v>0</v>
          </cell>
        </row>
        <row r="103"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/>
          <cell r="BF103">
            <v>0</v>
          </cell>
        </row>
        <row r="104"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/>
          <cell r="BF104">
            <v>0</v>
          </cell>
        </row>
        <row r="105"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/>
          <cell r="BF105">
            <v>0</v>
          </cell>
        </row>
        <row r="106"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/>
          <cell r="BF106">
            <v>0</v>
          </cell>
        </row>
        <row r="107"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/>
          <cell r="BF107">
            <v>0</v>
          </cell>
        </row>
        <row r="108"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/>
          <cell r="BF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/>
          <cell r="BF109">
            <v>0</v>
          </cell>
        </row>
        <row r="110"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/>
          <cell r="BF110">
            <v>0</v>
          </cell>
        </row>
        <row r="111"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/>
          <cell r="BF111">
            <v>0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/>
          <cell r="BF112">
            <v>0</v>
          </cell>
        </row>
        <row r="113"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/>
          <cell r="BF113">
            <v>0</v>
          </cell>
        </row>
        <row r="114"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/>
          <cell r="BF114">
            <v>0</v>
          </cell>
        </row>
        <row r="115"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/>
          <cell r="BF115">
            <v>0</v>
          </cell>
        </row>
        <row r="116"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/>
          <cell r="BF116">
            <v>0</v>
          </cell>
        </row>
        <row r="117"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/>
          <cell r="BF117">
            <v>0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/>
          <cell r="BF118">
            <v>0</v>
          </cell>
        </row>
        <row r="119"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/>
          <cell r="BF119">
            <v>0</v>
          </cell>
        </row>
        <row r="120"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/>
          <cell r="BF120">
            <v>0</v>
          </cell>
        </row>
        <row r="121"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/>
          <cell r="BF121">
            <v>0</v>
          </cell>
        </row>
        <row r="122"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/>
          <cell r="BF122">
            <v>0</v>
          </cell>
        </row>
        <row r="123"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/>
          <cell r="BF123">
            <v>0</v>
          </cell>
        </row>
        <row r="124"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/>
          <cell r="BF124">
            <v>0</v>
          </cell>
        </row>
        <row r="125"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/>
          <cell r="BF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/>
          <cell r="BF126">
            <v>0</v>
          </cell>
        </row>
        <row r="127"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/>
          <cell r="BF127">
            <v>0</v>
          </cell>
        </row>
        <row r="128"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/>
          <cell r="BF128">
            <v>0</v>
          </cell>
        </row>
        <row r="129"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/>
          <cell r="BF129">
            <v>0</v>
          </cell>
        </row>
        <row r="130"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/>
          <cell r="BF130">
            <v>0</v>
          </cell>
        </row>
        <row r="131"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/>
          <cell r="BF131">
            <v>0</v>
          </cell>
        </row>
        <row r="132"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/>
          <cell r="BF132">
            <v>0</v>
          </cell>
        </row>
        <row r="133"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/>
          <cell r="BF133">
            <v>0</v>
          </cell>
        </row>
        <row r="134"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/>
          <cell r="BF134">
            <v>0</v>
          </cell>
        </row>
        <row r="135"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/>
          <cell r="BF135">
            <v>0</v>
          </cell>
        </row>
        <row r="136"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/>
          <cell r="BF136">
            <v>0</v>
          </cell>
        </row>
        <row r="137"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/>
          <cell r="BF137">
            <v>0</v>
          </cell>
        </row>
        <row r="138"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/>
          <cell r="BF138">
            <v>0</v>
          </cell>
        </row>
        <row r="139"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/>
          <cell r="BF139">
            <v>0</v>
          </cell>
        </row>
        <row r="140"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/>
          <cell r="BF140">
            <v>0</v>
          </cell>
        </row>
        <row r="141"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/>
          <cell r="BF141">
            <v>0</v>
          </cell>
        </row>
        <row r="142"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/>
          <cell r="BF142">
            <v>0</v>
          </cell>
        </row>
        <row r="143"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/>
          <cell r="BF143">
            <v>0</v>
          </cell>
        </row>
        <row r="144"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/>
          <cell r="BF144">
            <v>0</v>
          </cell>
        </row>
        <row r="145"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/>
          <cell r="BF145">
            <v>0</v>
          </cell>
        </row>
        <row r="146"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/>
          <cell r="BF146">
            <v>0</v>
          </cell>
        </row>
        <row r="147"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/>
          <cell r="BF147">
            <v>0</v>
          </cell>
        </row>
        <row r="148"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/>
          <cell r="BF148">
            <v>0</v>
          </cell>
        </row>
        <row r="149"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/>
          <cell r="BF149">
            <v>0</v>
          </cell>
        </row>
        <row r="150"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/>
          <cell r="BF150">
            <v>0</v>
          </cell>
        </row>
        <row r="151"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/>
          <cell r="BF151">
            <v>0</v>
          </cell>
        </row>
        <row r="152"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/>
          <cell r="BF152">
            <v>0</v>
          </cell>
        </row>
        <row r="153"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/>
          <cell r="BF153">
            <v>0</v>
          </cell>
        </row>
        <row r="154"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/>
          <cell r="BF154">
            <v>0</v>
          </cell>
        </row>
        <row r="155"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/>
          <cell r="BF155">
            <v>0</v>
          </cell>
        </row>
        <row r="156"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/>
          <cell r="BF156">
            <v>0</v>
          </cell>
        </row>
        <row r="157"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/>
          <cell r="BF157">
            <v>0</v>
          </cell>
        </row>
        <row r="158"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/>
          <cell r="BF158">
            <v>0</v>
          </cell>
        </row>
        <row r="159"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/>
          <cell r="BF159">
            <v>0</v>
          </cell>
        </row>
        <row r="160"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/>
          <cell r="BF160">
            <v>0</v>
          </cell>
        </row>
        <row r="161"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/>
          <cell r="BF161">
            <v>0</v>
          </cell>
        </row>
        <row r="162"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/>
          <cell r="BF162">
            <v>0</v>
          </cell>
        </row>
        <row r="163"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/>
          <cell r="BF163">
            <v>0</v>
          </cell>
        </row>
        <row r="164"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/>
          <cell r="BF164">
            <v>0</v>
          </cell>
        </row>
        <row r="165"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/>
          <cell r="BF165">
            <v>0</v>
          </cell>
        </row>
        <row r="166"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/>
          <cell r="BF166">
            <v>0</v>
          </cell>
        </row>
        <row r="167"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/>
          <cell r="BF167">
            <v>0</v>
          </cell>
        </row>
        <row r="168"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/>
          <cell r="BF168">
            <v>0</v>
          </cell>
        </row>
        <row r="169"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/>
          <cell r="BF169">
            <v>0</v>
          </cell>
        </row>
        <row r="170"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/>
          <cell r="BF170">
            <v>0</v>
          </cell>
        </row>
        <row r="171"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/>
          <cell r="BF171">
            <v>0</v>
          </cell>
        </row>
        <row r="172"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/>
          <cell r="BF172">
            <v>0</v>
          </cell>
        </row>
        <row r="173"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/>
          <cell r="BF173">
            <v>0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/>
          <cell r="BF174">
            <v>0</v>
          </cell>
        </row>
        <row r="175"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/>
          <cell r="BF175">
            <v>0</v>
          </cell>
        </row>
        <row r="176"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/>
          <cell r="BF176">
            <v>0</v>
          </cell>
        </row>
        <row r="177"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/>
          <cell r="BF177">
            <v>0</v>
          </cell>
        </row>
        <row r="178"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/>
          <cell r="BF178">
            <v>0</v>
          </cell>
        </row>
        <row r="179"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/>
          <cell r="BF179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/>
          <cell r="BF180">
            <v>0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/>
          <cell r="BF181">
            <v>0</v>
          </cell>
        </row>
        <row r="182"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/>
          <cell r="BF182">
            <v>0</v>
          </cell>
        </row>
        <row r="183"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/>
          <cell r="BF183">
            <v>0</v>
          </cell>
        </row>
        <row r="184"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/>
          <cell r="BF184">
            <v>0</v>
          </cell>
        </row>
        <row r="185"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/>
          <cell r="BF185">
            <v>0</v>
          </cell>
        </row>
        <row r="186"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/>
          <cell r="BF186">
            <v>0</v>
          </cell>
        </row>
        <row r="187"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/>
          <cell r="BF187">
            <v>0</v>
          </cell>
        </row>
        <row r="188"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/>
          <cell r="BF188">
            <v>0</v>
          </cell>
        </row>
        <row r="189"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/>
          <cell r="BF189">
            <v>0</v>
          </cell>
        </row>
        <row r="190"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/>
          <cell r="BF190">
            <v>0</v>
          </cell>
        </row>
        <row r="191"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/>
          <cell r="BF191">
            <v>0</v>
          </cell>
        </row>
        <row r="192"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/>
          <cell r="BF192">
            <v>0</v>
          </cell>
        </row>
        <row r="193"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/>
          <cell r="BF193">
            <v>0</v>
          </cell>
        </row>
        <row r="194"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/>
          <cell r="BF194">
            <v>0</v>
          </cell>
        </row>
        <row r="195"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/>
          <cell r="BF195">
            <v>0</v>
          </cell>
        </row>
        <row r="196"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/>
          <cell r="BF196">
            <v>0</v>
          </cell>
        </row>
        <row r="197"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/>
          <cell r="BF197">
            <v>0</v>
          </cell>
        </row>
        <row r="198"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/>
          <cell r="BF198">
            <v>0</v>
          </cell>
        </row>
        <row r="199"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/>
          <cell r="BF199">
            <v>0</v>
          </cell>
        </row>
        <row r="200"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/>
          <cell r="BF200">
            <v>0</v>
          </cell>
        </row>
        <row r="201"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/>
          <cell r="BF201">
            <v>0</v>
          </cell>
        </row>
        <row r="202"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/>
          <cell r="BF202">
            <v>0</v>
          </cell>
        </row>
        <row r="203"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/>
          <cell r="BF203">
            <v>0</v>
          </cell>
        </row>
        <row r="204"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/>
          <cell r="BF204">
            <v>0</v>
          </cell>
        </row>
        <row r="205"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/>
          <cell r="BF205">
            <v>0</v>
          </cell>
        </row>
        <row r="206"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/>
          <cell r="BF206">
            <v>0</v>
          </cell>
        </row>
        <row r="207"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/>
          <cell r="BF207">
            <v>0</v>
          </cell>
        </row>
        <row r="208"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/>
          <cell r="BF208">
            <v>0</v>
          </cell>
        </row>
        <row r="209"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/>
          <cell r="BF209">
            <v>0</v>
          </cell>
        </row>
        <row r="210"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/>
          <cell r="BF210">
            <v>0</v>
          </cell>
        </row>
        <row r="211"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/>
          <cell r="BF211">
            <v>0</v>
          </cell>
        </row>
        <row r="212"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/>
          <cell r="BF212">
            <v>0</v>
          </cell>
        </row>
        <row r="213"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/>
          <cell r="BF213">
            <v>0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/>
          <cell r="BF214">
            <v>0</v>
          </cell>
        </row>
        <row r="215"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/>
          <cell r="BF215">
            <v>0</v>
          </cell>
        </row>
        <row r="216"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/>
          <cell r="BF216">
            <v>0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/>
          <cell r="BF217">
            <v>0</v>
          </cell>
        </row>
        <row r="218"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/>
          <cell r="BF218">
            <v>0</v>
          </cell>
        </row>
        <row r="219"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/>
          <cell r="BF219">
            <v>0</v>
          </cell>
        </row>
        <row r="220"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/>
          <cell r="BF220">
            <v>0</v>
          </cell>
        </row>
        <row r="221"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/>
          <cell r="BF221">
            <v>0</v>
          </cell>
        </row>
        <row r="222"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/>
          <cell r="BF222">
            <v>0</v>
          </cell>
        </row>
        <row r="223"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/>
          <cell r="BF223">
            <v>0</v>
          </cell>
        </row>
        <row r="224"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/>
          <cell r="BF224">
            <v>0</v>
          </cell>
        </row>
        <row r="225"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/>
          <cell r="BF225">
            <v>0</v>
          </cell>
        </row>
        <row r="226"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/>
          <cell r="BF226">
            <v>0</v>
          </cell>
        </row>
        <row r="227"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/>
          <cell r="BF227">
            <v>0</v>
          </cell>
        </row>
        <row r="228"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/>
          <cell r="BF228">
            <v>0</v>
          </cell>
        </row>
        <row r="229"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/>
          <cell r="BF229">
            <v>0</v>
          </cell>
        </row>
        <row r="230"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/>
          <cell r="BF230">
            <v>0</v>
          </cell>
        </row>
        <row r="231"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/>
          <cell r="BF231">
            <v>0</v>
          </cell>
        </row>
        <row r="232"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/>
          <cell r="BF232">
            <v>0</v>
          </cell>
        </row>
        <row r="233"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/>
          <cell r="BF233">
            <v>0</v>
          </cell>
        </row>
        <row r="234"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/>
          <cell r="BF234">
            <v>0</v>
          </cell>
        </row>
        <row r="235"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/>
          <cell r="BF235">
            <v>0</v>
          </cell>
        </row>
        <row r="236"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/>
          <cell r="BF236">
            <v>0</v>
          </cell>
        </row>
        <row r="237"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/>
          <cell r="BF237">
            <v>0</v>
          </cell>
        </row>
        <row r="238"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/>
          <cell r="BF238">
            <v>0</v>
          </cell>
        </row>
        <row r="239"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/>
          <cell r="BF239">
            <v>0</v>
          </cell>
        </row>
        <row r="240"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/>
          <cell r="BF240">
            <v>0</v>
          </cell>
        </row>
        <row r="241"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/>
          <cell r="BF241">
            <v>0</v>
          </cell>
        </row>
        <row r="242"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/>
          <cell r="BF242">
            <v>0</v>
          </cell>
        </row>
        <row r="243"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/>
          <cell r="BF243">
            <v>0</v>
          </cell>
        </row>
        <row r="244"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/>
          <cell r="BF244">
            <v>0</v>
          </cell>
        </row>
        <row r="245"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/>
          <cell r="BF245">
            <v>0</v>
          </cell>
        </row>
        <row r="246"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/>
          <cell r="BF246">
            <v>0</v>
          </cell>
        </row>
        <row r="247"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/>
          <cell r="BF247">
            <v>0</v>
          </cell>
        </row>
        <row r="248"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/>
          <cell r="BF248">
            <v>0</v>
          </cell>
        </row>
        <row r="249"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/>
          <cell r="BF249">
            <v>0</v>
          </cell>
        </row>
        <row r="250"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/>
          <cell r="BF250">
            <v>0</v>
          </cell>
        </row>
        <row r="251"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/>
          <cell r="BF251">
            <v>0</v>
          </cell>
        </row>
        <row r="252"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/>
          <cell r="BF252">
            <v>0</v>
          </cell>
        </row>
        <row r="253"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/>
          <cell r="BF253">
            <v>0</v>
          </cell>
        </row>
        <row r="254"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/>
          <cell r="BF254">
            <v>0</v>
          </cell>
        </row>
        <row r="255"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/>
          <cell r="BF255">
            <v>0</v>
          </cell>
        </row>
        <row r="256"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/>
          <cell r="BF256">
            <v>0</v>
          </cell>
        </row>
        <row r="257"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/>
          <cell r="BF257">
            <v>0</v>
          </cell>
        </row>
        <row r="258"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/>
          <cell r="BF258">
            <v>0</v>
          </cell>
        </row>
        <row r="259"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/>
          <cell r="BF259">
            <v>0</v>
          </cell>
        </row>
        <row r="260"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/>
          <cell r="BF260">
            <v>0</v>
          </cell>
        </row>
        <row r="261"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/>
          <cell r="BF261">
            <v>0</v>
          </cell>
        </row>
        <row r="262"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/>
          <cell r="BF262">
            <v>0</v>
          </cell>
        </row>
        <row r="263"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/>
          <cell r="BF263">
            <v>0</v>
          </cell>
        </row>
        <row r="264"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/>
          <cell r="BF264">
            <v>0</v>
          </cell>
        </row>
        <row r="265"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/>
          <cell r="BF265">
            <v>0</v>
          </cell>
        </row>
        <row r="266"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/>
          <cell r="BF266">
            <v>0</v>
          </cell>
        </row>
        <row r="267"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/>
          <cell r="BF267">
            <v>0</v>
          </cell>
        </row>
        <row r="268"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/>
          <cell r="BF268">
            <v>0</v>
          </cell>
        </row>
        <row r="269"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/>
          <cell r="BF269">
            <v>0</v>
          </cell>
        </row>
        <row r="270"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/>
          <cell r="BF270">
            <v>0</v>
          </cell>
        </row>
        <row r="271"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/>
          <cell r="BF271">
            <v>0</v>
          </cell>
        </row>
        <row r="272"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/>
          <cell r="BF272">
            <v>0</v>
          </cell>
        </row>
        <row r="273"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/>
          <cell r="BF273">
            <v>0</v>
          </cell>
        </row>
        <row r="274"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/>
          <cell r="BF274">
            <v>0</v>
          </cell>
        </row>
        <row r="275"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/>
          <cell r="BF275">
            <v>0</v>
          </cell>
        </row>
        <row r="276"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/>
          <cell r="BF276">
            <v>0</v>
          </cell>
        </row>
        <row r="277"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/>
          <cell r="BF277">
            <v>0</v>
          </cell>
        </row>
        <row r="278"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/>
          <cell r="BF278">
            <v>0</v>
          </cell>
        </row>
        <row r="279"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/>
          <cell r="BF279">
            <v>0</v>
          </cell>
        </row>
        <row r="280"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/>
          <cell r="BF280">
            <v>0</v>
          </cell>
        </row>
        <row r="281"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/>
          <cell r="BF281">
            <v>0</v>
          </cell>
        </row>
        <row r="282"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/>
          <cell r="BF282">
            <v>0</v>
          </cell>
        </row>
        <row r="283"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/>
          <cell r="BF283">
            <v>0</v>
          </cell>
        </row>
        <row r="284"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/>
          <cell r="BF284">
            <v>0</v>
          </cell>
        </row>
        <row r="285"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/>
          <cell r="BF285">
            <v>0</v>
          </cell>
        </row>
        <row r="286"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/>
          <cell r="BF286">
            <v>0</v>
          </cell>
        </row>
        <row r="287"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/>
          <cell r="BF287">
            <v>0</v>
          </cell>
        </row>
        <row r="288"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/>
          <cell r="BF288">
            <v>0</v>
          </cell>
        </row>
        <row r="289"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/>
          <cell r="BF289">
            <v>0</v>
          </cell>
        </row>
        <row r="290"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/>
          <cell r="BF290">
            <v>0</v>
          </cell>
        </row>
        <row r="291"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/>
          <cell r="BF291">
            <v>0</v>
          </cell>
        </row>
        <row r="292"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/>
          <cell r="BF292">
            <v>0</v>
          </cell>
        </row>
        <row r="293"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/>
          <cell r="BF293">
            <v>0</v>
          </cell>
        </row>
        <row r="294"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/>
          <cell r="BF294">
            <v>0</v>
          </cell>
        </row>
        <row r="295"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/>
          <cell r="BF295">
            <v>0</v>
          </cell>
        </row>
        <row r="296"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/>
          <cell r="BF296">
            <v>0</v>
          </cell>
        </row>
        <row r="297"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/>
          <cell r="BF297">
            <v>0</v>
          </cell>
        </row>
        <row r="298"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/>
          <cell r="BF298">
            <v>0</v>
          </cell>
        </row>
        <row r="299"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/>
          <cell r="BF299">
            <v>0</v>
          </cell>
        </row>
        <row r="300"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/>
          <cell r="BF300">
            <v>0</v>
          </cell>
        </row>
        <row r="301"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/>
          <cell r="BF301">
            <v>0</v>
          </cell>
        </row>
        <row r="302"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/>
          <cell r="BF302">
            <v>0</v>
          </cell>
        </row>
        <row r="303"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/>
          <cell r="BF303">
            <v>0</v>
          </cell>
        </row>
        <row r="304"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/>
          <cell r="BF304">
            <v>0</v>
          </cell>
        </row>
        <row r="305"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/>
          <cell r="BF305">
            <v>0</v>
          </cell>
        </row>
        <row r="306"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/>
          <cell r="BF306">
            <v>0</v>
          </cell>
        </row>
        <row r="307"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/>
          <cell r="BF307">
            <v>0</v>
          </cell>
        </row>
        <row r="308"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/>
          <cell r="BF308">
            <v>0</v>
          </cell>
        </row>
        <row r="309"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/>
          <cell r="BF309">
            <v>0</v>
          </cell>
        </row>
        <row r="310"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/>
          <cell r="BF310">
            <v>0</v>
          </cell>
        </row>
        <row r="311"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/>
          <cell r="BF311">
            <v>0</v>
          </cell>
        </row>
        <row r="312"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/>
          <cell r="BF312">
            <v>0</v>
          </cell>
        </row>
        <row r="313"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/>
          <cell r="BF313">
            <v>0</v>
          </cell>
        </row>
        <row r="314"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/>
          <cell r="BF314">
            <v>0</v>
          </cell>
        </row>
        <row r="315"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/>
          <cell r="BF315">
            <v>0</v>
          </cell>
        </row>
        <row r="316"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/>
          <cell r="BF316">
            <v>0</v>
          </cell>
        </row>
        <row r="317"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/>
          <cell r="BF317">
            <v>0</v>
          </cell>
        </row>
        <row r="318"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/>
          <cell r="BF318">
            <v>0</v>
          </cell>
        </row>
        <row r="319"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/>
          <cell r="BF319">
            <v>0</v>
          </cell>
        </row>
        <row r="320"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/>
          <cell r="BF320">
            <v>0</v>
          </cell>
        </row>
        <row r="321"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/>
          <cell r="BF321">
            <v>0</v>
          </cell>
        </row>
        <row r="322"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/>
          <cell r="BF322">
            <v>0</v>
          </cell>
        </row>
        <row r="323"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/>
          <cell r="BF323">
            <v>0</v>
          </cell>
        </row>
        <row r="324"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/>
          <cell r="BF324">
            <v>0</v>
          </cell>
        </row>
        <row r="325"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/>
          <cell r="BF325">
            <v>0</v>
          </cell>
        </row>
        <row r="326"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/>
          <cell r="BF326">
            <v>0</v>
          </cell>
        </row>
        <row r="327"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/>
          <cell r="BF327">
            <v>0</v>
          </cell>
        </row>
        <row r="328"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/>
          <cell r="BF328">
            <v>0</v>
          </cell>
        </row>
        <row r="329"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/>
          <cell r="BF329">
            <v>0</v>
          </cell>
        </row>
        <row r="330"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/>
          <cell r="BF330">
            <v>0</v>
          </cell>
        </row>
        <row r="331"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/>
          <cell r="BF331">
            <v>0</v>
          </cell>
        </row>
        <row r="332"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/>
          <cell r="BF332">
            <v>0</v>
          </cell>
        </row>
        <row r="333"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/>
          <cell r="BF333">
            <v>0</v>
          </cell>
        </row>
        <row r="334"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/>
          <cell r="BF334">
            <v>0</v>
          </cell>
        </row>
        <row r="335"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/>
          <cell r="BF335">
            <v>0</v>
          </cell>
        </row>
        <row r="336"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/>
          <cell r="BF336">
            <v>0</v>
          </cell>
        </row>
        <row r="337"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/>
          <cell r="BF337">
            <v>0</v>
          </cell>
        </row>
        <row r="338"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/>
          <cell r="BF338">
            <v>0</v>
          </cell>
        </row>
        <row r="339"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/>
          <cell r="BF339">
            <v>0</v>
          </cell>
        </row>
        <row r="340"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/>
          <cell r="BF340">
            <v>0</v>
          </cell>
        </row>
        <row r="341"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/>
          <cell r="BF341">
            <v>0</v>
          </cell>
        </row>
        <row r="342"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/>
          <cell r="BF342">
            <v>0</v>
          </cell>
        </row>
        <row r="343"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/>
          <cell r="BF343">
            <v>0</v>
          </cell>
        </row>
        <row r="344"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/>
          <cell r="BF344">
            <v>0</v>
          </cell>
        </row>
        <row r="345"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/>
          <cell r="BF345">
            <v>0</v>
          </cell>
        </row>
        <row r="346"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/>
          <cell r="BF346">
            <v>0</v>
          </cell>
        </row>
        <row r="347"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/>
          <cell r="BF347">
            <v>0</v>
          </cell>
        </row>
        <row r="348"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/>
          <cell r="BF348">
            <v>0</v>
          </cell>
        </row>
        <row r="349"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/>
          <cell r="BF349">
            <v>0</v>
          </cell>
        </row>
        <row r="350"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/>
          <cell r="BF350">
            <v>0</v>
          </cell>
        </row>
        <row r="351"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/>
          <cell r="BF351">
            <v>0</v>
          </cell>
        </row>
        <row r="352"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/>
          <cell r="BF352">
            <v>0</v>
          </cell>
        </row>
        <row r="353"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/>
          <cell r="BF353">
            <v>0</v>
          </cell>
        </row>
        <row r="354"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/>
          <cell r="BF354">
            <v>0</v>
          </cell>
        </row>
        <row r="355"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/>
          <cell r="BF355">
            <v>0</v>
          </cell>
        </row>
        <row r="356"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/>
          <cell r="BF356">
            <v>0</v>
          </cell>
        </row>
        <row r="357"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/>
          <cell r="BF357">
            <v>0</v>
          </cell>
        </row>
        <row r="358"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/>
          <cell r="BF358">
            <v>0</v>
          </cell>
        </row>
        <row r="359"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/>
          <cell r="BF359">
            <v>0</v>
          </cell>
        </row>
        <row r="360"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/>
          <cell r="BF360">
            <v>0</v>
          </cell>
        </row>
        <row r="361"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/>
          <cell r="BF361">
            <v>0</v>
          </cell>
        </row>
        <row r="362"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/>
          <cell r="BF362">
            <v>0</v>
          </cell>
        </row>
        <row r="363"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/>
          <cell r="BF363">
            <v>0</v>
          </cell>
        </row>
        <row r="364"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/>
          <cell r="BF364">
            <v>0</v>
          </cell>
        </row>
        <row r="365"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/>
          <cell r="BF365">
            <v>0</v>
          </cell>
        </row>
        <row r="366"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/>
          <cell r="BF366">
            <v>0</v>
          </cell>
        </row>
        <row r="367"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/>
          <cell r="BF367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3">
          <cell r="C3">
            <v>24</v>
          </cell>
          <cell r="D3"/>
          <cell r="E3"/>
          <cell r="F3"/>
        </row>
        <row r="4">
          <cell r="C4">
            <v>24</v>
          </cell>
          <cell r="D4">
            <v>2</v>
          </cell>
          <cell r="E4"/>
          <cell r="F4"/>
        </row>
        <row r="5">
          <cell r="C5">
            <v>24</v>
          </cell>
          <cell r="D5">
            <v>10</v>
          </cell>
          <cell r="E5"/>
          <cell r="F5"/>
        </row>
        <row r="6">
          <cell r="C6">
            <v>24</v>
          </cell>
          <cell r="D6">
            <v>15</v>
          </cell>
          <cell r="E6"/>
          <cell r="F6"/>
        </row>
        <row r="7">
          <cell r="C7">
            <v>24</v>
          </cell>
          <cell r="D7"/>
          <cell r="E7"/>
          <cell r="F7"/>
        </row>
        <row r="8">
          <cell r="C8">
            <v>24</v>
          </cell>
          <cell r="D8"/>
          <cell r="E8"/>
          <cell r="F8"/>
        </row>
        <row r="9">
          <cell r="C9">
            <v>24</v>
          </cell>
          <cell r="D9"/>
          <cell r="E9"/>
          <cell r="F9"/>
        </row>
        <row r="10">
          <cell r="C10">
            <v>24</v>
          </cell>
          <cell r="D10"/>
          <cell r="E10"/>
          <cell r="F10"/>
        </row>
        <row r="11">
          <cell r="C11">
            <v>24</v>
          </cell>
          <cell r="D11"/>
          <cell r="E11"/>
          <cell r="F11"/>
        </row>
        <row r="12">
          <cell r="C12">
            <v>24</v>
          </cell>
          <cell r="D12"/>
          <cell r="E12"/>
          <cell r="F12"/>
        </row>
        <row r="13">
          <cell r="C13">
            <v>24</v>
          </cell>
          <cell r="D13"/>
          <cell r="E13"/>
          <cell r="F13"/>
        </row>
        <row r="14">
          <cell r="C14">
            <v>24</v>
          </cell>
          <cell r="D14">
            <v>6</v>
          </cell>
          <cell r="E14"/>
          <cell r="F14"/>
        </row>
        <row r="15">
          <cell r="C15">
            <v>24</v>
          </cell>
          <cell r="D15"/>
          <cell r="E15"/>
          <cell r="F15"/>
        </row>
        <row r="16">
          <cell r="C16">
            <v>24</v>
          </cell>
          <cell r="D16"/>
          <cell r="E16"/>
          <cell r="F16"/>
        </row>
        <row r="17">
          <cell r="C17">
            <v>24</v>
          </cell>
          <cell r="D17"/>
          <cell r="E17"/>
          <cell r="F17"/>
        </row>
        <row r="18">
          <cell r="C18">
            <v>24</v>
          </cell>
          <cell r="D18"/>
          <cell r="E18"/>
          <cell r="F18"/>
        </row>
        <row r="19">
          <cell r="C19">
            <v>24</v>
          </cell>
          <cell r="D19"/>
          <cell r="E19"/>
          <cell r="F19"/>
        </row>
        <row r="20">
          <cell r="C20">
            <v>19</v>
          </cell>
          <cell r="D20"/>
          <cell r="E20"/>
          <cell r="F20"/>
        </row>
        <row r="21">
          <cell r="C21">
            <v>24</v>
          </cell>
          <cell r="D21"/>
          <cell r="E21"/>
          <cell r="F21"/>
        </row>
        <row r="22">
          <cell r="C22">
            <v>24</v>
          </cell>
          <cell r="D22"/>
          <cell r="E22"/>
          <cell r="F22"/>
        </row>
        <row r="23">
          <cell r="C23">
            <v>24</v>
          </cell>
          <cell r="D23"/>
          <cell r="E23"/>
          <cell r="F23"/>
        </row>
        <row r="24">
          <cell r="C24">
            <v>24</v>
          </cell>
          <cell r="D24">
            <v>14</v>
          </cell>
          <cell r="E24"/>
          <cell r="F24"/>
        </row>
        <row r="25">
          <cell r="C25">
            <v>24</v>
          </cell>
          <cell r="D25"/>
          <cell r="E25"/>
          <cell r="F25"/>
        </row>
        <row r="26">
          <cell r="C26">
            <v>24</v>
          </cell>
          <cell r="D26"/>
          <cell r="E26"/>
          <cell r="F26"/>
        </row>
        <row r="27">
          <cell r="C27">
            <v>24</v>
          </cell>
          <cell r="D27"/>
          <cell r="E27"/>
          <cell r="F27"/>
        </row>
        <row r="28">
          <cell r="C28">
            <v>24</v>
          </cell>
          <cell r="D28"/>
          <cell r="E28"/>
          <cell r="F28"/>
        </row>
        <row r="29">
          <cell r="C29">
            <v>24</v>
          </cell>
          <cell r="D29"/>
          <cell r="E29"/>
          <cell r="F29"/>
        </row>
        <row r="30">
          <cell r="C30">
            <v>24</v>
          </cell>
          <cell r="D30"/>
          <cell r="E30"/>
          <cell r="F30"/>
        </row>
        <row r="31">
          <cell r="C31">
            <v>24</v>
          </cell>
          <cell r="D31"/>
          <cell r="E31"/>
          <cell r="F31"/>
        </row>
        <row r="32">
          <cell r="C32">
            <v>24</v>
          </cell>
          <cell r="D32"/>
          <cell r="E32"/>
          <cell r="F32"/>
        </row>
        <row r="33">
          <cell r="C33">
            <v>24</v>
          </cell>
          <cell r="D33"/>
          <cell r="E33"/>
          <cell r="F33"/>
        </row>
        <row r="34">
          <cell r="C34">
            <v>24</v>
          </cell>
          <cell r="D34"/>
          <cell r="E34"/>
          <cell r="F34"/>
        </row>
        <row r="35">
          <cell r="C35">
            <v>24</v>
          </cell>
          <cell r="D35"/>
          <cell r="E35"/>
          <cell r="F35"/>
        </row>
        <row r="36">
          <cell r="C36">
            <v>24</v>
          </cell>
          <cell r="D36"/>
          <cell r="E36"/>
          <cell r="F36"/>
        </row>
        <row r="37">
          <cell r="C37">
            <v>24</v>
          </cell>
          <cell r="D37"/>
          <cell r="E37"/>
          <cell r="F37"/>
        </row>
        <row r="38">
          <cell r="C38">
            <v>24</v>
          </cell>
          <cell r="D38"/>
          <cell r="E38"/>
          <cell r="F38"/>
        </row>
        <row r="39">
          <cell r="C39">
            <v>19</v>
          </cell>
          <cell r="D39"/>
          <cell r="E39"/>
          <cell r="F39"/>
        </row>
        <row r="40">
          <cell r="C40">
            <v>24</v>
          </cell>
          <cell r="D40"/>
          <cell r="E40"/>
          <cell r="F40"/>
        </row>
        <row r="41">
          <cell r="C41">
            <v>24</v>
          </cell>
          <cell r="D41"/>
          <cell r="E41"/>
          <cell r="F41"/>
        </row>
        <row r="42">
          <cell r="C42">
            <v>24</v>
          </cell>
          <cell r="D42"/>
          <cell r="E42"/>
          <cell r="F42"/>
        </row>
        <row r="43">
          <cell r="C43">
            <v>24</v>
          </cell>
          <cell r="D43"/>
          <cell r="E43"/>
          <cell r="F43"/>
        </row>
        <row r="44">
          <cell r="C44">
            <v>24</v>
          </cell>
          <cell r="D44"/>
          <cell r="E44"/>
          <cell r="F44"/>
        </row>
        <row r="45">
          <cell r="C45">
            <v>24</v>
          </cell>
          <cell r="D45"/>
          <cell r="E45"/>
          <cell r="F45"/>
        </row>
        <row r="46">
          <cell r="C46">
            <v>24</v>
          </cell>
          <cell r="D46"/>
          <cell r="E46"/>
          <cell r="F46"/>
        </row>
        <row r="47">
          <cell r="C47">
            <v>24</v>
          </cell>
          <cell r="D47"/>
          <cell r="E47"/>
          <cell r="F47"/>
        </row>
        <row r="48">
          <cell r="C48">
            <v>24</v>
          </cell>
          <cell r="D48"/>
          <cell r="E48"/>
          <cell r="F48"/>
        </row>
        <row r="49">
          <cell r="C49">
            <v>17</v>
          </cell>
          <cell r="D49"/>
          <cell r="E49"/>
          <cell r="F49"/>
        </row>
        <row r="50">
          <cell r="C50">
            <v>17</v>
          </cell>
          <cell r="D50"/>
          <cell r="E50"/>
          <cell r="F50"/>
        </row>
        <row r="51">
          <cell r="C51">
            <v>18</v>
          </cell>
          <cell r="D51"/>
          <cell r="E51"/>
          <cell r="F51"/>
        </row>
        <row r="52">
          <cell r="C52">
            <v>24</v>
          </cell>
          <cell r="D52"/>
          <cell r="E52"/>
          <cell r="F52"/>
        </row>
        <row r="53">
          <cell r="C53">
            <v>24</v>
          </cell>
          <cell r="D53"/>
          <cell r="E53"/>
          <cell r="F53"/>
        </row>
        <row r="54">
          <cell r="C54">
            <v>18</v>
          </cell>
          <cell r="D54"/>
          <cell r="E54"/>
          <cell r="F54"/>
        </row>
        <row r="55">
          <cell r="C55">
            <v>8</v>
          </cell>
          <cell r="D55"/>
          <cell r="E55"/>
          <cell r="F55"/>
        </row>
        <row r="56">
          <cell r="C56">
            <v>19</v>
          </cell>
          <cell r="D56"/>
          <cell r="E56"/>
          <cell r="F56"/>
        </row>
        <row r="57">
          <cell r="C57">
            <v>0</v>
          </cell>
          <cell r="D57"/>
          <cell r="E57"/>
          <cell r="F57"/>
        </row>
        <row r="58">
          <cell r="C58">
            <v>0</v>
          </cell>
          <cell r="D58"/>
          <cell r="E58"/>
          <cell r="F58"/>
        </row>
        <row r="59">
          <cell r="C59">
            <v>0</v>
          </cell>
          <cell r="D59"/>
          <cell r="E59"/>
          <cell r="F59"/>
        </row>
        <row r="60">
          <cell r="C60">
            <v>0</v>
          </cell>
          <cell r="D60"/>
          <cell r="E60"/>
          <cell r="F60"/>
        </row>
        <row r="61">
          <cell r="C61">
            <v>0</v>
          </cell>
          <cell r="D61"/>
          <cell r="E61"/>
          <cell r="F61"/>
        </row>
        <row r="62">
          <cell r="C62">
            <v>0</v>
          </cell>
          <cell r="D62"/>
          <cell r="E62"/>
          <cell r="F62"/>
        </row>
        <row r="63">
          <cell r="C63">
            <v>0</v>
          </cell>
          <cell r="D63"/>
          <cell r="E63"/>
          <cell r="F63"/>
        </row>
        <row r="64">
          <cell r="C64">
            <v>10</v>
          </cell>
          <cell r="D64"/>
          <cell r="E64"/>
          <cell r="F64"/>
        </row>
        <row r="65">
          <cell r="C65">
            <v>0</v>
          </cell>
          <cell r="D65"/>
          <cell r="E65"/>
          <cell r="F65"/>
        </row>
        <row r="66">
          <cell r="C66">
            <v>0</v>
          </cell>
          <cell r="D66"/>
          <cell r="E66"/>
          <cell r="F66"/>
        </row>
        <row r="67">
          <cell r="C67">
            <v>10</v>
          </cell>
          <cell r="D67"/>
          <cell r="E67"/>
          <cell r="F67"/>
        </row>
        <row r="68">
          <cell r="C68">
            <v>24</v>
          </cell>
          <cell r="D68"/>
          <cell r="E68"/>
          <cell r="F68"/>
        </row>
        <row r="69">
          <cell r="C69">
            <v>24</v>
          </cell>
          <cell r="D69"/>
          <cell r="E69"/>
          <cell r="F69"/>
        </row>
        <row r="70">
          <cell r="C70">
            <v>20</v>
          </cell>
          <cell r="D70"/>
          <cell r="E70"/>
          <cell r="F70"/>
        </row>
        <row r="71">
          <cell r="C71">
            <v>24</v>
          </cell>
          <cell r="D71"/>
          <cell r="E71"/>
          <cell r="F71"/>
        </row>
        <row r="72">
          <cell r="C72">
            <v>0</v>
          </cell>
          <cell r="D72"/>
          <cell r="E72"/>
          <cell r="F72"/>
        </row>
        <row r="73">
          <cell r="C73">
            <v>20</v>
          </cell>
          <cell r="D73"/>
          <cell r="E73"/>
          <cell r="F73"/>
        </row>
        <row r="74">
          <cell r="C74">
            <v>17</v>
          </cell>
          <cell r="D74"/>
          <cell r="E74"/>
          <cell r="F74"/>
        </row>
        <row r="75">
          <cell r="C75">
            <v>0</v>
          </cell>
          <cell r="D75"/>
          <cell r="E75"/>
          <cell r="F75"/>
        </row>
        <row r="76">
          <cell r="C76">
            <v>0</v>
          </cell>
          <cell r="D76"/>
          <cell r="E76"/>
          <cell r="F76"/>
        </row>
        <row r="77">
          <cell r="C77">
            <v>8</v>
          </cell>
          <cell r="D77"/>
          <cell r="E77"/>
          <cell r="F77"/>
        </row>
        <row r="78">
          <cell r="C78">
            <v>0</v>
          </cell>
          <cell r="D78"/>
          <cell r="E78"/>
          <cell r="F78"/>
        </row>
        <row r="79">
          <cell r="C79">
            <v>11</v>
          </cell>
          <cell r="D79"/>
          <cell r="E79"/>
          <cell r="F79"/>
        </row>
        <row r="80">
          <cell r="C80">
            <v>8</v>
          </cell>
          <cell r="D80"/>
          <cell r="E80"/>
          <cell r="F80"/>
        </row>
        <row r="81">
          <cell r="C81">
            <v>0</v>
          </cell>
          <cell r="D81"/>
          <cell r="E81"/>
          <cell r="F81"/>
        </row>
        <row r="82">
          <cell r="C82">
            <v>0</v>
          </cell>
          <cell r="D82"/>
          <cell r="E82"/>
          <cell r="F82"/>
        </row>
        <row r="83">
          <cell r="C83">
            <v>0</v>
          </cell>
          <cell r="D83"/>
          <cell r="E83"/>
          <cell r="F83"/>
        </row>
        <row r="84">
          <cell r="C84">
            <v>0</v>
          </cell>
          <cell r="D84"/>
          <cell r="E84"/>
          <cell r="F84"/>
        </row>
        <row r="85">
          <cell r="C85">
            <v>0</v>
          </cell>
          <cell r="D85"/>
          <cell r="E85"/>
          <cell r="F85"/>
        </row>
        <row r="86">
          <cell r="C86">
            <v>0</v>
          </cell>
          <cell r="D86"/>
          <cell r="E86"/>
          <cell r="F86"/>
        </row>
        <row r="87">
          <cell r="C87">
            <v>0</v>
          </cell>
          <cell r="D87"/>
          <cell r="E87"/>
          <cell r="F87"/>
        </row>
        <row r="88">
          <cell r="C88">
            <v>0</v>
          </cell>
          <cell r="D88"/>
          <cell r="E88"/>
          <cell r="F88"/>
        </row>
        <row r="89">
          <cell r="C89">
            <v>0</v>
          </cell>
          <cell r="D89"/>
          <cell r="E89"/>
          <cell r="F89"/>
        </row>
        <row r="90">
          <cell r="C90">
            <v>0</v>
          </cell>
          <cell r="D90"/>
          <cell r="E90"/>
          <cell r="F90"/>
        </row>
        <row r="91">
          <cell r="C91">
            <v>0</v>
          </cell>
          <cell r="D91"/>
          <cell r="E91"/>
          <cell r="F91"/>
        </row>
        <row r="92">
          <cell r="C92">
            <v>0</v>
          </cell>
          <cell r="D92"/>
          <cell r="E92"/>
          <cell r="F92"/>
        </row>
        <row r="93">
          <cell r="C93">
            <v>0</v>
          </cell>
          <cell r="D93"/>
          <cell r="E93"/>
          <cell r="F93"/>
        </row>
        <row r="94">
          <cell r="C94">
            <v>0</v>
          </cell>
          <cell r="D94"/>
          <cell r="E94"/>
          <cell r="F94"/>
        </row>
        <row r="95">
          <cell r="C95">
            <v>0</v>
          </cell>
          <cell r="D95"/>
          <cell r="E95"/>
          <cell r="F95"/>
        </row>
        <row r="96">
          <cell r="C96">
            <v>0</v>
          </cell>
          <cell r="D96"/>
          <cell r="E96"/>
          <cell r="F96"/>
        </row>
        <row r="97">
          <cell r="C97">
            <v>1</v>
          </cell>
          <cell r="D97"/>
          <cell r="E97"/>
          <cell r="F97"/>
        </row>
        <row r="98">
          <cell r="C98">
            <v>0</v>
          </cell>
          <cell r="D98"/>
          <cell r="E98"/>
          <cell r="F98"/>
        </row>
        <row r="99">
          <cell r="C99">
            <v>11</v>
          </cell>
          <cell r="D99"/>
          <cell r="E99"/>
          <cell r="F99"/>
        </row>
        <row r="100">
          <cell r="C100"/>
          <cell r="D100"/>
          <cell r="E100"/>
          <cell r="F100"/>
        </row>
        <row r="101">
          <cell r="C101"/>
          <cell r="D101"/>
          <cell r="E101"/>
          <cell r="F101"/>
        </row>
        <row r="102">
          <cell r="C102"/>
          <cell r="D102"/>
          <cell r="E102"/>
          <cell r="F102"/>
        </row>
        <row r="103">
          <cell r="C103"/>
          <cell r="D103"/>
          <cell r="E103"/>
          <cell r="F103"/>
        </row>
        <row r="104">
          <cell r="C104"/>
          <cell r="D104"/>
          <cell r="E104"/>
          <cell r="F104"/>
        </row>
        <row r="105">
          <cell r="C105"/>
          <cell r="D105"/>
          <cell r="E105"/>
          <cell r="F105"/>
        </row>
        <row r="106">
          <cell r="C106"/>
          <cell r="D106"/>
          <cell r="E106"/>
          <cell r="F106"/>
        </row>
        <row r="107">
          <cell r="C107"/>
          <cell r="D107"/>
          <cell r="E107"/>
          <cell r="F107"/>
        </row>
        <row r="108">
          <cell r="C108"/>
          <cell r="D108"/>
          <cell r="E108"/>
          <cell r="F108"/>
        </row>
        <row r="109">
          <cell r="C109"/>
          <cell r="D109"/>
          <cell r="E109"/>
          <cell r="F109"/>
        </row>
        <row r="110">
          <cell r="C110"/>
          <cell r="D110"/>
          <cell r="E110"/>
          <cell r="F110"/>
        </row>
        <row r="111">
          <cell r="C111"/>
          <cell r="D111"/>
          <cell r="E111"/>
          <cell r="F111"/>
        </row>
        <row r="112">
          <cell r="C112"/>
          <cell r="D112"/>
          <cell r="E112"/>
          <cell r="F112"/>
        </row>
        <row r="113">
          <cell r="C113"/>
          <cell r="D113"/>
          <cell r="E113"/>
          <cell r="F113"/>
        </row>
        <row r="114">
          <cell r="C114"/>
          <cell r="D114"/>
          <cell r="E114"/>
          <cell r="F114"/>
        </row>
        <row r="115">
          <cell r="C115"/>
          <cell r="D115"/>
          <cell r="E115"/>
          <cell r="F115"/>
        </row>
        <row r="116">
          <cell r="C116"/>
          <cell r="D116"/>
          <cell r="E116"/>
          <cell r="F116"/>
        </row>
        <row r="117">
          <cell r="C117"/>
          <cell r="D117"/>
          <cell r="E117"/>
          <cell r="F117"/>
        </row>
        <row r="118">
          <cell r="C118"/>
          <cell r="D118"/>
          <cell r="E118"/>
          <cell r="F118"/>
        </row>
        <row r="119">
          <cell r="C119"/>
          <cell r="D119"/>
          <cell r="E119"/>
          <cell r="F119"/>
        </row>
        <row r="120">
          <cell r="C120"/>
          <cell r="D120"/>
          <cell r="E120"/>
          <cell r="F120"/>
        </row>
        <row r="121">
          <cell r="C121"/>
          <cell r="D121"/>
          <cell r="E121"/>
          <cell r="F121"/>
        </row>
        <row r="122">
          <cell r="C122"/>
          <cell r="D122"/>
          <cell r="E122"/>
          <cell r="F122"/>
        </row>
        <row r="123">
          <cell r="C123"/>
          <cell r="D123"/>
          <cell r="E123"/>
          <cell r="F123"/>
        </row>
        <row r="124">
          <cell r="C124"/>
          <cell r="D124"/>
          <cell r="E124"/>
          <cell r="F124"/>
        </row>
        <row r="125">
          <cell r="C125"/>
          <cell r="D125"/>
          <cell r="E125"/>
          <cell r="F125"/>
        </row>
        <row r="126">
          <cell r="C126"/>
          <cell r="D126"/>
          <cell r="E126"/>
          <cell r="F126"/>
        </row>
        <row r="127">
          <cell r="C127"/>
          <cell r="D127"/>
          <cell r="E127"/>
          <cell r="F127"/>
        </row>
        <row r="128">
          <cell r="C128"/>
          <cell r="D128"/>
          <cell r="E128"/>
          <cell r="F128"/>
        </row>
        <row r="129">
          <cell r="C129"/>
          <cell r="D129"/>
          <cell r="E129"/>
          <cell r="F129"/>
        </row>
        <row r="130">
          <cell r="C130"/>
          <cell r="D130"/>
          <cell r="E130"/>
          <cell r="F130"/>
        </row>
        <row r="131">
          <cell r="C131"/>
          <cell r="D131"/>
          <cell r="E131"/>
          <cell r="F131"/>
        </row>
        <row r="132">
          <cell r="C132"/>
          <cell r="D132"/>
          <cell r="E132"/>
          <cell r="F132"/>
        </row>
        <row r="133">
          <cell r="C133"/>
          <cell r="D133"/>
          <cell r="E133"/>
          <cell r="F133"/>
        </row>
        <row r="134">
          <cell r="C134"/>
          <cell r="D134"/>
          <cell r="E134"/>
          <cell r="F134"/>
        </row>
        <row r="135">
          <cell r="C135"/>
          <cell r="D135"/>
          <cell r="E135"/>
          <cell r="F135"/>
        </row>
        <row r="136">
          <cell r="C136"/>
          <cell r="D136"/>
          <cell r="E136"/>
          <cell r="F136"/>
        </row>
        <row r="137">
          <cell r="C137"/>
          <cell r="D137"/>
          <cell r="E137"/>
          <cell r="F137"/>
        </row>
        <row r="138">
          <cell r="C138"/>
          <cell r="D138"/>
          <cell r="E138"/>
          <cell r="F138"/>
        </row>
        <row r="139">
          <cell r="C139"/>
          <cell r="D139"/>
          <cell r="E139"/>
          <cell r="F139"/>
        </row>
        <row r="140">
          <cell r="C140"/>
          <cell r="D140"/>
          <cell r="E140"/>
          <cell r="F140"/>
        </row>
        <row r="141">
          <cell r="C141"/>
          <cell r="D141"/>
          <cell r="E141"/>
          <cell r="F141"/>
        </row>
        <row r="142">
          <cell r="C142"/>
          <cell r="D142"/>
          <cell r="E142"/>
          <cell r="F142"/>
        </row>
        <row r="143">
          <cell r="C143"/>
          <cell r="D143"/>
          <cell r="E143"/>
          <cell r="F143"/>
        </row>
        <row r="144">
          <cell r="C144"/>
          <cell r="D144"/>
          <cell r="E144"/>
          <cell r="F144"/>
        </row>
        <row r="145">
          <cell r="C145"/>
          <cell r="D145"/>
          <cell r="E145"/>
          <cell r="F145"/>
        </row>
        <row r="146">
          <cell r="C146"/>
          <cell r="D146"/>
          <cell r="E146"/>
          <cell r="F146"/>
        </row>
        <row r="147">
          <cell r="C147"/>
          <cell r="D147"/>
          <cell r="E147"/>
          <cell r="F147"/>
        </row>
        <row r="148">
          <cell r="C148"/>
          <cell r="D148"/>
          <cell r="E148"/>
          <cell r="F148"/>
        </row>
        <row r="149">
          <cell r="C149"/>
          <cell r="D149"/>
          <cell r="E149"/>
          <cell r="F149"/>
        </row>
        <row r="150">
          <cell r="C150"/>
          <cell r="D150"/>
          <cell r="E150"/>
          <cell r="F150"/>
        </row>
        <row r="151">
          <cell r="C151"/>
          <cell r="D151"/>
          <cell r="E151"/>
          <cell r="F151"/>
        </row>
        <row r="152">
          <cell r="C152"/>
          <cell r="D152"/>
          <cell r="E152"/>
          <cell r="F152"/>
        </row>
        <row r="153">
          <cell r="C153"/>
          <cell r="D153"/>
          <cell r="E153"/>
          <cell r="F153"/>
        </row>
        <row r="154">
          <cell r="C154"/>
          <cell r="D154"/>
          <cell r="E154"/>
          <cell r="F154"/>
        </row>
        <row r="155">
          <cell r="C155"/>
          <cell r="D155"/>
          <cell r="E155"/>
          <cell r="F155"/>
        </row>
        <row r="156">
          <cell r="C156"/>
          <cell r="D156"/>
          <cell r="E156"/>
          <cell r="F156"/>
        </row>
        <row r="157">
          <cell r="C157"/>
          <cell r="D157"/>
          <cell r="E157"/>
          <cell r="F157"/>
        </row>
        <row r="158">
          <cell r="C158"/>
          <cell r="D158"/>
          <cell r="E158"/>
          <cell r="F158"/>
        </row>
        <row r="159">
          <cell r="C159"/>
          <cell r="D159"/>
          <cell r="E159"/>
          <cell r="F159"/>
        </row>
        <row r="160">
          <cell r="C160"/>
          <cell r="D160"/>
          <cell r="E160"/>
          <cell r="F160"/>
        </row>
        <row r="161">
          <cell r="C161"/>
          <cell r="D161"/>
          <cell r="E161"/>
          <cell r="F161"/>
        </row>
        <row r="162">
          <cell r="C162"/>
          <cell r="D162"/>
          <cell r="E162"/>
          <cell r="F162"/>
        </row>
        <row r="163">
          <cell r="C163"/>
          <cell r="D163"/>
          <cell r="E163"/>
          <cell r="F163"/>
        </row>
        <row r="164">
          <cell r="C164"/>
          <cell r="D164"/>
          <cell r="E164"/>
          <cell r="F164"/>
        </row>
        <row r="165">
          <cell r="C165"/>
          <cell r="D165"/>
          <cell r="E165"/>
          <cell r="F165"/>
        </row>
        <row r="166">
          <cell r="C166"/>
          <cell r="D166"/>
          <cell r="E166"/>
          <cell r="F166"/>
        </row>
        <row r="167">
          <cell r="C167"/>
          <cell r="D167"/>
          <cell r="E167"/>
          <cell r="F167"/>
        </row>
        <row r="168">
          <cell r="C168"/>
          <cell r="D168"/>
          <cell r="E168"/>
          <cell r="F168"/>
        </row>
        <row r="169">
          <cell r="C169"/>
          <cell r="D169"/>
          <cell r="E169"/>
          <cell r="F169"/>
        </row>
        <row r="170">
          <cell r="C170"/>
          <cell r="D170"/>
          <cell r="E170"/>
          <cell r="F170"/>
        </row>
        <row r="171">
          <cell r="C171"/>
          <cell r="D171"/>
          <cell r="E171"/>
          <cell r="F171"/>
        </row>
        <row r="172">
          <cell r="C172"/>
          <cell r="D172"/>
          <cell r="E172"/>
          <cell r="F172"/>
        </row>
        <row r="173">
          <cell r="C173"/>
          <cell r="D173"/>
          <cell r="E173"/>
          <cell r="F173"/>
        </row>
        <row r="174">
          <cell r="C174"/>
          <cell r="D174"/>
          <cell r="E174"/>
          <cell r="F174"/>
        </row>
        <row r="175">
          <cell r="C175"/>
          <cell r="D175"/>
          <cell r="E175"/>
          <cell r="F175"/>
        </row>
        <row r="176">
          <cell r="C176"/>
          <cell r="D176"/>
          <cell r="E176"/>
          <cell r="F176"/>
        </row>
        <row r="177">
          <cell r="C177"/>
          <cell r="D177"/>
          <cell r="E177"/>
          <cell r="F177"/>
        </row>
        <row r="178">
          <cell r="C178"/>
          <cell r="D178"/>
          <cell r="E178"/>
          <cell r="F178"/>
        </row>
        <row r="179">
          <cell r="C179"/>
          <cell r="D179"/>
          <cell r="E179"/>
          <cell r="F179"/>
        </row>
        <row r="180">
          <cell r="C180"/>
          <cell r="D180"/>
          <cell r="E180"/>
          <cell r="F180"/>
        </row>
        <row r="181">
          <cell r="C181"/>
          <cell r="D181"/>
          <cell r="E181"/>
          <cell r="F181"/>
        </row>
        <row r="182">
          <cell r="C182"/>
          <cell r="D182"/>
          <cell r="E182"/>
          <cell r="F182"/>
        </row>
        <row r="183">
          <cell r="C183"/>
          <cell r="D183"/>
          <cell r="E183"/>
          <cell r="F183"/>
        </row>
        <row r="184">
          <cell r="C184"/>
          <cell r="D184"/>
          <cell r="E184"/>
          <cell r="F184"/>
        </row>
        <row r="185">
          <cell r="C185"/>
          <cell r="D185"/>
          <cell r="E185"/>
          <cell r="F185"/>
        </row>
        <row r="186">
          <cell r="C186"/>
          <cell r="D186"/>
          <cell r="E186"/>
          <cell r="F186"/>
        </row>
        <row r="187">
          <cell r="C187"/>
          <cell r="D187"/>
          <cell r="E187"/>
          <cell r="F187"/>
        </row>
        <row r="188">
          <cell r="C188"/>
          <cell r="D188"/>
          <cell r="E188"/>
          <cell r="F188"/>
        </row>
        <row r="189">
          <cell r="C189"/>
          <cell r="D189"/>
          <cell r="E189"/>
          <cell r="F189"/>
        </row>
        <row r="190">
          <cell r="C190"/>
          <cell r="D190"/>
          <cell r="E190"/>
          <cell r="F190"/>
        </row>
        <row r="191">
          <cell r="C191"/>
          <cell r="D191"/>
          <cell r="E191"/>
          <cell r="F191"/>
        </row>
        <row r="192">
          <cell r="C192"/>
          <cell r="D192"/>
          <cell r="E192"/>
          <cell r="F192"/>
        </row>
        <row r="193">
          <cell r="C193"/>
          <cell r="D193"/>
          <cell r="E193"/>
          <cell r="F193"/>
        </row>
        <row r="194">
          <cell r="C194"/>
          <cell r="D194"/>
          <cell r="E194"/>
          <cell r="F194"/>
        </row>
        <row r="195">
          <cell r="C195"/>
          <cell r="D195"/>
          <cell r="E195"/>
          <cell r="F195"/>
        </row>
        <row r="196">
          <cell r="C196"/>
          <cell r="D196"/>
          <cell r="E196"/>
          <cell r="F196"/>
        </row>
        <row r="197">
          <cell r="C197"/>
          <cell r="D197"/>
          <cell r="E197"/>
          <cell r="F197"/>
        </row>
        <row r="198">
          <cell r="C198"/>
          <cell r="D198"/>
          <cell r="E198"/>
          <cell r="F198"/>
        </row>
        <row r="199">
          <cell r="C199"/>
          <cell r="D199"/>
          <cell r="E199"/>
          <cell r="F199"/>
        </row>
        <row r="200">
          <cell r="C200"/>
          <cell r="D200"/>
          <cell r="E200"/>
          <cell r="F200"/>
        </row>
        <row r="201">
          <cell r="C201"/>
          <cell r="D201"/>
          <cell r="E201"/>
          <cell r="F201"/>
        </row>
        <row r="202">
          <cell r="C202"/>
          <cell r="D202"/>
          <cell r="E202"/>
          <cell r="F202"/>
        </row>
        <row r="203">
          <cell r="C203"/>
          <cell r="D203"/>
          <cell r="E203"/>
          <cell r="F203"/>
        </row>
        <row r="204">
          <cell r="C204"/>
          <cell r="D204"/>
          <cell r="E204"/>
          <cell r="F204"/>
        </row>
        <row r="205">
          <cell r="C205"/>
          <cell r="D205"/>
          <cell r="E205"/>
          <cell r="F205"/>
        </row>
        <row r="206">
          <cell r="C206"/>
          <cell r="D206"/>
          <cell r="E206"/>
          <cell r="F206"/>
        </row>
        <row r="207">
          <cell r="C207"/>
          <cell r="D207"/>
          <cell r="E207"/>
          <cell r="F207"/>
        </row>
        <row r="208">
          <cell r="C208"/>
          <cell r="D208"/>
          <cell r="E208"/>
          <cell r="F208"/>
        </row>
        <row r="209">
          <cell r="C209"/>
          <cell r="D209"/>
          <cell r="E209"/>
          <cell r="F209"/>
        </row>
        <row r="210">
          <cell r="C210"/>
          <cell r="D210"/>
          <cell r="E210"/>
          <cell r="F210"/>
        </row>
        <row r="211">
          <cell r="C211"/>
          <cell r="D211"/>
          <cell r="E211"/>
          <cell r="F211"/>
        </row>
        <row r="212">
          <cell r="C212"/>
          <cell r="D212"/>
          <cell r="E212"/>
          <cell r="F212"/>
        </row>
        <row r="213">
          <cell r="C213"/>
          <cell r="D213"/>
          <cell r="E213"/>
          <cell r="F213"/>
        </row>
        <row r="214">
          <cell r="C214"/>
          <cell r="D214"/>
          <cell r="E214"/>
          <cell r="F214"/>
        </row>
        <row r="215">
          <cell r="C215"/>
          <cell r="D215"/>
          <cell r="E215"/>
          <cell r="F215"/>
        </row>
        <row r="216">
          <cell r="C216"/>
          <cell r="D216"/>
          <cell r="E216"/>
          <cell r="F216"/>
        </row>
        <row r="217">
          <cell r="C217"/>
          <cell r="D217"/>
          <cell r="E217"/>
          <cell r="F217"/>
        </row>
        <row r="218">
          <cell r="C218"/>
          <cell r="D218"/>
          <cell r="E218"/>
          <cell r="F218"/>
        </row>
        <row r="219">
          <cell r="C219"/>
          <cell r="D219"/>
          <cell r="E219"/>
          <cell r="F219"/>
        </row>
        <row r="220">
          <cell r="C220"/>
          <cell r="D220"/>
          <cell r="E220"/>
          <cell r="F220"/>
        </row>
        <row r="221">
          <cell r="C221"/>
          <cell r="D221"/>
          <cell r="E221"/>
          <cell r="F221"/>
        </row>
        <row r="222">
          <cell r="C222"/>
          <cell r="D222"/>
          <cell r="E222"/>
          <cell r="F222"/>
        </row>
        <row r="223">
          <cell r="C223"/>
          <cell r="D223"/>
          <cell r="E223"/>
          <cell r="F223"/>
        </row>
        <row r="224">
          <cell r="C224"/>
          <cell r="D224"/>
          <cell r="E224"/>
          <cell r="F224"/>
        </row>
        <row r="225">
          <cell r="C225"/>
          <cell r="D225"/>
          <cell r="E225"/>
          <cell r="F225"/>
        </row>
        <row r="226">
          <cell r="C226"/>
          <cell r="D226"/>
          <cell r="E226"/>
          <cell r="F226"/>
        </row>
        <row r="227">
          <cell r="C227"/>
          <cell r="D227"/>
          <cell r="E227"/>
          <cell r="F227"/>
        </row>
        <row r="228">
          <cell r="C228"/>
          <cell r="D228"/>
          <cell r="E228"/>
          <cell r="F228"/>
        </row>
        <row r="229">
          <cell r="C229"/>
          <cell r="D229"/>
          <cell r="E229"/>
          <cell r="F229"/>
        </row>
        <row r="230">
          <cell r="C230"/>
          <cell r="D230"/>
          <cell r="E230"/>
          <cell r="F230"/>
        </row>
        <row r="231">
          <cell r="C231"/>
          <cell r="D231"/>
          <cell r="E231"/>
          <cell r="F231"/>
        </row>
        <row r="232">
          <cell r="C232"/>
          <cell r="D232"/>
          <cell r="E232"/>
          <cell r="F232"/>
        </row>
        <row r="233">
          <cell r="C233"/>
          <cell r="D233"/>
          <cell r="E233"/>
          <cell r="F233"/>
        </row>
        <row r="234">
          <cell r="C234"/>
          <cell r="D234"/>
          <cell r="E234"/>
          <cell r="F234"/>
        </row>
        <row r="235">
          <cell r="C235"/>
          <cell r="D235"/>
          <cell r="E235"/>
          <cell r="F235"/>
        </row>
        <row r="236">
          <cell r="C236"/>
          <cell r="D236"/>
          <cell r="E236"/>
          <cell r="F236"/>
        </row>
        <row r="237">
          <cell r="C237"/>
          <cell r="D237"/>
          <cell r="E237"/>
          <cell r="F237"/>
        </row>
        <row r="238">
          <cell r="C238"/>
          <cell r="D238"/>
          <cell r="E238"/>
          <cell r="F238"/>
        </row>
        <row r="239">
          <cell r="C239"/>
          <cell r="D239"/>
          <cell r="E239"/>
          <cell r="F239"/>
        </row>
        <row r="240">
          <cell r="C240"/>
          <cell r="D240"/>
          <cell r="E240"/>
          <cell r="F240"/>
        </row>
        <row r="241">
          <cell r="C241"/>
          <cell r="D241"/>
          <cell r="E241"/>
          <cell r="F241"/>
        </row>
        <row r="242">
          <cell r="C242"/>
          <cell r="D242"/>
          <cell r="E242"/>
          <cell r="F242"/>
        </row>
        <row r="243">
          <cell r="C243"/>
          <cell r="D243"/>
          <cell r="E243"/>
          <cell r="F243"/>
        </row>
        <row r="244">
          <cell r="C244"/>
          <cell r="D244"/>
          <cell r="E244"/>
          <cell r="F244"/>
        </row>
        <row r="245">
          <cell r="C245"/>
          <cell r="D245"/>
          <cell r="E245"/>
          <cell r="F245"/>
        </row>
        <row r="246">
          <cell r="C246"/>
          <cell r="D246"/>
          <cell r="E246"/>
          <cell r="F246"/>
        </row>
        <row r="247">
          <cell r="C247"/>
          <cell r="D247"/>
          <cell r="E247"/>
          <cell r="F247"/>
        </row>
        <row r="248">
          <cell r="C248"/>
          <cell r="D248"/>
          <cell r="E248"/>
          <cell r="F248"/>
        </row>
        <row r="249">
          <cell r="C249"/>
          <cell r="D249"/>
          <cell r="E249"/>
          <cell r="F249"/>
        </row>
        <row r="250">
          <cell r="C250"/>
          <cell r="D250"/>
          <cell r="E250"/>
          <cell r="F250"/>
        </row>
        <row r="251">
          <cell r="C251"/>
          <cell r="D251"/>
          <cell r="E251"/>
          <cell r="F251"/>
        </row>
        <row r="252">
          <cell r="C252"/>
          <cell r="D252"/>
          <cell r="E252"/>
          <cell r="F252"/>
        </row>
        <row r="253">
          <cell r="C253"/>
          <cell r="D253"/>
          <cell r="E253"/>
          <cell r="F253"/>
        </row>
        <row r="254">
          <cell r="C254"/>
          <cell r="D254"/>
          <cell r="E254"/>
          <cell r="F254"/>
        </row>
        <row r="255">
          <cell r="C255"/>
          <cell r="D255"/>
          <cell r="E255"/>
          <cell r="F255"/>
        </row>
        <row r="256">
          <cell r="C256"/>
          <cell r="D256"/>
          <cell r="E256"/>
          <cell r="F256"/>
        </row>
        <row r="257">
          <cell r="C257"/>
          <cell r="D257"/>
          <cell r="E257"/>
          <cell r="F257"/>
        </row>
        <row r="258">
          <cell r="C258"/>
          <cell r="D258"/>
          <cell r="E258"/>
          <cell r="F258"/>
        </row>
        <row r="259">
          <cell r="C259"/>
          <cell r="D259"/>
          <cell r="E259"/>
          <cell r="F259"/>
        </row>
        <row r="260">
          <cell r="C260"/>
          <cell r="D260"/>
          <cell r="E260"/>
          <cell r="F260"/>
        </row>
        <row r="261">
          <cell r="C261"/>
          <cell r="D261"/>
          <cell r="E261"/>
          <cell r="F261"/>
        </row>
        <row r="262">
          <cell r="C262"/>
          <cell r="D262"/>
          <cell r="E262"/>
          <cell r="F262"/>
        </row>
        <row r="263">
          <cell r="C263"/>
          <cell r="D263"/>
          <cell r="E263"/>
          <cell r="F263"/>
        </row>
        <row r="264">
          <cell r="C264"/>
          <cell r="D264"/>
          <cell r="E264"/>
          <cell r="F264"/>
        </row>
        <row r="265">
          <cell r="C265"/>
          <cell r="D265"/>
          <cell r="E265"/>
          <cell r="F265"/>
        </row>
        <row r="266">
          <cell r="C266"/>
          <cell r="D266"/>
          <cell r="E266"/>
          <cell r="F266"/>
        </row>
        <row r="267">
          <cell r="C267"/>
          <cell r="D267"/>
          <cell r="E267"/>
          <cell r="F267"/>
        </row>
        <row r="268">
          <cell r="C268"/>
          <cell r="D268"/>
          <cell r="E268"/>
          <cell r="F268"/>
        </row>
        <row r="269">
          <cell r="C269"/>
          <cell r="D269"/>
          <cell r="E269"/>
          <cell r="F269"/>
        </row>
        <row r="270">
          <cell r="C270"/>
          <cell r="D270"/>
          <cell r="E270"/>
          <cell r="F270"/>
        </row>
        <row r="271">
          <cell r="C271"/>
          <cell r="D271"/>
          <cell r="E271"/>
          <cell r="F271"/>
        </row>
        <row r="272">
          <cell r="C272"/>
          <cell r="D272"/>
          <cell r="E272"/>
          <cell r="F272"/>
        </row>
        <row r="273">
          <cell r="C273"/>
          <cell r="D273"/>
          <cell r="E273"/>
          <cell r="F273"/>
        </row>
        <row r="274">
          <cell r="C274"/>
          <cell r="D274"/>
          <cell r="E274"/>
          <cell r="F274"/>
        </row>
        <row r="275">
          <cell r="C275"/>
          <cell r="D275"/>
          <cell r="E275"/>
          <cell r="F275"/>
        </row>
        <row r="276">
          <cell r="C276"/>
          <cell r="D276"/>
          <cell r="E276"/>
          <cell r="F276"/>
        </row>
        <row r="277">
          <cell r="C277"/>
          <cell r="D277"/>
          <cell r="E277"/>
          <cell r="F277"/>
        </row>
        <row r="278">
          <cell r="C278"/>
          <cell r="D278"/>
          <cell r="E278"/>
          <cell r="F278"/>
        </row>
        <row r="279">
          <cell r="C279"/>
          <cell r="D279"/>
          <cell r="E279"/>
          <cell r="F279"/>
        </row>
        <row r="280">
          <cell r="C280"/>
          <cell r="D280"/>
          <cell r="E280"/>
          <cell r="F280"/>
        </row>
        <row r="281">
          <cell r="C281"/>
          <cell r="D281"/>
          <cell r="E281"/>
          <cell r="F281"/>
        </row>
        <row r="282">
          <cell r="C282"/>
          <cell r="D282"/>
          <cell r="E282"/>
          <cell r="F282"/>
        </row>
        <row r="283">
          <cell r="C283"/>
          <cell r="D283"/>
          <cell r="E283"/>
          <cell r="F283"/>
        </row>
        <row r="284">
          <cell r="C284"/>
          <cell r="D284"/>
          <cell r="E284"/>
          <cell r="F284"/>
        </row>
        <row r="285">
          <cell r="C285"/>
          <cell r="D285"/>
          <cell r="E285"/>
          <cell r="F285"/>
        </row>
        <row r="286">
          <cell r="C286"/>
          <cell r="D286"/>
          <cell r="E286"/>
          <cell r="F286"/>
        </row>
        <row r="287">
          <cell r="C287"/>
          <cell r="D287"/>
          <cell r="E287"/>
          <cell r="F287"/>
        </row>
        <row r="288">
          <cell r="C288"/>
          <cell r="D288"/>
          <cell r="E288"/>
          <cell r="F288"/>
        </row>
        <row r="289">
          <cell r="C289"/>
          <cell r="D289"/>
          <cell r="E289"/>
          <cell r="F289"/>
        </row>
        <row r="290">
          <cell r="C290"/>
          <cell r="D290"/>
          <cell r="E290"/>
          <cell r="F290"/>
        </row>
        <row r="291">
          <cell r="C291"/>
          <cell r="D291"/>
          <cell r="E291"/>
          <cell r="F291"/>
        </row>
        <row r="292">
          <cell r="C292"/>
          <cell r="D292"/>
          <cell r="E292"/>
          <cell r="F292"/>
        </row>
        <row r="293">
          <cell r="C293"/>
          <cell r="D293"/>
          <cell r="E293"/>
          <cell r="F293"/>
        </row>
        <row r="294">
          <cell r="C294"/>
          <cell r="D294"/>
          <cell r="E294"/>
          <cell r="F294"/>
        </row>
        <row r="295">
          <cell r="C295"/>
          <cell r="D295"/>
          <cell r="E295"/>
          <cell r="F295"/>
        </row>
        <row r="296">
          <cell r="C296"/>
          <cell r="D296"/>
          <cell r="E296"/>
          <cell r="F296"/>
        </row>
        <row r="297">
          <cell r="C297"/>
          <cell r="D297"/>
          <cell r="E297"/>
          <cell r="F297"/>
        </row>
        <row r="298">
          <cell r="C298"/>
          <cell r="D298"/>
          <cell r="E298"/>
          <cell r="F298"/>
        </row>
        <row r="299">
          <cell r="C299"/>
          <cell r="D299"/>
          <cell r="E299"/>
          <cell r="F299"/>
        </row>
        <row r="300">
          <cell r="C300"/>
          <cell r="D300"/>
          <cell r="E300"/>
          <cell r="F300"/>
        </row>
        <row r="301">
          <cell r="C301"/>
          <cell r="D301"/>
          <cell r="E301"/>
          <cell r="F301"/>
        </row>
        <row r="302">
          <cell r="C302"/>
          <cell r="D302"/>
          <cell r="E302"/>
          <cell r="F302"/>
        </row>
        <row r="303">
          <cell r="C303"/>
          <cell r="D303"/>
          <cell r="E303"/>
          <cell r="F303"/>
        </row>
        <row r="304">
          <cell r="C304"/>
          <cell r="D304"/>
          <cell r="E304"/>
          <cell r="F304"/>
        </row>
        <row r="305">
          <cell r="C305"/>
          <cell r="D305"/>
          <cell r="E305"/>
          <cell r="F305"/>
        </row>
        <row r="306">
          <cell r="C306"/>
          <cell r="D306"/>
          <cell r="E306"/>
          <cell r="F306"/>
        </row>
        <row r="307">
          <cell r="C307"/>
          <cell r="D307"/>
          <cell r="E307"/>
          <cell r="F307"/>
        </row>
        <row r="308">
          <cell r="C308"/>
          <cell r="D308"/>
          <cell r="E308"/>
          <cell r="F308"/>
        </row>
        <row r="309">
          <cell r="C309"/>
          <cell r="D309"/>
          <cell r="E309"/>
          <cell r="F309"/>
        </row>
        <row r="310">
          <cell r="C310"/>
          <cell r="D310"/>
          <cell r="E310"/>
          <cell r="F310"/>
        </row>
        <row r="311">
          <cell r="C311"/>
          <cell r="D311"/>
          <cell r="E311"/>
          <cell r="F311"/>
        </row>
        <row r="312">
          <cell r="C312"/>
          <cell r="D312"/>
          <cell r="E312"/>
          <cell r="F312"/>
        </row>
        <row r="313">
          <cell r="C313"/>
          <cell r="D313"/>
          <cell r="E313"/>
          <cell r="F313"/>
        </row>
        <row r="314">
          <cell r="C314"/>
          <cell r="D314"/>
          <cell r="E314"/>
          <cell r="F314"/>
        </row>
        <row r="315">
          <cell r="C315"/>
          <cell r="D315"/>
          <cell r="E315"/>
          <cell r="F315"/>
        </row>
        <row r="316">
          <cell r="C316"/>
          <cell r="D316"/>
          <cell r="E316"/>
          <cell r="F316"/>
        </row>
        <row r="317">
          <cell r="C317"/>
          <cell r="D317"/>
          <cell r="E317"/>
          <cell r="F317"/>
        </row>
        <row r="318">
          <cell r="C318"/>
          <cell r="D318"/>
          <cell r="E318"/>
          <cell r="F318"/>
        </row>
        <row r="319">
          <cell r="C319"/>
          <cell r="D319"/>
          <cell r="E319"/>
          <cell r="F319"/>
        </row>
        <row r="320">
          <cell r="C320"/>
          <cell r="D320"/>
          <cell r="E320"/>
          <cell r="F320"/>
        </row>
        <row r="321">
          <cell r="C321"/>
          <cell r="D321"/>
          <cell r="E321"/>
          <cell r="F321"/>
        </row>
        <row r="322">
          <cell r="C322"/>
          <cell r="D322"/>
          <cell r="E322"/>
          <cell r="F322"/>
        </row>
        <row r="323">
          <cell r="C323"/>
          <cell r="D323"/>
          <cell r="E323"/>
          <cell r="F323"/>
        </row>
        <row r="324">
          <cell r="C324"/>
          <cell r="D324"/>
          <cell r="E324"/>
          <cell r="F324"/>
        </row>
        <row r="325">
          <cell r="C325"/>
          <cell r="D325"/>
          <cell r="E325"/>
          <cell r="F325"/>
        </row>
        <row r="326">
          <cell r="C326"/>
          <cell r="D326"/>
          <cell r="E326"/>
          <cell r="F326"/>
        </row>
        <row r="327">
          <cell r="C327"/>
          <cell r="D327"/>
          <cell r="E327"/>
          <cell r="F327"/>
        </row>
        <row r="328">
          <cell r="C328"/>
          <cell r="D328"/>
          <cell r="E328"/>
          <cell r="F328"/>
        </row>
        <row r="329">
          <cell r="C329"/>
          <cell r="D329"/>
          <cell r="E329"/>
          <cell r="F329"/>
        </row>
        <row r="330">
          <cell r="C330"/>
          <cell r="D330"/>
          <cell r="E330"/>
          <cell r="F330"/>
        </row>
        <row r="331">
          <cell r="C331"/>
          <cell r="D331"/>
          <cell r="E331"/>
          <cell r="F331"/>
        </row>
        <row r="332">
          <cell r="C332"/>
          <cell r="D332"/>
          <cell r="E332"/>
          <cell r="F332"/>
        </row>
        <row r="333">
          <cell r="C333"/>
          <cell r="D333"/>
          <cell r="E333"/>
          <cell r="F333"/>
        </row>
        <row r="334">
          <cell r="C334"/>
          <cell r="D334"/>
          <cell r="E334"/>
          <cell r="F334"/>
        </row>
        <row r="335">
          <cell r="C335"/>
          <cell r="D335"/>
          <cell r="E335"/>
          <cell r="F335"/>
        </row>
        <row r="336">
          <cell r="C336"/>
          <cell r="D336"/>
          <cell r="E336"/>
          <cell r="F336"/>
        </row>
        <row r="337">
          <cell r="C337"/>
          <cell r="D337"/>
          <cell r="E337"/>
          <cell r="F337"/>
        </row>
        <row r="338">
          <cell r="C338"/>
          <cell r="D338"/>
          <cell r="E338"/>
          <cell r="F338"/>
        </row>
        <row r="339">
          <cell r="C339"/>
          <cell r="D339"/>
          <cell r="E339"/>
          <cell r="F339"/>
        </row>
        <row r="340">
          <cell r="C340"/>
          <cell r="D340"/>
          <cell r="E340"/>
          <cell r="F340"/>
        </row>
        <row r="341">
          <cell r="C341"/>
          <cell r="D341"/>
          <cell r="E341"/>
          <cell r="F341"/>
        </row>
        <row r="342">
          <cell r="C342"/>
          <cell r="D342"/>
          <cell r="E342"/>
          <cell r="F342"/>
        </row>
        <row r="343">
          <cell r="C343"/>
          <cell r="D343"/>
          <cell r="E343"/>
          <cell r="F343"/>
        </row>
        <row r="344">
          <cell r="C344"/>
          <cell r="D344"/>
          <cell r="E344"/>
          <cell r="F344"/>
        </row>
        <row r="345">
          <cell r="C345"/>
          <cell r="D345"/>
          <cell r="E345"/>
          <cell r="F345"/>
        </row>
        <row r="346">
          <cell r="C346"/>
          <cell r="D346"/>
          <cell r="E346"/>
          <cell r="F346"/>
        </row>
        <row r="347">
          <cell r="C347"/>
          <cell r="D347"/>
          <cell r="E347"/>
          <cell r="F347"/>
        </row>
        <row r="348">
          <cell r="C348"/>
          <cell r="D348"/>
          <cell r="E348"/>
          <cell r="F348"/>
        </row>
        <row r="349">
          <cell r="C349"/>
          <cell r="D349"/>
          <cell r="E349"/>
          <cell r="F349"/>
        </row>
        <row r="350">
          <cell r="C350"/>
          <cell r="D350"/>
          <cell r="E350"/>
          <cell r="F350"/>
        </row>
        <row r="351">
          <cell r="C351"/>
          <cell r="D351"/>
          <cell r="E351"/>
          <cell r="F351"/>
        </row>
        <row r="352">
          <cell r="C352"/>
          <cell r="D352"/>
          <cell r="E352"/>
          <cell r="F352"/>
        </row>
        <row r="353">
          <cell r="C353"/>
          <cell r="D353"/>
          <cell r="E353"/>
          <cell r="F353"/>
        </row>
        <row r="354">
          <cell r="C354"/>
          <cell r="D354"/>
          <cell r="E354"/>
          <cell r="F354"/>
        </row>
        <row r="355">
          <cell r="C355"/>
          <cell r="D355"/>
          <cell r="E355"/>
          <cell r="F355"/>
        </row>
        <row r="356">
          <cell r="C356"/>
          <cell r="D356"/>
          <cell r="E356"/>
          <cell r="F356"/>
        </row>
        <row r="357">
          <cell r="C357"/>
          <cell r="D357"/>
          <cell r="E357"/>
          <cell r="F357"/>
        </row>
        <row r="358">
          <cell r="C358"/>
          <cell r="D358"/>
          <cell r="E358"/>
          <cell r="F358"/>
        </row>
        <row r="359">
          <cell r="C359"/>
          <cell r="D359"/>
          <cell r="E359"/>
          <cell r="F359"/>
        </row>
        <row r="360">
          <cell r="C360"/>
          <cell r="D360"/>
          <cell r="E360"/>
          <cell r="F360"/>
        </row>
        <row r="361">
          <cell r="C361"/>
          <cell r="D361"/>
          <cell r="E361"/>
          <cell r="F361"/>
        </row>
        <row r="362">
          <cell r="C362"/>
          <cell r="D362"/>
          <cell r="E362"/>
          <cell r="F362"/>
        </row>
        <row r="363">
          <cell r="C363"/>
          <cell r="D363"/>
          <cell r="E363"/>
          <cell r="F363"/>
        </row>
        <row r="364">
          <cell r="C364"/>
          <cell r="D364"/>
          <cell r="E364"/>
          <cell r="F364"/>
        </row>
        <row r="365">
          <cell r="C365"/>
          <cell r="D365"/>
          <cell r="E365"/>
          <cell r="F365"/>
        </row>
        <row r="366">
          <cell r="C366"/>
          <cell r="D366"/>
          <cell r="E366"/>
          <cell r="F366"/>
        </row>
        <row r="367">
          <cell r="C367"/>
          <cell r="D367"/>
          <cell r="E367"/>
          <cell r="F367"/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4">
          <cell r="AR24">
            <v>33.07</v>
          </cell>
          <cell r="AS24">
            <v>32.75</v>
          </cell>
          <cell r="AV24">
            <v>8319</v>
          </cell>
        </row>
        <row r="25">
          <cell r="AR25">
            <v>33.25</v>
          </cell>
          <cell r="AS25">
            <v>32.68</v>
          </cell>
          <cell r="AV25">
            <v>8100</v>
          </cell>
        </row>
        <row r="26">
          <cell r="AR26">
            <v>33.090000000000003</v>
          </cell>
          <cell r="AS26">
            <v>32.64</v>
          </cell>
          <cell r="AV26">
            <v>8224</v>
          </cell>
        </row>
        <row r="27">
          <cell r="AR27">
            <v>32.950000000000003</v>
          </cell>
          <cell r="AS27">
            <v>32.61</v>
          </cell>
          <cell r="AV27">
            <v>8150</v>
          </cell>
        </row>
        <row r="28">
          <cell r="AR28">
            <v>33.35</v>
          </cell>
          <cell r="AS28">
            <v>32.659999999999997</v>
          </cell>
          <cell r="AV28">
            <v>7987</v>
          </cell>
        </row>
        <row r="29">
          <cell r="AR29">
            <v>33.006</v>
          </cell>
          <cell r="AS29">
            <v>32.505000000000003</v>
          </cell>
          <cell r="AV29">
            <v>8496.3050000000003</v>
          </cell>
        </row>
        <row r="30">
          <cell r="AR30">
            <v>32.799999999999997</v>
          </cell>
          <cell r="AS30">
            <v>32.409999999999997</v>
          </cell>
          <cell r="AV30">
            <v>8122.5450000000001</v>
          </cell>
        </row>
        <row r="31">
          <cell r="AR31">
            <v>32.82</v>
          </cell>
          <cell r="AS31">
            <v>32.380000000000003</v>
          </cell>
          <cell r="AV31">
            <v>8230</v>
          </cell>
        </row>
        <row r="32">
          <cell r="AR32">
            <v>32.729999999999997</v>
          </cell>
          <cell r="AS32">
            <v>32.340000000000003</v>
          </cell>
          <cell r="AV32">
            <v>8248</v>
          </cell>
        </row>
        <row r="33">
          <cell r="AR33">
            <v>32.72</v>
          </cell>
          <cell r="AS33">
            <v>32.36</v>
          </cell>
          <cell r="AV33">
            <v>8677</v>
          </cell>
        </row>
        <row r="34">
          <cell r="AR34">
            <v>32.65</v>
          </cell>
          <cell r="AS34">
            <v>32.36</v>
          </cell>
          <cell r="AV34">
            <v>8513</v>
          </cell>
        </row>
        <row r="35">
          <cell r="AR35">
            <v>32.93</v>
          </cell>
          <cell r="AS35">
            <v>32.380000000000003</v>
          </cell>
          <cell r="AV35">
            <v>8364</v>
          </cell>
        </row>
        <row r="36">
          <cell r="AR36">
            <v>33.299999999999997</v>
          </cell>
          <cell r="AS36">
            <v>32.659999999999997</v>
          </cell>
          <cell r="AV36">
            <v>8160</v>
          </cell>
        </row>
        <row r="37">
          <cell r="AR37">
            <v>33.72</v>
          </cell>
          <cell r="AS37">
            <v>33.299999999999997</v>
          </cell>
          <cell r="AV37">
            <v>8687</v>
          </cell>
        </row>
        <row r="38">
          <cell r="AR38">
            <v>33.661999999999999</v>
          </cell>
          <cell r="AS38">
            <v>33.279000000000003</v>
          </cell>
          <cell r="AV38">
            <v>8337.6990000000005</v>
          </cell>
        </row>
        <row r="39">
          <cell r="AR39">
            <v>33.880000000000003</v>
          </cell>
          <cell r="AS39">
            <v>33.176000000000002</v>
          </cell>
          <cell r="AV39">
            <v>8205.75</v>
          </cell>
        </row>
        <row r="40">
          <cell r="AR40">
            <v>33.67</v>
          </cell>
          <cell r="AS40">
            <v>33.200000000000003</v>
          </cell>
          <cell r="AV40">
            <v>8392</v>
          </cell>
        </row>
        <row r="41">
          <cell r="AR41">
            <v>33.78</v>
          </cell>
          <cell r="AS41">
            <v>33.19</v>
          </cell>
          <cell r="AV41">
            <v>8228</v>
          </cell>
        </row>
        <row r="42">
          <cell r="AR42">
            <v>33.619999999999997</v>
          </cell>
          <cell r="AS42">
            <v>33.15</v>
          </cell>
          <cell r="AV42">
            <v>8418</v>
          </cell>
        </row>
        <row r="43">
          <cell r="AR43">
            <v>33.75</v>
          </cell>
          <cell r="AS43">
            <v>33.18</v>
          </cell>
          <cell r="AV43">
            <v>8337</v>
          </cell>
        </row>
        <row r="44">
          <cell r="AR44">
            <v>33.369999999999997</v>
          </cell>
          <cell r="AS44">
            <v>33.08</v>
          </cell>
          <cell r="AV44">
            <v>8406</v>
          </cell>
        </row>
        <row r="45">
          <cell r="AR45">
            <v>33.39</v>
          </cell>
          <cell r="AS45">
            <v>33.07</v>
          </cell>
          <cell r="AV45">
            <v>8569</v>
          </cell>
        </row>
        <row r="46">
          <cell r="AR46">
            <v>33.590000000000003</v>
          </cell>
          <cell r="AS46">
            <v>33.26</v>
          </cell>
          <cell r="AV46">
            <v>6388</v>
          </cell>
        </row>
        <row r="47">
          <cell r="AR47">
            <v>34.07</v>
          </cell>
          <cell r="AS47">
            <v>33.426000000000002</v>
          </cell>
          <cell r="AV47">
            <v>8332.5589999999993</v>
          </cell>
        </row>
        <row r="48">
          <cell r="AR48">
            <v>34.081000000000003</v>
          </cell>
          <cell r="AS48">
            <v>33.320999999999998</v>
          </cell>
          <cell r="AV48">
            <v>8073.6109999999999</v>
          </cell>
        </row>
        <row r="49">
          <cell r="AR49">
            <v>33.911000000000001</v>
          </cell>
          <cell r="AS49">
            <v>33.334000000000003</v>
          </cell>
          <cell r="AV49">
            <v>8465.8410000000003</v>
          </cell>
        </row>
        <row r="50">
          <cell r="AR50">
            <v>34.01</v>
          </cell>
          <cell r="AS50">
            <v>33.33</v>
          </cell>
          <cell r="AV50">
            <v>8156</v>
          </cell>
        </row>
        <row r="51">
          <cell r="AR51">
            <v>33.81</v>
          </cell>
          <cell r="AS51">
            <v>33.26</v>
          </cell>
          <cell r="AV51">
            <v>8665</v>
          </cell>
        </row>
        <row r="52">
          <cell r="AR52">
            <v>33.83</v>
          </cell>
          <cell r="AS52">
            <v>33.24</v>
          </cell>
          <cell r="AV52">
            <v>8271</v>
          </cell>
        </row>
        <row r="53">
          <cell r="AR53">
            <v>33.840000000000003</v>
          </cell>
          <cell r="AS53">
            <v>33.15</v>
          </cell>
          <cell r="AV53">
            <v>8375</v>
          </cell>
        </row>
        <row r="54">
          <cell r="AR54">
            <v>33.78</v>
          </cell>
          <cell r="AS54">
            <v>33.14</v>
          </cell>
          <cell r="AV54">
            <v>8168</v>
          </cell>
        </row>
        <row r="55">
          <cell r="AR55">
            <v>33.770000000000003</v>
          </cell>
          <cell r="AS55">
            <v>33.1</v>
          </cell>
          <cell r="AV55">
            <v>8166</v>
          </cell>
        </row>
        <row r="56">
          <cell r="AR56">
            <v>33.51</v>
          </cell>
          <cell r="AS56">
            <v>33.049999999999997</v>
          </cell>
          <cell r="AV56">
            <v>8433</v>
          </cell>
        </row>
        <row r="57">
          <cell r="AR57">
            <v>33.869</v>
          </cell>
          <cell r="AS57">
            <v>33.026000000000003</v>
          </cell>
          <cell r="AV57">
            <v>7989.8339999999998</v>
          </cell>
        </row>
        <row r="58">
          <cell r="AR58">
            <v>33.53</v>
          </cell>
          <cell r="AS58">
            <v>33.067999999999998</v>
          </cell>
          <cell r="AV58">
            <v>8264.9660000000003</v>
          </cell>
        </row>
        <row r="59">
          <cell r="AR59">
            <v>33.46</v>
          </cell>
          <cell r="AS59">
            <v>33.020000000000003</v>
          </cell>
          <cell r="AV59">
            <v>8253</v>
          </cell>
        </row>
        <row r="60">
          <cell r="AR60">
            <v>33.5</v>
          </cell>
          <cell r="AS60">
            <v>33.049999999999997</v>
          </cell>
          <cell r="AV60">
            <v>8402</v>
          </cell>
        </row>
        <row r="61">
          <cell r="AR61">
            <v>33.76</v>
          </cell>
          <cell r="AS61">
            <v>33.020000000000003</v>
          </cell>
          <cell r="AV61">
            <v>8604</v>
          </cell>
        </row>
        <row r="62">
          <cell r="AR62">
            <v>33.729999999999997</v>
          </cell>
          <cell r="AS62">
            <v>32.979999999999997</v>
          </cell>
          <cell r="AV62">
            <v>8384</v>
          </cell>
        </row>
        <row r="63">
          <cell r="AR63">
            <v>33.67</v>
          </cell>
          <cell r="AS63">
            <v>32.99</v>
          </cell>
          <cell r="AV63">
            <v>8169</v>
          </cell>
        </row>
        <row r="64">
          <cell r="AR64">
            <v>33.31</v>
          </cell>
          <cell r="AS64">
            <v>32.97</v>
          </cell>
          <cell r="AV64">
            <v>8650</v>
          </cell>
        </row>
        <row r="65">
          <cell r="AR65">
            <v>33.42</v>
          </cell>
          <cell r="AS65">
            <v>32.97</v>
          </cell>
          <cell r="AV65">
            <v>8382</v>
          </cell>
        </row>
        <row r="66">
          <cell r="AR66">
            <v>33.575000000000003</v>
          </cell>
          <cell r="AS66">
            <v>33.929000000000002</v>
          </cell>
          <cell r="AV66">
            <v>8556.8539999999994</v>
          </cell>
        </row>
        <row r="67">
          <cell r="AR67">
            <v>33.353000000000002</v>
          </cell>
          <cell r="AS67">
            <v>32.917999999999999</v>
          </cell>
          <cell r="AV67">
            <v>8419.0020000000004</v>
          </cell>
        </row>
        <row r="68">
          <cell r="AR68">
            <v>32.979999999999997</v>
          </cell>
          <cell r="AS68">
            <v>32.99</v>
          </cell>
          <cell r="AV68">
            <v>8366</v>
          </cell>
        </row>
        <row r="69">
          <cell r="AR69">
            <v>33.409999999999997</v>
          </cell>
          <cell r="AS69">
            <v>32.97</v>
          </cell>
          <cell r="AV69">
            <v>8420</v>
          </cell>
        </row>
        <row r="70">
          <cell r="AR70">
            <v>33.380000000000003</v>
          </cell>
          <cell r="AS70">
            <v>32.92</v>
          </cell>
          <cell r="AV70">
            <v>8165</v>
          </cell>
        </row>
        <row r="71">
          <cell r="AR71">
            <v>33.409999999999997</v>
          </cell>
          <cell r="AS71">
            <v>32.82</v>
          </cell>
          <cell r="AV71">
            <v>8669</v>
          </cell>
        </row>
        <row r="72">
          <cell r="AR72">
            <v>33.479999999999997</v>
          </cell>
          <cell r="AS72">
            <v>32.770000000000003</v>
          </cell>
          <cell r="AV72">
            <v>8280</v>
          </cell>
        </row>
        <row r="73">
          <cell r="AR73">
            <v>33.08</v>
          </cell>
          <cell r="AS73">
            <v>32.79</v>
          </cell>
          <cell r="AV73">
            <v>8362</v>
          </cell>
        </row>
        <row r="74">
          <cell r="AR74">
            <v>33.270000000000003</v>
          </cell>
          <cell r="AS74">
            <v>32.97</v>
          </cell>
          <cell r="AV74">
            <v>8650</v>
          </cell>
        </row>
        <row r="75">
          <cell r="AR75">
            <v>33.838999999999999</v>
          </cell>
          <cell r="AS75">
            <v>33.063000000000002</v>
          </cell>
          <cell r="AV75">
            <v>8684.6129999999994</v>
          </cell>
        </row>
        <row r="76">
          <cell r="AR76">
            <v>33.725999999999999</v>
          </cell>
          <cell r="AS76">
            <v>33.128999999999998</v>
          </cell>
          <cell r="AV76">
            <v>8699.0840000000007</v>
          </cell>
        </row>
        <row r="77">
          <cell r="AR77">
            <v>33.674999999999997</v>
          </cell>
          <cell r="AS77">
            <v>33.134</v>
          </cell>
          <cell r="AV77">
            <v>8199.4670000000006</v>
          </cell>
        </row>
        <row r="78">
          <cell r="AR78">
            <v>33.76</v>
          </cell>
          <cell r="AS78">
            <v>33.22</v>
          </cell>
          <cell r="AV78">
            <v>7675</v>
          </cell>
        </row>
        <row r="79">
          <cell r="AR79">
            <v>33.81</v>
          </cell>
          <cell r="AS79">
            <v>33.25</v>
          </cell>
          <cell r="AV79">
            <v>7023</v>
          </cell>
        </row>
        <row r="80">
          <cell r="AR80">
            <v>33.909999999999997</v>
          </cell>
          <cell r="AS80">
            <v>33.270000000000003</v>
          </cell>
          <cell r="AV80">
            <v>8678</v>
          </cell>
        </row>
        <row r="81">
          <cell r="AR81">
            <v>34.01</v>
          </cell>
          <cell r="AS81">
            <v>33.340000000000003</v>
          </cell>
          <cell r="AV81">
            <v>8139</v>
          </cell>
        </row>
        <row r="82">
          <cell r="AR82">
            <v>34.020000000000003</v>
          </cell>
          <cell r="AS82">
            <v>33.369999999999997</v>
          </cell>
          <cell r="AV82">
            <v>8608</v>
          </cell>
        </row>
        <row r="83">
          <cell r="AR83">
            <v>34</v>
          </cell>
          <cell r="AS83">
            <v>33.43</v>
          </cell>
          <cell r="AV83">
            <v>8037</v>
          </cell>
        </row>
        <row r="84">
          <cell r="AR84">
            <v>34.01</v>
          </cell>
          <cell r="AS84">
            <v>33.479999999999997</v>
          </cell>
          <cell r="AV84">
            <v>7743</v>
          </cell>
        </row>
        <row r="85">
          <cell r="AR85">
            <v>34.033999999999999</v>
          </cell>
          <cell r="AS85">
            <v>33.465000000000003</v>
          </cell>
          <cell r="AV85">
            <v>8639.4879999999994</v>
          </cell>
        </row>
        <row r="86">
          <cell r="AR86">
            <v>34.026000000000003</v>
          </cell>
          <cell r="AS86">
            <v>33.408000000000001</v>
          </cell>
          <cell r="AV86">
            <v>8693.9429999999993</v>
          </cell>
        </row>
        <row r="87">
          <cell r="AR87">
            <v>34</v>
          </cell>
          <cell r="AS87">
            <v>33.33</v>
          </cell>
          <cell r="AV87">
            <v>7755</v>
          </cell>
        </row>
        <row r="88">
          <cell r="AR88">
            <v>33.97</v>
          </cell>
          <cell r="AS88">
            <v>33.43</v>
          </cell>
          <cell r="AV88">
            <v>7903</v>
          </cell>
        </row>
        <row r="89">
          <cell r="AR89">
            <v>34.020000000000003</v>
          </cell>
          <cell r="AS89">
            <v>33.340000000000003</v>
          </cell>
          <cell r="AV89">
            <v>8658</v>
          </cell>
        </row>
        <row r="90">
          <cell r="AR90">
            <v>34.04</v>
          </cell>
          <cell r="AS90">
            <v>33.31</v>
          </cell>
          <cell r="AV90">
            <v>8361</v>
          </cell>
        </row>
        <row r="91">
          <cell r="AR91">
            <v>34.06</v>
          </cell>
          <cell r="AS91">
            <v>33.299999999999997</v>
          </cell>
          <cell r="AV91">
            <v>7833</v>
          </cell>
        </row>
        <row r="92">
          <cell r="AR92">
            <v>33.99</v>
          </cell>
          <cell r="AS92">
            <v>33.35</v>
          </cell>
          <cell r="AV92">
            <v>8456</v>
          </cell>
        </row>
        <row r="93">
          <cell r="AR93">
            <v>34.04</v>
          </cell>
          <cell r="AS93">
            <v>33.369999999999997</v>
          </cell>
          <cell r="AV93">
            <v>8314</v>
          </cell>
        </row>
        <row r="94">
          <cell r="AR94">
            <v>34.024000000000001</v>
          </cell>
          <cell r="AS94">
            <v>33.283999999999999</v>
          </cell>
          <cell r="AV94">
            <v>8299.0480000000007</v>
          </cell>
        </row>
        <row r="95">
          <cell r="AR95">
            <v>33.841999999999999</v>
          </cell>
          <cell r="AS95">
            <v>33.262999999999998</v>
          </cell>
          <cell r="AV95">
            <v>7848.9359999999997</v>
          </cell>
        </row>
        <row r="96">
          <cell r="AR96">
            <v>34</v>
          </cell>
          <cell r="AS96">
            <v>33.340000000000003</v>
          </cell>
          <cell r="AV96">
            <v>7901</v>
          </cell>
        </row>
        <row r="97">
          <cell r="AR97">
            <v>33.81</v>
          </cell>
          <cell r="AS97">
            <v>33.369999999999997</v>
          </cell>
          <cell r="AV97">
            <v>7509</v>
          </cell>
        </row>
        <row r="98">
          <cell r="AR98">
            <v>33.770000000000003</v>
          </cell>
          <cell r="AS98">
            <v>33.42</v>
          </cell>
          <cell r="AV98">
            <v>7566</v>
          </cell>
        </row>
        <row r="99">
          <cell r="AR99">
            <v>33.81</v>
          </cell>
          <cell r="AS99">
            <v>33.44</v>
          </cell>
          <cell r="AV99">
            <v>7697</v>
          </cell>
        </row>
        <row r="100">
          <cell r="AR100">
            <v>34.03</v>
          </cell>
          <cell r="AS100">
            <v>33.520000000000003</v>
          </cell>
          <cell r="AV100">
            <v>7737</v>
          </cell>
        </row>
        <row r="101">
          <cell r="AR101"/>
          <cell r="AS101"/>
          <cell r="AV101"/>
        </row>
        <row r="102">
          <cell r="AR102"/>
          <cell r="AS102"/>
          <cell r="AV102"/>
        </row>
        <row r="103">
          <cell r="AR103"/>
          <cell r="AS103"/>
          <cell r="AV103"/>
        </row>
        <row r="104">
          <cell r="AR104"/>
          <cell r="AS104"/>
          <cell r="AV104"/>
        </row>
        <row r="105">
          <cell r="AR105"/>
          <cell r="AS105"/>
          <cell r="AV105"/>
        </row>
        <row r="106">
          <cell r="AR106"/>
          <cell r="AS106"/>
          <cell r="AV106"/>
        </row>
        <row r="107">
          <cell r="AR107"/>
          <cell r="AS107"/>
          <cell r="AV107"/>
        </row>
        <row r="108">
          <cell r="AR108"/>
          <cell r="AS108"/>
          <cell r="AV108"/>
        </row>
        <row r="109">
          <cell r="AR109"/>
          <cell r="AS109"/>
          <cell r="AV109"/>
        </row>
        <row r="110">
          <cell r="AR110"/>
          <cell r="AS110"/>
          <cell r="AV110"/>
        </row>
        <row r="111">
          <cell r="AR111"/>
          <cell r="AS111"/>
          <cell r="AV111"/>
        </row>
        <row r="112">
          <cell r="AR112"/>
          <cell r="AS112"/>
          <cell r="AV112"/>
        </row>
        <row r="113">
          <cell r="AR113"/>
          <cell r="AS113"/>
          <cell r="AV113"/>
        </row>
        <row r="114">
          <cell r="AR114"/>
          <cell r="AS114"/>
          <cell r="AV114"/>
        </row>
        <row r="115">
          <cell r="AR115"/>
          <cell r="AS115"/>
          <cell r="AV115"/>
        </row>
        <row r="116">
          <cell r="AR116"/>
          <cell r="AS116"/>
          <cell r="AV116"/>
        </row>
        <row r="117">
          <cell r="AR117"/>
          <cell r="AS117"/>
          <cell r="AV117"/>
        </row>
        <row r="118">
          <cell r="AR118"/>
          <cell r="AS118"/>
          <cell r="AV118"/>
        </row>
        <row r="119">
          <cell r="AR119"/>
          <cell r="AS119"/>
          <cell r="AV119"/>
        </row>
        <row r="120">
          <cell r="AR120"/>
          <cell r="AS120"/>
          <cell r="AV120"/>
        </row>
        <row r="121">
          <cell r="AR121"/>
          <cell r="AS121"/>
          <cell r="AV121"/>
        </row>
        <row r="122">
          <cell r="AR122"/>
          <cell r="AS122"/>
          <cell r="AV122"/>
        </row>
        <row r="123">
          <cell r="AR123"/>
          <cell r="AS123"/>
          <cell r="AV123"/>
        </row>
        <row r="124">
          <cell r="AR124"/>
          <cell r="AS124"/>
          <cell r="AV124"/>
        </row>
        <row r="125">
          <cell r="AR125"/>
          <cell r="AS125"/>
          <cell r="AV125"/>
        </row>
        <row r="126">
          <cell r="AR126"/>
          <cell r="AS126"/>
          <cell r="AV126"/>
        </row>
        <row r="127">
          <cell r="AR127"/>
          <cell r="AS127"/>
          <cell r="AV127"/>
        </row>
        <row r="128">
          <cell r="AR128"/>
          <cell r="AS128"/>
          <cell r="AV128"/>
        </row>
        <row r="129">
          <cell r="AR129"/>
          <cell r="AS129"/>
          <cell r="AV129"/>
        </row>
        <row r="130">
          <cell r="AR130"/>
          <cell r="AS130"/>
          <cell r="AV130"/>
        </row>
        <row r="131">
          <cell r="AR131"/>
          <cell r="AS131"/>
          <cell r="AV131"/>
        </row>
        <row r="132">
          <cell r="AR132"/>
          <cell r="AS132"/>
          <cell r="AV132"/>
        </row>
        <row r="133">
          <cell r="AR133"/>
          <cell r="AS133"/>
          <cell r="AV133"/>
        </row>
        <row r="134">
          <cell r="AR134"/>
          <cell r="AS134"/>
          <cell r="AV134"/>
        </row>
        <row r="135">
          <cell r="AR135"/>
          <cell r="AS135"/>
          <cell r="AV135"/>
        </row>
        <row r="136">
          <cell r="AR136"/>
          <cell r="AS136"/>
          <cell r="AV136"/>
        </row>
        <row r="137">
          <cell r="AR137"/>
          <cell r="AS137"/>
          <cell r="AV137"/>
        </row>
        <row r="138">
          <cell r="AR138"/>
          <cell r="AS138"/>
          <cell r="AV138"/>
        </row>
        <row r="139">
          <cell r="AR139"/>
          <cell r="AS139"/>
          <cell r="AV139"/>
        </row>
        <row r="140">
          <cell r="AR140"/>
          <cell r="AS140"/>
          <cell r="AV140"/>
        </row>
        <row r="141">
          <cell r="AR141"/>
          <cell r="AS141"/>
          <cell r="AV141"/>
        </row>
        <row r="142">
          <cell r="AR142"/>
          <cell r="AS142"/>
          <cell r="AV142"/>
        </row>
        <row r="143">
          <cell r="AR143"/>
          <cell r="AS143"/>
          <cell r="AV143"/>
        </row>
        <row r="144">
          <cell r="AR144"/>
          <cell r="AS144"/>
          <cell r="AV144"/>
        </row>
        <row r="145">
          <cell r="AR145"/>
          <cell r="AS145"/>
          <cell r="AV145"/>
        </row>
        <row r="146">
          <cell r="AR146"/>
          <cell r="AS146"/>
          <cell r="AV146"/>
        </row>
        <row r="147">
          <cell r="AR147"/>
          <cell r="AS147"/>
          <cell r="AV147"/>
        </row>
        <row r="148">
          <cell r="AR148"/>
          <cell r="AS148"/>
          <cell r="AV148"/>
        </row>
        <row r="149">
          <cell r="AR149"/>
          <cell r="AS149"/>
          <cell r="AV149"/>
        </row>
        <row r="150">
          <cell r="AR150"/>
          <cell r="AS150"/>
          <cell r="AV150"/>
        </row>
        <row r="151">
          <cell r="AR151"/>
          <cell r="AS151"/>
          <cell r="AV151"/>
        </row>
        <row r="152">
          <cell r="AR152"/>
          <cell r="AS152"/>
          <cell r="AV152"/>
        </row>
        <row r="153">
          <cell r="AR153"/>
          <cell r="AS153"/>
          <cell r="AV153"/>
        </row>
        <row r="154">
          <cell r="AR154"/>
          <cell r="AS154"/>
          <cell r="AV154"/>
        </row>
        <row r="155">
          <cell r="AR155"/>
          <cell r="AS155"/>
          <cell r="AV155"/>
        </row>
        <row r="156">
          <cell r="AR156"/>
          <cell r="AS156"/>
          <cell r="AV156"/>
        </row>
        <row r="157">
          <cell r="AR157"/>
          <cell r="AS157"/>
          <cell r="AV157"/>
        </row>
        <row r="158">
          <cell r="AR158"/>
          <cell r="AS158"/>
          <cell r="AV158"/>
        </row>
        <row r="159">
          <cell r="AR159"/>
          <cell r="AS159"/>
          <cell r="AV159"/>
        </row>
        <row r="160">
          <cell r="AR160"/>
          <cell r="AS160"/>
          <cell r="AV160"/>
        </row>
        <row r="161">
          <cell r="AR161"/>
          <cell r="AS161"/>
          <cell r="AV161"/>
        </row>
        <row r="162">
          <cell r="AR162"/>
          <cell r="AS162"/>
          <cell r="AV162"/>
        </row>
        <row r="163">
          <cell r="AR163"/>
          <cell r="AS163"/>
          <cell r="AV163"/>
        </row>
        <row r="164">
          <cell r="AR164"/>
          <cell r="AS164"/>
          <cell r="AV164"/>
        </row>
        <row r="165">
          <cell r="AR165"/>
          <cell r="AS165"/>
          <cell r="AV165"/>
        </row>
        <row r="166">
          <cell r="AR166"/>
          <cell r="AS166"/>
          <cell r="AV166"/>
        </row>
        <row r="167">
          <cell r="AR167"/>
          <cell r="AS167"/>
          <cell r="AV167"/>
        </row>
        <row r="168">
          <cell r="AR168"/>
          <cell r="AS168"/>
          <cell r="AV168"/>
        </row>
        <row r="169">
          <cell r="AR169"/>
          <cell r="AS169"/>
          <cell r="AV169"/>
        </row>
        <row r="170">
          <cell r="AR170"/>
          <cell r="AS170"/>
          <cell r="AV170"/>
        </row>
        <row r="171">
          <cell r="AR171"/>
          <cell r="AS171"/>
          <cell r="AV171"/>
        </row>
        <row r="172">
          <cell r="AR172"/>
          <cell r="AS172"/>
          <cell r="AV172"/>
        </row>
        <row r="173">
          <cell r="AR173"/>
          <cell r="AS173"/>
          <cell r="AV173"/>
        </row>
        <row r="174">
          <cell r="AR174"/>
          <cell r="AS174"/>
          <cell r="AV174"/>
        </row>
        <row r="175">
          <cell r="AR175"/>
          <cell r="AS175"/>
          <cell r="AV175"/>
        </row>
        <row r="176">
          <cell r="AR176"/>
          <cell r="AS176"/>
          <cell r="AV176"/>
        </row>
        <row r="177">
          <cell r="AR177"/>
          <cell r="AS177"/>
          <cell r="AV177"/>
        </row>
        <row r="178">
          <cell r="AR178"/>
          <cell r="AS178"/>
          <cell r="AV178"/>
        </row>
        <row r="179">
          <cell r="AR179"/>
          <cell r="AS179"/>
          <cell r="AV179"/>
        </row>
        <row r="180">
          <cell r="AR180"/>
          <cell r="AS180"/>
          <cell r="AV180"/>
        </row>
        <row r="181">
          <cell r="AR181"/>
          <cell r="AS181"/>
          <cell r="AV181"/>
        </row>
        <row r="182">
          <cell r="AR182"/>
          <cell r="AS182"/>
          <cell r="AV182"/>
        </row>
        <row r="183">
          <cell r="AR183"/>
          <cell r="AS183"/>
          <cell r="AV183"/>
        </row>
        <row r="184">
          <cell r="AR184"/>
          <cell r="AS184"/>
          <cell r="AV184"/>
        </row>
        <row r="185">
          <cell r="AR185"/>
          <cell r="AS185"/>
          <cell r="AV185"/>
        </row>
        <row r="186">
          <cell r="AR186"/>
          <cell r="AS186"/>
          <cell r="AV186"/>
        </row>
        <row r="187">
          <cell r="AR187"/>
          <cell r="AS187"/>
          <cell r="AV187"/>
        </row>
        <row r="188">
          <cell r="AR188"/>
          <cell r="AS188"/>
          <cell r="AV188"/>
        </row>
        <row r="189">
          <cell r="AR189"/>
          <cell r="AS189"/>
          <cell r="AV189"/>
        </row>
        <row r="190">
          <cell r="AR190"/>
          <cell r="AS190"/>
          <cell r="AV190"/>
        </row>
        <row r="191">
          <cell r="AR191"/>
          <cell r="AS191"/>
          <cell r="AV191"/>
        </row>
        <row r="192">
          <cell r="AR192"/>
          <cell r="AS192"/>
          <cell r="AV192"/>
        </row>
        <row r="193">
          <cell r="AR193"/>
          <cell r="AS193"/>
          <cell r="AV193"/>
        </row>
        <row r="194">
          <cell r="AR194"/>
          <cell r="AS194"/>
          <cell r="AV194"/>
        </row>
        <row r="195">
          <cell r="AR195"/>
          <cell r="AS195"/>
          <cell r="AV195"/>
        </row>
        <row r="196">
          <cell r="AR196"/>
          <cell r="AS196"/>
          <cell r="AV196"/>
        </row>
        <row r="197">
          <cell r="AR197"/>
          <cell r="AS197"/>
          <cell r="AV197"/>
        </row>
        <row r="198">
          <cell r="AR198"/>
          <cell r="AS198"/>
          <cell r="AV198"/>
        </row>
        <row r="199">
          <cell r="AR199"/>
          <cell r="AS199"/>
          <cell r="AV199"/>
        </row>
        <row r="200">
          <cell r="AR200"/>
          <cell r="AS200"/>
          <cell r="AV200"/>
        </row>
        <row r="201">
          <cell r="AR201"/>
          <cell r="AS201"/>
          <cell r="AV201"/>
        </row>
        <row r="202">
          <cell r="AR202"/>
          <cell r="AS202"/>
          <cell r="AV202"/>
        </row>
        <row r="203">
          <cell r="AR203"/>
          <cell r="AS203"/>
          <cell r="AV203"/>
        </row>
        <row r="204">
          <cell r="AR204"/>
          <cell r="AS204"/>
          <cell r="AV204"/>
        </row>
        <row r="205">
          <cell r="AR205"/>
          <cell r="AS205"/>
          <cell r="AV205"/>
        </row>
        <row r="206">
          <cell r="AR206"/>
          <cell r="AS206"/>
          <cell r="AV206"/>
        </row>
        <row r="207">
          <cell r="AR207"/>
          <cell r="AS207"/>
          <cell r="AV207"/>
        </row>
        <row r="208">
          <cell r="AR208"/>
          <cell r="AS208"/>
          <cell r="AV208"/>
        </row>
        <row r="209">
          <cell r="AR209"/>
          <cell r="AS209"/>
          <cell r="AV209"/>
        </row>
        <row r="210">
          <cell r="AR210"/>
          <cell r="AS210"/>
          <cell r="AV210"/>
        </row>
        <row r="211">
          <cell r="AR211"/>
          <cell r="AS211"/>
          <cell r="AV211"/>
        </row>
        <row r="212">
          <cell r="AR212"/>
          <cell r="AS212"/>
          <cell r="AV212"/>
        </row>
        <row r="213">
          <cell r="AR213"/>
          <cell r="AS213"/>
          <cell r="AV213"/>
        </row>
        <row r="214">
          <cell r="AR214"/>
          <cell r="AS214"/>
          <cell r="AV214"/>
        </row>
        <row r="215">
          <cell r="AR215"/>
          <cell r="AS215"/>
          <cell r="AV215"/>
        </row>
        <row r="216">
          <cell r="AR216"/>
          <cell r="AS216"/>
          <cell r="AV216"/>
        </row>
        <row r="217">
          <cell r="AR217"/>
          <cell r="AS217"/>
          <cell r="AV217"/>
        </row>
        <row r="218">
          <cell r="AR218"/>
          <cell r="AS218"/>
          <cell r="AV218"/>
        </row>
        <row r="219">
          <cell r="AR219"/>
          <cell r="AS219"/>
          <cell r="AV219"/>
        </row>
        <row r="220">
          <cell r="AR220"/>
          <cell r="AS220"/>
          <cell r="AV220"/>
        </row>
        <row r="221">
          <cell r="AR221"/>
          <cell r="AS221"/>
          <cell r="AV221"/>
        </row>
        <row r="222">
          <cell r="AR222"/>
          <cell r="AS222"/>
          <cell r="AV222"/>
        </row>
        <row r="223">
          <cell r="AR223"/>
          <cell r="AS223"/>
          <cell r="AV223"/>
        </row>
        <row r="224">
          <cell r="AR224"/>
          <cell r="AS224"/>
          <cell r="AV224"/>
        </row>
        <row r="225">
          <cell r="AR225"/>
          <cell r="AS225"/>
          <cell r="AV225"/>
        </row>
        <row r="226">
          <cell r="AR226"/>
          <cell r="AS226"/>
          <cell r="AV226"/>
        </row>
        <row r="227">
          <cell r="AR227"/>
          <cell r="AS227"/>
          <cell r="AV227"/>
        </row>
        <row r="228">
          <cell r="AR228"/>
          <cell r="AS228"/>
          <cell r="AV228"/>
        </row>
        <row r="229">
          <cell r="AR229"/>
          <cell r="AS229"/>
          <cell r="AV229"/>
        </row>
        <row r="230">
          <cell r="AR230"/>
          <cell r="AS230"/>
          <cell r="AV230"/>
        </row>
        <row r="231">
          <cell r="AR231"/>
          <cell r="AS231"/>
          <cell r="AV231"/>
        </row>
        <row r="232">
          <cell r="AR232"/>
          <cell r="AS232"/>
          <cell r="AV232"/>
        </row>
        <row r="233">
          <cell r="AR233"/>
          <cell r="AS233"/>
          <cell r="AV233"/>
        </row>
        <row r="234">
          <cell r="AR234"/>
          <cell r="AS234"/>
          <cell r="AV234"/>
        </row>
        <row r="235">
          <cell r="AR235"/>
          <cell r="AS235"/>
          <cell r="AV235"/>
        </row>
        <row r="236">
          <cell r="AR236"/>
          <cell r="AS236"/>
          <cell r="AV236"/>
        </row>
        <row r="237">
          <cell r="AR237"/>
          <cell r="AS237"/>
          <cell r="AV237"/>
        </row>
        <row r="238">
          <cell r="AR238"/>
          <cell r="AS238"/>
          <cell r="AV238"/>
        </row>
        <row r="239">
          <cell r="AR239"/>
          <cell r="AS239"/>
          <cell r="AV239"/>
        </row>
        <row r="240">
          <cell r="AR240"/>
          <cell r="AS240"/>
          <cell r="AV240"/>
        </row>
        <row r="241">
          <cell r="AR241"/>
          <cell r="AS241"/>
          <cell r="AV241"/>
        </row>
        <row r="242">
          <cell r="AR242"/>
          <cell r="AS242"/>
          <cell r="AV242"/>
        </row>
        <row r="243">
          <cell r="AR243"/>
          <cell r="AS243"/>
          <cell r="AV243"/>
        </row>
        <row r="244">
          <cell r="AR244"/>
          <cell r="AS244"/>
          <cell r="AV244"/>
        </row>
        <row r="245">
          <cell r="AR245"/>
          <cell r="AS245"/>
          <cell r="AV245"/>
        </row>
        <row r="246">
          <cell r="AR246"/>
          <cell r="AS246"/>
          <cell r="AV246"/>
        </row>
        <row r="247">
          <cell r="AR247"/>
          <cell r="AS247"/>
          <cell r="AV247"/>
        </row>
        <row r="248">
          <cell r="AR248"/>
          <cell r="AS248"/>
          <cell r="AV248"/>
        </row>
        <row r="249">
          <cell r="AR249"/>
          <cell r="AS249"/>
          <cell r="AV249"/>
        </row>
        <row r="250">
          <cell r="AR250"/>
          <cell r="AS250"/>
          <cell r="AV250"/>
        </row>
        <row r="251">
          <cell r="AR251"/>
          <cell r="AS251"/>
          <cell r="AV251"/>
        </row>
        <row r="252">
          <cell r="AR252"/>
          <cell r="AS252"/>
          <cell r="AV252"/>
        </row>
        <row r="253">
          <cell r="AR253"/>
          <cell r="AS253"/>
          <cell r="AV253"/>
        </row>
        <row r="254">
          <cell r="AR254"/>
          <cell r="AS254"/>
          <cell r="AV254"/>
        </row>
        <row r="255">
          <cell r="AR255"/>
          <cell r="AS255"/>
          <cell r="AV255"/>
        </row>
        <row r="256">
          <cell r="AR256"/>
          <cell r="AS256"/>
          <cell r="AV256"/>
        </row>
        <row r="257">
          <cell r="AR257"/>
          <cell r="AS257"/>
          <cell r="AV257"/>
        </row>
        <row r="258">
          <cell r="AR258"/>
          <cell r="AS258"/>
          <cell r="AV258"/>
        </row>
        <row r="259">
          <cell r="AR259"/>
          <cell r="AS259"/>
          <cell r="AV259"/>
        </row>
        <row r="260">
          <cell r="AR260"/>
          <cell r="AS260"/>
          <cell r="AV260"/>
        </row>
        <row r="261">
          <cell r="AR261"/>
          <cell r="AS261"/>
          <cell r="AV261"/>
        </row>
        <row r="262">
          <cell r="AR262"/>
          <cell r="AS262"/>
          <cell r="AV262"/>
        </row>
        <row r="263">
          <cell r="AR263"/>
          <cell r="AS263"/>
          <cell r="AV263"/>
        </row>
        <row r="264">
          <cell r="AR264"/>
          <cell r="AS264"/>
          <cell r="AV264"/>
        </row>
        <row r="265">
          <cell r="AR265"/>
          <cell r="AS265"/>
          <cell r="AV265"/>
        </row>
        <row r="266">
          <cell r="AR266"/>
          <cell r="AS266"/>
          <cell r="AV266"/>
        </row>
        <row r="267">
          <cell r="AR267"/>
          <cell r="AS267"/>
          <cell r="AV267"/>
        </row>
        <row r="268">
          <cell r="AR268"/>
          <cell r="AS268"/>
          <cell r="AV268"/>
        </row>
        <row r="269">
          <cell r="AR269"/>
          <cell r="AS269"/>
          <cell r="AV269"/>
        </row>
        <row r="270">
          <cell r="AR270"/>
          <cell r="AS270"/>
          <cell r="AV270"/>
        </row>
        <row r="271">
          <cell r="AR271"/>
          <cell r="AS271"/>
          <cell r="AV271"/>
        </row>
        <row r="272">
          <cell r="AR272"/>
          <cell r="AS272"/>
          <cell r="AV272"/>
        </row>
        <row r="273">
          <cell r="AR273"/>
          <cell r="AS273"/>
          <cell r="AV273"/>
        </row>
        <row r="274">
          <cell r="AR274"/>
          <cell r="AS274"/>
          <cell r="AV274"/>
        </row>
        <row r="275">
          <cell r="AR275"/>
          <cell r="AS275"/>
          <cell r="AV275"/>
        </row>
        <row r="276">
          <cell r="AR276"/>
          <cell r="AS276"/>
          <cell r="AV276"/>
        </row>
        <row r="277">
          <cell r="AR277"/>
          <cell r="AS277"/>
          <cell r="AV277"/>
        </row>
        <row r="278">
          <cell r="AR278"/>
          <cell r="AS278"/>
          <cell r="AV278"/>
        </row>
        <row r="279">
          <cell r="AR279"/>
          <cell r="AS279"/>
          <cell r="AV279"/>
        </row>
        <row r="280">
          <cell r="AR280"/>
          <cell r="AS280"/>
          <cell r="AV280"/>
        </row>
        <row r="281">
          <cell r="AR281"/>
          <cell r="AS281"/>
          <cell r="AV281"/>
        </row>
        <row r="282">
          <cell r="AR282"/>
          <cell r="AS282"/>
          <cell r="AV282"/>
        </row>
        <row r="283">
          <cell r="AR283"/>
          <cell r="AS283"/>
          <cell r="AV283"/>
        </row>
        <row r="284">
          <cell r="AR284"/>
          <cell r="AS284"/>
          <cell r="AV284"/>
        </row>
        <row r="285">
          <cell r="AR285"/>
          <cell r="AS285"/>
          <cell r="AV285"/>
        </row>
        <row r="286">
          <cell r="AR286"/>
          <cell r="AS286"/>
          <cell r="AV286"/>
        </row>
        <row r="287">
          <cell r="AR287"/>
          <cell r="AS287"/>
          <cell r="AV287"/>
        </row>
        <row r="288">
          <cell r="AR288"/>
          <cell r="AS288"/>
          <cell r="AV288"/>
        </row>
        <row r="289">
          <cell r="AR289"/>
          <cell r="AS289"/>
          <cell r="AV289"/>
        </row>
        <row r="290">
          <cell r="AR290"/>
          <cell r="AS290"/>
          <cell r="AV290"/>
        </row>
        <row r="291">
          <cell r="AR291"/>
          <cell r="AS291"/>
          <cell r="AV291"/>
        </row>
        <row r="292">
          <cell r="AR292"/>
          <cell r="AS292"/>
          <cell r="AV292"/>
        </row>
        <row r="293">
          <cell r="AR293"/>
          <cell r="AS293"/>
          <cell r="AV293"/>
        </row>
        <row r="294">
          <cell r="AR294"/>
          <cell r="AS294"/>
          <cell r="AV294"/>
        </row>
        <row r="295">
          <cell r="AR295"/>
          <cell r="AS295"/>
          <cell r="AV295"/>
        </row>
        <row r="296">
          <cell r="AR296"/>
          <cell r="AS296"/>
          <cell r="AV296"/>
        </row>
        <row r="297">
          <cell r="AR297"/>
          <cell r="AS297"/>
          <cell r="AV297"/>
        </row>
        <row r="298">
          <cell r="AR298"/>
          <cell r="AS298"/>
          <cell r="AV298"/>
        </row>
        <row r="299">
          <cell r="AR299"/>
          <cell r="AS299"/>
          <cell r="AV299"/>
        </row>
        <row r="300">
          <cell r="AR300"/>
          <cell r="AS300"/>
          <cell r="AV300"/>
        </row>
        <row r="301">
          <cell r="AR301"/>
          <cell r="AS301"/>
          <cell r="AV301"/>
        </row>
        <row r="302">
          <cell r="AR302"/>
          <cell r="AS302"/>
          <cell r="AV302"/>
        </row>
        <row r="303">
          <cell r="AR303"/>
          <cell r="AS303"/>
          <cell r="AV303"/>
        </row>
        <row r="304">
          <cell r="AR304"/>
          <cell r="AS304"/>
          <cell r="AV304"/>
        </row>
        <row r="305">
          <cell r="AR305"/>
          <cell r="AS305"/>
          <cell r="AV305"/>
        </row>
        <row r="306">
          <cell r="AR306"/>
          <cell r="AS306"/>
          <cell r="AV306"/>
        </row>
        <row r="307">
          <cell r="AR307"/>
          <cell r="AS307"/>
          <cell r="AV307"/>
        </row>
        <row r="308">
          <cell r="AR308"/>
          <cell r="AS308"/>
          <cell r="AV308"/>
        </row>
        <row r="309">
          <cell r="AR309"/>
          <cell r="AS309"/>
          <cell r="AV309"/>
        </row>
        <row r="310">
          <cell r="AR310"/>
          <cell r="AS310"/>
          <cell r="AV310"/>
        </row>
        <row r="311">
          <cell r="AR311"/>
          <cell r="AS311"/>
          <cell r="AV311"/>
        </row>
        <row r="312">
          <cell r="AR312"/>
          <cell r="AS312"/>
          <cell r="AV312"/>
        </row>
        <row r="313">
          <cell r="AR313"/>
          <cell r="AS313"/>
          <cell r="AV313"/>
        </row>
        <row r="314">
          <cell r="AR314"/>
          <cell r="AS314"/>
          <cell r="AV314"/>
        </row>
        <row r="315">
          <cell r="AR315"/>
          <cell r="AS315"/>
          <cell r="AV315"/>
        </row>
        <row r="316">
          <cell r="AR316"/>
          <cell r="AS316"/>
          <cell r="AV316"/>
        </row>
        <row r="317">
          <cell r="AR317"/>
          <cell r="AS317"/>
          <cell r="AV317"/>
        </row>
        <row r="318">
          <cell r="AR318"/>
          <cell r="AS318"/>
          <cell r="AV318"/>
        </row>
        <row r="319">
          <cell r="AR319"/>
          <cell r="AS319"/>
          <cell r="AV319"/>
        </row>
        <row r="320">
          <cell r="AR320"/>
          <cell r="AS320"/>
          <cell r="AV320"/>
        </row>
        <row r="321">
          <cell r="AR321"/>
          <cell r="AS321"/>
          <cell r="AV321"/>
        </row>
        <row r="322">
          <cell r="AR322"/>
          <cell r="AS322"/>
          <cell r="AV322"/>
        </row>
        <row r="323">
          <cell r="AR323"/>
          <cell r="AS323"/>
          <cell r="AV323"/>
        </row>
        <row r="324">
          <cell r="AR324"/>
          <cell r="AS324"/>
          <cell r="AV324"/>
        </row>
        <row r="325">
          <cell r="AR325"/>
          <cell r="AS325"/>
          <cell r="AV325"/>
        </row>
        <row r="326">
          <cell r="AR326"/>
          <cell r="AS326"/>
          <cell r="AV326"/>
        </row>
        <row r="327">
          <cell r="AR327"/>
          <cell r="AS327"/>
          <cell r="AV327"/>
        </row>
        <row r="328">
          <cell r="AR328"/>
          <cell r="AS328"/>
          <cell r="AV328"/>
        </row>
        <row r="329">
          <cell r="AR329"/>
          <cell r="AS329"/>
          <cell r="AV329"/>
        </row>
        <row r="330">
          <cell r="AR330"/>
          <cell r="AS330"/>
          <cell r="AV330"/>
        </row>
        <row r="331">
          <cell r="AR331"/>
          <cell r="AS331"/>
          <cell r="AV331"/>
        </row>
        <row r="332">
          <cell r="AR332"/>
          <cell r="AS332"/>
          <cell r="AV332"/>
        </row>
        <row r="333">
          <cell r="AR333"/>
          <cell r="AS333"/>
          <cell r="AV333"/>
        </row>
        <row r="334">
          <cell r="AR334"/>
          <cell r="AS334"/>
          <cell r="AV334"/>
        </row>
        <row r="335">
          <cell r="AR335"/>
          <cell r="AS335"/>
          <cell r="AV335"/>
        </row>
        <row r="336">
          <cell r="AR336"/>
          <cell r="AS336"/>
          <cell r="AV336"/>
        </row>
        <row r="337">
          <cell r="AR337"/>
          <cell r="AS337"/>
          <cell r="AV337"/>
        </row>
        <row r="338">
          <cell r="AR338"/>
          <cell r="AS338"/>
          <cell r="AV338"/>
        </row>
        <row r="339">
          <cell r="AR339"/>
          <cell r="AS339"/>
          <cell r="AV339"/>
        </row>
        <row r="340">
          <cell r="AR340"/>
          <cell r="AS340"/>
          <cell r="AV340"/>
        </row>
        <row r="341">
          <cell r="AR341"/>
          <cell r="AS341"/>
          <cell r="AV341"/>
        </row>
        <row r="342">
          <cell r="AR342"/>
          <cell r="AS342"/>
          <cell r="AV342"/>
        </row>
        <row r="343">
          <cell r="AR343"/>
          <cell r="AS343"/>
          <cell r="AV343"/>
        </row>
        <row r="344">
          <cell r="AR344"/>
          <cell r="AS344"/>
          <cell r="AV344"/>
        </row>
        <row r="345">
          <cell r="AR345"/>
          <cell r="AS345"/>
          <cell r="AV345"/>
        </row>
        <row r="346">
          <cell r="AR346"/>
          <cell r="AS346"/>
          <cell r="AV346"/>
        </row>
        <row r="347">
          <cell r="AR347"/>
          <cell r="AS347"/>
          <cell r="AV347"/>
        </row>
        <row r="348">
          <cell r="AR348"/>
          <cell r="AS348"/>
          <cell r="AV348"/>
        </row>
        <row r="349">
          <cell r="AR349"/>
          <cell r="AS349"/>
          <cell r="AV349"/>
        </row>
        <row r="350">
          <cell r="AR350"/>
          <cell r="AS350"/>
          <cell r="AV350"/>
        </row>
        <row r="351">
          <cell r="AR351"/>
          <cell r="AS351"/>
          <cell r="AV351"/>
        </row>
        <row r="352">
          <cell r="AR352"/>
          <cell r="AS352"/>
          <cell r="AV352"/>
        </row>
        <row r="353">
          <cell r="AR353"/>
          <cell r="AS353"/>
          <cell r="AV353"/>
        </row>
        <row r="354">
          <cell r="AR354"/>
          <cell r="AS354"/>
          <cell r="AV354"/>
        </row>
        <row r="355">
          <cell r="AR355"/>
          <cell r="AS355"/>
          <cell r="AV355"/>
        </row>
        <row r="356">
          <cell r="AR356"/>
          <cell r="AS356"/>
          <cell r="AV356"/>
        </row>
        <row r="357">
          <cell r="AR357"/>
          <cell r="AS357"/>
          <cell r="AV357"/>
        </row>
        <row r="358">
          <cell r="AR358"/>
          <cell r="AS358"/>
          <cell r="AV358"/>
        </row>
        <row r="359">
          <cell r="AR359"/>
          <cell r="AS359"/>
          <cell r="AV359"/>
        </row>
        <row r="360">
          <cell r="AR360"/>
          <cell r="AS360"/>
          <cell r="AV360"/>
        </row>
        <row r="361">
          <cell r="AR361"/>
          <cell r="AS361"/>
          <cell r="AV361"/>
        </row>
        <row r="362">
          <cell r="AR362"/>
          <cell r="AS362"/>
          <cell r="AV362"/>
        </row>
        <row r="363">
          <cell r="AR363"/>
          <cell r="AS363"/>
          <cell r="AV363"/>
        </row>
        <row r="364">
          <cell r="AR364"/>
          <cell r="AS364"/>
          <cell r="AV364"/>
        </row>
        <row r="365">
          <cell r="AR365"/>
          <cell r="AS365"/>
          <cell r="AV365"/>
        </row>
        <row r="366">
          <cell r="AR366"/>
          <cell r="AS366"/>
          <cell r="AV366"/>
        </row>
        <row r="367">
          <cell r="AR367"/>
          <cell r="AS367"/>
          <cell r="AV367"/>
        </row>
        <row r="368">
          <cell r="AR368"/>
          <cell r="AS368"/>
          <cell r="AV368"/>
        </row>
      </sheetData>
      <sheetData sheetId="45">
        <row r="24">
          <cell r="AA24">
            <v>651.20000000000005</v>
          </cell>
          <cell r="AB24">
            <v>248564</v>
          </cell>
          <cell r="AC24">
            <v>240254</v>
          </cell>
          <cell r="AD24">
            <v>17118.27</v>
          </cell>
          <cell r="AE24">
            <v>14698.25</v>
          </cell>
          <cell r="AF24">
            <v>4053.5</v>
          </cell>
          <cell r="AG24">
            <v>35452</v>
          </cell>
          <cell r="AH24">
            <v>18353</v>
          </cell>
        </row>
        <row r="25">
          <cell r="AA25">
            <v>651.20000000000005</v>
          </cell>
          <cell r="AB25">
            <v>248564</v>
          </cell>
          <cell r="AC25">
            <v>240297</v>
          </cell>
          <cell r="AD25">
            <v>17123.259999999998</v>
          </cell>
          <cell r="AE25">
            <v>14716.02</v>
          </cell>
          <cell r="AF25">
            <v>4055</v>
          </cell>
          <cell r="AG25">
            <v>35624</v>
          </cell>
          <cell r="AH25">
            <v>18539</v>
          </cell>
        </row>
        <row r="26">
          <cell r="AA26">
            <v>651.20000000000005</v>
          </cell>
          <cell r="AB26">
            <v>248636</v>
          </cell>
          <cell r="AC26">
            <v>240319</v>
          </cell>
          <cell r="AD26">
            <v>17128.849999999999</v>
          </cell>
          <cell r="AE26">
            <v>14734.47</v>
          </cell>
          <cell r="AF26">
            <v>4056.3</v>
          </cell>
          <cell r="AG26">
            <v>35843</v>
          </cell>
          <cell r="AH26">
            <v>18709</v>
          </cell>
        </row>
        <row r="27">
          <cell r="AA27">
            <v>651.20000000000005</v>
          </cell>
          <cell r="AB27">
            <v>248683</v>
          </cell>
          <cell r="AC27">
            <v>240319</v>
          </cell>
          <cell r="AD27">
            <v>17132.89</v>
          </cell>
          <cell r="AE27">
            <v>14753.2</v>
          </cell>
          <cell r="AF27">
            <v>4057.2</v>
          </cell>
          <cell r="AG27">
            <v>35983</v>
          </cell>
          <cell r="AH27">
            <v>18856</v>
          </cell>
        </row>
        <row r="28">
          <cell r="AA28">
            <v>651.20000000000005</v>
          </cell>
          <cell r="AB28">
            <v>248728</v>
          </cell>
          <cell r="AC28">
            <v>240319</v>
          </cell>
          <cell r="AD28">
            <v>17136.8</v>
          </cell>
          <cell r="AE28">
            <v>14771.91</v>
          </cell>
          <cell r="AF28">
            <v>4057.9</v>
          </cell>
          <cell r="AG28">
            <v>36047</v>
          </cell>
          <cell r="AH28">
            <v>18963</v>
          </cell>
        </row>
        <row r="29">
          <cell r="AA29">
            <v>651.20000000000005</v>
          </cell>
          <cell r="AB29">
            <v>248728</v>
          </cell>
          <cell r="AC29">
            <v>240400</v>
          </cell>
          <cell r="AD29">
            <v>17142.419999999998</v>
          </cell>
          <cell r="AE29">
            <v>14788.99</v>
          </cell>
          <cell r="AF29">
            <v>0.6</v>
          </cell>
          <cell r="AG29">
            <v>36165</v>
          </cell>
          <cell r="AH29">
            <v>19188</v>
          </cell>
        </row>
        <row r="30">
          <cell r="AA30">
            <v>651.20000000000005</v>
          </cell>
          <cell r="AB30">
            <v>248788</v>
          </cell>
          <cell r="AC30">
            <v>240420</v>
          </cell>
          <cell r="AD30">
            <v>17147.46</v>
          </cell>
          <cell r="AE30">
            <v>14808.23</v>
          </cell>
          <cell r="AF30">
            <v>2</v>
          </cell>
          <cell r="AG30">
            <v>36392</v>
          </cell>
          <cell r="AH30">
            <v>19355</v>
          </cell>
        </row>
        <row r="31">
          <cell r="AA31">
            <v>651.20000000000005</v>
          </cell>
          <cell r="AB31">
            <v>248839</v>
          </cell>
          <cell r="AC31">
            <v>240420</v>
          </cell>
          <cell r="AD31">
            <v>17151.98</v>
          </cell>
          <cell r="AE31">
            <v>14827.73</v>
          </cell>
          <cell r="AF31">
            <v>3.1</v>
          </cell>
          <cell r="AG31">
            <v>36577</v>
          </cell>
          <cell r="AH31">
            <v>19511</v>
          </cell>
        </row>
        <row r="32">
          <cell r="AA32">
            <v>651.20000000000005</v>
          </cell>
          <cell r="AB32">
            <v>248858</v>
          </cell>
          <cell r="AC32">
            <v>240473</v>
          </cell>
          <cell r="AD32">
            <v>17157.169999999998</v>
          </cell>
          <cell r="AE32">
            <v>14846.8</v>
          </cell>
          <cell r="AF32">
            <v>3.9</v>
          </cell>
          <cell r="AG32">
            <v>36689</v>
          </cell>
          <cell r="AH32">
            <v>19679</v>
          </cell>
        </row>
        <row r="33">
          <cell r="AA33">
            <v>651.20000000000005</v>
          </cell>
          <cell r="AB33">
            <v>248858</v>
          </cell>
          <cell r="AC33">
            <v>240542</v>
          </cell>
          <cell r="AD33">
            <v>17161.169999999998</v>
          </cell>
          <cell r="AE33">
            <v>14865.64</v>
          </cell>
          <cell r="AF33">
            <v>4.5999999999999996</v>
          </cell>
          <cell r="AG33">
            <v>36756</v>
          </cell>
          <cell r="AH33">
            <v>19837</v>
          </cell>
        </row>
        <row r="34">
          <cell r="AA34">
            <v>651.20000000000005</v>
          </cell>
          <cell r="AB34">
            <v>248881</v>
          </cell>
          <cell r="AC34">
            <v>240564</v>
          </cell>
          <cell r="AD34">
            <v>17163.62</v>
          </cell>
          <cell r="AE34">
            <v>14884.77</v>
          </cell>
          <cell r="AF34">
            <v>5.2</v>
          </cell>
          <cell r="AG34">
            <v>36827</v>
          </cell>
          <cell r="AH34">
            <v>19949</v>
          </cell>
        </row>
        <row r="35">
          <cell r="AA35">
            <v>651.20000000000005</v>
          </cell>
          <cell r="AB35">
            <v>248929</v>
          </cell>
          <cell r="AC35">
            <v>240564</v>
          </cell>
          <cell r="AD35">
            <v>17166.27</v>
          </cell>
          <cell r="AE35">
            <v>14904.57</v>
          </cell>
          <cell r="AF35">
            <v>6.1</v>
          </cell>
          <cell r="AG35">
            <v>36888</v>
          </cell>
          <cell r="AH35">
            <v>20073</v>
          </cell>
        </row>
        <row r="36">
          <cell r="AA36">
            <v>651.20000000000005</v>
          </cell>
          <cell r="AB36">
            <v>249015</v>
          </cell>
          <cell r="AC36">
            <v>240564</v>
          </cell>
          <cell r="AD36">
            <v>17171.169999999998</v>
          </cell>
          <cell r="AE36">
            <v>14924.34</v>
          </cell>
          <cell r="AF36">
            <v>7.2</v>
          </cell>
          <cell r="AG36">
            <v>37003</v>
          </cell>
          <cell r="AH36">
            <v>20247</v>
          </cell>
        </row>
        <row r="37">
          <cell r="AA37">
            <v>651.20000000000005</v>
          </cell>
          <cell r="AB37">
            <v>249038</v>
          </cell>
          <cell r="AC37">
            <v>240624</v>
          </cell>
          <cell r="AD37">
            <v>17175.400000000001</v>
          </cell>
          <cell r="AE37">
            <v>14942.59</v>
          </cell>
          <cell r="AF37">
            <v>8.1999999999999993</v>
          </cell>
          <cell r="AG37">
            <v>37122</v>
          </cell>
          <cell r="AH37">
            <v>20401</v>
          </cell>
        </row>
        <row r="38">
          <cell r="AA38">
            <v>651.20000000000005</v>
          </cell>
          <cell r="AB38">
            <v>249088</v>
          </cell>
          <cell r="AC38">
            <v>240649</v>
          </cell>
          <cell r="AD38">
            <v>17180.78</v>
          </cell>
          <cell r="AE38">
            <v>14963.24</v>
          </cell>
          <cell r="AF38">
            <v>9.5</v>
          </cell>
          <cell r="AG38">
            <v>37232</v>
          </cell>
          <cell r="AH38">
            <v>20594</v>
          </cell>
        </row>
        <row r="39">
          <cell r="AA39">
            <v>651.20000000000005</v>
          </cell>
          <cell r="AB39">
            <v>249136</v>
          </cell>
          <cell r="AC39">
            <v>240649</v>
          </cell>
          <cell r="AD39">
            <v>17186.47</v>
          </cell>
          <cell r="AE39">
            <v>14984.99</v>
          </cell>
          <cell r="AF39">
            <v>10.7</v>
          </cell>
          <cell r="AG39">
            <v>37430</v>
          </cell>
          <cell r="AH39">
            <v>20752</v>
          </cell>
        </row>
        <row r="40">
          <cell r="AA40">
            <v>651.20000000000005</v>
          </cell>
          <cell r="AB40">
            <v>249165</v>
          </cell>
          <cell r="AC40">
            <v>240722</v>
          </cell>
          <cell r="AD40">
            <v>17190.79</v>
          </cell>
          <cell r="AE40">
            <v>15000.77</v>
          </cell>
          <cell r="AF40">
            <v>11.8</v>
          </cell>
          <cell r="AG40">
            <v>37592</v>
          </cell>
          <cell r="AH40">
            <v>20953</v>
          </cell>
        </row>
        <row r="41">
          <cell r="AA41">
            <v>651.20000000000005</v>
          </cell>
          <cell r="AB41">
            <v>249165</v>
          </cell>
          <cell r="AC41">
            <v>240777</v>
          </cell>
          <cell r="AD41">
            <v>17193.91</v>
          </cell>
          <cell r="AE41">
            <v>15018.6</v>
          </cell>
          <cell r="AF41">
            <v>12.5</v>
          </cell>
          <cell r="AG41">
            <v>37673</v>
          </cell>
          <cell r="AH41">
            <v>21075</v>
          </cell>
        </row>
        <row r="42">
          <cell r="AA42">
            <v>651.20000000000005</v>
          </cell>
          <cell r="AB42">
            <v>249190</v>
          </cell>
          <cell r="AC42">
            <v>240814</v>
          </cell>
          <cell r="AD42">
            <v>17197.599999999999</v>
          </cell>
          <cell r="AE42">
            <v>15036.84</v>
          </cell>
          <cell r="AF42">
            <v>13.3</v>
          </cell>
          <cell r="AG42">
            <v>37705</v>
          </cell>
          <cell r="AH42">
            <v>21205</v>
          </cell>
        </row>
        <row r="43">
          <cell r="AA43">
            <v>651.20000000000005</v>
          </cell>
          <cell r="AB43">
            <v>249283</v>
          </cell>
          <cell r="AC43">
            <v>240814</v>
          </cell>
          <cell r="AD43">
            <v>17202.650000000001</v>
          </cell>
          <cell r="AE43">
            <v>15055.33</v>
          </cell>
          <cell r="AF43">
            <v>14.3</v>
          </cell>
          <cell r="AG43">
            <v>37790</v>
          </cell>
          <cell r="AH43">
            <v>21366</v>
          </cell>
        </row>
        <row r="44">
          <cell r="AA44">
            <v>651.20000000000005</v>
          </cell>
          <cell r="AB44">
            <v>249317</v>
          </cell>
          <cell r="AC44">
            <v>240854</v>
          </cell>
          <cell r="AD44">
            <v>17207</v>
          </cell>
          <cell r="AE44">
            <v>15075.68</v>
          </cell>
          <cell r="AF44">
            <v>15.5</v>
          </cell>
          <cell r="AG44">
            <v>37973</v>
          </cell>
          <cell r="AH44">
            <v>21572</v>
          </cell>
        </row>
        <row r="45">
          <cell r="AA45">
            <v>651.20000000000005</v>
          </cell>
          <cell r="AB45">
            <v>249317</v>
          </cell>
          <cell r="AC45">
            <v>240931</v>
          </cell>
          <cell r="AD45">
            <v>17212.77</v>
          </cell>
          <cell r="AE45">
            <v>15096.17</v>
          </cell>
          <cell r="AF45">
            <v>16.5</v>
          </cell>
          <cell r="AG45">
            <v>38141</v>
          </cell>
          <cell r="AH45">
            <v>21738</v>
          </cell>
        </row>
        <row r="46">
          <cell r="AA46">
            <v>651.20000000000005</v>
          </cell>
          <cell r="AB46">
            <v>249336</v>
          </cell>
          <cell r="AC46">
            <v>240938</v>
          </cell>
          <cell r="AD46">
            <v>17219.28</v>
          </cell>
          <cell r="AE46">
            <v>15116.58</v>
          </cell>
          <cell r="AF46">
            <v>17.3</v>
          </cell>
          <cell r="AG46">
            <v>38254</v>
          </cell>
          <cell r="AH46">
            <v>21848</v>
          </cell>
        </row>
        <row r="47">
          <cell r="AA47">
            <v>651.20000000000005</v>
          </cell>
          <cell r="AB47">
            <v>249424</v>
          </cell>
          <cell r="AC47">
            <v>240982</v>
          </cell>
          <cell r="AD47">
            <v>17225.05</v>
          </cell>
          <cell r="AE47">
            <v>15139.01</v>
          </cell>
          <cell r="AF47">
            <v>18.3</v>
          </cell>
          <cell r="AG47">
            <v>38382</v>
          </cell>
          <cell r="AH47">
            <v>22104</v>
          </cell>
        </row>
        <row r="48">
          <cell r="AA48">
            <v>651.20000000000005</v>
          </cell>
          <cell r="AB48">
            <v>249424</v>
          </cell>
          <cell r="AC48">
            <v>241026</v>
          </cell>
          <cell r="AD48">
            <v>17228.689999999999</v>
          </cell>
          <cell r="AE48">
            <v>15162.37</v>
          </cell>
          <cell r="AF48">
            <v>19.2</v>
          </cell>
          <cell r="AG48">
            <v>38513</v>
          </cell>
          <cell r="AH48">
            <v>22219</v>
          </cell>
        </row>
        <row r="49">
          <cell r="AA49">
            <v>651.20000000000005</v>
          </cell>
          <cell r="AB49">
            <v>249489</v>
          </cell>
          <cell r="AC49">
            <v>241078</v>
          </cell>
          <cell r="AD49">
            <v>17230.91</v>
          </cell>
          <cell r="AE49">
            <v>15186.44</v>
          </cell>
          <cell r="AF49">
            <v>20.100000000000001</v>
          </cell>
          <cell r="AG49">
            <v>38592</v>
          </cell>
          <cell r="AH49">
            <v>22425</v>
          </cell>
        </row>
        <row r="50">
          <cell r="AA50">
            <v>651.20000000000005</v>
          </cell>
          <cell r="AB50">
            <v>249545</v>
          </cell>
          <cell r="AC50">
            <v>241078</v>
          </cell>
          <cell r="AD50">
            <v>17233.46</v>
          </cell>
          <cell r="AE50">
            <v>15204.81</v>
          </cell>
          <cell r="AF50">
            <v>21</v>
          </cell>
          <cell r="AG50">
            <v>38709</v>
          </cell>
          <cell r="AH50">
            <v>22538</v>
          </cell>
        </row>
        <row r="51">
          <cell r="AA51">
            <v>651.20000000000005</v>
          </cell>
          <cell r="AB51">
            <v>249591</v>
          </cell>
          <cell r="AC51">
            <v>241101</v>
          </cell>
          <cell r="AD51">
            <v>17235.669999999998</v>
          </cell>
          <cell r="AE51">
            <v>15221.01</v>
          </cell>
          <cell r="AF51">
            <v>21.7</v>
          </cell>
          <cell r="AG51">
            <v>38765</v>
          </cell>
          <cell r="AH51">
            <v>22694</v>
          </cell>
        </row>
        <row r="52">
          <cell r="AA52">
            <v>651.20000000000005</v>
          </cell>
          <cell r="AB52">
            <v>249591</v>
          </cell>
          <cell r="AC52">
            <v>241178</v>
          </cell>
          <cell r="AD52">
            <v>17237.39</v>
          </cell>
          <cell r="AE52">
            <v>15238.38</v>
          </cell>
          <cell r="AF52">
            <v>22.7</v>
          </cell>
          <cell r="AG52">
            <v>38897</v>
          </cell>
          <cell r="AH52">
            <v>22850</v>
          </cell>
        </row>
        <row r="53">
          <cell r="AA53">
            <v>651.20000000000005</v>
          </cell>
          <cell r="AB53">
            <v>249686</v>
          </cell>
          <cell r="AC53">
            <v>241201</v>
          </cell>
          <cell r="AD53">
            <v>17241.18</v>
          </cell>
          <cell r="AE53">
            <v>15259.02</v>
          </cell>
          <cell r="AF53">
            <v>23.7</v>
          </cell>
          <cell r="AG53">
            <v>38982</v>
          </cell>
          <cell r="AH53">
            <v>23104</v>
          </cell>
        </row>
        <row r="54">
          <cell r="AA54">
            <v>651.20000000000005</v>
          </cell>
          <cell r="AB54">
            <v>249731</v>
          </cell>
          <cell r="AC54">
            <v>241250</v>
          </cell>
          <cell r="AD54">
            <v>17245.73</v>
          </cell>
          <cell r="AE54">
            <v>15283.01</v>
          </cell>
          <cell r="AF54">
            <v>25</v>
          </cell>
          <cell r="AG54">
            <v>39109</v>
          </cell>
          <cell r="AH54">
            <v>23260</v>
          </cell>
        </row>
        <row r="55">
          <cell r="AA55">
            <v>651.20000000000005</v>
          </cell>
          <cell r="AB55">
            <v>249731</v>
          </cell>
          <cell r="AC55">
            <v>241316</v>
          </cell>
          <cell r="AD55">
            <v>17247.939999999999</v>
          </cell>
          <cell r="AE55">
            <v>15307.35</v>
          </cell>
          <cell r="AF55">
            <v>26.2</v>
          </cell>
          <cell r="AG55">
            <v>39337</v>
          </cell>
          <cell r="AH55">
            <v>23411</v>
          </cell>
        </row>
        <row r="56">
          <cell r="AA56">
            <v>651.20000000000005</v>
          </cell>
          <cell r="AB56">
            <v>249731</v>
          </cell>
          <cell r="AC56">
            <v>241360</v>
          </cell>
          <cell r="AD56">
            <v>17249.919999999998</v>
          </cell>
          <cell r="AE56">
            <v>15321.32</v>
          </cell>
          <cell r="AF56">
            <v>26.8</v>
          </cell>
          <cell r="AG56">
            <v>39387</v>
          </cell>
          <cell r="AH56">
            <v>23520</v>
          </cell>
        </row>
        <row r="57">
          <cell r="AA57">
            <v>651.20000000000005</v>
          </cell>
          <cell r="AB57">
            <v>249788</v>
          </cell>
          <cell r="AC57">
            <v>241360</v>
          </cell>
          <cell r="AD57">
            <v>17254.52</v>
          </cell>
          <cell r="AE57">
            <v>15342.43</v>
          </cell>
          <cell r="AF57">
            <v>27.6</v>
          </cell>
          <cell r="AG57">
            <v>39480</v>
          </cell>
          <cell r="AH57">
            <v>23635</v>
          </cell>
        </row>
        <row r="58">
          <cell r="AA58">
            <v>651.20000000000005</v>
          </cell>
          <cell r="AB58">
            <v>249841</v>
          </cell>
          <cell r="AC58">
            <v>241360</v>
          </cell>
          <cell r="AD58">
            <v>17258.87</v>
          </cell>
          <cell r="AE58">
            <v>15346.4</v>
          </cell>
          <cell r="AF58">
            <v>28.3</v>
          </cell>
          <cell r="AG58">
            <v>39532</v>
          </cell>
          <cell r="AH58">
            <v>23741</v>
          </cell>
        </row>
        <row r="59">
          <cell r="AA59">
            <v>651.20000000000005</v>
          </cell>
          <cell r="AB59">
            <v>249871</v>
          </cell>
          <cell r="AC59">
            <v>241360</v>
          </cell>
          <cell r="AD59">
            <v>17263.28</v>
          </cell>
          <cell r="AE59">
            <v>15348.53</v>
          </cell>
          <cell r="AF59">
            <v>28.8</v>
          </cell>
          <cell r="AG59">
            <v>39580</v>
          </cell>
          <cell r="AH59">
            <v>23806</v>
          </cell>
        </row>
        <row r="60">
          <cell r="AA60">
            <v>651.20000000000005</v>
          </cell>
          <cell r="AB60">
            <v>249883</v>
          </cell>
          <cell r="AC60">
            <v>241360</v>
          </cell>
          <cell r="AD60">
            <v>17267.36</v>
          </cell>
          <cell r="AE60">
            <v>15349.91</v>
          </cell>
          <cell r="AF60">
            <v>29.2</v>
          </cell>
          <cell r="AG60">
            <v>39580</v>
          </cell>
          <cell r="AH60">
            <v>23829</v>
          </cell>
        </row>
        <row r="61">
          <cell r="AA61">
            <v>651.20000000000005</v>
          </cell>
          <cell r="AB61">
            <v>249883</v>
          </cell>
          <cell r="AC61">
            <v>241384</v>
          </cell>
          <cell r="AD61">
            <v>17272.73</v>
          </cell>
          <cell r="AE61">
            <v>15350.98</v>
          </cell>
          <cell r="AF61">
            <v>30</v>
          </cell>
          <cell r="AG61">
            <v>39674</v>
          </cell>
          <cell r="AH61">
            <v>23964</v>
          </cell>
        </row>
        <row r="62">
          <cell r="AA62">
            <v>651.20000000000005</v>
          </cell>
          <cell r="AB62">
            <v>249883</v>
          </cell>
          <cell r="AC62">
            <v>241384</v>
          </cell>
          <cell r="AD62">
            <v>17274.310000000001</v>
          </cell>
          <cell r="AE62">
            <v>15352.07</v>
          </cell>
          <cell r="AF62">
            <v>30.4</v>
          </cell>
          <cell r="AG62">
            <v>39674</v>
          </cell>
          <cell r="AH62">
            <v>23985</v>
          </cell>
        </row>
        <row r="63">
          <cell r="AA63">
            <v>651.20000000000005</v>
          </cell>
          <cell r="AB63">
            <v>249883</v>
          </cell>
          <cell r="AC63">
            <v>241384</v>
          </cell>
          <cell r="AD63">
            <v>17275.900000000001</v>
          </cell>
          <cell r="AE63">
            <v>15353.25</v>
          </cell>
          <cell r="AF63">
            <v>30.8</v>
          </cell>
          <cell r="AG63">
            <v>39674</v>
          </cell>
          <cell r="AH63">
            <v>24006</v>
          </cell>
        </row>
        <row r="64">
          <cell r="AA64">
            <v>651.20000000000005</v>
          </cell>
          <cell r="AB64">
            <v>249883</v>
          </cell>
          <cell r="AC64">
            <v>241401</v>
          </cell>
          <cell r="AD64">
            <v>17277.759999999998</v>
          </cell>
          <cell r="AE64">
            <v>15354.56</v>
          </cell>
          <cell r="AF64">
            <v>31.2</v>
          </cell>
          <cell r="AG64">
            <v>39674</v>
          </cell>
          <cell r="AH64">
            <v>24071</v>
          </cell>
        </row>
        <row r="65">
          <cell r="AA65">
            <v>651.20000000000005</v>
          </cell>
          <cell r="AB65">
            <v>249883</v>
          </cell>
          <cell r="AC65">
            <v>241421</v>
          </cell>
          <cell r="AD65">
            <v>17282.009999999998</v>
          </cell>
          <cell r="AE65">
            <v>15360</v>
          </cell>
          <cell r="AF65">
            <v>31.9</v>
          </cell>
          <cell r="AG65">
            <v>39758</v>
          </cell>
          <cell r="AH65">
            <v>24137</v>
          </cell>
        </row>
        <row r="66">
          <cell r="AA66">
            <v>651.20000000000005</v>
          </cell>
          <cell r="AB66">
            <v>249883</v>
          </cell>
          <cell r="AC66">
            <v>241438</v>
          </cell>
          <cell r="AD66">
            <v>17285.25</v>
          </cell>
          <cell r="AE66">
            <v>15362.72</v>
          </cell>
          <cell r="AF66">
            <v>32.299999999999997</v>
          </cell>
          <cell r="AG66">
            <v>39758</v>
          </cell>
          <cell r="AH66">
            <v>24158</v>
          </cell>
        </row>
        <row r="67">
          <cell r="AA67">
            <v>651.20000000000005</v>
          </cell>
          <cell r="AB67">
            <v>249922</v>
          </cell>
          <cell r="AC67">
            <v>241438</v>
          </cell>
          <cell r="AD67">
            <v>17289.36</v>
          </cell>
          <cell r="AE67">
            <v>15364.82</v>
          </cell>
          <cell r="AF67">
            <v>32.9</v>
          </cell>
          <cell r="AG67">
            <v>39803</v>
          </cell>
          <cell r="AH67">
            <v>24264</v>
          </cell>
        </row>
        <row r="68">
          <cell r="AA68">
            <v>651.20000000000005</v>
          </cell>
          <cell r="AB68">
            <v>249975</v>
          </cell>
          <cell r="AC68">
            <v>241438</v>
          </cell>
          <cell r="AD68">
            <v>17293.080000000002</v>
          </cell>
          <cell r="AE68">
            <v>15373.54</v>
          </cell>
          <cell r="AF68">
            <v>33.700000000000003</v>
          </cell>
          <cell r="AG68">
            <v>39887</v>
          </cell>
          <cell r="AH68">
            <v>24329</v>
          </cell>
        </row>
        <row r="69">
          <cell r="AA69">
            <v>651.20000000000005</v>
          </cell>
          <cell r="AB69">
            <v>250019</v>
          </cell>
          <cell r="AC69">
            <v>241438</v>
          </cell>
          <cell r="AD69">
            <v>17294.310000000001</v>
          </cell>
          <cell r="AE69">
            <v>15396</v>
          </cell>
          <cell r="AF69">
            <v>34.299999999999997</v>
          </cell>
          <cell r="AG69">
            <v>39933</v>
          </cell>
          <cell r="AH69">
            <v>24471</v>
          </cell>
        </row>
        <row r="70">
          <cell r="AA70">
            <v>651.20000000000005</v>
          </cell>
          <cell r="AB70">
            <v>250042</v>
          </cell>
          <cell r="AC70">
            <v>241460</v>
          </cell>
          <cell r="AD70">
            <v>17295.75</v>
          </cell>
          <cell r="AE70">
            <v>15418.62</v>
          </cell>
          <cell r="AF70">
            <v>35</v>
          </cell>
          <cell r="AG70">
            <v>40020</v>
          </cell>
          <cell r="AH70">
            <v>24575</v>
          </cell>
        </row>
        <row r="71">
          <cell r="AA71">
            <v>651.20000000000005</v>
          </cell>
          <cell r="AB71">
            <v>250095</v>
          </cell>
          <cell r="AC71">
            <v>241507</v>
          </cell>
          <cell r="AD71">
            <v>17300.87</v>
          </cell>
          <cell r="AE71">
            <v>15437.54</v>
          </cell>
          <cell r="AF71">
            <v>35.9</v>
          </cell>
          <cell r="AG71">
            <v>40112</v>
          </cell>
          <cell r="AH71">
            <v>24739</v>
          </cell>
        </row>
        <row r="72">
          <cell r="AA72">
            <v>651.20000000000005</v>
          </cell>
          <cell r="AB72">
            <v>250117</v>
          </cell>
          <cell r="AC72">
            <v>241530</v>
          </cell>
          <cell r="AD72">
            <v>17305.150000000001</v>
          </cell>
          <cell r="AE72">
            <v>15460.88</v>
          </cell>
          <cell r="AF72">
            <v>36.799999999999997</v>
          </cell>
          <cell r="AG72">
            <v>40239</v>
          </cell>
          <cell r="AH72">
            <v>24887</v>
          </cell>
        </row>
        <row r="73">
          <cell r="AA73">
            <v>651.20000000000005</v>
          </cell>
          <cell r="AB73">
            <v>250117</v>
          </cell>
          <cell r="AC73">
            <v>241567</v>
          </cell>
          <cell r="AD73">
            <v>17308.91</v>
          </cell>
          <cell r="AE73">
            <v>15464.39</v>
          </cell>
          <cell r="AF73">
            <v>37.299999999999997</v>
          </cell>
          <cell r="AG73">
            <v>40277</v>
          </cell>
          <cell r="AH73">
            <v>24953</v>
          </cell>
        </row>
        <row r="74">
          <cell r="AA74">
            <v>651.20000000000005</v>
          </cell>
          <cell r="AB74">
            <v>250162</v>
          </cell>
          <cell r="AC74">
            <v>241621</v>
          </cell>
          <cell r="AD74">
            <v>17312.23</v>
          </cell>
          <cell r="AE74">
            <v>15483.72</v>
          </cell>
          <cell r="AF74">
            <v>38.200000000000003</v>
          </cell>
          <cell r="AG74">
            <v>40386</v>
          </cell>
          <cell r="AH74">
            <v>25132</v>
          </cell>
        </row>
        <row r="75">
          <cell r="AA75">
            <v>651.20000000000005</v>
          </cell>
          <cell r="AB75">
            <v>250210</v>
          </cell>
          <cell r="AC75">
            <v>241657</v>
          </cell>
          <cell r="AD75">
            <v>17315.86</v>
          </cell>
          <cell r="AE75">
            <v>15502.87</v>
          </cell>
          <cell r="AF75">
            <v>39.299999999999997</v>
          </cell>
          <cell r="AG75">
            <v>40558</v>
          </cell>
          <cell r="AH75">
            <v>25330</v>
          </cell>
        </row>
        <row r="76">
          <cell r="AA76">
            <v>651.20000000000005</v>
          </cell>
          <cell r="AB76">
            <v>250228</v>
          </cell>
          <cell r="AC76">
            <v>241657</v>
          </cell>
          <cell r="AD76">
            <v>17317.939999999999</v>
          </cell>
          <cell r="AE76">
            <v>15505.48</v>
          </cell>
          <cell r="AF76">
            <v>40.4</v>
          </cell>
          <cell r="AG76">
            <v>40624</v>
          </cell>
          <cell r="AH76">
            <v>25390</v>
          </cell>
        </row>
        <row r="77">
          <cell r="AA77">
            <v>651.20000000000005</v>
          </cell>
          <cell r="AB77">
            <v>250228</v>
          </cell>
          <cell r="AC77">
            <v>241657</v>
          </cell>
          <cell r="AD77">
            <v>17319.439999999999</v>
          </cell>
          <cell r="AE77">
            <v>15507.62</v>
          </cell>
          <cell r="AF77">
            <v>41</v>
          </cell>
          <cell r="AG77">
            <v>40666</v>
          </cell>
          <cell r="AH77">
            <v>25409</v>
          </cell>
        </row>
        <row r="78">
          <cell r="AA78">
            <v>651.20000000000005</v>
          </cell>
          <cell r="AB78">
            <v>250250</v>
          </cell>
          <cell r="AC78">
            <v>241686</v>
          </cell>
          <cell r="AD78">
            <v>17323.77</v>
          </cell>
          <cell r="AE78">
            <v>15514.44</v>
          </cell>
          <cell r="AF78">
            <v>41.7</v>
          </cell>
          <cell r="AG78">
            <v>40745</v>
          </cell>
          <cell r="AH78">
            <v>25524</v>
          </cell>
        </row>
        <row r="79">
          <cell r="AA79">
            <v>651.20000000000005</v>
          </cell>
          <cell r="AB79">
            <v>250250</v>
          </cell>
          <cell r="AC79">
            <v>241725</v>
          </cell>
          <cell r="AD79">
            <v>17328.060000000001</v>
          </cell>
          <cell r="AE79">
            <v>15517.6</v>
          </cell>
          <cell r="AF79">
            <v>42.4</v>
          </cell>
          <cell r="AG79">
            <v>40807</v>
          </cell>
          <cell r="AH79">
            <v>25591</v>
          </cell>
        </row>
        <row r="80">
          <cell r="AA80">
            <v>651.20000000000005</v>
          </cell>
          <cell r="AB80">
            <v>250369</v>
          </cell>
          <cell r="AC80">
            <v>241725</v>
          </cell>
          <cell r="AD80">
            <v>17331.28</v>
          </cell>
          <cell r="AE80">
            <v>15526.17</v>
          </cell>
          <cell r="AF80">
            <v>43.2</v>
          </cell>
          <cell r="AG80">
            <v>40918</v>
          </cell>
          <cell r="AH80">
            <v>25781</v>
          </cell>
        </row>
        <row r="81">
          <cell r="AA81">
            <v>651.20000000000005</v>
          </cell>
          <cell r="AB81">
            <v>250369</v>
          </cell>
          <cell r="AC81">
            <v>241779</v>
          </cell>
          <cell r="AD81">
            <v>17334.93</v>
          </cell>
          <cell r="AE81">
            <v>15534.03</v>
          </cell>
          <cell r="AF81">
            <v>44</v>
          </cell>
          <cell r="AG81">
            <v>40977</v>
          </cell>
          <cell r="AH81">
            <v>25890</v>
          </cell>
        </row>
        <row r="82">
          <cell r="AA82">
            <v>651.20000000000005</v>
          </cell>
          <cell r="AB82">
            <v>250427</v>
          </cell>
          <cell r="AC82">
            <v>241794</v>
          </cell>
          <cell r="AD82">
            <v>17338.419999999998</v>
          </cell>
          <cell r="AE82">
            <v>15536.98</v>
          </cell>
          <cell r="AF82">
            <v>45</v>
          </cell>
          <cell r="AG82">
            <v>41052</v>
          </cell>
          <cell r="AH82">
            <v>26038</v>
          </cell>
        </row>
        <row r="83">
          <cell r="AA83">
            <v>651.20000000000005</v>
          </cell>
          <cell r="AB83">
            <v>250427</v>
          </cell>
          <cell r="AC83">
            <v>241794</v>
          </cell>
          <cell r="AD83">
            <v>17339.47</v>
          </cell>
          <cell r="AE83">
            <v>15539.68</v>
          </cell>
          <cell r="AF83">
            <v>46.1</v>
          </cell>
          <cell r="AG83">
            <v>41052</v>
          </cell>
          <cell r="AH83">
            <v>26058</v>
          </cell>
        </row>
        <row r="84">
          <cell r="AA84">
            <v>651.20000000000005</v>
          </cell>
          <cell r="AB84">
            <v>250427</v>
          </cell>
          <cell r="AC84">
            <v>241794</v>
          </cell>
          <cell r="AD84">
            <v>17340.86</v>
          </cell>
          <cell r="AE84">
            <v>15542.13</v>
          </cell>
          <cell r="AF84">
            <v>46.8</v>
          </cell>
          <cell r="AG84">
            <v>41136</v>
          </cell>
          <cell r="AH84">
            <v>26077</v>
          </cell>
        </row>
        <row r="85">
          <cell r="AA85">
            <v>651.20000000000005</v>
          </cell>
          <cell r="AB85">
            <v>250451</v>
          </cell>
          <cell r="AC85">
            <v>241829</v>
          </cell>
          <cell r="AD85">
            <v>17344.91</v>
          </cell>
          <cell r="AE85">
            <v>15543.87</v>
          </cell>
          <cell r="AF85">
            <v>47.6</v>
          </cell>
          <cell r="AG85">
            <v>41208</v>
          </cell>
          <cell r="AH85">
            <v>26229</v>
          </cell>
        </row>
        <row r="86">
          <cell r="AA86">
            <v>651.20000000000005</v>
          </cell>
          <cell r="AB86">
            <v>250498</v>
          </cell>
          <cell r="AC86">
            <v>241829</v>
          </cell>
          <cell r="AD86">
            <v>17349.29</v>
          </cell>
          <cell r="AE86">
            <v>15544.85</v>
          </cell>
          <cell r="AF86">
            <v>48.3</v>
          </cell>
          <cell r="AG86">
            <v>41272</v>
          </cell>
          <cell r="AH86">
            <v>26317</v>
          </cell>
        </row>
        <row r="87">
          <cell r="AA87">
            <v>651.20000000000005</v>
          </cell>
          <cell r="AB87">
            <v>250498</v>
          </cell>
          <cell r="AC87">
            <v>241829</v>
          </cell>
          <cell r="AD87">
            <v>17353.86</v>
          </cell>
          <cell r="AE87">
            <v>15546.2</v>
          </cell>
          <cell r="AF87">
            <v>49.4</v>
          </cell>
          <cell r="AG87">
            <v>41357</v>
          </cell>
          <cell r="AH87">
            <v>26380</v>
          </cell>
        </row>
        <row r="88">
          <cell r="AA88">
            <v>651.20000000000005</v>
          </cell>
          <cell r="AB88">
            <v>250498</v>
          </cell>
          <cell r="AC88">
            <v>241869</v>
          </cell>
          <cell r="AD88">
            <v>17358.05</v>
          </cell>
          <cell r="AE88">
            <v>15546.95</v>
          </cell>
          <cell r="AF88">
            <v>50.5</v>
          </cell>
          <cell r="AG88">
            <v>41507</v>
          </cell>
          <cell r="AH88">
            <v>26448</v>
          </cell>
        </row>
        <row r="89">
          <cell r="AA89">
            <v>651.20000000000005</v>
          </cell>
          <cell r="AB89">
            <v>250542</v>
          </cell>
          <cell r="AC89">
            <v>241892</v>
          </cell>
          <cell r="AD89">
            <v>17361.32</v>
          </cell>
          <cell r="AE89">
            <v>15547.68</v>
          </cell>
          <cell r="AF89">
            <v>51.4</v>
          </cell>
          <cell r="AG89">
            <v>41633</v>
          </cell>
          <cell r="AH89">
            <v>26599</v>
          </cell>
        </row>
        <row r="90">
          <cell r="AA90">
            <v>651.20000000000005</v>
          </cell>
          <cell r="AB90">
            <v>250542</v>
          </cell>
          <cell r="AC90">
            <v>241892</v>
          </cell>
          <cell r="AD90">
            <v>17363.63</v>
          </cell>
          <cell r="AE90">
            <v>15548.93</v>
          </cell>
          <cell r="AF90">
            <v>52.3</v>
          </cell>
          <cell r="AG90">
            <v>41758</v>
          </cell>
          <cell r="AH90">
            <v>26620</v>
          </cell>
        </row>
        <row r="91">
          <cell r="AA91">
            <v>651.20000000000005</v>
          </cell>
          <cell r="AB91">
            <v>250542</v>
          </cell>
          <cell r="AC91">
            <v>241892</v>
          </cell>
          <cell r="AD91">
            <v>17365.37</v>
          </cell>
          <cell r="AE91">
            <v>15550.31</v>
          </cell>
          <cell r="AF91">
            <v>52.8</v>
          </cell>
          <cell r="AG91">
            <v>41786</v>
          </cell>
          <cell r="AH91">
            <v>26640</v>
          </cell>
        </row>
        <row r="92">
          <cell r="AA92">
            <v>651.20000000000005</v>
          </cell>
          <cell r="AB92">
            <v>250565</v>
          </cell>
          <cell r="AC92">
            <v>241892</v>
          </cell>
          <cell r="AD92">
            <v>17367.54</v>
          </cell>
          <cell r="AE92">
            <v>15551.04</v>
          </cell>
          <cell r="AF92">
            <v>53.2</v>
          </cell>
          <cell r="AG92">
            <v>41800</v>
          </cell>
          <cell r="AH92">
            <v>26701</v>
          </cell>
        </row>
        <row r="93">
          <cell r="AA93">
            <v>651.20000000000005</v>
          </cell>
          <cell r="AB93">
            <v>250573</v>
          </cell>
          <cell r="AC93">
            <v>241892</v>
          </cell>
          <cell r="AD93">
            <v>17369.16</v>
          </cell>
          <cell r="AE93">
            <v>15551.3</v>
          </cell>
          <cell r="AF93">
            <v>53.7</v>
          </cell>
          <cell r="AG93">
            <v>41814</v>
          </cell>
          <cell r="AH93">
            <v>26722</v>
          </cell>
        </row>
        <row r="94">
          <cell r="AA94">
            <v>651.20000000000005</v>
          </cell>
          <cell r="AB94">
            <v>250573</v>
          </cell>
          <cell r="AC94">
            <v>241927</v>
          </cell>
          <cell r="AD94">
            <v>17372.919999999998</v>
          </cell>
          <cell r="AE94">
            <v>15551.53</v>
          </cell>
          <cell r="AF94">
            <v>54.6</v>
          </cell>
          <cell r="AG94">
            <v>41925</v>
          </cell>
          <cell r="AH94">
            <v>26835</v>
          </cell>
        </row>
        <row r="95">
          <cell r="AA95">
            <v>651.20000000000005</v>
          </cell>
          <cell r="AB95">
            <v>250619</v>
          </cell>
          <cell r="AC95">
            <v>241927</v>
          </cell>
          <cell r="AD95">
            <v>17376.78</v>
          </cell>
          <cell r="AE95">
            <v>15551.73</v>
          </cell>
          <cell r="AF95">
            <v>55.6</v>
          </cell>
          <cell r="AG95">
            <v>41990</v>
          </cell>
          <cell r="AH95">
            <v>26967</v>
          </cell>
        </row>
        <row r="96">
          <cell r="AA96">
            <v>651.20000000000005</v>
          </cell>
          <cell r="AB96">
            <v>250669</v>
          </cell>
          <cell r="AC96">
            <v>241927</v>
          </cell>
          <cell r="AD96">
            <v>17380.830000000002</v>
          </cell>
          <cell r="AE96">
            <v>15552.1</v>
          </cell>
          <cell r="AF96">
            <v>56.6</v>
          </cell>
          <cell r="AG96">
            <v>42091</v>
          </cell>
          <cell r="AH96">
            <v>27037</v>
          </cell>
        </row>
        <row r="97">
          <cell r="AA97">
            <v>651.20000000000005</v>
          </cell>
          <cell r="AB97">
            <v>250669</v>
          </cell>
          <cell r="AC97">
            <v>241927</v>
          </cell>
          <cell r="AD97">
            <v>17382.29</v>
          </cell>
          <cell r="AE97">
            <v>15552.43</v>
          </cell>
          <cell r="AF97">
            <v>57.5</v>
          </cell>
          <cell r="AG97">
            <v>42182</v>
          </cell>
          <cell r="AH97">
            <v>27058</v>
          </cell>
        </row>
        <row r="98">
          <cell r="AA98">
            <v>651.20000000000005</v>
          </cell>
          <cell r="AB98">
            <v>250682</v>
          </cell>
          <cell r="AC98">
            <v>241927</v>
          </cell>
          <cell r="AD98">
            <v>17384.09</v>
          </cell>
          <cell r="AE98">
            <v>15553.09</v>
          </cell>
          <cell r="AF98">
            <v>57.9</v>
          </cell>
          <cell r="AG98">
            <v>42182</v>
          </cell>
          <cell r="AH98">
            <v>27124</v>
          </cell>
        </row>
        <row r="99">
          <cell r="AA99">
            <v>651.20000000000005</v>
          </cell>
          <cell r="AB99">
            <v>250695</v>
          </cell>
          <cell r="AC99">
            <v>241954</v>
          </cell>
          <cell r="AD99">
            <v>17387.95</v>
          </cell>
          <cell r="AE99">
            <v>15553.64</v>
          </cell>
          <cell r="AF99">
            <v>58.7</v>
          </cell>
          <cell r="AG99">
            <v>42256</v>
          </cell>
          <cell r="AH99">
            <v>27200</v>
          </cell>
        </row>
        <row r="100">
          <cell r="AA100">
            <v>651.20000000000005</v>
          </cell>
          <cell r="AB100">
            <v>250695</v>
          </cell>
          <cell r="AC100">
            <v>242009</v>
          </cell>
          <cell r="AD100">
            <v>17392.349999999999</v>
          </cell>
          <cell r="AE100">
            <v>15559.19</v>
          </cell>
          <cell r="AF100">
            <v>59.4</v>
          </cell>
          <cell r="AG100">
            <v>42316</v>
          </cell>
          <cell r="AH100">
            <v>27280</v>
          </cell>
        </row>
        <row r="101">
          <cell r="AA101"/>
          <cell r="AB101"/>
          <cell r="AC101"/>
          <cell r="AD101"/>
          <cell r="AE101"/>
          <cell r="AF101"/>
          <cell r="AG101"/>
          <cell r="AH101"/>
        </row>
        <row r="102">
          <cell r="AA102"/>
          <cell r="AB102"/>
          <cell r="AC102"/>
          <cell r="AD102"/>
          <cell r="AE102"/>
          <cell r="AF102"/>
          <cell r="AG102"/>
          <cell r="AH102"/>
        </row>
        <row r="103">
          <cell r="AA103"/>
          <cell r="AB103"/>
          <cell r="AC103"/>
          <cell r="AD103"/>
          <cell r="AE103"/>
          <cell r="AF103"/>
          <cell r="AG103"/>
          <cell r="AH103"/>
        </row>
        <row r="104">
          <cell r="AA104"/>
          <cell r="AB104"/>
          <cell r="AC104"/>
          <cell r="AD104"/>
          <cell r="AE104"/>
          <cell r="AF104"/>
          <cell r="AG104"/>
          <cell r="AH104"/>
        </row>
        <row r="105">
          <cell r="AA105"/>
          <cell r="AB105"/>
          <cell r="AC105"/>
          <cell r="AD105"/>
          <cell r="AE105"/>
          <cell r="AF105"/>
          <cell r="AG105"/>
          <cell r="AH105"/>
        </row>
        <row r="106">
          <cell r="AA106"/>
          <cell r="AB106"/>
          <cell r="AC106"/>
          <cell r="AD106"/>
          <cell r="AE106"/>
          <cell r="AF106"/>
          <cell r="AG106"/>
          <cell r="AH106"/>
        </row>
        <row r="107">
          <cell r="AA107"/>
          <cell r="AB107"/>
          <cell r="AC107"/>
          <cell r="AD107"/>
          <cell r="AE107"/>
          <cell r="AF107"/>
          <cell r="AG107"/>
          <cell r="AH107"/>
        </row>
        <row r="108">
          <cell r="AA108"/>
          <cell r="AB108"/>
          <cell r="AC108"/>
          <cell r="AD108"/>
          <cell r="AE108"/>
          <cell r="AF108"/>
          <cell r="AG108"/>
          <cell r="AH108"/>
        </row>
        <row r="109">
          <cell r="AA109"/>
          <cell r="AB109"/>
          <cell r="AC109"/>
          <cell r="AD109"/>
          <cell r="AE109"/>
          <cell r="AF109"/>
          <cell r="AG109"/>
          <cell r="AH109"/>
        </row>
        <row r="110">
          <cell r="AA110"/>
          <cell r="AB110"/>
          <cell r="AC110"/>
          <cell r="AD110"/>
          <cell r="AE110"/>
          <cell r="AF110"/>
          <cell r="AG110"/>
          <cell r="AH110"/>
        </row>
        <row r="111">
          <cell r="AA111"/>
          <cell r="AB111"/>
          <cell r="AC111"/>
          <cell r="AD111"/>
          <cell r="AE111"/>
          <cell r="AF111"/>
          <cell r="AG111"/>
          <cell r="AH111"/>
        </row>
        <row r="112">
          <cell r="AA112"/>
          <cell r="AB112"/>
          <cell r="AC112"/>
          <cell r="AD112"/>
          <cell r="AE112"/>
          <cell r="AF112"/>
          <cell r="AG112"/>
          <cell r="AH112"/>
        </row>
        <row r="113">
          <cell r="AA113"/>
          <cell r="AB113"/>
          <cell r="AC113"/>
          <cell r="AD113"/>
          <cell r="AE113"/>
          <cell r="AF113"/>
          <cell r="AG113"/>
          <cell r="AH113"/>
        </row>
        <row r="114">
          <cell r="AA114"/>
          <cell r="AB114"/>
          <cell r="AC114"/>
          <cell r="AD114"/>
          <cell r="AE114"/>
          <cell r="AF114"/>
          <cell r="AG114"/>
          <cell r="AH114"/>
        </row>
        <row r="115">
          <cell r="AA115"/>
          <cell r="AB115"/>
          <cell r="AC115"/>
          <cell r="AD115"/>
          <cell r="AE115"/>
          <cell r="AF115"/>
          <cell r="AG115"/>
          <cell r="AH115"/>
        </row>
        <row r="116">
          <cell r="AA116"/>
          <cell r="AB116"/>
          <cell r="AC116"/>
          <cell r="AD116"/>
          <cell r="AE116"/>
          <cell r="AF116"/>
          <cell r="AG116"/>
          <cell r="AH116"/>
        </row>
        <row r="117">
          <cell r="AA117"/>
          <cell r="AB117"/>
          <cell r="AC117"/>
          <cell r="AD117"/>
          <cell r="AE117"/>
          <cell r="AF117"/>
          <cell r="AG117"/>
          <cell r="AH117"/>
        </row>
        <row r="118">
          <cell r="AA118"/>
          <cell r="AB118"/>
          <cell r="AC118"/>
          <cell r="AD118"/>
          <cell r="AE118"/>
          <cell r="AF118"/>
          <cell r="AG118"/>
          <cell r="AH118"/>
        </row>
        <row r="119">
          <cell r="AA119"/>
          <cell r="AB119"/>
          <cell r="AC119"/>
          <cell r="AD119"/>
          <cell r="AE119"/>
          <cell r="AF119"/>
          <cell r="AG119"/>
          <cell r="AH119"/>
        </row>
        <row r="120">
          <cell r="AA120"/>
          <cell r="AB120"/>
          <cell r="AC120"/>
          <cell r="AD120"/>
          <cell r="AE120"/>
          <cell r="AF120"/>
          <cell r="AG120"/>
          <cell r="AH120"/>
        </row>
        <row r="121">
          <cell r="AA121"/>
          <cell r="AB121"/>
          <cell r="AC121"/>
          <cell r="AD121"/>
          <cell r="AE121"/>
          <cell r="AF121"/>
          <cell r="AG121"/>
          <cell r="AH121"/>
        </row>
        <row r="122">
          <cell r="AA122"/>
          <cell r="AB122"/>
          <cell r="AC122"/>
          <cell r="AD122"/>
          <cell r="AE122"/>
          <cell r="AF122"/>
          <cell r="AG122"/>
          <cell r="AH122"/>
        </row>
        <row r="123">
          <cell r="AA123"/>
          <cell r="AB123"/>
          <cell r="AC123"/>
          <cell r="AD123"/>
          <cell r="AE123"/>
          <cell r="AF123"/>
          <cell r="AG123"/>
          <cell r="AH123"/>
        </row>
        <row r="124">
          <cell r="AA124"/>
          <cell r="AB124"/>
          <cell r="AC124"/>
          <cell r="AD124"/>
          <cell r="AE124"/>
          <cell r="AF124"/>
          <cell r="AG124"/>
          <cell r="AH124"/>
        </row>
        <row r="125">
          <cell r="AA125"/>
          <cell r="AB125"/>
          <cell r="AC125"/>
          <cell r="AD125"/>
          <cell r="AE125"/>
          <cell r="AF125"/>
          <cell r="AG125"/>
          <cell r="AH125"/>
        </row>
        <row r="126">
          <cell r="AA126"/>
          <cell r="AB126"/>
          <cell r="AC126"/>
          <cell r="AD126"/>
          <cell r="AE126"/>
          <cell r="AF126"/>
          <cell r="AG126"/>
          <cell r="AH126"/>
        </row>
        <row r="127">
          <cell r="AA127"/>
          <cell r="AB127"/>
          <cell r="AC127"/>
          <cell r="AD127"/>
          <cell r="AE127"/>
          <cell r="AF127"/>
          <cell r="AG127"/>
          <cell r="AH127"/>
        </row>
        <row r="128">
          <cell r="AA128"/>
          <cell r="AB128"/>
          <cell r="AC128"/>
          <cell r="AD128"/>
          <cell r="AE128"/>
          <cell r="AF128"/>
          <cell r="AG128"/>
          <cell r="AH128"/>
        </row>
        <row r="129">
          <cell r="AA129"/>
          <cell r="AB129"/>
          <cell r="AC129"/>
          <cell r="AD129"/>
          <cell r="AE129"/>
          <cell r="AF129"/>
          <cell r="AG129"/>
          <cell r="AH129"/>
        </row>
        <row r="130">
          <cell r="AA130"/>
          <cell r="AB130"/>
          <cell r="AC130"/>
          <cell r="AD130"/>
          <cell r="AE130"/>
          <cell r="AF130"/>
          <cell r="AG130"/>
          <cell r="AH130"/>
        </row>
        <row r="131">
          <cell r="AA131"/>
          <cell r="AB131"/>
          <cell r="AC131"/>
          <cell r="AD131"/>
          <cell r="AE131"/>
          <cell r="AF131"/>
          <cell r="AG131"/>
          <cell r="AH131"/>
        </row>
        <row r="132">
          <cell r="AA132"/>
          <cell r="AB132"/>
          <cell r="AC132"/>
          <cell r="AD132"/>
          <cell r="AE132"/>
          <cell r="AF132"/>
          <cell r="AG132"/>
          <cell r="AH132"/>
        </row>
        <row r="133">
          <cell r="AA133"/>
          <cell r="AB133"/>
          <cell r="AC133"/>
          <cell r="AD133"/>
          <cell r="AE133"/>
          <cell r="AF133"/>
          <cell r="AG133"/>
          <cell r="AH133"/>
        </row>
        <row r="134">
          <cell r="AA134"/>
          <cell r="AB134"/>
          <cell r="AC134"/>
          <cell r="AD134"/>
          <cell r="AE134"/>
          <cell r="AF134"/>
          <cell r="AG134"/>
          <cell r="AH134"/>
        </row>
        <row r="135">
          <cell r="AA135"/>
          <cell r="AB135"/>
          <cell r="AC135"/>
          <cell r="AD135"/>
          <cell r="AE135"/>
          <cell r="AF135"/>
          <cell r="AG135"/>
          <cell r="AH135"/>
        </row>
        <row r="136">
          <cell r="AA136"/>
          <cell r="AB136"/>
          <cell r="AC136"/>
          <cell r="AD136"/>
          <cell r="AE136"/>
          <cell r="AF136"/>
          <cell r="AG136"/>
          <cell r="AH136"/>
        </row>
        <row r="137">
          <cell r="AA137"/>
          <cell r="AB137"/>
          <cell r="AC137"/>
          <cell r="AD137"/>
          <cell r="AE137"/>
          <cell r="AF137"/>
          <cell r="AG137"/>
          <cell r="AH137"/>
        </row>
        <row r="138">
          <cell r="AA138"/>
          <cell r="AB138"/>
          <cell r="AC138"/>
          <cell r="AD138"/>
          <cell r="AE138"/>
          <cell r="AF138"/>
          <cell r="AG138"/>
          <cell r="AH138"/>
        </row>
        <row r="139">
          <cell r="AA139"/>
          <cell r="AB139"/>
          <cell r="AC139"/>
          <cell r="AD139"/>
          <cell r="AE139"/>
          <cell r="AF139"/>
          <cell r="AG139"/>
          <cell r="AH139"/>
        </row>
        <row r="140">
          <cell r="AA140"/>
          <cell r="AB140"/>
          <cell r="AC140"/>
          <cell r="AD140"/>
          <cell r="AE140"/>
          <cell r="AF140"/>
          <cell r="AG140"/>
          <cell r="AH140"/>
        </row>
        <row r="141">
          <cell r="AA141"/>
          <cell r="AB141"/>
          <cell r="AC141"/>
          <cell r="AD141"/>
          <cell r="AE141"/>
          <cell r="AF141"/>
          <cell r="AG141"/>
          <cell r="AH141"/>
        </row>
        <row r="142">
          <cell r="AA142"/>
          <cell r="AB142"/>
          <cell r="AC142"/>
          <cell r="AD142"/>
          <cell r="AE142"/>
          <cell r="AF142"/>
          <cell r="AG142"/>
          <cell r="AH142"/>
        </row>
        <row r="143">
          <cell r="AA143"/>
          <cell r="AB143"/>
          <cell r="AC143"/>
          <cell r="AD143"/>
          <cell r="AE143"/>
          <cell r="AF143"/>
          <cell r="AG143"/>
          <cell r="AH143"/>
        </row>
        <row r="144">
          <cell r="AA144"/>
          <cell r="AB144"/>
          <cell r="AC144"/>
          <cell r="AD144"/>
          <cell r="AE144"/>
          <cell r="AF144"/>
          <cell r="AG144"/>
          <cell r="AH144"/>
        </row>
        <row r="145">
          <cell r="AA145"/>
          <cell r="AB145"/>
          <cell r="AC145"/>
          <cell r="AD145"/>
          <cell r="AE145"/>
          <cell r="AF145"/>
          <cell r="AG145"/>
          <cell r="AH145"/>
        </row>
        <row r="146">
          <cell r="AA146"/>
          <cell r="AB146"/>
          <cell r="AC146"/>
          <cell r="AD146"/>
          <cell r="AE146"/>
          <cell r="AF146"/>
          <cell r="AG146"/>
          <cell r="AH146"/>
        </row>
        <row r="147">
          <cell r="AA147"/>
          <cell r="AB147"/>
          <cell r="AC147"/>
          <cell r="AD147"/>
          <cell r="AE147"/>
          <cell r="AF147"/>
          <cell r="AG147"/>
          <cell r="AH147"/>
        </row>
        <row r="148">
          <cell r="AA148"/>
          <cell r="AB148"/>
          <cell r="AC148"/>
          <cell r="AD148"/>
          <cell r="AE148"/>
          <cell r="AF148"/>
          <cell r="AG148"/>
          <cell r="AH148"/>
        </row>
        <row r="149">
          <cell r="AA149"/>
          <cell r="AB149"/>
          <cell r="AC149"/>
          <cell r="AD149"/>
          <cell r="AE149"/>
          <cell r="AF149"/>
          <cell r="AG149"/>
          <cell r="AH149"/>
        </row>
        <row r="150">
          <cell r="AA150"/>
          <cell r="AB150"/>
          <cell r="AC150"/>
          <cell r="AD150"/>
          <cell r="AE150"/>
          <cell r="AF150"/>
          <cell r="AG150"/>
          <cell r="AH150"/>
        </row>
        <row r="151">
          <cell r="AA151"/>
          <cell r="AB151"/>
          <cell r="AC151"/>
          <cell r="AD151"/>
          <cell r="AE151"/>
          <cell r="AF151"/>
          <cell r="AG151"/>
          <cell r="AH151"/>
        </row>
        <row r="152">
          <cell r="AA152"/>
          <cell r="AB152"/>
          <cell r="AC152"/>
          <cell r="AD152"/>
          <cell r="AE152"/>
          <cell r="AF152"/>
          <cell r="AG152"/>
          <cell r="AH152"/>
        </row>
        <row r="153">
          <cell r="AA153"/>
          <cell r="AB153"/>
          <cell r="AC153"/>
          <cell r="AD153"/>
          <cell r="AE153"/>
          <cell r="AF153"/>
          <cell r="AG153"/>
          <cell r="AH153"/>
        </row>
        <row r="154">
          <cell r="AA154"/>
          <cell r="AB154"/>
          <cell r="AC154"/>
          <cell r="AD154"/>
          <cell r="AE154"/>
          <cell r="AF154"/>
          <cell r="AG154"/>
          <cell r="AH154"/>
        </row>
        <row r="155">
          <cell r="AA155"/>
          <cell r="AB155"/>
          <cell r="AC155"/>
          <cell r="AD155"/>
          <cell r="AE155"/>
          <cell r="AF155"/>
          <cell r="AG155"/>
          <cell r="AH155"/>
        </row>
        <row r="156">
          <cell r="AA156"/>
          <cell r="AB156"/>
          <cell r="AC156"/>
          <cell r="AD156"/>
          <cell r="AE156"/>
          <cell r="AF156"/>
          <cell r="AG156"/>
          <cell r="AH156"/>
        </row>
        <row r="157">
          <cell r="AA157"/>
          <cell r="AB157"/>
          <cell r="AC157"/>
          <cell r="AD157"/>
          <cell r="AE157"/>
          <cell r="AF157"/>
          <cell r="AG157"/>
          <cell r="AH157"/>
        </row>
        <row r="158">
          <cell r="AA158"/>
          <cell r="AB158"/>
          <cell r="AC158"/>
          <cell r="AD158"/>
          <cell r="AE158"/>
          <cell r="AF158"/>
          <cell r="AG158"/>
          <cell r="AH158"/>
        </row>
        <row r="159">
          <cell r="AA159"/>
          <cell r="AB159"/>
          <cell r="AC159"/>
          <cell r="AD159"/>
          <cell r="AE159"/>
          <cell r="AF159"/>
          <cell r="AG159"/>
          <cell r="AH159"/>
        </row>
        <row r="160">
          <cell r="AA160"/>
          <cell r="AB160"/>
          <cell r="AC160"/>
          <cell r="AD160"/>
          <cell r="AE160"/>
          <cell r="AF160"/>
          <cell r="AG160"/>
          <cell r="AH160"/>
        </row>
        <row r="161">
          <cell r="AA161"/>
          <cell r="AB161"/>
          <cell r="AC161"/>
          <cell r="AD161"/>
          <cell r="AE161"/>
          <cell r="AF161"/>
          <cell r="AG161"/>
          <cell r="AH161"/>
        </row>
        <row r="162">
          <cell r="AA162"/>
          <cell r="AB162"/>
          <cell r="AC162"/>
          <cell r="AD162"/>
          <cell r="AE162"/>
          <cell r="AF162"/>
          <cell r="AG162"/>
          <cell r="AH162"/>
        </row>
        <row r="163">
          <cell r="AA163"/>
          <cell r="AB163"/>
          <cell r="AC163"/>
          <cell r="AD163"/>
          <cell r="AE163"/>
          <cell r="AF163"/>
          <cell r="AG163"/>
          <cell r="AH163"/>
        </row>
        <row r="164">
          <cell r="AA164"/>
          <cell r="AB164"/>
          <cell r="AC164"/>
          <cell r="AD164"/>
          <cell r="AE164"/>
          <cell r="AF164"/>
          <cell r="AG164"/>
          <cell r="AH164"/>
        </row>
        <row r="165">
          <cell r="AA165"/>
          <cell r="AB165"/>
          <cell r="AC165"/>
          <cell r="AD165"/>
          <cell r="AE165"/>
          <cell r="AF165"/>
          <cell r="AG165"/>
          <cell r="AH165"/>
        </row>
        <row r="166">
          <cell r="AA166"/>
          <cell r="AB166"/>
          <cell r="AC166"/>
          <cell r="AD166"/>
          <cell r="AE166"/>
          <cell r="AF166"/>
          <cell r="AG166"/>
          <cell r="AH166"/>
        </row>
        <row r="167">
          <cell r="AA167"/>
          <cell r="AB167"/>
          <cell r="AC167"/>
          <cell r="AD167"/>
          <cell r="AE167"/>
          <cell r="AF167"/>
          <cell r="AG167"/>
          <cell r="AH167"/>
        </row>
        <row r="168">
          <cell r="AA168"/>
          <cell r="AB168"/>
          <cell r="AC168"/>
          <cell r="AD168"/>
          <cell r="AE168"/>
          <cell r="AF168"/>
          <cell r="AG168"/>
          <cell r="AH168"/>
        </row>
        <row r="169">
          <cell r="AA169"/>
          <cell r="AB169"/>
          <cell r="AC169"/>
          <cell r="AD169"/>
          <cell r="AE169"/>
          <cell r="AF169"/>
          <cell r="AG169"/>
          <cell r="AH169"/>
        </row>
        <row r="170">
          <cell r="AA170"/>
          <cell r="AB170"/>
          <cell r="AC170"/>
          <cell r="AD170"/>
          <cell r="AE170"/>
          <cell r="AF170"/>
          <cell r="AG170"/>
          <cell r="AH170"/>
        </row>
        <row r="171">
          <cell r="AA171"/>
          <cell r="AB171"/>
          <cell r="AC171"/>
          <cell r="AD171"/>
          <cell r="AE171"/>
          <cell r="AF171"/>
          <cell r="AG171"/>
          <cell r="AH171"/>
        </row>
        <row r="172">
          <cell r="AA172"/>
          <cell r="AB172"/>
          <cell r="AC172"/>
          <cell r="AD172"/>
          <cell r="AE172"/>
          <cell r="AF172"/>
          <cell r="AG172"/>
          <cell r="AH172"/>
        </row>
        <row r="173">
          <cell r="AA173"/>
          <cell r="AB173"/>
          <cell r="AC173"/>
          <cell r="AD173"/>
          <cell r="AE173"/>
          <cell r="AF173"/>
          <cell r="AG173"/>
          <cell r="AH173"/>
        </row>
        <row r="174">
          <cell r="AA174"/>
          <cell r="AB174"/>
          <cell r="AC174"/>
          <cell r="AD174"/>
          <cell r="AE174"/>
          <cell r="AF174"/>
          <cell r="AG174"/>
          <cell r="AH174"/>
        </row>
        <row r="175">
          <cell r="AA175"/>
          <cell r="AB175"/>
          <cell r="AC175"/>
          <cell r="AD175"/>
          <cell r="AE175"/>
          <cell r="AF175"/>
          <cell r="AG175"/>
          <cell r="AH175"/>
        </row>
        <row r="176">
          <cell r="AA176"/>
          <cell r="AB176"/>
          <cell r="AC176"/>
          <cell r="AD176"/>
          <cell r="AE176"/>
          <cell r="AF176"/>
          <cell r="AG176"/>
          <cell r="AH176"/>
        </row>
        <row r="177">
          <cell r="AA177"/>
          <cell r="AB177"/>
          <cell r="AC177"/>
          <cell r="AD177"/>
          <cell r="AE177"/>
          <cell r="AF177"/>
          <cell r="AG177"/>
          <cell r="AH177"/>
        </row>
        <row r="178">
          <cell r="AA178"/>
          <cell r="AB178"/>
          <cell r="AC178"/>
          <cell r="AD178"/>
          <cell r="AE178"/>
          <cell r="AF178"/>
          <cell r="AG178"/>
          <cell r="AH178"/>
        </row>
        <row r="179">
          <cell r="AA179"/>
          <cell r="AB179"/>
          <cell r="AC179"/>
          <cell r="AD179"/>
          <cell r="AE179"/>
          <cell r="AF179"/>
          <cell r="AG179"/>
          <cell r="AH179"/>
        </row>
        <row r="180">
          <cell r="AA180"/>
          <cell r="AB180"/>
          <cell r="AC180"/>
          <cell r="AD180"/>
          <cell r="AE180"/>
          <cell r="AF180"/>
          <cell r="AG180"/>
          <cell r="AH180"/>
        </row>
        <row r="181">
          <cell r="AA181"/>
          <cell r="AB181"/>
          <cell r="AC181"/>
          <cell r="AD181"/>
          <cell r="AE181"/>
          <cell r="AF181"/>
          <cell r="AG181"/>
          <cell r="AH181"/>
        </row>
        <row r="182">
          <cell r="AA182"/>
          <cell r="AB182"/>
          <cell r="AC182"/>
          <cell r="AD182"/>
          <cell r="AE182"/>
          <cell r="AF182"/>
          <cell r="AG182"/>
          <cell r="AH182"/>
        </row>
        <row r="183">
          <cell r="AA183"/>
          <cell r="AB183"/>
          <cell r="AC183"/>
          <cell r="AD183"/>
          <cell r="AE183"/>
          <cell r="AF183"/>
          <cell r="AG183"/>
          <cell r="AH183"/>
        </row>
        <row r="184">
          <cell r="AA184"/>
          <cell r="AB184"/>
          <cell r="AC184"/>
          <cell r="AD184"/>
          <cell r="AE184"/>
          <cell r="AF184"/>
          <cell r="AG184"/>
          <cell r="AH184"/>
        </row>
        <row r="185">
          <cell r="AA185"/>
          <cell r="AB185"/>
          <cell r="AC185"/>
          <cell r="AD185"/>
          <cell r="AE185"/>
          <cell r="AF185"/>
          <cell r="AG185"/>
          <cell r="AH185"/>
        </row>
        <row r="186">
          <cell r="AA186"/>
          <cell r="AB186"/>
          <cell r="AC186"/>
          <cell r="AD186"/>
          <cell r="AE186"/>
          <cell r="AF186"/>
          <cell r="AG186"/>
          <cell r="AH186"/>
        </row>
        <row r="187">
          <cell r="AA187"/>
          <cell r="AB187"/>
          <cell r="AC187"/>
          <cell r="AD187"/>
          <cell r="AE187"/>
          <cell r="AF187"/>
          <cell r="AG187"/>
          <cell r="AH187"/>
        </row>
        <row r="188">
          <cell r="AA188"/>
          <cell r="AB188"/>
          <cell r="AC188"/>
          <cell r="AD188"/>
          <cell r="AE188"/>
          <cell r="AF188"/>
          <cell r="AG188"/>
          <cell r="AH188"/>
        </row>
        <row r="189">
          <cell r="AA189"/>
          <cell r="AB189"/>
          <cell r="AC189"/>
          <cell r="AD189"/>
          <cell r="AE189"/>
          <cell r="AF189"/>
          <cell r="AG189"/>
          <cell r="AH189"/>
        </row>
        <row r="190">
          <cell r="AA190"/>
          <cell r="AB190"/>
          <cell r="AC190"/>
          <cell r="AD190"/>
          <cell r="AE190"/>
          <cell r="AF190"/>
          <cell r="AG190"/>
          <cell r="AH190"/>
        </row>
        <row r="191">
          <cell r="AA191"/>
          <cell r="AB191"/>
          <cell r="AC191"/>
          <cell r="AD191"/>
          <cell r="AE191"/>
          <cell r="AF191"/>
          <cell r="AG191"/>
          <cell r="AH191"/>
        </row>
        <row r="192">
          <cell r="AA192"/>
          <cell r="AB192"/>
          <cell r="AC192"/>
          <cell r="AD192"/>
          <cell r="AE192"/>
          <cell r="AF192"/>
          <cell r="AG192"/>
          <cell r="AH192"/>
        </row>
        <row r="193">
          <cell r="AA193"/>
          <cell r="AB193"/>
          <cell r="AC193"/>
          <cell r="AD193"/>
          <cell r="AE193"/>
          <cell r="AF193"/>
          <cell r="AG193"/>
          <cell r="AH193"/>
        </row>
        <row r="194">
          <cell r="AA194"/>
          <cell r="AB194"/>
          <cell r="AC194"/>
          <cell r="AD194"/>
          <cell r="AE194"/>
          <cell r="AF194"/>
          <cell r="AG194"/>
          <cell r="AH194"/>
        </row>
        <row r="195">
          <cell r="AA195"/>
          <cell r="AB195"/>
          <cell r="AC195"/>
          <cell r="AD195"/>
          <cell r="AE195"/>
          <cell r="AF195"/>
          <cell r="AG195"/>
          <cell r="AH195"/>
        </row>
        <row r="196">
          <cell r="AA196"/>
          <cell r="AB196"/>
          <cell r="AC196"/>
          <cell r="AD196"/>
          <cell r="AE196"/>
          <cell r="AF196"/>
          <cell r="AG196"/>
          <cell r="AH196"/>
        </row>
        <row r="197">
          <cell r="AA197"/>
          <cell r="AB197"/>
          <cell r="AC197"/>
          <cell r="AD197"/>
          <cell r="AE197"/>
          <cell r="AF197"/>
          <cell r="AG197"/>
          <cell r="AH197"/>
        </row>
        <row r="198">
          <cell r="AA198"/>
          <cell r="AB198"/>
          <cell r="AC198"/>
          <cell r="AD198"/>
          <cell r="AE198"/>
          <cell r="AF198"/>
          <cell r="AG198"/>
          <cell r="AH198"/>
        </row>
        <row r="199">
          <cell r="AA199"/>
          <cell r="AB199"/>
          <cell r="AC199"/>
          <cell r="AD199"/>
          <cell r="AE199"/>
          <cell r="AF199"/>
          <cell r="AG199"/>
          <cell r="AH199"/>
        </row>
        <row r="200">
          <cell r="AA200"/>
          <cell r="AB200"/>
          <cell r="AC200"/>
          <cell r="AD200"/>
          <cell r="AE200"/>
          <cell r="AF200"/>
          <cell r="AG200"/>
          <cell r="AH200"/>
        </row>
        <row r="201">
          <cell r="AA201"/>
          <cell r="AB201"/>
          <cell r="AC201"/>
          <cell r="AD201"/>
          <cell r="AE201"/>
          <cell r="AF201"/>
          <cell r="AG201"/>
          <cell r="AH201"/>
        </row>
        <row r="202">
          <cell r="AA202"/>
          <cell r="AB202"/>
          <cell r="AC202"/>
          <cell r="AD202"/>
          <cell r="AE202"/>
          <cell r="AF202"/>
          <cell r="AG202"/>
          <cell r="AH202"/>
        </row>
        <row r="203">
          <cell r="AA203"/>
          <cell r="AB203"/>
          <cell r="AC203"/>
          <cell r="AD203"/>
          <cell r="AE203"/>
          <cell r="AF203"/>
          <cell r="AG203"/>
          <cell r="AH203"/>
        </row>
        <row r="204">
          <cell r="AA204"/>
          <cell r="AB204"/>
          <cell r="AC204"/>
          <cell r="AD204"/>
          <cell r="AE204"/>
          <cell r="AF204"/>
          <cell r="AG204"/>
          <cell r="AH204"/>
        </row>
        <row r="205">
          <cell r="AA205"/>
          <cell r="AB205"/>
          <cell r="AC205"/>
          <cell r="AD205"/>
          <cell r="AE205"/>
          <cell r="AF205"/>
          <cell r="AG205"/>
          <cell r="AH205"/>
        </row>
        <row r="206">
          <cell r="AA206"/>
          <cell r="AB206"/>
          <cell r="AC206"/>
          <cell r="AD206"/>
          <cell r="AE206"/>
          <cell r="AF206"/>
          <cell r="AG206"/>
          <cell r="AH206"/>
        </row>
        <row r="207">
          <cell r="AA207"/>
          <cell r="AB207"/>
          <cell r="AC207"/>
          <cell r="AD207"/>
          <cell r="AE207"/>
          <cell r="AF207"/>
          <cell r="AG207"/>
          <cell r="AH207"/>
        </row>
        <row r="208">
          <cell r="AA208"/>
          <cell r="AB208"/>
          <cell r="AC208"/>
          <cell r="AD208"/>
          <cell r="AE208"/>
          <cell r="AF208"/>
          <cell r="AG208"/>
          <cell r="AH208"/>
        </row>
        <row r="209">
          <cell r="AA209"/>
          <cell r="AB209"/>
          <cell r="AC209"/>
          <cell r="AD209"/>
          <cell r="AE209"/>
          <cell r="AF209"/>
          <cell r="AG209"/>
          <cell r="AH209"/>
        </row>
        <row r="210">
          <cell r="AA210"/>
          <cell r="AB210"/>
          <cell r="AC210"/>
          <cell r="AD210"/>
          <cell r="AE210"/>
          <cell r="AF210"/>
          <cell r="AG210"/>
          <cell r="AH210"/>
        </row>
        <row r="211">
          <cell r="AA211"/>
          <cell r="AB211"/>
          <cell r="AC211"/>
          <cell r="AD211"/>
          <cell r="AE211"/>
          <cell r="AF211"/>
          <cell r="AG211"/>
          <cell r="AH211"/>
        </row>
        <row r="212">
          <cell r="AA212"/>
          <cell r="AB212"/>
          <cell r="AC212"/>
          <cell r="AD212"/>
          <cell r="AE212"/>
          <cell r="AF212"/>
          <cell r="AG212"/>
          <cell r="AH212"/>
        </row>
        <row r="213">
          <cell r="AA213"/>
          <cell r="AB213"/>
          <cell r="AC213"/>
          <cell r="AD213"/>
          <cell r="AE213"/>
          <cell r="AF213"/>
          <cell r="AG213"/>
          <cell r="AH213"/>
        </row>
        <row r="214">
          <cell r="AA214"/>
          <cell r="AB214"/>
          <cell r="AC214"/>
          <cell r="AD214"/>
          <cell r="AE214"/>
          <cell r="AF214"/>
          <cell r="AG214"/>
          <cell r="AH214"/>
        </row>
        <row r="215">
          <cell r="AA215"/>
          <cell r="AB215"/>
          <cell r="AC215"/>
          <cell r="AD215"/>
          <cell r="AE215"/>
          <cell r="AF215"/>
          <cell r="AG215"/>
          <cell r="AH215"/>
        </row>
        <row r="216">
          <cell r="AA216"/>
          <cell r="AB216"/>
          <cell r="AC216"/>
          <cell r="AD216"/>
          <cell r="AE216"/>
          <cell r="AF216"/>
          <cell r="AG216"/>
          <cell r="AH216"/>
        </row>
        <row r="217">
          <cell r="AA217"/>
          <cell r="AB217"/>
          <cell r="AC217"/>
          <cell r="AD217"/>
          <cell r="AE217"/>
          <cell r="AF217"/>
          <cell r="AG217"/>
          <cell r="AH217"/>
        </row>
        <row r="218">
          <cell r="AA218"/>
          <cell r="AB218"/>
          <cell r="AC218"/>
          <cell r="AD218"/>
          <cell r="AE218"/>
          <cell r="AF218"/>
          <cell r="AG218"/>
          <cell r="AH218"/>
        </row>
        <row r="219">
          <cell r="AA219"/>
          <cell r="AB219"/>
          <cell r="AC219"/>
          <cell r="AD219"/>
          <cell r="AE219"/>
          <cell r="AF219"/>
          <cell r="AG219"/>
          <cell r="AH219"/>
        </row>
        <row r="220">
          <cell r="AA220"/>
          <cell r="AB220"/>
          <cell r="AC220"/>
          <cell r="AD220"/>
          <cell r="AE220"/>
          <cell r="AF220"/>
          <cell r="AG220"/>
          <cell r="AH220"/>
        </row>
        <row r="221">
          <cell r="AA221"/>
          <cell r="AB221"/>
          <cell r="AC221"/>
          <cell r="AD221"/>
          <cell r="AE221"/>
          <cell r="AF221"/>
          <cell r="AG221"/>
          <cell r="AH221"/>
        </row>
        <row r="222">
          <cell r="AA222"/>
          <cell r="AB222"/>
          <cell r="AC222"/>
          <cell r="AD222"/>
          <cell r="AE222"/>
          <cell r="AF222"/>
          <cell r="AG222"/>
          <cell r="AH222"/>
        </row>
        <row r="223">
          <cell r="AA223"/>
          <cell r="AB223"/>
          <cell r="AC223"/>
          <cell r="AD223"/>
          <cell r="AE223"/>
          <cell r="AF223"/>
          <cell r="AG223"/>
          <cell r="AH223"/>
        </row>
        <row r="224">
          <cell r="AA224"/>
          <cell r="AB224"/>
          <cell r="AC224"/>
          <cell r="AD224"/>
          <cell r="AE224"/>
          <cell r="AF224"/>
          <cell r="AG224"/>
          <cell r="AH224"/>
        </row>
        <row r="225">
          <cell r="AA225"/>
          <cell r="AB225"/>
          <cell r="AC225"/>
          <cell r="AD225"/>
          <cell r="AE225"/>
          <cell r="AF225"/>
          <cell r="AG225"/>
          <cell r="AH225"/>
        </row>
        <row r="226">
          <cell r="AA226"/>
          <cell r="AB226"/>
          <cell r="AC226"/>
          <cell r="AD226"/>
          <cell r="AE226"/>
          <cell r="AF226"/>
          <cell r="AG226"/>
          <cell r="AH226"/>
        </row>
        <row r="227">
          <cell r="AA227"/>
          <cell r="AB227"/>
          <cell r="AC227"/>
          <cell r="AD227"/>
          <cell r="AE227"/>
          <cell r="AF227"/>
          <cell r="AG227"/>
          <cell r="AH227"/>
        </row>
        <row r="228">
          <cell r="AA228"/>
          <cell r="AB228"/>
          <cell r="AC228"/>
          <cell r="AD228"/>
          <cell r="AE228"/>
          <cell r="AF228"/>
          <cell r="AG228"/>
          <cell r="AH228"/>
        </row>
        <row r="229">
          <cell r="AA229"/>
          <cell r="AB229"/>
          <cell r="AC229"/>
          <cell r="AD229"/>
          <cell r="AE229"/>
          <cell r="AF229"/>
          <cell r="AG229"/>
          <cell r="AH229"/>
        </row>
        <row r="230">
          <cell r="AA230"/>
          <cell r="AB230"/>
          <cell r="AC230"/>
          <cell r="AD230"/>
          <cell r="AE230"/>
          <cell r="AF230"/>
          <cell r="AG230"/>
          <cell r="AH230"/>
        </row>
        <row r="231">
          <cell r="AA231"/>
          <cell r="AB231"/>
          <cell r="AC231"/>
          <cell r="AD231"/>
          <cell r="AE231"/>
          <cell r="AF231"/>
          <cell r="AG231"/>
          <cell r="AH231"/>
        </row>
        <row r="232">
          <cell r="AA232"/>
          <cell r="AB232"/>
          <cell r="AC232"/>
          <cell r="AD232"/>
          <cell r="AE232"/>
          <cell r="AF232"/>
          <cell r="AG232"/>
          <cell r="AH232"/>
        </row>
        <row r="233">
          <cell r="AA233"/>
          <cell r="AB233"/>
          <cell r="AC233"/>
          <cell r="AD233"/>
          <cell r="AE233"/>
          <cell r="AF233"/>
          <cell r="AG233"/>
          <cell r="AH233"/>
        </row>
        <row r="234">
          <cell r="AA234"/>
          <cell r="AB234"/>
          <cell r="AC234"/>
          <cell r="AD234"/>
          <cell r="AE234"/>
          <cell r="AF234"/>
          <cell r="AG234"/>
          <cell r="AH234"/>
        </row>
        <row r="235">
          <cell r="AA235"/>
          <cell r="AB235"/>
          <cell r="AC235"/>
          <cell r="AD235"/>
          <cell r="AE235"/>
          <cell r="AF235"/>
          <cell r="AG235"/>
          <cell r="AH235"/>
        </row>
        <row r="236">
          <cell r="AA236"/>
          <cell r="AB236"/>
          <cell r="AC236"/>
          <cell r="AD236"/>
          <cell r="AE236"/>
          <cell r="AF236"/>
          <cell r="AG236"/>
          <cell r="AH236"/>
        </row>
        <row r="237">
          <cell r="AA237"/>
          <cell r="AB237"/>
          <cell r="AC237"/>
          <cell r="AD237"/>
          <cell r="AE237"/>
          <cell r="AF237"/>
          <cell r="AG237"/>
          <cell r="AH237"/>
        </row>
        <row r="238">
          <cell r="AA238"/>
          <cell r="AB238"/>
          <cell r="AC238"/>
          <cell r="AD238"/>
          <cell r="AE238"/>
          <cell r="AF238"/>
          <cell r="AG238"/>
          <cell r="AH238"/>
        </row>
        <row r="239">
          <cell r="AA239"/>
          <cell r="AB239"/>
          <cell r="AC239"/>
          <cell r="AD239"/>
          <cell r="AE239"/>
          <cell r="AF239"/>
          <cell r="AG239"/>
          <cell r="AH239"/>
        </row>
        <row r="240">
          <cell r="AA240"/>
          <cell r="AB240"/>
          <cell r="AC240"/>
          <cell r="AD240"/>
          <cell r="AE240"/>
          <cell r="AF240"/>
          <cell r="AG240"/>
          <cell r="AH240"/>
        </row>
        <row r="241">
          <cell r="AA241"/>
          <cell r="AB241"/>
          <cell r="AC241"/>
          <cell r="AD241"/>
          <cell r="AE241"/>
          <cell r="AF241"/>
          <cell r="AG241"/>
          <cell r="AH241"/>
        </row>
        <row r="242">
          <cell r="AA242"/>
          <cell r="AB242"/>
          <cell r="AC242"/>
          <cell r="AD242"/>
          <cell r="AE242"/>
          <cell r="AF242"/>
          <cell r="AG242"/>
          <cell r="AH242"/>
        </row>
        <row r="243">
          <cell r="AA243"/>
          <cell r="AB243"/>
          <cell r="AC243"/>
          <cell r="AD243"/>
          <cell r="AE243"/>
          <cell r="AF243"/>
          <cell r="AG243"/>
          <cell r="AH243"/>
        </row>
        <row r="244">
          <cell r="AA244"/>
          <cell r="AB244"/>
          <cell r="AC244"/>
          <cell r="AD244"/>
          <cell r="AE244"/>
          <cell r="AF244"/>
          <cell r="AG244"/>
          <cell r="AH244"/>
        </row>
        <row r="245">
          <cell r="AA245"/>
          <cell r="AB245"/>
          <cell r="AC245"/>
          <cell r="AD245"/>
          <cell r="AE245"/>
          <cell r="AF245"/>
          <cell r="AG245"/>
          <cell r="AH245"/>
        </row>
        <row r="246">
          <cell r="AA246"/>
          <cell r="AB246"/>
          <cell r="AC246"/>
          <cell r="AD246"/>
          <cell r="AE246"/>
          <cell r="AF246"/>
          <cell r="AG246"/>
          <cell r="AH246"/>
        </row>
        <row r="247">
          <cell r="AA247"/>
          <cell r="AB247"/>
          <cell r="AC247"/>
          <cell r="AD247"/>
          <cell r="AE247"/>
          <cell r="AF247"/>
          <cell r="AG247"/>
          <cell r="AH247"/>
        </row>
        <row r="248">
          <cell r="AA248"/>
          <cell r="AB248"/>
          <cell r="AC248"/>
          <cell r="AD248"/>
          <cell r="AE248"/>
          <cell r="AF248"/>
          <cell r="AG248"/>
          <cell r="AH248"/>
        </row>
        <row r="249">
          <cell r="AA249"/>
          <cell r="AB249"/>
          <cell r="AC249"/>
          <cell r="AD249"/>
          <cell r="AE249"/>
          <cell r="AF249"/>
          <cell r="AG249"/>
          <cell r="AH249"/>
        </row>
        <row r="250">
          <cell r="AA250"/>
          <cell r="AB250"/>
          <cell r="AC250"/>
          <cell r="AD250"/>
          <cell r="AE250"/>
          <cell r="AF250"/>
          <cell r="AG250"/>
          <cell r="AH250"/>
        </row>
        <row r="251">
          <cell r="AA251"/>
          <cell r="AB251"/>
          <cell r="AC251"/>
          <cell r="AD251"/>
          <cell r="AE251"/>
          <cell r="AF251"/>
          <cell r="AG251"/>
          <cell r="AH251"/>
        </row>
        <row r="252">
          <cell r="AA252"/>
          <cell r="AB252"/>
          <cell r="AC252"/>
          <cell r="AD252"/>
          <cell r="AE252"/>
          <cell r="AF252"/>
          <cell r="AG252"/>
          <cell r="AH252"/>
        </row>
        <row r="253">
          <cell r="AA253"/>
          <cell r="AB253"/>
          <cell r="AC253"/>
          <cell r="AD253"/>
          <cell r="AE253"/>
          <cell r="AF253"/>
          <cell r="AG253"/>
          <cell r="AH253"/>
        </row>
        <row r="254">
          <cell r="AA254"/>
          <cell r="AB254"/>
          <cell r="AC254"/>
          <cell r="AD254"/>
          <cell r="AE254"/>
          <cell r="AF254"/>
          <cell r="AG254"/>
          <cell r="AH254"/>
        </row>
        <row r="255">
          <cell r="AA255"/>
          <cell r="AB255"/>
          <cell r="AC255"/>
          <cell r="AD255"/>
          <cell r="AE255"/>
          <cell r="AF255"/>
          <cell r="AG255"/>
          <cell r="AH255"/>
        </row>
        <row r="256">
          <cell r="AA256"/>
          <cell r="AB256"/>
          <cell r="AC256"/>
          <cell r="AD256"/>
          <cell r="AE256"/>
          <cell r="AF256"/>
          <cell r="AG256"/>
          <cell r="AH256"/>
        </row>
        <row r="257">
          <cell r="AA257"/>
          <cell r="AB257"/>
          <cell r="AC257"/>
          <cell r="AD257"/>
          <cell r="AE257"/>
          <cell r="AF257"/>
          <cell r="AG257"/>
          <cell r="AH257"/>
        </row>
        <row r="258">
          <cell r="AA258"/>
          <cell r="AB258"/>
          <cell r="AC258"/>
          <cell r="AD258"/>
          <cell r="AE258"/>
          <cell r="AF258"/>
          <cell r="AG258"/>
          <cell r="AH258"/>
        </row>
        <row r="259">
          <cell r="AA259"/>
          <cell r="AB259"/>
          <cell r="AC259"/>
          <cell r="AD259"/>
          <cell r="AE259"/>
          <cell r="AF259"/>
          <cell r="AG259"/>
          <cell r="AH259"/>
        </row>
        <row r="260">
          <cell r="AA260"/>
          <cell r="AB260"/>
          <cell r="AC260"/>
          <cell r="AD260"/>
          <cell r="AE260"/>
          <cell r="AF260"/>
          <cell r="AG260"/>
          <cell r="AH260"/>
        </row>
        <row r="261">
          <cell r="AA261"/>
          <cell r="AB261"/>
          <cell r="AC261"/>
          <cell r="AD261"/>
          <cell r="AE261"/>
          <cell r="AF261"/>
          <cell r="AG261"/>
          <cell r="AH261"/>
        </row>
        <row r="262">
          <cell r="AA262"/>
          <cell r="AB262"/>
          <cell r="AC262"/>
          <cell r="AD262"/>
          <cell r="AE262"/>
          <cell r="AF262"/>
          <cell r="AG262"/>
          <cell r="AH262"/>
        </row>
        <row r="263">
          <cell r="AA263"/>
          <cell r="AB263"/>
          <cell r="AC263"/>
          <cell r="AD263"/>
          <cell r="AE263"/>
          <cell r="AF263"/>
          <cell r="AG263"/>
          <cell r="AH263"/>
        </row>
        <row r="264">
          <cell r="AA264"/>
          <cell r="AB264"/>
          <cell r="AC264"/>
          <cell r="AD264"/>
          <cell r="AE264"/>
          <cell r="AF264"/>
          <cell r="AG264"/>
          <cell r="AH264"/>
        </row>
        <row r="265">
          <cell r="AA265"/>
          <cell r="AB265"/>
          <cell r="AC265"/>
          <cell r="AD265"/>
          <cell r="AE265"/>
          <cell r="AF265"/>
          <cell r="AG265"/>
          <cell r="AH265"/>
        </row>
        <row r="266">
          <cell r="AA266"/>
          <cell r="AB266"/>
          <cell r="AC266"/>
          <cell r="AD266"/>
          <cell r="AE266"/>
          <cell r="AF266"/>
          <cell r="AG266"/>
          <cell r="AH266"/>
        </row>
        <row r="267">
          <cell r="AA267"/>
          <cell r="AB267"/>
          <cell r="AC267"/>
          <cell r="AD267"/>
          <cell r="AE267"/>
          <cell r="AF267"/>
          <cell r="AG267"/>
          <cell r="AH267"/>
        </row>
        <row r="268">
          <cell r="AA268"/>
          <cell r="AB268"/>
          <cell r="AC268"/>
          <cell r="AD268"/>
          <cell r="AE268"/>
          <cell r="AF268"/>
          <cell r="AG268"/>
          <cell r="AH268"/>
        </row>
        <row r="269">
          <cell r="AA269"/>
          <cell r="AB269"/>
          <cell r="AC269"/>
          <cell r="AD269"/>
          <cell r="AE269"/>
          <cell r="AF269"/>
          <cell r="AG269"/>
          <cell r="AH269"/>
        </row>
        <row r="270">
          <cell r="AA270"/>
          <cell r="AB270"/>
          <cell r="AC270"/>
          <cell r="AD270"/>
          <cell r="AE270"/>
          <cell r="AF270"/>
          <cell r="AG270"/>
          <cell r="AH270"/>
        </row>
        <row r="271">
          <cell r="AA271"/>
          <cell r="AB271"/>
          <cell r="AC271"/>
          <cell r="AD271"/>
          <cell r="AE271"/>
          <cell r="AF271"/>
          <cell r="AG271"/>
          <cell r="AH271"/>
        </row>
        <row r="272">
          <cell r="AA272"/>
          <cell r="AB272"/>
          <cell r="AC272"/>
          <cell r="AD272"/>
          <cell r="AE272"/>
          <cell r="AF272"/>
          <cell r="AG272"/>
          <cell r="AH272"/>
        </row>
        <row r="273">
          <cell r="AA273"/>
          <cell r="AB273"/>
          <cell r="AC273"/>
          <cell r="AD273"/>
          <cell r="AE273"/>
          <cell r="AF273"/>
          <cell r="AG273"/>
          <cell r="AH273"/>
        </row>
        <row r="274">
          <cell r="AA274"/>
          <cell r="AB274"/>
          <cell r="AC274"/>
          <cell r="AD274"/>
          <cell r="AE274"/>
          <cell r="AF274"/>
          <cell r="AG274"/>
          <cell r="AH274"/>
        </row>
        <row r="275">
          <cell r="AA275"/>
          <cell r="AB275"/>
          <cell r="AC275"/>
          <cell r="AD275"/>
          <cell r="AE275"/>
          <cell r="AF275"/>
          <cell r="AG275"/>
          <cell r="AH275"/>
        </row>
        <row r="276">
          <cell r="AA276"/>
          <cell r="AB276"/>
          <cell r="AC276"/>
          <cell r="AD276"/>
          <cell r="AE276"/>
          <cell r="AF276"/>
          <cell r="AG276"/>
          <cell r="AH276"/>
        </row>
        <row r="277">
          <cell r="AA277"/>
          <cell r="AB277"/>
          <cell r="AC277"/>
          <cell r="AD277"/>
          <cell r="AE277"/>
          <cell r="AF277"/>
          <cell r="AG277"/>
          <cell r="AH277"/>
        </row>
        <row r="278">
          <cell r="AA278"/>
          <cell r="AB278"/>
          <cell r="AC278"/>
          <cell r="AD278"/>
          <cell r="AE278"/>
          <cell r="AF278"/>
          <cell r="AG278"/>
          <cell r="AH278"/>
        </row>
        <row r="279">
          <cell r="AA279"/>
          <cell r="AB279"/>
          <cell r="AC279"/>
          <cell r="AD279"/>
          <cell r="AE279"/>
          <cell r="AF279"/>
          <cell r="AG279"/>
          <cell r="AH279"/>
        </row>
        <row r="280">
          <cell r="AA280"/>
          <cell r="AB280"/>
          <cell r="AC280"/>
          <cell r="AD280"/>
          <cell r="AE280"/>
          <cell r="AF280"/>
          <cell r="AG280"/>
          <cell r="AH280"/>
        </row>
        <row r="281">
          <cell r="AA281"/>
          <cell r="AB281"/>
          <cell r="AC281"/>
          <cell r="AD281"/>
          <cell r="AE281"/>
          <cell r="AF281"/>
          <cell r="AG281"/>
          <cell r="AH281"/>
        </row>
        <row r="282">
          <cell r="AA282"/>
          <cell r="AB282"/>
          <cell r="AC282"/>
          <cell r="AD282"/>
          <cell r="AE282"/>
          <cell r="AF282"/>
          <cell r="AG282"/>
          <cell r="AH282"/>
        </row>
        <row r="283">
          <cell r="AA283"/>
          <cell r="AB283"/>
          <cell r="AC283"/>
          <cell r="AD283"/>
          <cell r="AE283"/>
          <cell r="AF283"/>
          <cell r="AG283"/>
          <cell r="AH283"/>
        </row>
        <row r="284">
          <cell r="AA284"/>
          <cell r="AB284"/>
          <cell r="AC284"/>
          <cell r="AD284"/>
          <cell r="AE284"/>
          <cell r="AF284"/>
          <cell r="AG284"/>
          <cell r="AH284"/>
        </row>
        <row r="285">
          <cell r="AA285"/>
          <cell r="AB285"/>
          <cell r="AC285"/>
          <cell r="AD285"/>
          <cell r="AE285"/>
          <cell r="AF285"/>
          <cell r="AG285"/>
          <cell r="AH285"/>
        </row>
        <row r="286">
          <cell r="AA286"/>
          <cell r="AB286"/>
          <cell r="AC286"/>
          <cell r="AD286"/>
          <cell r="AE286"/>
          <cell r="AF286"/>
          <cell r="AG286"/>
          <cell r="AH286"/>
        </row>
        <row r="287">
          <cell r="AA287"/>
          <cell r="AB287"/>
          <cell r="AC287"/>
          <cell r="AD287"/>
          <cell r="AE287"/>
          <cell r="AF287"/>
          <cell r="AG287"/>
          <cell r="AH287"/>
        </row>
        <row r="288">
          <cell r="AA288"/>
          <cell r="AB288"/>
          <cell r="AC288"/>
          <cell r="AD288"/>
          <cell r="AE288"/>
          <cell r="AF288"/>
          <cell r="AG288"/>
          <cell r="AH288"/>
        </row>
        <row r="289">
          <cell r="AA289"/>
          <cell r="AB289"/>
          <cell r="AC289"/>
          <cell r="AD289"/>
          <cell r="AE289"/>
          <cell r="AF289"/>
          <cell r="AG289"/>
          <cell r="AH289"/>
        </row>
        <row r="290">
          <cell r="AA290"/>
          <cell r="AB290"/>
          <cell r="AC290"/>
          <cell r="AD290"/>
          <cell r="AE290"/>
          <cell r="AF290"/>
          <cell r="AG290"/>
          <cell r="AH290"/>
        </row>
        <row r="291">
          <cell r="AA291"/>
          <cell r="AB291"/>
          <cell r="AC291"/>
          <cell r="AD291"/>
          <cell r="AE291"/>
          <cell r="AF291"/>
          <cell r="AG291"/>
          <cell r="AH291"/>
        </row>
        <row r="292">
          <cell r="AA292"/>
          <cell r="AB292"/>
          <cell r="AC292"/>
          <cell r="AD292"/>
          <cell r="AE292"/>
          <cell r="AF292"/>
          <cell r="AG292"/>
          <cell r="AH292"/>
        </row>
        <row r="293">
          <cell r="AA293"/>
          <cell r="AB293"/>
          <cell r="AC293"/>
          <cell r="AD293"/>
          <cell r="AE293"/>
          <cell r="AF293"/>
          <cell r="AG293"/>
          <cell r="AH293"/>
        </row>
        <row r="294">
          <cell r="AA294"/>
          <cell r="AB294"/>
          <cell r="AC294"/>
          <cell r="AD294"/>
          <cell r="AE294"/>
          <cell r="AF294"/>
          <cell r="AG294"/>
          <cell r="AH294"/>
        </row>
        <row r="295">
          <cell r="AA295"/>
          <cell r="AB295"/>
          <cell r="AC295"/>
          <cell r="AD295"/>
          <cell r="AE295"/>
          <cell r="AF295"/>
          <cell r="AG295"/>
          <cell r="AH295"/>
        </row>
        <row r="296">
          <cell r="AA296"/>
          <cell r="AB296"/>
          <cell r="AC296"/>
          <cell r="AD296"/>
          <cell r="AE296"/>
          <cell r="AF296"/>
          <cell r="AG296"/>
          <cell r="AH296"/>
        </row>
        <row r="297">
          <cell r="AA297"/>
          <cell r="AB297"/>
          <cell r="AC297"/>
          <cell r="AD297"/>
          <cell r="AE297"/>
          <cell r="AF297"/>
          <cell r="AG297"/>
          <cell r="AH297"/>
        </row>
        <row r="298">
          <cell r="AA298"/>
          <cell r="AB298"/>
          <cell r="AC298"/>
          <cell r="AD298"/>
          <cell r="AE298"/>
          <cell r="AF298"/>
          <cell r="AG298"/>
          <cell r="AH298"/>
        </row>
        <row r="299">
          <cell r="AA299"/>
          <cell r="AB299"/>
          <cell r="AC299"/>
          <cell r="AD299"/>
          <cell r="AE299"/>
          <cell r="AF299"/>
          <cell r="AG299"/>
          <cell r="AH299"/>
        </row>
        <row r="300">
          <cell r="AA300"/>
          <cell r="AB300"/>
          <cell r="AC300"/>
          <cell r="AD300"/>
          <cell r="AE300"/>
          <cell r="AF300"/>
          <cell r="AG300"/>
          <cell r="AH300"/>
        </row>
        <row r="301">
          <cell r="AA301"/>
          <cell r="AB301"/>
          <cell r="AC301"/>
          <cell r="AD301"/>
          <cell r="AE301"/>
          <cell r="AF301"/>
          <cell r="AG301"/>
          <cell r="AH301"/>
        </row>
        <row r="302">
          <cell r="AA302"/>
          <cell r="AB302"/>
          <cell r="AC302"/>
          <cell r="AD302"/>
          <cell r="AE302"/>
          <cell r="AF302"/>
          <cell r="AG302"/>
          <cell r="AH302"/>
        </row>
        <row r="303">
          <cell r="AA303"/>
          <cell r="AB303"/>
          <cell r="AC303"/>
          <cell r="AD303"/>
          <cell r="AE303"/>
          <cell r="AF303"/>
          <cell r="AG303"/>
          <cell r="AH303"/>
        </row>
        <row r="304">
          <cell r="AA304"/>
          <cell r="AB304"/>
          <cell r="AC304"/>
          <cell r="AD304"/>
          <cell r="AE304"/>
          <cell r="AF304"/>
          <cell r="AG304"/>
          <cell r="AH304"/>
        </row>
        <row r="305">
          <cell r="AA305"/>
          <cell r="AB305"/>
          <cell r="AC305"/>
          <cell r="AD305"/>
          <cell r="AE305"/>
          <cell r="AF305"/>
          <cell r="AG305"/>
          <cell r="AH305"/>
        </row>
        <row r="306">
          <cell r="AA306"/>
          <cell r="AB306"/>
          <cell r="AC306"/>
          <cell r="AD306"/>
          <cell r="AE306"/>
          <cell r="AF306"/>
          <cell r="AG306"/>
          <cell r="AH306"/>
        </row>
        <row r="307">
          <cell r="AA307"/>
          <cell r="AB307"/>
          <cell r="AC307"/>
          <cell r="AD307"/>
          <cell r="AE307"/>
          <cell r="AF307"/>
          <cell r="AG307"/>
          <cell r="AH307"/>
        </row>
        <row r="308">
          <cell r="AA308"/>
          <cell r="AB308"/>
          <cell r="AC308"/>
          <cell r="AD308"/>
          <cell r="AE308"/>
          <cell r="AF308"/>
          <cell r="AG308"/>
          <cell r="AH308"/>
        </row>
        <row r="309">
          <cell r="AA309"/>
          <cell r="AB309"/>
          <cell r="AC309"/>
          <cell r="AD309"/>
          <cell r="AE309"/>
          <cell r="AF309"/>
          <cell r="AG309"/>
          <cell r="AH309"/>
        </row>
        <row r="310">
          <cell r="AA310"/>
          <cell r="AB310"/>
          <cell r="AC310"/>
          <cell r="AD310"/>
          <cell r="AE310"/>
          <cell r="AF310"/>
          <cell r="AG310"/>
          <cell r="AH310"/>
        </row>
        <row r="311">
          <cell r="AA311"/>
          <cell r="AB311"/>
          <cell r="AC311"/>
          <cell r="AD311"/>
          <cell r="AE311"/>
          <cell r="AF311"/>
          <cell r="AG311"/>
          <cell r="AH311"/>
        </row>
        <row r="312">
          <cell r="AA312"/>
          <cell r="AB312"/>
          <cell r="AC312"/>
          <cell r="AD312"/>
          <cell r="AE312"/>
          <cell r="AF312"/>
          <cell r="AG312"/>
          <cell r="AH312"/>
        </row>
        <row r="313">
          <cell r="AA313"/>
          <cell r="AB313"/>
          <cell r="AC313"/>
          <cell r="AD313"/>
          <cell r="AE313"/>
          <cell r="AF313"/>
          <cell r="AG313"/>
          <cell r="AH313"/>
        </row>
        <row r="314">
          <cell r="AA314"/>
          <cell r="AB314"/>
          <cell r="AC314"/>
          <cell r="AD314"/>
          <cell r="AE314"/>
          <cell r="AF314"/>
          <cell r="AG314"/>
          <cell r="AH314"/>
        </row>
        <row r="315">
          <cell r="AA315"/>
          <cell r="AB315"/>
          <cell r="AC315"/>
          <cell r="AD315"/>
          <cell r="AE315"/>
          <cell r="AF315"/>
          <cell r="AG315"/>
          <cell r="AH315"/>
        </row>
        <row r="316">
          <cell r="AA316"/>
          <cell r="AB316"/>
          <cell r="AC316"/>
          <cell r="AD316"/>
          <cell r="AE316"/>
          <cell r="AF316"/>
          <cell r="AG316"/>
          <cell r="AH316"/>
        </row>
        <row r="317">
          <cell r="AA317"/>
          <cell r="AB317"/>
          <cell r="AC317"/>
          <cell r="AD317"/>
          <cell r="AE317"/>
          <cell r="AF317"/>
          <cell r="AG317"/>
          <cell r="AH317"/>
        </row>
        <row r="318">
          <cell r="AA318"/>
          <cell r="AB318"/>
          <cell r="AC318"/>
          <cell r="AD318"/>
          <cell r="AE318"/>
          <cell r="AF318"/>
          <cell r="AG318"/>
          <cell r="AH318"/>
        </row>
        <row r="319">
          <cell r="AA319"/>
          <cell r="AB319"/>
          <cell r="AC319"/>
          <cell r="AD319"/>
          <cell r="AE319"/>
          <cell r="AF319"/>
          <cell r="AG319"/>
          <cell r="AH319"/>
        </row>
        <row r="320">
          <cell r="AA320"/>
          <cell r="AB320"/>
          <cell r="AC320"/>
          <cell r="AD320"/>
          <cell r="AE320"/>
          <cell r="AF320"/>
          <cell r="AG320"/>
          <cell r="AH320"/>
        </row>
        <row r="321">
          <cell r="AA321"/>
          <cell r="AB321"/>
          <cell r="AC321"/>
          <cell r="AD321"/>
          <cell r="AE321"/>
          <cell r="AF321"/>
          <cell r="AG321"/>
          <cell r="AH321"/>
        </row>
        <row r="322">
          <cell r="AA322"/>
          <cell r="AB322"/>
          <cell r="AC322"/>
          <cell r="AD322"/>
          <cell r="AE322"/>
          <cell r="AF322"/>
          <cell r="AG322"/>
          <cell r="AH322"/>
        </row>
        <row r="323">
          <cell r="AA323"/>
          <cell r="AB323"/>
          <cell r="AC323"/>
          <cell r="AD323"/>
          <cell r="AE323"/>
          <cell r="AF323"/>
          <cell r="AG323"/>
          <cell r="AH323"/>
        </row>
        <row r="324">
          <cell r="AA324"/>
          <cell r="AB324"/>
          <cell r="AC324"/>
          <cell r="AD324"/>
          <cell r="AE324"/>
          <cell r="AF324"/>
          <cell r="AG324"/>
          <cell r="AH324"/>
        </row>
        <row r="325">
          <cell r="AA325"/>
          <cell r="AB325"/>
          <cell r="AC325"/>
          <cell r="AD325"/>
          <cell r="AE325"/>
          <cell r="AF325"/>
          <cell r="AG325"/>
          <cell r="AH325"/>
        </row>
        <row r="326">
          <cell r="AA326"/>
          <cell r="AB326"/>
          <cell r="AC326"/>
          <cell r="AD326"/>
          <cell r="AE326"/>
          <cell r="AF326"/>
          <cell r="AG326"/>
          <cell r="AH326"/>
        </row>
        <row r="327">
          <cell r="AA327"/>
          <cell r="AB327"/>
          <cell r="AC327"/>
          <cell r="AD327"/>
          <cell r="AE327"/>
          <cell r="AF327"/>
          <cell r="AG327"/>
          <cell r="AH327"/>
        </row>
        <row r="328">
          <cell r="AA328"/>
          <cell r="AB328"/>
          <cell r="AC328"/>
          <cell r="AD328"/>
          <cell r="AE328"/>
          <cell r="AF328"/>
          <cell r="AG328"/>
          <cell r="AH328"/>
        </row>
        <row r="329">
          <cell r="AA329"/>
          <cell r="AB329"/>
          <cell r="AC329"/>
          <cell r="AD329"/>
          <cell r="AE329"/>
          <cell r="AF329"/>
          <cell r="AG329"/>
          <cell r="AH329"/>
        </row>
        <row r="330">
          <cell r="AA330"/>
          <cell r="AB330"/>
          <cell r="AC330"/>
          <cell r="AD330"/>
          <cell r="AE330"/>
          <cell r="AF330"/>
          <cell r="AG330"/>
          <cell r="AH330"/>
        </row>
        <row r="331">
          <cell r="AA331"/>
          <cell r="AB331"/>
          <cell r="AC331"/>
          <cell r="AD331"/>
          <cell r="AE331"/>
          <cell r="AF331"/>
          <cell r="AG331"/>
          <cell r="AH331"/>
        </row>
        <row r="332">
          <cell r="AA332"/>
          <cell r="AB332"/>
          <cell r="AC332"/>
          <cell r="AD332"/>
          <cell r="AE332"/>
          <cell r="AF332"/>
          <cell r="AG332"/>
          <cell r="AH332"/>
        </row>
        <row r="333">
          <cell r="AA333"/>
          <cell r="AB333"/>
          <cell r="AC333"/>
          <cell r="AD333"/>
          <cell r="AE333"/>
          <cell r="AF333"/>
          <cell r="AG333"/>
          <cell r="AH333"/>
        </row>
        <row r="334">
          <cell r="AA334"/>
          <cell r="AB334"/>
          <cell r="AC334"/>
          <cell r="AD334"/>
          <cell r="AE334"/>
          <cell r="AF334"/>
          <cell r="AG334"/>
          <cell r="AH334"/>
        </row>
        <row r="335">
          <cell r="AA335"/>
          <cell r="AB335"/>
          <cell r="AC335"/>
          <cell r="AD335"/>
          <cell r="AE335"/>
          <cell r="AF335"/>
          <cell r="AG335"/>
          <cell r="AH335"/>
        </row>
        <row r="336">
          <cell r="AA336"/>
          <cell r="AB336"/>
          <cell r="AC336"/>
          <cell r="AD336"/>
          <cell r="AE336"/>
          <cell r="AF336"/>
          <cell r="AG336"/>
          <cell r="AH336"/>
        </row>
        <row r="337">
          <cell r="AA337"/>
          <cell r="AB337"/>
          <cell r="AC337"/>
          <cell r="AD337"/>
          <cell r="AE337"/>
          <cell r="AF337"/>
          <cell r="AG337"/>
          <cell r="AH337"/>
        </row>
        <row r="338">
          <cell r="AA338"/>
          <cell r="AB338"/>
          <cell r="AC338"/>
          <cell r="AD338"/>
          <cell r="AE338"/>
          <cell r="AF338"/>
          <cell r="AG338"/>
          <cell r="AH338"/>
        </row>
        <row r="339">
          <cell r="AA339"/>
          <cell r="AB339"/>
          <cell r="AC339"/>
          <cell r="AD339"/>
          <cell r="AE339"/>
          <cell r="AF339"/>
          <cell r="AG339"/>
          <cell r="AH339"/>
        </row>
        <row r="340">
          <cell r="AA340"/>
          <cell r="AB340"/>
          <cell r="AC340"/>
          <cell r="AD340"/>
          <cell r="AE340"/>
          <cell r="AF340"/>
          <cell r="AG340"/>
          <cell r="AH340"/>
        </row>
        <row r="341">
          <cell r="AA341"/>
          <cell r="AB341"/>
          <cell r="AC341"/>
          <cell r="AD341"/>
          <cell r="AE341"/>
          <cell r="AF341"/>
          <cell r="AG341"/>
          <cell r="AH341"/>
        </row>
        <row r="342">
          <cell r="AA342"/>
          <cell r="AB342"/>
          <cell r="AC342"/>
          <cell r="AD342"/>
          <cell r="AE342"/>
          <cell r="AF342"/>
          <cell r="AG342"/>
          <cell r="AH342"/>
        </row>
        <row r="343">
          <cell r="AA343"/>
          <cell r="AB343"/>
          <cell r="AC343"/>
          <cell r="AD343"/>
          <cell r="AE343"/>
          <cell r="AF343"/>
          <cell r="AG343"/>
          <cell r="AH343"/>
        </row>
        <row r="344">
          <cell r="AA344"/>
          <cell r="AB344"/>
          <cell r="AC344"/>
          <cell r="AD344"/>
          <cell r="AE344"/>
          <cell r="AF344"/>
          <cell r="AG344"/>
          <cell r="AH344"/>
        </row>
        <row r="345">
          <cell r="AA345"/>
          <cell r="AB345"/>
          <cell r="AC345"/>
          <cell r="AD345"/>
          <cell r="AE345"/>
          <cell r="AF345"/>
          <cell r="AG345"/>
          <cell r="AH345"/>
        </row>
        <row r="346">
          <cell r="AA346"/>
          <cell r="AB346"/>
          <cell r="AC346"/>
          <cell r="AD346"/>
          <cell r="AE346"/>
          <cell r="AF346"/>
          <cell r="AG346"/>
          <cell r="AH346"/>
        </row>
        <row r="347">
          <cell r="AA347"/>
          <cell r="AB347"/>
          <cell r="AC347"/>
          <cell r="AD347"/>
          <cell r="AE347"/>
          <cell r="AF347"/>
          <cell r="AG347"/>
          <cell r="AH347"/>
        </row>
        <row r="348">
          <cell r="AA348"/>
          <cell r="AB348"/>
          <cell r="AC348"/>
          <cell r="AD348"/>
          <cell r="AE348"/>
          <cell r="AF348"/>
          <cell r="AG348"/>
          <cell r="AH348"/>
        </row>
        <row r="349">
          <cell r="AA349"/>
          <cell r="AB349"/>
          <cell r="AC349"/>
          <cell r="AD349"/>
          <cell r="AE349"/>
          <cell r="AF349"/>
          <cell r="AG349"/>
          <cell r="AH349"/>
        </row>
        <row r="350">
          <cell r="AA350"/>
          <cell r="AB350"/>
          <cell r="AC350"/>
          <cell r="AD350"/>
          <cell r="AE350"/>
          <cell r="AF350"/>
          <cell r="AG350"/>
          <cell r="AH350"/>
        </row>
        <row r="351">
          <cell r="AA351"/>
          <cell r="AB351"/>
          <cell r="AC351"/>
          <cell r="AD351"/>
          <cell r="AE351"/>
          <cell r="AF351"/>
          <cell r="AG351"/>
          <cell r="AH351"/>
        </row>
        <row r="352">
          <cell r="AA352"/>
          <cell r="AB352"/>
          <cell r="AC352"/>
          <cell r="AD352"/>
          <cell r="AE352"/>
          <cell r="AF352"/>
          <cell r="AG352"/>
          <cell r="AH352"/>
        </row>
        <row r="353">
          <cell r="AA353"/>
          <cell r="AB353"/>
          <cell r="AC353"/>
          <cell r="AD353"/>
          <cell r="AE353"/>
          <cell r="AF353"/>
          <cell r="AG353"/>
          <cell r="AH353"/>
        </row>
        <row r="354">
          <cell r="AA354"/>
          <cell r="AB354"/>
          <cell r="AC354"/>
          <cell r="AD354"/>
          <cell r="AE354"/>
          <cell r="AF354"/>
          <cell r="AG354"/>
          <cell r="AH354"/>
        </row>
        <row r="355">
          <cell r="AA355"/>
          <cell r="AB355"/>
          <cell r="AC355"/>
          <cell r="AD355"/>
          <cell r="AE355"/>
          <cell r="AF355"/>
          <cell r="AG355"/>
          <cell r="AH355"/>
        </row>
        <row r="356">
          <cell r="AA356"/>
          <cell r="AB356"/>
          <cell r="AC356"/>
          <cell r="AD356"/>
          <cell r="AE356"/>
          <cell r="AF356"/>
          <cell r="AG356"/>
          <cell r="AH356"/>
        </row>
        <row r="357">
          <cell r="AA357"/>
          <cell r="AB357"/>
          <cell r="AC357"/>
          <cell r="AD357"/>
          <cell r="AE357"/>
          <cell r="AF357"/>
          <cell r="AG357"/>
          <cell r="AH357"/>
        </row>
        <row r="358">
          <cell r="AA358"/>
          <cell r="AB358"/>
          <cell r="AC358"/>
          <cell r="AD358"/>
          <cell r="AE358"/>
          <cell r="AF358"/>
          <cell r="AG358"/>
          <cell r="AH358"/>
        </row>
        <row r="359">
          <cell r="AA359"/>
          <cell r="AB359"/>
          <cell r="AC359"/>
          <cell r="AD359"/>
          <cell r="AE359"/>
          <cell r="AF359"/>
          <cell r="AG359"/>
          <cell r="AH359"/>
        </row>
        <row r="360">
          <cell r="AA360"/>
          <cell r="AB360"/>
          <cell r="AC360"/>
          <cell r="AD360"/>
          <cell r="AE360"/>
          <cell r="AF360"/>
          <cell r="AG360"/>
          <cell r="AH360"/>
        </row>
        <row r="361">
          <cell r="AA361"/>
          <cell r="AB361"/>
          <cell r="AC361"/>
          <cell r="AD361"/>
          <cell r="AE361"/>
          <cell r="AF361"/>
          <cell r="AG361"/>
          <cell r="AH361"/>
        </row>
        <row r="362">
          <cell r="AA362"/>
          <cell r="AB362"/>
          <cell r="AC362"/>
          <cell r="AD362"/>
          <cell r="AE362"/>
          <cell r="AF362"/>
          <cell r="AG362"/>
          <cell r="AH362"/>
        </row>
        <row r="363">
          <cell r="AA363"/>
          <cell r="AB363"/>
          <cell r="AC363"/>
          <cell r="AD363"/>
          <cell r="AE363"/>
          <cell r="AF363"/>
          <cell r="AG363"/>
          <cell r="AH363"/>
        </row>
        <row r="364">
          <cell r="AA364"/>
          <cell r="AB364"/>
          <cell r="AC364"/>
          <cell r="AD364"/>
          <cell r="AE364"/>
          <cell r="AF364"/>
          <cell r="AG364"/>
          <cell r="AH364"/>
        </row>
        <row r="365">
          <cell r="AA365"/>
          <cell r="AB365"/>
          <cell r="AC365"/>
          <cell r="AD365"/>
          <cell r="AE365"/>
          <cell r="AF365"/>
          <cell r="AG365"/>
          <cell r="AH365"/>
        </row>
        <row r="366">
          <cell r="AA366"/>
          <cell r="AB366"/>
          <cell r="AC366"/>
          <cell r="AD366"/>
          <cell r="AE366"/>
          <cell r="AF366"/>
          <cell r="AG366"/>
          <cell r="AH366"/>
        </row>
        <row r="367">
          <cell r="AA367"/>
          <cell r="AB367"/>
          <cell r="AC367"/>
          <cell r="AD367"/>
          <cell r="AE367"/>
          <cell r="AF367"/>
          <cell r="AG367"/>
          <cell r="AH367"/>
        </row>
        <row r="368">
          <cell r="AA368"/>
          <cell r="AB368"/>
          <cell r="AC368"/>
          <cell r="AD368"/>
          <cell r="AE368"/>
          <cell r="AF368"/>
          <cell r="AG368"/>
          <cell r="AH368"/>
        </row>
      </sheetData>
      <sheetData sheetId="46"/>
      <sheetData sheetId="47"/>
      <sheetData sheetId="48"/>
      <sheetData sheetId="49"/>
      <sheetData sheetId="50"/>
      <sheetData sheetId="51" refreshError="1"/>
      <sheetData sheetId="5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5년"/>
      <sheetName val="2026년"/>
    </sheetNames>
    <sheetDataSet>
      <sheetData sheetId="0"/>
      <sheetData sheetId="1">
        <row r="2">
          <cell r="G2">
            <v>72554</v>
          </cell>
        </row>
        <row r="3">
          <cell r="G3">
            <v>70080</v>
          </cell>
        </row>
        <row r="4">
          <cell r="G4">
            <v>71921</v>
          </cell>
        </row>
        <row r="5">
          <cell r="G5">
            <v>68594</v>
          </cell>
        </row>
        <row r="6">
          <cell r="G6">
            <v>78561</v>
          </cell>
        </row>
        <row r="7">
          <cell r="G7">
            <v>75099</v>
          </cell>
        </row>
        <row r="8">
          <cell r="G8">
            <v>78738</v>
          </cell>
        </row>
        <row r="9">
          <cell r="G9">
            <v>77108</v>
          </cell>
        </row>
        <row r="10">
          <cell r="G10">
            <v>59318</v>
          </cell>
        </row>
        <row r="11">
          <cell r="G11">
            <v>76156</v>
          </cell>
        </row>
        <row r="12">
          <cell r="G12">
            <v>79987</v>
          </cell>
        </row>
        <row r="13">
          <cell r="G13">
            <v>70494</v>
          </cell>
        </row>
        <row r="14">
          <cell r="G14">
            <v>76779</v>
          </cell>
        </row>
        <row r="15">
          <cell r="G15">
            <v>76450</v>
          </cell>
        </row>
        <row r="16">
          <cell r="G16">
            <v>66980</v>
          </cell>
        </row>
        <row r="17">
          <cell r="G17">
            <v>74909</v>
          </cell>
        </row>
        <row r="18">
          <cell r="G18">
            <v>70238</v>
          </cell>
        </row>
        <row r="19">
          <cell r="G19">
            <v>50110</v>
          </cell>
        </row>
        <row r="20">
          <cell r="G20">
            <v>74244</v>
          </cell>
        </row>
        <row r="21">
          <cell r="G21">
            <v>70950</v>
          </cell>
        </row>
        <row r="22">
          <cell r="G22">
            <v>74783</v>
          </cell>
        </row>
        <row r="23">
          <cell r="G23">
            <v>79199</v>
          </cell>
        </row>
        <row r="24">
          <cell r="G24">
            <v>74675</v>
          </cell>
        </row>
        <row r="25">
          <cell r="G25">
            <v>81347</v>
          </cell>
        </row>
        <row r="26">
          <cell r="G26">
            <v>75570</v>
          </cell>
        </row>
        <row r="27">
          <cell r="G27">
            <v>69475</v>
          </cell>
        </row>
        <row r="28">
          <cell r="G28">
            <v>73710</v>
          </cell>
        </row>
        <row r="29">
          <cell r="G29">
            <v>77704</v>
          </cell>
        </row>
        <row r="30">
          <cell r="G30">
            <v>77663</v>
          </cell>
        </row>
        <row r="31">
          <cell r="G31">
            <v>79664</v>
          </cell>
        </row>
        <row r="32">
          <cell r="G32">
            <v>77911</v>
          </cell>
        </row>
        <row r="33">
          <cell r="G33">
            <v>64227</v>
          </cell>
        </row>
        <row r="34">
          <cell r="G34">
            <v>77237</v>
          </cell>
        </row>
        <row r="35">
          <cell r="G35">
            <v>78773</v>
          </cell>
        </row>
        <row r="36">
          <cell r="G36">
            <v>74205</v>
          </cell>
        </row>
        <row r="37">
          <cell r="G37">
            <v>70991</v>
          </cell>
        </row>
        <row r="38">
          <cell r="G38">
            <v>44269</v>
          </cell>
        </row>
        <row r="39">
          <cell r="G39">
            <v>71442</v>
          </cell>
        </row>
        <row r="40">
          <cell r="G40">
            <v>75389</v>
          </cell>
        </row>
        <row r="41">
          <cell r="G41">
            <v>65644</v>
          </cell>
        </row>
        <row r="42">
          <cell r="G42">
            <v>64366</v>
          </cell>
        </row>
        <row r="43">
          <cell r="G43">
            <v>75061</v>
          </cell>
        </row>
        <row r="44">
          <cell r="G44">
            <v>75145</v>
          </cell>
        </row>
        <row r="45">
          <cell r="G45">
            <v>63099</v>
          </cell>
        </row>
        <row r="46">
          <cell r="G46">
            <v>65849</v>
          </cell>
        </row>
        <row r="47">
          <cell r="G47">
            <v>55003</v>
          </cell>
        </row>
        <row r="48">
          <cell r="G48">
            <v>45350</v>
          </cell>
        </row>
        <row r="49">
          <cell r="G49">
            <v>47029</v>
          </cell>
        </row>
        <row r="50">
          <cell r="G50">
            <v>45616</v>
          </cell>
        </row>
        <row r="51">
          <cell r="G51">
            <v>58349</v>
          </cell>
        </row>
        <row r="52">
          <cell r="G52">
            <v>50534</v>
          </cell>
        </row>
        <row r="53">
          <cell r="G53">
            <v>46347</v>
          </cell>
        </row>
        <row r="54">
          <cell r="G54">
            <v>15679</v>
          </cell>
        </row>
        <row r="55">
          <cell r="G55">
            <v>40563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6806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23760</v>
          </cell>
        </row>
        <row r="67">
          <cell r="G67">
            <v>75605</v>
          </cell>
        </row>
        <row r="68">
          <cell r="G68">
            <v>71109</v>
          </cell>
        </row>
        <row r="69">
          <cell r="G69">
            <v>39827</v>
          </cell>
        </row>
        <row r="70">
          <cell r="G70">
            <v>61281</v>
          </cell>
        </row>
        <row r="71">
          <cell r="G71">
            <v>0</v>
          </cell>
        </row>
        <row r="72">
          <cell r="G72">
            <v>37742</v>
          </cell>
        </row>
        <row r="73">
          <cell r="G73">
            <v>39113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8788</v>
          </cell>
        </row>
        <row r="77">
          <cell r="G77">
            <v>0</v>
          </cell>
        </row>
        <row r="78">
          <cell r="G78">
            <v>8027</v>
          </cell>
        </row>
        <row r="79">
          <cell r="G79">
            <v>5673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강 다혜" id="{21F968B3-D0A9-4B52-88E7-127C54FF8C10}" userId="S::dh@withie.co.kr::3f150c22-cc72-4fc6-825b-88355013af05" providerId="AD"/>
  <person displayName="라 호진" id="{5F3B45C8-C6B7-4894-B11B-677978D251FB}" userId="S::nasubang1@withie.co.kr::1d35cff8-27af-46eb-b0ff-f66f72ac4d9a" providerId="AD"/>
  <person displayName="남 길우" id="{4C1F34EB-AB2A-45DC-94F8-3A3F8022172C}" userId="S::nko910730@withie.co.kr::aada67cd-7f53-4293-9e1f-f6a5627b2fc1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J3" dT="2026-01-23T00:26:26.66" personId="{21F968B3-D0A9-4B52-88E7-127C54FF8C10}" id="{09889533-6B7A-46E9-9FC7-15207744F02C}">
    <text xml:space="preserve">열병합발전 : 51.39Gcal/h  
온수보일러 : 68.8Gcal/h x 3기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X3" dT="2026-01-23T00:26:26.66" personId="{21F968B3-D0A9-4B52-88E7-127C54FF8C10}" id="{DBF68595-312F-4007-9741-FF1F2A705BC6}">
    <text xml:space="preserve">열병합발전 : 51.39Gcal/h  
온수보일러 : 68.8Gcal/h x 3기 </text>
  </threadedComment>
  <threadedComment ref="AL4" dT="2026-02-03T00:35:51.31" personId="{21F968B3-D0A9-4B52-88E7-127C54FF8C10}" id="{F2588F72-A389-4863-A5F0-43D8BA729A6F}">
    <text>직접 기입</text>
  </threadedComment>
  <threadedComment ref="BH18" dT="2026-02-10T08:06:25.68" personId="{21F968B3-D0A9-4B52-88E7-127C54FF8C10}" id="{28EC43C5-E6A1-4950-87C3-742652FBF6C8}">
    <text>1월의 경우
초기가동 6:00 부터로 전부 동일
초기가동 이후 셧다운 없음으로 산정</text>
  </threadedComment>
  <threadedComment ref="L31" dT="2026-02-03T00:38:29.08" personId="{21F968B3-D0A9-4B52-88E7-127C54FF8C10}" id="{65EBB0F9-2332-4BC4-897B-3E9729025B52}">
    <text>전력량계 교체</text>
  </threadedComment>
  <threadedComment ref="T38" dT="2026-02-02T08:02:05.97" personId="{21F968B3-D0A9-4B52-88E7-127C54FF8C10}" id="{E4ED5AEE-F7C8-498D-9AAC-3D954766B330}">
    <text>인테코 dh수로 축열조 충수 중</text>
  </threadedComment>
  <threadedComment ref="O41" dT="2026-02-06T00:34:53.55" personId="{21F968B3-D0A9-4B52-88E7-127C54FF8C10}" id="{0940C130-0CB0-42E7-A948-49CCFC497C75}">
    <text>밸브 미잠금으로 폐수발생량 많은것으로 예상
2/6 9:00 운영교대 발견 및 공유
 - 지하 TCV-8610 드레인 열림
 - 지하 청소용 시수 열림</text>
  </threadedComment>
  <threadedComment ref="AM42" dT="2026-02-06T04:17:29.39" personId="{21F968B3-D0A9-4B52-88E7-127C54FF8C10}" id="{6345B6FC-380D-46D7-8769-2DF07F33A36E}">
    <text>CHP Trip 
EMB Sol 접점 신호 체계 이상으로 gov_5t65 신호 불량 추정</text>
  </threadedComment>
  <threadedComment ref="AO42" dT="2026-02-06T04:17:53.87" personId="{21F968B3-D0A9-4B52-88E7-127C54FF8C10}" id="{C6903B5B-8074-415B-A115-4F03397DF8CB}">
    <text>CHP Trip</text>
  </threadedComment>
  <threadedComment ref="R48" dT="2026-02-18T23:46:18.26" personId="{21F968B3-D0A9-4B52-88E7-127C54FF8C10}" id="{9E5932B5-66D9-42F7-A4F7-4BBAF76DC2D0}">
    <text>17:10 통수 시작</text>
  </threadedComment>
  <threadedComment ref="R49" dT="2026-02-18T23:46:27.00" personId="{21F968B3-D0A9-4B52-88E7-127C54FF8C10}" id="{CB9A4337-01B0-4F6F-B2A0-745128B54B92}">
    <text>오후 통수종료</text>
  </threadedComment>
  <threadedComment ref="R50" dT="2026-02-18T23:46:42.19" personId="{21F968B3-D0A9-4B52-88E7-127C54FF8C10}" id="{3BCE8133-112E-4FED-8D9B-5556EE95087B}">
    <text>통수로 인한 overflow</text>
  </threadedComment>
  <threadedComment ref="AM89" dT="2026-04-01T01:03:49.40" personId="{21F968B3-D0A9-4B52-88E7-127C54FF8C10}" id="{58253252-66C1-44F9-BDA6-FE625FA52061}">
    <text>급전 취소로 정지</text>
  </threadedComment>
  <threadedComment ref="AL100" dT="2026-04-06T01:16:17.42" personId="{21F968B3-D0A9-4B52-88E7-127C54FF8C10}" id="{8DEACC25-44A0-4995-B2B5-069FE2C3EE82}">
    <text>KPX 지시로 점화</text>
  </threadedComment>
  <threadedComment ref="AM101" dT="2026-04-06T01:17:27.12" personId="{21F968B3-D0A9-4B52-88E7-127C54FF8C10}" id="{0A48CDD5-0EF1-44E7-B23C-4FF9C957977E}">
    <text xml:space="preserve">4/6 1:27 KPX 기동지시 취소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4" dT="2026-01-22T00:30:35.03" personId="{21F968B3-D0A9-4B52-88E7-127C54FF8C10}" id="{B602C519-4E63-44FF-B247-FAF05D4DFFD4}">
    <text>='[2026년 위드운전실적(비번356).xlsx]key-in(LO)'!AA</text>
  </threadedComment>
  <threadedComment ref="D4" dT="2025-06-24T04:41:42.28" personId="{5F3B45C8-C6B7-4894-B11B-677978D251FB}" id="{B68331CB-529C-463F-B31A-048E6045397D}">
    <text>수처리동 PC</text>
  </threadedComment>
  <threadedComment ref="E4" dT="2025-06-24T04:40:48.97" personId="{5F3B45C8-C6B7-4894-B11B-677978D251FB}" id="{222875CC-4B60-428C-AD0B-6A7C47336C3A}">
    <text>4F 공조기실</text>
  </threadedComment>
  <threadedComment ref="F4" dT="2025-06-24T04:40:36.21" personId="{5F3B45C8-C6B7-4894-B11B-677978D251FB}" id="{2908CA7C-EACA-4086-ADBE-2912A0998F5C}">
    <text>열원동 H/C P/P 앞</text>
  </threadedComment>
  <threadedComment ref="G4" dT="2025-06-24T04:38:57.80" personId="{5F3B45C8-C6B7-4894-B11B-677978D251FB}" id="{E863B8D7-9794-4398-83FE-D4349FEBE1A1}">
    <text>수처리동 전기실</text>
  </threadedComment>
  <threadedComment ref="H4" dT="2025-06-24T04:38:44.36" personId="{5F3B45C8-C6B7-4894-B11B-677978D251FB}" id="{1A6151EB-1D7F-4E1E-BDB8-A0BDE16C9CD7}">
    <text>수처리동지하</text>
  </threadedComment>
  <threadedComment ref="J4" dT="2026-01-22T00:31:00.32" personId="{21F968B3-D0A9-4B52-88E7-127C54FF8C10}" id="{24B03DDC-F1E1-41A8-95EA-8B0B604AF626}">
    <text>='[2026년 위드운전실적(비번356).xlsx]key-in(ACO)'!$AR</text>
  </threadedComment>
  <threadedComment ref="K4" dT="2026-01-22T00:31:10.13" personId="{21F968B3-D0A9-4B52-88E7-127C54FF8C10}" id="{2A9B94CD-31A4-4CF6-AD43-C62ED8038EEF}">
    <text>='[2026년 위드운전실적(비번356).xlsx]key-in(ACO)'!$AS</text>
  </threadedComment>
  <threadedComment ref="L4" dT="2026-01-22T00:31:17.54" personId="{21F968B3-D0A9-4B52-88E7-127C54FF8C10}" id="{959F6464-7770-421D-815D-DD4BDBC2D363}">
    <text>='[2026년 위드운전실적(비번356).xlsx]key-in(ACO)'!$AV</text>
  </threadedComment>
  <threadedComment ref="M4" dT="2026-01-22T00:31:27.63" personId="{21F968B3-D0A9-4B52-88E7-127C54FF8C10}" id="{FA7A8534-10FF-497B-8D76-EC0F29C9CC79}">
    <text>='[2026년 위드운전실적(비번356).xlsx]생산'!BA23</text>
  </threadedComment>
  <threadedComment ref="N4" dT="2026-01-22T00:26:20.82" personId="{21F968B3-D0A9-4B52-88E7-127C54FF8C10}" id="{3E3ADAB3-D8D1-4FCB-A496-A063E99782C7}">
    <text>='[2026년 위드운전실적(비번356).xlsx]생산'!BB</text>
  </threadedComment>
  <threadedComment ref="O4" dT="2026-01-22T00:26:49.95" personId="{21F968B3-D0A9-4B52-88E7-127C54FF8C10}" id="{AADF8CB7-D3AB-49C8-A502-85ABCDA38B84}">
    <text>='[2026년 위드운전실적(비번356).xlsx]생산'!BC</text>
  </threadedComment>
  <threadedComment ref="P4" dT="2026-01-22T00:27:35.41" personId="{21F968B3-D0A9-4B52-88E7-127C54FF8C10}" id="{22D21C71-5DD3-4A09-A2E0-422266B9653D}">
    <text>='[2026년 위드운전실적(비번356).xlsx]생산'!BD</text>
  </threadedComment>
  <threadedComment ref="Q4" dT="2026-01-22T00:27:48.51" personId="{21F968B3-D0A9-4B52-88E7-127C54FF8C10}" id="{C535BB44-070B-489E-80DA-1C11BA0D199E}">
    <text>='[2026년 위드운전실적(비번356).xlsx]생산'!BE</text>
  </threadedComment>
  <threadedComment ref="R4" dT="2026-01-22T00:28:10.25" personId="{21F968B3-D0A9-4B52-88E7-127C54FF8C10}" id="{0944DF29-B9BB-4812-B378-AA7FAD2F998E}">
    <text>='[2026년 위드운전실적(비번356).xlsx]생산'!BF</text>
  </threadedComment>
  <threadedComment ref="S4" dT="2026-01-22T00:35:58.65" personId="{21F968B3-D0A9-4B52-88E7-127C54FF8C10}" id="{8F107094-6BD0-4284-8602-E216CFC237D8}">
    <text>='[2026년 위드운전실적(비번356).xlsx]운전시간외'!C3</text>
  </threadedComment>
  <threadedComment ref="T4" dT="2026-01-22T00:36:17.39" personId="{21F968B3-D0A9-4B52-88E7-127C54FF8C10}" id="{15D7CA4B-0FB1-4F67-B675-247E338C40D1}">
    <text>='[2026년 위드운전실적(비번356).xlsx]운전시간외'!D3</text>
  </threadedComment>
  <threadedComment ref="U4" dT="2026-01-22T00:36:35.59" personId="{21F968B3-D0A9-4B52-88E7-127C54FF8C10}" id="{E2826956-9ECD-48FF-B77D-3827B5AF6BC4}">
    <text>='[2026년 위드운전실적(비번356).xlsx]운전시간외'!E3</text>
  </threadedComment>
  <threadedComment ref="V4" dT="2026-01-22T00:36:43.91" personId="{21F968B3-D0A9-4B52-88E7-127C54FF8C10}" id="{7F0C4704-975C-4810-9730-E771AE9BD7A0}">
    <text>='[2026년 위드운전실적(비번356).xlsx]운전시간외'!F3</text>
  </threadedComment>
  <threadedComment ref="W4" dT="2026-01-23T00:16:02.76" personId="{21F968B3-D0A9-4B52-88E7-127C54FF8C10}" id="{740FEA20-7C06-4698-A70E-FCAADDB85C50}">
    <text>='[2026년 위드운전실적(비번356).xlsx]생산'!F3</text>
  </threadedComment>
  <threadedComment ref="X4" dT="2026-01-23T00:20:02.13" personId="{21F968B3-D0A9-4B52-88E7-127C54FF8C10}" id="{7F836311-DB65-467B-979C-75A7AECB0025}">
    <text>='[2026년 위드운전실적(비번356).xlsx]생산'!G3</text>
  </threadedComment>
  <threadedComment ref="Y4" dT="2026-01-23T00:20:15.77" personId="{21F968B3-D0A9-4B52-88E7-127C54FF8C10}" id="{DD2F0F22-8C6A-4DE2-92FB-2E517D82A320}">
    <text xml:space="preserve">='[2026년 위드운전실적(비번356).xlsx]생산'!H3
</text>
  </threadedComment>
  <threadedComment ref="Z4" dT="2026-01-23T00:20:25.63" personId="{21F968B3-D0A9-4B52-88E7-127C54FF8C10}" id="{4A8DE119-FBB9-442A-9D16-1E83934D7492}">
    <text xml:space="preserve">='[2026년 위드운전실적(비번356).xlsx]생산'!I3
</text>
  </threadedComment>
  <threadedComment ref="AA4" dT="2026-01-23T00:20:38.06" personId="{21F968B3-D0A9-4B52-88E7-127C54FF8C10}" id="{96C914A2-6367-4BD6-A70A-CCBF1BA1BC26}">
    <text>='[2026년 위드운전실적(비번356).xlsx]생산'!J3</text>
  </threadedComment>
  <threadedComment ref="AB4" dT="2026-01-23T00:20:53.44" personId="{21F968B3-D0A9-4B52-88E7-127C54FF8C10}" id="{2677D3B7-E5F4-4568-8469-8AACE689BAE6}">
    <text xml:space="preserve">='[2026년 위드운전실적(비번356).xlsx]생산'!K3
</text>
  </threadedComment>
  <threadedComment ref="AC4" dT="2026-04-07T06:38:56.24" personId="{4C1F34EB-AB2A-45DC-94F8-3A3F8022172C}" id="{B38A484C-D125-4CA1-AD55-E5CB91520817}">
    <text>사업장대기오염물질관리시스템 다운로드</text>
  </threadedComment>
  <threadedComment ref="G31" dT="2026-02-03T00:38:08.26" personId="{21F968B3-D0A9-4B52-88E7-127C54FF8C10}" id="{C5D79542-0245-4FED-B6ED-2D52456B1BDF}">
    <text>전력량계 교체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4" dT="2026-02-06T00:45:21.65" personId="{21F968B3-D0A9-4B52-88E7-127C54FF8C10}" id="{45757A23-6F46-48BD-9B2B-B168FDEDC4FF}">
    <text>2~3 톤/hr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5F58E1-F945-4FBB-BAC3-F5ADF58967EA}">
  <we:reference id="WA200005502" version="1.0.0.12" store="Omex" storeType="OMEX"/>
  <we:alternateReferences>
    <we:reference id="WA200005502" version="1.0.0.12" store="WA200005502" storeType="OMEX"/>
  </we:alternateReferences>
  <we:properties>
    <we:property name="docId" value="&quot;KZMQbXALWJFS0lJDESJP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1059-11FB-47CA-9E73-C8DA23470221}">
  <dimension ref="A1:Y10"/>
  <sheetViews>
    <sheetView showGridLines="0" zoomScale="85" zoomScaleNormal="85" workbookViewId="0">
      <selection activeCell="A31" sqref="A31"/>
    </sheetView>
  </sheetViews>
  <sheetFormatPr defaultRowHeight="17"/>
  <sheetData>
    <row r="1" spans="1:25" s="35" customFormat="1" ht="31.5" customHeight="1">
      <c r="A1" s="292">
        <v>2026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  <c r="V1" s="292"/>
      <c r="W1" s="292"/>
      <c r="X1" s="292"/>
      <c r="Y1" s="292"/>
    </row>
    <row r="2" spans="1:25" s="35" customFormat="1" ht="22.5" customHeight="1" thickBot="1">
      <c r="A2" s="293" t="s">
        <v>0</v>
      </c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  <c r="U2" s="293"/>
      <c r="V2" s="293"/>
      <c r="W2" s="293"/>
      <c r="X2" s="293"/>
      <c r="Y2" s="293"/>
    </row>
    <row r="3" spans="1:25" s="35" customFormat="1" ht="15" customHeight="1"/>
    <row r="4" spans="1:25" s="35" customFormat="1" ht="15" customHeight="1">
      <c r="A4" s="305" t="s">
        <v>1</v>
      </c>
      <c r="B4" s="306"/>
      <c r="C4" s="306"/>
      <c r="D4" s="306"/>
      <c r="E4" s="306"/>
      <c r="F4" s="306"/>
      <c r="G4" s="306"/>
      <c r="H4" s="306"/>
      <c r="I4" s="306"/>
      <c r="J4" s="306"/>
      <c r="K4" s="306"/>
      <c r="L4" s="306"/>
      <c r="N4" s="300" t="s">
        <v>2</v>
      </c>
      <c r="O4" s="301"/>
      <c r="P4" s="301"/>
      <c r="Q4" s="301"/>
      <c r="R4" s="301"/>
      <c r="S4" s="301"/>
      <c r="T4" s="301"/>
      <c r="U4" s="301"/>
      <c r="V4" s="301"/>
      <c r="W4" s="301"/>
      <c r="X4" s="301"/>
      <c r="Y4" s="301"/>
    </row>
    <row r="5" spans="1:25" s="35" customFormat="1" ht="15" customHeight="1"/>
    <row r="6" spans="1:25" s="35" customFormat="1" ht="18" customHeight="1">
      <c r="A6" s="307" t="s">
        <v>3</v>
      </c>
      <c r="B6" s="307"/>
      <c r="C6" s="307"/>
      <c r="D6" s="308" t="s">
        <v>4</v>
      </c>
      <c r="E6" s="283"/>
      <c r="F6" s="283"/>
      <c r="G6" s="309" t="s">
        <v>5</v>
      </c>
      <c r="H6" s="285"/>
      <c r="I6" s="285"/>
      <c r="J6" s="310" t="s">
        <v>6</v>
      </c>
      <c r="K6" s="287"/>
      <c r="L6" s="287"/>
      <c r="N6" s="302" t="s">
        <v>7</v>
      </c>
      <c r="O6" s="302"/>
      <c r="P6" s="302"/>
      <c r="Q6" s="303" t="s">
        <v>8</v>
      </c>
      <c r="R6" s="297"/>
      <c r="S6" s="297"/>
      <c r="T6" s="304" t="s">
        <v>9</v>
      </c>
      <c r="U6" s="304"/>
      <c r="V6" s="304"/>
      <c r="W6" s="294" t="s">
        <v>10</v>
      </c>
      <c r="X6" s="294"/>
      <c r="Y6" s="294"/>
    </row>
    <row r="7" spans="1:25" s="35" customFormat="1" ht="28.5" customHeight="1">
      <c r="A7" s="281">
        <f>월별!R17</f>
        <v>12550</v>
      </c>
      <c r="B7" s="281"/>
      <c r="C7" s="281"/>
      <c r="D7" s="282">
        <f>월별!D17+월별!F17</f>
        <v>5457</v>
      </c>
      <c r="E7" s="283"/>
      <c r="F7" s="283"/>
      <c r="G7" s="284">
        <f>월별!P17</f>
        <v>9381</v>
      </c>
      <c r="H7" s="285"/>
      <c r="I7" s="285"/>
      <c r="J7" s="286">
        <f>월별!N17</f>
        <v>83.200000000000188</v>
      </c>
      <c r="K7" s="287"/>
      <c r="L7" s="287"/>
      <c r="N7" s="295">
        <f>월별!AF17</f>
        <v>1427</v>
      </c>
      <c r="O7" s="295"/>
      <c r="P7" s="295"/>
      <c r="Q7" s="296">
        <f>월별!Z17</f>
        <v>10988127.320000008</v>
      </c>
      <c r="R7" s="297"/>
      <c r="S7" s="297"/>
      <c r="T7" s="298">
        <f>월별!AG17</f>
        <v>47</v>
      </c>
      <c r="U7" s="298"/>
      <c r="V7" s="298"/>
      <c r="W7" s="299">
        <f>월별!AA17</f>
        <v>262388.44999999995</v>
      </c>
      <c r="X7" s="299"/>
      <c r="Y7" s="299"/>
    </row>
    <row r="8" spans="1:25" s="35" customFormat="1" ht="16.5" customHeight="1">
      <c r="A8" s="288" t="s">
        <v>11</v>
      </c>
      <c r="B8" s="288"/>
      <c r="C8" s="288"/>
      <c r="D8" s="289" t="s">
        <v>11</v>
      </c>
      <c r="E8" s="283"/>
      <c r="F8" s="283"/>
      <c r="G8" s="290" t="s">
        <v>12</v>
      </c>
      <c r="H8" s="285"/>
      <c r="I8" s="285"/>
      <c r="J8" s="291" t="s">
        <v>13</v>
      </c>
      <c r="K8" s="287"/>
      <c r="L8" s="287"/>
      <c r="N8" s="311" t="s">
        <v>14</v>
      </c>
      <c r="O8" s="311"/>
      <c r="P8" s="311"/>
      <c r="Q8" s="312" t="s">
        <v>15</v>
      </c>
      <c r="R8" s="297"/>
      <c r="S8" s="297"/>
      <c r="T8" s="313" t="s">
        <v>16</v>
      </c>
      <c r="U8" s="313"/>
      <c r="V8" s="313"/>
      <c r="W8" s="314" t="s">
        <v>17</v>
      </c>
      <c r="X8" s="314"/>
      <c r="Y8" s="314"/>
    </row>
    <row r="9" spans="1:25" s="35" customFormat="1" ht="16.5" customHeight="1">
      <c r="A9" s="288" t="s">
        <v>18</v>
      </c>
      <c r="B9" s="288"/>
      <c r="C9" s="288"/>
      <c r="D9" s="289" t="s">
        <v>18</v>
      </c>
      <c r="E9" s="283"/>
      <c r="F9" s="283"/>
      <c r="G9" s="315" t="s">
        <v>19</v>
      </c>
      <c r="H9" s="285"/>
      <c r="I9" s="285"/>
      <c r="J9" s="291" t="s">
        <v>20</v>
      </c>
      <c r="K9" s="287"/>
      <c r="L9" s="287"/>
      <c r="N9" s="316" t="s">
        <v>21</v>
      </c>
      <c r="O9" s="311"/>
      <c r="P9" s="311"/>
      <c r="Q9" s="317" t="s">
        <v>22</v>
      </c>
      <c r="R9" s="318"/>
      <c r="S9" s="318"/>
      <c r="T9" s="313" t="s">
        <v>23</v>
      </c>
      <c r="U9" s="313"/>
      <c r="V9" s="313"/>
      <c r="W9" s="319" t="s">
        <v>22</v>
      </c>
      <c r="X9" s="314"/>
      <c r="Y9" s="314"/>
    </row>
    <row r="10" spans="1:25" s="35" customFormat="1" ht="15" customHeight="1"/>
  </sheetData>
  <mergeCells count="36">
    <mergeCell ref="N8:P8"/>
    <mergeCell ref="Q8:S8"/>
    <mergeCell ref="T8:V8"/>
    <mergeCell ref="W8:Y8"/>
    <mergeCell ref="A9:C9"/>
    <mergeCell ref="D9:F9"/>
    <mergeCell ref="G9:I9"/>
    <mergeCell ref="J9:L9"/>
    <mergeCell ref="N9:P9"/>
    <mergeCell ref="Q9:S9"/>
    <mergeCell ref="T9:V9"/>
    <mergeCell ref="W9:Y9"/>
    <mergeCell ref="A1:Y1"/>
    <mergeCell ref="A2:Y2"/>
    <mergeCell ref="W6:Y6"/>
    <mergeCell ref="N7:P7"/>
    <mergeCell ref="Q7:S7"/>
    <mergeCell ref="T7:V7"/>
    <mergeCell ref="W7:Y7"/>
    <mergeCell ref="N4:Y4"/>
    <mergeCell ref="N6:P6"/>
    <mergeCell ref="Q6:S6"/>
    <mergeCell ref="T6:V6"/>
    <mergeCell ref="A4:L4"/>
    <mergeCell ref="A6:C6"/>
    <mergeCell ref="D6:F6"/>
    <mergeCell ref="G6:I6"/>
    <mergeCell ref="J6:L6"/>
    <mergeCell ref="A7:C7"/>
    <mergeCell ref="D7:F7"/>
    <mergeCell ref="G7:I7"/>
    <mergeCell ref="J7:L7"/>
    <mergeCell ref="A8:C8"/>
    <mergeCell ref="D8:F8"/>
    <mergeCell ref="G8:I8"/>
    <mergeCell ref="J8:L8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65F1D-B6F7-44B3-867E-258B7B25AEB5}">
  <dimension ref="A2:DI17"/>
  <sheetViews>
    <sheetView showGridLines="0" zoomScale="85" zoomScaleNormal="85" workbookViewId="0">
      <selection activeCell="H20" sqref="H20"/>
    </sheetView>
  </sheetViews>
  <sheetFormatPr defaultRowHeight="17"/>
  <cols>
    <col min="1" max="1" width="11" bestFit="1" customWidth="1"/>
    <col min="26" max="29" width="11.58203125" customWidth="1"/>
    <col min="30" max="30" width="15" bestFit="1" customWidth="1"/>
    <col min="31" max="31" width="11.58203125" customWidth="1"/>
    <col min="36" max="36" width="11.58203125" bestFit="1" customWidth="1"/>
    <col min="42" max="43" width="8.83203125" bestFit="1" customWidth="1"/>
    <col min="44" max="44" width="10.58203125" bestFit="1" customWidth="1"/>
    <col min="45" max="45" width="8.83203125" bestFit="1" customWidth="1"/>
    <col min="46" max="46" width="10.58203125" bestFit="1" customWidth="1"/>
    <col min="47" max="91" width="8.83203125" bestFit="1" customWidth="1"/>
  </cols>
  <sheetData>
    <row r="2" spans="1:113">
      <c r="A2" s="259"/>
      <c r="B2" s="30" t="s">
        <v>24</v>
      </c>
      <c r="C2" s="30" t="s">
        <v>25</v>
      </c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59"/>
      <c r="X2" s="259"/>
      <c r="Y2" s="259"/>
      <c r="Z2" s="259"/>
      <c r="AA2" s="259"/>
      <c r="AB2" s="259"/>
      <c r="AC2" s="259"/>
      <c r="AD2" s="259"/>
      <c r="AE2" s="259"/>
      <c r="AF2" s="259"/>
      <c r="AG2" s="259"/>
      <c r="AH2" s="259"/>
      <c r="AI2" s="259"/>
      <c r="AJ2" s="259"/>
      <c r="AK2" s="259"/>
      <c r="AL2" s="259"/>
      <c r="AM2" s="259"/>
      <c r="AN2" s="259"/>
      <c r="AO2" s="259"/>
      <c r="AP2" s="259"/>
      <c r="AQ2" s="259"/>
      <c r="AR2" s="259"/>
      <c r="AS2" s="259"/>
      <c r="AT2" s="259"/>
      <c r="AU2" s="259"/>
      <c r="AV2" s="259"/>
      <c r="AW2" s="259"/>
      <c r="AX2" s="259"/>
      <c r="AY2" s="259"/>
      <c r="AZ2" s="259"/>
      <c r="BA2" s="259"/>
      <c r="BB2" s="259"/>
      <c r="BC2" s="259"/>
      <c r="BD2" s="259"/>
      <c r="BE2" s="259"/>
      <c r="BF2" s="259"/>
      <c r="BG2" s="259"/>
      <c r="BH2" s="259"/>
      <c r="BI2" s="259"/>
      <c r="BJ2" s="259"/>
      <c r="BK2" s="259"/>
      <c r="BL2" s="259"/>
      <c r="BM2" s="259"/>
      <c r="BN2" s="259"/>
      <c r="BO2" s="259"/>
      <c r="BP2" s="259"/>
      <c r="BQ2" s="259"/>
    </row>
    <row r="3" spans="1:113">
      <c r="A3" s="24" t="s">
        <v>26</v>
      </c>
      <c r="B3" s="23" t="s">
        <v>27</v>
      </c>
      <c r="C3" s="22"/>
      <c r="D3" s="23" t="s">
        <v>28</v>
      </c>
      <c r="E3" s="22"/>
      <c r="F3" s="23" t="s">
        <v>29</v>
      </c>
      <c r="G3" s="22"/>
      <c r="H3" s="21" t="s">
        <v>30</v>
      </c>
      <c r="I3" s="21"/>
      <c r="J3" s="23" t="s">
        <v>31</v>
      </c>
      <c r="K3" s="22"/>
      <c r="L3" s="23" t="s">
        <v>32</v>
      </c>
      <c r="M3" s="22"/>
      <c r="N3" s="23" t="s">
        <v>33</v>
      </c>
      <c r="O3" s="22"/>
      <c r="P3" s="23" t="s">
        <v>34</v>
      </c>
      <c r="Q3" s="22"/>
      <c r="R3" s="23" t="s">
        <v>35</v>
      </c>
      <c r="S3" s="22"/>
      <c r="T3" s="23" t="s">
        <v>36</v>
      </c>
      <c r="U3" s="22"/>
      <c r="V3" s="23" t="s">
        <v>37</v>
      </c>
      <c r="W3" s="22"/>
      <c r="X3" s="23" t="s">
        <v>38</v>
      </c>
      <c r="Y3" s="22"/>
      <c r="Z3" s="23" t="s">
        <v>39</v>
      </c>
      <c r="AA3" s="21"/>
      <c r="AB3" s="21"/>
      <c r="AC3" s="21"/>
      <c r="AD3" s="21"/>
      <c r="AE3" s="22"/>
      <c r="AF3" s="23" t="s">
        <v>40</v>
      </c>
      <c r="AG3" s="21"/>
      <c r="AH3" s="21"/>
      <c r="AI3" s="22"/>
      <c r="AJ3" s="34" t="s">
        <v>41</v>
      </c>
      <c r="AK3" s="33"/>
      <c r="AL3" s="33"/>
      <c r="AM3" s="33"/>
      <c r="AN3" s="33"/>
      <c r="AO3" s="39"/>
      <c r="AP3" s="23" t="s">
        <v>42</v>
      </c>
      <c r="AQ3" s="21"/>
      <c r="AR3" s="21"/>
      <c r="AS3" s="22"/>
      <c r="AT3" s="21"/>
      <c r="AU3" s="22"/>
      <c r="AV3" s="320" t="s">
        <v>43</v>
      </c>
      <c r="AW3" s="321"/>
      <c r="AX3" s="321"/>
      <c r="AY3" s="321"/>
      <c r="AZ3" s="321"/>
      <c r="BA3" s="321"/>
      <c r="BB3" s="321"/>
      <c r="BC3" s="321"/>
      <c r="BD3" s="321"/>
      <c r="BE3" s="321"/>
      <c r="BF3" s="321"/>
      <c r="BG3" s="321"/>
      <c r="BH3" s="321"/>
      <c r="BI3" s="321"/>
      <c r="BJ3" s="321"/>
      <c r="BK3" s="321"/>
      <c r="BL3" s="321"/>
      <c r="BM3" s="321"/>
      <c r="BN3" s="321"/>
      <c r="BO3" s="321"/>
      <c r="BP3" s="321"/>
      <c r="BQ3" s="322"/>
      <c r="BR3" s="320" t="s">
        <v>44</v>
      </c>
      <c r="BS3" s="321"/>
      <c r="BT3" s="321"/>
      <c r="BU3" s="321"/>
      <c r="BV3" s="321"/>
      <c r="BW3" s="321"/>
      <c r="BX3" s="321"/>
      <c r="BY3" s="321"/>
      <c r="BZ3" s="321"/>
      <c r="CA3" s="321"/>
      <c r="CB3" s="321"/>
      <c r="CC3" s="321"/>
      <c r="CD3" s="321"/>
      <c r="CE3" s="321"/>
      <c r="CF3" s="321"/>
      <c r="CG3" s="321"/>
      <c r="CH3" s="321"/>
      <c r="CI3" s="321"/>
      <c r="CJ3" s="321"/>
      <c r="CK3" s="321"/>
      <c r="CL3" s="321"/>
      <c r="CM3" s="322"/>
      <c r="CN3" s="320" t="s">
        <v>45</v>
      </c>
      <c r="CO3" s="321"/>
      <c r="CP3" s="321"/>
      <c r="CQ3" s="321"/>
      <c r="CR3" s="321"/>
      <c r="CS3" s="321"/>
      <c r="CT3" s="321"/>
      <c r="CU3" s="321"/>
      <c r="CV3" s="321"/>
      <c r="CW3" s="321"/>
      <c r="CX3" s="321"/>
      <c r="CY3" s="321"/>
      <c r="CZ3" s="321"/>
      <c r="DA3" s="321"/>
      <c r="DB3" s="321"/>
      <c r="DC3" s="321"/>
      <c r="DD3" s="321"/>
      <c r="DE3" s="321"/>
      <c r="DF3" s="321"/>
      <c r="DG3" s="321"/>
      <c r="DH3" s="321"/>
      <c r="DI3" s="322"/>
    </row>
    <row r="4" spans="1:113">
      <c r="A4" s="40">
        <v>46388</v>
      </c>
      <c r="B4" s="17" t="s">
        <v>12</v>
      </c>
      <c r="C4" s="5" t="s">
        <v>46</v>
      </c>
      <c r="D4" s="17" t="s">
        <v>12</v>
      </c>
      <c r="E4" s="5" t="s">
        <v>46</v>
      </c>
      <c r="F4" s="17" t="s">
        <v>12</v>
      </c>
      <c r="G4" s="5" t="s">
        <v>46</v>
      </c>
      <c r="H4" s="7"/>
      <c r="I4" s="7"/>
      <c r="J4" s="17" t="s">
        <v>12</v>
      </c>
      <c r="K4" s="5" t="s">
        <v>46</v>
      </c>
      <c r="L4" s="17" t="s">
        <v>12</v>
      </c>
      <c r="M4" s="5" t="s">
        <v>46</v>
      </c>
      <c r="N4" s="17" t="s">
        <v>13</v>
      </c>
      <c r="O4" s="14"/>
      <c r="P4" s="17" t="s">
        <v>12</v>
      </c>
      <c r="Q4" s="5" t="s">
        <v>46</v>
      </c>
      <c r="R4" s="17" t="s">
        <v>12</v>
      </c>
      <c r="S4" s="5" t="s">
        <v>46</v>
      </c>
      <c r="T4" s="37"/>
      <c r="U4" s="38"/>
      <c r="V4" s="37"/>
      <c r="W4" s="38"/>
      <c r="X4" s="37"/>
      <c r="Y4" s="38"/>
      <c r="Z4" s="17" t="s">
        <v>47</v>
      </c>
      <c r="AA4" s="7" t="s">
        <v>48</v>
      </c>
      <c r="AB4" s="7" t="s">
        <v>49</v>
      </c>
      <c r="AC4" s="7" t="s">
        <v>50</v>
      </c>
      <c r="AD4" s="7" t="s">
        <v>51</v>
      </c>
      <c r="AE4" s="5" t="s">
        <v>52</v>
      </c>
      <c r="AF4" s="17" t="s">
        <v>53</v>
      </c>
      <c r="AG4" s="7" t="s">
        <v>54</v>
      </c>
      <c r="AH4" s="7" t="s">
        <v>55</v>
      </c>
      <c r="AI4" s="5" t="s">
        <v>56</v>
      </c>
      <c r="AJ4" s="17" t="s">
        <v>57</v>
      </c>
      <c r="AK4" s="7" t="s">
        <v>58</v>
      </c>
      <c r="AL4" s="7" t="s">
        <v>59</v>
      </c>
      <c r="AM4" s="7" t="s">
        <v>60</v>
      </c>
      <c r="AN4" s="7" t="s">
        <v>61</v>
      </c>
      <c r="AO4" s="5" t="s">
        <v>62</v>
      </c>
      <c r="AP4" s="17" t="s">
        <v>63</v>
      </c>
      <c r="AQ4" s="7" t="s">
        <v>25</v>
      </c>
      <c r="AR4" s="7" t="s">
        <v>8</v>
      </c>
      <c r="AS4" s="7" t="s">
        <v>25</v>
      </c>
      <c r="AT4" s="7" t="s">
        <v>64</v>
      </c>
      <c r="AU4" s="5" t="s">
        <v>25</v>
      </c>
      <c r="AV4" s="185">
        <v>1</v>
      </c>
      <c r="AW4" s="30">
        <v>2</v>
      </c>
      <c r="AX4" s="30">
        <v>3</v>
      </c>
      <c r="AY4" s="30">
        <v>4</v>
      </c>
      <c r="AZ4" s="30">
        <v>5</v>
      </c>
      <c r="BA4" s="30">
        <v>6</v>
      </c>
      <c r="BB4" s="30">
        <v>7</v>
      </c>
      <c r="BC4" s="30">
        <v>8</v>
      </c>
      <c r="BD4" s="30">
        <v>9</v>
      </c>
      <c r="BE4" s="30">
        <v>10</v>
      </c>
      <c r="BF4" s="30">
        <v>11</v>
      </c>
      <c r="BG4" s="30">
        <v>12</v>
      </c>
      <c r="BH4" s="30">
        <v>13</v>
      </c>
      <c r="BI4" s="30">
        <v>14</v>
      </c>
      <c r="BJ4" s="30">
        <v>15</v>
      </c>
      <c r="BK4" s="30">
        <v>16</v>
      </c>
      <c r="BL4" s="30">
        <v>17</v>
      </c>
      <c r="BM4" s="30">
        <v>18</v>
      </c>
      <c r="BN4" s="30">
        <v>19</v>
      </c>
      <c r="BO4" s="30">
        <v>20</v>
      </c>
      <c r="BP4" s="30">
        <v>21</v>
      </c>
      <c r="BQ4" s="261">
        <v>22</v>
      </c>
      <c r="BR4" s="185">
        <v>1</v>
      </c>
      <c r="BS4" s="30">
        <v>2</v>
      </c>
      <c r="BT4" s="30">
        <v>3</v>
      </c>
      <c r="BU4" s="30">
        <v>4</v>
      </c>
      <c r="BV4" s="30">
        <v>5</v>
      </c>
      <c r="BW4" s="30">
        <v>6</v>
      </c>
      <c r="BX4" s="30">
        <v>7</v>
      </c>
      <c r="BY4" s="30">
        <v>8</v>
      </c>
      <c r="BZ4" s="30">
        <v>9</v>
      </c>
      <c r="CA4" s="30">
        <v>10</v>
      </c>
      <c r="CB4" s="30">
        <v>11</v>
      </c>
      <c r="CC4" s="30">
        <v>12</v>
      </c>
      <c r="CD4" s="30">
        <v>13</v>
      </c>
      <c r="CE4" s="30">
        <v>14</v>
      </c>
      <c r="CF4" s="30">
        <v>15</v>
      </c>
      <c r="CG4" s="30">
        <v>16</v>
      </c>
      <c r="CH4" s="30">
        <v>17</v>
      </c>
      <c r="CI4" s="30">
        <v>18</v>
      </c>
      <c r="CJ4" s="30">
        <v>19</v>
      </c>
      <c r="CK4" s="30">
        <v>20</v>
      </c>
      <c r="CL4" s="30">
        <v>21</v>
      </c>
      <c r="CM4" s="261">
        <v>22</v>
      </c>
      <c r="CN4" s="185">
        <v>1</v>
      </c>
      <c r="CO4" s="30">
        <v>2</v>
      </c>
      <c r="CP4" s="30">
        <v>3</v>
      </c>
      <c r="CQ4" s="30">
        <v>4</v>
      </c>
      <c r="CR4" s="30">
        <v>5</v>
      </c>
      <c r="CS4" s="30">
        <v>6</v>
      </c>
      <c r="CT4" s="30">
        <v>7</v>
      </c>
      <c r="CU4" s="30">
        <v>8</v>
      </c>
      <c r="CV4" s="30">
        <v>9</v>
      </c>
      <c r="CW4" s="30">
        <v>10</v>
      </c>
      <c r="CX4" s="30">
        <v>11</v>
      </c>
      <c r="CY4" s="30">
        <v>12</v>
      </c>
      <c r="CZ4" s="30">
        <v>13</v>
      </c>
      <c r="DA4" s="30">
        <v>14</v>
      </c>
      <c r="DB4" s="30">
        <v>15</v>
      </c>
      <c r="DC4" s="30">
        <v>16</v>
      </c>
      <c r="DD4" s="30">
        <v>17</v>
      </c>
      <c r="DE4" s="30">
        <v>18</v>
      </c>
      <c r="DF4" s="30">
        <v>19</v>
      </c>
      <c r="DG4" s="30">
        <v>20</v>
      </c>
      <c r="DH4" s="30">
        <v>21</v>
      </c>
      <c r="DI4" s="261">
        <v>22</v>
      </c>
    </row>
    <row r="5" spans="1:113">
      <c r="A5" s="25">
        <v>46023</v>
      </c>
      <c r="B5" s="45">
        <f>SUMIFS(일별!C:C,
       일별!$A:$A, "&gt;="&amp;월별!$A5,
       일별!$A:$A, "&lt;"&amp;월별!$A6)</f>
        <v>0</v>
      </c>
      <c r="C5" s="46">
        <f>B5/(월별!$A6 - 월별!$A5)</f>
        <v>0</v>
      </c>
      <c r="D5" s="45">
        <f>SUMIFS(일별!E:E,
       일별!$A:$A, "&gt;="&amp;월별!$A5,
       일별!$A:$A, "&lt;"&amp;월별!$A6)</f>
        <v>1214</v>
      </c>
      <c r="E5" s="46">
        <f>D5/(월별!$A6 - 월별!$A5)</f>
        <v>39.161290322580648</v>
      </c>
      <c r="F5" s="122">
        <f>SUMIFS(일별!G:G,
       일별!$A:$A, "&gt;="&amp;월별!$A5,
       일별!$A:$A, "&lt;"&amp;월별!$A6)</f>
        <v>984</v>
      </c>
      <c r="G5" s="46">
        <f>F5/(월별!$A6 - 월별!$A5)</f>
        <v>31.741935483870968</v>
      </c>
      <c r="H5" s="45">
        <f>D5+F5</f>
        <v>2198</v>
      </c>
      <c r="I5" s="46">
        <f>E5+G5</f>
        <v>70.903225806451616</v>
      </c>
      <c r="J5" s="122">
        <f>SUMIFS(일별!I:I,
       일별!$A:$A, "&gt;="&amp;월별!$A5,
       일별!$A:$A, "&lt;"&amp;월별!$A6)</f>
        <v>159.71999999999753</v>
      </c>
      <c r="K5" s="46">
        <f>J5/(월별!$A6 - 월별!$A5)</f>
        <v>5.1522580645160492</v>
      </c>
      <c r="L5" s="122">
        <f>SUMIFS(일별!K:K,
       일별!$A:$A, "&gt;="&amp;월별!$A5,
       일별!$A:$A, "&lt;"&amp;월별!$A6)</f>
        <v>614.84000000000015</v>
      </c>
      <c r="M5" s="46">
        <f>L5/(월별!$A6 - 월별!$A5)</f>
        <v>19.83354838709678</v>
      </c>
      <c r="N5" s="122">
        <f>SUMIFS(일별!M:M,
       일별!$A:$A, "&gt;="&amp;월별!$A5,
       일별!$A:$A, "&lt;"&amp;월별!$A6)</f>
        <v>29.000000000000185</v>
      </c>
      <c r="O5" s="123">
        <f>N5/(월별!$A6 - 월별!$A5)</f>
        <v>0.93548387096774788</v>
      </c>
      <c r="P5" s="122">
        <f>SUMIFS(일별!O:O,
       일별!$A:$A, "&gt;="&amp;월별!$A5,
       일별!$A:$A, "&lt;"&amp;월별!$A6)</f>
        <v>3892</v>
      </c>
      <c r="Q5" s="46">
        <f>P5/(월별!$A6 - 월별!$A5)</f>
        <v>125.54838709677419</v>
      </c>
      <c r="R5" s="122">
        <f>SUMIFS(일별!Q:Q,
       일별!$A:$A, "&gt;="&amp;월별!$A5,
       일별!$A:$A, "&lt;"&amp;월별!$A6)</f>
        <v>5219</v>
      </c>
      <c r="S5" s="46">
        <f>R5/(월별!$A6 - 월별!$A5)</f>
        <v>168.35483870967741</v>
      </c>
      <c r="T5" s="122">
        <f>SUMIFS(일별!S:S,
       일별!$A:$A, "&gt;="&amp;월별!$A5,
       일별!$A:$A, "&lt;"&amp;월별!$A6)</f>
        <v>-0.88000000000000256</v>
      </c>
      <c r="U5" s="46">
        <f>T5/(월별!$A6 - 월별!$A5)</f>
        <v>-2.838709677419363E-2</v>
      </c>
      <c r="V5" s="122">
        <f>SUMIFS(일별!U:U,
       일별!$A:$A, "&gt;="&amp;월별!$A5,
       일별!$A:$A, "&lt;"&amp;월별!$A6)</f>
        <v>-0.67999999999999972</v>
      </c>
      <c r="W5" s="46">
        <f>V5/(월별!$A6 - 월별!$A5)</f>
        <v>-2.1935483870967734E-2</v>
      </c>
      <c r="X5" s="122">
        <f>SUMIFS(일별!W:W,
       일별!$A:$A, "&gt;="&amp;월별!$A5,
       일별!$A:$A, "&lt;"&amp;월별!$A6)</f>
        <v>474</v>
      </c>
      <c r="Y5" s="46">
        <f>X5/(월별!$A6 - 월별!$A5)</f>
        <v>15.290322580645162</v>
      </c>
      <c r="Z5" s="15">
        <f>SUMIFS(일별!X:X,
       일별!$A:$A, "&gt;="&amp;월별!$A5,
       일별!$A:$A, "&lt;"&amp;월별!$A6)</f>
        <v>6035741.8800000027</v>
      </c>
      <c r="AA5" s="12">
        <f>SUMIFS(일별!Y:Y,
       일별!$A:$A, "&gt;="&amp;월별!$A5,
       일별!$A:$A, "&lt;"&amp;월별!$A6)</f>
        <v>262388.44999999995</v>
      </c>
      <c r="AB5" s="12">
        <f>SUMIFS(일별!Z:Z,
       일별!$A:$A, "&gt;="&amp;월별!$A5,
       일별!$A:$A, "&lt;"&amp;월별!$A6)</f>
        <v>0</v>
      </c>
      <c r="AC5" s="12">
        <f>SUMIFS(일별!AA:AA,
       일별!$A:$A, "&gt;="&amp;월별!$A5,
       일별!$A:$A, "&lt;"&amp;월별!$A6)</f>
        <v>0</v>
      </c>
      <c r="AD5" s="12">
        <f>SUMIFS(일별!AB:AB,
       일별!$A:$A, "&gt;="&amp;월별!$A5,
       일별!$A:$A, "&lt;"&amp;월별!$A6)</f>
        <v>0</v>
      </c>
      <c r="AE5" s="16">
        <f>SUMIFS(일별!AC:AC,
       일별!$A:$A, "&gt;="&amp;월별!$A5,
       일별!$A:$A, "&lt;"&amp;월별!$A6)</f>
        <v>262388.44999999995</v>
      </c>
      <c r="AF5" s="15">
        <f>SUMIFS(일별!AD:AD,
       일별!$A:$A, "&gt;="&amp;월별!$A5,
       일별!$A:$A, "&lt;"&amp;월별!$A6)</f>
        <v>739</v>
      </c>
      <c r="AG5" s="12">
        <f>SUMIFS(일별!AE:AE,
       일별!$A:$A, "&gt;="&amp;월별!$A5,
       일별!$A:$A, "&lt;"&amp;월별!$A6)</f>
        <v>47</v>
      </c>
      <c r="AH5" s="12">
        <f>SUMIFS(일별!AF:AF,
       일별!$A:$A, "&gt;="&amp;월별!$A5,
       일별!$A:$A, "&lt;"&amp;월별!$A6)</f>
        <v>0</v>
      </c>
      <c r="AI5" s="16">
        <f>SUMIFS(일별!AG:AG,
       일별!$A:$A, "&gt;="&amp;월별!$A5,
       일별!$A:$A, "&lt;"&amp;월별!$A6)</f>
        <v>0</v>
      </c>
      <c r="AJ5" s="15">
        <f>SUMIFS(일별!AX:AX,
       일별!$A:$A, "&gt;="&amp;월별!$A5,
       일별!$A:$A, "&lt;"&amp;월별!$A6)</f>
        <v>38142</v>
      </c>
      <c r="AK5" s="12">
        <f>SUMIFS(일별!AY:AY,
       일별!$A:$A, "&gt;="&amp;월별!$A5,
       일별!$A:$A, "&lt;"&amp;월별!$A6)</f>
        <v>2314</v>
      </c>
      <c r="AL5" s="12">
        <f>SUMIFS(일별!AZ:AZ,
       일별!$A:$A, "&gt;="&amp;월별!$A5,
       일별!$A:$A, "&lt;"&amp;월별!$A6)</f>
        <v>0</v>
      </c>
      <c r="AM5" s="12">
        <f>SUMIFS(일별!BA:BA,
       일별!$A:$A, "&gt;="&amp;월별!$A5,
       일별!$A:$A, "&lt;"&amp;월별!$A6)</f>
        <v>0</v>
      </c>
      <c r="AN5" s="12">
        <f>SUMIFS(일별!BB:BB,
       일별!$A:$A, "&gt;="&amp;월별!$A5,
       일별!$A:$A, "&lt;"&amp;월별!$A6)</f>
        <v>2314</v>
      </c>
      <c r="AO5" s="16">
        <f>SUMIFS(일별!BC:BC,
       일별!$A:$A, "&gt;="&amp;월별!$A5,
       일별!$A:$A, "&lt;"&amp;월별!$A6)</f>
        <v>40456</v>
      </c>
      <c r="AP5" s="262" cm="1">
        <f t="array" ref="AP5">SUM(_xlfn._xlws.FILTER(일별!BH:CC, (일별!$A:$A &gt;= 월별!$A5) * (일별!$A:$A &lt; 월별!$A6), 0))</f>
        <v>8532</v>
      </c>
      <c r="AQ5" s="263">
        <f>AP5/(월별!$A6 - 월별!$A5)</f>
        <v>275.22580645161293</v>
      </c>
      <c r="AR5" s="263" cm="1">
        <f t="array" ref="AR5">SUM(_xlfn._xlws.FILTER(일별!CD:CY, (일별!$A:$A &gt;= 월별!$A5) * (일별!$A:$A &lt; 월별!$A6), 0))</f>
        <v>532030.69999999925</v>
      </c>
      <c r="AS5" s="20">
        <f>AR5/(월별!$A6 - 월별!$A5)</f>
        <v>17162.280645161267</v>
      </c>
      <c r="AT5" s="20" cm="1">
        <f t="array" ref="AT5">SUM(_xlfn._xlws.FILTER(일별!CZ:DU, (일별!$A:$A &gt;= 월별!$A5) * (일별!$A:$A &lt; 월별!$A6), 0))</f>
        <v>0</v>
      </c>
      <c r="AU5" s="20">
        <f>AT5/(월별!$A6 - 월별!$A5)</f>
        <v>0</v>
      </c>
      <c r="AV5" s="262" cm="1">
        <f t="array" ref="AV5">SUM(_xlfn._xlws.FILTER(일별!BH:BH, (일별!$A:$A &gt;= 월별!$A5) * (일별!$A:$A &lt; 월별!$A6), 0))</f>
        <v>450</v>
      </c>
      <c r="AW5" s="263" cm="1">
        <f t="array" ref="AW5">SUM(_xlfn._xlws.FILTER(일별!BI:BI, (일별!$A:$A &gt;= 월별!$A5) * (일별!$A:$A &lt; 월별!$A6), 0))</f>
        <v>450</v>
      </c>
      <c r="AX5" s="263" cm="1">
        <f t="array" ref="AX5">SUM(_xlfn._xlws.FILTER(일별!BJ:BJ, (일별!$A:$A &gt;= 월별!$A5) * (일별!$A:$A &lt; 월별!$A6), 0))</f>
        <v>450</v>
      </c>
      <c r="AY5" s="263" cm="1">
        <f t="array" ref="AY5">SUM(_xlfn._xlws.FILTER(일별!BK:BK, (일별!$A:$A &gt;= 월별!$A5) * (일별!$A:$A &lt; 월별!$A6), 0))</f>
        <v>450</v>
      </c>
      <c r="AZ5" s="263" cm="1">
        <f t="array" ref="AZ5">SUM(_xlfn._xlws.FILTER(일별!BL:BL, (일별!$A:$A &gt;= 월별!$A5) * (일별!$A:$A &lt; 월별!$A6), 0))</f>
        <v>450</v>
      </c>
      <c r="BA5" s="263" cm="1">
        <f t="array" ref="BA5">SUM(_xlfn._xlws.FILTER(일별!BM:BM, (일별!$A:$A &gt;= 월별!$A5) * (일별!$A:$A &lt; 월별!$A6), 0))</f>
        <v>450</v>
      </c>
      <c r="BB5" s="263" cm="1">
        <f t="array" ref="BB5">SUM(_xlfn._xlws.FILTER(일별!BN:BN, (일별!$A:$A &gt;= 월별!$A5) * (일별!$A:$A &lt; 월별!$A6), 0))</f>
        <v>450</v>
      </c>
      <c r="BC5" s="263" cm="1">
        <f t="array" ref="BC5">SUM(_xlfn._xlws.FILTER(일별!BO:BO, (일별!$A:$A &gt;= 월별!$A5) * (일별!$A:$A &lt; 월별!$A6), 0))</f>
        <v>450</v>
      </c>
      <c r="BD5" s="263" cm="1">
        <f t="array" ref="BD5">SUM(_xlfn._xlws.FILTER(일별!BP:BP, (일별!$A:$A &gt;= 월별!$A5) * (일별!$A:$A &lt; 월별!$A6), 0))</f>
        <v>450</v>
      </c>
      <c r="BE5" s="263" cm="1">
        <f t="array" ref="BE5">SUM(_xlfn._xlws.FILTER(일별!BQ:BQ, (일별!$A:$A &gt;= 월별!$A5) * (일별!$A:$A &lt; 월별!$A6), 0))</f>
        <v>450</v>
      </c>
      <c r="BF5" s="263" cm="1">
        <f t="array" ref="BF5">SUM(_xlfn._xlws.FILTER(일별!BR:BR, (일별!$A:$A &gt;= 월별!$A5) * (일별!$A:$A &lt; 월별!$A6), 0))</f>
        <v>426</v>
      </c>
      <c r="BG5" s="263" cm="1">
        <f t="array" ref="BG5">SUM(_xlfn._xlws.FILTER(일별!BS:BS, (일별!$A:$A &gt;= 월별!$A5) * (일별!$A:$A &lt; 월별!$A6), 0))</f>
        <v>426</v>
      </c>
      <c r="BH5" s="263" cm="1">
        <f t="array" ref="BH5">SUM(_xlfn._xlws.FILTER(일별!BT:BT, (일별!$A:$A &gt;= 월별!$A5) * (일별!$A:$A &lt; 월별!$A6), 0))</f>
        <v>426</v>
      </c>
      <c r="BI5" s="263" cm="1">
        <f t="array" ref="BI5">SUM(_xlfn._xlws.FILTER(일별!BU:BU, (일별!$A:$A &gt;= 월별!$A5) * (일별!$A:$A &lt; 월별!$A6), 0))</f>
        <v>402</v>
      </c>
      <c r="BJ5" s="263" cm="1">
        <f t="array" ref="BJ5">SUM(_xlfn._xlws.FILTER(일별!BV:BV, (일별!$A:$A &gt;= 월별!$A5) * (일별!$A:$A &lt; 월별!$A6), 0))</f>
        <v>402</v>
      </c>
      <c r="BK5" s="263" cm="1">
        <f t="array" ref="BK5">SUM(_xlfn._xlws.FILTER(일별!BW:BW, (일별!$A:$A &gt;= 월별!$A5) * (일별!$A:$A &lt; 월별!$A6), 0))</f>
        <v>402</v>
      </c>
      <c r="BL5" s="263" cm="1">
        <f t="array" ref="BL5">SUM(_xlfn._xlws.FILTER(일별!BX:BX, (일별!$A:$A &gt;= 월별!$A5) * (일별!$A:$A &lt; 월별!$A6), 0))</f>
        <v>282</v>
      </c>
      <c r="BM5" s="263" cm="1">
        <f t="array" ref="BM5">SUM(_xlfn._xlws.FILTER(일별!BY:BY, (일별!$A:$A &gt;= 월별!$A5) * (일별!$A:$A &lt; 월별!$A6), 0))</f>
        <v>282</v>
      </c>
      <c r="BN5" s="263" cm="1">
        <f t="array" ref="BN5">SUM(_xlfn._xlws.FILTER(일별!BZ:BZ, (일별!$A:$A &gt;= 월별!$A5) * (일별!$A:$A &lt; 월별!$A6), 0))</f>
        <v>282</v>
      </c>
      <c r="BO5" s="263" cm="1">
        <f t="array" ref="BO5">SUM(_xlfn._xlws.FILTER(일별!CA:CA, (일별!$A:$A &gt;= 월별!$A5) * (일별!$A:$A &lt; 월별!$A6), 0))</f>
        <v>234</v>
      </c>
      <c r="BP5" s="263" cm="1">
        <f t="array" ref="BP5">SUM(_xlfn._xlws.FILTER(일별!CB:CB, (일별!$A:$A &gt;= 월별!$A5) * (일별!$A:$A &lt; 월별!$A6), 0))</f>
        <v>234</v>
      </c>
      <c r="BQ5" s="264" cm="1">
        <f t="array" ref="BQ5">SUM(_xlfn._xlws.FILTER(일별!CC:CC, (일별!$A:$A &gt;= 월별!$A5) * (일별!$A:$A &lt; 월별!$A6), 0))</f>
        <v>234</v>
      </c>
      <c r="BR5" s="262" cm="1">
        <f t="array" ref="BR5">SUM(_xlfn._xlws.FILTER(일별!CD:CD, (일별!$A:$A &gt;= 월별!$A5) * (일별!$A:$A &lt; 월별!$A6), 0))</f>
        <v>27703.552106229294</v>
      </c>
      <c r="BS5" s="263" cm="1">
        <f t="array" ref="BS5">SUM(_xlfn._xlws.FILTER(일별!CE:CE, (일별!$A:$A &gt;= 월별!$A5) * (일별!$A:$A &lt; 월별!$A6), 0))</f>
        <v>27703.552106229294</v>
      </c>
      <c r="BT5" s="263" cm="1">
        <f t="array" ref="BT5">SUM(_xlfn._xlws.FILTER(일별!CF:CF, (일별!$A:$A &gt;= 월별!$A5) * (일별!$A:$A &lt; 월별!$A6), 0))</f>
        <v>27703.552106229294</v>
      </c>
      <c r="BU5" s="263" cm="1">
        <f t="array" ref="BU5">SUM(_xlfn._xlws.FILTER(일별!CG:CG, (일별!$A:$A &gt;= 월별!$A5) * (일별!$A:$A &lt; 월별!$A6), 0))</f>
        <v>27703.552106229294</v>
      </c>
      <c r="BV5" s="263" cm="1">
        <f t="array" ref="BV5">SUM(_xlfn._xlws.FILTER(일별!CH:CH, (일별!$A:$A &gt;= 월별!$A5) * (일별!$A:$A &lt; 월별!$A6), 0))</f>
        <v>27703.552106229294</v>
      </c>
      <c r="BW5" s="263" cm="1">
        <f t="array" ref="BW5">SUM(_xlfn._xlws.FILTER(일별!CI:CI, (일별!$A:$A &gt;= 월별!$A5) * (일별!$A:$A &lt; 월별!$A6), 0))</f>
        <v>27703.552106229294</v>
      </c>
      <c r="BX5" s="263" cm="1">
        <f t="array" ref="BX5">SUM(_xlfn._xlws.FILTER(일별!CJ:CJ, (일별!$A:$A &gt;= 월별!$A5) * (일별!$A:$A &lt; 월별!$A6), 0))</f>
        <v>27703.552106229294</v>
      </c>
      <c r="BY5" s="263" cm="1">
        <f t="array" ref="BY5">SUM(_xlfn._xlws.FILTER(일별!CK:CK, (일별!$A:$A &gt;= 월별!$A5) * (일별!$A:$A &lt; 월별!$A6), 0))</f>
        <v>27703.552106229294</v>
      </c>
      <c r="BZ5" s="263" cm="1">
        <f t="array" ref="BZ5">SUM(_xlfn._xlws.FILTER(일별!CL:CL, (일별!$A:$A &gt;= 월별!$A5) * (일별!$A:$A &lt; 월별!$A6), 0))</f>
        <v>27703.552106229294</v>
      </c>
      <c r="CA5" s="263" cm="1">
        <f t="array" ref="CA5">SUM(_xlfn._xlws.FILTER(일별!CM:CM, (일별!$A:$A &gt;= 월별!$A5) * (일별!$A:$A &lt; 월별!$A6), 0))</f>
        <v>27703.552106229294</v>
      </c>
      <c r="CB5" s="263" cm="1">
        <f t="array" ref="CB5">SUM(_xlfn._xlws.FILTER(일별!CN:CN, (일별!$A:$A &gt;= 월별!$A5) * (일별!$A:$A &lt; 월별!$A6), 0))</f>
        <v>25870.841106229294</v>
      </c>
      <c r="CC5" s="263" cm="1">
        <f t="array" ref="CC5">SUM(_xlfn._xlws.FILTER(일별!CO:CO, (일별!$A:$A &gt;= 월별!$A5) * (일별!$A:$A &lt; 월별!$A6), 0))</f>
        <v>25870.841106229294</v>
      </c>
      <c r="CD5" s="263" cm="1">
        <f t="array" ref="CD5">SUM(_xlfn._xlws.FILTER(일별!CP:CP, (일별!$A:$A &gt;= 월별!$A5) * (일별!$A:$A &lt; 월별!$A6), 0))</f>
        <v>25870.841106229294</v>
      </c>
      <c r="CE5" s="263" cm="1">
        <f t="array" ref="CE5">SUM(_xlfn._xlws.FILTER(일별!CQ:CQ, (일별!$A:$A &gt;= 월별!$A5) * (일별!$A:$A &lt; 월별!$A6), 0))</f>
        <v>24870.554695972885</v>
      </c>
      <c r="CF5" s="263" cm="1">
        <f t="array" ref="CF5">SUM(_xlfn._xlws.FILTER(일별!CR:CR, (일별!$A:$A &gt;= 월별!$A5) * (일별!$A:$A &lt; 월별!$A6), 0))</f>
        <v>24870.554695972885</v>
      </c>
      <c r="CG5" s="263" cm="1">
        <f t="array" ref="CG5">SUM(_xlfn._xlws.FILTER(일별!CS:CS, (일별!$A:$A &gt;= 월별!$A5) * (일별!$A:$A &lt; 월별!$A6), 0))</f>
        <v>24870.554695972885</v>
      </c>
      <c r="CH5" s="263" cm="1">
        <f t="array" ref="CH5">SUM(_xlfn._xlws.FILTER(일별!CT:CT, (일별!$A:$A &gt;= 월별!$A5) * (일별!$A:$A &lt; 월별!$A6), 0))</f>
        <v>18699.623237639553</v>
      </c>
      <c r="CI5" s="263" cm="1">
        <f t="array" ref="CI5">SUM(_xlfn._xlws.FILTER(일별!CU:CU, (일별!$A:$A &gt;= 월별!$A5) * (일별!$A:$A &lt; 월별!$A6), 0))</f>
        <v>18699.623237639553</v>
      </c>
      <c r="CJ5" s="263" cm="1">
        <f t="array" ref="CJ5">SUM(_xlfn._xlws.FILTER(일별!CV:CV, (일별!$A:$A &gt;= 월별!$A5) * (일별!$A:$A &lt; 월별!$A6), 0))</f>
        <v>18699.623237639553</v>
      </c>
      <c r="CK5" s="263" cm="1">
        <f t="array" ref="CK5">SUM(_xlfn._xlws.FILTER(일별!CW:CW, (일별!$A:$A &gt;= 월별!$A5) * (일별!$A:$A &lt; 월별!$A6), 0))</f>
        <v>15557.37393939394</v>
      </c>
      <c r="CL5" s="263" cm="1">
        <f t="array" ref="CL5">SUM(_xlfn._xlws.FILTER(일별!CX:CX, (일별!$A:$A &gt;= 월별!$A5) * (일별!$A:$A &lt; 월별!$A6), 0))</f>
        <v>15557.37393939394</v>
      </c>
      <c r="CM5" s="264" cm="1">
        <f t="array" ref="CM5">SUM(_xlfn._xlws.FILTER(일별!CY:CY, (일별!$A:$A &gt;= 월별!$A5) * (일별!$A:$A &lt; 월별!$A6), 0))</f>
        <v>15557.37393939394</v>
      </c>
      <c r="CN5" s="262" cm="1">
        <f t="array" ref="CN5">SUM(_xlfn._xlws.FILTER(일별!CZ:CZ, (일별!$A:$A &gt;= 월별!$A5) * (일별!$A:$A &lt; 월별!$A6), 0))</f>
        <v>0</v>
      </c>
      <c r="CO5" s="263" cm="1">
        <f t="array" ref="CO5">SUM(_xlfn._xlws.FILTER(일별!DA:DA, (일별!$A:$A &gt;= 월별!$A5) * (일별!$A:$A &lt; 월별!$A6), 0))</f>
        <v>0</v>
      </c>
      <c r="CP5" s="263" cm="1">
        <f t="array" ref="CP5">SUM(_xlfn._xlws.FILTER(일별!DB:DB, (일별!$A:$A &gt;= 월별!$A5) * (일별!$A:$A &lt; 월별!$A6), 0))</f>
        <v>0</v>
      </c>
      <c r="CQ5" s="263" cm="1">
        <f t="array" ref="CQ5">SUM(_xlfn._xlws.FILTER(일별!DC:DC, (일별!$A:$A &gt;= 월별!$A5) * (일별!$A:$A &lt; 월별!$A6), 0))</f>
        <v>0</v>
      </c>
      <c r="CR5" s="263" cm="1">
        <f t="array" ref="CR5">SUM(_xlfn._xlws.FILTER(일별!DD:DD, (일별!$A:$A &gt;= 월별!$A5) * (일별!$A:$A &lt; 월별!$A6), 0))</f>
        <v>0</v>
      </c>
      <c r="CS5" s="263" cm="1">
        <f t="array" ref="CS5">SUM(_xlfn._xlws.FILTER(일별!DE:DE, (일별!$A:$A &gt;= 월별!$A5) * (일별!$A:$A &lt; 월별!$A6), 0))</f>
        <v>0</v>
      </c>
      <c r="CT5" s="263" cm="1">
        <f t="array" ref="CT5">SUM(_xlfn._xlws.FILTER(일별!DF:DF, (일별!$A:$A &gt;= 월별!$A5) * (일별!$A:$A &lt; 월별!$A6), 0))</f>
        <v>0</v>
      </c>
      <c r="CU5" s="263" cm="1">
        <f t="array" ref="CU5">SUM(_xlfn._xlws.FILTER(일별!DG:DG, (일별!$A:$A &gt;= 월별!$A5) * (일별!$A:$A &lt; 월별!$A6), 0))</f>
        <v>0</v>
      </c>
      <c r="CV5" s="263" cm="1">
        <f t="array" ref="CV5">SUM(_xlfn._xlws.FILTER(일별!DH:DH, (일별!$A:$A &gt;= 월별!$A5) * (일별!$A:$A &lt; 월별!$A6), 0))</f>
        <v>0</v>
      </c>
      <c r="CW5" s="263" cm="1">
        <f t="array" ref="CW5">SUM(_xlfn._xlws.FILTER(일별!DI:DI, (일별!$A:$A &gt;= 월별!$A5) * (일별!$A:$A &lt; 월별!$A6), 0))</f>
        <v>0</v>
      </c>
      <c r="CX5" s="263" cm="1">
        <f t="array" ref="CX5">SUM(_xlfn._xlws.FILTER(일별!DJ:DJ, (일별!$A:$A &gt;= 월별!$A5) * (일별!$A:$A &lt; 월별!$A6), 0))</f>
        <v>0</v>
      </c>
      <c r="CY5" s="263" cm="1">
        <f t="array" ref="CY5">SUM(_xlfn._xlws.FILTER(일별!DK:DK, (일별!$A:$A &gt;= 월별!$A5) * (일별!$A:$A &lt; 월별!$A6), 0))</f>
        <v>0</v>
      </c>
      <c r="CZ5" s="263" cm="1">
        <f t="array" ref="CZ5">SUM(_xlfn._xlws.FILTER(일별!DL:DL, (일별!$A:$A &gt;= 월별!$A5) * (일별!$A:$A &lt; 월별!$A6), 0))</f>
        <v>0</v>
      </c>
      <c r="DA5" s="263" cm="1">
        <f t="array" ref="DA5">SUM(_xlfn._xlws.FILTER(일별!DM:DM, (일별!$A:$A &gt;= 월별!$A5) * (일별!$A:$A &lt; 월별!$A6), 0))</f>
        <v>0</v>
      </c>
      <c r="DB5" s="263" cm="1">
        <f t="array" ref="DB5">SUM(_xlfn._xlws.FILTER(일별!DN:DN, (일별!$A:$A &gt;= 월별!$A5) * (일별!$A:$A &lt; 월별!$A6), 0))</f>
        <v>0</v>
      </c>
      <c r="DC5" s="263" cm="1">
        <f t="array" ref="DC5">SUM(_xlfn._xlws.FILTER(일별!DO:DO, (일별!$A:$A &gt;= 월별!$A5) * (일별!$A:$A &lt; 월별!$A6), 0))</f>
        <v>0</v>
      </c>
      <c r="DD5" s="263" cm="1">
        <f t="array" ref="DD5">SUM(_xlfn._xlws.FILTER(일별!DP:DP, (일별!$A:$A &gt;= 월별!$A5) * (일별!$A:$A &lt; 월별!$A6), 0))</f>
        <v>0</v>
      </c>
      <c r="DE5" s="263" cm="1">
        <f t="array" ref="DE5">SUM(_xlfn._xlws.FILTER(일별!DQ:DQ, (일별!$A:$A &gt;= 월별!$A5) * (일별!$A:$A &lt; 월별!$A6), 0))</f>
        <v>0</v>
      </c>
      <c r="DF5" s="263" cm="1">
        <f t="array" ref="DF5">SUM(_xlfn._xlws.FILTER(일별!DR:DR, (일별!$A:$A &gt;= 월별!$A5) * (일별!$A:$A &lt; 월별!$A6), 0))</f>
        <v>0</v>
      </c>
      <c r="DG5" s="263" cm="1">
        <f t="array" ref="DG5">SUM(_xlfn._xlws.FILTER(일별!DS:DS, (일별!$A:$A &gt;= 월별!$A5) * (일별!$A:$A &lt; 월별!$A6), 0))</f>
        <v>0</v>
      </c>
      <c r="DH5" s="263" cm="1">
        <f t="array" ref="DH5">SUM(_xlfn._xlws.FILTER(일별!DT:DT, (일별!$A:$A &gt;= 월별!$A5) * (일별!$A:$A &lt; 월별!$A6), 0))</f>
        <v>0</v>
      </c>
      <c r="DI5" s="264" cm="1">
        <f t="array" ref="DI5">SUM(_xlfn._xlws.FILTER(일별!DU:DU, (일별!$A:$A &gt;= 월별!$A5) * (일별!$A:$A &lt; 월별!$A6), 0))</f>
        <v>0</v>
      </c>
    </row>
    <row r="6" spans="1:113">
      <c r="A6" s="25">
        <v>46054</v>
      </c>
      <c r="B6" s="15">
        <f>SUMIFS(일별!$C:$C,
       일별!$A:$A, "&gt;="&amp;월별!$A6,
       일별!$A:$A, "&lt;"&amp;월별!$A7)</f>
        <v>0</v>
      </c>
      <c r="C6" s="16">
        <f>B6/(월별!$A7 - 월별!$A6)</f>
        <v>0</v>
      </c>
      <c r="D6" s="15">
        <f>SUMIFS(일별!E:E,
       일별!$A:$A, "&gt;="&amp;월별!$A6,
       일별!$A:$A, "&lt;"&amp;월별!$A7)</f>
        <v>1002</v>
      </c>
      <c r="E6" s="16">
        <f>D6/(월별!$A7 - 월별!$A6)</f>
        <v>35.785714285714285</v>
      </c>
      <c r="F6" s="12">
        <f>SUMIFS(일별!G:G,
       일별!$A:$A, "&gt;="&amp;월별!$A6,
       일별!$A:$A, "&lt;"&amp;월별!$A7)</f>
        <v>820</v>
      </c>
      <c r="G6" s="16">
        <f>F6/(월별!$A7 - 월별!$A6)</f>
        <v>29.285714285714285</v>
      </c>
      <c r="H6" s="15">
        <f t="shared" ref="H6:H16" si="0">D6+F6</f>
        <v>1822</v>
      </c>
      <c r="I6" s="16">
        <f t="shared" ref="I6:I16" si="1">E6+G6</f>
        <v>65.071428571428569</v>
      </c>
      <c r="J6" s="12">
        <f>SUMIFS(일별!I:I,
       일별!$A:$A, "&gt;="&amp;월별!$A6,
       일별!$A:$A, "&lt;"&amp;월별!$A7)</f>
        <v>110.69000000000233</v>
      </c>
      <c r="K6" s="16">
        <f>J6/(월별!$A7 - 월별!$A6)</f>
        <v>3.9532142857143691</v>
      </c>
      <c r="L6" s="12">
        <f>SUMIFS(일별!K:K,
       일별!$A:$A, "&gt;="&amp;월별!$A6,
       일별!$A:$A, "&lt;"&amp;월별!$A7)</f>
        <v>467.29999999999927</v>
      </c>
      <c r="M6" s="16">
        <f>L6/(월별!$A7 - 월별!$A6)</f>
        <v>16.689285714285688</v>
      </c>
      <c r="N6" s="12">
        <f>SUMIFS(일별!M:M,
       일별!$A:$A, "&gt;="&amp;월별!$A6,
       일별!$A:$A, "&lt;"&amp;월별!$A7)</f>
        <v>25.2</v>
      </c>
      <c r="O6" s="31">
        <f>N6/(월별!$A7 - 월별!$A6)</f>
        <v>0.9</v>
      </c>
      <c r="P6" s="12">
        <f>SUMIFS(일별!O:O,
       일별!$A:$A, "&gt;="&amp;월별!$A6,
       일별!$A:$A, "&lt;"&amp;월별!$A7)</f>
        <v>2847</v>
      </c>
      <c r="Q6" s="16">
        <f>P6/(월별!$A7 - 월별!$A6)</f>
        <v>101.67857142857143</v>
      </c>
      <c r="R6" s="12">
        <f>SUMIFS(일별!Q:Q,
       일별!$A:$A, "&gt;="&amp;월별!$A6,
       일별!$A:$A, "&lt;"&amp;월별!$A7)</f>
        <v>4036</v>
      </c>
      <c r="S6" s="16">
        <f>R6/(월별!$A7 - 월별!$A6)</f>
        <v>144.14285714285714</v>
      </c>
      <c r="T6" s="12">
        <f>SUMIFS(일별!S:S,
       일별!$A:$A, "&gt;="&amp;월별!$A6,
       일별!$A:$A, "&lt;"&amp;월별!$A7)</f>
        <v>1.0799999999999983</v>
      </c>
      <c r="U6" s="16">
        <f>T6/(월별!$A7 - 월별!$A6)</f>
        <v>3.8571428571428513E-2</v>
      </c>
      <c r="V6" s="12">
        <f>SUMIFS(일별!U:U,
       일별!$A:$A, "&gt;="&amp;월별!$A6,
       일별!$A:$A, "&lt;"&amp;월별!$A7)</f>
        <v>0.61999999999999744</v>
      </c>
      <c r="W6" s="16">
        <f>V6/(월별!$A7 - 월별!$A6)</f>
        <v>2.2142857142857051E-2</v>
      </c>
      <c r="X6" s="12">
        <f>SUMIFS(일별!W:W,
       일별!$A:$A, "&gt;="&amp;월별!$A6,
       일별!$A:$A, "&lt;"&amp;월별!$A7)</f>
        <v>-129</v>
      </c>
      <c r="Y6" s="16">
        <f>X6/(월별!$A7 - 월별!$A6)</f>
        <v>-4.6071428571428568</v>
      </c>
      <c r="Z6" s="15">
        <f>SUMIFS(일별!X:X,
       일별!$A:$A, "&gt;="&amp;월별!$A6,
       일별!$A:$A, "&lt;"&amp;월별!$A7)</f>
        <v>3820113.9100000039</v>
      </c>
      <c r="AA6" s="12">
        <f>SUMIFS(일별!Y:Y,
       일별!$A:$A, "&gt;="&amp;월별!$A6,
       일별!$A:$A, "&lt;"&amp;월별!$A7)</f>
        <v>0</v>
      </c>
      <c r="AB6" s="12">
        <f>SUMIFS(일별!Z:Z,
       일별!$A:$A, "&gt;="&amp;월별!$A6,
       일별!$A:$A, "&lt;"&amp;월별!$A7)</f>
        <v>0</v>
      </c>
      <c r="AC6" s="12">
        <f>SUMIFS(일별!AA:AA,
       일별!$A:$A, "&gt;="&amp;월별!$A6,
       일별!$A:$A, "&lt;"&amp;월별!$A7)</f>
        <v>0</v>
      </c>
      <c r="AD6" s="12">
        <f>SUMIFS(일별!AB:AB,
       일별!$A:$A, "&gt;="&amp;월별!$A6,
       일별!$A:$A, "&lt;"&amp;월별!$A7)</f>
        <v>0</v>
      </c>
      <c r="AE6" s="16">
        <f>SUMIFS(일별!AC:AC,
       일별!$A:$A, "&gt;="&amp;월별!$A6,
       일별!$A:$A, "&lt;"&amp;월별!$A7)</f>
        <v>0</v>
      </c>
      <c r="AF6" s="15">
        <f>SUMIFS(일별!AD:AD,
       일별!$A:$A, "&gt;="&amp;월별!$A6,
       일별!$A:$A, "&lt;"&amp;월별!$A7)</f>
        <v>500</v>
      </c>
      <c r="AG6" s="12">
        <f>SUMIFS(일별!AE:AE,
       일별!$A:$A, "&gt;="&amp;월별!$A6,
       일별!$A:$A, "&lt;"&amp;월별!$A7)</f>
        <v>0</v>
      </c>
      <c r="AH6" s="12">
        <f>SUMIFS(일별!AF:AF,
       일별!$A:$A, "&gt;="&amp;월별!$A6,
       일별!$A:$A, "&lt;"&amp;월별!$A7)</f>
        <v>0</v>
      </c>
      <c r="AI6" s="16">
        <f>SUMIFS(일별!AG:AG,
       일별!$A:$A, "&gt;="&amp;월별!$A6,
       일별!$A:$A, "&lt;"&amp;월별!$A7)</f>
        <v>0</v>
      </c>
      <c r="AJ6" s="15">
        <f>SUMIFS(일별!AX:AX,
       일별!$A:$A, "&gt;="&amp;월별!$A6,
       일별!$A:$A, "&lt;"&amp;월별!$A7)</f>
        <v>24488.285999999996</v>
      </c>
      <c r="AK6" s="12">
        <f>SUMIFS(일별!AY:AY,
       일별!$A:$A, "&gt;="&amp;월별!$A6,
       일별!$A:$A, "&lt;"&amp;월별!$A7)</f>
        <v>0</v>
      </c>
      <c r="AL6" s="12">
        <f>SUMIFS(일별!AZ:AZ,
       일별!$A:$A, "&gt;="&amp;월별!$A6,
       일별!$A:$A, "&lt;"&amp;월별!$A7)</f>
        <v>0</v>
      </c>
      <c r="AM6" s="12">
        <f>SUMIFS(일별!BA:BA,
       일별!$A:$A, "&gt;="&amp;월별!$A6,
       일별!$A:$A, "&lt;"&amp;월별!$A7)</f>
        <v>0</v>
      </c>
      <c r="AN6" s="12">
        <f>SUMIFS(일별!BB:BB,
       일별!$A:$A, "&gt;="&amp;월별!$A6,
       일별!$A:$A, "&lt;"&amp;월별!$A7)</f>
        <v>0</v>
      </c>
      <c r="AO6" s="16">
        <f>SUMIFS(일별!BC:BC,
       일별!$A:$A, "&gt;="&amp;월별!$A6,
       일별!$A:$A, "&lt;"&amp;월별!$A7)</f>
        <v>24488.285999999996</v>
      </c>
      <c r="AP6" s="18" cm="1">
        <f t="array" ref="AP6">SUM(_xlfn._xlws.FILTER(일별!BH:CC, (일별!$A:$A &gt;= 월별!$A6) * (일별!$A:$A &lt; 월별!$A7), 0))</f>
        <v>14330.833333333336</v>
      </c>
      <c r="AQ6" s="20">
        <f>AP6/(월별!$A7 - 월별!$A6)</f>
        <v>511.81547619047626</v>
      </c>
      <c r="AR6" s="20" cm="1">
        <f t="array" ref="AR6">SUM(_xlfn._xlws.FILTER(일별!CD:CY, (일별!$A:$A &gt;= 월별!$A6) * (일별!$A:$A &lt; 월별!$A7), 0))</f>
        <v>1248591</v>
      </c>
      <c r="AS6" s="20">
        <f>AR6/(월별!$A7 - 월별!$A6)</f>
        <v>44592.535714285717</v>
      </c>
      <c r="AT6" s="20" cm="1">
        <f t="array" ref="AT6">SUM(_xlfn._xlws.FILTER(일별!CZ:DU, (일별!$A:$A &gt;= 월별!$A6) * (일별!$A:$A &lt; 월별!$A7), 0))</f>
        <v>5931.4320000000071</v>
      </c>
      <c r="AU6" s="20">
        <f>AT6/(월별!$A7 - 월별!$A6)</f>
        <v>211.83685714285738</v>
      </c>
      <c r="AV6" s="18" cm="1">
        <f t="array" ref="AV6">SUM(_xlfn._xlws.FILTER(일별!BH:BH, (일별!$A:$A &gt;= 월별!$A6) * (일별!$A:$A &lt; 월별!$A7), 0))</f>
        <v>672</v>
      </c>
      <c r="AW6" s="20" cm="1">
        <f t="array" ref="AW6">SUM(_xlfn._xlws.FILTER(일별!BI:BI, (일별!$A:$A &gt;= 월별!$A6) * (일별!$A:$A &lt; 월별!$A7), 0))</f>
        <v>581.5</v>
      </c>
      <c r="AX6" s="20" cm="1">
        <f t="array" ref="AX6">SUM(_xlfn._xlws.FILTER(일별!BJ:BJ, (일별!$A:$A &gt;= 월별!$A6) * (일별!$A:$A &lt; 월별!$A7), 0))</f>
        <v>672</v>
      </c>
      <c r="AY6" s="20" cm="1">
        <f t="array" ref="AY6">SUM(_xlfn._xlws.FILTER(일별!BK:BK, (일별!$A:$A &gt;= 월별!$A6) * (일별!$A:$A &lt; 월별!$A7), 0))</f>
        <v>672</v>
      </c>
      <c r="AZ6" s="20" cm="1">
        <f t="array" ref="AZ6">SUM(_xlfn._xlws.FILTER(일별!BL:BL, (일별!$A:$A &gt;= 월별!$A6) * (일별!$A:$A &lt; 월별!$A7), 0))</f>
        <v>672</v>
      </c>
      <c r="BA6" s="20" cm="1">
        <f t="array" ref="BA6">SUM(_xlfn._xlws.FILTER(일별!BM:BM, (일별!$A:$A &gt;= 월별!$A6) * (일별!$A:$A &lt; 월별!$A7), 0))</f>
        <v>672</v>
      </c>
      <c r="BB6" s="20" cm="1">
        <f t="array" ref="BB6">SUM(_xlfn._xlws.FILTER(일별!BN:BN, (일별!$A:$A &gt;= 월별!$A6) * (일별!$A:$A &lt; 월별!$A7), 0))</f>
        <v>672</v>
      </c>
      <c r="BC6" s="20" cm="1">
        <f t="array" ref="BC6">SUM(_xlfn._xlws.FILTER(일별!BO:BO, (일별!$A:$A &gt;= 월별!$A6) * (일별!$A:$A &lt; 월별!$A7), 0))</f>
        <v>672</v>
      </c>
      <c r="BD6" s="20" cm="1">
        <f t="array" ref="BD6">SUM(_xlfn._xlws.FILTER(일별!BP:BP, (일별!$A:$A &gt;= 월별!$A6) * (일별!$A:$A &lt; 월별!$A7), 0))</f>
        <v>622</v>
      </c>
      <c r="BE6" s="20" cm="1">
        <f t="array" ref="BE6">SUM(_xlfn._xlws.FILTER(일별!BQ:BQ, (일별!$A:$A &gt;= 월별!$A6) * (일별!$A:$A &lt; 월별!$A7), 0))</f>
        <v>672</v>
      </c>
      <c r="BF6" s="20" cm="1">
        <f t="array" ref="BF6">SUM(_xlfn._xlws.FILTER(일별!BR:BR, (일별!$A:$A &gt;= 월별!$A6) * (일별!$A:$A &lt; 월별!$A7), 0))</f>
        <v>628.83333333333326</v>
      </c>
      <c r="BG6" s="20" cm="1">
        <f t="array" ref="BG6">SUM(_xlfn._xlws.FILTER(일별!BS:BS, (일별!$A:$A &gt;= 월별!$A6) * (일별!$A:$A &lt; 월별!$A7), 0))</f>
        <v>672</v>
      </c>
      <c r="BH6" s="20" cm="1">
        <f t="array" ref="BH6">SUM(_xlfn._xlws.FILTER(일별!BT:BT, (일별!$A:$A &gt;= 월별!$A6) * (일별!$A:$A &lt; 월별!$A7), 0))</f>
        <v>662.83333333333337</v>
      </c>
      <c r="BI6" s="20" cm="1">
        <f t="array" ref="BI6">SUM(_xlfn._xlws.FILTER(일별!BU:BU, (일별!$A:$A &gt;= 월별!$A6) * (일별!$A:$A &lt; 월별!$A7), 0))</f>
        <v>672</v>
      </c>
      <c r="BJ6" s="20" cm="1">
        <f t="array" ref="BJ6">SUM(_xlfn._xlws.FILTER(일별!BV:BV, (일별!$A:$A &gt;= 월별!$A6) * (일별!$A:$A &lt; 월별!$A7), 0))</f>
        <v>662.5</v>
      </c>
      <c r="BK6" s="20" cm="1">
        <f t="array" ref="BK6">SUM(_xlfn._xlws.FILTER(일별!BW:BW, (일별!$A:$A &gt;= 월별!$A6) * (일별!$A:$A &lt; 월별!$A7), 0))</f>
        <v>672</v>
      </c>
      <c r="BL6" s="20" cm="1">
        <f t="array" ref="BL6">SUM(_xlfn._xlws.FILTER(일별!BX:BX, (일별!$A:$A &gt;= 월별!$A6) * (일별!$A:$A &lt; 월별!$A7), 0))</f>
        <v>672</v>
      </c>
      <c r="BM6" s="20" cm="1">
        <f t="array" ref="BM6">SUM(_xlfn._xlws.FILTER(일별!BY:BY, (일별!$A:$A &gt;= 월별!$A6) * (일별!$A:$A &lt; 월별!$A7), 0))</f>
        <v>650.33333333333326</v>
      </c>
      <c r="BN6" s="20" cm="1">
        <f t="array" ref="BN6">SUM(_xlfn._xlws.FILTER(일별!BZ:BZ, (일별!$A:$A &gt;= 월별!$A6) * (일별!$A:$A &lt; 월별!$A7), 0))</f>
        <v>663.16666666666674</v>
      </c>
      <c r="BO6" s="20" cm="1">
        <f t="array" ref="BO6">SUM(_xlfn._xlws.FILTER(일별!CA:CA, (일별!$A:$A &gt;= 월별!$A6) * (일별!$A:$A &lt; 월별!$A7), 0))</f>
        <v>498.49999999999994</v>
      </c>
      <c r="BP6" s="20" cm="1">
        <f t="array" ref="BP6">SUM(_xlfn._xlws.FILTER(일별!CB:CB, (일별!$A:$A &gt;= 월별!$A6) * (일별!$A:$A &lt; 월별!$A7), 0))</f>
        <v>672</v>
      </c>
      <c r="BQ6" s="19" cm="1">
        <f t="array" ref="BQ6">SUM(_xlfn._xlws.FILTER(일별!CC:CC, (일별!$A:$A &gt;= 월별!$A6) * (일별!$A:$A &lt; 월별!$A7), 0))</f>
        <v>625.16666666666663</v>
      </c>
      <c r="BR6" s="18" cm="1">
        <f t="array" ref="BR6">SUM(_xlfn._xlws.FILTER(일별!CD:CD, (일별!$A:$A &gt;= 월별!$A6) * (일별!$A:$A &lt; 월별!$A7), 0))</f>
        <v>59020</v>
      </c>
      <c r="BS6" s="20" cm="1">
        <f t="array" ref="BS6">SUM(_xlfn._xlws.FILTER(일별!CE:CE, (일별!$A:$A &gt;= 월별!$A6) * (일별!$A:$A &lt; 월별!$A7), 0))</f>
        <v>51233</v>
      </c>
      <c r="BT6" s="20" cm="1">
        <f t="array" ref="BT6">SUM(_xlfn._xlws.FILTER(일별!CF:CF, (일별!$A:$A &gt;= 월별!$A6) * (일별!$A:$A &lt; 월별!$A7), 0))</f>
        <v>58842</v>
      </c>
      <c r="BU6" s="20" cm="1">
        <f t="array" ref="BU6">SUM(_xlfn._xlws.FILTER(일별!CG:CG, (일별!$A:$A &gt;= 월별!$A6) * (일별!$A:$A &lt; 월별!$A7), 0))</f>
        <v>58890</v>
      </c>
      <c r="BV6" s="20" cm="1">
        <f t="array" ref="BV6">SUM(_xlfn._xlws.FILTER(일별!CH:CH, (일별!$A:$A &gt;= 월별!$A6) * (일별!$A:$A &lt; 월별!$A7), 0))</f>
        <v>58981</v>
      </c>
      <c r="BW6" s="20" cm="1">
        <f t="array" ref="BW6">SUM(_xlfn._xlws.FILTER(일별!CI:CI, (일별!$A:$A &gt;= 월별!$A6) * (일별!$A:$A &lt; 월별!$A7), 0))</f>
        <v>58977</v>
      </c>
      <c r="BX6" s="20" cm="1">
        <f t="array" ref="BX6">SUM(_xlfn._xlws.FILTER(일별!CJ:CJ, (일별!$A:$A &gt;= 월별!$A6) * (일별!$A:$A &lt; 월별!$A7), 0))</f>
        <v>58774</v>
      </c>
      <c r="BY6" s="20" cm="1">
        <f t="array" ref="BY6">SUM(_xlfn._xlws.FILTER(일별!CK:CK, (일별!$A:$A &gt;= 월별!$A6) * (일별!$A:$A &lt; 월별!$A7), 0))</f>
        <v>58866</v>
      </c>
      <c r="BZ6" s="20" cm="1">
        <f t="array" ref="BZ6">SUM(_xlfn._xlws.FILTER(일별!CL:CL, (일별!$A:$A &gt;= 월별!$A6) * (일별!$A:$A &lt; 월별!$A7), 0))</f>
        <v>54820</v>
      </c>
      <c r="CA6" s="20" cm="1">
        <f t="array" ref="CA6">SUM(_xlfn._xlws.FILTER(일별!CM:CM, (일별!$A:$A &gt;= 월별!$A6) * (일별!$A:$A &lt; 월별!$A7), 0))</f>
        <v>56748</v>
      </c>
      <c r="CB6" s="20" cm="1">
        <f t="array" ref="CB6">SUM(_xlfn._xlws.FILTER(일별!CN:CN, (일별!$A:$A &gt;= 월별!$A6) * (일별!$A:$A &lt; 월별!$A7), 0))</f>
        <v>55260</v>
      </c>
      <c r="CC6" s="20" cm="1">
        <f t="array" ref="CC6">SUM(_xlfn._xlws.FILTER(일별!CO:CO, (일별!$A:$A &gt;= 월별!$A6) * (일별!$A:$A &lt; 월별!$A7), 0))</f>
        <v>59109</v>
      </c>
      <c r="CD6" s="20" cm="1">
        <f t="array" ref="CD6">SUM(_xlfn._xlws.FILTER(일별!CP:CP, (일별!$A:$A &gt;= 월별!$A6) * (일별!$A:$A &lt; 월별!$A7), 0))</f>
        <v>57990</v>
      </c>
      <c r="CE6" s="20" cm="1">
        <f t="array" ref="CE6">SUM(_xlfn._xlws.FILTER(일별!CQ:CQ, (일별!$A:$A &gt;= 월별!$A6) * (일별!$A:$A &lt; 월별!$A7), 0))</f>
        <v>58905</v>
      </c>
      <c r="CF6" s="20" cm="1">
        <f t="array" ref="CF6">SUM(_xlfn._xlws.FILTER(일별!CR:CR, (일별!$A:$A &gt;= 월별!$A6) * (일별!$A:$A &lt; 월별!$A7), 0))</f>
        <v>57983</v>
      </c>
      <c r="CG6" s="20" cm="1">
        <f t="array" ref="CG6">SUM(_xlfn._xlws.FILTER(일별!CS:CS, (일별!$A:$A &gt;= 월별!$A6) * (일별!$A:$A &lt; 월별!$A7), 0))</f>
        <v>57877</v>
      </c>
      <c r="CH6" s="20" cm="1">
        <f t="array" ref="CH6">SUM(_xlfn._xlws.FILTER(일별!CT:CT, (일별!$A:$A &gt;= 월별!$A6) * (일별!$A:$A &lt; 월별!$A7), 0))</f>
        <v>57830</v>
      </c>
      <c r="CI6" s="20" cm="1">
        <f t="array" ref="CI6">SUM(_xlfn._xlws.FILTER(일별!CU:CU, (일별!$A:$A &gt;= 월별!$A6) * (일별!$A:$A &lt; 월별!$A7), 0))</f>
        <v>55560</v>
      </c>
      <c r="CJ6" s="20" cm="1">
        <f t="array" ref="CJ6">SUM(_xlfn._xlws.FILTER(일별!CV:CV, (일별!$A:$A &gt;= 월별!$A6) * (일별!$A:$A &lt; 월별!$A7), 0))</f>
        <v>56868</v>
      </c>
      <c r="CK6" s="20" cm="1">
        <f t="array" ref="CK6">SUM(_xlfn._xlws.FILTER(일별!CW:CW, (일별!$A:$A &gt;= 월별!$A6) * (일별!$A:$A &lt; 월별!$A7), 0))</f>
        <v>42103</v>
      </c>
      <c r="CL6" s="20" cm="1">
        <f t="array" ref="CL6">SUM(_xlfn._xlws.FILTER(일별!CX:CX, (일별!$A:$A &gt;= 월별!$A6) * (일별!$A:$A &lt; 월별!$A7), 0))</f>
        <v>59385</v>
      </c>
      <c r="CM6" s="19" cm="1">
        <f t="array" ref="CM6">SUM(_xlfn._xlws.FILTER(일별!CY:CY, (일별!$A:$A &gt;= 월별!$A6) * (일별!$A:$A &lt; 월별!$A7), 0))</f>
        <v>54570</v>
      </c>
      <c r="CN6" s="18" cm="1">
        <f t="array" ref="CN6">SUM(_xlfn._xlws.FILTER(일별!CZ:CZ, (일별!$A:$A &gt;= 월별!$A6) * (일별!$A:$A &lt; 월별!$A7), 0))</f>
        <v>280.37600000000003</v>
      </c>
      <c r="CO6" s="20" cm="1">
        <f t="array" ref="CO6">SUM(_xlfn._xlws.FILTER(일별!DA:DA, (일별!$A:$A &gt;= 월별!$A6) * (일별!$A:$A &lt; 월별!$A7), 0))</f>
        <v>243.15300000000002</v>
      </c>
      <c r="CP6" s="20" cm="1">
        <f t="array" ref="CP6">SUM(_xlfn._xlws.FILTER(일별!DB:DB, (일별!$A:$A &gt;= 월별!$A6) * (일별!$A:$A &lt; 월별!$A7), 0))</f>
        <v>279.52600000000001</v>
      </c>
      <c r="CQ6" s="20" cm="1">
        <f t="array" ref="CQ6">SUM(_xlfn._xlws.FILTER(일별!DC:DC, (일별!$A:$A &gt;= 월별!$A6) * (일별!$A:$A &lt; 월별!$A7), 0))</f>
        <v>279.77499999999998</v>
      </c>
      <c r="CR6" s="20" cm="1">
        <f t="array" ref="CR6">SUM(_xlfn._xlws.FILTER(일별!DD:DD, (일별!$A:$A &gt;= 월별!$A6) * (일별!$A:$A &lt; 월별!$A7), 0))</f>
        <v>280.20100000000002</v>
      </c>
      <c r="CS6" s="20" cm="1">
        <f t="array" ref="CS6">SUM(_xlfn._xlws.FILTER(일별!DE:DE, (일별!$A:$A &gt;= 월별!$A6) * (일별!$A:$A &lt; 월별!$A7), 0))</f>
        <v>280.18900000000002</v>
      </c>
      <c r="CT6" s="20" cm="1">
        <f t="array" ref="CT6">SUM(_xlfn._xlws.FILTER(일별!DF:DF, (일별!$A:$A &gt;= 월별!$A6) * (일별!$A:$A &lt; 월별!$A7), 0))</f>
        <v>279.22300000000001</v>
      </c>
      <c r="CU6" s="20" cm="1">
        <f t="array" ref="CU6">SUM(_xlfn._xlws.FILTER(일별!DG:DG, (일별!$A:$A &gt;= 월별!$A6) * (일별!$A:$A &lt; 월별!$A7), 0))</f>
        <v>279.66399999999999</v>
      </c>
      <c r="CV6" s="20" cm="1">
        <f t="array" ref="CV6">SUM(_xlfn._xlws.FILTER(일별!DH:DH, (일별!$A:$A &gt;= 월별!$A6) * (일별!$A:$A &lt; 월별!$A7), 0))</f>
        <v>260.51300000000003</v>
      </c>
      <c r="CW6" s="20" cm="1">
        <f t="array" ref="CW6">SUM(_xlfn._xlws.FILTER(일별!DI:DI, (일별!$A:$A &gt;= 월별!$A6) * (일별!$A:$A &lt; 월별!$A7), 0))</f>
        <v>269.60199999999998</v>
      </c>
      <c r="CX6" s="20" cm="1">
        <f t="array" ref="CX6">SUM(_xlfn._xlws.FILTER(일별!DJ:DJ, (일별!$A:$A &gt;= 월별!$A6) * (일별!$A:$A &lt; 월별!$A7), 0))</f>
        <v>262.50200000000007</v>
      </c>
      <c r="CY6" s="20" cm="1">
        <f t="array" ref="CY6">SUM(_xlfn._xlws.FILTER(일별!DK:DK, (일별!$A:$A &gt;= 월별!$A6) * (일별!$A:$A &lt; 월별!$A7), 0))</f>
        <v>280.803</v>
      </c>
      <c r="CZ6" s="20" cm="1">
        <f t="array" ref="CZ6">SUM(_xlfn._xlws.FILTER(일별!DL:DL, (일별!$A:$A &gt;= 월별!$A6) * (일별!$A:$A &lt; 월별!$A7), 0))</f>
        <v>275.44499999999999</v>
      </c>
      <c r="DA6" s="20" cm="1">
        <f t="array" ref="DA6">SUM(_xlfn._xlws.FILTER(일별!DM:DM, (일별!$A:$A &gt;= 월별!$A6) * (일별!$A:$A &lt; 월별!$A7), 0))</f>
        <v>279.84099999999995</v>
      </c>
      <c r="DB6" s="20" cm="1">
        <f t="array" ref="DB6">SUM(_xlfn._xlws.FILTER(일별!DN:DN, (일별!$A:$A &gt;= 월별!$A6) * (일별!$A:$A &lt; 월별!$A7), 0))</f>
        <v>275.41300000000001</v>
      </c>
      <c r="DC6" s="20" cm="1">
        <f t="array" ref="DC6">SUM(_xlfn._xlws.FILTER(일별!DO:DO, (일별!$A:$A &gt;= 월별!$A6) * (일별!$A:$A &lt; 월별!$A7), 0))</f>
        <v>274.96199999999999</v>
      </c>
      <c r="DD6" s="20" cm="1">
        <f t="array" ref="DD6">SUM(_xlfn._xlws.FILTER(일별!DP:DP, (일별!$A:$A &gt;= 월별!$A6) * (일별!$A:$A &lt; 월별!$A7), 0))</f>
        <v>274.73099999999999</v>
      </c>
      <c r="DE6" s="20" cm="1">
        <f t="array" ref="DE6">SUM(_xlfn._xlws.FILTER(일별!DQ:DQ, (일별!$A:$A &gt;= 월별!$A6) * (일별!$A:$A &lt; 월별!$A7), 0))</f>
        <v>264.03100000000006</v>
      </c>
      <c r="DF6" s="20" cm="1">
        <f t="array" ref="DF6">SUM(_xlfn._xlws.FILTER(일별!DR:DR, (일별!$A:$A &gt;= 월별!$A6) * (일별!$A:$A &lt; 월별!$A7), 0))</f>
        <v>270.21999999999997</v>
      </c>
      <c r="DG6" s="20" cm="1">
        <f t="array" ref="DG6">SUM(_xlfn._xlws.FILTER(일별!DS:DS, (일별!$A:$A &gt;= 월별!$A6) * (일별!$A:$A &lt; 월별!$A7), 0))</f>
        <v>199.917</v>
      </c>
      <c r="DH6" s="20" cm="1">
        <f t="array" ref="DH6">SUM(_xlfn._xlws.FILTER(일별!DT:DT, (일별!$A:$A &gt;= 월별!$A6) * (일별!$A:$A &lt; 월별!$A7), 0))</f>
        <v>282.11599999999999</v>
      </c>
      <c r="DI6" s="19" cm="1">
        <f t="array" ref="DI6">SUM(_xlfn._xlws.FILTER(일별!DU:DU, (일별!$A:$A &gt;= 월별!$A6) * (일별!$A:$A &lt; 월별!$A7), 0))</f>
        <v>259.22899999999998</v>
      </c>
    </row>
    <row r="7" spans="1:113">
      <c r="A7" s="25">
        <v>46082</v>
      </c>
      <c r="B7" s="15">
        <f>SUMIFS(일별!$C:$C,
       일별!$A:$A, "&gt;="&amp;월별!$A7,
       일별!$A:$A, "&lt;"&amp;월별!$A8)</f>
        <v>0</v>
      </c>
      <c r="C7" s="16">
        <f>B7/(월별!$A8 - 월별!$A7)</f>
        <v>0</v>
      </c>
      <c r="D7" s="15">
        <f>SUMIFS(일별!E:E,
       일별!$A:$A, "&gt;="&amp;월별!$A7,
       일별!$A:$A, "&lt;"&amp;월별!$A8)</f>
        <v>690</v>
      </c>
      <c r="E7" s="16">
        <f>D7/(월별!$A8 - 월별!$A7)</f>
        <v>22.258064516129032</v>
      </c>
      <c r="F7" s="12">
        <f>SUMIFS(일별!G:G,
       일별!$A:$A, "&gt;="&amp;월별!$A7,
       일별!$A:$A, "&lt;"&amp;월별!$A8)</f>
        <v>508</v>
      </c>
      <c r="G7" s="16">
        <f>F7/(월별!$A8 - 월별!$A7)</f>
        <v>16.387096774193548</v>
      </c>
      <c r="H7" s="15">
        <f t="shared" si="0"/>
        <v>1198</v>
      </c>
      <c r="I7" s="16">
        <f t="shared" si="1"/>
        <v>38.645161290322577</v>
      </c>
      <c r="J7" s="12">
        <f>SUMIFS(일별!I:I,
       일별!$A:$A, "&gt;="&amp;월별!$A7,
       일별!$A:$A, "&lt;"&amp;월별!$A8)</f>
        <v>94.849999999998545</v>
      </c>
      <c r="K7" s="16">
        <f>J7/(월별!$A8 - 월별!$A7)</f>
        <v>3.059677419354792</v>
      </c>
      <c r="L7" s="12">
        <f>SUMIFS(일별!K:K,
       일별!$A:$A, "&gt;="&amp;월별!$A7,
       일별!$A:$A, "&lt;"&amp;월별!$A8)</f>
        <v>199.22999999999956</v>
      </c>
      <c r="M7" s="16">
        <f>L7/(월별!$A8 - 월별!$A7)</f>
        <v>6.4267741935483729</v>
      </c>
      <c r="N7" s="12">
        <f>SUMIFS(일별!M:M,
       일별!$A:$A, "&gt;="&amp;월별!$A7,
       일별!$A:$A, "&lt;"&amp;월별!$A8)</f>
        <v>23.300000000000004</v>
      </c>
      <c r="O7" s="31">
        <f>N7/(월별!$A8 - 월별!$A7)</f>
        <v>0.75161290322580654</v>
      </c>
      <c r="P7" s="12">
        <f>SUMIFS(일별!O:O,
       일별!$A:$A, "&gt;="&amp;월별!$A7,
       일별!$A:$A, "&lt;"&amp;월별!$A8)</f>
        <v>2140</v>
      </c>
      <c r="Q7" s="16">
        <f>P7/(월별!$A8 - 월별!$A7)</f>
        <v>69.032258064516128</v>
      </c>
      <c r="R7" s="12">
        <f>SUMIFS(일별!Q:Q,
       일별!$A:$A, "&gt;="&amp;월별!$A7,
       일별!$A:$A, "&lt;"&amp;월별!$A8)</f>
        <v>2737</v>
      </c>
      <c r="S7" s="16">
        <f>R7/(월별!$A8 - 월별!$A7)</f>
        <v>88.290322580645167</v>
      </c>
      <c r="T7" s="12">
        <f>SUMIFS(일별!S:S,
       일별!$A:$A, "&gt;="&amp;월별!$A7,
       일별!$A:$A, "&lt;"&amp;월별!$A8)</f>
        <v>0.31000000000000227</v>
      </c>
      <c r="U7" s="16">
        <f>T7/(월별!$A8 - 월별!$A7)</f>
        <v>1.0000000000000073E-2</v>
      </c>
      <c r="V7" s="12">
        <f>SUMIFS(일별!U:U,
       일별!$A:$A, "&gt;="&amp;월별!$A7,
       일별!$A:$A, "&lt;"&amp;월별!$A8)</f>
        <v>0.39000000000000057</v>
      </c>
      <c r="W7" s="16">
        <f>V7/(월별!$A8 - 월별!$A7)</f>
        <v>1.258064516129034E-2</v>
      </c>
      <c r="X7" s="12">
        <f>SUMIFS(일별!W:W,
       일별!$A:$A, "&gt;="&amp;월별!$A7,
       일별!$A:$A, "&lt;"&amp;월별!$A8)</f>
        <v>-70</v>
      </c>
      <c r="Y7" s="16">
        <f>X7/(월별!$A8 - 월별!$A7)</f>
        <v>-2.2580645161290325</v>
      </c>
      <c r="Z7" s="15">
        <f>SUMIFS(일별!X:X,
       일별!$A:$A, "&gt;="&amp;월별!$A7,
       일별!$A:$A, "&lt;"&amp;월별!$A8)</f>
        <v>1110819.5900000033</v>
      </c>
      <c r="AA7" s="12">
        <f>SUMIFS(일별!Y:Y,
       일별!$A:$A, "&gt;="&amp;월별!$A7,
       일별!$A:$A, "&lt;"&amp;월별!$A8)</f>
        <v>0</v>
      </c>
      <c r="AB7" s="12">
        <f>SUMIFS(일별!Z:Z,
       일별!$A:$A, "&gt;="&amp;월별!$A7,
       일별!$A:$A, "&lt;"&amp;월별!$A8)</f>
        <v>0</v>
      </c>
      <c r="AC7" s="12">
        <f>SUMIFS(일별!AA:AA,
       일별!$A:$A, "&gt;="&amp;월별!$A7,
       일별!$A:$A, "&lt;"&amp;월별!$A8)</f>
        <v>0</v>
      </c>
      <c r="AD7" s="12">
        <f>SUMIFS(일별!AB:AB,
       일별!$A:$A, "&gt;="&amp;월별!$A7,
       일별!$A:$A, "&lt;"&amp;월별!$A8)</f>
        <v>0</v>
      </c>
      <c r="AE7" s="16">
        <f>SUMIFS(일별!AC:AC,
       일별!$A:$A, "&gt;="&amp;월별!$A7,
       일별!$A:$A, "&lt;"&amp;월별!$A8)</f>
        <v>0</v>
      </c>
      <c r="AF7" s="15">
        <f>SUMIFS(일별!AD:AD,
       일별!$A:$A, "&gt;="&amp;월별!$A7,
       일별!$A:$A, "&lt;"&amp;월별!$A8)</f>
        <v>176</v>
      </c>
      <c r="AG7" s="12">
        <f>SUMIFS(일별!AE:AE,
       일별!$A:$A, "&gt;="&amp;월별!$A7,
       일별!$A:$A, "&lt;"&amp;월별!$A8)</f>
        <v>0</v>
      </c>
      <c r="AH7" s="12">
        <f>SUMIFS(일별!AF:AF,
       일별!$A:$A, "&gt;="&amp;월별!$A7,
       일별!$A:$A, "&lt;"&amp;월별!$A8)</f>
        <v>0</v>
      </c>
      <c r="AI7" s="16">
        <f>SUMIFS(일별!AG:AG,
       일별!$A:$A, "&gt;="&amp;월별!$A7,
       일별!$A:$A, "&lt;"&amp;월별!$A8)</f>
        <v>0</v>
      </c>
      <c r="AJ7" s="15">
        <f>SUMIFS(일별!AX:AX,
       일별!$A:$A, "&gt;="&amp;월별!$A7,
       일별!$A:$A, "&lt;"&amp;월별!$A8)</f>
        <v>7059.7139999999999</v>
      </c>
      <c r="AK7" s="12">
        <f>SUMIFS(일별!AY:AY,
       일별!$A:$A, "&gt;="&amp;월별!$A7,
       일별!$A:$A, "&lt;"&amp;월별!$A8)</f>
        <v>0</v>
      </c>
      <c r="AL7" s="12">
        <f>SUMIFS(일별!AZ:AZ,
       일별!$A:$A, "&gt;="&amp;월별!$A7,
       일별!$A:$A, "&lt;"&amp;월별!$A8)</f>
        <v>0</v>
      </c>
      <c r="AM7" s="12">
        <f>SUMIFS(일별!BA:BA,
       일별!$A:$A, "&gt;="&amp;월별!$A7,
       일별!$A:$A, "&lt;"&amp;월별!$A8)</f>
        <v>0</v>
      </c>
      <c r="AN7" s="12">
        <f>SUMIFS(일별!BB:BB,
       일별!$A:$A, "&gt;="&amp;월별!$A7,
       일별!$A:$A, "&lt;"&amp;월별!$A8)</f>
        <v>0</v>
      </c>
      <c r="AO7" s="16">
        <f>SUMIFS(일별!BC:BC,
       일별!$A:$A, "&gt;="&amp;월별!$A7,
       일별!$A:$A, "&lt;"&amp;월별!$A8)</f>
        <v>7059.7139999999999</v>
      </c>
      <c r="AP7" s="18" cm="1">
        <f t="array" ref="AP7">SUM(_xlfn._xlws.FILTER(일별!BH:CC, (일별!$A:$A &gt;= 월별!$A7) * (일별!$A:$A &lt; 월별!$A8), 0))</f>
        <v>0</v>
      </c>
      <c r="AQ7" s="20">
        <f>AP7/(월별!$A8 - 월별!$A7)</f>
        <v>0</v>
      </c>
      <c r="AR7" s="20" t="e" cm="1">
        <f t="array" ref="AR7">SUM(_xlfn._xlws.FILTER(일별!CD:CY, (일별!$A:$A &gt;= 월별!$A7) * (일별!$A:$A &lt; 월별!$A8), 0))</f>
        <v>#N/A</v>
      </c>
      <c r="AS7" s="20" t="e">
        <f>AR7/(월별!$A8 - 월별!$A7)</f>
        <v>#N/A</v>
      </c>
      <c r="AT7" s="20" cm="1">
        <f t="array" ref="AT7">SUM(_xlfn._xlws.FILTER(일별!CZ:DU, (일별!$A:$A &gt;= 월별!$A7) * (일별!$A:$A &lt; 월별!$A8), 0))</f>
        <v>0</v>
      </c>
      <c r="AU7" s="20">
        <f>AT7/(월별!$A8 - 월별!$A7)</f>
        <v>0</v>
      </c>
      <c r="AV7" s="18" cm="1">
        <f t="array" ref="AV7">SUM(_xlfn._xlws.FILTER(일별!BH:BH, (일별!$A:$A &gt;= 월별!$A7) * (일별!$A:$A &lt; 월별!$A8), 0))</f>
        <v>0</v>
      </c>
      <c r="AW7" s="20" cm="1">
        <f t="array" ref="AW7">SUM(_xlfn._xlws.FILTER(일별!BI:BI, (일별!$A:$A &gt;= 월별!$A7) * (일별!$A:$A &lt; 월별!$A8), 0))</f>
        <v>0</v>
      </c>
      <c r="AX7" s="20" cm="1">
        <f t="array" ref="AX7">SUM(_xlfn._xlws.FILTER(일별!BJ:BJ, (일별!$A:$A &gt;= 월별!$A7) * (일별!$A:$A &lt; 월별!$A8), 0))</f>
        <v>0</v>
      </c>
      <c r="AY7" s="20" cm="1">
        <f t="array" ref="AY7">SUM(_xlfn._xlws.FILTER(일별!BK:BK, (일별!$A:$A &gt;= 월별!$A7) * (일별!$A:$A &lt; 월별!$A8), 0))</f>
        <v>0</v>
      </c>
      <c r="AZ7" s="20" cm="1">
        <f t="array" ref="AZ7">SUM(_xlfn._xlws.FILTER(일별!BL:BL, (일별!$A:$A &gt;= 월별!$A7) * (일별!$A:$A &lt; 월별!$A8), 0))</f>
        <v>0</v>
      </c>
      <c r="BA7" s="20" cm="1">
        <f t="array" ref="BA7">SUM(_xlfn._xlws.FILTER(일별!BM:BM, (일별!$A:$A &gt;= 월별!$A7) * (일별!$A:$A &lt; 월별!$A8), 0))</f>
        <v>0</v>
      </c>
      <c r="BB7" s="20" cm="1">
        <f t="array" ref="BB7">SUM(_xlfn._xlws.FILTER(일별!BN:BN, (일별!$A:$A &gt;= 월별!$A7) * (일별!$A:$A &lt; 월별!$A8), 0))</f>
        <v>0</v>
      </c>
      <c r="BC7" s="20" cm="1">
        <f t="array" ref="BC7">SUM(_xlfn._xlws.FILTER(일별!BO:BO, (일별!$A:$A &gt;= 월별!$A7) * (일별!$A:$A &lt; 월별!$A8), 0))</f>
        <v>0</v>
      </c>
      <c r="BD7" s="20" cm="1">
        <f t="array" ref="BD7">SUM(_xlfn._xlws.FILTER(일별!BP:BP, (일별!$A:$A &gt;= 월별!$A7) * (일별!$A:$A &lt; 월별!$A8), 0))</f>
        <v>0</v>
      </c>
      <c r="BE7" s="20" cm="1">
        <f t="array" ref="BE7">SUM(_xlfn._xlws.FILTER(일별!BQ:BQ, (일별!$A:$A &gt;= 월별!$A7) * (일별!$A:$A &lt; 월별!$A8), 0))</f>
        <v>0</v>
      </c>
      <c r="BF7" s="20" cm="1">
        <f t="array" ref="BF7">SUM(_xlfn._xlws.FILTER(일별!BR:BR, (일별!$A:$A &gt;= 월별!$A7) * (일별!$A:$A &lt; 월별!$A8), 0))</f>
        <v>0</v>
      </c>
      <c r="BG7" s="20" cm="1">
        <f t="array" ref="BG7">SUM(_xlfn._xlws.FILTER(일별!BS:BS, (일별!$A:$A &gt;= 월별!$A7) * (일별!$A:$A &lt; 월별!$A8), 0))</f>
        <v>0</v>
      </c>
      <c r="BH7" s="20" cm="1">
        <f t="array" ref="BH7">SUM(_xlfn._xlws.FILTER(일별!BT:BT, (일별!$A:$A &gt;= 월별!$A7) * (일별!$A:$A &lt; 월별!$A8), 0))</f>
        <v>0</v>
      </c>
      <c r="BI7" s="20" cm="1">
        <f t="array" ref="BI7">SUM(_xlfn._xlws.FILTER(일별!BU:BU, (일별!$A:$A &gt;= 월별!$A7) * (일별!$A:$A &lt; 월별!$A8), 0))</f>
        <v>0</v>
      </c>
      <c r="BJ7" s="20" cm="1">
        <f t="array" ref="BJ7">SUM(_xlfn._xlws.FILTER(일별!BV:BV, (일별!$A:$A &gt;= 월별!$A7) * (일별!$A:$A &lt; 월별!$A8), 0))</f>
        <v>0</v>
      </c>
      <c r="BK7" s="20" cm="1">
        <f t="array" ref="BK7">SUM(_xlfn._xlws.FILTER(일별!BW:BW, (일별!$A:$A &gt;= 월별!$A7) * (일별!$A:$A &lt; 월별!$A8), 0))</f>
        <v>0</v>
      </c>
      <c r="BL7" s="20" cm="1">
        <f t="array" ref="BL7">SUM(_xlfn._xlws.FILTER(일별!BX:BX, (일별!$A:$A &gt;= 월별!$A7) * (일별!$A:$A &lt; 월별!$A8), 0))</f>
        <v>0</v>
      </c>
      <c r="BM7" s="20" cm="1">
        <f t="array" ref="BM7">SUM(_xlfn._xlws.FILTER(일별!BY:BY, (일별!$A:$A &gt;= 월별!$A7) * (일별!$A:$A &lt; 월별!$A8), 0))</f>
        <v>0</v>
      </c>
      <c r="BN7" s="20" cm="1">
        <f t="array" ref="BN7">SUM(_xlfn._xlws.FILTER(일별!BZ:BZ, (일별!$A:$A &gt;= 월별!$A7) * (일별!$A:$A &lt; 월별!$A8), 0))</f>
        <v>0</v>
      </c>
      <c r="BO7" s="20" cm="1">
        <f t="array" ref="BO7">SUM(_xlfn._xlws.FILTER(일별!CA:CA, (일별!$A:$A &gt;= 월별!$A7) * (일별!$A:$A &lt; 월별!$A8), 0))</f>
        <v>0</v>
      </c>
      <c r="BP7" s="20" cm="1">
        <f t="array" ref="BP7">SUM(_xlfn._xlws.FILTER(일별!CB:CB, (일별!$A:$A &gt;= 월별!$A7) * (일별!$A:$A &lt; 월별!$A8), 0))</f>
        <v>0</v>
      </c>
      <c r="BQ7" s="19" cm="1">
        <f t="array" ref="BQ7">SUM(_xlfn._xlws.FILTER(일별!CC:CC, (일별!$A:$A &gt;= 월별!$A7) * (일별!$A:$A &lt; 월별!$A8), 0))</f>
        <v>0</v>
      </c>
      <c r="BR7" s="18" t="e" cm="1">
        <f t="array" ref="BR7">SUM(_xlfn._xlws.FILTER(일별!CD:CD, (일별!$A:$A &gt;= 월별!$A7) * (일별!$A:$A &lt; 월별!$A8), 0))</f>
        <v>#N/A</v>
      </c>
      <c r="BS7" s="20" t="e" cm="1">
        <f t="array" ref="BS7">SUM(_xlfn._xlws.FILTER(일별!CE:CE, (일별!$A:$A &gt;= 월별!$A7) * (일별!$A:$A &lt; 월별!$A8), 0))</f>
        <v>#N/A</v>
      </c>
      <c r="BT7" s="20" t="e" cm="1">
        <f t="array" ref="BT7">SUM(_xlfn._xlws.FILTER(일별!CF:CF, (일별!$A:$A &gt;= 월별!$A7) * (일별!$A:$A &lt; 월별!$A8), 0))</f>
        <v>#N/A</v>
      </c>
      <c r="BU7" s="20" t="e" cm="1">
        <f t="array" ref="BU7">SUM(_xlfn._xlws.FILTER(일별!CG:CG, (일별!$A:$A &gt;= 월별!$A7) * (일별!$A:$A &lt; 월별!$A8), 0))</f>
        <v>#N/A</v>
      </c>
      <c r="BV7" s="20" t="e" cm="1">
        <f t="array" ref="BV7">SUM(_xlfn._xlws.FILTER(일별!CH:CH, (일별!$A:$A &gt;= 월별!$A7) * (일별!$A:$A &lt; 월별!$A8), 0))</f>
        <v>#N/A</v>
      </c>
      <c r="BW7" s="20" t="e" cm="1">
        <f t="array" ref="BW7">SUM(_xlfn._xlws.FILTER(일별!CI:CI, (일별!$A:$A &gt;= 월별!$A7) * (일별!$A:$A &lt; 월별!$A8), 0))</f>
        <v>#N/A</v>
      </c>
      <c r="BX7" s="20" t="e" cm="1">
        <f t="array" ref="BX7">SUM(_xlfn._xlws.FILTER(일별!CJ:CJ, (일별!$A:$A &gt;= 월별!$A7) * (일별!$A:$A &lt; 월별!$A8), 0))</f>
        <v>#N/A</v>
      </c>
      <c r="BY7" s="20" t="e" cm="1">
        <f t="array" ref="BY7">SUM(_xlfn._xlws.FILTER(일별!CK:CK, (일별!$A:$A &gt;= 월별!$A7) * (일별!$A:$A &lt; 월별!$A8), 0))</f>
        <v>#N/A</v>
      </c>
      <c r="BZ7" s="20" t="e" cm="1">
        <f t="array" ref="BZ7">SUM(_xlfn._xlws.FILTER(일별!CL:CL, (일별!$A:$A &gt;= 월별!$A7) * (일별!$A:$A &lt; 월별!$A8), 0))</f>
        <v>#N/A</v>
      </c>
      <c r="CA7" s="20" t="e" cm="1">
        <f t="array" ref="CA7">SUM(_xlfn._xlws.FILTER(일별!CM:CM, (일별!$A:$A &gt;= 월별!$A7) * (일별!$A:$A &lt; 월별!$A8), 0))</f>
        <v>#N/A</v>
      </c>
      <c r="CB7" s="20" t="e" cm="1">
        <f t="array" ref="CB7">SUM(_xlfn._xlws.FILTER(일별!CN:CN, (일별!$A:$A &gt;= 월별!$A7) * (일별!$A:$A &lt; 월별!$A8), 0))</f>
        <v>#N/A</v>
      </c>
      <c r="CC7" s="20" t="e" cm="1">
        <f t="array" ref="CC7">SUM(_xlfn._xlws.FILTER(일별!CO:CO, (일별!$A:$A &gt;= 월별!$A7) * (일별!$A:$A &lt; 월별!$A8), 0))</f>
        <v>#N/A</v>
      </c>
      <c r="CD7" s="20" t="e" cm="1">
        <f t="array" ref="CD7">SUM(_xlfn._xlws.FILTER(일별!CP:CP, (일별!$A:$A &gt;= 월별!$A7) * (일별!$A:$A &lt; 월별!$A8), 0))</f>
        <v>#N/A</v>
      </c>
      <c r="CE7" s="20" t="e" cm="1">
        <f t="array" ref="CE7">SUM(_xlfn._xlws.FILTER(일별!CQ:CQ, (일별!$A:$A &gt;= 월별!$A7) * (일별!$A:$A &lt; 월별!$A8), 0))</f>
        <v>#N/A</v>
      </c>
      <c r="CF7" s="20" t="e" cm="1">
        <f t="array" ref="CF7">SUM(_xlfn._xlws.FILTER(일별!CR:CR, (일별!$A:$A &gt;= 월별!$A7) * (일별!$A:$A &lt; 월별!$A8), 0))</f>
        <v>#N/A</v>
      </c>
      <c r="CG7" s="20" t="e" cm="1">
        <f t="array" ref="CG7">SUM(_xlfn._xlws.FILTER(일별!CS:CS, (일별!$A:$A &gt;= 월별!$A7) * (일별!$A:$A &lt; 월별!$A8), 0))</f>
        <v>#N/A</v>
      </c>
      <c r="CH7" s="20" t="e" cm="1">
        <f t="array" ref="CH7">SUM(_xlfn._xlws.FILTER(일별!CT:CT, (일별!$A:$A &gt;= 월별!$A7) * (일별!$A:$A &lt; 월별!$A8), 0))</f>
        <v>#N/A</v>
      </c>
      <c r="CI7" s="20" t="e" cm="1">
        <f t="array" ref="CI7">SUM(_xlfn._xlws.FILTER(일별!CU:CU, (일별!$A:$A &gt;= 월별!$A7) * (일별!$A:$A &lt; 월별!$A8), 0))</f>
        <v>#N/A</v>
      </c>
      <c r="CJ7" s="20" t="e" cm="1">
        <f t="array" ref="CJ7">SUM(_xlfn._xlws.FILTER(일별!CV:CV, (일별!$A:$A &gt;= 월별!$A7) * (일별!$A:$A &lt; 월별!$A8), 0))</f>
        <v>#N/A</v>
      </c>
      <c r="CK7" s="20" t="e" cm="1">
        <f t="array" ref="CK7">SUM(_xlfn._xlws.FILTER(일별!CW:CW, (일별!$A:$A &gt;= 월별!$A7) * (일별!$A:$A &lt; 월별!$A8), 0))</f>
        <v>#N/A</v>
      </c>
      <c r="CL7" s="20" t="e" cm="1">
        <f t="array" ref="CL7">SUM(_xlfn._xlws.FILTER(일별!CX:CX, (일별!$A:$A &gt;= 월별!$A7) * (일별!$A:$A &lt; 월별!$A8), 0))</f>
        <v>#N/A</v>
      </c>
      <c r="CM7" s="19" t="e" cm="1">
        <f t="array" ref="CM7">SUM(_xlfn._xlws.FILTER(일별!CY:CY, (일별!$A:$A &gt;= 월별!$A7) * (일별!$A:$A &lt; 월별!$A8), 0))</f>
        <v>#N/A</v>
      </c>
      <c r="CN7" s="18" cm="1">
        <f t="array" ref="CN7">SUM(_xlfn._xlws.FILTER(일별!CZ:CZ, (일별!$A:$A &gt;= 월별!$A7) * (일별!$A:$A &lt; 월별!$A8), 0))</f>
        <v>0</v>
      </c>
      <c r="CO7" s="20" cm="1">
        <f t="array" ref="CO7">SUM(_xlfn._xlws.FILTER(일별!DA:DA, (일별!$A:$A &gt;= 월별!$A7) * (일별!$A:$A &lt; 월별!$A8), 0))</f>
        <v>0</v>
      </c>
      <c r="CP7" s="20" cm="1">
        <f t="array" ref="CP7">SUM(_xlfn._xlws.FILTER(일별!DB:DB, (일별!$A:$A &gt;= 월별!$A7) * (일별!$A:$A &lt; 월별!$A8), 0))</f>
        <v>0</v>
      </c>
      <c r="CQ7" s="20" cm="1">
        <f t="array" ref="CQ7">SUM(_xlfn._xlws.FILTER(일별!DC:DC, (일별!$A:$A &gt;= 월별!$A7) * (일별!$A:$A &lt; 월별!$A8), 0))</f>
        <v>0</v>
      </c>
      <c r="CR7" s="20" cm="1">
        <f t="array" ref="CR7">SUM(_xlfn._xlws.FILTER(일별!DD:DD, (일별!$A:$A &gt;= 월별!$A7) * (일별!$A:$A &lt; 월별!$A8), 0))</f>
        <v>0</v>
      </c>
      <c r="CS7" s="20" cm="1">
        <f t="array" ref="CS7">SUM(_xlfn._xlws.FILTER(일별!DE:DE, (일별!$A:$A &gt;= 월별!$A7) * (일별!$A:$A &lt; 월별!$A8), 0))</f>
        <v>0</v>
      </c>
      <c r="CT7" s="20" cm="1">
        <f t="array" ref="CT7">SUM(_xlfn._xlws.FILTER(일별!DF:DF, (일별!$A:$A &gt;= 월별!$A7) * (일별!$A:$A &lt; 월별!$A8), 0))</f>
        <v>0</v>
      </c>
      <c r="CU7" s="20" cm="1">
        <f t="array" ref="CU7">SUM(_xlfn._xlws.FILTER(일별!DG:DG, (일별!$A:$A &gt;= 월별!$A7) * (일별!$A:$A &lt; 월별!$A8), 0))</f>
        <v>0</v>
      </c>
      <c r="CV7" s="20" cm="1">
        <f t="array" ref="CV7">SUM(_xlfn._xlws.FILTER(일별!DH:DH, (일별!$A:$A &gt;= 월별!$A7) * (일별!$A:$A &lt; 월별!$A8), 0))</f>
        <v>0</v>
      </c>
      <c r="CW7" s="20" cm="1">
        <f t="array" ref="CW7">SUM(_xlfn._xlws.FILTER(일별!DI:DI, (일별!$A:$A &gt;= 월별!$A7) * (일별!$A:$A &lt; 월별!$A8), 0))</f>
        <v>0</v>
      </c>
      <c r="CX7" s="20" cm="1">
        <f t="array" ref="CX7">SUM(_xlfn._xlws.FILTER(일별!DJ:DJ, (일별!$A:$A &gt;= 월별!$A7) * (일별!$A:$A &lt; 월별!$A8), 0))</f>
        <v>0</v>
      </c>
      <c r="CY7" s="20" cm="1">
        <f t="array" ref="CY7">SUM(_xlfn._xlws.FILTER(일별!DK:DK, (일별!$A:$A &gt;= 월별!$A7) * (일별!$A:$A &lt; 월별!$A8), 0))</f>
        <v>0</v>
      </c>
      <c r="CZ7" s="20" cm="1">
        <f t="array" ref="CZ7">SUM(_xlfn._xlws.FILTER(일별!DL:DL, (일별!$A:$A &gt;= 월별!$A7) * (일별!$A:$A &lt; 월별!$A8), 0))</f>
        <v>0</v>
      </c>
      <c r="DA7" s="20" cm="1">
        <f t="array" ref="DA7">SUM(_xlfn._xlws.FILTER(일별!DM:DM, (일별!$A:$A &gt;= 월별!$A7) * (일별!$A:$A &lt; 월별!$A8), 0))</f>
        <v>0</v>
      </c>
      <c r="DB7" s="20" cm="1">
        <f t="array" ref="DB7">SUM(_xlfn._xlws.FILTER(일별!DN:DN, (일별!$A:$A &gt;= 월별!$A7) * (일별!$A:$A &lt; 월별!$A8), 0))</f>
        <v>0</v>
      </c>
      <c r="DC7" s="20" cm="1">
        <f t="array" ref="DC7">SUM(_xlfn._xlws.FILTER(일별!DO:DO, (일별!$A:$A &gt;= 월별!$A7) * (일별!$A:$A &lt; 월별!$A8), 0))</f>
        <v>0</v>
      </c>
      <c r="DD7" s="20" cm="1">
        <f t="array" ref="DD7">SUM(_xlfn._xlws.FILTER(일별!DP:DP, (일별!$A:$A &gt;= 월별!$A7) * (일별!$A:$A &lt; 월별!$A8), 0))</f>
        <v>0</v>
      </c>
      <c r="DE7" s="20" cm="1">
        <f t="array" ref="DE7">SUM(_xlfn._xlws.FILTER(일별!DQ:DQ, (일별!$A:$A &gt;= 월별!$A7) * (일별!$A:$A &lt; 월별!$A8), 0))</f>
        <v>0</v>
      </c>
      <c r="DF7" s="20" cm="1">
        <f t="array" ref="DF7">SUM(_xlfn._xlws.FILTER(일별!DR:DR, (일별!$A:$A &gt;= 월별!$A7) * (일별!$A:$A &lt; 월별!$A8), 0))</f>
        <v>0</v>
      </c>
      <c r="DG7" s="20" cm="1">
        <f t="array" ref="DG7">SUM(_xlfn._xlws.FILTER(일별!DS:DS, (일별!$A:$A &gt;= 월별!$A7) * (일별!$A:$A &lt; 월별!$A8), 0))</f>
        <v>0</v>
      </c>
      <c r="DH7" s="20" cm="1">
        <f t="array" ref="DH7">SUM(_xlfn._xlws.FILTER(일별!DT:DT, (일별!$A:$A &gt;= 월별!$A7) * (일별!$A:$A &lt; 월별!$A8), 0))</f>
        <v>0</v>
      </c>
      <c r="DI7" s="19" cm="1">
        <f t="array" ref="DI7">SUM(_xlfn._xlws.FILTER(일별!DU:DU, (일별!$A:$A &gt;= 월별!$A7) * (일별!$A:$A &lt; 월별!$A8), 0))</f>
        <v>0</v>
      </c>
    </row>
    <row r="8" spans="1:113">
      <c r="A8" s="25">
        <v>46113</v>
      </c>
      <c r="B8" s="15">
        <f>SUMIFS(일별!$C:$C,
       일별!$A:$A, "&gt;="&amp;월별!$A8,
       일별!$A:$A, "&lt;"&amp;월별!$A9)</f>
        <v>0</v>
      </c>
      <c r="C8" s="16">
        <f>B8/(월별!$A9 - 월별!$A8)</f>
        <v>0</v>
      </c>
      <c r="D8" s="15">
        <f>SUMIFS(일별!E:E,
       일별!$A:$A, "&gt;="&amp;월별!$A8,
       일별!$A:$A, "&lt;"&amp;월별!$A9)</f>
        <v>122</v>
      </c>
      <c r="E8" s="16">
        <f>D8/(월별!$A9 - 월별!$A8)</f>
        <v>4.0666666666666664</v>
      </c>
      <c r="F8" s="12">
        <f>SUMIFS(일별!G:G,
       일별!$A:$A, "&gt;="&amp;월별!$A8,
       일별!$A:$A, "&lt;"&amp;월별!$A9)</f>
        <v>117</v>
      </c>
      <c r="G8" s="16">
        <f>F8/(월별!$A9 - 월별!$A8)</f>
        <v>3.9</v>
      </c>
      <c r="H8" s="15">
        <f t="shared" si="0"/>
        <v>239</v>
      </c>
      <c r="I8" s="16">
        <f t="shared" si="1"/>
        <v>7.9666666666666668</v>
      </c>
      <c r="J8" s="12">
        <f>SUMIFS(일별!I:I,
       일별!$A:$A, "&gt;="&amp;월별!$A8,
       일별!$A:$A, "&lt;"&amp;월별!$A9)</f>
        <v>23.18999999999869</v>
      </c>
      <c r="K8" s="16">
        <f>J8/(월별!$A9 - 월별!$A8)</f>
        <v>0.77299999999995639</v>
      </c>
      <c r="L8" s="12">
        <f>SUMIFS(일별!K:K,
       일별!$A:$A, "&gt;="&amp;월별!$A8,
       일별!$A:$A, "&lt;"&amp;월별!$A9)</f>
        <v>7.8900000000012369</v>
      </c>
      <c r="M8" s="16">
        <f>L8/(월별!$A9 - 월별!$A8)</f>
        <v>0.26300000000004126</v>
      </c>
      <c r="N8" s="12">
        <f>SUMIFS(일별!M:M,
       일별!$A:$A, "&gt;="&amp;월별!$A8,
       일별!$A:$A, "&lt;"&amp;월별!$A9)</f>
        <v>5.6999999999999957</v>
      </c>
      <c r="O8" s="31">
        <f>N8/(월별!$A9 - 월별!$A8)</f>
        <v>0.18999999999999986</v>
      </c>
      <c r="P8" s="12">
        <f>SUMIFS(일별!O:O,
       일별!$A:$A, "&gt;="&amp;월별!$A8,
       일별!$A:$A, "&lt;"&amp;월별!$A9)</f>
        <v>502</v>
      </c>
      <c r="Q8" s="16">
        <f>P8/(월별!$A9 - 월별!$A8)</f>
        <v>16.733333333333334</v>
      </c>
      <c r="R8" s="12">
        <f>SUMIFS(일별!Q:Q,
       일별!$A:$A, "&gt;="&amp;월별!$A8,
       일별!$A:$A, "&lt;"&amp;월별!$A9)</f>
        <v>558</v>
      </c>
      <c r="S8" s="16">
        <f>R8/(월별!$A9 - 월별!$A8)</f>
        <v>18.600000000000001</v>
      </c>
      <c r="T8" s="12">
        <f>SUMIFS(일별!S:S,
       일별!$A:$A, "&gt;="&amp;월별!$A8,
       일별!$A:$A, "&lt;"&amp;월별!$A9)</f>
        <v>-9.9999999999980105E-3</v>
      </c>
      <c r="U8" s="16">
        <f>T8/(월별!$A9 - 월별!$A8)</f>
        <v>-3.3333333333326702E-4</v>
      </c>
      <c r="V8" s="12">
        <f>SUMIFS(일별!U:U,
       일별!$A:$A, "&gt;="&amp;월별!$A8,
       일별!$A:$A, "&lt;"&amp;월별!$A9)</f>
        <v>0.15000000000000568</v>
      </c>
      <c r="W8" s="16">
        <f>V8/(월별!$A9 - 월별!$A8)</f>
        <v>5.0000000000001892E-3</v>
      </c>
      <c r="X8" s="12">
        <f>SUMIFS(일별!W:W,
       일별!$A:$A, "&gt;="&amp;월별!$A8,
       일별!$A:$A, "&lt;"&amp;월별!$A9)</f>
        <v>-577</v>
      </c>
      <c r="Y8" s="16">
        <f>X8/(월별!$A9 - 월별!$A8)</f>
        <v>-19.233333333333334</v>
      </c>
      <c r="Z8" s="15">
        <f>SUMIFS(일별!X:X,
       일별!$A:$A, "&gt;="&amp;월별!$A8,
       일별!$A:$A, "&lt;"&amp;월별!$A9)</f>
        <v>21451.939999997616</v>
      </c>
      <c r="AA8" s="12">
        <f>SUMIFS(일별!Y:Y,
       일별!$A:$A, "&gt;="&amp;월별!$A8,
       일별!$A:$A, "&lt;"&amp;월별!$A9)</f>
        <v>0</v>
      </c>
      <c r="AB8" s="12">
        <f>SUMIFS(일별!Z:Z,
       일별!$A:$A, "&gt;="&amp;월별!$A8,
       일별!$A:$A, "&lt;"&amp;월별!$A9)</f>
        <v>0</v>
      </c>
      <c r="AC8" s="12">
        <f>SUMIFS(일별!AA:AA,
       일별!$A:$A, "&gt;="&amp;월별!$A8,
       일별!$A:$A, "&lt;"&amp;월별!$A9)</f>
        <v>0</v>
      </c>
      <c r="AD8" s="12">
        <f>SUMIFS(일별!AB:AB,
       일별!$A:$A, "&gt;="&amp;월별!$A8,
       일별!$A:$A, "&lt;"&amp;월별!$A9)</f>
        <v>0</v>
      </c>
      <c r="AE8" s="16">
        <f>SUMIFS(일별!AC:AC,
       일별!$A:$A, "&gt;="&amp;월별!$A8,
       일별!$A:$A, "&lt;"&amp;월별!$A9)</f>
        <v>0</v>
      </c>
      <c r="AF8" s="15">
        <f>SUMIFS(일별!AD:AD,
       일별!$A:$A, "&gt;="&amp;월별!$A8,
       일별!$A:$A, "&lt;"&amp;월별!$A9)</f>
        <v>12</v>
      </c>
      <c r="AG8" s="12">
        <f>SUMIFS(일별!AE:AE,
       일별!$A:$A, "&gt;="&amp;월별!$A8,
       일별!$A:$A, "&lt;"&amp;월별!$A9)</f>
        <v>0</v>
      </c>
      <c r="AH8" s="12">
        <f>SUMIFS(일별!AF:AF,
       일별!$A:$A, "&gt;="&amp;월별!$A8,
       일별!$A:$A, "&lt;"&amp;월별!$A9)</f>
        <v>0</v>
      </c>
      <c r="AI8" s="16">
        <f>SUMIFS(일별!AG:AG,
       일별!$A:$A, "&gt;="&amp;월별!$A8,
       일별!$A:$A, "&lt;"&amp;월별!$A9)</f>
        <v>0</v>
      </c>
      <c r="AJ8" s="15">
        <f>SUMIFS(일별!AX:AX,
       일별!$A:$A, "&gt;="&amp;월별!$A8,
       일별!$A:$A, "&lt;"&amp;월별!$A9)</f>
        <v>114</v>
      </c>
      <c r="AK8" s="12">
        <f>SUMIFS(일별!AY:AY,
       일별!$A:$A, "&gt;="&amp;월별!$A8,
       일별!$A:$A, "&lt;"&amp;월별!$A9)</f>
        <v>0</v>
      </c>
      <c r="AL8" s="12">
        <f>SUMIFS(일별!AZ:AZ,
       일별!$A:$A, "&gt;="&amp;월별!$A8,
       일별!$A:$A, "&lt;"&amp;월별!$A9)</f>
        <v>0</v>
      </c>
      <c r="AM8" s="12">
        <f>SUMIFS(일별!BA:BA,
       일별!$A:$A, "&gt;="&amp;월별!$A8,
       일별!$A:$A, "&lt;"&amp;월별!$A9)</f>
        <v>0</v>
      </c>
      <c r="AN8" s="12">
        <f>SUMIFS(일별!BB:BB,
       일별!$A:$A, "&gt;="&amp;월별!$A8,
       일별!$A:$A, "&lt;"&amp;월별!$A9)</f>
        <v>0</v>
      </c>
      <c r="AO8" s="16">
        <f>SUMIFS(일별!BC:BC,
       일별!$A:$A, "&gt;="&amp;월별!$A8,
       일별!$A:$A, "&lt;"&amp;월별!$A9)</f>
        <v>114</v>
      </c>
      <c r="AP8" s="18" cm="1">
        <f t="array" ref="AP8">SUM(_xlfn._xlws.FILTER(일별!BH:CC, (일별!$A:$A &gt;= 월별!$A8) * (일별!$A:$A &lt; 월별!$A9), 0))</f>
        <v>0</v>
      </c>
      <c r="AQ8" s="20">
        <f>AP8/(월별!$A9 - 월별!$A8)</f>
        <v>0</v>
      </c>
      <c r="AR8" s="20" cm="1">
        <f t="array" ref="AR8">SUM(_xlfn._xlws.FILTER(일별!CD:CY, (일별!$A:$A &gt;= 월별!$A8) * (일별!$A:$A &lt; 월별!$A9), 0))</f>
        <v>0</v>
      </c>
      <c r="AS8" s="20">
        <f>AR8/(월별!$A9 - 월별!$A8)</f>
        <v>0</v>
      </c>
      <c r="AT8" s="20" cm="1">
        <f t="array" ref="AT8">SUM(_xlfn._xlws.FILTER(일별!CZ:DU, (일별!$A:$A &gt;= 월별!$A8) * (일별!$A:$A &lt; 월별!$A9), 0))</f>
        <v>0</v>
      </c>
      <c r="AU8" s="20">
        <f>AT8/(월별!$A9 - 월별!$A8)</f>
        <v>0</v>
      </c>
      <c r="AV8" s="18" cm="1">
        <f t="array" ref="AV8">SUM(_xlfn._xlws.FILTER(일별!BH:BH, (일별!$A:$A &gt;= 월별!$A8) * (일별!$A:$A &lt; 월별!$A9), 0))</f>
        <v>0</v>
      </c>
      <c r="AW8" s="20" cm="1">
        <f t="array" ref="AW8">SUM(_xlfn._xlws.FILTER(일별!BI:BI, (일별!$A:$A &gt;= 월별!$A8) * (일별!$A:$A &lt; 월별!$A9), 0))</f>
        <v>0</v>
      </c>
      <c r="AX8" s="20" cm="1">
        <f t="array" ref="AX8">SUM(_xlfn._xlws.FILTER(일별!BJ:BJ, (일별!$A:$A &gt;= 월별!$A8) * (일별!$A:$A &lt; 월별!$A9), 0))</f>
        <v>0</v>
      </c>
      <c r="AY8" s="20" cm="1">
        <f t="array" ref="AY8">SUM(_xlfn._xlws.FILTER(일별!BK:BK, (일별!$A:$A &gt;= 월별!$A8) * (일별!$A:$A &lt; 월별!$A9), 0))</f>
        <v>0</v>
      </c>
      <c r="AZ8" s="20" cm="1">
        <f t="array" ref="AZ8">SUM(_xlfn._xlws.FILTER(일별!BL:BL, (일별!$A:$A &gt;= 월별!$A8) * (일별!$A:$A &lt; 월별!$A9), 0))</f>
        <v>0</v>
      </c>
      <c r="BA8" s="20" cm="1">
        <f t="array" ref="BA8">SUM(_xlfn._xlws.FILTER(일별!BM:BM, (일별!$A:$A &gt;= 월별!$A8) * (일별!$A:$A &lt; 월별!$A9), 0))</f>
        <v>0</v>
      </c>
      <c r="BB8" s="20" cm="1">
        <f t="array" ref="BB8">SUM(_xlfn._xlws.FILTER(일별!BN:BN, (일별!$A:$A &gt;= 월별!$A8) * (일별!$A:$A &lt; 월별!$A9), 0))</f>
        <v>0</v>
      </c>
      <c r="BC8" s="20" cm="1">
        <f t="array" ref="BC8">SUM(_xlfn._xlws.FILTER(일별!BO:BO, (일별!$A:$A &gt;= 월별!$A8) * (일별!$A:$A &lt; 월별!$A9), 0))</f>
        <v>0</v>
      </c>
      <c r="BD8" s="20" cm="1">
        <f t="array" ref="BD8">SUM(_xlfn._xlws.FILTER(일별!BP:BP, (일별!$A:$A &gt;= 월별!$A8) * (일별!$A:$A &lt; 월별!$A9), 0))</f>
        <v>0</v>
      </c>
      <c r="BE8" s="20" cm="1">
        <f t="array" ref="BE8">SUM(_xlfn._xlws.FILTER(일별!BQ:BQ, (일별!$A:$A &gt;= 월별!$A8) * (일별!$A:$A &lt; 월별!$A9), 0))</f>
        <v>0</v>
      </c>
      <c r="BF8" s="20" cm="1">
        <f t="array" ref="BF8">SUM(_xlfn._xlws.FILTER(일별!BR:BR, (일별!$A:$A &gt;= 월별!$A8) * (일별!$A:$A &lt; 월별!$A9), 0))</f>
        <v>0</v>
      </c>
      <c r="BG8" s="20" cm="1">
        <f t="array" ref="BG8">SUM(_xlfn._xlws.FILTER(일별!BS:BS, (일별!$A:$A &gt;= 월별!$A8) * (일별!$A:$A &lt; 월별!$A9), 0))</f>
        <v>0</v>
      </c>
      <c r="BH8" s="20" cm="1">
        <f t="array" ref="BH8">SUM(_xlfn._xlws.FILTER(일별!BT:BT, (일별!$A:$A &gt;= 월별!$A8) * (일별!$A:$A &lt; 월별!$A9), 0))</f>
        <v>0</v>
      </c>
      <c r="BI8" s="20" cm="1">
        <f t="array" ref="BI8">SUM(_xlfn._xlws.FILTER(일별!BU:BU, (일별!$A:$A &gt;= 월별!$A8) * (일별!$A:$A &lt; 월별!$A9), 0))</f>
        <v>0</v>
      </c>
      <c r="BJ8" s="20" cm="1">
        <f t="array" ref="BJ8">SUM(_xlfn._xlws.FILTER(일별!BV:BV, (일별!$A:$A &gt;= 월별!$A8) * (일별!$A:$A &lt; 월별!$A9), 0))</f>
        <v>0</v>
      </c>
      <c r="BK8" s="20" cm="1">
        <f t="array" ref="BK8">SUM(_xlfn._xlws.FILTER(일별!BW:BW, (일별!$A:$A &gt;= 월별!$A8) * (일별!$A:$A &lt; 월별!$A9), 0))</f>
        <v>0</v>
      </c>
      <c r="BL8" s="20" cm="1">
        <f t="array" ref="BL8">SUM(_xlfn._xlws.FILTER(일별!BX:BX, (일별!$A:$A &gt;= 월별!$A8) * (일별!$A:$A &lt; 월별!$A9), 0))</f>
        <v>0</v>
      </c>
      <c r="BM8" s="20" cm="1">
        <f t="array" ref="BM8">SUM(_xlfn._xlws.FILTER(일별!BY:BY, (일별!$A:$A &gt;= 월별!$A8) * (일별!$A:$A &lt; 월별!$A9), 0))</f>
        <v>0</v>
      </c>
      <c r="BN8" s="20" cm="1">
        <f t="array" ref="BN8">SUM(_xlfn._xlws.FILTER(일별!BZ:BZ, (일별!$A:$A &gt;= 월별!$A8) * (일별!$A:$A &lt; 월별!$A9), 0))</f>
        <v>0</v>
      </c>
      <c r="BO8" s="20" cm="1">
        <f t="array" ref="BO8">SUM(_xlfn._xlws.FILTER(일별!CA:CA, (일별!$A:$A &gt;= 월별!$A8) * (일별!$A:$A &lt; 월별!$A9), 0))</f>
        <v>0</v>
      </c>
      <c r="BP8" s="20" cm="1">
        <f t="array" ref="BP8">SUM(_xlfn._xlws.FILTER(일별!CB:CB, (일별!$A:$A &gt;= 월별!$A8) * (일별!$A:$A &lt; 월별!$A9), 0))</f>
        <v>0</v>
      </c>
      <c r="BQ8" s="19" cm="1">
        <f t="array" ref="BQ8">SUM(_xlfn._xlws.FILTER(일별!CC:CC, (일별!$A:$A &gt;= 월별!$A8) * (일별!$A:$A &lt; 월별!$A9), 0))</f>
        <v>0</v>
      </c>
      <c r="BR8" s="18" cm="1">
        <f t="array" ref="BR8">SUM(_xlfn._xlws.FILTER(일별!CD:CD, (일별!$A:$A &gt;= 월별!$A8) * (일별!$A:$A &lt; 월별!$A9), 0))</f>
        <v>0</v>
      </c>
      <c r="BS8" s="20" cm="1">
        <f t="array" ref="BS8">SUM(_xlfn._xlws.FILTER(일별!CE:CE, (일별!$A:$A &gt;= 월별!$A8) * (일별!$A:$A &lt; 월별!$A9), 0))</f>
        <v>0</v>
      </c>
      <c r="BT8" s="20" cm="1">
        <f t="array" ref="BT8">SUM(_xlfn._xlws.FILTER(일별!CF:CF, (일별!$A:$A &gt;= 월별!$A8) * (일별!$A:$A &lt; 월별!$A9), 0))</f>
        <v>0</v>
      </c>
      <c r="BU8" s="20" cm="1">
        <f t="array" ref="BU8">SUM(_xlfn._xlws.FILTER(일별!CG:CG, (일별!$A:$A &gt;= 월별!$A8) * (일별!$A:$A &lt; 월별!$A9), 0))</f>
        <v>0</v>
      </c>
      <c r="BV8" s="20" cm="1">
        <f t="array" ref="BV8">SUM(_xlfn._xlws.FILTER(일별!CH:CH, (일별!$A:$A &gt;= 월별!$A8) * (일별!$A:$A &lt; 월별!$A9), 0))</f>
        <v>0</v>
      </c>
      <c r="BW8" s="20" cm="1">
        <f t="array" ref="BW8">SUM(_xlfn._xlws.FILTER(일별!CI:CI, (일별!$A:$A &gt;= 월별!$A8) * (일별!$A:$A &lt; 월별!$A9), 0))</f>
        <v>0</v>
      </c>
      <c r="BX8" s="20" cm="1">
        <f t="array" ref="BX8">SUM(_xlfn._xlws.FILTER(일별!CJ:CJ, (일별!$A:$A &gt;= 월별!$A8) * (일별!$A:$A &lt; 월별!$A9), 0))</f>
        <v>0</v>
      </c>
      <c r="BY8" s="20" cm="1">
        <f t="array" ref="BY8">SUM(_xlfn._xlws.FILTER(일별!CK:CK, (일별!$A:$A &gt;= 월별!$A8) * (일별!$A:$A &lt; 월별!$A9), 0))</f>
        <v>0</v>
      </c>
      <c r="BZ8" s="20" cm="1">
        <f t="array" ref="BZ8">SUM(_xlfn._xlws.FILTER(일별!CL:CL, (일별!$A:$A &gt;= 월별!$A8) * (일별!$A:$A &lt; 월별!$A9), 0))</f>
        <v>0</v>
      </c>
      <c r="CA8" s="20" cm="1">
        <f t="array" ref="CA8">SUM(_xlfn._xlws.FILTER(일별!CM:CM, (일별!$A:$A &gt;= 월별!$A8) * (일별!$A:$A &lt; 월별!$A9), 0))</f>
        <v>0</v>
      </c>
      <c r="CB8" s="20" cm="1">
        <f t="array" ref="CB8">SUM(_xlfn._xlws.FILTER(일별!CN:CN, (일별!$A:$A &gt;= 월별!$A8) * (일별!$A:$A &lt; 월별!$A9), 0))</f>
        <v>0</v>
      </c>
      <c r="CC8" s="20" cm="1">
        <f t="array" ref="CC8">SUM(_xlfn._xlws.FILTER(일별!CO:CO, (일별!$A:$A &gt;= 월별!$A8) * (일별!$A:$A &lt; 월별!$A9), 0))</f>
        <v>0</v>
      </c>
      <c r="CD8" s="20" cm="1">
        <f t="array" ref="CD8">SUM(_xlfn._xlws.FILTER(일별!CP:CP, (일별!$A:$A &gt;= 월별!$A8) * (일별!$A:$A &lt; 월별!$A9), 0))</f>
        <v>0</v>
      </c>
      <c r="CE8" s="20" cm="1">
        <f t="array" ref="CE8">SUM(_xlfn._xlws.FILTER(일별!CQ:CQ, (일별!$A:$A &gt;= 월별!$A8) * (일별!$A:$A &lt; 월별!$A9), 0))</f>
        <v>0</v>
      </c>
      <c r="CF8" s="20" cm="1">
        <f t="array" ref="CF8">SUM(_xlfn._xlws.FILTER(일별!CR:CR, (일별!$A:$A &gt;= 월별!$A8) * (일별!$A:$A &lt; 월별!$A9), 0))</f>
        <v>0</v>
      </c>
      <c r="CG8" s="20" cm="1">
        <f t="array" ref="CG8">SUM(_xlfn._xlws.FILTER(일별!CS:CS, (일별!$A:$A &gt;= 월별!$A8) * (일별!$A:$A &lt; 월별!$A9), 0))</f>
        <v>0</v>
      </c>
      <c r="CH8" s="20" cm="1">
        <f t="array" ref="CH8">SUM(_xlfn._xlws.FILTER(일별!CT:CT, (일별!$A:$A &gt;= 월별!$A8) * (일별!$A:$A &lt; 월별!$A9), 0))</f>
        <v>0</v>
      </c>
      <c r="CI8" s="20" cm="1">
        <f t="array" ref="CI8">SUM(_xlfn._xlws.FILTER(일별!CU:CU, (일별!$A:$A &gt;= 월별!$A8) * (일별!$A:$A &lt; 월별!$A9), 0))</f>
        <v>0</v>
      </c>
      <c r="CJ8" s="20" cm="1">
        <f t="array" ref="CJ8">SUM(_xlfn._xlws.FILTER(일별!CV:CV, (일별!$A:$A &gt;= 월별!$A8) * (일별!$A:$A &lt; 월별!$A9), 0))</f>
        <v>0</v>
      </c>
      <c r="CK8" s="20" cm="1">
        <f t="array" ref="CK8">SUM(_xlfn._xlws.FILTER(일별!CW:CW, (일별!$A:$A &gt;= 월별!$A8) * (일별!$A:$A &lt; 월별!$A9), 0))</f>
        <v>0</v>
      </c>
      <c r="CL8" s="20" cm="1">
        <f t="array" ref="CL8">SUM(_xlfn._xlws.FILTER(일별!CX:CX, (일별!$A:$A &gt;= 월별!$A8) * (일별!$A:$A &lt; 월별!$A9), 0))</f>
        <v>0</v>
      </c>
      <c r="CM8" s="19" cm="1">
        <f t="array" ref="CM8">SUM(_xlfn._xlws.FILTER(일별!CY:CY, (일별!$A:$A &gt;= 월별!$A8) * (일별!$A:$A &lt; 월별!$A9), 0))</f>
        <v>0</v>
      </c>
      <c r="CN8" s="18" cm="1">
        <f t="array" ref="CN8">SUM(_xlfn._xlws.FILTER(일별!CZ:CZ, (일별!$A:$A &gt;= 월별!$A8) * (일별!$A:$A &lt; 월별!$A9), 0))</f>
        <v>0</v>
      </c>
      <c r="CO8" s="20" cm="1">
        <f t="array" ref="CO8">SUM(_xlfn._xlws.FILTER(일별!DA:DA, (일별!$A:$A &gt;= 월별!$A8) * (일별!$A:$A &lt; 월별!$A9), 0))</f>
        <v>0</v>
      </c>
      <c r="CP8" s="20" cm="1">
        <f t="array" ref="CP8">SUM(_xlfn._xlws.FILTER(일별!DB:DB, (일별!$A:$A &gt;= 월별!$A8) * (일별!$A:$A &lt; 월별!$A9), 0))</f>
        <v>0</v>
      </c>
      <c r="CQ8" s="20" cm="1">
        <f t="array" ref="CQ8">SUM(_xlfn._xlws.FILTER(일별!DC:DC, (일별!$A:$A &gt;= 월별!$A8) * (일별!$A:$A &lt; 월별!$A9), 0))</f>
        <v>0</v>
      </c>
      <c r="CR8" s="20" cm="1">
        <f t="array" ref="CR8">SUM(_xlfn._xlws.FILTER(일별!DD:DD, (일별!$A:$A &gt;= 월별!$A8) * (일별!$A:$A &lt; 월별!$A9), 0))</f>
        <v>0</v>
      </c>
      <c r="CS8" s="20" cm="1">
        <f t="array" ref="CS8">SUM(_xlfn._xlws.FILTER(일별!DE:DE, (일별!$A:$A &gt;= 월별!$A8) * (일별!$A:$A &lt; 월별!$A9), 0))</f>
        <v>0</v>
      </c>
      <c r="CT8" s="20" cm="1">
        <f t="array" ref="CT8">SUM(_xlfn._xlws.FILTER(일별!DF:DF, (일별!$A:$A &gt;= 월별!$A8) * (일별!$A:$A &lt; 월별!$A9), 0))</f>
        <v>0</v>
      </c>
      <c r="CU8" s="20" cm="1">
        <f t="array" ref="CU8">SUM(_xlfn._xlws.FILTER(일별!DG:DG, (일별!$A:$A &gt;= 월별!$A8) * (일별!$A:$A &lt; 월별!$A9), 0))</f>
        <v>0</v>
      </c>
      <c r="CV8" s="20" cm="1">
        <f t="array" ref="CV8">SUM(_xlfn._xlws.FILTER(일별!DH:DH, (일별!$A:$A &gt;= 월별!$A8) * (일별!$A:$A &lt; 월별!$A9), 0))</f>
        <v>0</v>
      </c>
      <c r="CW8" s="20" cm="1">
        <f t="array" ref="CW8">SUM(_xlfn._xlws.FILTER(일별!DI:DI, (일별!$A:$A &gt;= 월별!$A8) * (일별!$A:$A &lt; 월별!$A9), 0))</f>
        <v>0</v>
      </c>
      <c r="CX8" s="20" cm="1">
        <f t="array" ref="CX8">SUM(_xlfn._xlws.FILTER(일별!DJ:DJ, (일별!$A:$A &gt;= 월별!$A8) * (일별!$A:$A &lt; 월별!$A9), 0))</f>
        <v>0</v>
      </c>
      <c r="CY8" s="20" cm="1">
        <f t="array" ref="CY8">SUM(_xlfn._xlws.FILTER(일별!DK:DK, (일별!$A:$A &gt;= 월별!$A8) * (일별!$A:$A &lt; 월별!$A9), 0))</f>
        <v>0</v>
      </c>
      <c r="CZ8" s="20" cm="1">
        <f t="array" ref="CZ8">SUM(_xlfn._xlws.FILTER(일별!DL:DL, (일별!$A:$A &gt;= 월별!$A8) * (일별!$A:$A &lt; 월별!$A9), 0))</f>
        <v>0</v>
      </c>
      <c r="DA8" s="20" cm="1">
        <f t="array" ref="DA8">SUM(_xlfn._xlws.FILTER(일별!DM:DM, (일별!$A:$A &gt;= 월별!$A8) * (일별!$A:$A &lt; 월별!$A9), 0))</f>
        <v>0</v>
      </c>
      <c r="DB8" s="20" cm="1">
        <f t="array" ref="DB8">SUM(_xlfn._xlws.FILTER(일별!DN:DN, (일별!$A:$A &gt;= 월별!$A8) * (일별!$A:$A &lt; 월별!$A9), 0))</f>
        <v>0</v>
      </c>
      <c r="DC8" s="20" cm="1">
        <f t="array" ref="DC8">SUM(_xlfn._xlws.FILTER(일별!DO:DO, (일별!$A:$A &gt;= 월별!$A8) * (일별!$A:$A &lt; 월별!$A9), 0))</f>
        <v>0</v>
      </c>
      <c r="DD8" s="20" cm="1">
        <f t="array" ref="DD8">SUM(_xlfn._xlws.FILTER(일별!DP:DP, (일별!$A:$A &gt;= 월별!$A8) * (일별!$A:$A &lt; 월별!$A9), 0))</f>
        <v>0</v>
      </c>
      <c r="DE8" s="20" cm="1">
        <f t="array" ref="DE8">SUM(_xlfn._xlws.FILTER(일별!DQ:DQ, (일별!$A:$A &gt;= 월별!$A8) * (일별!$A:$A &lt; 월별!$A9), 0))</f>
        <v>0</v>
      </c>
      <c r="DF8" s="20" cm="1">
        <f t="array" ref="DF8">SUM(_xlfn._xlws.FILTER(일별!DR:DR, (일별!$A:$A &gt;= 월별!$A8) * (일별!$A:$A &lt; 월별!$A9), 0))</f>
        <v>0</v>
      </c>
      <c r="DG8" s="20" cm="1">
        <f t="array" ref="DG8">SUM(_xlfn._xlws.FILTER(일별!DS:DS, (일별!$A:$A &gt;= 월별!$A8) * (일별!$A:$A &lt; 월별!$A9), 0))</f>
        <v>0</v>
      </c>
      <c r="DH8" s="20" cm="1">
        <f t="array" ref="DH8">SUM(_xlfn._xlws.FILTER(일별!DT:DT, (일별!$A:$A &gt;= 월별!$A8) * (일별!$A:$A &lt; 월별!$A9), 0))</f>
        <v>0</v>
      </c>
      <c r="DI8" s="19" cm="1">
        <f t="array" ref="DI8">SUM(_xlfn._xlws.FILTER(일별!DU:DU, (일별!$A:$A &gt;= 월별!$A8) * (일별!$A:$A &lt; 월별!$A9), 0))</f>
        <v>0</v>
      </c>
    </row>
    <row r="9" spans="1:113">
      <c r="A9" s="25">
        <v>46143</v>
      </c>
      <c r="B9" s="15">
        <f>SUMIFS(일별!$C:$C,
       일별!$A:$A, "&gt;="&amp;월별!$A9,
       일별!$A:$A, "&lt;"&amp;월별!$A10)</f>
        <v>0</v>
      </c>
      <c r="C9" s="16">
        <f>B9/(월별!$A10 - 월별!$A9)</f>
        <v>0</v>
      </c>
      <c r="D9" s="15">
        <f>SUMIFS(일별!E:E,
       일별!$A:$A, "&gt;="&amp;월별!$A9,
       일별!$A:$A, "&lt;"&amp;월별!$A10)</f>
        <v>0</v>
      </c>
      <c r="E9" s="16">
        <f>D9/(월별!$A10 - 월별!$A9)</f>
        <v>0</v>
      </c>
      <c r="F9" s="12">
        <f>SUMIFS(일별!G:G,
       일별!$A:$A, "&gt;="&amp;월별!$A9,
       일별!$A:$A, "&lt;"&amp;월별!$A10)</f>
        <v>0</v>
      </c>
      <c r="G9" s="16">
        <f>F9/(월별!$A10 - 월별!$A9)</f>
        <v>0</v>
      </c>
      <c r="H9" s="15">
        <f t="shared" si="0"/>
        <v>0</v>
      </c>
      <c r="I9" s="16">
        <f t="shared" si="1"/>
        <v>0</v>
      </c>
      <c r="J9" s="12">
        <f>SUMIFS(일별!I:I,
       일별!$A:$A, "&gt;="&amp;월별!$A9,
       일별!$A:$A, "&lt;"&amp;월별!$A10)</f>
        <v>0</v>
      </c>
      <c r="K9" s="16">
        <f>J9/(월별!$A10 - 월별!$A9)</f>
        <v>0</v>
      </c>
      <c r="L9" s="12">
        <f>SUMIFS(일별!K:K,
       일별!$A:$A, "&gt;="&amp;월별!$A9,
       일별!$A:$A, "&lt;"&amp;월별!$A10)</f>
        <v>0</v>
      </c>
      <c r="M9" s="16">
        <f>L9/(월별!$A10 - 월별!$A9)</f>
        <v>0</v>
      </c>
      <c r="N9" s="12">
        <f>SUMIFS(일별!M:M,
       일별!$A:$A, "&gt;="&amp;월별!$A9,
       일별!$A:$A, "&lt;"&amp;월별!$A10)</f>
        <v>0</v>
      </c>
      <c r="O9" s="31">
        <f>N9/(월별!$A10 - 월별!$A9)</f>
        <v>0</v>
      </c>
      <c r="P9" s="12">
        <f>SUMIFS(일별!O:O,
       일별!$A:$A, "&gt;="&amp;월별!$A9,
       일별!$A:$A, "&lt;"&amp;월별!$A10)</f>
        <v>0</v>
      </c>
      <c r="Q9" s="16">
        <f>P9/(월별!$A10 - 월별!$A9)</f>
        <v>0</v>
      </c>
      <c r="R9" s="12">
        <f>SUMIFS(일별!Q:Q,
       일별!$A:$A, "&gt;="&amp;월별!$A9,
       일별!$A:$A, "&lt;"&amp;월별!$A10)</f>
        <v>0</v>
      </c>
      <c r="S9" s="16">
        <f>R9/(월별!$A10 - 월별!$A9)</f>
        <v>0</v>
      </c>
      <c r="T9" s="12">
        <f>SUMIFS(일별!S:S,
       일별!$A:$A, "&gt;="&amp;월별!$A9,
       일별!$A:$A, "&lt;"&amp;월별!$A10)</f>
        <v>0</v>
      </c>
      <c r="U9" s="16">
        <f>T9/(월별!$A10 - 월별!$A9)</f>
        <v>0</v>
      </c>
      <c r="V9" s="12">
        <f>SUMIFS(일별!U:U,
       일별!$A:$A, "&gt;="&amp;월별!$A9,
       일별!$A:$A, "&lt;"&amp;월별!$A10)</f>
        <v>0</v>
      </c>
      <c r="W9" s="16">
        <f>V9/(월별!$A10 - 월별!$A9)</f>
        <v>0</v>
      </c>
      <c r="X9" s="12">
        <f>SUMIFS(일별!W:W,
       일별!$A:$A, "&gt;="&amp;월별!$A9,
       일별!$A:$A, "&lt;"&amp;월별!$A10)</f>
        <v>0</v>
      </c>
      <c r="Y9" s="16">
        <f>X9/(월별!$A10 - 월별!$A9)</f>
        <v>0</v>
      </c>
      <c r="Z9" s="15">
        <f>SUMIFS(일별!X:X,
       일별!$A:$A, "&gt;="&amp;월별!$A9,
       일별!$A:$A, "&lt;"&amp;월별!$A10)</f>
        <v>0</v>
      </c>
      <c r="AA9" s="12">
        <f>SUMIFS(일별!Y:Y,
       일별!$A:$A, "&gt;="&amp;월별!$A9,
       일별!$A:$A, "&lt;"&amp;월별!$A10)</f>
        <v>0</v>
      </c>
      <c r="AB9" s="12">
        <f>SUMIFS(일별!Z:Z,
       일별!$A:$A, "&gt;="&amp;월별!$A9,
       일별!$A:$A, "&lt;"&amp;월별!$A10)</f>
        <v>0</v>
      </c>
      <c r="AC9" s="12">
        <f>SUMIFS(일별!AA:AA,
       일별!$A:$A, "&gt;="&amp;월별!$A9,
       일별!$A:$A, "&lt;"&amp;월별!$A10)</f>
        <v>0</v>
      </c>
      <c r="AD9" s="12">
        <f>SUMIFS(일별!AB:AB,
       일별!$A:$A, "&gt;="&amp;월별!$A9,
       일별!$A:$A, "&lt;"&amp;월별!$A10)</f>
        <v>0</v>
      </c>
      <c r="AE9" s="16">
        <f>SUMIFS(일별!AC:AC,
       일별!$A:$A, "&gt;="&amp;월별!$A9,
       일별!$A:$A, "&lt;"&amp;월별!$A10)</f>
        <v>0</v>
      </c>
      <c r="AF9" s="15">
        <f>SUMIFS(일별!AD:AD,
       일별!$A:$A, "&gt;="&amp;월별!$A9,
       일별!$A:$A, "&lt;"&amp;월별!$A10)</f>
        <v>0</v>
      </c>
      <c r="AG9" s="12">
        <f>SUMIFS(일별!AE:AE,
       일별!$A:$A, "&gt;="&amp;월별!$A9,
       일별!$A:$A, "&lt;"&amp;월별!$A10)</f>
        <v>0</v>
      </c>
      <c r="AH9" s="12">
        <f>SUMIFS(일별!AF:AF,
       일별!$A:$A, "&gt;="&amp;월별!$A9,
       일별!$A:$A, "&lt;"&amp;월별!$A10)</f>
        <v>0</v>
      </c>
      <c r="AI9" s="16">
        <f>SUMIFS(일별!AG:AG,
       일별!$A:$A, "&gt;="&amp;월별!$A9,
       일별!$A:$A, "&lt;"&amp;월별!$A10)</f>
        <v>0</v>
      </c>
      <c r="AJ9" s="15">
        <f>SUMIFS(일별!AX:AX,
       일별!$A:$A, "&gt;="&amp;월별!$A9,
       일별!$A:$A, "&lt;"&amp;월별!$A10)</f>
        <v>0</v>
      </c>
      <c r="AK9" s="12">
        <f>SUMIFS(일별!AY:AY,
       일별!$A:$A, "&gt;="&amp;월별!$A9,
       일별!$A:$A, "&lt;"&amp;월별!$A10)</f>
        <v>0</v>
      </c>
      <c r="AL9" s="12">
        <f>SUMIFS(일별!AZ:AZ,
       일별!$A:$A, "&gt;="&amp;월별!$A9,
       일별!$A:$A, "&lt;"&amp;월별!$A10)</f>
        <v>0</v>
      </c>
      <c r="AM9" s="12">
        <f>SUMIFS(일별!BA:BA,
       일별!$A:$A, "&gt;="&amp;월별!$A9,
       일별!$A:$A, "&lt;"&amp;월별!$A10)</f>
        <v>0</v>
      </c>
      <c r="AN9" s="12">
        <f>SUMIFS(일별!BB:BB,
       일별!$A:$A, "&gt;="&amp;월별!$A9,
       일별!$A:$A, "&lt;"&amp;월별!$A10)</f>
        <v>0</v>
      </c>
      <c r="AO9" s="16">
        <f>SUMIFS(일별!BC:BC,
       일별!$A:$A, "&gt;="&amp;월별!$A9,
       일별!$A:$A, "&lt;"&amp;월별!$A10)</f>
        <v>0</v>
      </c>
      <c r="AP9" s="18" cm="1">
        <f t="array" ref="AP9">SUM(_xlfn._xlws.FILTER(일별!BH:CC, (일별!$A:$A &gt;= 월별!$A9) * (일별!$A:$A &lt; 월별!$A10), 0))</f>
        <v>0</v>
      </c>
      <c r="AQ9" s="20">
        <f>AP9/(월별!$A10 - 월별!$A9)</f>
        <v>0</v>
      </c>
      <c r="AR9" s="20" cm="1">
        <f t="array" ref="AR9">SUM(_xlfn._xlws.FILTER(일별!CD:CY, (일별!$A:$A &gt;= 월별!$A9) * (일별!$A:$A &lt; 월별!$A10), 0))</f>
        <v>0</v>
      </c>
      <c r="AS9" s="20">
        <f>AR9/(월별!$A10 - 월별!$A9)</f>
        <v>0</v>
      </c>
      <c r="AT9" s="20" cm="1">
        <f t="array" ref="AT9">SUM(_xlfn._xlws.FILTER(일별!CZ:DU, (일별!$A:$A &gt;= 월별!$A9) * (일별!$A:$A &lt; 월별!$A10), 0))</f>
        <v>0</v>
      </c>
      <c r="AU9" s="20">
        <f>AT9/(월별!$A10 - 월별!$A9)</f>
        <v>0</v>
      </c>
      <c r="AV9" s="18" cm="1">
        <f t="array" ref="AV9">SUM(_xlfn._xlws.FILTER(일별!BH:BH, (일별!$A:$A &gt;= 월별!$A9) * (일별!$A:$A &lt; 월별!$A10), 0))</f>
        <v>0</v>
      </c>
      <c r="AW9" s="20" cm="1">
        <f t="array" ref="AW9">SUM(_xlfn._xlws.FILTER(일별!BI:BI, (일별!$A:$A &gt;= 월별!$A9) * (일별!$A:$A &lt; 월별!$A10), 0))</f>
        <v>0</v>
      </c>
      <c r="AX9" s="20" cm="1">
        <f t="array" ref="AX9">SUM(_xlfn._xlws.FILTER(일별!BJ:BJ, (일별!$A:$A &gt;= 월별!$A9) * (일별!$A:$A &lt; 월별!$A10), 0))</f>
        <v>0</v>
      </c>
      <c r="AY9" s="20" cm="1">
        <f t="array" ref="AY9">SUM(_xlfn._xlws.FILTER(일별!BK:BK, (일별!$A:$A &gt;= 월별!$A9) * (일별!$A:$A &lt; 월별!$A10), 0))</f>
        <v>0</v>
      </c>
      <c r="AZ9" s="20" cm="1">
        <f t="array" ref="AZ9">SUM(_xlfn._xlws.FILTER(일별!BL:BL, (일별!$A:$A &gt;= 월별!$A9) * (일별!$A:$A &lt; 월별!$A10), 0))</f>
        <v>0</v>
      </c>
      <c r="BA9" s="20" cm="1">
        <f t="array" ref="BA9">SUM(_xlfn._xlws.FILTER(일별!BM:BM, (일별!$A:$A &gt;= 월별!$A9) * (일별!$A:$A &lt; 월별!$A10), 0))</f>
        <v>0</v>
      </c>
      <c r="BB9" s="20" cm="1">
        <f t="array" ref="BB9">SUM(_xlfn._xlws.FILTER(일별!BN:BN, (일별!$A:$A &gt;= 월별!$A9) * (일별!$A:$A &lt; 월별!$A10), 0))</f>
        <v>0</v>
      </c>
      <c r="BC9" s="20" cm="1">
        <f t="array" ref="BC9">SUM(_xlfn._xlws.FILTER(일별!BO:BO, (일별!$A:$A &gt;= 월별!$A9) * (일별!$A:$A &lt; 월별!$A10), 0))</f>
        <v>0</v>
      </c>
      <c r="BD9" s="20" cm="1">
        <f t="array" ref="BD9">SUM(_xlfn._xlws.FILTER(일별!BP:BP, (일별!$A:$A &gt;= 월별!$A9) * (일별!$A:$A &lt; 월별!$A10), 0))</f>
        <v>0</v>
      </c>
      <c r="BE9" s="20" cm="1">
        <f t="array" ref="BE9">SUM(_xlfn._xlws.FILTER(일별!BQ:BQ, (일별!$A:$A &gt;= 월별!$A9) * (일별!$A:$A &lt; 월별!$A10), 0))</f>
        <v>0</v>
      </c>
      <c r="BF9" s="20" cm="1">
        <f t="array" ref="BF9">SUM(_xlfn._xlws.FILTER(일별!BR:BR, (일별!$A:$A &gt;= 월별!$A9) * (일별!$A:$A &lt; 월별!$A10), 0))</f>
        <v>0</v>
      </c>
      <c r="BG9" s="20" cm="1">
        <f t="array" ref="BG9">SUM(_xlfn._xlws.FILTER(일별!BS:BS, (일별!$A:$A &gt;= 월별!$A9) * (일별!$A:$A &lt; 월별!$A10), 0))</f>
        <v>0</v>
      </c>
      <c r="BH9" s="20" cm="1">
        <f t="array" ref="BH9">SUM(_xlfn._xlws.FILTER(일별!BT:BT, (일별!$A:$A &gt;= 월별!$A9) * (일별!$A:$A &lt; 월별!$A10), 0))</f>
        <v>0</v>
      </c>
      <c r="BI9" s="20" cm="1">
        <f t="array" ref="BI9">SUM(_xlfn._xlws.FILTER(일별!BU:BU, (일별!$A:$A &gt;= 월별!$A9) * (일별!$A:$A &lt; 월별!$A10), 0))</f>
        <v>0</v>
      </c>
      <c r="BJ9" s="20" cm="1">
        <f t="array" ref="BJ9">SUM(_xlfn._xlws.FILTER(일별!BV:BV, (일별!$A:$A &gt;= 월별!$A9) * (일별!$A:$A &lt; 월별!$A10), 0))</f>
        <v>0</v>
      </c>
      <c r="BK9" s="20" cm="1">
        <f t="array" ref="BK9">SUM(_xlfn._xlws.FILTER(일별!BW:BW, (일별!$A:$A &gt;= 월별!$A9) * (일별!$A:$A &lt; 월별!$A10), 0))</f>
        <v>0</v>
      </c>
      <c r="BL9" s="20" cm="1">
        <f t="array" ref="BL9">SUM(_xlfn._xlws.FILTER(일별!BX:BX, (일별!$A:$A &gt;= 월별!$A9) * (일별!$A:$A &lt; 월별!$A10), 0))</f>
        <v>0</v>
      </c>
      <c r="BM9" s="20" cm="1">
        <f t="array" ref="BM9">SUM(_xlfn._xlws.FILTER(일별!BY:BY, (일별!$A:$A &gt;= 월별!$A9) * (일별!$A:$A &lt; 월별!$A10), 0))</f>
        <v>0</v>
      </c>
      <c r="BN9" s="20" cm="1">
        <f t="array" ref="BN9">SUM(_xlfn._xlws.FILTER(일별!BZ:BZ, (일별!$A:$A &gt;= 월별!$A9) * (일별!$A:$A &lt; 월별!$A10), 0))</f>
        <v>0</v>
      </c>
      <c r="BO9" s="20" cm="1">
        <f t="array" ref="BO9">SUM(_xlfn._xlws.FILTER(일별!CA:CA, (일별!$A:$A &gt;= 월별!$A9) * (일별!$A:$A &lt; 월별!$A10), 0))</f>
        <v>0</v>
      </c>
      <c r="BP9" s="20" cm="1">
        <f t="array" ref="BP9">SUM(_xlfn._xlws.FILTER(일별!CB:CB, (일별!$A:$A &gt;= 월별!$A9) * (일별!$A:$A &lt; 월별!$A10), 0))</f>
        <v>0</v>
      </c>
      <c r="BQ9" s="19" cm="1">
        <f t="array" ref="BQ9">SUM(_xlfn._xlws.FILTER(일별!CC:CC, (일별!$A:$A &gt;= 월별!$A9) * (일별!$A:$A &lt; 월별!$A10), 0))</f>
        <v>0</v>
      </c>
      <c r="BR9" s="18" cm="1">
        <f t="array" ref="BR9">SUM(_xlfn._xlws.FILTER(일별!CD:CD, (일별!$A:$A &gt;= 월별!$A9) * (일별!$A:$A &lt; 월별!$A10), 0))</f>
        <v>0</v>
      </c>
      <c r="BS9" s="20" cm="1">
        <f t="array" ref="BS9">SUM(_xlfn._xlws.FILTER(일별!CE:CE, (일별!$A:$A &gt;= 월별!$A9) * (일별!$A:$A &lt; 월별!$A10), 0))</f>
        <v>0</v>
      </c>
      <c r="BT9" s="20" cm="1">
        <f t="array" ref="BT9">SUM(_xlfn._xlws.FILTER(일별!CF:CF, (일별!$A:$A &gt;= 월별!$A9) * (일별!$A:$A &lt; 월별!$A10), 0))</f>
        <v>0</v>
      </c>
      <c r="BU9" s="20" cm="1">
        <f t="array" ref="BU9">SUM(_xlfn._xlws.FILTER(일별!CG:CG, (일별!$A:$A &gt;= 월별!$A9) * (일별!$A:$A &lt; 월별!$A10), 0))</f>
        <v>0</v>
      </c>
      <c r="BV9" s="20" cm="1">
        <f t="array" ref="BV9">SUM(_xlfn._xlws.FILTER(일별!CH:CH, (일별!$A:$A &gt;= 월별!$A9) * (일별!$A:$A &lt; 월별!$A10), 0))</f>
        <v>0</v>
      </c>
      <c r="BW9" s="20" cm="1">
        <f t="array" ref="BW9">SUM(_xlfn._xlws.FILTER(일별!CI:CI, (일별!$A:$A &gt;= 월별!$A9) * (일별!$A:$A &lt; 월별!$A10), 0))</f>
        <v>0</v>
      </c>
      <c r="BX9" s="20" cm="1">
        <f t="array" ref="BX9">SUM(_xlfn._xlws.FILTER(일별!CJ:CJ, (일별!$A:$A &gt;= 월별!$A9) * (일별!$A:$A &lt; 월별!$A10), 0))</f>
        <v>0</v>
      </c>
      <c r="BY9" s="20" cm="1">
        <f t="array" ref="BY9">SUM(_xlfn._xlws.FILTER(일별!CK:CK, (일별!$A:$A &gt;= 월별!$A9) * (일별!$A:$A &lt; 월별!$A10), 0))</f>
        <v>0</v>
      </c>
      <c r="BZ9" s="20" cm="1">
        <f t="array" ref="BZ9">SUM(_xlfn._xlws.FILTER(일별!CL:CL, (일별!$A:$A &gt;= 월별!$A9) * (일별!$A:$A &lt; 월별!$A10), 0))</f>
        <v>0</v>
      </c>
      <c r="CA9" s="20" cm="1">
        <f t="array" ref="CA9">SUM(_xlfn._xlws.FILTER(일별!CM:CM, (일별!$A:$A &gt;= 월별!$A9) * (일별!$A:$A &lt; 월별!$A10), 0))</f>
        <v>0</v>
      </c>
      <c r="CB9" s="20" cm="1">
        <f t="array" ref="CB9">SUM(_xlfn._xlws.FILTER(일별!CN:CN, (일별!$A:$A &gt;= 월별!$A9) * (일별!$A:$A &lt; 월별!$A10), 0))</f>
        <v>0</v>
      </c>
      <c r="CC9" s="20" cm="1">
        <f t="array" ref="CC9">SUM(_xlfn._xlws.FILTER(일별!CO:CO, (일별!$A:$A &gt;= 월별!$A9) * (일별!$A:$A &lt; 월별!$A10), 0))</f>
        <v>0</v>
      </c>
      <c r="CD9" s="20" cm="1">
        <f t="array" ref="CD9">SUM(_xlfn._xlws.FILTER(일별!CP:CP, (일별!$A:$A &gt;= 월별!$A9) * (일별!$A:$A &lt; 월별!$A10), 0))</f>
        <v>0</v>
      </c>
      <c r="CE9" s="20" cm="1">
        <f t="array" ref="CE9">SUM(_xlfn._xlws.FILTER(일별!CQ:CQ, (일별!$A:$A &gt;= 월별!$A9) * (일별!$A:$A &lt; 월별!$A10), 0))</f>
        <v>0</v>
      </c>
      <c r="CF9" s="20" cm="1">
        <f t="array" ref="CF9">SUM(_xlfn._xlws.FILTER(일별!CR:CR, (일별!$A:$A &gt;= 월별!$A9) * (일별!$A:$A &lt; 월별!$A10), 0))</f>
        <v>0</v>
      </c>
      <c r="CG9" s="20" cm="1">
        <f t="array" ref="CG9">SUM(_xlfn._xlws.FILTER(일별!CS:CS, (일별!$A:$A &gt;= 월별!$A9) * (일별!$A:$A &lt; 월별!$A10), 0))</f>
        <v>0</v>
      </c>
      <c r="CH9" s="20" cm="1">
        <f t="array" ref="CH9">SUM(_xlfn._xlws.FILTER(일별!CT:CT, (일별!$A:$A &gt;= 월별!$A9) * (일별!$A:$A &lt; 월별!$A10), 0))</f>
        <v>0</v>
      </c>
      <c r="CI9" s="20" cm="1">
        <f t="array" ref="CI9">SUM(_xlfn._xlws.FILTER(일별!CU:CU, (일별!$A:$A &gt;= 월별!$A9) * (일별!$A:$A &lt; 월별!$A10), 0))</f>
        <v>0</v>
      </c>
      <c r="CJ9" s="20" cm="1">
        <f t="array" ref="CJ9">SUM(_xlfn._xlws.FILTER(일별!CV:CV, (일별!$A:$A &gt;= 월별!$A9) * (일별!$A:$A &lt; 월별!$A10), 0))</f>
        <v>0</v>
      </c>
      <c r="CK9" s="20" cm="1">
        <f t="array" ref="CK9">SUM(_xlfn._xlws.FILTER(일별!CW:CW, (일별!$A:$A &gt;= 월별!$A9) * (일별!$A:$A &lt; 월별!$A10), 0))</f>
        <v>0</v>
      </c>
      <c r="CL9" s="20" cm="1">
        <f t="array" ref="CL9">SUM(_xlfn._xlws.FILTER(일별!CX:CX, (일별!$A:$A &gt;= 월별!$A9) * (일별!$A:$A &lt; 월별!$A10), 0))</f>
        <v>0</v>
      </c>
      <c r="CM9" s="19" cm="1">
        <f t="array" ref="CM9">SUM(_xlfn._xlws.FILTER(일별!CY:CY, (일별!$A:$A &gt;= 월별!$A9) * (일별!$A:$A &lt; 월별!$A10), 0))</f>
        <v>0</v>
      </c>
      <c r="CN9" s="18" cm="1">
        <f t="array" ref="CN9">SUM(_xlfn._xlws.FILTER(일별!CZ:CZ, (일별!$A:$A &gt;= 월별!$A9) * (일별!$A:$A &lt; 월별!$A10), 0))</f>
        <v>0</v>
      </c>
      <c r="CO9" s="20" cm="1">
        <f t="array" ref="CO9">SUM(_xlfn._xlws.FILTER(일별!DA:DA, (일별!$A:$A &gt;= 월별!$A9) * (일별!$A:$A &lt; 월별!$A10), 0))</f>
        <v>0</v>
      </c>
      <c r="CP9" s="20" cm="1">
        <f t="array" ref="CP9">SUM(_xlfn._xlws.FILTER(일별!DB:DB, (일별!$A:$A &gt;= 월별!$A9) * (일별!$A:$A &lt; 월별!$A10), 0))</f>
        <v>0</v>
      </c>
      <c r="CQ9" s="20" cm="1">
        <f t="array" ref="CQ9">SUM(_xlfn._xlws.FILTER(일별!DC:DC, (일별!$A:$A &gt;= 월별!$A9) * (일별!$A:$A &lt; 월별!$A10), 0))</f>
        <v>0</v>
      </c>
      <c r="CR9" s="20" cm="1">
        <f t="array" ref="CR9">SUM(_xlfn._xlws.FILTER(일별!DD:DD, (일별!$A:$A &gt;= 월별!$A9) * (일별!$A:$A &lt; 월별!$A10), 0))</f>
        <v>0</v>
      </c>
      <c r="CS9" s="20" cm="1">
        <f t="array" ref="CS9">SUM(_xlfn._xlws.FILTER(일별!DE:DE, (일별!$A:$A &gt;= 월별!$A9) * (일별!$A:$A &lt; 월별!$A10), 0))</f>
        <v>0</v>
      </c>
      <c r="CT9" s="20" cm="1">
        <f t="array" ref="CT9">SUM(_xlfn._xlws.FILTER(일별!DF:DF, (일별!$A:$A &gt;= 월별!$A9) * (일별!$A:$A &lt; 월별!$A10), 0))</f>
        <v>0</v>
      </c>
      <c r="CU9" s="20" cm="1">
        <f t="array" ref="CU9">SUM(_xlfn._xlws.FILTER(일별!DG:DG, (일별!$A:$A &gt;= 월별!$A9) * (일별!$A:$A &lt; 월별!$A10), 0))</f>
        <v>0</v>
      </c>
      <c r="CV9" s="20" cm="1">
        <f t="array" ref="CV9">SUM(_xlfn._xlws.FILTER(일별!DH:DH, (일별!$A:$A &gt;= 월별!$A9) * (일별!$A:$A &lt; 월별!$A10), 0))</f>
        <v>0</v>
      </c>
      <c r="CW9" s="20" cm="1">
        <f t="array" ref="CW9">SUM(_xlfn._xlws.FILTER(일별!DI:DI, (일별!$A:$A &gt;= 월별!$A9) * (일별!$A:$A &lt; 월별!$A10), 0))</f>
        <v>0</v>
      </c>
      <c r="CX9" s="20" cm="1">
        <f t="array" ref="CX9">SUM(_xlfn._xlws.FILTER(일별!DJ:DJ, (일별!$A:$A &gt;= 월별!$A9) * (일별!$A:$A &lt; 월별!$A10), 0))</f>
        <v>0</v>
      </c>
      <c r="CY9" s="20" cm="1">
        <f t="array" ref="CY9">SUM(_xlfn._xlws.FILTER(일별!DK:DK, (일별!$A:$A &gt;= 월별!$A9) * (일별!$A:$A &lt; 월별!$A10), 0))</f>
        <v>0</v>
      </c>
      <c r="CZ9" s="20" cm="1">
        <f t="array" ref="CZ9">SUM(_xlfn._xlws.FILTER(일별!DL:DL, (일별!$A:$A &gt;= 월별!$A9) * (일별!$A:$A &lt; 월별!$A10), 0))</f>
        <v>0</v>
      </c>
      <c r="DA9" s="20" cm="1">
        <f t="array" ref="DA9">SUM(_xlfn._xlws.FILTER(일별!DM:DM, (일별!$A:$A &gt;= 월별!$A9) * (일별!$A:$A &lt; 월별!$A10), 0))</f>
        <v>0</v>
      </c>
      <c r="DB9" s="20" cm="1">
        <f t="array" ref="DB9">SUM(_xlfn._xlws.FILTER(일별!DN:DN, (일별!$A:$A &gt;= 월별!$A9) * (일별!$A:$A &lt; 월별!$A10), 0))</f>
        <v>0</v>
      </c>
      <c r="DC9" s="20" cm="1">
        <f t="array" ref="DC9">SUM(_xlfn._xlws.FILTER(일별!DO:DO, (일별!$A:$A &gt;= 월별!$A9) * (일별!$A:$A &lt; 월별!$A10), 0))</f>
        <v>0</v>
      </c>
      <c r="DD9" s="20" cm="1">
        <f t="array" ref="DD9">SUM(_xlfn._xlws.FILTER(일별!DP:DP, (일별!$A:$A &gt;= 월별!$A9) * (일별!$A:$A &lt; 월별!$A10), 0))</f>
        <v>0</v>
      </c>
      <c r="DE9" s="20" cm="1">
        <f t="array" ref="DE9">SUM(_xlfn._xlws.FILTER(일별!DQ:DQ, (일별!$A:$A &gt;= 월별!$A9) * (일별!$A:$A &lt; 월별!$A10), 0))</f>
        <v>0</v>
      </c>
      <c r="DF9" s="20" cm="1">
        <f t="array" ref="DF9">SUM(_xlfn._xlws.FILTER(일별!DR:DR, (일별!$A:$A &gt;= 월별!$A9) * (일별!$A:$A &lt; 월별!$A10), 0))</f>
        <v>0</v>
      </c>
      <c r="DG9" s="20" cm="1">
        <f t="array" ref="DG9">SUM(_xlfn._xlws.FILTER(일별!DS:DS, (일별!$A:$A &gt;= 월별!$A9) * (일별!$A:$A &lt; 월별!$A10), 0))</f>
        <v>0</v>
      </c>
      <c r="DH9" s="20" cm="1">
        <f t="array" ref="DH9">SUM(_xlfn._xlws.FILTER(일별!DT:DT, (일별!$A:$A &gt;= 월별!$A9) * (일별!$A:$A &lt; 월별!$A10), 0))</f>
        <v>0</v>
      </c>
      <c r="DI9" s="19" cm="1">
        <f t="array" ref="DI9">SUM(_xlfn._xlws.FILTER(일별!DU:DU, (일별!$A:$A &gt;= 월별!$A9) * (일별!$A:$A &lt; 월별!$A10), 0))</f>
        <v>0</v>
      </c>
    </row>
    <row r="10" spans="1:113">
      <c r="A10" s="25">
        <v>46174</v>
      </c>
      <c r="B10" s="15">
        <f>SUMIFS(일별!$C:$C,
       일별!$A:$A, "&gt;="&amp;월별!$A10,
       일별!$A:$A, "&lt;"&amp;월별!$A11)</f>
        <v>0</v>
      </c>
      <c r="C10" s="16">
        <f>B10/(월별!$A11 - 월별!$A10)</f>
        <v>0</v>
      </c>
      <c r="D10" s="15">
        <f>SUMIFS(일별!E:E,
       일별!$A:$A, "&gt;="&amp;월별!$A10,
       일별!$A:$A, "&lt;"&amp;월별!$A11)</f>
        <v>0</v>
      </c>
      <c r="E10" s="16">
        <f>D10/(월별!$A11 - 월별!$A10)</f>
        <v>0</v>
      </c>
      <c r="F10" s="12">
        <f>SUMIFS(일별!G:G,
       일별!$A:$A, "&gt;="&amp;월별!$A10,
       일별!$A:$A, "&lt;"&amp;월별!$A11)</f>
        <v>0</v>
      </c>
      <c r="G10" s="16">
        <f>F10/(월별!$A11 - 월별!$A10)</f>
        <v>0</v>
      </c>
      <c r="H10" s="15">
        <f t="shared" si="0"/>
        <v>0</v>
      </c>
      <c r="I10" s="16">
        <f t="shared" si="1"/>
        <v>0</v>
      </c>
      <c r="J10" s="12">
        <f>SUMIFS(일별!I:I,
       일별!$A:$A, "&gt;="&amp;월별!$A10,
       일별!$A:$A, "&lt;"&amp;월별!$A11)</f>
        <v>0</v>
      </c>
      <c r="K10" s="16">
        <f>J10/(월별!$A11 - 월별!$A10)</f>
        <v>0</v>
      </c>
      <c r="L10" s="12">
        <f>SUMIFS(일별!K:K,
       일별!$A:$A, "&gt;="&amp;월별!$A10,
       일별!$A:$A, "&lt;"&amp;월별!$A11)</f>
        <v>0</v>
      </c>
      <c r="M10" s="16">
        <f>L10/(월별!$A11 - 월별!$A10)</f>
        <v>0</v>
      </c>
      <c r="N10" s="12">
        <f>SUMIFS(일별!M:M,
       일별!$A:$A, "&gt;="&amp;월별!$A10,
       일별!$A:$A, "&lt;"&amp;월별!$A11)</f>
        <v>0</v>
      </c>
      <c r="O10" s="31">
        <f>N10/(월별!$A11 - 월별!$A10)</f>
        <v>0</v>
      </c>
      <c r="P10" s="12">
        <f>SUMIFS(일별!O:O,
       일별!$A:$A, "&gt;="&amp;월별!$A10,
       일별!$A:$A, "&lt;"&amp;월별!$A11)</f>
        <v>0</v>
      </c>
      <c r="Q10" s="16">
        <f>P10/(월별!$A11 - 월별!$A10)</f>
        <v>0</v>
      </c>
      <c r="R10" s="12">
        <f>SUMIFS(일별!Q:Q,
       일별!$A:$A, "&gt;="&amp;월별!$A10,
       일별!$A:$A, "&lt;"&amp;월별!$A11)</f>
        <v>0</v>
      </c>
      <c r="S10" s="16">
        <f>R10/(월별!$A11 - 월별!$A10)</f>
        <v>0</v>
      </c>
      <c r="T10" s="12">
        <f>SUMIFS(일별!S:S,
       일별!$A:$A, "&gt;="&amp;월별!$A10,
       일별!$A:$A, "&lt;"&amp;월별!$A11)</f>
        <v>0</v>
      </c>
      <c r="U10" s="16">
        <f>T10/(월별!$A11 - 월별!$A10)</f>
        <v>0</v>
      </c>
      <c r="V10" s="12">
        <f>SUMIFS(일별!U:U,
       일별!$A:$A, "&gt;="&amp;월별!$A10,
       일별!$A:$A, "&lt;"&amp;월별!$A11)</f>
        <v>0</v>
      </c>
      <c r="W10" s="16">
        <f>V10/(월별!$A11 - 월별!$A10)</f>
        <v>0</v>
      </c>
      <c r="X10" s="12">
        <f>SUMIFS(일별!W:W,
       일별!$A:$A, "&gt;="&amp;월별!$A10,
       일별!$A:$A, "&lt;"&amp;월별!$A11)</f>
        <v>0</v>
      </c>
      <c r="Y10" s="16">
        <f>X10/(월별!$A11 - 월별!$A10)</f>
        <v>0</v>
      </c>
      <c r="Z10" s="15">
        <f>SUMIFS(일별!X:X,
       일별!$A:$A, "&gt;="&amp;월별!$A10,
       일별!$A:$A, "&lt;"&amp;월별!$A11)</f>
        <v>0</v>
      </c>
      <c r="AA10" s="12">
        <f>SUMIFS(일별!Y:Y,
       일별!$A:$A, "&gt;="&amp;월별!$A10,
       일별!$A:$A, "&lt;"&amp;월별!$A11)</f>
        <v>0</v>
      </c>
      <c r="AB10" s="12">
        <f>SUMIFS(일별!Z:Z,
       일별!$A:$A, "&gt;="&amp;월별!$A10,
       일별!$A:$A, "&lt;"&amp;월별!$A11)</f>
        <v>0</v>
      </c>
      <c r="AC10" s="12">
        <f>SUMIFS(일별!AA:AA,
       일별!$A:$A, "&gt;="&amp;월별!$A10,
       일별!$A:$A, "&lt;"&amp;월별!$A11)</f>
        <v>0</v>
      </c>
      <c r="AD10" s="12">
        <f>SUMIFS(일별!AB:AB,
       일별!$A:$A, "&gt;="&amp;월별!$A10,
       일별!$A:$A, "&lt;"&amp;월별!$A11)</f>
        <v>0</v>
      </c>
      <c r="AE10" s="16">
        <f>SUMIFS(일별!AC:AC,
       일별!$A:$A, "&gt;="&amp;월별!$A10,
       일별!$A:$A, "&lt;"&amp;월별!$A11)</f>
        <v>0</v>
      </c>
      <c r="AF10" s="15">
        <f>SUMIFS(일별!AD:AD,
       일별!$A:$A, "&gt;="&amp;월별!$A10,
       일별!$A:$A, "&lt;"&amp;월별!$A11)</f>
        <v>0</v>
      </c>
      <c r="AG10" s="12">
        <f>SUMIFS(일별!AE:AE,
       일별!$A:$A, "&gt;="&amp;월별!$A10,
       일별!$A:$A, "&lt;"&amp;월별!$A11)</f>
        <v>0</v>
      </c>
      <c r="AH10" s="12">
        <f>SUMIFS(일별!AF:AF,
       일별!$A:$A, "&gt;="&amp;월별!$A10,
       일별!$A:$A, "&lt;"&amp;월별!$A11)</f>
        <v>0</v>
      </c>
      <c r="AI10" s="16">
        <f>SUMIFS(일별!AG:AG,
       일별!$A:$A, "&gt;="&amp;월별!$A10,
       일별!$A:$A, "&lt;"&amp;월별!$A11)</f>
        <v>0</v>
      </c>
      <c r="AJ10" s="15">
        <f>SUMIFS(일별!AX:AX,
       일별!$A:$A, "&gt;="&amp;월별!$A10,
       일별!$A:$A, "&lt;"&amp;월별!$A11)</f>
        <v>0</v>
      </c>
      <c r="AK10" s="12">
        <f>SUMIFS(일별!AY:AY,
       일별!$A:$A, "&gt;="&amp;월별!$A10,
       일별!$A:$A, "&lt;"&amp;월별!$A11)</f>
        <v>0</v>
      </c>
      <c r="AL10" s="12">
        <f>SUMIFS(일별!AZ:AZ,
       일별!$A:$A, "&gt;="&amp;월별!$A10,
       일별!$A:$A, "&lt;"&amp;월별!$A11)</f>
        <v>0</v>
      </c>
      <c r="AM10" s="12">
        <f>SUMIFS(일별!BA:BA,
       일별!$A:$A, "&gt;="&amp;월별!$A10,
       일별!$A:$A, "&lt;"&amp;월별!$A11)</f>
        <v>0</v>
      </c>
      <c r="AN10" s="12">
        <f>SUMIFS(일별!BB:BB,
       일별!$A:$A, "&gt;="&amp;월별!$A10,
       일별!$A:$A, "&lt;"&amp;월별!$A11)</f>
        <v>0</v>
      </c>
      <c r="AO10" s="16">
        <f>SUMIFS(일별!BC:BC,
       일별!$A:$A, "&gt;="&amp;월별!$A10,
       일별!$A:$A, "&lt;"&amp;월별!$A11)</f>
        <v>0</v>
      </c>
      <c r="AP10" s="18" cm="1">
        <f t="array" ref="AP10">SUM(_xlfn._xlws.FILTER(일별!BH:CC, (일별!$A:$A &gt;= 월별!$A10) * (일별!$A:$A &lt; 월별!$A11), 0))</f>
        <v>0</v>
      </c>
      <c r="AQ10" s="20">
        <f>AP10/(월별!$A11 - 월별!$A10)</f>
        <v>0</v>
      </c>
      <c r="AR10" s="20" cm="1">
        <f t="array" ref="AR10">SUM(_xlfn._xlws.FILTER(일별!CD:CY, (일별!$A:$A &gt;= 월별!$A10) * (일별!$A:$A &lt; 월별!$A11), 0))</f>
        <v>0</v>
      </c>
      <c r="AS10" s="20">
        <f>AR10/(월별!$A11 - 월별!$A10)</f>
        <v>0</v>
      </c>
      <c r="AT10" s="20" cm="1">
        <f t="array" ref="AT10">SUM(_xlfn._xlws.FILTER(일별!CZ:DU, (일별!$A:$A &gt;= 월별!$A10) * (일별!$A:$A &lt; 월별!$A11), 0))</f>
        <v>0</v>
      </c>
      <c r="AU10" s="20">
        <f>AT10/(월별!$A11 - 월별!$A10)</f>
        <v>0</v>
      </c>
      <c r="AV10" s="18" cm="1">
        <f t="array" ref="AV10">SUM(_xlfn._xlws.FILTER(일별!BH:BH, (일별!$A:$A &gt;= 월별!$A10) * (일별!$A:$A &lt; 월별!$A11), 0))</f>
        <v>0</v>
      </c>
      <c r="AW10" s="20" cm="1">
        <f t="array" ref="AW10">SUM(_xlfn._xlws.FILTER(일별!BI:BI, (일별!$A:$A &gt;= 월별!$A10) * (일별!$A:$A &lt; 월별!$A11), 0))</f>
        <v>0</v>
      </c>
      <c r="AX10" s="20" cm="1">
        <f t="array" ref="AX10">SUM(_xlfn._xlws.FILTER(일별!BJ:BJ, (일별!$A:$A &gt;= 월별!$A10) * (일별!$A:$A &lt; 월별!$A11), 0))</f>
        <v>0</v>
      </c>
      <c r="AY10" s="20" cm="1">
        <f t="array" ref="AY10">SUM(_xlfn._xlws.FILTER(일별!BK:BK, (일별!$A:$A &gt;= 월별!$A10) * (일별!$A:$A &lt; 월별!$A11), 0))</f>
        <v>0</v>
      </c>
      <c r="AZ10" s="20" cm="1">
        <f t="array" ref="AZ10">SUM(_xlfn._xlws.FILTER(일별!BL:BL, (일별!$A:$A &gt;= 월별!$A10) * (일별!$A:$A &lt; 월별!$A11), 0))</f>
        <v>0</v>
      </c>
      <c r="BA10" s="20" cm="1">
        <f t="array" ref="BA10">SUM(_xlfn._xlws.FILTER(일별!BM:BM, (일별!$A:$A &gt;= 월별!$A10) * (일별!$A:$A &lt; 월별!$A11), 0))</f>
        <v>0</v>
      </c>
      <c r="BB10" s="20" cm="1">
        <f t="array" ref="BB10">SUM(_xlfn._xlws.FILTER(일별!BN:BN, (일별!$A:$A &gt;= 월별!$A10) * (일별!$A:$A &lt; 월별!$A11), 0))</f>
        <v>0</v>
      </c>
      <c r="BC10" s="20" cm="1">
        <f t="array" ref="BC10">SUM(_xlfn._xlws.FILTER(일별!BO:BO, (일별!$A:$A &gt;= 월별!$A10) * (일별!$A:$A &lt; 월별!$A11), 0))</f>
        <v>0</v>
      </c>
      <c r="BD10" s="20" cm="1">
        <f t="array" ref="BD10">SUM(_xlfn._xlws.FILTER(일별!BP:BP, (일별!$A:$A &gt;= 월별!$A10) * (일별!$A:$A &lt; 월별!$A11), 0))</f>
        <v>0</v>
      </c>
      <c r="BE10" s="20" cm="1">
        <f t="array" ref="BE10">SUM(_xlfn._xlws.FILTER(일별!BQ:BQ, (일별!$A:$A &gt;= 월별!$A10) * (일별!$A:$A &lt; 월별!$A11), 0))</f>
        <v>0</v>
      </c>
      <c r="BF10" s="20" cm="1">
        <f t="array" ref="BF10">SUM(_xlfn._xlws.FILTER(일별!BR:BR, (일별!$A:$A &gt;= 월별!$A10) * (일별!$A:$A &lt; 월별!$A11), 0))</f>
        <v>0</v>
      </c>
      <c r="BG10" s="20" cm="1">
        <f t="array" ref="BG10">SUM(_xlfn._xlws.FILTER(일별!BS:BS, (일별!$A:$A &gt;= 월별!$A10) * (일별!$A:$A &lt; 월별!$A11), 0))</f>
        <v>0</v>
      </c>
      <c r="BH10" s="20" cm="1">
        <f t="array" ref="BH10">SUM(_xlfn._xlws.FILTER(일별!BT:BT, (일별!$A:$A &gt;= 월별!$A10) * (일별!$A:$A &lt; 월별!$A11), 0))</f>
        <v>0</v>
      </c>
      <c r="BI10" s="20" cm="1">
        <f t="array" ref="BI10">SUM(_xlfn._xlws.FILTER(일별!BU:BU, (일별!$A:$A &gt;= 월별!$A10) * (일별!$A:$A &lt; 월별!$A11), 0))</f>
        <v>0</v>
      </c>
      <c r="BJ10" s="20" cm="1">
        <f t="array" ref="BJ10">SUM(_xlfn._xlws.FILTER(일별!BV:BV, (일별!$A:$A &gt;= 월별!$A10) * (일별!$A:$A &lt; 월별!$A11), 0))</f>
        <v>0</v>
      </c>
      <c r="BK10" s="20" cm="1">
        <f t="array" ref="BK10">SUM(_xlfn._xlws.FILTER(일별!BW:BW, (일별!$A:$A &gt;= 월별!$A10) * (일별!$A:$A &lt; 월별!$A11), 0))</f>
        <v>0</v>
      </c>
      <c r="BL10" s="20" cm="1">
        <f t="array" ref="BL10">SUM(_xlfn._xlws.FILTER(일별!BX:BX, (일별!$A:$A &gt;= 월별!$A10) * (일별!$A:$A &lt; 월별!$A11), 0))</f>
        <v>0</v>
      </c>
      <c r="BM10" s="20" cm="1">
        <f t="array" ref="BM10">SUM(_xlfn._xlws.FILTER(일별!BY:BY, (일별!$A:$A &gt;= 월별!$A10) * (일별!$A:$A &lt; 월별!$A11), 0))</f>
        <v>0</v>
      </c>
      <c r="BN10" s="20" cm="1">
        <f t="array" ref="BN10">SUM(_xlfn._xlws.FILTER(일별!BZ:BZ, (일별!$A:$A &gt;= 월별!$A10) * (일별!$A:$A &lt; 월별!$A11), 0))</f>
        <v>0</v>
      </c>
      <c r="BO10" s="20" cm="1">
        <f t="array" ref="BO10">SUM(_xlfn._xlws.FILTER(일별!CA:CA, (일별!$A:$A &gt;= 월별!$A10) * (일별!$A:$A &lt; 월별!$A11), 0))</f>
        <v>0</v>
      </c>
      <c r="BP10" s="20" cm="1">
        <f t="array" ref="BP10">SUM(_xlfn._xlws.FILTER(일별!CB:CB, (일별!$A:$A &gt;= 월별!$A10) * (일별!$A:$A &lt; 월별!$A11), 0))</f>
        <v>0</v>
      </c>
      <c r="BQ10" s="19" cm="1">
        <f t="array" ref="BQ10">SUM(_xlfn._xlws.FILTER(일별!CC:CC, (일별!$A:$A &gt;= 월별!$A10) * (일별!$A:$A &lt; 월별!$A11), 0))</f>
        <v>0</v>
      </c>
      <c r="BR10" s="18" cm="1">
        <f t="array" ref="BR10">SUM(_xlfn._xlws.FILTER(일별!CD:CD, (일별!$A:$A &gt;= 월별!$A10) * (일별!$A:$A &lt; 월별!$A11), 0))</f>
        <v>0</v>
      </c>
      <c r="BS10" s="20" cm="1">
        <f t="array" ref="BS10">SUM(_xlfn._xlws.FILTER(일별!CE:CE, (일별!$A:$A &gt;= 월별!$A10) * (일별!$A:$A &lt; 월별!$A11), 0))</f>
        <v>0</v>
      </c>
      <c r="BT10" s="20" cm="1">
        <f t="array" ref="BT10">SUM(_xlfn._xlws.FILTER(일별!CF:CF, (일별!$A:$A &gt;= 월별!$A10) * (일별!$A:$A &lt; 월별!$A11), 0))</f>
        <v>0</v>
      </c>
      <c r="BU10" s="20" cm="1">
        <f t="array" ref="BU10">SUM(_xlfn._xlws.FILTER(일별!CG:CG, (일별!$A:$A &gt;= 월별!$A10) * (일별!$A:$A &lt; 월별!$A11), 0))</f>
        <v>0</v>
      </c>
      <c r="BV10" s="20" cm="1">
        <f t="array" ref="BV10">SUM(_xlfn._xlws.FILTER(일별!CH:CH, (일별!$A:$A &gt;= 월별!$A10) * (일별!$A:$A &lt; 월별!$A11), 0))</f>
        <v>0</v>
      </c>
      <c r="BW10" s="20" cm="1">
        <f t="array" ref="BW10">SUM(_xlfn._xlws.FILTER(일별!CI:CI, (일별!$A:$A &gt;= 월별!$A10) * (일별!$A:$A &lt; 월별!$A11), 0))</f>
        <v>0</v>
      </c>
      <c r="BX10" s="20" cm="1">
        <f t="array" ref="BX10">SUM(_xlfn._xlws.FILTER(일별!CJ:CJ, (일별!$A:$A &gt;= 월별!$A10) * (일별!$A:$A &lt; 월별!$A11), 0))</f>
        <v>0</v>
      </c>
      <c r="BY10" s="20" cm="1">
        <f t="array" ref="BY10">SUM(_xlfn._xlws.FILTER(일별!CK:CK, (일별!$A:$A &gt;= 월별!$A10) * (일별!$A:$A &lt; 월별!$A11), 0))</f>
        <v>0</v>
      </c>
      <c r="BZ10" s="20" cm="1">
        <f t="array" ref="BZ10">SUM(_xlfn._xlws.FILTER(일별!CL:CL, (일별!$A:$A &gt;= 월별!$A10) * (일별!$A:$A &lt; 월별!$A11), 0))</f>
        <v>0</v>
      </c>
      <c r="CA10" s="20" cm="1">
        <f t="array" ref="CA10">SUM(_xlfn._xlws.FILTER(일별!CM:CM, (일별!$A:$A &gt;= 월별!$A10) * (일별!$A:$A &lt; 월별!$A11), 0))</f>
        <v>0</v>
      </c>
      <c r="CB10" s="20" cm="1">
        <f t="array" ref="CB10">SUM(_xlfn._xlws.FILTER(일별!CN:CN, (일별!$A:$A &gt;= 월별!$A10) * (일별!$A:$A &lt; 월별!$A11), 0))</f>
        <v>0</v>
      </c>
      <c r="CC10" s="20" cm="1">
        <f t="array" ref="CC10">SUM(_xlfn._xlws.FILTER(일별!CO:CO, (일별!$A:$A &gt;= 월별!$A10) * (일별!$A:$A &lt; 월별!$A11), 0))</f>
        <v>0</v>
      </c>
      <c r="CD10" s="20" cm="1">
        <f t="array" ref="CD10">SUM(_xlfn._xlws.FILTER(일별!CP:CP, (일별!$A:$A &gt;= 월별!$A10) * (일별!$A:$A &lt; 월별!$A11), 0))</f>
        <v>0</v>
      </c>
      <c r="CE10" s="20" cm="1">
        <f t="array" ref="CE10">SUM(_xlfn._xlws.FILTER(일별!CQ:CQ, (일별!$A:$A &gt;= 월별!$A10) * (일별!$A:$A &lt; 월별!$A11), 0))</f>
        <v>0</v>
      </c>
      <c r="CF10" s="20" cm="1">
        <f t="array" ref="CF10">SUM(_xlfn._xlws.FILTER(일별!CR:CR, (일별!$A:$A &gt;= 월별!$A10) * (일별!$A:$A &lt; 월별!$A11), 0))</f>
        <v>0</v>
      </c>
      <c r="CG10" s="20" cm="1">
        <f t="array" ref="CG10">SUM(_xlfn._xlws.FILTER(일별!CS:CS, (일별!$A:$A &gt;= 월별!$A10) * (일별!$A:$A &lt; 월별!$A11), 0))</f>
        <v>0</v>
      </c>
      <c r="CH10" s="20" cm="1">
        <f t="array" ref="CH10">SUM(_xlfn._xlws.FILTER(일별!CT:CT, (일별!$A:$A &gt;= 월별!$A10) * (일별!$A:$A &lt; 월별!$A11), 0))</f>
        <v>0</v>
      </c>
      <c r="CI10" s="20" cm="1">
        <f t="array" ref="CI10">SUM(_xlfn._xlws.FILTER(일별!CU:CU, (일별!$A:$A &gt;= 월별!$A10) * (일별!$A:$A &lt; 월별!$A11), 0))</f>
        <v>0</v>
      </c>
      <c r="CJ10" s="20" cm="1">
        <f t="array" ref="CJ10">SUM(_xlfn._xlws.FILTER(일별!CV:CV, (일별!$A:$A &gt;= 월별!$A10) * (일별!$A:$A &lt; 월별!$A11), 0))</f>
        <v>0</v>
      </c>
      <c r="CK10" s="20" cm="1">
        <f t="array" ref="CK10">SUM(_xlfn._xlws.FILTER(일별!CW:CW, (일별!$A:$A &gt;= 월별!$A10) * (일별!$A:$A &lt; 월별!$A11), 0))</f>
        <v>0</v>
      </c>
      <c r="CL10" s="20" cm="1">
        <f t="array" ref="CL10">SUM(_xlfn._xlws.FILTER(일별!CX:CX, (일별!$A:$A &gt;= 월별!$A10) * (일별!$A:$A &lt; 월별!$A11), 0))</f>
        <v>0</v>
      </c>
      <c r="CM10" s="19" cm="1">
        <f t="array" ref="CM10">SUM(_xlfn._xlws.FILTER(일별!CY:CY, (일별!$A:$A &gt;= 월별!$A10) * (일별!$A:$A &lt; 월별!$A11), 0))</f>
        <v>0</v>
      </c>
      <c r="CN10" s="18" cm="1">
        <f t="array" ref="CN10">SUM(_xlfn._xlws.FILTER(일별!CZ:CZ, (일별!$A:$A &gt;= 월별!$A10) * (일별!$A:$A &lt; 월별!$A11), 0))</f>
        <v>0</v>
      </c>
      <c r="CO10" s="20" cm="1">
        <f t="array" ref="CO10">SUM(_xlfn._xlws.FILTER(일별!DA:DA, (일별!$A:$A &gt;= 월별!$A10) * (일별!$A:$A &lt; 월별!$A11), 0))</f>
        <v>0</v>
      </c>
      <c r="CP10" s="20" cm="1">
        <f t="array" ref="CP10">SUM(_xlfn._xlws.FILTER(일별!DB:DB, (일별!$A:$A &gt;= 월별!$A10) * (일별!$A:$A &lt; 월별!$A11), 0))</f>
        <v>0</v>
      </c>
      <c r="CQ10" s="20" cm="1">
        <f t="array" ref="CQ10">SUM(_xlfn._xlws.FILTER(일별!DC:DC, (일별!$A:$A &gt;= 월별!$A10) * (일별!$A:$A &lt; 월별!$A11), 0))</f>
        <v>0</v>
      </c>
      <c r="CR10" s="20" cm="1">
        <f t="array" ref="CR10">SUM(_xlfn._xlws.FILTER(일별!DD:DD, (일별!$A:$A &gt;= 월별!$A10) * (일별!$A:$A &lt; 월별!$A11), 0))</f>
        <v>0</v>
      </c>
      <c r="CS10" s="20" cm="1">
        <f t="array" ref="CS10">SUM(_xlfn._xlws.FILTER(일별!DE:DE, (일별!$A:$A &gt;= 월별!$A10) * (일별!$A:$A &lt; 월별!$A11), 0))</f>
        <v>0</v>
      </c>
      <c r="CT10" s="20" cm="1">
        <f t="array" ref="CT10">SUM(_xlfn._xlws.FILTER(일별!DF:DF, (일별!$A:$A &gt;= 월별!$A10) * (일별!$A:$A &lt; 월별!$A11), 0))</f>
        <v>0</v>
      </c>
      <c r="CU10" s="20" cm="1">
        <f t="array" ref="CU10">SUM(_xlfn._xlws.FILTER(일별!DG:DG, (일별!$A:$A &gt;= 월별!$A10) * (일별!$A:$A &lt; 월별!$A11), 0))</f>
        <v>0</v>
      </c>
      <c r="CV10" s="20" cm="1">
        <f t="array" ref="CV10">SUM(_xlfn._xlws.FILTER(일별!DH:DH, (일별!$A:$A &gt;= 월별!$A10) * (일별!$A:$A &lt; 월별!$A11), 0))</f>
        <v>0</v>
      </c>
      <c r="CW10" s="20" cm="1">
        <f t="array" ref="CW10">SUM(_xlfn._xlws.FILTER(일별!DI:DI, (일별!$A:$A &gt;= 월별!$A10) * (일별!$A:$A &lt; 월별!$A11), 0))</f>
        <v>0</v>
      </c>
      <c r="CX10" s="20" cm="1">
        <f t="array" ref="CX10">SUM(_xlfn._xlws.FILTER(일별!DJ:DJ, (일별!$A:$A &gt;= 월별!$A10) * (일별!$A:$A &lt; 월별!$A11), 0))</f>
        <v>0</v>
      </c>
      <c r="CY10" s="20" cm="1">
        <f t="array" ref="CY10">SUM(_xlfn._xlws.FILTER(일별!DK:DK, (일별!$A:$A &gt;= 월별!$A10) * (일별!$A:$A &lt; 월별!$A11), 0))</f>
        <v>0</v>
      </c>
      <c r="CZ10" s="20" cm="1">
        <f t="array" ref="CZ10">SUM(_xlfn._xlws.FILTER(일별!DL:DL, (일별!$A:$A &gt;= 월별!$A10) * (일별!$A:$A &lt; 월별!$A11), 0))</f>
        <v>0</v>
      </c>
      <c r="DA10" s="20" cm="1">
        <f t="array" ref="DA10">SUM(_xlfn._xlws.FILTER(일별!DM:DM, (일별!$A:$A &gt;= 월별!$A10) * (일별!$A:$A &lt; 월별!$A11), 0))</f>
        <v>0</v>
      </c>
      <c r="DB10" s="20" cm="1">
        <f t="array" ref="DB10">SUM(_xlfn._xlws.FILTER(일별!DN:DN, (일별!$A:$A &gt;= 월별!$A10) * (일별!$A:$A &lt; 월별!$A11), 0))</f>
        <v>0</v>
      </c>
      <c r="DC10" s="20" cm="1">
        <f t="array" ref="DC10">SUM(_xlfn._xlws.FILTER(일별!DO:DO, (일별!$A:$A &gt;= 월별!$A10) * (일별!$A:$A &lt; 월별!$A11), 0))</f>
        <v>0</v>
      </c>
      <c r="DD10" s="20" cm="1">
        <f t="array" ref="DD10">SUM(_xlfn._xlws.FILTER(일별!DP:DP, (일별!$A:$A &gt;= 월별!$A10) * (일별!$A:$A &lt; 월별!$A11), 0))</f>
        <v>0</v>
      </c>
      <c r="DE10" s="20" cm="1">
        <f t="array" ref="DE10">SUM(_xlfn._xlws.FILTER(일별!DQ:DQ, (일별!$A:$A &gt;= 월별!$A10) * (일별!$A:$A &lt; 월별!$A11), 0))</f>
        <v>0</v>
      </c>
      <c r="DF10" s="20" cm="1">
        <f t="array" ref="DF10">SUM(_xlfn._xlws.FILTER(일별!DR:DR, (일별!$A:$A &gt;= 월별!$A10) * (일별!$A:$A &lt; 월별!$A11), 0))</f>
        <v>0</v>
      </c>
      <c r="DG10" s="20" cm="1">
        <f t="array" ref="DG10">SUM(_xlfn._xlws.FILTER(일별!DS:DS, (일별!$A:$A &gt;= 월별!$A10) * (일별!$A:$A &lt; 월별!$A11), 0))</f>
        <v>0</v>
      </c>
      <c r="DH10" s="20" cm="1">
        <f t="array" ref="DH10">SUM(_xlfn._xlws.FILTER(일별!DT:DT, (일별!$A:$A &gt;= 월별!$A10) * (일별!$A:$A &lt; 월별!$A11), 0))</f>
        <v>0</v>
      </c>
      <c r="DI10" s="19" cm="1">
        <f t="array" ref="DI10">SUM(_xlfn._xlws.FILTER(일별!DU:DU, (일별!$A:$A &gt;= 월별!$A10) * (일별!$A:$A &lt; 월별!$A11), 0))</f>
        <v>0</v>
      </c>
    </row>
    <row r="11" spans="1:113">
      <c r="A11" s="25">
        <v>46204</v>
      </c>
      <c r="B11" s="15">
        <f>SUMIFS(일별!$C:$C,
       일별!$A:$A, "&gt;="&amp;월별!$A11,
       일별!$A:$A, "&lt;"&amp;월별!$A12)</f>
        <v>0</v>
      </c>
      <c r="C11" s="16">
        <f>B11/(월별!$A12 - 월별!$A11)</f>
        <v>0</v>
      </c>
      <c r="D11" s="15">
        <f>SUMIFS(일별!E:E,
       일별!$A:$A, "&gt;="&amp;월별!$A11,
       일별!$A:$A, "&lt;"&amp;월별!$A12)</f>
        <v>0</v>
      </c>
      <c r="E11" s="16">
        <f>D11/(월별!$A12 - 월별!$A11)</f>
        <v>0</v>
      </c>
      <c r="F11" s="12">
        <f>SUMIFS(일별!G:G,
       일별!$A:$A, "&gt;="&amp;월별!$A11,
       일별!$A:$A, "&lt;"&amp;월별!$A12)</f>
        <v>0</v>
      </c>
      <c r="G11" s="16">
        <f>F11/(월별!$A12 - 월별!$A11)</f>
        <v>0</v>
      </c>
      <c r="H11" s="15">
        <f t="shared" si="0"/>
        <v>0</v>
      </c>
      <c r="I11" s="16">
        <f t="shared" si="1"/>
        <v>0</v>
      </c>
      <c r="J11" s="12">
        <f>SUMIFS(일별!I:I,
       일별!$A:$A, "&gt;="&amp;월별!$A11,
       일별!$A:$A, "&lt;"&amp;월별!$A12)</f>
        <v>0</v>
      </c>
      <c r="K11" s="16">
        <f>J11/(월별!$A12 - 월별!$A11)</f>
        <v>0</v>
      </c>
      <c r="L11" s="12">
        <f>SUMIFS(일별!K:K,
       일별!$A:$A, "&gt;="&amp;월별!$A11,
       일별!$A:$A, "&lt;"&amp;월별!$A12)</f>
        <v>0</v>
      </c>
      <c r="M11" s="16">
        <f>L11/(월별!$A12 - 월별!$A11)</f>
        <v>0</v>
      </c>
      <c r="N11" s="12">
        <f>SUMIFS(일별!M:M,
       일별!$A:$A, "&gt;="&amp;월별!$A11,
       일별!$A:$A, "&lt;"&amp;월별!$A12)</f>
        <v>0</v>
      </c>
      <c r="O11" s="31">
        <f>N11/(월별!$A12 - 월별!$A11)</f>
        <v>0</v>
      </c>
      <c r="P11" s="12">
        <f>SUMIFS(일별!O:O,
       일별!$A:$A, "&gt;="&amp;월별!$A11,
       일별!$A:$A, "&lt;"&amp;월별!$A12)</f>
        <v>0</v>
      </c>
      <c r="Q11" s="16">
        <f>P11/(월별!$A12 - 월별!$A11)</f>
        <v>0</v>
      </c>
      <c r="R11" s="12">
        <f>SUMIFS(일별!Q:Q,
       일별!$A:$A, "&gt;="&amp;월별!$A11,
       일별!$A:$A, "&lt;"&amp;월별!$A12)</f>
        <v>0</v>
      </c>
      <c r="S11" s="16">
        <f>R11/(월별!$A12 - 월별!$A11)</f>
        <v>0</v>
      </c>
      <c r="T11" s="12">
        <f>SUMIFS(일별!S:S,
       일별!$A:$A, "&gt;="&amp;월별!$A11,
       일별!$A:$A, "&lt;"&amp;월별!$A12)</f>
        <v>0</v>
      </c>
      <c r="U11" s="16">
        <f>T11/(월별!$A12 - 월별!$A11)</f>
        <v>0</v>
      </c>
      <c r="V11" s="12">
        <f>SUMIFS(일별!U:U,
       일별!$A:$A, "&gt;="&amp;월별!$A11,
       일별!$A:$A, "&lt;"&amp;월별!$A12)</f>
        <v>0</v>
      </c>
      <c r="W11" s="16">
        <f>V11/(월별!$A12 - 월별!$A11)</f>
        <v>0</v>
      </c>
      <c r="X11" s="12">
        <f>SUMIFS(일별!W:W,
       일별!$A:$A, "&gt;="&amp;월별!$A11,
       일별!$A:$A, "&lt;"&amp;월별!$A12)</f>
        <v>0</v>
      </c>
      <c r="Y11" s="16">
        <f>X11/(월별!$A12 - 월별!$A11)</f>
        <v>0</v>
      </c>
      <c r="Z11" s="15">
        <f>SUMIFS(일별!X:X,
       일별!$A:$A, "&gt;="&amp;월별!$A11,
       일별!$A:$A, "&lt;"&amp;월별!$A12)</f>
        <v>0</v>
      </c>
      <c r="AA11" s="12">
        <f>SUMIFS(일별!Y:Y,
       일별!$A:$A, "&gt;="&amp;월별!$A11,
       일별!$A:$A, "&lt;"&amp;월별!$A12)</f>
        <v>0</v>
      </c>
      <c r="AB11" s="12">
        <f>SUMIFS(일별!Z:Z,
       일별!$A:$A, "&gt;="&amp;월별!$A11,
       일별!$A:$A, "&lt;"&amp;월별!$A12)</f>
        <v>0</v>
      </c>
      <c r="AC11" s="12">
        <f>SUMIFS(일별!AA:AA,
       일별!$A:$A, "&gt;="&amp;월별!$A11,
       일별!$A:$A, "&lt;"&amp;월별!$A12)</f>
        <v>0</v>
      </c>
      <c r="AD11" s="12">
        <f>SUMIFS(일별!AB:AB,
       일별!$A:$A, "&gt;="&amp;월별!$A11,
       일별!$A:$A, "&lt;"&amp;월별!$A12)</f>
        <v>0</v>
      </c>
      <c r="AE11" s="16">
        <f>SUMIFS(일별!AC:AC,
       일별!$A:$A, "&gt;="&amp;월별!$A11,
       일별!$A:$A, "&lt;"&amp;월별!$A12)</f>
        <v>0</v>
      </c>
      <c r="AF11" s="15">
        <f>SUMIFS(일별!AD:AD,
       일별!$A:$A, "&gt;="&amp;월별!$A11,
       일별!$A:$A, "&lt;"&amp;월별!$A12)</f>
        <v>0</v>
      </c>
      <c r="AG11" s="12">
        <f>SUMIFS(일별!AE:AE,
       일별!$A:$A, "&gt;="&amp;월별!$A11,
       일별!$A:$A, "&lt;"&amp;월별!$A12)</f>
        <v>0</v>
      </c>
      <c r="AH11" s="12">
        <f>SUMIFS(일별!AF:AF,
       일별!$A:$A, "&gt;="&amp;월별!$A11,
       일별!$A:$A, "&lt;"&amp;월별!$A12)</f>
        <v>0</v>
      </c>
      <c r="AI11" s="16">
        <f>SUMIFS(일별!AG:AG,
       일별!$A:$A, "&gt;="&amp;월별!$A11,
       일별!$A:$A, "&lt;"&amp;월별!$A12)</f>
        <v>0</v>
      </c>
      <c r="AJ11" s="15">
        <f>SUMIFS(일별!AX:AX,
       일별!$A:$A, "&gt;="&amp;월별!$A11,
       일별!$A:$A, "&lt;"&amp;월별!$A12)</f>
        <v>0</v>
      </c>
      <c r="AK11" s="12">
        <f>SUMIFS(일별!AY:AY,
       일별!$A:$A, "&gt;="&amp;월별!$A11,
       일별!$A:$A, "&lt;"&amp;월별!$A12)</f>
        <v>0</v>
      </c>
      <c r="AL11" s="12">
        <f>SUMIFS(일별!AZ:AZ,
       일별!$A:$A, "&gt;="&amp;월별!$A11,
       일별!$A:$A, "&lt;"&amp;월별!$A12)</f>
        <v>0</v>
      </c>
      <c r="AM11" s="12">
        <f>SUMIFS(일별!BA:BA,
       일별!$A:$A, "&gt;="&amp;월별!$A11,
       일별!$A:$A, "&lt;"&amp;월별!$A12)</f>
        <v>0</v>
      </c>
      <c r="AN11" s="12">
        <f>SUMIFS(일별!BB:BB,
       일별!$A:$A, "&gt;="&amp;월별!$A11,
       일별!$A:$A, "&lt;"&amp;월별!$A12)</f>
        <v>0</v>
      </c>
      <c r="AO11" s="16">
        <f>SUMIFS(일별!BC:BC,
       일별!$A:$A, "&gt;="&amp;월별!$A11,
       일별!$A:$A, "&lt;"&amp;월별!$A12)</f>
        <v>0</v>
      </c>
      <c r="AP11" s="18" cm="1">
        <f t="array" ref="AP11">SUM(_xlfn._xlws.FILTER(일별!BH:CC, (일별!$A:$A &gt;= 월별!$A11) * (일별!$A:$A &lt; 월별!$A12), 0))</f>
        <v>0</v>
      </c>
      <c r="AQ11" s="20">
        <f>AP11/(월별!$A12 - 월별!$A11)</f>
        <v>0</v>
      </c>
      <c r="AR11" s="20" cm="1">
        <f t="array" ref="AR11">SUM(_xlfn._xlws.FILTER(일별!CD:CY, (일별!$A:$A &gt;= 월별!$A11) * (일별!$A:$A &lt; 월별!$A12), 0))</f>
        <v>0</v>
      </c>
      <c r="AS11" s="20">
        <f>AR11/(월별!$A12 - 월별!$A11)</f>
        <v>0</v>
      </c>
      <c r="AT11" s="20" cm="1">
        <f t="array" ref="AT11">SUM(_xlfn._xlws.FILTER(일별!CZ:DU, (일별!$A:$A &gt;= 월별!$A11) * (일별!$A:$A &lt; 월별!$A12), 0))</f>
        <v>0</v>
      </c>
      <c r="AU11" s="20">
        <f>AT11/(월별!$A12 - 월별!$A11)</f>
        <v>0</v>
      </c>
      <c r="AV11" s="18" cm="1">
        <f t="array" ref="AV11">SUM(_xlfn._xlws.FILTER(일별!BH:BH, (일별!$A:$A &gt;= 월별!$A11) * (일별!$A:$A &lt; 월별!$A12), 0))</f>
        <v>0</v>
      </c>
      <c r="AW11" s="20" cm="1">
        <f t="array" ref="AW11">SUM(_xlfn._xlws.FILTER(일별!BI:BI, (일별!$A:$A &gt;= 월별!$A11) * (일별!$A:$A &lt; 월별!$A12), 0))</f>
        <v>0</v>
      </c>
      <c r="AX11" s="20" cm="1">
        <f t="array" ref="AX11">SUM(_xlfn._xlws.FILTER(일별!BJ:BJ, (일별!$A:$A &gt;= 월별!$A11) * (일별!$A:$A &lt; 월별!$A12), 0))</f>
        <v>0</v>
      </c>
      <c r="AY11" s="20" cm="1">
        <f t="array" ref="AY11">SUM(_xlfn._xlws.FILTER(일별!BK:BK, (일별!$A:$A &gt;= 월별!$A11) * (일별!$A:$A &lt; 월별!$A12), 0))</f>
        <v>0</v>
      </c>
      <c r="AZ11" s="20" cm="1">
        <f t="array" ref="AZ11">SUM(_xlfn._xlws.FILTER(일별!BL:BL, (일별!$A:$A &gt;= 월별!$A11) * (일별!$A:$A &lt; 월별!$A12), 0))</f>
        <v>0</v>
      </c>
      <c r="BA11" s="20" cm="1">
        <f t="array" ref="BA11">SUM(_xlfn._xlws.FILTER(일별!BM:BM, (일별!$A:$A &gt;= 월별!$A11) * (일별!$A:$A &lt; 월별!$A12), 0))</f>
        <v>0</v>
      </c>
      <c r="BB11" s="20" cm="1">
        <f t="array" ref="BB11">SUM(_xlfn._xlws.FILTER(일별!BN:BN, (일별!$A:$A &gt;= 월별!$A11) * (일별!$A:$A &lt; 월별!$A12), 0))</f>
        <v>0</v>
      </c>
      <c r="BC11" s="20" cm="1">
        <f t="array" ref="BC11">SUM(_xlfn._xlws.FILTER(일별!BO:BO, (일별!$A:$A &gt;= 월별!$A11) * (일별!$A:$A &lt; 월별!$A12), 0))</f>
        <v>0</v>
      </c>
      <c r="BD11" s="20" cm="1">
        <f t="array" ref="BD11">SUM(_xlfn._xlws.FILTER(일별!BP:BP, (일별!$A:$A &gt;= 월별!$A11) * (일별!$A:$A &lt; 월별!$A12), 0))</f>
        <v>0</v>
      </c>
      <c r="BE11" s="20" cm="1">
        <f t="array" ref="BE11">SUM(_xlfn._xlws.FILTER(일별!BQ:BQ, (일별!$A:$A &gt;= 월별!$A11) * (일별!$A:$A &lt; 월별!$A12), 0))</f>
        <v>0</v>
      </c>
      <c r="BF11" s="20" cm="1">
        <f t="array" ref="BF11">SUM(_xlfn._xlws.FILTER(일별!BR:BR, (일별!$A:$A &gt;= 월별!$A11) * (일별!$A:$A &lt; 월별!$A12), 0))</f>
        <v>0</v>
      </c>
      <c r="BG11" s="20" cm="1">
        <f t="array" ref="BG11">SUM(_xlfn._xlws.FILTER(일별!BS:BS, (일별!$A:$A &gt;= 월별!$A11) * (일별!$A:$A &lt; 월별!$A12), 0))</f>
        <v>0</v>
      </c>
      <c r="BH11" s="20" cm="1">
        <f t="array" ref="BH11">SUM(_xlfn._xlws.FILTER(일별!BT:BT, (일별!$A:$A &gt;= 월별!$A11) * (일별!$A:$A &lt; 월별!$A12), 0))</f>
        <v>0</v>
      </c>
      <c r="BI11" s="20" cm="1">
        <f t="array" ref="BI11">SUM(_xlfn._xlws.FILTER(일별!BU:BU, (일별!$A:$A &gt;= 월별!$A11) * (일별!$A:$A &lt; 월별!$A12), 0))</f>
        <v>0</v>
      </c>
      <c r="BJ11" s="20" cm="1">
        <f t="array" ref="BJ11">SUM(_xlfn._xlws.FILTER(일별!BV:BV, (일별!$A:$A &gt;= 월별!$A11) * (일별!$A:$A &lt; 월별!$A12), 0))</f>
        <v>0</v>
      </c>
      <c r="BK11" s="20" cm="1">
        <f t="array" ref="BK11">SUM(_xlfn._xlws.FILTER(일별!BW:BW, (일별!$A:$A &gt;= 월별!$A11) * (일별!$A:$A &lt; 월별!$A12), 0))</f>
        <v>0</v>
      </c>
      <c r="BL11" s="20" cm="1">
        <f t="array" ref="BL11">SUM(_xlfn._xlws.FILTER(일별!BX:BX, (일별!$A:$A &gt;= 월별!$A11) * (일별!$A:$A &lt; 월별!$A12), 0))</f>
        <v>0</v>
      </c>
      <c r="BM11" s="20" cm="1">
        <f t="array" ref="BM11">SUM(_xlfn._xlws.FILTER(일별!BY:BY, (일별!$A:$A &gt;= 월별!$A11) * (일별!$A:$A &lt; 월별!$A12), 0))</f>
        <v>0</v>
      </c>
      <c r="BN11" s="20" cm="1">
        <f t="array" ref="BN11">SUM(_xlfn._xlws.FILTER(일별!BZ:BZ, (일별!$A:$A &gt;= 월별!$A11) * (일별!$A:$A &lt; 월별!$A12), 0))</f>
        <v>0</v>
      </c>
      <c r="BO11" s="20" cm="1">
        <f t="array" ref="BO11">SUM(_xlfn._xlws.FILTER(일별!CA:CA, (일별!$A:$A &gt;= 월별!$A11) * (일별!$A:$A &lt; 월별!$A12), 0))</f>
        <v>0</v>
      </c>
      <c r="BP11" s="20" cm="1">
        <f t="array" ref="BP11">SUM(_xlfn._xlws.FILTER(일별!CB:CB, (일별!$A:$A &gt;= 월별!$A11) * (일별!$A:$A &lt; 월별!$A12), 0))</f>
        <v>0</v>
      </c>
      <c r="BQ11" s="19" cm="1">
        <f t="array" ref="BQ11">SUM(_xlfn._xlws.FILTER(일별!CC:CC, (일별!$A:$A &gt;= 월별!$A11) * (일별!$A:$A &lt; 월별!$A12), 0))</f>
        <v>0</v>
      </c>
      <c r="BR11" s="18" cm="1">
        <f t="array" ref="BR11">SUM(_xlfn._xlws.FILTER(일별!CD:CD, (일별!$A:$A &gt;= 월별!$A11) * (일별!$A:$A &lt; 월별!$A12), 0))</f>
        <v>0</v>
      </c>
      <c r="BS11" s="20" cm="1">
        <f t="array" ref="BS11">SUM(_xlfn._xlws.FILTER(일별!CE:CE, (일별!$A:$A &gt;= 월별!$A11) * (일별!$A:$A &lt; 월별!$A12), 0))</f>
        <v>0</v>
      </c>
      <c r="BT11" s="20" cm="1">
        <f t="array" ref="BT11">SUM(_xlfn._xlws.FILTER(일별!CF:CF, (일별!$A:$A &gt;= 월별!$A11) * (일별!$A:$A &lt; 월별!$A12), 0))</f>
        <v>0</v>
      </c>
      <c r="BU11" s="20" cm="1">
        <f t="array" ref="BU11">SUM(_xlfn._xlws.FILTER(일별!CG:CG, (일별!$A:$A &gt;= 월별!$A11) * (일별!$A:$A &lt; 월별!$A12), 0))</f>
        <v>0</v>
      </c>
      <c r="BV11" s="20" cm="1">
        <f t="array" ref="BV11">SUM(_xlfn._xlws.FILTER(일별!CH:CH, (일별!$A:$A &gt;= 월별!$A11) * (일별!$A:$A &lt; 월별!$A12), 0))</f>
        <v>0</v>
      </c>
      <c r="BW11" s="20" cm="1">
        <f t="array" ref="BW11">SUM(_xlfn._xlws.FILTER(일별!CI:CI, (일별!$A:$A &gt;= 월별!$A11) * (일별!$A:$A &lt; 월별!$A12), 0))</f>
        <v>0</v>
      </c>
      <c r="BX11" s="20" cm="1">
        <f t="array" ref="BX11">SUM(_xlfn._xlws.FILTER(일별!CJ:CJ, (일별!$A:$A &gt;= 월별!$A11) * (일별!$A:$A &lt; 월별!$A12), 0))</f>
        <v>0</v>
      </c>
      <c r="BY11" s="20" cm="1">
        <f t="array" ref="BY11">SUM(_xlfn._xlws.FILTER(일별!CK:CK, (일별!$A:$A &gt;= 월별!$A11) * (일별!$A:$A &lt; 월별!$A12), 0))</f>
        <v>0</v>
      </c>
      <c r="BZ11" s="20" cm="1">
        <f t="array" ref="BZ11">SUM(_xlfn._xlws.FILTER(일별!CL:CL, (일별!$A:$A &gt;= 월별!$A11) * (일별!$A:$A &lt; 월별!$A12), 0))</f>
        <v>0</v>
      </c>
      <c r="CA11" s="20" cm="1">
        <f t="array" ref="CA11">SUM(_xlfn._xlws.FILTER(일별!CM:CM, (일별!$A:$A &gt;= 월별!$A11) * (일별!$A:$A &lt; 월별!$A12), 0))</f>
        <v>0</v>
      </c>
      <c r="CB11" s="20" cm="1">
        <f t="array" ref="CB11">SUM(_xlfn._xlws.FILTER(일별!CN:CN, (일별!$A:$A &gt;= 월별!$A11) * (일별!$A:$A &lt; 월별!$A12), 0))</f>
        <v>0</v>
      </c>
      <c r="CC11" s="20" cm="1">
        <f t="array" ref="CC11">SUM(_xlfn._xlws.FILTER(일별!CO:CO, (일별!$A:$A &gt;= 월별!$A11) * (일별!$A:$A &lt; 월별!$A12), 0))</f>
        <v>0</v>
      </c>
      <c r="CD11" s="20" cm="1">
        <f t="array" ref="CD11">SUM(_xlfn._xlws.FILTER(일별!CP:CP, (일별!$A:$A &gt;= 월별!$A11) * (일별!$A:$A &lt; 월별!$A12), 0))</f>
        <v>0</v>
      </c>
      <c r="CE11" s="20" cm="1">
        <f t="array" ref="CE11">SUM(_xlfn._xlws.FILTER(일별!CQ:CQ, (일별!$A:$A &gt;= 월별!$A11) * (일별!$A:$A &lt; 월별!$A12), 0))</f>
        <v>0</v>
      </c>
      <c r="CF11" s="20" cm="1">
        <f t="array" ref="CF11">SUM(_xlfn._xlws.FILTER(일별!CR:CR, (일별!$A:$A &gt;= 월별!$A11) * (일별!$A:$A &lt; 월별!$A12), 0))</f>
        <v>0</v>
      </c>
      <c r="CG11" s="20" cm="1">
        <f t="array" ref="CG11">SUM(_xlfn._xlws.FILTER(일별!CS:CS, (일별!$A:$A &gt;= 월별!$A11) * (일별!$A:$A &lt; 월별!$A12), 0))</f>
        <v>0</v>
      </c>
      <c r="CH11" s="20" cm="1">
        <f t="array" ref="CH11">SUM(_xlfn._xlws.FILTER(일별!CT:CT, (일별!$A:$A &gt;= 월별!$A11) * (일별!$A:$A &lt; 월별!$A12), 0))</f>
        <v>0</v>
      </c>
      <c r="CI11" s="20" cm="1">
        <f t="array" ref="CI11">SUM(_xlfn._xlws.FILTER(일별!CU:CU, (일별!$A:$A &gt;= 월별!$A11) * (일별!$A:$A &lt; 월별!$A12), 0))</f>
        <v>0</v>
      </c>
      <c r="CJ11" s="20" cm="1">
        <f t="array" ref="CJ11">SUM(_xlfn._xlws.FILTER(일별!CV:CV, (일별!$A:$A &gt;= 월별!$A11) * (일별!$A:$A &lt; 월별!$A12), 0))</f>
        <v>0</v>
      </c>
      <c r="CK11" s="20" cm="1">
        <f t="array" ref="CK11">SUM(_xlfn._xlws.FILTER(일별!CW:CW, (일별!$A:$A &gt;= 월별!$A11) * (일별!$A:$A &lt; 월별!$A12), 0))</f>
        <v>0</v>
      </c>
      <c r="CL11" s="20" cm="1">
        <f t="array" ref="CL11">SUM(_xlfn._xlws.FILTER(일별!CX:CX, (일별!$A:$A &gt;= 월별!$A11) * (일별!$A:$A &lt; 월별!$A12), 0))</f>
        <v>0</v>
      </c>
      <c r="CM11" s="19" cm="1">
        <f t="array" ref="CM11">SUM(_xlfn._xlws.FILTER(일별!CY:CY, (일별!$A:$A &gt;= 월별!$A11) * (일별!$A:$A &lt; 월별!$A12), 0))</f>
        <v>0</v>
      </c>
      <c r="CN11" s="18" cm="1">
        <f t="array" ref="CN11">SUM(_xlfn._xlws.FILTER(일별!CZ:CZ, (일별!$A:$A &gt;= 월별!$A11) * (일별!$A:$A &lt; 월별!$A12), 0))</f>
        <v>0</v>
      </c>
      <c r="CO11" s="20" cm="1">
        <f t="array" ref="CO11">SUM(_xlfn._xlws.FILTER(일별!DA:DA, (일별!$A:$A &gt;= 월별!$A11) * (일별!$A:$A &lt; 월별!$A12), 0))</f>
        <v>0</v>
      </c>
      <c r="CP11" s="20" cm="1">
        <f t="array" ref="CP11">SUM(_xlfn._xlws.FILTER(일별!DB:DB, (일별!$A:$A &gt;= 월별!$A11) * (일별!$A:$A &lt; 월별!$A12), 0))</f>
        <v>0</v>
      </c>
      <c r="CQ11" s="20" cm="1">
        <f t="array" ref="CQ11">SUM(_xlfn._xlws.FILTER(일별!DC:DC, (일별!$A:$A &gt;= 월별!$A11) * (일별!$A:$A &lt; 월별!$A12), 0))</f>
        <v>0</v>
      </c>
      <c r="CR11" s="20" cm="1">
        <f t="array" ref="CR11">SUM(_xlfn._xlws.FILTER(일별!DD:DD, (일별!$A:$A &gt;= 월별!$A11) * (일별!$A:$A &lt; 월별!$A12), 0))</f>
        <v>0</v>
      </c>
      <c r="CS11" s="20" cm="1">
        <f t="array" ref="CS11">SUM(_xlfn._xlws.FILTER(일별!DE:DE, (일별!$A:$A &gt;= 월별!$A11) * (일별!$A:$A &lt; 월별!$A12), 0))</f>
        <v>0</v>
      </c>
      <c r="CT11" s="20" cm="1">
        <f t="array" ref="CT11">SUM(_xlfn._xlws.FILTER(일별!DF:DF, (일별!$A:$A &gt;= 월별!$A11) * (일별!$A:$A &lt; 월별!$A12), 0))</f>
        <v>0</v>
      </c>
      <c r="CU11" s="20" cm="1">
        <f t="array" ref="CU11">SUM(_xlfn._xlws.FILTER(일별!DG:DG, (일별!$A:$A &gt;= 월별!$A11) * (일별!$A:$A &lt; 월별!$A12), 0))</f>
        <v>0</v>
      </c>
      <c r="CV11" s="20" cm="1">
        <f t="array" ref="CV11">SUM(_xlfn._xlws.FILTER(일별!DH:DH, (일별!$A:$A &gt;= 월별!$A11) * (일별!$A:$A &lt; 월별!$A12), 0))</f>
        <v>0</v>
      </c>
      <c r="CW11" s="20" cm="1">
        <f t="array" ref="CW11">SUM(_xlfn._xlws.FILTER(일별!DI:DI, (일별!$A:$A &gt;= 월별!$A11) * (일별!$A:$A &lt; 월별!$A12), 0))</f>
        <v>0</v>
      </c>
      <c r="CX11" s="20" cm="1">
        <f t="array" ref="CX11">SUM(_xlfn._xlws.FILTER(일별!DJ:DJ, (일별!$A:$A &gt;= 월별!$A11) * (일별!$A:$A &lt; 월별!$A12), 0))</f>
        <v>0</v>
      </c>
      <c r="CY11" s="20" cm="1">
        <f t="array" ref="CY11">SUM(_xlfn._xlws.FILTER(일별!DK:DK, (일별!$A:$A &gt;= 월별!$A11) * (일별!$A:$A &lt; 월별!$A12), 0))</f>
        <v>0</v>
      </c>
      <c r="CZ11" s="20" cm="1">
        <f t="array" ref="CZ11">SUM(_xlfn._xlws.FILTER(일별!DL:DL, (일별!$A:$A &gt;= 월별!$A11) * (일별!$A:$A &lt; 월별!$A12), 0))</f>
        <v>0</v>
      </c>
      <c r="DA11" s="20" cm="1">
        <f t="array" ref="DA11">SUM(_xlfn._xlws.FILTER(일별!DM:DM, (일별!$A:$A &gt;= 월별!$A11) * (일별!$A:$A &lt; 월별!$A12), 0))</f>
        <v>0</v>
      </c>
      <c r="DB11" s="20" cm="1">
        <f t="array" ref="DB11">SUM(_xlfn._xlws.FILTER(일별!DN:DN, (일별!$A:$A &gt;= 월별!$A11) * (일별!$A:$A &lt; 월별!$A12), 0))</f>
        <v>0</v>
      </c>
      <c r="DC11" s="20" cm="1">
        <f t="array" ref="DC11">SUM(_xlfn._xlws.FILTER(일별!DO:DO, (일별!$A:$A &gt;= 월별!$A11) * (일별!$A:$A &lt; 월별!$A12), 0))</f>
        <v>0</v>
      </c>
      <c r="DD11" s="20" cm="1">
        <f t="array" ref="DD11">SUM(_xlfn._xlws.FILTER(일별!DP:DP, (일별!$A:$A &gt;= 월별!$A11) * (일별!$A:$A &lt; 월별!$A12), 0))</f>
        <v>0</v>
      </c>
      <c r="DE11" s="20" cm="1">
        <f t="array" ref="DE11">SUM(_xlfn._xlws.FILTER(일별!DQ:DQ, (일별!$A:$A &gt;= 월별!$A11) * (일별!$A:$A &lt; 월별!$A12), 0))</f>
        <v>0</v>
      </c>
      <c r="DF11" s="20" cm="1">
        <f t="array" ref="DF11">SUM(_xlfn._xlws.FILTER(일별!DR:DR, (일별!$A:$A &gt;= 월별!$A11) * (일별!$A:$A &lt; 월별!$A12), 0))</f>
        <v>0</v>
      </c>
      <c r="DG11" s="20" cm="1">
        <f t="array" ref="DG11">SUM(_xlfn._xlws.FILTER(일별!DS:DS, (일별!$A:$A &gt;= 월별!$A11) * (일별!$A:$A &lt; 월별!$A12), 0))</f>
        <v>0</v>
      </c>
      <c r="DH11" s="20" cm="1">
        <f t="array" ref="DH11">SUM(_xlfn._xlws.FILTER(일별!DT:DT, (일별!$A:$A &gt;= 월별!$A11) * (일별!$A:$A &lt; 월별!$A12), 0))</f>
        <v>0</v>
      </c>
      <c r="DI11" s="19" cm="1">
        <f t="array" ref="DI11">SUM(_xlfn._xlws.FILTER(일별!DU:DU, (일별!$A:$A &gt;= 월별!$A11) * (일별!$A:$A &lt; 월별!$A12), 0))</f>
        <v>0</v>
      </c>
    </row>
    <row r="12" spans="1:113">
      <c r="A12" s="25">
        <v>46235</v>
      </c>
      <c r="B12" s="15">
        <f>SUMIFS(일별!$C:$C,
       일별!$A:$A, "&gt;="&amp;월별!$A12,
       일별!$A:$A, "&lt;"&amp;월별!$A13)</f>
        <v>0</v>
      </c>
      <c r="C12" s="16">
        <f>B12/(월별!$A13 - 월별!$A12)</f>
        <v>0</v>
      </c>
      <c r="D12" s="15">
        <f>SUMIFS(일별!E:E,
       일별!$A:$A, "&gt;="&amp;월별!$A12,
       일별!$A:$A, "&lt;"&amp;월별!$A13)</f>
        <v>0</v>
      </c>
      <c r="E12" s="16">
        <f>D12/(월별!$A13 - 월별!$A12)</f>
        <v>0</v>
      </c>
      <c r="F12" s="12">
        <f>SUMIFS(일별!G:G,
       일별!$A:$A, "&gt;="&amp;월별!$A12,
       일별!$A:$A, "&lt;"&amp;월별!$A13)</f>
        <v>0</v>
      </c>
      <c r="G12" s="16">
        <f>F12/(월별!$A13 - 월별!$A12)</f>
        <v>0</v>
      </c>
      <c r="H12" s="15">
        <f t="shared" si="0"/>
        <v>0</v>
      </c>
      <c r="I12" s="16">
        <f t="shared" si="1"/>
        <v>0</v>
      </c>
      <c r="J12" s="12">
        <f>SUMIFS(일별!I:I,
       일별!$A:$A, "&gt;="&amp;월별!$A12,
       일별!$A:$A, "&lt;"&amp;월별!$A13)</f>
        <v>0</v>
      </c>
      <c r="K12" s="16">
        <f>J12/(월별!$A13 - 월별!$A12)</f>
        <v>0</v>
      </c>
      <c r="L12" s="12">
        <f>SUMIFS(일별!K:K,
       일별!$A:$A, "&gt;="&amp;월별!$A12,
       일별!$A:$A, "&lt;"&amp;월별!$A13)</f>
        <v>0</v>
      </c>
      <c r="M12" s="16">
        <f>L12/(월별!$A13 - 월별!$A12)</f>
        <v>0</v>
      </c>
      <c r="N12" s="12">
        <f>SUMIFS(일별!M:M,
       일별!$A:$A, "&gt;="&amp;월별!$A12,
       일별!$A:$A, "&lt;"&amp;월별!$A13)</f>
        <v>0</v>
      </c>
      <c r="O12" s="31">
        <f>N12/(월별!$A13 - 월별!$A12)</f>
        <v>0</v>
      </c>
      <c r="P12" s="12">
        <f>SUMIFS(일별!O:O,
       일별!$A:$A, "&gt;="&amp;월별!$A12,
       일별!$A:$A, "&lt;"&amp;월별!$A13)</f>
        <v>0</v>
      </c>
      <c r="Q12" s="16">
        <f>P12/(월별!$A13 - 월별!$A12)</f>
        <v>0</v>
      </c>
      <c r="R12" s="12">
        <f>SUMIFS(일별!Q:Q,
       일별!$A:$A, "&gt;="&amp;월별!$A12,
       일별!$A:$A, "&lt;"&amp;월별!$A13)</f>
        <v>0</v>
      </c>
      <c r="S12" s="16">
        <f>R12/(월별!$A13 - 월별!$A12)</f>
        <v>0</v>
      </c>
      <c r="T12" s="12">
        <f>SUMIFS(일별!S:S,
       일별!$A:$A, "&gt;="&amp;월별!$A12,
       일별!$A:$A, "&lt;"&amp;월별!$A13)</f>
        <v>0</v>
      </c>
      <c r="U12" s="16">
        <f>T12/(월별!$A13 - 월별!$A12)</f>
        <v>0</v>
      </c>
      <c r="V12" s="12">
        <f>SUMIFS(일별!U:U,
       일별!$A:$A, "&gt;="&amp;월별!$A12,
       일별!$A:$A, "&lt;"&amp;월별!$A13)</f>
        <v>0</v>
      </c>
      <c r="W12" s="16">
        <f>V12/(월별!$A13 - 월별!$A12)</f>
        <v>0</v>
      </c>
      <c r="X12" s="12">
        <f>SUMIFS(일별!W:W,
       일별!$A:$A, "&gt;="&amp;월별!$A12,
       일별!$A:$A, "&lt;"&amp;월별!$A13)</f>
        <v>0</v>
      </c>
      <c r="Y12" s="16">
        <f>X12/(월별!$A13 - 월별!$A12)</f>
        <v>0</v>
      </c>
      <c r="Z12" s="15">
        <f>SUMIFS(일별!X:X,
       일별!$A:$A, "&gt;="&amp;월별!$A12,
       일별!$A:$A, "&lt;"&amp;월별!$A13)</f>
        <v>0</v>
      </c>
      <c r="AA12" s="12">
        <f>SUMIFS(일별!Y:Y,
       일별!$A:$A, "&gt;="&amp;월별!$A12,
       일별!$A:$A, "&lt;"&amp;월별!$A13)</f>
        <v>0</v>
      </c>
      <c r="AB12" s="12">
        <f>SUMIFS(일별!Z:Z,
       일별!$A:$A, "&gt;="&amp;월별!$A12,
       일별!$A:$A, "&lt;"&amp;월별!$A13)</f>
        <v>0</v>
      </c>
      <c r="AC12" s="12">
        <f>SUMIFS(일별!AA:AA,
       일별!$A:$A, "&gt;="&amp;월별!$A12,
       일별!$A:$A, "&lt;"&amp;월별!$A13)</f>
        <v>0</v>
      </c>
      <c r="AD12" s="12">
        <f>SUMIFS(일별!AB:AB,
       일별!$A:$A, "&gt;="&amp;월별!$A12,
       일별!$A:$A, "&lt;"&amp;월별!$A13)</f>
        <v>0</v>
      </c>
      <c r="AE12" s="16">
        <f>SUMIFS(일별!AC:AC,
       일별!$A:$A, "&gt;="&amp;월별!$A12,
       일별!$A:$A, "&lt;"&amp;월별!$A13)</f>
        <v>0</v>
      </c>
      <c r="AF12" s="15">
        <f>SUMIFS(일별!AD:AD,
       일별!$A:$A, "&gt;="&amp;월별!$A12,
       일별!$A:$A, "&lt;"&amp;월별!$A13)</f>
        <v>0</v>
      </c>
      <c r="AG12" s="12">
        <f>SUMIFS(일별!AE:AE,
       일별!$A:$A, "&gt;="&amp;월별!$A12,
       일별!$A:$A, "&lt;"&amp;월별!$A13)</f>
        <v>0</v>
      </c>
      <c r="AH12" s="12">
        <f>SUMIFS(일별!AF:AF,
       일별!$A:$A, "&gt;="&amp;월별!$A12,
       일별!$A:$A, "&lt;"&amp;월별!$A13)</f>
        <v>0</v>
      </c>
      <c r="AI12" s="16">
        <f>SUMIFS(일별!AG:AG,
       일별!$A:$A, "&gt;="&amp;월별!$A12,
       일별!$A:$A, "&lt;"&amp;월별!$A13)</f>
        <v>0</v>
      </c>
      <c r="AJ12" s="15">
        <f>SUMIFS(일별!AX:AX,
       일별!$A:$A, "&gt;="&amp;월별!$A12,
       일별!$A:$A, "&lt;"&amp;월별!$A13)</f>
        <v>0</v>
      </c>
      <c r="AK12" s="12">
        <f>SUMIFS(일별!AY:AY,
       일별!$A:$A, "&gt;="&amp;월별!$A12,
       일별!$A:$A, "&lt;"&amp;월별!$A13)</f>
        <v>0</v>
      </c>
      <c r="AL12" s="12">
        <f>SUMIFS(일별!AZ:AZ,
       일별!$A:$A, "&gt;="&amp;월별!$A12,
       일별!$A:$A, "&lt;"&amp;월별!$A13)</f>
        <v>0</v>
      </c>
      <c r="AM12" s="12">
        <f>SUMIFS(일별!BA:BA,
       일별!$A:$A, "&gt;="&amp;월별!$A12,
       일별!$A:$A, "&lt;"&amp;월별!$A13)</f>
        <v>0</v>
      </c>
      <c r="AN12" s="12">
        <f>SUMIFS(일별!BB:BB,
       일별!$A:$A, "&gt;="&amp;월별!$A12,
       일별!$A:$A, "&lt;"&amp;월별!$A13)</f>
        <v>0</v>
      </c>
      <c r="AO12" s="16">
        <f>SUMIFS(일별!BC:BC,
       일별!$A:$A, "&gt;="&amp;월별!$A12,
       일별!$A:$A, "&lt;"&amp;월별!$A13)</f>
        <v>0</v>
      </c>
      <c r="AP12" s="18" cm="1">
        <f t="array" ref="AP12">SUM(_xlfn._xlws.FILTER(일별!BH:CC, (일별!$A:$A &gt;= 월별!$A12) * (일별!$A:$A &lt; 월별!$A13), 0))</f>
        <v>0</v>
      </c>
      <c r="AQ12" s="20">
        <f>AP12/(월별!$A13 - 월별!$A12)</f>
        <v>0</v>
      </c>
      <c r="AR12" s="20" cm="1">
        <f t="array" ref="AR12">SUM(_xlfn._xlws.FILTER(일별!CD:CY, (일별!$A:$A &gt;= 월별!$A12) * (일별!$A:$A &lt; 월별!$A13), 0))</f>
        <v>0</v>
      </c>
      <c r="AS12" s="20">
        <f>AR12/(월별!$A13 - 월별!$A12)</f>
        <v>0</v>
      </c>
      <c r="AT12" s="20" cm="1">
        <f t="array" ref="AT12">SUM(_xlfn._xlws.FILTER(일별!CZ:DU, (일별!$A:$A &gt;= 월별!$A12) * (일별!$A:$A &lt; 월별!$A13), 0))</f>
        <v>0</v>
      </c>
      <c r="AU12" s="20">
        <f>AT12/(월별!$A13 - 월별!$A12)</f>
        <v>0</v>
      </c>
      <c r="AV12" s="18" cm="1">
        <f t="array" ref="AV12">SUM(_xlfn._xlws.FILTER(일별!BH:BH, (일별!$A:$A &gt;= 월별!$A12) * (일별!$A:$A &lt; 월별!$A13), 0))</f>
        <v>0</v>
      </c>
      <c r="AW12" s="20" cm="1">
        <f t="array" ref="AW12">SUM(_xlfn._xlws.FILTER(일별!BI:BI, (일별!$A:$A &gt;= 월별!$A12) * (일별!$A:$A &lt; 월별!$A13), 0))</f>
        <v>0</v>
      </c>
      <c r="AX12" s="20" cm="1">
        <f t="array" ref="AX12">SUM(_xlfn._xlws.FILTER(일별!BJ:BJ, (일별!$A:$A &gt;= 월별!$A12) * (일별!$A:$A &lt; 월별!$A13), 0))</f>
        <v>0</v>
      </c>
      <c r="AY12" s="20" cm="1">
        <f t="array" ref="AY12">SUM(_xlfn._xlws.FILTER(일별!BK:BK, (일별!$A:$A &gt;= 월별!$A12) * (일별!$A:$A &lt; 월별!$A13), 0))</f>
        <v>0</v>
      </c>
      <c r="AZ12" s="20" cm="1">
        <f t="array" ref="AZ12">SUM(_xlfn._xlws.FILTER(일별!BL:BL, (일별!$A:$A &gt;= 월별!$A12) * (일별!$A:$A &lt; 월별!$A13), 0))</f>
        <v>0</v>
      </c>
      <c r="BA12" s="20" cm="1">
        <f t="array" ref="BA12">SUM(_xlfn._xlws.FILTER(일별!BM:BM, (일별!$A:$A &gt;= 월별!$A12) * (일별!$A:$A &lt; 월별!$A13), 0))</f>
        <v>0</v>
      </c>
      <c r="BB12" s="20" cm="1">
        <f t="array" ref="BB12">SUM(_xlfn._xlws.FILTER(일별!BN:BN, (일별!$A:$A &gt;= 월별!$A12) * (일별!$A:$A &lt; 월별!$A13), 0))</f>
        <v>0</v>
      </c>
      <c r="BC12" s="20" cm="1">
        <f t="array" ref="BC12">SUM(_xlfn._xlws.FILTER(일별!BO:BO, (일별!$A:$A &gt;= 월별!$A12) * (일별!$A:$A &lt; 월별!$A13), 0))</f>
        <v>0</v>
      </c>
      <c r="BD12" s="20" cm="1">
        <f t="array" ref="BD12">SUM(_xlfn._xlws.FILTER(일별!BP:BP, (일별!$A:$A &gt;= 월별!$A12) * (일별!$A:$A &lt; 월별!$A13), 0))</f>
        <v>0</v>
      </c>
      <c r="BE12" s="20" cm="1">
        <f t="array" ref="BE12">SUM(_xlfn._xlws.FILTER(일별!BQ:BQ, (일별!$A:$A &gt;= 월별!$A12) * (일별!$A:$A &lt; 월별!$A13), 0))</f>
        <v>0</v>
      </c>
      <c r="BF12" s="20" cm="1">
        <f t="array" ref="BF12">SUM(_xlfn._xlws.FILTER(일별!BR:BR, (일별!$A:$A &gt;= 월별!$A12) * (일별!$A:$A &lt; 월별!$A13), 0))</f>
        <v>0</v>
      </c>
      <c r="BG12" s="20" cm="1">
        <f t="array" ref="BG12">SUM(_xlfn._xlws.FILTER(일별!BS:BS, (일별!$A:$A &gt;= 월별!$A12) * (일별!$A:$A &lt; 월별!$A13), 0))</f>
        <v>0</v>
      </c>
      <c r="BH12" s="20" cm="1">
        <f t="array" ref="BH12">SUM(_xlfn._xlws.FILTER(일별!BT:BT, (일별!$A:$A &gt;= 월별!$A12) * (일별!$A:$A &lt; 월별!$A13), 0))</f>
        <v>0</v>
      </c>
      <c r="BI12" s="20" cm="1">
        <f t="array" ref="BI12">SUM(_xlfn._xlws.FILTER(일별!BU:BU, (일별!$A:$A &gt;= 월별!$A12) * (일별!$A:$A &lt; 월별!$A13), 0))</f>
        <v>0</v>
      </c>
      <c r="BJ12" s="20" cm="1">
        <f t="array" ref="BJ12">SUM(_xlfn._xlws.FILTER(일별!BV:BV, (일별!$A:$A &gt;= 월별!$A12) * (일별!$A:$A &lt; 월별!$A13), 0))</f>
        <v>0</v>
      </c>
      <c r="BK12" s="20" cm="1">
        <f t="array" ref="BK12">SUM(_xlfn._xlws.FILTER(일별!BW:BW, (일별!$A:$A &gt;= 월별!$A12) * (일별!$A:$A &lt; 월별!$A13), 0))</f>
        <v>0</v>
      </c>
      <c r="BL12" s="20" cm="1">
        <f t="array" ref="BL12">SUM(_xlfn._xlws.FILTER(일별!BX:BX, (일별!$A:$A &gt;= 월별!$A12) * (일별!$A:$A &lt; 월별!$A13), 0))</f>
        <v>0</v>
      </c>
      <c r="BM12" s="20" cm="1">
        <f t="array" ref="BM12">SUM(_xlfn._xlws.FILTER(일별!BY:BY, (일별!$A:$A &gt;= 월별!$A12) * (일별!$A:$A &lt; 월별!$A13), 0))</f>
        <v>0</v>
      </c>
      <c r="BN12" s="20" cm="1">
        <f t="array" ref="BN12">SUM(_xlfn._xlws.FILTER(일별!BZ:BZ, (일별!$A:$A &gt;= 월별!$A12) * (일별!$A:$A &lt; 월별!$A13), 0))</f>
        <v>0</v>
      </c>
      <c r="BO12" s="20" cm="1">
        <f t="array" ref="BO12">SUM(_xlfn._xlws.FILTER(일별!CA:CA, (일별!$A:$A &gt;= 월별!$A12) * (일별!$A:$A &lt; 월별!$A13), 0))</f>
        <v>0</v>
      </c>
      <c r="BP12" s="20" cm="1">
        <f t="array" ref="BP12">SUM(_xlfn._xlws.FILTER(일별!CB:CB, (일별!$A:$A &gt;= 월별!$A12) * (일별!$A:$A &lt; 월별!$A13), 0))</f>
        <v>0</v>
      </c>
      <c r="BQ12" s="19" cm="1">
        <f t="array" ref="BQ12">SUM(_xlfn._xlws.FILTER(일별!CC:CC, (일별!$A:$A &gt;= 월별!$A12) * (일별!$A:$A &lt; 월별!$A13), 0))</f>
        <v>0</v>
      </c>
      <c r="BR12" s="18" cm="1">
        <f t="array" ref="BR12">SUM(_xlfn._xlws.FILTER(일별!CD:CD, (일별!$A:$A &gt;= 월별!$A12) * (일별!$A:$A &lt; 월별!$A13), 0))</f>
        <v>0</v>
      </c>
      <c r="BS12" s="20" cm="1">
        <f t="array" ref="BS12">SUM(_xlfn._xlws.FILTER(일별!CE:CE, (일별!$A:$A &gt;= 월별!$A12) * (일별!$A:$A &lt; 월별!$A13), 0))</f>
        <v>0</v>
      </c>
      <c r="BT12" s="20" cm="1">
        <f t="array" ref="BT12">SUM(_xlfn._xlws.FILTER(일별!CF:CF, (일별!$A:$A &gt;= 월별!$A12) * (일별!$A:$A &lt; 월별!$A13), 0))</f>
        <v>0</v>
      </c>
      <c r="BU12" s="20" cm="1">
        <f t="array" ref="BU12">SUM(_xlfn._xlws.FILTER(일별!CG:CG, (일별!$A:$A &gt;= 월별!$A12) * (일별!$A:$A &lt; 월별!$A13), 0))</f>
        <v>0</v>
      </c>
      <c r="BV12" s="20" cm="1">
        <f t="array" ref="BV12">SUM(_xlfn._xlws.FILTER(일별!CH:CH, (일별!$A:$A &gt;= 월별!$A12) * (일별!$A:$A &lt; 월별!$A13), 0))</f>
        <v>0</v>
      </c>
      <c r="BW12" s="20" cm="1">
        <f t="array" ref="BW12">SUM(_xlfn._xlws.FILTER(일별!CI:CI, (일별!$A:$A &gt;= 월별!$A12) * (일별!$A:$A &lt; 월별!$A13), 0))</f>
        <v>0</v>
      </c>
      <c r="BX12" s="20" cm="1">
        <f t="array" ref="BX12">SUM(_xlfn._xlws.FILTER(일별!CJ:CJ, (일별!$A:$A &gt;= 월별!$A12) * (일별!$A:$A &lt; 월별!$A13), 0))</f>
        <v>0</v>
      </c>
      <c r="BY12" s="20" cm="1">
        <f t="array" ref="BY12">SUM(_xlfn._xlws.FILTER(일별!CK:CK, (일별!$A:$A &gt;= 월별!$A12) * (일별!$A:$A &lt; 월별!$A13), 0))</f>
        <v>0</v>
      </c>
      <c r="BZ12" s="20" cm="1">
        <f t="array" ref="BZ12">SUM(_xlfn._xlws.FILTER(일별!CL:CL, (일별!$A:$A &gt;= 월별!$A12) * (일별!$A:$A &lt; 월별!$A13), 0))</f>
        <v>0</v>
      </c>
      <c r="CA12" s="20" cm="1">
        <f t="array" ref="CA12">SUM(_xlfn._xlws.FILTER(일별!CM:CM, (일별!$A:$A &gt;= 월별!$A12) * (일별!$A:$A &lt; 월별!$A13), 0))</f>
        <v>0</v>
      </c>
      <c r="CB12" s="20" cm="1">
        <f t="array" ref="CB12">SUM(_xlfn._xlws.FILTER(일별!CN:CN, (일별!$A:$A &gt;= 월별!$A12) * (일별!$A:$A &lt; 월별!$A13), 0))</f>
        <v>0</v>
      </c>
      <c r="CC12" s="20" cm="1">
        <f t="array" ref="CC12">SUM(_xlfn._xlws.FILTER(일별!CO:CO, (일별!$A:$A &gt;= 월별!$A12) * (일별!$A:$A &lt; 월별!$A13), 0))</f>
        <v>0</v>
      </c>
      <c r="CD12" s="20" cm="1">
        <f t="array" ref="CD12">SUM(_xlfn._xlws.FILTER(일별!CP:CP, (일별!$A:$A &gt;= 월별!$A12) * (일별!$A:$A &lt; 월별!$A13), 0))</f>
        <v>0</v>
      </c>
      <c r="CE12" s="20" cm="1">
        <f t="array" ref="CE12">SUM(_xlfn._xlws.FILTER(일별!CQ:CQ, (일별!$A:$A &gt;= 월별!$A12) * (일별!$A:$A &lt; 월별!$A13), 0))</f>
        <v>0</v>
      </c>
      <c r="CF12" s="20" cm="1">
        <f t="array" ref="CF12">SUM(_xlfn._xlws.FILTER(일별!CR:CR, (일별!$A:$A &gt;= 월별!$A12) * (일별!$A:$A &lt; 월별!$A13), 0))</f>
        <v>0</v>
      </c>
      <c r="CG12" s="20" cm="1">
        <f t="array" ref="CG12">SUM(_xlfn._xlws.FILTER(일별!CS:CS, (일별!$A:$A &gt;= 월별!$A12) * (일별!$A:$A &lt; 월별!$A13), 0))</f>
        <v>0</v>
      </c>
      <c r="CH12" s="20" cm="1">
        <f t="array" ref="CH12">SUM(_xlfn._xlws.FILTER(일별!CT:CT, (일별!$A:$A &gt;= 월별!$A12) * (일별!$A:$A &lt; 월별!$A13), 0))</f>
        <v>0</v>
      </c>
      <c r="CI12" s="20" cm="1">
        <f t="array" ref="CI12">SUM(_xlfn._xlws.FILTER(일별!CU:CU, (일별!$A:$A &gt;= 월별!$A12) * (일별!$A:$A &lt; 월별!$A13), 0))</f>
        <v>0</v>
      </c>
      <c r="CJ12" s="20" cm="1">
        <f t="array" ref="CJ12">SUM(_xlfn._xlws.FILTER(일별!CV:CV, (일별!$A:$A &gt;= 월별!$A12) * (일별!$A:$A &lt; 월별!$A13), 0))</f>
        <v>0</v>
      </c>
      <c r="CK12" s="20" cm="1">
        <f t="array" ref="CK12">SUM(_xlfn._xlws.FILTER(일별!CW:CW, (일별!$A:$A &gt;= 월별!$A12) * (일별!$A:$A &lt; 월별!$A13), 0))</f>
        <v>0</v>
      </c>
      <c r="CL12" s="20" cm="1">
        <f t="array" ref="CL12">SUM(_xlfn._xlws.FILTER(일별!CX:CX, (일별!$A:$A &gt;= 월별!$A12) * (일별!$A:$A &lt; 월별!$A13), 0))</f>
        <v>0</v>
      </c>
      <c r="CM12" s="19" cm="1">
        <f t="array" ref="CM12">SUM(_xlfn._xlws.FILTER(일별!CY:CY, (일별!$A:$A &gt;= 월별!$A12) * (일별!$A:$A &lt; 월별!$A13), 0))</f>
        <v>0</v>
      </c>
      <c r="CN12" s="18" cm="1">
        <f t="array" ref="CN12">SUM(_xlfn._xlws.FILTER(일별!CZ:CZ, (일별!$A:$A &gt;= 월별!$A12) * (일별!$A:$A &lt; 월별!$A13), 0))</f>
        <v>0</v>
      </c>
      <c r="CO12" s="20" cm="1">
        <f t="array" ref="CO12">SUM(_xlfn._xlws.FILTER(일별!DA:DA, (일별!$A:$A &gt;= 월별!$A12) * (일별!$A:$A &lt; 월별!$A13), 0))</f>
        <v>0</v>
      </c>
      <c r="CP12" s="20" cm="1">
        <f t="array" ref="CP12">SUM(_xlfn._xlws.FILTER(일별!DB:DB, (일별!$A:$A &gt;= 월별!$A12) * (일별!$A:$A &lt; 월별!$A13), 0))</f>
        <v>0</v>
      </c>
      <c r="CQ12" s="20" cm="1">
        <f t="array" ref="CQ12">SUM(_xlfn._xlws.FILTER(일별!DC:DC, (일별!$A:$A &gt;= 월별!$A12) * (일별!$A:$A &lt; 월별!$A13), 0))</f>
        <v>0</v>
      </c>
      <c r="CR12" s="20" cm="1">
        <f t="array" ref="CR12">SUM(_xlfn._xlws.FILTER(일별!DD:DD, (일별!$A:$A &gt;= 월별!$A12) * (일별!$A:$A &lt; 월별!$A13), 0))</f>
        <v>0</v>
      </c>
      <c r="CS12" s="20" cm="1">
        <f t="array" ref="CS12">SUM(_xlfn._xlws.FILTER(일별!DE:DE, (일별!$A:$A &gt;= 월별!$A12) * (일별!$A:$A &lt; 월별!$A13), 0))</f>
        <v>0</v>
      </c>
      <c r="CT12" s="20" cm="1">
        <f t="array" ref="CT12">SUM(_xlfn._xlws.FILTER(일별!DF:DF, (일별!$A:$A &gt;= 월별!$A12) * (일별!$A:$A &lt; 월별!$A13), 0))</f>
        <v>0</v>
      </c>
      <c r="CU12" s="20" cm="1">
        <f t="array" ref="CU12">SUM(_xlfn._xlws.FILTER(일별!DG:DG, (일별!$A:$A &gt;= 월별!$A12) * (일별!$A:$A &lt; 월별!$A13), 0))</f>
        <v>0</v>
      </c>
      <c r="CV12" s="20" cm="1">
        <f t="array" ref="CV12">SUM(_xlfn._xlws.FILTER(일별!DH:DH, (일별!$A:$A &gt;= 월별!$A12) * (일별!$A:$A &lt; 월별!$A13), 0))</f>
        <v>0</v>
      </c>
      <c r="CW12" s="20" cm="1">
        <f t="array" ref="CW12">SUM(_xlfn._xlws.FILTER(일별!DI:DI, (일별!$A:$A &gt;= 월별!$A12) * (일별!$A:$A &lt; 월별!$A13), 0))</f>
        <v>0</v>
      </c>
      <c r="CX12" s="20" cm="1">
        <f t="array" ref="CX12">SUM(_xlfn._xlws.FILTER(일별!DJ:DJ, (일별!$A:$A &gt;= 월별!$A12) * (일별!$A:$A &lt; 월별!$A13), 0))</f>
        <v>0</v>
      </c>
      <c r="CY12" s="20" cm="1">
        <f t="array" ref="CY12">SUM(_xlfn._xlws.FILTER(일별!DK:DK, (일별!$A:$A &gt;= 월별!$A12) * (일별!$A:$A &lt; 월별!$A13), 0))</f>
        <v>0</v>
      </c>
      <c r="CZ12" s="20" cm="1">
        <f t="array" ref="CZ12">SUM(_xlfn._xlws.FILTER(일별!DL:DL, (일별!$A:$A &gt;= 월별!$A12) * (일별!$A:$A &lt; 월별!$A13), 0))</f>
        <v>0</v>
      </c>
      <c r="DA12" s="20" cm="1">
        <f t="array" ref="DA12">SUM(_xlfn._xlws.FILTER(일별!DM:DM, (일별!$A:$A &gt;= 월별!$A12) * (일별!$A:$A &lt; 월별!$A13), 0))</f>
        <v>0</v>
      </c>
      <c r="DB12" s="20" cm="1">
        <f t="array" ref="DB12">SUM(_xlfn._xlws.FILTER(일별!DN:DN, (일별!$A:$A &gt;= 월별!$A12) * (일별!$A:$A &lt; 월별!$A13), 0))</f>
        <v>0</v>
      </c>
      <c r="DC12" s="20" cm="1">
        <f t="array" ref="DC12">SUM(_xlfn._xlws.FILTER(일별!DO:DO, (일별!$A:$A &gt;= 월별!$A12) * (일별!$A:$A &lt; 월별!$A13), 0))</f>
        <v>0</v>
      </c>
      <c r="DD12" s="20" cm="1">
        <f t="array" ref="DD12">SUM(_xlfn._xlws.FILTER(일별!DP:DP, (일별!$A:$A &gt;= 월별!$A12) * (일별!$A:$A &lt; 월별!$A13), 0))</f>
        <v>0</v>
      </c>
      <c r="DE12" s="20" cm="1">
        <f t="array" ref="DE12">SUM(_xlfn._xlws.FILTER(일별!DQ:DQ, (일별!$A:$A &gt;= 월별!$A12) * (일별!$A:$A &lt; 월별!$A13), 0))</f>
        <v>0</v>
      </c>
      <c r="DF12" s="20" cm="1">
        <f t="array" ref="DF12">SUM(_xlfn._xlws.FILTER(일별!DR:DR, (일별!$A:$A &gt;= 월별!$A12) * (일별!$A:$A &lt; 월별!$A13), 0))</f>
        <v>0</v>
      </c>
      <c r="DG12" s="20" cm="1">
        <f t="array" ref="DG12">SUM(_xlfn._xlws.FILTER(일별!DS:DS, (일별!$A:$A &gt;= 월별!$A12) * (일별!$A:$A &lt; 월별!$A13), 0))</f>
        <v>0</v>
      </c>
      <c r="DH12" s="20" cm="1">
        <f t="array" ref="DH12">SUM(_xlfn._xlws.FILTER(일별!DT:DT, (일별!$A:$A &gt;= 월별!$A12) * (일별!$A:$A &lt; 월별!$A13), 0))</f>
        <v>0</v>
      </c>
      <c r="DI12" s="19" cm="1">
        <f t="array" ref="DI12">SUM(_xlfn._xlws.FILTER(일별!DU:DU, (일별!$A:$A &gt;= 월별!$A12) * (일별!$A:$A &lt; 월별!$A13), 0))</f>
        <v>0</v>
      </c>
    </row>
    <row r="13" spans="1:113">
      <c r="A13" s="25">
        <v>46266</v>
      </c>
      <c r="B13" s="15">
        <f>SUMIFS(일별!$C:$C,
       일별!$A:$A, "&gt;="&amp;월별!$A13,
       일별!$A:$A, "&lt;"&amp;월별!$A14)</f>
        <v>0</v>
      </c>
      <c r="C13" s="16">
        <f>B13/(월별!$A14 - 월별!$A13)</f>
        <v>0</v>
      </c>
      <c r="D13" s="15">
        <f>SUMIFS(일별!E:E,
       일별!$A:$A, "&gt;="&amp;월별!$A13,
       일별!$A:$A, "&lt;"&amp;월별!$A14)</f>
        <v>0</v>
      </c>
      <c r="E13" s="16">
        <f>D13/(월별!$A14 - 월별!$A13)</f>
        <v>0</v>
      </c>
      <c r="F13" s="12">
        <f>SUMIFS(일별!G:G,
       일별!$A:$A, "&gt;="&amp;월별!$A13,
       일별!$A:$A, "&lt;"&amp;월별!$A14)</f>
        <v>0</v>
      </c>
      <c r="G13" s="16">
        <f>F13/(월별!$A14 - 월별!$A13)</f>
        <v>0</v>
      </c>
      <c r="H13" s="15">
        <f t="shared" si="0"/>
        <v>0</v>
      </c>
      <c r="I13" s="16">
        <f t="shared" si="1"/>
        <v>0</v>
      </c>
      <c r="J13" s="12">
        <f>SUMIFS(일별!I:I,
       일별!$A:$A, "&gt;="&amp;월별!$A13,
       일별!$A:$A, "&lt;"&amp;월별!$A14)</f>
        <v>0</v>
      </c>
      <c r="K13" s="16">
        <f>J13/(월별!$A14 - 월별!$A13)</f>
        <v>0</v>
      </c>
      <c r="L13" s="12">
        <f>SUMIFS(일별!K:K,
       일별!$A:$A, "&gt;="&amp;월별!$A13,
       일별!$A:$A, "&lt;"&amp;월별!$A14)</f>
        <v>0</v>
      </c>
      <c r="M13" s="16">
        <f>L13/(월별!$A14 - 월별!$A13)</f>
        <v>0</v>
      </c>
      <c r="N13" s="12">
        <f>SUMIFS(일별!M:M,
       일별!$A:$A, "&gt;="&amp;월별!$A13,
       일별!$A:$A, "&lt;"&amp;월별!$A14)</f>
        <v>0</v>
      </c>
      <c r="O13" s="31">
        <f>N13/(월별!$A14 - 월별!$A13)</f>
        <v>0</v>
      </c>
      <c r="P13" s="12">
        <f>SUMIFS(일별!O:O,
       일별!$A:$A, "&gt;="&amp;월별!$A13,
       일별!$A:$A, "&lt;"&amp;월별!$A14)</f>
        <v>0</v>
      </c>
      <c r="Q13" s="16">
        <f>P13/(월별!$A14 - 월별!$A13)</f>
        <v>0</v>
      </c>
      <c r="R13" s="12">
        <f>SUMIFS(일별!Q:Q,
       일별!$A:$A, "&gt;="&amp;월별!$A13,
       일별!$A:$A, "&lt;"&amp;월별!$A14)</f>
        <v>0</v>
      </c>
      <c r="S13" s="16">
        <f>R13/(월별!$A14 - 월별!$A13)</f>
        <v>0</v>
      </c>
      <c r="T13" s="12">
        <f>SUMIFS(일별!S:S,
       일별!$A:$A, "&gt;="&amp;월별!$A13,
       일별!$A:$A, "&lt;"&amp;월별!$A14)</f>
        <v>0</v>
      </c>
      <c r="U13" s="16">
        <f>T13/(월별!$A14 - 월별!$A13)</f>
        <v>0</v>
      </c>
      <c r="V13" s="12">
        <f>SUMIFS(일별!U:U,
       일별!$A:$A, "&gt;="&amp;월별!$A13,
       일별!$A:$A, "&lt;"&amp;월별!$A14)</f>
        <v>0</v>
      </c>
      <c r="W13" s="16">
        <f>V13/(월별!$A14 - 월별!$A13)</f>
        <v>0</v>
      </c>
      <c r="X13" s="12">
        <f>SUMIFS(일별!W:W,
       일별!$A:$A, "&gt;="&amp;월별!$A13,
       일별!$A:$A, "&lt;"&amp;월별!$A14)</f>
        <v>0</v>
      </c>
      <c r="Y13" s="16">
        <f>X13/(월별!$A14 - 월별!$A13)</f>
        <v>0</v>
      </c>
      <c r="Z13" s="15">
        <f>SUMIFS(일별!X:X,
       일별!$A:$A, "&gt;="&amp;월별!$A13,
       일별!$A:$A, "&lt;"&amp;월별!$A14)</f>
        <v>0</v>
      </c>
      <c r="AA13" s="12">
        <f>SUMIFS(일별!Y:Y,
       일별!$A:$A, "&gt;="&amp;월별!$A13,
       일별!$A:$A, "&lt;"&amp;월별!$A14)</f>
        <v>0</v>
      </c>
      <c r="AB13" s="12">
        <f>SUMIFS(일별!Z:Z,
       일별!$A:$A, "&gt;="&amp;월별!$A13,
       일별!$A:$A, "&lt;"&amp;월별!$A14)</f>
        <v>0</v>
      </c>
      <c r="AC13" s="12">
        <f>SUMIFS(일별!AA:AA,
       일별!$A:$A, "&gt;="&amp;월별!$A13,
       일별!$A:$A, "&lt;"&amp;월별!$A14)</f>
        <v>0</v>
      </c>
      <c r="AD13" s="12">
        <f>SUMIFS(일별!AB:AB,
       일별!$A:$A, "&gt;="&amp;월별!$A13,
       일별!$A:$A, "&lt;"&amp;월별!$A14)</f>
        <v>0</v>
      </c>
      <c r="AE13" s="16">
        <f>SUMIFS(일별!AC:AC,
       일별!$A:$A, "&gt;="&amp;월별!$A13,
       일별!$A:$A, "&lt;"&amp;월별!$A14)</f>
        <v>0</v>
      </c>
      <c r="AF13" s="15">
        <f>SUMIFS(일별!AD:AD,
       일별!$A:$A, "&gt;="&amp;월별!$A13,
       일별!$A:$A, "&lt;"&amp;월별!$A14)</f>
        <v>0</v>
      </c>
      <c r="AG13" s="12">
        <f>SUMIFS(일별!AE:AE,
       일별!$A:$A, "&gt;="&amp;월별!$A13,
       일별!$A:$A, "&lt;"&amp;월별!$A14)</f>
        <v>0</v>
      </c>
      <c r="AH13" s="12">
        <f>SUMIFS(일별!AF:AF,
       일별!$A:$A, "&gt;="&amp;월별!$A13,
       일별!$A:$A, "&lt;"&amp;월별!$A14)</f>
        <v>0</v>
      </c>
      <c r="AI13" s="16">
        <f>SUMIFS(일별!AG:AG,
       일별!$A:$A, "&gt;="&amp;월별!$A13,
       일별!$A:$A, "&lt;"&amp;월별!$A14)</f>
        <v>0</v>
      </c>
      <c r="AJ13" s="15">
        <f>SUMIFS(일별!AX:AX,
       일별!$A:$A, "&gt;="&amp;월별!$A13,
       일별!$A:$A, "&lt;"&amp;월별!$A14)</f>
        <v>0</v>
      </c>
      <c r="AK13" s="12">
        <f>SUMIFS(일별!AY:AY,
       일별!$A:$A, "&gt;="&amp;월별!$A13,
       일별!$A:$A, "&lt;"&amp;월별!$A14)</f>
        <v>0</v>
      </c>
      <c r="AL13" s="12">
        <f>SUMIFS(일별!AZ:AZ,
       일별!$A:$A, "&gt;="&amp;월별!$A13,
       일별!$A:$A, "&lt;"&amp;월별!$A14)</f>
        <v>0</v>
      </c>
      <c r="AM13" s="12">
        <f>SUMIFS(일별!BA:BA,
       일별!$A:$A, "&gt;="&amp;월별!$A13,
       일별!$A:$A, "&lt;"&amp;월별!$A14)</f>
        <v>0</v>
      </c>
      <c r="AN13" s="12">
        <f>SUMIFS(일별!BB:BB,
       일별!$A:$A, "&gt;="&amp;월별!$A13,
       일별!$A:$A, "&lt;"&amp;월별!$A14)</f>
        <v>0</v>
      </c>
      <c r="AO13" s="16">
        <f>SUMIFS(일별!BC:BC,
       일별!$A:$A, "&gt;="&amp;월별!$A13,
       일별!$A:$A, "&lt;"&amp;월별!$A14)</f>
        <v>0</v>
      </c>
      <c r="AP13" s="18" cm="1">
        <f t="array" ref="AP13">SUM(_xlfn._xlws.FILTER(일별!BH:CC, (일별!$A:$A &gt;= 월별!$A13) * (일별!$A:$A &lt; 월별!$A14), 0))</f>
        <v>0</v>
      </c>
      <c r="AQ13" s="20">
        <f>AP13/(월별!$A14 - 월별!$A13)</f>
        <v>0</v>
      </c>
      <c r="AR13" s="20" cm="1">
        <f t="array" ref="AR13">SUM(_xlfn._xlws.FILTER(일별!CD:CY, (일별!$A:$A &gt;= 월별!$A13) * (일별!$A:$A &lt; 월별!$A14), 0))</f>
        <v>0</v>
      </c>
      <c r="AS13" s="20">
        <f>AR13/(월별!$A14 - 월별!$A13)</f>
        <v>0</v>
      </c>
      <c r="AT13" s="20" cm="1">
        <f t="array" ref="AT13">SUM(_xlfn._xlws.FILTER(일별!CZ:DU, (일별!$A:$A &gt;= 월별!$A13) * (일별!$A:$A &lt; 월별!$A14), 0))</f>
        <v>0</v>
      </c>
      <c r="AU13" s="20">
        <f>AT13/(월별!$A14 - 월별!$A13)</f>
        <v>0</v>
      </c>
      <c r="AV13" s="18" cm="1">
        <f t="array" ref="AV13">SUM(_xlfn._xlws.FILTER(일별!BH:BH, (일별!$A:$A &gt;= 월별!$A13) * (일별!$A:$A &lt; 월별!$A14), 0))</f>
        <v>0</v>
      </c>
      <c r="AW13" s="20" cm="1">
        <f t="array" ref="AW13">SUM(_xlfn._xlws.FILTER(일별!BI:BI, (일별!$A:$A &gt;= 월별!$A13) * (일별!$A:$A &lt; 월별!$A14), 0))</f>
        <v>0</v>
      </c>
      <c r="AX13" s="20" cm="1">
        <f t="array" ref="AX13">SUM(_xlfn._xlws.FILTER(일별!BJ:BJ, (일별!$A:$A &gt;= 월별!$A13) * (일별!$A:$A &lt; 월별!$A14), 0))</f>
        <v>0</v>
      </c>
      <c r="AY13" s="20" cm="1">
        <f t="array" ref="AY13">SUM(_xlfn._xlws.FILTER(일별!BK:BK, (일별!$A:$A &gt;= 월별!$A13) * (일별!$A:$A &lt; 월별!$A14), 0))</f>
        <v>0</v>
      </c>
      <c r="AZ13" s="20" cm="1">
        <f t="array" ref="AZ13">SUM(_xlfn._xlws.FILTER(일별!BL:BL, (일별!$A:$A &gt;= 월별!$A13) * (일별!$A:$A &lt; 월별!$A14), 0))</f>
        <v>0</v>
      </c>
      <c r="BA13" s="20" cm="1">
        <f t="array" ref="BA13">SUM(_xlfn._xlws.FILTER(일별!BM:BM, (일별!$A:$A &gt;= 월별!$A13) * (일별!$A:$A &lt; 월별!$A14), 0))</f>
        <v>0</v>
      </c>
      <c r="BB13" s="20" cm="1">
        <f t="array" ref="BB13">SUM(_xlfn._xlws.FILTER(일별!BN:BN, (일별!$A:$A &gt;= 월별!$A13) * (일별!$A:$A &lt; 월별!$A14), 0))</f>
        <v>0</v>
      </c>
      <c r="BC13" s="20" cm="1">
        <f t="array" ref="BC13">SUM(_xlfn._xlws.FILTER(일별!BO:BO, (일별!$A:$A &gt;= 월별!$A13) * (일별!$A:$A &lt; 월별!$A14), 0))</f>
        <v>0</v>
      </c>
      <c r="BD13" s="20" cm="1">
        <f t="array" ref="BD13">SUM(_xlfn._xlws.FILTER(일별!BP:BP, (일별!$A:$A &gt;= 월별!$A13) * (일별!$A:$A &lt; 월별!$A14), 0))</f>
        <v>0</v>
      </c>
      <c r="BE13" s="20" cm="1">
        <f t="array" ref="BE13">SUM(_xlfn._xlws.FILTER(일별!BQ:BQ, (일별!$A:$A &gt;= 월별!$A13) * (일별!$A:$A &lt; 월별!$A14), 0))</f>
        <v>0</v>
      </c>
      <c r="BF13" s="20" cm="1">
        <f t="array" ref="BF13">SUM(_xlfn._xlws.FILTER(일별!BR:BR, (일별!$A:$A &gt;= 월별!$A13) * (일별!$A:$A &lt; 월별!$A14), 0))</f>
        <v>0</v>
      </c>
      <c r="BG13" s="20" cm="1">
        <f t="array" ref="BG13">SUM(_xlfn._xlws.FILTER(일별!BS:BS, (일별!$A:$A &gt;= 월별!$A13) * (일별!$A:$A &lt; 월별!$A14), 0))</f>
        <v>0</v>
      </c>
      <c r="BH13" s="20" cm="1">
        <f t="array" ref="BH13">SUM(_xlfn._xlws.FILTER(일별!BT:BT, (일별!$A:$A &gt;= 월별!$A13) * (일별!$A:$A &lt; 월별!$A14), 0))</f>
        <v>0</v>
      </c>
      <c r="BI13" s="20" cm="1">
        <f t="array" ref="BI13">SUM(_xlfn._xlws.FILTER(일별!BU:BU, (일별!$A:$A &gt;= 월별!$A13) * (일별!$A:$A &lt; 월별!$A14), 0))</f>
        <v>0</v>
      </c>
      <c r="BJ13" s="20" cm="1">
        <f t="array" ref="BJ13">SUM(_xlfn._xlws.FILTER(일별!BV:BV, (일별!$A:$A &gt;= 월별!$A13) * (일별!$A:$A &lt; 월별!$A14), 0))</f>
        <v>0</v>
      </c>
      <c r="BK13" s="20" cm="1">
        <f t="array" ref="BK13">SUM(_xlfn._xlws.FILTER(일별!BW:BW, (일별!$A:$A &gt;= 월별!$A13) * (일별!$A:$A &lt; 월별!$A14), 0))</f>
        <v>0</v>
      </c>
      <c r="BL13" s="20" cm="1">
        <f t="array" ref="BL13">SUM(_xlfn._xlws.FILTER(일별!BX:BX, (일별!$A:$A &gt;= 월별!$A13) * (일별!$A:$A &lt; 월별!$A14), 0))</f>
        <v>0</v>
      </c>
      <c r="BM13" s="20" cm="1">
        <f t="array" ref="BM13">SUM(_xlfn._xlws.FILTER(일별!BY:BY, (일별!$A:$A &gt;= 월별!$A13) * (일별!$A:$A &lt; 월별!$A14), 0))</f>
        <v>0</v>
      </c>
      <c r="BN13" s="20" cm="1">
        <f t="array" ref="BN13">SUM(_xlfn._xlws.FILTER(일별!BZ:BZ, (일별!$A:$A &gt;= 월별!$A13) * (일별!$A:$A &lt; 월별!$A14), 0))</f>
        <v>0</v>
      </c>
      <c r="BO13" s="20" cm="1">
        <f t="array" ref="BO13">SUM(_xlfn._xlws.FILTER(일별!CA:CA, (일별!$A:$A &gt;= 월별!$A13) * (일별!$A:$A &lt; 월별!$A14), 0))</f>
        <v>0</v>
      </c>
      <c r="BP13" s="20" cm="1">
        <f t="array" ref="BP13">SUM(_xlfn._xlws.FILTER(일별!CB:CB, (일별!$A:$A &gt;= 월별!$A13) * (일별!$A:$A &lt; 월별!$A14), 0))</f>
        <v>0</v>
      </c>
      <c r="BQ13" s="19" cm="1">
        <f t="array" ref="BQ13">SUM(_xlfn._xlws.FILTER(일별!CC:CC, (일별!$A:$A &gt;= 월별!$A13) * (일별!$A:$A &lt; 월별!$A14), 0))</f>
        <v>0</v>
      </c>
      <c r="BR13" s="18" cm="1">
        <f t="array" ref="BR13">SUM(_xlfn._xlws.FILTER(일별!CD:CD, (일별!$A:$A &gt;= 월별!$A13) * (일별!$A:$A &lt; 월별!$A14), 0))</f>
        <v>0</v>
      </c>
      <c r="BS13" s="20" cm="1">
        <f t="array" ref="BS13">SUM(_xlfn._xlws.FILTER(일별!CE:CE, (일별!$A:$A &gt;= 월별!$A13) * (일별!$A:$A &lt; 월별!$A14), 0))</f>
        <v>0</v>
      </c>
      <c r="BT13" s="20" cm="1">
        <f t="array" ref="BT13">SUM(_xlfn._xlws.FILTER(일별!CF:CF, (일별!$A:$A &gt;= 월별!$A13) * (일별!$A:$A &lt; 월별!$A14), 0))</f>
        <v>0</v>
      </c>
      <c r="BU13" s="20" cm="1">
        <f t="array" ref="BU13">SUM(_xlfn._xlws.FILTER(일별!CG:CG, (일별!$A:$A &gt;= 월별!$A13) * (일별!$A:$A &lt; 월별!$A14), 0))</f>
        <v>0</v>
      </c>
      <c r="BV13" s="20" cm="1">
        <f t="array" ref="BV13">SUM(_xlfn._xlws.FILTER(일별!CH:CH, (일별!$A:$A &gt;= 월별!$A13) * (일별!$A:$A &lt; 월별!$A14), 0))</f>
        <v>0</v>
      </c>
      <c r="BW13" s="20" cm="1">
        <f t="array" ref="BW13">SUM(_xlfn._xlws.FILTER(일별!CI:CI, (일별!$A:$A &gt;= 월별!$A13) * (일별!$A:$A &lt; 월별!$A14), 0))</f>
        <v>0</v>
      </c>
      <c r="BX13" s="20" cm="1">
        <f t="array" ref="BX13">SUM(_xlfn._xlws.FILTER(일별!CJ:CJ, (일별!$A:$A &gt;= 월별!$A13) * (일별!$A:$A &lt; 월별!$A14), 0))</f>
        <v>0</v>
      </c>
      <c r="BY13" s="20" cm="1">
        <f t="array" ref="BY13">SUM(_xlfn._xlws.FILTER(일별!CK:CK, (일별!$A:$A &gt;= 월별!$A13) * (일별!$A:$A &lt; 월별!$A14), 0))</f>
        <v>0</v>
      </c>
      <c r="BZ13" s="20" cm="1">
        <f t="array" ref="BZ13">SUM(_xlfn._xlws.FILTER(일별!CL:CL, (일별!$A:$A &gt;= 월별!$A13) * (일별!$A:$A &lt; 월별!$A14), 0))</f>
        <v>0</v>
      </c>
      <c r="CA13" s="20" cm="1">
        <f t="array" ref="CA13">SUM(_xlfn._xlws.FILTER(일별!CM:CM, (일별!$A:$A &gt;= 월별!$A13) * (일별!$A:$A &lt; 월별!$A14), 0))</f>
        <v>0</v>
      </c>
      <c r="CB13" s="20" cm="1">
        <f t="array" ref="CB13">SUM(_xlfn._xlws.FILTER(일별!CN:CN, (일별!$A:$A &gt;= 월별!$A13) * (일별!$A:$A &lt; 월별!$A14), 0))</f>
        <v>0</v>
      </c>
      <c r="CC13" s="20" cm="1">
        <f t="array" ref="CC13">SUM(_xlfn._xlws.FILTER(일별!CO:CO, (일별!$A:$A &gt;= 월별!$A13) * (일별!$A:$A &lt; 월별!$A14), 0))</f>
        <v>0</v>
      </c>
      <c r="CD13" s="20" cm="1">
        <f t="array" ref="CD13">SUM(_xlfn._xlws.FILTER(일별!CP:CP, (일별!$A:$A &gt;= 월별!$A13) * (일별!$A:$A &lt; 월별!$A14), 0))</f>
        <v>0</v>
      </c>
      <c r="CE13" s="20" cm="1">
        <f t="array" ref="CE13">SUM(_xlfn._xlws.FILTER(일별!CQ:CQ, (일별!$A:$A &gt;= 월별!$A13) * (일별!$A:$A &lt; 월별!$A14), 0))</f>
        <v>0</v>
      </c>
      <c r="CF13" s="20" cm="1">
        <f t="array" ref="CF13">SUM(_xlfn._xlws.FILTER(일별!CR:CR, (일별!$A:$A &gt;= 월별!$A13) * (일별!$A:$A &lt; 월별!$A14), 0))</f>
        <v>0</v>
      </c>
      <c r="CG13" s="20" cm="1">
        <f t="array" ref="CG13">SUM(_xlfn._xlws.FILTER(일별!CS:CS, (일별!$A:$A &gt;= 월별!$A13) * (일별!$A:$A &lt; 월별!$A14), 0))</f>
        <v>0</v>
      </c>
      <c r="CH13" s="20" cm="1">
        <f t="array" ref="CH13">SUM(_xlfn._xlws.FILTER(일별!CT:CT, (일별!$A:$A &gt;= 월별!$A13) * (일별!$A:$A &lt; 월별!$A14), 0))</f>
        <v>0</v>
      </c>
      <c r="CI13" s="20" cm="1">
        <f t="array" ref="CI13">SUM(_xlfn._xlws.FILTER(일별!CU:CU, (일별!$A:$A &gt;= 월별!$A13) * (일별!$A:$A &lt; 월별!$A14), 0))</f>
        <v>0</v>
      </c>
      <c r="CJ13" s="20" cm="1">
        <f t="array" ref="CJ13">SUM(_xlfn._xlws.FILTER(일별!CV:CV, (일별!$A:$A &gt;= 월별!$A13) * (일별!$A:$A &lt; 월별!$A14), 0))</f>
        <v>0</v>
      </c>
      <c r="CK13" s="20" cm="1">
        <f t="array" ref="CK13">SUM(_xlfn._xlws.FILTER(일별!CW:CW, (일별!$A:$A &gt;= 월별!$A13) * (일별!$A:$A &lt; 월별!$A14), 0))</f>
        <v>0</v>
      </c>
      <c r="CL13" s="20" cm="1">
        <f t="array" ref="CL13">SUM(_xlfn._xlws.FILTER(일별!CX:CX, (일별!$A:$A &gt;= 월별!$A13) * (일별!$A:$A &lt; 월별!$A14), 0))</f>
        <v>0</v>
      </c>
      <c r="CM13" s="19" cm="1">
        <f t="array" ref="CM13">SUM(_xlfn._xlws.FILTER(일별!CY:CY, (일별!$A:$A &gt;= 월별!$A13) * (일별!$A:$A &lt; 월별!$A14), 0))</f>
        <v>0</v>
      </c>
      <c r="CN13" s="18" cm="1">
        <f t="array" ref="CN13">SUM(_xlfn._xlws.FILTER(일별!CZ:CZ, (일별!$A:$A &gt;= 월별!$A13) * (일별!$A:$A &lt; 월별!$A14), 0))</f>
        <v>0</v>
      </c>
      <c r="CO13" s="20" cm="1">
        <f t="array" ref="CO13">SUM(_xlfn._xlws.FILTER(일별!DA:DA, (일별!$A:$A &gt;= 월별!$A13) * (일별!$A:$A &lt; 월별!$A14), 0))</f>
        <v>0</v>
      </c>
      <c r="CP13" s="20" cm="1">
        <f t="array" ref="CP13">SUM(_xlfn._xlws.FILTER(일별!DB:DB, (일별!$A:$A &gt;= 월별!$A13) * (일별!$A:$A &lt; 월별!$A14), 0))</f>
        <v>0</v>
      </c>
      <c r="CQ13" s="20" cm="1">
        <f t="array" ref="CQ13">SUM(_xlfn._xlws.FILTER(일별!DC:DC, (일별!$A:$A &gt;= 월별!$A13) * (일별!$A:$A &lt; 월별!$A14), 0))</f>
        <v>0</v>
      </c>
      <c r="CR13" s="20" cm="1">
        <f t="array" ref="CR13">SUM(_xlfn._xlws.FILTER(일별!DD:DD, (일별!$A:$A &gt;= 월별!$A13) * (일별!$A:$A &lt; 월별!$A14), 0))</f>
        <v>0</v>
      </c>
      <c r="CS13" s="20" cm="1">
        <f t="array" ref="CS13">SUM(_xlfn._xlws.FILTER(일별!DE:DE, (일별!$A:$A &gt;= 월별!$A13) * (일별!$A:$A &lt; 월별!$A14), 0))</f>
        <v>0</v>
      </c>
      <c r="CT13" s="20" cm="1">
        <f t="array" ref="CT13">SUM(_xlfn._xlws.FILTER(일별!DF:DF, (일별!$A:$A &gt;= 월별!$A13) * (일별!$A:$A &lt; 월별!$A14), 0))</f>
        <v>0</v>
      </c>
      <c r="CU13" s="20" cm="1">
        <f t="array" ref="CU13">SUM(_xlfn._xlws.FILTER(일별!DG:DG, (일별!$A:$A &gt;= 월별!$A13) * (일별!$A:$A &lt; 월별!$A14), 0))</f>
        <v>0</v>
      </c>
      <c r="CV13" s="20" cm="1">
        <f t="array" ref="CV13">SUM(_xlfn._xlws.FILTER(일별!DH:DH, (일별!$A:$A &gt;= 월별!$A13) * (일별!$A:$A &lt; 월별!$A14), 0))</f>
        <v>0</v>
      </c>
      <c r="CW13" s="20" cm="1">
        <f t="array" ref="CW13">SUM(_xlfn._xlws.FILTER(일별!DI:DI, (일별!$A:$A &gt;= 월별!$A13) * (일별!$A:$A &lt; 월별!$A14), 0))</f>
        <v>0</v>
      </c>
      <c r="CX13" s="20" cm="1">
        <f t="array" ref="CX13">SUM(_xlfn._xlws.FILTER(일별!DJ:DJ, (일별!$A:$A &gt;= 월별!$A13) * (일별!$A:$A &lt; 월별!$A14), 0))</f>
        <v>0</v>
      </c>
      <c r="CY13" s="20" cm="1">
        <f t="array" ref="CY13">SUM(_xlfn._xlws.FILTER(일별!DK:DK, (일별!$A:$A &gt;= 월별!$A13) * (일별!$A:$A &lt; 월별!$A14), 0))</f>
        <v>0</v>
      </c>
      <c r="CZ13" s="20" cm="1">
        <f t="array" ref="CZ13">SUM(_xlfn._xlws.FILTER(일별!DL:DL, (일별!$A:$A &gt;= 월별!$A13) * (일별!$A:$A &lt; 월별!$A14), 0))</f>
        <v>0</v>
      </c>
      <c r="DA13" s="20" cm="1">
        <f t="array" ref="DA13">SUM(_xlfn._xlws.FILTER(일별!DM:DM, (일별!$A:$A &gt;= 월별!$A13) * (일별!$A:$A &lt; 월별!$A14), 0))</f>
        <v>0</v>
      </c>
      <c r="DB13" s="20" cm="1">
        <f t="array" ref="DB13">SUM(_xlfn._xlws.FILTER(일별!DN:DN, (일별!$A:$A &gt;= 월별!$A13) * (일별!$A:$A &lt; 월별!$A14), 0))</f>
        <v>0</v>
      </c>
      <c r="DC13" s="20" cm="1">
        <f t="array" ref="DC13">SUM(_xlfn._xlws.FILTER(일별!DO:DO, (일별!$A:$A &gt;= 월별!$A13) * (일별!$A:$A &lt; 월별!$A14), 0))</f>
        <v>0</v>
      </c>
      <c r="DD13" s="20" cm="1">
        <f t="array" ref="DD13">SUM(_xlfn._xlws.FILTER(일별!DP:DP, (일별!$A:$A &gt;= 월별!$A13) * (일별!$A:$A &lt; 월별!$A14), 0))</f>
        <v>0</v>
      </c>
      <c r="DE13" s="20" cm="1">
        <f t="array" ref="DE13">SUM(_xlfn._xlws.FILTER(일별!DQ:DQ, (일별!$A:$A &gt;= 월별!$A13) * (일별!$A:$A &lt; 월별!$A14), 0))</f>
        <v>0</v>
      </c>
      <c r="DF13" s="20" cm="1">
        <f t="array" ref="DF13">SUM(_xlfn._xlws.FILTER(일별!DR:DR, (일별!$A:$A &gt;= 월별!$A13) * (일별!$A:$A &lt; 월별!$A14), 0))</f>
        <v>0</v>
      </c>
      <c r="DG13" s="20" cm="1">
        <f t="array" ref="DG13">SUM(_xlfn._xlws.FILTER(일별!DS:DS, (일별!$A:$A &gt;= 월별!$A13) * (일별!$A:$A &lt; 월별!$A14), 0))</f>
        <v>0</v>
      </c>
      <c r="DH13" s="20" cm="1">
        <f t="array" ref="DH13">SUM(_xlfn._xlws.FILTER(일별!DT:DT, (일별!$A:$A &gt;= 월별!$A13) * (일별!$A:$A &lt; 월별!$A14), 0))</f>
        <v>0</v>
      </c>
      <c r="DI13" s="19" cm="1">
        <f t="array" ref="DI13">SUM(_xlfn._xlws.FILTER(일별!DU:DU, (일별!$A:$A &gt;= 월별!$A13) * (일별!$A:$A &lt; 월별!$A14), 0))</f>
        <v>0</v>
      </c>
    </row>
    <row r="14" spans="1:113">
      <c r="A14" s="25">
        <v>46296</v>
      </c>
      <c r="B14" s="15">
        <f>SUMIFS(일별!$C:$C,
       일별!$A:$A, "&gt;="&amp;월별!$A14,
       일별!$A:$A, "&lt;"&amp;월별!$A15)</f>
        <v>0</v>
      </c>
      <c r="C14" s="16">
        <f>B14/(월별!$A15 - 월별!$A14)</f>
        <v>0</v>
      </c>
      <c r="D14" s="15">
        <f>SUMIFS(일별!E:E,
       일별!$A:$A, "&gt;="&amp;월별!$A14,
       일별!$A:$A, "&lt;"&amp;월별!$A15)</f>
        <v>0</v>
      </c>
      <c r="E14" s="16">
        <f>D14/(월별!$A15 - 월별!$A14)</f>
        <v>0</v>
      </c>
      <c r="F14" s="12">
        <f>SUMIFS(일별!G:G,
       일별!$A:$A, "&gt;="&amp;월별!$A14,
       일별!$A:$A, "&lt;"&amp;월별!$A15)</f>
        <v>0</v>
      </c>
      <c r="G14" s="16">
        <f>F14/(월별!$A15 - 월별!$A14)</f>
        <v>0</v>
      </c>
      <c r="H14" s="15">
        <f t="shared" si="0"/>
        <v>0</v>
      </c>
      <c r="I14" s="16">
        <f t="shared" si="1"/>
        <v>0</v>
      </c>
      <c r="J14" s="12">
        <f>SUMIFS(일별!I:I,
       일별!$A:$A, "&gt;="&amp;월별!$A14,
       일별!$A:$A, "&lt;"&amp;월별!$A15)</f>
        <v>0</v>
      </c>
      <c r="K14" s="16">
        <f>J14/(월별!$A15 - 월별!$A14)</f>
        <v>0</v>
      </c>
      <c r="L14" s="12">
        <f>SUMIFS(일별!K:K,
       일별!$A:$A, "&gt;="&amp;월별!$A14,
       일별!$A:$A, "&lt;"&amp;월별!$A15)</f>
        <v>0</v>
      </c>
      <c r="M14" s="16">
        <f>L14/(월별!$A15 - 월별!$A14)</f>
        <v>0</v>
      </c>
      <c r="N14" s="12">
        <f>SUMIFS(일별!M:M,
       일별!$A:$A, "&gt;="&amp;월별!$A14,
       일별!$A:$A, "&lt;"&amp;월별!$A15)</f>
        <v>0</v>
      </c>
      <c r="O14" s="31">
        <f>N14/(월별!$A15 - 월별!$A14)</f>
        <v>0</v>
      </c>
      <c r="P14" s="12">
        <f>SUMIFS(일별!O:O,
       일별!$A:$A, "&gt;="&amp;월별!$A14,
       일별!$A:$A, "&lt;"&amp;월별!$A15)</f>
        <v>0</v>
      </c>
      <c r="Q14" s="16">
        <f>P14/(월별!$A15 - 월별!$A14)</f>
        <v>0</v>
      </c>
      <c r="R14" s="12">
        <f>SUMIFS(일별!Q:Q,
       일별!$A:$A, "&gt;="&amp;월별!$A14,
       일별!$A:$A, "&lt;"&amp;월별!$A15)</f>
        <v>0</v>
      </c>
      <c r="S14" s="16">
        <f>R14/(월별!$A15 - 월별!$A14)</f>
        <v>0</v>
      </c>
      <c r="T14" s="12">
        <f>SUMIFS(일별!S:S,
       일별!$A:$A, "&gt;="&amp;월별!$A14,
       일별!$A:$A, "&lt;"&amp;월별!$A15)</f>
        <v>0</v>
      </c>
      <c r="U14" s="16">
        <f>T14/(월별!$A15 - 월별!$A14)</f>
        <v>0</v>
      </c>
      <c r="V14" s="12">
        <f>SUMIFS(일별!U:U,
       일별!$A:$A, "&gt;="&amp;월별!$A14,
       일별!$A:$A, "&lt;"&amp;월별!$A15)</f>
        <v>0</v>
      </c>
      <c r="W14" s="16">
        <f>V14/(월별!$A15 - 월별!$A14)</f>
        <v>0</v>
      </c>
      <c r="X14" s="12">
        <f>SUMIFS(일별!W:W,
       일별!$A:$A, "&gt;="&amp;월별!$A14,
       일별!$A:$A, "&lt;"&amp;월별!$A15)</f>
        <v>0</v>
      </c>
      <c r="Y14" s="16">
        <f>X14/(월별!$A15 - 월별!$A14)</f>
        <v>0</v>
      </c>
      <c r="Z14" s="15">
        <f>SUMIFS(일별!X:X,
       일별!$A:$A, "&gt;="&amp;월별!$A14,
       일별!$A:$A, "&lt;"&amp;월별!$A15)</f>
        <v>0</v>
      </c>
      <c r="AA14" s="12">
        <f>SUMIFS(일별!Y:Y,
       일별!$A:$A, "&gt;="&amp;월별!$A14,
       일별!$A:$A, "&lt;"&amp;월별!$A15)</f>
        <v>0</v>
      </c>
      <c r="AB14" s="12">
        <f>SUMIFS(일별!Z:Z,
       일별!$A:$A, "&gt;="&amp;월별!$A14,
       일별!$A:$A, "&lt;"&amp;월별!$A15)</f>
        <v>0</v>
      </c>
      <c r="AC14" s="12">
        <f>SUMIFS(일별!AA:AA,
       일별!$A:$A, "&gt;="&amp;월별!$A14,
       일별!$A:$A, "&lt;"&amp;월별!$A15)</f>
        <v>0</v>
      </c>
      <c r="AD14" s="12">
        <f>SUMIFS(일별!AB:AB,
       일별!$A:$A, "&gt;="&amp;월별!$A14,
       일별!$A:$A, "&lt;"&amp;월별!$A15)</f>
        <v>0</v>
      </c>
      <c r="AE14" s="16">
        <f>SUMIFS(일별!AC:AC,
       일별!$A:$A, "&gt;="&amp;월별!$A14,
       일별!$A:$A, "&lt;"&amp;월별!$A15)</f>
        <v>0</v>
      </c>
      <c r="AF14" s="15">
        <f>SUMIFS(일별!AD:AD,
       일별!$A:$A, "&gt;="&amp;월별!$A14,
       일별!$A:$A, "&lt;"&amp;월별!$A15)</f>
        <v>0</v>
      </c>
      <c r="AG14" s="12">
        <f>SUMIFS(일별!AE:AE,
       일별!$A:$A, "&gt;="&amp;월별!$A14,
       일별!$A:$A, "&lt;"&amp;월별!$A15)</f>
        <v>0</v>
      </c>
      <c r="AH14" s="12">
        <f>SUMIFS(일별!AF:AF,
       일별!$A:$A, "&gt;="&amp;월별!$A14,
       일별!$A:$A, "&lt;"&amp;월별!$A15)</f>
        <v>0</v>
      </c>
      <c r="AI14" s="16">
        <f>SUMIFS(일별!AG:AG,
       일별!$A:$A, "&gt;="&amp;월별!$A14,
       일별!$A:$A, "&lt;"&amp;월별!$A15)</f>
        <v>0</v>
      </c>
      <c r="AJ14" s="15">
        <f>SUMIFS(일별!AX:AX,
       일별!$A:$A, "&gt;="&amp;월별!$A14,
       일별!$A:$A, "&lt;"&amp;월별!$A15)</f>
        <v>0</v>
      </c>
      <c r="AK14" s="12">
        <f>SUMIFS(일별!AY:AY,
       일별!$A:$A, "&gt;="&amp;월별!$A14,
       일별!$A:$A, "&lt;"&amp;월별!$A15)</f>
        <v>0</v>
      </c>
      <c r="AL14" s="12">
        <f>SUMIFS(일별!AZ:AZ,
       일별!$A:$A, "&gt;="&amp;월별!$A14,
       일별!$A:$A, "&lt;"&amp;월별!$A15)</f>
        <v>0</v>
      </c>
      <c r="AM14" s="12">
        <f>SUMIFS(일별!BA:BA,
       일별!$A:$A, "&gt;="&amp;월별!$A14,
       일별!$A:$A, "&lt;"&amp;월별!$A15)</f>
        <v>0</v>
      </c>
      <c r="AN14" s="12">
        <f>SUMIFS(일별!BB:BB,
       일별!$A:$A, "&gt;="&amp;월별!$A14,
       일별!$A:$A, "&lt;"&amp;월별!$A15)</f>
        <v>0</v>
      </c>
      <c r="AO14" s="16">
        <f>SUMIFS(일별!BC:BC,
       일별!$A:$A, "&gt;="&amp;월별!$A14,
       일별!$A:$A, "&lt;"&amp;월별!$A15)</f>
        <v>0</v>
      </c>
      <c r="AP14" s="18" cm="1">
        <f t="array" ref="AP14">SUM(_xlfn._xlws.FILTER(일별!BH:CC, (일별!$A:$A &gt;= 월별!$A14) * (일별!$A:$A &lt; 월별!$A15), 0))</f>
        <v>0</v>
      </c>
      <c r="AQ14" s="20">
        <f>AP14/(월별!$A15 - 월별!$A14)</f>
        <v>0</v>
      </c>
      <c r="AR14" s="20" cm="1">
        <f t="array" ref="AR14">SUM(_xlfn._xlws.FILTER(일별!CD:CY, (일별!$A:$A &gt;= 월별!$A14) * (일별!$A:$A &lt; 월별!$A15), 0))</f>
        <v>0</v>
      </c>
      <c r="AS14" s="20">
        <f>AR14/(월별!$A15 - 월별!$A14)</f>
        <v>0</v>
      </c>
      <c r="AT14" s="20" cm="1">
        <f t="array" ref="AT14">SUM(_xlfn._xlws.FILTER(일별!CZ:DU, (일별!$A:$A &gt;= 월별!$A14) * (일별!$A:$A &lt; 월별!$A15), 0))</f>
        <v>0</v>
      </c>
      <c r="AU14" s="20">
        <f>AT14/(월별!$A15 - 월별!$A14)</f>
        <v>0</v>
      </c>
      <c r="AV14" s="18" cm="1">
        <f t="array" ref="AV14">SUM(_xlfn._xlws.FILTER(일별!BH:BH, (일별!$A:$A &gt;= 월별!$A14) * (일별!$A:$A &lt; 월별!$A15), 0))</f>
        <v>0</v>
      </c>
      <c r="AW14" s="20" cm="1">
        <f t="array" ref="AW14">SUM(_xlfn._xlws.FILTER(일별!BI:BI, (일별!$A:$A &gt;= 월별!$A14) * (일별!$A:$A &lt; 월별!$A15), 0))</f>
        <v>0</v>
      </c>
      <c r="AX14" s="20" cm="1">
        <f t="array" ref="AX14">SUM(_xlfn._xlws.FILTER(일별!BJ:BJ, (일별!$A:$A &gt;= 월별!$A14) * (일별!$A:$A &lt; 월별!$A15), 0))</f>
        <v>0</v>
      </c>
      <c r="AY14" s="20" cm="1">
        <f t="array" ref="AY14">SUM(_xlfn._xlws.FILTER(일별!BK:BK, (일별!$A:$A &gt;= 월별!$A14) * (일별!$A:$A &lt; 월별!$A15), 0))</f>
        <v>0</v>
      </c>
      <c r="AZ14" s="20" cm="1">
        <f t="array" ref="AZ14">SUM(_xlfn._xlws.FILTER(일별!BL:BL, (일별!$A:$A &gt;= 월별!$A14) * (일별!$A:$A &lt; 월별!$A15), 0))</f>
        <v>0</v>
      </c>
      <c r="BA14" s="20" cm="1">
        <f t="array" ref="BA14">SUM(_xlfn._xlws.FILTER(일별!BM:BM, (일별!$A:$A &gt;= 월별!$A14) * (일별!$A:$A &lt; 월별!$A15), 0))</f>
        <v>0</v>
      </c>
      <c r="BB14" s="20" cm="1">
        <f t="array" ref="BB14">SUM(_xlfn._xlws.FILTER(일별!BN:BN, (일별!$A:$A &gt;= 월별!$A14) * (일별!$A:$A &lt; 월별!$A15), 0))</f>
        <v>0</v>
      </c>
      <c r="BC14" s="20" cm="1">
        <f t="array" ref="BC14">SUM(_xlfn._xlws.FILTER(일별!BO:BO, (일별!$A:$A &gt;= 월별!$A14) * (일별!$A:$A &lt; 월별!$A15), 0))</f>
        <v>0</v>
      </c>
      <c r="BD14" s="20" cm="1">
        <f t="array" ref="BD14">SUM(_xlfn._xlws.FILTER(일별!BP:BP, (일별!$A:$A &gt;= 월별!$A14) * (일별!$A:$A &lt; 월별!$A15), 0))</f>
        <v>0</v>
      </c>
      <c r="BE14" s="20" cm="1">
        <f t="array" ref="BE14">SUM(_xlfn._xlws.FILTER(일별!BQ:BQ, (일별!$A:$A &gt;= 월별!$A14) * (일별!$A:$A &lt; 월별!$A15), 0))</f>
        <v>0</v>
      </c>
      <c r="BF14" s="20" cm="1">
        <f t="array" ref="BF14">SUM(_xlfn._xlws.FILTER(일별!BR:BR, (일별!$A:$A &gt;= 월별!$A14) * (일별!$A:$A &lt; 월별!$A15), 0))</f>
        <v>0</v>
      </c>
      <c r="BG14" s="20" cm="1">
        <f t="array" ref="BG14">SUM(_xlfn._xlws.FILTER(일별!BS:BS, (일별!$A:$A &gt;= 월별!$A14) * (일별!$A:$A &lt; 월별!$A15), 0))</f>
        <v>0</v>
      </c>
      <c r="BH14" s="20" cm="1">
        <f t="array" ref="BH14">SUM(_xlfn._xlws.FILTER(일별!BT:BT, (일별!$A:$A &gt;= 월별!$A14) * (일별!$A:$A &lt; 월별!$A15), 0))</f>
        <v>0</v>
      </c>
      <c r="BI14" s="20" cm="1">
        <f t="array" ref="BI14">SUM(_xlfn._xlws.FILTER(일별!BU:BU, (일별!$A:$A &gt;= 월별!$A14) * (일별!$A:$A &lt; 월별!$A15), 0))</f>
        <v>0</v>
      </c>
      <c r="BJ14" s="20" cm="1">
        <f t="array" ref="BJ14">SUM(_xlfn._xlws.FILTER(일별!BV:BV, (일별!$A:$A &gt;= 월별!$A14) * (일별!$A:$A &lt; 월별!$A15), 0))</f>
        <v>0</v>
      </c>
      <c r="BK14" s="20" cm="1">
        <f t="array" ref="BK14">SUM(_xlfn._xlws.FILTER(일별!BW:BW, (일별!$A:$A &gt;= 월별!$A14) * (일별!$A:$A &lt; 월별!$A15), 0))</f>
        <v>0</v>
      </c>
      <c r="BL14" s="20" cm="1">
        <f t="array" ref="BL14">SUM(_xlfn._xlws.FILTER(일별!BX:BX, (일별!$A:$A &gt;= 월별!$A14) * (일별!$A:$A &lt; 월별!$A15), 0))</f>
        <v>0</v>
      </c>
      <c r="BM14" s="20" cm="1">
        <f t="array" ref="BM14">SUM(_xlfn._xlws.FILTER(일별!BY:BY, (일별!$A:$A &gt;= 월별!$A14) * (일별!$A:$A &lt; 월별!$A15), 0))</f>
        <v>0</v>
      </c>
      <c r="BN14" s="20" cm="1">
        <f t="array" ref="BN14">SUM(_xlfn._xlws.FILTER(일별!BZ:BZ, (일별!$A:$A &gt;= 월별!$A14) * (일별!$A:$A &lt; 월별!$A15), 0))</f>
        <v>0</v>
      </c>
      <c r="BO14" s="20" cm="1">
        <f t="array" ref="BO14">SUM(_xlfn._xlws.FILTER(일별!CA:CA, (일별!$A:$A &gt;= 월별!$A14) * (일별!$A:$A &lt; 월별!$A15), 0))</f>
        <v>0</v>
      </c>
      <c r="BP14" s="20" cm="1">
        <f t="array" ref="BP14">SUM(_xlfn._xlws.FILTER(일별!CB:CB, (일별!$A:$A &gt;= 월별!$A14) * (일별!$A:$A &lt; 월별!$A15), 0))</f>
        <v>0</v>
      </c>
      <c r="BQ14" s="19" cm="1">
        <f t="array" ref="BQ14">SUM(_xlfn._xlws.FILTER(일별!CC:CC, (일별!$A:$A &gt;= 월별!$A14) * (일별!$A:$A &lt; 월별!$A15), 0))</f>
        <v>0</v>
      </c>
      <c r="BR14" s="18" cm="1">
        <f t="array" ref="BR14">SUM(_xlfn._xlws.FILTER(일별!CD:CD, (일별!$A:$A &gt;= 월별!$A14) * (일별!$A:$A &lt; 월별!$A15), 0))</f>
        <v>0</v>
      </c>
      <c r="BS14" s="20" cm="1">
        <f t="array" ref="BS14">SUM(_xlfn._xlws.FILTER(일별!CE:CE, (일별!$A:$A &gt;= 월별!$A14) * (일별!$A:$A &lt; 월별!$A15), 0))</f>
        <v>0</v>
      </c>
      <c r="BT14" s="20" cm="1">
        <f t="array" ref="BT14">SUM(_xlfn._xlws.FILTER(일별!CF:CF, (일별!$A:$A &gt;= 월별!$A14) * (일별!$A:$A &lt; 월별!$A15), 0))</f>
        <v>0</v>
      </c>
      <c r="BU14" s="20" cm="1">
        <f t="array" ref="BU14">SUM(_xlfn._xlws.FILTER(일별!CG:CG, (일별!$A:$A &gt;= 월별!$A14) * (일별!$A:$A &lt; 월별!$A15), 0))</f>
        <v>0</v>
      </c>
      <c r="BV14" s="20" cm="1">
        <f t="array" ref="BV14">SUM(_xlfn._xlws.FILTER(일별!CH:CH, (일별!$A:$A &gt;= 월별!$A14) * (일별!$A:$A &lt; 월별!$A15), 0))</f>
        <v>0</v>
      </c>
      <c r="BW14" s="20" cm="1">
        <f t="array" ref="BW14">SUM(_xlfn._xlws.FILTER(일별!CI:CI, (일별!$A:$A &gt;= 월별!$A14) * (일별!$A:$A &lt; 월별!$A15), 0))</f>
        <v>0</v>
      </c>
      <c r="BX14" s="20" cm="1">
        <f t="array" ref="BX14">SUM(_xlfn._xlws.FILTER(일별!CJ:CJ, (일별!$A:$A &gt;= 월별!$A14) * (일별!$A:$A &lt; 월별!$A15), 0))</f>
        <v>0</v>
      </c>
      <c r="BY14" s="20" cm="1">
        <f t="array" ref="BY14">SUM(_xlfn._xlws.FILTER(일별!CK:CK, (일별!$A:$A &gt;= 월별!$A14) * (일별!$A:$A &lt; 월별!$A15), 0))</f>
        <v>0</v>
      </c>
      <c r="BZ14" s="20" cm="1">
        <f t="array" ref="BZ14">SUM(_xlfn._xlws.FILTER(일별!CL:CL, (일별!$A:$A &gt;= 월별!$A14) * (일별!$A:$A &lt; 월별!$A15), 0))</f>
        <v>0</v>
      </c>
      <c r="CA14" s="20" cm="1">
        <f t="array" ref="CA14">SUM(_xlfn._xlws.FILTER(일별!CM:CM, (일별!$A:$A &gt;= 월별!$A14) * (일별!$A:$A &lt; 월별!$A15), 0))</f>
        <v>0</v>
      </c>
      <c r="CB14" s="20" cm="1">
        <f t="array" ref="CB14">SUM(_xlfn._xlws.FILTER(일별!CN:CN, (일별!$A:$A &gt;= 월별!$A14) * (일별!$A:$A &lt; 월별!$A15), 0))</f>
        <v>0</v>
      </c>
      <c r="CC14" s="20" cm="1">
        <f t="array" ref="CC14">SUM(_xlfn._xlws.FILTER(일별!CO:CO, (일별!$A:$A &gt;= 월별!$A14) * (일별!$A:$A &lt; 월별!$A15), 0))</f>
        <v>0</v>
      </c>
      <c r="CD14" s="20" cm="1">
        <f t="array" ref="CD14">SUM(_xlfn._xlws.FILTER(일별!CP:CP, (일별!$A:$A &gt;= 월별!$A14) * (일별!$A:$A &lt; 월별!$A15), 0))</f>
        <v>0</v>
      </c>
      <c r="CE14" s="20" cm="1">
        <f t="array" ref="CE14">SUM(_xlfn._xlws.FILTER(일별!CQ:CQ, (일별!$A:$A &gt;= 월별!$A14) * (일별!$A:$A &lt; 월별!$A15), 0))</f>
        <v>0</v>
      </c>
      <c r="CF14" s="20" cm="1">
        <f t="array" ref="CF14">SUM(_xlfn._xlws.FILTER(일별!CR:CR, (일별!$A:$A &gt;= 월별!$A14) * (일별!$A:$A &lt; 월별!$A15), 0))</f>
        <v>0</v>
      </c>
      <c r="CG14" s="20" cm="1">
        <f t="array" ref="CG14">SUM(_xlfn._xlws.FILTER(일별!CS:CS, (일별!$A:$A &gt;= 월별!$A14) * (일별!$A:$A &lt; 월별!$A15), 0))</f>
        <v>0</v>
      </c>
      <c r="CH14" s="20" cm="1">
        <f t="array" ref="CH14">SUM(_xlfn._xlws.FILTER(일별!CT:CT, (일별!$A:$A &gt;= 월별!$A14) * (일별!$A:$A &lt; 월별!$A15), 0))</f>
        <v>0</v>
      </c>
      <c r="CI14" s="20" cm="1">
        <f t="array" ref="CI14">SUM(_xlfn._xlws.FILTER(일별!CU:CU, (일별!$A:$A &gt;= 월별!$A14) * (일별!$A:$A &lt; 월별!$A15), 0))</f>
        <v>0</v>
      </c>
      <c r="CJ14" s="20" cm="1">
        <f t="array" ref="CJ14">SUM(_xlfn._xlws.FILTER(일별!CV:CV, (일별!$A:$A &gt;= 월별!$A14) * (일별!$A:$A &lt; 월별!$A15), 0))</f>
        <v>0</v>
      </c>
      <c r="CK14" s="20" cm="1">
        <f t="array" ref="CK14">SUM(_xlfn._xlws.FILTER(일별!CW:CW, (일별!$A:$A &gt;= 월별!$A14) * (일별!$A:$A &lt; 월별!$A15), 0))</f>
        <v>0</v>
      </c>
      <c r="CL14" s="20" cm="1">
        <f t="array" ref="CL14">SUM(_xlfn._xlws.FILTER(일별!CX:CX, (일별!$A:$A &gt;= 월별!$A14) * (일별!$A:$A &lt; 월별!$A15), 0))</f>
        <v>0</v>
      </c>
      <c r="CM14" s="19" cm="1">
        <f t="array" ref="CM14">SUM(_xlfn._xlws.FILTER(일별!CY:CY, (일별!$A:$A &gt;= 월별!$A14) * (일별!$A:$A &lt; 월별!$A15), 0))</f>
        <v>0</v>
      </c>
      <c r="CN14" s="18" cm="1">
        <f t="array" ref="CN14">SUM(_xlfn._xlws.FILTER(일별!CZ:CZ, (일별!$A:$A &gt;= 월별!$A14) * (일별!$A:$A &lt; 월별!$A15), 0))</f>
        <v>0</v>
      </c>
      <c r="CO14" s="20" cm="1">
        <f t="array" ref="CO14">SUM(_xlfn._xlws.FILTER(일별!DA:DA, (일별!$A:$A &gt;= 월별!$A14) * (일별!$A:$A &lt; 월별!$A15), 0))</f>
        <v>0</v>
      </c>
      <c r="CP14" s="20" cm="1">
        <f t="array" ref="CP14">SUM(_xlfn._xlws.FILTER(일별!DB:DB, (일별!$A:$A &gt;= 월별!$A14) * (일별!$A:$A &lt; 월별!$A15), 0))</f>
        <v>0</v>
      </c>
      <c r="CQ14" s="20" cm="1">
        <f t="array" ref="CQ14">SUM(_xlfn._xlws.FILTER(일별!DC:DC, (일별!$A:$A &gt;= 월별!$A14) * (일별!$A:$A &lt; 월별!$A15), 0))</f>
        <v>0</v>
      </c>
      <c r="CR14" s="20" cm="1">
        <f t="array" ref="CR14">SUM(_xlfn._xlws.FILTER(일별!DD:DD, (일별!$A:$A &gt;= 월별!$A14) * (일별!$A:$A &lt; 월별!$A15), 0))</f>
        <v>0</v>
      </c>
      <c r="CS14" s="20" cm="1">
        <f t="array" ref="CS14">SUM(_xlfn._xlws.FILTER(일별!DE:DE, (일별!$A:$A &gt;= 월별!$A14) * (일별!$A:$A &lt; 월별!$A15), 0))</f>
        <v>0</v>
      </c>
      <c r="CT14" s="20" cm="1">
        <f t="array" ref="CT14">SUM(_xlfn._xlws.FILTER(일별!DF:DF, (일별!$A:$A &gt;= 월별!$A14) * (일별!$A:$A &lt; 월별!$A15), 0))</f>
        <v>0</v>
      </c>
      <c r="CU14" s="20" cm="1">
        <f t="array" ref="CU14">SUM(_xlfn._xlws.FILTER(일별!DG:DG, (일별!$A:$A &gt;= 월별!$A14) * (일별!$A:$A &lt; 월별!$A15), 0))</f>
        <v>0</v>
      </c>
      <c r="CV14" s="20" cm="1">
        <f t="array" ref="CV14">SUM(_xlfn._xlws.FILTER(일별!DH:DH, (일별!$A:$A &gt;= 월별!$A14) * (일별!$A:$A &lt; 월별!$A15), 0))</f>
        <v>0</v>
      </c>
      <c r="CW14" s="20" cm="1">
        <f t="array" ref="CW14">SUM(_xlfn._xlws.FILTER(일별!DI:DI, (일별!$A:$A &gt;= 월별!$A14) * (일별!$A:$A &lt; 월별!$A15), 0))</f>
        <v>0</v>
      </c>
      <c r="CX14" s="20" cm="1">
        <f t="array" ref="CX14">SUM(_xlfn._xlws.FILTER(일별!DJ:DJ, (일별!$A:$A &gt;= 월별!$A14) * (일별!$A:$A &lt; 월별!$A15), 0))</f>
        <v>0</v>
      </c>
      <c r="CY14" s="20" cm="1">
        <f t="array" ref="CY14">SUM(_xlfn._xlws.FILTER(일별!DK:DK, (일별!$A:$A &gt;= 월별!$A14) * (일별!$A:$A &lt; 월별!$A15), 0))</f>
        <v>0</v>
      </c>
      <c r="CZ14" s="20" cm="1">
        <f t="array" ref="CZ14">SUM(_xlfn._xlws.FILTER(일별!DL:DL, (일별!$A:$A &gt;= 월별!$A14) * (일별!$A:$A &lt; 월별!$A15), 0))</f>
        <v>0</v>
      </c>
      <c r="DA14" s="20" cm="1">
        <f t="array" ref="DA14">SUM(_xlfn._xlws.FILTER(일별!DM:DM, (일별!$A:$A &gt;= 월별!$A14) * (일별!$A:$A &lt; 월별!$A15), 0))</f>
        <v>0</v>
      </c>
      <c r="DB14" s="20" cm="1">
        <f t="array" ref="DB14">SUM(_xlfn._xlws.FILTER(일별!DN:DN, (일별!$A:$A &gt;= 월별!$A14) * (일별!$A:$A &lt; 월별!$A15), 0))</f>
        <v>0</v>
      </c>
      <c r="DC14" s="20" cm="1">
        <f t="array" ref="DC14">SUM(_xlfn._xlws.FILTER(일별!DO:DO, (일별!$A:$A &gt;= 월별!$A14) * (일별!$A:$A &lt; 월별!$A15), 0))</f>
        <v>0</v>
      </c>
      <c r="DD14" s="20" cm="1">
        <f t="array" ref="DD14">SUM(_xlfn._xlws.FILTER(일별!DP:DP, (일별!$A:$A &gt;= 월별!$A14) * (일별!$A:$A &lt; 월별!$A15), 0))</f>
        <v>0</v>
      </c>
      <c r="DE14" s="20" cm="1">
        <f t="array" ref="DE14">SUM(_xlfn._xlws.FILTER(일별!DQ:DQ, (일별!$A:$A &gt;= 월별!$A14) * (일별!$A:$A &lt; 월별!$A15), 0))</f>
        <v>0</v>
      </c>
      <c r="DF14" s="20" cm="1">
        <f t="array" ref="DF14">SUM(_xlfn._xlws.FILTER(일별!DR:DR, (일별!$A:$A &gt;= 월별!$A14) * (일별!$A:$A &lt; 월별!$A15), 0))</f>
        <v>0</v>
      </c>
      <c r="DG14" s="20" cm="1">
        <f t="array" ref="DG14">SUM(_xlfn._xlws.FILTER(일별!DS:DS, (일별!$A:$A &gt;= 월별!$A14) * (일별!$A:$A &lt; 월별!$A15), 0))</f>
        <v>0</v>
      </c>
      <c r="DH14" s="20" cm="1">
        <f t="array" ref="DH14">SUM(_xlfn._xlws.FILTER(일별!DT:DT, (일별!$A:$A &gt;= 월별!$A14) * (일별!$A:$A &lt; 월별!$A15), 0))</f>
        <v>0</v>
      </c>
      <c r="DI14" s="19" cm="1">
        <f t="array" ref="DI14">SUM(_xlfn._xlws.FILTER(일별!DU:DU, (일별!$A:$A &gt;= 월별!$A14) * (일별!$A:$A &lt; 월별!$A15), 0))</f>
        <v>0</v>
      </c>
    </row>
    <row r="15" spans="1:113">
      <c r="A15" s="25">
        <v>46327</v>
      </c>
      <c r="B15" s="15">
        <f>SUMIFS(일별!$C:$C,
       일별!$A:$A, "&gt;="&amp;월별!$A15,
       일별!$A:$A, "&lt;"&amp;월별!$A16)</f>
        <v>0</v>
      </c>
      <c r="C15" s="16">
        <f>B15/(월별!$A16 - 월별!$A15)</f>
        <v>0</v>
      </c>
      <c r="D15" s="15">
        <f>SUMIFS(일별!E:E,
       일별!$A:$A, "&gt;="&amp;월별!$A15,
       일별!$A:$A, "&lt;"&amp;월별!$A16)</f>
        <v>0</v>
      </c>
      <c r="E15" s="16">
        <f>D15/(월별!$A16 - 월별!$A15)</f>
        <v>0</v>
      </c>
      <c r="F15" s="12">
        <f>SUMIFS(일별!G:G,
       일별!$A:$A, "&gt;="&amp;월별!$A15,
       일별!$A:$A, "&lt;"&amp;월별!$A16)</f>
        <v>0</v>
      </c>
      <c r="G15" s="16">
        <f>F15/(월별!$A16 - 월별!$A15)</f>
        <v>0</v>
      </c>
      <c r="H15" s="15">
        <f t="shared" si="0"/>
        <v>0</v>
      </c>
      <c r="I15" s="16">
        <f t="shared" si="1"/>
        <v>0</v>
      </c>
      <c r="J15" s="12">
        <f>SUMIFS(일별!I:I,
       일별!$A:$A, "&gt;="&amp;월별!$A15,
       일별!$A:$A, "&lt;"&amp;월별!$A16)</f>
        <v>0</v>
      </c>
      <c r="K15" s="16">
        <f>J15/(월별!$A16 - 월별!$A15)</f>
        <v>0</v>
      </c>
      <c r="L15" s="12">
        <f>SUMIFS(일별!K:K,
       일별!$A:$A, "&gt;="&amp;월별!$A15,
       일별!$A:$A, "&lt;"&amp;월별!$A16)</f>
        <v>0</v>
      </c>
      <c r="M15" s="16">
        <f>L15/(월별!$A16 - 월별!$A15)</f>
        <v>0</v>
      </c>
      <c r="N15" s="12">
        <f>SUMIFS(일별!M:M,
       일별!$A:$A, "&gt;="&amp;월별!$A15,
       일별!$A:$A, "&lt;"&amp;월별!$A16)</f>
        <v>0</v>
      </c>
      <c r="O15" s="31">
        <f>N15/(월별!$A16 - 월별!$A15)</f>
        <v>0</v>
      </c>
      <c r="P15" s="12">
        <f>SUMIFS(일별!O:O,
       일별!$A:$A, "&gt;="&amp;월별!$A15,
       일별!$A:$A, "&lt;"&amp;월별!$A16)</f>
        <v>0</v>
      </c>
      <c r="Q15" s="16">
        <f>P15/(월별!$A16 - 월별!$A15)</f>
        <v>0</v>
      </c>
      <c r="R15" s="12">
        <f>SUMIFS(일별!Q:Q,
       일별!$A:$A, "&gt;="&amp;월별!$A15,
       일별!$A:$A, "&lt;"&amp;월별!$A16)</f>
        <v>0</v>
      </c>
      <c r="S15" s="16">
        <f>R15/(월별!$A16 - 월별!$A15)</f>
        <v>0</v>
      </c>
      <c r="T15" s="12">
        <f>SUMIFS(일별!S:S,
       일별!$A:$A, "&gt;="&amp;월별!$A15,
       일별!$A:$A, "&lt;"&amp;월별!$A16)</f>
        <v>0</v>
      </c>
      <c r="U15" s="16">
        <f>T15/(월별!$A16 - 월별!$A15)</f>
        <v>0</v>
      </c>
      <c r="V15" s="12">
        <f>SUMIFS(일별!U:U,
       일별!$A:$A, "&gt;="&amp;월별!$A15,
       일별!$A:$A, "&lt;"&amp;월별!$A16)</f>
        <v>0</v>
      </c>
      <c r="W15" s="16">
        <f>V15/(월별!$A16 - 월별!$A15)</f>
        <v>0</v>
      </c>
      <c r="X15" s="12">
        <f>SUMIFS(일별!W:W,
       일별!$A:$A, "&gt;="&amp;월별!$A15,
       일별!$A:$A, "&lt;"&amp;월별!$A16)</f>
        <v>0</v>
      </c>
      <c r="Y15" s="16">
        <f>X15/(월별!$A16 - 월별!$A15)</f>
        <v>0</v>
      </c>
      <c r="Z15" s="15">
        <f>SUMIFS(일별!X:X,
       일별!$A:$A, "&gt;="&amp;월별!$A15,
       일별!$A:$A, "&lt;"&amp;월별!$A16)</f>
        <v>0</v>
      </c>
      <c r="AA15" s="12">
        <f>SUMIFS(일별!Y:Y,
       일별!$A:$A, "&gt;="&amp;월별!$A15,
       일별!$A:$A, "&lt;"&amp;월별!$A16)</f>
        <v>0</v>
      </c>
      <c r="AB15" s="12">
        <f>SUMIFS(일별!Z:Z,
       일별!$A:$A, "&gt;="&amp;월별!$A15,
       일별!$A:$A, "&lt;"&amp;월별!$A16)</f>
        <v>0</v>
      </c>
      <c r="AC15" s="12">
        <f>SUMIFS(일별!AA:AA,
       일별!$A:$A, "&gt;="&amp;월별!$A15,
       일별!$A:$A, "&lt;"&amp;월별!$A16)</f>
        <v>0</v>
      </c>
      <c r="AD15" s="12">
        <f>SUMIFS(일별!AB:AB,
       일별!$A:$A, "&gt;="&amp;월별!$A15,
       일별!$A:$A, "&lt;"&amp;월별!$A16)</f>
        <v>0</v>
      </c>
      <c r="AE15" s="16">
        <f>SUMIFS(일별!AC:AC,
       일별!$A:$A, "&gt;="&amp;월별!$A15,
       일별!$A:$A, "&lt;"&amp;월별!$A16)</f>
        <v>0</v>
      </c>
      <c r="AF15" s="15">
        <f>SUMIFS(일별!AD:AD,
       일별!$A:$A, "&gt;="&amp;월별!$A15,
       일별!$A:$A, "&lt;"&amp;월별!$A16)</f>
        <v>0</v>
      </c>
      <c r="AG15" s="12">
        <f>SUMIFS(일별!AE:AE,
       일별!$A:$A, "&gt;="&amp;월별!$A15,
       일별!$A:$A, "&lt;"&amp;월별!$A16)</f>
        <v>0</v>
      </c>
      <c r="AH15" s="12">
        <f>SUMIFS(일별!AF:AF,
       일별!$A:$A, "&gt;="&amp;월별!$A15,
       일별!$A:$A, "&lt;"&amp;월별!$A16)</f>
        <v>0</v>
      </c>
      <c r="AI15" s="16">
        <f>SUMIFS(일별!AG:AG,
       일별!$A:$A, "&gt;="&amp;월별!$A15,
       일별!$A:$A, "&lt;"&amp;월별!$A16)</f>
        <v>0</v>
      </c>
      <c r="AJ15" s="15">
        <f>SUMIFS(일별!AX:AX,
       일별!$A:$A, "&gt;="&amp;월별!$A15,
       일별!$A:$A, "&lt;"&amp;월별!$A16)</f>
        <v>0</v>
      </c>
      <c r="AK15" s="12">
        <f>SUMIFS(일별!AY:AY,
       일별!$A:$A, "&gt;="&amp;월별!$A15,
       일별!$A:$A, "&lt;"&amp;월별!$A16)</f>
        <v>0</v>
      </c>
      <c r="AL15" s="12">
        <f>SUMIFS(일별!AZ:AZ,
       일별!$A:$A, "&gt;="&amp;월별!$A15,
       일별!$A:$A, "&lt;"&amp;월별!$A16)</f>
        <v>0</v>
      </c>
      <c r="AM15" s="12">
        <f>SUMIFS(일별!BA:BA,
       일별!$A:$A, "&gt;="&amp;월별!$A15,
       일별!$A:$A, "&lt;"&amp;월별!$A16)</f>
        <v>0</v>
      </c>
      <c r="AN15" s="12">
        <f>SUMIFS(일별!BB:BB,
       일별!$A:$A, "&gt;="&amp;월별!$A15,
       일별!$A:$A, "&lt;"&amp;월별!$A16)</f>
        <v>0</v>
      </c>
      <c r="AO15" s="16">
        <f>SUMIFS(일별!BC:BC,
       일별!$A:$A, "&gt;="&amp;월별!$A15,
       일별!$A:$A, "&lt;"&amp;월별!$A16)</f>
        <v>0</v>
      </c>
      <c r="AP15" s="18" cm="1">
        <f t="array" ref="AP15">SUM(_xlfn._xlws.FILTER(일별!BH:CC, (일별!$A:$A &gt;= 월별!$A15) * (일별!$A:$A &lt; 월별!$A16), 0))</f>
        <v>0</v>
      </c>
      <c r="AQ15" s="20">
        <f>AP15/(월별!$A16 - 월별!$A15)</f>
        <v>0</v>
      </c>
      <c r="AR15" s="20" cm="1">
        <f t="array" ref="AR15">SUM(_xlfn._xlws.FILTER(일별!CD:CY, (일별!$A:$A &gt;= 월별!$A15) * (일별!$A:$A &lt; 월별!$A16), 0))</f>
        <v>0</v>
      </c>
      <c r="AS15" s="20">
        <f>AR15/(월별!$A16 - 월별!$A15)</f>
        <v>0</v>
      </c>
      <c r="AT15" s="20" cm="1">
        <f t="array" ref="AT15">SUM(_xlfn._xlws.FILTER(일별!CZ:DU, (일별!$A:$A &gt;= 월별!$A15) * (일별!$A:$A &lt; 월별!$A16), 0))</f>
        <v>0</v>
      </c>
      <c r="AU15" s="20">
        <f>AT15/(월별!$A16 - 월별!$A15)</f>
        <v>0</v>
      </c>
      <c r="AV15" s="18" cm="1">
        <f t="array" ref="AV15">SUM(_xlfn._xlws.FILTER(일별!BH:BH, (일별!$A:$A &gt;= 월별!$A15) * (일별!$A:$A &lt; 월별!$A16), 0))</f>
        <v>0</v>
      </c>
      <c r="AW15" s="20" cm="1">
        <f t="array" ref="AW15">SUM(_xlfn._xlws.FILTER(일별!BI:BI, (일별!$A:$A &gt;= 월별!$A15) * (일별!$A:$A &lt; 월별!$A16), 0))</f>
        <v>0</v>
      </c>
      <c r="AX15" s="20" cm="1">
        <f t="array" ref="AX15">SUM(_xlfn._xlws.FILTER(일별!BJ:BJ, (일별!$A:$A &gt;= 월별!$A15) * (일별!$A:$A &lt; 월별!$A16), 0))</f>
        <v>0</v>
      </c>
      <c r="AY15" s="20" cm="1">
        <f t="array" ref="AY15">SUM(_xlfn._xlws.FILTER(일별!BK:BK, (일별!$A:$A &gt;= 월별!$A15) * (일별!$A:$A &lt; 월별!$A16), 0))</f>
        <v>0</v>
      </c>
      <c r="AZ15" s="20" cm="1">
        <f t="array" ref="AZ15">SUM(_xlfn._xlws.FILTER(일별!BL:BL, (일별!$A:$A &gt;= 월별!$A15) * (일별!$A:$A &lt; 월별!$A16), 0))</f>
        <v>0</v>
      </c>
      <c r="BA15" s="20" cm="1">
        <f t="array" ref="BA15">SUM(_xlfn._xlws.FILTER(일별!BM:BM, (일별!$A:$A &gt;= 월별!$A15) * (일별!$A:$A &lt; 월별!$A16), 0))</f>
        <v>0</v>
      </c>
      <c r="BB15" s="20" cm="1">
        <f t="array" ref="BB15">SUM(_xlfn._xlws.FILTER(일별!BN:BN, (일별!$A:$A &gt;= 월별!$A15) * (일별!$A:$A &lt; 월별!$A16), 0))</f>
        <v>0</v>
      </c>
      <c r="BC15" s="20" cm="1">
        <f t="array" ref="BC15">SUM(_xlfn._xlws.FILTER(일별!BO:BO, (일별!$A:$A &gt;= 월별!$A15) * (일별!$A:$A &lt; 월별!$A16), 0))</f>
        <v>0</v>
      </c>
      <c r="BD15" s="20" cm="1">
        <f t="array" ref="BD15">SUM(_xlfn._xlws.FILTER(일별!BP:BP, (일별!$A:$A &gt;= 월별!$A15) * (일별!$A:$A &lt; 월별!$A16), 0))</f>
        <v>0</v>
      </c>
      <c r="BE15" s="20" cm="1">
        <f t="array" ref="BE15">SUM(_xlfn._xlws.FILTER(일별!BQ:BQ, (일별!$A:$A &gt;= 월별!$A15) * (일별!$A:$A &lt; 월별!$A16), 0))</f>
        <v>0</v>
      </c>
      <c r="BF15" s="20" cm="1">
        <f t="array" ref="BF15">SUM(_xlfn._xlws.FILTER(일별!BR:BR, (일별!$A:$A &gt;= 월별!$A15) * (일별!$A:$A &lt; 월별!$A16), 0))</f>
        <v>0</v>
      </c>
      <c r="BG15" s="20" cm="1">
        <f t="array" ref="BG15">SUM(_xlfn._xlws.FILTER(일별!BS:BS, (일별!$A:$A &gt;= 월별!$A15) * (일별!$A:$A &lt; 월별!$A16), 0))</f>
        <v>0</v>
      </c>
      <c r="BH15" s="20" cm="1">
        <f t="array" ref="BH15">SUM(_xlfn._xlws.FILTER(일별!BT:BT, (일별!$A:$A &gt;= 월별!$A15) * (일별!$A:$A &lt; 월별!$A16), 0))</f>
        <v>0</v>
      </c>
      <c r="BI15" s="20" cm="1">
        <f t="array" ref="BI15">SUM(_xlfn._xlws.FILTER(일별!BU:BU, (일별!$A:$A &gt;= 월별!$A15) * (일별!$A:$A &lt; 월별!$A16), 0))</f>
        <v>0</v>
      </c>
      <c r="BJ15" s="20" cm="1">
        <f t="array" ref="BJ15">SUM(_xlfn._xlws.FILTER(일별!BV:BV, (일별!$A:$A &gt;= 월별!$A15) * (일별!$A:$A &lt; 월별!$A16), 0))</f>
        <v>0</v>
      </c>
      <c r="BK15" s="20" cm="1">
        <f t="array" ref="BK15">SUM(_xlfn._xlws.FILTER(일별!BW:BW, (일별!$A:$A &gt;= 월별!$A15) * (일별!$A:$A &lt; 월별!$A16), 0))</f>
        <v>0</v>
      </c>
      <c r="BL15" s="20" cm="1">
        <f t="array" ref="BL15">SUM(_xlfn._xlws.FILTER(일별!BX:BX, (일별!$A:$A &gt;= 월별!$A15) * (일별!$A:$A &lt; 월별!$A16), 0))</f>
        <v>0</v>
      </c>
      <c r="BM15" s="20" cm="1">
        <f t="array" ref="BM15">SUM(_xlfn._xlws.FILTER(일별!BY:BY, (일별!$A:$A &gt;= 월별!$A15) * (일별!$A:$A &lt; 월별!$A16), 0))</f>
        <v>0</v>
      </c>
      <c r="BN15" s="20" cm="1">
        <f t="array" ref="BN15">SUM(_xlfn._xlws.FILTER(일별!BZ:BZ, (일별!$A:$A &gt;= 월별!$A15) * (일별!$A:$A &lt; 월별!$A16), 0))</f>
        <v>0</v>
      </c>
      <c r="BO15" s="20" cm="1">
        <f t="array" ref="BO15">SUM(_xlfn._xlws.FILTER(일별!CA:CA, (일별!$A:$A &gt;= 월별!$A15) * (일별!$A:$A &lt; 월별!$A16), 0))</f>
        <v>0</v>
      </c>
      <c r="BP15" s="20" cm="1">
        <f t="array" ref="BP15">SUM(_xlfn._xlws.FILTER(일별!CB:CB, (일별!$A:$A &gt;= 월별!$A15) * (일별!$A:$A &lt; 월별!$A16), 0))</f>
        <v>0</v>
      </c>
      <c r="BQ15" s="19" cm="1">
        <f t="array" ref="BQ15">SUM(_xlfn._xlws.FILTER(일별!CC:CC, (일별!$A:$A &gt;= 월별!$A15) * (일별!$A:$A &lt; 월별!$A16), 0))</f>
        <v>0</v>
      </c>
      <c r="BR15" s="18" cm="1">
        <f t="array" ref="BR15">SUM(_xlfn._xlws.FILTER(일별!CD:CD, (일별!$A:$A &gt;= 월별!$A15) * (일별!$A:$A &lt; 월별!$A16), 0))</f>
        <v>0</v>
      </c>
      <c r="BS15" s="20" cm="1">
        <f t="array" ref="BS15">SUM(_xlfn._xlws.FILTER(일별!CE:CE, (일별!$A:$A &gt;= 월별!$A15) * (일별!$A:$A &lt; 월별!$A16), 0))</f>
        <v>0</v>
      </c>
      <c r="BT15" s="20" cm="1">
        <f t="array" ref="BT15">SUM(_xlfn._xlws.FILTER(일별!CF:CF, (일별!$A:$A &gt;= 월별!$A15) * (일별!$A:$A &lt; 월별!$A16), 0))</f>
        <v>0</v>
      </c>
      <c r="BU15" s="20" cm="1">
        <f t="array" ref="BU15">SUM(_xlfn._xlws.FILTER(일별!CG:CG, (일별!$A:$A &gt;= 월별!$A15) * (일별!$A:$A &lt; 월별!$A16), 0))</f>
        <v>0</v>
      </c>
      <c r="BV15" s="20" cm="1">
        <f t="array" ref="BV15">SUM(_xlfn._xlws.FILTER(일별!CH:CH, (일별!$A:$A &gt;= 월별!$A15) * (일별!$A:$A &lt; 월별!$A16), 0))</f>
        <v>0</v>
      </c>
      <c r="BW15" s="20" cm="1">
        <f t="array" ref="BW15">SUM(_xlfn._xlws.FILTER(일별!CI:CI, (일별!$A:$A &gt;= 월별!$A15) * (일별!$A:$A &lt; 월별!$A16), 0))</f>
        <v>0</v>
      </c>
      <c r="BX15" s="20" cm="1">
        <f t="array" ref="BX15">SUM(_xlfn._xlws.FILTER(일별!CJ:CJ, (일별!$A:$A &gt;= 월별!$A15) * (일별!$A:$A &lt; 월별!$A16), 0))</f>
        <v>0</v>
      </c>
      <c r="BY15" s="20" cm="1">
        <f t="array" ref="BY15">SUM(_xlfn._xlws.FILTER(일별!CK:CK, (일별!$A:$A &gt;= 월별!$A15) * (일별!$A:$A &lt; 월별!$A16), 0))</f>
        <v>0</v>
      </c>
      <c r="BZ15" s="20" cm="1">
        <f t="array" ref="BZ15">SUM(_xlfn._xlws.FILTER(일별!CL:CL, (일별!$A:$A &gt;= 월별!$A15) * (일별!$A:$A &lt; 월별!$A16), 0))</f>
        <v>0</v>
      </c>
      <c r="CA15" s="20" cm="1">
        <f t="array" ref="CA15">SUM(_xlfn._xlws.FILTER(일별!CM:CM, (일별!$A:$A &gt;= 월별!$A15) * (일별!$A:$A &lt; 월별!$A16), 0))</f>
        <v>0</v>
      </c>
      <c r="CB15" s="20" cm="1">
        <f t="array" ref="CB15">SUM(_xlfn._xlws.FILTER(일별!CN:CN, (일별!$A:$A &gt;= 월별!$A15) * (일별!$A:$A &lt; 월별!$A16), 0))</f>
        <v>0</v>
      </c>
      <c r="CC15" s="20" cm="1">
        <f t="array" ref="CC15">SUM(_xlfn._xlws.FILTER(일별!CO:CO, (일별!$A:$A &gt;= 월별!$A15) * (일별!$A:$A &lt; 월별!$A16), 0))</f>
        <v>0</v>
      </c>
      <c r="CD15" s="20" cm="1">
        <f t="array" ref="CD15">SUM(_xlfn._xlws.FILTER(일별!CP:CP, (일별!$A:$A &gt;= 월별!$A15) * (일별!$A:$A &lt; 월별!$A16), 0))</f>
        <v>0</v>
      </c>
      <c r="CE15" s="20" cm="1">
        <f t="array" ref="CE15">SUM(_xlfn._xlws.FILTER(일별!CQ:CQ, (일별!$A:$A &gt;= 월별!$A15) * (일별!$A:$A &lt; 월별!$A16), 0))</f>
        <v>0</v>
      </c>
      <c r="CF15" s="20" cm="1">
        <f t="array" ref="CF15">SUM(_xlfn._xlws.FILTER(일별!CR:CR, (일별!$A:$A &gt;= 월별!$A15) * (일별!$A:$A &lt; 월별!$A16), 0))</f>
        <v>0</v>
      </c>
      <c r="CG15" s="20" cm="1">
        <f t="array" ref="CG15">SUM(_xlfn._xlws.FILTER(일별!CS:CS, (일별!$A:$A &gt;= 월별!$A15) * (일별!$A:$A &lt; 월별!$A16), 0))</f>
        <v>0</v>
      </c>
      <c r="CH15" s="20" cm="1">
        <f t="array" ref="CH15">SUM(_xlfn._xlws.FILTER(일별!CT:CT, (일별!$A:$A &gt;= 월별!$A15) * (일별!$A:$A &lt; 월별!$A16), 0))</f>
        <v>0</v>
      </c>
      <c r="CI15" s="20" cm="1">
        <f t="array" ref="CI15">SUM(_xlfn._xlws.FILTER(일별!CU:CU, (일별!$A:$A &gt;= 월별!$A15) * (일별!$A:$A &lt; 월별!$A16), 0))</f>
        <v>0</v>
      </c>
      <c r="CJ15" s="20" cm="1">
        <f t="array" ref="CJ15">SUM(_xlfn._xlws.FILTER(일별!CV:CV, (일별!$A:$A &gt;= 월별!$A15) * (일별!$A:$A &lt; 월별!$A16), 0))</f>
        <v>0</v>
      </c>
      <c r="CK15" s="20" cm="1">
        <f t="array" ref="CK15">SUM(_xlfn._xlws.FILTER(일별!CW:CW, (일별!$A:$A &gt;= 월별!$A15) * (일별!$A:$A &lt; 월별!$A16), 0))</f>
        <v>0</v>
      </c>
      <c r="CL15" s="20" cm="1">
        <f t="array" ref="CL15">SUM(_xlfn._xlws.FILTER(일별!CX:CX, (일별!$A:$A &gt;= 월별!$A15) * (일별!$A:$A &lt; 월별!$A16), 0))</f>
        <v>0</v>
      </c>
      <c r="CM15" s="19" cm="1">
        <f t="array" ref="CM15">SUM(_xlfn._xlws.FILTER(일별!CY:CY, (일별!$A:$A &gt;= 월별!$A15) * (일별!$A:$A &lt; 월별!$A16), 0))</f>
        <v>0</v>
      </c>
      <c r="CN15" s="18" cm="1">
        <f t="array" ref="CN15">SUM(_xlfn._xlws.FILTER(일별!CZ:CZ, (일별!$A:$A &gt;= 월별!$A15) * (일별!$A:$A &lt; 월별!$A16), 0))</f>
        <v>0</v>
      </c>
      <c r="CO15" s="20" cm="1">
        <f t="array" ref="CO15">SUM(_xlfn._xlws.FILTER(일별!DA:DA, (일별!$A:$A &gt;= 월별!$A15) * (일별!$A:$A &lt; 월별!$A16), 0))</f>
        <v>0</v>
      </c>
      <c r="CP15" s="20" cm="1">
        <f t="array" ref="CP15">SUM(_xlfn._xlws.FILTER(일별!DB:DB, (일별!$A:$A &gt;= 월별!$A15) * (일별!$A:$A &lt; 월별!$A16), 0))</f>
        <v>0</v>
      </c>
      <c r="CQ15" s="20" cm="1">
        <f t="array" ref="CQ15">SUM(_xlfn._xlws.FILTER(일별!DC:DC, (일별!$A:$A &gt;= 월별!$A15) * (일별!$A:$A &lt; 월별!$A16), 0))</f>
        <v>0</v>
      </c>
      <c r="CR15" s="20" cm="1">
        <f t="array" ref="CR15">SUM(_xlfn._xlws.FILTER(일별!DD:DD, (일별!$A:$A &gt;= 월별!$A15) * (일별!$A:$A &lt; 월별!$A16), 0))</f>
        <v>0</v>
      </c>
      <c r="CS15" s="20" cm="1">
        <f t="array" ref="CS15">SUM(_xlfn._xlws.FILTER(일별!DE:DE, (일별!$A:$A &gt;= 월별!$A15) * (일별!$A:$A &lt; 월별!$A16), 0))</f>
        <v>0</v>
      </c>
      <c r="CT15" s="20" cm="1">
        <f t="array" ref="CT15">SUM(_xlfn._xlws.FILTER(일별!DF:DF, (일별!$A:$A &gt;= 월별!$A15) * (일별!$A:$A &lt; 월별!$A16), 0))</f>
        <v>0</v>
      </c>
      <c r="CU15" s="20" cm="1">
        <f t="array" ref="CU15">SUM(_xlfn._xlws.FILTER(일별!DG:DG, (일별!$A:$A &gt;= 월별!$A15) * (일별!$A:$A &lt; 월별!$A16), 0))</f>
        <v>0</v>
      </c>
      <c r="CV15" s="20" cm="1">
        <f t="array" ref="CV15">SUM(_xlfn._xlws.FILTER(일별!DH:DH, (일별!$A:$A &gt;= 월별!$A15) * (일별!$A:$A &lt; 월별!$A16), 0))</f>
        <v>0</v>
      </c>
      <c r="CW15" s="20" cm="1">
        <f t="array" ref="CW15">SUM(_xlfn._xlws.FILTER(일별!DI:DI, (일별!$A:$A &gt;= 월별!$A15) * (일별!$A:$A &lt; 월별!$A16), 0))</f>
        <v>0</v>
      </c>
      <c r="CX15" s="20" cm="1">
        <f t="array" ref="CX15">SUM(_xlfn._xlws.FILTER(일별!DJ:DJ, (일별!$A:$A &gt;= 월별!$A15) * (일별!$A:$A &lt; 월별!$A16), 0))</f>
        <v>0</v>
      </c>
      <c r="CY15" s="20" cm="1">
        <f t="array" ref="CY15">SUM(_xlfn._xlws.FILTER(일별!DK:DK, (일별!$A:$A &gt;= 월별!$A15) * (일별!$A:$A &lt; 월별!$A16), 0))</f>
        <v>0</v>
      </c>
      <c r="CZ15" s="20" cm="1">
        <f t="array" ref="CZ15">SUM(_xlfn._xlws.FILTER(일별!DL:DL, (일별!$A:$A &gt;= 월별!$A15) * (일별!$A:$A &lt; 월별!$A16), 0))</f>
        <v>0</v>
      </c>
      <c r="DA15" s="20" cm="1">
        <f t="array" ref="DA15">SUM(_xlfn._xlws.FILTER(일별!DM:DM, (일별!$A:$A &gt;= 월별!$A15) * (일별!$A:$A &lt; 월별!$A16), 0))</f>
        <v>0</v>
      </c>
      <c r="DB15" s="20" cm="1">
        <f t="array" ref="DB15">SUM(_xlfn._xlws.FILTER(일별!DN:DN, (일별!$A:$A &gt;= 월별!$A15) * (일별!$A:$A &lt; 월별!$A16), 0))</f>
        <v>0</v>
      </c>
      <c r="DC15" s="20" cm="1">
        <f t="array" ref="DC15">SUM(_xlfn._xlws.FILTER(일별!DO:DO, (일별!$A:$A &gt;= 월별!$A15) * (일별!$A:$A &lt; 월별!$A16), 0))</f>
        <v>0</v>
      </c>
      <c r="DD15" s="20" cm="1">
        <f t="array" ref="DD15">SUM(_xlfn._xlws.FILTER(일별!DP:DP, (일별!$A:$A &gt;= 월별!$A15) * (일별!$A:$A &lt; 월별!$A16), 0))</f>
        <v>0</v>
      </c>
      <c r="DE15" s="20" cm="1">
        <f t="array" ref="DE15">SUM(_xlfn._xlws.FILTER(일별!DQ:DQ, (일별!$A:$A &gt;= 월별!$A15) * (일별!$A:$A &lt; 월별!$A16), 0))</f>
        <v>0</v>
      </c>
      <c r="DF15" s="20" cm="1">
        <f t="array" ref="DF15">SUM(_xlfn._xlws.FILTER(일별!DR:DR, (일별!$A:$A &gt;= 월별!$A15) * (일별!$A:$A &lt; 월별!$A16), 0))</f>
        <v>0</v>
      </c>
      <c r="DG15" s="20" cm="1">
        <f t="array" ref="DG15">SUM(_xlfn._xlws.FILTER(일별!DS:DS, (일별!$A:$A &gt;= 월별!$A15) * (일별!$A:$A &lt; 월별!$A16), 0))</f>
        <v>0</v>
      </c>
      <c r="DH15" s="20" cm="1">
        <f t="array" ref="DH15">SUM(_xlfn._xlws.FILTER(일별!DT:DT, (일별!$A:$A &gt;= 월별!$A15) * (일별!$A:$A &lt; 월별!$A16), 0))</f>
        <v>0</v>
      </c>
      <c r="DI15" s="19" cm="1">
        <f t="array" ref="DI15">SUM(_xlfn._xlws.FILTER(일별!DU:DU, (일별!$A:$A &gt;= 월별!$A15) * (일별!$A:$A &lt; 월별!$A16), 0))</f>
        <v>0</v>
      </c>
    </row>
    <row r="16" spans="1:113">
      <c r="A16" s="26">
        <v>46357</v>
      </c>
      <c r="B16" s="27">
        <f>SUMIFS(일별!$C:$C,
       일별!$A:$A, "&gt;="&amp;월별!$A16,
       일별!$A:$A, "&lt;"&amp;월별!$A4)</f>
        <v>0</v>
      </c>
      <c r="C16" s="28">
        <f>B16/(월별!$A4 - 월별!$A16)</f>
        <v>0</v>
      </c>
      <c r="D16" s="27">
        <f>SUMIFS(일별!E:E,
       일별!$A:$A, "&gt;="&amp;월별!$A16,
       일별!$A:$A, "&lt;"&amp;월별!$A17)</f>
        <v>0</v>
      </c>
      <c r="E16" s="28">
        <f>D16/(월별!$A4 - 월별!$A16)</f>
        <v>0</v>
      </c>
      <c r="F16" s="29">
        <f>SUMIFS(일별!G:G,
       일별!$A:$A, "&gt;="&amp;월별!$A16,
       일별!$A:$A, "&lt;"&amp;월별!$A17)</f>
        <v>0</v>
      </c>
      <c r="G16" s="28">
        <f>F16/(월별!$A4 - 월별!$A16)</f>
        <v>0</v>
      </c>
      <c r="H16" s="27">
        <f t="shared" si="0"/>
        <v>0</v>
      </c>
      <c r="I16" s="28">
        <f t="shared" si="1"/>
        <v>0</v>
      </c>
      <c r="J16" s="29">
        <f>SUMIFS(일별!I:I,
       일별!$A:$A, "&gt;="&amp;월별!$A16,
       일별!$A:$A, "&lt;"&amp;월별!$A17)</f>
        <v>0</v>
      </c>
      <c r="K16" s="28">
        <f>J16/(월별!$A4 - 월별!$A16)</f>
        <v>0</v>
      </c>
      <c r="L16" s="29">
        <f>SUMIFS(일별!K:K,
       일별!$A:$A, "&gt;="&amp;월별!$A16,
       일별!$A:$A, "&lt;"&amp;월별!$A17)</f>
        <v>0</v>
      </c>
      <c r="M16" s="28">
        <f>L16/(월별!$A4 - 월별!$A16)</f>
        <v>0</v>
      </c>
      <c r="N16" s="29">
        <f>SUMIFS(일별!M:M,
       일별!$A:$A, "&gt;="&amp;월별!$A16,
       일별!$A:$A, "&lt;"&amp;월별!$A17)</f>
        <v>0</v>
      </c>
      <c r="O16" s="157">
        <f>N16/(월별!$A4 - 월별!$A16)</f>
        <v>0</v>
      </c>
      <c r="P16" s="29">
        <f>SUMIFS(일별!O:O,
       일별!$A:$A, "&gt;="&amp;월별!$A16,
       일별!$A:$A, "&lt;"&amp;월별!$A17)</f>
        <v>0</v>
      </c>
      <c r="Q16" s="28">
        <f>P16/(월별!$A4 - 월별!$A16)</f>
        <v>0</v>
      </c>
      <c r="R16" s="29">
        <f>SUMIFS(일별!Q:Q,
       일별!$A:$A, "&gt;="&amp;월별!$A16,
       일별!$A:$A, "&lt;"&amp;월별!$A17)</f>
        <v>0</v>
      </c>
      <c r="S16" s="28">
        <f>R16/(월별!$A4 - 월별!$A16)</f>
        <v>0</v>
      </c>
      <c r="T16" s="29">
        <f>SUMIFS(일별!S:S,
       일별!$A:$A, "&gt;="&amp;월별!$A16,
       일별!$A:$A, "&lt;"&amp;월별!$A17)</f>
        <v>0</v>
      </c>
      <c r="U16" s="28">
        <f>T16/(월별!$A4 - 월별!$A16)</f>
        <v>0</v>
      </c>
      <c r="V16" s="29">
        <f>SUMIFS(일별!U:U,
       일별!$A:$A, "&gt;="&amp;월별!$A16,
       일별!$A:$A, "&lt;"&amp;월별!$A17)</f>
        <v>0</v>
      </c>
      <c r="W16" s="28">
        <f>V16/(월별!$A4 - 월별!$A16)</f>
        <v>0</v>
      </c>
      <c r="X16" s="29">
        <f>SUMIFS(일별!W:W,
       일별!$A:$A, "&gt;="&amp;월별!$A16,
       일별!$A:$A, "&lt;"&amp;월별!$A17)</f>
        <v>0</v>
      </c>
      <c r="Y16" s="28">
        <f>X16/(월별!$A4 - 월별!$A16)</f>
        <v>0</v>
      </c>
      <c r="Z16" s="27">
        <f>SUMIFS(일별!X:X,
       일별!$A:$A, "&gt;="&amp;월별!$A16,
       일별!$A:$A, "&lt;"&amp;월별!$A4)</f>
        <v>0</v>
      </c>
      <c r="AA16" s="29">
        <f>SUMIFS(일별!Y:Y,
       일별!$A:$A, "&gt;="&amp;월별!$A16,
       일별!$A:$A, "&lt;"&amp;월별!$A4)</f>
        <v>0</v>
      </c>
      <c r="AB16" s="29">
        <f>SUMIFS(일별!Z:Z,
       일별!$A:$A, "&gt;="&amp;월별!$A16,
       일별!$A:$A, "&lt;"&amp;월별!$A4)</f>
        <v>0</v>
      </c>
      <c r="AC16" s="29">
        <f>SUMIFS(일별!AA:AA,
       일별!$A:$A, "&gt;="&amp;월별!$A16,
       일별!$A:$A, "&lt;"&amp;월별!$A4)</f>
        <v>0</v>
      </c>
      <c r="AD16" s="29">
        <f>SUMIFS(일별!AB:AB,
       일별!$A:$A, "&gt;="&amp;월별!$A16,
       일별!$A:$A, "&lt;"&amp;월별!$A4)</f>
        <v>0</v>
      </c>
      <c r="AE16" s="28">
        <f>SUMIFS(일별!AC:AC,
       일별!$A:$A, "&gt;="&amp;월별!$A16,
       일별!$A:$A, "&lt;"&amp;월별!$A4)</f>
        <v>0</v>
      </c>
      <c r="AF16" s="27">
        <f>SUMIFS(일별!AD:AD,
       일별!$A:$A, "&gt;="&amp;월별!$A16,
       일별!$A:$A, "&lt;"&amp;월별!$A4)</f>
        <v>0</v>
      </c>
      <c r="AG16" s="29">
        <f>SUMIFS(일별!AE:AE,
       일별!$A:$A, "&gt;="&amp;월별!$A16,
       일별!$A:$A, "&lt;"&amp;월별!$A4)</f>
        <v>0</v>
      </c>
      <c r="AH16" s="29">
        <f>SUMIFS(일별!AF:AF,
       일별!$A:$A, "&gt;="&amp;월별!$A16,
       일별!$A:$A, "&lt;"&amp;월별!$A4)</f>
        <v>0</v>
      </c>
      <c r="AI16" s="28">
        <f>SUMIFS(일별!AG:AG,
       일별!$A:$A, "&gt;="&amp;월별!$A16,
       일별!$A:$A, "&lt;"&amp;월별!$A4)</f>
        <v>0</v>
      </c>
      <c r="AJ16" s="27">
        <f>SUMIFS(일별!AX:AX,
       일별!$A:$A, "&gt;="&amp;월별!$A16,
       일별!$A:$A, "&lt;"&amp;월별!$A4)</f>
        <v>0</v>
      </c>
      <c r="AK16" s="29">
        <f>SUMIFS(일별!AY:AY,
       일별!$A:$A, "&gt;="&amp;월별!$A16,
       일별!$A:$A, "&lt;"&amp;월별!$A4)</f>
        <v>0</v>
      </c>
      <c r="AL16" s="29">
        <f>SUMIFS(일별!AZ:AZ,
       일별!$A:$A, "&gt;="&amp;월별!$A16,
       일별!$A:$A, "&lt;"&amp;월별!$A4)</f>
        <v>0</v>
      </c>
      <c r="AM16" s="29">
        <f>SUMIFS(일별!BA:BA,
       일별!$A:$A, "&gt;="&amp;월별!$A16,
       일별!$A:$A, "&lt;"&amp;월별!$A4)</f>
        <v>0</v>
      </c>
      <c r="AN16" s="29">
        <f>SUMIFS(일별!BB:BB,
       일별!$A:$A, "&gt;="&amp;월별!$A16,
       일별!$A:$A, "&lt;"&amp;월별!$A4)</f>
        <v>0</v>
      </c>
      <c r="AO16" s="28">
        <f>SUMIFS(일별!BC:BC,
       일별!$A:$A, "&gt;="&amp;월별!$A16,
       일별!$A:$A, "&lt;"&amp;월별!$A4)</f>
        <v>0</v>
      </c>
      <c r="AP16" s="160" cm="1">
        <f t="array" ref="AP16">SUM(_xlfn._xlws.FILTER(일별!BH:CC, (일별!$A:$A &gt;= 월별!$A16) * (일별!$A:$A &lt; $A4), 0))</f>
        <v>0</v>
      </c>
      <c r="AQ16" s="162">
        <f>AP16/($A4 - 월별!$A16)</f>
        <v>0</v>
      </c>
      <c r="AR16" s="162" cm="1">
        <f t="array" ref="AR16">SUM(_xlfn._xlws.FILTER(일별!CD:CY, (일별!$A:$A &gt;= 월별!$A16) * (일별!$A:$A &lt; $A4), 0))</f>
        <v>0</v>
      </c>
      <c r="AS16" s="162">
        <f>AR16/($A4 - 월별!$A16)</f>
        <v>0</v>
      </c>
      <c r="AT16" s="162" cm="1">
        <f t="array" ref="AT16">SUM(_xlfn._xlws.FILTER(일별!CZ:DU, (일별!$A:$A &gt;= 월별!$A16) * (일별!$A:$A &lt; 월별!$A17), 0))</f>
        <v>0</v>
      </c>
      <c r="AU16" s="162">
        <f>AT16/($A4 - 월별!$A16)</f>
        <v>0</v>
      </c>
      <c r="AV16" s="18" cm="1">
        <f t="array" ref="AV16">SUM(_xlfn._xlws.FILTER(일별!BH:BH, (일별!$A:$A &gt;= 월별!$A16) * (일별!$A:$A &lt; 월별!$A17), 0))</f>
        <v>0</v>
      </c>
      <c r="AW16" s="20" cm="1">
        <f t="array" ref="AW16">SUM(_xlfn._xlws.FILTER(일별!BI:BI, (일별!$A:$A &gt;= 월별!$A16) * (일별!$A:$A &lt; 월별!$A17), 0))</f>
        <v>0</v>
      </c>
      <c r="AX16" s="20" cm="1">
        <f t="array" ref="AX16">SUM(_xlfn._xlws.FILTER(일별!BJ:BJ, (일별!$A:$A &gt;= 월별!$A16) * (일별!$A:$A &lt; 월별!$A17), 0))</f>
        <v>0</v>
      </c>
      <c r="AY16" s="20" cm="1">
        <f t="array" ref="AY16">SUM(_xlfn._xlws.FILTER(일별!BK:BK, (일별!$A:$A &gt;= 월별!$A16) * (일별!$A:$A &lt; 월별!$A17), 0))</f>
        <v>0</v>
      </c>
      <c r="AZ16" s="20" cm="1">
        <f t="array" ref="AZ16">SUM(_xlfn._xlws.FILTER(일별!BL:BL, (일별!$A:$A &gt;= 월별!$A16) * (일별!$A:$A &lt; 월별!$A17), 0))</f>
        <v>0</v>
      </c>
      <c r="BA16" s="20" cm="1">
        <f t="array" ref="BA16">SUM(_xlfn._xlws.FILTER(일별!BM:BM, (일별!$A:$A &gt;= 월별!$A16) * (일별!$A:$A &lt; 월별!$A17), 0))</f>
        <v>0</v>
      </c>
      <c r="BB16" s="20" cm="1">
        <f t="array" ref="BB16">SUM(_xlfn._xlws.FILTER(일별!BN:BN, (일별!$A:$A &gt;= 월별!$A16) * (일별!$A:$A &lt; 월별!$A17), 0))</f>
        <v>0</v>
      </c>
      <c r="BC16" s="20" cm="1">
        <f t="array" ref="BC16">SUM(_xlfn._xlws.FILTER(일별!BO:BO, (일별!$A:$A &gt;= 월별!$A16) * (일별!$A:$A &lt; 월별!$A17), 0))</f>
        <v>0</v>
      </c>
      <c r="BD16" s="20" cm="1">
        <f t="array" ref="BD16">SUM(_xlfn._xlws.FILTER(일별!BP:BP, (일별!$A:$A &gt;= 월별!$A16) * (일별!$A:$A &lt; 월별!$A17), 0))</f>
        <v>0</v>
      </c>
      <c r="BE16" s="20" cm="1">
        <f t="array" ref="BE16">SUM(_xlfn._xlws.FILTER(일별!BQ:BQ, (일별!$A:$A &gt;= 월별!$A16) * (일별!$A:$A &lt; 월별!$A17), 0))</f>
        <v>0</v>
      </c>
      <c r="BF16" s="20" cm="1">
        <f t="array" ref="BF16">SUM(_xlfn._xlws.FILTER(일별!BR:BR, (일별!$A:$A &gt;= 월별!$A16) * (일별!$A:$A &lt; 월별!$A17), 0))</f>
        <v>0</v>
      </c>
      <c r="BG16" s="20" cm="1">
        <f t="array" ref="BG16">SUM(_xlfn._xlws.FILTER(일별!BS:BS, (일별!$A:$A &gt;= 월별!$A16) * (일별!$A:$A &lt; 월별!$A17), 0))</f>
        <v>0</v>
      </c>
      <c r="BH16" s="20" cm="1">
        <f t="array" ref="BH16">SUM(_xlfn._xlws.FILTER(일별!BT:BT, (일별!$A:$A &gt;= 월별!$A16) * (일별!$A:$A &lt; 월별!$A17), 0))</f>
        <v>0</v>
      </c>
      <c r="BI16" s="20" cm="1">
        <f t="array" ref="BI16">SUM(_xlfn._xlws.FILTER(일별!BU:BU, (일별!$A:$A &gt;= 월별!$A16) * (일별!$A:$A &lt; 월별!$A17), 0))</f>
        <v>0</v>
      </c>
      <c r="BJ16" s="20" cm="1">
        <f t="array" ref="BJ16">SUM(_xlfn._xlws.FILTER(일별!BV:BV, (일별!$A:$A &gt;= 월별!$A16) * (일별!$A:$A &lt; 월별!$A17), 0))</f>
        <v>0</v>
      </c>
      <c r="BK16" s="20" cm="1">
        <f t="array" ref="BK16">SUM(_xlfn._xlws.FILTER(일별!BW:BW, (일별!$A:$A &gt;= 월별!$A16) * (일별!$A:$A &lt; 월별!$A17), 0))</f>
        <v>0</v>
      </c>
      <c r="BL16" s="20" cm="1">
        <f t="array" ref="BL16">SUM(_xlfn._xlws.FILTER(일별!BX:BX, (일별!$A:$A &gt;= 월별!$A16) * (일별!$A:$A &lt; 월별!$A17), 0))</f>
        <v>0</v>
      </c>
      <c r="BM16" s="20" cm="1">
        <f t="array" ref="BM16">SUM(_xlfn._xlws.FILTER(일별!BY:BY, (일별!$A:$A &gt;= 월별!$A16) * (일별!$A:$A &lt; 월별!$A17), 0))</f>
        <v>0</v>
      </c>
      <c r="BN16" s="20" cm="1">
        <f t="array" ref="BN16">SUM(_xlfn._xlws.FILTER(일별!BZ:BZ, (일별!$A:$A &gt;= 월별!$A16) * (일별!$A:$A &lt; 월별!$A17), 0))</f>
        <v>0</v>
      </c>
      <c r="BO16" s="20" cm="1">
        <f t="array" ref="BO16">SUM(_xlfn._xlws.FILTER(일별!CA:CA, (일별!$A:$A &gt;= 월별!$A16) * (일별!$A:$A &lt; 월별!$A17), 0))</f>
        <v>0</v>
      </c>
      <c r="BP16" s="20" cm="1">
        <f t="array" ref="BP16">SUM(_xlfn._xlws.FILTER(일별!CB:CB, (일별!$A:$A &gt;= 월별!$A16) * (일별!$A:$A &lt; 월별!$A17), 0))</f>
        <v>0</v>
      </c>
      <c r="BQ16" s="19" cm="1">
        <f t="array" ref="BQ16">SUM(_xlfn._xlws.FILTER(일별!CC:CC, (일별!$A:$A &gt;= 월별!$A16) * (일별!$A:$A &lt; 월별!$A17), 0))</f>
        <v>0</v>
      </c>
      <c r="BR16" s="18" cm="1">
        <f t="array" ref="BR16">SUM(_xlfn._xlws.FILTER(일별!CD:CD, (일별!$A:$A &gt;= 월별!$A16) * (일별!$A:$A &lt; 월별!$A17), 0))</f>
        <v>0</v>
      </c>
      <c r="BS16" s="20" cm="1">
        <f t="array" ref="BS16">SUM(_xlfn._xlws.FILTER(일별!CE:CE, (일별!$A:$A &gt;= 월별!$A16) * (일별!$A:$A &lt; 월별!$A17), 0))</f>
        <v>0</v>
      </c>
      <c r="BT16" s="20" cm="1">
        <f t="array" ref="BT16">SUM(_xlfn._xlws.FILTER(일별!CF:CF, (일별!$A:$A &gt;= 월별!$A16) * (일별!$A:$A &lt; 월별!$A17), 0))</f>
        <v>0</v>
      </c>
      <c r="BU16" s="20" cm="1">
        <f t="array" ref="BU16">SUM(_xlfn._xlws.FILTER(일별!CG:CG, (일별!$A:$A &gt;= 월별!$A16) * (일별!$A:$A &lt; 월별!$A17), 0))</f>
        <v>0</v>
      </c>
      <c r="BV16" s="20" cm="1">
        <f t="array" ref="BV16">SUM(_xlfn._xlws.FILTER(일별!CH:CH, (일별!$A:$A &gt;= 월별!$A16) * (일별!$A:$A &lt; 월별!$A17), 0))</f>
        <v>0</v>
      </c>
      <c r="BW16" s="20" cm="1">
        <f t="array" ref="BW16">SUM(_xlfn._xlws.FILTER(일별!CI:CI, (일별!$A:$A &gt;= 월별!$A16) * (일별!$A:$A &lt; 월별!$A17), 0))</f>
        <v>0</v>
      </c>
      <c r="BX16" s="20" cm="1">
        <f t="array" ref="BX16">SUM(_xlfn._xlws.FILTER(일별!CJ:CJ, (일별!$A:$A &gt;= 월별!$A16) * (일별!$A:$A &lt; 월별!$A17), 0))</f>
        <v>0</v>
      </c>
      <c r="BY16" s="20" cm="1">
        <f t="array" ref="BY16">SUM(_xlfn._xlws.FILTER(일별!CK:CK, (일별!$A:$A &gt;= 월별!$A16) * (일별!$A:$A &lt; 월별!$A17), 0))</f>
        <v>0</v>
      </c>
      <c r="BZ16" s="20" cm="1">
        <f t="array" ref="BZ16">SUM(_xlfn._xlws.FILTER(일별!CL:CL, (일별!$A:$A &gt;= 월별!$A16) * (일별!$A:$A &lt; 월별!$A17), 0))</f>
        <v>0</v>
      </c>
      <c r="CA16" s="20" cm="1">
        <f t="array" ref="CA16">SUM(_xlfn._xlws.FILTER(일별!CM:CM, (일별!$A:$A &gt;= 월별!$A16) * (일별!$A:$A &lt; 월별!$A17), 0))</f>
        <v>0</v>
      </c>
      <c r="CB16" s="20" cm="1">
        <f t="array" ref="CB16">SUM(_xlfn._xlws.FILTER(일별!CN:CN, (일별!$A:$A &gt;= 월별!$A16) * (일별!$A:$A &lt; 월별!$A17), 0))</f>
        <v>0</v>
      </c>
      <c r="CC16" s="20" cm="1">
        <f t="array" ref="CC16">SUM(_xlfn._xlws.FILTER(일별!CO:CO, (일별!$A:$A &gt;= 월별!$A16) * (일별!$A:$A &lt; 월별!$A17), 0))</f>
        <v>0</v>
      </c>
      <c r="CD16" s="20" cm="1">
        <f t="array" ref="CD16">SUM(_xlfn._xlws.FILTER(일별!CP:CP, (일별!$A:$A &gt;= 월별!$A16) * (일별!$A:$A &lt; 월별!$A17), 0))</f>
        <v>0</v>
      </c>
      <c r="CE16" s="20" cm="1">
        <f t="array" ref="CE16">SUM(_xlfn._xlws.FILTER(일별!CQ:CQ, (일별!$A:$A &gt;= 월별!$A16) * (일별!$A:$A &lt; 월별!$A17), 0))</f>
        <v>0</v>
      </c>
      <c r="CF16" s="20" cm="1">
        <f t="array" ref="CF16">SUM(_xlfn._xlws.FILTER(일별!CR:CR, (일별!$A:$A &gt;= 월별!$A16) * (일별!$A:$A &lt; 월별!$A17), 0))</f>
        <v>0</v>
      </c>
      <c r="CG16" s="20" cm="1">
        <f t="array" ref="CG16">SUM(_xlfn._xlws.FILTER(일별!CS:CS, (일별!$A:$A &gt;= 월별!$A16) * (일별!$A:$A &lt; 월별!$A17), 0))</f>
        <v>0</v>
      </c>
      <c r="CH16" s="20" cm="1">
        <f t="array" ref="CH16">SUM(_xlfn._xlws.FILTER(일별!CT:CT, (일별!$A:$A &gt;= 월별!$A16) * (일별!$A:$A &lt; 월별!$A17), 0))</f>
        <v>0</v>
      </c>
      <c r="CI16" s="20" cm="1">
        <f t="array" ref="CI16">SUM(_xlfn._xlws.FILTER(일별!CU:CU, (일별!$A:$A &gt;= 월별!$A16) * (일별!$A:$A &lt; 월별!$A17), 0))</f>
        <v>0</v>
      </c>
      <c r="CJ16" s="20" cm="1">
        <f t="array" ref="CJ16">SUM(_xlfn._xlws.FILTER(일별!CV:CV, (일별!$A:$A &gt;= 월별!$A16) * (일별!$A:$A &lt; 월별!$A17), 0))</f>
        <v>0</v>
      </c>
      <c r="CK16" s="20" cm="1">
        <f t="array" ref="CK16">SUM(_xlfn._xlws.FILTER(일별!CW:CW, (일별!$A:$A &gt;= 월별!$A16) * (일별!$A:$A &lt; 월별!$A17), 0))</f>
        <v>0</v>
      </c>
      <c r="CL16" s="20" cm="1">
        <f t="array" ref="CL16">SUM(_xlfn._xlws.FILTER(일별!CX:CX, (일별!$A:$A &gt;= 월별!$A16) * (일별!$A:$A &lt; 월별!$A17), 0))</f>
        <v>0</v>
      </c>
      <c r="CM16" s="19" cm="1">
        <f t="array" ref="CM16">SUM(_xlfn._xlws.FILTER(일별!CY:CY, (일별!$A:$A &gt;= 월별!$A16) * (일별!$A:$A &lt; 월별!$A17), 0))</f>
        <v>0</v>
      </c>
      <c r="CN16" s="18" cm="1">
        <f t="array" ref="CN16">SUM(_xlfn._xlws.FILTER(일별!CZ:CZ, (일별!$A:$A &gt;= 월별!$A16) * (일별!$A:$A &lt; 월별!$A17), 0))</f>
        <v>0</v>
      </c>
      <c r="CO16" s="20" cm="1">
        <f t="array" ref="CO16">SUM(_xlfn._xlws.FILTER(일별!DA:DA, (일별!$A:$A &gt;= 월별!$A16) * (일별!$A:$A &lt; 월별!$A17), 0))</f>
        <v>0</v>
      </c>
      <c r="CP16" s="20" cm="1">
        <f t="array" ref="CP16">SUM(_xlfn._xlws.FILTER(일별!DB:DB, (일별!$A:$A &gt;= 월별!$A16) * (일별!$A:$A &lt; 월별!$A17), 0))</f>
        <v>0</v>
      </c>
      <c r="CQ16" s="20" cm="1">
        <f t="array" ref="CQ16">SUM(_xlfn._xlws.FILTER(일별!DC:DC, (일별!$A:$A &gt;= 월별!$A16) * (일별!$A:$A &lt; 월별!$A17), 0))</f>
        <v>0</v>
      </c>
      <c r="CR16" s="20" cm="1">
        <f t="array" ref="CR16">SUM(_xlfn._xlws.FILTER(일별!DD:DD, (일별!$A:$A &gt;= 월별!$A16) * (일별!$A:$A &lt; 월별!$A17), 0))</f>
        <v>0</v>
      </c>
      <c r="CS16" s="20" cm="1">
        <f t="array" ref="CS16">SUM(_xlfn._xlws.FILTER(일별!DE:DE, (일별!$A:$A &gt;= 월별!$A16) * (일별!$A:$A &lt; 월별!$A17), 0))</f>
        <v>0</v>
      </c>
      <c r="CT16" s="20" cm="1">
        <f t="array" ref="CT16">SUM(_xlfn._xlws.FILTER(일별!DF:DF, (일별!$A:$A &gt;= 월별!$A16) * (일별!$A:$A &lt; 월별!$A17), 0))</f>
        <v>0</v>
      </c>
      <c r="CU16" s="20" cm="1">
        <f t="array" ref="CU16">SUM(_xlfn._xlws.FILTER(일별!DG:DG, (일별!$A:$A &gt;= 월별!$A16) * (일별!$A:$A &lt; 월별!$A17), 0))</f>
        <v>0</v>
      </c>
      <c r="CV16" s="20" cm="1">
        <f t="array" ref="CV16">SUM(_xlfn._xlws.FILTER(일별!DH:DH, (일별!$A:$A &gt;= 월별!$A16) * (일별!$A:$A &lt; 월별!$A17), 0))</f>
        <v>0</v>
      </c>
      <c r="CW16" s="20" cm="1">
        <f t="array" ref="CW16">SUM(_xlfn._xlws.FILTER(일별!DI:DI, (일별!$A:$A &gt;= 월별!$A16) * (일별!$A:$A &lt; 월별!$A17), 0))</f>
        <v>0</v>
      </c>
      <c r="CX16" s="20" cm="1">
        <f t="array" ref="CX16">SUM(_xlfn._xlws.FILTER(일별!DJ:DJ, (일별!$A:$A &gt;= 월별!$A16) * (일별!$A:$A &lt; 월별!$A17), 0))</f>
        <v>0</v>
      </c>
      <c r="CY16" s="20" cm="1">
        <f t="array" ref="CY16">SUM(_xlfn._xlws.FILTER(일별!DK:DK, (일별!$A:$A &gt;= 월별!$A16) * (일별!$A:$A &lt; 월별!$A17), 0))</f>
        <v>0</v>
      </c>
      <c r="CZ16" s="20" cm="1">
        <f t="array" ref="CZ16">SUM(_xlfn._xlws.FILTER(일별!DL:DL, (일별!$A:$A &gt;= 월별!$A16) * (일별!$A:$A &lt; 월별!$A17), 0))</f>
        <v>0</v>
      </c>
      <c r="DA16" s="20" cm="1">
        <f t="array" ref="DA16">SUM(_xlfn._xlws.FILTER(일별!DM:DM, (일별!$A:$A &gt;= 월별!$A16) * (일별!$A:$A &lt; 월별!$A17), 0))</f>
        <v>0</v>
      </c>
      <c r="DB16" s="20" cm="1">
        <f t="array" ref="DB16">SUM(_xlfn._xlws.FILTER(일별!DN:DN, (일별!$A:$A &gt;= 월별!$A16) * (일별!$A:$A &lt; 월별!$A17), 0))</f>
        <v>0</v>
      </c>
      <c r="DC16" s="20" cm="1">
        <f t="array" ref="DC16">SUM(_xlfn._xlws.FILTER(일별!DO:DO, (일별!$A:$A &gt;= 월별!$A16) * (일별!$A:$A &lt; 월별!$A17), 0))</f>
        <v>0</v>
      </c>
      <c r="DD16" s="20" cm="1">
        <f t="array" ref="DD16">SUM(_xlfn._xlws.FILTER(일별!DP:DP, (일별!$A:$A &gt;= 월별!$A16) * (일별!$A:$A &lt; 월별!$A17), 0))</f>
        <v>0</v>
      </c>
      <c r="DE16" s="20" cm="1">
        <f t="array" ref="DE16">SUM(_xlfn._xlws.FILTER(일별!DQ:DQ, (일별!$A:$A &gt;= 월별!$A16) * (일별!$A:$A &lt; 월별!$A17), 0))</f>
        <v>0</v>
      </c>
      <c r="DF16" s="20" cm="1">
        <f t="array" ref="DF16">SUM(_xlfn._xlws.FILTER(일별!DR:DR, (일별!$A:$A &gt;= 월별!$A16) * (일별!$A:$A &lt; 월별!$A17), 0))</f>
        <v>0</v>
      </c>
      <c r="DG16" s="20" cm="1">
        <f t="array" ref="DG16">SUM(_xlfn._xlws.FILTER(일별!DS:DS, (일별!$A:$A &gt;= 월별!$A16) * (일별!$A:$A &lt; 월별!$A17), 0))</f>
        <v>0</v>
      </c>
      <c r="DH16" s="20" cm="1">
        <f t="array" ref="DH16">SUM(_xlfn._xlws.FILTER(일별!DT:DT, (일별!$A:$A &gt;= 월별!$A16) * (일별!$A:$A &lt; 월별!$A17), 0))</f>
        <v>0</v>
      </c>
      <c r="DI16" s="19" cm="1">
        <f t="array" ref="DI16">SUM(_xlfn._xlws.FILTER(일별!DU:DU, (일별!$A:$A &gt;= 월별!$A16) * (일별!$A:$A &lt; 월별!$A17), 0))</f>
        <v>0</v>
      </c>
    </row>
    <row r="17" spans="1:113" s="36" customFormat="1" ht="14.5">
      <c r="A17" s="260" t="s">
        <v>65</v>
      </c>
      <c r="B17" s="41">
        <f>SUM(B5:B16)</f>
        <v>0</v>
      </c>
      <c r="C17" s="41">
        <f>AVERAGE(C5:C16)</f>
        <v>0</v>
      </c>
      <c r="D17" s="119">
        <f t="shared" ref="D17" si="2">SUM(D5:D16)</f>
        <v>3028</v>
      </c>
      <c r="E17" s="120">
        <f t="shared" ref="E17" si="3">AVERAGE(E5:E16)</f>
        <v>8.4393113159242201</v>
      </c>
      <c r="F17" s="41">
        <f t="shared" ref="F17" si="4">SUM(F5:F16)</f>
        <v>2429</v>
      </c>
      <c r="G17" s="41">
        <f t="shared" ref="G17" si="5">AVERAGE(G5:G16)</f>
        <v>6.7762288786482339</v>
      </c>
      <c r="H17" s="119">
        <f t="shared" ref="H17" si="6">SUM(H5:H16)</f>
        <v>5457</v>
      </c>
      <c r="I17" s="120">
        <f t="shared" ref="I17" si="7">AVERAGE(I5:I16)</f>
        <v>15.215540194572453</v>
      </c>
      <c r="J17" s="119">
        <f t="shared" ref="J17" si="8">SUM(J5:J16)</f>
        <v>388.44999999999709</v>
      </c>
      <c r="K17" s="120">
        <f t="shared" ref="K17" si="9">AVERAGE(K5:K16)</f>
        <v>1.0781791474654305</v>
      </c>
      <c r="L17" s="41">
        <f t="shared" ref="L17" si="10">SUM(L5:L16)</f>
        <v>1289.2600000000002</v>
      </c>
      <c r="M17" s="41">
        <f t="shared" ref="M17" si="11">AVERAGE(M5:M16)</f>
        <v>3.6010506912442408</v>
      </c>
      <c r="N17" s="119">
        <f t="shared" ref="N17" si="12">SUM(N5:N16)</f>
        <v>83.200000000000188</v>
      </c>
      <c r="O17" s="121">
        <f t="shared" ref="O17" si="13">AVERAGE(O5:O16)</f>
        <v>0.23142473118279619</v>
      </c>
      <c r="P17" s="41">
        <f t="shared" ref="P17" si="14">SUM(P5:P16)</f>
        <v>9381</v>
      </c>
      <c r="Q17" s="41">
        <f t="shared" ref="Q17" si="15">AVERAGE(Q5:Q16)</f>
        <v>26.08271249359959</v>
      </c>
      <c r="R17" s="119">
        <f t="shared" ref="R17" si="16">SUM(R5:R16)</f>
        <v>12550</v>
      </c>
      <c r="S17" s="120">
        <f t="shared" ref="S17" si="17">AVERAGE(S5:S16)</f>
        <v>34.949001536098315</v>
      </c>
      <c r="T17" s="41">
        <f t="shared" ref="T17" si="18">SUM(T5:T16)</f>
        <v>0.5</v>
      </c>
      <c r="U17" s="41">
        <f t="shared" ref="U17" si="19">AVERAGE(U5:U16)</f>
        <v>1.6542498719918078E-3</v>
      </c>
      <c r="V17" s="119">
        <f t="shared" ref="V17" si="20">SUM(V5:V16)</f>
        <v>0.48000000000000398</v>
      </c>
      <c r="W17" s="120">
        <f t="shared" ref="W17" si="21">AVERAGE(W5:W16)</f>
        <v>1.4823348694316537E-3</v>
      </c>
      <c r="X17" s="41">
        <f>SUM(X5:X16)</f>
        <v>-302</v>
      </c>
      <c r="Y17" s="41">
        <f t="shared" ref="Y17" si="22">AVERAGE(Y5:Y16)</f>
        <v>-0.90068484383000502</v>
      </c>
      <c r="Z17" s="42">
        <f>SUM(Z5:Z16)</f>
        <v>10988127.320000008</v>
      </c>
      <c r="AA17" s="44">
        <f t="shared" ref="AA17:AP17" si="23">SUM(AA5:AA16)</f>
        <v>262388.44999999995</v>
      </c>
      <c r="AB17" s="44">
        <f t="shared" si="23"/>
        <v>0</v>
      </c>
      <c r="AC17" s="44">
        <f t="shared" si="23"/>
        <v>0</v>
      </c>
      <c r="AD17" s="44">
        <f t="shared" si="23"/>
        <v>0</v>
      </c>
      <c r="AE17" s="43">
        <f t="shared" si="23"/>
        <v>262388.44999999995</v>
      </c>
      <c r="AF17" s="41">
        <f t="shared" si="23"/>
        <v>1427</v>
      </c>
      <c r="AG17" s="41">
        <f t="shared" si="23"/>
        <v>47</v>
      </c>
      <c r="AH17" s="41">
        <f t="shared" si="23"/>
        <v>0</v>
      </c>
      <c r="AI17" s="41">
        <f t="shared" si="23"/>
        <v>0</v>
      </c>
      <c r="AJ17" s="42">
        <f t="shared" si="23"/>
        <v>69804</v>
      </c>
      <c r="AK17" s="44">
        <f t="shared" si="23"/>
        <v>2314</v>
      </c>
      <c r="AL17" s="44">
        <f t="shared" si="23"/>
        <v>0</v>
      </c>
      <c r="AM17" s="44">
        <f t="shared" si="23"/>
        <v>0</v>
      </c>
      <c r="AN17" s="44">
        <f t="shared" si="23"/>
        <v>2314</v>
      </c>
      <c r="AO17" s="43">
        <f t="shared" si="23"/>
        <v>72118</v>
      </c>
      <c r="AP17" s="265">
        <f t="shared" si="23"/>
        <v>22862.833333333336</v>
      </c>
      <c r="AQ17" s="266">
        <f t="shared" ref="AQ17:BQ17" si="24">AVERAGE(AQ5:AQ16)</f>
        <v>65.586773553507427</v>
      </c>
      <c r="AR17" s="266" t="e">
        <f t="shared" ref="AR17:AT17" si="25">SUM(AR5:AR16)</f>
        <v>#N/A</v>
      </c>
      <c r="AS17" s="267" t="e">
        <f t="shared" si="24"/>
        <v>#N/A</v>
      </c>
      <c r="AT17" s="266">
        <f t="shared" si="25"/>
        <v>5931.4320000000071</v>
      </c>
      <c r="AU17" s="267">
        <f t="shared" ref="AU17" si="26">AVERAGE(AU5:AU16)</f>
        <v>17.653071428571447</v>
      </c>
      <c r="AV17" s="268">
        <f t="shared" si="24"/>
        <v>93.5</v>
      </c>
      <c r="AW17" s="266">
        <f t="shared" si="24"/>
        <v>85.958333333333329</v>
      </c>
      <c r="AX17" s="266">
        <f t="shared" si="24"/>
        <v>93.5</v>
      </c>
      <c r="AY17" s="266">
        <f t="shared" si="24"/>
        <v>93.5</v>
      </c>
      <c r="AZ17" s="266">
        <f t="shared" si="24"/>
        <v>93.5</v>
      </c>
      <c r="BA17" s="266">
        <f t="shared" si="24"/>
        <v>93.5</v>
      </c>
      <c r="BB17" s="266">
        <f t="shared" si="24"/>
        <v>93.5</v>
      </c>
      <c r="BC17" s="266">
        <f t="shared" si="24"/>
        <v>93.5</v>
      </c>
      <c r="BD17" s="266">
        <f t="shared" si="24"/>
        <v>89.333333333333329</v>
      </c>
      <c r="BE17" s="266">
        <f t="shared" si="24"/>
        <v>93.5</v>
      </c>
      <c r="BF17" s="266">
        <f t="shared" si="24"/>
        <v>87.902777777777771</v>
      </c>
      <c r="BG17" s="266">
        <f t="shared" si="24"/>
        <v>91.5</v>
      </c>
      <c r="BH17" s="266">
        <f t="shared" si="24"/>
        <v>90.736111111111128</v>
      </c>
      <c r="BI17" s="266">
        <f t="shared" si="24"/>
        <v>89.5</v>
      </c>
      <c r="BJ17" s="266">
        <f t="shared" si="24"/>
        <v>88.708333333333329</v>
      </c>
      <c r="BK17" s="266">
        <f t="shared" si="24"/>
        <v>89.5</v>
      </c>
      <c r="BL17" s="266">
        <f t="shared" si="24"/>
        <v>79.5</v>
      </c>
      <c r="BM17" s="266">
        <f t="shared" si="24"/>
        <v>77.694444444444443</v>
      </c>
      <c r="BN17" s="266">
        <f t="shared" si="24"/>
        <v>78.7638888888889</v>
      </c>
      <c r="BO17" s="266">
        <f t="shared" si="24"/>
        <v>61.041666666666664</v>
      </c>
      <c r="BP17" s="266">
        <f t="shared" si="24"/>
        <v>75.5</v>
      </c>
      <c r="BQ17" s="269">
        <f t="shared" si="24"/>
        <v>71.597222222222214</v>
      </c>
      <c r="BR17" s="268" t="e">
        <f t="shared" ref="BR17:CM17" si="27">AVERAGE(BR5:BR16)</f>
        <v>#N/A</v>
      </c>
      <c r="BS17" s="266" t="e">
        <f t="shared" si="27"/>
        <v>#N/A</v>
      </c>
      <c r="BT17" s="266" t="e">
        <f t="shared" si="27"/>
        <v>#N/A</v>
      </c>
      <c r="BU17" s="266" t="e">
        <f t="shared" si="27"/>
        <v>#N/A</v>
      </c>
      <c r="BV17" s="266" t="e">
        <f t="shared" si="27"/>
        <v>#N/A</v>
      </c>
      <c r="BW17" s="266" t="e">
        <f t="shared" si="27"/>
        <v>#N/A</v>
      </c>
      <c r="BX17" s="266" t="e">
        <f t="shared" si="27"/>
        <v>#N/A</v>
      </c>
      <c r="BY17" s="266" t="e">
        <f t="shared" si="27"/>
        <v>#N/A</v>
      </c>
      <c r="BZ17" s="266" t="e">
        <f t="shared" si="27"/>
        <v>#N/A</v>
      </c>
      <c r="CA17" s="266" t="e">
        <f t="shared" si="27"/>
        <v>#N/A</v>
      </c>
      <c r="CB17" s="266" t="e">
        <f t="shared" si="27"/>
        <v>#N/A</v>
      </c>
      <c r="CC17" s="266" t="e">
        <f t="shared" si="27"/>
        <v>#N/A</v>
      </c>
      <c r="CD17" s="266" t="e">
        <f t="shared" si="27"/>
        <v>#N/A</v>
      </c>
      <c r="CE17" s="266" t="e">
        <f t="shared" si="27"/>
        <v>#N/A</v>
      </c>
      <c r="CF17" s="266" t="e">
        <f t="shared" si="27"/>
        <v>#N/A</v>
      </c>
      <c r="CG17" s="266" t="e">
        <f t="shared" si="27"/>
        <v>#N/A</v>
      </c>
      <c r="CH17" s="266" t="e">
        <f t="shared" si="27"/>
        <v>#N/A</v>
      </c>
      <c r="CI17" s="266" t="e">
        <f t="shared" si="27"/>
        <v>#N/A</v>
      </c>
      <c r="CJ17" s="266" t="e">
        <f t="shared" si="27"/>
        <v>#N/A</v>
      </c>
      <c r="CK17" s="266" t="e">
        <f t="shared" si="27"/>
        <v>#N/A</v>
      </c>
      <c r="CL17" s="266" t="e">
        <f t="shared" si="27"/>
        <v>#N/A</v>
      </c>
      <c r="CM17" s="269" t="e">
        <f t="shared" si="27"/>
        <v>#N/A</v>
      </c>
      <c r="CN17" s="268">
        <f t="shared" ref="CN17:DI17" si="28">AVERAGE(CN5:CN16)</f>
        <v>23.364666666666668</v>
      </c>
      <c r="CO17" s="266">
        <f t="shared" si="28"/>
        <v>20.26275</v>
      </c>
      <c r="CP17" s="266">
        <f t="shared" si="28"/>
        <v>23.293833333333335</v>
      </c>
      <c r="CQ17" s="266">
        <f t="shared" si="28"/>
        <v>23.314583333333331</v>
      </c>
      <c r="CR17" s="266">
        <f t="shared" si="28"/>
        <v>23.350083333333334</v>
      </c>
      <c r="CS17" s="266">
        <f t="shared" si="28"/>
        <v>23.349083333333336</v>
      </c>
      <c r="CT17" s="266">
        <f t="shared" si="28"/>
        <v>23.268583333333336</v>
      </c>
      <c r="CU17" s="266">
        <f t="shared" si="28"/>
        <v>23.305333333333333</v>
      </c>
      <c r="CV17" s="266">
        <f t="shared" si="28"/>
        <v>21.709416666666669</v>
      </c>
      <c r="CW17" s="266">
        <f t="shared" si="28"/>
        <v>22.46683333333333</v>
      </c>
      <c r="CX17" s="266">
        <f t="shared" si="28"/>
        <v>21.875166666666672</v>
      </c>
      <c r="CY17" s="266">
        <f t="shared" si="28"/>
        <v>23.40025</v>
      </c>
      <c r="CZ17" s="266">
        <f t="shared" si="28"/>
        <v>22.953749999999999</v>
      </c>
      <c r="DA17" s="266">
        <f t="shared" si="28"/>
        <v>23.320083333333329</v>
      </c>
      <c r="DB17" s="266">
        <f t="shared" si="28"/>
        <v>22.951083333333333</v>
      </c>
      <c r="DC17" s="266">
        <f t="shared" si="28"/>
        <v>22.913499999999999</v>
      </c>
      <c r="DD17" s="266">
        <f t="shared" si="28"/>
        <v>22.89425</v>
      </c>
      <c r="DE17" s="266">
        <f t="shared" si="28"/>
        <v>22.002583333333337</v>
      </c>
      <c r="DF17" s="266">
        <f t="shared" si="28"/>
        <v>22.518333333333331</v>
      </c>
      <c r="DG17" s="266">
        <f t="shared" si="28"/>
        <v>16.659749999999999</v>
      </c>
      <c r="DH17" s="266">
        <f t="shared" si="28"/>
        <v>23.509666666666664</v>
      </c>
      <c r="DI17" s="269">
        <f t="shared" si="28"/>
        <v>21.602416666666667</v>
      </c>
    </row>
  </sheetData>
  <mergeCells count="3">
    <mergeCell ref="AV3:BQ3"/>
    <mergeCell ref="BR3:CM3"/>
    <mergeCell ref="CN3:DI3"/>
  </mergeCells>
  <phoneticPr fontId="3" type="noConversion"/>
  <conditionalFormatting sqref="A4:A16">
    <cfRule type="expression" dxfId="19" priority="31">
      <formula>TODAY()-1=$A4</formula>
    </cfRule>
  </conditionalFormatting>
  <conditionalFormatting sqref="B5:DI16">
    <cfRule type="expression" dxfId="18" priority="1">
      <formula>TODAY()-1=$A5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9435-3A37-4CE9-B722-8A7A7E7242B4}">
  <dimension ref="A1:R23"/>
  <sheetViews>
    <sheetView showGridLines="0" zoomScale="85" zoomScaleNormal="85" workbookViewId="0">
      <selection activeCell="F36" sqref="F36"/>
    </sheetView>
  </sheetViews>
  <sheetFormatPr defaultRowHeight="17"/>
  <cols>
    <col min="2" max="2" width="10.33203125" customWidth="1"/>
    <col min="3" max="3" width="10.33203125" style="47" customWidth="1"/>
    <col min="4" max="4" width="10.33203125" customWidth="1"/>
    <col min="5" max="5" width="10.33203125" style="48" customWidth="1"/>
    <col min="6" max="6" width="10.33203125" customWidth="1"/>
    <col min="7" max="7" width="10.33203125" style="48" customWidth="1"/>
    <col min="8" max="13" width="10.33203125" customWidth="1"/>
    <col min="14" max="14" width="10.33203125" style="48" customWidth="1"/>
    <col min="15" max="15" width="10.33203125" customWidth="1"/>
    <col min="16" max="16" width="8.58203125" style="48"/>
  </cols>
  <sheetData>
    <row r="1" spans="1:18" s="35" customFormat="1" ht="31.5" customHeight="1">
      <c r="A1" s="292">
        <v>2026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</row>
    <row r="2" spans="1:18" s="35" customFormat="1" ht="22.5" customHeight="1" thickBot="1">
      <c r="A2" s="323">
        <f ca="1">TODAY()-2</f>
        <v>46118</v>
      </c>
      <c r="B2" s="323"/>
      <c r="C2" s="323"/>
      <c r="D2" s="323"/>
      <c r="E2" s="323"/>
      <c r="F2" s="323"/>
      <c r="G2" s="323"/>
      <c r="H2" s="323"/>
      <c r="I2" s="324" t="s">
        <v>66</v>
      </c>
      <c r="J2" s="324"/>
      <c r="K2" s="324"/>
      <c r="L2" s="324"/>
      <c r="M2" s="324"/>
      <c r="N2" s="324"/>
      <c r="O2" s="324"/>
      <c r="P2" s="324"/>
      <c r="Q2" s="324"/>
      <c r="R2" s="324"/>
    </row>
    <row r="4" spans="1:18" s="55" customFormat="1">
      <c r="B4" s="69" t="s">
        <v>67</v>
      </c>
      <c r="C4" s="70"/>
      <c r="D4" s="71"/>
      <c r="E4" s="70"/>
      <c r="F4" s="71"/>
      <c r="G4" s="72"/>
      <c r="H4" s="56"/>
      <c r="I4" s="84" t="s">
        <v>68</v>
      </c>
      <c r="J4" s="85"/>
      <c r="K4" s="85"/>
      <c r="L4" s="85"/>
      <c r="M4" s="85"/>
      <c r="N4" s="86"/>
      <c r="O4" s="85"/>
      <c r="P4" s="87"/>
      <c r="Q4" s="57" t="s">
        <v>69</v>
      </c>
      <c r="R4" s="58" t="s">
        <v>70</v>
      </c>
    </row>
    <row r="5" spans="1:18">
      <c r="B5" s="64" t="s">
        <v>71</v>
      </c>
      <c r="C5" s="61">
        <f>일별!Q2</f>
        <v>17</v>
      </c>
      <c r="D5" s="64" t="s">
        <v>72</v>
      </c>
      <c r="E5" s="67">
        <f>일별!I2</f>
        <v>9</v>
      </c>
      <c r="F5" s="49" t="s">
        <v>73</v>
      </c>
      <c r="G5" s="67">
        <f>일별!K2</f>
        <v>11</v>
      </c>
      <c r="H5" s="49"/>
      <c r="I5" s="64" t="s">
        <v>63</v>
      </c>
      <c r="J5" s="50">
        <f>일별!AD2</f>
        <v>30</v>
      </c>
      <c r="K5" s="81" t="s">
        <v>8</v>
      </c>
      <c r="L5" s="82">
        <f>일별!X2</f>
        <v>24</v>
      </c>
      <c r="M5" s="81" t="s">
        <v>74</v>
      </c>
      <c r="N5" s="82">
        <f>일별!AX2</f>
        <v>50</v>
      </c>
      <c r="O5" s="49" t="s">
        <v>75</v>
      </c>
      <c r="P5" s="67">
        <v>45</v>
      </c>
      <c r="Q5" s="51" t="s">
        <v>76</v>
      </c>
      <c r="R5" s="52" t="s">
        <v>77</v>
      </c>
    </row>
    <row r="6" spans="1:18" s="49" customFormat="1">
      <c r="B6" s="65">
        <f ca="1">VLOOKUP($A$2,일별!$A$5:$BG$370,C5,0)</f>
        <v>76</v>
      </c>
      <c r="C6" s="62">
        <f ca="1">B6-B7</f>
        <v>10</v>
      </c>
      <c r="D6" s="65">
        <f ca="1">VLOOKUP($A$2,일별!$A$5:$BG$370,E5,0)</f>
        <v>3.8600000000005821</v>
      </c>
      <c r="E6" s="60">
        <f ca="1">D6-D7</f>
        <v>2.0600000000013097</v>
      </c>
      <c r="F6" s="59">
        <f ca="1">VLOOKUP($A$2,일별!$A$5:$BG$370,G5,0)</f>
        <v>0.5499999999992724</v>
      </c>
      <c r="G6" s="60">
        <f ca="1">F6-F7</f>
        <v>-0.11000000000058208</v>
      </c>
      <c r="I6" s="65">
        <f ca="1">VLOOKUP($A$2,일별!$A$5:$BG$370,J5,0)</f>
        <v>0</v>
      </c>
      <c r="J6" s="77">
        <f ca="1">I6-I7</f>
        <v>-1</v>
      </c>
      <c r="K6" s="65">
        <f ca="1">VLOOKUP($A$2,일별!$A$5:$BG$370,L5,0)</f>
        <v>831.85999999940395</v>
      </c>
      <c r="L6" s="83">
        <f ca="1">K6-K7</f>
        <v>339.53000000119209</v>
      </c>
      <c r="M6" s="65">
        <f ca="1">VLOOKUP($A$2,일별!$A$5:$BG$370,N5,0)</f>
        <v>0</v>
      </c>
      <c r="N6" s="60">
        <f ca="1">M6-M7</f>
        <v>0</v>
      </c>
      <c r="O6" s="78">
        <f ca="1">VLOOKUP($A$2,일별!$A$5:$BG$370,P5,0)</f>
        <v>0</v>
      </c>
      <c r="P6" s="60"/>
    </row>
    <row r="7" spans="1:18" s="54" customFormat="1">
      <c r="A7" s="51"/>
      <c r="B7" s="66">
        <f ca="1">VLOOKUP($A$2-1,일별!$A$5:$BG$370,C5,0)</f>
        <v>66</v>
      </c>
      <c r="C7" s="63"/>
      <c r="D7" s="66">
        <f ca="1">VLOOKUP($A$2-1,일별!$A$5:$BG$370,E5,0)</f>
        <v>1.7999999999992724</v>
      </c>
      <c r="E7" s="68"/>
      <c r="F7" s="53">
        <f ca="1">VLOOKUP($A$2-1,일별!$A$5:$BG$370,G5,0)</f>
        <v>0.65999999999985448</v>
      </c>
      <c r="G7" s="68"/>
      <c r="H7" s="51"/>
      <c r="I7" s="66">
        <f ca="1">VLOOKUP($A$2-1,일별!$A$5:$BG$370,J5,0)</f>
        <v>1</v>
      </c>
      <c r="J7" s="51"/>
      <c r="K7" s="66">
        <f ca="1">VLOOKUP($A$2-1,일별!$A$5:$BG$370,L5,0)</f>
        <v>492.32999999821186</v>
      </c>
      <c r="L7" s="68"/>
      <c r="M7" s="66">
        <f ca="1">VLOOKUP($A$2-1,일별!$A$5:$BG$370,N5,0)</f>
        <v>0</v>
      </c>
      <c r="N7" s="68"/>
      <c r="O7" s="79">
        <f ca="1">VLOOKUP($A$2-1,일별!$A$5:$BG$370,P5,0)</f>
        <v>0</v>
      </c>
      <c r="P7" s="68"/>
      <c r="Q7" s="51"/>
    </row>
    <row r="8" spans="1:18">
      <c r="B8" s="73"/>
      <c r="C8" s="74"/>
      <c r="D8" s="73"/>
      <c r="E8" s="75"/>
      <c r="F8" s="76"/>
      <c r="G8" s="75"/>
      <c r="H8" s="49"/>
      <c r="I8" s="73"/>
      <c r="J8" s="80"/>
      <c r="K8" s="73"/>
      <c r="L8" s="75"/>
      <c r="M8" s="73"/>
      <c r="N8" s="75"/>
      <c r="O8" s="76"/>
      <c r="P8" s="75"/>
      <c r="Q8" s="49"/>
    </row>
    <row r="9" spans="1:18" s="55" customFormat="1">
      <c r="B9" s="69" t="s">
        <v>78</v>
      </c>
      <c r="C9" s="70"/>
      <c r="D9" s="69" t="s">
        <v>79</v>
      </c>
      <c r="E9" s="70"/>
      <c r="F9" s="71"/>
      <c r="G9" s="72"/>
      <c r="H9" s="56"/>
      <c r="I9" s="88" t="s">
        <v>80</v>
      </c>
      <c r="J9" s="89"/>
      <c r="K9" s="89"/>
      <c r="L9" s="89"/>
      <c r="M9" s="89"/>
      <c r="N9" s="90"/>
      <c r="O9" s="89"/>
      <c r="P9" s="91"/>
      <c r="Q9" s="56"/>
    </row>
    <row r="10" spans="1:18">
      <c r="B10" s="64" t="s">
        <v>81</v>
      </c>
      <c r="C10" s="61">
        <f>일별!W2</f>
        <v>23</v>
      </c>
      <c r="D10" s="64" t="s">
        <v>82</v>
      </c>
      <c r="E10" s="67">
        <f>일별!E2</f>
        <v>5</v>
      </c>
      <c r="F10" s="49" t="s">
        <v>83</v>
      </c>
      <c r="G10" s="67">
        <f>일별!G2</f>
        <v>7</v>
      </c>
      <c r="H10" s="49"/>
      <c r="I10" s="64" t="s">
        <v>63</v>
      </c>
      <c r="J10" s="50">
        <f>일별!AE2</f>
        <v>31</v>
      </c>
      <c r="K10" s="81" t="s">
        <v>8</v>
      </c>
      <c r="L10" s="82">
        <f>일별!Y2</f>
        <v>25</v>
      </c>
      <c r="M10" s="81" t="s">
        <v>74</v>
      </c>
      <c r="N10" s="82">
        <f>일별!AY2</f>
        <v>51</v>
      </c>
      <c r="O10" s="49" t="s">
        <v>75</v>
      </c>
      <c r="P10" s="67">
        <v>47</v>
      </c>
      <c r="Q10" s="49"/>
    </row>
    <row r="11" spans="1:18" s="49" customFormat="1">
      <c r="B11" s="65">
        <f ca="1">VLOOKUP($A$2,일별!$A$5:$BG$370,C10,0)</f>
        <v>131</v>
      </c>
      <c r="C11" s="62">
        <f ca="1">B11-B12</f>
        <v>74</v>
      </c>
      <c r="D11" s="65">
        <f ca="1">VLOOKUP($A$2,일별!$A$5:$BG$370,E10,0)</f>
        <v>13</v>
      </c>
      <c r="E11" s="60">
        <f ca="1">D11-D12</f>
        <v>0</v>
      </c>
      <c r="F11" s="59">
        <f ca="1">VLOOKUP($A$2,일별!$A$5:$BG$370,G10,0)</f>
        <v>27</v>
      </c>
      <c r="G11" s="60">
        <f ca="1">F11-F12</f>
        <v>27</v>
      </c>
      <c r="I11" s="65">
        <f ca="1">VLOOKUP($A$2,일별!$A$5:$BG$370,J10,0)</f>
        <v>0</v>
      </c>
      <c r="J11" s="62">
        <f ca="1">I11-I12</f>
        <v>0</v>
      </c>
      <c r="K11" s="65">
        <f ca="1">VLOOKUP($A$2,일별!$A$5:$BG$370,L10,0)</f>
        <v>0</v>
      </c>
      <c r="L11" s="60">
        <f ca="1">K11-K12</f>
        <v>0</v>
      </c>
      <c r="M11" s="65">
        <f ca="1">VLOOKUP($A$2,일별!$A$5:$BG$370,N10,0)</f>
        <v>0</v>
      </c>
      <c r="N11" s="60">
        <f ca="1">M11-M12</f>
        <v>0</v>
      </c>
      <c r="O11" s="96">
        <f ca="1">VLOOKUP($A$2,일별!$A$5:$BG$370,P10,0)</f>
        <v>0</v>
      </c>
      <c r="P11" s="60"/>
    </row>
    <row r="12" spans="1:18" s="54" customFormat="1">
      <c r="B12" s="66">
        <f ca="1">VLOOKUP($A$2-1,일별!$A$5:$BG$370,C10,0)</f>
        <v>57</v>
      </c>
      <c r="C12" s="63"/>
      <c r="D12" s="66">
        <f ca="1">VLOOKUP($A$2-1,일별!$A$5:$BG$370,E10,0)</f>
        <v>13</v>
      </c>
      <c r="E12" s="68"/>
      <c r="F12" s="53">
        <f ca="1">VLOOKUP($A$2-1,일별!$A$5:$BG$370,G10,0)</f>
        <v>0</v>
      </c>
      <c r="G12" s="68"/>
      <c r="H12" s="51"/>
      <c r="I12" s="66">
        <f ca="1">VLOOKUP($A$2-1,일별!$A$5:$BG$370,J10,0)</f>
        <v>0</v>
      </c>
      <c r="J12" s="51"/>
      <c r="K12" s="66">
        <f ca="1">VLOOKUP($A$2-1,일별!$A$5:$BG$370,L10,0)</f>
        <v>0</v>
      </c>
      <c r="L12" s="68"/>
      <c r="M12" s="66">
        <f ca="1">VLOOKUP($A$2-1,일별!$A$5:$BG$370,N10,0)</f>
        <v>0</v>
      </c>
      <c r="N12" s="68"/>
      <c r="O12" s="97">
        <f ca="1">VLOOKUP($A$2-1,일별!$A$5:$BG$370,P10,0)</f>
        <v>0</v>
      </c>
      <c r="P12" s="68"/>
      <c r="Q12" s="51"/>
    </row>
    <row r="13" spans="1:18">
      <c r="B13" s="64"/>
      <c r="C13" s="61"/>
      <c r="D13" s="64"/>
      <c r="E13" s="67"/>
      <c r="F13" s="76"/>
      <c r="G13" s="75"/>
      <c r="H13" s="49"/>
      <c r="I13" s="73"/>
      <c r="J13" s="80"/>
      <c r="K13" s="73"/>
      <c r="L13" s="75"/>
      <c r="M13" s="73"/>
      <c r="N13" s="75"/>
      <c r="O13" s="76"/>
      <c r="P13" s="75"/>
      <c r="Q13" s="49"/>
    </row>
    <row r="14" spans="1:18" s="55" customFormat="1">
      <c r="B14" s="69" t="s">
        <v>84</v>
      </c>
      <c r="C14" s="70"/>
      <c r="D14" s="71"/>
      <c r="E14" s="72"/>
      <c r="F14" s="56"/>
      <c r="G14" s="95"/>
      <c r="H14" s="56"/>
      <c r="I14" s="88" t="s">
        <v>85</v>
      </c>
      <c r="J14" s="89"/>
      <c r="K14" s="89"/>
      <c r="L14" s="89"/>
      <c r="M14" s="89"/>
      <c r="N14" s="90"/>
      <c r="O14" s="89"/>
      <c r="P14" s="91"/>
      <c r="Q14" s="56"/>
    </row>
    <row r="15" spans="1:18">
      <c r="B15" s="64" t="s">
        <v>5</v>
      </c>
      <c r="C15" s="61">
        <f>일별!O2</f>
        <v>15</v>
      </c>
      <c r="D15" s="81" t="s">
        <v>86</v>
      </c>
      <c r="E15" s="94">
        <f>일별!M2</f>
        <v>13</v>
      </c>
      <c r="F15" s="49"/>
      <c r="G15" s="50"/>
      <c r="H15" s="49"/>
      <c r="I15" s="64" t="s">
        <v>63</v>
      </c>
      <c r="J15" s="50">
        <f>일별!AF2</f>
        <v>32</v>
      </c>
      <c r="K15" s="81" t="s">
        <v>8</v>
      </c>
      <c r="L15" s="82">
        <f>일별!Z2</f>
        <v>26</v>
      </c>
      <c r="M15" s="81" t="s">
        <v>74</v>
      </c>
      <c r="N15" s="82"/>
      <c r="O15" s="49" t="s">
        <v>75</v>
      </c>
      <c r="P15" s="67"/>
      <c r="Q15" s="49"/>
    </row>
    <row r="16" spans="1:18">
      <c r="B16" s="65">
        <f ca="1">VLOOKUP($A$2,일별!$A$5:$BG$370,C15,0)</f>
        <v>74</v>
      </c>
      <c r="C16" s="62">
        <f ca="1">B16-B17</f>
        <v>74</v>
      </c>
      <c r="D16" s="117">
        <f ca="1">VLOOKUP($A$2,일별!$A$5:$BG$370,E15,0)</f>
        <v>0.80000000000000426</v>
      </c>
      <c r="E16" s="118">
        <f ca="1">D16-D17</f>
        <v>0.40000000000000568</v>
      </c>
      <c r="F16" s="49"/>
      <c r="G16" s="50"/>
      <c r="H16" s="49"/>
      <c r="I16" s="65">
        <f ca="1">VLOOKUP($A$2,일별!$A$5:$BG$370,J15,0)</f>
        <v>0</v>
      </c>
      <c r="J16" s="77"/>
      <c r="K16" s="65">
        <f ca="1">VLOOKUP($A$2,일별!$A$5:$BG$370,L15,0)</f>
        <v>0</v>
      </c>
      <c r="L16" s="83"/>
      <c r="M16" s="65" t="s">
        <v>87</v>
      </c>
      <c r="N16" s="60"/>
      <c r="O16" s="78" t="s">
        <v>87</v>
      </c>
      <c r="P16" s="60"/>
      <c r="Q16" s="49"/>
    </row>
    <row r="17" spans="2:17">
      <c r="B17" s="66">
        <f ca="1">VLOOKUP($A$2-1,일별!$A$5:$BG$370,C15,0)</f>
        <v>0</v>
      </c>
      <c r="C17" s="63"/>
      <c r="D17" s="116">
        <f ca="1">VLOOKUP($A$2-1,일별!$A$5:$BG$370,E15,0)</f>
        <v>0.39999999999999858</v>
      </c>
      <c r="E17" s="68"/>
      <c r="F17" s="53"/>
      <c r="G17" s="50"/>
      <c r="H17" s="49"/>
      <c r="I17" s="66">
        <f ca="1">VLOOKUP($A$2-1,일별!$A$5:$BG$370,J15,0)</f>
        <v>0</v>
      </c>
      <c r="J17" s="51"/>
      <c r="K17" s="66">
        <f ca="1">VLOOKUP($A$2-1,일별!$A$5:$BG$370,L15,0)</f>
        <v>0</v>
      </c>
      <c r="L17" s="68"/>
      <c r="M17" s="66" t="s">
        <v>88</v>
      </c>
      <c r="N17" s="68"/>
      <c r="O17" s="79" t="s">
        <v>88</v>
      </c>
      <c r="P17" s="68"/>
      <c r="Q17" s="49"/>
    </row>
    <row r="18" spans="2:17">
      <c r="B18" s="73"/>
      <c r="C18" s="74"/>
      <c r="D18" s="73"/>
      <c r="E18" s="75"/>
      <c r="F18" s="49"/>
      <c r="G18" s="50"/>
      <c r="H18" s="49"/>
      <c r="I18" s="73"/>
      <c r="J18" s="80"/>
      <c r="K18" s="73"/>
      <c r="L18" s="75"/>
      <c r="M18" s="73"/>
      <c r="N18" s="75"/>
      <c r="O18" s="76"/>
      <c r="P18" s="75"/>
      <c r="Q18" s="49"/>
    </row>
    <row r="19" spans="2:17" s="55" customFormat="1">
      <c r="B19" s="69" t="s">
        <v>89</v>
      </c>
      <c r="C19" s="70"/>
      <c r="D19" s="92"/>
      <c r="E19" s="93"/>
      <c r="F19" s="71"/>
      <c r="G19" s="72"/>
      <c r="H19" s="56"/>
      <c r="I19" s="88" t="s">
        <v>90</v>
      </c>
      <c r="J19" s="89"/>
      <c r="K19" s="89"/>
      <c r="L19" s="89"/>
      <c r="M19" s="89"/>
      <c r="N19" s="90"/>
      <c r="O19" s="89"/>
      <c r="P19" s="91"/>
      <c r="Q19" s="56"/>
    </row>
    <row r="20" spans="2:17">
      <c r="B20" s="64" t="s">
        <v>91</v>
      </c>
      <c r="C20" s="61">
        <f>일별!T2</f>
        <v>20</v>
      </c>
      <c r="D20" s="64" t="s">
        <v>81</v>
      </c>
      <c r="E20" s="67">
        <f>일별!R2</f>
        <v>18</v>
      </c>
      <c r="F20" s="49" t="s">
        <v>92</v>
      </c>
      <c r="G20" s="67">
        <f>일별!C2</f>
        <v>3</v>
      </c>
      <c r="H20" s="49"/>
      <c r="I20" s="64" t="s">
        <v>63</v>
      </c>
      <c r="J20" s="50">
        <f>일별!AG2</f>
        <v>33</v>
      </c>
      <c r="K20" s="81" t="s">
        <v>8</v>
      </c>
      <c r="L20" s="82">
        <f>일별!AA2</f>
        <v>27</v>
      </c>
      <c r="M20" s="81" t="s">
        <v>74</v>
      </c>
      <c r="N20" s="82">
        <v>40</v>
      </c>
      <c r="O20" s="49" t="s">
        <v>75</v>
      </c>
      <c r="P20" s="67"/>
      <c r="Q20" s="49"/>
    </row>
    <row r="21" spans="2:17">
      <c r="B21" s="98">
        <f ca="1">VLOOKUP($A$2,일별!$A$5:$BG$370,C20,0)</f>
        <v>33.44</v>
      </c>
      <c r="C21" s="100">
        <f ca="1">B21-B22</f>
        <v>1.9999999999996021E-2</v>
      </c>
      <c r="D21" s="98">
        <f ca="1">VLOOKUP($A$2,일별!$A$5:$BG$370,E20,0)</f>
        <v>33.81</v>
      </c>
      <c r="E21" s="101">
        <f ca="1">D21-D22</f>
        <v>3.9999999999999147E-2</v>
      </c>
      <c r="F21" s="59">
        <f ca="1">VLOOKUP($A$2,일별!$A$5:$BG$370,G20,0)</f>
        <v>0</v>
      </c>
      <c r="G21" s="60">
        <f ca="1">F21-F22</f>
        <v>0</v>
      </c>
      <c r="H21" s="49"/>
      <c r="I21" s="65">
        <f ca="1">VLOOKUP($A$2,일별!$A$5:$BG$370,J20,0)</f>
        <v>0</v>
      </c>
      <c r="J21" s="77"/>
      <c r="K21" s="65">
        <f ca="1">VLOOKUP($A$2,일별!$A$5:$BG$370,L20,0)</f>
        <v>0</v>
      </c>
      <c r="L21" s="83"/>
      <c r="M21" s="65" t="s">
        <v>87</v>
      </c>
      <c r="N21" s="60"/>
      <c r="O21" s="78" t="s">
        <v>87</v>
      </c>
      <c r="P21" s="60"/>
      <c r="Q21" s="49"/>
    </row>
    <row r="22" spans="2:17">
      <c r="B22" s="99">
        <f ca="1">VLOOKUP($A$2-1,일별!$A$5:$BG$370,C20,0)</f>
        <v>33.42</v>
      </c>
      <c r="C22" s="63"/>
      <c r="D22" s="99">
        <f ca="1">VLOOKUP($A$2-1,일별!$A$5:$BG$370,E20,0)</f>
        <v>33.770000000000003</v>
      </c>
      <c r="E22" s="68"/>
      <c r="F22" s="53">
        <f ca="1">VLOOKUP($A$2-1,일별!$A$5:$BG$370,G20,0)</f>
        <v>0</v>
      </c>
      <c r="G22" s="68"/>
      <c r="H22" s="49"/>
      <c r="I22" s="66">
        <f ca="1">VLOOKUP($A$2-1,일별!$A$5:$BG$370,J20,0)</f>
        <v>0</v>
      </c>
      <c r="J22" s="51"/>
      <c r="K22" s="66">
        <f ca="1">VLOOKUP($A$2-1,일별!$A$5:$BG$370,L20,0)</f>
        <v>0</v>
      </c>
      <c r="L22" s="68"/>
      <c r="M22" s="66" t="s">
        <v>88</v>
      </c>
      <c r="N22" s="68"/>
      <c r="O22" s="79" t="s">
        <v>88</v>
      </c>
      <c r="P22" s="68"/>
      <c r="Q22" s="49"/>
    </row>
    <row r="23" spans="2:17">
      <c r="B23" s="73"/>
      <c r="C23" s="74"/>
      <c r="D23" s="73"/>
      <c r="E23" s="75"/>
      <c r="F23" s="76"/>
      <c r="G23" s="75"/>
      <c r="I23" s="73"/>
      <c r="J23" s="80"/>
      <c r="K23" s="73"/>
      <c r="L23" s="75"/>
      <c r="M23" s="73"/>
      <c r="N23" s="75"/>
      <c r="O23" s="76"/>
      <c r="P23" s="75"/>
    </row>
  </sheetData>
  <mergeCells count="3">
    <mergeCell ref="A2:H2"/>
    <mergeCell ref="I2:R2"/>
    <mergeCell ref="A1:R1"/>
  </mergeCells>
  <phoneticPr fontId="3" type="noConversion"/>
  <conditionalFormatting sqref="C6 C16 E16 E6 G6 J6 L6 N6 C11 E11 G11 C21 E21 G21 J11 L11 N11">
    <cfRule type="iconSet" priority="5">
      <iconSet iconSet="3Arrows">
        <cfvo type="percent" val="0"/>
        <cfvo type="num" val="0"/>
        <cfvo type="num" val="1"/>
      </iconSet>
    </cfRule>
  </conditionalFormatting>
  <conditionalFormatting sqref="C16 E6 G6 C6 E11 G11 C11 E21 G21 C21">
    <cfRule type="iconSet" priority="6">
      <iconSet iconSet="3Arrows">
        <cfvo type="percent" val="0"/>
        <cfvo type="num" val="0"/>
        <cfvo type="percent" val="1" gte="0"/>
      </iconSet>
    </cfRule>
  </conditionalFormatting>
  <conditionalFormatting sqref="J6 L6 J11 L11">
    <cfRule type="iconSet" priority="7">
      <iconSet iconSet="3Arrows">
        <cfvo type="percent" val="0"/>
        <cfvo type="num" val="0"/>
        <cfvo type="num" val="1"/>
      </iconSet>
    </cfRule>
  </conditionalFormatting>
  <conditionalFormatting sqref="J16 L16 N16">
    <cfRule type="iconSet" priority="3">
      <iconSet iconSet="3Arrows">
        <cfvo type="percent" val="0"/>
        <cfvo type="num" val="0"/>
        <cfvo type="num" val="1"/>
      </iconSet>
    </cfRule>
  </conditionalFormatting>
  <conditionalFormatting sqref="J16 L16">
    <cfRule type="iconSet" priority="4">
      <iconSet iconSet="3Arrows">
        <cfvo type="percent" val="0"/>
        <cfvo type="num" val="0"/>
        <cfvo type="num" val="1"/>
      </iconSet>
    </cfRule>
  </conditionalFormatting>
  <conditionalFormatting sqref="J21 L21 N21">
    <cfRule type="iconSet" priority="1">
      <iconSet iconSet="3Arrows">
        <cfvo type="percent" val="0"/>
        <cfvo type="num" val="0"/>
        <cfvo type="num" val="1"/>
      </iconSet>
    </cfRule>
  </conditionalFormatting>
  <conditionalFormatting sqref="J21 L21">
    <cfRule type="iconSet" priority="2">
      <iconSet iconSet="3Arrows">
        <cfvo type="percent" val="0"/>
        <cfvo type="num" val="0"/>
        <cfvo type="num" val="1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FF69-742C-4422-9FF5-F6AA216BAF97}">
  <dimension ref="A1:DV370"/>
  <sheetViews>
    <sheetView showGridLines="0" tabSelected="1" zoomScale="85" zoomScaleNormal="85" workbookViewId="0">
      <pane xSplit="1" ySplit="4" topLeftCell="B89" activePane="bottomRight" state="frozen"/>
      <selection pane="topRight" activeCell="B1" sqref="B1"/>
      <selection pane="bottomLeft" activeCell="A5" sqref="A5"/>
      <selection pane="bottomRight" activeCell="AM102" sqref="AM102"/>
    </sheetView>
  </sheetViews>
  <sheetFormatPr defaultColWidth="8.58203125" defaultRowHeight="14.5"/>
  <cols>
    <col min="1" max="1" width="9.75" style="30" bestFit="1" customWidth="1"/>
    <col min="2" max="18" width="8.58203125" style="30"/>
    <col min="19" max="19" width="8.58203125" style="183"/>
    <col min="20" max="23" width="8.58203125" style="30"/>
    <col min="24" max="27" width="11.58203125" style="30" customWidth="1"/>
    <col min="28" max="28" width="15" style="30" bestFit="1" customWidth="1"/>
    <col min="29" max="29" width="11.58203125" style="30" customWidth="1"/>
    <col min="30" max="33" width="8.83203125" style="30" bestFit="1" customWidth="1"/>
    <col min="34" max="34" width="11" style="30" bestFit="1" customWidth="1"/>
    <col min="35" max="37" width="8.83203125" style="30" bestFit="1" customWidth="1"/>
    <col min="38" max="39" width="14.33203125" style="181" customWidth="1"/>
    <col min="40" max="40" width="12.75" style="181" customWidth="1"/>
    <col min="41" max="41" width="14.33203125" style="181" customWidth="1"/>
    <col min="42" max="42" width="12.75" style="181" customWidth="1"/>
    <col min="43" max="45" width="14.33203125" style="181" customWidth="1"/>
    <col min="46" max="49" width="1.83203125" style="184" customWidth="1"/>
    <col min="50" max="55" width="9.25" style="30" customWidth="1"/>
    <col min="56" max="59" width="7.5" style="30" customWidth="1"/>
    <col min="60" max="103" width="8.58203125" style="30"/>
    <col min="104" max="104" width="8.58203125" style="185"/>
    <col min="105" max="16384" width="8.58203125" style="30"/>
  </cols>
  <sheetData>
    <row r="1" spans="1:126">
      <c r="S1" s="30"/>
      <c r="AH1" s="173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CZ1" s="30"/>
    </row>
    <row r="2" spans="1:126">
      <c r="A2" s="30">
        <v>1</v>
      </c>
      <c r="B2" s="30">
        <v>2</v>
      </c>
      <c r="C2" s="30">
        <v>3</v>
      </c>
      <c r="D2" s="30">
        <v>4</v>
      </c>
      <c r="E2" s="30">
        <v>5</v>
      </c>
      <c r="F2" s="30">
        <v>6</v>
      </c>
      <c r="G2" s="30">
        <v>7</v>
      </c>
      <c r="H2" s="30">
        <v>8</v>
      </c>
      <c r="I2" s="30">
        <v>9</v>
      </c>
      <c r="J2" s="30">
        <v>10</v>
      </c>
      <c r="K2" s="30">
        <v>11</v>
      </c>
      <c r="L2" s="30">
        <v>12</v>
      </c>
      <c r="M2" s="30">
        <v>13</v>
      </c>
      <c r="N2" s="30">
        <v>14</v>
      </c>
      <c r="O2" s="30">
        <v>15</v>
      </c>
      <c r="P2" s="30">
        <v>16</v>
      </c>
      <c r="Q2" s="30">
        <v>17</v>
      </c>
      <c r="R2" s="30">
        <v>18</v>
      </c>
      <c r="S2" s="30">
        <v>19</v>
      </c>
      <c r="T2" s="30">
        <v>20</v>
      </c>
      <c r="U2" s="30">
        <v>21</v>
      </c>
      <c r="V2" s="30">
        <v>22</v>
      </c>
      <c r="W2" s="30">
        <v>23</v>
      </c>
      <c r="X2" s="30">
        <v>24</v>
      </c>
      <c r="Y2" s="30">
        <v>25</v>
      </c>
      <c r="Z2" s="30">
        <v>26</v>
      </c>
      <c r="AA2" s="30">
        <v>27</v>
      </c>
      <c r="AB2" s="30">
        <v>28</v>
      </c>
      <c r="AC2" s="30">
        <v>29</v>
      </c>
      <c r="AD2" s="30">
        <v>30</v>
      </c>
      <c r="AE2" s="30">
        <v>31</v>
      </c>
      <c r="AF2" s="30">
        <v>32</v>
      </c>
      <c r="AG2" s="30">
        <v>33</v>
      </c>
      <c r="AH2" s="30">
        <v>34</v>
      </c>
      <c r="AI2" s="30">
        <v>35</v>
      </c>
      <c r="AJ2" s="30">
        <v>36</v>
      </c>
      <c r="AK2" s="30">
        <v>37</v>
      </c>
      <c r="AL2" s="30">
        <v>38</v>
      </c>
      <c r="AM2" s="30">
        <v>39</v>
      </c>
      <c r="AN2" s="30">
        <v>40</v>
      </c>
      <c r="AO2" s="30">
        <v>41</v>
      </c>
      <c r="AP2" s="30">
        <v>42</v>
      </c>
      <c r="AQ2" s="30">
        <v>43</v>
      </c>
      <c r="AR2" s="30">
        <v>44</v>
      </c>
      <c r="AS2" s="30">
        <v>45</v>
      </c>
      <c r="AT2" s="30">
        <v>46</v>
      </c>
      <c r="AU2" s="30">
        <v>47</v>
      </c>
      <c r="AV2" s="30">
        <v>48</v>
      </c>
      <c r="AW2" s="30">
        <v>49</v>
      </c>
      <c r="AX2" s="30">
        <v>50</v>
      </c>
      <c r="AY2" s="30">
        <v>51</v>
      </c>
      <c r="AZ2" s="30">
        <v>52</v>
      </c>
      <c r="BA2" s="30">
        <v>53</v>
      </c>
      <c r="BB2" s="30">
        <v>54</v>
      </c>
      <c r="BC2" s="30">
        <v>55</v>
      </c>
      <c r="BD2" s="30">
        <v>56</v>
      </c>
      <c r="BE2" s="30">
        <v>57</v>
      </c>
      <c r="BF2" s="30">
        <v>58</v>
      </c>
      <c r="BG2" s="30">
        <v>59</v>
      </c>
      <c r="BH2" s="30">
        <v>60</v>
      </c>
      <c r="BI2" s="30">
        <v>61</v>
      </c>
      <c r="BJ2" s="30">
        <v>62</v>
      </c>
      <c r="BK2" s="30">
        <v>63</v>
      </c>
      <c r="BL2" s="30">
        <v>64</v>
      </c>
      <c r="BM2" s="30">
        <v>65</v>
      </c>
      <c r="BN2" s="30">
        <v>66</v>
      </c>
      <c r="BO2" s="30">
        <v>67</v>
      </c>
      <c r="BP2" s="30">
        <v>68</v>
      </c>
      <c r="BQ2" s="30">
        <v>69</v>
      </c>
      <c r="BR2" s="30">
        <v>70</v>
      </c>
      <c r="BS2" s="30">
        <v>71</v>
      </c>
      <c r="BT2" s="30">
        <v>72</v>
      </c>
      <c r="BU2" s="30">
        <v>73</v>
      </c>
      <c r="BV2" s="30">
        <v>74</v>
      </c>
      <c r="BW2" s="30">
        <v>75</v>
      </c>
      <c r="BX2" s="30">
        <v>76</v>
      </c>
      <c r="BY2" s="30">
        <v>77</v>
      </c>
      <c r="BZ2" s="30">
        <v>78</v>
      </c>
      <c r="CA2" s="30">
        <v>79</v>
      </c>
      <c r="CB2" s="30">
        <v>80</v>
      </c>
      <c r="CC2" s="30">
        <v>81</v>
      </c>
      <c r="CD2" s="30">
        <v>82</v>
      </c>
      <c r="CE2" s="30">
        <v>83</v>
      </c>
      <c r="CF2" s="30">
        <v>84</v>
      </c>
      <c r="CG2" s="30">
        <v>85</v>
      </c>
      <c r="CH2" s="30">
        <v>86</v>
      </c>
      <c r="CI2" s="30">
        <v>87</v>
      </c>
      <c r="CJ2" s="30">
        <v>88</v>
      </c>
      <c r="CK2" s="30">
        <v>89</v>
      </c>
      <c r="CL2" s="30">
        <v>90</v>
      </c>
      <c r="CM2" s="30">
        <v>91</v>
      </c>
      <c r="CN2" s="30">
        <v>92</v>
      </c>
      <c r="CO2" s="30">
        <v>93</v>
      </c>
      <c r="CP2" s="30">
        <v>94</v>
      </c>
      <c r="CQ2" s="30">
        <v>95</v>
      </c>
      <c r="CR2" s="30">
        <v>96</v>
      </c>
      <c r="CS2" s="30">
        <v>97</v>
      </c>
      <c r="CT2" s="30">
        <v>98</v>
      </c>
      <c r="CU2" s="30">
        <v>99</v>
      </c>
      <c r="CV2" s="30">
        <v>100</v>
      </c>
      <c r="CW2" s="30">
        <v>101</v>
      </c>
      <c r="CX2" s="30">
        <v>102</v>
      </c>
      <c r="CY2" s="182">
        <v>103</v>
      </c>
      <c r="CZ2" s="182">
        <v>104</v>
      </c>
      <c r="DA2" s="182">
        <v>105</v>
      </c>
      <c r="DB2" s="182">
        <v>106</v>
      </c>
      <c r="DC2" s="182">
        <v>107</v>
      </c>
      <c r="DD2" s="182">
        <v>108</v>
      </c>
      <c r="DE2" s="182">
        <v>109</v>
      </c>
      <c r="DF2" s="182">
        <v>110</v>
      </c>
      <c r="DG2" s="182">
        <v>111</v>
      </c>
      <c r="DH2" s="182">
        <v>112</v>
      </c>
      <c r="DI2" s="182">
        <v>113</v>
      </c>
      <c r="DJ2" s="182">
        <v>114</v>
      </c>
      <c r="DK2" s="182">
        <v>115</v>
      </c>
      <c r="DL2" s="182">
        <v>116</v>
      </c>
      <c r="DM2" s="182">
        <v>117</v>
      </c>
      <c r="DN2" s="182">
        <v>118</v>
      </c>
      <c r="DO2" s="182">
        <v>119</v>
      </c>
      <c r="DP2" s="182">
        <v>120</v>
      </c>
      <c r="DQ2" s="182">
        <v>121</v>
      </c>
      <c r="DR2" s="182">
        <v>122</v>
      </c>
      <c r="DS2" s="182">
        <v>123</v>
      </c>
      <c r="DT2" s="182">
        <v>124</v>
      </c>
      <c r="DU2" s="182">
        <v>125</v>
      </c>
    </row>
    <row r="3" spans="1:126">
      <c r="A3" s="4" t="s">
        <v>26</v>
      </c>
      <c r="B3" s="13" t="s">
        <v>93</v>
      </c>
      <c r="C3" s="4"/>
      <c r="D3" s="13" t="s">
        <v>93</v>
      </c>
      <c r="E3" s="4"/>
      <c r="F3" s="1" t="s">
        <v>93</v>
      </c>
      <c r="G3" s="1"/>
      <c r="H3" s="13" t="s">
        <v>93</v>
      </c>
      <c r="I3" s="4"/>
      <c r="J3" s="1" t="s">
        <v>93</v>
      </c>
      <c r="K3" s="1"/>
      <c r="L3" s="13" t="s">
        <v>94</v>
      </c>
      <c r="M3" s="4"/>
      <c r="N3" s="1" t="s">
        <v>93</v>
      </c>
      <c r="O3" s="1"/>
      <c r="P3" s="13" t="s">
        <v>95</v>
      </c>
      <c r="Q3" s="4"/>
      <c r="R3" s="1" t="s">
        <v>96</v>
      </c>
      <c r="S3" s="1"/>
      <c r="T3" s="13" t="s">
        <v>96</v>
      </c>
      <c r="U3" s="4"/>
      <c r="V3" s="13" t="s">
        <v>97</v>
      </c>
      <c r="W3" s="4"/>
      <c r="X3" s="1" t="s">
        <v>39</v>
      </c>
      <c r="Y3" s="1"/>
      <c r="Z3" s="1"/>
      <c r="AA3" s="1"/>
      <c r="AB3" s="1"/>
      <c r="AC3" s="1"/>
      <c r="AD3" s="13" t="s">
        <v>98</v>
      </c>
      <c r="AE3" s="1"/>
      <c r="AF3" s="1"/>
      <c r="AG3" s="1"/>
      <c r="AH3" s="13" t="s">
        <v>99</v>
      </c>
      <c r="AI3" s="1"/>
      <c r="AJ3" s="1"/>
      <c r="AK3" s="1"/>
      <c r="AL3" s="174" t="s">
        <v>100</v>
      </c>
      <c r="AM3" s="175"/>
      <c r="AN3" s="175"/>
      <c r="AO3" s="175"/>
      <c r="AP3" s="175"/>
      <c r="AQ3" s="175"/>
      <c r="AR3" s="175"/>
      <c r="AS3" s="175"/>
      <c r="AT3" s="175"/>
      <c r="AU3" s="175"/>
      <c r="AV3" s="175"/>
      <c r="AW3" s="175"/>
      <c r="AX3" s="176" t="s">
        <v>41</v>
      </c>
      <c r="AY3" s="177"/>
      <c r="AZ3" s="177"/>
      <c r="BA3" s="177"/>
      <c r="BB3" s="177"/>
      <c r="BC3" s="177"/>
      <c r="BD3" s="13" t="s">
        <v>101</v>
      </c>
      <c r="BE3" s="1"/>
      <c r="BF3" s="1"/>
      <c r="BG3" s="4"/>
      <c r="BH3" s="187" t="s">
        <v>63</v>
      </c>
      <c r="BI3" s="188"/>
      <c r="BJ3" s="188"/>
      <c r="BK3" s="188"/>
      <c r="BL3" s="188"/>
      <c r="BM3" s="188"/>
      <c r="BN3" s="188"/>
      <c r="BO3" s="188"/>
      <c r="BP3" s="188"/>
      <c r="BQ3" s="188"/>
      <c r="BR3" s="188"/>
      <c r="BS3" s="188"/>
      <c r="BT3" s="188"/>
      <c r="BU3" s="188"/>
      <c r="BV3" s="188"/>
      <c r="BW3" s="188"/>
      <c r="BX3" s="188"/>
      <c r="BY3" s="188"/>
      <c r="BZ3" s="188"/>
      <c r="CA3" s="188"/>
      <c r="CB3" s="188"/>
      <c r="CC3" s="189"/>
      <c r="CD3" s="325" t="s">
        <v>102</v>
      </c>
      <c r="CE3" s="280"/>
      <c r="CF3" s="280"/>
      <c r="CG3" s="280"/>
      <c r="CH3" s="280"/>
      <c r="CI3" s="280"/>
      <c r="CJ3" s="280"/>
      <c r="CK3" s="280"/>
      <c r="CL3" s="280"/>
      <c r="CM3" s="280"/>
      <c r="CN3" s="280"/>
      <c r="CO3" s="280"/>
      <c r="CP3" s="280"/>
      <c r="CQ3" s="280"/>
      <c r="CR3" s="280"/>
      <c r="CS3" s="280"/>
      <c r="CT3" s="280"/>
      <c r="CU3" s="280"/>
      <c r="CV3" s="280"/>
      <c r="CW3" s="280"/>
      <c r="CX3" s="280"/>
      <c r="CY3" s="326"/>
      <c r="CZ3" s="320" t="s">
        <v>103</v>
      </c>
      <c r="DA3" s="321"/>
      <c r="DB3" s="321"/>
      <c r="DC3" s="321"/>
      <c r="DD3" s="321"/>
      <c r="DE3" s="321"/>
      <c r="DF3" s="321"/>
      <c r="DG3" s="321"/>
      <c r="DH3" s="321"/>
      <c r="DI3" s="321"/>
      <c r="DJ3" s="321"/>
      <c r="DK3" s="321"/>
      <c r="DL3" s="321"/>
      <c r="DM3" s="321"/>
      <c r="DN3" s="321"/>
      <c r="DO3" s="321"/>
      <c r="DP3" s="321"/>
      <c r="DQ3" s="321"/>
      <c r="DR3" s="321"/>
      <c r="DS3" s="321"/>
      <c r="DT3" s="321"/>
      <c r="DU3" s="321"/>
      <c r="DV3" s="30" t="s">
        <v>24</v>
      </c>
    </row>
    <row r="4" spans="1:126">
      <c r="A4" s="5" t="s">
        <v>104</v>
      </c>
      <c r="B4" s="178" t="s">
        <v>105</v>
      </c>
      <c r="C4" s="14"/>
      <c r="D4" s="178" t="s">
        <v>106</v>
      </c>
      <c r="E4" s="14"/>
      <c r="F4" s="2" t="s">
        <v>107</v>
      </c>
      <c r="G4" s="2"/>
      <c r="H4" s="178" t="s">
        <v>108</v>
      </c>
      <c r="I4" s="14"/>
      <c r="J4" s="2" t="s">
        <v>109</v>
      </c>
      <c r="K4" s="2"/>
      <c r="L4" s="178" t="s">
        <v>110</v>
      </c>
      <c r="M4" s="14"/>
      <c r="N4" s="2" t="s">
        <v>111</v>
      </c>
      <c r="O4" s="2"/>
      <c r="P4" s="178" t="s">
        <v>112</v>
      </c>
      <c r="Q4" s="14"/>
      <c r="R4" s="2" t="s">
        <v>113</v>
      </c>
      <c r="S4" s="2"/>
      <c r="T4" s="178" t="s">
        <v>114</v>
      </c>
      <c r="U4" s="14"/>
      <c r="V4" s="178" t="s">
        <v>115</v>
      </c>
      <c r="W4" s="14"/>
      <c r="X4" s="7" t="s">
        <v>47</v>
      </c>
      <c r="Y4" s="7" t="s">
        <v>48</v>
      </c>
      <c r="Z4" s="7" t="s">
        <v>49</v>
      </c>
      <c r="AA4" s="7" t="s">
        <v>50</v>
      </c>
      <c r="AB4" s="7" t="s">
        <v>51</v>
      </c>
      <c r="AC4" s="7" t="s">
        <v>52</v>
      </c>
      <c r="AD4" s="17" t="s">
        <v>53</v>
      </c>
      <c r="AE4" s="7" t="s">
        <v>54</v>
      </c>
      <c r="AF4" s="7" t="s">
        <v>55</v>
      </c>
      <c r="AG4" s="7" t="s">
        <v>56</v>
      </c>
      <c r="AH4" s="17" t="s">
        <v>53</v>
      </c>
      <c r="AI4" s="7" t="s">
        <v>54</v>
      </c>
      <c r="AJ4" s="7" t="s">
        <v>55</v>
      </c>
      <c r="AK4" s="7" t="s">
        <v>56</v>
      </c>
      <c r="AL4" s="179" t="s">
        <v>53</v>
      </c>
      <c r="AM4" s="180"/>
      <c r="AN4" s="180"/>
      <c r="AO4" s="180"/>
      <c r="AP4" s="180"/>
      <c r="AQ4" s="180"/>
      <c r="AR4" s="114" t="s">
        <v>54</v>
      </c>
      <c r="AS4" s="114"/>
      <c r="AT4" s="114" t="s">
        <v>55</v>
      </c>
      <c r="AU4" s="114"/>
      <c r="AV4" s="114" t="s">
        <v>116</v>
      </c>
      <c r="AW4" s="114"/>
      <c r="AX4" s="17" t="s">
        <v>57</v>
      </c>
      <c r="AY4" s="7" t="s">
        <v>58</v>
      </c>
      <c r="AZ4" s="7" t="s">
        <v>59</v>
      </c>
      <c r="BA4" s="7" t="s">
        <v>60</v>
      </c>
      <c r="BB4" s="7" t="s">
        <v>61</v>
      </c>
      <c r="BC4" s="7" t="s">
        <v>62</v>
      </c>
      <c r="BD4" s="17" t="s">
        <v>117</v>
      </c>
      <c r="BE4" s="7">
        <v>51.39</v>
      </c>
      <c r="BF4" s="7" t="s">
        <v>118</v>
      </c>
      <c r="BG4" s="5">
        <v>68.8</v>
      </c>
      <c r="BH4" s="17" t="s">
        <v>119</v>
      </c>
      <c r="BI4" s="7" t="s">
        <v>120</v>
      </c>
      <c r="BJ4" s="7" t="s">
        <v>121</v>
      </c>
      <c r="BK4" s="7" t="s">
        <v>122</v>
      </c>
      <c r="BL4" s="7" t="s">
        <v>123</v>
      </c>
      <c r="BM4" s="7" t="s">
        <v>124</v>
      </c>
      <c r="BN4" s="7" t="s">
        <v>125</v>
      </c>
      <c r="BO4" s="7" t="s">
        <v>126</v>
      </c>
      <c r="BP4" s="7" t="s">
        <v>127</v>
      </c>
      <c r="BQ4" s="7" t="s">
        <v>128</v>
      </c>
      <c r="BR4" s="7" t="s">
        <v>129</v>
      </c>
      <c r="BS4" s="7" t="s">
        <v>130</v>
      </c>
      <c r="BT4" s="7" t="s">
        <v>131</v>
      </c>
      <c r="BU4" s="7" t="s">
        <v>132</v>
      </c>
      <c r="BV4" s="7" t="s">
        <v>133</v>
      </c>
      <c r="BW4" s="7" t="s">
        <v>134</v>
      </c>
      <c r="BX4" s="7" t="s">
        <v>135</v>
      </c>
      <c r="BY4" s="7" t="s">
        <v>136</v>
      </c>
      <c r="BZ4" s="7" t="s">
        <v>137</v>
      </c>
      <c r="CA4" s="7" t="s">
        <v>138</v>
      </c>
      <c r="CB4" s="7" t="s">
        <v>139</v>
      </c>
      <c r="CC4" s="5" t="s">
        <v>140</v>
      </c>
      <c r="CD4" s="30" t="s">
        <v>141</v>
      </c>
      <c r="CE4" s="30" t="s">
        <v>142</v>
      </c>
      <c r="CF4" s="30" t="s">
        <v>143</v>
      </c>
      <c r="CG4" s="30" t="s">
        <v>144</v>
      </c>
      <c r="CH4" s="30" t="s">
        <v>145</v>
      </c>
      <c r="CI4" s="30" t="s">
        <v>146</v>
      </c>
      <c r="CJ4" s="30" t="s">
        <v>147</v>
      </c>
      <c r="CK4" s="30" t="s">
        <v>148</v>
      </c>
      <c r="CL4" s="30" t="s">
        <v>149</v>
      </c>
      <c r="CM4" s="30" t="s">
        <v>150</v>
      </c>
      <c r="CN4" s="30" t="s">
        <v>151</v>
      </c>
      <c r="CO4" s="30" t="s">
        <v>152</v>
      </c>
      <c r="CP4" s="30" t="s">
        <v>153</v>
      </c>
      <c r="CQ4" s="30" t="s">
        <v>154</v>
      </c>
      <c r="CR4" s="30" t="s">
        <v>155</v>
      </c>
      <c r="CS4" s="30" t="s">
        <v>156</v>
      </c>
      <c r="CT4" s="30" t="s">
        <v>157</v>
      </c>
      <c r="CU4" s="30" t="s">
        <v>158</v>
      </c>
      <c r="CV4" s="30" t="s">
        <v>159</v>
      </c>
      <c r="CW4" s="30" t="s">
        <v>160</v>
      </c>
      <c r="CX4" s="30" t="s">
        <v>161</v>
      </c>
      <c r="CY4" s="30" t="s">
        <v>162</v>
      </c>
      <c r="CZ4" s="185" t="s">
        <v>141</v>
      </c>
      <c r="DA4" s="30" t="s">
        <v>142</v>
      </c>
      <c r="DB4" s="30" t="s">
        <v>143</v>
      </c>
      <c r="DC4" s="30" t="s">
        <v>144</v>
      </c>
      <c r="DD4" s="30" t="s">
        <v>145</v>
      </c>
      <c r="DE4" s="30" t="s">
        <v>146</v>
      </c>
      <c r="DF4" s="30" t="s">
        <v>147</v>
      </c>
      <c r="DG4" s="30" t="s">
        <v>148</v>
      </c>
      <c r="DH4" s="30" t="s">
        <v>149</v>
      </c>
      <c r="DI4" s="30" t="s">
        <v>150</v>
      </c>
      <c r="DJ4" s="30" t="s">
        <v>151</v>
      </c>
      <c r="DK4" s="30" t="s">
        <v>152</v>
      </c>
      <c r="DL4" s="30" t="s">
        <v>153</v>
      </c>
      <c r="DM4" s="30" t="s">
        <v>154</v>
      </c>
      <c r="DN4" s="30" t="s">
        <v>155</v>
      </c>
      <c r="DO4" s="30" t="s">
        <v>156</v>
      </c>
      <c r="DP4" s="30" t="s">
        <v>157</v>
      </c>
      <c r="DQ4" s="30" t="s">
        <v>158</v>
      </c>
      <c r="DR4" s="30" t="s">
        <v>159</v>
      </c>
      <c r="DS4" s="30" t="s">
        <v>160</v>
      </c>
      <c r="DT4" s="30" t="s">
        <v>161</v>
      </c>
      <c r="DU4" s="30" t="s">
        <v>162</v>
      </c>
    </row>
    <row r="5" spans="1:126">
      <c r="A5" s="6">
        <v>46022</v>
      </c>
      <c r="B5" s="15">
        <f>운전실적_원본!B5</f>
        <v>651.20000000000005</v>
      </c>
      <c r="C5" s="16"/>
      <c r="D5" s="9">
        <f>운전실적_원본!C5</f>
        <v>247667</v>
      </c>
      <c r="E5" s="9"/>
      <c r="F5" s="9">
        <f>운전실적_원본!D5</f>
        <v>239580</v>
      </c>
      <c r="G5" s="16"/>
      <c r="H5" s="15">
        <f>운전실적_원본!E5</f>
        <v>17003.900000000001</v>
      </c>
      <c r="I5" s="16"/>
      <c r="J5" s="15">
        <f>운전실적_원본!F5</f>
        <v>14269.93</v>
      </c>
      <c r="K5" s="16"/>
      <c r="L5" s="15">
        <f>운전실적_원본!G5</f>
        <v>4034.1</v>
      </c>
      <c r="M5" s="16"/>
      <c r="N5" s="15">
        <f>운전실적_원본!H5</f>
        <v>32935</v>
      </c>
      <c r="O5" s="16"/>
      <c r="P5" s="15">
        <f>운전실적_원본!I5</f>
        <v>14730</v>
      </c>
      <c r="Q5" s="16"/>
      <c r="R5" s="18">
        <f>운전실적_원본!J5</f>
        <v>33.53</v>
      </c>
      <c r="S5" s="19"/>
      <c r="T5" s="18">
        <f>운전실적_원본!K5</f>
        <v>33.04</v>
      </c>
      <c r="U5" s="19"/>
      <c r="V5" s="12">
        <f>운전실적_원본!L5</f>
        <v>8039</v>
      </c>
      <c r="W5" s="16"/>
      <c r="X5" s="10">
        <f>운전실적_원본!M5</f>
        <v>193789.61999999732</v>
      </c>
      <c r="Y5" s="10">
        <f>운전실적_원본!N5</f>
        <v>0</v>
      </c>
      <c r="Z5" s="10">
        <f>운전실적_원본!O5</f>
        <v>0</v>
      </c>
      <c r="AA5" s="10">
        <f>운전실적_원본!P5</f>
        <v>0</v>
      </c>
      <c r="AB5" s="10">
        <f>운전실적_원본!Q5</f>
        <v>0</v>
      </c>
      <c r="AC5" s="20">
        <f>운전실적_원본!R5</f>
        <v>0</v>
      </c>
      <c r="AH5" s="111">
        <f>((AM5-AL5)+(AO5-AN5)+(AQ5-AP5))*24</f>
        <v>24</v>
      </c>
      <c r="AI5" s="112">
        <f>(AS5-AR5)*24</f>
        <v>0</v>
      </c>
      <c r="AJ5" s="110">
        <f>운전실적_원본!Y5</f>
        <v>0</v>
      </c>
      <c r="AK5" s="110">
        <f>운전실적_원본!Z5</f>
        <v>0</v>
      </c>
      <c r="AL5" s="103">
        <v>46022</v>
      </c>
      <c r="AM5" s="104">
        <f>AL6</f>
        <v>46023</v>
      </c>
      <c r="AN5" s="105"/>
      <c r="AO5" s="104"/>
      <c r="AP5" s="104"/>
      <c r="AQ5" s="107"/>
      <c r="AR5" s="105"/>
      <c r="AS5" s="105"/>
      <c r="AT5" s="102"/>
      <c r="AU5" s="102"/>
      <c r="AV5" s="102"/>
      <c r="AW5" s="102"/>
      <c r="AX5" s="32">
        <f>운전실적_원본!W5</f>
        <v>0</v>
      </c>
      <c r="AY5" s="11">
        <f>운전실적_원본!X5</f>
        <v>0</v>
      </c>
      <c r="AZ5" s="11">
        <f>운전실적_원본!Y5</f>
        <v>0</v>
      </c>
      <c r="BA5" s="11">
        <f>운전실적_원본!Z5</f>
        <v>0</v>
      </c>
      <c r="BB5" s="11">
        <f>운전실적_원본!AA5</f>
        <v>0</v>
      </c>
      <c r="BC5" s="11">
        <f>운전실적_원본!AB5</f>
        <v>0</v>
      </c>
      <c r="BD5" s="32">
        <f>IFERROR(AX5/AD6,"-")</f>
        <v>0</v>
      </c>
      <c r="BE5" s="11">
        <f>IFERROR(BD5/$BE$4,"-")</f>
        <v>0</v>
      </c>
      <c r="BF5" s="11" t="str">
        <f>IFERROR(BB5/AE6,"-")</f>
        <v>-</v>
      </c>
      <c r="BG5" s="123" t="str">
        <f t="shared" ref="BG5:BG68" si="0">IFERROR(BF5/$BG$4,"-")</f>
        <v>-</v>
      </c>
      <c r="CC5" s="240"/>
    </row>
    <row r="6" spans="1:126">
      <c r="A6" s="6">
        <v>46023</v>
      </c>
      <c r="B6" s="15">
        <f>운전실적_원본!B6</f>
        <v>651.20000000000005</v>
      </c>
      <c r="C6" s="16">
        <f>B6-B5</f>
        <v>0</v>
      </c>
      <c r="D6" s="9">
        <f>운전실적_원본!C6</f>
        <v>247711</v>
      </c>
      <c r="E6" s="9">
        <f>D6-D5</f>
        <v>44</v>
      </c>
      <c r="F6" s="9">
        <f>운전실적_원본!D6</f>
        <v>239580</v>
      </c>
      <c r="G6" s="16">
        <f>F6-F5</f>
        <v>0</v>
      </c>
      <c r="H6" s="15">
        <f>운전실적_원본!E6</f>
        <v>17009.240000000002</v>
      </c>
      <c r="I6" s="16">
        <f>H6-H5</f>
        <v>5.3400000000001455</v>
      </c>
      <c r="J6" s="15">
        <f>운전실적_원본!F6</f>
        <v>14288.95</v>
      </c>
      <c r="K6" s="16">
        <f>J6-J5</f>
        <v>19.020000000000437</v>
      </c>
      <c r="L6" s="15">
        <f>운전실적_원본!G6</f>
        <v>4034.7</v>
      </c>
      <c r="M6" s="31">
        <f>L6-L5</f>
        <v>0.59999999999990905</v>
      </c>
      <c r="N6" s="15">
        <f>운전실적_원본!H6</f>
        <v>33008</v>
      </c>
      <c r="O6" s="16">
        <f>N6-N5</f>
        <v>73</v>
      </c>
      <c r="P6" s="15">
        <f>운전실적_원본!I6</f>
        <v>14863</v>
      </c>
      <c r="Q6" s="16">
        <f>P6-P5</f>
        <v>133</v>
      </c>
      <c r="R6" s="18">
        <f>운전실적_원본!J6</f>
        <v>33.44</v>
      </c>
      <c r="S6" s="19">
        <f>R6-R5</f>
        <v>-9.0000000000003411E-2</v>
      </c>
      <c r="T6" s="18">
        <f>운전실적_원본!K6</f>
        <v>33.1</v>
      </c>
      <c r="U6" s="19">
        <f>T6-T5</f>
        <v>6.0000000000002274E-2</v>
      </c>
      <c r="V6" s="12">
        <f>운전실적_원본!L6</f>
        <v>7998</v>
      </c>
      <c r="W6" s="16">
        <f>V6-V5</f>
        <v>-41</v>
      </c>
      <c r="X6" s="10">
        <f>운전실적_원본!M6</f>
        <v>198819.31000000238</v>
      </c>
      <c r="Y6" s="10">
        <f>운전실적_원본!N6</f>
        <v>11207.579999999842</v>
      </c>
      <c r="Z6" s="10">
        <f>운전실적_원본!O6</f>
        <v>0</v>
      </c>
      <c r="AA6" s="10">
        <f>운전실적_원본!P6</f>
        <v>0</v>
      </c>
      <c r="AB6" s="10">
        <f>운전실적_원본!Q6</f>
        <v>0</v>
      </c>
      <c r="AC6" s="20">
        <f>운전실적_원본!R6</f>
        <v>11207.579999999842</v>
      </c>
      <c r="AD6" s="109">
        <f>운전실적_원본!S6</f>
        <v>24</v>
      </c>
      <c r="AE6" s="110">
        <f>운전실적_원본!T6</f>
        <v>0</v>
      </c>
      <c r="AF6" s="110">
        <f>운전실적_원본!U6</f>
        <v>0</v>
      </c>
      <c r="AG6" s="110">
        <f>운전실적_원본!V6</f>
        <v>0</v>
      </c>
      <c r="AH6" s="109">
        <f t="shared" ref="AH6:AH69" si="1">((AM6-AL6)+(AO6-AN6)+(AQ6-AP6))*24</f>
        <v>24</v>
      </c>
      <c r="AI6" s="113">
        <f>(AS6-AR6)*24</f>
        <v>0</v>
      </c>
      <c r="AJ6" s="110">
        <f>운전실적_원본!Y6</f>
        <v>0</v>
      </c>
      <c r="AK6" s="110">
        <f>운전실적_원본!Z6</f>
        <v>0</v>
      </c>
      <c r="AL6" s="106">
        <v>46023</v>
      </c>
      <c r="AM6" s="105">
        <f>AL7</f>
        <v>46024</v>
      </c>
      <c r="AN6" s="105"/>
      <c r="AO6" s="105"/>
      <c r="AP6" s="105"/>
      <c r="AQ6" s="108"/>
      <c r="AT6" s="102"/>
      <c r="AU6" s="102"/>
      <c r="AV6" s="102"/>
      <c r="AW6" s="102"/>
      <c r="AX6" s="32">
        <f>운전실적_원본!W6</f>
        <v>1223</v>
      </c>
      <c r="AY6" s="11">
        <f>운전실적_원본!X6</f>
        <v>0</v>
      </c>
      <c r="AZ6" s="11">
        <f>운전실적_원본!Y6</f>
        <v>0</v>
      </c>
      <c r="BA6" s="11">
        <f>운전실적_원본!Z6</f>
        <v>0</v>
      </c>
      <c r="BB6" s="11">
        <f>운전실적_원본!AA6</f>
        <v>0</v>
      </c>
      <c r="BC6" s="11">
        <f>운전실적_원본!AB6</f>
        <v>1223</v>
      </c>
      <c r="BD6" s="32" t="str">
        <f>IFERROR(AX6/#REF!,"-")</f>
        <v>-</v>
      </c>
      <c r="BE6" s="11" t="str">
        <f t="shared" ref="BE6:BE69" si="2">IFERROR(BD6/$BE$4,"-")</f>
        <v>-</v>
      </c>
      <c r="BF6" s="11" t="str">
        <f>IFERROR(BB6/#REF!,"-")</f>
        <v>-</v>
      </c>
      <c r="BG6" s="31" t="str">
        <f t="shared" si="0"/>
        <v>-</v>
      </c>
      <c r="BH6" s="241">
        <f>INDEX(연료전지_원본!$A$4:$KY$369,MATCH($A6,연료전지_원본!$A$4:$A$369,0),MATCH($BH$4,연료전지_원본!$A$4:$KY$4,0))</f>
        <v>0</v>
      </c>
      <c r="BI6" s="241">
        <f>INDEX(연료전지_원본!$A$4:$KY$369,MATCH($A6,연료전지_원본!$A$4:$A$369,0),MATCH($BI$4,연료전지_원본!$A$4:$KY$4,0))</f>
        <v>0</v>
      </c>
      <c r="BJ6" s="241">
        <f>INDEX(연료전지_원본!$A$4:$KY$369,MATCH($A6,연료전지_원본!$A$4:$A$369,0),MATCH($BJ$4,연료전지_원본!$A$4:$KY$4,0))</f>
        <v>0</v>
      </c>
      <c r="BK6" s="241">
        <f>INDEX(연료전지_원본!$A$4:$KY$369,MATCH($A6,연료전지_원본!$A$4:$A$369,0),MATCH($BK$4,연료전지_원본!$A$4:$KY$4,0))</f>
        <v>0</v>
      </c>
      <c r="BL6" s="241">
        <f>INDEX(연료전지_원본!$A$4:$KY$369,MATCH($A6,연료전지_원본!$A$4:$A$369,0),MATCH($BL$4,연료전지_원본!$A$4:$KY$4,0))</f>
        <v>0</v>
      </c>
      <c r="BM6" s="241">
        <f>INDEX(연료전지_원본!$A$4:$KY$369,MATCH($A6,연료전지_원본!$A$4:$A$369,0),MATCH($BM$4,연료전지_원본!$A$4:$KY$4,0))</f>
        <v>0</v>
      </c>
      <c r="BN6" s="241">
        <f>INDEX(연료전지_원본!$A$4:$KY$369,MATCH($A6,연료전지_원본!$A$4:$A$369,0),MATCH($BN$4,연료전지_원본!$A$4:$KY$4,0))</f>
        <v>0</v>
      </c>
      <c r="BO6" s="241">
        <f>INDEX(연료전지_원본!$A$4:$KY$369,MATCH($A6,연료전지_원본!$A$4:$A$369,0),MATCH($BO$4,연료전지_원본!$A$4:$KY$4,0))</f>
        <v>0</v>
      </c>
      <c r="BP6" s="241">
        <f>INDEX(연료전지_원본!$A$4:$KY$369,MATCH($A6,연료전지_원본!$A$4:$A$369,0),MATCH($BP$4,연료전지_원본!$A$4:$KY$4,0))</f>
        <v>0</v>
      </c>
      <c r="BQ6" s="241">
        <f>INDEX(연료전지_원본!$A$4:$KY$369,MATCH($A6,연료전지_원본!$A$4:$A$369,0),MATCH($BQ$4,연료전지_원본!$A$4:$KY$4,0))</f>
        <v>0</v>
      </c>
      <c r="BR6" s="241">
        <f>INDEX(연료전지_원본!$A$4:$KY$369,MATCH($A6,연료전지_원본!$A$4:$A$369,0),MATCH($BR$4,연료전지_원본!$A$4:$KY$4,0))</f>
        <v>0</v>
      </c>
      <c r="BS6" s="241">
        <f>INDEX(연료전지_원본!$A$4:$KY$369,MATCH($A6,연료전지_원본!$A$4:$A$369,0),MATCH($BS$4,연료전지_원본!$A$4:$KY$4,0))</f>
        <v>0</v>
      </c>
      <c r="BT6" s="241">
        <f>INDEX(연료전지_원본!$A$4:$KY$369,MATCH($A6,연료전지_원본!$A$4:$A$369,0),MATCH($BT$4,연료전지_원본!$A$4:$KY$4,0))</f>
        <v>0</v>
      </c>
      <c r="BU6" s="241">
        <f>INDEX(연료전지_원본!$A$4:$KY$369,MATCH($A6,연료전지_원본!$A$4:$A$369,0),MATCH($BU$4,연료전지_원본!$A$4:$KY$4,0))</f>
        <v>0</v>
      </c>
      <c r="BV6" s="241">
        <f>INDEX(연료전지_원본!$A$4:$KY$369,MATCH($A6,연료전지_원본!$A$4:$A$369,0),MATCH($BV$4,연료전지_원본!$A$4:$KY$4,0))</f>
        <v>0</v>
      </c>
      <c r="BW6" s="241">
        <f>INDEX(연료전지_원본!$A$4:$KY$369,MATCH($A6,연료전지_원본!$A$4:$A$369,0),MATCH($BW$4,연료전지_원본!$A$4:$KY$4,0))</f>
        <v>0</v>
      </c>
      <c r="BX6" s="241">
        <f>INDEX(연료전지_원본!$A$4:$KY$369,MATCH($A6,연료전지_원본!$A$4:$A$369,0),MATCH($BX$4,연료전지_원본!$A$4:$KY$4,0))</f>
        <v>0</v>
      </c>
      <c r="BY6" s="241">
        <f>INDEX(연료전지_원본!$A$4:$KY$369,MATCH($A6,연료전지_원본!$A$4:$A$369,0),MATCH($BY$4,연료전지_원본!$A$4:$KY$4,0))</f>
        <v>0</v>
      </c>
      <c r="BZ6" s="241">
        <f>INDEX(연료전지_원본!$A$4:$KY$369,MATCH($A6,연료전지_원본!$A$4:$A$369,0),MATCH($BZ$4,연료전지_원본!$A$4:$KY$4,0))</f>
        <v>0</v>
      </c>
      <c r="CA6" s="241">
        <f>INDEX(연료전지_원본!$A$4:$KY$369,MATCH($A6,연료전지_원본!$A$4:$A$369,0),MATCH($CA$4,연료전지_원본!$A$4:$KY$4,0))</f>
        <v>0</v>
      </c>
      <c r="CB6" s="241">
        <f>INDEX(연료전지_원본!$A$4:$KY$369,MATCH($A6,연료전지_원본!$A$4:$A$369,0),MATCH($CB$4,연료전지_원본!$A$4:$KY$4,0))</f>
        <v>0</v>
      </c>
      <c r="CC6" s="242">
        <f>INDEX(연료전지_원본!$A$4:$KY$369,MATCH($A6,연료전지_원본!$A$4:$A$369,0),MATCH($CC$4,연료전지_원본!$A$4:$KY$4,0))</f>
        <v>0</v>
      </c>
      <c r="CD6" s="250">
        <f>INDEX(연료전지_원본!$KB$4:$KX$369,MATCH($A6,연료전지_원본!$KB$4:$KB$369,0), MATCH(CD$4,연료전지_원본!$KB$4:$KX$4,0))*1000</f>
        <v>0</v>
      </c>
      <c r="CE6" s="250">
        <f>INDEX(연료전지_원본!$KB$4:$KX$369,MATCH($A6,연료전지_원본!$KB$4:$KB$369,0), MATCH(CE$4,연료전지_원본!$KB$4:$KX$4,0))*1000</f>
        <v>0</v>
      </c>
      <c r="CF6" s="250">
        <f>INDEX(연료전지_원본!$KB$4:$KX$369,MATCH($A6,연료전지_원본!$KB$4:$KB$369,0), MATCH(CF$4,연료전지_원본!$KB$4:$KX$4,0))*1000</f>
        <v>0</v>
      </c>
      <c r="CG6" s="250">
        <f>INDEX(연료전지_원본!$KB$4:$KX$369,MATCH($A6,연료전지_원본!$KB$4:$KB$369,0), MATCH(CG$4,연료전지_원본!$KB$4:$KX$4,0))*1000</f>
        <v>0</v>
      </c>
      <c r="CH6" s="250">
        <f>INDEX(연료전지_원본!$KB$4:$KX$369,MATCH($A6,연료전지_원본!$KB$4:$KB$369,0), MATCH(CH$4,연료전지_원본!$KB$4:$KX$4,0))*1000</f>
        <v>0</v>
      </c>
      <c r="CI6" s="250">
        <f>INDEX(연료전지_원본!$KB$4:$KX$369,MATCH($A6,연료전지_원본!$KB$4:$KB$369,0), MATCH(CI$4,연료전지_원본!$KB$4:$KX$4,0))*1000</f>
        <v>0</v>
      </c>
      <c r="CJ6" s="250">
        <f>INDEX(연료전지_원본!$KB$4:$KX$369,MATCH($A6,연료전지_원본!$KB$4:$KB$369,0), MATCH(CJ$4,연료전지_원본!$KB$4:$KX$4,0))*1000</f>
        <v>0</v>
      </c>
      <c r="CK6" s="250">
        <f>INDEX(연료전지_원본!$KB$4:$KX$369,MATCH($A6,연료전지_원본!$KB$4:$KB$369,0), MATCH(CK$4,연료전지_원본!$KB$4:$KX$4,0))*1000</f>
        <v>0</v>
      </c>
      <c r="CL6" s="250">
        <f>INDEX(연료전지_원본!$KB$4:$KX$369,MATCH($A6,연료전지_원본!$KB$4:$KB$369,0), MATCH(CL$4,연료전지_원본!$KB$4:$KX$4,0))*1000</f>
        <v>0</v>
      </c>
      <c r="CM6" s="250">
        <f>INDEX(연료전지_원본!$KB$4:$KX$369,MATCH($A6,연료전지_원본!$KB$4:$KB$369,0), MATCH(CM$4,연료전지_원본!$KB$4:$KX$4,0))*1000</f>
        <v>0</v>
      </c>
      <c r="CN6" s="250">
        <f>INDEX(연료전지_원본!$KB$4:$KX$369,MATCH($A6,연료전지_원본!$KB$4:$KB$369,0), MATCH(CN$4,연료전지_원본!$KB$4:$KX$4,0))*1000</f>
        <v>0</v>
      </c>
      <c r="CO6" s="250">
        <f>INDEX(연료전지_원본!$KB$4:$KX$369,MATCH($A6,연료전지_원본!$KB$4:$KB$369,0), MATCH(CO$4,연료전지_원본!$KB$4:$KX$4,0))*1000</f>
        <v>0</v>
      </c>
      <c r="CP6" s="250">
        <f>INDEX(연료전지_원본!$KB$4:$KX$369,MATCH($A6,연료전지_원본!$KB$4:$KB$369,0), MATCH(CP$4,연료전지_원본!$KB$4:$KX$4,0))*1000</f>
        <v>0</v>
      </c>
      <c r="CQ6" s="250">
        <f>INDEX(연료전지_원본!$KB$4:$KX$369,MATCH($A6,연료전지_원본!$KB$4:$KB$369,0), MATCH(CQ$4,연료전지_원본!$KB$4:$KX$4,0))*1000</f>
        <v>0</v>
      </c>
      <c r="CR6" s="250">
        <f>INDEX(연료전지_원본!$KB$4:$KX$369,MATCH($A6,연료전지_원본!$KB$4:$KB$369,0), MATCH(CR$4,연료전지_원본!$KB$4:$KX$4,0))*1000</f>
        <v>0</v>
      </c>
      <c r="CS6" s="250">
        <f>INDEX(연료전지_원본!$KB$4:$KX$369,MATCH($A6,연료전지_원본!$KB$4:$KB$369,0), MATCH(CS$4,연료전지_원본!$KB$4:$KX$4,0))*1000</f>
        <v>0</v>
      </c>
      <c r="CT6" s="250">
        <f>INDEX(연료전지_원본!$KB$4:$KX$369,MATCH($A6,연료전지_원본!$KB$4:$KB$369,0), MATCH(CT$4,연료전지_원본!$KB$4:$KX$4,0))*1000</f>
        <v>0</v>
      </c>
      <c r="CU6" s="250">
        <f>INDEX(연료전지_원본!$KB$4:$KX$369,MATCH($A6,연료전지_원본!$KB$4:$KB$369,0), MATCH(CU$4,연료전지_원본!$KB$4:$KX$4,0))*1000</f>
        <v>0</v>
      </c>
      <c r="CV6" s="250">
        <f>INDEX(연료전지_원본!$KB$4:$KX$369,MATCH($A6,연료전지_원본!$KB$4:$KB$369,0), MATCH(CV$4,연료전지_원본!$KB$4:$KX$4,0))*1000</f>
        <v>0</v>
      </c>
      <c r="CW6" s="250">
        <f>INDEX(연료전지_원본!$KB$4:$KX$369,MATCH($A6,연료전지_원본!$KB$4:$KB$369,0), MATCH(CW$4,연료전지_원본!$KB$4:$KX$4,0))*1000</f>
        <v>0</v>
      </c>
      <c r="CX6" s="250">
        <f>INDEX(연료전지_원본!$KB$4:$KX$369,MATCH($A6,연료전지_원본!$KB$4:$KB$369,0), MATCH(CX$4,연료전지_원본!$KB$4:$KX$4,0))*1000</f>
        <v>0</v>
      </c>
      <c r="CY6" s="250">
        <f>INDEX(연료전지_원본!$KB$4:$KX$369,MATCH($A6,연료전지_원본!$KB$4:$KB$369,0), MATCH(CY$4,연료전지_원본!$KB$4:$KX$4,0))*1000</f>
        <v>0</v>
      </c>
    </row>
    <row r="7" spans="1:126">
      <c r="A7" s="6">
        <v>46024</v>
      </c>
      <c r="B7" s="15">
        <f>운전실적_원본!B7</f>
        <v>651.20000000000005</v>
      </c>
      <c r="C7" s="16">
        <f t="shared" ref="C7:E38" si="3">B7-B6</f>
        <v>0</v>
      </c>
      <c r="D7" s="9">
        <f>운전실적_원본!C7</f>
        <v>247738</v>
      </c>
      <c r="E7" s="9">
        <f t="shared" si="3"/>
        <v>27</v>
      </c>
      <c r="F7" s="9">
        <f>운전실적_원본!D7</f>
        <v>239672</v>
      </c>
      <c r="G7" s="16">
        <f t="shared" ref="G7" si="4">F7-F6</f>
        <v>92</v>
      </c>
      <c r="H7" s="15">
        <f>운전실적_원본!E7</f>
        <v>17015</v>
      </c>
      <c r="I7" s="16">
        <f t="shared" ref="I7" si="5">H7-H6</f>
        <v>5.7599999999983993</v>
      </c>
      <c r="J7" s="15">
        <f>운전실적_원본!F7</f>
        <v>14308</v>
      </c>
      <c r="K7" s="16">
        <f t="shared" ref="K7" si="6">J7-J6</f>
        <v>19.049999999999272</v>
      </c>
      <c r="L7" s="15">
        <f>운전실적_원본!G7</f>
        <v>4035.6</v>
      </c>
      <c r="M7" s="31">
        <f t="shared" ref="M7" si="7">L7-L6</f>
        <v>0.90000000000009095</v>
      </c>
      <c r="N7" s="15">
        <f>운전실적_원본!H7</f>
        <v>33130</v>
      </c>
      <c r="O7" s="16">
        <f t="shared" ref="O7" si="8">N7-N6</f>
        <v>122</v>
      </c>
      <c r="P7" s="15">
        <f>운전실적_원본!I7</f>
        <v>15125</v>
      </c>
      <c r="Q7" s="16">
        <f t="shared" ref="Q7" si="9">P7-P6</f>
        <v>262</v>
      </c>
      <c r="R7" s="18">
        <f>운전실적_원본!J7</f>
        <v>33.32</v>
      </c>
      <c r="S7" s="19">
        <f t="shared" ref="S7" si="10">R7-R6</f>
        <v>-0.11999999999999744</v>
      </c>
      <c r="T7" s="18">
        <f>운전실적_원본!K7</f>
        <v>33.11</v>
      </c>
      <c r="U7" s="19">
        <f t="shared" ref="U7" si="11">T7-T6</f>
        <v>9.9999999999980105E-3</v>
      </c>
      <c r="V7" s="12">
        <f>운전실적_원본!L7</f>
        <v>7434</v>
      </c>
      <c r="W7" s="16">
        <f t="shared" ref="W7" si="12">V7-V6</f>
        <v>-564</v>
      </c>
      <c r="X7" s="10">
        <f>운전실적_원본!M7</f>
        <v>192757.96000000089</v>
      </c>
      <c r="Y7" s="10">
        <f>운전실적_원본!N7</f>
        <v>65164.800000000047</v>
      </c>
      <c r="Z7" s="10">
        <f>운전실적_원본!O7</f>
        <v>0</v>
      </c>
      <c r="AA7" s="10">
        <f>운전실적_원본!P7</f>
        <v>0</v>
      </c>
      <c r="AB7" s="10">
        <f>운전실적_원본!Q7</f>
        <v>0</v>
      </c>
      <c r="AC7" s="20">
        <f>운전실적_원본!R7</f>
        <v>65164.800000000047</v>
      </c>
      <c r="AD7" s="109">
        <f>운전실적_원본!S7</f>
        <v>24</v>
      </c>
      <c r="AE7" s="110">
        <f>운전실적_원본!T7</f>
        <v>2</v>
      </c>
      <c r="AF7" s="110">
        <f>운전실적_원본!U7</f>
        <v>0</v>
      </c>
      <c r="AG7" s="110">
        <f>운전실적_원본!V7</f>
        <v>0</v>
      </c>
      <c r="AH7" s="109">
        <f t="shared" si="1"/>
        <v>24</v>
      </c>
      <c r="AI7" s="110">
        <f t="shared" ref="AI7:AI18" si="13">(AS7-AR7)*24</f>
        <v>1.7499999999417923</v>
      </c>
      <c r="AJ7" s="110">
        <f>운전실적_원본!Y7</f>
        <v>0</v>
      </c>
      <c r="AK7" s="110">
        <f>운전실적_원본!Z7</f>
        <v>0</v>
      </c>
      <c r="AL7" s="106">
        <v>46024</v>
      </c>
      <c r="AM7" s="105">
        <f t="shared" ref="AM7:AM21" si="14">AL8</f>
        <v>46025</v>
      </c>
      <c r="AN7" s="105"/>
      <c r="AO7" s="105"/>
      <c r="AP7" s="105"/>
      <c r="AQ7" s="108"/>
      <c r="AR7" s="105">
        <v>46024.927083333336</v>
      </c>
      <c r="AS7" s="105">
        <v>46025</v>
      </c>
      <c r="AT7" s="102"/>
      <c r="AU7" s="102"/>
      <c r="AV7" s="102"/>
      <c r="AW7" s="102"/>
      <c r="AX7" s="32">
        <f>운전실적_원본!W7</f>
        <v>1246</v>
      </c>
      <c r="AY7" s="11">
        <f>운전실적_원본!X7</f>
        <v>89</v>
      </c>
      <c r="AZ7" s="11">
        <f>운전실적_원본!Y7</f>
        <v>0</v>
      </c>
      <c r="BA7" s="11">
        <f>운전실적_원본!Z7</f>
        <v>0</v>
      </c>
      <c r="BB7" s="11">
        <f>운전실적_원본!AA7</f>
        <v>89</v>
      </c>
      <c r="BC7" s="11">
        <f>운전실적_원본!AB7</f>
        <v>1335</v>
      </c>
      <c r="BD7" s="32">
        <f t="shared" ref="BD7:BD68" si="15">IFERROR(AX7/AD7,"-")</f>
        <v>51.916666666666664</v>
      </c>
      <c r="BE7" s="11">
        <f t="shared" si="2"/>
        <v>1.0102484270610366</v>
      </c>
      <c r="BF7" s="11">
        <f t="shared" ref="BF7:BF26" si="16">IFERROR(BB7/AE7,"-")</f>
        <v>44.5</v>
      </c>
      <c r="BG7" s="31">
        <f t="shared" si="0"/>
        <v>0.64680232558139539</v>
      </c>
      <c r="BH7" s="241">
        <f>INDEX(연료전지_원본!$A$4:$KY$369,MATCH($A7,연료전지_원본!$A$4:$A$369,0),MATCH($BH$4,연료전지_원본!$A$4:$KY$4,0))</f>
        <v>0</v>
      </c>
      <c r="BI7" s="241">
        <f>INDEX(연료전지_원본!$A$4:$KY$369,MATCH($A7,연료전지_원본!$A$4:$A$369,0),MATCH($BI$4,연료전지_원본!$A$4:$KY$4,0))</f>
        <v>0</v>
      </c>
      <c r="BJ7" s="241">
        <f>INDEX(연료전지_원본!$A$4:$KY$369,MATCH($A7,연료전지_원본!$A$4:$A$369,0),MATCH($BJ$4,연료전지_원본!$A$4:$KY$4,0))</f>
        <v>0</v>
      </c>
      <c r="BK7" s="241">
        <f>INDEX(연료전지_원본!$A$4:$KY$369,MATCH($A7,연료전지_원본!$A$4:$A$369,0),MATCH($BK$4,연료전지_원본!$A$4:$KY$4,0))</f>
        <v>0</v>
      </c>
      <c r="BL7" s="241">
        <f>INDEX(연료전지_원본!$A$4:$KY$369,MATCH($A7,연료전지_원본!$A$4:$A$369,0),MATCH($BL$4,연료전지_원본!$A$4:$KY$4,0))</f>
        <v>0</v>
      </c>
      <c r="BM7" s="241">
        <f>INDEX(연료전지_원본!$A$4:$KY$369,MATCH($A7,연료전지_원본!$A$4:$A$369,0),MATCH($BM$4,연료전지_원본!$A$4:$KY$4,0))</f>
        <v>0</v>
      </c>
      <c r="BN7" s="241">
        <f>INDEX(연료전지_원본!$A$4:$KY$369,MATCH($A7,연료전지_원본!$A$4:$A$369,0),MATCH($BN$4,연료전지_원본!$A$4:$KY$4,0))</f>
        <v>0</v>
      </c>
      <c r="BO7" s="241">
        <f>INDEX(연료전지_원본!$A$4:$KY$369,MATCH($A7,연료전지_원본!$A$4:$A$369,0),MATCH($BO$4,연료전지_원본!$A$4:$KY$4,0))</f>
        <v>0</v>
      </c>
      <c r="BP7" s="241">
        <f>INDEX(연료전지_원본!$A$4:$KY$369,MATCH($A7,연료전지_원본!$A$4:$A$369,0),MATCH($BP$4,연료전지_원본!$A$4:$KY$4,0))</f>
        <v>0</v>
      </c>
      <c r="BQ7" s="241">
        <f>INDEX(연료전지_원본!$A$4:$KY$369,MATCH($A7,연료전지_원본!$A$4:$A$369,0),MATCH($BQ$4,연료전지_원본!$A$4:$KY$4,0))</f>
        <v>0</v>
      </c>
      <c r="BR7" s="241">
        <f>INDEX(연료전지_원본!$A$4:$KY$369,MATCH($A7,연료전지_원본!$A$4:$A$369,0),MATCH($BR$4,연료전지_원본!$A$4:$KY$4,0))</f>
        <v>0</v>
      </c>
      <c r="BS7" s="241">
        <f>INDEX(연료전지_원본!$A$4:$KY$369,MATCH($A7,연료전지_원본!$A$4:$A$369,0),MATCH($BS$4,연료전지_원본!$A$4:$KY$4,0))</f>
        <v>0</v>
      </c>
      <c r="BT7" s="241">
        <f>INDEX(연료전지_원본!$A$4:$KY$369,MATCH($A7,연료전지_원본!$A$4:$A$369,0),MATCH($BT$4,연료전지_원본!$A$4:$KY$4,0))</f>
        <v>0</v>
      </c>
      <c r="BU7" s="241">
        <f>INDEX(연료전지_원본!$A$4:$KY$369,MATCH($A7,연료전지_원본!$A$4:$A$369,0),MATCH($BU$4,연료전지_원본!$A$4:$KY$4,0))</f>
        <v>0</v>
      </c>
      <c r="BV7" s="241">
        <f>INDEX(연료전지_원본!$A$4:$KY$369,MATCH($A7,연료전지_원본!$A$4:$A$369,0),MATCH($BV$4,연료전지_원본!$A$4:$KY$4,0))</f>
        <v>0</v>
      </c>
      <c r="BW7" s="241">
        <f>INDEX(연료전지_원본!$A$4:$KY$369,MATCH($A7,연료전지_원본!$A$4:$A$369,0),MATCH($BW$4,연료전지_원본!$A$4:$KY$4,0))</f>
        <v>0</v>
      </c>
      <c r="BX7" s="241">
        <f>INDEX(연료전지_원본!$A$4:$KY$369,MATCH($A7,연료전지_원본!$A$4:$A$369,0),MATCH($BX$4,연료전지_원본!$A$4:$KY$4,0))</f>
        <v>0</v>
      </c>
      <c r="BY7" s="241">
        <f>INDEX(연료전지_원본!$A$4:$KY$369,MATCH($A7,연료전지_원본!$A$4:$A$369,0),MATCH($BY$4,연료전지_원본!$A$4:$KY$4,0))</f>
        <v>0</v>
      </c>
      <c r="BZ7" s="241">
        <f>INDEX(연료전지_원본!$A$4:$KY$369,MATCH($A7,연료전지_원본!$A$4:$A$369,0),MATCH($BZ$4,연료전지_원본!$A$4:$KY$4,0))</f>
        <v>0</v>
      </c>
      <c r="CA7" s="241">
        <f>INDEX(연료전지_원본!$A$4:$KY$369,MATCH($A7,연료전지_원본!$A$4:$A$369,0),MATCH($CA$4,연료전지_원본!$A$4:$KY$4,0))</f>
        <v>0</v>
      </c>
      <c r="CB7" s="241">
        <f>INDEX(연료전지_원본!$A$4:$KY$369,MATCH($A7,연료전지_원본!$A$4:$A$369,0),MATCH($CB$4,연료전지_원본!$A$4:$KY$4,0))</f>
        <v>0</v>
      </c>
      <c r="CC7" s="242">
        <f>INDEX(연료전지_원본!$A$4:$KY$369,MATCH($A7,연료전지_원본!$A$4:$A$369,0),MATCH($CC$4,연료전지_원본!$A$4:$KY$4,0))</f>
        <v>0</v>
      </c>
      <c r="CD7" s="250">
        <f>INDEX(연료전지_원본!$KB$4:$KX$369,MATCH($A7,연료전지_원본!$KB$4:$KB$369,0), MATCH(CD$4,연료전지_원본!$KB$4:$KX$4,0))*1000</f>
        <v>0</v>
      </c>
      <c r="CE7" s="250">
        <f>INDEX(연료전지_원본!$KB$4:$KX$369,MATCH($A7,연료전지_원본!$KB$4:$KB$369,0), MATCH(CE$4,연료전지_원본!$KB$4:$KX$4,0))*1000</f>
        <v>0</v>
      </c>
      <c r="CF7" s="250">
        <f>INDEX(연료전지_원본!$KB$4:$KX$369,MATCH($A7,연료전지_원본!$KB$4:$KB$369,0), MATCH(CF$4,연료전지_원본!$KB$4:$KX$4,0))*1000</f>
        <v>0</v>
      </c>
      <c r="CG7" s="250">
        <f>INDEX(연료전지_원본!$KB$4:$KX$369,MATCH($A7,연료전지_원본!$KB$4:$KB$369,0), MATCH(CG$4,연료전지_원본!$KB$4:$KX$4,0))*1000</f>
        <v>0</v>
      </c>
      <c r="CH7" s="250">
        <f>INDEX(연료전지_원본!$KB$4:$KX$369,MATCH($A7,연료전지_원본!$KB$4:$KB$369,0), MATCH(CH$4,연료전지_원본!$KB$4:$KX$4,0))*1000</f>
        <v>0</v>
      </c>
      <c r="CI7" s="250">
        <f>INDEX(연료전지_원본!$KB$4:$KX$369,MATCH($A7,연료전지_원본!$KB$4:$KB$369,0), MATCH(CI$4,연료전지_원본!$KB$4:$KX$4,0))*1000</f>
        <v>0</v>
      </c>
      <c r="CJ7" s="250">
        <f>INDEX(연료전지_원본!$KB$4:$KX$369,MATCH($A7,연료전지_원본!$KB$4:$KB$369,0), MATCH(CJ$4,연료전지_원본!$KB$4:$KX$4,0))*1000</f>
        <v>0</v>
      </c>
      <c r="CK7" s="250">
        <f>INDEX(연료전지_원본!$KB$4:$KX$369,MATCH($A7,연료전지_원본!$KB$4:$KB$369,0), MATCH(CK$4,연료전지_원본!$KB$4:$KX$4,0))*1000</f>
        <v>0</v>
      </c>
      <c r="CL7" s="250">
        <f>INDEX(연료전지_원본!$KB$4:$KX$369,MATCH($A7,연료전지_원본!$KB$4:$KB$369,0), MATCH(CL$4,연료전지_원본!$KB$4:$KX$4,0))*1000</f>
        <v>0</v>
      </c>
      <c r="CM7" s="250">
        <f>INDEX(연료전지_원본!$KB$4:$KX$369,MATCH($A7,연료전지_원본!$KB$4:$KB$369,0), MATCH(CM$4,연료전지_원본!$KB$4:$KX$4,0))*1000</f>
        <v>0</v>
      </c>
      <c r="CN7" s="250">
        <f>INDEX(연료전지_원본!$KB$4:$KX$369,MATCH($A7,연료전지_원본!$KB$4:$KB$369,0), MATCH(CN$4,연료전지_원본!$KB$4:$KX$4,0))*1000</f>
        <v>0</v>
      </c>
      <c r="CO7" s="250">
        <f>INDEX(연료전지_원본!$KB$4:$KX$369,MATCH($A7,연료전지_원본!$KB$4:$KB$369,0), MATCH(CO$4,연료전지_원본!$KB$4:$KX$4,0))*1000</f>
        <v>0</v>
      </c>
      <c r="CP7" s="250">
        <f>INDEX(연료전지_원본!$KB$4:$KX$369,MATCH($A7,연료전지_원본!$KB$4:$KB$369,0), MATCH(CP$4,연료전지_원본!$KB$4:$KX$4,0))*1000</f>
        <v>0</v>
      </c>
      <c r="CQ7" s="250">
        <f>INDEX(연료전지_원본!$KB$4:$KX$369,MATCH($A7,연료전지_원본!$KB$4:$KB$369,0), MATCH(CQ$4,연료전지_원본!$KB$4:$KX$4,0))*1000</f>
        <v>0</v>
      </c>
      <c r="CR7" s="250">
        <f>INDEX(연료전지_원본!$KB$4:$KX$369,MATCH($A7,연료전지_원본!$KB$4:$KB$369,0), MATCH(CR$4,연료전지_원본!$KB$4:$KX$4,0))*1000</f>
        <v>0</v>
      </c>
      <c r="CS7" s="250">
        <f>INDEX(연료전지_원본!$KB$4:$KX$369,MATCH($A7,연료전지_원본!$KB$4:$KB$369,0), MATCH(CS$4,연료전지_원본!$KB$4:$KX$4,0))*1000</f>
        <v>0</v>
      </c>
      <c r="CT7" s="250">
        <f>INDEX(연료전지_원본!$KB$4:$KX$369,MATCH($A7,연료전지_원본!$KB$4:$KB$369,0), MATCH(CT$4,연료전지_원본!$KB$4:$KX$4,0))*1000</f>
        <v>0</v>
      </c>
      <c r="CU7" s="250">
        <f>INDEX(연료전지_원본!$KB$4:$KX$369,MATCH($A7,연료전지_원본!$KB$4:$KB$369,0), MATCH(CU$4,연료전지_원본!$KB$4:$KX$4,0))*1000</f>
        <v>0</v>
      </c>
      <c r="CV7" s="250">
        <f>INDEX(연료전지_원본!$KB$4:$KX$369,MATCH($A7,연료전지_원본!$KB$4:$KB$369,0), MATCH(CV$4,연료전지_원본!$KB$4:$KX$4,0))*1000</f>
        <v>0</v>
      </c>
      <c r="CW7" s="250">
        <f>INDEX(연료전지_원본!$KB$4:$KX$369,MATCH($A7,연료전지_원본!$KB$4:$KB$369,0), MATCH(CW$4,연료전지_원본!$KB$4:$KX$4,0))*1000</f>
        <v>0</v>
      </c>
      <c r="CX7" s="250">
        <f>INDEX(연료전지_원본!$KB$4:$KX$369,MATCH($A7,연료전지_원본!$KB$4:$KB$369,0), MATCH(CX$4,연료전지_원본!$KB$4:$KX$4,0))*1000</f>
        <v>0</v>
      </c>
      <c r="CY7" s="250">
        <f>INDEX(연료전지_원본!$KB$4:$KX$369,MATCH($A7,연료전지_원본!$KB$4:$KB$369,0), MATCH(CY$4,연료전지_원본!$KB$4:$KX$4,0))*1000</f>
        <v>0</v>
      </c>
    </row>
    <row r="8" spans="1:126">
      <c r="A8" s="6">
        <v>46025</v>
      </c>
      <c r="B8" s="15">
        <f>운전실적_원본!B8</f>
        <v>651.20000000000005</v>
      </c>
      <c r="C8" s="16">
        <f t="shared" si="3"/>
        <v>0</v>
      </c>
      <c r="D8" s="9">
        <f>운전실적_원본!C8</f>
        <v>247827</v>
      </c>
      <c r="E8" s="9">
        <f t="shared" si="3"/>
        <v>89</v>
      </c>
      <c r="F8" s="9">
        <f>운전실적_원본!D8</f>
        <v>239672</v>
      </c>
      <c r="G8" s="16">
        <f t="shared" ref="G8" si="17">F8-F7</f>
        <v>0</v>
      </c>
      <c r="H8" s="15">
        <f>운전실적_원본!E8</f>
        <v>17022.66</v>
      </c>
      <c r="I8" s="16">
        <f t="shared" ref="I8" si="18">H8-H7</f>
        <v>7.6599999999998545</v>
      </c>
      <c r="J8" s="15">
        <f>운전실적_원본!F8</f>
        <v>14330.01</v>
      </c>
      <c r="K8" s="16">
        <f t="shared" ref="K8" si="19">J8-J7</f>
        <v>22.010000000000218</v>
      </c>
      <c r="L8" s="15">
        <f>운전실적_원본!G8</f>
        <v>4036.8</v>
      </c>
      <c r="M8" s="31">
        <f t="shared" ref="M8" si="20">L8-L7</f>
        <v>1.2000000000002728</v>
      </c>
      <c r="N8" s="15">
        <f>운전실적_원본!H8</f>
        <v>33336</v>
      </c>
      <c r="O8" s="16">
        <f t="shared" ref="O8" si="21">N8-N7</f>
        <v>206</v>
      </c>
      <c r="P8" s="15">
        <f>운전실적_원본!I8</f>
        <v>15291</v>
      </c>
      <c r="Q8" s="16">
        <f t="shared" ref="Q8" si="22">P8-P7</f>
        <v>166</v>
      </c>
      <c r="R8" s="18">
        <f>운전실적_원본!J8</f>
        <v>33.44</v>
      </c>
      <c r="S8" s="19">
        <f t="shared" ref="S8" si="23">R8-R7</f>
        <v>0.11999999999999744</v>
      </c>
      <c r="T8" s="18">
        <f>운전실적_원본!K8</f>
        <v>33.03</v>
      </c>
      <c r="U8" s="19">
        <f t="shared" ref="U8" si="24">T8-T7</f>
        <v>-7.9999999999998295E-2</v>
      </c>
      <c r="V8" s="12">
        <f>운전실적_원본!L8</f>
        <v>8107</v>
      </c>
      <c r="W8" s="16">
        <f t="shared" ref="W8" si="25">V8-V7</f>
        <v>673</v>
      </c>
      <c r="X8" s="10">
        <f>운전실적_원본!M8</f>
        <v>197169.61999999732</v>
      </c>
      <c r="Y8" s="10">
        <f>운전실적_원본!N8</f>
        <v>58486.39000000013</v>
      </c>
      <c r="Z8" s="10">
        <f>운전실적_원본!O8</f>
        <v>0</v>
      </c>
      <c r="AA8" s="10">
        <f>운전실적_원본!P8</f>
        <v>0</v>
      </c>
      <c r="AB8" s="10">
        <f>운전실적_원본!Q8</f>
        <v>0</v>
      </c>
      <c r="AC8" s="20">
        <f>운전실적_원본!R8</f>
        <v>58486.39000000013</v>
      </c>
      <c r="AD8" s="109">
        <f>운전실적_원본!S8</f>
        <v>24</v>
      </c>
      <c r="AE8" s="110">
        <f>운전실적_원본!T8</f>
        <v>10</v>
      </c>
      <c r="AF8" s="110">
        <f>운전실적_원본!U8</f>
        <v>0</v>
      </c>
      <c r="AG8" s="110">
        <f>운전실적_원본!V8</f>
        <v>0</v>
      </c>
      <c r="AH8" s="109">
        <f t="shared" si="1"/>
        <v>24</v>
      </c>
      <c r="AI8" s="113">
        <f t="shared" si="13"/>
        <v>9.9999999999417923</v>
      </c>
      <c r="AJ8" s="110">
        <f>운전실적_원본!Y8</f>
        <v>0</v>
      </c>
      <c r="AK8" s="110">
        <f>운전실적_원본!Z8</f>
        <v>0</v>
      </c>
      <c r="AL8" s="106">
        <v>46025</v>
      </c>
      <c r="AM8" s="105">
        <f t="shared" si="14"/>
        <v>46026</v>
      </c>
      <c r="AN8" s="105"/>
      <c r="AO8" s="105"/>
      <c r="AP8" s="105"/>
      <c r="AQ8" s="108"/>
      <c r="AR8" s="105">
        <v>46025</v>
      </c>
      <c r="AS8" s="105">
        <v>46025.416666666664</v>
      </c>
      <c r="AT8" s="102"/>
      <c r="AU8" s="102"/>
      <c r="AV8" s="102"/>
      <c r="AW8" s="102"/>
      <c r="AX8" s="32">
        <f>운전실적_원본!W8</f>
        <v>1225</v>
      </c>
      <c r="AY8" s="11">
        <f>운전실적_원본!X8</f>
        <v>587</v>
      </c>
      <c r="AZ8" s="11">
        <f>운전실적_원본!Y8</f>
        <v>0</v>
      </c>
      <c r="BA8" s="11">
        <f>운전실적_원본!Z8</f>
        <v>0</v>
      </c>
      <c r="BB8" s="11">
        <f>운전실적_원본!AA8</f>
        <v>587</v>
      </c>
      <c r="BC8" s="11">
        <f>운전실적_원본!AB8</f>
        <v>1812</v>
      </c>
      <c r="BD8" s="32">
        <f t="shared" si="15"/>
        <v>51.041666666666664</v>
      </c>
      <c r="BE8" s="11">
        <f t="shared" si="2"/>
        <v>0.99322176817798524</v>
      </c>
      <c r="BF8" s="11">
        <f t="shared" si="16"/>
        <v>58.7</v>
      </c>
      <c r="BG8" s="31">
        <f t="shared" si="0"/>
        <v>0.85319767441860472</v>
      </c>
      <c r="BH8" s="241">
        <f>INDEX(연료전지_원본!$A$4:$KY$369,MATCH($A8,연료전지_원본!$A$4:$A$369,0),MATCH($BH$4,연료전지_원본!$A$4:$KY$4,0))</f>
        <v>0</v>
      </c>
      <c r="BI8" s="241">
        <f>INDEX(연료전지_원본!$A$4:$KY$369,MATCH($A8,연료전지_원본!$A$4:$A$369,0),MATCH($BI$4,연료전지_원본!$A$4:$KY$4,0))</f>
        <v>0</v>
      </c>
      <c r="BJ8" s="241">
        <f>INDEX(연료전지_원본!$A$4:$KY$369,MATCH($A8,연료전지_원본!$A$4:$A$369,0),MATCH($BJ$4,연료전지_원본!$A$4:$KY$4,0))</f>
        <v>0</v>
      </c>
      <c r="BK8" s="241">
        <f>INDEX(연료전지_원본!$A$4:$KY$369,MATCH($A8,연료전지_원본!$A$4:$A$369,0),MATCH($BK$4,연료전지_원본!$A$4:$KY$4,0))</f>
        <v>0</v>
      </c>
      <c r="BL8" s="241">
        <f>INDEX(연료전지_원본!$A$4:$KY$369,MATCH($A8,연료전지_원본!$A$4:$A$369,0),MATCH($BL$4,연료전지_원본!$A$4:$KY$4,0))</f>
        <v>0</v>
      </c>
      <c r="BM8" s="241">
        <f>INDEX(연료전지_원본!$A$4:$KY$369,MATCH($A8,연료전지_원본!$A$4:$A$369,0),MATCH($BM$4,연료전지_원본!$A$4:$KY$4,0))</f>
        <v>0</v>
      </c>
      <c r="BN8" s="241">
        <f>INDEX(연료전지_원본!$A$4:$KY$369,MATCH($A8,연료전지_원본!$A$4:$A$369,0),MATCH($BN$4,연료전지_원본!$A$4:$KY$4,0))</f>
        <v>0</v>
      </c>
      <c r="BO8" s="241">
        <f>INDEX(연료전지_원본!$A$4:$KY$369,MATCH($A8,연료전지_원본!$A$4:$A$369,0),MATCH($BO$4,연료전지_원본!$A$4:$KY$4,0))</f>
        <v>0</v>
      </c>
      <c r="BP8" s="241">
        <f>INDEX(연료전지_원본!$A$4:$KY$369,MATCH($A8,연료전지_원본!$A$4:$A$369,0),MATCH($BP$4,연료전지_원본!$A$4:$KY$4,0))</f>
        <v>0</v>
      </c>
      <c r="BQ8" s="241">
        <f>INDEX(연료전지_원본!$A$4:$KY$369,MATCH($A8,연료전지_원본!$A$4:$A$369,0),MATCH($BQ$4,연료전지_원본!$A$4:$KY$4,0))</f>
        <v>0</v>
      </c>
      <c r="BR8" s="241">
        <f>INDEX(연료전지_원본!$A$4:$KY$369,MATCH($A8,연료전지_원본!$A$4:$A$369,0),MATCH($BR$4,연료전지_원본!$A$4:$KY$4,0))</f>
        <v>0</v>
      </c>
      <c r="BS8" s="241">
        <f>INDEX(연료전지_원본!$A$4:$KY$369,MATCH($A8,연료전지_원본!$A$4:$A$369,0),MATCH($BS$4,연료전지_원본!$A$4:$KY$4,0))</f>
        <v>0</v>
      </c>
      <c r="BT8" s="241">
        <f>INDEX(연료전지_원본!$A$4:$KY$369,MATCH($A8,연료전지_원본!$A$4:$A$369,0),MATCH($BT$4,연료전지_원본!$A$4:$KY$4,0))</f>
        <v>0</v>
      </c>
      <c r="BU8" s="241">
        <f>INDEX(연료전지_원본!$A$4:$KY$369,MATCH($A8,연료전지_원본!$A$4:$A$369,0),MATCH($BU$4,연료전지_원본!$A$4:$KY$4,0))</f>
        <v>0</v>
      </c>
      <c r="BV8" s="241">
        <f>INDEX(연료전지_원본!$A$4:$KY$369,MATCH($A8,연료전지_원본!$A$4:$A$369,0),MATCH($BV$4,연료전지_원본!$A$4:$KY$4,0))</f>
        <v>0</v>
      </c>
      <c r="BW8" s="241">
        <f>INDEX(연료전지_원본!$A$4:$KY$369,MATCH($A8,연료전지_원본!$A$4:$A$369,0),MATCH($BW$4,연료전지_원본!$A$4:$KY$4,0))</f>
        <v>0</v>
      </c>
      <c r="BX8" s="241">
        <f>INDEX(연료전지_원본!$A$4:$KY$369,MATCH($A8,연료전지_원본!$A$4:$A$369,0),MATCH($BX$4,연료전지_원본!$A$4:$KY$4,0))</f>
        <v>0</v>
      </c>
      <c r="BY8" s="241">
        <f>INDEX(연료전지_원본!$A$4:$KY$369,MATCH($A8,연료전지_원본!$A$4:$A$369,0),MATCH($BY$4,연료전지_원본!$A$4:$KY$4,0))</f>
        <v>0</v>
      </c>
      <c r="BZ8" s="241">
        <f>INDEX(연료전지_원본!$A$4:$KY$369,MATCH($A8,연료전지_원본!$A$4:$A$369,0),MATCH($BZ$4,연료전지_원본!$A$4:$KY$4,0))</f>
        <v>0</v>
      </c>
      <c r="CA8" s="241">
        <f>INDEX(연료전지_원본!$A$4:$KY$369,MATCH($A8,연료전지_원본!$A$4:$A$369,0),MATCH($CA$4,연료전지_원본!$A$4:$KY$4,0))</f>
        <v>0</v>
      </c>
      <c r="CB8" s="241">
        <f>INDEX(연료전지_원본!$A$4:$KY$369,MATCH($A8,연료전지_원본!$A$4:$A$369,0),MATCH($CB$4,연료전지_원본!$A$4:$KY$4,0))</f>
        <v>0</v>
      </c>
      <c r="CC8" s="242">
        <f>INDEX(연료전지_원본!$A$4:$KY$369,MATCH($A8,연료전지_원본!$A$4:$A$369,0),MATCH($CC$4,연료전지_원본!$A$4:$KY$4,0))</f>
        <v>0</v>
      </c>
      <c r="CD8" s="250">
        <f>INDEX(연료전지_원본!$KB$4:$KX$369,MATCH($A8,연료전지_원본!$KB$4:$KB$369,0), MATCH(CD$4,연료전지_원본!$KB$4:$KX$4,0))*1000</f>
        <v>0</v>
      </c>
      <c r="CE8" s="250">
        <f>INDEX(연료전지_원본!$KB$4:$KX$369,MATCH($A8,연료전지_원본!$KB$4:$KB$369,0), MATCH(CE$4,연료전지_원본!$KB$4:$KX$4,0))*1000</f>
        <v>0</v>
      </c>
      <c r="CF8" s="250">
        <f>INDEX(연료전지_원본!$KB$4:$KX$369,MATCH($A8,연료전지_원본!$KB$4:$KB$369,0), MATCH(CF$4,연료전지_원본!$KB$4:$KX$4,0))*1000</f>
        <v>0</v>
      </c>
      <c r="CG8" s="250">
        <f>INDEX(연료전지_원본!$KB$4:$KX$369,MATCH($A8,연료전지_원본!$KB$4:$KB$369,0), MATCH(CG$4,연료전지_원본!$KB$4:$KX$4,0))*1000</f>
        <v>0</v>
      </c>
      <c r="CH8" s="250">
        <f>INDEX(연료전지_원본!$KB$4:$KX$369,MATCH($A8,연료전지_원본!$KB$4:$KB$369,0), MATCH(CH$4,연료전지_원본!$KB$4:$KX$4,0))*1000</f>
        <v>0</v>
      </c>
      <c r="CI8" s="250">
        <f>INDEX(연료전지_원본!$KB$4:$KX$369,MATCH($A8,연료전지_원본!$KB$4:$KB$369,0), MATCH(CI$4,연료전지_원본!$KB$4:$KX$4,0))*1000</f>
        <v>0</v>
      </c>
      <c r="CJ8" s="250">
        <f>INDEX(연료전지_원본!$KB$4:$KX$369,MATCH($A8,연료전지_원본!$KB$4:$KB$369,0), MATCH(CJ$4,연료전지_원본!$KB$4:$KX$4,0))*1000</f>
        <v>0</v>
      </c>
      <c r="CK8" s="250">
        <f>INDEX(연료전지_원본!$KB$4:$KX$369,MATCH($A8,연료전지_원본!$KB$4:$KB$369,0), MATCH(CK$4,연료전지_원본!$KB$4:$KX$4,0))*1000</f>
        <v>0</v>
      </c>
      <c r="CL8" s="250">
        <f>INDEX(연료전지_원본!$KB$4:$KX$369,MATCH($A8,연료전지_원본!$KB$4:$KB$369,0), MATCH(CL$4,연료전지_원본!$KB$4:$KX$4,0))*1000</f>
        <v>0</v>
      </c>
      <c r="CM8" s="250">
        <f>INDEX(연료전지_원본!$KB$4:$KX$369,MATCH($A8,연료전지_원본!$KB$4:$KB$369,0), MATCH(CM$4,연료전지_원본!$KB$4:$KX$4,0))*1000</f>
        <v>0</v>
      </c>
      <c r="CN8" s="250">
        <f>INDEX(연료전지_원본!$KB$4:$KX$369,MATCH($A8,연료전지_원본!$KB$4:$KB$369,0), MATCH(CN$4,연료전지_원본!$KB$4:$KX$4,0))*1000</f>
        <v>0</v>
      </c>
      <c r="CO8" s="250">
        <f>INDEX(연료전지_원본!$KB$4:$KX$369,MATCH($A8,연료전지_원본!$KB$4:$KB$369,0), MATCH(CO$4,연료전지_원본!$KB$4:$KX$4,0))*1000</f>
        <v>0</v>
      </c>
      <c r="CP8" s="250">
        <f>INDEX(연료전지_원본!$KB$4:$KX$369,MATCH($A8,연료전지_원본!$KB$4:$KB$369,0), MATCH(CP$4,연료전지_원본!$KB$4:$KX$4,0))*1000</f>
        <v>0</v>
      </c>
      <c r="CQ8" s="250">
        <f>INDEX(연료전지_원본!$KB$4:$KX$369,MATCH($A8,연료전지_원본!$KB$4:$KB$369,0), MATCH(CQ$4,연료전지_원본!$KB$4:$KX$4,0))*1000</f>
        <v>0</v>
      </c>
      <c r="CR8" s="250">
        <f>INDEX(연료전지_원본!$KB$4:$KX$369,MATCH($A8,연료전지_원본!$KB$4:$KB$369,0), MATCH(CR$4,연료전지_원본!$KB$4:$KX$4,0))*1000</f>
        <v>0</v>
      </c>
      <c r="CS8" s="250">
        <f>INDEX(연료전지_원본!$KB$4:$KX$369,MATCH($A8,연료전지_원본!$KB$4:$KB$369,0), MATCH(CS$4,연료전지_원본!$KB$4:$KX$4,0))*1000</f>
        <v>0</v>
      </c>
      <c r="CT8" s="250">
        <f>INDEX(연료전지_원본!$KB$4:$KX$369,MATCH($A8,연료전지_원본!$KB$4:$KB$369,0), MATCH(CT$4,연료전지_원본!$KB$4:$KX$4,0))*1000</f>
        <v>0</v>
      </c>
      <c r="CU8" s="250">
        <f>INDEX(연료전지_원본!$KB$4:$KX$369,MATCH($A8,연료전지_원본!$KB$4:$KB$369,0), MATCH(CU$4,연료전지_원본!$KB$4:$KX$4,0))*1000</f>
        <v>0</v>
      </c>
      <c r="CV8" s="250">
        <f>INDEX(연료전지_원본!$KB$4:$KX$369,MATCH($A8,연료전지_원본!$KB$4:$KB$369,0), MATCH(CV$4,연료전지_원본!$KB$4:$KX$4,0))*1000</f>
        <v>0</v>
      </c>
      <c r="CW8" s="250">
        <f>INDEX(연료전지_원본!$KB$4:$KX$369,MATCH($A8,연료전지_원본!$KB$4:$KB$369,0), MATCH(CW$4,연료전지_원본!$KB$4:$KX$4,0))*1000</f>
        <v>0</v>
      </c>
      <c r="CX8" s="250">
        <f>INDEX(연료전지_원본!$KB$4:$KX$369,MATCH($A8,연료전지_원본!$KB$4:$KB$369,0), MATCH(CX$4,연료전지_원본!$KB$4:$KX$4,0))*1000</f>
        <v>0</v>
      </c>
      <c r="CY8" s="250">
        <f>INDEX(연료전지_원본!$KB$4:$KX$369,MATCH($A8,연료전지_원본!$KB$4:$KB$369,0), MATCH(CY$4,연료전지_원본!$KB$4:$KX$4,0))*1000</f>
        <v>0</v>
      </c>
    </row>
    <row r="9" spans="1:126">
      <c r="A9" s="6">
        <v>46026</v>
      </c>
      <c r="B9" s="15">
        <f>운전실적_원본!B9</f>
        <v>651.20000000000005</v>
      </c>
      <c r="C9" s="16">
        <f t="shared" si="3"/>
        <v>0</v>
      </c>
      <c r="D9" s="9">
        <f>운전실적_원본!C9</f>
        <v>247872</v>
      </c>
      <c r="E9" s="9">
        <f t="shared" si="3"/>
        <v>45</v>
      </c>
      <c r="F9" s="9">
        <f>운전실적_원본!D9</f>
        <v>239672</v>
      </c>
      <c r="G9" s="16">
        <f t="shared" ref="G9" si="26">F9-F8</f>
        <v>0</v>
      </c>
      <c r="H9" s="15">
        <f>운전실적_원본!E9</f>
        <v>17032.650000000001</v>
      </c>
      <c r="I9" s="16">
        <f t="shared" ref="I9" si="27">H9-H8</f>
        <v>9.9900000000016007</v>
      </c>
      <c r="J9" s="15">
        <f>운전실적_원본!F9</f>
        <v>14352.44</v>
      </c>
      <c r="K9" s="16">
        <f t="shared" ref="K9" si="28">J9-J8</f>
        <v>22.430000000000291</v>
      </c>
      <c r="L9" s="15">
        <f>운전실적_원본!G9</f>
        <v>4037.5</v>
      </c>
      <c r="M9" s="31">
        <f t="shared" ref="M9" si="29">L9-L8</f>
        <v>0.6999999999998181</v>
      </c>
      <c r="N9" s="15">
        <f>운전실적_원본!H9</f>
        <v>33409</v>
      </c>
      <c r="O9" s="16">
        <f t="shared" ref="O9" si="30">N9-N8</f>
        <v>73</v>
      </c>
      <c r="P9" s="15">
        <f>운전실적_원본!I9</f>
        <v>15409</v>
      </c>
      <c r="Q9" s="16">
        <f t="shared" ref="Q9" si="31">P9-P8</f>
        <v>118</v>
      </c>
      <c r="R9" s="18">
        <f>운전실적_원본!J9</f>
        <v>33.08</v>
      </c>
      <c r="S9" s="19">
        <f t="shared" ref="S9" si="32">R9-R8</f>
        <v>-0.35999999999999943</v>
      </c>
      <c r="T9" s="18">
        <f>운전실적_원본!K9</f>
        <v>33.229999999999997</v>
      </c>
      <c r="U9" s="19">
        <f t="shared" ref="U9" si="33">T9-T8</f>
        <v>0.19999999999999574</v>
      </c>
      <c r="V9" s="12">
        <f>운전실적_원본!L9</f>
        <v>8095</v>
      </c>
      <c r="W9" s="16">
        <f t="shared" ref="W9" si="34">V9-V8</f>
        <v>-12</v>
      </c>
      <c r="X9" s="10">
        <f>운전실적_원본!M9</f>
        <v>197706.50999999791</v>
      </c>
      <c r="Y9" s="10">
        <f>운전실적_원본!N9</f>
        <v>0</v>
      </c>
      <c r="Z9" s="10">
        <f>운전실적_원본!O9</f>
        <v>0</v>
      </c>
      <c r="AA9" s="10">
        <f>운전실적_원본!P9</f>
        <v>0</v>
      </c>
      <c r="AB9" s="10">
        <f>운전실적_원본!Q9</f>
        <v>0</v>
      </c>
      <c r="AC9" s="20">
        <f>운전실적_원본!R9</f>
        <v>0</v>
      </c>
      <c r="AD9" s="109">
        <f>운전실적_원본!S9</f>
        <v>24</v>
      </c>
      <c r="AE9" s="110">
        <f>운전실적_원본!T9</f>
        <v>15</v>
      </c>
      <c r="AF9" s="110">
        <f>운전실적_원본!U9</f>
        <v>0</v>
      </c>
      <c r="AG9" s="110">
        <f>운전실적_원본!V9</f>
        <v>0</v>
      </c>
      <c r="AH9" s="109">
        <f t="shared" si="1"/>
        <v>24</v>
      </c>
      <c r="AI9" s="110">
        <f t="shared" si="13"/>
        <v>9.0833333332557231</v>
      </c>
      <c r="AJ9" s="110">
        <f>운전실적_원본!Y9</f>
        <v>0</v>
      </c>
      <c r="AK9" s="110">
        <f>운전실적_원본!Z9</f>
        <v>0</v>
      </c>
      <c r="AL9" s="106">
        <v>46026</v>
      </c>
      <c r="AM9" s="105">
        <f t="shared" si="14"/>
        <v>46027</v>
      </c>
      <c r="AN9" s="105"/>
      <c r="AO9" s="105"/>
      <c r="AP9" s="105"/>
      <c r="AQ9" s="108"/>
      <c r="AR9" s="105">
        <v>46026.239583333336</v>
      </c>
      <c r="AS9" s="105">
        <v>46026.618055555555</v>
      </c>
      <c r="AT9" s="102"/>
      <c r="AU9" s="102"/>
      <c r="AV9" s="102"/>
      <c r="AW9" s="102"/>
      <c r="AX9" s="32">
        <f>운전실적_원본!W9</f>
        <v>1242</v>
      </c>
      <c r="AY9" s="11">
        <f>운전실적_원본!X9</f>
        <v>518</v>
      </c>
      <c r="AZ9" s="11">
        <f>운전실적_원본!Y9</f>
        <v>0</v>
      </c>
      <c r="BA9" s="11">
        <f>운전실적_원본!Z9</f>
        <v>0</v>
      </c>
      <c r="BB9" s="11">
        <f>운전실적_원본!AA9</f>
        <v>518</v>
      </c>
      <c r="BC9" s="11">
        <f>운전실적_원본!AB9</f>
        <v>1760</v>
      </c>
      <c r="BD9" s="32">
        <f t="shared" si="15"/>
        <v>51.75</v>
      </c>
      <c r="BE9" s="11">
        <f t="shared" si="2"/>
        <v>1.0070052539404553</v>
      </c>
      <c r="BF9" s="11">
        <f t="shared" si="16"/>
        <v>34.533333333333331</v>
      </c>
      <c r="BG9" s="31">
        <f t="shared" si="0"/>
        <v>0.50193798449612403</v>
      </c>
      <c r="BH9" s="241">
        <f>INDEX(연료전지_원본!$A$4:$KY$369,MATCH($A9,연료전지_원본!$A$4:$A$369,0),MATCH($BH$4,연료전지_원본!$A$4:$KY$4,0))</f>
        <v>0</v>
      </c>
      <c r="BI9" s="241">
        <f>INDEX(연료전지_원본!$A$4:$KY$369,MATCH($A9,연료전지_원본!$A$4:$A$369,0),MATCH($BI$4,연료전지_원본!$A$4:$KY$4,0))</f>
        <v>0</v>
      </c>
      <c r="BJ9" s="241">
        <f>INDEX(연료전지_원본!$A$4:$KY$369,MATCH($A9,연료전지_원본!$A$4:$A$369,0),MATCH($BJ$4,연료전지_원본!$A$4:$KY$4,0))</f>
        <v>0</v>
      </c>
      <c r="BK9" s="241">
        <f>INDEX(연료전지_원본!$A$4:$KY$369,MATCH($A9,연료전지_원본!$A$4:$A$369,0),MATCH($BK$4,연료전지_원본!$A$4:$KY$4,0))</f>
        <v>0</v>
      </c>
      <c r="BL9" s="241">
        <f>INDEX(연료전지_원본!$A$4:$KY$369,MATCH($A9,연료전지_원본!$A$4:$A$369,0),MATCH($BL$4,연료전지_원본!$A$4:$KY$4,0))</f>
        <v>0</v>
      </c>
      <c r="BM9" s="241">
        <f>INDEX(연료전지_원본!$A$4:$KY$369,MATCH($A9,연료전지_원본!$A$4:$A$369,0),MATCH($BM$4,연료전지_원본!$A$4:$KY$4,0))</f>
        <v>0</v>
      </c>
      <c r="BN9" s="241">
        <f>INDEX(연료전지_원본!$A$4:$KY$369,MATCH($A9,연료전지_원본!$A$4:$A$369,0),MATCH($BN$4,연료전지_원본!$A$4:$KY$4,0))</f>
        <v>0</v>
      </c>
      <c r="BO9" s="241">
        <f>INDEX(연료전지_원본!$A$4:$KY$369,MATCH($A9,연료전지_원본!$A$4:$A$369,0),MATCH($BO$4,연료전지_원본!$A$4:$KY$4,0))</f>
        <v>0</v>
      </c>
      <c r="BP9" s="241">
        <f>INDEX(연료전지_원본!$A$4:$KY$369,MATCH($A9,연료전지_원본!$A$4:$A$369,0),MATCH($BP$4,연료전지_원본!$A$4:$KY$4,0))</f>
        <v>0</v>
      </c>
      <c r="BQ9" s="241">
        <f>INDEX(연료전지_원본!$A$4:$KY$369,MATCH($A9,연료전지_원본!$A$4:$A$369,0),MATCH($BQ$4,연료전지_원본!$A$4:$KY$4,0))</f>
        <v>0</v>
      </c>
      <c r="BR9" s="241">
        <f>INDEX(연료전지_원본!$A$4:$KY$369,MATCH($A9,연료전지_원본!$A$4:$A$369,0),MATCH($BR$4,연료전지_원본!$A$4:$KY$4,0))</f>
        <v>0</v>
      </c>
      <c r="BS9" s="241">
        <f>INDEX(연료전지_원본!$A$4:$KY$369,MATCH($A9,연료전지_원본!$A$4:$A$369,0),MATCH($BS$4,연료전지_원본!$A$4:$KY$4,0))</f>
        <v>0</v>
      </c>
      <c r="BT9" s="241">
        <f>INDEX(연료전지_원본!$A$4:$KY$369,MATCH($A9,연료전지_원본!$A$4:$A$369,0),MATCH($BT$4,연료전지_원본!$A$4:$KY$4,0))</f>
        <v>0</v>
      </c>
      <c r="BU9" s="241">
        <f>INDEX(연료전지_원본!$A$4:$KY$369,MATCH($A9,연료전지_원본!$A$4:$A$369,0),MATCH($BU$4,연료전지_원본!$A$4:$KY$4,0))</f>
        <v>0</v>
      </c>
      <c r="BV9" s="241">
        <f>INDEX(연료전지_원본!$A$4:$KY$369,MATCH($A9,연료전지_원본!$A$4:$A$369,0),MATCH($BV$4,연료전지_원본!$A$4:$KY$4,0))</f>
        <v>0</v>
      </c>
      <c r="BW9" s="241">
        <f>INDEX(연료전지_원본!$A$4:$KY$369,MATCH($A9,연료전지_원본!$A$4:$A$369,0),MATCH($BW$4,연료전지_원본!$A$4:$KY$4,0))</f>
        <v>0</v>
      </c>
      <c r="BX9" s="241">
        <f>INDEX(연료전지_원본!$A$4:$KY$369,MATCH($A9,연료전지_원본!$A$4:$A$369,0),MATCH($BX$4,연료전지_원본!$A$4:$KY$4,0))</f>
        <v>0</v>
      </c>
      <c r="BY9" s="241">
        <f>INDEX(연료전지_원본!$A$4:$KY$369,MATCH($A9,연료전지_원본!$A$4:$A$369,0),MATCH($BY$4,연료전지_원본!$A$4:$KY$4,0))</f>
        <v>0</v>
      </c>
      <c r="BZ9" s="241">
        <f>INDEX(연료전지_원본!$A$4:$KY$369,MATCH($A9,연료전지_원본!$A$4:$A$369,0),MATCH($BZ$4,연료전지_원본!$A$4:$KY$4,0))</f>
        <v>0</v>
      </c>
      <c r="CA9" s="241">
        <f>INDEX(연료전지_원본!$A$4:$KY$369,MATCH($A9,연료전지_원본!$A$4:$A$369,0),MATCH($CA$4,연료전지_원본!$A$4:$KY$4,0))</f>
        <v>0</v>
      </c>
      <c r="CB9" s="241">
        <f>INDEX(연료전지_원본!$A$4:$KY$369,MATCH($A9,연료전지_원본!$A$4:$A$369,0),MATCH($CB$4,연료전지_원본!$A$4:$KY$4,0))</f>
        <v>0</v>
      </c>
      <c r="CC9" s="242">
        <f>INDEX(연료전지_원본!$A$4:$KY$369,MATCH($A9,연료전지_원본!$A$4:$A$369,0),MATCH($CC$4,연료전지_원본!$A$4:$KY$4,0))</f>
        <v>0</v>
      </c>
      <c r="CD9" s="250">
        <f>INDEX(연료전지_원본!$KB$4:$KX$369,MATCH($A9,연료전지_원본!$KB$4:$KB$369,0), MATCH(CD$4,연료전지_원본!$KB$4:$KX$4,0))*1000</f>
        <v>0</v>
      </c>
      <c r="CE9" s="250">
        <f>INDEX(연료전지_원본!$KB$4:$KX$369,MATCH($A9,연료전지_원본!$KB$4:$KB$369,0), MATCH(CE$4,연료전지_원본!$KB$4:$KX$4,0))*1000</f>
        <v>0</v>
      </c>
      <c r="CF9" s="250">
        <f>INDEX(연료전지_원본!$KB$4:$KX$369,MATCH($A9,연료전지_원본!$KB$4:$KB$369,0), MATCH(CF$4,연료전지_원본!$KB$4:$KX$4,0))*1000</f>
        <v>0</v>
      </c>
      <c r="CG9" s="250">
        <f>INDEX(연료전지_원본!$KB$4:$KX$369,MATCH($A9,연료전지_원본!$KB$4:$KB$369,0), MATCH(CG$4,연료전지_원본!$KB$4:$KX$4,0))*1000</f>
        <v>0</v>
      </c>
      <c r="CH9" s="250">
        <f>INDEX(연료전지_원본!$KB$4:$KX$369,MATCH($A9,연료전지_원본!$KB$4:$KB$369,0), MATCH(CH$4,연료전지_원본!$KB$4:$KX$4,0))*1000</f>
        <v>0</v>
      </c>
      <c r="CI9" s="250">
        <f>INDEX(연료전지_원본!$KB$4:$KX$369,MATCH($A9,연료전지_원본!$KB$4:$KB$369,0), MATCH(CI$4,연료전지_원본!$KB$4:$KX$4,0))*1000</f>
        <v>0</v>
      </c>
      <c r="CJ9" s="250">
        <f>INDEX(연료전지_원본!$KB$4:$KX$369,MATCH($A9,연료전지_원본!$KB$4:$KB$369,0), MATCH(CJ$4,연료전지_원본!$KB$4:$KX$4,0))*1000</f>
        <v>0</v>
      </c>
      <c r="CK9" s="250">
        <f>INDEX(연료전지_원본!$KB$4:$KX$369,MATCH($A9,연료전지_원본!$KB$4:$KB$369,0), MATCH(CK$4,연료전지_원본!$KB$4:$KX$4,0))*1000</f>
        <v>0</v>
      </c>
      <c r="CL9" s="250">
        <f>INDEX(연료전지_원본!$KB$4:$KX$369,MATCH($A9,연료전지_원본!$KB$4:$KB$369,0), MATCH(CL$4,연료전지_원본!$KB$4:$KX$4,0))*1000</f>
        <v>0</v>
      </c>
      <c r="CM9" s="250">
        <f>INDEX(연료전지_원본!$KB$4:$KX$369,MATCH($A9,연료전지_원본!$KB$4:$KB$369,0), MATCH(CM$4,연료전지_원본!$KB$4:$KX$4,0))*1000</f>
        <v>0</v>
      </c>
      <c r="CN9" s="250">
        <f>INDEX(연료전지_원본!$KB$4:$KX$369,MATCH($A9,연료전지_원본!$KB$4:$KB$369,0), MATCH(CN$4,연료전지_원본!$KB$4:$KX$4,0))*1000</f>
        <v>0</v>
      </c>
      <c r="CO9" s="250">
        <f>INDEX(연료전지_원본!$KB$4:$KX$369,MATCH($A9,연료전지_원본!$KB$4:$KB$369,0), MATCH(CO$4,연료전지_원본!$KB$4:$KX$4,0))*1000</f>
        <v>0</v>
      </c>
      <c r="CP9" s="250">
        <f>INDEX(연료전지_원본!$KB$4:$KX$369,MATCH($A9,연료전지_원본!$KB$4:$KB$369,0), MATCH(CP$4,연료전지_원본!$KB$4:$KX$4,0))*1000</f>
        <v>0</v>
      </c>
      <c r="CQ9" s="250">
        <f>INDEX(연료전지_원본!$KB$4:$KX$369,MATCH($A9,연료전지_원본!$KB$4:$KB$369,0), MATCH(CQ$4,연료전지_원본!$KB$4:$KX$4,0))*1000</f>
        <v>0</v>
      </c>
      <c r="CR9" s="250">
        <f>INDEX(연료전지_원본!$KB$4:$KX$369,MATCH($A9,연료전지_원본!$KB$4:$KB$369,0), MATCH(CR$4,연료전지_원본!$KB$4:$KX$4,0))*1000</f>
        <v>0</v>
      </c>
      <c r="CS9" s="250">
        <f>INDEX(연료전지_원본!$KB$4:$KX$369,MATCH($A9,연료전지_원본!$KB$4:$KB$369,0), MATCH(CS$4,연료전지_원본!$KB$4:$KX$4,0))*1000</f>
        <v>0</v>
      </c>
      <c r="CT9" s="250">
        <f>INDEX(연료전지_원본!$KB$4:$KX$369,MATCH($A9,연료전지_원본!$KB$4:$KB$369,0), MATCH(CT$4,연료전지_원본!$KB$4:$KX$4,0))*1000</f>
        <v>0</v>
      </c>
      <c r="CU9" s="250">
        <f>INDEX(연료전지_원본!$KB$4:$KX$369,MATCH($A9,연료전지_원본!$KB$4:$KB$369,0), MATCH(CU$4,연료전지_원본!$KB$4:$KX$4,0))*1000</f>
        <v>0</v>
      </c>
      <c r="CV9" s="250">
        <f>INDEX(연료전지_원본!$KB$4:$KX$369,MATCH($A9,연료전지_원본!$KB$4:$KB$369,0), MATCH(CV$4,연료전지_원본!$KB$4:$KX$4,0))*1000</f>
        <v>0</v>
      </c>
      <c r="CW9" s="250">
        <f>INDEX(연료전지_원본!$KB$4:$KX$369,MATCH($A9,연료전지_원본!$KB$4:$KB$369,0), MATCH(CW$4,연료전지_원본!$KB$4:$KX$4,0))*1000</f>
        <v>0</v>
      </c>
      <c r="CX9" s="250">
        <f>INDEX(연료전지_원본!$KB$4:$KX$369,MATCH($A9,연료전지_원본!$KB$4:$KB$369,0), MATCH(CX$4,연료전지_원본!$KB$4:$KX$4,0))*1000</f>
        <v>0</v>
      </c>
      <c r="CY9" s="250">
        <f>INDEX(연료전지_원본!$KB$4:$KX$369,MATCH($A9,연료전지_원본!$KB$4:$KB$369,0), MATCH(CY$4,연료전지_원본!$KB$4:$KX$4,0))*1000</f>
        <v>0</v>
      </c>
    </row>
    <row r="10" spans="1:126">
      <c r="A10" s="6">
        <v>46027</v>
      </c>
      <c r="B10" s="15">
        <f>운전실적_원본!B10</f>
        <v>651.20000000000005</v>
      </c>
      <c r="C10" s="16">
        <f t="shared" si="3"/>
        <v>0</v>
      </c>
      <c r="D10" s="9">
        <f>운전실적_원본!C10</f>
        <v>247872</v>
      </c>
      <c r="E10" s="9">
        <f t="shared" si="3"/>
        <v>0</v>
      </c>
      <c r="F10" s="9">
        <f>운전실적_원본!D10</f>
        <v>239734</v>
      </c>
      <c r="G10" s="16">
        <f t="shared" ref="G10" si="35">F10-F9</f>
        <v>62</v>
      </c>
      <c r="H10" s="15">
        <f>운전실적_원본!E10</f>
        <v>17042.12</v>
      </c>
      <c r="I10" s="16">
        <f t="shared" ref="I10" si="36">H10-H9</f>
        <v>9.4699999999975262</v>
      </c>
      <c r="J10" s="15">
        <f>운전실적_원본!F10</f>
        <v>14375.73</v>
      </c>
      <c r="K10" s="16">
        <f t="shared" ref="K10" si="37">J10-J9</f>
        <v>23.289999999999054</v>
      </c>
      <c r="L10" s="15">
        <f>운전실적_원본!G10</f>
        <v>4038.2</v>
      </c>
      <c r="M10" s="31">
        <f t="shared" ref="M10" si="38">L10-L9</f>
        <v>0.6999999999998181</v>
      </c>
      <c r="N10" s="15">
        <f>운전실적_원본!H10</f>
        <v>33454</v>
      </c>
      <c r="O10" s="16">
        <f t="shared" ref="O10" si="39">N10-N9</f>
        <v>45</v>
      </c>
      <c r="P10" s="15">
        <f>운전실적_원본!I10</f>
        <v>15570</v>
      </c>
      <c r="Q10" s="16">
        <f t="shared" ref="Q10" si="40">P10-P9</f>
        <v>161</v>
      </c>
      <c r="R10" s="18">
        <f>운전실적_원본!J10</f>
        <v>33.24</v>
      </c>
      <c r="S10" s="19">
        <f t="shared" ref="S10" si="41">R10-R9</f>
        <v>0.16000000000000369</v>
      </c>
      <c r="T10" s="18">
        <f>운전실적_원본!K10</f>
        <v>33.06</v>
      </c>
      <c r="U10" s="19">
        <f t="shared" ref="U10" si="42">T10-T9</f>
        <v>-0.1699999999999946</v>
      </c>
      <c r="V10" s="12">
        <f>운전실적_원본!L10</f>
        <v>8014</v>
      </c>
      <c r="W10" s="16">
        <f t="shared" ref="W10" si="43">V10-V9</f>
        <v>-81</v>
      </c>
      <c r="X10" s="10">
        <f>운전실적_원본!M10</f>
        <v>198227.56000000238</v>
      </c>
      <c r="Y10" s="10">
        <f>운전실적_원본!N10</f>
        <v>0</v>
      </c>
      <c r="Z10" s="10">
        <f>운전실적_원본!O10</f>
        <v>0</v>
      </c>
      <c r="AA10" s="10">
        <f>운전실적_원본!P10</f>
        <v>0</v>
      </c>
      <c r="AB10" s="10">
        <f>운전실적_원본!Q10</f>
        <v>0</v>
      </c>
      <c r="AC10" s="20">
        <f>운전실적_원본!R10</f>
        <v>0</v>
      </c>
      <c r="AD10" s="109">
        <f>운전실적_원본!S10</f>
        <v>24</v>
      </c>
      <c r="AE10" s="110">
        <f>운전실적_원본!T10</f>
        <v>0</v>
      </c>
      <c r="AF10" s="110">
        <f>운전실적_원본!U10</f>
        <v>0</v>
      </c>
      <c r="AG10" s="110">
        <f>운전실적_원본!V10</f>
        <v>0</v>
      </c>
      <c r="AH10" s="109">
        <f t="shared" si="1"/>
        <v>24</v>
      </c>
      <c r="AI10" s="110">
        <f t="shared" si="13"/>
        <v>0</v>
      </c>
      <c r="AJ10" s="110">
        <f>운전실적_원본!Y10</f>
        <v>0</v>
      </c>
      <c r="AK10" s="110">
        <f>운전실적_원본!Z10</f>
        <v>0</v>
      </c>
      <c r="AL10" s="106">
        <v>46027</v>
      </c>
      <c r="AM10" s="105">
        <f t="shared" si="14"/>
        <v>46028</v>
      </c>
      <c r="AN10" s="105"/>
      <c r="AO10" s="105"/>
      <c r="AP10" s="105"/>
      <c r="AQ10" s="108"/>
      <c r="AR10" s="105"/>
      <c r="AS10" s="105"/>
      <c r="AT10" s="102"/>
      <c r="AU10" s="102"/>
      <c r="AV10" s="102"/>
      <c r="AW10" s="102"/>
      <c r="AX10" s="32">
        <f>운전실적_원본!W10</f>
        <v>1243</v>
      </c>
      <c r="AY10" s="11">
        <f>운전실적_원본!X10</f>
        <v>0</v>
      </c>
      <c r="AZ10" s="11">
        <f>운전실적_원본!Y10</f>
        <v>0</v>
      </c>
      <c r="BA10" s="11">
        <f>운전실적_원본!Z10</f>
        <v>0</v>
      </c>
      <c r="BB10" s="11">
        <f>운전실적_원본!AA10</f>
        <v>0</v>
      </c>
      <c r="BC10" s="11">
        <f>운전실적_원본!AB10</f>
        <v>1243</v>
      </c>
      <c r="BD10" s="32">
        <f t="shared" si="15"/>
        <v>51.791666666666664</v>
      </c>
      <c r="BE10" s="11">
        <f t="shared" si="2"/>
        <v>1.0078160472206006</v>
      </c>
      <c r="BF10" s="11" t="str">
        <f t="shared" si="16"/>
        <v>-</v>
      </c>
      <c r="BG10" s="31" t="str">
        <f t="shared" si="0"/>
        <v>-</v>
      </c>
      <c r="BH10" s="241">
        <f>INDEX(연료전지_원본!$A$4:$KY$369,MATCH($A10,연료전지_원본!$A$4:$A$369,0),MATCH($BH$4,연료전지_원본!$A$4:$KY$4,0))</f>
        <v>0</v>
      </c>
      <c r="BI10" s="241">
        <f>INDEX(연료전지_원본!$A$4:$KY$369,MATCH($A10,연료전지_원본!$A$4:$A$369,0),MATCH($BI$4,연료전지_원본!$A$4:$KY$4,0))</f>
        <v>0</v>
      </c>
      <c r="BJ10" s="241">
        <f>INDEX(연료전지_원본!$A$4:$KY$369,MATCH($A10,연료전지_원본!$A$4:$A$369,0),MATCH($BJ$4,연료전지_원본!$A$4:$KY$4,0))</f>
        <v>0</v>
      </c>
      <c r="BK10" s="241">
        <f>INDEX(연료전지_원본!$A$4:$KY$369,MATCH($A10,연료전지_원본!$A$4:$A$369,0),MATCH($BK$4,연료전지_원본!$A$4:$KY$4,0))</f>
        <v>0</v>
      </c>
      <c r="BL10" s="241">
        <f>INDEX(연료전지_원본!$A$4:$KY$369,MATCH($A10,연료전지_원본!$A$4:$A$369,0),MATCH($BL$4,연료전지_원본!$A$4:$KY$4,0))</f>
        <v>0</v>
      </c>
      <c r="BM10" s="241">
        <f>INDEX(연료전지_원본!$A$4:$KY$369,MATCH($A10,연료전지_원본!$A$4:$A$369,0),MATCH($BM$4,연료전지_원본!$A$4:$KY$4,0))</f>
        <v>0</v>
      </c>
      <c r="BN10" s="241">
        <f>INDEX(연료전지_원본!$A$4:$KY$369,MATCH($A10,연료전지_원본!$A$4:$A$369,0),MATCH($BN$4,연료전지_원본!$A$4:$KY$4,0))</f>
        <v>0</v>
      </c>
      <c r="BO10" s="241">
        <f>INDEX(연료전지_원본!$A$4:$KY$369,MATCH($A10,연료전지_원본!$A$4:$A$369,0),MATCH($BO$4,연료전지_원본!$A$4:$KY$4,0))</f>
        <v>0</v>
      </c>
      <c r="BP10" s="241">
        <f>INDEX(연료전지_원본!$A$4:$KY$369,MATCH($A10,연료전지_원본!$A$4:$A$369,0),MATCH($BP$4,연료전지_원본!$A$4:$KY$4,0))</f>
        <v>0</v>
      </c>
      <c r="BQ10" s="241">
        <f>INDEX(연료전지_원본!$A$4:$KY$369,MATCH($A10,연료전지_원본!$A$4:$A$369,0),MATCH($BQ$4,연료전지_원본!$A$4:$KY$4,0))</f>
        <v>0</v>
      </c>
      <c r="BR10" s="241">
        <f>INDEX(연료전지_원본!$A$4:$KY$369,MATCH($A10,연료전지_원본!$A$4:$A$369,0),MATCH($BR$4,연료전지_원본!$A$4:$KY$4,0))</f>
        <v>0</v>
      </c>
      <c r="BS10" s="241">
        <f>INDEX(연료전지_원본!$A$4:$KY$369,MATCH($A10,연료전지_원본!$A$4:$A$369,0),MATCH($BS$4,연료전지_원본!$A$4:$KY$4,0))</f>
        <v>0</v>
      </c>
      <c r="BT10" s="241">
        <f>INDEX(연료전지_원본!$A$4:$KY$369,MATCH($A10,연료전지_원본!$A$4:$A$369,0),MATCH($BT$4,연료전지_원본!$A$4:$KY$4,0))</f>
        <v>0</v>
      </c>
      <c r="BU10" s="241">
        <f>INDEX(연료전지_원본!$A$4:$KY$369,MATCH($A10,연료전지_원본!$A$4:$A$369,0),MATCH($BU$4,연료전지_원본!$A$4:$KY$4,0))</f>
        <v>0</v>
      </c>
      <c r="BV10" s="241">
        <f>INDEX(연료전지_원본!$A$4:$KY$369,MATCH($A10,연료전지_원본!$A$4:$A$369,0),MATCH($BV$4,연료전지_원본!$A$4:$KY$4,0))</f>
        <v>0</v>
      </c>
      <c r="BW10" s="241">
        <f>INDEX(연료전지_원본!$A$4:$KY$369,MATCH($A10,연료전지_원본!$A$4:$A$369,0),MATCH($BW$4,연료전지_원본!$A$4:$KY$4,0))</f>
        <v>0</v>
      </c>
      <c r="BX10" s="241">
        <f>INDEX(연료전지_원본!$A$4:$KY$369,MATCH($A10,연료전지_원본!$A$4:$A$369,0),MATCH($BX$4,연료전지_원본!$A$4:$KY$4,0))</f>
        <v>0</v>
      </c>
      <c r="BY10" s="241">
        <f>INDEX(연료전지_원본!$A$4:$KY$369,MATCH($A10,연료전지_원본!$A$4:$A$369,0),MATCH($BY$4,연료전지_원본!$A$4:$KY$4,0))</f>
        <v>0</v>
      </c>
      <c r="BZ10" s="241">
        <f>INDEX(연료전지_원본!$A$4:$KY$369,MATCH($A10,연료전지_원본!$A$4:$A$369,0),MATCH($BZ$4,연료전지_원본!$A$4:$KY$4,0))</f>
        <v>0</v>
      </c>
      <c r="CA10" s="241">
        <f>INDEX(연료전지_원본!$A$4:$KY$369,MATCH($A10,연료전지_원본!$A$4:$A$369,0),MATCH($CA$4,연료전지_원본!$A$4:$KY$4,0))</f>
        <v>0</v>
      </c>
      <c r="CB10" s="241">
        <f>INDEX(연료전지_원본!$A$4:$KY$369,MATCH($A10,연료전지_원본!$A$4:$A$369,0),MATCH($CB$4,연료전지_원본!$A$4:$KY$4,0))</f>
        <v>0</v>
      </c>
      <c r="CC10" s="242">
        <f>INDEX(연료전지_원본!$A$4:$KY$369,MATCH($A10,연료전지_원본!$A$4:$A$369,0),MATCH($CC$4,연료전지_원본!$A$4:$KY$4,0))</f>
        <v>0</v>
      </c>
      <c r="CD10" s="250">
        <f>INDEX(연료전지_원본!$KB$4:$KX$369,MATCH($A10,연료전지_원본!$KB$4:$KB$369,0), MATCH(CD$4,연료전지_원본!$KB$4:$KX$4,0))*1000</f>
        <v>0</v>
      </c>
      <c r="CE10" s="250">
        <f>INDEX(연료전지_원본!$KB$4:$KX$369,MATCH($A10,연료전지_원본!$KB$4:$KB$369,0), MATCH(CE$4,연료전지_원본!$KB$4:$KX$4,0))*1000</f>
        <v>0</v>
      </c>
      <c r="CF10" s="250">
        <f>INDEX(연료전지_원본!$KB$4:$KX$369,MATCH($A10,연료전지_원본!$KB$4:$KB$369,0), MATCH(CF$4,연료전지_원본!$KB$4:$KX$4,0))*1000</f>
        <v>0</v>
      </c>
      <c r="CG10" s="250">
        <f>INDEX(연료전지_원본!$KB$4:$KX$369,MATCH($A10,연료전지_원본!$KB$4:$KB$369,0), MATCH(CG$4,연료전지_원본!$KB$4:$KX$4,0))*1000</f>
        <v>0</v>
      </c>
      <c r="CH10" s="250">
        <f>INDEX(연료전지_원본!$KB$4:$KX$369,MATCH($A10,연료전지_원본!$KB$4:$KB$369,0), MATCH(CH$4,연료전지_원본!$KB$4:$KX$4,0))*1000</f>
        <v>0</v>
      </c>
      <c r="CI10" s="250">
        <f>INDEX(연료전지_원본!$KB$4:$KX$369,MATCH($A10,연료전지_원본!$KB$4:$KB$369,0), MATCH(CI$4,연료전지_원본!$KB$4:$KX$4,0))*1000</f>
        <v>0</v>
      </c>
      <c r="CJ10" s="250">
        <f>INDEX(연료전지_원본!$KB$4:$KX$369,MATCH($A10,연료전지_원본!$KB$4:$KB$369,0), MATCH(CJ$4,연료전지_원본!$KB$4:$KX$4,0))*1000</f>
        <v>0</v>
      </c>
      <c r="CK10" s="250">
        <f>INDEX(연료전지_원본!$KB$4:$KX$369,MATCH($A10,연료전지_원본!$KB$4:$KB$369,0), MATCH(CK$4,연료전지_원본!$KB$4:$KX$4,0))*1000</f>
        <v>0</v>
      </c>
      <c r="CL10" s="250">
        <f>INDEX(연료전지_원본!$KB$4:$KX$369,MATCH($A10,연료전지_원본!$KB$4:$KB$369,0), MATCH(CL$4,연료전지_원본!$KB$4:$KX$4,0))*1000</f>
        <v>0</v>
      </c>
      <c r="CM10" s="250">
        <f>INDEX(연료전지_원본!$KB$4:$KX$369,MATCH($A10,연료전지_원본!$KB$4:$KB$369,0), MATCH(CM$4,연료전지_원본!$KB$4:$KX$4,0))*1000</f>
        <v>0</v>
      </c>
      <c r="CN10" s="250">
        <f>INDEX(연료전지_원본!$KB$4:$KX$369,MATCH($A10,연료전지_원본!$KB$4:$KB$369,0), MATCH(CN$4,연료전지_원본!$KB$4:$KX$4,0))*1000</f>
        <v>0</v>
      </c>
      <c r="CO10" s="250">
        <f>INDEX(연료전지_원본!$KB$4:$KX$369,MATCH($A10,연료전지_원본!$KB$4:$KB$369,0), MATCH(CO$4,연료전지_원본!$KB$4:$KX$4,0))*1000</f>
        <v>0</v>
      </c>
      <c r="CP10" s="250">
        <f>INDEX(연료전지_원본!$KB$4:$KX$369,MATCH($A10,연료전지_원본!$KB$4:$KB$369,0), MATCH(CP$4,연료전지_원본!$KB$4:$KX$4,0))*1000</f>
        <v>0</v>
      </c>
      <c r="CQ10" s="250">
        <f>INDEX(연료전지_원본!$KB$4:$KX$369,MATCH($A10,연료전지_원본!$KB$4:$KB$369,0), MATCH(CQ$4,연료전지_원본!$KB$4:$KX$4,0))*1000</f>
        <v>0</v>
      </c>
      <c r="CR10" s="250">
        <f>INDEX(연료전지_원본!$KB$4:$KX$369,MATCH($A10,연료전지_원본!$KB$4:$KB$369,0), MATCH(CR$4,연료전지_원본!$KB$4:$KX$4,0))*1000</f>
        <v>0</v>
      </c>
      <c r="CS10" s="250">
        <f>INDEX(연료전지_원본!$KB$4:$KX$369,MATCH($A10,연료전지_원본!$KB$4:$KB$369,0), MATCH(CS$4,연료전지_원본!$KB$4:$KX$4,0))*1000</f>
        <v>0</v>
      </c>
      <c r="CT10" s="250">
        <f>INDEX(연료전지_원본!$KB$4:$KX$369,MATCH($A10,연료전지_원본!$KB$4:$KB$369,0), MATCH(CT$4,연료전지_원본!$KB$4:$KX$4,0))*1000</f>
        <v>0</v>
      </c>
      <c r="CU10" s="250">
        <f>INDEX(연료전지_원본!$KB$4:$KX$369,MATCH($A10,연료전지_원본!$KB$4:$KB$369,0), MATCH(CU$4,연료전지_원본!$KB$4:$KX$4,0))*1000</f>
        <v>0</v>
      </c>
      <c r="CV10" s="250">
        <f>INDEX(연료전지_원본!$KB$4:$KX$369,MATCH($A10,연료전지_원본!$KB$4:$KB$369,0), MATCH(CV$4,연료전지_원본!$KB$4:$KX$4,0))*1000</f>
        <v>0</v>
      </c>
      <c r="CW10" s="250">
        <f>INDEX(연료전지_원본!$KB$4:$KX$369,MATCH($A10,연료전지_원본!$KB$4:$KB$369,0), MATCH(CW$4,연료전지_원본!$KB$4:$KX$4,0))*1000</f>
        <v>0</v>
      </c>
      <c r="CX10" s="250">
        <f>INDEX(연료전지_원본!$KB$4:$KX$369,MATCH($A10,연료전지_원본!$KB$4:$KB$369,0), MATCH(CX$4,연료전지_원본!$KB$4:$KX$4,0))*1000</f>
        <v>0</v>
      </c>
      <c r="CY10" s="250">
        <f>INDEX(연료전지_원본!$KB$4:$KX$369,MATCH($A10,연료전지_원본!$KB$4:$KB$369,0), MATCH(CY$4,연료전지_원본!$KB$4:$KX$4,0))*1000</f>
        <v>0</v>
      </c>
    </row>
    <row r="11" spans="1:126">
      <c r="A11" s="6">
        <v>46028</v>
      </c>
      <c r="B11" s="15">
        <f>운전실적_원본!B11</f>
        <v>651.20000000000005</v>
      </c>
      <c r="C11" s="16">
        <f t="shared" si="3"/>
        <v>0</v>
      </c>
      <c r="D11" s="9">
        <f>운전실적_원본!C11</f>
        <v>247944</v>
      </c>
      <c r="E11" s="9">
        <f t="shared" si="3"/>
        <v>72</v>
      </c>
      <c r="F11" s="9">
        <f>운전실적_원본!D11</f>
        <v>239763</v>
      </c>
      <c r="G11" s="16">
        <f t="shared" ref="G11" si="44">F11-F10</f>
        <v>29</v>
      </c>
      <c r="H11" s="15">
        <f>운전실적_원본!E11</f>
        <v>17045.72</v>
      </c>
      <c r="I11" s="16">
        <f t="shared" ref="I11" si="45">H11-H10</f>
        <v>3.6000000000021828</v>
      </c>
      <c r="J11" s="15">
        <f>운전실적_원본!F11</f>
        <v>14397.53</v>
      </c>
      <c r="K11" s="16">
        <f t="shared" ref="K11" si="46">J11-J10</f>
        <v>21.800000000001091</v>
      </c>
      <c r="L11" s="15">
        <f>운전실적_원본!G11</f>
        <v>4038.8</v>
      </c>
      <c r="M11" s="31">
        <f t="shared" ref="M11" si="47">L11-L10</f>
        <v>0.6000000000003638</v>
      </c>
      <c r="N11" s="15">
        <f>운전실적_원본!H11</f>
        <v>33506</v>
      </c>
      <c r="O11" s="16">
        <f t="shared" ref="O11" si="48">N11-N10</f>
        <v>52</v>
      </c>
      <c r="P11" s="15">
        <f>운전실적_원본!I11</f>
        <v>15776</v>
      </c>
      <c r="Q11" s="16">
        <f t="shared" ref="Q11" si="49">P11-P10</f>
        <v>206</v>
      </c>
      <c r="R11" s="18">
        <f>운전실적_원본!J11</f>
        <v>33.69</v>
      </c>
      <c r="S11" s="19">
        <f t="shared" ref="S11" si="50">R11-R10</f>
        <v>0.44999999999999574</v>
      </c>
      <c r="T11" s="18">
        <f>운전실적_원본!K11</f>
        <v>33.04</v>
      </c>
      <c r="U11" s="19">
        <f t="shared" ref="U11" si="51">T11-T10</f>
        <v>-2.0000000000003126E-2</v>
      </c>
      <c r="V11" s="12">
        <f>운전실적_원본!L11</f>
        <v>8360</v>
      </c>
      <c r="W11" s="16">
        <f t="shared" ref="W11" si="52">V11-V10</f>
        <v>346</v>
      </c>
      <c r="X11" s="10">
        <f>운전실적_원본!M11</f>
        <v>195704.11999999732</v>
      </c>
      <c r="Y11" s="10">
        <f>운전실적_원본!N11</f>
        <v>0</v>
      </c>
      <c r="Z11" s="10">
        <f>운전실적_원본!O11</f>
        <v>0</v>
      </c>
      <c r="AA11" s="10">
        <f>운전실적_원본!P11</f>
        <v>0</v>
      </c>
      <c r="AB11" s="10">
        <f>운전실적_원본!Q11</f>
        <v>0</v>
      </c>
      <c r="AC11" s="20">
        <f>운전실적_원본!R11</f>
        <v>0</v>
      </c>
      <c r="AD11" s="109">
        <f>운전실적_원본!S11</f>
        <v>24</v>
      </c>
      <c r="AE11" s="110">
        <f>운전실적_원본!T11</f>
        <v>0</v>
      </c>
      <c r="AF11" s="110">
        <f>운전실적_원본!U11</f>
        <v>0</v>
      </c>
      <c r="AG11" s="110">
        <f>운전실적_원본!V11</f>
        <v>0</v>
      </c>
      <c r="AH11" s="109">
        <f t="shared" si="1"/>
        <v>24</v>
      </c>
      <c r="AI11" s="110">
        <f t="shared" si="13"/>
        <v>0</v>
      </c>
      <c r="AJ11" s="110">
        <f>운전실적_원본!Y11</f>
        <v>0</v>
      </c>
      <c r="AK11" s="110">
        <f>운전실적_원본!Z11</f>
        <v>0</v>
      </c>
      <c r="AL11" s="106">
        <v>46028</v>
      </c>
      <c r="AM11" s="105">
        <f t="shared" si="14"/>
        <v>46029</v>
      </c>
      <c r="AN11" s="105"/>
      <c r="AO11" s="105"/>
      <c r="AP11" s="105"/>
      <c r="AQ11" s="108"/>
      <c r="AR11" s="105"/>
      <c r="AS11" s="105"/>
      <c r="AT11" s="102"/>
      <c r="AU11" s="102"/>
      <c r="AV11" s="102"/>
      <c r="AW11" s="102"/>
      <c r="AX11" s="32">
        <f>운전실적_원본!W11</f>
        <v>1254</v>
      </c>
      <c r="AY11" s="11">
        <f>운전실적_원본!X11</f>
        <v>0</v>
      </c>
      <c r="AZ11" s="11">
        <f>운전실적_원본!Y11</f>
        <v>0</v>
      </c>
      <c r="BA11" s="11">
        <f>운전실적_원본!Z11</f>
        <v>0</v>
      </c>
      <c r="BB11" s="11">
        <f>운전실적_원본!AA11</f>
        <v>0</v>
      </c>
      <c r="BC11" s="11">
        <f>운전실적_원본!AB11</f>
        <v>1254</v>
      </c>
      <c r="BD11" s="32">
        <f t="shared" si="15"/>
        <v>52.25</v>
      </c>
      <c r="BE11" s="11">
        <f t="shared" si="2"/>
        <v>1.016734773302199</v>
      </c>
      <c r="BF11" s="11" t="str">
        <f t="shared" si="16"/>
        <v>-</v>
      </c>
      <c r="BG11" s="31" t="str">
        <f t="shared" si="0"/>
        <v>-</v>
      </c>
      <c r="BH11" s="241">
        <f>INDEX(연료전지_원본!$A$4:$KY$369,MATCH($A11,연료전지_원본!$A$4:$A$369,0),MATCH($BH$4,연료전지_원본!$A$4:$KY$4,0))</f>
        <v>0</v>
      </c>
      <c r="BI11" s="241">
        <f>INDEX(연료전지_원본!$A$4:$KY$369,MATCH($A11,연료전지_원본!$A$4:$A$369,0),MATCH($BI$4,연료전지_원본!$A$4:$KY$4,0))</f>
        <v>0</v>
      </c>
      <c r="BJ11" s="241">
        <f>INDEX(연료전지_원본!$A$4:$KY$369,MATCH($A11,연료전지_원본!$A$4:$A$369,0),MATCH($BJ$4,연료전지_원본!$A$4:$KY$4,0))</f>
        <v>0</v>
      </c>
      <c r="BK11" s="241">
        <f>INDEX(연료전지_원본!$A$4:$KY$369,MATCH($A11,연료전지_원본!$A$4:$A$369,0),MATCH($BK$4,연료전지_원본!$A$4:$KY$4,0))</f>
        <v>0</v>
      </c>
      <c r="BL11" s="241">
        <f>INDEX(연료전지_원본!$A$4:$KY$369,MATCH($A11,연료전지_원본!$A$4:$A$369,0),MATCH($BL$4,연료전지_원본!$A$4:$KY$4,0))</f>
        <v>0</v>
      </c>
      <c r="BM11" s="241">
        <f>INDEX(연료전지_원본!$A$4:$KY$369,MATCH($A11,연료전지_원본!$A$4:$A$369,0),MATCH($BM$4,연료전지_원본!$A$4:$KY$4,0))</f>
        <v>0</v>
      </c>
      <c r="BN11" s="241">
        <f>INDEX(연료전지_원본!$A$4:$KY$369,MATCH($A11,연료전지_원본!$A$4:$A$369,0),MATCH($BN$4,연료전지_원본!$A$4:$KY$4,0))</f>
        <v>0</v>
      </c>
      <c r="BO11" s="241">
        <f>INDEX(연료전지_원본!$A$4:$KY$369,MATCH($A11,연료전지_원본!$A$4:$A$369,0),MATCH($BO$4,연료전지_원본!$A$4:$KY$4,0))</f>
        <v>0</v>
      </c>
      <c r="BP11" s="241">
        <f>INDEX(연료전지_원본!$A$4:$KY$369,MATCH($A11,연료전지_원본!$A$4:$A$369,0),MATCH($BP$4,연료전지_원본!$A$4:$KY$4,0))</f>
        <v>0</v>
      </c>
      <c r="BQ11" s="241">
        <f>INDEX(연료전지_원본!$A$4:$KY$369,MATCH($A11,연료전지_원본!$A$4:$A$369,0),MATCH($BQ$4,연료전지_원본!$A$4:$KY$4,0))</f>
        <v>0</v>
      </c>
      <c r="BR11" s="241">
        <f>INDEX(연료전지_원본!$A$4:$KY$369,MATCH($A11,연료전지_원본!$A$4:$A$369,0),MATCH($BR$4,연료전지_원본!$A$4:$KY$4,0))</f>
        <v>0</v>
      </c>
      <c r="BS11" s="241">
        <f>INDEX(연료전지_원본!$A$4:$KY$369,MATCH($A11,연료전지_원본!$A$4:$A$369,0),MATCH($BS$4,연료전지_원본!$A$4:$KY$4,0))</f>
        <v>0</v>
      </c>
      <c r="BT11" s="241">
        <f>INDEX(연료전지_원본!$A$4:$KY$369,MATCH($A11,연료전지_원본!$A$4:$A$369,0),MATCH($BT$4,연료전지_원본!$A$4:$KY$4,0))</f>
        <v>0</v>
      </c>
      <c r="BU11" s="241">
        <f>INDEX(연료전지_원본!$A$4:$KY$369,MATCH($A11,연료전지_원본!$A$4:$A$369,0),MATCH($BU$4,연료전지_원본!$A$4:$KY$4,0))</f>
        <v>0</v>
      </c>
      <c r="BV11" s="241">
        <f>INDEX(연료전지_원본!$A$4:$KY$369,MATCH($A11,연료전지_원본!$A$4:$A$369,0),MATCH($BV$4,연료전지_원본!$A$4:$KY$4,0))</f>
        <v>0</v>
      </c>
      <c r="BW11" s="241">
        <f>INDEX(연료전지_원본!$A$4:$KY$369,MATCH($A11,연료전지_원본!$A$4:$A$369,0),MATCH($BW$4,연료전지_원본!$A$4:$KY$4,0))</f>
        <v>0</v>
      </c>
      <c r="BX11" s="241">
        <f>INDEX(연료전지_원본!$A$4:$KY$369,MATCH($A11,연료전지_원본!$A$4:$A$369,0),MATCH($BX$4,연료전지_원본!$A$4:$KY$4,0))</f>
        <v>0</v>
      </c>
      <c r="BY11" s="241">
        <f>INDEX(연료전지_원본!$A$4:$KY$369,MATCH($A11,연료전지_원본!$A$4:$A$369,0),MATCH($BY$4,연료전지_원본!$A$4:$KY$4,0))</f>
        <v>0</v>
      </c>
      <c r="BZ11" s="241">
        <f>INDEX(연료전지_원본!$A$4:$KY$369,MATCH($A11,연료전지_원본!$A$4:$A$369,0),MATCH($BZ$4,연료전지_원본!$A$4:$KY$4,0))</f>
        <v>0</v>
      </c>
      <c r="CA11" s="241">
        <f>INDEX(연료전지_원본!$A$4:$KY$369,MATCH($A11,연료전지_원본!$A$4:$A$369,0),MATCH($CA$4,연료전지_원본!$A$4:$KY$4,0))</f>
        <v>0</v>
      </c>
      <c r="CB11" s="241">
        <f>INDEX(연료전지_원본!$A$4:$KY$369,MATCH($A11,연료전지_원본!$A$4:$A$369,0),MATCH($CB$4,연료전지_원본!$A$4:$KY$4,0))</f>
        <v>0</v>
      </c>
      <c r="CC11" s="242">
        <f>INDEX(연료전지_원본!$A$4:$KY$369,MATCH($A11,연료전지_원본!$A$4:$A$369,0),MATCH($CC$4,연료전지_원본!$A$4:$KY$4,0))</f>
        <v>0</v>
      </c>
      <c r="CD11" s="250">
        <f>INDEX(연료전지_원본!$KB$4:$KX$369,MATCH($A11,연료전지_원본!$KB$4:$KB$369,0), MATCH(CD$4,연료전지_원본!$KB$4:$KX$4,0))*1000</f>
        <v>0</v>
      </c>
      <c r="CE11" s="250">
        <f>INDEX(연료전지_원본!$KB$4:$KX$369,MATCH($A11,연료전지_원본!$KB$4:$KB$369,0), MATCH(CE$4,연료전지_원본!$KB$4:$KX$4,0))*1000</f>
        <v>0</v>
      </c>
      <c r="CF11" s="250">
        <f>INDEX(연료전지_원본!$KB$4:$KX$369,MATCH($A11,연료전지_원본!$KB$4:$KB$369,0), MATCH(CF$4,연료전지_원본!$KB$4:$KX$4,0))*1000</f>
        <v>0</v>
      </c>
      <c r="CG11" s="250">
        <f>INDEX(연료전지_원본!$KB$4:$KX$369,MATCH($A11,연료전지_원본!$KB$4:$KB$369,0), MATCH(CG$4,연료전지_원본!$KB$4:$KX$4,0))*1000</f>
        <v>0</v>
      </c>
      <c r="CH11" s="250">
        <f>INDEX(연료전지_원본!$KB$4:$KX$369,MATCH($A11,연료전지_원본!$KB$4:$KB$369,0), MATCH(CH$4,연료전지_원본!$KB$4:$KX$4,0))*1000</f>
        <v>0</v>
      </c>
      <c r="CI11" s="250">
        <f>INDEX(연료전지_원본!$KB$4:$KX$369,MATCH($A11,연료전지_원본!$KB$4:$KB$369,0), MATCH(CI$4,연료전지_원본!$KB$4:$KX$4,0))*1000</f>
        <v>0</v>
      </c>
      <c r="CJ11" s="250">
        <f>INDEX(연료전지_원본!$KB$4:$KX$369,MATCH($A11,연료전지_원본!$KB$4:$KB$369,0), MATCH(CJ$4,연료전지_원본!$KB$4:$KX$4,0))*1000</f>
        <v>0</v>
      </c>
      <c r="CK11" s="250">
        <f>INDEX(연료전지_원본!$KB$4:$KX$369,MATCH($A11,연료전지_원본!$KB$4:$KB$369,0), MATCH(CK$4,연료전지_원본!$KB$4:$KX$4,0))*1000</f>
        <v>0</v>
      </c>
      <c r="CL11" s="250">
        <f>INDEX(연료전지_원본!$KB$4:$KX$369,MATCH($A11,연료전지_원본!$KB$4:$KB$369,0), MATCH(CL$4,연료전지_원본!$KB$4:$KX$4,0))*1000</f>
        <v>0</v>
      </c>
      <c r="CM11" s="250">
        <f>INDEX(연료전지_원본!$KB$4:$KX$369,MATCH($A11,연료전지_원본!$KB$4:$KB$369,0), MATCH(CM$4,연료전지_원본!$KB$4:$KX$4,0))*1000</f>
        <v>0</v>
      </c>
      <c r="CN11" s="250">
        <f>INDEX(연료전지_원본!$KB$4:$KX$369,MATCH($A11,연료전지_원본!$KB$4:$KB$369,0), MATCH(CN$4,연료전지_원본!$KB$4:$KX$4,0))*1000</f>
        <v>0</v>
      </c>
      <c r="CO11" s="250">
        <f>INDEX(연료전지_원본!$KB$4:$KX$369,MATCH($A11,연료전지_원본!$KB$4:$KB$369,0), MATCH(CO$4,연료전지_원본!$KB$4:$KX$4,0))*1000</f>
        <v>0</v>
      </c>
      <c r="CP11" s="250">
        <f>INDEX(연료전지_원본!$KB$4:$KX$369,MATCH($A11,연료전지_원본!$KB$4:$KB$369,0), MATCH(CP$4,연료전지_원본!$KB$4:$KX$4,0))*1000</f>
        <v>0</v>
      </c>
      <c r="CQ11" s="250">
        <f>INDEX(연료전지_원본!$KB$4:$KX$369,MATCH($A11,연료전지_원본!$KB$4:$KB$369,0), MATCH(CQ$4,연료전지_원본!$KB$4:$KX$4,0))*1000</f>
        <v>0</v>
      </c>
      <c r="CR11" s="250">
        <f>INDEX(연료전지_원본!$KB$4:$KX$369,MATCH($A11,연료전지_원본!$KB$4:$KB$369,0), MATCH(CR$4,연료전지_원본!$KB$4:$KX$4,0))*1000</f>
        <v>0</v>
      </c>
      <c r="CS11" s="250">
        <f>INDEX(연료전지_원본!$KB$4:$KX$369,MATCH($A11,연료전지_원본!$KB$4:$KB$369,0), MATCH(CS$4,연료전지_원본!$KB$4:$KX$4,0))*1000</f>
        <v>0</v>
      </c>
      <c r="CT11" s="250">
        <f>INDEX(연료전지_원본!$KB$4:$KX$369,MATCH($A11,연료전지_원본!$KB$4:$KB$369,0), MATCH(CT$4,연료전지_원본!$KB$4:$KX$4,0))*1000</f>
        <v>0</v>
      </c>
      <c r="CU11" s="250">
        <f>INDEX(연료전지_원본!$KB$4:$KX$369,MATCH($A11,연료전지_원본!$KB$4:$KB$369,0), MATCH(CU$4,연료전지_원본!$KB$4:$KX$4,0))*1000</f>
        <v>0</v>
      </c>
      <c r="CV11" s="250">
        <f>INDEX(연료전지_원본!$KB$4:$KX$369,MATCH($A11,연료전지_원본!$KB$4:$KB$369,0), MATCH(CV$4,연료전지_원본!$KB$4:$KX$4,0))*1000</f>
        <v>0</v>
      </c>
      <c r="CW11" s="250">
        <f>INDEX(연료전지_원본!$KB$4:$KX$369,MATCH($A11,연료전지_원본!$KB$4:$KB$369,0), MATCH(CW$4,연료전지_원본!$KB$4:$KX$4,0))*1000</f>
        <v>0</v>
      </c>
      <c r="CX11" s="250">
        <f>INDEX(연료전지_원본!$KB$4:$KX$369,MATCH($A11,연료전지_원본!$KB$4:$KB$369,0), MATCH(CX$4,연료전지_원본!$KB$4:$KX$4,0))*1000</f>
        <v>0</v>
      </c>
      <c r="CY11" s="250">
        <f>INDEX(연료전지_원본!$KB$4:$KX$369,MATCH($A11,연료전지_원본!$KB$4:$KB$369,0), MATCH(CY$4,연료전지_원본!$KB$4:$KX$4,0))*1000</f>
        <v>0</v>
      </c>
    </row>
    <row r="12" spans="1:126">
      <c r="A12" s="6">
        <v>46029</v>
      </c>
      <c r="B12" s="15">
        <f>운전실적_원본!B12</f>
        <v>651.20000000000005</v>
      </c>
      <c r="C12" s="16">
        <f t="shared" si="3"/>
        <v>0</v>
      </c>
      <c r="D12" s="9">
        <f>운전실적_원본!C12</f>
        <v>247990</v>
      </c>
      <c r="E12" s="9">
        <f t="shared" si="3"/>
        <v>46</v>
      </c>
      <c r="F12" s="9">
        <f>운전실적_원본!D12</f>
        <v>239797</v>
      </c>
      <c r="G12" s="16">
        <f t="shared" ref="G12" si="53">F12-F11</f>
        <v>34</v>
      </c>
      <c r="H12" s="15">
        <f>운전실적_원본!E12</f>
        <v>17055.03</v>
      </c>
      <c r="I12" s="16">
        <f t="shared" ref="I12" si="54">H12-H11</f>
        <v>9.3099999999976717</v>
      </c>
      <c r="J12" s="15">
        <f>운전실적_원본!F12</f>
        <v>14418.34</v>
      </c>
      <c r="K12" s="16">
        <f t="shared" ref="K12" si="55">J12-J11</f>
        <v>20.809999999999491</v>
      </c>
      <c r="L12" s="15">
        <f>운전실적_원본!G12</f>
        <v>4039.8</v>
      </c>
      <c r="M12" s="31">
        <f t="shared" ref="M12" si="56">L12-L11</f>
        <v>1</v>
      </c>
      <c r="N12" s="15">
        <f>운전실적_원본!H12</f>
        <v>33624</v>
      </c>
      <c r="O12" s="16">
        <f t="shared" ref="O12" si="57">N12-N11</f>
        <v>118</v>
      </c>
      <c r="P12" s="15">
        <f>운전실적_원본!I12</f>
        <v>15979</v>
      </c>
      <c r="Q12" s="16">
        <f t="shared" ref="Q12" si="58">P12-P11</f>
        <v>203</v>
      </c>
      <c r="R12" s="18">
        <f>운전실적_원본!J12</f>
        <v>33.613</v>
      </c>
      <c r="S12" s="19">
        <f t="shared" ref="S12" si="59">R12-R11</f>
        <v>-7.6999999999998181E-2</v>
      </c>
      <c r="T12" s="18">
        <f>운전실적_원본!K12</f>
        <v>33.021000000000001</v>
      </c>
      <c r="U12" s="19">
        <f t="shared" ref="U12" si="60">T12-T11</f>
        <v>-1.8999999999998352E-2</v>
      </c>
      <c r="V12" s="12">
        <f>운전실적_원본!L12</f>
        <v>8492.8780000000006</v>
      </c>
      <c r="W12" s="16">
        <f t="shared" ref="W12" si="61">V12-V11</f>
        <v>132.87800000000061</v>
      </c>
      <c r="X12" s="10">
        <f>운전실적_원본!M12</f>
        <v>199516.97000000626</v>
      </c>
      <c r="Y12" s="10">
        <f>운전실적_원본!N12</f>
        <v>0</v>
      </c>
      <c r="Z12" s="10">
        <f>운전실적_원본!O12</f>
        <v>0</v>
      </c>
      <c r="AA12" s="10">
        <f>운전실적_원본!P12</f>
        <v>0</v>
      </c>
      <c r="AB12" s="10">
        <f>운전실적_원본!Q12</f>
        <v>0</v>
      </c>
      <c r="AC12" s="20">
        <f>운전실적_원본!R12</f>
        <v>0</v>
      </c>
      <c r="AD12" s="109">
        <f>운전실적_원본!S12</f>
        <v>24</v>
      </c>
      <c r="AE12" s="110">
        <f>운전실적_원본!T12</f>
        <v>0</v>
      </c>
      <c r="AF12" s="110">
        <f>운전실적_원본!U12</f>
        <v>0</v>
      </c>
      <c r="AG12" s="110">
        <f>운전실적_원본!V12</f>
        <v>0</v>
      </c>
      <c r="AH12" s="109">
        <f t="shared" si="1"/>
        <v>24</v>
      </c>
      <c r="AI12" s="110">
        <f t="shared" si="13"/>
        <v>0</v>
      </c>
      <c r="AJ12" s="110">
        <f>운전실적_원본!Y12</f>
        <v>0</v>
      </c>
      <c r="AK12" s="110">
        <f>운전실적_원본!Z12</f>
        <v>0</v>
      </c>
      <c r="AL12" s="106">
        <v>46029</v>
      </c>
      <c r="AM12" s="105">
        <f t="shared" si="14"/>
        <v>46030</v>
      </c>
      <c r="AN12" s="105"/>
      <c r="AO12" s="105"/>
      <c r="AP12" s="105"/>
      <c r="AQ12" s="108"/>
      <c r="AR12" s="105"/>
      <c r="AS12" s="105"/>
      <c r="AT12" s="102"/>
      <c r="AU12" s="102"/>
      <c r="AV12" s="102"/>
      <c r="AW12" s="102"/>
      <c r="AX12" s="32">
        <f>운전실적_원본!W12</f>
        <v>1253.2449999999999</v>
      </c>
      <c r="AY12" s="11">
        <f>운전실적_원본!X12</f>
        <v>0</v>
      </c>
      <c r="AZ12" s="11">
        <f>운전실적_원본!Y12</f>
        <v>0</v>
      </c>
      <c r="BA12" s="11">
        <f>운전실적_원본!Z12</f>
        <v>0</v>
      </c>
      <c r="BB12" s="11">
        <f>운전실적_원본!AA12</f>
        <v>0</v>
      </c>
      <c r="BC12" s="11">
        <f>운전실적_원본!AB12</f>
        <v>1253.2449999999999</v>
      </c>
      <c r="BD12" s="32">
        <f t="shared" si="15"/>
        <v>52.21854166666666</v>
      </c>
      <c r="BE12" s="11">
        <f t="shared" si="2"/>
        <v>1.0161226243756891</v>
      </c>
      <c r="BF12" s="11" t="str">
        <f t="shared" si="16"/>
        <v>-</v>
      </c>
      <c r="BG12" s="31" t="str">
        <f t="shared" si="0"/>
        <v>-</v>
      </c>
      <c r="BH12" s="241">
        <f>INDEX(연료전지_원본!$A$4:$KY$369,MATCH($A12,연료전지_원본!$A$4:$A$369,0),MATCH($BH$4,연료전지_원본!$A$4:$KY$4,0))</f>
        <v>0</v>
      </c>
      <c r="BI12" s="241">
        <f>INDEX(연료전지_원본!$A$4:$KY$369,MATCH($A12,연료전지_원본!$A$4:$A$369,0),MATCH($BI$4,연료전지_원본!$A$4:$KY$4,0))</f>
        <v>0</v>
      </c>
      <c r="BJ12" s="241">
        <f>INDEX(연료전지_원본!$A$4:$KY$369,MATCH($A12,연료전지_원본!$A$4:$A$369,0),MATCH($BJ$4,연료전지_원본!$A$4:$KY$4,0))</f>
        <v>0</v>
      </c>
      <c r="BK12" s="241">
        <f>INDEX(연료전지_원본!$A$4:$KY$369,MATCH($A12,연료전지_원본!$A$4:$A$369,0),MATCH($BK$4,연료전지_원본!$A$4:$KY$4,0))</f>
        <v>0</v>
      </c>
      <c r="BL12" s="241">
        <f>INDEX(연료전지_원본!$A$4:$KY$369,MATCH($A12,연료전지_원본!$A$4:$A$369,0),MATCH($BL$4,연료전지_원본!$A$4:$KY$4,0))</f>
        <v>0</v>
      </c>
      <c r="BM12" s="241">
        <f>INDEX(연료전지_원본!$A$4:$KY$369,MATCH($A12,연료전지_원본!$A$4:$A$369,0),MATCH($BM$4,연료전지_원본!$A$4:$KY$4,0))</f>
        <v>0</v>
      </c>
      <c r="BN12" s="241">
        <f>INDEX(연료전지_원본!$A$4:$KY$369,MATCH($A12,연료전지_원본!$A$4:$A$369,0),MATCH($BN$4,연료전지_원본!$A$4:$KY$4,0))</f>
        <v>0</v>
      </c>
      <c r="BO12" s="241">
        <f>INDEX(연료전지_원본!$A$4:$KY$369,MATCH($A12,연료전지_원본!$A$4:$A$369,0),MATCH($BO$4,연료전지_원본!$A$4:$KY$4,0))</f>
        <v>0</v>
      </c>
      <c r="BP12" s="241">
        <f>INDEX(연료전지_원본!$A$4:$KY$369,MATCH($A12,연료전지_원본!$A$4:$A$369,0),MATCH($BP$4,연료전지_원본!$A$4:$KY$4,0))</f>
        <v>0</v>
      </c>
      <c r="BQ12" s="241">
        <f>INDEX(연료전지_원본!$A$4:$KY$369,MATCH($A12,연료전지_원본!$A$4:$A$369,0),MATCH($BQ$4,연료전지_원본!$A$4:$KY$4,0))</f>
        <v>0</v>
      </c>
      <c r="BR12" s="241">
        <f>INDEX(연료전지_원본!$A$4:$KY$369,MATCH($A12,연료전지_원본!$A$4:$A$369,0),MATCH($BR$4,연료전지_원본!$A$4:$KY$4,0))</f>
        <v>0</v>
      </c>
      <c r="BS12" s="241">
        <f>INDEX(연료전지_원본!$A$4:$KY$369,MATCH($A12,연료전지_원본!$A$4:$A$369,0),MATCH($BS$4,연료전지_원본!$A$4:$KY$4,0))</f>
        <v>0</v>
      </c>
      <c r="BT12" s="241">
        <f>INDEX(연료전지_원본!$A$4:$KY$369,MATCH($A12,연료전지_원본!$A$4:$A$369,0),MATCH($BT$4,연료전지_원본!$A$4:$KY$4,0))</f>
        <v>0</v>
      </c>
      <c r="BU12" s="241">
        <f>INDEX(연료전지_원본!$A$4:$KY$369,MATCH($A12,연료전지_원본!$A$4:$A$369,0),MATCH($BU$4,연료전지_원본!$A$4:$KY$4,0))</f>
        <v>0</v>
      </c>
      <c r="BV12" s="241">
        <f>INDEX(연료전지_원본!$A$4:$KY$369,MATCH($A12,연료전지_원본!$A$4:$A$369,0),MATCH($BV$4,연료전지_원본!$A$4:$KY$4,0))</f>
        <v>0</v>
      </c>
      <c r="BW12" s="241">
        <f>INDEX(연료전지_원본!$A$4:$KY$369,MATCH($A12,연료전지_원본!$A$4:$A$369,0),MATCH($BW$4,연료전지_원본!$A$4:$KY$4,0))</f>
        <v>0</v>
      </c>
      <c r="BX12" s="241">
        <f>INDEX(연료전지_원본!$A$4:$KY$369,MATCH($A12,연료전지_원본!$A$4:$A$369,0),MATCH($BX$4,연료전지_원본!$A$4:$KY$4,0))</f>
        <v>0</v>
      </c>
      <c r="BY12" s="241">
        <f>INDEX(연료전지_원본!$A$4:$KY$369,MATCH($A12,연료전지_원본!$A$4:$A$369,0),MATCH($BY$4,연료전지_원본!$A$4:$KY$4,0))</f>
        <v>0</v>
      </c>
      <c r="BZ12" s="241">
        <f>INDEX(연료전지_원본!$A$4:$KY$369,MATCH($A12,연료전지_원본!$A$4:$A$369,0),MATCH($BZ$4,연료전지_원본!$A$4:$KY$4,0))</f>
        <v>0</v>
      </c>
      <c r="CA12" s="241">
        <f>INDEX(연료전지_원본!$A$4:$KY$369,MATCH($A12,연료전지_원본!$A$4:$A$369,0),MATCH($CA$4,연료전지_원본!$A$4:$KY$4,0))</f>
        <v>0</v>
      </c>
      <c r="CB12" s="241">
        <f>INDEX(연료전지_원본!$A$4:$KY$369,MATCH($A12,연료전지_원본!$A$4:$A$369,0),MATCH($CB$4,연료전지_원본!$A$4:$KY$4,0))</f>
        <v>0</v>
      </c>
      <c r="CC12" s="242">
        <f>INDEX(연료전지_원본!$A$4:$KY$369,MATCH($A12,연료전지_원본!$A$4:$A$369,0),MATCH($CC$4,연료전지_원본!$A$4:$KY$4,0))</f>
        <v>0</v>
      </c>
      <c r="CD12" s="250">
        <f>INDEX(연료전지_원본!$KB$4:$KX$369,MATCH($A12,연료전지_원본!$KB$4:$KB$369,0), MATCH(CD$4,연료전지_원본!$KB$4:$KX$4,0))*1000</f>
        <v>0</v>
      </c>
      <c r="CE12" s="250">
        <f>INDEX(연료전지_원본!$KB$4:$KX$369,MATCH($A12,연료전지_원본!$KB$4:$KB$369,0), MATCH(CE$4,연료전지_원본!$KB$4:$KX$4,0))*1000</f>
        <v>0</v>
      </c>
      <c r="CF12" s="250">
        <f>INDEX(연료전지_원본!$KB$4:$KX$369,MATCH($A12,연료전지_원본!$KB$4:$KB$369,0), MATCH(CF$4,연료전지_원본!$KB$4:$KX$4,0))*1000</f>
        <v>0</v>
      </c>
      <c r="CG12" s="250">
        <f>INDEX(연료전지_원본!$KB$4:$KX$369,MATCH($A12,연료전지_원본!$KB$4:$KB$369,0), MATCH(CG$4,연료전지_원본!$KB$4:$KX$4,0))*1000</f>
        <v>0</v>
      </c>
      <c r="CH12" s="250">
        <f>INDEX(연료전지_원본!$KB$4:$KX$369,MATCH($A12,연료전지_원본!$KB$4:$KB$369,0), MATCH(CH$4,연료전지_원본!$KB$4:$KX$4,0))*1000</f>
        <v>0</v>
      </c>
      <c r="CI12" s="250">
        <f>INDEX(연료전지_원본!$KB$4:$KX$369,MATCH($A12,연료전지_원본!$KB$4:$KB$369,0), MATCH(CI$4,연료전지_원본!$KB$4:$KX$4,0))*1000</f>
        <v>0</v>
      </c>
      <c r="CJ12" s="250">
        <f>INDEX(연료전지_원본!$KB$4:$KX$369,MATCH($A12,연료전지_원본!$KB$4:$KB$369,0), MATCH(CJ$4,연료전지_원본!$KB$4:$KX$4,0))*1000</f>
        <v>0</v>
      </c>
      <c r="CK12" s="250">
        <f>INDEX(연료전지_원본!$KB$4:$KX$369,MATCH($A12,연료전지_원본!$KB$4:$KB$369,0), MATCH(CK$4,연료전지_원본!$KB$4:$KX$4,0))*1000</f>
        <v>0</v>
      </c>
      <c r="CL12" s="250">
        <f>INDEX(연료전지_원본!$KB$4:$KX$369,MATCH($A12,연료전지_원본!$KB$4:$KB$369,0), MATCH(CL$4,연료전지_원본!$KB$4:$KX$4,0))*1000</f>
        <v>0</v>
      </c>
      <c r="CM12" s="250">
        <f>INDEX(연료전지_원본!$KB$4:$KX$369,MATCH($A12,연료전지_원본!$KB$4:$KB$369,0), MATCH(CM$4,연료전지_원본!$KB$4:$KX$4,0))*1000</f>
        <v>0</v>
      </c>
      <c r="CN12" s="250">
        <f>INDEX(연료전지_원본!$KB$4:$KX$369,MATCH($A12,연료전지_원본!$KB$4:$KB$369,0), MATCH(CN$4,연료전지_원본!$KB$4:$KX$4,0))*1000</f>
        <v>0</v>
      </c>
      <c r="CO12" s="250">
        <f>INDEX(연료전지_원본!$KB$4:$KX$369,MATCH($A12,연료전지_원본!$KB$4:$KB$369,0), MATCH(CO$4,연료전지_원본!$KB$4:$KX$4,0))*1000</f>
        <v>0</v>
      </c>
      <c r="CP12" s="250">
        <f>INDEX(연료전지_원본!$KB$4:$KX$369,MATCH($A12,연료전지_원본!$KB$4:$KB$369,0), MATCH(CP$4,연료전지_원본!$KB$4:$KX$4,0))*1000</f>
        <v>0</v>
      </c>
      <c r="CQ12" s="250">
        <f>INDEX(연료전지_원본!$KB$4:$KX$369,MATCH($A12,연료전지_원본!$KB$4:$KB$369,0), MATCH(CQ$4,연료전지_원본!$KB$4:$KX$4,0))*1000</f>
        <v>0</v>
      </c>
      <c r="CR12" s="250">
        <f>INDEX(연료전지_원본!$KB$4:$KX$369,MATCH($A12,연료전지_원본!$KB$4:$KB$369,0), MATCH(CR$4,연료전지_원본!$KB$4:$KX$4,0))*1000</f>
        <v>0</v>
      </c>
      <c r="CS12" s="250">
        <f>INDEX(연료전지_원본!$KB$4:$KX$369,MATCH($A12,연료전지_원본!$KB$4:$KB$369,0), MATCH(CS$4,연료전지_원본!$KB$4:$KX$4,0))*1000</f>
        <v>0</v>
      </c>
      <c r="CT12" s="250">
        <f>INDEX(연료전지_원본!$KB$4:$KX$369,MATCH($A12,연료전지_원본!$KB$4:$KB$369,0), MATCH(CT$4,연료전지_원본!$KB$4:$KX$4,0))*1000</f>
        <v>0</v>
      </c>
      <c r="CU12" s="250">
        <f>INDEX(연료전지_원본!$KB$4:$KX$369,MATCH($A12,연료전지_원본!$KB$4:$KB$369,0), MATCH(CU$4,연료전지_원본!$KB$4:$KX$4,0))*1000</f>
        <v>0</v>
      </c>
      <c r="CV12" s="250">
        <f>INDEX(연료전지_원본!$KB$4:$KX$369,MATCH($A12,연료전지_원본!$KB$4:$KB$369,0), MATCH(CV$4,연료전지_원본!$KB$4:$KX$4,0))*1000</f>
        <v>0</v>
      </c>
      <c r="CW12" s="250">
        <f>INDEX(연료전지_원본!$KB$4:$KX$369,MATCH($A12,연료전지_원본!$KB$4:$KB$369,0), MATCH(CW$4,연료전지_원본!$KB$4:$KX$4,0))*1000</f>
        <v>0</v>
      </c>
      <c r="CX12" s="250">
        <f>INDEX(연료전지_원본!$KB$4:$KX$369,MATCH($A12,연료전지_원본!$KB$4:$KB$369,0), MATCH(CX$4,연료전지_원본!$KB$4:$KX$4,0))*1000</f>
        <v>0</v>
      </c>
      <c r="CY12" s="250">
        <f>INDEX(연료전지_원본!$KB$4:$KX$369,MATCH($A12,연료전지_원본!$KB$4:$KB$369,0), MATCH(CY$4,연료전지_원본!$KB$4:$KX$4,0))*1000</f>
        <v>0</v>
      </c>
    </row>
    <row r="13" spans="1:126">
      <c r="A13" s="6">
        <v>46030</v>
      </c>
      <c r="B13" s="15">
        <f>운전실적_원본!B13</f>
        <v>651.20000000000005</v>
      </c>
      <c r="C13" s="16">
        <f t="shared" si="3"/>
        <v>0</v>
      </c>
      <c r="D13" s="9">
        <f>운전실적_원본!C13</f>
        <v>248051</v>
      </c>
      <c r="E13" s="9">
        <f t="shared" si="3"/>
        <v>61</v>
      </c>
      <c r="F13" s="9">
        <f>운전실적_원본!D13</f>
        <v>239824</v>
      </c>
      <c r="G13" s="16">
        <f t="shared" ref="G13" si="62">F13-F12</f>
        <v>27</v>
      </c>
      <c r="H13" s="15">
        <f>운전실적_원본!E13</f>
        <v>17060.45</v>
      </c>
      <c r="I13" s="16">
        <f t="shared" ref="I13" si="63">H13-H12</f>
        <v>5.4200000000018917</v>
      </c>
      <c r="J13" s="15">
        <f>운전실적_원본!F13</f>
        <v>14439.66</v>
      </c>
      <c r="K13" s="16">
        <f t="shared" ref="K13" si="64">J13-J12</f>
        <v>21.319999999999709</v>
      </c>
      <c r="L13" s="15">
        <f>운전실적_원본!G13</f>
        <v>4041.2</v>
      </c>
      <c r="M13" s="31">
        <f t="shared" ref="M13" si="65">L13-L12</f>
        <v>1.3999999999996362</v>
      </c>
      <c r="N13" s="15">
        <f>운전실적_원본!H13</f>
        <v>33877</v>
      </c>
      <c r="O13" s="16">
        <f t="shared" ref="O13" si="66">N13-N12</f>
        <v>253</v>
      </c>
      <c r="P13" s="15">
        <f>운전실적_원본!I13</f>
        <v>16140</v>
      </c>
      <c r="Q13" s="16">
        <f t="shared" ref="Q13" si="67">P13-P12</f>
        <v>161</v>
      </c>
      <c r="R13" s="18">
        <f>운전실적_원본!J13</f>
        <v>33.606999999999999</v>
      </c>
      <c r="S13" s="19">
        <f t="shared" ref="S13" si="68">R13-R12</f>
        <v>-6.0000000000002274E-3</v>
      </c>
      <c r="T13" s="18">
        <f>운전실적_원본!K13</f>
        <v>33.081000000000003</v>
      </c>
      <c r="U13" s="19">
        <f t="shared" ref="U13" si="69">T13-T12</f>
        <v>6.0000000000002274E-2</v>
      </c>
      <c r="V13" s="12">
        <f>운전실적_원본!L13</f>
        <v>8590.9359999999997</v>
      </c>
      <c r="W13" s="16">
        <f t="shared" ref="W13" si="70">V13-V12</f>
        <v>98.057999999999083</v>
      </c>
      <c r="X13" s="10">
        <f>운전실적_원본!M13</f>
        <v>198945.79999999702</v>
      </c>
      <c r="Y13" s="10">
        <f>운전실적_원본!N13</f>
        <v>0</v>
      </c>
      <c r="Z13" s="10">
        <f>운전실적_원본!O13</f>
        <v>0</v>
      </c>
      <c r="AA13" s="10">
        <f>운전실적_원본!P13</f>
        <v>0</v>
      </c>
      <c r="AB13" s="10">
        <f>운전실적_원본!Q13</f>
        <v>0</v>
      </c>
      <c r="AC13" s="20">
        <f>운전실적_원본!R13</f>
        <v>0</v>
      </c>
      <c r="AD13" s="109">
        <f>운전실적_원본!S13</f>
        <v>24</v>
      </c>
      <c r="AE13" s="110">
        <f>운전실적_원본!T13</f>
        <v>0</v>
      </c>
      <c r="AF13" s="110">
        <f>운전실적_원본!U13</f>
        <v>0</v>
      </c>
      <c r="AG13" s="110">
        <f>운전실적_원본!V13</f>
        <v>0</v>
      </c>
      <c r="AH13" s="109">
        <f t="shared" si="1"/>
        <v>24</v>
      </c>
      <c r="AI13" s="110">
        <f t="shared" si="13"/>
        <v>0</v>
      </c>
      <c r="AJ13" s="110">
        <f>운전실적_원본!Y13</f>
        <v>0</v>
      </c>
      <c r="AK13" s="110">
        <f>운전실적_원본!Z13</f>
        <v>0</v>
      </c>
      <c r="AL13" s="106">
        <v>46030</v>
      </c>
      <c r="AM13" s="105">
        <f t="shared" si="14"/>
        <v>46031</v>
      </c>
      <c r="AN13" s="105"/>
      <c r="AO13" s="105"/>
      <c r="AP13" s="105"/>
      <c r="AQ13" s="108"/>
      <c r="AR13" s="105"/>
      <c r="AS13" s="105"/>
      <c r="AT13" s="102"/>
      <c r="AU13" s="102"/>
      <c r="AV13" s="102"/>
      <c r="AW13" s="102"/>
      <c r="AX13" s="32">
        <f>운전실적_원본!W13</f>
        <v>1256.4369999999999</v>
      </c>
      <c r="AY13" s="11">
        <f>운전실적_원본!X13</f>
        <v>0</v>
      </c>
      <c r="AZ13" s="11">
        <f>운전실적_원본!Y13</f>
        <v>0</v>
      </c>
      <c r="BA13" s="11">
        <f>운전실적_원본!Z13</f>
        <v>0</v>
      </c>
      <c r="BB13" s="11">
        <f>운전실적_원본!AA13</f>
        <v>0</v>
      </c>
      <c r="BC13" s="11">
        <f>운전실적_원본!AB13</f>
        <v>1256.4369999999999</v>
      </c>
      <c r="BD13" s="32">
        <f t="shared" si="15"/>
        <v>52.351541666666662</v>
      </c>
      <c r="BE13" s="11">
        <f t="shared" si="2"/>
        <v>1.0187106765259129</v>
      </c>
      <c r="BF13" s="11" t="str">
        <f t="shared" si="16"/>
        <v>-</v>
      </c>
      <c r="BG13" s="31" t="str">
        <f t="shared" si="0"/>
        <v>-</v>
      </c>
      <c r="BH13" s="241">
        <f>INDEX(연료전지_원본!$A$4:$KY$369,MATCH($A13,연료전지_원본!$A$4:$A$369,0),MATCH($BH$4,연료전지_원본!$A$4:$KY$4,0))</f>
        <v>0</v>
      </c>
      <c r="BI13" s="241">
        <f>INDEX(연료전지_원본!$A$4:$KY$369,MATCH($A13,연료전지_원본!$A$4:$A$369,0),MATCH($BI$4,연료전지_원본!$A$4:$KY$4,0))</f>
        <v>0</v>
      </c>
      <c r="BJ13" s="241">
        <f>INDEX(연료전지_원본!$A$4:$KY$369,MATCH($A13,연료전지_원본!$A$4:$A$369,0),MATCH($BJ$4,연료전지_원본!$A$4:$KY$4,0))</f>
        <v>0</v>
      </c>
      <c r="BK13" s="241">
        <f>INDEX(연료전지_원본!$A$4:$KY$369,MATCH($A13,연료전지_원본!$A$4:$A$369,0),MATCH($BK$4,연료전지_원본!$A$4:$KY$4,0))</f>
        <v>0</v>
      </c>
      <c r="BL13" s="241">
        <f>INDEX(연료전지_원본!$A$4:$KY$369,MATCH($A13,연료전지_원본!$A$4:$A$369,0),MATCH($BL$4,연료전지_원본!$A$4:$KY$4,0))</f>
        <v>0</v>
      </c>
      <c r="BM13" s="241">
        <f>INDEX(연료전지_원본!$A$4:$KY$369,MATCH($A13,연료전지_원본!$A$4:$A$369,0),MATCH($BM$4,연료전지_원본!$A$4:$KY$4,0))</f>
        <v>0</v>
      </c>
      <c r="BN13" s="241">
        <f>INDEX(연료전지_원본!$A$4:$KY$369,MATCH($A13,연료전지_원본!$A$4:$A$369,0),MATCH($BN$4,연료전지_원본!$A$4:$KY$4,0))</f>
        <v>0</v>
      </c>
      <c r="BO13" s="241">
        <f>INDEX(연료전지_원본!$A$4:$KY$369,MATCH($A13,연료전지_원본!$A$4:$A$369,0),MATCH($BO$4,연료전지_원본!$A$4:$KY$4,0))</f>
        <v>0</v>
      </c>
      <c r="BP13" s="241">
        <f>INDEX(연료전지_원본!$A$4:$KY$369,MATCH($A13,연료전지_원본!$A$4:$A$369,0),MATCH($BP$4,연료전지_원본!$A$4:$KY$4,0))</f>
        <v>0</v>
      </c>
      <c r="BQ13" s="241">
        <f>INDEX(연료전지_원본!$A$4:$KY$369,MATCH($A13,연료전지_원본!$A$4:$A$369,0),MATCH($BQ$4,연료전지_원본!$A$4:$KY$4,0))</f>
        <v>0</v>
      </c>
      <c r="BR13" s="241">
        <f>INDEX(연료전지_원본!$A$4:$KY$369,MATCH($A13,연료전지_원본!$A$4:$A$369,0),MATCH($BR$4,연료전지_원본!$A$4:$KY$4,0))</f>
        <v>0</v>
      </c>
      <c r="BS13" s="241">
        <f>INDEX(연료전지_원본!$A$4:$KY$369,MATCH($A13,연료전지_원본!$A$4:$A$369,0),MATCH($BS$4,연료전지_원본!$A$4:$KY$4,0))</f>
        <v>0</v>
      </c>
      <c r="BT13" s="241">
        <f>INDEX(연료전지_원본!$A$4:$KY$369,MATCH($A13,연료전지_원본!$A$4:$A$369,0),MATCH($BT$4,연료전지_원본!$A$4:$KY$4,0))</f>
        <v>0</v>
      </c>
      <c r="BU13" s="241">
        <f>INDEX(연료전지_원본!$A$4:$KY$369,MATCH($A13,연료전지_원본!$A$4:$A$369,0),MATCH($BU$4,연료전지_원본!$A$4:$KY$4,0))</f>
        <v>0</v>
      </c>
      <c r="BV13" s="241">
        <f>INDEX(연료전지_원본!$A$4:$KY$369,MATCH($A13,연료전지_원본!$A$4:$A$369,0),MATCH($BV$4,연료전지_원본!$A$4:$KY$4,0))</f>
        <v>0</v>
      </c>
      <c r="BW13" s="241">
        <f>INDEX(연료전지_원본!$A$4:$KY$369,MATCH($A13,연료전지_원본!$A$4:$A$369,0),MATCH($BW$4,연료전지_원본!$A$4:$KY$4,0))</f>
        <v>0</v>
      </c>
      <c r="BX13" s="241">
        <f>INDEX(연료전지_원본!$A$4:$KY$369,MATCH($A13,연료전지_원본!$A$4:$A$369,0),MATCH($BX$4,연료전지_원본!$A$4:$KY$4,0))</f>
        <v>0</v>
      </c>
      <c r="BY13" s="241">
        <f>INDEX(연료전지_원본!$A$4:$KY$369,MATCH($A13,연료전지_원본!$A$4:$A$369,0),MATCH($BY$4,연료전지_원본!$A$4:$KY$4,0))</f>
        <v>0</v>
      </c>
      <c r="BZ13" s="241">
        <f>INDEX(연료전지_원본!$A$4:$KY$369,MATCH($A13,연료전지_원본!$A$4:$A$369,0),MATCH($BZ$4,연료전지_원본!$A$4:$KY$4,0))</f>
        <v>0</v>
      </c>
      <c r="CA13" s="241">
        <f>INDEX(연료전지_원본!$A$4:$KY$369,MATCH($A13,연료전지_원본!$A$4:$A$369,0),MATCH($CA$4,연료전지_원본!$A$4:$KY$4,0))</f>
        <v>0</v>
      </c>
      <c r="CB13" s="241">
        <f>INDEX(연료전지_원본!$A$4:$KY$369,MATCH($A13,연료전지_원본!$A$4:$A$369,0),MATCH($CB$4,연료전지_원본!$A$4:$KY$4,0))</f>
        <v>0</v>
      </c>
      <c r="CC13" s="242">
        <f>INDEX(연료전지_원본!$A$4:$KY$369,MATCH($A13,연료전지_원본!$A$4:$A$369,0),MATCH($CC$4,연료전지_원본!$A$4:$KY$4,0))</f>
        <v>0</v>
      </c>
      <c r="CD13" s="250">
        <f>INDEX(연료전지_원본!$KB$4:$KX$369,MATCH($A13,연료전지_원본!$KB$4:$KB$369,0), MATCH(CD$4,연료전지_원본!$KB$4:$KX$4,0))*1000</f>
        <v>0</v>
      </c>
      <c r="CE13" s="250">
        <f>INDEX(연료전지_원본!$KB$4:$KX$369,MATCH($A13,연료전지_원본!$KB$4:$KB$369,0), MATCH(CE$4,연료전지_원본!$KB$4:$KX$4,0))*1000</f>
        <v>0</v>
      </c>
      <c r="CF13" s="250">
        <f>INDEX(연료전지_원본!$KB$4:$KX$369,MATCH($A13,연료전지_원본!$KB$4:$KB$369,0), MATCH(CF$4,연료전지_원본!$KB$4:$KX$4,0))*1000</f>
        <v>0</v>
      </c>
      <c r="CG13" s="250">
        <f>INDEX(연료전지_원본!$KB$4:$KX$369,MATCH($A13,연료전지_원본!$KB$4:$KB$369,0), MATCH(CG$4,연료전지_원본!$KB$4:$KX$4,0))*1000</f>
        <v>0</v>
      </c>
      <c r="CH13" s="250">
        <f>INDEX(연료전지_원본!$KB$4:$KX$369,MATCH($A13,연료전지_원본!$KB$4:$KB$369,0), MATCH(CH$4,연료전지_원본!$KB$4:$KX$4,0))*1000</f>
        <v>0</v>
      </c>
      <c r="CI13" s="250">
        <f>INDEX(연료전지_원본!$KB$4:$KX$369,MATCH($A13,연료전지_원본!$KB$4:$KB$369,0), MATCH(CI$4,연료전지_원본!$KB$4:$KX$4,0))*1000</f>
        <v>0</v>
      </c>
      <c r="CJ13" s="250">
        <f>INDEX(연료전지_원본!$KB$4:$KX$369,MATCH($A13,연료전지_원본!$KB$4:$KB$369,0), MATCH(CJ$4,연료전지_원본!$KB$4:$KX$4,0))*1000</f>
        <v>0</v>
      </c>
      <c r="CK13" s="250">
        <f>INDEX(연료전지_원본!$KB$4:$KX$369,MATCH($A13,연료전지_원본!$KB$4:$KB$369,0), MATCH(CK$4,연료전지_원본!$KB$4:$KX$4,0))*1000</f>
        <v>0</v>
      </c>
      <c r="CL13" s="250">
        <f>INDEX(연료전지_원본!$KB$4:$KX$369,MATCH($A13,연료전지_원본!$KB$4:$KB$369,0), MATCH(CL$4,연료전지_원본!$KB$4:$KX$4,0))*1000</f>
        <v>0</v>
      </c>
      <c r="CM13" s="250">
        <f>INDEX(연료전지_원본!$KB$4:$KX$369,MATCH($A13,연료전지_원본!$KB$4:$KB$369,0), MATCH(CM$4,연료전지_원본!$KB$4:$KX$4,0))*1000</f>
        <v>0</v>
      </c>
      <c r="CN13" s="250">
        <f>INDEX(연료전지_원본!$KB$4:$KX$369,MATCH($A13,연료전지_원본!$KB$4:$KB$369,0), MATCH(CN$4,연료전지_원본!$KB$4:$KX$4,0))*1000</f>
        <v>0</v>
      </c>
      <c r="CO13" s="250">
        <f>INDEX(연료전지_원본!$KB$4:$KX$369,MATCH($A13,연료전지_원본!$KB$4:$KB$369,0), MATCH(CO$4,연료전지_원본!$KB$4:$KX$4,0))*1000</f>
        <v>0</v>
      </c>
      <c r="CP13" s="250">
        <f>INDEX(연료전지_원본!$KB$4:$KX$369,MATCH($A13,연료전지_원본!$KB$4:$KB$369,0), MATCH(CP$4,연료전지_원본!$KB$4:$KX$4,0))*1000</f>
        <v>0</v>
      </c>
      <c r="CQ13" s="250">
        <f>INDEX(연료전지_원본!$KB$4:$KX$369,MATCH($A13,연료전지_원본!$KB$4:$KB$369,0), MATCH(CQ$4,연료전지_원본!$KB$4:$KX$4,0))*1000</f>
        <v>0</v>
      </c>
      <c r="CR13" s="250">
        <f>INDEX(연료전지_원본!$KB$4:$KX$369,MATCH($A13,연료전지_원본!$KB$4:$KB$369,0), MATCH(CR$4,연료전지_원본!$KB$4:$KX$4,0))*1000</f>
        <v>0</v>
      </c>
      <c r="CS13" s="250">
        <f>INDEX(연료전지_원본!$KB$4:$KX$369,MATCH($A13,연료전지_원본!$KB$4:$KB$369,0), MATCH(CS$4,연료전지_원본!$KB$4:$KX$4,0))*1000</f>
        <v>0</v>
      </c>
      <c r="CT13" s="250">
        <f>INDEX(연료전지_원본!$KB$4:$KX$369,MATCH($A13,연료전지_원본!$KB$4:$KB$369,0), MATCH(CT$4,연료전지_원본!$KB$4:$KX$4,0))*1000</f>
        <v>0</v>
      </c>
      <c r="CU13" s="250">
        <f>INDEX(연료전지_원본!$KB$4:$KX$369,MATCH($A13,연료전지_원본!$KB$4:$KB$369,0), MATCH(CU$4,연료전지_원본!$KB$4:$KX$4,0))*1000</f>
        <v>0</v>
      </c>
      <c r="CV13" s="250">
        <f>INDEX(연료전지_원본!$KB$4:$KX$369,MATCH($A13,연료전지_원본!$KB$4:$KB$369,0), MATCH(CV$4,연료전지_원본!$KB$4:$KX$4,0))*1000</f>
        <v>0</v>
      </c>
      <c r="CW13" s="250">
        <f>INDEX(연료전지_원본!$KB$4:$KX$369,MATCH($A13,연료전지_원본!$KB$4:$KB$369,0), MATCH(CW$4,연료전지_원본!$KB$4:$KX$4,0))*1000</f>
        <v>0</v>
      </c>
      <c r="CX13" s="250">
        <f>INDEX(연료전지_원본!$KB$4:$KX$369,MATCH($A13,연료전지_원본!$KB$4:$KB$369,0), MATCH(CX$4,연료전지_원본!$KB$4:$KX$4,0))*1000</f>
        <v>0</v>
      </c>
      <c r="CY13" s="250">
        <f>INDEX(연료전지_원본!$KB$4:$KX$369,MATCH($A13,연료전지_원본!$KB$4:$KB$369,0), MATCH(CY$4,연료전지_원본!$KB$4:$KX$4,0))*1000</f>
        <v>0</v>
      </c>
    </row>
    <row r="14" spans="1:126">
      <c r="A14" s="6">
        <v>46031</v>
      </c>
      <c r="B14" s="15">
        <f>운전실적_원본!B14</f>
        <v>651.20000000000005</v>
      </c>
      <c r="C14" s="16">
        <f t="shared" si="3"/>
        <v>0</v>
      </c>
      <c r="D14" s="9">
        <f>운전실적_원본!C14</f>
        <v>248165</v>
      </c>
      <c r="E14" s="9">
        <f t="shared" si="3"/>
        <v>114</v>
      </c>
      <c r="F14" s="9">
        <f>운전실적_원본!D14</f>
        <v>239829</v>
      </c>
      <c r="G14" s="16">
        <f t="shared" ref="G14" si="71">F14-F13</f>
        <v>5</v>
      </c>
      <c r="H14" s="15">
        <f>운전실적_원본!E14</f>
        <v>17065.53</v>
      </c>
      <c r="I14" s="16">
        <f t="shared" ref="I14" si="72">H14-H13</f>
        <v>5.0799999999981083</v>
      </c>
      <c r="J14" s="15">
        <f>운전실적_원본!F14</f>
        <v>14459.7</v>
      </c>
      <c r="K14" s="16">
        <f t="shared" ref="K14" si="73">J14-J13</f>
        <v>20.040000000000873</v>
      </c>
      <c r="L14" s="15">
        <f>운전실적_원본!G14</f>
        <v>4042.2</v>
      </c>
      <c r="M14" s="31">
        <f t="shared" ref="M14" si="74">L14-L13</f>
        <v>1</v>
      </c>
      <c r="N14" s="15">
        <f>운전실적_원본!H14</f>
        <v>34015</v>
      </c>
      <c r="O14" s="16">
        <f t="shared" ref="O14" si="75">N14-N13</f>
        <v>138</v>
      </c>
      <c r="P14" s="15">
        <f>운전실적_원본!I14</f>
        <v>16344</v>
      </c>
      <c r="Q14" s="16">
        <f t="shared" ref="Q14" si="76">P14-P13</f>
        <v>204</v>
      </c>
      <c r="R14" s="18">
        <f>운전실적_원본!J14</f>
        <v>33.64</v>
      </c>
      <c r="S14" s="19">
        <f t="shared" ref="S14" si="77">R14-R13</f>
        <v>3.3000000000001251E-2</v>
      </c>
      <c r="T14" s="18">
        <f>운전실적_원본!K14</f>
        <v>33.119999999999997</v>
      </c>
      <c r="U14" s="19">
        <f t="shared" ref="U14" si="78">T14-T13</f>
        <v>3.8999999999994373E-2</v>
      </c>
      <c r="V14" s="12">
        <f>운전실적_원본!L14</f>
        <v>8533</v>
      </c>
      <c r="W14" s="16">
        <f t="shared" ref="W14" si="79">V14-V13</f>
        <v>-57.935999999999694</v>
      </c>
      <c r="X14" s="10">
        <f>운전실적_원본!M14</f>
        <v>197742.83999999613</v>
      </c>
      <c r="Y14" s="10">
        <f>운전실적_원본!N14</f>
        <v>0</v>
      </c>
      <c r="Z14" s="10">
        <f>운전실적_원본!O14</f>
        <v>0</v>
      </c>
      <c r="AA14" s="10">
        <f>운전실적_원본!P14</f>
        <v>0</v>
      </c>
      <c r="AB14" s="10">
        <f>운전실적_원본!Q14</f>
        <v>0</v>
      </c>
      <c r="AC14" s="20">
        <f>운전실적_원본!R14</f>
        <v>0</v>
      </c>
      <c r="AD14" s="109">
        <f>운전실적_원본!S14</f>
        <v>24</v>
      </c>
      <c r="AE14" s="110">
        <f>운전실적_원본!T14</f>
        <v>0</v>
      </c>
      <c r="AF14" s="110">
        <f>운전실적_원본!U14</f>
        <v>0</v>
      </c>
      <c r="AG14" s="110">
        <f>운전실적_원본!V14</f>
        <v>0</v>
      </c>
      <c r="AH14" s="109">
        <f t="shared" si="1"/>
        <v>24</v>
      </c>
      <c r="AI14" s="110">
        <f t="shared" si="13"/>
        <v>0</v>
      </c>
      <c r="AJ14" s="110">
        <f>운전실적_원본!Y14</f>
        <v>0</v>
      </c>
      <c r="AK14" s="110">
        <f>운전실적_원본!Z14</f>
        <v>0</v>
      </c>
      <c r="AL14" s="106">
        <v>46031</v>
      </c>
      <c r="AM14" s="105">
        <f t="shared" si="14"/>
        <v>46032</v>
      </c>
      <c r="AN14" s="105"/>
      <c r="AO14" s="105"/>
      <c r="AP14" s="105"/>
      <c r="AQ14" s="108"/>
      <c r="AR14" s="105"/>
      <c r="AS14" s="105"/>
      <c r="AT14" s="102"/>
      <c r="AU14" s="102"/>
      <c r="AV14" s="102"/>
      <c r="AW14" s="102"/>
      <c r="AX14" s="32">
        <f>운전실적_원본!W14</f>
        <v>1250.3180000000002</v>
      </c>
      <c r="AY14" s="11">
        <f>운전실적_원본!X14</f>
        <v>0</v>
      </c>
      <c r="AZ14" s="11">
        <f>운전실적_원본!Y14</f>
        <v>0</v>
      </c>
      <c r="BA14" s="11">
        <f>운전실적_원본!Z14</f>
        <v>0</v>
      </c>
      <c r="BB14" s="11">
        <f>운전실적_원본!AA14</f>
        <v>0</v>
      </c>
      <c r="BC14" s="11">
        <f>운전실적_원본!AB14</f>
        <v>1250.3180000000002</v>
      </c>
      <c r="BD14" s="32">
        <f t="shared" si="15"/>
        <v>52.096583333333342</v>
      </c>
      <c r="BE14" s="11">
        <f t="shared" si="2"/>
        <v>1.0137494324447041</v>
      </c>
      <c r="BF14" s="11" t="str">
        <f t="shared" si="16"/>
        <v>-</v>
      </c>
      <c r="BG14" s="31" t="str">
        <f t="shared" si="0"/>
        <v>-</v>
      </c>
      <c r="BH14" s="241">
        <f>INDEX(연료전지_원본!$A$4:$KY$369,MATCH($A14,연료전지_원본!$A$4:$A$369,0),MATCH($BH$4,연료전지_원본!$A$4:$KY$4,0))</f>
        <v>0</v>
      </c>
      <c r="BI14" s="241">
        <f>INDEX(연료전지_원본!$A$4:$KY$369,MATCH($A14,연료전지_원본!$A$4:$A$369,0),MATCH($BI$4,연료전지_원본!$A$4:$KY$4,0))</f>
        <v>0</v>
      </c>
      <c r="BJ14" s="241">
        <f>INDEX(연료전지_원본!$A$4:$KY$369,MATCH($A14,연료전지_원본!$A$4:$A$369,0),MATCH($BJ$4,연료전지_원본!$A$4:$KY$4,0))</f>
        <v>0</v>
      </c>
      <c r="BK14" s="241">
        <f>INDEX(연료전지_원본!$A$4:$KY$369,MATCH($A14,연료전지_원본!$A$4:$A$369,0),MATCH($BK$4,연료전지_원본!$A$4:$KY$4,0))</f>
        <v>0</v>
      </c>
      <c r="BL14" s="241">
        <f>INDEX(연료전지_원본!$A$4:$KY$369,MATCH($A14,연료전지_원본!$A$4:$A$369,0),MATCH($BL$4,연료전지_원본!$A$4:$KY$4,0))</f>
        <v>0</v>
      </c>
      <c r="BM14" s="241">
        <f>INDEX(연료전지_원본!$A$4:$KY$369,MATCH($A14,연료전지_원본!$A$4:$A$369,0),MATCH($BM$4,연료전지_원본!$A$4:$KY$4,0))</f>
        <v>0</v>
      </c>
      <c r="BN14" s="241">
        <f>INDEX(연료전지_원본!$A$4:$KY$369,MATCH($A14,연료전지_원본!$A$4:$A$369,0),MATCH($BN$4,연료전지_원본!$A$4:$KY$4,0))</f>
        <v>0</v>
      </c>
      <c r="BO14" s="241">
        <f>INDEX(연료전지_원본!$A$4:$KY$369,MATCH($A14,연료전지_원본!$A$4:$A$369,0),MATCH($BO$4,연료전지_원본!$A$4:$KY$4,0))</f>
        <v>0</v>
      </c>
      <c r="BP14" s="241">
        <f>INDEX(연료전지_원본!$A$4:$KY$369,MATCH($A14,연료전지_원본!$A$4:$A$369,0),MATCH($BP$4,연료전지_원본!$A$4:$KY$4,0))</f>
        <v>0</v>
      </c>
      <c r="BQ14" s="241">
        <f>INDEX(연료전지_원본!$A$4:$KY$369,MATCH($A14,연료전지_원본!$A$4:$A$369,0),MATCH($BQ$4,연료전지_원본!$A$4:$KY$4,0))</f>
        <v>0</v>
      </c>
      <c r="BR14" s="241">
        <f>INDEX(연료전지_원본!$A$4:$KY$369,MATCH($A14,연료전지_원본!$A$4:$A$369,0),MATCH($BR$4,연료전지_원본!$A$4:$KY$4,0))</f>
        <v>0</v>
      </c>
      <c r="BS14" s="241">
        <f>INDEX(연료전지_원본!$A$4:$KY$369,MATCH($A14,연료전지_원본!$A$4:$A$369,0),MATCH($BS$4,연료전지_원본!$A$4:$KY$4,0))</f>
        <v>0</v>
      </c>
      <c r="BT14" s="241">
        <f>INDEX(연료전지_원본!$A$4:$KY$369,MATCH($A14,연료전지_원본!$A$4:$A$369,0),MATCH($BT$4,연료전지_원본!$A$4:$KY$4,0))</f>
        <v>0</v>
      </c>
      <c r="BU14" s="241">
        <f>INDEX(연료전지_원본!$A$4:$KY$369,MATCH($A14,연료전지_원본!$A$4:$A$369,0),MATCH($BU$4,연료전지_원본!$A$4:$KY$4,0))</f>
        <v>0</v>
      </c>
      <c r="BV14" s="241">
        <f>INDEX(연료전지_원본!$A$4:$KY$369,MATCH($A14,연료전지_원본!$A$4:$A$369,0),MATCH($BV$4,연료전지_원본!$A$4:$KY$4,0))</f>
        <v>0</v>
      </c>
      <c r="BW14" s="241">
        <f>INDEX(연료전지_원본!$A$4:$KY$369,MATCH($A14,연료전지_원본!$A$4:$A$369,0),MATCH($BW$4,연료전지_원본!$A$4:$KY$4,0))</f>
        <v>0</v>
      </c>
      <c r="BX14" s="241">
        <f>INDEX(연료전지_원본!$A$4:$KY$369,MATCH($A14,연료전지_원본!$A$4:$A$369,0),MATCH($BX$4,연료전지_원본!$A$4:$KY$4,0))</f>
        <v>0</v>
      </c>
      <c r="BY14" s="241">
        <f>INDEX(연료전지_원본!$A$4:$KY$369,MATCH($A14,연료전지_원본!$A$4:$A$369,0),MATCH($BY$4,연료전지_원본!$A$4:$KY$4,0))</f>
        <v>0</v>
      </c>
      <c r="BZ14" s="241">
        <f>INDEX(연료전지_원본!$A$4:$KY$369,MATCH($A14,연료전지_원본!$A$4:$A$369,0),MATCH($BZ$4,연료전지_원본!$A$4:$KY$4,0))</f>
        <v>0</v>
      </c>
      <c r="CA14" s="241">
        <f>INDEX(연료전지_원본!$A$4:$KY$369,MATCH($A14,연료전지_원본!$A$4:$A$369,0),MATCH($CA$4,연료전지_원본!$A$4:$KY$4,0))</f>
        <v>0</v>
      </c>
      <c r="CB14" s="241">
        <f>INDEX(연료전지_원본!$A$4:$KY$369,MATCH($A14,연료전지_원본!$A$4:$A$369,0),MATCH($CB$4,연료전지_원본!$A$4:$KY$4,0))</f>
        <v>0</v>
      </c>
      <c r="CC14" s="242">
        <f>INDEX(연료전지_원본!$A$4:$KY$369,MATCH($A14,연료전지_원본!$A$4:$A$369,0),MATCH($CC$4,연료전지_원본!$A$4:$KY$4,0))</f>
        <v>0</v>
      </c>
      <c r="CD14" s="250">
        <f>INDEX(연료전지_원본!$KB$4:$KX$369,MATCH($A14,연료전지_원본!$KB$4:$KB$369,0), MATCH(CD$4,연료전지_원본!$KB$4:$KX$4,0))*1000</f>
        <v>0</v>
      </c>
      <c r="CE14" s="250">
        <f>INDEX(연료전지_원본!$KB$4:$KX$369,MATCH($A14,연료전지_원본!$KB$4:$KB$369,0), MATCH(CE$4,연료전지_원본!$KB$4:$KX$4,0))*1000</f>
        <v>0</v>
      </c>
      <c r="CF14" s="250">
        <f>INDEX(연료전지_원본!$KB$4:$KX$369,MATCH($A14,연료전지_원본!$KB$4:$KB$369,0), MATCH(CF$4,연료전지_원본!$KB$4:$KX$4,0))*1000</f>
        <v>0</v>
      </c>
      <c r="CG14" s="250">
        <f>INDEX(연료전지_원본!$KB$4:$KX$369,MATCH($A14,연료전지_원본!$KB$4:$KB$369,0), MATCH(CG$4,연료전지_원본!$KB$4:$KX$4,0))*1000</f>
        <v>0</v>
      </c>
      <c r="CH14" s="250">
        <f>INDEX(연료전지_원본!$KB$4:$KX$369,MATCH($A14,연료전지_원본!$KB$4:$KB$369,0), MATCH(CH$4,연료전지_원본!$KB$4:$KX$4,0))*1000</f>
        <v>0</v>
      </c>
      <c r="CI14" s="250">
        <f>INDEX(연료전지_원본!$KB$4:$KX$369,MATCH($A14,연료전지_원본!$KB$4:$KB$369,0), MATCH(CI$4,연료전지_원본!$KB$4:$KX$4,0))*1000</f>
        <v>0</v>
      </c>
      <c r="CJ14" s="250">
        <f>INDEX(연료전지_원본!$KB$4:$KX$369,MATCH($A14,연료전지_원본!$KB$4:$KB$369,0), MATCH(CJ$4,연료전지_원본!$KB$4:$KX$4,0))*1000</f>
        <v>0</v>
      </c>
      <c r="CK14" s="250">
        <f>INDEX(연료전지_원본!$KB$4:$KX$369,MATCH($A14,연료전지_원본!$KB$4:$KB$369,0), MATCH(CK$4,연료전지_원본!$KB$4:$KX$4,0))*1000</f>
        <v>0</v>
      </c>
      <c r="CL14" s="250">
        <f>INDEX(연료전지_원본!$KB$4:$KX$369,MATCH($A14,연료전지_원본!$KB$4:$KB$369,0), MATCH(CL$4,연료전지_원본!$KB$4:$KX$4,0))*1000</f>
        <v>0</v>
      </c>
      <c r="CM14" s="250">
        <f>INDEX(연료전지_원본!$KB$4:$KX$369,MATCH($A14,연료전지_원본!$KB$4:$KB$369,0), MATCH(CM$4,연료전지_원본!$KB$4:$KX$4,0))*1000</f>
        <v>0</v>
      </c>
      <c r="CN14" s="250">
        <f>INDEX(연료전지_원본!$KB$4:$KX$369,MATCH($A14,연료전지_원본!$KB$4:$KB$369,0), MATCH(CN$4,연료전지_원본!$KB$4:$KX$4,0))*1000</f>
        <v>0</v>
      </c>
      <c r="CO14" s="250">
        <f>INDEX(연료전지_원본!$KB$4:$KX$369,MATCH($A14,연료전지_원본!$KB$4:$KB$369,0), MATCH(CO$4,연료전지_원본!$KB$4:$KX$4,0))*1000</f>
        <v>0</v>
      </c>
      <c r="CP14" s="250">
        <f>INDEX(연료전지_원본!$KB$4:$KX$369,MATCH($A14,연료전지_원본!$KB$4:$KB$369,0), MATCH(CP$4,연료전지_원본!$KB$4:$KX$4,0))*1000</f>
        <v>0</v>
      </c>
      <c r="CQ14" s="250">
        <f>INDEX(연료전지_원본!$KB$4:$KX$369,MATCH($A14,연료전지_원본!$KB$4:$KB$369,0), MATCH(CQ$4,연료전지_원본!$KB$4:$KX$4,0))*1000</f>
        <v>0</v>
      </c>
      <c r="CR14" s="250">
        <f>INDEX(연료전지_원본!$KB$4:$KX$369,MATCH($A14,연료전지_원본!$KB$4:$KB$369,0), MATCH(CR$4,연료전지_원본!$KB$4:$KX$4,0))*1000</f>
        <v>0</v>
      </c>
      <c r="CS14" s="250">
        <f>INDEX(연료전지_원본!$KB$4:$KX$369,MATCH($A14,연료전지_원본!$KB$4:$KB$369,0), MATCH(CS$4,연료전지_원본!$KB$4:$KX$4,0))*1000</f>
        <v>0</v>
      </c>
      <c r="CT14" s="250">
        <f>INDEX(연료전지_원본!$KB$4:$KX$369,MATCH($A14,연료전지_원본!$KB$4:$KB$369,0), MATCH(CT$4,연료전지_원본!$KB$4:$KX$4,0))*1000</f>
        <v>0</v>
      </c>
      <c r="CU14" s="250">
        <f>INDEX(연료전지_원본!$KB$4:$KX$369,MATCH($A14,연료전지_원본!$KB$4:$KB$369,0), MATCH(CU$4,연료전지_원본!$KB$4:$KX$4,0))*1000</f>
        <v>0</v>
      </c>
      <c r="CV14" s="250">
        <f>INDEX(연료전지_원본!$KB$4:$KX$369,MATCH($A14,연료전지_원본!$KB$4:$KB$369,0), MATCH(CV$4,연료전지_원본!$KB$4:$KX$4,0))*1000</f>
        <v>0</v>
      </c>
      <c r="CW14" s="250">
        <f>INDEX(연료전지_원본!$KB$4:$KX$369,MATCH($A14,연료전지_원본!$KB$4:$KB$369,0), MATCH(CW$4,연료전지_원본!$KB$4:$KX$4,0))*1000</f>
        <v>0</v>
      </c>
      <c r="CX14" s="250">
        <f>INDEX(연료전지_원본!$KB$4:$KX$369,MATCH($A14,연료전지_원본!$KB$4:$KB$369,0), MATCH(CX$4,연료전지_원본!$KB$4:$KX$4,0))*1000</f>
        <v>0</v>
      </c>
      <c r="CY14" s="250">
        <f>INDEX(연료전지_원본!$KB$4:$KX$369,MATCH($A14,연료전지_원본!$KB$4:$KB$369,0), MATCH(CY$4,연료전지_원본!$KB$4:$KX$4,0))*1000</f>
        <v>0</v>
      </c>
    </row>
    <row r="15" spans="1:126">
      <c r="A15" s="6">
        <v>46032</v>
      </c>
      <c r="B15" s="15">
        <f>운전실적_원본!B15</f>
        <v>651.20000000000005</v>
      </c>
      <c r="C15" s="16">
        <f t="shared" si="3"/>
        <v>0</v>
      </c>
      <c r="D15" s="9">
        <f>운전실적_원본!C15</f>
        <v>248165</v>
      </c>
      <c r="E15" s="9">
        <f t="shared" si="3"/>
        <v>0</v>
      </c>
      <c r="F15" s="9">
        <f>운전실적_원본!D15</f>
        <v>239871</v>
      </c>
      <c r="G15" s="16">
        <f t="shared" ref="G15" si="80">F15-F14</f>
        <v>42</v>
      </c>
      <c r="H15" s="15">
        <f>운전실적_원본!E15</f>
        <v>17069.080000000002</v>
      </c>
      <c r="I15" s="16">
        <f t="shared" ref="I15" si="81">H15-H14</f>
        <v>3.5500000000029104</v>
      </c>
      <c r="J15" s="15">
        <f>운전실적_원본!F15</f>
        <v>14482</v>
      </c>
      <c r="K15" s="16">
        <f t="shared" ref="K15" si="82">J15-J14</f>
        <v>22.299999999999272</v>
      </c>
      <c r="L15" s="15">
        <f>운전실적_원본!G15</f>
        <v>4042.9</v>
      </c>
      <c r="M15" s="31">
        <f t="shared" ref="M15" si="83">L15-L14</f>
        <v>0.70000000000027285</v>
      </c>
      <c r="N15" s="15">
        <f>운전실적_원본!H15</f>
        <v>34096</v>
      </c>
      <c r="O15" s="16">
        <f t="shared" ref="O15" si="84">N15-N14</f>
        <v>81</v>
      </c>
      <c r="P15" s="15">
        <f>운전실적_원본!I15</f>
        <v>16460</v>
      </c>
      <c r="Q15" s="16">
        <f t="shared" ref="Q15" si="85">P15-P14</f>
        <v>116</v>
      </c>
      <c r="R15" s="18">
        <f>운전실적_원본!J15</f>
        <v>33.56</v>
      </c>
      <c r="S15" s="19">
        <f t="shared" ref="S15" si="86">R15-R14</f>
        <v>-7.9999999999998295E-2</v>
      </c>
      <c r="T15" s="18">
        <f>운전실적_원본!K15</f>
        <v>33.07</v>
      </c>
      <c r="U15" s="19">
        <f t="shared" ref="U15" si="87">T15-T14</f>
        <v>-4.9999999999997158E-2</v>
      </c>
      <c r="V15" s="12">
        <f>운전실적_원본!L15</f>
        <v>8465</v>
      </c>
      <c r="W15" s="16">
        <f t="shared" ref="W15" si="88">V15-V14</f>
        <v>-68</v>
      </c>
      <c r="X15" s="10">
        <f>운전실적_원본!M15</f>
        <v>199460.59000000358</v>
      </c>
      <c r="Y15" s="10">
        <f>운전실적_원본!N15</f>
        <v>221.17999999993481</v>
      </c>
      <c r="Z15" s="10">
        <f>운전실적_원본!O15</f>
        <v>0</v>
      </c>
      <c r="AA15" s="10">
        <f>운전실적_원본!P15</f>
        <v>0</v>
      </c>
      <c r="AB15" s="10">
        <f>운전실적_원본!Q15</f>
        <v>0</v>
      </c>
      <c r="AC15" s="20">
        <f>운전실적_원본!R15</f>
        <v>221.17999999993481</v>
      </c>
      <c r="AD15" s="109">
        <f>운전실적_원본!S15</f>
        <v>24</v>
      </c>
      <c r="AE15" s="110">
        <f>운전실적_원본!T15</f>
        <v>0</v>
      </c>
      <c r="AF15" s="110">
        <f>운전실적_원본!U15</f>
        <v>0</v>
      </c>
      <c r="AG15" s="110">
        <f>운전실적_원본!V15</f>
        <v>0</v>
      </c>
      <c r="AH15" s="109">
        <f t="shared" si="1"/>
        <v>24</v>
      </c>
      <c r="AI15" s="110">
        <f t="shared" si="13"/>
        <v>0</v>
      </c>
      <c r="AJ15" s="110">
        <f>운전실적_원본!Y15</f>
        <v>0</v>
      </c>
      <c r="AK15" s="110">
        <f>운전실적_원본!Z15</f>
        <v>0</v>
      </c>
      <c r="AL15" s="106">
        <v>46032</v>
      </c>
      <c r="AM15" s="105">
        <f t="shared" si="14"/>
        <v>46033</v>
      </c>
      <c r="AN15" s="105"/>
      <c r="AO15" s="105"/>
      <c r="AP15" s="105"/>
      <c r="AQ15" s="108"/>
      <c r="AR15" s="105"/>
      <c r="AS15" s="105"/>
      <c r="AT15" s="102"/>
      <c r="AU15" s="102"/>
      <c r="AV15" s="102"/>
      <c r="AW15" s="102"/>
      <c r="AX15" s="32">
        <f>운전실적_원본!W15</f>
        <v>1249</v>
      </c>
      <c r="AY15" s="11">
        <f>운전실적_원본!X15</f>
        <v>0</v>
      </c>
      <c r="AZ15" s="11">
        <f>운전실적_원본!Y15</f>
        <v>0</v>
      </c>
      <c r="BA15" s="11">
        <f>운전실적_원본!Z15</f>
        <v>0</v>
      </c>
      <c r="BB15" s="11">
        <f>운전실적_원본!AA15</f>
        <v>0</v>
      </c>
      <c r="BC15" s="11">
        <f>운전실적_원본!AB15</f>
        <v>1249</v>
      </c>
      <c r="BD15" s="32">
        <f t="shared" si="15"/>
        <v>52.041666666666664</v>
      </c>
      <c r="BE15" s="11">
        <f t="shared" si="2"/>
        <v>1.0126808069014723</v>
      </c>
      <c r="BF15" s="11" t="str">
        <f t="shared" si="16"/>
        <v>-</v>
      </c>
      <c r="BG15" s="31" t="str">
        <f t="shared" si="0"/>
        <v>-</v>
      </c>
      <c r="BH15" s="241">
        <f>INDEX(연료전지_원본!$A$4:$KY$369,MATCH($A15,연료전지_원본!$A$4:$A$369,0),MATCH($BH$4,연료전지_원본!$A$4:$KY$4,0))</f>
        <v>0</v>
      </c>
      <c r="BI15" s="241">
        <f>INDEX(연료전지_원본!$A$4:$KY$369,MATCH($A15,연료전지_원본!$A$4:$A$369,0),MATCH($BI$4,연료전지_원본!$A$4:$KY$4,0))</f>
        <v>0</v>
      </c>
      <c r="BJ15" s="241">
        <f>INDEX(연료전지_원본!$A$4:$KY$369,MATCH($A15,연료전지_원본!$A$4:$A$369,0),MATCH($BJ$4,연료전지_원본!$A$4:$KY$4,0))</f>
        <v>0</v>
      </c>
      <c r="BK15" s="241">
        <f>INDEX(연료전지_원본!$A$4:$KY$369,MATCH($A15,연료전지_원본!$A$4:$A$369,0),MATCH($BK$4,연료전지_원본!$A$4:$KY$4,0))</f>
        <v>0</v>
      </c>
      <c r="BL15" s="241">
        <f>INDEX(연료전지_원본!$A$4:$KY$369,MATCH($A15,연료전지_원본!$A$4:$A$369,0),MATCH($BL$4,연료전지_원본!$A$4:$KY$4,0))</f>
        <v>0</v>
      </c>
      <c r="BM15" s="241">
        <f>INDEX(연료전지_원본!$A$4:$KY$369,MATCH($A15,연료전지_원본!$A$4:$A$369,0),MATCH($BM$4,연료전지_원본!$A$4:$KY$4,0))</f>
        <v>0</v>
      </c>
      <c r="BN15" s="241">
        <f>INDEX(연료전지_원본!$A$4:$KY$369,MATCH($A15,연료전지_원본!$A$4:$A$369,0),MATCH($BN$4,연료전지_원본!$A$4:$KY$4,0))</f>
        <v>0</v>
      </c>
      <c r="BO15" s="241">
        <f>INDEX(연료전지_원본!$A$4:$KY$369,MATCH($A15,연료전지_원본!$A$4:$A$369,0),MATCH($BO$4,연료전지_원본!$A$4:$KY$4,0))</f>
        <v>0</v>
      </c>
      <c r="BP15" s="241">
        <f>INDEX(연료전지_원본!$A$4:$KY$369,MATCH($A15,연료전지_원본!$A$4:$A$369,0),MATCH($BP$4,연료전지_원본!$A$4:$KY$4,0))</f>
        <v>0</v>
      </c>
      <c r="BQ15" s="241">
        <f>INDEX(연료전지_원본!$A$4:$KY$369,MATCH($A15,연료전지_원본!$A$4:$A$369,0),MATCH($BQ$4,연료전지_원본!$A$4:$KY$4,0))</f>
        <v>0</v>
      </c>
      <c r="BR15" s="241">
        <f>INDEX(연료전지_원본!$A$4:$KY$369,MATCH($A15,연료전지_원본!$A$4:$A$369,0),MATCH($BR$4,연료전지_원본!$A$4:$KY$4,0))</f>
        <v>0</v>
      </c>
      <c r="BS15" s="241">
        <f>INDEX(연료전지_원본!$A$4:$KY$369,MATCH($A15,연료전지_원본!$A$4:$A$369,0),MATCH($BS$4,연료전지_원본!$A$4:$KY$4,0))</f>
        <v>0</v>
      </c>
      <c r="BT15" s="241">
        <f>INDEX(연료전지_원본!$A$4:$KY$369,MATCH($A15,연료전지_원본!$A$4:$A$369,0),MATCH($BT$4,연료전지_원본!$A$4:$KY$4,0))</f>
        <v>0</v>
      </c>
      <c r="BU15" s="241">
        <f>INDEX(연료전지_원본!$A$4:$KY$369,MATCH($A15,연료전지_원본!$A$4:$A$369,0),MATCH($BU$4,연료전지_원본!$A$4:$KY$4,0))</f>
        <v>0</v>
      </c>
      <c r="BV15" s="241">
        <f>INDEX(연료전지_원본!$A$4:$KY$369,MATCH($A15,연료전지_원본!$A$4:$A$369,0),MATCH($BV$4,연료전지_원본!$A$4:$KY$4,0))</f>
        <v>0</v>
      </c>
      <c r="BW15" s="241">
        <f>INDEX(연료전지_원본!$A$4:$KY$369,MATCH($A15,연료전지_원본!$A$4:$A$369,0),MATCH($BW$4,연료전지_원본!$A$4:$KY$4,0))</f>
        <v>0</v>
      </c>
      <c r="BX15" s="241">
        <f>INDEX(연료전지_원본!$A$4:$KY$369,MATCH($A15,연료전지_원본!$A$4:$A$369,0),MATCH($BX$4,연료전지_원본!$A$4:$KY$4,0))</f>
        <v>0</v>
      </c>
      <c r="BY15" s="241">
        <f>INDEX(연료전지_원본!$A$4:$KY$369,MATCH($A15,연료전지_원본!$A$4:$A$369,0),MATCH($BY$4,연료전지_원본!$A$4:$KY$4,0))</f>
        <v>0</v>
      </c>
      <c r="BZ15" s="241">
        <f>INDEX(연료전지_원본!$A$4:$KY$369,MATCH($A15,연료전지_원본!$A$4:$A$369,0),MATCH($BZ$4,연료전지_원본!$A$4:$KY$4,0))</f>
        <v>0</v>
      </c>
      <c r="CA15" s="241">
        <f>INDEX(연료전지_원본!$A$4:$KY$369,MATCH($A15,연료전지_원본!$A$4:$A$369,0),MATCH($CA$4,연료전지_원본!$A$4:$KY$4,0))</f>
        <v>0</v>
      </c>
      <c r="CB15" s="241">
        <f>INDEX(연료전지_원본!$A$4:$KY$369,MATCH($A15,연료전지_원본!$A$4:$A$369,0),MATCH($CB$4,연료전지_원본!$A$4:$KY$4,0))</f>
        <v>0</v>
      </c>
      <c r="CC15" s="242">
        <f>INDEX(연료전지_원본!$A$4:$KY$369,MATCH($A15,연료전지_원본!$A$4:$A$369,0),MATCH($CC$4,연료전지_원본!$A$4:$KY$4,0))</f>
        <v>0</v>
      </c>
      <c r="CD15" s="250">
        <f>INDEX(연료전지_원본!$KB$4:$KX$369,MATCH($A15,연료전지_원본!$KB$4:$KB$369,0), MATCH(CD$4,연료전지_원본!$KB$4:$KX$4,0))*1000</f>
        <v>0</v>
      </c>
      <c r="CE15" s="250">
        <f>INDEX(연료전지_원본!$KB$4:$KX$369,MATCH($A15,연료전지_원본!$KB$4:$KB$369,0), MATCH(CE$4,연료전지_원본!$KB$4:$KX$4,0))*1000</f>
        <v>0</v>
      </c>
      <c r="CF15" s="250">
        <f>INDEX(연료전지_원본!$KB$4:$KX$369,MATCH($A15,연료전지_원본!$KB$4:$KB$369,0), MATCH(CF$4,연료전지_원본!$KB$4:$KX$4,0))*1000</f>
        <v>0</v>
      </c>
      <c r="CG15" s="250">
        <f>INDEX(연료전지_원본!$KB$4:$KX$369,MATCH($A15,연료전지_원본!$KB$4:$KB$369,0), MATCH(CG$4,연료전지_원본!$KB$4:$KX$4,0))*1000</f>
        <v>0</v>
      </c>
      <c r="CH15" s="250">
        <f>INDEX(연료전지_원본!$KB$4:$KX$369,MATCH($A15,연료전지_원본!$KB$4:$KB$369,0), MATCH(CH$4,연료전지_원본!$KB$4:$KX$4,0))*1000</f>
        <v>0</v>
      </c>
      <c r="CI15" s="250">
        <f>INDEX(연료전지_원본!$KB$4:$KX$369,MATCH($A15,연료전지_원본!$KB$4:$KB$369,0), MATCH(CI$4,연료전지_원본!$KB$4:$KX$4,0))*1000</f>
        <v>0</v>
      </c>
      <c r="CJ15" s="250">
        <f>INDEX(연료전지_원본!$KB$4:$KX$369,MATCH($A15,연료전지_원본!$KB$4:$KB$369,0), MATCH(CJ$4,연료전지_원본!$KB$4:$KX$4,0))*1000</f>
        <v>0</v>
      </c>
      <c r="CK15" s="250">
        <f>INDEX(연료전지_원본!$KB$4:$KX$369,MATCH($A15,연료전지_원본!$KB$4:$KB$369,0), MATCH(CK$4,연료전지_원본!$KB$4:$KX$4,0))*1000</f>
        <v>0</v>
      </c>
      <c r="CL15" s="250">
        <f>INDEX(연료전지_원본!$KB$4:$KX$369,MATCH($A15,연료전지_원본!$KB$4:$KB$369,0), MATCH(CL$4,연료전지_원본!$KB$4:$KX$4,0))*1000</f>
        <v>0</v>
      </c>
      <c r="CM15" s="250">
        <f>INDEX(연료전지_원본!$KB$4:$KX$369,MATCH($A15,연료전지_원본!$KB$4:$KB$369,0), MATCH(CM$4,연료전지_원본!$KB$4:$KX$4,0))*1000</f>
        <v>0</v>
      </c>
      <c r="CN15" s="250">
        <f>INDEX(연료전지_원본!$KB$4:$KX$369,MATCH($A15,연료전지_원본!$KB$4:$KB$369,0), MATCH(CN$4,연료전지_원본!$KB$4:$KX$4,0))*1000</f>
        <v>0</v>
      </c>
      <c r="CO15" s="250">
        <f>INDEX(연료전지_원본!$KB$4:$KX$369,MATCH($A15,연료전지_원본!$KB$4:$KB$369,0), MATCH(CO$4,연료전지_원본!$KB$4:$KX$4,0))*1000</f>
        <v>0</v>
      </c>
      <c r="CP15" s="250">
        <f>INDEX(연료전지_원본!$KB$4:$KX$369,MATCH($A15,연료전지_원본!$KB$4:$KB$369,0), MATCH(CP$4,연료전지_원본!$KB$4:$KX$4,0))*1000</f>
        <v>0</v>
      </c>
      <c r="CQ15" s="250">
        <f>INDEX(연료전지_원본!$KB$4:$KX$369,MATCH($A15,연료전지_원본!$KB$4:$KB$369,0), MATCH(CQ$4,연료전지_원본!$KB$4:$KX$4,0))*1000</f>
        <v>0</v>
      </c>
      <c r="CR15" s="250">
        <f>INDEX(연료전지_원본!$KB$4:$KX$369,MATCH($A15,연료전지_원본!$KB$4:$KB$369,0), MATCH(CR$4,연료전지_원본!$KB$4:$KX$4,0))*1000</f>
        <v>0</v>
      </c>
      <c r="CS15" s="250">
        <f>INDEX(연료전지_원본!$KB$4:$KX$369,MATCH($A15,연료전지_원본!$KB$4:$KB$369,0), MATCH(CS$4,연료전지_원본!$KB$4:$KX$4,0))*1000</f>
        <v>0</v>
      </c>
      <c r="CT15" s="250">
        <f>INDEX(연료전지_원본!$KB$4:$KX$369,MATCH($A15,연료전지_원본!$KB$4:$KB$369,0), MATCH(CT$4,연료전지_원본!$KB$4:$KX$4,0))*1000</f>
        <v>0</v>
      </c>
      <c r="CU15" s="250">
        <f>INDEX(연료전지_원본!$KB$4:$KX$369,MATCH($A15,연료전지_원본!$KB$4:$KB$369,0), MATCH(CU$4,연료전지_원본!$KB$4:$KX$4,0))*1000</f>
        <v>0</v>
      </c>
      <c r="CV15" s="250">
        <f>INDEX(연료전지_원본!$KB$4:$KX$369,MATCH($A15,연료전지_원본!$KB$4:$KB$369,0), MATCH(CV$4,연료전지_원본!$KB$4:$KX$4,0))*1000</f>
        <v>0</v>
      </c>
      <c r="CW15" s="250">
        <f>INDEX(연료전지_원본!$KB$4:$KX$369,MATCH($A15,연료전지_원본!$KB$4:$KB$369,0), MATCH(CW$4,연료전지_원본!$KB$4:$KX$4,0))*1000</f>
        <v>0</v>
      </c>
      <c r="CX15" s="250">
        <f>INDEX(연료전지_원본!$KB$4:$KX$369,MATCH($A15,연료전지_원본!$KB$4:$KB$369,0), MATCH(CX$4,연료전지_원본!$KB$4:$KX$4,0))*1000</f>
        <v>0</v>
      </c>
      <c r="CY15" s="250">
        <f>INDEX(연료전지_원본!$KB$4:$KX$369,MATCH($A15,연료전지_원본!$KB$4:$KB$369,0), MATCH(CY$4,연료전지_원본!$KB$4:$KX$4,0))*1000</f>
        <v>0</v>
      </c>
    </row>
    <row r="16" spans="1:126">
      <c r="A16" s="6">
        <v>46033</v>
      </c>
      <c r="B16" s="15">
        <f>운전실적_원본!B16</f>
        <v>651.20000000000005</v>
      </c>
      <c r="C16" s="16">
        <f t="shared" si="3"/>
        <v>0</v>
      </c>
      <c r="D16" s="9">
        <f>운전실적_원본!C16</f>
        <v>248165</v>
      </c>
      <c r="E16" s="9">
        <f t="shared" si="3"/>
        <v>0</v>
      </c>
      <c r="F16" s="9">
        <f>운전실적_원본!D16</f>
        <v>239914</v>
      </c>
      <c r="G16" s="16">
        <f t="shared" ref="G16" si="89">F16-F15</f>
        <v>43</v>
      </c>
      <c r="H16" s="15">
        <f>운전실적_원본!E16</f>
        <v>17072.48</v>
      </c>
      <c r="I16" s="16">
        <f t="shared" ref="I16" si="90">H16-H15</f>
        <v>3.3999999999978172</v>
      </c>
      <c r="J16" s="15">
        <f>운전실적_원본!F16</f>
        <v>14501.86</v>
      </c>
      <c r="K16" s="16">
        <f t="shared" ref="K16" si="91">J16-J15</f>
        <v>19.860000000000582</v>
      </c>
      <c r="L16" s="15">
        <f>운전실적_원본!G16</f>
        <v>4043.7</v>
      </c>
      <c r="M16" s="31">
        <f t="shared" ref="M16" si="92">L16-L15</f>
        <v>0.79999999999972715</v>
      </c>
      <c r="N16" s="15">
        <f>운전실적_원본!H16</f>
        <v>34167</v>
      </c>
      <c r="O16" s="16">
        <f t="shared" ref="O16" si="93">N16-N15</f>
        <v>71</v>
      </c>
      <c r="P16" s="15">
        <f>운전실적_원본!I16</f>
        <v>16576</v>
      </c>
      <c r="Q16" s="16">
        <f t="shared" ref="Q16" si="94">P16-P15</f>
        <v>116</v>
      </c>
      <c r="R16" s="18">
        <f>운전실적_원본!J16</f>
        <v>33.200000000000003</v>
      </c>
      <c r="S16" s="19">
        <f t="shared" ref="S16" si="95">R16-R15</f>
        <v>-0.35999999999999943</v>
      </c>
      <c r="T16" s="18">
        <f>운전실적_원본!K16</f>
        <v>33.03</v>
      </c>
      <c r="U16" s="19">
        <f t="shared" ref="U16" si="96">T16-T15</f>
        <v>-3.9999999999999147E-2</v>
      </c>
      <c r="V16" s="12">
        <f>운전실적_원본!L16</f>
        <v>8395</v>
      </c>
      <c r="W16" s="16">
        <f t="shared" ref="W16" si="97">V16-V15</f>
        <v>-70</v>
      </c>
      <c r="X16" s="10">
        <f>운전실적_원본!M16</f>
        <v>192423.42000000179</v>
      </c>
      <c r="Y16" s="10">
        <f>운전실적_원본!N16</f>
        <v>33315.149999999907</v>
      </c>
      <c r="Z16" s="10">
        <f>운전실적_원본!O16</f>
        <v>0</v>
      </c>
      <c r="AA16" s="10">
        <f>운전실적_원본!P16</f>
        <v>0</v>
      </c>
      <c r="AB16" s="10">
        <f>운전실적_원본!Q16</f>
        <v>0</v>
      </c>
      <c r="AC16" s="20">
        <f>운전실적_원본!R16</f>
        <v>33315.149999999907</v>
      </c>
      <c r="AD16" s="109">
        <f>운전실적_원본!S16</f>
        <v>24</v>
      </c>
      <c r="AE16" s="110">
        <f>운전실적_원본!T16</f>
        <v>0</v>
      </c>
      <c r="AF16" s="110">
        <f>운전실적_원본!U16</f>
        <v>0</v>
      </c>
      <c r="AG16" s="110">
        <f>운전실적_원본!V16</f>
        <v>0</v>
      </c>
      <c r="AH16" s="109">
        <f t="shared" si="1"/>
        <v>24</v>
      </c>
      <c r="AI16" s="110">
        <f t="shared" si="13"/>
        <v>0</v>
      </c>
      <c r="AJ16" s="110">
        <f>운전실적_원본!Y16</f>
        <v>0</v>
      </c>
      <c r="AK16" s="110">
        <f>운전실적_원본!Z16</f>
        <v>0</v>
      </c>
      <c r="AL16" s="106">
        <v>46033</v>
      </c>
      <c r="AM16" s="105">
        <f t="shared" si="14"/>
        <v>46034</v>
      </c>
      <c r="AN16" s="105"/>
      <c r="AO16" s="105"/>
      <c r="AP16" s="105"/>
      <c r="AQ16" s="108"/>
      <c r="AR16" s="105"/>
      <c r="AS16" s="105"/>
      <c r="AT16" s="102"/>
      <c r="AU16" s="102"/>
      <c r="AV16" s="102"/>
      <c r="AW16" s="102"/>
      <c r="AX16" s="32">
        <f>운전실적_원본!W16</f>
        <v>1246</v>
      </c>
      <c r="AY16" s="11">
        <f>운전실적_원본!X16</f>
        <v>0</v>
      </c>
      <c r="AZ16" s="11">
        <f>운전실적_원본!Y16</f>
        <v>0</v>
      </c>
      <c r="BA16" s="11">
        <f>운전실적_원본!Z16</f>
        <v>0</v>
      </c>
      <c r="BB16" s="11">
        <f>운전실적_원본!AA16</f>
        <v>0</v>
      </c>
      <c r="BC16" s="11">
        <f>운전실적_원본!AB16</f>
        <v>1246</v>
      </c>
      <c r="BD16" s="32">
        <f t="shared" si="15"/>
        <v>51.916666666666664</v>
      </c>
      <c r="BE16" s="11">
        <f t="shared" si="2"/>
        <v>1.0102484270610366</v>
      </c>
      <c r="BF16" s="11" t="str">
        <f t="shared" si="16"/>
        <v>-</v>
      </c>
      <c r="BG16" s="31" t="str">
        <f t="shared" si="0"/>
        <v>-</v>
      </c>
      <c r="BH16" s="241">
        <f>INDEX(연료전지_원본!$A$4:$KY$369,MATCH($A16,연료전지_원본!$A$4:$A$369,0),MATCH($BH$4,연료전지_원본!$A$4:$KY$4,0))</f>
        <v>0</v>
      </c>
      <c r="BI16" s="241">
        <f>INDEX(연료전지_원본!$A$4:$KY$369,MATCH($A16,연료전지_원본!$A$4:$A$369,0),MATCH($BI$4,연료전지_원본!$A$4:$KY$4,0))</f>
        <v>0</v>
      </c>
      <c r="BJ16" s="241">
        <f>INDEX(연료전지_원본!$A$4:$KY$369,MATCH($A16,연료전지_원본!$A$4:$A$369,0),MATCH($BJ$4,연료전지_원본!$A$4:$KY$4,0))</f>
        <v>0</v>
      </c>
      <c r="BK16" s="241">
        <f>INDEX(연료전지_원본!$A$4:$KY$369,MATCH($A16,연료전지_원본!$A$4:$A$369,0),MATCH($BK$4,연료전지_원본!$A$4:$KY$4,0))</f>
        <v>0</v>
      </c>
      <c r="BL16" s="241">
        <f>INDEX(연료전지_원본!$A$4:$KY$369,MATCH($A16,연료전지_원본!$A$4:$A$369,0),MATCH($BL$4,연료전지_원본!$A$4:$KY$4,0))</f>
        <v>0</v>
      </c>
      <c r="BM16" s="241">
        <f>INDEX(연료전지_원본!$A$4:$KY$369,MATCH($A16,연료전지_원본!$A$4:$A$369,0),MATCH($BM$4,연료전지_원본!$A$4:$KY$4,0))</f>
        <v>0</v>
      </c>
      <c r="BN16" s="241">
        <f>INDEX(연료전지_원본!$A$4:$KY$369,MATCH($A16,연료전지_원본!$A$4:$A$369,0),MATCH($BN$4,연료전지_원본!$A$4:$KY$4,0))</f>
        <v>0</v>
      </c>
      <c r="BO16" s="241">
        <f>INDEX(연료전지_원본!$A$4:$KY$369,MATCH($A16,연료전지_원본!$A$4:$A$369,0),MATCH($BO$4,연료전지_원본!$A$4:$KY$4,0))</f>
        <v>0</v>
      </c>
      <c r="BP16" s="241">
        <f>INDEX(연료전지_원본!$A$4:$KY$369,MATCH($A16,연료전지_원본!$A$4:$A$369,0),MATCH($BP$4,연료전지_원본!$A$4:$KY$4,0))</f>
        <v>0</v>
      </c>
      <c r="BQ16" s="241">
        <f>INDEX(연료전지_원본!$A$4:$KY$369,MATCH($A16,연료전지_원본!$A$4:$A$369,0),MATCH($BQ$4,연료전지_원본!$A$4:$KY$4,0))</f>
        <v>0</v>
      </c>
      <c r="BR16" s="241">
        <f>INDEX(연료전지_원본!$A$4:$KY$369,MATCH($A16,연료전지_원본!$A$4:$A$369,0),MATCH($BR$4,연료전지_원본!$A$4:$KY$4,0))</f>
        <v>0</v>
      </c>
      <c r="BS16" s="241">
        <f>INDEX(연료전지_원본!$A$4:$KY$369,MATCH($A16,연료전지_원본!$A$4:$A$369,0),MATCH($BS$4,연료전지_원본!$A$4:$KY$4,0))</f>
        <v>0</v>
      </c>
      <c r="BT16" s="241">
        <f>INDEX(연료전지_원본!$A$4:$KY$369,MATCH($A16,연료전지_원본!$A$4:$A$369,0),MATCH($BT$4,연료전지_원본!$A$4:$KY$4,0))</f>
        <v>0</v>
      </c>
      <c r="BU16" s="241">
        <f>INDEX(연료전지_원본!$A$4:$KY$369,MATCH($A16,연료전지_원본!$A$4:$A$369,0),MATCH($BU$4,연료전지_원본!$A$4:$KY$4,0))</f>
        <v>0</v>
      </c>
      <c r="BV16" s="241">
        <f>INDEX(연료전지_원본!$A$4:$KY$369,MATCH($A16,연료전지_원본!$A$4:$A$369,0),MATCH($BV$4,연료전지_원본!$A$4:$KY$4,0))</f>
        <v>0</v>
      </c>
      <c r="BW16" s="241">
        <f>INDEX(연료전지_원본!$A$4:$KY$369,MATCH($A16,연료전지_원본!$A$4:$A$369,0),MATCH($BW$4,연료전지_원본!$A$4:$KY$4,0))</f>
        <v>0</v>
      </c>
      <c r="BX16" s="241">
        <f>INDEX(연료전지_원본!$A$4:$KY$369,MATCH($A16,연료전지_원본!$A$4:$A$369,0),MATCH($BX$4,연료전지_원본!$A$4:$KY$4,0))</f>
        <v>0</v>
      </c>
      <c r="BY16" s="241">
        <f>INDEX(연료전지_원본!$A$4:$KY$369,MATCH($A16,연료전지_원본!$A$4:$A$369,0),MATCH($BY$4,연료전지_원본!$A$4:$KY$4,0))</f>
        <v>0</v>
      </c>
      <c r="BZ16" s="241">
        <f>INDEX(연료전지_원본!$A$4:$KY$369,MATCH($A16,연료전지_원본!$A$4:$A$369,0),MATCH($BZ$4,연료전지_원본!$A$4:$KY$4,0))</f>
        <v>0</v>
      </c>
      <c r="CA16" s="241">
        <f>INDEX(연료전지_원본!$A$4:$KY$369,MATCH($A16,연료전지_원본!$A$4:$A$369,0),MATCH($CA$4,연료전지_원본!$A$4:$KY$4,0))</f>
        <v>0</v>
      </c>
      <c r="CB16" s="241">
        <f>INDEX(연료전지_원본!$A$4:$KY$369,MATCH($A16,연료전지_원본!$A$4:$A$369,0),MATCH($CB$4,연료전지_원본!$A$4:$KY$4,0))</f>
        <v>0</v>
      </c>
      <c r="CC16" s="242">
        <f>INDEX(연료전지_원본!$A$4:$KY$369,MATCH($A16,연료전지_원본!$A$4:$A$369,0),MATCH($CC$4,연료전지_원본!$A$4:$KY$4,0))</f>
        <v>0</v>
      </c>
      <c r="CD16" s="250">
        <f>INDEX(연료전지_원본!$KB$4:$KX$369,MATCH($A16,연료전지_원본!$KB$4:$KB$369,0), MATCH(CD$4,연료전지_원본!$KB$4:$KX$4,0))*1000</f>
        <v>0</v>
      </c>
      <c r="CE16" s="250">
        <f>INDEX(연료전지_원본!$KB$4:$KX$369,MATCH($A16,연료전지_원본!$KB$4:$KB$369,0), MATCH(CE$4,연료전지_원본!$KB$4:$KX$4,0))*1000</f>
        <v>0</v>
      </c>
      <c r="CF16" s="250">
        <f>INDEX(연료전지_원본!$KB$4:$KX$369,MATCH($A16,연료전지_원본!$KB$4:$KB$369,0), MATCH(CF$4,연료전지_원본!$KB$4:$KX$4,0))*1000</f>
        <v>0</v>
      </c>
      <c r="CG16" s="250">
        <f>INDEX(연료전지_원본!$KB$4:$KX$369,MATCH($A16,연료전지_원본!$KB$4:$KB$369,0), MATCH(CG$4,연료전지_원본!$KB$4:$KX$4,0))*1000</f>
        <v>0</v>
      </c>
      <c r="CH16" s="250">
        <f>INDEX(연료전지_원본!$KB$4:$KX$369,MATCH($A16,연료전지_원본!$KB$4:$KB$369,0), MATCH(CH$4,연료전지_원본!$KB$4:$KX$4,0))*1000</f>
        <v>0</v>
      </c>
      <c r="CI16" s="250">
        <f>INDEX(연료전지_원본!$KB$4:$KX$369,MATCH($A16,연료전지_원본!$KB$4:$KB$369,0), MATCH(CI$4,연료전지_원본!$KB$4:$KX$4,0))*1000</f>
        <v>0</v>
      </c>
      <c r="CJ16" s="250">
        <f>INDEX(연료전지_원본!$KB$4:$KX$369,MATCH($A16,연료전지_원본!$KB$4:$KB$369,0), MATCH(CJ$4,연료전지_원본!$KB$4:$KX$4,0))*1000</f>
        <v>0</v>
      </c>
      <c r="CK16" s="250">
        <f>INDEX(연료전지_원본!$KB$4:$KX$369,MATCH($A16,연료전지_원본!$KB$4:$KB$369,0), MATCH(CK$4,연료전지_원본!$KB$4:$KX$4,0))*1000</f>
        <v>0</v>
      </c>
      <c r="CL16" s="250">
        <f>INDEX(연료전지_원본!$KB$4:$KX$369,MATCH($A16,연료전지_원본!$KB$4:$KB$369,0), MATCH(CL$4,연료전지_원본!$KB$4:$KX$4,0))*1000</f>
        <v>0</v>
      </c>
      <c r="CM16" s="250">
        <f>INDEX(연료전지_원본!$KB$4:$KX$369,MATCH($A16,연료전지_원본!$KB$4:$KB$369,0), MATCH(CM$4,연료전지_원본!$KB$4:$KX$4,0))*1000</f>
        <v>0</v>
      </c>
      <c r="CN16" s="250">
        <f>INDEX(연료전지_원본!$KB$4:$KX$369,MATCH($A16,연료전지_원본!$KB$4:$KB$369,0), MATCH(CN$4,연료전지_원본!$KB$4:$KX$4,0))*1000</f>
        <v>0</v>
      </c>
      <c r="CO16" s="250">
        <f>INDEX(연료전지_원본!$KB$4:$KX$369,MATCH($A16,연료전지_원본!$KB$4:$KB$369,0), MATCH(CO$4,연료전지_원본!$KB$4:$KX$4,0))*1000</f>
        <v>0</v>
      </c>
      <c r="CP16" s="250">
        <f>INDEX(연료전지_원본!$KB$4:$KX$369,MATCH($A16,연료전지_원본!$KB$4:$KB$369,0), MATCH(CP$4,연료전지_원본!$KB$4:$KX$4,0))*1000</f>
        <v>0</v>
      </c>
      <c r="CQ16" s="250">
        <f>INDEX(연료전지_원본!$KB$4:$KX$369,MATCH($A16,연료전지_원본!$KB$4:$KB$369,0), MATCH(CQ$4,연료전지_원본!$KB$4:$KX$4,0))*1000</f>
        <v>0</v>
      </c>
      <c r="CR16" s="250">
        <f>INDEX(연료전지_원본!$KB$4:$KX$369,MATCH($A16,연료전지_원본!$KB$4:$KB$369,0), MATCH(CR$4,연료전지_원본!$KB$4:$KX$4,0))*1000</f>
        <v>0</v>
      </c>
      <c r="CS16" s="250">
        <f>INDEX(연료전지_원본!$KB$4:$KX$369,MATCH($A16,연료전지_원본!$KB$4:$KB$369,0), MATCH(CS$4,연료전지_원본!$KB$4:$KX$4,0))*1000</f>
        <v>0</v>
      </c>
      <c r="CT16" s="250">
        <f>INDEX(연료전지_원본!$KB$4:$KX$369,MATCH($A16,연료전지_원본!$KB$4:$KB$369,0), MATCH(CT$4,연료전지_원본!$KB$4:$KX$4,0))*1000</f>
        <v>0</v>
      </c>
      <c r="CU16" s="250">
        <f>INDEX(연료전지_원본!$KB$4:$KX$369,MATCH($A16,연료전지_원본!$KB$4:$KB$369,0), MATCH(CU$4,연료전지_원본!$KB$4:$KX$4,0))*1000</f>
        <v>0</v>
      </c>
      <c r="CV16" s="250">
        <f>INDEX(연료전지_원본!$KB$4:$KX$369,MATCH($A16,연료전지_원본!$KB$4:$KB$369,0), MATCH(CV$4,연료전지_원본!$KB$4:$KX$4,0))*1000</f>
        <v>0</v>
      </c>
      <c r="CW16" s="250">
        <f>INDEX(연료전지_원본!$KB$4:$KX$369,MATCH($A16,연료전지_원본!$KB$4:$KB$369,0), MATCH(CW$4,연료전지_원본!$KB$4:$KX$4,0))*1000</f>
        <v>0</v>
      </c>
      <c r="CX16" s="250">
        <f>INDEX(연료전지_원본!$KB$4:$KX$369,MATCH($A16,연료전지_원본!$KB$4:$KB$369,0), MATCH(CX$4,연료전지_원본!$KB$4:$KX$4,0))*1000</f>
        <v>0</v>
      </c>
      <c r="CY16" s="250">
        <f>INDEX(연료전지_원본!$KB$4:$KX$369,MATCH($A16,연료전지_원본!$KB$4:$KB$369,0), MATCH(CY$4,연료전지_원본!$KB$4:$KX$4,0))*1000</f>
        <v>0</v>
      </c>
    </row>
    <row r="17" spans="1:103">
      <c r="A17" s="6">
        <v>46034</v>
      </c>
      <c r="B17" s="15">
        <f>운전실적_원본!B17</f>
        <v>651.20000000000005</v>
      </c>
      <c r="C17" s="16">
        <f t="shared" si="3"/>
        <v>0</v>
      </c>
      <c r="D17" s="9">
        <f>운전실적_원본!C17</f>
        <v>248210</v>
      </c>
      <c r="E17" s="9">
        <f t="shared" si="3"/>
        <v>45</v>
      </c>
      <c r="F17" s="9">
        <f>운전실적_원본!D17</f>
        <v>239961</v>
      </c>
      <c r="G17" s="16">
        <f t="shared" ref="G17" si="98">F17-F16</f>
        <v>47</v>
      </c>
      <c r="H17" s="15">
        <f>운전실적_원본!E17</f>
        <v>17077.46</v>
      </c>
      <c r="I17" s="16">
        <f t="shared" ref="I17" si="99">H17-H16</f>
        <v>4.9799999999995634</v>
      </c>
      <c r="J17" s="15">
        <f>운전실적_원본!F17</f>
        <v>14520.93</v>
      </c>
      <c r="K17" s="16">
        <f t="shared" ref="K17" si="100">J17-J16</f>
        <v>19.069999999999709</v>
      </c>
      <c r="L17" s="15">
        <f>운전실적_원본!G17</f>
        <v>4044.7</v>
      </c>
      <c r="M17" s="31">
        <f t="shared" ref="M17" si="101">L17-L16</f>
        <v>1</v>
      </c>
      <c r="N17" s="15">
        <f>운전실적_원본!H17</f>
        <v>34316</v>
      </c>
      <c r="O17" s="16">
        <f t="shared" ref="O17" si="102">N17-N16</f>
        <v>149</v>
      </c>
      <c r="P17" s="15">
        <f>운전실적_원본!I17</f>
        <v>16749</v>
      </c>
      <c r="Q17" s="16">
        <f t="shared" ref="Q17" si="103">P17-P16</f>
        <v>173</v>
      </c>
      <c r="R17" s="18">
        <f>운전실적_원본!J17</f>
        <v>33.29</v>
      </c>
      <c r="S17" s="19">
        <f t="shared" ref="S17" si="104">R17-R16</f>
        <v>8.9999999999996305E-2</v>
      </c>
      <c r="T17" s="18">
        <f>운전실적_원본!K17</f>
        <v>33.14</v>
      </c>
      <c r="U17" s="19">
        <f t="shared" ref="U17" si="105">T17-T16</f>
        <v>0.10999999999999943</v>
      </c>
      <c r="V17" s="12">
        <f>운전실적_원본!L17</f>
        <v>8330</v>
      </c>
      <c r="W17" s="16">
        <f t="shared" ref="W17" si="106">V17-V16</f>
        <v>-65</v>
      </c>
      <c r="X17" s="10">
        <f>운전실적_원본!M17</f>
        <v>197392.46999999881</v>
      </c>
      <c r="Y17" s="10">
        <f>운전실적_원본!N17</f>
        <v>0</v>
      </c>
      <c r="Z17" s="10">
        <f>운전실적_원본!O17</f>
        <v>0</v>
      </c>
      <c r="AA17" s="10">
        <f>운전실적_원본!P17</f>
        <v>0</v>
      </c>
      <c r="AB17" s="10">
        <f>운전실적_원본!Q17</f>
        <v>0</v>
      </c>
      <c r="AC17" s="20">
        <f>운전실적_원본!R17</f>
        <v>0</v>
      </c>
      <c r="AD17" s="109">
        <f>운전실적_원본!S17</f>
        <v>24</v>
      </c>
      <c r="AE17" s="110">
        <f>운전실적_원본!T17</f>
        <v>6</v>
      </c>
      <c r="AF17" s="110">
        <f>운전실적_원본!U17</f>
        <v>0</v>
      </c>
      <c r="AG17" s="110">
        <f>운전실적_원본!V17</f>
        <v>0</v>
      </c>
      <c r="AH17" s="109">
        <f t="shared" si="1"/>
        <v>24</v>
      </c>
      <c r="AI17" s="110">
        <f t="shared" si="13"/>
        <v>5.3333333332557231</v>
      </c>
      <c r="AJ17" s="110">
        <f>운전실적_원본!Y17</f>
        <v>0</v>
      </c>
      <c r="AK17" s="110">
        <f>운전실적_원본!Z17</f>
        <v>0</v>
      </c>
      <c r="AL17" s="106">
        <v>46034</v>
      </c>
      <c r="AM17" s="105">
        <f t="shared" si="14"/>
        <v>46035</v>
      </c>
      <c r="AN17" s="105"/>
      <c r="AO17" s="105"/>
      <c r="AP17" s="105"/>
      <c r="AQ17" s="108"/>
      <c r="AR17" s="105">
        <v>46034.201388888891</v>
      </c>
      <c r="AS17" s="105">
        <v>46034.423611111109</v>
      </c>
      <c r="AT17" s="102"/>
      <c r="AU17" s="102"/>
      <c r="AV17" s="102"/>
      <c r="AW17" s="102"/>
      <c r="AX17" s="32">
        <f>운전실적_원본!W17</f>
        <v>1243</v>
      </c>
      <c r="AY17" s="11">
        <f>운전실적_원본!X17</f>
        <v>292</v>
      </c>
      <c r="AZ17" s="11">
        <f>운전실적_원본!Y17</f>
        <v>0</v>
      </c>
      <c r="BA17" s="11">
        <f>운전실적_원본!Z17</f>
        <v>0</v>
      </c>
      <c r="BB17" s="11">
        <f>운전실적_원본!AA17</f>
        <v>292</v>
      </c>
      <c r="BC17" s="11">
        <f>운전실적_원본!AB17</f>
        <v>1535</v>
      </c>
      <c r="BD17" s="32">
        <f t="shared" si="15"/>
        <v>51.791666666666664</v>
      </c>
      <c r="BE17" s="11">
        <f t="shared" si="2"/>
        <v>1.0078160472206006</v>
      </c>
      <c r="BF17" s="11">
        <f t="shared" si="16"/>
        <v>48.666666666666664</v>
      </c>
      <c r="BG17" s="31">
        <f t="shared" si="0"/>
        <v>0.70736434108527135</v>
      </c>
      <c r="BH17" s="241">
        <f>INDEX(연료전지_원본!$A$4:$KY$369,MATCH($A17,연료전지_원본!$A$4:$A$369,0),MATCH($BH$4,연료전지_원본!$A$4:$KY$4,0))</f>
        <v>0</v>
      </c>
      <c r="BI17" s="241">
        <f>INDEX(연료전지_원본!$A$4:$KY$369,MATCH($A17,연료전지_원본!$A$4:$A$369,0),MATCH($BI$4,연료전지_원본!$A$4:$KY$4,0))</f>
        <v>0</v>
      </c>
      <c r="BJ17" s="241">
        <f>INDEX(연료전지_원본!$A$4:$KY$369,MATCH($A17,연료전지_원본!$A$4:$A$369,0),MATCH($BJ$4,연료전지_원본!$A$4:$KY$4,0))</f>
        <v>0</v>
      </c>
      <c r="BK17" s="241">
        <f>INDEX(연료전지_원본!$A$4:$KY$369,MATCH($A17,연료전지_원본!$A$4:$A$369,0),MATCH($BK$4,연료전지_원본!$A$4:$KY$4,0))</f>
        <v>0</v>
      </c>
      <c r="BL17" s="241">
        <f>INDEX(연료전지_원본!$A$4:$KY$369,MATCH($A17,연료전지_원본!$A$4:$A$369,0),MATCH($BL$4,연료전지_원본!$A$4:$KY$4,0))</f>
        <v>0</v>
      </c>
      <c r="BM17" s="241">
        <f>INDEX(연료전지_원본!$A$4:$KY$369,MATCH($A17,연료전지_원본!$A$4:$A$369,0),MATCH($BM$4,연료전지_원본!$A$4:$KY$4,0))</f>
        <v>0</v>
      </c>
      <c r="BN17" s="241">
        <f>INDEX(연료전지_원본!$A$4:$KY$369,MATCH($A17,연료전지_원본!$A$4:$A$369,0),MATCH($BN$4,연료전지_원본!$A$4:$KY$4,0))</f>
        <v>0</v>
      </c>
      <c r="BO17" s="241">
        <f>INDEX(연료전지_원본!$A$4:$KY$369,MATCH($A17,연료전지_원본!$A$4:$A$369,0),MATCH($BO$4,연료전지_원본!$A$4:$KY$4,0))</f>
        <v>0</v>
      </c>
      <c r="BP17" s="241">
        <f>INDEX(연료전지_원본!$A$4:$KY$369,MATCH($A17,연료전지_원본!$A$4:$A$369,0),MATCH($BP$4,연료전지_원본!$A$4:$KY$4,0))</f>
        <v>0</v>
      </c>
      <c r="BQ17" s="241">
        <f>INDEX(연료전지_원본!$A$4:$KY$369,MATCH($A17,연료전지_원본!$A$4:$A$369,0),MATCH($BQ$4,연료전지_원본!$A$4:$KY$4,0))</f>
        <v>0</v>
      </c>
      <c r="BR17" s="241">
        <f>INDEX(연료전지_원본!$A$4:$KY$369,MATCH($A17,연료전지_원본!$A$4:$A$369,0),MATCH($BR$4,연료전지_원본!$A$4:$KY$4,0))</f>
        <v>0</v>
      </c>
      <c r="BS17" s="241">
        <f>INDEX(연료전지_원본!$A$4:$KY$369,MATCH($A17,연료전지_원본!$A$4:$A$369,0),MATCH($BS$4,연료전지_원본!$A$4:$KY$4,0))</f>
        <v>0</v>
      </c>
      <c r="BT17" s="241">
        <f>INDEX(연료전지_원본!$A$4:$KY$369,MATCH($A17,연료전지_원본!$A$4:$A$369,0),MATCH($BT$4,연료전지_원본!$A$4:$KY$4,0))</f>
        <v>0</v>
      </c>
      <c r="BU17" s="241">
        <f>INDEX(연료전지_원본!$A$4:$KY$369,MATCH($A17,연료전지_원본!$A$4:$A$369,0),MATCH($BU$4,연료전지_원본!$A$4:$KY$4,0))</f>
        <v>0</v>
      </c>
      <c r="BV17" s="241">
        <f>INDEX(연료전지_원본!$A$4:$KY$369,MATCH($A17,연료전지_원본!$A$4:$A$369,0),MATCH($BV$4,연료전지_원본!$A$4:$KY$4,0))</f>
        <v>0</v>
      </c>
      <c r="BW17" s="241">
        <f>INDEX(연료전지_원본!$A$4:$KY$369,MATCH($A17,연료전지_원본!$A$4:$A$369,0),MATCH($BW$4,연료전지_원본!$A$4:$KY$4,0))</f>
        <v>0</v>
      </c>
      <c r="BX17" s="241">
        <f>INDEX(연료전지_원본!$A$4:$KY$369,MATCH($A17,연료전지_원본!$A$4:$A$369,0),MATCH($BX$4,연료전지_원본!$A$4:$KY$4,0))</f>
        <v>0</v>
      </c>
      <c r="BY17" s="241">
        <f>INDEX(연료전지_원본!$A$4:$KY$369,MATCH($A17,연료전지_원본!$A$4:$A$369,0),MATCH($BY$4,연료전지_원본!$A$4:$KY$4,0))</f>
        <v>0</v>
      </c>
      <c r="BZ17" s="241">
        <f>INDEX(연료전지_원본!$A$4:$KY$369,MATCH($A17,연료전지_원본!$A$4:$A$369,0),MATCH($BZ$4,연료전지_원본!$A$4:$KY$4,0))</f>
        <v>0</v>
      </c>
      <c r="CA17" s="241">
        <f>INDEX(연료전지_원본!$A$4:$KY$369,MATCH($A17,연료전지_원본!$A$4:$A$369,0),MATCH($CA$4,연료전지_원본!$A$4:$KY$4,0))</f>
        <v>0</v>
      </c>
      <c r="CB17" s="241">
        <f>INDEX(연료전지_원본!$A$4:$KY$369,MATCH($A17,연료전지_원본!$A$4:$A$369,0),MATCH($CB$4,연료전지_원본!$A$4:$KY$4,0))</f>
        <v>0</v>
      </c>
      <c r="CC17" s="242">
        <f>INDEX(연료전지_원본!$A$4:$KY$369,MATCH($A17,연료전지_원본!$A$4:$A$369,0),MATCH($CC$4,연료전지_원본!$A$4:$KY$4,0))</f>
        <v>0</v>
      </c>
      <c r="CD17" s="250">
        <f>INDEX(연료전지_원본!$KB$4:$KX$369,MATCH($A17,연료전지_원본!$KB$4:$KB$369,0), MATCH(CD$4,연료전지_원본!$KB$4:$KX$4,0))*1000</f>
        <v>0</v>
      </c>
      <c r="CE17" s="250">
        <f>INDEX(연료전지_원본!$KB$4:$KX$369,MATCH($A17,연료전지_원본!$KB$4:$KB$369,0), MATCH(CE$4,연료전지_원본!$KB$4:$KX$4,0))*1000</f>
        <v>0</v>
      </c>
      <c r="CF17" s="250">
        <f>INDEX(연료전지_원본!$KB$4:$KX$369,MATCH($A17,연료전지_원본!$KB$4:$KB$369,0), MATCH(CF$4,연료전지_원본!$KB$4:$KX$4,0))*1000</f>
        <v>0</v>
      </c>
      <c r="CG17" s="250">
        <f>INDEX(연료전지_원본!$KB$4:$KX$369,MATCH($A17,연료전지_원본!$KB$4:$KB$369,0), MATCH(CG$4,연료전지_원본!$KB$4:$KX$4,0))*1000</f>
        <v>0</v>
      </c>
      <c r="CH17" s="250">
        <f>INDEX(연료전지_원본!$KB$4:$KX$369,MATCH($A17,연료전지_원본!$KB$4:$KB$369,0), MATCH(CH$4,연료전지_원본!$KB$4:$KX$4,0))*1000</f>
        <v>0</v>
      </c>
      <c r="CI17" s="250">
        <f>INDEX(연료전지_원본!$KB$4:$KX$369,MATCH($A17,연료전지_원본!$KB$4:$KB$369,0), MATCH(CI$4,연료전지_원본!$KB$4:$KX$4,0))*1000</f>
        <v>0</v>
      </c>
      <c r="CJ17" s="250">
        <f>INDEX(연료전지_원본!$KB$4:$KX$369,MATCH($A17,연료전지_원본!$KB$4:$KB$369,0), MATCH(CJ$4,연료전지_원본!$KB$4:$KX$4,0))*1000</f>
        <v>0</v>
      </c>
      <c r="CK17" s="250">
        <f>INDEX(연료전지_원본!$KB$4:$KX$369,MATCH($A17,연료전지_원본!$KB$4:$KB$369,0), MATCH(CK$4,연료전지_원본!$KB$4:$KX$4,0))*1000</f>
        <v>0</v>
      </c>
      <c r="CL17" s="250">
        <f>INDEX(연료전지_원본!$KB$4:$KX$369,MATCH($A17,연료전지_원본!$KB$4:$KB$369,0), MATCH(CL$4,연료전지_원본!$KB$4:$KX$4,0))*1000</f>
        <v>0</v>
      </c>
      <c r="CM17" s="250">
        <f>INDEX(연료전지_원본!$KB$4:$KX$369,MATCH($A17,연료전지_원본!$KB$4:$KB$369,0), MATCH(CM$4,연료전지_원본!$KB$4:$KX$4,0))*1000</f>
        <v>0</v>
      </c>
      <c r="CN17" s="250">
        <f>INDEX(연료전지_원본!$KB$4:$KX$369,MATCH($A17,연료전지_원본!$KB$4:$KB$369,0), MATCH(CN$4,연료전지_원본!$KB$4:$KX$4,0))*1000</f>
        <v>0</v>
      </c>
      <c r="CO17" s="250">
        <f>INDEX(연료전지_원본!$KB$4:$KX$369,MATCH($A17,연료전지_원본!$KB$4:$KB$369,0), MATCH(CO$4,연료전지_원본!$KB$4:$KX$4,0))*1000</f>
        <v>0</v>
      </c>
      <c r="CP17" s="250">
        <f>INDEX(연료전지_원본!$KB$4:$KX$369,MATCH($A17,연료전지_원본!$KB$4:$KB$369,0), MATCH(CP$4,연료전지_원본!$KB$4:$KX$4,0))*1000</f>
        <v>0</v>
      </c>
      <c r="CQ17" s="250">
        <f>INDEX(연료전지_원본!$KB$4:$KX$369,MATCH($A17,연료전지_원본!$KB$4:$KB$369,0), MATCH(CQ$4,연료전지_원본!$KB$4:$KX$4,0))*1000</f>
        <v>0</v>
      </c>
      <c r="CR17" s="250">
        <f>INDEX(연료전지_원본!$KB$4:$KX$369,MATCH($A17,연료전지_원본!$KB$4:$KB$369,0), MATCH(CR$4,연료전지_원본!$KB$4:$KX$4,0))*1000</f>
        <v>0</v>
      </c>
      <c r="CS17" s="250">
        <f>INDEX(연료전지_원본!$KB$4:$KX$369,MATCH($A17,연료전지_원본!$KB$4:$KB$369,0), MATCH(CS$4,연료전지_원본!$KB$4:$KX$4,0))*1000</f>
        <v>0</v>
      </c>
      <c r="CT17" s="250">
        <f>INDEX(연료전지_원본!$KB$4:$KX$369,MATCH($A17,연료전지_원본!$KB$4:$KB$369,0), MATCH(CT$4,연료전지_원본!$KB$4:$KX$4,0))*1000</f>
        <v>0</v>
      </c>
      <c r="CU17" s="250">
        <f>INDEX(연료전지_원본!$KB$4:$KX$369,MATCH($A17,연료전지_원본!$KB$4:$KB$369,0), MATCH(CU$4,연료전지_원본!$KB$4:$KX$4,0))*1000</f>
        <v>0</v>
      </c>
      <c r="CV17" s="250">
        <f>INDEX(연료전지_원본!$KB$4:$KX$369,MATCH($A17,연료전지_원본!$KB$4:$KB$369,0), MATCH(CV$4,연료전지_원본!$KB$4:$KX$4,0))*1000</f>
        <v>0</v>
      </c>
      <c r="CW17" s="250">
        <f>INDEX(연료전지_원본!$KB$4:$KX$369,MATCH($A17,연료전지_원본!$KB$4:$KB$369,0), MATCH(CW$4,연료전지_원본!$KB$4:$KX$4,0))*1000</f>
        <v>0</v>
      </c>
      <c r="CX17" s="250">
        <f>INDEX(연료전지_원본!$KB$4:$KX$369,MATCH($A17,연료전지_원본!$KB$4:$KB$369,0), MATCH(CX$4,연료전지_원본!$KB$4:$KX$4,0))*1000</f>
        <v>0</v>
      </c>
      <c r="CY17" s="250">
        <f>INDEX(연료전지_원본!$KB$4:$KX$369,MATCH($A17,연료전지_원본!$KB$4:$KB$369,0), MATCH(CY$4,연료전지_원본!$KB$4:$KX$4,0))*1000</f>
        <v>0</v>
      </c>
    </row>
    <row r="18" spans="1:103">
      <c r="A18" s="6">
        <v>46035</v>
      </c>
      <c r="B18" s="15">
        <f>운전실적_원본!B18</f>
        <v>651.20000000000005</v>
      </c>
      <c r="C18" s="16">
        <f t="shared" si="3"/>
        <v>0</v>
      </c>
      <c r="D18" s="9">
        <f>운전실적_원본!C18</f>
        <v>248263</v>
      </c>
      <c r="E18" s="9">
        <f t="shared" si="3"/>
        <v>53</v>
      </c>
      <c r="F18" s="9">
        <f>운전실적_원본!D18</f>
        <v>239961</v>
      </c>
      <c r="G18" s="16">
        <f t="shared" ref="G18" si="107">F18-F17</f>
        <v>0</v>
      </c>
      <c r="H18" s="15">
        <f>운전실적_원본!E18</f>
        <v>17083.02</v>
      </c>
      <c r="I18" s="16">
        <f t="shared" ref="I18" si="108">H18-H17</f>
        <v>5.5600000000013097</v>
      </c>
      <c r="J18" s="15">
        <f>운전실적_원본!F18</f>
        <v>14542.57</v>
      </c>
      <c r="K18" s="16">
        <f t="shared" ref="K18" si="109">J18-J17</f>
        <v>21.639999999999418</v>
      </c>
      <c r="L18" s="15">
        <f>운전실적_원본!G18</f>
        <v>4045.3</v>
      </c>
      <c r="M18" s="31">
        <f t="shared" ref="M18" si="110">L18-L17</f>
        <v>0.6000000000003638</v>
      </c>
      <c r="N18" s="15">
        <f>운전실적_원본!H18</f>
        <v>34379</v>
      </c>
      <c r="O18" s="16">
        <f t="shared" ref="O18" si="111">N18-N17</f>
        <v>63</v>
      </c>
      <c r="P18" s="15">
        <f>운전실적_원본!I18</f>
        <v>16906</v>
      </c>
      <c r="Q18" s="16">
        <f t="shared" ref="Q18" si="112">P18-P17</f>
        <v>157</v>
      </c>
      <c r="R18" s="18">
        <f>운전실적_원본!J18</f>
        <v>33.18</v>
      </c>
      <c r="S18" s="19">
        <f t="shared" ref="S18" si="113">R18-R17</f>
        <v>-0.10999999999999943</v>
      </c>
      <c r="T18" s="18">
        <f>운전실적_원본!K18</f>
        <v>33.04</v>
      </c>
      <c r="U18" s="19">
        <f t="shared" ref="U18" si="114">T18-T17</f>
        <v>-0.10000000000000142</v>
      </c>
      <c r="V18" s="12">
        <f>운전실적_원본!L18</f>
        <v>8136</v>
      </c>
      <c r="W18" s="16">
        <f t="shared" ref="W18" si="115">V18-V17</f>
        <v>-194</v>
      </c>
      <c r="X18" s="10">
        <f>운전실적_원본!M18</f>
        <v>196359.94999999553</v>
      </c>
      <c r="Y18" s="10">
        <f>운전실적_원본!N18</f>
        <v>0</v>
      </c>
      <c r="Z18" s="10">
        <f>운전실적_원본!O18</f>
        <v>0</v>
      </c>
      <c r="AA18" s="10">
        <f>운전실적_원본!P18</f>
        <v>0</v>
      </c>
      <c r="AB18" s="10">
        <f>운전실적_원본!Q18</f>
        <v>0</v>
      </c>
      <c r="AC18" s="20">
        <f>운전실적_원본!R18</f>
        <v>0</v>
      </c>
      <c r="AD18" s="109">
        <f>운전실적_원본!S18</f>
        <v>24</v>
      </c>
      <c r="AE18" s="110">
        <f>운전실적_원본!T18</f>
        <v>0</v>
      </c>
      <c r="AF18" s="110">
        <f>운전실적_원본!U18</f>
        <v>0</v>
      </c>
      <c r="AG18" s="110">
        <f>운전실적_원본!V18</f>
        <v>0</v>
      </c>
      <c r="AH18" s="109">
        <f t="shared" si="1"/>
        <v>24</v>
      </c>
      <c r="AI18" s="110">
        <f t="shared" si="13"/>
        <v>0</v>
      </c>
      <c r="AJ18" s="110">
        <f>운전실적_원본!Y18</f>
        <v>0</v>
      </c>
      <c r="AK18" s="110">
        <f>운전실적_원본!Z18</f>
        <v>0</v>
      </c>
      <c r="AL18" s="106">
        <v>46035</v>
      </c>
      <c r="AM18" s="105">
        <f t="shared" si="14"/>
        <v>46036</v>
      </c>
      <c r="AN18" s="105"/>
      <c r="AO18" s="105"/>
      <c r="AP18" s="105"/>
      <c r="AQ18" s="108"/>
      <c r="AR18" s="105"/>
      <c r="AS18" s="105"/>
      <c r="AT18" s="102"/>
      <c r="AU18" s="102"/>
      <c r="AV18" s="102"/>
      <c r="AW18" s="102"/>
      <c r="AX18" s="32">
        <f>운전실적_원본!W18</f>
        <v>1248</v>
      </c>
      <c r="AY18" s="11">
        <f>운전실적_원본!X18</f>
        <v>0</v>
      </c>
      <c r="AZ18" s="11">
        <f>운전실적_원본!Y18</f>
        <v>0</v>
      </c>
      <c r="BA18" s="11">
        <f>운전실적_원본!Z18</f>
        <v>0</v>
      </c>
      <c r="BB18" s="11">
        <f>운전실적_원본!AA18</f>
        <v>0</v>
      </c>
      <c r="BC18" s="11">
        <f>운전실적_원본!AB18</f>
        <v>1248</v>
      </c>
      <c r="BD18" s="32">
        <f t="shared" si="15"/>
        <v>52</v>
      </c>
      <c r="BE18" s="11">
        <f t="shared" si="2"/>
        <v>1.011870013621327</v>
      </c>
      <c r="BF18" s="11" t="str">
        <f t="shared" si="16"/>
        <v>-</v>
      </c>
      <c r="BG18" s="31" t="str">
        <f t="shared" si="0"/>
        <v>-</v>
      </c>
      <c r="BH18" s="241">
        <f>INDEX(연료전지_원본!$A$4:$KY$369,MATCH($A18,연료전지_원본!$A$4:$A$369,0),MATCH($BH$4,연료전지_원본!$A$4:$KY$4,0))</f>
        <v>18</v>
      </c>
      <c r="BI18" s="241">
        <f>INDEX(연료전지_원본!$A$4:$KY$369,MATCH($A18,연료전지_원본!$A$4:$A$369,0),MATCH($BI$4,연료전지_원본!$A$4:$KY$4,0))</f>
        <v>18</v>
      </c>
      <c r="BJ18" s="241">
        <f>INDEX(연료전지_원본!$A$4:$KY$369,MATCH($A18,연료전지_원본!$A$4:$A$369,0),MATCH($BJ$4,연료전지_원본!$A$4:$KY$4,0))</f>
        <v>18</v>
      </c>
      <c r="BK18" s="241">
        <f>INDEX(연료전지_원본!$A$4:$KY$369,MATCH($A18,연료전지_원본!$A$4:$A$369,0),MATCH($BK$4,연료전지_원본!$A$4:$KY$4,0))</f>
        <v>18</v>
      </c>
      <c r="BL18" s="241">
        <f>INDEX(연료전지_원본!$A$4:$KY$369,MATCH($A18,연료전지_원본!$A$4:$A$369,0),MATCH($BL$4,연료전지_원본!$A$4:$KY$4,0))</f>
        <v>18</v>
      </c>
      <c r="BM18" s="241">
        <f>INDEX(연료전지_원본!$A$4:$KY$369,MATCH($A18,연료전지_원본!$A$4:$A$369,0),MATCH($BM$4,연료전지_원본!$A$4:$KY$4,0))</f>
        <v>18</v>
      </c>
      <c r="BN18" s="241">
        <f>INDEX(연료전지_원본!$A$4:$KY$369,MATCH($A18,연료전지_원본!$A$4:$A$369,0),MATCH($BN$4,연료전지_원본!$A$4:$KY$4,0))</f>
        <v>18</v>
      </c>
      <c r="BO18" s="241">
        <f>INDEX(연료전지_원본!$A$4:$KY$369,MATCH($A18,연료전지_원본!$A$4:$A$369,0),MATCH($BO$4,연료전지_원본!$A$4:$KY$4,0))</f>
        <v>18</v>
      </c>
      <c r="BP18" s="241">
        <f>INDEX(연료전지_원본!$A$4:$KY$369,MATCH($A18,연료전지_원본!$A$4:$A$369,0),MATCH($BP$4,연료전지_원본!$A$4:$KY$4,0))</f>
        <v>18</v>
      </c>
      <c r="BQ18" s="241">
        <f>INDEX(연료전지_원본!$A$4:$KY$369,MATCH($A18,연료전지_원본!$A$4:$A$369,0),MATCH($BQ$4,연료전지_원본!$A$4:$KY$4,0))</f>
        <v>18</v>
      </c>
      <c r="BR18" s="241">
        <f>INDEX(연료전지_원본!$A$4:$KY$369,MATCH($A18,연료전지_원본!$A$4:$A$369,0),MATCH($BR$4,연료전지_원본!$A$4:$KY$4,0))</f>
        <v>0</v>
      </c>
      <c r="BS18" s="241">
        <f>INDEX(연료전지_원본!$A$4:$KY$369,MATCH($A18,연료전지_원본!$A$4:$A$369,0),MATCH($BS$4,연료전지_원본!$A$4:$KY$4,0))</f>
        <v>0</v>
      </c>
      <c r="BT18" s="241">
        <f>INDEX(연료전지_원본!$A$4:$KY$369,MATCH($A18,연료전지_원본!$A$4:$A$369,0),MATCH($BT$4,연료전지_원본!$A$4:$KY$4,0))</f>
        <v>0</v>
      </c>
      <c r="BU18" s="241">
        <f>INDEX(연료전지_원본!$A$4:$KY$369,MATCH($A18,연료전지_원본!$A$4:$A$369,0),MATCH($BU$4,연료전지_원본!$A$4:$KY$4,0))</f>
        <v>0</v>
      </c>
      <c r="BV18" s="241">
        <f>INDEX(연료전지_원본!$A$4:$KY$369,MATCH($A18,연료전지_원본!$A$4:$A$369,0),MATCH($BV$4,연료전지_원본!$A$4:$KY$4,0))</f>
        <v>0</v>
      </c>
      <c r="BW18" s="241">
        <f>INDEX(연료전지_원본!$A$4:$KY$369,MATCH($A18,연료전지_원본!$A$4:$A$369,0),MATCH($BW$4,연료전지_원본!$A$4:$KY$4,0))</f>
        <v>0</v>
      </c>
      <c r="BX18" s="241">
        <f>INDEX(연료전지_원본!$A$4:$KY$369,MATCH($A18,연료전지_원본!$A$4:$A$369,0),MATCH($BX$4,연료전지_원본!$A$4:$KY$4,0))</f>
        <v>0</v>
      </c>
      <c r="BY18" s="241">
        <f>INDEX(연료전지_원본!$A$4:$KY$369,MATCH($A18,연료전지_원본!$A$4:$A$369,0),MATCH($BY$4,연료전지_원본!$A$4:$KY$4,0))</f>
        <v>0</v>
      </c>
      <c r="BZ18" s="241">
        <f>INDEX(연료전지_원본!$A$4:$KY$369,MATCH($A18,연료전지_원본!$A$4:$A$369,0),MATCH($BZ$4,연료전지_원본!$A$4:$KY$4,0))</f>
        <v>0</v>
      </c>
      <c r="CA18" s="241">
        <f>INDEX(연료전지_원본!$A$4:$KY$369,MATCH($A18,연료전지_원본!$A$4:$A$369,0),MATCH($CA$4,연료전지_원본!$A$4:$KY$4,0))</f>
        <v>0</v>
      </c>
      <c r="CB18" s="241">
        <f>INDEX(연료전지_원본!$A$4:$KY$369,MATCH($A18,연료전지_원본!$A$4:$A$369,0),MATCH($CB$4,연료전지_원본!$A$4:$KY$4,0))</f>
        <v>0</v>
      </c>
      <c r="CC18" s="242">
        <f>INDEX(연료전지_원본!$A$4:$KY$369,MATCH($A18,연료전지_원본!$A$4:$A$369,0),MATCH($CC$4,연료전지_원본!$A$4:$KY$4,0))</f>
        <v>0</v>
      </c>
      <c r="CD18" s="250">
        <f>INDEX(연료전지_원본!$KB$4:$KX$369,MATCH($A18,연료전지_원본!$KB$4:$KB$369,0), MATCH(CD$4,연료전지_원본!$KB$4:$KX$4,0))*1000</f>
        <v>1578.2</v>
      </c>
      <c r="CE18" s="250">
        <f>INDEX(연료전지_원본!$KB$4:$KX$369,MATCH($A18,연료전지_원본!$KB$4:$KB$369,0), MATCH(CE$4,연료전지_원본!$KB$4:$KX$4,0))*1000</f>
        <v>1578.2</v>
      </c>
      <c r="CF18" s="250">
        <f>INDEX(연료전지_원본!$KB$4:$KX$369,MATCH($A18,연료전지_원본!$KB$4:$KB$369,0), MATCH(CF$4,연료전지_원본!$KB$4:$KX$4,0))*1000</f>
        <v>1578.2</v>
      </c>
      <c r="CG18" s="250">
        <f>INDEX(연료전지_원본!$KB$4:$KX$369,MATCH($A18,연료전지_원본!$KB$4:$KB$369,0), MATCH(CG$4,연료전지_원본!$KB$4:$KX$4,0))*1000</f>
        <v>1578.2</v>
      </c>
      <c r="CH18" s="250">
        <f>INDEX(연료전지_원본!$KB$4:$KX$369,MATCH($A18,연료전지_원본!$KB$4:$KB$369,0), MATCH(CH$4,연료전지_원본!$KB$4:$KX$4,0))*1000</f>
        <v>1578.2</v>
      </c>
      <c r="CI18" s="250">
        <f>INDEX(연료전지_원본!$KB$4:$KX$369,MATCH($A18,연료전지_원본!$KB$4:$KB$369,0), MATCH(CI$4,연료전지_원본!$KB$4:$KX$4,0))*1000</f>
        <v>1578.2</v>
      </c>
      <c r="CJ18" s="250">
        <f>INDEX(연료전지_원본!$KB$4:$KX$369,MATCH($A18,연료전지_원본!$KB$4:$KB$369,0), MATCH(CJ$4,연료전지_원본!$KB$4:$KX$4,0))*1000</f>
        <v>1578.2</v>
      </c>
      <c r="CK18" s="250">
        <f>INDEX(연료전지_원본!$KB$4:$KX$369,MATCH($A18,연료전지_원본!$KB$4:$KB$369,0), MATCH(CK$4,연료전지_원본!$KB$4:$KX$4,0))*1000</f>
        <v>1578.2</v>
      </c>
      <c r="CL18" s="250">
        <f>INDEX(연료전지_원본!$KB$4:$KX$369,MATCH($A18,연료전지_원본!$KB$4:$KB$369,0), MATCH(CL$4,연료전지_원본!$KB$4:$KX$4,0))*1000</f>
        <v>1578.2</v>
      </c>
      <c r="CM18" s="250">
        <f>INDEX(연료전지_원본!$KB$4:$KX$369,MATCH($A18,연료전지_원본!$KB$4:$KB$369,0), MATCH(CM$4,연료전지_원본!$KB$4:$KX$4,0))*1000</f>
        <v>1578.2</v>
      </c>
      <c r="CN18" s="250">
        <f>INDEX(연료전지_원본!$KB$4:$KX$369,MATCH($A18,연료전지_원본!$KB$4:$KB$369,0), MATCH(CN$4,연료전지_원본!$KB$4:$KX$4,0))*1000</f>
        <v>0</v>
      </c>
      <c r="CO18" s="250">
        <f>INDEX(연료전지_원본!$KB$4:$KX$369,MATCH($A18,연료전지_원본!$KB$4:$KB$369,0), MATCH(CO$4,연료전지_원본!$KB$4:$KX$4,0))*1000</f>
        <v>0</v>
      </c>
      <c r="CP18" s="250">
        <f>INDEX(연료전지_원본!$KB$4:$KX$369,MATCH($A18,연료전지_원본!$KB$4:$KB$369,0), MATCH(CP$4,연료전지_원본!$KB$4:$KX$4,0))*1000</f>
        <v>0</v>
      </c>
      <c r="CQ18" s="250">
        <f>INDEX(연료전지_원본!$KB$4:$KX$369,MATCH($A18,연료전지_원본!$KB$4:$KB$369,0), MATCH(CQ$4,연료전지_원본!$KB$4:$KX$4,0))*1000</f>
        <v>0</v>
      </c>
      <c r="CR18" s="250">
        <f>INDEX(연료전지_원본!$KB$4:$KX$369,MATCH($A18,연료전지_원본!$KB$4:$KB$369,0), MATCH(CR$4,연료전지_원본!$KB$4:$KX$4,0))*1000</f>
        <v>0</v>
      </c>
      <c r="CS18" s="250">
        <f>INDEX(연료전지_원본!$KB$4:$KX$369,MATCH($A18,연료전지_원본!$KB$4:$KB$369,0), MATCH(CS$4,연료전지_원본!$KB$4:$KX$4,0))*1000</f>
        <v>0</v>
      </c>
      <c r="CT18" s="250">
        <f>INDEX(연료전지_원본!$KB$4:$KX$369,MATCH($A18,연료전지_원본!$KB$4:$KB$369,0), MATCH(CT$4,연료전지_원본!$KB$4:$KX$4,0))*1000</f>
        <v>0</v>
      </c>
      <c r="CU18" s="250">
        <f>INDEX(연료전지_원본!$KB$4:$KX$369,MATCH($A18,연료전지_원본!$KB$4:$KB$369,0), MATCH(CU$4,연료전지_원본!$KB$4:$KX$4,0))*1000</f>
        <v>0</v>
      </c>
      <c r="CV18" s="250">
        <f>INDEX(연료전지_원본!$KB$4:$KX$369,MATCH($A18,연료전지_원본!$KB$4:$KB$369,0), MATCH(CV$4,연료전지_원본!$KB$4:$KX$4,0))*1000</f>
        <v>0</v>
      </c>
      <c r="CW18" s="250">
        <f>INDEX(연료전지_원본!$KB$4:$KX$369,MATCH($A18,연료전지_원본!$KB$4:$KB$369,0), MATCH(CW$4,연료전지_원본!$KB$4:$KX$4,0))*1000</f>
        <v>0</v>
      </c>
      <c r="CX18" s="250">
        <f>INDEX(연료전지_원본!$KB$4:$KX$369,MATCH($A18,연료전지_원본!$KB$4:$KB$369,0), MATCH(CX$4,연료전지_원본!$KB$4:$KX$4,0))*1000</f>
        <v>0</v>
      </c>
      <c r="CY18" s="250">
        <f>INDEX(연료전지_원본!$KB$4:$KX$369,MATCH($A18,연료전지_원본!$KB$4:$KB$369,0), MATCH(CY$4,연료전지_원본!$KB$4:$KX$4,0))*1000</f>
        <v>0</v>
      </c>
    </row>
    <row r="19" spans="1:103">
      <c r="A19" s="6">
        <v>46036</v>
      </c>
      <c r="B19" s="15">
        <f>운전실적_원본!B19</f>
        <v>651.20000000000005</v>
      </c>
      <c r="C19" s="16">
        <f t="shared" si="3"/>
        <v>0</v>
      </c>
      <c r="D19" s="9">
        <f>운전실적_원본!C19</f>
        <v>248296</v>
      </c>
      <c r="E19" s="9">
        <f t="shared" si="3"/>
        <v>33</v>
      </c>
      <c r="F19" s="9">
        <f>운전실적_원본!D19</f>
        <v>240026</v>
      </c>
      <c r="G19" s="16">
        <f t="shared" ref="G19" si="116">F19-F18</f>
        <v>65</v>
      </c>
      <c r="H19" s="15">
        <f>운전실적_원본!E19</f>
        <v>17087.96</v>
      </c>
      <c r="I19" s="16">
        <f t="shared" ref="I19" si="117">H19-H18</f>
        <v>4.9399999999986903</v>
      </c>
      <c r="J19" s="15">
        <f>운전실적_원본!F19</f>
        <v>14563.56</v>
      </c>
      <c r="K19" s="16">
        <f t="shared" ref="K19" si="118">J19-J18</f>
        <v>20.989999999999782</v>
      </c>
      <c r="L19" s="15">
        <f>운전실적_원본!G19</f>
        <v>4046.3</v>
      </c>
      <c r="M19" s="31">
        <f t="shared" ref="M19" si="119">L19-L18</f>
        <v>1</v>
      </c>
      <c r="N19" s="15">
        <f>운전실적_원본!H19</f>
        <v>34500</v>
      </c>
      <c r="O19" s="16">
        <f t="shared" ref="O19" si="120">N19-N18</f>
        <v>121</v>
      </c>
      <c r="P19" s="15">
        <f>운전실적_원본!I19</f>
        <v>17146</v>
      </c>
      <c r="Q19" s="16">
        <f t="shared" ref="Q19" si="121">P19-P18</f>
        <v>240</v>
      </c>
      <c r="R19" s="18">
        <f>운전실적_원본!J19</f>
        <v>33.36</v>
      </c>
      <c r="S19" s="19">
        <f t="shared" ref="S19" si="122">R19-R18</f>
        <v>0.17999999999999972</v>
      </c>
      <c r="T19" s="18">
        <f>운전실적_원본!K19</f>
        <v>33</v>
      </c>
      <c r="U19" s="19">
        <f t="shared" ref="U19" si="123">T19-T18</f>
        <v>-3.9999999999999147E-2</v>
      </c>
      <c r="V19" s="12">
        <f>운전실적_원본!L19</f>
        <v>8331</v>
      </c>
      <c r="W19" s="16">
        <f t="shared" ref="W19" si="124">V19-V18</f>
        <v>195</v>
      </c>
      <c r="X19" s="10">
        <f>운전실적_원본!M19</f>
        <v>196254.91000000387</v>
      </c>
      <c r="Y19" s="10">
        <f>운전실적_원본!N19</f>
        <v>0</v>
      </c>
      <c r="Z19" s="10">
        <f>운전실적_원본!O19</f>
        <v>0</v>
      </c>
      <c r="AA19" s="10">
        <f>운전실적_원본!P19</f>
        <v>0</v>
      </c>
      <c r="AB19" s="10">
        <f>운전실적_원본!Q19</f>
        <v>0</v>
      </c>
      <c r="AC19" s="20">
        <f>운전실적_원본!R19</f>
        <v>0</v>
      </c>
      <c r="AD19" s="109">
        <f>운전실적_원본!S19</f>
        <v>24</v>
      </c>
      <c r="AE19" s="110">
        <f>운전실적_원본!T19</f>
        <v>0</v>
      </c>
      <c r="AF19" s="110">
        <f>운전실적_원본!U19</f>
        <v>0</v>
      </c>
      <c r="AG19" s="110">
        <f>운전실적_원본!V19</f>
        <v>0</v>
      </c>
      <c r="AH19" s="109">
        <f t="shared" si="1"/>
        <v>24</v>
      </c>
      <c r="AI19" s="110">
        <f t="shared" ref="AI19:AI70" si="125">(AS19-AR19)*24</f>
        <v>0</v>
      </c>
      <c r="AJ19" s="110">
        <f>운전실적_원본!Y19</f>
        <v>0</v>
      </c>
      <c r="AK19" s="110">
        <f>운전실적_원본!Z19</f>
        <v>0</v>
      </c>
      <c r="AL19" s="106">
        <v>46036</v>
      </c>
      <c r="AM19" s="105">
        <f t="shared" si="14"/>
        <v>46037</v>
      </c>
      <c r="AN19" s="105"/>
      <c r="AO19" s="105"/>
      <c r="AP19" s="105"/>
      <c r="AQ19" s="108"/>
      <c r="AR19" s="105"/>
      <c r="AS19" s="105"/>
      <c r="AT19" s="102"/>
      <c r="AU19" s="102"/>
      <c r="AV19" s="102"/>
      <c r="AW19" s="102"/>
      <c r="AX19" s="32">
        <f>운전실적_원본!W19</f>
        <v>1247</v>
      </c>
      <c r="AY19" s="11">
        <f>운전실적_원본!X19</f>
        <v>0</v>
      </c>
      <c r="AZ19" s="11">
        <f>운전실적_원본!Y19</f>
        <v>0</v>
      </c>
      <c r="BA19" s="11">
        <f>운전실적_원본!Z19</f>
        <v>0</v>
      </c>
      <c r="BB19" s="11">
        <f>운전실적_원본!AA19</f>
        <v>0</v>
      </c>
      <c r="BC19" s="11">
        <f>운전실적_원본!AB19</f>
        <v>1247</v>
      </c>
      <c r="BD19" s="32">
        <f t="shared" si="15"/>
        <v>51.958333333333336</v>
      </c>
      <c r="BE19" s="11">
        <f t="shared" si="2"/>
        <v>1.0110592203411819</v>
      </c>
      <c r="BF19" s="11" t="str">
        <f t="shared" si="16"/>
        <v>-</v>
      </c>
      <c r="BG19" s="31" t="str">
        <f t="shared" si="0"/>
        <v>-</v>
      </c>
      <c r="BH19" s="241">
        <f>INDEX(연료전지_원본!$A$4:$KY$369,MATCH($A19,연료전지_원본!$A$4:$A$369,0),MATCH($BH$4,연료전지_원본!$A$4:$KY$4,0))</f>
        <v>24</v>
      </c>
      <c r="BI19" s="241">
        <f>INDEX(연료전지_원본!$A$4:$KY$369,MATCH($A19,연료전지_원본!$A$4:$A$369,0),MATCH($BI$4,연료전지_원본!$A$4:$KY$4,0))</f>
        <v>24</v>
      </c>
      <c r="BJ19" s="241">
        <f>INDEX(연료전지_원본!$A$4:$KY$369,MATCH($A19,연료전지_원본!$A$4:$A$369,0),MATCH($BJ$4,연료전지_원본!$A$4:$KY$4,0))</f>
        <v>24</v>
      </c>
      <c r="BK19" s="241">
        <f>INDEX(연료전지_원본!$A$4:$KY$369,MATCH($A19,연료전지_원본!$A$4:$A$369,0),MATCH($BK$4,연료전지_원본!$A$4:$KY$4,0))</f>
        <v>24</v>
      </c>
      <c r="BL19" s="241">
        <f>INDEX(연료전지_원본!$A$4:$KY$369,MATCH($A19,연료전지_원본!$A$4:$A$369,0),MATCH($BL$4,연료전지_원본!$A$4:$KY$4,0))</f>
        <v>24</v>
      </c>
      <c r="BM19" s="241">
        <f>INDEX(연료전지_원본!$A$4:$KY$369,MATCH($A19,연료전지_원본!$A$4:$A$369,0),MATCH($BM$4,연료전지_원본!$A$4:$KY$4,0))</f>
        <v>24</v>
      </c>
      <c r="BN19" s="241">
        <f>INDEX(연료전지_원본!$A$4:$KY$369,MATCH($A19,연료전지_원본!$A$4:$A$369,0),MATCH($BN$4,연료전지_원본!$A$4:$KY$4,0))</f>
        <v>24</v>
      </c>
      <c r="BO19" s="241">
        <f>INDEX(연료전지_원본!$A$4:$KY$369,MATCH($A19,연료전지_원본!$A$4:$A$369,0),MATCH($BO$4,연료전지_원본!$A$4:$KY$4,0))</f>
        <v>24</v>
      </c>
      <c r="BP19" s="241">
        <f>INDEX(연료전지_원본!$A$4:$KY$369,MATCH($A19,연료전지_원본!$A$4:$A$369,0),MATCH($BP$4,연료전지_원본!$A$4:$KY$4,0))</f>
        <v>24</v>
      </c>
      <c r="BQ19" s="241">
        <f>INDEX(연료전지_원본!$A$4:$KY$369,MATCH($A19,연료전지_원본!$A$4:$A$369,0),MATCH($BQ$4,연료전지_원본!$A$4:$KY$4,0))</f>
        <v>24</v>
      </c>
      <c r="BR19" s="241">
        <f>INDEX(연료전지_원본!$A$4:$KY$369,MATCH($A19,연료전지_원본!$A$4:$A$369,0),MATCH($BR$4,연료전지_원본!$A$4:$KY$4,0))</f>
        <v>18</v>
      </c>
      <c r="BS19" s="241">
        <f>INDEX(연료전지_원본!$A$4:$KY$369,MATCH($A19,연료전지_원본!$A$4:$A$369,0),MATCH($BS$4,연료전지_원본!$A$4:$KY$4,0))</f>
        <v>18</v>
      </c>
      <c r="BT19" s="241">
        <f>INDEX(연료전지_원본!$A$4:$KY$369,MATCH($A19,연료전지_원본!$A$4:$A$369,0),MATCH($BT$4,연료전지_원본!$A$4:$KY$4,0))</f>
        <v>18</v>
      </c>
      <c r="BU19" s="241">
        <f>INDEX(연료전지_원본!$A$4:$KY$369,MATCH($A19,연료전지_원본!$A$4:$A$369,0),MATCH($BU$4,연료전지_원본!$A$4:$KY$4,0))</f>
        <v>0</v>
      </c>
      <c r="BV19" s="241">
        <f>INDEX(연료전지_원본!$A$4:$KY$369,MATCH($A19,연료전지_원본!$A$4:$A$369,0),MATCH($BV$4,연료전지_원본!$A$4:$KY$4,0))</f>
        <v>0</v>
      </c>
      <c r="BW19" s="241">
        <f>INDEX(연료전지_원본!$A$4:$KY$369,MATCH($A19,연료전지_원본!$A$4:$A$369,0),MATCH($BW$4,연료전지_원본!$A$4:$KY$4,0))</f>
        <v>0</v>
      </c>
      <c r="BX19" s="241">
        <f>INDEX(연료전지_원본!$A$4:$KY$369,MATCH($A19,연료전지_원본!$A$4:$A$369,0),MATCH($BX$4,연료전지_원본!$A$4:$KY$4,0))</f>
        <v>0</v>
      </c>
      <c r="BY19" s="241">
        <f>INDEX(연료전지_원본!$A$4:$KY$369,MATCH($A19,연료전지_원본!$A$4:$A$369,0),MATCH($BY$4,연료전지_원본!$A$4:$KY$4,0))</f>
        <v>0</v>
      </c>
      <c r="BZ19" s="241">
        <f>INDEX(연료전지_원본!$A$4:$KY$369,MATCH($A19,연료전지_원본!$A$4:$A$369,0),MATCH($BZ$4,연료전지_원본!$A$4:$KY$4,0))</f>
        <v>0</v>
      </c>
      <c r="CA19" s="241">
        <f>INDEX(연료전지_원본!$A$4:$KY$369,MATCH($A19,연료전지_원본!$A$4:$A$369,0),MATCH($CA$4,연료전지_원본!$A$4:$KY$4,0))</f>
        <v>0</v>
      </c>
      <c r="CB19" s="241">
        <f>INDEX(연료전지_원본!$A$4:$KY$369,MATCH($A19,연료전지_원본!$A$4:$A$369,0),MATCH($CB$4,연료전지_원본!$A$4:$KY$4,0))</f>
        <v>0</v>
      </c>
      <c r="CC19" s="242">
        <f>INDEX(연료전지_원본!$A$4:$KY$369,MATCH($A19,연료전지_원본!$A$4:$A$369,0),MATCH($CC$4,연료전지_원본!$A$4:$KY$4,0))</f>
        <v>0</v>
      </c>
      <c r="CD19" s="250">
        <f>INDEX(연료전지_원본!$KB$4:$KX$369,MATCH($A19,연료전지_원본!$KB$4:$KB$369,0), MATCH(CD$4,연료전지_원본!$KB$4:$KX$4,0))*1000</f>
        <v>1018.0409999999999</v>
      </c>
      <c r="CE19" s="250">
        <f>INDEX(연료전지_원본!$KB$4:$KX$369,MATCH($A19,연료전지_원본!$KB$4:$KB$369,0), MATCH(CE$4,연료전지_원본!$KB$4:$KX$4,0))*1000</f>
        <v>1018.0409999999999</v>
      </c>
      <c r="CF19" s="250">
        <f>INDEX(연료전지_원본!$KB$4:$KX$369,MATCH($A19,연료전지_원본!$KB$4:$KB$369,0), MATCH(CF$4,연료전지_원본!$KB$4:$KX$4,0))*1000</f>
        <v>1018.0409999999999</v>
      </c>
      <c r="CG19" s="250">
        <f>INDEX(연료전지_원본!$KB$4:$KX$369,MATCH($A19,연료전지_원본!$KB$4:$KB$369,0), MATCH(CG$4,연료전지_원본!$KB$4:$KX$4,0))*1000</f>
        <v>1018.0409999999999</v>
      </c>
      <c r="CH19" s="250">
        <f>INDEX(연료전지_원본!$KB$4:$KX$369,MATCH($A19,연료전지_원본!$KB$4:$KB$369,0), MATCH(CH$4,연료전지_원본!$KB$4:$KX$4,0))*1000</f>
        <v>1018.0409999999999</v>
      </c>
      <c r="CI19" s="250">
        <f>INDEX(연료전지_원본!$KB$4:$KX$369,MATCH($A19,연료전지_원본!$KB$4:$KB$369,0), MATCH(CI$4,연료전지_원본!$KB$4:$KX$4,0))*1000</f>
        <v>1018.0409999999999</v>
      </c>
      <c r="CJ19" s="250">
        <f>INDEX(연료전지_원본!$KB$4:$KX$369,MATCH($A19,연료전지_원본!$KB$4:$KB$369,0), MATCH(CJ$4,연료전지_원본!$KB$4:$KX$4,0))*1000</f>
        <v>1018.0409999999999</v>
      </c>
      <c r="CK19" s="250">
        <f>INDEX(연료전지_원본!$KB$4:$KX$369,MATCH($A19,연료전지_원본!$KB$4:$KB$369,0), MATCH(CK$4,연료전지_원본!$KB$4:$KX$4,0))*1000</f>
        <v>1018.0409999999999</v>
      </c>
      <c r="CL19" s="250">
        <f>INDEX(연료전지_원본!$KB$4:$KX$369,MATCH($A19,연료전지_원본!$KB$4:$KB$369,0), MATCH(CL$4,연료전지_원본!$KB$4:$KX$4,0))*1000</f>
        <v>1018.0409999999999</v>
      </c>
      <c r="CM19" s="250">
        <f>INDEX(연료전지_원본!$KB$4:$KX$369,MATCH($A19,연료전지_원본!$KB$4:$KB$369,0), MATCH(CM$4,연료전지_원본!$KB$4:$KX$4,0))*1000</f>
        <v>1018.0409999999999</v>
      </c>
      <c r="CN19" s="250">
        <f>INDEX(연료전지_원본!$KB$4:$KX$369,MATCH($A19,연료전지_원본!$KB$4:$KB$369,0), MATCH(CN$4,연료전지_원본!$KB$4:$KX$4,0))*1000</f>
        <v>763.53</v>
      </c>
      <c r="CO19" s="250">
        <f>INDEX(연료전지_원본!$KB$4:$KX$369,MATCH($A19,연료전지_원본!$KB$4:$KB$369,0), MATCH(CO$4,연료전지_원본!$KB$4:$KX$4,0))*1000</f>
        <v>763.53</v>
      </c>
      <c r="CP19" s="250">
        <f>INDEX(연료전지_원본!$KB$4:$KX$369,MATCH($A19,연료전지_원본!$KB$4:$KB$369,0), MATCH(CP$4,연료전지_원본!$KB$4:$KX$4,0))*1000</f>
        <v>763.53</v>
      </c>
      <c r="CQ19" s="250">
        <f>INDEX(연료전지_원본!$KB$4:$KX$369,MATCH($A19,연료전지_원본!$KB$4:$KB$369,0), MATCH(CQ$4,연료전지_원본!$KB$4:$KX$4,0))*1000</f>
        <v>0</v>
      </c>
      <c r="CR19" s="250">
        <f>INDEX(연료전지_원본!$KB$4:$KX$369,MATCH($A19,연료전지_원본!$KB$4:$KB$369,0), MATCH(CR$4,연료전지_원본!$KB$4:$KX$4,0))*1000</f>
        <v>0</v>
      </c>
      <c r="CS19" s="250">
        <f>INDEX(연료전지_원본!$KB$4:$KX$369,MATCH($A19,연료전지_원본!$KB$4:$KB$369,0), MATCH(CS$4,연료전지_원본!$KB$4:$KX$4,0))*1000</f>
        <v>0</v>
      </c>
      <c r="CT19" s="250">
        <f>INDEX(연료전지_원본!$KB$4:$KX$369,MATCH($A19,연료전지_원본!$KB$4:$KB$369,0), MATCH(CT$4,연료전지_원본!$KB$4:$KX$4,0))*1000</f>
        <v>0</v>
      </c>
      <c r="CU19" s="250">
        <f>INDEX(연료전지_원본!$KB$4:$KX$369,MATCH($A19,연료전지_원본!$KB$4:$KB$369,0), MATCH(CU$4,연료전지_원본!$KB$4:$KX$4,0))*1000</f>
        <v>0</v>
      </c>
      <c r="CV19" s="250">
        <f>INDEX(연료전지_원본!$KB$4:$KX$369,MATCH($A19,연료전지_원본!$KB$4:$KB$369,0), MATCH(CV$4,연료전지_원본!$KB$4:$KX$4,0))*1000</f>
        <v>0</v>
      </c>
      <c r="CW19" s="250">
        <f>INDEX(연료전지_원본!$KB$4:$KX$369,MATCH($A19,연료전지_원본!$KB$4:$KB$369,0), MATCH(CW$4,연료전지_원본!$KB$4:$KX$4,0))*1000</f>
        <v>0</v>
      </c>
      <c r="CX19" s="250">
        <f>INDEX(연료전지_원본!$KB$4:$KX$369,MATCH($A19,연료전지_원본!$KB$4:$KB$369,0), MATCH(CX$4,연료전지_원본!$KB$4:$KX$4,0))*1000</f>
        <v>0</v>
      </c>
      <c r="CY19" s="250">
        <f>INDEX(연료전지_원본!$KB$4:$KX$369,MATCH($A19,연료전지_원본!$KB$4:$KB$369,0), MATCH(CY$4,연료전지_원본!$KB$4:$KX$4,0))*1000</f>
        <v>0</v>
      </c>
    </row>
    <row r="20" spans="1:103">
      <c r="A20" s="6">
        <v>46037</v>
      </c>
      <c r="B20" s="15">
        <f>운전실적_원본!B20</f>
        <v>651.20000000000005</v>
      </c>
      <c r="C20" s="16">
        <f t="shared" si="3"/>
        <v>0</v>
      </c>
      <c r="D20" s="9">
        <f>운전실적_원본!C20</f>
        <v>248342</v>
      </c>
      <c r="E20" s="9">
        <f t="shared" si="3"/>
        <v>46</v>
      </c>
      <c r="F20" s="9">
        <f>운전실적_원본!D20</f>
        <v>240048</v>
      </c>
      <c r="G20" s="16">
        <f t="shared" ref="G20" si="126">F20-F19</f>
        <v>22</v>
      </c>
      <c r="H20" s="15">
        <f>운전실적_원본!E20</f>
        <v>17093.25</v>
      </c>
      <c r="I20" s="16">
        <f t="shared" ref="I20" si="127">H20-H19</f>
        <v>5.2900000000008731</v>
      </c>
      <c r="J20" s="15">
        <f>운전실적_원본!F20</f>
        <v>14585.46</v>
      </c>
      <c r="K20" s="16">
        <f t="shared" ref="K20" si="128">J20-J19</f>
        <v>21.899999999999636</v>
      </c>
      <c r="L20" s="15">
        <f>운전실적_원본!G20</f>
        <v>4047.6</v>
      </c>
      <c r="M20" s="31">
        <f t="shared" ref="M20" si="129">L20-L19</f>
        <v>1.2999999999997272</v>
      </c>
      <c r="N20" s="15">
        <f>운전실적_원본!H20</f>
        <v>34719</v>
      </c>
      <c r="O20" s="16">
        <f t="shared" ref="O20" si="130">N20-N19</f>
        <v>219</v>
      </c>
      <c r="P20" s="15">
        <f>운전실적_원본!I20</f>
        <v>17296</v>
      </c>
      <c r="Q20" s="16">
        <f t="shared" ref="Q20" si="131">P20-P19</f>
        <v>150</v>
      </c>
      <c r="R20" s="18">
        <f>운전실적_원본!J20</f>
        <v>33.5</v>
      </c>
      <c r="S20" s="19">
        <f t="shared" ref="S20" si="132">R20-R19</f>
        <v>0.14000000000000057</v>
      </c>
      <c r="T20" s="18">
        <f>운전실적_원본!K20</f>
        <v>33</v>
      </c>
      <c r="U20" s="19">
        <f t="shared" ref="U20" si="133">T20-T19</f>
        <v>0</v>
      </c>
      <c r="V20" s="12">
        <f>운전실적_원본!L20</f>
        <v>8060</v>
      </c>
      <c r="W20" s="16">
        <f t="shared" ref="W20" si="134">V20-V19</f>
        <v>-271</v>
      </c>
      <c r="X20" s="10">
        <f>운전실적_원본!M20</f>
        <v>193644.11999999732</v>
      </c>
      <c r="Y20" s="10">
        <f>운전실적_원본!N20</f>
        <v>0</v>
      </c>
      <c r="Z20" s="10">
        <f>운전실적_원본!O20</f>
        <v>0</v>
      </c>
      <c r="AA20" s="10">
        <f>운전실적_원본!P20</f>
        <v>0</v>
      </c>
      <c r="AB20" s="10">
        <f>운전실적_원본!Q20</f>
        <v>0</v>
      </c>
      <c r="AC20" s="20">
        <f>운전실적_원본!R20</f>
        <v>0</v>
      </c>
      <c r="AD20" s="109">
        <f>운전실적_원본!S20</f>
        <v>24</v>
      </c>
      <c r="AE20" s="110">
        <f>운전실적_원본!T20</f>
        <v>0</v>
      </c>
      <c r="AF20" s="110">
        <f>운전실적_원본!U20</f>
        <v>0</v>
      </c>
      <c r="AG20" s="110">
        <f>운전실적_원본!V20</f>
        <v>0</v>
      </c>
      <c r="AH20" s="109">
        <f t="shared" si="1"/>
        <v>24</v>
      </c>
      <c r="AI20" s="110">
        <f t="shared" si="125"/>
        <v>0</v>
      </c>
      <c r="AJ20" s="110">
        <f>운전실적_원본!Y20</f>
        <v>0</v>
      </c>
      <c r="AK20" s="110">
        <f>운전실적_원본!Z20</f>
        <v>0</v>
      </c>
      <c r="AL20" s="106">
        <v>46037</v>
      </c>
      <c r="AM20" s="105">
        <f t="shared" si="14"/>
        <v>46038</v>
      </c>
      <c r="AN20" s="105"/>
      <c r="AO20" s="105"/>
      <c r="AP20" s="105"/>
      <c r="AQ20" s="108"/>
      <c r="AR20" s="105"/>
      <c r="AS20" s="105"/>
      <c r="AT20" s="102"/>
      <c r="AU20" s="102"/>
      <c r="AV20" s="102"/>
      <c r="AW20" s="102"/>
      <c r="AX20" s="32">
        <f>운전실적_원본!W20</f>
        <v>1249</v>
      </c>
      <c r="AY20" s="11">
        <f>운전실적_원본!X20</f>
        <v>0</v>
      </c>
      <c r="AZ20" s="11">
        <f>운전실적_원본!Y20</f>
        <v>0</v>
      </c>
      <c r="BA20" s="11">
        <f>운전실적_원본!Z20</f>
        <v>0</v>
      </c>
      <c r="BB20" s="11">
        <f>운전실적_원본!AA20</f>
        <v>0</v>
      </c>
      <c r="BC20" s="11">
        <f>운전실적_원본!AB20</f>
        <v>1249</v>
      </c>
      <c r="BD20" s="32">
        <f t="shared" si="15"/>
        <v>52.041666666666664</v>
      </c>
      <c r="BE20" s="11">
        <f t="shared" si="2"/>
        <v>1.0126808069014723</v>
      </c>
      <c r="BF20" s="11" t="str">
        <f t="shared" si="16"/>
        <v>-</v>
      </c>
      <c r="BG20" s="31" t="str">
        <f t="shared" si="0"/>
        <v>-</v>
      </c>
      <c r="BH20" s="241">
        <f>INDEX(연료전지_원본!$A$4:$KY$369,MATCH($A20,연료전지_원본!$A$4:$A$369,0),MATCH($BH$4,연료전지_원본!$A$4:$KY$4,0))</f>
        <v>24</v>
      </c>
      <c r="BI20" s="241">
        <f>INDEX(연료전지_원본!$A$4:$KY$369,MATCH($A20,연료전지_원본!$A$4:$A$369,0),MATCH($BI$4,연료전지_원본!$A$4:$KY$4,0))</f>
        <v>24</v>
      </c>
      <c r="BJ20" s="241">
        <f>INDEX(연료전지_원본!$A$4:$KY$369,MATCH($A20,연료전지_원본!$A$4:$A$369,0),MATCH($BJ$4,연료전지_원본!$A$4:$KY$4,0))</f>
        <v>24</v>
      </c>
      <c r="BK20" s="241">
        <f>INDEX(연료전지_원본!$A$4:$KY$369,MATCH($A20,연료전지_원본!$A$4:$A$369,0),MATCH($BK$4,연료전지_원본!$A$4:$KY$4,0))</f>
        <v>24</v>
      </c>
      <c r="BL20" s="241">
        <f>INDEX(연료전지_원본!$A$4:$KY$369,MATCH($A20,연료전지_원본!$A$4:$A$369,0),MATCH($BL$4,연료전지_원본!$A$4:$KY$4,0))</f>
        <v>24</v>
      </c>
      <c r="BM20" s="241">
        <f>INDEX(연료전지_원본!$A$4:$KY$369,MATCH($A20,연료전지_원본!$A$4:$A$369,0),MATCH($BM$4,연료전지_원본!$A$4:$KY$4,0))</f>
        <v>24</v>
      </c>
      <c r="BN20" s="241">
        <f>INDEX(연료전지_원본!$A$4:$KY$369,MATCH($A20,연료전지_원본!$A$4:$A$369,0),MATCH($BN$4,연료전지_원본!$A$4:$KY$4,0))</f>
        <v>24</v>
      </c>
      <c r="BO20" s="241">
        <f>INDEX(연료전지_원본!$A$4:$KY$369,MATCH($A20,연료전지_원본!$A$4:$A$369,0),MATCH($BO$4,연료전지_원본!$A$4:$KY$4,0))</f>
        <v>24</v>
      </c>
      <c r="BP20" s="241">
        <f>INDEX(연료전지_원본!$A$4:$KY$369,MATCH($A20,연료전지_원본!$A$4:$A$369,0),MATCH($BP$4,연료전지_원본!$A$4:$KY$4,0))</f>
        <v>24</v>
      </c>
      <c r="BQ20" s="241">
        <f>INDEX(연료전지_원본!$A$4:$KY$369,MATCH($A20,연료전지_원본!$A$4:$A$369,0),MATCH($BQ$4,연료전지_원본!$A$4:$KY$4,0))</f>
        <v>24</v>
      </c>
      <c r="BR20" s="241">
        <f>INDEX(연료전지_원본!$A$4:$KY$369,MATCH($A20,연료전지_원본!$A$4:$A$369,0),MATCH($BR$4,연료전지_원본!$A$4:$KY$4,0))</f>
        <v>24</v>
      </c>
      <c r="BS20" s="241">
        <f>INDEX(연료전지_원본!$A$4:$KY$369,MATCH($A20,연료전지_원본!$A$4:$A$369,0),MATCH($BS$4,연료전지_원본!$A$4:$KY$4,0))</f>
        <v>24</v>
      </c>
      <c r="BT20" s="241">
        <f>INDEX(연료전지_원본!$A$4:$KY$369,MATCH($A20,연료전지_원본!$A$4:$A$369,0),MATCH($BT$4,연료전지_원본!$A$4:$KY$4,0))</f>
        <v>24</v>
      </c>
      <c r="BU20" s="241">
        <f>INDEX(연료전지_원본!$A$4:$KY$369,MATCH($A20,연료전지_원본!$A$4:$A$369,0),MATCH($BU$4,연료전지_원본!$A$4:$KY$4,0))</f>
        <v>18</v>
      </c>
      <c r="BV20" s="241">
        <f>INDEX(연료전지_원본!$A$4:$KY$369,MATCH($A20,연료전지_원본!$A$4:$A$369,0),MATCH($BV$4,연료전지_원본!$A$4:$KY$4,0))</f>
        <v>18</v>
      </c>
      <c r="BW20" s="241">
        <f>INDEX(연료전지_원본!$A$4:$KY$369,MATCH($A20,연료전지_원본!$A$4:$A$369,0),MATCH($BW$4,연료전지_원본!$A$4:$KY$4,0))</f>
        <v>18</v>
      </c>
      <c r="BX20" s="241">
        <f>INDEX(연료전지_원본!$A$4:$KY$369,MATCH($A20,연료전지_원본!$A$4:$A$369,0),MATCH($BX$4,연료전지_원본!$A$4:$KY$4,0))</f>
        <v>0</v>
      </c>
      <c r="BY20" s="241">
        <f>INDEX(연료전지_원본!$A$4:$KY$369,MATCH($A20,연료전지_원본!$A$4:$A$369,0),MATCH($BY$4,연료전지_원본!$A$4:$KY$4,0))</f>
        <v>0</v>
      </c>
      <c r="BZ20" s="241">
        <f>INDEX(연료전지_원본!$A$4:$KY$369,MATCH($A20,연료전지_원본!$A$4:$A$369,0),MATCH($BZ$4,연료전지_원본!$A$4:$KY$4,0))</f>
        <v>0</v>
      </c>
      <c r="CA20" s="241">
        <f>INDEX(연료전지_원본!$A$4:$KY$369,MATCH($A20,연료전지_원본!$A$4:$A$369,0),MATCH($CA$4,연료전지_원본!$A$4:$KY$4,0))</f>
        <v>0</v>
      </c>
      <c r="CB20" s="241">
        <f>INDEX(연료전지_원본!$A$4:$KY$369,MATCH($A20,연료전지_원본!$A$4:$A$369,0),MATCH($CB$4,연료전지_원본!$A$4:$KY$4,0))</f>
        <v>0</v>
      </c>
      <c r="CC20" s="242">
        <f>INDEX(연료전지_원본!$A$4:$KY$369,MATCH($A20,연료전지_원본!$A$4:$A$369,0),MATCH($CC$4,연료전지_원본!$A$4:$KY$4,0))</f>
        <v>0</v>
      </c>
      <c r="CD20" s="250">
        <f>INDEX(연료전지_원본!$KB$4:$KX$369,MATCH($A20,연료전지_원본!$KB$4:$KB$369,0), MATCH(CD$4,연료전지_원본!$KB$4:$KX$4,0))*1000</f>
        <v>946.62307692307695</v>
      </c>
      <c r="CE20" s="250">
        <f>INDEX(연료전지_원본!$KB$4:$KX$369,MATCH($A20,연료전지_원본!$KB$4:$KB$369,0), MATCH(CE$4,연료전지_원본!$KB$4:$KX$4,0))*1000</f>
        <v>946.62307692307695</v>
      </c>
      <c r="CF20" s="250">
        <f>INDEX(연료전지_원본!$KB$4:$KX$369,MATCH($A20,연료전지_원본!$KB$4:$KB$369,0), MATCH(CF$4,연료전지_원본!$KB$4:$KX$4,0))*1000</f>
        <v>946.62307692307695</v>
      </c>
      <c r="CG20" s="250">
        <f>INDEX(연료전지_원본!$KB$4:$KX$369,MATCH($A20,연료전지_원본!$KB$4:$KB$369,0), MATCH(CG$4,연료전지_원본!$KB$4:$KX$4,0))*1000</f>
        <v>946.62307692307695</v>
      </c>
      <c r="CH20" s="250">
        <f>INDEX(연료전지_원본!$KB$4:$KX$369,MATCH($A20,연료전지_원본!$KB$4:$KB$369,0), MATCH(CH$4,연료전지_원본!$KB$4:$KX$4,0))*1000</f>
        <v>946.62307692307695</v>
      </c>
      <c r="CI20" s="250">
        <f>INDEX(연료전지_원본!$KB$4:$KX$369,MATCH($A20,연료전지_원본!$KB$4:$KB$369,0), MATCH(CI$4,연료전지_원본!$KB$4:$KX$4,0))*1000</f>
        <v>946.62307692307695</v>
      </c>
      <c r="CJ20" s="250">
        <f>INDEX(연료전지_원본!$KB$4:$KX$369,MATCH($A20,연료전지_원본!$KB$4:$KB$369,0), MATCH(CJ$4,연료전지_원본!$KB$4:$KX$4,0))*1000</f>
        <v>946.62307692307695</v>
      </c>
      <c r="CK20" s="250">
        <f>INDEX(연료전지_원본!$KB$4:$KX$369,MATCH($A20,연료전지_원본!$KB$4:$KB$369,0), MATCH(CK$4,연료전지_원본!$KB$4:$KX$4,0))*1000</f>
        <v>946.62307692307695</v>
      </c>
      <c r="CL20" s="250">
        <f>INDEX(연료전지_원본!$KB$4:$KX$369,MATCH($A20,연료전지_원본!$KB$4:$KB$369,0), MATCH(CL$4,연료전지_원본!$KB$4:$KX$4,0))*1000</f>
        <v>946.62307692307695</v>
      </c>
      <c r="CM20" s="250">
        <f>INDEX(연료전지_원본!$KB$4:$KX$369,MATCH($A20,연료전지_원본!$KB$4:$KB$369,0), MATCH(CM$4,연료전지_원본!$KB$4:$KX$4,0))*1000</f>
        <v>946.62307692307695</v>
      </c>
      <c r="CN20" s="250">
        <f>INDEX(연료전지_원본!$KB$4:$KX$369,MATCH($A20,연료전지_원본!$KB$4:$KB$369,0), MATCH(CN$4,연료전지_원본!$KB$4:$KX$4,0))*1000</f>
        <v>946.62307692307695</v>
      </c>
      <c r="CO20" s="250">
        <f>INDEX(연료전지_원본!$KB$4:$KX$369,MATCH($A20,연료전지_원본!$KB$4:$KB$369,0), MATCH(CO$4,연료전지_원본!$KB$4:$KX$4,0))*1000</f>
        <v>946.62307692307695</v>
      </c>
      <c r="CP20" s="250">
        <f>INDEX(연료전지_원본!$KB$4:$KX$369,MATCH($A20,연료전지_원본!$KB$4:$KB$369,0), MATCH(CP$4,연료전지_원본!$KB$4:$KX$4,0))*1000</f>
        <v>946.62307692307695</v>
      </c>
      <c r="CQ20" s="250">
        <f>INDEX(연료전지_원본!$KB$4:$KX$369,MATCH($A20,연료전지_원본!$KB$4:$KB$369,0), MATCH(CQ$4,연료전지_원본!$KB$4:$KX$4,0))*1000</f>
        <v>709.86666666666667</v>
      </c>
      <c r="CR20" s="250">
        <f>INDEX(연료전지_원본!$KB$4:$KX$369,MATCH($A20,연료전지_원본!$KB$4:$KB$369,0), MATCH(CR$4,연료전지_원본!$KB$4:$KX$4,0))*1000</f>
        <v>709.86666666666667</v>
      </c>
      <c r="CS20" s="250">
        <f>INDEX(연료전지_원본!$KB$4:$KX$369,MATCH($A20,연료전지_원본!$KB$4:$KB$369,0), MATCH(CS$4,연료전지_원본!$KB$4:$KX$4,0))*1000</f>
        <v>709.86666666666667</v>
      </c>
      <c r="CT20" s="250">
        <f>INDEX(연료전지_원본!$KB$4:$KX$369,MATCH($A20,연료전지_원본!$KB$4:$KB$369,0), MATCH(CT$4,연료전지_원본!$KB$4:$KX$4,0))*1000</f>
        <v>0</v>
      </c>
      <c r="CU20" s="250">
        <f>INDEX(연료전지_원본!$KB$4:$KX$369,MATCH($A20,연료전지_원본!$KB$4:$KB$369,0), MATCH(CU$4,연료전지_원본!$KB$4:$KX$4,0))*1000</f>
        <v>0</v>
      </c>
      <c r="CV20" s="250">
        <f>INDEX(연료전지_원본!$KB$4:$KX$369,MATCH($A20,연료전지_원본!$KB$4:$KB$369,0), MATCH(CV$4,연료전지_원본!$KB$4:$KX$4,0))*1000</f>
        <v>0</v>
      </c>
      <c r="CW20" s="250">
        <f>INDEX(연료전지_원본!$KB$4:$KX$369,MATCH($A20,연료전지_원본!$KB$4:$KB$369,0), MATCH(CW$4,연료전지_원본!$KB$4:$KX$4,0))*1000</f>
        <v>0</v>
      </c>
      <c r="CX20" s="250">
        <f>INDEX(연료전지_원본!$KB$4:$KX$369,MATCH($A20,연료전지_원본!$KB$4:$KB$369,0), MATCH(CX$4,연료전지_원본!$KB$4:$KX$4,0))*1000</f>
        <v>0</v>
      </c>
      <c r="CY20" s="250">
        <f>INDEX(연료전지_원본!$KB$4:$KX$369,MATCH($A20,연료전지_원본!$KB$4:$KB$369,0), MATCH(CY$4,연료전지_원본!$KB$4:$KX$4,0))*1000</f>
        <v>0</v>
      </c>
    </row>
    <row r="21" spans="1:103">
      <c r="A21" s="6">
        <v>46038</v>
      </c>
      <c r="B21" s="15">
        <f>운전실적_원본!B21</f>
        <v>651.20000000000005</v>
      </c>
      <c r="C21" s="16">
        <f t="shared" si="3"/>
        <v>0</v>
      </c>
      <c r="D21" s="9">
        <f>운전실적_원본!C21</f>
        <v>248412</v>
      </c>
      <c r="E21" s="9">
        <f t="shared" si="3"/>
        <v>70</v>
      </c>
      <c r="F21" s="9">
        <f>운전실적_원본!D21</f>
        <v>240111</v>
      </c>
      <c r="G21" s="16">
        <f t="shared" ref="G21" si="135">F21-F20</f>
        <v>63</v>
      </c>
      <c r="H21" s="15">
        <f>운전실적_원본!E21</f>
        <v>17097.72</v>
      </c>
      <c r="I21" s="16">
        <f t="shared" ref="I21" si="136">H21-H20</f>
        <v>4.4700000000011642</v>
      </c>
      <c r="J21" s="15">
        <f>운전실적_원본!F21</f>
        <v>14606</v>
      </c>
      <c r="K21" s="16">
        <f t="shared" ref="K21" si="137">J21-J20</f>
        <v>20.540000000000873</v>
      </c>
      <c r="L21" s="15">
        <f>운전실적_원본!G21</f>
        <v>4048.6</v>
      </c>
      <c r="M21" s="31">
        <f t="shared" ref="M21" si="138">L21-L20</f>
        <v>1</v>
      </c>
      <c r="N21" s="15">
        <f>운전실적_원본!H21</f>
        <v>34815</v>
      </c>
      <c r="O21" s="16">
        <f t="shared" ref="O21" si="139">N21-N20</f>
        <v>96</v>
      </c>
      <c r="P21" s="15">
        <f>운전실적_원본!I21</f>
        <v>17545</v>
      </c>
      <c r="Q21" s="16">
        <f t="shared" ref="Q21" si="140">P21-P20</f>
        <v>249</v>
      </c>
      <c r="R21" s="18">
        <f>운전실적_원본!J21</f>
        <v>33.795999999999999</v>
      </c>
      <c r="S21" s="19">
        <f t="shared" ref="S21" si="141">R21-R20</f>
        <v>0.29599999999999937</v>
      </c>
      <c r="T21" s="18">
        <f>운전실적_원본!K21</f>
        <v>32.965000000000003</v>
      </c>
      <c r="U21" s="19">
        <f t="shared" ref="U21" si="142">T21-T20</f>
        <v>-3.4999999999996589E-2</v>
      </c>
      <c r="V21" s="12">
        <f>운전실적_원본!L21</f>
        <v>8455.75</v>
      </c>
      <c r="W21" s="16">
        <f t="shared" ref="W21" si="143">V21-V20</f>
        <v>395.75</v>
      </c>
      <c r="X21" s="10">
        <f>운전실적_원본!M21</f>
        <v>180803.06000000238</v>
      </c>
      <c r="Y21" s="10">
        <f>운전실적_원본!N21</f>
        <v>0</v>
      </c>
      <c r="Z21" s="10">
        <f>운전실적_원본!O21</f>
        <v>0</v>
      </c>
      <c r="AA21" s="10">
        <f>운전실적_원본!P21</f>
        <v>0</v>
      </c>
      <c r="AB21" s="10">
        <f>운전실적_원본!Q21</f>
        <v>0</v>
      </c>
      <c r="AC21" s="20">
        <f>운전실적_원본!R21</f>
        <v>0</v>
      </c>
      <c r="AD21" s="109">
        <f>운전실적_원본!S21</f>
        <v>24</v>
      </c>
      <c r="AE21" s="110">
        <f>운전실적_원본!T21</f>
        <v>0</v>
      </c>
      <c r="AF21" s="110">
        <f>운전실적_원본!U21</f>
        <v>0</v>
      </c>
      <c r="AG21" s="110">
        <f>운전실적_원본!V21</f>
        <v>0</v>
      </c>
      <c r="AH21" s="109">
        <f t="shared" si="1"/>
        <v>24</v>
      </c>
      <c r="AI21" s="110">
        <f t="shared" si="125"/>
        <v>0</v>
      </c>
      <c r="AJ21" s="110">
        <f>운전실적_원본!Y21</f>
        <v>0</v>
      </c>
      <c r="AK21" s="110">
        <f>운전실적_원본!Z21</f>
        <v>0</v>
      </c>
      <c r="AL21" s="106">
        <v>46038</v>
      </c>
      <c r="AM21" s="105">
        <f t="shared" si="14"/>
        <v>46039</v>
      </c>
      <c r="AN21" s="105"/>
      <c r="AO21" s="105"/>
      <c r="AP21" s="105"/>
      <c r="AQ21" s="108"/>
      <c r="AR21" s="105"/>
      <c r="AS21" s="105"/>
      <c r="AT21" s="102"/>
      <c r="AU21" s="102"/>
      <c r="AV21" s="102"/>
      <c r="AW21" s="102"/>
      <c r="AX21" s="32">
        <f>운전실적_원본!W21</f>
        <v>1247.6909999999998</v>
      </c>
      <c r="AY21" s="11">
        <f>운전실적_원본!X21</f>
        <v>0</v>
      </c>
      <c r="AZ21" s="11">
        <f>운전실적_원본!Y21</f>
        <v>0</v>
      </c>
      <c r="BA21" s="11">
        <f>운전실적_원본!Z21</f>
        <v>0</v>
      </c>
      <c r="BB21" s="11">
        <f>운전실적_원본!AA21</f>
        <v>0</v>
      </c>
      <c r="BC21" s="11">
        <f>운전실적_원본!AB21</f>
        <v>1247.6909999999998</v>
      </c>
      <c r="BD21" s="32">
        <f t="shared" si="15"/>
        <v>51.987124999999992</v>
      </c>
      <c r="BE21" s="11">
        <f t="shared" si="2"/>
        <v>1.0116194784977621</v>
      </c>
      <c r="BF21" s="11" t="str">
        <f t="shared" si="16"/>
        <v>-</v>
      </c>
      <c r="BG21" s="31" t="str">
        <f t="shared" si="0"/>
        <v>-</v>
      </c>
      <c r="BH21" s="241">
        <f>INDEX(연료전지_원본!$A$4:$KY$369,MATCH($A21,연료전지_원본!$A$4:$A$369,0),MATCH($BH$4,연료전지_원본!$A$4:$KY$4,0))</f>
        <v>24</v>
      </c>
      <c r="BI21" s="241">
        <f>INDEX(연료전지_원본!$A$4:$KY$369,MATCH($A21,연료전지_원본!$A$4:$A$369,0),MATCH($BI$4,연료전지_원본!$A$4:$KY$4,0))</f>
        <v>24</v>
      </c>
      <c r="BJ21" s="241">
        <f>INDEX(연료전지_원본!$A$4:$KY$369,MATCH($A21,연료전지_원본!$A$4:$A$369,0),MATCH($BJ$4,연료전지_원본!$A$4:$KY$4,0))</f>
        <v>24</v>
      </c>
      <c r="BK21" s="241">
        <f>INDEX(연료전지_원본!$A$4:$KY$369,MATCH($A21,연료전지_원본!$A$4:$A$369,0),MATCH($BK$4,연료전지_원본!$A$4:$KY$4,0))</f>
        <v>24</v>
      </c>
      <c r="BL21" s="241">
        <f>INDEX(연료전지_원본!$A$4:$KY$369,MATCH($A21,연료전지_원본!$A$4:$A$369,0),MATCH($BL$4,연료전지_원본!$A$4:$KY$4,0))</f>
        <v>24</v>
      </c>
      <c r="BM21" s="241">
        <f>INDEX(연료전지_원본!$A$4:$KY$369,MATCH($A21,연료전지_원본!$A$4:$A$369,0),MATCH($BM$4,연료전지_원본!$A$4:$KY$4,0))</f>
        <v>24</v>
      </c>
      <c r="BN21" s="241">
        <f>INDEX(연료전지_원본!$A$4:$KY$369,MATCH($A21,연료전지_원본!$A$4:$A$369,0),MATCH($BN$4,연료전지_원본!$A$4:$KY$4,0))</f>
        <v>24</v>
      </c>
      <c r="BO21" s="241">
        <f>INDEX(연료전지_원본!$A$4:$KY$369,MATCH($A21,연료전지_원본!$A$4:$A$369,0),MATCH($BO$4,연료전지_원본!$A$4:$KY$4,0))</f>
        <v>24</v>
      </c>
      <c r="BP21" s="241">
        <f>INDEX(연료전지_원본!$A$4:$KY$369,MATCH($A21,연료전지_원본!$A$4:$A$369,0),MATCH($BP$4,연료전지_원본!$A$4:$KY$4,0))</f>
        <v>24</v>
      </c>
      <c r="BQ21" s="241">
        <f>INDEX(연료전지_원본!$A$4:$KY$369,MATCH($A21,연료전지_원본!$A$4:$A$369,0),MATCH($BQ$4,연료전지_원본!$A$4:$KY$4,0))</f>
        <v>24</v>
      </c>
      <c r="BR21" s="241">
        <f>INDEX(연료전지_원본!$A$4:$KY$369,MATCH($A21,연료전지_원본!$A$4:$A$369,0),MATCH($BR$4,연료전지_원본!$A$4:$KY$4,0))</f>
        <v>24</v>
      </c>
      <c r="BS21" s="241">
        <f>INDEX(연료전지_원본!$A$4:$KY$369,MATCH($A21,연료전지_원본!$A$4:$A$369,0),MATCH($BS$4,연료전지_원본!$A$4:$KY$4,0))</f>
        <v>24</v>
      </c>
      <c r="BT21" s="241">
        <f>INDEX(연료전지_원본!$A$4:$KY$369,MATCH($A21,연료전지_원본!$A$4:$A$369,0),MATCH($BT$4,연료전지_원본!$A$4:$KY$4,0))</f>
        <v>24</v>
      </c>
      <c r="BU21" s="241">
        <f>INDEX(연료전지_원본!$A$4:$KY$369,MATCH($A21,연료전지_원본!$A$4:$A$369,0),MATCH($BU$4,연료전지_원본!$A$4:$KY$4,0))</f>
        <v>24</v>
      </c>
      <c r="BV21" s="241">
        <f>INDEX(연료전지_원본!$A$4:$KY$369,MATCH($A21,연료전지_원본!$A$4:$A$369,0),MATCH($BV$4,연료전지_원본!$A$4:$KY$4,0))</f>
        <v>24</v>
      </c>
      <c r="BW21" s="241">
        <f>INDEX(연료전지_원본!$A$4:$KY$369,MATCH($A21,연료전지_원본!$A$4:$A$369,0),MATCH($BW$4,연료전지_원본!$A$4:$KY$4,0))</f>
        <v>24</v>
      </c>
      <c r="BX21" s="241">
        <f>INDEX(연료전지_원본!$A$4:$KY$369,MATCH($A21,연료전지_원본!$A$4:$A$369,0),MATCH($BX$4,연료전지_원본!$A$4:$KY$4,0))</f>
        <v>0</v>
      </c>
      <c r="BY21" s="241">
        <f>INDEX(연료전지_원본!$A$4:$KY$369,MATCH($A21,연료전지_원본!$A$4:$A$369,0),MATCH($BY$4,연료전지_원본!$A$4:$KY$4,0))</f>
        <v>0</v>
      </c>
      <c r="BZ21" s="241">
        <f>INDEX(연료전지_원본!$A$4:$KY$369,MATCH($A21,연료전지_원본!$A$4:$A$369,0),MATCH($BZ$4,연료전지_원본!$A$4:$KY$4,0))</f>
        <v>0</v>
      </c>
      <c r="CA21" s="241">
        <f>INDEX(연료전지_원본!$A$4:$KY$369,MATCH($A21,연료전지_원본!$A$4:$A$369,0),MATCH($CA$4,연료전지_원본!$A$4:$KY$4,0))</f>
        <v>0</v>
      </c>
      <c r="CB21" s="241">
        <f>INDEX(연료전지_원본!$A$4:$KY$369,MATCH($A21,연료전지_원본!$A$4:$A$369,0),MATCH($CB$4,연료전지_원본!$A$4:$KY$4,0))</f>
        <v>0</v>
      </c>
      <c r="CC21" s="242">
        <f>INDEX(연료전지_원본!$A$4:$KY$369,MATCH($A21,연료전지_원본!$A$4:$A$369,0),MATCH($CC$4,연료전지_원본!$A$4:$KY$4,0))</f>
        <v>0</v>
      </c>
      <c r="CD21" s="250">
        <f>INDEX(연료전지_원본!$KB$4:$KX$369,MATCH($A21,연료전지_원본!$KB$4:$KB$369,0), MATCH(CD$4,연료전지_원본!$KB$4:$KX$4,0))*1000</f>
        <v>1247.375</v>
      </c>
      <c r="CE21" s="250">
        <f>INDEX(연료전지_원본!$KB$4:$KX$369,MATCH($A21,연료전지_원본!$KB$4:$KB$369,0), MATCH(CE$4,연료전지_원본!$KB$4:$KX$4,0))*1000</f>
        <v>1247.375</v>
      </c>
      <c r="CF21" s="250">
        <f>INDEX(연료전지_원본!$KB$4:$KX$369,MATCH($A21,연료전지_원본!$KB$4:$KB$369,0), MATCH(CF$4,연료전지_원본!$KB$4:$KX$4,0))*1000</f>
        <v>1247.375</v>
      </c>
      <c r="CG21" s="250">
        <f>INDEX(연료전지_원본!$KB$4:$KX$369,MATCH($A21,연료전지_원본!$KB$4:$KB$369,0), MATCH(CG$4,연료전지_원본!$KB$4:$KX$4,0))*1000</f>
        <v>1247.375</v>
      </c>
      <c r="CH21" s="250">
        <f>INDEX(연료전지_원본!$KB$4:$KX$369,MATCH($A21,연료전지_원본!$KB$4:$KB$369,0), MATCH(CH$4,연료전지_원본!$KB$4:$KX$4,0))*1000</f>
        <v>1247.375</v>
      </c>
      <c r="CI21" s="250">
        <f>INDEX(연료전지_원본!$KB$4:$KX$369,MATCH($A21,연료전지_원본!$KB$4:$KB$369,0), MATCH(CI$4,연료전지_원본!$KB$4:$KX$4,0))*1000</f>
        <v>1247.375</v>
      </c>
      <c r="CJ21" s="250">
        <f>INDEX(연료전지_원본!$KB$4:$KX$369,MATCH($A21,연료전지_원본!$KB$4:$KB$369,0), MATCH(CJ$4,연료전지_원본!$KB$4:$KX$4,0))*1000</f>
        <v>1247.375</v>
      </c>
      <c r="CK21" s="250">
        <f>INDEX(연료전지_원본!$KB$4:$KX$369,MATCH($A21,연료전지_원본!$KB$4:$KB$369,0), MATCH(CK$4,연료전지_원본!$KB$4:$KX$4,0))*1000</f>
        <v>1247.375</v>
      </c>
      <c r="CL21" s="250">
        <f>INDEX(연료전지_원본!$KB$4:$KX$369,MATCH($A21,연료전지_원본!$KB$4:$KB$369,0), MATCH(CL$4,연료전지_원본!$KB$4:$KX$4,0))*1000</f>
        <v>1247.375</v>
      </c>
      <c r="CM21" s="250">
        <f>INDEX(연료전지_원본!$KB$4:$KX$369,MATCH($A21,연료전지_원본!$KB$4:$KB$369,0), MATCH(CM$4,연료전지_원본!$KB$4:$KX$4,0))*1000</f>
        <v>1247.375</v>
      </c>
      <c r="CN21" s="250">
        <f>INDEX(연료전지_원본!$KB$4:$KX$369,MATCH($A21,연료전지_원본!$KB$4:$KB$369,0), MATCH(CN$4,연료전지_원본!$KB$4:$KX$4,0))*1000</f>
        <v>1247.375</v>
      </c>
      <c r="CO21" s="250">
        <f>INDEX(연료전지_원본!$KB$4:$KX$369,MATCH($A21,연료전지_원본!$KB$4:$KB$369,0), MATCH(CO$4,연료전지_원본!$KB$4:$KX$4,0))*1000</f>
        <v>1247.375</v>
      </c>
      <c r="CP21" s="250">
        <f>INDEX(연료전지_원본!$KB$4:$KX$369,MATCH($A21,연료전지_원본!$KB$4:$KB$369,0), MATCH(CP$4,연료전지_원본!$KB$4:$KX$4,0))*1000</f>
        <v>1247.375</v>
      </c>
      <c r="CQ21" s="250">
        <f>INDEX(연료전지_원본!$KB$4:$KX$369,MATCH($A21,연료전지_원본!$KB$4:$KB$369,0), MATCH(CQ$4,연료전지_원본!$KB$4:$KX$4,0))*1000</f>
        <v>1247.375</v>
      </c>
      <c r="CR21" s="250">
        <f>INDEX(연료전지_원본!$KB$4:$KX$369,MATCH($A21,연료전지_원본!$KB$4:$KB$369,0), MATCH(CR$4,연료전지_원본!$KB$4:$KX$4,0))*1000</f>
        <v>1247.375</v>
      </c>
      <c r="CS21" s="250">
        <f>INDEX(연료전지_원본!$KB$4:$KX$369,MATCH($A21,연료전지_원본!$KB$4:$KB$369,0), MATCH(CS$4,연료전지_원본!$KB$4:$KX$4,0))*1000</f>
        <v>1247.375</v>
      </c>
      <c r="CT21" s="250">
        <f>INDEX(연료전지_원본!$KB$4:$KX$369,MATCH($A21,연료전지_원본!$KB$4:$KB$369,0), MATCH(CT$4,연료전지_원본!$KB$4:$KX$4,0))*1000</f>
        <v>0</v>
      </c>
      <c r="CU21" s="250">
        <f>INDEX(연료전지_원본!$KB$4:$KX$369,MATCH($A21,연료전지_원본!$KB$4:$KB$369,0), MATCH(CU$4,연료전지_원본!$KB$4:$KX$4,0))*1000</f>
        <v>0</v>
      </c>
      <c r="CV21" s="250">
        <f>INDEX(연료전지_원본!$KB$4:$KX$369,MATCH($A21,연료전지_원본!$KB$4:$KB$369,0), MATCH(CV$4,연료전지_원본!$KB$4:$KX$4,0))*1000</f>
        <v>0</v>
      </c>
      <c r="CW21" s="250">
        <f>INDEX(연료전지_원본!$KB$4:$KX$369,MATCH($A21,연료전지_원본!$KB$4:$KB$369,0), MATCH(CW$4,연료전지_원본!$KB$4:$KX$4,0))*1000</f>
        <v>0</v>
      </c>
      <c r="CX21" s="250">
        <f>INDEX(연료전지_원본!$KB$4:$KX$369,MATCH($A21,연료전지_원본!$KB$4:$KB$369,0), MATCH(CX$4,연료전지_원본!$KB$4:$KX$4,0))*1000</f>
        <v>0</v>
      </c>
      <c r="CY21" s="250">
        <f>INDEX(연료전지_원본!$KB$4:$KX$369,MATCH($A21,연료전지_원본!$KB$4:$KB$369,0), MATCH(CY$4,연료전지_원본!$KB$4:$KX$4,0))*1000</f>
        <v>0</v>
      </c>
    </row>
    <row r="22" spans="1:103">
      <c r="A22" s="6">
        <v>46039</v>
      </c>
      <c r="B22" s="15">
        <f>운전실적_원본!B22</f>
        <v>651.20000000000005</v>
      </c>
      <c r="C22" s="16">
        <f t="shared" si="3"/>
        <v>0</v>
      </c>
      <c r="D22" s="9">
        <f>운전실적_원본!C22</f>
        <v>248412</v>
      </c>
      <c r="E22" s="9">
        <f t="shared" si="3"/>
        <v>0</v>
      </c>
      <c r="F22" s="9">
        <f>운전실적_원본!D22</f>
        <v>240153</v>
      </c>
      <c r="G22" s="16">
        <f t="shared" ref="G22" si="144">F22-F21</f>
        <v>42</v>
      </c>
      <c r="H22" s="15">
        <f>운전실적_원본!E22</f>
        <v>17100.330000000002</v>
      </c>
      <c r="I22" s="16">
        <f t="shared" ref="I22" si="145">H22-H21</f>
        <v>2.6100000000005821</v>
      </c>
      <c r="J22" s="15">
        <f>운전실적_원본!F22</f>
        <v>14627.14</v>
      </c>
      <c r="K22" s="16">
        <f t="shared" ref="K22" si="146">J22-J21</f>
        <v>21.139999999999418</v>
      </c>
      <c r="L22" s="15">
        <f>운전실적_원본!G22</f>
        <v>4049.6</v>
      </c>
      <c r="M22" s="31">
        <f t="shared" ref="M22" si="147">L22-L21</f>
        <v>1</v>
      </c>
      <c r="N22" s="15">
        <f>운전실적_원본!H22</f>
        <v>34955</v>
      </c>
      <c r="O22" s="16">
        <f t="shared" ref="O22" si="148">N22-N21</f>
        <v>140</v>
      </c>
      <c r="P22" s="15">
        <f>운전실적_원본!I22</f>
        <v>17655</v>
      </c>
      <c r="Q22" s="16">
        <f t="shared" ref="Q22" si="149">P22-P21</f>
        <v>110</v>
      </c>
      <c r="R22" s="18">
        <f>운전실적_원본!J22</f>
        <v>33.713000000000001</v>
      </c>
      <c r="S22" s="19">
        <f t="shared" ref="S22" si="150">R22-R21</f>
        <v>-8.2999999999998408E-2</v>
      </c>
      <c r="T22" s="18">
        <f>운전실적_원본!K22</f>
        <v>32.957000000000001</v>
      </c>
      <c r="U22" s="19">
        <f t="shared" ref="U22" si="151">T22-T21</f>
        <v>-8.0000000000026716E-3</v>
      </c>
      <c r="V22" s="12">
        <f>운전실적_원본!L22</f>
        <v>8367.7829999999994</v>
      </c>
      <c r="W22" s="16">
        <f t="shared" ref="W22" si="152">V22-V21</f>
        <v>-87.967000000000553</v>
      </c>
      <c r="X22" s="10">
        <f>운전실적_원본!M22</f>
        <v>141563.42000000179</v>
      </c>
      <c r="Y22" s="10">
        <f>운전실적_원본!N22</f>
        <v>0</v>
      </c>
      <c r="Z22" s="10">
        <f>운전실적_원본!O22</f>
        <v>0</v>
      </c>
      <c r="AA22" s="10">
        <f>운전실적_원본!P22</f>
        <v>0</v>
      </c>
      <c r="AB22" s="10">
        <f>운전실적_원본!Q22</f>
        <v>0</v>
      </c>
      <c r="AC22" s="20">
        <f>운전실적_원본!R22</f>
        <v>0</v>
      </c>
      <c r="AD22" s="109">
        <f>운전실적_원본!S22</f>
        <v>24</v>
      </c>
      <c r="AE22" s="110">
        <f>운전실적_원본!T22</f>
        <v>0</v>
      </c>
      <c r="AF22" s="110">
        <f>운전실적_원본!U22</f>
        <v>0</v>
      </c>
      <c r="AG22" s="110">
        <f>운전실적_원본!V22</f>
        <v>0</v>
      </c>
      <c r="AH22" s="109">
        <f t="shared" si="1"/>
        <v>24</v>
      </c>
      <c r="AI22" s="110">
        <f t="shared" si="125"/>
        <v>0</v>
      </c>
      <c r="AJ22" s="110">
        <f>운전실적_원본!Y22</f>
        <v>0</v>
      </c>
      <c r="AK22" s="110">
        <f>운전실적_원본!Z22</f>
        <v>0</v>
      </c>
      <c r="AL22" s="106">
        <v>46039</v>
      </c>
      <c r="AM22" s="105">
        <f>AL23</f>
        <v>46040</v>
      </c>
      <c r="AN22" s="105"/>
      <c r="AO22" s="105"/>
      <c r="AP22" s="105"/>
      <c r="AQ22" s="108"/>
      <c r="AR22" s="105"/>
      <c r="AS22" s="105"/>
      <c r="AT22" s="102"/>
      <c r="AU22" s="102"/>
      <c r="AV22" s="102"/>
      <c r="AW22" s="102"/>
      <c r="AX22" s="32">
        <f>운전실적_원본!W22</f>
        <v>1139.3460000000005</v>
      </c>
      <c r="AY22" s="11">
        <f>운전실적_원본!X22</f>
        <v>0</v>
      </c>
      <c r="AZ22" s="11">
        <f>운전실적_원본!Y22</f>
        <v>0</v>
      </c>
      <c r="BA22" s="11">
        <f>운전실적_원본!Z22</f>
        <v>0</v>
      </c>
      <c r="BB22" s="11">
        <f>운전실적_원본!AA22</f>
        <v>0</v>
      </c>
      <c r="BC22" s="11">
        <f>운전실적_원본!AB22</f>
        <v>1139.3460000000005</v>
      </c>
      <c r="BD22" s="32">
        <f t="shared" si="15"/>
        <v>47.472750000000019</v>
      </c>
      <c r="BE22" s="11">
        <f t="shared" si="2"/>
        <v>0.92377408056042065</v>
      </c>
      <c r="BF22" s="11" t="str">
        <f t="shared" si="16"/>
        <v>-</v>
      </c>
      <c r="BG22" s="31" t="str">
        <f t="shared" si="0"/>
        <v>-</v>
      </c>
      <c r="BH22" s="241">
        <f>INDEX(연료전지_원본!$A$4:$KY$369,MATCH($A22,연료전지_원본!$A$4:$A$369,0),MATCH($BH$4,연료전지_원본!$A$4:$KY$4,0))</f>
        <v>24</v>
      </c>
      <c r="BI22" s="241">
        <f>INDEX(연료전지_원본!$A$4:$KY$369,MATCH($A22,연료전지_원본!$A$4:$A$369,0),MATCH($BI$4,연료전지_원본!$A$4:$KY$4,0))</f>
        <v>24</v>
      </c>
      <c r="BJ22" s="241">
        <f>INDEX(연료전지_원본!$A$4:$KY$369,MATCH($A22,연료전지_원본!$A$4:$A$369,0),MATCH($BJ$4,연료전지_원본!$A$4:$KY$4,0))</f>
        <v>24</v>
      </c>
      <c r="BK22" s="241">
        <f>INDEX(연료전지_원본!$A$4:$KY$369,MATCH($A22,연료전지_원본!$A$4:$A$369,0),MATCH($BK$4,연료전지_원본!$A$4:$KY$4,0))</f>
        <v>24</v>
      </c>
      <c r="BL22" s="241">
        <f>INDEX(연료전지_원본!$A$4:$KY$369,MATCH($A22,연료전지_원본!$A$4:$A$369,0),MATCH($BL$4,연료전지_원본!$A$4:$KY$4,0))</f>
        <v>24</v>
      </c>
      <c r="BM22" s="241">
        <f>INDEX(연료전지_원본!$A$4:$KY$369,MATCH($A22,연료전지_원본!$A$4:$A$369,0),MATCH($BM$4,연료전지_원본!$A$4:$KY$4,0))</f>
        <v>24</v>
      </c>
      <c r="BN22" s="241">
        <f>INDEX(연료전지_원본!$A$4:$KY$369,MATCH($A22,연료전지_원본!$A$4:$A$369,0),MATCH($BN$4,연료전지_원본!$A$4:$KY$4,0))</f>
        <v>24</v>
      </c>
      <c r="BO22" s="241">
        <f>INDEX(연료전지_원본!$A$4:$KY$369,MATCH($A22,연료전지_원본!$A$4:$A$369,0),MATCH($BO$4,연료전지_원본!$A$4:$KY$4,0))</f>
        <v>24</v>
      </c>
      <c r="BP22" s="241">
        <f>INDEX(연료전지_원본!$A$4:$KY$369,MATCH($A22,연료전지_원본!$A$4:$A$369,0),MATCH($BP$4,연료전지_원본!$A$4:$KY$4,0))</f>
        <v>24</v>
      </c>
      <c r="BQ22" s="241">
        <f>INDEX(연료전지_원본!$A$4:$KY$369,MATCH($A22,연료전지_원본!$A$4:$A$369,0),MATCH($BQ$4,연료전지_원본!$A$4:$KY$4,0))</f>
        <v>24</v>
      </c>
      <c r="BR22" s="241">
        <f>INDEX(연료전지_원본!$A$4:$KY$369,MATCH($A22,연료전지_원본!$A$4:$A$369,0),MATCH($BR$4,연료전지_원본!$A$4:$KY$4,0))</f>
        <v>24</v>
      </c>
      <c r="BS22" s="241">
        <f>INDEX(연료전지_원본!$A$4:$KY$369,MATCH($A22,연료전지_원본!$A$4:$A$369,0),MATCH($BS$4,연료전지_원본!$A$4:$KY$4,0))</f>
        <v>24</v>
      </c>
      <c r="BT22" s="241">
        <f>INDEX(연료전지_원본!$A$4:$KY$369,MATCH($A22,연료전지_원본!$A$4:$A$369,0),MATCH($BT$4,연료전지_원본!$A$4:$KY$4,0))</f>
        <v>24</v>
      </c>
      <c r="BU22" s="241">
        <f>INDEX(연료전지_원본!$A$4:$KY$369,MATCH($A22,연료전지_원본!$A$4:$A$369,0),MATCH($BU$4,연료전지_원본!$A$4:$KY$4,0))</f>
        <v>24</v>
      </c>
      <c r="BV22" s="241">
        <f>INDEX(연료전지_원본!$A$4:$KY$369,MATCH($A22,연료전지_원본!$A$4:$A$369,0),MATCH($BV$4,연료전지_원본!$A$4:$KY$4,0))</f>
        <v>24</v>
      </c>
      <c r="BW22" s="241">
        <f>INDEX(연료전지_원본!$A$4:$KY$369,MATCH($A22,연료전지_원본!$A$4:$A$369,0),MATCH($BW$4,연료전지_원본!$A$4:$KY$4,0))</f>
        <v>24</v>
      </c>
      <c r="BX22" s="241">
        <f>INDEX(연료전지_원본!$A$4:$KY$369,MATCH($A22,연료전지_원본!$A$4:$A$369,0),MATCH($BX$4,연료전지_원본!$A$4:$KY$4,0))</f>
        <v>0</v>
      </c>
      <c r="BY22" s="241">
        <f>INDEX(연료전지_원본!$A$4:$KY$369,MATCH($A22,연료전지_원본!$A$4:$A$369,0),MATCH($BY$4,연료전지_원본!$A$4:$KY$4,0))</f>
        <v>0</v>
      </c>
      <c r="BZ22" s="241">
        <f>INDEX(연료전지_원본!$A$4:$KY$369,MATCH($A22,연료전지_원본!$A$4:$A$369,0),MATCH($BZ$4,연료전지_원본!$A$4:$KY$4,0))</f>
        <v>0</v>
      </c>
      <c r="CA22" s="241">
        <f>INDEX(연료전지_원본!$A$4:$KY$369,MATCH($A22,연료전지_원본!$A$4:$A$369,0),MATCH($CA$4,연료전지_원본!$A$4:$KY$4,0))</f>
        <v>0</v>
      </c>
      <c r="CB22" s="241">
        <f>INDEX(연료전지_원본!$A$4:$KY$369,MATCH($A22,연료전지_원본!$A$4:$A$369,0),MATCH($CB$4,연료전지_원본!$A$4:$KY$4,0))</f>
        <v>0</v>
      </c>
      <c r="CC22" s="242">
        <f>INDEX(연료전지_원본!$A$4:$KY$369,MATCH($A22,연료전지_원본!$A$4:$A$369,0),MATCH($CC$4,연료전지_원본!$A$4:$KY$4,0))</f>
        <v>0</v>
      </c>
      <c r="CD22" s="250">
        <f>INDEX(연료전지_원본!$KB$4:$KX$369,MATCH($A22,연료전지_원본!$KB$4:$KB$369,0), MATCH(CD$4,연료전지_원본!$KB$4:$KX$4,0))*1000</f>
        <v>1224.4375</v>
      </c>
      <c r="CE22" s="250">
        <f>INDEX(연료전지_원본!$KB$4:$KX$369,MATCH($A22,연료전지_원본!$KB$4:$KB$369,0), MATCH(CE$4,연료전지_원본!$KB$4:$KX$4,0))*1000</f>
        <v>1224.4375</v>
      </c>
      <c r="CF22" s="250">
        <f>INDEX(연료전지_원본!$KB$4:$KX$369,MATCH($A22,연료전지_원본!$KB$4:$KB$369,0), MATCH(CF$4,연료전지_원본!$KB$4:$KX$4,0))*1000</f>
        <v>1224.4375</v>
      </c>
      <c r="CG22" s="250">
        <f>INDEX(연료전지_원본!$KB$4:$KX$369,MATCH($A22,연료전지_원본!$KB$4:$KB$369,0), MATCH(CG$4,연료전지_원본!$KB$4:$KX$4,0))*1000</f>
        <v>1224.4375</v>
      </c>
      <c r="CH22" s="250">
        <f>INDEX(연료전지_원본!$KB$4:$KX$369,MATCH($A22,연료전지_원본!$KB$4:$KB$369,0), MATCH(CH$4,연료전지_원본!$KB$4:$KX$4,0))*1000</f>
        <v>1224.4375</v>
      </c>
      <c r="CI22" s="250">
        <f>INDEX(연료전지_원본!$KB$4:$KX$369,MATCH($A22,연료전지_원본!$KB$4:$KB$369,0), MATCH(CI$4,연료전지_원본!$KB$4:$KX$4,0))*1000</f>
        <v>1224.4375</v>
      </c>
      <c r="CJ22" s="250">
        <f>INDEX(연료전지_원본!$KB$4:$KX$369,MATCH($A22,연료전지_원본!$KB$4:$KB$369,0), MATCH(CJ$4,연료전지_원본!$KB$4:$KX$4,0))*1000</f>
        <v>1224.4375</v>
      </c>
      <c r="CK22" s="250">
        <f>INDEX(연료전지_원본!$KB$4:$KX$369,MATCH($A22,연료전지_원본!$KB$4:$KB$369,0), MATCH(CK$4,연료전지_원본!$KB$4:$KX$4,0))*1000</f>
        <v>1224.4375</v>
      </c>
      <c r="CL22" s="250">
        <f>INDEX(연료전지_원본!$KB$4:$KX$369,MATCH($A22,연료전지_원본!$KB$4:$KB$369,0), MATCH(CL$4,연료전지_원본!$KB$4:$KX$4,0))*1000</f>
        <v>1224.4375</v>
      </c>
      <c r="CM22" s="250">
        <f>INDEX(연료전지_원본!$KB$4:$KX$369,MATCH($A22,연료전지_원본!$KB$4:$KB$369,0), MATCH(CM$4,연료전지_원본!$KB$4:$KX$4,0))*1000</f>
        <v>1224.4375</v>
      </c>
      <c r="CN22" s="250">
        <f>INDEX(연료전지_원본!$KB$4:$KX$369,MATCH($A22,연료전지_원본!$KB$4:$KB$369,0), MATCH(CN$4,연료전지_원본!$KB$4:$KX$4,0))*1000</f>
        <v>1224.4375</v>
      </c>
      <c r="CO22" s="250">
        <f>INDEX(연료전지_원본!$KB$4:$KX$369,MATCH($A22,연료전지_원본!$KB$4:$KB$369,0), MATCH(CO$4,연료전지_원본!$KB$4:$KX$4,0))*1000</f>
        <v>1224.4375</v>
      </c>
      <c r="CP22" s="250">
        <f>INDEX(연료전지_원본!$KB$4:$KX$369,MATCH($A22,연료전지_원본!$KB$4:$KB$369,0), MATCH(CP$4,연료전지_원본!$KB$4:$KX$4,0))*1000</f>
        <v>1224.4375</v>
      </c>
      <c r="CQ22" s="250">
        <f>INDEX(연료전지_원본!$KB$4:$KX$369,MATCH($A22,연료전지_원본!$KB$4:$KB$369,0), MATCH(CQ$4,연료전지_원본!$KB$4:$KX$4,0))*1000</f>
        <v>1224.4375</v>
      </c>
      <c r="CR22" s="250">
        <f>INDEX(연료전지_원본!$KB$4:$KX$369,MATCH($A22,연료전지_원본!$KB$4:$KB$369,0), MATCH(CR$4,연료전지_원본!$KB$4:$KX$4,0))*1000</f>
        <v>1224.4375</v>
      </c>
      <c r="CS22" s="250">
        <f>INDEX(연료전지_원본!$KB$4:$KX$369,MATCH($A22,연료전지_원본!$KB$4:$KB$369,0), MATCH(CS$4,연료전지_원본!$KB$4:$KX$4,0))*1000</f>
        <v>1224.4375</v>
      </c>
      <c r="CT22" s="250">
        <f>INDEX(연료전지_원본!$KB$4:$KX$369,MATCH($A22,연료전지_원본!$KB$4:$KB$369,0), MATCH(CT$4,연료전지_원본!$KB$4:$KX$4,0))*1000</f>
        <v>0</v>
      </c>
      <c r="CU22" s="250">
        <f>INDEX(연료전지_원본!$KB$4:$KX$369,MATCH($A22,연료전지_원본!$KB$4:$KB$369,0), MATCH(CU$4,연료전지_원본!$KB$4:$KX$4,0))*1000</f>
        <v>0</v>
      </c>
      <c r="CV22" s="250">
        <f>INDEX(연료전지_원본!$KB$4:$KX$369,MATCH($A22,연료전지_원본!$KB$4:$KB$369,0), MATCH(CV$4,연료전지_원본!$KB$4:$KX$4,0))*1000</f>
        <v>0</v>
      </c>
      <c r="CW22" s="250">
        <f>INDEX(연료전지_원본!$KB$4:$KX$369,MATCH($A22,연료전지_원본!$KB$4:$KB$369,0), MATCH(CW$4,연료전지_원본!$KB$4:$KX$4,0))*1000</f>
        <v>0</v>
      </c>
      <c r="CX22" s="250">
        <f>INDEX(연료전지_원본!$KB$4:$KX$369,MATCH($A22,연료전지_원본!$KB$4:$KB$369,0), MATCH(CX$4,연료전지_원본!$KB$4:$KX$4,0))*1000</f>
        <v>0</v>
      </c>
      <c r="CY22" s="250">
        <f>INDEX(연료전지_원본!$KB$4:$KX$369,MATCH($A22,연료전지_원본!$KB$4:$KB$369,0), MATCH(CY$4,연료전지_원본!$KB$4:$KX$4,0))*1000</f>
        <v>0</v>
      </c>
    </row>
    <row r="23" spans="1:103">
      <c r="A23" s="6">
        <v>46040</v>
      </c>
      <c r="B23" s="15">
        <f>운전실적_원본!B23</f>
        <v>651.20000000000005</v>
      </c>
      <c r="C23" s="16">
        <f t="shared" si="3"/>
        <v>0</v>
      </c>
      <c r="D23" s="9">
        <f>운전실적_원본!C23</f>
        <v>248412</v>
      </c>
      <c r="E23" s="9">
        <f t="shared" si="3"/>
        <v>0</v>
      </c>
      <c r="F23" s="9">
        <f>운전실적_원본!D23</f>
        <v>240195</v>
      </c>
      <c r="G23" s="16">
        <f t="shared" ref="G23" si="153">F23-F22</f>
        <v>42</v>
      </c>
      <c r="H23" s="15">
        <f>운전실적_원본!E23</f>
        <v>17102.59</v>
      </c>
      <c r="I23" s="16">
        <f t="shared" ref="I23" si="154">H23-H22</f>
        <v>2.2599999999983993</v>
      </c>
      <c r="J23" s="15">
        <f>운전실적_원본!F23</f>
        <v>14643.24</v>
      </c>
      <c r="K23" s="16">
        <f t="shared" ref="K23" si="155">J23-J22</f>
        <v>16.100000000000364</v>
      </c>
      <c r="L23" s="15">
        <f>운전실적_원본!G23</f>
        <v>4050.3</v>
      </c>
      <c r="M23" s="31">
        <f t="shared" ref="M23" si="156">L23-L22</f>
        <v>0.70000000000027285</v>
      </c>
      <c r="N23" s="15">
        <f>운전실적_원본!H23</f>
        <v>35031</v>
      </c>
      <c r="O23" s="16">
        <f t="shared" ref="O23" si="157">N23-N22</f>
        <v>76</v>
      </c>
      <c r="P23" s="15">
        <f>운전실적_원본!I23</f>
        <v>17736</v>
      </c>
      <c r="Q23" s="16">
        <f t="shared" ref="Q23" si="158">P23-P22</f>
        <v>81</v>
      </c>
      <c r="R23" s="18">
        <f>운전실적_원본!J23</f>
        <v>33.72</v>
      </c>
      <c r="S23" s="19">
        <f t="shared" ref="S23" si="159">R23-R22</f>
        <v>6.9999999999978968E-3</v>
      </c>
      <c r="T23" s="18">
        <f>운전실적_원본!K23</f>
        <v>33.07</v>
      </c>
      <c r="U23" s="19">
        <f t="shared" ref="U23" si="160">T23-T22</f>
        <v>0.11299999999999955</v>
      </c>
      <c r="V23" s="12">
        <f>운전실적_원본!L23</f>
        <v>8278</v>
      </c>
      <c r="W23" s="16">
        <f t="shared" ref="W23" si="161">V23-V22</f>
        <v>-89.782999999999447</v>
      </c>
      <c r="X23" s="10">
        <f>운전실적_원본!M23</f>
        <v>202158.62999999523</v>
      </c>
      <c r="Y23" s="10">
        <f>운전실적_원본!N23</f>
        <v>0</v>
      </c>
      <c r="Z23" s="10">
        <f>운전실적_원본!O23</f>
        <v>0</v>
      </c>
      <c r="AA23" s="10">
        <f>운전실적_원본!P23</f>
        <v>0</v>
      </c>
      <c r="AB23" s="10">
        <f>운전실적_원본!Q23</f>
        <v>0</v>
      </c>
      <c r="AC23" s="20">
        <f>운전실적_원본!R23</f>
        <v>0</v>
      </c>
      <c r="AD23" s="109">
        <f>운전실적_원본!S23</f>
        <v>19</v>
      </c>
      <c r="AE23" s="110">
        <f>운전실적_원본!T23</f>
        <v>0</v>
      </c>
      <c r="AF23" s="110">
        <f>운전실적_원본!U23</f>
        <v>0</v>
      </c>
      <c r="AG23" s="110">
        <f>운전실적_원본!V23</f>
        <v>0</v>
      </c>
      <c r="AH23" s="109">
        <f t="shared" si="1"/>
        <v>18.999999999941792</v>
      </c>
      <c r="AI23" s="110">
        <f t="shared" si="125"/>
        <v>0</v>
      </c>
      <c r="AJ23" s="110">
        <f>운전실적_원본!Y23</f>
        <v>0</v>
      </c>
      <c r="AK23" s="110">
        <f>운전실적_원본!Z23</f>
        <v>0</v>
      </c>
      <c r="AL23" s="106">
        <v>46040</v>
      </c>
      <c r="AM23" s="105">
        <v>46040.4375</v>
      </c>
      <c r="AN23" s="105">
        <v>46040.645833333336</v>
      </c>
      <c r="AO23" s="105">
        <f>AL24</f>
        <v>46041</v>
      </c>
      <c r="AP23" s="105"/>
      <c r="AQ23" s="108"/>
      <c r="AR23" s="105"/>
      <c r="AS23" s="105"/>
      <c r="AT23" s="102"/>
      <c r="AU23" s="102"/>
      <c r="AV23" s="102"/>
      <c r="AW23" s="102"/>
      <c r="AX23" s="32">
        <f>운전실적_원본!W23</f>
        <v>900.96299999999974</v>
      </c>
      <c r="AY23" s="11">
        <f>운전실적_원본!X23</f>
        <v>0</v>
      </c>
      <c r="AZ23" s="11">
        <f>운전실적_원본!Y23</f>
        <v>0</v>
      </c>
      <c r="BA23" s="11">
        <f>운전실적_원본!Z23</f>
        <v>0</v>
      </c>
      <c r="BB23" s="11">
        <f>운전실적_원본!AA23</f>
        <v>0</v>
      </c>
      <c r="BC23" s="11">
        <f>운전실적_원본!AB23</f>
        <v>900.96299999999974</v>
      </c>
      <c r="BD23" s="32">
        <f t="shared" si="15"/>
        <v>47.419105263157881</v>
      </c>
      <c r="BE23" s="11">
        <f t="shared" si="2"/>
        <v>0.92273020554889829</v>
      </c>
      <c r="BF23" s="11" t="str">
        <f t="shared" si="16"/>
        <v>-</v>
      </c>
      <c r="BG23" s="31" t="str">
        <f t="shared" si="0"/>
        <v>-</v>
      </c>
      <c r="BH23" s="241">
        <f>INDEX(연료전지_원본!$A$4:$KY$369,MATCH($A23,연료전지_원본!$A$4:$A$369,0),MATCH($BH$4,연료전지_원본!$A$4:$KY$4,0))</f>
        <v>24</v>
      </c>
      <c r="BI23" s="241">
        <f>INDEX(연료전지_원본!$A$4:$KY$369,MATCH($A23,연료전지_원본!$A$4:$A$369,0),MATCH($BI$4,연료전지_원본!$A$4:$KY$4,0))</f>
        <v>24</v>
      </c>
      <c r="BJ23" s="241">
        <f>INDEX(연료전지_원본!$A$4:$KY$369,MATCH($A23,연료전지_원본!$A$4:$A$369,0),MATCH($BJ$4,연료전지_원본!$A$4:$KY$4,0))</f>
        <v>24</v>
      </c>
      <c r="BK23" s="241">
        <f>INDEX(연료전지_원본!$A$4:$KY$369,MATCH($A23,연료전지_원본!$A$4:$A$369,0),MATCH($BK$4,연료전지_원본!$A$4:$KY$4,0))</f>
        <v>24</v>
      </c>
      <c r="BL23" s="241">
        <f>INDEX(연료전지_원본!$A$4:$KY$369,MATCH($A23,연료전지_원본!$A$4:$A$369,0),MATCH($BL$4,연료전지_원본!$A$4:$KY$4,0))</f>
        <v>24</v>
      </c>
      <c r="BM23" s="241">
        <f>INDEX(연료전지_원본!$A$4:$KY$369,MATCH($A23,연료전지_원본!$A$4:$A$369,0),MATCH($BM$4,연료전지_원본!$A$4:$KY$4,0))</f>
        <v>24</v>
      </c>
      <c r="BN23" s="241">
        <f>INDEX(연료전지_원본!$A$4:$KY$369,MATCH($A23,연료전지_원본!$A$4:$A$369,0),MATCH($BN$4,연료전지_원본!$A$4:$KY$4,0))</f>
        <v>24</v>
      </c>
      <c r="BO23" s="241">
        <f>INDEX(연료전지_원본!$A$4:$KY$369,MATCH($A23,연료전지_원본!$A$4:$A$369,0),MATCH($BO$4,연료전지_원본!$A$4:$KY$4,0))</f>
        <v>24</v>
      </c>
      <c r="BP23" s="241">
        <f>INDEX(연료전지_원본!$A$4:$KY$369,MATCH($A23,연료전지_원본!$A$4:$A$369,0),MATCH($BP$4,연료전지_원본!$A$4:$KY$4,0))</f>
        <v>24</v>
      </c>
      <c r="BQ23" s="241">
        <f>INDEX(연료전지_원본!$A$4:$KY$369,MATCH($A23,연료전지_원본!$A$4:$A$369,0),MATCH($BQ$4,연료전지_원본!$A$4:$KY$4,0))</f>
        <v>24</v>
      </c>
      <c r="BR23" s="241">
        <f>INDEX(연료전지_원본!$A$4:$KY$369,MATCH($A23,연료전지_원본!$A$4:$A$369,0),MATCH($BR$4,연료전지_원본!$A$4:$KY$4,0))</f>
        <v>24</v>
      </c>
      <c r="BS23" s="241">
        <f>INDEX(연료전지_원본!$A$4:$KY$369,MATCH($A23,연료전지_원본!$A$4:$A$369,0),MATCH($BS$4,연료전지_원본!$A$4:$KY$4,0))</f>
        <v>24</v>
      </c>
      <c r="BT23" s="241">
        <f>INDEX(연료전지_원본!$A$4:$KY$369,MATCH($A23,연료전지_원본!$A$4:$A$369,0),MATCH($BT$4,연료전지_원본!$A$4:$KY$4,0))</f>
        <v>24</v>
      </c>
      <c r="BU23" s="241">
        <f>INDEX(연료전지_원본!$A$4:$KY$369,MATCH($A23,연료전지_원본!$A$4:$A$369,0),MATCH($BU$4,연료전지_원본!$A$4:$KY$4,0))</f>
        <v>24</v>
      </c>
      <c r="BV23" s="241">
        <f>INDEX(연료전지_원본!$A$4:$KY$369,MATCH($A23,연료전지_원본!$A$4:$A$369,0),MATCH($BV$4,연료전지_원본!$A$4:$KY$4,0))</f>
        <v>24</v>
      </c>
      <c r="BW23" s="241">
        <f>INDEX(연료전지_원본!$A$4:$KY$369,MATCH($A23,연료전지_원본!$A$4:$A$369,0),MATCH($BW$4,연료전지_원본!$A$4:$KY$4,0))</f>
        <v>24</v>
      </c>
      <c r="BX23" s="241">
        <f>INDEX(연료전지_원본!$A$4:$KY$369,MATCH($A23,연료전지_원본!$A$4:$A$369,0),MATCH($BX$4,연료전지_원본!$A$4:$KY$4,0))</f>
        <v>0</v>
      </c>
      <c r="BY23" s="241">
        <f>INDEX(연료전지_원본!$A$4:$KY$369,MATCH($A23,연료전지_원본!$A$4:$A$369,0),MATCH($BY$4,연료전지_원본!$A$4:$KY$4,0))</f>
        <v>0</v>
      </c>
      <c r="BZ23" s="241">
        <f>INDEX(연료전지_원본!$A$4:$KY$369,MATCH($A23,연료전지_원본!$A$4:$A$369,0),MATCH($BZ$4,연료전지_원본!$A$4:$KY$4,0))</f>
        <v>0</v>
      </c>
      <c r="CA23" s="241">
        <f>INDEX(연료전지_원본!$A$4:$KY$369,MATCH($A23,연료전지_원본!$A$4:$A$369,0),MATCH($CA$4,연료전지_원본!$A$4:$KY$4,0))</f>
        <v>0</v>
      </c>
      <c r="CB23" s="241">
        <f>INDEX(연료전지_원본!$A$4:$KY$369,MATCH($A23,연료전지_원본!$A$4:$A$369,0),MATCH($CB$4,연료전지_원본!$A$4:$KY$4,0))</f>
        <v>0</v>
      </c>
      <c r="CC23" s="242">
        <f>INDEX(연료전지_원본!$A$4:$KY$369,MATCH($A23,연료전지_원본!$A$4:$A$369,0),MATCH($CC$4,연료전지_원본!$A$4:$KY$4,0))</f>
        <v>0</v>
      </c>
      <c r="CD23" s="250">
        <f>INDEX(연료전지_원본!$KB$4:$KX$369,MATCH($A23,연료전지_원본!$KB$4:$KB$369,0), MATCH(CD$4,연료전지_원본!$KB$4:$KX$4,0))*1000</f>
        <v>1159.3125</v>
      </c>
      <c r="CE23" s="250">
        <f>INDEX(연료전지_원본!$KB$4:$KX$369,MATCH($A23,연료전지_원본!$KB$4:$KB$369,0), MATCH(CE$4,연료전지_원본!$KB$4:$KX$4,0))*1000</f>
        <v>1159.3125</v>
      </c>
      <c r="CF23" s="250">
        <f>INDEX(연료전지_원본!$KB$4:$KX$369,MATCH($A23,연료전지_원본!$KB$4:$KB$369,0), MATCH(CF$4,연료전지_원본!$KB$4:$KX$4,0))*1000</f>
        <v>1159.3125</v>
      </c>
      <c r="CG23" s="250">
        <f>INDEX(연료전지_원본!$KB$4:$KX$369,MATCH($A23,연료전지_원본!$KB$4:$KB$369,0), MATCH(CG$4,연료전지_원본!$KB$4:$KX$4,0))*1000</f>
        <v>1159.3125</v>
      </c>
      <c r="CH23" s="250">
        <f>INDEX(연료전지_원본!$KB$4:$KX$369,MATCH($A23,연료전지_원본!$KB$4:$KB$369,0), MATCH(CH$4,연료전지_원본!$KB$4:$KX$4,0))*1000</f>
        <v>1159.3125</v>
      </c>
      <c r="CI23" s="250">
        <f>INDEX(연료전지_원본!$KB$4:$KX$369,MATCH($A23,연료전지_원본!$KB$4:$KB$369,0), MATCH(CI$4,연료전지_원본!$KB$4:$KX$4,0))*1000</f>
        <v>1159.3125</v>
      </c>
      <c r="CJ23" s="250">
        <f>INDEX(연료전지_원본!$KB$4:$KX$369,MATCH($A23,연료전지_원본!$KB$4:$KB$369,0), MATCH(CJ$4,연료전지_원본!$KB$4:$KX$4,0))*1000</f>
        <v>1159.3125</v>
      </c>
      <c r="CK23" s="250">
        <f>INDEX(연료전지_원본!$KB$4:$KX$369,MATCH($A23,연료전지_원본!$KB$4:$KB$369,0), MATCH(CK$4,연료전지_원본!$KB$4:$KX$4,0))*1000</f>
        <v>1159.3125</v>
      </c>
      <c r="CL23" s="250">
        <f>INDEX(연료전지_원본!$KB$4:$KX$369,MATCH($A23,연료전지_원본!$KB$4:$KB$369,0), MATCH(CL$4,연료전지_원본!$KB$4:$KX$4,0))*1000</f>
        <v>1159.3125</v>
      </c>
      <c r="CM23" s="250">
        <f>INDEX(연료전지_원본!$KB$4:$KX$369,MATCH($A23,연료전지_원본!$KB$4:$KB$369,0), MATCH(CM$4,연료전지_원본!$KB$4:$KX$4,0))*1000</f>
        <v>1159.3125</v>
      </c>
      <c r="CN23" s="250">
        <f>INDEX(연료전지_원본!$KB$4:$KX$369,MATCH($A23,연료전지_원본!$KB$4:$KB$369,0), MATCH(CN$4,연료전지_원본!$KB$4:$KX$4,0))*1000</f>
        <v>1159.3125</v>
      </c>
      <c r="CO23" s="250">
        <f>INDEX(연료전지_원본!$KB$4:$KX$369,MATCH($A23,연료전지_원본!$KB$4:$KB$369,0), MATCH(CO$4,연료전지_원본!$KB$4:$KX$4,0))*1000</f>
        <v>1159.3125</v>
      </c>
      <c r="CP23" s="250">
        <f>INDEX(연료전지_원본!$KB$4:$KX$369,MATCH($A23,연료전지_원본!$KB$4:$KB$369,0), MATCH(CP$4,연료전지_원본!$KB$4:$KX$4,0))*1000</f>
        <v>1159.3125</v>
      </c>
      <c r="CQ23" s="250">
        <f>INDEX(연료전지_원본!$KB$4:$KX$369,MATCH($A23,연료전지_원본!$KB$4:$KB$369,0), MATCH(CQ$4,연료전지_원본!$KB$4:$KX$4,0))*1000</f>
        <v>1159.3125</v>
      </c>
      <c r="CR23" s="250">
        <f>INDEX(연료전지_원본!$KB$4:$KX$369,MATCH($A23,연료전지_원본!$KB$4:$KB$369,0), MATCH(CR$4,연료전지_원본!$KB$4:$KX$4,0))*1000</f>
        <v>1159.3125</v>
      </c>
      <c r="CS23" s="250">
        <f>INDEX(연료전지_원본!$KB$4:$KX$369,MATCH($A23,연료전지_원본!$KB$4:$KB$369,0), MATCH(CS$4,연료전지_원본!$KB$4:$KX$4,0))*1000</f>
        <v>1159.3125</v>
      </c>
      <c r="CT23" s="250">
        <f>INDEX(연료전지_원본!$KB$4:$KX$369,MATCH($A23,연료전지_원본!$KB$4:$KB$369,0), MATCH(CT$4,연료전지_원본!$KB$4:$KX$4,0))*1000</f>
        <v>0</v>
      </c>
      <c r="CU23" s="250">
        <f>INDEX(연료전지_원본!$KB$4:$KX$369,MATCH($A23,연료전지_원본!$KB$4:$KB$369,0), MATCH(CU$4,연료전지_원본!$KB$4:$KX$4,0))*1000</f>
        <v>0</v>
      </c>
      <c r="CV23" s="250">
        <f>INDEX(연료전지_원본!$KB$4:$KX$369,MATCH($A23,연료전지_원본!$KB$4:$KB$369,0), MATCH(CV$4,연료전지_원본!$KB$4:$KX$4,0))*1000</f>
        <v>0</v>
      </c>
      <c r="CW23" s="250">
        <f>INDEX(연료전지_원본!$KB$4:$KX$369,MATCH($A23,연료전지_원본!$KB$4:$KB$369,0), MATCH(CW$4,연료전지_원본!$KB$4:$KX$4,0))*1000</f>
        <v>0</v>
      </c>
      <c r="CX23" s="250">
        <f>INDEX(연료전지_원본!$KB$4:$KX$369,MATCH($A23,연료전지_원본!$KB$4:$KB$369,0), MATCH(CX$4,연료전지_원본!$KB$4:$KX$4,0))*1000</f>
        <v>0</v>
      </c>
      <c r="CY23" s="250">
        <f>INDEX(연료전지_원본!$KB$4:$KX$369,MATCH($A23,연료전지_원본!$KB$4:$KB$369,0), MATCH(CY$4,연료전지_원본!$KB$4:$KX$4,0))*1000</f>
        <v>0</v>
      </c>
    </row>
    <row r="24" spans="1:103">
      <c r="A24" s="6">
        <v>46041</v>
      </c>
      <c r="B24" s="15">
        <f>운전실적_원본!B24</f>
        <v>651.20000000000005</v>
      </c>
      <c r="C24" s="16">
        <f t="shared" si="3"/>
        <v>0</v>
      </c>
      <c r="D24" s="9">
        <f>운전실적_원본!C24</f>
        <v>248481</v>
      </c>
      <c r="E24" s="9">
        <f t="shared" si="3"/>
        <v>69</v>
      </c>
      <c r="F24" s="9">
        <f>운전실적_원본!D24</f>
        <v>240217</v>
      </c>
      <c r="G24" s="16">
        <f t="shared" ref="G24" si="162">F24-F23</f>
        <v>22</v>
      </c>
      <c r="H24" s="15">
        <f>운전실적_원본!E24</f>
        <v>17108.349999999999</v>
      </c>
      <c r="I24" s="16">
        <f t="shared" ref="I24" si="163">H24-H23</f>
        <v>5.7599999999983993</v>
      </c>
      <c r="J24" s="15">
        <f>운전실적_원본!F24</f>
        <v>14663.11</v>
      </c>
      <c r="K24" s="16">
        <f t="shared" ref="K24" si="164">J24-J23</f>
        <v>19.8700000000008</v>
      </c>
      <c r="L24" s="15">
        <f>운전실적_원본!G24</f>
        <v>4051.3</v>
      </c>
      <c r="M24" s="31">
        <f t="shared" ref="M24" si="165">L24-L23</f>
        <v>1</v>
      </c>
      <c r="N24" s="15">
        <f>운전실적_원본!H24</f>
        <v>35197</v>
      </c>
      <c r="O24" s="16">
        <f t="shared" ref="O24" si="166">N24-N23</f>
        <v>166</v>
      </c>
      <c r="P24" s="15">
        <f>운전실적_원본!I24</f>
        <v>17997</v>
      </c>
      <c r="Q24" s="16">
        <f t="shared" ref="Q24" si="167">P24-P23</f>
        <v>261</v>
      </c>
      <c r="R24" s="18">
        <f>운전실적_원본!J24</f>
        <v>33.51</v>
      </c>
      <c r="S24" s="19">
        <f t="shared" ref="S24" si="168">R24-R23</f>
        <v>-0.21000000000000085</v>
      </c>
      <c r="T24" s="18">
        <f>운전실적_원본!K24</f>
        <v>32.869999999999997</v>
      </c>
      <c r="U24" s="19">
        <f t="shared" ref="U24" si="169">T24-T23</f>
        <v>-0.20000000000000284</v>
      </c>
      <c r="V24" s="12">
        <f>운전실적_원본!L24</f>
        <v>8660</v>
      </c>
      <c r="W24" s="16">
        <f t="shared" ref="W24" si="170">V24-V23</f>
        <v>382</v>
      </c>
      <c r="X24" s="10">
        <f>운전실적_원본!M24</f>
        <v>196331.77000000328</v>
      </c>
      <c r="Y24" s="10">
        <f>운전실적_원본!N24</f>
        <v>0</v>
      </c>
      <c r="Z24" s="10">
        <f>운전실적_원본!O24</f>
        <v>0</v>
      </c>
      <c r="AA24" s="10">
        <f>운전실적_원본!P24</f>
        <v>0</v>
      </c>
      <c r="AB24" s="10">
        <f>운전실적_원본!Q24</f>
        <v>0</v>
      </c>
      <c r="AC24" s="20">
        <f>운전실적_원본!R24</f>
        <v>0</v>
      </c>
      <c r="AD24" s="109">
        <f>운전실적_원본!S24</f>
        <v>24</v>
      </c>
      <c r="AE24" s="110">
        <f>운전실적_원본!T24</f>
        <v>0</v>
      </c>
      <c r="AF24" s="110">
        <f>운전실적_원본!U24</f>
        <v>0</v>
      </c>
      <c r="AG24" s="110">
        <f>운전실적_원본!V24</f>
        <v>0</v>
      </c>
      <c r="AH24" s="109">
        <f t="shared" si="1"/>
        <v>24</v>
      </c>
      <c r="AI24" s="110">
        <f t="shared" si="125"/>
        <v>0</v>
      </c>
      <c r="AJ24" s="110">
        <f>운전실적_원본!Y24</f>
        <v>0</v>
      </c>
      <c r="AK24" s="110">
        <f>운전실적_원본!Z24</f>
        <v>0</v>
      </c>
      <c r="AL24" s="106">
        <v>46041</v>
      </c>
      <c r="AM24" s="105">
        <f t="shared" ref="AM24:AM51" si="171">AL25</f>
        <v>46042</v>
      </c>
      <c r="AN24" s="105"/>
      <c r="AO24" s="105"/>
      <c r="AP24" s="105"/>
      <c r="AQ24" s="108"/>
      <c r="AR24" s="105"/>
      <c r="AS24" s="105"/>
      <c r="AT24" s="102"/>
      <c r="AU24" s="102"/>
      <c r="AV24" s="102"/>
      <c r="AW24" s="102"/>
      <c r="AX24" s="32">
        <f>운전실적_원본!W24</f>
        <v>1252</v>
      </c>
      <c r="AY24" s="11">
        <f>운전실적_원본!X24</f>
        <v>0</v>
      </c>
      <c r="AZ24" s="11">
        <f>운전실적_원본!Y24</f>
        <v>0</v>
      </c>
      <c r="BA24" s="11">
        <f>운전실적_원본!Z24</f>
        <v>0</v>
      </c>
      <c r="BB24" s="11">
        <f>운전실적_원본!AA24</f>
        <v>0</v>
      </c>
      <c r="BC24" s="11">
        <f>운전실적_원본!AB24</f>
        <v>1252</v>
      </c>
      <c r="BD24" s="32">
        <f t="shared" si="15"/>
        <v>52.166666666666664</v>
      </c>
      <c r="BE24" s="11">
        <f t="shared" si="2"/>
        <v>1.0151131867419083</v>
      </c>
      <c r="BF24" s="11" t="str">
        <f t="shared" si="16"/>
        <v>-</v>
      </c>
      <c r="BG24" s="31" t="str">
        <f t="shared" si="0"/>
        <v>-</v>
      </c>
      <c r="BH24" s="241">
        <f>INDEX(연료전지_원본!$A$4:$KY$369,MATCH($A24,연료전지_원본!$A$4:$A$369,0),MATCH($BH$4,연료전지_원본!$A$4:$KY$4,0))</f>
        <v>24</v>
      </c>
      <c r="BI24" s="241">
        <f>INDEX(연료전지_원본!$A$4:$KY$369,MATCH($A24,연료전지_원본!$A$4:$A$369,0),MATCH($BI$4,연료전지_원본!$A$4:$KY$4,0))</f>
        <v>24</v>
      </c>
      <c r="BJ24" s="241">
        <f>INDEX(연료전지_원본!$A$4:$KY$369,MATCH($A24,연료전지_원본!$A$4:$A$369,0),MATCH($BJ$4,연료전지_원본!$A$4:$KY$4,0))</f>
        <v>24</v>
      </c>
      <c r="BK24" s="241">
        <f>INDEX(연료전지_원본!$A$4:$KY$369,MATCH($A24,연료전지_원본!$A$4:$A$369,0),MATCH($BK$4,연료전지_원본!$A$4:$KY$4,0))</f>
        <v>24</v>
      </c>
      <c r="BL24" s="241">
        <f>INDEX(연료전지_원본!$A$4:$KY$369,MATCH($A24,연료전지_원본!$A$4:$A$369,0),MATCH($BL$4,연료전지_원본!$A$4:$KY$4,0))</f>
        <v>24</v>
      </c>
      <c r="BM24" s="241">
        <f>INDEX(연료전지_원본!$A$4:$KY$369,MATCH($A24,연료전지_원본!$A$4:$A$369,0),MATCH($BM$4,연료전지_원본!$A$4:$KY$4,0))</f>
        <v>24</v>
      </c>
      <c r="BN24" s="241">
        <f>INDEX(연료전지_원본!$A$4:$KY$369,MATCH($A24,연료전지_원본!$A$4:$A$369,0),MATCH($BN$4,연료전지_원본!$A$4:$KY$4,0))</f>
        <v>24</v>
      </c>
      <c r="BO24" s="241">
        <f>INDEX(연료전지_원본!$A$4:$KY$369,MATCH($A24,연료전지_원본!$A$4:$A$369,0),MATCH($BO$4,연료전지_원본!$A$4:$KY$4,0))</f>
        <v>24</v>
      </c>
      <c r="BP24" s="241">
        <f>INDEX(연료전지_원본!$A$4:$KY$369,MATCH($A24,연료전지_원본!$A$4:$A$369,0),MATCH($BP$4,연료전지_원본!$A$4:$KY$4,0))</f>
        <v>24</v>
      </c>
      <c r="BQ24" s="241">
        <f>INDEX(연료전지_원본!$A$4:$KY$369,MATCH($A24,연료전지_원본!$A$4:$A$369,0),MATCH($BQ$4,연료전지_원본!$A$4:$KY$4,0))</f>
        <v>24</v>
      </c>
      <c r="BR24" s="241">
        <f>INDEX(연료전지_원본!$A$4:$KY$369,MATCH($A24,연료전지_원본!$A$4:$A$369,0),MATCH($BR$4,연료전지_원본!$A$4:$KY$4,0))</f>
        <v>24</v>
      </c>
      <c r="BS24" s="241">
        <f>INDEX(연료전지_원본!$A$4:$KY$369,MATCH($A24,연료전지_원본!$A$4:$A$369,0),MATCH($BS$4,연료전지_원본!$A$4:$KY$4,0))</f>
        <v>24</v>
      </c>
      <c r="BT24" s="241">
        <f>INDEX(연료전지_원본!$A$4:$KY$369,MATCH($A24,연료전지_원본!$A$4:$A$369,0),MATCH($BT$4,연료전지_원본!$A$4:$KY$4,0))</f>
        <v>24</v>
      </c>
      <c r="BU24" s="241">
        <f>INDEX(연료전지_원본!$A$4:$KY$369,MATCH($A24,연료전지_원본!$A$4:$A$369,0),MATCH($BU$4,연료전지_원본!$A$4:$KY$4,0))</f>
        <v>24</v>
      </c>
      <c r="BV24" s="241">
        <f>INDEX(연료전지_원본!$A$4:$KY$369,MATCH($A24,연료전지_원본!$A$4:$A$369,0),MATCH($BV$4,연료전지_원본!$A$4:$KY$4,0))</f>
        <v>24</v>
      </c>
      <c r="BW24" s="241">
        <f>INDEX(연료전지_원본!$A$4:$KY$369,MATCH($A24,연료전지_원본!$A$4:$A$369,0),MATCH($BW$4,연료전지_원본!$A$4:$KY$4,0))</f>
        <v>24</v>
      </c>
      <c r="BX24" s="241">
        <f>INDEX(연료전지_원본!$A$4:$KY$369,MATCH($A24,연료전지_원본!$A$4:$A$369,0),MATCH($BX$4,연료전지_원본!$A$4:$KY$4,0))</f>
        <v>0</v>
      </c>
      <c r="BY24" s="241">
        <f>INDEX(연료전지_원본!$A$4:$KY$369,MATCH($A24,연료전지_원본!$A$4:$A$369,0),MATCH($BY$4,연료전지_원본!$A$4:$KY$4,0))</f>
        <v>0</v>
      </c>
      <c r="BZ24" s="241">
        <f>INDEX(연료전지_원본!$A$4:$KY$369,MATCH($A24,연료전지_원본!$A$4:$A$369,0),MATCH($BZ$4,연료전지_원본!$A$4:$KY$4,0))</f>
        <v>0</v>
      </c>
      <c r="CA24" s="241">
        <f>INDEX(연료전지_원본!$A$4:$KY$369,MATCH($A24,연료전지_원본!$A$4:$A$369,0),MATCH($CA$4,연료전지_원본!$A$4:$KY$4,0))</f>
        <v>0</v>
      </c>
      <c r="CB24" s="241">
        <f>INDEX(연료전지_원본!$A$4:$KY$369,MATCH($A24,연료전지_원본!$A$4:$A$369,0),MATCH($CB$4,연료전지_원본!$A$4:$KY$4,0))</f>
        <v>0</v>
      </c>
      <c r="CC24" s="242">
        <f>INDEX(연료전지_원본!$A$4:$KY$369,MATCH($A24,연료전지_원본!$A$4:$A$369,0),MATCH($CC$4,연료전지_원본!$A$4:$KY$4,0))</f>
        <v>0</v>
      </c>
      <c r="CD24" s="250">
        <f>INDEX(연료전지_원본!$KB$4:$KX$369,MATCH($A24,연료전지_원본!$KB$4:$KB$369,0), MATCH(CD$4,연료전지_원본!$KB$4:$KX$4,0))*1000</f>
        <v>1440.4375</v>
      </c>
      <c r="CE24" s="250">
        <f>INDEX(연료전지_원본!$KB$4:$KX$369,MATCH($A24,연료전지_원본!$KB$4:$KB$369,0), MATCH(CE$4,연료전지_원본!$KB$4:$KX$4,0))*1000</f>
        <v>1440.4375</v>
      </c>
      <c r="CF24" s="250">
        <f>INDEX(연료전지_원본!$KB$4:$KX$369,MATCH($A24,연료전지_원본!$KB$4:$KB$369,0), MATCH(CF$4,연료전지_원본!$KB$4:$KX$4,0))*1000</f>
        <v>1440.4375</v>
      </c>
      <c r="CG24" s="250">
        <f>INDEX(연료전지_원본!$KB$4:$KX$369,MATCH($A24,연료전지_원본!$KB$4:$KB$369,0), MATCH(CG$4,연료전지_원본!$KB$4:$KX$4,0))*1000</f>
        <v>1440.4375</v>
      </c>
      <c r="CH24" s="250">
        <f>INDEX(연료전지_원본!$KB$4:$KX$369,MATCH($A24,연료전지_원본!$KB$4:$KB$369,0), MATCH(CH$4,연료전지_원본!$KB$4:$KX$4,0))*1000</f>
        <v>1440.4375</v>
      </c>
      <c r="CI24" s="250">
        <f>INDEX(연료전지_원본!$KB$4:$KX$369,MATCH($A24,연료전지_원본!$KB$4:$KB$369,0), MATCH(CI$4,연료전지_원본!$KB$4:$KX$4,0))*1000</f>
        <v>1440.4375</v>
      </c>
      <c r="CJ24" s="250">
        <f>INDEX(연료전지_원본!$KB$4:$KX$369,MATCH($A24,연료전지_원본!$KB$4:$KB$369,0), MATCH(CJ$4,연료전지_원본!$KB$4:$KX$4,0))*1000</f>
        <v>1440.4375</v>
      </c>
      <c r="CK24" s="250">
        <f>INDEX(연료전지_원본!$KB$4:$KX$369,MATCH($A24,연료전지_원본!$KB$4:$KB$369,0), MATCH(CK$4,연료전지_원본!$KB$4:$KX$4,0))*1000</f>
        <v>1440.4375</v>
      </c>
      <c r="CL24" s="250">
        <f>INDEX(연료전지_원본!$KB$4:$KX$369,MATCH($A24,연료전지_원본!$KB$4:$KB$369,0), MATCH(CL$4,연료전지_원본!$KB$4:$KX$4,0))*1000</f>
        <v>1440.4375</v>
      </c>
      <c r="CM24" s="250">
        <f>INDEX(연료전지_원본!$KB$4:$KX$369,MATCH($A24,연료전지_원본!$KB$4:$KB$369,0), MATCH(CM$4,연료전지_원본!$KB$4:$KX$4,0))*1000</f>
        <v>1440.4375</v>
      </c>
      <c r="CN24" s="250">
        <f>INDEX(연료전지_원본!$KB$4:$KX$369,MATCH($A24,연료전지_원본!$KB$4:$KB$369,0), MATCH(CN$4,연료전지_원본!$KB$4:$KX$4,0))*1000</f>
        <v>1440.4375</v>
      </c>
      <c r="CO24" s="250">
        <f>INDEX(연료전지_원본!$KB$4:$KX$369,MATCH($A24,연료전지_원본!$KB$4:$KB$369,0), MATCH(CO$4,연료전지_원본!$KB$4:$KX$4,0))*1000</f>
        <v>1440.4375</v>
      </c>
      <c r="CP24" s="250">
        <f>INDEX(연료전지_원본!$KB$4:$KX$369,MATCH($A24,연료전지_원본!$KB$4:$KB$369,0), MATCH(CP$4,연료전지_원본!$KB$4:$KX$4,0))*1000</f>
        <v>1440.4375</v>
      </c>
      <c r="CQ24" s="250">
        <f>INDEX(연료전지_원본!$KB$4:$KX$369,MATCH($A24,연료전지_원본!$KB$4:$KB$369,0), MATCH(CQ$4,연료전지_원본!$KB$4:$KX$4,0))*1000</f>
        <v>1440.4375</v>
      </c>
      <c r="CR24" s="250">
        <f>INDEX(연료전지_원본!$KB$4:$KX$369,MATCH($A24,연료전지_원본!$KB$4:$KB$369,0), MATCH(CR$4,연료전지_원본!$KB$4:$KX$4,0))*1000</f>
        <v>1440.4375</v>
      </c>
      <c r="CS24" s="250">
        <f>INDEX(연료전지_원본!$KB$4:$KX$369,MATCH($A24,연료전지_원본!$KB$4:$KB$369,0), MATCH(CS$4,연료전지_원본!$KB$4:$KX$4,0))*1000</f>
        <v>1440.4375</v>
      </c>
      <c r="CT24" s="250">
        <f>INDEX(연료전지_원본!$KB$4:$KX$369,MATCH($A24,연료전지_원본!$KB$4:$KB$369,0), MATCH(CT$4,연료전지_원본!$KB$4:$KX$4,0))*1000</f>
        <v>0</v>
      </c>
      <c r="CU24" s="250">
        <f>INDEX(연료전지_원본!$KB$4:$KX$369,MATCH($A24,연료전지_원본!$KB$4:$KB$369,0), MATCH(CU$4,연료전지_원본!$KB$4:$KX$4,0))*1000</f>
        <v>0</v>
      </c>
      <c r="CV24" s="250">
        <f>INDEX(연료전지_원본!$KB$4:$KX$369,MATCH($A24,연료전지_원본!$KB$4:$KB$369,0), MATCH(CV$4,연료전지_원본!$KB$4:$KX$4,0))*1000</f>
        <v>0</v>
      </c>
      <c r="CW24" s="250">
        <f>INDEX(연료전지_원본!$KB$4:$KX$369,MATCH($A24,연료전지_원본!$KB$4:$KB$369,0), MATCH(CW$4,연료전지_원본!$KB$4:$KX$4,0))*1000</f>
        <v>0</v>
      </c>
      <c r="CX24" s="250">
        <f>INDEX(연료전지_원본!$KB$4:$KX$369,MATCH($A24,연료전지_원본!$KB$4:$KB$369,0), MATCH(CX$4,연료전지_원본!$KB$4:$KX$4,0))*1000</f>
        <v>0</v>
      </c>
      <c r="CY24" s="250">
        <f>INDEX(연료전지_원본!$KB$4:$KX$369,MATCH($A24,연료전지_원본!$KB$4:$KB$369,0), MATCH(CY$4,연료전지_원본!$KB$4:$KX$4,0))*1000</f>
        <v>0</v>
      </c>
    </row>
    <row r="25" spans="1:103">
      <c r="A25" s="6">
        <v>46042</v>
      </c>
      <c r="B25" s="15">
        <f>운전실적_원본!B25</f>
        <v>651.20000000000005</v>
      </c>
      <c r="C25" s="16">
        <f t="shared" si="3"/>
        <v>0</v>
      </c>
      <c r="D25" s="9">
        <f>운전실적_원본!C25</f>
        <v>248541</v>
      </c>
      <c r="E25" s="9">
        <f t="shared" si="3"/>
        <v>60</v>
      </c>
      <c r="F25" s="9">
        <f>운전실적_원본!D25</f>
        <v>240217</v>
      </c>
      <c r="G25" s="16">
        <f t="shared" ref="G25" si="172">F25-F24</f>
        <v>0</v>
      </c>
      <c r="H25" s="15">
        <f>운전실적_원본!E25</f>
        <v>17113.73</v>
      </c>
      <c r="I25" s="16">
        <f t="shared" ref="I25" si="173">H25-H24</f>
        <v>5.3800000000010186</v>
      </c>
      <c r="J25" s="15">
        <f>운전실적_원본!F25</f>
        <v>14680.9</v>
      </c>
      <c r="K25" s="16">
        <f t="shared" ref="K25" si="174">J25-J24</f>
        <v>17.789999999999054</v>
      </c>
      <c r="L25" s="15">
        <f>운전실적_원본!G25</f>
        <v>4052.5</v>
      </c>
      <c r="M25" s="31">
        <f t="shared" ref="M25" si="175">L25-L24</f>
        <v>1.1999999999998181</v>
      </c>
      <c r="N25" s="15">
        <f>운전실적_원본!H25</f>
        <v>35326</v>
      </c>
      <c r="O25" s="16">
        <f t="shared" ref="O25" si="176">N25-N24</f>
        <v>129</v>
      </c>
      <c r="P25" s="15">
        <f>운전실적_원본!I25</f>
        <v>18152</v>
      </c>
      <c r="Q25" s="16">
        <f t="shared" ref="Q25" si="177">P25-P24</f>
        <v>155</v>
      </c>
      <c r="R25" s="18">
        <f>운전실적_원본!J25</f>
        <v>33.54</v>
      </c>
      <c r="S25" s="19">
        <f t="shared" ref="S25" si="178">R25-R24</f>
        <v>3.0000000000001137E-2</v>
      </c>
      <c r="T25" s="18">
        <f>운전실적_원본!K25</f>
        <v>32.9</v>
      </c>
      <c r="U25" s="19">
        <f t="shared" ref="U25" si="179">T25-T24</f>
        <v>3.0000000000001137E-2</v>
      </c>
      <c r="V25" s="12">
        <f>운전실적_원본!L25</f>
        <v>8663</v>
      </c>
      <c r="W25" s="16">
        <f t="shared" ref="W25" si="180">V25-V24</f>
        <v>3</v>
      </c>
      <c r="X25" s="10">
        <f>운전실적_원본!M25</f>
        <v>196331.77000000328</v>
      </c>
      <c r="Y25" s="10">
        <f>운전실적_원본!N25</f>
        <v>0</v>
      </c>
      <c r="Z25" s="10">
        <f>운전실적_원본!O25</f>
        <v>0</v>
      </c>
      <c r="AA25" s="10">
        <f>운전실적_원본!P25</f>
        <v>0</v>
      </c>
      <c r="AB25" s="10">
        <f>운전실적_원본!Q25</f>
        <v>0</v>
      </c>
      <c r="AC25" s="20">
        <f>운전실적_원본!R25</f>
        <v>0</v>
      </c>
      <c r="AD25" s="109">
        <f>운전실적_원본!S25</f>
        <v>24</v>
      </c>
      <c r="AE25" s="110">
        <f>운전실적_원본!T25</f>
        <v>0</v>
      </c>
      <c r="AF25" s="110">
        <f>운전실적_원본!U25</f>
        <v>0</v>
      </c>
      <c r="AG25" s="110">
        <f>운전실적_원본!V25</f>
        <v>0</v>
      </c>
      <c r="AH25" s="109">
        <f t="shared" si="1"/>
        <v>24</v>
      </c>
      <c r="AI25" s="110">
        <f t="shared" si="125"/>
        <v>0</v>
      </c>
      <c r="AJ25" s="110">
        <f>운전실적_원본!Y25</f>
        <v>0</v>
      </c>
      <c r="AK25" s="110">
        <f>운전실적_원본!Z25</f>
        <v>0</v>
      </c>
      <c r="AL25" s="106">
        <v>46042</v>
      </c>
      <c r="AM25" s="105">
        <f t="shared" si="171"/>
        <v>46043</v>
      </c>
      <c r="AN25" s="105"/>
      <c r="AO25" s="105"/>
      <c r="AP25" s="105"/>
      <c r="AQ25" s="108"/>
      <c r="AR25" s="105"/>
      <c r="AS25" s="105"/>
      <c r="AT25" s="102"/>
      <c r="AU25" s="102"/>
      <c r="AV25" s="102"/>
      <c r="AW25" s="102"/>
      <c r="AX25" s="32">
        <f>운전실적_원본!W25</f>
        <v>1256</v>
      </c>
      <c r="AY25" s="11">
        <f>운전실적_원본!X25</f>
        <v>0</v>
      </c>
      <c r="AZ25" s="11">
        <f>운전실적_원본!Y25</f>
        <v>0</v>
      </c>
      <c r="BA25" s="11">
        <f>운전실적_원본!Z25</f>
        <v>0</v>
      </c>
      <c r="BB25" s="11">
        <f>운전실적_원본!AA25</f>
        <v>0</v>
      </c>
      <c r="BC25" s="11">
        <f>운전실적_원본!AB25</f>
        <v>1256</v>
      </c>
      <c r="BD25" s="32">
        <f t="shared" si="15"/>
        <v>52.333333333333336</v>
      </c>
      <c r="BE25" s="11">
        <f t="shared" si="2"/>
        <v>1.0183563598624894</v>
      </c>
      <c r="BF25" s="11" t="str">
        <f t="shared" si="16"/>
        <v>-</v>
      </c>
      <c r="BG25" s="31" t="str">
        <f t="shared" si="0"/>
        <v>-</v>
      </c>
      <c r="BH25" s="241">
        <f>INDEX(연료전지_원본!$A$4:$KY$369,MATCH($A25,연료전지_원본!$A$4:$A$369,0),MATCH($BH$4,연료전지_원본!$A$4:$KY$4,0))</f>
        <v>24</v>
      </c>
      <c r="BI25" s="241">
        <f>INDEX(연료전지_원본!$A$4:$KY$369,MATCH($A25,연료전지_원본!$A$4:$A$369,0),MATCH($BI$4,연료전지_원본!$A$4:$KY$4,0))</f>
        <v>24</v>
      </c>
      <c r="BJ25" s="241">
        <f>INDEX(연료전지_원본!$A$4:$KY$369,MATCH($A25,연료전지_원본!$A$4:$A$369,0),MATCH($BJ$4,연료전지_원본!$A$4:$KY$4,0))</f>
        <v>24</v>
      </c>
      <c r="BK25" s="241">
        <f>INDEX(연료전지_원본!$A$4:$KY$369,MATCH($A25,연료전지_원본!$A$4:$A$369,0),MATCH($BK$4,연료전지_원본!$A$4:$KY$4,0))</f>
        <v>24</v>
      </c>
      <c r="BL25" s="241">
        <f>INDEX(연료전지_원본!$A$4:$KY$369,MATCH($A25,연료전지_원본!$A$4:$A$369,0),MATCH($BL$4,연료전지_원본!$A$4:$KY$4,0))</f>
        <v>24</v>
      </c>
      <c r="BM25" s="241">
        <f>INDEX(연료전지_원본!$A$4:$KY$369,MATCH($A25,연료전지_원본!$A$4:$A$369,0),MATCH($BM$4,연료전지_원본!$A$4:$KY$4,0))</f>
        <v>24</v>
      </c>
      <c r="BN25" s="241">
        <f>INDEX(연료전지_원본!$A$4:$KY$369,MATCH($A25,연료전지_원본!$A$4:$A$369,0),MATCH($BN$4,연료전지_원본!$A$4:$KY$4,0))</f>
        <v>24</v>
      </c>
      <c r="BO25" s="241">
        <f>INDEX(연료전지_원본!$A$4:$KY$369,MATCH($A25,연료전지_원본!$A$4:$A$369,0),MATCH($BO$4,연료전지_원본!$A$4:$KY$4,0))</f>
        <v>24</v>
      </c>
      <c r="BP25" s="241">
        <f>INDEX(연료전지_원본!$A$4:$KY$369,MATCH($A25,연료전지_원본!$A$4:$A$369,0),MATCH($BP$4,연료전지_원본!$A$4:$KY$4,0))</f>
        <v>24</v>
      </c>
      <c r="BQ25" s="241">
        <f>INDEX(연료전지_원본!$A$4:$KY$369,MATCH($A25,연료전지_원본!$A$4:$A$369,0),MATCH($BQ$4,연료전지_원본!$A$4:$KY$4,0))</f>
        <v>24</v>
      </c>
      <c r="BR25" s="241">
        <f>INDEX(연료전지_원본!$A$4:$KY$369,MATCH($A25,연료전지_원본!$A$4:$A$369,0),MATCH($BR$4,연료전지_원본!$A$4:$KY$4,0))</f>
        <v>24</v>
      </c>
      <c r="BS25" s="241">
        <f>INDEX(연료전지_원본!$A$4:$KY$369,MATCH($A25,연료전지_원본!$A$4:$A$369,0),MATCH($BS$4,연료전지_원본!$A$4:$KY$4,0))</f>
        <v>24</v>
      </c>
      <c r="BT25" s="241">
        <f>INDEX(연료전지_원본!$A$4:$KY$369,MATCH($A25,연료전지_원본!$A$4:$A$369,0),MATCH($BT$4,연료전지_원본!$A$4:$KY$4,0))</f>
        <v>24</v>
      </c>
      <c r="BU25" s="241">
        <f>INDEX(연료전지_원본!$A$4:$KY$369,MATCH($A25,연료전지_원본!$A$4:$A$369,0),MATCH($BU$4,연료전지_원본!$A$4:$KY$4,0))</f>
        <v>24</v>
      </c>
      <c r="BV25" s="241">
        <f>INDEX(연료전지_원본!$A$4:$KY$369,MATCH($A25,연료전지_원본!$A$4:$A$369,0),MATCH($BV$4,연료전지_원본!$A$4:$KY$4,0))</f>
        <v>24</v>
      </c>
      <c r="BW25" s="241">
        <f>INDEX(연료전지_원본!$A$4:$KY$369,MATCH($A25,연료전지_원본!$A$4:$A$369,0),MATCH($BW$4,연료전지_원본!$A$4:$KY$4,0))</f>
        <v>24</v>
      </c>
      <c r="BX25" s="241">
        <f>INDEX(연료전지_원본!$A$4:$KY$369,MATCH($A25,연료전지_원본!$A$4:$A$369,0),MATCH($BX$4,연료전지_원본!$A$4:$KY$4,0))</f>
        <v>18</v>
      </c>
      <c r="BY25" s="241">
        <f>INDEX(연료전지_원본!$A$4:$KY$369,MATCH($A25,연료전지_원본!$A$4:$A$369,0),MATCH($BY$4,연료전지_원본!$A$4:$KY$4,0))</f>
        <v>18</v>
      </c>
      <c r="BZ25" s="241">
        <f>INDEX(연료전지_원본!$A$4:$KY$369,MATCH($A25,연료전지_원본!$A$4:$A$369,0),MATCH($BZ$4,연료전지_원본!$A$4:$KY$4,0))</f>
        <v>18</v>
      </c>
      <c r="CA25" s="241">
        <f>INDEX(연료전지_원본!$A$4:$KY$369,MATCH($A25,연료전지_원본!$A$4:$A$369,0),MATCH($CA$4,연료전지_원본!$A$4:$KY$4,0))</f>
        <v>0</v>
      </c>
      <c r="CB25" s="241">
        <f>INDEX(연료전지_원본!$A$4:$KY$369,MATCH($A25,연료전지_원본!$A$4:$A$369,0),MATCH($CB$4,연료전지_원본!$A$4:$KY$4,0))</f>
        <v>0</v>
      </c>
      <c r="CC25" s="242">
        <f>INDEX(연료전지_원본!$A$4:$KY$369,MATCH($A25,연료전지_원본!$A$4:$A$369,0),MATCH($CC$4,연료전지_원본!$A$4:$KY$4,0))</f>
        <v>0</v>
      </c>
      <c r="CD25" s="250">
        <f>INDEX(연료전지_원본!$KB$4:$KX$369,MATCH($A25,연료전지_원본!$KB$4:$KB$369,0), MATCH(CD$4,연료전지_원본!$KB$4:$KX$4,0))*1000</f>
        <v>1585.6056249999999</v>
      </c>
      <c r="CE25" s="250">
        <f>INDEX(연료전지_원본!$KB$4:$KX$369,MATCH($A25,연료전지_원본!$KB$4:$KB$369,0), MATCH(CE$4,연료전지_원본!$KB$4:$KX$4,0))*1000</f>
        <v>1585.6056249999999</v>
      </c>
      <c r="CF25" s="250">
        <f>INDEX(연료전지_원본!$KB$4:$KX$369,MATCH($A25,연료전지_원본!$KB$4:$KB$369,0), MATCH(CF$4,연료전지_원본!$KB$4:$KX$4,0))*1000</f>
        <v>1585.6056249999999</v>
      </c>
      <c r="CG25" s="250">
        <f>INDEX(연료전지_원본!$KB$4:$KX$369,MATCH($A25,연료전지_원본!$KB$4:$KB$369,0), MATCH(CG$4,연료전지_원본!$KB$4:$KX$4,0))*1000</f>
        <v>1585.6056249999999</v>
      </c>
      <c r="CH25" s="250">
        <f>INDEX(연료전지_원본!$KB$4:$KX$369,MATCH($A25,연료전지_원본!$KB$4:$KB$369,0), MATCH(CH$4,연료전지_원본!$KB$4:$KX$4,0))*1000</f>
        <v>1585.6056249999999</v>
      </c>
      <c r="CI25" s="250">
        <f>INDEX(연료전지_원본!$KB$4:$KX$369,MATCH($A25,연료전지_원본!$KB$4:$KB$369,0), MATCH(CI$4,연료전지_원본!$KB$4:$KX$4,0))*1000</f>
        <v>1585.6056249999999</v>
      </c>
      <c r="CJ25" s="250">
        <f>INDEX(연료전지_원본!$KB$4:$KX$369,MATCH($A25,연료전지_원본!$KB$4:$KB$369,0), MATCH(CJ$4,연료전지_원본!$KB$4:$KX$4,0))*1000</f>
        <v>1585.6056249999999</v>
      </c>
      <c r="CK25" s="250">
        <f>INDEX(연료전지_원본!$KB$4:$KX$369,MATCH($A25,연료전지_원본!$KB$4:$KB$369,0), MATCH(CK$4,연료전지_원본!$KB$4:$KX$4,0))*1000</f>
        <v>1585.6056249999999</v>
      </c>
      <c r="CL25" s="250">
        <f>INDEX(연료전지_원본!$KB$4:$KX$369,MATCH($A25,연료전지_원본!$KB$4:$KB$369,0), MATCH(CL$4,연료전지_원본!$KB$4:$KX$4,0))*1000</f>
        <v>1585.6056249999999</v>
      </c>
      <c r="CM25" s="250">
        <f>INDEX(연료전지_원본!$KB$4:$KX$369,MATCH($A25,연료전지_원본!$KB$4:$KB$369,0), MATCH(CM$4,연료전지_원본!$KB$4:$KX$4,0))*1000</f>
        <v>1585.6056249999999</v>
      </c>
      <c r="CN25" s="250">
        <f>INDEX(연료전지_원본!$KB$4:$KX$369,MATCH($A25,연료전지_원본!$KB$4:$KB$369,0), MATCH(CN$4,연료전지_원본!$KB$4:$KX$4,0))*1000</f>
        <v>1585.6056249999999</v>
      </c>
      <c r="CO25" s="250">
        <f>INDEX(연료전지_원본!$KB$4:$KX$369,MATCH($A25,연료전지_원본!$KB$4:$KB$369,0), MATCH(CO$4,연료전지_원본!$KB$4:$KX$4,0))*1000</f>
        <v>1585.6056249999999</v>
      </c>
      <c r="CP25" s="250">
        <f>INDEX(연료전지_원본!$KB$4:$KX$369,MATCH($A25,연료전지_원본!$KB$4:$KB$369,0), MATCH(CP$4,연료전지_원본!$KB$4:$KX$4,0))*1000</f>
        <v>1585.6056249999999</v>
      </c>
      <c r="CQ25" s="250">
        <f>INDEX(연료전지_원본!$KB$4:$KX$369,MATCH($A25,연료전지_원본!$KB$4:$KB$369,0), MATCH(CQ$4,연료전지_원본!$KB$4:$KX$4,0))*1000</f>
        <v>1585.6056249999999</v>
      </c>
      <c r="CR25" s="250">
        <f>INDEX(연료전지_원본!$KB$4:$KX$369,MATCH($A25,연료전지_원본!$KB$4:$KB$369,0), MATCH(CR$4,연료전지_원본!$KB$4:$KX$4,0))*1000</f>
        <v>1585.6056249999999</v>
      </c>
      <c r="CS25" s="250">
        <f>INDEX(연료전지_원본!$KB$4:$KX$369,MATCH($A25,연료전지_원본!$KB$4:$KB$369,0), MATCH(CS$4,연료전지_원본!$KB$4:$KX$4,0))*1000</f>
        <v>1585.6056249999999</v>
      </c>
      <c r="CT25" s="250">
        <f>INDEX(연료전지_원본!$KB$4:$KX$369,MATCH($A25,연료전지_원본!$KB$4:$KB$369,0), MATCH(CT$4,연료전지_원본!$KB$4:$KX$4,0))*1000</f>
        <v>1196.1033333333335</v>
      </c>
      <c r="CU25" s="250">
        <f>INDEX(연료전지_원본!$KB$4:$KX$369,MATCH($A25,연료전지_원본!$KB$4:$KB$369,0), MATCH(CU$4,연료전지_원본!$KB$4:$KX$4,0))*1000</f>
        <v>1196.1033333333335</v>
      </c>
      <c r="CV25" s="250">
        <f>INDEX(연료전지_원본!$KB$4:$KX$369,MATCH($A25,연료전지_원본!$KB$4:$KB$369,0), MATCH(CV$4,연료전지_원본!$KB$4:$KX$4,0))*1000</f>
        <v>1196.1033333333335</v>
      </c>
      <c r="CW25" s="250">
        <f>INDEX(연료전지_원본!$KB$4:$KX$369,MATCH($A25,연료전지_원본!$KB$4:$KB$369,0), MATCH(CW$4,연료전지_원본!$KB$4:$KX$4,0))*1000</f>
        <v>0</v>
      </c>
      <c r="CX25" s="250">
        <f>INDEX(연료전지_원본!$KB$4:$KX$369,MATCH($A25,연료전지_원본!$KB$4:$KB$369,0), MATCH(CX$4,연료전지_원본!$KB$4:$KX$4,0))*1000</f>
        <v>0</v>
      </c>
      <c r="CY25" s="250">
        <f>INDEX(연료전지_원본!$KB$4:$KX$369,MATCH($A25,연료전지_원본!$KB$4:$KB$369,0), MATCH(CY$4,연료전지_원본!$KB$4:$KX$4,0))*1000</f>
        <v>0</v>
      </c>
    </row>
    <row r="26" spans="1:103">
      <c r="A26" s="6">
        <v>46043</v>
      </c>
      <c r="B26" s="15">
        <f>운전실적_원본!B26</f>
        <v>651.20000000000005</v>
      </c>
      <c r="C26" s="16">
        <f t="shared" si="3"/>
        <v>0</v>
      </c>
      <c r="D26" s="9">
        <f>운전실적_원본!C26</f>
        <v>248564</v>
      </c>
      <c r="E26" s="9">
        <f t="shared" si="3"/>
        <v>23</v>
      </c>
      <c r="F26" s="9">
        <f>운전실적_원본!D26</f>
        <v>240254</v>
      </c>
      <c r="G26" s="16">
        <f t="shared" ref="G26" si="181">F26-F25</f>
        <v>37</v>
      </c>
      <c r="H26" s="15">
        <f>운전실적_원본!E26</f>
        <v>17118.27</v>
      </c>
      <c r="I26" s="16">
        <f t="shared" ref="I26" si="182">H26-H25</f>
        <v>4.5400000000008731</v>
      </c>
      <c r="J26" s="15">
        <f>운전실적_원본!F26</f>
        <v>14698.25</v>
      </c>
      <c r="K26" s="16">
        <f t="shared" ref="K26" si="183">J26-J25</f>
        <v>17.350000000000364</v>
      </c>
      <c r="L26" s="15">
        <f>운전실적_원본!G26</f>
        <v>4053.5</v>
      </c>
      <c r="M26" s="31">
        <f t="shared" ref="M26" si="184">L26-L25</f>
        <v>1</v>
      </c>
      <c r="N26" s="15">
        <f>운전실적_원본!H26</f>
        <v>35452</v>
      </c>
      <c r="O26" s="16">
        <f t="shared" ref="O26" si="185">N26-N25</f>
        <v>126</v>
      </c>
      <c r="P26" s="15">
        <f>운전실적_원본!I26</f>
        <v>18353</v>
      </c>
      <c r="Q26" s="16">
        <f t="shared" ref="Q26" si="186">P26-P25</f>
        <v>201</v>
      </c>
      <c r="R26" s="18">
        <f>운전실적_원본!J26</f>
        <v>33.07</v>
      </c>
      <c r="S26" s="19">
        <f t="shared" ref="S26" si="187">R26-R25</f>
        <v>-0.46999999999999886</v>
      </c>
      <c r="T26" s="18">
        <f>운전실적_원본!K26</f>
        <v>32.75</v>
      </c>
      <c r="U26" s="19">
        <f t="shared" ref="U26" si="188">T26-T25</f>
        <v>-0.14999999999999858</v>
      </c>
      <c r="V26" s="12">
        <f>운전실적_원본!L26</f>
        <v>8319</v>
      </c>
      <c r="W26" s="16">
        <f t="shared" ref="W26" si="189">V26-V25</f>
        <v>-344</v>
      </c>
      <c r="X26" s="10">
        <f>운전실적_원본!M26</f>
        <v>195874.45000000298</v>
      </c>
      <c r="Y26" s="10">
        <f>운전실적_원본!N26</f>
        <v>0</v>
      </c>
      <c r="Z26" s="10">
        <f>운전실적_원본!O26</f>
        <v>0</v>
      </c>
      <c r="AA26" s="10">
        <f>운전실적_원본!P26</f>
        <v>0</v>
      </c>
      <c r="AB26" s="10">
        <f>운전실적_원본!Q26</f>
        <v>0</v>
      </c>
      <c r="AC26" s="20">
        <f>운전실적_원본!R26</f>
        <v>0</v>
      </c>
      <c r="AD26" s="109">
        <f>운전실적_원본!S26</f>
        <v>24</v>
      </c>
      <c r="AE26" s="110">
        <f>운전실적_원본!T26</f>
        <v>0</v>
      </c>
      <c r="AF26" s="110">
        <f>운전실적_원본!U26</f>
        <v>0</v>
      </c>
      <c r="AG26" s="110">
        <f>운전실적_원본!V26</f>
        <v>0</v>
      </c>
      <c r="AH26" s="109">
        <f t="shared" si="1"/>
        <v>24</v>
      </c>
      <c r="AI26" s="110">
        <f t="shared" si="125"/>
        <v>0</v>
      </c>
      <c r="AJ26" s="110">
        <f>운전실적_원본!Y26</f>
        <v>0</v>
      </c>
      <c r="AK26" s="110">
        <f>운전실적_원본!Z26</f>
        <v>0</v>
      </c>
      <c r="AL26" s="106">
        <v>46043</v>
      </c>
      <c r="AM26" s="105">
        <f t="shared" si="171"/>
        <v>46044</v>
      </c>
      <c r="AN26" s="105"/>
      <c r="AO26" s="105"/>
      <c r="AP26" s="105"/>
      <c r="AQ26" s="108"/>
      <c r="AR26" s="105"/>
      <c r="AS26" s="105"/>
      <c r="AT26" s="102"/>
      <c r="AU26" s="102"/>
      <c r="AV26" s="102"/>
      <c r="AW26" s="102"/>
      <c r="AX26" s="32">
        <f>운전실적_원본!W26</f>
        <v>1246</v>
      </c>
      <c r="AY26" s="11">
        <f>운전실적_원본!X26</f>
        <v>0</v>
      </c>
      <c r="AZ26" s="11">
        <f>운전실적_원본!Y26</f>
        <v>0</v>
      </c>
      <c r="BA26" s="11">
        <f>운전실적_원본!Z26</f>
        <v>0</v>
      </c>
      <c r="BB26" s="11">
        <f>운전실적_원본!AA26</f>
        <v>0</v>
      </c>
      <c r="BC26" s="11">
        <f>운전실적_원본!AB26</f>
        <v>1246</v>
      </c>
      <c r="BD26" s="32">
        <f t="shared" si="15"/>
        <v>51.916666666666664</v>
      </c>
      <c r="BE26" s="11">
        <f t="shared" si="2"/>
        <v>1.0102484270610366</v>
      </c>
      <c r="BF26" s="11" t="str">
        <f t="shared" si="16"/>
        <v>-</v>
      </c>
      <c r="BG26" s="31" t="str">
        <f t="shared" si="0"/>
        <v>-</v>
      </c>
      <c r="BH26" s="241">
        <f>INDEX(연료전지_원본!$A$4:$KY$369,MATCH($A26,연료전지_원본!$A$4:$A$369,0),MATCH($BH$4,연료전지_원본!$A$4:$KY$4,0))</f>
        <v>24</v>
      </c>
      <c r="BI26" s="241">
        <f>INDEX(연료전지_원본!$A$4:$KY$369,MATCH($A26,연료전지_원본!$A$4:$A$369,0),MATCH($BI$4,연료전지_원본!$A$4:$KY$4,0))</f>
        <v>24</v>
      </c>
      <c r="BJ26" s="241">
        <f>INDEX(연료전지_원본!$A$4:$KY$369,MATCH($A26,연료전지_원본!$A$4:$A$369,0),MATCH($BJ$4,연료전지_원본!$A$4:$KY$4,0))</f>
        <v>24</v>
      </c>
      <c r="BK26" s="241">
        <f>INDEX(연료전지_원본!$A$4:$KY$369,MATCH($A26,연료전지_원본!$A$4:$A$369,0),MATCH($BK$4,연료전지_원본!$A$4:$KY$4,0))</f>
        <v>24</v>
      </c>
      <c r="BL26" s="241">
        <f>INDEX(연료전지_원본!$A$4:$KY$369,MATCH($A26,연료전지_원본!$A$4:$A$369,0),MATCH($BL$4,연료전지_원본!$A$4:$KY$4,0))</f>
        <v>24</v>
      </c>
      <c r="BM26" s="241">
        <f>INDEX(연료전지_원본!$A$4:$KY$369,MATCH($A26,연료전지_원본!$A$4:$A$369,0),MATCH($BM$4,연료전지_원본!$A$4:$KY$4,0))</f>
        <v>24</v>
      </c>
      <c r="BN26" s="241">
        <f>INDEX(연료전지_원본!$A$4:$KY$369,MATCH($A26,연료전지_원본!$A$4:$A$369,0),MATCH($BN$4,연료전지_원본!$A$4:$KY$4,0))</f>
        <v>24</v>
      </c>
      <c r="BO26" s="241">
        <f>INDEX(연료전지_원본!$A$4:$KY$369,MATCH($A26,연료전지_원본!$A$4:$A$369,0),MATCH($BO$4,연료전지_원본!$A$4:$KY$4,0))</f>
        <v>24</v>
      </c>
      <c r="BP26" s="241">
        <f>INDEX(연료전지_원본!$A$4:$KY$369,MATCH($A26,연료전지_원본!$A$4:$A$369,0),MATCH($BP$4,연료전지_원본!$A$4:$KY$4,0))</f>
        <v>24</v>
      </c>
      <c r="BQ26" s="241">
        <f>INDEX(연료전지_원본!$A$4:$KY$369,MATCH($A26,연료전지_원본!$A$4:$A$369,0),MATCH($BQ$4,연료전지_원본!$A$4:$KY$4,0))</f>
        <v>24</v>
      </c>
      <c r="BR26" s="241">
        <f>INDEX(연료전지_원본!$A$4:$KY$369,MATCH($A26,연료전지_원본!$A$4:$A$369,0),MATCH($BR$4,연료전지_원본!$A$4:$KY$4,0))</f>
        <v>24</v>
      </c>
      <c r="BS26" s="241">
        <f>INDEX(연료전지_원본!$A$4:$KY$369,MATCH($A26,연료전지_원본!$A$4:$A$369,0),MATCH($BS$4,연료전지_원본!$A$4:$KY$4,0))</f>
        <v>24</v>
      </c>
      <c r="BT26" s="241">
        <f>INDEX(연료전지_원본!$A$4:$KY$369,MATCH($A26,연료전지_원본!$A$4:$A$369,0),MATCH($BT$4,연료전지_원본!$A$4:$KY$4,0))</f>
        <v>24</v>
      </c>
      <c r="BU26" s="241">
        <f>INDEX(연료전지_원본!$A$4:$KY$369,MATCH($A26,연료전지_원본!$A$4:$A$369,0),MATCH($BU$4,연료전지_원본!$A$4:$KY$4,0))</f>
        <v>24</v>
      </c>
      <c r="BV26" s="241">
        <f>INDEX(연료전지_원본!$A$4:$KY$369,MATCH($A26,연료전지_원본!$A$4:$A$369,0),MATCH($BV$4,연료전지_원본!$A$4:$KY$4,0))</f>
        <v>24</v>
      </c>
      <c r="BW26" s="241">
        <f>INDEX(연료전지_원본!$A$4:$KY$369,MATCH($A26,연료전지_원본!$A$4:$A$369,0),MATCH($BW$4,연료전지_원본!$A$4:$KY$4,0))</f>
        <v>24</v>
      </c>
      <c r="BX26" s="241">
        <f>INDEX(연료전지_원본!$A$4:$KY$369,MATCH($A26,연료전지_원본!$A$4:$A$369,0),MATCH($BX$4,연료전지_원본!$A$4:$KY$4,0))</f>
        <v>24</v>
      </c>
      <c r="BY26" s="241">
        <f>INDEX(연료전지_원본!$A$4:$KY$369,MATCH($A26,연료전지_원본!$A$4:$A$369,0),MATCH($BY$4,연료전지_원본!$A$4:$KY$4,0))</f>
        <v>24</v>
      </c>
      <c r="BZ26" s="241">
        <f>INDEX(연료전지_원본!$A$4:$KY$369,MATCH($A26,연료전지_원본!$A$4:$A$369,0),MATCH($BZ$4,연료전지_원본!$A$4:$KY$4,0))</f>
        <v>24</v>
      </c>
      <c r="CA26" s="241">
        <f>INDEX(연료전지_원본!$A$4:$KY$369,MATCH($A26,연료전지_원본!$A$4:$A$369,0),MATCH($CA$4,연료전지_원본!$A$4:$KY$4,0))</f>
        <v>0</v>
      </c>
      <c r="CB26" s="241">
        <f>INDEX(연료전지_원본!$A$4:$KY$369,MATCH($A26,연료전지_원본!$A$4:$A$369,0),MATCH($CB$4,연료전지_원본!$A$4:$KY$4,0))</f>
        <v>0</v>
      </c>
      <c r="CC26" s="242">
        <f>INDEX(연료전지_원본!$A$4:$KY$369,MATCH($A26,연료전지_원본!$A$4:$A$369,0),MATCH($CC$4,연료전지_원본!$A$4:$KY$4,0))</f>
        <v>0</v>
      </c>
      <c r="CD26" s="250">
        <f>INDEX(연료전지_원본!$KB$4:$KX$369,MATCH($A26,연료전지_원본!$KB$4:$KB$369,0), MATCH(CD$4,연료전지_원본!$KB$4:$KX$4,0))*1000</f>
        <v>1591.6315789473683</v>
      </c>
      <c r="CE26" s="250">
        <f>INDEX(연료전지_원본!$KB$4:$KX$369,MATCH($A26,연료전지_원본!$KB$4:$KB$369,0), MATCH(CE$4,연료전지_원본!$KB$4:$KX$4,0))*1000</f>
        <v>1591.6315789473683</v>
      </c>
      <c r="CF26" s="250">
        <f>INDEX(연료전지_원본!$KB$4:$KX$369,MATCH($A26,연료전지_원본!$KB$4:$KB$369,0), MATCH(CF$4,연료전지_원본!$KB$4:$KX$4,0))*1000</f>
        <v>1591.6315789473683</v>
      </c>
      <c r="CG26" s="250">
        <f>INDEX(연료전지_원본!$KB$4:$KX$369,MATCH($A26,연료전지_원본!$KB$4:$KB$369,0), MATCH(CG$4,연료전지_원본!$KB$4:$KX$4,0))*1000</f>
        <v>1591.6315789473683</v>
      </c>
      <c r="CH26" s="250">
        <f>INDEX(연료전지_원본!$KB$4:$KX$369,MATCH($A26,연료전지_원본!$KB$4:$KB$369,0), MATCH(CH$4,연료전지_원본!$KB$4:$KX$4,0))*1000</f>
        <v>1591.6315789473683</v>
      </c>
      <c r="CI26" s="250">
        <f>INDEX(연료전지_원본!$KB$4:$KX$369,MATCH($A26,연료전지_원본!$KB$4:$KB$369,0), MATCH(CI$4,연료전지_원본!$KB$4:$KX$4,0))*1000</f>
        <v>1591.6315789473683</v>
      </c>
      <c r="CJ26" s="250">
        <f>INDEX(연료전지_원본!$KB$4:$KX$369,MATCH($A26,연료전지_원본!$KB$4:$KB$369,0), MATCH(CJ$4,연료전지_원본!$KB$4:$KX$4,0))*1000</f>
        <v>1591.6315789473683</v>
      </c>
      <c r="CK26" s="250">
        <f>INDEX(연료전지_원본!$KB$4:$KX$369,MATCH($A26,연료전지_원본!$KB$4:$KB$369,0), MATCH(CK$4,연료전지_원본!$KB$4:$KX$4,0))*1000</f>
        <v>1591.6315789473683</v>
      </c>
      <c r="CL26" s="250">
        <f>INDEX(연료전지_원본!$KB$4:$KX$369,MATCH($A26,연료전지_원본!$KB$4:$KB$369,0), MATCH(CL$4,연료전지_원본!$KB$4:$KX$4,0))*1000</f>
        <v>1591.6315789473683</v>
      </c>
      <c r="CM26" s="250">
        <f>INDEX(연료전지_원본!$KB$4:$KX$369,MATCH($A26,연료전지_원본!$KB$4:$KB$369,0), MATCH(CM$4,연료전지_원본!$KB$4:$KX$4,0))*1000</f>
        <v>1591.6315789473683</v>
      </c>
      <c r="CN26" s="250">
        <f>INDEX(연료전지_원본!$KB$4:$KX$369,MATCH($A26,연료전지_원본!$KB$4:$KB$369,0), MATCH(CN$4,연료전지_원본!$KB$4:$KX$4,0))*1000</f>
        <v>1591.6315789473683</v>
      </c>
      <c r="CO26" s="250">
        <f>INDEX(연료전지_원본!$KB$4:$KX$369,MATCH($A26,연료전지_원본!$KB$4:$KB$369,0), MATCH(CO$4,연료전지_원본!$KB$4:$KX$4,0))*1000</f>
        <v>1591.6315789473683</v>
      </c>
      <c r="CP26" s="250">
        <f>INDEX(연료전지_원본!$KB$4:$KX$369,MATCH($A26,연료전지_원본!$KB$4:$KB$369,0), MATCH(CP$4,연료전지_원본!$KB$4:$KX$4,0))*1000</f>
        <v>1591.6315789473683</v>
      </c>
      <c r="CQ26" s="250">
        <f>INDEX(연료전지_원본!$KB$4:$KX$369,MATCH($A26,연료전지_원본!$KB$4:$KB$369,0), MATCH(CQ$4,연료전지_원본!$KB$4:$KX$4,0))*1000</f>
        <v>1591.6315789473683</v>
      </c>
      <c r="CR26" s="250">
        <f>INDEX(연료전지_원본!$KB$4:$KX$369,MATCH($A26,연료전지_원본!$KB$4:$KB$369,0), MATCH(CR$4,연료전지_원본!$KB$4:$KX$4,0))*1000</f>
        <v>1591.6315789473683</v>
      </c>
      <c r="CS26" s="250">
        <f>INDEX(연료전지_원본!$KB$4:$KX$369,MATCH($A26,연료전지_원본!$KB$4:$KB$369,0), MATCH(CS$4,연료전지_원본!$KB$4:$KX$4,0))*1000</f>
        <v>1591.6315789473683</v>
      </c>
      <c r="CT26" s="250">
        <f>INDEX(연료전지_원본!$KB$4:$KX$369,MATCH($A26,연료전지_원본!$KB$4:$KB$369,0), MATCH(CT$4,연료전지_원본!$KB$4:$KX$4,0))*1000</f>
        <v>1591.6315789473683</v>
      </c>
      <c r="CU26" s="250">
        <f>INDEX(연료전지_원본!$KB$4:$KX$369,MATCH($A26,연료전지_원본!$KB$4:$KB$369,0), MATCH(CU$4,연료전지_원본!$KB$4:$KX$4,0))*1000</f>
        <v>1591.6315789473683</v>
      </c>
      <c r="CV26" s="250">
        <f>INDEX(연료전지_원본!$KB$4:$KX$369,MATCH($A26,연료전지_원본!$KB$4:$KB$369,0), MATCH(CV$4,연료전지_원본!$KB$4:$KX$4,0))*1000</f>
        <v>1591.6315789473683</v>
      </c>
      <c r="CW26" s="250">
        <f>INDEX(연료전지_원본!$KB$4:$KX$369,MATCH($A26,연료전지_원본!$KB$4:$KB$369,0), MATCH(CW$4,연료전지_원본!$KB$4:$KX$4,0))*1000</f>
        <v>0</v>
      </c>
      <c r="CX26" s="250">
        <f>INDEX(연료전지_원본!$KB$4:$KX$369,MATCH($A26,연료전지_원본!$KB$4:$KB$369,0), MATCH(CX$4,연료전지_원본!$KB$4:$KX$4,0))*1000</f>
        <v>0</v>
      </c>
      <c r="CY26" s="250">
        <f>INDEX(연료전지_원본!$KB$4:$KX$369,MATCH($A26,연료전지_원본!$KB$4:$KB$369,0), MATCH(CY$4,연료전지_원본!$KB$4:$KX$4,0))*1000</f>
        <v>0</v>
      </c>
    </row>
    <row r="27" spans="1:103">
      <c r="A27" s="6">
        <v>46044</v>
      </c>
      <c r="B27" s="15">
        <f>운전실적_원본!B27</f>
        <v>651.20000000000005</v>
      </c>
      <c r="C27" s="16">
        <f t="shared" si="3"/>
        <v>0</v>
      </c>
      <c r="D27" s="9">
        <f>운전실적_원본!C27</f>
        <v>248564</v>
      </c>
      <c r="E27" s="9">
        <f t="shared" si="3"/>
        <v>0</v>
      </c>
      <c r="F27" s="9">
        <f>운전실적_원본!D27</f>
        <v>240297</v>
      </c>
      <c r="G27" s="16">
        <f t="shared" ref="G27" si="190">F27-F26</f>
        <v>43</v>
      </c>
      <c r="H27" s="15">
        <f>운전실적_원본!E27</f>
        <v>17123.259999999998</v>
      </c>
      <c r="I27" s="16">
        <f t="shared" ref="I27" si="191">H27-H26</f>
        <v>4.9899999999979627</v>
      </c>
      <c r="J27" s="15">
        <f>운전실적_원본!F27</f>
        <v>14716.02</v>
      </c>
      <c r="K27" s="16">
        <f t="shared" ref="K27" si="192">J27-J26</f>
        <v>17.770000000000437</v>
      </c>
      <c r="L27" s="15">
        <f>운전실적_원본!G27</f>
        <v>4055</v>
      </c>
      <c r="M27" s="31">
        <f t="shared" ref="M27" si="193">L27-L26</f>
        <v>1.5</v>
      </c>
      <c r="N27" s="15">
        <f>운전실적_원본!H27</f>
        <v>35624</v>
      </c>
      <c r="O27" s="16">
        <f t="shared" ref="O27" si="194">N27-N26</f>
        <v>172</v>
      </c>
      <c r="P27" s="15">
        <f>운전실적_원본!I27</f>
        <v>18539</v>
      </c>
      <c r="Q27" s="16">
        <f t="shared" ref="Q27" si="195">P27-P26</f>
        <v>186</v>
      </c>
      <c r="R27" s="18">
        <f>운전실적_원본!J27</f>
        <v>33.25</v>
      </c>
      <c r="S27" s="19">
        <f t="shared" ref="S27" si="196">R27-R26</f>
        <v>0.17999999999999972</v>
      </c>
      <c r="T27" s="18">
        <f>운전실적_원본!K27</f>
        <v>32.68</v>
      </c>
      <c r="U27" s="19">
        <f t="shared" ref="U27" si="197">T27-T26</f>
        <v>-7.0000000000000284E-2</v>
      </c>
      <c r="V27" s="12">
        <f>운전실적_원본!L27</f>
        <v>8100</v>
      </c>
      <c r="W27" s="16">
        <f t="shared" ref="W27" si="198">V27-V26</f>
        <v>-219</v>
      </c>
      <c r="X27" s="10">
        <f>운전실적_원본!M27</f>
        <v>197636.55999999493</v>
      </c>
      <c r="Y27" s="10">
        <f>운전실적_원본!N27</f>
        <v>93993.350000000093</v>
      </c>
      <c r="Z27" s="10">
        <f>운전실적_원본!O27</f>
        <v>0</v>
      </c>
      <c r="AA27" s="10">
        <f>운전실적_원본!P27</f>
        <v>0</v>
      </c>
      <c r="AB27" s="10">
        <f>운전실적_원본!Q27</f>
        <v>0</v>
      </c>
      <c r="AC27" s="20">
        <f>운전실적_원본!R27</f>
        <v>93993.350000000093</v>
      </c>
      <c r="AD27" s="109">
        <f>운전실적_원본!S27</f>
        <v>24</v>
      </c>
      <c r="AE27" s="110">
        <f>운전실적_원본!T27</f>
        <v>14</v>
      </c>
      <c r="AF27" s="110">
        <f>운전실적_원본!U27</f>
        <v>0</v>
      </c>
      <c r="AG27" s="110">
        <f>운전실적_원본!V27</f>
        <v>0</v>
      </c>
      <c r="AH27" s="109">
        <f t="shared" si="1"/>
        <v>24</v>
      </c>
      <c r="AI27" s="110">
        <f>(AS27-AR27)*24</f>
        <v>14.300000000162981</v>
      </c>
      <c r="AJ27" s="110">
        <f>운전실적_원본!Y27</f>
        <v>0</v>
      </c>
      <c r="AK27" s="110">
        <f>운전실적_원본!Z27</f>
        <v>0</v>
      </c>
      <c r="AL27" s="106">
        <v>46044</v>
      </c>
      <c r="AM27" s="105">
        <f t="shared" si="171"/>
        <v>46045</v>
      </c>
      <c r="AN27" s="105"/>
      <c r="AO27" s="105"/>
      <c r="AP27" s="105"/>
      <c r="AQ27" s="108"/>
      <c r="AR27" s="105">
        <v>46044.253472222219</v>
      </c>
      <c r="AS27" s="105">
        <v>46044.849305555559</v>
      </c>
      <c r="AT27" s="102"/>
      <c r="AU27" s="102"/>
      <c r="AV27" s="102"/>
      <c r="AW27" s="102"/>
      <c r="AX27" s="32">
        <f>운전실적_원본!W27</f>
        <v>1248</v>
      </c>
      <c r="AY27" s="11">
        <f>운전실적_원본!X27</f>
        <v>828</v>
      </c>
      <c r="AZ27" s="11">
        <f>운전실적_원본!Y27</f>
        <v>0</v>
      </c>
      <c r="BA27" s="11">
        <f>운전실적_원본!Z27</f>
        <v>0</v>
      </c>
      <c r="BB27" s="11">
        <f>운전실적_원본!AA27</f>
        <v>828</v>
      </c>
      <c r="BC27" s="11">
        <f>운전실적_원본!AB27</f>
        <v>2076</v>
      </c>
      <c r="BD27" s="32">
        <f t="shared" si="15"/>
        <v>52</v>
      </c>
      <c r="BE27" s="11">
        <f t="shared" si="2"/>
        <v>1.011870013621327</v>
      </c>
      <c r="BF27" s="11">
        <f>운전실적_원본!AE27</f>
        <v>0</v>
      </c>
      <c r="BG27" s="31">
        <f t="shared" si="0"/>
        <v>0</v>
      </c>
      <c r="BH27" s="241">
        <f>INDEX(연료전지_원본!$A$4:$KY$369,MATCH($A27,연료전지_원본!$A$4:$A$369,0),MATCH($BH$4,연료전지_원본!$A$4:$KY$4,0))</f>
        <v>24</v>
      </c>
      <c r="BI27" s="241">
        <f>INDEX(연료전지_원본!$A$4:$KY$369,MATCH($A27,연료전지_원본!$A$4:$A$369,0),MATCH($BI$4,연료전지_원본!$A$4:$KY$4,0))</f>
        <v>24</v>
      </c>
      <c r="BJ27" s="241">
        <f>INDEX(연료전지_원본!$A$4:$KY$369,MATCH($A27,연료전지_원본!$A$4:$A$369,0),MATCH($BJ$4,연료전지_원본!$A$4:$KY$4,0))</f>
        <v>24</v>
      </c>
      <c r="BK27" s="241">
        <f>INDEX(연료전지_원본!$A$4:$KY$369,MATCH($A27,연료전지_원본!$A$4:$A$369,0),MATCH($BK$4,연료전지_원본!$A$4:$KY$4,0))</f>
        <v>24</v>
      </c>
      <c r="BL27" s="241">
        <f>INDEX(연료전지_원본!$A$4:$KY$369,MATCH($A27,연료전지_원본!$A$4:$A$369,0),MATCH($BL$4,연료전지_원본!$A$4:$KY$4,0))</f>
        <v>24</v>
      </c>
      <c r="BM27" s="241">
        <f>INDEX(연료전지_원본!$A$4:$KY$369,MATCH($A27,연료전지_원본!$A$4:$A$369,0),MATCH($BM$4,연료전지_원본!$A$4:$KY$4,0))</f>
        <v>24</v>
      </c>
      <c r="BN27" s="241">
        <f>INDEX(연료전지_원본!$A$4:$KY$369,MATCH($A27,연료전지_원본!$A$4:$A$369,0),MATCH($BN$4,연료전지_원본!$A$4:$KY$4,0))</f>
        <v>24</v>
      </c>
      <c r="BO27" s="241">
        <f>INDEX(연료전지_원본!$A$4:$KY$369,MATCH($A27,연료전지_원본!$A$4:$A$369,0),MATCH($BO$4,연료전지_원본!$A$4:$KY$4,0))</f>
        <v>24</v>
      </c>
      <c r="BP27" s="241">
        <f>INDEX(연료전지_원본!$A$4:$KY$369,MATCH($A27,연료전지_원본!$A$4:$A$369,0),MATCH($BP$4,연료전지_원본!$A$4:$KY$4,0))</f>
        <v>24</v>
      </c>
      <c r="BQ27" s="241">
        <f>INDEX(연료전지_원본!$A$4:$KY$369,MATCH($A27,연료전지_원본!$A$4:$A$369,0),MATCH($BQ$4,연료전지_원본!$A$4:$KY$4,0))</f>
        <v>24</v>
      </c>
      <c r="BR27" s="241">
        <f>INDEX(연료전지_원본!$A$4:$KY$369,MATCH($A27,연료전지_원본!$A$4:$A$369,0),MATCH($BR$4,연료전지_원본!$A$4:$KY$4,0))</f>
        <v>24</v>
      </c>
      <c r="BS27" s="241">
        <f>INDEX(연료전지_원본!$A$4:$KY$369,MATCH($A27,연료전지_원본!$A$4:$A$369,0),MATCH($BS$4,연료전지_원본!$A$4:$KY$4,0))</f>
        <v>24</v>
      </c>
      <c r="BT27" s="241">
        <f>INDEX(연료전지_원본!$A$4:$KY$369,MATCH($A27,연료전지_원본!$A$4:$A$369,0),MATCH($BT$4,연료전지_원본!$A$4:$KY$4,0))</f>
        <v>24</v>
      </c>
      <c r="BU27" s="241">
        <f>INDEX(연료전지_원본!$A$4:$KY$369,MATCH($A27,연료전지_원본!$A$4:$A$369,0),MATCH($BU$4,연료전지_원본!$A$4:$KY$4,0))</f>
        <v>24</v>
      </c>
      <c r="BV27" s="241">
        <f>INDEX(연료전지_원본!$A$4:$KY$369,MATCH($A27,연료전지_원본!$A$4:$A$369,0),MATCH($BV$4,연료전지_원본!$A$4:$KY$4,0))</f>
        <v>24</v>
      </c>
      <c r="BW27" s="241">
        <f>INDEX(연료전지_원본!$A$4:$KY$369,MATCH($A27,연료전지_원본!$A$4:$A$369,0),MATCH($BW$4,연료전지_원본!$A$4:$KY$4,0))</f>
        <v>24</v>
      </c>
      <c r="BX27" s="241">
        <f>INDEX(연료전지_원본!$A$4:$KY$369,MATCH($A27,연료전지_원본!$A$4:$A$369,0),MATCH($BX$4,연료전지_원본!$A$4:$KY$4,0))</f>
        <v>24</v>
      </c>
      <c r="BY27" s="241">
        <f>INDEX(연료전지_원본!$A$4:$KY$369,MATCH($A27,연료전지_원본!$A$4:$A$369,0),MATCH($BY$4,연료전지_원본!$A$4:$KY$4,0))</f>
        <v>24</v>
      </c>
      <c r="BZ27" s="241">
        <f>INDEX(연료전지_원본!$A$4:$KY$369,MATCH($A27,연료전지_원본!$A$4:$A$369,0),MATCH($BZ$4,연료전지_원본!$A$4:$KY$4,0))</f>
        <v>24</v>
      </c>
      <c r="CA27" s="241">
        <f>INDEX(연료전지_원본!$A$4:$KY$369,MATCH($A27,연료전지_원본!$A$4:$A$369,0),MATCH($CA$4,연료전지_원본!$A$4:$KY$4,0))</f>
        <v>18</v>
      </c>
      <c r="CB27" s="241">
        <f>INDEX(연료전지_원본!$A$4:$KY$369,MATCH($A27,연료전지_원본!$A$4:$A$369,0),MATCH($CB$4,연료전지_원본!$A$4:$KY$4,0))</f>
        <v>18</v>
      </c>
      <c r="CC27" s="242">
        <f>INDEX(연료전지_원본!$A$4:$KY$369,MATCH($A27,연료전지_원본!$A$4:$A$369,0),MATCH($CC$4,연료전지_원본!$A$4:$KY$4,0))</f>
        <v>18</v>
      </c>
      <c r="CD27" s="250">
        <f>INDEX(연료전지_원본!$KB$4:$KX$369,MATCH($A27,연료전지_원본!$KB$4:$KB$369,0), MATCH(CD$4,연료전지_원본!$KB$4:$KX$4,0))*1000</f>
        <v>1445.661052631579</v>
      </c>
      <c r="CE27" s="250">
        <f>INDEX(연료전지_원본!$KB$4:$KX$369,MATCH($A27,연료전지_원본!$KB$4:$KB$369,0), MATCH(CE$4,연료전지_원본!$KB$4:$KX$4,0))*1000</f>
        <v>1445.661052631579</v>
      </c>
      <c r="CF27" s="250">
        <f>INDEX(연료전지_원본!$KB$4:$KX$369,MATCH($A27,연료전지_원본!$KB$4:$KB$369,0), MATCH(CF$4,연료전지_원본!$KB$4:$KX$4,0))*1000</f>
        <v>1445.661052631579</v>
      </c>
      <c r="CG27" s="250">
        <f>INDEX(연료전지_원본!$KB$4:$KX$369,MATCH($A27,연료전지_원본!$KB$4:$KB$369,0), MATCH(CG$4,연료전지_원본!$KB$4:$KX$4,0))*1000</f>
        <v>1445.661052631579</v>
      </c>
      <c r="CH27" s="250">
        <f>INDEX(연료전지_원본!$KB$4:$KX$369,MATCH($A27,연료전지_원본!$KB$4:$KB$369,0), MATCH(CH$4,연료전지_원본!$KB$4:$KX$4,0))*1000</f>
        <v>1445.661052631579</v>
      </c>
      <c r="CI27" s="250">
        <f>INDEX(연료전지_원본!$KB$4:$KX$369,MATCH($A27,연료전지_원본!$KB$4:$KB$369,0), MATCH(CI$4,연료전지_원본!$KB$4:$KX$4,0))*1000</f>
        <v>1445.661052631579</v>
      </c>
      <c r="CJ27" s="250">
        <f>INDEX(연료전지_원본!$KB$4:$KX$369,MATCH($A27,연료전지_원본!$KB$4:$KB$369,0), MATCH(CJ$4,연료전지_원본!$KB$4:$KX$4,0))*1000</f>
        <v>1445.661052631579</v>
      </c>
      <c r="CK27" s="250">
        <f>INDEX(연료전지_원본!$KB$4:$KX$369,MATCH($A27,연료전지_원본!$KB$4:$KB$369,0), MATCH(CK$4,연료전지_원본!$KB$4:$KX$4,0))*1000</f>
        <v>1445.661052631579</v>
      </c>
      <c r="CL27" s="250">
        <f>INDEX(연료전지_원본!$KB$4:$KX$369,MATCH($A27,연료전지_원본!$KB$4:$KB$369,0), MATCH(CL$4,연료전지_원본!$KB$4:$KX$4,0))*1000</f>
        <v>1445.661052631579</v>
      </c>
      <c r="CM27" s="250">
        <f>INDEX(연료전지_원본!$KB$4:$KX$369,MATCH($A27,연료전지_원본!$KB$4:$KB$369,0), MATCH(CM$4,연료전지_원본!$KB$4:$KX$4,0))*1000</f>
        <v>1445.661052631579</v>
      </c>
      <c r="CN27" s="250">
        <f>INDEX(연료전지_원본!$KB$4:$KX$369,MATCH($A27,연료전지_원본!$KB$4:$KB$369,0), MATCH(CN$4,연료전지_원본!$KB$4:$KX$4,0))*1000</f>
        <v>1445.661052631579</v>
      </c>
      <c r="CO27" s="250">
        <f>INDEX(연료전지_원본!$KB$4:$KX$369,MATCH($A27,연료전지_원본!$KB$4:$KB$369,0), MATCH(CO$4,연료전지_원본!$KB$4:$KX$4,0))*1000</f>
        <v>1445.661052631579</v>
      </c>
      <c r="CP27" s="250">
        <f>INDEX(연료전지_원본!$KB$4:$KX$369,MATCH($A27,연료전지_원본!$KB$4:$KB$369,0), MATCH(CP$4,연료전지_원본!$KB$4:$KX$4,0))*1000</f>
        <v>1445.661052631579</v>
      </c>
      <c r="CQ27" s="250">
        <f>INDEX(연료전지_원본!$KB$4:$KX$369,MATCH($A27,연료전지_원본!$KB$4:$KB$369,0), MATCH(CQ$4,연료전지_원본!$KB$4:$KX$4,0))*1000</f>
        <v>1445.661052631579</v>
      </c>
      <c r="CR27" s="250">
        <f>INDEX(연료전지_원본!$KB$4:$KX$369,MATCH($A27,연료전지_원본!$KB$4:$KB$369,0), MATCH(CR$4,연료전지_원본!$KB$4:$KX$4,0))*1000</f>
        <v>1445.661052631579</v>
      </c>
      <c r="CS27" s="250">
        <f>INDEX(연료전지_원본!$KB$4:$KX$369,MATCH($A27,연료전지_원본!$KB$4:$KB$369,0), MATCH(CS$4,연료전지_원본!$KB$4:$KX$4,0))*1000</f>
        <v>1445.661052631579</v>
      </c>
      <c r="CT27" s="250">
        <f>INDEX(연료전지_원본!$KB$4:$KX$369,MATCH($A27,연료전지_원본!$KB$4:$KB$369,0), MATCH(CT$4,연료전지_원본!$KB$4:$KX$4,0))*1000</f>
        <v>1445.661052631579</v>
      </c>
      <c r="CU27" s="250">
        <f>INDEX(연료전지_원본!$KB$4:$KX$369,MATCH($A27,연료전지_원본!$KB$4:$KB$369,0), MATCH(CU$4,연료전지_원본!$KB$4:$KX$4,0))*1000</f>
        <v>1445.661052631579</v>
      </c>
      <c r="CV27" s="250">
        <f>INDEX(연료전지_원본!$KB$4:$KX$369,MATCH($A27,연료전지_원본!$KB$4:$KB$369,0), MATCH(CV$4,연료전지_원본!$KB$4:$KX$4,0))*1000</f>
        <v>1445.661052631579</v>
      </c>
      <c r="CW27" s="250">
        <f>INDEX(연료전지_원본!$KB$4:$KX$369,MATCH($A27,연료전지_원본!$KB$4:$KB$369,0), MATCH(CW$4,연료전지_원본!$KB$4:$KX$4,0))*1000</f>
        <v>1091.1466666666668</v>
      </c>
      <c r="CX27" s="250">
        <f>INDEX(연료전지_원본!$KB$4:$KX$369,MATCH($A27,연료전지_원본!$KB$4:$KB$369,0), MATCH(CX$4,연료전지_원본!$KB$4:$KX$4,0))*1000</f>
        <v>1091.1466666666668</v>
      </c>
      <c r="CY27" s="250">
        <f>INDEX(연료전지_원본!$KB$4:$KX$369,MATCH($A27,연료전지_원본!$KB$4:$KB$369,0), MATCH(CY$4,연료전지_원본!$KB$4:$KX$4,0))*1000</f>
        <v>1091.1466666666668</v>
      </c>
    </row>
    <row r="28" spans="1:103">
      <c r="A28" s="6">
        <v>46045</v>
      </c>
      <c r="B28" s="15">
        <f>운전실적_원본!B28</f>
        <v>651.20000000000005</v>
      </c>
      <c r="C28" s="16">
        <f t="shared" si="3"/>
        <v>0</v>
      </c>
      <c r="D28" s="9">
        <f>운전실적_원본!C28</f>
        <v>248636</v>
      </c>
      <c r="E28" s="9">
        <f t="shared" si="3"/>
        <v>72</v>
      </c>
      <c r="F28" s="9">
        <f>운전실적_원본!D28</f>
        <v>240319</v>
      </c>
      <c r="G28" s="16">
        <f t="shared" ref="G28" si="199">F28-F27</f>
        <v>22</v>
      </c>
      <c r="H28" s="15">
        <f>운전실적_원본!E28</f>
        <v>17128.849999999999</v>
      </c>
      <c r="I28" s="16">
        <f t="shared" ref="I28" si="200">H28-H27</f>
        <v>5.5900000000001455</v>
      </c>
      <c r="J28" s="15">
        <f>운전실적_원본!F28</f>
        <v>14734.47</v>
      </c>
      <c r="K28" s="16">
        <f t="shared" ref="K28" si="201">J28-J27</f>
        <v>18.449999999998909</v>
      </c>
      <c r="L28" s="15">
        <f>운전실적_원본!G28</f>
        <v>4056.3</v>
      </c>
      <c r="M28" s="31">
        <f t="shared" ref="M28" si="202">L28-L27</f>
        <v>1.3000000000001819</v>
      </c>
      <c r="N28" s="15">
        <f>운전실적_원본!H28</f>
        <v>35843</v>
      </c>
      <c r="O28" s="16">
        <f t="shared" ref="O28" si="203">N28-N27</f>
        <v>219</v>
      </c>
      <c r="P28" s="15">
        <f>운전실적_원본!I28</f>
        <v>18709</v>
      </c>
      <c r="Q28" s="16">
        <f t="shared" ref="Q28" si="204">P28-P27</f>
        <v>170</v>
      </c>
      <c r="R28" s="18">
        <f>운전실적_원본!J28</f>
        <v>33.090000000000003</v>
      </c>
      <c r="S28" s="19">
        <f t="shared" ref="S28" si="205">R28-R27</f>
        <v>-0.15999999999999659</v>
      </c>
      <c r="T28" s="18">
        <f>운전실적_원본!K28</f>
        <v>32.64</v>
      </c>
      <c r="U28" s="19">
        <f t="shared" ref="U28" si="206">T28-T27</f>
        <v>-3.9999999999999147E-2</v>
      </c>
      <c r="V28" s="12">
        <f>운전실적_원본!L28</f>
        <v>8224</v>
      </c>
      <c r="W28" s="16">
        <f t="shared" ref="W28" si="207">V28-V27</f>
        <v>124</v>
      </c>
      <c r="X28" s="10">
        <f>운전실적_원본!M28</f>
        <v>199251.25</v>
      </c>
      <c r="Y28" s="10">
        <f>운전실적_원본!N28</f>
        <v>0</v>
      </c>
      <c r="Z28" s="10">
        <f>운전실적_원본!O28</f>
        <v>0</v>
      </c>
      <c r="AA28" s="10">
        <f>운전실적_원본!P28</f>
        <v>0</v>
      </c>
      <c r="AB28" s="10">
        <f>운전실적_원본!Q28</f>
        <v>0</v>
      </c>
      <c r="AC28" s="20">
        <f>운전실적_원본!R28</f>
        <v>0</v>
      </c>
      <c r="AD28" s="109">
        <f>운전실적_원본!S28</f>
        <v>24</v>
      </c>
      <c r="AE28" s="110">
        <f>운전실적_원본!T28</f>
        <v>0</v>
      </c>
      <c r="AF28" s="110">
        <f>운전실적_원본!U28</f>
        <v>0</v>
      </c>
      <c r="AG28" s="110">
        <f>운전실적_원본!V28</f>
        <v>0</v>
      </c>
      <c r="AH28" s="109">
        <f t="shared" si="1"/>
        <v>24</v>
      </c>
      <c r="AI28" s="110">
        <f t="shared" si="125"/>
        <v>0</v>
      </c>
      <c r="AJ28" s="110">
        <f>운전실적_원본!Y28</f>
        <v>0</v>
      </c>
      <c r="AK28" s="110">
        <f>운전실적_원본!Z28</f>
        <v>0</v>
      </c>
      <c r="AL28" s="106">
        <v>46045</v>
      </c>
      <c r="AM28" s="105">
        <f t="shared" si="171"/>
        <v>46046</v>
      </c>
      <c r="AN28" s="105"/>
      <c r="AO28" s="105"/>
      <c r="AP28" s="105"/>
      <c r="AQ28" s="108"/>
      <c r="AR28" s="105"/>
      <c r="AS28" s="105"/>
      <c r="AT28" s="102"/>
      <c r="AU28" s="102"/>
      <c r="AV28" s="102"/>
      <c r="AW28" s="102"/>
      <c r="AX28" s="32">
        <f>운전실적_원본!W28</f>
        <v>1247</v>
      </c>
      <c r="AY28" s="11">
        <f>운전실적_원본!X28</f>
        <v>0</v>
      </c>
      <c r="AZ28" s="11">
        <f>운전실적_원본!Y28</f>
        <v>0</v>
      </c>
      <c r="BA28" s="11">
        <f>운전실적_원본!Z28</f>
        <v>0</v>
      </c>
      <c r="BB28" s="11">
        <f>운전실적_원본!AA28</f>
        <v>0</v>
      </c>
      <c r="BC28" s="11">
        <f>운전실적_원본!AB28</f>
        <v>1247</v>
      </c>
      <c r="BD28" s="32">
        <f t="shared" si="15"/>
        <v>51.958333333333336</v>
      </c>
      <c r="BE28" s="11">
        <f t="shared" si="2"/>
        <v>1.0110592203411819</v>
      </c>
      <c r="BF28" s="11">
        <f>운전실적_원본!AE28</f>
        <v>0</v>
      </c>
      <c r="BG28" s="31">
        <f t="shared" si="0"/>
        <v>0</v>
      </c>
      <c r="BH28" s="241">
        <f>INDEX(연료전지_원본!$A$4:$KY$369,MATCH($A28,연료전지_원본!$A$4:$A$369,0),MATCH($BH$4,연료전지_원본!$A$4:$KY$4,0))</f>
        <v>24</v>
      </c>
      <c r="BI28" s="241">
        <f>INDEX(연료전지_원본!$A$4:$KY$369,MATCH($A28,연료전지_원본!$A$4:$A$369,0),MATCH($BI$4,연료전지_원본!$A$4:$KY$4,0))</f>
        <v>24</v>
      </c>
      <c r="BJ28" s="241">
        <f>INDEX(연료전지_원본!$A$4:$KY$369,MATCH($A28,연료전지_원본!$A$4:$A$369,0),MATCH($BJ$4,연료전지_원본!$A$4:$KY$4,0))</f>
        <v>24</v>
      </c>
      <c r="BK28" s="241">
        <f>INDEX(연료전지_원본!$A$4:$KY$369,MATCH($A28,연료전지_원본!$A$4:$A$369,0),MATCH($BK$4,연료전지_원본!$A$4:$KY$4,0))</f>
        <v>24</v>
      </c>
      <c r="BL28" s="241">
        <f>INDEX(연료전지_원본!$A$4:$KY$369,MATCH($A28,연료전지_원본!$A$4:$A$369,0),MATCH($BL$4,연료전지_원본!$A$4:$KY$4,0))</f>
        <v>24</v>
      </c>
      <c r="BM28" s="241">
        <f>INDEX(연료전지_원본!$A$4:$KY$369,MATCH($A28,연료전지_원본!$A$4:$A$369,0),MATCH($BM$4,연료전지_원본!$A$4:$KY$4,0))</f>
        <v>24</v>
      </c>
      <c r="BN28" s="241">
        <f>INDEX(연료전지_원본!$A$4:$KY$369,MATCH($A28,연료전지_원본!$A$4:$A$369,0),MATCH($BN$4,연료전지_원본!$A$4:$KY$4,0))</f>
        <v>24</v>
      </c>
      <c r="BO28" s="241">
        <f>INDEX(연료전지_원본!$A$4:$KY$369,MATCH($A28,연료전지_원본!$A$4:$A$369,0),MATCH($BO$4,연료전지_원본!$A$4:$KY$4,0))</f>
        <v>24</v>
      </c>
      <c r="BP28" s="241">
        <f>INDEX(연료전지_원본!$A$4:$KY$369,MATCH($A28,연료전지_원본!$A$4:$A$369,0),MATCH($BP$4,연료전지_원본!$A$4:$KY$4,0))</f>
        <v>24</v>
      </c>
      <c r="BQ28" s="241">
        <f>INDEX(연료전지_원본!$A$4:$KY$369,MATCH($A28,연료전지_원본!$A$4:$A$369,0),MATCH($BQ$4,연료전지_원본!$A$4:$KY$4,0))</f>
        <v>24</v>
      </c>
      <c r="BR28" s="241">
        <f>INDEX(연료전지_원본!$A$4:$KY$369,MATCH($A28,연료전지_원본!$A$4:$A$369,0),MATCH($BR$4,연료전지_원본!$A$4:$KY$4,0))</f>
        <v>24</v>
      </c>
      <c r="BS28" s="241">
        <f>INDEX(연료전지_원본!$A$4:$KY$369,MATCH($A28,연료전지_원본!$A$4:$A$369,0),MATCH($BS$4,연료전지_원본!$A$4:$KY$4,0))</f>
        <v>24</v>
      </c>
      <c r="BT28" s="241">
        <f>INDEX(연료전지_원본!$A$4:$KY$369,MATCH($A28,연료전지_원본!$A$4:$A$369,0),MATCH($BT$4,연료전지_원본!$A$4:$KY$4,0))</f>
        <v>24</v>
      </c>
      <c r="BU28" s="241">
        <f>INDEX(연료전지_원본!$A$4:$KY$369,MATCH($A28,연료전지_원본!$A$4:$A$369,0),MATCH($BU$4,연료전지_원본!$A$4:$KY$4,0))</f>
        <v>24</v>
      </c>
      <c r="BV28" s="241">
        <f>INDEX(연료전지_원본!$A$4:$KY$369,MATCH($A28,연료전지_원본!$A$4:$A$369,0),MATCH($BV$4,연료전지_원본!$A$4:$KY$4,0))</f>
        <v>24</v>
      </c>
      <c r="BW28" s="241">
        <f>INDEX(연료전지_원본!$A$4:$KY$369,MATCH($A28,연료전지_원본!$A$4:$A$369,0),MATCH($BW$4,연료전지_원본!$A$4:$KY$4,0))</f>
        <v>24</v>
      </c>
      <c r="BX28" s="241">
        <f>INDEX(연료전지_원본!$A$4:$KY$369,MATCH($A28,연료전지_원본!$A$4:$A$369,0),MATCH($BX$4,연료전지_원본!$A$4:$KY$4,0))</f>
        <v>24</v>
      </c>
      <c r="BY28" s="241">
        <f>INDEX(연료전지_원본!$A$4:$KY$369,MATCH($A28,연료전지_원본!$A$4:$A$369,0),MATCH($BY$4,연료전지_원본!$A$4:$KY$4,0))</f>
        <v>24</v>
      </c>
      <c r="BZ28" s="241">
        <f>INDEX(연료전지_원본!$A$4:$KY$369,MATCH($A28,연료전지_원본!$A$4:$A$369,0),MATCH($BZ$4,연료전지_원본!$A$4:$KY$4,0))</f>
        <v>24</v>
      </c>
      <c r="CA28" s="241">
        <f>INDEX(연료전지_원본!$A$4:$KY$369,MATCH($A28,연료전지_원본!$A$4:$A$369,0),MATCH($CA$4,연료전지_원본!$A$4:$KY$4,0))</f>
        <v>24</v>
      </c>
      <c r="CB28" s="241">
        <f>INDEX(연료전지_원본!$A$4:$KY$369,MATCH($A28,연료전지_원본!$A$4:$A$369,0),MATCH($CB$4,연료전지_원본!$A$4:$KY$4,0))</f>
        <v>24</v>
      </c>
      <c r="CC28" s="242">
        <f>INDEX(연료전지_원본!$A$4:$KY$369,MATCH($A28,연료전지_원본!$A$4:$A$369,0),MATCH($CC$4,연료전지_원본!$A$4:$KY$4,0))</f>
        <v>24</v>
      </c>
      <c r="CD28" s="250">
        <f>INDEX(연료전지_원본!$KB$4:$KX$369,MATCH($A28,연료전지_원본!$KB$4:$KB$369,0), MATCH(CD$4,연료전지_원본!$KB$4:$KX$4,0))*1000</f>
        <v>1575.5</v>
      </c>
      <c r="CE28" s="250">
        <f>INDEX(연료전지_원본!$KB$4:$KX$369,MATCH($A28,연료전지_원본!$KB$4:$KB$369,0), MATCH(CE$4,연료전지_원본!$KB$4:$KX$4,0))*1000</f>
        <v>1575.5</v>
      </c>
      <c r="CF28" s="250">
        <f>INDEX(연료전지_원본!$KB$4:$KX$369,MATCH($A28,연료전지_원본!$KB$4:$KB$369,0), MATCH(CF$4,연료전지_원본!$KB$4:$KX$4,0))*1000</f>
        <v>1575.5</v>
      </c>
      <c r="CG28" s="250">
        <f>INDEX(연료전지_원본!$KB$4:$KX$369,MATCH($A28,연료전지_원본!$KB$4:$KB$369,0), MATCH(CG$4,연료전지_원본!$KB$4:$KX$4,0))*1000</f>
        <v>1575.5</v>
      </c>
      <c r="CH28" s="250">
        <f>INDEX(연료전지_원본!$KB$4:$KX$369,MATCH($A28,연료전지_원본!$KB$4:$KB$369,0), MATCH(CH$4,연료전지_원본!$KB$4:$KX$4,0))*1000</f>
        <v>1575.5</v>
      </c>
      <c r="CI28" s="250">
        <f>INDEX(연료전지_원본!$KB$4:$KX$369,MATCH($A28,연료전지_원본!$KB$4:$KB$369,0), MATCH(CI$4,연료전지_원본!$KB$4:$KX$4,0))*1000</f>
        <v>1575.5</v>
      </c>
      <c r="CJ28" s="250">
        <f>INDEX(연료전지_원본!$KB$4:$KX$369,MATCH($A28,연료전지_원본!$KB$4:$KB$369,0), MATCH(CJ$4,연료전지_원본!$KB$4:$KX$4,0))*1000</f>
        <v>1575.5</v>
      </c>
      <c r="CK28" s="250">
        <f>INDEX(연료전지_원본!$KB$4:$KX$369,MATCH($A28,연료전지_원본!$KB$4:$KB$369,0), MATCH(CK$4,연료전지_원본!$KB$4:$KX$4,0))*1000</f>
        <v>1575.5</v>
      </c>
      <c r="CL28" s="250">
        <f>INDEX(연료전지_원본!$KB$4:$KX$369,MATCH($A28,연료전지_원본!$KB$4:$KB$369,0), MATCH(CL$4,연료전지_원본!$KB$4:$KX$4,0))*1000</f>
        <v>1575.5</v>
      </c>
      <c r="CM28" s="250">
        <f>INDEX(연료전지_원본!$KB$4:$KX$369,MATCH($A28,연료전지_원본!$KB$4:$KB$369,0), MATCH(CM$4,연료전지_원본!$KB$4:$KX$4,0))*1000</f>
        <v>1575.5</v>
      </c>
      <c r="CN28" s="250">
        <f>INDEX(연료전지_원본!$KB$4:$KX$369,MATCH($A28,연료전지_원본!$KB$4:$KB$369,0), MATCH(CN$4,연료전지_원본!$KB$4:$KX$4,0))*1000</f>
        <v>1575.5</v>
      </c>
      <c r="CO28" s="250">
        <f>INDEX(연료전지_원본!$KB$4:$KX$369,MATCH($A28,연료전지_원본!$KB$4:$KB$369,0), MATCH(CO$4,연료전지_원본!$KB$4:$KX$4,0))*1000</f>
        <v>1575.5</v>
      </c>
      <c r="CP28" s="250">
        <f>INDEX(연료전지_원본!$KB$4:$KX$369,MATCH($A28,연료전지_원본!$KB$4:$KB$369,0), MATCH(CP$4,연료전지_원본!$KB$4:$KX$4,0))*1000</f>
        <v>1575.5</v>
      </c>
      <c r="CQ28" s="250">
        <f>INDEX(연료전지_원본!$KB$4:$KX$369,MATCH($A28,연료전지_원본!$KB$4:$KB$369,0), MATCH(CQ$4,연료전지_원본!$KB$4:$KX$4,0))*1000</f>
        <v>1575.5</v>
      </c>
      <c r="CR28" s="250">
        <f>INDEX(연료전지_원본!$KB$4:$KX$369,MATCH($A28,연료전지_원본!$KB$4:$KB$369,0), MATCH(CR$4,연료전지_원본!$KB$4:$KX$4,0))*1000</f>
        <v>1575.5</v>
      </c>
      <c r="CS28" s="250">
        <f>INDEX(연료전지_원본!$KB$4:$KX$369,MATCH($A28,연료전지_원본!$KB$4:$KB$369,0), MATCH(CS$4,연료전지_원본!$KB$4:$KX$4,0))*1000</f>
        <v>1575.5</v>
      </c>
      <c r="CT28" s="250">
        <f>INDEX(연료전지_원본!$KB$4:$KX$369,MATCH($A28,연료전지_원본!$KB$4:$KB$369,0), MATCH(CT$4,연료전지_원본!$KB$4:$KX$4,0))*1000</f>
        <v>1575.5</v>
      </c>
      <c r="CU28" s="250">
        <f>INDEX(연료전지_원본!$KB$4:$KX$369,MATCH($A28,연료전지_원본!$KB$4:$KB$369,0), MATCH(CU$4,연료전지_원본!$KB$4:$KX$4,0))*1000</f>
        <v>1575.5</v>
      </c>
      <c r="CV28" s="250">
        <f>INDEX(연료전지_원본!$KB$4:$KX$369,MATCH($A28,연료전지_원본!$KB$4:$KB$369,0), MATCH(CV$4,연료전지_원본!$KB$4:$KX$4,0))*1000</f>
        <v>1575.5</v>
      </c>
      <c r="CW28" s="250">
        <f>INDEX(연료전지_원본!$KB$4:$KX$369,MATCH($A28,연료전지_원본!$KB$4:$KB$369,0), MATCH(CW$4,연료전지_원본!$KB$4:$KX$4,0))*1000</f>
        <v>1575.5</v>
      </c>
      <c r="CX28" s="250">
        <f>INDEX(연료전지_원본!$KB$4:$KX$369,MATCH($A28,연료전지_원본!$KB$4:$KB$369,0), MATCH(CX$4,연료전지_원본!$KB$4:$KX$4,0))*1000</f>
        <v>1575.5</v>
      </c>
      <c r="CY28" s="250">
        <f>INDEX(연료전지_원본!$KB$4:$KX$369,MATCH($A28,연료전지_원본!$KB$4:$KB$369,0), MATCH(CY$4,연료전지_원본!$KB$4:$KX$4,0))*1000</f>
        <v>1575.5</v>
      </c>
    </row>
    <row r="29" spans="1:103">
      <c r="A29" s="6">
        <v>46046</v>
      </c>
      <c r="B29" s="15">
        <f>운전실적_원본!B29</f>
        <v>651.20000000000005</v>
      </c>
      <c r="C29" s="16">
        <f t="shared" si="3"/>
        <v>0</v>
      </c>
      <c r="D29" s="9">
        <f>운전실적_원본!C29</f>
        <v>248683</v>
      </c>
      <c r="E29" s="9">
        <f t="shared" si="3"/>
        <v>47</v>
      </c>
      <c r="F29" s="9">
        <f>운전실적_원본!D29</f>
        <v>240319</v>
      </c>
      <c r="G29" s="16">
        <f t="shared" ref="G29" si="208">F29-F28</f>
        <v>0</v>
      </c>
      <c r="H29" s="15">
        <f>운전실적_원본!E29</f>
        <v>17132.89</v>
      </c>
      <c r="I29" s="16">
        <f t="shared" ref="I29" si="209">H29-H28</f>
        <v>4.0400000000008731</v>
      </c>
      <c r="J29" s="15">
        <f>운전실적_원본!F29</f>
        <v>14753.2</v>
      </c>
      <c r="K29" s="16">
        <f t="shared" ref="K29" si="210">J29-J28</f>
        <v>18.730000000001382</v>
      </c>
      <c r="L29" s="15">
        <f>운전실적_원본!G29</f>
        <v>4057.2</v>
      </c>
      <c r="M29" s="31">
        <f t="shared" ref="M29" si="211">L29-L28</f>
        <v>0.8999999999996362</v>
      </c>
      <c r="N29" s="15">
        <f>운전실적_원본!H29</f>
        <v>35983</v>
      </c>
      <c r="O29" s="16">
        <f t="shared" ref="O29" si="212">N29-N28</f>
        <v>140</v>
      </c>
      <c r="P29" s="15">
        <f>운전실적_원본!I29</f>
        <v>18856</v>
      </c>
      <c r="Q29" s="16">
        <f t="shared" ref="Q29" si="213">P29-P28</f>
        <v>147</v>
      </c>
      <c r="R29" s="18">
        <f>운전실적_원본!J29</f>
        <v>32.950000000000003</v>
      </c>
      <c r="S29" s="19">
        <f t="shared" ref="S29" si="214">R29-R28</f>
        <v>-0.14000000000000057</v>
      </c>
      <c r="T29" s="18">
        <f>운전실적_원본!K29</f>
        <v>32.61</v>
      </c>
      <c r="U29" s="19">
        <f t="shared" ref="U29" si="215">T29-T28</f>
        <v>-3.0000000000001137E-2</v>
      </c>
      <c r="V29" s="12">
        <f>운전실적_원본!L29</f>
        <v>8150</v>
      </c>
      <c r="W29" s="16">
        <f t="shared" ref="W29" si="216">V29-V28</f>
        <v>-74</v>
      </c>
      <c r="X29" s="10">
        <f>운전실적_원본!M29</f>
        <v>198598.77000000328</v>
      </c>
      <c r="Y29" s="10">
        <f>운전실적_원본!N29</f>
        <v>0</v>
      </c>
      <c r="Z29" s="10">
        <f>운전실적_원본!O29</f>
        <v>0</v>
      </c>
      <c r="AA29" s="10">
        <f>운전실적_원본!P29</f>
        <v>0</v>
      </c>
      <c r="AB29" s="10">
        <f>운전실적_원본!Q29</f>
        <v>0</v>
      </c>
      <c r="AC29" s="20">
        <f>운전실적_원본!R29</f>
        <v>0</v>
      </c>
      <c r="AD29" s="109">
        <f>운전실적_원본!S29</f>
        <v>24</v>
      </c>
      <c r="AE29" s="110">
        <f>운전실적_원본!T29</f>
        <v>0</v>
      </c>
      <c r="AF29" s="110">
        <f>운전실적_원본!U29</f>
        <v>0</v>
      </c>
      <c r="AG29" s="110">
        <f>운전실적_원본!V29</f>
        <v>0</v>
      </c>
      <c r="AH29" s="109">
        <f t="shared" si="1"/>
        <v>24</v>
      </c>
      <c r="AI29" s="110">
        <f t="shared" si="125"/>
        <v>0</v>
      </c>
      <c r="AJ29" s="110">
        <f>운전실적_원본!Y29</f>
        <v>0</v>
      </c>
      <c r="AK29" s="110">
        <f>운전실적_원본!Z29</f>
        <v>0</v>
      </c>
      <c r="AL29" s="106">
        <v>46046</v>
      </c>
      <c r="AM29" s="105">
        <f t="shared" si="171"/>
        <v>46047</v>
      </c>
      <c r="AN29" s="105"/>
      <c r="AO29" s="105"/>
      <c r="AP29" s="105"/>
      <c r="AQ29" s="108"/>
      <c r="AR29" s="105"/>
      <c r="AS29" s="105"/>
      <c r="AT29" s="102"/>
      <c r="AU29" s="102"/>
      <c r="AV29" s="102"/>
      <c r="AW29" s="102"/>
      <c r="AX29" s="32">
        <f>운전실적_원본!W29</f>
        <v>1245</v>
      </c>
      <c r="AY29" s="11">
        <f>운전실적_원본!X29</f>
        <v>0</v>
      </c>
      <c r="AZ29" s="11">
        <f>운전실적_원본!Y29</f>
        <v>0</v>
      </c>
      <c r="BA29" s="11">
        <f>운전실적_원본!Z29</f>
        <v>0</v>
      </c>
      <c r="BB29" s="11">
        <f>운전실적_원본!AA29</f>
        <v>0</v>
      </c>
      <c r="BC29" s="11">
        <f>운전실적_원본!AB29</f>
        <v>1245</v>
      </c>
      <c r="BD29" s="32">
        <f t="shared" si="15"/>
        <v>51.875</v>
      </c>
      <c r="BE29" s="11">
        <f t="shared" si="2"/>
        <v>1.0094376337808912</v>
      </c>
      <c r="BF29" s="11">
        <f>운전실적_원본!AE29</f>
        <v>0</v>
      </c>
      <c r="BG29" s="31">
        <f t="shared" si="0"/>
        <v>0</v>
      </c>
      <c r="BH29" s="241">
        <f>INDEX(연료전지_원본!$A$4:$KY$369,MATCH($A29,연료전지_원본!$A$4:$A$369,0),MATCH($BH$4,연료전지_원본!$A$4:$KY$4,0))</f>
        <v>24</v>
      </c>
      <c r="BI29" s="241">
        <f>INDEX(연료전지_원본!$A$4:$KY$369,MATCH($A29,연료전지_원본!$A$4:$A$369,0),MATCH($BI$4,연료전지_원본!$A$4:$KY$4,0))</f>
        <v>24</v>
      </c>
      <c r="BJ29" s="241">
        <f>INDEX(연료전지_원본!$A$4:$KY$369,MATCH($A29,연료전지_원본!$A$4:$A$369,0),MATCH($BJ$4,연료전지_원본!$A$4:$KY$4,0))</f>
        <v>24</v>
      </c>
      <c r="BK29" s="241">
        <f>INDEX(연료전지_원본!$A$4:$KY$369,MATCH($A29,연료전지_원본!$A$4:$A$369,0),MATCH($BK$4,연료전지_원본!$A$4:$KY$4,0))</f>
        <v>24</v>
      </c>
      <c r="BL29" s="241">
        <f>INDEX(연료전지_원본!$A$4:$KY$369,MATCH($A29,연료전지_원본!$A$4:$A$369,0),MATCH($BL$4,연료전지_원본!$A$4:$KY$4,0))</f>
        <v>24</v>
      </c>
      <c r="BM29" s="241">
        <f>INDEX(연료전지_원본!$A$4:$KY$369,MATCH($A29,연료전지_원본!$A$4:$A$369,0),MATCH($BM$4,연료전지_원본!$A$4:$KY$4,0))</f>
        <v>24</v>
      </c>
      <c r="BN29" s="241">
        <f>INDEX(연료전지_원본!$A$4:$KY$369,MATCH($A29,연료전지_원본!$A$4:$A$369,0),MATCH($BN$4,연료전지_원본!$A$4:$KY$4,0))</f>
        <v>24</v>
      </c>
      <c r="BO29" s="241">
        <f>INDEX(연료전지_원본!$A$4:$KY$369,MATCH($A29,연료전지_원본!$A$4:$A$369,0),MATCH($BO$4,연료전지_원본!$A$4:$KY$4,0))</f>
        <v>24</v>
      </c>
      <c r="BP29" s="241">
        <f>INDEX(연료전지_원본!$A$4:$KY$369,MATCH($A29,연료전지_원본!$A$4:$A$369,0),MATCH($BP$4,연료전지_원본!$A$4:$KY$4,0))</f>
        <v>24</v>
      </c>
      <c r="BQ29" s="241">
        <f>INDEX(연료전지_원본!$A$4:$KY$369,MATCH($A29,연료전지_원본!$A$4:$A$369,0),MATCH($BQ$4,연료전지_원본!$A$4:$KY$4,0))</f>
        <v>24</v>
      </c>
      <c r="BR29" s="241">
        <f>INDEX(연료전지_원본!$A$4:$KY$369,MATCH($A29,연료전지_원본!$A$4:$A$369,0),MATCH($BR$4,연료전지_원본!$A$4:$KY$4,0))</f>
        <v>24</v>
      </c>
      <c r="BS29" s="241">
        <f>INDEX(연료전지_원본!$A$4:$KY$369,MATCH($A29,연료전지_원본!$A$4:$A$369,0),MATCH($BS$4,연료전지_원본!$A$4:$KY$4,0))</f>
        <v>24</v>
      </c>
      <c r="BT29" s="241">
        <f>INDEX(연료전지_원본!$A$4:$KY$369,MATCH($A29,연료전지_원본!$A$4:$A$369,0),MATCH($BT$4,연료전지_원본!$A$4:$KY$4,0))</f>
        <v>24</v>
      </c>
      <c r="BU29" s="241">
        <f>INDEX(연료전지_원본!$A$4:$KY$369,MATCH($A29,연료전지_원본!$A$4:$A$369,0),MATCH($BU$4,연료전지_원본!$A$4:$KY$4,0))</f>
        <v>24</v>
      </c>
      <c r="BV29" s="241">
        <f>INDEX(연료전지_원본!$A$4:$KY$369,MATCH($A29,연료전지_원본!$A$4:$A$369,0),MATCH($BV$4,연료전지_원본!$A$4:$KY$4,0))</f>
        <v>24</v>
      </c>
      <c r="BW29" s="241">
        <f>INDEX(연료전지_원본!$A$4:$KY$369,MATCH($A29,연료전지_원본!$A$4:$A$369,0),MATCH($BW$4,연료전지_원본!$A$4:$KY$4,0))</f>
        <v>24</v>
      </c>
      <c r="BX29" s="241">
        <f>INDEX(연료전지_원본!$A$4:$KY$369,MATCH($A29,연료전지_원본!$A$4:$A$369,0),MATCH($BX$4,연료전지_원본!$A$4:$KY$4,0))</f>
        <v>24</v>
      </c>
      <c r="BY29" s="241">
        <f>INDEX(연료전지_원본!$A$4:$KY$369,MATCH($A29,연료전지_원본!$A$4:$A$369,0),MATCH($BY$4,연료전지_원본!$A$4:$KY$4,0))</f>
        <v>24</v>
      </c>
      <c r="BZ29" s="241">
        <f>INDEX(연료전지_원본!$A$4:$KY$369,MATCH($A29,연료전지_원본!$A$4:$A$369,0),MATCH($BZ$4,연료전지_원본!$A$4:$KY$4,0))</f>
        <v>24</v>
      </c>
      <c r="CA29" s="241">
        <f>INDEX(연료전지_원본!$A$4:$KY$369,MATCH($A29,연료전지_원본!$A$4:$A$369,0),MATCH($CA$4,연료전지_원본!$A$4:$KY$4,0))</f>
        <v>24</v>
      </c>
      <c r="CB29" s="241">
        <f>INDEX(연료전지_원본!$A$4:$KY$369,MATCH($A29,연료전지_원본!$A$4:$A$369,0),MATCH($CB$4,연료전지_원본!$A$4:$KY$4,0))</f>
        <v>24</v>
      </c>
      <c r="CC29" s="242">
        <f>INDEX(연료전지_원본!$A$4:$KY$369,MATCH($A29,연료전지_원본!$A$4:$A$369,0),MATCH($CC$4,연료전지_원본!$A$4:$KY$4,0))</f>
        <v>24</v>
      </c>
      <c r="CD29" s="250">
        <f>INDEX(연료전지_원본!$KB$4:$KX$369,MATCH($A29,연료전지_원본!$KB$4:$KB$369,0), MATCH(CD$4,연료전지_원본!$KB$4:$KX$4,0))*1000</f>
        <v>1621.3181818181818</v>
      </c>
      <c r="CE29" s="250">
        <f>INDEX(연료전지_원본!$KB$4:$KX$369,MATCH($A29,연료전지_원본!$KB$4:$KB$369,0), MATCH(CE$4,연료전지_원본!$KB$4:$KX$4,0))*1000</f>
        <v>1621.3181818181818</v>
      </c>
      <c r="CF29" s="250">
        <f>INDEX(연료전지_원본!$KB$4:$KX$369,MATCH($A29,연료전지_원본!$KB$4:$KB$369,0), MATCH(CF$4,연료전지_원본!$KB$4:$KX$4,0))*1000</f>
        <v>1621.3181818181818</v>
      </c>
      <c r="CG29" s="250">
        <f>INDEX(연료전지_원본!$KB$4:$KX$369,MATCH($A29,연료전지_원본!$KB$4:$KB$369,0), MATCH(CG$4,연료전지_원본!$KB$4:$KX$4,0))*1000</f>
        <v>1621.3181818181818</v>
      </c>
      <c r="CH29" s="250">
        <f>INDEX(연료전지_원본!$KB$4:$KX$369,MATCH($A29,연료전지_원본!$KB$4:$KB$369,0), MATCH(CH$4,연료전지_원본!$KB$4:$KX$4,0))*1000</f>
        <v>1621.3181818181818</v>
      </c>
      <c r="CI29" s="250">
        <f>INDEX(연료전지_원본!$KB$4:$KX$369,MATCH($A29,연료전지_원본!$KB$4:$KB$369,0), MATCH(CI$4,연료전지_원본!$KB$4:$KX$4,0))*1000</f>
        <v>1621.3181818181818</v>
      </c>
      <c r="CJ29" s="250">
        <f>INDEX(연료전지_원본!$KB$4:$KX$369,MATCH($A29,연료전지_원본!$KB$4:$KB$369,0), MATCH(CJ$4,연료전지_원본!$KB$4:$KX$4,0))*1000</f>
        <v>1621.3181818181818</v>
      </c>
      <c r="CK29" s="250">
        <f>INDEX(연료전지_원본!$KB$4:$KX$369,MATCH($A29,연료전지_원본!$KB$4:$KB$369,0), MATCH(CK$4,연료전지_원본!$KB$4:$KX$4,0))*1000</f>
        <v>1621.3181818181818</v>
      </c>
      <c r="CL29" s="250">
        <f>INDEX(연료전지_원본!$KB$4:$KX$369,MATCH($A29,연료전지_원본!$KB$4:$KB$369,0), MATCH(CL$4,연료전지_원본!$KB$4:$KX$4,0))*1000</f>
        <v>1621.3181818181818</v>
      </c>
      <c r="CM29" s="250">
        <f>INDEX(연료전지_원본!$KB$4:$KX$369,MATCH($A29,연료전지_원본!$KB$4:$KB$369,0), MATCH(CM$4,연료전지_원본!$KB$4:$KX$4,0))*1000</f>
        <v>1621.3181818181818</v>
      </c>
      <c r="CN29" s="250">
        <f>INDEX(연료전지_원본!$KB$4:$KX$369,MATCH($A29,연료전지_원본!$KB$4:$KB$369,0), MATCH(CN$4,연료전지_원본!$KB$4:$KX$4,0))*1000</f>
        <v>1621.3181818181818</v>
      </c>
      <c r="CO29" s="250">
        <f>INDEX(연료전지_원본!$KB$4:$KX$369,MATCH($A29,연료전지_원본!$KB$4:$KB$369,0), MATCH(CO$4,연료전지_원본!$KB$4:$KX$4,0))*1000</f>
        <v>1621.3181818181818</v>
      </c>
      <c r="CP29" s="250">
        <f>INDEX(연료전지_원본!$KB$4:$KX$369,MATCH($A29,연료전지_원본!$KB$4:$KB$369,0), MATCH(CP$4,연료전지_원본!$KB$4:$KX$4,0))*1000</f>
        <v>1621.3181818181818</v>
      </c>
      <c r="CQ29" s="250">
        <f>INDEX(연료전지_원본!$KB$4:$KX$369,MATCH($A29,연료전지_원본!$KB$4:$KB$369,0), MATCH(CQ$4,연료전지_원본!$KB$4:$KX$4,0))*1000</f>
        <v>1621.3181818181818</v>
      </c>
      <c r="CR29" s="250">
        <f>INDEX(연료전지_원본!$KB$4:$KX$369,MATCH($A29,연료전지_원본!$KB$4:$KB$369,0), MATCH(CR$4,연료전지_원본!$KB$4:$KX$4,0))*1000</f>
        <v>1621.3181818181818</v>
      </c>
      <c r="CS29" s="250">
        <f>INDEX(연료전지_원본!$KB$4:$KX$369,MATCH($A29,연료전지_원본!$KB$4:$KB$369,0), MATCH(CS$4,연료전지_원본!$KB$4:$KX$4,0))*1000</f>
        <v>1621.3181818181818</v>
      </c>
      <c r="CT29" s="250">
        <f>INDEX(연료전지_원본!$KB$4:$KX$369,MATCH($A29,연료전지_원본!$KB$4:$KB$369,0), MATCH(CT$4,연료전지_원본!$KB$4:$KX$4,0))*1000</f>
        <v>1621.3181818181818</v>
      </c>
      <c r="CU29" s="250">
        <f>INDEX(연료전지_원본!$KB$4:$KX$369,MATCH($A29,연료전지_원본!$KB$4:$KB$369,0), MATCH(CU$4,연료전지_원본!$KB$4:$KX$4,0))*1000</f>
        <v>1621.3181818181818</v>
      </c>
      <c r="CV29" s="250">
        <f>INDEX(연료전지_원본!$KB$4:$KX$369,MATCH($A29,연료전지_원본!$KB$4:$KB$369,0), MATCH(CV$4,연료전지_원본!$KB$4:$KX$4,0))*1000</f>
        <v>1621.3181818181818</v>
      </c>
      <c r="CW29" s="250">
        <f>INDEX(연료전지_원본!$KB$4:$KX$369,MATCH($A29,연료전지_원본!$KB$4:$KB$369,0), MATCH(CW$4,연료전지_원본!$KB$4:$KX$4,0))*1000</f>
        <v>1621.3181818181818</v>
      </c>
      <c r="CX29" s="250">
        <f>INDEX(연료전지_원본!$KB$4:$KX$369,MATCH($A29,연료전지_원본!$KB$4:$KB$369,0), MATCH(CX$4,연료전지_원본!$KB$4:$KX$4,0))*1000</f>
        <v>1621.3181818181818</v>
      </c>
      <c r="CY29" s="250">
        <f>INDEX(연료전지_원본!$KB$4:$KX$369,MATCH($A29,연료전지_원본!$KB$4:$KB$369,0), MATCH(CY$4,연료전지_원본!$KB$4:$KX$4,0))*1000</f>
        <v>1621.3181818181818</v>
      </c>
    </row>
    <row r="30" spans="1:103">
      <c r="A30" s="6">
        <v>46047</v>
      </c>
      <c r="B30" s="15">
        <f>운전실적_원본!B30</f>
        <v>651.20000000000005</v>
      </c>
      <c r="C30" s="16">
        <f t="shared" si="3"/>
        <v>0</v>
      </c>
      <c r="D30" s="9">
        <f>운전실적_원본!C30</f>
        <v>248728</v>
      </c>
      <c r="E30" s="9">
        <f t="shared" si="3"/>
        <v>45</v>
      </c>
      <c r="F30" s="9">
        <f>운전실적_원본!D30</f>
        <v>240319</v>
      </c>
      <c r="G30" s="16">
        <f t="shared" ref="G30" si="217">F30-F29</f>
        <v>0</v>
      </c>
      <c r="H30" s="15">
        <f>운전실적_원본!E30</f>
        <v>17136.8</v>
      </c>
      <c r="I30" s="16">
        <f t="shared" ref="I30" si="218">H30-H29</f>
        <v>3.9099999999998545</v>
      </c>
      <c r="J30" s="15">
        <f>운전실적_원본!F30</f>
        <v>14771.91</v>
      </c>
      <c r="K30" s="16">
        <f t="shared" ref="K30" si="219">J30-J29</f>
        <v>18.709999999999127</v>
      </c>
      <c r="L30" s="15">
        <f>운전실적_원본!G30</f>
        <v>4057.9</v>
      </c>
      <c r="M30" s="31">
        <f t="shared" ref="M30" si="220">L30-L29</f>
        <v>0.70000000000027285</v>
      </c>
      <c r="N30" s="15">
        <f>운전실적_원본!H30</f>
        <v>36047</v>
      </c>
      <c r="O30" s="16">
        <f t="shared" ref="O30" si="221">N30-N29</f>
        <v>64</v>
      </c>
      <c r="P30" s="15">
        <f>운전실적_원본!I30</f>
        <v>18963</v>
      </c>
      <c r="Q30" s="16">
        <f t="shared" ref="Q30" si="222">P30-P29</f>
        <v>107</v>
      </c>
      <c r="R30" s="18">
        <f>운전실적_원본!J30</f>
        <v>33.35</v>
      </c>
      <c r="S30" s="19">
        <f t="shared" ref="S30" si="223">R30-R29</f>
        <v>0.39999999999999858</v>
      </c>
      <c r="T30" s="18">
        <f>운전실적_원본!K30</f>
        <v>32.659999999999997</v>
      </c>
      <c r="U30" s="19">
        <f t="shared" ref="U30" si="224">T30-T29</f>
        <v>4.9999999999997158E-2</v>
      </c>
      <c r="V30" s="12">
        <f>운전실적_원본!L30</f>
        <v>7987</v>
      </c>
      <c r="W30" s="16">
        <f t="shared" ref="W30" si="225">V30-V29</f>
        <v>-163</v>
      </c>
      <c r="X30" s="10">
        <f>운전실적_원본!M30</f>
        <v>190879.75999999791</v>
      </c>
      <c r="Y30" s="10">
        <f>운전실적_원본!N30</f>
        <v>0</v>
      </c>
      <c r="Z30" s="10">
        <f>운전실적_원본!O30</f>
        <v>0</v>
      </c>
      <c r="AA30" s="10">
        <f>운전실적_원본!P30</f>
        <v>0</v>
      </c>
      <c r="AB30" s="10">
        <f>운전실적_원본!Q30</f>
        <v>0</v>
      </c>
      <c r="AC30" s="20">
        <f>운전실적_원본!R30</f>
        <v>0</v>
      </c>
      <c r="AD30" s="109">
        <f>운전실적_원본!S30</f>
        <v>24</v>
      </c>
      <c r="AE30" s="110">
        <f>운전실적_원본!T30</f>
        <v>0</v>
      </c>
      <c r="AF30" s="110">
        <f>운전실적_원본!U30</f>
        <v>0</v>
      </c>
      <c r="AG30" s="110">
        <f>운전실적_원본!V30</f>
        <v>0</v>
      </c>
      <c r="AH30" s="109">
        <f t="shared" si="1"/>
        <v>24</v>
      </c>
      <c r="AI30" s="110">
        <f t="shared" si="125"/>
        <v>0</v>
      </c>
      <c r="AJ30" s="110">
        <f>운전실적_원본!Y30</f>
        <v>0</v>
      </c>
      <c r="AK30" s="110">
        <f>운전실적_원본!Z30</f>
        <v>0</v>
      </c>
      <c r="AL30" s="106">
        <v>46047</v>
      </c>
      <c r="AM30" s="105">
        <f t="shared" si="171"/>
        <v>46048</v>
      </c>
      <c r="AN30" s="105"/>
      <c r="AO30" s="105"/>
      <c r="AP30" s="105"/>
      <c r="AQ30" s="108"/>
      <c r="AR30" s="105"/>
      <c r="AS30" s="105"/>
      <c r="AT30" s="102"/>
      <c r="AU30" s="102"/>
      <c r="AV30" s="102"/>
      <c r="AW30" s="102"/>
      <c r="AX30" s="32">
        <f>운전실적_원본!W30</f>
        <v>1207</v>
      </c>
      <c r="AY30" s="11">
        <f>운전실적_원본!X30</f>
        <v>0</v>
      </c>
      <c r="AZ30" s="11">
        <f>운전실적_원본!Y30</f>
        <v>0</v>
      </c>
      <c r="BA30" s="11">
        <f>운전실적_원본!Z30</f>
        <v>0</v>
      </c>
      <c r="BB30" s="11">
        <f>운전실적_원본!AA30</f>
        <v>0</v>
      </c>
      <c r="BC30" s="11">
        <f>운전실적_원본!AB30</f>
        <v>1207</v>
      </c>
      <c r="BD30" s="32">
        <f t="shared" si="15"/>
        <v>50.291666666666664</v>
      </c>
      <c r="BE30" s="11">
        <f t="shared" si="2"/>
        <v>0.97862748913537001</v>
      </c>
      <c r="BF30" s="11">
        <f>운전실적_원본!AE30</f>
        <v>0</v>
      </c>
      <c r="BG30" s="31">
        <f t="shared" si="0"/>
        <v>0</v>
      </c>
      <c r="BH30" s="241">
        <f>INDEX(연료전지_원본!$A$4:$KY$369,MATCH($A30,연료전지_원본!$A$4:$A$369,0),MATCH($BH$4,연료전지_원본!$A$4:$KY$4,0))</f>
        <v>24</v>
      </c>
      <c r="BI30" s="241">
        <f>INDEX(연료전지_원본!$A$4:$KY$369,MATCH($A30,연료전지_원본!$A$4:$A$369,0),MATCH($BI$4,연료전지_원본!$A$4:$KY$4,0))</f>
        <v>24</v>
      </c>
      <c r="BJ30" s="241">
        <f>INDEX(연료전지_원본!$A$4:$KY$369,MATCH($A30,연료전지_원본!$A$4:$A$369,0),MATCH($BJ$4,연료전지_원본!$A$4:$KY$4,0))</f>
        <v>24</v>
      </c>
      <c r="BK30" s="241">
        <f>INDEX(연료전지_원본!$A$4:$KY$369,MATCH($A30,연료전지_원본!$A$4:$A$369,0),MATCH($BK$4,연료전지_원본!$A$4:$KY$4,0))</f>
        <v>24</v>
      </c>
      <c r="BL30" s="241">
        <f>INDEX(연료전지_원본!$A$4:$KY$369,MATCH($A30,연료전지_원본!$A$4:$A$369,0),MATCH($BL$4,연료전지_원본!$A$4:$KY$4,0))</f>
        <v>24</v>
      </c>
      <c r="BM30" s="241">
        <f>INDEX(연료전지_원본!$A$4:$KY$369,MATCH($A30,연료전지_원본!$A$4:$A$369,0),MATCH($BM$4,연료전지_원본!$A$4:$KY$4,0))</f>
        <v>24</v>
      </c>
      <c r="BN30" s="241">
        <f>INDEX(연료전지_원본!$A$4:$KY$369,MATCH($A30,연료전지_원본!$A$4:$A$369,0),MATCH($BN$4,연료전지_원본!$A$4:$KY$4,0))</f>
        <v>24</v>
      </c>
      <c r="BO30" s="241">
        <f>INDEX(연료전지_원본!$A$4:$KY$369,MATCH($A30,연료전지_원본!$A$4:$A$369,0),MATCH($BO$4,연료전지_원본!$A$4:$KY$4,0))</f>
        <v>24</v>
      </c>
      <c r="BP30" s="241">
        <f>INDEX(연료전지_원본!$A$4:$KY$369,MATCH($A30,연료전지_원본!$A$4:$A$369,0),MATCH($BP$4,연료전지_원본!$A$4:$KY$4,0))</f>
        <v>24</v>
      </c>
      <c r="BQ30" s="241">
        <f>INDEX(연료전지_원본!$A$4:$KY$369,MATCH($A30,연료전지_원본!$A$4:$A$369,0),MATCH($BQ$4,연료전지_원본!$A$4:$KY$4,0))</f>
        <v>24</v>
      </c>
      <c r="BR30" s="241">
        <f>INDEX(연료전지_원본!$A$4:$KY$369,MATCH($A30,연료전지_원본!$A$4:$A$369,0),MATCH($BR$4,연료전지_원본!$A$4:$KY$4,0))</f>
        <v>24</v>
      </c>
      <c r="BS30" s="241">
        <f>INDEX(연료전지_원본!$A$4:$KY$369,MATCH($A30,연료전지_원본!$A$4:$A$369,0),MATCH($BS$4,연료전지_원본!$A$4:$KY$4,0))</f>
        <v>24</v>
      </c>
      <c r="BT30" s="241">
        <f>INDEX(연료전지_원본!$A$4:$KY$369,MATCH($A30,연료전지_원본!$A$4:$A$369,0),MATCH($BT$4,연료전지_원본!$A$4:$KY$4,0))</f>
        <v>24</v>
      </c>
      <c r="BU30" s="241">
        <f>INDEX(연료전지_원본!$A$4:$KY$369,MATCH($A30,연료전지_원본!$A$4:$A$369,0),MATCH($BU$4,연료전지_원본!$A$4:$KY$4,0))</f>
        <v>24</v>
      </c>
      <c r="BV30" s="241">
        <f>INDEX(연료전지_원본!$A$4:$KY$369,MATCH($A30,연료전지_원본!$A$4:$A$369,0),MATCH($BV$4,연료전지_원본!$A$4:$KY$4,0))</f>
        <v>24</v>
      </c>
      <c r="BW30" s="241">
        <f>INDEX(연료전지_원본!$A$4:$KY$369,MATCH($A30,연료전지_원본!$A$4:$A$369,0),MATCH($BW$4,연료전지_원본!$A$4:$KY$4,0))</f>
        <v>24</v>
      </c>
      <c r="BX30" s="241">
        <f>INDEX(연료전지_원본!$A$4:$KY$369,MATCH($A30,연료전지_원본!$A$4:$A$369,0),MATCH($BX$4,연료전지_원본!$A$4:$KY$4,0))</f>
        <v>24</v>
      </c>
      <c r="BY30" s="241">
        <f>INDEX(연료전지_원본!$A$4:$KY$369,MATCH($A30,연료전지_원본!$A$4:$A$369,0),MATCH($BY$4,연료전지_원본!$A$4:$KY$4,0))</f>
        <v>24</v>
      </c>
      <c r="BZ30" s="241">
        <f>INDEX(연료전지_원본!$A$4:$KY$369,MATCH($A30,연료전지_원본!$A$4:$A$369,0),MATCH($BZ$4,연료전지_원본!$A$4:$KY$4,0))</f>
        <v>24</v>
      </c>
      <c r="CA30" s="241">
        <f>INDEX(연료전지_원본!$A$4:$KY$369,MATCH($A30,연료전지_원본!$A$4:$A$369,0),MATCH($CA$4,연료전지_원본!$A$4:$KY$4,0))</f>
        <v>24</v>
      </c>
      <c r="CB30" s="241">
        <f>INDEX(연료전지_원본!$A$4:$KY$369,MATCH($A30,연료전지_원본!$A$4:$A$369,0),MATCH($CB$4,연료전지_원본!$A$4:$KY$4,0))</f>
        <v>24</v>
      </c>
      <c r="CC30" s="242">
        <f>INDEX(연료전지_원본!$A$4:$KY$369,MATCH($A30,연료전지_원본!$A$4:$A$369,0),MATCH($CC$4,연료전지_원본!$A$4:$KY$4,0))</f>
        <v>24</v>
      </c>
      <c r="CD30" s="250">
        <f>INDEX(연료전지_원본!$KB$4:$KX$369,MATCH($A30,연료전지_원본!$KB$4:$KB$369,0), MATCH(CD$4,연료전지_원본!$KB$4:$KX$4,0))*1000</f>
        <v>1591</v>
      </c>
      <c r="CE30" s="250">
        <f>INDEX(연료전지_원본!$KB$4:$KX$369,MATCH($A30,연료전지_원본!$KB$4:$KB$369,0), MATCH(CE$4,연료전지_원본!$KB$4:$KX$4,0))*1000</f>
        <v>1591</v>
      </c>
      <c r="CF30" s="250">
        <f>INDEX(연료전지_원본!$KB$4:$KX$369,MATCH($A30,연료전지_원본!$KB$4:$KB$369,0), MATCH(CF$4,연료전지_원본!$KB$4:$KX$4,0))*1000</f>
        <v>1591</v>
      </c>
      <c r="CG30" s="250">
        <f>INDEX(연료전지_원본!$KB$4:$KX$369,MATCH($A30,연료전지_원본!$KB$4:$KB$369,0), MATCH(CG$4,연료전지_원본!$KB$4:$KX$4,0))*1000</f>
        <v>1591</v>
      </c>
      <c r="CH30" s="250">
        <f>INDEX(연료전지_원본!$KB$4:$KX$369,MATCH($A30,연료전지_원본!$KB$4:$KB$369,0), MATCH(CH$4,연료전지_원본!$KB$4:$KX$4,0))*1000</f>
        <v>1591</v>
      </c>
      <c r="CI30" s="250">
        <f>INDEX(연료전지_원본!$KB$4:$KX$369,MATCH($A30,연료전지_원본!$KB$4:$KB$369,0), MATCH(CI$4,연료전지_원본!$KB$4:$KX$4,0))*1000</f>
        <v>1591</v>
      </c>
      <c r="CJ30" s="250">
        <f>INDEX(연료전지_원본!$KB$4:$KX$369,MATCH($A30,연료전지_원본!$KB$4:$KB$369,0), MATCH(CJ$4,연료전지_원본!$KB$4:$KX$4,0))*1000</f>
        <v>1591</v>
      </c>
      <c r="CK30" s="250">
        <f>INDEX(연료전지_원본!$KB$4:$KX$369,MATCH($A30,연료전지_원본!$KB$4:$KB$369,0), MATCH(CK$4,연료전지_원본!$KB$4:$KX$4,0))*1000</f>
        <v>1591</v>
      </c>
      <c r="CL30" s="250">
        <f>INDEX(연료전지_원본!$KB$4:$KX$369,MATCH($A30,연료전지_원본!$KB$4:$KB$369,0), MATCH(CL$4,연료전지_원본!$KB$4:$KX$4,0))*1000</f>
        <v>1591</v>
      </c>
      <c r="CM30" s="250">
        <f>INDEX(연료전지_원본!$KB$4:$KX$369,MATCH($A30,연료전지_원본!$KB$4:$KB$369,0), MATCH(CM$4,연료전지_원본!$KB$4:$KX$4,0))*1000</f>
        <v>1591</v>
      </c>
      <c r="CN30" s="250">
        <f>INDEX(연료전지_원본!$KB$4:$KX$369,MATCH($A30,연료전지_원본!$KB$4:$KB$369,0), MATCH(CN$4,연료전지_원본!$KB$4:$KX$4,0))*1000</f>
        <v>1591</v>
      </c>
      <c r="CO30" s="250">
        <f>INDEX(연료전지_원본!$KB$4:$KX$369,MATCH($A30,연료전지_원본!$KB$4:$KB$369,0), MATCH(CO$4,연료전지_원본!$KB$4:$KX$4,0))*1000</f>
        <v>1591</v>
      </c>
      <c r="CP30" s="250">
        <f>INDEX(연료전지_원본!$KB$4:$KX$369,MATCH($A30,연료전지_원본!$KB$4:$KB$369,0), MATCH(CP$4,연료전지_원본!$KB$4:$KX$4,0))*1000</f>
        <v>1591</v>
      </c>
      <c r="CQ30" s="250">
        <f>INDEX(연료전지_원본!$KB$4:$KX$369,MATCH($A30,연료전지_원본!$KB$4:$KB$369,0), MATCH(CQ$4,연료전지_원본!$KB$4:$KX$4,0))*1000</f>
        <v>1591</v>
      </c>
      <c r="CR30" s="250">
        <f>INDEX(연료전지_원본!$KB$4:$KX$369,MATCH($A30,연료전지_원본!$KB$4:$KB$369,0), MATCH(CR$4,연료전지_원본!$KB$4:$KX$4,0))*1000</f>
        <v>1591</v>
      </c>
      <c r="CS30" s="250">
        <f>INDEX(연료전지_원본!$KB$4:$KX$369,MATCH($A30,연료전지_원본!$KB$4:$KB$369,0), MATCH(CS$4,연료전지_원본!$KB$4:$KX$4,0))*1000</f>
        <v>1591</v>
      </c>
      <c r="CT30" s="250">
        <f>INDEX(연료전지_원본!$KB$4:$KX$369,MATCH($A30,연료전지_원본!$KB$4:$KB$369,0), MATCH(CT$4,연료전지_원본!$KB$4:$KX$4,0))*1000</f>
        <v>1591</v>
      </c>
      <c r="CU30" s="250">
        <f>INDEX(연료전지_원본!$KB$4:$KX$369,MATCH($A30,연료전지_원본!$KB$4:$KB$369,0), MATCH(CU$4,연료전지_원본!$KB$4:$KX$4,0))*1000</f>
        <v>1591</v>
      </c>
      <c r="CV30" s="250">
        <f>INDEX(연료전지_원본!$KB$4:$KX$369,MATCH($A30,연료전지_원본!$KB$4:$KB$369,0), MATCH(CV$4,연료전지_원본!$KB$4:$KX$4,0))*1000</f>
        <v>1591</v>
      </c>
      <c r="CW30" s="250">
        <f>INDEX(연료전지_원본!$KB$4:$KX$369,MATCH($A30,연료전지_원본!$KB$4:$KB$369,0), MATCH(CW$4,연료전지_원본!$KB$4:$KX$4,0))*1000</f>
        <v>1591</v>
      </c>
      <c r="CX30" s="250">
        <f>INDEX(연료전지_원본!$KB$4:$KX$369,MATCH($A30,연료전지_원본!$KB$4:$KB$369,0), MATCH(CX$4,연료전지_원본!$KB$4:$KX$4,0))*1000</f>
        <v>1591</v>
      </c>
      <c r="CY30" s="250">
        <f>INDEX(연료전지_원본!$KB$4:$KX$369,MATCH($A30,연료전지_원본!$KB$4:$KB$369,0), MATCH(CY$4,연료전지_원본!$KB$4:$KX$4,0))*1000</f>
        <v>1591</v>
      </c>
    </row>
    <row r="31" spans="1:103">
      <c r="A31" s="6">
        <v>46048</v>
      </c>
      <c r="B31" s="15">
        <f>운전실적_원본!B31</f>
        <v>651.20000000000005</v>
      </c>
      <c r="C31" s="16">
        <f t="shared" si="3"/>
        <v>0</v>
      </c>
      <c r="D31" s="12">
        <f>운전실적_원본!C31</f>
        <v>248728</v>
      </c>
      <c r="E31" s="9">
        <f t="shared" si="3"/>
        <v>0</v>
      </c>
      <c r="F31" s="12">
        <f>운전실적_원본!D31</f>
        <v>240400</v>
      </c>
      <c r="G31" s="16">
        <f t="shared" ref="G31" si="226">F31-F30</f>
        <v>81</v>
      </c>
      <c r="H31" s="15">
        <f>운전실적_원본!E31</f>
        <v>17142.419999999998</v>
      </c>
      <c r="I31" s="16">
        <f t="shared" ref="I31" si="227">H31-H30</f>
        <v>5.6199999999989814</v>
      </c>
      <c r="J31" s="15">
        <f>운전실적_원본!F31</f>
        <v>14788.99</v>
      </c>
      <c r="K31" s="16">
        <f t="shared" ref="K31" si="228">J31-J30</f>
        <v>17.079999999999927</v>
      </c>
      <c r="L31" s="32">
        <f>운전실적_원본!G31</f>
        <v>0.6</v>
      </c>
      <c r="M31" s="31">
        <v>0.6</v>
      </c>
      <c r="N31" s="15">
        <f>운전실적_원본!H31</f>
        <v>36165</v>
      </c>
      <c r="O31" s="16">
        <f t="shared" ref="O31" si="229">N31-N30</f>
        <v>118</v>
      </c>
      <c r="P31" s="15">
        <f>운전실적_원본!I31</f>
        <v>19188</v>
      </c>
      <c r="Q31" s="16">
        <f t="shared" ref="Q31" si="230">P31-P30</f>
        <v>225</v>
      </c>
      <c r="R31" s="18">
        <f>운전실적_원본!J31</f>
        <v>33.006</v>
      </c>
      <c r="S31" s="19">
        <f t="shared" ref="S31" si="231">R31-R30</f>
        <v>-0.34400000000000119</v>
      </c>
      <c r="T31" s="18">
        <f>운전실적_원본!K31</f>
        <v>32.505000000000003</v>
      </c>
      <c r="U31" s="19">
        <f t="shared" ref="U31" si="232">T31-T30</f>
        <v>-0.15499999999999403</v>
      </c>
      <c r="V31" s="12">
        <f>운전실적_원본!L31</f>
        <v>8496.3050000000003</v>
      </c>
      <c r="W31" s="16">
        <f t="shared" ref="W31" si="233">V31-V30</f>
        <v>509.30500000000029</v>
      </c>
      <c r="X31" s="10">
        <f>운전실적_원본!M31</f>
        <v>196015.34000000358</v>
      </c>
      <c r="Y31" s="10">
        <f>운전실적_원본!N31</f>
        <v>0</v>
      </c>
      <c r="Z31" s="10">
        <f>운전실적_원본!O31</f>
        <v>0</v>
      </c>
      <c r="AA31" s="10">
        <f>운전실적_원본!P31</f>
        <v>0</v>
      </c>
      <c r="AB31" s="10">
        <f>운전실적_원본!Q31</f>
        <v>0</v>
      </c>
      <c r="AC31" s="20">
        <f>운전실적_원본!R31</f>
        <v>0</v>
      </c>
      <c r="AD31" s="109">
        <f>운전실적_원본!S31</f>
        <v>24</v>
      </c>
      <c r="AE31" s="110">
        <f>운전실적_원본!T31</f>
        <v>0</v>
      </c>
      <c r="AF31" s="110">
        <f>운전실적_원본!U31</f>
        <v>0</v>
      </c>
      <c r="AG31" s="110">
        <f>운전실적_원본!V31</f>
        <v>0</v>
      </c>
      <c r="AH31" s="109">
        <f t="shared" si="1"/>
        <v>24</v>
      </c>
      <c r="AI31" s="110">
        <f t="shared" si="125"/>
        <v>0</v>
      </c>
      <c r="AJ31" s="110">
        <f>운전실적_원본!Y31</f>
        <v>0</v>
      </c>
      <c r="AK31" s="110">
        <f>운전실적_원본!Z31</f>
        <v>0</v>
      </c>
      <c r="AL31" s="106">
        <v>46048</v>
      </c>
      <c r="AM31" s="105">
        <f t="shared" si="171"/>
        <v>46049</v>
      </c>
      <c r="AN31" s="105"/>
      <c r="AO31" s="105"/>
      <c r="AP31" s="105"/>
      <c r="AQ31" s="108"/>
      <c r="AR31" s="105"/>
      <c r="AS31" s="105"/>
      <c r="AT31" s="102"/>
      <c r="AU31" s="102"/>
      <c r="AV31" s="102"/>
      <c r="AW31" s="102"/>
      <c r="AX31" s="32">
        <f>운전실적_원본!W31</f>
        <v>1255.5110000000004</v>
      </c>
      <c r="AY31" s="11">
        <f>운전실적_원본!X31</f>
        <v>0</v>
      </c>
      <c r="AZ31" s="11">
        <f>운전실적_원본!Y31</f>
        <v>0</v>
      </c>
      <c r="BA31" s="11">
        <f>운전실적_원본!Z31</f>
        <v>0</v>
      </c>
      <c r="BB31" s="11">
        <f>운전실적_원본!AA31</f>
        <v>0</v>
      </c>
      <c r="BC31" s="11">
        <f>운전실적_원본!AB31</f>
        <v>1255.5110000000004</v>
      </c>
      <c r="BD31" s="32">
        <f t="shared" si="15"/>
        <v>52.312958333333349</v>
      </c>
      <c r="BE31" s="11">
        <f t="shared" si="2"/>
        <v>1.0179598819484987</v>
      </c>
      <c r="BF31" s="11">
        <f>운전실적_원본!AE31</f>
        <v>0</v>
      </c>
      <c r="BG31" s="31">
        <f t="shared" si="0"/>
        <v>0</v>
      </c>
      <c r="BH31" s="241">
        <f>INDEX(연료전지_원본!$A$4:$KY$369,MATCH($A31,연료전지_원본!$A$4:$A$369,0),MATCH($BH$4,연료전지_원본!$A$4:$KY$4,0))</f>
        <v>24</v>
      </c>
      <c r="BI31" s="241">
        <f>INDEX(연료전지_원본!$A$4:$KY$369,MATCH($A31,연료전지_원본!$A$4:$A$369,0),MATCH($BI$4,연료전지_원본!$A$4:$KY$4,0))</f>
        <v>24</v>
      </c>
      <c r="BJ31" s="241">
        <f>INDEX(연료전지_원본!$A$4:$KY$369,MATCH($A31,연료전지_원본!$A$4:$A$369,0),MATCH($BJ$4,연료전지_원본!$A$4:$KY$4,0))</f>
        <v>24</v>
      </c>
      <c r="BK31" s="241">
        <f>INDEX(연료전지_원본!$A$4:$KY$369,MATCH($A31,연료전지_원본!$A$4:$A$369,0),MATCH($BK$4,연료전지_원본!$A$4:$KY$4,0))</f>
        <v>24</v>
      </c>
      <c r="BL31" s="241">
        <f>INDEX(연료전지_원본!$A$4:$KY$369,MATCH($A31,연료전지_원본!$A$4:$A$369,0),MATCH($BL$4,연료전지_원본!$A$4:$KY$4,0))</f>
        <v>24</v>
      </c>
      <c r="BM31" s="241">
        <f>INDEX(연료전지_원본!$A$4:$KY$369,MATCH($A31,연료전지_원본!$A$4:$A$369,0),MATCH($BM$4,연료전지_원본!$A$4:$KY$4,0))</f>
        <v>24</v>
      </c>
      <c r="BN31" s="241">
        <f>INDEX(연료전지_원본!$A$4:$KY$369,MATCH($A31,연료전지_원본!$A$4:$A$369,0),MATCH($BN$4,연료전지_원본!$A$4:$KY$4,0))</f>
        <v>24</v>
      </c>
      <c r="BO31" s="241">
        <f>INDEX(연료전지_원본!$A$4:$KY$369,MATCH($A31,연료전지_원본!$A$4:$A$369,0),MATCH($BO$4,연료전지_원본!$A$4:$KY$4,0))</f>
        <v>24</v>
      </c>
      <c r="BP31" s="241">
        <f>INDEX(연료전지_원본!$A$4:$KY$369,MATCH($A31,연료전지_원본!$A$4:$A$369,0),MATCH($BP$4,연료전지_원본!$A$4:$KY$4,0))</f>
        <v>24</v>
      </c>
      <c r="BQ31" s="241">
        <f>INDEX(연료전지_원본!$A$4:$KY$369,MATCH($A31,연료전지_원본!$A$4:$A$369,0),MATCH($BQ$4,연료전지_원본!$A$4:$KY$4,0))</f>
        <v>24</v>
      </c>
      <c r="BR31" s="241">
        <f>INDEX(연료전지_원본!$A$4:$KY$369,MATCH($A31,연료전지_원본!$A$4:$A$369,0),MATCH($BR$4,연료전지_원본!$A$4:$KY$4,0))</f>
        <v>24</v>
      </c>
      <c r="BS31" s="241">
        <f>INDEX(연료전지_원본!$A$4:$KY$369,MATCH($A31,연료전지_원본!$A$4:$A$369,0),MATCH($BS$4,연료전지_원본!$A$4:$KY$4,0))</f>
        <v>24</v>
      </c>
      <c r="BT31" s="241">
        <f>INDEX(연료전지_원본!$A$4:$KY$369,MATCH($A31,연료전지_원본!$A$4:$A$369,0),MATCH($BT$4,연료전지_원본!$A$4:$KY$4,0))</f>
        <v>24</v>
      </c>
      <c r="BU31" s="241">
        <f>INDEX(연료전지_원본!$A$4:$KY$369,MATCH($A31,연료전지_원본!$A$4:$A$369,0),MATCH($BU$4,연료전지_원본!$A$4:$KY$4,0))</f>
        <v>24</v>
      </c>
      <c r="BV31" s="241">
        <f>INDEX(연료전지_원본!$A$4:$KY$369,MATCH($A31,연료전지_원본!$A$4:$A$369,0),MATCH($BV$4,연료전지_원본!$A$4:$KY$4,0))</f>
        <v>24</v>
      </c>
      <c r="BW31" s="241">
        <f>INDEX(연료전지_원본!$A$4:$KY$369,MATCH($A31,연료전지_원본!$A$4:$A$369,0),MATCH($BW$4,연료전지_원본!$A$4:$KY$4,0))</f>
        <v>24</v>
      </c>
      <c r="BX31" s="241">
        <f>INDEX(연료전지_원본!$A$4:$KY$369,MATCH($A31,연료전지_원본!$A$4:$A$369,0),MATCH($BX$4,연료전지_원본!$A$4:$KY$4,0))</f>
        <v>24</v>
      </c>
      <c r="BY31" s="241">
        <f>INDEX(연료전지_원본!$A$4:$KY$369,MATCH($A31,연료전지_원본!$A$4:$A$369,0),MATCH($BY$4,연료전지_원본!$A$4:$KY$4,0))</f>
        <v>24</v>
      </c>
      <c r="BZ31" s="241">
        <f>INDEX(연료전지_원본!$A$4:$KY$369,MATCH($A31,연료전지_원본!$A$4:$A$369,0),MATCH($BZ$4,연료전지_원본!$A$4:$KY$4,0))</f>
        <v>24</v>
      </c>
      <c r="CA31" s="241">
        <f>INDEX(연료전지_원본!$A$4:$KY$369,MATCH($A31,연료전지_원본!$A$4:$A$369,0),MATCH($CA$4,연료전지_원본!$A$4:$KY$4,0))</f>
        <v>24</v>
      </c>
      <c r="CB31" s="241">
        <f>INDEX(연료전지_원본!$A$4:$KY$369,MATCH($A31,연료전지_원본!$A$4:$A$369,0),MATCH($CB$4,연료전지_원본!$A$4:$KY$4,0))</f>
        <v>24</v>
      </c>
      <c r="CC31" s="242">
        <f>INDEX(연료전지_원본!$A$4:$KY$369,MATCH($A31,연료전지_원본!$A$4:$A$369,0),MATCH($CC$4,연료전지_원본!$A$4:$KY$4,0))</f>
        <v>24</v>
      </c>
      <c r="CD31" s="250">
        <f>INDEX(연료전지_원본!$KB$4:$KX$369,MATCH($A31,연료전지_원본!$KB$4:$KB$369,0), MATCH(CD$4,연료전지_원본!$KB$4:$KX$4,0))*1000</f>
        <v>1615.590909090909</v>
      </c>
      <c r="CE31" s="250">
        <f>INDEX(연료전지_원본!$KB$4:$KX$369,MATCH($A31,연료전지_원본!$KB$4:$KB$369,0), MATCH(CE$4,연료전지_원본!$KB$4:$KX$4,0))*1000</f>
        <v>1615.590909090909</v>
      </c>
      <c r="CF31" s="250">
        <f>INDEX(연료전지_원본!$KB$4:$KX$369,MATCH($A31,연료전지_원본!$KB$4:$KB$369,0), MATCH(CF$4,연료전지_원본!$KB$4:$KX$4,0))*1000</f>
        <v>1615.590909090909</v>
      </c>
      <c r="CG31" s="250">
        <f>INDEX(연료전지_원본!$KB$4:$KX$369,MATCH($A31,연료전지_원본!$KB$4:$KB$369,0), MATCH(CG$4,연료전지_원본!$KB$4:$KX$4,0))*1000</f>
        <v>1615.590909090909</v>
      </c>
      <c r="CH31" s="250">
        <f>INDEX(연료전지_원본!$KB$4:$KX$369,MATCH($A31,연료전지_원본!$KB$4:$KB$369,0), MATCH(CH$4,연료전지_원본!$KB$4:$KX$4,0))*1000</f>
        <v>1615.590909090909</v>
      </c>
      <c r="CI31" s="250">
        <f>INDEX(연료전지_원본!$KB$4:$KX$369,MATCH($A31,연료전지_원본!$KB$4:$KB$369,0), MATCH(CI$4,연료전지_원본!$KB$4:$KX$4,0))*1000</f>
        <v>1615.590909090909</v>
      </c>
      <c r="CJ31" s="250">
        <f>INDEX(연료전지_원본!$KB$4:$KX$369,MATCH($A31,연료전지_원본!$KB$4:$KB$369,0), MATCH(CJ$4,연료전지_원본!$KB$4:$KX$4,0))*1000</f>
        <v>1615.590909090909</v>
      </c>
      <c r="CK31" s="250">
        <f>INDEX(연료전지_원본!$KB$4:$KX$369,MATCH($A31,연료전지_원본!$KB$4:$KB$369,0), MATCH(CK$4,연료전지_원본!$KB$4:$KX$4,0))*1000</f>
        <v>1615.590909090909</v>
      </c>
      <c r="CL31" s="250">
        <f>INDEX(연료전지_원본!$KB$4:$KX$369,MATCH($A31,연료전지_원본!$KB$4:$KB$369,0), MATCH(CL$4,연료전지_원본!$KB$4:$KX$4,0))*1000</f>
        <v>1615.590909090909</v>
      </c>
      <c r="CM31" s="250">
        <f>INDEX(연료전지_원본!$KB$4:$KX$369,MATCH($A31,연료전지_원본!$KB$4:$KB$369,0), MATCH(CM$4,연료전지_원본!$KB$4:$KX$4,0))*1000</f>
        <v>1615.590909090909</v>
      </c>
      <c r="CN31" s="250">
        <f>INDEX(연료전지_원본!$KB$4:$KX$369,MATCH($A31,연료전지_원본!$KB$4:$KB$369,0), MATCH(CN$4,연료전지_원본!$KB$4:$KX$4,0))*1000</f>
        <v>1615.590909090909</v>
      </c>
      <c r="CO31" s="250">
        <f>INDEX(연료전지_원본!$KB$4:$KX$369,MATCH($A31,연료전지_원본!$KB$4:$KB$369,0), MATCH(CO$4,연료전지_원본!$KB$4:$KX$4,0))*1000</f>
        <v>1615.590909090909</v>
      </c>
      <c r="CP31" s="250">
        <f>INDEX(연료전지_원본!$KB$4:$KX$369,MATCH($A31,연료전지_원본!$KB$4:$KB$369,0), MATCH(CP$4,연료전지_원본!$KB$4:$KX$4,0))*1000</f>
        <v>1615.590909090909</v>
      </c>
      <c r="CQ31" s="250">
        <f>INDEX(연료전지_원본!$KB$4:$KX$369,MATCH($A31,연료전지_원본!$KB$4:$KB$369,0), MATCH(CQ$4,연료전지_원본!$KB$4:$KX$4,0))*1000</f>
        <v>1615.590909090909</v>
      </c>
      <c r="CR31" s="250">
        <f>INDEX(연료전지_원본!$KB$4:$KX$369,MATCH($A31,연료전지_원본!$KB$4:$KB$369,0), MATCH(CR$4,연료전지_원본!$KB$4:$KX$4,0))*1000</f>
        <v>1615.590909090909</v>
      </c>
      <c r="CS31" s="250">
        <f>INDEX(연료전지_원본!$KB$4:$KX$369,MATCH($A31,연료전지_원본!$KB$4:$KB$369,0), MATCH(CS$4,연료전지_원본!$KB$4:$KX$4,0))*1000</f>
        <v>1615.590909090909</v>
      </c>
      <c r="CT31" s="250">
        <f>INDEX(연료전지_원본!$KB$4:$KX$369,MATCH($A31,연료전지_원본!$KB$4:$KB$369,0), MATCH(CT$4,연료전지_원본!$KB$4:$KX$4,0))*1000</f>
        <v>1615.590909090909</v>
      </c>
      <c r="CU31" s="250">
        <f>INDEX(연료전지_원본!$KB$4:$KX$369,MATCH($A31,연료전지_원본!$KB$4:$KB$369,0), MATCH(CU$4,연료전지_원본!$KB$4:$KX$4,0))*1000</f>
        <v>1615.590909090909</v>
      </c>
      <c r="CV31" s="250">
        <f>INDEX(연료전지_원본!$KB$4:$KX$369,MATCH($A31,연료전지_원본!$KB$4:$KB$369,0), MATCH(CV$4,연료전지_원본!$KB$4:$KX$4,0))*1000</f>
        <v>1615.590909090909</v>
      </c>
      <c r="CW31" s="250">
        <f>INDEX(연료전지_원본!$KB$4:$KX$369,MATCH($A31,연료전지_원본!$KB$4:$KB$369,0), MATCH(CW$4,연료전지_원본!$KB$4:$KX$4,0))*1000</f>
        <v>1615.590909090909</v>
      </c>
      <c r="CX31" s="250">
        <f>INDEX(연료전지_원본!$KB$4:$KX$369,MATCH($A31,연료전지_원본!$KB$4:$KB$369,0), MATCH(CX$4,연료전지_원본!$KB$4:$KX$4,0))*1000</f>
        <v>1615.590909090909</v>
      </c>
      <c r="CY31" s="250">
        <f>INDEX(연료전지_원본!$KB$4:$KX$369,MATCH($A31,연료전지_원본!$KB$4:$KB$369,0), MATCH(CY$4,연료전지_원본!$KB$4:$KX$4,0))*1000</f>
        <v>1615.590909090909</v>
      </c>
    </row>
    <row r="32" spans="1:103" ht="14.15" customHeight="1">
      <c r="A32" s="6">
        <v>46049</v>
      </c>
      <c r="B32" s="15">
        <f>운전실적_원본!B32</f>
        <v>651.20000000000005</v>
      </c>
      <c r="C32" s="16">
        <f t="shared" si="3"/>
        <v>0</v>
      </c>
      <c r="D32" s="12">
        <f>운전실적_원본!C32</f>
        <v>248788</v>
      </c>
      <c r="E32" s="9">
        <f t="shared" si="3"/>
        <v>60</v>
      </c>
      <c r="F32" s="12">
        <f>운전실적_원본!D32</f>
        <v>240420</v>
      </c>
      <c r="G32" s="16">
        <f t="shared" ref="G32" si="234">F32-F31</f>
        <v>20</v>
      </c>
      <c r="H32" s="15">
        <f>운전실적_원본!E32</f>
        <v>17147.46</v>
      </c>
      <c r="I32" s="16">
        <f t="shared" ref="I32" si="235">H32-H31</f>
        <v>5.0400000000008731</v>
      </c>
      <c r="J32" s="15">
        <f>운전실적_원본!F32</f>
        <v>14808.23</v>
      </c>
      <c r="K32" s="16">
        <f t="shared" ref="K32" si="236">J32-J31</f>
        <v>19.239999999999782</v>
      </c>
      <c r="L32" s="32">
        <f>운전실적_원본!G32</f>
        <v>2</v>
      </c>
      <c r="M32" s="31">
        <f t="shared" ref="M32" si="237">L32-L31</f>
        <v>1.4</v>
      </c>
      <c r="N32" s="15">
        <f>운전실적_원본!H32</f>
        <v>36392</v>
      </c>
      <c r="O32" s="16">
        <f t="shared" ref="O32" si="238">N32-N31</f>
        <v>227</v>
      </c>
      <c r="P32" s="15">
        <f>운전실적_원본!I32</f>
        <v>19355</v>
      </c>
      <c r="Q32" s="16">
        <f t="shared" ref="Q32" si="239">P32-P31</f>
        <v>167</v>
      </c>
      <c r="R32" s="18">
        <f>운전실적_원본!J32</f>
        <v>32.799999999999997</v>
      </c>
      <c r="S32" s="19">
        <f t="shared" ref="S32" si="240">R32-R31</f>
        <v>-0.20600000000000307</v>
      </c>
      <c r="T32" s="18">
        <f>운전실적_원본!K32</f>
        <v>32.409999999999997</v>
      </c>
      <c r="U32" s="19">
        <f t="shared" ref="U32" si="241">T32-T31</f>
        <v>-9.5000000000005969E-2</v>
      </c>
      <c r="V32" s="12">
        <f>운전실적_원본!L32</f>
        <v>8122.5450000000001</v>
      </c>
      <c r="W32" s="16">
        <f t="shared" ref="W32" si="242">V32-V31</f>
        <v>-373.76000000000022</v>
      </c>
      <c r="X32" s="10">
        <f>운전실적_원본!M32</f>
        <v>197436.95999999344</v>
      </c>
      <c r="Y32" s="10">
        <f>운전실적_원본!N32</f>
        <v>0</v>
      </c>
      <c r="Z32" s="10">
        <f>운전실적_원본!O32</f>
        <v>0</v>
      </c>
      <c r="AA32" s="10">
        <f>운전실적_원본!P32</f>
        <v>0</v>
      </c>
      <c r="AB32" s="10">
        <f>운전실적_원본!Q32</f>
        <v>0</v>
      </c>
      <c r="AC32" s="20">
        <f>운전실적_원본!R32</f>
        <v>0</v>
      </c>
      <c r="AD32" s="109">
        <f>운전실적_원본!S32</f>
        <v>24</v>
      </c>
      <c r="AE32" s="110">
        <f>운전실적_원본!T32</f>
        <v>0</v>
      </c>
      <c r="AF32" s="110">
        <f>운전실적_원본!U32</f>
        <v>0</v>
      </c>
      <c r="AG32" s="110">
        <f>운전실적_원본!V32</f>
        <v>0</v>
      </c>
      <c r="AH32" s="109">
        <f t="shared" si="1"/>
        <v>24</v>
      </c>
      <c r="AI32" s="110">
        <f t="shared" si="125"/>
        <v>0</v>
      </c>
      <c r="AJ32" s="110">
        <f>운전실적_원본!Y32</f>
        <v>0</v>
      </c>
      <c r="AK32" s="110">
        <f>운전실적_원본!Z32</f>
        <v>0</v>
      </c>
      <c r="AL32" s="106">
        <v>46049</v>
      </c>
      <c r="AM32" s="105">
        <f t="shared" si="171"/>
        <v>46050</v>
      </c>
      <c r="AN32" s="105"/>
      <c r="AO32" s="105"/>
      <c r="AP32" s="105"/>
      <c r="AQ32" s="108"/>
      <c r="AR32" s="105"/>
      <c r="AS32" s="105"/>
      <c r="AT32" s="102"/>
      <c r="AU32" s="102"/>
      <c r="AV32" s="102"/>
      <c r="AW32" s="102"/>
      <c r="AX32" s="32">
        <f>운전실적_원본!W32</f>
        <v>1243.732</v>
      </c>
      <c r="AY32" s="11">
        <f>운전실적_원본!X32</f>
        <v>0</v>
      </c>
      <c r="AZ32" s="11">
        <f>운전실적_원본!Y32</f>
        <v>0</v>
      </c>
      <c r="BA32" s="11">
        <f>운전실적_원본!Z32</f>
        <v>0</v>
      </c>
      <c r="BB32" s="11">
        <f>운전실적_원본!AA32</f>
        <v>0</v>
      </c>
      <c r="BC32" s="11">
        <f>운전실적_원본!AB32</f>
        <v>1243.732</v>
      </c>
      <c r="BD32" s="32">
        <f t="shared" si="15"/>
        <v>51.822166666666668</v>
      </c>
      <c r="BE32" s="11">
        <f t="shared" si="2"/>
        <v>1.008409547901667</v>
      </c>
      <c r="BF32" s="11">
        <f>운전실적_원본!AE32</f>
        <v>0</v>
      </c>
      <c r="BG32" s="31">
        <f t="shared" si="0"/>
        <v>0</v>
      </c>
      <c r="BH32" s="241">
        <f>INDEX(연료전지_원본!$A$4:$KY$369,MATCH($A32,연료전지_원본!$A$4:$A$369,0),MATCH($BH$4,연료전지_원본!$A$4:$KY$4,0))</f>
        <v>24</v>
      </c>
      <c r="BI32" s="241">
        <f>INDEX(연료전지_원본!$A$4:$KY$369,MATCH($A32,연료전지_원본!$A$4:$A$369,0),MATCH($BI$4,연료전지_원본!$A$4:$KY$4,0))</f>
        <v>24</v>
      </c>
      <c r="BJ32" s="241">
        <f>INDEX(연료전지_원본!$A$4:$KY$369,MATCH($A32,연료전지_원본!$A$4:$A$369,0),MATCH($BJ$4,연료전지_원본!$A$4:$KY$4,0))</f>
        <v>24</v>
      </c>
      <c r="BK32" s="241">
        <f>INDEX(연료전지_원본!$A$4:$KY$369,MATCH($A32,연료전지_원본!$A$4:$A$369,0),MATCH($BK$4,연료전지_원본!$A$4:$KY$4,0))</f>
        <v>24</v>
      </c>
      <c r="BL32" s="241">
        <f>INDEX(연료전지_원본!$A$4:$KY$369,MATCH($A32,연료전지_원본!$A$4:$A$369,0),MATCH($BL$4,연료전지_원본!$A$4:$KY$4,0))</f>
        <v>24</v>
      </c>
      <c r="BM32" s="241">
        <f>INDEX(연료전지_원본!$A$4:$KY$369,MATCH($A32,연료전지_원본!$A$4:$A$369,0),MATCH($BM$4,연료전지_원본!$A$4:$KY$4,0))</f>
        <v>24</v>
      </c>
      <c r="BN32" s="241">
        <f>INDEX(연료전지_원본!$A$4:$KY$369,MATCH($A32,연료전지_원본!$A$4:$A$369,0),MATCH($BN$4,연료전지_원본!$A$4:$KY$4,0))</f>
        <v>24</v>
      </c>
      <c r="BO32" s="241">
        <f>INDEX(연료전지_원본!$A$4:$KY$369,MATCH($A32,연료전지_원본!$A$4:$A$369,0),MATCH($BO$4,연료전지_원본!$A$4:$KY$4,0))</f>
        <v>24</v>
      </c>
      <c r="BP32" s="241">
        <f>INDEX(연료전지_원본!$A$4:$KY$369,MATCH($A32,연료전지_원본!$A$4:$A$369,0),MATCH($BP$4,연료전지_원본!$A$4:$KY$4,0))</f>
        <v>24</v>
      </c>
      <c r="BQ32" s="241">
        <f>INDEX(연료전지_원본!$A$4:$KY$369,MATCH($A32,연료전지_원본!$A$4:$A$369,0),MATCH($BQ$4,연료전지_원본!$A$4:$KY$4,0))</f>
        <v>24</v>
      </c>
      <c r="BR32" s="241">
        <f>INDEX(연료전지_원본!$A$4:$KY$369,MATCH($A32,연료전지_원본!$A$4:$A$369,0),MATCH($BR$4,연료전지_원본!$A$4:$KY$4,0))</f>
        <v>24</v>
      </c>
      <c r="BS32" s="241">
        <f>INDEX(연료전지_원본!$A$4:$KY$369,MATCH($A32,연료전지_원본!$A$4:$A$369,0),MATCH($BS$4,연료전지_원본!$A$4:$KY$4,0))</f>
        <v>24</v>
      </c>
      <c r="BT32" s="241">
        <f>INDEX(연료전지_원본!$A$4:$KY$369,MATCH($A32,연료전지_원본!$A$4:$A$369,0),MATCH($BT$4,연료전지_원본!$A$4:$KY$4,0))</f>
        <v>24</v>
      </c>
      <c r="BU32" s="241">
        <f>INDEX(연료전지_원본!$A$4:$KY$369,MATCH($A32,연료전지_원본!$A$4:$A$369,0),MATCH($BU$4,연료전지_원본!$A$4:$KY$4,0))</f>
        <v>24</v>
      </c>
      <c r="BV32" s="241">
        <f>INDEX(연료전지_원본!$A$4:$KY$369,MATCH($A32,연료전지_원본!$A$4:$A$369,0),MATCH($BV$4,연료전지_원본!$A$4:$KY$4,0))</f>
        <v>24</v>
      </c>
      <c r="BW32" s="241">
        <f>INDEX(연료전지_원본!$A$4:$KY$369,MATCH($A32,연료전지_원본!$A$4:$A$369,0),MATCH($BW$4,연료전지_원본!$A$4:$KY$4,0))</f>
        <v>24</v>
      </c>
      <c r="BX32" s="241">
        <f>INDEX(연료전지_원본!$A$4:$KY$369,MATCH($A32,연료전지_원본!$A$4:$A$369,0),MATCH($BX$4,연료전지_원본!$A$4:$KY$4,0))</f>
        <v>24</v>
      </c>
      <c r="BY32" s="241">
        <f>INDEX(연료전지_원본!$A$4:$KY$369,MATCH($A32,연료전지_원본!$A$4:$A$369,0),MATCH($BY$4,연료전지_원본!$A$4:$KY$4,0))</f>
        <v>24</v>
      </c>
      <c r="BZ32" s="241">
        <f>INDEX(연료전지_원본!$A$4:$KY$369,MATCH($A32,연료전지_원본!$A$4:$A$369,0),MATCH($BZ$4,연료전지_원본!$A$4:$KY$4,0))</f>
        <v>24</v>
      </c>
      <c r="CA32" s="241">
        <f>INDEX(연료전지_원본!$A$4:$KY$369,MATCH($A32,연료전지_원본!$A$4:$A$369,0),MATCH($CA$4,연료전지_원본!$A$4:$KY$4,0))</f>
        <v>24</v>
      </c>
      <c r="CB32" s="241">
        <f>INDEX(연료전지_원본!$A$4:$KY$369,MATCH($A32,연료전지_원본!$A$4:$A$369,0),MATCH($CB$4,연료전지_원본!$A$4:$KY$4,0))</f>
        <v>24</v>
      </c>
      <c r="CC32" s="242">
        <f>INDEX(연료전지_원본!$A$4:$KY$369,MATCH($A32,연료전지_원본!$A$4:$A$369,0),MATCH($CC$4,연료전지_원본!$A$4:$KY$4,0))</f>
        <v>24</v>
      </c>
      <c r="CD32" s="250">
        <f>INDEX(연료전지_원본!$KB$4:$KX$369,MATCH($A32,연료전지_원본!$KB$4:$KB$369,0), MATCH(CD$4,연료전지_원본!$KB$4:$KX$4,0))*1000</f>
        <v>1588.0454545454545</v>
      </c>
      <c r="CE32" s="250">
        <f>INDEX(연료전지_원본!$KB$4:$KX$369,MATCH($A32,연료전지_원본!$KB$4:$KB$369,0), MATCH(CE$4,연료전지_원본!$KB$4:$KX$4,0))*1000</f>
        <v>1588.0454545454545</v>
      </c>
      <c r="CF32" s="250">
        <f>INDEX(연료전지_원본!$KB$4:$KX$369,MATCH($A32,연료전지_원본!$KB$4:$KB$369,0), MATCH(CF$4,연료전지_원본!$KB$4:$KX$4,0))*1000</f>
        <v>1588.0454545454545</v>
      </c>
      <c r="CG32" s="250">
        <f>INDEX(연료전지_원본!$KB$4:$KX$369,MATCH($A32,연료전지_원본!$KB$4:$KB$369,0), MATCH(CG$4,연료전지_원본!$KB$4:$KX$4,0))*1000</f>
        <v>1588.0454545454545</v>
      </c>
      <c r="CH32" s="250">
        <f>INDEX(연료전지_원본!$KB$4:$KX$369,MATCH($A32,연료전지_원본!$KB$4:$KB$369,0), MATCH(CH$4,연료전지_원본!$KB$4:$KX$4,0))*1000</f>
        <v>1588.0454545454545</v>
      </c>
      <c r="CI32" s="250">
        <f>INDEX(연료전지_원본!$KB$4:$KX$369,MATCH($A32,연료전지_원본!$KB$4:$KB$369,0), MATCH(CI$4,연료전지_원본!$KB$4:$KX$4,0))*1000</f>
        <v>1588.0454545454545</v>
      </c>
      <c r="CJ32" s="250">
        <f>INDEX(연료전지_원본!$KB$4:$KX$369,MATCH($A32,연료전지_원본!$KB$4:$KB$369,0), MATCH(CJ$4,연료전지_원본!$KB$4:$KX$4,0))*1000</f>
        <v>1588.0454545454545</v>
      </c>
      <c r="CK32" s="250">
        <f>INDEX(연료전지_원본!$KB$4:$KX$369,MATCH($A32,연료전지_원본!$KB$4:$KB$369,0), MATCH(CK$4,연료전지_원본!$KB$4:$KX$4,0))*1000</f>
        <v>1588.0454545454545</v>
      </c>
      <c r="CL32" s="250">
        <f>INDEX(연료전지_원본!$KB$4:$KX$369,MATCH($A32,연료전지_원본!$KB$4:$KB$369,0), MATCH(CL$4,연료전지_원본!$KB$4:$KX$4,0))*1000</f>
        <v>1588.0454545454545</v>
      </c>
      <c r="CM32" s="250">
        <f>INDEX(연료전지_원본!$KB$4:$KX$369,MATCH($A32,연료전지_원본!$KB$4:$KB$369,0), MATCH(CM$4,연료전지_원본!$KB$4:$KX$4,0))*1000</f>
        <v>1588.0454545454545</v>
      </c>
      <c r="CN32" s="250">
        <f>INDEX(연료전지_원본!$KB$4:$KX$369,MATCH($A32,연료전지_원본!$KB$4:$KB$369,0), MATCH(CN$4,연료전지_원본!$KB$4:$KX$4,0))*1000</f>
        <v>1588.0454545454545</v>
      </c>
      <c r="CO32" s="250">
        <f>INDEX(연료전지_원본!$KB$4:$KX$369,MATCH($A32,연료전지_원본!$KB$4:$KB$369,0), MATCH(CO$4,연료전지_원본!$KB$4:$KX$4,0))*1000</f>
        <v>1588.0454545454545</v>
      </c>
      <c r="CP32" s="250">
        <f>INDEX(연료전지_원본!$KB$4:$KX$369,MATCH($A32,연료전지_원본!$KB$4:$KB$369,0), MATCH(CP$4,연료전지_원본!$KB$4:$KX$4,0))*1000</f>
        <v>1588.0454545454545</v>
      </c>
      <c r="CQ32" s="250">
        <f>INDEX(연료전지_원본!$KB$4:$KX$369,MATCH($A32,연료전지_원본!$KB$4:$KB$369,0), MATCH(CQ$4,연료전지_원본!$KB$4:$KX$4,0))*1000</f>
        <v>1588.0454545454545</v>
      </c>
      <c r="CR32" s="250">
        <f>INDEX(연료전지_원본!$KB$4:$KX$369,MATCH($A32,연료전지_원본!$KB$4:$KB$369,0), MATCH(CR$4,연료전지_원본!$KB$4:$KX$4,0))*1000</f>
        <v>1588.0454545454545</v>
      </c>
      <c r="CS32" s="250">
        <f>INDEX(연료전지_원본!$KB$4:$KX$369,MATCH($A32,연료전지_원본!$KB$4:$KB$369,0), MATCH(CS$4,연료전지_원본!$KB$4:$KX$4,0))*1000</f>
        <v>1588.0454545454545</v>
      </c>
      <c r="CT32" s="250">
        <f>INDEX(연료전지_원본!$KB$4:$KX$369,MATCH($A32,연료전지_원본!$KB$4:$KB$369,0), MATCH(CT$4,연료전지_원본!$KB$4:$KX$4,0))*1000</f>
        <v>1588.0454545454545</v>
      </c>
      <c r="CU32" s="250">
        <f>INDEX(연료전지_원본!$KB$4:$KX$369,MATCH($A32,연료전지_원본!$KB$4:$KB$369,0), MATCH(CU$4,연료전지_원본!$KB$4:$KX$4,0))*1000</f>
        <v>1588.0454545454545</v>
      </c>
      <c r="CV32" s="250">
        <f>INDEX(연료전지_원본!$KB$4:$KX$369,MATCH($A32,연료전지_원본!$KB$4:$KB$369,0), MATCH(CV$4,연료전지_원본!$KB$4:$KX$4,0))*1000</f>
        <v>1588.0454545454545</v>
      </c>
      <c r="CW32" s="250">
        <f>INDEX(연료전지_원본!$KB$4:$KX$369,MATCH($A32,연료전지_원본!$KB$4:$KB$369,0), MATCH(CW$4,연료전지_원본!$KB$4:$KX$4,0))*1000</f>
        <v>1588.0454545454545</v>
      </c>
      <c r="CX32" s="250">
        <f>INDEX(연료전지_원본!$KB$4:$KX$369,MATCH($A32,연료전지_원본!$KB$4:$KB$369,0), MATCH(CX$4,연료전지_원본!$KB$4:$KX$4,0))*1000</f>
        <v>1588.0454545454545</v>
      </c>
      <c r="CY32" s="250">
        <f>INDEX(연료전지_원본!$KB$4:$KX$369,MATCH($A32,연료전지_원본!$KB$4:$KB$369,0), MATCH(CY$4,연료전지_원본!$KB$4:$KX$4,0))*1000</f>
        <v>1588.0454545454545</v>
      </c>
    </row>
    <row r="33" spans="1:126">
      <c r="A33" s="6">
        <v>46050</v>
      </c>
      <c r="B33" s="15">
        <f>운전실적_원본!B33</f>
        <v>651.20000000000005</v>
      </c>
      <c r="C33" s="16">
        <f t="shared" si="3"/>
        <v>0</v>
      </c>
      <c r="D33" s="12">
        <f>운전실적_원본!C33</f>
        <v>248839</v>
      </c>
      <c r="E33" s="9">
        <f t="shared" si="3"/>
        <v>51</v>
      </c>
      <c r="F33" s="12">
        <f>운전실적_원본!D33</f>
        <v>240420</v>
      </c>
      <c r="G33" s="16">
        <f t="shared" ref="G33" si="243">F33-F32</f>
        <v>0</v>
      </c>
      <c r="H33" s="15">
        <f>운전실적_원본!E33</f>
        <v>17151.98</v>
      </c>
      <c r="I33" s="16">
        <f t="shared" ref="I33" si="244">H33-H32</f>
        <v>4.5200000000004366</v>
      </c>
      <c r="J33" s="15">
        <f>운전실적_원본!F33</f>
        <v>14827.73</v>
      </c>
      <c r="K33" s="16">
        <f t="shared" ref="K33" si="245">J33-J32</f>
        <v>19.5</v>
      </c>
      <c r="L33" s="32">
        <f>운전실적_원본!G33</f>
        <v>3.1</v>
      </c>
      <c r="M33" s="31">
        <f t="shared" ref="M33" si="246">L33-L32</f>
        <v>1.1000000000000001</v>
      </c>
      <c r="N33" s="15">
        <f>운전실적_원본!H33</f>
        <v>36577</v>
      </c>
      <c r="O33" s="16">
        <f t="shared" ref="O33" si="247">N33-N32</f>
        <v>185</v>
      </c>
      <c r="P33" s="15">
        <f>운전실적_원본!I33</f>
        <v>19511</v>
      </c>
      <c r="Q33" s="16">
        <f t="shared" ref="Q33" si="248">P33-P32</f>
        <v>156</v>
      </c>
      <c r="R33" s="18">
        <f>운전실적_원본!J33</f>
        <v>32.82</v>
      </c>
      <c r="S33" s="19">
        <f t="shared" ref="S33" si="249">R33-R32</f>
        <v>2.0000000000003126E-2</v>
      </c>
      <c r="T33" s="18">
        <f>운전실적_원본!K33</f>
        <v>32.380000000000003</v>
      </c>
      <c r="U33" s="19">
        <f t="shared" ref="U33" si="250">T33-T32</f>
        <v>-2.9999999999994031E-2</v>
      </c>
      <c r="V33" s="12">
        <f>운전실적_원본!L33</f>
        <v>8230</v>
      </c>
      <c r="W33" s="16">
        <f t="shared" ref="W33" si="251">V33-V32</f>
        <v>107.45499999999993</v>
      </c>
      <c r="X33" s="10">
        <f>운전실적_원본!M33</f>
        <v>198156.38000000268</v>
      </c>
      <c r="Y33" s="10">
        <f>운전실적_원본!N33</f>
        <v>0</v>
      </c>
      <c r="Z33" s="10">
        <f>운전실적_원본!O33</f>
        <v>0</v>
      </c>
      <c r="AA33" s="10">
        <f>운전실적_원본!P33</f>
        <v>0</v>
      </c>
      <c r="AB33" s="10">
        <f>운전실적_원본!Q33</f>
        <v>0</v>
      </c>
      <c r="AC33" s="20">
        <f>운전실적_원본!R33</f>
        <v>0</v>
      </c>
      <c r="AD33" s="109">
        <f>운전실적_원본!S33</f>
        <v>24</v>
      </c>
      <c r="AE33" s="110">
        <f>운전실적_원본!T33</f>
        <v>0</v>
      </c>
      <c r="AF33" s="110">
        <f>운전실적_원본!U33</f>
        <v>0</v>
      </c>
      <c r="AG33" s="110">
        <f>운전실적_원본!V33</f>
        <v>0</v>
      </c>
      <c r="AH33" s="109">
        <f t="shared" si="1"/>
        <v>24</v>
      </c>
      <c r="AI33" s="110">
        <f t="shared" si="125"/>
        <v>0</v>
      </c>
      <c r="AJ33" s="110">
        <f>운전실적_원본!Y33</f>
        <v>0</v>
      </c>
      <c r="AK33" s="110">
        <f>운전실적_원본!Z33</f>
        <v>0</v>
      </c>
      <c r="AL33" s="106">
        <v>46050</v>
      </c>
      <c r="AM33" s="105">
        <f t="shared" si="171"/>
        <v>46051</v>
      </c>
      <c r="AN33" s="105"/>
      <c r="AO33" s="105"/>
      <c r="AP33" s="105"/>
      <c r="AQ33" s="108"/>
      <c r="AR33" s="105"/>
      <c r="AS33" s="105"/>
      <c r="AT33" s="102"/>
      <c r="AU33" s="102"/>
      <c r="AV33" s="102"/>
      <c r="AW33" s="102"/>
      <c r="AX33" s="32">
        <f>운전실적_원본!W33</f>
        <v>1248.7569999999996</v>
      </c>
      <c r="AY33" s="11">
        <f>운전실적_원본!X33</f>
        <v>0</v>
      </c>
      <c r="AZ33" s="11">
        <f>운전실적_원본!Y33</f>
        <v>0</v>
      </c>
      <c r="BA33" s="11">
        <f>운전실적_원본!Z33</f>
        <v>0</v>
      </c>
      <c r="BB33" s="11">
        <f>운전실적_원본!AA33</f>
        <v>0</v>
      </c>
      <c r="BC33" s="11">
        <f>운전실적_원본!AB33</f>
        <v>1248.7569999999996</v>
      </c>
      <c r="BD33" s="32">
        <f t="shared" si="15"/>
        <v>52.031541666666648</v>
      </c>
      <c r="BE33" s="11">
        <f t="shared" si="2"/>
        <v>1.0124837841343968</v>
      </c>
      <c r="BF33" s="11">
        <f>운전실적_원본!AE33</f>
        <v>0</v>
      </c>
      <c r="BG33" s="31">
        <f t="shared" si="0"/>
        <v>0</v>
      </c>
      <c r="BH33" s="241">
        <f>INDEX(연료전지_원본!$A$4:$KY$369,MATCH($A33,연료전지_원본!$A$4:$A$369,0),MATCH($BH$4,연료전지_원본!$A$4:$KY$4,0))</f>
        <v>24</v>
      </c>
      <c r="BI33" s="241">
        <f>INDEX(연료전지_원본!$A$4:$KY$369,MATCH($A33,연료전지_원본!$A$4:$A$369,0),MATCH($BI$4,연료전지_원본!$A$4:$KY$4,0))</f>
        <v>24</v>
      </c>
      <c r="BJ33" s="241">
        <f>INDEX(연료전지_원본!$A$4:$KY$369,MATCH($A33,연료전지_원본!$A$4:$A$369,0),MATCH($BJ$4,연료전지_원본!$A$4:$KY$4,0))</f>
        <v>24</v>
      </c>
      <c r="BK33" s="241">
        <f>INDEX(연료전지_원본!$A$4:$KY$369,MATCH($A33,연료전지_원본!$A$4:$A$369,0),MATCH($BK$4,연료전지_원본!$A$4:$KY$4,0))</f>
        <v>24</v>
      </c>
      <c r="BL33" s="241">
        <f>INDEX(연료전지_원본!$A$4:$KY$369,MATCH($A33,연료전지_원본!$A$4:$A$369,0),MATCH($BL$4,연료전지_원본!$A$4:$KY$4,0))</f>
        <v>24</v>
      </c>
      <c r="BM33" s="241">
        <f>INDEX(연료전지_원본!$A$4:$KY$369,MATCH($A33,연료전지_원본!$A$4:$A$369,0),MATCH($BM$4,연료전지_원본!$A$4:$KY$4,0))</f>
        <v>24</v>
      </c>
      <c r="BN33" s="241">
        <f>INDEX(연료전지_원본!$A$4:$KY$369,MATCH($A33,연료전지_원본!$A$4:$A$369,0),MATCH($BN$4,연료전지_원본!$A$4:$KY$4,0))</f>
        <v>24</v>
      </c>
      <c r="BO33" s="241">
        <f>INDEX(연료전지_원본!$A$4:$KY$369,MATCH($A33,연료전지_원본!$A$4:$A$369,0),MATCH($BO$4,연료전지_원본!$A$4:$KY$4,0))</f>
        <v>24</v>
      </c>
      <c r="BP33" s="241">
        <f>INDEX(연료전지_원본!$A$4:$KY$369,MATCH($A33,연료전지_원본!$A$4:$A$369,0),MATCH($BP$4,연료전지_원본!$A$4:$KY$4,0))</f>
        <v>24</v>
      </c>
      <c r="BQ33" s="241">
        <f>INDEX(연료전지_원본!$A$4:$KY$369,MATCH($A33,연료전지_원본!$A$4:$A$369,0),MATCH($BQ$4,연료전지_원본!$A$4:$KY$4,0))</f>
        <v>24</v>
      </c>
      <c r="BR33" s="241">
        <f>INDEX(연료전지_원본!$A$4:$KY$369,MATCH($A33,연료전지_원본!$A$4:$A$369,0),MATCH($BR$4,연료전지_원본!$A$4:$KY$4,0))</f>
        <v>24</v>
      </c>
      <c r="BS33" s="241">
        <f>INDEX(연료전지_원본!$A$4:$KY$369,MATCH($A33,연료전지_원본!$A$4:$A$369,0),MATCH($BS$4,연료전지_원본!$A$4:$KY$4,0))</f>
        <v>24</v>
      </c>
      <c r="BT33" s="241">
        <f>INDEX(연료전지_원본!$A$4:$KY$369,MATCH($A33,연료전지_원본!$A$4:$A$369,0),MATCH($BT$4,연료전지_원본!$A$4:$KY$4,0))</f>
        <v>24</v>
      </c>
      <c r="BU33" s="241">
        <f>INDEX(연료전지_원본!$A$4:$KY$369,MATCH($A33,연료전지_원본!$A$4:$A$369,0),MATCH($BU$4,연료전지_원본!$A$4:$KY$4,0))</f>
        <v>24</v>
      </c>
      <c r="BV33" s="241">
        <f>INDEX(연료전지_원본!$A$4:$KY$369,MATCH($A33,연료전지_원본!$A$4:$A$369,0),MATCH($BV$4,연료전지_원본!$A$4:$KY$4,0))</f>
        <v>24</v>
      </c>
      <c r="BW33" s="241">
        <f>INDEX(연료전지_원본!$A$4:$KY$369,MATCH($A33,연료전지_원본!$A$4:$A$369,0),MATCH($BW$4,연료전지_원본!$A$4:$KY$4,0))</f>
        <v>24</v>
      </c>
      <c r="BX33" s="241">
        <f>INDEX(연료전지_원본!$A$4:$KY$369,MATCH($A33,연료전지_원본!$A$4:$A$369,0),MATCH($BX$4,연료전지_원본!$A$4:$KY$4,0))</f>
        <v>24</v>
      </c>
      <c r="BY33" s="241">
        <f>INDEX(연료전지_원본!$A$4:$KY$369,MATCH($A33,연료전지_원본!$A$4:$A$369,0),MATCH($BY$4,연료전지_원본!$A$4:$KY$4,0))</f>
        <v>24</v>
      </c>
      <c r="BZ33" s="241">
        <f>INDEX(연료전지_원본!$A$4:$KY$369,MATCH($A33,연료전지_원본!$A$4:$A$369,0),MATCH($BZ$4,연료전지_원본!$A$4:$KY$4,0))</f>
        <v>24</v>
      </c>
      <c r="CA33" s="241">
        <f>INDEX(연료전지_원본!$A$4:$KY$369,MATCH($A33,연료전지_원본!$A$4:$A$369,0),MATCH($CA$4,연료전지_원본!$A$4:$KY$4,0))</f>
        <v>24</v>
      </c>
      <c r="CB33" s="241">
        <f>INDEX(연료전지_원본!$A$4:$KY$369,MATCH($A33,연료전지_원본!$A$4:$A$369,0),MATCH($CB$4,연료전지_원본!$A$4:$KY$4,0))</f>
        <v>24</v>
      </c>
      <c r="CC33" s="242">
        <f>INDEX(연료전지_원본!$A$4:$KY$369,MATCH($A33,연료전지_원본!$A$4:$A$369,0),MATCH($CC$4,연료전지_원본!$A$4:$KY$4,0))</f>
        <v>24</v>
      </c>
      <c r="CD33" s="250">
        <f>INDEX(연료전지_원본!$KB$4:$KX$369,MATCH($A33,연료전지_원본!$KB$4:$KB$369,0), MATCH(CD$4,연료전지_원본!$KB$4:$KX$4,0))*1000</f>
        <v>1554.3181818181818</v>
      </c>
      <c r="CE33" s="250">
        <f>INDEX(연료전지_원본!$KB$4:$KX$369,MATCH($A33,연료전지_원본!$KB$4:$KB$369,0), MATCH(CE$4,연료전지_원본!$KB$4:$KX$4,0))*1000</f>
        <v>1554.3181818181818</v>
      </c>
      <c r="CF33" s="250">
        <f>INDEX(연료전지_원본!$KB$4:$KX$369,MATCH($A33,연료전지_원본!$KB$4:$KB$369,0), MATCH(CF$4,연료전지_원본!$KB$4:$KX$4,0))*1000</f>
        <v>1554.3181818181818</v>
      </c>
      <c r="CG33" s="250">
        <f>INDEX(연료전지_원본!$KB$4:$KX$369,MATCH($A33,연료전지_원본!$KB$4:$KB$369,0), MATCH(CG$4,연료전지_원본!$KB$4:$KX$4,0))*1000</f>
        <v>1554.3181818181818</v>
      </c>
      <c r="CH33" s="250">
        <f>INDEX(연료전지_원본!$KB$4:$KX$369,MATCH($A33,연료전지_원본!$KB$4:$KB$369,0), MATCH(CH$4,연료전지_원본!$KB$4:$KX$4,0))*1000</f>
        <v>1554.3181818181818</v>
      </c>
      <c r="CI33" s="250">
        <f>INDEX(연료전지_원본!$KB$4:$KX$369,MATCH($A33,연료전지_원본!$KB$4:$KB$369,0), MATCH(CI$4,연료전지_원본!$KB$4:$KX$4,0))*1000</f>
        <v>1554.3181818181818</v>
      </c>
      <c r="CJ33" s="250">
        <f>INDEX(연료전지_원본!$KB$4:$KX$369,MATCH($A33,연료전지_원본!$KB$4:$KB$369,0), MATCH(CJ$4,연료전지_원본!$KB$4:$KX$4,0))*1000</f>
        <v>1554.3181818181818</v>
      </c>
      <c r="CK33" s="250">
        <f>INDEX(연료전지_원본!$KB$4:$KX$369,MATCH($A33,연료전지_원본!$KB$4:$KB$369,0), MATCH(CK$4,연료전지_원본!$KB$4:$KX$4,0))*1000</f>
        <v>1554.3181818181818</v>
      </c>
      <c r="CL33" s="250">
        <f>INDEX(연료전지_원본!$KB$4:$KX$369,MATCH($A33,연료전지_원본!$KB$4:$KB$369,0), MATCH(CL$4,연료전지_원본!$KB$4:$KX$4,0))*1000</f>
        <v>1554.3181818181818</v>
      </c>
      <c r="CM33" s="250">
        <f>INDEX(연료전지_원본!$KB$4:$KX$369,MATCH($A33,연료전지_원본!$KB$4:$KB$369,0), MATCH(CM$4,연료전지_원본!$KB$4:$KX$4,0))*1000</f>
        <v>1554.3181818181818</v>
      </c>
      <c r="CN33" s="250">
        <f>INDEX(연료전지_원본!$KB$4:$KX$369,MATCH($A33,연료전지_원본!$KB$4:$KB$369,0), MATCH(CN$4,연료전지_원본!$KB$4:$KX$4,0))*1000</f>
        <v>1554.3181818181818</v>
      </c>
      <c r="CO33" s="250">
        <f>INDEX(연료전지_원본!$KB$4:$KX$369,MATCH($A33,연료전지_원본!$KB$4:$KB$369,0), MATCH(CO$4,연료전지_원본!$KB$4:$KX$4,0))*1000</f>
        <v>1554.3181818181818</v>
      </c>
      <c r="CP33" s="250">
        <f>INDEX(연료전지_원본!$KB$4:$KX$369,MATCH($A33,연료전지_원본!$KB$4:$KB$369,0), MATCH(CP$4,연료전지_원본!$KB$4:$KX$4,0))*1000</f>
        <v>1554.3181818181818</v>
      </c>
      <c r="CQ33" s="250">
        <f>INDEX(연료전지_원본!$KB$4:$KX$369,MATCH($A33,연료전지_원본!$KB$4:$KB$369,0), MATCH(CQ$4,연료전지_원본!$KB$4:$KX$4,0))*1000</f>
        <v>1554.3181818181818</v>
      </c>
      <c r="CR33" s="250">
        <f>INDEX(연료전지_원본!$KB$4:$KX$369,MATCH($A33,연료전지_원본!$KB$4:$KB$369,0), MATCH(CR$4,연료전지_원본!$KB$4:$KX$4,0))*1000</f>
        <v>1554.3181818181818</v>
      </c>
      <c r="CS33" s="250">
        <f>INDEX(연료전지_원본!$KB$4:$KX$369,MATCH($A33,연료전지_원본!$KB$4:$KB$369,0), MATCH(CS$4,연료전지_원본!$KB$4:$KX$4,0))*1000</f>
        <v>1554.3181818181818</v>
      </c>
      <c r="CT33" s="250">
        <f>INDEX(연료전지_원본!$KB$4:$KX$369,MATCH($A33,연료전지_원본!$KB$4:$KB$369,0), MATCH(CT$4,연료전지_원본!$KB$4:$KX$4,0))*1000</f>
        <v>1554.3181818181818</v>
      </c>
      <c r="CU33" s="250">
        <f>INDEX(연료전지_원본!$KB$4:$KX$369,MATCH($A33,연료전지_원본!$KB$4:$KB$369,0), MATCH(CU$4,연료전지_원본!$KB$4:$KX$4,0))*1000</f>
        <v>1554.3181818181818</v>
      </c>
      <c r="CV33" s="250">
        <f>INDEX(연료전지_원본!$KB$4:$KX$369,MATCH($A33,연료전지_원본!$KB$4:$KB$369,0), MATCH(CV$4,연료전지_원본!$KB$4:$KX$4,0))*1000</f>
        <v>1554.3181818181818</v>
      </c>
      <c r="CW33" s="250">
        <f>INDEX(연료전지_원본!$KB$4:$KX$369,MATCH($A33,연료전지_원본!$KB$4:$KB$369,0), MATCH(CW$4,연료전지_원본!$KB$4:$KX$4,0))*1000</f>
        <v>1554.3181818181818</v>
      </c>
      <c r="CX33" s="250">
        <f>INDEX(연료전지_원본!$KB$4:$KX$369,MATCH($A33,연료전지_원본!$KB$4:$KB$369,0), MATCH(CX$4,연료전지_원본!$KB$4:$KX$4,0))*1000</f>
        <v>1554.3181818181818</v>
      </c>
      <c r="CY33" s="250">
        <f>INDEX(연료전지_원본!$KB$4:$KX$369,MATCH($A33,연료전지_원본!$KB$4:$KB$369,0), MATCH(CY$4,연료전지_원본!$KB$4:$KX$4,0))*1000</f>
        <v>1554.3181818181818</v>
      </c>
    </row>
    <row r="34" spans="1:126">
      <c r="A34" s="6">
        <v>46051</v>
      </c>
      <c r="B34" s="15">
        <f>운전실적_원본!B34</f>
        <v>651.20000000000005</v>
      </c>
      <c r="C34" s="16">
        <f t="shared" si="3"/>
        <v>0</v>
      </c>
      <c r="D34" s="12">
        <f>운전실적_원본!C34</f>
        <v>248858</v>
      </c>
      <c r="E34" s="9">
        <f t="shared" si="3"/>
        <v>19</v>
      </c>
      <c r="F34" s="12">
        <f>운전실적_원본!D34</f>
        <v>240473</v>
      </c>
      <c r="G34" s="16">
        <f t="shared" ref="G34" si="252">F34-F33</f>
        <v>53</v>
      </c>
      <c r="H34" s="15">
        <f>운전실적_원본!E34</f>
        <v>17157.169999999998</v>
      </c>
      <c r="I34" s="16">
        <f t="shared" ref="I34" si="253">H34-H33</f>
        <v>5.1899999999986903</v>
      </c>
      <c r="J34" s="15">
        <f>운전실적_원본!F34</f>
        <v>14846.8</v>
      </c>
      <c r="K34" s="16">
        <f t="shared" ref="K34" si="254">J34-J33</f>
        <v>19.069999999999709</v>
      </c>
      <c r="L34" s="32">
        <f>운전실적_원본!G34</f>
        <v>3.9</v>
      </c>
      <c r="M34" s="31">
        <f t="shared" ref="M34" si="255">L34-L33</f>
        <v>0.79999999999999982</v>
      </c>
      <c r="N34" s="15">
        <f>운전실적_원본!H34</f>
        <v>36689</v>
      </c>
      <c r="O34" s="16">
        <f t="shared" ref="O34" si="256">N34-N33</f>
        <v>112</v>
      </c>
      <c r="P34" s="15">
        <f>운전실적_원본!I34</f>
        <v>19679</v>
      </c>
      <c r="Q34" s="16">
        <f t="shared" ref="Q34" si="257">P34-P33</f>
        <v>168</v>
      </c>
      <c r="R34" s="18">
        <f>운전실적_원본!J34</f>
        <v>32.729999999999997</v>
      </c>
      <c r="S34" s="19">
        <f t="shared" ref="S34" si="258">R34-R33</f>
        <v>-9.0000000000003411E-2</v>
      </c>
      <c r="T34" s="18">
        <f>운전실적_원본!K34</f>
        <v>32.340000000000003</v>
      </c>
      <c r="U34" s="19">
        <f t="shared" ref="U34" si="259">T34-T33</f>
        <v>-3.9999999999999147E-2</v>
      </c>
      <c r="V34" s="12">
        <f>운전실적_원본!L34</f>
        <v>8248</v>
      </c>
      <c r="W34" s="16">
        <f t="shared" ref="W34" si="260">V34-V33</f>
        <v>18</v>
      </c>
      <c r="X34" s="10">
        <f>운전실적_원본!M34</f>
        <v>197448.1799999997</v>
      </c>
      <c r="Y34" s="10">
        <f>운전실적_원본!N34</f>
        <v>0</v>
      </c>
      <c r="Z34" s="10">
        <f>운전실적_원본!O34</f>
        <v>0</v>
      </c>
      <c r="AA34" s="10">
        <f>운전실적_원본!P34</f>
        <v>0</v>
      </c>
      <c r="AB34" s="10">
        <f>운전실적_원본!Q34</f>
        <v>0</v>
      </c>
      <c r="AC34" s="20">
        <f>운전실적_원본!R34</f>
        <v>0</v>
      </c>
      <c r="AD34" s="109">
        <f>운전실적_원본!S34</f>
        <v>24</v>
      </c>
      <c r="AE34" s="110">
        <f>운전실적_원본!T34</f>
        <v>0</v>
      </c>
      <c r="AF34" s="110">
        <f>운전실적_원본!U34</f>
        <v>0</v>
      </c>
      <c r="AG34" s="110">
        <f>운전실적_원본!V34</f>
        <v>0</v>
      </c>
      <c r="AH34" s="109">
        <f t="shared" si="1"/>
        <v>24</v>
      </c>
      <c r="AI34" s="110">
        <f t="shared" si="125"/>
        <v>0</v>
      </c>
      <c r="AJ34" s="110">
        <f>운전실적_원본!Y34</f>
        <v>0</v>
      </c>
      <c r="AK34" s="110">
        <f>운전실적_원본!Z34</f>
        <v>0</v>
      </c>
      <c r="AL34" s="106">
        <v>46051</v>
      </c>
      <c r="AM34" s="105">
        <f t="shared" si="171"/>
        <v>46052</v>
      </c>
      <c r="AN34" s="105"/>
      <c r="AO34" s="105"/>
      <c r="AP34" s="105"/>
      <c r="AQ34" s="108"/>
      <c r="AR34" s="105"/>
      <c r="AS34" s="105"/>
      <c r="AT34" s="102"/>
      <c r="AU34" s="102"/>
      <c r="AV34" s="102"/>
      <c r="AW34" s="102"/>
      <c r="AX34" s="32">
        <f>운전실적_원본!W34</f>
        <v>1243</v>
      </c>
      <c r="AY34" s="11">
        <f>운전실적_원본!X34</f>
        <v>0</v>
      </c>
      <c r="AZ34" s="11">
        <f>운전실적_원본!Y34</f>
        <v>0</v>
      </c>
      <c r="BA34" s="11">
        <f>운전실적_원본!Z34</f>
        <v>0</v>
      </c>
      <c r="BB34" s="11">
        <f>운전실적_원본!AA34</f>
        <v>0</v>
      </c>
      <c r="BC34" s="11">
        <f>운전실적_원본!AB34</f>
        <v>1243</v>
      </c>
      <c r="BD34" s="32">
        <f t="shared" si="15"/>
        <v>51.791666666666664</v>
      </c>
      <c r="BE34" s="11">
        <f t="shared" si="2"/>
        <v>1.0078160472206006</v>
      </c>
      <c r="BF34" s="11">
        <f>운전실적_원본!AE34</f>
        <v>0</v>
      </c>
      <c r="BG34" s="31">
        <f t="shared" si="0"/>
        <v>0</v>
      </c>
      <c r="BH34" s="241">
        <f>INDEX(연료전지_원본!$A$4:$KY$369,MATCH($A34,연료전지_원본!$A$4:$A$369,0),MATCH($BH$4,연료전지_원본!$A$4:$KY$4,0))</f>
        <v>24</v>
      </c>
      <c r="BI34" s="241">
        <f>INDEX(연료전지_원본!$A$4:$KY$369,MATCH($A34,연료전지_원본!$A$4:$A$369,0),MATCH($BI$4,연료전지_원본!$A$4:$KY$4,0))</f>
        <v>24</v>
      </c>
      <c r="BJ34" s="241">
        <f>INDEX(연료전지_원본!$A$4:$KY$369,MATCH($A34,연료전지_원본!$A$4:$A$369,0),MATCH($BJ$4,연료전지_원본!$A$4:$KY$4,0))</f>
        <v>24</v>
      </c>
      <c r="BK34" s="241">
        <f>INDEX(연료전지_원본!$A$4:$KY$369,MATCH($A34,연료전지_원본!$A$4:$A$369,0),MATCH($BK$4,연료전지_원본!$A$4:$KY$4,0))</f>
        <v>24</v>
      </c>
      <c r="BL34" s="241">
        <f>INDEX(연료전지_원본!$A$4:$KY$369,MATCH($A34,연료전지_원본!$A$4:$A$369,0),MATCH($BL$4,연료전지_원본!$A$4:$KY$4,0))</f>
        <v>24</v>
      </c>
      <c r="BM34" s="241">
        <f>INDEX(연료전지_원본!$A$4:$KY$369,MATCH($A34,연료전지_원본!$A$4:$A$369,0),MATCH($BM$4,연료전지_원본!$A$4:$KY$4,0))</f>
        <v>24</v>
      </c>
      <c r="BN34" s="241">
        <f>INDEX(연료전지_원본!$A$4:$KY$369,MATCH($A34,연료전지_원본!$A$4:$A$369,0),MATCH($BN$4,연료전지_원본!$A$4:$KY$4,0))</f>
        <v>24</v>
      </c>
      <c r="BO34" s="241">
        <f>INDEX(연료전지_원본!$A$4:$KY$369,MATCH($A34,연료전지_원본!$A$4:$A$369,0),MATCH($BO$4,연료전지_원본!$A$4:$KY$4,0))</f>
        <v>24</v>
      </c>
      <c r="BP34" s="241">
        <f>INDEX(연료전지_원본!$A$4:$KY$369,MATCH($A34,연료전지_원본!$A$4:$A$369,0),MATCH($BP$4,연료전지_원본!$A$4:$KY$4,0))</f>
        <v>24</v>
      </c>
      <c r="BQ34" s="241">
        <f>INDEX(연료전지_원본!$A$4:$KY$369,MATCH($A34,연료전지_원본!$A$4:$A$369,0),MATCH($BQ$4,연료전지_원본!$A$4:$KY$4,0))</f>
        <v>24</v>
      </c>
      <c r="BR34" s="241">
        <f>INDEX(연료전지_원본!$A$4:$KY$369,MATCH($A34,연료전지_원본!$A$4:$A$369,0),MATCH($BR$4,연료전지_원본!$A$4:$KY$4,0))</f>
        <v>24</v>
      </c>
      <c r="BS34" s="241">
        <f>INDEX(연료전지_원본!$A$4:$KY$369,MATCH($A34,연료전지_원본!$A$4:$A$369,0),MATCH($BS$4,연료전지_원본!$A$4:$KY$4,0))</f>
        <v>24</v>
      </c>
      <c r="BT34" s="241">
        <f>INDEX(연료전지_원본!$A$4:$KY$369,MATCH($A34,연료전지_원본!$A$4:$A$369,0),MATCH($BT$4,연료전지_원본!$A$4:$KY$4,0))</f>
        <v>24</v>
      </c>
      <c r="BU34" s="241">
        <f>INDEX(연료전지_원본!$A$4:$KY$369,MATCH($A34,연료전지_원본!$A$4:$A$369,0),MATCH($BU$4,연료전지_원본!$A$4:$KY$4,0))</f>
        <v>24</v>
      </c>
      <c r="BV34" s="241">
        <f>INDEX(연료전지_원본!$A$4:$KY$369,MATCH($A34,연료전지_원본!$A$4:$A$369,0),MATCH($BV$4,연료전지_원본!$A$4:$KY$4,0))</f>
        <v>24</v>
      </c>
      <c r="BW34" s="241">
        <f>INDEX(연료전지_원본!$A$4:$KY$369,MATCH($A34,연료전지_원본!$A$4:$A$369,0),MATCH($BW$4,연료전지_원본!$A$4:$KY$4,0))</f>
        <v>24</v>
      </c>
      <c r="BX34" s="241">
        <f>INDEX(연료전지_원본!$A$4:$KY$369,MATCH($A34,연료전지_원본!$A$4:$A$369,0),MATCH($BX$4,연료전지_원본!$A$4:$KY$4,0))</f>
        <v>24</v>
      </c>
      <c r="BY34" s="241">
        <f>INDEX(연료전지_원본!$A$4:$KY$369,MATCH($A34,연료전지_원본!$A$4:$A$369,0),MATCH($BY$4,연료전지_원본!$A$4:$KY$4,0))</f>
        <v>24</v>
      </c>
      <c r="BZ34" s="241">
        <f>INDEX(연료전지_원본!$A$4:$KY$369,MATCH($A34,연료전지_원본!$A$4:$A$369,0),MATCH($BZ$4,연료전지_원본!$A$4:$KY$4,0))</f>
        <v>24</v>
      </c>
      <c r="CA34" s="241">
        <f>INDEX(연료전지_원본!$A$4:$KY$369,MATCH($A34,연료전지_원본!$A$4:$A$369,0),MATCH($CA$4,연료전지_원본!$A$4:$KY$4,0))</f>
        <v>24</v>
      </c>
      <c r="CB34" s="241">
        <f>INDEX(연료전지_원본!$A$4:$KY$369,MATCH($A34,연료전지_원본!$A$4:$A$369,0),MATCH($CB$4,연료전지_원본!$A$4:$KY$4,0))</f>
        <v>24</v>
      </c>
      <c r="CC34" s="242">
        <f>INDEX(연료전지_원본!$A$4:$KY$369,MATCH($A34,연료전지_원본!$A$4:$A$369,0),MATCH($CC$4,연료전지_원본!$A$4:$KY$4,0))</f>
        <v>24</v>
      </c>
      <c r="CD34" s="250">
        <f>INDEX(연료전지_원본!$KB$4:$KX$369,MATCH($A34,연료전지_원본!$KB$4:$KB$369,0), MATCH(CD$4,연료전지_원본!$KB$4:$KX$4,0))*1000</f>
        <v>1521</v>
      </c>
      <c r="CE34" s="250">
        <f>INDEX(연료전지_원본!$KB$4:$KX$369,MATCH($A34,연료전지_원본!$KB$4:$KB$369,0), MATCH(CE$4,연료전지_원본!$KB$4:$KX$4,0))*1000</f>
        <v>1521</v>
      </c>
      <c r="CF34" s="250">
        <f>INDEX(연료전지_원본!$KB$4:$KX$369,MATCH($A34,연료전지_원본!$KB$4:$KB$369,0), MATCH(CF$4,연료전지_원본!$KB$4:$KX$4,0))*1000</f>
        <v>1521</v>
      </c>
      <c r="CG34" s="250">
        <f>INDEX(연료전지_원본!$KB$4:$KX$369,MATCH($A34,연료전지_원본!$KB$4:$KB$369,0), MATCH(CG$4,연료전지_원본!$KB$4:$KX$4,0))*1000</f>
        <v>1521</v>
      </c>
      <c r="CH34" s="250">
        <f>INDEX(연료전지_원본!$KB$4:$KX$369,MATCH($A34,연료전지_원본!$KB$4:$KB$369,0), MATCH(CH$4,연료전지_원본!$KB$4:$KX$4,0))*1000</f>
        <v>1521</v>
      </c>
      <c r="CI34" s="250">
        <f>INDEX(연료전지_원본!$KB$4:$KX$369,MATCH($A34,연료전지_원본!$KB$4:$KB$369,0), MATCH(CI$4,연료전지_원본!$KB$4:$KX$4,0))*1000</f>
        <v>1521</v>
      </c>
      <c r="CJ34" s="250">
        <f>INDEX(연료전지_원본!$KB$4:$KX$369,MATCH($A34,연료전지_원본!$KB$4:$KB$369,0), MATCH(CJ$4,연료전지_원본!$KB$4:$KX$4,0))*1000</f>
        <v>1521</v>
      </c>
      <c r="CK34" s="250">
        <f>INDEX(연료전지_원본!$KB$4:$KX$369,MATCH($A34,연료전지_원본!$KB$4:$KB$369,0), MATCH(CK$4,연료전지_원본!$KB$4:$KX$4,0))*1000</f>
        <v>1521</v>
      </c>
      <c r="CL34" s="250">
        <f>INDEX(연료전지_원본!$KB$4:$KX$369,MATCH($A34,연료전지_원본!$KB$4:$KB$369,0), MATCH(CL$4,연료전지_원본!$KB$4:$KX$4,0))*1000</f>
        <v>1521</v>
      </c>
      <c r="CM34" s="250">
        <f>INDEX(연료전지_원본!$KB$4:$KX$369,MATCH($A34,연료전지_원본!$KB$4:$KB$369,0), MATCH(CM$4,연료전지_원본!$KB$4:$KX$4,0))*1000</f>
        <v>1521</v>
      </c>
      <c r="CN34" s="250">
        <f>INDEX(연료전지_원본!$KB$4:$KX$369,MATCH($A34,연료전지_원본!$KB$4:$KB$369,0), MATCH(CN$4,연료전지_원본!$KB$4:$KX$4,0))*1000</f>
        <v>1521</v>
      </c>
      <c r="CO34" s="250">
        <f>INDEX(연료전지_원본!$KB$4:$KX$369,MATCH($A34,연료전지_원본!$KB$4:$KB$369,0), MATCH(CO$4,연료전지_원본!$KB$4:$KX$4,0))*1000</f>
        <v>1521</v>
      </c>
      <c r="CP34" s="250">
        <f>INDEX(연료전지_원본!$KB$4:$KX$369,MATCH($A34,연료전지_원본!$KB$4:$KB$369,0), MATCH(CP$4,연료전지_원본!$KB$4:$KX$4,0))*1000</f>
        <v>1521</v>
      </c>
      <c r="CQ34" s="250">
        <f>INDEX(연료전지_원본!$KB$4:$KX$369,MATCH($A34,연료전지_원본!$KB$4:$KB$369,0), MATCH(CQ$4,연료전지_원본!$KB$4:$KX$4,0))*1000</f>
        <v>1521</v>
      </c>
      <c r="CR34" s="250">
        <f>INDEX(연료전지_원본!$KB$4:$KX$369,MATCH($A34,연료전지_원본!$KB$4:$KB$369,0), MATCH(CR$4,연료전지_원본!$KB$4:$KX$4,0))*1000</f>
        <v>1521</v>
      </c>
      <c r="CS34" s="250">
        <f>INDEX(연료전지_원본!$KB$4:$KX$369,MATCH($A34,연료전지_원본!$KB$4:$KB$369,0), MATCH(CS$4,연료전지_원본!$KB$4:$KX$4,0))*1000</f>
        <v>1521</v>
      </c>
      <c r="CT34" s="250">
        <f>INDEX(연료전지_원본!$KB$4:$KX$369,MATCH($A34,연료전지_원본!$KB$4:$KB$369,0), MATCH(CT$4,연료전지_원본!$KB$4:$KX$4,0))*1000</f>
        <v>1521</v>
      </c>
      <c r="CU34" s="250">
        <f>INDEX(연료전지_원본!$KB$4:$KX$369,MATCH($A34,연료전지_원본!$KB$4:$KB$369,0), MATCH(CU$4,연료전지_원본!$KB$4:$KX$4,0))*1000</f>
        <v>1521</v>
      </c>
      <c r="CV34" s="250">
        <f>INDEX(연료전지_원본!$KB$4:$KX$369,MATCH($A34,연료전지_원본!$KB$4:$KB$369,0), MATCH(CV$4,연료전지_원본!$KB$4:$KX$4,0))*1000</f>
        <v>1521</v>
      </c>
      <c r="CW34" s="250">
        <f>INDEX(연료전지_원본!$KB$4:$KX$369,MATCH($A34,연료전지_원본!$KB$4:$KB$369,0), MATCH(CW$4,연료전지_원본!$KB$4:$KX$4,0))*1000</f>
        <v>1521</v>
      </c>
      <c r="CX34" s="250">
        <f>INDEX(연료전지_원본!$KB$4:$KX$369,MATCH($A34,연료전지_원본!$KB$4:$KB$369,0), MATCH(CX$4,연료전지_원본!$KB$4:$KX$4,0))*1000</f>
        <v>1521</v>
      </c>
      <c r="CY34" s="250">
        <f>INDEX(연료전지_원본!$KB$4:$KX$369,MATCH($A34,연료전지_원본!$KB$4:$KB$369,0), MATCH(CY$4,연료전지_원본!$KB$4:$KX$4,0))*1000</f>
        <v>1521</v>
      </c>
    </row>
    <row r="35" spans="1:126">
      <c r="A35" s="6">
        <v>46052</v>
      </c>
      <c r="B35" s="15">
        <f>운전실적_원본!B35</f>
        <v>651.20000000000005</v>
      </c>
      <c r="C35" s="16">
        <f t="shared" si="3"/>
        <v>0</v>
      </c>
      <c r="D35" s="12">
        <f>운전실적_원본!C35</f>
        <v>248858</v>
      </c>
      <c r="E35" s="9">
        <f t="shared" si="3"/>
        <v>0</v>
      </c>
      <c r="F35" s="12">
        <f>운전실적_원본!D35</f>
        <v>240542</v>
      </c>
      <c r="G35" s="16">
        <f t="shared" ref="G35" si="261">F35-F34</f>
        <v>69</v>
      </c>
      <c r="H35" s="15">
        <f>운전실적_원본!E35</f>
        <v>17161.169999999998</v>
      </c>
      <c r="I35" s="16">
        <f t="shared" ref="I35" si="262">H35-H34</f>
        <v>4</v>
      </c>
      <c r="J35" s="15">
        <f>운전실적_원본!F35</f>
        <v>14865.64</v>
      </c>
      <c r="K35" s="16">
        <f t="shared" ref="K35" si="263">J35-J34</f>
        <v>18.840000000000146</v>
      </c>
      <c r="L35" s="32">
        <f>운전실적_원본!G35</f>
        <v>4.5999999999999996</v>
      </c>
      <c r="M35" s="31">
        <f t="shared" ref="M35" si="264">L35-L34</f>
        <v>0.69999999999999973</v>
      </c>
      <c r="N35" s="15">
        <f>운전실적_원본!H35</f>
        <v>36756</v>
      </c>
      <c r="O35" s="16">
        <f t="shared" ref="O35" si="265">N35-N34</f>
        <v>67</v>
      </c>
      <c r="P35" s="15">
        <f>운전실적_원본!I35</f>
        <v>19837</v>
      </c>
      <c r="Q35" s="16">
        <f t="shared" ref="Q35" si="266">P35-P34</f>
        <v>158</v>
      </c>
      <c r="R35" s="18">
        <f>운전실적_원본!J35</f>
        <v>32.72</v>
      </c>
      <c r="S35" s="19">
        <f t="shared" ref="S35" si="267">R35-R34</f>
        <v>-9.9999999999980105E-3</v>
      </c>
      <c r="T35" s="18">
        <f>운전실적_원본!K35</f>
        <v>32.36</v>
      </c>
      <c r="U35" s="19">
        <f t="shared" ref="U35" si="268">T35-T34</f>
        <v>1.9999999999996021E-2</v>
      </c>
      <c r="V35" s="12">
        <f>운전실적_원본!L35</f>
        <v>8677</v>
      </c>
      <c r="W35" s="16">
        <f t="shared" ref="W35" si="269">V35-V34</f>
        <v>429</v>
      </c>
      <c r="X35" s="10">
        <f>운전실적_원본!M35</f>
        <v>196745.93999999762</v>
      </c>
      <c r="Y35" s="10">
        <f>운전실적_원본!N35</f>
        <v>0</v>
      </c>
      <c r="Z35" s="10">
        <f>운전실적_원본!O35</f>
        <v>0</v>
      </c>
      <c r="AA35" s="10">
        <f>운전실적_원본!P35</f>
        <v>0</v>
      </c>
      <c r="AB35" s="10">
        <f>운전실적_원본!Q35</f>
        <v>0</v>
      </c>
      <c r="AC35" s="20">
        <f>운전실적_원본!R35</f>
        <v>0</v>
      </c>
      <c r="AD35" s="109">
        <f>운전실적_원본!S35</f>
        <v>24</v>
      </c>
      <c r="AE35" s="110">
        <f>운전실적_원본!T35</f>
        <v>0</v>
      </c>
      <c r="AF35" s="110">
        <f>운전실적_원본!U35</f>
        <v>0</v>
      </c>
      <c r="AG35" s="110">
        <f>운전실적_원본!V35</f>
        <v>0</v>
      </c>
      <c r="AH35" s="109">
        <f t="shared" si="1"/>
        <v>24</v>
      </c>
      <c r="AI35" s="110">
        <f t="shared" si="125"/>
        <v>0</v>
      </c>
      <c r="AJ35" s="110">
        <f>운전실적_원본!Y35</f>
        <v>0</v>
      </c>
      <c r="AK35" s="110">
        <f>운전실적_원본!Z35</f>
        <v>0</v>
      </c>
      <c r="AL35" s="106">
        <v>46052</v>
      </c>
      <c r="AM35" s="105">
        <f t="shared" si="171"/>
        <v>46053</v>
      </c>
      <c r="AN35" s="105"/>
      <c r="AO35" s="105"/>
      <c r="AP35" s="105"/>
      <c r="AQ35" s="108"/>
      <c r="AR35" s="105"/>
      <c r="AS35" s="105"/>
      <c r="AT35" s="102"/>
      <c r="AU35" s="102"/>
      <c r="AV35" s="102"/>
      <c r="AW35" s="102"/>
      <c r="AX35" s="32">
        <f>운전실적_원본!W35</f>
        <v>1249</v>
      </c>
      <c r="AY35" s="11">
        <f>운전실적_원본!X35</f>
        <v>0</v>
      </c>
      <c r="AZ35" s="11">
        <f>운전실적_원본!Y35</f>
        <v>0</v>
      </c>
      <c r="BA35" s="11">
        <f>운전실적_원본!Z35</f>
        <v>0</v>
      </c>
      <c r="BB35" s="11">
        <f>운전실적_원본!AA35</f>
        <v>0</v>
      </c>
      <c r="BC35" s="11">
        <f>운전실적_원본!AB35</f>
        <v>1249</v>
      </c>
      <c r="BD35" s="32">
        <f t="shared" si="15"/>
        <v>52.041666666666664</v>
      </c>
      <c r="BE35" s="11">
        <f t="shared" si="2"/>
        <v>1.0126808069014723</v>
      </c>
      <c r="BF35" s="11">
        <f>운전실적_원본!AE35</f>
        <v>0</v>
      </c>
      <c r="BG35" s="31">
        <f t="shared" si="0"/>
        <v>0</v>
      </c>
      <c r="BH35" s="239">
        <f>INDEX(연료전지_원본!$A$4:$KY$369,MATCH($A35,연료전지_원본!$A$4:$A$369,0),MATCH($BH$4,연료전지_원본!$A$4:$KY$4,0))</f>
        <v>24</v>
      </c>
      <c r="BI35" s="241">
        <f>INDEX(연료전지_원본!$A$4:$KY$369,MATCH($A35,연료전지_원본!$A$4:$A$369,0),MATCH($BI$4,연료전지_원본!$A$4:$KY$4,0))</f>
        <v>24</v>
      </c>
      <c r="BJ35" s="241">
        <f>INDEX(연료전지_원본!$A$4:$KY$369,MATCH($A35,연료전지_원본!$A$4:$A$369,0),MATCH($BJ$4,연료전지_원본!$A$4:$KY$4,0))</f>
        <v>24</v>
      </c>
      <c r="BK35" s="241">
        <f>INDEX(연료전지_원본!$A$4:$KY$369,MATCH($A35,연료전지_원본!$A$4:$A$369,0),MATCH($BK$4,연료전지_원본!$A$4:$KY$4,0))</f>
        <v>24</v>
      </c>
      <c r="BL35" s="241">
        <f>INDEX(연료전지_원본!$A$4:$KY$369,MATCH($A35,연료전지_원본!$A$4:$A$369,0),MATCH($BL$4,연료전지_원본!$A$4:$KY$4,0))</f>
        <v>24</v>
      </c>
      <c r="BM35" s="241">
        <f>INDEX(연료전지_원본!$A$4:$KY$369,MATCH($A35,연료전지_원본!$A$4:$A$369,0),MATCH($BM$4,연료전지_원본!$A$4:$KY$4,0))</f>
        <v>24</v>
      </c>
      <c r="BN35" s="241">
        <f>INDEX(연료전지_원본!$A$4:$KY$369,MATCH($A35,연료전지_원본!$A$4:$A$369,0),MATCH($BN$4,연료전지_원본!$A$4:$KY$4,0))</f>
        <v>24</v>
      </c>
      <c r="BO35" s="241">
        <f>INDEX(연료전지_원본!$A$4:$KY$369,MATCH($A35,연료전지_원본!$A$4:$A$369,0),MATCH($BO$4,연료전지_원본!$A$4:$KY$4,0))</f>
        <v>24</v>
      </c>
      <c r="BP35" s="241">
        <f>INDEX(연료전지_원본!$A$4:$KY$369,MATCH($A35,연료전지_원본!$A$4:$A$369,0),MATCH($BP$4,연료전지_원본!$A$4:$KY$4,0))</f>
        <v>24</v>
      </c>
      <c r="BQ35" s="241">
        <f>INDEX(연료전지_원본!$A$4:$KY$369,MATCH($A35,연료전지_원본!$A$4:$A$369,0),MATCH($BQ$4,연료전지_원본!$A$4:$KY$4,0))</f>
        <v>24</v>
      </c>
      <c r="BR35" s="241">
        <f>INDEX(연료전지_원본!$A$4:$KY$369,MATCH($A35,연료전지_원본!$A$4:$A$369,0),MATCH($BR$4,연료전지_원본!$A$4:$KY$4,0))</f>
        <v>24</v>
      </c>
      <c r="BS35" s="241">
        <f>INDEX(연료전지_원본!$A$4:$KY$369,MATCH($A35,연료전지_원본!$A$4:$A$369,0),MATCH($BS$4,연료전지_원본!$A$4:$KY$4,0))</f>
        <v>24</v>
      </c>
      <c r="BT35" s="241">
        <f>INDEX(연료전지_원본!$A$4:$KY$369,MATCH($A35,연료전지_원본!$A$4:$A$369,0),MATCH($BT$4,연료전지_원본!$A$4:$KY$4,0))</f>
        <v>24</v>
      </c>
      <c r="BU35" s="241">
        <f>INDEX(연료전지_원본!$A$4:$KY$369,MATCH($A35,연료전지_원본!$A$4:$A$369,0),MATCH($BU$4,연료전지_원본!$A$4:$KY$4,0))</f>
        <v>24</v>
      </c>
      <c r="BV35" s="241">
        <f>INDEX(연료전지_원본!$A$4:$KY$369,MATCH($A35,연료전지_원본!$A$4:$A$369,0),MATCH($BV$4,연료전지_원본!$A$4:$KY$4,0))</f>
        <v>24</v>
      </c>
      <c r="BW35" s="241">
        <f>INDEX(연료전지_원본!$A$4:$KY$369,MATCH($A35,연료전지_원본!$A$4:$A$369,0),MATCH($BW$4,연료전지_원본!$A$4:$KY$4,0))</f>
        <v>24</v>
      </c>
      <c r="BX35" s="241">
        <f>INDEX(연료전지_원본!$A$4:$KY$369,MATCH($A35,연료전지_원본!$A$4:$A$369,0),MATCH($BX$4,연료전지_원본!$A$4:$KY$4,0))</f>
        <v>24</v>
      </c>
      <c r="BY35" s="241">
        <f>INDEX(연료전지_원본!$A$4:$KY$369,MATCH($A35,연료전지_원본!$A$4:$A$369,0),MATCH($BY$4,연료전지_원본!$A$4:$KY$4,0))</f>
        <v>24</v>
      </c>
      <c r="BZ35" s="241">
        <f>INDEX(연료전지_원본!$A$4:$KY$369,MATCH($A35,연료전지_원본!$A$4:$A$369,0),MATCH($BZ$4,연료전지_원본!$A$4:$KY$4,0))</f>
        <v>24</v>
      </c>
      <c r="CA35" s="241">
        <f>INDEX(연료전지_원본!$A$4:$KY$369,MATCH($A35,연료전지_원본!$A$4:$A$369,0),MATCH($CA$4,연료전지_원본!$A$4:$KY$4,0))</f>
        <v>24</v>
      </c>
      <c r="CB35" s="241">
        <f>INDEX(연료전지_원본!$A$4:$KY$369,MATCH($A35,연료전지_원본!$A$4:$A$369,0),MATCH($CB$4,연료전지_원본!$A$4:$KY$4,0))</f>
        <v>24</v>
      </c>
      <c r="CC35" s="242">
        <f>INDEX(연료전지_원본!$A$4:$KY$369,MATCH($A35,연료전지_원본!$A$4:$A$369,0),MATCH($CC$4,연료전지_원본!$A$4:$KY$4,0))</f>
        <v>24</v>
      </c>
      <c r="CD35" s="250">
        <f>INDEX(연료전지_원본!$KB$4:$KX$369,MATCH($A35,연료전지_원본!$KB$4:$KB$369,0), MATCH(CD$4,연료전지_원본!$KB$4:$KX$4,0))*1000</f>
        <v>1707.8181818181818</v>
      </c>
      <c r="CE35" s="250">
        <f>INDEX(연료전지_원본!$KB$4:$KX$369,MATCH($A35,연료전지_원본!$KB$4:$KB$369,0), MATCH(CE$4,연료전지_원본!$KB$4:$KX$4,0))*1000</f>
        <v>1707.8181818181818</v>
      </c>
      <c r="CF35" s="250">
        <f>INDEX(연료전지_원본!$KB$4:$KX$369,MATCH($A35,연료전지_원본!$KB$4:$KB$369,0), MATCH(CF$4,연료전지_원본!$KB$4:$KX$4,0))*1000</f>
        <v>1707.8181818181818</v>
      </c>
      <c r="CG35" s="250">
        <f>INDEX(연료전지_원본!$KB$4:$KX$369,MATCH($A35,연료전지_원본!$KB$4:$KB$369,0), MATCH(CG$4,연료전지_원본!$KB$4:$KX$4,0))*1000</f>
        <v>1707.8181818181818</v>
      </c>
      <c r="CH35" s="250">
        <f>INDEX(연료전지_원본!$KB$4:$KX$369,MATCH($A35,연료전지_원본!$KB$4:$KB$369,0), MATCH(CH$4,연료전지_원본!$KB$4:$KX$4,0))*1000</f>
        <v>1707.8181818181818</v>
      </c>
      <c r="CI35" s="250">
        <f>INDEX(연료전지_원본!$KB$4:$KX$369,MATCH($A35,연료전지_원본!$KB$4:$KB$369,0), MATCH(CI$4,연료전지_원본!$KB$4:$KX$4,0))*1000</f>
        <v>1707.8181818181818</v>
      </c>
      <c r="CJ35" s="250">
        <f>INDEX(연료전지_원본!$KB$4:$KX$369,MATCH($A35,연료전지_원본!$KB$4:$KB$369,0), MATCH(CJ$4,연료전지_원본!$KB$4:$KX$4,0))*1000</f>
        <v>1707.8181818181818</v>
      </c>
      <c r="CK35" s="250">
        <f>INDEX(연료전지_원본!$KB$4:$KX$369,MATCH($A35,연료전지_원본!$KB$4:$KB$369,0), MATCH(CK$4,연료전지_원본!$KB$4:$KX$4,0))*1000</f>
        <v>1707.8181818181818</v>
      </c>
      <c r="CL35" s="250">
        <f>INDEX(연료전지_원본!$KB$4:$KX$369,MATCH($A35,연료전지_원본!$KB$4:$KB$369,0), MATCH(CL$4,연료전지_원본!$KB$4:$KX$4,0))*1000</f>
        <v>1707.8181818181818</v>
      </c>
      <c r="CM35" s="250">
        <f>INDEX(연료전지_원본!$KB$4:$KX$369,MATCH($A35,연료전지_원본!$KB$4:$KB$369,0), MATCH(CM$4,연료전지_원본!$KB$4:$KX$4,0))*1000</f>
        <v>1707.8181818181818</v>
      </c>
      <c r="CN35" s="250">
        <f>INDEX(연료전지_원본!$KB$4:$KX$369,MATCH($A35,연료전지_원본!$KB$4:$KB$369,0), MATCH(CN$4,연료전지_원본!$KB$4:$KX$4,0))*1000</f>
        <v>1707.8181818181818</v>
      </c>
      <c r="CO35" s="250">
        <f>INDEX(연료전지_원본!$KB$4:$KX$369,MATCH($A35,연료전지_원본!$KB$4:$KB$369,0), MATCH(CO$4,연료전지_원본!$KB$4:$KX$4,0))*1000</f>
        <v>1707.8181818181818</v>
      </c>
      <c r="CP35" s="250">
        <f>INDEX(연료전지_원본!$KB$4:$KX$369,MATCH($A35,연료전지_원본!$KB$4:$KB$369,0), MATCH(CP$4,연료전지_원본!$KB$4:$KX$4,0))*1000</f>
        <v>1707.8181818181818</v>
      </c>
      <c r="CQ35" s="250">
        <f>INDEX(연료전지_원본!$KB$4:$KX$369,MATCH($A35,연료전지_원본!$KB$4:$KB$369,0), MATCH(CQ$4,연료전지_원본!$KB$4:$KX$4,0))*1000</f>
        <v>1707.8181818181818</v>
      </c>
      <c r="CR35" s="250">
        <f>INDEX(연료전지_원본!$KB$4:$KX$369,MATCH($A35,연료전지_원본!$KB$4:$KB$369,0), MATCH(CR$4,연료전지_원본!$KB$4:$KX$4,0))*1000</f>
        <v>1707.8181818181818</v>
      </c>
      <c r="CS35" s="250">
        <f>INDEX(연료전지_원본!$KB$4:$KX$369,MATCH($A35,연료전지_원본!$KB$4:$KB$369,0), MATCH(CS$4,연료전지_원본!$KB$4:$KX$4,0))*1000</f>
        <v>1707.8181818181818</v>
      </c>
      <c r="CT35" s="250">
        <f>INDEX(연료전지_원본!$KB$4:$KX$369,MATCH($A35,연료전지_원본!$KB$4:$KB$369,0), MATCH(CT$4,연료전지_원본!$KB$4:$KX$4,0))*1000</f>
        <v>1707.8181818181818</v>
      </c>
      <c r="CU35" s="250">
        <f>INDEX(연료전지_원본!$KB$4:$KX$369,MATCH($A35,연료전지_원본!$KB$4:$KB$369,0), MATCH(CU$4,연료전지_원본!$KB$4:$KX$4,0))*1000</f>
        <v>1707.8181818181818</v>
      </c>
      <c r="CV35" s="250">
        <f>INDEX(연료전지_원본!$KB$4:$KX$369,MATCH($A35,연료전지_원본!$KB$4:$KB$369,0), MATCH(CV$4,연료전지_원본!$KB$4:$KX$4,0))*1000</f>
        <v>1707.8181818181818</v>
      </c>
      <c r="CW35" s="250">
        <f>INDEX(연료전지_원본!$KB$4:$KX$369,MATCH($A35,연료전지_원본!$KB$4:$KB$369,0), MATCH(CW$4,연료전지_원본!$KB$4:$KX$4,0))*1000</f>
        <v>1707.8181818181818</v>
      </c>
      <c r="CX35" s="250">
        <f>INDEX(연료전지_원본!$KB$4:$KX$369,MATCH($A35,연료전지_원본!$KB$4:$KB$369,0), MATCH(CX$4,연료전지_원본!$KB$4:$KX$4,0))*1000</f>
        <v>1707.8181818181818</v>
      </c>
      <c r="CY35" s="250">
        <f>INDEX(연료전지_원본!$KB$4:$KX$369,MATCH($A35,연료전지_원본!$KB$4:$KB$369,0), MATCH(CY$4,연료전지_원본!$KB$4:$KX$4,0))*1000</f>
        <v>1707.8181818181818</v>
      </c>
    </row>
    <row r="36" spans="1:126" s="182" customFormat="1">
      <c r="A36" s="158">
        <v>46053</v>
      </c>
      <c r="B36" s="27">
        <f>운전실적_원본!B36</f>
        <v>651.20000000000005</v>
      </c>
      <c r="C36" s="28">
        <f t="shared" si="3"/>
        <v>0</v>
      </c>
      <c r="D36" s="29">
        <f>운전실적_원본!C36</f>
        <v>248881</v>
      </c>
      <c r="E36" s="29">
        <f t="shared" si="3"/>
        <v>23</v>
      </c>
      <c r="F36" s="29">
        <f>운전실적_원본!D36</f>
        <v>240564</v>
      </c>
      <c r="G36" s="28">
        <f t="shared" ref="G36" si="270">F36-F35</f>
        <v>22</v>
      </c>
      <c r="H36" s="27">
        <f>운전실적_원본!E36</f>
        <v>17163.62</v>
      </c>
      <c r="I36" s="28">
        <f t="shared" ref="I36" si="271">H36-H35</f>
        <v>2.4500000000007276</v>
      </c>
      <c r="J36" s="27">
        <f>운전실적_원본!F36</f>
        <v>14884.77</v>
      </c>
      <c r="K36" s="28">
        <f t="shared" ref="K36" si="272">J36-J35</f>
        <v>19.130000000001019</v>
      </c>
      <c r="L36" s="159">
        <f>운전실적_원본!G36</f>
        <v>5.2</v>
      </c>
      <c r="M36" s="157">
        <f t="shared" ref="M36" si="273">L36-L35</f>
        <v>0.60000000000000053</v>
      </c>
      <c r="N36" s="27">
        <f>운전실적_원본!H36</f>
        <v>36827</v>
      </c>
      <c r="O36" s="28">
        <f t="shared" ref="O36" si="274">N36-N35</f>
        <v>71</v>
      </c>
      <c r="P36" s="27">
        <f>운전실적_원본!I36</f>
        <v>19949</v>
      </c>
      <c r="Q36" s="28">
        <f t="shared" ref="Q36" si="275">P36-P35</f>
        <v>112</v>
      </c>
      <c r="R36" s="160">
        <f>운전실적_원본!J36</f>
        <v>32.65</v>
      </c>
      <c r="S36" s="161">
        <f t="shared" ref="S36" si="276">R36-R35</f>
        <v>-7.0000000000000284E-2</v>
      </c>
      <c r="T36" s="160">
        <f>운전실적_원본!K36</f>
        <v>32.36</v>
      </c>
      <c r="U36" s="161">
        <f t="shared" ref="U36" si="277">T36-T35</f>
        <v>0</v>
      </c>
      <c r="V36" s="29">
        <f>운전실적_원본!L36</f>
        <v>8513</v>
      </c>
      <c r="W36" s="28">
        <f t="shared" ref="W36" si="278">V36-V35</f>
        <v>-164</v>
      </c>
      <c r="X36" s="162">
        <f>운전실적_원본!M36</f>
        <v>198383.49000000209</v>
      </c>
      <c r="Y36" s="162">
        <f>운전실적_원본!N36</f>
        <v>0</v>
      </c>
      <c r="Z36" s="162">
        <f>운전실적_원본!O36</f>
        <v>0</v>
      </c>
      <c r="AA36" s="162">
        <f>운전실적_원본!P36</f>
        <v>0</v>
      </c>
      <c r="AB36" s="162">
        <f>운전실적_원본!Q36</f>
        <v>0</v>
      </c>
      <c r="AC36" s="162">
        <f>운전실적_원본!R36</f>
        <v>0</v>
      </c>
      <c r="AD36" s="163">
        <f>운전실적_원본!S36</f>
        <v>24</v>
      </c>
      <c r="AE36" s="164">
        <f>운전실적_원본!T36</f>
        <v>0</v>
      </c>
      <c r="AF36" s="164">
        <f>운전실적_원본!U36</f>
        <v>0</v>
      </c>
      <c r="AG36" s="164">
        <f>운전실적_원본!V36</f>
        <v>0</v>
      </c>
      <c r="AH36" s="163">
        <f t="shared" si="1"/>
        <v>24</v>
      </c>
      <c r="AI36" s="164">
        <f t="shared" si="125"/>
        <v>0</v>
      </c>
      <c r="AJ36" s="164">
        <f>운전실적_원본!Y36</f>
        <v>0</v>
      </c>
      <c r="AK36" s="164">
        <f>운전실적_원본!Z36</f>
        <v>0</v>
      </c>
      <c r="AL36" s="165">
        <v>46053</v>
      </c>
      <c r="AM36" s="166">
        <f t="shared" si="171"/>
        <v>46054</v>
      </c>
      <c r="AN36" s="166"/>
      <c r="AO36" s="166"/>
      <c r="AP36" s="166"/>
      <c r="AQ36" s="167"/>
      <c r="AR36" s="166"/>
      <c r="AS36" s="166"/>
      <c r="AT36" s="168"/>
      <c r="AU36" s="168"/>
      <c r="AV36" s="168"/>
      <c r="AW36" s="168"/>
      <c r="AX36" s="159">
        <f>운전실적_원본!W36</f>
        <v>1238</v>
      </c>
      <c r="AY36" s="169">
        <f>운전실적_원본!X36</f>
        <v>0</v>
      </c>
      <c r="AZ36" s="169">
        <f>운전실적_원본!Y36</f>
        <v>0</v>
      </c>
      <c r="BA36" s="169">
        <f>운전실적_원본!Z36</f>
        <v>0</v>
      </c>
      <c r="BB36" s="169">
        <f>운전실적_원본!AA36</f>
        <v>0</v>
      </c>
      <c r="BC36" s="169">
        <f>운전실적_원본!AB36</f>
        <v>1238</v>
      </c>
      <c r="BD36" s="159">
        <f t="shared" si="15"/>
        <v>51.583333333333336</v>
      </c>
      <c r="BE36" s="169">
        <f t="shared" si="2"/>
        <v>1.0037620808198742</v>
      </c>
      <c r="BF36" s="169">
        <f>운전실적_원본!AE36</f>
        <v>0</v>
      </c>
      <c r="BG36" s="157">
        <f t="shared" si="0"/>
        <v>0</v>
      </c>
      <c r="BH36" s="243">
        <f>INDEX(연료전지_원본!$A$4:$KY$369,MATCH($A36,연료전지_원본!$A$4:$A$369,0),MATCH($BH$4,연료전지_원본!$A$4:$KY$4,0))</f>
        <v>24</v>
      </c>
      <c r="BI36" s="244">
        <f>INDEX(연료전지_원본!$A$4:$KY$369,MATCH($A36,연료전지_원본!$A$4:$A$369,0),MATCH($BI$4,연료전지_원본!$A$4:$KY$4,0))</f>
        <v>24</v>
      </c>
      <c r="BJ36" s="244">
        <f>INDEX(연료전지_원본!$A$4:$KY$369,MATCH($A36,연료전지_원본!$A$4:$A$369,0),MATCH($BJ$4,연료전지_원본!$A$4:$KY$4,0))</f>
        <v>24</v>
      </c>
      <c r="BK36" s="244">
        <f>INDEX(연료전지_원본!$A$4:$KY$369,MATCH($A36,연료전지_원본!$A$4:$A$369,0),MATCH($BK$4,연료전지_원본!$A$4:$KY$4,0))</f>
        <v>24</v>
      </c>
      <c r="BL36" s="244">
        <f>INDEX(연료전지_원본!$A$4:$KY$369,MATCH($A36,연료전지_원본!$A$4:$A$369,0),MATCH($BL$4,연료전지_원본!$A$4:$KY$4,0))</f>
        <v>24</v>
      </c>
      <c r="BM36" s="244">
        <f>INDEX(연료전지_원본!$A$4:$KY$369,MATCH($A36,연료전지_원본!$A$4:$A$369,0),MATCH($BM$4,연료전지_원본!$A$4:$KY$4,0))</f>
        <v>24</v>
      </c>
      <c r="BN36" s="244">
        <f>INDEX(연료전지_원본!$A$4:$KY$369,MATCH($A36,연료전지_원본!$A$4:$A$369,0),MATCH($BN$4,연료전지_원본!$A$4:$KY$4,0))</f>
        <v>24</v>
      </c>
      <c r="BO36" s="244">
        <f>INDEX(연료전지_원본!$A$4:$KY$369,MATCH($A36,연료전지_원본!$A$4:$A$369,0),MATCH($BO$4,연료전지_원본!$A$4:$KY$4,0))</f>
        <v>24</v>
      </c>
      <c r="BP36" s="244">
        <f>INDEX(연료전지_원본!$A$4:$KY$369,MATCH($A36,연료전지_원본!$A$4:$A$369,0),MATCH($BP$4,연료전지_원본!$A$4:$KY$4,0))</f>
        <v>24</v>
      </c>
      <c r="BQ36" s="244">
        <f>INDEX(연료전지_원본!$A$4:$KY$369,MATCH($A36,연료전지_원본!$A$4:$A$369,0),MATCH($BQ$4,연료전지_원본!$A$4:$KY$4,0))</f>
        <v>24</v>
      </c>
      <c r="BR36" s="244">
        <f>INDEX(연료전지_원본!$A$4:$KY$369,MATCH($A36,연료전지_원본!$A$4:$A$369,0),MATCH($BR$4,연료전지_원본!$A$4:$KY$4,0))</f>
        <v>24</v>
      </c>
      <c r="BS36" s="244">
        <f>INDEX(연료전지_원본!$A$4:$KY$369,MATCH($A36,연료전지_원본!$A$4:$A$369,0),MATCH($BS$4,연료전지_원본!$A$4:$KY$4,0))</f>
        <v>24</v>
      </c>
      <c r="BT36" s="244">
        <f>INDEX(연료전지_원본!$A$4:$KY$369,MATCH($A36,연료전지_원본!$A$4:$A$369,0),MATCH($BT$4,연료전지_원본!$A$4:$KY$4,0))</f>
        <v>24</v>
      </c>
      <c r="BU36" s="244">
        <f>INDEX(연료전지_원본!$A$4:$KY$369,MATCH($A36,연료전지_원본!$A$4:$A$369,0),MATCH($BU$4,연료전지_원본!$A$4:$KY$4,0))</f>
        <v>24</v>
      </c>
      <c r="BV36" s="244">
        <f>INDEX(연료전지_원본!$A$4:$KY$369,MATCH($A36,연료전지_원본!$A$4:$A$369,0),MATCH($BV$4,연료전지_원본!$A$4:$KY$4,0))</f>
        <v>24</v>
      </c>
      <c r="BW36" s="244">
        <f>INDEX(연료전지_원본!$A$4:$KY$369,MATCH($A36,연료전지_원본!$A$4:$A$369,0),MATCH($BW$4,연료전지_원본!$A$4:$KY$4,0))</f>
        <v>24</v>
      </c>
      <c r="BX36" s="244">
        <f>INDEX(연료전지_원본!$A$4:$KY$369,MATCH($A36,연료전지_원본!$A$4:$A$369,0),MATCH($BX$4,연료전지_원본!$A$4:$KY$4,0))</f>
        <v>24</v>
      </c>
      <c r="BY36" s="244">
        <f>INDEX(연료전지_원본!$A$4:$KY$369,MATCH($A36,연료전지_원본!$A$4:$A$369,0),MATCH($BY$4,연료전지_원본!$A$4:$KY$4,0))</f>
        <v>24</v>
      </c>
      <c r="BZ36" s="244">
        <f>INDEX(연료전지_원본!$A$4:$KY$369,MATCH($A36,연료전지_원본!$A$4:$A$369,0),MATCH($BZ$4,연료전지_원본!$A$4:$KY$4,0))</f>
        <v>24</v>
      </c>
      <c r="CA36" s="244">
        <f>INDEX(연료전지_원본!$A$4:$KY$369,MATCH($A36,연료전지_원본!$A$4:$A$369,0),MATCH($CA$4,연료전지_원본!$A$4:$KY$4,0))</f>
        <v>24</v>
      </c>
      <c r="CB36" s="244">
        <f>INDEX(연료전지_원본!$A$4:$KY$369,MATCH($A36,연료전지_원본!$A$4:$A$369,0),MATCH($CB$4,연료전지_원본!$A$4:$KY$4,0))</f>
        <v>24</v>
      </c>
      <c r="CC36" s="245">
        <f>INDEX(연료전지_원본!$A$4:$KY$369,MATCH($A36,연료전지_원본!$A$4:$A$369,0),MATCH($CC$4,연료전지_원본!$A$4:$KY$4,0))</f>
        <v>24</v>
      </c>
      <c r="CD36" s="250">
        <f>INDEX(연료전지_원본!$KB$4:$KX$369,MATCH($A36,연료전지_원본!$KB$4:$KB$369,0), MATCH(CD$4,연료전지_원본!$KB$4:$KX$4,0))*1000</f>
        <v>1691.6363636363637</v>
      </c>
      <c r="CE36" s="250">
        <f>INDEX(연료전지_원본!$KB$4:$KX$369,MATCH($A36,연료전지_원본!$KB$4:$KB$369,0), MATCH(CE$4,연료전지_원본!$KB$4:$KX$4,0))*1000</f>
        <v>1691.6363636363637</v>
      </c>
      <c r="CF36" s="250">
        <f>INDEX(연료전지_원본!$KB$4:$KX$369,MATCH($A36,연료전지_원본!$KB$4:$KB$369,0), MATCH(CF$4,연료전지_원본!$KB$4:$KX$4,0))*1000</f>
        <v>1691.6363636363637</v>
      </c>
      <c r="CG36" s="250">
        <f>INDEX(연료전지_원본!$KB$4:$KX$369,MATCH($A36,연료전지_원본!$KB$4:$KB$369,0), MATCH(CG$4,연료전지_원본!$KB$4:$KX$4,0))*1000</f>
        <v>1691.6363636363637</v>
      </c>
      <c r="CH36" s="250">
        <f>INDEX(연료전지_원본!$KB$4:$KX$369,MATCH($A36,연료전지_원본!$KB$4:$KB$369,0), MATCH(CH$4,연료전지_원본!$KB$4:$KX$4,0))*1000</f>
        <v>1691.6363636363637</v>
      </c>
      <c r="CI36" s="250">
        <f>INDEX(연료전지_원본!$KB$4:$KX$369,MATCH($A36,연료전지_원본!$KB$4:$KB$369,0), MATCH(CI$4,연료전지_원본!$KB$4:$KX$4,0))*1000</f>
        <v>1691.6363636363637</v>
      </c>
      <c r="CJ36" s="250">
        <f>INDEX(연료전지_원본!$KB$4:$KX$369,MATCH($A36,연료전지_원본!$KB$4:$KB$369,0), MATCH(CJ$4,연료전지_원본!$KB$4:$KX$4,0))*1000</f>
        <v>1691.6363636363637</v>
      </c>
      <c r="CK36" s="250">
        <f>INDEX(연료전지_원본!$KB$4:$KX$369,MATCH($A36,연료전지_원본!$KB$4:$KB$369,0), MATCH(CK$4,연료전지_원본!$KB$4:$KX$4,0))*1000</f>
        <v>1691.6363636363637</v>
      </c>
      <c r="CL36" s="250">
        <f>INDEX(연료전지_원본!$KB$4:$KX$369,MATCH($A36,연료전지_원본!$KB$4:$KB$369,0), MATCH(CL$4,연료전지_원본!$KB$4:$KX$4,0))*1000</f>
        <v>1691.6363636363637</v>
      </c>
      <c r="CM36" s="250">
        <f>INDEX(연료전지_원본!$KB$4:$KX$369,MATCH($A36,연료전지_원본!$KB$4:$KB$369,0), MATCH(CM$4,연료전지_원본!$KB$4:$KX$4,0))*1000</f>
        <v>1691.6363636363637</v>
      </c>
      <c r="CN36" s="250">
        <f>INDEX(연료전지_원본!$KB$4:$KX$369,MATCH($A36,연료전지_원본!$KB$4:$KB$369,0), MATCH(CN$4,연료전지_원본!$KB$4:$KX$4,0))*1000</f>
        <v>1691.6363636363637</v>
      </c>
      <c r="CO36" s="250">
        <f>INDEX(연료전지_원본!$KB$4:$KX$369,MATCH($A36,연료전지_원본!$KB$4:$KB$369,0), MATCH(CO$4,연료전지_원본!$KB$4:$KX$4,0))*1000</f>
        <v>1691.6363636363637</v>
      </c>
      <c r="CP36" s="250">
        <f>INDEX(연료전지_원본!$KB$4:$KX$369,MATCH($A36,연료전지_원본!$KB$4:$KB$369,0), MATCH(CP$4,연료전지_원본!$KB$4:$KX$4,0))*1000</f>
        <v>1691.6363636363637</v>
      </c>
      <c r="CQ36" s="250">
        <f>INDEX(연료전지_원본!$KB$4:$KX$369,MATCH($A36,연료전지_원본!$KB$4:$KB$369,0), MATCH(CQ$4,연료전지_원본!$KB$4:$KX$4,0))*1000</f>
        <v>1691.6363636363637</v>
      </c>
      <c r="CR36" s="250">
        <f>INDEX(연료전지_원본!$KB$4:$KX$369,MATCH($A36,연료전지_원본!$KB$4:$KB$369,0), MATCH(CR$4,연료전지_원본!$KB$4:$KX$4,0))*1000</f>
        <v>1691.6363636363637</v>
      </c>
      <c r="CS36" s="250">
        <f>INDEX(연료전지_원본!$KB$4:$KX$369,MATCH($A36,연료전지_원본!$KB$4:$KB$369,0), MATCH(CS$4,연료전지_원본!$KB$4:$KX$4,0))*1000</f>
        <v>1691.6363636363637</v>
      </c>
      <c r="CT36" s="250">
        <f>INDEX(연료전지_원본!$KB$4:$KX$369,MATCH($A36,연료전지_원본!$KB$4:$KB$369,0), MATCH(CT$4,연료전지_원본!$KB$4:$KX$4,0))*1000</f>
        <v>1691.6363636363637</v>
      </c>
      <c r="CU36" s="250">
        <f>INDEX(연료전지_원본!$KB$4:$KX$369,MATCH($A36,연료전지_원본!$KB$4:$KB$369,0), MATCH(CU$4,연료전지_원본!$KB$4:$KX$4,0))*1000</f>
        <v>1691.6363636363637</v>
      </c>
      <c r="CV36" s="250">
        <f>INDEX(연료전지_원본!$KB$4:$KX$369,MATCH($A36,연료전지_원본!$KB$4:$KB$369,0), MATCH(CV$4,연료전지_원본!$KB$4:$KX$4,0))*1000</f>
        <v>1691.6363636363637</v>
      </c>
      <c r="CW36" s="250">
        <f>INDEX(연료전지_원본!$KB$4:$KX$369,MATCH($A36,연료전지_원본!$KB$4:$KB$369,0), MATCH(CW$4,연료전지_원본!$KB$4:$KX$4,0))*1000</f>
        <v>1691.6363636363637</v>
      </c>
      <c r="CX36" s="250">
        <f>INDEX(연료전지_원본!$KB$4:$KX$369,MATCH($A36,연료전지_원본!$KB$4:$KB$369,0), MATCH(CX$4,연료전지_원본!$KB$4:$KX$4,0))*1000</f>
        <v>1691.6363636363637</v>
      </c>
      <c r="CY36" s="250">
        <f>INDEX(연료전지_원본!$KB$4:$KX$369,MATCH($A36,연료전지_원본!$KB$4:$KB$369,0), MATCH(CY$4,연료전지_원본!$KB$4:$KX$4,0))*1000</f>
        <v>1691.6363636363637</v>
      </c>
      <c r="CZ36" s="186"/>
    </row>
    <row r="37" spans="1:126">
      <c r="A37" s="6">
        <v>46054</v>
      </c>
      <c r="B37" s="15">
        <f>운전실적_원본!B37</f>
        <v>651.20000000000005</v>
      </c>
      <c r="C37" s="16">
        <f t="shared" si="3"/>
        <v>0</v>
      </c>
      <c r="D37" s="12">
        <f>운전실적_원본!C37</f>
        <v>248929</v>
      </c>
      <c r="E37" s="9">
        <f t="shared" si="3"/>
        <v>48</v>
      </c>
      <c r="F37" s="12">
        <f>운전실적_원본!D37</f>
        <v>240564</v>
      </c>
      <c r="G37" s="16">
        <f t="shared" ref="G37" si="279">F37-F36</f>
        <v>0</v>
      </c>
      <c r="H37" s="15">
        <f>운전실적_원본!E37</f>
        <v>17166.27</v>
      </c>
      <c r="I37" s="16">
        <f t="shared" ref="I37" si="280">H37-H36</f>
        <v>2.6500000000014552</v>
      </c>
      <c r="J37" s="15">
        <f>운전실적_원본!F37</f>
        <v>14904.57</v>
      </c>
      <c r="K37" s="16">
        <f t="shared" ref="K37" si="281">J37-J36</f>
        <v>19.799999999999272</v>
      </c>
      <c r="L37" s="32">
        <f>운전실적_원본!G37</f>
        <v>6.1</v>
      </c>
      <c r="M37" s="31">
        <f t="shared" ref="M37" si="282">L37-L36</f>
        <v>0.89999999999999947</v>
      </c>
      <c r="N37" s="15">
        <f>운전실적_원본!H37</f>
        <v>36888</v>
      </c>
      <c r="O37" s="16">
        <f t="shared" ref="O37" si="283">N37-N36</f>
        <v>61</v>
      </c>
      <c r="P37" s="15">
        <f>운전실적_원본!I37</f>
        <v>20073</v>
      </c>
      <c r="Q37" s="16">
        <f t="shared" ref="Q37" si="284">P37-P36</f>
        <v>124</v>
      </c>
      <c r="R37" s="18">
        <f>운전실적_원본!J37</f>
        <v>32.93</v>
      </c>
      <c r="S37" s="19">
        <f t="shared" ref="S37" si="285">R37-R36</f>
        <v>0.28000000000000114</v>
      </c>
      <c r="T37" s="18">
        <f>운전실적_원본!K37</f>
        <v>32.380000000000003</v>
      </c>
      <c r="U37" s="19">
        <f t="shared" ref="U37" si="286">T37-T36</f>
        <v>2.0000000000003126E-2</v>
      </c>
      <c r="V37" s="12">
        <f>운전실적_원본!L37</f>
        <v>8364</v>
      </c>
      <c r="W37" s="16">
        <f t="shared" ref="W37" si="287">V37-V36</f>
        <v>-149</v>
      </c>
      <c r="X37" s="10">
        <f>운전실적_원본!M37</f>
        <v>177707.49000000209</v>
      </c>
      <c r="Y37" s="10">
        <f>운전실적_원본!N37</f>
        <v>0</v>
      </c>
      <c r="Z37" s="10">
        <f>운전실적_원본!O37</f>
        <v>0</v>
      </c>
      <c r="AA37" s="10">
        <f>운전실적_원본!P37</f>
        <v>0</v>
      </c>
      <c r="AB37" s="10">
        <f>운전실적_원본!Q37</f>
        <v>0</v>
      </c>
      <c r="AC37" s="20">
        <f>운전실적_원본!R37</f>
        <v>0</v>
      </c>
      <c r="AD37" s="109">
        <f>운전실적_원본!S37</f>
        <v>24</v>
      </c>
      <c r="AE37" s="110">
        <f>운전실적_원본!T37</f>
        <v>0</v>
      </c>
      <c r="AF37" s="110">
        <f>운전실적_원본!U37</f>
        <v>0</v>
      </c>
      <c r="AG37" s="110">
        <f>운전실적_원본!V37</f>
        <v>0</v>
      </c>
      <c r="AH37" s="109">
        <f t="shared" si="1"/>
        <v>24</v>
      </c>
      <c r="AI37" s="110">
        <f t="shared" si="125"/>
        <v>0</v>
      </c>
      <c r="AJ37" s="110">
        <f>운전실적_원본!Y37</f>
        <v>0</v>
      </c>
      <c r="AK37" s="110">
        <f>운전실적_원본!Z37</f>
        <v>0</v>
      </c>
      <c r="AL37" s="106">
        <v>46054</v>
      </c>
      <c r="AM37" s="105">
        <f t="shared" si="171"/>
        <v>46055</v>
      </c>
      <c r="AN37" s="105"/>
      <c r="AO37" s="105"/>
      <c r="AP37" s="105"/>
      <c r="AQ37" s="108"/>
      <c r="AR37" s="105"/>
      <c r="AS37" s="105"/>
      <c r="AT37" s="102"/>
      <c r="AU37" s="102"/>
      <c r="AV37" s="102"/>
      <c r="AW37" s="102"/>
      <c r="AX37" s="32">
        <f>운전실적_원본!W37</f>
        <v>1126</v>
      </c>
      <c r="AY37" s="11">
        <f>운전실적_원본!X37</f>
        <v>0</v>
      </c>
      <c r="AZ37" s="11">
        <f>운전실적_원본!Y37</f>
        <v>0</v>
      </c>
      <c r="BA37" s="11">
        <f>운전실적_원본!Z37</f>
        <v>0</v>
      </c>
      <c r="BB37" s="11">
        <f>운전실적_원본!AA37</f>
        <v>0</v>
      </c>
      <c r="BC37" s="11">
        <f>운전실적_원본!AB37</f>
        <v>1126</v>
      </c>
      <c r="BD37" s="32">
        <f t="shared" si="15"/>
        <v>46.916666666666664</v>
      </c>
      <c r="BE37" s="11">
        <f t="shared" si="2"/>
        <v>0.91295323344360113</v>
      </c>
      <c r="BF37" s="11">
        <f>운전실적_원본!AE37</f>
        <v>0</v>
      </c>
      <c r="BG37" s="31">
        <f t="shared" si="0"/>
        <v>0</v>
      </c>
      <c r="BH37" s="241">
        <f>INDEX(연료전지_원본!$A$4:$KY$369,MATCH($A37,연료전지_원본!$A$4:$A$369,0),MATCH($BH$4,연료전지_원본!$A$4:$KY$4,0))</f>
        <v>24</v>
      </c>
      <c r="BI37" s="241">
        <f>INDEX(연료전지_원본!$A$4:$KY$369,MATCH($A37,연료전지_원본!$A$4:$A$369,0),MATCH($BI$4,연료전지_원본!$A$4:$KY$4,0))</f>
        <v>24</v>
      </c>
      <c r="BJ37" s="241">
        <f>INDEX(연료전지_원본!$A$4:$KY$369,MATCH($A37,연료전지_원본!$A$4:$A$369,0),MATCH($BJ$4,연료전지_원본!$A$4:$KY$4,0))</f>
        <v>24</v>
      </c>
      <c r="BK37" s="241">
        <f>INDEX(연료전지_원본!$A$4:$KY$369,MATCH($A37,연료전지_원본!$A$4:$A$369,0),MATCH($BK$4,연료전지_원본!$A$4:$KY$4,0))</f>
        <v>24</v>
      </c>
      <c r="BL37" s="241">
        <f>INDEX(연료전지_원본!$A$4:$KY$369,MATCH($A37,연료전지_원본!$A$4:$A$369,0),MATCH($BL$4,연료전지_원본!$A$4:$KY$4,0))</f>
        <v>24</v>
      </c>
      <c r="BM37" s="241">
        <f>INDEX(연료전지_원본!$A$4:$KY$369,MATCH($A37,연료전지_원본!$A$4:$A$369,0),MATCH($BM$4,연료전지_원본!$A$4:$KY$4,0))</f>
        <v>24</v>
      </c>
      <c r="BN37" s="241">
        <f>INDEX(연료전지_원본!$A$4:$KY$369,MATCH($A37,연료전지_원본!$A$4:$A$369,0),MATCH($BN$4,연료전지_원본!$A$4:$KY$4,0))</f>
        <v>24</v>
      </c>
      <c r="BO37" s="241">
        <f>INDEX(연료전지_원본!$A$4:$KY$369,MATCH($A37,연료전지_원본!$A$4:$A$369,0),MATCH($BO$4,연료전지_원본!$A$4:$KY$4,0))</f>
        <v>24</v>
      </c>
      <c r="BP37" s="241">
        <f>INDEX(연료전지_원본!$A$4:$KY$369,MATCH($A37,연료전지_원본!$A$4:$A$369,0),MATCH($BP$4,연료전지_원본!$A$4:$KY$4,0))</f>
        <v>16.666666666666664</v>
      </c>
      <c r="BQ37" s="241">
        <f>INDEX(연료전지_원본!$A$4:$KY$369,MATCH($A37,연료전지_원본!$A$4:$A$369,0),MATCH($BQ$4,연료전지_원본!$A$4:$KY$4,0))</f>
        <v>24</v>
      </c>
      <c r="BR37" s="241">
        <f>INDEX(연료전지_원본!$A$4:$KY$369,MATCH($A37,연료전지_원본!$A$4:$A$369,0),MATCH($BR$4,연료전지_원본!$A$4:$KY$4,0))</f>
        <v>0</v>
      </c>
      <c r="BS37" s="241">
        <f>INDEX(연료전지_원본!$A$4:$KY$369,MATCH($A37,연료전지_원본!$A$4:$A$369,0),MATCH($BS$4,연료전지_원본!$A$4:$KY$4,0))</f>
        <v>24</v>
      </c>
      <c r="BT37" s="241">
        <f>INDEX(연료전지_원본!$A$4:$KY$369,MATCH($A37,연료전지_원본!$A$4:$A$369,0),MATCH($BT$4,연료전지_원본!$A$4:$KY$4,0))</f>
        <v>24</v>
      </c>
      <c r="BU37" s="241">
        <f>INDEX(연료전지_원본!$A$4:$KY$369,MATCH($A37,연료전지_원본!$A$4:$A$369,0),MATCH($BU$4,연료전지_원본!$A$4:$KY$4,0))</f>
        <v>24</v>
      </c>
      <c r="BV37" s="241">
        <f>INDEX(연료전지_원본!$A$4:$KY$369,MATCH($A37,연료전지_원본!$A$4:$A$369,0),MATCH($BV$4,연료전지_원본!$A$4:$KY$4,0))</f>
        <v>24</v>
      </c>
      <c r="BW37" s="241">
        <f>INDEX(연료전지_원본!$A$4:$KY$369,MATCH($A37,연료전지_원본!$A$4:$A$369,0),MATCH($BW$4,연료전지_원본!$A$4:$KY$4,0))</f>
        <v>24</v>
      </c>
      <c r="BX37" s="241">
        <f>INDEX(연료전지_원본!$A$4:$KY$369,MATCH($A37,연료전지_원본!$A$4:$A$369,0),MATCH($BX$4,연료전지_원본!$A$4:$KY$4,0))</f>
        <v>24</v>
      </c>
      <c r="BY37" s="241">
        <f>INDEX(연료전지_원본!$A$4:$KY$369,MATCH($A37,연료전지_원본!$A$4:$A$369,0),MATCH($BY$4,연료전지_원본!$A$4:$KY$4,0))</f>
        <v>24</v>
      </c>
      <c r="BZ37" s="241">
        <f>INDEX(연료전지_원본!$A$4:$KY$369,MATCH($A37,연료전지_원본!$A$4:$A$369,0),MATCH($BZ$4,연료전지_원본!$A$4:$KY$4,0))</f>
        <v>24</v>
      </c>
      <c r="CA37" s="241">
        <f>INDEX(연료전지_원본!$A$4:$KY$369,MATCH($A37,연료전지_원본!$A$4:$A$369,0),MATCH($CA$4,연료전지_원본!$A$4:$KY$4,0))</f>
        <v>24</v>
      </c>
      <c r="CB37" s="241">
        <f>INDEX(연료전지_원본!$A$4:$KY$369,MATCH($A37,연료전지_원본!$A$4:$A$369,0),MATCH($CB$4,연료전지_원본!$A$4:$KY$4,0))</f>
        <v>24</v>
      </c>
      <c r="CC37" s="242">
        <f>INDEX(연료전지_원본!$A$4:$KY$369,MATCH($A37,연료전지_원본!$A$4:$A$369,0),MATCH($CC$4,연료전지_원본!$A$4:$KY$4,0))</f>
        <v>0</v>
      </c>
      <c r="CD37" s="251">
        <f>INDEX(연료전지_원본!$KB$4:$KX$369,MATCH($A37,연료전지_원본!$KB$4:$KB$369,0), MATCH(CD$4,연료전지_원본!$KB$4:$KX$4,0))*1000</f>
        <v>2015.0000000000002</v>
      </c>
      <c r="CE37" s="252">
        <f>INDEX(연료전지_원본!$KB$4:$KX$369,MATCH($A37,연료전지_원본!$KB$4:$KB$369,0), MATCH(CE$4,연료전지_원본!$KB$4:$KX$4,0))*1000</f>
        <v>2013.9999999999998</v>
      </c>
      <c r="CF37" s="252">
        <f>INDEX(연료전지_원본!$KB$4:$KX$369,MATCH($A37,연료전지_원본!$KB$4:$KB$369,0), MATCH(CF$4,연료전지_원본!$KB$4:$KX$4,0))*1000</f>
        <v>2015.0000000000002</v>
      </c>
      <c r="CG37" s="252">
        <f>INDEX(연료전지_원본!$KB$4:$KX$369,MATCH($A37,연료전지_원본!$KB$4:$KB$369,0), MATCH(CG$4,연료전지_원본!$KB$4:$KX$4,0))*1000</f>
        <v>2015.0000000000002</v>
      </c>
      <c r="CH37" s="252">
        <f>INDEX(연료전지_원본!$KB$4:$KX$369,MATCH($A37,연료전지_원본!$KB$4:$KB$369,0), MATCH(CH$4,연료전지_원본!$KB$4:$KX$4,0))*1000</f>
        <v>2015.0000000000002</v>
      </c>
      <c r="CI37" s="252">
        <f>INDEX(연료전지_원본!$KB$4:$KX$369,MATCH($A37,연료전지_원본!$KB$4:$KB$369,0), MATCH(CI$4,연료전지_원본!$KB$4:$KX$4,0))*1000</f>
        <v>2015.0000000000002</v>
      </c>
      <c r="CJ37" s="252">
        <f>INDEX(연료전지_원본!$KB$4:$KX$369,MATCH($A37,연료전지_원본!$KB$4:$KB$369,0), MATCH(CJ$4,연료전지_원본!$KB$4:$KX$4,0))*1000</f>
        <v>2013.9999999999998</v>
      </c>
      <c r="CK37" s="252">
        <f>INDEX(연료전지_원본!$KB$4:$KX$369,MATCH($A37,연료전지_원본!$KB$4:$KB$369,0), MATCH(CK$4,연료전지_원본!$KB$4:$KX$4,0))*1000</f>
        <v>2013.9999999999998</v>
      </c>
      <c r="CL37" s="252">
        <f>INDEX(연료전지_원본!$KB$4:$KX$369,MATCH($A37,연료전지_원본!$KB$4:$KB$369,0), MATCH(CL$4,연료전지_원본!$KB$4:$KX$4,0))*1000</f>
        <v>1397</v>
      </c>
      <c r="CM37" s="252">
        <f>INDEX(연료전지_원본!$KB$4:$KX$369,MATCH($A37,연료전지_원본!$KB$4:$KB$369,0), MATCH(CM$4,연료전지_원본!$KB$4:$KX$4,0))*1000</f>
        <v>1137</v>
      </c>
      <c r="CN37" s="252">
        <f>INDEX(연료전지_원본!$KB$4:$KX$369,MATCH($A37,연료전지_원본!$KB$4:$KB$369,0), MATCH(CN$4,연료전지_원본!$KB$4:$KX$4,0))*1000</f>
        <v>0</v>
      </c>
      <c r="CO37" s="252">
        <f>INDEX(연료전지_원본!$KB$4:$KX$369,MATCH($A37,연료전지_원본!$KB$4:$KB$369,0), MATCH(CO$4,연료전지_원본!$KB$4:$KX$4,0))*1000</f>
        <v>2017</v>
      </c>
      <c r="CP37" s="252">
        <f>INDEX(연료전지_원본!$KB$4:$KX$369,MATCH($A37,연료전지_원본!$KB$4:$KB$369,0), MATCH(CP$4,연료전지_원본!$KB$4:$KX$4,0))*1000</f>
        <v>2013</v>
      </c>
      <c r="CQ37" s="252">
        <f>INDEX(연료전지_원본!$KB$4:$KX$369,MATCH($A37,연료전지_원본!$KB$4:$KB$369,0), MATCH(CQ$4,연료전지_원본!$KB$4:$KX$4,0))*1000</f>
        <v>2013.9999999999998</v>
      </c>
      <c r="CR37" s="252">
        <f>INDEX(연료전지_원본!$KB$4:$KX$369,MATCH($A37,연료전지_원본!$KB$4:$KB$369,0), MATCH(CR$4,연료전지_원본!$KB$4:$KX$4,0))*1000</f>
        <v>2015.0000000000002</v>
      </c>
      <c r="CS37" s="252">
        <f>INDEX(연료전지_원본!$KB$4:$KX$369,MATCH($A37,연료전지_원본!$KB$4:$KB$369,0), MATCH(CS$4,연료전지_원본!$KB$4:$KX$4,0))*1000</f>
        <v>1511</v>
      </c>
      <c r="CT37" s="252">
        <f>INDEX(연료전지_원본!$KB$4:$KX$369,MATCH($A37,연료전지_원본!$KB$4:$KB$369,0), MATCH(CT$4,연료전지_원본!$KB$4:$KX$4,0))*1000</f>
        <v>1510</v>
      </c>
      <c r="CU37" s="252">
        <f>INDEX(연료전지_원본!$KB$4:$KX$369,MATCH($A37,연료전지_원본!$KB$4:$KB$369,0), MATCH(CU$4,연료전지_원본!$KB$4:$KX$4,0))*1000</f>
        <v>1510</v>
      </c>
      <c r="CV37" s="252">
        <f>INDEX(연료전지_원본!$KB$4:$KX$369,MATCH($A37,연료전지_원본!$KB$4:$KB$369,0), MATCH(CV$4,연료전지_원본!$KB$4:$KX$4,0))*1000</f>
        <v>1510</v>
      </c>
      <c r="CW37" s="252">
        <f>INDEX(연료전지_원본!$KB$4:$KX$369,MATCH($A37,연료전지_원본!$KB$4:$KB$369,0), MATCH(CW$4,연료전지_원본!$KB$4:$KX$4,0))*1000</f>
        <v>1511</v>
      </c>
      <c r="CX37" s="252">
        <f>INDEX(연료전지_원본!$KB$4:$KX$369,MATCH($A37,연료전지_원본!$KB$4:$KB$369,0), MATCH(CX$4,연료전지_원본!$KB$4:$KX$4,0))*1000</f>
        <v>2215</v>
      </c>
      <c r="CY37" s="253">
        <f>INDEX(연료전지_원본!$KB$4:$KX$369,MATCH($A37,연료전지_원본!$KB$4:$KB$369,0), MATCH(CY$4,연료전지_원본!$KB$4:$KX$4,0))*1000</f>
        <v>0</v>
      </c>
      <c r="CZ37" s="185">
        <v>9.6220000000000141</v>
      </c>
      <c r="DA37" s="30">
        <v>9.6169999999999902</v>
      </c>
      <c r="DB37" s="30">
        <v>9.6200000000000045</v>
      </c>
      <c r="DC37" s="30">
        <v>9.6229999999999905</v>
      </c>
      <c r="DD37" s="30">
        <v>9.6239999999999952</v>
      </c>
      <c r="DE37" s="30">
        <v>9.6220000000000141</v>
      </c>
      <c r="DF37" s="30">
        <v>9.6160000000000139</v>
      </c>
      <c r="DG37" s="30">
        <v>9.6169999999999902</v>
      </c>
      <c r="DH37" s="30">
        <v>6.6699999999999875</v>
      </c>
      <c r="DI37" s="30">
        <v>5.4269999999999925</v>
      </c>
      <c r="DJ37" s="30">
        <v>0</v>
      </c>
      <c r="DK37" s="30">
        <v>9.6330000000000098</v>
      </c>
      <c r="DL37" s="30">
        <v>9.61</v>
      </c>
      <c r="DM37" s="30">
        <v>9.617999999999995</v>
      </c>
      <c r="DN37" s="30">
        <v>9.6209999999999951</v>
      </c>
      <c r="DO37" s="30">
        <v>7.2139999999999986</v>
      </c>
      <c r="DP37" s="30">
        <v>7.2109999999999985</v>
      </c>
      <c r="DQ37" s="30">
        <v>7.2120000000000175</v>
      </c>
      <c r="DR37" s="30">
        <v>7.2079999999999984</v>
      </c>
      <c r="DS37" s="30">
        <v>7.213000000000001</v>
      </c>
      <c r="DT37" s="30">
        <v>10.577000000000002</v>
      </c>
      <c r="DU37" s="30">
        <v>0</v>
      </c>
      <c r="DV37" s="30">
        <f>SUM(CZ37:DU37)</f>
        <v>174.17499999999998</v>
      </c>
    </row>
    <row r="38" spans="1:126">
      <c r="A38" s="6">
        <v>46055</v>
      </c>
      <c r="B38" s="15">
        <f>운전실적_원본!B38</f>
        <v>651.20000000000005</v>
      </c>
      <c r="C38" s="16">
        <f t="shared" si="3"/>
        <v>0</v>
      </c>
      <c r="D38" s="12">
        <f>운전실적_원본!C38</f>
        <v>249015</v>
      </c>
      <c r="E38" s="9">
        <f t="shared" si="3"/>
        <v>86</v>
      </c>
      <c r="F38" s="12">
        <f>운전실적_원본!D38</f>
        <v>240564</v>
      </c>
      <c r="G38" s="16">
        <f t="shared" ref="G38" si="288">F38-F37</f>
        <v>0</v>
      </c>
      <c r="H38" s="15">
        <f>운전실적_원본!E38</f>
        <v>17171.169999999998</v>
      </c>
      <c r="I38" s="16">
        <f t="shared" ref="I38" si="289">H38-H37</f>
        <v>4.8999999999978172</v>
      </c>
      <c r="J38" s="15">
        <f>운전실적_원본!F38</f>
        <v>14924.34</v>
      </c>
      <c r="K38" s="16">
        <f t="shared" ref="K38" si="290">J38-J37</f>
        <v>19.770000000000437</v>
      </c>
      <c r="L38" s="32">
        <f>운전실적_원본!G38</f>
        <v>7.2</v>
      </c>
      <c r="M38" s="31">
        <f t="shared" ref="M38" si="291">L38-L37</f>
        <v>1.1000000000000005</v>
      </c>
      <c r="N38" s="15">
        <f>운전실적_원본!H38</f>
        <v>37003</v>
      </c>
      <c r="O38" s="16">
        <f t="shared" ref="O38" si="292">N38-N37</f>
        <v>115</v>
      </c>
      <c r="P38" s="15">
        <f>운전실적_원본!I38</f>
        <v>20247</v>
      </c>
      <c r="Q38" s="16">
        <f t="shared" ref="Q38" si="293">P38-P37</f>
        <v>174</v>
      </c>
      <c r="R38" s="18">
        <f>운전실적_원본!J38</f>
        <v>33.299999999999997</v>
      </c>
      <c r="S38" s="19">
        <f t="shared" ref="S38" si="294">R38-R37</f>
        <v>0.36999999999999744</v>
      </c>
      <c r="T38" s="18">
        <f>운전실적_원본!K38</f>
        <v>32.659999999999997</v>
      </c>
      <c r="U38" s="19">
        <f t="shared" ref="U38" si="295">T38-T37</f>
        <v>0.27999999999999403</v>
      </c>
      <c r="V38" s="12">
        <f>운전실적_원본!L38</f>
        <v>8160</v>
      </c>
      <c r="W38" s="16">
        <f t="shared" ref="W38" si="296">V38-V37</f>
        <v>-204</v>
      </c>
      <c r="X38" s="10">
        <f>운전실적_원본!M38</f>
        <v>198776.49000000209</v>
      </c>
      <c r="Y38" s="10">
        <f>운전실적_원본!N38</f>
        <v>0</v>
      </c>
      <c r="Z38" s="10">
        <f>운전실적_원본!O38</f>
        <v>0</v>
      </c>
      <c r="AA38" s="10">
        <f>운전실적_원본!P38</f>
        <v>0</v>
      </c>
      <c r="AB38" s="10">
        <f>운전실적_원본!Q38</f>
        <v>0</v>
      </c>
      <c r="AC38" s="20">
        <f>운전실적_원본!R38</f>
        <v>0</v>
      </c>
      <c r="AD38" s="109">
        <f>운전실적_원본!S38</f>
        <v>24</v>
      </c>
      <c r="AE38" s="110">
        <f>운전실적_원본!T38</f>
        <v>0</v>
      </c>
      <c r="AF38" s="110">
        <f>운전실적_원본!U38</f>
        <v>0</v>
      </c>
      <c r="AG38" s="110">
        <f>운전실적_원본!V38</f>
        <v>0</v>
      </c>
      <c r="AH38" s="109">
        <f t="shared" si="1"/>
        <v>24</v>
      </c>
      <c r="AI38" s="110">
        <f t="shared" si="125"/>
        <v>0</v>
      </c>
      <c r="AJ38" s="110">
        <f>운전실적_원본!Y38</f>
        <v>0</v>
      </c>
      <c r="AK38" s="110">
        <f>운전실적_원본!Z38</f>
        <v>0</v>
      </c>
      <c r="AL38" s="106">
        <v>46055</v>
      </c>
      <c r="AM38" s="105">
        <f t="shared" si="171"/>
        <v>46056</v>
      </c>
      <c r="AN38" s="105"/>
      <c r="AO38" s="105"/>
      <c r="AP38" s="105"/>
      <c r="AQ38" s="108"/>
      <c r="AR38" s="105"/>
      <c r="AS38" s="105"/>
      <c r="AT38" s="102"/>
      <c r="AU38" s="102"/>
      <c r="AV38" s="102"/>
      <c r="AW38" s="102"/>
      <c r="AX38" s="32">
        <f>운전실적_원본!W38</f>
        <v>1243</v>
      </c>
      <c r="AY38" s="11">
        <f>운전실적_원본!X38</f>
        <v>0</v>
      </c>
      <c r="AZ38" s="11">
        <f>운전실적_원본!Y38</f>
        <v>0</v>
      </c>
      <c r="BA38" s="11">
        <f>운전실적_원본!Z38</f>
        <v>0</v>
      </c>
      <c r="BB38" s="11">
        <f>운전실적_원본!AA38</f>
        <v>0</v>
      </c>
      <c r="BC38" s="11">
        <f>운전실적_원본!AB38</f>
        <v>1243</v>
      </c>
      <c r="BD38" s="32">
        <f t="shared" si="15"/>
        <v>51.791666666666664</v>
      </c>
      <c r="BE38" s="11">
        <f t="shared" si="2"/>
        <v>1.0078160472206006</v>
      </c>
      <c r="BF38" s="11">
        <f>운전실적_원본!AE38</f>
        <v>0</v>
      </c>
      <c r="BG38" s="31">
        <f t="shared" si="0"/>
        <v>0</v>
      </c>
      <c r="BH38" s="241">
        <f>INDEX(연료전지_원본!$A$4:$KY$369,MATCH($A38,연료전지_원본!$A$4:$A$369,0),MATCH($BH$4,연료전지_원본!$A$4:$KY$4,0))</f>
        <v>24</v>
      </c>
      <c r="BI38" s="241">
        <f>INDEX(연료전지_원본!$A$4:$KY$369,MATCH($A38,연료전지_원본!$A$4:$A$369,0),MATCH($BI$4,연료전지_원본!$A$4:$KY$4,0))</f>
        <v>24</v>
      </c>
      <c r="BJ38" s="241">
        <f>INDEX(연료전지_원본!$A$4:$KY$369,MATCH($A38,연료전지_원본!$A$4:$A$369,0),MATCH($BJ$4,연료전지_원본!$A$4:$KY$4,0))</f>
        <v>24</v>
      </c>
      <c r="BK38" s="241">
        <f>INDEX(연료전지_원본!$A$4:$KY$369,MATCH($A38,연료전지_원본!$A$4:$A$369,0),MATCH($BK$4,연료전지_원본!$A$4:$KY$4,0))</f>
        <v>24</v>
      </c>
      <c r="BL38" s="241">
        <f>INDEX(연료전지_원본!$A$4:$KY$369,MATCH($A38,연료전지_원본!$A$4:$A$369,0),MATCH($BL$4,연료전지_원본!$A$4:$KY$4,0))</f>
        <v>24</v>
      </c>
      <c r="BM38" s="241">
        <f>INDEX(연료전지_원본!$A$4:$KY$369,MATCH($A38,연료전지_원본!$A$4:$A$369,0),MATCH($BM$4,연료전지_원본!$A$4:$KY$4,0))</f>
        <v>24</v>
      </c>
      <c r="BN38" s="241">
        <f>INDEX(연료전지_원본!$A$4:$KY$369,MATCH($A38,연료전지_원본!$A$4:$A$369,0),MATCH($BN$4,연료전지_원본!$A$4:$KY$4,0))</f>
        <v>24</v>
      </c>
      <c r="BO38" s="241">
        <f>INDEX(연료전지_원본!$A$4:$KY$369,MATCH($A38,연료전지_원본!$A$4:$A$369,0),MATCH($BO$4,연료전지_원본!$A$4:$KY$4,0))</f>
        <v>24</v>
      </c>
      <c r="BP38" s="241">
        <f>INDEX(연료전지_원본!$A$4:$KY$369,MATCH($A38,연료전지_원본!$A$4:$A$369,0),MATCH($BP$4,연료전지_원본!$A$4:$KY$4,0))</f>
        <v>0</v>
      </c>
      <c r="BQ38" s="241">
        <f>INDEX(연료전지_원본!$A$4:$KY$369,MATCH($A38,연료전지_원본!$A$4:$A$369,0),MATCH($BQ$4,연료전지_원본!$A$4:$KY$4,0))</f>
        <v>24</v>
      </c>
      <c r="BR38" s="241">
        <f>INDEX(연료전지_원본!$A$4:$KY$369,MATCH($A38,연료전지_원본!$A$4:$A$369,0),MATCH($BR$4,연료전지_원본!$A$4:$KY$4,0))</f>
        <v>4.8333333333333321</v>
      </c>
      <c r="BS38" s="241">
        <f>INDEX(연료전지_원본!$A$4:$KY$369,MATCH($A38,연료전지_원본!$A$4:$A$369,0),MATCH($BS$4,연료전지_원본!$A$4:$KY$4,0))</f>
        <v>24</v>
      </c>
      <c r="BT38" s="241">
        <f>INDEX(연료전지_원본!$A$4:$KY$369,MATCH($A38,연료전지_원본!$A$4:$A$369,0),MATCH($BT$4,연료전지_원본!$A$4:$KY$4,0))</f>
        <v>24</v>
      </c>
      <c r="BU38" s="241">
        <f>INDEX(연료전지_원본!$A$4:$KY$369,MATCH($A38,연료전지_원본!$A$4:$A$369,0),MATCH($BU$4,연료전지_원본!$A$4:$KY$4,0))</f>
        <v>24</v>
      </c>
      <c r="BV38" s="241">
        <f>INDEX(연료전지_원본!$A$4:$KY$369,MATCH($A38,연료전지_원본!$A$4:$A$369,0),MATCH($BV$4,연료전지_원본!$A$4:$KY$4,0))</f>
        <v>24</v>
      </c>
      <c r="BW38" s="241">
        <f>INDEX(연료전지_원본!$A$4:$KY$369,MATCH($A38,연료전지_원본!$A$4:$A$369,0),MATCH($BW$4,연료전지_원본!$A$4:$KY$4,0))</f>
        <v>24</v>
      </c>
      <c r="BX38" s="241">
        <f>INDEX(연료전지_원본!$A$4:$KY$369,MATCH($A38,연료전지_원본!$A$4:$A$369,0),MATCH($BX$4,연료전지_원본!$A$4:$KY$4,0))</f>
        <v>24</v>
      </c>
      <c r="BY38" s="241">
        <f>INDEX(연료전지_원본!$A$4:$KY$369,MATCH($A38,연료전지_원본!$A$4:$A$369,0),MATCH($BY$4,연료전지_원본!$A$4:$KY$4,0))</f>
        <v>24</v>
      </c>
      <c r="BZ38" s="241">
        <f>INDEX(연료전지_원본!$A$4:$KY$369,MATCH($A38,연료전지_원본!$A$4:$A$369,0),MATCH($BZ$4,연료전지_원본!$A$4:$KY$4,0))</f>
        <v>24</v>
      </c>
      <c r="CA38" s="241">
        <f>INDEX(연료전지_원본!$A$4:$KY$369,MATCH($A38,연료전지_원본!$A$4:$A$369,0),MATCH($CA$4,연료전지_원본!$A$4:$KY$4,0))</f>
        <v>24</v>
      </c>
      <c r="CB38" s="241">
        <f>INDEX(연료전지_원본!$A$4:$KY$369,MATCH($A38,연료전지_원본!$A$4:$A$369,0),MATCH($CB$4,연료전지_원본!$A$4:$KY$4,0))</f>
        <v>24</v>
      </c>
      <c r="CC38" s="242">
        <f>INDEX(연료전지_원본!$A$4:$KY$369,MATCH($A38,연료전지_원본!$A$4:$A$369,0),MATCH($CC$4,연료전지_원본!$A$4:$KY$4,0))</f>
        <v>7.8333333333333321</v>
      </c>
      <c r="CD38" s="254">
        <f>INDEX(연료전지_원본!$KB$4:$KX$369,MATCH($A38,연료전지_원본!$KB$4:$KB$369,0), MATCH(CD$4,연료전지_원본!$KB$4:$KX$4,0))*1000</f>
        <v>2025.9999999999998</v>
      </c>
      <c r="CE38" s="250">
        <f>INDEX(연료전지_원본!$KB$4:$KX$369,MATCH($A38,연료전지_원본!$KB$4:$KB$369,0), MATCH(CE$4,연료전지_원본!$KB$4:$KX$4,0))*1000</f>
        <v>2025</v>
      </c>
      <c r="CF38" s="250">
        <f>INDEX(연료전지_원본!$KB$4:$KX$369,MATCH($A38,연료전지_원본!$KB$4:$KB$369,0), MATCH(CF$4,연료전지_원본!$KB$4:$KX$4,0))*1000</f>
        <v>2025.9999999999998</v>
      </c>
      <c r="CG38" s="250">
        <f>INDEX(연료전지_원본!$KB$4:$KX$369,MATCH($A38,연료전지_원본!$KB$4:$KB$369,0), MATCH(CG$4,연료전지_원본!$KB$4:$KX$4,0))*1000</f>
        <v>2025.9999999999998</v>
      </c>
      <c r="CH38" s="250">
        <f>INDEX(연료전지_원본!$KB$4:$KX$369,MATCH($A38,연료전지_원본!$KB$4:$KB$369,0), MATCH(CH$4,연료전지_원본!$KB$4:$KX$4,0))*1000</f>
        <v>2025.9999999999998</v>
      </c>
      <c r="CI38" s="250">
        <f>INDEX(연료전지_원본!$KB$4:$KX$369,MATCH($A38,연료전지_원본!$KB$4:$KB$369,0), MATCH(CI$4,연료전지_원본!$KB$4:$KX$4,0))*1000</f>
        <v>2027.0000000000002</v>
      </c>
      <c r="CJ38" s="250">
        <f>INDEX(연료전지_원본!$KB$4:$KX$369,MATCH($A38,연료전지_원본!$KB$4:$KB$369,0), MATCH(CJ$4,연료전지_원본!$KB$4:$KX$4,0))*1000</f>
        <v>2025.9999999999998</v>
      </c>
      <c r="CK38" s="250">
        <f>INDEX(연료전지_원본!$KB$4:$KX$369,MATCH($A38,연료전지_원본!$KB$4:$KB$369,0), MATCH(CK$4,연료전지_원본!$KB$4:$KX$4,0))*1000</f>
        <v>2025.9999999999998</v>
      </c>
      <c r="CL38" s="250">
        <f>INDEX(연료전지_원본!$KB$4:$KX$369,MATCH($A38,연료전지_원본!$KB$4:$KB$369,0), MATCH(CL$4,연료전지_원본!$KB$4:$KX$4,0))*1000</f>
        <v>0</v>
      </c>
      <c r="CM38" s="250">
        <f>INDEX(연료전지_원본!$KB$4:$KX$369,MATCH($A38,연료전지_원본!$KB$4:$KB$369,0), MATCH(CM$4,연료전지_원본!$KB$4:$KX$4,0))*1000</f>
        <v>1140</v>
      </c>
      <c r="CN38" s="250">
        <f>INDEX(연료전지_원본!$KB$4:$KX$369,MATCH($A38,연료전지_원본!$KB$4:$KB$369,0), MATCH(CN$4,연료전지_원본!$KB$4:$KX$4,0))*1000</f>
        <v>363</v>
      </c>
      <c r="CO38" s="250">
        <f>INDEX(연료전지_원본!$KB$4:$KX$369,MATCH($A38,연료전지_원본!$KB$4:$KB$369,0), MATCH(CO$4,연료전지_원본!$KB$4:$KX$4,0))*1000</f>
        <v>2029.9999999999998</v>
      </c>
      <c r="CP38" s="250">
        <f>INDEX(연료전지_원본!$KB$4:$KX$369,MATCH($A38,연료전지_원본!$KB$4:$KB$369,0), MATCH(CP$4,연료전지_원본!$KB$4:$KX$4,0))*1000</f>
        <v>2025</v>
      </c>
      <c r="CQ38" s="250">
        <f>INDEX(연료전지_원본!$KB$4:$KX$369,MATCH($A38,연료전지_원본!$KB$4:$KB$369,0), MATCH(CQ$4,연료전지_원본!$KB$4:$KX$4,0))*1000</f>
        <v>2024</v>
      </c>
      <c r="CR38" s="250">
        <f>INDEX(연료전지_원본!$KB$4:$KX$369,MATCH($A38,연료전지_원본!$KB$4:$KB$369,0), MATCH(CR$4,연료전지_원본!$KB$4:$KX$4,0))*1000</f>
        <v>1998</v>
      </c>
      <c r="CS38" s="250">
        <f>INDEX(연료전지_원본!$KB$4:$KX$369,MATCH($A38,연료전지_원본!$KB$4:$KB$369,0), MATCH(CS$4,연료전지_원본!$KB$4:$KX$4,0))*1000</f>
        <v>1520</v>
      </c>
      <c r="CT38" s="250">
        <f>INDEX(연료전지_원본!$KB$4:$KX$369,MATCH($A38,연료전지_원본!$KB$4:$KB$369,0), MATCH(CT$4,연료전지_원본!$KB$4:$KX$4,0))*1000</f>
        <v>1520</v>
      </c>
      <c r="CU38" s="250">
        <f>INDEX(연료전지_원본!$KB$4:$KX$369,MATCH($A38,연료전지_원본!$KB$4:$KB$369,0), MATCH(CU$4,연료전지_원본!$KB$4:$KX$4,0))*1000</f>
        <v>1520</v>
      </c>
      <c r="CV38" s="250">
        <f>INDEX(연료전지_원본!$KB$4:$KX$369,MATCH($A38,연료전지_원본!$KB$4:$KB$369,0), MATCH(CV$4,연료전지_원본!$KB$4:$KX$4,0))*1000</f>
        <v>1519</v>
      </c>
      <c r="CW38" s="250">
        <f>INDEX(연료전지_원본!$KB$4:$KX$369,MATCH($A38,연료전지_원본!$KB$4:$KB$369,0), MATCH(CW$4,연료전지_원본!$KB$4:$KX$4,0))*1000</f>
        <v>1520</v>
      </c>
      <c r="CX38" s="250">
        <f>INDEX(연료전지_원본!$KB$4:$KX$369,MATCH($A38,연료전지_원본!$KB$4:$KB$369,0), MATCH(CX$4,연료전지_원본!$KB$4:$KX$4,0))*1000</f>
        <v>2229</v>
      </c>
      <c r="CY38" s="255">
        <f>INDEX(연료전지_원본!$KB$4:$KX$369,MATCH($A38,연료전지_원본!$KB$4:$KB$369,0), MATCH(CY$4,연료전지_원본!$KB$4:$KX$4,0))*1000</f>
        <v>366</v>
      </c>
      <c r="CZ38" s="185">
        <v>9.6140000000000043</v>
      </c>
      <c r="DA38" s="30">
        <v>9.6080000000000041</v>
      </c>
      <c r="DB38" s="30">
        <v>9.6119999999999948</v>
      </c>
      <c r="DC38" s="30">
        <v>9.6140000000000043</v>
      </c>
      <c r="DD38" s="30">
        <v>9.6150000000000091</v>
      </c>
      <c r="DE38" s="30">
        <v>9.6209999999999809</v>
      </c>
      <c r="DF38" s="30">
        <v>9.6159999999999854</v>
      </c>
      <c r="DG38" s="30">
        <v>9.6160000000000139</v>
      </c>
      <c r="DH38" s="30">
        <v>0</v>
      </c>
      <c r="DI38" s="30">
        <v>5.4110000000000014</v>
      </c>
      <c r="DJ38" s="30">
        <v>1.722999999999999</v>
      </c>
      <c r="DK38" s="30">
        <v>9.6319999999999908</v>
      </c>
      <c r="DL38" s="30">
        <v>9.61</v>
      </c>
      <c r="DM38" s="30">
        <v>9.6049999999999898</v>
      </c>
      <c r="DN38" s="30">
        <v>9.4830000000000041</v>
      </c>
      <c r="DO38" s="30">
        <v>7.2139999999999986</v>
      </c>
      <c r="DP38" s="30">
        <v>7.2109999999999985</v>
      </c>
      <c r="DQ38" s="30">
        <v>7.2109999999999843</v>
      </c>
      <c r="DR38" s="30">
        <v>7.2079999999999984</v>
      </c>
      <c r="DS38" s="30">
        <v>7.2130000000000081</v>
      </c>
      <c r="DT38" s="30">
        <v>10.576999999999998</v>
      </c>
      <c r="DU38" s="30">
        <v>1.7360000000000007</v>
      </c>
      <c r="DV38" s="30">
        <f t="shared" ref="DV38:DV101" si="297">SUM(CZ38:DU38)</f>
        <v>170.75</v>
      </c>
    </row>
    <row r="39" spans="1:126">
      <c r="A39" s="6">
        <v>46056</v>
      </c>
      <c r="B39" s="15">
        <f>운전실적_원본!B39</f>
        <v>651.20000000000005</v>
      </c>
      <c r="C39" s="16">
        <f>IF(OR(LEN(B39)=0,B39=0),"",B39-B38)</f>
        <v>0</v>
      </c>
      <c r="D39" s="12">
        <f>운전실적_원본!C39</f>
        <v>249038</v>
      </c>
      <c r="E39" s="12">
        <f>IF(OR(LEN(D39)=0,D39=0),"",D39-D38)</f>
        <v>23</v>
      </c>
      <c r="F39" s="12">
        <f>운전실적_원본!D39</f>
        <v>240624</v>
      </c>
      <c r="G39" s="16">
        <f>IF(OR(LEN(F39)=0,F39=0),"",F39-F38)</f>
        <v>60</v>
      </c>
      <c r="H39" s="15">
        <f>운전실적_원본!E39</f>
        <v>17175.400000000001</v>
      </c>
      <c r="I39" s="16">
        <f>IF(OR(LEN(H39)=0,H39=0),"",H39-H38)</f>
        <v>4.2300000000032014</v>
      </c>
      <c r="J39" s="15">
        <f>운전실적_원본!F39</f>
        <v>14942.59</v>
      </c>
      <c r="K39" s="16">
        <f>IF(OR(LEN(J39)=0,J39=0),"",J39-J38)</f>
        <v>18.25</v>
      </c>
      <c r="L39" s="32">
        <f>운전실적_원본!G39</f>
        <v>8.1999999999999993</v>
      </c>
      <c r="M39" s="31">
        <f>IF(OR(LEN(L39)=0,L39=0),"",L39-L38)</f>
        <v>0.99999999999999911</v>
      </c>
      <c r="N39" s="15">
        <f>운전실적_원본!H39</f>
        <v>37122</v>
      </c>
      <c r="O39" s="16">
        <f>IF(OR(LEN(N39)=0,N39=0),"",N39-N38)</f>
        <v>119</v>
      </c>
      <c r="P39" s="15">
        <f>운전실적_원본!I39</f>
        <v>20401</v>
      </c>
      <c r="Q39" s="16">
        <f>IF(OR(LEN(P39)=0,P39=0),"",P39-P38)</f>
        <v>154</v>
      </c>
      <c r="R39" s="18">
        <f>운전실적_원본!J39</f>
        <v>33.72</v>
      </c>
      <c r="S39" s="19">
        <f>IF(OR(LEN(R39)=0,R39=0),"",R39-R38)</f>
        <v>0.42000000000000171</v>
      </c>
      <c r="T39" s="18">
        <f>운전실적_원본!K39</f>
        <v>33.299999999999997</v>
      </c>
      <c r="U39" s="19">
        <f>IF(OR(LEN(T39)=0,T39=0),"",T39-T38)</f>
        <v>0.64000000000000057</v>
      </c>
      <c r="V39" s="12">
        <f>운전실적_원본!L39</f>
        <v>8687</v>
      </c>
      <c r="W39" s="16">
        <f>IF(OR(LEN(V39)=0,V39=0),"",V39-V38)</f>
        <v>527</v>
      </c>
      <c r="X39" s="10">
        <f>운전실적_원본!M39</f>
        <v>196295.22999999672</v>
      </c>
      <c r="Y39" s="10">
        <f>운전실적_원본!N39</f>
        <v>0</v>
      </c>
      <c r="Z39" s="10">
        <f>운전실적_원본!O39</f>
        <v>0</v>
      </c>
      <c r="AA39" s="10">
        <f>운전실적_원본!P39</f>
        <v>0</v>
      </c>
      <c r="AB39" s="10">
        <f>운전실적_원본!Q39</f>
        <v>0</v>
      </c>
      <c r="AC39" s="20">
        <f>운전실적_원본!R39</f>
        <v>0</v>
      </c>
      <c r="AD39" s="109">
        <f>운전실적_원본!S39</f>
        <v>24</v>
      </c>
      <c r="AE39" s="110">
        <f>운전실적_원본!T39</f>
        <v>0</v>
      </c>
      <c r="AF39" s="110">
        <f>운전실적_원본!U39</f>
        <v>0</v>
      </c>
      <c r="AG39" s="110">
        <f>운전실적_원본!V39</f>
        <v>0</v>
      </c>
      <c r="AH39" s="109">
        <f t="shared" si="1"/>
        <v>24</v>
      </c>
      <c r="AI39" s="110">
        <f t="shared" si="125"/>
        <v>0</v>
      </c>
      <c r="AJ39" s="110">
        <f>운전실적_원본!Y39</f>
        <v>0</v>
      </c>
      <c r="AK39" s="110">
        <f>운전실적_원본!Z39</f>
        <v>0</v>
      </c>
      <c r="AL39" s="106">
        <v>46056</v>
      </c>
      <c r="AM39" s="105">
        <f t="shared" si="171"/>
        <v>46057</v>
      </c>
      <c r="AN39" s="105"/>
      <c r="AO39" s="105"/>
      <c r="AP39" s="105"/>
      <c r="AQ39" s="108"/>
      <c r="AR39" s="105"/>
      <c r="AS39" s="105"/>
      <c r="AT39" s="102"/>
      <c r="AU39" s="102"/>
      <c r="AV39" s="102"/>
      <c r="AW39" s="102"/>
      <c r="AX39" s="32">
        <f>운전실적_원본!W39</f>
        <v>1249</v>
      </c>
      <c r="AY39" s="11">
        <f>운전실적_원본!X39</f>
        <v>0</v>
      </c>
      <c r="AZ39" s="11">
        <f>운전실적_원본!Y39</f>
        <v>0</v>
      </c>
      <c r="BA39" s="11">
        <f>운전실적_원본!Z39</f>
        <v>0</v>
      </c>
      <c r="BB39" s="11">
        <f>운전실적_원본!AA39</f>
        <v>0</v>
      </c>
      <c r="BC39" s="11">
        <f>운전실적_원본!AB39</f>
        <v>1249</v>
      </c>
      <c r="BD39" s="32">
        <f t="shared" si="15"/>
        <v>52.041666666666664</v>
      </c>
      <c r="BE39" s="11">
        <f t="shared" si="2"/>
        <v>1.0126808069014723</v>
      </c>
      <c r="BF39" s="11">
        <f>운전실적_원본!AE39</f>
        <v>0</v>
      </c>
      <c r="BG39" s="31">
        <f t="shared" si="0"/>
        <v>0</v>
      </c>
      <c r="BH39" s="241">
        <f>INDEX(연료전지_원본!$A$4:$KY$369,MATCH($A39,연료전지_원본!$A$4:$A$369,0),MATCH($BH$4,연료전지_원본!$A$4:$KY$4,0))</f>
        <v>24</v>
      </c>
      <c r="BI39" s="241">
        <f>INDEX(연료전지_원본!$A$4:$KY$369,MATCH($A39,연료전지_원본!$A$4:$A$369,0),MATCH($BI$4,연료전지_원본!$A$4:$KY$4,0))</f>
        <v>24</v>
      </c>
      <c r="BJ39" s="241">
        <f>INDEX(연료전지_원본!$A$4:$KY$369,MATCH($A39,연료전지_원본!$A$4:$A$369,0),MATCH($BJ$4,연료전지_원본!$A$4:$KY$4,0))</f>
        <v>24</v>
      </c>
      <c r="BK39" s="241">
        <f>INDEX(연료전지_원본!$A$4:$KY$369,MATCH($A39,연료전지_원본!$A$4:$A$369,0),MATCH($BK$4,연료전지_원본!$A$4:$KY$4,0))</f>
        <v>24</v>
      </c>
      <c r="BL39" s="241">
        <f>INDEX(연료전지_원본!$A$4:$KY$369,MATCH($A39,연료전지_원본!$A$4:$A$369,0),MATCH($BL$4,연료전지_원본!$A$4:$KY$4,0))</f>
        <v>24</v>
      </c>
      <c r="BM39" s="241">
        <f>INDEX(연료전지_원본!$A$4:$KY$369,MATCH($A39,연료전지_원본!$A$4:$A$369,0),MATCH($BM$4,연료전지_원본!$A$4:$KY$4,0))</f>
        <v>24</v>
      </c>
      <c r="BN39" s="241">
        <f>INDEX(연료전지_원본!$A$4:$KY$369,MATCH($A39,연료전지_원본!$A$4:$A$369,0),MATCH($BN$4,연료전지_원본!$A$4:$KY$4,0))</f>
        <v>24</v>
      </c>
      <c r="BO39" s="241">
        <f>INDEX(연료전지_원본!$A$4:$KY$369,MATCH($A39,연료전지_원본!$A$4:$A$369,0),MATCH($BO$4,연료전지_원본!$A$4:$KY$4,0))</f>
        <v>24</v>
      </c>
      <c r="BP39" s="241">
        <f>INDEX(연료전지_원본!$A$4:$KY$369,MATCH($A39,연료전지_원본!$A$4:$A$369,0),MATCH($BP$4,연료전지_원본!$A$4:$KY$4,0))</f>
        <v>5.333333333333333</v>
      </c>
      <c r="BQ39" s="241">
        <f>INDEX(연료전지_원본!$A$4:$KY$369,MATCH($A39,연료전지_원본!$A$4:$A$369,0),MATCH($BQ$4,연료전지_원본!$A$4:$KY$4,0))</f>
        <v>24</v>
      </c>
      <c r="BR39" s="241">
        <f>INDEX(연료전지_원본!$A$4:$KY$369,MATCH($A39,연료전지_원본!$A$4:$A$369,0),MATCH($BR$4,연료전지_원본!$A$4:$KY$4,0))</f>
        <v>24</v>
      </c>
      <c r="BS39" s="241">
        <f>INDEX(연료전지_원본!$A$4:$KY$369,MATCH($A39,연료전지_원본!$A$4:$A$369,0),MATCH($BS$4,연료전지_원본!$A$4:$KY$4,0))</f>
        <v>24</v>
      </c>
      <c r="BT39" s="241">
        <f>INDEX(연료전지_원본!$A$4:$KY$369,MATCH($A39,연료전지_원본!$A$4:$A$369,0),MATCH($BT$4,연료전지_원본!$A$4:$KY$4,0))</f>
        <v>24</v>
      </c>
      <c r="BU39" s="241">
        <f>INDEX(연료전지_원본!$A$4:$KY$369,MATCH($A39,연료전지_원본!$A$4:$A$369,0),MATCH($BU$4,연료전지_원본!$A$4:$KY$4,0))</f>
        <v>24</v>
      </c>
      <c r="BV39" s="241">
        <f>INDEX(연료전지_원본!$A$4:$KY$369,MATCH($A39,연료전지_원본!$A$4:$A$369,0),MATCH($BV$4,연료전지_원본!$A$4:$KY$4,0))</f>
        <v>24</v>
      </c>
      <c r="BW39" s="241">
        <f>INDEX(연료전지_원본!$A$4:$KY$369,MATCH($A39,연료전지_원본!$A$4:$A$369,0),MATCH($BW$4,연료전지_원본!$A$4:$KY$4,0))</f>
        <v>24</v>
      </c>
      <c r="BX39" s="241">
        <f>INDEX(연료전지_원본!$A$4:$KY$369,MATCH($A39,연료전지_원본!$A$4:$A$369,0),MATCH($BX$4,연료전지_원본!$A$4:$KY$4,0))</f>
        <v>24</v>
      </c>
      <c r="BY39" s="241">
        <f>INDEX(연료전지_원본!$A$4:$KY$369,MATCH($A39,연료전지_원본!$A$4:$A$369,0),MATCH($BY$4,연료전지_원본!$A$4:$KY$4,0))</f>
        <v>24</v>
      </c>
      <c r="BZ39" s="241">
        <f>INDEX(연료전지_원본!$A$4:$KY$369,MATCH($A39,연료전지_원본!$A$4:$A$369,0),MATCH($BZ$4,연료전지_원본!$A$4:$KY$4,0))</f>
        <v>24</v>
      </c>
      <c r="CA39" s="241">
        <f>INDEX(연료전지_원본!$A$4:$KY$369,MATCH($A39,연료전지_원본!$A$4:$A$369,0),MATCH($CA$4,연료전지_원본!$A$4:$KY$4,0))</f>
        <v>24</v>
      </c>
      <c r="CB39" s="241">
        <f>INDEX(연료전지_원본!$A$4:$KY$369,MATCH($A39,연료전지_원본!$A$4:$A$369,0),MATCH($CB$4,연료전지_원본!$A$4:$KY$4,0))</f>
        <v>24</v>
      </c>
      <c r="CC39" s="242">
        <f>INDEX(연료전지_원본!$A$4:$KY$369,MATCH($A39,연료전지_원본!$A$4:$A$369,0),MATCH($CC$4,연료전지_원본!$A$4:$KY$4,0))</f>
        <v>24</v>
      </c>
      <c r="CD39" s="254">
        <f>INDEX(연료전지_원본!$KB$4:$KX$369,MATCH($A39,연료전지_원본!$KB$4:$KB$369,0), MATCH(CD$4,연료전지_원본!$KB$4:$KX$4,0))*1000</f>
        <v>2143</v>
      </c>
      <c r="CE39" s="250">
        <f>INDEX(연료전지_원본!$KB$4:$KX$369,MATCH($A39,연료전지_원본!$KB$4:$KB$369,0), MATCH(CE$4,연료전지_원본!$KB$4:$KX$4,0))*1000</f>
        <v>2047.0000000000002</v>
      </c>
      <c r="CF39" s="250">
        <f>INDEX(연료전지_원본!$KB$4:$KX$369,MATCH($A39,연료전지_원본!$KB$4:$KB$369,0), MATCH(CF$4,연료전지_원본!$KB$4:$KX$4,0))*1000</f>
        <v>2048</v>
      </c>
      <c r="CG39" s="250">
        <f>INDEX(연료전지_원본!$KB$4:$KX$369,MATCH($A39,연료전지_원본!$KB$4:$KB$369,0), MATCH(CG$4,연료전지_원본!$KB$4:$KX$4,0))*1000</f>
        <v>2048</v>
      </c>
      <c r="CH39" s="250">
        <f>INDEX(연료전지_원본!$KB$4:$KX$369,MATCH($A39,연료전지_원본!$KB$4:$KB$369,0), MATCH(CH$4,연료전지_원본!$KB$4:$KX$4,0))*1000</f>
        <v>2049</v>
      </c>
      <c r="CI39" s="250">
        <f>INDEX(연료전지_원본!$KB$4:$KX$369,MATCH($A39,연료전지_원본!$KB$4:$KB$369,0), MATCH(CI$4,연료전지_원본!$KB$4:$KX$4,0))*1000</f>
        <v>2045.9999999999998</v>
      </c>
      <c r="CJ39" s="250">
        <f>INDEX(연료전지_원본!$KB$4:$KX$369,MATCH($A39,연료전지_원본!$KB$4:$KB$369,0), MATCH(CJ$4,연료전지_원본!$KB$4:$KX$4,0))*1000</f>
        <v>2047.0000000000002</v>
      </c>
      <c r="CK39" s="250">
        <f>INDEX(연료전지_원본!$KB$4:$KX$369,MATCH($A39,연료전지_원본!$KB$4:$KB$369,0), MATCH(CK$4,연료전지_원본!$KB$4:$KX$4,0))*1000</f>
        <v>2045</v>
      </c>
      <c r="CL39" s="250">
        <f>INDEX(연료전지_원본!$KB$4:$KX$369,MATCH($A39,연료전지_원본!$KB$4:$KB$369,0), MATCH(CL$4,연료전지_원본!$KB$4:$KX$4,0))*1000</f>
        <v>432</v>
      </c>
      <c r="CM39" s="250">
        <f>INDEX(연료전지_원본!$KB$4:$KX$369,MATCH($A39,연료전지_원본!$KB$4:$KB$369,0), MATCH(CM$4,연료전지_원본!$KB$4:$KX$4,0))*1000</f>
        <v>1589</v>
      </c>
      <c r="CN39" s="250">
        <f>INDEX(연료전지_원본!$KB$4:$KX$369,MATCH($A39,연료전지_원본!$KB$4:$KB$369,0), MATCH(CN$4,연료전지_원본!$KB$4:$KX$4,0))*1000</f>
        <v>2065</v>
      </c>
      <c r="CO39" s="250">
        <f>INDEX(연료전지_원본!$KB$4:$KX$369,MATCH($A39,연료전지_원본!$KB$4:$KB$369,0), MATCH(CO$4,연료전지_원본!$KB$4:$KX$4,0))*1000</f>
        <v>2145</v>
      </c>
      <c r="CP39" s="250">
        <f>INDEX(연료전지_원본!$KB$4:$KX$369,MATCH($A39,연료전지_원본!$KB$4:$KB$369,0), MATCH(CP$4,연료전지_원본!$KB$4:$KX$4,0))*1000</f>
        <v>2137</v>
      </c>
      <c r="CQ39" s="250">
        <f>INDEX(연료전지_원본!$KB$4:$KX$369,MATCH($A39,연료전지_원본!$KB$4:$KB$369,0), MATCH(CQ$4,연료전지_원본!$KB$4:$KX$4,0))*1000</f>
        <v>2047.0000000000002</v>
      </c>
      <c r="CR39" s="250">
        <f>INDEX(연료전지_원본!$KB$4:$KX$369,MATCH($A39,연료전지_원본!$KB$4:$KB$369,0), MATCH(CR$4,연료전지_원본!$KB$4:$KX$4,0))*1000</f>
        <v>1922</v>
      </c>
      <c r="CS39" s="250">
        <f>INDEX(연료전지_원본!$KB$4:$KX$369,MATCH($A39,연료전지_원본!$KB$4:$KB$369,0), MATCH(CS$4,연료전지_원본!$KB$4:$KX$4,0))*1000</f>
        <v>2033</v>
      </c>
      <c r="CT39" s="250">
        <f>INDEX(연료전지_원본!$KB$4:$KX$369,MATCH($A39,연료전지_원본!$KB$4:$KB$369,0), MATCH(CT$4,연료전지_원본!$KB$4:$KX$4,0))*1000</f>
        <v>2031.0000000000002</v>
      </c>
      <c r="CU39" s="250">
        <f>INDEX(연료전지_원본!$KB$4:$KX$369,MATCH($A39,연료전지_원본!$KB$4:$KB$369,0), MATCH(CU$4,연료전지_원본!$KB$4:$KX$4,0))*1000</f>
        <v>1701</v>
      </c>
      <c r="CV39" s="250">
        <f>INDEX(연료전지_원본!$KB$4:$KX$369,MATCH($A39,연료전지_원본!$KB$4:$KB$369,0), MATCH(CV$4,연료전지_원본!$KB$4:$KX$4,0))*1000</f>
        <v>1700</v>
      </c>
      <c r="CW39" s="250">
        <f>INDEX(연료전지_원본!$KB$4:$KX$369,MATCH($A39,연료전지_원본!$KB$4:$KB$369,0), MATCH(CW$4,연료전지_원본!$KB$4:$KX$4,0))*1000</f>
        <v>2032</v>
      </c>
      <c r="CX39" s="250">
        <f>INDEX(연료전지_원본!$KB$4:$KX$369,MATCH($A39,연료전지_원본!$KB$4:$KB$369,0), MATCH(CX$4,연료전지_원본!$KB$4:$KX$4,0))*1000</f>
        <v>2181</v>
      </c>
      <c r="CY39" s="255">
        <f>INDEX(연료전지_원본!$KB$4:$KX$369,MATCH($A39,연료전지_원본!$KB$4:$KB$369,0), MATCH(CY$4,연료전지_원본!$KB$4:$KX$4,0))*1000</f>
        <v>1953</v>
      </c>
      <c r="CZ39" s="185">
        <v>10.063999999999993</v>
      </c>
      <c r="DA39" s="30">
        <v>9.6160000000000139</v>
      </c>
      <c r="DB39" s="30">
        <v>9.6189999999999998</v>
      </c>
      <c r="DC39" s="30">
        <v>9.6210000000000093</v>
      </c>
      <c r="DD39" s="30">
        <v>9.6229999999999905</v>
      </c>
      <c r="DE39" s="30">
        <v>9.6090000000000089</v>
      </c>
      <c r="DF39" s="30">
        <v>9.6160000000000139</v>
      </c>
      <c r="DG39" s="30">
        <v>9.603999999999985</v>
      </c>
      <c r="DH39" s="30">
        <v>2.02800000000002</v>
      </c>
      <c r="DI39" s="30">
        <v>7.4629999999999939</v>
      </c>
      <c r="DJ39" s="30">
        <v>9.6980000000000004</v>
      </c>
      <c r="DK39" s="30">
        <v>10.075000000000003</v>
      </c>
      <c r="DL39" s="30">
        <v>10.039000000000001</v>
      </c>
      <c r="DM39" s="30">
        <v>9.6170000000000186</v>
      </c>
      <c r="DN39" s="30">
        <v>9.0300000000000011</v>
      </c>
      <c r="DO39" s="30">
        <v>9.546999999999997</v>
      </c>
      <c r="DP39" s="30">
        <v>9.5420000000000016</v>
      </c>
      <c r="DQ39" s="30">
        <v>7.9900000000000091</v>
      </c>
      <c r="DR39" s="30">
        <v>7.9850000000000136</v>
      </c>
      <c r="DS39" s="30">
        <v>9.5429999999999922</v>
      </c>
      <c r="DT39" s="30">
        <v>10.246000000000002</v>
      </c>
      <c r="DU39" s="30">
        <v>9.171999999999997</v>
      </c>
      <c r="DV39" s="30">
        <f t="shared" si="297"/>
        <v>199.34700000000009</v>
      </c>
    </row>
    <row r="40" spans="1:126">
      <c r="A40" s="6">
        <v>46057</v>
      </c>
      <c r="B40" s="15">
        <f>운전실적_원본!B40</f>
        <v>651.20000000000005</v>
      </c>
      <c r="C40" s="16">
        <f t="shared" ref="C40:C103" si="298">IF(OR(LEN(B40)=0,B40=0),"",B40-B39)</f>
        <v>0</v>
      </c>
      <c r="D40" s="12">
        <f>운전실적_원본!C40</f>
        <v>249088</v>
      </c>
      <c r="E40" s="12">
        <f t="shared" ref="E40:E103" si="299">IF(OR(LEN(D40)=0,D40=0),"",D40-D39)</f>
        <v>50</v>
      </c>
      <c r="F40" s="12">
        <f>운전실적_원본!D40</f>
        <v>240649</v>
      </c>
      <c r="G40" s="16">
        <f t="shared" ref="G40:G103" si="300">IF(OR(LEN(F40)=0,F40=0),"",F40-F39)</f>
        <v>25</v>
      </c>
      <c r="H40" s="15">
        <f>운전실적_원본!E40</f>
        <v>17180.78</v>
      </c>
      <c r="I40" s="16">
        <f t="shared" ref="I40:K103" si="301">IF(OR(LEN(H40)=0,H40=0),"",H40-H39)</f>
        <v>5.3799999999973807</v>
      </c>
      <c r="J40" s="15">
        <f>운전실적_원본!F40</f>
        <v>14963.24</v>
      </c>
      <c r="K40" s="16">
        <f t="shared" si="301"/>
        <v>20.649999999999636</v>
      </c>
      <c r="L40" s="32">
        <f>운전실적_원본!G40</f>
        <v>9.5</v>
      </c>
      <c r="M40" s="31">
        <f t="shared" ref="M40" si="302">IF(OR(LEN(L40)=0,L40=0),"",L40-L39)</f>
        <v>1.3000000000000007</v>
      </c>
      <c r="N40" s="15">
        <f>운전실적_원본!H40</f>
        <v>37232</v>
      </c>
      <c r="O40" s="16">
        <f t="shared" ref="O40" si="303">IF(OR(LEN(N40)=0,N40=0),"",N40-N39)</f>
        <v>110</v>
      </c>
      <c r="P40" s="15">
        <f>운전실적_원본!I40</f>
        <v>20594</v>
      </c>
      <c r="Q40" s="16">
        <f t="shared" ref="Q40" si="304">IF(OR(LEN(P40)=0,P40=0),"",P40-P39)</f>
        <v>193</v>
      </c>
      <c r="R40" s="18">
        <f>운전실적_원본!J40</f>
        <v>33.661999999999999</v>
      </c>
      <c r="S40" s="19">
        <f t="shared" ref="S40" si="305">IF(OR(LEN(R40)=0,R40=0),"",R40-R39)</f>
        <v>-5.7999999999999829E-2</v>
      </c>
      <c r="T40" s="18">
        <f>운전실적_원본!K40</f>
        <v>33.279000000000003</v>
      </c>
      <c r="U40" s="19">
        <f t="shared" ref="U40:U103" si="306">IF(OR(LEN(T40)=0,T40=0),"",T40-T39)</f>
        <v>-2.099999999999369E-2</v>
      </c>
      <c r="V40" s="12">
        <f>운전실적_원본!L40</f>
        <v>8337.6990000000005</v>
      </c>
      <c r="W40" s="16">
        <f t="shared" ref="W40" si="307">IF(OR(LEN(V40)=0,V40=0),"",V40-V39)</f>
        <v>-349.30099999999948</v>
      </c>
      <c r="X40" s="10">
        <f>운전실적_원본!M40</f>
        <v>195728.46000000089</v>
      </c>
      <c r="Y40" s="10">
        <f>운전실적_원본!N40</f>
        <v>0</v>
      </c>
      <c r="Z40" s="10">
        <f>운전실적_원본!O40</f>
        <v>0</v>
      </c>
      <c r="AA40" s="10">
        <f>운전실적_원본!P40</f>
        <v>0</v>
      </c>
      <c r="AB40" s="10">
        <f>운전실적_원본!Q40</f>
        <v>0</v>
      </c>
      <c r="AC40" s="20">
        <f>운전실적_원본!R40</f>
        <v>0</v>
      </c>
      <c r="AD40" s="109">
        <f>운전실적_원본!S40</f>
        <v>24</v>
      </c>
      <c r="AE40" s="110">
        <f>운전실적_원본!T40</f>
        <v>0</v>
      </c>
      <c r="AF40" s="110">
        <f>운전실적_원본!U40</f>
        <v>0</v>
      </c>
      <c r="AG40" s="110">
        <f>운전실적_원본!V40</f>
        <v>0</v>
      </c>
      <c r="AH40" s="109">
        <f t="shared" si="1"/>
        <v>24</v>
      </c>
      <c r="AI40" s="110">
        <f t="shared" si="125"/>
        <v>0</v>
      </c>
      <c r="AJ40" s="110">
        <f>운전실적_원본!Y40</f>
        <v>0</v>
      </c>
      <c r="AK40" s="110">
        <f>운전실적_원본!Z40</f>
        <v>0</v>
      </c>
      <c r="AL40" s="106">
        <v>46057</v>
      </c>
      <c r="AM40" s="105">
        <f t="shared" si="171"/>
        <v>46058</v>
      </c>
      <c r="AN40" s="105"/>
      <c r="AP40" s="105"/>
      <c r="AQ40" s="108"/>
      <c r="AR40" s="105"/>
      <c r="AS40" s="105"/>
      <c r="AT40" s="102"/>
      <c r="AU40" s="102"/>
      <c r="AV40" s="102"/>
      <c r="AW40" s="102"/>
      <c r="AX40" s="32">
        <f>운전실적_원본!W40</f>
        <v>1243.8500000000004</v>
      </c>
      <c r="AY40" s="11">
        <f>운전실적_원본!X40</f>
        <v>0</v>
      </c>
      <c r="AZ40" s="11">
        <f>운전실적_원본!Y40</f>
        <v>0</v>
      </c>
      <c r="BA40" s="11">
        <f>운전실적_원본!Z40</f>
        <v>0</v>
      </c>
      <c r="BB40" s="11">
        <f>운전실적_원본!AA40</f>
        <v>0</v>
      </c>
      <c r="BC40" s="11">
        <f>운전실적_원본!AB40</f>
        <v>1243.8500000000004</v>
      </c>
      <c r="BD40" s="32">
        <f t="shared" si="15"/>
        <v>51.827083333333348</v>
      </c>
      <c r="BE40" s="11">
        <f t="shared" si="2"/>
        <v>1.0085052215087245</v>
      </c>
      <c r="BF40" s="11">
        <f>운전실적_원본!AE40</f>
        <v>0</v>
      </c>
      <c r="BG40" s="31">
        <f t="shared" si="0"/>
        <v>0</v>
      </c>
      <c r="BH40" s="241">
        <f>INDEX(연료전지_원본!$A$4:$KY$369,MATCH($A40,연료전지_원본!$A$4:$A$369,0),MATCH($BH$4,연료전지_원본!$A$4:$KY$4,0))</f>
        <v>24</v>
      </c>
      <c r="BI40" s="241">
        <f>INDEX(연료전지_원본!$A$4:$KY$369,MATCH($A40,연료전지_원본!$A$4:$A$369,0),MATCH($BI$4,연료전지_원본!$A$4:$KY$4,0))</f>
        <v>24</v>
      </c>
      <c r="BJ40" s="241">
        <f>INDEX(연료전지_원본!$A$4:$KY$369,MATCH($A40,연료전지_원본!$A$4:$A$369,0),MATCH($BJ$4,연료전지_원본!$A$4:$KY$4,0))</f>
        <v>24</v>
      </c>
      <c r="BK40" s="241">
        <f>INDEX(연료전지_원본!$A$4:$KY$369,MATCH($A40,연료전지_원본!$A$4:$A$369,0),MATCH($BK$4,연료전지_원본!$A$4:$KY$4,0))</f>
        <v>24</v>
      </c>
      <c r="BL40" s="241">
        <f>INDEX(연료전지_원본!$A$4:$KY$369,MATCH($A40,연료전지_원본!$A$4:$A$369,0),MATCH($BL$4,연료전지_원본!$A$4:$KY$4,0))</f>
        <v>24</v>
      </c>
      <c r="BM40" s="241">
        <f>INDEX(연료전지_원본!$A$4:$KY$369,MATCH($A40,연료전지_원본!$A$4:$A$369,0),MATCH($BM$4,연료전지_원본!$A$4:$KY$4,0))</f>
        <v>24</v>
      </c>
      <c r="BN40" s="241">
        <f>INDEX(연료전지_원본!$A$4:$KY$369,MATCH($A40,연료전지_원본!$A$4:$A$369,0),MATCH($BN$4,연료전지_원본!$A$4:$KY$4,0))</f>
        <v>24</v>
      </c>
      <c r="BO40" s="241">
        <f>INDEX(연료전지_원본!$A$4:$KY$369,MATCH($A40,연료전지_원본!$A$4:$A$369,0),MATCH($BO$4,연료전지_원본!$A$4:$KY$4,0))</f>
        <v>24</v>
      </c>
      <c r="BP40" s="241">
        <f>INDEX(연료전지_원본!$A$4:$KY$369,MATCH($A40,연료전지_원본!$A$4:$A$369,0),MATCH($BP$4,연료전지_원본!$A$4:$KY$4,0))</f>
        <v>24</v>
      </c>
      <c r="BQ40" s="241">
        <f>INDEX(연료전지_원본!$A$4:$KY$369,MATCH($A40,연료전지_원본!$A$4:$A$369,0),MATCH($BQ$4,연료전지_원본!$A$4:$KY$4,0))</f>
        <v>24</v>
      </c>
      <c r="BR40" s="241">
        <f>INDEX(연료전지_원본!$A$4:$KY$369,MATCH($A40,연료전지_원본!$A$4:$A$369,0),MATCH($BR$4,연료전지_원본!$A$4:$KY$4,0))</f>
        <v>24</v>
      </c>
      <c r="BS40" s="241">
        <f>INDEX(연료전지_원본!$A$4:$KY$369,MATCH($A40,연료전지_원본!$A$4:$A$369,0),MATCH($BS$4,연료전지_원본!$A$4:$KY$4,0))</f>
        <v>24</v>
      </c>
      <c r="BT40" s="241">
        <f>INDEX(연료전지_원본!$A$4:$KY$369,MATCH($A40,연료전지_원본!$A$4:$A$369,0),MATCH($BT$4,연료전지_원본!$A$4:$KY$4,0))</f>
        <v>24</v>
      </c>
      <c r="BU40" s="241">
        <f>INDEX(연료전지_원본!$A$4:$KY$369,MATCH($A40,연료전지_원본!$A$4:$A$369,0),MATCH($BU$4,연료전지_원본!$A$4:$KY$4,0))</f>
        <v>24</v>
      </c>
      <c r="BV40" s="241">
        <f>INDEX(연료전지_원본!$A$4:$KY$369,MATCH($A40,연료전지_원본!$A$4:$A$369,0),MATCH($BV$4,연료전지_원본!$A$4:$KY$4,0))</f>
        <v>14.500000000000002</v>
      </c>
      <c r="BW40" s="241">
        <f>INDEX(연료전지_원본!$A$4:$KY$369,MATCH($A40,연료전지_원본!$A$4:$A$369,0),MATCH($BW$4,연료전지_원본!$A$4:$KY$4,0))</f>
        <v>24</v>
      </c>
      <c r="BX40" s="241">
        <f>INDEX(연료전지_원본!$A$4:$KY$369,MATCH($A40,연료전지_원본!$A$4:$A$369,0),MATCH($BX$4,연료전지_원본!$A$4:$KY$4,0))</f>
        <v>24</v>
      </c>
      <c r="BY40" s="241">
        <f>INDEX(연료전지_원본!$A$4:$KY$369,MATCH($A40,연료전지_원본!$A$4:$A$369,0),MATCH($BY$4,연료전지_원본!$A$4:$KY$4,0))</f>
        <v>24</v>
      </c>
      <c r="BZ40" s="241">
        <f>INDEX(연료전지_원본!$A$4:$KY$369,MATCH($A40,연료전지_원본!$A$4:$A$369,0),MATCH($BZ$4,연료전지_원본!$A$4:$KY$4,0))</f>
        <v>24</v>
      </c>
      <c r="CA40" s="241">
        <f>INDEX(연료전지_원본!$A$4:$KY$369,MATCH($A40,연료전지_원본!$A$4:$A$369,0),MATCH($CA$4,연료전지_원본!$A$4:$KY$4,0))</f>
        <v>24</v>
      </c>
      <c r="CB40" s="241">
        <f>INDEX(연료전지_원본!$A$4:$KY$369,MATCH($A40,연료전지_원본!$A$4:$A$369,0),MATCH($CB$4,연료전지_원본!$A$4:$KY$4,0))</f>
        <v>24</v>
      </c>
      <c r="CC40" s="242">
        <f>INDEX(연료전지_원본!$A$4:$KY$369,MATCH($A40,연료전지_원본!$A$4:$A$369,0),MATCH($CC$4,연료전지_원본!$A$4:$KY$4,0))</f>
        <v>24</v>
      </c>
      <c r="CD40" s="254">
        <f>INDEX(연료전지_원본!$KB$4:$KX$369,MATCH($A40,연료전지_원본!$KB$4:$KB$369,0), MATCH(CD$4,연료전지_원본!$KB$4:$KX$4,0))*1000</f>
        <v>2000</v>
      </c>
      <c r="CE40" s="250">
        <f>INDEX(연료전지_원본!$KB$4:$KX$369,MATCH($A40,연료전지_원본!$KB$4:$KB$369,0), MATCH(CE$4,연료전지_원본!$KB$4:$KX$4,0))*1000</f>
        <v>1999</v>
      </c>
      <c r="CF40" s="250">
        <f>INDEX(연료전지_원본!$KB$4:$KX$369,MATCH($A40,연료전지_원본!$KB$4:$KB$369,0), MATCH(CF$4,연료전지_원본!$KB$4:$KX$4,0))*1000</f>
        <v>2000</v>
      </c>
      <c r="CG40" s="250">
        <f>INDEX(연료전지_원본!$KB$4:$KX$369,MATCH($A40,연료전지_원본!$KB$4:$KB$369,0), MATCH(CG$4,연료전지_원본!$KB$4:$KX$4,0))*1000</f>
        <v>2000</v>
      </c>
      <c r="CH40" s="250">
        <f>INDEX(연료전지_원본!$KB$4:$KX$369,MATCH($A40,연료전지_원본!$KB$4:$KB$369,0), MATCH(CH$4,연료전지_원본!$KB$4:$KX$4,0))*1000</f>
        <v>2001</v>
      </c>
      <c r="CI40" s="250">
        <f>INDEX(연료전지_원본!$KB$4:$KX$369,MATCH($A40,연료전지_원본!$KB$4:$KB$369,0), MATCH(CI$4,연료전지_원본!$KB$4:$KX$4,0))*1000</f>
        <v>2000</v>
      </c>
      <c r="CJ40" s="250">
        <f>INDEX(연료전지_원본!$KB$4:$KX$369,MATCH($A40,연료전지_원본!$KB$4:$KB$369,0), MATCH(CJ$4,연료전지_원본!$KB$4:$KX$4,0))*1000</f>
        <v>1997</v>
      </c>
      <c r="CK40" s="250">
        <f>INDEX(연료전지_원본!$KB$4:$KX$369,MATCH($A40,연료전지_원본!$KB$4:$KB$369,0), MATCH(CK$4,연료전지_원본!$KB$4:$KX$4,0))*1000</f>
        <v>1999</v>
      </c>
      <c r="CL40" s="250">
        <f>INDEX(연료전지_원본!$KB$4:$KX$369,MATCH($A40,연료전지_원본!$KB$4:$KB$369,0), MATCH(CL$4,연료전지_원본!$KB$4:$KX$4,0))*1000</f>
        <v>2049</v>
      </c>
      <c r="CM40" s="250">
        <f>INDEX(연료전지_원본!$KB$4:$KX$369,MATCH($A40,연료전지_원본!$KB$4:$KB$369,0), MATCH(CM$4,연료전지_원본!$KB$4:$KX$4,0))*1000</f>
        <v>2000</v>
      </c>
      <c r="CN40" s="250">
        <f>INDEX(연료전지_원본!$KB$4:$KX$369,MATCH($A40,연료전지_원본!$KB$4:$KB$369,0), MATCH(CN$4,연료전지_원본!$KB$4:$KX$4,0))*1000</f>
        <v>2039.0000000000002</v>
      </c>
      <c r="CO40" s="250">
        <f>INDEX(연료전지_원본!$KB$4:$KX$369,MATCH($A40,연료전지_원본!$KB$4:$KB$369,0), MATCH(CO$4,연료전지_원본!$KB$4:$KX$4,0))*1000</f>
        <v>2001.9999999999998</v>
      </c>
      <c r="CP40" s="250">
        <f>INDEX(연료전지_원본!$KB$4:$KX$369,MATCH($A40,연료전지_원본!$KB$4:$KB$369,0), MATCH(CP$4,연료전지_원본!$KB$4:$KX$4,0))*1000</f>
        <v>1998</v>
      </c>
      <c r="CQ40" s="250">
        <f>INDEX(연료전지_원본!$KB$4:$KX$369,MATCH($A40,연료전지_원본!$KB$4:$KB$369,0), MATCH(CQ$4,연료전지_원본!$KB$4:$KX$4,0))*1000</f>
        <v>2000</v>
      </c>
      <c r="CR40" s="250">
        <f>INDEX(연료전지_원본!$KB$4:$KX$369,MATCH($A40,연료전지_원본!$KB$4:$KB$369,0), MATCH(CR$4,연료전지_원본!$KB$4:$KX$4,0))*1000</f>
        <v>1116</v>
      </c>
      <c r="CS40" s="250">
        <f>INDEX(연료전지_원본!$KB$4:$KX$369,MATCH($A40,연료전지_원본!$KB$4:$KB$369,0), MATCH(CS$4,연료전지_원본!$KB$4:$KX$4,0))*1000</f>
        <v>2039.0000000000002</v>
      </c>
      <c r="CT40" s="250">
        <f>INDEX(연료전지_원본!$KB$4:$KX$369,MATCH($A40,연료전지_원본!$KB$4:$KB$369,0), MATCH(CT$4,연료전지_원본!$KB$4:$KX$4,0))*1000</f>
        <v>2039.0000000000002</v>
      </c>
      <c r="CU40" s="250">
        <f>INDEX(연료전지_원본!$KB$4:$KX$369,MATCH($A40,연료전지_원본!$KB$4:$KB$369,0), MATCH(CU$4,연료전지_원본!$KB$4:$KX$4,0))*1000</f>
        <v>2037.9999999999998</v>
      </c>
      <c r="CV40" s="250">
        <f>INDEX(연료전지_원본!$KB$4:$KX$369,MATCH($A40,연료전지_원본!$KB$4:$KB$369,0), MATCH(CV$4,연료전지_원본!$KB$4:$KX$4,0))*1000</f>
        <v>2037.9999999999998</v>
      </c>
      <c r="CW40" s="250">
        <f>INDEX(연료전지_원본!$KB$4:$KX$369,MATCH($A40,연료전지_원본!$KB$4:$KB$369,0), MATCH(CW$4,연료전지_원본!$KB$4:$KX$4,0))*1000</f>
        <v>2039.0000000000002</v>
      </c>
      <c r="CX40" s="250">
        <f>INDEX(연료전지_원본!$KB$4:$KX$369,MATCH($A40,연료전지_원본!$KB$4:$KB$369,0), MATCH(CX$4,연료전지_원본!$KB$4:$KX$4,0))*1000</f>
        <v>2037.9999999999998</v>
      </c>
      <c r="CY40" s="255">
        <f>INDEX(연료전지_원본!$KB$4:$KX$369,MATCH($A40,연료전지_원본!$KB$4:$KB$369,0), MATCH(CY$4,연료전지_원본!$KB$4:$KX$4,0))*1000</f>
        <v>2039.0000000000002</v>
      </c>
      <c r="CZ40" s="185">
        <v>9.6219999999999857</v>
      </c>
      <c r="DA40" s="30">
        <v>9.6169999999999902</v>
      </c>
      <c r="DB40" s="30">
        <v>9.6210000000000093</v>
      </c>
      <c r="DC40" s="30">
        <v>9.6219999999999857</v>
      </c>
      <c r="DD40" s="30">
        <v>9.6229999999999905</v>
      </c>
      <c r="DE40" s="30">
        <v>9.6210000000000093</v>
      </c>
      <c r="DF40" s="30">
        <v>9.6049999999999898</v>
      </c>
      <c r="DG40" s="30">
        <v>9.6170000000000186</v>
      </c>
      <c r="DH40" s="30">
        <v>9.8579999999999757</v>
      </c>
      <c r="DI40" s="30">
        <v>9.6210000000000093</v>
      </c>
      <c r="DJ40" s="30">
        <v>9.8099999999999952</v>
      </c>
      <c r="DK40" s="30">
        <v>9.632000000000005</v>
      </c>
      <c r="DL40" s="30">
        <v>9.6090000000000089</v>
      </c>
      <c r="DM40" s="30">
        <v>9.617999999999995</v>
      </c>
      <c r="DN40" s="30">
        <v>5.3659999999999997</v>
      </c>
      <c r="DO40" s="30">
        <v>9.8100000000000023</v>
      </c>
      <c r="DP40" s="30">
        <v>9.8070000000000022</v>
      </c>
      <c r="DQ40" s="30">
        <v>9.8050000000000068</v>
      </c>
      <c r="DR40" s="30">
        <v>9.8009999999999877</v>
      </c>
      <c r="DS40" s="30">
        <v>9.8080000000000069</v>
      </c>
      <c r="DT40" s="30">
        <v>9.804000000000002</v>
      </c>
      <c r="DU40" s="30">
        <v>9.8070000000000022</v>
      </c>
      <c r="DV40" s="30">
        <f t="shared" si="297"/>
        <v>209.10399999999998</v>
      </c>
    </row>
    <row r="41" spans="1:126">
      <c r="A41" s="6">
        <v>46058</v>
      </c>
      <c r="B41" s="15">
        <f>운전실적_원본!B41</f>
        <v>651.20000000000005</v>
      </c>
      <c r="C41" s="16">
        <f t="shared" si="298"/>
        <v>0</v>
      </c>
      <c r="D41" s="12">
        <f>운전실적_원본!C41</f>
        <v>249136</v>
      </c>
      <c r="E41" s="12">
        <f t="shared" si="299"/>
        <v>48</v>
      </c>
      <c r="F41" s="12">
        <f>운전실적_원본!D41</f>
        <v>240649</v>
      </c>
      <c r="G41" s="16">
        <f t="shared" si="300"/>
        <v>0</v>
      </c>
      <c r="H41" s="15">
        <f>운전실적_원본!E41</f>
        <v>17186.47</v>
      </c>
      <c r="I41" s="16">
        <f t="shared" si="301"/>
        <v>5.6900000000023283</v>
      </c>
      <c r="J41" s="15">
        <f>운전실적_원본!F41</f>
        <v>14984.99</v>
      </c>
      <c r="K41" s="16">
        <f t="shared" si="301"/>
        <v>21.75</v>
      </c>
      <c r="L41" s="32">
        <f>운전실적_원본!G41</f>
        <v>10.7</v>
      </c>
      <c r="M41" s="31">
        <f t="shared" ref="M41" si="308">IF(OR(LEN(L41)=0,L41=0),"",L41-L40)</f>
        <v>1.1999999999999993</v>
      </c>
      <c r="N41" s="15">
        <f>운전실적_원본!H41</f>
        <v>37430</v>
      </c>
      <c r="O41" s="16">
        <f t="shared" ref="O41" si="309">IF(OR(LEN(N41)=0,N41=0),"",N41-N40)</f>
        <v>198</v>
      </c>
      <c r="P41" s="15">
        <f>운전실적_원본!I41</f>
        <v>20752</v>
      </c>
      <c r="Q41" s="16">
        <f t="shared" ref="Q41" si="310">IF(OR(LEN(P41)=0,P41=0),"",P41-P40)</f>
        <v>158</v>
      </c>
      <c r="R41" s="18">
        <f>운전실적_원본!J41</f>
        <v>33.880000000000003</v>
      </c>
      <c r="S41" s="19">
        <f t="shared" ref="S41" si="311">IF(OR(LEN(R41)=0,R41=0),"",R41-R40)</f>
        <v>0.21800000000000352</v>
      </c>
      <c r="T41" s="18">
        <f>운전실적_원본!K41</f>
        <v>33.176000000000002</v>
      </c>
      <c r="U41" s="19">
        <f t="shared" si="306"/>
        <v>-0.10300000000000153</v>
      </c>
      <c r="V41" s="12">
        <f>운전실적_원본!L41</f>
        <v>8205.75</v>
      </c>
      <c r="W41" s="16">
        <f t="shared" ref="W41" si="312">IF(OR(LEN(V41)=0,V41=0),"",V41-V40)</f>
        <v>-131.94900000000052</v>
      </c>
      <c r="X41" s="10">
        <f>운전실적_원본!M41</f>
        <v>197029.77000000328</v>
      </c>
      <c r="Y41" s="10">
        <f>운전실적_원본!N41</f>
        <v>0</v>
      </c>
      <c r="Z41" s="10">
        <f>운전실적_원본!O41</f>
        <v>0</v>
      </c>
      <c r="AA41" s="10">
        <f>운전실적_원본!P41</f>
        <v>0</v>
      </c>
      <c r="AB41" s="10">
        <f>운전실적_원본!Q41</f>
        <v>0</v>
      </c>
      <c r="AC41" s="20">
        <f>운전실적_원본!R41</f>
        <v>0</v>
      </c>
      <c r="AD41" s="109">
        <f>운전실적_원본!S41</f>
        <v>24</v>
      </c>
      <c r="AE41" s="110">
        <f>운전실적_원본!T41</f>
        <v>0</v>
      </c>
      <c r="AF41" s="110">
        <f>운전실적_원본!U41</f>
        <v>0</v>
      </c>
      <c r="AG41" s="110">
        <f>운전실적_원본!V41</f>
        <v>0</v>
      </c>
      <c r="AH41" s="109">
        <f t="shared" si="1"/>
        <v>24</v>
      </c>
      <c r="AI41" s="110">
        <f t="shared" si="125"/>
        <v>0</v>
      </c>
      <c r="AJ41" s="110">
        <f>운전실적_원본!Y41</f>
        <v>0</v>
      </c>
      <c r="AK41" s="110">
        <f>운전실적_원본!Z41</f>
        <v>0</v>
      </c>
      <c r="AL41" s="106">
        <v>46058</v>
      </c>
      <c r="AM41" s="105">
        <f t="shared" si="171"/>
        <v>46059</v>
      </c>
      <c r="AN41" s="105"/>
      <c r="AO41" s="105"/>
      <c r="AP41" s="105"/>
      <c r="AQ41" s="108"/>
      <c r="AR41" s="105"/>
      <c r="AS41" s="105"/>
      <c r="AT41" s="102"/>
      <c r="AU41" s="102"/>
      <c r="AV41" s="102"/>
      <c r="AW41" s="102"/>
      <c r="AX41" s="32">
        <f>운전실적_원본!W41</f>
        <v>1249.9349999999995</v>
      </c>
      <c r="AY41" s="11">
        <f>운전실적_원본!X41</f>
        <v>0</v>
      </c>
      <c r="AZ41" s="11">
        <f>운전실적_원본!Y41</f>
        <v>0</v>
      </c>
      <c r="BA41" s="11">
        <f>운전실적_원본!Z41</f>
        <v>0</v>
      </c>
      <c r="BB41" s="11">
        <f>운전실적_원본!AA41</f>
        <v>0</v>
      </c>
      <c r="BC41" s="11">
        <f>운전실적_원본!AB41</f>
        <v>1249.9349999999995</v>
      </c>
      <c r="BD41" s="32">
        <f t="shared" si="15"/>
        <v>52.080624999999976</v>
      </c>
      <c r="BE41" s="11">
        <f t="shared" si="2"/>
        <v>1.0134388986184077</v>
      </c>
      <c r="BF41" s="11">
        <f>운전실적_원본!AE41</f>
        <v>0</v>
      </c>
      <c r="BG41" s="31">
        <f t="shared" si="0"/>
        <v>0</v>
      </c>
      <c r="BH41" s="241">
        <f>INDEX(연료전지_원본!$A$4:$KY$369,MATCH($A41,연료전지_원본!$A$4:$A$369,0),MATCH($BH$4,연료전지_원본!$A$4:$KY$4,0))</f>
        <v>24</v>
      </c>
      <c r="BI41" s="241">
        <f>INDEX(연료전지_원본!$A$4:$KY$369,MATCH($A41,연료전지_원본!$A$4:$A$369,0),MATCH($BI$4,연료전지_원본!$A$4:$KY$4,0))</f>
        <v>15.5</v>
      </c>
      <c r="BJ41" s="241">
        <f>INDEX(연료전지_원본!$A$4:$KY$369,MATCH($A41,연료전지_원본!$A$4:$A$369,0),MATCH($BJ$4,연료전지_원본!$A$4:$KY$4,0))</f>
        <v>24</v>
      </c>
      <c r="BK41" s="241">
        <f>INDEX(연료전지_원본!$A$4:$KY$369,MATCH($A41,연료전지_원본!$A$4:$A$369,0),MATCH($BK$4,연료전지_원본!$A$4:$KY$4,0))</f>
        <v>24</v>
      </c>
      <c r="BL41" s="241">
        <f>INDEX(연료전지_원본!$A$4:$KY$369,MATCH($A41,연료전지_원본!$A$4:$A$369,0),MATCH($BL$4,연료전지_원본!$A$4:$KY$4,0))</f>
        <v>24</v>
      </c>
      <c r="BM41" s="241">
        <f>INDEX(연료전지_원본!$A$4:$KY$369,MATCH($A41,연료전지_원본!$A$4:$A$369,0),MATCH($BM$4,연료전지_원본!$A$4:$KY$4,0))</f>
        <v>24</v>
      </c>
      <c r="BN41" s="241">
        <f>INDEX(연료전지_원본!$A$4:$KY$369,MATCH($A41,연료전지_원본!$A$4:$A$369,0),MATCH($BN$4,연료전지_원본!$A$4:$KY$4,0))</f>
        <v>24</v>
      </c>
      <c r="BO41" s="241">
        <f>INDEX(연료전지_원본!$A$4:$KY$369,MATCH($A41,연료전지_원본!$A$4:$A$369,0),MATCH($BO$4,연료전지_원본!$A$4:$KY$4,0))</f>
        <v>24</v>
      </c>
      <c r="BP41" s="241">
        <f>INDEX(연료전지_원본!$A$4:$KY$369,MATCH($A41,연료전지_원본!$A$4:$A$369,0),MATCH($BP$4,연료전지_원본!$A$4:$KY$4,0))</f>
        <v>24</v>
      </c>
      <c r="BQ41" s="241">
        <f>INDEX(연료전지_원본!$A$4:$KY$369,MATCH($A41,연료전지_원본!$A$4:$A$369,0),MATCH($BQ$4,연료전지_원본!$A$4:$KY$4,0))</f>
        <v>24</v>
      </c>
      <c r="BR41" s="241">
        <f>INDEX(연료전지_원본!$A$4:$KY$369,MATCH($A41,연료전지_원본!$A$4:$A$369,0),MATCH($BR$4,연료전지_원본!$A$4:$KY$4,0))</f>
        <v>24</v>
      </c>
      <c r="BS41" s="241">
        <f>INDEX(연료전지_원본!$A$4:$KY$369,MATCH($A41,연료전지_원본!$A$4:$A$369,0),MATCH($BS$4,연료전지_원본!$A$4:$KY$4,0))</f>
        <v>24</v>
      </c>
      <c r="BT41" s="241">
        <f>INDEX(연료전지_원본!$A$4:$KY$369,MATCH($A41,연료전지_원본!$A$4:$A$369,0),MATCH($BT$4,연료전지_원본!$A$4:$KY$4,0))</f>
        <v>24</v>
      </c>
      <c r="BU41" s="241">
        <f>INDEX(연료전지_원본!$A$4:$KY$369,MATCH($A41,연료전지_원본!$A$4:$A$369,0),MATCH($BU$4,연료전지_원본!$A$4:$KY$4,0))</f>
        <v>24</v>
      </c>
      <c r="BV41" s="241">
        <f>INDEX(연료전지_원본!$A$4:$KY$369,MATCH($A41,연료전지_원본!$A$4:$A$369,0),MATCH($BV$4,연료전지_원본!$A$4:$KY$4,0))</f>
        <v>24</v>
      </c>
      <c r="BW41" s="241">
        <f>INDEX(연료전지_원본!$A$4:$KY$369,MATCH($A41,연료전지_원본!$A$4:$A$369,0),MATCH($BW$4,연료전지_원본!$A$4:$KY$4,0))</f>
        <v>24</v>
      </c>
      <c r="BX41" s="241">
        <f>INDEX(연료전지_원본!$A$4:$KY$369,MATCH($A41,연료전지_원본!$A$4:$A$369,0),MATCH($BX$4,연료전지_원본!$A$4:$KY$4,0))</f>
        <v>24</v>
      </c>
      <c r="BY41" s="241">
        <f>INDEX(연료전지_원본!$A$4:$KY$369,MATCH($A41,연료전지_원본!$A$4:$A$369,0),MATCH($BY$4,연료전지_원본!$A$4:$KY$4,0))</f>
        <v>15</v>
      </c>
      <c r="BZ41" s="241">
        <f>INDEX(연료전지_원본!$A$4:$KY$369,MATCH($A41,연료전지_원본!$A$4:$A$369,0),MATCH($BZ$4,연료전지_원본!$A$4:$KY$4,0))</f>
        <v>15.166666666666666</v>
      </c>
      <c r="CA41" s="241">
        <f>INDEX(연료전지_원본!$A$4:$KY$369,MATCH($A41,연료전지_원본!$A$4:$A$369,0),MATCH($CA$4,연료전지_원본!$A$4:$KY$4,0))</f>
        <v>24</v>
      </c>
      <c r="CB41" s="241">
        <f>INDEX(연료전지_원본!$A$4:$KY$369,MATCH($A41,연료전지_원본!$A$4:$A$369,0),MATCH($CB$4,연료전지_원본!$A$4:$KY$4,0))</f>
        <v>24</v>
      </c>
      <c r="CC41" s="242">
        <f>INDEX(연료전지_원본!$A$4:$KY$369,MATCH($A41,연료전지_원본!$A$4:$A$369,0),MATCH($CC$4,연료전지_원본!$A$4:$KY$4,0))</f>
        <v>24</v>
      </c>
      <c r="CD41" s="254">
        <f>INDEX(연료전지_원본!$KB$4:$KX$369,MATCH($A41,연료전지_원본!$KB$4:$KB$369,0), MATCH(CD$4,연료전지_원본!$KB$4:$KX$4,0))*1000</f>
        <v>2050</v>
      </c>
      <c r="CE41" s="250">
        <f>INDEX(연료전지_원본!$KB$4:$KX$369,MATCH($A41,연료전지_원본!$KB$4:$KB$369,0), MATCH(CE$4,연료전지_원본!$KB$4:$KX$4,0))*1000</f>
        <v>1259</v>
      </c>
      <c r="CF41" s="250">
        <f>INDEX(연료전지_원본!$KB$4:$KX$369,MATCH($A41,연료전지_원본!$KB$4:$KB$369,0), MATCH(CF$4,연료전지_원본!$KB$4:$KX$4,0))*1000</f>
        <v>2050</v>
      </c>
      <c r="CG41" s="250">
        <f>INDEX(연료전지_원본!$KB$4:$KX$369,MATCH($A41,연료전지_원본!$KB$4:$KB$369,0), MATCH(CG$4,연료전지_원본!$KB$4:$KX$4,0))*1000</f>
        <v>2050</v>
      </c>
      <c r="CH41" s="250">
        <f>INDEX(연료전지_원본!$KB$4:$KX$369,MATCH($A41,연료전지_원본!$KB$4:$KB$369,0), MATCH(CH$4,연료전지_원본!$KB$4:$KX$4,0))*1000</f>
        <v>2050</v>
      </c>
      <c r="CI41" s="250">
        <f>INDEX(연료전지_원본!$KB$4:$KX$369,MATCH($A41,연료전지_원본!$KB$4:$KB$369,0), MATCH(CI$4,연료전지_원본!$KB$4:$KX$4,0))*1000</f>
        <v>2051</v>
      </c>
      <c r="CJ41" s="250">
        <f>INDEX(연료전지_원본!$KB$4:$KX$369,MATCH($A41,연료전지_원본!$KB$4:$KB$369,0), MATCH(CJ$4,연료전지_원본!$KB$4:$KX$4,0))*1000</f>
        <v>2049</v>
      </c>
      <c r="CK41" s="250">
        <f>INDEX(연료전지_원본!$KB$4:$KX$369,MATCH($A41,연료전지_원본!$KB$4:$KB$369,0), MATCH(CK$4,연료전지_원본!$KB$4:$KX$4,0))*1000</f>
        <v>2049</v>
      </c>
      <c r="CL41" s="250">
        <f>INDEX(연료전지_원본!$KB$4:$KX$369,MATCH($A41,연료전지_원본!$KB$4:$KB$369,0), MATCH(CL$4,연료전지_원본!$KB$4:$KX$4,0))*1000</f>
        <v>2050</v>
      </c>
      <c r="CM41" s="250">
        <f>INDEX(연료전지_원본!$KB$4:$KX$369,MATCH($A41,연료전지_원본!$KB$4:$KB$369,0), MATCH(CM$4,연료전지_원본!$KB$4:$KX$4,0))*1000</f>
        <v>2049</v>
      </c>
      <c r="CN41" s="250">
        <f>INDEX(연료전지_원본!$KB$4:$KX$369,MATCH($A41,연료전지_원본!$KB$4:$KB$369,0), MATCH(CN$4,연료전지_원본!$KB$4:$KX$4,0))*1000</f>
        <v>1926</v>
      </c>
      <c r="CO41" s="250">
        <f>INDEX(연료전지_원본!$KB$4:$KX$369,MATCH($A41,연료전지_원본!$KB$4:$KB$369,0), MATCH(CO$4,연료전지_원본!$KB$4:$KX$4,0))*1000</f>
        <v>2049</v>
      </c>
      <c r="CP41" s="250">
        <f>INDEX(연료전지_원본!$KB$4:$KX$369,MATCH($A41,연료전지_원본!$KB$4:$KB$369,0), MATCH(CP$4,연료전지_원본!$KB$4:$KX$4,0))*1000</f>
        <v>2047.0000000000002</v>
      </c>
      <c r="CQ41" s="250">
        <f>INDEX(연료전지_원본!$KB$4:$KX$369,MATCH($A41,연료전지_원본!$KB$4:$KB$369,0), MATCH(CQ$4,연료전지_원본!$KB$4:$KX$4,0))*1000</f>
        <v>2049</v>
      </c>
      <c r="CR41" s="250">
        <f>INDEX(연료전지_원본!$KB$4:$KX$369,MATCH($A41,연료전지_원본!$KB$4:$KB$369,0), MATCH(CR$4,연료전지_원본!$KB$4:$KX$4,0))*1000</f>
        <v>2108</v>
      </c>
      <c r="CS41" s="250">
        <f>INDEX(연료전지_원본!$KB$4:$KX$369,MATCH($A41,연료전지_원본!$KB$4:$KB$369,0), MATCH(CS$4,연료전지_원본!$KB$4:$KX$4,0))*1000</f>
        <v>1925</v>
      </c>
      <c r="CT41" s="250">
        <f>INDEX(연료전지_원본!$KB$4:$KX$369,MATCH($A41,연료전지_원본!$KB$4:$KB$369,0), MATCH(CT$4,연료전지_원본!$KB$4:$KX$4,0))*1000</f>
        <v>1959</v>
      </c>
      <c r="CU41" s="250">
        <f>INDEX(연료전지_원본!$KB$4:$KX$369,MATCH($A41,연료전지_원본!$KB$4:$KB$369,0), MATCH(CU$4,연료전지_원본!$KB$4:$KX$4,0))*1000</f>
        <v>1222</v>
      </c>
      <c r="CV41" s="250">
        <f>INDEX(연료전지_원본!$KB$4:$KX$369,MATCH($A41,연료전지_원본!$KB$4:$KB$369,0), MATCH(CV$4,연료전지_원본!$KB$4:$KX$4,0))*1000</f>
        <v>1271</v>
      </c>
      <c r="CW41" s="250">
        <f>INDEX(연료전지_원본!$KB$4:$KX$369,MATCH($A41,연료전지_원본!$KB$4:$KB$369,0), MATCH(CW$4,연료전지_원본!$KB$4:$KX$4,0))*1000</f>
        <v>1985</v>
      </c>
      <c r="CX41" s="250">
        <f>INDEX(연료전지_원본!$KB$4:$KX$369,MATCH($A41,연료전지_원본!$KB$4:$KB$369,0), MATCH(CX$4,연료전지_원본!$KB$4:$KX$4,0))*1000</f>
        <v>1905</v>
      </c>
      <c r="CY41" s="255">
        <f>INDEX(연료전지_원본!$KB$4:$KX$369,MATCH($A41,연료전지_원본!$KB$4:$KB$369,0), MATCH(CY$4,연료전지_원본!$KB$4:$KX$4,0))*1000</f>
        <v>1905</v>
      </c>
      <c r="CZ41" s="185">
        <v>9.6230000000000189</v>
      </c>
      <c r="DA41" s="30">
        <v>5.907999999999987</v>
      </c>
      <c r="DB41" s="30">
        <v>9.6210000000000093</v>
      </c>
      <c r="DC41" s="30">
        <v>9.6229999999999905</v>
      </c>
      <c r="DD41" s="30">
        <v>9.6240000000000236</v>
      </c>
      <c r="DE41" s="30">
        <v>9.6259999999999764</v>
      </c>
      <c r="DF41" s="30">
        <v>9.6169999999999902</v>
      </c>
      <c r="DG41" s="30">
        <v>9.6169999999999902</v>
      </c>
      <c r="DH41" s="30">
        <v>9.6220000000000141</v>
      </c>
      <c r="DI41" s="30">
        <v>9.6200000000000045</v>
      </c>
      <c r="DJ41" s="30">
        <v>9.041000000000011</v>
      </c>
      <c r="DK41" s="30">
        <v>9.6200000000000045</v>
      </c>
      <c r="DL41" s="30">
        <v>9.6099999999999852</v>
      </c>
      <c r="DM41" s="30">
        <v>9.6169999999999902</v>
      </c>
      <c r="DN41" s="30">
        <v>9.8940000000000055</v>
      </c>
      <c r="DO41" s="30">
        <v>9.0379999999999967</v>
      </c>
      <c r="DP41" s="30">
        <v>9.1970000000000027</v>
      </c>
      <c r="DQ41" s="30">
        <v>5.73599999999999</v>
      </c>
      <c r="DR41" s="30">
        <v>5.9660000000000082</v>
      </c>
      <c r="DS41" s="30">
        <v>9.3179999999999978</v>
      </c>
      <c r="DT41" s="30">
        <v>8.9399999999999977</v>
      </c>
      <c r="DU41" s="30">
        <v>8.9430000000000014</v>
      </c>
      <c r="DV41" s="30">
        <f t="shared" si="297"/>
        <v>197.42100000000002</v>
      </c>
    </row>
    <row r="42" spans="1:126">
      <c r="A42" s="6">
        <v>46059</v>
      </c>
      <c r="B42" s="15">
        <f>운전실적_원본!B42</f>
        <v>651.20000000000005</v>
      </c>
      <c r="C42" s="16">
        <f t="shared" si="298"/>
        <v>0</v>
      </c>
      <c r="D42" s="12">
        <f>운전실적_원본!C42</f>
        <v>249165</v>
      </c>
      <c r="E42" s="12">
        <f t="shared" si="299"/>
        <v>29</v>
      </c>
      <c r="F42" s="12">
        <f>운전실적_원본!D42</f>
        <v>240722</v>
      </c>
      <c r="G42" s="16">
        <f t="shared" si="300"/>
        <v>73</v>
      </c>
      <c r="H42" s="15">
        <f>운전실적_원본!E42</f>
        <v>17190.79</v>
      </c>
      <c r="I42" s="16">
        <f t="shared" si="301"/>
        <v>4.319999999999709</v>
      </c>
      <c r="J42" s="15">
        <f>운전실적_원본!F42</f>
        <v>15000.77</v>
      </c>
      <c r="K42" s="16">
        <f t="shared" si="301"/>
        <v>15.780000000000655</v>
      </c>
      <c r="L42" s="32">
        <f>운전실적_원본!G42</f>
        <v>11.8</v>
      </c>
      <c r="M42" s="31">
        <f t="shared" ref="M42" si="313">IF(OR(LEN(L42)=0,L42=0),"",L42-L41)</f>
        <v>1.1000000000000014</v>
      </c>
      <c r="N42" s="15">
        <f>운전실적_원본!H42</f>
        <v>37592</v>
      </c>
      <c r="O42" s="16">
        <f t="shared" ref="O42" si="314">IF(OR(LEN(N42)=0,N42=0),"",N42-N41)</f>
        <v>162</v>
      </c>
      <c r="P42" s="15">
        <f>운전실적_원본!I42</f>
        <v>20953</v>
      </c>
      <c r="Q42" s="16">
        <f t="shared" ref="Q42" si="315">IF(OR(LEN(P42)=0,P42=0),"",P42-P41)</f>
        <v>201</v>
      </c>
      <c r="R42" s="18">
        <f>운전실적_원본!J42</f>
        <v>33.67</v>
      </c>
      <c r="S42" s="19">
        <f t="shared" ref="S42" si="316">IF(OR(LEN(R42)=0,R42=0),"",R42-R41)</f>
        <v>-0.21000000000000085</v>
      </c>
      <c r="T42" s="18">
        <f>운전실적_원본!K42</f>
        <v>33.200000000000003</v>
      </c>
      <c r="U42" s="19">
        <f t="shared" si="306"/>
        <v>2.4000000000000909E-2</v>
      </c>
      <c r="V42" s="12">
        <f>운전실적_원본!L42</f>
        <v>8392</v>
      </c>
      <c r="W42" s="16">
        <f t="shared" ref="W42" si="317">IF(OR(LEN(V42)=0,V42=0),"",V42-V41)</f>
        <v>186.25</v>
      </c>
      <c r="X42" s="10">
        <f>운전실적_원본!M42</f>
        <v>139041.94999999553</v>
      </c>
      <c r="Y42" s="10">
        <f>운전실적_원본!N42</f>
        <v>0</v>
      </c>
      <c r="Z42" s="10">
        <f>운전실적_원본!O42</f>
        <v>0</v>
      </c>
      <c r="AA42" s="10">
        <f>운전실적_원본!P42</f>
        <v>0</v>
      </c>
      <c r="AB42" s="10">
        <f>운전실적_원본!Q42</f>
        <v>0</v>
      </c>
      <c r="AC42" s="20">
        <f>운전실적_원본!R42</f>
        <v>0</v>
      </c>
      <c r="AD42" s="109">
        <f>운전실적_원본!S42</f>
        <v>19</v>
      </c>
      <c r="AE42" s="110">
        <f>운전실적_원본!T42</f>
        <v>0</v>
      </c>
      <c r="AF42" s="110">
        <f>운전실적_원본!U42</f>
        <v>0</v>
      </c>
      <c r="AG42" s="110">
        <f>운전실적_원본!V42</f>
        <v>0</v>
      </c>
      <c r="AH42" s="109">
        <f t="shared" si="1"/>
        <v>19.250000000058208</v>
      </c>
      <c r="AI42" s="110">
        <f t="shared" si="125"/>
        <v>0</v>
      </c>
      <c r="AJ42" s="110">
        <f>운전실적_원본!Y42</f>
        <v>0</v>
      </c>
      <c r="AK42" s="110">
        <f>운전실적_원본!Z42</f>
        <v>0</v>
      </c>
      <c r="AL42" s="106">
        <v>46059</v>
      </c>
      <c r="AM42" s="105">
        <v>46059.017361111109</v>
      </c>
      <c r="AN42" s="105">
        <v>46059.135416666664</v>
      </c>
      <c r="AO42" s="105">
        <v>46059.357638888891</v>
      </c>
      <c r="AP42" s="105">
        <v>46059.4375</v>
      </c>
      <c r="AQ42" s="108">
        <f>AL43</f>
        <v>46060</v>
      </c>
      <c r="AR42" s="105"/>
      <c r="AS42" s="105"/>
      <c r="AT42" s="102"/>
      <c r="AU42" s="102"/>
      <c r="AV42" s="102"/>
      <c r="AW42" s="102"/>
      <c r="AX42" s="32">
        <f>운전실적_원본!W42</f>
        <v>886.21500000000003</v>
      </c>
      <c r="AY42" s="11">
        <f>운전실적_원본!X42</f>
        <v>0</v>
      </c>
      <c r="AZ42" s="11">
        <f>운전실적_원본!Y42</f>
        <v>0</v>
      </c>
      <c r="BA42" s="11">
        <f>운전실적_원본!Z42</f>
        <v>0</v>
      </c>
      <c r="BB42" s="11">
        <f>운전실적_원본!AA42</f>
        <v>0</v>
      </c>
      <c r="BC42" s="11">
        <f>운전실적_원본!AB42</f>
        <v>886.21500000000003</v>
      </c>
      <c r="BD42" s="32">
        <f t="shared" si="15"/>
        <v>46.642894736842109</v>
      </c>
      <c r="BE42" s="11">
        <f t="shared" si="2"/>
        <v>0.90762589485974132</v>
      </c>
      <c r="BF42" s="11">
        <f>운전실적_원본!AE42</f>
        <v>0</v>
      </c>
      <c r="BG42" s="31">
        <f t="shared" si="0"/>
        <v>0</v>
      </c>
      <c r="BH42" s="241">
        <f>INDEX(연료전지_원본!$A$4:$KY$369,MATCH($A42,연료전지_원본!$A$4:$A$369,0),MATCH($BH$4,연료전지_원본!$A$4:$KY$4,0))</f>
        <v>24</v>
      </c>
      <c r="BI42" s="241">
        <f>INDEX(연료전지_원본!$A$4:$KY$369,MATCH($A42,연료전지_원본!$A$4:$A$369,0),MATCH($BI$4,연료전지_원본!$A$4:$KY$4,0))</f>
        <v>4.333333333333333</v>
      </c>
      <c r="BJ42" s="241">
        <f>INDEX(연료전지_원본!$A$4:$KY$369,MATCH($A42,연료전지_원본!$A$4:$A$369,0),MATCH($BJ$4,연료전지_원본!$A$4:$KY$4,0))</f>
        <v>24</v>
      </c>
      <c r="BK42" s="241">
        <f>INDEX(연료전지_원본!$A$4:$KY$369,MATCH($A42,연료전지_원본!$A$4:$A$369,0),MATCH($BK$4,연료전지_원본!$A$4:$KY$4,0))</f>
        <v>24</v>
      </c>
      <c r="BL42" s="241">
        <f>INDEX(연료전지_원본!$A$4:$KY$369,MATCH($A42,연료전지_원본!$A$4:$A$369,0),MATCH($BL$4,연료전지_원본!$A$4:$KY$4,0))</f>
        <v>24</v>
      </c>
      <c r="BM42" s="241">
        <f>INDEX(연료전지_원본!$A$4:$KY$369,MATCH($A42,연료전지_원본!$A$4:$A$369,0),MATCH($BM$4,연료전지_원본!$A$4:$KY$4,0))</f>
        <v>24</v>
      </c>
      <c r="BN42" s="241">
        <f>INDEX(연료전지_원본!$A$4:$KY$369,MATCH($A42,연료전지_원본!$A$4:$A$369,0),MATCH($BN$4,연료전지_원본!$A$4:$KY$4,0))</f>
        <v>24</v>
      </c>
      <c r="BO42" s="241">
        <f>INDEX(연료전지_원본!$A$4:$KY$369,MATCH($A42,연료전지_원본!$A$4:$A$369,0),MATCH($BO$4,연료전지_원본!$A$4:$KY$4,0))</f>
        <v>24</v>
      </c>
      <c r="BP42" s="241">
        <f>INDEX(연료전지_원본!$A$4:$KY$369,MATCH($A42,연료전지_원본!$A$4:$A$369,0),MATCH($BP$4,연료전지_원본!$A$4:$KY$4,0))</f>
        <v>24</v>
      </c>
      <c r="BQ42" s="241">
        <f>INDEX(연료전지_원본!$A$4:$KY$369,MATCH($A42,연료전지_원본!$A$4:$A$369,0),MATCH($BQ$4,연료전지_원본!$A$4:$KY$4,0))</f>
        <v>24</v>
      </c>
      <c r="BR42" s="241">
        <f>INDEX(연료전지_원본!$A$4:$KY$369,MATCH($A42,연료전지_원본!$A$4:$A$369,0),MATCH($BR$4,연료전지_원본!$A$4:$KY$4,0))</f>
        <v>24</v>
      </c>
      <c r="BS42" s="241">
        <f>INDEX(연료전지_원본!$A$4:$KY$369,MATCH($A42,연료전지_원본!$A$4:$A$369,0),MATCH($BS$4,연료전지_원본!$A$4:$KY$4,0))</f>
        <v>24</v>
      </c>
      <c r="BT42" s="241">
        <f>INDEX(연료전지_원본!$A$4:$KY$369,MATCH($A42,연료전지_원본!$A$4:$A$369,0),MATCH($BT$4,연료전지_원본!$A$4:$KY$4,0))</f>
        <v>24</v>
      </c>
      <c r="BU42" s="241">
        <f>INDEX(연료전지_원본!$A$4:$KY$369,MATCH($A42,연료전지_원본!$A$4:$A$369,0),MATCH($BU$4,연료전지_원본!$A$4:$KY$4,0))</f>
        <v>24</v>
      </c>
      <c r="BV42" s="241">
        <f>INDEX(연료전지_원본!$A$4:$KY$369,MATCH($A42,연료전지_원본!$A$4:$A$369,0),MATCH($BV$4,연료전지_원본!$A$4:$KY$4,0))</f>
        <v>24</v>
      </c>
      <c r="BW42" s="241">
        <f>INDEX(연료전지_원본!$A$4:$KY$369,MATCH($A42,연료전지_원본!$A$4:$A$369,0),MATCH($BW$4,연료전지_원본!$A$4:$KY$4,0))</f>
        <v>24</v>
      </c>
      <c r="BX42" s="241">
        <f>INDEX(연료전지_원본!$A$4:$KY$369,MATCH($A42,연료전지_원본!$A$4:$A$369,0),MATCH($BX$4,연료전지_원본!$A$4:$KY$4,0))</f>
        <v>24</v>
      </c>
      <c r="BY42" s="241">
        <f>INDEX(연료전지_원본!$A$4:$KY$369,MATCH($A42,연료전지_원본!$A$4:$A$369,0),MATCH($BY$4,연료전지_원본!$A$4:$KY$4,0))</f>
        <v>24</v>
      </c>
      <c r="BZ42" s="241">
        <f>INDEX(연료전지_원본!$A$4:$KY$369,MATCH($A42,연료전지_원본!$A$4:$A$369,0),MATCH($BZ$4,연료전지_원본!$A$4:$KY$4,0))</f>
        <v>24</v>
      </c>
      <c r="CA42" s="241">
        <f>INDEX(연료전지_원본!$A$4:$KY$369,MATCH($A42,연료전지_원본!$A$4:$A$369,0),MATCH($CA$4,연료전지_원본!$A$4:$KY$4,0))</f>
        <v>24</v>
      </c>
      <c r="CB42" s="241">
        <f>INDEX(연료전지_원본!$A$4:$KY$369,MATCH($A42,연료전지_원본!$A$4:$A$369,0),MATCH($CB$4,연료전지_원본!$A$4:$KY$4,0))</f>
        <v>24</v>
      </c>
      <c r="CC42" s="242">
        <f>INDEX(연료전지_원본!$A$4:$KY$369,MATCH($A42,연료전지_원본!$A$4:$A$369,0),MATCH($CC$4,연료전지_원본!$A$4:$KY$4,0))</f>
        <v>24</v>
      </c>
      <c r="CD42" s="254">
        <f>INDEX(연료전지_원본!$KB$4:$KX$369,MATCH($A42,연료전지_원본!$KB$4:$KB$369,0), MATCH(CD$4,연료전지_원본!$KB$4:$KX$4,0))*1000</f>
        <v>2028</v>
      </c>
      <c r="CE42" s="250">
        <f>INDEX(연료전지_원본!$KB$4:$KX$369,MATCH($A42,연료전지_원본!$KB$4:$KB$369,0), MATCH(CE$4,연료전지_원본!$KB$4:$KX$4,0))*1000</f>
        <v>365</v>
      </c>
      <c r="CF42" s="250">
        <f>INDEX(연료전지_원본!$KB$4:$KX$369,MATCH($A42,연료전지_원본!$KB$4:$KB$369,0), MATCH(CF$4,연료전지_원본!$KB$4:$KX$4,0))*1000</f>
        <v>2028</v>
      </c>
      <c r="CG42" s="250">
        <f>INDEX(연료전지_원본!$KB$4:$KX$369,MATCH($A42,연료전지_원본!$KB$4:$KB$369,0), MATCH(CG$4,연료전지_원본!$KB$4:$KX$4,0))*1000</f>
        <v>2028</v>
      </c>
      <c r="CH42" s="250">
        <f>INDEX(연료전지_원본!$KB$4:$KX$369,MATCH($A42,연료전지_원본!$KB$4:$KB$369,0), MATCH(CH$4,연료전지_원본!$KB$4:$KX$4,0))*1000</f>
        <v>2028</v>
      </c>
      <c r="CI42" s="250">
        <f>INDEX(연료전지_원본!$KB$4:$KX$369,MATCH($A42,연료전지_원본!$KB$4:$KB$369,0), MATCH(CI$4,연료전지_원본!$KB$4:$KX$4,0))*1000</f>
        <v>2027.0000000000002</v>
      </c>
      <c r="CJ42" s="250">
        <f>INDEX(연료전지_원본!$KB$4:$KX$369,MATCH($A42,연료전지_원본!$KB$4:$KB$369,0), MATCH(CJ$4,연료전지_원본!$KB$4:$KX$4,0))*1000</f>
        <v>2028</v>
      </c>
      <c r="CK42" s="250">
        <f>INDEX(연료전지_원본!$KB$4:$KX$369,MATCH($A42,연료전지_원본!$KB$4:$KB$369,0), MATCH(CK$4,연료전지_원본!$KB$4:$KX$4,0))*1000</f>
        <v>2027.0000000000002</v>
      </c>
      <c r="CL42" s="250">
        <f>INDEX(연료전지_원본!$KB$4:$KX$369,MATCH($A42,연료전지_원본!$KB$4:$KB$369,0), MATCH(CL$4,연료전지_원본!$KB$4:$KX$4,0))*1000</f>
        <v>2029</v>
      </c>
      <c r="CM42" s="250">
        <f>INDEX(연료전지_원본!$KB$4:$KX$369,MATCH($A42,연료전지_원본!$KB$4:$KB$369,0), MATCH(CM$4,연료전지_원본!$KB$4:$KX$4,0))*1000</f>
        <v>2027.0000000000002</v>
      </c>
      <c r="CN42" s="250">
        <f>INDEX(연료전지_원본!$KB$4:$KX$369,MATCH($A42,연료전지_원본!$KB$4:$KB$369,0), MATCH(CN$4,연료전지_원본!$KB$4:$KX$4,0))*1000</f>
        <v>2028</v>
      </c>
      <c r="CO42" s="250">
        <f>INDEX(연료전지_원본!$KB$4:$KX$369,MATCH($A42,연료전지_원본!$KB$4:$KB$369,0), MATCH(CO$4,연료전지_원본!$KB$4:$KX$4,0))*1000</f>
        <v>2031.0000000000002</v>
      </c>
      <c r="CP42" s="250">
        <f>INDEX(연료전지_원본!$KB$4:$KX$369,MATCH($A42,연료전지_원본!$KB$4:$KB$369,0), MATCH(CP$4,연료전지_원본!$KB$4:$KX$4,0))*1000</f>
        <v>1918</v>
      </c>
      <c r="CQ42" s="250">
        <f>INDEX(연료전지_원본!$KB$4:$KX$369,MATCH($A42,연료전지_원본!$KB$4:$KB$369,0), MATCH(CQ$4,연료전지_원본!$KB$4:$KX$4,0))*1000</f>
        <v>2028</v>
      </c>
      <c r="CR42" s="250">
        <f>INDEX(연료전지_원본!$KB$4:$KX$369,MATCH($A42,연료전지_원본!$KB$4:$KB$369,0), MATCH(CR$4,연료전지_원본!$KB$4:$KX$4,0))*1000</f>
        <v>2029</v>
      </c>
      <c r="CS42" s="250">
        <f>INDEX(연료전지_원본!$KB$4:$KX$369,MATCH($A42,연료전지_원본!$KB$4:$KB$369,0), MATCH(CS$4,연료전지_원본!$KB$4:$KX$4,0))*1000</f>
        <v>2028</v>
      </c>
      <c r="CT42" s="250">
        <f>INDEX(연료전지_원본!$KB$4:$KX$369,MATCH($A42,연료전지_원본!$KB$4:$KB$369,0), MATCH(CT$4,연료전지_원본!$KB$4:$KX$4,0))*1000</f>
        <v>2027.0000000000002</v>
      </c>
      <c r="CU42" s="250">
        <f>INDEX(연료전지_원본!$KB$4:$KX$369,MATCH($A42,연료전지_원본!$KB$4:$KB$369,0), MATCH(CU$4,연료전지_원본!$KB$4:$KX$4,0))*1000</f>
        <v>2027.0000000000002</v>
      </c>
      <c r="CV42" s="250">
        <f>INDEX(연료전지_원본!$KB$4:$KX$369,MATCH($A42,연료전지_원본!$KB$4:$KB$369,0), MATCH(CV$4,연료전지_원본!$KB$4:$KX$4,0))*1000</f>
        <v>2027.0000000000002</v>
      </c>
      <c r="CW42" s="250">
        <f>INDEX(연료전지_원본!$KB$4:$KX$369,MATCH($A42,연료전지_원본!$KB$4:$KB$369,0), MATCH(CW$4,연료전지_원본!$KB$4:$KX$4,0))*1000</f>
        <v>2029</v>
      </c>
      <c r="CX42" s="250">
        <f>INDEX(연료전지_원본!$KB$4:$KX$369,MATCH($A42,연료전지_원본!$KB$4:$KB$369,0), MATCH(CX$4,연료전지_원본!$KB$4:$KX$4,0))*1000</f>
        <v>2025.9999999999998</v>
      </c>
      <c r="CY42" s="255">
        <f>INDEX(연료전지_원본!$KB$4:$KX$369,MATCH($A42,연료전지_원본!$KB$4:$KB$369,0), MATCH(CY$4,연료전지_원본!$KB$4:$KX$4,0))*1000</f>
        <v>2027.0000000000002</v>
      </c>
      <c r="CZ42" s="185">
        <v>9.6209999999999809</v>
      </c>
      <c r="DA42" s="30">
        <v>1.7290000000000134</v>
      </c>
      <c r="DB42" s="30">
        <v>9.6189999999999998</v>
      </c>
      <c r="DC42" s="30">
        <v>9.6210000000000377</v>
      </c>
      <c r="DD42" s="30">
        <v>9.6189999999999998</v>
      </c>
      <c r="DE42" s="30">
        <v>9.6170000000000186</v>
      </c>
      <c r="DF42" s="30">
        <v>9.6200000000000045</v>
      </c>
      <c r="DG42" s="30">
        <v>9.6160000000000139</v>
      </c>
      <c r="DH42" s="30">
        <v>9.6260000000000048</v>
      </c>
      <c r="DI42" s="30">
        <v>9.6159999999999854</v>
      </c>
      <c r="DJ42" s="30">
        <v>9.6209999999999951</v>
      </c>
      <c r="DK42" s="30">
        <v>9.6359999999999815</v>
      </c>
      <c r="DL42" s="30">
        <v>9.0999999999999943</v>
      </c>
      <c r="DM42" s="30">
        <v>9.617999999999995</v>
      </c>
      <c r="DN42" s="30">
        <v>9.623999999999981</v>
      </c>
      <c r="DO42" s="30">
        <v>9.6180000000000092</v>
      </c>
      <c r="DP42" s="30">
        <v>9.6140000000000043</v>
      </c>
      <c r="DQ42" s="30">
        <v>9.6129999999999995</v>
      </c>
      <c r="DR42" s="30">
        <v>9.6149999999999807</v>
      </c>
      <c r="DS42" s="30">
        <v>9.625</v>
      </c>
      <c r="DT42" s="30">
        <v>9.6119999999999948</v>
      </c>
      <c r="DU42" s="30">
        <v>9.6129999999999995</v>
      </c>
      <c r="DV42" s="30">
        <f t="shared" si="297"/>
        <v>203.21299999999999</v>
      </c>
    </row>
    <row r="43" spans="1:126">
      <c r="A43" s="6">
        <v>46060</v>
      </c>
      <c r="B43" s="15">
        <f>운전실적_원본!B43</f>
        <v>651.20000000000005</v>
      </c>
      <c r="C43" s="16">
        <f t="shared" si="298"/>
        <v>0</v>
      </c>
      <c r="D43" s="12">
        <f>운전실적_원본!C43</f>
        <v>249165</v>
      </c>
      <c r="E43" s="12">
        <f t="shared" si="299"/>
        <v>0</v>
      </c>
      <c r="F43" s="12">
        <f>운전실적_원본!D43</f>
        <v>240777</v>
      </c>
      <c r="G43" s="16">
        <f t="shared" si="300"/>
        <v>55</v>
      </c>
      <c r="H43" s="15">
        <f>운전실적_원본!E43</f>
        <v>17193.91</v>
      </c>
      <c r="I43" s="16">
        <f t="shared" si="301"/>
        <v>3.1199999999989814</v>
      </c>
      <c r="J43" s="15">
        <f>운전실적_원본!F43</f>
        <v>15018.6</v>
      </c>
      <c r="K43" s="16">
        <f t="shared" si="301"/>
        <v>17.829999999999927</v>
      </c>
      <c r="L43" s="32">
        <f>운전실적_원본!G43</f>
        <v>12.5</v>
      </c>
      <c r="M43" s="31">
        <f t="shared" ref="M43" si="318">IF(OR(LEN(L43)=0,L43=0),"",L43-L42)</f>
        <v>0.69999999999999929</v>
      </c>
      <c r="N43" s="15">
        <f>운전실적_원본!H43</f>
        <v>37673</v>
      </c>
      <c r="O43" s="16">
        <f t="shared" ref="O43" si="319">IF(OR(LEN(N43)=0,N43=0),"",N43-N42)</f>
        <v>81</v>
      </c>
      <c r="P43" s="15">
        <f>운전실적_원본!I43</f>
        <v>21075</v>
      </c>
      <c r="Q43" s="16">
        <f t="shared" ref="Q43" si="320">IF(OR(LEN(P43)=0,P43=0),"",P43-P42)</f>
        <v>122</v>
      </c>
      <c r="R43" s="18">
        <f>운전실적_원본!J43</f>
        <v>33.78</v>
      </c>
      <c r="S43" s="19">
        <f t="shared" ref="S43" si="321">IF(OR(LEN(R43)=0,R43=0),"",R43-R42)</f>
        <v>0.10999999999999943</v>
      </c>
      <c r="T43" s="18">
        <f>운전실적_원본!K43</f>
        <v>33.19</v>
      </c>
      <c r="U43" s="19">
        <f t="shared" si="306"/>
        <v>-1.0000000000005116E-2</v>
      </c>
      <c r="V43" s="12">
        <f>운전실적_원본!L43</f>
        <v>8228</v>
      </c>
      <c r="W43" s="16">
        <f t="shared" ref="W43" si="322">IF(OR(LEN(V43)=0,V43=0),"",V43-V42)</f>
        <v>-164</v>
      </c>
      <c r="X43" s="10">
        <f>운전실적_원본!M43</f>
        <v>195601.91000000387</v>
      </c>
      <c r="Y43" s="10">
        <f>운전실적_원본!N43</f>
        <v>0</v>
      </c>
      <c r="Z43" s="10">
        <f>운전실적_원본!O43</f>
        <v>0</v>
      </c>
      <c r="AA43" s="10">
        <f>운전실적_원본!P43</f>
        <v>0</v>
      </c>
      <c r="AB43" s="10">
        <f>운전실적_원본!Q43</f>
        <v>0</v>
      </c>
      <c r="AC43" s="20">
        <f>운전실적_원본!R43</f>
        <v>0</v>
      </c>
      <c r="AD43" s="109">
        <f>운전실적_원본!S43</f>
        <v>24</v>
      </c>
      <c r="AE43" s="110">
        <f>운전실적_원본!T43</f>
        <v>0</v>
      </c>
      <c r="AF43" s="110">
        <f>운전실적_원본!U43</f>
        <v>0</v>
      </c>
      <c r="AG43" s="110">
        <f>운전실적_원본!V43</f>
        <v>0</v>
      </c>
      <c r="AH43" s="109">
        <f t="shared" si="1"/>
        <v>24</v>
      </c>
      <c r="AI43" s="110">
        <f t="shared" si="125"/>
        <v>0</v>
      </c>
      <c r="AJ43" s="110">
        <f>운전실적_원본!Y43</f>
        <v>0</v>
      </c>
      <c r="AK43" s="110">
        <f>운전실적_원본!Z43</f>
        <v>0</v>
      </c>
      <c r="AL43" s="106">
        <v>46060</v>
      </c>
      <c r="AM43" s="105">
        <f t="shared" si="171"/>
        <v>46061</v>
      </c>
      <c r="AN43" s="105"/>
      <c r="AO43" s="105"/>
      <c r="AP43" s="105"/>
      <c r="AQ43" s="108"/>
      <c r="AR43" s="105"/>
      <c r="AS43" s="105"/>
      <c r="AT43" s="102"/>
      <c r="AU43" s="102"/>
      <c r="AV43" s="102"/>
      <c r="AW43" s="102"/>
      <c r="AX43" s="32">
        <f>운전실적_원본!W43</f>
        <v>1270</v>
      </c>
      <c r="AY43" s="11">
        <f>운전실적_원본!X43</f>
        <v>0</v>
      </c>
      <c r="AZ43" s="11">
        <f>운전실적_원본!Y43</f>
        <v>0</v>
      </c>
      <c r="BA43" s="11">
        <f>운전실적_원본!Z43</f>
        <v>0</v>
      </c>
      <c r="BB43" s="11">
        <f>운전실적_원본!AA43</f>
        <v>0</v>
      </c>
      <c r="BC43" s="11">
        <f>운전실적_원본!AB43</f>
        <v>1270</v>
      </c>
      <c r="BD43" s="32">
        <f t="shared" si="15"/>
        <v>52.916666666666664</v>
      </c>
      <c r="BE43" s="11">
        <f t="shared" si="2"/>
        <v>1.0297074657845235</v>
      </c>
      <c r="BF43" s="11">
        <f>운전실적_원본!AE43</f>
        <v>0</v>
      </c>
      <c r="BG43" s="31">
        <f t="shared" si="0"/>
        <v>0</v>
      </c>
      <c r="BH43" s="241">
        <f>INDEX(연료전지_원본!$A$4:$KY$369,MATCH($A43,연료전지_원본!$A$4:$A$369,0),MATCH($BH$4,연료전지_원본!$A$4:$KY$4,0))</f>
        <v>24</v>
      </c>
      <c r="BI43" s="241">
        <f>INDEX(연료전지_원본!$A$4:$KY$369,MATCH($A43,연료전지_원본!$A$4:$A$369,0),MATCH($BI$4,연료전지_원본!$A$4:$KY$4,0))</f>
        <v>0</v>
      </c>
      <c r="BJ43" s="241">
        <f>INDEX(연료전지_원본!$A$4:$KY$369,MATCH($A43,연료전지_원본!$A$4:$A$369,0),MATCH($BJ$4,연료전지_원본!$A$4:$KY$4,0))</f>
        <v>24</v>
      </c>
      <c r="BK43" s="241">
        <f>INDEX(연료전지_원본!$A$4:$KY$369,MATCH($A43,연료전지_원본!$A$4:$A$369,0),MATCH($BK$4,연료전지_원본!$A$4:$KY$4,0))</f>
        <v>24</v>
      </c>
      <c r="BL43" s="241">
        <f>INDEX(연료전지_원본!$A$4:$KY$369,MATCH($A43,연료전지_원본!$A$4:$A$369,0),MATCH($BL$4,연료전지_원본!$A$4:$KY$4,0))</f>
        <v>24</v>
      </c>
      <c r="BM43" s="241">
        <f>INDEX(연료전지_원본!$A$4:$KY$369,MATCH($A43,연료전지_원본!$A$4:$A$369,0),MATCH($BM$4,연료전지_원본!$A$4:$KY$4,0))</f>
        <v>24</v>
      </c>
      <c r="BN43" s="241">
        <f>INDEX(연료전지_원본!$A$4:$KY$369,MATCH($A43,연료전지_원본!$A$4:$A$369,0),MATCH($BN$4,연료전지_원본!$A$4:$KY$4,0))</f>
        <v>24</v>
      </c>
      <c r="BO43" s="241">
        <f>INDEX(연료전지_원본!$A$4:$KY$369,MATCH($A43,연료전지_원본!$A$4:$A$369,0),MATCH($BO$4,연료전지_원본!$A$4:$KY$4,0))</f>
        <v>24</v>
      </c>
      <c r="BP43" s="241">
        <f>INDEX(연료전지_원본!$A$4:$KY$369,MATCH($A43,연료전지_원본!$A$4:$A$369,0),MATCH($BP$4,연료전지_원본!$A$4:$KY$4,0))</f>
        <v>24</v>
      </c>
      <c r="BQ43" s="241">
        <f>INDEX(연료전지_원본!$A$4:$KY$369,MATCH($A43,연료전지_원본!$A$4:$A$369,0),MATCH($BQ$4,연료전지_원본!$A$4:$KY$4,0))</f>
        <v>24</v>
      </c>
      <c r="BR43" s="241">
        <f>INDEX(연료전지_원본!$A$4:$KY$369,MATCH($A43,연료전지_원본!$A$4:$A$369,0),MATCH($BR$4,연료전지_원본!$A$4:$KY$4,0))</f>
        <v>24</v>
      </c>
      <c r="BS43" s="241">
        <f>INDEX(연료전지_원본!$A$4:$KY$369,MATCH($A43,연료전지_원본!$A$4:$A$369,0),MATCH($BS$4,연료전지_원본!$A$4:$KY$4,0))</f>
        <v>24</v>
      </c>
      <c r="BT43" s="241">
        <f>INDEX(연료전지_원본!$A$4:$KY$369,MATCH($A43,연료전지_원본!$A$4:$A$369,0),MATCH($BT$4,연료전지_원본!$A$4:$KY$4,0))</f>
        <v>24</v>
      </c>
      <c r="BU43" s="241">
        <f>INDEX(연료전지_원본!$A$4:$KY$369,MATCH($A43,연료전지_원본!$A$4:$A$369,0),MATCH($BU$4,연료전지_원본!$A$4:$KY$4,0))</f>
        <v>24</v>
      </c>
      <c r="BV43" s="241">
        <f>INDEX(연료전지_원본!$A$4:$KY$369,MATCH($A43,연료전지_원본!$A$4:$A$369,0),MATCH($BV$4,연료전지_원본!$A$4:$KY$4,0))</f>
        <v>24</v>
      </c>
      <c r="BW43" s="241">
        <f>INDEX(연료전지_원본!$A$4:$KY$369,MATCH($A43,연료전지_원본!$A$4:$A$369,0),MATCH($BW$4,연료전지_원본!$A$4:$KY$4,0))</f>
        <v>24</v>
      </c>
      <c r="BX43" s="241">
        <f>INDEX(연료전지_원본!$A$4:$KY$369,MATCH($A43,연료전지_원본!$A$4:$A$369,0),MATCH($BX$4,연료전지_원본!$A$4:$KY$4,0))</f>
        <v>24</v>
      </c>
      <c r="BY43" s="241">
        <f>INDEX(연료전지_원본!$A$4:$KY$369,MATCH($A43,연료전지_원본!$A$4:$A$369,0),MATCH($BY$4,연료전지_원본!$A$4:$KY$4,0))</f>
        <v>24</v>
      </c>
      <c r="BZ43" s="241">
        <f>INDEX(연료전지_원본!$A$4:$KY$369,MATCH($A43,연료전지_원본!$A$4:$A$369,0),MATCH($BZ$4,연료전지_원본!$A$4:$KY$4,0))</f>
        <v>24</v>
      </c>
      <c r="CA43" s="241">
        <f>INDEX(연료전지_원본!$A$4:$KY$369,MATCH($A43,연료전지_원본!$A$4:$A$369,0),MATCH($CA$4,연료전지_원본!$A$4:$KY$4,0))</f>
        <v>24</v>
      </c>
      <c r="CB43" s="241">
        <f>INDEX(연료전지_원본!$A$4:$KY$369,MATCH($A43,연료전지_원본!$A$4:$A$369,0),MATCH($CB$4,연료전지_원본!$A$4:$KY$4,0))</f>
        <v>24</v>
      </c>
      <c r="CC43" s="242">
        <f>INDEX(연료전지_원본!$A$4:$KY$369,MATCH($A43,연료전지_원본!$A$4:$A$369,0),MATCH($CC$4,연료전지_원본!$A$4:$KY$4,0))</f>
        <v>24</v>
      </c>
      <c r="CD43" s="254">
        <f>INDEX(연료전지_원본!$KB$4:$KX$369,MATCH($A43,연료전지_원본!$KB$4:$KB$369,0), MATCH(CD$4,연료전지_원본!$KB$4:$KX$4,0))*1000</f>
        <v>2035.0000000000002</v>
      </c>
      <c r="CE43" s="250">
        <f>INDEX(연료전지_원본!$KB$4:$KX$369,MATCH($A43,연료전지_원본!$KB$4:$KB$369,0), MATCH(CE$4,연료전지_원본!$KB$4:$KX$4,0))*1000</f>
        <v>0</v>
      </c>
      <c r="CF43" s="250">
        <f>INDEX(연료전지_원본!$KB$4:$KX$369,MATCH($A43,연료전지_원본!$KB$4:$KB$369,0), MATCH(CF$4,연료전지_원본!$KB$4:$KX$4,0))*1000</f>
        <v>2035.0000000000002</v>
      </c>
      <c r="CG43" s="250">
        <f>INDEX(연료전지_원본!$KB$4:$KX$369,MATCH($A43,연료전지_원본!$KB$4:$KB$369,0), MATCH(CG$4,연료전지_원본!$KB$4:$KX$4,0))*1000</f>
        <v>2035.0000000000002</v>
      </c>
      <c r="CH43" s="250">
        <f>INDEX(연료전지_원본!$KB$4:$KX$369,MATCH($A43,연료전지_원본!$KB$4:$KB$369,0), MATCH(CH$4,연료전지_원본!$KB$4:$KX$4,0))*1000</f>
        <v>2036</v>
      </c>
      <c r="CI43" s="250">
        <f>INDEX(연료전지_원본!$KB$4:$KX$369,MATCH($A43,연료전지_원본!$KB$4:$KB$369,0), MATCH(CI$4,연료전지_원본!$KB$4:$KX$4,0))*1000</f>
        <v>2035.0000000000002</v>
      </c>
      <c r="CJ43" s="250">
        <f>INDEX(연료전지_원본!$KB$4:$KX$369,MATCH($A43,연료전지_원본!$KB$4:$KB$369,0), MATCH(CJ$4,연료전지_원본!$KB$4:$KX$4,0))*1000</f>
        <v>2033.9999999999998</v>
      </c>
      <c r="CK43" s="250">
        <f>INDEX(연료전지_원본!$KB$4:$KX$369,MATCH($A43,연료전지_원본!$KB$4:$KB$369,0), MATCH(CK$4,연료전지_원본!$KB$4:$KX$4,0))*1000</f>
        <v>2033.9999999999998</v>
      </c>
      <c r="CL43" s="250">
        <f>INDEX(연료전지_원본!$KB$4:$KX$369,MATCH($A43,연료전지_원본!$KB$4:$KB$369,0), MATCH(CL$4,연료전지_원본!$KB$4:$KX$4,0))*1000</f>
        <v>2036</v>
      </c>
      <c r="CM43" s="250">
        <f>INDEX(연료전지_원본!$KB$4:$KX$369,MATCH($A43,연료전지_원본!$KB$4:$KB$369,0), MATCH(CM$4,연료전지_원본!$KB$4:$KX$4,0))*1000</f>
        <v>2035.0000000000002</v>
      </c>
      <c r="CN43" s="250">
        <f>INDEX(연료전지_원본!$KB$4:$KX$369,MATCH($A43,연료전지_원본!$KB$4:$KB$369,0), MATCH(CN$4,연료전지_원본!$KB$4:$KX$4,0))*1000</f>
        <v>2035.0000000000002</v>
      </c>
      <c r="CO43" s="250">
        <f>INDEX(연료전지_원본!$KB$4:$KX$369,MATCH($A43,연료전지_원본!$KB$4:$KB$369,0), MATCH(CO$4,연료전지_원본!$KB$4:$KX$4,0))*1000</f>
        <v>2037.9999999999998</v>
      </c>
      <c r="CP43" s="250">
        <f>INDEX(연료전지_원본!$KB$4:$KX$369,MATCH($A43,연료전지_원본!$KB$4:$KB$369,0), MATCH(CP$4,연료전지_원본!$KB$4:$KX$4,0))*1000</f>
        <v>2032</v>
      </c>
      <c r="CQ43" s="250">
        <f>INDEX(연료전지_원본!$KB$4:$KX$369,MATCH($A43,연료전지_원본!$KB$4:$KB$369,0), MATCH(CQ$4,연료전지_원본!$KB$4:$KX$4,0))*1000</f>
        <v>2033.9999999999998</v>
      </c>
      <c r="CR43" s="250">
        <f>INDEX(연료전지_원본!$KB$4:$KX$369,MATCH($A43,연료전지_원본!$KB$4:$KB$369,0), MATCH(CR$4,연료전지_원본!$KB$4:$KX$4,0))*1000</f>
        <v>2035.0000000000002</v>
      </c>
      <c r="CS43" s="250">
        <f>INDEX(연료전지_원본!$KB$4:$KX$369,MATCH($A43,연료전지_원본!$KB$4:$KB$369,0), MATCH(CS$4,연료전지_원본!$KB$4:$KX$4,0))*1000</f>
        <v>2035.0000000000002</v>
      </c>
      <c r="CT43" s="250">
        <f>INDEX(연료전지_원본!$KB$4:$KX$369,MATCH($A43,연료전지_원본!$KB$4:$KB$369,0), MATCH(CT$4,연료전지_원본!$KB$4:$KX$4,0))*1000</f>
        <v>2033.9999999999998</v>
      </c>
      <c r="CU43" s="250">
        <f>INDEX(연료전지_원본!$KB$4:$KX$369,MATCH($A43,연료전지_원본!$KB$4:$KB$369,0), MATCH(CU$4,연료전지_원본!$KB$4:$KX$4,0))*1000</f>
        <v>2033.9999999999998</v>
      </c>
      <c r="CV43" s="250">
        <f>INDEX(연료전지_원본!$KB$4:$KX$369,MATCH($A43,연료전지_원본!$KB$4:$KB$369,0), MATCH(CV$4,연료전지_원본!$KB$4:$KX$4,0))*1000</f>
        <v>2033.9999999999998</v>
      </c>
      <c r="CW43" s="250">
        <f>INDEX(연료전지_원본!$KB$4:$KX$369,MATCH($A43,연료전지_원본!$KB$4:$KB$369,0), MATCH(CW$4,연료전지_원본!$KB$4:$KX$4,0))*1000</f>
        <v>2035.0000000000002</v>
      </c>
      <c r="CX43" s="250">
        <f>INDEX(연료전지_원본!$KB$4:$KX$369,MATCH($A43,연료전지_원본!$KB$4:$KB$369,0), MATCH(CX$4,연료전지_원본!$KB$4:$KX$4,0))*1000</f>
        <v>2033.9999999999998</v>
      </c>
      <c r="CY43" s="255">
        <f>INDEX(연료전지_원본!$KB$4:$KX$369,MATCH($A43,연료전지_원본!$KB$4:$KB$369,0), MATCH(CY$4,연료전지_원본!$KB$4:$KX$4,0))*1000</f>
        <v>2033.9999999999998</v>
      </c>
      <c r="CZ43" s="185">
        <v>9.6220000000000141</v>
      </c>
      <c r="DA43" s="30">
        <v>0</v>
      </c>
      <c r="DB43" s="30">
        <v>9.6189999999999998</v>
      </c>
      <c r="DC43" s="30">
        <v>9.6219999999999573</v>
      </c>
      <c r="DD43" s="30">
        <v>9.6239999999999952</v>
      </c>
      <c r="DE43" s="30">
        <v>9.6219999999999857</v>
      </c>
      <c r="DF43" s="30">
        <v>9.6159999999999854</v>
      </c>
      <c r="DG43" s="30">
        <v>9.6169999999999618</v>
      </c>
      <c r="DH43" s="30">
        <v>9.6269999999999811</v>
      </c>
      <c r="DI43" s="30">
        <v>9.6200000000000045</v>
      </c>
      <c r="DJ43" s="30">
        <v>9.6219999999999999</v>
      </c>
      <c r="DK43" s="30">
        <v>9.6340000000000146</v>
      </c>
      <c r="DL43" s="30">
        <v>9.6090000000000089</v>
      </c>
      <c r="DM43" s="30">
        <v>9.6170000000000186</v>
      </c>
      <c r="DN43" s="30">
        <v>9.6189999999999998</v>
      </c>
      <c r="DO43" s="30">
        <v>9.6219999999999857</v>
      </c>
      <c r="DP43" s="30">
        <v>9.617999999999995</v>
      </c>
      <c r="DQ43" s="30">
        <v>9.6169999999999902</v>
      </c>
      <c r="DR43" s="30">
        <v>9.6160000000000139</v>
      </c>
      <c r="DS43" s="30">
        <v>9.6209999999999951</v>
      </c>
      <c r="DT43" s="30">
        <v>9.6150000000000091</v>
      </c>
      <c r="DU43" s="30">
        <v>9.6159999999999997</v>
      </c>
      <c r="DV43" s="30">
        <f t="shared" si="297"/>
        <v>202.01499999999993</v>
      </c>
    </row>
    <row r="44" spans="1:126">
      <c r="A44" s="6">
        <v>46061</v>
      </c>
      <c r="B44" s="15">
        <f>운전실적_원본!B44</f>
        <v>651.20000000000005</v>
      </c>
      <c r="C44" s="16">
        <f t="shared" si="298"/>
        <v>0</v>
      </c>
      <c r="D44" s="12">
        <f>운전실적_원본!C44</f>
        <v>249190</v>
      </c>
      <c r="E44" s="12">
        <f t="shared" si="299"/>
        <v>25</v>
      </c>
      <c r="F44" s="12">
        <f>운전실적_원본!D44</f>
        <v>240814</v>
      </c>
      <c r="G44" s="16">
        <f t="shared" si="300"/>
        <v>37</v>
      </c>
      <c r="H44" s="15">
        <f>운전실적_원본!E44</f>
        <v>17197.599999999999</v>
      </c>
      <c r="I44" s="16">
        <f t="shared" si="301"/>
        <v>3.6899999999986903</v>
      </c>
      <c r="J44" s="15">
        <f>운전실적_원본!F44</f>
        <v>15036.84</v>
      </c>
      <c r="K44" s="16">
        <f t="shared" si="301"/>
        <v>18.239999999999782</v>
      </c>
      <c r="L44" s="32">
        <f>운전실적_원본!G44</f>
        <v>13.3</v>
      </c>
      <c r="M44" s="31">
        <f t="shared" ref="M44" si="323">IF(OR(LEN(L44)=0,L44=0),"",L44-L43)</f>
        <v>0.80000000000000071</v>
      </c>
      <c r="N44" s="15">
        <f>운전실적_원본!H44</f>
        <v>37705</v>
      </c>
      <c r="O44" s="16">
        <f t="shared" ref="O44" si="324">IF(OR(LEN(N44)=0,N44=0),"",N44-N43)</f>
        <v>32</v>
      </c>
      <c r="P44" s="15">
        <f>운전실적_원본!I44</f>
        <v>21205</v>
      </c>
      <c r="Q44" s="16">
        <f t="shared" ref="Q44" si="325">IF(OR(LEN(P44)=0,P44=0),"",P44-P43)</f>
        <v>130</v>
      </c>
      <c r="R44" s="18">
        <f>운전실적_원본!J44</f>
        <v>33.619999999999997</v>
      </c>
      <c r="S44" s="19">
        <f t="shared" ref="S44" si="326">IF(OR(LEN(R44)=0,R44=0),"",R44-R43)</f>
        <v>-0.16000000000000369</v>
      </c>
      <c r="T44" s="18">
        <f>운전실적_원본!K44</f>
        <v>33.15</v>
      </c>
      <c r="U44" s="19">
        <f t="shared" si="306"/>
        <v>-3.9999999999999147E-2</v>
      </c>
      <c r="V44" s="12">
        <f>운전실적_원본!L44</f>
        <v>8418</v>
      </c>
      <c r="W44" s="16">
        <f t="shared" ref="W44" si="327">IF(OR(LEN(V44)=0,V44=0),"",V44-V43)</f>
        <v>190</v>
      </c>
      <c r="X44" s="10">
        <f>운전실적_원본!M44</f>
        <v>197119.82999999821</v>
      </c>
      <c r="Y44" s="10">
        <f>운전실적_원본!N44</f>
        <v>0</v>
      </c>
      <c r="Z44" s="10">
        <f>운전실적_원본!O44</f>
        <v>0</v>
      </c>
      <c r="AA44" s="10">
        <f>운전실적_원본!P44</f>
        <v>0</v>
      </c>
      <c r="AB44" s="10">
        <f>운전실적_원본!Q44</f>
        <v>0</v>
      </c>
      <c r="AC44" s="20">
        <f>운전실적_원본!R44</f>
        <v>0</v>
      </c>
      <c r="AD44" s="109">
        <f>운전실적_원본!S44</f>
        <v>24</v>
      </c>
      <c r="AE44" s="110">
        <f>운전실적_원본!T44</f>
        <v>0</v>
      </c>
      <c r="AF44" s="110">
        <f>운전실적_원본!U44</f>
        <v>0</v>
      </c>
      <c r="AG44" s="110">
        <f>운전실적_원본!V44</f>
        <v>0</v>
      </c>
      <c r="AH44" s="109">
        <f t="shared" si="1"/>
        <v>24</v>
      </c>
      <c r="AI44" s="110">
        <f t="shared" si="125"/>
        <v>0</v>
      </c>
      <c r="AJ44" s="110">
        <f>운전실적_원본!Y44</f>
        <v>0</v>
      </c>
      <c r="AK44" s="110">
        <f>운전실적_원본!Z44</f>
        <v>0</v>
      </c>
      <c r="AL44" s="106">
        <v>46061</v>
      </c>
      <c r="AM44" s="105">
        <f t="shared" si="171"/>
        <v>46062</v>
      </c>
      <c r="AN44" s="105"/>
      <c r="AO44" s="105"/>
      <c r="AP44" s="105"/>
      <c r="AQ44" s="108"/>
      <c r="AR44" s="105"/>
      <c r="AS44" s="105"/>
      <c r="AT44" s="102"/>
      <c r="AU44" s="102"/>
      <c r="AV44" s="102"/>
      <c r="AW44" s="102"/>
      <c r="AX44" s="32">
        <f>운전실적_원본!W44</f>
        <v>1269</v>
      </c>
      <c r="AY44" s="11">
        <f>운전실적_원본!X44</f>
        <v>0</v>
      </c>
      <c r="AZ44" s="11">
        <f>운전실적_원본!Y44</f>
        <v>0</v>
      </c>
      <c r="BA44" s="11">
        <f>운전실적_원본!Z44</f>
        <v>0</v>
      </c>
      <c r="BB44" s="11">
        <f>운전실적_원본!AA44</f>
        <v>0</v>
      </c>
      <c r="BC44" s="11">
        <f>운전실적_원본!AB44</f>
        <v>1269</v>
      </c>
      <c r="BD44" s="32">
        <f t="shared" si="15"/>
        <v>52.875</v>
      </c>
      <c r="BE44" s="11">
        <f t="shared" si="2"/>
        <v>1.0288966725043782</v>
      </c>
      <c r="BF44" s="11">
        <f>운전실적_원본!AE44</f>
        <v>0</v>
      </c>
      <c r="BG44" s="31">
        <f t="shared" si="0"/>
        <v>0</v>
      </c>
      <c r="BH44" s="241">
        <f>INDEX(연료전지_원본!$A$4:$KY$369,MATCH($A44,연료전지_원본!$A$4:$A$369,0),MATCH($BH$4,연료전지_원본!$A$4:$KY$4,0))</f>
        <v>24</v>
      </c>
      <c r="BI44" s="241">
        <f>INDEX(연료전지_원본!$A$4:$KY$369,MATCH($A44,연료전지_원본!$A$4:$A$369,0),MATCH($BI$4,연료전지_원본!$A$4:$KY$4,0))</f>
        <v>0</v>
      </c>
      <c r="BJ44" s="241">
        <f>INDEX(연료전지_원본!$A$4:$KY$369,MATCH($A44,연료전지_원본!$A$4:$A$369,0),MATCH($BJ$4,연료전지_원본!$A$4:$KY$4,0))</f>
        <v>24</v>
      </c>
      <c r="BK44" s="241">
        <f>INDEX(연료전지_원본!$A$4:$KY$369,MATCH($A44,연료전지_원본!$A$4:$A$369,0),MATCH($BK$4,연료전지_원본!$A$4:$KY$4,0))</f>
        <v>24</v>
      </c>
      <c r="BL44" s="241">
        <f>INDEX(연료전지_원본!$A$4:$KY$369,MATCH($A44,연료전지_원본!$A$4:$A$369,0),MATCH($BL$4,연료전지_원본!$A$4:$KY$4,0))</f>
        <v>24</v>
      </c>
      <c r="BM44" s="241">
        <f>INDEX(연료전지_원본!$A$4:$KY$369,MATCH($A44,연료전지_원본!$A$4:$A$369,0),MATCH($BM$4,연료전지_원본!$A$4:$KY$4,0))</f>
        <v>24</v>
      </c>
      <c r="BN44" s="241">
        <f>INDEX(연료전지_원본!$A$4:$KY$369,MATCH($A44,연료전지_원본!$A$4:$A$369,0),MATCH($BN$4,연료전지_원본!$A$4:$KY$4,0))</f>
        <v>24</v>
      </c>
      <c r="BO44" s="241">
        <f>INDEX(연료전지_원본!$A$4:$KY$369,MATCH($A44,연료전지_원본!$A$4:$A$369,0),MATCH($BO$4,연료전지_원본!$A$4:$KY$4,0))</f>
        <v>24</v>
      </c>
      <c r="BP44" s="241">
        <f>INDEX(연료전지_원본!$A$4:$KY$369,MATCH($A44,연료전지_원본!$A$4:$A$369,0),MATCH($BP$4,연료전지_원본!$A$4:$KY$4,0))</f>
        <v>24</v>
      </c>
      <c r="BQ44" s="241">
        <f>INDEX(연료전지_원본!$A$4:$KY$369,MATCH($A44,연료전지_원본!$A$4:$A$369,0),MATCH($BQ$4,연료전지_원본!$A$4:$KY$4,0))</f>
        <v>24</v>
      </c>
      <c r="BR44" s="241">
        <f>INDEX(연료전지_원본!$A$4:$KY$369,MATCH($A44,연료전지_원본!$A$4:$A$369,0),MATCH($BR$4,연료전지_원본!$A$4:$KY$4,0))</f>
        <v>24</v>
      </c>
      <c r="BS44" s="241">
        <f>INDEX(연료전지_원본!$A$4:$KY$369,MATCH($A44,연료전지_원본!$A$4:$A$369,0),MATCH($BS$4,연료전지_원본!$A$4:$KY$4,0))</f>
        <v>24</v>
      </c>
      <c r="BT44" s="241">
        <f>INDEX(연료전지_원본!$A$4:$KY$369,MATCH($A44,연료전지_원본!$A$4:$A$369,0),MATCH($BT$4,연료전지_원본!$A$4:$KY$4,0))</f>
        <v>24</v>
      </c>
      <c r="BU44" s="241">
        <f>INDEX(연료전지_원본!$A$4:$KY$369,MATCH($A44,연료전지_원본!$A$4:$A$369,0),MATCH($BU$4,연료전지_원본!$A$4:$KY$4,0))</f>
        <v>24</v>
      </c>
      <c r="BV44" s="241">
        <f>INDEX(연료전지_원본!$A$4:$KY$369,MATCH($A44,연료전지_원본!$A$4:$A$369,0),MATCH($BV$4,연료전지_원본!$A$4:$KY$4,0))</f>
        <v>24</v>
      </c>
      <c r="BW44" s="241">
        <f>INDEX(연료전지_원본!$A$4:$KY$369,MATCH($A44,연료전지_원본!$A$4:$A$369,0),MATCH($BW$4,연료전지_원본!$A$4:$KY$4,0))</f>
        <v>24</v>
      </c>
      <c r="BX44" s="241">
        <f>INDEX(연료전지_원본!$A$4:$KY$369,MATCH($A44,연료전지_원본!$A$4:$A$369,0),MATCH($BX$4,연료전지_원본!$A$4:$KY$4,0))</f>
        <v>24</v>
      </c>
      <c r="BY44" s="241">
        <f>INDEX(연료전지_원본!$A$4:$KY$369,MATCH($A44,연료전지_원본!$A$4:$A$369,0),MATCH($BY$4,연료전지_원본!$A$4:$KY$4,0))</f>
        <v>24</v>
      </c>
      <c r="BZ44" s="241">
        <f>INDEX(연료전지_원본!$A$4:$KY$369,MATCH($A44,연료전지_원본!$A$4:$A$369,0),MATCH($BZ$4,연료전지_원본!$A$4:$KY$4,0))</f>
        <v>24</v>
      </c>
      <c r="CA44" s="241">
        <f>INDEX(연료전지_원본!$A$4:$KY$369,MATCH($A44,연료전지_원본!$A$4:$A$369,0),MATCH($CA$4,연료전지_원본!$A$4:$KY$4,0))</f>
        <v>24</v>
      </c>
      <c r="CB44" s="241">
        <f>INDEX(연료전지_원본!$A$4:$KY$369,MATCH($A44,연료전지_원본!$A$4:$A$369,0),MATCH($CB$4,연료전지_원본!$A$4:$KY$4,0))</f>
        <v>24</v>
      </c>
      <c r="CC44" s="242">
        <f>INDEX(연료전지_원본!$A$4:$KY$369,MATCH($A44,연료전지_원본!$A$4:$A$369,0),MATCH($CC$4,연료전지_원본!$A$4:$KY$4,0))</f>
        <v>24</v>
      </c>
      <c r="CD44" s="254">
        <f>INDEX(연료전지_원본!$KB$4:$KX$369,MATCH($A44,연료전지_원본!$KB$4:$KB$369,0), MATCH(CD$4,연료전지_원본!$KB$4:$KX$4,0))*1000</f>
        <v>1966</v>
      </c>
      <c r="CE44" s="250">
        <f>INDEX(연료전지_원본!$KB$4:$KX$369,MATCH($A44,연료전지_원본!$KB$4:$KB$369,0), MATCH(CE$4,연료전지_원본!$KB$4:$KX$4,0))*1000</f>
        <v>0</v>
      </c>
      <c r="CF44" s="250">
        <f>INDEX(연료전지_원본!$KB$4:$KX$369,MATCH($A44,연료전지_원본!$KB$4:$KB$369,0), MATCH(CF$4,연료전지_원본!$KB$4:$KX$4,0))*1000</f>
        <v>1965</v>
      </c>
      <c r="CG44" s="250">
        <f>INDEX(연료전지_원본!$KB$4:$KX$369,MATCH($A44,연료전지_원본!$KB$4:$KB$369,0), MATCH(CG$4,연료전지_원본!$KB$4:$KX$4,0))*1000</f>
        <v>1966</v>
      </c>
      <c r="CH44" s="250">
        <f>INDEX(연료전지_원본!$KB$4:$KX$369,MATCH($A44,연료전지_원본!$KB$4:$KB$369,0), MATCH(CH$4,연료전지_원본!$KB$4:$KX$4,0))*1000</f>
        <v>1966</v>
      </c>
      <c r="CI44" s="250">
        <f>INDEX(연료전지_원본!$KB$4:$KX$369,MATCH($A44,연료전지_원본!$KB$4:$KB$369,0), MATCH(CI$4,연료전지_원본!$KB$4:$KX$4,0))*1000</f>
        <v>1966</v>
      </c>
      <c r="CJ44" s="250">
        <f>INDEX(연료전지_원본!$KB$4:$KX$369,MATCH($A44,연료전지_원본!$KB$4:$KB$369,0), MATCH(CJ$4,연료전지_원본!$KB$4:$KX$4,0))*1000</f>
        <v>1964</v>
      </c>
      <c r="CK44" s="250">
        <f>INDEX(연료전지_원본!$KB$4:$KX$369,MATCH($A44,연료전지_원본!$KB$4:$KB$369,0), MATCH(CK$4,연료전지_원본!$KB$4:$KX$4,0))*1000</f>
        <v>1965</v>
      </c>
      <c r="CL44" s="250">
        <f>INDEX(연료전지_원본!$KB$4:$KX$369,MATCH($A44,연료전지_원본!$KB$4:$KB$369,0), MATCH(CL$4,연료전지_원본!$KB$4:$KX$4,0))*1000</f>
        <v>1966</v>
      </c>
      <c r="CM44" s="250">
        <f>INDEX(연료전지_원본!$KB$4:$KX$369,MATCH($A44,연료전지_원본!$KB$4:$KB$369,0), MATCH(CM$4,연료전지_원본!$KB$4:$KX$4,0))*1000</f>
        <v>1966</v>
      </c>
      <c r="CN44" s="250">
        <f>INDEX(연료전지_원본!$KB$4:$KX$369,MATCH($A44,연료전지_원본!$KB$4:$KB$369,0), MATCH(CN$4,연료전지_원본!$KB$4:$KX$4,0))*1000</f>
        <v>1966</v>
      </c>
      <c r="CO44" s="250">
        <f>INDEX(연료전지_원본!$KB$4:$KX$369,MATCH($A44,연료전지_원본!$KB$4:$KB$369,0), MATCH(CO$4,연료전지_원본!$KB$4:$KX$4,0))*1000</f>
        <v>1968</v>
      </c>
      <c r="CP44" s="250">
        <f>INDEX(연료전지_원본!$KB$4:$KX$369,MATCH($A44,연료전지_원본!$KB$4:$KB$369,0), MATCH(CP$4,연료전지_원본!$KB$4:$KX$4,0))*1000</f>
        <v>1963</v>
      </c>
      <c r="CQ44" s="250">
        <f>INDEX(연료전지_원본!$KB$4:$KX$369,MATCH($A44,연료전지_원본!$KB$4:$KB$369,0), MATCH(CQ$4,연료전지_원본!$KB$4:$KX$4,0))*1000</f>
        <v>1965</v>
      </c>
      <c r="CR44" s="250">
        <f>INDEX(연료전지_원본!$KB$4:$KX$369,MATCH($A44,연료전지_원본!$KB$4:$KB$369,0), MATCH(CR$4,연료전지_원본!$KB$4:$KX$4,0))*1000</f>
        <v>1965</v>
      </c>
      <c r="CS44" s="250">
        <f>INDEX(연료전지_원본!$KB$4:$KX$369,MATCH($A44,연료전지_원본!$KB$4:$KB$369,0), MATCH(CS$4,연료전지_원본!$KB$4:$KX$4,0))*1000</f>
        <v>1966</v>
      </c>
      <c r="CT44" s="250">
        <f>INDEX(연료전지_원본!$KB$4:$KX$369,MATCH($A44,연료전지_원본!$KB$4:$KB$369,0), MATCH(CT$4,연료전지_원본!$KB$4:$KX$4,0))*1000</f>
        <v>1965</v>
      </c>
      <c r="CU44" s="250">
        <f>INDEX(연료전지_원본!$KB$4:$KX$369,MATCH($A44,연료전지_원본!$KB$4:$KB$369,0), MATCH(CU$4,연료전지_원본!$KB$4:$KX$4,0))*1000</f>
        <v>1965</v>
      </c>
      <c r="CV44" s="250">
        <f>INDEX(연료전지_원본!$KB$4:$KX$369,MATCH($A44,연료전지_원본!$KB$4:$KB$369,0), MATCH(CV$4,연료전지_원본!$KB$4:$KX$4,0))*1000</f>
        <v>1964</v>
      </c>
      <c r="CW44" s="250">
        <f>INDEX(연료전지_원본!$KB$4:$KX$369,MATCH($A44,연료전지_원본!$KB$4:$KB$369,0), MATCH(CW$4,연료전지_원본!$KB$4:$KX$4,0))*1000</f>
        <v>1965</v>
      </c>
      <c r="CX44" s="250">
        <f>INDEX(연료전지_원본!$KB$4:$KX$369,MATCH($A44,연료전지_원본!$KB$4:$KB$369,0), MATCH(CX$4,연료전지_원본!$KB$4:$KX$4,0))*1000</f>
        <v>1964</v>
      </c>
      <c r="CY44" s="255">
        <f>INDEX(연료전지_원본!$KB$4:$KX$369,MATCH($A44,연료전지_원본!$KB$4:$KB$369,0), MATCH(CY$4,연료전지_원본!$KB$4:$KX$4,0))*1000</f>
        <v>1964</v>
      </c>
      <c r="CZ44" s="185">
        <v>9.6229999999999905</v>
      </c>
      <c r="DA44" s="30">
        <v>0</v>
      </c>
      <c r="DB44" s="30">
        <v>9.6200000000000045</v>
      </c>
      <c r="DC44" s="30">
        <v>9.6240000000000236</v>
      </c>
      <c r="DD44" s="30">
        <v>9.625</v>
      </c>
      <c r="DE44" s="30">
        <v>9.6239999999999952</v>
      </c>
      <c r="DF44" s="30">
        <v>9.6170000000000186</v>
      </c>
      <c r="DG44" s="30">
        <v>9.6180000000000518</v>
      </c>
      <c r="DH44" s="30">
        <v>9.6270000000000095</v>
      </c>
      <c r="DI44" s="30">
        <v>9.6229999999999905</v>
      </c>
      <c r="DJ44" s="30">
        <v>9.6230000000000047</v>
      </c>
      <c r="DK44" s="30">
        <v>9.6339999999999861</v>
      </c>
      <c r="DL44" s="30">
        <v>9.61099999999999</v>
      </c>
      <c r="DM44" s="30">
        <v>9.6189999999999998</v>
      </c>
      <c r="DN44" s="30">
        <v>9.6210000000000093</v>
      </c>
      <c r="DO44" s="30">
        <v>9.6239999999999952</v>
      </c>
      <c r="DP44" s="30">
        <v>9.6189999999999998</v>
      </c>
      <c r="DQ44" s="30">
        <v>9.6180000000000234</v>
      </c>
      <c r="DR44" s="30">
        <v>9.6169999999999902</v>
      </c>
      <c r="DS44" s="30">
        <v>9.6220000000000141</v>
      </c>
      <c r="DT44" s="30">
        <v>9.6169999999999902</v>
      </c>
      <c r="DU44" s="30">
        <v>9.6169999999999973</v>
      </c>
      <c r="DV44" s="30">
        <f t="shared" si="297"/>
        <v>202.04300000000006</v>
      </c>
    </row>
    <row r="45" spans="1:126">
      <c r="A45" s="6">
        <v>46062</v>
      </c>
      <c r="B45" s="15">
        <f>운전실적_원본!B45</f>
        <v>651.20000000000005</v>
      </c>
      <c r="C45" s="16">
        <f t="shared" si="298"/>
        <v>0</v>
      </c>
      <c r="D45" s="12">
        <f>운전실적_원본!C45</f>
        <v>249283</v>
      </c>
      <c r="E45" s="12">
        <f t="shared" si="299"/>
        <v>93</v>
      </c>
      <c r="F45" s="12">
        <f>운전실적_원본!D45</f>
        <v>240814</v>
      </c>
      <c r="G45" s="16">
        <f t="shared" si="300"/>
        <v>0</v>
      </c>
      <c r="H45" s="15">
        <f>운전실적_원본!E45</f>
        <v>17202.650000000001</v>
      </c>
      <c r="I45" s="16">
        <f t="shared" si="301"/>
        <v>5.0500000000029104</v>
      </c>
      <c r="J45" s="15">
        <f>운전실적_원본!F45</f>
        <v>15055.33</v>
      </c>
      <c r="K45" s="16">
        <f t="shared" si="301"/>
        <v>18.489999999999782</v>
      </c>
      <c r="L45" s="32">
        <f>운전실적_원본!G45</f>
        <v>14.3</v>
      </c>
      <c r="M45" s="31">
        <f t="shared" ref="M45" si="328">IF(OR(LEN(L45)=0,L45=0),"",L45-L44)</f>
        <v>1</v>
      </c>
      <c r="N45" s="15">
        <f>운전실적_원본!H45</f>
        <v>37790</v>
      </c>
      <c r="O45" s="16">
        <f t="shared" ref="O45" si="329">IF(OR(LEN(N45)=0,N45=0),"",N45-N44)</f>
        <v>85</v>
      </c>
      <c r="P45" s="15">
        <f>운전실적_원본!I45</f>
        <v>21366</v>
      </c>
      <c r="Q45" s="16">
        <f t="shared" ref="Q45" si="330">IF(OR(LEN(P45)=0,P45=0),"",P45-P44)</f>
        <v>161</v>
      </c>
      <c r="R45" s="18">
        <f>운전실적_원본!J45</f>
        <v>33.75</v>
      </c>
      <c r="S45" s="19">
        <f t="shared" ref="S45" si="331">IF(OR(LEN(R45)=0,R45=0),"",R45-R44)</f>
        <v>0.13000000000000256</v>
      </c>
      <c r="T45" s="18">
        <f>운전실적_원본!K45</f>
        <v>33.18</v>
      </c>
      <c r="U45" s="19">
        <f t="shared" si="306"/>
        <v>3.0000000000001137E-2</v>
      </c>
      <c r="V45" s="12">
        <f>운전실적_원본!L45</f>
        <v>8337</v>
      </c>
      <c r="W45" s="16">
        <f t="shared" ref="W45" si="332">IF(OR(LEN(V45)=0,V45=0),"",V45-V44)</f>
        <v>-81</v>
      </c>
      <c r="X45" s="10">
        <f>운전실적_원본!M45</f>
        <v>191506.51999999583</v>
      </c>
      <c r="Y45" s="10">
        <f>운전실적_원본!N45</f>
        <v>0</v>
      </c>
      <c r="Z45" s="10">
        <f>운전실적_원본!O45</f>
        <v>0</v>
      </c>
      <c r="AA45" s="10">
        <f>운전실적_원본!P45</f>
        <v>0</v>
      </c>
      <c r="AB45" s="10">
        <f>운전실적_원본!Q45</f>
        <v>0</v>
      </c>
      <c r="AC45" s="20">
        <f>운전실적_원본!R45</f>
        <v>0</v>
      </c>
      <c r="AD45" s="109">
        <f>운전실적_원본!S45</f>
        <v>24</v>
      </c>
      <c r="AE45" s="110">
        <f>운전실적_원본!T45</f>
        <v>0</v>
      </c>
      <c r="AF45" s="110">
        <f>운전실적_원본!U45</f>
        <v>0</v>
      </c>
      <c r="AG45" s="110">
        <f>운전실적_원본!V45</f>
        <v>0</v>
      </c>
      <c r="AH45" s="109">
        <f t="shared" si="1"/>
        <v>24</v>
      </c>
      <c r="AI45" s="110">
        <f t="shared" si="125"/>
        <v>0</v>
      </c>
      <c r="AJ45" s="110">
        <f>운전실적_원본!Y45</f>
        <v>0</v>
      </c>
      <c r="AK45" s="110">
        <f>운전실적_원본!Z45</f>
        <v>0</v>
      </c>
      <c r="AL45" s="106">
        <v>46062</v>
      </c>
      <c r="AM45" s="105">
        <f t="shared" si="171"/>
        <v>46063</v>
      </c>
      <c r="AN45" s="105"/>
      <c r="AO45" s="105"/>
      <c r="AP45" s="105"/>
      <c r="AQ45" s="108"/>
      <c r="AR45" s="105"/>
      <c r="AS45" s="105"/>
      <c r="AT45" s="102"/>
      <c r="AU45" s="102"/>
      <c r="AV45" s="102"/>
      <c r="AW45" s="102"/>
      <c r="AX45" s="32">
        <f>운전실적_원본!W45</f>
        <v>1239</v>
      </c>
      <c r="AY45" s="11">
        <f>운전실적_원본!X45</f>
        <v>0</v>
      </c>
      <c r="AZ45" s="11">
        <f>운전실적_원본!Y45</f>
        <v>0</v>
      </c>
      <c r="BA45" s="11">
        <f>운전실적_원본!Z45</f>
        <v>0</v>
      </c>
      <c r="BB45" s="11">
        <f>운전실적_원본!AA45</f>
        <v>0</v>
      </c>
      <c r="BC45" s="11">
        <f>운전실적_원본!AB45</f>
        <v>1239</v>
      </c>
      <c r="BD45" s="32">
        <f t="shared" si="15"/>
        <v>51.625</v>
      </c>
      <c r="BE45" s="11">
        <f t="shared" si="2"/>
        <v>1.0045728741000195</v>
      </c>
      <c r="BF45" s="11">
        <f>운전실적_원본!AE45</f>
        <v>0</v>
      </c>
      <c r="BG45" s="31">
        <f t="shared" si="0"/>
        <v>0</v>
      </c>
      <c r="BH45" s="241">
        <f>INDEX(연료전지_원본!$A$4:$KY$369,MATCH($A45,연료전지_원본!$A$4:$A$369,0),MATCH($BH$4,연료전지_원본!$A$4:$KY$4,0))</f>
        <v>24</v>
      </c>
      <c r="BI45" s="241">
        <f>INDEX(연료전지_원본!$A$4:$KY$369,MATCH($A45,연료전지_원본!$A$4:$A$369,0),MATCH($BI$4,연료전지_원본!$A$4:$KY$4,0))</f>
        <v>9.6666666666666679</v>
      </c>
      <c r="BJ45" s="241">
        <f>INDEX(연료전지_원본!$A$4:$KY$369,MATCH($A45,연료전지_원본!$A$4:$A$369,0),MATCH($BJ$4,연료전지_원본!$A$4:$KY$4,0))</f>
        <v>24</v>
      </c>
      <c r="BK45" s="241">
        <f>INDEX(연료전지_원본!$A$4:$KY$369,MATCH($A45,연료전지_원본!$A$4:$A$369,0),MATCH($BK$4,연료전지_원본!$A$4:$KY$4,0))</f>
        <v>24</v>
      </c>
      <c r="BL45" s="241">
        <f>INDEX(연료전지_원본!$A$4:$KY$369,MATCH($A45,연료전지_원본!$A$4:$A$369,0),MATCH($BL$4,연료전지_원본!$A$4:$KY$4,0))</f>
        <v>24</v>
      </c>
      <c r="BM45" s="241">
        <f>INDEX(연료전지_원본!$A$4:$KY$369,MATCH($A45,연료전지_원본!$A$4:$A$369,0),MATCH($BM$4,연료전지_원본!$A$4:$KY$4,0))</f>
        <v>24</v>
      </c>
      <c r="BN45" s="241">
        <f>INDEX(연료전지_원본!$A$4:$KY$369,MATCH($A45,연료전지_원본!$A$4:$A$369,0),MATCH($BN$4,연료전지_원본!$A$4:$KY$4,0))</f>
        <v>24</v>
      </c>
      <c r="BO45" s="241">
        <f>INDEX(연료전지_원본!$A$4:$KY$369,MATCH($A45,연료전지_원본!$A$4:$A$369,0),MATCH($BO$4,연료전지_원본!$A$4:$KY$4,0))</f>
        <v>24</v>
      </c>
      <c r="BP45" s="241">
        <f>INDEX(연료전지_원본!$A$4:$KY$369,MATCH($A45,연료전지_원본!$A$4:$A$369,0),MATCH($BP$4,연료전지_원본!$A$4:$KY$4,0))</f>
        <v>24</v>
      </c>
      <c r="BQ45" s="241">
        <f>INDEX(연료전지_원본!$A$4:$KY$369,MATCH($A45,연료전지_원본!$A$4:$A$369,0),MATCH($BQ$4,연료전지_원본!$A$4:$KY$4,0))</f>
        <v>24</v>
      </c>
      <c r="BR45" s="241">
        <f>INDEX(연료전지_원본!$A$4:$KY$369,MATCH($A45,연료전지_원본!$A$4:$A$369,0),MATCH($BR$4,연료전지_원본!$A$4:$KY$4,0))</f>
        <v>24</v>
      </c>
      <c r="BS45" s="241">
        <f>INDEX(연료전지_원본!$A$4:$KY$369,MATCH($A45,연료전지_원본!$A$4:$A$369,0),MATCH($BS$4,연료전지_원본!$A$4:$KY$4,0))</f>
        <v>24</v>
      </c>
      <c r="BT45" s="241">
        <f>INDEX(연료전지_원본!$A$4:$KY$369,MATCH($A45,연료전지_원본!$A$4:$A$369,0),MATCH($BT$4,연료전지_원본!$A$4:$KY$4,0))</f>
        <v>14.833333333333334</v>
      </c>
      <c r="BU45" s="241">
        <f>INDEX(연료전지_원본!$A$4:$KY$369,MATCH($A45,연료전지_원본!$A$4:$A$369,0),MATCH($BU$4,연료전지_원본!$A$4:$KY$4,0))</f>
        <v>24</v>
      </c>
      <c r="BV45" s="241">
        <f>INDEX(연료전지_원본!$A$4:$KY$369,MATCH($A45,연료전지_원본!$A$4:$A$369,0),MATCH($BV$4,연료전지_원본!$A$4:$KY$4,0))</f>
        <v>24</v>
      </c>
      <c r="BW45" s="241">
        <f>INDEX(연료전지_원본!$A$4:$KY$369,MATCH($A45,연료전지_원본!$A$4:$A$369,0),MATCH($BW$4,연료전지_원본!$A$4:$KY$4,0))</f>
        <v>24</v>
      </c>
      <c r="BX45" s="241">
        <f>INDEX(연료전지_원본!$A$4:$KY$369,MATCH($A45,연료전지_원본!$A$4:$A$369,0),MATCH($BX$4,연료전지_원본!$A$4:$KY$4,0))</f>
        <v>24</v>
      </c>
      <c r="BY45" s="241">
        <f>INDEX(연료전지_원본!$A$4:$KY$369,MATCH($A45,연료전지_원본!$A$4:$A$369,0),MATCH($BY$4,연료전지_원본!$A$4:$KY$4,0))</f>
        <v>24</v>
      </c>
      <c r="BZ45" s="241">
        <f>INDEX(연료전지_원본!$A$4:$KY$369,MATCH($A45,연료전지_원본!$A$4:$A$369,0),MATCH($BZ$4,연료전지_원본!$A$4:$KY$4,0))</f>
        <v>24</v>
      </c>
      <c r="CA45" s="241">
        <f>INDEX(연료전지_원본!$A$4:$KY$369,MATCH($A45,연료전지_원본!$A$4:$A$369,0),MATCH($CA$4,연료전지_원본!$A$4:$KY$4,0))</f>
        <v>24</v>
      </c>
      <c r="CB45" s="241">
        <f>INDEX(연료전지_원본!$A$4:$KY$369,MATCH($A45,연료전지_원본!$A$4:$A$369,0),MATCH($CB$4,연료전지_원본!$A$4:$KY$4,0))</f>
        <v>24</v>
      </c>
      <c r="CC45" s="242">
        <f>INDEX(연료전지_원본!$A$4:$KY$369,MATCH($A45,연료전지_원본!$A$4:$A$369,0),MATCH($CC$4,연료전지_원본!$A$4:$KY$4,0))</f>
        <v>24</v>
      </c>
      <c r="CD45" s="254">
        <f>INDEX(연료전지_원본!$KB$4:$KX$369,MATCH($A45,연료전지_원본!$KB$4:$KB$369,0), MATCH(CD$4,연료전지_원본!$KB$4:$KX$4,0))*1000</f>
        <v>1957</v>
      </c>
      <c r="CE45" s="250">
        <f>INDEX(연료전지_원본!$KB$4:$KX$369,MATCH($A45,연료전지_원본!$KB$4:$KB$369,0), MATCH(CE$4,연료전지_원본!$KB$4:$KX$4,0))*1000</f>
        <v>783</v>
      </c>
      <c r="CF45" s="250">
        <f>INDEX(연료전지_원본!$KB$4:$KX$369,MATCH($A45,연료전지_원본!$KB$4:$KB$369,0), MATCH(CF$4,연료전지_원본!$KB$4:$KX$4,0))*1000</f>
        <v>2001</v>
      </c>
      <c r="CG45" s="250">
        <f>INDEX(연료전지_원본!$KB$4:$KX$369,MATCH($A45,연료전지_원본!$KB$4:$KB$369,0), MATCH(CG$4,연료전지_원본!$KB$4:$KX$4,0))*1000</f>
        <v>2004</v>
      </c>
      <c r="CH45" s="250">
        <f>INDEX(연료전지_원본!$KB$4:$KX$369,MATCH($A45,연료전지_원본!$KB$4:$KB$369,0), MATCH(CH$4,연료전지_원본!$KB$4:$KX$4,0))*1000</f>
        <v>2005</v>
      </c>
      <c r="CI45" s="250">
        <f>INDEX(연료전지_원본!$KB$4:$KX$369,MATCH($A45,연료전지_원본!$KB$4:$KB$369,0), MATCH(CI$4,연료전지_원본!$KB$4:$KX$4,0))*1000</f>
        <v>2004</v>
      </c>
      <c r="CJ45" s="250">
        <f>INDEX(연료전지_원본!$KB$4:$KX$369,MATCH($A45,연료전지_원본!$KB$4:$KB$369,0), MATCH(CJ$4,연료전지_원본!$KB$4:$KX$4,0))*1000</f>
        <v>2001</v>
      </c>
      <c r="CK45" s="250">
        <f>INDEX(연료전지_원본!$KB$4:$KX$369,MATCH($A45,연료전지_원본!$KB$4:$KB$369,0), MATCH(CK$4,연료전지_원본!$KB$4:$KX$4,0))*1000</f>
        <v>2003</v>
      </c>
      <c r="CL45" s="250">
        <f>INDEX(연료전지_원본!$KB$4:$KX$369,MATCH($A45,연료전지_원본!$KB$4:$KB$369,0), MATCH(CL$4,연료전지_원본!$KB$4:$KX$4,0))*1000</f>
        <v>2005</v>
      </c>
      <c r="CM45" s="250">
        <f>INDEX(연료전지_원본!$KB$4:$KX$369,MATCH($A45,연료전지_원본!$KB$4:$KB$369,0), MATCH(CM$4,연료전지_원본!$KB$4:$KX$4,0))*1000</f>
        <v>2004</v>
      </c>
      <c r="CN45" s="250">
        <f>INDEX(연료전지_원본!$KB$4:$KX$369,MATCH($A45,연료전지_원본!$KB$4:$KB$369,0), MATCH(CN$4,연료전지_원본!$KB$4:$KX$4,0))*1000</f>
        <v>2004</v>
      </c>
      <c r="CO45" s="250">
        <f>INDEX(연료전지_원본!$KB$4:$KX$369,MATCH($A45,연료전지_원본!$KB$4:$KB$369,0), MATCH(CO$4,연료전지_원본!$KB$4:$KX$4,0))*1000</f>
        <v>2007.0000000000002</v>
      </c>
      <c r="CP45" s="250">
        <f>INDEX(연료전지_원본!$KB$4:$KX$369,MATCH($A45,연료전지_원본!$KB$4:$KB$369,0), MATCH(CP$4,연료전지_원본!$KB$4:$KX$4,0))*1000</f>
        <v>1196</v>
      </c>
      <c r="CQ45" s="250">
        <f>INDEX(연료전지_원본!$KB$4:$KX$369,MATCH($A45,연료전지_원본!$KB$4:$KB$369,0), MATCH(CQ$4,연료전지_원본!$KB$4:$KX$4,0))*1000</f>
        <v>2003</v>
      </c>
      <c r="CR45" s="250">
        <f>INDEX(연료전지_원본!$KB$4:$KX$369,MATCH($A45,연료전지_원본!$KB$4:$KB$369,0), MATCH(CR$4,연료전지_원본!$KB$4:$KX$4,0))*1000</f>
        <v>2004</v>
      </c>
      <c r="CS45" s="250">
        <f>INDEX(연료전지_원본!$KB$4:$KX$369,MATCH($A45,연료전지_원본!$KB$4:$KB$369,0), MATCH(CS$4,연료전지_원본!$KB$4:$KX$4,0))*1000</f>
        <v>2004</v>
      </c>
      <c r="CT45" s="250">
        <f>INDEX(연료전지_원본!$KB$4:$KX$369,MATCH($A45,연료전지_원본!$KB$4:$KB$369,0), MATCH(CT$4,연료전지_원본!$KB$4:$KX$4,0))*1000</f>
        <v>2003</v>
      </c>
      <c r="CU45" s="250">
        <f>INDEX(연료전지_원본!$KB$4:$KX$369,MATCH($A45,연료전지_원본!$KB$4:$KB$369,0), MATCH(CU$4,연료전지_원본!$KB$4:$KX$4,0))*1000</f>
        <v>2003</v>
      </c>
      <c r="CV45" s="250">
        <f>INDEX(연료전지_원본!$KB$4:$KX$369,MATCH($A45,연료전지_원본!$KB$4:$KB$369,0), MATCH(CV$4,연료전지_원본!$KB$4:$KX$4,0))*1000</f>
        <v>2003</v>
      </c>
      <c r="CW45" s="250">
        <f>INDEX(연료전지_원본!$KB$4:$KX$369,MATCH($A45,연료전지_원본!$KB$4:$KB$369,0), MATCH(CW$4,연료전지_원본!$KB$4:$KX$4,0))*1000</f>
        <v>2004</v>
      </c>
      <c r="CX45" s="250">
        <f>INDEX(연료전지_원본!$KB$4:$KX$369,MATCH($A45,연료전지_원본!$KB$4:$KB$369,0), MATCH(CX$4,연료전지_원본!$KB$4:$KX$4,0))*1000</f>
        <v>2003</v>
      </c>
      <c r="CY45" s="255">
        <f>INDEX(연료전지_원본!$KB$4:$KX$369,MATCH($A45,연료전지_원본!$KB$4:$KB$369,0), MATCH(CY$4,연료전지_원본!$KB$4:$KX$4,0))*1000</f>
        <v>2003</v>
      </c>
      <c r="CZ45" s="185">
        <v>9.3950000000000102</v>
      </c>
      <c r="DA45" s="30">
        <v>3.7599999999999909</v>
      </c>
      <c r="DB45" s="30">
        <v>9.6069999999999993</v>
      </c>
      <c r="DC45" s="30">
        <v>9.6220000000000141</v>
      </c>
      <c r="DD45" s="30">
        <v>9.6239999999999952</v>
      </c>
      <c r="DE45" s="30">
        <v>9.6210000000000093</v>
      </c>
      <c r="DF45" s="30">
        <v>9.603999999999985</v>
      </c>
      <c r="DG45" s="30">
        <v>9.6169999999999618</v>
      </c>
      <c r="DH45" s="30">
        <v>9.6260000000000048</v>
      </c>
      <c r="DI45" s="30">
        <v>9.6200000000000045</v>
      </c>
      <c r="DJ45" s="30">
        <v>9.6219999999999999</v>
      </c>
      <c r="DK45" s="30">
        <v>9.6330000000000098</v>
      </c>
      <c r="DL45" s="30">
        <v>5.7400000000000091</v>
      </c>
      <c r="DM45" s="30">
        <v>9.6169999999999902</v>
      </c>
      <c r="DN45" s="30">
        <v>9.6200000000000045</v>
      </c>
      <c r="DO45" s="30">
        <v>9.6220000000000141</v>
      </c>
      <c r="DP45" s="30">
        <v>9.617999999999995</v>
      </c>
      <c r="DQ45" s="30">
        <v>9.6169999999999902</v>
      </c>
      <c r="DR45" s="30">
        <v>9.6150000000000091</v>
      </c>
      <c r="DS45" s="30">
        <v>9.6199999999999761</v>
      </c>
      <c r="DT45" s="30">
        <v>9.6159999999999997</v>
      </c>
      <c r="DU45" s="30">
        <v>9.617999999999995</v>
      </c>
      <c r="DV45" s="30">
        <f t="shared" si="297"/>
        <v>201.65399999999994</v>
      </c>
    </row>
    <row r="46" spans="1:126">
      <c r="A46" s="6">
        <v>46063</v>
      </c>
      <c r="B46" s="15">
        <f>운전실적_원본!B46</f>
        <v>651.20000000000005</v>
      </c>
      <c r="C46" s="16">
        <f t="shared" si="298"/>
        <v>0</v>
      </c>
      <c r="D46" s="12">
        <f>운전실적_원본!C46</f>
        <v>249317</v>
      </c>
      <c r="E46" s="12">
        <f t="shared" si="299"/>
        <v>34</v>
      </c>
      <c r="F46" s="12">
        <f>운전실적_원본!D46</f>
        <v>240854</v>
      </c>
      <c r="G46" s="16">
        <f t="shared" si="300"/>
        <v>40</v>
      </c>
      <c r="H46" s="15">
        <f>운전실적_원본!E46</f>
        <v>17207</v>
      </c>
      <c r="I46" s="16">
        <f t="shared" si="301"/>
        <v>4.3499999999985448</v>
      </c>
      <c r="J46" s="15">
        <f>운전실적_원본!F46</f>
        <v>15075.68</v>
      </c>
      <c r="K46" s="16">
        <f t="shared" si="301"/>
        <v>20.350000000000364</v>
      </c>
      <c r="L46" s="32">
        <f>운전실적_원본!G46</f>
        <v>15.5</v>
      </c>
      <c r="M46" s="31">
        <f t="shared" ref="M46" si="333">IF(OR(LEN(L46)=0,L46=0),"",L46-L45)</f>
        <v>1.1999999999999993</v>
      </c>
      <c r="N46" s="15">
        <f>운전실적_원본!H46</f>
        <v>37973</v>
      </c>
      <c r="O46" s="16">
        <f t="shared" ref="O46" si="334">IF(OR(LEN(N46)=0,N46=0),"",N46-N45)</f>
        <v>183</v>
      </c>
      <c r="P46" s="15">
        <f>운전실적_원본!I46</f>
        <v>21572</v>
      </c>
      <c r="Q46" s="16">
        <f t="shared" ref="Q46" si="335">IF(OR(LEN(P46)=0,P46=0),"",P46-P45)</f>
        <v>206</v>
      </c>
      <c r="R46" s="18">
        <f>운전실적_원본!J46</f>
        <v>33.369999999999997</v>
      </c>
      <c r="S46" s="19">
        <f t="shared" ref="S46" si="336">IF(OR(LEN(R46)=0,R46=0),"",R46-R45)</f>
        <v>-0.38000000000000256</v>
      </c>
      <c r="T46" s="18">
        <f>운전실적_원본!K46</f>
        <v>33.08</v>
      </c>
      <c r="U46" s="19">
        <f t="shared" si="306"/>
        <v>-0.10000000000000142</v>
      </c>
      <c r="V46" s="12">
        <f>운전실적_원본!L46</f>
        <v>8406</v>
      </c>
      <c r="W46" s="16">
        <f t="shared" ref="W46" si="337">IF(OR(LEN(V46)=0,V46=0),"",V46-V45)</f>
        <v>69</v>
      </c>
      <c r="X46" s="10">
        <f>운전실적_원본!M46</f>
        <v>196417.79000000656</v>
      </c>
      <c r="Y46" s="10">
        <f>운전실적_원본!N46</f>
        <v>0</v>
      </c>
      <c r="Z46" s="10">
        <f>운전실적_원본!O46</f>
        <v>0</v>
      </c>
      <c r="AA46" s="10">
        <f>운전실적_원본!P46</f>
        <v>0</v>
      </c>
      <c r="AB46" s="10">
        <f>운전실적_원본!Q46</f>
        <v>0</v>
      </c>
      <c r="AC46" s="20">
        <f>운전실적_원본!R46</f>
        <v>0</v>
      </c>
      <c r="AD46" s="109">
        <f>운전실적_원본!S46</f>
        <v>24</v>
      </c>
      <c r="AE46" s="110">
        <f>운전실적_원본!T46</f>
        <v>0</v>
      </c>
      <c r="AF46" s="110">
        <f>운전실적_원본!U46</f>
        <v>0</v>
      </c>
      <c r="AG46" s="110">
        <f>운전실적_원본!V46</f>
        <v>0</v>
      </c>
      <c r="AH46" s="109">
        <f t="shared" si="1"/>
        <v>24</v>
      </c>
      <c r="AI46" s="110">
        <f t="shared" si="125"/>
        <v>0</v>
      </c>
      <c r="AJ46" s="110">
        <f>운전실적_원본!Y46</f>
        <v>0</v>
      </c>
      <c r="AK46" s="110">
        <f>운전실적_원본!Z46</f>
        <v>0</v>
      </c>
      <c r="AL46" s="106">
        <v>46063</v>
      </c>
      <c r="AM46" s="105">
        <f t="shared" si="171"/>
        <v>46064</v>
      </c>
      <c r="AN46" s="105"/>
      <c r="AO46" s="105"/>
      <c r="AP46" s="105"/>
      <c r="AQ46" s="108"/>
      <c r="AR46" s="105"/>
      <c r="AS46" s="105"/>
      <c r="AT46" s="102"/>
      <c r="AU46" s="102"/>
      <c r="AV46" s="102"/>
      <c r="AW46" s="102"/>
      <c r="AX46" s="32">
        <f>운전실적_원본!W46</f>
        <v>1255</v>
      </c>
      <c r="AY46" s="11">
        <f>운전실적_원본!X46</f>
        <v>0</v>
      </c>
      <c r="AZ46" s="11">
        <f>운전실적_원본!Y46</f>
        <v>0</v>
      </c>
      <c r="BA46" s="11">
        <f>운전실적_원본!Z46</f>
        <v>0</v>
      </c>
      <c r="BB46" s="11">
        <f>운전실적_원본!AA46</f>
        <v>0</v>
      </c>
      <c r="BC46" s="11">
        <f>운전실적_원본!AB46</f>
        <v>1255</v>
      </c>
      <c r="BD46" s="32">
        <f t="shared" si="15"/>
        <v>52.291666666666664</v>
      </c>
      <c r="BE46" s="11">
        <f t="shared" si="2"/>
        <v>1.0175455665823441</v>
      </c>
      <c r="BF46" s="11">
        <f>운전실적_원본!AE46</f>
        <v>0</v>
      </c>
      <c r="BG46" s="31">
        <f t="shared" si="0"/>
        <v>0</v>
      </c>
      <c r="BH46" s="241">
        <f>INDEX(연료전지_원본!$A$4:$KY$369,MATCH($A46,연료전지_원본!$A$4:$A$369,0),MATCH($BH$4,연료전지_원본!$A$4:$KY$4,0))</f>
        <v>24</v>
      </c>
      <c r="BI46" s="241">
        <f>INDEX(연료전지_원본!$A$4:$KY$369,MATCH($A46,연료전지_원본!$A$4:$A$369,0),MATCH($BI$4,연료전지_원본!$A$4:$KY$4,0))</f>
        <v>24</v>
      </c>
      <c r="BJ46" s="241">
        <f>INDEX(연료전지_원본!$A$4:$KY$369,MATCH($A46,연료전지_원본!$A$4:$A$369,0),MATCH($BJ$4,연료전지_원본!$A$4:$KY$4,0))</f>
        <v>24</v>
      </c>
      <c r="BK46" s="241">
        <f>INDEX(연료전지_원본!$A$4:$KY$369,MATCH($A46,연료전지_원본!$A$4:$A$369,0),MATCH($BK$4,연료전지_원본!$A$4:$KY$4,0))</f>
        <v>24</v>
      </c>
      <c r="BL46" s="241">
        <f>INDEX(연료전지_원본!$A$4:$KY$369,MATCH($A46,연료전지_원본!$A$4:$A$369,0),MATCH($BL$4,연료전지_원본!$A$4:$KY$4,0))</f>
        <v>24</v>
      </c>
      <c r="BM46" s="241">
        <f>INDEX(연료전지_원본!$A$4:$KY$369,MATCH($A46,연료전지_원본!$A$4:$A$369,0),MATCH($BM$4,연료전지_원본!$A$4:$KY$4,0))</f>
        <v>24</v>
      </c>
      <c r="BN46" s="241">
        <f>INDEX(연료전지_원본!$A$4:$KY$369,MATCH($A46,연료전지_원본!$A$4:$A$369,0),MATCH($BN$4,연료전지_원본!$A$4:$KY$4,0))</f>
        <v>24</v>
      </c>
      <c r="BO46" s="241">
        <f>INDEX(연료전지_원본!$A$4:$KY$369,MATCH($A46,연료전지_원본!$A$4:$A$369,0),MATCH($BO$4,연료전지_원본!$A$4:$KY$4,0))</f>
        <v>24</v>
      </c>
      <c r="BP46" s="241">
        <f>INDEX(연료전지_원본!$A$4:$KY$369,MATCH($A46,연료전지_원본!$A$4:$A$369,0),MATCH($BP$4,연료전지_원본!$A$4:$KY$4,0))</f>
        <v>24</v>
      </c>
      <c r="BQ46" s="241">
        <f>INDEX(연료전지_원본!$A$4:$KY$369,MATCH($A46,연료전지_원본!$A$4:$A$369,0),MATCH($BQ$4,연료전지_원본!$A$4:$KY$4,0))</f>
        <v>24</v>
      </c>
      <c r="BR46" s="241">
        <f>INDEX(연료전지_원본!$A$4:$KY$369,MATCH($A46,연료전지_원본!$A$4:$A$369,0),MATCH($BR$4,연료전지_원본!$A$4:$KY$4,0))</f>
        <v>24</v>
      </c>
      <c r="BS46" s="241">
        <f>INDEX(연료전지_원본!$A$4:$KY$369,MATCH($A46,연료전지_원본!$A$4:$A$369,0),MATCH($BS$4,연료전지_원본!$A$4:$KY$4,0))</f>
        <v>24</v>
      </c>
      <c r="BT46" s="241">
        <f>INDEX(연료전지_원본!$A$4:$KY$369,MATCH($A46,연료전지_원본!$A$4:$A$369,0),MATCH($BT$4,연료전지_원본!$A$4:$KY$4,0))</f>
        <v>24</v>
      </c>
      <c r="BU46" s="241">
        <f>INDEX(연료전지_원본!$A$4:$KY$369,MATCH($A46,연료전지_원본!$A$4:$A$369,0),MATCH($BU$4,연료전지_원본!$A$4:$KY$4,0))</f>
        <v>24</v>
      </c>
      <c r="BV46" s="241">
        <f>INDEX(연료전지_원본!$A$4:$KY$369,MATCH($A46,연료전지_원본!$A$4:$A$369,0),MATCH($BV$4,연료전지_원본!$A$4:$KY$4,0))</f>
        <v>24</v>
      </c>
      <c r="BW46" s="241">
        <f>INDEX(연료전지_원본!$A$4:$KY$369,MATCH($A46,연료전지_원본!$A$4:$A$369,0),MATCH($BW$4,연료전지_원본!$A$4:$KY$4,0))</f>
        <v>24</v>
      </c>
      <c r="BX46" s="241">
        <f>INDEX(연료전지_원본!$A$4:$KY$369,MATCH($A46,연료전지_원본!$A$4:$A$369,0),MATCH($BX$4,연료전지_원본!$A$4:$KY$4,0))</f>
        <v>24</v>
      </c>
      <c r="BY46" s="241">
        <f>INDEX(연료전지_원본!$A$4:$KY$369,MATCH($A46,연료전지_원본!$A$4:$A$369,0),MATCH($BY$4,연료전지_원본!$A$4:$KY$4,0))</f>
        <v>24</v>
      </c>
      <c r="BZ46" s="241">
        <f>INDEX(연료전지_원본!$A$4:$KY$369,MATCH($A46,연료전지_원본!$A$4:$A$369,0),MATCH($BZ$4,연료전지_원본!$A$4:$KY$4,0))</f>
        <v>24</v>
      </c>
      <c r="CA46" s="241">
        <f>INDEX(연료전지_원본!$A$4:$KY$369,MATCH($A46,연료전지_원본!$A$4:$A$369,0),MATCH($CA$4,연료전지_원본!$A$4:$KY$4,0))</f>
        <v>24</v>
      </c>
      <c r="CB46" s="241">
        <f>INDEX(연료전지_원본!$A$4:$KY$369,MATCH($A46,연료전지_원본!$A$4:$A$369,0),MATCH($CB$4,연료전지_원본!$A$4:$KY$4,0))</f>
        <v>24</v>
      </c>
      <c r="CC46" s="242">
        <f>INDEX(연료전지_원본!$A$4:$KY$369,MATCH($A46,연료전지_원본!$A$4:$A$369,0),MATCH($CC$4,연료전지_원본!$A$4:$KY$4,0))</f>
        <v>17.333333333333336</v>
      </c>
      <c r="CD46" s="254">
        <f>INDEX(연료전지_원본!$KB$4:$KX$369,MATCH($A46,연료전지_원본!$KB$4:$KB$369,0), MATCH(CD$4,연료전지_원본!$KB$4:$KX$4,0))*1000</f>
        <v>2101</v>
      </c>
      <c r="CE46" s="250">
        <f>INDEX(연료전지_원본!$KB$4:$KX$369,MATCH($A46,연료전지_원본!$KB$4:$KB$369,0), MATCH(CE$4,연료전지_원본!$KB$4:$KX$4,0))*1000</f>
        <v>2100</v>
      </c>
      <c r="CF46" s="250">
        <f>INDEX(연료전지_원본!$KB$4:$KX$369,MATCH($A46,연료전지_원본!$KB$4:$KB$369,0), MATCH(CF$4,연료전지_원본!$KB$4:$KX$4,0))*1000</f>
        <v>2101</v>
      </c>
      <c r="CG46" s="250">
        <f>INDEX(연료전지_원본!$KB$4:$KX$369,MATCH($A46,연료전지_원본!$KB$4:$KB$369,0), MATCH(CG$4,연료전지_원본!$KB$4:$KX$4,0))*1000</f>
        <v>2101</v>
      </c>
      <c r="CH46" s="250">
        <f>INDEX(연료전지_원본!$KB$4:$KX$369,MATCH($A46,연료전지_원본!$KB$4:$KB$369,0), MATCH(CH$4,연료전지_원본!$KB$4:$KX$4,0))*1000</f>
        <v>2101</v>
      </c>
      <c r="CI46" s="250">
        <f>INDEX(연료전지_원본!$KB$4:$KX$369,MATCH($A46,연료전지_원본!$KB$4:$KB$369,0), MATCH(CI$4,연료전지_원본!$KB$4:$KX$4,0))*1000</f>
        <v>2101</v>
      </c>
      <c r="CJ46" s="250">
        <f>INDEX(연료전지_원본!$KB$4:$KX$369,MATCH($A46,연료전지_원본!$KB$4:$KB$369,0), MATCH(CJ$4,연료전지_원본!$KB$4:$KX$4,0))*1000</f>
        <v>2100</v>
      </c>
      <c r="CK46" s="250">
        <f>INDEX(연료전지_원본!$KB$4:$KX$369,MATCH($A46,연료전지_원본!$KB$4:$KB$369,0), MATCH(CK$4,연료전지_원본!$KB$4:$KX$4,0))*1000</f>
        <v>2100</v>
      </c>
      <c r="CL46" s="250">
        <f>INDEX(연료전지_원본!$KB$4:$KX$369,MATCH($A46,연료전지_원본!$KB$4:$KB$369,0), MATCH(CL$4,연료전지_원본!$KB$4:$KX$4,0))*1000</f>
        <v>2102</v>
      </c>
      <c r="CM46" s="250">
        <f>INDEX(연료전지_원본!$KB$4:$KX$369,MATCH($A46,연료전지_원본!$KB$4:$KB$369,0), MATCH(CM$4,연료전지_원본!$KB$4:$KX$4,0))*1000</f>
        <v>2101</v>
      </c>
      <c r="CN46" s="250">
        <f>INDEX(연료전지_원본!$KB$4:$KX$369,MATCH($A46,연료전지_원본!$KB$4:$KB$369,0), MATCH(CN$4,연료전지_원본!$KB$4:$KX$4,0))*1000</f>
        <v>2101</v>
      </c>
      <c r="CO46" s="250">
        <f>INDEX(연료전지_원본!$KB$4:$KX$369,MATCH($A46,연료전지_원본!$KB$4:$KB$369,0), MATCH(CO$4,연료전지_원본!$KB$4:$KX$4,0))*1000</f>
        <v>2100</v>
      </c>
      <c r="CP46" s="250">
        <f>INDEX(연료전지_원본!$KB$4:$KX$369,MATCH($A46,연료전지_원본!$KB$4:$KB$369,0), MATCH(CP$4,연료전지_원본!$KB$4:$KX$4,0))*1000</f>
        <v>2096</v>
      </c>
      <c r="CQ46" s="250">
        <f>INDEX(연료전지_원본!$KB$4:$KX$369,MATCH($A46,연료전지_원본!$KB$4:$KB$369,0), MATCH(CQ$4,연료전지_원본!$KB$4:$KX$4,0))*1000</f>
        <v>2100</v>
      </c>
      <c r="CR46" s="250">
        <f>INDEX(연료전지_원본!$KB$4:$KX$369,MATCH($A46,연료전지_원본!$KB$4:$KB$369,0), MATCH(CR$4,연료전지_원본!$KB$4:$KX$4,0))*1000</f>
        <v>2101</v>
      </c>
      <c r="CS46" s="250">
        <f>INDEX(연료전지_원본!$KB$4:$KX$369,MATCH($A46,연료전지_원본!$KB$4:$KB$369,0), MATCH(CS$4,연료전지_원본!$KB$4:$KX$4,0))*1000</f>
        <v>2101</v>
      </c>
      <c r="CT46" s="250">
        <f>INDEX(연료전지_원본!$KB$4:$KX$369,MATCH($A46,연료전지_원본!$KB$4:$KB$369,0), MATCH(CT$4,연료전지_원본!$KB$4:$KX$4,0))*1000</f>
        <v>2100</v>
      </c>
      <c r="CU46" s="250">
        <f>INDEX(연료전지_원본!$KB$4:$KX$369,MATCH($A46,연료전지_원본!$KB$4:$KB$369,0), MATCH(CU$4,연료전지_원본!$KB$4:$KX$4,0))*1000</f>
        <v>2097</v>
      </c>
      <c r="CV46" s="250">
        <f>INDEX(연료전지_원본!$KB$4:$KX$369,MATCH($A46,연료전지_원본!$KB$4:$KB$369,0), MATCH(CV$4,연료전지_원본!$KB$4:$KX$4,0))*1000</f>
        <v>2096</v>
      </c>
      <c r="CW46" s="250">
        <f>INDEX(연료전지_원본!$KB$4:$KX$369,MATCH($A46,연료전지_원본!$KB$4:$KB$369,0), MATCH(CW$4,연료전지_원본!$KB$4:$KX$4,0))*1000</f>
        <v>2098</v>
      </c>
      <c r="CX46" s="250">
        <f>INDEX(연료전지_원본!$KB$4:$KX$369,MATCH($A46,연료전지_원본!$KB$4:$KB$369,0), MATCH(CX$4,연료전지_원본!$KB$4:$KX$4,0))*1000</f>
        <v>2100</v>
      </c>
      <c r="CY46" s="255">
        <f>INDEX(연료전지_원본!$KB$4:$KX$369,MATCH($A46,연료전지_원본!$KB$4:$KB$369,0), MATCH(CY$4,연료전지_원본!$KB$4:$KX$4,0))*1000</f>
        <v>1506</v>
      </c>
      <c r="CZ46" s="185">
        <v>9.9110000000000014</v>
      </c>
      <c r="DA46" s="30">
        <v>9.9060000000000059</v>
      </c>
      <c r="DB46" s="30">
        <v>9.9089999999999918</v>
      </c>
      <c r="DC46" s="30">
        <v>9.9110000000000014</v>
      </c>
      <c r="DD46" s="30">
        <v>9.9130000000000109</v>
      </c>
      <c r="DE46" s="30">
        <v>9.9110000000000014</v>
      </c>
      <c r="DF46" s="30">
        <v>9.9050000000000296</v>
      </c>
      <c r="DG46" s="30">
        <v>9.9050000000000296</v>
      </c>
      <c r="DH46" s="30">
        <v>9.9159999999999968</v>
      </c>
      <c r="DI46" s="30">
        <v>9.9099999999999966</v>
      </c>
      <c r="DJ46" s="30">
        <v>9.9110000000000014</v>
      </c>
      <c r="DK46" s="30">
        <v>9.9080000000000155</v>
      </c>
      <c r="DL46" s="30">
        <v>9.88900000000001</v>
      </c>
      <c r="DM46" s="30">
        <v>9.9070000000000107</v>
      </c>
      <c r="DN46" s="30">
        <v>9.9110000000000014</v>
      </c>
      <c r="DO46" s="30">
        <v>9.9110000000000014</v>
      </c>
      <c r="DP46" s="30">
        <v>9.9080000000000155</v>
      </c>
      <c r="DQ46" s="30">
        <v>9.8929999999999723</v>
      </c>
      <c r="DR46" s="30">
        <v>9.88900000000001</v>
      </c>
      <c r="DS46" s="30">
        <v>9.8970000000000198</v>
      </c>
      <c r="DT46" s="30">
        <v>9.9050000000000011</v>
      </c>
      <c r="DU46" s="30">
        <v>7.1030000000000086</v>
      </c>
      <c r="DV46" s="30">
        <f t="shared" si="297"/>
        <v>215.12900000000013</v>
      </c>
    </row>
    <row r="47" spans="1:126">
      <c r="A47" s="6">
        <v>46064</v>
      </c>
      <c r="B47" s="15">
        <f>운전실적_원본!B47</f>
        <v>651.20000000000005</v>
      </c>
      <c r="C47" s="16">
        <f t="shared" si="298"/>
        <v>0</v>
      </c>
      <c r="D47" s="12">
        <f>운전실적_원본!C47</f>
        <v>249317</v>
      </c>
      <c r="E47" s="12">
        <f t="shared" si="299"/>
        <v>0</v>
      </c>
      <c r="F47" s="12">
        <f>운전실적_원본!D47</f>
        <v>240931</v>
      </c>
      <c r="G47" s="16">
        <f t="shared" si="300"/>
        <v>77</v>
      </c>
      <c r="H47" s="15">
        <f>운전실적_원본!E47</f>
        <v>17212.77</v>
      </c>
      <c r="I47" s="16">
        <f t="shared" si="301"/>
        <v>5.7700000000004366</v>
      </c>
      <c r="J47" s="15">
        <f>운전실적_원본!F47</f>
        <v>15096.17</v>
      </c>
      <c r="K47" s="16">
        <f t="shared" si="301"/>
        <v>20.489999999999782</v>
      </c>
      <c r="L47" s="32">
        <f>운전실적_원본!G47</f>
        <v>16.5</v>
      </c>
      <c r="M47" s="31">
        <f t="shared" ref="M47" si="338">IF(OR(LEN(L47)=0,L47=0),"",L47-L46)</f>
        <v>1</v>
      </c>
      <c r="N47" s="15">
        <f>운전실적_원본!H47</f>
        <v>38141</v>
      </c>
      <c r="O47" s="16">
        <f t="shared" ref="O47" si="339">IF(OR(LEN(N47)=0,N47=0),"",N47-N46)</f>
        <v>168</v>
      </c>
      <c r="P47" s="15">
        <f>운전실적_원본!I47</f>
        <v>21738</v>
      </c>
      <c r="Q47" s="16">
        <f t="shared" ref="Q47" si="340">IF(OR(LEN(P47)=0,P47=0),"",P47-P46)</f>
        <v>166</v>
      </c>
      <c r="R47" s="18">
        <f>운전실적_원본!J47</f>
        <v>33.39</v>
      </c>
      <c r="S47" s="19">
        <f t="shared" ref="S47" si="341">IF(OR(LEN(R47)=0,R47=0),"",R47-R46)</f>
        <v>2.0000000000003126E-2</v>
      </c>
      <c r="T47" s="18">
        <f>운전실적_원본!K47</f>
        <v>33.07</v>
      </c>
      <c r="U47" s="19">
        <f t="shared" si="306"/>
        <v>-9.9999999999980105E-3</v>
      </c>
      <c r="V47" s="12">
        <f>운전실적_원본!L47</f>
        <v>8569</v>
      </c>
      <c r="W47" s="16">
        <f t="shared" ref="W47" si="342">IF(OR(LEN(V47)=0,V47=0),"",V47-V46)</f>
        <v>163</v>
      </c>
      <c r="X47" s="10">
        <f>운전실적_원본!M47</f>
        <v>195832.66999999434</v>
      </c>
      <c r="Y47" s="10">
        <f>운전실적_원본!N47</f>
        <v>0</v>
      </c>
      <c r="Z47" s="10">
        <f>운전실적_원본!O47</f>
        <v>0</v>
      </c>
      <c r="AA47" s="10">
        <f>운전실적_원본!P47</f>
        <v>0</v>
      </c>
      <c r="AB47" s="10">
        <f>운전실적_원본!Q47</f>
        <v>0</v>
      </c>
      <c r="AC47" s="20">
        <f>운전실적_원본!R47</f>
        <v>0</v>
      </c>
      <c r="AD47" s="109">
        <f>운전실적_원본!S47</f>
        <v>24</v>
      </c>
      <c r="AE47" s="110">
        <f>운전실적_원본!T47</f>
        <v>0</v>
      </c>
      <c r="AF47" s="110">
        <f>운전실적_원본!U47</f>
        <v>0</v>
      </c>
      <c r="AG47" s="110">
        <f>운전실적_원본!V47</f>
        <v>0</v>
      </c>
      <c r="AH47" s="109">
        <f t="shared" si="1"/>
        <v>24</v>
      </c>
      <c r="AI47" s="110">
        <f t="shared" si="125"/>
        <v>0</v>
      </c>
      <c r="AJ47" s="110">
        <f>운전실적_원본!Y47</f>
        <v>0</v>
      </c>
      <c r="AK47" s="110">
        <f>운전실적_원본!Z47</f>
        <v>0</v>
      </c>
      <c r="AL47" s="106">
        <v>46064</v>
      </c>
      <c r="AM47" s="105">
        <f t="shared" si="171"/>
        <v>46065</v>
      </c>
      <c r="AN47" s="105"/>
      <c r="AO47" s="105"/>
      <c r="AP47" s="105"/>
      <c r="AQ47" s="108"/>
      <c r="AR47" s="105"/>
      <c r="AS47" s="105"/>
      <c r="AT47" s="102"/>
      <c r="AU47" s="102"/>
      <c r="AV47" s="102"/>
      <c r="AW47" s="102"/>
      <c r="AX47" s="32">
        <f>운전실적_원본!W47</f>
        <v>1257</v>
      </c>
      <c r="AY47" s="11">
        <f>운전실적_원본!X47</f>
        <v>0</v>
      </c>
      <c r="AZ47" s="11">
        <f>운전실적_원본!Y47</f>
        <v>0</v>
      </c>
      <c r="BA47" s="11">
        <f>운전실적_원본!Z47</f>
        <v>0</v>
      </c>
      <c r="BB47" s="11">
        <f>운전실적_원본!AA47</f>
        <v>0</v>
      </c>
      <c r="BC47" s="11">
        <f>운전실적_원본!AB47</f>
        <v>1257</v>
      </c>
      <c r="BD47" s="32">
        <f t="shared" si="15"/>
        <v>52.375</v>
      </c>
      <c r="BE47" s="11">
        <f t="shared" si="2"/>
        <v>1.0191671531426347</v>
      </c>
      <c r="BF47" s="11">
        <f>운전실적_원본!AE47</f>
        <v>0</v>
      </c>
      <c r="BG47" s="31">
        <f t="shared" si="0"/>
        <v>0</v>
      </c>
      <c r="BH47" s="241">
        <f>INDEX(연료전지_원본!$A$4:$KY$369,MATCH($A47,연료전지_원본!$A$4:$A$369,0),MATCH($BH$4,연료전지_원본!$A$4:$KY$4,0))</f>
        <v>24</v>
      </c>
      <c r="BI47" s="241">
        <f>INDEX(연료전지_원본!$A$4:$KY$369,MATCH($A47,연료전지_원본!$A$4:$A$369,0),MATCH($BI$4,연료전지_원본!$A$4:$KY$4,0))</f>
        <v>24</v>
      </c>
      <c r="BJ47" s="241">
        <f>INDEX(연료전지_원본!$A$4:$KY$369,MATCH($A47,연료전지_원본!$A$4:$A$369,0),MATCH($BJ$4,연료전지_원본!$A$4:$KY$4,0))</f>
        <v>24</v>
      </c>
      <c r="BK47" s="241">
        <f>INDEX(연료전지_원본!$A$4:$KY$369,MATCH($A47,연료전지_원본!$A$4:$A$369,0),MATCH($BK$4,연료전지_원본!$A$4:$KY$4,0))</f>
        <v>24</v>
      </c>
      <c r="BL47" s="241">
        <f>INDEX(연료전지_원본!$A$4:$KY$369,MATCH($A47,연료전지_원본!$A$4:$A$369,0),MATCH($BL$4,연료전지_원본!$A$4:$KY$4,0))</f>
        <v>24</v>
      </c>
      <c r="BM47" s="241">
        <f>INDEX(연료전지_원본!$A$4:$KY$369,MATCH($A47,연료전지_원본!$A$4:$A$369,0),MATCH($BM$4,연료전지_원본!$A$4:$KY$4,0))</f>
        <v>24</v>
      </c>
      <c r="BN47" s="241">
        <f>INDEX(연료전지_원본!$A$4:$KY$369,MATCH($A47,연료전지_원본!$A$4:$A$369,0),MATCH($BN$4,연료전지_원본!$A$4:$KY$4,0))</f>
        <v>24</v>
      </c>
      <c r="BO47" s="241">
        <f>INDEX(연료전지_원본!$A$4:$KY$369,MATCH($A47,연료전지_원본!$A$4:$A$369,0),MATCH($BO$4,연료전지_원본!$A$4:$KY$4,0))</f>
        <v>24</v>
      </c>
      <c r="BP47" s="241">
        <f>INDEX(연료전지_원본!$A$4:$KY$369,MATCH($A47,연료전지_원본!$A$4:$A$369,0),MATCH($BP$4,연료전지_원본!$A$4:$KY$4,0))</f>
        <v>24</v>
      </c>
      <c r="BQ47" s="241">
        <f>INDEX(연료전지_원본!$A$4:$KY$369,MATCH($A47,연료전지_원본!$A$4:$A$369,0),MATCH($BQ$4,연료전지_원본!$A$4:$KY$4,0))</f>
        <v>24</v>
      </c>
      <c r="BR47" s="241">
        <f>INDEX(연료전지_원본!$A$4:$KY$369,MATCH($A47,연료전지_원본!$A$4:$A$369,0),MATCH($BR$4,연료전지_원본!$A$4:$KY$4,0))</f>
        <v>24</v>
      </c>
      <c r="BS47" s="241">
        <f>INDEX(연료전지_원본!$A$4:$KY$369,MATCH($A47,연료전지_원본!$A$4:$A$369,0),MATCH($BS$4,연료전지_원본!$A$4:$KY$4,0))</f>
        <v>24</v>
      </c>
      <c r="BT47" s="241">
        <f>INDEX(연료전지_원본!$A$4:$KY$369,MATCH($A47,연료전지_원본!$A$4:$A$369,0),MATCH($BT$4,연료전지_원본!$A$4:$KY$4,0))</f>
        <v>24</v>
      </c>
      <c r="BU47" s="241">
        <f>INDEX(연료전지_원본!$A$4:$KY$369,MATCH($A47,연료전지_원본!$A$4:$A$369,0),MATCH($BU$4,연료전지_원본!$A$4:$KY$4,0))</f>
        <v>24</v>
      </c>
      <c r="BV47" s="241">
        <f>INDEX(연료전지_원본!$A$4:$KY$369,MATCH($A47,연료전지_원본!$A$4:$A$369,0),MATCH($BV$4,연료전지_원본!$A$4:$KY$4,0))</f>
        <v>24</v>
      </c>
      <c r="BW47" s="241">
        <f>INDEX(연료전지_원본!$A$4:$KY$369,MATCH($A47,연료전지_원본!$A$4:$A$369,0),MATCH($BW$4,연료전지_원본!$A$4:$KY$4,0))</f>
        <v>24</v>
      </c>
      <c r="BX47" s="241">
        <f>INDEX(연료전지_원본!$A$4:$KY$369,MATCH($A47,연료전지_원본!$A$4:$A$369,0),MATCH($BX$4,연료전지_원본!$A$4:$KY$4,0))</f>
        <v>24</v>
      </c>
      <c r="BY47" s="241">
        <f>INDEX(연료전지_원본!$A$4:$KY$369,MATCH($A47,연료전지_원본!$A$4:$A$369,0),MATCH($BY$4,연료전지_원본!$A$4:$KY$4,0))</f>
        <v>24</v>
      </c>
      <c r="BZ47" s="241">
        <f>INDEX(연료전지_원본!$A$4:$KY$369,MATCH($A47,연료전지_원본!$A$4:$A$369,0),MATCH($BZ$4,연료전지_원본!$A$4:$KY$4,0))</f>
        <v>24</v>
      </c>
      <c r="CA47" s="241">
        <f>INDEX(연료전지_원본!$A$4:$KY$369,MATCH($A47,연료전지_원본!$A$4:$A$369,0),MATCH($CA$4,연료전지_원본!$A$4:$KY$4,0))</f>
        <v>24</v>
      </c>
      <c r="CB47" s="241">
        <f>INDEX(연료전지_원본!$A$4:$KY$369,MATCH($A47,연료전지_원본!$A$4:$A$369,0),MATCH($CB$4,연료전지_원본!$A$4:$KY$4,0))</f>
        <v>24</v>
      </c>
      <c r="CC47" s="242">
        <f>INDEX(연료전지_원본!$A$4:$KY$369,MATCH($A47,연료전지_원본!$A$4:$A$369,0),MATCH($CC$4,연료전지_원본!$A$4:$KY$4,0))</f>
        <v>24</v>
      </c>
      <c r="CD47" s="254">
        <f>INDEX(연료전지_원본!$KB$4:$KX$369,MATCH($A47,연료전지_원본!$KB$4:$KB$369,0), MATCH(CD$4,연료전지_원본!$KB$4:$KX$4,0))*1000</f>
        <v>2271</v>
      </c>
      <c r="CE47" s="250">
        <f>INDEX(연료전지_원본!$KB$4:$KX$369,MATCH($A47,연료전지_원본!$KB$4:$KB$369,0), MATCH(CE$4,연료전지_원본!$KB$4:$KX$4,0))*1000</f>
        <v>2269</v>
      </c>
      <c r="CF47" s="250">
        <f>INDEX(연료전지_원본!$KB$4:$KX$369,MATCH($A47,연료전지_원본!$KB$4:$KB$369,0), MATCH(CF$4,연료전지_원본!$KB$4:$KX$4,0))*1000</f>
        <v>2273</v>
      </c>
      <c r="CG47" s="250">
        <f>INDEX(연료전지_원본!$KB$4:$KX$369,MATCH($A47,연료전지_원본!$KB$4:$KB$369,0), MATCH(CG$4,연료전지_원본!$KB$4:$KX$4,0))*1000</f>
        <v>2271</v>
      </c>
      <c r="CH47" s="250">
        <f>INDEX(연료전지_원본!$KB$4:$KX$369,MATCH($A47,연료전지_원본!$KB$4:$KB$369,0), MATCH(CH$4,연료전지_원본!$KB$4:$KX$4,0))*1000</f>
        <v>2271</v>
      </c>
      <c r="CI47" s="250">
        <f>INDEX(연료전지_원본!$KB$4:$KX$369,MATCH($A47,연료전지_원본!$KB$4:$KB$369,0), MATCH(CI$4,연료전지_원본!$KB$4:$KX$4,0))*1000</f>
        <v>2270</v>
      </c>
      <c r="CJ47" s="250">
        <f>INDEX(연료전지_원본!$KB$4:$KX$369,MATCH($A47,연료전지_원본!$KB$4:$KB$369,0), MATCH(CJ$4,연료전지_원본!$KB$4:$KX$4,0))*1000</f>
        <v>2272</v>
      </c>
      <c r="CK47" s="250">
        <f>INDEX(연료전지_원본!$KB$4:$KX$369,MATCH($A47,연료전지_원본!$KB$4:$KB$369,0), MATCH(CK$4,연료전지_원본!$KB$4:$KX$4,0))*1000</f>
        <v>2272</v>
      </c>
      <c r="CL47" s="250">
        <f>INDEX(연료전지_원본!$KB$4:$KX$369,MATCH($A47,연료전지_원본!$KB$4:$KB$369,0), MATCH(CL$4,연료전지_원본!$KB$4:$KX$4,0))*1000</f>
        <v>2271</v>
      </c>
      <c r="CM47" s="250">
        <f>INDEX(연료전지_원본!$KB$4:$KX$369,MATCH($A47,연료전지_원본!$KB$4:$KB$369,0), MATCH(CM$4,연료전지_원본!$KB$4:$KX$4,0))*1000</f>
        <v>2270</v>
      </c>
      <c r="CN47" s="250">
        <f>INDEX(연료전지_원본!$KB$4:$KX$369,MATCH($A47,연료전지_원본!$KB$4:$KB$369,0), MATCH(CN$4,연료전지_원본!$KB$4:$KX$4,0))*1000</f>
        <v>2270</v>
      </c>
      <c r="CO47" s="250">
        <f>INDEX(연료전지_원본!$KB$4:$KX$369,MATCH($A47,연료전지_원본!$KB$4:$KB$369,0), MATCH(CO$4,연료전지_원본!$KB$4:$KX$4,0))*1000</f>
        <v>2276</v>
      </c>
      <c r="CP47" s="250">
        <f>INDEX(연료전지_원본!$KB$4:$KX$369,MATCH($A47,연료전지_원본!$KB$4:$KB$369,0), MATCH(CP$4,연료전지_원본!$KB$4:$KX$4,0))*1000</f>
        <v>2271</v>
      </c>
      <c r="CQ47" s="250">
        <f>INDEX(연료전지_원본!$KB$4:$KX$369,MATCH($A47,연료전지_원본!$KB$4:$KB$369,0), MATCH(CQ$4,연료전지_원본!$KB$4:$KX$4,0))*1000</f>
        <v>2269</v>
      </c>
      <c r="CR47" s="250">
        <f>INDEX(연료전지_원본!$KB$4:$KX$369,MATCH($A47,연료전지_원본!$KB$4:$KB$369,0), MATCH(CR$4,연료전지_원본!$KB$4:$KX$4,0))*1000</f>
        <v>2271</v>
      </c>
      <c r="CS47" s="250">
        <f>INDEX(연료전지_원본!$KB$4:$KX$369,MATCH($A47,연료전지_원본!$KB$4:$KB$369,0), MATCH(CS$4,연료전지_원본!$KB$4:$KX$4,0))*1000</f>
        <v>2270</v>
      </c>
      <c r="CT47" s="250">
        <f>INDEX(연료전지_원본!$KB$4:$KX$369,MATCH($A47,연료전지_원본!$KB$4:$KB$369,0), MATCH(CT$4,연료전지_원본!$KB$4:$KX$4,0))*1000</f>
        <v>2272</v>
      </c>
      <c r="CU47" s="250">
        <f>INDEX(연료전지_원본!$KB$4:$KX$369,MATCH($A47,연료전지_원본!$KB$4:$KB$369,0), MATCH(CU$4,연료전지_원본!$KB$4:$KX$4,0))*1000</f>
        <v>2272</v>
      </c>
      <c r="CV47" s="250">
        <f>INDEX(연료전지_원본!$KB$4:$KX$369,MATCH($A47,연료전지_원본!$KB$4:$KB$369,0), MATCH(CV$4,연료전지_원본!$KB$4:$KX$4,0))*1000</f>
        <v>2271</v>
      </c>
      <c r="CW47" s="250">
        <f>INDEX(연료전지_원본!$KB$4:$KX$369,MATCH($A47,연료전지_원본!$KB$4:$KB$369,0), MATCH(CW$4,연료전지_원본!$KB$4:$KX$4,0))*1000</f>
        <v>1901</v>
      </c>
      <c r="CX47" s="250">
        <f>INDEX(연료전지_원본!$KB$4:$KX$369,MATCH($A47,연료전지_원본!$KB$4:$KB$369,0), MATCH(CX$4,연료전지_원본!$KB$4:$KX$4,0))*1000</f>
        <v>2269</v>
      </c>
      <c r="CY47" s="255">
        <f>INDEX(연료전지_원본!$KB$4:$KX$369,MATCH($A47,연료전지_원본!$KB$4:$KB$369,0), MATCH(CY$4,연료전지_원본!$KB$4:$KX$4,0))*1000</f>
        <v>2272</v>
      </c>
      <c r="CZ47" s="185">
        <v>10.569999999999993</v>
      </c>
      <c r="DA47" s="30">
        <v>10.564999999999998</v>
      </c>
      <c r="DB47" s="30">
        <v>10.580999999999989</v>
      </c>
      <c r="DC47" s="30">
        <v>10.569999999999993</v>
      </c>
      <c r="DD47" s="30">
        <v>10.570999999999998</v>
      </c>
      <c r="DE47" s="30">
        <v>10.568999999999988</v>
      </c>
      <c r="DF47" s="30">
        <v>10.577999999999975</v>
      </c>
      <c r="DG47" s="30">
        <v>10.577999999999975</v>
      </c>
      <c r="DH47" s="30">
        <v>10.574000000000012</v>
      </c>
      <c r="DI47" s="30">
        <v>10.567000000000007</v>
      </c>
      <c r="DJ47" s="30">
        <v>10.568999999999988</v>
      </c>
      <c r="DK47" s="30">
        <v>10.593999999999994</v>
      </c>
      <c r="DL47" s="30">
        <v>10.572999999999979</v>
      </c>
      <c r="DM47" s="30">
        <v>10.564999999999998</v>
      </c>
      <c r="DN47" s="30">
        <v>10.569999999999993</v>
      </c>
      <c r="DO47" s="30">
        <v>10.568999999999988</v>
      </c>
      <c r="DP47" s="30">
        <v>10.578999999999979</v>
      </c>
      <c r="DQ47" s="30">
        <v>10.578000000000031</v>
      </c>
      <c r="DR47" s="30">
        <v>10.573999999999984</v>
      </c>
      <c r="DS47" s="30">
        <v>8.8520000000000039</v>
      </c>
      <c r="DT47" s="30">
        <v>10.563000000000017</v>
      </c>
      <c r="DU47" s="30">
        <v>10.578999999999994</v>
      </c>
      <c r="DV47" s="30">
        <f t="shared" si="297"/>
        <v>230.88799999999986</v>
      </c>
    </row>
    <row r="48" spans="1:126">
      <c r="A48" s="6">
        <v>46065</v>
      </c>
      <c r="B48" s="15">
        <f>운전실적_원본!B48</f>
        <v>651.20000000000005</v>
      </c>
      <c r="C48" s="16">
        <f t="shared" si="298"/>
        <v>0</v>
      </c>
      <c r="D48" s="12">
        <f>운전실적_원본!C48</f>
        <v>249336</v>
      </c>
      <c r="E48" s="12">
        <f t="shared" si="299"/>
        <v>19</v>
      </c>
      <c r="F48" s="12">
        <f>운전실적_원본!D48</f>
        <v>240938</v>
      </c>
      <c r="G48" s="16">
        <f t="shared" si="300"/>
        <v>7</v>
      </c>
      <c r="H48" s="15">
        <f>운전실적_원본!E48</f>
        <v>17219.28</v>
      </c>
      <c r="I48" s="16">
        <f t="shared" si="301"/>
        <v>6.5099999999983993</v>
      </c>
      <c r="J48" s="15">
        <f>운전실적_원본!F48</f>
        <v>15116.58</v>
      </c>
      <c r="K48" s="16">
        <f t="shared" si="301"/>
        <v>20.409999999999854</v>
      </c>
      <c r="L48" s="32">
        <f>운전실적_원본!G48</f>
        <v>17.3</v>
      </c>
      <c r="M48" s="31">
        <f t="shared" ref="M48" si="343">IF(OR(LEN(L48)=0,L48=0),"",L48-L47)</f>
        <v>0.80000000000000071</v>
      </c>
      <c r="N48" s="15">
        <f>운전실적_원본!H48</f>
        <v>38254</v>
      </c>
      <c r="O48" s="16">
        <f t="shared" ref="O48" si="344">IF(OR(LEN(N48)=0,N48=0),"",N48-N47)</f>
        <v>113</v>
      </c>
      <c r="P48" s="15">
        <f>운전실적_원본!I48</f>
        <v>21848</v>
      </c>
      <c r="Q48" s="16">
        <f t="shared" ref="Q48" si="345">IF(OR(LEN(P48)=0,P48=0),"",P48-P47)</f>
        <v>110</v>
      </c>
      <c r="R48" s="18">
        <f>운전실적_원본!J48</f>
        <v>33.590000000000003</v>
      </c>
      <c r="S48" s="19">
        <f t="shared" ref="S48" si="346">IF(OR(LEN(R48)=0,R48=0),"",R48-R47)</f>
        <v>0.20000000000000284</v>
      </c>
      <c r="T48" s="18">
        <f>운전실적_원본!K48</f>
        <v>33.26</v>
      </c>
      <c r="U48" s="19">
        <f t="shared" si="306"/>
        <v>0.18999999999999773</v>
      </c>
      <c r="V48" s="12">
        <f>운전실적_원본!L48</f>
        <v>6388</v>
      </c>
      <c r="W48" s="16">
        <f t="shared" ref="W48" si="347">IF(OR(LEN(V48)=0,V48=0),"",V48-V47)</f>
        <v>-2181</v>
      </c>
      <c r="X48" s="10">
        <f>운전실적_원본!M48</f>
        <v>196425.25</v>
      </c>
      <c r="Y48" s="10">
        <f>운전실적_원본!N48</f>
        <v>0</v>
      </c>
      <c r="Z48" s="10">
        <f>운전실적_원본!O48</f>
        <v>0</v>
      </c>
      <c r="AA48" s="10">
        <f>운전실적_원본!P48</f>
        <v>0</v>
      </c>
      <c r="AB48" s="10">
        <f>운전실적_원본!Q48</f>
        <v>0</v>
      </c>
      <c r="AC48" s="20">
        <f>운전실적_원본!R48</f>
        <v>0</v>
      </c>
      <c r="AD48" s="109">
        <f>운전실적_원본!S48</f>
        <v>24</v>
      </c>
      <c r="AE48" s="110">
        <f>운전실적_원본!T48</f>
        <v>0</v>
      </c>
      <c r="AF48" s="110">
        <f>운전실적_원본!U48</f>
        <v>0</v>
      </c>
      <c r="AG48" s="110">
        <f>운전실적_원본!V48</f>
        <v>0</v>
      </c>
      <c r="AH48" s="109">
        <f t="shared" si="1"/>
        <v>24</v>
      </c>
      <c r="AI48" s="110">
        <f t="shared" si="125"/>
        <v>0</v>
      </c>
      <c r="AJ48" s="110">
        <f>운전실적_원본!Y48</f>
        <v>0</v>
      </c>
      <c r="AK48" s="110">
        <f>운전실적_원본!Z48</f>
        <v>0</v>
      </c>
      <c r="AL48" s="106">
        <v>46065</v>
      </c>
      <c r="AM48" s="105">
        <f t="shared" si="171"/>
        <v>46066</v>
      </c>
      <c r="AN48" s="105"/>
      <c r="AO48" s="105"/>
      <c r="AP48" s="105"/>
      <c r="AQ48" s="108"/>
      <c r="AR48" s="105"/>
      <c r="AS48" s="105"/>
      <c r="AT48" s="102"/>
      <c r="AU48" s="102"/>
      <c r="AV48" s="102"/>
      <c r="AW48" s="102"/>
      <c r="AX48" s="32">
        <f>운전실적_원본!W48</f>
        <v>1262</v>
      </c>
      <c r="AY48" s="11">
        <f>운전실적_원본!X48</f>
        <v>0</v>
      </c>
      <c r="AZ48" s="11">
        <f>운전실적_원본!Y48</f>
        <v>0</v>
      </c>
      <c r="BA48" s="11">
        <f>운전실적_원본!Z48</f>
        <v>0</v>
      </c>
      <c r="BB48" s="11">
        <f>운전실적_원본!AA48</f>
        <v>0</v>
      </c>
      <c r="BC48" s="11">
        <f>운전실적_원본!AB48</f>
        <v>1262</v>
      </c>
      <c r="BD48" s="32">
        <f t="shared" si="15"/>
        <v>52.583333333333336</v>
      </c>
      <c r="BE48" s="11">
        <f t="shared" si="2"/>
        <v>1.0232211195433614</v>
      </c>
      <c r="BF48" s="11">
        <f>운전실적_원본!AE48</f>
        <v>0</v>
      </c>
      <c r="BG48" s="31">
        <f t="shared" si="0"/>
        <v>0</v>
      </c>
      <c r="BH48" s="241">
        <f>INDEX(연료전지_원본!$A$4:$KY$369,MATCH($A48,연료전지_원본!$A$4:$A$369,0),MATCH($BH$4,연료전지_원본!$A$4:$KY$4,0))</f>
        <v>24</v>
      </c>
      <c r="BI48" s="241">
        <f>INDEX(연료전지_원본!$A$4:$KY$369,MATCH($A48,연료전지_원본!$A$4:$A$369,0),MATCH($BI$4,연료전지_원본!$A$4:$KY$4,0))</f>
        <v>24</v>
      </c>
      <c r="BJ48" s="241">
        <f>INDEX(연료전지_원본!$A$4:$KY$369,MATCH($A48,연료전지_원본!$A$4:$A$369,0),MATCH($BJ$4,연료전지_원본!$A$4:$KY$4,0))</f>
        <v>24</v>
      </c>
      <c r="BK48" s="241">
        <f>INDEX(연료전지_원본!$A$4:$KY$369,MATCH($A48,연료전지_원본!$A$4:$A$369,0),MATCH($BK$4,연료전지_원본!$A$4:$KY$4,0))</f>
        <v>24</v>
      </c>
      <c r="BL48" s="241">
        <f>INDEX(연료전지_원본!$A$4:$KY$369,MATCH($A48,연료전지_원본!$A$4:$A$369,0),MATCH($BL$4,연료전지_원본!$A$4:$KY$4,0))</f>
        <v>24</v>
      </c>
      <c r="BM48" s="241">
        <f>INDEX(연료전지_원본!$A$4:$KY$369,MATCH($A48,연료전지_원본!$A$4:$A$369,0),MATCH($BM$4,연료전지_원본!$A$4:$KY$4,0))</f>
        <v>24</v>
      </c>
      <c r="BN48" s="241">
        <f>INDEX(연료전지_원본!$A$4:$KY$369,MATCH($A48,연료전지_원본!$A$4:$A$369,0),MATCH($BN$4,연료전지_원본!$A$4:$KY$4,0))</f>
        <v>24</v>
      </c>
      <c r="BO48" s="241">
        <f>INDEX(연료전지_원본!$A$4:$KY$369,MATCH($A48,연료전지_원본!$A$4:$A$369,0),MATCH($BO$4,연료전지_원본!$A$4:$KY$4,0))</f>
        <v>24</v>
      </c>
      <c r="BP48" s="241">
        <f>INDEX(연료전지_원본!$A$4:$KY$369,MATCH($A48,연료전지_원본!$A$4:$A$369,0),MATCH($BP$4,연료전지_원본!$A$4:$KY$4,0))</f>
        <v>24</v>
      </c>
      <c r="BQ48" s="241">
        <f>INDEX(연료전지_원본!$A$4:$KY$369,MATCH($A48,연료전지_원본!$A$4:$A$369,0),MATCH($BQ$4,연료전지_원본!$A$4:$KY$4,0))</f>
        <v>24</v>
      </c>
      <c r="BR48" s="241">
        <f>INDEX(연료전지_원본!$A$4:$KY$369,MATCH($A48,연료전지_원본!$A$4:$A$369,0),MATCH($BR$4,연료전지_원본!$A$4:$KY$4,0))</f>
        <v>24</v>
      </c>
      <c r="BS48" s="241">
        <f>INDEX(연료전지_원본!$A$4:$KY$369,MATCH($A48,연료전지_원본!$A$4:$A$369,0),MATCH($BS$4,연료전지_원본!$A$4:$KY$4,0))</f>
        <v>24</v>
      </c>
      <c r="BT48" s="241">
        <f>INDEX(연료전지_원본!$A$4:$KY$369,MATCH($A48,연료전지_원본!$A$4:$A$369,0),MATCH($BT$4,연료전지_원본!$A$4:$KY$4,0))</f>
        <v>24</v>
      </c>
      <c r="BU48" s="241">
        <f>INDEX(연료전지_원본!$A$4:$KY$369,MATCH($A48,연료전지_원본!$A$4:$A$369,0),MATCH($BU$4,연료전지_원본!$A$4:$KY$4,0))</f>
        <v>24</v>
      </c>
      <c r="BV48" s="241">
        <f>INDEX(연료전지_원본!$A$4:$KY$369,MATCH($A48,연료전지_원본!$A$4:$A$369,0),MATCH($BV$4,연료전지_원본!$A$4:$KY$4,0))</f>
        <v>24</v>
      </c>
      <c r="BW48" s="241">
        <f>INDEX(연료전지_원본!$A$4:$KY$369,MATCH($A48,연료전지_원본!$A$4:$A$369,0),MATCH($BW$4,연료전지_원본!$A$4:$KY$4,0))</f>
        <v>24</v>
      </c>
      <c r="BX48" s="241">
        <f>INDEX(연료전지_원본!$A$4:$KY$369,MATCH($A48,연료전지_원본!$A$4:$A$369,0),MATCH($BX$4,연료전지_원본!$A$4:$KY$4,0))</f>
        <v>24</v>
      </c>
      <c r="BY48" s="241">
        <f>INDEX(연료전지_원본!$A$4:$KY$369,MATCH($A48,연료전지_원본!$A$4:$A$369,0),MATCH($BY$4,연료전지_원본!$A$4:$KY$4,0))</f>
        <v>24</v>
      </c>
      <c r="BZ48" s="241">
        <f>INDEX(연료전지_원본!$A$4:$KY$369,MATCH($A48,연료전지_원본!$A$4:$A$369,0),MATCH($BZ$4,연료전지_원본!$A$4:$KY$4,0))</f>
        <v>24</v>
      </c>
      <c r="CA48" s="241">
        <f>INDEX(연료전지_원본!$A$4:$KY$369,MATCH($A48,연료전지_원본!$A$4:$A$369,0),MATCH($CA$4,연료전지_원본!$A$4:$KY$4,0))</f>
        <v>24</v>
      </c>
      <c r="CB48" s="241">
        <f>INDEX(연료전지_원본!$A$4:$KY$369,MATCH($A48,연료전지_원본!$A$4:$A$369,0),MATCH($CB$4,연료전지_원본!$A$4:$KY$4,0))</f>
        <v>24</v>
      </c>
      <c r="CC48" s="242">
        <f>INDEX(연료전지_원본!$A$4:$KY$369,MATCH($A48,연료전지_원본!$A$4:$A$369,0),MATCH($CC$4,연료전지_원본!$A$4:$KY$4,0))</f>
        <v>24</v>
      </c>
      <c r="CD48" s="254">
        <f>INDEX(연료전지_원본!$KB$4:$KX$369,MATCH($A48,연료전지_원본!$KB$4:$KB$369,0), MATCH(CD$4,연료전지_원본!$KB$4:$KX$4,0))*1000</f>
        <v>2252</v>
      </c>
      <c r="CE48" s="250">
        <f>INDEX(연료전지_원본!$KB$4:$KX$369,MATCH($A48,연료전지_원본!$KB$4:$KB$369,0), MATCH(CE$4,연료전지_원본!$KB$4:$KX$4,0))*1000</f>
        <v>2251</v>
      </c>
      <c r="CF48" s="250">
        <f>INDEX(연료전지_원본!$KB$4:$KX$369,MATCH($A48,연료전지_원본!$KB$4:$KB$369,0), MATCH(CF$4,연료전지_원본!$KB$4:$KX$4,0))*1000</f>
        <v>2249</v>
      </c>
      <c r="CG48" s="250">
        <f>INDEX(연료전지_원본!$KB$4:$KX$369,MATCH($A48,연료전지_원본!$KB$4:$KB$369,0), MATCH(CG$4,연료전지_원본!$KB$4:$KX$4,0))*1000</f>
        <v>2252</v>
      </c>
      <c r="CH48" s="250">
        <f>INDEX(연료전지_원본!$KB$4:$KX$369,MATCH($A48,연료전지_원본!$KB$4:$KB$369,0), MATCH(CH$4,연료전지_원본!$KB$4:$KX$4,0))*1000</f>
        <v>2253</v>
      </c>
      <c r="CI48" s="250">
        <f>INDEX(연료전지_원본!$KB$4:$KX$369,MATCH($A48,연료전지_원본!$KB$4:$KB$369,0), MATCH(CI$4,연료전지_원본!$KB$4:$KX$4,0))*1000</f>
        <v>2252</v>
      </c>
      <c r="CJ48" s="250">
        <f>INDEX(연료전지_원본!$KB$4:$KX$369,MATCH($A48,연료전지_원본!$KB$4:$KB$369,0), MATCH(CJ$4,연료전지_원본!$KB$4:$KX$4,0))*1000</f>
        <v>2251</v>
      </c>
      <c r="CK48" s="250">
        <f>INDEX(연료전지_원본!$KB$4:$KX$369,MATCH($A48,연료전지_원본!$KB$4:$KB$369,0), MATCH(CK$4,연료전지_원본!$KB$4:$KX$4,0))*1000</f>
        <v>2248</v>
      </c>
      <c r="CL48" s="250">
        <f>INDEX(연료전지_원본!$KB$4:$KX$369,MATCH($A48,연료전지_원본!$KB$4:$KB$369,0), MATCH(CL$4,연료전지_원본!$KB$4:$KX$4,0))*1000</f>
        <v>2253</v>
      </c>
      <c r="CM48" s="250">
        <f>INDEX(연료전지_원본!$KB$4:$KX$369,MATCH($A48,연료전지_원본!$KB$4:$KB$369,0), MATCH(CM$4,연료전지_원본!$KB$4:$KX$4,0))*1000</f>
        <v>2251</v>
      </c>
      <c r="CN48" s="250">
        <f>INDEX(연료전지_원본!$KB$4:$KX$369,MATCH($A48,연료전지_원본!$KB$4:$KB$369,0), MATCH(CN$4,연료전지_원본!$KB$4:$KX$4,0))*1000</f>
        <v>2252</v>
      </c>
      <c r="CO48" s="250">
        <f>INDEX(연료전지_원본!$KB$4:$KX$369,MATCH($A48,연료전지_원본!$KB$4:$KB$369,0), MATCH(CO$4,연료전지_원본!$KB$4:$KX$4,0))*1000</f>
        <v>2254</v>
      </c>
      <c r="CP48" s="250">
        <f>INDEX(연료전지_원본!$KB$4:$KX$369,MATCH($A48,연료전지_원본!$KB$4:$KB$369,0), MATCH(CP$4,연료전지_원본!$KB$4:$KX$4,0))*1000</f>
        <v>2250</v>
      </c>
      <c r="CQ48" s="250">
        <f>INDEX(연료전지_원본!$KB$4:$KX$369,MATCH($A48,연료전지_원본!$KB$4:$KB$369,0), MATCH(CQ$4,연료전지_원본!$KB$4:$KX$4,0))*1000</f>
        <v>2251</v>
      </c>
      <c r="CR48" s="250">
        <f>INDEX(연료전지_원본!$KB$4:$KX$369,MATCH($A48,연료전지_원본!$KB$4:$KB$369,0), MATCH(CR$4,연료전지_원본!$KB$4:$KX$4,0))*1000</f>
        <v>2252</v>
      </c>
      <c r="CS48" s="250">
        <f>INDEX(연료전지_원본!$KB$4:$KX$369,MATCH($A48,연료전지_원본!$KB$4:$KB$369,0), MATCH(CS$4,연료전지_원본!$KB$4:$KX$4,0))*1000</f>
        <v>2252</v>
      </c>
      <c r="CT48" s="250">
        <f>INDEX(연료전지_원본!$KB$4:$KX$369,MATCH($A48,연료전지_원본!$KB$4:$KB$369,0), MATCH(CT$4,연료전지_원본!$KB$4:$KX$4,0))*1000</f>
        <v>2248</v>
      </c>
      <c r="CU48" s="250">
        <f>INDEX(연료전지_원본!$KB$4:$KX$369,MATCH($A48,연료전지_원본!$KB$4:$KB$369,0), MATCH(CU$4,연료전지_원본!$KB$4:$KX$4,0))*1000</f>
        <v>2239</v>
      </c>
      <c r="CV48" s="250">
        <f>INDEX(연료전지_원본!$KB$4:$KX$369,MATCH($A48,연료전지_원본!$KB$4:$KB$369,0), MATCH(CV$4,연료전지_원본!$KB$4:$KX$4,0))*1000</f>
        <v>2250</v>
      </c>
      <c r="CW48" s="250">
        <f>INDEX(연료전지_원본!$KB$4:$KX$369,MATCH($A48,연료전지_원본!$KB$4:$KB$369,0), MATCH(CW$4,연료전지_원본!$KB$4:$KX$4,0))*1000</f>
        <v>2244</v>
      </c>
      <c r="CX48" s="250">
        <f>INDEX(연료전지_원본!$KB$4:$KX$369,MATCH($A48,연료전지_원본!$KB$4:$KB$369,0), MATCH(CX$4,연료전지_원본!$KB$4:$KX$4,0))*1000</f>
        <v>2251</v>
      </c>
      <c r="CY48" s="255">
        <f>INDEX(연료전지_원본!$KB$4:$KX$369,MATCH($A48,연료전지_원본!$KB$4:$KB$369,0), MATCH(CY$4,연료전지_원본!$KB$4:$KX$4,0))*1000</f>
        <v>2248</v>
      </c>
      <c r="CZ48" s="185">
        <v>10.597000000000008</v>
      </c>
      <c r="DA48" s="30">
        <v>10.592000000000013</v>
      </c>
      <c r="DB48" s="30">
        <v>10.582000000000022</v>
      </c>
      <c r="DC48" s="30">
        <v>10.59699999999998</v>
      </c>
      <c r="DD48" s="30">
        <v>10.599999999999994</v>
      </c>
      <c r="DE48" s="30">
        <v>10.598000000000013</v>
      </c>
      <c r="DF48" s="30">
        <v>10.591000000000008</v>
      </c>
      <c r="DG48" s="30">
        <v>10.578000000000031</v>
      </c>
      <c r="DH48" s="30">
        <v>10.601999999999975</v>
      </c>
      <c r="DI48" s="30">
        <v>10.593999999999994</v>
      </c>
      <c r="DJ48" s="30">
        <v>10.598000000000013</v>
      </c>
      <c r="DK48" s="30">
        <v>10.60899999999998</v>
      </c>
      <c r="DL48" s="30">
        <v>10.588000000000022</v>
      </c>
      <c r="DM48" s="30">
        <v>10.591999999999985</v>
      </c>
      <c r="DN48" s="30">
        <v>10.597000000000008</v>
      </c>
      <c r="DO48" s="30">
        <v>10.598000000000013</v>
      </c>
      <c r="DP48" s="30">
        <v>10.580000000000013</v>
      </c>
      <c r="DQ48" s="30">
        <v>10.533999999999992</v>
      </c>
      <c r="DR48" s="30">
        <v>10.587999999999994</v>
      </c>
      <c r="DS48" s="30">
        <v>10.558999999999997</v>
      </c>
      <c r="DT48" s="30">
        <v>10.59099999999998</v>
      </c>
      <c r="DU48" s="30">
        <v>10.579999999999998</v>
      </c>
      <c r="DV48" s="30">
        <f t="shared" si="297"/>
        <v>232.94500000000005</v>
      </c>
    </row>
    <row r="49" spans="1:126">
      <c r="A49" s="6">
        <v>46066</v>
      </c>
      <c r="B49" s="15">
        <f>운전실적_원본!B49</f>
        <v>651.20000000000005</v>
      </c>
      <c r="C49" s="16">
        <f t="shared" si="298"/>
        <v>0</v>
      </c>
      <c r="D49" s="12">
        <f>운전실적_원본!C49</f>
        <v>249424</v>
      </c>
      <c r="E49" s="12">
        <f t="shared" si="299"/>
        <v>88</v>
      </c>
      <c r="F49" s="12">
        <f>운전실적_원본!D49</f>
        <v>240982</v>
      </c>
      <c r="G49" s="16">
        <f t="shared" si="300"/>
        <v>44</v>
      </c>
      <c r="H49" s="15">
        <f>운전실적_원본!E49</f>
        <v>17225.05</v>
      </c>
      <c r="I49" s="16">
        <f t="shared" si="301"/>
        <v>5.7700000000004366</v>
      </c>
      <c r="J49" s="15">
        <f>운전실적_원본!F49</f>
        <v>15139.01</v>
      </c>
      <c r="K49" s="16">
        <f t="shared" si="301"/>
        <v>22.430000000000291</v>
      </c>
      <c r="L49" s="32">
        <f>운전실적_원본!G49</f>
        <v>18.3</v>
      </c>
      <c r="M49" s="31">
        <f t="shared" ref="M49" si="348">IF(OR(LEN(L49)=0,L49=0),"",L49-L48)</f>
        <v>1</v>
      </c>
      <c r="N49" s="15">
        <f>운전실적_원본!H49</f>
        <v>38382</v>
      </c>
      <c r="O49" s="16">
        <f t="shared" ref="O49" si="349">IF(OR(LEN(N49)=0,N49=0),"",N49-N48)</f>
        <v>128</v>
      </c>
      <c r="P49" s="15">
        <f>운전실적_원본!I49</f>
        <v>22104</v>
      </c>
      <c r="Q49" s="16">
        <f t="shared" ref="Q49" si="350">IF(OR(LEN(P49)=0,P49=0),"",P49-P48)</f>
        <v>256</v>
      </c>
      <c r="R49" s="18">
        <f>운전실적_원본!J49</f>
        <v>34.07</v>
      </c>
      <c r="S49" s="19">
        <f t="shared" ref="S49" si="351">IF(OR(LEN(R49)=0,R49=0),"",R49-R48)</f>
        <v>0.47999999999999687</v>
      </c>
      <c r="T49" s="18">
        <f>운전실적_원본!K49</f>
        <v>33.426000000000002</v>
      </c>
      <c r="U49" s="19">
        <f t="shared" si="306"/>
        <v>0.16600000000000392</v>
      </c>
      <c r="V49" s="12">
        <f>운전실적_원본!L49</f>
        <v>8332.5589999999993</v>
      </c>
      <c r="W49" s="16">
        <f t="shared" ref="W49" si="352">IF(OR(LEN(V49)=0,V49=0),"",V49-V48)</f>
        <v>1944.5589999999993</v>
      </c>
      <c r="X49" s="10">
        <f>운전실적_원본!M49</f>
        <v>193930.53999999911</v>
      </c>
      <c r="Y49" s="10">
        <f>운전실적_원본!N49</f>
        <v>0</v>
      </c>
      <c r="Z49" s="10">
        <f>운전실적_원본!O49</f>
        <v>0</v>
      </c>
      <c r="AA49" s="10">
        <f>운전실적_원본!P49</f>
        <v>0</v>
      </c>
      <c r="AB49" s="10">
        <f>운전실적_원본!Q49</f>
        <v>0</v>
      </c>
      <c r="AC49" s="20">
        <f>운전실적_원본!R49</f>
        <v>0</v>
      </c>
      <c r="AD49" s="109">
        <f>운전실적_원본!S49</f>
        <v>24</v>
      </c>
      <c r="AE49" s="110">
        <f>운전실적_원본!T49</f>
        <v>0</v>
      </c>
      <c r="AF49" s="110">
        <f>운전실적_원본!U49</f>
        <v>0</v>
      </c>
      <c r="AG49" s="110">
        <f>운전실적_원본!V49</f>
        <v>0</v>
      </c>
      <c r="AH49" s="109">
        <f t="shared" si="1"/>
        <v>24</v>
      </c>
      <c r="AI49" s="110">
        <f t="shared" si="125"/>
        <v>0</v>
      </c>
      <c r="AJ49" s="110">
        <f>운전실적_원본!Y49</f>
        <v>0</v>
      </c>
      <c r="AK49" s="110">
        <f>운전실적_원본!Z49</f>
        <v>0</v>
      </c>
      <c r="AL49" s="106">
        <v>46066</v>
      </c>
      <c r="AM49" s="105">
        <f t="shared" si="171"/>
        <v>46067</v>
      </c>
      <c r="AN49" s="105"/>
      <c r="AO49" s="105"/>
      <c r="AP49" s="105"/>
      <c r="AQ49" s="108"/>
      <c r="AR49" s="105"/>
      <c r="AS49" s="105"/>
      <c r="AT49" s="102"/>
      <c r="AU49" s="102"/>
      <c r="AV49" s="102"/>
      <c r="AW49" s="102"/>
      <c r="AX49" s="32">
        <f>운전실적_원본!W49</f>
        <v>1264.4169999999995</v>
      </c>
      <c r="AY49" s="11">
        <f>운전실적_원본!X49</f>
        <v>0</v>
      </c>
      <c r="AZ49" s="11">
        <f>운전실적_원본!Y49</f>
        <v>0</v>
      </c>
      <c r="BA49" s="11">
        <f>운전실적_원본!Z49</f>
        <v>0</v>
      </c>
      <c r="BB49" s="11">
        <f>운전실적_원본!AA49</f>
        <v>0</v>
      </c>
      <c r="BC49" s="11">
        <f>운전실적_원본!AB49</f>
        <v>1264.4169999999995</v>
      </c>
      <c r="BD49" s="32">
        <f t="shared" si="15"/>
        <v>52.684041666666644</v>
      </c>
      <c r="BE49" s="11">
        <f t="shared" si="2"/>
        <v>1.0251808069014721</v>
      </c>
      <c r="BF49" s="11">
        <f>운전실적_원본!AE49</f>
        <v>0</v>
      </c>
      <c r="BG49" s="31">
        <f t="shared" si="0"/>
        <v>0</v>
      </c>
      <c r="BH49" s="241">
        <f>INDEX(연료전지_원본!$A$4:$KY$369,MATCH($A49,연료전지_원본!$A$4:$A$369,0),MATCH($BH$4,연료전지_원본!$A$4:$KY$4,0))</f>
        <v>24</v>
      </c>
      <c r="BI49" s="241">
        <f>INDEX(연료전지_원본!$A$4:$KY$369,MATCH($A49,연료전지_원본!$A$4:$A$369,0),MATCH($BI$4,연료전지_원본!$A$4:$KY$4,0))</f>
        <v>24</v>
      </c>
      <c r="BJ49" s="241">
        <f>INDEX(연료전지_원본!$A$4:$KY$369,MATCH($A49,연료전지_원본!$A$4:$A$369,0),MATCH($BJ$4,연료전지_원본!$A$4:$KY$4,0))</f>
        <v>24</v>
      </c>
      <c r="BK49" s="241">
        <f>INDEX(연료전지_원본!$A$4:$KY$369,MATCH($A49,연료전지_원본!$A$4:$A$369,0),MATCH($BK$4,연료전지_원본!$A$4:$KY$4,0))</f>
        <v>24</v>
      </c>
      <c r="BL49" s="241">
        <f>INDEX(연료전지_원본!$A$4:$KY$369,MATCH($A49,연료전지_원본!$A$4:$A$369,0),MATCH($BL$4,연료전지_원본!$A$4:$KY$4,0))</f>
        <v>24</v>
      </c>
      <c r="BM49" s="241">
        <f>INDEX(연료전지_원본!$A$4:$KY$369,MATCH($A49,연료전지_원본!$A$4:$A$369,0),MATCH($BM$4,연료전지_원본!$A$4:$KY$4,0))</f>
        <v>24</v>
      </c>
      <c r="BN49" s="241">
        <f>INDEX(연료전지_원본!$A$4:$KY$369,MATCH($A49,연료전지_원본!$A$4:$A$369,0),MATCH($BN$4,연료전지_원본!$A$4:$KY$4,0))</f>
        <v>24</v>
      </c>
      <c r="BO49" s="241">
        <f>INDEX(연료전지_원본!$A$4:$KY$369,MATCH($A49,연료전지_원본!$A$4:$A$369,0),MATCH($BO$4,연료전지_원본!$A$4:$KY$4,0))</f>
        <v>24</v>
      </c>
      <c r="BP49" s="241">
        <f>INDEX(연료전지_원본!$A$4:$KY$369,MATCH($A49,연료전지_원본!$A$4:$A$369,0),MATCH($BP$4,연료전지_원본!$A$4:$KY$4,0))</f>
        <v>24</v>
      </c>
      <c r="BQ49" s="241">
        <f>INDEX(연료전지_원본!$A$4:$KY$369,MATCH($A49,연료전지_원본!$A$4:$A$369,0),MATCH($BQ$4,연료전지_원본!$A$4:$KY$4,0))</f>
        <v>24</v>
      </c>
      <c r="BR49" s="241">
        <f>INDEX(연료전지_원본!$A$4:$KY$369,MATCH($A49,연료전지_원본!$A$4:$A$369,0),MATCH($BR$4,연료전지_원본!$A$4:$KY$4,0))</f>
        <v>24</v>
      </c>
      <c r="BS49" s="241">
        <f>INDEX(연료전지_원본!$A$4:$KY$369,MATCH($A49,연료전지_원본!$A$4:$A$369,0),MATCH($BS$4,연료전지_원본!$A$4:$KY$4,0))</f>
        <v>24</v>
      </c>
      <c r="BT49" s="241">
        <f>INDEX(연료전지_원본!$A$4:$KY$369,MATCH($A49,연료전지_원본!$A$4:$A$369,0),MATCH($BT$4,연료전지_원본!$A$4:$KY$4,0))</f>
        <v>24</v>
      </c>
      <c r="BU49" s="241">
        <f>INDEX(연료전지_원본!$A$4:$KY$369,MATCH($A49,연료전지_원본!$A$4:$A$369,0),MATCH($BU$4,연료전지_원본!$A$4:$KY$4,0))</f>
        <v>24</v>
      </c>
      <c r="BV49" s="241">
        <f>INDEX(연료전지_원본!$A$4:$KY$369,MATCH($A49,연료전지_원본!$A$4:$A$369,0),MATCH($BV$4,연료전지_원본!$A$4:$KY$4,0))</f>
        <v>24</v>
      </c>
      <c r="BW49" s="241">
        <f>INDEX(연료전지_원본!$A$4:$KY$369,MATCH($A49,연료전지_원본!$A$4:$A$369,0),MATCH($BW$4,연료전지_원본!$A$4:$KY$4,0))</f>
        <v>24</v>
      </c>
      <c r="BX49" s="241">
        <f>INDEX(연료전지_원본!$A$4:$KY$369,MATCH($A49,연료전지_원본!$A$4:$A$369,0),MATCH($BX$4,연료전지_원본!$A$4:$KY$4,0))</f>
        <v>24</v>
      </c>
      <c r="BY49" s="241">
        <f>INDEX(연료전지_원본!$A$4:$KY$369,MATCH($A49,연료전지_원본!$A$4:$A$369,0),MATCH($BY$4,연료전지_원본!$A$4:$KY$4,0))</f>
        <v>24</v>
      </c>
      <c r="BZ49" s="241">
        <f>INDEX(연료전지_원본!$A$4:$KY$369,MATCH($A49,연료전지_원본!$A$4:$A$369,0),MATCH($BZ$4,연료전지_원본!$A$4:$KY$4,0))</f>
        <v>24</v>
      </c>
      <c r="CA49" s="241">
        <f>INDEX(연료전지_원본!$A$4:$KY$369,MATCH($A49,연료전지_원본!$A$4:$A$369,0),MATCH($CA$4,연료전지_원본!$A$4:$KY$4,0))</f>
        <v>24</v>
      </c>
      <c r="CB49" s="241">
        <f>INDEX(연료전지_원본!$A$4:$KY$369,MATCH($A49,연료전지_원본!$A$4:$A$369,0),MATCH($CB$4,연료전지_원본!$A$4:$KY$4,0))</f>
        <v>24</v>
      </c>
      <c r="CC49" s="242">
        <f>INDEX(연료전지_원본!$A$4:$KY$369,MATCH($A49,연료전지_원본!$A$4:$A$369,0),MATCH($CC$4,연료전지_원본!$A$4:$KY$4,0))</f>
        <v>24</v>
      </c>
      <c r="CD49" s="254">
        <f>INDEX(연료전지_원본!$KB$4:$KX$369,MATCH($A49,연료전지_원본!$KB$4:$KB$369,0), MATCH(CD$4,연료전지_원본!$KB$4:$KX$4,0))*1000</f>
        <v>2221</v>
      </c>
      <c r="CE49" s="250">
        <f>INDEX(연료전지_원본!$KB$4:$KX$369,MATCH($A49,연료전지_원본!$KB$4:$KB$369,0), MATCH(CE$4,연료전지_원본!$KB$4:$KX$4,0))*1000</f>
        <v>2219</v>
      </c>
      <c r="CF49" s="250">
        <f>INDEX(연료전지_원본!$KB$4:$KX$369,MATCH($A49,연료전지_원본!$KB$4:$KB$369,0), MATCH(CF$4,연료전지_원본!$KB$4:$KX$4,0))*1000</f>
        <v>2220</v>
      </c>
      <c r="CG49" s="250">
        <f>INDEX(연료전지_원본!$KB$4:$KX$369,MATCH($A49,연료전지_원본!$KB$4:$KB$369,0), MATCH(CG$4,연료전지_원본!$KB$4:$KX$4,0))*1000</f>
        <v>2218</v>
      </c>
      <c r="CH49" s="250">
        <f>INDEX(연료전지_원본!$KB$4:$KX$369,MATCH($A49,연료전지_원본!$KB$4:$KB$369,0), MATCH(CH$4,연료전지_원본!$KB$4:$KX$4,0))*1000</f>
        <v>2222</v>
      </c>
      <c r="CI49" s="250">
        <f>INDEX(연료전지_원본!$KB$4:$KX$369,MATCH($A49,연료전지_원본!$KB$4:$KB$369,0), MATCH(CI$4,연료전지_원본!$KB$4:$KX$4,0))*1000</f>
        <v>2222</v>
      </c>
      <c r="CJ49" s="250">
        <f>INDEX(연료전지_원본!$KB$4:$KX$369,MATCH($A49,연료전지_원본!$KB$4:$KB$369,0), MATCH(CJ$4,연료전지_원본!$KB$4:$KX$4,0))*1000</f>
        <v>2217</v>
      </c>
      <c r="CK49" s="250">
        <f>INDEX(연료전지_원본!$KB$4:$KX$369,MATCH($A49,연료전지_원본!$KB$4:$KB$369,0), MATCH(CK$4,연료전지_원본!$KB$4:$KX$4,0))*1000</f>
        <v>2220</v>
      </c>
      <c r="CL49" s="250">
        <f>INDEX(연료전지_원본!$KB$4:$KX$369,MATCH($A49,연료전지_원본!$KB$4:$KB$369,0), MATCH(CL$4,연료전지_원본!$KB$4:$KX$4,0))*1000</f>
        <v>2223</v>
      </c>
      <c r="CM49" s="250">
        <f>INDEX(연료전지_원본!$KB$4:$KX$369,MATCH($A49,연료전지_원본!$KB$4:$KB$369,0), MATCH(CM$4,연료전지_원본!$KB$4:$KX$4,0))*1000</f>
        <v>2222</v>
      </c>
      <c r="CN49" s="250">
        <f>INDEX(연료전지_원본!$KB$4:$KX$369,MATCH($A49,연료전지_원본!$KB$4:$KB$369,0), MATCH(CN$4,연료전지_원본!$KB$4:$KX$4,0))*1000</f>
        <v>2221</v>
      </c>
      <c r="CO49" s="250">
        <f>INDEX(연료전지_원본!$KB$4:$KX$369,MATCH($A49,연료전지_원본!$KB$4:$KB$369,0), MATCH(CO$4,연료전지_원본!$KB$4:$KX$4,0))*1000</f>
        <v>2221</v>
      </c>
      <c r="CP49" s="250">
        <f>INDEX(연료전지_원본!$KB$4:$KX$369,MATCH($A49,연료전지_원본!$KB$4:$KB$369,0), MATCH(CP$4,연료전지_원본!$KB$4:$KX$4,0))*1000</f>
        <v>2217</v>
      </c>
      <c r="CQ49" s="250">
        <f>INDEX(연료전지_원본!$KB$4:$KX$369,MATCH($A49,연료전지_원본!$KB$4:$KB$369,0), MATCH(CQ$4,연료전지_원본!$KB$4:$KX$4,0))*1000</f>
        <v>2221</v>
      </c>
      <c r="CR49" s="250">
        <f>INDEX(연료전지_원본!$KB$4:$KX$369,MATCH($A49,연료전지_원본!$KB$4:$KB$369,0), MATCH(CR$4,연료전지_원본!$KB$4:$KX$4,0))*1000</f>
        <v>2221</v>
      </c>
      <c r="CS49" s="250">
        <f>INDEX(연료전지_원본!$KB$4:$KX$369,MATCH($A49,연료전지_원본!$KB$4:$KB$369,0), MATCH(CS$4,연료전지_원본!$KB$4:$KX$4,0))*1000</f>
        <v>2221</v>
      </c>
      <c r="CT49" s="250">
        <f>INDEX(연료전지_원본!$KB$4:$KX$369,MATCH($A49,연료전지_원본!$KB$4:$KB$369,0), MATCH(CT$4,연료전지_원본!$KB$4:$KX$4,0))*1000</f>
        <v>2220</v>
      </c>
      <c r="CU49" s="250">
        <f>INDEX(연료전지_원본!$KB$4:$KX$369,MATCH($A49,연료전지_원본!$KB$4:$KB$369,0), MATCH(CU$4,연료전지_원본!$KB$4:$KX$4,0))*1000</f>
        <v>2199</v>
      </c>
      <c r="CV49" s="250">
        <f>INDEX(연료전지_원본!$KB$4:$KX$369,MATCH($A49,연료전지_원본!$KB$4:$KB$369,0), MATCH(CV$4,연료전지_원본!$KB$4:$KX$4,0))*1000</f>
        <v>2217</v>
      </c>
      <c r="CW49" s="250">
        <f>INDEX(연료전지_원본!$KB$4:$KX$369,MATCH($A49,연료전지_원본!$KB$4:$KB$369,0), MATCH(CW$4,연료전지_원본!$KB$4:$KX$4,0))*1000</f>
        <v>2244</v>
      </c>
      <c r="CX49" s="250">
        <f>INDEX(연료전지_원본!$KB$4:$KX$369,MATCH($A49,연료전지_원본!$KB$4:$KB$369,0), MATCH(CX$4,연료전지_원본!$KB$4:$KX$4,0))*1000</f>
        <v>2220</v>
      </c>
      <c r="CY49" s="255">
        <f>INDEX(연료전지_원본!$KB$4:$KX$369,MATCH($A49,연료전지_원본!$KB$4:$KB$369,0), MATCH(CY$4,연료전지_원본!$KB$4:$KX$4,0))*1000</f>
        <v>2222</v>
      </c>
      <c r="CZ49" s="185">
        <v>10.474000000000018</v>
      </c>
      <c r="DA49" s="30">
        <v>10.463999999999999</v>
      </c>
      <c r="DB49" s="30">
        <v>10.466000000000008</v>
      </c>
      <c r="DC49" s="30">
        <v>10.456999999999994</v>
      </c>
      <c r="DD49" s="30">
        <v>10.478000000000009</v>
      </c>
      <c r="DE49" s="30">
        <v>10.476000000000028</v>
      </c>
      <c r="DF49" s="30">
        <v>10.451999999999998</v>
      </c>
      <c r="DG49" s="30">
        <v>10.465999999999951</v>
      </c>
      <c r="DH49" s="30">
        <v>10.479000000000013</v>
      </c>
      <c r="DI49" s="30">
        <v>10.475999999999999</v>
      </c>
      <c r="DJ49" s="30">
        <v>10.47399999999999</v>
      </c>
      <c r="DK49" s="30">
        <v>10.469999999999999</v>
      </c>
      <c r="DL49" s="30">
        <v>10.453000000000003</v>
      </c>
      <c r="DM49" s="30">
        <v>10.470000000000027</v>
      </c>
      <c r="DN49" s="30">
        <v>10.47399999999999</v>
      </c>
      <c r="DO49" s="30">
        <v>10.47399999999999</v>
      </c>
      <c r="DP49" s="30">
        <v>10.466000000000008</v>
      </c>
      <c r="DQ49" s="30">
        <v>10.369000000000028</v>
      </c>
      <c r="DR49" s="30">
        <v>10.453000000000003</v>
      </c>
      <c r="DS49" s="30">
        <v>10.579999999999984</v>
      </c>
      <c r="DT49" s="30">
        <v>10.465000000000003</v>
      </c>
      <c r="DU49" s="30">
        <v>10.475000000000009</v>
      </c>
      <c r="DV49" s="30">
        <f t="shared" si="297"/>
        <v>230.31100000000004</v>
      </c>
    </row>
    <row r="50" spans="1:126">
      <c r="A50" s="6">
        <v>46067</v>
      </c>
      <c r="B50" s="15">
        <f>운전실적_원본!B50</f>
        <v>651.20000000000005</v>
      </c>
      <c r="C50" s="16">
        <f t="shared" si="298"/>
        <v>0</v>
      </c>
      <c r="D50" s="12">
        <f>운전실적_원본!C50</f>
        <v>249424</v>
      </c>
      <c r="E50" s="12">
        <f t="shared" si="299"/>
        <v>0</v>
      </c>
      <c r="F50" s="12">
        <f>운전실적_원본!D50</f>
        <v>241026</v>
      </c>
      <c r="G50" s="16">
        <f t="shared" si="300"/>
        <v>44</v>
      </c>
      <c r="H50" s="15">
        <f>운전실적_원본!E50</f>
        <v>17228.689999999999</v>
      </c>
      <c r="I50" s="16">
        <f t="shared" si="301"/>
        <v>3.6399999999994179</v>
      </c>
      <c r="J50" s="15">
        <f>운전실적_원본!F50</f>
        <v>15162.37</v>
      </c>
      <c r="K50" s="16">
        <f t="shared" si="301"/>
        <v>23.360000000000582</v>
      </c>
      <c r="L50" s="32">
        <f>운전실적_원본!G50</f>
        <v>19.2</v>
      </c>
      <c r="M50" s="31">
        <f t="shared" ref="M50" si="353">IF(OR(LEN(L50)=0,L50=0),"",L50-L49)</f>
        <v>0.89999999999999858</v>
      </c>
      <c r="N50" s="15">
        <f>운전실적_원본!H50</f>
        <v>38513</v>
      </c>
      <c r="O50" s="16">
        <f t="shared" ref="O50" si="354">IF(OR(LEN(N50)=0,N50=0),"",N50-N49)</f>
        <v>131</v>
      </c>
      <c r="P50" s="15">
        <f>운전실적_원본!I50</f>
        <v>22219</v>
      </c>
      <c r="Q50" s="16">
        <f t="shared" ref="Q50" si="355">IF(OR(LEN(P50)=0,P50=0),"",P50-P49)</f>
        <v>115</v>
      </c>
      <c r="R50" s="18">
        <f>운전실적_원본!J50</f>
        <v>34.081000000000003</v>
      </c>
      <c r="S50" s="19">
        <f t="shared" ref="S50" si="356">IF(OR(LEN(R50)=0,R50=0),"",R50-R49)</f>
        <v>1.1000000000002785E-2</v>
      </c>
      <c r="T50" s="18">
        <f>운전실적_원본!K50</f>
        <v>33.320999999999998</v>
      </c>
      <c r="U50" s="19">
        <f t="shared" si="306"/>
        <v>-0.10500000000000398</v>
      </c>
      <c r="V50" s="12">
        <f>운전실적_원본!L50</f>
        <v>8073.6109999999999</v>
      </c>
      <c r="W50" s="16">
        <f t="shared" ref="W50" si="357">IF(OR(LEN(V50)=0,V50=0),"",V50-V49)</f>
        <v>-258.94799999999941</v>
      </c>
      <c r="X50" s="10">
        <f>운전실적_원본!M50</f>
        <v>195191.70000000298</v>
      </c>
      <c r="Y50" s="10">
        <f>운전실적_원본!N50</f>
        <v>0</v>
      </c>
      <c r="Z50" s="10">
        <f>운전실적_원본!O50</f>
        <v>0</v>
      </c>
      <c r="AA50" s="10">
        <f>운전실적_원본!P50</f>
        <v>0</v>
      </c>
      <c r="AB50" s="10">
        <f>운전실적_원본!Q50</f>
        <v>0</v>
      </c>
      <c r="AC50" s="20">
        <f>운전실적_원본!R50</f>
        <v>0</v>
      </c>
      <c r="AD50" s="109">
        <f>운전실적_원본!S50</f>
        <v>24</v>
      </c>
      <c r="AE50" s="110">
        <f>운전실적_원본!T50</f>
        <v>0</v>
      </c>
      <c r="AF50" s="110">
        <f>운전실적_원본!U50</f>
        <v>0</v>
      </c>
      <c r="AG50" s="110">
        <f>운전실적_원본!V50</f>
        <v>0</v>
      </c>
      <c r="AH50" s="109">
        <f t="shared" si="1"/>
        <v>24</v>
      </c>
      <c r="AI50" s="110">
        <f t="shared" si="125"/>
        <v>0</v>
      </c>
      <c r="AJ50" s="110">
        <f>운전실적_원본!Y50</f>
        <v>0</v>
      </c>
      <c r="AK50" s="110">
        <f>운전실적_원본!Z50</f>
        <v>0</v>
      </c>
      <c r="AL50" s="106">
        <v>46067</v>
      </c>
      <c r="AM50" s="105">
        <f t="shared" si="171"/>
        <v>46068</v>
      </c>
      <c r="AN50" s="105"/>
      <c r="AO50" s="105"/>
      <c r="AP50" s="105"/>
      <c r="AQ50" s="108"/>
      <c r="AR50" s="105"/>
      <c r="AS50" s="105"/>
      <c r="AT50" s="102"/>
      <c r="AU50" s="102"/>
      <c r="AV50" s="102"/>
      <c r="AW50" s="102"/>
      <c r="AX50" s="32">
        <f>운전실적_원본!W50</f>
        <v>1255.3780000000002</v>
      </c>
      <c r="AY50" s="11">
        <f>운전실적_원본!X50</f>
        <v>0</v>
      </c>
      <c r="AZ50" s="11">
        <f>운전실적_원본!Y50</f>
        <v>0</v>
      </c>
      <c r="BA50" s="11">
        <f>운전실적_원본!Z50</f>
        <v>0</v>
      </c>
      <c r="BB50" s="11">
        <f>운전실적_원본!AA50</f>
        <v>0</v>
      </c>
      <c r="BC50" s="11">
        <f>운전실적_원본!AB50</f>
        <v>1255.3780000000002</v>
      </c>
      <c r="BD50" s="32">
        <f t="shared" si="15"/>
        <v>52.307416666666676</v>
      </c>
      <c r="BE50" s="11">
        <f t="shared" si="2"/>
        <v>1.0178520464422391</v>
      </c>
      <c r="BF50" s="11">
        <f>운전실적_원본!AE50</f>
        <v>0</v>
      </c>
      <c r="BG50" s="31">
        <f t="shared" si="0"/>
        <v>0</v>
      </c>
      <c r="BH50" s="241">
        <f>INDEX(연료전지_원본!$A$4:$KY$369,MATCH($A50,연료전지_원본!$A$4:$A$369,0),MATCH($BH$4,연료전지_원본!$A$4:$KY$4,0))</f>
        <v>24</v>
      </c>
      <c r="BI50" s="241">
        <f>INDEX(연료전지_원본!$A$4:$KY$369,MATCH($A50,연료전지_원본!$A$4:$A$369,0),MATCH($BI$4,연료전지_원본!$A$4:$KY$4,0))</f>
        <v>24</v>
      </c>
      <c r="BJ50" s="241">
        <f>INDEX(연료전지_원본!$A$4:$KY$369,MATCH($A50,연료전지_원본!$A$4:$A$369,0),MATCH($BJ$4,연료전지_원본!$A$4:$KY$4,0))</f>
        <v>24</v>
      </c>
      <c r="BK50" s="241">
        <f>INDEX(연료전지_원본!$A$4:$KY$369,MATCH($A50,연료전지_원본!$A$4:$A$369,0),MATCH($BK$4,연료전지_원본!$A$4:$KY$4,0))</f>
        <v>24</v>
      </c>
      <c r="BL50" s="241">
        <f>INDEX(연료전지_원본!$A$4:$KY$369,MATCH($A50,연료전지_원본!$A$4:$A$369,0),MATCH($BL$4,연료전지_원본!$A$4:$KY$4,0))</f>
        <v>24</v>
      </c>
      <c r="BM50" s="241">
        <f>INDEX(연료전지_원본!$A$4:$KY$369,MATCH($A50,연료전지_원본!$A$4:$A$369,0),MATCH($BM$4,연료전지_원본!$A$4:$KY$4,0))</f>
        <v>24</v>
      </c>
      <c r="BN50" s="241">
        <f>INDEX(연료전지_원본!$A$4:$KY$369,MATCH($A50,연료전지_원본!$A$4:$A$369,0),MATCH($BN$4,연료전지_원본!$A$4:$KY$4,0))</f>
        <v>24</v>
      </c>
      <c r="BO50" s="241">
        <f>INDEX(연료전지_원본!$A$4:$KY$369,MATCH($A50,연료전지_원본!$A$4:$A$369,0),MATCH($BO$4,연료전지_원본!$A$4:$KY$4,0))</f>
        <v>24</v>
      </c>
      <c r="BP50" s="241">
        <f>INDEX(연료전지_원본!$A$4:$KY$369,MATCH($A50,연료전지_원본!$A$4:$A$369,0),MATCH($BP$4,연료전지_원본!$A$4:$KY$4,0))</f>
        <v>24</v>
      </c>
      <c r="BQ50" s="241">
        <f>INDEX(연료전지_원본!$A$4:$KY$369,MATCH($A50,연료전지_원본!$A$4:$A$369,0),MATCH($BQ$4,연료전지_원본!$A$4:$KY$4,0))</f>
        <v>24</v>
      </c>
      <c r="BR50" s="241">
        <f>INDEX(연료전지_원본!$A$4:$KY$369,MATCH($A50,연료전지_원본!$A$4:$A$369,0),MATCH($BR$4,연료전지_원본!$A$4:$KY$4,0))</f>
        <v>24</v>
      </c>
      <c r="BS50" s="241">
        <f>INDEX(연료전지_원본!$A$4:$KY$369,MATCH($A50,연료전지_원본!$A$4:$A$369,0),MATCH($BS$4,연료전지_원본!$A$4:$KY$4,0))</f>
        <v>24</v>
      </c>
      <c r="BT50" s="241">
        <f>INDEX(연료전지_원본!$A$4:$KY$369,MATCH($A50,연료전지_원본!$A$4:$A$369,0),MATCH($BT$4,연료전지_원본!$A$4:$KY$4,0))</f>
        <v>24</v>
      </c>
      <c r="BU50" s="241">
        <f>INDEX(연료전지_원본!$A$4:$KY$369,MATCH($A50,연료전지_원본!$A$4:$A$369,0),MATCH($BU$4,연료전지_원본!$A$4:$KY$4,0))</f>
        <v>24</v>
      </c>
      <c r="BV50" s="241">
        <f>INDEX(연료전지_원본!$A$4:$KY$369,MATCH($A50,연료전지_원본!$A$4:$A$369,0),MATCH($BV$4,연료전지_원본!$A$4:$KY$4,0))</f>
        <v>24</v>
      </c>
      <c r="BW50" s="241">
        <f>INDEX(연료전지_원본!$A$4:$KY$369,MATCH($A50,연료전지_원본!$A$4:$A$369,0),MATCH($BW$4,연료전지_원본!$A$4:$KY$4,0))</f>
        <v>24</v>
      </c>
      <c r="BX50" s="241">
        <f>INDEX(연료전지_원본!$A$4:$KY$369,MATCH($A50,연료전지_원본!$A$4:$A$369,0),MATCH($BX$4,연료전지_원본!$A$4:$KY$4,0))</f>
        <v>24</v>
      </c>
      <c r="BY50" s="241">
        <f>INDEX(연료전지_원본!$A$4:$KY$369,MATCH($A50,연료전지_원본!$A$4:$A$369,0),MATCH($BY$4,연료전지_원본!$A$4:$KY$4,0))</f>
        <v>24</v>
      </c>
      <c r="BZ50" s="241">
        <f>INDEX(연료전지_원본!$A$4:$KY$369,MATCH($A50,연료전지_원본!$A$4:$A$369,0),MATCH($BZ$4,연료전지_원본!$A$4:$KY$4,0))</f>
        <v>24</v>
      </c>
      <c r="CA50" s="241">
        <f>INDEX(연료전지_원본!$A$4:$KY$369,MATCH($A50,연료전지_원본!$A$4:$A$369,0),MATCH($CA$4,연료전지_원본!$A$4:$KY$4,0))</f>
        <v>24</v>
      </c>
      <c r="CB50" s="241">
        <f>INDEX(연료전지_원본!$A$4:$KY$369,MATCH($A50,연료전지_원본!$A$4:$A$369,0),MATCH($CB$4,연료전지_원본!$A$4:$KY$4,0))</f>
        <v>24</v>
      </c>
      <c r="CC50" s="242">
        <f>INDEX(연료전지_원본!$A$4:$KY$369,MATCH($A50,연료전지_원본!$A$4:$A$369,0),MATCH($CC$4,연료전지_원본!$A$4:$KY$4,0))</f>
        <v>24</v>
      </c>
      <c r="CD50" s="254">
        <f>INDEX(연료전지_원본!$KB$4:$KX$369,MATCH($A50,연료전지_원본!$KB$4:$KB$369,0), MATCH(CD$4,연료전지_원본!$KB$4:$KX$4,0))*1000</f>
        <v>2127</v>
      </c>
      <c r="CE50" s="250">
        <f>INDEX(연료전지_원본!$KB$4:$KX$369,MATCH($A50,연료전지_원본!$KB$4:$KB$369,0), MATCH(CE$4,연료전지_원본!$KB$4:$KX$4,0))*1000</f>
        <v>2120</v>
      </c>
      <c r="CF50" s="250">
        <f>INDEX(연료전지_원본!$KB$4:$KX$369,MATCH($A50,연료전지_원본!$KB$4:$KB$369,0), MATCH(CF$4,연료전지_원본!$KB$4:$KX$4,0))*1000</f>
        <v>2121</v>
      </c>
      <c r="CG50" s="250">
        <f>INDEX(연료전지_원본!$KB$4:$KX$369,MATCH($A50,연료전지_원본!$KB$4:$KB$369,0), MATCH(CG$4,연료전지_원본!$KB$4:$KX$4,0))*1000</f>
        <v>2125</v>
      </c>
      <c r="CH50" s="250">
        <f>INDEX(연료전지_원본!$KB$4:$KX$369,MATCH($A50,연료전지_원본!$KB$4:$KB$369,0), MATCH(CH$4,연료전지_원본!$KB$4:$KX$4,0))*1000</f>
        <v>2128</v>
      </c>
      <c r="CI50" s="250">
        <f>INDEX(연료전지_원본!$KB$4:$KX$369,MATCH($A50,연료전지_원본!$KB$4:$KB$369,0), MATCH(CI$4,연료전지_원본!$KB$4:$KX$4,0))*1000</f>
        <v>2128</v>
      </c>
      <c r="CJ50" s="250">
        <f>INDEX(연료전지_원본!$KB$4:$KX$369,MATCH($A50,연료전지_원본!$KB$4:$KB$369,0), MATCH(CJ$4,연료전지_원본!$KB$4:$KX$4,0))*1000</f>
        <v>2124</v>
      </c>
      <c r="CK50" s="250">
        <f>INDEX(연료전지_원본!$KB$4:$KX$369,MATCH($A50,연료전지_원본!$KB$4:$KB$369,0), MATCH(CK$4,연료전지_원본!$KB$4:$KX$4,0))*1000</f>
        <v>2125</v>
      </c>
      <c r="CL50" s="250">
        <f>INDEX(연료전지_원본!$KB$4:$KX$369,MATCH($A50,연료전지_원본!$KB$4:$KB$369,0), MATCH(CL$4,연료전지_원본!$KB$4:$KX$4,0))*1000</f>
        <v>2127</v>
      </c>
      <c r="CM50" s="250">
        <f>INDEX(연료전지_원본!$KB$4:$KX$369,MATCH($A50,연료전지_원본!$KB$4:$KB$369,0), MATCH(CM$4,연료전지_원본!$KB$4:$KX$4,0))*1000</f>
        <v>2128</v>
      </c>
      <c r="CN50" s="250">
        <f>INDEX(연료전지_원본!$KB$4:$KX$369,MATCH($A50,연료전지_원본!$KB$4:$KB$369,0), MATCH(CN$4,연료전지_원본!$KB$4:$KX$4,0))*1000</f>
        <v>2127</v>
      </c>
      <c r="CO50" s="250">
        <f>INDEX(연료전지_원본!$KB$4:$KX$369,MATCH($A50,연료전지_원본!$KB$4:$KB$369,0), MATCH(CO$4,연료전지_원본!$KB$4:$KX$4,0))*1000</f>
        <v>2129</v>
      </c>
      <c r="CP50" s="250">
        <f>INDEX(연료전지_원본!$KB$4:$KX$369,MATCH($A50,연료전지_원본!$KB$4:$KB$369,0), MATCH(CP$4,연료전지_원본!$KB$4:$KX$4,0))*1000</f>
        <v>2129</v>
      </c>
      <c r="CQ50" s="250">
        <f>INDEX(연료전지_원본!$KB$4:$KX$369,MATCH($A50,연료전지_원본!$KB$4:$KB$369,0), MATCH(CQ$4,연료전지_원본!$KB$4:$KX$4,0))*1000</f>
        <v>2125</v>
      </c>
      <c r="CR50" s="250">
        <f>INDEX(연료전지_원본!$KB$4:$KX$369,MATCH($A50,연료전지_원본!$KB$4:$KB$369,0), MATCH(CR$4,연료전지_원본!$KB$4:$KX$4,0))*1000</f>
        <v>2126</v>
      </c>
      <c r="CS50" s="250">
        <f>INDEX(연료전지_원본!$KB$4:$KX$369,MATCH($A50,연료전지_원본!$KB$4:$KB$369,0), MATCH(CS$4,연료전지_원본!$KB$4:$KX$4,0))*1000</f>
        <v>2128</v>
      </c>
      <c r="CT50" s="250">
        <f>INDEX(연료전지_원본!$KB$4:$KX$369,MATCH($A50,연료전지_원본!$KB$4:$KB$369,0), MATCH(CT$4,연료전지_원본!$KB$4:$KX$4,0))*1000</f>
        <v>2124</v>
      </c>
      <c r="CU50" s="250">
        <f>INDEX(연료전지_원본!$KB$4:$KX$369,MATCH($A50,연료전지_원본!$KB$4:$KB$369,0), MATCH(CU$4,연료전지_원본!$KB$4:$KX$4,0))*1000</f>
        <v>2132</v>
      </c>
      <c r="CV50" s="250">
        <f>INDEX(연료전지_원본!$KB$4:$KX$369,MATCH($A50,연료전지_원본!$KB$4:$KB$369,0), MATCH(CV$4,연료전지_원본!$KB$4:$KX$4,0))*1000</f>
        <v>2130</v>
      </c>
      <c r="CW50" s="250">
        <f>INDEX(연료전지_원본!$KB$4:$KX$369,MATCH($A50,연료전지_원본!$KB$4:$KB$369,0), MATCH(CW$4,연료전지_원본!$KB$4:$KX$4,0))*1000</f>
        <v>2164</v>
      </c>
      <c r="CX50" s="250">
        <f>INDEX(연료전지_원본!$KB$4:$KX$369,MATCH($A50,연료전지_원본!$KB$4:$KB$369,0), MATCH(CX$4,연료전지_원본!$KB$4:$KX$4,0))*1000</f>
        <v>2126</v>
      </c>
      <c r="CY50" s="255">
        <f>INDEX(연료전지_원본!$KB$4:$KX$369,MATCH($A50,연료전지_원본!$KB$4:$KB$369,0), MATCH(CY$4,연료전지_원본!$KB$4:$KX$4,0))*1000</f>
        <v>2132</v>
      </c>
      <c r="CZ50" s="185">
        <v>10.093999999999994</v>
      </c>
      <c r="DA50" s="30">
        <v>10.062000000000012</v>
      </c>
      <c r="DB50" s="30">
        <v>10.063999999999965</v>
      </c>
      <c r="DC50" s="30">
        <v>10.086000000000013</v>
      </c>
      <c r="DD50" s="30">
        <v>10.099999999999966</v>
      </c>
      <c r="DE50" s="30">
        <v>10.099999999999966</v>
      </c>
      <c r="DF50" s="30">
        <v>10.078000000000031</v>
      </c>
      <c r="DG50" s="30">
        <v>10.085000000000036</v>
      </c>
      <c r="DH50" s="30">
        <v>10.093999999999994</v>
      </c>
      <c r="DI50" s="30">
        <v>10.099000000000018</v>
      </c>
      <c r="DJ50" s="30">
        <v>10.094999999999999</v>
      </c>
      <c r="DK50" s="30">
        <v>10.105000000000018</v>
      </c>
      <c r="DL50" s="30">
        <v>10.10499999999999</v>
      </c>
      <c r="DM50" s="30">
        <v>10.081999999999994</v>
      </c>
      <c r="DN50" s="30">
        <v>10.087999999999994</v>
      </c>
      <c r="DO50" s="30">
        <v>10.097000000000008</v>
      </c>
      <c r="DP50" s="30">
        <v>10.078000000000003</v>
      </c>
      <c r="DQ50" s="30">
        <v>10.118999999999971</v>
      </c>
      <c r="DR50" s="30">
        <v>10.108000000000004</v>
      </c>
      <c r="DS50" s="30">
        <v>10.268000000000001</v>
      </c>
      <c r="DT50" s="30">
        <v>10.088999999999999</v>
      </c>
      <c r="DU50" s="30">
        <v>10.119</v>
      </c>
      <c r="DV50" s="30">
        <f t="shared" si="297"/>
        <v>222.21499999999997</v>
      </c>
    </row>
    <row r="51" spans="1:126">
      <c r="A51" s="6">
        <v>46068</v>
      </c>
      <c r="B51" s="15">
        <f>운전실적_원본!B51</f>
        <v>651.20000000000005</v>
      </c>
      <c r="C51" s="16">
        <f t="shared" si="298"/>
        <v>0</v>
      </c>
      <c r="D51" s="12">
        <f>운전실적_원본!C51</f>
        <v>249489</v>
      </c>
      <c r="E51" s="12">
        <f t="shared" si="299"/>
        <v>65</v>
      </c>
      <c r="F51" s="12">
        <f>운전실적_원본!D51</f>
        <v>241078</v>
      </c>
      <c r="G51" s="16">
        <f t="shared" si="300"/>
        <v>52</v>
      </c>
      <c r="H51" s="15">
        <f>운전실적_원본!E51</f>
        <v>17230.91</v>
      </c>
      <c r="I51" s="16">
        <f t="shared" si="301"/>
        <v>2.2200000000011642</v>
      </c>
      <c r="J51" s="15">
        <f>운전실적_원본!F51</f>
        <v>15186.44</v>
      </c>
      <c r="K51" s="16">
        <f t="shared" si="301"/>
        <v>24.069999999999709</v>
      </c>
      <c r="L51" s="32">
        <f>운전실적_원본!G51</f>
        <v>20.100000000000001</v>
      </c>
      <c r="M51" s="31">
        <f t="shared" ref="M51" si="358">IF(OR(LEN(L51)=0,L51=0),"",L51-L50)</f>
        <v>0.90000000000000213</v>
      </c>
      <c r="N51" s="15">
        <f>운전실적_원본!H51</f>
        <v>38592</v>
      </c>
      <c r="O51" s="16">
        <f t="shared" ref="O51" si="359">IF(OR(LEN(N51)=0,N51=0),"",N51-N50)</f>
        <v>79</v>
      </c>
      <c r="P51" s="15">
        <f>운전실적_원본!I51</f>
        <v>22425</v>
      </c>
      <c r="Q51" s="16">
        <f t="shared" ref="Q51" si="360">IF(OR(LEN(P51)=0,P51=0),"",P51-P50)</f>
        <v>206</v>
      </c>
      <c r="R51" s="18">
        <f>운전실적_원본!J51</f>
        <v>33.911000000000001</v>
      </c>
      <c r="S51" s="19">
        <f t="shared" ref="S51" si="361">IF(OR(LEN(R51)=0,R51=0),"",R51-R50)</f>
        <v>-0.17000000000000171</v>
      </c>
      <c r="T51" s="18">
        <f>운전실적_원본!K51</f>
        <v>33.334000000000003</v>
      </c>
      <c r="U51" s="19">
        <f t="shared" si="306"/>
        <v>1.300000000000523E-2</v>
      </c>
      <c r="V51" s="12">
        <f>운전실적_원본!L51</f>
        <v>8465.8410000000003</v>
      </c>
      <c r="W51" s="16">
        <f t="shared" ref="W51" si="362">IF(OR(LEN(V51)=0,V51=0),"",V51-V50)</f>
        <v>392.23000000000047</v>
      </c>
      <c r="X51" s="10">
        <f>운전실적_원본!M51</f>
        <v>153669.07999999821</v>
      </c>
      <c r="Y51" s="10">
        <f>운전실적_원본!N51</f>
        <v>0</v>
      </c>
      <c r="Z51" s="10">
        <f>운전실적_원본!O51</f>
        <v>0</v>
      </c>
      <c r="AA51" s="10">
        <f>운전실적_원본!P51</f>
        <v>0</v>
      </c>
      <c r="AB51" s="10">
        <f>운전실적_원본!Q51</f>
        <v>0</v>
      </c>
      <c r="AC51" s="20">
        <f>운전실적_원본!R51</f>
        <v>0</v>
      </c>
      <c r="AD51" s="109">
        <f>운전실적_원본!S51</f>
        <v>24</v>
      </c>
      <c r="AE51" s="110">
        <f>운전실적_원본!T51</f>
        <v>0</v>
      </c>
      <c r="AF51" s="110">
        <f>운전실적_원본!U51</f>
        <v>0</v>
      </c>
      <c r="AG51" s="110">
        <f>운전실적_원본!V51</f>
        <v>0</v>
      </c>
      <c r="AH51" s="109">
        <f t="shared" si="1"/>
        <v>24</v>
      </c>
      <c r="AI51" s="110">
        <f t="shared" si="125"/>
        <v>0</v>
      </c>
      <c r="AJ51" s="110">
        <f>운전실적_원본!Y51</f>
        <v>0</v>
      </c>
      <c r="AK51" s="110">
        <f>운전실적_원본!Z51</f>
        <v>0</v>
      </c>
      <c r="AL51" s="106">
        <v>46068</v>
      </c>
      <c r="AM51" s="105">
        <f t="shared" si="171"/>
        <v>46069</v>
      </c>
      <c r="AN51" s="105"/>
      <c r="AO51" s="105"/>
      <c r="AP51" s="105"/>
      <c r="AQ51" s="108"/>
      <c r="AR51" s="105"/>
      <c r="AS51" s="105"/>
      <c r="AT51" s="102"/>
      <c r="AU51" s="102"/>
      <c r="AV51" s="102"/>
      <c r="AW51" s="102"/>
      <c r="AX51" s="32">
        <f>운전실적_원본!W51</f>
        <v>989.88900000000012</v>
      </c>
      <c r="AY51" s="11">
        <f>운전실적_원본!X51</f>
        <v>0</v>
      </c>
      <c r="AZ51" s="11">
        <f>운전실적_원본!Y51</f>
        <v>0</v>
      </c>
      <c r="BA51" s="11">
        <f>운전실적_원본!Z51</f>
        <v>0</v>
      </c>
      <c r="BB51" s="11">
        <f>운전실적_원본!AA51</f>
        <v>0</v>
      </c>
      <c r="BC51" s="11">
        <f>운전실적_원본!AB51</f>
        <v>989.88900000000012</v>
      </c>
      <c r="BD51" s="32">
        <f t="shared" si="15"/>
        <v>41.245375000000003</v>
      </c>
      <c r="BE51" s="11">
        <f t="shared" si="2"/>
        <v>0.80259534928974519</v>
      </c>
      <c r="BF51" s="11">
        <f>운전실적_원본!AE51</f>
        <v>0</v>
      </c>
      <c r="BG51" s="31">
        <f t="shared" si="0"/>
        <v>0</v>
      </c>
      <c r="BH51" s="241">
        <f>INDEX(연료전지_원본!$A$4:$KY$369,MATCH($A51,연료전지_원본!$A$4:$A$369,0),MATCH($BH$4,연료전지_원본!$A$4:$KY$4,0))</f>
        <v>24</v>
      </c>
      <c r="BI51" s="241">
        <f>INDEX(연료전지_원본!$A$4:$KY$369,MATCH($A51,연료전지_원본!$A$4:$A$369,0),MATCH($BI$4,연료전지_원본!$A$4:$KY$4,0))</f>
        <v>24</v>
      </c>
      <c r="BJ51" s="241">
        <f>INDEX(연료전지_원본!$A$4:$KY$369,MATCH($A51,연료전지_원본!$A$4:$A$369,0),MATCH($BJ$4,연료전지_원본!$A$4:$KY$4,0))</f>
        <v>24</v>
      </c>
      <c r="BK51" s="241">
        <f>INDEX(연료전지_원본!$A$4:$KY$369,MATCH($A51,연료전지_원본!$A$4:$A$369,0),MATCH($BK$4,연료전지_원본!$A$4:$KY$4,0))</f>
        <v>24</v>
      </c>
      <c r="BL51" s="241">
        <f>INDEX(연료전지_원본!$A$4:$KY$369,MATCH($A51,연료전지_원본!$A$4:$A$369,0),MATCH($BL$4,연료전지_원본!$A$4:$KY$4,0))</f>
        <v>24</v>
      </c>
      <c r="BM51" s="241">
        <f>INDEX(연료전지_원본!$A$4:$KY$369,MATCH($A51,연료전지_원본!$A$4:$A$369,0),MATCH($BM$4,연료전지_원본!$A$4:$KY$4,0))</f>
        <v>24</v>
      </c>
      <c r="BN51" s="241">
        <f>INDEX(연료전지_원본!$A$4:$KY$369,MATCH($A51,연료전지_원본!$A$4:$A$369,0),MATCH($BN$4,연료전지_원본!$A$4:$KY$4,0))</f>
        <v>24</v>
      </c>
      <c r="BO51" s="241">
        <f>INDEX(연료전지_원본!$A$4:$KY$369,MATCH($A51,연료전지_원본!$A$4:$A$369,0),MATCH($BO$4,연료전지_원본!$A$4:$KY$4,0))</f>
        <v>24</v>
      </c>
      <c r="BP51" s="241">
        <f>INDEX(연료전지_원본!$A$4:$KY$369,MATCH($A51,연료전지_원본!$A$4:$A$369,0),MATCH($BP$4,연료전지_원본!$A$4:$KY$4,0))</f>
        <v>24</v>
      </c>
      <c r="BQ51" s="241">
        <f>INDEX(연료전지_원본!$A$4:$KY$369,MATCH($A51,연료전지_원본!$A$4:$A$369,0),MATCH($BQ$4,연료전지_원본!$A$4:$KY$4,0))</f>
        <v>24</v>
      </c>
      <c r="BR51" s="241">
        <f>INDEX(연료전지_원본!$A$4:$KY$369,MATCH($A51,연료전지_원본!$A$4:$A$369,0),MATCH($BR$4,연료전지_원본!$A$4:$KY$4,0))</f>
        <v>24</v>
      </c>
      <c r="BS51" s="241">
        <f>INDEX(연료전지_원본!$A$4:$KY$369,MATCH($A51,연료전지_원본!$A$4:$A$369,0),MATCH($BS$4,연료전지_원본!$A$4:$KY$4,0))</f>
        <v>24</v>
      </c>
      <c r="BT51" s="241">
        <f>INDEX(연료전지_원본!$A$4:$KY$369,MATCH($A51,연료전지_원본!$A$4:$A$369,0),MATCH($BT$4,연료전지_원본!$A$4:$KY$4,0))</f>
        <v>24</v>
      </c>
      <c r="BU51" s="241">
        <f>INDEX(연료전지_원본!$A$4:$KY$369,MATCH($A51,연료전지_원본!$A$4:$A$369,0),MATCH($BU$4,연료전지_원본!$A$4:$KY$4,0))</f>
        <v>24</v>
      </c>
      <c r="BV51" s="241">
        <f>INDEX(연료전지_원본!$A$4:$KY$369,MATCH($A51,연료전지_원본!$A$4:$A$369,0),MATCH($BV$4,연료전지_원본!$A$4:$KY$4,0))</f>
        <v>24</v>
      </c>
      <c r="BW51" s="241">
        <f>INDEX(연료전지_원본!$A$4:$KY$369,MATCH($A51,연료전지_원본!$A$4:$A$369,0),MATCH($BW$4,연료전지_원본!$A$4:$KY$4,0))</f>
        <v>24</v>
      </c>
      <c r="BX51" s="241">
        <f>INDEX(연료전지_원본!$A$4:$KY$369,MATCH($A51,연료전지_원본!$A$4:$A$369,0),MATCH($BX$4,연료전지_원본!$A$4:$KY$4,0))</f>
        <v>24</v>
      </c>
      <c r="BY51" s="241">
        <f>INDEX(연료전지_원본!$A$4:$KY$369,MATCH($A51,연료전지_원본!$A$4:$A$369,0),MATCH($BY$4,연료전지_원본!$A$4:$KY$4,0))</f>
        <v>24</v>
      </c>
      <c r="BZ51" s="241">
        <f>INDEX(연료전지_원본!$A$4:$KY$369,MATCH($A51,연료전지_원본!$A$4:$A$369,0),MATCH($BZ$4,연료전지_원본!$A$4:$KY$4,0))</f>
        <v>24</v>
      </c>
      <c r="CA51" s="241">
        <f>INDEX(연료전지_원본!$A$4:$KY$369,MATCH($A51,연료전지_원본!$A$4:$A$369,0),MATCH($CA$4,연료전지_원본!$A$4:$KY$4,0))</f>
        <v>24</v>
      </c>
      <c r="CB51" s="241">
        <f>INDEX(연료전지_원본!$A$4:$KY$369,MATCH($A51,연료전지_원본!$A$4:$A$369,0),MATCH($CB$4,연료전지_원본!$A$4:$KY$4,0))</f>
        <v>24</v>
      </c>
      <c r="CC51" s="242">
        <f>INDEX(연료전지_원본!$A$4:$KY$369,MATCH($A51,연료전지_원본!$A$4:$A$369,0),MATCH($CC$4,연료전지_원본!$A$4:$KY$4,0))</f>
        <v>24</v>
      </c>
      <c r="CD51" s="254">
        <f>INDEX(연료전지_원본!$KB$4:$KX$369,MATCH($A51,연료전지_원본!$KB$4:$KB$369,0), MATCH(CD$4,연료전지_원본!$KB$4:$KX$4,0))*1000</f>
        <v>2146</v>
      </c>
      <c r="CE51" s="250">
        <f>INDEX(연료전지_원본!$KB$4:$KX$369,MATCH($A51,연료전지_원본!$KB$4:$KB$369,0), MATCH(CE$4,연료전지_원본!$KB$4:$KX$4,0))*1000</f>
        <v>2139</v>
      </c>
      <c r="CF51" s="250">
        <f>INDEX(연료전지_원본!$KB$4:$KX$369,MATCH($A51,연료전지_원본!$KB$4:$KB$369,0), MATCH(CF$4,연료전지_원본!$KB$4:$KX$4,0))*1000</f>
        <v>2137</v>
      </c>
      <c r="CG51" s="250">
        <f>INDEX(연료전지_원본!$KB$4:$KX$369,MATCH($A51,연료전지_원본!$KB$4:$KB$369,0), MATCH(CG$4,연료전지_원본!$KB$4:$KX$4,0))*1000</f>
        <v>2141</v>
      </c>
      <c r="CH51" s="250">
        <f>INDEX(연료전지_원본!$KB$4:$KX$369,MATCH($A51,연료전지_원본!$KB$4:$KB$369,0), MATCH(CH$4,연료전지_원본!$KB$4:$KX$4,0))*1000</f>
        <v>2147</v>
      </c>
      <c r="CI51" s="250">
        <f>INDEX(연료전지_원본!$KB$4:$KX$369,MATCH($A51,연료전지_원본!$KB$4:$KB$369,0), MATCH(CI$4,연료전지_원본!$KB$4:$KX$4,0))*1000</f>
        <v>2147</v>
      </c>
      <c r="CJ51" s="250">
        <f>INDEX(연료전지_원본!$KB$4:$KX$369,MATCH($A51,연료전지_원본!$KB$4:$KB$369,0), MATCH(CJ$4,연료전지_원본!$KB$4:$KX$4,0))*1000</f>
        <v>2139</v>
      </c>
      <c r="CK51" s="250">
        <f>INDEX(연료전지_원본!$KB$4:$KX$369,MATCH($A51,연료전지_원본!$KB$4:$KB$369,0), MATCH(CK$4,연료전지_원본!$KB$4:$KX$4,0))*1000</f>
        <v>2138</v>
      </c>
      <c r="CL51" s="250">
        <f>INDEX(연료전지_원본!$KB$4:$KX$369,MATCH($A51,연료전지_원본!$KB$4:$KB$369,0), MATCH(CL$4,연료전지_원본!$KB$4:$KX$4,0))*1000</f>
        <v>2147</v>
      </c>
      <c r="CM51" s="250">
        <f>INDEX(연료전지_원본!$KB$4:$KX$369,MATCH($A51,연료전지_원본!$KB$4:$KB$369,0), MATCH(CM$4,연료전지_원본!$KB$4:$KX$4,0))*1000</f>
        <v>2147</v>
      </c>
      <c r="CN51" s="250">
        <f>INDEX(연료전지_원본!$KB$4:$KX$369,MATCH($A51,연료전지_원본!$KB$4:$KB$369,0), MATCH(CN$4,연료전지_원본!$KB$4:$KX$4,0))*1000</f>
        <v>2147</v>
      </c>
      <c r="CO51" s="250">
        <f>INDEX(연료전지_원본!$KB$4:$KX$369,MATCH($A51,연료전지_원본!$KB$4:$KB$369,0), MATCH(CO$4,연료전지_원본!$KB$4:$KX$4,0))*1000</f>
        <v>2146</v>
      </c>
      <c r="CP51" s="250">
        <f>INDEX(연료전지_원본!$KB$4:$KX$369,MATCH($A51,연료전지_원본!$KB$4:$KB$369,0), MATCH(CP$4,연료전지_원본!$KB$4:$KX$4,0))*1000</f>
        <v>2145</v>
      </c>
      <c r="CQ51" s="250">
        <f>INDEX(연료전지_원본!$KB$4:$KX$369,MATCH($A51,연료전지_원본!$KB$4:$KB$369,0), MATCH(CQ$4,연료전지_원본!$KB$4:$KX$4,0))*1000</f>
        <v>2143</v>
      </c>
      <c r="CR51" s="250">
        <f>INDEX(연료전지_원본!$KB$4:$KX$369,MATCH($A51,연료전지_원본!$KB$4:$KB$369,0), MATCH(CR$4,연료전지_원본!$KB$4:$KX$4,0))*1000</f>
        <v>2145</v>
      </c>
      <c r="CS51" s="250">
        <f>INDEX(연료전지_원본!$KB$4:$KX$369,MATCH($A51,연료전지_원본!$KB$4:$KB$369,0), MATCH(CS$4,연료전지_원본!$KB$4:$KX$4,0))*1000</f>
        <v>2146</v>
      </c>
      <c r="CT51" s="250">
        <f>INDEX(연료전지_원본!$KB$4:$KX$369,MATCH($A51,연료전지_원본!$KB$4:$KB$369,0), MATCH(CT$4,연료전지_원본!$KB$4:$KX$4,0))*1000</f>
        <v>2137</v>
      </c>
      <c r="CU51" s="250">
        <f>INDEX(연료전지_원본!$KB$4:$KX$369,MATCH($A51,연료전지_원본!$KB$4:$KB$369,0), MATCH(CU$4,연료전지_원본!$KB$4:$KX$4,0))*1000</f>
        <v>2149</v>
      </c>
      <c r="CV51" s="250">
        <f>INDEX(연료전지_원본!$KB$4:$KX$369,MATCH($A51,연료전지_원본!$KB$4:$KB$369,0), MATCH(CV$4,연료전지_원본!$KB$4:$KX$4,0))*1000</f>
        <v>2146</v>
      </c>
      <c r="CW51" s="250">
        <f>INDEX(연료전지_원본!$KB$4:$KX$369,MATCH($A51,연료전지_원본!$KB$4:$KB$369,0), MATCH(CW$4,연료전지_원본!$KB$4:$KX$4,0))*1000</f>
        <v>2139</v>
      </c>
      <c r="CX51" s="250">
        <f>INDEX(연료전지_원본!$KB$4:$KX$369,MATCH($A51,연료전지_원본!$KB$4:$KB$369,0), MATCH(CX$4,연료전지_원본!$KB$4:$KX$4,0))*1000</f>
        <v>2140</v>
      </c>
      <c r="CY51" s="255">
        <f>INDEX(연료전지_원본!$KB$4:$KX$369,MATCH($A51,연료전지_원본!$KB$4:$KB$369,0), MATCH(CY$4,연료전지_원본!$KB$4:$KX$4,0))*1000</f>
        <v>2150</v>
      </c>
      <c r="CZ51" s="185">
        <v>10.118999999999971</v>
      </c>
      <c r="DA51" s="30">
        <v>10.087999999999965</v>
      </c>
      <c r="DB51" s="30">
        <v>10.079000000000008</v>
      </c>
      <c r="DC51" s="30">
        <v>10.098000000000013</v>
      </c>
      <c r="DD51" s="30">
        <v>10.125</v>
      </c>
      <c r="DE51" s="30">
        <v>10.126000000000033</v>
      </c>
      <c r="DF51" s="30">
        <v>10.088999999999999</v>
      </c>
      <c r="DG51" s="30">
        <v>10.084000000000003</v>
      </c>
      <c r="DH51" s="30">
        <v>10.123000000000019</v>
      </c>
      <c r="DI51" s="30">
        <v>10.126000000000005</v>
      </c>
      <c r="DJ51" s="30">
        <v>10.126000000000005</v>
      </c>
      <c r="DK51" s="30">
        <v>10.120999999999981</v>
      </c>
      <c r="DL51" s="30">
        <v>10.115999999999985</v>
      </c>
      <c r="DM51" s="30">
        <v>10.104999999999961</v>
      </c>
      <c r="DN51" s="30">
        <v>10.115000000000009</v>
      </c>
      <c r="DO51" s="30">
        <v>10.121999999999986</v>
      </c>
      <c r="DP51" s="30">
        <v>10.078999999999979</v>
      </c>
      <c r="DQ51" s="30">
        <v>10.134000000000015</v>
      </c>
      <c r="DR51" s="30">
        <v>10.120999999999981</v>
      </c>
      <c r="DS51" s="30">
        <v>10.087999999999994</v>
      </c>
      <c r="DT51" s="30">
        <v>10.093999999999994</v>
      </c>
      <c r="DU51" s="30">
        <v>10.141000000000005</v>
      </c>
      <c r="DV51" s="30">
        <f t="shared" si="297"/>
        <v>222.41899999999993</v>
      </c>
    </row>
    <row r="52" spans="1:126">
      <c r="A52" s="6">
        <v>46069</v>
      </c>
      <c r="B52" s="15">
        <f>운전실적_원본!B52</f>
        <v>651.20000000000005</v>
      </c>
      <c r="C52" s="16">
        <f t="shared" si="298"/>
        <v>0</v>
      </c>
      <c r="D52" s="12">
        <f>운전실적_원본!C52</f>
        <v>249545</v>
      </c>
      <c r="E52" s="12">
        <f t="shared" si="299"/>
        <v>56</v>
      </c>
      <c r="F52" s="12">
        <f>운전실적_원본!D52</f>
        <v>241078</v>
      </c>
      <c r="G52" s="16">
        <f t="shared" si="300"/>
        <v>0</v>
      </c>
      <c r="H52" s="15">
        <f>운전실적_원본!E52</f>
        <v>17233.46</v>
      </c>
      <c r="I52" s="16">
        <f t="shared" si="301"/>
        <v>2.5499999999992724</v>
      </c>
      <c r="J52" s="15">
        <f>운전실적_원본!F52</f>
        <v>15204.81</v>
      </c>
      <c r="K52" s="16">
        <f t="shared" si="301"/>
        <v>18.369999999998981</v>
      </c>
      <c r="L52" s="32">
        <f>운전실적_원본!G52</f>
        <v>21</v>
      </c>
      <c r="M52" s="31">
        <f t="shared" ref="M52" si="363">IF(OR(LEN(L52)=0,L52=0),"",L52-L51)</f>
        <v>0.89999999999999858</v>
      </c>
      <c r="N52" s="15">
        <f>운전실적_원본!H52</f>
        <v>38709</v>
      </c>
      <c r="O52" s="16">
        <f t="shared" ref="O52" si="364">IF(OR(LEN(N52)=0,N52=0),"",N52-N51)</f>
        <v>117</v>
      </c>
      <c r="P52" s="15">
        <f>운전실적_원본!I52</f>
        <v>22538</v>
      </c>
      <c r="Q52" s="16">
        <f t="shared" ref="Q52" si="365">IF(OR(LEN(P52)=0,P52=0),"",P52-P51)</f>
        <v>113</v>
      </c>
      <c r="R52" s="18">
        <f>운전실적_원본!J52</f>
        <v>34.01</v>
      </c>
      <c r="S52" s="19">
        <f t="shared" ref="S52" si="366">IF(OR(LEN(R52)=0,R52=0),"",R52-R51)</f>
        <v>9.8999999999996646E-2</v>
      </c>
      <c r="T52" s="18">
        <f>운전실적_원본!K52</f>
        <v>33.33</v>
      </c>
      <c r="U52" s="19">
        <f t="shared" si="306"/>
        <v>-4.0000000000048885E-3</v>
      </c>
      <c r="V52" s="12">
        <f>운전실적_원본!L52</f>
        <v>8156</v>
      </c>
      <c r="W52" s="16">
        <f t="shared" ref="W52" si="367">IF(OR(LEN(V52)=0,V52=0),"",V52-V51)</f>
        <v>-309.84100000000035</v>
      </c>
      <c r="X52" s="10">
        <f>운전실적_원본!M52</f>
        <v>121653.23000000417</v>
      </c>
      <c r="Y52" s="10">
        <f>운전실적_원본!N52</f>
        <v>0</v>
      </c>
      <c r="Z52" s="10">
        <f>운전실적_원본!O52</f>
        <v>0</v>
      </c>
      <c r="AA52" s="10">
        <f>운전실적_원본!P52</f>
        <v>0</v>
      </c>
      <c r="AB52" s="10">
        <f>운전실적_원본!Q52</f>
        <v>0</v>
      </c>
      <c r="AC52" s="20">
        <f>운전실적_원본!R52</f>
        <v>0</v>
      </c>
      <c r="AD52" s="109">
        <f>운전실적_원본!S52</f>
        <v>17</v>
      </c>
      <c r="AE52" s="110">
        <f>운전실적_원본!T52</f>
        <v>0</v>
      </c>
      <c r="AF52" s="110">
        <f>운전실적_원본!U52</f>
        <v>0</v>
      </c>
      <c r="AG52" s="110">
        <f>운전실적_원본!V52</f>
        <v>0</v>
      </c>
      <c r="AH52" s="109">
        <f t="shared" si="1"/>
        <v>17.000000000058208</v>
      </c>
      <c r="AI52" s="110">
        <f t="shared" si="125"/>
        <v>0</v>
      </c>
      <c r="AJ52" s="110">
        <f>운전실적_원본!Y52</f>
        <v>0</v>
      </c>
      <c r="AK52" s="110">
        <f>운전실적_원본!Z52</f>
        <v>0</v>
      </c>
      <c r="AL52" s="106">
        <v>46069</v>
      </c>
      <c r="AM52" s="105">
        <v>46069.368055555555</v>
      </c>
      <c r="AN52" s="105">
        <v>46069.659722222219</v>
      </c>
      <c r="AO52" s="105">
        <f>AL53</f>
        <v>46070</v>
      </c>
      <c r="AP52" s="105"/>
      <c r="AQ52" s="108"/>
      <c r="AR52" s="105"/>
      <c r="AS52" s="105"/>
      <c r="AT52" s="102"/>
      <c r="AU52" s="102"/>
      <c r="AV52" s="102"/>
      <c r="AW52" s="102"/>
      <c r="AX52" s="32">
        <f>운전실적_원본!W52</f>
        <v>782.3159999999998</v>
      </c>
      <c r="AY52" s="11">
        <f>운전실적_원본!X52</f>
        <v>0</v>
      </c>
      <c r="AZ52" s="11">
        <f>운전실적_원본!Y52</f>
        <v>0</v>
      </c>
      <c r="BA52" s="11">
        <f>운전실적_원본!Z52</f>
        <v>0</v>
      </c>
      <c r="BB52" s="11">
        <f>운전실적_원본!AA52</f>
        <v>0</v>
      </c>
      <c r="BC52" s="11">
        <f>운전실적_원본!AB52</f>
        <v>782.3159999999998</v>
      </c>
      <c r="BD52" s="32">
        <f t="shared" si="15"/>
        <v>46.018588235294104</v>
      </c>
      <c r="BE52" s="11">
        <f t="shared" si="2"/>
        <v>0.89547749047079395</v>
      </c>
      <c r="BF52" s="11">
        <f>운전실적_원본!AE52</f>
        <v>0</v>
      </c>
      <c r="BG52" s="31">
        <f t="shared" si="0"/>
        <v>0</v>
      </c>
      <c r="BH52" s="241">
        <f>INDEX(연료전지_원본!$A$4:$KY$369,MATCH($A52,연료전지_원본!$A$4:$A$369,0),MATCH($BH$4,연료전지_원본!$A$4:$KY$4,0))</f>
        <v>24</v>
      </c>
      <c r="BI52" s="241">
        <f>INDEX(연료전지_원본!$A$4:$KY$369,MATCH($A52,연료전지_원본!$A$4:$A$369,0),MATCH($BI$4,연료전지_원본!$A$4:$KY$4,0))</f>
        <v>24</v>
      </c>
      <c r="BJ52" s="241">
        <f>INDEX(연료전지_원본!$A$4:$KY$369,MATCH($A52,연료전지_원본!$A$4:$A$369,0),MATCH($BJ$4,연료전지_원본!$A$4:$KY$4,0))</f>
        <v>24</v>
      </c>
      <c r="BK52" s="241">
        <f>INDEX(연료전지_원본!$A$4:$KY$369,MATCH($A52,연료전지_원본!$A$4:$A$369,0),MATCH($BK$4,연료전지_원본!$A$4:$KY$4,0))</f>
        <v>24</v>
      </c>
      <c r="BL52" s="241">
        <f>INDEX(연료전지_원본!$A$4:$KY$369,MATCH($A52,연료전지_원본!$A$4:$A$369,0),MATCH($BL$4,연료전지_원본!$A$4:$KY$4,0))</f>
        <v>24</v>
      </c>
      <c r="BM52" s="241">
        <f>INDEX(연료전지_원본!$A$4:$KY$369,MATCH($A52,연료전지_원본!$A$4:$A$369,0),MATCH($BM$4,연료전지_원본!$A$4:$KY$4,0))</f>
        <v>24</v>
      </c>
      <c r="BN52" s="241">
        <f>INDEX(연료전지_원본!$A$4:$KY$369,MATCH($A52,연료전지_원본!$A$4:$A$369,0),MATCH($BN$4,연료전지_원본!$A$4:$KY$4,0))</f>
        <v>24</v>
      </c>
      <c r="BO52" s="241">
        <f>INDEX(연료전지_원본!$A$4:$KY$369,MATCH($A52,연료전지_원본!$A$4:$A$369,0),MATCH($BO$4,연료전지_원본!$A$4:$KY$4,0))</f>
        <v>24</v>
      </c>
      <c r="BP52" s="241">
        <f>INDEX(연료전지_원본!$A$4:$KY$369,MATCH($A52,연료전지_원본!$A$4:$A$369,0),MATCH($BP$4,연료전지_원본!$A$4:$KY$4,0))</f>
        <v>24</v>
      </c>
      <c r="BQ52" s="241">
        <f>INDEX(연료전지_원본!$A$4:$KY$369,MATCH($A52,연료전지_원본!$A$4:$A$369,0),MATCH($BQ$4,연료전지_원본!$A$4:$KY$4,0))</f>
        <v>24</v>
      </c>
      <c r="BR52" s="241">
        <f>INDEX(연료전지_원본!$A$4:$KY$369,MATCH($A52,연료전지_원본!$A$4:$A$369,0),MATCH($BR$4,연료전지_원본!$A$4:$KY$4,0))</f>
        <v>24</v>
      </c>
      <c r="BS52" s="241">
        <f>INDEX(연료전지_원본!$A$4:$KY$369,MATCH($A52,연료전지_원본!$A$4:$A$369,0),MATCH($BS$4,연료전지_원본!$A$4:$KY$4,0))</f>
        <v>24</v>
      </c>
      <c r="BT52" s="241">
        <f>INDEX(연료전지_원본!$A$4:$KY$369,MATCH($A52,연료전지_원본!$A$4:$A$369,0),MATCH($BT$4,연료전지_원본!$A$4:$KY$4,0))</f>
        <v>24</v>
      </c>
      <c r="BU52" s="241">
        <f>INDEX(연료전지_원본!$A$4:$KY$369,MATCH($A52,연료전지_원본!$A$4:$A$369,0),MATCH($BU$4,연료전지_원본!$A$4:$KY$4,0))</f>
        <v>24</v>
      </c>
      <c r="BV52" s="241">
        <f>INDEX(연료전지_원본!$A$4:$KY$369,MATCH($A52,연료전지_원본!$A$4:$A$369,0),MATCH($BV$4,연료전지_원본!$A$4:$KY$4,0))</f>
        <v>24</v>
      </c>
      <c r="BW52" s="241">
        <f>INDEX(연료전지_원본!$A$4:$KY$369,MATCH($A52,연료전지_원본!$A$4:$A$369,0),MATCH($BW$4,연료전지_원본!$A$4:$KY$4,0))</f>
        <v>24</v>
      </c>
      <c r="BX52" s="241">
        <f>INDEX(연료전지_원본!$A$4:$KY$369,MATCH($A52,연료전지_원본!$A$4:$A$369,0),MATCH($BX$4,연료전지_원본!$A$4:$KY$4,0))</f>
        <v>24</v>
      </c>
      <c r="BY52" s="241">
        <f>INDEX(연료전지_원본!$A$4:$KY$369,MATCH($A52,연료전지_원본!$A$4:$A$369,0),MATCH($BY$4,연료전지_원본!$A$4:$KY$4,0))</f>
        <v>24</v>
      </c>
      <c r="BZ52" s="241">
        <f>INDEX(연료전지_원본!$A$4:$KY$369,MATCH($A52,연료전지_원본!$A$4:$A$369,0),MATCH($BZ$4,연료전지_원본!$A$4:$KY$4,0))</f>
        <v>24</v>
      </c>
      <c r="CA52" s="241">
        <f>INDEX(연료전지_원본!$A$4:$KY$369,MATCH($A52,연료전지_원본!$A$4:$A$369,0),MATCH($CA$4,연료전지_원본!$A$4:$KY$4,0))</f>
        <v>24</v>
      </c>
      <c r="CB52" s="241">
        <f>INDEX(연료전지_원본!$A$4:$KY$369,MATCH($A52,연료전지_원본!$A$4:$A$369,0),MATCH($CB$4,연료전지_원본!$A$4:$KY$4,0))</f>
        <v>24</v>
      </c>
      <c r="CC52" s="242">
        <f>INDEX(연료전지_원본!$A$4:$KY$369,MATCH($A52,연료전지_원본!$A$4:$A$369,0),MATCH($CC$4,연료전지_원본!$A$4:$KY$4,0))</f>
        <v>24</v>
      </c>
      <c r="CD52" s="254">
        <f>INDEX(연료전지_원본!$KB$4:$KX$369,MATCH($A52,연료전지_원본!$KB$4:$KB$369,0), MATCH(CD$4,연료전지_원본!$KB$4:$KX$4,0))*1000</f>
        <v>2113</v>
      </c>
      <c r="CE52" s="250">
        <f>INDEX(연료전지_원본!$KB$4:$KX$369,MATCH($A52,연료전지_원본!$KB$4:$KB$369,0), MATCH(CE$4,연료전지_원본!$KB$4:$KX$4,0))*1000</f>
        <v>2107</v>
      </c>
      <c r="CF52" s="250">
        <f>INDEX(연료전지_원본!$KB$4:$KX$369,MATCH($A52,연료전지_원본!$KB$4:$KB$369,0), MATCH(CF$4,연료전지_원본!$KB$4:$KX$4,0))*1000</f>
        <v>2105</v>
      </c>
      <c r="CG52" s="250">
        <f>INDEX(연료전지_원본!$KB$4:$KX$369,MATCH($A52,연료전지_원본!$KB$4:$KB$369,0), MATCH(CG$4,연료전지_원본!$KB$4:$KX$4,0))*1000</f>
        <v>2108</v>
      </c>
      <c r="CH52" s="250">
        <f>INDEX(연료전지_원본!$KB$4:$KX$369,MATCH($A52,연료전지_원본!$KB$4:$KB$369,0), MATCH(CH$4,연료전지_원본!$KB$4:$KX$4,0))*1000</f>
        <v>2114</v>
      </c>
      <c r="CI52" s="250">
        <f>INDEX(연료전지_원본!$KB$4:$KX$369,MATCH($A52,연료전지_원본!$KB$4:$KB$369,0), MATCH(CI$4,연료전지_원본!$KB$4:$KX$4,0))*1000</f>
        <v>2114</v>
      </c>
      <c r="CJ52" s="250">
        <f>INDEX(연료전지_원본!$KB$4:$KX$369,MATCH($A52,연료전지_원본!$KB$4:$KB$369,0), MATCH(CJ$4,연료전지_원본!$KB$4:$KX$4,0))*1000</f>
        <v>2107</v>
      </c>
      <c r="CK52" s="250">
        <f>INDEX(연료전지_원본!$KB$4:$KX$369,MATCH($A52,연료전지_원본!$KB$4:$KB$369,0), MATCH(CK$4,연료전지_원본!$KB$4:$KX$4,0))*1000</f>
        <v>2107</v>
      </c>
      <c r="CL52" s="250">
        <f>INDEX(연료전지_원본!$KB$4:$KX$369,MATCH($A52,연료전지_원본!$KB$4:$KB$369,0), MATCH(CL$4,연료전지_원본!$KB$4:$KX$4,0))*1000</f>
        <v>2115</v>
      </c>
      <c r="CM52" s="250">
        <f>INDEX(연료전지_원본!$KB$4:$KX$369,MATCH($A52,연료전지_원본!$KB$4:$KB$369,0), MATCH(CM$4,연료전지_원본!$KB$4:$KX$4,0))*1000</f>
        <v>2113</v>
      </c>
      <c r="CN52" s="250">
        <f>INDEX(연료전지_원본!$KB$4:$KX$369,MATCH($A52,연료전지_원본!$KB$4:$KB$369,0), MATCH(CN$4,연료전지_원본!$KB$4:$KX$4,0))*1000</f>
        <v>2115</v>
      </c>
      <c r="CO52" s="250">
        <f>INDEX(연료전지_원본!$KB$4:$KX$369,MATCH($A52,연료전지_원본!$KB$4:$KB$369,0), MATCH(CO$4,연료전지_원본!$KB$4:$KX$4,0))*1000</f>
        <v>2115</v>
      </c>
      <c r="CP52" s="250">
        <f>INDEX(연료전지_원본!$KB$4:$KX$369,MATCH($A52,연료전지_원본!$KB$4:$KB$369,0), MATCH(CP$4,연료전지_원본!$KB$4:$KX$4,0))*1000</f>
        <v>2112</v>
      </c>
      <c r="CQ52" s="250">
        <f>INDEX(연료전지_원본!$KB$4:$KX$369,MATCH($A52,연료전지_원본!$KB$4:$KB$369,0), MATCH(CQ$4,연료전지_원본!$KB$4:$KX$4,0))*1000</f>
        <v>2110</v>
      </c>
      <c r="CR52" s="250">
        <f>INDEX(연료전지_원본!$KB$4:$KX$369,MATCH($A52,연료전지_원본!$KB$4:$KB$369,0), MATCH(CR$4,연료전지_원본!$KB$4:$KX$4,0))*1000</f>
        <v>2112</v>
      </c>
      <c r="CS52" s="250">
        <f>INDEX(연료전지_원본!$KB$4:$KX$369,MATCH($A52,연료전지_원본!$KB$4:$KB$369,0), MATCH(CS$4,연료전지_원본!$KB$4:$KX$4,0))*1000</f>
        <v>2113</v>
      </c>
      <c r="CT52" s="250">
        <f>INDEX(연료전지_원본!$KB$4:$KX$369,MATCH($A52,연료전지_원본!$KB$4:$KB$369,0), MATCH(CT$4,연료전지_원본!$KB$4:$KX$4,0))*1000</f>
        <v>2108</v>
      </c>
      <c r="CU52" s="250">
        <f>INDEX(연료전지_원본!$KB$4:$KX$369,MATCH($A52,연료전지_원본!$KB$4:$KB$369,0), MATCH(CU$4,연료전지_원본!$KB$4:$KX$4,0))*1000</f>
        <v>2112</v>
      </c>
      <c r="CV52" s="250">
        <f>INDEX(연료전지_원본!$KB$4:$KX$369,MATCH($A52,연료전지_원본!$KB$4:$KB$369,0), MATCH(CV$4,연료전지_원본!$KB$4:$KX$4,0))*1000</f>
        <v>2113</v>
      </c>
      <c r="CW52" s="250">
        <f>INDEX(연료전지_원본!$KB$4:$KX$369,MATCH($A52,연료전지_원본!$KB$4:$KB$369,0), MATCH(CW$4,연료전지_원본!$KB$4:$KX$4,0))*1000</f>
        <v>2110</v>
      </c>
      <c r="CX52" s="250">
        <f>INDEX(연료전지_원본!$KB$4:$KX$369,MATCH($A52,연료전지_원본!$KB$4:$KB$369,0), MATCH(CX$4,연료전지_원본!$KB$4:$KX$4,0))*1000</f>
        <v>2112</v>
      </c>
      <c r="CY52" s="255">
        <f>INDEX(연료전지_원본!$KB$4:$KX$369,MATCH($A52,연료전지_원본!$KB$4:$KB$369,0), MATCH(CY$4,연료전지_원본!$KB$4:$KX$4,0))*1000</f>
        <v>2119</v>
      </c>
      <c r="CZ52" s="185">
        <v>10.143000000000029</v>
      </c>
      <c r="DA52" s="30">
        <v>10.116000000000042</v>
      </c>
      <c r="DB52" s="30">
        <v>10.105000000000018</v>
      </c>
      <c r="DC52" s="30">
        <v>10.122000000000014</v>
      </c>
      <c r="DD52" s="30">
        <v>10.148000000000025</v>
      </c>
      <c r="DE52" s="30">
        <v>10.150999999999954</v>
      </c>
      <c r="DF52" s="30">
        <v>10.116999999999962</v>
      </c>
      <c r="DG52" s="30">
        <v>10.116999999999962</v>
      </c>
      <c r="DH52" s="30">
        <v>10.151999999999987</v>
      </c>
      <c r="DI52" s="30">
        <v>10.146999999999963</v>
      </c>
      <c r="DJ52" s="30">
        <v>10.156000000000006</v>
      </c>
      <c r="DK52" s="30">
        <v>10.152000000000015</v>
      </c>
      <c r="DL52" s="30">
        <v>10.14100000000002</v>
      </c>
      <c r="DM52" s="30">
        <v>10.132000000000005</v>
      </c>
      <c r="DN52" s="30">
        <v>10.140000000000015</v>
      </c>
      <c r="DO52" s="30">
        <v>10.143000000000001</v>
      </c>
      <c r="DP52" s="30">
        <v>10.121000000000009</v>
      </c>
      <c r="DQ52" s="30">
        <v>10.140999999999963</v>
      </c>
      <c r="DR52" s="30">
        <v>10.144000000000005</v>
      </c>
      <c r="DS52" s="30">
        <v>10.129000000000019</v>
      </c>
      <c r="DT52" s="30">
        <v>10.138000000000005</v>
      </c>
      <c r="DU52" s="30">
        <v>10.174999999999983</v>
      </c>
      <c r="DV52" s="30">
        <f t="shared" si="297"/>
        <v>223.03</v>
      </c>
    </row>
    <row r="53" spans="1:126">
      <c r="A53" s="6">
        <v>46070</v>
      </c>
      <c r="B53" s="15">
        <f>운전실적_원본!B53</f>
        <v>651.20000000000005</v>
      </c>
      <c r="C53" s="16">
        <f t="shared" si="298"/>
        <v>0</v>
      </c>
      <c r="D53" s="12">
        <f>운전실적_원본!C53</f>
        <v>249591</v>
      </c>
      <c r="E53" s="12">
        <f t="shared" si="299"/>
        <v>46</v>
      </c>
      <c r="F53" s="12">
        <f>운전실적_원본!D53</f>
        <v>241101</v>
      </c>
      <c r="G53" s="16">
        <f t="shared" si="300"/>
        <v>23</v>
      </c>
      <c r="H53" s="15">
        <f>운전실적_원본!E53</f>
        <v>17235.669999999998</v>
      </c>
      <c r="I53" s="16">
        <f t="shared" si="301"/>
        <v>2.2099999999991269</v>
      </c>
      <c r="J53" s="15">
        <f>운전실적_원본!F53</f>
        <v>15221.01</v>
      </c>
      <c r="K53" s="16">
        <f t="shared" si="301"/>
        <v>16.200000000000728</v>
      </c>
      <c r="L53" s="32">
        <f>운전실적_원본!G53</f>
        <v>21.7</v>
      </c>
      <c r="M53" s="31">
        <f t="shared" ref="M53" si="368">IF(OR(LEN(L53)=0,L53=0),"",L53-L52)</f>
        <v>0.69999999999999929</v>
      </c>
      <c r="N53" s="15">
        <f>운전실적_원본!H53</f>
        <v>38765</v>
      </c>
      <c r="O53" s="16">
        <f t="shared" ref="O53" si="369">IF(OR(LEN(N53)=0,N53=0),"",N53-N52)</f>
        <v>56</v>
      </c>
      <c r="P53" s="15">
        <f>운전실적_원본!I53</f>
        <v>22694</v>
      </c>
      <c r="Q53" s="16">
        <f t="shared" ref="Q53" si="370">IF(OR(LEN(P53)=0,P53=0),"",P53-P52)</f>
        <v>156</v>
      </c>
      <c r="R53" s="18">
        <f>운전실적_원본!J53</f>
        <v>33.81</v>
      </c>
      <c r="S53" s="19">
        <f t="shared" ref="S53" si="371">IF(OR(LEN(R53)=0,R53=0),"",R53-R52)</f>
        <v>-0.19999999999999574</v>
      </c>
      <c r="T53" s="18">
        <f>운전실적_원본!K53</f>
        <v>33.26</v>
      </c>
      <c r="U53" s="19">
        <f t="shared" si="306"/>
        <v>-7.0000000000000284E-2</v>
      </c>
      <c r="V53" s="12">
        <f>운전실적_원본!L53</f>
        <v>8665</v>
      </c>
      <c r="W53" s="16">
        <f t="shared" ref="W53" si="372">IF(OR(LEN(V53)=0,V53=0),"",V53-V52)</f>
        <v>509</v>
      </c>
      <c r="X53" s="10">
        <f>운전실적_원본!M53</f>
        <v>129943.08999999613</v>
      </c>
      <c r="Y53" s="10">
        <f>운전실적_원본!N53</f>
        <v>0</v>
      </c>
      <c r="Z53" s="10">
        <f>운전실적_원본!O53</f>
        <v>0</v>
      </c>
      <c r="AA53" s="10">
        <f>운전실적_원본!P53</f>
        <v>0</v>
      </c>
      <c r="AB53" s="10">
        <f>운전실적_원본!Q53</f>
        <v>0</v>
      </c>
      <c r="AC53" s="20">
        <f>운전실적_원본!R53</f>
        <v>0</v>
      </c>
      <c r="AD53" s="109">
        <f>운전실적_원본!S53</f>
        <v>17</v>
      </c>
      <c r="AE53" s="110">
        <f>운전실적_원본!T53</f>
        <v>0</v>
      </c>
      <c r="AF53" s="110">
        <f>운전실적_원본!U53</f>
        <v>0</v>
      </c>
      <c r="AG53" s="110">
        <f>운전실적_원본!V53</f>
        <v>0</v>
      </c>
      <c r="AH53" s="109">
        <f t="shared" si="1"/>
        <v>17.499999999941792</v>
      </c>
      <c r="AI53" s="110">
        <f t="shared" si="125"/>
        <v>0</v>
      </c>
      <c r="AJ53" s="110">
        <f>운전실적_원본!Y53</f>
        <v>0</v>
      </c>
      <c r="AK53" s="110">
        <f>운전실적_원본!Z53</f>
        <v>0</v>
      </c>
      <c r="AL53" s="106">
        <v>46070</v>
      </c>
      <c r="AM53" s="105">
        <v>46070.368055555555</v>
      </c>
      <c r="AN53" s="105">
        <v>46070.638888888891</v>
      </c>
      <c r="AO53" s="105">
        <f>AL54</f>
        <v>46071</v>
      </c>
      <c r="AP53" s="105"/>
      <c r="AQ53" s="108"/>
      <c r="AR53" s="105"/>
      <c r="AS53" s="105"/>
      <c r="AT53" s="102"/>
      <c r="AU53" s="102"/>
      <c r="AV53" s="102"/>
      <c r="AW53" s="102"/>
      <c r="AX53" s="32">
        <f>운전실적_원본!W53</f>
        <v>818</v>
      </c>
      <c r="AY53" s="11">
        <f>운전실적_원본!X53</f>
        <v>0</v>
      </c>
      <c r="AZ53" s="11">
        <f>운전실적_원본!Y53</f>
        <v>0</v>
      </c>
      <c r="BA53" s="11">
        <f>운전실적_원본!Z53</f>
        <v>0</v>
      </c>
      <c r="BB53" s="11">
        <f>운전실적_원본!AA53</f>
        <v>0</v>
      </c>
      <c r="BC53" s="11">
        <f>운전실적_원본!AB53</f>
        <v>818</v>
      </c>
      <c r="BD53" s="32">
        <f t="shared" si="15"/>
        <v>48.117647058823529</v>
      </c>
      <c r="BE53" s="11">
        <f t="shared" si="2"/>
        <v>0.93632315740073024</v>
      </c>
      <c r="BF53" s="11">
        <f>운전실적_원본!AE53</f>
        <v>0</v>
      </c>
      <c r="BG53" s="31">
        <f t="shared" si="0"/>
        <v>0</v>
      </c>
      <c r="BH53" s="241">
        <f>INDEX(연료전지_원본!$A$4:$KY$369,MATCH($A53,연료전지_원본!$A$4:$A$369,0),MATCH($BH$4,연료전지_원본!$A$4:$KY$4,0))</f>
        <v>24</v>
      </c>
      <c r="BI53" s="241">
        <f>INDEX(연료전지_원본!$A$4:$KY$369,MATCH($A53,연료전지_원본!$A$4:$A$369,0),MATCH($BI$4,연료전지_원본!$A$4:$KY$4,0))</f>
        <v>24</v>
      </c>
      <c r="BJ53" s="241">
        <f>INDEX(연료전지_원본!$A$4:$KY$369,MATCH($A53,연료전지_원본!$A$4:$A$369,0),MATCH($BJ$4,연료전지_원본!$A$4:$KY$4,0))</f>
        <v>24</v>
      </c>
      <c r="BK53" s="241">
        <f>INDEX(연료전지_원본!$A$4:$KY$369,MATCH($A53,연료전지_원본!$A$4:$A$369,0),MATCH($BK$4,연료전지_원본!$A$4:$KY$4,0))</f>
        <v>24</v>
      </c>
      <c r="BL53" s="241">
        <f>INDEX(연료전지_원본!$A$4:$KY$369,MATCH($A53,연료전지_원본!$A$4:$A$369,0),MATCH($BL$4,연료전지_원본!$A$4:$KY$4,0))</f>
        <v>24</v>
      </c>
      <c r="BM53" s="241">
        <f>INDEX(연료전지_원본!$A$4:$KY$369,MATCH($A53,연료전지_원본!$A$4:$A$369,0),MATCH($BM$4,연료전지_원본!$A$4:$KY$4,0))</f>
        <v>24</v>
      </c>
      <c r="BN53" s="241">
        <f>INDEX(연료전지_원본!$A$4:$KY$369,MATCH($A53,연료전지_원본!$A$4:$A$369,0),MATCH($BN$4,연료전지_원본!$A$4:$KY$4,0))</f>
        <v>24</v>
      </c>
      <c r="BO53" s="241">
        <f>INDEX(연료전지_원본!$A$4:$KY$369,MATCH($A53,연료전지_원본!$A$4:$A$369,0),MATCH($BO$4,연료전지_원본!$A$4:$KY$4,0))</f>
        <v>24</v>
      </c>
      <c r="BP53" s="241">
        <f>INDEX(연료전지_원본!$A$4:$KY$369,MATCH($A53,연료전지_원본!$A$4:$A$369,0),MATCH($BP$4,연료전지_원본!$A$4:$KY$4,0))</f>
        <v>24</v>
      </c>
      <c r="BQ53" s="241">
        <f>INDEX(연료전지_원본!$A$4:$KY$369,MATCH($A53,연료전지_원본!$A$4:$A$369,0),MATCH($BQ$4,연료전지_원본!$A$4:$KY$4,0))</f>
        <v>24</v>
      </c>
      <c r="BR53" s="241">
        <f>INDEX(연료전지_원본!$A$4:$KY$369,MATCH($A53,연료전지_원본!$A$4:$A$369,0),MATCH($BR$4,연료전지_원본!$A$4:$KY$4,0))</f>
        <v>24</v>
      </c>
      <c r="BS53" s="241">
        <f>INDEX(연료전지_원본!$A$4:$KY$369,MATCH($A53,연료전지_원본!$A$4:$A$369,0),MATCH($BS$4,연료전지_원본!$A$4:$KY$4,0))</f>
        <v>24</v>
      </c>
      <c r="BT53" s="241">
        <f>INDEX(연료전지_원본!$A$4:$KY$369,MATCH($A53,연료전지_원본!$A$4:$A$369,0),MATCH($BT$4,연료전지_원본!$A$4:$KY$4,0))</f>
        <v>24</v>
      </c>
      <c r="BU53" s="241">
        <f>INDEX(연료전지_원본!$A$4:$KY$369,MATCH($A53,연료전지_원본!$A$4:$A$369,0),MATCH($BU$4,연료전지_원본!$A$4:$KY$4,0))</f>
        <v>24</v>
      </c>
      <c r="BV53" s="241">
        <f>INDEX(연료전지_원본!$A$4:$KY$369,MATCH($A53,연료전지_원본!$A$4:$A$369,0),MATCH($BV$4,연료전지_원본!$A$4:$KY$4,0))</f>
        <v>24</v>
      </c>
      <c r="BW53" s="241">
        <f>INDEX(연료전지_원본!$A$4:$KY$369,MATCH($A53,연료전지_원본!$A$4:$A$369,0),MATCH($BW$4,연료전지_원본!$A$4:$KY$4,0))</f>
        <v>24</v>
      </c>
      <c r="BX53" s="241">
        <f>INDEX(연료전지_원본!$A$4:$KY$369,MATCH($A53,연료전지_원본!$A$4:$A$369,0),MATCH($BX$4,연료전지_원본!$A$4:$KY$4,0))</f>
        <v>24</v>
      </c>
      <c r="BY53" s="241">
        <f>INDEX(연료전지_원본!$A$4:$KY$369,MATCH($A53,연료전지_원본!$A$4:$A$369,0),MATCH($BY$4,연료전지_원본!$A$4:$KY$4,0))</f>
        <v>24</v>
      </c>
      <c r="BZ53" s="241">
        <f>INDEX(연료전지_원본!$A$4:$KY$369,MATCH($A53,연료전지_원본!$A$4:$A$369,0),MATCH($BZ$4,연료전지_원본!$A$4:$KY$4,0))</f>
        <v>24</v>
      </c>
      <c r="CA53" s="241">
        <f>INDEX(연료전지_원본!$A$4:$KY$369,MATCH($A53,연료전지_원본!$A$4:$A$369,0),MATCH($CA$4,연료전지_원본!$A$4:$KY$4,0))</f>
        <v>24</v>
      </c>
      <c r="CB53" s="241">
        <f>INDEX(연료전지_원본!$A$4:$KY$369,MATCH($A53,연료전지_원본!$A$4:$A$369,0),MATCH($CB$4,연료전지_원본!$A$4:$KY$4,0))</f>
        <v>24</v>
      </c>
      <c r="CC53" s="242">
        <f>INDEX(연료전지_원본!$A$4:$KY$369,MATCH($A53,연료전지_원본!$A$4:$A$369,0),MATCH($CC$4,연료전지_원본!$A$4:$KY$4,0))</f>
        <v>24</v>
      </c>
      <c r="CD53" s="254">
        <f>INDEX(연료전지_원본!$KB$4:$KX$369,MATCH($A53,연료전지_원본!$KB$4:$KB$369,0), MATCH(CD$4,연료전지_원본!$KB$4:$KX$4,0))*1000</f>
        <v>2157</v>
      </c>
      <c r="CE53" s="250">
        <f>INDEX(연료전지_원본!$KB$4:$KX$369,MATCH($A53,연료전지_원본!$KB$4:$KB$369,0), MATCH(CE$4,연료전지_원본!$KB$4:$KX$4,0))*1000</f>
        <v>2153</v>
      </c>
      <c r="CF53" s="250">
        <f>INDEX(연료전지_원본!$KB$4:$KX$369,MATCH($A53,연료전지_원본!$KB$4:$KB$369,0), MATCH(CF$4,연료전지_원본!$KB$4:$KX$4,0))*1000</f>
        <v>2149</v>
      </c>
      <c r="CG53" s="250">
        <f>INDEX(연료전지_원본!$KB$4:$KX$369,MATCH($A53,연료전지_원본!$KB$4:$KB$369,0), MATCH(CG$4,연료전지_원본!$KB$4:$KX$4,0))*1000</f>
        <v>2153</v>
      </c>
      <c r="CH53" s="250">
        <f>INDEX(연료전지_원본!$KB$4:$KX$369,MATCH($A53,연료전지_원본!$KB$4:$KB$369,0), MATCH(CH$4,연료전지_원본!$KB$4:$KX$4,0))*1000</f>
        <v>2159</v>
      </c>
      <c r="CI53" s="250">
        <f>INDEX(연료전지_원본!$KB$4:$KX$369,MATCH($A53,연료전지_원본!$KB$4:$KB$369,0), MATCH(CI$4,연료전지_원본!$KB$4:$KX$4,0))*1000</f>
        <v>2160</v>
      </c>
      <c r="CJ53" s="250">
        <f>INDEX(연료전지_원본!$KB$4:$KX$369,MATCH($A53,연료전지_원본!$KB$4:$KB$369,0), MATCH(CJ$4,연료전지_원본!$KB$4:$KX$4,0))*1000</f>
        <v>2152</v>
      </c>
      <c r="CK53" s="250">
        <f>INDEX(연료전지_원본!$KB$4:$KX$369,MATCH($A53,연료전지_원본!$KB$4:$KB$369,0), MATCH(CK$4,연료전지_원본!$KB$4:$KX$4,0))*1000</f>
        <v>2152</v>
      </c>
      <c r="CL53" s="250">
        <f>INDEX(연료전지_원본!$KB$4:$KX$369,MATCH($A53,연료전지_원본!$KB$4:$KB$369,0), MATCH(CL$4,연료전지_원본!$KB$4:$KX$4,0))*1000</f>
        <v>2161</v>
      </c>
      <c r="CM53" s="250">
        <f>INDEX(연료전지_원본!$KB$4:$KX$369,MATCH($A53,연료전지_원본!$KB$4:$KB$369,0), MATCH(CM$4,연료전지_원본!$KB$4:$KX$4,0))*1000</f>
        <v>2158</v>
      </c>
      <c r="CN53" s="250">
        <f>INDEX(연료전지_원본!$KB$4:$KX$369,MATCH($A53,연료전지_원본!$KB$4:$KB$369,0), MATCH(CN$4,연료전지_원본!$KB$4:$KX$4,0))*1000</f>
        <v>2161</v>
      </c>
      <c r="CO53" s="250">
        <f>INDEX(연료전지_원본!$KB$4:$KX$369,MATCH($A53,연료전지_원본!$KB$4:$KB$369,0), MATCH(CO$4,연료전지_원본!$KB$4:$KX$4,0))*1000</f>
        <v>2160</v>
      </c>
      <c r="CP53" s="250">
        <f>INDEX(연료전지_원본!$KB$4:$KX$369,MATCH($A53,연료전지_원본!$KB$4:$KB$369,0), MATCH(CP$4,연료전지_원본!$KB$4:$KX$4,0))*1000</f>
        <v>2158</v>
      </c>
      <c r="CQ53" s="250">
        <f>INDEX(연료전지_원본!$KB$4:$KX$369,MATCH($A53,연료전지_원본!$KB$4:$KB$369,0), MATCH(CQ$4,연료전지_원본!$KB$4:$KX$4,0))*1000</f>
        <v>2156</v>
      </c>
      <c r="CR53" s="250">
        <f>INDEX(연료전지_원본!$KB$4:$KX$369,MATCH($A53,연료전지_원본!$KB$4:$KB$369,0), MATCH(CR$4,연료전지_원본!$KB$4:$KX$4,0))*1000</f>
        <v>2157</v>
      </c>
      <c r="CS53" s="250">
        <f>INDEX(연료전지_원본!$KB$4:$KX$369,MATCH($A53,연료전지_원본!$KB$4:$KB$369,0), MATCH(CS$4,연료전지_원본!$KB$4:$KX$4,0))*1000</f>
        <v>2158</v>
      </c>
      <c r="CT53" s="250">
        <f>INDEX(연료전지_원본!$KB$4:$KX$369,MATCH($A53,연료전지_원본!$KB$4:$KB$369,0), MATCH(CT$4,연료전지_원본!$KB$4:$KX$4,0))*1000</f>
        <v>2153</v>
      </c>
      <c r="CU53" s="250">
        <f>INDEX(연료전지_원본!$KB$4:$KX$369,MATCH($A53,연료전지_원본!$KB$4:$KB$369,0), MATCH(CU$4,연료전지_원본!$KB$4:$KX$4,0))*1000</f>
        <v>2156</v>
      </c>
      <c r="CV53" s="250">
        <f>INDEX(연료전지_원본!$KB$4:$KX$369,MATCH($A53,연료전지_원본!$KB$4:$KB$369,0), MATCH(CV$4,연료전지_원본!$KB$4:$KX$4,0))*1000</f>
        <v>2158</v>
      </c>
      <c r="CW53" s="250">
        <f>INDEX(연료전지_원본!$KB$4:$KX$369,MATCH($A53,연료전지_원본!$KB$4:$KB$369,0), MATCH(CW$4,연료전지_원본!$KB$4:$KX$4,0))*1000</f>
        <v>2155</v>
      </c>
      <c r="CX53" s="250">
        <f>INDEX(연료전지_원본!$KB$4:$KX$369,MATCH($A53,연료전지_원본!$KB$4:$KB$369,0), MATCH(CX$4,연료전지_원본!$KB$4:$KX$4,0))*1000</f>
        <v>2157</v>
      </c>
      <c r="CY53" s="255">
        <f>INDEX(연료전지_원본!$KB$4:$KX$369,MATCH($A53,연료전지_원본!$KB$4:$KB$369,0), MATCH(CY$4,연료전지_원본!$KB$4:$KX$4,0))*1000</f>
        <v>2163</v>
      </c>
      <c r="CZ53" s="185">
        <v>10.141999999999996</v>
      </c>
      <c r="DA53" s="30">
        <v>10.123999999999967</v>
      </c>
      <c r="DB53" s="30">
        <v>10.105999999999995</v>
      </c>
      <c r="DC53" s="30">
        <v>10.121999999999957</v>
      </c>
      <c r="DD53" s="30">
        <v>10.15100000000001</v>
      </c>
      <c r="DE53" s="30">
        <v>10.156000000000006</v>
      </c>
      <c r="DF53" s="30">
        <v>10.119000000000028</v>
      </c>
      <c r="DG53" s="30">
        <v>10.119000000000028</v>
      </c>
      <c r="DH53" s="30">
        <v>10.161000000000001</v>
      </c>
      <c r="DI53" s="30">
        <v>10.148000000000025</v>
      </c>
      <c r="DJ53" s="30">
        <v>10.158999999999992</v>
      </c>
      <c r="DK53" s="30">
        <v>10.155000000000001</v>
      </c>
      <c r="DL53" s="30">
        <v>10.146999999999991</v>
      </c>
      <c r="DM53" s="30">
        <v>10.136000000000024</v>
      </c>
      <c r="DN53" s="30">
        <v>10.143000000000001</v>
      </c>
      <c r="DO53" s="30">
        <v>10.14700000000002</v>
      </c>
      <c r="DP53" s="30">
        <v>10.123999999999995</v>
      </c>
      <c r="DQ53" s="30">
        <v>10.13900000000001</v>
      </c>
      <c r="DR53" s="30">
        <v>10.148000000000025</v>
      </c>
      <c r="DS53" s="30">
        <v>10.131</v>
      </c>
      <c r="DT53" s="30">
        <v>10.140000000000015</v>
      </c>
      <c r="DU53" s="30">
        <v>10.168000000000006</v>
      </c>
      <c r="DV53" s="30">
        <f t="shared" si="297"/>
        <v>223.08500000000009</v>
      </c>
    </row>
    <row r="54" spans="1:126">
      <c r="A54" s="6">
        <v>46071</v>
      </c>
      <c r="B54" s="15">
        <f>운전실적_원본!B54</f>
        <v>651.20000000000005</v>
      </c>
      <c r="C54" s="16">
        <f t="shared" si="298"/>
        <v>0</v>
      </c>
      <c r="D54" s="12">
        <f>운전실적_원본!C54</f>
        <v>249591</v>
      </c>
      <c r="E54" s="12">
        <f t="shared" si="299"/>
        <v>0</v>
      </c>
      <c r="F54" s="12">
        <f>운전실적_원본!D54</f>
        <v>241178</v>
      </c>
      <c r="G54" s="16">
        <f t="shared" si="300"/>
        <v>77</v>
      </c>
      <c r="H54" s="15">
        <f>운전실적_원본!E54</f>
        <v>17237.39</v>
      </c>
      <c r="I54" s="16">
        <f t="shared" si="301"/>
        <v>1.7200000000011642</v>
      </c>
      <c r="J54" s="15">
        <f>운전실적_원본!F54</f>
        <v>15238.38</v>
      </c>
      <c r="K54" s="16">
        <f t="shared" si="301"/>
        <v>17.369999999998981</v>
      </c>
      <c r="L54" s="32">
        <f>운전실적_원본!G54</f>
        <v>22.7</v>
      </c>
      <c r="M54" s="31">
        <f t="shared" ref="M54" si="373">IF(OR(LEN(L54)=0,L54=0),"",L54-L53)</f>
        <v>1</v>
      </c>
      <c r="N54" s="15">
        <f>운전실적_원본!H54</f>
        <v>38897</v>
      </c>
      <c r="O54" s="16">
        <f t="shared" ref="O54" si="374">IF(OR(LEN(N54)=0,N54=0),"",N54-N53)</f>
        <v>132</v>
      </c>
      <c r="P54" s="15">
        <f>운전실적_원본!I54</f>
        <v>22850</v>
      </c>
      <c r="Q54" s="16">
        <f t="shared" ref="Q54" si="375">IF(OR(LEN(P54)=0,P54=0),"",P54-P53)</f>
        <v>156</v>
      </c>
      <c r="R54" s="18">
        <f>운전실적_원본!J54</f>
        <v>33.83</v>
      </c>
      <c r="S54" s="19">
        <f t="shared" ref="S54" si="376">IF(OR(LEN(R54)=0,R54=0),"",R54-R53)</f>
        <v>1.9999999999996021E-2</v>
      </c>
      <c r="T54" s="18">
        <f>운전실적_원본!K54</f>
        <v>33.24</v>
      </c>
      <c r="U54" s="19">
        <f t="shared" si="306"/>
        <v>-1.9999999999996021E-2</v>
      </c>
      <c r="V54" s="12">
        <f>운전실적_원본!L54</f>
        <v>8271</v>
      </c>
      <c r="W54" s="16">
        <f t="shared" ref="W54" si="377">IF(OR(LEN(V54)=0,V54=0),"",V54-V53)</f>
        <v>-394</v>
      </c>
      <c r="X54" s="10">
        <f>운전실적_원본!M54</f>
        <v>124679.16000000387</v>
      </c>
      <c r="Y54" s="10">
        <f>운전실적_원본!N54</f>
        <v>0</v>
      </c>
      <c r="Z54" s="10">
        <f>운전실적_원본!O54</f>
        <v>0</v>
      </c>
      <c r="AA54" s="10">
        <f>운전실적_원본!P54</f>
        <v>0</v>
      </c>
      <c r="AB54" s="10">
        <f>운전실적_원본!Q54</f>
        <v>0</v>
      </c>
      <c r="AC54" s="20">
        <f>운전실적_원본!R54</f>
        <v>0</v>
      </c>
      <c r="AD54" s="109">
        <f>운전실적_원본!S54</f>
        <v>18</v>
      </c>
      <c r="AE54" s="110">
        <f>운전실적_원본!T54</f>
        <v>0</v>
      </c>
      <c r="AF54" s="110">
        <f>운전실적_원본!U54</f>
        <v>0</v>
      </c>
      <c r="AG54" s="110">
        <f>운전실적_원본!V54</f>
        <v>0</v>
      </c>
      <c r="AH54" s="109">
        <f t="shared" si="1"/>
        <v>18.833333333255723</v>
      </c>
      <c r="AI54" s="110">
        <f t="shared" si="125"/>
        <v>0</v>
      </c>
      <c r="AJ54" s="110">
        <f>운전실적_원본!Y54</f>
        <v>0</v>
      </c>
      <c r="AK54" s="110">
        <f>운전실적_원본!Z54</f>
        <v>0</v>
      </c>
      <c r="AL54" s="106">
        <v>46071</v>
      </c>
      <c r="AM54" s="105">
        <v>46071.409722222219</v>
      </c>
      <c r="AN54" s="105">
        <v>46071.625</v>
      </c>
      <c r="AO54" s="105">
        <f>AL55</f>
        <v>46072</v>
      </c>
      <c r="AP54" s="105"/>
      <c r="AQ54" s="108"/>
      <c r="AR54" s="105"/>
      <c r="AS54" s="105"/>
      <c r="AT54" s="102"/>
      <c r="AU54" s="102"/>
      <c r="AV54" s="102"/>
      <c r="AW54" s="102"/>
      <c r="AX54" s="32">
        <f>운전실적_원본!W54</f>
        <v>810</v>
      </c>
      <c r="AY54" s="11">
        <f>운전실적_원본!X54</f>
        <v>0</v>
      </c>
      <c r="AZ54" s="11">
        <f>운전실적_원본!Y54</f>
        <v>0</v>
      </c>
      <c r="BA54" s="11">
        <f>운전실적_원본!Z54</f>
        <v>0</v>
      </c>
      <c r="BB54" s="11">
        <f>운전실적_원본!AA54</f>
        <v>0</v>
      </c>
      <c r="BC54" s="11">
        <f>운전실적_원본!AB54</f>
        <v>810</v>
      </c>
      <c r="BD54" s="32">
        <f t="shared" si="15"/>
        <v>45</v>
      </c>
      <c r="BE54" s="11">
        <f t="shared" si="2"/>
        <v>0.87565674255691772</v>
      </c>
      <c r="BF54" s="11">
        <f>운전실적_원본!AE54</f>
        <v>0</v>
      </c>
      <c r="BG54" s="31">
        <f t="shared" si="0"/>
        <v>0</v>
      </c>
      <c r="BH54" s="241">
        <f>INDEX(연료전지_원본!$A$4:$KY$369,MATCH($A54,연료전지_원본!$A$4:$A$369,0),MATCH($BH$4,연료전지_원본!$A$4:$KY$4,0))</f>
        <v>24</v>
      </c>
      <c r="BI54" s="241">
        <f>INDEX(연료전지_원본!$A$4:$KY$369,MATCH($A54,연료전지_원본!$A$4:$A$369,0),MATCH($BI$4,연료전지_원본!$A$4:$KY$4,0))</f>
        <v>24</v>
      </c>
      <c r="BJ54" s="241">
        <f>INDEX(연료전지_원본!$A$4:$KY$369,MATCH($A54,연료전지_원본!$A$4:$A$369,0),MATCH($BJ$4,연료전지_원본!$A$4:$KY$4,0))</f>
        <v>24</v>
      </c>
      <c r="BK54" s="241">
        <f>INDEX(연료전지_원본!$A$4:$KY$369,MATCH($A54,연료전지_원본!$A$4:$A$369,0),MATCH($BK$4,연료전지_원본!$A$4:$KY$4,0))</f>
        <v>24</v>
      </c>
      <c r="BL54" s="241">
        <f>INDEX(연료전지_원본!$A$4:$KY$369,MATCH($A54,연료전지_원본!$A$4:$A$369,0),MATCH($BL$4,연료전지_원본!$A$4:$KY$4,0))</f>
        <v>24</v>
      </c>
      <c r="BM54" s="241">
        <f>INDEX(연료전지_원본!$A$4:$KY$369,MATCH($A54,연료전지_원본!$A$4:$A$369,0),MATCH($BM$4,연료전지_원본!$A$4:$KY$4,0))</f>
        <v>24</v>
      </c>
      <c r="BN54" s="241">
        <f>INDEX(연료전지_원본!$A$4:$KY$369,MATCH($A54,연료전지_원본!$A$4:$A$369,0),MATCH($BN$4,연료전지_원본!$A$4:$KY$4,0))</f>
        <v>24</v>
      </c>
      <c r="BO54" s="241">
        <f>INDEX(연료전지_원본!$A$4:$KY$369,MATCH($A54,연료전지_원본!$A$4:$A$369,0),MATCH($BO$4,연료전지_원본!$A$4:$KY$4,0))</f>
        <v>24</v>
      </c>
      <c r="BP54" s="241">
        <f>INDEX(연료전지_원본!$A$4:$KY$369,MATCH($A54,연료전지_원본!$A$4:$A$369,0),MATCH($BP$4,연료전지_원본!$A$4:$KY$4,0))</f>
        <v>24</v>
      </c>
      <c r="BQ54" s="241">
        <f>INDEX(연료전지_원본!$A$4:$KY$369,MATCH($A54,연료전지_원본!$A$4:$A$369,0),MATCH($BQ$4,연료전지_원본!$A$4:$KY$4,0))</f>
        <v>24</v>
      </c>
      <c r="BR54" s="241">
        <f>INDEX(연료전지_원본!$A$4:$KY$369,MATCH($A54,연료전지_원본!$A$4:$A$369,0),MATCH($BR$4,연료전지_원본!$A$4:$KY$4,0))</f>
        <v>24</v>
      </c>
      <c r="BS54" s="241">
        <f>INDEX(연료전지_원본!$A$4:$KY$369,MATCH($A54,연료전지_원본!$A$4:$A$369,0),MATCH($BS$4,연료전지_원본!$A$4:$KY$4,0))</f>
        <v>24</v>
      </c>
      <c r="BT54" s="241">
        <f>INDEX(연료전지_원본!$A$4:$KY$369,MATCH($A54,연료전지_원본!$A$4:$A$369,0),MATCH($BT$4,연료전지_원본!$A$4:$KY$4,0))</f>
        <v>24</v>
      </c>
      <c r="BU54" s="241">
        <f>INDEX(연료전지_원본!$A$4:$KY$369,MATCH($A54,연료전지_원본!$A$4:$A$369,0),MATCH($BU$4,연료전지_원본!$A$4:$KY$4,0))</f>
        <v>24</v>
      </c>
      <c r="BV54" s="241">
        <f>INDEX(연료전지_원본!$A$4:$KY$369,MATCH($A54,연료전지_원본!$A$4:$A$369,0),MATCH($BV$4,연료전지_원본!$A$4:$KY$4,0))</f>
        <v>24</v>
      </c>
      <c r="BW54" s="241">
        <f>INDEX(연료전지_원본!$A$4:$KY$369,MATCH($A54,연료전지_원본!$A$4:$A$369,0),MATCH($BW$4,연료전지_원본!$A$4:$KY$4,0))</f>
        <v>24</v>
      </c>
      <c r="BX54" s="241">
        <f>INDEX(연료전지_원본!$A$4:$KY$369,MATCH($A54,연료전지_원본!$A$4:$A$369,0),MATCH($BX$4,연료전지_원본!$A$4:$KY$4,0))</f>
        <v>24</v>
      </c>
      <c r="BY54" s="241">
        <f>INDEX(연료전지_원본!$A$4:$KY$369,MATCH($A54,연료전지_원본!$A$4:$A$369,0),MATCH($BY$4,연료전지_원본!$A$4:$KY$4,0))</f>
        <v>24</v>
      </c>
      <c r="BZ54" s="241">
        <f>INDEX(연료전지_원본!$A$4:$KY$369,MATCH($A54,연료전지_원본!$A$4:$A$369,0),MATCH($BZ$4,연료전지_원본!$A$4:$KY$4,0))</f>
        <v>24</v>
      </c>
      <c r="CA54" s="241">
        <f>INDEX(연료전지_원본!$A$4:$KY$369,MATCH($A54,연료전지_원본!$A$4:$A$369,0),MATCH($CA$4,연료전지_원본!$A$4:$KY$4,0))</f>
        <v>7.3333333333333339</v>
      </c>
      <c r="CB54" s="241">
        <f>INDEX(연료전지_원본!$A$4:$KY$369,MATCH($A54,연료전지_원본!$A$4:$A$369,0),MATCH($CB$4,연료전지_원본!$A$4:$KY$4,0))</f>
        <v>24</v>
      </c>
      <c r="CC54" s="242">
        <f>INDEX(연료전지_원본!$A$4:$KY$369,MATCH($A54,연료전지_원본!$A$4:$A$369,0),MATCH($CC$4,연료전지_원본!$A$4:$KY$4,0))</f>
        <v>24</v>
      </c>
      <c r="CD54" s="254">
        <f>INDEX(연료전지_원본!$KB$4:$KX$369,MATCH($A54,연료전지_원본!$KB$4:$KB$369,0), MATCH(CD$4,연료전지_원본!$KB$4:$KX$4,0))*1000</f>
        <v>2106</v>
      </c>
      <c r="CE54" s="250">
        <f>INDEX(연료전지_원본!$KB$4:$KX$369,MATCH($A54,연료전지_원본!$KB$4:$KB$369,0), MATCH(CE$4,연료전지_원본!$KB$4:$KX$4,0))*1000</f>
        <v>2103</v>
      </c>
      <c r="CF54" s="250">
        <f>INDEX(연료전지_원본!$KB$4:$KX$369,MATCH($A54,연료전지_원본!$KB$4:$KB$369,0), MATCH(CF$4,연료전지_원본!$KB$4:$KX$4,0))*1000</f>
        <v>2099</v>
      </c>
      <c r="CG54" s="250">
        <f>INDEX(연료전지_원본!$KB$4:$KX$369,MATCH($A54,연료전지_원본!$KB$4:$KB$369,0), MATCH(CG$4,연료전지_원본!$KB$4:$KX$4,0))*1000</f>
        <v>2102</v>
      </c>
      <c r="CH54" s="250">
        <f>INDEX(연료전지_원본!$KB$4:$KX$369,MATCH($A54,연료전지_원본!$KB$4:$KB$369,0), MATCH(CH$4,연료전지_원본!$KB$4:$KX$4,0))*1000</f>
        <v>2108</v>
      </c>
      <c r="CI54" s="250">
        <f>INDEX(연료전지_원본!$KB$4:$KX$369,MATCH($A54,연료전지_원본!$KB$4:$KB$369,0), MATCH(CI$4,연료전지_원본!$KB$4:$KX$4,0))*1000</f>
        <v>2109</v>
      </c>
      <c r="CJ54" s="250">
        <f>INDEX(연료전지_원본!$KB$4:$KX$369,MATCH($A54,연료전지_원본!$KB$4:$KB$369,0), MATCH(CJ$4,연료전지_원본!$KB$4:$KX$4,0))*1000</f>
        <v>2101</v>
      </c>
      <c r="CK54" s="250">
        <f>INDEX(연료전지_원본!$KB$4:$KX$369,MATCH($A54,연료전지_원본!$KB$4:$KB$369,0), MATCH(CK$4,연료전지_원본!$KB$4:$KX$4,0))*1000</f>
        <v>2101</v>
      </c>
      <c r="CL54" s="250">
        <f>INDEX(연료전지_원본!$KB$4:$KX$369,MATCH($A54,연료전지_원본!$KB$4:$KB$369,0), MATCH(CL$4,연료전지_원본!$KB$4:$KX$4,0))*1000</f>
        <v>2110</v>
      </c>
      <c r="CM54" s="250">
        <f>INDEX(연료전지_원본!$KB$4:$KX$369,MATCH($A54,연료전지_원본!$KB$4:$KB$369,0), MATCH(CM$4,연료전지_원본!$KB$4:$KX$4,0))*1000</f>
        <v>2107</v>
      </c>
      <c r="CN54" s="250">
        <f>INDEX(연료전지_원본!$KB$4:$KX$369,MATCH($A54,연료전지_원본!$KB$4:$KB$369,0), MATCH(CN$4,연료전지_원본!$KB$4:$KX$4,0))*1000</f>
        <v>2110</v>
      </c>
      <c r="CO54" s="250">
        <f>INDEX(연료전지_원본!$KB$4:$KX$369,MATCH($A54,연료전지_원본!$KB$4:$KB$369,0), MATCH(CO$4,연료전지_원본!$KB$4:$KX$4,0))*1000</f>
        <v>2109</v>
      </c>
      <c r="CP54" s="250">
        <f>INDEX(연료전지_원본!$KB$4:$KX$369,MATCH($A54,연료전지_원본!$KB$4:$KB$369,0), MATCH(CP$4,연료전지_원본!$KB$4:$KX$4,0))*1000</f>
        <v>2107</v>
      </c>
      <c r="CQ54" s="250">
        <f>INDEX(연료전지_원본!$KB$4:$KX$369,MATCH($A54,연료전지_원본!$KB$4:$KB$369,0), MATCH(CQ$4,연료전지_원본!$KB$4:$KX$4,0))*1000</f>
        <v>2104</v>
      </c>
      <c r="CR54" s="250">
        <f>INDEX(연료전지_원본!$KB$4:$KX$369,MATCH($A54,연료전지_원본!$KB$4:$KB$369,0), MATCH(CR$4,연료전지_원본!$KB$4:$KX$4,0))*1000</f>
        <v>2106</v>
      </c>
      <c r="CS54" s="250">
        <f>INDEX(연료전지_원본!$KB$4:$KX$369,MATCH($A54,연료전지_원본!$KB$4:$KB$369,0), MATCH(CS$4,연료전지_원본!$KB$4:$KX$4,0))*1000</f>
        <v>2107</v>
      </c>
      <c r="CT54" s="250">
        <f>INDEX(연료전지_원본!$KB$4:$KX$369,MATCH($A54,연료전지_원본!$KB$4:$KB$369,0), MATCH(CT$4,연료전지_원본!$KB$4:$KX$4,0))*1000</f>
        <v>2103</v>
      </c>
      <c r="CU54" s="250">
        <f>INDEX(연료전지_원본!$KB$4:$KX$369,MATCH($A54,연료전지_원본!$KB$4:$KB$369,0), MATCH(CU$4,연료전지_원본!$KB$4:$KX$4,0))*1000</f>
        <v>2106</v>
      </c>
      <c r="CV54" s="250">
        <f>INDEX(연료전지_원본!$KB$4:$KX$369,MATCH($A54,연료전지_원본!$KB$4:$KB$369,0), MATCH(CV$4,연료전지_원본!$KB$4:$KX$4,0))*1000</f>
        <v>2107</v>
      </c>
      <c r="CW54" s="250">
        <f>INDEX(연료전지_원본!$KB$4:$KX$369,MATCH($A54,연료전지_원본!$KB$4:$KB$369,0), MATCH(CW$4,연료전지_원본!$KB$4:$KX$4,0))*1000</f>
        <v>653</v>
      </c>
      <c r="CX54" s="250">
        <f>INDEX(연료전지_원본!$KB$4:$KX$369,MATCH($A54,연료전지_원본!$KB$4:$KB$369,0), MATCH(CX$4,연료전지_원본!$KB$4:$KX$4,0))*1000</f>
        <v>2106</v>
      </c>
      <c r="CY54" s="255">
        <f>INDEX(연료전지_원본!$KB$4:$KX$369,MATCH($A54,연료전지_원본!$KB$4:$KB$369,0), MATCH(CY$4,연료전지_원본!$KB$4:$KX$4,0))*1000</f>
        <v>2070</v>
      </c>
      <c r="CZ54" s="185">
        <v>10.142999999999972</v>
      </c>
      <c r="DA54" s="30">
        <v>10.125</v>
      </c>
      <c r="DB54" s="30">
        <v>10.105000000000018</v>
      </c>
      <c r="DC54" s="30">
        <v>10.120000000000005</v>
      </c>
      <c r="DD54" s="30">
        <v>10.149000000000001</v>
      </c>
      <c r="DE54" s="30">
        <v>10.15300000000002</v>
      </c>
      <c r="DF54" s="30">
        <v>10.115000000000009</v>
      </c>
      <c r="DG54" s="30">
        <v>10.117999999999995</v>
      </c>
      <c r="DH54" s="30">
        <v>10.158000000000015</v>
      </c>
      <c r="DI54" s="30">
        <v>10.144000000000005</v>
      </c>
      <c r="DJ54" s="30">
        <v>10.158999999999992</v>
      </c>
      <c r="DK54" s="30">
        <v>10.153999999999996</v>
      </c>
      <c r="DL54" s="30">
        <v>10.144000000000005</v>
      </c>
      <c r="DM54" s="30">
        <v>10.132999999999981</v>
      </c>
      <c r="DN54" s="30">
        <v>10.140999999999991</v>
      </c>
      <c r="DO54" s="30">
        <v>10.144999999999982</v>
      </c>
      <c r="DP54" s="30">
        <v>10.123999999999995</v>
      </c>
      <c r="DQ54" s="30">
        <v>10.140000000000043</v>
      </c>
      <c r="DR54" s="30">
        <v>10.146000000000015</v>
      </c>
      <c r="DS54" s="30">
        <v>3.1440000000000055</v>
      </c>
      <c r="DT54" s="30">
        <v>10.138999999999982</v>
      </c>
      <c r="DU54" s="30">
        <v>9.967000000000013</v>
      </c>
      <c r="DV54" s="30">
        <f t="shared" si="297"/>
        <v>215.86600000000004</v>
      </c>
    </row>
    <row r="55" spans="1:126">
      <c r="A55" s="6">
        <v>46072</v>
      </c>
      <c r="B55" s="15">
        <f>운전실적_원본!B55</f>
        <v>651.20000000000005</v>
      </c>
      <c r="C55" s="16">
        <f t="shared" si="298"/>
        <v>0</v>
      </c>
      <c r="D55" s="12">
        <f>운전실적_원본!C55</f>
        <v>249686</v>
      </c>
      <c r="E55" s="12">
        <f t="shared" si="299"/>
        <v>95</v>
      </c>
      <c r="F55" s="12">
        <f>운전실적_원본!D55</f>
        <v>241201</v>
      </c>
      <c r="G55" s="16">
        <f t="shared" si="300"/>
        <v>23</v>
      </c>
      <c r="H55" s="15">
        <f>운전실적_원본!E55</f>
        <v>17241.18</v>
      </c>
      <c r="I55" s="16">
        <f t="shared" si="301"/>
        <v>3.7900000000008731</v>
      </c>
      <c r="J55" s="15">
        <f>운전실적_원본!F55</f>
        <v>15259.02</v>
      </c>
      <c r="K55" s="16">
        <f t="shared" si="301"/>
        <v>20.640000000001237</v>
      </c>
      <c r="L55" s="32">
        <f>운전실적_원본!G55</f>
        <v>23.7</v>
      </c>
      <c r="M55" s="31">
        <f t="shared" ref="M55" si="378">IF(OR(LEN(L55)=0,L55=0),"",L55-L54)</f>
        <v>1</v>
      </c>
      <c r="N55" s="15">
        <f>운전실적_원본!H55</f>
        <v>38982</v>
      </c>
      <c r="O55" s="16">
        <f t="shared" ref="O55" si="379">IF(OR(LEN(N55)=0,N55=0),"",N55-N54)</f>
        <v>85</v>
      </c>
      <c r="P55" s="15">
        <f>운전실적_원본!I55</f>
        <v>23104</v>
      </c>
      <c r="Q55" s="16">
        <f t="shared" ref="Q55" si="380">IF(OR(LEN(P55)=0,P55=0),"",P55-P54)</f>
        <v>254</v>
      </c>
      <c r="R55" s="18">
        <f>운전실적_원본!J55</f>
        <v>33.840000000000003</v>
      </c>
      <c r="S55" s="19">
        <f t="shared" ref="S55" si="381">IF(OR(LEN(R55)=0,R55=0),"",R55-R54)</f>
        <v>1.0000000000005116E-2</v>
      </c>
      <c r="T55" s="18">
        <f>운전실적_원본!K55</f>
        <v>33.15</v>
      </c>
      <c r="U55" s="19">
        <f t="shared" si="306"/>
        <v>-9.0000000000003411E-2</v>
      </c>
      <c r="V55" s="12">
        <f>운전실적_원본!L55</f>
        <v>8375</v>
      </c>
      <c r="W55" s="16">
        <f t="shared" ref="W55" si="382">IF(OR(LEN(V55)=0,V55=0),"",V55-V54)</f>
        <v>104</v>
      </c>
      <c r="X55" s="10">
        <f>운전실적_원본!M55</f>
        <v>164397.25</v>
      </c>
      <c r="Y55" s="10">
        <f>운전실적_원본!N55</f>
        <v>0</v>
      </c>
      <c r="Z55" s="10">
        <f>운전실적_원본!O55</f>
        <v>0</v>
      </c>
      <c r="AA55" s="10">
        <f>운전실적_원본!P55</f>
        <v>0</v>
      </c>
      <c r="AB55" s="10">
        <f>운전실적_원본!Q55</f>
        <v>0</v>
      </c>
      <c r="AC55" s="20">
        <f>운전실적_원본!R55</f>
        <v>0</v>
      </c>
      <c r="AD55" s="109">
        <f>운전실적_원본!S55</f>
        <v>24</v>
      </c>
      <c r="AE55" s="110">
        <f>운전실적_원본!T55</f>
        <v>0</v>
      </c>
      <c r="AF55" s="110">
        <f>운전실적_원본!U55</f>
        <v>0</v>
      </c>
      <c r="AG55" s="110">
        <f>운전실적_원본!V55</f>
        <v>0</v>
      </c>
      <c r="AH55" s="109">
        <f t="shared" si="1"/>
        <v>24</v>
      </c>
      <c r="AI55" s="110">
        <f t="shared" si="125"/>
        <v>0</v>
      </c>
      <c r="AJ55" s="110">
        <f>운전실적_원본!Y55</f>
        <v>0</v>
      </c>
      <c r="AK55" s="110">
        <f>운전실적_원본!Z55</f>
        <v>0</v>
      </c>
      <c r="AL55" s="106">
        <v>46072</v>
      </c>
      <c r="AM55" s="105">
        <f>AL56</f>
        <v>46073</v>
      </c>
      <c r="AN55" s="105"/>
      <c r="AO55" s="105"/>
      <c r="AP55" s="105"/>
      <c r="AQ55" s="108"/>
      <c r="AR55" s="105"/>
      <c r="AS55" s="105"/>
      <c r="AT55" s="102"/>
      <c r="AU55" s="102"/>
      <c r="AV55" s="102"/>
      <c r="AW55" s="102"/>
      <c r="AX55" s="32">
        <f>운전실적_원본!W55</f>
        <v>1056</v>
      </c>
      <c r="AY55" s="11">
        <f>운전실적_원본!X55</f>
        <v>0</v>
      </c>
      <c r="AZ55" s="11">
        <f>운전실적_원본!Y55</f>
        <v>0</v>
      </c>
      <c r="BA55" s="11">
        <f>운전실적_원본!Z55</f>
        <v>0</v>
      </c>
      <c r="BB55" s="11">
        <f>운전실적_원본!AA55</f>
        <v>0</v>
      </c>
      <c r="BC55" s="11">
        <f>운전실적_원본!AB55</f>
        <v>1056</v>
      </c>
      <c r="BD55" s="32">
        <f t="shared" si="15"/>
        <v>44</v>
      </c>
      <c r="BE55" s="11">
        <f t="shared" si="2"/>
        <v>0.85619770383343063</v>
      </c>
      <c r="BF55" s="11">
        <f>운전실적_원본!AE55</f>
        <v>0</v>
      </c>
      <c r="BG55" s="31">
        <f t="shared" si="0"/>
        <v>0</v>
      </c>
      <c r="BH55" s="241">
        <f>INDEX(연료전지_원본!$A$4:$KY$369,MATCH($A55,연료전지_원본!$A$4:$A$369,0),MATCH($BH$4,연료전지_원본!$A$4:$KY$4,0))</f>
        <v>24</v>
      </c>
      <c r="BI55" s="241">
        <f>INDEX(연료전지_원본!$A$4:$KY$369,MATCH($A55,연료전지_원본!$A$4:$A$369,0),MATCH($BI$4,연료전지_원본!$A$4:$KY$4,0))</f>
        <v>24</v>
      </c>
      <c r="BJ55" s="241">
        <f>INDEX(연료전지_원본!$A$4:$KY$369,MATCH($A55,연료전지_원본!$A$4:$A$369,0),MATCH($BJ$4,연료전지_원본!$A$4:$KY$4,0))</f>
        <v>24</v>
      </c>
      <c r="BK55" s="241">
        <f>INDEX(연료전지_원본!$A$4:$KY$369,MATCH($A55,연료전지_원본!$A$4:$A$369,0),MATCH($BK$4,연료전지_원본!$A$4:$KY$4,0))</f>
        <v>24</v>
      </c>
      <c r="BL55" s="241">
        <f>INDEX(연료전지_원본!$A$4:$KY$369,MATCH($A55,연료전지_원본!$A$4:$A$369,0),MATCH($BL$4,연료전지_원본!$A$4:$KY$4,0))</f>
        <v>24</v>
      </c>
      <c r="BM55" s="241">
        <f>INDEX(연료전지_원본!$A$4:$KY$369,MATCH($A55,연료전지_원본!$A$4:$A$369,0),MATCH($BM$4,연료전지_원본!$A$4:$KY$4,0))</f>
        <v>24</v>
      </c>
      <c r="BN55" s="241">
        <f>INDEX(연료전지_원본!$A$4:$KY$369,MATCH($A55,연료전지_원본!$A$4:$A$369,0),MATCH($BN$4,연료전지_원본!$A$4:$KY$4,0))</f>
        <v>24</v>
      </c>
      <c r="BO55" s="241">
        <f>INDEX(연료전지_원본!$A$4:$KY$369,MATCH($A55,연료전지_원본!$A$4:$A$369,0),MATCH($BO$4,연료전지_원본!$A$4:$KY$4,0))</f>
        <v>24</v>
      </c>
      <c r="BP55" s="241">
        <f>INDEX(연료전지_원본!$A$4:$KY$369,MATCH($A55,연료전지_원본!$A$4:$A$369,0),MATCH($BP$4,연료전지_원본!$A$4:$KY$4,0))</f>
        <v>24</v>
      </c>
      <c r="BQ55" s="241">
        <f>INDEX(연료전지_원본!$A$4:$KY$369,MATCH($A55,연료전지_원본!$A$4:$A$369,0),MATCH($BQ$4,연료전지_원본!$A$4:$KY$4,0))</f>
        <v>24</v>
      </c>
      <c r="BR55" s="241">
        <f>INDEX(연료전지_원본!$A$4:$KY$369,MATCH($A55,연료전지_원본!$A$4:$A$369,0),MATCH($BR$4,연료전지_원본!$A$4:$KY$4,0))</f>
        <v>24</v>
      </c>
      <c r="BS55" s="241">
        <f>INDEX(연료전지_원본!$A$4:$KY$369,MATCH($A55,연료전지_원본!$A$4:$A$369,0),MATCH($BS$4,연료전지_원본!$A$4:$KY$4,0))</f>
        <v>24</v>
      </c>
      <c r="BT55" s="241">
        <f>INDEX(연료전지_원본!$A$4:$KY$369,MATCH($A55,연료전지_원본!$A$4:$A$369,0),MATCH($BT$4,연료전지_원본!$A$4:$KY$4,0))</f>
        <v>24</v>
      </c>
      <c r="BU55" s="241">
        <f>INDEX(연료전지_원본!$A$4:$KY$369,MATCH($A55,연료전지_원본!$A$4:$A$369,0),MATCH($BU$4,연료전지_원본!$A$4:$KY$4,0))</f>
        <v>24</v>
      </c>
      <c r="BV55" s="241">
        <f>INDEX(연료전지_원본!$A$4:$KY$369,MATCH($A55,연료전지_원본!$A$4:$A$369,0),MATCH($BV$4,연료전지_원본!$A$4:$KY$4,0))</f>
        <v>24</v>
      </c>
      <c r="BW55" s="241">
        <f>INDEX(연료전지_원본!$A$4:$KY$369,MATCH($A55,연료전지_원본!$A$4:$A$369,0),MATCH($BW$4,연료전지_원본!$A$4:$KY$4,0))</f>
        <v>24</v>
      </c>
      <c r="BX55" s="241">
        <f>INDEX(연료전지_원본!$A$4:$KY$369,MATCH($A55,연료전지_원본!$A$4:$A$369,0),MATCH($BX$4,연료전지_원본!$A$4:$KY$4,0))</f>
        <v>24</v>
      </c>
      <c r="BY55" s="241">
        <f>INDEX(연료전지_원본!$A$4:$KY$369,MATCH($A55,연료전지_원본!$A$4:$A$369,0),MATCH($BY$4,연료전지_원본!$A$4:$KY$4,0))</f>
        <v>11.333333333333332</v>
      </c>
      <c r="BZ55" s="241">
        <f>INDEX(연료전지_원본!$A$4:$KY$369,MATCH($A55,연료전지_원본!$A$4:$A$369,0),MATCH($BZ$4,연료전지_원본!$A$4:$KY$4,0))</f>
        <v>24</v>
      </c>
      <c r="CA55" s="241">
        <f>INDEX(연료전지_원본!$A$4:$KY$369,MATCH($A55,연료전지_원본!$A$4:$A$369,0),MATCH($CA$4,연료전지_원본!$A$4:$KY$4,0))</f>
        <v>0.33333333333333481</v>
      </c>
      <c r="CB55" s="241">
        <f>INDEX(연료전지_원본!$A$4:$KY$369,MATCH($A55,연료전지_원본!$A$4:$A$369,0),MATCH($CB$4,연료전지_원본!$A$4:$KY$4,0))</f>
        <v>24</v>
      </c>
      <c r="CC55" s="242">
        <f>INDEX(연료전지_원본!$A$4:$KY$369,MATCH($A55,연료전지_원본!$A$4:$A$369,0),MATCH($CC$4,연료전지_원본!$A$4:$KY$4,0))</f>
        <v>24</v>
      </c>
      <c r="CD55" s="254">
        <f>INDEX(연료전지_원본!$KB$4:$KX$369,MATCH($A55,연료전지_원본!$KB$4:$KB$369,0), MATCH(CD$4,연료전지_원본!$KB$4:$KX$4,0))*1000</f>
        <v>2143</v>
      </c>
      <c r="CE55" s="250">
        <f>INDEX(연료전지_원본!$KB$4:$KX$369,MATCH($A55,연료전지_원본!$KB$4:$KB$369,0), MATCH(CE$4,연료전지_원본!$KB$4:$KX$4,0))*1000</f>
        <v>2140</v>
      </c>
      <c r="CF55" s="250">
        <f>INDEX(연료전지_원본!$KB$4:$KX$369,MATCH($A55,연료전지_원본!$KB$4:$KB$369,0), MATCH(CF$4,연료전지_원본!$KB$4:$KX$4,0))*1000</f>
        <v>2135</v>
      </c>
      <c r="CG55" s="250">
        <f>INDEX(연료전지_원본!$KB$4:$KX$369,MATCH($A55,연료전지_원본!$KB$4:$KB$369,0), MATCH(CG$4,연료전지_원본!$KB$4:$KX$4,0))*1000</f>
        <v>2138</v>
      </c>
      <c r="CH55" s="250">
        <f>INDEX(연료전지_원본!$KB$4:$KX$369,MATCH($A55,연료전지_원본!$KB$4:$KB$369,0), MATCH(CH$4,연료전지_원본!$KB$4:$KX$4,0))*1000</f>
        <v>2144</v>
      </c>
      <c r="CI55" s="250">
        <f>INDEX(연료전지_원본!$KB$4:$KX$369,MATCH($A55,연료전지_원본!$KB$4:$KB$369,0), MATCH(CI$4,연료전지_원본!$KB$4:$KX$4,0))*1000</f>
        <v>2144</v>
      </c>
      <c r="CJ55" s="250">
        <f>INDEX(연료전지_원본!$KB$4:$KX$369,MATCH($A55,연료전지_원본!$KB$4:$KB$369,0), MATCH(CJ$4,연료전지_원본!$KB$4:$KX$4,0))*1000</f>
        <v>2137</v>
      </c>
      <c r="CK55" s="250">
        <f>INDEX(연료전지_원본!$KB$4:$KX$369,MATCH($A55,연료전지_원본!$KB$4:$KB$369,0), MATCH(CK$4,연료전지_원본!$KB$4:$KX$4,0))*1000</f>
        <v>2137</v>
      </c>
      <c r="CL55" s="250">
        <f>INDEX(연료전지_원본!$KB$4:$KX$369,MATCH($A55,연료전지_원본!$KB$4:$KB$369,0), MATCH(CL$4,연료전지_원본!$KB$4:$KX$4,0))*1000</f>
        <v>2147</v>
      </c>
      <c r="CM55" s="250">
        <f>INDEX(연료전지_원본!$KB$4:$KX$369,MATCH($A55,연료전지_원본!$KB$4:$KB$369,0), MATCH(CM$4,연료전지_원본!$KB$4:$KX$4,0))*1000</f>
        <v>2143</v>
      </c>
      <c r="CN55" s="250">
        <f>INDEX(연료전지_원본!$KB$4:$KX$369,MATCH($A55,연료전지_원본!$KB$4:$KB$369,0), MATCH(CN$4,연료전지_원본!$KB$4:$KX$4,0))*1000</f>
        <v>2146</v>
      </c>
      <c r="CO55" s="250">
        <f>INDEX(연료전지_원본!$KB$4:$KX$369,MATCH($A55,연료전지_원본!$KB$4:$KB$369,0), MATCH(CO$4,연료전지_원본!$KB$4:$KX$4,0))*1000</f>
        <v>2145</v>
      </c>
      <c r="CP55" s="250">
        <f>INDEX(연료전지_원본!$KB$4:$KX$369,MATCH($A55,연료전지_원본!$KB$4:$KB$369,0), MATCH(CP$4,연료전지_원본!$KB$4:$KX$4,0))*1000</f>
        <v>2143</v>
      </c>
      <c r="CQ55" s="250">
        <f>INDEX(연료전지_원본!$KB$4:$KX$369,MATCH($A55,연료전지_원본!$KB$4:$KB$369,0), MATCH(CQ$4,연료전지_원본!$KB$4:$KX$4,0))*1000</f>
        <v>2141</v>
      </c>
      <c r="CR55" s="250">
        <f>INDEX(연료전지_원본!$KB$4:$KX$369,MATCH($A55,연료전지_원본!$KB$4:$KB$369,0), MATCH(CR$4,연료전지_원본!$KB$4:$KX$4,0))*1000</f>
        <v>2143</v>
      </c>
      <c r="CS55" s="250">
        <f>INDEX(연료전지_원본!$KB$4:$KX$369,MATCH($A55,연료전지_원본!$KB$4:$KB$369,0), MATCH(CS$4,연료전지_원본!$KB$4:$KX$4,0))*1000</f>
        <v>2144</v>
      </c>
      <c r="CT55" s="250">
        <f>INDEX(연료전지_원본!$KB$4:$KX$369,MATCH($A55,연료전지_원본!$KB$4:$KB$369,0), MATCH(CT$4,연료전지_원본!$KB$4:$KX$4,0))*1000</f>
        <v>2140</v>
      </c>
      <c r="CU55" s="250">
        <f>INDEX(연료전지_원본!$KB$4:$KX$369,MATCH($A55,연료전지_원본!$KB$4:$KB$369,0), MATCH(CU$4,연료전지_원본!$KB$4:$KX$4,0))*1000</f>
        <v>997</v>
      </c>
      <c r="CV55" s="250">
        <f>INDEX(연료전지_원본!$KB$4:$KX$369,MATCH($A55,연료전지_원본!$KB$4:$KB$369,0), MATCH(CV$4,연료전지_원본!$KB$4:$KX$4,0))*1000</f>
        <v>2144</v>
      </c>
      <c r="CW55" s="250">
        <f>INDEX(연료전지_원본!$KB$4:$KX$369,MATCH($A55,연료전지_원본!$KB$4:$KB$369,0), MATCH(CW$4,연료전지_원본!$KB$4:$KX$4,0))*1000</f>
        <v>0</v>
      </c>
      <c r="CX55" s="250">
        <f>INDEX(연료전지_원본!$KB$4:$KX$369,MATCH($A55,연료전지_원본!$KB$4:$KB$369,0), MATCH(CX$4,연료전지_원본!$KB$4:$KX$4,0))*1000</f>
        <v>2143</v>
      </c>
      <c r="CY55" s="255">
        <f>INDEX(연료전지_원본!$KB$4:$KX$369,MATCH($A55,연료전지_원본!$KB$4:$KB$369,0), MATCH(CY$4,연료전지_원본!$KB$4:$KX$4,0))*1000</f>
        <v>2151</v>
      </c>
      <c r="CZ55" s="185">
        <v>10.146000000000015</v>
      </c>
      <c r="DA55" s="30">
        <v>10.132999999999981</v>
      </c>
      <c r="DB55" s="30">
        <v>10.10899999999998</v>
      </c>
      <c r="DC55" s="30">
        <v>10.125</v>
      </c>
      <c r="DD55" s="30">
        <v>10.152999999999963</v>
      </c>
      <c r="DE55" s="30">
        <v>10.154999999999973</v>
      </c>
      <c r="DF55" s="30">
        <v>10.120999999999981</v>
      </c>
      <c r="DG55" s="30">
        <v>10.120999999999981</v>
      </c>
      <c r="DH55" s="30">
        <v>10.164999999999964</v>
      </c>
      <c r="DI55" s="30">
        <v>10.147999999999968</v>
      </c>
      <c r="DJ55" s="30">
        <v>10.164000000000016</v>
      </c>
      <c r="DK55" s="30">
        <v>10.160000000000025</v>
      </c>
      <c r="DL55" s="30">
        <v>10.148000000000025</v>
      </c>
      <c r="DM55" s="30">
        <v>10.139999999999986</v>
      </c>
      <c r="DN55" s="30">
        <v>10.14700000000002</v>
      </c>
      <c r="DO55" s="30">
        <v>10.152000000000015</v>
      </c>
      <c r="DP55" s="30">
        <v>10.132999999999981</v>
      </c>
      <c r="DQ55" s="30">
        <v>4.72199999999998</v>
      </c>
      <c r="DR55" s="30">
        <v>10.150999999999954</v>
      </c>
      <c r="DS55" s="30">
        <v>0</v>
      </c>
      <c r="DT55" s="30">
        <v>10.147999999999996</v>
      </c>
      <c r="DU55" s="30">
        <v>10.186999999999983</v>
      </c>
      <c r="DV55" s="30">
        <f t="shared" si="297"/>
        <v>207.62799999999979</v>
      </c>
    </row>
    <row r="56" spans="1:126">
      <c r="A56" s="6">
        <v>46073</v>
      </c>
      <c r="B56" s="15">
        <f>운전실적_원본!B56</f>
        <v>651.20000000000005</v>
      </c>
      <c r="C56" s="16">
        <f t="shared" si="298"/>
        <v>0</v>
      </c>
      <c r="D56" s="12">
        <f>운전실적_원본!C56</f>
        <v>249731</v>
      </c>
      <c r="E56" s="12">
        <f t="shared" si="299"/>
        <v>45</v>
      </c>
      <c r="F56" s="12">
        <f>운전실적_원본!D56</f>
        <v>241250</v>
      </c>
      <c r="G56" s="16">
        <f t="shared" si="300"/>
        <v>49</v>
      </c>
      <c r="H56" s="15">
        <f>운전실적_원본!E56</f>
        <v>17245.73</v>
      </c>
      <c r="I56" s="16">
        <f t="shared" si="301"/>
        <v>4.5499999999992724</v>
      </c>
      <c r="J56" s="15">
        <f>운전실적_원본!F56</f>
        <v>15283.01</v>
      </c>
      <c r="K56" s="16">
        <f t="shared" si="301"/>
        <v>23.989999999999782</v>
      </c>
      <c r="L56" s="32">
        <f>운전실적_원본!G56</f>
        <v>25</v>
      </c>
      <c r="M56" s="31">
        <f t="shared" ref="M56" si="383">IF(OR(LEN(L56)=0,L56=0),"",L56-L55)</f>
        <v>1.3000000000000007</v>
      </c>
      <c r="N56" s="15">
        <f>운전실적_원본!H56</f>
        <v>39109</v>
      </c>
      <c r="O56" s="16">
        <f t="shared" ref="O56" si="384">IF(OR(LEN(N56)=0,N56=0),"",N56-N55)</f>
        <v>127</v>
      </c>
      <c r="P56" s="15">
        <f>운전실적_원본!I56</f>
        <v>23260</v>
      </c>
      <c r="Q56" s="16">
        <f t="shared" ref="Q56" si="385">IF(OR(LEN(P56)=0,P56=0),"",P56-P55)</f>
        <v>156</v>
      </c>
      <c r="R56" s="18">
        <f>운전실적_원본!J56</f>
        <v>33.78</v>
      </c>
      <c r="S56" s="19">
        <f t="shared" ref="S56" si="386">IF(OR(LEN(R56)=0,R56=0),"",R56-R55)</f>
        <v>-6.0000000000002274E-2</v>
      </c>
      <c r="T56" s="18">
        <f>운전실적_원본!K56</f>
        <v>33.14</v>
      </c>
      <c r="U56" s="19">
        <f t="shared" si="306"/>
        <v>-9.9999999999980105E-3</v>
      </c>
      <c r="V56" s="12">
        <f>운전실적_원본!L56</f>
        <v>8168</v>
      </c>
      <c r="W56" s="16">
        <f t="shared" ref="W56" si="387">IF(OR(LEN(V56)=0,V56=0),"",V56-V55)</f>
        <v>-207</v>
      </c>
      <c r="X56" s="10">
        <f>운전실적_원본!M56</f>
        <v>171067.78999999911</v>
      </c>
      <c r="Y56" s="10">
        <f>운전실적_원본!N56</f>
        <v>0</v>
      </c>
      <c r="Z56" s="10">
        <f>운전실적_원본!O56</f>
        <v>0</v>
      </c>
      <c r="AA56" s="10">
        <f>운전실적_원본!P56</f>
        <v>0</v>
      </c>
      <c r="AB56" s="10">
        <f>운전실적_원본!Q56</f>
        <v>0</v>
      </c>
      <c r="AC56" s="20">
        <f>운전실적_원본!R56</f>
        <v>0</v>
      </c>
      <c r="AD56" s="109">
        <f>운전실적_원본!S56</f>
        <v>24</v>
      </c>
      <c r="AE56" s="110">
        <f>운전실적_원본!T56</f>
        <v>0</v>
      </c>
      <c r="AF56" s="110">
        <f>운전실적_원본!U56</f>
        <v>0</v>
      </c>
      <c r="AG56" s="110">
        <f>운전실적_원본!V56</f>
        <v>0</v>
      </c>
      <c r="AH56" s="109">
        <f t="shared" si="1"/>
        <v>24</v>
      </c>
      <c r="AI56" s="110">
        <f t="shared" si="125"/>
        <v>0</v>
      </c>
      <c r="AJ56" s="110">
        <f>운전실적_원본!Y56</f>
        <v>0</v>
      </c>
      <c r="AK56" s="110">
        <f>운전실적_원본!Z56</f>
        <v>0</v>
      </c>
      <c r="AL56" s="106">
        <v>46073</v>
      </c>
      <c r="AM56" s="105">
        <f>AL57</f>
        <v>46074</v>
      </c>
      <c r="AN56" s="105"/>
      <c r="AO56" s="105"/>
      <c r="AP56" s="105"/>
      <c r="AQ56" s="108"/>
      <c r="AR56" s="105"/>
      <c r="AS56" s="105"/>
      <c r="AT56" s="102"/>
      <c r="AU56" s="102"/>
      <c r="AV56" s="102"/>
      <c r="AW56" s="102"/>
      <c r="AX56" s="32">
        <f>운전실적_원본!W56</f>
        <v>1099</v>
      </c>
      <c r="AY56" s="11">
        <f>운전실적_원본!X56</f>
        <v>0</v>
      </c>
      <c r="AZ56" s="11">
        <f>운전실적_원본!Y56</f>
        <v>0</v>
      </c>
      <c r="BA56" s="11">
        <f>운전실적_원본!Z56</f>
        <v>0</v>
      </c>
      <c r="BB56" s="11">
        <f>운전실적_원본!AA56</f>
        <v>0</v>
      </c>
      <c r="BC56" s="11">
        <f>운전실적_원본!AB56</f>
        <v>1099</v>
      </c>
      <c r="BD56" s="32">
        <f t="shared" si="15"/>
        <v>45.791666666666664</v>
      </c>
      <c r="BE56" s="11">
        <f t="shared" si="2"/>
        <v>0.89106181487967817</v>
      </c>
      <c r="BF56" s="11">
        <f>운전실적_원본!AE56</f>
        <v>0</v>
      </c>
      <c r="BG56" s="31">
        <f t="shared" si="0"/>
        <v>0</v>
      </c>
      <c r="BH56" s="241">
        <f>INDEX(연료전지_원본!$A$4:$KY$369,MATCH($A56,연료전지_원본!$A$4:$A$369,0),MATCH($BH$4,연료전지_원본!$A$4:$KY$4,0))</f>
        <v>24</v>
      </c>
      <c r="BI56" s="241">
        <f>INDEX(연료전지_원본!$A$4:$KY$369,MATCH($A56,연료전지_원본!$A$4:$A$369,0),MATCH($BI$4,연료전지_원본!$A$4:$KY$4,0))</f>
        <v>24</v>
      </c>
      <c r="BJ56" s="241">
        <f>INDEX(연료전지_원본!$A$4:$KY$369,MATCH($A56,연료전지_원본!$A$4:$A$369,0),MATCH($BJ$4,연료전지_원본!$A$4:$KY$4,0))</f>
        <v>24</v>
      </c>
      <c r="BK56" s="241">
        <f>INDEX(연료전지_원본!$A$4:$KY$369,MATCH($A56,연료전지_원본!$A$4:$A$369,0),MATCH($BK$4,연료전지_원본!$A$4:$KY$4,0))</f>
        <v>24</v>
      </c>
      <c r="BL56" s="241">
        <f>INDEX(연료전지_원본!$A$4:$KY$369,MATCH($A56,연료전지_원본!$A$4:$A$369,0),MATCH($BL$4,연료전지_원본!$A$4:$KY$4,0))</f>
        <v>24</v>
      </c>
      <c r="BM56" s="241">
        <f>INDEX(연료전지_원본!$A$4:$KY$369,MATCH($A56,연료전지_원본!$A$4:$A$369,0),MATCH($BM$4,연료전지_원본!$A$4:$KY$4,0))</f>
        <v>24</v>
      </c>
      <c r="BN56" s="241">
        <f>INDEX(연료전지_원본!$A$4:$KY$369,MATCH($A56,연료전지_원본!$A$4:$A$369,0),MATCH($BN$4,연료전지_원본!$A$4:$KY$4,0))</f>
        <v>24</v>
      </c>
      <c r="BO56" s="241">
        <f>INDEX(연료전지_원본!$A$4:$KY$369,MATCH($A56,연료전지_원본!$A$4:$A$369,0),MATCH($BO$4,연료전지_원본!$A$4:$KY$4,0))</f>
        <v>24</v>
      </c>
      <c r="BP56" s="241">
        <f>INDEX(연료전지_원본!$A$4:$KY$369,MATCH($A56,연료전지_원본!$A$4:$A$369,0),MATCH($BP$4,연료전지_원본!$A$4:$KY$4,0))</f>
        <v>24</v>
      </c>
      <c r="BQ56" s="241">
        <f>INDEX(연료전지_원본!$A$4:$KY$369,MATCH($A56,연료전지_원본!$A$4:$A$369,0),MATCH($BQ$4,연료전지_원본!$A$4:$KY$4,0))</f>
        <v>24</v>
      </c>
      <c r="BR56" s="241">
        <f>INDEX(연료전지_원본!$A$4:$KY$369,MATCH($A56,연료전지_원본!$A$4:$A$369,0),MATCH($BR$4,연료전지_원본!$A$4:$KY$4,0))</f>
        <v>24</v>
      </c>
      <c r="BS56" s="241">
        <f>INDEX(연료전지_원본!$A$4:$KY$369,MATCH($A56,연료전지_원본!$A$4:$A$369,0),MATCH($BS$4,연료전지_원본!$A$4:$KY$4,0))</f>
        <v>24</v>
      </c>
      <c r="BT56" s="241">
        <f>INDEX(연료전지_원본!$A$4:$KY$369,MATCH($A56,연료전지_원본!$A$4:$A$369,0),MATCH($BT$4,연료전지_원본!$A$4:$KY$4,0))</f>
        <v>24</v>
      </c>
      <c r="BU56" s="241">
        <f>INDEX(연료전지_원본!$A$4:$KY$369,MATCH($A56,연료전지_원본!$A$4:$A$369,0),MATCH($BU$4,연료전지_원본!$A$4:$KY$4,0))</f>
        <v>24</v>
      </c>
      <c r="BV56" s="241">
        <f>INDEX(연료전지_원본!$A$4:$KY$369,MATCH($A56,연료전지_원본!$A$4:$A$369,0),MATCH($BV$4,연료전지_원본!$A$4:$KY$4,0))</f>
        <v>24</v>
      </c>
      <c r="BW56" s="241">
        <f>INDEX(연료전지_원본!$A$4:$KY$369,MATCH($A56,연료전지_원본!$A$4:$A$369,0),MATCH($BW$4,연료전지_원본!$A$4:$KY$4,0))</f>
        <v>24</v>
      </c>
      <c r="BX56" s="241">
        <f>INDEX(연료전지_원본!$A$4:$KY$369,MATCH($A56,연료전지_원본!$A$4:$A$369,0),MATCH($BX$4,연료전지_원본!$A$4:$KY$4,0))</f>
        <v>24</v>
      </c>
      <c r="BY56" s="241">
        <f>INDEX(연료전지_원본!$A$4:$KY$369,MATCH($A56,연료전지_원본!$A$4:$A$369,0),MATCH($BY$4,연료전지_원본!$A$4:$KY$4,0))</f>
        <v>24</v>
      </c>
      <c r="BZ56" s="241">
        <f>INDEX(연료전지_원본!$A$4:$KY$369,MATCH($A56,연료전지_원본!$A$4:$A$369,0),MATCH($BZ$4,연료전지_원본!$A$4:$KY$4,0))</f>
        <v>24</v>
      </c>
      <c r="CA56" s="241">
        <f>INDEX(연료전지_원본!$A$4:$KY$369,MATCH($A56,연료전지_원본!$A$4:$A$369,0),MATCH($CA$4,연료전지_원본!$A$4:$KY$4,0))</f>
        <v>0</v>
      </c>
      <c r="CB56" s="241">
        <f>INDEX(연료전지_원본!$A$4:$KY$369,MATCH($A56,연료전지_원본!$A$4:$A$369,0),MATCH($CB$4,연료전지_원본!$A$4:$KY$4,0))</f>
        <v>24</v>
      </c>
      <c r="CC56" s="242">
        <f>INDEX(연료전지_원본!$A$4:$KY$369,MATCH($A56,연료전지_원본!$A$4:$A$369,0),MATCH($CC$4,연료전지_원본!$A$4:$KY$4,0))</f>
        <v>24</v>
      </c>
      <c r="CD56" s="254">
        <f>INDEX(연료전지_원본!$KB$4:$KX$369,MATCH($A56,연료전지_원본!$KB$4:$KB$369,0), MATCH(CD$4,연료전지_원본!$KB$4:$KX$4,0))*1000</f>
        <v>2141</v>
      </c>
      <c r="CE56" s="250">
        <f>INDEX(연료전지_원본!$KB$4:$KX$369,MATCH($A56,연료전지_원본!$KB$4:$KB$369,0), MATCH(CE$4,연료전지_원본!$KB$4:$KX$4,0))*1000</f>
        <v>2138</v>
      </c>
      <c r="CF56" s="250">
        <f>INDEX(연료전지_원본!$KB$4:$KX$369,MATCH($A56,연료전지_원본!$KB$4:$KB$369,0), MATCH(CF$4,연료전지_원본!$KB$4:$KX$4,0))*1000</f>
        <v>2132</v>
      </c>
      <c r="CG56" s="250">
        <f>INDEX(연료전지_원본!$KB$4:$KX$369,MATCH($A56,연료전지_원본!$KB$4:$KB$369,0), MATCH(CG$4,연료전지_원본!$KB$4:$KX$4,0))*1000</f>
        <v>2136</v>
      </c>
      <c r="CH56" s="250">
        <f>INDEX(연료전지_원본!$KB$4:$KX$369,MATCH($A56,연료전지_원본!$KB$4:$KB$369,0), MATCH(CH$4,연료전지_원본!$KB$4:$KX$4,0))*1000</f>
        <v>2142</v>
      </c>
      <c r="CI56" s="250">
        <f>INDEX(연료전지_원본!$KB$4:$KX$369,MATCH($A56,연료전지_원본!$KB$4:$KB$369,0), MATCH(CI$4,연료전지_원본!$KB$4:$KX$4,0))*1000</f>
        <v>2141</v>
      </c>
      <c r="CJ56" s="250">
        <f>INDEX(연료전지_원본!$KB$4:$KX$369,MATCH($A56,연료전지_원본!$KB$4:$KB$369,0), MATCH(CJ$4,연료전지_원본!$KB$4:$KX$4,0))*1000</f>
        <v>2126</v>
      </c>
      <c r="CK56" s="250">
        <f>INDEX(연료전지_원본!$KB$4:$KX$369,MATCH($A56,연료전지_원본!$KB$4:$KB$369,0), MATCH(CK$4,연료전지_원본!$KB$4:$KX$4,0))*1000</f>
        <v>2135</v>
      </c>
      <c r="CL56" s="250">
        <f>INDEX(연료전지_원본!$KB$4:$KX$369,MATCH($A56,연료전지_원본!$KB$4:$KB$369,0), MATCH(CL$4,연료전지_원본!$KB$4:$KX$4,0))*1000</f>
        <v>2143</v>
      </c>
      <c r="CM56" s="250">
        <f>INDEX(연료전지_원본!$KB$4:$KX$369,MATCH($A56,연료전지_원본!$KB$4:$KB$369,0), MATCH(CM$4,연료전지_원본!$KB$4:$KX$4,0))*1000</f>
        <v>2141</v>
      </c>
      <c r="CN56" s="250">
        <f>INDEX(연료전지_원본!$KB$4:$KX$369,MATCH($A56,연료전지_원본!$KB$4:$KB$369,0), MATCH(CN$4,연료전지_원본!$KB$4:$KX$4,0))*1000</f>
        <v>2143</v>
      </c>
      <c r="CO56" s="250">
        <f>INDEX(연료전지_원본!$KB$4:$KX$369,MATCH($A56,연료전지_원본!$KB$4:$KB$369,0), MATCH(CO$4,연료전지_원본!$KB$4:$KX$4,0))*1000</f>
        <v>2142</v>
      </c>
      <c r="CP56" s="250">
        <f>INDEX(연료전지_원본!$KB$4:$KX$369,MATCH($A56,연료전지_원본!$KB$4:$KB$369,0), MATCH(CP$4,연료전지_원본!$KB$4:$KX$4,0))*1000</f>
        <v>2141</v>
      </c>
      <c r="CQ56" s="250">
        <f>INDEX(연료전지_원본!$KB$4:$KX$369,MATCH($A56,연료전지_원본!$KB$4:$KB$369,0), MATCH(CQ$4,연료전지_원본!$KB$4:$KX$4,0))*1000</f>
        <v>2139</v>
      </c>
      <c r="CR56" s="250">
        <f>INDEX(연료전지_원본!$KB$4:$KX$369,MATCH($A56,연료전지_원본!$KB$4:$KB$369,0), MATCH(CR$4,연료전지_원본!$KB$4:$KX$4,0))*1000</f>
        <v>2141</v>
      </c>
      <c r="CS56" s="250">
        <f>INDEX(연료전지_원본!$KB$4:$KX$369,MATCH($A56,연료전지_원본!$KB$4:$KB$369,0), MATCH(CS$4,연료전지_원본!$KB$4:$KX$4,0))*1000</f>
        <v>2142</v>
      </c>
      <c r="CT56" s="250">
        <f>INDEX(연료전지_원본!$KB$4:$KX$369,MATCH($A56,연료전지_원본!$KB$4:$KB$369,0), MATCH(CT$4,연료전지_원본!$KB$4:$KX$4,0))*1000</f>
        <v>2138</v>
      </c>
      <c r="CU56" s="250">
        <f>INDEX(연료전지_원본!$KB$4:$KX$369,MATCH($A56,연료전지_원본!$KB$4:$KB$369,0), MATCH(CU$4,연료전지_원본!$KB$4:$KX$4,0))*1000</f>
        <v>2134</v>
      </c>
      <c r="CV56" s="250">
        <f>INDEX(연료전지_원본!$KB$4:$KX$369,MATCH($A56,연료전지_원본!$KB$4:$KB$369,0), MATCH(CV$4,연료전지_원본!$KB$4:$KX$4,0))*1000</f>
        <v>2142</v>
      </c>
      <c r="CW56" s="250">
        <f>INDEX(연료전지_원본!$KB$4:$KX$369,MATCH($A56,연료전지_원본!$KB$4:$KB$369,0), MATCH(CW$4,연료전지_원본!$KB$4:$KX$4,0))*1000</f>
        <v>3</v>
      </c>
      <c r="CX56" s="250">
        <f>INDEX(연료전지_원본!$KB$4:$KX$369,MATCH($A56,연료전지_원본!$KB$4:$KB$369,0), MATCH(CX$4,연료전지_원본!$KB$4:$KX$4,0))*1000</f>
        <v>2141</v>
      </c>
      <c r="CY56" s="255">
        <f>INDEX(연료전지_원본!$KB$4:$KX$369,MATCH($A56,연료전지_원본!$KB$4:$KB$369,0), MATCH(CY$4,연료전지_원본!$KB$4:$KX$4,0))*1000</f>
        <v>2148</v>
      </c>
      <c r="CZ56" s="185">
        <v>10.129000000000019</v>
      </c>
      <c r="DA56" s="30">
        <v>10.115000000000009</v>
      </c>
      <c r="DB56" s="30">
        <v>10.086000000000013</v>
      </c>
      <c r="DC56" s="30">
        <v>10.104000000000042</v>
      </c>
      <c r="DD56" s="30">
        <v>10.134000000000015</v>
      </c>
      <c r="DE56" s="30">
        <v>10.129999999999995</v>
      </c>
      <c r="DF56" s="30">
        <v>10.057000000000016</v>
      </c>
      <c r="DG56" s="30">
        <v>10.102000000000032</v>
      </c>
      <c r="DH56" s="30">
        <v>10.138000000000034</v>
      </c>
      <c r="DI56" s="30">
        <v>10.12700000000001</v>
      </c>
      <c r="DJ56" s="30">
        <v>10.138999999999982</v>
      </c>
      <c r="DK56" s="30">
        <v>10.132999999999981</v>
      </c>
      <c r="DL56" s="30">
        <v>10.126999999999953</v>
      </c>
      <c r="DM56" s="30">
        <v>10.117000000000019</v>
      </c>
      <c r="DN56" s="30">
        <v>10.126999999999953</v>
      </c>
      <c r="DO56" s="30">
        <v>10.134999999999991</v>
      </c>
      <c r="DP56" s="30">
        <v>10.113</v>
      </c>
      <c r="DQ56" s="30">
        <v>10.09499999999997</v>
      </c>
      <c r="DR56" s="30">
        <v>10.132000000000005</v>
      </c>
      <c r="DS56" s="30">
        <v>1.3999999999981583E-2</v>
      </c>
      <c r="DT56" s="30">
        <v>10.126000000000005</v>
      </c>
      <c r="DU56" s="30">
        <v>10.163000000000011</v>
      </c>
      <c r="DV56" s="30">
        <f t="shared" si="297"/>
        <v>212.54300000000003</v>
      </c>
    </row>
    <row r="57" spans="1:126">
      <c r="A57" s="6">
        <v>46074</v>
      </c>
      <c r="B57" s="15">
        <f>운전실적_원본!B57</f>
        <v>651.20000000000005</v>
      </c>
      <c r="C57" s="16">
        <f t="shared" si="298"/>
        <v>0</v>
      </c>
      <c r="D57" s="12">
        <f>운전실적_원본!C57</f>
        <v>249731</v>
      </c>
      <c r="E57" s="12">
        <f t="shared" si="299"/>
        <v>0</v>
      </c>
      <c r="F57" s="12">
        <f>운전실적_원본!D57</f>
        <v>241316</v>
      </c>
      <c r="G57" s="16">
        <f t="shared" si="300"/>
        <v>66</v>
      </c>
      <c r="H57" s="15">
        <f>운전실적_원본!E57</f>
        <v>17247.939999999999</v>
      </c>
      <c r="I57" s="16">
        <f t="shared" si="301"/>
        <v>2.2099999999991269</v>
      </c>
      <c r="J57" s="15">
        <f>운전실적_원본!F57</f>
        <v>15307.35</v>
      </c>
      <c r="K57" s="16">
        <f t="shared" si="301"/>
        <v>24.340000000000146</v>
      </c>
      <c r="L57" s="32">
        <f>운전실적_원본!G57</f>
        <v>26.2</v>
      </c>
      <c r="M57" s="31">
        <f t="shared" ref="M57" si="388">IF(OR(LEN(L57)=0,L57=0),"",L57-L56)</f>
        <v>1.1999999999999993</v>
      </c>
      <c r="N57" s="15">
        <f>운전실적_원본!H57</f>
        <v>39337</v>
      </c>
      <c r="O57" s="16">
        <f t="shared" ref="O57" si="389">IF(OR(LEN(N57)=0,N57=0),"",N57-N56)</f>
        <v>228</v>
      </c>
      <c r="P57" s="15">
        <f>운전실적_원본!I57</f>
        <v>23411</v>
      </c>
      <c r="Q57" s="16">
        <f t="shared" ref="Q57" si="390">IF(OR(LEN(P57)=0,P57=0),"",P57-P56)</f>
        <v>151</v>
      </c>
      <c r="R57" s="18">
        <f>운전실적_원본!J57</f>
        <v>33.770000000000003</v>
      </c>
      <c r="S57" s="19">
        <f t="shared" ref="S57" si="391">IF(OR(LEN(R57)=0,R57=0),"",R57-R56)</f>
        <v>-9.9999999999980105E-3</v>
      </c>
      <c r="T57" s="18">
        <f>운전실적_원본!K57</f>
        <v>33.1</v>
      </c>
      <c r="U57" s="19">
        <f t="shared" si="306"/>
        <v>-3.9999999999999147E-2</v>
      </c>
      <c r="V57" s="12">
        <f>운전실적_원본!L57</f>
        <v>8166</v>
      </c>
      <c r="W57" s="16">
        <f t="shared" ref="W57" si="392">IF(OR(LEN(V57)=0,V57=0),"",V57-V56)</f>
        <v>-2</v>
      </c>
      <c r="X57" s="10">
        <f>운전실적_원본!M57</f>
        <v>127072.28999999911</v>
      </c>
      <c r="Y57" s="10">
        <f>운전실적_원본!N57</f>
        <v>0</v>
      </c>
      <c r="Z57" s="10">
        <f>운전실적_원본!O57</f>
        <v>0</v>
      </c>
      <c r="AA57" s="10">
        <f>운전실적_원본!P57</f>
        <v>0</v>
      </c>
      <c r="AB57" s="10">
        <f>운전실적_원본!Q57</f>
        <v>0</v>
      </c>
      <c r="AC57" s="20">
        <f>운전실적_원본!R57</f>
        <v>0</v>
      </c>
      <c r="AD57" s="109">
        <f>운전실적_원본!S57</f>
        <v>18</v>
      </c>
      <c r="AE57" s="110">
        <f>운전실적_원본!T57</f>
        <v>0</v>
      </c>
      <c r="AF57" s="110">
        <f>운전실적_원본!U57</f>
        <v>0</v>
      </c>
      <c r="AG57" s="110">
        <f>운전실적_원본!V57</f>
        <v>0</v>
      </c>
      <c r="AH57" s="109">
        <f t="shared" si="1"/>
        <v>18</v>
      </c>
      <c r="AI57" s="110">
        <f t="shared" si="125"/>
        <v>0</v>
      </c>
      <c r="AJ57" s="110">
        <f>운전실적_원본!Y57</f>
        <v>0</v>
      </c>
      <c r="AK57" s="110">
        <f>운전실적_원본!Z57</f>
        <v>0</v>
      </c>
      <c r="AL57" s="106">
        <v>46074</v>
      </c>
      <c r="AM57" s="105">
        <v>46074.368055555555</v>
      </c>
      <c r="AN57" s="105">
        <v>46074.618055555555</v>
      </c>
      <c r="AO57" s="105">
        <f>AL58</f>
        <v>46075</v>
      </c>
      <c r="AP57" s="105"/>
      <c r="AQ57" s="108"/>
      <c r="AR57" s="105"/>
      <c r="AS57" s="105"/>
      <c r="AT57" s="102"/>
      <c r="AU57" s="102"/>
      <c r="AV57" s="102"/>
      <c r="AW57" s="102"/>
      <c r="AX57" s="32">
        <f>운전실적_원본!W57</f>
        <v>814</v>
      </c>
      <c r="AY57" s="11">
        <f>운전실적_원본!X57</f>
        <v>0</v>
      </c>
      <c r="AZ57" s="11">
        <f>운전실적_원본!Y57</f>
        <v>0</v>
      </c>
      <c r="BA57" s="11">
        <f>운전실적_원본!Z57</f>
        <v>0</v>
      </c>
      <c r="BB57" s="11">
        <f>운전실적_원본!AA57</f>
        <v>0</v>
      </c>
      <c r="BC57" s="11">
        <f>운전실적_원본!AB57</f>
        <v>814</v>
      </c>
      <c r="BD57" s="32">
        <f t="shared" si="15"/>
        <v>45.222222222222221</v>
      </c>
      <c r="BE57" s="11">
        <f t="shared" si="2"/>
        <v>0.87998097338435921</v>
      </c>
      <c r="BF57" s="11">
        <f>운전실적_원본!AE57</f>
        <v>0</v>
      </c>
      <c r="BG57" s="31">
        <f t="shared" si="0"/>
        <v>0</v>
      </c>
      <c r="BH57" s="241">
        <f>INDEX(연료전지_원본!$A$4:$KY$369,MATCH($A57,연료전지_원본!$A$4:$A$369,0),MATCH($BH$4,연료전지_원본!$A$4:$KY$4,0))</f>
        <v>24</v>
      </c>
      <c r="BI57" s="241">
        <f>INDEX(연료전지_원본!$A$4:$KY$369,MATCH($A57,연료전지_원본!$A$4:$A$369,0),MATCH($BI$4,연료전지_원본!$A$4:$KY$4,0))</f>
        <v>24</v>
      </c>
      <c r="BJ57" s="241">
        <f>INDEX(연료전지_원본!$A$4:$KY$369,MATCH($A57,연료전지_원본!$A$4:$A$369,0),MATCH($BJ$4,연료전지_원본!$A$4:$KY$4,0))</f>
        <v>24</v>
      </c>
      <c r="BK57" s="241">
        <f>INDEX(연료전지_원본!$A$4:$KY$369,MATCH($A57,연료전지_원본!$A$4:$A$369,0),MATCH($BK$4,연료전지_원본!$A$4:$KY$4,0))</f>
        <v>24</v>
      </c>
      <c r="BL57" s="241">
        <f>INDEX(연료전지_원본!$A$4:$KY$369,MATCH($A57,연료전지_원본!$A$4:$A$369,0),MATCH($BL$4,연료전지_원본!$A$4:$KY$4,0))</f>
        <v>24</v>
      </c>
      <c r="BM57" s="241">
        <f>INDEX(연료전지_원본!$A$4:$KY$369,MATCH($A57,연료전지_원본!$A$4:$A$369,0),MATCH($BM$4,연료전지_원본!$A$4:$KY$4,0))</f>
        <v>24</v>
      </c>
      <c r="BN57" s="241">
        <f>INDEX(연료전지_원본!$A$4:$KY$369,MATCH($A57,연료전지_원본!$A$4:$A$369,0),MATCH($BN$4,연료전지_원본!$A$4:$KY$4,0))</f>
        <v>24</v>
      </c>
      <c r="BO57" s="241">
        <f>INDEX(연료전지_원본!$A$4:$KY$369,MATCH($A57,연료전지_원본!$A$4:$A$369,0),MATCH($BO$4,연료전지_원본!$A$4:$KY$4,0))</f>
        <v>24</v>
      </c>
      <c r="BP57" s="241">
        <f>INDEX(연료전지_원본!$A$4:$KY$369,MATCH($A57,연료전지_원본!$A$4:$A$369,0),MATCH($BP$4,연료전지_원본!$A$4:$KY$4,0))</f>
        <v>24</v>
      </c>
      <c r="BQ57" s="241">
        <f>INDEX(연료전지_원본!$A$4:$KY$369,MATCH($A57,연료전지_원본!$A$4:$A$369,0),MATCH($BQ$4,연료전지_원본!$A$4:$KY$4,0))</f>
        <v>24</v>
      </c>
      <c r="BR57" s="241">
        <f>INDEX(연료전지_원본!$A$4:$KY$369,MATCH($A57,연료전지_원본!$A$4:$A$369,0),MATCH($BR$4,연료전지_원본!$A$4:$KY$4,0))</f>
        <v>24</v>
      </c>
      <c r="BS57" s="241">
        <f>INDEX(연료전지_원본!$A$4:$KY$369,MATCH($A57,연료전지_원본!$A$4:$A$369,0),MATCH($BS$4,연료전지_원본!$A$4:$KY$4,0))</f>
        <v>24</v>
      </c>
      <c r="BT57" s="241">
        <f>INDEX(연료전지_원본!$A$4:$KY$369,MATCH($A57,연료전지_원본!$A$4:$A$369,0),MATCH($BT$4,연료전지_원본!$A$4:$KY$4,0))</f>
        <v>24</v>
      </c>
      <c r="BU57" s="241">
        <f>INDEX(연료전지_원본!$A$4:$KY$369,MATCH($A57,연료전지_원본!$A$4:$A$369,0),MATCH($BU$4,연료전지_원본!$A$4:$KY$4,0))</f>
        <v>24</v>
      </c>
      <c r="BV57" s="241">
        <f>INDEX(연료전지_원본!$A$4:$KY$369,MATCH($A57,연료전지_원본!$A$4:$A$369,0),MATCH($BV$4,연료전지_원본!$A$4:$KY$4,0))</f>
        <v>24</v>
      </c>
      <c r="BW57" s="241">
        <f>INDEX(연료전지_원본!$A$4:$KY$369,MATCH($A57,연료전지_원본!$A$4:$A$369,0),MATCH($BW$4,연료전지_원본!$A$4:$KY$4,0))</f>
        <v>24</v>
      </c>
      <c r="BX57" s="241">
        <f>INDEX(연료전지_원본!$A$4:$KY$369,MATCH($A57,연료전지_원본!$A$4:$A$369,0),MATCH($BX$4,연료전지_원본!$A$4:$KY$4,0))</f>
        <v>24</v>
      </c>
      <c r="BY57" s="241">
        <f>INDEX(연료전지_원본!$A$4:$KY$369,MATCH($A57,연료전지_원본!$A$4:$A$369,0),MATCH($BY$4,연료전지_원본!$A$4:$KY$4,0))</f>
        <v>24</v>
      </c>
      <c r="BZ57" s="241">
        <f>INDEX(연료전지_원본!$A$4:$KY$369,MATCH($A57,연료전지_원본!$A$4:$A$369,0),MATCH($BZ$4,연료전지_원본!$A$4:$KY$4,0))</f>
        <v>24</v>
      </c>
      <c r="CA57" s="241">
        <f>INDEX(연료전지_원본!$A$4:$KY$369,MATCH($A57,연료전지_원본!$A$4:$A$369,0),MATCH($CA$4,연료전지_원본!$A$4:$KY$4,0))</f>
        <v>0</v>
      </c>
      <c r="CB57" s="241">
        <f>INDEX(연료전지_원본!$A$4:$KY$369,MATCH($A57,연료전지_원본!$A$4:$A$369,0),MATCH($CB$4,연료전지_원본!$A$4:$KY$4,0))</f>
        <v>24</v>
      </c>
      <c r="CC57" s="242">
        <f>INDEX(연료전지_원본!$A$4:$KY$369,MATCH($A57,연료전지_원본!$A$4:$A$369,0),MATCH($CC$4,연료전지_원본!$A$4:$KY$4,0))</f>
        <v>24</v>
      </c>
      <c r="CD57" s="254">
        <f>INDEX(연료전지_원본!$KB$4:$KX$369,MATCH($A57,연료전지_원본!$KB$4:$KB$369,0), MATCH(CD$4,연료전지_원본!$KB$4:$KX$4,0))*1000</f>
        <v>2151</v>
      </c>
      <c r="CE57" s="250">
        <f>INDEX(연료전지_원본!$KB$4:$KX$369,MATCH($A57,연료전지_원본!$KB$4:$KB$369,0), MATCH(CE$4,연료전지_원본!$KB$4:$KX$4,0))*1000</f>
        <v>2147</v>
      </c>
      <c r="CF57" s="250">
        <f>INDEX(연료전지_원본!$KB$4:$KX$369,MATCH($A57,연료전지_원본!$KB$4:$KB$369,0), MATCH(CF$4,연료전지_원본!$KB$4:$KX$4,0))*1000</f>
        <v>2139</v>
      </c>
      <c r="CG57" s="250">
        <f>INDEX(연료전지_원본!$KB$4:$KX$369,MATCH($A57,연료전지_원본!$KB$4:$KB$369,0), MATCH(CG$4,연료전지_원본!$KB$4:$KX$4,0))*1000</f>
        <v>2145</v>
      </c>
      <c r="CH57" s="250">
        <f>INDEX(연료전지_원본!$KB$4:$KX$369,MATCH($A57,연료전지_원본!$KB$4:$KB$369,0), MATCH(CH$4,연료전지_원본!$KB$4:$KX$4,0))*1000</f>
        <v>2151</v>
      </c>
      <c r="CI57" s="250">
        <f>INDEX(연료전지_원본!$KB$4:$KX$369,MATCH($A57,연료전지_원본!$KB$4:$KB$369,0), MATCH(CI$4,연료전지_원본!$KB$4:$KX$4,0))*1000</f>
        <v>2150</v>
      </c>
      <c r="CJ57" s="250">
        <f>INDEX(연료전지_원본!$KB$4:$KX$369,MATCH($A57,연료전지_원본!$KB$4:$KB$369,0), MATCH(CJ$4,연료전지_원본!$KB$4:$KX$4,0))*1000</f>
        <v>2092</v>
      </c>
      <c r="CK57" s="250">
        <f>INDEX(연료전지_원본!$KB$4:$KX$369,MATCH($A57,연료전지_원본!$KB$4:$KB$369,0), MATCH(CK$4,연료전지_원본!$KB$4:$KX$4,0))*1000</f>
        <v>2143</v>
      </c>
      <c r="CL57" s="250">
        <f>INDEX(연료전지_원본!$KB$4:$KX$369,MATCH($A57,연료전지_원본!$KB$4:$KB$369,0), MATCH(CL$4,연료전지_원본!$KB$4:$KX$4,0))*1000</f>
        <v>2151</v>
      </c>
      <c r="CM57" s="250">
        <f>INDEX(연료전지_원본!$KB$4:$KX$369,MATCH($A57,연료전지_원본!$KB$4:$KB$369,0), MATCH(CM$4,연료전지_원본!$KB$4:$KX$4,0))*1000</f>
        <v>2151</v>
      </c>
      <c r="CN57" s="250">
        <f>INDEX(연료전지_원본!$KB$4:$KX$369,MATCH($A57,연료전지_원본!$KB$4:$KB$369,0), MATCH(CN$4,연료전지_원본!$KB$4:$KX$4,0))*1000</f>
        <v>2151</v>
      </c>
      <c r="CO57" s="250">
        <f>INDEX(연료전지_원본!$KB$4:$KX$369,MATCH($A57,연료전지_원본!$KB$4:$KB$369,0), MATCH(CO$4,연료전지_원본!$KB$4:$KX$4,0))*1000</f>
        <v>2147</v>
      </c>
      <c r="CP57" s="250">
        <f>INDEX(연료전지_원본!$KB$4:$KX$369,MATCH($A57,연료전지_원본!$KB$4:$KB$369,0), MATCH(CP$4,연료전지_원본!$KB$4:$KX$4,0))*1000</f>
        <v>2146</v>
      </c>
      <c r="CQ57" s="250">
        <f>INDEX(연료전지_원본!$KB$4:$KX$369,MATCH($A57,연료전지_원본!$KB$4:$KB$369,0), MATCH(CQ$4,연료전지_원본!$KB$4:$KX$4,0))*1000</f>
        <v>2147</v>
      </c>
      <c r="CR57" s="250">
        <f>INDEX(연료전지_원본!$KB$4:$KX$369,MATCH($A57,연료전지_원본!$KB$4:$KB$369,0), MATCH(CR$4,연료전지_원본!$KB$4:$KX$4,0))*1000</f>
        <v>2151</v>
      </c>
      <c r="CS57" s="250">
        <f>INDEX(연료전지_원본!$KB$4:$KX$369,MATCH($A57,연료전지_원본!$KB$4:$KB$369,0), MATCH(CS$4,연료전지_원본!$KB$4:$KX$4,0))*1000</f>
        <v>2153</v>
      </c>
      <c r="CT57" s="250">
        <f>INDEX(연료전지_원본!$KB$4:$KX$369,MATCH($A57,연료전지_원본!$KB$4:$KB$369,0), MATCH(CT$4,연료전지_원본!$KB$4:$KX$4,0))*1000</f>
        <v>2147</v>
      </c>
      <c r="CU57" s="250">
        <f>INDEX(연료전지_원본!$KB$4:$KX$369,MATCH($A57,연료전지_원본!$KB$4:$KB$369,0), MATCH(CU$4,연료전지_원본!$KB$4:$KX$4,0))*1000</f>
        <v>2147</v>
      </c>
      <c r="CV57" s="250">
        <f>INDEX(연료전지_원본!$KB$4:$KX$369,MATCH($A57,연료전지_원본!$KB$4:$KB$369,0), MATCH(CV$4,연료전지_원본!$KB$4:$KX$4,0))*1000</f>
        <v>2149</v>
      </c>
      <c r="CW57" s="250">
        <f>INDEX(연료전지_원본!$KB$4:$KX$369,MATCH($A57,연료전지_원본!$KB$4:$KB$369,0), MATCH(CW$4,연료전지_원본!$KB$4:$KX$4,0))*1000</f>
        <v>0</v>
      </c>
      <c r="CX57" s="250">
        <f>INDEX(연료전지_원본!$KB$4:$KX$369,MATCH($A57,연료전지_원본!$KB$4:$KB$369,0), MATCH(CX$4,연료전지_원본!$KB$4:$KX$4,0))*1000</f>
        <v>2150</v>
      </c>
      <c r="CY57" s="255">
        <f>INDEX(연료전지_원본!$KB$4:$KX$369,MATCH($A57,연료전지_원본!$KB$4:$KB$369,0), MATCH(CY$4,연료전지_원본!$KB$4:$KX$4,0))*1000</f>
        <v>2158</v>
      </c>
      <c r="CZ57" s="185">
        <v>10.111999999999966</v>
      </c>
      <c r="DA57" s="30">
        <v>10.093999999999994</v>
      </c>
      <c r="DB57" s="30">
        <v>10.055000000000007</v>
      </c>
      <c r="DC57" s="30">
        <v>10.083999999999946</v>
      </c>
      <c r="DD57" s="30">
        <v>10.115000000000009</v>
      </c>
      <c r="DE57" s="30">
        <v>10.109000000000037</v>
      </c>
      <c r="DF57" s="30">
        <v>9.8359999999999559</v>
      </c>
      <c r="DG57" s="30">
        <v>10.075999999999965</v>
      </c>
      <c r="DH57" s="30">
        <v>10.113</v>
      </c>
      <c r="DI57" s="30">
        <v>10.112000000000023</v>
      </c>
      <c r="DJ57" s="30">
        <v>10.113</v>
      </c>
      <c r="DK57" s="30">
        <v>10.093000000000018</v>
      </c>
      <c r="DL57" s="30">
        <v>10.091000000000008</v>
      </c>
      <c r="DM57" s="30">
        <v>10.093000000000018</v>
      </c>
      <c r="DN57" s="30">
        <v>10.111000000000047</v>
      </c>
      <c r="DO57" s="30">
        <v>10.120999999999981</v>
      </c>
      <c r="DP57" s="30">
        <v>10.093000000000018</v>
      </c>
      <c r="DQ57" s="30">
        <v>10.094000000000051</v>
      </c>
      <c r="DR57" s="30">
        <v>10.104000000000042</v>
      </c>
      <c r="DS57" s="30">
        <v>0</v>
      </c>
      <c r="DT57" s="30">
        <v>10.106999999999999</v>
      </c>
      <c r="DU57" s="30">
        <v>10.146999999999991</v>
      </c>
      <c r="DV57" s="30">
        <f t="shared" si="297"/>
        <v>211.87300000000008</v>
      </c>
    </row>
    <row r="58" spans="1:126">
      <c r="A58" s="6">
        <v>46075</v>
      </c>
      <c r="B58" s="15">
        <f>운전실적_원본!B58</f>
        <v>651.20000000000005</v>
      </c>
      <c r="C58" s="16">
        <f t="shared" si="298"/>
        <v>0</v>
      </c>
      <c r="D58" s="12">
        <f>운전실적_원본!C58</f>
        <v>249731</v>
      </c>
      <c r="E58" s="12">
        <f t="shared" si="299"/>
        <v>0</v>
      </c>
      <c r="F58" s="12">
        <f>운전실적_원본!D58</f>
        <v>241360</v>
      </c>
      <c r="G58" s="16">
        <f t="shared" si="300"/>
        <v>44</v>
      </c>
      <c r="H58" s="15">
        <f>운전실적_원본!E58</f>
        <v>17249.919999999998</v>
      </c>
      <c r="I58" s="16">
        <f t="shared" si="301"/>
        <v>1.9799999999995634</v>
      </c>
      <c r="J58" s="15">
        <f>운전실적_원본!F58</f>
        <v>15321.32</v>
      </c>
      <c r="K58" s="16">
        <f t="shared" si="301"/>
        <v>13.969999999999345</v>
      </c>
      <c r="L58" s="32">
        <f>운전실적_원본!G58</f>
        <v>26.8</v>
      </c>
      <c r="M58" s="31">
        <f t="shared" ref="M58" si="393">IF(OR(LEN(L58)=0,L58=0),"",L58-L57)</f>
        <v>0.60000000000000142</v>
      </c>
      <c r="N58" s="15">
        <f>운전실적_원본!H58</f>
        <v>39387</v>
      </c>
      <c r="O58" s="16">
        <f t="shared" ref="O58" si="394">IF(OR(LEN(N58)=0,N58=0),"",N58-N57)</f>
        <v>50</v>
      </c>
      <c r="P58" s="15">
        <f>운전실적_원본!I58</f>
        <v>23520</v>
      </c>
      <c r="Q58" s="16">
        <f t="shared" ref="Q58" si="395">IF(OR(LEN(P58)=0,P58=0),"",P58-P57)</f>
        <v>109</v>
      </c>
      <c r="R58" s="18">
        <f>운전실적_원본!J58</f>
        <v>33.51</v>
      </c>
      <c r="S58" s="19">
        <f t="shared" ref="S58" si="396">IF(OR(LEN(R58)=0,R58=0),"",R58-R57)</f>
        <v>-0.26000000000000512</v>
      </c>
      <c r="T58" s="18">
        <f>운전실적_원본!K58</f>
        <v>33.049999999999997</v>
      </c>
      <c r="U58" s="19">
        <f t="shared" si="306"/>
        <v>-5.0000000000004263E-2</v>
      </c>
      <c r="V58" s="12">
        <f>운전실적_원본!L58</f>
        <v>8433</v>
      </c>
      <c r="W58" s="16">
        <f t="shared" ref="W58" si="397">IF(OR(LEN(V58)=0,V58=0),"",V58-V57)</f>
        <v>267</v>
      </c>
      <c r="X58" s="10">
        <f>운전실적_원본!M58</f>
        <v>45966.5</v>
      </c>
      <c r="Y58" s="10">
        <f>운전실적_원본!N58</f>
        <v>0</v>
      </c>
      <c r="Z58" s="10">
        <f>운전실적_원본!O58</f>
        <v>0</v>
      </c>
      <c r="AA58" s="10">
        <f>운전실적_원본!P58</f>
        <v>0</v>
      </c>
      <c r="AB58" s="10">
        <f>운전실적_원본!Q58</f>
        <v>0</v>
      </c>
      <c r="AC58" s="20">
        <f>운전실적_원본!R58</f>
        <v>0</v>
      </c>
      <c r="AD58" s="109">
        <f>운전실적_원본!S58</f>
        <v>8</v>
      </c>
      <c r="AE58" s="110">
        <f>운전실적_원본!T58</f>
        <v>0</v>
      </c>
      <c r="AF58" s="110">
        <f>운전실적_원본!U58</f>
        <v>0</v>
      </c>
      <c r="AG58" s="110">
        <f>운전실적_원본!V58</f>
        <v>0</v>
      </c>
      <c r="AH58" s="109">
        <f t="shared" si="1"/>
        <v>8.0000000000582077</v>
      </c>
      <c r="AI58" s="110">
        <f t="shared" si="125"/>
        <v>0</v>
      </c>
      <c r="AJ58" s="110">
        <f>운전실적_원본!Y58</f>
        <v>0</v>
      </c>
      <c r="AK58" s="110">
        <f>운전실적_원본!Z58</f>
        <v>0</v>
      </c>
      <c r="AL58" s="106">
        <v>46075</v>
      </c>
      <c r="AM58" s="105">
        <v>46075.333333333336</v>
      </c>
      <c r="AN58" s="105"/>
      <c r="AO58" s="105"/>
      <c r="AP58" s="105"/>
      <c r="AQ58" s="108"/>
      <c r="AR58" s="105"/>
      <c r="AS58" s="105"/>
      <c r="AT58" s="102"/>
      <c r="AU58" s="102"/>
      <c r="AV58" s="102"/>
      <c r="AW58" s="102"/>
      <c r="AX58" s="32">
        <f>운전실적_원본!W58</f>
        <v>306</v>
      </c>
      <c r="AY58" s="11">
        <f>운전실적_원본!X58</f>
        <v>0</v>
      </c>
      <c r="AZ58" s="11">
        <f>운전실적_원본!Y58</f>
        <v>0</v>
      </c>
      <c r="BA58" s="11">
        <f>운전실적_원본!Z58</f>
        <v>0</v>
      </c>
      <c r="BB58" s="11">
        <f>운전실적_원본!AA58</f>
        <v>0</v>
      </c>
      <c r="BC58" s="11">
        <f>운전실적_원본!AB58</f>
        <v>306</v>
      </c>
      <c r="BD58" s="32">
        <f t="shared" si="15"/>
        <v>38.25</v>
      </c>
      <c r="BE58" s="11">
        <f t="shared" si="2"/>
        <v>0.74430823117338007</v>
      </c>
      <c r="BF58" s="11">
        <f>운전실적_원본!AE58</f>
        <v>0</v>
      </c>
      <c r="BG58" s="31">
        <f t="shared" si="0"/>
        <v>0</v>
      </c>
      <c r="BH58" s="241">
        <f>INDEX(연료전지_원본!$A$4:$KY$369,MATCH($A58,연료전지_원본!$A$4:$A$369,0),MATCH($BH$4,연료전지_원본!$A$4:$KY$4,0))</f>
        <v>24</v>
      </c>
      <c r="BI58" s="241">
        <f>INDEX(연료전지_원본!$A$4:$KY$369,MATCH($A58,연료전지_원본!$A$4:$A$369,0),MATCH($BI$4,연료전지_원본!$A$4:$KY$4,0))</f>
        <v>24</v>
      </c>
      <c r="BJ58" s="241">
        <f>INDEX(연료전지_원본!$A$4:$KY$369,MATCH($A58,연료전지_원본!$A$4:$A$369,0),MATCH($BJ$4,연료전지_원본!$A$4:$KY$4,0))</f>
        <v>24</v>
      </c>
      <c r="BK58" s="241">
        <f>INDEX(연료전지_원본!$A$4:$KY$369,MATCH($A58,연료전지_원본!$A$4:$A$369,0),MATCH($BK$4,연료전지_원본!$A$4:$KY$4,0))</f>
        <v>24</v>
      </c>
      <c r="BL58" s="241">
        <f>INDEX(연료전지_원본!$A$4:$KY$369,MATCH($A58,연료전지_원본!$A$4:$A$369,0),MATCH($BL$4,연료전지_원본!$A$4:$KY$4,0))</f>
        <v>24</v>
      </c>
      <c r="BM58" s="241">
        <f>INDEX(연료전지_원본!$A$4:$KY$369,MATCH($A58,연료전지_원본!$A$4:$A$369,0),MATCH($BM$4,연료전지_원본!$A$4:$KY$4,0))</f>
        <v>24</v>
      </c>
      <c r="BN58" s="241">
        <f>INDEX(연료전지_원본!$A$4:$KY$369,MATCH($A58,연료전지_원본!$A$4:$A$369,0),MATCH($BN$4,연료전지_원본!$A$4:$KY$4,0))</f>
        <v>24</v>
      </c>
      <c r="BO58" s="241">
        <f>INDEX(연료전지_원본!$A$4:$KY$369,MATCH($A58,연료전지_원본!$A$4:$A$369,0),MATCH($BO$4,연료전지_원본!$A$4:$KY$4,0))</f>
        <v>24</v>
      </c>
      <c r="BP58" s="241">
        <f>INDEX(연료전지_원본!$A$4:$KY$369,MATCH($A58,연료전지_원본!$A$4:$A$369,0),MATCH($BP$4,연료전지_원본!$A$4:$KY$4,0))</f>
        <v>24</v>
      </c>
      <c r="BQ58" s="241">
        <f>INDEX(연료전지_원본!$A$4:$KY$369,MATCH($A58,연료전지_원본!$A$4:$A$369,0),MATCH($BQ$4,연료전지_원본!$A$4:$KY$4,0))</f>
        <v>24</v>
      </c>
      <c r="BR58" s="241">
        <f>INDEX(연료전지_원본!$A$4:$KY$369,MATCH($A58,연료전지_원본!$A$4:$A$369,0),MATCH($BR$4,연료전지_원본!$A$4:$KY$4,0))</f>
        <v>24</v>
      </c>
      <c r="BS58" s="241">
        <f>INDEX(연료전지_원본!$A$4:$KY$369,MATCH($A58,연료전지_원본!$A$4:$A$369,0),MATCH($BS$4,연료전지_원본!$A$4:$KY$4,0))</f>
        <v>24</v>
      </c>
      <c r="BT58" s="241">
        <f>INDEX(연료전지_원본!$A$4:$KY$369,MATCH($A58,연료전지_원본!$A$4:$A$369,0),MATCH($BT$4,연료전지_원본!$A$4:$KY$4,0))</f>
        <v>24</v>
      </c>
      <c r="BU58" s="241">
        <f>INDEX(연료전지_원본!$A$4:$KY$369,MATCH($A58,연료전지_원본!$A$4:$A$369,0),MATCH($BU$4,연료전지_원본!$A$4:$KY$4,0))</f>
        <v>24</v>
      </c>
      <c r="BV58" s="241">
        <f>INDEX(연료전지_원본!$A$4:$KY$369,MATCH($A58,연료전지_원본!$A$4:$A$369,0),MATCH($BV$4,연료전지_원본!$A$4:$KY$4,0))</f>
        <v>24</v>
      </c>
      <c r="BW58" s="241">
        <f>INDEX(연료전지_원본!$A$4:$KY$369,MATCH($A58,연료전지_원본!$A$4:$A$369,0),MATCH($BW$4,연료전지_원본!$A$4:$KY$4,0))</f>
        <v>24</v>
      </c>
      <c r="BX58" s="241">
        <f>INDEX(연료전지_원본!$A$4:$KY$369,MATCH($A58,연료전지_원본!$A$4:$A$369,0),MATCH($BX$4,연료전지_원본!$A$4:$KY$4,0))</f>
        <v>24</v>
      </c>
      <c r="BY58" s="241">
        <f>INDEX(연료전지_원본!$A$4:$KY$369,MATCH($A58,연료전지_원본!$A$4:$A$369,0),MATCH($BY$4,연료전지_원본!$A$4:$KY$4,0))</f>
        <v>24</v>
      </c>
      <c r="BZ58" s="241">
        <f>INDEX(연료전지_원본!$A$4:$KY$369,MATCH($A58,연료전지_원본!$A$4:$A$369,0),MATCH($BZ$4,연료전지_원본!$A$4:$KY$4,0))</f>
        <v>24</v>
      </c>
      <c r="CA58" s="241">
        <f>INDEX(연료전지_원본!$A$4:$KY$369,MATCH($A58,연료전지_원본!$A$4:$A$369,0),MATCH($CA$4,연료전지_원본!$A$4:$KY$4,0))</f>
        <v>0</v>
      </c>
      <c r="CB58" s="241">
        <f>INDEX(연료전지_원본!$A$4:$KY$369,MATCH($A58,연료전지_원본!$A$4:$A$369,0),MATCH($CB$4,연료전지_원본!$A$4:$KY$4,0))</f>
        <v>24</v>
      </c>
      <c r="CC58" s="242">
        <f>INDEX(연료전지_원본!$A$4:$KY$369,MATCH($A58,연료전지_원본!$A$4:$A$369,0),MATCH($CC$4,연료전지_원본!$A$4:$KY$4,0))</f>
        <v>24</v>
      </c>
      <c r="CD58" s="254">
        <f>INDEX(연료전지_원본!$KB$4:$KX$369,MATCH($A58,연료전지_원본!$KB$4:$KB$369,0), MATCH(CD$4,연료전지_원본!$KB$4:$KX$4,0))*1000</f>
        <v>2103</v>
      </c>
      <c r="CE58" s="250">
        <f>INDEX(연료전지_원본!$KB$4:$KX$369,MATCH($A58,연료전지_원본!$KB$4:$KB$369,0), MATCH(CE$4,연료전지_원본!$KB$4:$KX$4,0))*1000</f>
        <v>2101</v>
      </c>
      <c r="CF58" s="250">
        <f>INDEX(연료전지_원본!$KB$4:$KX$369,MATCH($A58,연료전지_원본!$KB$4:$KB$369,0), MATCH(CF$4,연료전지_원본!$KB$4:$KX$4,0))*1000</f>
        <v>2097</v>
      </c>
      <c r="CG58" s="250">
        <f>INDEX(연료전지_원본!$KB$4:$KX$369,MATCH($A58,연료전지_원본!$KB$4:$KB$369,0), MATCH(CG$4,연료전지_원본!$KB$4:$KX$4,0))*1000</f>
        <v>2097</v>
      </c>
      <c r="CH58" s="250">
        <f>INDEX(연료전지_원본!$KB$4:$KX$369,MATCH($A58,연료전지_원본!$KB$4:$KB$369,0), MATCH(CH$4,연료전지_원본!$KB$4:$KX$4,0))*1000</f>
        <v>2106</v>
      </c>
      <c r="CI58" s="250">
        <f>INDEX(연료전지_원본!$KB$4:$KX$369,MATCH($A58,연료전지_원본!$KB$4:$KB$369,0), MATCH(CI$4,연료전지_원본!$KB$4:$KX$4,0))*1000</f>
        <v>2106</v>
      </c>
      <c r="CJ58" s="250">
        <f>INDEX(연료전지_원본!$KB$4:$KX$369,MATCH($A58,연료전지_원본!$KB$4:$KB$369,0), MATCH(CJ$4,연료전지_원본!$KB$4:$KX$4,0))*1000</f>
        <v>2095</v>
      </c>
      <c r="CK58" s="250">
        <f>INDEX(연료전지_원본!$KB$4:$KX$369,MATCH($A58,연료전지_원본!$KB$4:$KB$369,0), MATCH(CK$4,연료전지_원본!$KB$4:$KX$4,0))*1000</f>
        <v>2097</v>
      </c>
      <c r="CL58" s="250">
        <f>INDEX(연료전지_원본!$KB$4:$KX$369,MATCH($A58,연료전지_원본!$KB$4:$KB$369,0), MATCH(CL$4,연료전지_원본!$KB$4:$KX$4,0))*1000</f>
        <v>2107</v>
      </c>
      <c r="CM58" s="250">
        <f>INDEX(연료전지_원본!$KB$4:$KX$369,MATCH($A58,연료전지_원본!$KB$4:$KB$369,0), MATCH(CM$4,연료전지_원본!$KB$4:$KX$4,0))*1000</f>
        <v>2104</v>
      </c>
      <c r="CN58" s="250">
        <f>INDEX(연료전지_원본!$KB$4:$KX$369,MATCH($A58,연료전지_원본!$KB$4:$KB$369,0), MATCH(CN$4,연료전지_원본!$KB$4:$KX$4,0))*1000</f>
        <v>2107</v>
      </c>
      <c r="CO58" s="250">
        <f>INDEX(연료전지_원본!$KB$4:$KX$369,MATCH($A58,연료전지_원본!$KB$4:$KB$369,0), MATCH(CO$4,연료전지_원본!$KB$4:$KX$4,0))*1000</f>
        <v>2105</v>
      </c>
      <c r="CP58" s="250">
        <f>INDEX(연료전지_원본!$KB$4:$KX$369,MATCH($A58,연료전지_원본!$KB$4:$KB$369,0), MATCH(CP$4,연료전지_원본!$KB$4:$KX$4,0))*1000</f>
        <v>2105</v>
      </c>
      <c r="CQ58" s="250">
        <f>INDEX(연료전지_원본!$KB$4:$KX$369,MATCH($A58,연료전지_원본!$KB$4:$KB$369,0), MATCH(CQ$4,연료전지_원본!$KB$4:$KX$4,0))*1000</f>
        <v>2099</v>
      </c>
      <c r="CR58" s="250">
        <f>INDEX(연료전지_원본!$KB$4:$KX$369,MATCH($A58,연료전지_원본!$KB$4:$KB$369,0), MATCH(CR$4,연료전지_원본!$KB$4:$KX$4,0))*1000</f>
        <v>2104</v>
      </c>
      <c r="CS58" s="250">
        <f>INDEX(연료전지_원본!$KB$4:$KX$369,MATCH($A58,연료전지_원본!$KB$4:$KB$369,0), MATCH(CS$4,연료전지_원본!$KB$4:$KX$4,0))*1000</f>
        <v>2105</v>
      </c>
      <c r="CT58" s="250">
        <f>INDEX(연료전지_원본!$KB$4:$KX$369,MATCH($A58,연료전지_원본!$KB$4:$KB$369,0), MATCH(CT$4,연료전지_원본!$KB$4:$KX$4,0))*1000</f>
        <v>2102</v>
      </c>
      <c r="CU58" s="250">
        <f>INDEX(연료전지_원본!$KB$4:$KX$369,MATCH($A58,연료전지_원본!$KB$4:$KB$369,0), MATCH(CU$4,연료전지_원본!$KB$4:$KX$4,0))*1000</f>
        <v>2100</v>
      </c>
      <c r="CV58" s="250">
        <f>INDEX(연료전지_원본!$KB$4:$KX$369,MATCH($A58,연료전지_원본!$KB$4:$KB$369,0), MATCH(CV$4,연료전지_원본!$KB$4:$KX$4,0))*1000</f>
        <v>2107</v>
      </c>
      <c r="CW58" s="250">
        <f>INDEX(연료전지_원본!$KB$4:$KX$369,MATCH($A58,연료전지_원본!$KB$4:$KB$369,0), MATCH(CW$4,연료전지_원본!$KB$4:$KX$4,0))*1000</f>
        <v>0</v>
      </c>
      <c r="CX58" s="250">
        <f>INDEX(연료전지_원본!$KB$4:$KX$369,MATCH($A58,연료전지_원본!$KB$4:$KB$369,0), MATCH(CX$4,연료전지_원본!$KB$4:$KX$4,0))*1000</f>
        <v>2105</v>
      </c>
      <c r="CY58" s="255">
        <f>INDEX(연료전지_원본!$KB$4:$KX$369,MATCH($A58,연료전지_원본!$KB$4:$KB$369,0), MATCH(CY$4,연료전지_원본!$KB$4:$KX$4,0))*1000</f>
        <v>2113</v>
      </c>
      <c r="CZ58" s="185">
        <v>10.107000000000028</v>
      </c>
      <c r="DA58" s="30">
        <v>10.095000000000027</v>
      </c>
      <c r="DB58" s="30">
        <v>10.074999999999989</v>
      </c>
      <c r="DC58" s="30">
        <v>10.078000000000031</v>
      </c>
      <c r="DD58" s="30">
        <v>10.122000000000014</v>
      </c>
      <c r="DE58" s="30">
        <v>10.117999999999995</v>
      </c>
      <c r="DF58" s="30">
        <v>10.06800000000004</v>
      </c>
      <c r="DG58" s="30">
        <v>10.079000000000008</v>
      </c>
      <c r="DH58" s="30">
        <v>10.125999999999976</v>
      </c>
      <c r="DI58" s="30">
        <v>10.110000000000014</v>
      </c>
      <c r="DJ58" s="30">
        <v>10.124000000000024</v>
      </c>
      <c r="DK58" s="30">
        <v>10.113999999999976</v>
      </c>
      <c r="DL58" s="30">
        <v>10.113</v>
      </c>
      <c r="DM58" s="30">
        <v>10.086999999999989</v>
      </c>
      <c r="DN58" s="30">
        <v>10.10899999999998</v>
      </c>
      <c r="DO58" s="30">
        <v>10.114000000000033</v>
      </c>
      <c r="DP58" s="30">
        <v>10.09899999999999</v>
      </c>
      <c r="DQ58" s="30">
        <v>10.092999999999961</v>
      </c>
      <c r="DR58" s="30">
        <v>10.125</v>
      </c>
      <c r="DS58" s="30">
        <v>0</v>
      </c>
      <c r="DT58" s="30">
        <v>10.114000000000004</v>
      </c>
      <c r="DU58" s="30">
        <v>10.155000000000001</v>
      </c>
      <c r="DV58" s="30">
        <f t="shared" si="297"/>
        <v>212.22500000000008</v>
      </c>
    </row>
    <row r="59" spans="1:126">
      <c r="A59" s="6">
        <v>46076</v>
      </c>
      <c r="B59" s="15">
        <f>운전실적_원본!B59</f>
        <v>651.20000000000005</v>
      </c>
      <c r="C59" s="16">
        <f t="shared" si="298"/>
        <v>0</v>
      </c>
      <c r="D59" s="12">
        <f>운전실적_원본!C59</f>
        <v>249788</v>
      </c>
      <c r="E59" s="12">
        <f t="shared" si="299"/>
        <v>57</v>
      </c>
      <c r="F59" s="12">
        <f>운전실적_원본!D59</f>
        <v>241360</v>
      </c>
      <c r="G59" s="16">
        <f t="shared" si="300"/>
        <v>0</v>
      </c>
      <c r="H59" s="15">
        <f>운전실적_원본!E59</f>
        <v>17254.52</v>
      </c>
      <c r="I59" s="16">
        <f t="shared" si="301"/>
        <v>4.6000000000021828</v>
      </c>
      <c r="J59" s="15">
        <f>운전실적_원본!F59</f>
        <v>15342.43</v>
      </c>
      <c r="K59" s="16">
        <f t="shared" si="301"/>
        <v>21.110000000000582</v>
      </c>
      <c r="L59" s="32">
        <f>운전실적_원본!G59</f>
        <v>27.6</v>
      </c>
      <c r="M59" s="31">
        <f t="shared" ref="M59" si="398">IF(OR(LEN(L59)=0,L59=0),"",L59-L58)</f>
        <v>0.80000000000000071</v>
      </c>
      <c r="N59" s="15">
        <f>운전실적_원본!H59</f>
        <v>39480</v>
      </c>
      <c r="O59" s="16">
        <f t="shared" ref="O59" si="399">IF(OR(LEN(N59)=0,N59=0),"",N59-N58)</f>
        <v>93</v>
      </c>
      <c r="P59" s="15">
        <f>운전실적_원본!I59</f>
        <v>23635</v>
      </c>
      <c r="Q59" s="16">
        <f t="shared" ref="Q59" si="400">IF(OR(LEN(P59)=0,P59=0),"",P59-P58)</f>
        <v>115</v>
      </c>
      <c r="R59" s="18">
        <f>운전실적_원본!J59</f>
        <v>33.869</v>
      </c>
      <c r="S59" s="19">
        <f t="shared" ref="S59" si="401">IF(OR(LEN(R59)=0,R59=0),"",R59-R58)</f>
        <v>0.35900000000000176</v>
      </c>
      <c r="T59" s="18">
        <f>운전실적_원본!K59</f>
        <v>33.026000000000003</v>
      </c>
      <c r="U59" s="19">
        <f t="shared" si="306"/>
        <v>-2.3999999999993804E-2</v>
      </c>
      <c r="V59" s="12">
        <f>운전실적_원본!L59</f>
        <v>7989.8339999999998</v>
      </c>
      <c r="W59" s="16">
        <f t="shared" ref="W59" si="402">IF(OR(LEN(V59)=0,V59=0),"",V59-V58)</f>
        <v>-443.16600000000017</v>
      </c>
      <c r="X59" s="10">
        <f>운전실적_원본!M59</f>
        <v>115059.92000000179</v>
      </c>
      <c r="Y59" s="10">
        <f>운전실적_원본!N59</f>
        <v>0</v>
      </c>
      <c r="Z59" s="10">
        <f>운전실적_원본!O59</f>
        <v>0</v>
      </c>
      <c r="AA59" s="10">
        <f>운전실적_원본!P59</f>
        <v>0</v>
      </c>
      <c r="AB59" s="10">
        <f>운전실적_원본!Q59</f>
        <v>0</v>
      </c>
      <c r="AC59" s="20">
        <f>운전실적_원본!R59</f>
        <v>0</v>
      </c>
      <c r="AD59" s="109">
        <f>운전실적_원본!S59</f>
        <v>19</v>
      </c>
      <c r="AE59" s="110">
        <f>운전실적_원본!T59</f>
        <v>0</v>
      </c>
      <c r="AF59" s="110">
        <f>운전실적_원본!U59</f>
        <v>0</v>
      </c>
      <c r="AG59" s="110">
        <f>운전실적_원본!V59</f>
        <v>0</v>
      </c>
      <c r="AH59" s="109">
        <f t="shared" si="1"/>
        <v>18.833333333255723</v>
      </c>
      <c r="AI59" s="110">
        <f t="shared" si="125"/>
        <v>0</v>
      </c>
      <c r="AJ59" s="110">
        <f>운전실적_원본!Y59</f>
        <v>0</v>
      </c>
      <c r="AK59" s="110">
        <f>운전실적_원본!Z59</f>
        <v>0</v>
      </c>
      <c r="AL59" s="106">
        <v>46076.208333333336</v>
      </c>
      <c r="AM59" s="105">
        <v>46076.993055555555</v>
      </c>
      <c r="AN59" s="105"/>
      <c r="AO59" s="105"/>
      <c r="AP59" s="105"/>
      <c r="AQ59" s="108"/>
      <c r="AR59" s="105"/>
      <c r="AS59" s="105"/>
      <c r="AT59" s="102"/>
      <c r="AU59" s="102"/>
      <c r="AV59" s="102"/>
      <c r="AW59" s="102"/>
      <c r="AX59" s="32">
        <f>운전실적_원본!W59</f>
        <v>743.28600000000006</v>
      </c>
      <c r="AY59" s="11">
        <f>운전실적_원본!X59</f>
        <v>0</v>
      </c>
      <c r="AZ59" s="11">
        <f>운전실적_원본!Y59</f>
        <v>0</v>
      </c>
      <c r="BA59" s="11">
        <f>운전실적_원본!Z59</f>
        <v>0</v>
      </c>
      <c r="BB59" s="11">
        <f>운전실적_원본!AA59</f>
        <v>0</v>
      </c>
      <c r="BC59" s="11">
        <f>운전실적_원본!AB59</f>
        <v>743.28600000000006</v>
      </c>
      <c r="BD59" s="32">
        <f t="shared" si="15"/>
        <v>39.120315789473686</v>
      </c>
      <c r="BE59" s="11">
        <f t="shared" si="2"/>
        <v>0.76124373982241067</v>
      </c>
      <c r="BF59" s="11">
        <f>운전실적_원본!AE59</f>
        <v>0</v>
      </c>
      <c r="BG59" s="31">
        <f t="shared" si="0"/>
        <v>0</v>
      </c>
      <c r="BH59" s="241">
        <f>INDEX(연료전지_원본!$A$4:$KY$369,MATCH($A59,연료전지_원본!$A$4:$A$369,0),MATCH($BH$4,연료전지_원본!$A$4:$KY$4,0))</f>
        <v>24</v>
      </c>
      <c r="BI59" s="241">
        <f>INDEX(연료전지_원본!$A$4:$KY$369,MATCH($A59,연료전지_원본!$A$4:$A$369,0),MATCH($BI$4,연료전지_원본!$A$4:$KY$4,0))</f>
        <v>24</v>
      </c>
      <c r="BJ59" s="241">
        <f>INDEX(연료전지_원본!$A$4:$KY$369,MATCH($A59,연료전지_원본!$A$4:$A$369,0),MATCH($BJ$4,연료전지_원본!$A$4:$KY$4,0))</f>
        <v>24</v>
      </c>
      <c r="BK59" s="241">
        <f>INDEX(연료전지_원본!$A$4:$KY$369,MATCH($A59,연료전지_원본!$A$4:$A$369,0),MATCH($BK$4,연료전지_원본!$A$4:$KY$4,0))</f>
        <v>24</v>
      </c>
      <c r="BL59" s="241">
        <f>INDEX(연료전지_원본!$A$4:$KY$369,MATCH($A59,연료전지_원본!$A$4:$A$369,0),MATCH($BL$4,연료전지_원본!$A$4:$KY$4,0))</f>
        <v>24</v>
      </c>
      <c r="BM59" s="241">
        <f>INDEX(연료전지_원본!$A$4:$KY$369,MATCH($A59,연료전지_원본!$A$4:$A$369,0),MATCH($BM$4,연료전지_원본!$A$4:$KY$4,0))</f>
        <v>24</v>
      </c>
      <c r="BN59" s="241">
        <f>INDEX(연료전지_원본!$A$4:$KY$369,MATCH($A59,연료전지_원본!$A$4:$A$369,0),MATCH($BN$4,연료전지_원본!$A$4:$KY$4,0))</f>
        <v>24</v>
      </c>
      <c r="BO59" s="241">
        <f>INDEX(연료전지_원본!$A$4:$KY$369,MATCH($A59,연료전지_원본!$A$4:$A$369,0),MATCH($BO$4,연료전지_원본!$A$4:$KY$4,0))</f>
        <v>24</v>
      </c>
      <c r="BP59" s="241">
        <f>INDEX(연료전지_원본!$A$4:$KY$369,MATCH($A59,연료전지_원본!$A$4:$A$369,0),MATCH($BP$4,연료전지_원본!$A$4:$KY$4,0))</f>
        <v>24</v>
      </c>
      <c r="BQ59" s="241">
        <f>INDEX(연료전지_원본!$A$4:$KY$369,MATCH($A59,연료전지_원본!$A$4:$A$369,0),MATCH($BQ$4,연료전지_원본!$A$4:$KY$4,0))</f>
        <v>24</v>
      </c>
      <c r="BR59" s="241">
        <f>INDEX(연료전지_원본!$A$4:$KY$369,MATCH($A59,연료전지_원본!$A$4:$A$369,0),MATCH($BR$4,연료전지_원본!$A$4:$KY$4,0))</f>
        <v>24</v>
      </c>
      <c r="BS59" s="241">
        <f>INDEX(연료전지_원본!$A$4:$KY$369,MATCH($A59,연료전지_원본!$A$4:$A$369,0),MATCH($BS$4,연료전지_원본!$A$4:$KY$4,0))</f>
        <v>24</v>
      </c>
      <c r="BT59" s="241">
        <f>INDEX(연료전지_원본!$A$4:$KY$369,MATCH($A59,연료전지_원본!$A$4:$A$369,0),MATCH($BT$4,연료전지_원본!$A$4:$KY$4,0))</f>
        <v>24</v>
      </c>
      <c r="BU59" s="241">
        <f>INDEX(연료전지_원본!$A$4:$KY$369,MATCH($A59,연료전지_원본!$A$4:$A$369,0),MATCH($BU$4,연료전지_원본!$A$4:$KY$4,0))</f>
        <v>24</v>
      </c>
      <c r="BV59" s="241">
        <f>INDEX(연료전지_원본!$A$4:$KY$369,MATCH($A59,연료전지_원본!$A$4:$A$369,0),MATCH($BV$4,연료전지_원본!$A$4:$KY$4,0))</f>
        <v>24</v>
      </c>
      <c r="BW59" s="241">
        <f>INDEX(연료전지_원본!$A$4:$KY$369,MATCH($A59,연료전지_원본!$A$4:$A$369,0),MATCH($BW$4,연료전지_원본!$A$4:$KY$4,0))</f>
        <v>24</v>
      </c>
      <c r="BX59" s="241">
        <f>INDEX(연료전지_원본!$A$4:$KY$369,MATCH($A59,연료전지_원본!$A$4:$A$369,0),MATCH($BX$4,연료전지_원본!$A$4:$KY$4,0))</f>
        <v>24</v>
      </c>
      <c r="BY59" s="241">
        <f>INDEX(연료전지_원본!$A$4:$KY$369,MATCH($A59,연료전지_원본!$A$4:$A$369,0),MATCH($BY$4,연료전지_원본!$A$4:$KY$4,0))</f>
        <v>24</v>
      </c>
      <c r="BZ59" s="241">
        <f>INDEX(연료전지_원본!$A$4:$KY$369,MATCH($A59,연료전지_원본!$A$4:$A$369,0),MATCH($BZ$4,연료전지_원본!$A$4:$KY$4,0))</f>
        <v>24</v>
      </c>
      <c r="CA59" s="241">
        <f>INDEX(연료전지_원본!$A$4:$KY$369,MATCH($A59,연료전지_원본!$A$4:$A$369,0),MATCH($CA$4,연료전지_원본!$A$4:$KY$4,0))</f>
        <v>0</v>
      </c>
      <c r="CB59" s="241">
        <f>INDEX(연료전지_원본!$A$4:$KY$369,MATCH($A59,연료전지_원본!$A$4:$A$369,0),MATCH($CB$4,연료전지_원본!$A$4:$KY$4,0))</f>
        <v>24</v>
      </c>
      <c r="CC59" s="242">
        <f>INDEX(연료전지_원본!$A$4:$KY$369,MATCH($A59,연료전지_원본!$A$4:$A$369,0),MATCH($CC$4,연료전지_원본!$A$4:$KY$4,0))</f>
        <v>24</v>
      </c>
      <c r="CD59" s="254">
        <f>INDEX(연료전지_원본!$KB$4:$KX$369,MATCH($A59,연료전지_원본!$KB$4:$KB$369,0), MATCH(CD$4,연료전지_원본!$KB$4:$KX$4,0))*1000</f>
        <v>2159</v>
      </c>
      <c r="CE59" s="250">
        <f>INDEX(연료전지_원본!$KB$4:$KX$369,MATCH($A59,연료전지_원본!$KB$4:$KB$369,0), MATCH(CE$4,연료전지_원본!$KB$4:$KX$4,0))*1000</f>
        <v>2156</v>
      </c>
      <c r="CF59" s="250">
        <f>INDEX(연료전지_원본!$KB$4:$KX$369,MATCH($A59,연료전지_원본!$KB$4:$KB$369,0), MATCH(CF$4,연료전지_원본!$KB$4:$KX$4,0))*1000</f>
        <v>2151</v>
      </c>
      <c r="CG59" s="250">
        <f>INDEX(연료전지_원본!$KB$4:$KX$369,MATCH($A59,연료전지_원본!$KB$4:$KB$369,0), MATCH(CG$4,연료전지_원본!$KB$4:$KX$4,0))*1000</f>
        <v>2153</v>
      </c>
      <c r="CH59" s="250">
        <f>INDEX(연료전지_원본!$KB$4:$KX$369,MATCH($A59,연료전지_원본!$KB$4:$KB$369,0), MATCH(CH$4,연료전지_원본!$KB$4:$KX$4,0))*1000</f>
        <v>2157</v>
      </c>
      <c r="CI59" s="250">
        <f>INDEX(연료전지_원본!$KB$4:$KX$369,MATCH($A59,연료전지_원본!$KB$4:$KB$369,0), MATCH(CI$4,연료전지_원본!$KB$4:$KX$4,0))*1000</f>
        <v>2157</v>
      </c>
      <c r="CJ59" s="250">
        <f>INDEX(연료전지_원본!$KB$4:$KX$369,MATCH($A59,연료전지_원본!$KB$4:$KB$369,0), MATCH(CJ$4,연료전지_원본!$KB$4:$KX$4,0))*1000</f>
        <v>2150</v>
      </c>
      <c r="CK59" s="250">
        <f>INDEX(연료전지_원본!$KB$4:$KX$369,MATCH($A59,연료전지_원본!$KB$4:$KB$369,0), MATCH(CK$4,연료전지_원본!$KB$4:$KX$4,0))*1000</f>
        <v>2150</v>
      </c>
      <c r="CL59" s="250">
        <f>INDEX(연료전지_원본!$KB$4:$KX$369,MATCH($A59,연료전지_원본!$KB$4:$KB$369,0), MATCH(CL$4,연료전지_원본!$KB$4:$KX$4,0))*1000</f>
        <v>2166</v>
      </c>
      <c r="CM59" s="250">
        <f>INDEX(연료전지_원본!$KB$4:$KX$369,MATCH($A59,연료전지_원본!$KB$4:$KB$369,0), MATCH(CM$4,연료전지_원본!$KB$4:$KX$4,0))*1000</f>
        <v>2158</v>
      </c>
      <c r="CN59" s="250">
        <f>INDEX(연료전지_원본!$KB$4:$KX$369,MATCH($A59,연료전지_원본!$KB$4:$KB$369,0), MATCH(CN$4,연료전지_원본!$KB$4:$KX$4,0))*1000</f>
        <v>2160</v>
      </c>
      <c r="CO59" s="250">
        <f>INDEX(연료전지_원본!$KB$4:$KX$369,MATCH($A59,연료전지_원본!$KB$4:$KB$369,0), MATCH(CO$4,연료전지_원본!$KB$4:$KX$4,0))*1000</f>
        <v>2161</v>
      </c>
      <c r="CP59" s="250">
        <f>INDEX(연료전지_원본!$KB$4:$KX$369,MATCH($A59,연료전지_원본!$KB$4:$KB$369,0), MATCH(CP$4,연료전지_원본!$KB$4:$KX$4,0))*1000</f>
        <v>2158</v>
      </c>
      <c r="CQ59" s="250">
        <f>INDEX(연료전지_원본!$KB$4:$KX$369,MATCH($A59,연료전지_원본!$KB$4:$KB$369,0), MATCH(CQ$4,연료전지_원본!$KB$4:$KX$4,0))*1000</f>
        <v>2157</v>
      </c>
      <c r="CR59" s="250">
        <f>INDEX(연료전지_원본!$KB$4:$KX$369,MATCH($A59,연료전지_원본!$KB$4:$KB$369,0), MATCH(CR$4,연료전지_원본!$KB$4:$KX$4,0))*1000</f>
        <v>2158</v>
      </c>
      <c r="CS59" s="250">
        <f>INDEX(연료전지_원본!$KB$4:$KX$369,MATCH($A59,연료전지_원본!$KB$4:$KB$369,0), MATCH(CS$4,연료전지_원본!$KB$4:$KX$4,0))*1000</f>
        <v>2160</v>
      </c>
      <c r="CT59" s="250">
        <f>INDEX(연료전지_원본!$KB$4:$KX$369,MATCH($A59,연료전지_원본!$KB$4:$KB$369,0), MATCH(CT$4,연료전지_원본!$KB$4:$KX$4,0))*1000</f>
        <v>2153</v>
      </c>
      <c r="CU59" s="250">
        <f>INDEX(연료전지_원본!$KB$4:$KX$369,MATCH($A59,연료전지_원본!$KB$4:$KB$369,0), MATCH(CU$4,연료전지_원본!$KB$4:$KX$4,0))*1000</f>
        <v>2146</v>
      </c>
      <c r="CV59" s="250">
        <f>INDEX(연료전지_원본!$KB$4:$KX$369,MATCH($A59,연료전지_원본!$KB$4:$KB$369,0), MATCH(CV$4,연료전지_원본!$KB$4:$KX$4,0))*1000</f>
        <v>2160</v>
      </c>
      <c r="CW59" s="250">
        <f>INDEX(연료전지_원본!$KB$4:$KX$369,MATCH($A59,연료전지_원본!$KB$4:$KB$369,0), MATCH(CW$4,연료전지_원본!$KB$4:$KX$4,0))*1000</f>
        <v>0</v>
      </c>
      <c r="CX59" s="250">
        <f>INDEX(연료전지_원본!$KB$4:$KX$369,MATCH($A59,연료전지_원본!$KB$4:$KB$369,0), MATCH(CX$4,연료전지_원본!$KB$4:$KX$4,0))*1000</f>
        <v>2157</v>
      </c>
      <c r="CY59" s="255">
        <f>INDEX(연료전지_원본!$KB$4:$KX$369,MATCH($A59,연료전지_원본!$KB$4:$KB$369,0), MATCH(CY$4,연료전지_원본!$KB$4:$KX$4,0))*1000</f>
        <v>2168</v>
      </c>
      <c r="CZ59" s="185">
        <v>10.156999999999982</v>
      </c>
      <c r="DA59" s="30">
        <v>10.146000000000015</v>
      </c>
      <c r="DB59" s="30">
        <v>10.120999999999981</v>
      </c>
      <c r="DC59" s="30">
        <v>10.132000000000005</v>
      </c>
      <c r="DD59" s="30">
        <v>10.147999999999968</v>
      </c>
      <c r="DE59" s="30">
        <v>10.149000000000001</v>
      </c>
      <c r="DF59" s="30">
        <v>10.115000000000009</v>
      </c>
      <c r="DG59" s="30">
        <v>10.117000000000019</v>
      </c>
      <c r="DH59" s="30">
        <v>10.192000000000007</v>
      </c>
      <c r="DI59" s="30">
        <v>10.156000000000006</v>
      </c>
      <c r="DJ59" s="30">
        <v>10.164999999999992</v>
      </c>
      <c r="DK59" s="30">
        <v>10.168999999999983</v>
      </c>
      <c r="DL59" s="30">
        <v>10.153999999999996</v>
      </c>
      <c r="DM59" s="30">
        <v>10.148000000000025</v>
      </c>
      <c r="DN59" s="30">
        <v>10.156000000000006</v>
      </c>
      <c r="DO59" s="30">
        <v>10.163000000000011</v>
      </c>
      <c r="DP59" s="30">
        <v>10.132000000000005</v>
      </c>
      <c r="DQ59" s="30">
        <v>10.096000000000004</v>
      </c>
      <c r="DR59" s="30">
        <v>10.162999999999954</v>
      </c>
      <c r="DS59" s="30">
        <v>0</v>
      </c>
      <c r="DT59" s="30">
        <v>10.147999999999996</v>
      </c>
      <c r="DU59" s="30">
        <v>10.200999999999993</v>
      </c>
      <c r="DV59" s="30">
        <f t="shared" si="297"/>
        <v>213.12799999999996</v>
      </c>
    </row>
    <row r="60" spans="1:126">
      <c r="A60" s="6">
        <v>46077</v>
      </c>
      <c r="B60" s="15">
        <f>운전실적_원본!B60</f>
        <v>651.20000000000005</v>
      </c>
      <c r="C60" s="16">
        <f t="shared" si="298"/>
        <v>0</v>
      </c>
      <c r="D60" s="12">
        <f>운전실적_원본!C60</f>
        <v>249841</v>
      </c>
      <c r="E60" s="12">
        <f t="shared" si="299"/>
        <v>53</v>
      </c>
      <c r="F60" s="12">
        <f>운전실적_원본!D60</f>
        <v>241360</v>
      </c>
      <c r="G60" s="16">
        <f t="shared" si="300"/>
        <v>0</v>
      </c>
      <c r="H60" s="15">
        <f>운전실적_원본!E60</f>
        <v>17258.87</v>
      </c>
      <c r="I60" s="16">
        <f t="shared" si="301"/>
        <v>4.3499999999985448</v>
      </c>
      <c r="J60" s="15">
        <f>운전실적_원본!F60</f>
        <v>15346.4</v>
      </c>
      <c r="K60" s="16">
        <f t="shared" si="301"/>
        <v>3.9699999999993452</v>
      </c>
      <c r="L60" s="32">
        <f>운전실적_원본!G60</f>
        <v>28.3</v>
      </c>
      <c r="M60" s="31">
        <f t="shared" ref="M60" si="403">IF(OR(LEN(L60)=0,L60=0),"",L60-L59)</f>
        <v>0.69999999999999929</v>
      </c>
      <c r="N60" s="15">
        <f>운전실적_원본!H60</f>
        <v>39532</v>
      </c>
      <c r="O60" s="16">
        <f t="shared" ref="O60" si="404">IF(OR(LEN(N60)=0,N60=0),"",N60-N59)</f>
        <v>52</v>
      </c>
      <c r="P60" s="15">
        <f>운전실적_원본!I60</f>
        <v>23741</v>
      </c>
      <c r="Q60" s="16">
        <f t="shared" ref="Q60" si="405">IF(OR(LEN(P60)=0,P60=0),"",P60-P59)</f>
        <v>106</v>
      </c>
      <c r="R60" s="18">
        <f>운전실적_원본!J60</f>
        <v>33.53</v>
      </c>
      <c r="S60" s="19">
        <f t="shared" ref="S60" si="406">IF(OR(LEN(R60)=0,R60=0),"",R60-R59)</f>
        <v>-0.33899999999999864</v>
      </c>
      <c r="T60" s="18">
        <f>운전실적_원본!K60</f>
        <v>33.067999999999998</v>
      </c>
      <c r="U60" s="19">
        <f t="shared" si="306"/>
        <v>4.1999999999994486E-2</v>
      </c>
      <c r="V60" s="12">
        <f>운전실적_원본!L60</f>
        <v>8264.9660000000003</v>
      </c>
      <c r="W60" s="16">
        <f t="shared" ref="W60" si="407">IF(OR(LEN(V60)=0,V60=0),"",V60-V59)</f>
        <v>275.13200000000052</v>
      </c>
      <c r="X60" s="10">
        <f>운전실적_원본!M60</f>
        <v>0</v>
      </c>
      <c r="Y60" s="10">
        <f>운전실적_원본!N60</f>
        <v>0</v>
      </c>
      <c r="Z60" s="10">
        <f>운전실적_원본!O60</f>
        <v>0</v>
      </c>
      <c r="AA60" s="10">
        <f>운전실적_원본!P60</f>
        <v>0</v>
      </c>
      <c r="AB60" s="10">
        <f>운전실적_원본!Q60</f>
        <v>0</v>
      </c>
      <c r="AC60" s="20">
        <f>운전실적_원본!R60</f>
        <v>0</v>
      </c>
      <c r="AD60" s="109">
        <f>운전실적_원본!S60</f>
        <v>0</v>
      </c>
      <c r="AE60" s="110">
        <f>운전실적_원본!T60</f>
        <v>0</v>
      </c>
      <c r="AF60" s="110">
        <f>운전실적_원본!U60</f>
        <v>0</v>
      </c>
      <c r="AG60" s="110">
        <f>운전실적_원본!V60</f>
        <v>0</v>
      </c>
      <c r="AH60" s="109">
        <f t="shared" si="1"/>
        <v>0</v>
      </c>
      <c r="AI60" s="110">
        <f t="shared" si="125"/>
        <v>0</v>
      </c>
      <c r="AJ60" s="110">
        <f>운전실적_원본!Y60</f>
        <v>0</v>
      </c>
      <c r="AK60" s="110">
        <f>운전실적_원본!Z60</f>
        <v>0</v>
      </c>
      <c r="AL60" s="106"/>
      <c r="AM60" s="105"/>
      <c r="AN60" s="105"/>
      <c r="AO60" s="105"/>
      <c r="AP60" s="105"/>
      <c r="AQ60" s="108"/>
      <c r="AR60" s="105"/>
      <c r="AS60" s="105"/>
      <c r="AT60" s="102"/>
      <c r="AU60" s="102"/>
      <c r="AV60" s="102"/>
      <c r="AW60" s="102"/>
      <c r="AX60" s="32">
        <f>운전실적_원본!W60</f>
        <v>0</v>
      </c>
      <c r="AY60" s="11">
        <f>운전실적_원본!X60</f>
        <v>0</v>
      </c>
      <c r="AZ60" s="11">
        <f>운전실적_원본!Y60</f>
        <v>0</v>
      </c>
      <c r="BA60" s="11">
        <f>운전실적_원본!Z60</f>
        <v>0</v>
      </c>
      <c r="BB60" s="11">
        <f>운전실적_원본!AA60</f>
        <v>0</v>
      </c>
      <c r="BC60" s="11">
        <f>운전실적_원본!AB60</f>
        <v>0</v>
      </c>
      <c r="BD60" s="32" t="str">
        <f t="shared" si="15"/>
        <v>-</v>
      </c>
      <c r="BE60" s="11" t="str">
        <f t="shared" si="2"/>
        <v>-</v>
      </c>
      <c r="BF60" s="11">
        <f>운전실적_원본!AE60</f>
        <v>0</v>
      </c>
      <c r="BG60" s="31">
        <f t="shared" si="0"/>
        <v>0</v>
      </c>
      <c r="BH60" s="241">
        <f>INDEX(연료전지_원본!$A$4:$KY$369,MATCH($A60,연료전지_원본!$A$4:$A$369,0),MATCH($BH$4,연료전지_원본!$A$4:$KY$4,0))</f>
        <v>24</v>
      </c>
      <c r="BI60" s="241">
        <f>INDEX(연료전지_원본!$A$4:$KY$369,MATCH($A60,연료전지_원본!$A$4:$A$369,0),MATCH($BI$4,연료전지_원본!$A$4:$KY$4,0))</f>
        <v>24</v>
      </c>
      <c r="BJ60" s="241">
        <f>INDEX(연료전지_원본!$A$4:$KY$369,MATCH($A60,연료전지_원본!$A$4:$A$369,0),MATCH($BJ$4,연료전지_원본!$A$4:$KY$4,0))</f>
        <v>24</v>
      </c>
      <c r="BK60" s="241">
        <f>INDEX(연료전지_원본!$A$4:$KY$369,MATCH($A60,연료전지_원본!$A$4:$A$369,0),MATCH($BK$4,연료전지_원본!$A$4:$KY$4,0))</f>
        <v>24</v>
      </c>
      <c r="BL60" s="241">
        <f>INDEX(연료전지_원본!$A$4:$KY$369,MATCH($A60,연료전지_원본!$A$4:$A$369,0),MATCH($BL$4,연료전지_원본!$A$4:$KY$4,0))</f>
        <v>24</v>
      </c>
      <c r="BM60" s="241">
        <f>INDEX(연료전지_원본!$A$4:$KY$369,MATCH($A60,연료전지_원본!$A$4:$A$369,0),MATCH($BM$4,연료전지_원본!$A$4:$KY$4,0))</f>
        <v>24</v>
      </c>
      <c r="BN60" s="241">
        <f>INDEX(연료전지_원본!$A$4:$KY$369,MATCH($A60,연료전지_원본!$A$4:$A$369,0),MATCH($BN$4,연료전지_원본!$A$4:$KY$4,0))</f>
        <v>24</v>
      </c>
      <c r="BO60" s="241">
        <f>INDEX(연료전지_원본!$A$4:$KY$369,MATCH($A60,연료전지_원본!$A$4:$A$369,0),MATCH($BO$4,연료전지_원본!$A$4:$KY$4,0))</f>
        <v>24</v>
      </c>
      <c r="BP60" s="241">
        <f>INDEX(연료전지_원본!$A$4:$KY$369,MATCH($A60,연료전지_원본!$A$4:$A$369,0),MATCH($BP$4,연료전지_원본!$A$4:$KY$4,0))</f>
        <v>24</v>
      </c>
      <c r="BQ60" s="241">
        <f>INDEX(연료전지_원본!$A$4:$KY$369,MATCH($A60,연료전지_원본!$A$4:$A$369,0),MATCH($BQ$4,연료전지_원본!$A$4:$KY$4,0))</f>
        <v>24</v>
      </c>
      <c r="BR60" s="241">
        <f>INDEX(연료전지_원본!$A$4:$KY$369,MATCH($A60,연료전지_원본!$A$4:$A$369,0),MATCH($BR$4,연료전지_원본!$A$4:$KY$4,0))</f>
        <v>24</v>
      </c>
      <c r="BS60" s="241">
        <f>INDEX(연료전지_원본!$A$4:$KY$369,MATCH($A60,연료전지_원본!$A$4:$A$369,0),MATCH($BS$4,연료전지_원본!$A$4:$KY$4,0))</f>
        <v>24</v>
      </c>
      <c r="BT60" s="241">
        <f>INDEX(연료전지_원본!$A$4:$KY$369,MATCH($A60,연료전지_원본!$A$4:$A$369,0),MATCH($BT$4,연료전지_원본!$A$4:$KY$4,0))</f>
        <v>24</v>
      </c>
      <c r="BU60" s="241">
        <f>INDEX(연료전지_원본!$A$4:$KY$369,MATCH($A60,연료전지_원본!$A$4:$A$369,0),MATCH($BU$4,연료전지_원본!$A$4:$KY$4,0))</f>
        <v>24</v>
      </c>
      <c r="BV60" s="241">
        <f>INDEX(연료전지_원본!$A$4:$KY$369,MATCH($A60,연료전지_원본!$A$4:$A$369,0),MATCH($BV$4,연료전지_원본!$A$4:$KY$4,0))</f>
        <v>24</v>
      </c>
      <c r="BW60" s="241">
        <f>INDEX(연료전지_원본!$A$4:$KY$369,MATCH($A60,연료전지_원본!$A$4:$A$369,0),MATCH($BW$4,연료전지_원본!$A$4:$KY$4,0))</f>
        <v>24</v>
      </c>
      <c r="BX60" s="241">
        <f>INDEX(연료전지_원본!$A$4:$KY$369,MATCH($A60,연료전지_원본!$A$4:$A$369,0),MATCH($BX$4,연료전지_원본!$A$4:$KY$4,0))</f>
        <v>24</v>
      </c>
      <c r="BY60" s="241">
        <f>INDEX(연료전지_원본!$A$4:$KY$369,MATCH($A60,연료전지_원본!$A$4:$A$369,0),MATCH($BY$4,연료전지_원본!$A$4:$KY$4,0))</f>
        <v>24</v>
      </c>
      <c r="BZ60" s="241">
        <f>INDEX(연료전지_원본!$A$4:$KY$369,MATCH($A60,연료전지_원본!$A$4:$A$369,0),MATCH($BZ$4,연료전지_원본!$A$4:$KY$4,0))</f>
        <v>24</v>
      </c>
      <c r="CA60" s="241">
        <f>INDEX(연료전지_원본!$A$4:$KY$369,MATCH($A60,연료전지_원본!$A$4:$A$369,0),MATCH($CA$4,연료전지_원본!$A$4:$KY$4,0))</f>
        <v>0</v>
      </c>
      <c r="CB60" s="241">
        <f>INDEX(연료전지_원본!$A$4:$KY$369,MATCH($A60,연료전지_원본!$A$4:$A$369,0),MATCH($CB$4,연료전지_원본!$A$4:$KY$4,0))</f>
        <v>24</v>
      </c>
      <c r="CC60" s="242">
        <f>INDEX(연료전지_원본!$A$4:$KY$369,MATCH($A60,연료전지_원본!$A$4:$A$369,0),MATCH($CC$4,연료전지_원본!$A$4:$KY$4,0))</f>
        <v>24</v>
      </c>
      <c r="CD60" s="254">
        <f>INDEX(연료전지_원본!$KB$4:$KX$369,MATCH($A60,연료전지_원본!$KB$4:$KB$369,0), MATCH(CD$4,연료전지_원본!$KB$4:$KX$4,0))*1000</f>
        <v>2092</v>
      </c>
      <c r="CE60" s="250">
        <f>INDEX(연료전지_원본!$KB$4:$KX$369,MATCH($A60,연료전지_원본!$KB$4:$KB$369,0), MATCH(CE$4,연료전지_원본!$KB$4:$KX$4,0))*1000</f>
        <v>2090</v>
      </c>
      <c r="CF60" s="250">
        <f>INDEX(연료전지_원본!$KB$4:$KX$369,MATCH($A60,연료전지_원본!$KB$4:$KB$369,0), MATCH(CF$4,연료전지_원본!$KB$4:$KX$4,0))*1000</f>
        <v>2084</v>
      </c>
      <c r="CG60" s="250">
        <f>INDEX(연료전지_원본!$KB$4:$KX$369,MATCH($A60,연료전지_원본!$KB$4:$KB$369,0), MATCH(CG$4,연료전지_원본!$KB$4:$KX$4,0))*1000</f>
        <v>2086</v>
      </c>
      <c r="CH60" s="250">
        <f>INDEX(연료전지_원본!$KB$4:$KX$369,MATCH($A60,연료전지_원본!$KB$4:$KB$369,0), MATCH(CH$4,연료전지_원본!$KB$4:$KX$4,0))*1000</f>
        <v>2092</v>
      </c>
      <c r="CI60" s="250">
        <f>INDEX(연료전지_원본!$KB$4:$KX$369,MATCH($A60,연료전지_원본!$KB$4:$KB$369,0), MATCH(CI$4,연료전지_원본!$KB$4:$KX$4,0))*1000</f>
        <v>2092</v>
      </c>
      <c r="CJ60" s="250">
        <f>INDEX(연료전지_원본!$KB$4:$KX$369,MATCH($A60,연료전지_원본!$KB$4:$KB$369,0), MATCH(CJ$4,연료전지_원본!$KB$4:$KX$4,0))*1000</f>
        <v>2081</v>
      </c>
      <c r="CK60" s="250">
        <f>INDEX(연료전지_원본!$KB$4:$KX$369,MATCH($A60,연료전지_원본!$KB$4:$KB$369,0), MATCH(CK$4,연료전지_원본!$KB$4:$KX$4,0))*1000</f>
        <v>2087</v>
      </c>
      <c r="CL60" s="250">
        <f>INDEX(연료전지_원본!$KB$4:$KX$369,MATCH($A60,연료전지_원본!$KB$4:$KB$369,0), MATCH(CL$4,연료전지_원본!$KB$4:$KX$4,0))*1000</f>
        <v>2098</v>
      </c>
      <c r="CM60" s="250">
        <f>INDEX(연료전지_원본!$KB$4:$KX$369,MATCH($A60,연료전지_원본!$KB$4:$KB$369,0), MATCH(CM$4,연료전지_원본!$KB$4:$KX$4,0))*1000</f>
        <v>2092</v>
      </c>
      <c r="CN60" s="250">
        <f>INDEX(연료전지_원본!$KB$4:$KX$369,MATCH($A60,연료전지_원본!$KB$4:$KB$369,0), MATCH(CN$4,연료전지_원본!$KB$4:$KX$4,0))*1000</f>
        <v>2096</v>
      </c>
      <c r="CO60" s="250">
        <f>INDEX(연료전지_원본!$KB$4:$KX$369,MATCH($A60,연료전지_원본!$KB$4:$KB$369,0), MATCH(CO$4,연료전지_원본!$KB$4:$KX$4,0))*1000</f>
        <v>2094</v>
      </c>
      <c r="CP60" s="250">
        <f>INDEX(연료전지_원본!$KB$4:$KX$369,MATCH($A60,연료전지_원본!$KB$4:$KB$369,0), MATCH(CP$4,연료전지_원본!$KB$4:$KX$4,0))*1000</f>
        <v>1980</v>
      </c>
      <c r="CQ60" s="250">
        <f>INDEX(연료전지_원본!$KB$4:$KX$369,MATCH($A60,연료전지_원본!$KB$4:$KB$369,0), MATCH(CQ$4,연료전지_원본!$KB$4:$KX$4,0))*1000</f>
        <v>2089</v>
      </c>
      <c r="CR60" s="250">
        <f>INDEX(연료전지_원본!$KB$4:$KX$369,MATCH($A60,연료전지_원본!$KB$4:$KB$369,0), MATCH(CR$4,연료전지_원본!$KB$4:$KX$4,0))*1000</f>
        <v>2091</v>
      </c>
      <c r="CS60" s="250">
        <f>INDEX(연료전지_원본!$KB$4:$KX$369,MATCH($A60,연료전지_원본!$KB$4:$KB$369,0), MATCH(CS$4,연료전지_원본!$KB$4:$KX$4,0))*1000</f>
        <v>2093</v>
      </c>
      <c r="CT60" s="250">
        <f>INDEX(연료전지_원본!$KB$4:$KX$369,MATCH($A60,연료전지_원본!$KB$4:$KB$369,0), MATCH(CT$4,연료전지_원본!$KB$4:$KX$4,0))*1000</f>
        <v>2090</v>
      </c>
      <c r="CU60" s="250">
        <f>INDEX(연료전지_원본!$KB$4:$KX$369,MATCH($A60,연료전지_원본!$KB$4:$KB$369,0), MATCH(CU$4,연료전지_원본!$KB$4:$KX$4,0))*1000</f>
        <v>2079</v>
      </c>
      <c r="CV60" s="250">
        <f>INDEX(연료전지_원본!$KB$4:$KX$369,MATCH($A60,연료전지_원본!$KB$4:$KB$369,0), MATCH(CV$4,연료전지_원본!$KB$4:$KX$4,0))*1000</f>
        <v>2092</v>
      </c>
      <c r="CW60" s="250">
        <f>INDEX(연료전지_원본!$KB$4:$KX$369,MATCH($A60,연료전지_원본!$KB$4:$KB$369,0), MATCH(CW$4,연료전지_원본!$KB$4:$KX$4,0))*1000</f>
        <v>0</v>
      </c>
      <c r="CX60" s="250">
        <f>INDEX(연료전지_원본!$KB$4:$KX$369,MATCH($A60,연료전지_원본!$KB$4:$KB$369,0), MATCH(CX$4,연료전지_원본!$KB$4:$KX$4,0))*1000</f>
        <v>2093</v>
      </c>
      <c r="CY60" s="255">
        <f>INDEX(연료전지_원본!$KB$4:$KX$369,MATCH($A60,연료전지_원본!$KB$4:$KB$369,0), MATCH(CY$4,연료전지_원본!$KB$4:$KX$4,0))*1000</f>
        <v>2101</v>
      </c>
      <c r="CZ60" s="185">
        <v>10.161000000000001</v>
      </c>
      <c r="DA60" s="30">
        <v>10.150999999999954</v>
      </c>
      <c r="DB60" s="30">
        <v>10.122000000000014</v>
      </c>
      <c r="DC60" s="30">
        <v>10.132999999999981</v>
      </c>
      <c r="DD60" s="30">
        <v>10.158000000000015</v>
      </c>
      <c r="DE60" s="30">
        <v>10.158999999999992</v>
      </c>
      <c r="DF60" s="30">
        <v>10.106999999999971</v>
      </c>
      <c r="DG60" s="30">
        <v>10.134000000000015</v>
      </c>
      <c r="DH60" s="30">
        <v>10.187000000000012</v>
      </c>
      <c r="DI60" s="30">
        <v>10.157999999999959</v>
      </c>
      <c r="DJ60" s="30">
        <v>10.177999999999997</v>
      </c>
      <c r="DK60" s="30">
        <v>10.168000000000006</v>
      </c>
      <c r="DL60" s="30">
        <v>9.6160000000000423</v>
      </c>
      <c r="DM60" s="30">
        <v>10.145999999999958</v>
      </c>
      <c r="DN60" s="30">
        <v>10.156999999999982</v>
      </c>
      <c r="DO60" s="30">
        <v>10.165999999999997</v>
      </c>
      <c r="DP60" s="30">
        <v>10.149000000000001</v>
      </c>
      <c r="DQ60" s="30">
        <v>10.096000000000004</v>
      </c>
      <c r="DR60" s="30">
        <v>10.161000000000001</v>
      </c>
      <c r="DS60" s="30">
        <v>0</v>
      </c>
      <c r="DT60" s="30">
        <v>10.163999999999987</v>
      </c>
      <c r="DU60" s="30">
        <v>10.204000000000008</v>
      </c>
      <c r="DV60" s="30">
        <f t="shared" si="297"/>
        <v>212.6749999999999</v>
      </c>
    </row>
    <row r="61" spans="1:126">
      <c r="A61" s="6">
        <v>46078</v>
      </c>
      <c r="B61" s="15">
        <f>운전실적_원본!B61</f>
        <v>651.20000000000005</v>
      </c>
      <c r="C61" s="16">
        <f t="shared" si="298"/>
        <v>0</v>
      </c>
      <c r="D61" s="12">
        <f>운전실적_원본!C61</f>
        <v>249871</v>
      </c>
      <c r="E61" s="12">
        <f t="shared" si="299"/>
        <v>30</v>
      </c>
      <c r="F61" s="12">
        <f>운전실적_원본!D61</f>
        <v>241360</v>
      </c>
      <c r="G61" s="16">
        <f t="shared" si="300"/>
        <v>0</v>
      </c>
      <c r="H61" s="15">
        <f>운전실적_원본!E61</f>
        <v>17263.28</v>
      </c>
      <c r="I61" s="16">
        <f t="shared" si="301"/>
        <v>4.4099999999998545</v>
      </c>
      <c r="J61" s="15">
        <f>운전실적_원본!F61</f>
        <v>15348.53</v>
      </c>
      <c r="K61" s="16">
        <f t="shared" si="301"/>
        <v>2.1300000000010186</v>
      </c>
      <c r="L61" s="32">
        <f>운전실적_원본!G61</f>
        <v>28.8</v>
      </c>
      <c r="M61" s="31">
        <f t="shared" ref="M61" si="408">IF(OR(LEN(L61)=0,L61=0),"",L61-L60)</f>
        <v>0.5</v>
      </c>
      <c r="N61" s="15">
        <f>운전실적_원본!H61</f>
        <v>39580</v>
      </c>
      <c r="O61" s="16">
        <f t="shared" ref="O61" si="409">IF(OR(LEN(N61)=0,N61=0),"",N61-N60)</f>
        <v>48</v>
      </c>
      <c r="P61" s="15">
        <f>운전실적_원본!I61</f>
        <v>23806</v>
      </c>
      <c r="Q61" s="16">
        <f t="shared" ref="Q61" si="410">IF(OR(LEN(P61)=0,P61=0),"",P61-P60)</f>
        <v>65</v>
      </c>
      <c r="R61" s="18">
        <f>운전실적_원본!J61</f>
        <v>33.46</v>
      </c>
      <c r="S61" s="19">
        <f t="shared" ref="S61" si="411">IF(OR(LEN(R61)=0,R61=0),"",R61-R60)</f>
        <v>-7.0000000000000284E-2</v>
      </c>
      <c r="T61" s="18">
        <f>운전실적_원본!K61</f>
        <v>33.020000000000003</v>
      </c>
      <c r="U61" s="19">
        <f t="shared" si="306"/>
        <v>-4.7999999999994714E-2</v>
      </c>
      <c r="V61" s="12">
        <f>운전실적_원본!L61</f>
        <v>8253</v>
      </c>
      <c r="W61" s="16">
        <f t="shared" ref="W61" si="412">IF(OR(LEN(V61)=0,V61=0),"",V61-V60)</f>
        <v>-11.966000000000349</v>
      </c>
      <c r="X61" s="10">
        <f>운전실적_원본!M61</f>
        <v>0</v>
      </c>
      <c r="Y61" s="10">
        <f>운전실적_원본!N61</f>
        <v>0</v>
      </c>
      <c r="Z61" s="10">
        <f>운전실적_원본!O61</f>
        <v>0</v>
      </c>
      <c r="AA61" s="10">
        <f>운전실적_원본!P61</f>
        <v>0</v>
      </c>
      <c r="AB61" s="10">
        <f>운전실적_원본!Q61</f>
        <v>0</v>
      </c>
      <c r="AC61" s="20">
        <f>운전실적_원본!R61</f>
        <v>0</v>
      </c>
      <c r="AD61" s="109">
        <f>운전실적_원본!S61</f>
        <v>0</v>
      </c>
      <c r="AE61" s="110">
        <f>운전실적_원본!T61</f>
        <v>0</v>
      </c>
      <c r="AF61" s="110">
        <f>운전실적_원본!U61</f>
        <v>0</v>
      </c>
      <c r="AG61" s="110">
        <f>운전실적_원본!V61</f>
        <v>0</v>
      </c>
      <c r="AH61" s="109">
        <f t="shared" si="1"/>
        <v>0</v>
      </c>
      <c r="AI61" s="110">
        <f t="shared" si="125"/>
        <v>0</v>
      </c>
      <c r="AJ61" s="110">
        <f>운전실적_원본!Y61</f>
        <v>0</v>
      </c>
      <c r="AK61" s="110">
        <f>운전실적_원본!Z61</f>
        <v>0</v>
      </c>
      <c r="AL61" s="106"/>
      <c r="AM61" s="105"/>
      <c r="AN61" s="105"/>
      <c r="AO61" s="105"/>
      <c r="AP61" s="105"/>
      <c r="AQ61" s="108"/>
      <c r="AR61" s="105"/>
      <c r="AS61" s="105"/>
      <c r="AT61" s="102"/>
      <c r="AU61" s="102"/>
      <c r="AV61" s="102"/>
      <c r="AW61" s="102"/>
      <c r="AX61" s="32">
        <f>운전실적_원본!W61</f>
        <v>0</v>
      </c>
      <c r="AY61" s="11">
        <f>운전실적_원본!X61</f>
        <v>0</v>
      </c>
      <c r="AZ61" s="11">
        <f>운전실적_원본!Y61</f>
        <v>0</v>
      </c>
      <c r="BA61" s="11">
        <f>운전실적_원본!Z61</f>
        <v>0</v>
      </c>
      <c r="BB61" s="11">
        <f>운전실적_원본!AA61</f>
        <v>0</v>
      </c>
      <c r="BC61" s="11">
        <f>운전실적_원본!AB61</f>
        <v>0</v>
      </c>
      <c r="BD61" s="32" t="str">
        <f t="shared" si="15"/>
        <v>-</v>
      </c>
      <c r="BE61" s="11" t="str">
        <f t="shared" si="2"/>
        <v>-</v>
      </c>
      <c r="BF61" s="11">
        <f>운전실적_원본!AE61</f>
        <v>0</v>
      </c>
      <c r="BG61" s="31">
        <f t="shared" si="0"/>
        <v>0</v>
      </c>
      <c r="BH61" s="241">
        <f>INDEX(연료전지_원본!$A$4:$KY$369,MATCH($A61,연료전지_원본!$A$4:$A$369,0),MATCH($BH$4,연료전지_원본!$A$4:$KY$4,0))</f>
        <v>24</v>
      </c>
      <c r="BI61" s="241">
        <f>INDEX(연료전지_원본!$A$4:$KY$369,MATCH($A61,연료전지_원본!$A$4:$A$369,0),MATCH($BI$4,연료전지_원본!$A$4:$KY$4,0))</f>
        <v>24</v>
      </c>
      <c r="BJ61" s="241">
        <f>INDEX(연료전지_원본!$A$4:$KY$369,MATCH($A61,연료전지_원본!$A$4:$A$369,0),MATCH($BJ$4,연료전지_원본!$A$4:$KY$4,0))</f>
        <v>24</v>
      </c>
      <c r="BK61" s="241">
        <f>INDEX(연료전지_원본!$A$4:$KY$369,MATCH($A61,연료전지_원본!$A$4:$A$369,0),MATCH($BK$4,연료전지_원본!$A$4:$KY$4,0))</f>
        <v>24</v>
      </c>
      <c r="BL61" s="241">
        <f>INDEX(연료전지_원본!$A$4:$KY$369,MATCH($A61,연료전지_원본!$A$4:$A$369,0),MATCH($BL$4,연료전지_원본!$A$4:$KY$4,0))</f>
        <v>24</v>
      </c>
      <c r="BM61" s="241">
        <f>INDEX(연료전지_원본!$A$4:$KY$369,MATCH($A61,연료전지_원본!$A$4:$A$369,0),MATCH($BM$4,연료전지_원본!$A$4:$KY$4,0))</f>
        <v>24</v>
      </c>
      <c r="BN61" s="241">
        <f>INDEX(연료전지_원본!$A$4:$KY$369,MATCH($A61,연료전지_원본!$A$4:$A$369,0),MATCH($BN$4,연료전지_원본!$A$4:$KY$4,0))</f>
        <v>24</v>
      </c>
      <c r="BO61" s="241">
        <f>INDEX(연료전지_원본!$A$4:$KY$369,MATCH($A61,연료전지_원본!$A$4:$A$369,0),MATCH($BO$4,연료전지_원본!$A$4:$KY$4,0))</f>
        <v>24</v>
      </c>
      <c r="BP61" s="241">
        <f>INDEX(연료전지_원본!$A$4:$KY$369,MATCH($A61,연료전지_원본!$A$4:$A$369,0),MATCH($BP$4,연료전지_원본!$A$4:$KY$4,0))</f>
        <v>24</v>
      </c>
      <c r="BQ61" s="241">
        <f>INDEX(연료전지_원본!$A$4:$KY$369,MATCH($A61,연료전지_원본!$A$4:$A$369,0),MATCH($BQ$4,연료전지_원본!$A$4:$KY$4,0))</f>
        <v>24</v>
      </c>
      <c r="BR61" s="241">
        <f>INDEX(연료전지_원본!$A$4:$KY$369,MATCH($A61,연료전지_원본!$A$4:$A$369,0),MATCH($BR$4,연료전지_원본!$A$4:$KY$4,0))</f>
        <v>24</v>
      </c>
      <c r="BS61" s="241">
        <f>INDEX(연료전지_원본!$A$4:$KY$369,MATCH($A61,연료전지_원본!$A$4:$A$369,0),MATCH($BS$4,연료전지_원본!$A$4:$KY$4,0))</f>
        <v>24</v>
      </c>
      <c r="BT61" s="241">
        <f>INDEX(연료전지_원본!$A$4:$KY$369,MATCH($A61,연료전지_원본!$A$4:$A$369,0),MATCH($BT$4,연료전지_원본!$A$4:$KY$4,0))</f>
        <v>24</v>
      </c>
      <c r="BU61" s="241">
        <f>INDEX(연료전지_원본!$A$4:$KY$369,MATCH($A61,연료전지_원본!$A$4:$A$369,0),MATCH($BU$4,연료전지_원본!$A$4:$KY$4,0))</f>
        <v>24</v>
      </c>
      <c r="BV61" s="241">
        <f>INDEX(연료전지_원본!$A$4:$KY$369,MATCH($A61,연료전지_원본!$A$4:$A$369,0),MATCH($BV$4,연료전지_원본!$A$4:$KY$4,0))</f>
        <v>24</v>
      </c>
      <c r="BW61" s="241">
        <f>INDEX(연료전지_원본!$A$4:$KY$369,MATCH($A61,연료전지_원본!$A$4:$A$369,0),MATCH($BW$4,연료전지_원본!$A$4:$KY$4,0))</f>
        <v>24</v>
      </c>
      <c r="BX61" s="241">
        <f>INDEX(연료전지_원본!$A$4:$KY$369,MATCH($A61,연료전지_원본!$A$4:$A$369,0),MATCH($BX$4,연료전지_원본!$A$4:$KY$4,0))</f>
        <v>24</v>
      </c>
      <c r="BY61" s="241">
        <f>INDEX(연료전지_원본!$A$4:$KY$369,MATCH($A61,연료전지_원본!$A$4:$A$369,0),MATCH($BY$4,연료전지_원본!$A$4:$KY$4,0))</f>
        <v>24</v>
      </c>
      <c r="BZ61" s="241">
        <f>INDEX(연료전지_원본!$A$4:$KY$369,MATCH($A61,연료전지_원본!$A$4:$A$369,0),MATCH($BZ$4,연료전지_원본!$A$4:$KY$4,0))</f>
        <v>24</v>
      </c>
      <c r="CA61" s="241">
        <f>INDEX(연료전지_원본!$A$4:$KY$369,MATCH($A61,연료전지_원본!$A$4:$A$369,0),MATCH($CA$4,연료전지_원본!$A$4:$KY$4,0))</f>
        <v>10.833333333333332</v>
      </c>
      <c r="CB61" s="241">
        <f>INDEX(연료전지_원본!$A$4:$KY$369,MATCH($A61,연료전지_원본!$A$4:$A$369,0),MATCH($CB$4,연료전지_원본!$A$4:$KY$4,0))</f>
        <v>24</v>
      </c>
      <c r="CC61" s="242">
        <f>INDEX(연료전지_원본!$A$4:$KY$369,MATCH($A61,연료전지_원본!$A$4:$A$369,0),MATCH($CC$4,연료전지_원본!$A$4:$KY$4,0))</f>
        <v>24</v>
      </c>
      <c r="CD61" s="254">
        <f>INDEX(연료전지_원본!$KB$4:$KX$369,MATCH($A61,연료전지_원본!$KB$4:$KB$369,0), MATCH(CD$4,연료전지_원본!$KB$4:$KX$4,0))*1000</f>
        <v>2142</v>
      </c>
      <c r="CE61" s="250">
        <f>INDEX(연료전지_원본!$KB$4:$KX$369,MATCH($A61,연료전지_원본!$KB$4:$KB$369,0), MATCH(CE$4,연료전지_원본!$KB$4:$KX$4,0))*1000</f>
        <v>2140</v>
      </c>
      <c r="CF61" s="250">
        <f>INDEX(연료전지_원본!$KB$4:$KX$369,MATCH($A61,연료전지_원본!$KB$4:$KB$369,0), MATCH(CF$4,연료전지_원본!$KB$4:$KX$4,0))*1000</f>
        <v>2134</v>
      </c>
      <c r="CG61" s="250">
        <f>INDEX(연료전지_원본!$KB$4:$KX$369,MATCH($A61,연료전지_원본!$KB$4:$KB$369,0), MATCH(CG$4,연료전지_원본!$KB$4:$KX$4,0))*1000</f>
        <v>2136</v>
      </c>
      <c r="CH61" s="250">
        <f>INDEX(연료전지_원본!$KB$4:$KX$369,MATCH($A61,연료전지_원본!$KB$4:$KB$369,0), MATCH(CH$4,연료전지_원본!$KB$4:$KX$4,0))*1000</f>
        <v>2141</v>
      </c>
      <c r="CI61" s="250">
        <f>INDEX(연료전지_원본!$KB$4:$KX$369,MATCH($A61,연료전지_원본!$KB$4:$KB$369,0), MATCH(CI$4,연료전지_원본!$KB$4:$KX$4,0))*1000</f>
        <v>2141</v>
      </c>
      <c r="CJ61" s="250">
        <f>INDEX(연료전지_원본!$KB$4:$KX$369,MATCH($A61,연료전지_원본!$KB$4:$KB$369,0), MATCH(CJ$4,연료전지_원본!$KB$4:$KX$4,0))*1000</f>
        <v>2131</v>
      </c>
      <c r="CK61" s="250">
        <f>INDEX(연료전지_원본!$KB$4:$KX$369,MATCH($A61,연료전지_원본!$KB$4:$KB$369,0), MATCH(CK$4,연료전지_원본!$KB$4:$KX$4,0))*1000</f>
        <v>2135</v>
      </c>
      <c r="CL61" s="250">
        <f>INDEX(연료전지_원본!$KB$4:$KX$369,MATCH($A61,연료전지_원본!$KB$4:$KB$369,0), MATCH(CL$4,연료전지_원본!$KB$4:$KX$4,0))*1000</f>
        <v>2147</v>
      </c>
      <c r="CM61" s="250">
        <f>INDEX(연료전지_원본!$KB$4:$KX$369,MATCH($A61,연료전지_원본!$KB$4:$KB$369,0), MATCH(CM$4,연료전지_원본!$KB$4:$KX$4,0))*1000</f>
        <v>2142</v>
      </c>
      <c r="CN61" s="250">
        <f>INDEX(연료전지_원본!$KB$4:$KX$369,MATCH($A61,연료전지_원본!$KB$4:$KB$369,0), MATCH(CN$4,연료전지_원본!$KB$4:$KX$4,0))*1000</f>
        <v>2144</v>
      </c>
      <c r="CO61" s="250">
        <f>INDEX(연료전지_원본!$KB$4:$KX$369,MATCH($A61,연료전지_원본!$KB$4:$KB$369,0), MATCH(CO$4,연료전지_원본!$KB$4:$KX$4,0))*1000</f>
        <v>2143</v>
      </c>
      <c r="CP61" s="250">
        <f>INDEX(연료전지_원본!$KB$4:$KX$369,MATCH($A61,연료전지_원본!$KB$4:$KB$369,0), MATCH(CP$4,연료전지_원본!$KB$4:$KX$4,0))*1000</f>
        <v>2139</v>
      </c>
      <c r="CQ61" s="250">
        <f>INDEX(연료전지_원본!$KB$4:$KX$369,MATCH($A61,연료전지_원본!$KB$4:$KB$369,0), MATCH(CQ$4,연료전지_원본!$KB$4:$KX$4,0))*1000</f>
        <v>2139</v>
      </c>
      <c r="CR61" s="250">
        <f>INDEX(연료전지_원본!$KB$4:$KX$369,MATCH($A61,연료전지_원본!$KB$4:$KB$369,0), MATCH(CR$4,연료전지_원본!$KB$4:$KX$4,0))*1000</f>
        <v>2141</v>
      </c>
      <c r="CS61" s="250">
        <f>INDEX(연료전지_원본!$KB$4:$KX$369,MATCH($A61,연료전지_원본!$KB$4:$KB$369,0), MATCH(CS$4,연료전지_원본!$KB$4:$KX$4,0))*1000</f>
        <v>2143</v>
      </c>
      <c r="CT61" s="250">
        <f>INDEX(연료전지_원본!$KB$4:$KX$369,MATCH($A61,연료전지_원본!$KB$4:$KB$369,0), MATCH(CT$4,연료전지_원본!$KB$4:$KX$4,0))*1000</f>
        <v>2139</v>
      </c>
      <c r="CU61" s="250">
        <f>INDEX(연료전지_원본!$KB$4:$KX$369,MATCH($A61,연료전지_원본!$KB$4:$KB$369,0), MATCH(CU$4,연료전지_원본!$KB$4:$KX$4,0))*1000</f>
        <v>2128</v>
      </c>
      <c r="CV61" s="250">
        <f>INDEX(연료전지_원본!$KB$4:$KX$369,MATCH($A61,연료전지_원본!$KB$4:$KB$369,0), MATCH(CV$4,연료전지_원본!$KB$4:$KX$4,0))*1000</f>
        <v>2142</v>
      </c>
      <c r="CW61" s="250">
        <f>INDEX(연료전지_원본!$KB$4:$KX$369,MATCH($A61,연료전지_원본!$KB$4:$KB$369,0), MATCH(CW$4,연료전지_원본!$KB$4:$KX$4,0))*1000</f>
        <v>937</v>
      </c>
      <c r="CX61" s="250">
        <f>INDEX(연료전지_원본!$KB$4:$KX$369,MATCH($A61,연료전지_원본!$KB$4:$KB$369,0), MATCH(CX$4,연료전지_원본!$KB$4:$KX$4,0))*1000</f>
        <v>2142</v>
      </c>
      <c r="CY61" s="255">
        <f>INDEX(연료전지_원본!$KB$4:$KX$369,MATCH($A61,연료전지_원본!$KB$4:$KB$369,0), MATCH(CY$4,연료전지_원본!$KB$4:$KX$4,0))*1000</f>
        <v>2148</v>
      </c>
      <c r="CZ61" s="185">
        <v>10.148000000000025</v>
      </c>
      <c r="DA61" s="30">
        <v>10.13900000000001</v>
      </c>
      <c r="DB61" s="30">
        <v>10.111999999999966</v>
      </c>
      <c r="DC61" s="30">
        <v>10.119000000000028</v>
      </c>
      <c r="DD61" s="30">
        <v>10.144999999999982</v>
      </c>
      <c r="DE61" s="30">
        <v>10.144999999999982</v>
      </c>
      <c r="DF61" s="30">
        <v>10.09899999999999</v>
      </c>
      <c r="DG61" s="30">
        <v>10.116999999999962</v>
      </c>
      <c r="DH61" s="30">
        <v>10.173999999999978</v>
      </c>
      <c r="DI61" s="30">
        <v>10.149000000000001</v>
      </c>
      <c r="DJ61" s="30">
        <v>10.160000000000025</v>
      </c>
      <c r="DK61" s="30">
        <v>10.151999999999987</v>
      </c>
      <c r="DL61" s="30">
        <v>10.133999999999958</v>
      </c>
      <c r="DM61" s="30">
        <v>10.134999999999991</v>
      </c>
      <c r="DN61" s="30">
        <v>10.144999999999982</v>
      </c>
      <c r="DO61" s="30">
        <v>10.152999999999963</v>
      </c>
      <c r="DP61" s="30">
        <v>10.134999999999991</v>
      </c>
      <c r="DQ61" s="30">
        <v>10.083000000000027</v>
      </c>
      <c r="DR61" s="30">
        <v>10.15100000000001</v>
      </c>
      <c r="DS61" s="30">
        <v>4.4420000000000073</v>
      </c>
      <c r="DT61" s="30">
        <v>10.15100000000001</v>
      </c>
      <c r="DU61" s="30">
        <v>10.180000000000007</v>
      </c>
      <c r="DV61" s="30">
        <f t="shared" si="297"/>
        <v>217.36799999999988</v>
      </c>
    </row>
    <row r="62" spans="1:126">
      <c r="A62" s="6">
        <v>46079</v>
      </c>
      <c r="B62" s="15">
        <f>운전실적_원본!B62</f>
        <v>651.20000000000005</v>
      </c>
      <c r="C62" s="16">
        <f t="shared" si="298"/>
        <v>0</v>
      </c>
      <c r="D62" s="12">
        <f>운전실적_원본!C62</f>
        <v>249883</v>
      </c>
      <c r="E62" s="12">
        <f t="shared" si="299"/>
        <v>12</v>
      </c>
      <c r="F62" s="12">
        <f>운전실적_원본!D62</f>
        <v>241360</v>
      </c>
      <c r="G62" s="16">
        <f t="shared" si="300"/>
        <v>0</v>
      </c>
      <c r="H62" s="15">
        <f>운전실적_원본!E62</f>
        <v>17267.36</v>
      </c>
      <c r="I62" s="16">
        <f t="shared" si="301"/>
        <v>4.0800000000017462</v>
      </c>
      <c r="J62" s="15">
        <f>운전실적_원본!F62</f>
        <v>15349.91</v>
      </c>
      <c r="K62" s="16">
        <f t="shared" si="301"/>
        <v>1.3799999999991996</v>
      </c>
      <c r="L62" s="32">
        <f>운전실적_원본!G62</f>
        <v>29.2</v>
      </c>
      <c r="M62" s="31">
        <f t="shared" ref="M62" si="413">IF(OR(LEN(L62)=0,L62=0),"",L62-L61)</f>
        <v>0.39999999999999858</v>
      </c>
      <c r="N62" s="15">
        <f>운전실적_원본!H62</f>
        <v>39580</v>
      </c>
      <c r="O62" s="16">
        <f t="shared" ref="O62" si="414">IF(OR(LEN(N62)=0,N62=0),"",N62-N61)</f>
        <v>0</v>
      </c>
      <c r="P62" s="15">
        <f>운전실적_원본!I62</f>
        <v>23829</v>
      </c>
      <c r="Q62" s="16">
        <f t="shared" ref="Q62" si="415">IF(OR(LEN(P62)=0,P62=0),"",P62-P61)</f>
        <v>23</v>
      </c>
      <c r="R62" s="18">
        <f>운전실적_원본!J62</f>
        <v>33.5</v>
      </c>
      <c r="S62" s="19">
        <f t="shared" ref="S62" si="416">IF(OR(LEN(R62)=0,R62=0),"",R62-R61)</f>
        <v>3.9999999999999147E-2</v>
      </c>
      <c r="T62" s="18">
        <f>운전실적_원본!K62</f>
        <v>33.049999999999997</v>
      </c>
      <c r="U62" s="19">
        <f t="shared" si="306"/>
        <v>2.9999999999994031E-2</v>
      </c>
      <c r="V62" s="12">
        <f>운전실적_원본!L62</f>
        <v>8402</v>
      </c>
      <c r="W62" s="16">
        <f t="shared" ref="W62" si="417">IF(OR(LEN(V62)=0,V62=0),"",V62-V61)</f>
        <v>149</v>
      </c>
      <c r="X62" s="10">
        <f>운전실적_원본!M62</f>
        <v>0</v>
      </c>
      <c r="Y62" s="10">
        <f>운전실적_원본!N62</f>
        <v>0</v>
      </c>
      <c r="Z62" s="10">
        <f>운전실적_원본!O62</f>
        <v>0</v>
      </c>
      <c r="AA62" s="10">
        <f>운전실적_원본!P62</f>
        <v>0</v>
      </c>
      <c r="AB62" s="10">
        <f>운전실적_원본!Q62</f>
        <v>0</v>
      </c>
      <c r="AC62" s="20">
        <f>운전실적_원본!R62</f>
        <v>0</v>
      </c>
      <c r="AD62" s="109">
        <f>운전실적_원본!S62</f>
        <v>0</v>
      </c>
      <c r="AE62" s="110">
        <f>운전실적_원본!T62</f>
        <v>0</v>
      </c>
      <c r="AF62" s="110">
        <f>운전실적_원본!U62</f>
        <v>0</v>
      </c>
      <c r="AG62" s="110">
        <f>운전실적_원본!V62</f>
        <v>0</v>
      </c>
      <c r="AH62" s="109">
        <f t="shared" si="1"/>
        <v>0</v>
      </c>
      <c r="AI62" s="110">
        <f t="shared" si="125"/>
        <v>0</v>
      </c>
      <c r="AJ62" s="110">
        <f>운전실적_원본!Y62</f>
        <v>0</v>
      </c>
      <c r="AK62" s="110">
        <f>운전실적_원본!Z62</f>
        <v>0</v>
      </c>
      <c r="AL62" s="106"/>
      <c r="AM62" s="105"/>
      <c r="AN62" s="105"/>
      <c r="AO62" s="105"/>
      <c r="AP62" s="105"/>
      <c r="AQ62" s="108"/>
      <c r="AR62" s="105"/>
      <c r="AS62" s="105"/>
      <c r="AT62" s="102"/>
      <c r="AU62" s="102"/>
      <c r="AV62" s="102"/>
      <c r="AW62" s="102"/>
      <c r="AX62" s="32">
        <f>운전실적_원본!W62</f>
        <v>0</v>
      </c>
      <c r="AY62" s="11">
        <f>운전실적_원본!X62</f>
        <v>0</v>
      </c>
      <c r="AZ62" s="11">
        <f>운전실적_원본!Y62</f>
        <v>0</v>
      </c>
      <c r="BA62" s="11">
        <f>운전실적_원본!Z62</f>
        <v>0</v>
      </c>
      <c r="BB62" s="11">
        <f>운전실적_원본!AA62</f>
        <v>0</v>
      </c>
      <c r="BC62" s="11">
        <f>운전실적_원본!AB62</f>
        <v>0</v>
      </c>
      <c r="BD62" s="32" t="str">
        <f t="shared" si="15"/>
        <v>-</v>
      </c>
      <c r="BE62" s="11" t="str">
        <f t="shared" si="2"/>
        <v>-</v>
      </c>
      <c r="BF62" s="11">
        <f>운전실적_원본!AE62</f>
        <v>0</v>
      </c>
      <c r="BG62" s="31">
        <f t="shared" si="0"/>
        <v>0</v>
      </c>
      <c r="BH62" s="241">
        <f>INDEX(연료전지_원본!$A$4:$KY$369,MATCH($A62,연료전지_원본!$A$4:$A$369,0),MATCH($BH$4,연료전지_원본!$A$4:$KY$4,0))</f>
        <v>24</v>
      </c>
      <c r="BI62" s="241">
        <f>INDEX(연료전지_원본!$A$4:$KY$369,MATCH($A62,연료전지_원본!$A$4:$A$369,0),MATCH($BI$4,연료전지_원본!$A$4:$KY$4,0))</f>
        <v>24</v>
      </c>
      <c r="BJ62" s="241">
        <f>INDEX(연료전지_원본!$A$4:$KY$369,MATCH($A62,연료전지_원본!$A$4:$A$369,0),MATCH($BJ$4,연료전지_원본!$A$4:$KY$4,0))</f>
        <v>24</v>
      </c>
      <c r="BK62" s="241">
        <f>INDEX(연료전지_원본!$A$4:$KY$369,MATCH($A62,연료전지_원본!$A$4:$A$369,0),MATCH($BK$4,연료전지_원본!$A$4:$KY$4,0))</f>
        <v>24</v>
      </c>
      <c r="BL62" s="241">
        <f>INDEX(연료전지_원본!$A$4:$KY$369,MATCH($A62,연료전지_원본!$A$4:$A$369,0),MATCH($BL$4,연료전지_원본!$A$4:$KY$4,0))</f>
        <v>24</v>
      </c>
      <c r="BM62" s="241">
        <f>INDEX(연료전지_원본!$A$4:$KY$369,MATCH($A62,연료전지_원본!$A$4:$A$369,0),MATCH($BM$4,연료전지_원본!$A$4:$KY$4,0))</f>
        <v>24</v>
      </c>
      <c r="BN62" s="241">
        <f>INDEX(연료전지_원본!$A$4:$KY$369,MATCH($A62,연료전지_원본!$A$4:$A$369,0),MATCH($BN$4,연료전지_원본!$A$4:$KY$4,0))</f>
        <v>24</v>
      </c>
      <c r="BO62" s="241">
        <f>INDEX(연료전지_원본!$A$4:$KY$369,MATCH($A62,연료전지_원본!$A$4:$A$369,0),MATCH($BO$4,연료전지_원본!$A$4:$KY$4,0))</f>
        <v>24</v>
      </c>
      <c r="BP62" s="241">
        <f>INDEX(연료전지_원본!$A$4:$KY$369,MATCH($A62,연료전지_원본!$A$4:$A$369,0),MATCH($BP$4,연료전지_원본!$A$4:$KY$4,0))</f>
        <v>24</v>
      </c>
      <c r="BQ62" s="241">
        <f>INDEX(연료전지_원본!$A$4:$KY$369,MATCH($A62,연료전지_원본!$A$4:$A$369,0),MATCH($BQ$4,연료전지_원본!$A$4:$KY$4,0))</f>
        <v>24</v>
      </c>
      <c r="BR62" s="241">
        <f>INDEX(연료전지_원본!$A$4:$KY$369,MATCH($A62,연료전지_원본!$A$4:$A$369,0),MATCH($BR$4,연료전지_원본!$A$4:$KY$4,0))</f>
        <v>24</v>
      </c>
      <c r="BS62" s="241">
        <f>INDEX(연료전지_원본!$A$4:$KY$369,MATCH($A62,연료전지_원본!$A$4:$A$369,0),MATCH($BS$4,연료전지_원본!$A$4:$KY$4,0))</f>
        <v>24</v>
      </c>
      <c r="BT62" s="241">
        <f>INDEX(연료전지_원본!$A$4:$KY$369,MATCH($A62,연료전지_원본!$A$4:$A$369,0),MATCH($BT$4,연료전지_원본!$A$4:$KY$4,0))</f>
        <v>24</v>
      </c>
      <c r="BU62" s="241">
        <f>INDEX(연료전지_원본!$A$4:$KY$369,MATCH($A62,연료전지_원본!$A$4:$A$369,0),MATCH($BU$4,연료전지_원본!$A$4:$KY$4,0))</f>
        <v>24</v>
      </c>
      <c r="BV62" s="241">
        <f>INDEX(연료전지_원본!$A$4:$KY$369,MATCH($A62,연료전지_원본!$A$4:$A$369,0),MATCH($BV$4,연료전지_원본!$A$4:$KY$4,0))</f>
        <v>24</v>
      </c>
      <c r="BW62" s="241">
        <f>INDEX(연료전지_원본!$A$4:$KY$369,MATCH($A62,연료전지_원본!$A$4:$A$369,0),MATCH($BW$4,연료전지_원본!$A$4:$KY$4,0))</f>
        <v>24</v>
      </c>
      <c r="BX62" s="241">
        <f>INDEX(연료전지_원본!$A$4:$KY$369,MATCH($A62,연료전지_원본!$A$4:$A$369,0),MATCH($BX$4,연료전지_원본!$A$4:$KY$4,0))</f>
        <v>24</v>
      </c>
      <c r="BY62" s="241">
        <f>INDEX(연료전지_원본!$A$4:$KY$369,MATCH($A62,연료전지_원본!$A$4:$A$369,0),MATCH($BY$4,연료전지_원본!$A$4:$KY$4,0))</f>
        <v>24</v>
      </c>
      <c r="BZ62" s="241">
        <f>INDEX(연료전지_원본!$A$4:$KY$369,MATCH($A62,연료전지_원본!$A$4:$A$369,0),MATCH($BZ$4,연료전지_원본!$A$4:$KY$4,0))</f>
        <v>24</v>
      </c>
      <c r="CA62" s="241">
        <f>INDEX(연료전지_원본!$A$4:$KY$369,MATCH($A62,연료전지_원본!$A$4:$A$369,0),MATCH($CA$4,연료전지_원본!$A$4:$KY$4,0))</f>
        <v>24</v>
      </c>
      <c r="CB62" s="241">
        <f>INDEX(연료전지_원본!$A$4:$KY$369,MATCH($A62,연료전지_원본!$A$4:$A$369,0),MATCH($CB$4,연료전지_원본!$A$4:$KY$4,0))</f>
        <v>24</v>
      </c>
      <c r="CC62" s="242">
        <f>INDEX(연료전지_원본!$A$4:$KY$369,MATCH($A62,연료전지_원본!$A$4:$A$369,0),MATCH($CC$4,연료전지_원본!$A$4:$KY$4,0))</f>
        <v>24</v>
      </c>
      <c r="CD62" s="254">
        <f>INDEX(연료전지_원본!$KB$4:$KX$369,MATCH($A62,연료전지_원본!$KB$4:$KB$369,0), MATCH(CD$4,연료전지_원본!$KB$4:$KX$4,0))*1000</f>
        <v>2118</v>
      </c>
      <c r="CE62" s="250">
        <f>INDEX(연료전지_원본!$KB$4:$KX$369,MATCH($A62,연료전지_원본!$KB$4:$KB$369,0), MATCH(CE$4,연료전지_원본!$KB$4:$KX$4,0))*1000</f>
        <v>2116</v>
      </c>
      <c r="CF62" s="250">
        <f>INDEX(연료전지_원본!$KB$4:$KX$369,MATCH($A62,연료전지_원본!$KB$4:$KB$369,0), MATCH(CF$4,연료전지_원본!$KB$4:$KX$4,0))*1000</f>
        <v>2109</v>
      </c>
      <c r="CG62" s="250">
        <f>INDEX(연료전지_원본!$KB$4:$KX$369,MATCH($A62,연료전지_원본!$KB$4:$KB$369,0), MATCH(CG$4,연료전지_원본!$KB$4:$KX$4,0))*1000</f>
        <v>2112</v>
      </c>
      <c r="CH62" s="250">
        <f>INDEX(연료전지_원본!$KB$4:$KX$369,MATCH($A62,연료전지_원본!$KB$4:$KB$369,0), MATCH(CH$4,연료전지_원본!$KB$4:$KX$4,0))*1000</f>
        <v>2115</v>
      </c>
      <c r="CI62" s="250">
        <f>INDEX(연료전지_원본!$KB$4:$KX$369,MATCH($A62,연료전지_원본!$KB$4:$KB$369,0), MATCH(CI$4,연료전지_원본!$KB$4:$KX$4,0))*1000</f>
        <v>2118</v>
      </c>
      <c r="CJ62" s="250">
        <f>INDEX(연료전지_원본!$KB$4:$KX$369,MATCH($A62,연료전지_원본!$KB$4:$KB$369,0), MATCH(CJ$4,연료전지_원본!$KB$4:$KX$4,0))*1000</f>
        <v>2107</v>
      </c>
      <c r="CK62" s="250">
        <f>INDEX(연료전지_원본!$KB$4:$KX$369,MATCH($A62,연료전지_원본!$KB$4:$KB$369,0), MATCH(CK$4,연료전지_원본!$KB$4:$KX$4,0))*1000</f>
        <v>2112</v>
      </c>
      <c r="CL62" s="250">
        <f>INDEX(연료전지_원본!$KB$4:$KX$369,MATCH($A62,연료전지_원본!$KB$4:$KB$369,0), MATCH(CL$4,연료전지_원본!$KB$4:$KX$4,0))*1000</f>
        <v>2123</v>
      </c>
      <c r="CM62" s="250">
        <f>INDEX(연료전지_원본!$KB$4:$KX$369,MATCH($A62,연료전지_원본!$KB$4:$KB$369,0), MATCH(CM$4,연료전지_원본!$KB$4:$KX$4,0))*1000</f>
        <v>2117</v>
      </c>
      <c r="CN62" s="250">
        <f>INDEX(연료전지_원본!$KB$4:$KX$369,MATCH($A62,연료전지_원본!$KB$4:$KB$369,0), MATCH(CN$4,연료전지_원본!$KB$4:$KX$4,0))*1000</f>
        <v>2121</v>
      </c>
      <c r="CO62" s="250">
        <f>INDEX(연료전지_원본!$KB$4:$KX$369,MATCH($A62,연료전지_원본!$KB$4:$KB$369,0), MATCH(CO$4,연료전지_원본!$KB$4:$KX$4,0))*1000</f>
        <v>2119</v>
      </c>
      <c r="CP62" s="250">
        <f>INDEX(연료전지_원본!$KB$4:$KX$369,MATCH($A62,연료전지_원본!$KB$4:$KB$369,0), MATCH(CP$4,연료전지_원본!$KB$4:$KX$4,0))*1000</f>
        <v>2115</v>
      </c>
      <c r="CQ62" s="250">
        <f>INDEX(연료전지_원본!$KB$4:$KX$369,MATCH($A62,연료전지_원본!$KB$4:$KB$369,0), MATCH(CQ$4,연료전지_원본!$KB$4:$KX$4,0))*1000</f>
        <v>2115</v>
      </c>
      <c r="CR62" s="250">
        <f>INDEX(연료전지_원본!$KB$4:$KX$369,MATCH($A62,연료전지_원본!$KB$4:$KB$369,0), MATCH(CR$4,연료전지_원본!$KB$4:$KX$4,0))*1000</f>
        <v>2117</v>
      </c>
      <c r="CS62" s="250">
        <f>INDEX(연료전지_원본!$KB$4:$KX$369,MATCH($A62,연료전지_원본!$KB$4:$KB$369,0), MATCH(CS$4,연료전지_원본!$KB$4:$KX$4,0))*1000</f>
        <v>2120</v>
      </c>
      <c r="CT62" s="250">
        <f>INDEX(연료전지_원본!$KB$4:$KX$369,MATCH($A62,연료전지_원본!$KB$4:$KB$369,0), MATCH(CT$4,연료전지_원본!$KB$4:$KX$4,0))*1000</f>
        <v>2116</v>
      </c>
      <c r="CU62" s="250">
        <f>INDEX(연료전지_원본!$KB$4:$KX$369,MATCH($A62,연료전지_원본!$KB$4:$KB$369,0), MATCH(CU$4,연료전지_원본!$KB$4:$KX$4,0))*1000</f>
        <v>2109</v>
      </c>
      <c r="CV62" s="250">
        <f>INDEX(연료전지_원본!$KB$4:$KX$369,MATCH($A62,연료전지_원본!$KB$4:$KB$369,0), MATCH(CV$4,연료전지_원본!$KB$4:$KX$4,0))*1000</f>
        <v>2119</v>
      </c>
      <c r="CW62" s="250">
        <f>INDEX(연료전지_원본!$KB$4:$KX$369,MATCH($A62,연료전지_원본!$KB$4:$KB$369,0), MATCH(CW$4,연료전지_원본!$KB$4:$KX$4,0))*1000</f>
        <v>2104</v>
      </c>
      <c r="CX62" s="250">
        <f>INDEX(연료전지_원본!$KB$4:$KX$369,MATCH($A62,연료전지_원본!$KB$4:$KB$369,0), MATCH(CX$4,연료전지_원본!$KB$4:$KX$4,0))*1000</f>
        <v>2119</v>
      </c>
      <c r="CY62" s="255">
        <f>INDEX(연료전지_원본!$KB$4:$KX$369,MATCH($A62,연료전지_원본!$KB$4:$KB$369,0), MATCH(CY$4,연료전지_원본!$KB$4:$KX$4,0))*1000</f>
        <v>2128</v>
      </c>
      <c r="CZ62" s="185">
        <v>10.139999999999986</v>
      </c>
      <c r="DA62" s="30">
        <v>10.129999999999995</v>
      </c>
      <c r="DB62" s="30">
        <v>10.098000000000013</v>
      </c>
      <c r="DC62" s="30">
        <v>10.109999999999957</v>
      </c>
      <c r="DD62" s="30">
        <v>10.126000000000033</v>
      </c>
      <c r="DE62" s="30">
        <v>10.138000000000034</v>
      </c>
      <c r="DF62" s="30">
        <v>10.086999999999989</v>
      </c>
      <c r="DG62" s="30">
        <v>10.111000000000047</v>
      </c>
      <c r="DH62" s="30">
        <v>10.162000000000035</v>
      </c>
      <c r="DI62" s="30">
        <v>10.136000000000024</v>
      </c>
      <c r="DJ62" s="30">
        <v>10.152999999999963</v>
      </c>
      <c r="DK62" s="30">
        <v>10.142000000000053</v>
      </c>
      <c r="DL62" s="30">
        <v>10.126000000000033</v>
      </c>
      <c r="DM62" s="30">
        <v>10.126000000000033</v>
      </c>
      <c r="DN62" s="30">
        <v>10.136000000000024</v>
      </c>
      <c r="DO62" s="30">
        <v>10.149000000000001</v>
      </c>
      <c r="DP62" s="30">
        <v>10.128000000000043</v>
      </c>
      <c r="DQ62" s="30">
        <v>10.096000000000004</v>
      </c>
      <c r="DR62" s="30">
        <v>10.144999999999982</v>
      </c>
      <c r="DS62" s="30">
        <v>10.073999999999984</v>
      </c>
      <c r="DT62" s="30">
        <v>10.143000000000029</v>
      </c>
      <c r="DU62" s="30">
        <v>10.186999999999983</v>
      </c>
      <c r="DV62" s="30">
        <f t="shared" si="297"/>
        <v>222.84300000000025</v>
      </c>
    </row>
    <row r="63" spans="1:126">
      <c r="A63" s="6">
        <v>46080</v>
      </c>
      <c r="B63" s="15">
        <f>운전실적_원본!B63</f>
        <v>651.20000000000005</v>
      </c>
      <c r="C63" s="16">
        <f t="shared" si="298"/>
        <v>0</v>
      </c>
      <c r="D63" s="12">
        <f>운전실적_원본!C63</f>
        <v>249883</v>
      </c>
      <c r="E63" s="12">
        <f t="shared" si="299"/>
        <v>0</v>
      </c>
      <c r="F63" s="12">
        <f>운전실적_원본!D63</f>
        <v>241384</v>
      </c>
      <c r="G63" s="16">
        <f t="shared" si="300"/>
        <v>24</v>
      </c>
      <c r="H63" s="15">
        <f>운전실적_원본!E63</f>
        <v>17272.73</v>
      </c>
      <c r="I63" s="16">
        <f t="shared" si="301"/>
        <v>5.3699999999989814</v>
      </c>
      <c r="J63" s="15">
        <f>운전실적_원본!F63</f>
        <v>15350.98</v>
      </c>
      <c r="K63" s="16">
        <f t="shared" si="301"/>
        <v>1.069999999999709</v>
      </c>
      <c r="L63" s="32">
        <f>운전실적_원본!G63</f>
        <v>30</v>
      </c>
      <c r="M63" s="31">
        <f t="shared" ref="M63" si="418">IF(OR(LEN(L63)=0,L63=0),"",L63-L62)</f>
        <v>0.80000000000000071</v>
      </c>
      <c r="N63" s="15">
        <f>운전실적_원본!H63</f>
        <v>39674</v>
      </c>
      <c r="O63" s="16">
        <f t="shared" ref="O63" si="419">IF(OR(LEN(N63)=0,N63=0),"",N63-N62)</f>
        <v>94</v>
      </c>
      <c r="P63" s="15">
        <f>운전실적_원본!I63</f>
        <v>23964</v>
      </c>
      <c r="Q63" s="16">
        <f t="shared" ref="Q63" si="420">IF(OR(LEN(P63)=0,P63=0),"",P63-P62)</f>
        <v>135</v>
      </c>
      <c r="R63" s="18">
        <f>운전실적_원본!J63</f>
        <v>33.76</v>
      </c>
      <c r="S63" s="19">
        <f t="shared" ref="S63" si="421">IF(OR(LEN(R63)=0,R63=0),"",R63-R62)</f>
        <v>0.25999999999999801</v>
      </c>
      <c r="T63" s="18">
        <f>운전실적_원본!K63</f>
        <v>33.020000000000003</v>
      </c>
      <c r="U63" s="19">
        <f t="shared" si="306"/>
        <v>-2.9999999999994031E-2</v>
      </c>
      <c r="V63" s="12">
        <f>운전실적_원본!L63</f>
        <v>8604</v>
      </c>
      <c r="W63" s="16">
        <f t="shared" ref="W63" si="422">IF(OR(LEN(V63)=0,V63=0),"",V63-V62)</f>
        <v>202</v>
      </c>
      <c r="X63" s="10">
        <f>운전실적_원본!M63</f>
        <v>0</v>
      </c>
      <c r="Y63" s="10">
        <f>운전실적_원본!N63</f>
        <v>0</v>
      </c>
      <c r="Z63" s="10">
        <f>운전실적_원본!O63</f>
        <v>0</v>
      </c>
      <c r="AA63" s="10">
        <f>운전실적_원본!P63</f>
        <v>0</v>
      </c>
      <c r="AB63" s="10">
        <f>운전실적_원본!Q63</f>
        <v>0</v>
      </c>
      <c r="AC63" s="20">
        <f>운전실적_원본!R63</f>
        <v>0</v>
      </c>
      <c r="AD63" s="109">
        <f>운전실적_원본!S63</f>
        <v>0</v>
      </c>
      <c r="AE63" s="110">
        <f>운전실적_원본!T63</f>
        <v>0</v>
      </c>
      <c r="AF63" s="110">
        <f>운전실적_원본!U63</f>
        <v>0</v>
      </c>
      <c r="AG63" s="110">
        <f>운전실적_원본!V63</f>
        <v>0</v>
      </c>
      <c r="AH63" s="109">
        <f t="shared" si="1"/>
        <v>0</v>
      </c>
      <c r="AI63" s="110">
        <f t="shared" si="125"/>
        <v>0</v>
      </c>
      <c r="AJ63" s="110">
        <f>운전실적_원본!Y63</f>
        <v>0</v>
      </c>
      <c r="AK63" s="110">
        <f>운전실적_원본!Z63</f>
        <v>0</v>
      </c>
      <c r="AL63" s="106"/>
      <c r="AM63" s="105"/>
      <c r="AN63" s="105"/>
      <c r="AO63" s="105"/>
      <c r="AP63" s="105"/>
      <c r="AQ63" s="108"/>
      <c r="AR63" s="105"/>
      <c r="AS63" s="105"/>
      <c r="AT63" s="102"/>
      <c r="AU63" s="102"/>
      <c r="AV63" s="102"/>
      <c r="AW63" s="102"/>
      <c r="AX63" s="32">
        <f>운전실적_원본!W63</f>
        <v>0</v>
      </c>
      <c r="AY63" s="11">
        <f>운전실적_원본!X63</f>
        <v>0</v>
      </c>
      <c r="AZ63" s="11">
        <f>운전실적_원본!Y63</f>
        <v>0</v>
      </c>
      <c r="BA63" s="11">
        <f>운전실적_원본!Z63</f>
        <v>0</v>
      </c>
      <c r="BB63" s="11">
        <f>운전실적_원본!AA63</f>
        <v>0</v>
      </c>
      <c r="BC63" s="11">
        <f>운전실적_원본!AB63</f>
        <v>0</v>
      </c>
      <c r="BD63" s="32" t="str">
        <f t="shared" si="15"/>
        <v>-</v>
      </c>
      <c r="BE63" s="11" t="str">
        <f t="shared" si="2"/>
        <v>-</v>
      </c>
      <c r="BF63" s="11">
        <f>운전실적_원본!AE63</f>
        <v>0</v>
      </c>
      <c r="BG63" s="31">
        <f t="shared" si="0"/>
        <v>0</v>
      </c>
      <c r="BH63" s="239">
        <f>INDEX(연료전지_원본!$A$4:$KY$369,MATCH($A63,연료전지_원본!$A$4:$A$369,0),MATCH($BH$4,연료전지_원본!$A$4:$KY$4,0))</f>
        <v>24</v>
      </c>
      <c r="BI63" s="241">
        <f>INDEX(연료전지_원본!$A$4:$KY$369,MATCH($A63,연료전지_원본!$A$4:$A$369,0),MATCH($BI$4,연료전지_원본!$A$4:$KY$4,0))</f>
        <v>24</v>
      </c>
      <c r="BJ63" s="241">
        <f>INDEX(연료전지_원본!$A$4:$KY$369,MATCH($A63,연료전지_원본!$A$4:$A$369,0),MATCH($BJ$4,연료전지_원본!$A$4:$KY$4,0))</f>
        <v>24</v>
      </c>
      <c r="BK63" s="241">
        <f>INDEX(연료전지_원본!$A$4:$KY$369,MATCH($A63,연료전지_원본!$A$4:$A$369,0),MATCH($BK$4,연료전지_원본!$A$4:$KY$4,0))</f>
        <v>24</v>
      </c>
      <c r="BL63" s="241">
        <f>INDEX(연료전지_원본!$A$4:$KY$369,MATCH($A63,연료전지_원본!$A$4:$A$369,0),MATCH($BL$4,연료전지_원본!$A$4:$KY$4,0))</f>
        <v>24</v>
      </c>
      <c r="BM63" s="241">
        <f>INDEX(연료전지_원본!$A$4:$KY$369,MATCH($A63,연료전지_원본!$A$4:$A$369,0),MATCH($BM$4,연료전지_원본!$A$4:$KY$4,0))</f>
        <v>24</v>
      </c>
      <c r="BN63" s="241">
        <f>INDEX(연료전지_원본!$A$4:$KY$369,MATCH($A63,연료전지_원본!$A$4:$A$369,0),MATCH($BN$4,연료전지_원본!$A$4:$KY$4,0))</f>
        <v>24</v>
      </c>
      <c r="BO63" s="241">
        <f>INDEX(연료전지_원본!$A$4:$KY$369,MATCH($A63,연료전지_원본!$A$4:$A$369,0),MATCH($BO$4,연료전지_원본!$A$4:$KY$4,0))</f>
        <v>24</v>
      </c>
      <c r="BP63" s="241">
        <f>INDEX(연료전지_원본!$A$4:$KY$369,MATCH($A63,연료전지_원본!$A$4:$A$369,0),MATCH($BP$4,연료전지_원본!$A$4:$KY$4,0))</f>
        <v>24</v>
      </c>
      <c r="BQ63" s="241">
        <f>INDEX(연료전지_원본!$A$4:$KY$369,MATCH($A63,연료전지_원본!$A$4:$A$369,0),MATCH($BQ$4,연료전지_원본!$A$4:$KY$4,0))</f>
        <v>24</v>
      </c>
      <c r="BR63" s="241">
        <f>INDEX(연료전지_원본!$A$4:$KY$369,MATCH($A63,연료전지_원본!$A$4:$A$369,0),MATCH($BR$4,연료전지_원본!$A$4:$KY$4,0))</f>
        <v>24</v>
      </c>
      <c r="BS63" s="241">
        <f>INDEX(연료전지_원본!$A$4:$KY$369,MATCH($A63,연료전지_원본!$A$4:$A$369,0),MATCH($BS$4,연료전지_원본!$A$4:$KY$4,0))</f>
        <v>24</v>
      </c>
      <c r="BT63" s="241">
        <f>INDEX(연료전지_원본!$A$4:$KY$369,MATCH($A63,연료전지_원본!$A$4:$A$369,0),MATCH($BT$4,연료전지_원본!$A$4:$KY$4,0))</f>
        <v>24</v>
      </c>
      <c r="BU63" s="241">
        <f>INDEX(연료전지_원본!$A$4:$KY$369,MATCH($A63,연료전지_원본!$A$4:$A$369,0),MATCH($BU$4,연료전지_원본!$A$4:$KY$4,0))</f>
        <v>24</v>
      </c>
      <c r="BV63" s="241">
        <f>INDEX(연료전지_원본!$A$4:$KY$369,MATCH($A63,연료전지_원본!$A$4:$A$369,0),MATCH($BV$4,연료전지_원본!$A$4:$KY$4,0))</f>
        <v>24</v>
      </c>
      <c r="BW63" s="241">
        <f>INDEX(연료전지_원본!$A$4:$KY$369,MATCH($A63,연료전지_원본!$A$4:$A$369,0),MATCH($BW$4,연료전지_원본!$A$4:$KY$4,0))</f>
        <v>24</v>
      </c>
      <c r="BX63" s="241">
        <f>INDEX(연료전지_원본!$A$4:$KY$369,MATCH($A63,연료전지_원본!$A$4:$A$369,0),MATCH($BX$4,연료전지_원본!$A$4:$KY$4,0))</f>
        <v>24</v>
      </c>
      <c r="BY63" s="241">
        <f>INDEX(연료전지_원본!$A$4:$KY$369,MATCH($A63,연료전지_원본!$A$4:$A$369,0),MATCH($BY$4,연료전지_원본!$A$4:$KY$4,0))</f>
        <v>24</v>
      </c>
      <c r="BZ63" s="241">
        <f>INDEX(연료전지_원본!$A$4:$KY$369,MATCH($A63,연료전지_원본!$A$4:$A$369,0),MATCH($BZ$4,연료전지_원본!$A$4:$KY$4,0))</f>
        <v>24</v>
      </c>
      <c r="CA63" s="241">
        <f>INDEX(연료전지_원본!$A$4:$KY$369,MATCH($A63,연료전지_원본!$A$4:$A$369,0),MATCH($CA$4,연료전지_원본!$A$4:$KY$4,0))</f>
        <v>24</v>
      </c>
      <c r="CB63" s="241">
        <f>INDEX(연료전지_원본!$A$4:$KY$369,MATCH($A63,연료전지_원본!$A$4:$A$369,0),MATCH($CB$4,연료전지_원본!$A$4:$KY$4,0))</f>
        <v>24</v>
      </c>
      <c r="CC63" s="242">
        <f>INDEX(연료전지_원본!$A$4:$KY$369,MATCH($A63,연료전지_원본!$A$4:$A$369,0),MATCH($CC$4,연료전지_원본!$A$4:$KY$4,0))</f>
        <v>24</v>
      </c>
      <c r="CD63" s="254">
        <f>INDEX(연료전지_원본!$KB$4:$KX$369,MATCH($A63,연료전지_원본!$KB$4:$KB$369,0), MATCH(CD$4,연료전지_원본!$KB$4:$KX$4,0))*1000</f>
        <v>2109</v>
      </c>
      <c r="CE63" s="250">
        <f>INDEX(연료전지_원본!$KB$4:$KX$369,MATCH($A63,연료전지_원본!$KB$4:$KB$369,0), MATCH(CE$4,연료전지_원본!$KB$4:$KX$4,0))*1000</f>
        <v>2106</v>
      </c>
      <c r="CF63" s="250">
        <f>INDEX(연료전지_원본!$KB$4:$KX$369,MATCH($A63,연료전지_원본!$KB$4:$KB$369,0), MATCH(CF$4,연료전지_원본!$KB$4:$KX$4,0))*1000</f>
        <v>2100</v>
      </c>
      <c r="CG63" s="250">
        <f>INDEX(연료전지_원본!$KB$4:$KX$369,MATCH($A63,연료전지_원본!$KB$4:$KB$369,0), MATCH(CG$4,연료전지_원본!$KB$4:$KX$4,0))*1000</f>
        <v>2102</v>
      </c>
      <c r="CH63" s="250">
        <f>INDEX(연료전지_원본!$KB$4:$KX$369,MATCH($A63,연료전지_원본!$KB$4:$KB$369,0), MATCH(CH$4,연료전지_원본!$KB$4:$KX$4,0))*1000</f>
        <v>2107</v>
      </c>
      <c r="CI63" s="250">
        <f>INDEX(연료전지_원본!$KB$4:$KX$369,MATCH($A63,연료전지_원본!$KB$4:$KB$369,0), MATCH(CI$4,연료전지_원본!$KB$4:$KX$4,0))*1000</f>
        <v>2107</v>
      </c>
      <c r="CJ63" s="250">
        <f>INDEX(연료전지_원본!$KB$4:$KX$369,MATCH($A63,연료전지_원본!$KB$4:$KB$369,0), MATCH(CJ$4,연료전지_원본!$KB$4:$KX$4,0))*1000</f>
        <v>2096</v>
      </c>
      <c r="CK63" s="250">
        <f>INDEX(연료전지_원본!$KB$4:$KX$369,MATCH($A63,연료전지_원본!$KB$4:$KB$369,0), MATCH(CK$4,연료전지_원본!$KB$4:$KX$4,0))*1000</f>
        <v>2103</v>
      </c>
      <c r="CL63" s="250">
        <f>INDEX(연료전지_원본!$KB$4:$KX$369,MATCH($A63,연료전지_원본!$KB$4:$KB$369,0), MATCH(CL$4,연료전지_원본!$KB$4:$KX$4,0))*1000</f>
        <v>2112</v>
      </c>
      <c r="CM63" s="250">
        <f>INDEX(연료전지_원본!$KB$4:$KX$369,MATCH($A63,연료전지_원본!$KB$4:$KB$369,0), MATCH(CM$4,연료전지_원본!$KB$4:$KX$4,0))*1000</f>
        <v>2108</v>
      </c>
      <c r="CN63" s="250">
        <f>INDEX(연료전지_원본!$KB$4:$KX$369,MATCH($A63,연료전지_원본!$KB$4:$KB$369,0), MATCH(CN$4,연료전지_원본!$KB$4:$KX$4,0))*1000</f>
        <v>2111</v>
      </c>
      <c r="CO63" s="250">
        <f>INDEX(연료전지_원본!$KB$4:$KX$369,MATCH($A63,연료전지_원본!$KB$4:$KB$369,0), MATCH(CO$4,연료전지_원본!$KB$4:$KX$4,0))*1000</f>
        <v>2108</v>
      </c>
      <c r="CP63" s="250">
        <f>INDEX(연료전지_원본!$KB$4:$KX$369,MATCH($A63,연료전지_원본!$KB$4:$KB$369,0), MATCH(CP$4,연료전지_원본!$KB$4:$KX$4,0))*1000</f>
        <v>2105</v>
      </c>
      <c r="CQ63" s="250">
        <f>INDEX(연료전지_원본!$KB$4:$KX$369,MATCH($A63,연료전지_원본!$KB$4:$KB$369,0), MATCH(CQ$4,연료전지_원본!$KB$4:$KX$4,0))*1000</f>
        <v>2104</v>
      </c>
      <c r="CR63" s="250">
        <f>INDEX(연료전지_원본!$KB$4:$KX$369,MATCH($A63,연료전지_원본!$KB$4:$KB$369,0), MATCH(CR$4,연료전지_원본!$KB$4:$KX$4,0))*1000</f>
        <v>2107</v>
      </c>
      <c r="CS63" s="250">
        <f>INDEX(연료전지_원본!$KB$4:$KX$369,MATCH($A63,연료전지_원본!$KB$4:$KB$369,0), MATCH(CS$4,연료전지_원본!$KB$4:$KX$4,0))*1000</f>
        <v>2110</v>
      </c>
      <c r="CT63" s="250">
        <f>INDEX(연료전지_원본!$KB$4:$KX$369,MATCH($A63,연료전지_원본!$KB$4:$KB$369,0), MATCH(CT$4,연료전지_원본!$KB$4:$KX$4,0))*1000</f>
        <v>2106</v>
      </c>
      <c r="CU63" s="250">
        <f>INDEX(연료전지_원본!$KB$4:$KX$369,MATCH($A63,연료전지_원본!$KB$4:$KB$369,0), MATCH(CU$4,연료전지_원본!$KB$4:$KX$4,0))*1000</f>
        <v>2100</v>
      </c>
      <c r="CV63" s="250">
        <f>INDEX(연료전지_원본!$KB$4:$KX$369,MATCH($A63,연료전지_원본!$KB$4:$KB$369,0), MATCH(CV$4,연료전지_원본!$KB$4:$KX$4,0))*1000</f>
        <v>2110</v>
      </c>
      <c r="CW63" s="250">
        <f>INDEX(연료전지_원본!$KB$4:$KX$369,MATCH($A63,연료전지_원본!$KB$4:$KB$369,0), MATCH(CW$4,연료전지_원본!$KB$4:$KX$4,0))*1000</f>
        <v>2097</v>
      </c>
      <c r="CX63" s="250">
        <f>INDEX(연료전지_원본!$KB$4:$KX$369,MATCH($A63,연료전지_원본!$KB$4:$KB$369,0), MATCH(CX$4,연료전지_원본!$KB$4:$KX$4,0))*1000</f>
        <v>2110</v>
      </c>
      <c r="CY63" s="255">
        <f>INDEX(연료전지_원본!$KB$4:$KX$369,MATCH($A63,연료전지_원본!$KB$4:$KB$369,0), MATCH(CY$4,연료전지_원본!$KB$4:$KX$4,0))*1000</f>
        <v>2119</v>
      </c>
      <c r="CZ63" s="185">
        <v>10.134000000000015</v>
      </c>
      <c r="DA63" s="30">
        <v>10.119000000000028</v>
      </c>
      <c r="DB63" s="30">
        <v>10.091000000000008</v>
      </c>
      <c r="DC63" s="30">
        <v>10.102000000000032</v>
      </c>
      <c r="DD63" s="30">
        <v>10.125</v>
      </c>
      <c r="DE63" s="30">
        <v>10.125</v>
      </c>
      <c r="DF63" s="30">
        <v>10.075000000000045</v>
      </c>
      <c r="DG63" s="30">
        <v>10.103999999999985</v>
      </c>
      <c r="DH63" s="30">
        <v>10.147999999999968</v>
      </c>
      <c r="DI63" s="30">
        <v>10.130999999999972</v>
      </c>
      <c r="DJ63" s="30">
        <v>10.143000000000029</v>
      </c>
      <c r="DK63" s="30">
        <v>10.131999999999948</v>
      </c>
      <c r="DL63" s="30">
        <v>10.115999999999985</v>
      </c>
      <c r="DM63" s="30">
        <v>10.111999999999966</v>
      </c>
      <c r="DN63" s="30">
        <v>10.127999999999986</v>
      </c>
      <c r="DO63" s="30">
        <v>10.141999999999996</v>
      </c>
      <c r="DP63" s="30">
        <v>10.120999999999981</v>
      </c>
      <c r="DQ63" s="30">
        <v>10.093999999999994</v>
      </c>
      <c r="DR63" s="30">
        <v>10.138000000000034</v>
      </c>
      <c r="DS63" s="30">
        <v>10.077000000000027</v>
      </c>
      <c r="DT63" s="30">
        <v>10.137999999999977</v>
      </c>
      <c r="DU63" s="30">
        <v>10.182000000000016</v>
      </c>
      <c r="DV63" s="30">
        <f t="shared" si="297"/>
        <v>222.67699999999999</v>
      </c>
    </row>
    <row r="64" spans="1:126">
      <c r="A64" s="158">
        <v>46081</v>
      </c>
      <c r="B64" s="27">
        <f>운전실적_원본!B64</f>
        <v>651.20000000000005</v>
      </c>
      <c r="C64" s="28">
        <f t="shared" si="298"/>
        <v>0</v>
      </c>
      <c r="D64" s="29">
        <f>운전실적_원본!C64</f>
        <v>249883</v>
      </c>
      <c r="E64" s="29">
        <f t="shared" si="299"/>
        <v>0</v>
      </c>
      <c r="F64" s="29">
        <f>운전실적_원본!D64</f>
        <v>241384</v>
      </c>
      <c r="G64" s="28">
        <f t="shared" si="300"/>
        <v>0</v>
      </c>
      <c r="H64" s="27">
        <f>운전실적_원본!E64</f>
        <v>17274.310000000001</v>
      </c>
      <c r="I64" s="28">
        <f t="shared" si="301"/>
        <v>1.5800000000017462</v>
      </c>
      <c r="J64" s="27">
        <f>운전실적_원본!F64</f>
        <v>15352.07</v>
      </c>
      <c r="K64" s="28">
        <f t="shared" si="301"/>
        <v>1.0900000000001455</v>
      </c>
      <c r="L64" s="159">
        <f>운전실적_원본!G64</f>
        <v>30.4</v>
      </c>
      <c r="M64" s="157">
        <f t="shared" ref="M64" si="423">IF(OR(LEN(L64)=0,L64=0),"",L64-L63)</f>
        <v>0.39999999999999858</v>
      </c>
      <c r="N64" s="27">
        <f>운전실적_원본!H64</f>
        <v>39674</v>
      </c>
      <c r="O64" s="28">
        <f t="shared" ref="O64" si="424">IF(OR(LEN(N64)=0,N64=0),"",N64-N63)</f>
        <v>0</v>
      </c>
      <c r="P64" s="27">
        <f>운전실적_원본!I64</f>
        <v>23985</v>
      </c>
      <c r="Q64" s="28">
        <f t="shared" ref="Q64" si="425">IF(OR(LEN(P64)=0,P64=0),"",P64-P63)</f>
        <v>21</v>
      </c>
      <c r="R64" s="160">
        <f>운전실적_원본!J64</f>
        <v>33.729999999999997</v>
      </c>
      <c r="S64" s="161">
        <f t="shared" ref="S64" si="426">IF(OR(LEN(R64)=0,R64=0),"",R64-R63)</f>
        <v>-3.0000000000001137E-2</v>
      </c>
      <c r="T64" s="160">
        <f>운전실적_원본!K64</f>
        <v>32.979999999999997</v>
      </c>
      <c r="U64" s="161">
        <f t="shared" si="306"/>
        <v>-4.0000000000006253E-2</v>
      </c>
      <c r="V64" s="29">
        <f>운전실적_원본!L64</f>
        <v>8384</v>
      </c>
      <c r="W64" s="28">
        <f t="shared" ref="W64" si="427">IF(OR(LEN(V64)=0,V64=0),"",V64-V63)</f>
        <v>-220</v>
      </c>
      <c r="X64" s="162">
        <f>운전실적_원본!M64</f>
        <v>0</v>
      </c>
      <c r="Y64" s="162">
        <f>운전실적_원본!N64</f>
        <v>0</v>
      </c>
      <c r="Z64" s="162">
        <f>운전실적_원본!O64</f>
        <v>0</v>
      </c>
      <c r="AA64" s="162">
        <f>운전실적_원본!P64</f>
        <v>0</v>
      </c>
      <c r="AB64" s="162">
        <f>운전실적_원본!Q64</f>
        <v>0</v>
      </c>
      <c r="AC64" s="162">
        <f>운전실적_원본!R64</f>
        <v>0</v>
      </c>
      <c r="AD64" s="163">
        <f>운전실적_원본!S64</f>
        <v>0</v>
      </c>
      <c r="AE64" s="164">
        <f>운전실적_원본!T64</f>
        <v>0</v>
      </c>
      <c r="AF64" s="164">
        <f>운전실적_원본!U64</f>
        <v>0</v>
      </c>
      <c r="AG64" s="164">
        <f>운전실적_원본!V64</f>
        <v>0</v>
      </c>
      <c r="AH64" s="163">
        <f t="shared" si="1"/>
        <v>0</v>
      </c>
      <c r="AI64" s="164">
        <f t="shared" si="125"/>
        <v>0</v>
      </c>
      <c r="AJ64" s="164">
        <f>운전실적_원본!Y64</f>
        <v>0</v>
      </c>
      <c r="AK64" s="164">
        <f>운전실적_원본!Z64</f>
        <v>0</v>
      </c>
      <c r="AL64" s="165"/>
      <c r="AM64" s="166"/>
      <c r="AN64" s="166"/>
      <c r="AO64" s="166"/>
      <c r="AP64" s="166"/>
      <c r="AQ64" s="167"/>
      <c r="AR64" s="166"/>
      <c r="AS64" s="166"/>
      <c r="AT64" s="168"/>
      <c r="AU64" s="168"/>
      <c r="AV64" s="168"/>
      <c r="AW64" s="168"/>
      <c r="AX64" s="159">
        <f>운전실적_원본!W64</f>
        <v>0</v>
      </c>
      <c r="AY64" s="169">
        <f>운전실적_원본!X64</f>
        <v>0</v>
      </c>
      <c r="AZ64" s="169">
        <f>운전실적_원본!Y64</f>
        <v>0</v>
      </c>
      <c r="BA64" s="169">
        <f>운전실적_원본!Z64</f>
        <v>0</v>
      </c>
      <c r="BB64" s="169">
        <f>운전실적_원본!AA64</f>
        <v>0</v>
      </c>
      <c r="BC64" s="169">
        <f>운전실적_원본!AB64</f>
        <v>0</v>
      </c>
      <c r="BD64" s="159" t="str">
        <f t="shared" si="15"/>
        <v>-</v>
      </c>
      <c r="BE64" s="169" t="str">
        <f t="shared" si="2"/>
        <v>-</v>
      </c>
      <c r="BF64" s="169">
        <f>운전실적_원본!AE64</f>
        <v>0</v>
      </c>
      <c r="BG64" s="157">
        <f t="shared" si="0"/>
        <v>0</v>
      </c>
      <c r="BH64" s="243">
        <f>INDEX(연료전지_원본!$A$4:$KY$369,MATCH($A64,연료전지_원본!$A$4:$A$369,0),MATCH($BH$4,연료전지_원본!$A$4:$KY$4,0))</f>
        <v>24</v>
      </c>
      <c r="BI64" s="244">
        <f>INDEX(연료전지_원본!$A$4:$KY$369,MATCH($A64,연료전지_원본!$A$4:$A$369,0),MATCH($BI$4,연료전지_원본!$A$4:$KY$4,0))</f>
        <v>24</v>
      </c>
      <c r="BJ64" s="244">
        <f>INDEX(연료전지_원본!$A$4:$KY$369,MATCH($A64,연료전지_원본!$A$4:$A$369,0),MATCH($BJ$4,연료전지_원본!$A$4:$KY$4,0))</f>
        <v>24</v>
      </c>
      <c r="BK64" s="244">
        <f>INDEX(연료전지_원본!$A$4:$KY$369,MATCH($A64,연료전지_원본!$A$4:$A$369,0),MATCH($BK$4,연료전지_원본!$A$4:$KY$4,0))</f>
        <v>24</v>
      </c>
      <c r="BL64" s="244">
        <f>INDEX(연료전지_원본!$A$4:$KY$369,MATCH($A64,연료전지_원본!$A$4:$A$369,0),MATCH($BL$4,연료전지_원본!$A$4:$KY$4,0))</f>
        <v>24</v>
      </c>
      <c r="BM64" s="244">
        <f>INDEX(연료전지_원본!$A$4:$KY$369,MATCH($A64,연료전지_원본!$A$4:$A$369,0),MATCH($BM$4,연료전지_원본!$A$4:$KY$4,0))</f>
        <v>24</v>
      </c>
      <c r="BN64" s="244">
        <f>INDEX(연료전지_원본!$A$4:$KY$369,MATCH($A64,연료전지_원본!$A$4:$A$369,0),MATCH($BN$4,연료전지_원본!$A$4:$KY$4,0))</f>
        <v>24</v>
      </c>
      <c r="BO64" s="244">
        <f>INDEX(연료전지_원본!$A$4:$KY$369,MATCH($A64,연료전지_원본!$A$4:$A$369,0),MATCH($BO$4,연료전지_원본!$A$4:$KY$4,0))</f>
        <v>24</v>
      </c>
      <c r="BP64" s="244">
        <f>INDEX(연료전지_원본!$A$4:$KY$369,MATCH($A64,연료전지_원본!$A$4:$A$369,0),MATCH($BP$4,연료전지_원본!$A$4:$KY$4,0))</f>
        <v>24</v>
      </c>
      <c r="BQ64" s="244">
        <f>INDEX(연료전지_원본!$A$4:$KY$369,MATCH($A64,연료전지_원본!$A$4:$A$369,0),MATCH($BQ$4,연료전지_원본!$A$4:$KY$4,0))</f>
        <v>24</v>
      </c>
      <c r="BR64" s="244">
        <f>INDEX(연료전지_원본!$A$4:$KY$369,MATCH($A64,연료전지_원본!$A$4:$A$369,0),MATCH($BR$4,연료전지_원본!$A$4:$KY$4,0))</f>
        <v>24</v>
      </c>
      <c r="BS64" s="244">
        <f>INDEX(연료전지_원본!$A$4:$KY$369,MATCH($A64,연료전지_원본!$A$4:$A$369,0),MATCH($BS$4,연료전지_원본!$A$4:$KY$4,0))</f>
        <v>24</v>
      </c>
      <c r="BT64" s="244">
        <f>INDEX(연료전지_원본!$A$4:$KY$369,MATCH($A64,연료전지_원본!$A$4:$A$369,0),MATCH($BT$4,연료전지_원본!$A$4:$KY$4,0))</f>
        <v>24</v>
      </c>
      <c r="BU64" s="244">
        <f>INDEX(연료전지_원본!$A$4:$KY$369,MATCH($A64,연료전지_원본!$A$4:$A$369,0),MATCH($BU$4,연료전지_원본!$A$4:$KY$4,0))</f>
        <v>24</v>
      </c>
      <c r="BV64" s="244">
        <f>INDEX(연료전지_원본!$A$4:$KY$369,MATCH($A64,연료전지_원본!$A$4:$A$369,0),MATCH($BV$4,연료전지_원본!$A$4:$KY$4,0))</f>
        <v>24</v>
      </c>
      <c r="BW64" s="244">
        <f>INDEX(연료전지_원본!$A$4:$KY$369,MATCH($A64,연료전지_원본!$A$4:$A$369,0),MATCH($BW$4,연료전지_원본!$A$4:$KY$4,0))</f>
        <v>24</v>
      </c>
      <c r="BX64" s="244">
        <f>INDEX(연료전지_원본!$A$4:$KY$369,MATCH($A64,연료전지_원본!$A$4:$A$369,0),MATCH($BX$4,연료전지_원본!$A$4:$KY$4,0))</f>
        <v>24</v>
      </c>
      <c r="BY64" s="244">
        <f>INDEX(연료전지_원본!$A$4:$KY$369,MATCH($A64,연료전지_원본!$A$4:$A$369,0),MATCH($BY$4,연료전지_원본!$A$4:$KY$4,0))</f>
        <v>24</v>
      </c>
      <c r="BZ64" s="244">
        <f>INDEX(연료전지_원본!$A$4:$KY$369,MATCH($A64,연료전지_원본!$A$4:$A$369,0),MATCH($BZ$4,연료전지_원본!$A$4:$KY$4,0))</f>
        <v>24</v>
      </c>
      <c r="CA64" s="244">
        <f>INDEX(연료전지_원본!$A$4:$KY$369,MATCH($A64,연료전지_원본!$A$4:$A$369,0),MATCH($CA$4,연료전지_원본!$A$4:$KY$4,0))</f>
        <v>24</v>
      </c>
      <c r="CB64" s="244">
        <f>INDEX(연료전지_원본!$A$4:$KY$369,MATCH($A64,연료전지_원본!$A$4:$A$369,0),MATCH($CB$4,연료전지_원본!$A$4:$KY$4,0))</f>
        <v>24</v>
      </c>
      <c r="CC64" s="245">
        <f>INDEX(연료전지_원본!$A$4:$KY$369,MATCH($A64,연료전지_원본!$A$4:$A$369,0),MATCH($CC$4,연료전지_원본!$A$4:$KY$4,0))</f>
        <v>24</v>
      </c>
      <c r="CD64" s="256">
        <f>INDEX(연료전지_원본!$KB$4:$KX$369,MATCH($A64,연료전지_원본!$KB$4:$KB$369,0), MATCH(CD$4,연료전지_원본!$KB$4:$KX$4,0))*1000</f>
        <v>2148</v>
      </c>
      <c r="CE64" s="257">
        <f>INDEX(연료전지_원본!$KB$4:$KX$369,MATCH($A64,연료전지_원본!$KB$4:$KB$369,0), MATCH(CE$4,연료전지_원본!$KB$4:$KX$4,0))*1000</f>
        <v>2146</v>
      </c>
      <c r="CF64" s="257">
        <f>INDEX(연료전지_원본!$KB$4:$KX$369,MATCH($A64,연료전지_원본!$KB$4:$KB$369,0), MATCH(CF$4,연료전지_원본!$KB$4:$KX$4,0))*1000</f>
        <v>2139</v>
      </c>
      <c r="CG64" s="257">
        <f>INDEX(연료전지_원본!$KB$4:$KX$369,MATCH($A64,연료전지_원본!$KB$4:$KB$369,0), MATCH(CG$4,연료전지_원본!$KB$4:$KX$4,0))*1000</f>
        <v>2142</v>
      </c>
      <c r="CH64" s="257">
        <f>INDEX(연료전지_원본!$KB$4:$KX$369,MATCH($A64,연료전지_원본!$KB$4:$KB$369,0), MATCH(CH$4,연료전지_원본!$KB$4:$KX$4,0))*1000</f>
        <v>2147</v>
      </c>
      <c r="CI64" s="257">
        <f>INDEX(연료전지_원본!$KB$4:$KX$369,MATCH($A64,연료전지_원본!$KB$4:$KB$369,0), MATCH(CI$4,연료전지_원본!$KB$4:$KX$4,0))*1000</f>
        <v>2147</v>
      </c>
      <c r="CJ64" s="257">
        <f>INDEX(연료전지_원본!$KB$4:$KX$369,MATCH($A64,연료전지_원본!$KB$4:$KB$369,0), MATCH(CJ$4,연료전지_원본!$KB$4:$KX$4,0))*1000</f>
        <v>2136</v>
      </c>
      <c r="CK64" s="257">
        <f>INDEX(연료전지_원본!$KB$4:$KX$369,MATCH($A64,연료전지_원본!$KB$4:$KB$369,0), MATCH(CK$4,연료전지_원본!$KB$4:$KX$4,0))*1000</f>
        <v>2142</v>
      </c>
      <c r="CL64" s="257">
        <f>INDEX(연료전지_원본!$KB$4:$KX$369,MATCH($A64,연료전지_원본!$KB$4:$KB$369,0), MATCH(CL$4,연료전지_원본!$KB$4:$KX$4,0))*1000</f>
        <v>2153</v>
      </c>
      <c r="CM64" s="257">
        <f>INDEX(연료전지_원본!$KB$4:$KX$369,MATCH($A64,연료전지_원본!$KB$4:$KB$369,0), MATCH(CM$4,연료전지_원본!$KB$4:$KX$4,0))*1000</f>
        <v>2148</v>
      </c>
      <c r="CN64" s="257">
        <f>INDEX(연료전지_원본!$KB$4:$KX$369,MATCH($A64,연료전지_원본!$KB$4:$KB$369,0), MATCH(CN$4,연료전지_원본!$KB$4:$KX$4,0))*1000</f>
        <v>2151</v>
      </c>
      <c r="CO64" s="257">
        <f>INDEX(연료전지_원본!$KB$4:$KX$369,MATCH($A64,연료전지_원본!$KB$4:$KB$369,0), MATCH(CO$4,연료전지_원본!$KB$4:$KX$4,0))*1000</f>
        <v>2148</v>
      </c>
      <c r="CP64" s="257">
        <f>INDEX(연료전지_원본!$KB$4:$KX$369,MATCH($A64,연료전지_원본!$KB$4:$KB$369,0), MATCH(CP$4,연료전지_원본!$KB$4:$KX$4,0))*1000</f>
        <v>2144</v>
      </c>
      <c r="CQ64" s="257">
        <f>INDEX(연료전지_원본!$KB$4:$KX$369,MATCH($A64,연료전지_원본!$KB$4:$KB$369,0), MATCH(CQ$4,연료전지_원본!$KB$4:$KX$4,0))*1000</f>
        <v>2132</v>
      </c>
      <c r="CR64" s="257">
        <f>INDEX(연료전지_원본!$KB$4:$KX$369,MATCH($A64,연료전지_원본!$KB$4:$KB$369,0), MATCH(CR$4,연료전지_원본!$KB$4:$KX$4,0))*1000</f>
        <v>2147</v>
      </c>
      <c r="CS64" s="257">
        <f>INDEX(연료전지_원본!$KB$4:$KX$369,MATCH($A64,연료전지_원본!$KB$4:$KB$369,0), MATCH(CS$4,연료전지_원본!$KB$4:$KX$4,0))*1000</f>
        <v>2150</v>
      </c>
      <c r="CT64" s="257">
        <f>INDEX(연료전지_원본!$KB$4:$KX$369,MATCH($A64,연료전지_원본!$KB$4:$KB$369,0), MATCH(CT$4,연료전지_원본!$KB$4:$KX$4,0))*1000</f>
        <v>2146</v>
      </c>
      <c r="CU64" s="257">
        <f>INDEX(연료전지_원본!$KB$4:$KX$369,MATCH($A64,연료전지_원본!$KB$4:$KB$369,0), MATCH(CU$4,연료전지_원본!$KB$4:$KX$4,0))*1000</f>
        <v>2138</v>
      </c>
      <c r="CV64" s="257">
        <f>INDEX(연료전지_원본!$KB$4:$KX$369,MATCH($A64,연료전지_원본!$KB$4:$KB$369,0), MATCH(CV$4,연료전지_원본!$KB$4:$KX$4,0))*1000</f>
        <v>2149</v>
      </c>
      <c r="CW64" s="257">
        <f>INDEX(연료전지_원본!$KB$4:$KX$369,MATCH($A64,연료전지_원본!$KB$4:$KB$369,0), MATCH(CW$4,연료전지_원본!$KB$4:$KX$4,0))*1000</f>
        <v>2134</v>
      </c>
      <c r="CX64" s="257">
        <f>INDEX(연료전지_원본!$KB$4:$KX$369,MATCH($A64,연료전지_원본!$KB$4:$KB$369,0), MATCH(CX$4,연료전지_원본!$KB$4:$KX$4,0))*1000</f>
        <v>2149</v>
      </c>
      <c r="CY64" s="258">
        <f>INDEX(연료전지_원본!$KB$4:$KX$369,MATCH($A64,연료전지_원본!$KB$4:$KB$369,0), MATCH(CY$4,연료전지_원본!$KB$4:$KX$4,0))*1000</f>
        <v>2163</v>
      </c>
      <c r="CZ64" s="186">
        <v>10.142999999999972</v>
      </c>
      <c r="DA64" s="182">
        <v>10.134000000000015</v>
      </c>
      <c r="DB64" s="182">
        <v>10.102000000000032</v>
      </c>
      <c r="DC64" s="182">
        <v>10.113</v>
      </c>
      <c r="DD64" s="182">
        <v>10.13900000000001</v>
      </c>
      <c r="DE64" s="182">
        <v>10.137999999999977</v>
      </c>
      <c r="DF64" s="182">
        <v>10.086999999999989</v>
      </c>
      <c r="DG64" s="182">
        <v>10.113999999999976</v>
      </c>
      <c r="DH64" s="182">
        <v>10.16500000000002</v>
      </c>
      <c r="DI64" s="182">
        <v>10.143000000000029</v>
      </c>
      <c r="DJ64" s="182">
        <v>10.156000000000006</v>
      </c>
      <c r="DK64" s="182">
        <v>10.143000000000029</v>
      </c>
      <c r="DL64" s="182">
        <v>10.125999999999976</v>
      </c>
      <c r="DM64" s="182">
        <v>10.069000000000017</v>
      </c>
      <c r="DN64" s="182">
        <v>10.140000000000043</v>
      </c>
      <c r="DO64" s="182">
        <v>10.152000000000044</v>
      </c>
      <c r="DP64" s="182">
        <v>10.132000000000005</v>
      </c>
      <c r="DQ64" s="182">
        <v>10.096000000000004</v>
      </c>
      <c r="DR64" s="182">
        <v>10.147999999999968</v>
      </c>
      <c r="DS64" s="182">
        <v>10.078999999999979</v>
      </c>
      <c r="DT64" s="182">
        <v>10.149000000000001</v>
      </c>
      <c r="DU64" s="182">
        <v>10.193999999999988</v>
      </c>
      <c r="DV64" s="30">
        <f t="shared" si="297"/>
        <v>222.86200000000008</v>
      </c>
    </row>
    <row r="65" spans="1:126">
      <c r="A65" s="6">
        <v>46082</v>
      </c>
      <c r="B65" s="15">
        <f>운전실적_원본!B65</f>
        <v>651.20000000000005</v>
      </c>
      <c r="C65" s="16">
        <f t="shared" si="298"/>
        <v>0</v>
      </c>
      <c r="D65" s="12">
        <f>운전실적_원본!C65</f>
        <v>249883</v>
      </c>
      <c r="E65" s="12">
        <f t="shared" si="299"/>
        <v>0</v>
      </c>
      <c r="F65" s="12">
        <f>운전실적_원본!D65</f>
        <v>241384</v>
      </c>
      <c r="G65" s="16">
        <f t="shared" si="300"/>
        <v>0</v>
      </c>
      <c r="H65" s="15">
        <f>운전실적_원본!E65</f>
        <v>17275.900000000001</v>
      </c>
      <c r="I65" s="16">
        <f t="shared" si="301"/>
        <v>1.5900000000001455</v>
      </c>
      <c r="J65" s="15">
        <f>운전실적_원본!F65</f>
        <v>15353.25</v>
      </c>
      <c r="K65" s="16">
        <f t="shared" si="301"/>
        <v>1.180000000000291</v>
      </c>
      <c r="L65" s="32">
        <f>운전실적_원본!G65</f>
        <v>30.8</v>
      </c>
      <c r="M65" s="31">
        <f t="shared" ref="M65" si="428">IF(OR(LEN(L65)=0,L65=0),"",L65-L64)</f>
        <v>0.40000000000000213</v>
      </c>
      <c r="N65" s="15">
        <f>운전실적_원본!H65</f>
        <v>39674</v>
      </c>
      <c r="O65" s="16">
        <f t="shared" ref="O65" si="429">IF(OR(LEN(N65)=0,N65=0),"",N65-N64)</f>
        <v>0</v>
      </c>
      <c r="P65" s="15">
        <f>운전실적_원본!I65</f>
        <v>24006</v>
      </c>
      <c r="Q65" s="16">
        <f t="shared" ref="Q65" si="430">IF(OR(LEN(P65)=0,P65=0),"",P65-P64)</f>
        <v>21</v>
      </c>
      <c r="R65" s="18">
        <f>운전실적_원본!J65</f>
        <v>33.67</v>
      </c>
      <c r="S65" s="19">
        <f t="shared" ref="S65" si="431">IF(OR(LEN(R65)=0,R65=0),"",R65-R64)</f>
        <v>-5.9999999999995168E-2</v>
      </c>
      <c r="T65" s="18">
        <f>운전실적_원본!K65</f>
        <v>32.99</v>
      </c>
      <c r="U65" s="19">
        <f t="shared" si="306"/>
        <v>1.0000000000005116E-2</v>
      </c>
      <c r="V65" s="12">
        <f>운전실적_원본!L65</f>
        <v>8169</v>
      </c>
      <c r="W65" s="16">
        <f t="shared" ref="W65" si="432">IF(OR(LEN(V65)=0,V65=0),"",V65-V64)</f>
        <v>-215</v>
      </c>
      <c r="X65" s="10">
        <f>운전실적_원본!M65</f>
        <v>0</v>
      </c>
      <c r="Y65" s="10">
        <f>운전실적_원본!N65</f>
        <v>0</v>
      </c>
      <c r="Z65" s="10">
        <f>운전실적_원본!O65</f>
        <v>0</v>
      </c>
      <c r="AA65" s="10">
        <f>운전실적_원본!P65</f>
        <v>0</v>
      </c>
      <c r="AB65" s="10">
        <f>운전실적_원본!Q65</f>
        <v>0</v>
      </c>
      <c r="AC65" s="20">
        <f>운전실적_원본!R65</f>
        <v>0</v>
      </c>
      <c r="AD65" s="109">
        <f>운전실적_원본!S65</f>
        <v>0</v>
      </c>
      <c r="AE65" s="110">
        <f>운전실적_원본!T65</f>
        <v>0</v>
      </c>
      <c r="AF65" s="110">
        <f>운전실적_원본!U65</f>
        <v>0</v>
      </c>
      <c r="AG65" s="110">
        <f>운전실적_원본!V65</f>
        <v>0</v>
      </c>
      <c r="AH65" s="109">
        <f t="shared" si="1"/>
        <v>0</v>
      </c>
      <c r="AI65" s="110">
        <f t="shared" si="125"/>
        <v>0</v>
      </c>
      <c r="AJ65" s="110">
        <f>운전실적_원본!Y65</f>
        <v>0</v>
      </c>
      <c r="AK65" s="110">
        <f>운전실적_원본!Z65</f>
        <v>0</v>
      </c>
      <c r="AL65" s="106"/>
      <c r="AM65" s="105"/>
      <c r="AN65" s="105"/>
      <c r="AO65" s="105"/>
      <c r="AP65" s="105"/>
      <c r="AQ65" s="108"/>
      <c r="AR65" s="105"/>
      <c r="AS65" s="105"/>
      <c r="AT65" s="102"/>
      <c r="AU65" s="102"/>
      <c r="AV65" s="102"/>
      <c r="AW65" s="102"/>
      <c r="AX65" s="32">
        <f>운전실적_원본!W65</f>
        <v>0</v>
      </c>
      <c r="AY65" s="11">
        <f>운전실적_원본!X65</f>
        <v>0</v>
      </c>
      <c r="AZ65" s="11">
        <f>운전실적_원본!Y65</f>
        <v>0</v>
      </c>
      <c r="BA65" s="11">
        <f>운전실적_원본!Z65</f>
        <v>0</v>
      </c>
      <c r="BB65" s="11">
        <f>운전실적_원본!AA65</f>
        <v>0</v>
      </c>
      <c r="BC65" s="11">
        <f>운전실적_원본!AB65</f>
        <v>0</v>
      </c>
      <c r="BD65" s="32" t="str">
        <f t="shared" si="15"/>
        <v>-</v>
      </c>
      <c r="BE65" s="11" t="str">
        <f t="shared" si="2"/>
        <v>-</v>
      </c>
      <c r="BF65" s="11">
        <f>운전실적_원본!AE65</f>
        <v>0</v>
      </c>
      <c r="BG65" s="31">
        <f t="shared" si="0"/>
        <v>0</v>
      </c>
      <c r="BH65" s="241">
        <f>INDEX(연료전지_원본!$A$4:$KY$369,MATCH($A65,연료전지_원본!$A$4:$A$369,0),MATCH($BH$4,연료전지_원본!$A$4:$KY$4,0))</f>
        <v>0</v>
      </c>
      <c r="BI65" s="241">
        <f>INDEX(연료전지_원본!$A$4:$KY$369,MATCH($A65,연료전지_원본!$A$4:$A$369,0),MATCH($BI$4,연료전지_원본!$A$4:$KY$4,0))</f>
        <v>0</v>
      </c>
      <c r="BJ65" s="241">
        <f>INDEX(연료전지_원본!$A$4:$KY$369,MATCH($A65,연료전지_원본!$A$4:$A$369,0),MATCH($BJ$4,연료전지_원본!$A$4:$KY$4,0))</f>
        <v>0</v>
      </c>
      <c r="BK65" s="241">
        <f>INDEX(연료전지_원본!$A$4:$KY$369,MATCH($A65,연료전지_원본!$A$4:$A$369,0),MATCH($BK$4,연료전지_원본!$A$4:$KY$4,0))</f>
        <v>0</v>
      </c>
      <c r="BL65" s="241">
        <f>INDEX(연료전지_원본!$A$4:$KY$369,MATCH($A65,연료전지_원본!$A$4:$A$369,0),MATCH($BL$4,연료전지_원본!$A$4:$KY$4,0))</f>
        <v>0</v>
      </c>
      <c r="BM65" s="241">
        <f>INDEX(연료전지_원본!$A$4:$KY$369,MATCH($A65,연료전지_원본!$A$4:$A$369,0),MATCH($BM$4,연료전지_원본!$A$4:$KY$4,0))</f>
        <v>0</v>
      </c>
      <c r="BN65" s="241">
        <f>INDEX(연료전지_원본!$A$4:$KY$369,MATCH($A65,연료전지_원본!$A$4:$A$369,0),MATCH($BN$4,연료전지_원본!$A$4:$KY$4,0))</f>
        <v>0</v>
      </c>
      <c r="BO65" s="241">
        <f>INDEX(연료전지_원본!$A$4:$KY$369,MATCH($A65,연료전지_원본!$A$4:$A$369,0),MATCH($BO$4,연료전지_원본!$A$4:$KY$4,0))</f>
        <v>0</v>
      </c>
      <c r="BP65" s="241">
        <f>INDEX(연료전지_원본!$A$4:$KY$369,MATCH($A65,연료전지_원본!$A$4:$A$369,0),MATCH($BP$4,연료전지_원본!$A$4:$KY$4,0))</f>
        <v>0</v>
      </c>
      <c r="BQ65" s="241">
        <f>INDEX(연료전지_원본!$A$4:$KY$369,MATCH($A65,연료전지_원본!$A$4:$A$369,0),MATCH($BQ$4,연료전지_원본!$A$4:$KY$4,0))</f>
        <v>0</v>
      </c>
      <c r="BR65" s="241">
        <f>INDEX(연료전지_원본!$A$4:$KY$369,MATCH($A65,연료전지_원본!$A$4:$A$369,0),MATCH($BR$4,연료전지_원본!$A$4:$KY$4,0))</f>
        <v>0</v>
      </c>
      <c r="BS65" s="241">
        <f>INDEX(연료전지_원본!$A$4:$KY$369,MATCH($A65,연료전지_원본!$A$4:$A$369,0),MATCH($BS$4,연료전지_원본!$A$4:$KY$4,0))</f>
        <v>0</v>
      </c>
      <c r="BT65" s="241">
        <f>INDEX(연료전지_원본!$A$4:$KY$369,MATCH($A65,연료전지_원본!$A$4:$A$369,0),MATCH($BT$4,연료전지_원본!$A$4:$KY$4,0))</f>
        <v>0</v>
      </c>
      <c r="BU65" s="241">
        <f>INDEX(연료전지_원본!$A$4:$KY$369,MATCH($A65,연료전지_원본!$A$4:$A$369,0),MATCH($BU$4,연료전지_원본!$A$4:$KY$4,0))</f>
        <v>0</v>
      </c>
      <c r="BV65" s="241">
        <f>INDEX(연료전지_원본!$A$4:$KY$369,MATCH($A65,연료전지_원본!$A$4:$A$369,0),MATCH($BV$4,연료전지_원본!$A$4:$KY$4,0))</f>
        <v>0</v>
      </c>
      <c r="BW65" s="241">
        <f>INDEX(연료전지_원본!$A$4:$KY$369,MATCH($A65,연료전지_원본!$A$4:$A$369,0),MATCH($BW$4,연료전지_원본!$A$4:$KY$4,0))</f>
        <v>0</v>
      </c>
      <c r="BX65" s="241">
        <f>INDEX(연료전지_원본!$A$4:$KY$369,MATCH($A65,연료전지_원본!$A$4:$A$369,0),MATCH($BX$4,연료전지_원본!$A$4:$KY$4,0))</f>
        <v>0</v>
      </c>
      <c r="BY65" s="241">
        <f>INDEX(연료전지_원본!$A$4:$KY$369,MATCH($A65,연료전지_원본!$A$4:$A$369,0),MATCH($BY$4,연료전지_원본!$A$4:$KY$4,0))</f>
        <v>0</v>
      </c>
      <c r="BZ65" s="241">
        <f>INDEX(연료전지_원본!$A$4:$KY$369,MATCH($A65,연료전지_원본!$A$4:$A$369,0),MATCH($BZ$4,연료전지_원본!$A$4:$KY$4,0))</f>
        <v>0</v>
      </c>
      <c r="CA65" s="241">
        <f>INDEX(연료전지_원본!$A$4:$KY$369,MATCH($A65,연료전지_원본!$A$4:$A$369,0),MATCH($CA$4,연료전지_원본!$A$4:$KY$4,0))</f>
        <v>0</v>
      </c>
      <c r="CB65" s="241">
        <f>INDEX(연료전지_원본!$A$4:$KY$369,MATCH($A65,연료전지_원본!$A$4:$A$369,0),MATCH($CB$4,연료전지_원본!$A$4:$KY$4,0))</f>
        <v>0</v>
      </c>
      <c r="CC65" s="242">
        <f>INDEX(연료전지_원본!$A$4:$KY$369,MATCH($A65,연료전지_원본!$A$4:$A$369,0),MATCH($CC$4,연료전지_원본!$A$4:$KY$4,0))</f>
        <v>0</v>
      </c>
      <c r="CD65" s="250" t="e">
        <f>INDEX(연료전지_원본!$KB$4:$KX$369,MATCH($A65,연료전지_원본!$KB$4:$KB$369,0), MATCH(CD$4,연료전지_원본!$KB$4:$KX$4,0))*1000</f>
        <v>#N/A</v>
      </c>
      <c r="CE65" s="250" t="e">
        <f>INDEX(연료전지_원본!$KB$4:$KX$369,MATCH($A65,연료전지_원본!$KB$4:$KB$369,0), MATCH(CE$4,연료전지_원본!$KB$4:$KX$4,0))*1000</f>
        <v>#N/A</v>
      </c>
      <c r="CF65" s="250" t="e">
        <f>INDEX(연료전지_원본!$KB$4:$KX$369,MATCH($A65,연료전지_원본!$KB$4:$KB$369,0), MATCH(CF$4,연료전지_원본!$KB$4:$KX$4,0))*1000</f>
        <v>#N/A</v>
      </c>
      <c r="CG65" s="250" t="e">
        <f>INDEX(연료전지_원본!$KB$4:$KX$369,MATCH($A65,연료전지_원본!$KB$4:$KB$369,0), MATCH(CG$4,연료전지_원본!$KB$4:$KX$4,0))*1000</f>
        <v>#N/A</v>
      </c>
      <c r="CH65" s="250" t="e">
        <f>INDEX(연료전지_원본!$KB$4:$KX$369,MATCH($A65,연료전지_원본!$KB$4:$KB$369,0), MATCH(CH$4,연료전지_원본!$KB$4:$KX$4,0))*1000</f>
        <v>#N/A</v>
      </c>
      <c r="CI65" s="250" t="e">
        <f>INDEX(연료전지_원본!$KB$4:$KX$369,MATCH($A65,연료전지_원본!$KB$4:$KB$369,0), MATCH(CI$4,연료전지_원본!$KB$4:$KX$4,0))*1000</f>
        <v>#N/A</v>
      </c>
      <c r="CJ65" s="250" t="e">
        <f>INDEX(연료전지_원본!$KB$4:$KX$369,MATCH($A65,연료전지_원본!$KB$4:$KB$369,0), MATCH(CJ$4,연료전지_원본!$KB$4:$KX$4,0))*1000</f>
        <v>#N/A</v>
      </c>
      <c r="CK65" s="250" t="e">
        <f>INDEX(연료전지_원본!$KB$4:$KX$369,MATCH($A65,연료전지_원본!$KB$4:$KB$369,0), MATCH(CK$4,연료전지_원본!$KB$4:$KX$4,0))*1000</f>
        <v>#N/A</v>
      </c>
      <c r="CL65" s="250" t="e">
        <f>INDEX(연료전지_원본!$KB$4:$KX$369,MATCH($A65,연료전지_원본!$KB$4:$KB$369,0), MATCH(CL$4,연료전지_원본!$KB$4:$KX$4,0))*1000</f>
        <v>#N/A</v>
      </c>
      <c r="CM65" s="250" t="e">
        <f>INDEX(연료전지_원본!$KB$4:$KX$369,MATCH($A65,연료전지_원본!$KB$4:$KB$369,0), MATCH(CM$4,연료전지_원본!$KB$4:$KX$4,0))*1000</f>
        <v>#N/A</v>
      </c>
      <c r="CN65" s="250" t="e">
        <f>INDEX(연료전지_원본!$KB$4:$KX$369,MATCH($A65,연료전지_원본!$KB$4:$KB$369,0), MATCH(CN$4,연료전지_원본!$KB$4:$KX$4,0))*1000</f>
        <v>#N/A</v>
      </c>
      <c r="CO65" s="250" t="e">
        <f>INDEX(연료전지_원본!$KB$4:$KX$369,MATCH($A65,연료전지_원본!$KB$4:$KB$369,0), MATCH(CO$4,연료전지_원본!$KB$4:$KX$4,0))*1000</f>
        <v>#N/A</v>
      </c>
      <c r="CP65" s="250" t="e">
        <f>INDEX(연료전지_원본!$KB$4:$KX$369,MATCH($A65,연료전지_원본!$KB$4:$KB$369,0), MATCH(CP$4,연료전지_원본!$KB$4:$KX$4,0))*1000</f>
        <v>#N/A</v>
      </c>
      <c r="CQ65" s="250" t="e">
        <f>INDEX(연료전지_원본!$KB$4:$KX$369,MATCH($A65,연료전지_원본!$KB$4:$KB$369,0), MATCH(CQ$4,연료전지_원본!$KB$4:$KX$4,0))*1000</f>
        <v>#N/A</v>
      </c>
      <c r="CR65" s="250" t="e">
        <f>INDEX(연료전지_원본!$KB$4:$KX$369,MATCH($A65,연료전지_원본!$KB$4:$KB$369,0), MATCH(CR$4,연료전지_원본!$KB$4:$KX$4,0))*1000</f>
        <v>#N/A</v>
      </c>
      <c r="CS65" s="250" t="e">
        <f>INDEX(연료전지_원본!$KB$4:$KX$369,MATCH($A65,연료전지_원본!$KB$4:$KB$369,0), MATCH(CS$4,연료전지_원본!$KB$4:$KX$4,0))*1000</f>
        <v>#N/A</v>
      </c>
      <c r="CT65" s="250" t="e">
        <f>INDEX(연료전지_원본!$KB$4:$KX$369,MATCH($A65,연료전지_원본!$KB$4:$KB$369,0), MATCH(CT$4,연료전지_원본!$KB$4:$KX$4,0))*1000</f>
        <v>#N/A</v>
      </c>
      <c r="CU65" s="250" t="e">
        <f>INDEX(연료전지_원본!$KB$4:$KX$369,MATCH($A65,연료전지_원본!$KB$4:$KB$369,0), MATCH(CU$4,연료전지_원본!$KB$4:$KX$4,0))*1000</f>
        <v>#N/A</v>
      </c>
      <c r="CV65" s="250" t="e">
        <f>INDEX(연료전지_원본!$KB$4:$KX$369,MATCH($A65,연료전지_원본!$KB$4:$KB$369,0), MATCH(CV$4,연료전지_원본!$KB$4:$KX$4,0))*1000</f>
        <v>#N/A</v>
      </c>
      <c r="CW65" s="250" t="e">
        <f>INDEX(연료전지_원본!$KB$4:$KX$369,MATCH($A65,연료전지_원본!$KB$4:$KB$369,0), MATCH(CW$4,연료전지_원본!$KB$4:$KX$4,0))*1000</f>
        <v>#N/A</v>
      </c>
      <c r="CX65" s="250" t="e">
        <f>INDEX(연료전지_원본!$KB$4:$KX$369,MATCH($A65,연료전지_원본!$KB$4:$KB$369,0), MATCH(CX$4,연료전지_원본!$KB$4:$KX$4,0))*1000</f>
        <v>#N/A</v>
      </c>
      <c r="CY65" s="250" t="e">
        <f>INDEX(연료전지_원본!$KB$4:$KX$369,MATCH($A65,연료전지_원본!$KB$4:$KB$369,0), MATCH(CY$4,연료전지_원본!$KB$4:$KX$4,0))*1000</f>
        <v>#N/A</v>
      </c>
      <c r="DV65" s="30">
        <f t="shared" si="297"/>
        <v>0</v>
      </c>
    </row>
    <row r="66" spans="1:126">
      <c r="A66" s="6">
        <v>46083</v>
      </c>
      <c r="B66" s="15">
        <f>운전실적_원본!B66</f>
        <v>651.20000000000005</v>
      </c>
      <c r="C66" s="16">
        <f t="shared" si="298"/>
        <v>0</v>
      </c>
      <c r="D66" s="12">
        <f>운전실적_원본!C66</f>
        <v>249883</v>
      </c>
      <c r="E66" s="12">
        <f t="shared" si="299"/>
        <v>0</v>
      </c>
      <c r="F66" s="12">
        <f>운전실적_원본!D66</f>
        <v>241401</v>
      </c>
      <c r="G66" s="16">
        <f t="shared" si="300"/>
        <v>17</v>
      </c>
      <c r="H66" s="15">
        <f>운전실적_원본!E66</f>
        <v>17277.759999999998</v>
      </c>
      <c r="I66" s="16">
        <f t="shared" si="301"/>
        <v>1.8599999999969441</v>
      </c>
      <c r="J66" s="15">
        <f>운전실적_원본!F66</f>
        <v>15354.56</v>
      </c>
      <c r="K66" s="16">
        <f t="shared" si="301"/>
        <v>1.3099999999994907</v>
      </c>
      <c r="L66" s="32">
        <f>운전실적_원본!G66</f>
        <v>31.2</v>
      </c>
      <c r="M66" s="31">
        <f t="shared" ref="M66" si="433">IF(OR(LEN(L66)=0,L66=0),"",L66-L65)</f>
        <v>0.39999999999999858</v>
      </c>
      <c r="N66" s="15">
        <f>운전실적_원본!H66</f>
        <v>39674</v>
      </c>
      <c r="O66" s="16">
        <f t="shared" ref="O66" si="434">IF(OR(LEN(N66)=0,N66=0),"",N66-N65)</f>
        <v>0</v>
      </c>
      <c r="P66" s="15">
        <f>운전실적_원본!I66</f>
        <v>24071</v>
      </c>
      <c r="Q66" s="16">
        <f t="shared" ref="Q66" si="435">IF(OR(LEN(P66)=0,P66=0),"",P66-P65)</f>
        <v>65</v>
      </c>
      <c r="R66" s="18">
        <f>운전실적_원본!J66</f>
        <v>33.31</v>
      </c>
      <c r="S66" s="19">
        <f t="shared" ref="S66" si="436">IF(OR(LEN(R66)=0,R66=0),"",R66-R65)</f>
        <v>-0.35999999999999943</v>
      </c>
      <c r="T66" s="18">
        <f>운전실적_원본!K66</f>
        <v>32.97</v>
      </c>
      <c r="U66" s="19">
        <f t="shared" si="306"/>
        <v>-2.0000000000003126E-2</v>
      </c>
      <c r="V66" s="12">
        <f>운전실적_원본!L66</f>
        <v>8650</v>
      </c>
      <c r="W66" s="16">
        <f t="shared" ref="W66" si="437">IF(OR(LEN(V66)=0,V66=0),"",V66-V65)</f>
        <v>481</v>
      </c>
      <c r="X66" s="10">
        <f>운전실적_원본!M66</f>
        <v>0</v>
      </c>
      <c r="Y66" s="10">
        <f>운전실적_원본!N66</f>
        <v>0</v>
      </c>
      <c r="Z66" s="10">
        <f>운전실적_원본!O66</f>
        <v>0</v>
      </c>
      <c r="AA66" s="10">
        <f>운전실적_원본!P66</f>
        <v>0</v>
      </c>
      <c r="AB66" s="10">
        <f>운전실적_원본!Q66</f>
        <v>0</v>
      </c>
      <c r="AC66" s="20">
        <f>운전실적_원본!R66</f>
        <v>0</v>
      </c>
      <c r="AD66" s="109">
        <f>운전실적_원본!S66</f>
        <v>0</v>
      </c>
      <c r="AE66" s="110">
        <f>운전실적_원본!T66</f>
        <v>0</v>
      </c>
      <c r="AF66" s="110">
        <f>운전실적_원본!U66</f>
        <v>0</v>
      </c>
      <c r="AG66" s="110">
        <f>운전실적_원본!V66</f>
        <v>0</v>
      </c>
      <c r="AH66" s="109">
        <f t="shared" si="1"/>
        <v>0</v>
      </c>
      <c r="AI66" s="110">
        <f t="shared" si="125"/>
        <v>0</v>
      </c>
      <c r="AJ66" s="110">
        <f>운전실적_원본!Y66</f>
        <v>0</v>
      </c>
      <c r="AK66" s="110">
        <f>운전실적_원본!Z66</f>
        <v>0</v>
      </c>
      <c r="AL66" s="106"/>
      <c r="AM66" s="105"/>
      <c r="AN66" s="105"/>
      <c r="AO66" s="105"/>
      <c r="AP66" s="105"/>
      <c r="AQ66" s="108"/>
      <c r="AR66" s="105"/>
      <c r="AS66" s="105"/>
      <c r="AT66" s="102"/>
      <c r="AU66" s="102"/>
      <c r="AV66" s="102"/>
      <c r="AW66" s="102"/>
      <c r="AX66" s="32">
        <f>운전실적_원본!W66</f>
        <v>0</v>
      </c>
      <c r="AY66" s="11">
        <f>운전실적_원본!X66</f>
        <v>0</v>
      </c>
      <c r="AZ66" s="11">
        <f>운전실적_원본!Y66</f>
        <v>0</v>
      </c>
      <c r="BA66" s="11">
        <f>운전실적_원본!Z66</f>
        <v>0</v>
      </c>
      <c r="BB66" s="11">
        <f>운전실적_원본!AA66</f>
        <v>0</v>
      </c>
      <c r="BC66" s="11">
        <f>운전실적_원본!AB66</f>
        <v>0</v>
      </c>
      <c r="BD66" s="32" t="str">
        <f t="shared" si="15"/>
        <v>-</v>
      </c>
      <c r="BE66" s="11" t="str">
        <f t="shared" si="2"/>
        <v>-</v>
      </c>
      <c r="BF66" s="11">
        <f>운전실적_원본!AE66</f>
        <v>0</v>
      </c>
      <c r="BG66" s="31">
        <f t="shared" si="0"/>
        <v>0</v>
      </c>
      <c r="BH66" s="241">
        <f>INDEX(연료전지_원본!$A$4:$KY$369,MATCH($A66,연료전지_원본!$A$4:$A$369,0),MATCH($BH$4,연료전지_원본!$A$4:$KY$4,0))</f>
        <v>0</v>
      </c>
      <c r="BI66" s="241">
        <f>INDEX(연료전지_원본!$A$4:$KY$369,MATCH($A66,연료전지_원본!$A$4:$A$369,0),MATCH($BI$4,연료전지_원본!$A$4:$KY$4,0))</f>
        <v>0</v>
      </c>
      <c r="BJ66" s="241">
        <f>INDEX(연료전지_원본!$A$4:$KY$369,MATCH($A66,연료전지_원본!$A$4:$A$369,0),MATCH($BJ$4,연료전지_원본!$A$4:$KY$4,0))</f>
        <v>0</v>
      </c>
      <c r="BK66" s="241">
        <f>INDEX(연료전지_원본!$A$4:$KY$369,MATCH($A66,연료전지_원본!$A$4:$A$369,0),MATCH($BK$4,연료전지_원본!$A$4:$KY$4,0))</f>
        <v>0</v>
      </c>
      <c r="BL66" s="241">
        <f>INDEX(연료전지_원본!$A$4:$KY$369,MATCH($A66,연료전지_원본!$A$4:$A$369,0),MATCH($BL$4,연료전지_원본!$A$4:$KY$4,0))</f>
        <v>0</v>
      </c>
      <c r="BM66" s="241">
        <f>INDEX(연료전지_원본!$A$4:$KY$369,MATCH($A66,연료전지_원본!$A$4:$A$369,0),MATCH($BM$4,연료전지_원본!$A$4:$KY$4,0))</f>
        <v>0</v>
      </c>
      <c r="BN66" s="241">
        <f>INDEX(연료전지_원본!$A$4:$KY$369,MATCH($A66,연료전지_원본!$A$4:$A$369,0),MATCH($BN$4,연료전지_원본!$A$4:$KY$4,0))</f>
        <v>0</v>
      </c>
      <c r="BO66" s="241">
        <f>INDEX(연료전지_원본!$A$4:$KY$369,MATCH($A66,연료전지_원본!$A$4:$A$369,0),MATCH($BO$4,연료전지_원본!$A$4:$KY$4,0))</f>
        <v>0</v>
      </c>
      <c r="BP66" s="241">
        <f>INDEX(연료전지_원본!$A$4:$KY$369,MATCH($A66,연료전지_원본!$A$4:$A$369,0),MATCH($BP$4,연료전지_원본!$A$4:$KY$4,0))</f>
        <v>0</v>
      </c>
      <c r="BQ66" s="241">
        <f>INDEX(연료전지_원본!$A$4:$KY$369,MATCH($A66,연료전지_원본!$A$4:$A$369,0),MATCH($BQ$4,연료전지_원본!$A$4:$KY$4,0))</f>
        <v>0</v>
      </c>
      <c r="BR66" s="241">
        <f>INDEX(연료전지_원본!$A$4:$KY$369,MATCH($A66,연료전지_원본!$A$4:$A$369,0),MATCH($BR$4,연료전지_원본!$A$4:$KY$4,0))</f>
        <v>0</v>
      </c>
      <c r="BS66" s="241">
        <f>INDEX(연료전지_원본!$A$4:$KY$369,MATCH($A66,연료전지_원본!$A$4:$A$369,0),MATCH($BS$4,연료전지_원본!$A$4:$KY$4,0))</f>
        <v>0</v>
      </c>
      <c r="BT66" s="241">
        <f>INDEX(연료전지_원본!$A$4:$KY$369,MATCH($A66,연료전지_원본!$A$4:$A$369,0),MATCH($BT$4,연료전지_원본!$A$4:$KY$4,0))</f>
        <v>0</v>
      </c>
      <c r="BU66" s="241">
        <f>INDEX(연료전지_원본!$A$4:$KY$369,MATCH($A66,연료전지_원본!$A$4:$A$369,0),MATCH($BU$4,연료전지_원본!$A$4:$KY$4,0))</f>
        <v>0</v>
      </c>
      <c r="BV66" s="241">
        <f>INDEX(연료전지_원본!$A$4:$KY$369,MATCH($A66,연료전지_원본!$A$4:$A$369,0),MATCH($BV$4,연료전지_원본!$A$4:$KY$4,0))</f>
        <v>0</v>
      </c>
      <c r="BW66" s="241">
        <f>INDEX(연료전지_원본!$A$4:$KY$369,MATCH($A66,연료전지_원본!$A$4:$A$369,0),MATCH($BW$4,연료전지_원본!$A$4:$KY$4,0))</f>
        <v>0</v>
      </c>
      <c r="BX66" s="241">
        <f>INDEX(연료전지_원본!$A$4:$KY$369,MATCH($A66,연료전지_원본!$A$4:$A$369,0),MATCH($BX$4,연료전지_원본!$A$4:$KY$4,0))</f>
        <v>0</v>
      </c>
      <c r="BY66" s="241">
        <f>INDEX(연료전지_원본!$A$4:$KY$369,MATCH($A66,연료전지_원본!$A$4:$A$369,0),MATCH($BY$4,연료전지_원본!$A$4:$KY$4,0))</f>
        <v>0</v>
      </c>
      <c r="BZ66" s="241">
        <f>INDEX(연료전지_원본!$A$4:$KY$369,MATCH($A66,연료전지_원본!$A$4:$A$369,0),MATCH($BZ$4,연료전지_원본!$A$4:$KY$4,0))</f>
        <v>0</v>
      </c>
      <c r="CA66" s="241">
        <f>INDEX(연료전지_원본!$A$4:$KY$369,MATCH($A66,연료전지_원본!$A$4:$A$369,0),MATCH($CA$4,연료전지_원본!$A$4:$KY$4,0))</f>
        <v>0</v>
      </c>
      <c r="CB66" s="241">
        <f>INDEX(연료전지_원본!$A$4:$KY$369,MATCH($A66,연료전지_원본!$A$4:$A$369,0),MATCH($CB$4,연료전지_원본!$A$4:$KY$4,0))</f>
        <v>0</v>
      </c>
      <c r="CC66" s="242">
        <f>INDEX(연료전지_원본!$A$4:$KY$369,MATCH($A66,연료전지_원본!$A$4:$A$369,0),MATCH($CC$4,연료전지_원본!$A$4:$KY$4,0))</f>
        <v>0</v>
      </c>
      <c r="CD66" s="250" t="e">
        <f>INDEX(연료전지_원본!$KB$4:$KX$369,MATCH($A66,연료전지_원본!$KB$4:$KB$369,0), MATCH(CD$4,연료전지_원본!$KB$4:$KX$4,0))*1000</f>
        <v>#N/A</v>
      </c>
      <c r="CE66" s="250" t="e">
        <f>INDEX(연료전지_원본!$KB$4:$KX$369,MATCH($A66,연료전지_원본!$KB$4:$KB$369,0), MATCH(CE$4,연료전지_원본!$KB$4:$KX$4,0))*1000</f>
        <v>#N/A</v>
      </c>
      <c r="CF66" s="250" t="e">
        <f>INDEX(연료전지_원본!$KB$4:$KX$369,MATCH($A66,연료전지_원본!$KB$4:$KB$369,0), MATCH(CF$4,연료전지_원본!$KB$4:$KX$4,0))*1000</f>
        <v>#N/A</v>
      </c>
      <c r="CG66" s="250" t="e">
        <f>INDEX(연료전지_원본!$KB$4:$KX$369,MATCH($A66,연료전지_원본!$KB$4:$KB$369,0), MATCH(CG$4,연료전지_원본!$KB$4:$KX$4,0))*1000</f>
        <v>#N/A</v>
      </c>
      <c r="CH66" s="250" t="e">
        <f>INDEX(연료전지_원본!$KB$4:$KX$369,MATCH($A66,연료전지_원본!$KB$4:$KB$369,0), MATCH(CH$4,연료전지_원본!$KB$4:$KX$4,0))*1000</f>
        <v>#N/A</v>
      </c>
      <c r="CI66" s="250" t="e">
        <f>INDEX(연료전지_원본!$KB$4:$KX$369,MATCH($A66,연료전지_원본!$KB$4:$KB$369,0), MATCH(CI$4,연료전지_원본!$KB$4:$KX$4,0))*1000</f>
        <v>#N/A</v>
      </c>
      <c r="CJ66" s="250" t="e">
        <f>INDEX(연료전지_원본!$KB$4:$KX$369,MATCH($A66,연료전지_원본!$KB$4:$KB$369,0), MATCH(CJ$4,연료전지_원본!$KB$4:$KX$4,0))*1000</f>
        <v>#N/A</v>
      </c>
      <c r="CK66" s="250" t="e">
        <f>INDEX(연료전지_원본!$KB$4:$KX$369,MATCH($A66,연료전지_원본!$KB$4:$KB$369,0), MATCH(CK$4,연료전지_원본!$KB$4:$KX$4,0))*1000</f>
        <v>#N/A</v>
      </c>
      <c r="CL66" s="250" t="e">
        <f>INDEX(연료전지_원본!$KB$4:$KX$369,MATCH($A66,연료전지_원본!$KB$4:$KB$369,0), MATCH(CL$4,연료전지_원본!$KB$4:$KX$4,0))*1000</f>
        <v>#N/A</v>
      </c>
      <c r="CM66" s="250" t="e">
        <f>INDEX(연료전지_원본!$KB$4:$KX$369,MATCH($A66,연료전지_원본!$KB$4:$KB$369,0), MATCH(CM$4,연료전지_원본!$KB$4:$KX$4,0))*1000</f>
        <v>#N/A</v>
      </c>
      <c r="CN66" s="250" t="e">
        <f>INDEX(연료전지_원본!$KB$4:$KX$369,MATCH($A66,연료전지_원본!$KB$4:$KB$369,0), MATCH(CN$4,연료전지_원본!$KB$4:$KX$4,0))*1000</f>
        <v>#N/A</v>
      </c>
      <c r="CO66" s="250" t="e">
        <f>INDEX(연료전지_원본!$KB$4:$KX$369,MATCH($A66,연료전지_원본!$KB$4:$KB$369,0), MATCH(CO$4,연료전지_원본!$KB$4:$KX$4,0))*1000</f>
        <v>#N/A</v>
      </c>
      <c r="CP66" s="250" t="e">
        <f>INDEX(연료전지_원본!$KB$4:$KX$369,MATCH($A66,연료전지_원본!$KB$4:$KB$369,0), MATCH(CP$4,연료전지_원본!$KB$4:$KX$4,0))*1000</f>
        <v>#N/A</v>
      </c>
      <c r="CQ66" s="250" t="e">
        <f>INDEX(연료전지_원본!$KB$4:$KX$369,MATCH($A66,연료전지_원본!$KB$4:$KB$369,0), MATCH(CQ$4,연료전지_원본!$KB$4:$KX$4,0))*1000</f>
        <v>#N/A</v>
      </c>
      <c r="CR66" s="250" t="e">
        <f>INDEX(연료전지_원본!$KB$4:$KX$369,MATCH($A66,연료전지_원본!$KB$4:$KB$369,0), MATCH(CR$4,연료전지_원본!$KB$4:$KX$4,0))*1000</f>
        <v>#N/A</v>
      </c>
      <c r="CS66" s="250" t="e">
        <f>INDEX(연료전지_원본!$KB$4:$KX$369,MATCH($A66,연료전지_원본!$KB$4:$KB$369,0), MATCH(CS$4,연료전지_원본!$KB$4:$KX$4,0))*1000</f>
        <v>#N/A</v>
      </c>
      <c r="CT66" s="250" t="e">
        <f>INDEX(연료전지_원본!$KB$4:$KX$369,MATCH($A66,연료전지_원본!$KB$4:$KB$369,0), MATCH(CT$4,연료전지_원본!$KB$4:$KX$4,0))*1000</f>
        <v>#N/A</v>
      </c>
      <c r="CU66" s="250" t="e">
        <f>INDEX(연료전지_원본!$KB$4:$KX$369,MATCH($A66,연료전지_원본!$KB$4:$KB$369,0), MATCH(CU$4,연료전지_원본!$KB$4:$KX$4,0))*1000</f>
        <v>#N/A</v>
      </c>
      <c r="CV66" s="250" t="e">
        <f>INDEX(연료전지_원본!$KB$4:$KX$369,MATCH($A66,연료전지_원본!$KB$4:$KB$369,0), MATCH(CV$4,연료전지_원본!$KB$4:$KX$4,0))*1000</f>
        <v>#N/A</v>
      </c>
      <c r="CW66" s="250" t="e">
        <f>INDEX(연료전지_원본!$KB$4:$KX$369,MATCH($A66,연료전지_원본!$KB$4:$KB$369,0), MATCH(CW$4,연료전지_원본!$KB$4:$KX$4,0))*1000</f>
        <v>#N/A</v>
      </c>
      <c r="CX66" s="250" t="e">
        <f>INDEX(연료전지_원본!$KB$4:$KX$369,MATCH($A66,연료전지_원본!$KB$4:$KB$369,0), MATCH(CX$4,연료전지_원본!$KB$4:$KX$4,0))*1000</f>
        <v>#N/A</v>
      </c>
      <c r="CY66" s="250" t="e">
        <f>INDEX(연료전지_원본!$KB$4:$KX$369,MATCH($A66,연료전지_원본!$KB$4:$KB$369,0), MATCH(CY$4,연료전지_원본!$KB$4:$KX$4,0))*1000</f>
        <v>#N/A</v>
      </c>
      <c r="DV66" s="30">
        <f t="shared" si="297"/>
        <v>0</v>
      </c>
    </row>
    <row r="67" spans="1:126">
      <c r="A67" s="6">
        <v>46084</v>
      </c>
      <c r="B67" s="15">
        <f>운전실적_원본!B67</f>
        <v>651.20000000000005</v>
      </c>
      <c r="C67" s="16">
        <f t="shared" si="298"/>
        <v>0</v>
      </c>
      <c r="D67" s="12">
        <f>운전실적_원본!C67</f>
        <v>249883</v>
      </c>
      <c r="E67" s="12">
        <f t="shared" si="299"/>
        <v>0</v>
      </c>
      <c r="F67" s="12">
        <f>운전실적_원본!D67</f>
        <v>241421</v>
      </c>
      <c r="G67" s="16">
        <f t="shared" si="300"/>
        <v>20</v>
      </c>
      <c r="H67" s="15">
        <f>운전실적_원본!E67</f>
        <v>17282.009999999998</v>
      </c>
      <c r="I67" s="16">
        <f t="shared" si="301"/>
        <v>4.25</v>
      </c>
      <c r="J67" s="15">
        <f>운전실적_원본!F67</f>
        <v>15360</v>
      </c>
      <c r="K67" s="16">
        <f t="shared" si="301"/>
        <v>5.4400000000005093</v>
      </c>
      <c r="L67" s="32">
        <f>운전실적_원본!G67</f>
        <v>31.9</v>
      </c>
      <c r="M67" s="31">
        <f t="shared" ref="M67" si="438">IF(OR(LEN(L67)=0,L67=0),"",L67-L66)</f>
        <v>0.69999999999999929</v>
      </c>
      <c r="N67" s="15">
        <f>운전실적_원본!H67</f>
        <v>39758</v>
      </c>
      <c r="O67" s="16">
        <f t="shared" ref="O67" si="439">IF(OR(LEN(N67)=0,N67=0),"",N67-N66)</f>
        <v>84</v>
      </c>
      <c r="P67" s="15">
        <f>운전실적_원본!I67</f>
        <v>24137</v>
      </c>
      <c r="Q67" s="16">
        <f t="shared" ref="Q67" si="440">IF(OR(LEN(P67)=0,P67=0),"",P67-P66)</f>
        <v>66</v>
      </c>
      <c r="R67" s="18">
        <f>운전실적_원본!J67</f>
        <v>33.42</v>
      </c>
      <c r="S67" s="19">
        <f t="shared" ref="S67" si="441">IF(OR(LEN(R67)=0,R67=0),"",R67-R66)</f>
        <v>0.10999999999999943</v>
      </c>
      <c r="T67" s="18">
        <f>운전실적_원본!K67</f>
        <v>32.97</v>
      </c>
      <c r="U67" s="19">
        <f t="shared" si="306"/>
        <v>0</v>
      </c>
      <c r="V67" s="12">
        <f>운전실적_원본!L67</f>
        <v>8382</v>
      </c>
      <c r="W67" s="16">
        <f t="shared" ref="W67" si="442">IF(OR(LEN(V67)=0,V67=0),"",V67-V66)</f>
        <v>-268</v>
      </c>
      <c r="X67" s="10">
        <f>운전실적_원본!M67</f>
        <v>18806.789999999106</v>
      </c>
      <c r="Y67" s="10">
        <f>운전실적_원본!N67</f>
        <v>0</v>
      </c>
      <c r="Z67" s="10">
        <f>운전실적_원본!O67</f>
        <v>0</v>
      </c>
      <c r="AA67" s="10">
        <f>운전실적_원본!P67</f>
        <v>0</v>
      </c>
      <c r="AB67" s="10">
        <f>운전실적_원본!Q67</f>
        <v>0</v>
      </c>
      <c r="AC67" s="20">
        <f>운전실적_원본!R67</f>
        <v>0</v>
      </c>
      <c r="AD67" s="109">
        <f>운전실적_원본!S67</f>
        <v>10</v>
      </c>
      <c r="AE67" s="110">
        <f>운전실적_원본!T67</f>
        <v>0</v>
      </c>
      <c r="AF67" s="110">
        <f>운전실적_원본!U67</f>
        <v>0</v>
      </c>
      <c r="AG67" s="110">
        <f>운전실적_원본!V67</f>
        <v>0</v>
      </c>
      <c r="AH67" s="109">
        <f t="shared" si="1"/>
        <v>9.9999999999417923</v>
      </c>
      <c r="AI67" s="110">
        <f t="shared" si="125"/>
        <v>0</v>
      </c>
      <c r="AJ67" s="110">
        <f>운전실적_원본!Y67</f>
        <v>0</v>
      </c>
      <c r="AK67" s="110">
        <f>운전실적_원본!Z67</f>
        <v>0</v>
      </c>
      <c r="AL67" s="106">
        <v>46084</v>
      </c>
      <c r="AM67" s="105">
        <v>46084.416666666664</v>
      </c>
      <c r="AN67" s="105"/>
      <c r="AO67" s="105"/>
      <c r="AP67" s="105"/>
      <c r="AQ67" s="108"/>
      <c r="AR67" s="105"/>
      <c r="AS67" s="105"/>
      <c r="AT67" s="102"/>
      <c r="AU67" s="102"/>
      <c r="AV67" s="102"/>
      <c r="AW67" s="102"/>
      <c r="AX67" s="32">
        <f>운전실적_원본!W67</f>
        <v>104.38700000000063</v>
      </c>
      <c r="AY67" s="11">
        <f>운전실적_원본!X67</f>
        <v>0</v>
      </c>
      <c r="AZ67" s="11">
        <f>운전실적_원본!Y67</f>
        <v>0</v>
      </c>
      <c r="BA67" s="11">
        <f>운전실적_원본!Z67</f>
        <v>0</v>
      </c>
      <c r="BB67" s="11">
        <f>운전실적_원본!AA67</f>
        <v>0</v>
      </c>
      <c r="BC67" s="11">
        <f>운전실적_원본!AB67</f>
        <v>104.38700000000063</v>
      </c>
      <c r="BD67" s="32">
        <f t="shared" si="15"/>
        <v>10.438700000000063</v>
      </c>
      <c r="BE67" s="11">
        <f t="shared" si="2"/>
        <v>0.20312706752286561</v>
      </c>
      <c r="BF67" s="11">
        <f>운전실적_원본!AE67</f>
        <v>0</v>
      </c>
      <c r="BG67" s="31">
        <f t="shared" si="0"/>
        <v>0</v>
      </c>
      <c r="BH67" s="241">
        <f>INDEX(연료전지_원본!$A$4:$KY$369,MATCH($A67,연료전지_원본!$A$4:$A$369,0),MATCH($BH$4,연료전지_원본!$A$4:$KY$4,0))</f>
        <v>0</v>
      </c>
      <c r="BI67" s="241">
        <f>INDEX(연료전지_원본!$A$4:$KY$369,MATCH($A67,연료전지_원본!$A$4:$A$369,0),MATCH($BI$4,연료전지_원본!$A$4:$KY$4,0))</f>
        <v>0</v>
      </c>
      <c r="BJ67" s="241">
        <f>INDEX(연료전지_원본!$A$4:$KY$369,MATCH($A67,연료전지_원본!$A$4:$A$369,0),MATCH($BJ$4,연료전지_원본!$A$4:$KY$4,0))</f>
        <v>0</v>
      </c>
      <c r="BK67" s="241">
        <f>INDEX(연료전지_원본!$A$4:$KY$369,MATCH($A67,연료전지_원본!$A$4:$A$369,0),MATCH($BK$4,연료전지_원본!$A$4:$KY$4,0))</f>
        <v>0</v>
      </c>
      <c r="BL67" s="241">
        <f>INDEX(연료전지_원본!$A$4:$KY$369,MATCH($A67,연료전지_원본!$A$4:$A$369,0),MATCH($BL$4,연료전지_원본!$A$4:$KY$4,0))</f>
        <v>0</v>
      </c>
      <c r="BM67" s="241">
        <f>INDEX(연료전지_원본!$A$4:$KY$369,MATCH($A67,연료전지_원본!$A$4:$A$369,0),MATCH($BM$4,연료전지_원본!$A$4:$KY$4,0))</f>
        <v>0</v>
      </c>
      <c r="BN67" s="241">
        <f>INDEX(연료전지_원본!$A$4:$KY$369,MATCH($A67,연료전지_원본!$A$4:$A$369,0),MATCH($BN$4,연료전지_원본!$A$4:$KY$4,0))</f>
        <v>0</v>
      </c>
      <c r="BO67" s="241">
        <f>INDEX(연료전지_원본!$A$4:$KY$369,MATCH($A67,연료전지_원본!$A$4:$A$369,0),MATCH($BO$4,연료전지_원본!$A$4:$KY$4,0))</f>
        <v>0</v>
      </c>
      <c r="BP67" s="241">
        <f>INDEX(연료전지_원본!$A$4:$KY$369,MATCH($A67,연료전지_원본!$A$4:$A$369,0),MATCH($BP$4,연료전지_원본!$A$4:$KY$4,0))</f>
        <v>0</v>
      </c>
      <c r="BQ67" s="241">
        <f>INDEX(연료전지_원본!$A$4:$KY$369,MATCH($A67,연료전지_원본!$A$4:$A$369,0),MATCH($BQ$4,연료전지_원본!$A$4:$KY$4,0))</f>
        <v>0</v>
      </c>
      <c r="BR67" s="241">
        <f>INDEX(연료전지_원본!$A$4:$KY$369,MATCH($A67,연료전지_원본!$A$4:$A$369,0),MATCH($BR$4,연료전지_원본!$A$4:$KY$4,0))</f>
        <v>0</v>
      </c>
      <c r="BS67" s="241">
        <f>INDEX(연료전지_원본!$A$4:$KY$369,MATCH($A67,연료전지_원본!$A$4:$A$369,0),MATCH($BS$4,연료전지_원본!$A$4:$KY$4,0))</f>
        <v>0</v>
      </c>
      <c r="BT67" s="241">
        <f>INDEX(연료전지_원본!$A$4:$KY$369,MATCH($A67,연료전지_원본!$A$4:$A$369,0),MATCH($BT$4,연료전지_원본!$A$4:$KY$4,0))</f>
        <v>0</v>
      </c>
      <c r="BU67" s="241">
        <f>INDEX(연료전지_원본!$A$4:$KY$369,MATCH($A67,연료전지_원본!$A$4:$A$369,0),MATCH($BU$4,연료전지_원본!$A$4:$KY$4,0))</f>
        <v>0</v>
      </c>
      <c r="BV67" s="241">
        <f>INDEX(연료전지_원본!$A$4:$KY$369,MATCH($A67,연료전지_원본!$A$4:$A$369,0),MATCH($BV$4,연료전지_원본!$A$4:$KY$4,0))</f>
        <v>0</v>
      </c>
      <c r="BW67" s="241">
        <f>INDEX(연료전지_원본!$A$4:$KY$369,MATCH($A67,연료전지_원본!$A$4:$A$369,0),MATCH($BW$4,연료전지_원본!$A$4:$KY$4,0))</f>
        <v>0</v>
      </c>
      <c r="BX67" s="241">
        <f>INDEX(연료전지_원본!$A$4:$KY$369,MATCH($A67,연료전지_원본!$A$4:$A$369,0),MATCH($BX$4,연료전지_원본!$A$4:$KY$4,0))</f>
        <v>0</v>
      </c>
      <c r="BY67" s="241">
        <f>INDEX(연료전지_원본!$A$4:$KY$369,MATCH($A67,연료전지_원본!$A$4:$A$369,0),MATCH($BY$4,연료전지_원본!$A$4:$KY$4,0))</f>
        <v>0</v>
      </c>
      <c r="BZ67" s="241">
        <f>INDEX(연료전지_원본!$A$4:$KY$369,MATCH($A67,연료전지_원본!$A$4:$A$369,0),MATCH($BZ$4,연료전지_원본!$A$4:$KY$4,0))</f>
        <v>0</v>
      </c>
      <c r="CA67" s="241">
        <f>INDEX(연료전지_원본!$A$4:$KY$369,MATCH($A67,연료전지_원본!$A$4:$A$369,0),MATCH($CA$4,연료전지_원본!$A$4:$KY$4,0))</f>
        <v>0</v>
      </c>
      <c r="CB67" s="241">
        <f>INDEX(연료전지_원본!$A$4:$KY$369,MATCH($A67,연료전지_원본!$A$4:$A$369,0),MATCH($CB$4,연료전지_원본!$A$4:$KY$4,0))</f>
        <v>0</v>
      </c>
      <c r="CC67" s="242">
        <f>INDEX(연료전지_원본!$A$4:$KY$369,MATCH($A67,연료전지_원본!$A$4:$A$369,0),MATCH($CC$4,연료전지_원본!$A$4:$KY$4,0))</f>
        <v>0</v>
      </c>
      <c r="CD67" s="250" t="e">
        <f>INDEX(연료전지_원본!$KB$4:$KX$369,MATCH($A67,연료전지_원본!$KB$4:$KB$369,0), MATCH(CD$4,연료전지_원본!$KB$4:$KX$4,0))*1000</f>
        <v>#N/A</v>
      </c>
      <c r="CE67" s="250" t="e">
        <f>INDEX(연료전지_원본!$KB$4:$KX$369,MATCH($A67,연료전지_원본!$KB$4:$KB$369,0), MATCH(CE$4,연료전지_원본!$KB$4:$KX$4,0))*1000</f>
        <v>#N/A</v>
      </c>
      <c r="CF67" s="250" t="e">
        <f>INDEX(연료전지_원본!$KB$4:$KX$369,MATCH($A67,연료전지_원본!$KB$4:$KB$369,0), MATCH(CF$4,연료전지_원본!$KB$4:$KX$4,0))*1000</f>
        <v>#N/A</v>
      </c>
      <c r="CG67" s="250" t="e">
        <f>INDEX(연료전지_원본!$KB$4:$KX$369,MATCH($A67,연료전지_원본!$KB$4:$KB$369,0), MATCH(CG$4,연료전지_원본!$KB$4:$KX$4,0))*1000</f>
        <v>#N/A</v>
      </c>
      <c r="CH67" s="250" t="e">
        <f>INDEX(연료전지_원본!$KB$4:$KX$369,MATCH($A67,연료전지_원본!$KB$4:$KB$369,0), MATCH(CH$4,연료전지_원본!$KB$4:$KX$4,0))*1000</f>
        <v>#N/A</v>
      </c>
      <c r="CI67" s="250" t="e">
        <f>INDEX(연료전지_원본!$KB$4:$KX$369,MATCH($A67,연료전지_원본!$KB$4:$KB$369,0), MATCH(CI$4,연료전지_원본!$KB$4:$KX$4,0))*1000</f>
        <v>#N/A</v>
      </c>
      <c r="CJ67" s="250" t="e">
        <f>INDEX(연료전지_원본!$KB$4:$KX$369,MATCH($A67,연료전지_원본!$KB$4:$KB$369,0), MATCH(CJ$4,연료전지_원본!$KB$4:$KX$4,0))*1000</f>
        <v>#N/A</v>
      </c>
      <c r="CK67" s="250" t="e">
        <f>INDEX(연료전지_원본!$KB$4:$KX$369,MATCH($A67,연료전지_원본!$KB$4:$KB$369,0), MATCH(CK$4,연료전지_원본!$KB$4:$KX$4,0))*1000</f>
        <v>#N/A</v>
      </c>
      <c r="CL67" s="250" t="e">
        <f>INDEX(연료전지_원본!$KB$4:$KX$369,MATCH($A67,연료전지_원본!$KB$4:$KB$369,0), MATCH(CL$4,연료전지_원본!$KB$4:$KX$4,0))*1000</f>
        <v>#N/A</v>
      </c>
      <c r="CM67" s="250" t="e">
        <f>INDEX(연료전지_원본!$KB$4:$KX$369,MATCH($A67,연료전지_원본!$KB$4:$KB$369,0), MATCH(CM$4,연료전지_원본!$KB$4:$KX$4,0))*1000</f>
        <v>#N/A</v>
      </c>
      <c r="CN67" s="250" t="e">
        <f>INDEX(연료전지_원본!$KB$4:$KX$369,MATCH($A67,연료전지_원본!$KB$4:$KB$369,0), MATCH(CN$4,연료전지_원본!$KB$4:$KX$4,0))*1000</f>
        <v>#N/A</v>
      </c>
      <c r="CO67" s="250" t="e">
        <f>INDEX(연료전지_원본!$KB$4:$KX$369,MATCH($A67,연료전지_원본!$KB$4:$KB$369,0), MATCH(CO$4,연료전지_원본!$KB$4:$KX$4,0))*1000</f>
        <v>#N/A</v>
      </c>
      <c r="CP67" s="250" t="e">
        <f>INDEX(연료전지_원본!$KB$4:$KX$369,MATCH($A67,연료전지_원본!$KB$4:$KB$369,0), MATCH(CP$4,연료전지_원본!$KB$4:$KX$4,0))*1000</f>
        <v>#N/A</v>
      </c>
      <c r="CQ67" s="250" t="e">
        <f>INDEX(연료전지_원본!$KB$4:$KX$369,MATCH($A67,연료전지_원본!$KB$4:$KB$369,0), MATCH(CQ$4,연료전지_원본!$KB$4:$KX$4,0))*1000</f>
        <v>#N/A</v>
      </c>
      <c r="CR67" s="250" t="e">
        <f>INDEX(연료전지_원본!$KB$4:$KX$369,MATCH($A67,연료전지_원본!$KB$4:$KB$369,0), MATCH(CR$4,연료전지_원본!$KB$4:$KX$4,0))*1000</f>
        <v>#N/A</v>
      </c>
      <c r="CS67" s="250" t="e">
        <f>INDEX(연료전지_원본!$KB$4:$KX$369,MATCH($A67,연료전지_원본!$KB$4:$KB$369,0), MATCH(CS$4,연료전지_원본!$KB$4:$KX$4,0))*1000</f>
        <v>#N/A</v>
      </c>
      <c r="CT67" s="250" t="e">
        <f>INDEX(연료전지_원본!$KB$4:$KX$369,MATCH($A67,연료전지_원본!$KB$4:$KB$369,0), MATCH(CT$4,연료전지_원본!$KB$4:$KX$4,0))*1000</f>
        <v>#N/A</v>
      </c>
      <c r="CU67" s="250" t="e">
        <f>INDEX(연료전지_원본!$KB$4:$KX$369,MATCH($A67,연료전지_원본!$KB$4:$KB$369,0), MATCH(CU$4,연료전지_원본!$KB$4:$KX$4,0))*1000</f>
        <v>#N/A</v>
      </c>
      <c r="CV67" s="250" t="e">
        <f>INDEX(연료전지_원본!$KB$4:$KX$369,MATCH($A67,연료전지_원본!$KB$4:$KB$369,0), MATCH(CV$4,연료전지_원본!$KB$4:$KX$4,0))*1000</f>
        <v>#N/A</v>
      </c>
      <c r="CW67" s="250" t="e">
        <f>INDEX(연료전지_원본!$KB$4:$KX$369,MATCH($A67,연료전지_원본!$KB$4:$KB$369,0), MATCH(CW$4,연료전지_원본!$KB$4:$KX$4,0))*1000</f>
        <v>#N/A</v>
      </c>
      <c r="CX67" s="250" t="e">
        <f>INDEX(연료전지_원본!$KB$4:$KX$369,MATCH($A67,연료전지_원본!$KB$4:$KB$369,0), MATCH(CX$4,연료전지_원본!$KB$4:$KX$4,0))*1000</f>
        <v>#N/A</v>
      </c>
      <c r="CY67" s="250" t="e">
        <f>INDEX(연료전지_원본!$KB$4:$KX$369,MATCH($A67,연료전지_원본!$KB$4:$KB$369,0), MATCH(CY$4,연료전지_원본!$KB$4:$KX$4,0))*1000</f>
        <v>#N/A</v>
      </c>
      <c r="DV67" s="30">
        <f t="shared" si="297"/>
        <v>0</v>
      </c>
    </row>
    <row r="68" spans="1:126">
      <c r="A68" s="6">
        <v>46085</v>
      </c>
      <c r="B68" s="15">
        <f>운전실적_원본!B68</f>
        <v>651.20000000000005</v>
      </c>
      <c r="C68" s="16">
        <f t="shared" si="298"/>
        <v>0</v>
      </c>
      <c r="D68" s="12">
        <f>운전실적_원본!C68</f>
        <v>249883</v>
      </c>
      <c r="E68" s="12">
        <f t="shared" si="299"/>
        <v>0</v>
      </c>
      <c r="F68" s="12">
        <f>운전실적_원본!D68</f>
        <v>241438</v>
      </c>
      <c r="G68" s="16">
        <f t="shared" si="300"/>
        <v>17</v>
      </c>
      <c r="H68" s="15">
        <f>운전실적_원본!E68</f>
        <v>17285.25</v>
      </c>
      <c r="I68" s="16">
        <f t="shared" si="301"/>
        <v>3.2400000000016007</v>
      </c>
      <c r="J68" s="15">
        <f>운전실적_원본!F68</f>
        <v>15362.72</v>
      </c>
      <c r="K68" s="16">
        <f t="shared" si="301"/>
        <v>2.7199999999993452</v>
      </c>
      <c r="L68" s="32">
        <f>운전실적_원본!G68</f>
        <v>32.299999999999997</v>
      </c>
      <c r="M68" s="31">
        <f t="shared" ref="M68" si="443">IF(OR(LEN(L68)=0,L68=0),"",L68-L67)</f>
        <v>0.39999999999999858</v>
      </c>
      <c r="N68" s="15">
        <f>운전실적_원본!H68</f>
        <v>39758</v>
      </c>
      <c r="O68" s="16">
        <f t="shared" ref="O68" si="444">IF(OR(LEN(N68)=0,N68=0),"",N68-N67)</f>
        <v>0</v>
      </c>
      <c r="P68" s="15">
        <f>운전실적_원본!I68</f>
        <v>24158</v>
      </c>
      <c r="Q68" s="16">
        <f t="shared" ref="Q68" si="445">IF(OR(LEN(P68)=0,P68=0),"",P68-P67)</f>
        <v>21</v>
      </c>
      <c r="R68" s="18">
        <f>운전실적_원본!J68</f>
        <v>33.575000000000003</v>
      </c>
      <c r="S68" s="19">
        <f t="shared" ref="S68" si="446">IF(OR(LEN(R68)=0,R68=0),"",R68-R67)</f>
        <v>0.15500000000000114</v>
      </c>
      <c r="T68" s="18">
        <f>운전실적_원본!K68</f>
        <v>33.929000000000002</v>
      </c>
      <c r="U68" s="19">
        <f t="shared" si="306"/>
        <v>0.95900000000000318</v>
      </c>
      <c r="V68" s="12">
        <f>운전실적_원본!L68</f>
        <v>8556.8539999999994</v>
      </c>
      <c r="W68" s="16">
        <f t="shared" ref="W68" si="447">IF(OR(LEN(V68)=0,V68=0),"",V68-V67)</f>
        <v>174.85399999999936</v>
      </c>
      <c r="X68" s="10">
        <f>운전실적_원본!M68</f>
        <v>0</v>
      </c>
      <c r="Y68" s="10">
        <f>운전실적_원본!N68</f>
        <v>0</v>
      </c>
      <c r="Z68" s="10">
        <f>운전실적_원본!O68</f>
        <v>0</v>
      </c>
      <c r="AA68" s="10">
        <f>운전실적_원본!P68</f>
        <v>0</v>
      </c>
      <c r="AB68" s="10">
        <f>운전실적_원본!Q68</f>
        <v>0</v>
      </c>
      <c r="AC68" s="20">
        <f>운전실적_원본!R68</f>
        <v>0</v>
      </c>
      <c r="AD68" s="109">
        <f>운전실적_원본!S68</f>
        <v>0</v>
      </c>
      <c r="AE68" s="110">
        <f>운전실적_원본!T68</f>
        <v>0</v>
      </c>
      <c r="AF68" s="110">
        <f>운전실적_원본!U68</f>
        <v>0</v>
      </c>
      <c r="AG68" s="110">
        <f>운전실적_원본!V68</f>
        <v>0</v>
      </c>
      <c r="AH68" s="109">
        <f t="shared" si="1"/>
        <v>0</v>
      </c>
      <c r="AI68" s="110">
        <f t="shared" si="125"/>
        <v>0</v>
      </c>
      <c r="AJ68" s="110">
        <f>운전실적_원본!Y68</f>
        <v>0</v>
      </c>
      <c r="AK68" s="110">
        <f>운전실적_원본!Z68</f>
        <v>0</v>
      </c>
      <c r="AL68" s="106"/>
      <c r="AM68" s="105"/>
      <c r="AN68" s="105"/>
      <c r="AO68" s="105"/>
      <c r="AP68" s="105"/>
      <c r="AQ68" s="108"/>
      <c r="AR68" s="105"/>
      <c r="AS68" s="105"/>
      <c r="AT68" s="102"/>
      <c r="AU68" s="102"/>
      <c r="AV68" s="102"/>
      <c r="AW68" s="102"/>
      <c r="AX68" s="32">
        <f>운전실적_원본!W68</f>
        <v>0</v>
      </c>
      <c r="AY68" s="11">
        <f>운전실적_원본!X68</f>
        <v>0</v>
      </c>
      <c r="AZ68" s="11">
        <f>운전실적_원본!Y68</f>
        <v>0</v>
      </c>
      <c r="BA68" s="11">
        <f>운전실적_원본!Z68</f>
        <v>0</v>
      </c>
      <c r="BB68" s="11">
        <f>운전실적_원본!AA68</f>
        <v>0</v>
      </c>
      <c r="BC68" s="11">
        <f>운전실적_원본!AB68</f>
        <v>0</v>
      </c>
      <c r="BD68" s="32" t="str">
        <f t="shared" si="15"/>
        <v>-</v>
      </c>
      <c r="BE68" s="11" t="str">
        <f t="shared" si="2"/>
        <v>-</v>
      </c>
      <c r="BF68" s="11">
        <f>운전실적_원본!AE68</f>
        <v>0</v>
      </c>
      <c r="BG68" s="31">
        <f t="shared" si="0"/>
        <v>0</v>
      </c>
      <c r="BH68" s="241">
        <f>INDEX(연료전지_원본!$A$4:$KY$369,MATCH($A68,연료전지_원본!$A$4:$A$369,0),MATCH($BH$4,연료전지_원본!$A$4:$KY$4,0))</f>
        <v>0</v>
      </c>
      <c r="BI68" s="241">
        <f>INDEX(연료전지_원본!$A$4:$KY$369,MATCH($A68,연료전지_원본!$A$4:$A$369,0),MATCH($BI$4,연료전지_원본!$A$4:$KY$4,0))</f>
        <v>0</v>
      </c>
      <c r="BJ68" s="241">
        <f>INDEX(연료전지_원본!$A$4:$KY$369,MATCH($A68,연료전지_원본!$A$4:$A$369,0),MATCH($BJ$4,연료전지_원본!$A$4:$KY$4,0))</f>
        <v>0</v>
      </c>
      <c r="BK68" s="241">
        <f>INDEX(연료전지_원본!$A$4:$KY$369,MATCH($A68,연료전지_원본!$A$4:$A$369,0),MATCH($BK$4,연료전지_원본!$A$4:$KY$4,0))</f>
        <v>0</v>
      </c>
      <c r="BL68" s="241">
        <f>INDEX(연료전지_원본!$A$4:$KY$369,MATCH($A68,연료전지_원본!$A$4:$A$369,0),MATCH($BL$4,연료전지_원본!$A$4:$KY$4,0))</f>
        <v>0</v>
      </c>
      <c r="BM68" s="241">
        <f>INDEX(연료전지_원본!$A$4:$KY$369,MATCH($A68,연료전지_원본!$A$4:$A$369,0),MATCH($BM$4,연료전지_원본!$A$4:$KY$4,0))</f>
        <v>0</v>
      </c>
      <c r="BN68" s="241">
        <f>INDEX(연료전지_원본!$A$4:$KY$369,MATCH($A68,연료전지_원본!$A$4:$A$369,0),MATCH($BN$4,연료전지_원본!$A$4:$KY$4,0))</f>
        <v>0</v>
      </c>
      <c r="BO68" s="241">
        <f>INDEX(연료전지_원본!$A$4:$KY$369,MATCH($A68,연료전지_원본!$A$4:$A$369,0),MATCH($BO$4,연료전지_원본!$A$4:$KY$4,0))</f>
        <v>0</v>
      </c>
      <c r="BP68" s="241">
        <f>INDEX(연료전지_원본!$A$4:$KY$369,MATCH($A68,연료전지_원본!$A$4:$A$369,0),MATCH($BP$4,연료전지_원본!$A$4:$KY$4,0))</f>
        <v>0</v>
      </c>
      <c r="BQ68" s="241">
        <f>INDEX(연료전지_원본!$A$4:$KY$369,MATCH($A68,연료전지_원본!$A$4:$A$369,0),MATCH($BQ$4,연료전지_원본!$A$4:$KY$4,0))</f>
        <v>0</v>
      </c>
      <c r="BR68" s="241">
        <f>INDEX(연료전지_원본!$A$4:$KY$369,MATCH($A68,연료전지_원본!$A$4:$A$369,0),MATCH($BR$4,연료전지_원본!$A$4:$KY$4,0))</f>
        <v>0</v>
      </c>
      <c r="BS68" s="241">
        <f>INDEX(연료전지_원본!$A$4:$KY$369,MATCH($A68,연료전지_원본!$A$4:$A$369,0),MATCH($BS$4,연료전지_원본!$A$4:$KY$4,0))</f>
        <v>0</v>
      </c>
      <c r="BT68" s="241">
        <f>INDEX(연료전지_원본!$A$4:$KY$369,MATCH($A68,연료전지_원본!$A$4:$A$369,0),MATCH($BT$4,연료전지_원본!$A$4:$KY$4,0))</f>
        <v>0</v>
      </c>
      <c r="BU68" s="241">
        <f>INDEX(연료전지_원본!$A$4:$KY$369,MATCH($A68,연료전지_원본!$A$4:$A$369,0),MATCH($BU$4,연료전지_원본!$A$4:$KY$4,0))</f>
        <v>0</v>
      </c>
      <c r="BV68" s="241">
        <f>INDEX(연료전지_원본!$A$4:$KY$369,MATCH($A68,연료전지_원본!$A$4:$A$369,0),MATCH($BV$4,연료전지_원본!$A$4:$KY$4,0))</f>
        <v>0</v>
      </c>
      <c r="BW68" s="241">
        <f>INDEX(연료전지_원본!$A$4:$KY$369,MATCH($A68,연료전지_원본!$A$4:$A$369,0),MATCH($BW$4,연료전지_원본!$A$4:$KY$4,0))</f>
        <v>0</v>
      </c>
      <c r="BX68" s="241">
        <f>INDEX(연료전지_원본!$A$4:$KY$369,MATCH($A68,연료전지_원본!$A$4:$A$369,0),MATCH($BX$4,연료전지_원본!$A$4:$KY$4,0))</f>
        <v>0</v>
      </c>
      <c r="BY68" s="241">
        <f>INDEX(연료전지_원본!$A$4:$KY$369,MATCH($A68,연료전지_원본!$A$4:$A$369,0),MATCH($BY$4,연료전지_원본!$A$4:$KY$4,0))</f>
        <v>0</v>
      </c>
      <c r="BZ68" s="241">
        <f>INDEX(연료전지_원본!$A$4:$KY$369,MATCH($A68,연료전지_원본!$A$4:$A$369,0),MATCH($BZ$4,연료전지_원본!$A$4:$KY$4,0))</f>
        <v>0</v>
      </c>
      <c r="CA68" s="241">
        <f>INDEX(연료전지_원본!$A$4:$KY$369,MATCH($A68,연료전지_원본!$A$4:$A$369,0),MATCH($CA$4,연료전지_원본!$A$4:$KY$4,0))</f>
        <v>0</v>
      </c>
      <c r="CB68" s="241">
        <f>INDEX(연료전지_원본!$A$4:$KY$369,MATCH($A68,연료전지_원본!$A$4:$A$369,0),MATCH($CB$4,연료전지_원본!$A$4:$KY$4,0))</f>
        <v>0</v>
      </c>
      <c r="CC68" s="242">
        <f>INDEX(연료전지_원본!$A$4:$KY$369,MATCH($A68,연료전지_원본!$A$4:$A$369,0),MATCH($CC$4,연료전지_원본!$A$4:$KY$4,0))</f>
        <v>0</v>
      </c>
      <c r="CD68" s="250" t="e">
        <f>INDEX(연료전지_원본!$KB$4:$KX$369,MATCH($A68,연료전지_원본!$KB$4:$KB$369,0), MATCH(CD$4,연료전지_원본!$KB$4:$KX$4,0))*1000</f>
        <v>#N/A</v>
      </c>
      <c r="CE68" s="250" t="e">
        <f>INDEX(연료전지_원본!$KB$4:$KX$369,MATCH($A68,연료전지_원본!$KB$4:$KB$369,0), MATCH(CE$4,연료전지_원본!$KB$4:$KX$4,0))*1000</f>
        <v>#N/A</v>
      </c>
      <c r="CF68" s="250" t="e">
        <f>INDEX(연료전지_원본!$KB$4:$KX$369,MATCH($A68,연료전지_원본!$KB$4:$KB$369,0), MATCH(CF$4,연료전지_원본!$KB$4:$KX$4,0))*1000</f>
        <v>#N/A</v>
      </c>
      <c r="CG68" s="250" t="e">
        <f>INDEX(연료전지_원본!$KB$4:$KX$369,MATCH($A68,연료전지_원본!$KB$4:$KB$369,0), MATCH(CG$4,연료전지_원본!$KB$4:$KX$4,0))*1000</f>
        <v>#N/A</v>
      </c>
      <c r="CH68" s="250" t="e">
        <f>INDEX(연료전지_원본!$KB$4:$KX$369,MATCH($A68,연료전지_원본!$KB$4:$KB$369,0), MATCH(CH$4,연료전지_원본!$KB$4:$KX$4,0))*1000</f>
        <v>#N/A</v>
      </c>
      <c r="CI68" s="250" t="e">
        <f>INDEX(연료전지_원본!$KB$4:$KX$369,MATCH($A68,연료전지_원본!$KB$4:$KB$369,0), MATCH(CI$4,연료전지_원본!$KB$4:$KX$4,0))*1000</f>
        <v>#N/A</v>
      </c>
      <c r="CJ68" s="250" t="e">
        <f>INDEX(연료전지_원본!$KB$4:$KX$369,MATCH($A68,연료전지_원본!$KB$4:$KB$369,0), MATCH(CJ$4,연료전지_원본!$KB$4:$KX$4,0))*1000</f>
        <v>#N/A</v>
      </c>
      <c r="CK68" s="250" t="e">
        <f>INDEX(연료전지_원본!$KB$4:$KX$369,MATCH($A68,연료전지_원본!$KB$4:$KB$369,0), MATCH(CK$4,연료전지_원본!$KB$4:$KX$4,0))*1000</f>
        <v>#N/A</v>
      </c>
      <c r="CL68" s="250" t="e">
        <f>INDEX(연료전지_원본!$KB$4:$KX$369,MATCH($A68,연료전지_원본!$KB$4:$KB$369,0), MATCH(CL$4,연료전지_원본!$KB$4:$KX$4,0))*1000</f>
        <v>#N/A</v>
      </c>
      <c r="CM68" s="250" t="e">
        <f>INDEX(연료전지_원본!$KB$4:$KX$369,MATCH($A68,연료전지_원본!$KB$4:$KB$369,0), MATCH(CM$4,연료전지_원본!$KB$4:$KX$4,0))*1000</f>
        <v>#N/A</v>
      </c>
      <c r="CN68" s="250" t="e">
        <f>INDEX(연료전지_원본!$KB$4:$KX$369,MATCH($A68,연료전지_원본!$KB$4:$KB$369,0), MATCH(CN$4,연료전지_원본!$KB$4:$KX$4,0))*1000</f>
        <v>#N/A</v>
      </c>
      <c r="CO68" s="250" t="e">
        <f>INDEX(연료전지_원본!$KB$4:$KX$369,MATCH($A68,연료전지_원본!$KB$4:$KB$369,0), MATCH(CO$4,연료전지_원본!$KB$4:$KX$4,0))*1000</f>
        <v>#N/A</v>
      </c>
      <c r="CP68" s="250" t="e">
        <f>INDEX(연료전지_원본!$KB$4:$KX$369,MATCH($A68,연료전지_원본!$KB$4:$KB$369,0), MATCH(CP$4,연료전지_원본!$KB$4:$KX$4,0))*1000</f>
        <v>#N/A</v>
      </c>
      <c r="CQ68" s="250" t="e">
        <f>INDEX(연료전지_원본!$KB$4:$KX$369,MATCH($A68,연료전지_원본!$KB$4:$KB$369,0), MATCH(CQ$4,연료전지_원본!$KB$4:$KX$4,0))*1000</f>
        <v>#N/A</v>
      </c>
      <c r="CR68" s="250" t="e">
        <f>INDEX(연료전지_원본!$KB$4:$KX$369,MATCH($A68,연료전지_원본!$KB$4:$KB$369,0), MATCH(CR$4,연료전지_원본!$KB$4:$KX$4,0))*1000</f>
        <v>#N/A</v>
      </c>
      <c r="CS68" s="250" t="e">
        <f>INDEX(연료전지_원본!$KB$4:$KX$369,MATCH($A68,연료전지_원본!$KB$4:$KB$369,0), MATCH(CS$4,연료전지_원본!$KB$4:$KX$4,0))*1000</f>
        <v>#N/A</v>
      </c>
      <c r="CT68" s="250" t="e">
        <f>INDEX(연료전지_원본!$KB$4:$KX$369,MATCH($A68,연료전지_원본!$KB$4:$KB$369,0), MATCH(CT$4,연료전지_원본!$KB$4:$KX$4,0))*1000</f>
        <v>#N/A</v>
      </c>
      <c r="CU68" s="250" t="e">
        <f>INDEX(연료전지_원본!$KB$4:$KX$369,MATCH($A68,연료전지_원본!$KB$4:$KB$369,0), MATCH(CU$4,연료전지_원본!$KB$4:$KX$4,0))*1000</f>
        <v>#N/A</v>
      </c>
      <c r="CV68" s="250" t="e">
        <f>INDEX(연료전지_원본!$KB$4:$KX$369,MATCH($A68,연료전지_원본!$KB$4:$KB$369,0), MATCH(CV$4,연료전지_원본!$KB$4:$KX$4,0))*1000</f>
        <v>#N/A</v>
      </c>
      <c r="CW68" s="250" t="e">
        <f>INDEX(연료전지_원본!$KB$4:$KX$369,MATCH($A68,연료전지_원본!$KB$4:$KB$369,0), MATCH(CW$4,연료전지_원본!$KB$4:$KX$4,0))*1000</f>
        <v>#N/A</v>
      </c>
      <c r="CX68" s="250" t="e">
        <f>INDEX(연료전지_원본!$KB$4:$KX$369,MATCH($A68,연료전지_원본!$KB$4:$KB$369,0), MATCH(CX$4,연료전지_원본!$KB$4:$KX$4,0))*1000</f>
        <v>#N/A</v>
      </c>
      <c r="CY68" s="250" t="e">
        <f>INDEX(연료전지_원본!$KB$4:$KX$369,MATCH($A68,연료전지_원본!$KB$4:$KB$369,0), MATCH(CY$4,연료전지_원본!$KB$4:$KX$4,0))*1000</f>
        <v>#N/A</v>
      </c>
      <c r="DV68" s="30">
        <f t="shared" si="297"/>
        <v>0</v>
      </c>
    </row>
    <row r="69" spans="1:126">
      <c r="A69" s="6">
        <v>46086</v>
      </c>
      <c r="B69" s="15">
        <f>운전실적_원본!B69</f>
        <v>651.20000000000005</v>
      </c>
      <c r="C69" s="16">
        <f t="shared" si="298"/>
        <v>0</v>
      </c>
      <c r="D69" s="12">
        <f>운전실적_원본!C69</f>
        <v>249922</v>
      </c>
      <c r="E69" s="12">
        <f t="shared" si="299"/>
        <v>39</v>
      </c>
      <c r="F69" s="12">
        <f>운전실적_원본!D69</f>
        <v>241438</v>
      </c>
      <c r="G69" s="16">
        <f t="shared" si="300"/>
        <v>0</v>
      </c>
      <c r="H69" s="15">
        <f>운전실적_원본!E69</f>
        <v>17289.36</v>
      </c>
      <c r="I69" s="16">
        <f t="shared" si="301"/>
        <v>4.1100000000005821</v>
      </c>
      <c r="J69" s="15">
        <f>운전실적_원본!F69</f>
        <v>15364.82</v>
      </c>
      <c r="K69" s="16">
        <f t="shared" si="301"/>
        <v>2.1000000000003638</v>
      </c>
      <c r="L69" s="32">
        <f>운전실적_원본!G69</f>
        <v>32.9</v>
      </c>
      <c r="M69" s="31">
        <f t="shared" ref="M69" si="448">IF(OR(LEN(L69)=0,L69=0),"",L69-L68)</f>
        <v>0.60000000000000142</v>
      </c>
      <c r="N69" s="15">
        <f>운전실적_원본!H69</f>
        <v>39803</v>
      </c>
      <c r="O69" s="16">
        <f t="shared" ref="O69" si="449">IF(OR(LEN(N69)=0,N69=0),"",N69-N68)</f>
        <v>45</v>
      </c>
      <c r="P69" s="15">
        <f>운전실적_원본!I69</f>
        <v>24264</v>
      </c>
      <c r="Q69" s="16">
        <f t="shared" ref="Q69" si="450">IF(OR(LEN(P69)=0,P69=0),"",P69-P68)</f>
        <v>106</v>
      </c>
      <c r="R69" s="18">
        <f>운전실적_원본!J69</f>
        <v>33.353000000000002</v>
      </c>
      <c r="S69" s="19">
        <f t="shared" ref="S69" si="451">IF(OR(LEN(R69)=0,R69=0),"",R69-R68)</f>
        <v>-0.22200000000000131</v>
      </c>
      <c r="T69" s="18">
        <f>운전실적_원본!K69</f>
        <v>32.917999999999999</v>
      </c>
      <c r="U69" s="19">
        <f t="shared" si="306"/>
        <v>-1.0110000000000028</v>
      </c>
      <c r="V69" s="12">
        <f>운전실적_원본!L69</f>
        <v>8419.0020000000004</v>
      </c>
      <c r="W69" s="16">
        <f t="shared" ref="W69" si="452">IF(OR(LEN(V69)=0,V69=0),"",V69-V68)</f>
        <v>-137.85199999999895</v>
      </c>
      <c r="X69" s="10">
        <f>운전실적_원본!M69</f>
        <v>0</v>
      </c>
      <c r="Y69" s="10">
        <f>운전실적_원본!N69</f>
        <v>0</v>
      </c>
      <c r="Z69" s="10">
        <f>운전실적_원본!O69</f>
        <v>0</v>
      </c>
      <c r="AA69" s="10">
        <f>운전실적_원본!P69</f>
        <v>0</v>
      </c>
      <c r="AB69" s="10">
        <f>운전실적_원본!Q69</f>
        <v>0</v>
      </c>
      <c r="AC69" s="20">
        <f>운전실적_원본!R69</f>
        <v>0</v>
      </c>
      <c r="AD69" s="109">
        <f>운전실적_원본!S69</f>
        <v>0</v>
      </c>
      <c r="AE69" s="110">
        <f>운전실적_원본!T69</f>
        <v>0</v>
      </c>
      <c r="AF69" s="110">
        <f>운전실적_원본!U69</f>
        <v>0</v>
      </c>
      <c r="AG69" s="110">
        <f>운전실적_원본!V69</f>
        <v>0</v>
      </c>
      <c r="AH69" s="109">
        <f t="shared" si="1"/>
        <v>0</v>
      </c>
      <c r="AI69" s="110">
        <f t="shared" si="125"/>
        <v>0</v>
      </c>
      <c r="AJ69" s="110">
        <f>운전실적_원본!Y69</f>
        <v>0</v>
      </c>
      <c r="AK69" s="110">
        <f>운전실적_원본!Z69</f>
        <v>0</v>
      </c>
      <c r="AL69" s="106"/>
      <c r="AM69" s="105"/>
      <c r="AN69" s="105"/>
      <c r="AO69" s="105"/>
      <c r="AP69" s="105"/>
      <c r="AQ69" s="108"/>
      <c r="AR69" s="105"/>
      <c r="AS69" s="105"/>
      <c r="AT69" s="102"/>
      <c r="AU69" s="102"/>
      <c r="AV69" s="102"/>
      <c r="AW69" s="102"/>
      <c r="AX69" s="32">
        <f>운전실적_원본!W69</f>
        <v>0</v>
      </c>
      <c r="AY69" s="11">
        <f>운전실적_원본!X69</f>
        <v>0</v>
      </c>
      <c r="AZ69" s="11">
        <f>운전실적_원본!Y69</f>
        <v>0</v>
      </c>
      <c r="BA69" s="11">
        <f>운전실적_원본!Z69</f>
        <v>0</v>
      </c>
      <c r="BB69" s="11">
        <f>운전실적_원본!AA69</f>
        <v>0</v>
      </c>
      <c r="BC69" s="11">
        <f>운전실적_원본!AB69</f>
        <v>0</v>
      </c>
      <c r="BD69" s="32" t="str">
        <f t="shared" ref="BD69:BD132" si="453">IFERROR(AX69/AD69,"-")</f>
        <v>-</v>
      </c>
      <c r="BE69" s="11" t="str">
        <f t="shared" si="2"/>
        <v>-</v>
      </c>
      <c r="BF69" s="11">
        <f>운전실적_원본!AE69</f>
        <v>0</v>
      </c>
      <c r="BG69" s="31">
        <f t="shared" ref="BG69:BG132" si="454">IFERROR(BF69/$BG$4,"-")</f>
        <v>0</v>
      </c>
      <c r="BH69" s="241">
        <f>INDEX(연료전지_원본!$A$4:$KY$369,MATCH($A69,연료전지_원본!$A$4:$A$369,0),MATCH($BH$4,연료전지_원본!$A$4:$KY$4,0))</f>
        <v>0</v>
      </c>
      <c r="BI69" s="241">
        <f>INDEX(연료전지_원본!$A$4:$KY$369,MATCH($A69,연료전지_원본!$A$4:$A$369,0),MATCH($BI$4,연료전지_원본!$A$4:$KY$4,0))</f>
        <v>0</v>
      </c>
      <c r="BJ69" s="241">
        <f>INDEX(연료전지_원본!$A$4:$KY$369,MATCH($A69,연료전지_원본!$A$4:$A$369,0),MATCH($BJ$4,연료전지_원본!$A$4:$KY$4,0))</f>
        <v>0</v>
      </c>
      <c r="BK69" s="241">
        <f>INDEX(연료전지_원본!$A$4:$KY$369,MATCH($A69,연료전지_원본!$A$4:$A$369,0),MATCH($BK$4,연료전지_원본!$A$4:$KY$4,0))</f>
        <v>0</v>
      </c>
      <c r="BL69" s="241">
        <f>INDEX(연료전지_원본!$A$4:$KY$369,MATCH($A69,연료전지_원본!$A$4:$A$369,0),MATCH($BL$4,연료전지_원본!$A$4:$KY$4,0))</f>
        <v>0</v>
      </c>
      <c r="BM69" s="241">
        <f>INDEX(연료전지_원본!$A$4:$KY$369,MATCH($A69,연료전지_원본!$A$4:$A$369,0),MATCH($BM$4,연료전지_원본!$A$4:$KY$4,0))</f>
        <v>0</v>
      </c>
      <c r="BN69" s="241">
        <f>INDEX(연료전지_원본!$A$4:$KY$369,MATCH($A69,연료전지_원본!$A$4:$A$369,0),MATCH($BN$4,연료전지_원본!$A$4:$KY$4,0))</f>
        <v>0</v>
      </c>
      <c r="BO69" s="241">
        <f>INDEX(연료전지_원본!$A$4:$KY$369,MATCH($A69,연료전지_원본!$A$4:$A$369,0),MATCH($BO$4,연료전지_원본!$A$4:$KY$4,0))</f>
        <v>0</v>
      </c>
      <c r="BP69" s="241">
        <f>INDEX(연료전지_원본!$A$4:$KY$369,MATCH($A69,연료전지_원본!$A$4:$A$369,0),MATCH($BP$4,연료전지_원본!$A$4:$KY$4,0))</f>
        <v>0</v>
      </c>
      <c r="BQ69" s="241">
        <f>INDEX(연료전지_원본!$A$4:$KY$369,MATCH($A69,연료전지_원본!$A$4:$A$369,0),MATCH($BQ$4,연료전지_원본!$A$4:$KY$4,0))</f>
        <v>0</v>
      </c>
      <c r="BR69" s="241">
        <f>INDEX(연료전지_원본!$A$4:$KY$369,MATCH($A69,연료전지_원본!$A$4:$A$369,0),MATCH($BR$4,연료전지_원본!$A$4:$KY$4,0))</f>
        <v>0</v>
      </c>
      <c r="BS69" s="241">
        <f>INDEX(연료전지_원본!$A$4:$KY$369,MATCH($A69,연료전지_원본!$A$4:$A$369,0),MATCH($BS$4,연료전지_원본!$A$4:$KY$4,0))</f>
        <v>0</v>
      </c>
      <c r="BT69" s="241">
        <f>INDEX(연료전지_원본!$A$4:$KY$369,MATCH($A69,연료전지_원본!$A$4:$A$369,0),MATCH($BT$4,연료전지_원본!$A$4:$KY$4,0))</f>
        <v>0</v>
      </c>
      <c r="BU69" s="241">
        <f>INDEX(연료전지_원본!$A$4:$KY$369,MATCH($A69,연료전지_원본!$A$4:$A$369,0),MATCH($BU$4,연료전지_원본!$A$4:$KY$4,0))</f>
        <v>0</v>
      </c>
      <c r="BV69" s="241">
        <f>INDEX(연료전지_원본!$A$4:$KY$369,MATCH($A69,연료전지_원본!$A$4:$A$369,0),MATCH($BV$4,연료전지_원본!$A$4:$KY$4,0))</f>
        <v>0</v>
      </c>
      <c r="BW69" s="241">
        <f>INDEX(연료전지_원본!$A$4:$KY$369,MATCH($A69,연료전지_원본!$A$4:$A$369,0),MATCH($BW$4,연료전지_원본!$A$4:$KY$4,0))</f>
        <v>0</v>
      </c>
      <c r="BX69" s="241">
        <f>INDEX(연료전지_원본!$A$4:$KY$369,MATCH($A69,연료전지_원본!$A$4:$A$369,0),MATCH($BX$4,연료전지_원본!$A$4:$KY$4,0))</f>
        <v>0</v>
      </c>
      <c r="BY69" s="241">
        <f>INDEX(연료전지_원본!$A$4:$KY$369,MATCH($A69,연료전지_원본!$A$4:$A$369,0),MATCH($BY$4,연료전지_원본!$A$4:$KY$4,0))</f>
        <v>0</v>
      </c>
      <c r="BZ69" s="241">
        <f>INDEX(연료전지_원본!$A$4:$KY$369,MATCH($A69,연료전지_원본!$A$4:$A$369,0),MATCH($BZ$4,연료전지_원본!$A$4:$KY$4,0))</f>
        <v>0</v>
      </c>
      <c r="CA69" s="241">
        <f>INDEX(연료전지_원본!$A$4:$KY$369,MATCH($A69,연료전지_원본!$A$4:$A$369,0),MATCH($CA$4,연료전지_원본!$A$4:$KY$4,0))</f>
        <v>0</v>
      </c>
      <c r="CB69" s="241">
        <f>INDEX(연료전지_원본!$A$4:$KY$369,MATCH($A69,연료전지_원본!$A$4:$A$369,0),MATCH($CB$4,연료전지_원본!$A$4:$KY$4,0))</f>
        <v>0</v>
      </c>
      <c r="CC69" s="242">
        <f>INDEX(연료전지_원본!$A$4:$KY$369,MATCH($A69,연료전지_원본!$A$4:$A$369,0),MATCH($CC$4,연료전지_원본!$A$4:$KY$4,0))</f>
        <v>0</v>
      </c>
      <c r="CD69" s="250" t="e">
        <f>INDEX(연료전지_원본!$KB$4:$KX$369,MATCH($A69,연료전지_원본!$KB$4:$KB$369,0), MATCH(CD$4,연료전지_원본!$KB$4:$KX$4,0))*1000</f>
        <v>#N/A</v>
      </c>
      <c r="CE69" s="250" t="e">
        <f>INDEX(연료전지_원본!$KB$4:$KX$369,MATCH($A69,연료전지_원본!$KB$4:$KB$369,0), MATCH(CE$4,연료전지_원본!$KB$4:$KX$4,0))*1000</f>
        <v>#N/A</v>
      </c>
      <c r="CF69" s="250" t="e">
        <f>INDEX(연료전지_원본!$KB$4:$KX$369,MATCH($A69,연료전지_원본!$KB$4:$KB$369,0), MATCH(CF$4,연료전지_원본!$KB$4:$KX$4,0))*1000</f>
        <v>#N/A</v>
      </c>
      <c r="CG69" s="250" t="e">
        <f>INDEX(연료전지_원본!$KB$4:$KX$369,MATCH($A69,연료전지_원본!$KB$4:$KB$369,0), MATCH(CG$4,연료전지_원본!$KB$4:$KX$4,0))*1000</f>
        <v>#N/A</v>
      </c>
      <c r="CH69" s="250" t="e">
        <f>INDEX(연료전지_원본!$KB$4:$KX$369,MATCH($A69,연료전지_원본!$KB$4:$KB$369,0), MATCH(CH$4,연료전지_원본!$KB$4:$KX$4,0))*1000</f>
        <v>#N/A</v>
      </c>
      <c r="CI69" s="250" t="e">
        <f>INDEX(연료전지_원본!$KB$4:$KX$369,MATCH($A69,연료전지_원본!$KB$4:$KB$369,0), MATCH(CI$4,연료전지_원본!$KB$4:$KX$4,0))*1000</f>
        <v>#N/A</v>
      </c>
      <c r="CJ69" s="250" t="e">
        <f>INDEX(연료전지_원본!$KB$4:$KX$369,MATCH($A69,연료전지_원본!$KB$4:$KB$369,0), MATCH(CJ$4,연료전지_원본!$KB$4:$KX$4,0))*1000</f>
        <v>#N/A</v>
      </c>
      <c r="CK69" s="250" t="e">
        <f>INDEX(연료전지_원본!$KB$4:$KX$369,MATCH($A69,연료전지_원본!$KB$4:$KB$369,0), MATCH(CK$4,연료전지_원본!$KB$4:$KX$4,0))*1000</f>
        <v>#N/A</v>
      </c>
      <c r="CL69" s="250" t="e">
        <f>INDEX(연료전지_원본!$KB$4:$KX$369,MATCH($A69,연료전지_원본!$KB$4:$KB$369,0), MATCH(CL$4,연료전지_원본!$KB$4:$KX$4,0))*1000</f>
        <v>#N/A</v>
      </c>
      <c r="CM69" s="250" t="e">
        <f>INDEX(연료전지_원본!$KB$4:$KX$369,MATCH($A69,연료전지_원본!$KB$4:$KB$369,0), MATCH(CM$4,연료전지_원본!$KB$4:$KX$4,0))*1000</f>
        <v>#N/A</v>
      </c>
      <c r="CN69" s="250" t="e">
        <f>INDEX(연료전지_원본!$KB$4:$KX$369,MATCH($A69,연료전지_원본!$KB$4:$KB$369,0), MATCH(CN$4,연료전지_원본!$KB$4:$KX$4,0))*1000</f>
        <v>#N/A</v>
      </c>
      <c r="CO69" s="250" t="e">
        <f>INDEX(연료전지_원본!$KB$4:$KX$369,MATCH($A69,연료전지_원본!$KB$4:$KB$369,0), MATCH(CO$4,연료전지_원본!$KB$4:$KX$4,0))*1000</f>
        <v>#N/A</v>
      </c>
      <c r="CP69" s="250" t="e">
        <f>INDEX(연료전지_원본!$KB$4:$KX$369,MATCH($A69,연료전지_원본!$KB$4:$KB$369,0), MATCH(CP$4,연료전지_원본!$KB$4:$KX$4,0))*1000</f>
        <v>#N/A</v>
      </c>
      <c r="CQ69" s="250" t="e">
        <f>INDEX(연료전지_원본!$KB$4:$KX$369,MATCH($A69,연료전지_원본!$KB$4:$KB$369,0), MATCH(CQ$4,연료전지_원본!$KB$4:$KX$4,0))*1000</f>
        <v>#N/A</v>
      </c>
      <c r="CR69" s="250" t="e">
        <f>INDEX(연료전지_원본!$KB$4:$KX$369,MATCH($A69,연료전지_원본!$KB$4:$KB$369,0), MATCH(CR$4,연료전지_원본!$KB$4:$KX$4,0))*1000</f>
        <v>#N/A</v>
      </c>
      <c r="CS69" s="250" t="e">
        <f>INDEX(연료전지_원본!$KB$4:$KX$369,MATCH($A69,연료전지_원본!$KB$4:$KB$369,0), MATCH(CS$4,연료전지_원본!$KB$4:$KX$4,0))*1000</f>
        <v>#N/A</v>
      </c>
      <c r="CT69" s="250" t="e">
        <f>INDEX(연료전지_원본!$KB$4:$KX$369,MATCH($A69,연료전지_원본!$KB$4:$KB$369,0), MATCH(CT$4,연료전지_원본!$KB$4:$KX$4,0))*1000</f>
        <v>#N/A</v>
      </c>
      <c r="CU69" s="250" t="e">
        <f>INDEX(연료전지_원본!$KB$4:$KX$369,MATCH($A69,연료전지_원본!$KB$4:$KB$369,0), MATCH(CU$4,연료전지_원본!$KB$4:$KX$4,0))*1000</f>
        <v>#N/A</v>
      </c>
      <c r="CV69" s="250" t="e">
        <f>INDEX(연료전지_원본!$KB$4:$KX$369,MATCH($A69,연료전지_원본!$KB$4:$KB$369,0), MATCH(CV$4,연료전지_원본!$KB$4:$KX$4,0))*1000</f>
        <v>#N/A</v>
      </c>
      <c r="CW69" s="250" t="e">
        <f>INDEX(연료전지_원본!$KB$4:$KX$369,MATCH($A69,연료전지_원본!$KB$4:$KB$369,0), MATCH(CW$4,연료전지_원본!$KB$4:$KX$4,0))*1000</f>
        <v>#N/A</v>
      </c>
      <c r="CX69" s="250" t="e">
        <f>INDEX(연료전지_원본!$KB$4:$KX$369,MATCH($A69,연료전지_원본!$KB$4:$KB$369,0), MATCH(CX$4,연료전지_원본!$KB$4:$KX$4,0))*1000</f>
        <v>#N/A</v>
      </c>
      <c r="CY69" s="250" t="e">
        <f>INDEX(연료전지_원본!$KB$4:$KX$369,MATCH($A69,연료전지_원본!$KB$4:$KB$369,0), MATCH(CY$4,연료전지_원본!$KB$4:$KX$4,0))*1000</f>
        <v>#N/A</v>
      </c>
      <c r="DV69" s="30">
        <f t="shared" si="297"/>
        <v>0</v>
      </c>
    </row>
    <row r="70" spans="1:126">
      <c r="A70" s="6">
        <v>46087</v>
      </c>
      <c r="B70" s="15">
        <f>운전실적_원본!B70</f>
        <v>651.20000000000005</v>
      </c>
      <c r="C70" s="16">
        <f t="shared" si="298"/>
        <v>0</v>
      </c>
      <c r="D70" s="12">
        <f>운전실적_원본!C70</f>
        <v>249975</v>
      </c>
      <c r="E70" s="12">
        <f t="shared" si="299"/>
        <v>53</v>
      </c>
      <c r="F70" s="12">
        <f>운전실적_원본!D70</f>
        <v>241438</v>
      </c>
      <c r="G70" s="16">
        <f t="shared" si="300"/>
        <v>0</v>
      </c>
      <c r="H70" s="15">
        <f>운전실적_원본!E70</f>
        <v>17293.080000000002</v>
      </c>
      <c r="I70" s="16">
        <f t="shared" si="301"/>
        <v>3.7200000000011642</v>
      </c>
      <c r="J70" s="15">
        <f>운전실적_원본!F70</f>
        <v>15373.54</v>
      </c>
      <c r="K70" s="16">
        <f t="shared" si="301"/>
        <v>8.7200000000011642</v>
      </c>
      <c r="L70" s="32">
        <f>운전실적_원본!G70</f>
        <v>33.700000000000003</v>
      </c>
      <c r="M70" s="31">
        <f t="shared" ref="M70" si="455">IF(OR(LEN(L70)=0,L70=0),"",L70-L69)</f>
        <v>0.80000000000000426</v>
      </c>
      <c r="N70" s="15">
        <f>운전실적_원본!H70</f>
        <v>39887</v>
      </c>
      <c r="O70" s="16">
        <f t="shared" ref="O70" si="456">IF(OR(LEN(N70)=0,N70=0),"",N70-N69)</f>
        <v>84</v>
      </c>
      <c r="P70" s="15">
        <f>운전실적_원본!I70</f>
        <v>24329</v>
      </c>
      <c r="Q70" s="16">
        <f t="shared" ref="Q70" si="457">IF(OR(LEN(P70)=0,P70=0),"",P70-P69)</f>
        <v>65</v>
      </c>
      <c r="R70" s="18">
        <f>운전실적_원본!J70</f>
        <v>32.979999999999997</v>
      </c>
      <c r="S70" s="19">
        <f t="shared" ref="S70" si="458">IF(OR(LEN(R70)=0,R70=0),"",R70-R69)</f>
        <v>-0.37300000000000466</v>
      </c>
      <c r="T70" s="18">
        <f>운전실적_원본!K70</f>
        <v>32.99</v>
      </c>
      <c r="U70" s="19">
        <f t="shared" si="306"/>
        <v>7.2000000000002728E-2</v>
      </c>
      <c r="V70" s="12">
        <f>운전실적_원본!L70</f>
        <v>8366</v>
      </c>
      <c r="W70" s="16">
        <f t="shared" ref="W70" si="459">IF(OR(LEN(V70)=0,V70=0),"",V70-V69)</f>
        <v>-53.002000000000407</v>
      </c>
      <c r="X70" s="10">
        <f>운전실적_원본!M70</f>
        <v>58840.25</v>
      </c>
      <c r="Y70" s="10">
        <f>운전실적_원본!N70</f>
        <v>0</v>
      </c>
      <c r="Z70" s="10">
        <f>운전실적_원본!O70</f>
        <v>0</v>
      </c>
      <c r="AA70" s="10">
        <f>운전실적_원본!P70</f>
        <v>0</v>
      </c>
      <c r="AB70" s="10">
        <f>운전실적_원본!Q70</f>
        <v>0</v>
      </c>
      <c r="AC70" s="20">
        <f>운전실적_원본!R70</f>
        <v>0</v>
      </c>
      <c r="AD70" s="109">
        <f>운전실적_원본!S70</f>
        <v>10</v>
      </c>
      <c r="AE70" s="110">
        <f>운전실적_원본!T70</f>
        <v>0</v>
      </c>
      <c r="AF70" s="110">
        <f>운전실적_원본!U70</f>
        <v>0</v>
      </c>
      <c r="AG70" s="110">
        <f>운전실적_원본!V70</f>
        <v>0</v>
      </c>
      <c r="AH70" s="109">
        <f t="shared" ref="AH70:AH133" si="460">((AM70-AL70)+(AO70-AN70)+(AQ70-AP70))*24</f>
        <v>11.166666666569654</v>
      </c>
      <c r="AI70" s="110">
        <f t="shared" si="125"/>
        <v>0</v>
      </c>
      <c r="AJ70" s="110">
        <f>운전실적_원본!Y70</f>
        <v>0</v>
      </c>
      <c r="AK70" s="110">
        <f>운전실적_원본!Z70</f>
        <v>0</v>
      </c>
      <c r="AL70" s="106">
        <v>46087.375</v>
      </c>
      <c r="AM70" s="105">
        <v>46087.416666666664</v>
      </c>
      <c r="AN70" s="105">
        <v>46087.576388888891</v>
      </c>
      <c r="AO70" s="105">
        <v>46088</v>
      </c>
      <c r="AP70" s="105"/>
      <c r="AQ70" s="108"/>
      <c r="AR70" s="105"/>
      <c r="AS70" s="105"/>
      <c r="AT70" s="102"/>
      <c r="AU70" s="102"/>
      <c r="AV70" s="102"/>
      <c r="AW70" s="102"/>
      <c r="AX70" s="32">
        <f>운전실적_원본!W70</f>
        <v>368.32699999999932</v>
      </c>
      <c r="AY70" s="11">
        <f>운전실적_원본!X70</f>
        <v>0</v>
      </c>
      <c r="AZ70" s="11">
        <f>운전실적_원본!Y70</f>
        <v>0</v>
      </c>
      <c r="BA70" s="11">
        <f>운전실적_원본!Z70</f>
        <v>0</v>
      </c>
      <c r="BB70" s="11">
        <f>운전실적_원본!AA70</f>
        <v>0</v>
      </c>
      <c r="BC70" s="11">
        <f>운전실적_원본!AB70</f>
        <v>368.32699999999932</v>
      </c>
      <c r="BD70" s="32">
        <f t="shared" si="453"/>
        <v>36.832699999999932</v>
      </c>
      <c r="BE70" s="11">
        <f t="shared" ref="BE70:BE133" si="461">IFERROR(BD70/$BE$4,"-")</f>
        <v>0.71672893559058048</v>
      </c>
      <c r="BF70" s="11">
        <f>운전실적_원본!AE70</f>
        <v>0</v>
      </c>
      <c r="BG70" s="31">
        <f t="shared" si="454"/>
        <v>0</v>
      </c>
      <c r="BH70" s="241">
        <f>INDEX(연료전지_원본!$A$4:$KY$369,MATCH($A70,연료전지_원본!$A$4:$A$369,0),MATCH($BH$4,연료전지_원본!$A$4:$KY$4,0))</f>
        <v>0</v>
      </c>
      <c r="BI70" s="241">
        <f>INDEX(연료전지_원본!$A$4:$KY$369,MATCH($A70,연료전지_원본!$A$4:$A$369,0),MATCH($BI$4,연료전지_원본!$A$4:$KY$4,0))</f>
        <v>0</v>
      </c>
      <c r="BJ70" s="241">
        <f>INDEX(연료전지_원본!$A$4:$KY$369,MATCH($A70,연료전지_원본!$A$4:$A$369,0),MATCH($BJ$4,연료전지_원본!$A$4:$KY$4,0))</f>
        <v>0</v>
      </c>
      <c r="BK70" s="241">
        <f>INDEX(연료전지_원본!$A$4:$KY$369,MATCH($A70,연료전지_원본!$A$4:$A$369,0),MATCH($BK$4,연료전지_원본!$A$4:$KY$4,0))</f>
        <v>0</v>
      </c>
      <c r="BL70" s="241">
        <f>INDEX(연료전지_원본!$A$4:$KY$369,MATCH($A70,연료전지_원본!$A$4:$A$369,0),MATCH($BL$4,연료전지_원본!$A$4:$KY$4,0))</f>
        <v>0</v>
      </c>
      <c r="BM70" s="241">
        <f>INDEX(연료전지_원본!$A$4:$KY$369,MATCH($A70,연료전지_원본!$A$4:$A$369,0),MATCH($BM$4,연료전지_원본!$A$4:$KY$4,0))</f>
        <v>0</v>
      </c>
      <c r="BN70" s="241">
        <f>INDEX(연료전지_원본!$A$4:$KY$369,MATCH($A70,연료전지_원본!$A$4:$A$369,0),MATCH($BN$4,연료전지_원본!$A$4:$KY$4,0))</f>
        <v>0</v>
      </c>
      <c r="BO70" s="241">
        <f>INDEX(연료전지_원본!$A$4:$KY$369,MATCH($A70,연료전지_원본!$A$4:$A$369,0),MATCH($BO$4,연료전지_원본!$A$4:$KY$4,0))</f>
        <v>0</v>
      </c>
      <c r="BP70" s="241">
        <f>INDEX(연료전지_원본!$A$4:$KY$369,MATCH($A70,연료전지_원본!$A$4:$A$369,0),MATCH($BP$4,연료전지_원본!$A$4:$KY$4,0))</f>
        <v>0</v>
      </c>
      <c r="BQ70" s="241">
        <f>INDEX(연료전지_원본!$A$4:$KY$369,MATCH($A70,연료전지_원본!$A$4:$A$369,0),MATCH($BQ$4,연료전지_원본!$A$4:$KY$4,0))</f>
        <v>0</v>
      </c>
      <c r="BR70" s="241">
        <f>INDEX(연료전지_원본!$A$4:$KY$369,MATCH($A70,연료전지_원본!$A$4:$A$369,0),MATCH($BR$4,연료전지_원본!$A$4:$KY$4,0))</f>
        <v>0</v>
      </c>
      <c r="BS70" s="241">
        <f>INDEX(연료전지_원본!$A$4:$KY$369,MATCH($A70,연료전지_원본!$A$4:$A$369,0),MATCH($BS$4,연료전지_원본!$A$4:$KY$4,0))</f>
        <v>0</v>
      </c>
      <c r="BT70" s="241">
        <f>INDEX(연료전지_원본!$A$4:$KY$369,MATCH($A70,연료전지_원본!$A$4:$A$369,0),MATCH($BT$4,연료전지_원본!$A$4:$KY$4,0))</f>
        <v>0</v>
      </c>
      <c r="BU70" s="241">
        <f>INDEX(연료전지_원본!$A$4:$KY$369,MATCH($A70,연료전지_원본!$A$4:$A$369,0),MATCH($BU$4,연료전지_원본!$A$4:$KY$4,0))</f>
        <v>0</v>
      </c>
      <c r="BV70" s="241">
        <f>INDEX(연료전지_원본!$A$4:$KY$369,MATCH($A70,연료전지_원본!$A$4:$A$369,0),MATCH($BV$4,연료전지_원본!$A$4:$KY$4,0))</f>
        <v>0</v>
      </c>
      <c r="BW70" s="241">
        <f>INDEX(연료전지_원본!$A$4:$KY$369,MATCH($A70,연료전지_원본!$A$4:$A$369,0),MATCH($BW$4,연료전지_원본!$A$4:$KY$4,0))</f>
        <v>0</v>
      </c>
      <c r="BX70" s="241">
        <f>INDEX(연료전지_원본!$A$4:$KY$369,MATCH($A70,연료전지_원본!$A$4:$A$369,0),MATCH($BX$4,연료전지_원본!$A$4:$KY$4,0))</f>
        <v>0</v>
      </c>
      <c r="BY70" s="241">
        <f>INDEX(연료전지_원본!$A$4:$KY$369,MATCH($A70,연료전지_원본!$A$4:$A$369,0),MATCH($BY$4,연료전지_원본!$A$4:$KY$4,0))</f>
        <v>0</v>
      </c>
      <c r="BZ70" s="241">
        <f>INDEX(연료전지_원본!$A$4:$KY$369,MATCH($A70,연료전지_원본!$A$4:$A$369,0),MATCH($BZ$4,연료전지_원본!$A$4:$KY$4,0))</f>
        <v>0</v>
      </c>
      <c r="CA70" s="241">
        <f>INDEX(연료전지_원본!$A$4:$KY$369,MATCH($A70,연료전지_원본!$A$4:$A$369,0),MATCH($CA$4,연료전지_원본!$A$4:$KY$4,0))</f>
        <v>0</v>
      </c>
      <c r="CB70" s="241">
        <f>INDEX(연료전지_원본!$A$4:$KY$369,MATCH($A70,연료전지_원본!$A$4:$A$369,0),MATCH($CB$4,연료전지_원본!$A$4:$KY$4,0))</f>
        <v>0</v>
      </c>
      <c r="CC70" s="242">
        <f>INDEX(연료전지_원본!$A$4:$KY$369,MATCH($A70,연료전지_원본!$A$4:$A$369,0),MATCH($CC$4,연료전지_원본!$A$4:$KY$4,0))</f>
        <v>0</v>
      </c>
      <c r="CD70" s="250" t="e">
        <f>INDEX(연료전지_원본!$KB$4:$KX$369,MATCH($A70,연료전지_원본!$KB$4:$KB$369,0), MATCH(CD$4,연료전지_원본!$KB$4:$KX$4,0))*1000</f>
        <v>#N/A</v>
      </c>
      <c r="CE70" s="250" t="e">
        <f>INDEX(연료전지_원본!$KB$4:$KX$369,MATCH($A70,연료전지_원본!$KB$4:$KB$369,0), MATCH(CE$4,연료전지_원본!$KB$4:$KX$4,0))*1000</f>
        <v>#N/A</v>
      </c>
      <c r="CF70" s="250" t="e">
        <f>INDEX(연료전지_원본!$KB$4:$KX$369,MATCH($A70,연료전지_원본!$KB$4:$KB$369,0), MATCH(CF$4,연료전지_원본!$KB$4:$KX$4,0))*1000</f>
        <v>#N/A</v>
      </c>
      <c r="CG70" s="250" t="e">
        <f>INDEX(연료전지_원본!$KB$4:$KX$369,MATCH($A70,연료전지_원본!$KB$4:$KB$369,0), MATCH(CG$4,연료전지_원본!$KB$4:$KX$4,0))*1000</f>
        <v>#N/A</v>
      </c>
      <c r="CH70" s="250" t="e">
        <f>INDEX(연료전지_원본!$KB$4:$KX$369,MATCH($A70,연료전지_원본!$KB$4:$KB$369,0), MATCH(CH$4,연료전지_원본!$KB$4:$KX$4,0))*1000</f>
        <v>#N/A</v>
      </c>
      <c r="CI70" s="250" t="e">
        <f>INDEX(연료전지_원본!$KB$4:$KX$369,MATCH($A70,연료전지_원본!$KB$4:$KB$369,0), MATCH(CI$4,연료전지_원본!$KB$4:$KX$4,0))*1000</f>
        <v>#N/A</v>
      </c>
      <c r="CJ70" s="250" t="e">
        <f>INDEX(연료전지_원본!$KB$4:$KX$369,MATCH($A70,연료전지_원본!$KB$4:$KB$369,0), MATCH(CJ$4,연료전지_원본!$KB$4:$KX$4,0))*1000</f>
        <v>#N/A</v>
      </c>
      <c r="CK70" s="250" t="e">
        <f>INDEX(연료전지_원본!$KB$4:$KX$369,MATCH($A70,연료전지_원본!$KB$4:$KB$369,0), MATCH(CK$4,연료전지_원본!$KB$4:$KX$4,0))*1000</f>
        <v>#N/A</v>
      </c>
      <c r="CL70" s="250" t="e">
        <f>INDEX(연료전지_원본!$KB$4:$KX$369,MATCH($A70,연료전지_원본!$KB$4:$KB$369,0), MATCH(CL$4,연료전지_원본!$KB$4:$KX$4,0))*1000</f>
        <v>#N/A</v>
      </c>
      <c r="CM70" s="250" t="e">
        <f>INDEX(연료전지_원본!$KB$4:$KX$369,MATCH($A70,연료전지_원본!$KB$4:$KB$369,0), MATCH(CM$4,연료전지_원본!$KB$4:$KX$4,0))*1000</f>
        <v>#N/A</v>
      </c>
      <c r="CN70" s="250" t="e">
        <f>INDEX(연료전지_원본!$KB$4:$KX$369,MATCH($A70,연료전지_원본!$KB$4:$KB$369,0), MATCH(CN$4,연료전지_원본!$KB$4:$KX$4,0))*1000</f>
        <v>#N/A</v>
      </c>
      <c r="CO70" s="250" t="e">
        <f>INDEX(연료전지_원본!$KB$4:$KX$369,MATCH($A70,연료전지_원본!$KB$4:$KB$369,0), MATCH(CO$4,연료전지_원본!$KB$4:$KX$4,0))*1000</f>
        <v>#N/A</v>
      </c>
      <c r="CP70" s="250" t="e">
        <f>INDEX(연료전지_원본!$KB$4:$KX$369,MATCH($A70,연료전지_원본!$KB$4:$KB$369,0), MATCH(CP$4,연료전지_원본!$KB$4:$KX$4,0))*1000</f>
        <v>#N/A</v>
      </c>
      <c r="CQ70" s="250" t="e">
        <f>INDEX(연료전지_원본!$KB$4:$KX$369,MATCH($A70,연료전지_원본!$KB$4:$KB$369,0), MATCH(CQ$4,연료전지_원본!$KB$4:$KX$4,0))*1000</f>
        <v>#N/A</v>
      </c>
      <c r="CR70" s="250" t="e">
        <f>INDEX(연료전지_원본!$KB$4:$KX$369,MATCH($A70,연료전지_원본!$KB$4:$KB$369,0), MATCH(CR$4,연료전지_원본!$KB$4:$KX$4,0))*1000</f>
        <v>#N/A</v>
      </c>
      <c r="CS70" s="250" t="e">
        <f>INDEX(연료전지_원본!$KB$4:$KX$369,MATCH($A70,연료전지_원본!$KB$4:$KB$369,0), MATCH(CS$4,연료전지_원본!$KB$4:$KX$4,0))*1000</f>
        <v>#N/A</v>
      </c>
      <c r="CT70" s="250" t="e">
        <f>INDEX(연료전지_원본!$KB$4:$KX$369,MATCH($A70,연료전지_원본!$KB$4:$KB$369,0), MATCH(CT$4,연료전지_원본!$KB$4:$KX$4,0))*1000</f>
        <v>#N/A</v>
      </c>
      <c r="CU70" s="250" t="e">
        <f>INDEX(연료전지_원본!$KB$4:$KX$369,MATCH($A70,연료전지_원본!$KB$4:$KB$369,0), MATCH(CU$4,연료전지_원본!$KB$4:$KX$4,0))*1000</f>
        <v>#N/A</v>
      </c>
      <c r="CV70" s="250" t="e">
        <f>INDEX(연료전지_원본!$KB$4:$KX$369,MATCH($A70,연료전지_원본!$KB$4:$KB$369,0), MATCH(CV$4,연료전지_원본!$KB$4:$KX$4,0))*1000</f>
        <v>#N/A</v>
      </c>
      <c r="CW70" s="250" t="e">
        <f>INDEX(연료전지_원본!$KB$4:$KX$369,MATCH($A70,연료전지_원본!$KB$4:$KB$369,0), MATCH(CW$4,연료전지_원본!$KB$4:$KX$4,0))*1000</f>
        <v>#N/A</v>
      </c>
      <c r="CX70" s="250" t="e">
        <f>INDEX(연료전지_원본!$KB$4:$KX$369,MATCH($A70,연료전지_원본!$KB$4:$KB$369,0), MATCH(CX$4,연료전지_원본!$KB$4:$KX$4,0))*1000</f>
        <v>#N/A</v>
      </c>
      <c r="CY70" s="250" t="e">
        <f>INDEX(연료전지_원본!$KB$4:$KX$369,MATCH($A70,연료전지_원본!$KB$4:$KB$369,0), MATCH(CY$4,연료전지_원본!$KB$4:$KX$4,0))*1000</f>
        <v>#N/A</v>
      </c>
      <c r="DV70" s="30">
        <f t="shared" si="297"/>
        <v>0</v>
      </c>
    </row>
    <row r="71" spans="1:126">
      <c r="A71" s="6">
        <v>46088</v>
      </c>
      <c r="B71" s="15">
        <f>운전실적_원본!B71</f>
        <v>651.20000000000005</v>
      </c>
      <c r="C71" s="16">
        <f t="shared" si="298"/>
        <v>0</v>
      </c>
      <c r="D71" s="12">
        <f>운전실적_원본!C71</f>
        <v>250019</v>
      </c>
      <c r="E71" s="12">
        <f t="shared" si="299"/>
        <v>44</v>
      </c>
      <c r="F71" s="12">
        <f>운전실적_원본!D71</f>
        <v>241438</v>
      </c>
      <c r="G71" s="16">
        <f t="shared" si="300"/>
        <v>0</v>
      </c>
      <c r="H71" s="15">
        <f>운전실적_원본!E71</f>
        <v>17294.310000000001</v>
      </c>
      <c r="I71" s="16">
        <f t="shared" si="301"/>
        <v>1.2299999999995634</v>
      </c>
      <c r="J71" s="15">
        <f>운전실적_원본!F71</f>
        <v>15396</v>
      </c>
      <c r="K71" s="16">
        <f t="shared" si="301"/>
        <v>22.459999999999127</v>
      </c>
      <c r="L71" s="32">
        <f>운전실적_원본!G71</f>
        <v>34.299999999999997</v>
      </c>
      <c r="M71" s="31">
        <f t="shared" ref="M71" si="462">IF(OR(LEN(L71)=0,L71=0),"",L71-L70)</f>
        <v>0.59999999999999432</v>
      </c>
      <c r="N71" s="15">
        <f>운전실적_원본!H71</f>
        <v>39933</v>
      </c>
      <c r="O71" s="16">
        <f t="shared" ref="O71" si="463">IF(OR(LEN(N71)=0,N71=0),"",N71-N70)</f>
        <v>46</v>
      </c>
      <c r="P71" s="15">
        <f>운전실적_원본!I71</f>
        <v>24471</v>
      </c>
      <c r="Q71" s="16">
        <f t="shared" ref="Q71" si="464">IF(OR(LEN(P71)=0,P71=0),"",P71-P70)</f>
        <v>142</v>
      </c>
      <c r="R71" s="18">
        <f>운전실적_원본!J71</f>
        <v>33.409999999999997</v>
      </c>
      <c r="S71" s="19">
        <f t="shared" ref="S71" si="465">IF(OR(LEN(R71)=0,R71=0),"",R71-R70)</f>
        <v>0.42999999999999972</v>
      </c>
      <c r="T71" s="18">
        <f>운전실적_원본!K71</f>
        <v>32.97</v>
      </c>
      <c r="U71" s="19">
        <f t="shared" si="306"/>
        <v>-2.0000000000003126E-2</v>
      </c>
      <c r="V71" s="12">
        <f>운전실적_원본!L71</f>
        <v>8420</v>
      </c>
      <c r="W71" s="16">
        <f t="shared" ref="W71" si="466">IF(OR(LEN(V71)=0,V71=0),"",V71-V70)</f>
        <v>54</v>
      </c>
      <c r="X71" s="10">
        <f>운전실적_원본!M71</f>
        <v>197048.3900000006</v>
      </c>
      <c r="Y71" s="10">
        <f>운전실적_원본!N71</f>
        <v>0</v>
      </c>
      <c r="Z71" s="10">
        <f>운전실적_원본!O71</f>
        <v>0</v>
      </c>
      <c r="AA71" s="10">
        <f>운전실적_원본!P71</f>
        <v>0</v>
      </c>
      <c r="AB71" s="10">
        <f>운전실적_원본!Q71</f>
        <v>0</v>
      </c>
      <c r="AC71" s="20">
        <f>운전실적_원본!R71</f>
        <v>0</v>
      </c>
      <c r="AD71" s="109">
        <f>운전실적_원본!S71</f>
        <v>24</v>
      </c>
      <c r="AE71" s="110">
        <f>운전실적_원본!T71</f>
        <v>0</v>
      </c>
      <c r="AF71" s="110">
        <f>운전실적_원본!U71</f>
        <v>0</v>
      </c>
      <c r="AG71" s="110">
        <f>운전실적_원본!V71</f>
        <v>0</v>
      </c>
      <c r="AH71" s="109">
        <f t="shared" si="460"/>
        <v>24</v>
      </c>
      <c r="AI71" s="110">
        <f t="shared" ref="AI71:AI134" si="467">(AS71-AR71)*24</f>
        <v>0</v>
      </c>
      <c r="AJ71" s="110">
        <f>운전실적_원본!Y71</f>
        <v>0</v>
      </c>
      <c r="AK71" s="110">
        <f>운전실적_원본!Z71</f>
        <v>0</v>
      </c>
      <c r="AL71" s="106">
        <v>46088</v>
      </c>
      <c r="AM71" s="105">
        <v>46089</v>
      </c>
      <c r="AN71" s="105"/>
      <c r="AO71" s="105"/>
      <c r="AP71" s="105"/>
      <c r="AQ71" s="108"/>
      <c r="AR71" s="105"/>
      <c r="AS71" s="105"/>
      <c r="AT71" s="102"/>
      <c r="AU71" s="102"/>
      <c r="AV71" s="102"/>
      <c r="AW71" s="102"/>
      <c r="AX71" s="32">
        <f>운전실적_원본!W71</f>
        <v>1255</v>
      </c>
      <c r="AY71" s="11">
        <f>운전실적_원본!X71</f>
        <v>0</v>
      </c>
      <c r="AZ71" s="11">
        <f>운전실적_원본!Y71</f>
        <v>0</v>
      </c>
      <c r="BA71" s="11">
        <f>운전실적_원본!Z71</f>
        <v>0</v>
      </c>
      <c r="BB71" s="11">
        <f>운전실적_원본!AA71</f>
        <v>0</v>
      </c>
      <c r="BC71" s="11">
        <f>운전실적_원본!AB71</f>
        <v>1255</v>
      </c>
      <c r="BD71" s="32">
        <f t="shared" si="453"/>
        <v>52.291666666666664</v>
      </c>
      <c r="BE71" s="11">
        <f t="shared" si="461"/>
        <v>1.0175455665823441</v>
      </c>
      <c r="BF71" s="11">
        <f>운전실적_원본!AE71</f>
        <v>0</v>
      </c>
      <c r="BG71" s="31">
        <f t="shared" si="454"/>
        <v>0</v>
      </c>
      <c r="BH71" s="241">
        <f>INDEX(연료전지_원본!$A$4:$KY$369,MATCH($A71,연료전지_원본!$A$4:$A$369,0),MATCH($BH$4,연료전지_원본!$A$4:$KY$4,0))</f>
        <v>0</v>
      </c>
      <c r="BI71" s="241">
        <f>INDEX(연료전지_원본!$A$4:$KY$369,MATCH($A71,연료전지_원본!$A$4:$A$369,0),MATCH($BI$4,연료전지_원본!$A$4:$KY$4,0))</f>
        <v>0</v>
      </c>
      <c r="BJ71" s="241">
        <f>INDEX(연료전지_원본!$A$4:$KY$369,MATCH($A71,연료전지_원본!$A$4:$A$369,0),MATCH($BJ$4,연료전지_원본!$A$4:$KY$4,0))</f>
        <v>0</v>
      </c>
      <c r="BK71" s="241">
        <f>INDEX(연료전지_원본!$A$4:$KY$369,MATCH($A71,연료전지_원본!$A$4:$A$369,0),MATCH($BK$4,연료전지_원본!$A$4:$KY$4,0))</f>
        <v>0</v>
      </c>
      <c r="BL71" s="241">
        <f>INDEX(연료전지_원본!$A$4:$KY$369,MATCH($A71,연료전지_원본!$A$4:$A$369,0),MATCH($BL$4,연료전지_원본!$A$4:$KY$4,0))</f>
        <v>0</v>
      </c>
      <c r="BM71" s="241">
        <f>INDEX(연료전지_원본!$A$4:$KY$369,MATCH($A71,연료전지_원본!$A$4:$A$369,0),MATCH($BM$4,연료전지_원본!$A$4:$KY$4,0))</f>
        <v>0</v>
      </c>
      <c r="BN71" s="241">
        <f>INDEX(연료전지_원본!$A$4:$KY$369,MATCH($A71,연료전지_원본!$A$4:$A$369,0),MATCH($BN$4,연료전지_원본!$A$4:$KY$4,0))</f>
        <v>0</v>
      </c>
      <c r="BO71" s="241">
        <f>INDEX(연료전지_원본!$A$4:$KY$369,MATCH($A71,연료전지_원본!$A$4:$A$369,0),MATCH($BO$4,연료전지_원본!$A$4:$KY$4,0))</f>
        <v>0</v>
      </c>
      <c r="BP71" s="241">
        <f>INDEX(연료전지_원본!$A$4:$KY$369,MATCH($A71,연료전지_원본!$A$4:$A$369,0),MATCH($BP$4,연료전지_원본!$A$4:$KY$4,0))</f>
        <v>0</v>
      </c>
      <c r="BQ71" s="241">
        <f>INDEX(연료전지_원본!$A$4:$KY$369,MATCH($A71,연료전지_원본!$A$4:$A$369,0),MATCH($BQ$4,연료전지_원본!$A$4:$KY$4,0))</f>
        <v>0</v>
      </c>
      <c r="BR71" s="241">
        <f>INDEX(연료전지_원본!$A$4:$KY$369,MATCH($A71,연료전지_원본!$A$4:$A$369,0),MATCH($BR$4,연료전지_원본!$A$4:$KY$4,0))</f>
        <v>0</v>
      </c>
      <c r="BS71" s="241">
        <f>INDEX(연료전지_원본!$A$4:$KY$369,MATCH($A71,연료전지_원본!$A$4:$A$369,0),MATCH($BS$4,연료전지_원본!$A$4:$KY$4,0))</f>
        <v>0</v>
      </c>
      <c r="BT71" s="241">
        <f>INDEX(연료전지_원본!$A$4:$KY$369,MATCH($A71,연료전지_원본!$A$4:$A$369,0),MATCH($BT$4,연료전지_원본!$A$4:$KY$4,0))</f>
        <v>0</v>
      </c>
      <c r="BU71" s="241">
        <f>INDEX(연료전지_원본!$A$4:$KY$369,MATCH($A71,연료전지_원본!$A$4:$A$369,0),MATCH($BU$4,연료전지_원본!$A$4:$KY$4,0))</f>
        <v>0</v>
      </c>
      <c r="BV71" s="241">
        <f>INDEX(연료전지_원본!$A$4:$KY$369,MATCH($A71,연료전지_원본!$A$4:$A$369,0),MATCH($BV$4,연료전지_원본!$A$4:$KY$4,0))</f>
        <v>0</v>
      </c>
      <c r="BW71" s="241">
        <f>INDEX(연료전지_원본!$A$4:$KY$369,MATCH($A71,연료전지_원본!$A$4:$A$369,0),MATCH($BW$4,연료전지_원본!$A$4:$KY$4,0))</f>
        <v>0</v>
      </c>
      <c r="BX71" s="241">
        <f>INDEX(연료전지_원본!$A$4:$KY$369,MATCH($A71,연료전지_원본!$A$4:$A$369,0),MATCH($BX$4,연료전지_원본!$A$4:$KY$4,0))</f>
        <v>0</v>
      </c>
      <c r="BY71" s="241">
        <f>INDEX(연료전지_원본!$A$4:$KY$369,MATCH($A71,연료전지_원본!$A$4:$A$369,0),MATCH($BY$4,연료전지_원본!$A$4:$KY$4,0))</f>
        <v>0</v>
      </c>
      <c r="BZ71" s="241">
        <f>INDEX(연료전지_원본!$A$4:$KY$369,MATCH($A71,연료전지_원본!$A$4:$A$369,0),MATCH($BZ$4,연료전지_원본!$A$4:$KY$4,0))</f>
        <v>0</v>
      </c>
      <c r="CA71" s="241">
        <f>INDEX(연료전지_원본!$A$4:$KY$369,MATCH($A71,연료전지_원본!$A$4:$A$369,0),MATCH($CA$4,연료전지_원본!$A$4:$KY$4,0))</f>
        <v>0</v>
      </c>
      <c r="CB71" s="241">
        <f>INDEX(연료전지_원본!$A$4:$KY$369,MATCH($A71,연료전지_원본!$A$4:$A$369,0),MATCH($CB$4,연료전지_원본!$A$4:$KY$4,0))</f>
        <v>0</v>
      </c>
      <c r="CC71" s="242">
        <f>INDEX(연료전지_원본!$A$4:$KY$369,MATCH($A71,연료전지_원본!$A$4:$A$369,0),MATCH($CC$4,연료전지_원본!$A$4:$KY$4,0))</f>
        <v>0</v>
      </c>
      <c r="CD71" s="250" t="e">
        <f>INDEX(연료전지_원본!$KB$4:$KX$369,MATCH($A71,연료전지_원본!$KB$4:$KB$369,0), MATCH(CD$4,연료전지_원본!$KB$4:$KX$4,0))*1000</f>
        <v>#N/A</v>
      </c>
      <c r="CE71" s="250" t="e">
        <f>INDEX(연료전지_원본!$KB$4:$KX$369,MATCH($A71,연료전지_원본!$KB$4:$KB$369,0), MATCH(CE$4,연료전지_원본!$KB$4:$KX$4,0))*1000</f>
        <v>#N/A</v>
      </c>
      <c r="CF71" s="250" t="e">
        <f>INDEX(연료전지_원본!$KB$4:$KX$369,MATCH($A71,연료전지_원본!$KB$4:$KB$369,0), MATCH(CF$4,연료전지_원본!$KB$4:$KX$4,0))*1000</f>
        <v>#N/A</v>
      </c>
      <c r="CG71" s="250" t="e">
        <f>INDEX(연료전지_원본!$KB$4:$KX$369,MATCH($A71,연료전지_원본!$KB$4:$KB$369,0), MATCH(CG$4,연료전지_원본!$KB$4:$KX$4,0))*1000</f>
        <v>#N/A</v>
      </c>
      <c r="CH71" s="250" t="e">
        <f>INDEX(연료전지_원본!$KB$4:$KX$369,MATCH($A71,연료전지_원본!$KB$4:$KB$369,0), MATCH(CH$4,연료전지_원본!$KB$4:$KX$4,0))*1000</f>
        <v>#N/A</v>
      </c>
      <c r="CI71" s="250" t="e">
        <f>INDEX(연료전지_원본!$KB$4:$KX$369,MATCH($A71,연료전지_원본!$KB$4:$KB$369,0), MATCH(CI$4,연료전지_원본!$KB$4:$KX$4,0))*1000</f>
        <v>#N/A</v>
      </c>
      <c r="CJ71" s="250" t="e">
        <f>INDEX(연료전지_원본!$KB$4:$KX$369,MATCH($A71,연료전지_원본!$KB$4:$KB$369,0), MATCH(CJ$4,연료전지_원본!$KB$4:$KX$4,0))*1000</f>
        <v>#N/A</v>
      </c>
      <c r="CK71" s="250" t="e">
        <f>INDEX(연료전지_원본!$KB$4:$KX$369,MATCH($A71,연료전지_원본!$KB$4:$KB$369,0), MATCH(CK$4,연료전지_원본!$KB$4:$KX$4,0))*1000</f>
        <v>#N/A</v>
      </c>
      <c r="CL71" s="250" t="e">
        <f>INDEX(연료전지_원본!$KB$4:$KX$369,MATCH($A71,연료전지_원본!$KB$4:$KB$369,0), MATCH(CL$4,연료전지_원본!$KB$4:$KX$4,0))*1000</f>
        <v>#N/A</v>
      </c>
      <c r="CM71" s="250" t="e">
        <f>INDEX(연료전지_원본!$KB$4:$KX$369,MATCH($A71,연료전지_원본!$KB$4:$KB$369,0), MATCH(CM$4,연료전지_원본!$KB$4:$KX$4,0))*1000</f>
        <v>#N/A</v>
      </c>
      <c r="CN71" s="250" t="e">
        <f>INDEX(연료전지_원본!$KB$4:$KX$369,MATCH($A71,연료전지_원본!$KB$4:$KB$369,0), MATCH(CN$4,연료전지_원본!$KB$4:$KX$4,0))*1000</f>
        <v>#N/A</v>
      </c>
      <c r="CO71" s="250" t="e">
        <f>INDEX(연료전지_원본!$KB$4:$KX$369,MATCH($A71,연료전지_원본!$KB$4:$KB$369,0), MATCH(CO$4,연료전지_원본!$KB$4:$KX$4,0))*1000</f>
        <v>#N/A</v>
      </c>
      <c r="CP71" s="250" t="e">
        <f>INDEX(연료전지_원본!$KB$4:$KX$369,MATCH($A71,연료전지_원본!$KB$4:$KB$369,0), MATCH(CP$4,연료전지_원본!$KB$4:$KX$4,0))*1000</f>
        <v>#N/A</v>
      </c>
      <c r="CQ71" s="250" t="e">
        <f>INDEX(연료전지_원본!$KB$4:$KX$369,MATCH($A71,연료전지_원본!$KB$4:$KB$369,0), MATCH(CQ$4,연료전지_원본!$KB$4:$KX$4,0))*1000</f>
        <v>#N/A</v>
      </c>
      <c r="CR71" s="250" t="e">
        <f>INDEX(연료전지_원본!$KB$4:$KX$369,MATCH($A71,연료전지_원본!$KB$4:$KB$369,0), MATCH(CR$4,연료전지_원본!$KB$4:$KX$4,0))*1000</f>
        <v>#N/A</v>
      </c>
      <c r="CS71" s="250" t="e">
        <f>INDEX(연료전지_원본!$KB$4:$KX$369,MATCH($A71,연료전지_원본!$KB$4:$KB$369,0), MATCH(CS$4,연료전지_원본!$KB$4:$KX$4,0))*1000</f>
        <v>#N/A</v>
      </c>
      <c r="CT71" s="250" t="e">
        <f>INDEX(연료전지_원본!$KB$4:$KX$369,MATCH($A71,연료전지_원본!$KB$4:$KB$369,0), MATCH(CT$4,연료전지_원본!$KB$4:$KX$4,0))*1000</f>
        <v>#N/A</v>
      </c>
      <c r="CU71" s="250" t="e">
        <f>INDEX(연료전지_원본!$KB$4:$KX$369,MATCH($A71,연료전지_원본!$KB$4:$KB$369,0), MATCH(CU$4,연료전지_원본!$KB$4:$KX$4,0))*1000</f>
        <v>#N/A</v>
      </c>
      <c r="CV71" s="250" t="e">
        <f>INDEX(연료전지_원본!$KB$4:$KX$369,MATCH($A71,연료전지_원본!$KB$4:$KB$369,0), MATCH(CV$4,연료전지_원본!$KB$4:$KX$4,0))*1000</f>
        <v>#N/A</v>
      </c>
      <c r="CW71" s="250" t="e">
        <f>INDEX(연료전지_원본!$KB$4:$KX$369,MATCH($A71,연료전지_원본!$KB$4:$KB$369,0), MATCH(CW$4,연료전지_원본!$KB$4:$KX$4,0))*1000</f>
        <v>#N/A</v>
      </c>
      <c r="CX71" s="250" t="e">
        <f>INDEX(연료전지_원본!$KB$4:$KX$369,MATCH($A71,연료전지_원본!$KB$4:$KB$369,0), MATCH(CX$4,연료전지_원본!$KB$4:$KX$4,0))*1000</f>
        <v>#N/A</v>
      </c>
      <c r="CY71" s="250" t="e">
        <f>INDEX(연료전지_원본!$KB$4:$KX$369,MATCH($A71,연료전지_원본!$KB$4:$KB$369,0), MATCH(CY$4,연료전지_원본!$KB$4:$KX$4,0))*1000</f>
        <v>#N/A</v>
      </c>
      <c r="DV71" s="30">
        <f t="shared" si="297"/>
        <v>0</v>
      </c>
    </row>
    <row r="72" spans="1:126">
      <c r="A72" s="6">
        <v>46089</v>
      </c>
      <c r="B72" s="15">
        <f>운전실적_원본!B72</f>
        <v>651.20000000000005</v>
      </c>
      <c r="C72" s="16">
        <f t="shared" si="298"/>
        <v>0</v>
      </c>
      <c r="D72" s="12">
        <f>운전실적_원본!C72</f>
        <v>250042</v>
      </c>
      <c r="E72" s="12">
        <f t="shared" si="299"/>
        <v>23</v>
      </c>
      <c r="F72" s="12">
        <f>운전실적_원본!D72</f>
        <v>241460</v>
      </c>
      <c r="G72" s="16">
        <f t="shared" si="300"/>
        <v>22</v>
      </c>
      <c r="H72" s="15">
        <f>운전실적_원본!E72</f>
        <v>17295.75</v>
      </c>
      <c r="I72" s="16">
        <f t="shared" si="301"/>
        <v>1.4399999999986903</v>
      </c>
      <c r="J72" s="15">
        <f>운전실적_원본!F72</f>
        <v>15418.62</v>
      </c>
      <c r="K72" s="16">
        <f t="shared" si="301"/>
        <v>22.6200000000008</v>
      </c>
      <c r="L72" s="32">
        <f>운전실적_원본!G72</f>
        <v>35</v>
      </c>
      <c r="M72" s="31">
        <f t="shared" ref="M72" si="468">IF(OR(LEN(L72)=0,L72=0),"",L72-L71)</f>
        <v>0.70000000000000284</v>
      </c>
      <c r="N72" s="15">
        <f>운전실적_원본!H72</f>
        <v>40020</v>
      </c>
      <c r="O72" s="16">
        <f t="shared" ref="O72" si="469">IF(OR(LEN(N72)=0,N72=0),"",N72-N71)</f>
        <v>87</v>
      </c>
      <c r="P72" s="15">
        <f>운전실적_원본!I72</f>
        <v>24575</v>
      </c>
      <c r="Q72" s="16">
        <f t="shared" ref="Q72" si="470">IF(OR(LEN(P72)=0,P72=0),"",P72-P71)</f>
        <v>104</v>
      </c>
      <c r="R72" s="18">
        <f>운전실적_원본!J72</f>
        <v>33.380000000000003</v>
      </c>
      <c r="S72" s="19">
        <f t="shared" ref="S72" si="471">IF(OR(LEN(R72)=0,R72=0),"",R72-R71)</f>
        <v>-2.9999999999994031E-2</v>
      </c>
      <c r="T72" s="18">
        <f>운전실적_원본!K72</f>
        <v>32.92</v>
      </c>
      <c r="U72" s="19">
        <f t="shared" si="306"/>
        <v>-4.9999999999997158E-2</v>
      </c>
      <c r="V72" s="12">
        <f>운전실적_원본!L72</f>
        <v>8165</v>
      </c>
      <c r="W72" s="16">
        <f t="shared" ref="W72" si="472">IF(OR(LEN(V72)=0,V72=0),"",V72-V71)</f>
        <v>-255</v>
      </c>
      <c r="X72" s="10">
        <f>운전실적_원본!M72</f>
        <v>194029.6400000006</v>
      </c>
      <c r="Y72" s="10">
        <f>운전실적_원본!N72</f>
        <v>0</v>
      </c>
      <c r="Z72" s="10">
        <f>운전실적_원본!O72</f>
        <v>0</v>
      </c>
      <c r="AA72" s="10">
        <f>운전실적_원본!P72</f>
        <v>0</v>
      </c>
      <c r="AB72" s="10">
        <f>운전실적_원본!Q72</f>
        <v>0</v>
      </c>
      <c r="AC72" s="20">
        <f>운전실적_원본!R72</f>
        <v>0</v>
      </c>
      <c r="AD72" s="109">
        <f>운전실적_원본!S72</f>
        <v>24</v>
      </c>
      <c r="AE72" s="110">
        <f>운전실적_원본!T72</f>
        <v>0</v>
      </c>
      <c r="AF72" s="110">
        <f>운전실적_원본!U72</f>
        <v>0</v>
      </c>
      <c r="AG72" s="110">
        <f>운전실적_원본!V72</f>
        <v>0</v>
      </c>
      <c r="AH72" s="109">
        <f t="shared" si="460"/>
        <v>24</v>
      </c>
      <c r="AI72" s="110">
        <f t="shared" si="467"/>
        <v>0</v>
      </c>
      <c r="AJ72" s="110">
        <f>운전실적_원본!Y72</f>
        <v>0</v>
      </c>
      <c r="AK72" s="110">
        <f>운전실적_원본!Z72</f>
        <v>0</v>
      </c>
      <c r="AL72" s="106">
        <v>46089</v>
      </c>
      <c r="AM72" s="105">
        <v>46090</v>
      </c>
      <c r="AN72" s="105"/>
      <c r="AO72" s="105"/>
      <c r="AP72" s="105"/>
      <c r="AQ72" s="108"/>
      <c r="AR72" s="105"/>
      <c r="AS72" s="105"/>
      <c r="AT72" s="102"/>
      <c r="AU72" s="102"/>
      <c r="AV72" s="102"/>
      <c r="AW72" s="102"/>
      <c r="AX72" s="32">
        <f>운전실적_원본!W72</f>
        <v>1241</v>
      </c>
      <c r="AY72" s="11">
        <f>운전실적_원본!X72</f>
        <v>0</v>
      </c>
      <c r="AZ72" s="11">
        <f>운전실적_원본!Y72</f>
        <v>0</v>
      </c>
      <c r="BA72" s="11">
        <f>운전실적_원본!Z72</f>
        <v>0</v>
      </c>
      <c r="BB72" s="11">
        <f>운전실적_원본!AA72</f>
        <v>0</v>
      </c>
      <c r="BC72" s="11">
        <f>운전실적_원본!AB72</f>
        <v>1241</v>
      </c>
      <c r="BD72" s="32">
        <f t="shared" si="453"/>
        <v>51.708333333333336</v>
      </c>
      <c r="BE72" s="11">
        <f t="shared" si="461"/>
        <v>1.0061944606603102</v>
      </c>
      <c r="BF72" s="11">
        <f>운전실적_원본!AE72</f>
        <v>0</v>
      </c>
      <c r="BG72" s="31">
        <f t="shared" si="454"/>
        <v>0</v>
      </c>
      <c r="BH72" s="241">
        <f>INDEX(연료전지_원본!$A$4:$KY$369,MATCH($A72,연료전지_원본!$A$4:$A$369,0),MATCH($BH$4,연료전지_원본!$A$4:$KY$4,0))</f>
        <v>0</v>
      </c>
      <c r="BI72" s="241">
        <f>INDEX(연료전지_원본!$A$4:$KY$369,MATCH($A72,연료전지_원본!$A$4:$A$369,0),MATCH($BI$4,연료전지_원본!$A$4:$KY$4,0))</f>
        <v>0</v>
      </c>
      <c r="BJ72" s="241">
        <f>INDEX(연료전지_원본!$A$4:$KY$369,MATCH($A72,연료전지_원본!$A$4:$A$369,0),MATCH($BJ$4,연료전지_원본!$A$4:$KY$4,0))</f>
        <v>0</v>
      </c>
      <c r="BK72" s="241">
        <f>INDEX(연료전지_원본!$A$4:$KY$369,MATCH($A72,연료전지_원본!$A$4:$A$369,0),MATCH($BK$4,연료전지_원본!$A$4:$KY$4,0))</f>
        <v>0</v>
      </c>
      <c r="BL72" s="241">
        <f>INDEX(연료전지_원본!$A$4:$KY$369,MATCH($A72,연료전지_원본!$A$4:$A$369,0),MATCH($BL$4,연료전지_원본!$A$4:$KY$4,0))</f>
        <v>0</v>
      </c>
      <c r="BM72" s="241">
        <f>INDEX(연료전지_원본!$A$4:$KY$369,MATCH($A72,연료전지_원본!$A$4:$A$369,0),MATCH($BM$4,연료전지_원본!$A$4:$KY$4,0))</f>
        <v>0</v>
      </c>
      <c r="BN72" s="241">
        <f>INDEX(연료전지_원본!$A$4:$KY$369,MATCH($A72,연료전지_원본!$A$4:$A$369,0),MATCH($BN$4,연료전지_원본!$A$4:$KY$4,0))</f>
        <v>0</v>
      </c>
      <c r="BO72" s="241">
        <f>INDEX(연료전지_원본!$A$4:$KY$369,MATCH($A72,연료전지_원본!$A$4:$A$369,0),MATCH($BO$4,연료전지_원본!$A$4:$KY$4,0))</f>
        <v>0</v>
      </c>
      <c r="BP72" s="241">
        <f>INDEX(연료전지_원본!$A$4:$KY$369,MATCH($A72,연료전지_원본!$A$4:$A$369,0),MATCH($BP$4,연료전지_원본!$A$4:$KY$4,0))</f>
        <v>0</v>
      </c>
      <c r="BQ72" s="241">
        <f>INDEX(연료전지_원본!$A$4:$KY$369,MATCH($A72,연료전지_원본!$A$4:$A$369,0),MATCH($BQ$4,연료전지_원본!$A$4:$KY$4,0))</f>
        <v>0</v>
      </c>
      <c r="BR72" s="241">
        <f>INDEX(연료전지_원본!$A$4:$KY$369,MATCH($A72,연료전지_원본!$A$4:$A$369,0),MATCH($BR$4,연료전지_원본!$A$4:$KY$4,0))</f>
        <v>0</v>
      </c>
      <c r="BS72" s="241">
        <f>INDEX(연료전지_원본!$A$4:$KY$369,MATCH($A72,연료전지_원본!$A$4:$A$369,0),MATCH($BS$4,연료전지_원본!$A$4:$KY$4,0))</f>
        <v>0</v>
      </c>
      <c r="BT72" s="241">
        <f>INDEX(연료전지_원본!$A$4:$KY$369,MATCH($A72,연료전지_원본!$A$4:$A$369,0),MATCH($BT$4,연료전지_원본!$A$4:$KY$4,0))</f>
        <v>0</v>
      </c>
      <c r="BU72" s="241">
        <f>INDEX(연료전지_원본!$A$4:$KY$369,MATCH($A72,연료전지_원본!$A$4:$A$369,0),MATCH($BU$4,연료전지_원본!$A$4:$KY$4,0))</f>
        <v>0</v>
      </c>
      <c r="BV72" s="241">
        <f>INDEX(연료전지_원본!$A$4:$KY$369,MATCH($A72,연료전지_원본!$A$4:$A$369,0),MATCH($BV$4,연료전지_원본!$A$4:$KY$4,0))</f>
        <v>0</v>
      </c>
      <c r="BW72" s="241">
        <f>INDEX(연료전지_원본!$A$4:$KY$369,MATCH($A72,연료전지_원본!$A$4:$A$369,0),MATCH($BW$4,연료전지_원본!$A$4:$KY$4,0))</f>
        <v>0</v>
      </c>
      <c r="BX72" s="241">
        <f>INDEX(연료전지_원본!$A$4:$KY$369,MATCH($A72,연료전지_원본!$A$4:$A$369,0),MATCH($BX$4,연료전지_원본!$A$4:$KY$4,0))</f>
        <v>0</v>
      </c>
      <c r="BY72" s="241">
        <f>INDEX(연료전지_원본!$A$4:$KY$369,MATCH($A72,연료전지_원본!$A$4:$A$369,0),MATCH($BY$4,연료전지_원본!$A$4:$KY$4,0))</f>
        <v>0</v>
      </c>
      <c r="BZ72" s="241">
        <f>INDEX(연료전지_원본!$A$4:$KY$369,MATCH($A72,연료전지_원본!$A$4:$A$369,0),MATCH($BZ$4,연료전지_원본!$A$4:$KY$4,0))</f>
        <v>0</v>
      </c>
      <c r="CA72" s="241">
        <f>INDEX(연료전지_원본!$A$4:$KY$369,MATCH($A72,연료전지_원본!$A$4:$A$369,0),MATCH($CA$4,연료전지_원본!$A$4:$KY$4,0))</f>
        <v>0</v>
      </c>
      <c r="CB72" s="241">
        <f>INDEX(연료전지_원본!$A$4:$KY$369,MATCH($A72,연료전지_원본!$A$4:$A$369,0),MATCH($CB$4,연료전지_원본!$A$4:$KY$4,0))</f>
        <v>0</v>
      </c>
      <c r="CC72" s="242">
        <f>INDEX(연료전지_원본!$A$4:$KY$369,MATCH($A72,연료전지_원본!$A$4:$A$369,0),MATCH($CC$4,연료전지_원본!$A$4:$KY$4,0))</f>
        <v>0</v>
      </c>
      <c r="CD72" s="250" t="e">
        <f>INDEX(연료전지_원본!$KB$4:$KX$369,MATCH($A72,연료전지_원본!$KB$4:$KB$369,0), MATCH(CD$4,연료전지_원본!$KB$4:$KX$4,0))*1000</f>
        <v>#N/A</v>
      </c>
      <c r="CE72" s="250" t="e">
        <f>INDEX(연료전지_원본!$KB$4:$KX$369,MATCH($A72,연료전지_원본!$KB$4:$KB$369,0), MATCH(CE$4,연료전지_원본!$KB$4:$KX$4,0))*1000</f>
        <v>#N/A</v>
      </c>
      <c r="CF72" s="250" t="e">
        <f>INDEX(연료전지_원본!$KB$4:$KX$369,MATCH($A72,연료전지_원본!$KB$4:$KB$369,0), MATCH(CF$4,연료전지_원본!$KB$4:$KX$4,0))*1000</f>
        <v>#N/A</v>
      </c>
      <c r="CG72" s="250" t="e">
        <f>INDEX(연료전지_원본!$KB$4:$KX$369,MATCH($A72,연료전지_원본!$KB$4:$KB$369,0), MATCH(CG$4,연료전지_원본!$KB$4:$KX$4,0))*1000</f>
        <v>#N/A</v>
      </c>
      <c r="CH72" s="250" t="e">
        <f>INDEX(연료전지_원본!$KB$4:$KX$369,MATCH($A72,연료전지_원본!$KB$4:$KB$369,0), MATCH(CH$4,연료전지_원본!$KB$4:$KX$4,0))*1000</f>
        <v>#N/A</v>
      </c>
      <c r="CI72" s="250" t="e">
        <f>INDEX(연료전지_원본!$KB$4:$KX$369,MATCH($A72,연료전지_원본!$KB$4:$KB$369,0), MATCH(CI$4,연료전지_원본!$KB$4:$KX$4,0))*1000</f>
        <v>#N/A</v>
      </c>
      <c r="CJ72" s="250" t="e">
        <f>INDEX(연료전지_원본!$KB$4:$KX$369,MATCH($A72,연료전지_원본!$KB$4:$KB$369,0), MATCH(CJ$4,연료전지_원본!$KB$4:$KX$4,0))*1000</f>
        <v>#N/A</v>
      </c>
      <c r="CK72" s="250" t="e">
        <f>INDEX(연료전지_원본!$KB$4:$KX$369,MATCH($A72,연료전지_원본!$KB$4:$KB$369,0), MATCH(CK$4,연료전지_원본!$KB$4:$KX$4,0))*1000</f>
        <v>#N/A</v>
      </c>
      <c r="CL72" s="250" t="e">
        <f>INDEX(연료전지_원본!$KB$4:$KX$369,MATCH($A72,연료전지_원본!$KB$4:$KB$369,0), MATCH(CL$4,연료전지_원본!$KB$4:$KX$4,0))*1000</f>
        <v>#N/A</v>
      </c>
      <c r="CM72" s="250" t="e">
        <f>INDEX(연료전지_원본!$KB$4:$KX$369,MATCH($A72,연료전지_원본!$KB$4:$KB$369,0), MATCH(CM$4,연료전지_원본!$KB$4:$KX$4,0))*1000</f>
        <v>#N/A</v>
      </c>
      <c r="CN72" s="250" t="e">
        <f>INDEX(연료전지_원본!$KB$4:$KX$369,MATCH($A72,연료전지_원본!$KB$4:$KB$369,0), MATCH(CN$4,연료전지_원본!$KB$4:$KX$4,0))*1000</f>
        <v>#N/A</v>
      </c>
      <c r="CO72" s="250" t="e">
        <f>INDEX(연료전지_원본!$KB$4:$KX$369,MATCH($A72,연료전지_원본!$KB$4:$KB$369,0), MATCH(CO$4,연료전지_원본!$KB$4:$KX$4,0))*1000</f>
        <v>#N/A</v>
      </c>
      <c r="CP72" s="250" t="e">
        <f>INDEX(연료전지_원본!$KB$4:$KX$369,MATCH($A72,연료전지_원본!$KB$4:$KB$369,0), MATCH(CP$4,연료전지_원본!$KB$4:$KX$4,0))*1000</f>
        <v>#N/A</v>
      </c>
      <c r="CQ72" s="250" t="e">
        <f>INDEX(연료전지_원본!$KB$4:$KX$369,MATCH($A72,연료전지_원본!$KB$4:$KB$369,0), MATCH(CQ$4,연료전지_원본!$KB$4:$KX$4,0))*1000</f>
        <v>#N/A</v>
      </c>
      <c r="CR72" s="250" t="e">
        <f>INDEX(연료전지_원본!$KB$4:$KX$369,MATCH($A72,연료전지_원본!$KB$4:$KB$369,0), MATCH(CR$4,연료전지_원본!$KB$4:$KX$4,0))*1000</f>
        <v>#N/A</v>
      </c>
      <c r="CS72" s="250" t="e">
        <f>INDEX(연료전지_원본!$KB$4:$KX$369,MATCH($A72,연료전지_원본!$KB$4:$KB$369,0), MATCH(CS$4,연료전지_원본!$KB$4:$KX$4,0))*1000</f>
        <v>#N/A</v>
      </c>
      <c r="CT72" s="250" t="e">
        <f>INDEX(연료전지_원본!$KB$4:$KX$369,MATCH($A72,연료전지_원본!$KB$4:$KB$369,0), MATCH(CT$4,연료전지_원본!$KB$4:$KX$4,0))*1000</f>
        <v>#N/A</v>
      </c>
      <c r="CU72" s="250" t="e">
        <f>INDEX(연료전지_원본!$KB$4:$KX$369,MATCH($A72,연료전지_원본!$KB$4:$KB$369,0), MATCH(CU$4,연료전지_원본!$KB$4:$KX$4,0))*1000</f>
        <v>#N/A</v>
      </c>
      <c r="CV72" s="250" t="e">
        <f>INDEX(연료전지_원본!$KB$4:$KX$369,MATCH($A72,연료전지_원본!$KB$4:$KB$369,0), MATCH(CV$4,연료전지_원본!$KB$4:$KX$4,0))*1000</f>
        <v>#N/A</v>
      </c>
      <c r="CW72" s="250" t="e">
        <f>INDEX(연료전지_원본!$KB$4:$KX$369,MATCH($A72,연료전지_원본!$KB$4:$KB$369,0), MATCH(CW$4,연료전지_원본!$KB$4:$KX$4,0))*1000</f>
        <v>#N/A</v>
      </c>
      <c r="CX72" s="250" t="e">
        <f>INDEX(연료전지_원본!$KB$4:$KX$369,MATCH($A72,연료전지_원본!$KB$4:$KB$369,0), MATCH(CX$4,연료전지_원본!$KB$4:$KX$4,0))*1000</f>
        <v>#N/A</v>
      </c>
      <c r="CY72" s="250" t="e">
        <f>INDEX(연료전지_원본!$KB$4:$KX$369,MATCH($A72,연료전지_원본!$KB$4:$KB$369,0), MATCH(CY$4,연료전지_원본!$KB$4:$KX$4,0))*1000</f>
        <v>#N/A</v>
      </c>
      <c r="DV72" s="30">
        <f t="shared" si="297"/>
        <v>0</v>
      </c>
    </row>
    <row r="73" spans="1:126">
      <c r="A73" s="6">
        <v>46090</v>
      </c>
      <c r="B73" s="15">
        <f>운전실적_원본!B73</f>
        <v>651.20000000000005</v>
      </c>
      <c r="C73" s="16">
        <f t="shared" si="298"/>
        <v>0</v>
      </c>
      <c r="D73" s="12">
        <f>운전실적_원본!C73</f>
        <v>250095</v>
      </c>
      <c r="E73" s="12">
        <f t="shared" si="299"/>
        <v>53</v>
      </c>
      <c r="F73" s="12">
        <f>운전실적_원본!D73</f>
        <v>241507</v>
      </c>
      <c r="G73" s="16">
        <f t="shared" si="300"/>
        <v>47</v>
      </c>
      <c r="H73" s="15">
        <f>운전실적_원본!E73</f>
        <v>17300.87</v>
      </c>
      <c r="I73" s="16">
        <f t="shared" si="301"/>
        <v>5.1199999999989814</v>
      </c>
      <c r="J73" s="15">
        <f>운전실적_원본!F73</f>
        <v>15437.54</v>
      </c>
      <c r="K73" s="16">
        <f t="shared" si="301"/>
        <v>18.920000000000073</v>
      </c>
      <c r="L73" s="32">
        <f>운전실적_원본!G73</f>
        <v>35.9</v>
      </c>
      <c r="M73" s="31">
        <f t="shared" ref="M73" si="473">IF(OR(LEN(L73)=0,L73=0),"",L73-L72)</f>
        <v>0.89999999999999858</v>
      </c>
      <c r="N73" s="15">
        <f>운전실적_원본!H73</f>
        <v>40112</v>
      </c>
      <c r="O73" s="16">
        <f t="shared" ref="O73" si="474">IF(OR(LEN(N73)=0,N73=0),"",N73-N72)</f>
        <v>92</v>
      </c>
      <c r="P73" s="15">
        <f>운전실적_원본!I73</f>
        <v>24739</v>
      </c>
      <c r="Q73" s="16">
        <f t="shared" ref="Q73" si="475">IF(OR(LEN(P73)=0,P73=0),"",P73-P72)</f>
        <v>164</v>
      </c>
      <c r="R73" s="18">
        <f>운전실적_원본!J73</f>
        <v>33.409999999999997</v>
      </c>
      <c r="S73" s="19">
        <f t="shared" ref="S73" si="476">IF(OR(LEN(R73)=0,R73=0),"",R73-R72)</f>
        <v>2.9999999999994031E-2</v>
      </c>
      <c r="T73" s="18">
        <f>운전실적_원본!K73</f>
        <v>32.82</v>
      </c>
      <c r="U73" s="19">
        <f t="shared" si="306"/>
        <v>-0.10000000000000142</v>
      </c>
      <c r="V73" s="12">
        <f>운전실적_원본!L73</f>
        <v>8669</v>
      </c>
      <c r="W73" s="16">
        <f t="shared" ref="W73" si="477">IF(OR(LEN(V73)=0,V73=0),"",V73-V72)</f>
        <v>504</v>
      </c>
      <c r="X73" s="10">
        <f>운전실적_원본!M73</f>
        <v>129863.62</v>
      </c>
      <c r="Y73" s="10">
        <f>운전실적_원본!N73</f>
        <v>0</v>
      </c>
      <c r="Z73" s="10">
        <f>운전실적_원본!O73</f>
        <v>0</v>
      </c>
      <c r="AA73" s="10">
        <f>운전실적_원본!P73</f>
        <v>0</v>
      </c>
      <c r="AB73" s="10">
        <f>운전실적_원본!Q73</f>
        <v>0</v>
      </c>
      <c r="AC73" s="20">
        <f>운전실적_원본!R73</f>
        <v>0</v>
      </c>
      <c r="AD73" s="109">
        <f>운전실적_원본!S73</f>
        <v>20</v>
      </c>
      <c r="AE73" s="110">
        <f>운전실적_원본!T73</f>
        <v>0</v>
      </c>
      <c r="AF73" s="110">
        <f>운전실적_원본!U73</f>
        <v>0</v>
      </c>
      <c r="AG73" s="110">
        <f>운전실적_원본!V73</f>
        <v>0</v>
      </c>
      <c r="AH73" s="109">
        <f t="shared" si="460"/>
        <v>20.166666666744277</v>
      </c>
      <c r="AI73" s="110">
        <f t="shared" si="467"/>
        <v>0</v>
      </c>
      <c r="AJ73" s="110">
        <f>운전실적_원본!Y73</f>
        <v>0</v>
      </c>
      <c r="AK73" s="110">
        <f>운전실적_원본!Z73</f>
        <v>0</v>
      </c>
      <c r="AL73" s="106">
        <v>46090.159722222219</v>
      </c>
      <c r="AM73" s="105">
        <v>46091</v>
      </c>
      <c r="AN73" s="105"/>
      <c r="AO73" s="105"/>
      <c r="AP73" s="105"/>
      <c r="AQ73" s="108"/>
      <c r="AR73" s="105"/>
      <c r="AS73" s="105"/>
      <c r="AT73" s="102"/>
      <c r="AU73" s="102"/>
      <c r="AV73" s="102"/>
      <c r="AW73" s="102"/>
      <c r="AX73" s="32">
        <f>운전실적_원본!W73</f>
        <v>840</v>
      </c>
      <c r="AY73" s="11">
        <f>운전실적_원본!X73</f>
        <v>0</v>
      </c>
      <c r="AZ73" s="11">
        <f>운전실적_원본!Y73</f>
        <v>0</v>
      </c>
      <c r="BA73" s="11">
        <f>운전실적_원본!Z73</f>
        <v>0</v>
      </c>
      <c r="BB73" s="11">
        <f>운전실적_원본!AA73</f>
        <v>0</v>
      </c>
      <c r="BC73" s="11">
        <f>운전실적_원본!AB73</f>
        <v>840</v>
      </c>
      <c r="BD73" s="32">
        <f t="shared" si="453"/>
        <v>42</v>
      </c>
      <c r="BE73" s="11">
        <f t="shared" si="461"/>
        <v>0.81727962638645646</v>
      </c>
      <c r="BF73" s="11">
        <f>운전실적_원본!AE73</f>
        <v>0</v>
      </c>
      <c r="BG73" s="31">
        <f t="shared" si="454"/>
        <v>0</v>
      </c>
      <c r="BH73" s="241">
        <f>INDEX(연료전지_원본!$A$4:$KY$369,MATCH($A73,연료전지_원본!$A$4:$A$369,0),MATCH($BH$4,연료전지_원본!$A$4:$KY$4,0))</f>
        <v>0</v>
      </c>
      <c r="BI73" s="241">
        <f>INDEX(연료전지_원본!$A$4:$KY$369,MATCH($A73,연료전지_원본!$A$4:$A$369,0),MATCH($BI$4,연료전지_원본!$A$4:$KY$4,0))</f>
        <v>0</v>
      </c>
      <c r="BJ73" s="241">
        <f>INDEX(연료전지_원본!$A$4:$KY$369,MATCH($A73,연료전지_원본!$A$4:$A$369,0),MATCH($BJ$4,연료전지_원본!$A$4:$KY$4,0))</f>
        <v>0</v>
      </c>
      <c r="BK73" s="241">
        <f>INDEX(연료전지_원본!$A$4:$KY$369,MATCH($A73,연료전지_원본!$A$4:$A$369,0),MATCH($BK$4,연료전지_원본!$A$4:$KY$4,0))</f>
        <v>0</v>
      </c>
      <c r="BL73" s="241">
        <f>INDEX(연료전지_원본!$A$4:$KY$369,MATCH($A73,연료전지_원본!$A$4:$A$369,0),MATCH($BL$4,연료전지_원본!$A$4:$KY$4,0))</f>
        <v>0</v>
      </c>
      <c r="BM73" s="241">
        <f>INDEX(연료전지_원본!$A$4:$KY$369,MATCH($A73,연료전지_원본!$A$4:$A$369,0),MATCH($BM$4,연료전지_원본!$A$4:$KY$4,0))</f>
        <v>0</v>
      </c>
      <c r="BN73" s="241">
        <f>INDEX(연료전지_원본!$A$4:$KY$369,MATCH($A73,연료전지_원본!$A$4:$A$369,0),MATCH($BN$4,연료전지_원본!$A$4:$KY$4,0))</f>
        <v>0</v>
      </c>
      <c r="BO73" s="241">
        <f>INDEX(연료전지_원본!$A$4:$KY$369,MATCH($A73,연료전지_원본!$A$4:$A$369,0),MATCH($BO$4,연료전지_원본!$A$4:$KY$4,0))</f>
        <v>0</v>
      </c>
      <c r="BP73" s="241">
        <f>INDEX(연료전지_원본!$A$4:$KY$369,MATCH($A73,연료전지_원본!$A$4:$A$369,0),MATCH($BP$4,연료전지_원본!$A$4:$KY$4,0))</f>
        <v>0</v>
      </c>
      <c r="BQ73" s="241">
        <f>INDEX(연료전지_원본!$A$4:$KY$369,MATCH($A73,연료전지_원본!$A$4:$A$369,0),MATCH($BQ$4,연료전지_원본!$A$4:$KY$4,0))</f>
        <v>0</v>
      </c>
      <c r="BR73" s="241">
        <f>INDEX(연료전지_원본!$A$4:$KY$369,MATCH($A73,연료전지_원본!$A$4:$A$369,0),MATCH($BR$4,연료전지_원본!$A$4:$KY$4,0))</f>
        <v>0</v>
      </c>
      <c r="BS73" s="241">
        <f>INDEX(연료전지_원본!$A$4:$KY$369,MATCH($A73,연료전지_원본!$A$4:$A$369,0),MATCH($BS$4,연료전지_원본!$A$4:$KY$4,0))</f>
        <v>0</v>
      </c>
      <c r="BT73" s="241">
        <f>INDEX(연료전지_원본!$A$4:$KY$369,MATCH($A73,연료전지_원본!$A$4:$A$369,0),MATCH($BT$4,연료전지_원본!$A$4:$KY$4,0))</f>
        <v>0</v>
      </c>
      <c r="BU73" s="241">
        <f>INDEX(연료전지_원본!$A$4:$KY$369,MATCH($A73,연료전지_원본!$A$4:$A$369,0),MATCH($BU$4,연료전지_원본!$A$4:$KY$4,0))</f>
        <v>0</v>
      </c>
      <c r="BV73" s="241">
        <f>INDEX(연료전지_원본!$A$4:$KY$369,MATCH($A73,연료전지_원본!$A$4:$A$369,0),MATCH($BV$4,연료전지_원본!$A$4:$KY$4,0))</f>
        <v>0</v>
      </c>
      <c r="BW73" s="241">
        <f>INDEX(연료전지_원본!$A$4:$KY$369,MATCH($A73,연료전지_원본!$A$4:$A$369,0),MATCH($BW$4,연료전지_원본!$A$4:$KY$4,0))</f>
        <v>0</v>
      </c>
      <c r="BX73" s="241">
        <f>INDEX(연료전지_원본!$A$4:$KY$369,MATCH($A73,연료전지_원본!$A$4:$A$369,0),MATCH($BX$4,연료전지_원본!$A$4:$KY$4,0))</f>
        <v>0</v>
      </c>
      <c r="BY73" s="241">
        <f>INDEX(연료전지_원본!$A$4:$KY$369,MATCH($A73,연료전지_원본!$A$4:$A$369,0),MATCH($BY$4,연료전지_원본!$A$4:$KY$4,0))</f>
        <v>0</v>
      </c>
      <c r="BZ73" s="241">
        <f>INDEX(연료전지_원본!$A$4:$KY$369,MATCH($A73,연료전지_원본!$A$4:$A$369,0),MATCH($BZ$4,연료전지_원본!$A$4:$KY$4,0))</f>
        <v>0</v>
      </c>
      <c r="CA73" s="241">
        <f>INDEX(연료전지_원본!$A$4:$KY$369,MATCH($A73,연료전지_원본!$A$4:$A$369,0),MATCH($CA$4,연료전지_원본!$A$4:$KY$4,0))</f>
        <v>0</v>
      </c>
      <c r="CB73" s="241">
        <f>INDEX(연료전지_원본!$A$4:$KY$369,MATCH($A73,연료전지_원본!$A$4:$A$369,0),MATCH($CB$4,연료전지_원본!$A$4:$KY$4,0))</f>
        <v>0</v>
      </c>
      <c r="CC73" s="242">
        <f>INDEX(연료전지_원본!$A$4:$KY$369,MATCH($A73,연료전지_원본!$A$4:$A$369,0),MATCH($CC$4,연료전지_원본!$A$4:$KY$4,0))</f>
        <v>0</v>
      </c>
      <c r="CD73" s="250" t="e">
        <f>INDEX(연료전지_원본!$KB$4:$KX$369,MATCH($A73,연료전지_원본!$KB$4:$KB$369,0), MATCH(CD$4,연료전지_원본!$KB$4:$KX$4,0))*1000</f>
        <v>#N/A</v>
      </c>
      <c r="CE73" s="250" t="e">
        <f>INDEX(연료전지_원본!$KB$4:$KX$369,MATCH($A73,연료전지_원본!$KB$4:$KB$369,0), MATCH(CE$4,연료전지_원본!$KB$4:$KX$4,0))*1000</f>
        <v>#N/A</v>
      </c>
      <c r="CF73" s="250" t="e">
        <f>INDEX(연료전지_원본!$KB$4:$KX$369,MATCH($A73,연료전지_원본!$KB$4:$KB$369,0), MATCH(CF$4,연료전지_원본!$KB$4:$KX$4,0))*1000</f>
        <v>#N/A</v>
      </c>
      <c r="CG73" s="250" t="e">
        <f>INDEX(연료전지_원본!$KB$4:$KX$369,MATCH($A73,연료전지_원본!$KB$4:$KB$369,0), MATCH(CG$4,연료전지_원본!$KB$4:$KX$4,0))*1000</f>
        <v>#N/A</v>
      </c>
      <c r="CH73" s="250" t="e">
        <f>INDEX(연료전지_원본!$KB$4:$KX$369,MATCH($A73,연료전지_원본!$KB$4:$KB$369,0), MATCH(CH$4,연료전지_원본!$KB$4:$KX$4,0))*1000</f>
        <v>#N/A</v>
      </c>
      <c r="CI73" s="250" t="e">
        <f>INDEX(연료전지_원본!$KB$4:$KX$369,MATCH($A73,연료전지_원본!$KB$4:$KB$369,0), MATCH(CI$4,연료전지_원본!$KB$4:$KX$4,0))*1000</f>
        <v>#N/A</v>
      </c>
      <c r="CJ73" s="250" t="e">
        <f>INDEX(연료전지_원본!$KB$4:$KX$369,MATCH($A73,연료전지_원본!$KB$4:$KB$369,0), MATCH(CJ$4,연료전지_원본!$KB$4:$KX$4,0))*1000</f>
        <v>#N/A</v>
      </c>
      <c r="CK73" s="250" t="e">
        <f>INDEX(연료전지_원본!$KB$4:$KX$369,MATCH($A73,연료전지_원본!$KB$4:$KB$369,0), MATCH(CK$4,연료전지_원본!$KB$4:$KX$4,0))*1000</f>
        <v>#N/A</v>
      </c>
      <c r="CL73" s="250" t="e">
        <f>INDEX(연료전지_원본!$KB$4:$KX$369,MATCH($A73,연료전지_원본!$KB$4:$KB$369,0), MATCH(CL$4,연료전지_원본!$KB$4:$KX$4,0))*1000</f>
        <v>#N/A</v>
      </c>
      <c r="CM73" s="250" t="e">
        <f>INDEX(연료전지_원본!$KB$4:$KX$369,MATCH($A73,연료전지_원본!$KB$4:$KB$369,0), MATCH(CM$4,연료전지_원본!$KB$4:$KX$4,0))*1000</f>
        <v>#N/A</v>
      </c>
      <c r="CN73" s="250" t="e">
        <f>INDEX(연료전지_원본!$KB$4:$KX$369,MATCH($A73,연료전지_원본!$KB$4:$KB$369,0), MATCH(CN$4,연료전지_원본!$KB$4:$KX$4,0))*1000</f>
        <v>#N/A</v>
      </c>
      <c r="CO73" s="250" t="e">
        <f>INDEX(연료전지_원본!$KB$4:$KX$369,MATCH($A73,연료전지_원본!$KB$4:$KB$369,0), MATCH(CO$4,연료전지_원본!$KB$4:$KX$4,0))*1000</f>
        <v>#N/A</v>
      </c>
      <c r="CP73" s="250" t="e">
        <f>INDEX(연료전지_원본!$KB$4:$KX$369,MATCH($A73,연료전지_원본!$KB$4:$KB$369,0), MATCH(CP$4,연료전지_원본!$KB$4:$KX$4,0))*1000</f>
        <v>#N/A</v>
      </c>
      <c r="CQ73" s="250" t="e">
        <f>INDEX(연료전지_원본!$KB$4:$KX$369,MATCH($A73,연료전지_원본!$KB$4:$KB$369,0), MATCH(CQ$4,연료전지_원본!$KB$4:$KX$4,0))*1000</f>
        <v>#N/A</v>
      </c>
      <c r="CR73" s="250" t="e">
        <f>INDEX(연료전지_원본!$KB$4:$KX$369,MATCH($A73,연료전지_원본!$KB$4:$KB$369,0), MATCH(CR$4,연료전지_원본!$KB$4:$KX$4,0))*1000</f>
        <v>#N/A</v>
      </c>
      <c r="CS73" s="250" t="e">
        <f>INDEX(연료전지_원본!$KB$4:$KX$369,MATCH($A73,연료전지_원본!$KB$4:$KB$369,0), MATCH(CS$4,연료전지_원본!$KB$4:$KX$4,0))*1000</f>
        <v>#N/A</v>
      </c>
      <c r="CT73" s="250" t="e">
        <f>INDEX(연료전지_원본!$KB$4:$KX$369,MATCH($A73,연료전지_원본!$KB$4:$KB$369,0), MATCH(CT$4,연료전지_원본!$KB$4:$KX$4,0))*1000</f>
        <v>#N/A</v>
      </c>
      <c r="CU73" s="250" t="e">
        <f>INDEX(연료전지_원본!$KB$4:$KX$369,MATCH($A73,연료전지_원본!$KB$4:$KB$369,0), MATCH(CU$4,연료전지_원본!$KB$4:$KX$4,0))*1000</f>
        <v>#N/A</v>
      </c>
      <c r="CV73" s="250" t="e">
        <f>INDEX(연료전지_원본!$KB$4:$KX$369,MATCH($A73,연료전지_원본!$KB$4:$KB$369,0), MATCH(CV$4,연료전지_원본!$KB$4:$KX$4,0))*1000</f>
        <v>#N/A</v>
      </c>
      <c r="CW73" s="250" t="e">
        <f>INDEX(연료전지_원본!$KB$4:$KX$369,MATCH($A73,연료전지_원본!$KB$4:$KB$369,0), MATCH(CW$4,연료전지_원본!$KB$4:$KX$4,0))*1000</f>
        <v>#N/A</v>
      </c>
      <c r="CX73" s="250" t="e">
        <f>INDEX(연료전지_원본!$KB$4:$KX$369,MATCH($A73,연료전지_원본!$KB$4:$KB$369,0), MATCH(CX$4,연료전지_원본!$KB$4:$KX$4,0))*1000</f>
        <v>#N/A</v>
      </c>
      <c r="CY73" s="250" t="e">
        <f>INDEX(연료전지_원본!$KB$4:$KX$369,MATCH($A73,연료전지_원본!$KB$4:$KB$369,0), MATCH(CY$4,연료전지_원본!$KB$4:$KX$4,0))*1000</f>
        <v>#N/A</v>
      </c>
      <c r="DV73" s="30">
        <f t="shared" si="297"/>
        <v>0</v>
      </c>
    </row>
    <row r="74" spans="1:126">
      <c r="A74" s="6">
        <v>46091</v>
      </c>
      <c r="B74" s="15">
        <f>운전실적_원본!B74</f>
        <v>651.20000000000005</v>
      </c>
      <c r="C74" s="16">
        <f t="shared" si="298"/>
        <v>0</v>
      </c>
      <c r="D74" s="12">
        <f>운전실적_원본!C74</f>
        <v>250117</v>
      </c>
      <c r="E74" s="12">
        <f t="shared" si="299"/>
        <v>22</v>
      </c>
      <c r="F74" s="12">
        <f>운전실적_원본!D74</f>
        <v>241530</v>
      </c>
      <c r="G74" s="16">
        <f t="shared" si="300"/>
        <v>23</v>
      </c>
      <c r="H74" s="15">
        <f>운전실적_원본!E74</f>
        <v>17305.150000000001</v>
      </c>
      <c r="I74" s="16">
        <f t="shared" si="301"/>
        <v>4.2800000000024738</v>
      </c>
      <c r="J74" s="15">
        <f>운전실적_원본!F74</f>
        <v>15460.88</v>
      </c>
      <c r="K74" s="16">
        <f t="shared" si="301"/>
        <v>23.339999999998327</v>
      </c>
      <c r="L74" s="32">
        <f>운전실적_원본!G74</f>
        <v>36.799999999999997</v>
      </c>
      <c r="M74" s="31">
        <f t="shared" ref="M74" si="478">IF(OR(LEN(L74)=0,L74=0),"",L74-L73)</f>
        <v>0.89999999999999858</v>
      </c>
      <c r="N74" s="15">
        <f>운전실적_원본!H74</f>
        <v>40239</v>
      </c>
      <c r="O74" s="16">
        <f t="shared" ref="O74" si="479">IF(OR(LEN(N74)=0,N74=0),"",N74-N73)</f>
        <v>127</v>
      </c>
      <c r="P74" s="15">
        <f>운전실적_원본!I74</f>
        <v>24887</v>
      </c>
      <c r="Q74" s="16">
        <f t="shared" ref="Q74" si="480">IF(OR(LEN(P74)=0,P74=0),"",P74-P73)</f>
        <v>148</v>
      </c>
      <c r="R74" s="18">
        <f>운전실적_원본!J74</f>
        <v>33.479999999999997</v>
      </c>
      <c r="S74" s="19">
        <f t="shared" ref="S74" si="481">IF(OR(LEN(R74)=0,R74=0),"",R74-R73)</f>
        <v>7.0000000000000284E-2</v>
      </c>
      <c r="T74" s="18">
        <f>운전실적_원본!K74</f>
        <v>32.770000000000003</v>
      </c>
      <c r="U74" s="19">
        <f t="shared" si="306"/>
        <v>-4.9999999999997158E-2</v>
      </c>
      <c r="V74" s="12">
        <f>운전실적_원본!L74</f>
        <v>8280</v>
      </c>
      <c r="W74" s="16">
        <f t="shared" ref="W74" si="482">IF(OR(LEN(V74)=0,V74=0),"",V74-V73)</f>
        <v>-389</v>
      </c>
      <c r="X74" s="10">
        <f>운전실적_원본!M74</f>
        <v>194440.47999999672</v>
      </c>
      <c r="Y74" s="10">
        <f>운전실적_원본!N74</f>
        <v>0</v>
      </c>
      <c r="Z74" s="10">
        <f>운전실적_원본!O74</f>
        <v>0</v>
      </c>
      <c r="AA74" s="10">
        <f>운전실적_원본!P74</f>
        <v>0</v>
      </c>
      <c r="AB74" s="10">
        <f>운전실적_원본!Q74</f>
        <v>0</v>
      </c>
      <c r="AC74" s="20">
        <f>운전실적_원본!R74</f>
        <v>0</v>
      </c>
      <c r="AD74" s="109">
        <f>운전실적_원본!S74</f>
        <v>24</v>
      </c>
      <c r="AE74" s="110">
        <f>운전실적_원본!T74</f>
        <v>0</v>
      </c>
      <c r="AF74" s="110">
        <f>운전실적_원본!U74</f>
        <v>0</v>
      </c>
      <c r="AG74" s="110">
        <f>운전실적_원본!V74</f>
        <v>0</v>
      </c>
      <c r="AH74" s="109">
        <f t="shared" si="460"/>
        <v>24</v>
      </c>
      <c r="AI74" s="110">
        <f t="shared" si="467"/>
        <v>0</v>
      </c>
      <c r="AJ74" s="110">
        <f>운전실적_원본!Y74</f>
        <v>0</v>
      </c>
      <c r="AK74" s="110">
        <f>운전실적_원본!Z74</f>
        <v>0</v>
      </c>
      <c r="AL74" s="106">
        <v>46091</v>
      </c>
      <c r="AM74" s="105">
        <v>46092</v>
      </c>
      <c r="AN74" s="105"/>
      <c r="AO74" s="105"/>
      <c r="AP74" s="105"/>
      <c r="AQ74" s="108"/>
      <c r="AR74" s="105"/>
      <c r="AS74" s="105"/>
      <c r="AT74" s="102"/>
      <c r="AU74" s="102"/>
      <c r="AV74" s="102"/>
      <c r="AW74" s="102"/>
      <c r="AX74" s="32">
        <f>운전실적_원본!W74</f>
        <v>1227</v>
      </c>
      <c r="AY74" s="11">
        <f>운전실적_원본!X74</f>
        <v>0</v>
      </c>
      <c r="AZ74" s="11">
        <f>운전실적_원본!Y74</f>
        <v>0</v>
      </c>
      <c r="BA74" s="11">
        <f>운전실적_원본!Z74</f>
        <v>0</v>
      </c>
      <c r="BB74" s="11">
        <f>운전실적_원본!AA74</f>
        <v>0</v>
      </c>
      <c r="BC74" s="11">
        <f>운전실적_원본!AB74</f>
        <v>1227</v>
      </c>
      <c r="BD74" s="32">
        <f t="shared" si="453"/>
        <v>51.125</v>
      </c>
      <c r="BE74" s="11">
        <f t="shared" si="461"/>
        <v>0.9948433547382759</v>
      </c>
      <c r="BF74" s="11">
        <f>운전실적_원본!AE74</f>
        <v>0</v>
      </c>
      <c r="BG74" s="31">
        <f t="shared" si="454"/>
        <v>0</v>
      </c>
      <c r="BH74" s="241">
        <f>INDEX(연료전지_원본!$A$4:$KY$369,MATCH($A74,연료전지_원본!$A$4:$A$369,0),MATCH($BH$4,연료전지_원본!$A$4:$KY$4,0))</f>
        <v>0</v>
      </c>
      <c r="BI74" s="241">
        <f>INDEX(연료전지_원본!$A$4:$KY$369,MATCH($A74,연료전지_원본!$A$4:$A$369,0),MATCH($BI$4,연료전지_원본!$A$4:$KY$4,0))</f>
        <v>0</v>
      </c>
      <c r="BJ74" s="241">
        <f>INDEX(연료전지_원본!$A$4:$KY$369,MATCH($A74,연료전지_원본!$A$4:$A$369,0),MATCH($BJ$4,연료전지_원본!$A$4:$KY$4,0))</f>
        <v>0</v>
      </c>
      <c r="BK74" s="241">
        <f>INDEX(연료전지_원본!$A$4:$KY$369,MATCH($A74,연료전지_원본!$A$4:$A$369,0),MATCH($BK$4,연료전지_원본!$A$4:$KY$4,0))</f>
        <v>0</v>
      </c>
      <c r="BL74" s="241">
        <f>INDEX(연료전지_원본!$A$4:$KY$369,MATCH($A74,연료전지_원본!$A$4:$A$369,0),MATCH($BL$4,연료전지_원본!$A$4:$KY$4,0))</f>
        <v>0</v>
      </c>
      <c r="BM74" s="241">
        <f>INDEX(연료전지_원본!$A$4:$KY$369,MATCH($A74,연료전지_원본!$A$4:$A$369,0),MATCH($BM$4,연료전지_원본!$A$4:$KY$4,0))</f>
        <v>0</v>
      </c>
      <c r="BN74" s="241">
        <f>INDEX(연료전지_원본!$A$4:$KY$369,MATCH($A74,연료전지_원본!$A$4:$A$369,0),MATCH($BN$4,연료전지_원본!$A$4:$KY$4,0))</f>
        <v>0</v>
      </c>
      <c r="BO74" s="241">
        <f>INDEX(연료전지_원본!$A$4:$KY$369,MATCH($A74,연료전지_원본!$A$4:$A$369,0),MATCH($BO$4,연료전지_원본!$A$4:$KY$4,0))</f>
        <v>0</v>
      </c>
      <c r="BP74" s="241">
        <f>INDEX(연료전지_원본!$A$4:$KY$369,MATCH($A74,연료전지_원본!$A$4:$A$369,0),MATCH($BP$4,연료전지_원본!$A$4:$KY$4,0))</f>
        <v>0</v>
      </c>
      <c r="BQ74" s="241">
        <f>INDEX(연료전지_원본!$A$4:$KY$369,MATCH($A74,연료전지_원본!$A$4:$A$369,0),MATCH($BQ$4,연료전지_원본!$A$4:$KY$4,0))</f>
        <v>0</v>
      </c>
      <c r="BR74" s="241">
        <f>INDEX(연료전지_원본!$A$4:$KY$369,MATCH($A74,연료전지_원본!$A$4:$A$369,0),MATCH($BR$4,연료전지_원본!$A$4:$KY$4,0))</f>
        <v>0</v>
      </c>
      <c r="BS74" s="241">
        <f>INDEX(연료전지_원본!$A$4:$KY$369,MATCH($A74,연료전지_원본!$A$4:$A$369,0),MATCH($BS$4,연료전지_원본!$A$4:$KY$4,0))</f>
        <v>0</v>
      </c>
      <c r="BT74" s="241">
        <f>INDEX(연료전지_원본!$A$4:$KY$369,MATCH($A74,연료전지_원본!$A$4:$A$369,0),MATCH($BT$4,연료전지_원본!$A$4:$KY$4,0))</f>
        <v>0</v>
      </c>
      <c r="BU74" s="241">
        <f>INDEX(연료전지_원본!$A$4:$KY$369,MATCH($A74,연료전지_원본!$A$4:$A$369,0),MATCH($BU$4,연료전지_원본!$A$4:$KY$4,0))</f>
        <v>0</v>
      </c>
      <c r="BV74" s="241">
        <f>INDEX(연료전지_원본!$A$4:$KY$369,MATCH($A74,연료전지_원본!$A$4:$A$369,0),MATCH($BV$4,연료전지_원본!$A$4:$KY$4,0))</f>
        <v>0</v>
      </c>
      <c r="BW74" s="241">
        <f>INDEX(연료전지_원본!$A$4:$KY$369,MATCH($A74,연료전지_원본!$A$4:$A$369,0),MATCH($BW$4,연료전지_원본!$A$4:$KY$4,0))</f>
        <v>0</v>
      </c>
      <c r="BX74" s="241">
        <f>INDEX(연료전지_원본!$A$4:$KY$369,MATCH($A74,연료전지_원본!$A$4:$A$369,0),MATCH($BX$4,연료전지_원본!$A$4:$KY$4,0))</f>
        <v>0</v>
      </c>
      <c r="BY74" s="241">
        <f>INDEX(연료전지_원본!$A$4:$KY$369,MATCH($A74,연료전지_원본!$A$4:$A$369,0),MATCH($BY$4,연료전지_원본!$A$4:$KY$4,0))</f>
        <v>0</v>
      </c>
      <c r="BZ74" s="241">
        <f>INDEX(연료전지_원본!$A$4:$KY$369,MATCH($A74,연료전지_원본!$A$4:$A$369,0),MATCH($BZ$4,연료전지_원본!$A$4:$KY$4,0))</f>
        <v>0</v>
      </c>
      <c r="CA74" s="241">
        <f>INDEX(연료전지_원본!$A$4:$KY$369,MATCH($A74,연료전지_원본!$A$4:$A$369,0),MATCH($CA$4,연료전지_원본!$A$4:$KY$4,0))</f>
        <v>0</v>
      </c>
      <c r="CB74" s="241">
        <f>INDEX(연료전지_원본!$A$4:$KY$369,MATCH($A74,연료전지_원본!$A$4:$A$369,0),MATCH($CB$4,연료전지_원본!$A$4:$KY$4,0))</f>
        <v>0</v>
      </c>
      <c r="CC74" s="242">
        <f>INDEX(연료전지_원본!$A$4:$KY$369,MATCH($A74,연료전지_원본!$A$4:$A$369,0),MATCH($CC$4,연료전지_원본!$A$4:$KY$4,0))</f>
        <v>0</v>
      </c>
      <c r="CD74" s="250" t="e">
        <f>INDEX(연료전지_원본!$KB$4:$KX$369,MATCH($A74,연료전지_원본!$KB$4:$KB$369,0), MATCH(CD$4,연료전지_원본!$KB$4:$KX$4,0))*1000</f>
        <v>#N/A</v>
      </c>
      <c r="CE74" s="250" t="e">
        <f>INDEX(연료전지_원본!$KB$4:$KX$369,MATCH($A74,연료전지_원본!$KB$4:$KB$369,0), MATCH(CE$4,연료전지_원본!$KB$4:$KX$4,0))*1000</f>
        <v>#N/A</v>
      </c>
      <c r="CF74" s="250" t="e">
        <f>INDEX(연료전지_원본!$KB$4:$KX$369,MATCH($A74,연료전지_원본!$KB$4:$KB$369,0), MATCH(CF$4,연료전지_원본!$KB$4:$KX$4,0))*1000</f>
        <v>#N/A</v>
      </c>
      <c r="CG74" s="250" t="e">
        <f>INDEX(연료전지_원본!$KB$4:$KX$369,MATCH($A74,연료전지_원본!$KB$4:$KB$369,0), MATCH(CG$4,연료전지_원본!$KB$4:$KX$4,0))*1000</f>
        <v>#N/A</v>
      </c>
      <c r="CH74" s="250" t="e">
        <f>INDEX(연료전지_원본!$KB$4:$KX$369,MATCH($A74,연료전지_원본!$KB$4:$KB$369,0), MATCH(CH$4,연료전지_원본!$KB$4:$KX$4,0))*1000</f>
        <v>#N/A</v>
      </c>
      <c r="CI74" s="250" t="e">
        <f>INDEX(연료전지_원본!$KB$4:$KX$369,MATCH($A74,연료전지_원본!$KB$4:$KB$369,0), MATCH(CI$4,연료전지_원본!$KB$4:$KX$4,0))*1000</f>
        <v>#N/A</v>
      </c>
      <c r="CJ74" s="250" t="e">
        <f>INDEX(연료전지_원본!$KB$4:$KX$369,MATCH($A74,연료전지_원본!$KB$4:$KB$369,0), MATCH(CJ$4,연료전지_원본!$KB$4:$KX$4,0))*1000</f>
        <v>#N/A</v>
      </c>
      <c r="CK74" s="250" t="e">
        <f>INDEX(연료전지_원본!$KB$4:$KX$369,MATCH($A74,연료전지_원본!$KB$4:$KB$369,0), MATCH(CK$4,연료전지_원본!$KB$4:$KX$4,0))*1000</f>
        <v>#N/A</v>
      </c>
      <c r="CL74" s="250" t="e">
        <f>INDEX(연료전지_원본!$KB$4:$KX$369,MATCH($A74,연료전지_원본!$KB$4:$KB$369,0), MATCH(CL$4,연료전지_원본!$KB$4:$KX$4,0))*1000</f>
        <v>#N/A</v>
      </c>
      <c r="CM74" s="250" t="e">
        <f>INDEX(연료전지_원본!$KB$4:$KX$369,MATCH($A74,연료전지_원본!$KB$4:$KB$369,0), MATCH(CM$4,연료전지_원본!$KB$4:$KX$4,0))*1000</f>
        <v>#N/A</v>
      </c>
      <c r="CN74" s="250" t="e">
        <f>INDEX(연료전지_원본!$KB$4:$KX$369,MATCH($A74,연료전지_원본!$KB$4:$KB$369,0), MATCH(CN$4,연료전지_원본!$KB$4:$KX$4,0))*1000</f>
        <v>#N/A</v>
      </c>
      <c r="CO74" s="250" t="e">
        <f>INDEX(연료전지_원본!$KB$4:$KX$369,MATCH($A74,연료전지_원본!$KB$4:$KB$369,0), MATCH(CO$4,연료전지_원본!$KB$4:$KX$4,0))*1000</f>
        <v>#N/A</v>
      </c>
      <c r="CP74" s="250" t="e">
        <f>INDEX(연료전지_원본!$KB$4:$KX$369,MATCH($A74,연료전지_원본!$KB$4:$KB$369,0), MATCH(CP$4,연료전지_원본!$KB$4:$KX$4,0))*1000</f>
        <v>#N/A</v>
      </c>
      <c r="CQ74" s="250" t="e">
        <f>INDEX(연료전지_원본!$KB$4:$KX$369,MATCH($A74,연료전지_원본!$KB$4:$KB$369,0), MATCH(CQ$4,연료전지_원본!$KB$4:$KX$4,0))*1000</f>
        <v>#N/A</v>
      </c>
      <c r="CR74" s="250" t="e">
        <f>INDEX(연료전지_원본!$KB$4:$KX$369,MATCH($A74,연료전지_원본!$KB$4:$KB$369,0), MATCH(CR$4,연료전지_원본!$KB$4:$KX$4,0))*1000</f>
        <v>#N/A</v>
      </c>
      <c r="CS74" s="250" t="e">
        <f>INDEX(연료전지_원본!$KB$4:$KX$369,MATCH($A74,연료전지_원본!$KB$4:$KB$369,0), MATCH(CS$4,연료전지_원본!$KB$4:$KX$4,0))*1000</f>
        <v>#N/A</v>
      </c>
      <c r="CT74" s="250" t="e">
        <f>INDEX(연료전지_원본!$KB$4:$KX$369,MATCH($A74,연료전지_원본!$KB$4:$KB$369,0), MATCH(CT$4,연료전지_원본!$KB$4:$KX$4,0))*1000</f>
        <v>#N/A</v>
      </c>
      <c r="CU74" s="250" t="e">
        <f>INDEX(연료전지_원본!$KB$4:$KX$369,MATCH($A74,연료전지_원본!$KB$4:$KB$369,0), MATCH(CU$4,연료전지_원본!$KB$4:$KX$4,0))*1000</f>
        <v>#N/A</v>
      </c>
      <c r="CV74" s="250" t="e">
        <f>INDEX(연료전지_원본!$KB$4:$KX$369,MATCH($A74,연료전지_원본!$KB$4:$KB$369,0), MATCH(CV$4,연료전지_원본!$KB$4:$KX$4,0))*1000</f>
        <v>#N/A</v>
      </c>
      <c r="CW74" s="250" t="e">
        <f>INDEX(연료전지_원본!$KB$4:$KX$369,MATCH($A74,연료전지_원본!$KB$4:$KB$369,0), MATCH(CW$4,연료전지_원본!$KB$4:$KX$4,0))*1000</f>
        <v>#N/A</v>
      </c>
      <c r="CX74" s="250" t="e">
        <f>INDEX(연료전지_원본!$KB$4:$KX$369,MATCH($A74,연료전지_원본!$KB$4:$KB$369,0), MATCH(CX$4,연료전지_원본!$KB$4:$KX$4,0))*1000</f>
        <v>#N/A</v>
      </c>
      <c r="CY74" s="250" t="e">
        <f>INDEX(연료전지_원본!$KB$4:$KX$369,MATCH($A74,연료전지_원본!$KB$4:$KB$369,0), MATCH(CY$4,연료전지_원본!$KB$4:$KX$4,0))*1000</f>
        <v>#N/A</v>
      </c>
      <c r="DV74" s="30">
        <f t="shared" si="297"/>
        <v>0</v>
      </c>
    </row>
    <row r="75" spans="1:126">
      <c r="A75" s="6">
        <v>46092</v>
      </c>
      <c r="B75" s="15">
        <f>운전실적_원본!B75</f>
        <v>651.20000000000005</v>
      </c>
      <c r="C75" s="16">
        <f t="shared" si="298"/>
        <v>0</v>
      </c>
      <c r="D75" s="12">
        <f>운전실적_원본!C75</f>
        <v>250117</v>
      </c>
      <c r="E75" s="12">
        <f t="shared" si="299"/>
        <v>0</v>
      </c>
      <c r="F75" s="12">
        <f>운전실적_원본!D75</f>
        <v>241567</v>
      </c>
      <c r="G75" s="16">
        <f t="shared" si="300"/>
        <v>37</v>
      </c>
      <c r="H75" s="15">
        <f>운전실적_원본!E75</f>
        <v>17308.91</v>
      </c>
      <c r="I75" s="16">
        <f t="shared" si="301"/>
        <v>3.7599999999983993</v>
      </c>
      <c r="J75" s="15">
        <f>운전실적_원본!F75</f>
        <v>15464.39</v>
      </c>
      <c r="K75" s="16">
        <f t="shared" si="301"/>
        <v>3.5100000000002183</v>
      </c>
      <c r="L75" s="32">
        <f>운전실적_원본!G75</f>
        <v>37.299999999999997</v>
      </c>
      <c r="M75" s="31">
        <f t="shared" ref="M75" si="483">IF(OR(LEN(L75)=0,L75=0),"",L75-L74)</f>
        <v>0.5</v>
      </c>
      <c r="N75" s="15">
        <f>운전실적_원본!H75</f>
        <v>40277</v>
      </c>
      <c r="O75" s="16">
        <f t="shared" ref="O75" si="484">IF(OR(LEN(N75)=0,N75=0),"",N75-N74)</f>
        <v>38</v>
      </c>
      <c r="P75" s="15">
        <f>운전실적_원본!I75</f>
        <v>24953</v>
      </c>
      <c r="Q75" s="16">
        <f t="shared" ref="Q75" si="485">IF(OR(LEN(P75)=0,P75=0),"",P75-P74)</f>
        <v>66</v>
      </c>
      <c r="R75" s="18">
        <f>운전실적_원본!J75</f>
        <v>33.08</v>
      </c>
      <c r="S75" s="19">
        <f t="shared" ref="S75" si="486">IF(OR(LEN(R75)=0,R75=0),"",R75-R74)</f>
        <v>-0.39999999999999858</v>
      </c>
      <c r="T75" s="18">
        <f>운전실적_원본!K75</f>
        <v>32.79</v>
      </c>
      <c r="U75" s="19">
        <f t="shared" si="306"/>
        <v>1.9999999999996021E-2</v>
      </c>
      <c r="V75" s="12">
        <f>운전실적_원본!L75</f>
        <v>8362</v>
      </c>
      <c r="W75" s="16">
        <f t="shared" ref="W75" si="487">IF(OR(LEN(V75)=0,V75=0),"",V75-V74)</f>
        <v>82</v>
      </c>
      <c r="X75" s="10">
        <f>운전실적_원본!M75</f>
        <v>0</v>
      </c>
      <c r="Y75" s="10">
        <f>운전실적_원본!N75</f>
        <v>0</v>
      </c>
      <c r="Z75" s="10">
        <f>운전실적_원본!O75</f>
        <v>0</v>
      </c>
      <c r="AA75" s="10">
        <f>운전실적_원본!P75</f>
        <v>0</v>
      </c>
      <c r="AB75" s="10">
        <f>운전실적_원본!Q75</f>
        <v>0</v>
      </c>
      <c r="AC75" s="20">
        <f>운전실적_원본!R75</f>
        <v>0</v>
      </c>
      <c r="AD75" s="109">
        <f>운전실적_원본!S75</f>
        <v>0</v>
      </c>
      <c r="AE75" s="110">
        <f>운전실적_원본!T75</f>
        <v>0</v>
      </c>
      <c r="AF75" s="110">
        <f>운전실적_원본!U75</f>
        <v>0</v>
      </c>
      <c r="AG75" s="110">
        <f>운전실적_원본!V75</f>
        <v>0</v>
      </c>
      <c r="AH75" s="109">
        <f t="shared" si="460"/>
        <v>0</v>
      </c>
      <c r="AI75" s="110">
        <f t="shared" si="467"/>
        <v>0</v>
      </c>
      <c r="AJ75" s="110">
        <f>운전실적_원본!Y75</f>
        <v>0</v>
      </c>
      <c r="AK75" s="110">
        <f>운전실적_원본!Z75</f>
        <v>0</v>
      </c>
      <c r="AL75" s="106"/>
      <c r="AM75" s="105"/>
      <c r="AN75" s="105"/>
      <c r="AO75" s="105"/>
      <c r="AP75" s="105"/>
      <c r="AQ75" s="108"/>
      <c r="AR75" s="105"/>
      <c r="AS75" s="105"/>
      <c r="AT75" s="102"/>
      <c r="AU75" s="102"/>
      <c r="AV75" s="102"/>
      <c r="AW75" s="102"/>
      <c r="AX75" s="32">
        <f>운전실적_원본!W75</f>
        <v>0</v>
      </c>
      <c r="AY75" s="11">
        <f>운전실적_원본!X75</f>
        <v>0</v>
      </c>
      <c r="AZ75" s="11">
        <f>운전실적_원본!Y75</f>
        <v>0</v>
      </c>
      <c r="BA75" s="11">
        <f>운전실적_원본!Z75</f>
        <v>0</v>
      </c>
      <c r="BB75" s="11">
        <f>운전실적_원본!AA75</f>
        <v>0</v>
      </c>
      <c r="BC75" s="11">
        <f>운전실적_원본!AB75</f>
        <v>0</v>
      </c>
      <c r="BD75" s="32" t="str">
        <f t="shared" si="453"/>
        <v>-</v>
      </c>
      <c r="BE75" s="11" t="str">
        <f t="shared" si="461"/>
        <v>-</v>
      </c>
      <c r="BF75" s="11">
        <f>운전실적_원본!AE75</f>
        <v>0</v>
      </c>
      <c r="BG75" s="31">
        <f t="shared" si="454"/>
        <v>0</v>
      </c>
      <c r="BH75" s="241">
        <f>INDEX(연료전지_원본!$A$4:$KY$369,MATCH($A75,연료전지_원본!$A$4:$A$369,0),MATCH($BH$4,연료전지_원본!$A$4:$KY$4,0))</f>
        <v>0</v>
      </c>
      <c r="BI75" s="241">
        <f>INDEX(연료전지_원본!$A$4:$KY$369,MATCH($A75,연료전지_원본!$A$4:$A$369,0),MATCH($BI$4,연료전지_원본!$A$4:$KY$4,0))</f>
        <v>0</v>
      </c>
      <c r="BJ75" s="241">
        <f>INDEX(연료전지_원본!$A$4:$KY$369,MATCH($A75,연료전지_원본!$A$4:$A$369,0),MATCH($BJ$4,연료전지_원본!$A$4:$KY$4,0))</f>
        <v>0</v>
      </c>
      <c r="BK75" s="241">
        <f>INDEX(연료전지_원본!$A$4:$KY$369,MATCH($A75,연료전지_원본!$A$4:$A$369,0),MATCH($BK$4,연료전지_원본!$A$4:$KY$4,0))</f>
        <v>0</v>
      </c>
      <c r="BL75" s="241">
        <f>INDEX(연료전지_원본!$A$4:$KY$369,MATCH($A75,연료전지_원본!$A$4:$A$369,0),MATCH($BL$4,연료전지_원본!$A$4:$KY$4,0))</f>
        <v>0</v>
      </c>
      <c r="BM75" s="241">
        <f>INDEX(연료전지_원본!$A$4:$KY$369,MATCH($A75,연료전지_원본!$A$4:$A$369,0),MATCH($BM$4,연료전지_원본!$A$4:$KY$4,0))</f>
        <v>0</v>
      </c>
      <c r="BN75" s="241">
        <f>INDEX(연료전지_원본!$A$4:$KY$369,MATCH($A75,연료전지_원본!$A$4:$A$369,0),MATCH($BN$4,연료전지_원본!$A$4:$KY$4,0))</f>
        <v>0</v>
      </c>
      <c r="BO75" s="241">
        <f>INDEX(연료전지_원본!$A$4:$KY$369,MATCH($A75,연료전지_원본!$A$4:$A$369,0),MATCH($BO$4,연료전지_원본!$A$4:$KY$4,0))</f>
        <v>0</v>
      </c>
      <c r="BP75" s="241">
        <f>INDEX(연료전지_원본!$A$4:$KY$369,MATCH($A75,연료전지_원본!$A$4:$A$369,0),MATCH($BP$4,연료전지_원본!$A$4:$KY$4,0))</f>
        <v>0</v>
      </c>
      <c r="BQ75" s="241">
        <f>INDEX(연료전지_원본!$A$4:$KY$369,MATCH($A75,연료전지_원본!$A$4:$A$369,0),MATCH($BQ$4,연료전지_원본!$A$4:$KY$4,0))</f>
        <v>0</v>
      </c>
      <c r="BR75" s="241">
        <f>INDEX(연료전지_원본!$A$4:$KY$369,MATCH($A75,연료전지_원본!$A$4:$A$369,0),MATCH($BR$4,연료전지_원본!$A$4:$KY$4,0))</f>
        <v>0</v>
      </c>
      <c r="BS75" s="241">
        <f>INDEX(연료전지_원본!$A$4:$KY$369,MATCH($A75,연료전지_원본!$A$4:$A$369,0),MATCH($BS$4,연료전지_원본!$A$4:$KY$4,0))</f>
        <v>0</v>
      </c>
      <c r="BT75" s="241">
        <f>INDEX(연료전지_원본!$A$4:$KY$369,MATCH($A75,연료전지_원본!$A$4:$A$369,0),MATCH($BT$4,연료전지_원본!$A$4:$KY$4,0))</f>
        <v>0</v>
      </c>
      <c r="BU75" s="241">
        <f>INDEX(연료전지_원본!$A$4:$KY$369,MATCH($A75,연료전지_원본!$A$4:$A$369,0),MATCH($BU$4,연료전지_원본!$A$4:$KY$4,0))</f>
        <v>0</v>
      </c>
      <c r="BV75" s="241">
        <f>INDEX(연료전지_원본!$A$4:$KY$369,MATCH($A75,연료전지_원본!$A$4:$A$369,0),MATCH($BV$4,연료전지_원본!$A$4:$KY$4,0))</f>
        <v>0</v>
      </c>
      <c r="BW75" s="241">
        <f>INDEX(연료전지_원본!$A$4:$KY$369,MATCH($A75,연료전지_원본!$A$4:$A$369,0),MATCH($BW$4,연료전지_원본!$A$4:$KY$4,0))</f>
        <v>0</v>
      </c>
      <c r="BX75" s="241">
        <f>INDEX(연료전지_원본!$A$4:$KY$369,MATCH($A75,연료전지_원본!$A$4:$A$369,0),MATCH($BX$4,연료전지_원본!$A$4:$KY$4,0))</f>
        <v>0</v>
      </c>
      <c r="BY75" s="241">
        <f>INDEX(연료전지_원본!$A$4:$KY$369,MATCH($A75,연료전지_원본!$A$4:$A$369,0),MATCH($BY$4,연료전지_원본!$A$4:$KY$4,0))</f>
        <v>0</v>
      </c>
      <c r="BZ75" s="241">
        <f>INDEX(연료전지_원본!$A$4:$KY$369,MATCH($A75,연료전지_원본!$A$4:$A$369,0),MATCH($BZ$4,연료전지_원본!$A$4:$KY$4,0))</f>
        <v>0</v>
      </c>
      <c r="CA75" s="241">
        <f>INDEX(연료전지_원본!$A$4:$KY$369,MATCH($A75,연료전지_원본!$A$4:$A$369,0),MATCH($CA$4,연료전지_원본!$A$4:$KY$4,0))</f>
        <v>0</v>
      </c>
      <c r="CB75" s="241">
        <f>INDEX(연료전지_원본!$A$4:$KY$369,MATCH($A75,연료전지_원본!$A$4:$A$369,0),MATCH($CB$4,연료전지_원본!$A$4:$KY$4,0))</f>
        <v>0</v>
      </c>
      <c r="CC75" s="242">
        <f>INDEX(연료전지_원본!$A$4:$KY$369,MATCH($A75,연료전지_원본!$A$4:$A$369,0),MATCH($CC$4,연료전지_원본!$A$4:$KY$4,0))</f>
        <v>0</v>
      </c>
      <c r="CD75" s="250" t="e">
        <f>INDEX(연료전지_원본!$KB$4:$KX$369,MATCH($A75,연료전지_원본!$KB$4:$KB$369,0), MATCH(CD$4,연료전지_원본!$KB$4:$KX$4,0))*1000</f>
        <v>#N/A</v>
      </c>
      <c r="CE75" s="250" t="e">
        <f>INDEX(연료전지_원본!$KB$4:$KX$369,MATCH($A75,연료전지_원본!$KB$4:$KB$369,0), MATCH(CE$4,연료전지_원본!$KB$4:$KX$4,0))*1000</f>
        <v>#N/A</v>
      </c>
      <c r="CF75" s="250" t="e">
        <f>INDEX(연료전지_원본!$KB$4:$KX$369,MATCH($A75,연료전지_원본!$KB$4:$KB$369,0), MATCH(CF$4,연료전지_원본!$KB$4:$KX$4,0))*1000</f>
        <v>#N/A</v>
      </c>
      <c r="CG75" s="250" t="e">
        <f>INDEX(연료전지_원본!$KB$4:$KX$369,MATCH($A75,연료전지_원본!$KB$4:$KB$369,0), MATCH(CG$4,연료전지_원본!$KB$4:$KX$4,0))*1000</f>
        <v>#N/A</v>
      </c>
      <c r="CH75" s="250" t="e">
        <f>INDEX(연료전지_원본!$KB$4:$KX$369,MATCH($A75,연료전지_원본!$KB$4:$KB$369,0), MATCH(CH$4,연료전지_원본!$KB$4:$KX$4,0))*1000</f>
        <v>#N/A</v>
      </c>
      <c r="CI75" s="250" t="e">
        <f>INDEX(연료전지_원본!$KB$4:$KX$369,MATCH($A75,연료전지_원본!$KB$4:$KB$369,0), MATCH(CI$4,연료전지_원본!$KB$4:$KX$4,0))*1000</f>
        <v>#N/A</v>
      </c>
      <c r="CJ75" s="250" t="e">
        <f>INDEX(연료전지_원본!$KB$4:$KX$369,MATCH($A75,연료전지_원본!$KB$4:$KB$369,0), MATCH(CJ$4,연료전지_원본!$KB$4:$KX$4,0))*1000</f>
        <v>#N/A</v>
      </c>
      <c r="CK75" s="250" t="e">
        <f>INDEX(연료전지_원본!$KB$4:$KX$369,MATCH($A75,연료전지_원본!$KB$4:$KB$369,0), MATCH(CK$4,연료전지_원본!$KB$4:$KX$4,0))*1000</f>
        <v>#N/A</v>
      </c>
      <c r="CL75" s="250" t="e">
        <f>INDEX(연료전지_원본!$KB$4:$KX$369,MATCH($A75,연료전지_원본!$KB$4:$KB$369,0), MATCH(CL$4,연료전지_원본!$KB$4:$KX$4,0))*1000</f>
        <v>#N/A</v>
      </c>
      <c r="CM75" s="250" t="e">
        <f>INDEX(연료전지_원본!$KB$4:$KX$369,MATCH($A75,연료전지_원본!$KB$4:$KB$369,0), MATCH(CM$4,연료전지_원본!$KB$4:$KX$4,0))*1000</f>
        <v>#N/A</v>
      </c>
      <c r="CN75" s="250" t="e">
        <f>INDEX(연료전지_원본!$KB$4:$KX$369,MATCH($A75,연료전지_원본!$KB$4:$KB$369,0), MATCH(CN$4,연료전지_원본!$KB$4:$KX$4,0))*1000</f>
        <v>#N/A</v>
      </c>
      <c r="CO75" s="250" t="e">
        <f>INDEX(연료전지_원본!$KB$4:$KX$369,MATCH($A75,연료전지_원본!$KB$4:$KB$369,0), MATCH(CO$4,연료전지_원본!$KB$4:$KX$4,0))*1000</f>
        <v>#N/A</v>
      </c>
      <c r="CP75" s="250" t="e">
        <f>INDEX(연료전지_원본!$KB$4:$KX$369,MATCH($A75,연료전지_원본!$KB$4:$KB$369,0), MATCH(CP$4,연료전지_원본!$KB$4:$KX$4,0))*1000</f>
        <v>#N/A</v>
      </c>
      <c r="CQ75" s="250" t="e">
        <f>INDEX(연료전지_원본!$KB$4:$KX$369,MATCH($A75,연료전지_원본!$KB$4:$KB$369,0), MATCH(CQ$4,연료전지_원본!$KB$4:$KX$4,0))*1000</f>
        <v>#N/A</v>
      </c>
      <c r="CR75" s="250" t="e">
        <f>INDEX(연료전지_원본!$KB$4:$KX$369,MATCH($A75,연료전지_원본!$KB$4:$KB$369,0), MATCH(CR$4,연료전지_원본!$KB$4:$KX$4,0))*1000</f>
        <v>#N/A</v>
      </c>
      <c r="CS75" s="250" t="e">
        <f>INDEX(연료전지_원본!$KB$4:$KX$369,MATCH($A75,연료전지_원본!$KB$4:$KB$369,0), MATCH(CS$4,연료전지_원본!$KB$4:$KX$4,0))*1000</f>
        <v>#N/A</v>
      </c>
      <c r="CT75" s="250" t="e">
        <f>INDEX(연료전지_원본!$KB$4:$KX$369,MATCH($A75,연료전지_원본!$KB$4:$KB$369,0), MATCH(CT$4,연료전지_원본!$KB$4:$KX$4,0))*1000</f>
        <v>#N/A</v>
      </c>
      <c r="CU75" s="250" t="e">
        <f>INDEX(연료전지_원본!$KB$4:$KX$369,MATCH($A75,연료전지_원본!$KB$4:$KB$369,0), MATCH(CU$4,연료전지_원본!$KB$4:$KX$4,0))*1000</f>
        <v>#N/A</v>
      </c>
      <c r="CV75" s="250" t="e">
        <f>INDEX(연료전지_원본!$KB$4:$KX$369,MATCH($A75,연료전지_원본!$KB$4:$KB$369,0), MATCH(CV$4,연료전지_원본!$KB$4:$KX$4,0))*1000</f>
        <v>#N/A</v>
      </c>
      <c r="CW75" s="250" t="e">
        <f>INDEX(연료전지_원본!$KB$4:$KX$369,MATCH($A75,연료전지_원본!$KB$4:$KB$369,0), MATCH(CW$4,연료전지_원본!$KB$4:$KX$4,0))*1000</f>
        <v>#N/A</v>
      </c>
      <c r="CX75" s="250" t="e">
        <f>INDEX(연료전지_원본!$KB$4:$KX$369,MATCH($A75,연료전지_원본!$KB$4:$KB$369,0), MATCH(CX$4,연료전지_원본!$KB$4:$KX$4,0))*1000</f>
        <v>#N/A</v>
      </c>
      <c r="CY75" s="250" t="e">
        <f>INDEX(연료전지_원본!$KB$4:$KX$369,MATCH($A75,연료전지_원본!$KB$4:$KB$369,0), MATCH(CY$4,연료전지_원본!$KB$4:$KX$4,0))*1000</f>
        <v>#N/A</v>
      </c>
      <c r="DV75" s="30">
        <f t="shared" si="297"/>
        <v>0</v>
      </c>
    </row>
    <row r="76" spans="1:126">
      <c r="A76" s="6">
        <v>46093</v>
      </c>
      <c r="B76" s="15">
        <f>운전실적_원본!B76</f>
        <v>651.20000000000005</v>
      </c>
      <c r="C76" s="16">
        <f t="shared" si="298"/>
        <v>0</v>
      </c>
      <c r="D76" s="12">
        <f>운전실적_원본!C76</f>
        <v>250162</v>
      </c>
      <c r="E76" s="12">
        <f t="shared" si="299"/>
        <v>45</v>
      </c>
      <c r="F76" s="12">
        <f>운전실적_원본!D76</f>
        <v>241621</v>
      </c>
      <c r="G76" s="16">
        <f t="shared" si="300"/>
        <v>54</v>
      </c>
      <c r="H76" s="15">
        <f>운전실적_원본!E76</f>
        <v>17312.23</v>
      </c>
      <c r="I76" s="16">
        <f t="shared" si="301"/>
        <v>3.319999999999709</v>
      </c>
      <c r="J76" s="15">
        <f>운전실적_원본!F76</f>
        <v>15483.72</v>
      </c>
      <c r="K76" s="16">
        <f t="shared" si="301"/>
        <v>19.329999999999927</v>
      </c>
      <c r="L76" s="32">
        <f>운전실적_원본!G76</f>
        <v>38.200000000000003</v>
      </c>
      <c r="M76" s="31">
        <f t="shared" ref="M76" si="488">IF(OR(LEN(L76)=0,L76=0),"",L76-L75)</f>
        <v>0.90000000000000568</v>
      </c>
      <c r="N76" s="15">
        <f>운전실적_원본!H76</f>
        <v>40386</v>
      </c>
      <c r="O76" s="16">
        <f t="shared" ref="O76" si="489">IF(OR(LEN(N76)=0,N76=0),"",N76-N75)</f>
        <v>109</v>
      </c>
      <c r="P76" s="15">
        <f>운전실적_원본!I76</f>
        <v>25132</v>
      </c>
      <c r="Q76" s="16">
        <f t="shared" ref="Q76" si="490">IF(OR(LEN(P76)=0,P76=0),"",P76-P75)</f>
        <v>179</v>
      </c>
      <c r="R76" s="18">
        <f>운전실적_원본!J76</f>
        <v>33.270000000000003</v>
      </c>
      <c r="S76" s="19">
        <f t="shared" ref="S76" si="491">IF(OR(LEN(R76)=0,R76=0),"",R76-R75)</f>
        <v>0.19000000000000483</v>
      </c>
      <c r="T76" s="18">
        <f>운전실적_원본!K76</f>
        <v>32.97</v>
      </c>
      <c r="U76" s="19">
        <f t="shared" si="306"/>
        <v>0.17999999999999972</v>
      </c>
      <c r="V76" s="12">
        <f>운전실적_원본!L76</f>
        <v>8650</v>
      </c>
      <c r="W76" s="16">
        <f t="shared" ref="W76" si="492">IF(OR(LEN(V76)=0,V76=0),"",V76-V75)</f>
        <v>288</v>
      </c>
      <c r="X76" s="10">
        <f>운전실적_원본!M76</f>
        <v>128339.70000000001</v>
      </c>
      <c r="Y76" s="10">
        <f>운전실적_원본!N76</f>
        <v>0</v>
      </c>
      <c r="Z76" s="10">
        <f>운전실적_원본!O76</f>
        <v>0</v>
      </c>
      <c r="AA76" s="10">
        <f>운전실적_원본!P76</f>
        <v>0</v>
      </c>
      <c r="AB76" s="10">
        <f>운전실적_원본!Q76</f>
        <v>0</v>
      </c>
      <c r="AC76" s="20">
        <f>운전실적_원본!R76</f>
        <v>0</v>
      </c>
      <c r="AD76" s="109">
        <f>운전실적_원본!S76</f>
        <v>20</v>
      </c>
      <c r="AE76" s="110">
        <f>운전실적_원본!T76</f>
        <v>0</v>
      </c>
      <c r="AF76" s="110">
        <f>운전실적_원본!U76</f>
        <v>0</v>
      </c>
      <c r="AG76" s="110">
        <f>운전실적_원본!V76</f>
        <v>0</v>
      </c>
      <c r="AH76" s="109">
        <f>((AM76-AL76)+(AO76-AN76)+(AQ76-AP76))*24</f>
        <v>20.000000000058208</v>
      </c>
      <c r="AI76" s="110">
        <f t="shared" si="467"/>
        <v>0</v>
      </c>
      <c r="AJ76" s="110">
        <f>운전실적_원본!Y76</f>
        <v>0</v>
      </c>
      <c r="AK76" s="110">
        <f>운전실적_원본!Z76</f>
        <v>0</v>
      </c>
      <c r="AL76" s="106">
        <v>46093.166666666664</v>
      </c>
      <c r="AM76" s="105">
        <v>46094</v>
      </c>
      <c r="AN76" s="105"/>
      <c r="AO76" s="105"/>
      <c r="AP76" s="105"/>
      <c r="AQ76" s="108"/>
      <c r="AR76" s="105"/>
      <c r="AS76" s="105"/>
      <c r="AT76" s="102"/>
      <c r="AU76" s="102"/>
      <c r="AV76" s="102"/>
      <c r="AW76" s="102"/>
      <c r="AX76" s="32">
        <f>운전실적_원본!W76</f>
        <v>812</v>
      </c>
      <c r="AY76" s="11">
        <f>운전실적_원본!X76</f>
        <v>0</v>
      </c>
      <c r="AZ76" s="11">
        <f>운전실적_원본!Y76</f>
        <v>0</v>
      </c>
      <c r="BA76" s="11">
        <f>운전실적_원본!Z76</f>
        <v>0</v>
      </c>
      <c r="BB76" s="11">
        <f>운전실적_원본!AA76</f>
        <v>0</v>
      </c>
      <c r="BC76" s="11">
        <f>운전실적_원본!AB76</f>
        <v>812</v>
      </c>
      <c r="BD76" s="32">
        <f t="shared" si="453"/>
        <v>40.6</v>
      </c>
      <c r="BE76" s="11">
        <f t="shared" si="461"/>
        <v>0.7900369721735746</v>
      </c>
      <c r="BF76" s="11">
        <f>운전실적_원본!AE76</f>
        <v>0</v>
      </c>
      <c r="BG76" s="31">
        <f t="shared" si="454"/>
        <v>0</v>
      </c>
      <c r="BH76" s="241">
        <f>INDEX(연료전지_원본!$A$4:$KY$369,MATCH($A76,연료전지_원본!$A$4:$A$369,0),MATCH($BH$4,연료전지_원본!$A$4:$KY$4,0))</f>
        <v>0</v>
      </c>
      <c r="BI76" s="241">
        <f>INDEX(연료전지_원본!$A$4:$KY$369,MATCH($A76,연료전지_원본!$A$4:$A$369,0),MATCH($BI$4,연료전지_원본!$A$4:$KY$4,0))</f>
        <v>0</v>
      </c>
      <c r="BJ76" s="241">
        <f>INDEX(연료전지_원본!$A$4:$KY$369,MATCH($A76,연료전지_원본!$A$4:$A$369,0),MATCH($BJ$4,연료전지_원본!$A$4:$KY$4,0))</f>
        <v>0</v>
      </c>
      <c r="BK76" s="241">
        <f>INDEX(연료전지_원본!$A$4:$KY$369,MATCH($A76,연료전지_원본!$A$4:$A$369,0),MATCH($BK$4,연료전지_원본!$A$4:$KY$4,0))</f>
        <v>0</v>
      </c>
      <c r="BL76" s="241">
        <f>INDEX(연료전지_원본!$A$4:$KY$369,MATCH($A76,연료전지_원본!$A$4:$A$369,0),MATCH($BL$4,연료전지_원본!$A$4:$KY$4,0))</f>
        <v>0</v>
      </c>
      <c r="BM76" s="241">
        <f>INDEX(연료전지_원본!$A$4:$KY$369,MATCH($A76,연료전지_원본!$A$4:$A$369,0),MATCH($BM$4,연료전지_원본!$A$4:$KY$4,0))</f>
        <v>0</v>
      </c>
      <c r="BN76" s="241">
        <f>INDEX(연료전지_원본!$A$4:$KY$369,MATCH($A76,연료전지_원본!$A$4:$A$369,0),MATCH($BN$4,연료전지_원본!$A$4:$KY$4,0))</f>
        <v>0</v>
      </c>
      <c r="BO76" s="241">
        <f>INDEX(연료전지_원본!$A$4:$KY$369,MATCH($A76,연료전지_원본!$A$4:$A$369,0),MATCH($BO$4,연료전지_원본!$A$4:$KY$4,0))</f>
        <v>0</v>
      </c>
      <c r="BP76" s="241">
        <f>INDEX(연료전지_원본!$A$4:$KY$369,MATCH($A76,연료전지_원본!$A$4:$A$369,0),MATCH($BP$4,연료전지_원본!$A$4:$KY$4,0))</f>
        <v>0</v>
      </c>
      <c r="BQ76" s="241">
        <f>INDEX(연료전지_원본!$A$4:$KY$369,MATCH($A76,연료전지_원본!$A$4:$A$369,0),MATCH($BQ$4,연료전지_원본!$A$4:$KY$4,0))</f>
        <v>0</v>
      </c>
      <c r="BR76" s="241">
        <f>INDEX(연료전지_원본!$A$4:$KY$369,MATCH($A76,연료전지_원본!$A$4:$A$369,0),MATCH($BR$4,연료전지_원본!$A$4:$KY$4,0))</f>
        <v>0</v>
      </c>
      <c r="BS76" s="241">
        <f>INDEX(연료전지_원본!$A$4:$KY$369,MATCH($A76,연료전지_원본!$A$4:$A$369,0),MATCH($BS$4,연료전지_원본!$A$4:$KY$4,0))</f>
        <v>0</v>
      </c>
      <c r="BT76" s="241">
        <f>INDEX(연료전지_원본!$A$4:$KY$369,MATCH($A76,연료전지_원본!$A$4:$A$369,0),MATCH($BT$4,연료전지_원본!$A$4:$KY$4,0))</f>
        <v>0</v>
      </c>
      <c r="BU76" s="241">
        <f>INDEX(연료전지_원본!$A$4:$KY$369,MATCH($A76,연료전지_원본!$A$4:$A$369,0),MATCH($BU$4,연료전지_원본!$A$4:$KY$4,0))</f>
        <v>0</v>
      </c>
      <c r="BV76" s="241">
        <f>INDEX(연료전지_원본!$A$4:$KY$369,MATCH($A76,연료전지_원본!$A$4:$A$369,0),MATCH($BV$4,연료전지_원본!$A$4:$KY$4,0))</f>
        <v>0</v>
      </c>
      <c r="BW76" s="241">
        <f>INDEX(연료전지_원본!$A$4:$KY$369,MATCH($A76,연료전지_원본!$A$4:$A$369,0),MATCH($BW$4,연료전지_원본!$A$4:$KY$4,0))</f>
        <v>0</v>
      </c>
      <c r="BX76" s="241">
        <f>INDEX(연료전지_원본!$A$4:$KY$369,MATCH($A76,연료전지_원본!$A$4:$A$369,0),MATCH($BX$4,연료전지_원본!$A$4:$KY$4,0))</f>
        <v>0</v>
      </c>
      <c r="BY76" s="241">
        <f>INDEX(연료전지_원본!$A$4:$KY$369,MATCH($A76,연료전지_원본!$A$4:$A$369,0),MATCH($BY$4,연료전지_원본!$A$4:$KY$4,0))</f>
        <v>0</v>
      </c>
      <c r="BZ76" s="241">
        <f>INDEX(연료전지_원본!$A$4:$KY$369,MATCH($A76,연료전지_원본!$A$4:$A$369,0),MATCH($BZ$4,연료전지_원본!$A$4:$KY$4,0))</f>
        <v>0</v>
      </c>
      <c r="CA76" s="241">
        <f>INDEX(연료전지_원본!$A$4:$KY$369,MATCH($A76,연료전지_원본!$A$4:$A$369,0),MATCH($CA$4,연료전지_원본!$A$4:$KY$4,0))</f>
        <v>0</v>
      </c>
      <c r="CB76" s="241">
        <f>INDEX(연료전지_원본!$A$4:$KY$369,MATCH($A76,연료전지_원본!$A$4:$A$369,0),MATCH($CB$4,연료전지_원본!$A$4:$KY$4,0))</f>
        <v>0</v>
      </c>
      <c r="CC76" s="242">
        <f>INDEX(연료전지_원본!$A$4:$KY$369,MATCH($A76,연료전지_원본!$A$4:$A$369,0),MATCH($CC$4,연료전지_원본!$A$4:$KY$4,0))</f>
        <v>0</v>
      </c>
      <c r="CD76" s="250" t="e">
        <f>INDEX(연료전지_원본!$KB$4:$KX$369,MATCH($A76,연료전지_원본!$KB$4:$KB$369,0), MATCH(CD$4,연료전지_원본!$KB$4:$KX$4,0))*1000</f>
        <v>#N/A</v>
      </c>
      <c r="CE76" s="250" t="e">
        <f>INDEX(연료전지_원본!$KB$4:$KX$369,MATCH($A76,연료전지_원본!$KB$4:$KB$369,0), MATCH(CE$4,연료전지_원본!$KB$4:$KX$4,0))*1000</f>
        <v>#N/A</v>
      </c>
      <c r="CF76" s="250" t="e">
        <f>INDEX(연료전지_원본!$KB$4:$KX$369,MATCH($A76,연료전지_원본!$KB$4:$KB$369,0), MATCH(CF$4,연료전지_원본!$KB$4:$KX$4,0))*1000</f>
        <v>#N/A</v>
      </c>
      <c r="CG76" s="250" t="e">
        <f>INDEX(연료전지_원본!$KB$4:$KX$369,MATCH($A76,연료전지_원본!$KB$4:$KB$369,0), MATCH(CG$4,연료전지_원본!$KB$4:$KX$4,0))*1000</f>
        <v>#N/A</v>
      </c>
      <c r="CH76" s="250" t="e">
        <f>INDEX(연료전지_원본!$KB$4:$KX$369,MATCH($A76,연료전지_원본!$KB$4:$KB$369,0), MATCH(CH$4,연료전지_원본!$KB$4:$KX$4,0))*1000</f>
        <v>#N/A</v>
      </c>
      <c r="CI76" s="250" t="e">
        <f>INDEX(연료전지_원본!$KB$4:$KX$369,MATCH($A76,연료전지_원본!$KB$4:$KB$369,0), MATCH(CI$4,연료전지_원본!$KB$4:$KX$4,0))*1000</f>
        <v>#N/A</v>
      </c>
      <c r="CJ76" s="250" t="e">
        <f>INDEX(연료전지_원본!$KB$4:$KX$369,MATCH($A76,연료전지_원본!$KB$4:$KB$369,0), MATCH(CJ$4,연료전지_원본!$KB$4:$KX$4,0))*1000</f>
        <v>#N/A</v>
      </c>
      <c r="CK76" s="250" t="e">
        <f>INDEX(연료전지_원본!$KB$4:$KX$369,MATCH($A76,연료전지_원본!$KB$4:$KB$369,0), MATCH(CK$4,연료전지_원본!$KB$4:$KX$4,0))*1000</f>
        <v>#N/A</v>
      </c>
      <c r="CL76" s="250" t="e">
        <f>INDEX(연료전지_원본!$KB$4:$KX$369,MATCH($A76,연료전지_원본!$KB$4:$KB$369,0), MATCH(CL$4,연료전지_원본!$KB$4:$KX$4,0))*1000</f>
        <v>#N/A</v>
      </c>
      <c r="CM76" s="250" t="e">
        <f>INDEX(연료전지_원본!$KB$4:$KX$369,MATCH($A76,연료전지_원본!$KB$4:$KB$369,0), MATCH(CM$4,연료전지_원본!$KB$4:$KX$4,0))*1000</f>
        <v>#N/A</v>
      </c>
      <c r="CN76" s="250" t="e">
        <f>INDEX(연료전지_원본!$KB$4:$KX$369,MATCH($A76,연료전지_원본!$KB$4:$KB$369,0), MATCH(CN$4,연료전지_원본!$KB$4:$KX$4,0))*1000</f>
        <v>#N/A</v>
      </c>
      <c r="CO76" s="250" t="e">
        <f>INDEX(연료전지_원본!$KB$4:$KX$369,MATCH($A76,연료전지_원본!$KB$4:$KB$369,0), MATCH(CO$4,연료전지_원본!$KB$4:$KX$4,0))*1000</f>
        <v>#N/A</v>
      </c>
      <c r="CP76" s="250" t="e">
        <f>INDEX(연료전지_원본!$KB$4:$KX$369,MATCH($A76,연료전지_원본!$KB$4:$KB$369,0), MATCH(CP$4,연료전지_원본!$KB$4:$KX$4,0))*1000</f>
        <v>#N/A</v>
      </c>
      <c r="CQ76" s="250" t="e">
        <f>INDEX(연료전지_원본!$KB$4:$KX$369,MATCH($A76,연료전지_원본!$KB$4:$KB$369,0), MATCH(CQ$4,연료전지_원본!$KB$4:$KX$4,0))*1000</f>
        <v>#N/A</v>
      </c>
      <c r="CR76" s="250" t="e">
        <f>INDEX(연료전지_원본!$KB$4:$KX$369,MATCH($A76,연료전지_원본!$KB$4:$KB$369,0), MATCH(CR$4,연료전지_원본!$KB$4:$KX$4,0))*1000</f>
        <v>#N/A</v>
      </c>
      <c r="CS76" s="250" t="e">
        <f>INDEX(연료전지_원본!$KB$4:$KX$369,MATCH($A76,연료전지_원본!$KB$4:$KB$369,0), MATCH(CS$4,연료전지_원본!$KB$4:$KX$4,0))*1000</f>
        <v>#N/A</v>
      </c>
      <c r="CT76" s="250" t="e">
        <f>INDEX(연료전지_원본!$KB$4:$KX$369,MATCH($A76,연료전지_원본!$KB$4:$KB$369,0), MATCH(CT$4,연료전지_원본!$KB$4:$KX$4,0))*1000</f>
        <v>#N/A</v>
      </c>
      <c r="CU76" s="250" t="e">
        <f>INDEX(연료전지_원본!$KB$4:$KX$369,MATCH($A76,연료전지_원본!$KB$4:$KB$369,0), MATCH(CU$4,연료전지_원본!$KB$4:$KX$4,0))*1000</f>
        <v>#N/A</v>
      </c>
      <c r="CV76" s="250" t="e">
        <f>INDEX(연료전지_원본!$KB$4:$KX$369,MATCH($A76,연료전지_원본!$KB$4:$KB$369,0), MATCH(CV$4,연료전지_원본!$KB$4:$KX$4,0))*1000</f>
        <v>#N/A</v>
      </c>
      <c r="CW76" s="250" t="e">
        <f>INDEX(연료전지_원본!$KB$4:$KX$369,MATCH($A76,연료전지_원본!$KB$4:$KB$369,0), MATCH(CW$4,연료전지_원본!$KB$4:$KX$4,0))*1000</f>
        <v>#N/A</v>
      </c>
      <c r="CX76" s="250" t="e">
        <f>INDEX(연료전지_원본!$KB$4:$KX$369,MATCH($A76,연료전지_원본!$KB$4:$KB$369,0), MATCH(CX$4,연료전지_원본!$KB$4:$KX$4,0))*1000</f>
        <v>#N/A</v>
      </c>
      <c r="CY76" s="250" t="e">
        <f>INDEX(연료전지_원본!$KB$4:$KX$369,MATCH($A76,연료전지_원본!$KB$4:$KB$369,0), MATCH(CY$4,연료전지_원본!$KB$4:$KX$4,0))*1000</f>
        <v>#N/A</v>
      </c>
      <c r="DV76" s="30">
        <f t="shared" si="297"/>
        <v>0</v>
      </c>
    </row>
    <row r="77" spans="1:126">
      <c r="A77" s="6">
        <v>46094</v>
      </c>
      <c r="B77" s="15">
        <f>운전실적_원본!B77</f>
        <v>651.20000000000005</v>
      </c>
      <c r="C77" s="16">
        <f t="shared" si="298"/>
        <v>0</v>
      </c>
      <c r="D77" s="12">
        <f>운전실적_원본!C77</f>
        <v>250210</v>
      </c>
      <c r="E77" s="12">
        <f t="shared" si="299"/>
        <v>48</v>
      </c>
      <c r="F77" s="12">
        <f>운전실적_원본!D77</f>
        <v>241657</v>
      </c>
      <c r="G77" s="16">
        <f t="shared" si="300"/>
        <v>36</v>
      </c>
      <c r="H77" s="15">
        <f>운전실적_원본!E77</f>
        <v>17315.86</v>
      </c>
      <c r="I77" s="16">
        <f t="shared" si="301"/>
        <v>3.6300000000010186</v>
      </c>
      <c r="J77" s="15">
        <f>운전실적_원본!F77</f>
        <v>15502.87</v>
      </c>
      <c r="K77" s="16">
        <f t="shared" si="301"/>
        <v>19.150000000001455</v>
      </c>
      <c r="L77" s="32">
        <f>운전실적_원본!G77</f>
        <v>39.299999999999997</v>
      </c>
      <c r="M77" s="31">
        <f t="shared" ref="M77" si="493">IF(OR(LEN(L77)=0,L77=0),"",L77-L76)</f>
        <v>1.0999999999999943</v>
      </c>
      <c r="N77" s="15">
        <f>운전실적_원본!H77</f>
        <v>40558</v>
      </c>
      <c r="O77" s="16">
        <f t="shared" ref="O77" si="494">IF(OR(LEN(N77)=0,N77=0),"",N77-N76)</f>
        <v>172</v>
      </c>
      <c r="P77" s="15">
        <f>운전실적_원본!I77</f>
        <v>25330</v>
      </c>
      <c r="Q77" s="16">
        <f t="shared" ref="Q77" si="495">IF(OR(LEN(P77)=0,P77=0),"",P77-P76)</f>
        <v>198</v>
      </c>
      <c r="R77" s="18">
        <f>운전실적_원본!J77</f>
        <v>33.838999999999999</v>
      </c>
      <c r="S77" s="19">
        <f t="shared" ref="S77" si="496">IF(OR(LEN(R77)=0,R77=0),"",R77-R76)</f>
        <v>0.56899999999999551</v>
      </c>
      <c r="T77" s="18">
        <f>운전실적_원본!K77</f>
        <v>33.063000000000002</v>
      </c>
      <c r="U77" s="19">
        <f t="shared" si="306"/>
        <v>9.3000000000003524E-2</v>
      </c>
      <c r="V77" s="12">
        <f>운전실적_원본!L77</f>
        <v>8684.6129999999994</v>
      </c>
      <c r="W77" s="16">
        <f t="shared" ref="W77" si="497">IF(OR(LEN(V77)=0,V77=0),"",V77-V76)</f>
        <v>34.612999999999374</v>
      </c>
      <c r="X77" s="10">
        <f>운전실적_원본!M77</f>
        <v>126804.49000000209</v>
      </c>
      <c r="Y77" s="10">
        <f>운전실적_원본!N77</f>
        <v>0</v>
      </c>
      <c r="Z77" s="10">
        <f>운전실적_원본!O77</f>
        <v>0</v>
      </c>
      <c r="AA77" s="10">
        <f>운전실적_원본!P77</f>
        <v>0</v>
      </c>
      <c r="AB77" s="10">
        <f>운전실적_원본!Q77</f>
        <v>0</v>
      </c>
      <c r="AC77" s="20">
        <f>운전실적_원본!R77</f>
        <v>0</v>
      </c>
      <c r="AD77" s="109">
        <f>운전실적_원본!S77</f>
        <v>17</v>
      </c>
      <c r="AE77" s="110">
        <f>운전실적_원본!T77</f>
        <v>0</v>
      </c>
      <c r="AF77" s="110">
        <f>운전실적_원본!U77</f>
        <v>0</v>
      </c>
      <c r="AG77" s="110">
        <f>운전실적_원본!V77</f>
        <v>0</v>
      </c>
      <c r="AH77" s="109">
        <f>((AM77-AL77)+(AO77-AN77)+(AQ77-AP77))*24</f>
        <v>17.000000000058208</v>
      </c>
      <c r="AI77" s="110">
        <f t="shared" si="467"/>
        <v>0</v>
      </c>
      <c r="AJ77" s="110">
        <f>운전실적_원본!Y77</f>
        <v>0</v>
      </c>
      <c r="AK77" s="110">
        <f>운전실적_원본!Z77</f>
        <v>0</v>
      </c>
      <c r="AL77" s="106">
        <v>46094</v>
      </c>
      <c r="AM77" s="105">
        <v>46094.708333333336</v>
      </c>
      <c r="AN77" s="105"/>
      <c r="AO77" s="105"/>
      <c r="AP77" s="105"/>
      <c r="AQ77" s="108"/>
      <c r="AR77" s="105"/>
      <c r="AS77" s="105"/>
      <c r="AT77" s="102"/>
      <c r="AU77" s="102"/>
      <c r="AV77" s="102"/>
      <c r="AW77" s="102"/>
      <c r="AX77" s="32">
        <f>운전실적_원본!W77</f>
        <v>818.6899999999996</v>
      </c>
      <c r="AY77" s="11">
        <f>운전실적_원본!X77</f>
        <v>0</v>
      </c>
      <c r="AZ77" s="11">
        <f>운전실적_원본!Y77</f>
        <v>0</v>
      </c>
      <c r="BA77" s="11">
        <f>운전실적_원본!Z77</f>
        <v>0</v>
      </c>
      <c r="BB77" s="11">
        <f>운전실적_원본!AA77</f>
        <v>0</v>
      </c>
      <c r="BC77" s="11">
        <f>운전실적_원본!AB77</f>
        <v>818.6899999999996</v>
      </c>
      <c r="BD77" s="32">
        <f t="shared" si="453"/>
        <v>48.158235294117624</v>
      </c>
      <c r="BE77" s="11">
        <f t="shared" si="461"/>
        <v>0.93711296544303602</v>
      </c>
      <c r="BF77" s="11">
        <f>운전실적_원본!AE77</f>
        <v>0</v>
      </c>
      <c r="BG77" s="31">
        <f t="shared" si="454"/>
        <v>0</v>
      </c>
      <c r="BH77" s="241">
        <f>INDEX(연료전지_원본!$A$4:$KY$369,MATCH($A77,연료전지_원본!$A$4:$A$369,0),MATCH($BH$4,연료전지_원본!$A$4:$KY$4,0))</f>
        <v>0</v>
      </c>
      <c r="BI77" s="241">
        <f>INDEX(연료전지_원본!$A$4:$KY$369,MATCH($A77,연료전지_원본!$A$4:$A$369,0),MATCH($BI$4,연료전지_원본!$A$4:$KY$4,0))</f>
        <v>0</v>
      </c>
      <c r="BJ77" s="241">
        <f>INDEX(연료전지_원본!$A$4:$KY$369,MATCH($A77,연료전지_원본!$A$4:$A$369,0),MATCH($BJ$4,연료전지_원본!$A$4:$KY$4,0))</f>
        <v>0</v>
      </c>
      <c r="BK77" s="241">
        <f>INDEX(연료전지_원본!$A$4:$KY$369,MATCH($A77,연료전지_원본!$A$4:$A$369,0),MATCH($BK$4,연료전지_원본!$A$4:$KY$4,0))</f>
        <v>0</v>
      </c>
      <c r="BL77" s="241">
        <f>INDEX(연료전지_원본!$A$4:$KY$369,MATCH($A77,연료전지_원본!$A$4:$A$369,0),MATCH($BL$4,연료전지_원본!$A$4:$KY$4,0))</f>
        <v>0</v>
      </c>
      <c r="BM77" s="241">
        <f>INDEX(연료전지_원본!$A$4:$KY$369,MATCH($A77,연료전지_원본!$A$4:$A$369,0),MATCH($BM$4,연료전지_원본!$A$4:$KY$4,0))</f>
        <v>0</v>
      </c>
      <c r="BN77" s="241">
        <f>INDEX(연료전지_원본!$A$4:$KY$369,MATCH($A77,연료전지_원본!$A$4:$A$369,0),MATCH($BN$4,연료전지_원본!$A$4:$KY$4,0))</f>
        <v>0</v>
      </c>
      <c r="BO77" s="241">
        <f>INDEX(연료전지_원본!$A$4:$KY$369,MATCH($A77,연료전지_원본!$A$4:$A$369,0),MATCH($BO$4,연료전지_원본!$A$4:$KY$4,0))</f>
        <v>0</v>
      </c>
      <c r="BP77" s="241">
        <f>INDEX(연료전지_원본!$A$4:$KY$369,MATCH($A77,연료전지_원본!$A$4:$A$369,0),MATCH($BP$4,연료전지_원본!$A$4:$KY$4,0))</f>
        <v>0</v>
      </c>
      <c r="BQ77" s="241">
        <f>INDEX(연료전지_원본!$A$4:$KY$369,MATCH($A77,연료전지_원본!$A$4:$A$369,0),MATCH($BQ$4,연료전지_원본!$A$4:$KY$4,0))</f>
        <v>0</v>
      </c>
      <c r="BR77" s="241">
        <f>INDEX(연료전지_원본!$A$4:$KY$369,MATCH($A77,연료전지_원본!$A$4:$A$369,0),MATCH($BR$4,연료전지_원본!$A$4:$KY$4,0))</f>
        <v>0</v>
      </c>
      <c r="BS77" s="241">
        <f>INDEX(연료전지_원본!$A$4:$KY$369,MATCH($A77,연료전지_원본!$A$4:$A$369,0),MATCH($BS$4,연료전지_원본!$A$4:$KY$4,0))</f>
        <v>0</v>
      </c>
      <c r="BT77" s="241">
        <f>INDEX(연료전지_원본!$A$4:$KY$369,MATCH($A77,연료전지_원본!$A$4:$A$369,0),MATCH($BT$4,연료전지_원본!$A$4:$KY$4,0))</f>
        <v>0</v>
      </c>
      <c r="BU77" s="241">
        <f>INDEX(연료전지_원본!$A$4:$KY$369,MATCH($A77,연료전지_원본!$A$4:$A$369,0),MATCH($BU$4,연료전지_원본!$A$4:$KY$4,0))</f>
        <v>0</v>
      </c>
      <c r="BV77" s="241">
        <f>INDEX(연료전지_원본!$A$4:$KY$369,MATCH($A77,연료전지_원본!$A$4:$A$369,0),MATCH($BV$4,연료전지_원본!$A$4:$KY$4,0))</f>
        <v>0</v>
      </c>
      <c r="BW77" s="241">
        <f>INDEX(연료전지_원본!$A$4:$KY$369,MATCH($A77,연료전지_원본!$A$4:$A$369,0),MATCH($BW$4,연료전지_원본!$A$4:$KY$4,0))</f>
        <v>0</v>
      </c>
      <c r="BX77" s="241">
        <f>INDEX(연료전지_원본!$A$4:$KY$369,MATCH($A77,연료전지_원본!$A$4:$A$369,0),MATCH($BX$4,연료전지_원본!$A$4:$KY$4,0))</f>
        <v>0</v>
      </c>
      <c r="BY77" s="241">
        <f>INDEX(연료전지_원본!$A$4:$KY$369,MATCH($A77,연료전지_원본!$A$4:$A$369,0),MATCH($BY$4,연료전지_원본!$A$4:$KY$4,0))</f>
        <v>0</v>
      </c>
      <c r="BZ77" s="241">
        <f>INDEX(연료전지_원본!$A$4:$KY$369,MATCH($A77,연료전지_원본!$A$4:$A$369,0),MATCH($BZ$4,연료전지_원본!$A$4:$KY$4,0))</f>
        <v>0</v>
      </c>
      <c r="CA77" s="241">
        <f>INDEX(연료전지_원본!$A$4:$KY$369,MATCH($A77,연료전지_원본!$A$4:$A$369,0),MATCH($CA$4,연료전지_원본!$A$4:$KY$4,0))</f>
        <v>0</v>
      </c>
      <c r="CB77" s="241">
        <f>INDEX(연료전지_원본!$A$4:$KY$369,MATCH($A77,연료전지_원본!$A$4:$A$369,0),MATCH($CB$4,연료전지_원본!$A$4:$KY$4,0))</f>
        <v>0</v>
      </c>
      <c r="CC77" s="242">
        <f>INDEX(연료전지_원본!$A$4:$KY$369,MATCH($A77,연료전지_원본!$A$4:$A$369,0),MATCH($CC$4,연료전지_원본!$A$4:$KY$4,0))</f>
        <v>0</v>
      </c>
      <c r="CD77" s="250" t="e">
        <f>INDEX(연료전지_원본!$KB$4:$KX$369,MATCH($A77,연료전지_원본!$KB$4:$KB$369,0), MATCH(CD$4,연료전지_원본!$KB$4:$KX$4,0))*1000</f>
        <v>#N/A</v>
      </c>
      <c r="CE77" s="250" t="e">
        <f>INDEX(연료전지_원본!$KB$4:$KX$369,MATCH($A77,연료전지_원본!$KB$4:$KB$369,0), MATCH(CE$4,연료전지_원본!$KB$4:$KX$4,0))*1000</f>
        <v>#N/A</v>
      </c>
      <c r="CF77" s="250" t="e">
        <f>INDEX(연료전지_원본!$KB$4:$KX$369,MATCH($A77,연료전지_원본!$KB$4:$KB$369,0), MATCH(CF$4,연료전지_원본!$KB$4:$KX$4,0))*1000</f>
        <v>#N/A</v>
      </c>
      <c r="CG77" s="250" t="e">
        <f>INDEX(연료전지_원본!$KB$4:$KX$369,MATCH($A77,연료전지_원본!$KB$4:$KB$369,0), MATCH(CG$4,연료전지_원본!$KB$4:$KX$4,0))*1000</f>
        <v>#N/A</v>
      </c>
      <c r="CH77" s="250" t="e">
        <f>INDEX(연료전지_원본!$KB$4:$KX$369,MATCH($A77,연료전지_원본!$KB$4:$KB$369,0), MATCH(CH$4,연료전지_원본!$KB$4:$KX$4,0))*1000</f>
        <v>#N/A</v>
      </c>
      <c r="CI77" s="250" t="e">
        <f>INDEX(연료전지_원본!$KB$4:$KX$369,MATCH($A77,연료전지_원본!$KB$4:$KB$369,0), MATCH(CI$4,연료전지_원본!$KB$4:$KX$4,0))*1000</f>
        <v>#N/A</v>
      </c>
      <c r="CJ77" s="250" t="e">
        <f>INDEX(연료전지_원본!$KB$4:$KX$369,MATCH($A77,연료전지_원본!$KB$4:$KB$369,0), MATCH(CJ$4,연료전지_원본!$KB$4:$KX$4,0))*1000</f>
        <v>#N/A</v>
      </c>
      <c r="CK77" s="250" t="e">
        <f>INDEX(연료전지_원본!$KB$4:$KX$369,MATCH($A77,연료전지_원본!$KB$4:$KB$369,0), MATCH(CK$4,연료전지_원본!$KB$4:$KX$4,0))*1000</f>
        <v>#N/A</v>
      </c>
      <c r="CL77" s="250" t="e">
        <f>INDEX(연료전지_원본!$KB$4:$KX$369,MATCH($A77,연료전지_원본!$KB$4:$KB$369,0), MATCH(CL$4,연료전지_원본!$KB$4:$KX$4,0))*1000</f>
        <v>#N/A</v>
      </c>
      <c r="CM77" s="250" t="e">
        <f>INDEX(연료전지_원본!$KB$4:$KX$369,MATCH($A77,연료전지_원본!$KB$4:$KB$369,0), MATCH(CM$4,연료전지_원본!$KB$4:$KX$4,0))*1000</f>
        <v>#N/A</v>
      </c>
      <c r="CN77" s="250" t="e">
        <f>INDEX(연료전지_원본!$KB$4:$KX$369,MATCH($A77,연료전지_원본!$KB$4:$KB$369,0), MATCH(CN$4,연료전지_원본!$KB$4:$KX$4,0))*1000</f>
        <v>#N/A</v>
      </c>
      <c r="CO77" s="250" t="e">
        <f>INDEX(연료전지_원본!$KB$4:$KX$369,MATCH($A77,연료전지_원본!$KB$4:$KB$369,0), MATCH(CO$4,연료전지_원본!$KB$4:$KX$4,0))*1000</f>
        <v>#N/A</v>
      </c>
      <c r="CP77" s="250" t="e">
        <f>INDEX(연료전지_원본!$KB$4:$KX$369,MATCH($A77,연료전지_원본!$KB$4:$KB$369,0), MATCH(CP$4,연료전지_원본!$KB$4:$KX$4,0))*1000</f>
        <v>#N/A</v>
      </c>
      <c r="CQ77" s="250" t="e">
        <f>INDEX(연료전지_원본!$KB$4:$KX$369,MATCH($A77,연료전지_원본!$KB$4:$KB$369,0), MATCH(CQ$4,연료전지_원본!$KB$4:$KX$4,0))*1000</f>
        <v>#N/A</v>
      </c>
      <c r="CR77" s="250" t="e">
        <f>INDEX(연료전지_원본!$KB$4:$KX$369,MATCH($A77,연료전지_원본!$KB$4:$KB$369,0), MATCH(CR$4,연료전지_원본!$KB$4:$KX$4,0))*1000</f>
        <v>#N/A</v>
      </c>
      <c r="CS77" s="250" t="e">
        <f>INDEX(연료전지_원본!$KB$4:$KX$369,MATCH($A77,연료전지_원본!$KB$4:$KB$369,0), MATCH(CS$4,연료전지_원본!$KB$4:$KX$4,0))*1000</f>
        <v>#N/A</v>
      </c>
      <c r="CT77" s="250" t="e">
        <f>INDEX(연료전지_원본!$KB$4:$KX$369,MATCH($A77,연료전지_원본!$KB$4:$KB$369,0), MATCH(CT$4,연료전지_원본!$KB$4:$KX$4,0))*1000</f>
        <v>#N/A</v>
      </c>
      <c r="CU77" s="250" t="e">
        <f>INDEX(연료전지_원본!$KB$4:$KX$369,MATCH($A77,연료전지_원본!$KB$4:$KB$369,0), MATCH(CU$4,연료전지_원본!$KB$4:$KX$4,0))*1000</f>
        <v>#N/A</v>
      </c>
      <c r="CV77" s="250" t="e">
        <f>INDEX(연료전지_원본!$KB$4:$KX$369,MATCH($A77,연료전지_원본!$KB$4:$KB$369,0), MATCH(CV$4,연료전지_원본!$KB$4:$KX$4,0))*1000</f>
        <v>#N/A</v>
      </c>
      <c r="CW77" s="250" t="e">
        <f>INDEX(연료전지_원본!$KB$4:$KX$369,MATCH($A77,연료전지_원본!$KB$4:$KB$369,0), MATCH(CW$4,연료전지_원본!$KB$4:$KX$4,0))*1000</f>
        <v>#N/A</v>
      </c>
      <c r="CX77" s="250" t="e">
        <f>INDEX(연료전지_원본!$KB$4:$KX$369,MATCH($A77,연료전지_원본!$KB$4:$KB$369,0), MATCH(CX$4,연료전지_원본!$KB$4:$KX$4,0))*1000</f>
        <v>#N/A</v>
      </c>
      <c r="CY77" s="250" t="e">
        <f>INDEX(연료전지_원본!$KB$4:$KX$369,MATCH($A77,연료전지_원본!$KB$4:$KB$369,0), MATCH(CY$4,연료전지_원본!$KB$4:$KX$4,0))*1000</f>
        <v>#N/A</v>
      </c>
      <c r="DV77" s="30">
        <f t="shared" si="297"/>
        <v>0</v>
      </c>
    </row>
    <row r="78" spans="1:126">
      <c r="A78" s="6">
        <v>46095</v>
      </c>
      <c r="B78" s="15">
        <f>운전실적_원본!B78</f>
        <v>651.20000000000005</v>
      </c>
      <c r="C78" s="16">
        <f t="shared" si="298"/>
        <v>0</v>
      </c>
      <c r="D78" s="12">
        <f>운전실적_원본!C78</f>
        <v>250228</v>
      </c>
      <c r="E78" s="12">
        <f t="shared" si="299"/>
        <v>18</v>
      </c>
      <c r="F78" s="12">
        <f>운전실적_원본!D78</f>
        <v>241657</v>
      </c>
      <c r="G78" s="16">
        <f t="shared" si="300"/>
        <v>0</v>
      </c>
      <c r="H78" s="15">
        <f>운전실적_원본!E78</f>
        <v>17317.939999999999</v>
      </c>
      <c r="I78" s="16">
        <f t="shared" si="301"/>
        <v>2.0799999999981083</v>
      </c>
      <c r="J78" s="15">
        <f>운전실적_원본!F78</f>
        <v>15505.48</v>
      </c>
      <c r="K78" s="16">
        <f t="shared" si="301"/>
        <v>2.6099999999987631</v>
      </c>
      <c r="L78" s="32">
        <f>운전실적_원본!G78</f>
        <v>40.4</v>
      </c>
      <c r="M78" s="31">
        <f t="shared" ref="M78" si="498">IF(OR(LEN(L78)=0,L78=0),"",L78-L77)</f>
        <v>1.1000000000000014</v>
      </c>
      <c r="N78" s="15">
        <f>운전실적_원본!H78</f>
        <v>40624</v>
      </c>
      <c r="O78" s="16">
        <f t="shared" ref="O78" si="499">IF(OR(LEN(N78)=0,N78=0),"",N78-N77)</f>
        <v>66</v>
      </c>
      <c r="P78" s="15">
        <f>운전실적_원본!I78</f>
        <v>25390</v>
      </c>
      <c r="Q78" s="16">
        <f t="shared" ref="Q78" si="500">IF(OR(LEN(P78)=0,P78=0),"",P78-P77)</f>
        <v>60</v>
      </c>
      <c r="R78" s="18">
        <f>운전실적_원본!J78</f>
        <v>33.725999999999999</v>
      </c>
      <c r="S78" s="19">
        <f t="shared" ref="S78" si="501">IF(OR(LEN(R78)=0,R78=0),"",R78-R77)</f>
        <v>-0.11299999999999955</v>
      </c>
      <c r="T78" s="18">
        <f>운전실적_원본!K78</f>
        <v>33.128999999999998</v>
      </c>
      <c r="U78" s="19">
        <f t="shared" si="306"/>
        <v>6.5999999999995396E-2</v>
      </c>
      <c r="V78" s="12">
        <f>운전실적_원본!L78</f>
        <v>8699.0840000000007</v>
      </c>
      <c r="W78" s="16">
        <f t="shared" ref="W78" si="502">IF(OR(LEN(V78)=0,V78=0),"",V78-V77)</f>
        <v>14.471000000001368</v>
      </c>
      <c r="X78" s="10">
        <f>운전실적_원본!M78</f>
        <v>0</v>
      </c>
      <c r="Y78" s="10">
        <f>운전실적_원본!N78</f>
        <v>0</v>
      </c>
      <c r="Z78" s="10">
        <f>운전실적_원본!O78</f>
        <v>0</v>
      </c>
      <c r="AA78" s="10">
        <f>운전실적_원본!P78</f>
        <v>0</v>
      </c>
      <c r="AB78" s="10">
        <f>운전실적_원본!Q78</f>
        <v>0</v>
      </c>
      <c r="AC78" s="20">
        <f>운전실적_원본!R78</f>
        <v>0</v>
      </c>
      <c r="AD78" s="109">
        <f>운전실적_원본!S78</f>
        <v>0</v>
      </c>
      <c r="AE78" s="110">
        <f>운전실적_원본!T78</f>
        <v>0</v>
      </c>
      <c r="AF78" s="110">
        <f>운전실적_원본!U78</f>
        <v>0</v>
      </c>
      <c r="AG78" s="110">
        <f>운전실적_원본!V78</f>
        <v>0</v>
      </c>
      <c r="AH78" s="109">
        <f t="shared" si="460"/>
        <v>0</v>
      </c>
      <c r="AI78" s="110">
        <f t="shared" si="467"/>
        <v>0</v>
      </c>
      <c r="AJ78" s="110">
        <f>운전실적_원본!Y78</f>
        <v>0</v>
      </c>
      <c r="AK78" s="110">
        <f>운전실적_원본!Z78</f>
        <v>0</v>
      </c>
      <c r="AL78" s="106"/>
      <c r="AM78" s="105"/>
      <c r="AN78" s="105"/>
      <c r="AO78" s="105"/>
      <c r="AP78" s="105"/>
      <c r="AQ78" s="108"/>
      <c r="AR78" s="105"/>
      <c r="AS78" s="105"/>
      <c r="AT78" s="102"/>
      <c r="AU78" s="102"/>
      <c r="AV78" s="102"/>
      <c r="AW78" s="102"/>
      <c r="AX78" s="32">
        <f>운전실적_원본!W78</f>
        <v>0</v>
      </c>
      <c r="AY78" s="11">
        <f>운전실적_원본!X78</f>
        <v>0</v>
      </c>
      <c r="AZ78" s="11">
        <f>운전실적_원본!Y78</f>
        <v>0</v>
      </c>
      <c r="BA78" s="11">
        <f>운전실적_원본!Z78</f>
        <v>0</v>
      </c>
      <c r="BB78" s="11">
        <f>운전실적_원본!AA78</f>
        <v>0</v>
      </c>
      <c r="BC78" s="11">
        <f>운전실적_원본!AB78</f>
        <v>0</v>
      </c>
      <c r="BD78" s="32" t="str">
        <f t="shared" si="453"/>
        <v>-</v>
      </c>
      <c r="BE78" s="11" t="str">
        <f t="shared" si="461"/>
        <v>-</v>
      </c>
      <c r="BF78" s="11">
        <f>운전실적_원본!AE78</f>
        <v>0</v>
      </c>
      <c r="BG78" s="31">
        <f t="shared" si="454"/>
        <v>0</v>
      </c>
      <c r="BH78" s="241">
        <f>INDEX(연료전지_원본!$A$4:$KY$369,MATCH($A78,연료전지_원본!$A$4:$A$369,0),MATCH($BH$4,연료전지_원본!$A$4:$KY$4,0))</f>
        <v>0</v>
      </c>
      <c r="BI78" s="241">
        <f>INDEX(연료전지_원본!$A$4:$KY$369,MATCH($A78,연료전지_원본!$A$4:$A$369,0),MATCH($BI$4,연료전지_원본!$A$4:$KY$4,0))</f>
        <v>0</v>
      </c>
      <c r="BJ78" s="241">
        <f>INDEX(연료전지_원본!$A$4:$KY$369,MATCH($A78,연료전지_원본!$A$4:$A$369,0),MATCH($BJ$4,연료전지_원본!$A$4:$KY$4,0))</f>
        <v>0</v>
      </c>
      <c r="BK78" s="241">
        <f>INDEX(연료전지_원본!$A$4:$KY$369,MATCH($A78,연료전지_원본!$A$4:$A$369,0),MATCH($BK$4,연료전지_원본!$A$4:$KY$4,0))</f>
        <v>0</v>
      </c>
      <c r="BL78" s="241">
        <f>INDEX(연료전지_원본!$A$4:$KY$369,MATCH($A78,연료전지_원본!$A$4:$A$369,0),MATCH($BL$4,연료전지_원본!$A$4:$KY$4,0))</f>
        <v>0</v>
      </c>
      <c r="BM78" s="241">
        <f>INDEX(연료전지_원본!$A$4:$KY$369,MATCH($A78,연료전지_원본!$A$4:$A$369,0),MATCH($BM$4,연료전지_원본!$A$4:$KY$4,0))</f>
        <v>0</v>
      </c>
      <c r="BN78" s="241">
        <f>INDEX(연료전지_원본!$A$4:$KY$369,MATCH($A78,연료전지_원본!$A$4:$A$369,0),MATCH($BN$4,연료전지_원본!$A$4:$KY$4,0))</f>
        <v>0</v>
      </c>
      <c r="BO78" s="241">
        <f>INDEX(연료전지_원본!$A$4:$KY$369,MATCH($A78,연료전지_원본!$A$4:$A$369,0),MATCH($BO$4,연료전지_원본!$A$4:$KY$4,0))</f>
        <v>0</v>
      </c>
      <c r="BP78" s="241">
        <f>INDEX(연료전지_원본!$A$4:$KY$369,MATCH($A78,연료전지_원본!$A$4:$A$369,0),MATCH($BP$4,연료전지_원본!$A$4:$KY$4,0))</f>
        <v>0</v>
      </c>
      <c r="BQ78" s="241">
        <f>INDEX(연료전지_원본!$A$4:$KY$369,MATCH($A78,연료전지_원본!$A$4:$A$369,0),MATCH($BQ$4,연료전지_원본!$A$4:$KY$4,0))</f>
        <v>0</v>
      </c>
      <c r="BR78" s="241">
        <f>INDEX(연료전지_원본!$A$4:$KY$369,MATCH($A78,연료전지_원본!$A$4:$A$369,0),MATCH($BR$4,연료전지_원본!$A$4:$KY$4,0))</f>
        <v>0</v>
      </c>
      <c r="BS78" s="241">
        <f>INDEX(연료전지_원본!$A$4:$KY$369,MATCH($A78,연료전지_원본!$A$4:$A$369,0),MATCH($BS$4,연료전지_원본!$A$4:$KY$4,0))</f>
        <v>0</v>
      </c>
      <c r="BT78" s="241">
        <f>INDEX(연료전지_원본!$A$4:$KY$369,MATCH($A78,연료전지_원본!$A$4:$A$369,0),MATCH($BT$4,연료전지_원본!$A$4:$KY$4,0))</f>
        <v>0</v>
      </c>
      <c r="BU78" s="241">
        <f>INDEX(연료전지_원본!$A$4:$KY$369,MATCH($A78,연료전지_원본!$A$4:$A$369,0),MATCH($BU$4,연료전지_원본!$A$4:$KY$4,0))</f>
        <v>0</v>
      </c>
      <c r="BV78" s="241">
        <f>INDEX(연료전지_원본!$A$4:$KY$369,MATCH($A78,연료전지_원본!$A$4:$A$369,0),MATCH($BV$4,연료전지_원본!$A$4:$KY$4,0))</f>
        <v>0</v>
      </c>
      <c r="BW78" s="241">
        <f>INDEX(연료전지_원본!$A$4:$KY$369,MATCH($A78,연료전지_원본!$A$4:$A$369,0),MATCH($BW$4,연료전지_원본!$A$4:$KY$4,0))</f>
        <v>0</v>
      </c>
      <c r="BX78" s="241">
        <f>INDEX(연료전지_원본!$A$4:$KY$369,MATCH($A78,연료전지_원본!$A$4:$A$369,0),MATCH($BX$4,연료전지_원본!$A$4:$KY$4,0))</f>
        <v>0</v>
      </c>
      <c r="BY78" s="241">
        <f>INDEX(연료전지_원본!$A$4:$KY$369,MATCH($A78,연료전지_원본!$A$4:$A$369,0),MATCH($BY$4,연료전지_원본!$A$4:$KY$4,0))</f>
        <v>0</v>
      </c>
      <c r="BZ78" s="241">
        <f>INDEX(연료전지_원본!$A$4:$KY$369,MATCH($A78,연료전지_원본!$A$4:$A$369,0),MATCH($BZ$4,연료전지_원본!$A$4:$KY$4,0))</f>
        <v>0</v>
      </c>
      <c r="CA78" s="241">
        <f>INDEX(연료전지_원본!$A$4:$KY$369,MATCH($A78,연료전지_원본!$A$4:$A$369,0),MATCH($CA$4,연료전지_원본!$A$4:$KY$4,0))</f>
        <v>0</v>
      </c>
      <c r="CB78" s="241">
        <f>INDEX(연료전지_원본!$A$4:$KY$369,MATCH($A78,연료전지_원본!$A$4:$A$369,0),MATCH($CB$4,연료전지_원본!$A$4:$KY$4,0))</f>
        <v>0</v>
      </c>
      <c r="CC78" s="242">
        <f>INDEX(연료전지_원본!$A$4:$KY$369,MATCH($A78,연료전지_원본!$A$4:$A$369,0),MATCH($CC$4,연료전지_원본!$A$4:$KY$4,0))</f>
        <v>0</v>
      </c>
      <c r="CD78" s="250" t="e">
        <f>INDEX(연료전지_원본!$KB$4:$KX$369,MATCH($A78,연료전지_원본!$KB$4:$KB$369,0), MATCH(CD$4,연료전지_원본!$KB$4:$KX$4,0))*1000</f>
        <v>#N/A</v>
      </c>
      <c r="CE78" s="250" t="e">
        <f>INDEX(연료전지_원본!$KB$4:$KX$369,MATCH($A78,연료전지_원본!$KB$4:$KB$369,0), MATCH(CE$4,연료전지_원본!$KB$4:$KX$4,0))*1000</f>
        <v>#N/A</v>
      </c>
      <c r="CF78" s="250" t="e">
        <f>INDEX(연료전지_원본!$KB$4:$KX$369,MATCH($A78,연료전지_원본!$KB$4:$KB$369,0), MATCH(CF$4,연료전지_원본!$KB$4:$KX$4,0))*1000</f>
        <v>#N/A</v>
      </c>
      <c r="CG78" s="250" t="e">
        <f>INDEX(연료전지_원본!$KB$4:$KX$369,MATCH($A78,연료전지_원본!$KB$4:$KB$369,0), MATCH(CG$4,연료전지_원본!$KB$4:$KX$4,0))*1000</f>
        <v>#N/A</v>
      </c>
      <c r="CH78" s="250" t="e">
        <f>INDEX(연료전지_원본!$KB$4:$KX$369,MATCH($A78,연료전지_원본!$KB$4:$KB$369,0), MATCH(CH$4,연료전지_원본!$KB$4:$KX$4,0))*1000</f>
        <v>#N/A</v>
      </c>
      <c r="CI78" s="250" t="e">
        <f>INDEX(연료전지_원본!$KB$4:$KX$369,MATCH($A78,연료전지_원본!$KB$4:$KB$369,0), MATCH(CI$4,연료전지_원본!$KB$4:$KX$4,0))*1000</f>
        <v>#N/A</v>
      </c>
      <c r="CJ78" s="250" t="e">
        <f>INDEX(연료전지_원본!$KB$4:$KX$369,MATCH($A78,연료전지_원본!$KB$4:$KB$369,0), MATCH(CJ$4,연료전지_원본!$KB$4:$KX$4,0))*1000</f>
        <v>#N/A</v>
      </c>
      <c r="CK78" s="250" t="e">
        <f>INDEX(연료전지_원본!$KB$4:$KX$369,MATCH($A78,연료전지_원본!$KB$4:$KB$369,0), MATCH(CK$4,연료전지_원본!$KB$4:$KX$4,0))*1000</f>
        <v>#N/A</v>
      </c>
      <c r="CL78" s="250" t="e">
        <f>INDEX(연료전지_원본!$KB$4:$KX$369,MATCH($A78,연료전지_원본!$KB$4:$KB$369,0), MATCH(CL$4,연료전지_원본!$KB$4:$KX$4,0))*1000</f>
        <v>#N/A</v>
      </c>
      <c r="CM78" s="250" t="e">
        <f>INDEX(연료전지_원본!$KB$4:$KX$369,MATCH($A78,연료전지_원본!$KB$4:$KB$369,0), MATCH(CM$4,연료전지_원본!$KB$4:$KX$4,0))*1000</f>
        <v>#N/A</v>
      </c>
      <c r="CN78" s="250" t="e">
        <f>INDEX(연료전지_원본!$KB$4:$KX$369,MATCH($A78,연료전지_원본!$KB$4:$KB$369,0), MATCH(CN$4,연료전지_원본!$KB$4:$KX$4,0))*1000</f>
        <v>#N/A</v>
      </c>
      <c r="CO78" s="250" t="e">
        <f>INDEX(연료전지_원본!$KB$4:$KX$369,MATCH($A78,연료전지_원본!$KB$4:$KB$369,0), MATCH(CO$4,연료전지_원본!$KB$4:$KX$4,0))*1000</f>
        <v>#N/A</v>
      </c>
      <c r="CP78" s="250" t="e">
        <f>INDEX(연료전지_원본!$KB$4:$KX$369,MATCH($A78,연료전지_원본!$KB$4:$KB$369,0), MATCH(CP$4,연료전지_원본!$KB$4:$KX$4,0))*1000</f>
        <v>#N/A</v>
      </c>
      <c r="CQ78" s="250" t="e">
        <f>INDEX(연료전지_원본!$KB$4:$KX$369,MATCH($A78,연료전지_원본!$KB$4:$KB$369,0), MATCH(CQ$4,연료전지_원본!$KB$4:$KX$4,0))*1000</f>
        <v>#N/A</v>
      </c>
      <c r="CR78" s="250" t="e">
        <f>INDEX(연료전지_원본!$KB$4:$KX$369,MATCH($A78,연료전지_원본!$KB$4:$KB$369,0), MATCH(CR$4,연료전지_원본!$KB$4:$KX$4,0))*1000</f>
        <v>#N/A</v>
      </c>
      <c r="CS78" s="250" t="e">
        <f>INDEX(연료전지_원본!$KB$4:$KX$369,MATCH($A78,연료전지_원본!$KB$4:$KB$369,0), MATCH(CS$4,연료전지_원본!$KB$4:$KX$4,0))*1000</f>
        <v>#N/A</v>
      </c>
      <c r="CT78" s="250" t="e">
        <f>INDEX(연료전지_원본!$KB$4:$KX$369,MATCH($A78,연료전지_원본!$KB$4:$KB$369,0), MATCH(CT$4,연료전지_원본!$KB$4:$KX$4,0))*1000</f>
        <v>#N/A</v>
      </c>
      <c r="CU78" s="250" t="e">
        <f>INDEX(연료전지_원본!$KB$4:$KX$369,MATCH($A78,연료전지_원본!$KB$4:$KB$369,0), MATCH(CU$4,연료전지_원본!$KB$4:$KX$4,0))*1000</f>
        <v>#N/A</v>
      </c>
      <c r="CV78" s="250" t="e">
        <f>INDEX(연료전지_원본!$KB$4:$KX$369,MATCH($A78,연료전지_원본!$KB$4:$KB$369,0), MATCH(CV$4,연료전지_원본!$KB$4:$KX$4,0))*1000</f>
        <v>#N/A</v>
      </c>
      <c r="CW78" s="250" t="e">
        <f>INDEX(연료전지_원본!$KB$4:$KX$369,MATCH($A78,연료전지_원본!$KB$4:$KB$369,0), MATCH(CW$4,연료전지_원본!$KB$4:$KX$4,0))*1000</f>
        <v>#N/A</v>
      </c>
      <c r="CX78" s="250" t="e">
        <f>INDEX(연료전지_원본!$KB$4:$KX$369,MATCH($A78,연료전지_원본!$KB$4:$KB$369,0), MATCH(CX$4,연료전지_원본!$KB$4:$KX$4,0))*1000</f>
        <v>#N/A</v>
      </c>
      <c r="CY78" s="250" t="e">
        <f>INDEX(연료전지_원본!$KB$4:$KX$369,MATCH($A78,연료전지_원본!$KB$4:$KB$369,0), MATCH(CY$4,연료전지_원본!$KB$4:$KX$4,0))*1000</f>
        <v>#N/A</v>
      </c>
      <c r="DV78" s="30">
        <f t="shared" si="297"/>
        <v>0</v>
      </c>
    </row>
    <row r="79" spans="1:126">
      <c r="A79" s="6">
        <v>46096</v>
      </c>
      <c r="B79" s="15">
        <f>운전실적_원본!B79</f>
        <v>651.20000000000005</v>
      </c>
      <c r="C79" s="16">
        <f t="shared" si="298"/>
        <v>0</v>
      </c>
      <c r="D79" s="12">
        <f>운전실적_원본!C79</f>
        <v>250228</v>
      </c>
      <c r="E79" s="12">
        <f t="shared" si="299"/>
        <v>0</v>
      </c>
      <c r="F79" s="12">
        <f>운전실적_원본!D79</f>
        <v>241657</v>
      </c>
      <c r="G79" s="16">
        <f t="shared" si="300"/>
        <v>0</v>
      </c>
      <c r="H79" s="15">
        <f>운전실적_원본!E79</f>
        <v>17319.439999999999</v>
      </c>
      <c r="I79" s="16">
        <f t="shared" si="301"/>
        <v>1.5</v>
      </c>
      <c r="J79" s="15">
        <f>운전실적_원본!F79</f>
        <v>15507.62</v>
      </c>
      <c r="K79" s="16">
        <f t="shared" si="301"/>
        <v>2.1400000000012369</v>
      </c>
      <c r="L79" s="32">
        <f>운전실적_원본!G79</f>
        <v>41</v>
      </c>
      <c r="M79" s="31">
        <f t="shared" ref="M79" si="503">IF(OR(LEN(L79)=0,L79=0),"",L79-L78)</f>
        <v>0.60000000000000142</v>
      </c>
      <c r="N79" s="15">
        <f>운전실적_원본!H79</f>
        <v>40666</v>
      </c>
      <c r="O79" s="16">
        <f t="shared" ref="O79" si="504">IF(OR(LEN(N79)=0,N79=0),"",N79-N78)</f>
        <v>42</v>
      </c>
      <c r="P79" s="15">
        <f>운전실적_원본!I79</f>
        <v>25409</v>
      </c>
      <c r="Q79" s="16">
        <f t="shared" ref="Q79" si="505">IF(OR(LEN(P79)=0,P79=0),"",P79-P78)</f>
        <v>19</v>
      </c>
      <c r="R79" s="18">
        <f>운전실적_원본!J79</f>
        <v>33.674999999999997</v>
      </c>
      <c r="S79" s="19">
        <f t="shared" ref="S79" si="506">IF(OR(LEN(R79)=0,R79=0),"",R79-R78)</f>
        <v>-5.1000000000001933E-2</v>
      </c>
      <c r="T79" s="18">
        <f>운전실적_원본!K79</f>
        <v>33.134</v>
      </c>
      <c r="U79" s="19">
        <f t="shared" si="306"/>
        <v>5.000000000002558E-3</v>
      </c>
      <c r="V79" s="12">
        <f>운전실적_원본!L79</f>
        <v>8199.4670000000006</v>
      </c>
      <c r="W79" s="16">
        <f t="shared" ref="W79" si="507">IF(OR(LEN(V79)=0,V79=0),"",V79-V78)</f>
        <v>-499.61700000000019</v>
      </c>
      <c r="X79" s="10">
        <f>운전실적_원본!M79</f>
        <v>0</v>
      </c>
      <c r="Y79" s="10">
        <f>운전실적_원본!N79</f>
        <v>0</v>
      </c>
      <c r="Z79" s="10">
        <f>운전실적_원본!O79</f>
        <v>0</v>
      </c>
      <c r="AA79" s="10">
        <f>운전실적_원본!P79</f>
        <v>0</v>
      </c>
      <c r="AB79" s="10">
        <f>운전실적_원본!Q79</f>
        <v>0</v>
      </c>
      <c r="AC79" s="20">
        <f>운전실적_원본!R79</f>
        <v>0</v>
      </c>
      <c r="AD79" s="109">
        <f>운전실적_원본!S79</f>
        <v>0</v>
      </c>
      <c r="AE79" s="110">
        <f>운전실적_원본!T79</f>
        <v>0</v>
      </c>
      <c r="AF79" s="110">
        <f>운전실적_원본!U79</f>
        <v>0</v>
      </c>
      <c r="AG79" s="110">
        <f>운전실적_원본!V79</f>
        <v>0</v>
      </c>
      <c r="AH79" s="109">
        <f t="shared" si="460"/>
        <v>0</v>
      </c>
      <c r="AI79" s="110">
        <f t="shared" si="467"/>
        <v>0</v>
      </c>
      <c r="AJ79" s="110">
        <f>운전실적_원본!Y79</f>
        <v>0</v>
      </c>
      <c r="AK79" s="110">
        <f>운전실적_원본!Z79</f>
        <v>0</v>
      </c>
      <c r="AL79" s="106"/>
      <c r="AM79" s="105"/>
      <c r="AN79" s="105"/>
      <c r="AO79" s="105"/>
      <c r="AP79" s="105"/>
      <c r="AQ79" s="108"/>
      <c r="AR79" s="105"/>
      <c r="AS79" s="105"/>
      <c r="AT79" s="102"/>
      <c r="AU79" s="102"/>
      <c r="AV79" s="102"/>
      <c r="AW79" s="102"/>
      <c r="AX79" s="32">
        <f>운전실적_원본!W79</f>
        <v>0</v>
      </c>
      <c r="AY79" s="11">
        <f>운전실적_원본!X79</f>
        <v>0</v>
      </c>
      <c r="AZ79" s="11">
        <f>운전실적_원본!Y79</f>
        <v>0</v>
      </c>
      <c r="BA79" s="11">
        <f>운전실적_원본!Z79</f>
        <v>0</v>
      </c>
      <c r="BB79" s="11">
        <f>운전실적_원본!AA79</f>
        <v>0</v>
      </c>
      <c r="BC79" s="11">
        <f>운전실적_원본!AB79</f>
        <v>0</v>
      </c>
      <c r="BD79" s="32" t="str">
        <f t="shared" si="453"/>
        <v>-</v>
      </c>
      <c r="BE79" s="11" t="str">
        <f t="shared" si="461"/>
        <v>-</v>
      </c>
      <c r="BF79" s="11">
        <f>운전실적_원본!AE79</f>
        <v>0</v>
      </c>
      <c r="BG79" s="31">
        <f t="shared" si="454"/>
        <v>0</v>
      </c>
      <c r="BH79" s="241">
        <f>INDEX(연료전지_원본!$A$4:$KY$369,MATCH($A79,연료전지_원본!$A$4:$A$369,0),MATCH($BH$4,연료전지_원본!$A$4:$KY$4,0))</f>
        <v>0</v>
      </c>
      <c r="BI79" s="241">
        <f>INDEX(연료전지_원본!$A$4:$KY$369,MATCH($A79,연료전지_원본!$A$4:$A$369,0),MATCH($BI$4,연료전지_원본!$A$4:$KY$4,0))</f>
        <v>0</v>
      </c>
      <c r="BJ79" s="241">
        <f>INDEX(연료전지_원본!$A$4:$KY$369,MATCH($A79,연료전지_원본!$A$4:$A$369,0),MATCH($BJ$4,연료전지_원본!$A$4:$KY$4,0))</f>
        <v>0</v>
      </c>
      <c r="BK79" s="241">
        <f>INDEX(연료전지_원본!$A$4:$KY$369,MATCH($A79,연료전지_원본!$A$4:$A$369,0),MATCH($BK$4,연료전지_원본!$A$4:$KY$4,0))</f>
        <v>0</v>
      </c>
      <c r="BL79" s="241">
        <f>INDEX(연료전지_원본!$A$4:$KY$369,MATCH($A79,연료전지_원본!$A$4:$A$369,0),MATCH($BL$4,연료전지_원본!$A$4:$KY$4,0))</f>
        <v>0</v>
      </c>
      <c r="BM79" s="241">
        <f>INDEX(연료전지_원본!$A$4:$KY$369,MATCH($A79,연료전지_원본!$A$4:$A$369,0),MATCH($BM$4,연료전지_원본!$A$4:$KY$4,0))</f>
        <v>0</v>
      </c>
      <c r="BN79" s="241">
        <f>INDEX(연료전지_원본!$A$4:$KY$369,MATCH($A79,연료전지_원본!$A$4:$A$369,0),MATCH($BN$4,연료전지_원본!$A$4:$KY$4,0))</f>
        <v>0</v>
      </c>
      <c r="BO79" s="241">
        <f>INDEX(연료전지_원본!$A$4:$KY$369,MATCH($A79,연료전지_원본!$A$4:$A$369,0),MATCH($BO$4,연료전지_원본!$A$4:$KY$4,0))</f>
        <v>0</v>
      </c>
      <c r="BP79" s="241">
        <f>INDEX(연료전지_원본!$A$4:$KY$369,MATCH($A79,연료전지_원본!$A$4:$A$369,0),MATCH($BP$4,연료전지_원본!$A$4:$KY$4,0))</f>
        <v>0</v>
      </c>
      <c r="BQ79" s="241">
        <f>INDEX(연료전지_원본!$A$4:$KY$369,MATCH($A79,연료전지_원본!$A$4:$A$369,0),MATCH($BQ$4,연료전지_원본!$A$4:$KY$4,0))</f>
        <v>0</v>
      </c>
      <c r="BR79" s="241">
        <f>INDEX(연료전지_원본!$A$4:$KY$369,MATCH($A79,연료전지_원본!$A$4:$A$369,0),MATCH($BR$4,연료전지_원본!$A$4:$KY$4,0))</f>
        <v>0</v>
      </c>
      <c r="BS79" s="241">
        <f>INDEX(연료전지_원본!$A$4:$KY$369,MATCH($A79,연료전지_원본!$A$4:$A$369,0),MATCH($BS$4,연료전지_원본!$A$4:$KY$4,0))</f>
        <v>0</v>
      </c>
      <c r="BT79" s="241">
        <f>INDEX(연료전지_원본!$A$4:$KY$369,MATCH($A79,연료전지_원본!$A$4:$A$369,0),MATCH($BT$4,연료전지_원본!$A$4:$KY$4,0))</f>
        <v>0</v>
      </c>
      <c r="BU79" s="241">
        <f>INDEX(연료전지_원본!$A$4:$KY$369,MATCH($A79,연료전지_원본!$A$4:$A$369,0),MATCH($BU$4,연료전지_원본!$A$4:$KY$4,0))</f>
        <v>0</v>
      </c>
      <c r="BV79" s="241">
        <f>INDEX(연료전지_원본!$A$4:$KY$369,MATCH($A79,연료전지_원본!$A$4:$A$369,0),MATCH($BV$4,연료전지_원본!$A$4:$KY$4,0))</f>
        <v>0</v>
      </c>
      <c r="BW79" s="241">
        <f>INDEX(연료전지_원본!$A$4:$KY$369,MATCH($A79,연료전지_원본!$A$4:$A$369,0),MATCH($BW$4,연료전지_원본!$A$4:$KY$4,0))</f>
        <v>0</v>
      </c>
      <c r="BX79" s="241">
        <f>INDEX(연료전지_원본!$A$4:$KY$369,MATCH($A79,연료전지_원본!$A$4:$A$369,0),MATCH($BX$4,연료전지_원본!$A$4:$KY$4,0))</f>
        <v>0</v>
      </c>
      <c r="BY79" s="241">
        <f>INDEX(연료전지_원본!$A$4:$KY$369,MATCH($A79,연료전지_원본!$A$4:$A$369,0),MATCH($BY$4,연료전지_원본!$A$4:$KY$4,0))</f>
        <v>0</v>
      </c>
      <c r="BZ79" s="241">
        <f>INDEX(연료전지_원본!$A$4:$KY$369,MATCH($A79,연료전지_원본!$A$4:$A$369,0),MATCH($BZ$4,연료전지_원본!$A$4:$KY$4,0))</f>
        <v>0</v>
      </c>
      <c r="CA79" s="241">
        <f>INDEX(연료전지_원본!$A$4:$KY$369,MATCH($A79,연료전지_원본!$A$4:$A$369,0),MATCH($CA$4,연료전지_원본!$A$4:$KY$4,0))</f>
        <v>0</v>
      </c>
      <c r="CB79" s="241">
        <f>INDEX(연료전지_원본!$A$4:$KY$369,MATCH($A79,연료전지_원본!$A$4:$A$369,0),MATCH($CB$4,연료전지_원본!$A$4:$KY$4,0))</f>
        <v>0</v>
      </c>
      <c r="CC79" s="242">
        <f>INDEX(연료전지_원본!$A$4:$KY$369,MATCH($A79,연료전지_원본!$A$4:$A$369,0),MATCH($CC$4,연료전지_원본!$A$4:$KY$4,0))</f>
        <v>0</v>
      </c>
      <c r="CD79" s="250" t="e">
        <f>INDEX(연료전지_원본!$KB$4:$KX$369,MATCH($A79,연료전지_원본!$KB$4:$KB$369,0), MATCH(CD$4,연료전지_원본!$KB$4:$KX$4,0))*1000</f>
        <v>#N/A</v>
      </c>
      <c r="CE79" s="250" t="e">
        <f>INDEX(연료전지_원본!$KB$4:$KX$369,MATCH($A79,연료전지_원본!$KB$4:$KB$369,0), MATCH(CE$4,연료전지_원본!$KB$4:$KX$4,0))*1000</f>
        <v>#N/A</v>
      </c>
      <c r="CF79" s="250" t="e">
        <f>INDEX(연료전지_원본!$KB$4:$KX$369,MATCH($A79,연료전지_원본!$KB$4:$KB$369,0), MATCH(CF$4,연료전지_원본!$KB$4:$KX$4,0))*1000</f>
        <v>#N/A</v>
      </c>
      <c r="CG79" s="250" t="e">
        <f>INDEX(연료전지_원본!$KB$4:$KX$369,MATCH($A79,연료전지_원본!$KB$4:$KB$369,0), MATCH(CG$4,연료전지_원본!$KB$4:$KX$4,0))*1000</f>
        <v>#N/A</v>
      </c>
      <c r="CH79" s="250" t="e">
        <f>INDEX(연료전지_원본!$KB$4:$KX$369,MATCH($A79,연료전지_원본!$KB$4:$KB$369,0), MATCH(CH$4,연료전지_원본!$KB$4:$KX$4,0))*1000</f>
        <v>#N/A</v>
      </c>
      <c r="CI79" s="250" t="e">
        <f>INDEX(연료전지_원본!$KB$4:$KX$369,MATCH($A79,연료전지_원본!$KB$4:$KB$369,0), MATCH(CI$4,연료전지_원본!$KB$4:$KX$4,0))*1000</f>
        <v>#N/A</v>
      </c>
      <c r="CJ79" s="250" t="e">
        <f>INDEX(연료전지_원본!$KB$4:$KX$369,MATCH($A79,연료전지_원본!$KB$4:$KB$369,0), MATCH(CJ$4,연료전지_원본!$KB$4:$KX$4,0))*1000</f>
        <v>#N/A</v>
      </c>
      <c r="CK79" s="250" t="e">
        <f>INDEX(연료전지_원본!$KB$4:$KX$369,MATCH($A79,연료전지_원본!$KB$4:$KB$369,0), MATCH(CK$4,연료전지_원본!$KB$4:$KX$4,0))*1000</f>
        <v>#N/A</v>
      </c>
      <c r="CL79" s="250" t="e">
        <f>INDEX(연료전지_원본!$KB$4:$KX$369,MATCH($A79,연료전지_원본!$KB$4:$KB$369,0), MATCH(CL$4,연료전지_원본!$KB$4:$KX$4,0))*1000</f>
        <v>#N/A</v>
      </c>
      <c r="CM79" s="250" t="e">
        <f>INDEX(연료전지_원본!$KB$4:$KX$369,MATCH($A79,연료전지_원본!$KB$4:$KB$369,0), MATCH(CM$4,연료전지_원본!$KB$4:$KX$4,0))*1000</f>
        <v>#N/A</v>
      </c>
      <c r="CN79" s="250" t="e">
        <f>INDEX(연료전지_원본!$KB$4:$KX$369,MATCH($A79,연료전지_원본!$KB$4:$KB$369,0), MATCH(CN$4,연료전지_원본!$KB$4:$KX$4,0))*1000</f>
        <v>#N/A</v>
      </c>
      <c r="CO79" s="250" t="e">
        <f>INDEX(연료전지_원본!$KB$4:$KX$369,MATCH($A79,연료전지_원본!$KB$4:$KB$369,0), MATCH(CO$4,연료전지_원본!$KB$4:$KX$4,0))*1000</f>
        <v>#N/A</v>
      </c>
      <c r="CP79" s="250" t="e">
        <f>INDEX(연료전지_원본!$KB$4:$KX$369,MATCH($A79,연료전지_원본!$KB$4:$KB$369,0), MATCH(CP$4,연료전지_원본!$KB$4:$KX$4,0))*1000</f>
        <v>#N/A</v>
      </c>
      <c r="CQ79" s="250" t="e">
        <f>INDEX(연료전지_원본!$KB$4:$KX$369,MATCH($A79,연료전지_원본!$KB$4:$KB$369,0), MATCH(CQ$4,연료전지_원본!$KB$4:$KX$4,0))*1000</f>
        <v>#N/A</v>
      </c>
      <c r="CR79" s="250" t="e">
        <f>INDEX(연료전지_원본!$KB$4:$KX$369,MATCH($A79,연료전지_원본!$KB$4:$KB$369,0), MATCH(CR$4,연료전지_원본!$KB$4:$KX$4,0))*1000</f>
        <v>#N/A</v>
      </c>
      <c r="CS79" s="250" t="e">
        <f>INDEX(연료전지_원본!$KB$4:$KX$369,MATCH($A79,연료전지_원본!$KB$4:$KB$369,0), MATCH(CS$4,연료전지_원본!$KB$4:$KX$4,0))*1000</f>
        <v>#N/A</v>
      </c>
      <c r="CT79" s="250" t="e">
        <f>INDEX(연료전지_원본!$KB$4:$KX$369,MATCH($A79,연료전지_원본!$KB$4:$KB$369,0), MATCH(CT$4,연료전지_원본!$KB$4:$KX$4,0))*1000</f>
        <v>#N/A</v>
      </c>
      <c r="CU79" s="250" t="e">
        <f>INDEX(연료전지_원본!$KB$4:$KX$369,MATCH($A79,연료전지_원본!$KB$4:$KB$369,0), MATCH(CU$4,연료전지_원본!$KB$4:$KX$4,0))*1000</f>
        <v>#N/A</v>
      </c>
      <c r="CV79" s="250" t="e">
        <f>INDEX(연료전지_원본!$KB$4:$KX$369,MATCH($A79,연료전지_원본!$KB$4:$KB$369,0), MATCH(CV$4,연료전지_원본!$KB$4:$KX$4,0))*1000</f>
        <v>#N/A</v>
      </c>
      <c r="CW79" s="250" t="e">
        <f>INDEX(연료전지_원본!$KB$4:$KX$369,MATCH($A79,연료전지_원본!$KB$4:$KB$369,0), MATCH(CW$4,연료전지_원본!$KB$4:$KX$4,0))*1000</f>
        <v>#N/A</v>
      </c>
      <c r="CX79" s="250" t="e">
        <f>INDEX(연료전지_원본!$KB$4:$KX$369,MATCH($A79,연료전지_원본!$KB$4:$KB$369,0), MATCH(CX$4,연료전지_원본!$KB$4:$KX$4,0))*1000</f>
        <v>#N/A</v>
      </c>
      <c r="CY79" s="250" t="e">
        <f>INDEX(연료전지_원본!$KB$4:$KX$369,MATCH($A79,연료전지_원본!$KB$4:$KB$369,0), MATCH(CY$4,연료전지_원본!$KB$4:$KX$4,0))*1000</f>
        <v>#N/A</v>
      </c>
      <c r="DV79" s="30">
        <f t="shared" si="297"/>
        <v>0</v>
      </c>
    </row>
    <row r="80" spans="1:126">
      <c r="A80" s="6">
        <v>46097</v>
      </c>
      <c r="B80" s="15">
        <f>운전실적_원본!B80</f>
        <v>651.20000000000005</v>
      </c>
      <c r="C80" s="16">
        <f t="shared" si="298"/>
        <v>0</v>
      </c>
      <c r="D80" s="12">
        <f>운전실적_원본!C80</f>
        <v>250250</v>
      </c>
      <c r="E80" s="12">
        <f t="shared" si="299"/>
        <v>22</v>
      </c>
      <c r="F80" s="12">
        <f>운전실적_원본!D80</f>
        <v>241686</v>
      </c>
      <c r="G80" s="16">
        <f t="shared" si="300"/>
        <v>29</v>
      </c>
      <c r="H80" s="15">
        <f>운전실적_원본!E80</f>
        <v>17323.77</v>
      </c>
      <c r="I80" s="16">
        <f t="shared" si="301"/>
        <v>4.3300000000017462</v>
      </c>
      <c r="J80" s="15">
        <f>운전실적_원본!F80</f>
        <v>15514.44</v>
      </c>
      <c r="K80" s="16">
        <f t="shared" si="301"/>
        <v>6.819999999999709</v>
      </c>
      <c r="L80" s="32">
        <f>운전실적_원본!G80</f>
        <v>41.7</v>
      </c>
      <c r="M80" s="31">
        <f t="shared" ref="M80" si="508">IF(OR(LEN(L80)=0,L80=0),"",L80-L79)</f>
        <v>0.70000000000000284</v>
      </c>
      <c r="N80" s="15">
        <f>운전실적_원본!H80</f>
        <v>40745</v>
      </c>
      <c r="O80" s="16">
        <f t="shared" ref="O80" si="509">IF(OR(LEN(N80)=0,N80=0),"",N80-N79)</f>
        <v>79</v>
      </c>
      <c r="P80" s="15">
        <f>운전실적_원본!I80</f>
        <v>25524</v>
      </c>
      <c r="Q80" s="16">
        <f t="shared" ref="Q80" si="510">IF(OR(LEN(P80)=0,P80=0),"",P80-P79)</f>
        <v>115</v>
      </c>
      <c r="R80" s="18">
        <f>운전실적_원본!J80</f>
        <v>33.76</v>
      </c>
      <c r="S80" s="19">
        <f t="shared" ref="S80" si="511">IF(OR(LEN(R80)=0,R80=0),"",R80-R79)</f>
        <v>8.5000000000000853E-2</v>
      </c>
      <c r="T80" s="18">
        <f>운전실적_원본!K80</f>
        <v>33.22</v>
      </c>
      <c r="U80" s="19">
        <f t="shared" si="306"/>
        <v>8.5999999999998522E-2</v>
      </c>
      <c r="V80" s="12">
        <f>운전실적_원본!L80</f>
        <v>7675</v>
      </c>
      <c r="W80" s="16">
        <f t="shared" ref="W80" si="512">IF(OR(LEN(V80)=0,V80=0),"",V80-V79)</f>
        <v>-524.46700000000055</v>
      </c>
      <c r="X80" s="10">
        <f>운전실적_원본!M80</f>
        <v>17880.289999999106</v>
      </c>
      <c r="Y80" s="10">
        <f>운전실적_원본!N80</f>
        <v>0</v>
      </c>
      <c r="Z80" s="10">
        <f>운전실적_원본!O80</f>
        <v>0</v>
      </c>
      <c r="AA80" s="10">
        <f>운전실적_원본!P80</f>
        <v>0</v>
      </c>
      <c r="AB80" s="10">
        <f>운전실적_원본!Q80</f>
        <v>0</v>
      </c>
      <c r="AC80" s="20">
        <f>운전실적_원본!R80</f>
        <v>0</v>
      </c>
      <c r="AD80" s="109">
        <f>운전실적_원본!S80</f>
        <v>8</v>
      </c>
      <c r="AE80" s="110">
        <f>운전실적_원본!T80</f>
        <v>0</v>
      </c>
      <c r="AF80" s="110">
        <f>운전실적_원본!U80</f>
        <v>0</v>
      </c>
      <c r="AG80" s="110">
        <f>운전실적_원본!V80</f>
        <v>0</v>
      </c>
      <c r="AH80" s="109">
        <f t="shared" si="460"/>
        <v>8.1666666665696539</v>
      </c>
      <c r="AI80" s="110">
        <f t="shared" si="467"/>
        <v>0</v>
      </c>
      <c r="AJ80" s="110">
        <f>운전실적_원본!Y80</f>
        <v>0</v>
      </c>
      <c r="AK80" s="110">
        <f>운전실적_원본!Z80</f>
        <v>0</v>
      </c>
      <c r="AL80" s="106">
        <v>46097.138888888891</v>
      </c>
      <c r="AM80" s="105">
        <v>46097.479166666664</v>
      </c>
      <c r="AN80" s="105"/>
      <c r="AO80" s="105"/>
      <c r="AP80" s="105"/>
      <c r="AQ80" s="108"/>
      <c r="AR80" s="105"/>
      <c r="AS80" s="105"/>
      <c r="AT80" s="102"/>
      <c r="AU80" s="102"/>
      <c r="AV80" s="102"/>
      <c r="AW80" s="102"/>
      <c r="AX80" s="32">
        <f>운전실적_원본!W80</f>
        <v>113.3100000000004</v>
      </c>
      <c r="AY80" s="11">
        <f>운전실적_원본!X80</f>
        <v>0</v>
      </c>
      <c r="AZ80" s="11">
        <f>운전실적_원본!Y80</f>
        <v>0</v>
      </c>
      <c r="BA80" s="11">
        <f>운전실적_원본!Z80</f>
        <v>0</v>
      </c>
      <c r="BB80" s="11">
        <f>운전실적_원본!AA80</f>
        <v>0</v>
      </c>
      <c r="BC80" s="11">
        <f>운전실적_원본!AB80</f>
        <v>113.3100000000004</v>
      </c>
      <c r="BD80" s="32">
        <f t="shared" si="453"/>
        <v>14.16375000000005</v>
      </c>
      <c r="BE80" s="11">
        <f t="shared" si="461"/>
        <v>0.27561295971979083</v>
      </c>
      <c r="BF80" s="11">
        <f>운전실적_원본!AE80</f>
        <v>0</v>
      </c>
      <c r="BG80" s="31">
        <f t="shared" si="454"/>
        <v>0</v>
      </c>
      <c r="BH80" s="241">
        <f>INDEX(연료전지_원본!$A$4:$KY$369,MATCH($A80,연료전지_원본!$A$4:$A$369,0),MATCH($BH$4,연료전지_원본!$A$4:$KY$4,0))</f>
        <v>0</v>
      </c>
      <c r="BI80" s="241">
        <f>INDEX(연료전지_원본!$A$4:$KY$369,MATCH($A80,연료전지_원본!$A$4:$A$369,0),MATCH($BI$4,연료전지_원본!$A$4:$KY$4,0))</f>
        <v>0</v>
      </c>
      <c r="BJ80" s="241">
        <f>INDEX(연료전지_원본!$A$4:$KY$369,MATCH($A80,연료전지_원본!$A$4:$A$369,0),MATCH($BJ$4,연료전지_원본!$A$4:$KY$4,0))</f>
        <v>0</v>
      </c>
      <c r="BK80" s="241">
        <f>INDEX(연료전지_원본!$A$4:$KY$369,MATCH($A80,연료전지_원본!$A$4:$A$369,0),MATCH($BK$4,연료전지_원본!$A$4:$KY$4,0))</f>
        <v>0</v>
      </c>
      <c r="BL80" s="241">
        <f>INDEX(연료전지_원본!$A$4:$KY$369,MATCH($A80,연료전지_원본!$A$4:$A$369,0),MATCH($BL$4,연료전지_원본!$A$4:$KY$4,0))</f>
        <v>0</v>
      </c>
      <c r="BM80" s="241">
        <f>INDEX(연료전지_원본!$A$4:$KY$369,MATCH($A80,연료전지_원본!$A$4:$A$369,0),MATCH($BM$4,연료전지_원본!$A$4:$KY$4,0))</f>
        <v>0</v>
      </c>
      <c r="BN80" s="241">
        <f>INDEX(연료전지_원본!$A$4:$KY$369,MATCH($A80,연료전지_원본!$A$4:$A$369,0),MATCH($BN$4,연료전지_원본!$A$4:$KY$4,0))</f>
        <v>0</v>
      </c>
      <c r="BO80" s="241">
        <f>INDEX(연료전지_원본!$A$4:$KY$369,MATCH($A80,연료전지_원본!$A$4:$A$369,0),MATCH($BO$4,연료전지_원본!$A$4:$KY$4,0))</f>
        <v>0</v>
      </c>
      <c r="BP80" s="241">
        <f>INDEX(연료전지_원본!$A$4:$KY$369,MATCH($A80,연료전지_원본!$A$4:$A$369,0),MATCH($BP$4,연료전지_원본!$A$4:$KY$4,0))</f>
        <v>0</v>
      </c>
      <c r="BQ80" s="241">
        <f>INDEX(연료전지_원본!$A$4:$KY$369,MATCH($A80,연료전지_원본!$A$4:$A$369,0),MATCH($BQ$4,연료전지_원본!$A$4:$KY$4,0))</f>
        <v>0</v>
      </c>
      <c r="BR80" s="241">
        <f>INDEX(연료전지_원본!$A$4:$KY$369,MATCH($A80,연료전지_원본!$A$4:$A$369,0),MATCH($BR$4,연료전지_원본!$A$4:$KY$4,0))</f>
        <v>0</v>
      </c>
      <c r="BS80" s="241">
        <f>INDEX(연료전지_원본!$A$4:$KY$369,MATCH($A80,연료전지_원본!$A$4:$A$369,0),MATCH($BS$4,연료전지_원본!$A$4:$KY$4,0))</f>
        <v>0</v>
      </c>
      <c r="BT80" s="241">
        <f>INDEX(연료전지_원본!$A$4:$KY$369,MATCH($A80,연료전지_원본!$A$4:$A$369,0),MATCH($BT$4,연료전지_원본!$A$4:$KY$4,0))</f>
        <v>0</v>
      </c>
      <c r="BU80" s="241">
        <f>INDEX(연료전지_원본!$A$4:$KY$369,MATCH($A80,연료전지_원본!$A$4:$A$369,0),MATCH($BU$4,연료전지_원본!$A$4:$KY$4,0))</f>
        <v>0</v>
      </c>
      <c r="BV80" s="241">
        <f>INDEX(연료전지_원본!$A$4:$KY$369,MATCH($A80,연료전지_원본!$A$4:$A$369,0),MATCH($BV$4,연료전지_원본!$A$4:$KY$4,0))</f>
        <v>0</v>
      </c>
      <c r="BW80" s="241">
        <f>INDEX(연료전지_원본!$A$4:$KY$369,MATCH($A80,연료전지_원본!$A$4:$A$369,0),MATCH($BW$4,연료전지_원본!$A$4:$KY$4,0))</f>
        <v>0</v>
      </c>
      <c r="BX80" s="241">
        <f>INDEX(연료전지_원본!$A$4:$KY$369,MATCH($A80,연료전지_원본!$A$4:$A$369,0),MATCH($BX$4,연료전지_원본!$A$4:$KY$4,0))</f>
        <v>0</v>
      </c>
      <c r="BY80" s="241">
        <f>INDEX(연료전지_원본!$A$4:$KY$369,MATCH($A80,연료전지_원본!$A$4:$A$369,0),MATCH($BY$4,연료전지_원본!$A$4:$KY$4,0))</f>
        <v>0</v>
      </c>
      <c r="BZ80" s="241">
        <f>INDEX(연료전지_원본!$A$4:$KY$369,MATCH($A80,연료전지_원본!$A$4:$A$369,0),MATCH($BZ$4,연료전지_원본!$A$4:$KY$4,0))</f>
        <v>0</v>
      </c>
      <c r="CA80" s="241">
        <f>INDEX(연료전지_원본!$A$4:$KY$369,MATCH($A80,연료전지_원본!$A$4:$A$369,0),MATCH($CA$4,연료전지_원본!$A$4:$KY$4,0))</f>
        <v>0</v>
      </c>
      <c r="CB80" s="241">
        <f>INDEX(연료전지_원본!$A$4:$KY$369,MATCH($A80,연료전지_원본!$A$4:$A$369,0),MATCH($CB$4,연료전지_원본!$A$4:$KY$4,0))</f>
        <v>0</v>
      </c>
      <c r="CC80" s="242">
        <f>INDEX(연료전지_원본!$A$4:$KY$369,MATCH($A80,연료전지_원본!$A$4:$A$369,0),MATCH($CC$4,연료전지_원본!$A$4:$KY$4,0))</f>
        <v>0</v>
      </c>
      <c r="CD80" s="250" t="e">
        <f>INDEX(연료전지_원본!$KB$4:$KX$369,MATCH($A80,연료전지_원본!$KB$4:$KB$369,0), MATCH(CD$4,연료전지_원본!$KB$4:$KX$4,0))*1000</f>
        <v>#N/A</v>
      </c>
      <c r="CE80" s="250" t="e">
        <f>INDEX(연료전지_원본!$KB$4:$KX$369,MATCH($A80,연료전지_원본!$KB$4:$KB$369,0), MATCH(CE$4,연료전지_원본!$KB$4:$KX$4,0))*1000</f>
        <v>#N/A</v>
      </c>
      <c r="CF80" s="250" t="e">
        <f>INDEX(연료전지_원본!$KB$4:$KX$369,MATCH($A80,연료전지_원본!$KB$4:$KB$369,0), MATCH(CF$4,연료전지_원본!$KB$4:$KX$4,0))*1000</f>
        <v>#N/A</v>
      </c>
      <c r="CG80" s="250" t="e">
        <f>INDEX(연료전지_원본!$KB$4:$KX$369,MATCH($A80,연료전지_원본!$KB$4:$KB$369,0), MATCH(CG$4,연료전지_원본!$KB$4:$KX$4,0))*1000</f>
        <v>#N/A</v>
      </c>
      <c r="CH80" s="250" t="e">
        <f>INDEX(연료전지_원본!$KB$4:$KX$369,MATCH($A80,연료전지_원본!$KB$4:$KB$369,0), MATCH(CH$4,연료전지_원본!$KB$4:$KX$4,0))*1000</f>
        <v>#N/A</v>
      </c>
      <c r="CI80" s="250" t="e">
        <f>INDEX(연료전지_원본!$KB$4:$KX$369,MATCH($A80,연료전지_원본!$KB$4:$KB$369,0), MATCH(CI$4,연료전지_원본!$KB$4:$KX$4,0))*1000</f>
        <v>#N/A</v>
      </c>
      <c r="CJ80" s="250" t="e">
        <f>INDEX(연료전지_원본!$KB$4:$KX$369,MATCH($A80,연료전지_원본!$KB$4:$KB$369,0), MATCH(CJ$4,연료전지_원본!$KB$4:$KX$4,0))*1000</f>
        <v>#N/A</v>
      </c>
      <c r="CK80" s="250" t="e">
        <f>INDEX(연료전지_원본!$KB$4:$KX$369,MATCH($A80,연료전지_원본!$KB$4:$KB$369,0), MATCH(CK$4,연료전지_원본!$KB$4:$KX$4,0))*1000</f>
        <v>#N/A</v>
      </c>
      <c r="CL80" s="250" t="e">
        <f>INDEX(연료전지_원본!$KB$4:$KX$369,MATCH($A80,연료전지_원본!$KB$4:$KB$369,0), MATCH(CL$4,연료전지_원본!$KB$4:$KX$4,0))*1000</f>
        <v>#N/A</v>
      </c>
      <c r="CM80" s="250" t="e">
        <f>INDEX(연료전지_원본!$KB$4:$KX$369,MATCH($A80,연료전지_원본!$KB$4:$KB$369,0), MATCH(CM$4,연료전지_원본!$KB$4:$KX$4,0))*1000</f>
        <v>#N/A</v>
      </c>
      <c r="CN80" s="250" t="e">
        <f>INDEX(연료전지_원본!$KB$4:$KX$369,MATCH($A80,연료전지_원본!$KB$4:$KB$369,0), MATCH(CN$4,연료전지_원본!$KB$4:$KX$4,0))*1000</f>
        <v>#N/A</v>
      </c>
      <c r="CO80" s="250" t="e">
        <f>INDEX(연료전지_원본!$KB$4:$KX$369,MATCH($A80,연료전지_원본!$KB$4:$KB$369,0), MATCH(CO$4,연료전지_원본!$KB$4:$KX$4,0))*1000</f>
        <v>#N/A</v>
      </c>
      <c r="CP80" s="250" t="e">
        <f>INDEX(연료전지_원본!$KB$4:$KX$369,MATCH($A80,연료전지_원본!$KB$4:$KB$369,0), MATCH(CP$4,연료전지_원본!$KB$4:$KX$4,0))*1000</f>
        <v>#N/A</v>
      </c>
      <c r="CQ80" s="250" t="e">
        <f>INDEX(연료전지_원본!$KB$4:$KX$369,MATCH($A80,연료전지_원본!$KB$4:$KB$369,0), MATCH(CQ$4,연료전지_원본!$KB$4:$KX$4,0))*1000</f>
        <v>#N/A</v>
      </c>
      <c r="CR80" s="250" t="e">
        <f>INDEX(연료전지_원본!$KB$4:$KX$369,MATCH($A80,연료전지_원본!$KB$4:$KB$369,0), MATCH(CR$4,연료전지_원본!$KB$4:$KX$4,0))*1000</f>
        <v>#N/A</v>
      </c>
      <c r="CS80" s="250" t="e">
        <f>INDEX(연료전지_원본!$KB$4:$KX$369,MATCH($A80,연료전지_원본!$KB$4:$KB$369,0), MATCH(CS$4,연료전지_원본!$KB$4:$KX$4,0))*1000</f>
        <v>#N/A</v>
      </c>
      <c r="CT80" s="250" t="e">
        <f>INDEX(연료전지_원본!$KB$4:$KX$369,MATCH($A80,연료전지_원본!$KB$4:$KB$369,0), MATCH(CT$4,연료전지_원본!$KB$4:$KX$4,0))*1000</f>
        <v>#N/A</v>
      </c>
      <c r="CU80" s="250" t="e">
        <f>INDEX(연료전지_원본!$KB$4:$KX$369,MATCH($A80,연료전지_원본!$KB$4:$KB$369,0), MATCH(CU$4,연료전지_원본!$KB$4:$KX$4,0))*1000</f>
        <v>#N/A</v>
      </c>
      <c r="CV80" s="250" t="e">
        <f>INDEX(연료전지_원본!$KB$4:$KX$369,MATCH($A80,연료전지_원본!$KB$4:$KB$369,0), MATCH(CV$4,연료전지_원본!$KB$4:$KX$4,0))*1000</f>
        <v>#N/A</v>
      </c>
      <c r="CW80" s="250" t="e">
        <f>INDEX(연료전지_원본!$KB$4:$KX$369,MATCH($A80,연료전지_원본!$KB$4:$KB$369,0), MATCH(CW$4,연료전지_원본!$KB$4:$KX$4,0))*1000</f>
        <v>#N/A</v>
      </c>
      <c r="CX80" s="250" t="e">
        <f>INDEX(연료전지_원본!$KB$4:$KX$369,MATCH($A80,연료전지_원본!$KB$4:$KB$369,0), MATCH(CX$4,연료전지_원본!$KB$4:$KX$4,0))*1000</f>
        <v>#N/A</v>
      </c>
      <c r="CY80" s="250" t="e">
        <f>INDEX(연료전지_원본!$KB$4:$KX$369,MATCH($A80,연료전지_원본!$KB$4:$KB$369,0), MATCH(CY$4,연료전지_원본!$KB$4:$KX$4,0))*1000</f>
        <v>#N/A</v>
      </c>
      <c r="DV80" s="30">
        <f t="shared" si="297"/>
        <v>0</v>
      </c>
    </row>
    <row r="81" spans="1:126">
      <c r="A81" s="6">
        <v>46098</v>
      </c>
      <c r="B81" s="15">
        <f>운전실적_원본!B81</f>
        <v>651.20000000000005</v>
      </c>
      <c r="C81" s="16">
        <f t="shared" si="298"/>
        <v>0</v>
      </c>
      <c r="D81" s="12">
        <f>운전실적_원본!C81</f>
        <v>250250</v>
      </c>
      <c r="E81" s="12">
        <f t="shared" si="299"/>
        <v>0</v>
      </c>
      <c r="F81" s="12">
        <f>운전실적_원본!D81</f>
        <v>241725</v>
      </c>
      <c r="G81" s="16">
        <f t="shared" si="300"/>
        <v>39</v>
      </c>
      <c r="H81" s="15">
        <f>운전실적_원본!E81</f>
        <v>17328.060000000001</v>
      </c>
      <c r="I81" s="16">
        <f t="shared" si="301"/>
        <v>4.2900000000008731</v>
      </c>
      <c r="J81" s="15">
        <f>운전실적_원본!F81</f>
        <v>15517.6</v>
      </c>
      <c r="K81" s="16">
        <f t="shared" si="301"/>
        <v>3.1599999999998545</v>
      </c>
      <c r="L81" s="32">
        <f>운전실적_원본!G81</f>
        <v>42.4</v>
      </c>
      <c r="M81" s="31">
        <f t="shared" ref="M81" si="513">IF(OR(LEN(L81)=0,L81=0),"",L81-L80)</f>
        <v>0.69999999999999574</v>
      </c>
      <c r="N81" s="15">
        <f>운전실적_원본!H81</f>
        <v>40807</v>
      </c>
      <c r="O81" s="16">
        <f t="shared" ref="O81" si="514">IF(OR(LEN(N81)=0,N81=0),"",N81-N80)</f>
        <v>62</v>
      </c>
      <c r="P81" s="15">
        <f>운전실적_원본!I81</f>
        <v>25591</v>
      </c>
      <c r="Q81" s="16">
        <f t="shared" ref="Q81" si="515">IF(OR(LEN(P81)=0,P81=0),"",P81-P80)</f>
        <v>67</v>
      </c>
      <c r="R81" s="18">
        <f>운전실적_원본!J81</f>
        <v>33.81</v>
      </c>
      <c r="S81" s="19">
        <f t="shared" ref="S81" si="516">IF(OR(LEN(R81)=0,R81=0),"",R81-R80)</f>
        <v>5.0000000000004263E-2</v>
      </c>
      <c r="T81" s="18">
        <f>운전실적_원본!K81</f>
        <v>33.25</v>
      </c>
      <c r="U81" s="19">
        <f t="shared" si="306"/>
        <v>3.0000000000001137E-2</v>
      </c>
      <c r="V81" s="12">
        <f>운전실적_원본!L81</f>
        <v>7023</v>
      </c>
      <c r="W81" s="16">
        <f t="shared" ref="W81" si="517">IF(OR(LEN(V81)=0,V81=0),"",V81-V80)</f>
        <v>-652</v>
      </c>
      <c r="X81" s="10">
        <f>운전실적_원본!M81</f>
        <v>0</v>
      </c>
      <c r="Y81" s="10">
        <f>운전실적_원본!N81</f>
        <v>0</v>
      </c>
      <c r="Z81" s="10">
        <f>운전실적_원본!O81</f>
        <v>0</v>
      </c>
      <c r="AA81" s="10">
        <f>운전실적_원본!P81</f>
        <v>0</v>
      </c>
      <c r="AB81" s="10">
        <f>운전실적_원본!Q81</f>
        <v>0</v>
      </c>
      <c r="AC81" s="20">
        <f>운전실적_원본!R81</f>
        <v>0</v>
      </c>
      <c r="AD81" s="109">
        <f>운전실적_원본!S81</f>
        <v>0</v>
      </c>
      <c r="AE81" s="110">
        <f>운전실적_원본!T81</f>
        <v>0</v>
      </c>
      <c r="AF81" s="110">
        <f>운전실적_원본!U81</f>
        <v>0</v>
      </c>
      <c r="AG81" s="110">
        <f>운전실적_원본!V81</f>
        <v>0</v>
      </c>
      <c r="AH81" s="109">
        <f t="shared" si="460"/>
        <v>0</v>
      </c>
      <c r="AI81" s="110">
        <f t="shared" si="467"/>
        <v>0</v>
      </c>
      <c r="AJ81" s="110">
        <f>운전실적_원본!Y81</f>
        <v>0</v>
      </c>
      <c r="AK81" s="110">
        <f>운전실적_원본!Z81</f>
        <v>0</v>
      </c>
      <c r="AL81" s="106"/>
      <c r="AM81" s="105"/>
      <c r="AN81" s="105"/>
      <c r="AO81" s="105"/>
      <c r="AP81" s="105"/>
      <c r="AQ81" s="108"/>
      <c r="AR81" s="105"/>
      <c r="AS81" s="105"/>
      <c r="AT81" s="102"/>
      <c r="AU81" s="102"/>
      <c r="AV81" s="102"/>
      <c r="AW81" s="102"/>
      <c r="AX81" s="32">
        <f>운전실적_원본!W81</f>
        <v>0</v>
      </c>
      <c r="AY81" s="11">
        <f>운전실적_원본!X81</f>
        <v>0</v>
      </c>
      <c r="AZ81" s="11">
        <f>운전실적_원본!Y81</f>
        <v>0</v>
      </c>
      <c r="BA81" s="11">
        <f>운전실적_원본!Z81</f>
        <v>0</v>
      </c>
      <c r="BB81" s="11">
        <f>운전실적_원본!AA81</f>
        <v>0</v>
      </c>
      <c r="BC81" s="11">
        <f>운전실적_원본!AB81</f>
        <v>0</v>
      </c>
      <c r="BD81" s="32" t="str">
        <f t="shared" si="453"/>
        <v>-</v>
      </c>
      <c r="BE81" s="11" t="str">
        <f t="shared" si="461"/>
        <v>-</v>
      </c>
      <c r="BF81" s="11">
        <f>운전실적_원본!AE81</f>
        <v>0</v>
      </c>
      <c r="BG81" s="31">
        <f t="shared" si="454"/>
        <v>0</v>
      </c>
      <c r="BH81" s="241">
        <f>INDEX(연료전지_원본!$A$4:$KY$369,MATCH($A81,연료전지_원본!$A$4:$A$369,0),MATCH($BH$4,연료전지_원본!$A$4:$KY$4,0))</f>
        <v>0</v>
      </c>
      <c r="BI81" s="241">
        <f>INDEX(연료전지_원본!$A$4:$KY$369,MATCH($A81,연료전지_원본!$A$4:$A$369,0),MATCH($BI$4,연료전지_원본!$A$4:$KY$4,0))</f>
        <v>0</v>
      </c>
      <c r="BJ81" s="241">
        <f>INDEX(연료전지_원본!$A$4:$KY$369,MATCH($A81,연료전지_원본!$A$4:$A$369,0),MATCH($BJ$4,연료전지_원본!$A$4:$KY$4,0))</f>
        <v>0</v>
      </c>
      <c r="BK81" s="241">
        <f>INDEX(연료전지_원본!$A$4:$KY$369,MATCH($A81,연료전지_원본!$A$4:$A$369,0),MATCH($BK$4,연료전지_원본!$A$4:$KY$4,0))</f>
        <v>0</v>
      </c>
      <c r="BL81" s="241">
        <f>INDEX(연료전지_원본!$A$4:$KY$369,MATCH($A81,연료전지_원본!$A$4:$A$369,0),MATCH($BL$4,연료전지_원본!$A$4:$KY$4,0))</f>
        <v>0</v>
      </c>
      <c r="BM81" s="241">
        <f>INDEX(연료전지_원본!$A$4:$KY$369,MATCH($A81,연료전지_원본!$A$4:$A$369,0),MATCH($BM$4,연료전지_원본!$A$4:$KY$4,0))</f>
        <v>0</v>
      </c>
      <c r="BN81" s="241">
        <f>INDEX(연료전지_원본!$A$4:$KY$369,MATCH($A81,연료전지_원본!$A$4:$A$369,0),MATCH($BN$4,연료전지_원본!$A$4:$KY$4,0))</f>
        <v>0</v>
      </c>
      <c r="BO81" s="241">
        <f>INDEX(연료전지_원본!$A$4:$KY$369,MATCH($A81,연료전지_원본!$A$4:$A$369,0),MATCH($BO$4,연료전지_원본!$A$4:$KY$4,0))</f>
        <v>0</v>
      </c>
      <c r="BP81" s="241">
        <f>INDEX(연료전지_원본!$A$4:$KY$369,MATCH($A81,연료전지_원본!$A$4:$A$369,0),MATCH($BP$4,연료전지_원본!$A$4:$KY$4,0))</f>
        <v>0</v>
      </c>
      <c r="BQ81" s="241">
        <f>INDEX(연료전지_원본!$A$4:$KY$369,MATCH($A81,연료전지_원본!$A$4:$A$369,0),MATCH($BQ$4,연료전지_원본!$A$4:$KY$4,0))</f>
        <v>0</v>
      </c>
      <c r="BR81" s="241">
        <f>INDEX(연료전지_원본!$A$4:$KY$369,MATCH($A81,연료전지_원본!$A$4:$A$369,0),MATCH($BR$4,연료전지_원본!$A$4:$KY$4,0))</f>
        <v>0</v>
      </c>
      <c r="BS81" s="241">
        <f>INDEX(연료전지_원본!$A$4:$KY$369,MATCH($A81,연료전지_원본!$A$4:$A$369,0),MATCH($BS$4,연료전지_원본!$A$4:$KY$4,0))</f>
        <v>0</v>
      </c>
      <c r="BT81" s="241">
        <f>INDEX(연료전지_원본!$A$4:$KY$369,MATCH($A81,연료전지_원본!$A$4:$A$369,0),MATCH($BT$4,연료전지_원본!$A$4:$KY$4,0))</f>
        <v>0</v>
      </c>
      <c r="BU81" s="241">
        <f>INDEX(연료전지_원본!$A$4:$KY$369,MATCH($A81,연료전지_원본!$A$4:$A$369,0),MATCH($BU$4,연료전지_원본!$A$4:$KY$4,0))</f>
        <v>0</v>
      </c>
      <c r="BV81" s="241">
        <f>INDEX(연료전지_원본!$A$4:$KY$369,MATCH($A81,연료전지_원본!$A$4:$A$369,0),MATCH($BV$4,연료전지_원본!$A$4:$KY$4,0))</f>
        <v>0</v>
      </c>
      <c r="BW81" s="241">
        <f>INDEX(연료전지_원본!$A$4:$KY$369,MATCH($A81,연료전지_원본!$A$4:$A$369,0),MATCH($BW$4,연료전지_원본!$A$4:$KY$4,0))</f>
        <v>0</v>
      </c>
      <c r="BX81" s="241">
        <f>INDEX(연료전지_원본!$A$4:$KY$369,MATCH($A81,연료전지_원본!$A$4:$A$369,0),MATCH($BX$4,연료전지_원본!$A$4:$KY$4,0))</f>
        <v>0</v>
      </c>
      <c r="BY81" s="241">
        <f>INDEX(연료전지_원본!$A$4:$KY$369,MATCH($A81,연료전지_원본!$A$4:$A$369,0),MATCH($BY$4,연료전지_원본!$A$4:$KY$4,0))</f>
        <v>0</v>
      </c>
      <c r="BZ81" s="241">
        <f>INDEX(연료전지_원본!$A$4:$KY$369,MATCH($A81,연료전지_원본!$A$4:$A$369,0),MATCH($BZ$4,연료전지_원본!$A$4:$KY$4,0))</f>
        <v>0</v>
      </c>
      <c r="CA81" s="241">
        <f>INDEX(연료전지_원본!$A$4:$KY$369,MATCH($A81,연료전지_원본!$A$4:$A$369,0),MATCH($CA$4,연료전지_원본!$A$4:$KY$4,0))</f>
        <v>0</v>
      </c>
      <c r="CB81" s="241">
        <f>INDEX(연료전지_원본!$A$4:$KY$369,MATCH($A81,연료전지_원본!$A$4:$A$369,0),MATCH($CB$4,연료전지_원본!$A$4:$KY$4,0))</f>
        <v>0</v>
      </c>
      <c r="CC81" s="242">
        <f>INDEX(연료전지_원본!$A$4:$KY$369,MATCH($A81,연료전지_원본!$A$4:$A$369,0),MATCH($CC$4,연료전지_원본!$A$4:$KY$4,0))</f>
        <v>0</v>
      </c>
      <c r="CD81" s="250" t="e">
        <f>INDEX(연료전지_원본!$KB$4:$KX$369,MATCH($A81,연료전지_원본!$KB$4:$KB$369,0), MATCH(CD$4,연료전지_원본!$KB$4:$KX$4,0))*1000</f>
        <v>#N/A</v>
      </c>
      <c r="CE81" s="250" t="e">
        <f>INDEX(연료전지_원본!$KB$4:$KX$369,MATCH($A81,연료전지_원본!$KB$4:$KB$369,0), MATCH(CE$4,연료전지_원본!$KB$4:$KX$4,0))*1000</f>
        <v>#N/A</v>
      </c>
      <c r="CF81" s="250" t="e">
        <f>INDEX(연료전지_원본!$KB$4:$KX$369,MATCH($A81,연료전지_원본!$KB$4:$KB$369,0), MATCH(CF$4,연료전지_원본!$KB$4:$KX$4,0))*1000</f>
        <v>#N/A</v>
      </c>
      <c r="CG81" s="250" t="e">
        <f>INDEX(연료전지_원본!$KB$4:$KX$369,MATCH($A81,연료전지_원본!$KB$4:$KB$369,0), MATCH(CG$4,연료전지_원본!$KB$4:$KX$4,0))*1000</f>
        <v>#N/A</v>
      </c>
      <c r="CH81" s="250" t="e">
        <f>INDEX(연료전지_원본!$KB$4:$KX$369,MATCH($A81,연료전지_원본!$KB$4:$KB$369,0), MATCH(CH$4,연료전지_원본!$KB$4:$KX$4,0))*1000</f>
        <v>#N/A</v>
      </c>
      <c r="CI81" s="250" t="e">
        <f>INDEX(연료전지_원본!$KB$4:$KX$369,MATCH($A81,연료전지_원본!$KB$4:$KB$369,0), MATCH(CI$4,연료전지_원본!$KB$4:$KX$4,0))*1000</f>
        <v>#N/A</v>
      </c>
      <c r="CJ81" s="250" t="e">
        <f>INDEX(연료전지_원본!$KB$4:$KX$369,MATCH($A81,연료전지_원본!$KB$4:$KB$369,0), MATCH(CJ$4,연료전지_원본!$KB$4:$KX$4,0))*1000</f>
        <v>#N/A</v>
      </c>
      <c r="CK81" s="250" t="e">
        <f>INDEX(연료전지_원본!$KB$4:$KX$369,MATCH($A81,연료전지_원본!$KB$4:$KB$369,0), MATCH(CK$4,연료전지_원본!$KB$4:$KX$4,0))*1000</f>
        <v>#N/A</v>
      </c>
      <c r="CL81" s="250" t="e">
        <f>INDEX(연료전지_원본!$KB$4:$KX$369,MATCH($A81,연료전지_원본!$KB$4:$KB$369,0), MATCH(CL$4,연료전지_원본!$KB$4:$KX$4,0))*1000</f>
        <v>#N/A</v>
      </c>
      <c r="CM81" s="250" t="e">
        <f>INDEX(연료전지_원본!$KB$4:$KX$369,MATCH($A81,연료전지_원본!$KB$4:$KB$369,0), MATCH(CM$4,연료전지_원본!$KB$4:$KX$4,0))*1000</f>
        <v>#N/A</v>
      </c>
      <c r="CN81" s="250" t="e">
        <f>INDEX(연료전지_원본!$KB$4:$KX$369,MATCH($A81,연료전지_원본!$KB$4:$KB$369,0), MATCH(CN$4,연료전지_원본!$KB$4:$KX$4,0))*1000</f>
        <v>#N/A</v>
      </c>
      <c r="CO81" s="250" t="e">
        <f>INDEX(연료전지_원본!$KB$4:$KX$369,MATCH($A81,연료전지_원본!$KB$4:$KB$369,0), MATCH(CO$4,연료전지_원본!$KB$4:$KX$4,0))*1000</f>
        <v>#N/A</v>
      </c>
      <c r="CP81" s="250" t="e">
        <f>INDEX(연료전지_원본!$KB$4:$KX$369,MATCH($A81,연료전지_원본!$KB$4:$KB$369,0), MATCH(CP$4,연료전지_원본!$KB$4:$KX$4,0))*1000</f>
        <v>#N/A</v>
      </c>
      <c r="CQ81" s="250" t="e">
        <f>INDEX(연료전지_원본!$KB$4:$KX$369,MATCH($A81,연료전지_원본!$KB$4:$KB$369,0), MATCH(CQ$4,연료전지_원본!$KB$4:$KX$4,0))*1000</f>
        <v>#N/A</v>
      </c>
      <c r="CR81" s="250" t="e">
        <f>INDEX(연료전지_원본!$KB$4:$KX$369,MATCH($A81,연료전지_원본!$KB$4:$KB$369,0), MATCH(CR$4,연료전지_원본!$KB$4:$KX$4,0))*1000</f>
        <v>#N/A</v>
      </c>
      <c r="CS81" s="250" t="e">
        <f>INDEX(연료전지_원본!$KB$4:$KX$369,MATCH($A81,연료전지_원본!$KB$4:$KB$369,0), MATCH(CS$4,연료전지_원본!$KB$4:$KX$4,0))*1000</f>
        <v>#N/A</v>
      </c>
      <c r="CT81" s="250" t="e">
        <f>INDEX(연료전지_원본!$KB$4:$KX$369,MATCH($A81,연료전지_원본!$KB$4:$KB$369,0), MATCH(CT$4,연료전지_원본!$KB$4:$KX$4,0))*1000</f>
        <v>#N/A</v>
      </c>
      <c r="CU81" s="250" t="e">
        <f>INDEX(연료전지_원본!$KB$4:$KX$369,MATCH($A81,연료전지_원본!$KB$4:$KB$369,0), MATCH(CU$4,연료전지_원본!$KB$4:$KX$4,0))*1000</f>
        <v>#N/A</v>
      </c>
      <c r="CV81" s="250" t="e">
        <f>INDEX(연료전지_원본!$KB$4:$KX$369,MATCH($A81,연료전지_원본!$KB$4:$KB$369,0), MATCH(CV$4,연료전지_원본!$KB$4:$KX$4,0))*1000</f>
        <v>#N/A</v>
      </c>
      <c r="CW81" s="250" t="e">
        <f>INDEX(연료전지_원본!$KB$4:$KX$369,MATCH($A81,연료전지_원본!$KB$4:$KB$369,0), MATCH(CW$4,연료전지_원본!$KB$4:$KX$4,0))*1000</f>
        <v>#N/A</v>
      </c>
      <c r="CX81" s="250" t="e">
        <f>INDEX(연료전지_원본!$KB$4:$KX$369,MATCH($A81,연료전지_원본!$KB$4:$KB$369,0), MATCH(CX$4,연료전지_원본!$KB$4:$KX$4,0))*1000</f>
        <v>#N/A</v>
      </c>
      <c r="CY81" s="250" t="e">
        <f>INDEX(연료전지_원본!$KB$4:$KX$369,MATCH($A81,연료전지_원본!$KB$4:$KB$369,0), MATCH(CY$4,연료전지_원본!$KB$4:$KX$4,0))*1000</f>
        <v>#N/A</v>
      </c>
      <c r="DV81" s="30">
        <f t="shared" si="297"/>
        <v>0</v>
      </c>
    </row>
    <row r="82" spans="1:126">
      <c r="A82" s="6">
        <v>46099</v>
      </c>
      <c r="B82" s="15">
        <f>운전실적_원본!B82</f>
        <v>651.20000000000005</v>
      </c>
      <c r="C82" s="16">
        <f t="shared" si="298"/>
        <v>0</v>
      </c>
      <c r="D82" s="12">
        <f>운전실적_원본!C82</f>
        <v>250369</v>
      </c>
      <c r="E82" s="12">
        <f t="shared" si="299"/>
        <v>119</v>
      </c>
      <c r="F82" s="12">
        <f>운전실적_원본!D82</f>
        <v>241725</v>
      </c>
      <c r="G82" s="16">
        <f t="shared" si="300"/>
        <v>0</v>
      </c>
      <c r="H82" s="15">
        <f>운전실적_원본!E82</f>
        <v>17331.28</v>
      </c>
      <c r="I82" s="16">
        <f t="shared" si="301"/>
        <v>3.2199999999975262</v>
      </c>
      <c r="J82" s="15">
        <f>운전실적_원본!F82</f>
        <v>15526.17</v>
      </c>
      <c r="K82" s="16">
        <f t="shared" si="301"/>
        <v>8.569999999999709</v>
      </c>
      <c r="L82" s="32">
        <f>운전실적_원본!G82</f>
        <v>43.2</v>
      </c>
      <c r="M82" s="31">
        <f t="shared" ref="M82" si="518">IF(OR(LEN(L82)=0,L82=0),"",L82-L81)</f>
        <v>0.80000000000000426</v>
      </c>
      <c r="N82" s="15">
        <f>운전실적_원본!H82</f>
        <v>40918</v>
      </c>
      <c r="O82" s="16">
        <f t="shared" ref="O82" si="519">IF(OR(LEN(N82)=0,N82=0),"",N82-N81)</f>
        <v>111</v>
      </c>
      <c r="P82" s="15">
        <f>운전실적_원본!I82</f>
        <v>25781</v>
      </c>
      <c r="Q82" s="16">
        <f t="shared" ref="Q82" si="520">IF(OR(LEN(P82)=0,P82=0),"",P82-P81)</f>
        <v>190</v>
      </c>
      <c r="R82" s="18">
        <f>운전실적_원본!J82</f>
        <v>33.909999999999997</v>
      </c>
      <c r="S82" s="19">
        <f t="shared" ref="S82" si="521">IF(OR(LEN(R82)=0,R82=0),"",R82-R81)</f>
        <v>9.9999999999994316E-2</v>
      </c>
      <c r="T82" s="18">
        <f>운전실적_원본!K82</f>
        <v>33.270000000000003</v>
      </c>
      <c r="U82" s="19">
        <f t="shared" si="306"/>
        <v>2.0000000000003126E-2</v>
      </c>
      <c r="V82" s="12">
        <f>운전실적_원본!L82</f>
        <v>8678</v>
      </c>
      <c r="W82" s="16">
        <f t="shared" ref="W82" si="522">IF(OR(LEN(V82)=0,V82=0),"",V82-V81)</f>
        <v>1655</v>
      </c>
      <c r="X82" s="10">
        <f>운전실적_원본!M82</f>
        <v>27274.90000000596</v>
      </c>
      <c r="Y82" s="10">
        <f>운전실적_원본!N82</f>
        <v>0</v>
      </c>
      <c r="Z82" s="10">
        <f>운전실적_원본!O82</f>
        <v>0</v>
      </c>
      <c r="AA82" s="10">
        <f>운전실적_원본!P82</f>
        <v>0</v>
      </c>
      <c r="AB82" s="10">
        <f>운전실적_원본!Q82</f>
        <v>0</v>
      </c>
      <c r="AC82" s="20">
        <f>운전실적_원본!R82</f>
        <v>0</v>
      </c>
      <c r="AD82" s="109">
        <f>운전실적_원본!S82</f>
        <v>11</v>
      </c>
      <c r="AE82" s="110">
        <f>운전실적_원본!T82</f>
        <v>0</v>
      </c>
      <c r="AF82" s="110">
        <f>운전실적_원본!U82</f>
        <v>0</v>
      </c>
      <c r="AG82" s="110">
        <f>운전실적_원본!V82</f>
        <v>0</v>
      </c>
      <c r="AH82" s="109">
        <f t="shared" si="460"/>
        <v>10.666666666686069</v>
      </c>
      <c r="AI82" s="110">
        <f t="shared" si="467"/>
        <v>0</v>
      </c>
      <c r="AJ82" s="110">
        <f>운전실적_원본!Y82</f>
        <v>0</v>
      </c>
      <c r="AK82" s="110">
        <f>운전실적_원본!Z82</f>
        <v>0</v>
      </c>
      <c r="AL82" s="106">
        <v>46099.163194444445</v>
      </c>
      <c r="AM82" s="105">
        <v>46099.607638888891</v>
      </c>
      <c r="AN82" s="105"/>
      <c r="AO82" s="105"/>
      <c r="AP82" s="105"/>
      <c r="AQ82" s="108"/>
      <c r="AR82" s="105"/>
      <c r="AS82" s="105"/>
      <c r="AT82" s="102"/>
      <c r="AU82" s="102"/>
      <c r="AV82" s="102"/>
      <c r="AW82" s="102"/>
      <c r="AX82" s="32">
        <f>운전실적_원본!W82</f>
        <v>172</v>
      </c>
      <c r="AY82" s="11">
        <f>운전실적_원본!X82</f>
        <v>0</v>
      </c>
      <c r="AZ82" s="11">
        <f>운전실적_원본!Y82</f>
        <v>0</v>
      </c>
      <c r="BA82" s="11">
        <f>운전실적_원본!Z82</f>
        <v>0</v>
      </c>
      <c r="BB82" s="11">
        <f>운전실적_원본!AA82</f>
        <v>0</v>
      </c>
      <c r="BC82" s="11">
        <f>운전실적_원본!AB82</f>
        <v>172</v>
      </c>
      <c r="BD82" s="32">
        <f t="shared" si="453"/>
        <v>15.636363636363637</v>
      </c>
      <c r="BE82" s="11">
        <f t="shared" si="461"/>
        <v>0.30426860549452495</v>
      </c>
      <c r="BF82" s="11">
        <f>운전실적_원본!AE82</f>
        <v>0</v>
      </c>
      <c r="BG82" s="31">
        <f t="shared" si="454"/>
        <v>0</v>
      </c>
      <c r="BH82" s="241">
        <f>INDEX(연료전지_원본!$A$4:$KY$369,MATCH($A82,연료전지_원본!$A$4:$A$369,0),MATCH($BH$4,연료전지_원본!$A$4:$KY$4,0))</f>
        <v>0</v>
      </c>
      <c r="BI82" s="241">
        <f>INDEX(연료전지_원본!$A$4:$KY$369,MATCH($A82,연료전지_원본!$A$4:$A$369,0),MATCH($BI$4,연료전지_원본!$A$4:$KY$4,0))</f>
        <v>0</v>
      </c>
      <c r="BJ82" s="241">
        <f>INDEX(연료전지_원본!$A$4:$KY$369,MATCH($A82,연료전지_원본!$A$4:$A$369,0),MATCH($BJ$4,연료전지_원본!$A$4:$KY$4,0))</f>
        <v>0</v>
      </c>
      <c r="BK82" s="241">
        <f>INDEX(연료전지_원본!$A$4:$KY$369,MATCH($A82,연료전지_원본!$A$4:$A$369,0),MATCH($BK$4,연료전지_원본!$A$4:$KY$4,0))</f>
        <v>0</v>
      </c>
      <c r="BL82" s="241">
        <f>INDEX(연료전지_원본!$A$4:$KY$369,MATCH($A82,연료전지_원본!$A$4:$A$369,0),MATCH($BL$4,연료전지_원본!$A$4:$KY$4,0))</f>
        <v>0</v>
      </c>
      <c r="BM82" s="241">
        <f>INDEX(연료전지_원본!$A$4:$KY$369,MATCH($A82,연료전지_원본!$A$4:$A$369,0),MATCH($BM$4,연료전지_원본!$A$4:$KY$4,0))</f>
        <v>0</v>
      </c>
      <c r="BN82" s="241">
        <f>INDEX(연료전지_원본!$A$4:$KY$369,MATCH($A82,연료전지_원본!$A$4:$A$369,0),MATCH($BN$4,연료전지_원본!$A$4:$KY$4,0))</f>
        <v>0</v>
      </c>
      <c r="BO82" s="241">
        <f>INDEX(연료전지_원본!$A$4:$KY$369,MATCH($A82,연료전지_원본!$A$4:$A$369,0),MATCH($BO$4,연료전지_원본!$A$4:$KY$4,0))</f>
        <v>0</v>
      </c>
      <c r="BP82" s="241">
        <f>INDEX(연료전지_원본!$A$4:$KY$369,MATCH($A82,연료전지_원본!$A$4:$A$369,0),MATCH($BP$4,연료전지_원본!$A$4:$KY$4,0))</f>
        <v>0</v>
      </c>
      <c r="BQ82" s="241">
        <f>INDEX(연료전지_원본!$A$4:$KY$369,MATCH($A82,연료전지_원본!$A$4:$A$369,0),MATCH($BQ$4,연료전지_원본!$A$4:$KY$4,0))</f>
        <v>0</v>
      </c>
      <c r="BR82" s="241">
        <f>INDEX(연료전지_원본!$A$4:$KY$369,MATCH($A82,연료전지_원본!$A$4:$A$369,0),MATCH($BR$4,연료전지_원본!$A$4:$KY$4,0))</f>
        <v>0</v>
      </c>
      <c r="BS82" s="241">
        <f>INDEX(연료전지_원본!$A$4:$KY$369,MATCH($A82,연료전지_원본!$A$4:$A$369,0),MATCH($BS$4,연료전지_원본!$A$4:$KY$4,0))</f>
        <v>0</v>
      </c>
      <c r="BT82" s="241">
        <f>INDEX(연료전지_원본!$A$4:$KY$369,MATCH($A82,연료전지_원본!$A$4:$A$369,0),MATCH($BT$4,연료전지_원본!$A$4:$KY$4,0))</f>
        <v>0</v>
      </c>
      <c r="BU82" s="241">
        <f>INDEX(연료전지_원본!$A$4:$KY$369,MATCH($A82,연료전지_원본!$A$4:$A$369,0),MATCH($BU$4,연료전지_원본!$A$4:$KY$4,0))</f>
        <v>0</v>
      </c>
      <c r="BV82" s="241">
        <f>INDEX(연료전지_원본!$A$4:$KY$369,MATCH($A82,연료전지_원본!$A$4:$A$369,0),MATCH($BV$4,연료전지_원본!$A$4:$KY$4,0))</f>
        <v>0</v>
      </c>
      <c r="BW82" s="241">
        <f>INDEX(연료전지_원본!$A$4:$KY$369,MATCH($A82,연료전지_원본!$A$4:$A$369,0),MATCH($BW$4,연료전지_원본!$A$4:$KY$4,0))</f>
        <v>0</v>
      </c>
      <c r="BX82" s="241">
        <f>INDEX(연료전지_원본!$A$4:$KY$369,MATCH($A82,연료전지_원본!$A$4:$A$369,0),MATCH($BX$4,연료전지_원본!$A$4:$KY$4,0))</f>
        <v>0</v>
      </c>
      <c r="BY82" s="241">
        <f>INDEX(연료전지_원본!$A$4:$KY$369,MATCH($A82,연료전지_원본!$A$4:$A$369,0),MATCH($BY$4,연료전지_원본!$A$4:$KY$4,0))</f>
        <v>0</v>
      </c>
      <c r="BZ82" s="241">
        <f>INDEX(연료전지_원본!$A$4:$KY$369,MATCH($A82,연료전지_원본!$A$4:$A$369,0),MATCH($BZ$4,연료전지_원본!$A$4:$KY$4,0))</f>
        <v>0</v>
      </c>
      <c r="CA82" s="241">
        <f>INDEX(연료전지_원본!$A$4:$KY$369,MATCH($A82,연료전지_원본!$A$4:$A$369,0),MATCH($CA$4,연료전지_원본!$A$4:$KY$4,0))</f>
        <v>0</v>
      </c>
      <c r="CB82" s="241">
        <f>INDEX(연료전지_원본!$A$4:$KY$369,MATCH($A82,연료전지_원본!$A$4:$A$369,0),MATCH($CB$4,연료전지_원본!$A$4:$KY$4,0))</f>
        <v>0</v>
      </c>
      <c r="CC82" s="242">
        <f>INDEX(연료전지_원본!$A$4:$KY$369,MATCH($A82,연료전지_원본!$A$4:$A$369,0),MATCH($CC$4,연료전지_원본!$A$4:$KY$4,0))</f>
        <v>0</v>
      </c>
      <c r="CD82" s="250" t="e">
        <f>INDEX(연료전지_원본!$KB$4:$KX$369,MATCH($A82,연료전지_원본!$KB$4:$KB$369,0), MATCH(CD$4,연료전지_원본!$KB$4:$KX$4,0))*1000</f>
        <v>#N/A</v>
      </c>
      <c r="CE82" s="250" t="e">
        <f>INDEX(연료전지_원본!$KB$4:$KX$369,MATCH($A82,연료전지_원본!$KB$4:$KB$369,0), MATCH(CE$4,연료전지_원본!$KB$4:$KX$4,0))*1000</f>
        <v>#N/A</v>
      </c>
      <c r="CF82" s="250" t="e">
        <f>INDEX(연료전지_원본!$KB$4:$KX$369,MATCH($A82,연료전지_원본!$KB$4:$KB$369,0), MATCH(CF$4,연료전지_원본!$KB$4:$KX$4,0))*1000</f>
        <v>#N/A</v>
      </c>
      <c r="CG82" s="250" t="e">
        <f>INDEX(연료전지_원본!$KB$4:$KX$369,MATCH($A82,연료전지_원본!$KB$4:$KB$369,0), MATCH(CG$4,연료전지_원본!$KB$4:$KX$4,0))*1000</f>
        <v>#N/A</v>
      </c>
      <c r="CH82" s="250" t="e">
        <f>INDEX(연료전지_원본!$KB$4:$KX$369,MATCH($A82,연료전지_원본!$KB$4:$KB$369,0), MATCH(CH$4,연료전지_원본!$KB$4:$KX$4,0))*1000</f>
        <v>#N/A</v>
      </c>
      <c r="CI82" s="250" t="e">
        <f>INDEX(연료전지_원본!$KB$4:$KX$369,MATCH($A82,연료전지_원본!$KB$4:$KB$369,0), MATCH(CI$4,연료전지_원본!$KB$4:$KX$4,0))*1000</f>
        <v>#N/A</v>
      </c>
      <c r="CJ82" s="250" t="e">
        <f>INDEX(연료전지_원본!$KB$4:$KX$369,MATCH($A82,연료전지_원본!$KB$4:$KB$369,0), MATCH(CJ$4,연료전지_원본!$KB$4:$KX$4,0))*1000</f>
        <v>#N/A</v>
      </c>
      <c r="CK82" s="250" t="e">
        <f>INDEX(연료전지_원본!$KB$4:$KX$369,MATCH($A82,연료전지_원본!$KB$4:$KB$369,0), MATCH(CK$4,연료전지_원본!$KB$4:$KX$4,0))*1000</f>
        <v>#N/A</v>
      </c>
      <c r="CL82" s="250" t="e">
        <f>INDEX(연료전지_원본!$KB$4:$KX$369,MATCH($A82,연료전지_원본!$KB$4:$KB$369,0), MATCH(CL$4,연료전지_원본!$KB$4:$KX$4,0))*1000</f>
        <v>#N/A</v>
      </c>
      <c r="CM82" s="250" t="e">
        <f>INDEX(연료전지_원본!$KB$4:$KX$369,MATCH($A82,연료전지_원본!$KB$4:$KB$369,0), MATCH(CM$4,연료전지_원본!$KB$4:$KX$4,0))*1000</f>
        <v>#N/A</v>
      </c>
      <c r="CN82" s="250" t="e">
        <f>INDEX(연료전지_원본!$KB$4:$KX$369,MATCH($A82,연료전지_원본!$KB$4:$KB$369,0), MATCH(CN$4,연료전지_원본!$KB$4:$KX$4,0))*1000</f>
        <v>#N/A</v>
      </c>
      <c r="CO82" s="250" t="e">
        <f>INDEX(연료전지_원본!$KB$4:$KX$369,MATCH($A82,연료전지_원본!$KB$4:$KB$369,0), MATCH(CO$4,연료전지_원본!$KB$4:$KX$4,0))*1000</f>
        <v>#N/A</v>
      </c>
      <c r="CP82" s="250" t="e">
        <f>INDEX(연료전지_원본!$KB$4:$KX$369,MATCH($A82,연료전지_원본!$KB$4:$KB$369,0), MATCH(CP$4,연료전지_원본!$KB$4:$KX$4,0))*1000</f>
        <v>#N/A</v>
      </c>
      <c r="CQ82" s="250" t="e">
        <f>INDEX(연료전지_원본!$KB$4:$KX$369,MATCH($A82,연료전지_원본!$KB$4:$KB$369,0), MATCH(CQ$4,연료전지_원본!$KB$4:$KX$4,0))*1000</f>
        <v>#N/A</v>
      </c>
      <c r="CR82" s="250" t="e">
        <f>INDEX(연료전지_원본!$KB$4:$KX$369,MATCH($A82,연료전지_원본!$KB$4:$KB$369,0), MATCH(CR$4,연료전지_원본!$KB$4:$KX$4,0))*1000</f>
        <v>#N/A</v>
      </c>
      <c r="CS82" s="250" t="e">
        <f>INDEX(연료전지_원본!$KB$4:$KX$369,MATCH($A82,연료전지_원본!$KB$4:$KB$369,0), MATCH(CS$4,연료전지_원본!$KB$4:$KX$4,0))*1000</f>
        <v>#N/A</v>
      </c>
      <c r="CT82" s="250" t="e">
        <f>INDEX(연료전지_원본!$KB$4:$KX$369,MATCH($A82,연료전지_원본!$KB$4:$KB$369,0), MATCH(CT$4,연료전지_원본!$KB$4:$KX$4,0))*1000</f>
        <v>#N/A</v>
      </c>
      <c r="CU82" s="250" t="e">
        <f>INDEX(연료전지_원본!$KB$4:$KX$369,MATCH($A82,연료전지_원본!$KB$4:$KB$369,0), MATCH(CU$4,연료전지_원본!$KB$4:$KX$4,0))*1000</f>
        <v>#N/A</v>
      </c>
      <c r="CV82" s="250" t="e">
        <f>INDEX(연료전지_원본!$KB$4:$KX$369,MATCH($A82,연료전지_원본!$KB$4:$KB$369,0), MATCH(CV$4,연료전지_원본!$KB$4:$KX$4,0))*1000</f>
        <v>#N/A</v>
      </c>
      <c r="CW82" s="250" t="e">
        <f>INDEX(연료전지_원본!$KB$4:$KX$369,MATCH($A82,연료전지_원본!$KB$4:$KB$369,0), MATCH(CW$4,연료전지_원본!$KB$4:$KX$4,0))*1000</f>
        <v>#N/A</v>
      </c>
      <c r="CX82" s="250" t="e">
        <f>INDEX(연료전지_원본!$KB$4:$KX$369,MATCH($A82,연료전지_원본!$KB$4:$KB$369,0), MATCH(CX$4,연료전지_원본!$KB$4:$KX$4,0))*1000</f>
        <v>#N/A</v>
      </c>
      <c r="CY82" s="250" t="e">
        <f>INDEX(연료전지_원본!$KB$4:$KX$369,MATCH($A82,연료전지_원본!$KB$4:$KB$369,0), MATCH(CY$4,연료전지_원본!$KB$4:$KX$4,0))*1000</f>
        <v>#N/A</v>
      </c>
      <c r="DV82" s="30">
        <f t="shared" si="297"/>
        <v>0</v>
      </c>
    </row>
    <row r="83" spans="1:126">
      <c r="A83" s="6">
        <v>46100</v>
      </c>
      <c r="B83" s="15">
        <f>운전실적_원본!B83</f>
        <v>651.20000000000005</v>
      </c>
      <c r="C83" s="16">
        <f t="shared" si="298"/>
        <v>0</v>
      </c>
      <c r="D83" s="12">
        <f>운전실적_원본!C83</f>
        <v>250369</v>
      </c>
      <c r="E83" s="12">
        <f t="shared" si="299"/>
        <v>0</v>
      </c>
      <c r="F83" s="12">
        <f>운전실적_원본!D83</f>
        <v>241779</v>
      </c>
      <c r="G83" s="16">
        <f t="shared" si="300"/>
        <v>54</v>
      </c>
      <c r="H83" s="15">
        <f>운전실적_원본!E83</f>
        <v>17334.93</v>
      </c>
      <c r="I83" s="16">
        <f t="shared" si="301"/>
        <v>3.6500000000014552</v>
      </c>
      <c r="J83" s="15">
        <f>운전실적_원본!F83</f>
        <v>15534.03</v>
      </c>
      <c r="K83" s="16">
        <f t="shared" si="301"/>
        <v>7.8600000000005821</v>
      </c>
      <c r="L83" s="32">
        <f>운전실적_원본!G83</f>
        <v>44</v>
      </c>
      <c r="M83" s="31">
        <f t="shared" ref="M83" si="523">IF(OR(LEN(L83)=0,L83=0),"",L83-L82)</f>
        <v>0.79999999999999716</v>
      </c>
      <c r="N83" s="15">
        <f>운전실적_원본!H83</f>
        <v>40977</v>
      </c>
      <c r="O83" s="16">
        <f t="shared" ref="O83" si="524">IF(OR(LEN(N83)=0,N83=0),"",N83-N82)</f>
        <v>59</v>
      </c>
      <c r="P83" s="15">
        <f>운전실적_원본!I83</f>
        <v>25890</v>
      </c>
      <c r="Q83" s="16">
        <f t="shared" ref="Q83" si="525">IF(OR(LEN(P83)=0,P83=0),"",P83-P82)</f>
        <v>109</v>
      </c>
      <c r="R83" s="18">
        <f>운전실적_원본!J83</f>
        <v>34.01</v>
      </c>
      <c r="S83" s="19">
        <f t="shared" ref="S83" si="526">IF(OR(LEN(R83)=0,R83=0),"",R83-R82)</f>
        <v>0.10000000000000142</v>
      </c>
      <c r="T83" s="18">
        <f>운전실적_원본!K83</f>
        <v>33.340000000000003</v>
      </c>
      <c r="U83" s="19">
        <f t="shared" si="306"/>
        <v>7.0000000000000284E-2</v>
      </c>
      <c r="V83" s="12">
        <f>운전실적_원본!L83</f>
        <v>8139</v>
      </c>
      <c r="W83" s="16">
        <f t="shared" ref="W83" si="527">IF(OR(LEN(V83)=0,V83=0),"",V83-V82)</f>
        <v>-539</v>
      </c>
      <c r="X83" s="10">
        <f>운전실적_원본!M83</f>
        <v>17274.819999992847</v>
      </c>
      <c r="Y83" s="10">
        <f>운전실적_원본!N83</f>
        <v>0</v>
      </c>
      <c r="Z83" s="10">
        <f>운전실적_원본!O83</f>
        <v>0</v>
      </c>
      <c r="AA83" s="10">
        <f>운전실적_원본!P83</f>
        <v>0</v>
      </c>
      <c r="AB83" s="10">
        <f>운전실적_원본!Q83</f>
        <v>0</v>
      </c>
      <c r="AC83" s="20">
        <f>운전실적_원본!R83</f>
        <v>0</v>
      </c>
      <c r="AD83" s="109">
        <f>운전실적_원본!S83</f>
        <v>8</v>
      </c>
      <c r="AE83" s="110">
        <f>운전실적_원본!T83</f>
        <v>0</v>
      </c>
      <c r="AF83" s="110">
        <f>운전실적_원본!U83</f>
        <v>0</v>
      </c>
      <c r="AG83" s="110">
        <f>운전실적_원본!V83</f>
        <v>0</v>
      </c>
      <c r="AH83" s="109">
        <f t="shared" si="460"/>
        <v>6.6666666667442769</v>
      </c>
      <c r="AI83" s="110">
        <f t="shared" si="467"/>
        <v>0</v>
      </c>
      <c r="AJ83" s="110">
        <f>운전실적_원본!Y83</f>
        <v>0</v>
      </c>
      <c r="AK83" s="110">
        <f>운전실적_원본!Z83</f>
        <v>0</v>
      </c>
      <c r="AL83" s="106">
        <v>46100.5625</v>
      </c>
      <c r="AM83" s="105">
        <v>46100.840277777781</v>
      </c>
      <c r="AN83" s="105"/>
      <c r="AO83" s="105"/>
      <c r="AP83" s="105"/>
      <c r="AQ83" s="108"/>
      <c r="AR83" s="105"/>
      <c r="AS83" s="105"/>
      <c r="AT83" s="102"/>
      <c r="AU83" s="102"/>
      <c r="AV83" s="102"/>
      <c r="AW83" s="102"/>
      <c r="AX83" s="32">
        <f>운전실적_원본!W83</f>
        <v>108</v>
      </c>
      <c r="AY83" s="11">
        <f>운전실적_원본!X83</f>
        <v>0</v>
      </c>
      <c r="AZ83" s="11">
        <f>운전실적_원본!Y83</f>
        <v>0</v>
      </c>
      <c r="BA83" s="11">
        <f>운전실적_원본!Z83</f>
        <v>0</v>
      </c>
      <c r="BB83" s="11">
        <f>운전실적_원본!AA83</f>
        <v>0</v>
      </c>
      <c r="BC83" s="11">
        <f>운전실적_원본!AB83</f>
        <v>108</v>
      </c>
      <c r="BD83" s="32">
        <f t="shared" si="453"/>
        <v>13.5</v>
      </c>
      <c r="BE83" s="11">
        <f t="shared" si="461"/>
        <v>0.26269702276707529</v>
      </c>
      <c r="BF83" s="11">
        <f>운전실적_원본!AE83</f>
        <v>0</v>
      </c>
      <c r="BG83" s="31">
        <f t="shared" si="454"/>
        <v>0</v>
      </c>
      <c r="BH83" s="241">
        <f>INDEX(연료전지_원본!$A$4:$KY$369,MATCH($A83,연료전지_원본!$A$4:$A$369,0),MATCH($BH$4,연료전지_원본!$A$4:$KY$4,0))</f>
        <v>0</v>
      </c>
      <c r="BI83" s="241">
        <f>INDEX(연료전지_원본!$A$4:$KY$369,MATCH($A83,연료전지_원본!$A$4:$A$369,0),MATCH($BI$4,연료전지_원본!$A$4:$KY$4,0))</f>
        <v>0</v>
      </c>
      <c r="BJ83" s="241">
        <f>INDEX(연료전지_원본!$A$4:$KY$369,MATCH($A83,연료전지_원본!$A$4:$A$369,0),MATCH($BJ$4,연료전지_원본!$A$4:$KY$4,0))</f>
        <v>0</v>
      </c>
      <c r="BK83" s="241">
        <f>INDEX(연료전지_원본!$A$4:$KY$369,MATCH($A83,연료전지_원본!$A$4:$A$369,0),MATCH($BK$4,연료전지_원본!$A$4:$KY$4,0))</f>
        <v>0</v>
      </c>
      <c r="BL83" s="241">
        <f>INDEX(연료전지_원본!$A$4:$KY$369,MATCH($A83,연료전지_원본!$A$4:$A$369,0),MATCH($BL$4,연료전지_원본!$A$4:$KY$4,0))</f>
        <v>0</v>
      </c>
      <c r="BM83" s="241">
        <f>INDEX(연료전지_원본!$A$4:$KY$369,MATCH($A83,연료전지_원본!$A$4:$A$369,0),MATCH($BM$4,연료전지_원본!$A$4:$KY$4,0))</f>
        <v>0</v>
      </c>
      <c r="BN83" s="241">
        <f>INDEX(연료전지_원본!$A$4:$KY$369,MATCH($A83,연료전지_원본!$A$4:$A$369,0),MATCH($BN$4,연료전지_원본!$A$4:$KY$4,0))</f>
        <v>0</v>
      </c>
      <c r="BO83" s="241">
        <f>INDEX(연료전지_원본!$A$4:$KY$369,MATCH($A83,연료전지_원본!$A$4:$A$369,0),MATCH($BO$4,연료전지_원본!$A$4:$KY$4,0))</f>
        <v>0</v>
      </c>
      <c r="BP83" s="241">
        <f>INDEX(연료전지_원본!$A$4:$KY$369,MATCH($A83,연료전지_원본!$A$4:$A$369,0),MATCH($BP$4,연료전지_원본!$A$4:$KY$4,0))</f>
        <v>0</v>
      </c>
      <c r="BQ83" s="241">
        <f>INDEX(연료전지_원본!$A$4:$KY$369,MATCH($A83,연료전지_원본!$A$4:$A$369,0),MATCH($BQ$4,연료전지_원본!$A$4:$KY$4,0))</f>
        <v>0</v>
      </c>
      <c r="BR83" s="241">
        <f>INDEX(연료전지_원본!$A$4:$KY$369,MATCH($A83,연료전지_원본!$A$4:$A$369,0),MATCH($BR$4,연료전지_원본!$A$4:$KY$4,0))</f>
        <v>0</v>
      </c>
      <c r="BS83" s="241">
        <f>INDEX(연료전지_원본!$A$4:$KY$369,MATCH($A83,연료전지_원본!$A$4:$A$369,0),MATCH($BS$4,연료전지_원본!$A$4:$KY$4,0))</f>
        <v>0</v>
      </c>
      <c r="BT83" s="241">
        <f>INDEX(연료전지_원본!$A$4:$KY$369,MATCH($A83,연료전지_원본!$A$4:$A$369,0),MATCH($BT$4,연료전지_원본!$A$4:$KY$4,0))</f>
        <v>0</v>
      </c>
      <c r="BU83" s="241">
        <f>INDEX(연료전지_원본!$A$4:$KY$369,MATCH($A83,연료전지_원본!$A$4:$A$369,0),MATCH($BU$4,연료전지_원본!$A$4:$KY$4,0))</f>
        <v>0</v>
      </c>
      <c r="BV83" s="241">
        <f>INDEX(연료전지_원본!$A$4:$KY$369,MATCH($A83,연료전지_원본!$A$4:$A$369,0),MATCH($BV$4,연료전지_원본!$A$4:$KY$4,0))</f>
        <v>0</v>
      </c>
      <c r="BW83" s="241">
        <f>INDEX(연료전지_원본!$A$4:$KY$369,MATCH($A83,연료전지_원본!$A$4:$A$369,0),MATCH($BW$4,연료전지_원본!$A$4:$KY$4,0))</f>
        <v>0</v>
      </c>
      <c r="BX83" s="241">
        <f>INDEX(연료전지_원본!$A$4:$KY$369,MATCH($A83,연료전지_원본!$A$4:$A$369,0),MATCH($BX$4,연료전지_원본!$A$4:$KY$4,0))</f>
        <v>0</v>
      </c>
      <c r="BY83" s="241">
        <f>INDEX(연료전지_원본!$A$4:$KY$369,MATCH($A83,연료전지_원본!$A$4:$A$369,0),MATCH($BY$4,연료전지_원본!$A$4:$KY$4,0))</f>
        <v>0</v>
      </c>
      <c r="BZ83" s="241">
        <f>INDEX(연료전지_원본!$A$4:$KY$369,MATCH($A83,연료전지_원본!$A$4:$A$369,0),MATCH($BZ$4,연료전지_원본!$A$4:$KY$4,0))</f>
        <v>0</v>
      </c>
      <c r="CA83" s="241">
        <f>INDEX(연료전지_원본!$A$4:$KY$369,MATCH($A83,연료전지_원본!$A$4:$A$369,0),MATCH($CA$4,연료전지_원본!$A$4:$KY$4,0))</f>
        <v>0</v>
      </c>
      <c r="CB83" s="241">
        <f>INDEX(연료전지_원본!$A$4:$KY$369,MATCH($A83,연료전지_원본!$A$4:$A$369,0),MATCH($CB$4,연료전지_원본!$A$4:$KY$4,0))</f>
        <v>0</v>
      </c>
      <c r="CC83" s="242">
        <f>INDEX(연료전지_원본!$A$4:$KY$369,MATCH($A83,연료전지_원본!$A$4:$A$369,0),MATCH($CC$4,연료전지_원본!$A$4:$KY$4,0))</f>
        <v>0</v>
      </c>
      <c r="CD83" s="250" t="e">
        <f>INDEX(연료전지_원본!$KB$4:$KX$369,MATCH($A83,연료전지_원본!$KB$4:$KB$369,0), MATCH(CD$4,연료전지_원본!$KB$4:$KX$4,0))*1000</f>
        <v>#N/A</v>
      </c>
      <c r="CE83" s="250" t="e">
        <f>INDEX(연료전지_원본!$KB$4:$KX$369,MATCH($A83,연료전지_원본!$KB$4:$KB$369,0), MATCH(CE$4,연료전지_원본!$KB$4:$KX$4,0))*1000</f>
        <v>#N/A</v>
      </c>
      <c r="CF83" s="250" t="e">
        <f>INDEX(연료전지_원본!$KB$4:$KX$369,MATCH($A83,연료전지_원본!$KB$4:$KB$369,0), MATCH(CF$4,연료전지_원본!$KB$4:$KX$4,0))*1000</f>
        <v>#N/A</v>
      </c>
      <c r="CG83" s="250" t="e">
        <f>INDEX(연료전지_원본!$KB$4:$KX$369,MATCH($A83,연료전지_원본!$KB$4:$KB$369,0), MATCH(CG$4,연료전지_원본!$KB$4:$KX$4,0))*1000</f>
        <v>#N/A</v>
      </c>
      <c r="CH83" s="250" t="e">
        <f>INDEX(연료전지_원본!$KB$4:$KX$369,MATCH($A83,연료전지_원본!$KB$4:$KB$369,0), MATCH(CH$4,연료전지_원본!$KB$4:$KX$4,0))*1000</f>
        <v>#N/A</v>
      </c>
      <c r="CI83" s="250" t="e">
        <f>INDEX(연료전지_원본!$KB$4:$KX$369,MATCH($A83,연료전지_원본!$KB$4:$KB$369,0), MATCH(CI$4,연료전지_원본!$KB$4:$KX$4,0))*1000</f>
        <v>#N/A</v>
      </c>
      <c r="CJ83" s="250" t="e">
        <f>INDEX(연료전지_원본!$KB$4:$KX$369,MATCH($A83,연료전지_원본!$KB$4:$KB$369,0), MATCH(CJ$4,연료전지_원본!$KB$4:$KX$4,0))*1000</f>
        <v>#N/A</v>
      </c>
      <c r="CK83" s="250" t="e">
        <f>INDEX(연료전지_원본!$KB$4:$KX$369,MATCH($A83,연료전지_원본!$KB$4:$KB$369,0), MATCH(CK$4,연료전지_원본!$KB$4:$KX$4,0))*1000</f>
        <v>#N/A</v>
      </c>
      <c r="CL83" s="250" t="e">
        <f>INDEX(연료전지_원본!$KB$4:$KX$369,MATCH($A83,연료전지_원본!$KB$4:$KB$369,0), MATCH(CL$4,연료전지_원본!$KB$4:$KX$4,0))*1000</f>
        <v>#N/A</v>
      </c>
      <c r="CM83" s="250" t="e">
        <f>INDEX(연료전지_원본!$KB$4:$KX$369,MATCH($A83,연료전지_원본!$KB$4:$KB$369,0), MATCH(CM$4,연료전지_원본!$KB$4:$KX$4,0))*1000</f>
        <v>#N/A</v>
      </c>
      <c r="CN83" s="250" t="e">
        <f>INDEX(연료전지_원본!$KB$4:$KX$369,MATCH($A83,연료전지_원본!$KB$4:$KB$369,0), MATCH(CN$4,연료전지_원본!$KB$4:$KX$4,0))*1000</f>
        <v>#N/A</v>
      </c>
      <c r="CO83" s="250" t="e">
        <f>INDEX(연료전지_원본!$KB$4:$KX$369,MATCH($A83,연료전지_원본!$KB$4:$KB$369,0), MATCH(CO$4,연료전지_원본!$KB$4:$KX$4,0))*1000</f>
        <v>#N/A</v>
      </c>
      <c r="CP83" s="250" t="e">
        <f>INDEX(연료전지_원본!$KB$4:$KX$369,MATCH($A83,연료전지_원본!$KB$4:$KB$369,0), MATCH(CP$4,연료전지_원본!$KB$4:$KX$4,0))*1000</f>
        <v>#N/A</v>
      </c>
      <c r="CQ83" s="250" t="e">
        <f>INDEX(연료전지_원본!$KB$4:$KX$369,MATCH($A83,연료전지_원본!$KB$4:$KB$369,0), MATCH(CQ$4,연료전지_원본!$KB$4:$KX$4,0))*1000</f>
        <v>#N/A</v>
      </c>
      <c r="CR83" s="250" t="e">
        <f>INDEX(연료전지_원본!$KB$4:$KX$369,MATCH($A83,연료전지_원본!$KB$4:$KB$369,0), MATCH(CR$4,연료전지_원본!$KB$4:$KX$4,0))*1000</f>
        <v>#N/A</v>
      </c>
      <c r="CS83" s="250" t="e">
        <f>INDEX(연료전지_원본!$KB$4:$KX$369,MATCH($A83,연료전지_원본!$KB$4:$KB$369,0), MATCH(CS$4,연료전지_원본!$KB$4:$KX$4,0))*1000</f>
        <v>#N/A</v>
      </c>
      <c r="CT83" s="250" t="e">
        <f>INDEX(연료전지_원본!$KB$4:$KX$369,MATCH($A83,연료전지_원본!$KB$4:$KB$369,0), MATCH(CT$4,연료전지_원본!$KB$4:$KX$4,0))*1000</f>
        <v>#N/A</v>
      </c>
      <c r="CU83" s="250" t="e">
        <f>INDEX(연료전지_원본!$KB$4:$KX$369,MATCH($A83,연료전지_원본!$KB$4:$KB$369,0), MATCH(CU$4,연료전지_원본!$KB$4:$KX$4,0))*1000</f>
        <v>#N/A</v>
      </c>
      <c r="CV83" s="250" t="e">
        <f>INDEX(연료전지_원본!$KB$4:$KX$369,MATCH($A83,연료전지_원본!$KB$4:$KB$369,0), MATCH(CV$4,연료전지_원본!$KB$4:$KX$4,0))*1000</f>
        <v>#N/A</v>
      </c>
      <c r="CW83" s="250" t="e">
        <f>INDEX(연료전지_원본!$KB$4:$KX$369,MATCH($A83,연료전지_원본!$KB$4:$KB$369,0), MATCH(CW$4,연료전지_원본!$KB$4:$KX$4,0))*1000</f>
        <v>#N/A</v>
      </c>
      <c r="CX83" s="250" t="e">
        <f>INDEX(연료전지_원본!$KB$4:$KX$369,MATCH($A83,연료전지_원본!$KB$4:$KB$369,0), MATCH(CX$4,연료전지_원본!$KB$4:$KX$4,0))*1000</f>
        <v>#N/A</v>
      </c>
      <c r="CY83" s="250" t="e">
        <f>INDEX(연료전지_원본!$KB$4:$KX$369,MATCH($A83,연료전지_원본!$KB$4:$KB$369,0), MATCH(CY$4,연료전지_원본!$KB$4:$KX$4,0))*1000</f>
        <v>#N/A</v>
      </c>
      <c r="DV83" s="30">
        <f t="shared" si="297"/>
        <v>0</v>
      </c>
    </row>
    <row r="84" spans="1:126">
      <c r="A84" s="6">
        <v>46101</v>
      </c>
      <c r="B84" s="15">
        <f>운전실적_원본!B84</f>
        <v>651.20000000000005</v>
      </c>
      <c r="C84" s="16">
        <f t="shared" si="298"/>
        <v>0</v>
      </c>
      <c r="D84" s="12">
        <f>운전실적_원본!C84</f>
        <v>250427</v>
      </c>
      <c r="E84" s="12">
        <f t="shared" si="299"/>
        <v>58</v>
      </c>
      <c r="F84" s="12">
        <f>운전실적_원본!D84</f>
        <v>241794</v>
      </c>
      <c r="G84" s="16">
        <f t="shared" si="300"/>
        <v>15</v>
      </c>
      <c r="H84" s="15">
        <f>운전실적_원본!E84</f>
        <v>17338.419999999998</v>
      </c>
      <c r="I84" s="16">
        <f t="shared" si="301"/>
        <v>3.4899999999979627</v>
      </c>
      <c r="J84" s="15">
        <f>운전실적_원본!F84</f>
        <v>15536.98</v>
      </c>
      <c r="K84" s="16">
        <f t="shared" si="301"/>
        <v>2.9499999999989086</v>
      </c>
      <c r="L84" s="32">
        <f>운전실적_원본!G84</f>
        <v>45</v>
      </c>
      <c r="M84" s="31">
        <f t="shared" ref="M84" si="528">IF(OR(LEN(L84)=0,L84=0),"",L84-L83)</f>
        <v>1</v>
      </c>
      <c r="N84" s="15">
        <f>운전실적_원본!H84</f>
        <v>41052</v>
      </c>
      <c r="O84" s="16">
        <f t="shared" ref="O84" si="529">IF(OR(LEN(N84)=0,N84=0),"",N84-N83)</f>
        <v>75</v>
      </c>
      <c r="P84" s="15">
        <f>운전실적_원본!I84</f>
        <v>26038</v>
      </c>
      <c r="Q84" s="16">
        <f t="shared" ref="Q84" si="530">IF(OR(LEN(P84)=0,P84=0),"",P84-P83)</f>
        <v>148</v>
      </c>
      <c r="R84" s="18">
        <f>운전실적_원본!J84</f>
        <v>34.020000000000003</v>
      </c>
      <c r="S84" s="19">
        <f t="shared" ref="S84" si="531">IF(OR(LEN(R84)=0,R84=0),"",R84-R83)</f>
        <v>1.0000000000005116E-2</v>
      </c>
      <c r="T84" s="18">
        <f>운전실적_원본!K84</f>
        <v>33.369999999999997</v>
      </c>
      <c r="U84" s="19">
        <f t="shared" si="306"/>
        <v>2.9999999999994031E-2</v>
      </c>
      <c r="V84" s="12">
        <f>운전실적_원본!L84</f>
        <v>8608</v>
      </c>
      <c r="W84" s="16">
        <f t="shared" ref="W84" si="532">IF(OR(LEN(V84)=0,V84=0),"",V84-V83)</f>
        <v>469</v>
      </c>
      <c r="X84" s="10">
        <f>운전실적_원본!M84</f>
        <v>0</v>
      </c>
      <c r="Y84" s="10">
        <f>운전실적_원본!N84</f>
        <v>0</v>
      </c>
      <c r="Z84" s="10">
        <f>운전실적_원본!O84</f>
        <v>0</v>
      </c>
      <c r="AA84" s="10">
        <f>운전실적_원본!P84</f>
        <v>0</v>
      </c>
      <c r="AB84" s="10">
        <f>운전실적_원본!Q84</f>
        <v>0</v>
      </c>
      <c r="AC84" s="20">
        <f>운전실적_원본!R84</f>
        <v>0</v>
      </c>
      <c r="AD84" s="109">
        <f>운전실적_원본!S84</f>
        <v>0</v>
      </c>
      <c r="AE84" s="110">
        <f>운전실적_원본!T84</f>
        <v>0</v>
      </c>
      <c r="AF84" s="110">
        <f>운전실적_원본!U84</f>
        <v>0</v>
      </c>
      <c r="AG84" s="110">
        <f>운전실적_원본!V84</f>
        <v>0</v>
      </c>
      <c r="AH84" s="109">
        <f t="shared" si="460"/>
        <v>0</v>
      </c>
      <c r="AI84" s="110">
        <f t="shared" si="467"/>
        <v>0</v>
      </c>
      <c r="AJ84" s="110">
        <f>운전실적_원본!Y84</f>
        <v>0</v>
      </c>
      <c r="AK84" s="110">
        <f>운전실적_원본!Z84</f>
        <v>0</v>
      </c>
      <c r="AL84" s="106"/>
      <c r="AM84" s="105"/>
      <c r="AN84" s="105"/>
      <c r="AO84" s="105"/>
      <c r="AP84" s="105"/>
      <c r="AQ84" s="108"/>
      <c r="AR84" s="105"/>
      <c r="AS84" s="105"/>
      <c r="AT84" s="102"/>
      <c r="AU84" s="102"/>
      <c r="AV84" s="102"/>
      <c r="AW84" s="102"/>
      <c r="AX84" s="32">
        <f>운전실적_원본!W84</f>
        <v>0</v>
      </c>
      <c r="AY84" s="11">
        <f>운전실적_원본!X84</f>
        <v>0</v>
      </c>
      <c r="AZ84" s="11">
        <f>운전실적_원본!Y84</f>
        <v>0</v>
      </c>
      <c r="BA84" s="11">
        <f>운전실적_원본!Z84</f>
        <v>0</v>
      </c>
      <c r="BB84" s="11">
        <f>운전실적_원본!AA84</f>
        <v>0</v>
      </c>
      <c r="BC84" s="11">
        <f>운전실적_원본!AB84</f>
        <v>0</v>
      </c>
      <c r="BD84" s="32" t="str">
        <f t="shared" si="453"/>
        <v>-</v>
      </c>
      <c r="BE84" s="11" t="str">
        <f t="shared" si="461"/>
        <v>-</v>
      </c>
      <c r="BF84" s="11">
        <f>운전실적_원본!AE84</f>
        <v>0</v>
      </c>
      <c r="BG84" s="31">
        <f t="shared" si="454"/>
        <v>0</v>
      </c>
      <c r="BH84" s="241">
        <f>INDEX(연료전지_원본!$A$4:$KY$369,MATCH($A84,연료전지_원본!$A$4:$A$369,0),MATCH($BH$4,연료전지_원본!$A$4:$KY$4,0))</f>
        <v>0</v>
      </c>
      <c r="BI84" s="241">
        <f>INDEX(연료전지_원본!$A$4:$KY$369,MATCH($A84,연료전지_원본!$A$4:$A$369,0),MATCH($BI$4,연료전지_원본!$A$4:$KY$4,0))</f>
        <v>0</v>
      </c>
      <c r="BJ84" s="241">
        <f>INDEX(연료전지_원본!$A$4:$KY$369,MATCH($A84,연료전지_원본!$A$4:$A$369,0),MATCH($BJ$4,연료전지_원본!$A$4:$KY$4,0))</f>
        <v>0</v>
      </c>
      <c r="BK84" s="241">
        <f>INDEX(연료전지_원본!$A$4:$KY$369,MATCH($A84,연료전지_원본!$A$4:$A$369,0),MATCH($BK$4,연료전지_원본!$A$4:$KY$4,0))</f>
        <v>0</v>
      </c>
      <c r="BL84" s="241">
        <f>INDEX(연료전지_원본!$A$4:$KY$369,MATCH($A84,연료전지_원본!$A$4:$A$369,0),MATCH($BL$4,연료전지_원본!$A$4:$KY$4,0))</f>
        <v>0</v>
      </c>
      <c r="BM84" s="241">
        <f>INDEX(연료전지_원본!$A$4:$KY$369,MATCH($A84,연료전지_원본!$A$4:$A$369,0),MATCH($BM$4,연료전지_원본!$A$4:$KY$4,0))</f>
        <v>0</v>
      </c>
      <c r="BN84" s="241">
        <f>INDEX(연료전지_원본!$A$4:$KY$369,MATCH($A84,연료전지_원본!$A$4:$A$369,0),MATCH($BN$4,연료전지_원본!$A$4:$KY$4,0))</f>
        <v>0</v>
      </c>
      <c r="BO84" s="241">
        <f>INDEX(연료전지_원본!$A$4:$KY$369,MATCH($A84,연료전지_원본!$A$4:$A$369,0),MATCH($BO$4,연료전지_원본!$A$4:$KY$4,0))</f>
        <v>0</v>
      </c>
      <c r="BP84" s="241">
        <f>INDEX(연료전지_원본!$A$4:$KY$369,MATCH($A84,연료전지_원본!$A$4:$A$369,0),MATCH($BP$4,연료전지_원본!$A$4:$KY$4,0))</f>
        <v>0</v>
      </c>
      <c r="BQ84" s="241">
        <f>INDEX(연료전지_원본!$A$4:$KY$369,MATCH($A84,연료전지_원본!$A$4:$A$369,0),MATCH($BQ$4,연료전지_원본!$A$4:$KY$4,0))</f>
        <v>0</v>
      </c>
      <c r="BR84" s="241">
        <f>INDEX(연료전지_원본!$A$4:$KY$369,MATCH($A84,연료전지_원본!$A$4:$A$369,0),MATCH($BR$4,연료전지_원본!$A$4:$KY$4,0))</f>
        <v>0</v>
      </c>
      <c r="BS84" s="241">
        <f>INDEX(연료전지_원본!$A$4:$KY$369,MATCH($A84,연료전지_원본!$A$4:$A$369,0),MATCH($BS$4,연료전지_원본!$A$4:$KY$4,0))</f>
        <v>0</v>
      </c>
      <c r="BT84" s="241">
        <f>INDEX(연료전지_원본!$A$4:$KY$369,MATCH($A84,연료전지_원본!$A$4:$A$369,0),MATCH($BT$4,연료전지_원본!$A$4:$KY$4,0))</f>
        <v>0</v>
      </c>
      <c r="BU84" s="241">
        <f>INDEX(연료전지_원본!$A$4:$KY$369,MATCH($A84,연료전지_원본!$A$4:$A$369,0),MATCH($BU$4,연료전지_원본!$A$4:$KY$4,0))</f>
        <v>0</v>
      </c>
      <c r="BV84" s="241">
        <f>INDEX(연료전지_원본!$A$4:$KY$369,MATCH($A84,연료전지_원본!$A$4:$A$369,0),MATCH($BV$4,연료전지_원본!$A$4:$KY$4,0))</f>
        <v>0</v>
      </c>
      <c r="BW84" s="241">
        <f>INDEX(연료전지_원본!$A$4:$KY$369,MATCH($A84,연료전지_원본!$A$4:$A$369,0),MATCH($BW$4,연료전지_원본!$A$4:$KY$4,0))</f>
        <v>0</v>
      </c>
      <c r="BX84" s="241">
        <f>INDEX(연료전지_원본!$A$4:$KY$369,MATCH($A84,연료전지_원본!$A$4:$A$369,0),MATCH($BX$4,연료전지_원본!$A$4:$KY$4,0))</f>
        <v>0</v>
      </c>
      <c r="BY84" s="241">
        <f>INDEX(연료전지_원본!$A$4:$KY$369,MATCH($A84,연료전지_원본!$A$4:$A$369,0),MATCH($BY$4,연료전지_원본!$A$4:$KY$4,0))</f>
        <v>0</v>
      </c>
      <c r="BZ84" s="241">
        <f>INDEX(연료전지_원본!$A$4:$KY$369,MATCH($A84,연료전지_원본!$A$4:$A$369,0),MATCH($BZ$4,연료전지_원본!$A$4:$KY$4,0))</f>
        <v>0</v>
      </c>
      <c r="CA84" s="241">
        <f>INDEX(연료전지_원본!$A$4:$KY$369,MATCH($A84,연료전지_원본!$A$4:$A$369,0),MATCH($CA$4,연료전지_원본!$A$4:$KY$4,0))</f>
        <v>0</v>
      </c>
      <c r="CB84" s="241">
        <f>INDEX(연료전지_원본!$A$4:$KY$369,MATCH($A84,연료전지_원본!$A$4:$A$369,0),MATCH($CB$4,연료전지_원본!$A$4:$KY$4,0))</f>
        <v>0</v>
      </c>
      <c r="CC84" s="242">
        <f>INDEX(연료전지_원본!$A$4:$KY$369,MATCH($A84,연료전지_원본!$A$4:$A$369,0),MATCH($CC$4,연료전지_원본!$A$4:$KY$4,0))</f>
        <v>0</v>
      </c>
      <c r="CD84" s="250" t="e">
        <f>INDEX(연료전지_원본!$KB$4:$KX$369,MATCH($A84,연료전지_원본!$KB$4:$KB$369,0), MATCH(CD$4,연료전지_원본!$KB$4:$KX$4,0))*1000</f>
        <v>#N/A</v>
      </c>
      <c r="CE84" s="250" t="e">
        <f>INDEX(연료전지_원본!$KB$4:$KX$369,MATCH($A84,연료전지_원본!$KB$4:$KB$369,0), MATCH(CE$4,연료전지_원본!$KB$4:$KX$4,0))*1000</f>
        <v>#N/A</v>
      </c>
      <c r="CF84" s="250" t="e">
        <f>INDEX(연료전지_원본!$KB$4:$KX$369,MATCH($A84,연료전지_원본!$KB$4:$KB$369,0), MATCH(CF$4,연료전지_원본!$KB$4:$KX$4,0))*1000</f>
        <v>#N/A</v>
      </c>
      <c r="CG84" s="250" t="e">
        <f>INDEX(연료전지_원본!$KB$4:$KX$369,MATCH($A84,연료전지_원본!$KB$4:$KB$369,0), MATCH(CG$4,연료전지_원본!$KB$4:$KX$4,0))*1000</f>
        <v>#N/A</v>
      </c>
      <c r="CH84" s="250" t="e">
        <f>INDEX(연료전지_원본!$KB$4:$KX$369,MATCH($A84,연료전지_원본!$KB$4:$KB$369,0), MATCH(CH$4,연료전지_원본!$KB$4:$KX$4,0))*1000</f>
        <v>#N/A</v>
      </c>
      <c r="CI84" s="250" t="e">
        <f>INDEX(연료전지_원본!$KB$4:$KX$369,MATCH($A84,연료전지_원본!$KB$4:$KB$369,0), MATCH(CI$4,연료전지_원본!$KB$4:$KX$4,0))*1000</f>
        <v>#N/A</v>
      </c>
      <c r="CJ84" s="250" t="e">
        <f>INDEX(연료전지_원본!$KB$4:$KX$369,MATCH($A84,연료전지_원본!$KB$4:$KB$369,0), MATCH(CJ$4,연료전지_원본!$KB$4:$KX$4,0))*1000</f>
        <v>#N/A</v>
      </c>
      <c r="CK84" s="250" t="e">
        <f>INDEX(연료전지_원본!$KB$4:$KX$369,MATCH($A84,연료전지_원본!$KB$4:$KB$369,0), MATCH(CK$4,연료전지_원본!$KB$4:$KX$4,0))*1000</f>
        <v>#N/A</v>
      </c>
      <c r="CL84" s="250" t="e">
        <f>INDEX(연료전지_원본!$KB$4:$KX$369,MATCH($A84,연료전지_원본!$KB$4:$KB$369,0), MATCH(CL$4,연료전지_원본!$KB$4:$KX$4,0))*1000</f>
        <v>#N/A</v>
      </c>
      <c r="CM84" s="250" t="e">
        <f>INDEX(연료전지_원본!$KB$4:$KX$369,MATCH($A84,연료전지_원본!$KB$4:$KB$369,0), MATCH(CM$4,연료전지_원본!$KB$4:$KX$4,0))*1000</f>
        <v>#N/A</v>
      </c>
      <c r="CN84" s="250" t="e">
        <f>INDEX(연료전지_원본!$KB$4:$KX$369,MATCH($A84,연료전지_원본!$KB$4:$KB$369,0), MATCH(CN$4,연료전지_원본!$KB$4:$KX$4,0))*1000</f>
        <v>#N/A</v>
      </c>
      <c r="CO84" s="250" t="e">
        <f>INDEX(연료전지_원본!$KB$4:$KX$369,MATCH($A84,연료전지_원본!$KB$4:$KB$369,0), MATCH(CO$4,연료전지_원본!$KB$4:$KX$4,0))*1000</f>
        <v>#N/A</v>
      </c>
      <c r="CP84" s="250" t="e">
        <f>INDEX(연료전지_원본!$KB$4:$KX$369,MATCH($A84,연료전지_원본!$KB$4:$KB$369,0), MATCH(CP$4,연료전지_원본!$KB$4:$KX$4,0))*1000</f>
        <v>#N/A</v>
      </c>
      <c r="CQ84" s="250" t="e">
        <f>INDEX(연료전지_원본!$KB$4:$KX$369,MATCH($A84,연료전지_원본!$KB$4:$KB$369,0), MATCH(CQ$4,연료전지_원본!$KB$4:$KX$4,0))*1000</f>
        <v>#N/A</v>
      </c>
      <c r="CR84" s="250" t="e">
        <f>INDEX(연료전지_원본!$KB$4:$KX$369,MATCH($A84,연료전지_원본!$KB$4:$KB$369,0), MATCH(CR$4,연료전지_원본!$KB$4:$KX$4,0))*1000</f>
        <v>#N/A</v>
      </c>
      <c r="CS84" s="250" t="e">
        <f>INDEX(연료전지_원본!$KB$4:$KX$369,MATCH($A84,연료전지_원본!$KB$4:$KB$369,0), MATCH(CS$4,연료전지_원본!$KB$4:$KX$4,0))*1000</f>
        <v>#N/A</v>
      </c>
      <c r="CT84" s="250" t="e">
        <f>INDEX(연료전지_원본!$KB$4:$KX$369,MATCH($A84,연료전지_원본!$KB$4:$KB$369,0), MATCH(CT$4,연료전지_원본!$KB$4:$KX$4,0))*1000</f>
        <v>#N/A</v>
      </c>
      <c r="CU84" s="250" t="e">
        <f>INDEX(연료전지_원본!$KB$4:$KX$369,MATCH($A84,연료전지_원본!$KB$4:$KB$369,0), MATCH(CU$4,연료전지_원본!$KB$4:$KX$4,0))*1000</f>
        <v>#N/A</v>
      </c>
      <c r="CV84" s="250" t="e">
        <f>INDEX(연료전지_원본!$KB$4:$KX$369,MATCH($A84,연료전지_원본!$KB$4:$KB$369,0), MATCH(CV$4,연료전지_원본!$KB$4:$KX$4,0))*1000</f>
        <v>#N/A</v>
      </c>
      <c r="CW84" s="250" t="e">
        <f>INDEX(연료전지_원본!$KB$4:$KX$369,MATCH($A84,연료전지_원본!$KB$4:$KB$369,0), MATCH(CW$4,연료전지_원본!$KB$4:$KX$4,0))*1000</f>
        <v>#N/A</v>
      </c>
      <c r="CX84" s="250" t="e">
        <f>INDEX(연료전지_원본!$KB$4:$KX$369,MATCH($A84,연료전지_원본!$KB$4:$KB$369,0), MATCH(CX$4,연료전지_원본!$KB$4:$KX$4,0))*1000</f>
        <v>#N/A</v>
      </c>
      <c r="CY84" s="250" t="e">
        <f>INDEX(연료전지_원본!$KB$4:$KX$369,MATCH($A84,연료전지_원본!$KB$4:$KB$369,0), MATCH(CY$4,연료전지_원본!$KB$4:$KX$4,0))*1000</f>
        <v>#N/A</v>
      </c>
      <c r="DV84" s="30">
        <f t="shared" si="297"/>
        <v>0</v>
      </c>
    </row>
    <row r="85" spans="1:126">
      <c r="A85" s="6">
        <v>46102</v>
      </c>
      <c r="B85" s="15">
        <f>운전실적_원본!B85</f>
        <v>651.20000000000005</v>
      </c>
      <c r="C85" s="16">
        <f t="shared" si="298"/>
        <v>0</v>
      </c>
      <c r="D85" s="12">
        <f>운전실적_원본!C85</f>
        <v>250427</v>
      </c>
      <c r="E85" s="12">
        <f t="shared" si="299"/>
        <v>0</v>
      </c>
      <c r="F85" s="12">
        <f>운전실적_원본!D85</f>
        <v>241794</v>
      </c>
      <c r="G85" s="16">
        <f t="shared" si="300"/>
        <v>0</v>
      </c>
      <c r="H85" s="15">
        <f>운전실적_원본!E85</f>
        <v>17339.47</v>
      </c>
      <c r="I85" s="16">
        <f t="shared" si="301"/>
        <v>1.0500000000029104</v>
      </c>
      <c r="J85" s="15">
        <f>운전실적_원본!F85</f>
        <v>15539.68</v>
      </c>
      <c r="K85" s="16">
        <f t="shared" si="301"/>
        <v>2.7000000000007276</v>
      </c>
      <c r="L85" s="32">
        <f>운전실적_원본!G85</f>
        <v>46.1</v>
      </c>
      <c r="M85" s="31">
        <f t="shared" ref="M85" si="533">IF(OR(LEN(L85)=0,L85=0),"",L85-L84)</f>
        <v>1.1000000000000014</v>
      </c>
      <c r="N85" s="15">
        <f>운전실적_원본!H85</f>
        <v>41052</v>
      </c>
      <c r="O85" s="16">
        <f t="shared" ref="O85" si="534">IF(OR(LEN(N85)=0,N85=0),"",N85-N84)</f>
        <v>0</v>
      </c>
      <c r="P85" s="15">
        <f>운전실적_원본!I85</f>
        <v>26058</v>
      </c>
      <c r="Q85" s="16">
        <f t="shared" ref="Q85" si="535">IF(OR(LEN(P85)=0,P85=0),"",P85-P84)</f>
        <v>20</v>
      </c>
      <c r="R85" s="18">
        <f>운전실적_원본!J85</f>
        <v>34</v>
      </c>
      <c r="S85" s="19">
        <f t="shared" ref="S85" si="536">IF(OR(LEN(R85)=0,R85=0),"",R85-R84)</f>
        <v>-2.0000000000003126E-2</v>
      </c>
      <c r="T85" s="18">
        <f>운전실적_원본!K85</f>
        <v>33.43</v>
      </c>
      <c r="U85" s="19">
        <f t="shared" si="306"/>
        <v>6.0000000000002274E-2</v>
      </c>
      <c r="V85" s="12">
        <f>운전실적_원본!L85</f>
        <v>8037</v>
      </c>
      <c r="W85" s="16">
        <f t="shared" ref="W85" si="537">IF(OR(LEN(V85)=0,V85=0),"",V85-V84)</f>
        <v>-571</v>
      </c>
      <c r="X85" s="10">
        <f>운전실적_원본!M85</f>
        <v>0</v>
      </c>
      <c r="Y85" s="10">
        <f>운전실적_원본!N85</f>
        <v>0</v>
      </c>
      <c r="Z85" s="10">
        <f>운전실적_원본!O85</f>
        <v>0</v>
      </c>
      <c r="AA85" s="10">
        <f>운전실적_원본!P85</f>
        <v>0</v>
      </c>
      <c r="AB85" s="10">
        <f>운전실적_원본!Q85</f>
        <v>0</v>
      </c>
      <c r="AC85" s="20">
        <f>운전실적_원본!R85</f>
        <v>0</v>
      </c>
      <c r="AD85" s="109">
        <f>운전실적_원본!S85</f>
        <v>0</v>
      </c>
      <c r="AE85" s="110">
        <f>운전실적_원본!T85</f>
        <v>0</v>
      </c>
      <c r="AF85" s="110">
        <f>운전실적_원본!U85</f>
        <v>0</v>
      </c>
      <c r="AG85" s="110">
        <f>운전실적_원본!V85</f>
        <v>0</v>
      </c>
      <c r="AH85" s="109">
        <f t="shared" si="460"/>
        <v>0</v>
      </c>
      <c r="AI85" s="110">
        <f t="shared" si="467"/>
        <v>0</v>
      </c>
      <c r="AJ85" s="110">
        <f>운전실적_원본!Y85</f>
        <v>0</v>
      </c>
      <c r="AK85" s="110">
        <f>운전실적_원본!Z85</f>
        <v>0</v>
      </c>
      <c r="AL85" s="106"/>
      <c r="AM85" s="105"/>
      <c r="AN85" s="105"/>
      <c r="AO85" s="105"/>
      <c r="AP85" s="105"/>
      <c r="AQ85" s="108"/>
      <c r="AR85" s="105"/>
      <c r="AS85" s="105"/>
      <c r="AT85" s="102"/>
      <c r="AU85" s="102"/>
      <c r="AV85" s="102"/>
      <c r="AW85" s="102"/>
      <c r="AX85" s="32">
        <f>운전실적_원본!W85</f>
        <v>0</v>
      </c>
      <c r="AY85" s="11">
        <f>운전실적_원본!X85</f>
        <v>0</v>
      </c>
      <c r="AZ85" s="11">
        <f>운전실적_원본!Y85</f>
        <v>0</v>
      </c>
      <c r="BA85" s="11">
        <f>운전실적_원본!Z85</f>
        <v>0</v>
      </c>
      <c r="BB85" s="11">
        <f>운전실적_원본!AA85</f>
        <v>0</v>
      </c>
      <c r="BC85" s="11">
        <f>운전실적_원본!AB85</f>
        <v>0</v>
      </c>
      <c r="BD85" s="32" t="str">
        <f t="shared" si="453"/>
        <v>-</v>
      </c>
      <c r="BE85" s="11" t="str">
        <f t="shared" si="461"/>
        <v>-</v>
      </c>
      <c r="BF85" s="11">
        <f>운전실적_원본!AE85</f>
        <v>0</v>
      </c>
      <c r="BG85" s="31">
        <f t="shared" si="454"/>
        <v>0</v>
      </c>
      <c r="BH85" s="241">
        <f>INDEX(연료전지_원본!$A$4:$KY$369,MATCH($A85,연료전지_원본!$A$4:$A$369,0),MATCH($BH$4,연료전지_원본!$A$4:$KY$4,0))</f>
        <v>0</v>
      </c>
      <c r="BI85" s="241">
        <f>INDEX(연료전지_원본!$A$4:$KY$369,MATCH($A85,연료전지_원본!$A$4:$A$369,0),MATCH($BI$4,연료전지_원본!$A$4:$KY$4,0))</f>
        <v>0</v>
      </c>
      <c r="BJ85" s="241">
        <f>INDEX(연료전지_원본!$A$4:$KY$369,MATCH($A85,연료전지_원본!$A$4:$A$369,0),MATCH($BJ$4,연료전지_원본!$A$4:$KY$4,0))</f>
        <v>0</v>
      </c>
      <c r="BK85" s="241">
        <f>INDEX(연료전지_원본!$A$4:$KY$369,MATCH($A85,연료전지_원본!$A$4:$A$369,0),MATCH($BK$4,연료전지_원본!$A$4:$KY$4,0))</f>
        <v>0</v>
      </c>
      <c r="BL85" s="241">
        <f>INDEX(연료전지_원본!$A$4:$KY$369,MATCH($A85,연료전지_원본!$A$4:$A$369,0),MATCH($BL$4,연료전지_원본!$A$4:$KY$4,0))</f>
        <v>0</v>
      </c>
      <c r="BM85" s="241">
        <f>INDEX(연료전지_원본!$A$4:$KY$369,MATCH($A85,연료전지_원본!$A$4:$A$369,0),MATCH($BM$4,연료전지_원본!$A$4:$KY$4,0))</f>
        <v>0</v>
      </c>
      <c r="BN85" s="241">
        <f>INDEX(연료전지_원본!$A$4:$KY$369,MATCH($A85,연료전지_원본!$A$4:$A$369,0),MATCH($BN$4,연료전지_원본!$A$4:$KY$4,0))</f>
        <v>0</v>
      </c>
      <c r="BO85" s="241">
        <f>INDEX(연료전지_원본!$A$4:$KY$369,MATCH($A85,연료전지_원본!$A$4:$A$369,0),MATCH($BO$4,연료전지_원본!$A$4:$KY$4,0))</f>
        <v>0</v>
      </c>
      <c r="BP85" s="241">
        <f>INDEX(연료전지_원본!$A$4:$KY$369,MATCH($A85,연료전지_원본!$A$4:$A$369,0),MATCH($BP$4,연료전지_원본!$A$4:$KY$4,0))</f>
        <v>0</v>
      </c>
      <c r="BQ85" s="241">
        <f>INDEX(연료전지_원본!$A$4:$KY$369,MATCH($A85,연료전지_원본!$A$4:$A$369,0),MATCH($BQ$4,연료전지_원본!$A$4:$KY$4,0))</f>
        <v>0</v>
      </c>
      <c r="BR85" s="241">
        <f>INDEX(연료전지_원본!$A$4:$KY$369,MATCH($A85,연료전지_원본!$A$4:$A$369,0),MATCH($BR$4,연료전지_원본!$A$4:$KY$4,0))</f>
        <v>0</v>
      </c>
      <c r="BS85" s="241">
        <f>INDEX(연료전지_원본!$A$4:$KY$369,MATCH($A85,연료전지_원본!$A$4:$A$369,0),MATCH($BS$4,연료전지_원본!$A$4:$KY$4,0))</f>
        <v>0</v>
      </c>
      <c r="BT85" s="241">
        <f>INDEX(연료전지_원본!$A$4:$KY$369,MATCH($A85,연료전지_원본!$A$4:$A$369,0),MATCH($BT$4,연료전지_원본!$A$4:$KY$4,0))</f>
        <v>0</v>
      </c>
      <c r="BU85" s="241">
        <f>INDEX(연료전지_원본!$A$4:$KY$369,MATCH($A85,연료전지_원본!$A$4:$A$369,0),MATCH($BU$4,연료전지_원본!$A$4:$KY$4,0))</f>
        <v>0</v>
      </c>
      <c r="BV85" s="241">
        <f>INDEX(연료전지_원본!$A$4:$KY$369,MATCH($A85,연료전지_원본!$A$4:$A$369,0),MATCH($BV$4,연료전지_원본!$A$4:$KY$4,0))</f>
        <v>0</v>
      </c>
      <c r="BW85" s="241">
        <f>INDEX(연료전지_원본!$A$4:$KY$369,MATCH($A85,연료전지_원본!$A$4:$A$369,0),MATCH($BW$4,연료전지_원본!$A$4:$KY$4,0))</f>
        <v>0</v>
      </c>
      <c r="BX85" s="241">
        <f>INDEX(연료전지_원본!$A$4:$KY$369,MATCH($A85,연료전지_원본!$A$4:$A$369,0),MATCH($BX$4,연료전지_원본!$A$4:$KY$4,0))</f>
        <v>0</v>
      </c>
      <c r="BY85" s="241">
        <f>INDEX(연료전지_원본!$A$4:$KY$369,MATCH($A85,연료전지_원본!$A$4:$A$369,0),MATCH($BY$4,연료전지_원본!$A$4:$KY$4,0))</f>
        <v>0</v>
      </c>
      <c r="BZ85" s="241">
        <f>INDEX(연료전지_원본!$A$4:$KY$369,MATCH($A85,연료전지_원본!$A$4:$A$369,0),MATCH($BZ$4,연료전지_원본!$A$4:$KY$4,0))</f>
        <v>0</v>
      </c>
      <c r="CA85" s="241">
        <f>INDEX(연료전지_원본!$A$4:$KY$369,MATCH($A85,연료전지_원본!$A$4:$A$369,0),MATCH($CA$4,연료전지_원본!$A$4:$KY$4,0))</f>
        <v>0</v>
      </c>
      <c r="CB85" s="241">
        <f>INDEX(연료전지_원본!$A$4:$KY$369,MATCH($A85,연료전지_원본!$A$4:$A$369,0),MATCH($CB$4,연료전지_원본!$A$4:$KY$4,0))</f>
        <v>0</v>
      </c>
      <c r="CC85" s="242">
        <f>INDEX(연료전지_원본!$A$4:$KY$369,MATCH($A85,연료전지_원본!$A$4:$A$369,0),MATCH($CC$4,연료전지_원본!$A$4:$KY$4,0))</f>
        <v>0</v>
      </c>
      <c r="CD85" s="250" t="e">
        <f>INDEX(연료전지_원본!$KB$4:$KX$369,MATCH($A85,연료전지_원본!$KB$4:$KB$369,0), MATCH(CD$4,연료전지_원본!$KB$4:$KX$4,0))*1000</f>
        <v>#N/A</v>
      </c>
      <c r="CE85" s="250" t="e">
        <f>INDEX(연료전지_원본!$KB$4:$KX$369,MATCH($A85,연료전지_원본!$KB$4:$KB$369,0), MATCH(CE$4,연료전지_원본!$KB$4:$KX$4,0))*1000</f>
        <v>#N/A</v>
      </c>
      <c r="CF85" s="250" t="e">
        <f>INDEX(연료전지_원본!$KB$4:$KX$369,MATCH($A85,연료전지_원본!$KB$4:$KB$369,0), MATCH(CF$4,연료전지_원본!$KB$4:$KX$4,0))*1000</f>
        <v>#N/A</v>
      </c>
      <c r="CG85" s="250" t="e">
        <f>INDEX(연료전지_원본!$KB$4:$KX$369,MATCH($A85,연료전지_원본!$KB$4:$KB$369,0), MATCH(CG$4,연료전지_원본!$KB$4:$KX$4,0))*1000</f>
        <v>#N/A</v>
      </c>
      <c r="CH85" s="250" t="e">
        <f>INDEX(연료전지_원본!$KB$4:$KX$369,MATCH($A85,연료전지_원본!$KB$4:$KB$369,0), MATCH(CH$4,연료전지_원본!$KB$4:$KX$4,0))*1000</f>
        <v>#N/A</v>
      </c>
      <c r="CI85" s="250" t="e">
        <f>INDEX(연료전지_원본!$KB$4:$KX$369,MATCH($A85,연료전지_원본!$KB$4:$KB$369,0), MATCH(CI$4,연료전지_원본!$KB$4:$KX$4,0))*1000</f>
        <v>#N/A</v>
      </c>
      <c r="CJ85" s="250" t="e">
        <f>INDEX(연료전지_원본!$KB$4:$KX$369,MATCH($A85,연료전지_원본!$KB$4:$KB$369,0), MATCH(CJ$4,연료전지_원본!$KB$4:$KX$4,0))*1000</f>
        <v>#N/A</v>
      </c>
      <c r="CK85" s="250" t="e">
        <f>INDEX(연료전지_원본!$KB$4:$KX$369,MATCH($A85,연료전지_원본!$KB$4:$KB$369,0), MATCH(CK$4,연료전지_원본!$KB$4:$KX$4,0))*1000</f>
        <v>#N/A</v>
      </c>
      <c r="CL85" s="250" t="e">
        <f>INDEX(연료전지_원본!$KB$4:$KX$369,MATCH($A85,연료전지_원본!$KB$4:$KB$369,0), MATCH(CL$4,연료전지_원본!$KB$4:$KX$4,0))*1000</f>
        <v>#N/A</v>
      </c>
      <c r="CM85" s="250" t="e">
        <f>INDEX(연료전지_원본!$KB$4:$KX$369,MATCH($A85,연료전지_원본!$KB$4:$KB$369,0), MATCH(CM$4,연료전지_원본!$KB$4:$KX$4,0))*1000</f>
        <v>#N/A</v>
      </c>
      <c r="CN85" s="250" t="e">
        <f>INDEX(연료전지_원본!$KB$4:$KX$369,MATCH($A85,연료전지_원본!$KB$4:$KB$369,0), MATCH(CN$4,연료전지_원본!$KB$4:$KX$4,0))*1000</f>
        <v>#N/A</v>
      </c>
      <c r="CO85" s="250" t="e">
        <f>INDEX(연료전지_원본!$KB$4:$KX$369,MATCH($A85,연료전지_원본!$KB$4:$KB$369,0), MATCH(CO$4,연료전지_원본!$KB$4:$KX$4,0))*1000</f>
        <v>#N/A</v>
      </c>
      <c r="CP85" s="250" t="e">
        <f>INDEX(연료전지_원본!$KB$4:$KX$369,MATCH($A85,연료전지_원본!$KB$4:$KB$369,0), MATCH(CP$4,연료전지_원본!$KB$4:$KX$4,0))*1000</f>
        <v>#N/A</v>
      </c>
      <c r="CQ85" s="250" t="e">
        <f>INDEX(연료전지_원본!$KB$4:$KX$369,MATCH($A85,연료전지_원본!$KB$4:$KB$369,0), MATCH(CQ$4,연료전지_원본!$KB$4:$KX$4,0))*1000</f>
        <v>#N/A</v>
      </c>
      <c r="CR85" s="250" t="e">
        <f>INDEX(연료전지_원본!$KB$4:$KX$369,MATCH($A85,연료전지_원본!$KB$4:$KB$369,0), MATCH(CR$4,연료전지_원본!$KB$4:$KX$4,0))*1000</f>
        <v>#N/A</v>
      </c>
      <c r="CS85" s="250" t="e">
        <f>INDEX(연료전지_원본!$KB$4:$KX$369,MATCH($A85,연료전지_원본!$KB$4:$KB$369,0), MATCH(CS$4,연료전지_원본!$KB$4:$KX$4,0))*1000</f>
        <v>#N/A</v>
      </c>
      <c r="CT85" s="250" t="e">
        <f>INDEX(연료전지_원본!$KB$4:$KX$369,MATCH($A85,연료전지_원본!$KB$4:$KB$369,0), MATCH(CT$4,연료전지_원본!$KB$4:$KX$4,0))*1000</f>
        <v>#N/A</v>
      </c>
      <c r="CU85" s="250" t="e">
        <f>INDEX(연료전지_원본!$KB$4:$KX$369,MATCH($A85,연료전지_원본!$KB$4:$KB$369,0), MATCH(CU$4,연료전지_원본!$KB$4:$KX$4,0))*1000</f>
        <v>#N/A</v>
      </c>
      <c r="CV85" s="250" t="e">
        <f>INDEX(연료전지_원본!$KB$4:$KX$369,MATCH($A85,연료전지_원본!$KB$4:$KB$369,0), MATCH(CV$4,연료전지_원본!$KB$4:$KX$4,0))*1000</f>
        <v>#N/A</v>
      </c>
      <c r="CW85" s="250" t="e">
        <f>INDEX(연료전지_원본!$KB$4:$KX$369,MATCH($A85,연료전지_원본!$KB$4:$KB$369,0), MATCH(CW$4,연료전지_원본!$KB$4:$KX$4,0))*1000</f>
        <v>#N/A</v>
      </c>
      <c r="CX85" s="250" t="e">
        <f>INDEX(연료전지_원본!$KB$4:$KX$369,MATCH($A85,연료전지_원본!$KB$4:$KB$369,0), MATCH(CX$4,연료전지_원본!$KB$4:$KX$4,0))*1000</f>
        <v>#N/A</v>
      </c>
      <c r="CY85" s="250" t="e">
        <f>INDEX(연료전지_원본!$KB$4:$KX$369,MATCH($A85,연료전지_원본!$KB$4:$KB$369,0), MATCH(CY$4,연료전지_원본!$KB$4:$KX$4,0))*1000</f>
        <v>#N/A</v>
      </c>
      <c r="DV85" s="30">
        <f t="shared" si="297"/>
        <v>0</v>
      </c>
    </row>
    <row r="86" spans="1:126">
      <c r="A86" s="6">
        <v>46103</v>
      </c>
      <c r="B86" s="15">
        <f>운전실적_원본!B86</f>
        <v>651.20000000000005</v>
      </c>
      <c r="C86" s="16">
        <f t="shared" si="298"/>
        <v>0</v>
      </c>
      <c r="D86" s="12">
        <f>운전실적_원본!C86</f>
        <v>250427</v>
      </c>
      <c r="E86" s="12">
        <f t="shared" si="299"/>
        <v>0</v>
      </c>
      <c r="F86" s="12">
        <f>운전실적_원본!D86</f>
        <v>241794</v>
      </c>
      <c r="G86" s="16">
        <f t="shared" si="300"/>
        <v>0</v>
      </c>
      <c r="H86" s="15">
        <f>운전실적_원본!E86</f>
        <v>17340.86</v>
      </c>
      <c r="I86" s="16">
        <f t="shared" si="301"/>
        <v>1.3899999999994179</v>
      </c>
      <c r="J86" s="15">
        <f>운전실적_원본!F86</f>
        <v>15542.13</v>
      </c>
      <c r="K86" s="16">
        <f t="shared" si="301"/>
        <v>2.4499999999989086</v>
      </c>
      <c r="L86" s="32">
        <f>운전실적_원본!G86</f>
        <v>46.8</v>
      </c>
      <c r="M86" s="31">
        <f t="shared" ref="M86" si="538">IF(OR(LEN(L86)=0,L86=0),"",L86-L85)</f>
        <v>0.69999999999999574</v>
      </c>
      <c r="N86" s="15">
        <f>운전실적_원본!H86</f>
        <v>41136</v>
      </c>
      <c r="O86" s="16">
        <f t="shared" ref="O86" si="539">IF(OR(LEN(N86)=0,N86=0),"",N86-N85)</f>
        <v>84</v>
      </c>
      <c r="P86" s="15">
        <f>운전실적_원본!I86</f>
        <v>26077</v>
      </c>
      <c r="Q86" s="16">
        <f t="shared" ref="Q86" si="540">IF(OR(LEN(P86)=0,P86=0),"",P86-P85)</f>
        <v>19</v>
      </c>
      <c r="R86" s="18">
        <f>운전실적_원본!J86</f>
        <v>34.01</v>
      </c>
      <c r="S86" s="19">
        <f t="shared" ref="S86" si="541">IF(OR(LEN(R86)=0,R86=0),"",R86-R85)</f>
        <v>9.9999999999980105E-3</v>
      </c>
      <c r="T86" s="18">
        <f>운전실적_원본!K86</f>
        <v>33.479999999999997</v>
      </c>
      <c r="U86" s="19">
        <f t="shared" si="306"/>
        <v>4.9999999999997158E-2</v>
      </c>
      <c r="V86" s="12">
        <f>운전실적_원본!L86</f>
        <v>7743</v>
      </c>
      <c r="W86" s="16">
        <f t="shared" ref="W86" si="542">IF(OR(LEN(V86)=0,V86=0),"",V86-V85)</f>
        <v>-294</v>
      </c>
      <c r="X86" s="10">
        <f>운전실적_원본!M86</f>
        <v>0</v>
      </c>
      <c r="Y86" s="10">
        <f>운전실적_원본!N86</f>
        <v>0</v>
      </c>
      <c r="Z86" s="10">
        <f>운전실적_원본!O86</f>
        <v>0</v>
      </c>
      <c r="AA86" s="10">
        <f>운전실적_원본!P86</f>
        <v>0</v>
      </c>
      <c r="AB86" s="10">
        <f>운전실적_원본!Q86</f>
        <v>0</v>
      </c>
      <c r="AC86" s="20">
        <f>운전실적_원본!R86</f>
        <v>0</v>
      </c>
      <c r="AD86" s="109">
        <f>운전실적_원본!S86</f>
        <v>0</v>
      </c>
      <c r="AE86" s="110">
        <f>운전실적_원본!T86</f>
        <v>0</v>
      </c>
      <c r="AF86" s="110">
        <f>운전실적_원본!U86</f>
        <v>0</v>
      </c>
      <c r="AG86" s="110">
        <f>운전실적_원본!V86</f>
        <v>0</v>
      </c>
      <c r="AH86" s="109">
        <f t="shared" si="460"/>
        <v>0</v>
      </c>
      <c r="AI86" s="110">
        <f t="shared" si="467"/>
        <v>0</v>
      </c>
      <c r="AJ86" s="110">
        <f>운전실적_원본!Y86</f>
        <v>0</v>
      </c>
      <c r="AK86" s="110">
        <f>운전실적_원본!Z86</f>
        <v>0</v>
      </c>
      <c r="AL86" s="106"/>
      <c r="AM86" s="105"/>
      <c r="AN86" s="105"/>
      <c r="AO86" s="105"/>
      <c r="AP86" s="105"/>
      <c r="AQ86" s="108"/>
      <c r="AR86" s="105"/>
      <c r="AS86" s="105"/>
      <c r="AT86" s="102"/>
      <c r="AU86" s="102"/>
      <c r="AV86" s="102"/>
      <c r="AW86" s="102"/>
      <c r="AX86" s="32">
        <f>운전실적_원본!W86</f>
        <v>0</v>
      </c>
      <c r="AY86" s="11">
        <f>운전실적_원본!X86</f>
        <v>0</v>
      </c>
      <c r="AZ86" s="11">
        <f>운전실적_원본!Y86</f>
        <v>0</v>
      </c>
      <c r="BA86" s="11">
        <f>운전실적_원본!Z86</f>
        <v>0</v>
      </c>
      <c r="BB86" s="11">
        <f>운전실적_원본!AA86</f>
        <v>0</v>
      </c>
      <c r="BC86" s="11">
        <f>운전실적_원본!AB86</f>
        <v>0</v>
      </c>
      <c r="BD86" s="32" t="str">
        <f t="shared" si="453"/>
        <v>-</v>
      </c>
      <c r="BE86" s="11" t="str">
        <f t="shared" si="461"/>
        <v>-</v>
      </c>
      <c r="BF86" s="11">
        <f>운전실적_원본!AE86</f>
        <v>0</v>
      </c>
      <c r="BG86" s="31">
        <f t="shared" si="454"/>
        <v>0</v>
      </c>
      <c r="BH86" s="241">
        <f>INDEX(연료전지_원본!$A$4:$KY$369,MATCH($A86,연료전지_원본!$A$4:$A$369,0),MATCH($BH$4,연료전지_원본!$A$4:$KY$4,0))</f>
        <v>0</v>
      </c>
      <c r="BI86" s="241">
        <f>INDEX(연료전지_원본!$A$4:$KY$369,MATCH($A86,연료전지_원본!$A$4:$A$369,0),MATCH($BI$4,연료전지_원본!$A$4:$KY$4,0))</f>
        <v>0</v>
      </c>
      <c r="BJ86" s="241">
        <f>INDEX(연료전지_원본!$A$4:$KY$369,MATCH($A86,연료전지_원본!$A$4:$A$369,0),MATCH($BJ$4,연료전지_원본!$A$4:$KY$4,0))</f>
        <v>0</v>
      </c>
      <c r="BK86" s="241">
        <f>INDEX(연료전지_원본!$A$4:$KY$369,MATCH($A86,연료전지_원본!$A$4:$A$369,0),MATCH($BK$4,연료전지_원본!$A$4:$KY$4,0))</f>
        <v>0</v>
      </c>
      <c r="BL86" s="241">
        <f>INDEX(연료전지_원본!$A$4:$KY$369,MATCH($A86,연료전지_원본!$A$4:$A$369,0),MATCH($BL$4,연료전지_원본!$A$4:$KY$4,0))</f>
        <v>0</v>
      </c>
      <c r="BM86" s="241">
        <f>INDEX(연료전지_원본!$A$4:$KY$369,MATCH($A86,연료전지_원본!$A$4:$A$369,0),MATCH($BM$4,연료전지_원본!$A$4:$KY$4,0))</f>
        <v>0</v>
      </c>
      <c r="BN86" s="241">
        <f>INDEX(연료전지_원본!$A$4:$KY$369,MATCH($A86,연료전지_원본!$A$4:$A$369,0),MATCH($BN$4,연료전지_원본!$A$4:$KY$4,0))</f>
        <v>0</v>
      </c>
      <c r="BO86" s="241">
        <f>INDEX(연료전지_원본!$A$4:$KY$369,MATCH($A86,연료전지_원본!$A$4:$A$369,0),MATCH($BO$4,연료전지_원본!$A$4:$KY$4,0))</f>
        <v>0</v>
      </c>
      <c r="BP86" s="241">
        <f>INDEX(연료전지_원본!$A$4:$KY$369,MATCH($A86,연료전지_원본!$A$4:$A$369,0),MATCH($BP$4,연료전지_원본!$A$4:$KY$4,0))</f>
        <v>0</v>
      </c>
      <c r="BQ86" s="241">
        <f>INDEX(연료전지_원본!$A$4:$KY$369,MATCH($A86,연료전지_원본!$A$4:$A$369,0),MATCH($BQ$4,연료전지_원본!$A$4:$KY$4,0))</f>
        <v>0</v>
      </c>
      <c r="BR86" s="241">
        <f>INDEX(연료전지_원본!$A$4:$KY$369,MATCH($A86,연료전지_원본!$A$4:$A$369,0),MATCH($BR$4,연료전지_원본!$A$4:$KY$4,0))</f>
        <v>0</v>
      </c>
      <c r="BS86" s="241">
        <f>INDEX(연료전지_원본!$A$4:$KY$369,MATCH($A86,연료전지_원본!$A$4:$A$369,0),MATCH($BS$4,연료전지_원본!$A$4:$KY$4,0))</f>
        <v>0</v>
      </c>
      <c r="BT86" s="241">
        <f>INDEX(연료전지_원본!$A$4:$KY$369,MATCH($A86,연료전지_원본!$A$4:$A$369,0),MATCH($BT$4,연료전지_원본!$A$4:$KY$4,0))</f>
        <v>0</v>
      </c>
      <c r="BU86" s="241">
        <f>INDEX(연료전지_원본!$A$4:$KY$369,MATCH($A86,연료전지_원본!$A$4:$A$369,0),MATCH($BU$4,연료전지_원본!$A$4:$KY$4,0))</f>
        <v>0</v>
      </c>
      <c r="BV86" s="241">
        <f>INDEX(연료전지_원본!$A$4:$KY$369,MATCH($A86,연료전지_원본!$A$4:$A$369,0),MATCH($BV$4,연료전지_원본!$A$4:$KY$4,0))</f>
        <v>0</v>
      </c>
      <c r="BW86" s="241">
        <f>INDEX(연료전지_원본!$A$4:$KY$369,MATCH($A86,연료전지_원본!$A$4:$A$369,0),MATCH($BW$4,연료전지_원본!$A$4:$KY$4,0))</f>
        <v>0</v>
      </c>
      <c r="BX86" s="241">
        <f>INDEX(연료전지_원본!$A$4:$KY$369,MATCH($A86,연료전지_원본!$A$4:$A$369,0),MATCH($BX$4,연료전지_원본!$A$4:$KY$4,0))</f>
        <v>0</v>
      </c>
      <c r="BY86" s="241">
        <f>INDEX(연료전지_원본!$A$4:$KY$369,MATCH($A86,연료전지_원본!$A$4:$A$369,0),MATCH($BY$4,연료전지_원본!$A$4:$KY$4,0))</f>
        <v>0</v>
      </c>
      <c r="BZ86" s="241">
        <f>INDEX(연료전지_원본!$A$4:$KY$369,MATCH($A86,연료전지_원본!$A$4:$A$369,0),MATCH($BZ$4,연료전지_원본!$A$4:$KY$4,0))</f>
        <v>0</v>
      </c>
      <c r="CA86" s="241">
        <f>INDEX(연료전지_원본!$A$4:$KY$369,MATCH($A86,연료전지_원본!$A$4:$A$369,0),MATCH($CA$4,연료전지_원본!$A$4:$KY$4,0))</f>
        <v>0</v>
      </c>
      <c r="CB86" s="241">
        <f>INDEX(연료전지_원본!$A$4:$KY$369,MATCH($A86,연료전지_원본!$A$4:$A$369,0),MATCH($CB$4,연료전지_원본!$A$4:$KY$4,0))</f>
        <v>0</v>
      </c>
      <c r="CC86" s="242">
        <f>INDEX(연료전지_원본!$A$4:$KY$369,MATCH($A86,연료전지_원본!$A$4:$A$369,0),MATCH($CC$4,연료전지_원본!$A$4:$KY$4,0))</f>
        <v>0</v>
      </c>
      <c r="CD86" s="250" t="e">
        <f>INDEX(연료전지_원본!$KB$4:$KX$369,MATCH($A86,연료전지_원본!$KB$4:$KB$369,0), MATCH(CD$4,연료전지_원본!$KB$4:$KX$4,0))*1000</f>
        <v>#N/A</v>
      </c>
      <c r="CE86" s="250" t="e">
        <f>INDEX(연료전지_원본!$KB$4:$KX$369,MATCH($A86,연료전지_원본!$KB$4:$KB$369,0), MATCH(CE$4,연료전지_원본!$KB$4:$KX$4,0))*1000</f>
        <v>#N/A</v>
      </c>
      <c r="CF86" s="250" t="e">
        <f>INDEX(연료전지_원본!$KB$4:$KX$369,MATCH($A86,연료전지_원본!$KB$4:$KB$369,0), MATCH(CF$4,연료전지_원본!$KB$4:$KX$4,0))*1000</f>
        <v>#N/A</v>
      </c>
      <c r="CG86" s="250" t="e">
        <f>INDEX(연료전지_원본!$KB$4:$KX$369,MATCH($A86,연료전지_원본!$KB$4:$KB$369,0), MATCH(CG$4,연료전지_원본!$KB$4:$KX$4,0))*1000</f>
        <v>#N/A</v>
      </c>
      <c r="CH86" s="250" t="e">
        <f>INDEX(연료전지_원본!$KB$4:$KX$369,MATCH($A86,연료전지_원본!$KB$4:$KB$369,0), MATCH(CH$4,연료전지_원본!$KB$4:$KX$4,0))*1000</f>
        <v>#N/A</v>
      </c>
      <c r="CI86" s="250" t="e">
        <f>INDEX(연료전지_원본!$KB$4:$KX$369,MATCH($A86,연료전지_원본!$KB$4:$KB$369,0), MATCH(CI$4,연료전지_원본!$KB$4:$KX$4,0))*1000</f>
        <v>#N/A</v>
      </c>
      <c r="CJ86" s="250" t="e">
        <f>INDEX(연료전지_원본!$KB$4:$KX$369,MATCH($A86,연료전지_원본!$KB$4:$KB$369,0), MATCH(CJ$4,연료전지_원본!$KB$4:$KX$4,0))*1000</f>
        <v>#N/A</v>
      </c>
      <c r="CK86" s="250" t="e">
        <f>INDEX(연료전지_원본!$KB$4:$KX$369,MATCH($A86,연료전지_원본!$KB$4:$KB$369,0), MATCH(CK$4,연료전지_원본!$KB$4:$KX$4,0))*1000</f>
        <v>#N/A</v>
      </c>
      <c r="CL86" s="250" t="e">
        <f>INDEX(연료전지_원본!$KB$4:$KX$369,MATCH($A86,연료전지_원본!$KB$4:$KB$369,0), MATCH(CL$4,연료전지_원본!$KB$4:$KX$4,0))*1000</f>
        <v>#N/A</v>
      </c>
      <c r="CM86" s="250" t="e">
        <f>INDEX(연료전지_원본!$KB$4:$KX$369,MATCH($A86,연료전지_원본!$KB$4:$KB$369,0), MATCH(CM$4,연료전지_원본!$KB$4:$KX$4,0))*1000</f>
        <v>#N/A</v>
      </c>
      <c r="CN86" s="250" t="e">
        <f>INDEX(연료전지_원본!$KB$4:$KX$369,MATCH($A86,연료전지_원본!$KB$4:$KB$369,0), MATCH(CN$4,연료전지_원본!$KB$4:$KX$4,0))*1000</f>
        <v>#N/A</v>
      </c>
      <c r="CO86" s="250" t="e">
        <f>INDEX(연료전지_원본!$KB$4:$KX$369,MATCH($A86,연료전지_원본!$KB$4:$KB$369,0), MATCH(CO$4,연료전지_원본!$KB$4:$KX$4,0))*1000</f>
        <v>#N/A</v>
      </c>
      <c r="CP86" s="250" t="e">
        <f>INDEX(연료전지_원본!$KB$4:$KX$369,MATCH($A86,연료전지_원본!$KB$4:$KB$369,0), MATCH(CP$4,연료전지_원본!$KB$4:$KX$4,0))*1000</f>
        <v>#N/A</v>
      </c>
      <c r="CQ86" s="250" t="e">
        <f>INDEX(연료전지_원본!$KB$4:$KX$369,MATCH($A86,연료전지_원본!$KB$4:$KB$369,0), MATCH(CQ$4,연료전지_원본!$KB$4:$KX$4,0))*1000</f>
        <v>#N/A</v>
      </c>
      <c r="CR86" s="250" t="e">
        <f>INDEX(연료전지_원본!$KB$4:$KX$369,MATCH($A86,연료전지_원본!$KB$4:$KB$369,0), MATCH(CR$4,연료전지_원본!$KB$4:$KX$4,0))*1000</f>
        <v>#N/A</v>
      </c>
      <c r="CS86" s="250" t="e">
        <f>INDEX(연료전지_원본!$KB$4:$KX$369,MATCH($A86,연료전지_원본!$KB$4:$KB$369,0), MATCH(CS$4,연료전지_원본!$KB$4:$KX$4,0))*1000</f>
        <v>#N/A</v>
      </c>
      <c r="CT86" s="250" t="e">
        <f>INDEX(연료전지_원본!$KB$4:$KX$369,MATCH($A86,연료전지_원본!$KB$4:$KB$369,0), MATCH(CT$4,연료전지_원본!$KB$4:$KX$4,0))*1000</f>
        <v>#N/A</v>
      </c>
      <c r="CU86" s="250" t="e">
        <f>INDEX(연료전지_원본!$KB$4:$KX$369,MATCH($A86,연료전지_원본!$KB$4:$KB$369,0), MATCH(CU$4,연료전지_원본!$KB$4:$KX$4,0))*1000</f>
        <v>#N/A</v>
      </c>
      <c r="CV86" s="250" t="e">
        <f>INDEX(연료전지_원본!$KB$4:$KX$369,MATCH($A86,연료전지_원본!$KB$4:$KB$369,0), MATCH(CV$4,연료전지_원본!$KB$4:$KX$4,0))*1000</f>
        <v>#N/A</v>
      </c>
      <c r="CW86" s="250" t="e">
        <f>INDEX(연료전지_원본!$KB$4:$KX$369,MATCH($A86,연료전지_원본!$KB$4:$KB$369,0), MATCH(CW$4,연료전지_원본!$KB$4:$KX$4,0))*1000</f>
        <v>#N/A</v>
      </c>
      <c r="CX86" s="250" t="e">
        <f>INDEX(연료전지_원본!$KB$4:$KX$369,MATCH($A86,연료전지_원본!$KB$4:$KB$369,0), MATCH(CX$4,연료전지_원본!$KB$4:$KX$4,0))*1000</f>
        <v>#N/A</v>
      </c>
      <c r="CY86" s="250" t="e">
        <f>INDEX(연료전지_원본!$KB$4:$KX$369,MATCH($A86,연료전지_원본!$KB$4:$KB$369,0), MATCH(CY$4,연료전지_원본!$KB$4:$KX$4,0))*1000</f>
        <v>#N/A</v>
      </c>
      <c r="DV86" s="30">
        <f t="shared" si="297"/>
        <v>0</v>
      </c>
    </row>
    <row r="87" spans="1:126">
      <c r="A87" s="6">
        <v>46104</v>
      </c>
      <c r="B87" s="15">
        <f>운전실적_원본!B87</f>
        <v>651.20000000000005</v>
      </c>
      <c r="C87" s="16">
        <f t="shared" si="298"/>
        <v>0</v>
      </c>
      <c r="D87" s="12">
        <f>운전실적_원본!C87</f>
        <v>250451</v>
      </c>
      <c r="E87" s="12">
        <f t="shared" si="299"/>
        <v>24</v>
      </c>
      <c r="F87" s="12">
        <f>운전실적_원본!D87</f>
        <v>241829</v>
      </c>
      <c r="G87" s="16">
        <f t="shared" si="300"/>
        <v>35</v>
      </c>
      <c r="H87" s="15">
        <f>운전실적_원본!E87</f>
        <v>17344.91</v>
      </c>
      <c r="I87" s="16">
        <f t="shared" si="301"/>
        <v>4.0499999999992724</v>
      </c>
      <c r="J87" s="15">
        <f>운전실적_원본!F87</f>
        <v>15543.87</v>
      </c>
      <c r="K87" s="16">
        <f t="shared" si="301"/>
        <v>1.7400000000016007</v>
      </c>
      <c r="L87" s="32">
        <f>운전실적_원본!G87</f>
        <v>47.6</v>
      </c>
      <c r="M87" s="31">
        <f t="shared" ref="M87" si="543">IF(OR(LEN(L87)=0,L87=0),"",L87-L86)</f>
        <v>0.80000000000000426</v>
      </c>
      <c r="N87" s="15">
        <f>운전실적_원본!H87</f>
        <v>41208</v>
      </c>
      <c r="O87" s="16">
        <f t="shared" ref="O87" si="544">IF(OR(LEN(N87)=0,N87=0),"",N87-N86)</f>
        <v>72</v>
      </c>
      <c r="P87" s="15">
        <f>운전실적_원본!I87</f>
        <v>26229</v>
      </c>
      <c r="Q87" s="16">
        <f t="shared" ref="Q87" si="545">IF(OR(LEN(P87)=0,P87=0),"",P87-P86)</f>
        <v>152</v>
      </c>
      <c r="R87" s="18">
        <f>운전실적_원본!J87</f>
        <v>34.033999999999999</v>
      </c>
      <c r="S87" s="19">
        <f t="shared" ref="S87" si="546">IF(OR(LEN(R87)=0,R87=0),"",R87-R86)</f>
        <v>2.4000000000000909E-2</v>
      </c>
      <c r="T87" s="18">
        <f>운전실적_원본!K87</f>
        <v>33.465000000000003</v>
      </c>
      <c r="U87" s="19">
        <f t="shared" si="306"/>
        <v>-1.4999999999993463E-2</v>
      </c>
      <c r="V87" s="12">
        <f>운전실적_원본!L87</f>
        <v>8639.4879999999994</v>
      </c>
      <c r="W87" s="16">
        <f t="shared" ref="W87" si="547">IF(OR(LEN(V87)=0,V87=0),"",V87-V86)</f>
        <v>896.48799999999937</v>
      </c>
      <c r="X87" s="10">
        <f>운전실적_원본!M87</f>
        <v>0</v>
      </c>
      <c r="Y87" s="10">
        <f>운전실적_원본!N87</f>
        <v>0</v>
      </c>
      <c r="Z87" s="10">
        <f>운전실적_원본!O87</f>
        <v>0</v>
      </c>
      <c r="AA87" s="10">
        <f>운전실적_원본!P87</f>
        <v>0</v>
      </c>
      <c r="AB87" s="10">
        <f>운전실적_원본!Q87</f>
        <v>0</v>
      </c>
      <c r="AC87" s="20">
        <f>운전실적_원본!R87</f>
        <v>0</v>
      </c>
      <c r="AD87" s="109">
        <f>운전실적_원본!S87</f>
        <v>0</v>
      </c>
      <c r="AE87" s="110">
        <f>운전실적_원본!T87</f>
        <v>0</v>
      </c>
      <c r="AF87" s="110">
        <f>운전실적_원본!U87</f>
        <v>0</v>
      </c>
      <c r="AG87" s="110">
        <f>운전실적_원본!V87</f>
        <v>0</v>
      </c>
      <c r="AH87" s="109">
        <f t="shared" si="460"/>
        <v>0</v>
      </c>
      <c r="AI87" s="110">
        <f t="shared" si="467"/>
        <v>0</v>
      </c>
      <c r="AJ87" s="110">
        <f>운전실적_원본!Y87</f>
        <v>0</v>
      </c>
      <c r="AK87" s="110">
        <f>운전실적_원본!Z87</f>
        <v>0</v>
      </c>
      <c r="AL87" s="106"/>
      <c r="AM87" s="105"/>
      <c r="AN87" s="105"/>
      <c r="AO87" s="105"/>
      <c r="AP87" s="105"/>
      <c r="AQ87" s="108"/>
      <c r="AR87" s="105"/>
      <c r="AS87" s="105"/>
      <c r="AT87" s="102"/>
      <c r="AU87" s="102"/>
      <c r="AV87" s="102"/>
      <c r="AW87" s="102"/>
      <c r="AX87" s="32">
        <f>운전실적_원본!W87</f>
        <v>0</v>
      </c>
      <c r="AY87" s="11">
        <f>운전실적_원본!X87</f>
        <v>0</v>
      </c>
      <c r="AZ87" s="11">
        <f>운전실적_원본!Y87</f>
        <v>0</v>
      </c>
      <c r="BA87" s="11">
        <f>운전실적_원본!Z87</f>
        <v>0</v>
      </c>
      <c r="BB87" s="11">
        <f>운전실적_원본!AA87</f>
        <v>0</v>
      </c>
      <c r="BC87" s="11">
        <f>운전실적_원본!AB87</f>
        <v>0</v>
      </c>
      <c r="BD87" s="32" t="str">
        <f t="shared" si="453"/>
        <v>-</v>
      </c>
      <c r="BE87" s="11" t="str">
        <f t="shared" si="461"/>
        <v>-</v>
      </c>
      <c r="BF87" s="11">
        <f>운전실적_원본!AE87</f>
        <v>0</v>
      </c>
      <c r="BG87" s="31">
        <f t="shared" si="454"/>
        <v>0</v>
      </c>
      <c r="BH87" s="241">
        <f>INDEX(연료전지_원본!$A$4:$KY$369,MATCH($A87,연료전지_원본!$A$4:$A$369,0),MATCH($BH$4,연료전지_원본!$A$4:$KY$4,0))</f>
        <v>0</v>
      </c>
      <c r="BI87" s="241">
        <f>INDEX(연료전지_원본!$A$4:$KY$369,MATCH($A87,연료전지_원본!$A$4:$A$369,0),MATCH($BI$4,연료전지_원본!$A$4:$KY$4,0))</f>
        <v>0</v>
      </c>
      <c r="BJ87" s="241">
        <f>INDEX(연료전지_원본!$A$4:$KY$369,MATCH($A87,연료전지_원본!$A$4:$A$369,0),MATCH($BJ$4,연료전지_원본!$A$4:$KY$4,0))</f>
        <v>0</v>
      </c>
      <c r="BK87" s="241">
        <f>INDEX(연료전지_원본!$A$4:$KY$369,MATCH($A87,연료전지_원본!$A$4:$A$369,0),MATCH($BK$4,연료전지_원본!$A$4:$KY$4,0))</f>
        <v>0</v>
      </c>
      <c r="BL87" s="241">
        <f>INDEX(연료전지_원본!$A$4:$KY$369,MATCH($A87,연료전지_원본!$A$4:$A$369,0),MATCH($BL$4,연료전지_원본!$A$4:$KY$4,0))</f>
        <v>0</v>
      </c>
      <c r="BM87" s="241">
        <f>INDEX(연료전지_원본!$A$4:$KY$369,MATCH($A87,연료전지_원본!$A$4:$A$369,0),MATCH($BM$4,연료전지_원본!$A$4:$KY$4,0))</f>
        <v>0</v>
      </c>
      <c r="BN87" s="241">
        <f>INDEX(연료전지_원본!$A$4:$KY$369,MATCH($A87,연료전지_원본!$A$4:$A$369,0),MATCH($BN$4,연료전지_원본!$A$4:$KY$4,0))</f>
        <v>0</v>
      </c>
      <c r="BO87" s="241">
        <f>INDEX(연료전지_원본!$A$4:$KY$369,MATCH($A87,연료전지_원본!$A$4:$A$369,0),MATCH($BO$4,연료전지_원본!$A$4:$KY$4,0))</f>
        <v>0</v>
      </c>
      <c r="BP87" s="241">
        <f>INDEX(연료전지_원본!$A$4:$KY$369,MATCH($A87,연료전지_원본!$A$4:$A$369,0),MATCH($BP$4,연료전지_원본!$A$4:$KY$4,0))</f>
        <v>0</v>
      </c>
      <c r="BQ87" s="241">
        <f>INDEX(연료전지_원본!$A$4:$KY$369,MATCH($A87,연료전지_원본!$A$4:$A$369,0),MATCH($BQ$4,연료전지_원본!$A$4:$KY$4,0))</f>
        <v>0</v>
      </c>
      <c r="BR87" s="241">
        <f>INDEX(연료전지_원본!$A$4:$KY$369,MATCH($A87,연료전지_원본!$A$4:$A$369,0),MATCH($BR$4,연료전지_원본!$A$4:$KY$4,0))</f>
        <v>0</v>
      </c>
      <c r="BS87" s="241">
        <f>INDEX(연료전지_원본!$A$4:$KY$369,MATCH($A87,연료전지_원본!$A$4:$A$369,0),MATCH($BS$4,연료전지_원본!$A$4:$KY$4,0))</f>
        <v>0</v>
      </c>
      <c r="BT87" s="241">
        <f>INDEX(연료전지_원본!$A$4:$KY$369,MATCH($A87,연료전지_원본!$A$4:$A$369,0),MATCH($BT$4,연료전지_원본!$A$4:$KY$4,0))</f>
        <v>0</v>
      </c>
      <c r="BU87" s="241">
        <f>INDEX(연료전지_원본!$A$4:$KY$369,MATCH($A87,연료전지_원본!$A$4:$A$369,0),MATCH($BU$4,연료전지_원본!$A$4:$KY$4,0))</f>
        <v>0</v>
      </c>
      <c r="BV87" s="241">
        <f>INDEX(연료전지_원본!$A$4:$KY$369,MATCH($A87,연료전지_원본!$A$4:$A$369,0),MATCH($BV$4,연료전지_원본!$A$4:$KY$4,0))</f>
        <v>0</v>
      </c>
      <c r="BW87" s="241">
        <f>INDEX(연료전지_원본!$A$4:$KY$369,MATCH($A87,연료전지_원본!$A$4:$A$369,0),MATCH($BW$4,연료전지_원본!$A$4:$KY$4,0))</f>
        <v>0</v>
      </c>
      <c r="BX87" s="241">
        <f>INDEX(연료전지_원본!$A$4:$KY$369,MATCH($A87,연료전지_원본!$A$4:$A$369,0),MATCH($BX$4,연료전지_원본!$A$4:$KY$4,0))</f>
        <v>0</v>
      </c>
      <c r="BY87" s="241">
        <f>INDEX(연료전지_원본!$A$4:$KY$369,MATCH($A87,연료전지_원본!$A$4:$A$369,0),MATCH($BY$4,연료전지_원본!$A$4:$KY$4,0))</f>
        <v>0</v>
      </c>
      <c r="BZ87" s="241">
        <f>INDEX(연료전지_원본!$A$4:$KY$369,MATCH($A87,연료전지_원본!$A$4:$A$369,0),MATCH($BZ$4,연료전지_원본!$A$4:$KY$4,0))</f>
        <v>0</v>
      </c>
      <c r="CA87" s="241">
        <f>INDEX(연료전지_원본!$A$4:$KY$369,MATCH($A87,연료전지_원본!$A$4:$A$369,0),MATCH($CA$4,연료전지_원본!$A$4:$KY$4,0))</f>
        <v>0</v>
      </c>
      <c r="CB87" s="241">
        <f>INDEX(연료전지_원본!$A$4:$KY$369,MATCH($A87,연료전지_원본!$A$4:$A$369,0),MATCH($CB$4,연료전지_원본!$A$4:$KY$4,0))</f>
        <v>0</v>
      </c>
      <c r="CC87" s="242">
        <f>INDEX(연료전지_원본!$A$4:$KY$369,MATCH($A87,연료전지_원본!$A$4:$A$369,0),MATCH($CC$4,연료전지_원본!$A$4:$KY$4,0))</f>
        <v>0</v>
      </c>
      <c r="CD87" s="250" t="e">
        <f>INDEX(연료전지_원본!$KB$4:$KX$369,MATCH($A87,연료전지_원본!$KB$4:$KB$369,0), MATCH(CD$4,연료전지_원본!$KB$4:$KX$4,0))*1000</f>
        <v>#N/A</v>
      </c>
      <c r="CE87" s="250" t="e">
        <f>INDEX(연료전지_원본!$KB$4:$KX$369,MATCH($A87,연료전지_원본!$KB$4:$KB$369,0), MATCH(CE$4,연료전지_원본!$KB$4:$KX$4,0))*1000</f>
        <v>#N/A</v>
      </c>
      <c r="CF87" s="250" t="e">
        <f>INDEX(연료전지_원본!$KB$4:$KX$369,MATCH($A87,연료전지_원본!$KB$4:$KB$369,0), MATCH(CF$4,연료전지_원본!$KB$4:$KX$4,0))*1000</f>
        <v>#N/A</v>
      </c>
      <c r="CG87" s="250" t="e">
        <f>INDEX(연료전지_원본!$KB$4:$KX$369,MATCH($A87,연료전지_원본!$KB$4:$KB$369,0), MATCH(CG$4,연료전지_원본!$KB$4:$KX$4,0))*1000</f>
        <v>#N/A</v>
      </c>
      <c r="CH87" s="250" t="e">
        <f>INDEX(연료전지_원본!$KB$4:$KX$369,MATCH($A87,연료전지_원본!$KB$4:$KB$369,0), MATCH(CH$4,연료전지_원본!$KB$4:$KX$4,0))*1000</f>
        <v>#N/A</v>
      </c>
      <c r="CI87" s="250" t="e">
        <f>INDEX(연료전지_원본!$KB$4:$KX$369,MATCH($A87,연료전지_원본!$KB$4:$KB$369,0), MATCH(CI$4,연료전지_원본!$KB$4:$KX$4,0))*1000</f>
        <v>#N/A</v>
      </c>
      <c r="CJ87" s="250" t="e">
        <f>INDEX(연료전지_원본!$KB$4:$KX$369,MATCH($A87,연료전지_원본!$KB$4:$KB$369,0), MATCH(CJ$4,연료전지_원본!$KB$4:$KX$4,0))*1000</f>
        <v>#N/A</v>
      </c>
      <c r="CK87" s="250" t="e">
        <f>INDEX(연료전지_원본!$KB$4:$KX$369,MATCH($A87,연료전지_원본!$KB$4:$KB$369,0), MATCH(CK$4,연료전지_원본!$KB$4:$KX$4,0))*1000</f>
        <v>#N/A</v>
      </c>
      <c r="CL87" s="250" t="e">
        <f>INDEX(연료전지_원본!$KB$4:$KX$369,MATCH($A87,연료전지_원본!$KB$4:$KB$369,0), MATCH(CL$4,연료전지_원본!$KB$4:$KX$4,0))*1000</f>
        <v>#N/A</v>
      </c>
      <c r="CM87" s="250" t="e">
        <f>INDEX(연료전지_원본!$KB$4:$KX$369,MATCH($A87,연료전지_원본!$KB$4:$KB$369,0), MATCH(CM$4,연료전지_원본!$KB$4:$KX$4,0))*1000</f>
        <v>#N/A</v>
      </c>
      <c r="CN87" s="250" t="e">
        <f>INDEX(연료전지_원본!$KB$4:$KX$369,MATCH($A87,연료전지_원본!$KB$4:$KB$369,0), MATCH(CN$4,연료전지_원본!$KB$4:$KX$4,0))*1000</f>
        <v>#N/A</v>
      </c>
      <c r="CO87" s="250" t="e">
        <f>INDEX(연료전지_원본!$KB$4:$KX$369,MATCH($A87,연료전지_원본!$KB$4:$KB$369,0), MATCH(CO$4,연료전지_원본!$KB$4:$KX$4,0))*1000</f>
        <v>#N/A</v>
      </c>
      <c r="CP87" s="250" t="e">
        <f>INDEX(연료전지_원본!$KB$4:$KX$369,MATCH($A87,연료전지_원본!$KB$4:$KB$369,0), MATCH(CP$4,연료전지_원본!$KB$4:$KX$4,0))*1000</f>
        <v>#N/A</v>
      </c>
      <c r="CQ87" s="250" t="e">
        <f>INDEX(연료전지_원본!$KB$4:$KX$369,MATCH($A87,연료전지_원본!$KB$4:$KB$369,0), MATCH(CQ$4,연료전지_원본!$KB$4:$KX$4,0))*1000</f>
        <v>#N/A</v>
      </c>
      <c r="CR87" s="250" t="e">
        <f>INDEX(연료전지_원본!$KB$4:$KX$369,MATCH($A87,연료전지_원본!$KB$4:$KB$369,0), MATCH(CR$4,연료전지_원본!$KB$4:$KX$4,0))*1000</f>
        <v>#N/A</v>
      </c>
      <c r="CS87" s="250" t="e">
        <f>INDEX(연료전지_원본!$KB$4:$KX$369,MATCH($A87,연료전지_원본!$KB$4:$KB$369,0), MATCH(CS$4,연료전지_원본!$KB$4:$KX$4,0))*1000</f>
        <v>#N/A</v>
      </c>
      <c r="CT87" s="250" t="e">
        <f>INDEX(연료전지_원본!$KB$4:$KX$369,MATCH($A87,연료전지_원본!$KB$4:$KB$369,0), MATCH(CT$4,연료전지_원본!$KB$4:$KX$4,0))*1000</f>
        <v>#N/A</v>
      </c>
      <c r="CU87" s="250" t="e">
        <f>INDEX(연료전지_원본!$KB$4:$KX$369,MATCH($A87,연료전지_원본!$KB$4:$KB$369,0), MATCH(CU$4,연료전지_원본!$KB$4:$KX$4,0))*1000</f>
        <v>#N/A</v>
      </c>
      <c r="CV87" s="250" t="e">
        <f>INDEX(연료전지_원본!$KB$4:$KX$369,MATCH($A87,연료전지_원본!$KB$4:$KB$369,0), MATCH(CV$4,연료전지_원본!$KB$4:$KX$4,0))*1000</f>
        <v>#N/A</v>
      </c>
      <c r="CW87" s="250" t="e">
        <f>INDEX(연료전지_원본!$KB$4:$KX$369,MATCH($A87,연료전지_원본!$KB$4:$KB$369,0), MATCH(CW$4,연료전지_원본!$KB$4:$KX$4,0))*1000</f>
        <v>#N/A</v>
      </c>
      <c r="CX87" s="250" t="e">
        <f>INDEX(연료전지_원본!$KB$4:$KX$369,MATCH($A87,연료전지_원본!$KB$4:$KB$369,0), MATCH(CX$4,연료전지_원본!$KB$4:$KX$4,0))*1000</f>
        <v>#N/A</v>
      </c>
      <c r="CY87" s="250" t="e">
        <f>INDEX(연료전지_원본!$KB$4:$KX$369,MATCH($A87,연료전지_원본!$KB$4:$KB$369,0), MATCH(CY$4,연료전지_원본!$KB$4:$KX$4,0))*1000</f>
        <v>#N/A</v>
      </c>
      <c r="DV87" s="30">
        <f t="shared" si="297"/>
        <v>0</v>
      </c>
    </row>
    <row r="88" spans="1:126">
      <c r="A88" s="6">
        <v>46105</v>
      </c>
      <c r="B88" s="15">
        <f>운전실적_원본!B88</f>
        <v>651.20000000000005</v>
      </c>
      <c r="C88" s="16">
        <f t="shared" si="298"/>
        <v>0</v>
      </c>
      <c r="D88" s="12">
        <f>운전실적_원본!C88</f>
        <v>250498</v>
      </c>
      <c r="E88" s="12">
        <f t="shared" si="299"/>
        <v>47</v>
      </c>
      <c r="F88" s="12">
        <f>운전실적_원본!D88</f>
        <v>241829</v>
      </c>
      <c r="G88" s="16">
        <f t="shared" si="300"/>
        <v>0</v>
      </c>
      <c r="H88" s="15">
        <f>운전실적_원본!E88</f>
        <v>17349.29</v>
      </c>
      <c r="I88" s="16">
        <f t="shared" si="301"/>
        <v>4.3800000000010186</v>
      </c>
      <c r="J88" s="15">
        <f>운전실적_원본!F88</f>
        <v>15544.85</v>
      </c>
      <c r="K88" s="16">
        <f t="shared" si="301"/>
        <v>0.97999999999956344</v>
      </c>
      <c r="L88" s="32">
        <f>운전실적_원본!G88</f>
        <v>48.3</v>
      </c>
      <c r="M88" s="31">
        <f t="shared" ref="M88" si="548">IF(OR(LEN(L88)=0,L88=0),"",L88-L87)</f>
        <v>0.69999999999999574</v>
      </c>
      <c r="N88" s="15">
        <f>운전실적_원본!H88</f>
        <v>41272</v>
      </c>
      <c r="O88" s="16">
        <f t="shared" ref="O88" si="549">IF(OR(LEN(N88)=0,N88=0),"",N88-N87)</f>
        <v>64</v>
      </c>
      <c r="P88" s="15">
        <f>운전실적_원본!I88</f>
        <v>26317</v>
      </c>
      <c r="Q88" s="16">
        <f t="shared" ref="Q88" si="550">IF(OR(LEN(P88)=0,P88=0),"",P88-P87)</f>
        <v>88</v>
      </c>
      <c r="R88" s="18">
        <f>운전실적_원본!J88</f>
        <v>34.026000000000003</v>
      </c>
      <c r="S88" s="19">
        <f t="shared" ref="S88" si="551">IF(OR(LEN(R88)=0,R88=0),"",R88-R87)</f>
        <v>-7.9999999999955662E-3</v>
      </c>
      <c r="T88" s="18">
        <f>운전실적_원본!K88</f>
        <v>33.408000000000001</v>
      </c>
      <c r="U88" s="19">
        <f t="shared" si="306"/>
        <v>-5.700000000000216E-2</v>
      </c>
      <c r="V88" s="12">
        <f>운전실적_원본!L88</f>
        <v>8693.9429999999993</v>
      </c>
      <c r="W88" s="16">
        <f t="shared" ref="W88" si="552">IF(OR(LEN(V88)=0,V88=0),"",V88-V87)</f>
        <v>54.454999999999927</v>
      </c>
      <c r="X88" s="10">
        <f>운전실적_원본!M88</f>
        <v>0</v>
      </c>
      <c r="Y88" s="10">
        <f>운전실적_원본!N88</f>
        <v>0</v>
      </c>
      <c r="Z88" s="10">
        <f>운전실적_원본!O88</f>
        <v>0</v>
      </c>
      <c r="AA88" s="10">
        <f>운전실적_원본!P88</f>
        <v>0</v>
      </c>
      <c r="AB88" s="10">
        <f>운전실적_원본!Q88</f>
        <v>0</v>
      </c>
      <c r="AC88" s="20">
        <f>운전실적_원본!R88</f>
        <v>0</v>
      </c>
      <c r="AD88" s="109">
        <f>운전실적_원본!S88</f>
        <v>0</v>
      </c>
      <c r="AE88" s="110">
        <f>운전실적_원본!T88</f>
        <v>0</v>
      </c>
      <c r="AF88" s="110">
        <f>운전실적_원본!U88</f>
        <v>0</v>
      </c>
      <c r="AG88" s="110">
        <f>운전실적_원본!V88</f>
        <v>0</v>
      </c>
      <c r="AH88" s="109">
        <f t="shared" si="460"/>
        <v>0</v>
      </c>
      <c r="AI88" s="110">
        <f t="shared" si="467"/>
        <v>0</v>
      </c>
      <c r="AJ88" s="110">
        <f>운전실적_원본!Y88</f>
        <v>0</v>
      </c>
      <c r="AK88" s="110">
        <f>운전실적_원본!Z88</f>
        <v>0</v>
      </c>
      <c r="AL88" s="106"/>
      <c r="AM88" s="105"/>
      <c r="AN88" s="105"/>
      <c r="AO88" s="105"/>
      <c r="AP88" s="105"/>
      <c r="AQ88" s="108"/>
      <c r="AR88" s="105"/>
      <c r="AS88" s="105"/>
      <c r="AT88" s="102"/>
      <c r="AU88" s="102"/>
      <c r="AV88" s="102"/>
      <c r="AW88" s="102"/>
      <c r="AX88" s="32">
        <f>운전실적_원본!W88</f>
        <v>0</v>
      </c>
      <c r="AY88" s="11">
        <f>운전실적_원본!X88</f>
        <v>0</v>
      </c>
      <c r="AZ88" s="11">
        <f>운전실적_원본!Y88</f>
        <v>0</v>
      </c>
      <c r="BA88" s="11">
        <f>운전실적_원본!Z88</f>
        <v>0</v>
      </c>
      <c r="BB88" s="11">
        <f>운전실적_원본!AA88</f>
        <v>0</v>
      </c>
      <c r="BC88" s="11">
        <f>운전실적_원본!AB88</f>
        <v>0</v>
      </c>
      <c r="BD88" s="32" t="str">
        <f t="shared" si="453"/>
        <v>-</v>
      </c>
      <c r="BE88" s="11" t="str">
        <f t="shared" si="461"/>
        <v>-</v>
      </c>
      <c r="BF88" s="11">
        <f>운전실적_원본!AE88</f>
        <v>0</v>
      </c>
      <c r="BG88" s="31">
        <f t="shared" si="454"/>
        <v>0</v>
      </c>
      <c r="BH88" s="241">
        <f>INDEX(연료전지_원본!$A$4:$KY$369,MATCH($A88,연료전지_원본!$A$4:$A$369,0),MATCH($BH$4,연료전지_원본!$A$4:$KY$4,0))</f>
        <v>0</v>
      </c>
      <c r="BI88" s="241">
        <f>INDEX(연료전지_원본!$A$4:$KY$369,MATCH($A88,연료전지_원본!$A$4:$A$369,0),MATCH($BI$4,연료전지_원본!$A$4:$KY$4,0))</f>
        <v>0</v>
      </c>
      <c r="BJ88" s="241">
        <f>INDEX(연료전지_원본!$A$4:$KY$369,MATCH($A88,연료전지_원본!$A$4:$A$369,0),MATCH($BJ$4,연료전지_원본!$A$4:$KY$4,0))</f>
        <v>0</v>
      </c>
      <c r="BK88" s="241">
        <f>INDEX(연료전지_원본!$A$4:$KY$369,MATCH($A88,연료전지_원본!$A$4:$A$369,0),MATCH($BK$4,연료전지_원본!$A$4:$KY$4,0))</f>
        <v>0</v>
      </c>
      <c r="BL88" s="241">
        <f>INDEX(연료전지_원본!$A$4:$KY$369,MATCH($A88,연료전지_원본!$A$4:$A$369,0),MATCH($BL$4,연료전지_원본!$A$4:$KY$4,0))</f>
        <v>0</v>
      </c>
      <c r="BM88" s="241">
        <f>INDEX(연료전지_원본!$A$4:$KY$369,MATCH($A88,연료전지_원본!$A$4:$A$369,0),MATCH($BM$4,연료전지_원본!$A$4:$KY$4,0))</f>
        <v>0</v>
      </c>
      <c r="BN88" s="241">
        <f>INDEX(연료전지_원본!$A$4:$KY$369,MATCH($A88,연료전지_원본!$A$4:$A$369,0),MATCH($BN$4,연료전지_원본!$A$4:$KY$4,0))</f>
        <v>0</v>
      </c>
      <c r="BO88" s="241">
        <f>INDEX(연료전지_원본!$A$4:$KY$369,MATCH($A88,연료전지_원본!$A$4:$A$369,0),MATCH($BO$4,연료전지_원본!$A$4:$KY$4,0))</f>
        <v>0</v>
      </c>
      <c r="BP88" s="241">
        <f>INDEX(연료전지_원본!$A$4:$KY$369,MATCH($A88,연료전지_원본!$A$4:$A$369,0),MATCH($BP$4,연료전지_원본!$A$4:$KY$4,0))</f>
        <v>0</v>
      </c>
      <c r="BQ88" s="241">
        <f>INDEX(연료전지_원본!$A$4:$KY$369,MATCH($A88,연료전지_원본!$A$4:$A$369,0),MATCH($BQ$4,연료전지_원본!$A$4:$KY$4,0))</f>
        <v>0</v>
      </c>
      <c r="BR88" s="241">
        <f>INDEX(연료전지_원본!$A$4:$KY$369,MATCH($A88,연료전지_원본!$A$4:$A$369,0),MATCH($BR$4,연료전지_원본!$A$4:$KY$4,0))</f>
        <v>0</v>
      </c>
      <c r="BS88" s="241">
        <f>INDEX(연료전지_원본!$A$4:$KY$369,MATCH($A88,연료전지_원본!$A$4:$A$369,0),MATCH($BS$4,연료전지_원본!$A$4:$KY$4,0))</f>
        <v>0</v>
      </c>
      <c r="BT88" s="241">
        <f>INDEX(연료전지_원본!$A$4:$KY$369,MATCH($A88,연료전지_원본!$A$4:$A$369,0),MATCH($BT$4,연료전지_원본!$A$4:$KY$4,0))</f>
        <v>0</v>
      </c>
      <c r="BU88" s="241">
        <f>INDEX(연료전지_원본!$A$4:$KY$369,MATCH($A88,연료전지_원본!$A$4:$A$369,0),MATCH($BU$4,연료전지_원본!$A$4:$KY$4,0))</f>
        <v>0</v>
      </c>
      <c r="BV88" s="241">
        <f>INDEX(연료전지_원본!$A$4:$KY$369,MATCH($A88,연료전지_원본!$A$4:$A$369,0),MATCH($BV$4,연료전지_원본!$A$4:$KY$4,0))</f>
        <v>0</v>
      </c>
      <c r="BW88" s="241">
        <f>INDEX(연료전지_원본!$A$4:$KY$369,MATCH($A88,연료전지_원본!$A$4:$A$369,0),MATCH($BW$4,연료전지_원본!$A$4:$KY$4,0))</f>
        <v>0</v>
      </c>
      <c r="BX88" s="241">
        <f>INDEX(연료전지_원본!$A$4:$KY$369,MATCH($A88,연료전지_원본!$A$4:$A$369,0),MATCH($BX$4,연료전지_원본!$A$4:$KY$4,0))</f>
        <v>0</v>
      </c>
      <c r="BY88" s="241">
        <f>INDEX(연료전지_원본!$A$4:$KY$369,MATCH($A88,연료전지_원본!$A$4:$A$369,0),MATCH($BY$4,연료전지_원본!$A$4:$KY$4,0))</f>
        <v>0</v>
      </c>
      <c r="BZ88" s="241">
        <f>INDEX(연료전지_원본!$A$4:$KY$369,MATCH($A88,연료전지_원본!$A$4:$A$369,0),MATCH($BZ$4,연료전지_원본!$A$4:$KY$4,0))</f>
        <v>0</v>
      </c>
      <c r="CA88" s="241">
        <f>INDEX(연료전지_원본!$A$4:$KY$369,MATCH($A88,연료전지_원본!$A$4:$A$369,0),MATCH($CA$4,연료전지_원본!$A$4:$KY$4,0))</f>
        <v>0</v>
      </c>
      <c r="CB88" s="241">
        <f>INDEX(연료전지_원본!$A$4:$KY$369,MATCH($A88,연료전지_원본!$A$4:$A$369,0),MATCH($CB$4,연료전지_원본!$A$4:$KY$4,0))</f>
        <v>0</v>
      </c>
      <c r="CC88" s="242">
        <f>INDEX(연료전지_원본!$A$4:$KY$369,MATCH($A88,연료전지_원본!$A$4:$A$369,0),MATCH($CC$4,연료전지_원본!$A$4:$KY$4,0))</f>
        <v>0</v>
      </c>
      <c r="CD88" s="250" t="e">
        <f>INDEX(연료전지_원본!$KB$4:$KX$369,MATCH($A88,연료전지_원본!$KB$4:$KB$369,0), MATCH(CD$4,연료전지_원본!$KB$4:$KX$4,0))*1000</f>
        <v>#N/A</v>
      </c>
      <c r="CE88" s="250" t="e">
        <f>INDEX(연료전지_원본!$KB$4:$KX$369,MATCH($A88,연료전지_원본!$KB$4:$KB$369,0), MATCH(CE$4,연료전지_원본!$KB$4:$KX$4,0))*1000</f>
        <v>#N/A</v>
      </c>
      <c r="CF88" s="250" t="e">
        <f>INDEX(연료전지_원본!$KB$4:$KX$369,MATCH($A88,연료전지_원본!$KB$4:$KB$369,0), MATCH(CF$4,연료전지_원본!$KB$4:$KX$4,0))*1000</f>
        <v>#N/A</v>
      </c>
      <c r="CG88" s="250" t="e">
        <f>INDEX(연료전지_원본!$KB$4:$KX$369,MATCH($A88,연료전지_원본!$KB$4:$KB$369,0), MATCH(CG$4,연료전지_원본!$KB$4:$KX$4,0))*1000</f>
        <v>#N/A</v>
      </c>
      <c r="CH88" s="250" t="e">
        <f>INDEX(연료전지_원본!$KB$4:$KX$369,MATCH($A88,연료전지_원본!$KB$4:$KB$369,0), MATCH(CH$4,연료전지_원본!$KB$4:$KX$4,0))*1000</f>
        <v>#N/A</v>
      </c>
      <c r="CI88" s="250" t="e">
        <f>INDEX(연료전지_원본!$KB$4:$KX$369,MATCH($A88,연료전지_원본!$KB$4:$KB$369,0), MATCH(CI$4,연료전지_원본!$KB$4:$KX$4,0))*1000</f>
        <v>#N/A</v>
      </c>
      <c r="CJ88" s="250" t="e">
        <f>INDEX(연료전지_원본!$KB$4:$KX$369,MATCH($A88,연료전지_원본!$KB$4:$KB$369,0), MATCH(CJ$4,연료전지_원본!$KB$4:$KX$4,0))*1000</f>
        <v>#N/A</v>
      </c>
      <c r="CK88" s="250" t="e">
        <f>INDEX(연료전지_원본!$KB$4:$KX$369,MATCH($A88,연료전지_원본!$KB$4:$KB$369,0), MATCH(CK$4,연료전지_원본!$KB$4:$KX$4,0))*1000</f>
        <v>#N/A</v>
      </c>
      <c r="CL88" s="250" t="e">
        <f>INDEX(연료전지_원본!$KB$4:$KX$369,MATCH($A88,연료전지_원본!$KB$4:$KB$369,0), MATCH(CL$4,연료전지_원본!$KB$4:$KX$4,0))*1000</f>
        <v>#N/A</v>
      </c>
      <c r="CM88" s="250" t="e">
        <f>INDEX(연료전지_원본!$KB$4:$KX$369,MATCH($A88,연료전지_원본!$KB$4:$KB$369,0), MATCH(CM$4,연료전지_원본!$KB$4:$KX$4,0))*1000</f>
        <v>#N/A</v>
      </c>
      <c r="CN88" s="250" t="e">
        <f>INDEX(연료전지_원본!$KB$4:$KX$369,MATCH($A88,연료전지_원본!$KB$4:$KB$369,0), MATCH(CN$4,연료전지_원본!$KB$4:$KX$4,0))*1000</f>
        <v>#N/A</v>
      </c>
      <c r="CO88" s="250" t="e">
        <f>INDEX(연료전지_원본!$KB$4:$KX$369,MATCH($A88,연료전지_원본!$KB$4:$KB$369,0), MATCH(CO$4,연료전지_원본!$KB$4:$KX$4,0))*1000</f>
        <v>#N/A</v>
      </c>
      <c r="CP88" s="250" t="e">
        <f>INDEX(연료전지_원본!$KB$4:$KX$369,MATCH($A88,연료전지_원본!$KB$4:$KB$369,0), MATCH(CP$4,연료전지_원본!$KB$4:$KX$4,0))*1000</f>
        <v>#N/A</v>
      </c>
      <c r="CQ88" s="250" t="e">
        <f>INDEX(연료전지_원본!$KB$4:$KX$369,MATCH($A88,연료전지_원본!$KB$4:$KB$369,0), MATCH(CQ$4,연료전지_원본!$KB$4:$KX$4,0))*1000</f>
        <v>#N/A</v>
      </c>
      <c r="CR88" s="250" t="e">
        <f>INDEX(연료전지_원본!$KB$4:$KX$369,MATCH($A88,연료전지_원본!$KB$4:$KB$369,0), MATCH(CR$4,연료전지_원본!$KB$4:$KX$4,0))*1000</f>
        <v>#N/A</v>
      </c>
      <c r="CS88" s="250" t="e">
        <f>INDEX(연료전지_원본!$KB$4:$KX$369,MATCH($A88,연료전지_원본!$KB$4:$KB$369,0), MATCH(CS$4,연료전지_원본!$KB$4:$KX$4,0))*1000</f>
        <v>#N/A</v>
      </c>
      <c r="CT88" s="250" t="e">
        <f>INDEX(연료전지_원본!$KB$4:$KX$369,MATCH($A88,연료전지_원본!$KB$4:$KB$369,0), MATCH(CT$4,연료전지_원본!$KB$4:$KX$4,0))*1000</f>
        <v>#N/A</v>
      </c>
      <c r="CU88" s="250" t="e">
        <f>INDEX(연료전지_원본!$KB$4:$KX$369,MATCH($A88,연료전지_원본!$KB$4:$KB$369,0), MATCH(CU$4,연료전지_원본!$KB$4:$KX$4,0))*1000</f>
        <v>#N/A</v>
      </c>
      <c r="CV88" s="250" t="e">
        <f>INDEX(연료전지_원본!$KB$4:$KX$369,MATCH($A88,연료전지_원본!$KB$4:$KB$369,0), MATCH(CV$4,연료전지_원본!$KB$4:$KX$4,0))*1000</f>
        <v>#N/A</v>
      </c>
      <c r="CW88" s="250" t="e">
        <f>INDEX(연료전지_원본!$KB$4:$KX$369,MATCH($A88,연료전지_원본!$KB$4:$KB$369,0), MATCH(CW$4,연료전지_원본!$KB$4:$KX$4,0))*1000</f>
        <v>#N/A</v>
      </c>
      <c r="CX88" s="250" t="e">
        <f>INDEX(연료전지_원본!$KB$4:$KX$369,MATCH($A88,연료전지_원본!$KB$4:$KB$369,0), MATCH(CX$4,연료전지_원본!$KB$4:$KX$4,0))*1000</f>
        <v>#N/A</v>
      </c>
      <c r="CY88" s="250" t="e">
        <f>INDEX(연료전지_원본!$KB$4:$KX$369,MATCH($A88,연료전지_원본!$KB$4:$KB$369,0), MATCH(CY$4,연료전지_원본!$KB$4:$KX$4,0))*1000</f>
        <v>#N/A</v>
      </c>
      <c r="DV88" s="30">
        <f t="shared" si="297"/>
        <v>0</v>
      </c>
    </row>
    <row r="89" spans="1:126">
      <c r="A89" s="6">
        <v>46106</v>
      </c>
      <c r="B89" s="15">
        <f>운전실적_원본!B89</f>
        <v>651.20000000000005</v>
      </c>
      <c r="C89" s="16">
        <f t="shared" si="298"/>
        <v>0</v>
      </c>
      <c r="D89" s="12">
        <f>운전실적_원본!C89</f>
        <v>250498</v>
      </c>
      <c r="E89" s="12">
        <f t="shared" si="299"/>
        <v>0</v>
      </c>
      <c r="F89" s="12">
        <f>운전실적_원본!D89</f>
        <v>241829</v>
      </c>
      <c r="G89" s="16">
        <f t="shared" si="300"/>
        <v>0</v>
      </c>
      <c r="H89" s="15">
        <f>운전실적_원본!E89</f>
        <v>17353.86</v>
      </c>
      <c r="I89" s="16">
        <f t="shared" si="301"/>
        <v>4.569999999999709</v>
      </c>
      <c r="J89" s="15">
        <f>운전실적_원본!F89</f>
        <v>15546.2</v>
      </c>
      <c r="K89" s="16">
        <f t="shared" si="301"/>
        <v>1.3500000000003638</v>
      </c>
      <c r="L89" s="32">
        <f>운전실적_원본!G89</f>
        <v>49.4</v>
      </c>
      <c r="M89" s="31">
        <f t="shared" ref="M89" si="553">IF(OR(LEN(L89)=0,L89=0),"",L89-L88)</f>
        <v>1.1000000000000014</v>
      </c>
      <c r="N89" s="15">
        <f>운전실적_원본!H89</f>
        <v>41357</v>
      </c>
      <c r="O89" s="16">
        <f t="shared" ref="O89" si="554">IF(OR(LEN(N89)=0,N89=0),"",N89-N88)</f>
        <v>85</v>
      </c>
      <c r="P89" s="15">
        <f>운전실적_원본!I89</f>
        <v>26380</v>
      </c>
      <c r="Q89" s="16">
        <f t="shared" ref="Q89" si="555">IF(OR(LEN(P89)=0,P89=0),"",P89-P88)</f>
        <v>63</v>
      </c>
      <c r="R89" s="18">
        <f>운전실적_원본!J89</f>
        <v>34</v>
      </c>
      <c r="S89" s="19">
        <f t="shared" ref="S89" si="556">IF(OR(LEN(R89)=0,R89=0),"",R89-R88)</f>
        <v>-2.6000000000003354E-2</v>
      </c>
      <c r="T89" s="18">
        <f>운전실적_원본!K89</f>
        <v>33.33</v>
      </c>
      <c r="U89" s="19">
        <f t="shared" si="306"/>
        <v>-7.8000000000002956E-2</v>
      </c>
      <c r="V89" s="12">
        <f>운전실적_원본!L89</f>
        <v>7755</v>
      </c>
      <c r="W89" s="16">
        <f t="shared" ref="W89" si="557">IF(OR(LEN(V89)=0,V89=0),"",V89-V88)</f>
        <v>-938.9429999999993</v>
      </c>
      <c r="X89" s="10">
        <f>운전실적_원본!M89</f>
        <v>216.22000000625849</v>
      </c>
      <c r="Y89" s="10">
        <f>운전실적_원본!N89</f>
        <v>0</v>
      </c>
      <c r="Z89" s="10">
        <f>운전실적_원본!O89</f>
        <v>0</v>
      </c>
      <c r="AA89" s="10">
        <f>운전실적_원본!P89</f>
        <v>0</v>
      </c>
      <c r="AB89" s="10">
        <f>운전실적_원본!Q89</f>
        <v>0</v>
      </c>
      <c r="AC89" s="20">
        <f>운전실적_원본!R89</f>
        <v>0</v>
      </c>
      <c r="AD89" s="109">
        <f>운전실적_원본!S89</f>
        <v>0</v>
      </c>
      <c r="AE89" s="110">
        <f>운전실적_원본!T89</f>
        <v>0</v>
      </c>
      <c r="AF89" s="110">
        <f>운전실적_원본!U89</f>
        <v>0</v>
      </c>
      <c r="AG89" s="110">
        <f>운전실적_원본!V89</f>
        <v>0</v>
      </c>
      <c r="AH89" s="109">
        <f t="shared" si="460"/>
        <v>0.58333333331393078</v>
      </c>
      <c r="AI89" s="110">
        <f t="shared" si="467"/>
        <v>0</v>
      </c>
      <c r="AJ89" s="110">
        <f>운전실적_원본!Y89</f>
        <v>0</v>
      </c>
      <c r="AK89" s="110">
        <f>운전실적_원본!Z89</f>
        <v>0</v>
      </c>
      <c r="AL89" s="106">
        <v>46106.458333333336</v>
      </c>
      <c r="AM89" s="105">
        <v>46106.482638888891</v>
      </c>
      <c r="AN89" s="105"/>
      <c r="AO89" s="105"/>
      <c r="AP89" s="105"/>
      <c r="AQ89" s="108"/>
      <c r="AR89" s="105"/>
      <c r="AS89" s="105"/>
      <c r="AT89" s="102"/>
      <c r="AU89" s="102"/>
      <c r="AV89" s="102"/>
      <c r="AW89" s="102"/>
      <c r="AX89" s="32">
        <f>운전실적_원본!W89</f>
        <v>0</v>
      </c>
      <c r="AY89" s="11">
        <f>운전실적_원본!X89</f>
        <v>0</v>
      </c>
      <c r="AZ89" s="11">
        <f>운전실적_원본!Y89</f>
        <v>0</v>
      </c>
      <c r="BA89" s="11">
        <f>운전실적_원본!Z89</f>
        <v>0</v>
      </c>
      <c r="BB89" s="11">
        <f>운전실적_원본!AA89</f>
        <v>0</v>
      </c>
      <c r="BC89" s="11">
        <f>운전실적_원본!AB89</f>
        <v>0</v>
      </c>
      <c r="BD89" s="32" t="str">
        <f t="shared" si="453"/>
        <v>-</v>
      </c>
      <c r="BE89" s="11" t="str">
        <f t="shared" si="461"/>
        <v>-</v>
      </c>
      <c r="BF89" s="11">
        <f>운전실적_원본!AE89</f>
        <v>0</v>
      </c>
      <c r="BG89" s="31">
        <f t="shared" si="454"/>
        <v>0</v>
      </c>
      <c r="BH89" s="241">
        <f>INDEX(연료전지_원본!$A$4:$KY$369,MATCH($A89,연료전지_원본!$A$4:$A$369,0),MATCH($BH$4,연료전지_원본!$A$4:$KY$4,0))</f>
        <v>0</v>
      </c>
      <c r="BI89" s="241">
        <f>INDEX(연료전지_원본!$A$4:$KY$369,MATCH($A89,연료전지_원본!$A$4:$A$369,0),MATCH($BI$4,연료전지_원본!$A$4:$KY$4,0))</f>
        <v>0</v>
      </c>
      <c r="BJ89" s="241">
        <f>INDEX(연료전지_원본!$A$4:$KY$369,MATCH($A89,연료전지_원본!$A$4:$A$369,0),MATCH($BJ$4,연료전지_원본!$A$4:$KY$4,0))</f>
        <v>0</v>
      </c>
      <c r="BK89" s="241">
        <f>INDEX(연료전지_원본!$A$4:$KY$369,MATCH($A89,연료전지_원본!$A$4:$A$369,0),MATCH($BK$4,연료전지_원본!$A$4:$KY$4,0))</f>
        <v>0</v>
      </c>
      <c r="BL89" s="241">
        <f>INDEX(연료전지_원본!$A$4:$KY$369,MATCH($A89,연료전지_원본!$A$4:$A$369,0),MATCH($BL$4,연료전지_원본!$A$4:$KY$4,0))</f>
        <v>0</v>
      </c>
      <c r="BM89" s="241">
        <f>INDEX(연료전지_원본!$A$4:$KY$369,MATCH($A89,연료전지_원본!$A$4:$A$369,0),MATCH($BM$4,연료전지_원본!$A$4:$KY$4,0))</f>
        <v>0</v>
      </c>
      <c r="BN89" s="241">
        <f>INDEX(연료전지_원본!$A$4:$KY$369,MATCH($A89,연료전지_원본!$A$4:$A$369,0),MATCH($BN$4,연료전지_원본!$A$4:$KY$4,0))</f>
        <v>0</v>
      </c>
      <c r="BO89" s="241">
        <f>INDEX(연료전지_원본!$A$4:$KY$369,MATCH($A89,연료전지_원본!$A$4:$A$369,0),MATCH($BO$4,연료전지_원본!$A$4:$KY$4,0))</f>
        <v>0</v>
      </c>
      <c r="BP89" s="241">
        <f>INDEX(연료전지_원본!$A$4:$KY$369,MATCH($A89,연료전지_원본!$A$4:$A$369,0),MATCH($BP$4,연료전지_원본!$A$4:$KY$4,0))</f>
        <v>0</v>
      </c>
      <c r="BQ89" s="241">
        <f>INDEX(연료전지_원본!$A$4:$KY$369,MATCH($A89,연료전지_원본!$A$4:$A$369,0),MATCH($BQ$4,연료전지_원본!$A$4:$KY$4,0))</f>
        <v>0</v>
      </c>
      <c r="BR89" s="241">
        <f>INDEX(연료전지_원본!$A$4:$KY$369,MATCH($A89,연료전지_원본!$A$4:$A$369,0),MATCH($BR$4,연료전지_원본!$A$4:$KY$4,0))</f>
        <v>0</v>
      </c>
      <c r="BS89" s="241">
        <f>INDEX(연료전지_원본!$A$4:$KY$369,MATCH($A89,연료전지_원본!$A$4:$A$369,0),MATCH($BS$4,연료전지_원본!$A$4:$KY$4,0))</f>
        <v>0</v>
      </c>
      <c r="BT89" s="241">
        <f>INDEX(연료전지_원본!$A$4:$KY$369,MATCH($A89,연료전지_원본!$A$4:$A$369,0),MATCH($BT$4,연료전지_원본!$A$4:$KY$4,0))</f>
        <v>0</v>
      </c>
      <c r="BU89" s="241">
        <f>INDEX(연료전지_원본!$A$4:$KY$369,MATCH($A89,연료전지_원본!$A$4:$A$369,0),MATCH($BU$4,연료전지_원본!$A$4:$KY$4,0))</f>
        <v>0</v>
      </c>
      <c r="BV89" s="241">
        <f>INDEX(연료전지_원본!$A$4:$KY$369,MATCH($A89,연료전지_원본!$A$4:$A$369,0),MATCH($BV$4,연료전지_원본!$A$4:$KY$4,0))</f>
        <v>0</v>
      </c>
      <c r="BW89" s="241">
        <f>INDEX(연료전지_원본!$A$4:$KY$369,MATCH($A89,연료전지_원본!$A$4:$A$369,0),MATCH($BW$4,연료전지_원본!$A$4:$KY$4,0))</f>
        <v>0</v>
      </c>
      <c r="BX89" s="241">
        <f>INDEX(연료전지_원본!$A$4:$KY$369,MATCH($A89,연료전지_원본!$A$4:$A$369,0),MATCH($BX$4,연료전지_원본!$A$4:$KY$4,0))</f>
        <v>0</v>
      </c>
      <c r="BY89" s="241">
        <f>INDEX(연료전지_원본!$A$4:$KY$369,MATCH($A89,연료전지_원본!$A$4:$A$369,0),MATCH($BY$4,연료전지_원본!$A$4:$KY$4,0))</f>
        <v>0</v>
      </c>
      <c r="BZ89" s="241">
        <f>INDEX(연료전지_원본!$A$4:$KY$369,MATCH($A89,연료전지_원본!$A$4:$A$369,0),MATCH($BZ$4,연료전지_원본!$A$4:$KY$4,0))</f>
        <v>0</v>
      </c>
      <c r="CA89" s="241">
        <f>INDEX(연료전지_원본!$A$4:$KY$369,MATCH($A89,연료전지_원본!$A$4:$A$369,0),MATCH($CA$4,연료전지_원본!$A$4:$KY$4,0))</f>
        <v>0</v>
      </c>
      <c r="CB89" s="241">
        <f>INDEX(연료전지_원본!$A$4:$KY$369,MATCH($A89,연료전지_원본!$A$4:$A$369,0),MATCH($CB$4,연료전지_원본!$A$4:$KY$4,0))</f>
        <v>0</v>
      </c>
      <c r="CC89" s="242">
        <f>INDEX(연료전지_원본!$A$4:$KY$369,MATCH($A89,연료전지_원본!$A$4:$A$369,0),MATCH($CC$4,연료전지_원본!$A$4:$KY$4,0))</f>
        <v>0</v>
      </c>
      <c r="CD89" s="250" t="e">
        <f>INDEX(연료전지_원본!$KB$4:$KX$369,MATCH($A89,연료전지_원본!$KB$4:$KB$369,0), MATCH(CD$4,연료전지_원본!$KB$4:$KX$4,0))*1000</f>
        <v>#N/A</v>
      </c>
      <c r="CE89" s="250" t="e">
        <f>INDEX(연료전지_원본!$KB$4:$KX$369,MATCH($A89,연료전지_원본!$KB$4:$KB$369,0), MATCH(CE$4,연료전지_원본!$KB$4:$KX$4,0))*1000</f>
        <v>#N/A</v>
      </c>
      <c r="CF89" s="250" t="e">
        <f>INDEX(연료전지_원본!$KB$4:$KX$369,MATCH($A89,연료전지_원본!$KB$4:$KB$369,0), MATCH(CF$4,연료전지_원본!$KB$4:$KX$4,0))*1000</f>
        <v>#N/A</v>
      </c>
      <c r="CG89" s="250" t="e">
        <f>INDEX(연료전지_원본!$KB$4:$KX$369,MATCH($A89,연료전지_원본!$KB$4:$KB$369,0), MATCH(CG$4,연료전지_원본!$KB$4:$KX$4,0))*1000</f>
        <v>#N/A</v>
      </c>
      <c r="CH89" s="250" t="e">
        <f>INDEX(연료전지_원본!$KB$4:$KX$369,MATCH($A89,연료전지_원본!$KB$4:$KB$369,0), MATCH(CH$4,연료전지_원본!$KB$4:$KX$4,0))*1000</f>
        <v>#N/A</v>
      </c>
      <c r="CI89" s="250" t="e">
        <f>INDEX(연료전지_원본!$KB$4:$KX$369,MATCH($A89,연료전지_원본!$KB$4:$KB$369,0), MATCH(CI$4,연료전지_원본!$KB$4:$KX$4,0))*1000</f>
        <v>#N/A</v>
      </c>
      <c r="CJ89" s="250" t="e">
        <f>INDEX(연료전지_원본!$KB$4:$KX$369,MATCH($A89,연료전지_원본!$KB$4:$KB$369,0), MATCH(CJ$4,연료전지_원본!$KB$4:$KX$4,0))*1000</f>
        <v>#N/A</v>
      </c>
      <c r="CK89" s="250" t="e">
        <f>INDEX(연료전지_원본!$KB$4:$KX$369,MATCH($A89,연료전지_원본!$KB$4:$KB$369,0), MATCH(CK$4,연료전지_원본!$KB$4:$KX$4,0))*1000</f>
        <v>#N/A</v>
      </c>
      <c r="CL89" s="250" t="e">
        <f>INDEX(연료전지_원본!$KB$4:$KX$369,MATCH($A89,연료전지_원본!$KB$4:$KB$369,0), MATCH(CL$4,연료전지_원본!$KB$4:$KX$4,0))*1000</f>
        <v>#N/A</v>
      </c>
      <c r="CM89" s="250" t="e">
        <f>INDEX(연료전지_원본!$KB$4:$KX$369,MATCH($A89,연료전지_원본!$KB$4:$KB$369,0), MATCH(CM$4,연료전지_원본!$KB$4:$KX$4,0))*1000</f>
        <v>#N/A</v>
      </c>
      <c r="CN89" s="250" t="e">
        <f>INDEX(연료전지_원본!$KB$4:$KX$369,MATCH($A89,연료전지_원본!$KB$4:$KB$369,0), MATCH(CN$4,연료전지_원본!$KB$4:$KX$4,0))*1000</f>
        <v>#N/A</v>
      </c>
      <c r="CO89" s="250" t="e">
        <f>INDEX(연료전지_원본!$KB$4:$KX$369,MATCH($A89,연료전지_원본!$KB$4:$KB$369,0), MATCH(CO$4,연료전지_원본!$KB$4:$KX$4,0))*1000</f>
        <v>#N/A</v>
      </c>
      <c r="CP89" s="250" t="e">
        <f>INDEX(연료전지_원본!$KB$4:$KX$369,MATCH($A89,연료전지_원본!$KB$4:$KB$369,0), MATCH(CP$4,연료전지_원본!$KB$4:$KX$4,0))*1000</f>
        <v>#N/A</v>
      </c>
      <c r="CQ89" s="250" t="e">
        <f>INDEX(연료전지_원본!$KB$4:$KX$369,MATCH($A89,연료전지_원본!$KB$4:$KB$369,0), MATCH(CQ$4,연료전지_원본!$KB$4:$KX$4,0))*1000</f>
        <v>#N/A</v>
      </c>
      <c r="CR89" s="250" t="e">
        <f>INDEX(연료전지_원본!$KB$4:$KX$369,MATCH($A89,연료전지_원본!$KB$4:$KB$369,0), MATCH(CR$4,연료전지_원본!$KB$4:$KX$4,0))*1000</f>
        <v>#N/A</v>
      </c>
      <c r="CS89" s="250" t="e">
        <f>INDEX(연료전지_원본!$KB$4:$KX$369,MATCH($A89,연료전지_원본!$KB$4:$KB$369,0), MATCH(CS$4,연료전지_원본!$KB$4:$KX$4,0))*1000</f>
        <v>#N/A</v>
      </c>
      <c r="CT89" s="250" t="e">
        <f>INDEX(연료전지_원본!$KB$4:$KX$369,MATCH($A89,연료전지_원본!$KB$4:$KB$369,0), MATCH(CT$4,연료전지_원본!$KB$4:$KX$4,0))*1000</f>
        <v>#N/A</v>
      </c>
      <c r="CU89" s="250" t="e">
        <f>INDEX(연료전지_원본!$KB$4:$KX$369,MATCH($A89,연료전지_원본!$KB$4:$KB$369,0), MATCH(CU$4,연료전지_원본!$KB$4:$KX$4,0))*1000</f>
        <v>#N/A</v>
      </c>
      <c r="CV89" s="250" t="e">
        <f>INDEX(연료전지_원본!$KB$4:$KX$369,MATCH($A89,연료전지_원본!$KB$4:$KB$369,0), MATCH(CV$4,연료전지_원본!$KB$4:$KX$4,0))*1000</f>
        <v>#N/A</v>
      </c>
      <c r="CW89" s="250" t="e">
        <f>INDEX(연료전지_원본!$KB$4:$KX$369,MATCH($A89,연료전지_원본!$KB$4:$KB$369,0), MATCH(CW$4,연료전지_원본!$KB$4:$KX$4,0))*1000</f>
        <v>#N/A</v>
      </c>
      <c r="CX89" s="250" t="e">
        <f>INDEX(연료전지_원본!$KB$4:$KX$369,MATCH($A89,연료전지_원본!$KB$4:$KB$369,0), MATCH(CX$4,연료전지_원본!$KB$4:$KX$4,0))*1000</f>
        <v>#N/A</v>
      </c>
      <c r="CY89" s="250" t="e">
        <f>INDEX(연료전지_원본!$KB$4:$KX$369,MATCH($A89,연료전지_원본!$KB$4:$KB$369,0), MATCH(CY$4,연료전지_원본!$KB$4:$KX$4,0))*1000</f>
        <v>#N/A</v>
      </c>
      <c r="DV89" s="30">
        <f t="shared" si="297"/>
        <v>0</v>
      </c>
    </row>
    <row r="90" spans="1:126">
      <c r="A90" s="6">
        <v>46107</v>
      </c>
      <c r="B90" s="15">
        <f>운전실적_원본!B90</f>
        <v>651.20000000000005</v>
      </c>
      <c r="C90" s="16">
        <f t="shared" si="298"/>
        <v>0</v>
      </c>
      <c r="D90" s="12">
        <f>운전실적_원본!C90</f>
        <v>250498</v>
      </c>
      <c r="E90" s="12">
        <f t="shared" si="299"/>
        <v>0</v>
      </c>
      <c r="F90" s="12">
        <f>운전실적_원본!D90</f>
        <v>241869</v>
      </c>
      <c r="G90" s="16">
        <f t="shared" si="300"/>
        <v>40</v>
      </c>
      <c r="H90" s="15">
        <f>운전실적_원본!E90</f>
        <v>17358.05</v>
      </c>
      <c r="I90" s="16">
        <f t="shared" si="301"/>
        <v>4.1899999999986903</v>
      </c>
      <c r="J90" s="15">
        <f>운전실적_원본!F90</f>
        <v>15546.95</v>
      </c>
      <c r="K90" s="16">
        <f t="shared" si="301"/>
        <v>0.75</v>
      </c>
      <c r="L90" s="32">
        <f>운전실적_원본!G90</f>
        <v>50.5</v>
      </c>
      <c r="M90" s="31">
        <f t="shared" ref="M90" si="558">IF(OR(LEN(L90)=0,L90=0),"",L90-L89)</f>
        <v>1.1000000000000014</v>
      </c>
      <c r="N90" s="15">
        <f>운전실적_원본!H90</f>
        <v>41507</v>
      </c>
      <c r="O90" s="16">
        <f t="shared" ref="O90" si="559">IF(OR(LEN(N90)=0,N90=0),"",N90-N89)</f>
        <v>150</v>
      </c>
      <c r="P90" s="15">
        <f>운전실적_원본!I90</f>
        <v>26448</v>
      </c>
      <c r="Q90" s="16">
        <f t="shared" ref="Q90" si="560">IF(OR(LEN(P90)=0,P90=0),"",P90-P89)</f>
        <v>68</v>
      </c>
      <c r="R90" s="18">
        <f>운전실적_원본!J90</f>
        <v>33.97</v>
      </c>
      <c r="S90" s="19">
        <f t="shared" ref="S90" si="561">IF(OR(LEN(R90)=0,R90=0),"",R90-R89)</f>
        <v>-3.0000000000001137E-2</v>
      </c>
      <c r="T90" s="18">
        <f>운전실적_원본!K90</f>
        <v>33.43</v>
      </c>
      <c r="U90" s="19">
        <f t="shared" si="306"/>
        <v>0.10000000000000142</v>
      </c>
      <c r="V90" s="12">
        <f>운전실적_원본!L90</f>
        <v>7903</v>
      </c>
      <c r="W90" s="16">
        <f t="shared" ref="W90" si="562">IF(OR(LEN(V90)=0,V90=0),"",V90-V89)</f>
        <v>148</v>
      </c>
      <c r="X90" s="10">
        <f>운전실적_원본!M90</f>
        <v>0</v>
      </c>
      <c r="Y90" s="10">
        <f>운전실적_원본!N90</f>
        <v>0</v>
      </c>
      <c r="Z90" s="10">
        <f>운전실적_원본!O90</f>
        <v>0</v>
      </c>
      <c r="AA90" s="10">
        <f>운전실적_원본!P90</f>
        <v>0</v>
      </c>
      <c r="AB90" s="10">
        <f>운전실적_원본!Q90</f>
        <v>0</v>
      </c>
      <c r="AC90" s="20">
        <f>운전실적_원본!R90</f>
        <v>0</v>
      </c>
      <c r="AD90" s="109">
        <f>운전실적_원본!S90</f>
        <v>0</v>
      </c>
      <c r="AE90" s="110">
        <f>운전실적_원본!T90</f>
        <v>0</v>
      </c>
      <c r="AF90" s="110">
        <f>운전실적_원본!U90</f>
        <v>0</v>
      </c>
      <c r="AG90" s="110">
        <f>운전실적_원본!V90</f>
        <v>0</v>
      </c>
      <c r="AH90" s="109">
        <f t="shared" si="460"/>
        <v>0</v>
      </c>
      <c r="AI90" s="110">
        <f t="shared" si="467"/>
        <v>0</v>
      </c>
      <c r="AJ90" s="110">
        <f>운전실적_원본!Y90</f>
        <v>0</v>
      </c>
      <c r="AK90" s="110">
        <f>운전실적_원본!Z90</f>
        <v>0</v>
      </c>
      <c r="AL90" s="106"/>
      <c r="AM90" s="105"/>
      <c r="AN90" s="105"/>
      <c r="AO90" s="105"/>
      <c r="AP90" s="105"/>
      <c r="AQ90" s="108"/>
      <c r="AR90" s="105"/>
      <c r="AS90" s="105"/>
      <c r="AT90" s="102"/>
      <c r="AU90" s="102"/>
      <c r="AV90" s="102"/>
      <c r="AW90" s="102"/>
      <c r="AX90" s="32">
        <f>운전실적_원본!W90</f>
        <v>0</v>
      </c>
      <c r="AY90" s="11">
        <f>운전실적_원본!X90</f>
        <v>0</v>
      </c>
      <c r="AZ90" s="11">
        <f>운전실적_원본!Y90</f>
        <v>0</v>
      </c>
      <c r="BA90" s="11">
        <f>운전실적_원본!Z90</f>
        <v>0</v>
      </c>
      <c r="BB90" s="11">
        <f>운전실적_원본!AA90</f>
        <v>0</v>
      </c>
      <c r="BC90" s="11">
        <f>운전실적_원본!AB90</f>
        <v>0</v>
      </c>
      <c r="BD90" s="32" t="str">
        <f t="shared" si="453"/>
        <v>-</v>
      </c>
      <c r="BE90" s="11" t="str">
        <f t="shared" si="461"/>
        <v>-</v>
      </c>
      <c r="BF90" s="11">
        <f>운전실적_원본!AE90</f>
        <v>0</v>
      </c>
      <c r="BG90" s="31">
        <f t="shared" si="454"/>
        <v>0</v>
      </c>
      <c r="BH90" s="241">
        <f>INDEX(연료전지_원본!$A$4:$KY$369,MATCH($A90,연료전지_원본!$A$4:$A$369,0),MATCH($BH$4,연료전지_원본!$A$4:$KY$4,0))</f>
        <v>0</v>
      </c>
      <c r="BI90" s="241">
        <f>INDEX(연료전지_원본!$A$4:$KY$369,MATCH($A90,연료전지_원본!$A$4:$A$369,0),MATCH($BI$4,연료전지_원본!$A$4:$KY$4,0))</f>
        <v>0</v>
      </c>
      <c r="BJ90" s="241">
        <f>INDEX(연료전지_원본!$A$4:$KY$369,MATCH($A90,연료전지_원본!$A$4:$A$369,0),MATCH($BJ$4,연료전지_원본!$A$4:$KY$4,0))</f>
        <v>0</v>
      </c>
      <c r="BK90" s="241">
        <f>INDEX(연료전지_원본!$A$4:$KY$369,MATCH($A90,연료전지_원본!$A$4:$A$369,0),MATCH($BK$4,연료전지_원본!$A$4:$KY$4,0))</f>
        <v>0</v>
      </c>
      <c r="BL90" s="241">
        <f>INDEX(연료전지_원본!$A$4:$KY$369,MATCH($A90,연료전지_원본!$A$4:$A$369,0),MATCH($BL$4,연료전지_원본!$A$4:$KY$4,0))</f>
        <v>0</v>
      </c>
      <c r="BM90" s="241">
        <f>INDEX(연료전지_원본!$A$4:$KY$369,MATCH($A90,연료전지_원본!$A$4:$A$369,0),MATCH($BM$4,연료전지_원본!$A$4:$KY$4,0))</f>
        <v>0</v>
      </c>
      <c r="BN90" s="241">
        <f>INDEX(연료전지_원본!$A$4:$KY$369,MATCH($A90,연료전지_원본!$A$4:$A$369,0),MATCH($BN$4,연료전지_원본!$A$4:$KY$4,0))</f>
        <v>0</v>
      </c>
      <c r="BO90" s="241">
        <f>INDEX(연료전지_원본!$A$4:$KY$369,MATCH($A90,연료전지_원본!$A$4:$A$369,0),MATCH($BO$4,연료전지_원본!$A$4:$KY$4,0))</f>
        <v>0</v>
      </c>
      <c r="BP90" s="241">
        <f>INDEX(연료전지_원본!$A$4:$KY$369,MATCH($A90,연료전지_원본!$A$4:$A$369,0),MATCH($BP$4,연료전지_원본!$A$4:$KY$4,0))</f>
        <v>0</v>
      </c>
      <c r="BQ90" s="241">
        <f>INDEX(연료전지_원본!$A$4:$KY$369,MATCH($A90,연료전지_원본!$A$4:$A$369,0),MATCH($BQ$4,연료전지_원본!$A$4:$KY$4,0))</f>
        <v>0</v>
      </c>
      <c r="BR90" s="241">
        <f>INDEX(연료전지_원본!$A$4:$KY$369,MATCH($A90,연료전지_원본!$A$4:$A$369,0),MATCH($BR$4,연료전지_원본!$A$4:$KY$4,0))</f>
        <v>0</v>
      </c>
      <c r="BS90" s="241">
        <f>INDEX(연료전지_원본!$A$4:$KY$369,MATCH($A90,연료전지_원본!$A$4:$A$369,0),MATCH($BS$4,연료전지_원본!$A$4:$KY$4,0))</f>
        <v>0</v>
      </c>
      <c r="BT90" s="241">
        <f>INDEX(연료전지_원본!$A$4:$KY$369,MATCH($A90,연료전지_원본!$A$4:$A$369,0),MATCH($BT$4,연료전지_원본!$A$4:$KY$4,0))</f>
        <v>0</v>
      </c>
      <c r="BU90" s="241">
        <f>INDEX(연료전지_원본!$A$4:$KY$369,MATCH($A90,연료전지_원본!$A$4:$A$369,0),MATCH($BU$4,연료전지_원본!$A$4:$KY$4,0))</f>
        <v>0</v>
      </c>
      <c r="BV90" s="241">
        <f>INDEX(연료전지_원본!$A$4:$KY$369,MATCH($A90,연료전지_원본!$A$4:$A$369,0),MATCH($BV$4,연료전지_원본!$A$4:$KY$4,0))</f>
        <v>0</v>
      </c>
      <c r="BW90" s="241">
        <f>INDEX(연료전지_원본!$A$4:$KY$369,MATCH($A90,연료전지_원본!$A$4:$A$369,0),MATCH($BW$4,연료전지_원본!$A$4:$KY$4,0))</f>
        <v>0</v>
      </c>
      <c r="BX90" s="241">
        <f>INDEX(연료전지_원본!$A$4:$KY$369,MATCH($A90,연료전지_원본!$A$4:$A$369,0),MATCH($BX$4,연료전지_원본!$A$4:$KY$4,0))</f>
        <v>0</v>
      </c>
      <c r="BY90" s="241">
        <f>INDEX(연료전지_원본!$A$4:$KY$369,MATCH($A90,연료전지_원본!$A$4:$A$369,0),MATCH($BY$4,연료전지_원본!$A$4:$KY$4,0))</f>
        <v>0</v>
      </c>
      <c r="BZ90" s="241">
        <f>INDEX(연료전지_원본!$A$4:$KY$369,MATCH($A90,연료전지_원본!$A$4:$A$369,0),MATCH($BZ$4,연료전지_원본!$A$4:$KY$4,0))</f>
        <v>0</v>
      </c>
      <c r="CA90" s="241">
        <f>INDEX(연료전지_원본!$A$4:$KY$369,MATCH($A90,연료전지_원본!$A$4:$A$369,0),MATCH($CA$4,연료전지_원본!$A$4:$KY$4,0))</f>
        <v>0</v>
      </c>
      <c r="CB90" s="241">
        <f>INDEX(연료전지_원본!$A$4:$KY$369,MATCH($A90,연료전지_원본!$A$4:$A$369,0),MATCH($CB$4,연료전지_원본!$A$4:$KY$4,0))</f>
        <v>0</v>
      </c>
      <c r="CC90" s="242">
        <f>INDEX(연료전지_원본!$A$4:$KY$369,MATCH($A90,연료전지_원본!$A$4:$A$369,0),MATCH($CC$4,연료전지_원본!$A$4:$KY$4,0))</f>
        <v>0</v>
      </c>
      <c r="CD90" s="250" t="e">
        <f>INDEX(연료전지_원본!$KB$4:$KX$369,MATCH($A90,연료전지_원본!$KB$4:$KB$369,0), MATCH(CD$4,연료전지_원본!$KB$4:$KX$4,0))*1000</f>
        <v>#N/A</v>
      </c>
      <c r="CE90" s="250" t="e">
        <f>INDEX(연료전지_원본!$KB$4:$KX$369,MATCH($A90,연료전지_원본!$KB$4:$KB$369,0), MATCH(CE$4,연료전지_원본!$KB$4:$KX$4,0))*1000</f>
        <v>#N/A</v>
      </c>
      <c r="CF90" s="250" t="e">
        <f>INDEX(연료전지_원본!$KB$4:$KX$369,MATCH($A90,연료전지_원본!$KB$4:$KB$369,0), MATCH(CF$4,연료전지_원본!$KB$4:$KX$4,0))*1000</f>
        <v>#N/A</v>
      </c>
      <c r="CG90" s="250" t="e">
        <f>INDEX(연료전지_원본!$KB$4:$KX$369,MATCH($A90,연료전지_원본!$KB$4:$KB$369,0), MATCH(CG$4,연료전지_원본!$KB$4:$KX$4,0))*1000</f>
        <v>#N/A</v>
      </c>
      <c r="CH90" s="250" t="e">
        <f>INDEX(연료전지_원본!$KB$4:$KX$369,MATCH($A90,연료전지_원본!$KB$4:$KB$369,0), MATCH(CH$4,연료전지_원본!$KB$4:$KX$4,0))*1000</f>
        <v>#N/A</v>
      </c>
      <c r="CI90" s="250" t="e">
        <f>INDEX(연료전지_원본!$KB$4:$KX$369,MATCH($A90,연료전지_원본!$KB$4:$KB$369,0), MATCH(CI$4,연료전지_원본!$KB$4:$KX$4,0))*1000</f>
        <v>#N/A</v>
      </c>
      <c r="CJ90" s="250" t="e">
        <f>INDEX(연료전지_원본!$KB$4:$KX$369,MATCH($A90,연료전지_원본!$KB$4:$KB$369,0), MATCH(CJ$4,연료전지_원본!$KB$4:$KX$4,0))*1000</f>
        <v>#N/A</v>
      </c>
      <c r="CK90" s="250" t="e">
        <f>INDEX(연료전지_원본!$KB$4:$KX$369,MATCH($A90,연료전지_원본!$KB$4:$KB$369,0), MATCH(CK$4,연료전지_원본!$KB$4:$KX$4,0))*1000</f>
        <v>#N/A</v>
      </c>
      <c r="CL90" s="250" t="e">
        <f>INDEX(연료전지_원본!$KB$4:$KX$369,MATCH($A90,연료전지_원본!$KB$4:$KB$369,0), MATCH(CL$4,연료전지_원본!$KB$4:$KX$4,0))*1000</f>
        <v>#N/A</v>
      </c>
      <c r="CM90" s="250" t="e">
        <f>INDEX(연료전지_원본!$KB$4:$KX$369,MATCH($A90,연료전지_원본!$KB$4:$KB$369,0), MATCH(CM$4,연료전지_원본!$KB$4:$KX$4,0))*1000</f>
        <v>#N/A</v>
      </c>
      <c r="CN90" s="250" t="e">
        <f>INDEX(연료전지_원본!$KB$4:$KX$369,MATCH($A90,연료전지_원본!$KB$4:$KB$369,0), MATCH(CN$4,연료전지_원본!$KB$4:$KX$4,0))*1000</f>
        <v>#N/A</v>
      </c>
      <c r="CO90" s="250" t="e">
        <f>INDEX(연료전지_원본!$KB$4:$KX$369,MATCH($A90,연료전지_원본!$KB$4:$KB$369,0), MATCH(CO$4,연료전지_원본!$KB$4:$KX$4,0))*1000</f>
        <v>#N/A</v>
      </c>
      <c r="CP90" s="250" t="e">
        <f>INDEX(연료전지_원본!$KB$4:$KX$369,MATCH($A90,연료전지_원본!$KB$4:$KB$369,0), MATCH(CP$4,연료전지_원본!$KB$4:$KX$4,0))*1000</f>
        <v>#N/A</v>
      </c>
      <c r="CQ90" s="250" t="e">
        <f>INDEX(연료전지_원본!$KB$4:$KX$369,MATCH($A90,연료전지_원본!$KB$4:$KB$369,0), MATCH(CQ$4,연료전지_원본!$KB$4:$KX$4,0))*1000</f>
        <v>#N/A</v>
      </c>
      <c r="CR90" s="250" t="e">
        <f>INDEX(연료전지_원본!$KB$4:$KX$369,MATCH($A90,연료전지_원본!$KB$4:$KB$369,0), MATCH(CR$4,연료전지_원본!$KB$4:$KX$4,0))*1000</f>
        <v>#N/A</v>
      </c>
      <c r="CS90" s="250" t="e">
        <f>INDEX(연료전지_원본!$KB$4:$KX$369,MATCH($A90,연료전지_원본!$KB$4:$KB$369,0), MATCH(CS$4,연료전지_원본!$KB$4:$KX$4,0))*1000</f>
        <v>#N/A</v>
      </c>
      <c r="CT90" s="250" t="e">
        <f>INDEX(연료전지_원본!$KB$4:$KX$369,MATCH($A90,연료전지_원본!$KB$4:$KB$369,0), MATCH(CT$4,연료전지_원본!$KB$4:$KX$4,0))*1000</f>
        <v>#N/A</v>
      </c>
      <c r="CU90" s="250" t="e">
        <f>INDEX(연료전지_원본!$KB$4:$KX$369,MATCH($A90,연료전지_원본!$KB$4:$KB$369,0), MATCH(CU$4,연료전지_원본!$KB$4:$KX$4,0))*1000</f>
        <v>#N/A</v>
      </c>
      <c r="CV90" s="250" t="e">
        <f>INDEX(연료전지_원본!$KB$4:$KX$369,MATCH($A90,연료전지_원본!$KB$4:$KB$369,0), MATCH(CV$4,연료전지_원본!$KB$4:$KX$4,0))*1000</f>
        <v>#N/A</v>
      </c>
      <c r="CW90" s="250" t="e">
        <f>INDEX(연료전지_원본!$KB$4:$KX$369,MATCH($A90,연료전지_원본!$KB$4:$KB$369,0), MATCH(CW$4,연료전지_원본!$KB$4:$KX$4,0))*1000</f>
        <v>#N/A</v>
      </c>
      <c r="CX90" s="250" t="e">
        <f>INDEX(연료전지_원본!$KB$4:$KX$369,MATCH($A90,연료전지_원본!$KB$4:$KB$369,0), MATCH(CX$4,연료전지_원본!$KB$4:$KX$4,0))*1000</f>
        <v>#N/A</v>
      </c>
      <c r="CY90" s="250" t="e">
        <f>INDEX(연료전지_원본!$KB$4:$KX$369,MATCH($A90,연료전지_원본!$KB$4:$KB$369,0), MATCH(CY$4,연료전지_원본!$KB$4:$KX$4,0))*1000</f>
        <v>#N/A</v>
      </c>
      <c r="DV90" s="30">
        <f t="shared" si="297"/>
        <v>0</v>
      </c>
    </row>
    <row r="91" spans="1:126">
      <c r="A91" s="6">
        <v>46108</v>
      </c>
      <c r="B91" s="15">
        <f>운전실적_원본!B91</f>
        <v>651.20000000000005</v>
      </c>
      <c r="C91" s="16">
        <f t="shared" si="298"/>
        <v>0</v>
      </c>
      <c r="D91" s="12">
        <f>운전실적_원본!C91</f>
        <v>250542</v>
      </c>
      <c r="E91" s="12">
        <f t="shared" si="299"/>
        <v>44</v>
      </c>
      <c r="F91" s="12">
        <f>운전실적_원본!D91</f>
        <v>241892</v>
      </c>
      <c r="G91" s="16">
        <f t="shared" si="300"/>
        <v>23</v>
      </c>
      <c r="H91" s="15">
        <f>운전실적_원본!E91</f>
        <v>17361.32</v>
      </c>
      <c r="I91" s="16">
        <f t="shared" si="301"/>
        <v>3.2700000000004366</v>
      </c>
      <c r="J91" s="15">
        <f>운전실적_원본!F91</f>
        <v>15547.68</v>
      </c>
      <c r="K91" s="16">
        <f t="shared" si="301"/>
        <v>0.72999999999956344</v>
      </c>
      <c r="L91" s="32">
        <f>운전실적_원본!G91</f>
        <v>51.4</v>
      </c>
      <c r="M91" s="31">
        <f t="shared" ref="M91" si="563">IF(OR(LEN(L91)=0,L91=0),"",L91-L90)</f>
        <v>0.89999999999999858</v>
      </c>
      <c r="N91" s="15">
        <f>운전실적_원본!H91</f>
        <v>41633</v>
      </c>
      <c r="O91" s="16">
        <f t="shared" ref="O91" si="564">IF(OR(LEN(N91)=0,N91=0),"",N91-N90)</f>
        <v>126</v>
      </c>
      <c r="P91" s="15">
        <f>운전실적_원본!I91</f>
        <v>26599</v>
      </c>
      <c r="Q91" s="16">
        <f t="shared" ref="Q91" si="565">IF(OR(LEN(P91)=0,P91=0),"",P91-P90)</f>
        <v>151</v>
      </c>
      <c r="R91" s="18">
        <f>운전실적_원본!J91</f>
        <v>34.020000000000003</v>
      </c>
      <c r="S91" s="19">
        <f t="shared" ref="S91" si="566">IF(OR(LEN(R91)=0,R91=0),"",R91-R90)</f>
        <v>5.0000000000004263E-2</v>
      </c>
      <c r="T91" s="18">
        <f>운전실적_원본!K91</f>
        <v>33.340000000000003</v>
      </c>
      <c r="U91" s="19">
        <f t="shared" si="306"/>
        <v>-8.9999999999996305E-2</v>
      </c>
      <c r="V91" s="12">
        <f>운전실적_원본!L91</f>
        <v>8658</v>
      </c>
      <c r="W91" s="16">
        <f t="shared" ref="W91" si="567">IF(OR(LEN(V91)=0,V91=0),"",V91-V90)</f>
        <v>755</v>
      </c>
      <c r="X91" s="10">
        <f>운전실적_원본!M91</f>
        <v>0</v>
      </c>
      <c r="Y91" s="10">
        <f>운전실적_원본!N91</f>
        <v>0</v>
      </c>
      <c r="Z91" s="10">
        <f>운전실적_원본!O91</f>
        <v>0</v>
      </c>
      <c r="AA91" s="10">
        <f>운전실적_원본!P91</f>
        <v>0</v>
      </c>
      <c r="AB91" s="10">
        <f>운전실적_원본!Q91</f>
        <v>0</v>
      </c>
      <c r="AC91" s="20">
        <f>운전실적_원본!R91</f>
        <v>0</v>
      </c>
      <c r="AD91" s="109">
        <f>운전실적_원본!S91</f>
        <v>0</v>
      </c>
      <c r="AE91" s="110">
        <f>운전실적_원본!T91</f>
        <v>0</v>
      </c>
      <c r="AF91" s="110">
        <f>운전실적_원본!U91</f>
        <v>0</v>
      </c>
      <c r="AG91" s="110">
        <f>운전실적_원본!V91</f>
        <v>0</v>
      </c>
      <c r="AH91" s="109">
        <f t="shared" si="460"/>
        <v>0</v>
      </c>
      <c r="AI91" s="110">
        <f t="shared" si="467"/>
        <v>0</v>
      </c>
      <c r="AJ91" s="110">
        <f>운전실적_원본!Y91</f>
        <v>0</v>
      </c>
      <c r="AK91" s="110">
        <f>운전실적_원본!Z91</f>
        <v>0</v>
      </c>
      <c r="AL91" s="106"/>
      <c r="AM91" s="105"/>
      <c r="AN91" s="105"/>
      <c r="AO91" s="105"/>
      <c r="AP91" s="105"/>
      <c r="AQ91" s="108"/>
      <c r="AR91" s="105"/>
      <c r="AS91" s="105"/>
      <c r="AT91" s="102"/>
      <c r="AU91" s="102"/>
      <c r="AV91" s="102"/>
      <c r="AW91" s="102"/>
      <c r="AX91" s="32">
        <f>운전실적_원본!W91</f>
        <v>0</v>
      </c>
      <c r="AY91" s="11">
        <f>운전실적_원본!X91</f>
        <v>0</v>
      </c>
      <c r="AZ91" s="11">
        <f>운전실적_원본!Y91</f>
        <v>0</v>
      </c>
      <c r="BA91" s="11">
        <f>운전실적_원본!Z91</f>
        <v>0</v>
      </c>
      <c r="BB91" s="11">
        <f>운전실적_원본!AA91</f>
        <v>0</v>
      </c>
      <c r="BC91" s="11">
        <f>운전실적_원본!AB91</f>
        <v>0</v>
      </c>
      <c r="BD91" s="32" t="str">
        <f t="shared" si="453"/>
        <v>-</v>
      </c>
      <c r="BE91" s="11" t="str">
        <f t="shared" si="461"/>
        <v>-</v>
      </c>
      <c r="BF91" s="11">
        <f>운전실적_원본!AE91</f>
        <v>0</v>
      </c>
      <c r="BG91" s="31">
        <f t="shared" si="454"/>
        <v>0</v>
      </c>
      <c r="BH91" s="241">
        <f>INDEX(연료전지_원본!$A$4:$KY$369,MATCH($A91,연료전지_원본!$A$4:$A$369,0),MATCH($BH$4,연료전지_원본!$A$4:$KY$4,0))</f>
        <v>0</v>
      </c>
      <c r="BI91" s="241">
        <f>INDEX(연료전지_원본!$A$4:$KY$369,MATCH($A91,연료전지_원본!$A$4:$A$369,0),MATCH($BI$4,연료전지_원본!$A$4:$KY$4,0))</f>
        <v>0</v>
      </c>
      <c r="BJ91" s="241">
        <f>INDEX(연료전지_원본!$A$4:$KY$369,MATCH($A91,연료전지_원본!$A$4:$A$369,0),MATCH($BJ$4,연료전지_원본!$A$4:$KY$4,0))</f>
        <v>0</v>
      </c>
      <c r="BK91" s="241">
        <f>INDEX(연료전지_원본!$A$4:$KY$369,MATCH($A91,연료전지_원본!$A$4:$A$369,0),MATCH($BK$4,연료전지_원본!$A$4:$KY$4,0))</f>
        <v>0</v>
      </c>
      <c r="BL91" s="241">
        <f>INDEX(연료전지_원본!$A$4:$KY$369,MATCH($A91,연료전지_원본!$A$4:$A$369,0),MATCH($BL$4,연료전지_원본!$A$4:$KY$4,0))</f>
        <v>0</v>
      </c>
      <c r="BM91" s="241">
        <f>INDEX(연료전지_원본!$A$4:$KY$369,MATCH($A91,연료전지_원본!$A$4:$A$369,0),MATCH($BM$4,연료전지_원본!$A$4:$KY$4,0))</f>
        <v>0</v>
      </c>
      <c r="BN91" s="241">
        <f>INDEX(연료전지_원본!$A$4:$KY$369,MATCH($A91,연료전지_원본!$A$4:$A$369,0),MATCH($BN$4,연료전지_원본!$A$4:$KY$4,0))</f>
        <v>0</v>
      </c>
      <c r="BO91" s="241">
        <f>INDEX(연료전지_원본!$A$4:$KY$369,MATCH($A91,연료전지_원본!$A$4:$A$369,0),MATCH($BO$4,연료전지_원본!$A$4:$KY$4,0))</f>
        <v>0</v>
      </c>
      <c r="BP91" s="241">
        <f>INDEX(연료전지_원본!$A$4:$KY$369,MATCH($A91,연료전지_원본!$A$4:$A$369,0),MATCH($BP$4,연료전지_원본!$A$4:$KY$4,0))</f>
        <v>0</v>
      </c>
      <c r="BQ91" s="241">
        <f>INDEX(연료전지_원본!$A$4:$KY$369,MATCH($A91,연료전지_원본!$A$4:$A$369,0),MATCH($BQ$4,연료전지_원본!$A$4:$KY$4,0))</f>
        <v>0</v>
      </c>
      <c r="BR91" s="241">
        <f>INDEX(연료전지_원본!$A$4:$KY$369,MATCH($A91,연료전지_원본!$A$4:$A$369,0),MATCH($BR$4,연료전지_원본!$A$4:$KY$4,0))</f>
        <v>0</v>
      </c>
      <c r="BS91" s="241">
        <f>INDEX(연료전지_원본!$A$4:$KY$369,MATCH($A91,연료전지_원본!$A$4:$A$369,0),MATCH($BS$4,연료전지_원본!$A$4:$KY$4,0))</f>
        <v>0</v>
      </c>
      <c r="BT91" s="241">
        <f>INDEX(연료전지_원본!$A$4:$KY$369,MATCH($A91,연료전지_원본!$A$4:$A$369,0),MATCH($BT$4,연료전지_원본!$A$4:$KY$4,0))</f>
        <v>0</v>
      </c>
      <c r="BU91" s="241">
        <f>INDEX(연료전지_원본!$A$4:$KY$369,MATCH($A91,연료전지_원본!$A$4:$A$369,0),MATCH($BU$4,연료전지_원본!$A$4:$KY$4,0))</f>
        <v>0</v>
      </c>
      <c r="BV91" s="241">
        <f>INDEX(연료전지_원본!$A$4:$KY$369,MATCH($A91,연료전지_원본!$A$4:$A$369,0),MATCH($BV$4,연료전지_원본!$A$4:$KY$4,0))</f>
        <v>0</v>
      </c>
      <c r="BW91" s="241">
        <f>INDEX(연료전지_원본!$A$4:$KY$369,MATCH($A91,연료전지_원본!$A$4:$A$369,0),MATCH($BW$4,연료전지_원본!$A$4:$KY$4,0))</f>
        <v>0</v>
      </c>
      <c r="BX91" s="241">
        <f>INDEX(연료전지_원본!$A$4:$KY$369,MATCH($A91,연료전지_원본!$A$4:$A$369,0),MATCH($BX$4,연료전지_원본!$A$4:$KY$4,0))</f>
        <v>0</v>
      </c>
      <c r="BY91" s="241">
        <f>INDEX(연료전지_원본!$A$4:$KY$369,MATCH($A91,연료전지_원본!$A$4:$A$369,0),MATCH($BY$4,연료전지_원본!$A$4:$KY$4,0))</f>
        <v>0</v>
      </c>
      <c r="BZ91" s="241">
        <f>INDEX(연료전지_원본!$A$4:$KY$369,MATCH($A91,연료전지_원본!$A$4:$A$369,0),MATCH($BZ$4,연료전지_원본!$A$4:$KY$4,0))</f>
        <v>0</v>
      </c>
      <c r="CA91" s="241">
        <f>INDEX(연료전지_원본!$A$4:$KY$369,MATCH($A91,연료전지_원본!$A$4:$A$369,0),MATCH($CA$4,연료전지_원본!$A$4:$KY$4,0))</f>
        <v>0</v>
      </c>
      <c r="CB91" s="241">
        <f>INDEX(연료전지_원본!$A$4:$KY$369,MATCH($A91,연료전지_원본!$A$4:$A$369,0),MATCH($CB$4,연료전지_원본!$A$4:$KY$4,0))</f>
        <v>0</v>
      </c>
      <c r="CC91" s="242">
        <f>INDEX(연료전지_원본!$A$4:$KY$369,MATCH($A91,연료전지_원본!$A$4:$A$369,0),MATCH($CC$4,연료전지_원본!$A$4:$KY$4,0))</f>
        <v>0</v>
      </c>
      <c r="CD91" s="250" t="e">
        <f>INDEX(연료전지_원본!$KB$4:$KX$369,MATCH($A91,연료전지_원본!$KB$4:$KB$369,0), MATCH(CD$4,연료전지_원본!$KB$4:$KX$4,0))*1000</f>
        <v>#N/A</v>
      </c>
      <c r="CE91" s="250" t="e">
        <f>INDEX(연료전지_원본!$KB$4:$KX$369,MATCH($A91,연료전지_원본!$KB$4:$KB$369,0), MATCH(CE$4,연료전지_원본!$KB$4:$KX$4,0))*1000</f>
        <v>#N/A</v>
      </c>
      <c r="CF91" s="250" t="e">
        <f>INDEX(연료전지_원본!$KB$4:$KX$369,MATCH($A91,연료전지_원본!$KB$4:$KB$369,0), MATCH(CF$4,연료전지_원본!$KB$4:$KX$4,0))*1000</f>
        <v>#N/A</v>
      </c>
      <c r="CG91" s="250" t="e">
        <f>INDEX(연료전지_원본!$KB$4:$KX$369,MATCH($A91,연료전지_원본!$KB$4:$KB$369,0), MATCH(CG$4,연료전지_원본!$KB$4:$KX$4,0))*1000</f>
        <v>#N/A</v>
      </c>
      <c r="CH91" s="250" t="e">
        <f>INDEX(연료전지_원본!$KB$4:$KX$369,MATCH($A91,연료전지_원본!$KB$4:$KB$369,0), MATCH(CH$4,연료전지_원본!$KB$4:$KX$4,0))*1000</f>
        <v>#N/A</v>
      </c>
      <c r="CI91" s="250" t="e">
        <f>INDEX(연료전지_원본!$KB$4:$KX$369,MATCH($A91,연료전지_원본!$KB$4:$KB$369,0), MATCH(CI$4,연료전지_원본!$KB$4:$KX$4,0))*1000</f>
        <v>#N/A</v>
      </c>
      <c r="CJ91" s="250" t="e">
        <f>INDEX(연료전지_원본!$KB$4:$KX$369,MATCH($A91,연료전지_원본!$KB$4:$KB$369,0), MATCH(CJ$4,연료전지_원본!$KB$4:$KX$4,0))*1000</f>
        <v>#N/A</v>
      </c>
      <c r="CK91" s="250" t="e">
        <f>INDEX(연료전지_원본!$KB$4:$KX$369,MATCH($A91,연료전지_원본!$KB$4:$KB$369,0), MATCH(CK$4,연료전지_원본!$KB$4:$KX$4,0))*1000</f>
        <v>#N/A</v>
      </c>
      <c r="CL91" s="250" t="e">
        <f>INDEX(연료전지_원본!$KB$4:$KX$369,MATCH($A91,연료전지_원본!$KB$4:$KB$369,0), MATCH(CL$4,연료전지_원본!$KB$4:$KX$4,0))*1000</f>
        <v>#N/A</v>
      </c>
      <c r="CM91" s="250" t="e">
        <f>INDEX(연료전지_원본!$KB$4:$KX$369,MATCH($A91,연료전지_원본!$KB$4:$KB$369,0), MATCH(CM$4,연료전지_원본!$KB$4:$KX$4,0))*1000</f>
        <v>#N/A</v>
      </c>
      <c r="CN91" s="250" t="e">
        <f>INDEX(연료전지_원본!$KB$4:$KX$369,MATCH($A91,연료전지_원본!$KB$4:$KB$369,0), MATCH(CN$4,연료전지_원본!$KB$4:$KX$4,0))*1000</f>
        <v>#N/A</v>
      </c>
      <c r="CO91" s="250" t="e">
        <f>INDEX(연료전지_원본!$KB$4:$KX$369,MATCH($A91,연료전지_원본!$KB$4:$KB$369,0), MATCH(CO$4,연료전지_원본!$KB$4:$KX$4,0))*1000</f>
        <v>#N/A</v>
      </c>
      <c r="CP91" s="250" t="e">
        <f>INDEX(연료전지_원본!$KB$4:$KX$369,MATCH($A91,연료전지_원본!$KB$4:$KB$369,0), MATCH(CP$4,연료전지_원본!$KB$4:$KX$4,0))*1000</f>
        <v>#N/A</v>
      </c>
      <c r="CQ91" s="250" t="e">
        <f>INDEX(연료전지_원본!$KB$4:$KX$369,MATCH($A91,연료전지_원본!$KB$4:$KB$369,0), MATCH(CQ$4,연료전지_원본!$KB$4:$KX$4,0))*1000</f>
        <v>#N/A</v>
      </c>
      <c r="CR91" s="250" t="e">
        <f>INDEX(연료전지_원본!$KB$4:$KX$369,MATCH($A91,연료전지_원본!$KB$4:$KB$369,0), MATCH(CR$4,연료전지_원본!$KB$4:$KX$4,0))*1000</f>
        <v>#N/A</v>
      </c>
      <c r="CS91" s="250" t="e">
        <f>INDEX(연료전지_원본!$KB$4:$KX$369,MATCH($A91,연료전지_원본!$KB$4:$KB$369,0), MATCH(CS$4,연료전지_원본!$KB$4:$KX$4,0))*1000</f>
        <v>#N/A</v>
      </c>
      <c r="CT91" s="250" t="e">
        <f>INDEX(연료전지_원본!$KB$4:$KX$369,MATCH($A91,연료전지_원본!$KB$4:$KB$369,0), MATCH(CT$4,연료전지_원본!$KB$4:$KX$4,0))*1000</f>
        <v>#N/A</v>
      </c>
      <c r="CU91" s="250" t="e">
        <f>INDEX(연료전지_원본!$KB$4:$KX$369,MATCH($A91,연료전지_원본!$KB$4:$KB$369,0), MATCH(CU$4,연료전지_원본!$KB$4:$KX$4,0))*1000</f>
        <v>#N/A</v>
      </c>
      <c r="CV91" s="250" t="e">
        <f>INDEX(연료전지_원본!$KB$4:$KX$369,MATCH($A91,연료전지_원본!$KB$4:$KB$369,0), MATCH(CV$4,연료전지_원본!$KB$4:$KX$4,0))*1000</f>
        <v>#N/A</v>
      </c>
      <c r="CW91" s="250" t="e">
        <f>INDEX(연료전지_원본!$KB$4:$KX$369,MATCH($A91,연료전지_원본!$KB$4:$KB$369,0), MATCH(CW$4,연료전지_원본!$KB$4:$KX$4,0))*1000</f>
        <v>#N/A</v>
      </c>
      <c r="CX91" s="250" t="e">
        <f>INDEX(연료전지_원본!$KB$4:$KX$369,MATCH($A91,연료전지_원본!$KB$4:$KB$369,0), MATCH(CX$4,연료전지_원본!$KB$4:$KX$4,0))*1000</f>
        <v>#N/A</v>
      </c>
      <c r="CY91" s="250" t="e">
        <f>INDEX(연료전지_원본!$KB$4:$KX$369,MATCH($A91,연료전지_원본!$KB$4:$KB$369,0), MATCH(CY$4,연료전지_원본!$KB$4:$KX$4,0))*1000</f>
        <v>#N/A</v>
      </c>
      <c r="DV91" s="30">
        <f t="shared" si="297"/>
        <v>0</v>
      </c>
    </row>
    <row r="92" spans="1:126">
      <c r="A92" s="6">
        <v>46109</v>
      </c>
      <c r="B92" s="15">
        <f>운전실적_원본!B92</f>
        <v>651.20000000000005</v>
      </c>
      <c r="C92" s="16">
        <f t="shared" si="298"/>
        <v>0</v>
      </c>
      <c r="D92" s="12">
        <f>운전실적_원본!C92</f>
        <v>250542</v>
      </c>
      <c r="E92" s="12">
        <f t="shared" si="299"/>
        <v>0</v>
      </c>
      <c r="F92" s="12">
        <f>운전실적_원본!D92</f>
        <v>241892</v>
      </c>
      <c r="G92" s="16">
        <f t="shared" si="300"/>
        <v>0</v>
      </c>
      <c r="H92" s="15">
        <f>운전실적_원본!E92</f>
        <v>17363.63</v>
      </c>
      <c r="I92" s="16">
        <f t="shared" si="301"/>
        <v>2.3100000000013097</v>
      </c>
      <c r="J92" s="15">
        <f>운전실적_원본!F92</f>
        <v>15548.93</v>
      </c>
      <c r="K92" s="16">
        <f t="shared" si="301"/>
        <v>1.25</v>
      </c>
      <c r="L92" s="32">
        <f>운전실적_원본!G92</f>
        <v>52.3</v>
      </c>
      <c r="M92" s="31">
        <f t="shared" ref="M92" si="568">IF(OR(LEN(L92)=0,L92=0),"",L92-L91)</f>
        <v>0.89999999999999858</v>
      </c>
      <c r="N92" s="15">
        <f>운전실적_원본!H92</f>
        <v>41758</v>
      </c>
      <c r="O92" s="16">
        <f t="shared" ref="O92" si="569">IF(OR(LEN(N92)=0,N92=0),"",N92-N91)</f>
        <v>125</v>
      </c>
      <c r="P92" s="15">
        <f>운전실적_원본!I92</f>
        <v>26620</v>
      </c>
      <c r="Q92" s="16">
        <f t="shared" ref="Q92" si="570">IF(OR(LEN(P92)=0,P92=0),"",P92-P91)</f>
        <v>21</v>
      </c>
      <c r="R92" s="18">
        <f>운전실적_원본!J92</f>
        <v>34.04</v>
      </c>
      <c r="S92" s="19">
        <f t="shared" ref="S92" si="571">IF(OR(LEN(R92)=0,R92=0),"",R92-R91)</f>
        <v>1.9999999999996021E-2</v>
      </c>
      <c r="T92" s="18">
        <f>운전실적_원본!K92</f>
        <v>33.31</v>
      </c>
      <c r="U92" s="19">
        <f t="shared" si="306"/>
        <v>-3.0000000000001137E-2</v>
      </c>
      <c r="V92" s="12">
        <f>운전실적_원본!L92</f>
        <v>8361</v>
      </c>
      <c r="W92" s="16">
        <f t="shared" ref="W92" si="572">IF(OR(LEN(V92)=0,V92=0),"",V92-V91)</f>
        <v>-297</v>
      </c>
      <c r="X92" s="10">
        <f>운전실적_원본!M92</f>
        <v>0</v>
      </c>
      <c r="Y92" s="10">
        <f>운전실적_원본!N92</f>
        <v>0</v>
      </c>
      <c r="Z92" s="10">
        <f>운전실적_원본!O92</f>
        <v>0</v>
      </c>
      <c r="AA92" s="10">
        <f>운전실적_원본!P92</f>
        <v>0</v>
      </c>
      <c r="AB92" s="10">
        <f>운전실적_원본!Q92</f>
        <v>0</v>
      </c>
      <c r="AC92" s="20">
        <f>운전실적_원본!R92</f>
        <v>0</v>
      </c>
      <c r="AD92" s="109">
        <f>운전실적_원본!S92</f>
        <v>0</v>
      </c>
      <c r="AE92" s="110">
        <f>운전실적_원본!T92</f>
        <v>0</v>
      </c>
      <c r="AF92" s="110">
        <f>운전실적_원본!U92</f>
        <v>0</v>
      </c>
      <c r="AG92" s="110">
        <f>운전실적_원본!V92</f>
        <v>0</v>
      </c>
      <c r="AH92" s="109">
        <f t="shared" si="460"/>
        <v>0</v>
      </c>
      <c r="AI92" s="110">
        <f t="shared" si="467"/>
        <v>0</v>
      </c>
      <c r="AJ92" s="110">
        <f>운전실적_원본!Y92</f>
        <v>0</v>
      </c>
      <c r="AK92" s="110">
        <f>운전실적_원본!Z92</f>
        <v>0</v>
      </c>
      <c r="AL92" s="106"/>
      <c r="AM92" s="105"/>
      <c r="AN92" s="105"/>
      <c r="AO92" s="105"/>
      <c r="AP92" s="105"/>
      <c r="AQ92" s="108"/>
      <c r="AR92" s="105"/>
      <c r="AS92" s="105"/>
      <c r="AT92" s="102"/>
      <c r="AU92" s="102"/>
      <c r="AV92" s="102"/>
      <c r="AW92" s="102"/>
      <c r="AX92" s="32">
        <f>운전실적_원본!W92</f>
        <v>0</v>
      </c>
      <c r="AY92" s="11">
        <f>운전실적_원본!X92</f>
        <v>0</v>
      </c>
      <c r="AZ92" s="11">
        <f>운전실적_원본!Y92</f>
        <v>0</v>
      </c>
      <c r="BA92" s="11">
        <f>운전실적_원본!Z92</f>
        <v>0</v>
      </c>
      <c r="BB92" s="11">
        <f>운전실적_원본!AA92</f>
        <v>0</v>
      </c>
      <c r="BC92" s="11">
        <f>운전실적_원본!AB92</f>
        <v>0</v>
      </c>
      <c r="BD92" s="32" t="str">
        <f t="shared" si="453"/>
        <v>-</v>
      </c>
      <c r="BE92" s="11" t="str">
        <f t="shared" si="461"/>
        <v>-</v>
      </c>
      <c r="BF92" s="11">
        <f>운전실적_원본!AE92</f>
        <v>0</v>
      </c>
      <c r="BG92" s="31">
        <f t="shared" si="454"/>
        <v>0</v>
      </c>
      <c r="BH92" s="241">
        <f>INDEX(연료전지_원본!$A$4:$KY$369,MATCH($A92,연료전지_원본!$A$4:$A$369,0),MATCH($BH$4,연료전지_원본!$A$4:$KY$4,0))</f>
        <v>0</v>
      </c>
      <c r="BI92" s="241">
        <f>INDEX(연료전지_원본!$A$4:$KY$369,MATCH($A92,연료전지_원본!$A$4:$A$369,0),MATCH($BI$4,연료전지_원본!$A$4:$KY$4,0))</f>
        <v>0</v>
      </c>
      <c r="BJ92" s="241">
        <f>INDEX(연료전지_원본!$A$4:$KY$369,MATCH($A92,연료전지_원본!$A$4:$A$369,0),MATCH($BJ$4,연료전지_원본!$A$4:$KY$4,0))</f>
        <v>0</v>
      </c>
      <c r="BK92" s="241">
        <f>INDEX(연료전지_원본!$A$4:$KY$369,MATCH($A92,연료전지_원본!$A$4:$A$369,0),MATCH($BK$4,연료전지_원본!$A$4:$KY$4,0))</f>
        <v>0</v>
      </c>
      <c r="BL92" s="241">
        <f>INDEX(연료전지_원본!$A$4:$KY$369,MATCH($A92,연료전지_원본!$A$4:$A$369,0),MATCH($BL$4,연료전지_원본!$A$4:$KY$4,0))</f>
        <v>0</v>
      </c>
      <c r="BM92" s="241">
        <f>INDEX(연료전지_원본!$A$4:$KY$369,MATCH($A92,연료전지_원본!$A$4:$A$369,0),MATCH($BM$4,연료전지_원본!$A$4:$KY$4,0))</f>
        <v>0</v>
      </c>
      <c r="BN92" s="241">
        <f>INDEX(연료전지_원본!$A$4:$KY$369,MATCH($A92,연료전지_원본!$A$4:$A$369,0),MATCH($BN$4,연료전지_원본!$A$4:$KY$4,0))</f>
        <v>0</v>
      </c>
      <c r="BO92" s="241">
        <f>INDEX(연료전지_원본!$A$4:$KY$369,MATCH($A92,연료전지_원본!$A$4:$A$369,0),MATCH($BO$4,연료전지_원본!$A$4:$KY$4,0))</f>
        <v>0</v>
      </c>
      <c r="BP92" s="241">
        <f>INDEX(연료전지_원본!$A$4:$KY$369,MATCH($A92,연료전지_원본!$A$4:$A$369,0),MATCH($BP$4,연료전지_원본!$A$4:$KY$4,0))</f>
        <v>0</v>
      </c>
      <c r="BQ92" s="241">
        <f>INDEX(연료전지_원본!$A$4:$KY$369,MATCH($A92,연료전지_원본!$A$4:$A$369,0),MATCH($BQ$4,연료전지_원본!$A$4:$KY$4,0))</f>
        <v>0</v>
      </c>
      <c r="BR92" s="241">
        <f>INDEX(연료전지_원본!$A$4:$KY$369,MATCH($A92,연료전지_원본!$A$4:$A$369,0),MATCH($BR$4,연료전지_원본!$A$4:$KY$4,0))</f>
        <v>0</v>
      </c>
      <c r="BS92" s="241">
        <f>INDEX(연료전지_원본!$A$4:$KY$369,MATCH($A92,연료전지_원본!$A$4:$A$369,0),MATCH($BS$4,연료전지_원본!$A$4:$KY$4,0))</f>
        <v>0</v>
      </c>
      <c r="BT92" s="241">
        <f>INDEX(연료전지_원본!$A$4:$KY$369,MATCH($A92,연료전지_원본!$A$4:$A$369,0),MATCH($BT$4,연료전지_원본!$A$4:$KY$4,0))</f>
        <v>0</v>
      </c>
      <c r="BU92" s="241">
        <f>INDEX(연료전지_원본!$A$4:$KY$369,MATCH($A92,연료전지_원본!$A$4:$A$369,0),MATCH($BU$4,연료전지_원본!$A$4:$KY$4,0))</f>
        <v>0</v>
      </c>
      <c r="BV92" s="241">
        <f>INDEX(연료전지_원본!$A$4:$KY$369,MATCH($A92,연료전지_원본!$A$4:$A$369,0),MATCH($BV$4,연료전지_원본!$A$4:$KY$4,0))</f>
        <v>0</v>
      </c>
      <c r="BW92" s="241">
        <f>INDEX(연료전지_원본!$A$4:$KY$369,MATCH($A92,연료전지_원본!$A$4:$A$369,0),MATCH($BW$4,연료전지_원본!$A$4:$KY$4,0))</f>
        <v>0</v>
      </c>
      <c r="BX92" s="241">
        <f>INDEX(연료전지_원본!$A$4:$KY$369,MATCH($A92,연료전지_원본!$A$4:$A$369,0),MATCH($BX$4,연료전지_원본!$A$4:$KY$4,0))</f>
        <v>0</v>
      </c>
      <c r="BY92" s="241">
        <f>INDEX(연료전지_원본!$A$4:$KY$369,MATCH($A92,연료전지_원본!$A$4:$A$369,0),MATCH($BY$4,연료전지_원본!$A$4:$KY$4,0))</f>
        <v>0</v>
      </c>
      <c r="BZ92" s="241">
        <f>INDEX(연료전지_원본!$A$4:$KY$369,MATCH($A92,연료전지_원본!$A$4:$A$369,0),MATCH($BZ$4,연료전지_원본!$A$4:$KY$4,0))</f>
        <v>0</v>
      </c>
      <c r="CA92" s="241">
        <f>INDEX(연료전지_원본!$A$4:$KY$369,MATCH($A92,연료전지_원본!$A$4:$A$369,0),MATCH($CA$4,연료전지_원본!$A$4:$KY$4,0))</f>
        <v>0</v>
      </c>
      <c r="CB92" s="241">
        <f>INDEX(연료전지_원본!$A$4:$KY$369,MATCH($A92,연료전지_원본!$A$4:$A$369,0),MATCH($CB$4,연료전지_원본!$A$4:$KY$4,0))</f>
        <v>0</v>
      </c>
      <c r="CC92" s="242">
        <f>INDEX(연료전지_원본!$A$4:$KY$369,MATCH($A92,연료전지_원본!$A$4:$A$369,0),MATCH($CC$4,연료전지_원본!$A$4:$KY$4,0))</f>
        <v>0</v>
      </c>
      <c r="CD92" s="250" t="e">
        <f>INDEX(연료전지_원본!$KB$4:$KX$369,MATCH($A92,연료전지_원본!$KB$4:$KB$369,0), MATCH(CD$4,연료전지_원본!$KB$4:$KX$4,0))*1000</f>
        <v>#N/A</v>
      </c>
      <c r="CE92" s="250" t="e">
        <f>INDEX(연료전지_원본!$KB$4:$KX$369,MATCH($A92,연료전지_원본!$KB$4:$KB$369,0), MATCH(CE$4,연료전지_원본!$KB$4:$KX$4,0))*1000</f>
        <v>#N/A</v>
      </c>
      <c r="CF92" s="250" t="e">
        <f>INDEX(연료전지_원본!$KB$4:$KX$369,MATCH($A92,연료전지_원본!$KB$4:$KB$369,0), MATCH(CF$4,연료전지_원본!$KB$4:$KX$4,0))*1000</f>
        <v>#N/A</v>
      </c>
      <c r="CG92" s="250" t="e">
        <f>INDEX(연료전지_원본!$KB$4:$KX$369,MATCH($A92,연료전지_원본!$KB$4:$KB$369,0), MATCH(CG$4,연료전지_원본!$KB$4:$KX$4,0))*1000</f>
        <v>#N/A</v>
      </c>
      <c r="CH92" s="250" t="e">
        <f>INDEX(연료전지_원본!$KB$4:$KX$369,MATCH($A92,연료전지_원본!$KB$4:$KB$369,0), MATCH(CH$4,연료전지_원본!$KB$4:$KX$4,0))*1000</f>
        <v>#N/A</v>
      </c>
      <c r="CI92" s="250" t="e">
        <f>INDEX(연료전지_원본!$KB$4:$KX$369,MATCH($A92,연료전지_원본!$KB$4:$KB$369,0), MATCH(CI$4,연료전지_원본!$KB$4:$KX$4,0))*1000</f>
        <v>#N/A</v>
      </c>
      <c r="CJ92" s="250" t="e">
        <f>INDEX(연료전지_원본!$KB$4:$KX$369,MATCH($A92,연료전지_원본!$KB$4:$KB$369,0), MATCH(CJ$4,연료전지_원본!$KB$4:$KX$4,0))*1000</f>
        <v>#N/A</v>
      </c>
      <c r="CK92" s="250" t="e">
        <f>INDEX(연료전지_원본!$KB$4:$KX$369,MATCH($A92,연료전지_원본!$KB$4:$KB$369,0), MATCH(CK$4,연료전지_원본!$KB$4:$KX$4,0))*1000</f>
        <v>#N/A</v>
      </c>
      <c r="CL92" s="250" t="e">
        <f>INDEX(연료전지_원본!$KB$4:$KX$369,MATCH($A92,연료전지_원본!$KB$4:$KB$369,0), MATCH(CL$4,연료전지_원본!$KB$4:$KX$4,0))*1000</f>
        <v>#N/A</v>
      </c>
      <c r="CM92" s="250" t="e">
        <f>INDEX(연료전지_원본!$KB$4:$KX$369,MATCH($A92,연료전지_원본!$KB$4:$KB$369,0), MATCH(CM$4,연료전지_원본!$KB$4:$KX$4,0))*1000</f>
        <v>#N/A</v>
      </c>
      <c r="CN92" s="250" t="e">
        <f>INDEX(연료전지_원본!$KB$4:$KX$369,MATCH($A92,연료전지_원본!$KB$4:$KB$369,0), MATCH(CN$4,연료전지_원본!$KB$4:$KX$4,0))*1000</f>
        <v>#N/A</v>
      </c>
      <c r="CO92" s="250" t="e">
        <f>INDEX(연료전지_원본!$KB$4:$KX$369,MATCH($A92,연료전지_원본!$KB$4:$KB$369,0), MATCH(CO$4,연료전지_원본!$KB$4:$KX$4,0))*1000</f>
        <v>#N/A</v>
      </c>
      <c r="CP92" s="250" t="e">
        <f>INDEX(연료전지_원본!$KB$4:$KX$369,MATCH($A92,연료전지_원본!$KB$4:$KB$369,0), MATCH(CP$4,연료전지_원본!$KB$4:$KX$4,0))*1000</f>
        <v>#N/A</v>
      </c>
      <c r="CQ92" s="250" t="e">
        <f>INDEX(연료전지_원본!$KB$4:$KX$369,MATCH($A92,연료전지_원본!$KB$4:$KB$369,0), MATCH(CQ$4,연료전지_원본!$KB$4:$KX$4,0))*1000</f>
        <v>#N/A</v>
      </c>
      <c r="CR92" s="250" t="e">
        <f>INDEX(연료전지_원본!$KB$4:$KX$369,MATCH($A92,연료전지_원본!$KB$4:$KB$369,0), MATCH(CR$4,연료전지_원본!$KB$4:$KX$4,0))*1000</f>
        <v>#N/A</v>
      </c>
      <c r="CS92" s="250" t="e">
        <f>INDEX(연료전지_원본!$KB$4:$KX$369,MATCH($A92,연료전지_원본!$KB$4:$KB$369,0), MATCH(CS$4,연료전지_원본!$KB$4:$KX$4,0))*1000</f>
        <v>#N/A</v>
      </c>
      <c r="CT92" s="250" t="e">
        <f>INDEX(연료전지_원본!$KB$4:$KX$369,MATCH($A92,연료전지_원본!$KB$4:$KB$369,0), MATCH(CT$4,연료전지_원본!$KB$4:$KX$4,0))*1000</f>
        <v>#N/A</v>
      </c>
      <c r="CU92" s="250" t="e">
        <f>INDEX(연료전지_원본!$KB$4:$KX$369,MATCH($A92,연료전지_원본!$KB$4:$KB$369,0), MATCH(CU$4,연료전지_원본!$KB$4:$KX$4,0))*1000</f>
        <v>#N/A</v>
      </c>
      <c r="CV92" s="250" t="e">
        <f>INDEX(연료전지_원본!$KB$4:$KX$369,MATCH($A92,연료전지_원본!$KB$4:$KB$369,0), MATCH(CV$4,연료전지_원본!$KB$4:$KX$4,0))*1000</f>
        <v>#N/A</v>
      </c>
      <c r="CW92" s="250" t="e">
        <f>INDEX(연료전지_원본!$KB$4:$KX$369,MATCH($A92,연료전지_원본!$KB$4:$KB$369,0), MATCH(CW$4,연료전지_원본!$KB$4:$KX$4,0))*1000</f>
        <v>#N/A</v>
      </c>
      <c r="CX92" s="250" t="e">
        <f>INDEX(연료전지_원본!$KB$4:$KX$369,MATCH($A92,연료전지_원본!$KB$4:$KB$369,0), MATCH(CX$4,연료전지_원본!$KB$4:$KX$4,0))*1000</f>
        <v>#N/A</v>
      </c>
      <c r="CY92" s="250" t="e">
        <f>INDEX(연료전지_원본!$KB$4:$KX$369,MATCH($A92,연료전지_원본!$KB$4:$KB$369,0), MATCH(CY$4,연료전지_원본!$KB$4:$KX$4,0))*1000</f>
        <v>#N/A</v>
      </c>
      <c r="DV92" s="30">
        <f t="shared" si="297"/>
        <v>0</v>
      </c>
    </row>
    <row r="93" spans="1:126">
      <c r="A93" s="6">
        <v>46110</v>
      </c>
      <c r="B93" s="15">
        <f>운전실적_원본!B93</f>
        <v>651.20000000000005</v>
      </c>
      <c r="C93" s="16">
        <f t="shared" si="298"/>
        <v>0</v>
      </c>
      <c r="D93" s="12">
        <f>운전실적_원본!C93</f>
        <v>250542</v>
      </c>
      <c r="E93" s="12">
        <f t="shared" si="299"/>
        <v>0</v>
      </c>
      <c r="F93" s="12">
        <f>운전실적_원본!D93</f>
        <v>241892</v>
      </c>
      <c r="G93" s="16">
        <f t="shared" si="300"/>
        <v>0</v>
      </c>
      <c r="H93" s="15">
        <f>운전실적_원본!E93</f>
        <v>17365.37</v>
      </c>
      <c r="I93" s="16">
        <f t="shared" si="301"/>
        <v>1.7399999999979627</v>
      </c>
      <c r="J93" s="15">
        <f>운전실적_원본!F93</f>
        <v>15550.31</v>
      </c>
      <c r="K93" s="16">
        <f t="shared" si="301"/>
        <v>1.3799999999991996</v>
      </c>
      <c r="L93" s="32">
        <f>운전실적_원본!G93</f>
        <v>52.8</v>
      </c>
      <c r="M93" s="31">
        <f t="shared" ref="M93" si="573">IF(OR(LEN(L93)=0,L93=0),"",L93-L92)</f>
        <v>0.5</v>
      </c>
      <c r="N93" s="15">
        <f>운전실적_원본!H93</f>
        <v>41786</v>
      </c>
      <c r="O93" s="16">
        <f t="shared" ref="O93" si="574">IF(OR(LEN(N93)=0,N93=0),"",N93-N92)</f>
        <v>28</v>
      </c>
      <c r="P93" s="15">
        <f>운전실적_원본!I93</f>
        <v>26640</v>
      </c>
      <c r="Q93" s="16">
        <f t="shared" ref="Q93" si="575">IF(OR(LEN(P93)=0,P93=0),"",P93-P92)</f>
        <v>20</v>
      </c>
      <c r="R93" s="18">
        <f>운전실적_원본!J93</f>
        <v>34.06</v>
      </c>
      <c r="S93" s="19">
        <f t="shared" ref="S93" si="576">IF(OR(LEN(R93)=0,R93=0),"",R93-R92)</f>
        <v>2.0000000000003126E-2</v>
      </c>
      <c r="T93" s="18">
        <f>운전실적_원본!K93</f>
        <v>33.299999999999997</v>
      </c>
      <c r="U93" s="19">
        <f t="shared" si="306"/>
        <v>-1.0000000000005116E-2</v>
      </c>
      <c r="V93" s="12">
        <f>운전실적_원본!L93</f>
        <v>7833</v>
      </c>
      <c r="W93" s="16">
        <f t="shared" ref="W93" si="577">IF(OR(LEN(V93)=0,V93=0),"",V93-V92)</f>
        <v>-528</v>
      </c>
      <c r="X93" s="10">
        <f>운전실적_원본!M93</f>
        <v>0</v>
      </c>
      <c r="Y93" s="10">
        <f>운전실적_원본!N93</f>
        <v>0</v>
      </c>
      <c r="Z93" s="10">
        <f>운전실적_원본!O93</f>
        <v>0</v>
      </c>
      <c r="AA93" s="10">
        <f>운전실적_원본!P93</f>
        <v>0</v>
      </c>
      <c r="AB93" s="10">
        <f>운전실적_원본!Q93</f>
        <v>0</v>
      </c>
      <c r="AC93" s="20">
        <f>운전실적_원본!R93</f>
        <v>0</v>
      </c>
      <c r="AD93" s="109">
        <f>운전실적_원본!S93</f>
        <v>0</v>
      </c>
      <c r="AE93" s="110">
        <f>운전실적_원본!T93</f>
        <v>0</v>
      </c>
      <c r="AF93" s="110">
        <f>운전실적_원본!U93</f>
        <v>0</v>
      </c>
      <c r="AG93" s="110">
        <f>운전실적_원본!V93</f>
        <v>0</v>
      </c>
      <c r="AH93" s="109">
        <f t="shared" si="460"/>
        <v>0</v>
      </c>
      <c r="AI93" s="110">
        <f t="shared" si="467"/>
        <v>0</v>
      </c>
      <c r="AJ93" s="110">
        <f>운전실적_원본!Y93</f>
        <v>0</v>
      </c>
      <c r="AK93" s="110">
        <f>운전실적_원본!Z93</f>
        <v>0</v>
      </c>
      <c r="AL93" s="106"/>
      <c r="AM93" s="105"/>
      <c r="AN93" s="105"/>
      <c r="AO93" s="105"/>
      <c r="AP93" s="105"/>
      <c r="AQ93" s="108"/>
      <c r="AR93" s="105"/>
      <c r="AS93" s="105"/>
      <c r="AT93" s="102"/>
      <c r="AU93" s="102"/>
      <c r="AV93" s="102"/>
      <c r="AW93" s="102"/>
      <c r="AX93" s="32">
        <f>운전실적_원본!W93</f>
        <v>0</v>
      </c>
      <c r="AY93" s="11">
        <f>운전실적_원본!X93</f>
        <v>0</v>
      </c>
      <c r="AZ93" s="11">
        <f>운전실적_원본!Y93</f>
        <v>0</v>
      </c>
      <c r="BA93" s="11">
        <f>운전실적_원본!Z93</f>
        <v>0</v>
      </c>
      <c r="BB93" s="11">
        <f>운전실적_원본!AA93</f>
        <v>0</v>
      </c>
      <c r="BC93" s="11">
        <f>운전실적_원본!AB93</f>
        <v>0</v>
      </c>
      <c r="BD93" s="32" t="str">
        <f t="shared" si="453"/>
        <v>-</v>
      </c>
      <c r="BE93" s="11" t="str">
        <f t="shared" si="461"/>
        <v>-</v>
      </c>
      <c r="BF93" s="11">
        <f>운전실적_원본!AE93</f>
        <v>0</v>
      </c>
      <c r="BG93" s="31">
        <f t="shared" si="454"/>
        <v>0</v>
      </c>
      <c r="BH93" s="241">
        <f>INDEX(연료전지_원본!$A$4:$KY$369,MATCH($A93,연료전지_원본!$A$4:$A$369,0),MATCH($BH$4,연료전지_원본!$A$4:$KY$4,0))</f>
        <v>0</v>
      </c>
      <c r="BI93" s="241">
        <f>INDEX(연료전지_원본!$A$4:$KY$369,MATCH($A93,연료전지_원본!$A$4:$A$369,0),MATCH($BI$4,연료전지_원본!$A$4:$KY$4,0))</f>
        <v>0</v>
      </c>
      <c r="BJ93" s="241">
        <f>INDEX(연료전지_원본!$A$4:$KY$369,MATCH($A93,연료전지_원본!$A$4:$A$369,0),MATCH($BJ$4,연료전지_원본!$A$4:$KY$4,0))</f>
        <v>0</v>
      </c>
      <c r="BK93" s="241">
        <f>INDEX(연료전지_원본!$A$4:$KY$369,MATCH($A93,연료전지_원본!$A$4:$A$369,0),MATCH($BK$4,연료전지_원본!$A$4:$KY$4,0))</f>
        <v>0</v>
      </c>
      <c r="BL93" s="241">
        <f>INDEX(연료전지_원본!$A$4:$KY$369,MATCH($A93,연료전지_원본!$A$4:$A$369,0),MATCH($BL$4,연료전지_원본!$A$4:$KY$4,0))</f>
        <v>0</v>
      </c>
      <c r="BM93" s="241">
        <f>INDEX(연료전지_원본!$A$4:$KY$369,MATCH($A93,연료전지_원본!$A$4:$A$369,0),MATCH($BM$4,연료전지_원본!$A$4:$KY$4,0))</f>
        <v>0</v>
      </c>
      <c r="BN93" s="241">
        <f>INDEX(연료전지_원본!$A$4:$KY$369,MATCH($A93,연료전지_원본!$A$4:$A$369,0),MATCH($BN$4,연료전지_원본!$A$4:$KY$4,0))</f>
        <v>0</v>
      </c>
      <c r="BO93" s="241">
        <f>INDEX(연료전지_원본!$A$4:$KY$369,MATCH($A93,연료전지_원본!$A$4:$A$369,0),MATCH($BO$4,연료전지_원본!$A$4:$KY$4,0))</f>
        <v>0</v>
      </c>
      <c r="BP93" s="241">
        <f>INDEX(연료전지_원본!$A$4:$KY$369,MATCH($A93,연료전지_원본!$A$4:$A$369,0),MATCH($BP$4,연료전지_원본!$A$4:$KY$4,0))</f>
        <v>0</v>
      </c>
      <c r="BQ93" s="241">
        <f>INDEX(연료전지_원본!$A$4:$KY$369,MATCH($A93,연료전지_원본!$A$4:$A$369,0),MATCH($BQ$4,연료전지_원본!$A$4:$KY$4,0))</f>
        <v>0</v>
      </c>
      <c r="BR93" s="241">
        <f>INDEX(연료전지_원본!$A$4:$KY$369,MATCH($A93,연료전지_원본!$A$4:$A$369,0),MATCH($BR$4,연료전지_원본!$A$4:$KY$4,0))</f>
        <v>0</v>
      </c>
      <c r="BS93" s="241">
        <f>INDEX(연료전지_원본!$A$4:$KY$369,MATCH($A93,연료전지_원본!$A$4:$A$369,0),MATCH($BS$4,연료전지_원본!$A$4:$KY$4,0))</f>
        <v>0</v>
      </c>
      <c r="BT93" s="241">
        <f>INDEX(연료전지_원본!$A$4:$KY$369,MATCH($A93,연료전지_원본!$A$4:$A$369,0),MATCH($BT$4,연료전지_원본!$A$4:$KY$4,0))</f>
        <v>0</v>
      </c>
      <c r="BU93" s="241">
        <f>INDEX(연료전지_원본!$A$4:$KY$369,MATCH($A93,연료전지_원본!$A$4:$A$369,0),MATCH($BU$4,연료전지_원본!$A$4:$KY$4,0))</f>
        <v>0</v>
      </c>
      <c r="BV93" s="241">
        <f>INDEX(연료전지_원본!$A$4:$KY$369,MATCH($A93,연료전지_원본!$A$4:$A$369,0),MATCH($BV$4,연료전지_원본!$A$4:$KY$4,0))</f>
        <v>0</v>
      </c>
      <c r="BW93" s="241">
        <f>INDEX(연료전지_원본!$A$4:$KY$369,MATCH($A93,연료전지_원본!$A$4:$A$369,0),MATCH($BW$4,연료전지_원본!$A$4:$KY$4,0))</f>
        <v>0</v>
      </c>
      <c r="BX93" s="241">
        <f>INDEX(연료전지_원본!$A$4:$KY$369,MATCH($A93,연료전지_원본!$A$4:$A$369,0),MATCH($BX$4,연료전지_원본!$A$4:$KY$4,0))</f>
        <v>0</v>
      </c>
      <c r="BY93" s="241">
        <f>INDEX(연료전지_원본!$A$4:$KY$369,MATCH($A93,연료전지_원본!$A$4:$A$369,0),MATCH($BY$4,연료전지_원본!$A$4:$KY$4,0))</f>
        <v>0</v>
      </c>
      <c r="BZ93" s="241">
        <f>INDEX(연료전지_원본!$A$4:$KY$369,MATCH($A93,연료전지_원본!$A$4:$A$369,0),MATCH($BZ$4,연료전지_원본!$A$4:$KY$4,0))</f>
        <v>0</v>
      </c>
      <c r="CA93" s="241">
        <f>INDEX(연료전지_원본!$A$4:$KY$369,MATCH($A93,연료전지_원본!$A$4:$A$369,0),MATCH($CA$4,연료전지_원본!$A$4:$KY$4,0))</f>
        <v>0</v>
      </c>
      <c r="CB93" s="241">
        <f>INDEX(연료전지_원본!$A$4:$KY$369,MATCH($A93,연료전지_원본!$A$4:$A$369,0),MATCH($CB$4,연료전지_원본!$A$4:$KY$4,0))</f>
        <v>0</v>
      </c>
      <c r="CC93" s="242">
        <f>INDEX(연료전지_원본!$A$4:$KY$369,MATCH($A93,연료전지_원본!$A$4:$A$369,0),MATCH($CC$4,연료전지_원본!$A$4:$KY$4,0))</f>
        <v>0</v>
      </c>
      <c r="CD93" s="250" t="e">
        <f>INDEX(연료전지_원본!$KB$4:$KX$369,MATCH($A93,연료전지_원본!$KB$4:$KB$369,0), MATCH(CD$4,연료전지_원본!$KB$4:$KX$4,0))*1000</f>
        <v>#N/A</v>
      </c>
      <c r="CE93" s="250" t="e">
        <f>INDEX(연료전지_원본!$KB$4:$KX$369,MATCH($A93,연료전지_원본!$KB$4:$KB$369,0), MATCH(CE$4,연료전지_원본!$KB$4:$KX$4,0))*1000</f>
        <v>#N/A</v>
      </c>
      <c r="CF93" s="250" t="e">
        <f>INDEX(연료전지_원본!$KB$4:$KX$369,MATCH($A93,연료전지_원본!$KB$4:$KB$369,0), MATCH(CF$4,연료전지_원본!$KB$4:$KX$4,0))*1000</f>
        <v>#N/A</v>
      </c>
      <c r="CG93" s="250" t="e">
        <f>INDEX(연료전지_원본!$KB$4:$KX$369,MATCH($A93,연료전지_원본!$KB$4:$KB$369,0), MATCH(CG$4,연료전지_원본!$KB$4:$KX$4,0))*1000</f>
        <v>#N/A</v>
      </c>
      <c r="CH93" s="250" t="e">
        <f>INDEX(연료전지_원본!$KB$4:$KX$369,MATCH($A93,연료전지_원본!$KB$4:$KB$369,0), MATCH(CH$4,연료전지_원본!$KB$4:$KX$4,0))*1000</f>
        <v>#N/A</v>
      </c>
      <c r="CI93" s="250" t="e">
        <f>INDEX(연료전지_원본!$KB$4:$KX$369,MATCH($A93,연료전지_원본!$KB$4:$KB$369,0), MATCH(CI$4,연료전지_원본!$KB$4:$KX$4,0))*1000</f>
        <v>#N/A</v>
      </c>
      <c r="CJ93" s="250" t="e">
        <f>INDEX(연료전지_원본!$KB$4:$KX$369,MATCH($A93,연료전지_원본!$KB$4:$KB$369,0), MATCH(CJ$4,연료전지_원본!$KB$4:$KX$4,0))*1000</f>
        <v>#N/A</v>
      </c>
      <c r="CK93" s="250" t="e">
        <f>INDEX(연료전지_원본!$KB$4:$KX$369,MATCH($A93,연료전지_원본!$KB$4:$KB$369,0), MATCH(CK$4,연료전지_원본!$KB$4:$KX$4,0))*1000</f>
        <v>#N/A</v>
      </c>
      <c r="CL93" s="250" t="e">
        <f>INDEX(연료전지_원본!$KB$4:$KX$369,MATCH($A93,연료전지_원본!$KB$4:$KB$369,0), MATCH(CL$4,연료전지_원본!$KB$4:$KX$4,0))*1000</f>
        <v>#N/A</v>
      </c>
      <c r="CM93" s="250" t="e">
        <f>INDEX(연료전지_원본!$KB$4:$KX$369,MATCH($A93,연료전지_원본!$KB$4:$KB$369,0), MATCH(CM$4,연료전지_원본!$KB$4:$KX$4,0))*1000</f>
        <v>#N/A</v>
      </c>
      <c r="CN93" s="250" t="e">
        <f>INDEX(연료전지_원본!$KB$4:$KX$369,MATCH($A93,연료전지_원본!$KB$4:$KB$369,0), MATCH(CN$4,연료전지_원본!$KB$4:$KX$4,0))*1000</f>
        <v>#N/A</v>
      </c>
      <c r="CO93" s="250" t="e">
        <f>INDEX(연료전지_원본!$KB$4:$KX$369,MATCH($A93,연료전지_원본!$KB$4:$KB$369,0), MATCH(CO$4,연료전지_원본!$KB$4:$KX$4,0))*1000</f>
        <v>#N/A</v>
      </c>
      <c r="CP93" s="250" t="e">
        <f>INDEX(연료전지_원본!$KB$4:$KX$369,MATCH($A93,연료전지_원본!$KB$4:$KB$369,0), MATCH(CP$4,연료전지_원본!$KB$4:$KX$4,0))*1000</f>
        <v>#N/A</v>
      </c>
      <c r="CQ93" s="250" t="e">
        <f>INDEX(연료전지_원본!$KB$4:$KX$369,MATCH($A93,연료전지_원본!$KB$4:$KB$369,0), MATCH(CQ$4,연료전지_원본!$KB$4:$KX$4,0))*1000</f>
        <v>#N/A</v>
      </c>
      <c r="CR93" s="250" t="e">
        <f>INDEX(연료전지_원본!$KB$4:$KX$369,MATCH($A93,연료전지_원본!$KB$4:$KB$369,0), MATCH(CR$4,연료전지_원본!$KB$4:$KX$4,0))*1000</f>
        <v>#N/A</v>
      </c>
      <c r="CS93" s="250" t="e">
        <f>INDEX(연료전지_원본!$KB$4:$KX$369,MATCH($A93,연료전지_원본!$KB$4:$KB$369,0), MATCH(CS$4,연료전지_원본!$KB$4:$KX$4,0))*1000</f>
        <v>#N/A</v>
      </c>
      <c r="CT93" s="250" t="e">
        <f>INDEX(연료전지_원본!$KB$4:$KX$369,MATCH($A93,연료전지_원본!$KB$4:$KB$369,0), MATCH(CT$4,연료전지_원본!$KB$4:$KX$4,0))*1000</f>
        <v>#N/A</v>
      </c>
      <c r="CU93" s="250" t="e">
        <f>INDEX(연료전지_원본!$KB$4:$KX$369,MATCH($A93,연료전지_원본!$KB$4:$KB$369,0), MATCH(CU$4,연료전지_원본!$KB$4:$KX$4,0))*1000</f>
        <v>#N/A</v>
      </c>
      <c r="CV93" s="250" t="e">
        <f>INDEX(연료전지_원본!$KB$4:$KX$369,MATCH($A93,연료전지_원본!$KB$4:$KB$369,0), MATCH(CV$4,연료전지_원본!$KB$4:$KX$4,0))*1000</f>
        <v>#N/A</v>
      </c>
      <c r="CW93" s="250" t="e">
        <f>INDEX(연료전지_원본!$KB$4:$KX$369,MATCH($A93,연료전지_원본!$KB$4:$KB$369,0), MATCH(CW$4,연료전지_원본!$KB$4:$KX$4,0))*1000</f>
        <v>#N/A</v>
      </c>
      <c r="CX93" s="250" t="e">
        <f>INDEX(연료전지_원본!$KB$4:$KX$369,MATCH($A93,연료전지_원본!$KB$4:$KB$369,0), MATCH(CX$4,연료전지_원본!$KB$4:$KX$4,0))*1000</f>
        <v>#N/A</v>
      </c>
      <c r="CY93" s="250" t="e">
        <f>INDEX(연료전지_원본!$KB$4:$KX$369,MATCH($A93,연료전지_원본!$KB$4:$KB$369,0), MATCH(CY$4,연료전지_원본!$KB$4:$KX$4,0))*1000</f>
        <v>#N/A</v>
      </c>
      <c r="DV93" s="30">
        <f t="shared" si="297"/>
        <v>0</v>
      </c>
    </row>
    <row r="94" spans="1:126">
      <c r="A94" s="6">
        <v>46111</v>
      </c>
      <c r="B94" s="15">
        <f>운전실적_원본!B94</f>
        <v>651.20000000000005</v>
      </c>
      <c r="C94" s="16">
        <f t="shared" si="298"/>
        <v>0</v>
      </c>
      <c r="D94" s="12">
        <f>운전실적_원본!C94</f>
        <v>250565</v>
      </c>
      <c r="E94" s="12">
        <f t="shared" si="299"/>
        <v>23</v>
      </c>
      <c r="F94" s="12">
        <f>운전실적_원본!D94</f>
        <v>241892</v>
      </c>
      <c r="G94" s="16">
        <f t="shared" si="300"/>
        <v>0</v>
      </c>
      <c r="H94" s="15">
        <f>운전실적_원본!E94</f>
        <v>17367.54</v>
      </c>
      <c r="I94" s="16">
        <f t="shared" si="301"/>
        <v>2.1700000000018917</v>
      </c>
      <c r="J94" s="15">
        <f>운전실적_원본!F94</f>
        <v>15551.04</v>
      </c>
      <c r="K94" s="16">
        <f t="shared" si="301"/>
        <v>0.73000000000138243</v>
      </c>
      <c r="L94" s="32">
        <f>운전실적_원본!G94</f>
        <v>53.2</v>
      </c>
      <c r="M94" s="31">
        <f t="shared" ref="M94" si="578">IF(OR(LEN(L94)=0,L94=0),"",L94-L93)</f>
        <v>0.40000000000000568</v>
      </c>
      <c r="N94" s="15">
        <f>운전실적_원본!H94</f>
        <v>41800</v>
      </c>
      <c r="O94" s="16">
        <f t="shared" ref="O94" si="579">IF(OR(LEN(N94)=0,N94=0),"",N94-N93)</f>
        <v>14</v>
      </c>
      <c r="P94" s="15">
        <f>운전실적_원본!I94</f>
        <v>26701</v>
      </c>
      <c r="Q94" s="16">
        <f t="shared" ref="Q94" si="580">IF(OR(LEN(P94)=0,P94=0),"",P94-P93)</f>
        <v>61</v>
      </c>
      <c r="R94" s="18">
        <f>운전실적_원본!J94</f>
        <v>33.99</v>
      </c>
      <c r="S94" s="19">
        <f t="shared" ref="S94" si="581">IF(OR(LEN(R94)=0,R94=0),"",R94-R93)</f>
        <v>-7.0000000000000284E-2</v>
      </c>
      <c r="T94" s="18">
        <f>운전실적_원본!K94</f>
        <v>33.35</v>
      </c>
      <c r="U94" s="19">
        <f t="shared" si="306"/>
        <v>5.0000000000004263E-2</v>
      </c>
      <c r="V94" s="12">
        <f>운전실적_원본!L94</f>
        <v>8456</v>
      </c>
      <c r="W94" s="16">
        <f t="shared" ref="W94" si="582">IF(OR(LEN(V94)=0,V94=0),"",V94-V93)</f>
        <v>623</v>
      </c>
      <c r="X94" s="10">
        <f>운전실적_원본!M94</f>
        <v>0</v>
      </c>
      <c r="Y94" s="10">
        <f>운전실적_원본!N94</f>
        <v>0</v>
      </c>
      <c r="Z94" s="10">
        <f>운전실적_원본!O94</f>
        <v>0</v>
      </c>
      <c r="AA94" s="10">
        <f>운전실적_원본!P94</f>
        <v>0</v>
      </c>
      <c r="AB94" s="10">
        <f>운전실적_원본!Q94</f>
        <v>0</v>
      </c>
      <c r="AC94" s="20">
        <f>운전실적_원본!R94</f>
        <v>0</v>
      </c>
      <c r="AD94" s="109">
        <f>운전실적_원본!S94</f>
        <v>0</v>
      </c>
      <c r="AE94" s="110">
        <f>운전실적_원본!T94</f>
        <v>0</v>
      </c>
      <c r="AF94" s="110">
        <f>운전실적_원본!U94</f>
        <v>0</v>
      </c>
      <c r="AG94" s="110">
        <f>운전실적_원본!V94</f>
        <v>0</v>
      </c>
      <c r="AH94" s="109">
        <f t="shared" si="460"/>
        <v>0</v>
      </c>
      <c r="AI94" s="110">
        <f t="shared" si="467"/>
        <v>0</v>
      </c>
      <c r="AJ94" s="110">
        <f>운전실적_원본!Y94</f>
        <v>0</v>
      </c>
      <c r="AK94" s="110">
        <f>운전실적_원본!Z94</f>
        <v>0</v>
      </c>
      <c r="AL94" s="106"/>
      <c r="AM94" s="105"/>
      <c r="AN94" s="105"/>
      <c r="AO94" s="105"/>
      <c r="AP94" s="105"/>
      <c r="AQ94" s="108"/>
      <c r="AR94" s="105"/>
      <c r="AS94" s="105"/>
      <c r="AT94" s="102"/>
      <c r="AU94" s="102"/>
      <c r="AV94" s="102"/>
      <c r="AW94" s="102"/>
      <c r="AX94" s="32">
        <f>운전실적_원본!W94</f>
        <v>0</v>
      </c>
      <c r="AY94" s="11">
        <f>운전실적_원본!X94</f>
        <v>0</v>
      </c>
      <c r="AZ94" s="11">
        <f>운전실적_원본!Y94</f>
        <v>0</v>
      </c>
      <c r="BA94" s="11">
        <f>운전실적_원본!Z94</f>
        <v>0</v>
      </c>
      <c r="BB94" s="11">
        <f>운전실적_원본!AA94</f>
        <v>0</v>
      </c>
      <c r="BC94" s="11">
        <f>운전실적_원본!AB94</f>
        <v>0</v>
      </c>
      <c r="BD94" s="32" t="str">
        <f t="shared" si="453"/>
        <v>-</v>
      </c>
      <c r="BE94" s="11" t="str">
        <f t="shared" si="461"/>
        <v>-</v>
      </c>
      <c r="BF94" s="11">
        <f>운전실적_원본!AE94</f>
        <v>0</v>
      </c>
      <c r="BG94" s="31">
        <f t="shared" si="454"/>
        <v>0</v>
      </c>
      <c r="BH94" s="241">
        <f>INDEX(연료전지_원본!$A$4:$KY$369,MATCH($A94,연료전지_원본!$A$4:$A$369,0),MATCH($BH$4,연료전지_원본!$A$4:$KY$4,0))</f>
        <v>0</v>
      </c>
      <c r="BI94" s="241">
        <f>INDEX(연료전지_원본!$A$4:$KY$369,MATCH($A94,연료전지_원본!$A$4:$A$369,0),MATCH($BI$4,연료전지_원본!$A$4:$KY$4,0))</f>
        <v>0</v>
      </c>
      <c r="BJ94" s="241">
        <f>INDEX(연료전지_원본!$A$4:$KY$369,MATCH($A94,연료전지_원본!$A$4:$A$369,0),MATCH($BJ$4,연료전지_원본!$A$4:$KY$4,0))</f>
        <v>0</v>
      </c>
      <c r="BK94" s="241">
        <f>INDEX(연료전지_원본!$A$4:$KY$369,MATCH($A94,연료전지_원본!$A$4:$A$369,0),MATCH($BK$4,연료전지_원본!$A$4:$KY$4,0))</f>
        <v>0</v>
      </c>
      <c r="BL94" s="241">
        <f>INDEX(연료전지_원본!$A$4:$KY$369,MATCH($A94,연료전지_원본!$A$4:$A$369,0),MATCH($BL$4,연료전지_원본!$A$4:$KY$4,0))</f>
        <v>0</v>
      </c>
      <c r="BM94" s="241">
        <f>INDEX(연료전지_원본!$A$4:$KY$369,MATCH($A94,연료전지_원본!$A$4:$A$369,0),MATCH($BM$4,연료전지_원본!$A$4:$KY$4,0))</f>
        <v>0</v>
      </c>
      <c r="BN94" s="241">
        <f>INDEX(연료전지_원본!$A$4:$KY$369,MATCH($A94,연료전지_원본!$A$4:$A$369,0),MATCH($BN$4,연료전지_원본!$A$4:$KY$4,0))</f>
        <v>0</v>
      </c>
      <c r="BO94" s="241">
        <f>INDEX(연료전지_원본!$A$4:$KY$369,MATCH($A94,연료전지_원본!$A$4:$A$369,0),MATCH($BO$4,연료전지_원본!$A$4:$KY$4,0))</f>
        <v>0</v>
      </c>
      <c r="BP94" s="241">
        <f>INDEX(연료전지_원본!$A$4:$KY$369,MATCH($A94,연료전지_원본!$A$4:$A$369,0),MATCH($BP$4,연료전지_원본!$A$4:$KY$4,0))</f>
        <v>0</v>
      </c>
      <c r="BQ94" s="241">
        <f>INDEX(연료전지_원본!$A$4:$KY$369,MATCH($A94,연료전지_원본!$A$4:$A$369,0),MATCH($BQ$4,연료전지_원본!$A$4:$KY$4,0))</f>
        <v>0</v>
      </c>
      <c r="BR94" s="241">
        <f>INDEX(연료전지_원본!$A$4:$KY$369,MATCH($A94,연료전지_원본!$A$4:$A$369,0),MATCH($BR$4,연료전지_원본!$A$4:$KY$4,0))</f>
        <v>0</v>
      </c>
      <c r="BS94" s="241">
        <f>INDEX(연료전지_원본!$A$4:$KY$369,MATCH($A94,연료전지_원본!$A$4:$A$369,0),MATCH($BS$4,연료전지_원본!$A$4:$KY$4,0))</f>
        <v>0</v>
      </c>
      <c r="BT94" s="241">
        <f>INDEX(연료전지_원본!$A$4:$KY$369,MATCH($A94,연료전지_원본!$A$4:$A$369,0),MATCH($BT$4,연료전지_원본!$A$4:$KY$4,0))</f>
        <v>0</v>
      </c>
      <c r="BU94" s="241">
        <f>INDEX(연료전지_원본!$A$4:$KY$369,MATCH($A94,연료전지_원본!$A$4:$A$369,0),MATCH($BU$4,연료전지_원본!$A$4:$KY$4,0))</f>
        <v>0</v>
      </c>
      <c r="BV94" s="241">
        <f>INDEX(연료전지_원본!$A$4:$KY$369,MATCH($A94,연료전지_원본!$A$4:$A$369,0),MATCH($BV$4,연료전지_원본!$A$4:$KY$4,0))</f>
        <v>0</v>
      </c>
      <c r="BW94" s="241">
        <f>INDEX(연료전지_원본!$A$4:$KY$369,MATCH($A94,연료전지_원본!$A$4:$A$369,0),MATCH($BW$4,연료전지_원본!$A$4:$KY$4,0))</f>
        <v>0</v>
      </c>
      <c r="BX94" s="241">
        <f>INDEX(연료전지_원본!$A$4:$KY$369,MATCH($A94,연료전지_원본!$A$4:$A$369,0),MATCH($BX$4,연료전지_원본!$A$4:$KY$4,0))</f>
        <v>0</v>
      </c>
      <c r="BY94" s="241">
        <f>INDEX(연료전지_원본!$A$4:$KY$369,MATCH($A94,연료전지_원본!$A$4:$A$369,0),MATCH($BY$4,연료전지_원본!$A$4:$KY$4,0))</f>
        <v>0</v>
      </c>
      <c r="BZ94" s="241">
        <f>INDEX(연료전지_원본!$A$4:$KY$369,MATCH($A94,연료전지_원본!$A$4:$A$369,0),MATCH($BZ$4,연료전지_원본!$A$4:$KY$4,0))</f>
        <v>0</v>
      </c>
      <c r="CA94" s="241">
        <f>INDEX(연료전지_원본!$A$4:$KY$369,MATCH($A94,연료전지_원본!$A$4:$A$369,0),MATCH($CA$4,연료전지_원본!$A$4:$KY$4,0))</f>
        <v>0</v>
      </c>
      <c r="CB94" s="241">
        <f>INDEX(연료전지_원본!$A$4:$KY$369,MATCH($A94,연료전지_원본!$A$4:$A$369,0),MATCH($CB$4,연료전지_원본!$A$4:$KY$4,0))</f>
        <v>0</v>
      </c>
      <c r="CC94" s="242">
        <f>INDEX(연료전지_원본!$A$4:$KY$369,MATCH($A94,연료전지_원본!$A$4:$A$369,0),MATCH($CC$4,연료전지_원본!$A$4:$KY$4,0))</f>
        <v>0</v>
      </c>
      <c r="CD94" s="250" t="e">
        <f>INDEX(연료전지_원본!$KB$4:$KX$369,MATCH($A94,연료전지_원본!$KB$4:$KB$369,0), MATCH(CD$4,연료전지_원본!$KB$4:$KX$4,0))*1000</f>
        <v>#N/A</v>
      </c>
      <c r="CE94" s="250" t="e">
        <f>INDEX(연료전지_원본!$KB$4:$KX$369,MATCH($A94,연료전지_원본!$KB$4:$KB$369,0), MATCH(CE$4,연료전지_원본!$KB$4:$KX$4,0))*1000</f>
        <v>#N/A</v>
      </c>
      <c r="CF94" s="250" t="e">
        <f>INDEX(연료전지_원본!$KB$4:$KX$369,MATCH($A94,연료전지_원본!$KB$4:$KB$369,0), MATCH(CF$4,연료전지_원본!$KB$4:$KX$4,0))*1000</f>
        <v>#N/A</v>
      </c>
      <c r="CG94" s="250" t="e">
        <f>INDEX(연료전지_원본!$KB$4:$KX$369,MATCH($A94,연료전지_원본!$KB$4:$KB$369,0), MATCH(CG$4,연료전지_원본!$KB$4:$KX$4,0))*1000</f>
        <v>#N/A</v>
      </c>
      <c r="CH94" s="250" t="e">
        <f>INDEX(연료전지_원본!$KB$4:$KX$369,MATCH($A94,연료전지_원본!$KB$4:$KB$369,0), MATCH(CH$4,연료전지_원본!$KB$4:$KX$4,0))*1000</f>
        <v>#N/A</v>
      </c>
      <c r="CI94" s="250" t="e">
        <f>INDEX(연료전지_원본!$KB$4:$KX$369,MATCH($A94,연료전지_원본!$KB$4:$KB$369,0), MATCH(CI$4,연료전지_원본!$KB$4:$KX$4,0))*1000</f>
        <v>#N/A</v>
      </c>
      <c r="CJ94" s="250" t="e">
        <f>INDEX(연료전지_원본!$KB$4:$KX$369,MATCH($A94,연료전지_원본!$KB$4:$KB$369,0), MATCH(CJ$4,연료전지_원본!$KB$4:$KX$4,0))*1000</f>
        <v>#N/A</v>
      </c>
      <c r="CK94" s="250" t="e">
        <f>INDEX(연료전지_원본!$KB$4:$KX$369,MATCH($A94,연료전지_원본!$KB$4:$KB$369,0), MATCH(CK$4,연료전지_원본!$KB$4:$KX$4,0))*1000</f>
        <v>#N/A</v>
      </c>
      <c r="CL94" s="250" t="e">
        <f>INDEX(연료전지_원본!$KB$4:$KX$369,MATCH($A94,연료전지_원본!$KB$4:$KB$369,0), MATCH(CL$4,연료전지_원본!$KB$4:$KX$4,0))*1000</f>
        <v>#N/A</v>
      </c>
      <c r="CM94" s="250" t="e">
        <f>INDEX(연료전지_원본!$KB$4:$KX$369,MATCH($A94,연료전지_원본!$KB$4:$KB$369,0), MATCH(CM$4,연료전지_원본!$KB$4:$KX$4,0))*1000</f>
        <v>#N/A</v>
      </c>
      <c r="CN94" s="250" t="e">
        <f>INDEX(연료전지_원본!$KB$4:$KX$369,MATCH($A94,연료전지_원본!$KB$4:$KB$369,0), MATCH(CN$4,연료전지_원본!$KB$4:$KX$4,0))*1000</f>
        <v>#N/A</v>
      </c>
      <c r="CO94" s="250" t="e">
        <f>INDEX(연료전지_원본!$KB$4:$KX$369,MATCH($A94,연료전지_원본!$KB$4:$KB$369,0), MATCH(CO$4,연료전지_원본!$KB$4:$KX$4,0))*1000</f>
        <v>#N/A</v>
      </c>
      <c r="CP94" s="250" t="e">
        <f>INDEX(연료전지_원본!$KB$4:$KX$369,MATCH($A94,연료전지_원본!$KB$4:$KB$369,0), MATCH(CP$4,연료전지_원본!$KB$4:$KX$4,0))*1000</f>
        <v>#N/A</v>
      </c>
      <c r="CQ94" s="250" t="e">
        <f>INDEX(연료전지_원본!$KB$4:$KX$369,MATCH($A94,연료전지_원본!$KB$4:$KB$369,0), MATCH(CQ$4,연료전지_원본!$KB$4:$KX$4,0))*1000</f>
        <v>#N/A</v>
      </c>
      <c r="CR94" s="250" t="e">
        <f>INDEX(연료전지_원본!$KB$4:$KX$369,MATCH($A94,연료전지_원본!$KB$4:$KB$369,0), MATCH(CR$4,연료전지_원본!$KB$4:$KX$4,0))*1000</f>
        <v>#N/A</v>
      </c>
      <c r="CS94" s="250" t="e">
        <f>INDEX(연료전지_원본!$KB$4:$KX$369,MATCH($A94,연료전지_원본!$KB$4:$KB$369,0), MATCH(CS$4,연료전지_원본!$KB$4:$KX$4,0))*1000</f>
        <v>#N/A</v>
      </c>
      <c r="CT94" s="250" t="e">
        <f>INDEX(연료전지_원본!$KB$4:$KX$369,MATCH($A94,연료전지_원본!$KB$4:$KB$369,0), MATCH(CT$4,연료전지_원본!$KB$4:$KX$4,0))*1000</f>
        <v>#N/A</v>
      </c>
      <c r="CU94" s="250" t="e">
        <f>INDEX(연료전지_원본!$KB$4:$KX$369,MATCH($A94,연료전지_원본!$KB$4:$KB$369,0), MATCH(CU$4,연료전지_원본!$KB$4:$KX$4,0))*1000</f>
        <v>#N/A</v>
      </c>
      <c r="CV94" s="250" t="e">
        <f>INDEX(연료전지_원본!$KB$4:$KX$369,MATCH($A94,연료전지_원본!$KB$4:$KB$369,0), MATCH(CV$4,연료전지_원본!$KB$4:$KX$4,0))*1000</f>
        <v>#N/A</v>
      </c>
      <c r="CW94" s="250" t="e">
        <f>INDEX(연료전지_원본!$KB$4:$KX$369,MATCH($A94,연료전지_원본!$KB$4:$KB$369,0), MATCH(CW$4,연료전지_원본!$KB$4:$KX$4,0))*1000</f>
        <v>#N/A</v>
      </c>
      <c r="CX94" s="250" t="e">
        <f>INDEX(연료전지_원본!$KB$4:$KX$369,MATCH($A94,연료전지_원본!$KB$4:$KB$369,0), MATCH(CX$4,연료전지_원본!$KB$4:$KX$4,0))*1000</f>
        <v>#N/A</v>
      </c>
      <c r="CY94" s="250" t="e">
        <f>INDEX(연료전지_원본!$KB$4:$KX$369,MATCH($A94,연료전지_원본!$KB$4:$KB$369,0), MATCH(CY$4,연료전지_원본!$KB$4:$KX$4,0))*1000</f>
        <v>#N/A</v>
      </c>
      <c r="DV94" s="30">
        <f t="shared" si="297"/>
        <v>0</v>
      </c>
    </row>
    <row r="95" spans="1:126">
      <c r="A95" s="158">
        <v>46112</v>
      </c>
      <c r="B95" s="27">
        <f>운전실적_원본!B95</f>
        <v>651.20000000000005</v>
      </c>
      <c r="C95" s="28">
        <f t="shared" si="298"/>
        <v>0</v>
      </c>
      <c r="D95" s="29">
        <f>운전실적_원본!C95</f>
        <v>250573</v>
      </c>
      <c r="E95" s="29">
        <f t="shared" si="299"/>
        <v>8</v>
      </c>
      <c r="F95" s="29">
        <f>운전실적_원본!D95</f>
        <v>241892</v>
      </c>
      <c r="G95" s="28">
        <f t="shared" si="300"/>
        <v>0</v>
      </c>
      <c r="H95" s="27">
        <f>운전실적_원본!E95</f>
        <v>17369.16</v>
      </c>
      <c r="I95" s="28">
        <f t="shared" si="301"/>
        <v>1.6199999999989814</v>
      </c>
      <c r="J95" s="27">
        <f>운전실적_원본!F95</f>
        <v>15551.3</v>
      </c>
      <c r="K95" s="28">
        <f t="shared" si="301"/>
        <v>0.25999999999839929</v>
      </c>
      <c r="L95" s="159">
        <f>운전실적_원본!G95</f>
        <v>53.7</v>
      </c>
      <c r="M95" s="157">
        <f t="shared" ref="M95" si="583">IF(OR(LEN(L95)=0,L95=0),"",L95-L94)</f>
        <v>0.5</v>
      </c>
      <c r="N95" s="27">
        <f>운전실적_원본!H95</f>
        <v>41814</v>
      </c>
      <c r="O95" s="28">
        <f t="shared" ref="O95" si="584">IF(OR(LEN(N95)=0,N95=0),"",N95-N94)</f>
        <v>14</v>
      </c>
      <c r="P95" s="27">
        <f>운전실적_원본!I95</f>
        <v>26722</v>
      </c>
      <c r="Q95" s="28">
        <f t="shared" ref="Q95" si="585">IF(OR(LEN(P95)=0,P95=0),"",P95-P94)</f>
        <v>21</v>
      </c>
      <c r="R95" s="160">
        <f>운전실적_원본!J95</f>
        <v>34.04</v>
      </c>
      <c r="S95" s="161">
        <f t="shared" ref="S95" si="586">IF(OR(LEN(R95)=0,R95=0),"",R95-R94)</f>
        <v>4.9999999999997158E-2</v>
      </c>
      <c r="T95" s="160">
        <f>운전실적_원본!K95</f>
        <v>33.369999999999997</v>
      </c>
      <c r="U95" s="161">
        <f t="shared" si="306"/>
        <v>1.9999999999996021E-2</v>
      </c>
      <c r="V95" s="29">
        <f>운전실적_원본!L95</f>
        <v>8314</v>
      </c>
      <c r="W95" s="28">
        <f t="shared" ref="W95" si="587">IF(OR(LEN(V95)=0,V95=0),"",V95-V94)</f>
        <v>-142</v>
      </c>
      <c r="X95" s="162">
        <f>운전실적_원본!M95</f>
        <v>0</v>
      </c>
      <c r="Y95" s="162">
        <f>운전실적_원본!N95</f>
        <v>0</v>
      </c>
      <c r="Z95" s="162">
        <f>운전실적_원본!O95</f>
        <v>0</v>
      </c>
      <c r="AA95" s="162">
        <f>운전실적_원본!P95</f>
        <v>0</v>
      </c>
      <c r="AB95" s="162">
        <f>운전실적_원본!Q95</f>
        <v>0</v>
      </c>
      <c r="AC95" s="162">
        <f>운전실적_원본!R95</f>
        <v>0</v>
      </c>
      <c r="AD95" s="163">
        <f>운전실적_원본!S95</f>
        <v>0</v>
      </c>
      <c r="AE95" s="164">
        <f>운전실적_원본!T95</f>
        <v>0</v>
      </c>
      <c r="AF95" s="164">
        <f>운전실적_원본!U95</f>
        <v>0</v>
      </c>
      <c r="AG95" s="164">
        <f>운전실적_원본!V95</f>
        <v>0</v>
      </c>
      <c r="AH95" s="163">
        <f t="shared" si="460"/>
        <v>0</v>
      </c>
      <c r="AI95" s="164">
        <f t="shared" si="467"/>
        <v>0</v>
      </c>
      <c r="AJ95" s="164">
        <f>운전실적_원본!Y95</f>
        <v>0</v>
      </c>
      <c r="AK95" s="164">
        <f>운전실적_원본!Z95</f>
        <v>0</v>
      </c>
      <c r="AL95" s="165"/>
      <c r="AM95" s="166"/>
      <c r="AN95" s="166"/>
      <c r="AO95" s="166"/>
      <c r="AP95" s="166"/>
      <c r="AQ95" s="167"/>
      <c r="AR95" s="166"/>
      <c r="AS95" s="166"/>
      <c r="AT95" s="168"/>
      <c r="AU95" s="168"/>
      <c r="AV95" s="168"/>
      <c r="AW95" s="168"/>
      <c r="AX95" s="159">
        <f>운전실적_원본!W95</f>
        <v>0</v>
      </c>
      <c r="AY95" s="169">
        <f>운전실적_원본!X95</f>
        <v>0</v>
      </c>
      <c r="AZ95" s="169">
        <f>운전실적_원본!Y95</f>
        <v>0</v>
      </c>
      <c r="BA95" s="169">
        <f>운전실적_원본!Z95</f>
        <v>0</v>
      </c>
      <c r="BB95" s="169">
        <f>운전실적_원본!AA95</f>
        <v>0</v>
      </c>
      <c r="BC95" s="169">
        <f>운전실적_원본!AB95</f>
        <v>0</v>
      </c>
      <c r="BD95" s="159" t="str">
        <f t="shared" si="453"/>
        <v>-</v>
      </c>
      <c r="BE95" s="169" t="str">
        <f t="shared" si="461"/>
        <v>-</v>
      </c>
      <c r="BF95" s="169">
        <f>운전실적_원본!AE95</f>
        <v>0</v>
      </c>
      <c r="BG95" s="157">
        <f t="shared" si="454"/>
        <v>0</v>
      </c>
      <c r="BH95" s="244">
        <f>INDEX(연료전지_원본!$A$4:$KY$369,MATCH($A95,연료전지_원본!$A$4:$A$369,0),MATCH($BH$4,연료전지_원본!$A$4:$KY$4,0))</f>
        <v>0</v>
      </c>
      <c r="BI95" s="244">
        <f>INDEX(연료전지_원본!$A$4:$KY$369,MATCH($A95,연료전지_원본!$A$4:$A$369,0),MATCH($BI$4,연료전지_원본!$A$4:$KY$4,0))</f>
        <v>0</v>
      </c>
      <c r="BJ95" s="244">
        <f>INDEX(연료전지_원본!$A$4:$KY$369,MATCH($A95,연료전지_원본!$A$4:$A$369,0),MATCH($BJ$4,연료전지_원본!$A$4:$KY$4,0))</f>
        <v>0</v>
      </c>
      <c r="BK95" s="244">
        <f>INDEX(연료전지_원본!$A$4:$KY$369,MATCH($A95,연료전지_원본!$A$4:$A$369,0),MATCH($BK$4,연료전지_원본!$A$4:$KY$4,0))</f>
        <v>0</v>
      </c>
      <c r="BL95" s="244">
        <f>INDEX(연료전지_원본!$A$4:$KY$369,MATCH($A95,연료전지_원본!$A$4:$A$369,0),MATCH($BL$4,연료전지_원본!$A$4:$KY$4,0))</f>
        <v>0</v>
      </c>
      <c r="BM95" s="244">
        <f>INDEX(연료전지_원본!$A$4:$KY$369,MATCH($A95,연료전지_원본!$A$4:$A$369,0),MATCH($BM$4,연료전지_원본!$A$4:$KY$4,0))</f>
        <v>0</v>
      </c>
      <c r="BN95" s="244">
        <f>INDEX(연료전지_원본!$A$4:$KY$369,MATCH($A95,연료전지_원본!$A$4:$A$369,0),MATCH($BN$4,연료전지_원본!$A$4:$KY$4,0))</f>
        <v>0</v>
      </c>
      <c r="BO95" s="244">
        <f>INDEX(연료전지_원본!$A$4:$KY$369,MATCH($A95,연료전지_원본!$A$4:$A$369,0),MATCH($BO$4,연료전지_원본!$A$4:$KY$4,0))</f>
        <v>0</v>
      </c>
      <c r="BP95" s="244">
        <f>INDEX(연료전지_원본!$A$4:$KY$369,MATCH($A95,연료전지_원본!$A$4:$A$369,0),MATCH($BP$4,연료전지_원본!$A$4:$KY$4,0))</f>
        <v>0</v>
      </c>
      <c r="BQ95" s="244">
        <f>INDEX(연료전지_원본!$A$4:$KY$369,MATCH($A95,연료전지_원본!$A$4:$A$369,0),MATCH($BQ$4,연료전지_원본!$A$4:$KY$4,0))</f>
        <v>0</v>
      </c>
      <c r="BR95" s="244">
        <f>INDEX(연료전지_원본!$A$4:$KY$369,MATCH($A95,연료전지_원본!$A$4:$A$369,0),MATCH($BR$4,연료전지_원본!$A$4:$KY$4,0))</f>
        <v>0</v>
      </c>
      <c r="BS95" s="244">
        <f>INDEX(연료전지_원본!$A$4:$KY$369,MATCH($A95,연료전지_원본!$A$4:$A$369,0),MATCH($BS$4,연료전지_원본!$A$4:$KY$4,0))</f>
        <v>0</v>
      </c>
      <c r="BT95" s="244">
        <f>INDEX(연료전지_원본!$A$4:$KY$369,MATCH($A95,연료전지_원본!$A$4:$A$369,0),MATCH($BT$4,연료전지_원본!$A$4:$KY$4,0))</f>
        <v>0</v>
      </c>
      <c r="BU95" s="244">
        <f>INDEX(연료전지_원본!$A$4:$KY$369,MATCH($A95,연료전지_원본!$A$4:$A$369,0),MATCH($BU$4,연료전지_원본!$A$4:$KY$4,0))</f>
        <v>0</v>
      </c>
      <c r="BV95" s="244">
        <f>INDEX(연료전지_원본!$A$4:$KY$369,MATCH($A95,연료전지_원본!$A$4:$A$369,0),MATCH($BV$4,연료전지_원본!$A$4:$KY$4,0))</f>
        <v>0</v>
      </c>
      <c r="BW95" s="244">
        <f>INDEX(연료전지_원본!$A$4:$KY$369,MATCH($A95,연료전지_원본!$A$4:$A$369,0),MATCH($BW$4,연료전지_원본!$A$4:$KY$4,0))</f>
        <v>0</v>
      </c>
      <c r="BX95" s="244">
        <f>INDEX(연료전지_원본!$A$4:$KY$369,MATCH($A95,연료전지_원본!$A$4:$A$369,0),MATCH($BX$4,연료전지_원본!$A$4:$KY$4,0))</f>
        <v>0</v>
      </c>
      <c r="BY95" s="244">
        <f>INDEX(연료전지_원본!$A$4:$KY$369,MATCH($A95,연료전지_원본!$A$4:$A$369,0),MATCH($BY$4,연료전지_원본!$A$4:$KY$4,0))</f>
        <v>0</v>
      </c>
      <c r="BZ95" s="244">
        <f>INDEX(연료전지_원본!$A$4:$KY$369,MATCH($A95,연료전지_원본!$A$4:$A$369,0),MATCH($BZ$4,연료전지_원본!$A$4:$KY$4,0))</f>
        <v>0</v>
      </c>
      <c r="CA95" s="244">
        <f>INDEX(연료전지_원본!$A$4:$KY$369,MATCH($A95,연료전지_원본!$A$4:$A$369,0),MATCH($CA$4,연료전지_원본!$A$4:$KY$4,0))</f>
        <v>0</v>
      </c>
      <c r="CB95" s="244">
        <f>INDEX(연료전지_원본!$A$4:$KY$369,MATCH($A95,연료전지_원본!$A$4:$A$369,0),MATCH($CB$4,연료전지_원본!$A$4:$KY$4,0))</f>
        <v>0</v>
      </c>
      <c r="CC95" s="245">
        <f>INDEX(연료전지_원본!$A$4:$KY$369,MATCH($A95,연료전지_원본!$A$4:$A$369,0),MATCH($CC$4,연료전지_원본!$A$4:$KY$4,0))</f>
        <v>0</v>
      </c>
      <c r="CD95" s="257" t="e">
        <f>INDEX(연료전지_원본!$KB$4:$KX$369,MATCH($A95,연료전지_원본!$KB$4:$KB$369,0), MATCH(CD$4,연료전지_원본!$KB$4:$KX$4,0))*1000</f>
        <v>#N/A</v>
      </c>
      <c r="CE95" s="257" t="e">
        <f>INDEX(연료전지_원본!$KB$4:$KX$369,MATCH($A95,연료전지_원본!$KB$4:$KB$369,0), MATCH(CE$4,연료전지_원본!$KB$4:$KX$4,0))*1000</f>
        <v>#N/A</v>
      </c>
      <c r="CF95" s="257" t="e">
        <f>INDEX(연료전지_원본!$KB$4:$KX$369,MATCH($A95,연료전지_원본!$KB$4:$KB$369,0), MATCH(CF$4,연료전지_원본!$KB$4:$KX$4,0))*1000</f>
        <v>#N/A</v>
      </c>
      <c r="CG95" s="257" t="e">
        <f>INDEX(연료전지_원본!$KB$4:$KX$369,MATCH($A95,연료전지_원본!$KB$4:$KB$369,0), MATCH(CG$4,연료전지_원본!$KB$4:$KX$4,0))*1000</f>
        <v>#N/A</v>
      </c>
      <c r="CH95" s="257" t="e">
        <f>INDEX(연료전지_원본!$KB$4:$KX$369,MATCH($A95,연료전지_원본!$KB$4:$KB$369,0), MATCH(CH$4,연료전지_원본!$KB$4:$KX$4,0))*1000</f>
        <v>#N/A</v>
      </c>
      <c r="CI95" s="257" t="e">
        <f>INDEX(연료전지_원본!$KB$4:$KX$369,MATCH($A95,연료전지_원본!$KB$4:$KB$369,0), MATCH(CI$4,연료전지_원본!$KB$4:$KX$4,0))*1000</f>
        <v>#N/A</v>
      </c>
      <c r="CJ95" s="257" t="e">
        <f>INDEX(연료전지_원본!$KB$4:$KX$369,MATCH($A95,연료전지_원본!$KB$4:$KB$369,0), MATCH(CJ$4,연료전지_원본!$KB$4:$KX$4,0))*1000</f>
        <v>#N/A</v>
      </c>
      <c r="CK95" s="257" t="e">
        <f>INDEX(연료전지_원본!$KB$4:$KX$369,MATCH($A95,연료전지_원본!$KB$4:$KB$369,0), MATCH(CK$4,연료전지_원본!$KB$4:$KX$4,0))*1000</f>
        <v>#N/A</v>
      </c>
      <c r="CL95" s="257" t="e">
        <f>INDEX(연료전지_원본!$KB$4:$KX$369,MATCH($A95,연료전지_원본!$KB$4:$KB$369,0), MATCH(CL$4,연료전지_원본!$KB$4:$KX$4,0))*1000</f>
        <v>#N/A</v>
      </c>
      <c r="CM95" s="257" t="e">
        <f>INDEX(연료전지_원본!$KB$4:$KX$369,MATCH($A95,연료전지_원본!$KB$4:$KB$369,0), MATCH(CM$4,연료전지_원본!$KB$4:$KX$4,0))*1000</f>
        <v>#N/A</v>
      </c>
      <c r="CN95" s="257" t="e">
        <f>INDEX(연료전지_원본!$KB$4:$KX$369,MATCH($A95,연료전지_원본!$KB$4:$KB$369,0), MATCH(CN$4,연료전지_원본!$KB$4:$KX$4,0))*1000</f>
        <v>#N/A</v>
      </c>
      <c r="CO95" s="257" t="e">
        <f>INDEX(연료전지_원본!$KB$4:$KX$369,MATCH($A95,연료전지_원본!$KB$4:$KB$369,0), MATCH(CO$4,연료전지_원본!$KB$4:$KX$4,0))*1000</f>
        <v>#N/A</v>
      </c>
      <c r="CP95" s="257" t="e">
        <f>INDEX(연료전지_원본!$KB$4:$KX$369,MATCH($A95,연료전지_원본!$KB$4:$KB$369,0), MATCH(CP$4,연료전지_원본!$KB$4:$KX$4,0))*1000</f>
        <v>#N/A</v>
      </c>
      <c r="CQ95" s="257" t="e">
        <f>INDEX(연료전지_원본!$KB$4:$KX$369,MATCH($A95,연료전지_원본!$KB$4:$KB$369,0), MATCH(CQ$4,연료전지_원본!$KB$4:$KX$4,0))*1000</f>
        <v>#N/A</v>
      </c>
      <c r="CR95" s="257" t="e">
        <f>INDEX(연료전지_원본!$KB$4:$KX$369,MATCH($A95,연료전지_원본!$KB$4:$KB$369,0), MATCH(CR$4,연료전지_원본!$KB$4:$KX$4,0))*1000</f>
        <v>#N/A</v>
      </c>
      <c r="CS95" s="257" t="e">
        <f>INDEX(연료전지_원본!$KB$4:$KX$369,MATCH($A95,연료전지_원본!$KB$4:$KB$369,0), MATCH(CS$4,연료전지_원본!$KB$4:$KX$4,0))*1000</f>
        <v>#N/A</v>
      </c>
      <c r="CT95" s="257" t="e">
        <f>INDEX(연료전지_원본!$KB$4:$KX$369,MATCH($A95,연료전지_원본!$KB$4:$KB$369,0), MATCH(CT$4,연료전지_원본!$KB$4:$KX$4,0))*1000</f>
        <v>#N/A</v>
      </c>
      <c r="CU95" s="257" t="e">
        <f>INDEX(연료전지_원본!$KB$4:$KX$369,MATCH($A95,연료전지_원본!$KB$4:$KB$369,0), MATCH(CU$4,연료전지_원본!$KB$4:$KX$4,0))*1000</f>
        <v>#N/A</v>
      </c>
      <c r="CV95" s="257" t="e">
        <f>INDEX(연료전지_원본!$KB$4:$KX$369,MATCH($A95,연료전지_원본!$KB$4:$KB$369,0), MATCH(CV$4,연료전지_원본!$KB$4:$KX$4,0))*1000</f>
        <v>#N/A</v>
      </c>
      <c r="CW95" s="257" t="e">
        <f>INDEX(연료전지_원본!$KB$4:$KX$369,MATCH($A95,연료전지_원본!$KB$4:$KB$369,0), MATCH(CW$4,연료전지_원본!$KB$4:$KX$4,0))*1000</f>
        <v>#N/A</v>
      </c>
      <c r="CX95" s="257" t="e">
        <f>INDEX(연료전지_원본!$KB$4:$KX$369,MATCH($A95,연료전지_원본!$KB$4:$KB$369,0), MATCH(CX$4,연료전지_원본!$KB$4:$KX$4,0))*1000</f>
        <v>#N/A</v>
      </c>
      <c r="CY95" s="257" t="e">
        <f>INDEX(연료전지_원본!$KB$4:$KX$369,MATCH($A95,연료전지_원본!$KB$4:$KB$369,0), MATCH(CY$4,연료전지_원본!$KB$4:$KX$4,0))*1000</f>
        <v>#N/A</v>
      </c>
      <c r="CZ95" s="186"/>
      <c r="DA95" s="182"/>
      <c r="DB95" s="182"/>
      <c r="DC95" s="182"/>
      <c r="DD95" s="182"/>
      <c r="DE95" s="182"/>
      <c r="DF95" s="182"/>
      <c r="DG95" s="182"/>
      <c r="DH95" s="182"/>
      <c r="DI95" s="182"/>
      <c r="DJ95" s="182"/>
      <c r="DK95" s="182"/>
      <c r="DL95" s="182"/>
      <c r="DM95" s="182"/>
      <c r="DN95" s="182"/>
      <c r="DO95" s="182"/>
      <c r="DP95" s="182"/>
      <c r="DQ95" s="182"/>
      <c r="DR95" s="182"/>
      <c r="DS95" s="182"/>
      <c r="DT95" s="182"/>
      <c r="DU95" s="182"/>
      <c r="DV95" s="182">
        <f t="shared" si="297"/>
        <v>0</v>
      </c>
    </row>
    <row r="96" spans="1:126">
      <c r="A96" s="6">
        <v>46113</v>
      </c>
      <c r="B96" s="15">
        <f>운전실적_원본!B96</f>
        <v>651.20000000000005</v>
      </c>
      <c r="C96" s="16">
        <f t="shared" si="298"/>
        <v>0</v>
      </c>
      <c r="D96" s="12">
        <f>운전실적_원본!C96</f>
        <v>250573</v>
      </c>
      <c r="E96" s="12">
        <f t="shared" si="299"/>
        <v>0</v>
      </c>
      <c r="F96" s="12">
        <f>운전실적_원본!D96</f>
        <v>241927</v>
      </c>
      <c r="G96" s="16">
        <f t="shared" si="300"/>
        <v>35</v>
      </c>
      <c r="H96" s="15">
        <f>운전실적_원본!E96</f>
        <v>17372.919999999998</v>
      </c>
      <c r="I96" s="16">
        <f t="shared" si="301"/>
        <v>3.7599999999983993</v>
      </c>
      <c r="J96" s="15">
        <f>운전실적_원본!F96</f>
        <v>15551.53</v>
      </c>
      <c r="K96" s="16">
        <f t="shared" si="301"/>
        <v>0.23000000000138243</v>
      </c>
      <c r="L96" s="32">
        <f>운전실적_원본!G96</f>
        <v>54.6</v>
      </c>
      <c r="M96" s="31">
        <f t="shared" ref="M96" si="588">IF(OR(LEN(L96)=0,L96=0),"",L96-L95)</f>
        <v>0.89999999999999858</v>
      </c>
      <c r="N96" s="15">
        <f>운전실적_원본!H96</f>
        <v>41925</v>
      </c>
      <c r="O96" s="16">
        <f t="shared" ref="O96" si="589">IF(OR(LEN(N96)=0,N96=0),"",N96-N95)</f>
        <v>111</v>
      </c>
      <c r="P96" s="15">
        <f>운전실적_원본!I96</f>
        <v>26835</v>
      </c>
      <c r="Q96" s="16">
        <f t="shared" ref="Q96" si="590">IF(OR(LEN(P96)=0,P96=0),"",P96-P95)</f>
        <v>113</v>
      </c>
      <c r="R96" s="18">
        <f>운전실적_원본!J96</f>
        <v>34.024000000000001</v>
      </c>
      <c r="S96" s="19">
        <f t="shared" ref="S96" si="591">IF(OR(LEN(R96)=0,R96=0),"",R96-R95)</f>
        <v>-1.5999999999998238E-2</v>
      </c>
      <c r="T96" s="18">
        <f>운전실적_원본!K96</f>
        <v>33.283999999999999</v>
      </c>
      <c r="U96" s="19">
        <f t="shared" si="306"/>
        <v>-8.5999999999998522E-2</v>
      </c>
      <c r="V96" s="12">
        <f>운전실적_원본!L96</f>
        <v>8299.0480000000007</v>
      </c>
      <c r="W96" s="16">
        <f t="shared" ref="W96" si="592">IF(OR(LEN(V96)=0,V96=0),"",V96-V95)</f>
        <v>-14.951999999999316</v>
      </c>
      <c r="X96" s="10">
        <f>운전실적_원본!M96</f>
        <v>0</v>
      </c>
      <c r="Y96" s="10">
        <f>운전실적_원본!N96</f>
        <v>0</v>
      </c>
      <c r="Z96" s="10">
        <f>운전실적_원본!O96</f>
        <v>0</v>
      </c>
      <c r="AA96" s="10">
        <f>운전실적_원본!P96</f>
        <v>0</v>
      </c>
      <c r="AB96" s="10">
        <f>운전실적_원본!Q96</f>
        <v>0</v>
      </c>
      <c r="AC96" s="20">
        <f>운전실적_원본!R96</f>
        <v>0</v>
      </c>
      <c r="AD96" s="109">
        <f>운전실적_원본!S96</f>
        <v>0</v>
      </c>
      <c r="AE96" s="110">
        <f>운전실적_원본!T96</f>
        <v>0</v>
      </c>
      <c r="AF96" s="110">
        <f>운전실적_원본!U96</f>
        <v>0</v>
      </c>
      <c r="AG96" s="110">
        <f>운전실적_원본!V96</f>
        <v>0</v>
      </c>
      <c r="AH96" s="109">
        <f t="shared" si="460"/>
        <v>0</v>
      </c>
      <c r="AI96" s="110">
        <f t="shared" si="467"/>
        <v>0</v>
      </c>
      <c r="AJ96" s="110">
        <f>운전실적_원본!Y96</f>
        <v>0</v>
      </c>
      <c r="AK96" s="110">
        <f>운전실적_원본!Z96</f>
        <v>0</v>
      </c>
      <c r="AL96" s="106"/>
      <c r="AM96" s="105"/>
      <c r="AN96" s="105"/>
      <c r="AO96" s="105"/>
      <c r="AP96" s="105"/>
      <c r="AQ96" s="108"/>
      <c r="AR96" s="105"/>
      <c r="AS96" s="105"/>
      <c r="AT96" s="102"/>
      <c r="AU96" s="102"/>
      <c r="AV96" s="102"/>
      <c r="AW96" s="102"/>
      <c r="AX96" s="32">
        <f>운전실적_원본!W96</f>
        <v>0</v>
      </c>
      <c r="AY96" s="11">
        <f>운전실적_원본!X96</f>
        <v>0</v>
      </c>
      <c r="AZ96" s="11">
        <f>운전실적_원본!Y96</f>
        <v>0</v>
      </c>
      <c r="BA96" s="11">
        <f>운전실적_원본!Z96</f>
        <v>0</v>
      </c>
      <c r="BB96" s="11">
        <f>운전실적_원본!AA96</f>
        <v>0</v>
      </c>
      <c r="BC96" s="11">
        <f>운전실적_원본!AB96</f>
        <v>0</v>
      </c>
      <c r="BD96" s="32" t="str">
        <f t="shared" si="453"/>
        <v>-</v>
      </c>
      <c r="BE96" s="11" t="str">
        <f t="shared" si="461"/>
        <v>-</v>
      </c>
      <c r="BF96" s="11">
        <f>운전실적_원본!AE96</f>
        <v>0</v>
      </c>
      <c r="BG96" s="31">
        <f t="shared" si="454"/>
        <v>0</v>
      </c>
      <c r="BH96" s="241">
        <f>INDEX(연료전지_원본!$A$4:$KY$369,MATCH($A96,연료전지_원본!$A$4:$A$369,0),MATCH($BH$4,연료전지_원본!$A$4:$KY$4,0))</f>
        <v>0</v>
      </c>
      <c r="BI96" s="241">
        <f>INDEX(연료전지_원본!$A$4:$KY$369,MATCH($A96,연료전지_원본!$A$4:$A$369,0),MATCH($BI$4,연료전지_원본!$A$4:$KY$4,0))</f>
        <v>0</v>
      </c>
      <c r="BJ96" s="241">
        <f>INDEX(연료전지_원본!$A$4:$KY$369,MATCH($A96,연료전지_원본!$A$4:$A$369,0),MATCH($BJ$4,연료전지_원본!$A$4:$KY$4,0))</f>
        <v>0</v>
      </c>
      <c r="BK96" s="241">
        <f>INDEX(연료전지_원본!$A$4:$KY$369,MATCH($A96,연료전지_원본!$A$4:$A$369,0),MATCH($BK$4,연료전지_원본!$A$4:$KY$4,0))</f>
        <v>0</v>
      </c>
      <c r="BL96" s="241">
        <f>INDEX(연료전지_원본!$A$4:$KY$369,MATCH($A96,연료전지_원본!$A$4:$A$369,0),MATCH($BL$4,연료전지_원본!$A$4:$KY$4,0))</f>
        <v>0</v>
      </c>
      <c r="BM96" s="241">
        <f>INDEX(연료전지_원본!$A$4:$KY$369,MATCH($A96,연료전지_원본!$A$4:$A$369,0),MATCH($BM$4,연료전지_원본!$A$4:$KY$4,0))</f>
        <v>0</v>
      </c>
      <c r="BN96" s="241">
        <f>INDEX(연료전지_원본!$A$4:$KY$369,MATCH($A96,연료전지_원본!$A$4:$A$369,0),MATCH($BN$4,연료전지_원본!$A$4:$KY$4,0))</f>
        <v>0</v>
      </c>
      <c r="BO96" s="241">
        <f>INDEX(연료전지_원본!$A$4:$KY$369,MATCH($A96,연료전지_원본!$A$4:$A$369,0),MATCH($BO$4,연료전지_원본!$A$4:$KY$4,0))</f>
        <v>0</v>
      </c>
      <c r="BP96" s="241">
        <f>INDEX(연료전지_원본!$A$4:$KY$369,MATCH($A96,연료전지_원본!$A$4:$A$369,0),MATCH($BP$4,연료전지_원본!$A$4:$KY$4,0))</f>
        <v>0</v>
      </c>
      <c r="BQ96" s="241">
        <f>INDEX(연료전지_원본!$A$4:$KY$369,MATCH($A96,연료전지_원본!$A$4:$A$369,0),MATCH($BQ$4,연료전지_원본!$A$4:$KY$4,0))</f>
        <v>0</v>
      </c>
      <c r="BR96" s="241">
        <f>INDEX(연료전지_원본!$A$4:$KY$369,MATCH($A96,연료전지_원본!$A$4:$A$369,0),MATCH($BR$4,연료전지_원본!$A$4:$KY$4,0))</f>
        <v>0</v>
      </c>
      <c r="BS96" s="241">
        <f>INDEX(연료전지_원본!$A$4:$KY$369,MATCH($A96,연료전지_원본!$A$4:$A$369,0),MATCH($BS$4,연료전지_원본!$A$4:$KY$4,0))</f>
        <v>0</v>
      </c>
      <c r="BT96" s="241">
        <f>INDEX(연료전지_원본!$A$4:$KY$369,MATCH($A96,연료전지_원본!$A$4:$A$369,0),MATCH($BT$4,연료전지_원본!$A$4:$KY$4,0))</f>
        <v>0</v>
      </c>
      <c r="BU96" s="241">
        <f>INDEX(연료전지_원본!$A$4:$KY$369,MATCH($A96,연료전지_원본!$A$4:$A$369,0),MATCH($BU$4,연료전지_원본!$A$4:$KY$4,0))</f>
        <v>0</v>
      </c>
      <c r="BV96" s="241">
        <f>INDEX(연료전지_원본!$A$4:$KY$369,MATCH($A96,연료전지_원본!$A$4:$A$369,0),MATCH($BV$4,연료전지_원본!$A$4:$KY$4,0))</f>
        <v>0</v>
      </c>
      <c r="BW96" s="241">
        <f>INDEX(연료전지_원본!$A$4:$KY$369,MATCH($A96,연료전지_원본!$A$4:$A$369,0),MATCH($BW$4,연료전지_원본!$A$4:$KY$4,0))</f>
        <v>0</v>
      </c>
      <c r="BX96" s="241">
        <f>INDEX(연료전지_원본!$A$4:$KY$369,MATCH($A96,연료전지_원본!$A$4:$A$369,0),MATCH($BX$4,연료전지_원본!$A$4:$KY$4,0))</f>
        <v>0</v>
      </c>
      <c r="BY96" s="241">
        <f>INDEX(연료전지_원본!$A$4:$KY$369,MATCH($A96,연료전지_원본!$A$4:$A$369,0),MATCH($BY$4,연료전지_원본!$A$4:$KY$4,0))</f>
        <v>0</v>
      </c>
      <c r="BZ96" s="241">
        <f>INDEX(연료전지_원본!$A$4:$KY$369,MATCH($A96,연료전지_원본!$A$4:$A$369,0),MATCH($BZ$4,연료전지_원본!$A$4:$KY$4,0))</f>
        <v>0</v>
      </c>
      <c r="CA96" s="241">
        <f>INDEX(연료전지_원본!$A$4:$KY$369,MATCH($A96,연료전지_원본!$A$4:$A$369,0),MATCH($CA$4,연료전지_원본!$A$4:$KY$4,0))</f>
        <v>0</v>
      </c>
      <c r="CB96" s="241">
        <f>INDEX(연료전지_원본!$A$4:$KY$369,MATCH($A96,연료전지_원본!$A$4:$A$369,0),MATCH($CB$4,연료전지_원본!$A$4:$KY$4,0))</f>
        <v>0</v>
      </c>
      <c r="CC96" s="242">
        <f>INDEX(연료전지_원본!$A$4:$KY$369,MATCH($A96,연료전지_원본!$A$4:$A$369,0),MATCH($CC$4,연료전지_원본!$A$4:$KY$4,0))</f>
        <v>0</v>
      </c>
      <c r="CD96" s="250">
        <f>INDEX(연료전지_원본!$KB$4:$KX$369,MATCH($A96,연료전지_원본!$KB$4:$KB$369,0), MATCH(CD$4,연료전지_원본!$KB$4:$KX$4,0))*1000</f>
        <v>0</v>
      </c>
      <c r="CE96" s="250">
        <f>INDEX(연료전지_원본!$KB$4:$KX$369,MATCH($A96,연료전지_원본!$KB$4:$KB$369,0), MATCH(CE$4,연료전지_원본!$KB$4:$KX$4,0))*1000</f>
        <v>0</v>
      </c>
      <c r="CF96" s="250">
        <f>INDEX(연료전지_원본!$KB$4:$KX$369,MATCH($A96,연료전지_원본!$KB$4:$KB$369,0), MATCH(CF$4,연료전지_원본!$KB$4:$KX$4,0))*1000</f>
        <v>0</v>
      </c>
      <c r="CG96" s="250">
        <f>INDEX(연료전지_원본!$KB$4:$KX$369,MATCH($A96,연료전지_원본!$KB$4:$KB$369,0), MATCH(CG$4,연료전지_원본!$KB$4:$KX$4,0))*1000</f>
        <v>0</v>
      </c>
      <c r="CH96" s="250">
        <f>INDEX(연료전지_원본!$KB$4:$KX$369,MATCH($A96,연료전지_원본!$KB$4:$KB$369,0), MATCH(CH$4,연료전지_원본!$KB$4:$KX$4,0))*1000</f>
        <v>0</v>
      </c>
      <c r="CI96" s="250">
        <f>INDEX(연료전지_원본!$KB$4:$KX$369,MATCH($A96,연료전지_원본!$KB$4:$KB$369,0), MATCH(CI$4,연료전지_원본!$KB$4:$KX$4,0))*1000</f>
        <v>0</v>
      </c>
      <c r="CJ96" s="250">
        <f>INDEX(연료전지_원본!$KB$4:$KX$369,MATCH($A96,연료전지_원본!$KB$4:$KB$369,0), MATCH(CJ$4,연료전지_원본!$KB$4:$KX$4,0))*1000</f>
        <v>0</v>
      </c>
      <c r="CK96" s="250">
        <f>INDEX(연료전지_원본!$KB$4:$KX$369,MATCH($A96,연료전지_원본!$KB$4:$KB$369,0), MATCH(CK$4,연료전지_원본!$KB$4:$KX$4,0))*1000</f>
        <v>0</v>
      </c>
      <c r="CL96" s="250">
        <f>INDEX(연료전지_원본!$KB$4:$KX$369,MATCH($A96,연료전지_원본!$KB$4:$KB$369,0), MATCH(CL$4,연료전지_원본!$KB$4:$KX$4,0))*1000</f>
        <v>0</v>
      </c>
      <c r="CM96" s="250">
        <f>INDEX(연료전지_원본!$KB$4:$KX$369,MATCH($A96,연료전지_원본!$KB$4:$KB$369,0), MATCH(CM$4,연료전지_원본!$KB$4:$KX$4,0))*1000</f>
        <v>0</v>
      </c>
      <c r="CN96" s="250">
        <f>INDEX(연료전지_원본!$KB$4:$KX$369,MATCH($A96,연료전지_원본!$KB$4:$KB$369,0), MATCH(CN$4,연료전지_원본!$KB$4:$KX$4,0))*1000</f>
        <v>0</v>
      </c>
      <c r="CO96" s="250">
        <f>INDEX(연료전지_원본!$KB$4:$KX$369,MATCH($A96,연료전지_원본!$KB$4:$KB$369,0), MATCH(CO$4,연료전지_원본!$KB$4:$KX$4,0))*1000</f>
        <v>0</v>
      </c>
      <c r="CP96" s="250">
        <f>INDEX(연료전지_원본!$KB$4:$KX$369,MATCH($A96,연료전지_원본!$KB$4:$KB$369,0), MATCH(CP$4,연료전지_원본!$KB$4:$KX$4,0))*1000</f>
        <v>0</v>
      </c>
      <c r="CQ96" s="250">
        <f>INDEX(연료전지_원본!$KB$4:$KX$369,MATCH($A96,연료전지_원본!$KB$4:$KB$369,0), MATCH(CQ$4,연료전지_원본!$KB$4:$KX$4,0))*1000</f>
        <v>0</v>
      </c>
      <c r="CR96" s="250">
        <f>INDEX(연료전지_원본!$KB$4:$KX$369,MATCH($A96,연료전지_원본!$KB$4:$KB$369,0), MATCH(CR$4,연료전지_원본!$KB$4:$KX$4,0))*1000</f>
        <v>0</v>
      </c>
      <c r="CS96" s="250">
        <f>INDEX(연료전지_원본!$KB$4:$KX$369,MATCH($A96,연료전지_원본!$KB$4:$KB$369,0), MATCH(CS$4,연료전지_원본!$KB$4:$KX$4,0))*1000</f>
        <v>0</v>
      </c>
      <c r="CT96" s="250">
        <f>INDEX(연료전지_원본!$KB$4:$KX$369,MATCH($A96,연료전지_원본!$KB$4:$KB$369,0), MATCH(CT$4,연료전지_원본!$KB$4:$KX$4,0))*1000</f>
        <v>0</v>
      </c>
      <c r="CU96" s="250">
        <f>INDEX(연료전지_원본!$KB$4:$KX$369,MATCH($A96,연료전지_원본!$KB$4:$KB$369,0), MATCH(CU$4,연료전지_원본!$KB$4:$KX$4,0))*1000</f>
        <v>0</v>
      </c>
      <c r="CV96" s="250">
        <f>INDEX(연료전지_원본!$KB$4:$KX$369,MATCH($A96,연료전지_원본!$KB$4:$KB$369,0), MATCH(CV$4,연료전지_원본!$KB$4:$KX$4,0))*1000</f>
        <v>0</v>
      </c>
      <c r="CW96" s="250">
        <f>INDEX(연료전지_원본!$KB$4:$KX$369,MATCH($A96,연료전지_원본!$KB$4:$KB$369,0), MATCH(CW$4,연료전지_원본!$KB$4:$KX$4,0))*1000</f>
        <v>0</v>
      </c>
      <c r="CX96" s="250">
        <f>INDEX(연료전지_원본!$KB$4:$KX$369,MATCH($A96,연료전지_원본!$KB$4:$KB$369,0), MATCH(CX$4,연료전지_원본!$KB$4:$KX$4,0))*1000</f>
        <v>0</v>
      </c>
      <c r="CY96" s="250">
        <f>INDEX(연료전지_원본!$KB$4:$KX$369,MATCH($A96,연료전지_원본!$KB$4:$KB$369,0), MATCH(CY$4,연료전지_원본!$KB$4:$KX$4,0))*1000</f>
        <v>0</v>
      </c>
      <c r="DV96" s="30">
        <f t="shared" si="297"/>
        <v>0</v>
      </c>
    </row>
    <row r="97" spans="1:126">
      <c r="A97" s="6">
        <v>46114</v>
      </c>
      <c r="B97" s="15">
        <f>운전실적_원본!B97</f>
        <v>651.20000000000005</v>
      </c>
      <c r="C97" s="16">
        <f t="shared" si="298"/>
        <v>0</v>
      </c>
      <c r="D97" s="12">
        <f>운전실적_원본!C97</f>
        <v>250619</v>
      </c>
      <c r="E97" s="12">
        <f t="shared" si="299"/>
        <v>46</v>
      </c>
      <c r="F97" s="12">
        <f>운전실적_원본!D97</f>
        <v>241927</v>
      </c>
      <c r="G97" s="16">
        <f t="shared" si="300"/>
        <v>0</v>
      </c>
      <c r="H97" s="15">
        <f>운전실적_원본!E97</f>
        <v>17376.78</v>
      </c>
      <c r="I97" s="16">
        <f t="shared" si="301"/>
        <v>3.8600000000005821</v>
      </c>
      <c r="J97" s="15">
        <f>운전실적_원본!F97</f>
        <v>15551.73</v>
      </c>
      <c r="K97" s="16">
        <f t="shared" si="301"/>
        <v>0.19999999999890861</v>
      </c>
      <c r="L97" s="32">
        <f>운전실적_원본!G97</f>
        <v>55.6</v>
      </c>
      <c r="M97" s="31">
        <f t="shared" ref="M97" si="593">IF(OR(LEN(L97)=0,L97=0),"",L97-L96)</f>
        <v>1</v>
      </c>
      <c r="N97" s="15">
        <f>운전실적_원본!H97</f>
        <v>41990</v>
      </c>
      <c r="O97" s="16">
        <f t="shared" ref="O97" si="594">IF(OR(LEN(N97)=0,N97=0),"",N97-N96)</f>
        <v>65</v>
      </c>
      <c r="P97" s="15">
        <f>운전실적_원본!I97</f>
        <v>26967</v>
      </c>
      <c r="Q97" s="16">
        <f t="shared" ref="Q97" si="595">IF(OR(LEN(P97)=0,P97=0),"",P97-P96)</f>
        <v>132</v>
      </c>
      <c r="R97" s="18">
        <f>운전실적_원본!J97</f>
        <v>33.841999999999999</v>
      </c>
      <c r="S97" s="19">
        <f t="shared" ref="S97" si="596">IF(OR(LEN(R97)=0,R97=0),"",R97-R96)</f>
        <v>-0.18200000000000216</v>
      </c>
      <c r="T97" s="18">
        <f>운전실적_원본!K97</f>
        <v>33.262999999999998</v>
      </c>
      <c r="U97" s="19">
        <f t="shared" si="306"/>
        <v>-2.1000000000000796E-2</v>
      </c>
      <c r="V97" s="12">
        <f>운전실적_원본!L97</f>
        <v>7848.9359999999997</v>
      </c>
      <c r="W97" s="16">
        <f t="shared" ref="W97" si="597">IF(OR(LEN(V97)=0,V97=0),"",V97-V96)</f>
        <v>-450.11200000000099</v>
      </c>
      <c r="X97" s="10">
        <f>운전실적_원본!M97</f>
        <v>0</v>
      </c>
      <c r="Y97" s="10">
        <f>운전실적_원본!N97</f>
        <v>0</v>
      </c>
      <c r="Z97" s="10">
        <f>운전실적_원본!O97</f>
        <v>0</v>
      </c>
      <c r="AA97" s="10">
        <f>운전실적_원본!P97</f>
        <v>0</v>
      </c>
      <c r="AB97" s="10">
        <f>운전실적_원본!Q97</f>
        <v>0</v>
      </c>
      <c r="AC97" s="20">
        <f>운전실적_원본!R97</f>
        <v>0</v>
      </c>
      <c r="AD97" s="109">
        <f>운전실적_원본!S97</f>
        <v>0</v>
      </c>
      <c r="AE97" s="110">
        <f>운전실적_원본!T97</f>
        <v>0</v>
      </c>
      <c r="AF97" s="110">
        <f>운전실적_원본!U97</f>
        <v>0</v>
      </c>
      <c r="AG97" s="110">
        <f>운전실적_원본!V97</f>
        <v>0</v>
      </c>
      <c r="AH97" s="109">
        <f t="shared" si="460"/>
        <v>0</v>
      </c>
      <c r="AI97" s="110">
        <f t="shared" si="467"/>
        <v>0</v>
      </c>
      <c r="AJ97" s="110">
        <f>운전실적_원본!Y97</f>
        <v>0</v>
      </c>
      <c r="AK97" s="110">
        <f>운전실적_원본!Z97</f>
        <v>0</v>
      </c>
      <c r="AL97" s="106"/>
      <c r="AM97" s="105"/>
      <c r="AN97" s="105"/>
      <c r="AO97" s="105"/>
      <c r="AP97" s="105"/>
      <c r="AQ97" s="108"/>
      <c r="AR97" s="105"/>
      <c r="AS97" s="105"/>
      <c r="AT97" s="102"/>
      <c r="AU97" s="102"/>
      <c r="AV97" s="102"/>
      <c r="AW97" s="102"/>
      <c r="AX97" s="32">
        <f>운전실적_원본!W97</f>
        <v>0</v>
      </c>
      <c r="AY97" s="11">
        <f>운전실적_원본!X97</f>
        <v>0</v>
      </c>
      <c r="AZ97" s="11">
        <f>운전실적_원본!Y97</f>
        <v>0</v>
      </c>
      <c r="BA97" s="11">
        <f>운전실적_원본!Z97</f>
        <v>0</v>
      </c>
      <c r="BB97" s="11">
        <f>운전실적_원본!AA97</f>
        <v>0</v>
      </c>
      <c r="BC97" s="11">
        <f>운전실적_원본!AB97</f>
        <v>0</v>
      </c>
      <c r="BD97" s="32" t="str">
        <f t="shared" si="453"/>
        <v>-</v>
      </c>
      <c r="BE97" s="11" t="str">
        <f t="shared" si="461"/>
        <v>-</v>
      </c>
      <c r="BF97" s="11">
        <f>운전실적_원본!AE97</f>
        <v>0</v>
      </c>
      <c r="BG97" s="31">
        <f t="shared" si="454"/>
        <v>0</v>
      </c>
      <c r="BH97" s="241">
        <f>INDEX(연료전지_원본!$A$4:$KY$369,MATCH($A97,연료전지_원본!$A$4:$A$369,0),MATCH($BH$4,연료전지_원본!$A$4:$KY$4,0))</f>
        <v>0</v>
      </c>
      <c r="BI97" s="241">
        <f>INDEX(연료전지_원본!$A$4:$KY$369,MATCH($A97,연료전지_원본!$A$4:$A$369,0),MATCH($BI$4,연료전지_원본!$A$4:$KY$4,0))</f>
        <v>0</v>
      </c>
      <c r="BJ97" s="241">
        <f>INDEX(연료전지_원본!$A$4:$KY$369,MATCH($A97,연료전지_원본!$A$4:$A$369,0),MATCH($BJ$4,연료전지_원본!$A$4:$KY$4,0))</f>
        <v>0</v>
      </c>
      <c r="BK97" s="241">
        <f>INDEX(연료전지_원본!$A$4:$KY$369,MATCH($A97,연료전지_원본!$A$4:$A$369,0),MATCH($BK$4,연료전지_원본!$A$4:$KY$4,0))</f>
        <v>0</v>
      </c>
      <c r="BL97" s="241">
        <f>INDEX(연료전지_원본!$A$4:$KY$369,MATCH($A97,연료전지_원본!$A$4:$A$369,0),MATCH($BL$4,연료전지_원본!$A$4:$KY$4,0))</f>
        <v>0</v>
      </c>
      <c r="BM97" s="241">
        <f>INDEX(연료전지_원본!$A$4:$KY$369,MATCH($A97,연료전지_원본!$A$4:$A$369,0),MATCH($BM$4,연료전지_원본!$A$4:$KY$4,0))</f>
        <v>0</v>
      </c>
      <c r="BN97" s="241">
        <f>INDEX(연료전지_원본!$A$4:$KY$369,MATCH($A97,연료전지_원본!$A$4:$A$369,0),MATCH($BN$4,연료전지_원본!$A$4:$KY$4,0))</f>
        <v>0</v>
      </c>
      <c r="BO97" s="241">
        <f>INDEX(연료전지_원본!$A$4:$KY$369,MATCH($A97,연료전지_원본!$A$4:$A$369,0),MATCH($BO$4,연료전지_원본!$A$4:$KY$4,0))</f>
        <v>0</v>
      </c>
      <c r="BP97" s="241">
        <f>INDEX(연료전지_원본!$A$4:$KY$369,MATCH($A97,연료전지_원본!$A$4:$A$369,0),MATCH($BP$4,연료전지_원본!$A$4:$KY$4,0))</f>
        <v>0</v>
      </c>
      <c r="BQ97" s="241">
        <f>INDEX(연료전지_원본!$A$4:$KY$369,MATCH($A97,연료전지_원본!$A$4:$A$369,0),MATCH($BQ$4,연료전지_원본!$A$4:$KY$4,0))</f>
        <v>0</v>
      </c>
      <c r="BR97" s="241">
        <f>INDEX(연료전지_원본!$A$4:$KY$369,MATCH($A97,연료전지_원본!$A$4:$A$369,0),MATCH($BR$4,연료전지_원본!$A$4:$KY$4,0))</f>
        <v>0</v>
      </c>
      <c r="BS97" s="241">
        <f>INDEX(연료전지_원본!$A$4:$KY$369,MATCH($A97,연료전지_원본!$A$4:$A$369,0),MATCH($BS$4,연료전지_원본!$A$4:$KY$4,0))</f>
        <v>0</v>
      </c>
      <c r="BT97" s="241">
        <f>INDEX(연료전지_원본!$A$4:$KY$369,MATCH($A97,연료전지_원본!$A$4:$A$369,0),MATCH($BT$4,연료전지_원본!$A$4:$KY$4,0))</f>
        <v>0</v>
      </c>
      <c r="BU97" s="241">
        <f>INDEX(연료전지_원본!$A$4:$KY$369,MATCH($A97,연료전지_원본!$A$4:$A$369,0),MATCH($BU$4,연료전지_원본!$A$4:$KY$4,0))</f>
        <v>0</v>
      </c>
      <c r="BV97" s="241">
        <f>INDEX(연료전지_원본!$A$4:$KY$369,MATCH($A97,연료전지_원본!$A$4:$A$369,0),MATCH($BV$4,연료전지_원본!$A$4:$KY$4,0))</f>
        <v>0</v>
      </c>
      <c r="BW97" s="241">
        <f>INDEX(연료전지_원본!$A$4:$KY$369,MATCH($A97,연료전지_원본!$A$4:$A$369,0),MATCH($BW$4,연료전지_원본!$A$4:$KY$4,0))</f>
        <v>0</v>
      </c>
      <c r="BX97" s="241">
        <f>INDEX(연료전지_원본!$A$4:$KY$369,MATCH($A97,연료전지_원본!$A$4:$A$369,0),MATCH($BX$4,연료전지_원본!$A$4:$KY$4,0))</f>
        <v>0</v>
      </c>
      <c r="BY97" s="241">
        <f>INDEX(연료전지_원본!$A$4:$KY$369,MATCH($A97,연료전지_원본!$A$4:$A$369,0),MATCH($BY$4,연료전지_원본!$A$4:$KY$4,0))</f>
        <v>0</v>
      </c>
      <c r="BZ97" s="241">
        <f>INDEX(연료전지_원본!$A$4:$KY$369,MATCH($A97,연료전지_원본!$A$4:$A$369,0),MATCH($BZ$4,연료전지_원본!$A$4:$KY$4,0))</f>
        <v>0</v>
      </c>
      <c r="CA97" s="241">
        <f>INDEX(연료전지_원본!$A$4:$KY$369,MATCH($A97,연료전지_원본!$A$4:$A$369,0),MATCH($CA$4,연료전지_원본!$A$4:$KY$4,0))</f>
        <v>0</v>
      </c>
      <c r="CB97" s="241">
        <f>INDEX(연료전지_원본!$A$4:$KY$369,MATCH($A97,연료전지_원본!$A$4:$A$369,0),MATCH($CB$4,연료전지_원본!$A$4:$KY$4,0))</f>
        <v>0</v>
      </c>
      <c r="CC97" s="242">
        <f>INDEX(연료전지_원본!$A$4:$KY$369,MATCH($A97,연료전지_원본!$A$4:$A$369,0),MATCH($CC$4,연료전지_원본!$A$4:$KY$4,0))</f>
        <v>0</v>
      </c>
      <c r="CD97" s="250">
        <f>INDEX(연료전지_원본!$KB$4:$KX$369,MATCH($A97,연료전지_원본!$KB$4:$KB$369,0), MATCH(CD$4,연료전지_원본!$KB$4:$KX$4,0))*1000</f>
        <v>0</v>
      </c>
      <c r="CE97" s="250">
        <f>INDEX(연료전지_원본!$KB$4:$KX$369,MATCH($A97,연료전지_원본!$KB$4:$KB$369,0), MATCH(CE$4,연료전지_원본!$KB$4:$KX$4,0))*1000</f>
        <v>0</v>
      </c>
      <c r="CF97" s="250">
        <f>INDEX(연료전지_원본!$KB$4:$KX$369,MATCH($A97,연료전지_원본!$KB$4:$KB$369,0), MATCH(CF$4,연료전지_원본!$KB$4:$KX$4,0))*1000</f>
        <v>0</v>
      </c>
      <c r="CG97" s="250">
        <f>INDEX(연료전지_원본!$KB$4:$KX$369,MATCH($A97,연료전지_원본!$KB$4:$KB$369,0), MATCH(CG$4,연료전지_원본!$KB$4:$KX$4,0))*1000</f>
        <v>0</v>
      </c>
      <c r="CH97" s="250">
        <f>INDEX(연료전지_원본!$KB$4:$KX$369,MATCH($A97,연료전지_원본!$KB$4:$KB$369,0), MATCH(CH$4,연료전지_원본!$KB$4:$KX$4,0))*1000</f>
        <v>0</v>
      </c>
      <c r="CI97" s="250">
        <f>INDEX(연료전지_원본!$KB$4:$KX$369,MATCH($A97,연료전지_원본!$KB$4:$KB$369,0), MATCH(CI$4,연료전지_원본!$KB$4:$KX$4,0))*1000</f>
        <v>0</v>
      </c>
      <c r="CJ97" s="250">
        <f>INDEX(연료전지_원본!$KB$4:$KX$369,MATCH($A97,연료전지_원본!$KB$4:$KB$369,0), MATCH(CJ$4,연료전지_원본!$KB$4:$KX$4,0))*1000</f>
        <v>0</v>
      </c>
      <c r="CK97" s="250">
        <f>INDEX(연료전지_원본!$KB$4:$KX$369,MATCH($A97,연료전지_원본!$KB$4:$KB$369,0), MATCH(CK$4,연료전지_원본!$KB$4:$KX$4,0))*1000</f>
        <v>0</v>
      </c>
      <c r="CL97" s="250">
        <f>INDEX(연료전지_원본!$KB$4:$KX$369,MATCH($A97,연료전지_원본!$KB$4:$KB$369,0), MATCH(CL$4,연료전지_원본!$KB$4:$KX$4,0))*1000</f>
        <v>0</v>
      </c>
      <c r="CM97" s="250">
        <f>INDEX(연료전지_원본!$KB$4:$KX$369,MATCH($A97,연료전지_원본!$KB$4:$KB$369,0), MATCH(CM$4,연료전지_원본!$KB$4:$KX$4,0))*1000</f>
        <v>0</v>
      </c>
      <c r="CN97" s="250">
        <f>INDEX(연료전지_원본!$KB$4:$KX$369,MATCH($A97,연료전지_원본!$KB$4:$KB$369,0), MATCH(CN$4,연료전지_원본!$KB$4:$KX$4,0))*1000</f>
        <v>0</v>
      </c>
      <c r="CO97" s="250">
        <f>INDEX(연료전지_원본!$KB$4:$KX$369,MATCH($A97,연료전지_원본!$KB$4:$KB$369,0), MATCH(CO$4,연료전지_원본!$KB$4:$KX$4,0))*1000</f>
        <v>0</v>
      </c>
      <c r="CP97" s="250">
        <f>INDEX(연료전지_원본!$KB$4:$KX$369,MATCH($A97,연료전지_원본!$KB$4:$KB$369,0), MATCH(CP$4,연료전지_원본!$KB$4:$KX$4,0))*1000</f>
        <v>0</v>
      </c>
      <c r="CQ97" s="250">
        <f>INDEX(연료전지_원본!$KB$4:$KX$369,MATCH($A97,연료전지_원본!$KB$4:$KB$369,0), MATCH(CQ$4,연료전지_원본!$KB$4:$KX$4,0))*1000</f>
        <v>0</v>
      </c>
      <c r="CR97" s="250">
        <f>INDEX(연료전지_원본!$KB$4:$KX$369,MATCH($A97,연료전지_원본!$KB$4:$KB$369,0), MATCH(CR$4,연료전지_원본!$KB$4:$KX$4,0))*1000</f>
        <v>0</v>
      </c>
      <c r="CS97" s="250">
        <f>INDEX(연료전지_원본!$KB$4:$KX$369,MATCH($A97,연료전지_원본!$KB$4:$KB$369,0), MATCH(CS$4,연료전지_원본!$KB$4:$KX$4,0))*1000</f>
        <v>0</v>
      </c>
      <c r="CT97" s="250">
        <f>INDEX(연료전지_원본!$KB$4:$KX$369,MATCH($A97,연료전지_원본!$KB$4:$KB$369,0), MATCH(CT$4,연료전지_원본!$KB$4:$KX$4,0))*1000</f>
        <v>0</v>
      </c>
      <c r="CU97" s="250">
        <f>INDEX(연료전지_원본!$KB$4:$KX$369,MATCH($A97,연료전지_원본!$KB$4:$KB$369,0), MATCH(CU$4,연료전지_원본!$KB$4:$KX$4,0))*1000</f>
        <v>0</v>
      </c>
      <c r="CV97" s="250">
        <f>INDEX(연료전지_원본!$KB$4:$KX$369,MATCH($A97,연료전지_원본!$KB$4:$KB$369,0), MATCH(CV$4,연료전지_원본!$KB$4:$KX$4,0))*1000</f>
        <v>0</v>
      </c>
      <c r="CW97" s="250">
        <f>INDEX(연료전지_원본!$KB$4:$KX$369,MATCH($A97,연료전지_원본!$KB$4:$KB$369,0), MATCH(CW$4,연료전지_원본!$KB$4:$KX$4,0))*1000</f>
        <v>0</v>
      </c>
      <c r="CX97" s="250">
        <f>INDEX(연료전지_원본!$KB$4:$KX$369,MATCH($A97,연료전지_원본!$KB$4:$KB$369,0), MATCH(CX$4,연료전지_원본!$KB$4:$KX$4,0))*1000</f>
        <v>0</v>
      </c>
      <c r="CY97" s="250">
        <f>INDEX(연료전지_원본!$KB$4:$KX$369,MATCH($A97,연료전지_원본!$KB$4:$KB$369,0), MATCH(CY$4,연료전지_원본!$KB$4:$KX$4,0))*1000</f>
        <v>0</v>
      </c>
      <c r="DV97" s="30">
        <f t="shared" si="297"/>
        <v>0</v>
      </c>
    </row>
    <row r="98" spans="1:126">
      <c r="A98" s="6">
        <v>46115</v>
      </c>
      <c r="B98" s="15">
        <f>운전실적_원본!B98</f>
        <v>651.20000000000005</v>
      </c>
      <c r="C98" s="16">
        <f t="shared" si="298"/>
        <v>0</v>
      </c>
      <c r="D98" s="12">
        <f>운전실적_원본!C98</f>
        <v>250669</v>
      </c>
      <c r="E98" s="12">
        <f t="shared" si="299"/>
        <v>50</v>
      </c>
      <c r="F98" s="12">
        <f>운전실적_원본!D98</f>
        <v>241927</v>
      </c>
      <c r="G98" s="16">
        <f t="shared" si="300"/>
        <v>0</v>
      </c>
      <c r="H98" s="15">
        <f>운전실적_원본!E98</f>
        <v>17380.830000000002</v>
      </c>
      <c r="I98" s="16">
        <f t="shared" si="301"/>
        <v>4.0500000000029104</v>
      </c>
      <c r="J98" s="15">
        <f>운전실적_원본!F98</f>
        <v>15552.1</v>
      </c>
      <c r="K98" s="16">
        <f t="shared" si="301"/>
        <v>0.37000000000080036</v>
      </c>
      <c r="L98" s="32">
        <f>운전실적_원본!G98</f>
        <v>56.6</v>
      </c>
      <c r="M98" s="31">
        <f t="shared" ref="M98" si="598">IF(OR(LEN(L98)=0,L98=0),"",L98-L97)</f>
        <v>1</v>
      </c>
      <c r="N98" s="15">
        <f>운전실적_원본!H98</f>
        <v>42091</v>
      </c>
      <c r="O98" s="16">
        <f t="shared" ref="O98" si="599">IF(OR(LEN(N98)=0,N98=0),"",N98-N97)</f>
        <v>101</v>
      </c>
      <c r="P98" s="15">
        <f>운전실적_원본!I98</f>
        <v>27037</v>
      </c>
      <c r="Q98" s="16">
        <f t="shared" ref="Q98" si="600">IF(OR(LEN(P98)=0,P98=0),"",P98-P97)</f>
        <v>70</v>
      </c>
      <c r="R98" s="18">
        <f>운전실적_원본!J98</f>
        <v>34</v>
      </c>
      <c r="S98" s="19">
        <f t="shared" ref="S98" si="601">IF(OR(LEN(R98)=0,R98=0),"",R98-R97)</f>
        <v>0.15800000000000125</v>
      </c>
      <c r="T98" s="18">
        <f>운전실적_원본!K98</f>
        <v>33.340000000000003</v>
      </c>
      <c r="U98" s="19">
        <f t="shared" si="306"/>
        <v>7.7000000000005286E-2</v>
      </c>
      <c r="V98" s="12">
        <f>운전실적_원본!L98</f>
        <v>7901</v>
      </c>
      <c r="W98" s="16">
        <f t="shared" ref="W98" si="602">IF(OR(LEN(V98)=0,V98=0),"",V98-V97)</f>
        <v>52.064000000000306</v>
      </c>
      <c r="X98" s="10">
        <f>운전실적_원본!M98</f>
        <v>0</v>
      </c>
      <c r="Y98" s="10">
        <f>운전실적_원본!N98</f>
        <v>0</v>
      </c>
      <c r="Z98" s="10">
        <f>운전실적_원본!O98</f>
        <v>0</v>
      </c>
      <c r="AA98" s="10">
        <f>운전실적_원본!P98</f>
        <v>0</v>
      </c>
      <c r="AB98" s="10">
        <f>운전실적_원본!Q98</f>
        <v>0</v>
      </c>
      <c r="AC98" s="20">
        <f>운전실적_원본!R98</f>
        <v>0</v>
      </c>
      <c r="AD98" s="109">
        <f>운전실적_원본!S98</f>
        <v>0</v>
      </c>
      <c r="AE98" s="110">
        <f>운전실적_원본!T98</f>
        <v>0</v>
      </c>
      <c r="AF98" s="110">
        <f>운전실적_원본!U98</f>
        <v>0</v>
      </c>
      <c r="AG98" s="110">
        <f>운전실적_원본!V98</f>
        <v>0</v>
      </c>
      <c r="AH98" s="109">
        <f t="shared" si="460"/>
        <v>0</v>
      </c>
      <c r="AI98" s="110">
        <f t="shared" si="467"/>
        <v>0</v>
      </c>
      <c r="AJ98" s="110">
        <f>운전실적_원본!Y98</f>
        <v>0</v>
      </c>
      <c r="AK98" s="110">
        <f>운전실적_원본!Z98</f>
        <v>0</v>
      </c>
      <c r="AL98" s="106"/>
      <c r="AM98" s="105"/>
      <c r="AN98" s="105"/>
      <c r="AO98" s="105"/>
      <c r="AP98" s="105"/>
      <c r="AQ98" s="108"/>
      <c r="AR98" s="105"/>
      <c r="AS98" s="105"/>
      <c r="AT98" s="102"/>
      <c r="AU98" s="102"/>
      <c r="AV98" s="102"/>
      <c r="AW98" s="102"/>
      <c r="AX98" s="32">
        <f>운전실적_원본!W98</f>
        <v>0</v>
      </c>
      <c r="AY98" s="11">
        <f>운전실적_원본!X98</f>
        <v>0</v>
      </c>
      <c r="AZ98" s="11">
        <f>운전실적_원본!Y98</f>
        <v>0</v>
      </c>
      <c r="BA98" s="11">
        <f>운전실적_원본!Z98</f>
        <v>0</v>
      </c>
      <c r="BB98" s="11">
        <f>운전실적_원본!AA98</f>
        <v>0</v>
      </c>
      <c r="BC98" s="11">
        <f>운전실적_원본!AB98</f>
        <v>0</v>
      </c>
      <c r="BD98" s="32" t="str">
        <f t="shared" si="453"/>
        <v>-</v>
      </c>
      <c r="BE98" s="11" t="str">
        <f t="shared" si="461"/>
        <v>-</v>
      </c>
      <c r="BF98" s="11">
        <f>운전실적_원본!AE98</f>
        <v>0</v>
      </c>
      <c r="BG98" s="31">
        <f t="shared" si="454"/>
        <v>0</v>
      </c>
      <c r="BH98" s="241">
        <f>INDEX(연료전지_원본!$A$4:$KY$369,MATCH($A98,연료전지_원본!$A$4:$A$369,0),MATCH($BH$4,연료전지_원본!$A$4:$KY$4,0))</f>
        <v>0</v>
      </c>
      <c r="BI98" s="241">
        <f>INDEX(연료전지_원본!$A$4:$KY$369,MATCH($A98,연료전지_원본!$A$4:$A$369,0),MATCH($BI$4,연료전지_원본!$A$4:$KY$4,0))</f>
        <v>0</v>
      </c>
      <c r="BJ98" s="241">
        <f>INDEX(연료전지_원본!$A$4:$KY$369,MATCH($A98,연료전지_원본!$A$4:$A$369,0),MATCH($BJ$4,연료전지_원본!$A$4:$KY$4,0))</f>
        <v>0</v>
      </c>
      <c r="BK98" s="241">
        <f>INDEX(연료전지_원본!$A$4:$KY$369,MATCH($A98,연료전지_원본!$A$4:$A$369,0),MATCH($BK$4,연료전지_원본!$A$4:$KY$4,0))</f>
        <v>0</v>
      </c>
      <c r="BL98" s="241">
        <f>INDEX(연료전지_원본!$A$4:$KY$369,MATCH($A98,연료전지_원본!$A$4:$A$369,0),MATCH($BL$4,연료전지_원본!$A$4:$KY$4,0))</f>
        <v>0</v>
      </c>
      <c r="BM98" s="241">
        <f>INDEX(연료전지_원본!$A$4:$KY$369,MATCH($A98,연료전지_원본!$A$4:$A$369,0),MATCH($BM$4,연료전지_원본!$A$4:$KY$4,0))</f>
        <v>0</v>
      </c>
      <c r="BN98" s="241">
        <f>INDEX(연료전지_원본!$A$4:$KY$369,MATCH($A98,연료전지_원본!$A$4:$A$369,0),MATCH($BN$4,연료전지_원본!$A$4:$KY$4,0))</f>
        <v>0</v>
      </c>
      <c r="BO98" s="241">
        <f>INDEX(연료전지_원본!$A$4:$KY$369,MATCH($A98,연료전지_원본!$A$4:$A$369,0),MATCH($BO$4,연료전지_원본!$A$4:$KY$4,0))</f>
        <v>0</v>
      </c>
      <c r="BP98" s="241">
        <f>INDEX(연료전지_원본!$A$4:$KY$369,MATCH($A98,연료전지_원본!$A$4:$A$369,0),MATCH($BP$4,연료전지_원본!$A$4:$KY$4,0))</f>
        <v>0</v>
      </c>
      <c r="BQ98" s="241">
        <f>INDEX(연료전지_원본!$A$4:$KY$369,MATCH($A98,연료전지_원본!$A$4:$A$369,0),MATCH($BQ$4,연료전지_원본!$A$4:$KY$4,0))</f>
        <v>0</v>
      </c>
      <c r="BR98" s="241">
        <f>INDEX(연료전지_원본!$A$4:$KY$369,MATCH($A98,연료전지_원본!$A$4:$A$369,0),MATCH($BR$4,연료전지_원본!$A$4:$KY$4,0))</f>
        <v>0</v>
      </c>
      <c r="BS98" s="241">
        <f>INDEX(연료전지_원본!$A$4:$KY$369,MATCH($A98,연료전지_원본!$A$4:$A$369,0),MATCH($BS$4,연료전지_원본!$A$4:$KY$4,0))</f>
        <v>0</v>
      </c>
      <c r="BT98" s="241">
        <f>INDEX(연료전지_원본!$A$4:$KY$369,MATCH($A98,연료전지_원본!$A$4:$A$369,0),MATCH($BT$4,연료전지_원본!$A$4:$KY$4,0))</f>
        <v>0</v>
      </c>
      <c r="BU98" s="241">
        <f>INDEX(연료전지_원본!$A$4:$KY$369,MATCH($A98,연료전지_원본!$A$4:$A$369,0),MATCH($BU$4,연료전지_원본!$A$4:$KY$4,0))</f>
        <v>0</v>
      </c>
      <c r="BV98" s="241">
        <f>INDEX(연료전지_원본!$A$4:$KY$369,MATCH($A98,연료전지_원본!$A$4:$A$369,0),MATCH($BV$4,연료전지_원본!$A$4:$KY$4,0))</f>
        <v>0</v>
      </c>
      <c r="BW98" s="241">
        <f>INDEX(연료전지_원본!$A$4:$KY$369,MATCH($A98,연료전지_원본!$A$4:$A$369,0),MATCH($BW$4,연료전지_원본!$A$4:$KY$4,0))</f>
        <v>0</v>
      </c>
      <c r="BX98" s="241">
        <f>INDEX(연료전지_원본!$A$4:$KY$369,MATCH($A98,연료전지_원본!$A$4:$A$369,0),MATCH($BX$4,연료전지_원본!$A$4:$KY$4,0))</f>
        <v>0</v>
      </c>
      <c r="BY98" s="241">
        <f>INDEX(연료전지_원본!$A$4:$KY$369,MATCH($A98,연료전지_원본!$A$4:$A$369,0),MATCH($BY$4,연료전지_원본!$A$4:$KY$4,0))</f>
        <v>0</v>
      </c>
      <c r="BZ98" s="241">
        <f>INDEX(연료전지_원본!$A$4:$KY$369,MATCH($A98,연료전지_원본!$A$4:$A$369,0),MATCH($BZ$4,연료전지_원본!$A$4:$KY$4,0))</f>
        <v>0</v>
      </c>
      <c r="CA98" s="241">
        <f>INDEX(연료전지_원본!$A$4:$KY$369,MATCH($A98,연료전지_원본!$A$4:$A$369,0),MATCH($CA$4,연료전지_원본!$A$4:$KY$4,0))</f>
        <v>0</v>
      </c>
      <c r="CB98" s="241">
        <f>INDEX(연료전지_원본!$A$4:$KY$369,MATCH($A98,연료전지_원본!$A$4:$A$369,0),MATCH($CB$4,연료전지_원본!$A$4:$KY$4,0))</f>
        <v>0</v>
      </c>
      <c r="CC98" s="242">
        <f>INDEX(연료전지_원본!$A$4:$KY$369,MATCH($A98,연료전지_원본!$A$4:$A$369,0),MATCH($CC$4,연료전지_원본!$A$4:$KY$4,0))</f>
        <v>0</v>
      </c>
      <c r="CD98" s="250">
        <f>INDEX(연료전지_원본!$KB$4:$KX$369,MATCH($A98,연료전지_원본!$KB$4:$KB$369,0), MATCH(CD$4,연료전지_원본!$KB$4:$KX$4,0))*1000</f>
        <v>0</v>
      </c>
      <c r="CE98" s="250">
        <f>INDEX(연료전지_원본!$KB$4:$KX$369,MATCH($A98,연료전지_원본!$KB$4:$KB$369,0), MATCH(CE$4,연료전지_원본!$KB$4:$KX$4,0))*1000</f>
        <v>0</v>
      </c>
      <c r="CF98" s="250">
        <f>INDEX(연료전지_원본!$KB$4:$KX$369,MATCH($A98,연료전지_원본!$KB$4:$KB$369,0), MATCH(CF$4,연료전지_원본!$KB$4:$KX$4,0))*1000</f>
        <v>0</v>
      </c>
      <c r="CG98" s="250">
        <f>INDEX(연료전지_원본!$KB$4:$KX$369,MATCH($A98,연료전지_원본!$KB$4:$KB$369,0), MATCH(CG$4,연료전지_원본!$KB$4:$KX$4,0))*1000</f>
        <v>0</v>
      </c>
      <c r="CH98" s="250">
        <f>INDEX(연료전지_원본!$KB$4:$KX$369,MATCH($A98,연료전지_원본!$KB$4:$KB$369,0), MATCH(CH$4,연료전지_원본!$KB$4:$KX$4,0))*1000</f>
        <v>0</v>
      </c>
      <c r="CI98" s="250">
        <f>INDEX(연료전지_원본!$KB$4:$KX$369,MATCH($A98,연료전지_원본!$KB$4:$KB$369,0), MATCH(CI$4,연료전지_원본!$KB$4:$KX$4,0))*1000</f>
        <v>0</v>
      </c>
      <c r="CJ98" s="250">
        <f>INDEX(연료전지_원본!$KB$4:$KX$369,MATCH($A98,연료전지_원본!$KB$4:$KB$369,0), MATCH(CJ$4,연료전지_원본!$KB$4:$KX$4,0))*1000</f>
        <v>0</v>
      </c>
      <c r="CK98" s="250">
        <f>INDEX(연료전지_원본!$KB$4:$KX$369,MATCH($A98,연료전지_원본!$KB$4:$KB$369,0), MATCH(CK$4,연료전지_원본!$KB$4:$KX$4,0))*1000</f>
        <v>0</v>
      </c>
      <c r="CL98" s="250">
        <f>INDEX(연료전지_원본!$KB$4:$KX$369,MATCH($A98,연료전지_원본!$KB$4:$KB$369,0), MATCH(CL$4,연료전지_원본!$KB$4:$KX$4,0))*1000</f>
        <v>0</v>
      </c>
      <c r="CM98" s="250">
        <f>INDEX(연료전지_원본!$KB$4:$KX$369,MATCH($A98,연료전지_원본!$KB$4:$KB$369,0), MATCH(CM$4,연료전지_원본!$KB$4:$KX$4,0))*1000</f>
        <v>0</v>
      </c>
      <c r="CN98" s="250">
        <f>INDEX(연료전지_원본!$KB$4:$KX$369,MATCH($A98,연료전지_원본!$KB$4:$KB$369,0), MATCH(CN$4,연료전지_원본!$KB$4:$KX$4,0))*1000</f>
        <v>0</v>
      </c>
      <c r="CO98" s="250">
        <f>INDEX(연료전지_원본!$KB$4:$KX$369,MATCH($A98,연료전지_원본!$KB$4:$KB$369,0), MATCH(CO$4,연료전지_원본!$KB$4:$KX$4,0))*1000</f>
        <v>0</v>
      </c>
      <c r="CP98" s="250">
        <f>INDEX(연료전지_원본!$KB$4:$KX$369,MATCH($A98,연료전지_원본!$KB$4:$KB$369,0), MATCH(CP$4,연료전지_원본!$KB$4:$KX$4,0))*1000</f>
        <v>0</v>
      </c>
      <c r="CQ98" s="250">
        <f>INDEX(연료전지_원본!$KB$4:$KX$369,MATCH($A98,연료전지_원본!$KB$4:$KB$369,0), MATCH(CQ$4,연료전지_원본!$KB$4:$KX$4,0))*1000</f>
        <v>0</v>
      </c>
      <c r="CR98" s="250">
        <f>INDEX(연료전지_원본!$KB$4:$KX$369,MATCH($A98,연료전지_원본!$KB$4:$KB$369,0), MATCH(CR$4,연료전지_원본!$KB$4:$KX$4,0))*1000</f>
        <v>0</v>
      </c>
      <c r="CS98" s="250">
        <f>INDEX(연료전지_원본!$KB$4:$KX$369,MATCH($A98,연료전지_원본!$KB$4:$KB$369,0), MATCH(CS$4,연료전지_원본!$KB$4:$KX$4,0))*1000</f>
        <v>0</v>
      </c>
      <c r="CT98" s="250">
        <f>INDEX(연료전지_원본!$KB$4:$KX$369,MATCH($A98,연료전지_원본!$KB$4:$KB$369,0), MATCH(CT$4,연료전지_원본!$KB$4:$KX$4,0))*1000</f>
        <v>0</v>
      </c>
      <c r="CU98" s="250">
        <f>INDEX(연료전지_원본!$KB$4:$KX$369,MATCH($A98,연료전지_원본!$KB$4:$KB$369,0), MATCH(CU$4,연료전지_원본!$KB$4:$KX$4,0))*1000</f>
        <v>0</v>
      </c>
      <c r="CV98" s="250">
        <f>INDEX(연료전지_원본!$KB$4:$KX$369,MATCH($A98,연료전지_원본!$KB$4:$KB$369,0), MATCH(CV$4,연료전지_원본!$KB$4:$KX$4,0))*1000</f>
        <v>0</v>
      </c>
      <c r="CW98" s="250">
        <f>INDEX(연료전지_원본!$KB$4:$KX$369,MATCH($A98,연료전지_원본!$KB$4:$KB$369,0), MATCH(CW$4,연료전지_원본!$KB$4:$KX$4,0))*1000</f>
        <v>0</v>
      </c>
      <c r="CX98" s="250">
        <f>INDEX(연료전지_원본!$KB$4:$KX$369,MATCH($A98,연료전지_원본!$KB$4:$KB$369,0), MATCH(CX$4,연료전지_원본!$KB$4:$KX$4,0))*1000</f>
        <v>0</v>
      </c>
      <c r="CY98" s="250">
        <f>INDEX(연료전지_원본!$KB$4:$KX$369,MATCH($A98,연료전지_원본!$KB$4:$KB$369,0), MATCH(CY$4,연료전지_원본!$KB$4:$KX$4,0))*1000</f>
        <v>0</v>
      </c>
      <c r="DV98" s="30">
        <f t="shared" si="297"/>
        <v>0</v>
      </c>
    </row>
    <row r="99" spans="1:126">
      <c r="A99" s="6">
        <v>46116</v>
      </c>
      <c r="B99" s="15">
        <f>운전실적_원본!B99</f>
        <v>651.20000000000005</v>
      </c>
      <c r="C99" s="16">
        <f t="shared" si="298"/>
        <v>0</v>
      </c>
      <c r="D99" s="12">
        <f>운전실적_원본!C99</f>
        <v>250669</v>
      </c>
      <c r="E99" s="12">
        <f t="shared" si="299"/>
        <v>0</v>
      </c>
      <c r="F99" s="12">
        <f>운전실적_원본!D99</f>
        <v>241927</v>
      </c>
      <c r="G99" s="16">
        <f t="shared" si="300"/>
        <v>0</v>
      </c>
      <c r="H99" s="15">
        <f>운전실적_원본!E99</f>
        <v>17382.29</v>
      </c>
      <c r="I99" s="16">
        <f t="shared" si="301"/>
        <v>1.4599999999991269</v>
      </c>
      <c r="J99" s="15">
        <f>운전실적_원본!F99</f>
        <v>15552.43</v>
      </c>
      <c r="K99" s="16">
        <f t="shared" si="301"/>
        <v>0.32999999999992724</v>
      </c>
      <c r="L99" s="32">
        <f>운전실적_원본!G99</f>
        <v>57.5</v>
      </c>
      <c r="M99" s="31">
        <f t="shared" ref="M99" si="603">IF(OR(LEN(L99)=0,L99=0),"",L99-L98)</f>
        <v>0.89999999999999858</v>
      </c>
      <c r="N99" s="15">
        <f>운전실적_원본!H99</f>
        <v>42182</v>
      </c>
      <c r="O99" s="16">
        <f t="shared" ref="O99" si="604">IF(OR(LEN(N99)=0,N99=0),"",N99-N98)</f>
        <v>91</v>
      </c>
      <c r="P99" s="15">
        <f>운전실적_원본!I99</f>
        <v>27058</v>
      </c>
      <c r="Q99" s="16">
        <f t="shared" ref="Q99" si="605">IF(OR(LEN(P99)=0,P99=0),"",P99-P98)</f>
        <v>21</v>
      </c>
      <c r="R99" s="18">
        <f>운전실적_원본!J99</f>
        <v>33.81</v>
      </c>
      <c r="S99" s="19">
        <f t="shared" ref="S99" si="606">IF(OR(LEN(R99)=0,R99=0),"",R99-R98)</f>
        <v>-0.18999999999999773</v>
      </c>
      <c r="T99" s="18">
        <f>운전실적_원본!K99</f>
        <v>33.369999999999997</v>
      </c>
      <c r="U99" s="19">
        <f t="shared" si="306"/>
        <v>2.9999999999994031E-2</v>
      </c>
      <c r="V99" s="12">
        <f>운전실적_원본!L99</f>
        <v>7509</v>
      </c>
      <c r="W99" s="16">
        <f t="shared" ref="W99" si="607">IF(OR(LEN(V99)=0,V99=0),"",V99-V98)</f>
        <v>-392</v>
      </c>
      <c r="X99" s="10">
        <f>운전실적_원본!M99</f>
        <v>0</v>
      </c>
      <c r="Y99" s="10">
        <f>운전실적_원본!N99</f>
        <v>0</v>
      </c>
      <c r="Z99" s="10">
        <f>운전실적_원본!O99</f>
        <v>0</v>
      </c>
      <c r="AA99" s="10">
        <f>운전실적_원본!P99</f>
        <v>0</v>
      </c>
      <c r="AB99" s="10">
        <f>운전실적_원본!Q99</f>
        <v>0</v>
      </c>
      <c r="AC99" s="20">
        <f>운전실적_원본!R99</f>
        <v>0</v>
      </c>
      <c r="AD99" s="109">
        <f>운전실적_원본!S99</f>
        <v>0</v>
      </c>
      <c r="AE99" s="110">
        <f>운전실적_원본!T99</f>
        <v>0</v>
      </c>
      <c r="AF99" s="110">
        <f>운전실적_원본!U99</f>
        <v>0</v>
      </c>
      <c r="AG99" s="110">
        <f>운전실적_원본!V99</f>
        <v>0</v>
      </c>
      <c r="AH99" s="109">
        <f t="shared" si="460"/>
        <v>0</v>
      </c>
      <c r="AI99" s="110">
        <f t="shared" si="467"/>
        <v>0</v>
      </c>
      <c r="AJ99" s="110">
        <f>운전실적_원본!Y99</f>
        <v>0</v>
      </c>
      <c r="AK99" s="110">
        <f>운전실적_원본!Z99</f>
        <v>0</v>
      </c>
      <c r="AL99" s="106"/>
      <c r="AM99" s="105"/>
      <c r="AN99" s="105"/>
      <c r="AO99" s="105"/>
      <c r="AP99" s="105"/>
      <c r="AQ99" s="108"/>
      <c r="AR99" s="105"/>
      <c r="AS99" s="105"/>
      <c r="AT99" s="102"/>
      <c r="AU99" s="102"/>
      <c r="AV99" s="102"/>
      <c r="AW99" s="102"/>
      <c r="AX99" s="32">
        <f>운전실적_원본!W99</f>
        <v>0</v>
      </c>
      <c r="AY99" s="11">
        <f>운전실적_원본!X99</f>
        <v>0</v>
      </c>
      <c r="AZ99" s="11">
        <f>운전실적_원본!Y99</f>
        <v>0</v>
      </c>
      <c r="BA99" s="11">
        <f>운전실적_원본!Z99</f>
        <v>0</v>
      </c>
      <c r="BB99" s="11">
        <f>운전실적_원본!AA99</f>
        <v>0</v>
      </c>
      <c r="BC99" s="11">
        <f>운전실적_원본!AB99</f>
        <v>0</v>
      </c>
      <c r="BD99" s="32" t="str">
        <f t="shared" si="453"/>
        <v>-</v>
      </c>
      <c r="BE99" s="11" t="str">
        <f t="shared" si="461"/>
        <v>-</v>
      </c>
      <c r="BF99" s="11">
        <f>운전실적_원본!AE99</f>
        <v>0</v>
      </c>
      <c r="BG99" s="31">
        <f t="shared" si="454"/>
        <v>0</v>
      </c>
      <c r="BH99" s="241">
        <f>INDEX(연료전지_원본!$A$4:$KY$369,MATCH($A99,연료전지_원본!$A$4:$A$369,0),MATCH($BH$4,연료전지_원본!$A$4:$KY$4,0))</f>
        <v>0</v>
      </c>
      <c r="BI99" s="241">
        <f>INDEX(연료전지_원본!$A$4:$KY$369,MATCH($A99,연료전지_원본!$A$4:$A$369,0),MATCH($BI$4,연료전지_원본!$A$4:$KY$4,0))</f>
        <v>0</v>
      </c>
      <c r="BJ99" s="241">
        <f>INDEX(연료전지_원본!$A$4:$KY$369,MATCH($A99,연료전지_원본!$A$4:$A$369,0),MATCH($BJ$4,연료전지_원본!$A$4:$KY$4,0))</f>
        <v>0</v>
      </c>
      <c r="BK99" s="241">
        <f>INDEX(연료전지_원본!$A$4:$KY$369,MATCH($A99,연료전지_원본!$A$4:$A$369,0),MATCH($BK$4,연료전지_원본!$A$4:$KY$4,0))</f>
        <v>0</v>
      </c>
      <c r="BL99" s="241">
        <f>INDEX(연료전지_원본!$A$4:$KY$369,MATCH($A99,연료전지_원본!$A$4:$A$369,0),MATCH($BL$4,연료전지_원본!$A$4:$KY$4,0))</f>
        <v>0</v>
      </c>
      <c r="BM99" s="241">
        <f>INDEX(연료전지_원본!$A$4:$KY$369,MATCH($A99,연료전지_원본!$A$4:$A$369,0),MATCH($BM$4,연료전지_원본!$A$4:$KY$4,0))</f>
        <v>0</v>
      </c>
      <c r="BN99" s="241">
        <f>INDEX(연료전지_원본!$A$4:$KY$369,MATCH($A99,연료전지_원본!$A$4:$A$369,0),MATCH($BN$4,연료전지_원본!$A$4:$KY$4,0))</f>
        <v>0</v>
      </c>
      <c r="BO99" s="241">
        <f>INDEX(연료전지_원본!$A$4:$KY$369,MATCH($A99,연료전지_원본!$A$4:$A$369,0),MATCH($BO$4,연료전지_원본!$A$4:$KY$4,0))</f>
        <v>0</v>
      </c>
      <c r="BP99" s="241">
        <f>INDEX(연료전지_원본!$A$4:$KY$369,MATCH($A99,연료전지_원본!$A$4:$A$369,0),MATCH($BP$4,연료전지_원본!$A$4:$KY$4,0))</f>
        <v>0</v>
      </c>
      <c r="BQ99" s="241">
        <f>INDEX(연료전지_원본!$A$4:$KY$369,MATCH($A99,연료전지_원본!$A$4:$A$369,0),MATCH($BQ$4,연료전지_원본!$A$4:$KY$4,0))</f>
        <v>0</v>
      </c>
      <c r="BR99" s="241">
        <f>INDEX(연료전지_원본!$A$4:$KY$369,MATCH($A99,연료전지_원본!$A$4:$A$369,0),MATCH($BR$4,연료전지_원본!$A$4:$KY$4,0))</f>
        <v>0</v>
      </c>
      <c r="BS99" s="241">
        <f>INDEX(연료전지_원본!$A$4:$KY$369,MATCH($A99,연료전지_원본!$A$4:$A$369,0),MATCH($BS$4,연료전지_원본!$A$4:$KY$4,0))</f>
        <v>0</v>
      </c>
      <c r="BT99" s="241">
        <f>INDEX(연료전지_원본!$A$4:$KY$369,MATCH($A99,연료전지_원본!$A$4:$A$369,0),MATCH($BT$4,연료전지_원본!$A$4:$KY$4,0))</f>
        <v>0</v>
      </c>
      <c r="BU99" s="241">
        <f>INDEX(연료전지_원본!$A$4:$KY$369,MATCH($A99,연료전지_원본!$A$4:$A$369,0),MATCH($BU$4,연료전지_원본!$A$4:$KY$4,0))</f>
        <v>0</v>
      </c>
      <c r="BV99" s="241">
        <f>INDEX(연료전지_원본!$A$4:$KY$369,MATCH($A99,연료전지_원본!$A$4:$A$369,0),MATCH($BV$4,연료전지_원본!$A$4:$KY$4,0))</f>
        <v>0</v>
      </c>
      <c r="BW99" s="241">
        <f>INDEX(연료전지_원본!$A$4:$KY$369,MATCH($A99,연료전지_원본!$A$4:$A$369,0),MATCH($BW$4,연료전지_원본!$A$4:$KY$4,0))</f>
        <v>0</v>
      </c>
      <c r="BX99" s="241">
        <f>INDEX(연료전지_원본!$A$4:$KY$369,MATCH($A99,연료전지_원본!$A$4:$A$369,0),MATCH($BX$4,연료전지_원본!$A$4:$KY$4,0))</f>
        <v>0</v>
      </c>
      <c r="BY99" s="241">
        <f>INDEX(연료전지_원본!$A$4:$KY$369,MATCH($A99,연료전지_원본!$A$4:$A$369,0),MATCH($BY$4,연료전지_원본!$A$4:$KY$4,0))</f>
        <v>0</v>
      </c>
      <c r="BZ99" s="241">
        <f>INDEX(연료전지_원본!$A$4:$KY$369,MATCH($A99,연료전지_원본!$A$4:$A$369,0),MATCH($BZ$4,연료전지_원본!$A$4:$KY$4,0))</f>
        <v>0</v>
      </c>
      <c r="CA99" s="241">
        <f>INDEX(연료전지_원본!$A$4:$KY$369,MATCH($A99,연료전지_원본!$A$4:$A$369,0),MATCH($CA$4,연료전지_원본!$A$4:$KY$4,0))</f>
        <v>0</v>
      </c>
      <c r="CB99" s="241">
        <f>INDEX(연료전지_원본!$A$4:$KY$369,MATCH($A99,연료전지_원본!$A$4:$A$369,0),MATCH($CB$4,연료전지_원본!$A$4:$KY$4,0))</f>
        <v>0</v>
      </c>
      <c r="CC99" s="242">
        <f>INDEX(연료전지_원본!$A$4:$KY$369,MATCH($A99,연료전지_원본!$A$4:$A$369,0),MATCH($CC$4,연료전지_원본!$A$4:$KY$4,0))</f>
        <v>0</v>
      </c>
      <c r="CD99" s="250">
        <f>INDEX(연료전지_원본!$KB$4:$KX$369,MATCH($A99,연료전지_원본!$KB$4:$KB$369,0), MATCH(CD$4,연료전지_원본!$KB$4:$KX$4,0))*1000</f>
        <v>0</v>
      </c>
      <c r="CE99" s="250">
        <f>INDEX(연료전지_원본!$KB$4:$KX$369,MATCH($A99,연료전지_원본!$KB$4:$KB$369,0), MATCH(CE$4,연료전지_원본!$KB$4:$KX$4,0))*1000</f>
        <v>0</v>
      </c>
      <c r="CF99" s="250">
        <f>INDEX(연료전지_원본!$KB$4:$KX$369,MATCH($A99,연료전지_원본!$KB$4:$KB$369,0), MATCH(CF$4,연료전지_원본!$KB$4:$KX$4,0))*1000</f>
        <v>0</v>
      </c>
      <c r="CG99" s="250">
        <f>INDEX(연료전지_원본!$KB$4:$KX$369,MATCH($A99,연료전지_원본!$KB$4:$KB$369,0), MATCH(CG$4,연료전지_원본!$KB$4:$KX$4,0))*1000</f>
        <v>0</v>
      </c>
      <c r="CH99" s="250">
        <f>INDEX(연료전지_원본!$KB$4:$KX$369,MATCH($A99,연료전지_원본!$KB$4:$KB$369,0), MATCH(CH$4,연료전지_원본!$KB$4:$KX$4,0))*1000</f>
        <v>0</v>
      </c>
      <c r="CI99" s="250">
        <f>INDEX(연료전지_원본!$KB$4:$KX$369,MATCH($A99,연료전지_원본!$KB$4:$KB$369,0), MATCH(CI$4,연료전지_원본!$KB$4:$KX$4,0))*1000</f>
        <v>0</v>
      </c>
      <c r="CJ99" s="250">
        <f>INDEX(연료전지_원본!$KB$4:$KX$369,MATCH($A99,연료전지_원본!$KB$4:$KB$369,0), MATCH(CJ$4,연료전지_원본!$KB$4:$KX$4,0))*1000</f>
        <v>0</v>
      </c>
      <c r="CK99" s="250">
        <f>INDEX(연료전지_원본!$KB$4:$KX$369,MATCH($A99,연료전지_원본!$KB$4:$KB$369,0), MATCH(CK$4,연료전지_원본!$KB$4:$KX$4,0))*1000</f>
        <v>0</v>
      </c>
      <c r="CL99" s="250">
        <f>INDEX(연료전지_원본!$KB$4:$KX$369,MATCH($A99,연료전지_원본!$KB$4:$KB$369,0), MATCH(CL$4,연료전지_원본!$KB$4:$KX$4,0))*1000</f>
        <v>0</v>
      </c>
      <c r="CM99" s="250">
        <f>INDEX(연료전지_원본!$KB$4:$KX$369,MATCH($A99,연료전지_원본!$KB$4:$KB$369,0), MATCH(CM$4,연료전지_원본!$KB$4:$KX$4,0))*1000</f>
        <v>0</v>
      </c>
      <c r="CN99" s="250">
        <f>INDEX(연료전지_원본!$KB$4:$KX$369,MATCH($A99,연료전지_원본!$KB$4:$KB$369,0), MATCH(CN$4,연료전지_원본!$KB$4:$KX$4,0))*1000</f>
        <v>0</v>
      </c>
      <c r="CO99" s="250">
        <f>INDEX(연료전지_원본!$KB$4:$KX$369,MATCH($A99,연료전지_원본!$KB$4:$KB$369,0), MATCH(CO$4,연료전지_원본!$KB$4:$KX$4,0))*1000</f>
        <v>0</v>
      </c>
      <c r="CP99" s="250">
        <f>INDEX(연료전지_원본!$KB$4:$KX$369,MATCH($A99,연료전지_원본!$KB$4:$KB$369,0), MATCH(CP$4,연료전지_원본!$KB$4:$KX$4,0))*1000</f>
        <v>0</v>
      </c>
      <c r="CQ99" s="250">
        <f>INDEX(연료전지_원본!$KB$4:$KX$369,MATCH($A99,연료전지_원본!$KB$4:$KB$369,0), MATCH(CQ$4,연료전지_원본!$KB$4:$KX$4,0))*1000</f>
        <v>0</v>
      </c>
      <c r="CR99" s="250">
        <f>INDEX(연료전지_원본!$KB$4:$KX$369,MATCH($A99,연료전지_원본!$KB$4:$KB$369,0), MATCH(CR$4,연료전지_원본!$KB$4:$KX$4,0))*1000</f>
        <v>0</v>
      </c>
      <c r="CS99" s="250">
        <f>INDEX(연료전지_원본!$KB$4:$KX$369,MATCH($A99,연료전지_원본!$KB$4:$KB$369,0), MATCH(CS$4,연료전지_원본!$KB$4:$KX$4,0))*1000</f>
        <v>0</v>
      </c>
      <c r="CT99" s="250">
        <f>INDEX(연료전지_원본!$KB$4:$KX$369,MATCH($A99,연료전지_원본!$KB$4:$KB$369,0), MATCH(CT$4,연료전지_원본!$KB$4:$KX$4,0))*1000</f>
        <v>0</v>
      </c>
      <c r="CU99" s="250">
        <f>INDEX(연료전지_원본!$KB$4:$KX$369,MATCH($A99,연료전지_원본!$KB$4:$KB$369,0), MATCH(CU$4,연료전지_원본!$KB$4:$KX$4,0))*1000</f>
        <v>0</v>
      </c>
      <c r="CV99" s="250">
        <f>INDEX(연료전지_원본!$KB$4:$KX$369,MATCH($A99,연료전지_원본!$KB$4:$KB$369,0), MATCH(CV$4,연료전지_원본!$KB$4:$KX$4,0))*1000</f>
        <v>0</v>
      </c>
      <c r="CW99" s="250">
        <f>INDEX(연료전지_원본!$KB$4:$KX$369,MATCH($A99,연료전지_원본!$KB$4:$KB$369,0), MATCH(CW$4,연료전지_원본!$KB$4:$KX$4,0))*1000</f>
        <v>0</v>
      </c>
      <c r="CX99" s="250">
        <f>INDEX(연료전지_원본!$KB$4:$KX$369,MATCH($A99,연료전지_원본!$KB$4:$KB$369,0), MATCH(CX$4,연료전지_원본!$KB$4:$KX$4,0))*1000</f>
        <v>0</v>
      </c>
      <c r="CY99" s="250">
        <f>INDEX(연료전지_원본!$KB$4:$KX$369,MATCH($A99,연료전지_원본!$KB$4:$KB$369,0), MATCH(CY$4,연료전지_원본!$KB$4:$KX$4,0))*1000</f>
        <v>0</v>
      </c>
      <c r="DV99" s="30">
        <f t="shared" si="297"/>
        <v>0</v>
      </c>
    </row>
    <row r="100" spans="1:126">
      <c r="A100" s="6">
        <v>46117</v>
      </c>
      <c r="B100" s="15">
        <f>운전실적_원본!B100</f>
        <v>651.20000000000005</v>
      </c>
      <c r="C100" s="16">
        <f t="shared" si="298"/>
        <v>0</v>
      </c>
      <c r="D100" s="12">
        <f>운전실적_원본!C100</f>
        <v>250682</v>
      </c>
      <c r="E100" s="12">
        <f t="shared" si="299"/>
        <v>13</v>
      </c>
      <c r="F100" s="12">
        <f>운전실적_원본!D100</f>
        <v>241927</v>
      </c>
      <c r="G100" s="16">
        <f t="shared" si="300"/>
        <v>0</v>
      </c>
      <c r="H100" s="15">
        <f>운전실적_원본!E100</f>
        <v>17384.09</v>
      </c>
      <c r="I100" s="16">
        <f t="shared" si="301"/>
        <v>1.7999999999992724</v>
      </c>
      <c r="J100" s="15">
        <f>운전실적_원본!F100</f>
        <v>15553.09</v>
      </c>
      <c r="K100" s="16">
        <f t="shared" si="301"/>
        <v>0.65999999999985448</v>
      </c>
      <c r="L100" s="32">
        <f>운전실적_원본!G100</f>
        <v>57.9</v>
      </c>
      <c r="M100" s="31">
        <f t="shared" ref="M100" si="608">IF(OR(LEN(L100)=0,L100=0),"",L100-L99)</f>
        <v>0.39999999999999858</v>
      </c>
      <c r="N100" s="15">
        <f>운전실적_원본!H100</f>
        <v>42182</v>
      </c>
      <c r="O100" s="16">
        <f t="shared" ref="O100" si="609">IF(OR(LEN(N100)=0,N100=0),"",N100-N99)</f>
        <v>0</v>
      </c>
      <c r="P100" s="15">
        <f>운전실적_원본!I100</f>
        <v>27124</v>
      </c>
      <c r="Q100" s="16">
        <f t="shared" ref="Q100" si="610">IF(OR(LEN(P100)=0,P100=0),"",P100-P99)</f>
        <v>66</v>
      </c>
      <c r="R100" s="18">
        <f>운전실적_원본!J100</f>
        <v>33.770000000000003</v>
      </c>
      <c r="S100" s="19">
        <f t="shared" ref="S100" si="611">IF(OR(LEN(R100)=0,R100=0),"",R100-R99)</f>
        <v>-3.9999999999999147E-2</v>
      </c>
      <c r="T100" s="18">
        <f>운전실적_원본!K100</f>
        <v>33.42</v>
      </c>
      <c r="U100" s="19">
        <f t="shared" si="306"/>
        <v>5.0000000000004263E-2</v>
      </c>
      <c r="V100" s="12">
        <f>운전실적_원본!L100</f>
        <v>7566</v>
      </c>
      <c r="W100" s="16">
        <f t="shared" ref="W100" si="612">IF(OR(LEN(V100)=0,V100=0),"",V100-V99)</f>
        <v>57</v>
      </c>
      <c r="X100" s="10">
        <f>운전실적_원본!M100</f>
        <v>492.32999999821186</v>
      </c>
      <c r="Y100" s="10">
        <f>운전실적_원본!N100</f>
        <v>0</v>
      </c>
      <c r="Z100" s="10">
        <f>운전실적_원본!O100</f>
        <v>0</v>
      </c>
      <c r="AA100" s="10">
        <f>운전실적_원본!P100</f>
        <v>0</v>
      </c>
      <c r="AB100" s="10">
        <f>운전실적_원본!Q100</f>
        <v>0</v>
      </c>
      <c r="AC100" s="20">
        <f>운전실적_원본!R100</f>
        <v>0</v>
      </c>
      <c r="AD100" s="109">
        <f>운전실적_원본!S100</f>
        <v>1</v>
      </c>
      <c r="AE100" s="110">
        <f>운전실적_원본!T100</f>
        <v>0</v>
      </c>
      <c r="AF100" s="110">
        <f>운전실적_원본!U100</f>
        <v>0</v>
      </c>
      <c r="AG100" s="110">
        <f>운전실적_원본!V100</f>
        <v>0</v>
      </c>
      <c r="AH100" s="109">
        <f t="shared" si="460"/>
        <v>1.1666666666278616</v>
      </c>
      <c r="AI100" s="110">
        <f t="shared" si="467"/>
        <v>0</v>
      </c>
      <c r="AJ100" s="110">
        <f>운전실적_원본!Y100</f>
        <v>0</v>
      </c>
      <c r="AK100" s="110">
        <f>운전실적_원본!Z100</f>
        <v>0</v>
      </c>
      <c r="AL100" s="106">
        <v>46117.951388888891</v>
      </c>
      <c r="AM100" s="105">
        <f>AL101</f>
        <v>46118</v>
      </c>
      <c r="AN100" s="105"/>
      <c r="AO100" s="105"/>
      <c r="AP100" s="105"/>
      <c r="AQ100" s="108"/>
      <c r="AR100" s="105"/>
      <c r="AS100" s="105"/>
      <c r="AT100" s="102"/>
      <c r="AU100" s="102"/>
      <c r="AV100" s="102"/>
      <c r="AW100" s="102"/>
      <c r="AX100" s="32">
        <f>운전실적_원본!W100</f>
        <v>0</v>
      </c>
      <c r="AY100" s="11">
        <f>운전실적_원본!X100</f>
        <v>0</v>
      </c>
      <c r="AZ100" s="11">
        <f>운전실적_원본!Y100</f>
        <v>0</v>
      </c>
      <c r="BA100" s="11">
        <f>운전실적_원본!Z100</f>
        <v>0</v>
      </c>
      <c r="BB100" s="11">
        <f>운전실적_원본!AA100</f>
        <v>0</v>
      </c>
      <c r="BC100" s="11">
        <f>운전실적_원본!AB100</f>
        <v>0</v>
      </c>
      <c r="BD100" s="32">
        <f t="shared" si="453"/>
        <v>0</v>
      </c>
      <c r="BE100" s="11">
        <f t="shared" si="461"/>
        <v>0</v>
      </c>
      <c r="BF100" s="11">
        <f>운전실적_원본!AE100</f>
        <v>0</v>
      </c>
      <c r="BG100" s="31">
        <f t="shared" si="454"/>
        <v>0</v>
      </c>
      <c r="BH100" s="241">
        <f>INDEX(연료전지_원본!$A$4:$KY$369,MATCH($A100,연료전지_원본!$A$4:$A$369,0),MATCH($BH$4,연료전지_원본!$A$4:$KY$4,0))</f>
        <v>0</v>
      </c>
      <c r="BI100" s="241">
        <f>INDEX(연료전지_원본!$A$4:$KY$369,MATCH($A100,연료전지_원본!$A$4:$A$369,0),MATCH($BI$4,연료전지_원본!$A$4:$KY$4,0))</f>
        <v>0</v>
      </c>
      <c r="BJ100" s="241">
        <f>INDEX(연료전지_원본!$A$4:$KY$369,MATCH($A100,연료전지_원본!$A$4:$A$369,0),MATCH($BJ$4,연료전지_원본!$A$4:$KY$4,0))</f>
        <v>0</v>
      </c>
      <c r="BK100" s="241">
        <f>INDEX(연료전지_원본!$A$4:$KY$369,MATCH($A100,연료전지_원본!$A$4:$A$369,0),MATCH($BK$4,연료전지_원본!$A$4:$KY$4,0))</f>
        <v>0</v>
      </c>
      <c r="BL100" s="241">
        <f>INDEX(연료전지_원본!$A$4:$KY$369,MATCH($A100,연료전지_원본!$A$4:$A$369,0),MATCH($BL$4,연료전지_원본!$A$4:$KY$4,0))</f>
        <v>0</v>
      </c>
      <c r="BM100" s="241">
        <f>INDEX(연료전지_원본!$A$4:$KY$369,MATCH($A100,연료전지_원본!$A$4:$A$369,0),MATCH($BM$4,연료전지_원본!$A$4:$KY$4,0))</f>
        <v>0</v>
      </c>
      <c r="BN100" s="241">
        <f>INDEX(연료전지_원본!$A$4:$KY$369,MATCH($A100,연료전지_원본!$A$4:$A$369,0),MATCH($BN$4,연료전지_원본!$A$4:$KY$4,0))</f>
        <v>0</v>
      </c>
      <c r="BO100" s="241">
        <f>INDEX(연료전지_원본!$A$4:$KY$369,MATCH($A100,연료전지_원본!$A$4:$A$369,0),MATCH($BO$4,연료전지_원본!$A$4:$KY$4,0))</f>
        <v>0</v>
      </c>
      <c r="BP100" s="241">
        <f>INDEX(연료전지_원본!$A$4:$KY$369,MATCH($A100,연료전지_원본!$A$4:$A$369,0),MATCH($BP$4,연료전지_원본!$A$4:$KY$4,0))</f>
        <v>0</v>
      </c>
      <c r="BQ100" s="241">
        <f>INDEX(연료전지_원본!$A$4:$KY$369,MATCH($A100,연료전지_원본!$A$4:$A$369,0),MATCH($BQ$4,연료전지_원본!$A$4:$KY$4,0))</f>
        <v>0</v>
      </c>
      <c r="BR100" s="241">
        <f>INDEX(연료전지_원본!$A$4:$KY$369,MATCH($A100,연료전지_원본!$A$4:$A$369,0),MATCH($BR$4,연료전지_원본!$A$4:$KY$4,0))</f>
        <v>0</v>
      </c>
      <c r="BS100" s="241">
        <f>INDEX(연료전지_원본!$A$4:$KY$369,MATCH($A100,연료전지_원본!$A$4:$A$369,0),MATCH($BS$4,연료전지_원본!$A$4:$KY$4,0))</f>
        <v>0</v>
      </c>
      <c r="BT100" s="241">
        <f>INDEX(연료전지_원본!$A$4:$KY$369,MATCH($A100,연료전지_원본!$A$4:$A$369,0),MATCH($BT$4,연료전지_원본!$A$4:$KY$4,0))</f>
        <v>0</v>
      </c>
      <c r="BU100" s="241">
        <f>INDEX(연료전지_원본!$A$4:$KY$369,MATCH($A100,연료전지_원본!$A$4:$A$369,0),MATCH($BU$4,연료전지_원본!$A$4:$KY$4,0))</f>
        <v>0</v>
      </c>
      <c r="BV100" s="241">
        <f>INDEX(연료전지_원본!$A$4:$KY$369,MATCH($A100,연료전지_원본!$A$4:$A$369,0),MATCH($BV$4,연료전지_원본!$A$4:$KY$4,0))</f>
        <v>0</v>
      </c>
      <c r="BW100" s="241">
        <f>INDEX(연료전지_원본!$A$4:$KY$369,MATCH($A100,연료전지_원본!$A$4:$A$369,0),MATCH($BW$4,연료전지_원본!$A$4:$KY$4,0))</f>
        <v>0</v>
      </c>
      <c r="BX100" s="241">
        <f>INDEX(연료전지_원본!$A$4:$KY$369,MATCH($A100,연료전지_원본!$A$4:$A$369,0),MATCH($BX$4,연료전지_원본!$A$4:$KY$4,0))</f>
        <v>0</v>
      </c>
      <c r="BY100" s="241">
        <f>INDEX(연료전지_원본!$A$4:$KY$369,MATCH($A100,연료전지_원본!$A$4:$A$369,0),MATCH($BY$4,연료전지_원본!$A$4:$KY$4,0))</f>
        <v>0</v>
      </c>
      <c r="BZ100" s="241">
        <f>INDEX(연료전지_원본!$A$4:$KY$369,MATCH($A100,연료전지_원본!$A$4:$A$369,0),MATCH($BZ$4,연료전지_원본!$A$4:$KY$4,0))</f>
        <v>0</v>
      </c>
      <c r="CA100" s="241">
        <f>INDEX(연료전지_원본!$A$4:$KY$369,MATCH($A100,연료전지_원본!$A$4:$A$369,0),MATCH($CA$4,연료전지_원본!$A$4:$KY$4,0))</f>
        <v>0</v>
      </c>
      <c r="CB100" s="241">
        <f>INDEX(연료전지_원본!$A$4:$KY$369,MATCH($A100,연료전지_원본!$A$4:$A$369,0),MATCH($CB$4,연료전지_원본!$A$4:$KY$4,0))</f>
        <v>0</v>
      </c>
      <c r="CC100" s="242">
        <f>INDEX(연료전지_원본!$A$4:$KY$369,MATCH($A100,연료전지_원본!$A$4:$A$369,0),MATCH($CC$4,연료전지_원본!$A$4:$KY$4,0))</f>
        <v>0</v>
      </c>
      <c r="CD100" s="250">
        <f>INDEX(연료전지_원본!$KB$4:$KX$369,MATCH($A100,연료전지_원본!$KB$4:$KB$369,0), MATCH(CD$4,연료전지_원본!$KB$4:$KX$4,0))*1000</f>
        <v>0</v>
      </c>
      <c r="CE100" s="250">
        <f>INDEX(연료전지_원본!$KB$4:$KX$369,MATCH($A100,연료전지_원본!$KB$4:$KB$369,0), MATCH(CE$4,연료전지_원본!$KB$4:$KX$4,0))*1000</f>
        <v>0</v>
      </c>
      <c r="CF100" s="250">
        <f>INDEX(연료전지_원본!$KB$4:$KX$369,MATCH($A100,연료전지_원본!$KB$4:$KB$369,0), MATCH(CF$4,연료전지_원본!$KB$4:$KX$4,0))*1000</f>
        <v>0</v>
      </c>
      <c r="CG100" s="250">
        <f>INDEX(연료전지_원본!$KB$4:$KX$369,MATCH($A100,연료전지_원본!$KB$4:$KB$369,0), MATCH(CG$4,연료전지_원본!$KB$4:$KX$4,0))*1000</f>
        <v>0</v>
      </c>
      <c r="CH100" s="250">
        <f>INDEX(연료전지_원본!$KB$4:$KX$369,MATCH($A100,연료전지_원본!$KB$4:$KB$369,0), MATCH(CH$4,연료전지_원본!$KB$4:$KX$4,0))*1000</f>
        <v>0</v>
      </c>
      <c r="CI100" s="250">
        <f>INDEX(연료전지_원본!$KB$4:$KX$369,MATCH($A100,연료전지_원본!$KB$4:$KB$369,0), MATCH(CI$4,연료전지_원본!$KB$4:$KX$4,0))*1000</f>
        <v>0</v>
      </c>
      <c r="CJ100" s="250">
        <f>INDEX(연료전지_원본!$KB$4:$KX$369,MATCH($A100,연료전지_원본!$KB$4:$KB$369,0), MATCH(CJ$4,연료전지_원본!$KB$4:$KX$4,0))*1000</f>
        <v>0</v>
      </c>
      <c r="CK100" s="250">
        <f>INDEX(연료전지_원본!$KB$4:$KX$369,MATCH($A100,연료전지_원본!$KB$4:$KB$369,0), MATCH(CK$4,연료전지_원본!$KB$4:$KX$4,0))*1000</f>
        <v>0</v>
      </c>
      <c r="CL100" s="250">
        <f>INDEX(연료전지_원본!$KB$4:$KX$369,MATCH($A100,연료전지_원본!$KB$4:$KB$369,0), MATCH(CL$4,연료전지_원본!$KB$4:$KX$4,0))*1000</f>
        <v>0</v>
      </c>
      <c r="CM100" s="250">
        <f>INDEX(연료전지_원본!$KB$4:$KX$369,MATCH($A100,연료전지_원본!$KB$4:$KB$369,0), MATCH(CM$4,연료전지_원본!$KB$4:$KX$4,0))*1000</f>
        <v>0</v>
      </c>
      <c r="CN100" s="250">
        <f>INDEX(연료전지_원본!$KB$4:$KX$369,MATCH($A100,연료전지_원본!$KB$4:$KB$369,0), MATCH(CN$4,연료전지_원본!$KB$4:$KX$4,0))*1000</f>
        <v>0</v>
      </c>
      <c r="CO100" s="250">
        <f>INDEX(연료전지_원본!$KB$4:$KX$369,MATCH($A100,연료전지_원본!$KB$4:$KB$369,0), MATCH(CO$4,연료전지_원본!$KB$4:$KX$4,0))*1000</f>
        <v>0</v>
      </c>
      <c r="CP100" s="250">
        <f>INDEX(연료전지_원본!$KB$4:$KX$369,MATCH($A100,연료전지_원본!$KB$4:$KB$369,0), MATCH(CP$4,연료전지_원본!$KB$4:$KX$4,0))*1000</f>
        <v>0</v>
      </c>
      <c r="CQ100" s="250">
        <f>INDEX(연료전지_원본!$KB$4:$KX$369,MATCH($A100,연료전지_원본!$KB$4:$KB$369,0), MATCH(CQ$4,연료전지_원본!$KB$4:$KX$4,0))*1000</f>
        <v>0</v>
      </c>
      <c r="CR100" s="250">
        <f>INDEX(연료전지_원본!$KB$4:$KX$369,MATCH($A100,연료전지_원본!$KB$4:$KB$369,0), MATCH(CR$4,연료전지_원본!$KB$4:$KX$4,0))*1000</f>
        <v>0</v>
      </c>
      <c r="CS100" s="250">
        <f>INDEX(연료전지_원본!$KB$4:$KX$369,MATCH($A100,연료전지_원본!$KB$4:$KB$369,0), MATCH(CS$4,연료전지_원본!$KB$4:$KX$4,0))*1000</f>
        <v>0</v>
      </c>
      <c r="CT100" s="250">
        <f>INDEX(연료전지_원본!$KB$4:$KX$369,MATCH($A100,연료전지_원본!$KB$4:$KB$369,0), MATCH(CT$4,연료전지_원본!$KB$4:$KX$4,0))*1000</f>
        <v>0</v>
      </c>
      <c r="CU100" s="250">
        <f>INDEX(연료전지_원본!$KB$4:$KX$369,MATCH($A100,연료전지_원본!$KB$4:$KB$369,0), MATCH(CU$4,연료전지_원본!$KB$4:$KX$4,0))*1000</f>
        <v>0</v>
      </c>
      <c r="CV100" s="250">
        <f>INDEX(연료전지_원본!$KB$4:$KX$369,MATCH($A100,연료전지_원본!$KB$4:$KB$369,0), MATCH(CV$4,연료전지_원본!$KB$4:$KX$4,0))*1000</f>
        <v>0</v>
      </c>
      <c r="CW100" s="250">
        <f>INDEX(연료전지_원본!$KB$4:$KX$369,MATCH($A100,연료전지_원본!$KB$4:$KB$369,0), MATCH(CW$4,연료전지_원본!$KB$4:$KX$4,0))*1000</f>
        <v>0</v>
      </c>
      <c r="CX100" s="250">
        <f>INDEX(연료전지_원본!$KB$4:$KX$369,MATCH($A100,연료전지_원본!$KB$4:$KB$369,0), MATCH(CX$4,연료전지_원본!$KB$4:$KX$4,0))*1000</f>
        <v>0</v>
      </c>
      <c r="CY100" s="250">
        <f>INDEX(연료전지_원본!$KB$4:$KX$369,MATCH($A100,연료전지_원본!$KB$4:$KB$369,0), MATCH(CY$4,연료전지_원본!$KB$4:$KX$4,0))*1000</f>
        <v>0</v>
      </c>
      <c r="DV100" s="30">
        <f t="shared" si="297"/>
        <v>0</v>
      </c>
    </row>
    <row r="101" spans="1:126">
      <c r="A101" s="6">
        <v>46118</v>
      </c>
      <c r="B101" s="15">
        <f>운전실적_원본!B101</f>
        <v>651.20000000000005</v>
      </c>
      <c r="C101" s="16">
        <f t="shared" si="298"/>
        <v>0</v>
      </c>
      <c r="D101" s="12">
        <f>운전실적_원본!C101</f>
        <v>250695</v>
      </c>
      <c r="E101" s="12">
        <f t="shared" si="299"/>
        <v>13</v>
      </c>
      <c r="F101" s="12">
        <f>운전실적_원본!D101</f>
        <v>241954</v>
      </c>
      <c r="G101" s="16">
        <f t="shared" si="300"/>
        <v>27</v>
      </c>
      <c r="H101" s="15">
        <f>운전실적_원본!E101</f>
        <v>17387.95</v>
      </c>
      <c r="I101" s="16">
        <f t="shared" si="301"/>
        <v>3.8600000000005821</v>
      </c>
      <c r="J101" s="15">
        <f>운전실적_원본!F101</f>
        <v>15553.64</v>
      </c>
      <c r="K101" s="16">
        <f t="shared" si="301"/>
        <v>0.5499999999992724</v>
      </c>
      <c r="L101" s="32">
        <f>운전실적_원본!G101</f>
        <v>58.7</v>
      </c>
      <c r="M101" s="31">
        <f t="shared" ref="M101" si="613">IF(OR(LEN(L101)=0,L101=0),"",L101-L100)</f>
        <v>0.80000000000000426</v>
      </c>
      <c r="N101" s="15">
        <f>운전실적_원본!H101</f>
        <v>42256</v>
      </c>
      <c r="O101" s="16">
        <f t="shared" ref="O101" si="614">IF(OR(LEN(N101)=0,N101=0),"",N101-N100)</f>
        <v>74</v>
      </c>
      <c r="P101" s="15">
        <f>운전실적_원본!I101</f>
        <v>27200</v>
      </c>
      <c r="Q101" s="16">
        <f t="shared" ref="Q101" si="615">IF(OR(LEN(P101)=0,P101=0),"",P101-P100)</f>
        <v>76</v>
      </c>
      <c r="R101" s="18">
        <f>운전실적_원본!J101</f>
        <v>33.81</v>
      </c>
      <c r="S101" s="19">
        <f t="shared" ref="S101" si="616">IF(OR(LEN(R101)=0,R101=0),"",R101-R100)</f>
        <v>3.9999999999999147E-2</v>
      </c>
      <c r="T101" s="18">
        <f>운전실적_원본!K101</f>
        <v>33.44</v>
      </c>
      <c r="U101" s="19">
        <f t="shared" si="306"/>
        <v>1.9999999999996021E-2</v>
      </c>
      <c r="V101" s="12">
        <f>운전실적_원본!L101</f>
        <v>7697</v>
      </c>
      <c r="W101" s="16">
        <f t="shared" ref="W101" si="617">IF(OR(LEN(V101)=0,V101=0),"",V101-V100)</f>
        <v>131</v>
      </c>
      <c r="X101" s="10">
        <f>운전실적_원본!M101</f>
        <v>831.85999999940395</v>
      </c>
      <c r="Y101" s="10">
        <f>운전실적_원본!N101</f>
        <v>0</v>
      </c>
      <c r="Z101" s="10">
        <f>운전실적_원본!O101</f>
        <v>0</v>
      </c>
      <c r="AA101" s="10">
        <f>운전실적_원본!P101</f>
        <v>0</v>
      </c>
      <c r="AB101" s="10">
        <f>운전실적_원본!Q101</f>
        <v>0</v>
      </c>
      <c r="AC101" s="20">
        <f>운전실적_원본!R101</f>
        <v>0</v>
      </c>
      <c r="AD101" s="109">
        <f>운전실적_원본!S101</f>
        <v>0</v>
      </c>
      <c r="AE101" s="110">
        <f>운전실적_원본!T101</f>
        <v>0</v>
      </c>
      <c r="AF101" s="110">
        <f>운전실적_원본!U101</f>
        <v>0</v>
      </c>
      <c r="AG101" s="110">
        <f>운전실적_원본!V101</f>
        <v>0</v>
      </c>
      <c r="AH101" s="109">
        <f t="shared" si="460"/>
        <v>1.5</v>
      </c>
      <c r="AI101" s="110">
        <f t="shared" si="467"/>
        <v>0</v>
      </c>
      <c r="AJ101" s="110">
        <f>운전실적_원본!Y101</f>
        <v>0</v>
      </c>
      <c r="AK101" s="110">
        <f>운전실적_원본!Z101</f>
        <v>0</v>
      </c>
      <c r="AL101" s="106">
        <v>46118</v>
      </c>
      <c r="AM101" s="105">
        <v>46118.0625</v>
      </c>
      <c r="AN101" s="105"/>
      <c r="AO101" s="105"/>
      <c r="AP101" s="105"/>
      <c r="AQ101" s="108"/>
      <c r="AR101" s="105"/>
      <c r="AS101" s="105"/>
      <c r="AT101" s="102"/>
      <c r="AU101" s="102"/>
      <c r="AV101" s="102"/>
      <c r="AW101" s="102"/>
      <c r="AX101" s="32">
        <f>운전실적_원본!W101</f>
        <v>0</v>
      </c>
      <c r="AY101" s="11">
        <f>운전실적_원본!X101</f>
        <v>0</v>
      </c>
      <c r="AZ101" s="11">
        <f>운전실적_원본!Y101</f>
        <v>0</v>
      </c>
      <c r="BA101" s="11">
        <f>운전실적_원본!Z101</f>
        <v>0</v>
      </c>
      <c r="BB101" s="11">
        <f>운전실적_원본!AA101</f>
        <v>0</v>
      </c>
      <c r="BC101" s="11">
        <f>운전실적_원본!AB101</f>
        <v>0</v>
      </c>
      <c r="BD101" s="32" t="str">
        <f t="shared" si="453"/>
        <v>-</v>
      </c>
      <c r="BE101" s="11" t="str">
        <f t="shared" si="461"/>
        <v>-</v>
      </c>
      <c r="BF101" s="11">
        <f>운전실적_원본!AE101</f>
        <v>0</v>
      </c>
      <c r="BG101" s="31">
        <f t="shared" si="454"/>
        <v>0</v>
      </c>
      <c r="BH101" s="241">
        <f>INDEX(연료전지_원본!$A$4:$KY$369,MATCH($A101,연료전지_원본!$A$4:$A$369,0),MATCH($BH$4,연료전지_원본!$A$4:$KY$4,0))</f>
        <v>0</v>
      </c>
      <c r="BI101" s="241">
        <f>INDEX(연료전지_원본!$A$4:$KY$369,MATCH($A101,연료전지_원본!$A$4:$A$369,0),MATCH($BI$4,연료전지_원본!$A$4:$KY$4,0))</f>
        <v>0</v>
      </c>
      <c r="BJ101" s="241">
        <f>INDEX(연료전지_원본!$A$4:$KY$369,MATCH($A101,연료전지_원본!$A$4:$A$369,0),MATCH($BJ$4,연료전지_원본!$A$4:$KY$4,0))</f>
        <v>0</v>
      </c>
      <c r="BK101" s="241">
        <f>INDEX(연료전지_원본!$A$4:$KY$369,MATCH($A101,연료전지_원본!$A$4:$A$369,0),MATCH($BK$4,연료전지_원본!$A$4:$KY$4,0))</f>
        <v>0</v>
      </c>
      <c r="BL101" s="241">
        <f>INDEX(연료전지_원본!$A$4:$KY$369,MATCH($A101,연료전지_원본!$A$4:$A$369,0),MATCH($BL$4,연료전지_원본!$A$4:$KY$4,0))</f>
        <v>0</v>
      </c>
      <c r="BM101" s="241">
        <f>INDEX(연료전지_원본!$A$4:$KY$369,MATCH($A101,연료전지_원본!$A$4:$A$369,0),MATCH($BM$4,연료전지_원본!$A$4:$KY$4,0))</f>
        <v>0</v>
      </c>
      <c r="BN101" s="241">
        <f>INDEX(연료전지_원본!$A$4:$KY$369,MATCH($A101,연료전지_원본!$A$4:$A$369,0),MATCH($BN$4,연료전지_원본!$A$4:$KY$4,0))</f>
        <v>0</v>
      </c>
      <c r="BO101" s="241">
        <f>INDEX(연료전지_원본!$A$4:$KY$369,MATCH($A101,연료전지_원본!$A$4:$A$369,0),MATCH($BO$4,연료전지_원본!$A$4:$KY$4,0))</f>
        <v>0</v>
      </c>
      <c r="BP101" s="241">
        <f>INDEX(연료전지_원본!$A$4:$KY$369,MATCH($A101,연료전지_원본!$A$4:$A$369,0),MATCH($BP$4,연료전지_원본!$A$4:$KY$4,0))</f>
        <v>0</v>
      </c>
      <c r="BQ101" s="241">
        <f>INDEX(연료전지_원본!$A$4:$KY$369,MATCH($A101,연료전지_원본!$A$4:$A$369,0),MATCH($BQ$4,연료전지_원본!$A$4:$KY$4,0))</f>
        <v>0</v>
      </c>
      <c r="BR101" s="241">
        <f>INDEX(연료전지_원본!$A$4:$KY$369,MATCH($A101,연료전지_원본!$A$4:$A$369,0),MATCH($BR$4,연료전지_원본!$A$4:$KY$4,0))</f>
        <v>0</v>
      </c>
      <c r="BS101" s="241">
        <f>INDEX(연료전지_원본!$A$4:$KY$369,MATCH($A101,연료전지_원본!$A$4:$A$369,0),MATCH($BS$4,연료전지_원본!$A$4:$KY$4,0))</f>
        <v>0</v>
      </c>
      <c r="BT101" s="241">
        <f>INDEX(연료전지_원본!$A$4:$KY$369,MATCH($A101,연료전지_원본!$A$4:$A$369,0),MATCH($BT$4,연료전지_원본!$A$4:$KY$4,0))</f>
        <v>0</v>
      </c>
      <c r="BU101" s="241">
        <f>INDEX(연료전지_원본!$A$4:$KY$369,MATCH($A101,연료전지_원본!$A$4:$A$369,0),MATCH($BU$4,연료전지_원본!$A$4:$KY$4,0))</f>
        <v>0</v>
      </c>
      <c r="BV101" s="241">
        <f>INDEX(연료전지_원본!$A$4:$KY$369,MATCH($A101,연료전지_원본!$A$4:$A$369,0),MATCH($BV$4,연료전지_원본!$A$4:$KY$4,0))</f>
        <v>0</v>
      </c>
      <c r="BW101" s="241">
        <f>INDEX(연료전지_원본!$A$4:$KY$369,MATCH($A101,연료전지_원본!$A$4:$A$369,0),MATCH($BW$4,연료전지_원본!$A$4:$KY$4,0))</f>
        <v>0</v>
      </c>
      <c r="BX101" s="241">
        <f>INDEX(연료전지_원본!$A$4:$KY$369,MATCH($A101,연료전지_원본!$A$4:$A$369,0),MATCH($BX$4,연료전지_원본!$A$4:$KY$4,0))</f>
        <v>0</v>
      </c>
      <c r="BY101" s="241">
        <f>INDEX(연료전지_원본!$A$4:$KY$369,MATCH($A101,연료전지_원본!$A$4:$A$369,0),MATCH($BY$4,연료전지_원본!$A$4:$KY$4,0))</f>
        <v>0</v>
      </c>
      <c r="BZ101" s="241">
        <f>INDEX(연료전지_원본!$A$4:$KY$369,MATCH($A101,연료전지_원본!$A$4:$A$369,0),MATCH($BZ$4,연료전지_원본!$A$4:$KY$4,0))</f>
        <v>0</v>
      </c>
      <c r="CA101" s="241">
        <f>INDEX(연료전지_원본!$A$4:$KY$369,MATCH($A101,연료전지_원본!$A$4:$A$369,0),MATCH($CA$4,연료전지_원본!$A$4:$KY$4,0))</f>
        <v>0</v>
      </c>
      <c r="CB101" s="241">
        <f>INDEX(연료전지_원본!$A$4:$KY$369,MATCH($A101,연료전지_원본!$A$4:$A$369,0),MATCH($CB$4,연료전지_원본!$A$4:$KY$4,0))</f>
        <v>0</v>
      </c>
      <c r="CC101" s="242">
        <f>INDEX(연료전지_원본!$A$4:$KY$369,MATCH($A101,연료전지_원본!$A$4:$A$369,0),MATCH($CC$4,연료전지_원본!$A$4:$KY$4,0))</f>
        <v>0</v>
      </c>
      <c r="CD101" s="250">
        <f>INDEX(연료전지_원본!$KB$4:$KX$369,MATCH($A101,연료전지_원본!$KB$4:$KB$369,0), MATCH(CD$4,연료전지_원본!$KB$4:$KX$4,0))*1000</f>
        <v>0</v>
      </c>
      <c r="CE101" s="250">
        <f>INDEX(연료전지_원본!$KB$4:$KX$369,MATCH($A101,연료전지_원본!$KB$4:$KB$369,0), MATCH(CE$4,연료전지_원본!$KB$4:$KX$4,0))*1000</f>
        <v>0</v>
      </c>
      <c r="CF101" s="250">
        <f>INDEX(연료전지_원본!$KB$4:$KX$369,MATCH($A101,연료전지_원본!$KB$4:$KB$369,0), MATCH(CF$4,연료전지_원본!$KB$4:$KX$4,0))*1000</f>
        <v>0</v>
      </c>
      <c r="CG101" s="250">
        <f>INDEX(연료전지_원본!$KB$4:$KX$369,MATCH($A101,연료전지_원본!$KB$4:$KB$369,0), MATCH(CG$4,연료전지_원본!$KB$4:$KX$4,0))*1000</f>
        <v>0</v>
      </c>
      <c r="CH101" s="250">
        <f>INDEX(연료전지_원본!$KB$4:$KX$369,MATCH($A101,연료전지_원본!$KB$4:$KB$369,0), MATCH(CH$4,연료전지_원본!$KB$4:$KX$4,0))*1000</f>
        <v>0</v>
      </c>
      <c r="CI101" s="250">
        <f>INDEX(연료전지_원본!$KB$4:$KX$369,MATCH($A101,연료전지_원본!$KB$4:$KB$369,0), MATCH(CI$4,연료전지_원본!$KB$4:$KX$4,0))*1000</f>
        <v>0</v>
      </c>
      <c r="CJ101" s="250">
        <f>INDEX(연료전지_원본!$KB$4:$KX$369,MATCH($A101,연료전지_원본!$KB$4:$KB$369,0), MATCH(CJ$4,연료전지_원본!$KB$4:$KX$4,0))*1000</f>
        <v>0</v>
      </c>
      <c r="CK101" s="250">
        <f>INDEX(연료전지_원본!$KB$4:$KX$369,MATCH($A101,연료전지_원본!$KB$4:$KB$369,0), MATCH(CK$4,연료전지_원본!$KB$4:$KX$4,0))*1000</f>
        <v>0</v>
      </c>
      <c r="CL101" s="250">
        <f>INDEX(연료전지_원본!$KB$4:$KX$369,MATCH($A101,연료전지_원본!$KB$4:$KB$369,0), MATCH(CL$4,연료전지_원본!$KB$4:$KX$4,0))*1000</f>
        <v>0</v>
      </c>
      <c r="CM101" s="250">
        <f>INDEX(연료전지_원본!$KB$4:$KX$369,MATCH($A101,연료전지_원본!$KB$4:$KB$369,0), MATCH(CM$4,연료전지_원본!$KB$4:$KX$4,0))*1000</f>
        <v>0</v>
      </c>
      <c r="CN101" s="250">
        <f>INDEX(연료전지_원본!$KB$4:$KX$369,MATCH($A101,연료전지_원본!$KB$4:$KB$369,0), MATCH(CN$4,연료전지_원본!$KB$4:$KX$4,0))*1000</f>
        <v>0</v>
      </c>
      <c r="CO101" s="250">
        <f>INDEX(연료전지_원본!$KB$4:$KX$369,MATCH($A101,연료전지_원본!$KB$4:$KB$369,0), MATCH(CO$4,연료전지_원본!$KB$4:$KX$4,0))*1000</f>
        <v>0</v>
      </c>
      <c r="CP101" s="250">
        <f>INDEX(연료전지_원본!$KB$4:$KX$369,MATCH($A101,연료전지_원본!$KB$4:$KB$369,0), MATCH(CP$4,연료전지_원본!$KB$4:$KX$4,0))*1000</f>
        <v>0</v>
      </c>
      <c r="CQ101" s="250">
        <f>INDEX(연료전지_원본!$KB$4:$KX$369,MATCH($A101,연료전지_원본!$KB$4:$KB$369,0), MATCH(CQ$4,연료전지_원본!$KB$4:$KX$4,0))*1000</f>
        <v>0</v>
      </c>
      <c r="CR101" s="250">
        <f>INDEX(연료전지_원본!$KB$4:$KX$369,MATCH($A101,연료전지_원본!$KB$4:$KB$369,0), MATCH(CR$4,연료전지_원본!$KB$4:$KX$4,0))*1000</f>
        <v>0</v>
      </c>
      <c r="CS101" s="250">
        <f>INDEX(연료전지_원본!$KB$4:$KX$369,MATCH($A101,연료전지_원본!$KB$4:$KB$369,0), MATCH(CS$4,연료전지_원본!$KB$4:$KX$4,0))*1000</f>
        <v>0</v>
      </c>
      <c r="CT101" s="250">
        <f>INDEX(연료전지_원본!$KB$4:$KX$369,MATCH($A101,연료전지_원본!$KB$4:$KB$369,0), MATCH(CT$4,연료전지_원본!$KB$4:$KX$4,0))*1000</f>
        <v>0</v>
      </c>
      <c r="CU101" s="250">
        <f>INDEX(연료전지_원본!$KB$4:$KX$369,MATCH($A101,연료전지_원본!$KB$4:$KB$369,0), MATCH(CU$4,연료전지_원본!$KB$4:$KX$4,0))*1000</f>
        <v>0</v>
      </c>
      <c r="CV101" s="250">
        <f>INDEX(연료전지_원본!$KB$4:$KX$369,MATCH($A101,연료전지_원본!$KB$4:$KB$369,0), MATCH(CV$4,연료전지_원본!$KB$4:$KX$4,0))*1000</f>
        <v>0</v>
      </c>
      <c r="CW101" s="250">
        <f>INDEX(연료전지_원본!$KB$4:$KX$369,MATCH($A101,연료전지_원본!$KB$4:$KB$369,0), MATCH(CW$4,연료전지_원본!$KB$4:$KX$4,0))*1000</f>
        <v>0</v>
      </c>
      <c r="CX101" s="250">
        <f>INDEX(연료전지_원본!$KB$4:$KX$369,MATCH($A101,연료전지_원본!$KB$4:$KB$369,0), MATCH(CX$4,연료전지_원본!$KB$4:$KX$4,0))*1000</f>
        <v>0</v>
      </c>
      <c r="CY101" s="250">
        <f>INDEX(연료전지_원본!$KB$4:$KX$369,MATCH($A101,연료전지_원본!$KB$4:$KB$369,0), MATCH(CY$4,연료전지_원본!$KB$4:$KX$4,0))*1000</f>
        <v>0</v>
      </c>
      <c r="DV101" s="30">
        <f t="shared" si="297"/>
        <v>0</v>
      </c>
    </row>
    <row r="102" spans="1:126">
      <c r="A102" s="6">
        <v>46119</v>
      </c>
      <c r="B102" s="15">
        <f>운전실적_원본!B102</f>
        <v>651.20000000000005</v>
      </c>
      <c r="C102" s="16">
        <f t="shared" si="298"/>
        <v>0</v>
      </c>
      <c r="D102" s="12">
        <f>운전실적_원본!C102</f>
        <v>250695</v>
      </c>
      <c r="E102" s="12">
        <f t="shared" si="299"/>
        <v>0</v>
      </c>
      <c r="F102" s="12">
        <f>운전실적_원본!D102</f>
        <v>242009</v>
      </c>
      <c r="G102" s="16">
        <f t="shared" si="300"/>
        <v>55</v>
      </c>
      <c r="H102" s="15">
        <f>운전실적_원본!E102</f>
        <v>17392.349999999999</v>
      </c>
      <c r="I102" s="16">
        <f t="shared" si="301"/>
        <v>4.3999999999978172</v>
      </c>
      <c r="J102" s="15">
        <f>운전실적_원본!F102</f>
        <v>15559.19</v>
      </c>
      <c r="K102" s="16">
        <f t="shared" si="301"/>
        <v>5.5500000000010914</v>
      </c>
      <c r="L102" s="32">
        <f>운전실적_원본!G102</f>
        <v>59.4</v>
      </c>
      <c r="M102" s="31">
        <f t="shared" ref="M102" si="618">IF(OR(LEN(L102)=0,L102=0),"",L102-L101)</f>
        <v>0.69999999999999574</v>
      </c>
      <c r="N102" s="15">
        <f>운전실적_원본!H102</f>
        <v>42316</v>
      </c>
      <c r="O102" s="16">
        <f t="shared" ref="O102" si="619">IF(OR(LEN(N102)=0,N102=0),"",N102-N101)</f>
        <v>60</v>
      </c>
      <c r="P102" s="15">
        <f>운전실적_원본!I102</f>
        <v>27280</v>
      </c>
      <c r="Q102" s="16">
        <f t="shared" ref="Q102" si="620">IF(OR(LEN(P102)=0,P102=0),"",P102-P101)</f>
        <v>80</v>
      </c>
      <c r="R102" s="18">
        <f>운전실적_원본!J102</f>
        <v>34.03</v>
      </c>
      <c r="S102" s="19">
        <f t="shared" ref="S102" si="621">IF(OR(LEN(R102)=0,R102=0),"",R102-R101)</f>
        <v>0.21999999999999886</v>
      </c>
      <c r="T102" s="18">
        <f>운전실적_원본!K102</f>
        <v>33.520000000000003</v>
      </c>
      <c r="U102" s="19">
        <f t="shared" si="306"/>
        <v>8.00000000000054E-2</v>
      </c>
      <c r="V102" s="12">
        <f>운전실적_원본!L102</f>
        <v>7737</v>
      </c>
      <c r="W102" s="16">
        <f t="shared" ref="W102" si="622">IF(OR(LEN(V102)=0,V102=0),"",V102-V101)</f>
        <v>40</v>
      </c>
      <c r="X102" s="10">
        <f>운전실적_원본!M102</f>
        <v>20127.75</v>
      </c>
      <c r="Y102" s="10">
        <f>운전실적_원본!N102</f>
        <v>0</v>
      </c>
      <c r="Z102" s="10">
        <f>운전실적_원본!O102</f>
        <v>0</v>
      </c>
      <c r="AA102" s="10">
        <f>운전실적_원본!P102</f>
        <v>0</v>
      </c>
      <c r="AB102" s="10">
        <f>운전실적_원본!Q102</f>
        <v>0</v>
      </c>
      <c r="AC102" s="20">
        <f>운전실적_원본!R102</f>
        <v>0</v>
      </c>
      <c r="AD102" s="109">
        <f>운전실적_원본!S102</f>
        <v>11</v>
      </c>
      <c r="AE102" s="110">
        <f>운전실적_원본!T102</f>
        <v>0</v>
      </c>
      <c r="AF102" s="110">
        <f>운전실적_원본!U102</f>
        <v>0</v>
      </c>
      <c r="AG102" s="110">
        <f>운전실적_원본!V102</f>
        <v>0</v>
      </c>
      <c r="AH102" s="109">
        <f t="shared" si="460"/>
        <v>10.5</v>
      </c>
      <c r="AI102" s="110">
        <f t="shared" si="467"/>
        <v>0</v>
      </c>
      <c r="AJ102" s="110">
        <f>운전실적_원본!Y102</f>
        <v>0</v>
      </c>
      <c r="AK102" s="110">
        <f>운전실적_원본!Z102</f>
        <v>0</v>
      </c>
      <c r="AL102" s="279">
        <v>46119.458333333336</v>
      </c>
      <c r="AM102" s="105">
        <v>46119.895833333336</v>
      </c>
      <c r="AN102" s="105"/>
      <c r="AO102" s="105"/>
      <c r="AP102" s="105"/>
      <c r="AQ102" s="108"/>
      <c r="AR102" s="105"/>
      <c r="AS102" s="105"/>
      <c r="AT102" s="102"/>
      <c r="AU102" s="102"/>
      <c r="AV102" s="102"/>
      <c r="AW102" s="102"/>
      <c r="AX102" s="32">
        <f>운전실적_원본!W102</f>
        <v>114</v>
      </c>
      <c r="AY102" s="11">
        <f>운전실적_원본!X102</f>
        <v>0</v>
      </c>
      <c r="AZ102" s="11">
        <f>운전실적_원본!Y102</f>
        <v>0</v>
      </c>
      <c r="BA102" s="11">
        <f>운전실적_원본!Z102</f>
        <v>0</v>
      </c>
      <c r="BB102" s="11">
        <f>운전실적_원본!AA102</f>
        <v>0</v>
      </c>
      <c r="BC102" s="11">
        <f>운전실적_원본!AB102</f>
        <v>114</v>
      </c>
      <c r="BD102" s="32">
        <f t="shared" si="453"/>
        <v>10.363636363636363</v>
      </c>
      <c r="BE102" s="11">
        <f t="shared" si="461"/>
        <v>0.20166640131613861</v>
      </c>
      <c r="BF102" s="11">
        <f>운전실적_원본!AE102</f>
        <v>0</v>
      </c>
      <c r="BG102" s="31">
        <f t="shared" si="454"/>
        <v>0</v>
      </c>
      <c r="BH102" s="241">
        <f>INDEX(연료전지_원본!$A$4:$KY$369,MATCH($A102,연료전지_원본!$A$4:$A$369,0),MATCH($BH$4,연료전지_원본!$A$4:$KY$4,0))</f>
        <v>0</v>
      </c>
      <c r="BI102" s="241">
        <f>INDEX(연료전지_원본!$A$4:$KY$369,MATCH($A102,연료전지_원본!$A$4:$A$369,0),MATCH($BI$4,연료전지_원본!$A$4:$KY$4,0))</f>
        <v>0</v>
      </c>
      <c r="BJ102" s="241">
        <f>INDEX(연료전지_원본!$A$4:$KY$369,MATCH($A102,연료전지_원본!$A$4:$A$369,0),MATCH($BJ$4,연료전지_원본!$A$4:$KY$4,0))</f>
        <v>0</v>
      </c>
      <c r="BK102" s="241">
        <f>INDEX(연료전지_원본!$A$4:$KY$369,MATCH($A102,연료전지_원본!$A$4:$A$369,0),MATCH($BK$4,연료전지_원본!$A$4:$KY$4,0))</f>
        <v>0</v>
      </c>
      <c r="BL102" s="241">
        <f>INDEX(연료전지_원본!$A$4:$KY$369,MATCH($A102,연료전지_원본!$A$4:$A$369,0),MATCH($BL$4,연료전지_원본!$A$4:$KY$4,0))</f>
        <v>0</v>
      </c>
      <c r="BM102" s="241">
        <f>INDEX(연료전지_원본!$A$4:$KY$369,MATCH($A102,연료전지_원본!$A$4:$A$369,0),MATCH($BM$4,연료전지_원본!$A$4:$KY$4,0))</f>
        <v>0</v>
      </c>
      <c r="BN102" s="241">
        <f>INDEX(연료전지_원본!$A$4:$KY$369,MATCH($A102,연료전지_원본!$A$4:$A$369,0),MATCH($BN$4,연료전지_원본!$A$4:$KY$4,0))</f>
        <v>0</v>
      </c>
      <c r="BO102" s="241">
        <f>INDEX(연료전지_원본!$A$4:$KY$369,MATCH($A102,연료전지_원본!$A$4:$A$369,0),MATCH($BO$4,연료전지_원본!$A$4:$KY$4,0))</f>
        <v>0</v>
      </c>
      <c r="BP102" s="241">
        <f>INDEX(연료전지_원본!$A$4:$KY$369,MATCH($A102,연료전지_원본!$A$4:$A$369,0),MATCH($BP$4,연료전지_원본!$A$4:$KY$4,0))</f>
        <v>0</v>
      </c>
      <c r="BQ102" s="241">
        <f>INDEX(연료전지_원본!$A$4:$KY$369,MATCH($A102,연료전지_원본!$A$4:$A$369,0),MATCH($BQ$4,연료전지_원본!$A$4:$KY$4,0))</f>
        <v>0</v>
      </c>
      <c r="BR102" s="241">
        <f>INDEX(연료전지_원본!$A$4:$KY$369,MATCH($A102,연료전지_원본!$A$4:$A$369,0),MATCH($BR$4,연료전지_원본!$A$4:$KY$4,0))</f>
        <v>0</v>
      </c>
      <c r="BS102" s="241">
        <f>INDEX(연료전지_원본!$A$4:$KY$369,MATCH($A102,연료전지_원본!$A$4:$A$369,0),MATCH($BS$4,연료전지_원본!$A$4:$KY$4,0))</f>
        <v>0</v>
      </c>
      <c r="BT102" s="241">
        <f>INDEX(연료전지_원본!$A$4:$KY$369,MATCH($A102,연료전지_원본!$A$4:$A$369,0),MATCH($BT$4,연료전지_원본!$A$4:$KY$4,0))</f>
        <v>0</v>
      </c>
      <c r="BU102" s="241">
        <f>INDEX(연료전지_원본!$A$4:$KY$369,MATCH($A102,연료전지_원본!$A$4:$A$369,0),MATCH($BU$4,연료전지_원본!$A$4:$KY$4,0))</f>
        <v>0</v>
      </c>
      <c r="BV102" s="241">
        <f>INDEX(연료전지_원본!$A$4:$KY$369,MATCH($A102,연료전지_원본!$A$4:$A$369,0),MATCH($BV$4,연료전지_원본!$A$4:$KY$4,0))</f>
        <v>0</v>
      </c>
      <c r="BW102" s="241">
        <f>INDEX(연료전지_원본!$A$4:$KY$369,MATCH($A102,연료전지_원본!$A$4:$A$369,0),MATCH($BW$4,연료전지_원본!$A$4:$KY$4,0))</f>
        <v>0</v>
      </c>
      <c r="BX102" s="241">
        <f>INDEX(연료전지_원본!$A$4:$KY$369,MATCH($A102,연료전지_원본!$A$4:$A$369,0),MATCH($BX$4,연료전지_원본!$A$4:$KY$4,0))</f>
        <v>0</v>
      </c>
      <c r="BY102" s="241">
        <f>INDEX(연료전지_원본!$A$4:$KY$369,MATCH($A102,연료전지_원본!$A$4:$A$369,0),MATCH($BY$4,연료전지_원본!$A$4:$KY$4,0))</f>
        <v>0</v>
      </c>
      <c r="BZ102" s="241">
        <f>INDEX(연료전지_원본!$A$4:$KY$369,MATCH($A102,연료전지_원본!$A$4:$A$369,0),MATCH($BZ$4,연료전지_원본!$A$4:$KY$4,0))</f>
        <v>0</v>
      </c>
      <c r="CA102" s="241">
        <f>INDEX(연료전지_원본!$A$4:$KY$369,MATCH($A102,연료전지_원본!$A$4:$A$369,0),MATCH($CA$4,연료전지_원본!$A$4:$KY$4,0))</f>
        <v>0</v>
      </c>
      <c r="CB102" s="241">
        <f>INDEX(연료전지_원본!$A$4:$KY$369,MATCH($A102,연료전지_원본!$A$4:$A$369,0),MATCH($CB$4,연료전지_원본!$A$4:$KY$4,0))</f>
        <v>0</v>
      </c>
      <c r="CC102" s="242">
        <f>INDEX(연료전지_원본!$A$4:$KY$369,MATCH($A102,연료전지_원본!$A$4:$A$369,0),MATCH($CC$4,연료전지_원본!$A$4:$KY$4,0))</f>
        <v>0</v>
      </c>
      <c r="CD102" s="250">
        <f>INDEX(연료전지_원본!$KB$4:$KX$369,MATCH($A102,연료전지_원본!$KB$4:$KB$369,0), MATCH(CD$4,연료전지_원본!$KB$4:$KX$4,0))*1000</f>
        <v>0</v>
      </c>
      <c r="CE102" s="250">
        <f>INDEX(연료전지_원본!$KB$4:$KX$369,MATCH($A102,연료전지_원본!$KB$4:$KB$369,0), MATCH(CE$4,연료전지_원본!$KB$4:$KX$4,0))*1000</f>
        <v>0</v>
      </c>
      <c r="CF102" s="250">
        <f>INDEX(연료전지_원본!$KB$4:$KX$369,MATCH($A102,연료전지_원본!$KB$4:$KB$369,0), MATCH(CF$4,연료전지_원본!$KB$4:$KX$4,0))*1000</f>
        <v>0</v>
      </c>
      <c r="CG102" s="250">
        <f>INDEX(연료전지_원본!$KB$4:$KX$369,MATCH($A102,연료전지_원본!$KB$4:$KB$369,0), MATCH(CG$4,연료전지_원본!$KB$4:$KX$4,0))*1000</f>
        <v>0</v>
      </c>
      <c r="CH102" s="250">
        <f>INDEX(연료전지_원본!$KB$4:$KX$369,MATCH($A102,연료전지_원본!$KB$4:$KB$369,0), MATCH(CH$4,연료전지_원본!$KB$4:$KX$4,0))*1000</f>
        <v>0</v>
      </c>
      <c r="CI102" s="250">
        <f>INDEX(연료전지_원본!$KB$4:$KX$369,MATCH($A102,연료전지_원본!$KB$4:$KB$369,0), MATCH(CI$4,연료전지_원본!$KB$4:$KX$4,0))*1000</f>
        <v>0</v>
      </c>
      <c r="CJ102" s="250">
        <f>INDEX(연료전지_원본!$KB$4:$KX$369,MATCH($A102,연료전지_원본!$KB$4:$KB$369,0), MATCH(CJ$4,연료전지_원본!$KB$4:$KX$4,0))*1000</f>
        <v>0</v>
      </c>
      <c r="CK102" s="250">
        <f>INDEX(연료전지_원본!$KB$4:$KX$369,MATCH($A102,연료전지_원본!$KB$4:$KB$369,0), MATCH(CK$4,연료전지_원본!$KB$4:$KX$4,0))*1000</f>
        <v>0</v>
      </c>
      <c r="CL102" s="250">
        <f>INDEX(연료전지_원본!$KB$4:$KX$369,MATCH($A102,연료전지_원본!$KB$4:$KB$369,0), MATCH(CL$4,연료전지_원본!$KB$4:$KX$4,0))*1000</f>
        <v>0</v>
      </c>
      <c r="CM102" s="250">
        <f>INDEX(연료전지_원본!$KB$4:$KX$369,MATCH($A102,연료전지_원본!$KB$4:$KB$369,0), MATCH(CM$4,연료전지_원본!$KB$4:$KX$4,0))*1000</f>
        <v>0</v>
      </c>
      <c r="CN102" s="250">
        <f>INDEX(연료전지_원본!$KB$4:$KX$369,MATCH($A102,연료전지_원본!$KB$4:$KB$369,0), MATCH(CN$4,연료전지_원본!$KB$4:$KX$4,0))*1000</f>
        <v>0</v>
      </c>
      <c r="CO102" s="250">
        <f>INDEX(연료전지_원본!$KB$4:$KX$369,MATCH($A102,연료전지_원본!$KB$4:$KB$369,0), MATCH(CO$4,연료전지_원본!$KB$4:$KX$4,0))*1000</f>
        <v>0</v>
      </c>
      <c r="CP102" s="250">
        <f>INDEX(연료전지_원본!$KB$4:$KX$369,MATCH($A102,연료전지_원본!$KB$4:$KB$369,0), MATCH(CP$4,연료전지_원본!$KB$4:$KX$4,0))*1000</f>
        <v>0</v>
      </c>
      <c r="CQ102" s="250">
        <f>INDEX(연료전지_원본!$KB$4:$KX$369,MATCH($A102,연료전지_원본!$KB$4:$KB$369,0), MATCH(CQ$4,연료전지_원본!$KB$4:$KX$4,0))*1000</f>
        <v>0</v>
      </c>
      <c r="CR102" s="250">
        <f>INDEX(연료전지_원본!$KB$4:$KX$369,MATCH($A102,연료전지_원본!$KB$4:$KB$369,0), MATCH(CR$4,연료전지_원본!$KB$4:$KX$4,0))*1000</f>
        <v>0</v>
      </c>
      <c r="CS102" s="250">
        <f>INDEX(연료전지_원본!$KB$4:$KX$369,MATCH($A102,연료전지_원본!$KB$4:$KB$369,0), MATCH(CS$4,연료전지_원본!$KB$4:$KX$4,0))*1000</f>
        <v>0</v>
      </c>
      <c r="CT102" s="250">
        <f>INDEX(연료전지_원본!$KB$4:$KX$369,MATCH($A102,연료전지_원본!$KB$4:$KB$369,0), MATCH(CT$4,연료전지_원본!$KB$4:$KX$4,0))*1000</f>
        <v>0</v>
      </c>
      <c r="CU102" s="250">
        <f>INDEX(연료전지_원본!$KB$4:$KX$369,MATCH($A102,연료전지_원본!$KB$4:$KB$369,0), MATCH(CU$4,연료전지_원본!$KB$4:$KX$4,0))*1000</f>
        <v>0</v>
      </c>
      <c r="CV102" s="250">
        <f>INDEX(연료전지_원본!$KB$4:$KX$369,MATCH($A102,연료전지_원본!$KB$4:$KB$369,0), MATCH(CV$4,연료전지_원본!$KB$4:$KX$4,0))*1000</f>
        <v>0</v>
      </c>
      <c r="CW102" s="250">
        <f>INDEX(연료전지_원본!$KB$4:$KX$369,MATCH($A102,연료전지_원본!$KB$4:$KB$369,0), MATCH(CW$4,연료전지_원본!$KB$4:$KX$4,0))*1000</f>
        <v>0</v>
      </c>
      <c r="CX102" s="250">
        <f>INDEX(연료전지_원본!$KB$4:$KX$369,MATCH($A102,연료전지_원본!$KB$4:$KB$369,0), MATCH(CX$4,연료전지_원본!$KB$4:$KX$4,0))*1000</f>
        <v>0</v>
      </c>
      <c r="CY102" s="250">
        <f>INDEX(연료전지_원본!$KB$4:$KX$369,MATCH($A102,연료전지_원본!$KB$4:$KB$369,0), MATCH(CY$4,연료전지_원본!$KB$4:$KX$4,0))*1000</f>
        <v>0</v>
      </c>
      <c r="DV102" s="30">
        <f t="shared" ref="DV102:DV165" si="623">SUM(CZ102:DU102)</f>
        <v>0</v>
      </c>
    </row>
    <row r="103" spans="1:126">
      <c r="A103" s="6">
        <v>46120</v>
      </c>
      <c r="B103" s="15">
        <f>운전실적_원본!B103</f>
        <v>0</v>
      </c>
      <c r="C103" s="16" t="str">
        <f t="shared" si="298"/>
        <v/>
      </c>
      <c r="D103" s="12">
        <f>운전실적_원본!C103</f>
        <v>0</v>
      </c>
      <c r="E103" s="12" t="str">
        <f t="shared" si="299"/>
        <v/>
      </c>
      <c r="F103" s="12">
        <f>운전실적_원본!D103</f>
        <v>0</v>
      </c>
      <c r="G103" s="16" t="str">
        <f t="shared" si="300"/>
        <v/>
      </c>
      <c r="H103" s="15">
        <f>운전실적_원본!E103</f>
        <v>0</v>
      </c>
      <c r="I103" s="16" t="str">
        <f t="shared" si="301"/>
        <v/>
      </c>
      <c r="J103" s="15">
        <f>운전실적_원본!F103</f>
        <v>0</v>
      </c>
      <c r="K103" s="16" t="str">
        <f t="shared" si="301"/>
        <v/>
      </c>
      <c r="L103" s="32">
        <f>운전실적_원본!G103</f>
        <v>0</v>
      </c>
      <c r="M103" s="31" t="str">
        <f t="shared" ref="M103" si="624">IF(OR(LEN(L103)=0,L103=0),"",L103-L102)</f>
        <v/>
      </c>
      <c r="N103" s="15">
        <f>운전실적_원본!H103</f>
        <v>0</v>
      </c>
      <c r="O103" s="16" t="str">
        <f t="shared" ref="O103" si="625">IF(OR(LEN(N103)=0,N103=0),"",N103-N102)</f>
        <v/>
      </c>
      <c r="P103" s="15">
        <f>운전실적_원본!I103</f>
        <v>0</v>
      </c>
      <c r="Q103" s="16" t="str">
        <f t="shared" ref="Q103" si="626">IF(OR(LEN(P103)=0,P103=0),"",P103-P102)</f>
        <v/>
      </c>
      <c r="R103" s="18">
        <f>운전실적_원본!J103</f>
        <v>0</v>
      </c>
      <c r="S103" s="19" t="str">
        <f t="shared" ref="S103" si="627">IF(OR(LEN(R103)=0,R103=0),"",R103-R102)</f>
        <v/>
      </c>
      <c r="T103" s="18">
        <f>운전실적_원본!K103</f>
        <v>0</v>
      </c>
      <c r="U103" s="19" t="str">
        <f t="shared" si="306"/>
        <v/>
      </c>
      <c r="V103" s="12">
        <f>운전실적_원본!L103</f>
        <v>0</v>
      </c>
      <c r="W103" s="16" t="str">
        <f t="shared" ref="W103" si="628">IF(OR(LEN(V103)=0,V103=0),"",V103-V102)</f>
        <v/>
      </c>
      <c r="X103" s="10">
        <f>운전실적_원본!M103</f>
        <v>0</v>
      </c>
      <c r="Y103" s="10">
        <f>운전실적_원본!N103</f>
        <v>0</v>
      </c>
      <c r="Z103" s="10">
        <f>운전실적_원본!O103</f>
        <v>0</v>
      </c>
      <c r="AA103" s="10">
        <f>운전실적_원본!P103</f>
        <v>0</v>
      </c>
      <c r="AB103" s="10">
        <f>운전실적_원본!Q103</f>
        <v>0</v>
      </c>
      <c r="AC103" s="20">
        <f>운전실적_원본!R103</f>
        <v>0</v>
      </c>
      <c r="AD103" s="109">
        <f>운전실적_원본!S103</f>
        <v>0</v>
      </c>
      <c r="AE103" s="110">
        <f>운전실적_원본!T103</f>
        <v>0</v>
      </c>
      <c r="AF103" s="110">
        <f>운전실적_원본!U103</f>
        <v>0</v>
      </c>
      <c r="AG103" s="110">
        <f>운전실적_원본!V103</f>
        <v>0</v>
      </c>
      <c r="AH103" s="109">
        <f t="shared" si="460"/>
        <v>0</v>
      </c>
      <c r="AI103" s="110">
        <f t="shared" si="467"/>
        <v>0</v>
      </c>
      <c r="AJ103" s="110">
        <f>운전실적_원본!Y103</f>
        <v>0</v>
      </c>
      <c r="AK103" s="110">
        <f>운전실적_원본!Z103</f>
        <v>0</v>
      </c>
      <c r="AL103" s="106"/>
      <c r="AM103" s="105"/>
      <c r="AN103" s="105"/>
      <c r="AO103" s="105"/>
      <c r="AP103" s="105"/>
      <c r="AQ103" s="108"/>
      <c r="AR103" s="105"/>
      <c r="AS103" s="105"/>
      <c r="AT103" s="102"/>
      <c r="AU103" s="102"/>
      <c r="AV103" s="102"/>
      <c r="AW103" s="102"/>
      <c r="AX103" s="32">
        <f>운전실적_원본!W103</f>
        <v>0</v>
      </c>
      <c r="AY103" s="11">
        <f>운전실적_원본!X103</f>
        <v>0</v>
      </c>
      <c r="AZ103" s="11">
        <f>운전실적_원본!Y103</f>
        <v>0</v>
      </c>
      <c r="BA103" s="11">
        <f>운전실적_원본!Z103</f>
        <v>0</v>
      </c>
      <c r="BB103" s="11">
        <f>운전실적_원본!AA103</f>
        <v>0</v>
      </c>
      <c r="BC103" s="11">
        <f>운전실적_원본!AB103</f>
        <v>0</v>
      </c>
      <c r="BD103" s="32" t="str">
        <f t="shared" si="453"/>
        <v>-</v>
      </c>
      <c r="BE103" s="11" t="str">
        <f t="shared" si="461"/>
        <v>-</v>
      </c>
      <c r="BF103" s="11">
        <f>운전실적_원본!AE103</f>
        <v>0</v>
      </c>
      <c r="BG103" s="31">
        <f t="shared" si="454"/>
        <v>0</v>
      </c>
      <c r="BH103" s="241">
        <f>INDEX(연료전지_원본!$A$4:$KY$369,MATCH($A103,연료전지_원본!$A$4:$A$369,0),MATCH($BH$4,연료전지_원본!$A$4:$KY$4,0))</f>
        <v>0</v>
      </c>
      <c r="BI103" s="241">
        <f>INDEX(연료전지_원본!$A$4:$KY$369,MATCH($A103,연료전지_원본!$A$4:$A$369,0),MATCH($BI$4,연료전지_원본!$A$4:$KY$4,0))</f>
        <v>0</v>
      </c>
      <c r="BJ103" s="241">
        <f>INDEX(연료전지_원본!$A$4:$KY$369,MATCH($A103,연료전지_원본!$A$4:$A$369,0),MATCH($BJ$4,연료전지_원본!$A$4:$KY$4,0))</f>
        <v>0</v>
      </c>
      <c r="BK103" s="241">
        <f>INDEX(연료전지_원본!$A$4:$KY$369,MATCH($A103,연료전지_원본!$A$4:$A$369,0),MATCH($BK$4,연료전지_원본!$A$4:$KY$4,0))</f>
        <v>0</v>
      </c>
      <c r="BL103" s="241">
        <f>INDEX(연료전지_원본!$A$4:$KY$369,MATCH($A103,연료전지_원본!$A$4:$A$369,0),MATCH($BL$4,연료전지_원본!$A$4:$KY$4,0))</f>
        <v>0</v>
      </c>
      <c r="BM103" s="241">
        <f>INDEX(연료전지_원본!$A$4:$KY$369,MATCH($A103,연료전지_원본!$A$4:$A$369,0),MATCH($BM$4,연료전지_원본!$A$4:$KY$4,0))</f>
        <v>0</v>
      </c>
      <c r="BN103" s="241">
        <f>INDEX(연료전지_원본!$A$4:$KY$369,MATCH($A103,연료전지_원본!$A$4:$A$369,0),MATCH($BN$4,연료전지_원본!$A$4:$KY$4,0))</f>
        <v>0</v>
      </c>
      <c r="BO103" s="241">
        <f>INDEX(연료전지_원본!$A$4:$KY$369,MATCH($A103,연료전지_원본!$A$4:$A$369,0),MATCH($BO$4,연료전지_원본!$A$4:$KY$4,0))</f>
        <v>0</v>
      </c>
      <c r="BP103" s="241">
        <f>INDEX(연료전지_원본!$A$4:$KY$369,MATCH($A103,연료전지_원본!$A$4:$A$369,0),MATCH($BP$4,연료전지_원본!$A$4:$KY$4,0))</f>
        <v>0</v>
      </c>
      <c r="BQ103" s="241">
        <f>INDEX(연료전지_원본!$A$4:$KY$369,MATCH($A103,연료전지_원본!$A$4:$A$369,0),MATCH($BQ$4,연료전지_원본!$A$4:$KY$4,0))</f>
        <v>0</v>
      </c>
      <c r="BR103" s="241">
        <f>INDEX(연료전지_원본!$A$4:$KY$369,MATCH($A103,연료전지_원본!$A$4:$A$369,0),MATCH($BR$4,연료전지_원본!$A$4:$KY$4,0))</f>
        <v>0</v>
      </c>
      <c r="BS103" s="241">
        <f>INDEX(연료전지_원본!$A$4:$KY$369,MATCH($A103,연료전지_원본!$A$4:$A$369,0),MATCH($BS$4,연료전지_원본!$A$4:$KY$4,0))</f>
        <v>0</v>
      </c>
      <c r="BT103" s="241">
        <f>INDEX(연료전지_원본!$A$4:$KY$369,MATCH($A103,연료전지_원본!$A$4:$A$369,0),MATCH($BT$4,연료전지_원본!$A$4:$KY$4,0))</f>
        <v>0</v>
      </c>
      <c r="BU103" s="241">
        <f>INDEX(연료전지_원본!$A$4:$KY$369,MATCH($A103,연료전지_원본!$A$4:$A$369,0),MATCH($BU$4,연료전지_원본!$A$4:$KY$4,0))</f>
        <v>0</v>
      </c>
      <c r="BV103" s="241">
        <f>INDEX(연료전지_원본!$A$4:$KY$369,MATCH($A103,연료전지_원본!$A$4:$A$369,0),MATCH($BV$4,연료전지_원본!$A$4:$KY$4,0))</f>
        <v>0</v>
      </c>
      <c r="BW103" s="241">
        <f>INDEX(연료전지_원본!$A$4:$KY$369,MATCH($A103,연료전지_원본!$A$4:$A$369,0),MATCH($BW$4,연료전지_원본!$A$4:$KY$4,0))</f>
        <v>0</v>
      </c>
      <c r="BX103" s="241">
        <f>INDEX(연료전지_원본!$A$4:$KY$369,MATCH($A103,연료전지_원본!$A$4:$A$369,0),MATCH($BX$4,연료전지_원본!$A$4:$KY$4,0))</f>
        <v>0</v>
      </c>
      <c r="BY103" s="241">
        <f>INDEX(연료전지_원본!$A$4:$KY$369,MATCH($A103,연료전지_원본!$A$4:$A$369,0),MATCH($BY$4,연료전지_원본!$A$4:$KY$4,0))</f>
        <v>0</v>
      </c>
      <c r="BZ103" s="241">
        <f>INDEX(연료전지_원본!$A$4:$KY$369,MATCH($A103,연료전지_원본!$A$4:$A$369,0),MATCH($BZ$4,연료전지_원본!$A$4:$KY$4,0))</f>
        <v>0</v>
      </c>
      <c r="CA103" s="241">
        <f>INDEX(연료전지_원본!$A$4:$KY$369,MATCH($A103,연료전지_원본!$A$4:$A$369,0),MATCH($CA$4,연료전지_원본!$A$4:$KY$4,0))</f>
        <v>0</v>
      </c>
      <c r="CB103" s="241">
        <f>INDEX(연료전지_원본!$A$4:$KY$369,MATCH($A103,연료전지_원본!$A$4:$A$369,0),MATCH($CB$4,연료전지_원본!$A$4:$KY$4,0))</f>
        <v>0</v>
      </c>
      <c r="CC103" s="242">
        <f>INDEX(연료전지_원본!$A$4:$KY$369,MATCH($A103,연료전지_원본!$A$4:$A$369,0),MATCH($CC$4,연료전지_원본!$A$4:$KY$4,0))</f>
        <v>0</v>
      </c>
      <c r="CD103" s="250">
        <f>INDEX(연료전지_원본!$KB$4:$KX$369,MATCH($A103,연료전지_원본!$KB$4:$KB$369,0), MATCH(CD$4,연료전지_원본!$KB$4:$KX$4,0))*1000</f>
        <v>0</v>
      </c>
      <c r="CE103" s="250">
        <f>INDEX(연료전지_원본!$KB$4:$KX$369,MATCH($A103,연료전지_원본!$KB$4:$KB$369,0), MATCH(CE$4,연료전지_원본!$KB$4:$KX$4,0))*1000</f>
        <v>0</v>
      </c>
      <c r="CF103" s="250">
        <f>INDEX(연료전지_원본!$KB$4:$KX$369,MATCH($A103,연료전지_원본!$KB$4:$KB$369,0), MATCH(CF$4,연료전지_원본!$KB$4:$KX$4,0))*1000</f>
        <v>0</v>
      </c>
      <c r="CG103" s="250">
        <f>INDEX(연료전지_원본!$KB$4:$KX$369,MATCH($A103,연료전지_원본!$KB$4:$KB$369,0), MATCH(CG$4,연료전지_원본!$KB$4:$KX$4,0))*1000</f>
        <v>0</v>
      </c>
      <c r="CH103" s="250">
        <f>INDEX(연료전지_원본!$KB$4:$KX$369,MATCH($A103,연료전지_원본!$KB$4:$KB$369,0), MATCH(CH$4,연료전지_원본!$KB$4:$KX$4,0))*1000</f>
        <v>0</v>
      </c>
      <c r="CI103" s="250">
        <f>INDEX(연료전지_원본!$KB$4:$KX$369,MATCH($A103,연료전지_원본!$KB$4:$KB$369,0), MATCH(CI$4,연료전지_원본!$KB$4:$KX$4,0))*1000</f>
        <v>0</v>
      </c>
      <c r="CJ103" s="250">
        <f>INDEX(연료전지_원본!$KB$4:$KX$369,MATCH($A103,연료전지_원본!$KB$4:$KB$369,0), MATCH(CJ$4,연료전지_원본!$KB$4:$KX$4,0))*1000</f>
        <v>0</v>
      </c>
      <c r="CK103" s="250">
        <f>INDEX(연료전지_원본!$KB$4:$KX$369,MATCH($A103,연료전지_원본!$KB$4:$KB$369,0), MATCH(CK$4,연료전지_원본!$KB$4:$KX$4,0))*1000</f>
        <v>0</v>
      </c>
      <c r="CL103" s="250">
        <f>INDEX(연료전지_원본!$KB$4:$KX$369,MATCH($A103,연료전지_원본!$KB$4:$KB$369,0), MATCH(CL$4,연료전지_원본!$KB$4:$KX$4,0))*1000</f>
        <v>0</v>
      </c>
      <c r="CM103" s="250">
        <f>INDEX(연료전지_원본!$KB$4:$KX$369,MATCH($A103,연료전지_원본!$KB$4:$KB$369,0), MATCH(CM$4,연료전지_원본!$KB$4:$KX$4,0))*1000</f>
        <v>0</v>
      </c>
      <c r="CN103" s="250">
        <f>INDEX(연료전지_원본!$KB$4:$KX$369,MATCH($A103,연료전지_원본!$KB$4:$KB$369,0), MATCH(CN$4,연료전지_원본!$KB$4:$KX$4,0))*1000</f>
        <v>0</v>
      </c>
      <c r="CO103" s="250">
        <f>INDEX(연료전지_원본!$KB$4:$KX$369,MATCH($A103,연료전지_원본!$KB$4:$KB$369,0), MATCH(CO$4,연료전지_원본!$KB$4:$KX$4,0))*1000</f>
        <v>0</v>
      </c>
      <c r="CP103" s="250">
        <f>INDEX(연료전지_원본!$KB$4:$KX$369,MATCH($A103,연료전지_원본!$KB$4:$KB$369,0), MATCH(CP$4,연료전지_원본!$KB$4:$KX$4,0))*1000</f>
        <v>0</v>
      </c>
      <c r="CQ103" s="250">
        <f>INDEX(연료전지_원본!$KB$4:$KX$369,MATCH($A103,연료전지_원본!$KB$4:$KB$369,0), MATCH(CQ$4,연료전지_원본!$KB$4:$KX$4,0))*1000</f>
        <v>0</v>
      </c>
      <c r="CR103" s="250">
        <f>INDEX(연료전지_원본!$KB$4:$KX$369,MATCH($A103,연료전지_원본!$KB$4:$KB$369,0), MATCH(CR$4,연료전지_원본!$KB$4:$KX$4,0))*1000</f>
        <v>0</v>
      </c>
      <c r="CS103" s="250">
        <f>INDEX(연료전지_원본!$KB$4:$KX$369,MATCH($A103,연료전지_원본!$KB$4:$KB$369,0), MATCH(CS$4,연료전지_원본!$KB$4:$KX$4,0))*1000</f>
        <v>0</v>
      </c>
      <c r="CT103" s="250">
        <f>INDEX(연료전지_원본!$KB$4:$KX$369,MATCH($A103,연료전지_원본!$KB$4:$KB$369,0), MATCH(CT$4,연료전지_원본!$KB$4:$KX$4,0))*1000</f>
        <v>0</v>
      </c>
      <c r="CU103" s="250">
        <f>INDEX(연료전지_원본!$KB$4:$KX$369,MATCH($A103,연료전지_원본!$KB$4:$KB$369,0), MATCH(CU$4,연료전지_원본!$KB$4:$KX$4,0))*1000</f>
        <v>0</v>
      </c>
      <c r="CV103" s="250">
        <f>INDEX(연료전지_원본!$KB$4:$KX$369,MATCH($A103,연료전지_원본!$KB$4:$KB$369,0), MATCH(CV$4,연료전지_원본!$KB$4:$KX$4,0))*1000</f>
        <v>0</v>
      </c>
      <c r="CW103" s="250">
        <f>INDEX(연료전지_원본!$KB$4:$KX$369,MATCH($A103,연료전지_원본!$KB$4:$KB$369,0), MATCH(CW$4,연료전지_원본!$KB$4:$KX$4,0))*1000</f>
        <v>0</v>
      </c>
      <c r="CX103" s="250">
        <f>INDEX(연료전지_원본!$KB$4:$KX$369,MATCH($A103,연료전지_원본!$KB$4:$KB$369,0), MATCH(CX$4,연료전지_원본!$KB$4:$KX$4,0))*1000</f>
        <v>0</v>
      </c>
      <c r="CY103" s="250">
        <f>INDEX(연료전지_원본!$KB$4:$KX$369,MATCH($A103,연료전지_원본!$KB$4:$KB$369,0), MATCH(CY$4,연료전지_원본!$KB$4:$KX$4,0))*1000</f>
        <v>0</v>
      </c>
      <c r="DV103" s="30">
        <f t="shared" si="623"/>
        <v>0</v>
      </c>
    </row>
    <row r="104" spans="1:126">
      <c r="A104" s="6">
        <v>46121</v>
      </c>
      <c r="B104" s="15">
        <f>운전실적_원본!B104</f>
        <v>0</v>
      </c>
      <c r="C104" s="16" t="str">
        <f t="shared" ref="C104:C167" si="629">IF(OR(LEN(B104)=0,B104=0),"",B104-B103)</f>
        <v/>
      </c>
      <c r="D104" s="12">
        <f>운전실적_원본!C104</f>
        <v>0</v>
      </c>
      <c r="E104" s="12" t="str">
        <f t="shared" ref="E104:E167" si="630">IF(OR(LEN(D104)=0,D104=0),"",D104-D103)</f>
        <v/>
      </c>
      <c r="F104" s="12">
        <f>운전실적_원본!D104</f>
        <v>0</v>
      </c>
      <c r="G104" s="16" t="str">
        <f t="shared" ref="G104:G167" si="631">IF(OR(LEN(F104)=0,F104=0),"",F104-F103)</f>
        <v/>
      </c>
      <c r="H104" s="15">
        <f>운전실적_원본!E104</f>
        <v>0</v>
      </c>
      <c r="I104" s="16" t="str">
        <f t="shared" ref="I104:K167" si="632">IF(OR(LEN(H104)=0,H104=0),"",H104-H103)</f>
        <v/>
      </c>
      <c r="J104" s="15">
        <f>운전실적_원본!F104</f>
        <v>0</v>
      </c>
      <c r="K104" s="16" t="str">
        <f t="shared" si="632"/>
        <v/>
      </c>
      <c r="L104" s="32">
        <f>운전실적_원본!G104</f>
        <v>0</v>
      </c>
      <c r="M104" s="31" t="str">
        <f t="shared" ref="M104" si="633">IF(OR(LEN(L104)=0,L104=0),"",L104-L103)</f>
        <v/>
      </c>
      <c r="N104" s="15">
        <f>운전실적_원본!H104</f>
        <v>0</v>
      </c>
      <c r="O104" s="16" t="str">
        <f t="shared" ref="O104" si="634">IF(OR(LEN(N104)=0,N104=0),"",N104-N103)</f>
        <v/>
      </c>
      <c r="P104" s="15">
        <f>운전실적_원본!I104</f>
        <v>0</v>
      </c>
      <c r="Q104" s="16" t="str">
        <f t="shared" ref="Q104" si="635">IF(OR(LEN(P104)=0,P104=0),"",P104-P103)</f>
        <v/>
      </c>
      <c r="R104" s="18">
        <f>운전실적_원본!J104</f>
        <v>0</v>
      </c>
      <c r="S104" s="19" t="str">
        <f t="shared" ref="S104" si="636">IF(OR(LEN(R104)=0,R104=0),"",R104-R103)</f>
        <v/>
      </c>
      <c r="T104" s="18">
        <f>운전실적_원본!K104</f>
        <v>0</v>
      </c>
      <c r="U104" s="19" t="str">
        <f t="shared" ref="U104:U167" si="637">IF(OR(LEN(T104)=0,T104=0),"",T104-T103)</f>
        <v/>
      </c>
      <c r="V104" s="12">
        <f>운전실적_원본!L104</f>
        <v>0</v>
      </c>
      <c r="W104" s="16" t="str">
        <f t="shared" ref="W104" si="638">IF(OR(LEN(V104)=0,V104=0),"",V104-V103)</f>
        <v/>
      </c>
      <c r="X104" s="10">
        <f>운전실적_원본!M104</f>
        <v>0</v>
      </c>
      <c r="Y104" s="10">
        <f>운전실적_원본!N104</f>
        <v>0</v>
      </c>
      <c r="Z104" s="10">
        <f>운전실적_원본!O104</f>
        <v>0</v>
      </c>
      <c r="AA104" s="10">
        <f>운전실적_원본!P104</f>
        <v>0</v>
      </c>
      <c r="AB104" s="10">
        <f>운전실적_원본!Q104</f>
        <v>0</v>
      </c>
      <c r="AC104" s="20">
        <f>운전실적_원본!R104</f>
        <v>0</v>
      </c>
      <c r="AD104" s="109">
        <f>운전실적_원본!S104</f>
        <v>0</v>
      </c>
      <c r="AE104" s="110">
        <f>운전실적_원본!T104</f>
        <v>0</v>
      </c>
      <c r="AF104" s="110">
        <f>운전실적_원본!U104</f>
        <v>0</v>
      </c>
      <c r="AG104" s="110">
        <f>운전실적_원본!V104</f>
        <v>0</v>
      </c>
      <c r="AH104" s="109">
        <f t="shared" si="460"/>
        <v>0</v>
      </c>
      <c r="AI104" s="110">
        <f t="shared" si="467"/>
        <v>0</v>
      </c>
      <c r="AJ104" s="110">
        <f>운전실적_원본!Y104</f>
        <v>0</v>
      </c>
      <c r="AK104" s="110">
        <f>운전실적_원본!Z104</f>
        <v>0</v>
      </c>
      <c r="AL104" s="106"/>
      <c r="AM104" s="105"/>
      <c r="AN104" s="105"/>
      <c r="AO104" s="105"/>
      <c r="AP104" s="105"/>
      <c r="AQ104" s="108"/>
      <c r="AR104" s="105"/>
      <c r="AS104" s="105"/>
      <c r="AT104" s="102"/>
      <c r="AU104" s="102"/>
      <c r="AV104" s="102"/>
      <c r="AW104" s="102"/>
      <c r="AX104" s="32">
        <f>운전실적_원본!W104</f>
        <v>0</v>
      </c>
      <c r="AY104" s="11">
        <f>운전실적_원본!X104</f>
        <v>0</v>
      </c>
      <c r="AZ104" s="11">
        <f>운전실적_원본!Y104</f>
        <v>0</v>
      </c>
      <c r="BA104" s="11">
        <f>운전실적_원본!Z104</f>
        <v>0</v>
      </c>
      <c r="BB104" s="11">
        <f>운전실적_원본!AA104</f>
        <v>0</v>
      </c>
      <c r="BC104" s="11">
        <f>운전실적_원본!AB104</f>
        <v>0</v>
      </c>
      <c r="BD104" s="32" t="str">
        <f t="shared" si="453"/>
        <v>-</v>
      </c>
      <c r="BE104" s="11" t="str">
        <f t="shared" si="461"/>
        <v>-</v>
      </c>
      <c r="BF104" s="11">
        <f>운전실적_원본!AE104</f>
        <v>0</v>
      </c>
      <c r="BG104" s="31">
        <f t="shared" si="454"/>
        <v>0</v>
      </c>
      <c r="BH104" s="241">
        <f>INDEX(연료전지_원본!$A$4:$KY$369,MATCH($A104,연료전지_원본!$A$4:$A$369,0),MATCH($BH$4,연료전지_원본!$A$4:$KY$4,0))</f>
        <v>0</v>
      </c>
      <c r="BI104" s="241">
        <f>INDEX(연료전지_원본!$A$4:$KY$369,MATCH($A104,연료전지_원본!$A$4:$A$369,0),MATCH($BI$4,연료전지_원본!$A$4:$KY$4,0))</f>
        <v>0</v>
      </c>
      <c r="BJ104" s="241">
        <f>INDEX(연료전지_원본!$A$4:$KY$369,MATCH($A104,연료전지_원본!$A$4:$A$369,0),MATCH($BJ$4,연료전지_원본!$A$4:$KY$4,0))</f>
        <v>0</v>
      </c>
      <c r="BK104" s="241">
        <f>INDEX(연료전지_원본!$A$4:$KY$369,MATCH($A104,연료전지_원본!$A$4:$A$369,0),MATCH($BK$4,연료전지_원본!$A$4:$KY$4,0))</f>
        <v>0</v>
      </c>
      <c r="BL104" s="241">
        <f>INDEX(연료전지_원본!$A$4:$KY$369,MATCH($A104,연료전지_원본!$A$4:$A$369,0),MATCH($BL$4,연료전지_원본!$A$4:$KY$4,0))</f>
        <v>0</v>
      </c>
      <c r="BM104" s="241">
        <f>INDEX(연료전지_원본!$A$4:$KY$369,MATCH($A104,연료전지_원본!$A$4:$A$369,0),MATCH($BM$4,연료전지_원본!$A$4:$KY$4,0))</f>
        <v>0</v>
      </c>
      <c r="BN104" s="241">
        <f>INDEX(연료전지_원본!$A$4:$KY$369,MATCH($A104,연료전지_원본!$A$4:$A$369,0),MATCH($BN$4,연료전지_원본!$A$4:$KY$4,0))</f>
        <v>0</v>
      </c>
      <c r="BO104" s="241">
        <f>INDEX(연료전지_원본!$A$4:$KY$369,MATCH($A104,연료전지_원본!$A$4:$A$369,0),MATCH($BO$4,연료전지_원본!$A$4:$KY$4,0))</f>
        <v>0</v>
      </c>
      <c r="BP104" s="241">
        <f>INDEX(연료전지_원본!$A$4:$KY$369,MATCH($A104,연료전지_원본!$A$4:$A$369,0),MATCH($BP$4,연료전지_원본!$A$4:$KY$4,0))</f>
        <v>0</v>
      </c>
      <c r="BQ104" s="241">
        <f>INDEX(연료전지_원본!$A$4:$KY$369,MATCH($A104,연료전지_원본!$A$4:$A$369,0),MATCH($BQ$4,연료전지_원본!$A$4:$KY$4,0))</f>
        <v>0</v>
      </c>
      <c r="BR104" s="241">
        <f>INDEX(연료전지_원본!$A$4:$KY$369,MATCH($A104,연료전지_원본!$A$4:$A$369,0),MATCH($BR$4,연료전지_원본!$A$4:$KY$4,0))</f>
        <v>0</v>
      </c>
      <c r="BS104" s="241">
        <f>INDEX(연료전지_원본!$A$4:$KY$369,MATCH($A104,연료전지_원본!$A$4:$A$369,0),MATCH($BS$4,연료전지_원본!$A$4:$KY$4,0))</f>
        <v>0</v>
      </c>
      <c r="BT104" s="241">
        <f>INDEX(연료전지_원본!$A$4:$KY$369,MATCH($A104,연료전지_원본!$A$4:$A$369,0),MATCH($BT$4,연료전지_원본!$A$4:$KY$4,0))</f>
        <v>0</v>
      </c>
      <c r="BU104" s="241">
        <f>INDEX(연료전지_원본!$A$4:$KY$369,MATCH($A104,연료전지_원본!$A$4:$A$369,0),MATCH($BU$4,연료전지_원본!$A$4:$KY$4,0))</f>
        <v>0</v>
      </c>
      <c r="BV104" s="241">
        <f>INDEX(연료전지_원본!$A$4:$KY$369,MATCH($A104,연료전지_원본!$A$4:$A$369,0),MATCH($BV$4,연료전지_원본!$A$4:$KY$4,0))</f>
        <v>0</v>
      </c>
      <c r="BW104" s="241">
        <f>INDEX(연료전지_원본!$A$4:$KY$369,MATCH($A104,연료전지_원본!$A$4:$A$369,0),MATCH($BW$4,연료전지_원본!$A$4:$KY$4,0))</f>
        <v>0</v>
      </c>
      <c r="BX104" s="241">
        <f>INDEX(연료전지_원본!$A$4:$KY$369,MATCH($A104,연료전지_원본!$A$4:$A$369,0),MATCH($BX$4,연료전지_원본!$A$4:$KY$4,0))</f>
        <v>0</v>
      </c>
      <c r="BY104" s="241">
        <f>INDEX(연료전지_원본!$A$4:$KY$369,MATCH($A104,연료전지_원본!$A$4:$A$369,0),MATCH($BY$4,연료전지_원본!$A$4:$KY$4,0))</f>
        <v>0</v>
      </c>
      <c r="BZ104" s="241">
        <f>INDEX(연료전지_원본!$A$4:$KY$369,MATCH($A104,연료전지_원본!$A$4:$A$369,0),MATCH($BZ$4,연료전지_원본!$A$4:$KY$4,0))</f>
        <v>0</v>
      </c>
      <c r="CA104" s="241">
        <f>INDEX(연료전지_원본!$A$4:$KY$369,MATCH($A104,연료전지_원본!$A$4:$A$369,0),MATCH($CA$4,연료전지_원본!$A$4:$KY$4,0))</f>
        <v>0</v>
      </c>
      <c r="CB104" s="241">
        <f>INDEX(연료전지_원본!$A$4:$KY$369,MATCH($A104,연료전지_원본!$A$4:$A$369,0),MATCH($CB$4,연료전지_원본!$A$4:$KY$4,0))</f>
        <v>0</v>
      </c>
      <c r="CC104" s="242">
        <f>INDEX(연료전지_원본!$A$4:$KY$369,MATCH($A104,연료전지_원본!$A$4:$A$369,0),MATCH($CC$4,연료전지_원본!$A$4:$KY$4,0))</f>
        <v>0</v>
      </c>
      <c r="CD104" s="250">
        <f>INDEX(연료전지_원본!$KB$4:$KX$369,MATCH($A104,연료전지_원본!$KB$4:$KB$369,0), MATCH(CD$4,연료전지_원본!$KB$4:$KX$4,0))*1000</f>
        <v>0</v>
      </c>
      <c r="CE104" s="250">
        <f>INDEX(연료전지_원본!$KB$4:$KX$369,MATCH($A104,연료전지_원본!$KB$4:$KB$369,0), MATCH(CE$4,연료전지_원본!$KB$4:$KX$4,0))*1000</f>
        <v>0</v>
      </c>
      <c r="CF104" s="250">
        <f>INDEX(연료전지_원본!$KB$4:$KX$369,MATCH($A104,연료전지_원본!$KB$4:$KB$369,0), MATCH(CF$4,연료전지_원본!$KB$4:$KX$4,0))*1000</f>
        <v>0</v>
      </c>
      <c r="CG104" s="250">
        <f>INDEX(연료전지_원본!$KB$4:$KX$369,MATCH($A104,연료전지_원본!$KB$4:$KB$369,0), MATCH(CG$4,연료전지_원본!$KB$4:$KX$4,0))*1000</f>
        <v>0</v>
      </c>
      <c r="CH104" s="250">
        <f>INDEX(연료전지_원본!$KB$4:$KX$369,MATCH($A104,연료전지_원본!$KB$4:$KB$369,0), MATCH(CH$4,연료전지_원본!$KB$4:$KX$4,0))*1000</f>
        <v>0</v>
      </c>
      <c r="CI104" s="250">
        <f>INDEX(연료전지_원본!$KB$4:$KX$369,MATCH($A104,연료전지_원본!$KB$4:$KB$369,0), MATCH(CI$4,연료전지_원본!$KB$4:$KX$4,0))*1000</f>
        <v>0</v>
      </c>
      <c r="CJ104" s="250">
        <f>INDEX(연료전지_원본!$KB$4:$KX$369,MATCH($A104,연료전지_원본!$KB$4:$KB$369,0), MATCH(CJ$4,연료전지_원본!$KB$4:$KX$4,0))*1000</f>
        <v>0</v>
      </c>
      <c r="CK104" s="250">
        <f>INDEX(연료전지_원본!$KB$4:$KX$369,MATCH($A104,연료전지_원본!$KB$4:$KB$369,0), MATCH(CK$4,연료전지_원본!$KB$4:$KX$4,0))*1000</f>
        <v>0</v>
      </c>
      <c r="CL104" s="250">
        <f>INDEX(연료전지_원본!$KB$4:$KX$369,MATCH($A104,연료전지_원본!$KB$4:$KB$369,0), MATCH(CL$4,연료전지_원본!$KB$4:$KX$4,0))*1000</f>
        <v>0</v>
      </c>
      <c r="CM104" s="250">
        <f>INDEX(연료전지_원본!$KB$4:$KX$369,MATCH($A104,연료전지_원본!$KB$4:$KB$369,0), MATCH(CM$4,연료전지_원본!$KB$4:$KX$4,0))*1000</f>
        <v>0</v>
      </c>
      <c r="CN104" s="250">
        <f>INDEX(연료전지_원본!$KB$4:$KX$369,MATCH($A104,연료전지_원본!$KB$4:$KB$369,0), MATCH(CN$4,연료전지_원본!$KB$4:$KX$4,0))*1000</f>
        <v>0</v>
      </c>
      <c r="CO104" s="250">
        <f>INDEX(연료전지_원본!$KB$4:$KX$369,MATCH($A104,연료전지_원본!$KB$4:$KB$369,0), MATCH(CO$4,연료전지_원본!$KB$4:$KX$4,0))*1000</f>
        <v>0</v>
      </c>
      <c r="CP104" s="250">
        <f>INDEX(연료전지_원본!$KB$4:$KX$369,MATCH($A104,연료전지_원본!$KB$4:$KB$369,0), MATCH(CP$4,연료전지_원본!$KB$4:$KX$4,0))*1000</f>
        <v>0</v>
      </c>
      <c r="CQ104" s="250">
        <f>INDEX(연료전지_원본!$KB$4:$KX$369,MATCH($A104,연료전지_원본!$KB$4:$KB$369,0), MATCH(CQ$4,연료전지_원본!$KB$4:$KX$4,0))*1000</f>
        <v>0</v>
      </c>
      <c r="CR104" s="250">
        <f>INDEX(연료전지_원본!$KB$4:$KX$369,MATCH($A104,연료전지_원본!$KB$4:$KB$369,0), MATCH(CR$4,연료전지_원본!$KB$4:$KX$4,0))*1000</f>
        <v>0</v>
      </c>
      <c r="CS104" s="250">
        <f>INDEX(연료전지_원본!$KB$4:$KX$369,MATCH($A104,연료전지_원본!$KB$4:$KB$369,0), MATCH(CS$4,연료전지_원본!$KB$4:$KX$4,0))*1000</f>
        <v>0</v>
      </c>
      <c r="CT104" s="250">
        <f>INDEX(연료전지_원본!$KB$4:$KX$369,MATCH($A104,연료전지_원본!$KB$4:$KB$369,0), MATCH(CT$4,연료전지_원본!$KB$4:$KX$4,0))*1000</f>
        <v>0</v>
      </c>
      <c r="CU104" s="250">
        <f>INDEX(연료전지_원본!$KB$4:$KX$369,MATCH($A104,연료전지_원본!$KB$4:$KB$369,0), MATCH(CU$4,연료전지_원본!$KB$4:$KX$4,0))*1000</f>
        <v>0</v>
      </c>
      <c r="CV104" s="250">
        <f>INDEX(연료전지_원본!$KB$4:$KX$369,MATCH($A104,연료전지_원본!$KB$4:$KB$369,0), MATCH(CV$4,연료전지_원본!$KB$4:$KX$4,0))*1000</f>
        <v>0</v>
      </c>
      <c r="CW104" s="250">
        <f>INDEX(연료전지_원본!$KB$4:$KX$369,MATCH($A104,연료전지_원본!$KB$4:$KB$369,0), MATCH(CW$4,연료전지_원본!$KB$4:$KX$4,0))*1000</f>
        <v>0</v>
      </c>
      <c r="CX104" s="250">
        <f>INDEX(연료전지_원본!$KB$4:$KX$369,MATCH($A104,연료전지_원본!$KB$4:$KB$369,0), MATCH(CX$4,연료전지_원본!$KB$4:$KX$4,0))*1000</f>
        <v>0</v>
      </c>
      <c r="CY104" s="250">
        <f>INDEX(연료전지_원본!$KB$4:$KX$369,MATCH($A104,연료전지_원본!$KB$4:$KB$369,0), MATCH(CY$4,연료전지_원본!$KB$4:$KX$4,0))*1000</f>
        <v>0</v>
      </c>
      <c r="DV104" s="30">
        <f t="shared" si="623"/>
        <v>0</v>
      </c>
    </row>
    <row r="105" spans="1:126">
      <c r="A105" s="6">
        <v>46122</v>
      </c>
      <c r="B105" s="15">
        <f>운전실적_원본!B105</f>
        <v>0</v>
      </c>
      <c r="C105" s="16" t="str">
        <f t="shared" si="629"/>
        <v/>
      </c>
      <c r="D105" s="12">
        <f>운전실적_원본!C105</f>
        <v>0</v>
      </c>
      <c r="E105" s="12" t="str">
        <f t="shared" si="630"/>
        <v/>
      </c>
      <c r="F105" s="12">
        <f>운전실적_원본!D105</f>
        <v>0</v>
      </c>
      <c r="G105" s="16" t="str">
        <f t="shared" si="631"/>
        <v/>
      </c>
      <c r="H105" s="15">
        <f>운전실적_원본!E105</f>
        <v>0</v>
      </c>
      <c r="I105" s="16" t="str">
        <f t="shared" si="632"/>
        <v/>
      </c>
      <c r="J105" s="15">
        <f>운전실적_원본!F105</f>
        <v>0</v>
      </c>
      <c r="K105" s="16" t="str">
        <f t="shared" si="632"/>
        <v/>
      </c>
      <c r="L105" s="32">
        <f>운전실적_원본!G105</f>
        <v>0</v>
      </c>
      <c r="M105" s="31" t="str">
        <f t="shared" ref="M105" si="639">IF(OR(LEN(L105)=0,L105=0),"",L105-L104)</f>
        <v/>
      </c>
      <c r="N105" s="15">
        <f>운전실적_원본!H105</f>
        <v>0</v>
      </c>
      <c r="O105" s="16" t="str">
        <f t="shared" ref="O105" si="640">IF(OR(LEN(N105)=0,N105=0),"",N105-N104)</f>
        <v/>
      </c>
      <c r="P105" s="15">
        <f>운전실적_원본!I105</f>
        <v>0</v>
      </c>
      <c r="Q105" s="16" t="str">
        <f t="shared" ref="Q105" si="641">IF(OR(LEN(P105)=0,P105=0),"",P105-P104)</f>
        <v/>
      </c>
      <c r="R105" s="18">
        <f>운전실적_원본!J105</f>
        <v>0</v>
      </c>
      <c r="S105" s="19" t="str">
        <f t="shared" ref="S105" si="642">IF(OR(LEN(R105)=0,R105=0),"",R105-R104)</f>
        <v/>
      </c>
      <c r="T105" s="18">
        <f>운전실적_원본!K105</f>
        <v>0</v>
      </c>
      <c r="U105" s="19" t="str">
        <f t="shared" si="637"/>
        <v/>
      </c>
      <c r="V105" s="12">
        <f>운전실적_원본!L105</f>
        <v>0</v>
      </c>
      <c r="W105" s="16" t="str">
        <f t="shared" ref="W105" si="643">IF(OR(LEN(V105)=0,V105=0),"",V105-V104)</f>
        <v/>
      </c>
      <c r="X105" s="10">
        <f>운전실적_원본!M105</f>
        <v>0</v>
      </c>
      <c r="Y105" s="10">
        <f>운전실적_원본!N105</f>
        <v>0</v>
      </c>
      <c r="Z105" s="10">
        <f>운전실적_원본!O105</f>
        <v>0</v>
      </c>
      <c r="AA105" s="10">
        <f>운전실적_원본!P105</f>
        <v>0</v>
      </c>
      <c r="AB105" s="10">
        <f>운전실적_원본!Q105</f>
        <v>0</v>
      </c>
      <c r="AC105" s="20">
        <f>운전실적_원본!R105</f>
        <v>0</v>
      </c>
      <c r="AD105" s="109">
        <f>운전실적_원본!S105</f>
        <v>0</v>
      </c>
      <c r="AE105" s="110">
        <f>운전실적_원본!T105</f>
        <v>0</v>
      </c>
      <c r="AF105" s="110">
        <f>운전실적_원본!U105</f>
        <v>0</v>
      </c>
      <c r="AG105" s="110">
        <f>운전실적_원본!V105</f>
        <v>0</v>
      </c>
      <c r="AH105" s="109">
        <f t="shared" si="460"/>
        <v>0</v>
      </c>
      <c r="AI105" s="110">
        <f t="shared" si="467"/>
        <v>0</v>
      </c>
      <c r="AJ105" s="110">
        <f>운전실적_원본!Y105</f>
        <v>0</v>
      </c>
      <c r="AK105" s="110">
        <f>운전실적_원본!Z105</f>
        <v>0</v>
      </c>
      <c r="AL105" s="106"/>
      <c r="AM105" s="105"/>
      <c r="AN105" s="105"/>
      <c r="AO105" s="105"/>
      <c r="AP105" s="105"/>
      <c r="AQ105" s="108"/>
      <c r="AR105" s="105"/>
      <c r="AS105" s="105"/>
      <c r="AT105" s="102"/>
      <c r="AU105" s="102"/>
      <c r="AV105" s="102"/>
      <c r="AW105" s="102"/>
      <c r="AX105" s="32">
        <f>운전실적_원본!W105</f>
        <v>0</v>
      </c>
      <c r="AY105" s="11">
        <f>운전실적_원본!X105</f>
        <v>0</v>
      </c>
      <c r="AZ105" s="11">
        <f>운전실적_원본!Y105</f>
        <v>0</v>
      </c>
      <c r="BA105" s="11">
        <f>운전실적_원본!Z105</f>
        <v>0</v>
      </c>
      <c r="BB105" s="11">
        <f>운전실적_원본!AA105</f>
        <v>0</v>
      </c>
      <c r="BC105" s="11">
        <f>운전실적_원본!AB105</f>
        <v>0</v>
      </c>
      <c r="BD105" s="32" t="str">
        <f t="shared" si="453"/>
        <v>-</v>
      </c>
      <c r="BE105" s="11" t="str">
        <f t="shared" si="461"/>
        <v>-</v>
      </c>
      <c r="BF105" s="11">
        <f>운전실적_원본!AE105</f>
        <v>0</v>
      </c>
      <c r="BG105" s="31">
        <f t="shared" si="454"/>
        <v>0</v>
      </c>
      <c r="BH105" s="241">
        <f>INDEX(연료전지_원본!$A$4:$KY$369,MATCH($A105,연료전지_원본!$A$4:$A$369,0),MATCH($BH$4,연료전지_원본!$A$4:$KY$4,0))</f>
        <v>0</v>
      </c>
      <c r="BI105" s="241">
        <f>INDEX(연료전지_원본!$A$4:$KY$369,MATCH($A105,연료전지_원본!$A$4:$A$369,0),MATCH($BI$4,연료전지_원본!$A$4:$KY$4,0))</f>
        <v>0</v>
      </c>
      <c r="BJ105" s="241">
        <f>INDEX(연료전지_원본!$A$4:$KY$369,MATCH($A105,연료전지_원본!$A$4:$A$369,0),MATCH($BJ$4,연료전지_원본!$A$4:$KY$4,0))</f>
        <v>0</v>
      </c>
      <c r="BK105" s="241">
        <f>INDEX(연료전지_원본!$A$4:$KY$369,MATCH($A105,연료전지_원본!$A$4:$A$369,0),MATCH($BK$4,연료전지_원본!$A$4:$KY$4,0))</f>
        <v>0</v>
      </c>
      <c r="BL105" s="241">
        <f>INDEX(연료전지_원본!$A$4:$KY$369,MATCH($A105,연료전지_원본!$A$4:$A$369,0),MATCH($BL$4,연료전지_원본!$A$4:$KY$4,0))</f>
        <v>0</v>
      </c>
      <c r="BM105" s="241">
        <f>INDEX(연료전지_원본!$A$4:$KY$369,MATCH($A105,연료전지_원본!$A$4:$A$369,0),MATCH($BM$4,연료전지_원본!$A$4:$KY$4,0))</f>
        <v>0</v>
      </c>
      <c r="BN105" s="241">
        <f>INDEX(연료전지_원본!$A$4:$KY$369,MATCH($A105,연료전지_원본!$A$4:$A$369,0),MATCH($BN$4,연료전지_원본!$A$4:$KY$4,0))</f>
        <v>0</v>
      </c>
      <c r="BO105" s="241">
        <f>INDEX(연료전지_원본!$A$4:$KY$369,MATCH($A105,연료전지_원본!$A$4:$A$369,0),MATCH($BO$4,연료전지_원본!$A$4:$KY$4,0))</f>
        <v>0</v>
      </c>
      <c r="BP105" s="241">
        <f>INDEX(연료전지_원본!$A$4:$KY$369,MATCH($A105,연료전지_원본!$A$4:$A$369,0),MATCH($BP$4,연료전지_원본!$A$4:$KY$4,0))</f>
        <v>0</v>
      </c>
      <c r="BQ105" s="241">
        <f>INDEX(연료전지_원본!$A$4:$KY$369,MATCH($A105,연료전지_원본!$A$4:$A$369,0),MATCH($BQ$4,연료전지_원본!$A$4:$KY$4,0))</f>
        <v>0</v>
      </c>
      <c r="BR105" s="241">
        <f>INDEX(연료전지_원본!$A$4:$KY$369,MATCH($A105,연료전지_원본!$A$4:$A$369,0),MATCH($BR$4,연료전지_원본!$A$4:$KY$4,0))</f>
        <v>0</v>
      </c>
      <c r="BS105" s="241">
        <f>INDEX(연료전지_원본!$A$4:$KY$369,MATCH($A105,연료전지_원본!$A$4:$A$369,0),MATCH($BS$4,연료전지_원본!$A$4:$KY$4,0))</f>
        <v>0</v>
      </c>
      <c r="BT105" s="241">
        <f>INDEX(연료전지_원본!$A$4:$KY$369,MATCH($A105,연료전지_원본!$A$4:$A$369,0),MATCH($BT$4,연료전지_원본!$A$4:$KY$4,0))</f>
        <v>0</v>
      </c>
      <c r="BU105" s="241">
        <f>INDEX(연료전지_원본!$A$4:$KY$369,MATCH($A105,연료전지_원본!$A$4:$A$369,0),MATCH($BU$4,연료전지_원본!$A$4:$KY$4,0))</f>
        <v>0</v>
      </c>
      <c r="BV105" s="241">
        <f>INDEX(연료전지_원본!$A$4:$KY$369,MATCH($A105,연료전지_원본!$A$4:$A$369,0),MATCH($BV$4,연료전지_원본!$A$4:$KY$4,0))</f>
        <v>0</v>
      </c>
      <c r="BW105" s="241">
        <f>INDEX(연료전지_원본!$A$4:$KY$369,MATCH($A105,연료전지_원본!$A$4:$A$369,0),MATCH($BW$4,연료전지_원본!$A$4:$KY$4,0))</f>
        <v>0</v>
      </c>
      <c r="BX105" s="241">
        <f>INDEX(연료전지_원본!$A$4:$KY$369,MATCH($A105,연료전지_원본!$A$4:$A$369,0),MATCH($BX$4,연료전지_원본!$A$4:$KY$4,0))</f>
        <v>0</v>
      </c>
      <c r="BY105" s="241">
        <f>INDEX(연료전지_원본!$A$4:$KY$369,MATCH($A105,연료전지_원본!$A$4:$A$369,0),MATCH($BY$4,연료전지_원본!$A$4:$KY$4,0))</f>
        <v>0</v>
      </c>
      <c r="BZ105" s="241">
        <f>INDEX(연료전지_원본!$A$4:$KY$369,MATCH($A105,연료전지_원본!$A$4:$A$369,0),MATCH($BZ$4,연료전지_원본!$A$4:$KY$4,0))</f>
        <v>0</v>
      </c>
      <c r="CA105" s="241">
        <f>INDEX(연료전지_원본!$A$4:$KY$369,MATCH($A105,연료전지_원본!$A$4:$A$369,0),MATCH($CA$4,연료전지_원본!$A$4:$KY$4,0))</f>
        <v>0</v>
      </c>
      <c r="CB105" s="241">
        <f>INDEX(연료전지_원본!$A$4:$KY$369,MATCH($A105,연료전지_원본!$A$4:$A$369,0),MATCH($CB$4,연료전지_원본!$A$4:$KY$4,0))</f>
        <v>0</v>
      </c>
      <c r="CC105" s="242">
        <f>INDEX(연료전지_원본!$A$4:$KY$369,MATCH($A105,연료전지_원본!$A$4:$A$369,0),MATCH($CC$4,연료전지_원본!$A$4:$KY$4,0))</f>
        <v>0</v>
      </c>
      <c r="CD105" s="250">
        <f>INDEX(연료전지_원본!$KB$4:$KX$369,MATCH($A105,연료전지_원본!$KB$4:$KB$369,0), MATCH(CD$4,연료전지_원본!$KB$4:$KX$4,0))*1000</f>
        <v>0</v>
      </c>
      <c r="CE105" s="250">
        <f>INDEX(연료전지_원본!$KB$4:$KX$369,MATCH($A105,연료전지_원본!$KB$4:$KB$369,0), MATCH(CE$4,연료전지_원본!$KB$4:$KX$4,0))*1000</f>
        <v>0</v>
      </c>
      <c r="CF105" s="250">
        <f>INDEX(연료전지_원본!$KB$4:$KX$369,MATCH($A105,연료전지_원본!$KB$4:$KB$369,0), MATCH(CF$4,연료전지_원본!$KB$4:$KX$4,0))*1000</f>
        <v>0</v>
      </c>
      <c r="CG105" s="250">
        <f>INDEX(연료전지_원본!$KB$4:$KX$369,MATCH($A105,연료전지_원본!$KB$4:$KB$369,0), MATCH(CG$4,연료전지_원본!$KB$4:$KX$4,0))*1000</f>
        <v>0</v>
      </c>
      <c r="CH105" s="250">
        <f>INDEX(연료전지_원본!$KB$4:$KX$369,MATCH($A105,연료전지_원본!$KB$4:$KB$369,0), MATCH(CH$4,연료전지_원본!$KB$4:$KX$4,0))*1000</f>
        <v>0</v>
      </c>
      <c r="CI105" s="250">
        <f>INDEX(연료전지_원본!$KB$4:$KX$369,MATCH($A105,연료전지_원본!$KB$4:$KB$369,0), MATCH(CI$4,연료전지_원본!$KB$4:$KX$4,0))*1000</f>
        <v>0</v>
      </c>
      <c r="CJ105" s="250">
        <f>INDEX(연료전지_원본!$KB$4:$KX$369,MATCH($A105,연료전지_원본!$KB$4:$KB$369,0), MATCH(CJ$4,연료전지_원본!$KB$4:$KX$4,0))*1000</f>
        <v>0</v>
      </c>
      <c r="CK105" s="250">
        <f>INDEX(연료전지_원본!$KB$4:$KX$369,MATCH($A105,연료전지_원본!$KB$4:$KB$369,0), MATCH(CK$4,연료전지_원본!$KB$4:$KX$4,0))*1000</f>
        <v>0</v>
      </c>
      <c r="CL105" s="250">
        <f>INDEX(연료전지_원본!$KB$4:$KX$369,MATCH($A105,연료전지_원본!$KB$4:$KB$369,0), MATCH(CL$4,연료전지_원본!$KB$4:$KX$4,0))*1000</f>
        <v>0</v>
      </c>
      <c r="CM105" s="250">
        <f>INDEX(연료전지_원본!$KB$4:$KX$369,MATCH($A105,연료전지_원본!$KB$4:$KB$369,0), MATCH(CM$4,연료전지_원본!$KB$4:$KX$4,0))*1000</f>
        <v>0</v>
      </c>
      <c r="CN105" s="250">
        <f>INDEX(연료전지_원본!$KB$4:$KX$369,MATCH($A105,연료전지_원본!$KB$4:$KB$369,0), MATCH(CN$4,연료전지_원본!$KB$4:$KX$4,0))*1000</f>
        <v>0</v>
      </c>
      <c r="CO105" s="250">
        <f>INDEX(연료전지_원본!$KB$4:$KX$369,MATCH($A105,연료전지_원본!$KB$4:$KB$369,0), MATCH(CO$4,연료전지_원본!$KB$4:$KX$4,0))*1000</f>
        <v>0</v>
      </c>
      <c r="CP105" s="250">
        <f>INDEX(연료전지_원본!$KB$4:$KX$369,MATCH($A105,연료전지_원본!$KB$4:$KB$369,0), MATCH(CP$4,연료전지_원본!$KB$4:$KX$4,0))*1000</f>
        <v>0</v>
      </c>
      <c r="CQ105" s="250">
        <f>INDEX(연료전지_원본!$KB$4:$KX$369,MATCH($A105,연료전지_원본!$KB$4:$KB$369,0), MATCH(CQ$4,연료전지_원본!$KB$4:$KX$4,0))*1000</f>
        <v>0</v>
      </c>
      <c r="CR105" s="250">
        <f>INDEX(연료전지_원본!$KB$4:$KX$369,MATCH($A105,연료전지_원본!$KB$4:$KB$369,0), MATCH(CR$4,연료전지_원본!$KB$4:$KX$4,0))*1000</f>
        <v>0</v>
      </c>
      <c r="CS105" s="250">
        <f>INDEX(연료전지_원본!$KB$4:$KX$369,MATCH($A105,연료전지_원본!$KB$4:$KB$369,0), MATCH(CS$4,연료전지_원본!$KB$4:$KX$4,0))*1000</f>
        <v>0</v>
      </c>
      <c r="CT105" s="250">
        <f>INDEX(연료전지_원본!$KB$4:$KX$369,MATCH($A105,연료전지_원본!$KB$4:$KB$369,0), MATCH(CT$4,연료전지_원본!$KB$4:$KX$4,0))*1000</f>
        <v>0</v>
      </c>
      <c r="CU105" s="250">
        <f>INDEX(연료전지_원본!$KB$4:$KX$369,MATCH($A105,연료전지_원본!$KB$4:$KB$369,0), MATCH(CU$4,연료전지_원본!$KB$4:$KX$4,0))*1000</f>
        <v>0</v>
      </c>
      <c r="CV105" s="250">
        <f>INDEX(연료전지_원본!$KB$4:$KX$369,MATCH($A105,연료전지_원본!$KB$4:$KB$369,0), MATCH(CV$4,연료전지_원본!$KB$4:$KX$4,0))*1000</f>
        <v>0</v>
      </c>
      <c r="CW105" s="250">
        <f>INDEX(연료전지_원본!$KB$4:$KX$369,MATCH($A105,연료전지_원본!$KB$4:$KB$369,0), MATCH(CW$4,연료전지_원본!$KB$4:$KX$4,0))*1000</f>
        <v>0</v>
      </c>
      <c r="CX105" s="250">
        <f>INDEX(연료전지_원본!$KB$4:$KX$369,MATCH($A105,연료전지_원본!$KB$4:$KB$369,0), MATCH(CX$4,연료전지_원본!$KB$4:$KX$4,0))*1000</f>
        <v>0</v>
      </c>
      <c r="CY105" s="250">
        <f>INDEX(연료전지_원본!$KB$4:$KX$369,MATCH($A105,연료전지_원본!$KB$4:$KB$369,0), MATCH(CY$4,연료전지_원본!$KB$4:$KX$4,0))*1000</f>
        <v>0</v>
      </c>
      <c r="DV105" s="30">
        <f t="shared" si="623"/>
        <v>0</v>
      </c>
    </row>
    <row r="106" spans="1:126">
      <c r="A106" s="6">
        <v>46123</v>
      </c>
      <c r="B106" s="15">
        <f>운전실적_원본!B106</f>
        <v>0</v>
      </c>
      <c r="C106" s="16" t="str">
        <f t="shared" si="629"/>
        <v/>
      </c>
      <c r="D106" s="12">
        <f>운전실적_원본!C106</f>
        <v>0</v>
      </c>
      <c r="E106" s="12" t="str">
        <f t="shared" si="630"/>
        <v/>
      </c>
      <c r="F106" s="12">
        <f>운전실적_원본!D106</f>
        <v>0</v>
      </c>
      <c r="G106" s="16" t="str">
        <f t="shared" si="631"/>
        <v/>
      </c>
      <c r="H106" s="15">
        <f>운전실적_원본!E106</f>
        <v>0</v>
      </c>
      <c r="I106" s="16" t="str">
        <f t="shared" si="632"/>
        <v/>
      </c>
      <c r="J106" s="15">
        <f>운전실적_원본!F106</f>
        <v>0</v>
      </c>
      <c r="K106" s="16" t="str">
        <f t="shared" si="632"/>
        <v/>
      </c>
      <c r="L106" s="32">
        <f>운전실적_원본!G106</f>
        <v>0</v>
      </c>
      <c r="M106" s="31" t="str">
        <f t="shared" ref="M106" si="644">IF(OR(LEN(L106)=0,L106=0),"",L106-L105)</f>
        <v/>
      </c>
      <c r="N106" s="15">
        <f>운전실적_원본!H106</f>
        <v>0</v>
      </c>
      <c r="O106" s="16" t="str">
        <f t="shared" ref="O106" si="645">IF(OR(LEN(N106)=0,N106=0),"",N106-N105)</f>
        <v/>
      </c>
      <c r="P106" s="15">
        <f>운전실적_원본!I106</f>
        <v>0</v>
      </c>
      <c r="Q106" s="16" t="str">
        <f t="shared" ref="Q106" si="646">IF(OR(LEN(P106)=0,P106=0),"",P106-P105)</f>
        <v/>
      </c>
      <c r="R106" s="18">
        <f>운전실적_원본!J106</f>
        <v>0</v>
      </c>
      <c r="S106" s="19" t="str">
        <f t="shared" ref="S106" si="647">IF(OR(LEN(R106)=0,R106=0),"",R106-R105)</f>
        <v/>
      </c>
      <c r="T106" s="18">
        <f>운전실적_원본!K106</f>
        <v>0</v>
      </c>
      <c r="U106" s="19" t="str">
        <f t="shared" si="637"/>
        <v/>
      </c>
      <c r="V106" s="12">
        <f>운전실적_원본!L106</f>
        <v>0</v>
      </c>
      <c r="W106" s="16" t="str">
        <f t="shared" ref="W106" si="648">IF(OR(LEN(V106)=0,V106=0),"",V106-V105)</f>
        <v/>
      </c>
      <c r="X106" s="10">
        <f>운전실적_원본!M106</f>
        <v>0</v>
      </c>
      <c r="Y106" s="10">
        <f>운전실적_원본!N106</f>
        <v>0</v>
      </c>
      <c r="Z106" s="10">
        <f>운전실적_원본!O106</f>
        <v>0</v>
      </c>
      <c r="AA106" s="10">
        <f>운전실적_원본!P106</f>
        <v>0</v>
      </c>
      <c r="AB106" s="10">
        <f>운전실적_원본!Q106</f>
        <v>0</v>
      </c>
      <c r="AC106" s="20">
        <f>운전실적_원본!R106</f>
        <v>0</v>
      </c>
      <c r="AD106" s="109">
        <f>운전실적_원본!S106</f>
        <v>0</v>
      </c>
      <c r="AE106" s="110">
        <f>운전실적_원본!T106</f>
        <v>0</v>
      </c>
      <c r="AF106" s="110">
        <f>운전실적_원본!U106</f>
        <v>0</v>
      </c>
      <c r="AG106" s="110">
        <f>운전실적_원본!V106</f>
        <v>0</v>
      </c>
      <c r="AH106" s="109">
        <f t="shared" si="460"/>
        <v>0</v>
      </c>
      <c r="AI106" s="110">
        <f t="shared" si="467"/>
        <v>0</v>
      </c>
      <c r="AJ106" s="110">
        <f>운전실적_원본!Y106</f>
        <v>0</v>
      </c>
      <c r="AK106" s="110">
        <f>운전실적_원본!Z106</f>
        <v>0</v>
      </c>
      <c r="AL106" s="106"/>
      <c r="AM106" s="105"/>
      <c r="AN106" s="105"/>
      <c r="AO106" s="105"/>
      <c r="AP106" s="105"/>
      <c r="AQ106" s="108"/>
      <c r="AR106" s="105"/>
      <c r="AS106" s="105"/>
      <c r="AT106" s="102"/>
      <c r="AU106" s="102"/>
      <c r="AV106" s="102"/>
      <c r="AW106" s="102"/>
      <c r="AX106" s="32">
        <f>운전실적_원본!W106</f>
        <v>0</v>
      </c>
      <c r="AY106" s="11">
        <f>운전실적_원본!X106</f>
        <v>0</v>
      </c>
      <c r="AZ106" s="11">
        <f>운전실적_원본!Y106</f>
        <v>0</v>
      </c>
      <c r="BA106" s="11">
        <f>운전실적_원본!Z106</f>
        <v>0</v>
      </c>
      <c r="BB106" s="11">
        <f>운전실적_원본!AA106</f>
        <v>0</v>
      </c>
      <c r="BC106" s="11">
        <f>운전실적_원본!AB106</f>
        <v>0</v>
      </c>
      <c r="BD106" s="32" t="str">
        <f t="shared" si="453"/>
        <v>-</v>
      </c>
      <c r="BE106" s="11" t="str">
        <f t="shared" si="461"/>
        <v>-</v>
      </c>
      <c r="BF106" s="11">
        <f>운전실적_원본!AE106</f>
        <v>0</v>
      </c>
      <c r="BG106" s="31">
        <f t="shared" si="454"/>
        <v>0</v>
      </c>
      <c r="BH106" s="241">
        <f>INDEX(연료전지_원본!$A$4:$KY$369,MATCH($A106,연료전지_원본!$A$4:$A$369,0),MATCH($BH$4,연료전지_원본!$A$4:$KY$4,0))</f>
        <v>0</v>
      </c>
      <c r="BI106" s="241">
        <f>INDEX(연료전지_원본!$A$4:$KY$369,MATCH($A106,연료전지_원본!$A$4:$A$369,0),MATCH($BI$4,연료전지_원본!$A$4:$KY$4,0))</f>
        <v>0</v>
      </c>
      <c r="BJ106" s="241">
        <f>INDEX(연료전지_원본!$A$4:$KY$369,MATCH($A106,연료전지_원본!$A$4:$A$369,0),MATCH($BJ$4,연료전지_원본!$A$4:$KY$4,0))</f>
        <v>0</v>
      </c>
      <c r="BK106" s="241">
        <f>INDEX(연료전지_원본!$A$4:$KY$369,MATCH($A106,연료전지_원본!$A$4:$A$369,0),MATCH($BK$4,연료전지_원본!$A$4:$KY$4,0))</f>
        <v>0</v>
      </c>
      <c r="BL106" s="241">
        <f>INDEX(연료전지_원본!$A$4:$KY$369,MATCH($A106,연료전지_원본!$A$4:$A$369,0),MATCH($BL$4,연료전지_원본!$A$4:$KY$4,0))</f>
        <v>0</v>
      </c>
      <c r="BM106" s="241">
        <f>INDEX(연료전지_원본!$A$4:$KY$369,MATCH($A106,연료전지_원본!$A$4:$A$369,0),MATCH($BM$4,연료전지_원본!$A$4:$KY$4,0))</f>
        <v>0</v>
      </c>
      <c r="BN106" s="241">
        <f>INDEX(연료전지_원본!$A$4:$KY$369,MATCH($A106,연료전지_원본!$A$4:$A$369,0),MATCH($BN$4,연료전지_원본!$A$4:$KY$4,0))</f>
        <v>0</v>
      </c>
      <c r="BO106" s="241">
        <f>INDEX(연료전지_원본!$A$4:$KY$369,MATCH($A106,연료전지_원본!$A$4:$A$369,0),MATCH($BO$4,연료전지_원본!$A$4:$KY$4,0))</f>
        <v>0</v>
      </c>
      <c r="BP106" s="241">
        <f>INDEX(연료전지_원본!$A$4:$KY$369,MATCH($A106,연료전지_원본!$A$4:$A$369,0),MATCH($BP$4,연료전지_원본!$A$4:$KY$4,0))</f>
        <v>0</v>
      </c>
      <c r="BQ106" s="241">
        <f>INDEX(연료전지_원본!$A$4:$KY$369,MATCH($A106,연료전지_원본!$A$4:$A$369,0),MATCH($BQ$4,연료전지_원본!$A$4:$KY$4,0))</f>
        <v>0</v>
      </c>
      <c r="BR106" s="241">
        <f>INDEX(연료전지_원본!$A$4:$KY$369,MATCH($A106,연료전지_원본!$A$4:$A$369,0),MATCH($BR$4,연료전지_원본!$A$4:$KY$4,0))</f>
        <v>0</v>
      </c>
      <c r="BS106" s="241">
        <f>INDEX(연료전지_원본!$A$4:$KY$369,MATCH($A106,연료전지_원본!$A$4:$A$369,0),MATCH($BS$4,연료전지_원본!$A$4:$KY$4,0))</f>
        <v>0</v>
      </c>
      <c r="BT106" s="241">
        <f>INDEX(연료전지_원본!$A$4:$KY$369,MATCH($A106,연료전지_원본!$A$4:$A$369,0),MATCH($BT$4,연료전지_원본!$A$4:$KY$4,0))</f>
        <v>0</v>
      </c>
      <c r="BU106" s="241">
        <f>INDEX(연료전지_원본!$A$4:$KY$369,MATCH($A106,연료전지_원본!$A$4:$A$369,0),MATCH($BU$4,연료전지_원본!$A$4:$KY$4,0))</f>
        <v>0</v>
      </c>
      <c r="BV106" s="241">
        <f>INDEX(연료전지_원본!$A$4:$KY$369,MATCH($A106,연료전지_원본!$A$4:$A$369,0),MATCH($BV$4,연료전지_원본!$A$4:$KY$4,0))</f>
        <v>0</v>
      </c>
      <c r="BW106" s="241">
        <f>INDEX(연료전지_원본!$A$4:$KY$369,MATCH($A106,연료전지_원본!$A$4:$A$369,0),MATCH($BW$4,연료전지_원본!$A$4:$KY$4,0))</f>
        <v>0</v>
      </c>
      <c r="BX106" s="241">
        <f>INDEX(연료전지_원본!$A$4:$KY$369,MATCH($A106,연료전지_원본!$A$4:$A$369,0),MATCH($BX$4,연료전지_원본!$A$4:$KY$4,0))</f>
        <v>0</v>
      </c>
      <c r="BY106" s="241">
        <f>INDEX(연료전지_원본!$A$4:$KY$369,MATCH($A106,연료전지_원본!$A$4:$A$369,0),MATCH($BY$4,연료전지_원본!$A$4:$KY$4,0))</f>
        <v>0</v>
      </c>
      <c r="BZ106" s="241">
        <f>INDEX(연료전지_원본!$A$4:$KY$369,MATCH($A106,연료전지_원본!$A$4:$A$369,0),MATCH($BZ$4,연료전지_원본!$A$4:$KY$4,0))</f>
        <v>0</v>
      </c>
      <c r="CA106" s="241">
        <f>INDEX(연료전지_원본!$A$4:$KY$369,MATCH($A106,연료전지_원본!$A$4:$A$369,0),MATCH($CA$4,연료전지_원본!$A$4:$KY$4,0))</f>
        <v>0</v>
      </c>
      <c r="CB106" s="241">
        <f>INDEX(연료전지_원본!$A$4:$KY$369,MATCH($A106,연료전지_원본!$A$4:$A$369,0),MATCH($CB$4,연료전지_원본!$A$4:$KY$4,0))</f>
        <v>0</v>
      </c>
      <c r="CC106" s="242">
        <f>INDEX(연료전지_원본!$A$4:$KY$369,MATCH($A106,연료전지_원본!$A$4:$A$369,0),MATCH($CC$4,연료전지_원본!$A$4:$KY$4,0))</f>
        <v>0</v>
      </c>
      <c r="CD106" s="250">
        <f>INDEX(연료전지_원본!$KB$4:$KX$369,MATCH($A106,연료전지_원본!$KB$4:$KB$369,0), MATCH(CD$4,연료전지_원본!$KB$4:$KX$4,0))*1000</f>
        <v>0</v>
      </c>
      <c r="CE106" s="250">
        <f>INDEX(연료전지_원본!$KB$4:$KX$369,MATCH($A106,연료전지_원본!$KB$4:$KB$369,0), MATCH(CE$4,연료전지_원본!$KB$4:$KX$4,0))*1000</f>
        <v>0</v>
      </c>
      <c r="CF106" s="250">
        <f>INDEX(연료전지_원본!$KB$4:$KX$369,MATCH($A106,연료전지_원본!$KB$4:$KB$369,0), MATCH(CF$4,연료전지_원본!$KB$4:$KX$4,0))*1000</f>
        <v>0</v>
      </c>
      <c r="CG106" s="250">
        <f>INDEX(연료전지_원본!$KB$4:$KX$369,MATCH($A106,연료전지_원본!$KB$4:$KB$369,0), MATCH(CG$4,연료전지_원본!$KB$4:$KX$4,0))*1000</f>
        <v>0</v>
      </c>
      <c r="CH106" s="250">
        <f>INDEX(연료전지_원본!$KB$4:$KX$369,MATCH($A106,연료전지_원본!$KB$4:$KB$369,0), MATCH(CH$4,연료전지_원본!$KB$4:$KX$4,0))*1000</f>
        <v>0</v>
      </c>
      <c r="CI106" s="250">
        <f>INDEX(연료전지_원본!$KB$4:$KX$369,MATCH($A106,연료전지_원본!$KB$4:$KB$369,0), MATCH(CI$4,연료전지_원본!$KB$4:$KX$4,0))*1000</f>
        <v>0</v>
      </c>
      <c r="CJ106" s="250">
        <f>INDEX(연료전지_원본!$KB$4:$KX$369,MATCH($A106,연료전지_원본!$KB$4:$KB$369,0), MATCH(CJ$4,연료전지_원본!$KB$4:$KX$4,0))*1000</f>
        <v>0</v>
      </c>
      <c r="CK106" s="250">
        <f>INDEX(연료전지_원본!$KB$4:$KX$369,MATCH($A106,연료전지_원본!$KB$4:$KB$369,0), MATCH(CK$4,연료전지_원본!$KB$4:$KX$4,0))*1000</f>
        <v>0</v>
      </c>
      <c r="CL106" s="250">
        <f>INDEX(연료전지_원본!$KB$4:$KX$369,MATCH($A106,연료전지_원본!$KB$4:$KB$369,0), MATCH(CL$4,연료전지_원본!$KB$4:$KX$4,0))*1000</f>
        <v>0</v>
      </c>
      <c r="CM106" s="250">
        <f>INDEX(연료전지_원본!$KB$4:$KX$369,MATCH($A106,연료전지_원본!$KB$4:$KB$369,0), MATCH(CM$4,연료전지_원본!$KB$4:$KX$4,0))*1000</f>
        <v>0</v>
      </c>
      <c r="CN106" s="250">
        <f>INDEX(연료전지_원본!$KB$4:$KX$369,MATCH($A106,연료전지_원본!$KB$4:$KB$369,0), MATCH(CN$4,연료전지_원본!$KB$4:$KX$4,0))*1000</f>
        <v>0</v>
      </c>
      <c r="CO106" s="250">
        <f>INDEX(연료전지_원본!$KB$4:$KX$369,MATCH($A106,연료전지_원본!$KB$4:$KB$369,0), MATCH(CO$4,연료전지_원본!$KB$4:$KX$4,0))*1000</f>
        <v>0</v>
      </c>
      <c r="CP106" s="250">
        <f>INDEX(연료전지_원본!$KB$4:$KX$369,MATCH($A106,연료전지_원본!$KB$4:$KB$369,0), MATCH(CP$4,연료전지_원본!$KB$4:$KX$4,0))*1000</f>
        <v>0</v>
      </c>
      <c r="CQ106" s="250">
        <f>INDEX(연료전지_원본!$KB$4:$KX$369,MATCH($A106,연료전지_원본!$KB$4:$KB$369,0), MATCH(CQ$4,연료전지_원본!$KB$4:$KX$4,0))*1000</f>
        <v>0</v>
      </c>
      <c r="CR106" s="250">
        <f>INDEX(연료전지_원본!$KB$4:$KX$369,MATCH($A106,연료전지_원본!$KB$4:$KB$369,0), MATCH(CR$4,연료전지_원본!$KB$4:$KX$4,0))*1000</f>
        <v>0</v>
      </c>
      <c r="CS106" s="250">
        <f>INDEX(연료전지_원본!$KB$4:$KX$369,MATCH($A106,연료전지_원본!$KB$4:$KB$369,0), MATCH(CS$4,연료전지_원본!$KB$4:$KX$4,0))*1000</f>
        <v>0</v>
      </c>
      <c r="CT106" s="250">
        <f>INDEX(연료전지_원본!$KB$4:$KX$369,MATCH($A106,연료전지_원본!$KB$4:$KB$369,0), MATCH(CT$4,연료전지_원본!$KB$4:$KX$4,0))*1000</f>
        <v>0</v>
      </c>
      <c r="CU106" s="250">
        <f>INDEX(연료전지_원본!$KB$4:$KX$369,MATCH($A106,연료전지_원본!$KB$4:$KB$369,0), MATCH(CU$4,연료전지_원본!$KB$4:$KX$4,0))*1000</f>
        <v>0</v>
      </c>
      <c r="CV106" s="250">
        <f>INDEX(연료전지_원본!$KB$4:$KX$369,MATCH($A106,연료전지_원본!$KB$4:$KB$369,0), MATCH(CV$4,연료전지_원본!$KB$4:$KX$4,0))*1000</f>
        <v>0</v>
      </c>
      <c r="CW106" s="250">
        <f>INDEX(연료전지_원본!$KB$4:$KX$369,MATCH($A106,연료전지_원본!$KB$4:$KB$369,0), MATCH(CW$4,연료전지_원본!$KB$4:$KX$4,0))*1000</f>
        <v>0</v>
      </c>
      <c r="CX106" s="250">
        <f>INDEX(연료전지_원본!$KB$4:$KX$369,MATCH($A106,연료전지_원본!$KB$4:$KB$369,0), MATCH(CX$4,연료전지_원본!$KB$4:$KX$4,0))*1000</f>
        <v>0</v>
      </c>
      <c r="CY106" s="250">
        <f>INDEX(연료전지_원본!$KB$4:$KX$369,MATCH($A106,연료전지_원본!$KB$4:$KB$369,0), MATCH(CY$4,연료전지_원본!$KB$4:$KX$4,0))*1000</f>
        <v>0</v>
      </c>
      <c r="DV106" s="30">
        <f t="shared" si="623"/>
        <v>0</v>
      </c>
    </row>
    <row r="107" spans="1:126">
      <c r="A107" s="6">
        <v>46124</v>
      </c>
      <c r="B107" s="15">
        <f>운전실적_원본!B107</f>
        <v>0</v>
      </c>
      <c r="C107" s="16" t="str">
        <f t="shared" si="629"/>
        <v/>
      </c>
      <c r="D107" s="12">
        <f>운전실적_원본!C107</f>
        <v>0</v>
      </c>
      <c r="E107" s="12" t="str">
        <f t="shared" si="630"/>
        <v/>
      </c>
      <c r="F107" s="12">
        <f>운전실적_원본!D107</f>
        <v>0</v>
      </c>
      <c r="G107" s="16" t="str">
        <f t="shared" si="631"/>
        <v/>
      </c>
      <c r="H107" s="15">
        <f>운전실적_원본!E107</f>
        <v>0</v>
      </c>
      <c r="I107" s="16" t="str">
        <f t="shared" si="632"/>
        <v/>
      </c>
      <c r="J107" s="15">
        <f>운전실적_원본!F107</f>
        <v>0</v>
      </c>
      <c r="K107" s="16" t="str">
        <f t="shared" si="632"/>
        <v/>
      </c>
      <c r="L107" s="32">
        <f>운전실적_원본!G107</f>
        <v>0</v>
      </c>
      <c r="M107" s="31" t="str">
        <f t="shared" ref="M107" si="649">IF(OR(LEN(L107)=0,L107=0),"",L107-L106)</f>
        <v/>
      </c>
      <c r="N107" s="15">
        <f>운전실적_원본!H107</f>
        <v>0</v>
      </c>
      <c r="O107" s="16" t="str">
        <f t="shared" ref="O107" si="650">IF(OR(LEN(N107)=0,N107=0),"",N107-N106)</f>
        <v/>
      </c>
      <c r="P107" s="15">
        <f>운전실적_원본!I107</f>
        <v>0</v>
      </c>
      <c r="Q107" s="16" t="str">
        <f t="shared" ref="Q107" si="651">IF(OR(LEN(P107)=0,P107=0),"",P107-P106)</f>
        <v/>
      </c>
      <c r="R107" s="18">
        <f>운전실적_원본!J107</f>
        <v>0</v>
      </c>
      <c r="S107" s="19" t="str">
        <f t="shared" ref="S107" si="652">IF(OR(LEN(R107)=0,R107=0),"",R107-R106)</f>
        <v/>
      </c>
      <c r="T107" s="18">
        <f>운전실적_원본!K107</f>
        <v>0</v>
      </c>
      <c r="U107" s="19" t="str">
        <f t="shared" si="637"/>
        <v/>
      </c>
      <c r="V107" s="12">
        <f>운전실적_원본!L107</f>
        <v>0</v>
      </c>
      <c r="W107" s="16" t="str">
        <f t="shared" ref="W107" si="653">IF(OR(LEN(V107)=0,V107=0),"",V107-V106)</f>
        <v/>
      </c>
      <c r="X107" s="10">
        <f>운전실적_원본!M107</f>
        <v>0</v>
      </c>
      <c r="Y107" s="10">
        <f>운전실적_원본!N107</f>
        <v>0</v>
      </c>
      <c r="Z107" s="10">
        <f>운전실적_원본!O107</f>
        <v>0</v>
      </c>
      <c r="AA107" s="10">
        <f>운전실적_원본!P107</f>
        <v>0</v>
      </c>
      <c r="AB107" s="10">
        <f>운전실적_원본!Q107</f>
        <v>0</v>
      </c>
      <c r="AC107" s="20">
        <f>운전실적_원본!R107</f>
        <v>0</v>
      </c>
      <c r="AD107" s="109">
        <f>운전실적_원본!S107</f>
        <v>0</v>
      </c>
      <c r="AE107" s="110">
        <f>운전실적_원본!T107</f>
        <v>0</v>
      </c>
      <c r="AF107" s="110">
        <f>운전실적_원본!U107</f>
        <v>0</v>
      </c>
      <c r="AG107" s="110">
        <f>운전실적_원본!V107</f>
        <v>0</v>
      </c>
      <c r="AH107" s="109">
        <f t="shared" si="460"/>
        <v>0</v>
      </c>
      <c r="AI107" s="110">
        <f t="shared" si="467"/>
        <v>0</v>
      </c>
      <c r="AJ107" s="110">
        <f>운전실적_원본!Y107</f>
        <v>0</v>
      </c>
      <c r="AK107" s="110">
        <f>운전실적_원본!Z107</f>
        <v>0</v>
      </c>
      <c r="AL107" s="106"/>
      <c r="AM107" s="105"/>
      <c r="AN107" s="105"/>
      <c r="AO107" s="105"/>
      <c r="AP107" s="105"/>
      <c r="AQ107" s="108"/>
      <c r="AR107" s="105"/>
      <c r="AS107" s="105"/>
      <c r="AT107" s="102"/>
      <c r="AU107" s="102"/>
      <c r="AV107" s="102"/>
      <c r="AW107" s="102"/>
      <c r="AX107" s="32">
        <f>운전실적_원본!W107</f>
        <v>0</v>
      </c>
      <c r="AY107" s="11">
        <f>운전실적_원본!X107</f>
        <v>0</v>
      </c>
      <c r="AZ107" s="11">
        <f>운전실적_원본!Y107</f>
        <v>0</v>
      </c>
      <c r="BA107" s="11">
        <f>운전실적_원본!Z107</f>
        <v>0</v>
      </c>
      <c r="BB107" s="11">
        <f>운전실적_원본!AA107</f>
        <v>0</v>
      </c>
      <c r="BC107" s="11">
        <f>운전실적_원본!AB107</f>
        <v>0</v>
      </c>
      <c r="BD107" s="32" t="str">
        <f t="shared" si="453"/>
        <v>-</v>
      </c>
      <c r="BE107" s="11" t="str">
        <f t="shared" si="461"/>
        <v>-</v>
      </c>
      <c r="BF107" s="11">
        <f>운전실적_원본!AE107</f>
        <v>0</v>
      </c>
      <c r="BG107" s="31">
        <f t="shared" si="454"/>
        <v>0</v>
      </c>
      <c r="BH107" s="241">
        <f>INDEX(연료전지_원본!$A$4:$KY$369,MATCH($A107,연료전지_원본!$A$4:$A$369,0),MATCH($BH$4,연료전지_원본!$A$4:$KY$4,0))</f>
        <v>0</v>
      </c>
      <c r="BI107" s="241">
        <f>INDEX(연료전지_원본!$A$4:$KY$369,MATCH($A107,연료전지_원본!$A$4:$A$369,0),MATCH($BI$4,연료전지_원본!$A$4:$KY$4,0))</f>
        <v>0</v>
      </c>
      <c r="BJ107" s="241">
        <f>INDEX(연료전지_원본!$A$4:$KY$369,MATCH($A107,연료전지_원본!$A$4:$A$369,0),MATCH($BJ$4,연료전지_원본!$A$4:$KY$4,0))</f>
        <v>0</v>
      </c>
      <c r="BK107" s="241">
        <f>INDEX(연료전지_원본!$A$4:$KY$369,MATCH($A107,연료전지_원본!$A$4:$A$369,0),MATCH($BK$4,연료전지_원본!$A$4:$KY$4,0))</f>
        <v>0</v>
      </c>
      <c r="BL107" s="241">
        <f>INDEX(연료전지_원본!$A$4:$KY$369,MATCH($A107,연료전지_원본!$A$4:$A$369,0),MATCH($BL$4,연료전지_원본!$A$4:$KY$4,0))</f>
        <v>0</v>
      </c>
      <c r="BM107" s="241">
        <f>INDEX(연료전지_원본!$A$4:$KY$369,MATCH($A107,연료전지_원본!$A$4:$A$369,0),MATCH($BM$4,연료전지_원본!$A$4:$KY$4,0))</f>
        <v>0</v>
      </c>
      <c r="BN107" s="241">
        <f>INDEX(연료전지_원본!$A$4:$KY$369,MATCH($A107,연료전지_원본!$A$4:$A$369,0),MATCH($BN$4,연료전지_원본!$A$4:$KY$4,0))</f>
        <v>0</v>
      </c>
      <c r="BO107" s="241">
        <f>INDEX(연료전지_원본!$A$4:$KY$369,MATCH($A107,연료전지_원본!$A$4:$A$369,0),MATCH($BO$4,연료전지_원본!$A$4:$KY$4,0))</f>
        <v>0</v>
      </c>
      <c r="BP107" s="241">
        <f>INDEX(연료전지_원본!$A$4:$KY$369,MATCH($A107,연료전지_원본!$A$4:$A$369,0),MATCH($BP$4,연료전지_원본!$A$4:$KY$4,0))</f>
        <v>0</v>
      </c>
      <c r="BQ107" s="241">
        <f>INDEX(연료전지_원본!$A$4:$KY$369,MATCH($A107,연료전지_원본!$A$4:$A$369,0),MATCH($BQ$4,연료전지_원본!$A$4:$KY$4,0))</f>
        <v>0</v>
      </c>
      <c r="BR107" s="241">
        <f>INDEX(연료전지_원본!$A$4:$KY$369,MATCH($A107,연료전지_원본!$A$4:$A$369,0),MATCH($BR$4,연료전지_원본!$A$4:$KY$4,0))</f>
        <v>0</v>
      </c>
      <c r="BS107" s="241">
        <f>INDEX(연료전지_원본!$A$4:$KY$369,MATCH($A107,연료전지_원본!$A$4:$A$369,0),MATCH($BS$4,연료전지_원본!$A$4:$KY$4,0))</f>
        <v>0</v>
      </c>
      <c r="BT107" s="241">
        <f>INDEX(연료전지_원본!$A$4:$KY$369,MATCH($A107,연료전지_원본!$A$4:$A$369,0),MATCH($BT$4,연료전지_원본!$A$4:$KY$4,0))</f>
        <v>0</v>
      </c>
      <c r="BU107" s="241">
        <f>INDEX(연료전지_원본!$A$4:$KY$369,MATCH($A107,연료전지_원본!$A$4:$A$369,0),MATCH($BU$4,연료전지_원본!$A$4:$KY$4,0))</f>
        <v>0</v>
      </c>
      <c r="BV107" s="241">
        <f>INDEX(연료전지_원본!$A$4:$KY$369,MATCH($A107,연료전지_원본!$A$4:$A$369,0),MATCH($BV$4,연료전지_원본!$A$4:$KY$4,0))</f>
        <v>0</v>
      </c>
      <c r="BW107" s="241">
        <f>INDEX(연료전지_원본!$A$4:$KY$369,MATCH($A107,연료전지_원본!$A$4:$A$369,0),MATCH($BW$4,연료전지_원본!$A$4:$KY$4,0))</f>
        <v>0</v>
      </c>
      <c r="BX107" s="241">
        <f>INDEX(연료전지_원본!$A$4:$KY$369,MATCH($A107,연료전지_원본!$A$4:$A$369,0),MATCH($BX$4,연료전지_원본!$A$4:$KY$4,0))</f>
        <v>0</v>
      </c>
      <c r="BY107" s="241">
        <f>INDEX(연료전지_원본!$A$4:$KY$369,MATCH($A107,연료전지_원본!$A$4:$A$369,0),MATCH($BY$4,연료전지_원본!$A$4:$KY$4,0))</f>
        <v>0</v>
      </c>
      <c r="BZ107" s="241">
        <f>INDEX(연료전지_원본!$A$4:$KY$369,MATCH($A107,연료전지_원본!$A$4:$A$369,0),MATCH($BZ$4,연료전지_원본!$A$4:$KY$4,0))</f>
        <v>0</v>
      </c>
      <c r="CA107" s="241">
        <f>INDEX(연료전지_원본!$A$4:$KY$369,MATCH($A107,연료전지_원본!$A$4:$A$369,0),MATCH($CA$4,연료전지_원본!$A$4:$KY$4,0))</f>
        <v>0</v>
      </c>
      <c r="CB107" s="241">
        <f>INDEX(연료전지_원본!$A$4:$KY$369,MATCH($A107,연료전지_원본!$A$4:$A$369,0),MATCH($CB$4,연료전지_원본!$A$4:$KY$4,0))</f>
        <v>0</v>
      </c>
      <c r="CC107" s="242">
        <f>INDEX(연료전지_원본!$A$4:$KY$369,MATCH($A107,연료전지_원본!$A$4:$A$369,0),MATCH($CC$4,연료전지_원본!$A$4:$KY$4,0))</f>
        <v>0</v>
      </c>
      <c r="CD107" s="250">
        <f>INDEX(연료전지_원본!$KB$4:$KX$369,MATCH($A107,연료전지_원본!$KB$4:$KB$369,0), MATCH(CD$4,연료전지_원본!$KB$4:$KX$4,0))*1000</f>
        <v>0</v>
      </c>
      <c r="CE107" s="250">
        <f>INDEX(연료전지_원본!$KB$4:$KX$369,MATCH($A107,연료전지_원본!$KB$4:$KB$369,0), MATCH(CE$4,연료전지_원본!$KB$4:$KX$4,0))*1000</f>
        <v>0</v>
      </c>
      <c r="CF107" s="250">
        <f>INDEX(연료전지_원본!$KB$4:$KX$369,MATCH($A107,연료전지_원본!$KB$4:$KB$369,0), MATCH(CF$4,연료전지_원본!$KB$4:$KX$4,0))*1000</f>
        <v>0</v>
      </c>
      <c r="CG107" s="250">
        <f>INDEX(연료전지_원본!$KB$4:$KX$369,MATCH($A107,연료전지_원본!$KB$4:$KB$369,0), MATCH(CG$4,연료전지_원본!$KB$4:$KX$4,0))*1000</f>
        <v>0</v>
      </c>
      <c r="CH107" s="250">
        <f>INDEX(연료전지_원본!$KB$4:$KX$369,MATCH($A107,연료전지_원본!$KB$4:$KB$369,0), MATCH(CH$4,연료전지_원본!$KB$4:$KX$4,0))*1000</f>
        <v>0</v>
      </c>
      <c r="CI107" s="250">
        <f>INDEX(연료전지_원본!$KB$4:$KX$369,MATCH($A107,연료전지_원본!$KB$4:$KB$369,0), MATCH(CI$4,연료전지_원본!$KB$4:$KX$4,0))*1000</f>
        <v>0</v>
      </c>
      <c r="CJ107" s="250">
        <f>INDEX(연료전지_원본!$KB$4:$KX$369,MATCH($A107,연료전지_원본!$KB$4:$KB$369,0), MATCH(CJ$4,연료전지_원본!$KB$4:$KX$4,0))*1000</f>
        <v>0</v>
      </c>
      <c r="CK107" s="250">
        <f>INDEX(연료전지_원본!$KB$4:$KX$369,MATCH($A107,연료전지_원본!$KB$4:$KB$369,0), MATCH(CK$4,연료전지_원본!$KB$4:$KX$4,0))*1000</f>
        <v>0</v>
      </c>
      <c r="CL107" s="250">
        <f>INDEX(연료전지_원본!$KB$4:$KX$369,MATCH($A107,연료전지_원본!$KB$4:$KB$369,0), MATCH(CL$4,연료전지_원본!$KB$4:$KX$4,0))*1000</f>
        <v>0</v>
      </c>
      <c r="CM107" s="250">
        <f>INDEX(연료전지_원본!$KB$4:$KX$369,MATCH($A107,연료전지_원본!$KB$4:$KB$369,0), MATCH(CM$4,연료전지_원본!$KB$4:$KX$4,0))*1000</f>
        <v>0</v>
      </c>
      <c r="CN107" s="250">
        <f>INDEX(연료전지_원본!$KB$4:$KX$369,MATCH($A107,연료전지_원본!$KB$4:$KB$369,0), MATCH(CN$4,연료전지_원본!$KB$4:$KX$4,0))*1000</f>
        <v>0</v>
      </c>
      <c r="CO107" s="250">
        <f>INDEX(연료전지_원본!$KB$4:$KX$369,MATCH($A107,연료전지_원본!$KB$4:$KB$369,0), MATCH(CO$4,연료전지_원본!$KB$4:$KX$4,0))*1000</f>
        <v>0</v>
      </c>
      <c r="CP107" s="250">
        <f>INDEX(연료전지_원본!$KB$4:$KX$369,MATCH($A107,연료전지_원본!$KB$4:$KB$369,0), MATCH(CP$4,연료전지_원본!$KB$4:$KX$4,0))*1000</f>
        <v>0</v>
      </c>
      <c r="CQ107" s="250">
        <f>INDEX(연료전지_원본!$KB$4:$KX$369,MATCH($A107,연료전지_원본!$KB$4:$KB$369,0), MATCH(CQ$4,연료전지_원본!$KB$4:$KX$4,0))*1000</f>
        <v>0</v>
      </c>
      <c r="CR107" s="250">
        <f>INDEX(연료전지_원본!$KB$4:$KX$369,MATCH($A107,연료전지_원본!$KB$4:$KB$369,0), MATCH(CR$4,연료전지_원본!$KB$4:$KX$4,0))*1000</f>
        <v>0</v>
      </c>
      <c r="CS107" s="250">
        <f>INDEX(연료전지_원본!$KB$4:$KX$369,MATCH($A107,연료전지_원본!$KB$4:$KB$369,0), MATCH(CS$4,연료전지_원본!$KB$4:$KX$4,0))*1000</f>
        <v>0</v>
      </c>
      <c r="CT107" s="250">
        <f>INDEX(연료전지_원본!$KB$4:$KX$369,MATCH($A107,연료전지_원본!$KB$4:$KB$369,0), MATCH(CT$4,연료전지_원본!$KB$4:$KX$4,0))*1000</f>
        <v>0</v>
      </c>
      <c r="CU107" s="250">
        <f>INDEX(연료전지_원본!$KB$4:$KX$369,MATCH($A107,연료전지_원본!$KB$4:$KB$369,0), MATCH(CU$4,연료전지_원본!$KB$4:$KX$4,0))*1000</f>
        <v>0</v>
      </c>
      <c r="CV107" s="250">
        <f>INDEX(연료전지_원본!$KB$4:$KX$369,MATCH($A107,연료전지_원본!$KB$4:$KB$369,0), MATCH(CV$4,연료전지_원본!$KB$4:$KX$4,0))*1000</f>
        <v>0</v>
      </c>
      <c r="CW107" s="250">
        <f>INDEX(연료전지_원본!$KB$4:$KX$369,MATCH($A107,연료전지_원본!$KB$4:$KB$369,0), MATCH(CW$4,연료전지_원본!$KB$4:$KX$4,0))*1000</f>
        <v>0</v>
      </c>
      <c r="CX107" s="250">
        <f>INDEX(연료전지_원본!$KB$4:$KX$369,MATCH($A107,연료전지_원본!$KB$4:$KB$369,0), MATCH(CX$4,연료전지_원본!$KB$4:$KX$4,0))*1000</f>
        <v>0</v>
      </c>
      <c r="CY107" s="250">
        <f>INDEX(연료전지_원본!$KB$4:$KX$369,MATCH($A107,연료전지_원본!$KB$4:$KB$369,0), MATCH(CY$4,연료전지_원본!$KB$4:$KX$4,0))*1000</f>
        <v>0</v>
      </c>
      <c r="DV107" s="30">
        <f t="shared" si="623"/>
        <v>0</v>
      </c>
    </row>
    <row r="108" spans="1:126">
      <c r="A108" s="6">
        <v>46125</v>
      </c>
      <c r="B108" s="15">
        <f>운전실적_원본!B108</f>
        <v>0</v>
      </c>
      <c r="C108" s="16" t="str">
        <f t="shared" si="629"/>
        <v/>
      </c>
      <c r="D108" s="12">
        <f>운전실적_원본!C108</f>
        <v>0</v>
      </c>
      <c r="E108" s="12" t="str">
        <f t="shared" si="630"/>
        <v/>
      </c>
      <c r="F108" s="12">
        <f>운전실적_원본!D108</f>
        <v>0</v>
      </c>
      <c r="G108" s="16" t="str">
        <f t="shared" si="631"/>
        <v/>
      </c>
      <c r="H108" s="15">
        <f>운전실적_원본!E108</f>
        <v>0</v>
      </c>
      <c r="I108" s="16" t="str">
        <f t="shared" si="632"/>
        <v/>
      </c>
      <c r="J108" s="15">
        <f>운전실적_원본!F108</f>
        <v>0</v>
      </c>
      <c r="K108" s="16" t="str">
        <f t="shared" si="632"/>
        <v/>
      </c>
      <c r="L108" s="32">
        <f>운전실적_원본!G108</f>
        <v>0</v>
      </c>
      <c r="M108" s="31" t="str">
        <f t="shared" ref="M108" si="654">IF(OR(LEN(L108)=0,L108=0),"",L108-L107)</f>
        <v/>
      </c>
      <c r="N108" s="15">
        <f>운전실적_원본!H108</f>
        <v>0</v>
      </c>
      <c r="O108" s="16" t="str">
        <f t="shared" ref="O108" si="655">IF(OR(LEN(N108)=0,N108=0),"",N108-N107)</f>
        <v/>
      </c>
      <c r="P108" s="15">
        <f>운전실적_원본!I108</f>
        <v>0</v>
      </c>
      <c r="Q108" s="16" t="str">
        <f t="shared" ref="Q108" si="656">IF(OR(LEN(P108)=0,P108=0),"",P108-P107)</f>
        <v/>
      </c>
      <c r="R108" s="18">
        <f>운전실적_원본!J108</f>
        <v>0</v>
      </c>
      <c r="S108" s="19" t="str">
        <f t="shared" ref="S108" si="657">IF(OR(LEN(R108)=0,R108=0),"",R108-R107)</f>
        <v/>
      </c>
      <c r="T108" s="18">
        <f>운전실적_원본!K108</f>
        <v>0</v>
      </c>
      <c r="U108" s="19" t="str">
        <f t="shared" si="637"/>
        <v/>
      </c>
      <c r="V108" s="12">
        <f>운전실적_원본!L108</f>
        <v>0</v>
      </c>
      <c r="W108" s="16" t="str">
        <f t="shared" ref="W108" si="658">IF(OR(LEN(V108)=0,V108=0),"",V108-V107)</f>
        <v/>
      </c>
      <c r="X108" s="10">
        <f>운전실적_원본!M108</f>
        <v>0</v>
      </c>
      <c r="Y108" s="10">
        <f>운전실적_원본!N108</f>
        <v>0</v>
      </c>
      <c r="Z108" s="10">
        <f>운전실적_원본!O108</f>
        <v>0</v>
      </c>
      <c r="AA108" s="10">
        <f>운전실적_원본!P108</f>
        <v>0</v>
      </c>
      <c r="AB108" s="10">
        <f>운전실적_원본!Q108</f>
        <v>0</v>
      </c>
      <c r="AC108" s="20">
        <f>운전실적_원본!R108</f>
        <v>0</v>
      </c>
      <c r="AD108" s="109">
        <f>운전실적_원본!S108</f>
        <v>0</v>
      </c>
      <c r="AE108" s="110">
        <f>운전실적_원본!T108</f>
        <v>0</v>
      </c>
      <c r="AF108" s="110">
        <f>운전실적_원본!U108</f>
        <v>0</v>
      </c>
      <c r="AG108" s="110">
        <f>운전실적_원본!V108</f>
        <v>0</v>
      </c>
      <c r="AH108" s="109">
        <f t="shared" si="460"/>
        <v>0</v>
      </c>
      <c r="AI108" s="110">
        <f t="shared" si="467"/>
        <v>0</v>
      </c>
      <c r="AJ108" s="110">
        <f>운전실적_원본!Y108</f>
        <v>0</v>
      </c>
      <c r="AK108" s="110">
        <f>운전실적_원본!Z108</f>
        <v>0</v>
      </c>
      <c r="AL108" s="106"/>
      <c r="AM108" s="105"/>
      <c r="AN108" s="105"/>
      <c r="AO108" s="105"/>
      <c r="AP108" s="105"/>
      <c r="AQ108" s="108"/>
      <c r="AR108" s="105"/>
      <c r="AS108" s="105"/>
      <c r="AT108" s="102"/>
      <c r="AU108" s="102"/>
      <c r="AV108" s="102"/>
      <c r="AW108" s="102"/>
      <c r="AX108" s="32">
        <f>운전실적_원본!W108</f>
        <v>0</v>
      </c>
      <c r="AY108" s="11">
        <f>운전실적_원본!X108</f>
        <v>0</v>
      </c>
      <c r="AZ108" s="11">
        <f>운전실적_원본!Y108</f>
        <v>0</v>
      </c>
      <c r="BA108" s="11">
        <f>운전실적_원본!Z108</f>
        <v>0</v>
      </c>
      <c r="BB108" s="11">
        <f>운전실적_원본!AA108</f>
        <v>0</v>
      </c>
      <c r="BC108" s="11">
        <f>운전실적_원본!AB108</f>
        <v>0</v>
      </c>
      <c r="BD108" s="32" t="str">
        <f t="shared" si="453"/>
        <v>-</v>
      </c>
      <c r="BE108" s="11" t="str">
        <f t="shared" si="461"/>
        <v>-</v>
      </c>
      <c r="BF108" s="11">
        <f>운전실적_원본!AE108</f>
        <v>0</v>
      </c>
      <c r="BG108" s="31">
        <f t="shared" si="454"/>
        <v>0</v>
      </c>
      <c r="BH108" s="241">
        <f>INDEX(연료전지_원본!$A$4:$KY$369,MATCH($A108,연료전지_원본!$A$4:$A$369,0),MATCH($BH$4,연료전지_원본!$A$4:$KY$4,0))</f>
        <v>0</v>
      </c>
      <c r="BI108" s="241">
        <f>INDEX(연료전지_원본!$A$4:$KY$369,MATCH($A108,연료전지_원본!$A$4:$A$369,0),MATCH($BI$4,연료전지_원본!$A$4:$KY$4,0))</f>
        <v>0</v>
      </c>
      <c r="BJ108" s="241">
        <f>INDEX(연료전지_원본!$A$4:$KY$369,MATCH($A108,연료전지_원본!$A$4:$A$369,0),MATCH($BJ$4,연료전지_원본!$A$4:$KY$4,0))</f>
        <v>0</v>
      </c>
      <c r="BK108" s="241">
        <f>INDEX(연료전지_원본!$A$4:$KY$369,MATCH($A108,연료전지_원본!$A$4:$A$369,0),MATCH($BK$4,연료전지_원본!$A$4:$KY$4,0))</f>
        <v>0</v>
      </c>
      <c r="BL108" s="241">
        <f>INDEX(연료전지_원본!$A$4:$KY$369,MATCH($A108,연료전지_원본!$A$4:$A$369,0),MATCH($BL$4,연료전지_원본!$A$4:$KY$4,0))</f>
        <v>0</v>
      </c>
      <c r="BM108" s="241">
        <f>INDEX(연료전지_원본!$A$4:$KY$369,MATCH($A108,연료전지_원본!$A$4:$A$369,0),MATCH($BM$4,연료전지_원본!$A$4:$KY$4,0))</f>
        <v>0</v>
      </c>
      <c r="BN108" s="241">
        <f>INDEX(연료전지_원본!$A$4:$KY$369,MATCH($A108,연료전지_원본!$A$4:$A$369,0),MATCH($BN$4,연료전지_원본!$A$4:$KY$4,0))</f>
        <v>0</v>
      </c>
      <c r="BO108" s="241">
        <f>INDEX(연료전지_원본!$A$4:$KY$369,MATCH($A108,연료전지_원본!$A$4:$A$369,0),MATCH($BO$4,연료전지_원본!$A$4:$KY$4,0))</f>
        <v>0</v>
      </c>
      <c r="BP108" s="241">
        <f>INDEX(연료전지_원본!$A$4:$KY$369,MATCH($A108,연료전지_원본!$A$4:$A$369,0),MATCH($BP$4,연료전지_원본!$A$4:$KY$4,0))</f>
        <v>0</v>
      </c>
      <c r="BQ108" s="241">
        <f>INDEX(연료전지_원본!$A$4:$KY$369,MATCH($A108,연료전지_원본!$A$4:$A$369,0),MATCH($BQ$4,연료전지_원본!$A$4:$KY$4,0))</f>
        <v>0</v>
      </c>
      <c r="BR108" s="241">
        <f>INDEX(연료전지_원본!$A$4:$KY$369,MATCH($A108,연료전지_원본!$A$4:$A$369,0),MATCH($BR$4,연료전지_원본!$A$4:$KY$4,0))</f>
        <v>0</v>
      </c>
      <c r="BS108" s="241">
        <f>INDEX(연료전지_원본!$A$4:$KY$369,MATCH($A108,연료전지_원본!$A$4:$A$369,0),MATCH($BS$4,연료전지_원본!$A$4:$KY$4,0))</f>
        <v>0</v>
      </c>
      <c r="BT108" s="241">
        <f>INDEX(연료전지_원본!$A$4:$KY$369,MATCH($A108,연료전지_원본!$A$4:$A$369,0),MATCH($BT$4,연료전지_원본!$A$4:$KY$4,0))</f>
        <v>0</v>
      </c>
      <c r="BU108" s="241">
        <f>INDEX(연료전지_원본!$A$4:$KY$369,MATCH($A108,연료전지_원본!$A$4:$A$369,0),MATCH($BU$4,연료전지_원본!$A$4:$KY$4,0))</f>
        <v>0</v>
      </c>
      <c r="BV108" s="241">
        <f>INDEX(연료전지_원본!$A$4:$KY$369,MATCH($A108,연료전지_원본!$A$4:$A$369,0),MATCH($BV$4,연료전지_원본!$A$4:$KY$4,0))</f>
        <v>0</v>
      </c>
      <c r="BW108" s="241">
        <f>INDEX(연료전지_원본!$A$4:$KY$369,MATCH($A108,연료전지_원본!$A$4:$A$369,0),MATCH($BW$4,연료전지_원본!$A$4:$KY$4,0))</f>
        <v>0</v>
      </c>
      <c r="BX108" s="241">
        <f>INDEX(연료전지_원본!$A$4:$KY$369,MATCH($A108,연료전지_원본!$A$4:$A$369,0),MATCH($BX$4,연료전지_원본!$A$4:$KY$4,0))</f>
        <v>0</v>
      </c>
      <c r="BY108" s="241">
        <f>INDEX(연료전지_원본!$A$4:$KY$369,MATCH($A108,연료전지_원본!$A$4:$A$369,0),MATCH($BY$4,연료전지_원본!$A$4:$KY$4,0))</f>
        <v>0</v>
      </c>
      <c r="BZ108" s="241">
        <f>INDEX(연료전지_원본!$A$4:$KY$369,MATCH($A108,연료전지_원본!$A$4:$A$369,0),MATCH($BZ$4,연료전지_원본!$A$4:$KY$4,0))</f>
        <v>0</v>
      </c>
      <c r="CA108" s="241">
        <f>INDEX(연료전지_원본!$A$4:$KY$369,MATCH($A108,연료전지_원본!$A$4:$A$369,0),MATCH($CA$4,연료전지_원본!$A$4:$KY$4,0))</f>
        <v>0</v>
      </c>
      <c r="CB108" s="241">
        <f>INDEX(연료전지_원본!$A$4:$KY$369,MATCH($A108,연료전지_원본!$A$4:$A$369,0),MATCH($CB$4,연료전지_원본!$A$4:$KY$4,0))</f>
        <v>0</v>
      </c>
      <c r="CC108" s="242">
        <f>INDEX(연료전지_원본!$A$4:$KY$369,MATCH($A108,연료전지_원본!$A$4:$A$369,0),MATCH($CC$4,연료전지_원본!$A$4:$KY$4,0))</f>
        <v>0</v>
      </c>
      <c r="CD108" s="250">
        <f>INDEX(연료전지_원본!$KB$4:$KX$369,MATCH($A108,연료전지_원본!$KB$4:$KB$369,0), MATCH(CD$4,연료전지_원본!$KB$4:$KX$4,0))*1000</f>
        <v>0</v>
      </c>
      <c r="CE108" s="250">
        <f>INDEX(연료전지_원본!$KB$4:$KX$369,MATCH($A108,연료전지_원본!$KB$4:$KB$369,0), MATCH(CE$4,연료전지_원본!$KB$4:$KX$4,0))*1000</f>
        <v>0</v>
      </c>
      <c r="CF108" s="250">
        <f>INDEX(연료전지_원본!$KB$4:$KX$369,MATCH($A108,연료전지_원본!$KB$4:$KB$369,0), MATCH(CF$4,연료전지_원본!$KB$4:$KX$4,0))*1000</f>
        <v>0</v>
      </c>
      <c r="CG108" s="250">
        <f>INDEX(연료전지_원본!$KB$4:$KX$369,MATCH($A108,연료전지_원본!$KB$4:$KB$369,0), MATCH(CG$4,연료전지_원본!$KB$4:$KX$4,0))*1000</f>
        <v>0</v>
      </c>
      <c r="CH108" s="250">
        <f>INDEX(연료전지_원본!$KB$4:$KX$369,MATCH($A108,연료전지_원본!$KB$4:$KB$369,0), MATCH(CH$4,연료전지_원본!$KB$4:$KX$4,0))*1000</f>
        <v>0</v>
      </c>
      <c r="CI108" s="250">
        <f>INDEX(연료전지_원본!$KB$4:$KX$369,MATCH($A108,연료전지_원본!$KB$4:$KB$369,0), MATCH(CI$4,연료전지_원본!$KB$4:$KX$4,0))*1000</f>
        <v>0</v>
      </c>
      <c r="CJ108" s="250">
        <f>INDEX(연료전지_원본!$KB$4:$KX$369,MATCH($A108,연료전지_원본!$KB$4:$KB$369,0), MATCH(CJ$4,연료전지_원본!$KB$4:$KX$4,0))*1000</f>
        <v>0</v>
      </c>
      <c r="CK108" s="250">
        <f>INDEX(연료전지_원본!$KB$4:$KX$369,MATCH($A108,연료전지_원본!$KB$4:$KB$369,0), MATCH(CK$4,연료전지_원본!$KB$4:$KX$4,0))*1000</f>
        <v>0</v>
      </c>
      <c r="CL108" s="250">
        <f>INDEX(연료전지_원본!$KB$4:$KX$369,MATCH($A108,연료전지_원본!$KB$4:$KB$369,0), MATCH(CL$4,연료전지_원본!$KB$4:$KX$4,0))*1000</f>
        <v>0</v>
      </c>
      <c r="CM108" s="250">
        <f>INDEX(연료전지_원본!$KB$4:$KX$369,MATCH($A108,연료전지_원본!$KB$4:$KB$369,0), MATCH(CM$4,연료전지_원본!$KB$4:$KX$4,0))*1000</f>
        <v>0</v>
      </c>
      <c r="CN108" s="250">
        <f>INDEX(연료전지_원본!$KB$4:$KX$369,MATCH($A108,연료전지_원본!$KB$4:$KB$369,0), MATCH(CN$4,연료전지_원본!$KB$4:$KX$4,0))*1000</f>
        <v>0</v>
      </c>
      <c r="CO108" s="250">
        <f>INDEX(연료전지_원본!$KB$4:$KX$369,MATCH($A108,연료전지_원본!$KB$4:$KB$369,0), MATCH(CO$4,연료전지_원본!$KB$4:$KX$4,0))*1000</f>
        <v>0</v>
      </c>
      <c r="CP108" s="250">
        <f>INDEX(연료전지_원본!$KB$4:$KX$369,MATCH($A108,연료전지_원본!$KB$4:$KB$369,0), MATCH(CP$4,연료전지_원본!$KB$4:$KX$4,0))*1000</f>
        <v>0</v>
      </c>
      <c r="CQ108" s="250">
        <f>INDEX(연료전지_원본!$KB$4:$KX$369,MATCH($A108,연료전지_원본!$KB$4:$KB$369,0), MATCH(CQ$4,연료전지_원본!$KB$4:$KX$4,0))*1000</f>
        <v>0</v>
      </c>
      <c r="CR108" s="250">
        <f>INDEX(연료전지_원본!$KB$4:$KX$369,MATCH($A108,연료전지_원본!$KB$4:$KB$369,0), MATCH(CR$4,연료전지_원본!$KB$4:$KX$4,0))*1000</f>
        <v>0</v>
      </c>
      <c r="CS108" s="250">
        <f>INDEX(연료전지_원본!$KB$4:$KX$369,MATCH($A108,연료전지_원본!$KB$4:$KB$369,0), MATCH(CS$4,연료전지_원본!$KB$4:$KX$4,0))*1000</f>
        <v>0</v>
      </c>
      <c r="CT108" s="250">
        <f>INDEX(연료전지_원본!$KB$4:$KX$369,MATCH($A108,연료전지_원본!$KB$4:$KB$369,0), MATCH(CT$4,연료전지_원본!$KB$4:$KX$4,0))*1000</f>
        <v>0</v>
      </c>
      <c r="CU108" s="250">
        <f>INDEX(연료전지_원본!$KB$4:$KX$369,MATCH($A108,연료전지_원본!$KB$4:$KB$369,0), MATCH(CU$4,연료전지_원본!$KB$4:$KX$4,0))*1000</f>
        <v>0</v>
      </c>
      <c r="CV108" s="250">
        <f>INDEX(연료전지_원본!$KB$4:$KX$369,MATCH($A108,연료전지_원본!$KB$4:$KB$369,0), MATCH(CV$4,연료전지_원본!$KB$4:$KX$4,0))*1000</f>
        <v>0</v>
      </c>
      <c r="CW108" s="250">
        <f>INDEX(연료전지_원본!$KB$4:$KX$369,MATCH($A108,연료전지_원본!$KB$4:$KB$369,0), MATCH(CW$4,연료전지_원본!$KB$4:$KX$4,0))*1000</f>
        <v>0</v>
      </c>
      <c r="CX108" s="250">
        <f>INDEX(연료전지_원본!$KB$4:$KX$369,MATCH($A108,연료전지_원본!$KB$4:$KB$369,0), MATCH(CX$4,연료전지_원본!$KB$4:$KX$4,0))*1000</f>
        <v>0</v>
      </c>
      <c r="CY108" s="250">
        <f>INDEX(연료전지_원본!$KB$4:$KX$369,MATCH($A108,연료전지_원본!$KB$4:$KB$369,0), MATCH(CY$4,연료전지_원본!$KB$4:$KX$4,0))*1000</f>
        <v>0</v>
      </c>
      <c r="DV108" s="30">
        <f t="shared" si="623"/>
        <v>0</v>
      </c>
    </row>
    <row r="109" spans="1:126">
      <c r="A109" s="6">
        <v>46126</v>
      </c>
      <c r="B109" s="15">
        <f>운전실적_원본!B109</f>
        <v>0</v>
      </c>
      <c r="C109" s="16" t="str">
        <f t="shared" si="629"/>
        <v/>
      </c>
      <c r="D109" s="12">
        <f>운전실적_원본!C109</f>
        <v>0</v>
      </c>
      <c r="E109" s="12" t="str">
        <f t="shared" si="630"/>
        <v/>
      </c>
      <c r="F109" s="12">
        <f>운전실적_원본!D109</f>
        <v>0</v>
      </c>
      <c r="G109" s="16" t="str">
        <f t="shared" si="631"/>
        <v/>
      </c>
      <c r="H109" s="15">
        <f>운전실적_원본!E109</f>
        <v>0</v>
      </c>
      <c r="I109" s="16" t="str">
        <f t="shared" si="632"/>
        <v/>
      </c>
      <c r="J109" s="15">
        <f>운전실적_원본!F109</f>
        <v>0</v>
      </c>
      <c r="K109" s="16" t="str">
        <f t="shared" si="632"/>
        <v/>
      </c>
      <c r="L109" s="32">
        <f>운전실적_원본!G109</f>
        <v>0</v>
      </c>
      <c r="M109" s="31" t="str">
        <f t="shared" ref="M109" si="659">IF(OR(LEN(L109)=0,L109=0),"",L109-L108)</f>
        <v/>
      </c>
      <c r="N109" s="15">
        <f>운전실적_원본!H109</f>
        <v>0</v>
      </c>
      <c r="O109" s="16" t="str">
        <f t="shared" ref="O109" si="660">IF(OR(LEN(N109)=0,N109=0),"",N109-N108)</f>
        <v/>
      </c>
      <c r="P109" s="15">
        <f>운전실적_원본!I109</f>
        <v>0</v>
      </c>
      <c r="Q109" s="16" t="str">
        <f t="shared" ref="Q109" si="661">IF(OR(LEN(P109)=0,P109=0),"",P109-P108)</f>
        <v/>
      </c>
      <c r="R109" s="18">
        <f>운전실적_원본!J109</f>
        <v>0</v>
      </c>
      <c r="S109" s="19" t="str">
        <f t="shared" ref="S109" si="662">IF(OR(LEN(R109)=0,R109=0),"",R109-R108)</f>
        <v/>
      </c>
      <c r="T109" s="18">
        <f>운전실적_원본!K109</f>
        <v>0</v>
      </c>
      <c r="U109" s="19" t="str">
        <f t="shared" si="637"/>
        <v/>
      </c>
      <c r="V109" s="12">
        <f>운전실적_원본!L109</f>
        <v>0</v>
      </c>
      <c r="W109" s="16" t="str">
        <f t="shared" ref="W109" si="663">IF(OR(LEN(V109)=0,V109=0),"",V109-V108)</f>
        <v/>
      </c>
      <c r="X109" s="10">
        <f>운전실적_원본!M109</f>
        <v>0</v>
      </c>
      <c r="Y109" s="10">
        <f>운전실적_원본!N109</f>
        <v>0</v>
      </c>
      <c r="Z109" s="10">
        <f>운전실적_원본!O109</f>
        <v>0</v>
      </c>
      <c r="AA109" s="10">
        <f>운전실적_원본!P109</f>
        <v>0</v>
      </c>
      <c r="AB109" s="10">
        <f>운전실적_원본!Q109</f>
        <v>0</v>
      </c>
      <c r="AC109" s="20">
        <f>운전실적_원본!R109</f>
        <v>0</v>
      </c>
      <c r="AD109" s="109">
        <f>운전실적_원본!S109</f>
        <v>0</v>
      </c>
      <c r="AE109" s="110">
        <f>운전실적_원본!T109</f>
        <v>0</v>
      </c>
      <c r="AF109" s="110">
        <f>운전실적_원본!U109</f>
        <v>0</v>
      </c>
      <c r="AG109" s="110">
        <f>운전실적_원본!V109</f>
        <v>0</v>
      </c>
      <c r="AH109" s="109">
        <f t="shared" si="460"/>
        <v>0</v>
      </c>
      <c r="AI109" s="110">
        <f t="shared" si="467"/>
        <v>0</v>
      </c>
      <c r="AJ109" s="110">
        <f>운전실적_원본!Y109</f>
        <v>0</v>
      </c>
      <c r="AK109" s="110">
        <f>운전실적_원본!Z109</f>
        <v>0</v>
      </c>
      <c r="AL109" s="106"/>
      <c r="AM109" s="105"/>
      <c r="AN109" s="105"/>
      <c r="AO109" s="105"/>
      <c r="AP109" s="105"/>
      <c r="AQ109" s="108"/>
      <c r="AR109" s="105"/>
      <c r="AS109" s="105"/>
      <c r="AT109" s="102"/>
      <c r="AU109" s="102"/>
      <c r="AV109" s="102"/>
      <c r="AW109" s="102"/>
      <c r="AX109" s="32">
        <f>운전실적_원본!W109</f>
        <v>0</v>
      </c>
      <c r="AY109" s="11">
        <f>운전실적_원본!X109</f>
        <v>0</v>
      </c>
      <c r="AZ109" s="11">
        <f>운전실적_원본!Y109</f>
        <v>0</v>
      </c>
      <c r="BA109" s="11">
        <f>운전실적_원본!Z109</f>
        <v>0</v>
      </c>
      <c r="BB109" s="11">
        <f>운전실적_원본!AA109</f>
        <v>0</v>
      </c>
      <c r="BC109" s="11">
        <f>운전실적_원본!AB109</f>
        <v>0</v>
      </c>
      <c r="BD109" s="32" t="str">
        <f t="shared" si="453"/>
        <v>-</v>
      </c>
      <c r="BE109" s="11" t="str">
        <f t="shared" si="461"/>
        <v>-</v>
      </c>
      <c r="BF109" s="11">
        <f>운전실적_원본!AE109</f>
        <v>0</v>
      </c>
      <c r="BG109" s="31">
        <f t="shared" si="454"/>
        <v>0</v>
      </c>
      <c r="BH109" s="241">
        <f>INDEX(연료전지_원본!$A$4:$KY$369,MATCH($A109,연료전지_원본!$A$4:$A$369,0),MATCH($BH$4,연료전지_원본!$A$4:$KY$4,0))</f>
        <v>0</v>
      </c>
      <c r="BI109" s="241">
        <f>INDEX(연료전지_원본!$A$4:$KY$369,MATCH($A109,연료전지_원본!$A$4:$A$369,0),MATCH($BI$4,연료전지_원본!$A$4:$KY$4,0))</f>
        <v>0</v>
      </c>
      <c r="BJ109" s="241">
        <f>INDEX(연료전지_원본!$A$4:$KY$369,MATCH($A109,연료전지_원본!$A$4:$A$369,0),MATCH($BJ$4,연료전지_원본!$A$4:$KY$4,0))</f>
        <v>0</v>
      </c>
      <c r="BK109" s="241">
        <f>INDEX(연료전지_원본!$A$4:$KY$369,MATCH($A109,연료전지_원본!$A$4:$A$369,0),MATCH($BK$4,연료전지_원본!$A$4:$KY$4,0))</f>
        <v>0</v>
      </c>
      <c r="BL109" s="241">
        <f>INDEX(연료전지_원본!$A$4:$KY$369,MATCH($A109,연료전지_원본!$A$4:$A$369,0),MATCH($BL$4,연료전지_원본!$A$4:$KY$4,0))</f>
        <v>0</v>
      </c>
      <c r="BM109" s="241">
        <f>INDEX(연료전지_원본!$A$4:$KY$369,MATCH($A109,연료전지_원본!$A$4:$A$369,0),MATCH($BM$4,연료전지_원본!$A$4:$KY$4,0))</f>
        <v>0</v>
      </c>
      <c r="BN109" s="241">
        <f>INDEX(연료전지_원본!$A$4:$KY$369,MATCH($A109,연료전지_원본!$A$4:$A$369,0),MATCH($BN$4,연료전지_원본!$A$4:$KY$4,0))</f>
        <v>0</v>
      </c>
      <c r="BO109" s="241">
        <f>INDEX(연료전지_원본!$A$4:$KY$369,MATCH($A109,연료전지_원본!$A$4:$A$369,0),MATCH($BO$4,연료전지_원본!$A$4:$KY$4,0))</f>
        <v>0</v>
      </c>
      <c r="BP109" s="241">
        <f>INDEX(연료전지_원본!$A$4:$KY$369,MATCH($A109,연료전지_원본!$A$4:$A$369,0),MATCH($BP$4,연료전지_원본!$A$4:$KY$4,0))</f>
        <v>0</v>
      </c>
      <c r="BQ109" s="241">
        <f>INDEX(연료전지_원본!$A$4:$KY$369,MATCH($A109,연료전지_원본!$A$4:$A$369,0),MATCH($BQ$4,연료전지_원본!$A$4:$KY$4,0))</f>
        <v>0</v>
      </c>
      <c r="BR109" s="241">
        <f>INDEX(연료전지_원본!$A$4:$KY$369,MATCH($A109,연료전지_원본!$A$4:$A$369,0),MATCH($BR$4,연료전지_원본!$A$4:$KY$4,0))</f>
        <v>0</v>
      </c>
      <c r="BS109" s="241">
        <f>INDEX(연료전지_원본!$A$4:$KY$369,MATCH($A109,연료전지_원본!$A$4:$A$369,0),MATCH($BS$4,연료전지_원본!$A$4:$KY$4,0))</f>
        <v>0</v>
      </c>
      <c r="BT109" s="241">
        <f>INDEX(연료전지_원본!$A$4:$KY$369,MATCH($A109,연료전지_원본!$A$4:$A$369,0),MATCH($BT$4,연료전지_원본!$A$4:$KY$4,0))</f>
        <v>0</v>
      </c>
      <c r="BU109" s="241">
        <f>INDEX(연료전지_원본!$A$4:$KY$369,MATCH($A109,연료전지_원본!$A$4:$A$369,0),MATCH($BU$4,연료전지_원본!$A$4:$KY$4,0))</f>
        <v>0</v>
      </c>
      <c r="BV109" s="241">
        <f>INDEX(연료전지_원본!$A$4:$KY$369,MATCH($A109,연료전지_원본!$A$4:$A$369,0),MATCH($BV$4,연료전지_원본!$A$4:$KY$4,0))</f>
        <v>0</v>
      </c>
      <c r="BW109" s="241">
        <f>INDEX(연료전지_원본!$A$4:$KY$369,MATCH($A109,연료전지_원본!$A$4:$A$369,0),MATCH($BW$4,연료전지_원본!$A$4:$KY$4,0))</f>
        <v>0</v>
      </c>
      <c r="BX109" s="241">
        <f>INDEX(연료전지_원본!$A$4:$KY$369,MATCH($A109,연료전지_원본!$A$4:$A$369,0),MATCH($BX$4,연료전지_원본!$A$4:$KY$4,0))</f>
        <v>0</v>
      </c>
      <c r="BY109" s="241">
        <f>INDEX(연료전지_원본!$A$4:$KY$369,MATCH($A109,연료전지_원본!$A$4:$A$369,0),MATCH($BY$4,연료전지_원본!$A$4:$KY$4,0))</f>
        <v>0</v>
      </c>
      <c r="BZ109" s="241">
        <f>INDEX(연료전지_원본!$A$4:$KY$369,MATCH($A109,연료전지_원본!$A$4:$A$369,0),MATCH($BZ$4,연료전지_원본!$A$4:$KY$4,0))</f>
        <v>0</v>
      </c>
      <c r="CA109" s="241">
        <f>INDEX(연료전지_원본!$A$4:$KY$369,MATCH($A109,연료전지_원본!$A$4:$A$369,0),MATCH($CA$4,연료전지_원본!$A$4:$KY$4,0))</f>
        <v>0</v>
      </c>
      <c r="CB109" s="241">
        <f>INDEX(연료전지_원본!$A$4:$KY$369,MATCH($A109,연료전지_원본!$A$4:$A$369,0),MATCH($CB$4,연료전지_원본!$A$4:$KY$4,0))</f>
        <v>0</v>
      </c>
      <c r="CC109" s="242">
        <f>INDEX(연료전지_원본!$A$4:$KY$369,MATCH($A109,연료전지_원본!$A$4:$A$369,0),MATCH($CC$4,연료전지_원본!$A$4:$KY$4,0))</f>
        <v>0</v>
      </c>
      <c r="CD109" s="250">
        <f>INDEX(연료전지_원본!$KB$4:$KX$369,MATCH($A109,연료전지_원본!$KB$4:$KB$369,0), MATCH(CD$4,연료전지_원본!$KB$4:$KX$4,0))*1000</f>
        <v>0</v>
      </c>
      <c r="CE109" s="250">
        <f>INDEX(연료전지_원본!$KB$4:$KX$369,MATCH($A109,연료전지_원본!$KB$4:$KB$369,0), MATCH(CE$4,연료전지_원본!$KB$4:$KX$4,0))*1000</f>
        <v>0</v>
      </c>
      <c r="CF109" s="250">
        <f>INDEX(연료전지_원본!$KB$4:$KX$369,MATCH($A109,연료전지_원본!$KB$4:$KB$369,0), MATCH(CF$4,연료전지_원본!$KB$4:$KX$4,0))*1000</f>
        <v>0</v>
      </c>
      <c r="CG109" s="250">
        <f>INDEX(연료전지_원본!$KB$4:$KX$369,MATCH($A109,연료전지_원본!$KB$4:$KB$369,0), MATCH(CG$4,연료전지_원본!$KB$4:$KX$4,0))*1000</f>
        <v>0</v>
      </c>
      <c r="CH109" s="250">
        <f>INDEX(연료전지_원본!$KB$4:$KX$369,MATCH($A109,연료전지_원본!$KB$4:$KB$369,0), MATCH(CH$4,연료전지_원본!$KB$4:$KX$4,0))*1000</f>
        <v>0</v>
      </c>
      <c r="CI109" s="250">
        <f>INDEX(연료전지_원본!$KB$4:$KX$369,MATCH($A109,연료전지_원본!$KB$4:$KB$369,0), MATCH(CI$4,연료전지_원본!$KB$4:$KX$4,0))*1000</f>
        <v>0</v>
      </c>
      <c r="CJ109" s="250">
        <f>INDEX(연료전지_원본!$KB$4:$KX$369,MATCH($A109,연료전지_원본!$KB$4:$KB$369,0), MATCH(CJ$4,연료전지_원본!$KB$4:$KX$4,0))*1000</f>
        <v>0</v>
      </c>
      <c r="CK109" s="250">
        <f>INDEX(연료전지_원본!$KB$4:$KX$369,MATCH($A109,연료전지_원본!$KB$4:$KB$369,0), MATCH(CK$4,연료전지_원본!$KB$4:$KX$4,0))*1000</f>
        <v>0</v>
      </c>
      <c r="CL109" s="250">
        <f>INDEX(연료전지_원본!$KB$4:$KX$369,MATCH($A109,연료전지_원본!$KB$4:$KB$369,0), MATCH(CL$4,연료전지_원본!$KB$4:$KX$4,0))*1000</f>
        <v>0</v>
      </c>
      <c r="CM109" s="250">
        <f>INDEX(연료전지_원본!$KB$4:$KX$369,MATCH($A109,연료전지_원본!$KB$4:$KB$369,0), MATCH(CM$4,연료전지_원본!$KB$4:$KX$4,0))*1000</f>
        <v>0</v>
      </c>
      <c r="CN109" s="250">
        <f>INDEX(연료전지_원본!$KB$4:$KX$369,MATCH($A109,연료전지_원본!$KB$4:$KB$369,0), MATCH(CN$4,연료전지_원본!$KB$4:$KX$4,0))*1000</f>
        <v>0</v>
      </c>
      <c r="CO109" s="250">
        <f>INDEX(연료전지_원본!$KB$4:$KX$369,MATCH($A109,연료전지_원본!$KB$4:$KB$369,0), MATCH(CO$4,연료전지_원본!$KB$4:$KX$4,0))*1000</f>
        <v>0</v>
      </c>
      <c r="CP109" s="250">
        <f>INDEX(연료전지_원본!$KB$4:$KX$369,MATCH($A109,연료전지_원본!$KB$4:$KB$369,0), MATCH(CP$4,연료전지_원본!$KB$4:$KX$4,0))*1000</f>
        <v>0</v>
      </c>
      <c r="CQ109" s="250">
        <f>INDEX(연료전지_원본!$KB$4:$KX$369,MATCH($A109,연료전지_원본!$KB$4:$KB$369,0), MATCH(CQ$4,연료전지_원본!$KB$4:$KX$4,0))*1000</f>
        <v>0</v>
      </c>
      <c r="CR109" s="250">
        <f>INDEX(연료전지_원본!$KB$4:$KX$369,MATCH($A109,연료전지_원본!$KB$4:$KB$369,0), MATCH(CR$4,연료전지_원본!$KB$4:$KX$4,0))*1000</f>
        <v>0</v>
      </c>
      <c r="CS109" s="250">
        <f>INDEX(연료전지_원본!$KB$4:$KX$369,MATCH($A109,연료전지_원본!$KB$4:$KB$369,0), MATCH(CS$4,연료전지_원본!$KB$4:$KX$4,0))*1000</f>
        <v>0</v>
      </c>
      <c r="CT109" s="250">
        <f>INDEX(연료전지_원본!$KB$4:$KX$369,MATCH($A109,연료전지_원본!$KB$4:$KB$369,0), MATCH(CT$4,연료전지_원본!$KB$4:$KX$4,0))*1000</f>
        <v>0</v>
      </c>
      <c r="CU109" s="250">
        <f>INDEX(연료전지_원본!$KB$4:$KX$369,MATCH($A109,연료전지_원본!$KB$4:$KB$369,0), MATCH(CU$4,연료전지_원본!$KB$4:$KX$4,0))*1000</f>
        <v>0</v>
      </c>
      <c r="CV109" s="250">
        <f>INDEX(연료전지_원본!$KB$4:$KX$369,MATCH($A109,연료전지_원본!$KB$4:$KB$369,0), MATCH(CV$4,연료전지_원본!$KB$4:$KX$4,0))*1000</f>
        <v>0</v>
      </c>
      <c r="CW109" s="250">
        <f>INDEX(연료전지_원본!$KB$4:$KX$369,MATCH($A109,연료전지_원본!$KB$4:$KB$369,0), MATCH(CW$4,연료전지_원본!$KB$4:$KX$4,0))*1000</f>
        <v>0</v>
      </c>
      <c r="CX109" s="250">
        <f>INDEX(연료전지_원본!$KB$4:$KX$369,MATCH($A109,연료전지_원본!$KB$4:$KB$369,0), MATCH(CX$4,연료전지_원본!$KB$4:$KX$4,0))*1000</f>
        <v>0</v>
      </c>
      <c r="CY109" s="250">
        <f>INDEX(연료전지_원본!$KB$4:$KX$369,MATCH($A109,연료전지_원본!$KB$4:$KB$369,0), MATCH(CY$4,연료전지_원본!$KB$4:$KX$4,0))*1000</f>
        <v>0</v>
      </c>
      <c r="DV109" s="30">
        <f t="shared" si="623"/>
        <v>0</v>
      </c>
    </row>
    <row r="110" spans="1:126">
      <c r="A110" s="6">
        <v>46127</v>
      </c>
      <c r="B110" s="15">
        <f>운전실적_원본!B110</f>
        <v>0</v>
      </c>
      <c r="C110" s="16" t="str">
        <f t="shared" si="629"/>
        <v/>
      </c>
      <c r="D110" s="12">
        <f>운전실적_원본!C110</f>
        <v>0</v>
      </c>
      <c r="E110" s="12" t="str">
        <f t="shared" si="630"/>
        <v/>
      </c>
      <c r="F110" s="12">
        <f>운전실적_원본!D110</f>
        <v>0</v>
      </c>
      <c r="G110" s="16" t="str">
        <f t="shared" si="631"/>
        <v/>
      </c>
      <c r="H110" s="15">
        <f>운전실적_원본!E110</f>
        <v>0</v>
      </c>
      <c r="I110" s="16" t="str">
        <f t="shared" si="632"/>
        <v/>
      </c>
      <c r="J110" s="15">
        <f>운전실적_원본!F110</f>
        <v>0</v>
      </c>
      <c r="K110" s="16" t="str">
        <f t="shared" si="632"/>
        <v/>
      </c>
      <c r="L110" s="32">
        <f>운전실적_원본!G110</f>
        <v>0</v>
      </c>
      <c r="M110" s="31" t="str">
        <f t="shared" ref="M110" si="664">IF(OR(LEN(L110)=0,L110=0),"",L110-L109)</f>
        <v/>
      </c>
      <c r="N110" s="15">
        <f>운전실적_원본!H110</f>
        <v>0</v>
      </c>
      <c r="O110" s="16" t="str">
        <f t="shared" ref="O110" si="665">IF(OR(LEN(N110)=0,N110=0),"",N110-N109)</f>
        <v/>
      </c>
      <c r="P110" s="15">
        <f>운전실적_원본!I110</f>
        <v>0</v>
      </c>
      <c r="Q110" s="16" t="str">
        <f t="shared" ref="Q110" si="666">IF(OR(LEN(P110)=0,P110=0),"",P110-P109)</f>
        <v/>
      </c>
      <c r="R110" s="18">
        <f>운전실적_원본!J110</f>
        <v>0</v>
      </c>
      <c r="S110" s="19" t="str">
        <f t="shared" ref="S110" si="667">IF(OR(LEN(R110)=0,R110=0),"",R110-R109)</f>
        <v/>
      </c>
      <c r="T110" s="18">
        <f>운전실적_원본!K110</f>
        <v>0</v>
      </c>
      <c r="U110" s="19" t="str">
        <f t="shared" si="637"/>
        <v/>
      </c>
      <c r="V110" s="12">
        <f>운전실적_원본!L110</f>
        <v>0</v>
      </c>
      <c r="W110" s="16" t="str">
        <f t="shared" ref="W110" si="668">IF(OR(LEN(V110)=0,V110=0),"",V110-V109)</f>
        <v/>
      </c>
      <c r="X110" s="10">
        <f>운전실적_원본!M110</f>
        <v>0</v>
      </c>
      <c r="Y110" s="10">
        <f>운전실적_원본!N110</f>
        <v>0</v>
      </c>
      <c r="Z110" s="10">
        <f>운전실적_원본!O110</f>
        <v>0</v>
      </c>
      <c r="AA110" s="10">
        <f>운전실적_원본!P110</f>
        <v>0</v>
      </c>
      <c r="AB110" s="10">
        <f>운전실적_원본!Q110</f>
        <v>0</v>
      </c>
      <c r="AC110" s="20">
        <f>운전실적_원본!R110</f>
        <v>0</v>
      </c>
      <c r="AD110" s="109">
        <f>운전실적_원본!S110</f>
        <v>0</v>
      </c>
      <c r="AE110" s="110">
        <f>운전실적_원본!T110</f>
        <v>0</v>
      </c>
      <c r="AF110" s="110">
        <f>운전실적_원본!U110</f>
        <v>0</v>
      </c>
      <c r="AG110" s="110">
        <f>운전실적_원본!V110</f>
        <v>0</v>
      </c>
      <c r="AH110" s="109">
        <f t="shared" si="460"/>
        <v>0</v>
      </c>
      <c r="AI110" s="110">
        <f t="shared" si="467"/>
        <v>0</v>
      </c>
      <c r="AJ110" s="110">
        <f>운전실적_원본!Y110</f>
        <v>0</v>
      </c>
      <c r="AK110" s="110">
        <f>운전실적_원본!Z110</f>
        <v>0</v>
      </c>
      <c r="AL110" s="106"/>
      <c r="AM110" s="105"/>
      <c r="AN110" s="105"/>
      <c r="AO110" s="105"/>
      <c r="AP110" s="105"/>
      <c r="AQ110" s="108"/>
      <c r="AR110" s="105"/>
      <c r="AS110" s="105"/>
      <c r="AT110" s="102"/>
      <c r="AU110" s="102"/>
      <c r="AV110" s="102"/>
      <c r="AW110" s="102"/>
      <c r="AX110" s="32">
        <f>운전실적_원본!W110</f>
        <v>0</v>
      </c>
      <c r="AY110" s="11">
        <f>운전실적_원본!X110</f>
        <v>0</v>
      </c>
      <c r="AZ110" s="11">
        <f>운전실적_원본!Y110</f>
        <v>0</v>
      </c>
      <c r="BA110" s="11">
        <f>운전실적_원본!Z110</f>
        <v>0</v>
      </c>
      <c r="BB110" s="11">
        <f>운전실적_원본!AA110</f>
        <v>0</v>
      </c>
      <c r="BC110" s="11">
        <f>운전실적_원본!AB110</f>
        <v>0</v>
      </c>
      <c r="BD110" s="32" t="str">
        <f t="shared" si="453"/>
        <v>-</v>
      </c>
      <c r="BE110" s="11" t="str">
        <f t="shared" si="461"/>
        <v>-</v>
      </c>
      <c r="BF110" s="11">
        <f>운전실적_원본!AE110</f>
        <v>0</v>
      </c>
      <c r="BG110" s="31">
        <f t="shared" si="454"/>
        <v>0</v>
      </c>
      <c r="BH110" s="241">
        <f>INDEX(연료전지_원본!$A$4:$KY$369,MATCH($A110,연료전지_원본!$A$4:$A$369,0),MATCH($BH$4,연료전지_원본!$A$4:$KY$4,0))</f>
        <v>0</v>
      </c>
      <c r="BI110" s="241">
        <f>INDEX(연료전지_원본!$A$4:$KY$369,MATCH($A110,연료전지_원본!$A$4:$A$369,0),MATCH($BI$4,연료전지_원본!$A$4:$KY$4,0))</f>
        <v>0</v>
      </c>
      <c r="BJ110" s="241">
        <f>INDEX(연료전지_원본!$A$4:$KY$369,MATCH($A110,연료전지_원본!$A$4:$A$369,0),MATCH($BJ$4,연료전지_원본!$A$4:$KY$4,0))</f>
        <v>0</v>
      </c>
      <c r="BK110" s="241">
        <f>INDEX(연료전지_원본!$A$4:$KY$369,MATCH($A110,연료전지_원본!$A$4:$A$369,0),MATCH($BK$4,연료전지_원본!$A$4:$KY$4,0))</f>
        <v>0</v>
      </c>
      <c r="BL110" s="241">
        <f>INDEX(연료전지_원본!$A$4:$KY$369,MATCH($A110,연료전지_원본!$A$4:$A$369,0),MATCH($BL$4,연료전지_원본!$A$4:$KY$4,0))</f>
        <v>0</v>
      </c>
      <c r="BM110" s="241">
        <f>INDEX(연료전지_원본!$A$4:$KY$369,MATCH($A110,연료전지_원본!$A$4:$A$369,0),MATCH($BM$4,연료전지_원본!$A$4:$KY$4,0))</f>
        <v>0</v>
      </c>
      <c r="BN110" s="241">
        <f>INDEX(연료전지_원본!$A$4:$KY$369,MATCH($A110,연료전지_원본!$A$4:$A$369,0),MATCH($BN$4,연료전지_원본!$A$4:$KY$4,0))</f>
        <v>0</v>
      </c>
      <c r="BO110" s="241">
        <f>INDEX(연료전지_원본!$A$4:$KY$369,MATCH($A110,연료전지_원본!$A$4:$A$369,0),MATCH($BO$4,연료전지_원본!$A$4:$KY$4,0))</f>
        <v>0</v>
      </c>
      <c r="BP110" s="241">
        <f>INDEX(연료전지_원본!$A$4:$KY$369,MATCH($A110,연료전지_원본!$A$4:$A$369,0),MATCH($BP$4,연료전지_원본!$A$4:$KY$4,0))</f>
        <v>0</v>
      </c>
      <c r="BQ110" s="241">
        <f>INDEX(연료전지_원본!$A$4:$KY$369,MATCH($A110,연료전지_원본!$A$4:$A$369,0),MATCH($BQ$4,연료전지_원본!$A$4:$KY$4,0))</f>
        <v>0</v>
      </c>
      <c r="BR110" s="241">
        <f>INDEX(연료전지_원본!$A$4:$KY$369,MATCH($A110,연료전지_원본!$A$4:$A$369,0),MATCH($BR$4,연료전지_원본!$A$4:$KY$4,0))</f>
        <v>0</v>
      </c>
      <c r="BS110" s="241">
        <f>INDEX(연료전지_원본!$A$4:$KY$369,MATCH($A110,연료전지_원본!$A$4:$A$369,0),MATCH($BS$4,연료전지_원본!$A$4:$KY$4,0))</f>
        <v>0</v>
      </c>
      <c r="BT110" s="241">
        <f>INDEX(연료전지_원본!$A$4:$KY$369,MATCH($A110,연료전지_원본!$A$4:$A$369,0),MATCH($BT$4,연료전지_원본!$A$4:$KY$4,0))</f>
        <v>0</v>
      </c>
      <c r="BU110" s="241">
        <f>INDEX(연료전지_원본!$A$4:$KY$369,MATCH($A110,연료전지_원본!$A$4:$A$369,0),MATCH($BU$4,연료전지_원본!$A$4:$KY$4,0))</f>
        <v>0</v>
      </c>
      <c r="BV110" s="241">
        <f>INDEX(연료전지_원본!$A$4:$KY$369,MATCH($A110,연료전지_원본!$A$4:$A$369,0),MATCH($BV$4,연료전지_원본!$A$4:$KY$4,0))</f>
        <v>0</v>
      </c>
      <c r="BW110" s="241">
        <f>INDEX(연료전지_원본!$A$4:$KY$369,MATCH($A110,연료전지_원본!$A$4:$A$369,0),MATCH($BW$4,연료전지_원본!$A$4:$KY$4,0))</f>
        <v>0</v>
      </c>
      <c r="BX110" s="241">
        <f>INDEX(연료전지_원본!$A$4:$KY$369,MATCH($A110,연료전지_원본!$A$4:$A$369,0),MATCH($BX$4,연료전지_원본!$A$4:$KY$4,0))</f>
        <v>0</v>
      </c>
      <c r="BY110" s="241">
        <f>INDEX(연료전지_원본!$A$4:$KY$369,MATCH($A110,연료전지_원본!$A$4:$A$369,0),MATCH($BY$4,연료전지_원본!$A$4:$KY$4,0))</f>
        <v>0</v>
      </c>
      <c r="BZ110" s="241">
        <f>INDEX(연료전지_원본!$A$4:$KY$369,MATCH($A110,연료전지_원본!$A$4:$A$369,0),MATCH($BZ$4,연료전지_원본!$A$4:$KY$4,0))</f>
        <v>0</v>
      </c>
      <c r="CA110" s="241">
        <f>INDEX(연료전지_원본!$A$4:$KY$369,MATCH($A110,연료전지_원본!$A$4:$A$369,0),MATCH($CA$4,연료전지_원본!$A$4:$KY$4,0))</f>
        <v>0</v>
      </c>
      <c r="CB110" s="241">
        <f>INDEX(연료전지_원본!$A$4:$KY$369,MATCH($A110,연료전지_원본!$A$4:$A$369,0),MATCH($CB$4,연료전지_원본!$A$4:$KY$4,0))</f>
        <v>0</v>
      </c>
      <c r="CC110" s="242">
        <f>INDEX(연료전지_원본!$A$4:$KY$369,MATCH($A110,연료전지_원본!$A$4:$A$369,0),MATCH($CC$4,연료전지_원본!$A$4:$KY$4,0))</f>
        <v>0</v>
      </c>
      <c r="CD110" s="250">
        <f>INDEX(연료전지_원본!$KB$4:$KX$369,MATCH($A110,연료전지_원본!$KB$4:$KB$369,0), MATCH(CD$4,연료전지_원본!$KB$4:$KX$4,0))*1000</f>
        <v>0</v>
      </c>
      <c r="CE110" s="250">
        <f>INDEX(연료전지_원본!$KB$4:$KX$369,MATCH($A110,연료전지_원본!$KB$4:$KB$369,0), MATCH(CE$4,연료전지_원본!$KB$4:$KX$4,0))*1000</f>
        <v>0</v>
      </c>
      <c r="CF110" s="250">
        <f>INDEX(연료전지_원본!$KB$4:$KX$369,MATCH($A110,연료전지_원본!$KB$4:$KB$369,0), MATCH(CF$4,연료전지_원본!$KB$4:$KX$4,0))*1000</f>
        <v>0</v>
      </c>
      <c r="CG110" s="250">
        <f>INDEX(연료전지_원본!$KB$4:$KX$369,MATCH($A110,연료전지_원본!$KB$4:$KB$369,0), MATCH(CG$4,연료전지_원본!$KB$4:$KX$4,0))*1000</f>
        <v>0</v>
      </c>
      <c r="CH110" s="250">
        <f>INDEX(연료전지_원본!$KB$4:$KX$369,MATCH($A110,연료전지_원본!$KB$4:$KB$369,0), MATCH(CH$4,연료전지_원본!$KB$4:$KX$4,0))*1000</f>
        <v>0</v>
      </c>
      <c r="CI110" s="250">
        <f>INDEX(연료전지_원본!$KB$4:$KX$369,MATCH($A110,연료전지_원본!$KB$4:$KB$369,0), MATCH(CI$4,연료전지_원본!$KB$4:$KX$4,0))*1000</f>
        <v>0</v>
      </c>
      <c r="CJ110" s="250">
        <f>INDEX(연료전지_원본!$KB$4:$KX$369,MATCH($A110,연료전지_원본!$KB$4:$KB$369,0), MATCH(CJ$4,연료전지_원본!$KB$4:$KX$4,0))*1000</f>
        <v>0</v>
      </c>
      <c r="CK110" s="250">
        <f>INDEX(연료전지_원본!$KB$4:$KX$369,MATCH($A110,연료전지_원본!$KB$4:$KB$369,0), MATCH(CK$4,연료전지_원본!$KB$4:$KX$4,0))*1000</f>
        <v>0</v>
      </c>
      <c r="CL110" s="250">
        <f>INDEX(연료전지_원본!$KB$4:$KX$369,MATCH($A110,연료전지_원본!$KB$4:$KB$369,0), MATCH(CL$4,연료전지_원본!$KB$4:$KX$4,0))*1000</f>
        <v>0</v>
      </c>
      <c r="CM110" s="250">
        <f>INDEX(연료전지_원본!$KB$4:$KX$369,MATCH($A110,연료전지_원본!$KB$4:$KB$369,0), MATCH(CM$4,연료전지_원본!$KB$4:$KX$4,0))*1000</f>
        <v>0</v>
      </c>
      <c r="CN110" s="250">
        <f>INDEX(연료전지_원본!$KB$4:$KX$369,MATCH($A110,연료전지_원본!$KB$4:$KB$369,0), MATCH(CN$4,연료전지_원본!$KB$4:$KX$4,0))*1000</f>
        <v>0</v>
      </c>
      <c r="CO110" s="250">
        <f>INDEX(연료전지_원본!$KB$4:$KX$369,MATCH($A110,연료전지_원본!$KB$4:$KB$369,0), MATCH(CO$4,연료전지_원본!$KB$4:$KX$4,0))*1000</f>
        <v>0</v>
      </c>
      <c r="CP110" s="250">
        <f>INDEX(연료전지_원본!$KB$4:$KX$369,MATCH($A110,연료전지_원본!$KB$4:$KB$369,0), MATCH(CP$4,연료전지_원본!$KB$4:$KX$4,0))*1000</f>
        <v>0</v>
      </c>
      <c r="CQ110" s="250">
        <f>INDEX(연료전지_원본!$KB$4:$KX$369,MATCH($A110,연료전지_원본!$KB$4:$KB$369,0), MATCH(CQ$4,연료전지_원본!$KB$4:$KX$4,0))*1000</f>
        <v>0</v>
      </c>
      <c r="CR110" s="250">
        <f>INDEX(연료전지_원본!$KB$4:$KX$369,MATCH($A110,연료전지_원본!$KB$4:$KB$369,0), MATCH(CR$4,연료전지_원본!$KB$4:$KX$4,0))*1000</f>
        <v>0</v>
      </c>
      <c r="CS110" s="250">
        <f>INDEX(연료전지_원본!$KB$4:$KX$369,MATCH($A110,연료전지_원본!$KB$4:$KB$369,0), MATCH(CS$4,연료전지_원본!$KB$4:$KX$4,0))*1000</f>
        <v>0</v>
      </c>
      <c r="CT110" s="250">
        <f>INDEX(연료전지_원본!$KB$4:$KX$369,MATCH($A110,연료전지_원본!$KB$4:$KB$369,0), MATCH(CT$4,연료전지_원본!$KB$4:$KX$4,0))*1000</f>
        <v>0</v>
      </c>
      <c r="CU110" s="250">
        <f>INDEX(연료전지_원본!$KB$4:$KX$369,MATCH($A110,연료전지_원본!$KB$4:$KB$369,0), MATCH(CU$4,연료전지_원본!$KB$4:$KX$4,0))*1000</f>
        <v>0</v>
      </c>
      <c r="CV110" s="250">
        <f>INDEX(연료전지_원본!$KB$4:$KX$369,MATCH($A110,연료전지_원본!$KB$4:$KB$369,0), MATCH(CV$4,연료전지_원본!$KB$4:$KX$4,0))*1000</f>
        <v>0</v>
      </c>
      <c r="CW110" s="250">
        <f>INDEX(연료전지_원본!$KB$4:$KX$369,MATCH($A110,연료전지_원본!$KB$4:$KB$369,0), MATCH(CW$4,연료전지_원본!$KB$4:$KX$4,0))*1000</f>
        <v>0</v>
      </c>
      <c r="CX110" s="250">
        <f>INDEX(연료전지_원본!$KB$4:$KX$369,MATCH($A110,연료전지_원본!$KB$4:$KB$369,0), MATCH(CX$4,연료전지_원본!$KB$4:$KX$4,0))*1000</f>
        <v>0</v>
      </c>
      <c r="CY110" s="250">
        <f>INDEX(연료전지_원본!$KB$4:$KX$369,MATCH($A110,연료전지_원본!$KB$4:$KB$369,0), MATCH(CY$4,연료전지_원본!$KB$4:$KX$4,0))*1000</f>
        <v>0</v>
      </c>
      <c r="DV110" s="30">
        <f t="shared" si="623"/>
        <v>0</v>
      </c>
    </row>
    <row r="111" spans="1:126">
      <c r="A111" s="6">
        <v>46128</v>
      </c>
      <c r="B111" s="15">
        <f>운전실적_원본!B111</f>
        <v>0</v>
      </c>
      <c r="C111" s="16" t="str">
        <f t="shared" si="629"/>
        <v/>
      </c>
      <c r="D111" s="12">
        <f>운전실적_원본!C111</f>
        <v>0</v>
      </c>
      <c r="E111" s="12" t="str">
        <f t="shared" si="630"/>
        <v/>
      </c>
      <c r="F111" s="12">
        <f>운전실적_원본!D111</f>
        <v>0</v>
      </c>
      <c r="G111" s="16" t="str">
        <f t="shared" si="631"/>
        <v/>
      </c>
      <c r="H111" s="15">
        <f>운전실적_원본!E111</f>
        <v>0</v>
      </c>
      <c r="I111" s="16" t="str">
        <f t="shared" si="632"/>
        <v/>
      </c>
      <c r="J111" s="15">
        <f>운전실적_원본!F111</f>
        <v>0</v>
      </c>
      <c r="K111" s="16" t="str">
        <f t="shared" si="632"/>
        <v/>
      </c>
      <c r="L111" s="32">
        <f>운전실적_원본!G111</f>
        <v>0</v>
      </c>
      <c r="M111" s="31" t="str">
        <f t="shared" ref="M111" si="669">IF(OR(LEN(L111)=0,L111=0),"",L111-L110)</f>
        <v/>
      </c>
      <c r="N111" s="15">
        <f>운전실적_원본!H111</f>
        <v>0</v>
      </c>
      <c r="O111" s="16" t="str">
        <f t="shared" ref="O111" si="670">IF(OR(LEN(N111)=0,N111=0),"",N111-N110)</f>
        <v/>
      </c>
      <c r="P111" s="15">
        <f>운전실적_원본!I111</f>
        <v>0</v>
      </c>
      <c r="Q111" s="16" t="str">
        <f t="shared" ref="Q111" si="671">IF(OR(LEN(P111)=0,P111=0),"",P111-P110)</f>
        <v/>
      </c>
      <c r="R111" s="18">
        <f>운전실적_원본!J111</f>
        <v>0</v>
      </c>
      <c r="S111" s="19" t="str">
        <f t="shared" ref="S111" si="672">IF(OR(LEN(R111)=0,R111=0),"",R111-R110)</f>
        <v/>
      </c>
      <c r="T111" s="18">
        <f>운전실적_원본!K111</f>
        <v>0</v>
      </c>
      <c r="U111" s="19" t="str">
        <f t="shared" si="637"/>
        <v/>
      </c>
      <c r="V111" s="12">
        <f>운전실적_원본!L111</f>
        <v>0</v>
      </c>
      <c r="W111" s="16" t="str">
        <f t="shared" ref="W111" si="673">IF(OR(LEN(V111)=0,V111=0),"",V111-V110)</f>
        <v/>
      </c>
      <c r="X111" s="10">
        <f>운전실적_원본!M111</f>
        <v>0</v>
      </c>
      <c r="Y111" s="10">
        <f>운전실적_원본!N111</f>
        <v>0</v>
      </c>
      <c r="Z111" s="10">
        <f>운전실적_원본!O111</f>
        <v>0</v>
      </c>
      <c r="AA111" s="10">
        <f>운전실적_원본!P111</f>
        <v>0</v>
      </c>
      <c r="AB111" s="10">
        <f>운전실적_원본!Q111</f>
        <v>0</v>
      </c>
      <c r="AC111" s="20">
        <f>운전실적_원본!R111</f>
        <v>0</v>
      </c>
      <c r="AD111" s="109">
        <f>운전실적_원본!S111</f>
        <v>0</v>
      </c>
      <c r="AE111" s="110">
        <f>운전실적_원본!T111</f>
        <v>0</v>
      </c>
      <c r="AF111" s="110">
        <f>운전실적_원본!U111</f>
        <v>0</v>
      </c>
      <c r="AG111" s="110">
        <f>운전실적_원본!V111</f>
        <v>0</v>
      </c>
      <c r="AH111" s="109">
        <f t="shared" si="460"/>
        <v>0</v>
      </c>
      <c r="AI111" s="110">
        <f t="shared" si="467"/>
        <v>0</v>
      </c>
      <c r="AJ111" s="110">
        <f>운전실적_원본!Y111</f>
        <v>0</v>
      </c>
      <c r="AK111" s="110">
        <f>운전실적_원본!Z111</f>
        <v>0</v>
      </c>
      <c r="AL111" s="106"/>
      <c r="AM111" s="105"/>
      <c r="AN111" s="105"/>
      <c r="AO111" s="105"/>
      <c r="AP111" s="105"/>
      <c r="AQ111" s="108"/>
      <c r="AR111" s="105"/>
      <c r="AS111" s="105"/>
      <c r="AT111" s="102"/>
      <c r="AU111" s="102"/>
      <c r="AV111" s="102"/>
      <c r="AW111" s="102"/>
      <c r="AX111" s="32">
        <f>운전실적_원본!W111</f>
        <v>0</v>
      </c>
      <c r="AY111" s="11">
        <f>운전실적_원본!X111</f>
        <v>0</v>
      </c>
      <c r="AZ111" s="11">
        <f>운전실적_원본!Y111</f>
        <v>0</v>
      </c>
      <c r="BA111" s="11">
        <f>운전실적_원본!Z111</f>
        <v>0</v>
      </c>
      <c r="BB111" s="11">
        <f>운전실적_원본!AA111</f>
        <v>0</v>
      </c>
      <c r="BC111" s="11">
        <f>운전실적_원본!AB111</f>
        <v>0</v>
      </c>
      <c r="BD111" s="32" t="str">
        <f t="shared" si="453"/>
        <v>-</v>
      </c>
      <c r="BE111" s="11" t="str">
        <f t="shared" si="461"/>
        <v>-</v>
      </c>
      <c r="BF111" s="11">
        <f>운전실적_원본!AE111</f>
        <v>0</v>
      </c>
      <c r="BG111" s="31">
        <f t="shared" si="454"/>
        <v>0</v>
      </c>
      <c r="BH111" s="241">
        <f>INDEX(연료전지_원본!$A$4:$KY$369,MATCH($A111,연료전지_원본!$A$4:$A$369,0),MATCH($BH$4,연료전지_원본!$A$4:$KY$4,0))</f>
        <v>0</v>
      </c>
      <c r="BI111" s="241">
        <f>INDEX(연료전지_원본!$A$4:$KY$369,MATCH($A111,연료전지_원본!$A$4:$A$369,0),MATCH($BI$4,연료전지_원본!$A$4:$KY$4,0))</f>
        <v>0</v>
      </c>
      <c r="BJ111" s="241">
        <f>INDEX(연료전지_원본!$A$4:$KY$369,MATCH($A111,연료전지_원본!$A$4:$A$369,0),MATCH($BJ$4,연료전지_원본!$A$4:$KY$4,0))</f>
        <v>0</v>
      </c>
      <c r="BK111" s="241">
        <f>INDEX(연료전지_원본!$A$4:$KY$369,MATCH($A111,연료전지_원본!$A$4:$A$369,0),MATCH($BK$4,연료전지_원본!$A$4:$KY$4,0))</f>
        <v>0</v>
      </c>
      <c r="BL111" s="241">
        <f>INDEX(연료전지_원본!$A$4:$KY$369,MATCH($A111,연료전지_원본!$A$4:$A$369,0),MATCH($BL$4,연료전지_원본!$A$4:$KY$4,0))</f>
        <v>0</v>
      </c>
      <c r="BM111" s="241">
        <f>INDEX(연료전지_원본!$A$4:$KY$369,MATCH($A111,연료전지_원본!$A$4:$A$369,0),MATCH($BM$4,연료전지_원본!$A$4:$KY$4,0))</f>
        <v>0</v>
      </c>
      <c r="BN111" s="241">
        <f>INDEX(연료전지_원본!$A$4:$KY$369,MATCH($A111,연료전지_원본!$A$4:$A$369,0),MATCH($BN$4,연료전지_원본!$A$4:$KY$4,0))</f>
        <v>0</v>
      </c>
      <c r="BO111" s="241">
        <f>INDEX(연료전지_원본!$A$4:$KY$369,MATCH($A111,연료전지_원본!$A$4:$A$369,0),MATCH($BO$4,연료전지_원본!$A$4:$KY$4,0))</f>
        <v>0</v>
      </c>
      <c r="BP111" s="241">
        <f>INDEX(연료전지_원본!$A$4:$KY$369,MATCH($A111,연료전지_원본!$A$4:$A$369,0),MATCH($BP$4,연료전지_원본!$A$4:$KY$4,0))</f>
        <v>0</v>
      </c>
      <c r="BQ111" s="241">
        <f>INDEX(연료전지_원본!$A$4:$KY$369,MATCH($A111,연료전지_원본!$A$4:$A$369,0),MATCH($BQ$4,연료전지_원본!$A$4:$KY$4,0))</f>
        <v>0</v>
      </c>
      <c r="BR111" s="241">
        <f>INDEX(연료전지_원본!$A$4:$KY$369,MATCH($A111,연료전지_원본!$A$4:$A$369,0),MATCH($BR$4,연료전지_원본!$A$4:$KY$4,0))</f>
        <v>0</v>
      </c>
      <c r="BS111" s="241">
        <f>INDEX(연료전지_원본!$A$4:$KY$369,MATCH($A111,연료전지_원본!$A$4:$A$369,0),MATCH($BS$4,연료전지_원본!$A$4:$KY$4,0))</f>
        <v>0</v>
      </c>
      <c r="BT111" s="241">
        <f>INDEX(연료전지_원본!$A$4:$KY$369,MATCH($A111,연료전지_원본!$A$4:$A$369,0),MATCH($BT$4,연료전지_원본!$A$4:$KY$4,0))</f>
        <v>0</v>
      </c>
      <c r="BU111" s="241">
        <f>INDEX(연료전지_원본!$A$4:$KY$369,MATCH($A111,연료전지_원본!$A$4:$A$369,0),MATCH($BU$4,연료전지_원본!$A$4:$KY$4,0))</f>
        <v>0</v>
      </c>
      <c r="BV111" s="241">
        <f>INDEX(연료전지_원본!$A$4:$KY$369,MATCH($A111,연료전지_원본!$A$4:$A$369,0),MATCH($BV$4,연료전지_원본!$A$4:$KY$4,0))</f>
        <v>0</v>
      </c>
      <c r="BW111" s="241">
        <f>INDEX(연료전지_원본!$A$4:$KY$369,MATCH($A111,연료전지_원본!$A$4:$A$369,0),MATCH($BW$4,연료전지_원본!$A$4:$KY$4,0))</f>
        <v>0</v>
      </c>
      <c r="BX111" s="241">
        <f>INDEX(연료전지_원본!$A$4:$KY$369,MATCH($A111,연료전지_원본!$A$4:$A$369,0),MATCH($BX$4,연료전지_원본!$A$4:$KY$4,0))</f>
        <v>0</v>
      </c>
      <c r="BY111" s="241">
        <f>INDEX(연료전지_원본!$A$4:$KY$369,MATCH($A111,연료전지_원본!$A$4:$A$369,0),MATCH($BY$4,연료전지_원본!$A$4:$KY$4,0))</f>
        <v>0</v>
      </c>
      <c r="BZ111" s="241">
        <f>INDEX(연료전지_원본!$A$4:$KY$369,MATCH($A111,연료전지_원본!$A$4:$A$369,0),MATCH($BZ$4,연료전지_원본!$A$4:$KY$4,0))</f>
        <v>0</v>
      </c>
      <c r="CA111" s="241">
        <f>INDEX(연료전지_원본!$A$4:$KY$369,MATCH($A111,연료전지_원본!$A$4:$A$369,0),MATCH($CA$4,연료전지_원본!$A$4:$KY$4,0))</f>
        <v>0</v>
      </c>
      <c r="CB111" s="241">
        <f>INDEX(연료전지_원본!$A$4:$KY$369,MATCH($A111,연료전지_원본!$A$4:$A$369,0),MATCH($CB$4,연료전지_원본!$A$4:$KY$4,0))</f>
        <v>0</v>
      </c>
      <c r="CC111" s="242">
        <f>INDEX(연료전지_원본!$A$4:$KY$369,MATCH($A111,연료전지_원본!$A$4:$A$369,0),MATCH($CC$4,연료전지_원본!$A$4:$KY$4,0))</f>
        <v>0</v>
      </c>
      <c r="CD111" s="250">
        <f>INDEX(연료전지_원본!$KB$4:$KX$369,MATCH($A111,연료전지_원본!$KB$4:$KB$369,0), MATCH(CD$4,연료전지_원본!$KB$4:$KX$4,0))*1000</f>
        <v>0</v>
      </c>
      <c r="CE111" s="250">
        <f>INDEX(연료전지_원본!$KB$4:$KX$369,MATCH($A111,연료전지_원본!$KB$4:$KB$369,0), MATCH(CE$4,연료전지_원본!$KB$4:$KX$4,0))*1000</f>
        <v>0</v>
      </c>
      <c r="CF111" s="250">
        <f>INDEX(연료전지_원본!$KB$4:$KX$369,MATCH($A111,연료전지_원본!$KB$4:$KB$369,0), MATCH(CF$4,연료전지_원본!$KB$4:$KX$4,0))*1000</f>
        <v>0</v>
      </c>
      <c r="CG111" s="250">
        <f>INDEX(연료전지_원본!$KB$4:$KX$369,MATCH($A111,연료전지_원본!$KB$4:$KB$369,0), MATCH(CG$4,연료전지_원본!$KB$4:$KX$4,0))*1000</f>
        <v>0</v>
      </c>
      <c r="CH111" s="250">
        <f>INDEX(연료전지_원본!$KB$4:$KX$369,MATCH($A111,연료전지_원본!$KB$4:$KB$369,0), MATCH(CH$4,연료전지_원본!$KB$4:$KX$4,0))*1000</f>
        <v>0</v>
      </c>
      <c r="CI111" s="250">
        <f>INDEX(연료전지_원본!$KB$4:$KX$369,MATCH($A111,연료전지_원본!$KB$4:$KB$369,0), MATCH(CI$4,연료전지_원본!$KB$4:$KX$4,0))*1000</f>
        <v>0</v>
      </c>
      <c r="CJ111" s="250">
        <f>INDEX(연료전지_원본!$KB$4:$KX$369,MATCH($A111,연료전지_원본!$KB$4:$KB$369,0), MATCH(CJ$4,연료전지_원본!$KB$4:$KX$4,0))*1000</f>
        <v>0</v>
      </c>
      <c r="CK111" s="250">
        <f>INDEX(연료전지_원본!$KB$4:$KX$369,MATCH($A111,연료전지_원본!$KB$4:$KB$369,0), MATCH(CK$4,연료전지_원본!$KB$4:$KX$4,0))*1000</f>
        <v>0</v>
      </c>
      <c r="CL111" s="250">
        <f>INDEX(연료전지_원본!$KB$4:$KX$369,MATCH($A111,연료전지_원본!$KB$4:$KB$369,0), MATCH(CL$4,연료전지_원본!$KB$4:$KX$4,0))*1000</f>
        <v>0</v>
      </c>
      <c r="CM111" s="250">
        <f>INDEX(연료전지_원본!$KB$4:$KX$369,MATCH($A111,연료전지_원본!$KB$4:$KB$369,0), MATCH(CM$4,연료전지_원본!$KB$4:$KX$4,0))*1000</f>
        <v>0</v>
      </c>
      <c r="CN111" s="250">
        <f>INDEX(연료전지_원본!$KB$4:$KX$369,MATCH($A111,연료전지_원본!$KB$4:$KB$369,0), MATCH(CN$4,연료전지_원본!$KB$4:$KX$4,0))*1000</f>
        <v>0</v>
      </c>
      <c r="CO111" s="250">
        <f>INDEX(연료전지_원본!$KB$4:$KX$369,MATCH($A111,연료전지_원본!$KB$4:$KB$369,0), MATCH(CO$4,연료전지_원본!$KB$4:$KX$4,0))*1000</f>
        <v>0</v>
      </c>
      <c r="CP111" s="250">
        <f>INDEX(연료전지_원본!$KB$4:$KX$369,MATCH($A111,연료전지_원본!$KB$4:$KB$369,0), MATCH(CP$4,연료전지_원본!$KB$4:$KX$4,0))*1000</f>
        <v>0</v>
      </c>
      <c r="CQ111" s="250">
        <f>INDEX(연료전지_원본!$KB$4:$KX$369,MATCH($A111,연료전지_원본!$KB$4:$KB$369,0), MATCH(CQ$4,연료전지_원본!$KB$4:$KX$4,0))*1000</f>
        <v>0</v>
      </c>
      <c r="CR111" s="250">
        <f>INDEX(연료전지_원본!$KB$4:$KX$369,MATCH($A111,연료전지_원본!$KB$4:$KB$369,0), MATCH(CR$4,연료전지_원본!$KB$4:$KX$4,0))*1000</f>
        <v>0</v>
      </c>
      <c r="CS111" s="250">
        <f>INDEX(연료전지_원본!$KB$4:$KX$369,MATCH($A111,연료전지_원본!$KB$4:$KB$369,0), MATCH(CS$4,연료전지_원본!$KB$4:$KX$4,0))*1000</f>
        <v>0</v>
      </c>
      <c r="CT111" s="250">
        <f>INDEX(연료전지_원본!$KB$4:$KX$369,MATCH($A111,연료전지_원본!$KB$4:$KB$369,0), MATCH(CT$4,연료전지_원본!$KB$4:$KX$4,0))*1000</f>
        <v>0</v>
      </c>
      <c r="CU111" s="250">
        <f>INDEX(연료전지_원본!$KB$4:$KX$369,MATCH($A111,연료전지_원본!$KB$4:$KB$369,0), MATCH(CU$4,연료전지_원본!$KB$4:$KX$4,0))*1000</f>
        <v>0</v>
      </c>
      <c r="CV111" s="250">
        <f>INDEX(연료전지_원본!$KB$4:$KX$369,MATCH($A111,연료전지_원본!$KB$4:$KB$369,0), MATCH(CV$4,연료전지_원본!$KB$4:$KX$4,0))*1000</f>
        <v>0</v>
      </c>
      <c r="CW111" s="250">
        <f>INDEX(연료전지_원본!$KB$4:$KX$369,MATCH($A111,연료전지_원본!$KB$4:$KB$369,0), MATCH(CW$4,연료전지_원본!$KB$4:$KX$4,0))*1000</f>
        <v>0</v>
      </c>
      <c r="CX111" s="250">
        <f>INDEX(연료전지_원본!$KB$4:$KX$369,MATCH($A111,연료전지_원본!$KB$4:$KB$369,0), MATCH(CX$4,연료전지_원본!$KB$4:$KX$4,0))*1000</f>
        <v>0</v>
      </c>
      <c r="CY111" s="250">
        <f>INDEX(연료전지_원본!$KB$4:$KX$369,MATCH($A111,연료전지_원본!$KB$4:$KB$369,0), MATCH(CY$4,연료전지_원본!$KB$4:$KX$4,0))*1000</f>
        <v>0</v>
      </c>
      <c r="DV111" s="30">
        <f t="shared" si="623"/>
        <v>0</v>
      </c>
    </row>
    <row r="112" spans="1:126">
      <c r="A112" s="6">
        <v>46129</v>
      </c>
      <c r="B112" s="15">
        <f>운전실적_원본!B112</f>
        <v>0</v>
      </c>
      <c r="C112" s="16" t="str">
        <f t="shared" si="629"/>
        <v/>
      </c>
      <c r="D112" s="12">
        <f>운전실적_원본!C112</f>
        <v>0</v>
      </c>
      <c r="E112" s="12" t="str">
        <f t="shared" si="630"/>
        <v/>
      </c>
      <c r="F112" s="12">
        <f>운전실적_원본!D112</f>
        <v>0</v>
      </c>
      <c r="G112" s="16" t="str">
        <f t="shared" si="631"/>
        <v/>
      </c>
      <c r="H112" s="15">
        <f>운전실적_원본!E112</f>
        <v>0</v>
      </c>
      <c r="I112" s="16" t="str">
        <f t="shared" si="632"/>
        <v/>
      </c>
      <c r="J112" s="15">
        <f>운전실적_원본!F112</f>
        <v>0</v>
      </c>
      <c r="K112" s="16" t="str">
        <f t="shared" si="632"/>
        <v/>
      </c>
      <c r="L112" s="32">
        <f>운전실적_원본!G112</f>
        <v>0</v>
      </c>
      <c r="M112" s="31" t="str">
        <f t="shared" ref="M112" si="674">IF(OR(LEN(L112)=0,L112=0),"",L112-L111)</f>
        <v/>
      </c>
      <c r="N112" s="15">
        <f>운전실적_원본!H112</f>
        <v>0</v>
      </c>
      <c r="O112" s="16" t="str">
        <f t="shared" ref="O112" si="675">IF(OR(LEN(N112)=0,N112=0),"",N112-N111)</f>
        <v/>
      </c>
      <c r="P112" s="15">
        <f>운전실적_원본!I112</f>
        <v>0</v>
      </c>
      <c r="Q112" s="16" t="str">
        <f t="shared" ref="Q112" si="676">IF(OR(LEN(P112)=0,P112=0),"",P112-P111)</f>
        <v/>
      </c>
      <c r="R112" s="18">
        <f>운전실적_원본!J112</f>
        <v>0</v>
      </c>
      <c r="S112" s="19" t="str">
        <f t="shared" ref="S112" si="677">IF(OR(LEN(R112)=0,R112=0),"",R112-R111)</f>
        <v/>
      </c>
      <c r="T112" s="18">
        <f>운전실적_원본!K112</f>
        <v>0</v>
      </c>
      <c r="U112" s="19" t="str">
        <f t="shared" si="637"/>
        <v/>
      </c>
      <c r="V112" s="12">
        <f>운전실적_원본!L112</f>
        <v>0</v>
      </c>
      <c r="W112" s="16" t="str">
        <f t="shared" ref="W112" si="678">IF(OR(LEN(V112)=0,V112=0),"",V112-V111)</f>
        <v/>
      </c>
      <c r="X112" s="10">
        <f>운전실적_원본!M112</f>
        <v>0</v>
      </c>
      <c r="Y112" s="10">
        <f>운전실적_원본!N112</f>
        <v>0</v>
      </c>
      <c r="Z112" s="10">
        <f>운전실적_원본!O112</f>
        <v>0</v>
      </c>
      <c r="AA112" s="10">
        <f>운전실적_원본!P112</f>
        <v>0</v>
      </c>
      <c r="AB112" s="10">
        <f>운전실적_원본!Q112</f>
        <v>0</v>
      </c>
      <c r="AC112" s="20">
        <f>운전실적_원본!R112</f>
        <v>0</v>
      </c>
      <c r="AD112" s="109">
        <f>운전실적_원본!S112</f>
        <v>0</v>
      </c>
      <c r="AE112" s="110">
        <f>운전실적_원본!T112</f>
        <v>0</v>
      </c>
      <c r="AF112" s="110">
        <f>운전실적_원본!U112</f>
        <v>0</v>
      </c>
      <c r="AG112" s="110">
        <f>운전실적_원본!V112</f>
        <v>0</v>
      </c>
      <c r="AH112" s="109">
        <f t="shared" si="460"/>
        <v>0</v>
      </c>
      <c r="AI112" s="110">
        <f t="shared" si="467"/>
        <v>0</v>
      </c>
      <c r="AJ112" s="110">
        <f>운전실적_원본!Y112</f>
        <v>0</v>
      </c>
      <c r="AK112" s="110">
        <f>운전실적_원본!Z112</f>
        <v>0</v>
      </c>
      <c r="AL112" s="106"/>
      <c r="AM112" s="105"/>
      <c r="AN112" s="105"/>
      <c r="AO112" s="105"/>
      <c r="AP112" s="105"/>
      <c r="AQ112" s="108"/>
      <c r="AR112" s="105"/>
      <c r="AS112" s="105"/>
      <c r="AT112" s="102"/>
      <c r="AU112" s="102"/>
      <c r="AV112" s="102"/>
      <c r="AW112" s="102"/>
      <c r="AX112" s="32">
        <f>운전실적_원본!W112</f>
        <v>0</v>
      </c>
      <c r="AY112" s="11">
        <f>운전실적_원본!X112</f>
        <v>0</v>
      </c>
      <c r="AZ112" s="11">
        <f>운전실적_원본!Y112</f>
        <v>0</v>
      </c>
      <c r="BA112" s="11">
        <f>운전실적_원본!Z112</f>
        <v>0</v>
      </c>
      <c r="BB112" s="11">
        <f>운전실적_원본!AA112</f>
        <v>0</v>
      </c>
      <c r="BC112" s="11">
        <f>운전실적_원본!AB112</f>
        <v>0</v>
      </c>
      <c r="BD112" s="32" t="str">
        <f t="shared" si="453"/>
        <v>-</v>
      </c>
      <c r="BE112" s="11" t="str">
        <f t="shared" si="461"/>
        <v>-</v>
      </c>
      <c r="BF112" s="11">
        <f>운전실적_원본!AE112</f>
        <v>0</v>
      </c>
      <c r="BG112" s="31">
        <f t="shared" si="454"/>
        <v>0</v>
      </c>
      <c r="BH112" s="241">
        <f>INDEX(연료전지_원본!$A$4:$KY$369,MATCH($A112,연료전지_원본!$A$4:$A$369,0),MATCH($BH$4,연료전지_원본!$A$4:$KY$4,0))</f>
        <v>0</v>
      </c>
      <c r="BI112" s="241">
        <f>INDEX(연료전지_원본!$A$4:$KY$369,MATCH($A112,연료전지_원본!$A$4:$A$369,0),MATCH($BI$4,연료전지_원본!$A$4:$KY$4,0))</f>
        <v>0</v>
      </c>
      <c r="BJ112" s="241">
        <f>INDEX(연료전지_원본!$A$4:$KY$369,MATCH($A112,연료전지_원본!$A$4:$A$369,0),MATCH($BJ$4,연료전지_원본!$A$4:$KY$4,0))</f>
        <v>0</v>
      </c>
      <c r="BK112" s="241">
        <f>INDEX(연료전지_원본!$A$4:$KY$369,MATCH($A112,연료전지_원본!$A$4:$A$369,0),MATCH($BK$4,연료전지_원본!$A$4:$KY$4,0))</f>
        <v>0</v>
      </c>
      <c r="BL112" s="241">
        <f>INDEX(연료전지_원본!$A$4:$KY$369,MATCH($A112,연료전지_원본!$A$4:$A$369,0),MATCH($BL$4,연료전지_원본!$A$4:$KY$4,0))</f>
        <v>0</v>
      </c>
      <c r="BM112" s="241">
        <f>INDEX(연료전지_원본!$A$4:$KY$369,MATCH($A112,연료전지_원본!$A$4:$A$369,0),MATCH($BM$4,연료전지_원본!$A$4:$KY$4,0))</f>
        <v>0</v>
      </c>
      <c r="BN112" s="241">
        <f>INDEX(연료전지_원본!$A$4:$KY$369,MATCH($A112,연료전지_원본!$A$4:$A$369,0),MATCH($BN$4,연료전지_원본!$A$4:$KY$4,0))</f>
        <v>0</v>
      </c>
      <c r="BO112" s="241">
        <f>INDEX(연료전지_원본!$A$4:$KY$369,MATCH($A112,연료전지_원본!$A$4:$A$369,0),MATCH($BO$4,연료전지_원본!$A$4:$KY$4,0))</f>
        <v>0</v>
      </c>
      <c r="BP112" s="241">
        <f>INDEX(연료전지_원본!$A$4:$KY$369,MATCH($A112,연료전지_원본!$A$4:$A$369,0),MATCH($BP$4,연료전지_원본!$A$4:$KY$4,0))</f>
        <v>0</v>
      </c>
      <c r="BQ112" s="241">
        <f>INDEX(연료전지_원본!$A$4:$KY$369,MATCH($A112,연료전지_원본!$A$4:$A$369,0),MATCH($BQ$4,연료전지_원본!$A$4:$KY$4,0))</f>
        <v>0</v>
      </c>
      <c r="BR112" s="241">
        <f>INDEX(연료전지_원본!$A$4:$KY$369,MATCH($A112,연료전지_원본!$A$4:$A$369,0),MATCH($BR$4,연료전지_원본!$A$4:$KY$4,0))</f>
        <v>0</v>
      </c>
      <c r="BS112" s="241">
        <f>INDEX(연료전지_원본!$A$4:$KY$369,MATCH($A112,연료전지_원본!$A$4:$A$369,0),MATCH($BS$4,연료전지_원본!$A$4:$KY$4,0))</f>
        <v>0</v>
      </c>
      <c r="BT112" s="241">
        <f>INDEX(연료전지_원본!$A$4:$KY$369,MATCH($A112,연료전지_원본!$A$4:$A$369,0),MATCH($BT$4,연료전지_원본!$A$4:$KY$4,0))</f>
        <v>0</v>
      </c>
      <c r="BU112" s="241">
        <f>INDEX(연료전지_원본!$A$4:$KY$369,MATCH($A112,연료전지_원본!$A$4:$A$369,0),MATCH($BU$4,연료전지_원본!$A$4:$KY$4,0))</f>
        <v>0</v>
      </c>
      <c r="BV112" s="241">
        <f>INDEX(연료전지_원본!$A$4:$KY$369,MATCH($A112,연료전지_원본!$A$4:$A$369,0),MATCH($BV$4,연료전지_원본!$A$4:$KY$4,0))</f>
        <v>0</v>
      </c>
      <c r="BW112" s="241">
        <f>INDEX(연료전지_원본!$A$4:$KY$369,MATCH($A112,연료전지_원본!$A$4:$A$369,0),MATCH($BW$4,연료전지_원본!$A$4:$KY$4,0))</f>
        <v>0</v>
      </c>
      <c r="BX112" s="241">
        <f>INDEX(연료전지_원본!$A$4:$KY$369,MATCH($A112,연료전지_원본!$A$4:$A$369,0),MATCH($BX$4,연료전지_원본!$A$4:$KY$4,0))</f>
        <v>0</v>
      </c>
      <c r="BY112" s="241">
        <f>INDEX(연료전지_원본!$A$4:$KY$369,MATCH($A112,연료전지_원본!$A$4:$A$369,0),MATCH($BY$4,연료전지_원본!$A$4:$KY$4,0))</f>
        <v>0</v>
      </c>
      <c r="BZ112" s="241">
        <f>INDEX(연료전지_원본!$A$4:$KY$369,MATCH($A112,연료전지_원본!$A$4:$A$369,0),MATCH($BZ$4,연료전지_원본!$A$4:$KY$4,0))</f>
        <v>0</v>
      </c>
      <c r="CA112" s="241">
        <f>INDEX(연료전지_원본!$A$4:$KY$369,MATCH($A112,연료전지_원본!$A$4:$A$369,0),MATCH($CA$4,연료전지_원본!$A$4:$KY$4,0))</f>
        <v>0</v>
      </c>
      <c r="CB112" s="241">
        <f>INDEX(연료전지_원본!$A$4:$KY$369,MATCH($A112,연료전지_원본!$A$4:$A$369,0),MATCH($CB$4,연료전지_원본!$A$4:$KY$4,0))</f>
        <v>0</v>
      </c>
      <c r="CC112" s="242">
        <f>INDEX(연료전지_원본!$A$4:$KY$369,MATCH($A112,연료전지_원본!$A$4:$A$369,0),MATCH($CC$4,연료전지_원본!$A$4:$KY$4,0))</f>
        <v>0</v>
      </c>
      <c r="CD112" s="250">
        <f>INDEX(연료전지_원본!$KB$4:$KX$369,MATCH($A112,연료전지_원본!$KB$4:$KB$369,0), MATCH(CD$4,연료전지_원본!$KB$4:$KX$4,0))*1000</f>
        <v>0</v>
      </c>
      <c r="CE112" s="250">
        <f>INDEX(연료전지_원본!$KB$4:$KX$369,MATCH($A112,연료전지_원본!$KB$4:$KB$369,0), MATCH(CE$4,연료전지_원본!$KB$4:$KX$4,0))*1000</f>
        <v>0</v>
      </c>
      <c r="CF112" s="250">
        <f>INDEX(연료전지_원본!$KB$4:$KX$369,MATCH($A112,연료전지_원본!$KB$4:$KB$369,0), MATCH(CF$4,연료전지_원본!$KB$4:$KX$4,0))*1000</f>
        <v>0</v>
      </c>
      <c r="CG112" s="250">
        <f>INDEX(연료전지_원본!$KB$4:$KX$369,MATCH($A112,연료전지_원본!$KB$4:$KB$369,0), MATCH(CG$4,연료전지_원본!$KB$4:$KX$4,0))*1000</f>
        <v>0</v>
      </c>
      <c r="CH112" s="250">
        <f>INDEX(연료전지_원본!$KB$4:$KX$369,MATCH($A112,연료전지_원본!$KB$4:$KB$369,0), MATCH(CH$4,연료전지_원본!$KB$4:$KX$4,0))*1000</f>
        <v>0</v>
      </c>
      <c r="CI112" s="250">
        <f>INDEX(연료전지_원본!$KB$4:$KX$369,MATCH($A112,연료전지_원본!$KB$4:$KB$369,0), MATCH(CI$4,연료전지_원본!$KB$4:$KX$4,0))*1000</f>
        <v>0</v>
      </c>
      <c r="CJ112" s="250">
        <f>INDEX(연료전지_원본!$KB$4:$KX$369,MATCH($A112,연료전지_원본!$KB$4:$KB$369,0), MATCH(CJ$4,연료전지_원본!$KB$4:$KX$4,0))*1000</f>
        <v>0</v>
      </c>
      <c r="CK112" s="250">
        <f>INDEX(연료전지_원본!$KB$4:$KX$369,MATCH($A112,연료전지_원본!$KB$4:$KB$369,0), MATCH(CK$4,연료전지_원본!$KB$4:$KX$4,0))*1000</f>
        <v>0</v>
      </c>
      <c r="CL112" s="250">
        <f>INDEX(연료전지_원본!$KB$4:$KX$369,MATCH($A112,연료전지_원본!$KB$4:$KB$369,0), MATCH(CL$4,연료전지_원본!$KB$4:$KX$4,0))*1000</f>
        <v>0</v>
      </c>
      <c r="CM112" s="250">
        <f>INDEX(연료전지_원본!$KB$4:$KX$369,MATCH($A112,연료전지_원본!$KB$4:$KB$369,0), MATCH(CM$4,연료전지_원본!$KB$4:$KX$4,0))*1000</f>
        <v>0</v>
      </c>
      <c r="CN112" s="250">
        <f>INDEX(연료전지_원본!$KB$4:$KX$369,MATCH($A112,연료전지_원본!$KB$4:$KB$369,0), MATCH(CN$4,연료전지_원본!$KB$4:$KX$4,0))*1000</f>
        <v>0</v>
      </c>
      <c r="CO112" s="250">
        <f>INDEX(연료전지_원본!$KB$4:$KX$369,MATCH($A112,연료전지_원본!$KB$4:$KB$369,0), MATCH(CO$4,연료전지_원본!$KB$4:$KX$4,0))*1000</f>
        <v>0</v>
      </c>
      <c r="CP112" s="250">
        <f>INDEX(연료전지_원본!$KB$4:$KX$369,MATCH($A112,연료전지_원본!$KB$4:$KB$369,0), MATCH(CP$4,연료전지_원본!$KB$4:$KX$4,0))*1000</f>
        <v>0</v>
      </c>
      <c r="CQ112" s="250">
        <f>INDEX(연료전지_원본!$KB$4:$KX$369,MATCH($A112,연료전지_원본!$KB$4:$KB$369,0), MATCH(CQ$4,연료전지_원본!$KB$4:$KX$4,0))*1000</f>
        <v>0</v>
      </c>
      <c r="CR112" s="250">
        <f>INDEX(연료전지_원본!$KB$4:$KX$369,MATCH($A112,연료전지_원본!$KB$4:$KB$369,0), MATCH(CR$4,연료전지_원본!$KB$4:$KX$4,0))*1000</f>
        <v>0</v>
      </c>
      <c r="CS112" s="250">
        <f>INDEX(연료전지_원본!$KB$4:$KX$369,MATCH($A112,연료전지_원본!$KB$4:$KB$369,0), MATCH(CS$4,연료전지_원본!$KB$4:$KX$4,0))*1000</f>
        <v>0</v>
      </c>
      <c r="CT112" s="250">
        <f>INDEX(연료전지_원본!$KB$4:$KX$369,MATCH($A112,연료전지_원본!$KB$4:$KB$369,0), MATCH(CT$4,연료전지_원본!$KB$4:$KX$4,0))*1000</f>
        <v>0</v>
      </c>
      <c r="CU112" s="250">
        <f>INDEX(연료전지_원본!$KB$4:$KX$369,MATCH($A112,연료전지_원본!$KB$4:$KB$369,0), MATCH(CU$4,연료전지_원본!$KB$4:$KX$4,0))*1000</f>
        <v>0</v>
      </c>
      <c r="CV112" s="250">
        <f>INDEX(연료전지_원본!$KB$4:$KX$369,MATCH($A112,연료전지_원본!$KB$4:$KB$369,0), MATCH(CV$4,연료전지_원본!$KB$4:$KX$4,0))*1000</f>
        <v>0</v>
      </c>
      <c r="CW112" s="250">
        <f>INDEX(연료전지_원본!$KB$4:$KX$369,MATCH($A112,연료전지_원본!$KB$4:$KB$369,0), MATCH(CW$4,연료전지_원본!$KB$4:$KX$4,0))*1000</f>
        <v>0</v>
      </c>
      <c r="CX112" s="250">
        <f>INDEX(연료전지_원본!$KB$4:$KX$369,MATCH($A112,연료전지_원본!$KB$4:$KB$369,0), MATCH(CX$4,연료전지_원본!$KB$4:$KX$4,0))*1000</f>
        <v>0</v>
      </c>
      <c r="CY112" s="250">
        <f>INDEX(연료전지_원본!$KB$4:$KX$369,MATCH($A112,연료전지_원본!$KB$4:$KB$369,0), MATCH(CY$4,연료전지_원본!$KB$4:$KX$4,0))*1000</f>
        <v>0</v>
      </c>
      <c r="DV112" s="30">
        <f t="shared" si="623"/>
        <v>0</v>
      </c>
    </row>
    <row r="113" spans="1:126">
      <c r="A113" s="6">
        <v>46130</v>
      </c>
      <c r="B113" s="15">
        <f>운전실적_원본!B113</f>
        <v>0</v>
      </c>
      <c r="C113" s="16" t="str">
        <f t="shared" si="629"/>
        <v/>
      </c>
      <c r="D113" s="12">
        <f>운전실적_원본!C113</f>
        <v>0</v>
      </c>
      <c r="E113" s="12" t="str">
        <f t="shared" si="630"/>
        <v/>
      </c>
      <c r="F113" s="12">
        <f>운전실적_원본!D113</f>
        <v>0</v>
      </c>
      <c r="G113" s="16" t="str">
        <f t="shared" si="631"/>
        <v/>
      </c>
      <c r="H113" s="15">
        <f>운전실적_원본!E113</f>
        <v>0</v>
      </c>
      <c r="I113" s="16" t="str">
        <f t="shared" si="632"/>
        <v/>
      </c>
      <c r="J113" s="15">
        <f>운전실적_원본!F113</f>
        <v>0</v>
      </c>
      <c r="K113" s="16" t="str">
        <f t="shared" si="632"/>
        <v/>
      </c>
      <c r="L113" s="32">
        <f>운전실적_원본!G113</f>
        <v>0</v>
      </c>
      <c r="M113" s="31" t="str">
        <f t="shared" ref="M113" si="679">IF(OR(LEN(L113)=0,L113=0),"",L113-L112)</f>
        <v/>
      </c>
      <c r="N113" s="15">
        <f>운전실적_원본!H113</f>
        <v>0</v>
      </c>
      <c r="O113" s="16" t="str">
        <f t="shared" ref="O113" si="680">IF(OR(LEN(N113)=0,N113=0),"",N113-N112)</f>
        <v/>
      </c>
      <c r="P113" s="15">
        <f>운전실적_원본!I113</f>
        <v>0</v>
      </c>
      <c r="Q113" s="16" t="str">
        <f t="shared" ref="Q113" si="681">IF(OR(LEN(P113)=0,P113=0),"",P113-P112)</f>
        <v/>
      </c>
      <c r="R113" s="18">
        <f>운전실적_원본!J113</f>
        <v>0</v>
      </c>
      <c r="S113" s="19" t="str">
        <f t="shared" ref="S113" si="682">IF(OR(LEN(R113)=0,R113=0),"",R113-R112)</f>
        <v/>
      </c>
      <c r="T113" s="18">
        <f>운전실적_원본!K113</f>
        <v>0</v>
      </c>
      <c r="U113" s="19" t="str">
        <f t="shared" si="637"/>
        <v/>
      </c>
      <c r="V113" s="12">
        <f>운전실적_원본!L113</f>
        <v>0</v>
      </c>
      <c r="W113" s="16" t="str">
        <f t="shared" ref="W113" si="683">IF(OR(LEN(V113)=0,V113=0),"",V113-V112)</f>
        <v/>
      </c>
      <c r="X113" s="10">
        <f>운전실적_원본!M113</f>
        <v>0</v>
      </c>
      <c r="Y113" s="10">
        <f>운전실적_원본!N113</f>
        <v>0</v>
      </c>
      <c r="Z113" s="10">
        <f>운전실적_원본!O113</f>
        <v>0</v>
      </c>
      <c r="AA113" s="10">
        <f>운전실적_원본!P113</f>
        <v>0</v>
      </c>
      <c r="AB113" s="10">
        <f>운전실적_원본!Q113</f>
        <v>0</v>
      </c>
      <c r="AC113" s="20">
        <f>운전실적_원본!R113</f>
        <v>0</v>
      </c>
      <c r="AD113" s="109">
        <f>운전실적_원본!S113</f>
        <v>0</v>
      </c>
      <c r="AE113" s="110">
        <f>운전실적_원본!T113</f>
        <v>0</v>
      </c>
      <c r="AF113" s="110">
        <f>운전실적_원본!U113</f>
        <v>0</v>
      </c>
      <c r="AG113" s="110">
        <f>운전실적_원본!V113</f>
        <v>0</v>
      </c>
      <c r="AH113" s="109">
        <f t="shared" si="460"/>
        <v>0</v>
      </c>
      <c r="AI113" s="110">
        <f t="shared" si="467"/>
        <v>0</v>
      </c>
      <c r="AJ113" s="110">
        <f>운전실적_원본!Y113</f>
        <v>0</v>
      </c>
      <c r="AK113" s="110">
        <f>운전실적_원본!Z113</f>
        <v>0</v>
      </c>
      <c r="AL113" s="106"/>
      <c r="AM113" s="105"/>
      <c r="AN113" s="105"/>
      <c r="AO113" s="105"/>
      <c r="AP113" s="105"/>
      <c r="AQ113" s="108"/>
      <c r="AR113" s="105"/>
      <c r="AS113" s="105"/>
      <c r="AT113" s="102"/>
      <c r="AU113" s="102"/>
      <c r="AV113" s="102"/>
      <c r="AW113" s="102"/>
      <c r="AX113" s="32">
        <f>운전실적_원본!W113</f>
        <v>0</v>
      </c>
      <c r="AY113" s="11">
        <f>운전실적_원본!X113</f>
        <v>0</v>
      </c>
      <c r="AZ113" s="11">
        <f>운전실적_원본!Y113</f>
        <v>0</v>
      </c>
      <c r="BA113" s="11">
        <f>운전실적_원본!Z113</f>
        <v>0</v>
      </c>
      <c r="BB113" s="11">
        <f>운전실적_원본!AA113</f>
        <v>0</v>
      </c>
      <c r="BC113" s="11">
        <f>운전실적_원본!AB113</f>
        <v>0</v>
      </c>
      <c r="BD113" s="32" t="str">
        <f t="shared" si="453"/>
        <v>-</v>
      </c>
      <c r="BE113" s="11" t="str">
        <f t="shared" si="461"/>
        <v>-</v>
      </c>
      <c r="BF113" s="11">
        <f>운전실적_원본!AE113</f>
        <v>0</v>
      </c>
      <c r="BG113" s="31">
        <f t="shared" si="454"/>
        <v>0</v>
      </c>
      <c r="BH113" s="241">
        <f>INDEX(연료전지_원본!$A$4:$KY$369,MATCH($A113,연료전지_원본!$A$4:$A$369,0),MATCH($BH$4,연료전지_원본!$A$4:$KY$4,0))</f>
        <v>0</v>
      </c>
      <c r="BI113" s="241">
        <f>INDEX(연료전지_원본!$A$4:$KY$369,MATCH($A113,연료전지_원본!$A$4:$A$369,0),MATCH($BI$4,연료전지_원본!$A$4:$KY$4,0))</f>
        <v>0</v>
      </c>
      <c r="BJ113" s="241">
        <f>INDEX(연료전지_원본!$A$4:$KY$369,MATCH($A113,연료전지_원본!$A$4:$A$369,0),MATCH($BJ$4,연료전지_원본!$A$4:$KY$4,0))</f>
        <v>0</v>
      </c>
      <c r="BK113" s="241">
        <f>INDEX(연료전지_원본!$A$4:$KY$369,MATCH($A113,연료전지_원본!$A$4:$A$369,0),MATCH($BK$4,연료전지_원본!$A$4:$KY$4,0))</f>
        <v>0</v>
      </c>
      <c r="BL113" s="241">
        <f>INDEX(연료전지_원본!$A$4:$KY$369,MATCH($A113,연료전지_원본!$A$4:$A$369,0),MATCH($BL$4,연료전지_원본!$A$4:$KY$4,0))</f>
        <v>0</v>
      </c>
      <c r="BM113" s="241">
        <f>INDEX(연료전지_원본!$A$4:$KY$369,MATCH($A113,연료전지_원본!$A$4:$A$369,0),MATCH($BM$4,연료전지_원본!$A$4:$KY$4,0))</f>
        <v>0</v>
      </c>
      <c r="BN113" s="241">
        <f>INDEX(연료전지_원본!$A$4:$KY$369,MATCH($A113,연료전지_원본!$A$4:$A$369,0),MATCH($BN$4,연료전지_원본!$A$4:$KY$4,0))</f>
        <v>0</v>
      </c>
      <c r="BO113" s="241">
        <f>INDEX(연료전지_원본!$A$4:$KY$369,MATCH($A113,연료전지_원본!$A$4:$A$369,0),MATCH($BO$4,연료전지_원본!$A$4:$KY$4,0))</f>
        <v>0</v>
      </c>
      <c r="BP113" s="241">
        <f>INDEX(연료전지_원본!$A$4:$KY$369,MATCH($A113,연료전지_원본!$A$4:$A$369,0),MATCH($BP$4,연료전지_원본!$A$4:$KY$4,0))</f>
        <v>0</v>
      </c>
      <c r="BQ113" s="241">
        <f>INDEX(연료전지_원본!$A$4:$KY$369,MATCH($A113,연료전지_원본!$A$4:$A$369,0),MATCH($BQ$4,연료전지_원본!$A$4:$KY$4,0))</f>
        <v>0</v>
      </c>
      <c r="BR113" s="241">
        <f>INDEX(연료전지_원본!$A$4:$KY$369,MATCH($A113,연료전지_원본!$A$4:$A$369,0),MATCH($BR$4,연료전지_원본!$A$4:$KY$4,0))</f>
        <v>0</v>
      </c>
      <c r="BS113" s="241">
        <f>INDEX(연료전지_원본!$A$4:$KY$369,MATCH($A113,연료전지_원본!$A$4:$A$369,0),MATCH($BS$4,연료전지_원본!$A$4:$KY$4,0))</f>
        <v>0</v>
      </c>
      <c r="BT113" s="241">
        <f>INDEX(연료전지_원본!$A$4:$KY$369,MATCH($A113,연료전지_원본!$A$4:$A$369,0),MATCH($BT$4,연료전지_원본!$A$4:$KY$4,0))</f>
        <v>0</v>
      </c>
      <c r="BU113" s="241">
        <f>INDEX(연료전지_원본!$A$4:$KY$369,MATCH($A113,연료전지_원본!$A$4:$A$369,0),MATCH($BU$4,연료전지_원본!$A$4:$KY$4,0))</f>
        <v>0</v>
      </c>
      <c r="BV113" s="241">
        <f>INDEX(연료전지_원본!$A$4:$KY$369,MATCH($A113,연료전지_원본!$A$4:$A$369,0),MATCH($BV$4,연료전지_원본!$A$4:$KY$4,0))</f>
        <v>0</v>
      </c>
      <c r="BW113" s="241">
        <f>INDEX(연료전지_원본!$A$4:$KY$369,MATCH($A113,연료전지_원본!$A$4:$A$369,0),MATCH($BW$4,연료전지_원본!$A$4:$KY$4,0))</f>
        <v>0</v>
      </c>
      <c r="BX113" s="241">
        <f>INDEX(연료전지_원본!$A$4:$KY$369,MATCH($A113,연료전지_원본!$A$4:$A$369,0),MATCH($BX$4,연료전지_원본!$A$4:$KY$4,0))</f>
        <v>0</v>
      </c>
      <c r="BY113" s="241">
        <f>INDEX(연료전지_원본!$A$4:$KY$369,MATCH($A113,연료전지_원본!$A$4:$A$369,0),MATCH($BY$4,연료전지_원본!$A$4:$KY$4,0))</f>
        <v>0</v>
      </c>
      <c r="BZ113" s="241">
        <f>INDEX(연료전지_원본!$A$4:$KY$369,MATCH($A113,연료전지_원본!$A$4:$A$369,0),MATCH($BZ$4,연료전지_원본!$A$4:$KY$4,0))</f>
        <v>0</v>
      </c>
      <c r="CA113" s="241">
        <f>INDEX(연료전지_원본!$A$4:$KY$369,MATCH($A113,연료전지_원본!$A$4:$A$369,0),MATCH($CA$4,연료전지_원본!$A$4:$KY$4,0))</f>
        <v>0</v>
      </c>
      <c r="CB113" s="241">
        <f>INDEX(연료전지_원본!$A$4:$KY$369,MATCH($A113,연료전지_원본!$A$4:$A$369,0),MATCH($CB$4,연료전지_원본!$A$4:$KY$4,0))</f>
        <v>0</v>
      </c>
      <c r="CC113" s="242">
        <f>INDEX(연료전지_원본!$A$4:$KY$369,MATCH($A113,연료전지_원본!$A$4:$A$369,0),MATCH($CC$4,연료전지_원본!$A$4:$KY$4,0))</f>
        <v>0</v>
      </c>
      <c r="CD113" s="250">
        <f>INDEX(연료전지_원본!$KB$4:$KX$369,MATCH($A113,연료전지_원본!$KB$4:$KB$369,0), MATCH(CD$4,연료전지_원본!$KB$4:$KX$4,0))*1000</f>
        <v>0</v>
      </c>
      <c r="CE113" s="250">
        <f>INDEX(연료전지_원본!$KB$4:$KX$369,MATCH($A113,연료전지_원본!$KB$4:$KB$369,0), MATCH(CE$4,연료전지_원본!$KB$4:$KX$4,0))*1000</f>
        <v>0</v>
      </c>
      <c r="CF113" s="250">
        <f>INDEX(연료전지_원본!$KB$4:$KX$369,MATCH($A113,연료전지_원본!$KB$4:$KB$369,0), MATCH(CF$4,연료전지_원본!$KB$4:$KX$4,0))*1000</f>
        <v>0</v>
      </c>
      <c r="CG113" s="250">
        <f>INDEX(연료전지_원본!$KB$4:$KX$369,MATCH($A113,연료전지_원본!$KB$4:$KB$369,0), MATCH(CG$4,연료전지_원본!$KB$4:$KX$4,0))*1000</f>
        <v>0</v>
      </c>
      <c r="CH113" s="250">
        <f>INDEX(연료전지_원본!$KB$4:$KX$369,MATCH($A113,연료전지_원본!$KB$4:$KB$369,0), MATCH(CH$4,연료전지_원본!$KB$4:$KX$4,0))*1000</f>
        <v>0</v>
      </c>
      <c r="CI113" s="250">
        <f>INDEX(연료전지_원본!$KB$4:$KX$369,MATCH($A113,연료전지_원본!$KB$4:$KB$369,0), MATCH(CI$4,연료전지_원본!$KB$4:$KX$4,0))*1000</f>
        <v>0</v>
      </c>
      <c r="CJ113" s="250">
        <f>INDEX(연료전지_원본!$KB$4:$KX$369,MATCH($A113,연료전지_원본!$KB$4:$KB$369,0), MATCH(CJ$4,연료전지_원본!$KB$4:$KX$4,0))*1000</f>
        <v>0</v>
      </c>
      <c r="CK113" s="250">
        <f>INDEX(연료전지_원본!$KB$4:$KX$369,MATCH($A113,연료전지_원본!$KB$4:$KB$369,0), MATCH(CK$4,연료전지_원본!$KB$4:$KX$4,0))*1000</f>
        <v>0</v>
      </c>
      <c r="CL113" s="250">
        <f>INDEX(연료전지_원본!$KB$4:$KX$369,MATCH($A113,연료전지_원본!$KB$4:$KB$369,0), MATCH(CL$4,연료전지_원본!$KB$4:$KX$4,0))*1000</f>
        <v>0</v>
      </c>
      <c r="CM113" s="250">
        <f>INDEX(연료전지_원본!$KB$4:$KX$369,MATCH($A113,연료전지_원본!$KB$4:$KB$369,0), MATCH(CM$4,연료전지_원본!$KB$4:$KX$4,0))*1000</f>
        <v>0</v>
      </c>
      <c r="CN113" s="250">
        <f>INDEX(연료전지_원본!$KB$4:$KX$369,MATCH($A113,연료전지_원본!$KB$4:$KB$369,0), MATCH(CN$4,연료전지_원본!$KB$4:$KX$4,0))*1000</f>
        <v>0</v>
      </c>
      <c r="CO113" s="250">
        <f>INDEX(연료전지_원본!$KB$4:$KX$369,MATCH($A113,연료전지_원본!$KB$4:$KB$369,0), MATCH(CO$4,연료전지_원본!$KB$4:$KX$4,0))*1000</f>
        <v>0</v>
      </c>
      <c r="CP113" s="250">
        <f>INDEX(연료전지_원본!$KB$4:$KX$369,MATCH($A113,연료전지_원본!$KB$4:$KB$369,0), MATCH(CP$4,연료전지_원본!$KB$4:$KX$4,0))*1000</f>
        <v>0</v>
      </c>
      <c r="CQ113" s="250">
        <f>INDEX(연료전지_원본!$KB$4:$KX$369,MATCH($A113,연료전지_원본!$KB$4:$KB$369,0), MATCH(CQ$4,연료전지_원본!$KB$4:$KX$4,0))*1000</f>
        <v>0</v>
      </c>
      <c r="CR113" s="250">
        <f>INDEX(연료전지_원본!$KB$4:$KX$369,MATCH($A113,연료전지_원본!$KB$4:$KB$369,0), MATCH(CR$4,연료전지_원본!$KB$4:$KX$4,0))*1000</f>
        <v>0</v>
      </c>
      <c r="CS113" s="250">
        <f>INDEX(연료전지_원본!$KB$4:$KX$369,MATCH($A113,연료전지_원본!$KB$4:$KB$369,0), MATCH(CS$4,연료전지_원본!$KB$4:$KX$4,0))*1000</f>
        <v>0</v>
      </c>
      <c r="CT113" s="250">
        <f>INDEX(연료전지_원본!$KB$4:$KX$369,MATCH($A113,연료전지_원본!$KB$4:$KB$369,0), MATCH(CT$4,연료전지_원본!$KB$4:$KX$4,0))*1000</f>
        <v>0</v>
      </c>
      <c r="CU113" s="250">
        <f>INDEX(연료전지_원본!$KB$4:$KX$369,MATCH($A113,연료전지_원본!$KB$4:$KB$369,0), MATCH(CU$4,연료전지_원본!$KB$4:$KX$4,0))*1000</f>
        <v>0</v>
      </c>
      <c r="CV113" s="250">
        <f>INDEX(연료전지_원본!$KB$4:$KX$369,MATCH($A113,연료전지_원본!$KB$4:$KB$369,0), MATCH(CV$4,연료전지_원본!$KB$4:$KX$4,0))*1000</f>
        <v>0</v>
      </c>
      <c r="CW113" s="250">
        <f>INDEX(연료전지_원본!$KB$4:$KX$369,MATCH($A113,연료전지_원본!$KB$4:$KB$369,0), MATCH(CW$4,연료전지_원본!$KB$4:$KX$4,0))*1000</f>
        <v>0</v>
      </c>
      <c r="CX113" s="250">
        <f>INDEX(연료전지_원본!$KB$4:$KX$369,MATCH($A113,연료전지_원본!$KB$4:$KB$369,0), MATCH(CX$4,연료전지_원본!$KB$4:$KX$4,0))*1000</f>
        <v>0</v>
      </c>
      <c r="CY113" s="250">
        <f>INDEX(연료전지_원본!$KB$4:$KX$369,MATCH($A113,연료전지_원본!$KB$4:$KB$369,0), MATCH(CY$4,연료전지_원본!$KB$4:$KX$4,0))*1000</f>
        <v>0</v>
      </c>
      <c r="DV113" s="30">
        <f t="shared" si="623"/>
        <v>0</v>
      </c>
    </row>
    <row r="114" spans="1:126">
      <c r="A114" s="6">
        <v>46131</v>
      </c>
      <c r="B114" s="15">
        <f>운전실적_원본!B114</f>
        <v>0</v>
      </c>
      <c r="C114" s="16" t="str">
        <f t="shared" si="629"/>
        <v/>
      </c>
      <c r="D114" s="12">
        <f>운전실적_원본!C114</f>
        <v>0</v>
      </c>
      <c r="E114" s="12" t="str">
        <f t="shared" si="630"/>
        <v/>
      </c>
      <c r="F114" s="12">
        <f>운전실적_원본!D114</f>
        <v>0</v>
      </c>
      <c r="G114" s="16" t="str">
        <f t="shared" si="631"/>
        <v/>
      </c>
      <c r="H114" s="15">
        <f>운전실적_원본!E114</f>
        <v>0</v>
      </c>
      <c r="I114" s="16" t="str">
        <f t="shared" si="632"/>
        <v/>
      </c>
      <c r="J114" s="15">
        <f>운전실적_원본!F114</f>
        <v>0</v>
      </c>
      <c r="K114" s="16" t="str">
        <f t="shared" si="632"/>
        <v/>
      </c>
      <c r="L114" s="32">
        <f>운전실적_원본!G114</f>
        <v>0</v>
      </c>
      <c r="M114" s="31" t="str">
        <f t="shared" ref="M114" si="684">IF(OR(LEN(L114)=0,L114=0),"",L114-L113)</f>
        <v/>
      </c>
      <c r="N114" s="15">
        <f>운전실적_원본!H114</f>
        <v>0</v>
      </c>
      <c r="O114" s="16" t="str">
        <f t="shared" ref="O114" si="685">IF(OR(LEN(N114)=0,N114=0),"",N114-N113)</f>
        <v/>
      </c>
      <c r="P114" s="15">
        <f>운전실적_원본!I114</f>
        <v>0</v>
      </c>
      <c r="Q114" s="16" t="str">
        <f t="shared" ref="Q114" si="686">IF(OR(LEN(P114)=0,P114=0),"",P114-P113)</f>
        <v/>
      </c>
      <c r="R114" s="18">
        <f>운전실적_원본!J114</f>
        <v>0</v>
      </c>
      <c r="S114" s="19" t="str">
        <f t="shared" ref="S114" si="687">IF(OR(LEN(R114)=0,R114=0),"",R114-R113)</f>
        <v/>
      </c>
      <c r="T114" s="18">
        <f>운전실적_원본!K114</f>
        <v>0</v>
      </c>
      <c r="U114" s="19" t="str">
        <f t="shared" si="637"/>
        <v/>
      </c>
      <c r="V114" s="12">
        <f>운전실적_원본!L114</f>
        <v>0</v>
      </c>
      <c r="W114" s="16" t="str">
        <f t="shared" ref="W114" si="688">IF(OR(LEN(V114)=0,V114=0),"",V114-V113)</f>
        <v/>
      </c>
      <c r="X114" s="10">
        <f>운전실적_원본!M114</f>
        <v>0</v>
      </c>
      <c r="Y114" s="10">
        <f>운전실적_원본!N114</f>
        <v>0</v>
      </c>
      <c r="Z114" s="10">
        <f>운전실적_원본!O114</f>
        <v>0</v>
      </c>
      <c r="AA114" s="10">
        <f>운전실적_원본!P114</f>
        <v>0</v>
      </c>
      <c r="AB114" s="10">
        <f>운전실적_원본!Q114</f>
        <v>0</v>
      </c>
      <c r="AC114" s="20">
        <f>운전실적_원본!R114</f>
        <v>0</v>
      </c>
      <c r="AD114" s="109">
        <f>운전실적_원본!S114</f>
        <v>0</v>
      </c>
      <c r="AE114" s="110">
        <f>운전실적_원본!T114</f>
        <v>0</v>
      </c>
      <c r="AF114" s="110">
        <f>운전실적_원본!U114</f>
        <v>0</v>
      </c>
      <c r="AG114" s="110">
        <f>운전실적_원본!V114</f>
        <v>0</v>
      </c>
      <c r="AH114" s="109">
        <f t="shared" si="460"/>
        <v>0</v>
      </c>
      <c r="AI114" s="110">
        <f t="shared" si="467"/>
        <v>0</v>
      </c>
      <c r="AJ114" s="110">
        <f>운전실적_원본!Y114</f>
        <v>0</v>
      </c>
      <c r="AK114" s="110">
        <f>운전실적_원본!Z114</f>
        <v>0</v>
      </c>
      <c r="AL114" s="106"/>
      <c r="AM114" s="105"/>
      <c r="AN114" s="105"/>
      <c r="AO114" s="105"/>
      <c r="AP114" s="105"/>
      <c r="AQ114" s="108"/>
      <c r="AR114" s="105"/>
      <c r="AS114" s="105"/>
      <c r="AT114" s="102"/>
      <c r="AU114" s="102"/>
      <c r="AV114" s="102"/>
      <c r="AW114" s="102"/>
      <c r="AX114" s="32">
        <f>운전실적_원본!W114</f>
        <v>0</v>
      </c>
      <c r="AY114" s="11">
        <f>운전실적_원본!X114</f>
        <v>0</v>
      </c>
      <c r="AZ114" s="11">
        <f>운전실적_원본!Y114</f>
        <v>0</v>
      </c>
      <c r="BA114" s="11">
        <f>운전실적_원본!Z114</f>
        <v>0</v>
      </c>
      <c r="BB114" s="11">
        <f>운전실적_원본!AA114</f>
        <v>0</v>
      </c>
      <c r="BC114" s="11">
        <f>운전실적_원본!AB114</f>
        <v>0</v>
      </c>
      <c r="BD114" s="32" t="str">
        <f t="shared" si="453"/>
        <v>-</v>
      </c>
      <c r="BE114" s="11" t="str">
        <f t="shared" si="461"/>
        <v>-</v>
      </c>
      <c r="BF114" s="11">
        <f>운전실적_원본!AE114</f>
        <v>0</v>
      </c>
      <c r="BG114" s="31">
        <f t="shared" si="454"/>
        <v>0</v>
      </c>
      <c r="BH114" s="241">
        <f>INDEX(연료전지_원본!$A$4:$KY$369,MATCH($A114,연료전지_원본!$A$4:$A$369,0),MATCH($BH$4,연료전지_원본!$A$4:$KY$4,0))</f>
        <v>0</v>
      </c>
      <c r="BI114" s="241">
        <f>INDEX(연료전지_원본!$A$4:$KY$369,MATCH($A114,연료전지_원본!$A$4:$A$369,0),MATCH($BI$4,연료전지_원본!$A$4:$KY$4,0))</f>
        <v>0</v>
      </c>
      <c r="BJ114" s="241">
        <f>INDEX(연료전지_원본!$A$4:$KY$369,MATCH($A114,연료전지_원본!$A$4:$A$369,0),MATCH($BJ$4,연료전지_원본!$A$4:$KY$4,0))</f>
        <v>0</v>
      </c>
      <c r="BK114" s="241">
        <f>INDEX(연료전지_원본!$A$4:$KY$369,MATCH($A114,연료전지_원본!$A$4:$A$369,0),MATCH($BK$4,연료전지_원본!$A$4:$KY$4,0))</f>
        <v>0</v>
      </c>
      <c r="BL114" s="241">
        <f>INDEX(연료전지_원본!$A$4:$KY$369,MATCH($A114,연료전지_원본!$A$4:$A$369,0),MATCH($BL$4,연료전지_원본!$A$4:$KY$4,0))</f>
        <v>0</v>
      </c>
      <c r="BM114" s="241">
        <f>INDEX(연료전지_원본!$A$4:$KY$369,MATCH($A114,연료전지_원본!$A$4:$A$369,0),MATCH($BM$4,연료전지_원본!$A$4:$KY$4,0))</f>
        <v>0</v>
      </c>
      <c r="BN114" s="241">
        <f>INDEX(연료전지_원본!$A$4:$KY$369,MATCH($A114,연료전지_원본!$A$4:$A$369,0),MATCH($BN$4,연료전지_원본!$A$4:$KY$4,0))</f>
        <v>0</v>
      </c>
      <c r="BO114" s="241">
        <f>INDEX(연료전지_원본!$A$4:$KY$369,MATCH($A114,연료전지_원본!$A$4:$A$369,0),MATCH($BO$4,연료전지_원본!$A$4:$KY$4,0))</f>
        <v>0</v>
      </c>
      <c r="BP114" s="241">
        <f>INDEX(연료전지_원본!$A$4:$KY$369,MATCH($A114,연료전지_원본!$A$4:$A$369,0),MATCH($BP$4,연료전지_원본!$A$4:$KY$4,0))</f>
        <v>0</v>
      </c>
      <c r="BQ114" s="241">
        <f>INDEX(연료전지_원본!$A$4:$KY$369,MATCH($A114,연료전지_원본!$A$4:$A$369,0),MATCH($BQ$4,연료전지_원본!$A$4:$KY$4,0))</f>
        <v>0</v>
      </c>
      <c r="BR114" s="241">
        <f>INDEX(연료전지_원본!$A$4:$KY$369,MATCH($A114,연료전지_원본!$A$4:$A$369,0),MATCH($BR$4,연료전지_원본!$A$4:$KY$4,0))</f>
        <v>0</v>
      </c>
      <c r="BS114" s="241">
        <f>INDEX(연료전지_원본!$A$4:$KY$369,MATCH($A114,연료전지_원본!$A$4:$A$369,0),MATCH($BS$4,연료전지_원본!$A$4:$KY$4,0))</f>
        <v>0</v>
      </c>
      <c r="BT114" s="241">
        <f>INDEX(연료전지_원본!$A$4:$KY$369,MATCH($A114,연료전지_원본!$A$4:$A$369,0),MATCH($BT$4,연료전지_원본!$A$4:$KY$4,0))</f>
        <v>0</v>
      </c>
      <c r="BU114" s="241">
        <f>INDEX(연료전지_원본!$A$4:$KY$369,MATCH($A114,연료전지_원본!$A$4:$A$369,0),MATCH($BU$4,연료전지_원본!$A$4:$KY$4,0))</f>
        <v>0</v>
      </c>
      <c r="BV114" s="241">
        <f>INDEX(연료전지_원본!$A$4:$KY$369,MATCH($A114,연료전지_원본!$A$4:$A$369,0),MATCH($BV$4,연료전지_원본!$A$4:$KY$4,0))</f>
        <v>0</v>
      </c>
      <c r="BW114" s="241">
        <f>INDEX(연료전지_원본!$A$4:$KY$369,MATCH($A114,연료전지_원본!$A$4:$A$369,0),MATCH($BW$4,연료전지_원본!$A$4:$KY$4,0))</f>
        <v>0</v>
      </c>
      <c r="BX114" s="241">
        <f>INDEX(연료전지_원본!$A$4:$KY$369,MATCH($A114,연료전지_원본!$A$4:$A$369,0),MATCH($BX$4,연료전지_원본!$A$4:$KY$4,0))</f>
        <v>0</v>
      </c>
      <c r="BY114" s="241">
        <f>INDEX(연료전지_원본!$A$4:$KY$369,MATCH($A114,연료전지_원본!$A$4:$A$369,0),MATCH($BY$4,연료전지_원본!$A$4:$KY$4,0))</f>
        <v>0</v>
      </c>
      <c r="BZ114" s="241">
        <f>INDEX(연료전지_원본!$A$4:$KY$369,MATCH($A114,연료전지_원본!$A$4:$A$369,0),MATCH($BZ$4,연료전지_원본!$A$4:$KY$4,0))</f>
        <v>0</v>
      </c>
      <c r="CA114" s="241">
        <f>INDEX(연료전지_원본!$A$4:$KY$369,MATCH($A114,연료전지_원본!$A$4:$A$369,0),MATCH($CA$4,연료전지_원본!$A$4:$KY$4,0))</f>
        <v>0</v>
      </c>
      <c r="CB114" s="241">
        <f>INDEX(연료전지_원본!$A$4:$KY$369,MATCH($A114,연료전지_원본!$A$4:$A$369,0),MATCH($CB$4,연료전지_원본!$A$4:$KY$4,0))</f>
        <v>0</v>
      </c>
      <c r="CC114" s="242">
        <f>INDEX(연료전지_원본!$A$4:$KY$369,MATCH($A114,연료전지_원본!$A$4:$A$369,0),MATCH($CC$4,연료전지_원본!$A$4:$KY$4,0))</f>
        <v>0</v>
      </c>
      <c r="CD114" s="250">
        <f>INDEX(연료전지_원본!$KB$4:$KX$369,MATCH($A114,연료전지_원본!$KB$4:$KB$369,0), MATCH(CD$4,연료전지_원본!$KB$4:$KX$4,0))*1000</f>
        <v>0</v>
      </c>
      <c r="CE114" s="250">
        <f>INDEX(연료전지_원본!$KB$4:$KX$369,MATCH($A114,연료전지_원본!$KB$4:$KB$369,0), MATCH(CE$4,연료전지_원본!$KB$4:$KX$4,0))*1000</f>
        <v>0</v>
      </c>
      <c r="CF114" s="250">
        <f>INDEX(연료전지_원본!$KB$4:$KX$369,MATCH($A114,연료전지_원본!$KB$4:$KB$369,0), MATCH(CF$4,연료전지_원본!$KB$4:$KX$4,0))*1000</f>
        <v>0</v>
      </c>
      <c r="CG114" s="250">
        <f>INDEX(연료전지_원본!$KB$4:$KX$369,MATCH($A114,연료전지_원본!$KB$4:$KB$369,0), MATCH(CG$4,연료전지_원본!$KB$4:$KX$4,0))*1000</f>
        <v>0</v>
      </c>
      <c r="CH114" s="250">
        <f>INDEX(연료전지_원본!$KB$4:$KX$369,MATCH($A114,연료전지_원본!$KB$4:$KB$369,0), MATCH(CH$4,연료전지_원본!$KB$4:$KX$4,0))*1000</f>
        <v>0</v>
      </c>
      <c r="CI114" s="250">
        <f>INDEX(연료전지_원본!$KB$4:$KX$369,MATCH($A114,연료전지_원본!$KB$4:$KB$369,0), MATCH(CI$4,연료전지_원본!$KB$4:$KX$4,0))*1000</f>
        <v>0</v>
      </c>
      <c r="CJ114" s="250">
        <f>INDEX(연료전지_원본!$KB$4:$KX$369,MATCH($A114,연료전지_원본!$KB$4:$KB$369,0), MATCH(CJ$4,연료전지_원본!$KB$4:$KX$4,0))*1000</f>
        <v>0</v>
      </c>
      <c r="CK114" s="250">
        <f>INDEX(연료전지_원본!$KB$4:$KX$369,MATCH($A114,연료전지_원본!$KB$4:$KB$369,0), MATCH(CK$4,연료전지_원본!$KB$4:$KX$4,0))*1000</f>
        <v>0</v>
      </c>
      <c r="CL114" s="250">
        <f>INDEX(연료전지_원본!$KB$4:$KX$369,MATCH($A114,연료전지_원본!$KB$4:$KB$369,0), MATCH(CL$4,연료전지_원본!$KB$4:$KX$4,0))*1000</f>
        <v>0</v>
      </c>
      <c r="CM114" s="250">
        <f>INDEX(연료전지_원본!$KB$4:$KX$369,MATCH($A114,연료전지_원본!$KB$4:$KB$369,0), MATCH(CM$4,연료전지_원본!$KB$4:$KX$4,0))*1000</f>
        <v>0</v>
      </c>
      <c r="CN114" s="250">
        <f>INDEX(연료전지_원본!$KB$4:$KX$369,MATCH($A114,연료전지_원본!$KB$4:$KB$369,0), MATCH(CN$4,연료전지_원본!$KB$4:$KX$4,0))*1000</f>
        <v>0</v>
      </c>
      <c r="CO114" s="250">
        <f>INDEX(연료전지_원본!$KB$4:$KX$369,MATCH($A114,연료전지_원본!$KB$4:$KB$369,0), MATCH(CO$4,연료전지_원본!$KB$4:$KX$4,0))*1000</f>
        <v>0</v>
      </c>
      <c r="CP114" s="250">
        <f>INDEX(연료전지_원본!$KB$4:$KX$369,MATCH($A114,연료전지_원본!$KB$4:$KB$369,0), MATCH(CP$4,연료전지_원본!$KB$4:$KX$4,0))*1000</f>
        <v>0</v>
      </c>
      <c r="CQ114" s="250">
        <f>INDEX(연료전지_원본!$KB$4:$KX$369,MATCH($A114,연료전지_원본!$KB$4:$KB$369,0), MATCH(CQ$4,연료전지_원본!$KB$4:$KX$4,0))*1000</f>
        <v>0</v>
      </c>
      <c r="CR114" s="250">
        <f>INDEX(연료전지_원본!$KB$4:$KX$369,MATCH($A114,연료전지_원본!$KB$4:$KB$369,0), MATCH(CR$4,연료전지_원본!$KB$4:$KX$4,0))*1000</f>
        <v>0</v>
      </c>
      <c r="CS114" s="250">
        <f>INDEX(연료전지_원본!$KB$4:$KX$369,MATCH($A114,연료전지_원본!$KB$4:$KB$369,0), MATCH(CS$4,연료전지_원본!$KB$4:$KX$4,0))*1000</f>
        <v>0</v>
      </c>
      <c r="CT114" s="250">
        <f>INDEX(연료전지_원본!$KB$4:$KX$369,MATCH($A114,연료전지_원본!$KB$4:$KB$369,0), MATCH(CT$4,연료전지_원본!$KB$4:$KX$4,0))*1000</f>
        <v>0</v>
      </c>
      <c r="CU114" s="250">
        <f>INDEX(연료전지_원본!$KB$4:$KX$369,MATCH($A114,연료전지_원본!$KB$4:$KB$369,0), MATCH(CU$4,연료전지_원본!$KB$4:$KX$4,0))*1000</f>
        <v>0</v>
      </c>
      <c r="CV114" s="250">
        <f>INDEX(연료전지_원본!$KB$4:$KX$369,MATCH($A114,연료전지_원본!$KB$4:$KB$369,0), MATCH(CV$4,연료전지_원본!$KB$4:$KX$4,0))*1000</f>
        <v>0</v>
      </c>
      <c r="CW114" s="250">
        <f>INDEX(연료전지_원본!$KB$4:$KX$369,MATCH($A114,연료전지_원본!$KB$4:$KB$369,0), MATCH(CW$4,연료전지_원본!$KB$4:$KX$4,0))*1000</f>
        <v>0</v>
      </c>
      <c r="CX114" s="250">
        <f>INDEX(연료전지_원본!$KB$4:$KX$369,MATCH($A114,연료전지_원본!$KB$4:$KB$369,0), MATCH(CX$4,연료전지_원본!$KB$4:$KX$4,0))*1000</f>
        <v>0</v>
      </c>
      <c r="CY114" s="250">
        <f>INDEX(연료전지_원본!$KB$4:$KX$369,MATCH($A114,연료전지_원본!$KB$4:$KB$369,0), MATCH(CY$4,연료전지_원본!$KB$4:$KX$4,0))*1000</f>
        <v>0</v>
      </c>
      <c r="DV114" s="30">
        <f t="shared" si="623"/>
        <v>0</v>
      </c>
    </row>
    <row r="115" spans="1:126">
      <c r="A115" s="6">
        <v>46132</v>
      </c>
      <c r="B115" s="15">
        <f>운전실적_원본!B115</f>
        <v>0</v>
      </c>
      <c r="C115" s="16" t="str">
        <f t="shared" si="629"/>
        <v/>
      </c>
      <c r="D115" s="12">
        <f>운전실적_원본!C115</f>
        <v>0</v>
      </c>
      <c r="E115" s="12" t="str">
        <f t="shared" si="630"/>
        <v/>
      </c>
      <c r="F115" s="12">
        <f>운전실적_원본!D115</f>
        <v>0</v>
      </c>
      <c r="G115" s="16" t="str">
        <f t="shared" si="631"/>
        <v/>
      </c>
      <c r="H115" s="15">
        <f>운전실적_원본!E115</f>
        <v>0</v>
      </c>
      <c r="I115" s="16" t="str">
        <f t="shared" si="632"/>
        <v/>
      </c>
      <c r="J115" s="15">
        <f>운전실적_원본!F115</f>
        <v>0</v>
      </c>
      <c r="K115" s="16" t="str">
        <f t="shared" si="632"/>
        <v/>
      </c>
      <c r="L115" s="32">
        <f>운전실적_원본!G115</f>
        <v>0</v>
      </c>
      <c r="M115" s="31" t="str">
        <f t="shared" ref="M115" si="689">IF(OR(LEN(L115)=0,L115=0),"",L115-L114)</f>
        <v/>
      </c>
      <c r="N115" s="15">
        <f>운전실적_원본!H115</f>
        <v>0</v>
      </c>
      <c r="O115" s="16" t="str">
        <f t="shared" ref="O115" si="690">IF(OR(LEN(N115)=0,N115=0),"",N115-N114)</f>
        <v/>
      </c>
      <c r="P115" s="15">
        <f>운전실적_원본!I115</f>
        <v>0</v>
      </c>
      <c r="Q115" s="16" t="str">
        <f t="shared" ref="Q115" si="691">IF(OR(LEN(P115)=0,P115=0),"",P115-P114)</f>
        <v/>
      </c>
      <c r="R115" s="18">
        <f>운전실적_원본!J115</f>
        <v>0</v>
      </c>
      <c r="S115" s="19" t="str">
        <f t="shared" ref="S115" si="692">IF(OR(LEN(R115)=0,R115=0),"",R115-R114)</f>
        <v/>
      </c>
      <c r="T115" s="18">
        <f>운전실적_원본!K115</f>
        <v>0</v>
      </c>
      <c r="U115" s="19" t="str">
        <f t="shared" si="637"/>
        <v/>
      </c>
      <c r="V115" s="12">
        <f>운전실적_원본!L115</f>
        <v>0</v>
      </c>
      <c r="W115" s="16" t="str">
        <f t="shared" ref="W115" si="693">IF(OR(LEN(V115)=0,V115=0),"",V115-V114)</f>
        <v/>
      </c>
      <c r="X115" s="10">
        <f>운전실적_원본!M115</f>
        <v>0</v>
      </c>
      <c r="Y115" s="10">
        <f>운전실적_원본!N115</f>
        <v>0</v>
      </c>
      <c r="Z115" s="10">
        <f>운전실적_원본!O115</f>
        <v>0</v>
      </c>
      <c r="AA115" s="10">
        <f>운전실적_원본!P115</f>
        <v>0</v>
      </c>
      <c r="AB115" s="10">
        <f>운전실적_원본!Q115</f>
        <v>0</v>
      </c>
      <c r="AC115" s="20">
        <f>운전실적_원본!R115</f>
        <v>0</v>
      </c>
      <c r="AD115" s="109">
        <f>운전실적_원본!S115</f>
        <v>0</v>
      </c>
      <c r="AE115" s="110">
        <f>운전실적_원본!T115</f>
        <v>0</v>
      </c>
      <c r="AF115" s="110">
        <f>운전실적_원본!U115</f>
        <v>0</v>
      </c>
      <c r="AG115" s="110">
        <f>운전실적_원본!V115</f>
        <v>0</v>
      </c>
      <c r="AH115" s="109">
        <f t="shared" si="460"/>
        <v>0</v>
      </c>
      <c r="AI115" s="110">
        <f t="shared" si="467"/>
        <v>0</v>
      </c>
      <c r="AJ115" s="110">
        <f>운전실적_원본!Y115</f>
        <v>0</v>
      </c>
      <c r="AK115" s="110">
        <f>운전실적_원본!Z115</f>
        <v>0</v>
      </c>
      <c r="AL115" s="106"/>
      <c r="AM115" s="105"/>
      <c r="AN115" s="105"/>
      <c r="AO115" s="105"/>
      <c r="AP115" s="105"/>
      <c r="AQ115" s="108"/>
      <c r="AR115" s="105"/>
      <c r="AS115" s="105"/>
      <c r="AT115" s="102"/>
      <c r="AU115" s="102"/>
      <c r="AV115" s="102"/>
      <c r="AW115" s="102"/>
      <c r="AX115" s="32">
        <f>운전실적_원본!W115</f>
        <v>0</v>
      </c>
      <c r="AY115" s="11">
        <f>운전실적_원본!X115</f>
        <v>0</v>
      </c>
      <c r="AZ115" s="11">
        <f>운전실적_원본!Y115</f>
        <v>0</v>
      </c>
      <c r="BA115" s="11">
        <f>운전실적_원본!Z115</f>
        <v>0</v>
      </c>
      <c r="BB115" s="11">
        <f>운전실적_원본!AA115</f>
        <v>0</v>
      </c>
      <c r="BC115" s="11">
        <f>운전실적_원본!AB115</f>
        <v>0</v>
      </c>
      <c r="BD115" s="32" t="str">
        <f t="shared" si="453"/>
        <v>-</v>
      </c>
      <c r="BE115" s="11" t="str">
        <f t="shared" si="461"/>
        <v>-</v>
      </c>
      <c r="BF115" s="11">
        <f>운전실적_원본!AE115</f>
        <v>0</v>
      </c>
      <c r="BG115" s="31">
        <f t="shared" si="454"/>
        <v>0</v>
      </c>
      <c r="BH115" s="241">
        <f>INDEX(연료전지_원본!$A$4:$KY$369,MATCH($A115,연료전지_원본!$A$4:$A$369,0),MATCH($BH$4,연료전지_원본!$A$4:$KY$4,0))</f>
        <v>0</v>
      </c>
      <c r="BI115" s="241">
        <f>INDEX(연료전지_원본!$A$4:$KY$369,MATCH($A115,연료전지_원본!$A$4:$A$369,0),MATCH($BI$4,연료전지_원본!$A$4:$KY$4,0))</f>
        <v>0</v>
      </c>
      <c r="BJ115" s="241">
        <f>INDEX(연료전지_원본!$A$4:$KY$369,MATCH($A115,연료전지_원본!$A$4:$A$369,0),MATCH($BJ$4,연료전지_원본!$A$4:$KY$4,0))</f>
        <v>0</v>
      </c>
      <c r="BK115" s="241">
        <f>INDEX(연료전지_원본!$A$4:$KY$369,MATCH($A115,연료전지_원본!$A$4:$A$369,0),MATCH($BK$4,연료전지_원본!$A$4:$KY$4,0))</f>
        <v>0</v>
      </c>
      <c r="BL115" s="241">
        <f>INDEX(연료전지_원본!$A$4:$KY$369,MATCH($A115,연료전지_원본!$A$4:$A$369,0),MATCH($BL$4,연료전지_원본!$A$4:$KY$4,0))</f>
        <v>0</v>
      </c>
      <c r="BM115" s="241">
        <f>INDEX(연료전지_원본!$A$4:$KY$369,MATCH($A115,연료전지_원본!$A$4:$A$369,0),MATCH($BM$4,연료전지_원본!$A$4:$KY$4,0))</f>
        <v>0</v>
      </c>
      <c r="BN115" s="241">
        <f>INDEX(연료전지_원본!$A$4:$KY$369,MATCH($A115,연료전지_원본!$A$4:$A$369,0),MATCH($BN$4,연료전지_원본!$A$4:$KY$4,0))</f>
        <v>0</v>
      </c>
      <c r="BO115" s="241">
        <f>INDEX(연료전지_원본!$A$4:$KY$369,MATCH($A115,연료전지_원본!$A$4:$A$369,0),MATCH($BO$4,연료전지_원본!$A$4:$KY$4,0))</f>
        <v>0</v>
      </c>
      <c r="BP115" s="241">
        <f>INDEX(연료전지_원본!$A$4:$KY$369,MATCH($A115,연료전지_원본!$A$4:$A$369,0),MATCH($BP$4,연료전지_원본!$A$4:$KY$4,0))</f>
        <v>0</v>
      </c>
      <c r="BQ115" s="241">
        <f>INDEX(연료전지_원본!$A$4:$KY$369,MATCH($A115,연료전지_원본!$A$4:$A$369,0),MATCH($BQ$4,연료전지_원본!$A$4:$KY$4,0))</f>
        <v>0</v>
      </c>
      <c r="BR115" s="241">
        <f>INDEX(연료전지_원본!$A$4:$KY$369,MATCH($A115,연료전지_원본!$A$4:$A$369,0),MATCH($BR$4,연료전지_원본!$A$4:$KY$4,0))</f>
        <v>0</v>
      </c>
      <c r="BS115" s="241">
        <f>INDEX(연료전지_원본!$A$4:$KY$369,MATCH($A115,연료전지_원본!$A$4:$A$369,0),MATCH($BS$4,연료전지_원본!$A$4:$KY$4,0))</f>
        <v>0</v>
      </c>
      <c r="BT115" s="241">
        <f>INDEX(연료전지_원본!$A$4:$KY$369,MATCH($A115,연료전지_원본!$A$4:$A$369,0),MATCH($BT$4,연료전지_원본!$A$4:$KY$4,0))</f>
        <v>0</v>
      </c>
      <c r="BU115" s="241">
        <f>INDEX(연료전지_원본!$A$4:$KY$369,MATCH($A115,연료전지_원본!$A$4:$A$369,0),MATCH($BU$4,연료전지_원본!$A$4:$KY$4,0))</f>
        <v>0</v>
      </c>
      <c r="BV115" s="241">
        <f>INDEX(연료전지_원본!$A$4:$KY$369,MATCH($A115,연료전지_원본!$A$4:$A$369,0),MATCH($BV$4,연료전지_원본!$A$4:$KY$4,0))</f>
        <v>0</v>
      </c>
      <c r="BW115" s="241">
        <f>INDEX(연료전지_원본!$A$4:$KY$369,MATCH($A115,연료전지_원본!$A$4:$A$369,0),MATCH($BW$4,연료전지_원본!$A$4:$KY$4,0))</f>
        <v>0</v>
      </c>
      <c r="BX115" s="241">
        <f>INDEX(연료전지_원본!$A$4:$KY$369,MATCH($A115,연료전지_원본!$A$4:$A$369,0),MATCH($BX$4,연료전지_원본!$A$4:$KY$4,0))</f>
        <v>0</v>
      </c>
      <c r="BY115" s="241">
        <f>INDEX(연료전지_원본!$A$4:$KY$369,MATCH($A115,연료전지_원본!$A$4:$A$369,0),MATCH($BY$4,연료전지_원본!$A$4:$KY$4,0))</f>
        <v>0</v>
      </c>
      <c r="BZ115" s="241">
        <f>INDEX(연료전지_원본!$A$4:$KY$369,MATCH($A115,연료전지_원본!$A$4:$A$369,0),MATCH($BZ$4,연료전지_원본!$A$4:$KY$4,0))</f>
        <v>0</v>
      </c>
      <c r="CA115" s="241">
        <f>INDEX(연료전지_원본!$A$4:$KY$369,MATCH($A115,연료전지_원본!$A$4:$A$369,0),MATCH($CA$4,연료전지_원본!$A$4:$KY$4,0))</f>
        <v>0</v>
      </c>
      <c r="CB115" s="241">
        <f>INDEX(연료전지_원본!$A$4:$KY$369,MATCH($A115,연료전지_원본!$A$4:$A$369,0),MATCH($CB$4,연료전지_원본!$A$4:$KY$4,0))</f>
        <v>0</v>
      </c>
      <c r="CC115" s="242">
        <f>INDEX(연료전지_원본!$A$4:$KY$369,MATCH($A115,연료전지_원본!$A$4:$A$369,0),MATCH($CC$4,연료전지_원본!$A$4:$KY$4,0))</f>
        <v>0</v>
      </c>
      <c r="CD115" s="250">
        <f>INDEX(연료전지_원본!$KB$4:$KX$369,MATCH($A115,연료전지_원본!$KB$4:$KB$369,0), MATCH(CD$4,연료전지_원본!$KB$4:$KX$4,0))*1000</f>
        <v>0</v>
      </c>
      <c r="CE115" s="250">
        <f>INDEX(연료전지_원본!$KB$4:$KX$369,MATCH($A115,연료전지_원본!$KB$4:$KB$369,0), MATCH(CE$4,연료전지_원본!$KB$4:$KX$4,0))*1000</f>
        <v>0</v>
      </c>
      <c r="CF115" s="250">
        <f>INDEX(연료전지_원본!$KB$4:$KX$369,MATCH($A115,연료전지_원본!$KB$4:$KB$369,0), MATCH(CF$4,연료전지_원본!$KB$4:$KX$4,0))*1000</f>
        <v>0</v>
      </c>
      <c r="CG115" s="250">
        <f>INDEX(연료전지_원본!$KB$4:$KX$369,MATCH($A115,연료전지_원본!$KB$4:$KB$369,0), MATCH(CG$4,연료전지_원본!$KB$4:$KX$4,0))*1000</f>
        <v>0</v>
      </c>
      <c r="CH115" s="250">
        <f>INDEX(연료전지_원본!$KB$4:$KX$369,MATCH($A115,연료전지_원본!$KB$4:$KB$369,0), MATCH(CH$4,연료전지_원본!$KB$4:$KX$4,0))*1000</f>
        <v>0</v>
      </c>
      <c r="CI115" s="250">
        <f>INDEX(연료전지_원본!$KB$4:$KX$369,MATCH($A115,연료전지_원본!$KB$4:$KB$369,0), MATCH(CI$4,연료전지_원본!$KB$4:$KX$4,0))*1000</f>
        <v>0</v>
      </c>
      <c r="CJ115" s="250">
        <f>INDEX(연료전지_원본!$KB$4:$KX$369,MATCH($A115,연료전지_원본!$KB$4:$KB$369,0), MATCH(CJ$4,연료전지_원본!$KB$4:$KX$4,0))*1000</f>
        <v>0</v>
      </c>
      <c r="CK115" s="250">
        <f>INDEX(연료전지_원본!$KB$4:$KX$369,MATCH($A115,연료전지_원본!$KB$4:$KB$369,0), MATCH(CK$4,연료전지_원본!$KB$4:$KX$4,0))*1000</f>
        <v>0</v>
      </c>
      <c r="CL115" s="250">
        <f>INDEX(연료전지_원본!$KB$4:$KX$369,MATCH($A115,연료전지_원본!$KB$4:$KB$369,0), MATCH(CL$4,연료전지_원본!$KB$4:$KX$4,0))*1000</f>
        <v>0</v>
      </c>
      <c r="CM115" s="250">
        <f>INDEX(연료전지_원본!$KB$4:$KX$369,MATCH($A115,연료전지_원본!$KB$4:$KB$369,0), MATCH(CM$4,연료전지_원본!$KB$4:$KX$4,0))*1000</f>
        <v>0</v>
      </c>
      <c r="CN115" s="250">
        <f>INDEX(연료전지_원본!$KB$4:$KX$369,MATCH($A115,연료전지_원본!$KB$4:$KB$369,0), MATCH(CN$4,연료전지_원본!$KB$4:$KX$4,0))*1000</f>
        <v>0</v>
      </c>
      <c r="CO115" s="250">
        <f>INDEX(연료전지_원본!$KB$4:$KX$369,MATCH($A115,연료전지_원본!$KB$4:$KB$369,0), MATCH(CO$4,연료전지_원본!$KB$4:$KX$4,0))*1000</f>
        <v>0</v>
      </c>
      <c r="CP115" s="250">
        <f>INDEX(연료전지_원본!$KB$4:$KX$369,MATCH($A115,연료전지_원본!$KB$4:$KB$369,0), MATCH(CP$4,연료전지_원본!$KB$4:$KX$4,0))*1000</f>
        <v>0</v>
      </c>
      <c r="CQ115" s="250">
        <f>INDEX(연료전지_원본!$KB$4:$KX$369,MATCH($A115,연료전지_원본!$KB$4:$KB$369,0), MATCH(CQ$4,연료전지_원본!$KB$4:$KX$4,0))*1000</f>
        <v>0</v>
      </c>
      <c r="CR115" s="250">
        <f>INDEX(연료전지_원본!$KB$4:$KX$369,MATCH($A115,연료전지_원본!$KB$4:$KB$369,0), MATCH(CR$4,연료전지_원본!$KB$4:$KX$4,0))*1000</f>
        <v>0</v>
      </c>
      <c r="CS115" s="250">
        <f>INDEX(연료전지_원본!$KB$4:$KX$369,MATCH($A115,연료전지_원본!$KB$4:$KB$369,0), MATCH(CS$4,연료전지_원본!$KB$4:$KX$4,0))*1000</f>
        <v>0</v>
      </c>
      <c r="CT115" s="250">
        <f>INDEX(연료전지_원본!$KB$4:$KX$369,MATCH($A115,연료전지_원본!$KB$4:$KB$369,0), MATCH(CT$4,연료전지_원본!$KB$4:$KX$4,0))*1000</f>
        <v>0</v>
      </c>
      <c r="CU115" s="250">
        <f>INDEX(연료전지_원본!$KB$4:$KX$369,MATCH($A115,연료전지_원본!$KB$4:$KB$369,0), MATCH(CU$4,연료전지_원본!$KB$4:$KX$4,0))*1000</f>
        <v>0</v>
      </c>
      <c r="CV115" s="250">
        <f>INDEX(연료전지_원본!$KB$4:$KX$369,MATCH($A115,연료전지_원본!$KB$4:$KB$369,0), MATCH(CV$4,연료전지_원본!$KB$4:$KX$4,0))*1000</f>
        <v>0</v>
      </c>
      <c r="CW115" s="250">
        <f>INDEX(연료전지_원본!$KB$4:$KX$369,MATCH($A115,연료전지_원본!$KB$4:$KB$369,0), MATCH(CW$4,연료전지_원본!$KB$4:$KX$4,0))*1000</f>
        <v>0</v>
      </c>
      <c r="CX115" s="250">
        <f>INDEX(연료전지_원본!$KB$4:$KX$369,MATCH($A115,연료전지_원본!$KB$4:$KB$369,0), MATCH(CX$4,연료전지_원본!$KB$4:$KX$4,0))*1000</f>
        <v>0</v>
      </c>
      <c r="CY115" s="250">
        <f>INDEX(연료전지_원본!$KB$4:$KX$369,MATCH($A115,연료전지_원본!$KB$4:$KB$369,0), MATCH(CY$4,연료전지_원본!$KB$4:$KX$4,0))*1000</f>
        <v>0</v>
      </c>
      <c r="DV115" s="30">
        <f t="shared" si="623"/>
        <v>0</v>
      </c>
    </row>
    <row r="116" spans="1:126">
      <c r="A116" s="6">
        <v>46133</v>
      </c>
      <c r="B116" s="15">
        <f>운전실적_원본!B116</f>
        <v>0</v>
      </c>
      <c r="C116" s="16" t="str">
        <f t="shared" si="629"/>
        <v/>
      </c>
      <c r="D116" s="12">
        <f>운전실적_원본!C116</f>
        <v>0</v>
      </c>
      <c r="E116" s="12" t="str">
        <f t="shared" si="630"/>
        <v/>
      </c>
      <c r="F116" s="12">
        <f>운전실적_원본!D116</f>
        <v>0</v>
      </c>
      <c r="G116" s="16" t="str">
        <f t="shared" si="631"/>
        <v/>
      </c>
      <c r="H116" s="15">
        <f>운전실적_원본!E116</f>
        <v>0</v>
      </c>
      <c r="I116" s="16" t="str">
        <f t="shared" si="632"/>
        <v/>
      </c>
      <c r="J116" s="15">
        <f>운전실적_원본!F116</f>
        <v>0</v>
      </c>
      <c r="K116" s="16" t="str">
        <f t="shared" si="632"/>
        <v/>
      </c>
      <c r="L116" s="32">
        <f>운전실적_원본!G116</f>
        <v>0</v>
      </c>
      <c r="M116" s="31" t="str">
        <f t="shared" ref="M116" si="694">IF(OR(LEN(L116)=0,L116=0),"",L116-L115)</f>
        <v/>
      </c>
      <c r="N116" s="15">
        <f>운전실적_원본!H116</f>
        <v>0</v>
      </c>
      <c r="O116" s="16" t="str">
        <f t="shared" ref="O116" si="695">IF(OR(LEN(N116)=0,N116=0),"",N116-N115)</f>
        <v/>
      </c>
      <c r="P116" s="15">
        <f>운전실적_원본!I116</f>
        <v>0</v>
      </c>
      <c r="Q116" s="16" t="str">
        <f t="shared" ref="Q116" si="696">IF(OR(LEN(P116)=0,P116=0),"",P116-P115)</f>
        <v/>
      </c>
      <c r="R116" s="18">
        <f>운전실적_원본!J116</f>
        <v>0</v>
      </c>
      <c r="S116" s="19" t="str">
        <f t="shared" ref="S116" si="697">IF(OR(LEN(R116)=0,R116=0),"",R116-R115)</f>
        <v/>
      </c>
      <c r="T116" s="18">
        <f>운전실적_원본!K116</f>
        <v>0</v>
      </c>
      <c r="U116" s="19" t="str">
        <f t="shared" si="637"/>
        <v/>
      </c>
      <c r="V116" s="12">
        <f>운전실적_원본!L116</f>
        <v>0</v>
      </c>
      <c r="W116" s="16" t="str">
        <f t="shared" ref="W116" si="698">IF(OR(LEN(V116)=0,V116=0),"",V116-V115)</f>
        <v/>
      </c>
      <c r="X116" s="10">
        <f>운전실적_원본!M116</f>
        <v>0</v>
      </c>
      <c r="Y116" s="10">
        <f>운전실적_원본!N116</f>
        <v>0</v>
      </c>
      <c r="Z116" s="10">
        <f>운전실적_원본!O116</f>
        <v>0</v>
      </c>
      <c r="AA116" s="10">
        <f>운전실적_원본!P116</f>
        <v>0</v>
      </c>
      <c r="AB116" s="10">
        <f>운전실적_원본!Q116</f>
        <v>0</v>
      </c>
      <c r="AC116" s="20">
        <f>운전실적_원본!R116</f>
        <v>0</v>
      </c>
      <c r="AD116" s="109">
        <f>운전실적_원본!S116</f>
        <v>0</v>
      </c>
      <c r="AE116" s="110">
        <f>운전실적_원본!T116</f>
        <v>0</v>
      </c>
      <c r="AF116" s="110">
        <f>운전실적_원본!U116</f>
        <v>0</v>
      </c>
      <c r="AG116" s="110">
        <f>운전실적_원본!V116</f>
        <v>0</v>
      </c>
      <c r="AH116" s="109">
        <f t="shared" si="460"/>
        <v>0</v>
      </c>
      <c r="AI116" s="110">
        <f t="shared" si="467"/>
        <v>0</v>
      </c>
      <c r="AJ116" s="110">
        <f>운전실적_원본!Y116</f>
        <v>0</v>
      </c>
      <c r="AK116" s="110">
        <f>운전실적_원본!Z116</f>
        <v>0</v>
      </c>
      <c r="AL116" s="106"/>
      <c r="AM116" s="105"/>
      <c r="AN116" s="105"/>
      <c r="AO116" s="105"/>
      <c r="AP116" s="105"/>
      <c r="AQ116" s="108"/>
      <c r="AR116" s="105"/>
      <c r="AS116" s="105"/>
      <c r="AT116" s="102"/>
      <c r="AU116" s="102"/>
      <c r="AV116" s="102"/>
      <c r="AW116" s="102"/>
      <c r="AX116" s="32">
        <f>운전실적_원본!W116</f>
        <v>0</v>
      </c>
      <c r="AY116" s="11">
        <f>운전실적_원본!X116</f>
        <v>0</v>
      </c>
      <c r="AZ116" s="11">
        <f>운전실적_원본!Y116</f>
        <v>0</v>
      </c>
      <c r="BA116" s="11">
        <f>운전실적_원본!Z116</f>
        <v>0</v>
      </c>
      <c r="BB116" s="11">
        <f>운전실적_원본!AA116</f>
        <v>0</v>
      </c>
      <c r="BC116" s="11">
        <f>운전실적_원본!AB116</f>
        <v>0</v>
      </c>
      <c r="BD116" s="32" t="str">
        <f t="shared" si="453"/>
        <v>-</v>
      </c>
      <c r="BE116" s="11" t="str">
        <f t="shared" si="461"/>
        <v>-</v>
      </c>
      <c r="BF116" s="11">
        <f>운전실적_원본!AE116</f>
        <v>0</v>
      </c>
      <c r="BG116" s="31">
        <f t="shared" si="454"/>
        <v>0</v>
      </c>
      <c r="BH116" s="241">
        <f>INDEX(연료전지_원본!$A$4:$KY$369,MATCH($A116,연료전지_원본!$A$4:$A$369,0),MATCH($BH$4,연료전지_원본!$A$4:$KY$4,0))</f>
        <v>0</v>
      </c>
      <c r="BI116" s="241">
        <f>INDEX(연료전지_원본!$A$4:$KY$369,MATCH($A116,연료전지_원본!$A$4:$A$369,0),MATCH($BI$4,연료전지_원본!$A$4:$KY$4,0))</f>
        <v>0</v>
      </c>
      <c r="BJ116" s="241">
        <f>INDEX(연료전지_원본!$A$4:$KY$369,MATCH($A116,연료전지_원본!$A$4:$A$369,0),MATCH($BJ$4,연료전지_원본!$A$4:$KY$4,0))</f>
        <v>0</v>
      </c>
      <c r="BK116" s="241">
        <f>INDEX(연료전지_원본!$A$4:$KY$369,MATCH($A116,연료전지_원본!$A$4:$A$369,0),MATCH($BK$4,연료전지_원본!$A$4:$KY$4,0))</f>
        <v>0</v>
      </c>
      <c r="BL116" s="241">
        <f>INDEX(연료전지_원본!$A$4:$KY$369,MATCH($A116,연료전지_원본!$A$4:$A$369,0),MATCH($BL$4,연료전지_원본!$A$4:$KY$4,0))</f>
        <v>0</v>
      </c>
      <c r="BM116" s="241">
        <f>INDEX(연료전지_원본!$A$4:$KY$369,MATCH($A116,연료전지_원본!$A$4:$A$369,0),MATCH($BM$4,연료전지_원본!$A$4:$KY$4,0))</f>
        <v>0</v>
      </c>
      <c r="BN116" s="241">
        <f>INDEX(연료전지_원본!$A$4:$KY$369,MATCH($A116,연료전지_원본!$A$4:$A$369,0),MATCH($BN$4,연료전지_원본!$A$4:$KY$4,0))</f>
        <v>0</v>
      </c>
      <c r="BO116" s="241">
        <f>INDEX(연료전지_원본!$A$4:$KY$369,MATCH($A116,연료전지_원본!$A$4:$A$369,0),MATCH($BO$4,연료전지_원본!$A$4:$KY$4,0))</f>
        <v>0</v>
      </c>
      <c r="BP116" s="241">
        <f>INDEX(연료전지_원본!$A$4:$KY$369,MATCH($A116,연료전지_원본!$A$4:$A$369,0),MATCH($BP$4,연료전지_원본!$A$4:$KY$4,0))</f>
        <v>0</v>
      </c>
      <c r="BQ116" s="241">
        <f>INDEX(연료전지_원본!$A$4:$KY$369,MATCH($A116,연료전지_원본!$A$4:$A$369,0),MATCH($BQ$4,연료전지_원본!$A$4:$KY$4,0))</f>
        <v>0</v>
      </c>
      <c r="BR116" s="241">
        <f>INDEX(연료전지_원본!$A$4:$KY$369,MATCH($A116,연료전지_원본!$A$4:$A$369,0),MATCH($BR$4,연료전지_원본!$A$4:$KY$4,0))</f>
        <v>0</v>
      </c>
      <c r="BS116" s="241">
        <f>INDEX(연료전지_원본!$A$4:$KY$369,MATCH($A116,연료전지_원본!$A$4:$A$369,0),MATCH($BS$4,연료전지_원본!$A$4:$KY$4,0))</f>
        <v>0</v>
      </c>
      <c r="BT116" s="241">
        <f>INDEX(연료전지_원본!$A$4:$KY$369,MATCH($A116,연료전지_원본!$A$4:$A$369,0),MATCH($BT$4,연료전지_원본!$A$4:$KY$4,0))</f>
        <v>0</v>
      </c>
      <c r="BU116" s="241">
        <f>INDEX(연료전지_원본!$A$4:$KY$369,MATCH($A116,연료전지_원본!$A$4:$A$369,0),MATCH($BU$4,연료전지_원본!$A$4:$KY$4,0))</f>
        <v>0</v>
      </c>
      <c r="BV116" s="241">
        <f>INDEX(연료전지_원본!$A$4:$KY$369,MATCH($A116,연료전지_원본!$A$4:$A$369,0),MATCH($BV$4,연료전지_원본!$A$4:$KY$4,0))</f>
        <v>0</v>
      </c>
      <c r="BW116" s="241">
        <f>INDEX(연료전지_원본!$A$4:$KY$369,MATCH($A116,연료전지_원본!$A$4:$A$369,0),MATCH($BW$4,연료전지_원본!$A$4:$KY$4,0))</f>
        <v>0</v>
      </c>
      <c r="BX116" s="241">
        <f>INDEX(연료전지_원본!$A$4:$KY$369,MATCH($A116,연료전지_원본!$A$4:$A$369,0),MATCH($BX$4,연료전지_원본!$A$4:$KY$4,0))</f>
        <v>0</v>
      </c>
      <c r="BY116" s="241">
        <f>INDEX(연료전지_원본!$A$4:$KY$369,MATCH($A116,연료전지_원본!$A$4:$A$369,0),MATCH($BY$4,연료전지_원본!$A$4:$KY$4,0))</f>
        <v>0</v>
      </c>
      <c r="BZ116" s="241">
        <f>INDEX(연료전지_원본!$A$4:$KY$369,MATCH($A116,연료전지_원본!$A$4:$A$369,0),MATCH($BZ$4,연료전지_원본!$A$4:$KY$4,0))</f>
        <v>0</v>
      </c>
      <c r="CA116" s="241">
        <f>INDEX(연료전지_원본!$A$4:$KY$369,MATCH($A116,연료전지_원본!$A$4:$A$369,0),MATCH($CA$4,연료전지_원본!$A$4:$KY$4,0))</f>
        <v>0</v>
      </c>
      <c r="CB116" s="241">
        <f>INDEX(연료전지_원본!$A$4:$KY$369,MATCH($A116,연료전지_원본!$A$4:$A$369,0),MATCH($CB$4,연료전지_원본!$A$4:$KY$4,0))</f>
        <v>0</v>
      </c>
      <c r="CC116" s="242">
        <f>INDEX(연료전지_원본!$A$4:$KY$369,MATCH($A116,연료전지_원본!$A$4:$A$369,0),MATCH($CC$4,연료전지_원본!$A$4:$KY$4,0))</f>
        <v>0</v>
      </c>
      <c r="CD116" s="250">
        <f>INDEX(연료전지_원본!$KB$4:$KX$369,MATCH($A116,연료전지_원본!$KB$4:$KB$369,0), MATCH(CD$4,연료전지_원본!$KB$4:$KX$4,0))*1000</f>
        <v>0</v>
      </c>
      <c r="CE116" s="250">
        <f>INDEX(연료전지_원본!$KB$4:$KX$369,MATCH($A116,연료전지_원본!$KB$4:$KB$369,0), MATCH(CE$4,연료전지_원본!$KB$4:$KX$4,0))*1000</f>
        <v>0</v>
      </c>
      <c r="CF116" s="250">
        <f>INDEX(연료전지_원본!$KB$4:$KX$369,MATCH($A116,연료전지_원본!$KB$4:$KB$369,0), MATCH(CF$4,연료전지_원본!$KB$4:$KX$4,0))*1000</f>
        <v>0</v>
      </c>
      <c r="CG116" s="250">
        <f>INDEX(연료전지_원본!$KB$4:$KX$369,MATCH($A116,연료전지_원본!$KB$4:$KB$369,0), MATCH(CG$4,연료전지_원본!$KB$4:$KX$4,0))*1000</f>
        <v>0</v>
      </c>
      <c r="CH116" s="250">
        <f>INDEX(연료전지_원본!$KB$4:$KX$369,MATCH($A116,연료전지_원본!$KB$4:$KB$369,0), MATCH(CH$4,연료전지_원본!$KB$4:$KX$4,0))*1000</f>
        <v>0</v>
      </c>
      <c r="CI116" s="250">
        <f>INDEX(연료전지_원본!$KB$4:$KX$369,MATCH($A116,연료전지_원본!$KB$4:$KB$369,0), MATCH(CI$4,연료전지_원본!$KB$4:$KX$4,0))*1000</f>
        <v>0</v>
      </c>
      <c r="CJ116" s="250">
        <f>INDEX(연료전지_원본!$KB$4:$KX$369,MATCH($A116,연료전지_원본!$KB$4:$KB$369,0), MATCH(CJ$4,연료전지_원본!$KB$4:$KX$4,0))*1000</f>
        <v>0</v>
      </c>
      <c r="CK116" s="250">
        <f>INDEX(연료전지_원본!$KB$4:$KX$369,MATCH($A116,연료전지_원본!$KB$4:$KB$369,0), MATCH(CK$4,연료전지_원본!$KB$4:$KX$4,0))*1000</f>
        <v>0</v>
      </c>
      <c r="CL116" s="250">
        <f>INDEX(연료전지_원본!$KB$4:$KX$369,MATCH($A116,연료전지_원본!$KB$4:$KB$369,0), MATCH(CL$4,연료전지_원본!$KB$4:$KX$4,0))*1000</f>
        <v>0</v>
      </c>
      <c r="CM116" s="250">
        <f>INDEX(연료전지_원본!$KB$4:$KX$369,MATCH($A116,연료전지_원본!$KB$4:$KB$369,0), MATCH(CM$4,연료전지_원본!$KB$4:$KX$4,0))*1000</f>
        <v>0</v>
      </c>
      <c r="CN116" s="250">
        <f>INDEX(연료전지_원본!$KB$4:$KX$369,MATCH($A116,연료전지_원본!$KB$4:$KB$369,0), MATCH(CN$4,연료전지_원본!$KB$4:$KX$4,0))*1000</f>
        <v>0</v>
      </c>
      <c r="CO116" s="250">
        <f>INDEX(연료전지_원본!$KB$4:$KX$369,MATCH($A116,연료전지_원본!$KB$4:$KB$369,0), MATCH(CO$4,연료전지_원본!$KB$4:$KX$4,0))*1000</f>
        <v>0</v>
      </c>
      <c r="CP116" s="250">
        <f>INDEX(연료전지_원본!$KB$4:$KX$369,MATCH($A116,연료전지_원본!$KB$4:$KB$369,0), MATCH(CP$4,연료전지_원본!$KB$4:$KX$4,0))*1000</f>
        <v>0</v>
      </c>
      <c r="CQ116" s="250">
        <f>INDEX(연료전지_원본!$KB$4:$KX$369,MATCH($A116,연료전지_원본!$KB$4:$KB$369,0), MATCH(CQ$4,연료전지_원본!$KB$4:$KX$4,0))*1000</f>
        <v>0</v>
      </c>
      <c r="CR116" s="250">
        <f>INDEX(연료전지_원본!$KB$4:$KX$369,MATCH($A116,연료전지_원본!$KB$4:$KB$369,0), MATCH(CR$4,연료전지_원본!$KB$4:$KX$4,0))*1000</f>
        <v>0</v>
      </c>
      <c r="CS116" s="250">
        <f>INDEX(연료전지_원본!$KB$4:$KX$369,MATCH($A116,연료전지_원본!$KB$4:$KB$369,0), MATCH(CS$4,연료전지_원본!$KB$4:$KX$4,0))*1000</f>
        <v>0</v>
      </c>
      <c r="CT116" s="250">
        <f>INDEX(연료전지_원본!$KB$4:$KX$369,MATCH($A116,연료전지_원본!$KB$4:$KB$369,0), MATCH(CT$4,연료전지_원본!$KB$4:$KX$4,0))*1000</f>
        <v>0</v>
      </c>
      <c r="CU116" s="250">
        <f>INDEX(연료전지_원본!$KB$4:$KX$369,MATCH($A116,연료전지_원본!$KB$4:$KB$369,0), MATCH(CU$4,연료전지_원본!$KB$4:$KX$4,0))*1000</f>
        <v>0</v>
      </c>
      <c r="CV116" s="250">
        <f>INDEX(연료전지_원본!$KB$4:$KX$369,MATCH($A116,연료전지_원본!$KB$4:$KB$369,0), MATCH(CV$4,연료전지_원본!$KB$4:$KX$4,0))*1000</f>
        <v>0</v>
      </c>
      <c r="CW116" s="250">
        <f>INDEX(연료전지_원본!$KB$4:$KX$369,MATCH($A116,연료전지_원본!$KB$4:$KB$369,0), MATCH(CW$4,연료전지_원본!$KB$4:$KX$4,0))*1000</f>
        <v>0</v>
      </c>
      <c r="CX116" s="250">
        <f>INDEX(연료전지_원본!$KB$4:$KX$369,MATCH($A116,연료전지_원본!$KB$4:$KB$369,0), MATCH(CX$4,연료전지_원본!$KB$4:$KX$4,0))*1000</f>
        <v>0</v>
      </c>
      <c r="CY116" s="250">
        <f>INDEX(연료전지_원본!$KB$4:$KX$369,MATCH($A116,연료전지_원본!$KB$4:$KB$369,0), MATCH(CY$4,연료전지_원본!$KB$4:$KX$4,0))*1000</f>
        <v>0</v>
      </c>
      <c r="DV116" s="30">
        <f t="shared" si="623"/>
        <v>0</v>
      </c>
    </row>
    <row r="117" spans="1:126">
      <c r="A117" s="6">
        <v>46134</v>
      </c>
      <c r="B117" s="15">
        <f>운전실적_원본!B117</f>
        <v>0</v>
      </c>
      <c r="C117" s="16" t="str">
        <f t="shared" si="629"/>
        <v/>
      </c>
      <c r="D117" s="12">
        <f>운전실적_원본!C117</f>
        <v>0</v>
      </c>
      <c r="E117" s="12" t="str">
        <f t="shared" si="630"/>
        <v/>
      </c>
      <c r="F117" s="12">
        <f>운전실적_원본!D117</f>
        <v>0</v>
      </c>
      <c r="G117" s="16" t="str">
        <f t="shared" si="631"/>
        <v/>
      </c>
      <c r="H117" s="15">
        <f>운전실적_원본!E117</f>
        <v>0</v>
      </c>
      <c r="I117" s="16" t="str">
        <f t="shared" si="632"/>
        <v/>
      </c>
      <c r="J117" s="15">
        <f>운전실적_원본!F117</f>
        <v>0</v>
      </c>
      <c r="K117" s="16" t="str">
        <f t="shared" si="632"/>
        <v/>
      </c>
      <c r="L117" s="32">
        <f>운전실적_원본!G117</f>
        <v>0</v>
      </c>
      <c r="M117" s="31" t="str">
        <f t="shared" ref="M117" si="699">IF(OR(LEN(L117)=0,L117=0),"",L117-L116)</f>
        <v/>
      </c>
      <c r="N117" s="15">
        <f>운전실적_원본!H117</f>
        <v>0</v>
      </c>
      <c r="O117" s="16" t="str">
        <f t="shared" ref="O117" si="700">IF(OR(LEN(N117)=0,N117=0),"",N117-N116)</f>
        <v/>
      </c>
      <c r="P117" s="15">
        <f>운전실적_원본!I117</f>
        <v>0</v>
      </c>
      <c r="Q117" s="16" t="str">
        <f t="shared" ref="Q117" si="701">IF(OR(LEN(P117)=0,P117=0),"",P117-P116)</f>
        <v/>
      </c>
      <c r="R117" s="18">
        <f>운전실적_원본!J117</f>
        <v>0</v>
      </c>
      <c r="S117" s="19" t="str">
        <f t="shared" ref="S117" si="702">IF(OR(LEN(R117)=0,R117=0),"",R117-R116)</f>
        <v/>
      </c>
      <c r="T117" s="18">
        <f>운전실적_원본!K117</f>
        <v>0</v>
      </c>
      <c r="U117" s="19" t="str">
        <f t="shared" si="637"/>
        <v/>
      </c>
      <c r="V117" s="12">
        <f>운전실적_원본!L117</f>
        <v>0</v>
      </c>
      <c r="W117" s="16" t="str">
        <f t="shared" ref="W117" si="703">IF(OR(LEN(V117)=0,V117=0),"",V117-V116)</f>
        <v/>
      </c>
      <c r="X117" s="10">
        <f>운전실적_원본!M117</f>
        <v>0</v>
      </c>
      <c r="Y117" s="10">
        <f>운전실적_원본!N117</f>
        <v>0</v>
      </c>
      <c r="Z117" s="10">
        <f>운전실적_원본!O117</f>
        <v>0</v>
      </c>
      <c r="AA117" s="10">
        <f>운전실적_원본!P117</f>
        <v>0</v>
      </c>
      <c r="AB117" s="10">
        <f>운전실적_원본!Q117</f>
        <v>0</v>
      </c>
      <c r="AC117" s="20">
        <f>운전실적_원본!R117</f>
        <v>0</v>
      </c>
      <c r="AD117" s="109">
        <f>운전실적_원본!S117</f>
        <v>0</v>
      </c>
      <c r="AE117" s="110">
        <f>운전실적_원본!T117</f>
        <v>0</v>
      </c>
      <c r="AF117" s="110">
        <f>운전실적_원본!U117</f>
        <v>0</v>
      </c>
      <c r="AG117" s="110">
        <f>운전실적_원본!V117</f>
        <v>0</v>
      </c>
      <c r="AH117" s="109">
        <f t="shared" si="460"/>
        <v>0</v>
      </c>
      <c r="AI117" s="110">
        <f t="shared" si="467"/>
        <v>0</v>
      </c>
      <c r="AJ117" s="110">
        <f>운전실적_원본!Y117</f>
        <v>0</v>
      </c>
      <c r="AK117" s="110">
        <f>운전실적_원본!Z117</f>
        <v>0</v>
      </c>
      <c r="AL117" s="106"/>
      <c r="AM117" s="105"/>
      <c r="AN117" s="105"/>
      <c r="AO117" s="105"/>
      <c r="AP117" s="105"/>
      <c r="AQ117" s="108"/>
      <c r="AR117" s="105"/>
      <c r="AS117" s="105"/>
      <c r="AT117" s="102"/>
      <c r="AU117" s="102"/>
      <c r="AV117" s="102"/>
      <c r="AW117" s="102"/>
      <c r="AX117" s="32">
        <f>운전실적_원본!W117</f>
        <v>0</v>
      </c>
      <c r="AY117" s="11">
        <f>운전실적_원본!X117</f>
        <v>0</v>
      </c>
      <c r="AZ117" s="11">
        <f>운전실적_원본!Y117</f>
        <v>0</v>
      </c>
      <c r="BA117" s="11">
        <f>운전실적_원본!Z117</f>
        <v>0</v>
      </c>
      <c r="BB117" s="11">
        <f>운전실적_원본!AA117</f>
        <v>0</v>
      </c>
      <c r="BC117" s="11">
        <f>운전실적_원본!AB117</f>
        <v>0</v>
      </c>
      <c r="BD117" s="32" t="str">
        <f t="shared" si="453"/>
        <v>-</v>
      </c>
      <c r="BE117" s="11" t="str">
        <f t="shared" si="461"/>
        <v>-</v>
      </c>
      <c r="BF117" s="11">
        <f>운전실적_원본!AE117</f>
        <v>0</v>
      </c>
      <c r="BG117" s="31">
        <f t="shared" si="454"/>
        <v>0</v>
      </c>
      <c r="BH117" s="241">
        <f>INDEX(연료전지_원본!$A$4:$KY$369,MATCH($A117,연료전지_원본!$A$4:$A$369,0),MATCH($BH$4,연료전지_원본!$A$4:$KY$4,0))</f>
        <v>0</v>
      </c>
      <c r="BI117" s="241">
        <f>INDEX(연료전지_원본!$A$4:$KY$369,MATCH($A117,연료전지_원본!$A$4:$A$369,0),MATCH($BI$4,연료전지_원본!$A$4:$KY$4,0))</f>
        <v>0</v>
      </c>
      <c r="BJ117" s="241">
        <f>INDEX(연료전지_원본!$A$4:$KY$369,MATCH($A117,연료전지_원본!$A$4:$A$369,0),MATCH($BJ$4,연료전지_원본!$A$4:$KY$4,0))</f>
        <v>0</v>
      </c>
      <c r="BK117" s="241">
        <f>INDEX(연료전지_원본!$A$4:$KY$369,MATCH($A117,연료전지_원본!$A$4:$A$369,0),MATCH($BK$4,연료전지_원본!$A$4:$KY$4,0))</f>
        <v>0</v>
      </c>
      <c r="BL117" s="241">
        <f>INDEX(연료전지_원본!$A$4:$KY$369,MATCH($A117,연료전지_원본!$A$4:$A$369,0),MATCH($BL$4,연료전지_원본!$A$4:$KY$4,0))</f>
        <v>0</v>
      </c>
      <c r="BM117" s="241">
        <f>INDEX(연료전지_원본!$A$4:$KY$369,MATCH($A117,연료전지_원본!$A$4:$A$369,0),MATCH($BM$4,연료전지_원본!$A$4:$KY$4,0))</f>
        <v>0</v>
      </c>
      <c r="BN117" s="241">
        <f>INDEX(연료전지_원본!$A$4:$KY$369,MATCH($A117,연료전지_원본!$A$4:$A$369,0),MATCH($BN$4,연료전지_원본!$A$4:$KY$4,0))</f>
        <v>0</v>
      </c>
      <c r="BO117" s="241">
        <f>INDEX(연료전지_원본!$A$4:$KY$369,MATCH($A117,연료전지_원본!$A$4:$A$369,0),MATCH($BO$4,연료전지_원본!$A$4:$KY$4,0))</f>
        <v>0</v>
      </c>
      <c r="BP117" s="241">
        <f>INDEX(연료전지_원본!$A$4:$KY$369,MATCH($A117,연료전지_원본!$A$4:$A$369,0),MATCH($BP$4,연료전지_원본!$A$4:$KY$4,0))</f>
        <v>0</v>
      </c>
      <c r="BQ117" s="241">
        <f>INDEX(연료전지_원본!$A$4:$KY$369,MATCH($A117,연료전지_원본!$A$4:$A$369,0),MATCH($BQ$4,연료전지_원본!$A$4:$KY$4,0))</f>
        <v>0</v>
      </c>
      <c r="BR117" s="241">
        <f>INDEX(연료전지_원본!$A$4:$KY$369,MATCH($A117,연료전지_원본!$A$4:$A$369,0),MATCH($BR$4,연료전지_원본!$A$4:$KY$4,0))</f>
        <v>0</v>
      </c>
      <c r="BS117" s="241">
        <f>INDEX(연료전지_원본!$A$4:$KY$369,MATCH($A117,연료전지_원본!$A$4:$A$369,0),MATCH($BS$4,연료전지_원본!$A$4:$KY$4,0))</f>
        <v>0</v>
      </c>
      <c r="BT117" s="241">
        <f>INDEX(연료전지_원본!$A$4:$KY$369,MATCH($A117,연료전지_원본!$A$4:$A$369,0),MATCH($BT$4,연료전지_원본!$A$4:$KY$4,0))</f>
        <v>0</v>
      </c>
      <c r="BU117" s="241">
        <f>INDEX(연료전지_원본!$A$4:$KY$369,MATCH($A117,연료전지_원본!$A$4:$A$369,0),MATCH($BU$4,연료전지_원본!$A$4:$KY$4,0))</f>
        <v>0</v>
      </c>
      <c r="BV117" s="241">
        <f>INDEX(연료전지_원본!$A$4:$KY$369,MATCH($A117,연료전지_원본!$A$4:$A$369,0),MATCH($BV$4,연료전지_원본!$A$4:$KY$4,0))</f>
        <v>0</v>
      </c>
      <c r="BW117" s="241">
        <f>INDEX(연료전지_원본!$A$4:$KY$369,MATCH($A117,연료전지_원본!$A$4:$A$369,0),MATCH($BW$4,연료전지_원본!$A$4:$KY$4,0))</f>
        <v>0</v>
      </c>
      <c r="BX117" s="241">
        <f>INDEX(연료전지_원본!$A$4:$KY$369,MATCH($A117,연료전지_원본!$A$4:$A$369,0),MATCH($BX$4,연료전지_원본!$A$4:$KY$4,0))</f>
        <v>0</v>
      </c>
      <c r="BY117" s="241">
        <f>INDEX(연료전지_원본!$A$4:$KY$369,MATCH($A117,연료전지_원본!$A$4:$A$369,0),MATCH($BY$4,연료전지_원본!$A$4:$KY$4,0))</f>
        <v>0</v>
      </c>
      <c r="BZ117" s="241">
        <f>INDEX(연료전지_원본!$A$4:$KY$369,MATCH($A117,연료전지_원본!$A$4:$A$369,0),MATCH($BZ$4,연료전지_원본!$A$4:$KY$4,0))</f>
        <v>0</v>
      </c>
      <c r="CA117" s="241">
        <f>INDEX(연료전지_원본!$A$4:$KY$369,MATCH($A117,연료전지_원본!$A$4:$A$369,0),MATCH($CA$4,연료전지_원본!$A$4:$KY$4,0))</f>
        <v>0</v>
      </c>
      <c r="CB117" s="241">
        <f>INDEX(연료전지_원본!$A$4:$KY$369,MATCH($A117,연료전지_원본!$A$4:$A$369,0),MATCH($CB$4,연료전지_원본!$A$4:$KY$4,0))</f>
        <v>0</v>
      </c>
      <c r="CC117" s="242">
        <f>INDEX(연료전지_원본!$A$4:$KY$369,MATCH($A117,연료전지_원본!$A$4:$A$369,0),MATCH($CC$4,연료전지_원본!$A$4:$KY$4,0))</f>
        <v>0</v>
      </c>
      <c r="CD117" s="250">
        <f>INDEX(연료전지_원본!$KB$4:$KX$369,MATCH($A117,연료전지_원본!$KB$4:$KB$369,0), MATCH(CD$4,연료전지_원본!$KB$4:$KX$4,0))*1000</f>
        <v>0</v>
      </c>
      <c r="CE117" s="250">
        <f>INDEX(연료전지_원본!$KB$4:$KX$369,MATCH($A117,연료전지_원본!$KB$4:$KB$369,0), MATCH(CE$4,연료전지_원본!$KB$4:$KX$4,0))*1000</f>
        <v>0</v>
      </c>
      <c r="CF117" s="250">
        <f>INDEX(연료전지_원본!$KB$4:$KX$369,MATCH($A117,연료전지_원본!$KB$4:$KB$369,0), MATCH(CF$4,연료전지_원본!$KB$4:$KX$4,0))*1000</f>
        <v>0</v>
      </c>
      <c r="CG117" s="250">
        <f>INDEX(연료전지_원본!$KB$4:$KX$369,MATCH($A117,연료전지_원본!$KB$4:$KB$369,0), MATCH(CG$4,연료전지_원본!$KB$4:$KX$4,0))*1000</f>
        <v>0</v>
      </c>
      <c r="CH117" s="250">
        <f>INDEX(연료전지_원본!$KB$4:$KX$369,MATCH($A117,연료전지_원본!$KB$4:$KB$369,0), MATCH(CH$4,연료전지_원본!$KB$4:$KX$4,0))*1000</f>
        <v>0</v>
      </c>
      <c r="CI117" s="250">
        <f>INDEX(연료전지_원본!$KB$4:$KX$369,MATCH($A117,연료전지_원본!$KB$4:$KB$369,0), MATCH(CI$4,연료전지_원본!$KB$4:$KX$4,0))*1000</f>
        <v>0</v>
      </c>
      <c r="CJ117" s="250">
        <f>INDEX(연료전지_원본!$KB$4:$KX$369,MATCH($A117,연료전지_원본!$KB$4:$KB$369,0), MATCH(CJ$4,연료전지_원본!$KB$4:$KX$4,0))*1000</f>
        <v>0</v>
      </c>
      <c r="CK117" s="250">
        <f>INDEX(연료전지_원본!$KB$4:$KX$369,MATCH($A117,연료전지_원본!$KB$4:$KB$369,0), MATCH(CK$4,연료전지_원본!$KB$4:$KX$4,0))*1000</f>
        <v>0</v>
      </c>
      <c r="CL117" s="250">
        <f>INDEX(연료전지_원본!$KB$4:$KX$369,MATCH($A117,연료전지_원본!$KB$4:$KB$369,0), MATCH(CL$4,연료전지_원본!$KB$4:$KX$4,0))*1000</f>
        <v>0</v>
      </c>
      <c r="CM117" s="250">
        <f>INDEX(연료전지_원본!$KB$4:$KX$369,MATCH($A117,연료전지_원본!$KB$4:$KB$369,0), MATCH(CM$4,연료전지_원본!$KB$4:$KX$4,0))*1000</f>
        <v>0</v>
      </c>
      <c r="CN117" s="250">
        <f>INDEX(연료전지_원본!$KB$4:$KX$369,MATCH($A117,연료전지_원본!$KB$4:$KB$369,0), MATCH(CN$4,연료전지_원본!$KB$4:$KX$4,0))*1000</f>
        <v>0</v>
      </c>
      <c r="CO117" s="250">
        <f>INDEX(연료전지_원본!$KB$4:$KX$369,MATCH($A117,연료전지_원본!$KB$4:$KB$369,0), MATCH(CO$4,연료전지_원본!$KB$4:$KX$4,0))*1000</f>
        <v>0</v>
      </c>
      <c r="CP117" s="250">
        <f>INDEX(연료전지_원본!$KB$4:$KX$369,MATCH($A117,연료전지_원본!$KB$4:$KB$369,0), MATCH(CP$4,연료전지_원본!$KB$4:$KX$4,0))*1000</f>
        <v>0</v>
      </c>
      <c r="CQ117" s="250">
        <f>INDEX(연료전지_원본!$KB$4:$KX$369,MATCH($A117,연료전지_원본!$KB$4:$KB$369,0), MATCH(CQ$4,연료전지_원본!$KB$4:$KX$4,0))*1000</f>
        <v>0</v>
      </c>
      <c r="CR117" s="250">
        <f>INDEX(연료전지_원본!$KB$4:$KX$369,MATCH($A117,연료전지_원본!$KB$4:$KB$369,0), MATCH(CR$4,연료전지_원본!$KB$4:$KX$4,0))*1000</f>
        <v>0</v>
      </c>
      <c r="CS117" s="250">
        <f>INDEX(연료전지_원본!$KB$4:$KX$369,MATCH($A117,연료전지_원본!$KB$4:$KB$369,0), MATCH(CS$4,연료전지_원본!$KB$4:$KX$4,0))*1000</f>
        <v>0</v>
      </c>
      <c r="CT117" s="250">
        <f>INDEX(연료전지_원본!$KB$4:$KX$369,MATCH($A117,연료전지_원본!$KB$4:$KB$369,0), MATCH(CT$4,연료전지_원본!$KB$4:$KX$4,0))*1000</f>
        <v>0</v>
      </c>
      <c r="CU117" s="250">
        <f>INDEX(연료전지_원본!$KB$4:$KX$369,MATCH($A117,연료전지_원본!$KB$4:$KB$369,0), MATCH(CU$4,연료전지_원본!$KB$4:$KX$4,0))*1000</f>
        <v>0</v>
      </c>
      <c r="CV117" s="250">
        <f>INDEX(연료전지_원본!$KB$4:$KX$369,MATCH($A117,연료전지_원본!$KB$4:$KB$369,0), MATCH(CV$4,연료전지_원본!$KB$4:$KX$4,0))*1000</f>
        <v>0</v>
      </c>
      <c r="CW117" s="250">
        <f>INDEX(연료전지_원본!$KB$4:$KX$369,MATCH($A117,연료전지_원본!$KB$4:$KB$369,0), MATCH(CW$4,연료전지_원본!$KB$4:$KX$4,0))*1000</f>
        <v>0</v>
      </c>
      <c r="CX117" s="250">
        <f>INDEX(연료전지_원본!$KB$4:$KX$369,MATCH($A117,연료전지_원본!$KB$4:$KB$369,0), MATCH(CX$4,연료전지_원본!$KB$4:$KX$4,0))*1000</f>
        <v>0</v>
      </c>
      <c r="CY117" s="250">
        <f>INDEX(연료전지_원본!$KB$4:$KX$369,MATCH($A117,연료전지_원본!$KB$4:$KB$369,0), MATCH(CY$4,연료전지_원본!$KB$4:$KX$4,0))*1000</f>
        <v>0</v>
      </c>
      <c r="DV117" s="30">
        <f t="shared" si="623"/>
        <v>0</v>
      </c>
    </row>
    <row r="118" spans="1:126">
      <c r="A118" s="6">
        <v>46135</v>
      </c>
      <c r="B118" s="15">
        <f>운전실적_원본!B118</f>
        <v>0</v>
      </c>
      <c r="C118" s="16" t="str">
        <f t="shared" si="629"/>
        <v/>
      </c>
      <c r="D118" s="12">
        <f>운전실적_원본!C118</f>
        <v>0</v>
      </c>
      <c r="E118" s="12" t="str">
        <f t="shared" si="630"/>
        <v/>
      </c>
      <c r="F118" s="12">
        <f>운전실적_원본!D118</f>
        <v>0</v>
      </c>
      <c r="G118" s="16" t="str">
        <f t="shared" si="631"/>
        <v/>
      </c>
      <c r="H118" s="15">
        <f>운전실적_원본!E118</f>
        <v>0</v>
      </c>
      <c r="I118" s="16" t="str">
        <f t="shared" si="632"/>
        <v/>
      </c>
      <c r="J118" s="15">
        <f>운전실적_원본!F118</f>
        <v>0</v>
      </c>
      <c r="K118" s="16" t="str">
        <f t="shared" si="632"/>
        <v/>
      </c>
      <c r="L118" s="32">
        <f>운전실적_원본!G118</f>
        <v>0</v>
      </c>
      <c r="M118" s="31" t="str">
        <f t="shared" ref="M118" si="704">IF(OR(LEN(L118)=0,L118=0),"",L118-L117)</f>
        <v/>
      </c>
      <c r="N118" s="15">
        <f>운전실적_원본!H118</f>
        <v>0</v>
      </c>
      <c r="O118" s="16" t="str">
        <f t="shared" ref="O118" si="705">IF(OR(LEN(N118)=0,N118=0),"",N118-N117)</f>
        <v/>
      </c>
      <c r="P118" s="15">
        <f>운전실적_원본!I118</f>
        <v>0</v>
      </c>
      <c r="Q118" s="16" t="str">
        <f t="shared" ref="Q118" si="706">IF(OR(LEN(P118)=0,P118=0),"",P118-P117)</f>
        <v/>
      </c>
      <c r="R118" s="18">
        <f>운전실적_원본!J118</f>
        <v>0</v>
      </c>
      <c r="S118" s="19" t="str">
        <f t="shared" ref="S118" si="707">IF(OR(LEN(R118)=0,R118=0),"",R118-R117)</f>
        <v/>
      </c>
      <c r="T118" s="18">
        <f>운전실적_원본!K118</f>
        <v>0</v>
      </c>
      <c r="U118" s="19" t="str">
        <f t="shared" si="637"/>
        <v/>
      </c>
      <c r="V118" s="12">
        <f>운전실적_원본!L118</f>
        <v>0</v>
      </c>
      <c r="W118" s="16" t="str">
        <f t="shared" ref="W118" si="708">IF(OR(LEN(V118)=0,V118=0),"",V118-V117)</f>
        <v/>
      </c>
      <c r="X118" s="10">
        <f>운전실적_원본!M118</f>
        <v>0</v>
      </c>
      <c r="Y118" s="10">
        <f>운전실적_원본!N118</f>
        <v>0</v>
      </c>
      <c r="Z118" s="10">
        <f>운전실적_원본!O118</f>
        <v>0</v>
      </c>
      <c r="AA118" s="10">
        <f>운전실적_원본!P118</f>
        <v>0</v>
      </c>
      <c r="AB118" s="10">
        <f>운전실적_원본!Q118</f>
        <v>0</v>
      </c>
      <c r="AC118" s="20">
        <f>운전실적_원본!R118</f>
        <v>0</v>
      </c>
      <c r="AD118" s="109">
        <f>운전실적_원본!S118</f>
        <v>0</v>
      </c>
      <c r="AE118" s="110">
        <f>운전실적_원본!T118</f>
        <v>0</v>
      </c>
      <c r="AF118" s="110">
        <f>운전실적_원본!U118</f>
        <v>0</v>
      </c>
      <c r="AG118" s="110">
        <f>운전실적_원본!V118</f>
        <v>0</v>
      </c>
      <c r="AH118" s="109">
        <f t="shared" si="460"/>
        <v>0</v>
      </c>
      <c r="AI118" s="110">
        <f t="shared" si="467"/>
        <v>0</v>
      </c>
      <c r="AJ118" s="110">
        <f>운전실적_원본!Y118</f>
        <v>0</v>
      </c>
      <c r="AK118" s="110">
        <f>운전실적_원본!Z118</f>
        <v>0</v>
      </c>
      <c r="AL118" s="106"/>
      <c r="AM118" s="105"/>
      <c r="AN118" s="105"/>
      <c r="AO118" s="105"/>
      <c r="AP118" s="105"/>
      <c r="AQ118" s="108"/>
      <c r="AR118" s="105"/>
      <c r="AS118" s="105"/>
      <c r="AT118" s="102"/>
      <c r="AU118" s="102"/>
      <c r="AV118" s="102"/>
      <c r="AW118" s="102"/>
      <c r="AX118" s="32">
        <f>운전실적_원본!W118</f>
        <v>0</v>
      </c>
      <c r="AY118" s="11">
        <f>운전실적_원본!X118</f>
        <v>0</v>
      </c>
      <c r="AZ118" s="11">
        <f>운전실적_원본!Y118</f>
        <v>0</v>
      </c>
      <c r="BA118" s="11">
        <f>운전실적_원본!Z118</f>
        <v>0</v>
      </c>
      <c r="BB118" s="11">
        <f>운전실적_원본!AA118</f>
        <v>0</v>
      </c>
      <c r="BC118" s="11">
        <f>운전실적_원본!AB118</f>
        <v>0</v>
      </c>
      <c r="BD118" s="32" t="str">
        <f t="shared" si="453"/>
        <v>-</v>
      </c>
      <c r="BE118" s="11" t="str">
        <f t="shared" si="461"/>
        <v>-</v>
      </c>
      <c r="BF118" s="11">
        <f>운전실적_원본!AE118</f>
        <v>0</v>
      </c>
      <c r="BG118" s="31">
        <f t="shared" si="454"/>
        <v>0</v>
      </c>
      <c r="BH118" s="241">
        <f>INDEX(연료전지_원본!$A$4:$KY$369,MATCH($A118,연료전지_원본!$A$4:$A$369,0),MATCH($BH$4,연료전지_원본!$A$4:$KY$4,0))</f>
        <v>0</v>
      </c>
      <c r="BI118" s="241">
        <f>INDEX(연료전지_원본!$A$4:$KY$369,MATCH($A118,연료전지_원본!$A$4:$A$369,0),MATCH($BI$4,연료전지_원본!$A$4:$KY$4,0))</f>
        <v>0</v>
      </c>
      <c r="BJ118" s="241">
        <f>INDEX(연료전지_원본!$A$4:$KY$369,MATCH($A118,연료전지_원본!$A$4:$A$369,0),MATCH($BJ$4,연료전지_원본!$A$4:$KY$4,0))</f>
        <v>0</v>
      </c>
      <c r="BK118" s="241">
        <f>INDEX(연료전지_원본!$A$4:$KY$369,MATCH($A118,연료전지_원본!$A$4:$A$369,0),MATCH($BK$4,연료전지_원본!$A$4:$KY$4,0))</f>
        <v>0</v>
      </c>
      <c r="BL118" s="241">
        <f>INDEX(연료전지_원본!$A$4:$KY$369,MATCH($A118,연료전지_원본!$A$4:$A$369,0),MATCH($BL$4,연료전지_원본!$A$4:$KY$4,0))</f>
        <v>0</v>
      </c>
      <c r="BM118" s="241">
        <f>INDEX(연료전지_원본!$A$4:$KY$369,MATCH($A118,연료전지_원본!$A$4:$A$369,0),MATCH($BM$4,연료전지_원본!$A$4:$KY$4,0))</f>
        <v>0</v>
      </c>
      <c r="BN118" s="241">
        <f>INDEX(연료전지_원본!$A$4:$KY$369,MATCH($A118,연료전지_원본!$A$4:$A$369,0),MATCH($BN$4,연료전지_원본!$A$4:$KY$4,0))</f>
        <v>0</v>
      </c>
      <c r="BO118" s="241">
        <f>INDEX(연료전지_원본!$A$4:$KY$369,MATCH($A118,연료전지_원본!$A$4:$A$369,0),MATCH($BO$4,연료전지_원본!$A$4:$KY$4,0))</f>
        <v>0</v>
      </c>
      <c r="BP118" s="241">
        <f>INDEX(연료전지_원본!$A$4:$KY$369,MATCH($A118,연료전지_원본!$A$4:$A$369,0),MATCH($BP$4,연료전지_원본!$A$4:$KY$4,0))</f>
        <v>0</v>
      </c>
      <c r="BQ118" s="241">
        <f>INDEX(연료전지_원본!$A$4:$KY$369,MATCH($A118,연료전지_원본!$A$4:$A$369,0),MATCH($BQ$4,연료전지_원본!$A$4:$KY$4,0))</f>
        <v>0</v>
      </c>
      <c r="BR118" s="241">
        <f>INDEX(연료전지_원본!$A$4:$KY$369,MATCH($A118,연료전지_원본!$A$4:$A$369,0),MATCH($BR$4,연료전지_원본!$A$4:$KY$4,0))</f>
        <v>0</v>
      </c>
      <c r="BS118" s="241">
        <f>INDEX(연료전지_원본!$A$4:$KY$369,MATCH($A118,연료전지_원본!$A$4:$A$369,0),MATCH($BS$4,연료전지_원본!$A$4:$KY$4,0))</f>
        <v>0</v>
      </c>
      <c r="BT118" s="241">
        <f>INDEX(연료전지_원본!$A$4:$KY$369,MATCH($A118,연료전지_원본!$A$4:$A$369,0),MATCH($BT$4,연료전지_원본!$A$4:$KY$4,0))</f>
        <v>0</v>
      </c>
      <c r="BU118" s="241">
        <f>INDEX(연료전지_원본!$A$4:$KY$369,MATCH($A118,연료전지_원본!$A$4:$A$369,0),MATCH($BU$4,연료전지_원본!$A$4:$KY$4,0))</f>
        <v>0</v>
      </c>
      <c r="BV118" s="241">
        <f>INDEX(연료전지_원본!$A$4:$KY$369,MATCH($A118,연료전지_원본!$A$4:$A$369,0),MATCH($BV$4,연료전지_원본!$A$4:$KY$4,0))</f>
        <v>0</v>
      </c>
      <c r="BW118" s="241">
        <f>INDEX(연료전지_원본!$A$4:$KY$369,MATCH($A118,연료전지_원본!$A$4:$A$369,0),MATCH($BW$4,연료전지_원본!$A$4:$KY$4,0))</f>
        <v>0</v>
      </c>
      <c r="BX118" s="241">
        <f>INDEX(연료전지_원본!$A$4:$KY$369,MATCH($A118,연료전지_원본!$A$4:$A$369,0),MATCH($BX$4,연료전지_원본!$A$4:$KY$4,0))</f>
        <v>0</v>
      </c>
      <c r="BY118" s="241">
        <f>INDEX(연료전지_원본!$A$4:$KY$369,MATCH($A118,연료전지_원본!$A$4:$A$369,0),MATCH($BY$4,연료전지_원본!$A$4:$KY$4,0))</f>
        <v>0</v>
      </c>
      <c r="BZ118" s="241">
        <f>INDEX(연료전지_원본!$A$4:$KY$369,MATCH($A118,연료전지_원본!$A$4:$A$369,0),MATCH($BZ$4,연료전지_원본!$A$4:$KY$4,0))</f>
        <v>0</v>
      </c>
      <c r="CA118" s="241">
        <f>INDEX(연료전지_원본!$A$4:$KY$369,MATCH($A118,연료전지_원본!$A$4:$A$369,0),MATCH($CA$4,연료전지_원본!$A$4:$KY$4,0))</f>
        <v>0</v>
      </c>
      <c r="CB118" s="241">
        <f>INDEX(연료전지_원본!$A$4:$KY$369,MATCH($A118,연료전지_원본!$A$4:$A$369,0),MATCH($CB$4,연료전지_원본!$A$4:$KY$4,0))</f>
        <v>0</v>
      </c>
      <c r="CC118" s="242">
        <f>INDEX(연료전지_원본!$A$4:$KY$369,MATCH($A118,연료전지_원본!$A$4:$A$369,0),MATCH($CC$4,연료전지_원본!$A$4:$KY$4,0))</f>
        <v>0</v>
      </c>
      <c r="CD118" s="250">
        <f>INDEX(연료전지_원본!$KB$4:$KX$369,MATCH($A118,연료전지_원본!$KB$4:$KB$369,0), MATCH(CD$4,연료전지_원본!$KB$4:$KX$4,0))*1000</f>
        <v>0</v>
      </c>
      <c r="CE118" s="250">
        <f>INDEX(연료전지_원본!$KB$4:$KX$369,MATCH($A118,연료전지_원본!$KB$4:$KB$369,0), MATCH(CE$4,연료전지_원본!$KB$4:$KX$4,0))*1000</f>
        <v>0</v>
      </c>
      <c r="CF118" s="250">
        <f>INDEX(연료전지_원본!$KB$4:$KX$369,MATCH($A118,연료전지_원본!$KB$4:$KB$369,0), MATCH(CF$4,연료전지_원본!$KB$4:$KX$4,0))*1000</f>
        <v>0</v>
      </c>
      <c r="CG118" s="250">
        <f>INDEX(연료전지_원본!$KB$4:$KX$369,MATCH($A118,연료전지_원본!$KB$4:$KB$369,0), MATCH(CG$4,연료전지_원본!$KB$4:$KX$4,0))*1000</f>
        <v>0</v>
      </c>
      <c r="CH118" s="250">
        <f>INDEX(연료전지_원본!$KB$4:$KX$369,MATCH($A118,연료전지_원본!$KB$4:$KB$369,0), MATCH(CH$4,연료전지_원본!$KB$4:$KX$4,0))*1000</f>
        <v>0</v>
      </c>
      <c r="CI118" s="250">
        <f>INDEX(연료전지_원본!$KB$4:$KX$369,MATCH($A118,연료전지_원본!$KB$4:$KB$369,0), MATCH(CI$4,연료전지_원본!$KB$4:$KX$4,0))*1000</f>
        <v>0</v>
      </c>
      <c r="CJ118" s="250">
        <f>INDEX(연료전지_원본!$KB$4:$KX$369,MATCH($A118,연료전지_원본!$KB$4:$KB$369,0), MATCH(CJ$4,연료전지_원본!$KB$4:$KX$4,0))*1000</f>
        <v>0</v>
      </c>
      <c r="CK118" s="250">
        <f>INDEX(연료전지_원본!$KB$4:$KX$369,MATCH($A118,연료전지_원본!$KB$4:$KB$369,0), MATCH(CK$4,연료전지_원본!$KB$4:$KX$4,0))*1000</f>
        <v>0</v>
      </c>
      <c r="CL118" s="250">
        <f>INDEX(연료전지_원본!$KB$4:$KX$369,MATCH($A118,연료전지_원본!$KB$4:$KB$369,0), MATCH(CL$4,연료전지_원본!$KB$4:$KX$4,0))*1000</f>
        <v>0</v>
      </c>
      <c r="CM118" s="250">
        <f>INDEX(연료전지_원본!$KB$4:$KX$369,MATCH($A118,연료전지_원본!$KB$4:$KB$369,0), MATCH(CM$4,연료전지_원본!$KB$4:$KX$4,0))*1000</f>
        <v>0</v>
      </c>
      <c r="CN118" s="250">
        <f>INDEX(연료전지_원본!$KB$4:$KX$369,MATCH($A118,연료전지_원본!$KB$4:$KB$369,0), MATCH(CN$4,연료전지_원본!$KB$4:$KX$4,0))*1000</f>
        <v>0</v>
      </c>
      <c r="CO118" s="250">
        <f>INDEX(연료전지_원본!$KB$4:$KX$369,MATCH($A118,연료전지_원본!$KB$4:$KB$369,0), MATCH(CO$4,연료전지_원본!$KB$4:$KX$4,0))*1000</f>
        <v>0</v>
      </c>
      <c r="CP118" s="250">
        <f>INDEX(연료전지_원본!$KB$4:$KX$369,MATCH($A118,연료전지_원본!$KB$4:$KB$369,0), MATCH(CP$4,연료전지_원본!$KB$4:$KX$4,0))*1000</f>
        <v>0</v>
      </c>
      <c r="CQ118" s="250">
        <f>INDEX(연료전지_원본!$KB$4:$KX$369,MATCH($A118,연료전지_원본!$KB$4:$KB$369,0), MATCH(CQ$4,연료전지_원본!$KB$4:$KX$4,0))*1000</f>
        <v>0</v>
      </c>
      <c r="CR118" s="250">
        <f>INDEX(연료전지_원본!$KB$4:$KX$369,MATCH($A118,연료전지_원본!$KB$4:$KB$369,0), MATCH(CR$4,연료전지_원본!$KB$4:$KX$4,0))*1000</f>
        <v>0</v>
      </c>
      <c r="CS118" s="250">
        <f>INDEX(연료전지_원본!$KB$4:$KX$369,MATCH($A118,연료전지_원본!$KB$4:$KB$369,0), MATCH(CS$4,연료전지_원본!$KB$4:$KX$4,0))*1000</f>
        <v>0</v>
      </c>
      <c r="CT118" s="250">
        <f>INDEX(연료전지_원본!$KB$4:$KX$369,MATCH($A118,연료전지_원본!$KB$4:$KB$369,0), MATCH(CT$4,연료전지_원본!$KB$4:$KX$4,0))*1000</f>
        <v>0</v>
      </c>
      <c r="CU118" s="250">
        <f>INDEX(연료전지_원본!$KB$4:$KX$369,MATCH($A118,연료전지_원본!$KB$4:$KB$369,0), MATCH(CU$4,연료전지_원본!$KB$4:$KX$4,0))*1000</f>
        <v>0</v>
      </c>
      <c r="CV118" s="250">
        <f>INDEX(연료전지_원본!$KB$4:$KX$369,MATCH($A118,연료전지_원본!$KB$4:$KB$369,0), MATCH(CV$4,연료전지_원본!$KB$4:$KX$4,0))*1000</f>
        <v>0</v>
      </c>
      <c r="CW118" s="250">
        <f>INDEX(연료전지_원본!$KB$4:$KX$369,MATCH($A118,연료전지_원본!$KB$4:$KB$369,0), MATCH(CW$4,연료전지_원본!$KB$4:$KX$4,0))*1000</f>
        <v>0</v>
      </c>
      <c r="CX118" s="250">
        <f>INDEX(연료전지_원본!$KB$4:$KX$369,MATCH($A118,연료전지_원본!$KB$4:$KB$369,0), MATCH(CX$4,연료전지_원본!$KB$4:$KX$4,0))*1000</f>
        <v>0</v>
      </c>
      <c r="CY118" s="250">
        <f>INDEX(연료전지_원본!$KB$4:$KX$369,MATCH($A118,연료전지_원본!$KB$4:$KB$369,0), MATCH(CY$4,연료전지_원본!$KB$4:$KX$4,0))*1000</f>
        <v>0</v>
      </c>
      <c r="DV118" s="30">
        <f t="shared" si="623"/>
        <v>0</v>
      </c>
    </row>
    <row r="119" spans="1:126">
      <c r="A119" s="6">
        <v>46136</v>
      </c>
      <c r="B119" s="15">
        <f>운전실적_원본!B119</f>
        <v>0</v>
      </c>
      <c r="C119" s="16" t="str">
        <f t="shared" si="629"/>
        <v/>
      </c>
      <c r="D119" s="12">
        <f>운전실적_원본!C119</f>
        <v>0</v>
      </c>
      <c r="E119" s="12" t="str">
        <f t="shared" si="630"/>
        <v/>
      </c>
      <c r="F119" s="12">
        <f>운전실적_원본!D119</f>
        <v>0</v>
      </c>
      <c r="G119" s="16" t="str">
        <f t="shared" si="631"/>
        <v/>
      </c>
      <c r="H119" s="15">
        <f>운전실적_원본!E119</f>
        <v>0</v>
      </c>
      <c r="I119" s="16" t="str">
        <f t="shared" si="632"/>
        <v/>
      </c>
      <c r="J119" s="15">
        <f>운전실적_원본!F119</f>
        <v>0</v>
      </c>
      <c r="K119" s="16" t="str">
        <f t="shared" si="632"/>
        <v/>
      </c>
      <c r="L119" s="32">
        <f>운전실적_원본!G119</f>
        <v>0</v>
      </c>
      <c r="M119" s="31" t="str">
        <f t="shared" ref="M119" si="709">IF(OR(LEN(L119)=0,L119=0),"",L119-L118)</f>
        <v/>
      </c>
      <c r="N119" s="15">
        <f>운전실적_원본!H119</f>
        <v>0</v>
      </c>
      <c r="O119" s="16" t="str">
        <f t="shared" ref="O119" si="710">IF(OR(LEN(N119)=0,N119=0),"",N119-N118)</f>
        <v/>
      </c>
      <c r="P119" s="15">
        <f>운전실적_원본!I119</f>
        <v>0</v>
      </c>
      <c r="Q119" s="16" t="str">
        <f t="shared" ref="Q119" si="711">IF(OR(LEN(P119)=0,P119=0),"",P119-P118)</f>
        <v/>
      </c>
      <c r="R119" s="18">
        <f>운전실적_원본!J119</f>
        <v>0</v>
      </c>
      <c r="S119" s="19" t="str">
        <f t="shared" ref="S119" si="712">IF(OR(LEN(R119)=0,R119=0),"",R119-R118)</f>
        <v/>
      </c>
      <c r="T119" s="18">
        <f>운전실적_원본!K119</f>
        <v>0</v>
      </c>
      <c r="U119" s="19" t="str">
        <f t="shared" si="637"/>
        <v/>
      </c>
      <c r="V119" s="12">
        <f>운전실적_원본!L119</f>
        <v>0</v>
      </c>
      <c r="W119" s="16" t="str">
        <f t="shared" ref="W119" si="713">IF(OR(LEN(V119)=0,V119=0),"",V119-V118)</f>
        <v/>
      </c>
      <c r="X119" s="10">
        <f>운전실적_원본!M119</f>
        <v>0</v>
      </c>
      <c r="Y119" s="10">
        <f>운전실적_원본!N119</f>
        <v>0</v>
      </c>
      <c r="Z119" s="10">
        <f>운전실적_원본!O119</f>
        <v>0</v>
      </c>
      <c r="AA119" s="10">
        <f>운전실적_원본!P119</f>
        <v>0</v>
      </c>
      <c r="AB119" s="10">
        <f>운전실적_원본!Q119</f>
        <v>0</v>
      </c>
      <c r="AC119" s="20">
        <f>운전실적_원본!R119</f>
        <v>0</v>
      </c>
      <c r="AD119" s="109">
        <f>운전실적_원본!S119</f>
        <v>0</v>
      </c>
      <c r="AE119" s="110">
        <f>운전실적_원본!T119</f>
        <v>0</v>
      </c>
      <c r="AF119" s="110">
        <f>운전실적_원본!U119</f>
        <v>0</v>
      </c>
      <c r="AG119" s="110">
        <f>운전실적_원본!V119</f>
        <v>0</v>
      </c>
      <c r="AH119" s="109">
        <f t="shared" si="460"/>
        <v>0</v>
      </c>
      <c r="AI119" s="110">
        <f t="shared" si="467"/>
        <v>0</v>
      </c>
      <c r="AJ119" s="110">
        <f>운전실적_원본!Y119</f>
        <v>0</v>
      </c>
      <c r="AK119" s="110">
        <f>운전실적_원본!Z119</f>
        <v>0</v>
      </c>
      <c r="AL119" s="106"/>
      <c r="AM119" s="105"/>
      <c r="AN119" s="105"/>
      <c r="AO119" s="105"/>
      <c r="AP119" s="105"/>
      <c r="AQ119" s="108"/>
      <c r="AR119" s="105"/>
      <c r="AS119" s="105"/>
      <c r="AT119" s="102"/>
      <c r="AU119" s="102"/>
      <c r="AV119" s="102"/>
      <c r="AW119" s="102"/>
      <c r="AX119" s="32">
        <f>운전실적_원본!W119</f>
        <v>0</v>
      </c>
      <c r="AY119" s="11">
        <f>운전실적_원본!X119</f>
        <v>0</v>
      </c>
      <c r="AZ119" s="11">
        <f>운전실적_원본!Y119</f>
        <v>0</v>
      </c>
      <c r="BA119" s="11">
        <f>운전실적_원본!Z119</f>
        <v>0</v>
      </c>
      <c r="BB119" s="11">
        <f>운전실적_원본!AA119</f>
        <v>0</v>
      </c>
      <c r="BC119" s="11">
        <f>운전실적_원본!AB119</f>
        <v>0</v>
      </c>
      <c r="BD119" s="32" t="str">
        <f t="shared" si="453"/>
        <v>-</v>
      </c>
      <c r="BE119" s="11" t="str">
        <f t="shared" si="461"/>
        <v>-</v>
      </c>
      <c r="BF119" s="11">
        <f>운전실적_원본!AE119</f>
        <v>0</v>
      </c>
      <c r="BG119" s="31">
        <f t="shared" si="454"/>
        <v>0</v>
      </c>
      <c r="BH119" s="241">
        <f>INDEX(연료전지_원본!$A$4:$KY$369,MATCH($A119,연료전지_원본!$A$4:$A$369,0),MATCH($BH$4,연료전지_원본!$A$4:$KY$4,0))</f>
        <v>0</v>
      </c>
      <c r="BI119" s="241">
        <f>INDEX(연료전지_원본!$A$4:$KY$369,MATCH($A119,연료전지_원본!$A$4:$A$369,0),MATCH($BI$4,연료전지_원본!$A$4:$KY$4,0))</f>
        <v>0</v>
      </c>
      <c r="BJ119" s="241">
        <f>INDEX(연료전지_원본!$A$4:$KY$369,MATCH($A119,연료전지_원본!$A$4:$A$369,0),MATCH($BJ$4,연료전지_원본!$A$4:$KY$4,0))</f>
        <v>0</v>
      </c>
      <c r="BK119" s="241">
        <f>INDEX(연료전지_원본!$A$4:$KY$369,MATCH($A119,연료전지_원본!$A$4:$A$369,0),MATCH($BK$4,연료전지_원본!$A$4:$KY$4,0))</f>
        <v>0</v>
      </c>
      <c r="BL119" s="241">
        <f>INDEX(연료전지_원본!$A$4:$KY$369,MATCH($A119,연료전지_원본!$A$4:$A$369,0),MATCH($BL$4,연료전지_원본!$A$4:$KY$4,0))</f>
        <v>0</v>
      </c>
      <c r="BM119" s="241">
        <f>INDEX(연료전지_원본!$A$4:$KY$369,MATCH($A119,연료전지_원본!$A$4:$A$369,0),MATCH($BM$4,연료전지_원본!$A$4:$KY$4,0))</f>
        <v>0</v>
      </c>
      <c r="BN119" s="241">
        <f>INDEX(연료전지_원본!$A$4:$KY$369,MATCH($A119,연료전지_원본!$A$4:$A$369,0),MATCH($BN$4,연료전지_원본!$A$4:$KY$4,0))</f>
        <v>0</v>
      </c>
      <c r="BO119" s="241">
        <f>INDEX(연료전지_원본!$A$4:$KY$369,MATCH($A119,연료전지_원본!$A$4:$A$369,0),MATCH($BO$4,연료전지_원본!$A$4:$KY$4,0))</f>
        <v>0</v>
      </c>
      <c r="BP119" s="241">
        <f>INDEX(연료전지_원본!$A$4:$KY$369,MATCH($A119,연료전지_원본!$A$4:$A$369,0),MATCH($BP$4,연료전지_원본!$A$4:$KY$4,0))</f>
        <v>0</v>
      </c>
      <c r="BQ119" s="241">
        <f>INDEX(연료전지_원본!$A$4:$KY$369,MATCH($A119,연료전지_원본!$A$4:$A$369,0),MATCH($BQ$4,연료전지_원본!$A$4:$KY$4,0))</f>
        <v>0</v>
      </c>
      <c r="BR119" s="241">
        <f>INDEX(연료전지_원본!$A$4:$KY$369,MATCH($A119,연료전지_원본!$A$4:$A$369,0),MATCH($BR$4,연료전지_원본!$A$4:$KY$4,0))</f>
        <v>0</v>
      </c>
      <c r="BS119" s="241">
        <f>INDEX(연료전지_원본!$A$4:$KY$369,MATCH($A119,연료전지_원본!$A$4:$A$369,0),MATCH($BS$4,연료전지_원본!$A$4:$KY$4,0))</f>
        <v>0</v>
      </c>
      <c r="BT119" s="241">
        <f>INDEX(연료전지_원본!$A$4:$KY$369,MATCH($A119,연료전지_원본!$A$4:$A$369,0),MATCH($BT$4,연료전지_원본!$A$4:$KY$4,0))</f>
        <v>0</v>
      </c>
      <c r="BU119" s="241">
        <f>INDEX(연료전지_원본!$A$4:$KY$369,MATCH($A119,연료전지_원본!$A$4:$A$369,0),MATCH($BU$4,연료전지_원본!$A$4:$KY$4,0))</f>
        <v>0</v>
      </c>
      <c r="BV119" s="241">
        <f>INDEX(연료전지_원본!$A$4:$KY$369,MATCH($A119,연료전지_원본!$A$4:$A$369,0),MATCH($BV$4,연료전지_원본!$A$4:$KY$4,0))</f>
        <v>0</v>
      </c>
      <c r="BW119" s="241">
        <f>INDEX(연료전지_원본!$A$4:$KY$369,MATCH($A119,연료전지_원본!$A$4:$A$369,0),MATCH($BW$4,연료전지_원본!$A$4:$KY$4,0))</f>
        <v>0</v>
      </c>
      <c r="BX119" s="241">
        <f>INDEX(연료전지_원본!$A$4:$KY$369,MATCH($A119,연료전지_원본!$A$4:$A$369,0),MATCH($BX$4,연료전지_원본!$A$4:$KY$4,0))</f>
        <v>0</v>
      </c>
      <c r="BY119" s="241">
        <f>INDEX(연료전지_원본!$A$4:$KY$369,MATCH($A119,연료전지_원본!$A$4:$A$369,0),MATCH($BY$4,연료전지_원본!$A$4:$KY$4,0))</f>
        <v>0</v>
      </c>
      <c r="BZ119" s="241">
        <f>INDEX(연료전지_원본!$A$4:$KY$369,MATCH($A119,연료전지_원본!$A$4:$A$369,0),MATCH($BZ$4,연료전지_원본!$A$4:$KY$4,0))</f>
        <v>0</v>
      </c>
      <c r="CA119" s="241">
        <f>INDEX(연료전지_원본!$A$4:$KY$369,MATCH($A119,연료전지_원본!$A$4:$A$369,0),MATCH($CA$4,연료전지_원본!$A$4:$KY$4,0))</f>
        <v>0</v>
      </c>
      <c r="CB119" s="241">
        <f>INDEX(연료전지_원본!$A$4:$KY$369,MATCH($A119,연료전지_원본!$A$4:$A$369,0),MATCH($CB$4,연료전지_원본!$A$4:$KY$4,0))</f>
        <v>0</v>
      </c>
      <c r="CC119" s="242">
        <f>INDEX(연료전지_원본!$A$4:$KY$369,MATCH($A119,연료전지_원본!$A$4:$A$369,0),MATCH($CC$4,연료전지_원본!$A$4:$KY$4,0))</f>
        <v>0</v>
      </c>
      <c r="CD119" s="250">
        <f>INDEX(연료전지_원본!$KB$4:$KX$369,MATCH($A119,연료전지_원본!$KB$4:$KB$369,0), MATCH(CD$4,연료전지_원본!$KB$4:$KX$4,0))*1000</f>
        <v>0</v>
      </c>
      <c r="CE119" s="250">
        <f>INDEX(연료전지_원본!$KB$4:$KX$369,MATCH($A119,연료전지_원본!$KB$4:$KB$369,0), MATCH(CE$4,연료전지_원본!$KB$4:$KX$4,0))*1000</f>
        <v>0</v>
      </c>
      <c r="CF119" s="250">
        <f>INDEX(연료전지_원본!$KB$4:$KX$369,MATCH($A119,연료전지_원본!$KB$4:$KB$369,0), MATCH(CF$4,연료전지_원본!$KB$4:$KX$4,0))*1000</f>
        <v>0</v>
      </c>
      <c r="CG119" s="250">
        <f>INDEX(연료전지_원본!$KB$4:$KX$369,MATCH($A119,연료전지_원본!$KB$4:$KB$369,0), MATCH(CG$4,연료전지_원본!$KB$4:$KX$4,0))*1000</f>
        <v>0</v>
      </c>
      <c r="CH119" s="250">
        <f>INDEX(연료전지_원본!$KB$4:$KX$369,MATCH($A119,연료전지_원본!$KB$4:$KB$369,0), MATCH(CH$4,연료전지_원본!$KB$4:$KX$4,0))*1000</f>
        <v>0</v>
      </c>
      <c r="CI119" s="250">
        <f>INDEX(연료전지_원본!$KB$4:$KX$369,MATCH($A119,연료전지_원본!$KB$4:$KB$369,0), MATCH(CI$4,연료전지_원본!$KB$4:$KX$4,0))*1000</f>
        <v>0</v>
      </c>
      <c r="CJ119" s="250">
        <f>INDEX(연료전지_원본!$KB$4:$KX$369,MATCH($A119,연료전지_원본!$KB$4:$KB$369,0), MATCH(CJ$4,연료전지_원본!$KB$4:$KX$4,0))*1000</f>
        <v>0</v>
      </c>
      <c r="CK119" s="250">
        <f>INDEX(연료전지_원본!$KB$4:$KX$369,MATCH($A119,연료전지_원본!$KB$4:$KB$369,0), MATCH(CK$4,연료전지_원본!$KB$4:$KX$4,0))*1000</f>
        <v>0</v>
      </c>
      <c r="CL119" s="250">
        <f>INDEX(연료전지_원본!$KB$4:$KX$369,MATCH($A119,연료전지_원본!$KB$4:$KB$369,0), MATCH(CL$4,연료전지_원본!$KB$4:$KX$4,0))*1000</f>
        <v>0</v>
      </c>
      <c r="CM119" s="250">
        <f>INDEX(연료전지_원본!$KB$4:$KX$369,MATCH($A119,연료전지_원본!$KB$4:$KB$369,0), MATCH(CM$4,연료전지_원본!$KB$4:$KX$4,0))*1000</f>
        <v>0</v>
      </c>
      <c r="CN119" s="250">
        <f>INDEX(연료전지_원본!$KB$4:$KX$369,MATCH($A119,연료전지_원본!$KB$4:$KB$369,0), MATCH(CN$4,연료전지_원본!$KB$4:$KX$4,0))*1000</f>
        <v>0</v>
      </c>
      <c r="CO119" s="250">
        <f>INDEX(연료전지_원본!$KB$4:$KX$369,MATCH($A119,연료전지_원본!$KB$4:$KB$369,0), MATCH(CO$4,연료전지_원본!$KB$4:$KX$4,0))*1000</f>
        <v>0</v>
      </c>
      <c r="CP119" s="250">
        <f>INDEX(연료전지_원본!$KB$4:$KX$369,MATCH($A119,연료전지_원본!$KB$4:$KB$369,0), MATCH(CP$4,연료전지_원본!$KB$4:$KX$4,0))*1000</f>
        <v>0</v>
      </c>
      <c r="CQ119" s="250">
        <f>INDEX(연료전지_원본!$KB$4:$KX$369,MATCH($A119,연료전지_원본!$KB$4:$KB$369,0), MATCH(CQ$4,연료전지_원본!$KB$4:$KX$4,0))*1000</f>
        <v>0</v>
      </c>
      <c r="CR119" s="250">
        <f>INDEX(연료전지_원본!$KB$4:$KX$369,MATCH($A119,연료전지_원본!$KB$4:$KB$369,0), MATCH(CR$4,연료전지_원본!$KB$4:$KX$4,0))*1000</f>
        <v>0</v>
      </c>
      <c r="CS119" s="250">
        <f>INDEX(연료전지_원본!$KB$4:$KX$369,MATCH($A119,연료전지_원본!$KB$4:$KB$369,0), MATCH(CS$4,연료전지_원본!$KB$4:$KX$4,0))*1000</f>
        <v>0</v>
      </c>
      <c r="CT119" s="250">
        <f>INDEX(연료전지_원본!$KB$4:$KX$369,MATCH($A119,연료전지_원본!$KB$4:$KB$369,0), MATCH(CT$4,연료전지_원본!$KB$4:$KX$4,0))*1000</f>
        <v>0</v>
      </c>
      <c r="CU119" s="250">
        <f>INDEX(연료전지_원본!$KB$4:$KX$369,MATCH($A119,연료전지_원본!$KB$4:$KB$369,0), MATCH(CU$4,연료전지_원본!$KB$4:$KX$4,0))*1000</f>
        <v>0</v>
      </c>
      <c r="CV119" s="250">
        <f>INDEX(연료전지_원본!$KB$4:$KX$369,MATCH($A119,연료전지_원본!$KB$4:$KB$369,0), MATCH(CV$4,연료전지_원본!$KB$4:$KX$4,0))*1000</f>
        <v>0</v>
      </c>
      <c r="CW119" s="250">
        <f>INDEX(연료전지_원본!$KB$4:$KX$369,MATCH($A119,연료전지_원본!$KB$4:$KB$369,0), MATCH(CW$4,연료전지_원본!$KB$4:$KX$4,0))*1000</f>
        <v>0</v>
      </c>
      <c r="CX119" s="250">
        <f>INDEX(연료전지_원본!$KB$4:$KX$369,MATCH($A119,연료전지_원본!$KB$4:$KB$369,0), MATCH(CX$4,연료전지_원본!$KB$4:$KX$4,0))*1000</f>
        <v>0</v>
      </c>
      <c r="CY119" s="250">
        <f>INDEX(연료전지_원본!$KB$4:$KX$369,MATCH($A119,연료전지_원본!$KB$4:$KB$369,0), MATCH(CY$4,연료전지_원본!$KB$4:$KX$4,0))*1000</f>
        <v>0</v>
      </c>
      <c r="DV119" s="30">
        <f t="shared" si="623"/>
        <v>0</v>
      </c>
    </row>
    <row r="120" spans="1:126">
      <c r="A120" s="6">
        <v>46137</v>
      </c>
      <c r="B120" s="15">
        <f>운전실적_원본!B120</f>
        <v>0</v>
      </c>
      <c r="C120" s="16" t="str">
        <f t="shared" si="629"/>
        <v/>
      </c>
      <c r="D120" s="12">
        <f>운전실적_원본!C120</f>
        <v>0</v>
      </c>
      <c r="E120" s="12" t="str">
        <f t="shared" si="630"/>
        <v/>
      </c>
      <c r="F120" s="12">
        <f>운전실적_원본!D120</f>
        <v>0</v>
      </c>
      <c r="G120" s="16" t="str">
        <f t="shared" si="631"/>
        <v/>
      </c>
      <c r="H120" s="15">
        <f>운전실적_원본!E120</f>
        <v>0</v>
      </c>
      <c r="I120" s="16" t="str">
        <f t="shared" si="632"/>
        <v/>
      </c>
      <c r="J120" s="15">
        <f>운전실적_원본!F120</f>
        <v>0</v>
      </c>
      <c r="K120" s="16" t="str">
        <f t="shared" si="632"/>
        <v/>
      </c>
      <c r="L120" s="32">
        <f>운전실적_원본!G120</f>
        <v>0</v>
      </c>
      <c r="M120" s="31" t="str">
        <f t="shared" ref="M120" si="714">IF(OR(LEN(L120)=0,L120=0),"",L120-L119)</f>
        <v/>
      </c>
      <c r="N120" s="15">
        <f>운전실적_원본!H120</f>
        <v>0</v>
      </c>
      <c r="O120" s="16" t="str">
        <f t="shared" ref="O120" si="715">IF(OR(LEN(N120)=0,N120=0),"",N120-N119)</f>
        <v/>
      </c>
      <c r="P120" s="15">
        <f>운전실적_원본!I120</f>
        <v>0</v>
      </c>
      <c r="Q120" s="16" t="str">
        <f t="shared" ref="Q120" si="716">IF(OR(LEN(P120)=0,P120=0),"",P120-P119)</f>
        <v/>
      </c>
      <c r="R120" s="18">
        <f>운전실적_원본!J120</f>
        <v>0</v>
      </c>
      <c r="S120" s="19" t="str">
        <f t="shared" ref="S120" si="717">IF(OR(LEN(R120)=0,R120=0),"",R120-R119)</f>
        <v/>
      </c>
      <c r="T120" s="18">
        <f>운전실적_원본!K120</f>
        <v>0</v>
      </c>
      <c r="U120" s="19" t="str">
        <f t="shared" si="637"/>
        <v/>
      </c>
      <c r="V120" s="12">
        <f>운전실적_원본!L120</f>
        <v>0</v>
      </c>
      <c r="W120" s="16" t="str">
        <f t="shared" ref="W120" si="718">IF(OR(LEN(V120)=0,V120=0),"",V120-V119)</f>
        <v/>
      </c>
      <c r="X120" s="10">
        <f>운전실적_원본!M120</f>
        <v>0</v>
      </c>
      <c r="Y120" s="10">
        <f>운전실적_원본!N120</f>
        <v>0</v>
      </c>
      <c r="Z120" s="10">
        <f>운전실적_원본!O120</f>
        <v>0</v>
      </c>
      <c r="AA120" s="10">
        <f>운전실적_원본!P120</f>
        <v>0</v>
      </c>
      <c r="AB120" s="10">
        <f>운전실적_원본!Q120</f>
        <v>0</v>
      </c>
      <c r="AC120" s="20">
        <f>운전실적_원본!R120</f>
        <v>0</v>
      </c>
      <c r="AD120" s="109">
        <f>운전실적_원본!S120</f>
        <v>0</v>
      </c>
      <c r="AE120" s="110">
        <f>운전실적_원본!T120</f>
        <v>0</v>
      </c>
      <c r="AF120" s="110">
        <f>운전실적_원본!U120</f>
        <v>0</v>
      </c>
      <c r="AG120" s="110">
        <f>운전실적_원본!V120</f>
        <v>0</v>
      </c>
      <c r="AH120" s="109">
        <f t="shared" si="460"/>
        <v>0</v>
      </c>
      <c r="AI120" s="110">
        <f t="shared" si="467"/>
        <v>0</v>
      </c>
      <c r="AJ120" s="110">
        <f>운전실적_원본!Y120</f>
        <v>0</v>
      </c>
      <c r="AK120" s="110">
        <f>운전실적_원본!Z120</f>
        <v>0</v>
      </c>
      <c r="AL120" s="106"/>
      <c r="AM120" s="105"/>
      <c r="AN120" s="105"/>
      <c r="AO120" s="105"/>
      <c r="AP120" s="105"/>
      <c r="AQ120" s="108"/>
      <c r="AR120" s="105"/>
      <c r="AS120" s="105"/>
      <c r="AT120" s="102"/>
      <c r="AU120" s="102"/>
      <c r="AV120" s="102"/>
      <c r="AW120" s="102"/>
      <c r="AX120" s="32">
        <f>운전실적_원본!W120</f>
        <v>0</v>
      </c>
      <c r="AY120" s="11">
        <f>운전실적_원본!X120</f>
        <v>0</v>
      </c>
      <c r="AZ120" s="11">
        <f>운전실적_원본!Y120</f>
        <v>0</v>
      </c>
      <c r="BA120" s="11">
        <f>운전실적_원본!Z120</f>
        <v>0</v>
      </c>
      <c r="BB120" s="11">
        <f>운전실적_원본!AA120</f>
        <v>0</v>
      </c>
      <c r="BC120" s="11">
        <f>운전실적_원본!AB120</f>
        <v>0</v>
      </c>
      <c r="BD120" s="32" t="str">
        <f t="shared" si="453"/>
        <v>-</v>
      </c>
      <c r="BE120" s="11" t="str">
        <f t="shared" si="461"/>
        <v>-</v>
      </c>
      <c r="BF120" s="11">
        <f>운전실적_원본!AE120</f>
        <v>0</v>
      </c>
      <c r="BG120" s="31">
        <f t="shared" si="454"/>
        <v>0</v>
      </c>
      <c r="BH120" s="241">
        <f>INDEX(연료전지_원본!$A$4:$KY$369,MATCH($A120,연료전지_원본!$A$4:$A$369,0),MATCH($BH$4,연료전지_원본!$A$4:$KY$4,0))</f>
        <v>0</v>
      </c>
      <c r="BI120" s="241">
        <f>INDEX(연료전지_원본!$A$4:$KY$369,MATCH($A120,연료전지_원본!$A$4:$A$369,0),MATCH($BI$4,연료전지_원본!$A$4:$KY$4,0))</f>
        <v>0</v>
      </c>
      <c r="BJ120" s="241">
        <f>INDEX(연료전지_원본!$A$4:$KY$369,MATCH($A120,연료전지_원본!$A$4:$A$369,0),MATCH($BJ$4,연료전지_원본!$A$4:$KY$4,0))</f>
        <v>0</v>
      </c>
      <c r="BK120" s="241">
        <f>INDEX(연료전지_원본!$A$4:$KY$369,MATCH($A120,연료전지_원본!$A$4:$A$369,0),MATCH($BK$4,연료전지_원본!$A$4:$KY$4,0))</f>
        <v>0</v>
      </c>
      <c r="BL120" s="241">
        <f>INDEX(연료전지_원본!$A$4:$KY$369,MATCH($A120,연료전지_원본!$A$4:$A$369,0),MATCH($BL$4,연료전지_원본!$A$4:$KY$4,0))</f>
        <v>0</v>
      </c>
      <c r="BM120" s="241">
        <f>INDEX(연료전지_원본!$A$4:$KY$369,MATCH($A120,연료전지_원본!$A$4:$A$369,0),MATCH($BM$4,연료전지_원본!$A$4:$KY$4,0))</f>
        <v>0</v>
      </c>
      <c r="BN120" s="241">
        <f>INDEX(연료전지_원본!$A$4:$KY$369,MATCH($A120,연료전지_원본!$A$4:$A$369,0),MATCH($BN$4,연료전지_원본!$A$4:$KY$4,0))</f>
        <v>0</v>
      </c>
      <c r="BO120" s="241">
        <f>INDEX(연료전지_원본!$A$4:$KY$369,MATCH($A120,연료전지_원본!$A$4:$A$369,0),MATCH($BO$4,연료전지_원본!$A$4:$KY$4,0))</f>
        <v>0</v>
      </c>
      <c r="BP120" s="241">
        <f>INDEX(연료전지_원본!$A$4:$KY$369,MATCH($A120,연료전지_원본!$A$4:$A$369,0),MATCH($BP$4,연료전지_원본!$A$4:$KY$4,0))</f>
        <v>0</v>
      </c>
      <c r="BQ120" s="241">
        <f>INDEX(연료전지_원본!$A$4:$KY$369,MATCH($A120,연료전지_원본!$A$4:$A$369,0),MATCH($BQ$4,연료전지_원본!$A$4:$KY$4,0))</f>
        <v>0</v>
      </c>
      <c r="BR120" s="241">
        <f>INDEX(연료전지_원본!$A$4:$KY$369,MATCH($A120,연료전지_원본!$A$4:$A$369,0),MATCH($BR$4,연료전지_원본!$A$4:$KY$4,0))</f>
        <v>0</v>
      </c>
      <c r="BS120" s="241">
        <f>INDEX(연료전지_원본!$A$4:$KY$369,MATCH($A120,연료전지_원본!$A$4:$A$369,0),MATCH($BS$4,연료전지_원본!$A$4:$KY$4,0))</f>
        <v>0</v>
      </c>
      <c r="BT120" s="241">
        <f>INDEX(연료전지_원본!$A$4:$KY$369,MATCH($A120,연료전지_원본!$A$4:$A$369,0),MATCH($BT$4,연료전지_원본!$A$4:$KY$4,0))</f>
        <v>0</v>
      </c>
      <c r="BU120" s="241">
        <f>INDEX(연료전지_원본!$A$4:$KY$369,MATCH($A120,연료전지_원본!$A$4:$A$369,0),MATCH($BU$4,연료전지_원본!$A$4:$KY$4,0))</f>
        <v>0</v>
      </c>
      <c r="BV120" s="241">
        <f>INDEX(연료전지_원본!$A$4:$KY$369,MATCH($A120,연료전지_원본!$A$4:$A$369,0),MATCH($BV$4,연료전지_원본!$A$4:$KY$4,0))</f>
        <v>0</v>
      </c>
      <c r="BW120" s="241">
        <f>INDEX(연료전지_원본!$A$4:$KY$369,MATCH($A120,연료전지_원본!$A$4:$A$369,0),MATCH($BW$4,연료전지_원본!$A$4:$KY$4,0))</f>
        <v>0</v>
      </c>
      <c r="BX120" s="241">
        <f>INDEX(연료전지_원본!$A$4:$KY$369,MATCH($A120,연료전지_원본!$A$4:$A$369,0),MATCH($BX$4,연료전지_원본!$A$4:$KY$4,0))</f>
        <v>0</v>
      </c>
      <c r="BY120" s="241">
        <f>INDEX(연료전지_원본!$A$4:$KY$369,MATCH($A120,연료전지_원본!$A$4:$A$369,0),MATCH($BY$4,연료전지_원본!$A$4:$KY$4,0))</f>
        <v>0</v>
      </c>
      <c r="BZ120" s="241">
        <f>INDEX(연료전지_원본!$A$4:$KY$369,MATCH($A120,연료전지_원본!$A$4:$A$369,0),MATCH($BZ$4,연료전지_원본!$A$4:$KY$4,0))</f>
        <v>0</v>
      </c>
      <c r="CA120" s="241">
        <f>INDEX(연료전지_원본!$A$4:$KY$369,MATCH($A120,연료전지_원본!$A$4:$A$369,0),MATCH($CA$4,연료전지_원본!$A$4:$KY$4,0))</f>
        <v>0</v>
      </c>
      <c r="CB120" s="241">
        <f>INDEX(연료전지_원본!$A$4:$KY$369,MATCH($A120,연료전지_원본!$A$4:$A$369,0),MATCH($CB$4,연료전지_원본!$A$4:$KY$4,0))</f>
        <v>0</v>
      </c>
      <c r="CC120" s="242">
        <f>INDEX(연료전지_원본!$A$4:$KY$369,MATCH($A120,연료전지_원본!$A$4:$A$369,0),MATCH($CC$4,연료전지_원본!$A$4:$KY$4,0))</f>
        <v>0</v>
      </c>
      <c r="CD120" s="250">
        <f>INDEX(연료전지_원본!$KB$4:$KX$369,MATCH($A120,연료전지_원본!$KB$4:$KB$369,0), MATCH(CD$4,연료전지_원본!$KB$4:$KX$4,0))*1000</f>
        <v>0</v>
      </c>
      <c r="CE120" s="250">
        <f>INDEX(연료전지_원본!$KB$4:$KX$369,MATCH($A120,연료전지_원본!$KB$4:$KB$369,0), MATCH(CE$4,연료전지_원본!$KB$4:$KX$4,0))*1000</f>
        <v>0</v>
      </c>
      <c r="CF120" s="250">
        <f>INDEX(연료전지_원본!$KB$4:$KX$369,MATCH($A120,연료전지_원본!$KB$4:$KB$369,0), MATCH(CF$4,연료전지_원본!$KB$4:$KX$4,0))*1000</f>
        <v>0</v>
      </c>
      <c r="CG120" s="250">
        <f>INDEX(연료전지_원본!$KB$4:$KX$369,MATCH($A120,연료전지_원본!$KB$4:$KB$369,0), MATCH(CG$4,연료전지_원본!$KB$4:$KX$4,0))*1000</f>
        <v>0</v>
      </c>
      <c r="CH120" s="250">
        <f>INDEX(연료전지_원본!$KB$4:$KX$369,MATCH($A120,연료전지_원본!$KB$4:$KB$369,0), MATCH(CH$4,연료전지_원본!$KB$4:$KX$4,0))*1000</f>
        <v>0</v>
      </c>
      <c r="CI120" s="250">
        <f>INDEX(연료전지_원본!$KB$4:$KX$369,MATCH($A120,연료전지_원본!$KB$4:$KB$369,0), MATCH(CI$4,연료전지_원본!$KB$4:$KX$4,0))*1000</f>
        <v>0</v>
      </c>
      <c r="CJ120" s="250">
        <f>INDEX(연료전지_원본!$KB$4:$KX$369,MATCH($A120,연료전지_원본!$KB$4:$KB$369,0), MATCH(CJ$4,연료전지_원본!$KB$4:$KX$4,0))*1000</f>
        <v>0</v>
      </c>
      <c r="CK120" s="250">
        <f>INDEX(연료전지_원본!$KB$4:$KX$369,MATCH($A120,연료전지_원본!$KB$4:$KB$369,0), MATCH(CK$4,연료전지_원본!$KB$4:$KX$4,0))*1000</f>
        <v>0</v>
      </c>
      <c r="CL120" s="250">
        <f>INDEX(연료전지_원본!$KB$4:$KX$369,MATCH($A120,연료전지_원본!$KB$4:$KB$369,0), MATCH(CL$4,연료전지_원본!$KB$4:$KX$4,0))*1000</f>
        <v>0</v>
      </c>
      <c r="CM120" s="250">
        <f>INDEX(연료전지_원본!$KB$4:$KX$369,MATCH($A120,연료전지_원본!$KB$4:$KB$369,0), MATCH(CM$4,연료전지_원본!$KB$4:$KX$4,0))*1000</f>
        <v>0</v>
      </c>
      <c r="CN120" s="250">
        <f>INDEX(연료전지_원본!$KB$4:$KX$369,MATCH($A120,연료전지_원본!$KB$4:$KB$369,0), MATCH(CN$4,연료전지_원본!$KB$4:$KX$4,0))*1000</f>
        <v>0</v>
      </c>
      <c r="CO120" s="250">
        <f>INDEX(연료전지_원본!$KB$4:$KX$369,MATCH($A120,연료전지_원본!$KB$4:$KB$369,0), MATCH(CO$4,연료전지_원본!$KB$4:$KX$4,0))*1000</f>
        <v>0</v>
      </c>
      <c r="CP120" s="250">
        <f>INDEX(연료전지_원본!$KB$4:$KX$369,MATCH($A120,연료전지_원본!$KB$4:$KB$369,0), MATCH(CP$4,연료전지_원본!$KB$4:$KX$4,0))*1000</f>
        <v>0</v>
      </c>
      <c r="CQ120" s="250">
        <f>INDEX(연료전지_원본!$KB$4:$KX$369,MATCH($A120,연료전지_원본!$KB$4:$KB$369,0), MATCH(CQ$4,연료전지_원본!$KB$4:$KX$4,0))*1000</f>
        <v>0</v>
      </c>
      <c r="CR120" s="250">
        <f>INDEX(연료전지_원본!$KB$4:$KX$369,MATCH($A120,연료전지_원본!$KB$4:$KB$369,0), MATCH(CR$4,연료전지_원본!$KB$4:$KX$4,0))*1000</f>
        <v>0</v>
      </c>
      <c r="CS120" s="250">
        <f>INDEX(연료전지_원본!$KB$4:$KX$369,MATCH($A120,연료전지_원본!$KB$4:$KB$369,0), MATCH(CS$4,연료전지_원본!$KB$4:$KX$4,0))*1000</f>
        <v>0</v>
      </c>
      <c r="CT120" s="250">
        <f>INDEX(연료전지_원본!$KB$4:$KX$369,MATCH($A120,연료전지_원본!$KB$4:$KB$369,0), MATCH(CT$4,연료전지_원본!$KB$4:$KX$4,0))*1000</f>
        <v>0</v>
      </c>
      <c r="CU120" s="250">
        <f>INDEX(연료전지_원본!$KB$4:$KX$369,MATCH($A120,연료전지_원본!$KB$4:$KB$369,0), MATCH(CU$4,연료전지_원본!$KB$4:$KX$4,0))*1000</f>
        <v>0</v>
      </c>
      <c r="CV120" s="250">
        <f>INDEX(연료전지_원본!$KB$4:$KX$369,MATCH($A120,연료전지_원본!$KB$4:$KB$369,0), MATCH(CV$4,연료전지_원본!$KB$4:$KX$4,0))*1000</f>
        <v>0</v>
      </c>
      <c r="CW120" s="250">
        <f>INDEX(연료전지_원본!$KB$4:$KX$369,MATCH($A120,연료전지_원본!$KB$4:$KB$369,0), MATCH(CW$4,연료전지_원본!$KB$4:$KX$4,0))*1000</f>
        <v>0</v>
      </c>
      <c r="CX120" s="250">
        <f>INDEX(연료전지_원본!$KB$4:$KX$369,MATCH($A120,연료전지_원본!$KB$4:$KB$369,0), MATCH(CX$4,연료전지_원본!$KB$4:$KX$4,0))*1000</f>
        <v>0</v>
      </c>
      <c r="CY120" s="250">
        <f>INDEX(연료전지_원본!$KB$4:$KX$369,MATCH($A120,연료전지_원본!$KB$4:$KB$369,0), MATCH(CY$4,연료전지_원본!$KB$4:$KX$4,0))*1000</f>
        <v>0</v>
      </c>
      <c r="DV120" s="30">
        <f t="shared" si="623"/>
        <v>0</v>
      </c>
    </row>
    <row r="121" spans="1:126">
      <c r="A121" s="6">
        <v>46138</v>
      </c>
      <c r="B121" s="15">
        <f>운전실적_원본!B121</f>
        <v>0</v>
      </c>
      <c r="C121" s="16" t="str">
        <f t="shared" si="629"/>
        <v/>
      </c>
      <c r="D121" s="12">
        <f>운전실적_원본!C121</f>
        <v>0</v>
      </c>
      <c r="E121" s="12" t="str">
        <f t="shared" si="630"/>
        <v/>
      </c>
      <c r="F121" s="12">
        <f>운전실적_원본!D121</f>
        <v>0</v>
      </c>
      <c r="G121" s="16" t="str">
        <f t="shared" si="631"/>
        <v/>
      </c>
      <c r="H121" s="15">
        <f>운전실적_원본!E121</f>
        <v>0</v>
      </c>
      <c r="I121" s="16" t="str">
        <f t="shared" si="632"/>
        <v/>
      </c>
      <c r="J121" s="15">
        <f>운전실적_원본!F121</f>
        <v>0</v>
      </c>
      <c r="K121" s="16" t="str">
        <f t="shared" si="632"/>
        <v/>
      </c>
      <c r="L121" s="32">
        <f>운전실적_원본!G121</f>
        <v>0</v>
      </c>
      <c r="M121" s="31" t="str">
        <f t="shared" ref="M121" si="719">IF(OR(LEN(L121)=0,L121=0),"",L121-L120)</f>
        <v/>
      </c>
      <c r="N121" s="15">
        <f>운전실적_원본!H121</f>
        <v>0</v>
      </c>
      <c r="O121" s="16" t="str">
        <f t="shared" ref="O121" si="720">IF(OR(LEN(N121)=0,N121=0),"",N121-N120)</f>
        <v/>
      </c>
      <c r="P121" s="15">
        <f>운전실적_원본!I121</f>
        <v>0</v>
      </c>
      <c r="Q121" s="16" t="str">
        <f t="shared" ref="Q121" si="721">IF(OR(LEN(P121)=0,P121=0),"",P121-P120)</f>
        <v/>
      </c>
      <c r="R121" s="18">
        <f>운전실적_원본!J121</f>
        <v>0</v>
      </c>
      <c r="S121" s="19" t="str">
        <f t="shared" ref="S121" si="722">IF(OR(LEN(R121)=0,R121=0),"",R121-R120)</f>
        <v/>
      </c>
      <c r="T121" s="18">
        <f>운전실적_원본!K121</f>
        <v>0</v>
      </c>
      <c r="U121" s="19" t="str">
        <f t="shared" si="637"/>
        <v/>
      </c>
      <c r="V121" s="12">
        <f>운전실적_원본!L121</f>
        <v>0</v>
      </c>
      <c r="W121" s="16" t="str">
        <f t="shared" ref="W121" si="723">IF(OR(LEN(V121)=0,V121=0),"",V121-V120)</f>
        <v/>
      </c>
      <c r="X121" s="10">
        <f>운전실적_원본!M121</f>
        <v>0</v>
      </c>
      <c r="Y121" s="10">
        <f>운전실적_원본!N121</f>
        <v>0</v>
      </c>
      <c r="Z121" s="10">
        <f>운전실적_원본!O121</f>
        <v>0</v>
      </c>
      <c r="AA121" s="10">
        <f>운전실적_원본!P121</f>
        <v>0</v>
      </c>
      <c r="AB121" s="10">
        <f>운전실적_원본!Q121</f>
        <v>0</v>
      </c>
      <c r="AC121" s="20">
        <f>운전실적_원본!R121</f>
        <v>0</v>
      </c>
      <c r="AD121" s="109">
        <f>운전실적_원본!S121</f>
        <v>0</v>
      </c>
      <c r="AE121" s="110">
        <f>운전실적_원본!T121</f>
        <v>0</v>
      </c>
      <c r="AF121" s="110">
        <f>운전실적_원본!U121</f>
        <v>0</v>
      </c>
      <c r="AG121" s="110">
        <f>운전실적_원본!V121</f>
        <v>0</v>
      </c>
      <c r="AH121" s="109">
        <f t="shared" si="460"/>
        <v>0</v>
      </c>
      <c r="AI121" s="110">
        <f t="shared" si="467"/>
        <v>0</v>
      </c>
      <c r="AJ121" s="110">
        <f>운전실적_원본!Y121</f>
        <v>0</v>
      </c>
      <c r="AK121" s="110">
        <f>운전실적_원본!Z121</f>
        <v>0</v>
      </c>
      <c r="AL121" s="106"/>
      <c r="AM121" s="105"/>
      <c r="AN121" s="105"/>
      <c r="AO121" s="105"/>
      <c r="AP121" s="105"/>
      <c r="AQ121" s="108"/>
      <c r="AR121" s="105"/>
      <c r="AS121" s="105"/>
      <c r="AT121" s="102"/>
      <c r="AU121" s="102"/>
      <c r="AV121" s="102"/>
      <c r="AW121" s="102"/>
      <c r="AX121" s="32">
        <f>운전실적_원본!W121</f>
        <v>0</v>
      </c>
      <c r="AY121" s="11">
        <f>운전실적_원본!X121</f>
        <v>0</v>
      </c>
      <c r="AZ121" s="11">
        <f>운전실적_원본!Y121</f>
        <v>0</v>
      </c>
      <c r="BA121" s="11">
        <f>운전실적_원본!Z121</f>
        <v>0</v>
      </c>
      <c r="BB121" s="11">
        <f>운전실적_원본!AA121</f>
        <v>0</v>
      </c>
      <c r="BC121" s="11">
        <f>운전실적_원본!AB121</f>
        <v>0</v>
      </c>
      <c r="BD121" s="32" t="str">
        <f t="shared" si="453"/>
        <v>-</v>
      </c>
      <c r="BE121" s="11" t="str">
        <f t="shared" si="461"/>
        <v>-</v>
      </c>
      <c r="BF121" s="11">
        <f>운전실적_원본!AE121</f>
        <v>0</v>
      </c>
      <c r="BG121" s="31">
        <f t="shared" si="454"/>
        <v>0</v>
      </c>
      <c r="BH121" s="241">
        <f>INDEX(연료전지_원본!$A$4:$KY$369,MATCH($A121,연료전지_원본!$A$4:$A$369,0),MATCH($BH$4,연료전지_원본!$A$4:$KY$4,0))</f>
        <v>0</v>
      </c>
      <c r="BI121" s="241">
        <f>INDEX(연료전지_원본!$A$4:$KY$369,MATCH($A121,연료전지_원본!$A$4:$A$369,0),MATCH($BI$4,연료전지_원본!$A$4:$KY$4,0))</f>
        <v>0</v>
      </c>
      <c r="BJ121" s="241">
        <f>INDEX(연료전지_원본!$A$4:$KY$369,MATCH($A121,연료전지_원본!$A$4:$A$369,0),MATCH($BJ$4,연료전지_원본!$A$4:$KY$4,0))</f>
        <v>0</v>
      </c>
      <c r="BK121" s="241">
        <f>INDEX(연료전지_원본!$A$4:$KY$369,MATCH($A121,연료전지_원본!$A$4:$A$369,0),MATCH($BK$4,연료전지_원본!$A$4:$KY$4,0))</f>
        <v>0</v>
      </c>
      <c r="BL121" s="241">
        <f>INDEX(연료전지_원본!$A$4:$KY$369,MATCH($A121,연료전지_원본!$A$4:$A$369,0),MATCH($BL$4,연료전지_원본!$A$4:$KY$4,0))</f>
        <v>0</v>
      </c>
      <c r="BM121" s="241">
        <f>INDEX(연료전지_원본!$A$4:$KY$369,MATCH($A121,연료전지_원본!$A$4:$A$369,0),MATCH($BM$4,연료전지_원본!$A$4:$KY$4,0))</f>
        <v>0</v>
      </c>
      <c r="BN121" s="241">
        <f>INDEX(연료전지_원본!$A$4:$KY$369,MATCH($A121,연료전지_원본!$A$4:$A$369,0),MATCH($BN$4,연료전지_원본!$A$4:$KY$4,0))</f>
        <v>0</v>
      </c>
      <c r="BO121" s="241">
        <f>INDEX(연료전지_원본!$A$4:$KY$369,MATCH($A121,연료전지_원본!$A$4:$A$369,0),MATCH($BO$4,연료전지_원본!$A$4:$KY$4,0))</f>
        <v>0</v>
      </c>
      <c r="BP121" s="241">
        <f>INDEX(연료전지_원본!$A$4:$KY$369,MATCH($A121,연료전지_원본!$A$4:$A$369,0),MATCH($BP$4,연료전지_원본!$A$4:$KY$4,0))</f>
        <v>0</v>
      </c>
      <c r="BQ121" s="241">
        <f>INDEX(연료전지_원본!$A$4:$KY$369,MATCH($A121,연료전지_원본!$A$4:$A$369,0),MATCH($BQ$4,연료전지_원본!$A$4:$KY$4,0))</f>
        <v>0</v>
      </c>
      <c r="BR121" s="241">
        <f>INDEX(연료전지_원본!$A$4:$KY$369,MATCH($A121,연료전지_원본!$A$4:$A$369,0),MATCH($BR$4,연료전지_원본!$A$4:$KY$4,0))</f>
        <v>0</v>
      </c>
      <c r="BS121" s="241">
        <f>INDEX(연료전지_원본!$A$4:$KY$369,MATCH($A121,연료전지_원본!$A$4:$A$369,0),MATCH($BS$4,연료전지_원본!$A$4:$KY$4,0))</f>
        <v>0</v>
      </c>
      <c r="BT121" s="241">
        <f>INDEX(연료전지_원본!$A$4:$KY$369,MATCH($A121,연료전지_원본!$A$4:$A$369,0),MATCH($BT$4,연료전지_원본!$A$4:$KY$4,0))</f>
        <v>0</v>
      </c>
      <c r="BU121" s="241">
        <f>INDEX(연료전지_원본!$A$4:$KY$369,MATCH($A121,연료전지_원본!$A$4:$A$369,0),MATCH($BU$4,연료전지_원본!$A$4:$KY$4,0))</f>
        <v>0</v>
      </c>
      <c r="BV121" s="241">
        <f>INDEX(연료전지_원본!$A$4:$KY$369,MATCH($A121,연료전지_원본!$A$4:$A$369,0),MATCH($BV$4,연료전지_원본!$A$4:$KY$4,0))</f>
        <v>0</v>
      </c>
      <c r="BW121" s="241">
        <f>INDEX(연료전지_원본!$A$4:$KY$369,MATCH($A121,연료전지_원본!$A$4:$A$369,0),MATCH($BW$4,연료전지_원본!$A$4:$KY$4,0))</f>
        <v>0</v>
      </c>
      <c r="BX121" s="241">
        <f>INDEX(연료전지_원본!$A$4:$KY$369,MATCH($A121,연료전지_원본!$A$4:$A$369,0),MATCH($BX$4,연료전지_원본!$A$4:$KY$4,0))</f>
        <v>0</v>
      </c>
      <c r="BY121" s="241">
        <f>INDEX(연료전지_원본!$A$4:$KY$369,MATCH($A121,연료전지_원본!$A$4:$A$369,0),MATCH($BY$4,연료전지_원본!$A$4:$KY$4,0))</f>
        <v>0</v>
      </c>
      <c r="BZ121" s="241">
        <f>INDEX(연료전지_원본!$A$4:$KY$369,MATCH($A121,연료전지_원본!$A$4:$A$369,0),MATCH($BZ$4,연료전지_원본!$A$4:$KY$4,0))</f>
        <v>0</v>
      </c>
      <c r="CA121" s="241">
        <f>INDEX(연료전지_원본!$A$4:$KY$369,MATCH($A121,연료전지_원본!$A$4:$A$369,0),MATCH($CA$4,연료전지_원본!$A$4:$KY$4,0))</f>
        <v>0</v>
      </c>
      <c r="CB121" s="241">
        <f>INDEX(연료전지_원본!$A$4:$KY$369,MATCH($A121,연료전지_원본!$A$4:$A$369,0),MATCH($CB$4,연료전지_원본!$A$4:$KY$4,0))</f>
        <v>0</v>
      </c>
      <c r="CC121" s="242">
        <f>INDEX(연료전지_원본!$A$4:$KY$369,MATCH($A121,연료전지_원본!$A$4:$A$369,0),MATCH($CC$4,연료전지_원본!$A$4:$KY$4,0))</f>
        <v>0</v>
      </c>
      <c r="CD121" s="250">
        <f>INDEX(연료전지_원본!$KB$4:$KX$369,MATCH($A121,연료전지_원본!$KB$4:$KB$369,0), MATCH(CD$4,연료전지_원본!$KB$4:$KX$4,0))*1000</f>
        <v>0</v>
      </c>
      <c r="CE121" s="250">
        <f>INDEX(연료전지_원본!$KB$4:$KX$369,MATCH($A121,연료전지_원본!$KB$4:$KB$369,0), MATCH(CE$4,연료전지_원본!$KB$4:$KX$4,0))*1000</f>
        <v>0</v>
      </c>
      <c r="CF121" s="250">
        <f>INDEX(연료전지_원본!$KB$4:$KX$369,MATCH($A121,연료전지_원본!$KB$4:$KB$369,0), MATCH(CF$4,연료전지_원본!$KB$4:$KX$4,0))*1000</f>
        <v>0</v>
      </c>
      <c r="CG121" s="250">
        <f>INDEX(연료전지_원본!$KB$4:$KX$369,MATCH($A121,연료전지_원본!$KB$4:$KB$369,0), MATCH(CG$4,연료전지_원본!$KB$4:$KX$4,0))*1000</f>
        <v>0</v>
      </c>
      <c r="CH121" s="250">
        <f>INDEX(연료전지_원본!$KB$4:$KX$369,MATCH($A121,연료전지_원본!$KB$4:$KB$369,0), MATCH(CH$4,연료전지_원본!$KB$4:$KX$4,0))*1000</f>
        <v>0</v>
      </c>
      <c r="CI121" s="250">
        <f>INDEX(연료전지_원본!$KB$4:$KX$369,MATCH($A121,연료전지_원본!$KB$4:$KB$369,0), MATCH(CI$4,연료전지_원본!$KB$4:$KX$4,0))*1000</f>
        <v>0</v>
      </c>
      <c r="CJ121" s="250">
        <f>INDEX(연료전지_원본!$KB$4:$KX$369,MATCH($A121,연료전지_원본!$KB$4:$KB$369,0), MATCH(CJ$4,연료전지_원본!$KB$4:$KX$4,0))*1000</f>
        <v>0</v>
      </c>
      <c r="CK121" s="250">
        <f>INDEX(연료전지_원본!$KB$4:$KX$369,MATCH($A121,연료전지_원본!$KB$4:$KB$369,0), MATCH(CK$4,연료전지_원본!$KB$4:$KX$4,0))*1000</f>
        <v>0</v>
      </c>
      <c r="CL121" s="250">
        <f>INDEX(연료전지_원본!$KB$4:$KX$369,MATCH($A121,연료전지_원본!$KB$4:$KB$369,0), MATCH(CL$4,연료전지_원본!$KB$4:$KX$4,0))*1000</f>
        <v>0</v>
      </c>
      <c r="CM121" s="250">
        <f>INDEX(연료전지_원본!$KB$4:$KX$369,MATCH($A121,연료전지_원본!$KB$4:$KB$369,0), MATCH(CM$4,연료전지_원본!$KB$4:$KX$4,0))*1000</f>
        <v>0</v>
      </c>
      <c r="CN121" s="250">
        <f>INDEX(연료전지_원본!$KB$4:$KX$369,MATCH($A121,연료전지_원본!$KB$4:$KB$369,0), MATCH(CN$4,연료전지_원본!$KB$4:$KX$4,0))*1000</f>
        <v>0</v>
      </c>
      <c r="CO121" s="250">
        <f>INDEX(연료전지_원본!$KB$4:$KX$369,MATCH($A121,연료전지_원본!$KB$4:$KB$369,0), MATCH(CO$4,연료전지_원본!$KB$4:$KX$4,0))*1000</f>
        <v>0</v>
      </c>
      <c r="CP121" s="250">
        <f>INDEX(연료전지_원본!$KB$4:$KX$369,MATCH($A121,연료전지_원본!$KB$4:$KB$369,0), MATCH(CP$4,연료전지_원본!$KB$4:$KX$4,0))*1000</f>
        <v>0</v>
      </c>
      <c r="CQ121" s="250">
        <f>INDEX(연료전지_원본!$KB$4:$KX$369,MATCH($A121,연료전지_원본!$KB$4:$KB$369,0), MATCH(CQ$4,연료전지_원본!$KB$4:$KX$4,0))*1000</f>
        <v>0</v>
      </c>
      <c r="CR121" s="250">
        <f>INDEX(연료전지_원본!$KB$4:$KX$369,MATCH($A121,연료전지_원본!$KB$4:$KB$369,0), MATCH(CR$4,연료전지_원본!$KB$4:$KX$4,0))*1000</f>
        <v>0</v>
      </c>
      <c r="CS121" s="250">
        <f>INDEX(연료전지_원본!$KB$4:$KX$369,MATCH($A121,연료전지_원본!$KB$4:$KB$369,0), MATCH(CS$4,연료전지_원본!$KB$4:$KX$4,0))*1000</f>
        <v>0</v>
      </c>
      <c r="CT121" s="250">
        <f>INDEX(연료전지_원본!$KB$4:$KX$369,MATCH($A121,연료전지_원본!$KB$4:$KB$369,0), MATCH(CT$4,연료전지_원본!$KB$4:$KX$4,0))*1000</f>
        <v>0</v>
      </c>
      <c r="CU121" s="250">
        <f>INDEX(연료전지_원본!$KB$4:$KX$369,MATCH($A121,연료전지_원본!$KB$4:$KB$369,0), MATCH(CU$4,연료전지_원본!$KB$4:$KX$4,0))*1000</f>
        <v>0</v>
      </c>
      <c r="CV121" s="250">
        <f>INDEX(연료전지_원본!$KB$4:$KX$369,MATCH($A121,연료전지_원본!$KB$4:$KB$369,0), MATCH(CV$4,연료전지_원본!$KB$4:$KX$4,0))*1000</f>
        <v>0</v>
      </c>
      <c r="CW121" s="250">
        <f>INDEX(연료전지_원본!$KB$4:$KX$369,MATCH($A121,연료전지_원본!$KB$4:$KB$369,0), MATCH(CW$4,연료전지_원본!$KB$4:$KX$4,0))*1000</f>
        <v>0</v>
      </c>
      <c r="CX121" s="250">
        <f>INDEX(연료전지_원본!$KB$4:$KX$369,MATCH($A121,연료전지_원본!$KB$4:$KB$369,0), MATCH(CX$4,연료전지_원본!$KB$4:$KX$4,0))*1000</f>
        <v>0</v>
      </c>
      <c r="CY121" s="250">
        <f>INDEX(연료전지_원본!$KB$4:$KX$369,MATCH($A121,연료전지_원본!$KB$4:$KB$369,0), MATCH(CY$4,연료전지_원본!$KB$4:$KX$4,0))*1000</f>
        <v>0</v>
      </c>
      <c r="DV121" s="30">
        <f t="shared" si="623"/>
        <v>0</v>
      </c>
    </row>
    <row r="122" spans="1:126">
      <c r="A122" s="6">
        <v>46139</v>
      </c>
      <c r="B122" s="15">
        <f>운전실적_원본!B122</f>
        <v>0</v>
      </c>
      <c r="C122" s="16" t="str">
        <f t="shared" si="629"/>
        <v/>
      </c>
      <c r="D122" s="12">
        <f>운전실적_원본!C122</f>
        <v>0</v>
      </c>
      <c r="E122" s="12" t="str">
        <f t="shared" si="630"/>
        <v/>
      </c>
      <c r="F122" s="12">
        <f>운전실적_원본!D122</f>
        <v>0</v>
      </c>
      <c r="G122" s="16" t="str">
        <f t="shared" si="631"/>
        <v/>
      </c>
      <c r="H122" s="15">
        <f>운전실적_원본!E122</f>
        <v>0</v>
      </c>
      <c r="I122" s="16" t="str">
        <f t="shared" si="632"/>
        <v/>
      </c>
      <c r="J122" s="15">
        <f>운전실적_원본!F122</f>
        <v>0</v>
      </c>
      <c r="K122" s="16" t="str">
        <f t="shared" si="632"/>
        <v/>
      </c>
      <c r="L122" s="32">
        <f>운전실적_원본!G122</f>
        <v>0</v>
      </c>
      <c r="M122" s="31" t="str">
        <f t="shared" ref="M122" si="724">IF(OR(LEN(L122)=0,L122=0),"",L122-L121)</f>
        <v/>
      </c>
      <c r="N122" s="15">
        <f>운전실적_원본!H122</f>
        <v>0</v>
      </c>
      <c r="O122" s="16" t="str">
        <f t="shared" ref="O122" si="725">IF(OR(LEN(N122)=0,N122=0),"",N122-N121)</f>
        <v/>
      </c>
      <c r="P122" s="15">
        <f>운전실적_원본!I122</f>
        <v>0</v>
      </c>
      <c r="Q122" s="16" t="str">
        <f t="shared" ref="Q122" si="726">IF(OR(LEN(P122)=0,P122=0),"",P122-P121)</f>
        <v/>
      </c>
      <c r="R122" s="18">
        <f>운전실적_원본!J122</f>
        <v>0</v>
      </c>
      <c r="S122" s="19" t="str">
        <f t="shared" ref="S122" si="727">IF(OR(LEN(R122)=0,R122=0),"",R122-R121)</f>
        <v/>
      </c>
      <c r="T122" s="18">
        <f>운전실적_원본!K122</f>
        <v>0</v>
      </c>
      <c r="U122" s="19" t="str">
        <f t="shared" si="637"/>
        <v/>
      </c>
      <c r="V122" s="12">
        <f>운전실적_원본!L122</f>
        <v>0</v>
      </c>
      <c r="W122" s="16" t="str">
        <f t="shared" ref="W122" si="728">IF(OR(LEN(V122)=0,V122=0),"",V122-V121)</f>
        <v/>
      </c>
      <c r="X122" s="10">
        <f>운전실적_원본!M122</f>
        <v>0</v>
      </c>
      <c r="Y122" s="10">
        <f>운전실적_원본!N122</f>
        <v>0</v>
      </c>
      <c r="Z122" s="10">
        <f>운전실적_원본!O122</f>
        <v>0</v>
      </c>
      <c r="AA122" s="10">
        <f>운전실적_원본!P122</f>
        <v>0</v>
      </c>
      <c r="AB122" s="10">
        <f>운전실적_원본!Q122</f>
        <v>0</v>
      </c>
      <c r="AC122" s="20">
        <f>운전실적_원본!R122</f>
        <v>0</v>
      </c>
      <c r="AD122" s="109">
        <f>운전실적_원본!S122</f>
        <v>0</v>
      </c>
      <c r="AE122" s="110">
        <f>운전실적_원본!T122</f>
        <v>0</v>
      </c>
      <c r="AF122" s="110">
        <f>운전실적_원본!U122</f>
        <v>0</v>
      </c>
      <c r="AG122" s="110">
        <f>운전실적_원본!V122</f>
        <v>0</v>
      </c>
      <c r="AH122" s="109">
        <f t="shared" si="460"/>
        <v>0</v>
      </c>
      <c r="AI122" s="110">
        <f t="shared" si="467"/>
        <v>0</v>
      </c>
      <c r="AJ122" s="110">
        <f>운전실적_원본!Y122</f>
        <v>0</v>
      </c>
      <c r="AK122" s="110">
        <f>운전실적_원본!Z122</f>
        <v>0</v>
      </c>
      <c r="AL122" s="106"/>
      <c r="AM122" s="105"/>
      <c r="AN122" s="105"/>
      <c r="AO122" s="105"/>
      <c r="AP122" s="105"/>
      <c r="AQ122" s="108"/>
      <c r="AR122" s="105"/>
      <c r="AS122" s="105"/>
      <c r="AT122" s="102"/>
      <c r="AU122" s="102"/>
      <c r="AV122" s="102"/>
      <c r="AW122" s="102"/>
      <c r="AX122" s="32">
        <f>운전실적_원본!W122</f>
        <v>0</v>
      </c>
      <c r="AY122" s="11">
        <f>운전실적_원본!X122</f>
        <v>0</v>
      </c>
      <c r="AZ122" s="11">
        <f>운전실적_원본!Y122</f>
        <v>0</v>
      </c>
      <c r="BA122" s="11">
        <f>운전실적_원본!Z122</f>
        <v>0</v>
      </c>
      <c r="BB122" s="11">
        <f>운전실적_원본!AA122</f>
        <v>0</v>
      </c>
      <c r="BC122" s="11">
        <f>운전실적_원본!AB122</f>
        <v>0</v>
      </c>
      <c r="BD122" s="32" t="str">
        <f t="shared" si="453"/>
        <v>-</v>
      </c>
      <c r="BE122" s="11" t="str">
        <f t="shared" si="461"/>
        <v>-</v>
      </c>
      <c r="BF122" s="11">
        <f>운전실적_원본!AE122</f>
        <v>0</v>
      </c>
      <c r="BG122" s="31">
        <f t="shared" si="454"/>
        <v>0</v>
      </c>
      <c r="BH122" s="241">
        <f>INDEX(연료전지_원본!$A$4:$KY$369,MATCH($A122,연료전지_원본!$A$4:$A$369,0),MATCH($BH$4,연료전지_원본!$A$4:$KY$4,0))</f>
        <v>0</v>
      </c>
      <c r="BI122" s="241">
        <f>INDEX(연료전지_원본!$A$4:$KY$369,MATCH($A122,연료전지_원본!$A$4:$A$369,0),MATCH($BI$4,연료전지_원본!$A$4:$KY$4,0))</f>
        <v>0</v>
      </c>
      <c r="BJ122" s="241">
        <f>INDEX(연료전지_원본!$A$4:$KY$369,MATCH($A122,연료전지_원본!$A$4:$A$369,0),MATCH($BJ$4,연료전지_원본!$A$4:$KY$4,0))</f>
        <v>0</v>
      </c>
      <c r="BK122" s="241">
        <f>INDEX(연료전지_원본!$A$4:$KY$369,MATCH($A122,연료전지_원본!$A$4:$A$369,0),MATCH($BK$4,연료전지_원본!$A$4:$KY$4,0))</f>
        <v>0</v>
      </c>
      <c r="BL122" s="241">
        <f>INDEX(연료전지_원본!$A$4:$KY$369,MATCH($A122,연료전지_원본!$A$4:$A$369,0),MATCH($BL$4,연료전지_원본!$A$4:$KY$4,0))</f>
        <v>0</v>
      </c>
      <c r="BM122" s="241">
        <f>INDEX(연료전지_원본!$A$4:$KY$369,MATCH($A122,연료전지_원본!$A$4:$A$369,0),MATCH($BM$4,연료전지_원본!$A$4:$KY$4,0))</f>
        <v>0</v>
      </c>
      <c r="BN122" s="241">
        <f>INDEX(연료전지_원본!$A$4:$KY$369,MATCH($A122,연료전지_원본!$A$4:$A$369,0),MATCH($BN$4,연료전지_원본!$A$4:$KY$4,0))</f>
        <v>0</v>
      </c>
      <c r="BO122" s="241">
        <f>INDEX(연료전지_원본!$A$4:$KY$369,MATCH($A122,연료전지_원본!$A$4:$A$369,0),MATCH($BO$4,연료전지_원본!$A$4:$KY$4,0))</f>
        <v>0</v>
      </c>
      <c r="BP122" s="241">
        <f>INDEX(연료전지_원본!$A$4:$KY$369,MATCH($A122,연료전지_원본!$A$4:$A$369,0),MATCH($BP$4,연료전지_원본!$A$4:$KY$4,0))</f>
        <v>0</v>
      </c>
      <c r="BQ122" s="241">
        <f>INDEX(연료전지_원본!$A$4:$KY$369,MATCH($A122,연료전지_원본!$A$4:$A$369,0),MATCH($BQ$4,연료전지_원본!$A$4:$KY$4,0))</f>
        <v>0</v>
      </c>
      <c r="BR122" s="241">
        <f>INDEX(연료전지_원본!$A$4:$KY$369,MATCH($A122,연료전지_원본!$A$4:$A$369,0),MATCH($BR$4,연료전지_원본!$A$4:$KY$4,0))</f>
        <v>0</v>
      </c>
      <c r="BS122" s="241">
        <f>INDEX(연료전지_원본!$A$4:$KY$369,MATCH($A122,연료전지_원본!$A$4:$A$369,0),MATCH($BS$4,연료전지_원본!$A$4:$KY$4,0))</f>
        <v>0</v>
      </c>
      <c r="BT122" s="241">
        <f>INDEX(연료전지_원본!$A$4:$KY$369,MATCH($A122,연료전지_원본!$A$4:$A$369,0),MATCH($BT$4,연료전지_원본!$A$4:$KY$4,0))</f>
        <v>0</v>
      </c>
      <c r="BU122" s="241">
        <f>INDEX(연료전지_원본!$A$4:$KY$369,MATCH($A122,연료전지_원본!$A$4:$A$369,0),MATCH($BU$4,연료전지_원본!$A$4:$KY$4,0))</f>
        <v>0</v>
      </c>
      <c r="BV122" s="241">
        <f>INDEX(연료전지_원본!$A$4:$KY$369,MATCH($A122,연료전지_원본!$A$4:$A$369,0),MATCH($BV$4,연료전지_원본!$A$4:$KY$4,0))</f>
        <v>0</v>
      </c>
      <c r="BW122" s="241">
        <f>INDEX(연료전지_원본!$A$4:$KY$369,MATCH($A122,연료전지_원본!$A$4:$A$369,0),MATCH($BW$4,연료전지_원본!$A$4:$KY$4,0))</f>
        <v>0</v>
      </c>
      <c r="BX122" s="241">
        <f>INDEX(연료전지_원본!$A$4:$KY$369,MATCH($A122,연료전지_원본!$A$4:$A$369,0),MATCH($BX$4,연료전지_원본!$A$4:$KY$4,0))</f>
        <v>0</v>
      </c>
      <c r="BY122" s="241">
        <f>INDEX(연료전지_원본!$A$4:$KY$369,MATCH($A122,연료전지_원본!$A$4:$A$369,0),MATCH($BY$4,연료전지_원본!$A$4:$KY$4,0))</f>
        <v>0</v>
      </c>
      <c r="BZ122" s="241">
        <f>INDEX(연료전지_원본!$A$4:$KY$369,MATCH($A122,연료전지_원본!$A$4:$A$369,0),MATCH($BZ$4,연료전지_원본!$A$4:$KY$4,0))</f>
        <v>0</v>
      </c>
      <c r="CA122" s="241">
        <f>INDEX(연료전지_원본!$A$4:$KY$369,MATCH($A122,연료전지_원본!$A$4:$A$369,0),MATCH($CA$4,연료전지_원본!$A$4:$KY$4,0))</f>
        <v>0</v>
      </c>
      <c r="CB122" s="241">
        <f>INDEX(연료전지_원본!$A$4:$KY$369,MATCH($A122,연료전지_원본!$A$4:$A$369,0),MATCH($CB$4,연료전지_원본!$A$4:$KY$4,0))</f>
        <v>0</v>
      </c>
      <c r="CC122" s="242">
        <f>INDEX(연료전지_원본!$A$4:$KY$369,MATCH($A122,연료전지_원본!$A$4:$A$369,0),MATCH($CC$4,연료전지_원본!$A$4:$KY$4,0))</f>
        <v>0</v>
      </c>
      <c r="CD122" s="250">
        <f>INDEX(연료전지_원본!$KB$4:$KX$369,MATCH($A122,연료전지_원본!$KB$4:$KB$369,0), MATCH(CD$4,연료전지_원본!$KB$4:$KX$4,0))*1000</f>
        <v>0</v>
      </c>
      <c r="CE122" s="250">
        <f>INDEX(연료전지_원본!$KB$4:$KX$369,MATCH($A122,연료전지_원본!$KB$4:$KB$369,0), MATCH(CE$4,연료전지_원본!$KB$4:$KX$4,0))*1000</f>
        <v>0</v>
      </c>
      <c r="CF122" s="250">
        <f>INDEX(연료전지_원본!$KB$4:$KX$369,MATCH($A122,연료전지_원본!$KB$4:$KB$369,0), MATCH(CF$4,연료전지_원본!$KB$4:$KX$4,0))*1000</f>
        <v>0</v>
      </c>
      <c r="CG122" s="250">
        <f>INDEX(연료전지_원본!$KB$4:$KX$369,MATCH($A122,연료전지_원본!$KB$4:$KB$369,0), MATCH(CG$4,연료전지_원본!$KB$4:$KX$4,0))*1000</f>
        <v>0</v>
      </c>
      <c r="CH122" s="250">
        <f>INDEX(연료전지_원본!$KB$4:$KX$369,MATCH($A122,연료전지_원본!$KB$4:$KB$369,0), MATCH(CH$4,연료전지_원본!$KB$4:$KX$4,0))*1000</f>
        <v>0</v>
      </c>
      <c r="CI122" s="250">
        <f>INDEX(연료전지_원본!$KB$4:$KX$369,MATCH($A122,연료전지_원본!$KB$4:$KB$369,0), MATCH(CI$4,연료전지_원본!$KB$4:$KX$4,0))*1000</f>
        <v>0</v>
      </c>
      <c r="CJ122" s="250">
        <f>INDEX(연료전지_원본!$KB$4:$KX$369,MATCH($A122,연료전지_원본!$KB$4:$KB$369,0), MATCH(CJ$4,연료전지_원본!$KB$4:$KX$4,0))*1000</f>
        <v>0</v>
      </c>
      <c r="CK122" s="250">
        <f>INDEX(연료전지_원본!$KB$4:$KX$369,MATCH($A122,연료전지_원본!$KB$4:$KB$369,0), MATCH(CK$4,연료전지_원본!$KB$4:$KX$4,0))*1000</f>
        <v>0</v>
      </c>
      <c r="CL122" s="250">
        <f>INDEX(연료전지_원본!$KB$4:$KX$369,MATCH($A122,연료전지_원본!$KB$4:$KB$369,0), MATCH(CL$4,연료전지_원본!$KB$4:$KX$4,0))*1000</f>
        <v>0</v>
      </c>
      <c r="CM122" s="250">
        <f>INDEX(연료전지_원본!$KB$4:$KX$369,MATCH($A122,연료전지_원본!$KB$4:$KB$369,0), MATCH(CM$4,연료전지_원본!$KB$4:$KX$4,0))*1000</f>
        <v>0</v>
      </c>
      <c r="CN122" s="250">
        <f>INDEX(연료전지_원본!$KB$4:$KX$369,MATCH($A122,연료전지_원본!$KB$4:$KB$369,0), MATCH(CN$4,연료전지_원본!$KB$4:$KX$4,0))*1000</f>
        <v>0</v>
      </c>
      <c r="CO122" s="250">
        <f>INDEX(연료전지_원본!$KB$4:$KX$369,MATCH($A122,연료전지_원본!$KB$4:$KB$369,0), MATCH(CO$4,연료전지_원본!$KB$4:$KX$4,0))*1000</f>
        <v>0</v>
      </c>
      <c r="CP122" s="250">
        <f>INDEX(연료전지_원본!$KB$4:$KX$369,MATCH($A122,연료전지_원본!$KB$4:$KB$369,0), MATCH(CP$4,연료전지_원본!$KB$4:$KX$4,0))*1000</f>
        <v>0</v>
      </c>
      <c r="CQ122" s="250">
        <f>INDEX(연료전지_원본!$KB$4:$KX$369,MATCH($A122,연료전지_원본!$KB$4:$KB$369,0), MATCH(CQ$4,연료전지_원본!$KB$4:$KX$4,0))*1000</f>
        <v>0</v>
      </c>
      <c r="CR122" s="250">
        <f>INDEX(연료전지_원본!$KB$4:$KX$369,MATCH($A122,연료전지_원본!$KB$4:$KB$369,0), MATCH(CR$4,연료전지_원본!$KB$4:$KX$4,0))*1000</f>
        <v>0</v>
      </c>
      <c r="CS122" s="250">
        <f>INDEX(연료전지_원본!$KB$4:$KX$369,MATCH($A122,연료전지_원본!$KB$4:$KB$369,0), MATCH(CS$4,연료전지_원본!$KB$4:$KX$4,0))*1000</f>
        <v>0</v>
      </c>
      <c r="CT122" s="250">
        <f>INDEX(연료전지_원본!$KB$4:$KX$369,MATCH($A122,연료전지_원본!$KB$4:$KB$369,0), MATCH(CT$4,연료전지_원본!$KB$4:$KX$4,0))*1000</f>
        <v>0</v>
      </c>
      <c r="CU122" s="250">
        <f>INDEX(연료전지_원본!$KB$4:$KX$369,MATCH($A122,연료전지_원본!$KB$4:$KB$369,0), MATCH(CU$4,연료전지_원본!$KB$4:$KX$4,0))*1000</f>
        <v>0</v>
      </c>
      <c r="CV122" s="250">
        <f>INDEX(연료전지_원본!$KB$4:$KX$369,MATCH($A122,연료전지_원본!$KB$4:$KB$369,0), MATCH(CV$4,연료전지_원본!$KB$4:$KX$4,0))*1000</f>
        <v>0</v>
      </c>
      <c r="CW122" s="250">
        <f>INDEX(연료전지_원본!$KB$4:$KX$369,MATCH($A122,연료전지_원본!$KB$4:$KB$369,0), MATCH(CW$4,연료전지_원본!$KB$4:$KX$4,0))*1000</f>
        <v>0</v>
      </c>
      <c r="CX122" s="250">
        <f>INDEX(연료전지_원본!$KB$4:$KX$369,MATCH($A122,연료전지_원본!$KB$4:$KB$369,0), MATCH(CX$4,연료전지_원본!$KB$4:$KX$4,0))*1000</f>
        <v>0</v>
      </c>
      <c r="CY122" s="250">
        <f>INDEX(연료전지_원본!$KB$4:$KX$369,MATCH($A122,연료전지_원본!$KB$4:$KB$369,0), MATCH(CY$4,연료전지_원본!$KB$4:$KX$4,0))*1000</f>
        <v>0</v>
      </c>
      <c r="DV122" s="30">
        <f t="shared" si="623"/>
        <v>0</v>
      </c>
    </row>
    <row r="123" spans="1:126">
      <c r="A123" s="6">
        <v>46140</v>
      </c>
      <c r="B123" s="15">
        <f>운전실적_원본!B123</f>
        <v>0</v>
      </c>
      <c r="C123" s="16" t="str">
        <f t="shared" si="629"/>
        <v/>
      </c>
      <c r="D123" s="12">
        <f>운전실적_원본!C123</f>
        <v>0</v>
      </c>
      <c r="E123" s="12" t="str">
        <f t="shared" si="630"/>
        <v/>
      </c>
      <c r="F123" s="12">
        <f>운전실적_원본!D123</f>
        <v>0</v>
      </c>
      <c r="G123" s="16" t="str">
        <f t="shared" si="631"/>
        <v/>
      </c>
      <c r="H123" s="15">
        <f>운전실적_원본!E123</f>
        <v>0</v>
      </c>
      <c r="I123" s="16" t="str">
        <f t="shared" si="632"/>
        <v/>
      </c>
      <c r="J123" s="15">
        <f>운전실적_원본!F123</f>
        <v>0</v>
      </c>
      <c r="K123" s="16" t="str">
        <f t="shared" si="632"/>
        <v/>
      </c>
      <c r="L123" s="32">
        <f>운전실적_원본!G123</f>
        <v>0</v>
      </c>
      <c r="M123" s="31" t="str">
        <f t="shared" ref="M123" si="729">IF(OR(LEN(L123)=0,L123=0),"",L123-L122)</f>
        <v/>
      </c>
      <c r="N123" s="15">
        <f>운전실적_원본!H123</f>
        <v>0</v>
      </c>
      <c r="O123" s="16" t="str">
        <f t="shared" ref="O123" si="730">IF(OR(LEN(N123)=0,N123=0),"",N123-N122)</f>
        <v/>
      </c>
      <c r="P123" s="15">
        <f>운전실적_원본!I123</f>
        <v>0</v>
      </c>
      <c r="Q123" s="16" t="str">
        <f t="shared" ref="Q123" si="731">IF(OR(LEN(P123)=0,P123=0),"",P123-P122)</f>
        <v/>
      </c>
      <c r="R123" s="18">
        <f>운전실적_원본!J123</f>
        <v>0</v>
      </c>
      <c r="S123" s="19" t="str">
        <f t="shared" ref="S123" si="732">IF(OR(LEN(R123)=0,R123=0),"",R123-R122)</f>
        <v/>
      </c>
      <c r="T123" s="18">
        <f>운전실적_원본!K123</f>
        <v>0</v>
      </c>
      <c r="U123" s="19" t="str">
        <f t="shared" si="637"/>
        <v/>
      </c>
      <c r="V123" s="12">
        <f>운전실적_원본!L123</f>
        <v>0</v>
      </c>
      <c r="W123" s="16" t="str">
        <f t="shared" ref="W123" si="733">IF(OR(LEN(V123)=0,V123=0),"",V123-V122)</f>
        <v/>
      </c>
      <c r="X123" s="10">
        <f>운전실적_원본!M123</f>
        <v>0</v>
      </c>
      <c r="Y123" s="10">
        <f>운전실적_원본!N123</f>
        <v>0</v>
      </c>
      <c r="Z123" s="10">
        <f>운전실적_원본!O123</f>
        <v>0</v>
      </c>
      <c r="AA123" s="10">
        <f>운전실적_원본!P123</f>
        <v>0</v>
      </c>
      <c r="AB123" s="10">
        <f>운전실적_원본!Q123</f>
        <v>0</v>
      </c>
      <c r="AC123" s="20">
        <f>운전실적_원본!R123</f>
        <v>0</v>
      </c>
      <c r="AD123" s="109">
        <f>운전실적_원본!S123</f>
        <v>0</v>
      </c>
      <c r="AE123" s="110">
        <f>운전실적_원본!T123</f>
        <v>0</v>
      </c>
      <c r="AF123" s="110">
        <f>운전실적_원본!U123</f>
        <v>0</v>
      </c>
      <c r="AG123" s="110">
        <f>운전실적_원본!V123</f>
        <v>0</v>
      </c>
      <c r="AH123" s="109">
        <f t="shared" si="460"/>
        <v>0</v>
      </c>
      <c r="AI123" s="110">
        <f t="shared" si="467"/>
        <v>0</v>
      </c>
      <c r="AJ123" s="110">
        <f>운전실적_원본!Y123</f>
        <v>0</v>
      </c>
      <c r="AK123" s="110">
        <f>운전실적_원본!Z123</f>
        <v>0</v>
      </c>
      <c r="AL123" s="106"/>
      <c r="AM123" s="105"/>
      <c r="AN123" s="105"/>
      <c r="AO123" s="105"/>
      <c r="AP123" s="105"/>
      <c r="AQ123" s="108"/>
      <c r="AR123" s="105"/>
      <c r="AS123" s="105"/>
      <c r="AT123" s="102"/>
      <c r="AU123" s="102"/>
      <c r="AV123" s="102"/>
      <c r="AW123" s="102"/>
      <c r="AX123" s="32">
        <f>운전실적_원본!W123</f>
        <v>0</v>
      </c>
      <c r="AY123" s="11">
        <f>운전실적_원본!X123</f>
        <v>0</v>
      </c>
      <c r="AZ123" s="11">
        <f>운전실적_원본!Y123</f>
        <v>0</v>
      </c>
      <c r="BA123" s="11">
        <f>운전실적_원본!Z123</f>
        <v>0</v>
      </c>
      <c r="BB123" s="11">
        <f>운전실적_원본!AA123</f>
        <v>0</v>
      </c>
      <c r="BC123" s="11">
        <f>운전실적_원본!AB123</f>
        <v>0</v>
      </c>
      <c r="BD123" s="32" t="str">
        <f t="shared" si="453"/>
        <v>-</v>
      </c>
      <c r="BE123" s="11" t="str">
        <f t="shared" si="461"/>
        <v>-</v>
      </c>
      <c r="BF123" s="11">
        <f>운전실적_원본!AE123</f>
        <v>0</v>
      </c>
      <c r="BG123" s="31">
        <f t="shared" si="454"/>
        <v>0</v>
      </c>
      <c r="BH123" s="241">
        <f>INDEX(연료전지_원본!$A$4:$KY$369,MATCH($A123,연료전지_원본!$A$4:$A$369,0),MATCH($BH$4,연료전지_원본!$A$4:$KY$4,0))</f>
        <v>0</v>
      </c>
      <c r="BI123" s="241">
        <f>INDEX(연료전지_원본!$A$4:$KY$369,MATCH($A123,연료전지_원본!$A$4:$A$369,0),MATCH($BI$4,연료전지_원본!$A$4:$KY$4,0))</f>
        <v>0</v>
      </c>
      <c r="BJ123" s="241">
        <f>INDEX(연료전지_원본!$A$4:$KY$369,MATCH($A123,연료전지_원본!$A$4:$A$369,0),MATCH($BJ$4,연료전지_원본!$A$4:$KY$4,0))</f>
        <v>0</v>
      </c>
      <c r="BK123" s="241">
        <f>INDEX(연료전지_원본!$A$4:$KY$369,MATCH($A123,연료전지_원본!$A$4:$A$369,0),MATCH($BK$4,연료전지_원본!$A$4:$KY$4,0))</f>
        <v>0</v>
      </c>
      <c r="BL123" s="241">
        <f>INDEX(연료전지_원본!$A$4:$KY$369,MATCH($A123,연료전지_원본!$A$4:$A$369,0),MATCH($BL$4,연료전지_원본!$A$4:$KY$4,0))</f>
        <v>0</v>
      </c>
      <c r="BM123" s="241">
        <f>INDEX(연료전지_원본!$A$4:$KY$369,MATCH($A123,연료전지_원본!$A$4:$A$369,0),MATCH($BM$4,연료전지_원본!$A$4:$KY$4,0))</f>
        <v>0</v>
      </c>
      <c r="BN123" s="241">
        <f>INDEX(연료전지_원본!$A$4:$KY$369,MATCH($A123,연료전지_원본!$A$4:$A$369,0),MATCH($BN$4,연료전지_원본!$A$4:$KY$4,0))</f>
        <v>0</v>
      </c>
      <c r="BO123" s="241">
        <f>INDEX(연료전지_원본!$A$4:$KY$369,MATCH($A123,연료전지_원본!$A$4:$A$369,0),MATCH($BO$4,연료전지_원본!$A$4:$KY$4,0))</f>
        <v>0</v>
      </c>
      <c r="BP123" s="241">
        <f>INDEX(연료전지_원본!$A$4:$KY$369,MATCH($A123,연료전지_원본!$A$4:$A$369,0),MATCH($BP$4,연료전지_원본!$A$4:$KY$4,0))</f>
        <v>0</v>
      </c>
      <c r="BQ123" s="241">
        <f>INDEX(연료전지_원본!$A$4:$KY$369,MATCH($A123,연료전지_원본!$A$4:$A$369,0),MATCH($BQ$4,연료전지_원본!$A$4:$KY$4,0))</f>
        <v>0</v>
      </c>
      <c r="BR123" s="241">
        <f>INDEX(연료전지_원본!$A$4:$KY$369,MATCH($A123,연료전지_원본!$A$4:$A$369,0),MATCH($BR$4,연료전지_원본!$A$4:$KY$4,0))</f>
        <v>0</v>
      </c>
      <c r="BS123" s="241">
        <f>INDEX(연료전지_원본!$A$4:$KY$369,MATCH($A123,연료전지_원본!$A$4:$A$369,0),MATCH($BS$4,연료전지_원본!$A$4:$KY$4,0))</f>
        <v>0</v>
      </c>
      <c r="BT123" s="241">
        <f>INDEX(연료전지_원본!$A$4:$KY$369,MATCH($A123,연료전지_원본!$A$4:$A$369,0),MATCH($BT$4,연료전지_원본!$A$4:$KY$4,0))</f>
        <v>0</v>
      </c>
      <c r="BU123" s="241">
        <f>INDEX(연료전지_원본!$A$4:$KY$369,MATCH($A123,연료전지_원본!$A$4:$A$369,0),MATCH($BU$4,연료전지_원본!$A$4:$KY$4,0))</f>
        <v>0</v>
      </c>
      <c r="BV123" s="241">
        <f>INDEX(연료전지_원본!$A$4:$KY$369,MATCH($A123,연료전지_원본!$A$4:$A$369,0),MATCH($BV$4,연료전지_원본!$A$4:$KY$4,0))</f>
        <v>0</v>
      </c>
      <c r="BW123" s="241">
        <f>INDEX(연료전지_원본!$A$4:$KY$369,MATCH($A123,연료전지_원본!$A$4:$A$369,0),MATCH($BW$4,연료전지_원본!$A$4:$KY$4,0))</f>
        <v>0</v>
      </c>
      <c r="BX123" s="241">
        <f>INDEX(연료전지_원본!$A$4:$KY$369,MATCH($A123,연료전지_원본!$A$4:$A$369,0),MATCH($BX$4,연료전지_원본!$A$4:$KY$4,0))</f>
        <v>0</v>
      </c>
      <c r="BY123" s="241">
        <f>INDEX(연료전지_원본!$A$4:$KY$369,MATCH($A123,연료전지_원본!$A$4:$A$369,0),MATCH($BY$4,연료전지_원본!$A$4:$KY$4,0))</f>
        <v>0</v>
      </c>
      <c r="BZ123" s="241">
        <f>INDEX(연료전지_원본!$A$4:$KY$369,MATCH($A123,연료전지_원본!$A$4:$A$369,0),MATCH($BZ$4,연료전지_원본!$A$4:$KY$4,0))</f>
        <v>0</v>
      </c>
      <c r="CA123" s="241">
        <f>INDEX(연료전지_원본!$A$4:$KY$369,MATCH($A123,연료전지_원본!$A$4:$A$369,0),MATCH($CA$4,연료전지_원본!$A$4:$KY$4,0))</f>
        <v>0</v>
      </c>
      <c r="CB123" s="241">
        <f>INDEX(연료전지_원본!$A$4:$KY$369,MATCH($A123,연료전지_원본!$A$4:$A$369,0),MATCH($CB$4,연료전지_원본!$A$4:$KY$4,0))</f>
        <v>0</v>
      </c>
      <c r="CC123" s="242">
        <f>INDEX(연료전지_원본!$A$4:$KY$369,MATCH($A123,연료전지_원본!$A$4:$A$369,0),MATCH($CC$4,연료전지_원본!$A$4:$KY$4,0))</f>
        <v>0</v>
      </c>
      <c r="CD123" s="250">
        <f>INDEX(연료전지_원본!$KB$4:$KX$369,MATCH($A123,연료전지_원본!$KB$4:$KB$369,0), MATCH(CD$4,연료전지_원본!$KB$4:$KX$4,0))*1000</f>
        <v>0</v>
      </c>
      <c r="CE123" s="250">
        <f>INDEX(연료전지_원본!$KB$4:$KX$369,MATCH($A123,연료전지_원본!$KB$4:$KB$369,0), MATCH(CE$4,연료전지_원본!$KB$4:$KX$4,0))*1000</f>
        <v>0</v>
      </c>
      <c r="CF123" s="250">
        <f>INDEX(연료전지_원본!$KB$4:$KX$369,MATCH($A123,연료전지_원본!$KB$4:$KB$369,0), MATCH(CF$4,연료전지_원본!$KB$4:$KX$4,0))*1000</f>
        <v>0</v>
      </c>
      <c r="CG123" s="250">
        <f>INDEX(연료전지_원본!$KB$4:$KX$369,MATCH($A123,연료전지_원본!$KB$4:$KB$369,0), MATCH(CG$4,연료전지_원본!$KB$4:$KX$4,0))*1000</f>
        <v>0</v>
      </c>
      <c r="CH123" s="250">
        <f>INDEX(연료전지_원본!$KB$4:$KX$369,MATCH($A123,연료전지_원본!$KB$4:$KB$369,0), MATCH(CH$4,연료전지_원본!$KB$4:$KX$4,0))*1000</f>
        <v>0</v>
      </c>
      <c r="CI123" s="250">
        <f>INDEX(연료전지_원본!$KB$4:$KX$369,MATCH($A123,연료전지_원본!$KB$4:$KB$369,0), MATCH(CI$4,연료전지_원본!$KB$4:$KX$4,0))*1000</f>
        <v>0</v>
      </c>
      <c r="CJ123" s="250">
        <f>INDEX(연료전지_원본!$KB$4:$KX$369,MATCH($A123,연료전지_원본!$KB$4:$KB$369,0), MATCH(CJ$4,연료전지_원본!$KB$4:$KX$4,0))*1000</f>
        <v>0</v>
      </c>
      <c r="CK123" s="250">
        <f>INDEX(연료전지_원본!$KB$4:$KX$369,MATCH($A123,연료전지_원본!$KB$4:$KB$369,0), MATCH(CK$4,연료전지_원본!$KB$4:$KX$4,0))*1000</f>
        <v>0</v>
      </c>
      <c r="CL123" s="250">
        <f>INDEX(연료전지_원본!$KB$4:$KX$369,MATCH($A123,연료전지_원본!$KB$4:$KB$369,0), MATCH(CL$4,연료전지_원본!$KB$4:$KX$4,0))*1000</f>
        <v>0</v>
      </c>
      <c r="CM123" s="250">
        <f>INDEX(연료전지_원본!$KB$4:$KX$369,MATCH($A123,연료전지_원본!$KB$4:$KB$369,0), MATCH(CM$4,연료전지_원본!$KB$4:$KX$4,0))*1000</f>
        <v>0</v>
      </c>
      <c r="CN123" s="250">
        <f>INDEX(연료전지_원본!$KB$4:$KX$369,MATCH($A123,연료전지_원본!$KB$4:$KB$369,0), MATCH(CN$4,연료전지_원본!$KB$4:$KX$4,0))*1000</f>
        <v>0</v>
      </c>
      <c r="CO123" s="250">
        <f>INDEX(연료전지_원본!$KB$4:$KX$369,MATCH($A123,연료전지_원본!$KB$4:$KB$369,0), MATCH(CO$4,연료전지_원본!$KB$4:$KX$4,0))*1000</f>
        <v>0</v>
      </c>
      <c r="CP123" s="250">
        <f>INDEX(연료전지_원본!$KB$4:$KX$369,MATCH($A123,연료전지_원본!$KB$4:$KB$369,0), MATCH(CP$4,연료전지_원본!$KB$4:$KX$4,0))*1000</f>
        <v>0</v>
      </c>
      <c r="CQ123" s="250">
        <f>INDEX(연료전지_원본!$KB$4:$KX$369,MATCH($A123,연료전지_원본!$KB$4:$KB$369,0), MATCH(CQ$4,연료전지_원본!$KB$4:$KX$4,0))*1000</f>
        <v>0</v>
      </c>
      <c r="CR123" s="250">
        <f>INDEX(연료전지_원본!$KB$4:$KX$369,MATCH($A123,연료전지_원본!$KB$4:$KB$369,0), MATCH(CR$4,연료전지_원본!$KB$4:$KX$4,0))*1000</f>
        <v>0</v>
      </c>
      <c r="CS123" s="250">
        <f>INDEX(연료전지_원본!$KB$4:$KX$369,MATCH($A123,연료전지_원본!$KB$4:$KB$369,0), MATCH(CS$4,연료전지_원본!$KB$4:$KX$4,0))*1000</f>
        <v>0</v>
      </c>
      <c r="CT123" s="250">
        <f>INDEX(연료전지_원본!$KB$4:$KX$369,MATCH($A123,연료전지_원본!$KB$4:$KB$369,0), MATCH(CT$4,연료전지_원본!$KB$4:$KX$4,0))*1000</f>
        <v>0</v>
      </c>
      <c r="CU123" s="250">
        <f>INDEX(연료전지_원본!$KB$4:$KX$369,MATCH($A123,연료전지_원본!$KB$4:$KB$369,0), MATCH(CU$4,연료전지_원본!$KB$4:$KX$4,0))*1000</f>
        <v>0</v>
      </c>
      <c r="CV123" s="250">
        <f>INDEX(연료전지_원본!$KB$4:$KX$369,MATCH($A123,연료전지_원본!$KB$4:$KB$369,0), MATCH(CV$4,연료전지_원본!$KB$4:$KX$4,0))*1000</f>
        <v>0</v>
      </c>
      <c r="CW123" s="250">
        <f>INDEX(연료전지_원본!$KB$4:$KX$369,MATCH($A123,연료전지_원본!$KB$4:$KB$369,0), MATCH(CW$4,연료전지_원본!$KB$4:$KX$4,0))*1000</f>
        <v>0</v>
      </c>
      <c r="CX123" s="250">
        <f>INDEX(연료전지_원본!$KB$4:$KX$369,MATCH($A123,연료전지_원본!$KB$4:$KB$369,0), MATCH(CX$4,연료전지_원본!$KB$4:$KX$4,0))*1000</f>
        <v>0</v>
      </c>
      <c r="CY123" s="250">
        <f>INDEX(연료전지_원본!$KB$4:$KX$369,MATCH($A123,연료전지_원본!$KB$4:$KB$369,0), MATCH(CY$4,연료전지_원본!$KB$4:$KX$4,0))*1000</f>
        <v>0</v>
      </c>
      <c r="DV123" s="30">
        <f t="shared" si="623"/>
        <v>0</v>
      </c>
    </row>
    <row r="124" spans="1:126">
      <c r="A124" s="6">
        <v>46141</v>
      </c>
      <c r="B124" s="15">
        <f>운전실적_원본!B124</f>
        <v>0</v>
      </c>
      <c r="C124" s="16" t="str">
        <f t="shared" si="629"/>
        <v/>
      </c>
      <c r="D124" s="12">
        <f>운전실적_원본!C124</f>
        <v>0</v>
      </c>
      <c r="E124" s="12" t="str">
        <f t="shared" si="630"/>
        <v/>
      </c>
      <c r="F124" s="12">
        <f>운전실적_원본!D124</f>
        <v>0</v>
      </c>
      <c r="G124" s="16" t="str">
        <f t="shared" si="631"/>
        <v/>
      </c>
      <c r="H124" s="15">
        <f>운전실적_원본!E124</f>
        <v>0</v>
      </c>
      <c r="I124" s="16" t="str">
        <f t="shared" si="632"/>
        <v/>
      </c>
      <c r="J124" s="15">
        <f>운전실적_원본!F124</f>
        <v>0</v>
      </c>
      <c r="K124" s="16" t="str">
        <f t="shared" si="632"/>
        <v/>
      </c>
      <c r="L124" s="32">
        <f>운전실적_원본!G124</f>
        <v>0</v>
      </c>
      <c r="M124" s="31" t="str">
        <f t="shared" ref="M124" si="734">IF(OR(LEN(L124)=0,L124=0),"",L124-L123)</f>
        <v/>
      </c>
      <c r="N124" s="15">
        <f>운전실적_원본!H124</f>
        <v>0</v>
      </c>
      <c r="O124" s="16" t="str">
        <f t="shared" ref="O124" si="735">IF(OR(LEN(N124)=0,N124=0),"",N124-N123)</f>
        <v/>
      </c>
      <c r="P124" s="15">
        <f>운전실적_원본!I124</f>
        <v>0</v>
      </c>
      <c r="Q124" s="16" t="str">
        <f t="shared" ref="Q124" si="736">IF(OR(LEN(P124)=0,P124=0),"",P124-P123)</f>
        <v/>
      </c>
      <c r="R124" s="18">
        <f>운전실적_원본!J124</f>
        <v>0</v>
      </c>
      <c r="S124" s="19" t="str">
        <f t="shared" ref="S124" si="737">IF(OR(LEN(R124)=0,R124=0),"",R124-R123)</f>
        <v/>
      </c>
      <c r="T124" s="18">
        <f>운전실적_원본!K124</f>
        <v>0</v>
      </c>
      <c r="U124" s="19" t="str">
        <f t="shared" si="637"/>
        <v/>
      </c>
      <c r="V124" s="12">
        <f>운전실적_원본!L124</f>
        <v>0</v>
      </c>
      <c r="W124" s="16" t="str">
        <f t="shared" ref="W124" si="738">IF(OR(LEN(V124)=0,V124=0),"",V124-V123)</f>
        <v/>
      </c>
      <c r="X124" s="10">
        <f>운전실적_원본!M124</f>
        <v>0</v>
      </c>
      <c r="Y124" s="10">
        <f>운전실적_원본!N124</f>
        <v>0</v>
      </c>
      <c r="Z124" s="10">
        <f>운전실적_원본!O124</f>
        <v>0</v>
      </c>
      <c r="AA124" s="10">
        <f>운전실적_원본!P124</f>
        <v>0</v>
      </c>
      <c r="AB124" s="10">
        <f>운전실적_원본!Q124</f>
        <v>0</v>
      </c>
      <c r="AC124" s="20">
        <f>운전실적_원본!R124</f>
        <v>0</v>
      </c>
      <c r="AD124" s="109">
        <f>운전실적_원본!S124</f>
        <v>0</v>
      </c>
      <c r="AE124" s="110">
        <f>운전실적_원본!T124</f>
        <v>0</v>
      </c>
      <c r="AF124" s="110">
        <f>운전실적_원본!U124</f>
        <v>0</v>
      </c>
      <c r="AG124" s="110">
        <f>운전실적_원본!V124</f>
        <v>0</v>
      </c>
      <c r="AH124" s="109">
        <f t="shared" si="460"/>
        <v>0</v>
      </c>
      <c r="AI124" s="110">
        <f t="shared" si="467"/>
        <v>0</v>
      </c>
      <c r="AJ124" s="110">
        <f>운전실적_원본!Y124</f>
        <v>0</v>
      </c>
      <c r="AK124" s="110">
        <f>운전실적_원본!Z124</f>
        <v>0</v>
      </c>
      <c r="AL124" s="106"/>
      <c r="AM124" s="105"/>
      <c r="AN124" s="105"/>
      <c r="AO124" s="105"/>
      <c r="AP124" s="105"/>
      <c r="AQ124" s="108"/>
      <c r="AR124" s="105"/>
      <c r="AS124" s="105"/>
      <c r="AT124" s="102"/>
      <c r="AU124" s="102"/>
      <c r="AV124" s="102"/>
      <c r="AW124" s="102"/>
      <c r="AX124" s="32">
        <f>운전실적_원본!W124</f>
        <v>0</v>
      </c>
      <c r="AY124" s="11">
        <f>운전실적_원본!X124</f>
        <v>0</v>
      </c>
      <c r="AZ124" s="11">
        <f>운전실적_원본!Y124</f>
        <v>0</v>
      </c>
      <c r="BA124" s="11">
        <f>운전실적_원본!Z124</f>
        <v>0</v>
      </c>
      <c r="BB124" s="11">
        <f>운전실적_원본!AA124</f>
        <v>0</v>
      </c>
      <c r="BC124" s="11">
        <f>운전실적_원본!AB124</f>
        <v>0</v>
      </c>
      <c r="BD124" s="32" t="str">
        <f t="shared" si="453"/>
        <v>-</v>
      </c>
      <c r="BE124" s="11" t="str">
        <f t="shared" si="461"/>
        <v>-</v>
      </c>
      <c r="BF124" s="11">
        <f>운전실적_원본!AE124</f>
        <v>0</v>
      </c>
      <c r="BG124" s="31">
        <f t="shared" si="454"/>
        <v>0</v>
      </c>
      <c r="BH124" s="241">
        <f>INDEX(연료전지_원본!$A$4:$KY$369,MATCH($A124,연료전지_원본!$A$4:$A$369,0),MATCH($BH$4,연료전지_원본!$A$4:$KY$4,0))</f>
        <v>0</v>
      </c>
      <c r="BI124" s="241">
        <f>INDEX(연료전지_원본!$A$4:$KY$369,MATCH($A124,연료전지_원본!$A$4:$A$369,0),MATCH($BI$4,연료전지_원본!$A$4:$KY$4,0))</f>
        <v>0</v>
      </c>
      <c r="BJ124" s="241">
        <f>INDEX(연료전지_원본!$A$4:$KY$369,MATCH($A124,연료전지_원본!$A$4:$A$369,0),MATCH($BJ$4,연료전지_원본!$A$4:$KY$4,0))</f>
        <v>0</v>
      </c>
      <c r="BK124" s="241">
        <f>INDEX(연료전지_원본!$A$4:$KY$369,MATCH($A124,연료전지_원본!$A$4:$A$369,0),MATCH($BK$4,연료전지_원본!$A$4:$KY$4,0))</f>
        <v>0</v>
      </c>
      <c r="BL124" s="241">
        <f>INDEX(연료전지_원본!$A$4:$KY$369,MATCH($A124,연료전지_원본!$A$4:$A$369,0),MATCH($BL$4,연료전지_원본!$A$4:$KY$4,0))</f>
        <v>0</v>
      </c>
      <c r="BM124" s="241">
        <f>INDEX(연료전지_원본!$A$4:$KY$369,MATCH($A124,연료전지_원본!$A$4:$A$369,0),MATCH($BM$4,연료전지_원본!$A$4:$KY$4,0))</f>
        <v>0</v>
      </c>
      <c r="BN124" s="241">
        <f>INDEX(연료전지_원본!$A$4:$KY$369,MATCH($A124,연료전지_원본!$A$4:$A$369,0),MATCH($BN$4,연료전지_원본!$A$4:$KY$4,0))</f>
        <v>0</v>
      </c>
      <c r="BO124" s="241">
        <f>INDEX(연료전지_원본!$A$4:$KY$369,MATCH($A124,연료전지_원본!$A$4:$A$369,0),MATCH($BO$4,연료전지_원본!$A$4:$KY$4,0))</f>
        <v>0</v>
      </c>
      <c r="BP124" s="241">
        <f>INDEX(연료전지_원본!$A$4:$KY$369,MATCH($A124,연료전지_원본!$A$4:$A$369,0),MATCH($BP$4,연료전지_원본!$A$4:$KY$4,0))</f>
        <v>0</v>
      </c>
      <c r="BQ124" s="241">
        <f>INDEX(연료전지_원본!$A$4:$KY$369,MATCH($A124,연료전지_원본!$A$4:$A$369,0),MATCH($BQ$4,연료전지_원본!$A$4:$KY$4,0))</f>
        <v>0</v>
      </c>
      <c r="BR124" s="241">
        <f>INDEX(연료전지_원본!$A$4:$KY$369,MATCH($A124,연료전지_원본!$A$4:$A$369,0),MATCH($BR$4,연료전지_원본!$A$4:$KY$4,0))</f>
        <v>0</v>
      </c>
      <c r="BS124" s="241">
        <f>INDEX(연료전지_원본!$A$4:$KY$369,MATCH($A124,연료전지_원본!$A$4:$A$369,0),MATCH($BS$4,연료전지_원본!$A$4:$KY$4,0))</f>
        <v>0</v>
      </c>
      <c r="BT124" s="241">
        <f>INDEX(연료전지_원본!$A$4:$KY$369,MATCH($A124,연료전지_원본!$A$4:$A$369,0),MATCH($BT$4,연료전지_원본!$A$4:$KY$4,0))</f>
        <v>0</v>
      </c>
      <c r="BU124" s="241">
        <f>INDEX(연료전지_원본!$A$4:$KY$369,MATCH($A124,연료전지_원본!$A$4:$A$369,0),MATCH($BU$4,연료전지_원본!$A$4:$KY$4,0))</f>
        <v>0</v>
      </c>
      <c r="BV124" s="241">
        <f>INDEX(연료전지_원본!$A$4:$KY$369,MATCH($A124,연료전지_원본!$A$4:$A$369,0),MATCH($BV$4,연료전지_원본!$A$4:$KY$4,0))</f>
        <v>0</v>
      </c>
      <c r="BW124" s="241">
        <f>INDEX(연료전지_원본!$A$4:$KY$369,MATCH($A124,연료전지_원본!$A$4:$A$369,0),MATCH($BW$4,연료전지_원본!$A$4:$KY$4,0))</f>
        <v>0</v>
      </c>
      <c r="BX124" s="241">
        <f>INDEX(연료전지_원본!$A$4:$KY$369,MATCH($A124,연료전지_원본!$A$4:$A$369,0),MATCH($BX$4,연료전지_원본!$A$4:$KY$4,0))</f>
        <v>0</v>
      </c>
      <c r="BY124" s="241">
        <f>INDEX(연료전지_원본!$A$4:$KY$369,MATCH($A124,연료전지_원본!$A$4:$A$369,0),MATCH($BY$4,연료전지_원본!$A$4:$KY$4,0))</f>
        <v>0</v>
      </c>
      <c r="BZ124" s="241">
        <f>INDEX(연료전지_원본!$A$4:$KY$369,MATCH($A124,연료전지_원본!$A$4:$A$369,0),MATCH($BZ$4,연료전지_원본!$A$4:$KY$4,0))</f>
        <v>0</v>
      </c>
      <c r="CA124" s="241">
        <f>INDEX(연료전지_원본!$A$4:$KY$369,MATCH($A124,연료전지_원본!$A$4:$A$369,0),MATCH($CA$4,연료전지_원본!$A$4:$KY$4,0))</f>
        <v>0</v>
      </c>
      <c r="CB124" s="241">
        <f>INDEX(연료전지_원본!$A$4:$KY$369,MATCH($A124,연료전지_원본!$A$4:$A$369,0),MATCH($CB$4,연료전지_원본!$A$4:$KY$4,0))</f>
        <v>0</v>
      </c>
      <c r="CC124" s="242">
        <f>INDEX(연료전지_원본!$A$4:$KY$369,MATCH($A124,연료전지_원본!$A$4:$A$369,0),MATCH($CC$4,연료전지_원본!$A$4:$KY$4,0))</f>
        <v>0</v>
      </c>
      <c r="CD124" s="250">
        <f>INDEX(연료전지_원본!$KB$4:$KX$369,MATCH($A124,연료전지_원본!$KB$4:$KB$369,0), MATCH(CD$4,연료전지_원본!$KB$4:$KX$4,0))*1000</f>
        <v>0</v>
      </c>
      <c r="CE124" s="250">
        <f>INDEX(연료전지_원본!$KB$4:$KX$369,MATCH($A124,연료전지_원본!$KB$4:$KB$369,0), MATCH(CE$4,연료전지_원본!$KB$4:$KX$4,0))*1000</f>
        <v>0</v>
      </c>
      <c r="CF124" s="250">
        <f>INDEX(연료전지_원본!$KB$4:$KX$369,MATCH($A124,연료전지_원본!$KB$4:$KB$369,0), MATCH(CF$4,연료전지_원본!$KB$4:$KX$4,0))*1000</f>
        <v>0</v>
      </c>
      <c r="CG124" s="250">
        <f>INDEX(연료전지_원본!$KB$4:$KX$369,MATCH($A124,연료전지_원본!$KB$4:$KB$369,0), MATCH(CG$4,연료전지_원본!$KB$4:$KX$4,0))*1000</f>
        <v>0</v>
      </c>
      <c r="CH124" s="250">
        <f>INDEX(연료전지_원본!$KB$4:$KX$369,MATCH($A124,연료전지_원본!$KB$4:$KB$369,0), MATCH(CH$4,연료전지_원본!$KB$4:$KX$4,0))*1000</f>
        <v>0</v>
      </c>
      <c r="CI124" s="250">
        <f>INDEX(연료전지_원본!$KB$4:$KX$369,MATCH($A124,연료전지_원본!$KB$4:$KB$369,0), MATCH(CI$4,연료전지_원본!$KB$4:$KX$4,0))*1000</f>
        <v>0</v>
      </c>
      <c r="CJ124" s="250">
        <f>INDEX(연료전지_원본!$KB$4:$KX$369,MATCH($A124,연료전지_원본!$KB$4:$KB$369,0), MATCH(CJ$4,연료전지_원본!$KB$4:$KX$4,0))*1000</f>
        <v>0</v>
      </c>
      <c r="CK124" s="250">
        <f>INDEX(연료전지_원본!$KB$4:$KX$369,MATCH($A124,연료전지_원본!$KB$4:$KB$369,0), MATCH(CK$4,연료전지_원본!$KB$4:$KX$4,0))*1000</f>
        <v>0</v>
      </c>
      <c r="CL124" s="250">
        <f>INDEX(연료전지_원본!$KB$4:$KX$369,MATCH($A124,연료전지_원본!$KB$4:$KB$369,0), MATCH(CL$4,연료전지_원본!$KB$4:$KX$4,0))*1000</f>
        <v>0</v>
      </c>
      <c r="CM124" s="250">
        <f>INDEX(연료전지_원본!$KB$4:$KX$369,MATCH($A124,연료전지_원본!$KB$4:$KB$369,0), MATCH(CM$4,연료전지_원본!$KB$4:$KX$4,0))*1000</f>
        <v>0</v>
      </c>
      <c r="CN124" s="250">
        <f>INDEX(연료전지_원본!$KB$4:$KX$369,MATCH($A124,연료전지_원본!$KB$4:$KB$369,0), MATCH(CN$4,연료전지_원본!$KB$4:$KX$4,0))*1000</f>
        <v>0</v>
      </c>
      <c r="CO124" s="250">
        <f>INDEX(연료전지_원본!$KB$4:$KX$369,MATCH($A124,연료전지_원본!$KB$4:$KB$369,0), MATCH(CO$4,연료전지_원본!$KB$4:$KX$4,0))*1000</f>
        <v>0</v>
      </c>
      <c r="CP124" s="250">
        <f>INDEX(연료전지_원본!$KB$4:$KX$369,MATCH($A124,연료전지_원본!$KB$4:$KB$369,0), MATCH(CP$4,연료전지_원본!$KB$4:$KX$4,0))*1000</f>
        <v>0</v>
      </c>
      <c r="CQ124" s="250">
        <f>INDEX(연료전지_원본!$KB$4:$KX$369,MATCH($A124,연료전지_원본!$KB$4:$KB$369,0), MATCH(CQ$4,연료전지_원본!$KB$4:$KX$4,0))*1000</f>
        <v>0</v>
      </c>
      <c r="CR124" s="250">
        <f>INDEX(연료전지_원본!$KB$4:$KX$369,MATCH($A124,연료전지_원본!$KB$4:$KB$369,0), MATCH(CR$4,연료전지_원본!$KB$4:$KX$4,0))*1000</f>
        <v>0</v>
      </c>
      <c r="CS124" s="250">
        <f>INDEX(연료전지_원본!$KB$4:$KX$369,MATCH($A124,연료전지_원본!$KB$4:$KB$369,0), MATCH(CS$4,연료전지_원본!$KB$4:$KX$4,0))*1000</f>
        <v>0</v>
      </c>
      <c r="CT124" s="250">
        <f>INDEX(연료전지_원본!$KB$4:$KX$369,MATCH($A124,연료전지_원본!$KB$4:$KB$369,0), MATCH(CT$4,연료전지_원본!$KB$4:$KX$4,0))*1000</f>
        <v>0</v>
      </c>
      <c r="CU124" s="250">
        <f>INDEX(연료전지_원본!$KB$4:$KX$369,MATCH($A124,연료전지_원본!$KB$4:$KB$369,0), MATCH(CU$4,연료전지_원본!$KB$4:$KX$4,0))*1000</f>
        <v>0</v>
      </c>
      <c r="CV124" s="250">
        <f>INDEX(연료전지_원본!$KB$4:$KX$369,MATCH($A124,연료전지_원본!$KB$4:$KB$369,0), MATCH(CV$4,연료전지_원본!$KB$4:$KX$4,0))*1000</f>
        <v>0</v>
      </c>
      <c r="CW124" s="250">
        <f>INDEX(연료전지_원본!$KB$4:$KX$369,MATCH($A124,연료전지_원본!$KB$4:$KB$369,0), MATCH(CW$4,연료전지_원본!$KB$4:$KX$4,0))*1000</f>
        <v>0</v>
      </c>
      <c r="CX124" s="250">
        <f>INDEX(연료전지_원본!$KB$4:$KX$369,MATCH($A124,연료전지_원본!$KB$4:$KB$369,0), MATCH(CX$4,연료전지_원본!$KB$4:$KX$4,0))*1000</f>
        <v>0</v>
      </c>
      <c r="CY124" s="250">
        <f>INDEX(연료전지_원본!$KB$4:$KX$369,MATCH($A124,연료전지_원본!$KB$4:$KB$369,0), MATCH(CY$4,연료전지_원본!$KB$4:$KX$4,0))*1000</f>
        <v>0</v>
      </c>
      <c r="DV124" s="30">
        <f t="shared" si="623"/>
        <v>0</v>
      </c>
    </row>
    <row r="125" spans="1:126">
      <c r="A125" s="6">
        <v>46142</v>
      </c>
      <c r="B125" s="15">
        <f>운전실적_원본!B125</f>
        <v>0</v>
      </c>
      <c r="C125" s="16" t="str">
        <f t="shared" si="629"/>
        <v/>
      </c>
      <c r="D125" s="12">
        <f>운전실적_원본!C125</f>
        <v>0</v>
      </c>
      <c r="E125" s="12" t="str">
        <f t="shared" si="630"/>
        <v/>
      </c>
      <c r="F125" s="12">
        <f>운전실적_원본!D125</f>
        <v>0</v>
      </c>
      <c r="G125" s="16" t="str">
        <f t="shared" si="631"/>
        <v/>
      </c>
      <c r="H125" s="15">
        <f>운전실적_원본!E125</f>
        <v>0</v>
      </c>
      <c r="I125" s="16" t="str">
        <f t="shared" si="632"/>
        <v/>
      </c>
      <c r="J125" s="15">
        <f>운전실적_원본!F125</f>
        <v>0</v>
      </c>
      <c r="K125" s="16" t="str">
        <f t="shared" si="632"/>
        <v/>
      </c>
      <c r="L125" s="32">
        <f>운전실적_원본!G125</f>
        <v>0</v>
      </c>
      <c r="M125" s="31" t="str">
        <f t="shared" ref="M125" si="739">IF(OR(LEN(L125)=0,L125=0),"",L125-L124)</f>
        <v/>
      </c>
      <c r="N125" s="15">
        <f>운전실적_원본!H125</f>
        <v>0</v>
      </c>
      <c r="O125" s="16" t="str">
        <f t="shared" ref="O125" si="740">IF(OR(LEN(N125)=0,N125=0),"",N125-N124)</f>
        <v/>
      </c>
      <c r="P125" s="15">
        <f>운전실적_원본!I125</f>
        <v>0</v>
      </c>
      <c r="Q125" s="16" t="str">
        <f t="shared" ref="Q125" si="741">IF(OR(LEN(P125)=0,P125=0),"",P125-P124)</f>
        <v/>
      </c>
      <c r="R125" s="18">
        <f>운전실적_원본!J125</f>
        <v>0</v>
      </c>
      <c r="S125" s="19" t="str">
        <f t="shared" ref="S125" si="742">IF(OR(LEN(R125)=0,R125=0),"",R125-R124)</f>
        <v/>
      </c>
      <c r="T125" s="18">
        <f>운전실적_원본!K125</f>
        <v>0</v>
      </c>
      <c r="U125" s="19" t="str">
        <f t="shared" si="637"/>
        <v/>
      </c>
      <c r="V125" s="12">
        <f>운전실적_원본!L125</f>
        <v>0</v>
      </c>
      <c r="W125" s="16" t="str">
        <f t="shared" ref="W125" si="743">IF(OR(LEN(V125)=0,V125=0),"",V125-V124)</f>
        <v/>
      </c>
      <c r="X125" s="10">
        <f>운전실적_원본!M125</f>
        <v>0</v>
      </c>
      <c r="Y125" s="10">
        <f>운전실적_원본!N125</f>
        <v>0</v>
      </c>
      <c r="Z125" s="10">
        <f>운전실적_원본!O125</f>
        <v>0</v>
      </c>
      <c r="AA125" s="10">
        <f>운전실적_원본!P125</f>
        <v>0</v>
      </c>
      <c r="AB125" s="10">
        <f>운전실적_원본!Q125</f>
        <v>0</v>
      </c>
      <c r="AC125" s="20">
        <f>운전실적_원본!R125</f>
        <v>0</v>
      </c>
      <c r="AD125" s="109">
        <f>운전실적_원본!S125</f>
        <v>0</v>
      </c>
      <c r="AE125" s="110">
        <f>운전실적_원본!T125</f>
        <v>0</v>
      </c>
      <c r="AF125" s="110">
        <f>운전실적_원본!U125</f>
        <v>0</v>
      </c>
      <c r="AG125" s="110">
        <f>운전실적_원본!V125</f>
        <v>0</v>
      </c>
      <c r="AH125" s="109">
        <f t="shared" si="460"/>
        <v>0</v>
      </c>
      <c r="AI125" s="110">
        <f t="shared" si="467"/>
        <v>0</v>
      </c>
      <c r="AJ125" s="110">
        <f>운전실적_원본!Y125</f>
        <v>0</v>
      </c>
      <c r="AK125" s="110">
        <f>운전실적_원본!Z125</f>
        <v>0</v>
      </c>
      <c r="AL125" s="106"/>
      <c r="AM125" s="105"/>
      <c r="AN125" s="105"/>
      <c r="AO125" s="105"/>
      <c r="AP125" s="105"/>
      <c r="AQ125" s="108"/>
      <c r="AR125" s="105"/>
      <c r="AS125" s="105"/>
      <c r="AT125" s="102"/>
      <c r="AU125" s="102"/>
      <c r="AV125" s="102"/>
      <c r="AW125" s="102"/>
      <c r="AX125" s="32">
        <f>운전실적_원본!W125</f>
        <v>0</v>
      </c>
      <c r="AY125" s="11">
        <f>운전실적_원본!X125</f>
        <v>0</v>
      </c>
      <c r="AZ125" s="11">
        <f>운전실적_원본!Y125</f>
        <v>0</v>
      </c>
      <c r="BA125" s="11">
        <f>운전실적_원본!Z125</f>
        <v>0</v>
      </c>
      <c r="BB125" s="11">
        <f>운전실적_원본!AA125</f>
        <v>0</v>
      </c>
      <c r="BC125" s="11">
        <f>운전실적_원본!AB125</f>
        <v>0</v>
      </c>
      <c r="BD125" s="32" t="str">
        <f t="shared" si="453"/>
        <v>-</v>
      </c>
      <c r="BE125" s="11" t="str">
        <f t="shared" si="461"/>
        <v>-</v>
      </c>
      <c r="BF125" s="11">
        <f>운전실적_원본!AE125</f>
        <v>0</v>
      </c>
      <c r="BG125" s="31">
        <f t="shared" si="454"/>
        <v>0</v>
      </c>
      <c r="BH125" s="241">
        <f>INDEX(연료전지_원본!$A$4:$KY$369,MATCH($A125,연료전지_원본!$A$4:$A$369,0),MATCH($BH$4,연료전지_원본!$A$4:$KY$4,0))</f>
        <v>0</v>
      </c>
      <c r="BI125" s="241">
        <f>INDEX(연료전지_원본!$A$4:$KY$369,MATCH($A125,연료전지_원본!$A$4:$A$369,0),MATCH($BI$4,연료전지_원본!$A$4:$KY$4,0))</f>
        <v>0</v>
      </c>
      <c r="BJ125" s="241">
        <f>INDEX(연료전지_원본!$A$4:$KY$369,MATCH($A125,연료전지_원본!$A$4:$A$369,0),MATCH($BJ$4,연료전지_원본!$A$4:$KY$4,0))</f>
        <v>0</v>
      </c>
      <c r="BK125" s="241">
        <f>INDEX(연료전지_원본!$A$4:$KY$369,MATCH($A125,연료전지_원본!$A$4:$A$369,0),MATCH($BK$4,연료전지_원본!$A$4:$KY$4,0))</f>
        <v>0</v>
      </c>
      <c r="BL125" s="241">
        <f>INDEX(연료전지_원본!$A$4:$KY$369,MATCH($A125,연료전지_원본!$A$4:$A$369,0),MATCH($BL$4,연료전지_원본!$A$4:$KY$4,0))</f>
        <v>0</v>
      </c>
      <c r="BM125" s="241">
        <f>INDEX(연료전지_원본!$A$4:$KY$369,MATCH($A125,연료전지_원본!$A$4:$A$369,0),MATCH($BM$4,연료전지_원본!$A$4:$KY$4,0))</f>
        <v>0</v>
      </c>
      <c r="BN125" s="241">
        <f>INDEX(연료전지_원본!$A$4:$KY$369,MATCH($A125,연료전지_원본!$A$4:$A$369,0),MATCH($BN$4,연료전지_원본!$A$4:$KY$4,0))</f>
        <v>0</v>
      </c>
      <c r="BO125" s="241">
        <f>INDEX(연료전지_원본!$A$4:$KY$369,MATCH($A125,연료전지_원본!$A$4:$A$369,0),MATCH($BO$4,연료전지_원본!$A$4:$KY$4,0))</f>
        <v>0</v>
      </c>
      <c r="BP125" s="241">
        <f>INDEX(연료전지_원본!$A$4:$KY$369,MATCH($A125,연료전지_원본!$A$4:$A$369,0),MATCH($BP$4,연료전지_원본!$A$4:$KY$4,0))</f>
        <v>0</v>
      </c>
      <c r="BQ125" s="241">
        <f>INDEX(연료전지_원본!$A$4:$KY$369,MATCH($A125,연료전지_원본!$A$4:$A$369,0),MATCH($BQ$4,연료전지_원본!$A$4:$KY$4,0))</f>
        <v>0</v>
      </c>
      <c r="BR125" s="241">
        <f>INDEX(연료전지_원본!$A$4:$KY$369,MATCH($A125,연료전지_원본!$A$4:$A$369,0),MATCH($BR$4,연료전지_원본!$A$4:$KY$4,0))</f>
        <v>0</v>
      </c>
      <c r="BS125" s="241">
        <f>INDEX(연료전지_원본!$A$4:$KY$369,MATCH($A125,연료전지_원본!$A$4:$A$369,0),MATCH($BS$4,연료전지_원본!$A$4:$KY$4,0))</f>
        <v>0</v>
      </c>
      <c r="BT125" s="241">
        <f>INDEX(연료전지_원본!$A$4:$KY$369,MATCH($A125,연료전지_원본!$A$4:$A$369,0),MATCH($BT$4,연료전지_원본!$A$4:$KY$4,0))</f>
        <v>0</v>
      </c>
      <c r="BU125" s="241">
        <f>INDEX(연료전지_원본!$A$4:$KY$369,MATCH($A125,연료전지_원본!$A$4:$A$369,0),MATCH($BU$4,연료전지_원본!$A$4:$KY$4,0))</f>
        <v>0</v>
      </c>
      <c r="BV125" s="241">
        <f>INDEX(연료전지_원본!$A$4:$KY$369,MATCH($A125,연료전지_원본!$A$4:$A$369,0),MATCH($BV$4,연료전지_원본!$A$4:$KY$4,0))</f>
        <v>0</v>
      </c>
      <c r="BW125" s="241">
        <f>INDEX(연료전지_원본!$A$4:$KY$369,MATCH($A125,연료전지_원본!$A$4:$A$369,0),MATCH($BW$4,연료전지_원본!$A$4:$KY$4,0))</f>
        <v>0</v>
      </c>
      <c r="BX125" s="241">
        <f>INDEX(연료전지_원본!$A$4:$KY$369,MATCH($A125,연료전지_원본!$A$4:$A$369,0),MATCH($BX$4,연료전지_원본!$A$4:$KY$4,0))</f>
        <v>0</v>
      </c>
      <c r="BY125" s="241">
        <f>INDEX(연료전지_원본!$A$4:$KY$369,MATCH($A125,연료전지_원본!$A$4:$A$369,0),MATCH($BY$4,연료전지_원본!$A$4:$KY$4,0))</f>
        <v>0</v>
      </c>
      <c r="BZ125" s="241">
        <f>INDEX(연료전지_원본!$A$4:$KY$369,MATCH($A125,연료전지_원본!$A$4:$A$369,0),MATCH($BZ$4,연료전지_원본!$A$4:$KY$4,0))</f>
        <v>0</v>
      </c>
      <c r="CA125" s="241">
        <f>INDEX(연료전지_원본!$A$4:$KY$369,MATCH($A125,연료전지_원본!$A$4:$A$369,0),MATCH($CA$4,연료전지_원본!$A$4:$KY$4,0))</f>
        <v>0</v>
      </c>
      <c r="CB125" s="241">
        <f>INDEX(연료전지_원본!$A$4:$KY$369,MATCH($A125,연료전지_원본!$A$4:$A$369,0),MATCH($CB$4,연료전지_원본!$A$4:$KY$4,0))</f>
        <v>0</v>
      </c>
      <c r="CC125" s="242">
        <f>INDEX(연료전지_원본!$A$4:$KY$369,MATCH($A125,연료전지_원본!$A$4:$A$369,0),MATCH($CC$4,연료전지_원본!$A$4:$KY$4,0))</f>
        <v>0</v>
      </c>
      <c r="CD125" s="250">
        <f>INDEX(연료전지_원본!$KB$4:$KX$369,MATCH($A125,연료전지_원본!$KB$4:$KB$369,0), MATCH(CD$4,연료전지_원본!$KB$4:$KX$4,0))*1000</f>
        <v>0</v>
      </c>
      <c r="CE125" s="250">
        <f>INDEX(연료전지_원본!$KB$4:$KX$369,MATCH($A125,연료전지_원본!$KB$4:$KB$369,0), MATCH(CE$4,연료전지_원본!$KB$4:$KX$4,0))*1000</f>
        <v>0</v>
      </c>
      <c r="CF125" s="250">
        <f>INDEX(연료전지_원본!$KB$4:$KX$369,MATCH($A125,연료전지_원본!$KB$4:$KB$369,0), MATCH(CF$4,연료전지_원본!$KB$4:$KX$4,0))*1000</f>
        <v>0</v>
      </c>
      <c r="CG125" s="250">
        <f>INDEX(연료전지_원본!$KB$4:$KX$369,MATCH($A125,연료전지_원본!$KB$4:$KB$369,0), MATCH(CG$4,연료전지_원본!$KB$4:$KX$4,0))*1000</f>
        <v>0</v>
      </c>
      <c r="CH125" s="250">
        <f>INDEX(연료전지_원본!$KB$4:$KX$369,MATCH($A125,연료전지_원본!$KB$4:$KB$369,0), MATCH(CH$4,연료전지_원본!$KB$4:$KX$4,0))*1000</f>
        <v>0</v>
      </c>
      <c r="CI125" s="250">
        <f>INDEX(연료전지_원본!$KB$4:$KX$369,MATCH($A125,연료전지_원본!$KB$4:$KB$369,0), MATCH(CI$4,연료전지_원본!$KB$4:$KX$4,0))*1000</f>
        <v>0</v>
      </c>
      <c r="CJ125" s="250">
        <f>INDEX(연료전지_원본!$KB$4:$KX$369,MATCH($A125,연료전지_원본!$KB$4:$KB$369,0), MATCH(CJ$4,연료전지_원본!$KB$4:$KX$4,0))*1000</f>
        <v>0</v>
      </c>
      <c r="CK125" s="250">
        <f>INDEX(연료전지_원본!$KB$4:$KX$369,MATCH($A125,연료전지_원본!$KB$4:$KB$369,0), MATCH(CK$4,연료전지_원본!$KB$4:$KX$4,0))*1000</f>
        <v>0</v>
      </c>
      <c r="CL125" s="250">
        <f>INDEX(연료전지_원본!$KB$4:$KX$369,MATCH($A125,연료전지_원본!$KB$4:$KB$369,0), MATCH(CL$4,연료전지_원본!$KB$4:$KX$4,0))*1000</f>
        <v>0</v>
      </c>
      <c r="CM125" s="250">
        <f>INDEX(연료전지_원본!$KB$4:$KX$369,MATCH($A125,연료전지_원본!$KB$4:$KB$369,0), MATCH(CM$4,연료전지_원본!$KB$4:$KX$4,0))*1000</f>
        <v>0</v>
      </c>
      <c r="CN125" s="250">
        <f>INDEX(연료전지_원본!$KB$4:$KX$369,MATCH($A125,연료전지_원본!$KB$4:$KB$369,0), MATCH(CN$4,연료전지_원본!$KB$4:$KX$4,0))*1000</f>
        <v>0</v>
      </c>
      <c r="CO125" s="250">
        <f>INDEX(연료전지_원본!$KB$4:$KX$369,MATCH($A125,연료전지_원본!$KB$4:$KB$369,0), MATCH(CO$4,연료전지_원본!$KB$4:$KX$4,0))*1000</f>
        <v>0</v>
      </c>
      <c r="CP125" s="250">
        <f>INDEX(연료전지_원본!$KB$4:$KX$369,MATCH($A125,연료전지_원본!$KB$4:$KB$369,0), MATCH(CP$4,연료전지_원본!$KB$4:$KX$4,0))*1000</f>
        <v>0</v>
      </c>
      <c r="CQ125" s="250">
        <f>INDEX(연료전지_원본!$KB$4:$KX$369,MATCH($A125,연료전지_원본!$KB$4:$KB$369,0), MATCH(CQ$4,연료전지_원본!$KB$4:$KX$4,0))*1000</f>
        <v>0</v>
      </c>
      <c r="CR125" s="250">
        <f>INDEX(연료전지_원본!$KB$4:$KX$369,MATCH($A125,연료전지_원본!$KB$4:$KB$369,0), MATCH(CR$4,연료전지_원본!$KB$4:$KX$4,0))*1000</f>
        <v>0</v>
      </c>
      <c r="CS125" s="250">
        <f>INDEX(연료전지_원본!$KB$4:$KX$369,MATCH($A125,연료전지_원본!$KB$4:$KB$369,0), MATCH(CS$4,연료전지_원본!$KB$4:$KX$4,0))*1000</f>
        <v>0</v>
      </c>
      <c r="CT125" s="250">
        <f>INDEX(연료전지_원본!$KB$4:$KX$369,MATCH($A125,연료전지_원본!$KB$4:$KB$369,0), MATCH(CT$4,연료전지_원본!$KB$4:$KX$4,0))*1000</f>
        <v>0</v>
      </c>
      <c r="CU125" s="250">
        <f>INDEX(연료전지_원본!$KB$4:$KX$369,MATCH($A125,연료전지_원본!$KB$4:$KB$369,0), MATCH(CU$4,연료전지_원본!$KB$4:$KX$4,0))*1000</f>
        <v>0</v>
      </c>
      <c r="CV125" s="250">
        <f>INDEX(연료전지_원본!$KB$4:$KX$369,MATCH($A125,연료전지_원본!$KB$4:$KB$369,0), MATCH(CV$4,연료전지_원본!$KB$4:$KX$4,0))*1000</f>
        <v>0</v>
      </c>
      <c r="CW125" s="250">
        <f>INDEX(연료전지_원본!$KB$4:$KX$369,MATCH($A125,연료전지_원본!$KB$4:$KB$369,0), MATCH(CW$4,연료전지_원본!$KB$4:$KX$4,0))*1000</f>
        <v>0</v>
      </c>
      <c r="CX125" s="250">
        <f>INDEX(연료전지_원본!$KB$4:$KX$369,MATCH($A125,연료전지_원본!$KB$4:$KB$369,0), MATCH(CX$4,연료전지_원본!$KB$4:$KX$4,0))*1000</f>
        <v>0</v>
      </c>
      <c r="CY125" s="250">
        <f>INDEX(연료전지_원본!$KB$4:$KX$369,MATCH($A125,연료전지_원본!$KB$4:$KB$369,0), MATCH(CY$4,연료전지_원본!$KB$4:$KX$4,0))*1000</f>
        <v>0</v>
      </c>
      <c r="DV125" s="30">
        <f t="shared" si="623"/>
        <v>0</v>
      </c>
    </row>
    <row r="126" spans="1:126">
      <c r="A126" s="158">
        <v>46143</v>
      </c>
      <c r="B126" s="27">
        <f>운전실적_원본!B126</f>
        <v>0</v>
      </c>
      <c r="C126" s="28" t="str">
        <f t="shared" si="629"/>
        <v/>
      </c>
      <c r="D126" s="29">
        <f>운전실적_원본!C126</f>
        <v>0</v>
      </c>
      <c r="E126" s="29" t="str">
        <f t="shared" si="630"/>
        <v/>
      </c>
      <c r="F126" s="29">
        <f>운전실적_원본!D126</f>
        <v>0</v>
      </c>
      <c r="G126" s="28" t="str">
        <f t="shared" si="631"/>
        <v/>
      </c>
      <c r="H126" s="27">
        <f>운전실적_원본!E126</f>
        <v>0</v>
      </c>
      <c r="I126" s="28" t="str">
        <f t="shared" si="632"/>
        <v/>
      </c>
      <c r="J126" s="27">
        <f>운전실적_원본!F126</f>
        <v>0</v>
      </c>
      <c r="K126" s="28" t="str">
        <f t="shared" si="632"/>
        <v/>
      </c>
      <c r="L126" s="159">
        <f>운전실적_원본!G126</f>
        <v>0</v>
      </c>
      <c r="M126" s="157" t="str">
        <f t="shared" ref="M126" si="744">IF(OR(LEN(L126)=0,L126=0),"",L126-L125)</f>
        <v/>
      </c>
      <c r="N126" s="27">
        <f>운전실적_원본!H126</f>
        <v>0</v>
      </c>
      <c r="O126" s="28" t="str">
        <f t="shared" ref="O126" si="745">IF(OR(LEN(N126)=0,N126=0),"",N126-N125)</f>
        <v/>
      </c>
      <c r="P126" s="27">
        <f>운전실적_원본!I126</f>
        <v>0</v>
      </c>
      <c r="Q126" s="28" t="str">
        <f t="shared" ref="Q126" si="746">IF(OR(LEN(P126)=0,P126=0),"",P126-P125)</f>
        <v/>
      </c>
      <c r="R126" s="160">
        <f>운전실적_원본!J126</f>
        <v>0</v>
      </c>
      <c r="S126" s="161" t="str">
        <f t="shared" ref="S126" si="747">IF(OR(LEN(R126)=0,R126=0),"",R126-R125)</f>
        <v/>
      </c>
      <c r="T126" s="160">
        <f>운전실적_원본!K126</f>
        <v>0</v>
      </c>
      <c r="U126" s="161" t="str">
        <f t="shared" si="637"/>
        <v/>
      </c>
      <c r="V126" s="29">
        <f>운전실적_원본!L126</f>
        <v>0</v>
      </c>
      <c r="W126" s="28" t="str">
        <f t="shared" ref="W126" si="748">IF(OR(LEN(V126)=0,V126=0),"",V126-V125)</f>
        <v/>
      </c>
      <c r="X126" s="162">
        <f>운전실적_원본!M126</f>
        <v>0</v>
      </c>
      <c r="Y126" s="162">
        <f>운전실적_원본!N126</f>
        <v>0</v>
      </c>
      <c r="Z126" s="162">
        <f>운전실적_원본!O126</f>
        <v>0</v>
      </c>
      <c r="AA126" s="162">
        <f>운전실적_원본!P126</f>
        <v>0</v>
      </c>
      <c r="AB126" s="162">
        <f>운전실적_원본!Q126</f>
        <v>0</v>
      </c>
      <c r="AC126" s="162">
        <f>운전실적_원본!R126</f>
        <v>0</v>
      </c>
      <c r="AD126" s="163">
        <f>운전실적_원본!S126</f>
        <v>0</v>
      </c>
      <c r="AE126" s="164">
        <f>운전실적_원본!T126</f>
        <v>0</v>
      </c>
      <c r="AF126" s="164">
        <f>운전실적_원본!U126</f>
        <v>0</v>
      </c>
      <c r="AG126" s="164">
        <f>운전실적_원본!V126</f>
        <v>0</v>
      </c>
      <c r="AH126" s="163">
        <f t="shared" si="460"/>
        <v>0</v>
      </c>
      <c r="AI126" s="164">
        <f t="shared" si="467"/>
        <v>0</v>
      </c>
      <c r="AJ126" s="164">
        <f>운전실적_원본!Y126</f>
        <v>0</v>
      </c>
      <c r="AK126" s="164">
        <f>운전실적_원본!Z126</f>
        <v>0</v>
      </c>
      <c r="AL126" s="165"/>
      <c r="AM126" s="166"/>
      <c r="AN126" s="166"/>
      <c r="AO126" s="166"/>
      <c r="AP126" s="166"/>
      <c r="AQ126" s="167"/>
      <c r="AR126" s="166"/>
      <c r="AS126" s="166"/>
      <c r="AT126" s="168"/>
      <c r="AU126" s="168"/>
      <c r="AV126" s="168"/>
      <c r="AW126" s="168"/>
      <c r="AX126" s="159">
        <f>운전실적_원본!W126</f>
        <v>0</v>
      </c>
      <c r="AY126" s="169">
        <f>운전실적_원본!X126</f>
        <v>0</v>
      </c>
      <c r="AZ126" s="169">
        <f>운전실적_원본!Y126</f>
        <v>0</v>
      </c>
      <c r="BA126" s="169">
        <f>운전실적_원본!Z126</f>
        <v>0</v>
      </c>
      <c r="BB126" s="169">
        <f>운전실적_원본!AA126</f>
        <v>0</v>
      </c>
      <c r="BC126" s="169">
        <f>운전실적_원본!AB126</f>
        <v>0</v>
      </c>
      <c r="BD126" s="159" t="str">
        <f t="shared" si="453"/>
        <v>-</v>
      </c>
      <c r="BE126" s="169" t="str">
        <f t="shared" si="461"/>
        <v>-</v>
      </c>
      <c r="BF126" s="169">
        <f>운전실적_원본!AE126</f>
        <v>0</v>
      </c>
      <c r="BG126" s="157">
        <f t="shared" si="454"/>
        <v>0</v>
      </c>
      <c r="BH126" s="244">
        <f>INDEX(연료전지_원본!$A$4:$KY$369,MATCH($A126,연료전지_원본!$A$4:$A$369,0),MATCH($BH$4,연료전지_원본!$A$4:$KY$4,0))</f>
        <v>0</v>
      </c>
      <c r="BI126" s="244">
        <f>INDEX(연료전지_원본!$A$4:$KY$369,MATCH($A126,연료전지_원본!$A$4:$A$369,0),MATCH($BI$4,연료전지_원본!$A$4:$KY$4,0))</f>
        <v>0</v>
      </c>
      <c r="BJ126" s="244">
        <f>INDEX(연료전지_원본!$A$4:$KY$369,MATCH($A126,연료전지_원본!$A$4:$A$369,0),MATCH($BJ$4,연료전지_원본!$A$4:$KY$4,0))</f>
        <v>0</v>
      </c>
      <c r="BK126" s="244">
        <f>INDEX(연료전지_원본!$A$4:$KY$369,MATCH($A126,연료전지_원본!$A$4:$A$369,0),MATCH($BK$4,연료전지_원본!$A$4:$KY$4,0))</f>
        <v>0</v>
      </c>
      <c r="BL126" s="244">
        <f>INDEX(연료전지_원본!$A$4:$KY$369,MATCH($A126,연료전지_원본!$A$4:$A$369,0),MATCH($BL$4,연료전지_원본!$A$4:$KY$4,0))</f>
        <v>0</v>
      </c>
      <c r="BM126" s="244">
        <f>INDEX(연료전지_원본!$A$4:$KY$369,MATCH($A126,연료전지_원본!$A$4:$A$369,0),MATCH($BM$4,연료전지_원본!$A$4:$KY$4,0))</f>
        <v>0</v>
      </c>
      <c r="BN126" s="244">
        <f>INDEX(연료전지_원본!$A$4:$KY$369,MATCH($A126,연료전지_원본!$A$4:$A$369,0),MATCH($BN$4,연료전지_원본!$A$4:$KY$4,0))</f>
        <v>0</v>
      </c>
      <c r="BO126" s="244">
        <f>INDEX(연료전지_원본!$A$4:$KY$369,MATCH($A126,연료전지_원본!$A$4:$A$369,0),MATCH($BO$4,연료전지_원본!$A$4:$KY$4,0))</f>
        <v>0</v>
      </c>
      <c r="BP126" s="244">
        <f>INDEX(연료전지_원본!$A$4:$KY$369,MATCH($A126,연료전지_원본!$A$4:$A$369,0),MATCH($BP$4,연료전지_원본!$A$4:$KY$4,0))</f>
        <v>0</v>
      </c>
      <c r="BQ126" s="244">
        <f>INDEX(연료전지_원본!$A$4:$KY$369,MATCH($A126,연료전지_원본!$A$4:$A$369,0),MATCH($BQ$4,연료전지_원본!$A$4:$KY$4,0))</f>
        <v>0</v>
      </c>
      <c r="BR126" s="244">
        <f>INDEX(연료전지_원본!$A$4:$KY$369,MATCH($A126,연료전지_원본!$A$4:$A$369,0),MATCH($BR$4,연료전지_원본!$A$4:$KY$4,0))</f>
        <v>0</v>
      </c>
      <c r="BS126" s="244">
        <f>INDEX(연료전지_원본!$A$4:$KY$369,MATCH($A126,연료전지_원본!$A$4:$A$369,0),MATCH($BS$4,연료전지_원본!$A$4:$KY$4,0))</f>
        <v>0</v>
      </c>
      <c r="BT126" s="244">
        <f>INDEX(연료전지_원본!$A$4:$KY$369,MATCH($A126,연료전지_원본!$A$4:$A$369,0),MATCH($BT$4,연료전지_원본!$A$4:$KY$4,0))</f>
        <v>0</v>
      </c>
      <c r="BU126" s="244">
        <f>INDEX(연료전지_원본!$A$4:$KY$369,MATCH($A126,연료전지_원본!$A$4:$A$369,0),MATCH($BU$4,연료전지_원본!$A$4:$KY$4,0))</f>
        <v>0</v>
      </c>
      <c r="BV126" s="244">
        <f>INDEX(연료전지_원본!$A$4:$KY$369,MATCH($A126,연료전지_원본!$A$4:$A$369,0),MATCH($BV$4,연료전지_원본!$A$4:$KY$4,0))</f>
        <v>0</v>
      </c>
      <c r="BW126" s="244">
        <f>INDEX(연료전지_원본!$A$4:$KY$369,MATCH($A126,연료전지_원본!$A$4:$A$369,0),MATCH($BW$4,연료전지_원본!$A$4:$KY$4,0))</f>
        <v>0</v>
      </c>
      <c r="BX126" s="244">
        <f>INDEX(연료전지_원본!$A$4:$KY$369,MATCH($A126,연료전지_원본!$A$4:$A$369,0),MATCH($BX$4,연료전지_원본!$A$4:$KY$4,0))</f>
        <v>0</v>
      </c>
      <c r="BY126" s="244">
        <f>INDEX(연료전지_원본!$A$4:$KY$369,MATCH($A126,연료전지_원본!$A$4:$A$369,0),MATCH($BY$4,연료전지_원본!$A$4:$KY$4,0))</f>
        <v>0</v>
      </c>
      <c r="BZ126" s="244">
        <f>INDEX(연료전지_원본!$A$4:$KY$369,MATCH($A126,연료전지_원본!$A$4:$A$369,0),MATCH($BZ$4,연료전지_원본!$A$4:$KY$4,0))</f>
        <v>0</v>
      </c>
      <c r="CA126" s="244">
        <f>INDEX(연료전지_원본!$A$4:$KY$369,MATCH($A126,연료전지_원본!$A$4:$A$369,0),MATCH($CA$4,연료전지_원본!$A$4:$KY$4,0))</f>
        <v>0</v>
      </c>
      <c r="CB126" s="244">
        <f>INDEX(연료전지_원본!$A$4:$KY$369,MATCH($A126,연료전지_원본!$A$4:$A$369,0),MATCH($CB$4,연료전지_원본!$A$4:$KY$4,0))</f>
        <v>0</v>
      </c>
      <c r="CC126" s="245">
        <f>INDEX(연료전지_원본!$A$4:$KY$369,MATCH($A126,연료전지_원본!$A$4:$A$369,0),MATCH($CC$4,연료전지_원본!$A$4:$KY$4,0))</f>
        <v>0</v>
      </c>
      <c r="CD126" s="257">
        <f>INDEX(연료전지_원본!$KB$4:$KX$369,MATCH($A126,연료전지_원본!$KB$4:$KB$369,0), MATCH(CD$4,연료전지_원본!$KB$4:$KX$4,0))*1000</f>
        <v>0</v>
      </c>
      <c r="CE126" s="257">
        <f>INDEX(연료전지_원본!$KB$4:$KX$369,MATCH($A126,연료전지_원본!$KB$4:$KB$369,0), MATCH(CE$4,연료전지_원본!$KB$4:$KX$4,0))*1000</f>
        <v>0</v>
      </c>
      <c r="CF126" s="257">
        <f>INDEX(연료전지_원본!$KB$4:$KX$369,MATCH($A126,연료전지_원본!$KB$4:$KB$369,0), MATCH(CF$4,연료전지_원본!$KB$4:$KX$4,0))*1000</f>
        <v>0</v>
      </c>
      <c r="CG126" s="257">
        <f>INDEX(연료전지_원본!$KB$4:$KX$369,MATCH($A126,연료전지_원본!$KB$4:$KB$369,0), MATCH(CG$4,연료전지_원본!$KB$4:$KX$4,0))*1000</f>
        <v>0</v>
      </c>
      <c r="CH126" s="257">
        <f>INDEX(연료전지_원본!$KB$4:$KX$369,MATCH($A126,연료전지_원본!$KB$4:$KB$369,0), MATCH(CH$4,연료전지_원본!$KB$4:$KX$4,0))*1000</f>
        <v>0</v>
      </c>
      <c r="CI126" s="257">
        <f>INDEX(연료전지_원본!$KB$4:$KX$369,MATCH($A126,연료전지_원본!$KB$4:$KB$369,0), MATCH(CI$4,연료전지_원본!$KB$4:$KX$4,0))*1000</f>
        <v>0</v>
      </c>
      <c r="CJ126" s="257">
        <f>INDEX(연료전지_원본!$KB$4:$KX$369,MATCH($A126,연료전지_원본!$KB$4:$KB$369,0), MATCH(CJ$4,연료전지_원본!$KB$4:$KX$4,0))*1000</f>
        <v>0</v>
      </c>
      <c r="CK126" s="257">
        <f>INDEX(연료전지_원본!$KB$4:$KX$369,MATCH($A126,연료전지_원본!$KB$4:$KB$369,0), MATCH(CK$4,연료전지_원본!$KB$4:$KX$4,0))*1000</f>
        <v>0</v>
      </c>
      <c r="CL126" s="257">
        <f>INDEX(연료전지_원본!$KB$4:$KX$369,MATCH($A126,연료전지_원본!$KB$4:$KB$369,0), MATCH(CL$4,연료전지_원본!$KB$4:$KX$4,0))*1000</f>
        <v>0</v>
      </c>
      <c r="CM126" s="257">
        <f>INDEX(연료전지_원본!$KB$4:$KX$369,MATCH($A126,연료전지_원본!$KB$4:$KB$369,0), MATCH(CM$4,연료전지_원본!$KB$4:$KX$4,0))*1000</f>
        <v>0</v>
      </c>
      <c r="CN126" s="257">
        <f>INDEX(연료전지_원본!$KB$4:$KX$369,MATCH($A126,연료전지_원본!$KB$4:$KB$369,0), MATCH(CN$4,연료전지_원본!$KB$4:$KX$4,0))*1000</f>
        <v>0</v>
      </c>
      <c r="CO126" s="257">
        <f>INDEX(연료전지_원본!$KB$4:$KX$369,MATCH($A126,연료전지_원본!$KB$4:$KB$369,0), MATCH(CO$4,연료전지_원본!$KB$4:$KX$4,0))*1000</f>
        <v>0</v>
      </c>
      <c r="CP126" s="257">
        <f>INDEX(연료전지_원본!$KB$4:$KX$369,MATCH($A126,연료전지_원본!$KB$4:$KB$369,0), MATCH(CP$4,연료전지_원본!$KB$4:$KX$4,0))*1000</f>
        <v>0</v>
      </c>
      <c r="CQ126" s="257">
        <f>INDEX(연료전지_원본!$KB$4:$KX$369,MATCH($A126,연료전지_원본!$KB$4:$KB$369,0), MATCH(CQ$4,연료전지_원본!$KB$4:$KX$4,0))*1000</f>
        <v>0</v>
      </c>
      <c r="CR126" s="257">
        <f>INDEX(연료전지_원본!$KB$4:$KX$369,MATCH($A126,연료전지_원본!$KB$4:$KB$369,0), MATCH(CR$4,연료전지_원본!$KB$4:$KX$4,0))*1000</f>
        <v>0</v>
      </c>
      <c r="CS126" s="257">
        <f>INDEX(연료전지_원본!$KB$4:$KX$369,MATCH($A126,연료전지_원본!$KB$4:$KB$369,0), MATCH(CS$4,연료전지_원본!$KB$4:$KX$4,0))*1000</f>
        <v>0</v>
      </c>
      <c r="CT126" s="257">
        <f>INDEX(연료전지_원본!$KB$4:$KX$369,MATCH($A126,연료전지_원본!$KB$4:$KB$369,0), MATCH(CT$4,연료전지_원본!$KB$4:$KX$4,0))*1000</f>
        <v>0</v>
      </c>
      <c r="CU126" s="257">
        <f>INDEX(연료전지_원본!$KB$4:$KX$369,MATCH($A126,연료전지_원본!$KB$4:$KB$369,0), MATCH(CU$4,연료전지_원본!$KB$4:$KX$4,0))*1000</f>
        <v>0</v>
      </c>
      <c r="CV126" s="257">
        <f>INDEX(연료전지_원본!$KB$4:$KX$369,MATCH($A126,연료전지_원본!$KB$4:$KB$369,0), MATCH(CV$4,연료전지_원본!$KB$4:$KX$4,0))*1000</f>
        <v>0</v>
      </c>
      <c r="CW126" s="257">
        <f>INDEX(연료전지_원본!$KB$4:$KX$369,MATCH($A126,연료전지_원본!$KB$4:$KB$369,0), MATCH(CW$4,연료전지_원본!$KB$4:$KX$4,0))*1000</f>
        <v>0</v>
      </c>
      <c r="CX126" s="257">
        <f>INDEX(연료전지_원본!$KB$4:$KX$369,MATCH($A126,연료전지_원본!$KB$4:$KB$369,0), MATCH(CX$4,연료전지_원본!$KB$4:$KX$4,0))*1000</f>
        <v>0</v>
      </c>
      <c r="CY126" s="257">
        <f>INDEX(연료전지_원본!$KB$4:$KX$369,MATCH($A126,연료전지_원본!$KB$4:$KB$369,0), MATCH(CY$4,연료전지_원본!$KB$4:$KX$4,0))*1000</f>
        <v>0</v>
      </c>
      <c r="CZ126" s="186"/>
      <c r="DA126" s="182"/>
      <c r="DB126" s="182"/>
      <c r="DC126" s="182"/>
      <c r="DD126" s="182"/>
      <c r="DE126" s="182"/>
      <c r="DF126" s="182"/>
      <c r="DG126" s="182"/>
      <c r="DH126" s="182"/>
      <c r="DI126" s="182"/>
      <c r="DJ126" s="182"/>
      <c r="DK126" s="182"/>
      <c r="DL126" s="182"/>
      <c r="DM126" s="182"/>
      <c r="DN126" s="182"/>
      <c r="DO126" s="182"/>
      <c r="DP126" s="182"/>
      <c r="DQ126" s="182"/>
      <c r="DR126" s="182"/>
      <c r="DS126" s="182"/>
      <c r="DT126" s="182"/>
      <c r="DU126" s="182"/>
      <c r="DV126" s="182">
        <f t="shared" si="623"/>
        <v>0</v>
      </c>
    </row>
    <row r="127" spans="1:126">
      <c r="A127" s="6">
        <v>46144</v>
      </c>
      <c r="B127" s="15">
        <f>운전실적_원본!B127</f>
        <v>0</v>
      </c>
      <c r="C127" s="16" t="str">
        <f t="shared" si="629"/>
        <v/>
      </c>
      <c r="D127" s="12">
        <f>운전실적_원본!C127</f>
        <v>0</v>
      </c>
      <c r="E127" s="12" t="str">
        <f t="shared" si="630"/>
        <v/>
      </c>
      <c r="F127" s="12">
        <f>운전실적_원본!D127</f>
        <v>0</v>
      </c>
      <c r="G127" s="16" t="str">
        <f t="shared" si="631"/>
        <v/>
      </c>
      <c r="H127" s="15">
        <f>운전실적_원본!E127</f>
        <v>0</v>
      </c>
      <c r="I127" s="16" t="str">
        <f t="shared" si="632"/>
        <v/>
      </c>
      <c r="J127" s="15">
        <f>운전실적_원본!F127</f>
        <v>0</v>
      </c>
      <c r="K127" s="16" t="str">
        <f t="shared" si="632"/>
        <v/>
      </c>
      <c r="L127" s="32">
        <f>운전실적_원본!G127</f>
        <v>0</v>
      </c>
      <c r="M127" s="31" t="str">
        <f t="shared" ref="M127" si="749">IF(OR(LEN(L127)=0,L127=0),"",L127-L126)</f>
        <v/>
      </c>
      <c r="N127" s="15">
        <f>운전실적_원본!H127</f>
        <v>0</v>
      </c>
      <c r="O127" s="16" t="str">
        <f t="shared" ref="O127" si="750">IF(OR(LEN(N127)=0,N127=0),"",N127-N126)</f>
        <v/>
      </c>
      <c r="P127" s="15">
        <f>운전실적_원본!I127</f>
        <v>0</v>
      </c>
      <c r="Q127" s="16" t="str">
        <f t="shared" ref="Q127" si="751">IF(OR(LEN(P127)=0,P127=0),"",P127-P126)</f>
        <v/>
      </c>
      <c r="R127" s="18">
        <f>운전실적_원본!J127</f>
        <v>0</v>
      </c>
      <c r="S127" s="19" t="str">
        <f t="shared" ref="S127" si="752">IF(OR(LEN(R127)=0,R127=0),"",R127-R126)</f>
        <v/>
      </c>
      <c r="T127" s="18">
        <f>운전실적_원본!K127</f>
        <v>0</v>
      </c>
      <c r="U127" s="19" t="str">
        <f t="shared" si="637"/>
        <v/>
      </c>
      <c r="V127" s="12">
        <f>운전실적_원본!L127</f>
        <v>0</v>
      </c>
      <c r="W127" s="16" t="str">
        <f t="shared" ref="W127" si="753">IF(OR(LEN(V127)=0,V127=0),"",V127-V126)</f>
        <v/>
      </c>
      <c r="X127" s="10">
        <f>운전실적_원본!M127</f>
        <v>0</v>
      </c>
      <c r="Y127" s="10">
        <f>운전실적_원본!N127</f>
        <v>0</v>
      </c>
      <c r="Z127" s="10">
        <f>운전실적_원본!O127</f>
        <v>0</v>
      </c>
      <c r="AA127" s="10">
        <f>운전실적_원본!P127</f>
        <v>0</v>
      </c>
      <c r="AB127" s="10">
        <f>운전실적_원본!Q127</f>
        <v>0</v>
      </c>
      <c r="AC127" s="20">
        <f>운전실적_원본!R127</f>
        <v>0</v>
      </c>
      <c r="AD127" s="109">
        <f>운전실적_원본!S127</f>
        <v>0</v>
      </c>
      <c r="AE127" s="110">
        <f>운전실적_원본!T127</f>
        <v>0</v>
      </c>
      <c r="AF127" s="110">
        <f>운전실적_원본!U127</f>
        <v>0</v>
      </c>
      <c r="AG127" s="110">
        <f>운전실적_원본!V127</f>
        <v>0</v>
      </c>
      <c r="AH127" s="109">
        <f t="shared" si="460"/>
        <v>0</v>
      </c>
      <c r="AI127" s="110">
        <f t="shared" si="467"/>
        <v>0</v>
      </c>
      <c r="AJ127" s="110">
        <f>운전실적_원본!Y127</f>
        <v>0</v>
      </c>
      <c r="AK127" s="110">
        <f>운전실적_원본!Z127</f>
        <v>0</v>
      </c>
      <c r="AL127" s="106"/>
      <c r="AM127" s="105"/>
      <c r="AN127" s="105"/>
      <c r="AO127" s="105"/>
      <c r="AP127" s="105"/>
      <c r="AQ127" s="108"/>
      <c r="AR127" s="105"/>
      <c r="AS127" s="105"/>
      <c r="AT127" s="102"/>
      <c r="AU127" s="102"/>
      <c r="AV127" s="102"/>
      <c r="AW127" s="102"/>
      <c r="AX127" s="32">
        <f>운전실적_원본!W127</f>
        <v>0</v>
      </c>
      <c r="AY127" s="11">
        <f>운전실적_원본!X127</f>
        <v>0</v>
      </c>
      <c r="AZ127" s="11">
        <f>운전실적_원본!Y127</f>
        <v>0</v>
      </c>
      <c r="BA127" s="11">
        <f>운전실적_원본!Z127</f>
        <v>0</v>
      </c>
      <c r="BB127" s="11">
        <f>운전실적_원본!AA127</f>
        <v>0</v>
      </c>
      <c r="BC127" s="11">
        <f>운전실적_원본!AB127</f>
        <v>0</v>
      </c>
      <c r="BD127" s="32" t="str">
        <f t="shared" si="453"/>
        <v>-</v>
      </c>
      <c r="BE127" s="11" t="str">
        <f t="shared" si="461"/>
        <v>-</v>
      </c>
      <c r="BF127" s="11">
        <f>운전실적_원본!AE127</f>
        <v>0</v>
      </c>
      <c r="BG127" s="31">
        <f t="shared" si="454"/>
        <v>0</v>
      </c>
      <c r="BH127" s="241">
        <f>INDEX(연료전지_원본!$A$4:$KY$369,MATCH($A127,연료전지_원본!$A$4:$A$369,0),MATCH($BH$4,연료전지_원본!$A$4:$KY$4,0))</f>
        <v>0</v>
      </c>
      <c r="BI127" s="241">
        <f>INDEX(연료전지_원본!$A$4:$KY$369,MATCH($A127,연료전지_원본!$A$4:$A$369,0),MATCH($BI$4,연료전지_원본!$A$4:$KY$4,0))</f>
        <v>0</v>
      </c>
      <c r="BJ127" s="241">
        <f>INDEX(연료전지_원본!$A$4:$KY$369,MATCH($A127,연료전지_원본!$A$4:$A$369,0),MATCH($BJ$4,연료전지_원본!$A$4:$KY$4,0))</f>
        <v>0</v>
      </c>
      <c r="BK127" s="241">
        <f>INDEX(연료전지_원본!$A$4:$KY$369,MATCH($A127,연료전지_원본!$A$4:$A$369,0),MATCH($BK$4,연료전지_원본!$A$4:$KY$4,0))</f>
        <v>0</v>
      </c>
      <c r="BL127" s="241">
        <f>INDEX(연료전지_원본!$A$4:$KY$369,MATCH($A127,연료전지_원본!$A$4:$A$369,0),MATCH($BL$4,연료전지_원본!$A$4:$KY$4,0))</f>
        <v>0</v>
      </c>
      <c r="BM127" s="241">
        <f>INDEX(연료전지_원본!$A$4:$KY$369,MATCH($A127,연료전지_원본!$A$4:$A$369,0),MATCH($BM$4,연료전지_원본!$A$4:$KY$4,0))</f>
        <v>0</v>
      </c>
      <c r="BN127" s="241">
        <f>INDEX(연료전지_원본!$A$4:$KY$369,MATCH($A127,연료전지_원본!$A$4:$A$369,0),MATCH($BN$4,연료전지_원본!$A$4:$KY$4,0))</f>
        <v>0</v>
      </c>
      <c r="BO127" s="241">
        <f>INDEX(연료전지_원본!$A$4:$KY$369,MATCH($A127,연료전지_원본!$A$4:$A$369,0),MATCH($BO$4,연료전지_원본!$A$4:$KY$4,0))</f>
        <v>0</v>
      </c>
      <c r="BP127" s="241">
        <f>INDEX(연료전지_원본!$A$4:$KY$369,MATCH($A127,연료전지_원본!$A$4:$A$369,0),MATCH($BP$4,연료전지_원본!$A$4:$KY$4,0))</f>
        <v>0</v>
      </c>
      <c r="BQ127" s="241">
        <f>INDEX(연료전지_원본!$A$4:$KY$369,MATCH($A127,연료전지_원본!$A$4:$A$369,0),MATCH($BQ$4,연료전지_원본!$A$4:$KY$4,0))</f>
        <v>0</v>
      </c>
      <c r="BR127" s="241">
        <f>INDEX(연료전지_원본!$A$4:$KY$369,MATCH($A127,연료전지_원본!$A$4:$A$369,0),MATCH($BR$4,연료전지_원본!$A$4:$KY$4,0))</f>
        <v>0</v>
      </c>
      <c r="BS127" s="241">
        <f>INDEX(연료전지_원본!$A$4:$KY$369,MATCH($A127,연료전지_원본!$A$4:$A$369,0),MATCH($BS$4,연료전지_원본!$A$4:$KY$4,0))</f>
        <v>0</v>
      </c>
      <c r="BT127" s="241">
        <f>INDEX(연료전지_원본!$A$4:$KY$369,MATCH($A127,연료전지_원본!$A$4:$A$369,0),MATCH($BT$4,연료전지_원본!$A$4:$KY$4,0))</f>
        <v>0</v>
      </c>
      <c r="BU127" s="241">
        <f>INDEX(연료전지_원본!$A$4:$KY$369,MATCH($A127,연료전지_원본!$A$4:$A$369,0),MATCH($BU$4,연료전지_원본!$A$4:$KY$4,0))</f>
        <v>0</v>
      </c>
      <c r="BV127" s="241">
        <f>INDEX(연료전지_원본!$A$4:$KY$369,MATCH($A127,연료전지_원본!$A$4:$A$369,0),MATCH($BV$4,연료전지_원본!$A$4:$KY$4,0))</f>
        <v>0</v>
      </c>
      <c r="BW127" s="241">
        <f>INDEX(연료전지_원본!$A$4:$KY$369,MATCH($A127,연료전지_원본!$A$4:$A$369,0),MATCH($BW$4,연료전지_원본!$A$4:$KY$4,0))</f>
        <v>0</v>
      </c>
      <c r="BX127" s="241">
        <f>INDEX(연료전지_원본!$A$4:$KY$369,MATCH($A127,연료전지_원본!$A$4:$A$369,0),MATCH($BX$4,연료전지_원본!$A$4:$KY$4,0))</f>
        <v>0</v>
      </c>
      <c r="BY127" s="241">
        <f>INDEX(연료전지_원본!$A$4:$KY$369,MATCH($A127,연료전지_원본!$A$4:$A$369,0),MATCH($BY$4,연료전지_원본!$A$4:$KY$4,0))</f>
        <v>0</v>
      </c>
      <c r="BZ127" s="241">
        <f>INDEX(연료전지_원본!$A$4:$KY$369,MATCH($A127,연료전지_원본!$A$4:$A$369,0),MATCH($BZ$4,연료전지_원본!$A$4:$KY$4,0))</f>
        <v>0</v>
      </c>
      <c r="CA127" s="241">
        <f>INDEX(연료전지_원본!$A$4:$KY$369,MATCH($A127,연료전지_원본!$A$4:$A$369,0),MATCH($CA$4,연료전지_원본!$A$4:$KY$4,0))</f>
        <v>0</v>
      </c>
      <c r="CB127" s="241">
        <f>INDEX(연료전지_원본!$A$4:$KY$369,MATCH($A127,연료전지_원본!$A$4:$A$369,0),MATCH($CB$4,연료전지_원본!$A$4:$KY$4,0))</f>
        <v>0</v>
      </c>
      <c r="CC127" s="242">
        <f>INDEX(연료전지_원본!$A$4:$KY$369,MATCH($A127,연료전지_원본!$A$4:$A$369,0),MATCH($CC$4,연료전지_원본!$A$4:$KY$4,0))</f>
        <v>0</v>
      </c>
      <c r="CD127" s="250">
        <f>INDEX(연료전지_원본!$KB$4:$KX$369,MATCH($A127,연료전지_원본!$KB$4:$KB$369,0), MATCH(CD$4,연료전지_원본!$KB$4:$KX$4,0))*1000</f>
        <v>0</v>
      </c>
      <c r="CE127" s="250">
        <f>INDEX(연료전지_원본!$KB$4:$KX$369,MATCH($A127,연료전지_원본!$KB$4:$KB$369,0), MATCH(CE$4,연료전지_원본!$KB$4:$KX$4,0))*1000</f>
        <v>0</v>
      </c>
      <c r="CF127" s="250">
        <f>INDEX(연료전지_원본!$KB$4:$KX$369,MATCH($A127,연료전지_원본!$KB$4:$KB$369,0), MATCH(CF$4,연료전지_원본!$KB$4:$KX$4,0))*1000</f>
        <v>0</v>
      </c>
      <c r="CG127" s="250">
        <f>INDEX(연료전지_원본!$KB$4:$KX$369,MATCH($A127,연료전지_원본!$KB$4:$KB$369,0), MATCH(CG$4,연료전지_원본!$KB$4:$KX$4,0))*1000</f>
        <v>0</v>
      </c>
      <c r="CH127" s="250">
        <f>INDEX(연료전지_원본!$KB$4:$KX$369,MATCH($A127,연료전지_원본!$KB$4:$KB$369,0), MATCH(CH$4,연료전지_원본!$KB$4:$KX$4,0))*1000</f>
        <v>0</v>
      </c>
      <c r="CI127" s="250">
        <f>INDEX(연료전지_원본!$KB$4:$KX$369,MATCH($A127,연료전지_원본!$KB$4:$KB$369,0), MATCH(CI$4,연료전지_원본!$KB$4:$KX$4,0))*1000</f>
        <v>0</v>
      </c>
      <c r="CJ127" s="250">
        <f>INDEX(연료전지_원본!$KB$4:$KX$369,MATCH($A127,연료전지_원본!$KB$4:$KB$369,0), MATCH(CJ$4,연료전지_원본!$KB$4:$KX$4,0))*1000</f>
        <v>0</v>
      </c>
      <c r="CK127" s="250">
        <f>INDEX(연료전지_원본!$KB$4:$KX$369,MATCH($A127,연료전지_원본!$KB$4:$KB$369,0), MATCH(CK$4,연료전지_원본!$KB$4:$KX$4,0))*1000</f>
        <v>0</v>
      </c>
      <c r="CL127" s="250">
        <f>INDEX(연료전지_원본!$KB$4:$KX$369,MATCH($A127,연료전지_원본!$KB$4:$KB$369,0), MATCH(CL$4,연료전지_원본!$KB$4:$KX$4,0))*1000</f>
        <v>0</v>
      </c>
      <c r="CM127" s="250">
        <f>INDEX(연료전지_원본!$KB$4:$KX$369,MATCH($A127,연료전지_원본!$KB$4:$KB$369,0), MATCH(CM$4,연료전지_원본!$KB$4:$KX$4,0))*1000</f>
        <v>0</v>
      </c>
      <c r="CN127" s="250">
        <f>INDEX(연료전지_원본!$KB$4:$KX$369,MATCH($A127,연료전지_원본!$KB$4:$KB$369,0), MATCH(CN$4,연료전지_원본!$KB$4:$KX$4,0))*1000</f>
        <v>0</v>
      </c>
      <c r="CO127" s="250">
        <f>INDEX(연료전지_원본!$KB$4:$KX$369,MATCH($A127,연료전지_원본!$KB$4:$KB$369,0), MATCH(CO$4,연료전지_원본!$KB$4:$KX$4,0))*1000</f>
        <v>0</v>
      </c>
      <c r="CP127" s="250">
        <f>INDEX(연료전지_원본!$KB$4:$KX$369,MATCH($A127,연료전지_원본!$KB$4:$KB$369,0), MATCH(CP$4,연료전지_원본!$KB$4:$KX$4,0))*1000</f>
        <v>0</v>
      </c>
      <c r="CQ127" s="250">
        <f>INDEX(연료전지_원본!$KB$4:$KX$369,MATCH($A127,연료전지_원본!$KB$4:$KB$369,0), MATCH(CQ$4,연료전지_원본!$KB$4:$KX$4,0))*1000</f>
        <v>0</v>
      </c>
      <c r="CR127" s="250">
        <f>INDEX(연료전지_원본!$KB$4:$KX$369,MATCH($A127,연료전지_원본!$KB$4:$KB$369,0), MATCH(CR$4,연료전지_원본!$KB$4:$KX$4,0))*1000</f>
        <v>0</v>
      </c>
      <c r="CS127" s="250">
        <f>INDEX(연료전지_원본!$KB$4:$KX$369,MATCH($A127,연료전지_원본!$KB$4:$KB$369,0), MATCH(CS$4,연료전지_원본!$KB$4:$KX$4,0))*1000</f>
        <v>0</v>
      </c>
      <c r="CT127" s="250">
        <f>INDEX(연료전지_원본!$KB$4:$KX$369,MATCH($A127,연료전지_원본!$KB$4:$KB$369,0), MATCH(CT$4,연료전지_원본!$KB$4:$KX$4,0))*1000</f>
        <v>0</v>
      </c>
      <c r="CU127" s="250">
        <f>INDEX(연료전지_원본!$KB$4:$KX$369,MATCH($A127,연료전지_원본!$KB$4:$KB$369,0), MATCH(CU$4,연료전지_원본!$KB$4:$KX$4,0))*1000</f>
        <v>0</v>
      </c>
      <c r="CV127" s="250">
        <f>INDEX(연료전지_원본!$KB$4:$KX$369,MATCH($A127,연료전지_원본!$KB$4:$KB$369,0), MATCH(CV$4,연료전지_원본!$KB$4:$KX$4,0))*1000</f>
        <v>0</v>
      </c>
      <c r="CW127" s="250">
        <f>INDEX(연료전지_원본!$KB$4:$KX$369,MATCH($A127,연료전지_원본!$KB$4:$KB$369,0), MATCH(CW$4,연료전지_원본!$KB$4:$KX$4,0))*1000</f>
        <v>0</v>
      </c>
      <c r="CX127" s="250">
        <f>INDEX(연료전지_원본!$KB$4:$KX$369,MATCH($A127,연료전지_원본!$KB$4:$KB$369,0), MATCH(CX$4,연료전지_원본!$KB$4:$KX$4,0))*1000</f>
        <v>0</v>
      </c>
      <c r="CY127" s="250">
        <f>INDEX(연료전지_원본!$KB$4:$KX$369,MATCH($A127,연료전지_원본!$KB$4:$KB$369,0), MATCH(CY$4,연료전지_원본!$KB$4:$KX$4,0))*1000</f>
        <v>0</v>
      </c>
      <c r="DV127" s="30">
        <f t="shared" si="623"/>
        <v>0</v>
      </c>
    </row>
    <row r="128" spans="1:126">
      <c r="A128" s="6">
        <v>46145</v>
      </c>
      <c r="B128" s="15">
        <f>운전실적_원본!B128</f>
        <v>0</v>
      </c>
      <c r="C128" s="16" t="str">
        <f t="shared" si="629"/>
        <v/>
      </c>
      <c r="D128" s="12">
        <f>운전실적_원본!C128</f>
        <v>0</v>
      </c>
      <c r="E128" s="12" t="str">
        <f t="shared" si="630"/>
        <v/>
      </c>
      <c r="F128" s="12">
        <f>운전실적_원본!D128</f>
        <v>0</v>
      </c>
      <c r="G128" s="16" t="str">
        <f t="shared" si="631"/>
        <v/>
      </c>
      <c r="H128" s="15">
        <f>운전실적_원본!E128</f>
        <v>0</v>
      </c>
      <c r="I128" s="16" t="str">
        <f t="shared" si="632"/>
        <v/>
      </c>
      <c r="J128" s="15">
        <f>운전실적_원본!F128</f>
        <v>0</v>
      </c>
      <c r="K128" s="16" t="str">
        <f t="shared" si="632"/>
        <v/>
      </c>
      <c r="L128" s="32">
        <f>운전실적_원본!G128</f>
        <v>0</v>
      </c>
      <c r="M128" s="31" t="str">
        <f t="shared" ref="M128" si="754">IF(OR(LEN(L128)=0,L128=0),"",L128-L127)</f>
        <v/>
      </c>
      <c r="N128" s="15">
        <f>운전실적_원본!H128</f>
        <v>0</v>
      </c>
      <c r="O128" s="16" t="str">
        <f t="shared" ref="O128" si="755">IF(OR(LEN(N128)=0,N128=0),"",N128-N127)</f>
        <v/>
      </c>
      <c r="P128" s="15">
        <f>운전실적_원본!I128</f>
        <v>0</v>
      </c>
      <c r="Q128" s="16" t="str">
        <f t="shared" ref="Q128" si="756">IF(OR(LEN(P128)=0,P128=0),"",P128-P127)</f>
        <v/>
      </c>
      <c r="R128" s="18">
        <f>운전실적_원본!J128</f>
        <v>0</v>
      </c>
      <c r="S128" s="19" t="str">
        <f t="shared" ref="S128" si="757">IF(OR(LEN(R128)=0,R128=0),"",R128-R127)</f>
        <v/>
      </c>
      <c r="T128" s="18">
        <f>운전실적_원본!K128</f>
        <v>0</v>
      </c>
      <c r="U128" s="19" t="str">
        <f t="shared" si="637"/>
        <v/>
      </c>
      <c r="V128" s="12">
        <f>운전실적_원본!L128</f>
        <v>0</v>
      </c>
      <c r="W128" s="16" t="str">
        <f t="shared" ref="W128" si="758">IF(OR(LEN(V128)=0,V128=0),"",V128-V127)</f>
        <v/>
      </c>
      <c r="X128" s="10">
        <f>운전실적_원본!M128</f>
        <v>0</v>
      </c>
      <c r="Y128" s="10">
        <f>운전실적_원본!N128</f>
        <v>0</v>
      </c>
      <c r="Z128" s="10">
        <f>운전실적_원본!O128</f>
        <v>0</v>
      </c>
      <c r="AA128" s="10">
        <f>운전실적_원본!P128</f>
        <v>0</v>
      </c>
      <c r="AB128" s="10">
        <f>운전실적_원본!Q128</f>
        <v>0</v>
      </c>
      <c r="AC128" s="20">
        <f>운전실적_원본!R128</f>
        <v>0</v>
      </c>
      <c r="AD128" s="109">
        <f>운전실적_원본!S128</f>
        <v>0</v>
      </c>
      <c r="AE128" s="110">
        <f>운전실적_원본!T128</f>
        <v>0</v>
      </c>
      <c r="AF128" s="110">
        <f>운전실적_원본!U128</f>
        <v>0</v>
      </c>
      <c r="AG128" s="110">
        <f>운전실적_원본!V128</f>
        <v>0</v>
      </c>
      <c r="AH128" s="109">
        <f t="shared" si="460"/>
        <v>0</v>
      </c>
      <c r="AI128" s="110">
        <f t="shared" si="467"/>
        <v>0</v>
      </c>
      <c r="AJ128" s="110">
        <f>운전실적_원본!Y128</f>
        <v>0</v>
      </c>
      <c r="AK128" s="110">
        <f>운전실적_원본!Z128</f>
        <v>0</v>
      </c>
      <c r="AL128" s="106"/>
      <c r="AM128" s="105"/>
      <c r="AN128" s="105"/>
      <c r="AO128" s="105"/>
      <c r="AP128" s="105"/>
      <c r="AQ128" s="108"/>
      <c r="AR128" s="105"/>
      <c r="AS128" s="105"/>
      <c r="AT128" s="102"/>
      <c r="AU128" s="102"/>
      <c r="AV128" s="102"/>
      <c r="AW128" s="102"/>
      <c r="AX128" s="32">
        <f>운전실적_원본!W128</f>
        <v>0</v>
      </c>
      <c r="AY128" s="11">
        <f>운전실적_원본!X128</f>
        <v>0</v>
      </c>
      <c r="AZ128" s="11">
        <f>운전실적_원본!Y128</f>
        <v>0</v>
      </c>
      <c r="BA128" s="11">
        <f>운전실적_원본!Z128</f>
        <v>0</v>
      </c>
      <c r="BB128" s="11">
        <f>운전실적_원본!AA128</f>
        <v>0</v>
      </c>
      <c r="BC128" s="11">
        <f>운전실적_원본!AB128</f>
        <v>0</v>
      </c>
      <c r="BD128" s="32" t="str">
        <f t="shared" si="453"/>
        <v>-</v>
      </c>
      <c r="BE128" s="11" t="str">
        <f t="shared" si="461"/>
        <v>-</v>
      </c>
      <c r="BF128" s="11">
        <f>운전실적_원본!AE128</f>
        <v>0</v>
      </c>
      <c r="BG128" s="31">
        <f t="shared" si="454"/>
        <v>0</v>
      </c>
      <c r="BH128" s="241">
        <f>INDEX(연료전지_원본!$A$4:$KY$369,MATCH($A128,연료전지_원본!$A$4:$A$369,0),MATCH($BH$4,연료전지_원본!$A$4:$KY$4,0))</f>
        <v>0</v>
      </c>
      <c r="BI128" s="241">
        <f>INDEX(연료전지_원본!$A$4:$KY$369,MATCH($A128,연료전지_원본!$A$4:$A$369,0),MATCH($BI$4,연료전지_원본!$A$4:$KY$4,0))</f>
        <v>0</v>
      </c>
      <c r="BJ128" s="241">
        <f>INDEX(연료전지_원본!$A$4:$KY$369,MATCH($A128,연료전지_원본!$A$4:$A$369,0),MATCH($BJ$4,연료전지_원본!$A$4:$KY$4,0))</f>
        <v>0</v>
      </c>
      <c r="BK128" s="241">
        <f>INDEX(연료전지_원본!$A$4:$KY$369,MATCH($A128,연료전지_원본!$A$4:$A$369,0),MATCH($BK$4,연료전지_원본!$A$4:$KY$4,0))</f>
        <v>0</v>
      </c>
      <c r="BL128" s="241">
        <f>INDEX(연료전지_원본!$A$4:$KY$369,MATCH($A128,연료전지_원본!$A$4:$A$369,0),MATCH($BL$4,연료전지_원본!$A$4:$KY$4,0))</f>
        <v>0</v>
      </c>
      <c r="BM128" s="241">
        <f>INDEX(연료전지_원본!$A$4:$KY$369,MATCH($A128,연료전지_원본!$A$4:$A$369,0),MATCH($BM$4,연료전지_원본!$A$4:$KY$4,0))</f>
        <v>0</v>
      </c>
      <c r="BN128" s="241">
        <f>INDEX(연료전지_원본!$A$4:$KY$369,MATCH($A128,연료전지_원본!$A$4:$A$369,0),MATCH($BN$4,연료전지_원본!$A$4:$KY$4,0))</f>
        <v>0</v>
      </c>
      <c r="BO128" s="241">
        <f>INDEX(연료전지_원본!$A$4:$KY$369,MATCH($A128,연료전지_원본!$A$4:$A$369,0),MATCH($BO$4,연료전지_원본!$A$4:$KY$4,0))</f>
        <v>0</v>
      </c>
      <c r="BP128" s="241">
        <f>INDEX(연료전지_원본!$A$4:$KY$369,MATCH($A128,연료전지_원본!$A$4:$A$369,0),MATCH($BP$4,연료전지_원본!$A$4:$KY$4,0))</f>
        <v>0</v>
      </c>
      <c r="BQ128" s="241">
        <f>INDEX(연료전지_원본!$A$4:$KY$369,MATCH($A128,연료전지_원본!$A$4:$A$369,0),MATCH($BQ$4,연료전지_원본!$A$4:$KY$4,0))</f>
        <v>0</v>
      </c>
      <c r="BR128" s="241">
        <f>INDEX(연료전지_원본!$A$4:$KY$369,MATCH($A128,연료전지_원본!$A$4:$A$369,0),MATCH($BR$4,연료전지_원본!$A$4:$KY$4,0))</f>
        <v>0</v>
      </c>
      <c r="BS128" s="241">
        <f>INDEX(연료전지_원본!$A$4:$KY$369,MATCH($A128,연료전지_원본!$A$4:$A$369,0),MATCH($BS$4,연료전지_원본!$A$4:$KY$4,0))</f>
        <v>0</v>
      </c>
      <c r="BT128" s="241">
        <f>INDEX(연료전지_원본!$A$4:$KY$369,MATCH($A128,연료전지_원본!$A$4:$A$369,0),MATCH($BT$4,연료전지_원본!$A$4:$KY$4,0))</f>
        <v>0</v>
      </c>
      <c r="BU128" s="241">
        <f>INDEX(연료전지_원본!$A$4:$KY$369,MATCH($A128,연료전지_원본!$A$4:$A$369,0),MATCH($BU$4,연료전지_원본!$A$4:$KY$4,0))</f>
        <v>0</v>
      </c>
      <c r="BV128" s="241">
        <f>INDEX(연료전지_원본!$A$4:$KY$369,MATCH($A128,연료전지_원본!$A$4:$A$369,0),MATCH($BV$4,연료전지_원본!$A$4:$KY$4,0))</f>
        <v>0</v>
      </c>
      <c r="BW128" s="241">
        <f>INDEX(연료전지_원본!$A$4:$KY$369,MATCH($A128,연료전지_원본!$A$4:$A$369,0),MATCH($BW$4,연료전지_원본!$A$4:$KY$4,0))</f>
        <v>0</v>
      </c>
      <c r="BX128" s="241">
        <f>INDEX(연료전지_원본!$A$4:$KY$369,MATCH($A128,연료전지_원본!$A$4:$A$369,0),MATCH($BX$4,연료전지_원본!$A$4:$KY$4,0))</f>
        <v>0</v>
      </c>
      <c r="BY128" s="241">
        <f>INDEX(연료전지_원본!$A$4:$KY$369,MATCH($A128,연료전지_원본!$A$4:$A$369,0),MATCH($BY$4,연료전지_원본!$A$4:$KY$4,0))</f>
        <v>0</v>
      </c>
      <c r="BZ128" s="241">
        <f>INDEX(연료전지_원본!$A$4:$KY$369,MATCH($A128,연료전지_원본!$A$4:$A$369,0),MATCH($BZ$4,연료전지_원본!$A$4:$KY$4,0))</f>
        <v>0</v>
      </c>
      <c r="CA128" s="241">
        <f>INDEX(연료전지_원본!$A$4:$KY$369,MATCH($A128,연료전지_원본!$A$4:$A$369,0),MATCH($CA$4,연료전지_원본!$A$4:$KY$4,0))</f>
        <v>0</v>
      </c>
      <c r="CB128" s="241">
        <f>INDEX(연료전지_원본!$A$4:$KY$369,MATCH($A128,연료전지_원본!$A$4:$A$369,0),MATCH($CB$4,연료전지_원본!$A$4:$KY$4,0))</f>
        <v>0</v>
      </c>
      <c r="CC128" s="242">
        <f>INDEX(연료전지_원본!$A$4:$KY$369,MATCH($A128,연료전지_원본!$A$4:$A$369,0),MATCH($CC$4,연료전지_원본!$A$4:$KY$4,0))</f>
        <v>0</v>
      </c>
      <c r="CD128" s="250">
        <f>INDEX(연료전지_원본!$KB$4:$KX$369,MATCH($A128,연료전지_원본!$KB$4:$KB$369,0), MATCH(CD$4,연료전지_원본!$KB$4:$KX$4,0))*1000</f>
        <v>0</v>
      </c>
      <c r="CE128" s="250">
        <f>INDEX(연료전지_원본!$KB$4:$KX$369,MATCH($A128,연료전지_원본!$KB$4:$KB$369,0), MATCH(CE$4,연료전지_원본!$KB$4:$KX$4,0))*1000</f>
        <v>0</v>
      </c>
      <c r="CF128" s="250">
        <f>INDEX(연료전지_원본!$KB$4:$KX$369,MATCH($A128,연료전지_원본!$KB$4:$KB$369,0), MATCH(CF$4,연료전지_원본!$KB$4:$KX$4,0))*1000</f>
        <v>0</v>
      </c>
      <c r="CG128" s="250">
        <f>INDEX(연료전지_원본!$KB$4:$KX$369,MATCH($A128,연료전지_원본!$KB$4:$KB$369,0), MATCH(CG$4,연료전지_원본!$KB$4:$KX$4,0))*1000</f>
        <v>0</v>
      </c>
      <c r="CH128" s="250">
        <f>INDEX(연료전지_원본!$KB$4:$KX$369,MATCH($A128,연료전지_원본!$KB$4:$KB$369,0), MATCH(CH$4,연료전지_원본!$KB$4:$KX$4,0))*1000</f>
        <v>0</v>
      </c>
      <c r="CI128" s="250">
        <f>INDEX(연료전지_원본!$KB$4:$KX$369,MATCH($A128,연료전지_원본!$KB$4:$KB$369,0), MATCH(CI$4,연료전지_원본!$KB$4:$KX$4,0))*1000</f>
        <v>0</v>
      </c>
      <c r="CJ128" s="250">
        <f>INDEX(연료전지_원본!$KB$4:$KX$369,MATCH($A128,연료전지_원본!$KB$4:$KB$369,0), MATCH(CJ$4,연료전지_원본!$KB$4:$KX$4,0))*1000</f>
        <v>0</v>
      </c>
      <c r="CK128" s="250">
        <f>INDEX(연료전지_원본!$KB$4:$KX$369,MATCH($A128,연료전지_원본!$KB$4:$KB$369,0), MATCH(CK$4,연료전지_원본!$KB$4:$KX$4,0))*1000</f>
        <v>0</v>
      </c>
      <c r="CL128" s="250">
        <f>INDEX(연료전지_원본!$KB$4:$KX$369,MATCH($A128,연료전지_원본!$KB$4:$KB$369,0), MATCH(CL$4,연료전지_원본!$KB$4:$KX$4,0))*1000</f>
        <v>0</v>
      </c>
      <c r="CM128" s="250">
        <f>INDEX(연료전지_원본!$KB$4:$KX$369,MATCH($A128,연료전지_원본!$KB$4:$KB$369,0), MATCH(CM$4,연료전지_원본!$KB$4:$KX$4,0))*1000</f>
        <v>0</v>
      </c>
      <c r="CN128" s="250">
        <f>INDEX(연료전지_원본!$KB$4:$KX$369,MATCH($A128,연료전지_원본!$KB$4:$KB$369,0), MATCH(CN$4,연료전지_원본!$KB$4:$KX$4,0))*1000</f>
        <v>0</v>
      </c>
      <c r="CO128" s="250">
        <f>INDEX(연료전지_원본!$KB$4:$KX$369,MATCH($A128,연료전지_원본!$KB$4:$KB$369,0), MATCH(CO$4,연료전지_원본!$KB$4:$KX$4,0))*1000</f>
        <v>0</v>
      </c>
      <c r="CP128" s="250">
        <f>INDEX(연료전지_원본!$KB$4:$KX$369,MATCH($A128,연료전지_원본!$KB$4:$KB$369,0), MATCH(CP$4,연료전지_원본!$KB$4:$KX$4,0))*1000</f>
        <v>0</v>
      </c>
      <c r="CQ128" s="250">
        <f>INDEX(연료전지_원본!$KB$4:$KX$369,MATCH($A128,연료전지_원본!$KB$4:$KB$369,0), MATCH(CQ$4,연료전지_원본!$KB$4:$KX$4,0))*1000</f>
        <v>0</v>
      </c>
      <c r="CR128" s="250">
        <f>INDEX(연료전지_원본!$KB$4:$KX$369,MATCH($A128,연료전지_원본!$KB$4:$KB$369,0), MATCH(CR$4,연료전지_원본!$KB$4:$KX$4,0))*1000</f>
        <v>0</v>
      </c>
      <c r="CS128" s="250">
        <f>INDEX(연료전지_원본!$KB$4:$KX$369,MATCH($A128,연료전지_원본!$KB$4:$KB$369,0), MATCH(CS$4,연료전지_원본!$KB$4:$KX$4,0))*1000</f>
        <v>0</v>
      </c>
      <c r="CT128" s="250">
        <f>INDEX(연료전지_원본!$KB$4:$KX$369,MATCH($A128,연료전지_원본!$KB$4:$KB$369,0), MATCH(CT$4,연료전지_원본!$KB$4:$KX$4,0))*1000</f>
        <v>0</v>
      </c>
      <c r="CU128" s="250">
        <f>INDEX(연료전지_원본!$KB$4:$KX$369,MATCH($A128,연료전지_원본!$KB$4:$KB$369,0), MATCH(CU$4,연료전지_원본!$KB$4:$KX$4,0))*1000</f>
        <v>0</v>
      </c>
      <c r="CV128" s="250">
        <f>INDEX(연료전지_원본!$KB$4:$KX$369,MATCH($A128,연료전지_원본!$KB$4:$KB$369,0), MATCH(CV$4,연료전지_원본!$KB$4:$KX$4,0))*1000</f>
        <v>0</v>
      </c>
      <c r="CW128" s="250">
        <f>INDEX(연료전지_원본!$KB$4:$KX$369,MATCH($A128,연료전지_원본!$KB$4:$KB$369,0), MATCH(CW$4,연료전지_원본!$KB$4:$KX$4,0))*1000</f>
        <v>0</v>
      </c>
      <c r="CX128" s="250">
        <f>INDEX(연료전지_원본!$KB$4:$KX$369,MATCH($A128,연료전지_원본!$KB$4:$KB$369,0), MATCH(CX$4,연료전지_원본!$KB$4:$KX$4,0))*1000</f>
        <v>0</v>
      </c>
      <c r="CY128" s="250">
        <f>INDEX(연료전지_원본!$KB$4:$KX$369,MATCH($A128,연료전지_원본!$KB$4:$KB$369,0), MATCH(CY$4,연료전지_원본!$KB$4:$KX$4,0))*1000</f>
        <v>0</v>
      </c>
      <c r="DV128" s="30">
        <f t="shared" si="623"/>
        <v>0</v>
      </c>
    </row>
    <row r="129" spans="1:126">
      <c r="A129" s="6">
        <v>46146</v>
      </c>
      <c r="B129" s="15">
        <f>운전실적_원본!B129</f>
        <v>0</v>
      </c>
      <c r="C129" s="16" t="str">
        <f t="shared" si="629"/>
        <v/>
      </c>
      <c r="D129" s="12">
        <f>운전실적_원본!C129</f>
        <v>0</v>
      </c>
      <c r="E129" s="12" t="str">
        <f t="shared" si="630"/>
        <v/>
      </c>
      <c r="F129" s="12">
        <f>운전실적_원본!D129</f>
        <v>0</v>
      </c>
      <c r="G129" s="16" t="str">
        <f t="shared" si="631"/>
        <v/>
      </c>
      <c r="H129" s="15">
        <f>운전실적_원본!E129</f>
        <v>0</v>
      </c>
      <c r="I129" s="16" t="str">
        <f t="shared" si="632"/>
        <v/>
      </c>
      <c r="J129" s="15">
        <f>운전실적_원본!F129</f>
        <v>0</v>
      </c>
      <c r="K129" s="16" t="str">
        <f t="shared" si="632"/>
        <v/>
      </c>
      <c r="L129" s="32">
        <f>운전실적_원본!G129</f>
        <v>0</v>
      </c>
      <c r="M129" s="31" t="str">
        <f t="shared" ref="M129" si="759">IF(OR(LEN(L129)=0,L129=0),"",L129-L128)</f>
        <v/>
      </c>
      <c r="N129" s="15">
        <f>운전실적_원본!H129</f>
        <v>0</v>
      </c>
      <c r="O129" s="16" t="str">
        <f t="shared" ref="O129" si="760">IF(OR(LEN(N129)=0,N129=0),"",N129-N128)</f>
        <v/>
      </c>
      <c r="P129" s="15">
        <f>운전실적_원본!I129</f>
        <v>0</v>
      </c>
      <c r="Q129" s="16" t="str">
        <f t="shared" ref="Q129" si="761">IF(OR(LEN(P129)=0,P129=0),"",P129-P128)</f>
        <v/>
      </c>
      <c r="R129" s="18">
        <f>운전실적_원본!J129</f>
        <v>0</v>
      </c>
      <c r="S129" s="19" t="str">
        <f t="shared" ref="S129" si="762">IF(OR(LEN(R129)=0,R129=0),"",R129-R128)</f>
        <v/>
      </c>
      <c r="T129" s="18">
        <f>운전실적_원본!K129</f>
        <v>0</v>
      </c>
      <c r="U129" s="19" t="str">
        <f t="shared" si="637"/>
        <v/>
      </c>
      <c r="V129" s="12">
        <f>운전실적_원본!L129</f>
        <v>0</v>
      </c>
      <c r="W129" s="16" t="str">
        <f t="shared" ref="W129" si="763">IF(OR(LEN(V129)=0,V129=0),"",V129-V128)</f>
        <v/>
      </c>
      <c r="X129" s="10">
        <f>운전실적_원본!M129</f>
        <v>0</v>
      </c>
      <c r="Y129" s="10">
        <f>운전실적_원본!N129</f>
        <v>0</v>
      </c>
      <c r="Z129" s="10">
        <f>운전실적_원본!O129</f>
        <v>0</v>
      </c>
      <c r="AA129" s="10">
        <f>운전실적_원본!P129</f>
        <v>0</v>
      </c>
      <c r="AB129" s="10">
        <f>운전실적_원본!Q129</f>
        <v>0</v>
      </c>
      <c r="AC129" s="20">
        <f>운전실적_원본!R129</f>
        <v>0</v>
      </c>
      <c r="AD129" s="109">
        <f>운전실적_원본!S129</f>
        <v>0</v>
      </c>
      <c r="AE129" s="110">
        <f>운전실적_원본!T129</f>
        <v>0</v>
      </c>
      <c r="AF129" s="110">
        <f>운전실적_원본!U129</f>
        <v>0</v>
      </c>
      <c r="AG129" s="110">
        <f>운전실적_원본!V129</f>
        <v>0</v>
      </c>
      <c r="AH129" s="109">
        <f t="shared" si="460"/>
        <v>0</v>
      </c>
      <c r="AI129" s="110">
        <f t="shared" si="467"/>
        <v>0</v>
      </c>
      <c r="AJ129" s="110">
        <f>운전실적_원본!Y129</f>
        <v>0</v>
      </c>
      <c r="AK129" s="110">
        <f>운전실적_원본!Z129</f>
        <v>0</v>
      </c>
      <c r="AL129" s="106"/>
      <c r="AM129" s="105"/>
      <c r="AN129" s="105"/>
      <c r="AO129" s="105"/>
      <c r="AP129" s="105"/>
      <c r="AQ129" s="108"/>
      <c r="AR129" s="105"/>
      <c r="AS129" s="105"/>
      <c r="AT129" s="102"/>
      <c r="AU129" s="102"/>
      <c r="AV129" s="102"/>
      <c r="AW129" s="102"/>
      <c r="AX129" s="32">
        <f>운전실적_원본!W129</f>
        <v>0</v>
      </c>
      <c r="AY129" s="11">
        <f>운전실적_원본!X129</f>
        <v>0</v>
      </c>
      <c r="AZ129" s="11">
        <f>운전실적_원본!Y129</f>
        <v>0</v>
      </c>
      <c r="BA129" s="11">
        <f>운전실적_원본!Z129</f>
        <v>0</v>
      </c>
      <c r="BB129" s="11">
        <f>운전실적_원본!AA129</f>
        <v>0</v>
      </c>
      <c r="BC129" s="11">
        <f>운전실적_원본!AB129</f>
        <v>0</v>
      </c>
      <c r="BD129" s="32" t="str">
        <f t="shared" si="453"/>
        <v>-</v>
      </c>
      <c r="BE129" s="11" t="str">
        <f t="shared" si="461"/>
        <v>-</v>
      </c>
      <c r="BF129" s="11">
        <f>운전실적_원본!AE129</f>
        <v>0</v>
      </c>
      <c r="BG129" s="31">
        <f t="shared" si="454"/>
        <v>0</v>
      </c>
      <c r="BH129" s="241">
        <f>INDEX(연료전지_원본!$A$4:$KY$369,MATCH($A129,연료전지_원본!$A$4:$A$369,0),MATCH($BH$4,연료전지_원본!$A$4:$KY$4,0))</f>
        <v>0</v>
      </c>
      <c r="BI129" s="241">
        <f>INDEX(연료전지_원본!$A$4:$KY$369,MATCH($A129,연료전지_원본!$A$4:$A$369,0),MATCH($BI$4,연료전지_원본!$A$4:$KY$4,0))</f>
        <v>0</v>
      </c>
      <c r="BJ129" s="241">
        <f>INDEX(연료전지_원본!$A$4:$KY$369,MATCH($A129,연료전지_원본!$A$4:$A$369,0),MATCH($BJ$4,연료전지_원본!$A$4:$KY$4,0))</f>
        <v>0</v>
      </c>
      <c r="BK129" s="241">
        <f>INDEX(연료전지_원본!$A$4:$KY$369,MATCH($A129,연료전지_원본!$A$4:$A$369,0),MATCH($BK$4,연료전지_원본!$A$4:$KY$4,0))</f>
        <v>0</v>
      </c>
      <c r="BL129" s="241">
        <f>INDEX(연료전지_원본!$A$4:$KY$369,MATCH($A129,연료전지_원본!$A$4:$A$369,0),MATCH($BL$4,연료전지_원본!$A$4:$KY$4,0))</f>
        <v>0</v>
      </c>
      <c r="BM129" s="241">
        <f>INDEX(연료전지_원본!$A$4:$KY$369,MATCH($A129,연료전지_원본!$A$4:$A$369,0),MATCH($BM$4,연료전지_원본!$A$4:$KY$4,0))</f>
        <v>0</v>
      </c>
      <c r="BN129" s="241">
        <f>INDEX(연료전지_원본!$A$4:$KY$369,MATCH($A129,연료전지_원본!$A$4:$A$369,0),MATCH($BN$4,연료전지_원본!$A$4:$KY$4,0))</f>
        <v>0</v>
      </c>
      <c r="BO129" s="241">
        <f>INDEX(연료전지_원본!$A$4:$KY$369,MATCH($A129,연료전지_원본!$A$4:$A$369,0),MATCH($BO$4,연료전지_원본!$A$4:$KY$4,0))</f>
        <v>0</v>
      </c>
      <c r="BP129" s="241">
        <f>INDEX(연료전지_원본!$A$4:$KY$369,MATCH($A129,연료전지_원본!$A$4:$A$369,0),MATCH($BP$4,연료전지_원본!$A$4:$KY$4,0))</f>
        <v>0</v>
      </c>
      <c r="BQ129" s="241">
        <f>INDEX(연료전지_원본!$A$4:$KY$369,MATCH($A129,연료전지_원본!$A$4:$A$369,0),MATCH($BQ$4,연료전지_원본!$A$4:$KY$4,0))</f>
        <v>0</v>
      </c>
      <c r="BR129" s="241">
        <f>INDEX(연료전지_원본!$A$4:$KY$369,MATCH($A129,연료전지_원본!$A$4:$A$369,0),MATCH($BR$4,연료전지_원본!$A$4:$KY$4,0))</f>
        <v>0</v>
      </c>
      <c r="BS129" s="241">
        <f>INDEX(연료전지_원본!$A$4:$KY$369,MATCH($A129,연료전지_원본!$A$4:$A$369,0),MATCH($BS$4,연료전지_원본!$A$4:$KY$4,0))</f>
        <v>0</v>
      </c>
      <c r="BT129" s="241">
        <f>INDEX(연료전지_원본!$A$4:$KY$369,MATCH($A129,연료전지_원본!$A$4:$A$369,0),MATCH($BT$4,연료전지_원본!$A$4:$KY$4,0))</f>
        <v>0</v>
      </c>
      <c r="BU129" s="241">
        <f>INDEX(연료전지_원본!$A$4:$KY$369,MATCH($A129,연료전지_원본!$A$4:$A$369,0),MATCH($BU$4,연료전지_원본!$A$4:$KY$4,0))</f>
        <v>0</v>
      </c>
      <c r="BV129" s="241">
        <f>INDEX(연료전지_원본!$A$4:$KY$369,MATCH($A129,연료전지_원본!$A$4:$A$369,0),MATCH($BV$4,연료전지_원본!$A$4:$KY$4,0))</f>
        <v>0</v>
      </c>
      <c r="BW129" s="241">
        <f>INDEX(연료전지_원본!$A$4:$KY$369,MATCH($A129,연료전지_원본!$A$4:$A$369,0),MATCH($BW$4,연료전지_원본!$A$4:$KY$4,0))</f>
        <v>0</v>
      </c>
      <c r="BX129" s="241">
        <f>INDEX(연료전지_원본!$A$4:$KY$369,MATCH($A129,연료전지_원본!$A$4:$A$369,0),MATCH($BX$4,연료전지_원본!$A$4:$KY$4,0))</f>
        <v>0</v>
      </c>
      <c r="BY129" s="241">
        <f>INDEX(연료전지_원본!$A$4:$KY$369,MATCH($A129,연료전지_원본!$A$4:$A$369,0),MATCH($BY$4,연료전지_원본!$A$4:$KY$4,0))</f>
        <v>0</v>
      </c>
      <c r="BZ129" s="241">
        <f>INDEX(연료전지_원본!$A$4:$KY$369,MATCH($A129,연료전지_원본!$A$4:$A$369,0),MATCH($BZ$4,연료전지_원본!$A$4:$KY$4,0))</f>
        <v>0</v>
      </c>
      <c r="CA129" s="241">
        <f>INDEX(연료전지_원본!$A$4:$KY$369,MATCH($A129,연료전지_원본!$A$4:$A$369,0),MATCH($CA$4,연료전지_원본!$A$4:$KY$4,0))</f>
        <v>0</v>
      </c>
      <c r="CB129" s="241">
        <f>INDEX(연료전지_원본!$A$4:$KY$369,MATCH($A129,연료전지_원본!$A$4:$A$369,0),MATCH($CB$4,연료전지_원본!$A$4:$KY$4,0))</f>
        <v>0</v>
      </c>
      <c r="CC129" s="242">
        <f>INDEX(연료전지_원본!$A$4:$KY$369,MATCH($A129,연료전지_원본!$A$4:$A$369,0),MATCH($CC$4,연료전지_원본!$A$4:$KY$4,0))</f>
        <v>0</v>
      </c>
      <c r="CD129" s="250">
        <f>INDEX(연료전지_원본!$KB$4:$KX$369,MATCH($A129,연료전지_원본!$KB$4:$KB$369,0), MATCH(CD$4,연료전지_원본!$KB$4:$KX$4,0))*1000</f>
        <v>0</v>
      </c>
      <c r="CE129" s="250">
        <f>INDEX(연료전지_원본!$KB$4:$KX$369,MATCH($A129,연료전지_원본!$KB$4:$KB$369,0), MATCH(CE$4,연료전지_원본!$KB$4:$KX$4,0))*1000</f>
        <v>0</v>
      </c>
      <c r="CF129" s="250">
        <f>INDEX(연료전지_원본!$KB$4:$KX$369,MATCH($A129,연료전지_원본!$KB$4:$KB$369,0), MATCH(CF$4,연료전지_원본!$KB$4:$KX$4,0))*1000</f>
        <v>0</v>
      </c>
      <c r="CG129" s="250">
        <f>INDEX(연료전지_원본!$KB$4:$KX$369,MATCH($A129,연료전지_원본!$KB$4:$KB$369,0), MATCH(CG$4,연료전지_원본!$KB$4:$KX$4,0))*1000</f>
        <v>0</v>
      </c>
      <c r="CH129" s="250">
        <f>INDEX(연료전지_원본!$KB$4:$KX$369,MATCH($A129,연료전지_원본!$KB$4:$KB$369,0), MATCH(CH$4,연료전지_원본!$KB$4:$KX$4,0))*1000</f>
        <v>0</v>
      </c>
      <c r="CI129" s="250">
        <f>INDEX(연료전지_원본!$KB$4:$KX$369,MATCH($A129,연료전지_원본!$KB$4:$KB$369,0), MATCH(CI$4,연료전지_원본!$KB$4:$KX$4,0))*1000</f>
        <v>0</v>
      </c>
      <c r="CJ129" s="250">
        <f>INDEX(연료전지_원본!$KB$4:$KX$369,MATCH($A129,연료전지_원본!$KB$4:$KB$369,0), MATCH(CJ$4,연료전지_원본!$KB$4:$KX$4,0))*1000</f>
        <v>0</v>
      </c>
      <c r="CK129" s="250">
        <f>INDEX(연료전지_원본!$KB$4:$KX$369,MATCH($A129,연료전지_원본!$KB$4:$KB$369,0), MATCH(CK$4,연료전지_원본!$KB$4:$KX$4,0))*1000</f>
        <v>0</v>
      </c>
      <c r="CL129" s="250">
        <f>INDEX(연료전지_원본!$KB$4:$KX$369,MATCH($A129,연료전지_원본!$KB$4:$KB$369,0), MATCH(CL$4,연료전지_원본!$KB$4:$KX$4,0))*1000</f>
        <v>0</v>
      </c>
      <c r="CM129" s="250">
        <f>INDEX(연료전지_원본!$KB$4:$KX$369,MATCH($A129,연료전지_원본!$KB$4:$KB$369,0), MATCH(CM$4,연료전지_원본!$KB$4:$KX$4,0))*1000</f>
        <v>0</v>
      </c>
      <c r="CN129" s="250">
        <f>INDEX(연료전지_원본!$KB$4:$KX$369,MATCH($A129,연료전지_원본!$KB$4:$KB$369,0), MATCH(CN$4,연료전지_원본!$KB$4:$KX$4,0))*1000</f>
        <v>0</v>
      </c>
      <c r="CO129" s="250">
        <f>INDEX(연료전지_원본!$KB$4:$KX$369,MATCH($A129,연료전지_원본!$KB$4:$KB$369,0), MATCH(CO$4,연료전지_원본!$KB$4:$KX$4,0))*1000</f>
        <v>0</v>
      </c>
      <c r="CP129" s="250">
        <f>INDEX(연료전지_원본!$KB$4:$KX$369,MATCH($A129,연료전지_원본!$KB$4:$KB$369,0), MATCH(CP$4,연료전지_원본!$KB$4:$KX$4,0))*1000</f>
        <v>0</v>
      </c>
      <c r="CQ129" s="250">
        <f>INDEX(연료전지_원본!$KB$4:$KX$369,MATCH($A129,연료전지_원본!$KB$4:$KB$369,0), MATCH(CQ$4,연료전지_원본!$KB$4:$KX$4,0))*1000</f>
        <v>0</v>
      </c>
      <c r="CR129" s="250">
        <f>INDEX(연료전지_원본!$KB$4:$KX$369,MATCH($A129,연료전지_원본!$KB$4:$KB$369,0), MATCH(CR$4,연료전지_원본!$KB$4:$KX$4,0))*1000</f>
        <v>0</v>
      </c>
      <c r="CS129" s="250">
        <f>INDEX(연료전지_원본!$KB$4:$KX$369,MATCH($A129,연료전지_원본!$KB$4:$KB$369,0), MATCH(CS$4,연료전지_원본!$KB$4:$KX$4,0))*1000</f>
        <v>0</v>
      </c>
      <c r="CT129" s="250">
        <f>INDEX(연료전지_원본!$KB$4:$KX$369,MATCH($A129,연료전지_원본!$KB$4:$KB$369,0), MATCH(CT$4,연료전지_원본!$KB$4:$KX$4,0))*1000</f>
        <v>0</v>
      </c>
      <c r="CU129" s="250">
        <f>INDEX(연료전지_원본!$KB$4:$KX$369,MATCH($A129,연료전지_원본!$KB$4:$KB$369,0), MATCH(CU$4,연료전지_원본!$KB$4:$KX$4,0))*1000</f>
        <v>0</v>
      </c>
      <c r="CV129" s="250">
        <f>INDEX(연료전지_원본!$KB$4:$KX$369,MATCH($A129,연료전지_원본!$KB$4:$KB$369,0), MATCH(CV$4,연료전지_원본!$KB$4:$KX$4,0))*1000</f>
        <v>0</v>
      </c>
      <c r="CW129" s="250">
        <f>INDEX(연료전지_원본!$KB$4:$KX$369,MATCH($A129,연료전지_원본!$KB$4:$KB$369,0), MATCH(CW$4,연료전지_원본!$KB$4:$KX$4,0))*1000</f>
        <v>0</v>
      </c>
      <c r="CX129" s="250">
        <f>INDEX(연료전지_원본!$KB$4:$KX$369,MATCH($A129,연료전지_원본!$KB$4:$KB$369,0), MATCH(CX$4,연료전지_원본!$KB$4:$KX$4,0))*1000</f>
        <v>0</v>
      </c>
      <c r="CY129" s="250">
        <f>INDEX(연료전지_원본!$KB$4:$KX$369,MATCH($A129,연료전지_원본!$KB$4:$KB$369,0), MATCH(CY$4,연료전지_원본!$KB$4:$KX$4,0))*1000</f>
        <v>0</v>
      </c>
      <c r="DV129" s="30">
        <f t="shared" si="623"/>
        <v>0</v>
      </c>
    </row>
    <row r="130" spans="1:126">
      <c r="A130" s="6">
        <v>46147</v>
      </c>
      <c r="B130" s="15">
        <f>운전실적_원본!B130</f>
        <v>0</v>
      </c>
      <c r="C130" s="16" t="str">
        <f t="shared" si="629"/>
        <v/>
      </c>
      <c r="D130" s="12">
        <f>운전실적_원본!C130</f>
        <v>0</v>
      </c>
      <c r="E130" s="12" t="str">
        <f t="shared" si="630"/>
        <v/>
      </c>
      <c r="F130" s="12">
        <f>운전실적_원본!D130</f>
        <v>0</v>
      </c>
      <c r="G130" s="16" t="str">
        <f t="shared" si="631"/>
        <v/>
      </c>
      <c r="H130" s="15">
        <f>운전실적_원본!E130</f>
        <v>0</v>
      </c>
      <c r="I130" s="16" t="str">
        <f t="shared" si="632"/>
        <v/>
      </c>
      <c r="J130" s="15">
        <f>운전실적_원본!F130</f>
        <v>0</v>
      </c>
      <c r="K130" s="16" t="str">
        <f t="shared" si="632"/>
        <v/>
      </c>
      <c r="L130" s="32">
        <f>운전실적_원본!G130</f>
        <v>0</v>
      </c>
      <c r="M130" s="31" t="str">
        <f t="shared" ref="M130" si="764">IF(OR(LEN(L130)=0,L130=0),"",L130-L129)</f>
        <v/>
      </c>
      <c r="N130" s="15">
        <f>운전실적_원본!H130</f>
        <v>0</v>
      </c>
      <c r="O130" s="16" t="str">
        <f t="shared" ref="O130" si="765">IF(OR(LEN(N130)=0,N130=0),"",N130-N129)</f>
        <v/>
      </c>
      <c r="P130" s="15">
        <f>운전실적_원본!I130</f>
        <v>0</v>
      </c>
      <c r="Q130" s="16" t="str">
        <f t="shared" ref="Q130" si="766">IF(OR(LEN(P130)=0,P130=0),"",P130-P129)</f>
        <v/>
      </c>
      <c r="R130" s="18">
        <f>운전실적_원본!J130</f>
        <v>0</v>
      </c>
      <c r="S130" s="19" t="str">
        <f t="shared" ref="S130" si="767">IF(OR(LEN(R130)=0,R130=0),"",R130-R129)</f>
        <v/>
      </c>
      <c r="T130" s="18">
        <f>운전실적_원본!K130</f>
        <v>0</v>
      </c>
      <c r="U130" s="19" t="str">
        <f t="shared" si="637"/>
        <v/>
      </c>
      <c r="V130" s="12">
        <f>운전실적_원본!L130</f>
        <v>0</v>
      </c>
      <c r="W130" s="16" t="str">
        <f t="shared" ref="W130" si="768">IF(OR(LEN(V130)=0,V130=0),"",V130-V129)</f>
        <v/>
      </c>
      <c r="X130" s="10">
        <f>운전실적_원본!M130</f>
        <v>0</v>
      </c>
      <c r="Y130" s="10">
        <f>운전실적_원본!N130</f>
        <v>0</v>
      </c>
      <c r="Z130" s="10">
        <f>운전실적_원본!O130</f>
        <v>0</v>
      </c>
      <c r="AA130" s="10">
        <f>운전실적_원본!P130</f>
        <v>0</v>
      </c>
      <c r="AB130" s="10">
        <f>운전실적_원본!Q130</f>
        <v>0</v>
      </c>
      <c r="AC130" s="20">
        <f>운전실적_원본!R130</f>
        <v>0</v>
      </c>
      <c r="AD130" s="109">
        <f>운전실적_원본!S130</f>
        <v>0</v>
      </c>
      <c r="AE130" s="110">
        <f>운전실적_원본!T130</f>
        <v>0</v>
      </c>
      <c r="AF130" s="110">
        <f>운전실적_원본!U130</f>
        <v>0</v>
      </c>
      <c r="AG130" s="110">
        <f>운전실적_원본!V130</f>
        <v>0</v>
      </c>
      <c r="AH130" s="109">
        <f t="shared" si="460"/>
        <v>0</v>
      </c>
      <c r="AI130" s="110">
        <f t="shared" si="467"/>
        <v>0</v>
      </c>
      <c r="AJ130" s="110">
        <f>운전실적_원본!Y130</f>
        <v>0</v>
      </c>
      <c r="AK130" s="110">
        <f>운전실적_원본!Z130</f>
        <v>0</v>
      </c>
      <c r="AL130" s="106"/>
      <c r="AM130" s="105"/>
      <c r="AN130" s="105"/>
      <c r="AO130" s="105"/>
      <c r="AP130" s="105"/>
      <c r="AQ130" s="108"/>
      <c r="AR130" s="105"/>
      <c r="AS130" s="105"/>
      <c r="AT130" s="102"/>
      <c r="AU130" s="102"/>
      <c r="AV130" s="102"/>
      <c r="AW130" s="102"/>
      <c r="AX130" s="32">
        <f>운전실적_원본!W130</f>
        <v>0</v>
      </c>
      <c r="AY130" s="11">
        <f>운전실적_원본!X130</f>
        <v>0</v>
      </c>
      <c r="AZ130" s="11">
        <f>운전실적_원본!Y130</f>
        <v>0</v>
      </c>
      <c r="BA130" s="11">
        <f>운전실적_원본!Z130</f>
        <v>0</v>
      </c>
      <c r="BB130" s="11">
        <f>운전실적_원본!AA130</f>
        <v>0</v>
      </c>
      <c r="BC130" s="11">
        <f>운전실적_원본!AB130</f>
        <v>0</v>
      </c>
      <c r="BD130" s="32" t="str">
        <f t="shared" si="453"/>
        <v>-</v>
      </c>
      <c r="BE130" s="11" t="str">
        <f t="shared" si="461"/>
        <v>-</v>
      </c>
      <c r="BF130" s="11">
        <f>운전실적_원본!AE130</f>
        <v>0</v>
      </c>
      <c r="BG130" s="31">
        <f t="shared" si="454"/>
        <v>0</v>
      </c>
      <c r="BH130" s="241">
        <f>INDEX(연료전지_원본!$A$4:$KY$369,MATCH($A130,연료전지_원본!$A$4:$A$369,0),MATCH($BH$4,연료전지_원본!$A$4:$KY$4,0))</f>
        <v>0</v>
      </c>
      <c r="BI130" s="241">
        <f>INDEX(연료전지_원본!$A$4:$KY$369,MATCH($A130,연료전지_원본!$A$4:$A$369,0),MATCH($BI$4,연료전지_원본!$A$4:$KY$4,0))</f>
        <v>0</v>
      </c>
      <c r="BJ130" s="241">
        <f>INDEX(연료전지_원본!$A$4:$KY$369,MATCH($A130,연료전지_원본!$A$4:$A$369,0),MATCH($BJ$4,연료전지_원본!$A$4:$KY$4,0))</f>
        <v>0</v>
      </c>
      <c r="BK130" s="241">
        <f>INDEX(연료전지_원본!$A$4:$KY$369,MATCH($A130,연료전지_원본!$A$4:$A$369,0),MATCH($BK$4,연료전지_원본!$A$4:$KY$4,0))</f>
        <v>0</v>
      </c>
      <c r="BL130" s="241">
        <f>INDEX(연료전지_원본!$A$4:$KY$369,MATCH($A130,연료전지_원본!$A$4:$A$369,0),MATCH($BL$4,연료전지_원본!$A$4:$KY$4,0))</f>
        <v>0</v>
      </c>
      <c r="BM130" s="241">
        <f>INDEX(연료전지_원본!$A$4:$KY$369,MATCH($A130,연료전지_원본!$A$4:$A$369,0),MATCH($BM$4,연료전지_원본!$A$4:$KY$4,0))</f>
        <v>0</v>
      </c>
      <c r="BN130" s="241">
        <f>INDEX(연료전지_원본!$A$4:$KY$369,MATCH($A130,연료전지_원본!$A$4:$A$369,0),MATCH($BN$4,연료전지_원본!$A$4:$KY$4,0))</f>
        <v>0</v>
      </c>
      <c r="BO130" s="241">
        <f>INDEX(연료전지_원본!$A$4:$KY$369,MATCH($A130,연료전지_원본!$A$4:$A$369,0),MATCH($BO$4,연료전지_원본!$A$4:$KY$4,0))</f>
        <v>0</v>
      </c>
      <c r="BP130" s="241">
        <f>INDEX(연료전지_원본!$A$4:$KY$369,MATCH($A130,연료전지_원본!$A$4:$A$369,0),MATCH($BP$4,연료전지_원본!$A$4:$KY$4,0))</f>
        <v>0</v>
      </c>
      <c r="BQ130" s="241">
        <f>INDEX(연료전지_원본!$A$4:$KY$369,MATCH($A130,연료전지_원본!$A$4:$A$369,0),MATCH($BQ$4,연료전지_원본!$A$4:$KY$4,0))</f>
        <v>0</v>
      </c>
      <c r="BR130" s="241">
        <f>INDEX(연료전지_원본!$A$4:$KY$369,MATCH($A130,연료전지_원본!$A$4:$A$369,0),MATCH($BR$4,연료전지_원본!$A$4:$KY$4,0))</f>
        <v>0</v>
      </c>
      <c r="BS130" s="241">
        <f>INDEX(연료전지_원본!$A$4:$KY$369,MATCH($A130,연료전지_원본!$A$4:$A$369,0),MATCH($BS$4,연료전지_원본!$A$4:$KY$4,0))</f>
        <v>0</v>
      </c>
      <c r="BT130" s="241">
        <f>INDEX(연료전지_원본!$A$4:$KY$369,MATCH($A130,연료전지_원본!$A$4:$A$369,0),MATCH($BT$4,연료전지_원본!$A$4:$KY$4,0))</f>
        <v>0</v>
      </c>
      <c r="BU130" s="241">
        <f>INDEX(연료전지_원본!$A$4:$KY$369,MATCH($A130,연료전지_원본!$A$4:$A$369,0),MATCH($BU$4,연료전지_원본!$A$4:$KY$4,0))</f>
        <v>0</v>
      </c>
      <c r="BV130" s="241">
        <f>INDEX(연료전지_원본!$A$4:$KY$369,MATCH($A130,연료전지_원본!$A$4:$A$369,0),MATCH($BV$4,연료전지_원본!$A$4:$KY$4,0))</f>
        <v>0</v>
      </c>
      <c r="BW130" s="241">
        <f>INDEX(연료전지_원본!$A$4:$KY$369,MATCH($A130,연료전지_원본!$A$4:$A$369,0),MATCH($BW$4,연료전지_원본!$A$4:$KY$4,0))</f>
        <v>0</v>
      </c>
      <c r="BX130" s="241">
        <f>INDEX(연료전지_원본!$A$4:$KY$369,MATCH($A130,연료전지_원본!$A$4:$A$369,0),MATCH($BX$4,연료전지_원본!$A$4:$KY$4,0))</f>
        <v>0</v>
      </c>
      <c r="BY130" s="241">
        <f>INDEX(연료전지_원본!$A$4:$KY$369,MATCH($A130,연료전지_원본!$A$4:$A$369,0),MATCH($BY$4,연료전지_원본!$A$4:$KY$4,0))</f>
        <v>0</v>
      </c>
      <c r="BZ130" s="241">
        <f>INDEX(연료전지_원본!$A$4:$KY$369,MATCH($A130,연료전지_원본!$A$4:$A$369,0),MATCH($BZ$4,연료전지_원본!$A$4:$KY$4,0))</f>
        <v>0</v>
      </c>
      <c r="CA130" s="241">
        <f>INDEX(연료전지_원본!$A$4:$KY$369,MATCH($A130,연료전지_원본!$A$4:$A$369,0),MATCH($CA$4,연료전지_원본!$A$4:$KY$4,0))</f>
        <v>0</v>
      </c>
      <c r="CB130" s="241">
        <f>INDEX(연료전지_원본!$A$4:$KY$369,MATCH($A130,연료전지_원본!$A$4:$A$369,0),MATCH($CB$4,연료전지_원본!$A$4:$KY$4,0))</f>
        <v>0</v>
      </c>
      <c r="CC130" s="242">
        <f>INDEX(연료전지_원본!$A$4:$KY$369,MATCH($A130,연료전지_원본!$A$4:$A$369,0),MATCH($CC$4,연료전지_원본!$A$4:$KY$4,0))</f>
        <v>0</v>
      </c>
      <c r="CD130" s="250">
        <f>INDEX(연료전지_원본!$KB$4:$KX$369,MATCH($A130,연료전지_원본!$KB$4:$KB$369,0), MATCH(CD$4,연료전지_원본!$KB$4:$KX$4,0))*1000</f>
        <v>0</v>
      </c>
      <c r="CE130" s="250">
        <f>INDEX(연료전지_원본!$KB$4:$KX$369,MATCH($A130,연료전지_원본!$KB$4:$KB$369,0), MATCH(CE$4,연료전지_원본!$KB$4:$KX$4,0))*1000</f>
        <v>0</v>
      </c>
      <c r="CF130" s="250">
        <f>INDEX(연료전지_원본!$KB$4:$KX$369,MATCH($A130,연료전지_원본!$KB$4:$KB$369,0), MATCH(CF$4,연료전지_원본!$KB$4:$KX$4,0))*1000</f>
        <v>0</v>
      </c>
      <c r="CG130" s="250">
        <f>INDEX(연료전지_원본!$KB$4:$KX$369,MATCH($A130,연료전지_원본!$KB$4:$KB$369,0), MATCH(CG$4,연료전지_원본!$KB$4:$KX$4,0))*1000</f>
        <v>0</v>
      </c>
      <c r="CH130" s="250">
        <f>INDEX(연료전지_원본!$KB$4:$KX$369,MATCH($A130,연료전지_원본!$KB$4:$KB$369,0), MATCH(CH$4,연료전지_원본!$KB$4:$KX$4,0))*1000</f>
        <v>0</v>
      </c>
      <c r="CI130" s="250">
        <f>INDEX(연료전지_원본!$KB$4:$KX$369,MATCH($A130,연료전지_원본!$KB$4:$KB$369,0), MATCH(CI$4,연료전지_원본!$KB$4:$KX$4,0))*1000</f>
        <v>0</v>
      </c>
      <c r="CJ130" s="250">
        <f>INDEX(연료전지_원본!$KB$4:$KX$369,MATCH($A130,연료전지_원본!$KB$4:$KB$369,0), MATCH(CJ$4,연료전지_원본!$KB$4:$KX$4,0))*1000</f>
        <v>0</v>
      </c>
      <c r="CK130" s="250">
        <f>INDEX(연료전지_원본!$KB$4:$KX$369,MATCH($A130,연료전지_원본!$KB$4:$KB$369,0), MATCH(CK$4,연료전지_원본!$KB$4:$KX$4,0))*1000</f>
        <v>0</v>
      </c>
      <c r="CL130" s="250">
        <f>INDEX(연료전지_원본!$KB$4:$KX$369,MATCH($A130,연료전지_원본!$KB$4:$KB$369,0), MATCH(CL$4,연료전지_원본!$KB$4:$KX$4,0))*1000</f>
        <v>0</v>
      </c>
      <c r="CM130" s="250">
        <f>INDEX(연료전지_원본!$KB$4:$KX$369,MATCH($A130,연료전지_원본!$KB$4:$KB$369,0), MATCH(CM$4,연료전지_원본!$KB$4:$KX$4,0))*1000</f>
        <v>0</v>
      </c>
      <c r="CN130" s="250">
        <f>INDEX(연료전지_원본!$KB$4:$KX$369,MATCH($A130,연료전지_원본!$KB$4:$KB$369,0), MATCH(CN$4,연료전지_원본!$KB$4:$KX$4,0))*1000</f>
        <v>0</v>
      </c>
      <c r="CO130" s="250">
        <f>INDEX(연료전지_원본!$KB$4:$KX$369,MATCH($A130,연료전지_원본!$KB$4:$KB$369,0), MATCH(CO$4,연료전지_원본!$KB$4:$KX$4,0))*1000</f>
        <v>0</v>
      </c>
      <c r="CP130" s="250">
        <f>INDEX(연료전지_원본!$KB$4:$KX$369,MATCH($A130,연료전지_원본!$KB$4:$KB$369,0), MATCH(CP$4,연료전지_원본!$KB$4:$KX$4,0))*1000</f>
        <v>0</v>
      </c>
      <c r="CQ130" s="250">
        <f>INDEX(연료전지_원본!$KB$4:$KX$369,MATCH($A130,연료전지_원본!$KB$4:$KB$369,0), MATCH(CQ$4,연료전지_원본!$KB$4:$KX$4,0))*1000</f>
        <v>0</v>
      </c>
      <c r="CR130" s="250">
        <f>INDEX(연료전지_원본!$KB$4:$KX$369,MATCH($A130,연료전지_원본!$KB$4:$KB$369,0), MATCH(CR$4,연료전지_원본!$KB$4:$KX$4,0))*1000</f>
        <v>0</v>
      </c>
      <c r="CS130" s="250">
        <f>INDEX(연료전지_원본!$KB$4:$KX$369,MATCH($A130,연료전지_원본!$KB$4:$KB$369,0), MATCH(CS$4,연료전지_원본!$KB$4:$KX$4,0))*1000</f>
        <v>0</v>
      </c>
      <c r="CT130" s="250">
        <f>INDEX(연료전지_원본!$KB$4:$KX$369,MATCH($A130,연료전지_원본!$KB$4:$KB$369,0), MATCH(CT$4,연료전지_원본!$KB$4:$KX$4,0))*1000</f>
        <v>0</v>
      </c>
      <c r="CU130" s="250">
        <f>INDEX(연료전지_원본!$KB$4:$KX$369,MATCH($A130,연료전지_원본!$KB$4:$KB$369,0), MATCH(CU$4,연료전지_원본!$KB$4:$KX$4,0))*1000</f>
        <v>0</v>
      </c>
      <c r="CV130" s="250">
        <f>INDEX(연료전지_원본!$KB$4:$KX$369,MATCH($A130,연료전지_원본!$KB$4:$KB$369,0), MATCH(CV$4,연료전지_원본!$KB$4:$KX$4,0))*1000</f>
        <v>0</v>
      </c>
      <c r="CW130" s="250">
        <f>INDEX(연료전지_원본!$KB$4:$KX$369,MATCH($A130,연료전지_원본!$KB$4:$KB$369,0), MATCH(CW$4,연료전지_원본!$KB$4:$KX$4,0))*1000</f>
        <v>0</v>
      </c>
      <c r="CX130" s="250">
        <f>INDEX(연료전지_원본!$KB$4:$KX$369,MATCH($A130,연료전지_원본!$KB$4:$KB$369,0), MATCH(CX$4,연료전지_원본!$KB$4:$KX$4,0))*1000</f>
        <v>0</v>
      </c>
      <c r="CY130" s="250">
        <f>INDEX(연료전지_원본!$KB$4:$KX$369,MATCH($A130,연료전지_원본!$KB$4:$KB$369,0), MATCH(CY$4,연료전지_원본!$KB$4:$KX$4,0))*1000</f>
        <v>0</v>
      </c>
      <c r="DV130" s="30">
        <f t="shared" si="623"/>
        <v>0</v>
      </c>
    </row>
    <row r="131" spans="1:126">
      <c r="A131" s="6">
        <v>46148</v>
      </c>
      <c r="B131" s="15">
        <f>운전실적_원본!B131</f>
        <v>0</v>
      </c>
      <c r="C131" s="16" t="str">
        <f t="shared" si="629"/>
        <v/>
      </c>
      <c r="D131" s="12">
        <f>운전실적_원본!C131</f>
        <v>0</v>
      </c>
      <c r="E131" s="12" t="str">
        <f t="shared" si="630"/>
        <v/>
      </c>
      <c r="F131" s="12">
        <f>운전실적_원본!D131</f>
        <v>0</v>
      </c>
      <c r="G131" s="16" t="str">
        <f t="shared" si="631"/>
        <v/>
      </c>
      <c r="H131" s="15">
        <f>운전실적_원본!E131</f>
        <v>0</v>
      </c>
      <c r="I131" s="16" t="str">
        <f t="shared" si="632"/>
        <v/>
      </c>
      <c r="J131" s="15">
        <f>운전실적_원본!F131</f>
        <v>0</v>
      </c>
      <c r="K131" s="16" t="str">
        <f t="shared" si="632"/>
        <v/>
      </c>
      <c r="L131" s="32">
        <f>운전실적_원본!G131</f>
        <v>0</v>
      </c>
      <c r="M131" s="31" t="str">
        <f t="shared" ref="M131" si="769">IF(OR(LEN(L131)=0,L131=0),"",L131-L130)</f>
        <v/>
      </c>
      <c r="N131" s="15">
        <f>운전실적_원본!H131</f>
        <v>0</v>
      </c>
      <c r="O131" s="16" t="str">
        <f t="shared" ref="O131" si="770">IF(OR(LEN(N131)=0,N131=0),"",N131-N130)</f>
        <v/>
      </c>
      <c r="P131" s="15">
        <f>운전실적_원본!I131</f>
        <v>0</v>
      </c>
      <c r="Q131" s="16" t="str">
        <f t="shared" ref="Q131" si="771">IF(OR(LEN(P131)=0,P131=0),"",P131-P130)</f>
        <v/>
      </c>
      <c r="R131" s="18">
        <f>운전실적_원본!J131</f>
        <v>0</v>
      </c>
      <c r="S131" s="19" t="str">
        <f t="shared" ref="S131" si="772">IF(OR(LEN(R131)=0,R131=0),"",R131-R130)</f>
        <v/>
      </c>
      <c r="T131" s="18">
        <f>운전실적_원본!K131</f>
        <v>0</v>
      </c>
      <c r="U131" s="19" t="str">
        <f t="shared" si="637"/>
        <v/>
      </c>
      <c r="V131" s="12">
        <f>운전실적_원본!L131</f>
        <v>0</v>
      </c>
      <c r="W131" s="16" t="str">
        <f t="shared" ref="W131" si="773">IF(OR(LEN(V131)=0,V131=0),"",V131-V130)</f>
        <v/>
      </c>
      <c r="X131" s="10">
        <f>운전실적_원본!M131</f>
        <v>0</v>
      </c>
      <c r="Y131" s="10">
        <f>운전실적_원본!N131</f>
        <v>0</v>
      </c>
      <c r="Z131" s="10">
        <f>운전실적_원본!O131</f>
        <v>0</v>
      </c>
      <c r="AA131" s="10">
        <f>운전실적_원본!P131</f>
        <v>0</v>
      </c>
      <c r="AB131" s="10">
        <f>운전실적_원본!Q131</f>
        <v>0</v>
      </c>
      <c r="AC131" s="20">
        <f>운전실적_원본!R131</f>
        <v>0</v>
      </c>
      <c r="AD131" s="109">
        <f>운전실적_원본!S131</f>
        <v>0</v>
      </c>
      <c r="AE131" s="110">
        <f>운전실적_원본!T131</f>
        <v>0</v>
      </c>
      <c r="AF131" s="110">
        <f>운전실적_원본!U131</f>
        <v>0</v>
      </c>
      <c r="AG131" s="110">
        <f>운전실적_원본!V131</f>
        <v>0</v>
      </c>
      <c r="AH131" s="109">
        <f t="shared" si="460"/>
        <v>0</v>
      </c>
      <c r="AI131" s="110">
        <f t="shared" si="467"/>
        <v>0</v>
      </c>
      <c r="AJ131" s="110">
        <f>운전실적_원본!Y131</f>
        <v>0</v>
      </c>
      <c r="AK131" s="110">
        <f>운전실적_원본!Z131</f>
        <v>0</v>
      </c>
      <c r="AL131" s="106"/>
      <c r="AM131" s="105"/>
      <c r="AN131" s="105"/>
      <c r="AO131" s="105"/>
      <c r="AP131" s="105"/>
      <c r="AQ131" s="108"/>
      <c r="AR131" s="105"/>
      <c r="AS131" s="105"/>
      <c r="AT131" s="102"/>
      <c r="AU131" s="102"/>
      <c r="AV131" s="102"/>
      <c r="AW131" s="102"/>
      <c r="AX131" s="32">
        <f>운전실적_원본!W131</f>
        <v>0</v>
      </c>
      <c r="AY131" s="11">
        <f>운전실적_원본!X131</f>
        <v>0</v>
      </c>
      <c r="AZ131" s="11">
        <f>운전실적_원본!Y131</f>
        <v>0</v>
      </c>
      <c r="BA131" s="11">
        <f>운전실적_원본!Z131</f>
        <v>0</v>
      </c>
      <c r="BB131" s="11">
        <f>운전실적_원본!AA131</f>
        <v>0</v>
      </c>
      <c r="BC131" s="11">
        <f>운전실적_원본!AB131</f>
        <v>0</v>
      </c>
      <c r="BD131" s="32" t="str">
        <f t="shared" si="453"/>
        <v>-</v>
      </c>
      <c r="BE131" s="11" t="str">
        <f t="shared" si="461"/>
        <v>-</v>
      </c>
      <c r="BF131" s="11">
        <f>운전실적_원본!AE131</f>
        <v>0</v>
      </c>
      <c r="BG131" s="31">
        <f t="shared" si="454"/>
        <v>0</v>
      </c>
      <c r="BH131" s="241">
        <f>INDEX(연료전지_원본!$A$4:$KY$369,MATCH($A131,연료전지_원본!$A$4:$A$369,0),MATCH($BH$4,연료전지_원본!$A$4:$KY$4,0))</f>
        <v>0</v>
      </c>
      <c r="BI131" s="241">
        <f>INDEX(연료전지_원본!$A$4:$KY$369,MATCH($A131,연료전지_원본!$A$4:$A$369,0),MATCH($BI$4,연료전지_원본!$A$4:$KY$4,0))</f>
        <v>0</v>
      </c>
      <c r="BJ131" s="241">
        <f>INDEX(연료전지_원본!$A$4:$KY$369,MATCH($A131,연료전지_원본!$A$4:$A$369,0),MATCH($BJ$4,연료전지_원본!$A$4:$KY$4,0))</f>
        <v>0</v>
      </c>
      <c r="BK131" s="241">
        <f>INDEX(연료전지_원본!$A$4:$KY$369,MATCH($A131,연료전지_원본!$A$4:$A$369,0),MATCH($BK$4,연료전지_원본!$A$4:$KY$4,0))</f>
        <v>0</v>
      </c>
      <c r="BL131" s="241">
        <f>INDEX(연료전지_원본!$A$4:$KY$369,MATCH($A131,연료전지_원본!$A$4:$A$369,0),MATCH($BL$4,연료전지_원본!$A$4:$KY$4,0))</f>
        <v>0</v>
      </c>
      <c r="BM131" s="241">
        <f>INDEX(연료전지_원본!$A$4:$KY$369,MATCH($A131,연료전지_원본!$A$4:$A$369,0),MATCH($BM$4,연료전지_원본!$A$4:$KY$4,0))</f>
        <v>0</v>
      </c>
      <c r="BN131" s="241">
        <f>INDEX(연료전지_원본!$A$4:$KY$369,MATCH($A131,연료전지_원본!$A$4:$A$369,0),MATCH($BN$4,연료전지_원본!$A$4:$KY$4,0))</f>
        <v>0</v>
      </c>
      <c r="BO131" s="241">
        <f>INDEX(연료전지_원본!$A$4:$KY$369,MATCH($A131,연료전지_원본!$A$4:$A$369,0),MATCH($BO$4,연료전지_원본!$A$4:$KY$4,0))</f>
        <v>0</v>
      </c>
      <c r="BP131" s="241">
        <f>INDEX(연료전지_원본!$A$4:$KY$369,MATCH($A131,연료전지_원본!$A$4:$A$369,0),MATCH($BP$4,연료전지_원본!$A$4:$KY$4,0))</f>
        <v>0</v>
      </c>
      <c r="BQ131" s="241">
        <f>INDEX(연료전지_원본!$A$4:$KY$369,MATCH($A131,연료전지_원본!$A$4:$A$369,0),MATCH($BQ$4,연료전지_원본!$A$4:$KY$4,0))</f>
        <v>0</v>
      </c>
      <c r="BR131" s="241">
        <f>INDEX(연료전지_원본!$A$4:$KY$369,MATCH($A131,연료전지_원본!$A$4:$A$369,0),MATCH($BR$4,연료전지_원본!$A$4:$KY$4,0))</f>
        <v>0</v>
      </c>
      <c r="BS131" s="241">
        <f>INDEX(연료전지_원본!$A$4:$KY$369,MATCH($A131,연료전지_원본!$A$4:$A$369,0),MATCH($BS$4,연료전지_원본!$A$4:$KY$4,0))</f>
        <v>0</v>
      </c>
      <c r="BT131" s="241">
        <f>INDEX(연료전지_원본!$A$4:$KY$369,MATCH($A131,연료전지_원본!$A$4:$A$369,0),MATCH($BT$4,연료전지_원본!$A$4:$KY$4,0))</f>
        <v>0</v>
      </c>
      <c r="BU131" s="241">
        <f>INDEX(연료전지_원본!$A$4:$KY$369,MATCH($A131,연료전지_원본!$A$4:$A$369,0),MATCH($BU$4,연료전지_원본!$A$4:$KY$4,0))</f>
        <v>0</v>
      </c>
      <c r="BV131" s="241">
        <f>INDEX(연료전지_원본!$A$4:$KY$369,MATCH($A131,연료전지_원본!$A$4:$A$369,0),MATCH($BV$4,연료전지_원본!$A$4:$KY$4,0))</f>
        <v>0</v>
      </c>
      <c r="BW131" s="241">
        <f>INDEX(연료전지_원본!$A$4:$KY$369,MATCH($A131,연료전지_원본!$A$4:$A$369,0),MATCH($BW$4,연료전지_원본!$A$4:$KY$4,0))</f>
        <v>0</v>
      </c>
      <c r="BX131" s="241">
        <f>INDEX(연료전지_원본!$A$4:$KY$369,MATCH($A131,연료전지_원본!$A$4:$A$369,0),MATCH($BX$4,연료전지_원본!$A$4:$KY$4,0))</f>
        <v>0</v>
      </c>
      <c r="BY131" s="241">
        <f>INDEX(연료전지_원본!$A$4:$KY$369,MATCH($A131,연료전지_원본!$A$4:$A$369,0),MATCH($BY$4,연료전지_원본!$A$4:$KY$4,0))</f>
        <v>0</v>
      </c>
      <c r="BZ131" s="241">
        <f>INDEX(연료전지_원본!$A$4:$KY$369,MATCH($A131,연료전지_원본!$A$4:$A$369,0),MATCH($BZ$4,연료전지_원본!$A$4:$KY$4,0))</f>
        <v>0</v>
      </c>
      <c r="CA131" s="241">
        <f>INDEX(연료전지_원본!$A$4:$KY$369,MATCH($A131,연료전지_원본!$A$4:$A$369,0),MATCH($CA$4,연료전지_원본!$A$4:$KY$4,0))</f>
        <v>0</v>
      </c>
      <c r="CB131" s="241">
        <f>INDEX(연료전지_원본!$A$4:$KY$369,MATCH($A131,연료전지_원본!$A$4:$A$369,0),MATCH($CB$4,연료전지_원본!$A$4:$KY$4,0))</f>
        <v>0</v>
      </c>
      <c r="CC131" s="242">
        <f>INDEX(연료전지_원본!$A$4:$KY$369,MATCH($A131,연료전지_원본!$A$4:$A$369,0),MATCH($CC$4,연료전지_원본!$A$4:$KY$4,0))</f>
        <v>0</v>
      </c>
      <c r="CD131" s="250">
        <f>INDEX(연료전지_원본!$KB$4:$KX$369,MATCH($A131,연료전지_원본!$KB$4:$KB$369,0), MATCH(CD$4,연료전지_원본!$KB$4:$KX$4,0))*1000</f>
        <v>0</v>
      </c>
      <c r="CE131" s="250">
        <f>INDEX(연료전지_원본!$KB$4:$KX$369,MATCH($A131,연료전지_원본!$KB$4:$KB$369,0), MATCH(CE$4,연료전지_원본!$KB$4:$KX$4,0))*1000</f>
        <v>0</v>
      </c>
      <c r="CF131" s="250">
        <f>INDEX(연료전지_원본!$KB$4:$KX$369,MATCH($A131,연료전지_원본!$KB$4:$KB$369,0), MATCH(CF$4,연료전지_원본!$KB$4:$KX$4,0))*1000</f>
        <v>0</v>
      </c>
      <c r="CG131" s="250">
        <f>INDEX(연료전지_원본!$KB$4:$KX$369,MATCH($A131,연료전지_원본!$KB$4:$KB$369,0), MATCH(CG$4,연료전지_원본!$KB$4:$KX$4,0))*1000</f>
        <v>0</v>
      </c>
      <c r="CH131" s="250">
        <f>INDEX(연료전지_원본!$KB$4:$KX$369,MATCH($A131,연료전지_원본!$KB$4:$KB$369,0), MATCH(CH$4,연료전지_원본!$KB$4:$KX$4,0))*1000</f>
        <v>0</v>
      </c>
      <c r="CI131" s="250">
        <f>INDEX(연료전지_원본!$KB$4:$KX$369,MATCH($A131,연료전지_원본!$KB$4:$KB$369,0), MATCH(CI$4,연료전지_원본!$KB$4:$KX$4,0))*1000</f>
        <v>0</v>
      </c>
      <c r="CJ131" s="250">
        <f>INDEX(연료전지_원본!$KB$4:$KX$369,MATCH($A131,연료전지_원본!$KB$4:$KB$369,0), MATCH(CJ$4,연료전지_원본!$KB$4:$KX$4,0))*1000</f>
        <v>0</v>
      </c>
      <c r="CK131" s="250">
        <f>INDEX(연료전지_원본!$KB$4:$KX$369,MATCH($A131,연료전지_원본!$KB$4:$KB$369,0), MATCH(CK$4,연료전지_원본!$KB$4:$KX$4,0))*1000</f>
        <v>0</v>
      </c>
      <c r="CL131" s="250">
        <f>INDEX(연료전지_원본!$KB$4:$KX$369,MATCH($A131,연료전지_원본!$KB$4:$KB$369,0), MATCH(CL$4,연료전지_원본!$KB$4:$KX$4,0))*1000</f>
        <v>0</v>
      </c>
      <c r="CM131" s="250">
        <f>INDEX(연료전지_원본!$KB$4:$KX$369,MATCH($A131,연료전지_원본!$KB$4:$KB$369,0), MATCH(CM$4,연료전지_원본!$KB$4:$KX$4,0))*1000</f>
        <v>0</v>
      </c>
      <c r="CN131" s="250">
        <f>INDEX(연료전지_원본!$KB$4:$KX$369,MATCH($A131,연료전지_원본!$KB$4:$KB$369,0), MATCH(CN$4,연료전지_원본!$KB$4:$KX$4,0))*1000</f>
        <v>0</v>
      </c>
      <c r="CO131" s="250">
        <f>INDEX(연료전지_원본!$KB$4:$KX$369,MATCH($A131,연료전지_원본!$KB$4:$KB$369,0), MATCH(CO$4,연료전지_원본!$KB$4:$KX$4,0))*1000</f>
        <v>0</v>
      </c>
      <c r="CP131" s="250">
        <f>INDEX(연료전지_원본!$KB$4:$KX$369,MATCH($A131,연료전지_원본!$KB$4:$KB$369,0), MATCH(CP$4,연료전지_원본!$KB$4:$KX$4,0))*1000</f>
        <v>0</v>
      </c>
      <c r="CQ131" s="250">
        <f>INDEX(연료전지_원본!$KB$4:$KX$369,MATCH($A131,연료전지_원본!$KB$4:$KB$369,0), MATCH(CQ$4,연료전지_원본!$KB$4:$KX$4,0))*1000</f>
        <v>0</v>
      </c>
      <c r="CR131" s="250">
        <f>INDEX(연료전지_원본!$KB$4:$KX$369,MATCH($A131,연료전지_원본!$KB$4:$KB$369,0), MATCH(CR$4,연료전지_원본!$KB$4:$KX$4,0))*1000</f>
        <v>0</v>
      </c>
      <c r="CS131" s="250">
        <f>INDEX(연료전지_원본!$KB$4:$KX$369,MATCH($A131,연료전지_원본!$KB$4:$KB$369,0), MATCH(CS$4,연료전지_원본!$KB$4:$KX$4,0))*1000</f>
        <v>0</v>
      </c>
      <c r="CT131" s="250">
        <f>INDEX(연료전지_원본!$KB$4:$KX$369,MATCH($A131,연료전지_원본!$KB$4:$KB$369,0), MATCH(CT$4,연료전지_원본!$KB$4:$KX$4,0))*1000</f>
        <v>0</v>
      </c>
      <c r="CU131" s="250">
        <f>INDEX(연료전지_원본!$KB$4:$KX$369,MATCH($A131,연료전지_원본!$KB$4:$KB$369,0), MATCH(CU$4,연료전지_원본!$KB$4:$KX$4,0))*1000</f>
        <v>0</v>
      </c>
      <c r="CV131" s="250">
        <f>INDEX(연료전지_원본!$KB$4:$KX$369,MATCH($A131,연료전지_원본!$KB$4:$KB$369,0), MATCH(CV$4,연료전지_원본!$KB$4:$KX$4,0))*1000</f>
        <v>0</v>
      </c>
      <c r="CW131" s="250">
        <f>INDEX(연료전지_원본!$KB$4:$KX$369,MATCH($A131,연료전지_원본!$KB$4:$KB$369,0), MATCH(CW$4,연료전지_원본!$KB$4:$KX$4,0))*1000</f>
        <v>0</v>
      </c>
      <c r="CX131" s="250">
        <f>INDEX(연료전지_원본!$KB$4:$KX$369,MATCH($A131,연료전지_원본!$KB$4:$KB$369,0), MATCH(CX$4,연료전지_원본!$KB$4:$KX$4,0))*1000</f>
        <v>0</v>
      </c>
      <c r="CY131" s="250">
        <f>INDEX(연료전지_원본!$KB$4:$KX$369,MATCH($A131,연료전지_원본!$KB$4:$KB$369,0), MATCH(CY$4,연료전지_원본!$KB$4:$KX$4,0))*1000</f>
        <v>0</v>
      </c>
      <c r="DV131" s="30">
        <f t="shared" si="623"/>
        <v>0</v>
      </c>
    </row>
    <row r="132" spans="1:126">
      <c r="A132" s="6">
        <v>46149</v>
      </c>
      <c r="B132" s="15">
        <f>운전실적_원본!B132</f>
        <v>0</v>
      </c>
      <c r="C132" s="16" t="str">
        <f t="shared" si="629"/>
        <v/>
      </c>
      <c r="D132" s="12">
        <f>운전실적_원본!C132</f>
        <v>0</v>
      </c>
      <c r="E132" s="12" t="str">
        <f t="shared" si="630"/>
        <v/>
      </c>
      <c r="F132" s="12">
        <f>운전실적_원본!D132</f>
        <v>0</v>
      </c>
      <c r="G132" s="16" t="str">
        <f t="shared" si="631"/>
        <v/>
      </c>
      <c r="H132" s="15">
        <f>운전실적_원본!E132</f>
        <v>0</v>
      </c>
      <c r="I132" s="16" t="str">
        <f t="shared" si="632"/>
        <v/>
      </c>
      <c r="J132" s="15">
        <f>운전실적_원본!F132</f>
        <v>0</v>
      </c>
      <c r="K132" s="16" t="str">
        <f t="shared" si="632"/>
        <v/>
      </c>
      <c r="L132" s="32">
        <f>운전실적_원본!G132</f>
        <v>0</v>
      </c>
      <c r="M132" s="31" t="str">
        <f t="shared" ref="M132" si="774">IF(OR(LEN(L132)=0,L132=0),"",L132-L131)</f>
        <v/>
      </c>
      <c r="N132" s="15">
        <f>운전실적_원본!H132</f>
        <v>0</v>
      </c>
      <c r="O132" s="16" t="str">
        <f t="shared" ref="O132" si="775">IF(OR(LEN(N132)=0,N132=0),"",N132-N131)</f>
        <v/>
      </c>
      <c r="P132" s="15">
        <f>운전실적_원본!I132</f>
        <v>0</v>
      </c>
      <c r="Q132" s="16" t="str">
        <f t="shared" ref="Q132" si="776">IF(OR(LEN(P132)=0,P132=0),"",P132-P131)</f>
        <v/>
      </c>
      <c r="R132" s="18">
        <f>운전실적_원본!J132</f>
        <v>0</v>
      </c>
      <c r="S132" s="19" t="str">
        <f t="shared" ref="S132" si="777">IF(OR(LEN(R132)=0,R132=0),"",R132-R131)</f>
        <v/>
      </c>
      <c r="T132" s="18">
        <f>운전실적_원본!K132</f>
        <v>0</v>
      </c>
      <c r="U132" s="19" t="str">
        <f t="shared" si="637"/>
        <v/>
      </c>
      <c r="V132" s="12">
        <f>운전실적_원본!L132</f>
        <v>0</v>
      </c>
      <c r="W132" s="16" t="str">
        <f t="shared" ref="W132" si="778">IF(OR(LEN(V132)=0,V132=0),"",V132-V131)</f>
        <v/>
      </c>
      <c r="X132" s="10">
        <f>운전실적_원본!M132</f>
        <v>0</v>
      </c>
      <c r="Y132" s="10">
        <f>운전실적_원본!N132</f>
        <v>0</v>
      </c>
      <c r="Z132" s="10">
        <f>운전실적_원본!O132</f>
        <v>0</v>
      </c>
      <c r="AA132" s="10">
        <f>운전실적_원본!P132</f>
        <v>0</v>
      </c>
      <c r="AB132" s="10">
        <f>운전실적_원본!Q132</f>
        <v>0</v>
      </c>
      <c r="AC132" s="20">
        <f>운전실적_원본!R132</f>
        <v>0</v>
      </c>
      <c r="AD132" s="109">
        <f>운전실적_원본!S132</f>
        <v>0</v>
      </c>
      <c r="AE132" s="110">
        <f>운전실적_원본!T132</f>
        <v>0</v>
      </c>
      <c r="AF132" s="110">
        <f>운전실적_원본!U132</f>
        <v>0</v>
      </c>
      <c r="AG132" s="110">
        <f>운전실적_원본!V132</f>
        <v>0</v>
      </c>
      <c r="AH132" s="109">
        <f t="shared" si="460"/>
        <v>0</v>
      </c>
      <c r="AI132" s="110">
        <f t="shared" si="467"/>
        <v>0</v>
      </c>
      <c r="AJ132" s="110">
        <f>운전실적_원본!Y132</f>
        <v>0</v>
      </c>
      <c r="AK132" s="110">
        <f>운전실적_원본!Z132</f>
        <v>0</v>
      </c>
      <c r="AL132" s="106"/>
      <c r="AM132" s="105"/>
      <c r="AN132" s="105"/>
      <c r="AO132" s="105"/>
      <c r="AP132" s="105"/>
      <c r="AQ132" s="108"/>
      <c r="AR132" s="105"/>
      <c r="AS132" s="105"/>
      <c r="AT132" s="102"/>
      <c r="AU132" s="102"/>
      <c r="AV132" s="102"/>
      <c r="AW132" s="102"/>
      <c r="AX132" s="32">
        <f>운전실적_원본!W132</f>
        <v>0</v>
      </c>
      <c r="AY132" s="11">
        <f>운전실적_원본!X132</f>
        <v>0</v>
      </c>
      <c r="AZ132" s="11">
        <f>운전실적_원본!Y132</f>
        <v>0</v>
      </c>
      <c r="BA132" s="11">
        <f>운전실적_원본!Z132</f>
        <v>0</v>
      </c>
      <c r="BB132" s="11">
        <f>운전실적_원본!AA132</f>
        <v>0</v>
      </c>
      <c r="BC132" s="11">
        <f>운전실적_원본!AB132</f>
        <v>0</v>
      </c>
      <c r="BD132" s="32" t="str">
        <f t="shared" si="453"/>
        <v>-</v>
      </c>
      <c r="BE132" s="11" t="str">
        <f t="shared" si="461"/>
        <v>-</v>
      </c>
      <c r="BF132" s="11">
        <f>운전실적_원본!AE132</f>
        <v>0</v>
      </c>
      <c r="BG132" s="31">
        <f t="shared" si="454"/>
        <v>0</v>
      </c>
      <c r="BH132" s="241">
        <f>INDEX(연료전지_원본!$A$4:$KY$369,MATCH($A132,연료전지_원본!$A$4:$A$369,0),MATCH($BH$4,연료전지_원본!$A$4:$KY$4,0))</f>
        <v>0</v>
      </c>
      <c r="BI132" s="241">
        <f>INDEX(연료전지_원본!$A$4:$KY$369,MATCH($A132,연료전지_원본!$A$4:$A$369,0),MATCH($BI$4,연료전지_원본!$A$4:$KY$4,0))</f>
        <v>0</v>
      </c>
      <c r="BJ132" s="241">
        <f>INDEX(연료전지_원본!$A$4:$KY$369,MATCH($A132,연료전지_원본!$A$4:$A$369,0),MATCH($BJ$4,연료전지_원본!$A$4:$KY$4,0))</f>
        <v>0</v>
      </c>
      <c r="BK132" s="241">
        <f>INDEX(연료전지_원본!$A$4:$KY$369,MATCH($A132,연료전지_원본!$A$4:$A$369,0),MATCH($BK$4,연료전지_원본!$A$4:$KY$4,0))</f>
        <v>0</v>
      </c>
      <c r="BL132" s="241">
        <f>INDEX(연료전지_원본!$A$4:$KY$369,MATCH($A132,연료전지_원본!$A$4:$A$369,0),MATCH($BL$4,연료전지_원본!$A$4:$KY$4,0))</f>
        <v>0</v>
      </c>
      <c r="BM132" s="241">
        <f>INDEX(연료전지_원본!$A$4:$KY$369,MATCH($A132,연료전지_원본!$A$4:$A$369,0),MATCH($BM$4,연료전지_원본!$A$4:$KY$4,0))</f>
        <v>0</v>
      </c>
      <c r="BN132" s="241">
        <f>INDEX(연료전지_원본!$A$4:$KY$369,MATCH($A132,연료전지_원본!$A$4:$A$369,0),MATCH($BN$4,연료전지_원본!$A$4:$KY$4,0))</f>
        <v>0</v>
      </c>
      <c r="BO132" s="241">
        <f>INDEX(연료전지_원본!$A$4:$KY$369,MATCH($A132,연료전지_원본!$A$4:$A$369,0),MATCH($BO$4,연료전지_원본!$A$4:$KY$4,0))</f>
        <v>0</v>
      </c>
      <c r="BP132" s="241">
        <f>INDEX(연료전지_원본!$A$4:$KY$369,MATCH($A132,연료전지_원본!$A$4:$A$369,0),MATCH($BP$4,연료전지_원본!$A$4:$KY$4,0))</f>
        <v>0</v>
      </c>
      <c r="BQ132" s="241">
        <f>INDEX(연료전지_원본!$A$4:$KY$369,MATCH($A132,연료전지_원본!$A$4:$A$369,0),MATCH($BQ$4,연료전지_원본!$A$4:$KY$4,0))</f>
        <v>0</v>
      </c>
      <c r="BR132" s="241">
        <f>INDEX(연료전지_원본!$A$4:$KY$369,MATCH($A132,연료전지_원본!$A$4:$A$369,0),MATCH($BR$4,연료전지_원본!$A$4:$KY$4,0))</f>
        <v>0</v>
      </c>
      <c r="BS132" s="241">
        <f>INDEX(연료전지_원본!$A$4:$KY$369,MATCH($A132,연료전지_원본!$A$4:$A$369,0),MATCH($BS$4,연료전지_원본!$A$4:$KY$4,0))</f>
        <v>0</v>
      </c>
      <c r="BT132" s="241">
        <f>INDEX(연료전지_원본!$A$4:$KY$369,MATCH($A132,연료전지_원본!$A$4:$A$369,0),MATCH($BT$4,연료전지_원본!$A$4:$KY$4,0))</f>
        <v>0</v>
      </c>
      <c r="BU132" s="241">
        <f>INDEX(연료전지_원본!$A$4:$KY$369,MATCH($A132,연료전지_원본!$A$4:$A$369,0),MATCH($BU$4,연료전지_원본!$A$4:$KY$4,0))</f>
        <v>0</v>
      </c>
      <c r="BV132" s="241">
        <f>INDEX(연료전지_원본!$A$4:$KY$369,MATCH($A132,연료전지_원본!$A$4:$A$369,0),MATCH($BV$4,연료전지_원본!$A$4:$KY$4,0))</f>
        <v>0</v>
      </c>
      <c r="BW132" s="241">
        <f>INDEX(연료전지_원본!$A$4:$KY$369,MATCH($A132,연료전지_원본!$A$4:$A$369,0),MATCH($BW$4,연료전지_원본!$A$4:$KY$4,0))</f>
        <v>0</v>
      </c>
      <c r="BX132" s="241">
        <f>INDEX(연료전지_원본!$A$4:$KY$369,MATCH($A132,연료전지_원본!$A$4:$A$369,0),MATCH($BX$4,연료전지_원본!$A$4:$KY$4,0))</f>
        <v>0</v>
      </c>
      <c r="BY132" s="241">
        <f>INDEX(연료전지_원본!$A$4:$KY$369,MATCH($A132,연료전지_원본!$A$4:$A$369,0),MATCH($BY$4,연료전지_원본!$A$4:$KY$4,0))</f>
        <v>0</v>
      </c>
      <c r="BZ132" s="241">
        <f>INDEX(연료전지_원본!$A$4:$KY$369,MATCH($A132,연료전지_원본!$A$4:$A$369,0),MATCH($BZ$4,연료전지_원본!$A$4:$KY$4,0))</f>
        <v>0</v>
      </c>
      <c r="CA132" s="241">
        <f>INDEX(연료전지_원본!$A$4:$KY$369,MATCH($A132,연료전지_원본!$A$4:$A$369,0),MATCH($CA$4,연료전지_원본!$A$4:$KY$4,0))</f>
        <v>0</v>
      </c>
      <c r="CB132" s="241">
        <f>INDEX(연료전지_원본!$A$4:$KY$369,MATCH($A132,연료전지_원본!$A$4:$A$369,0),MATCH($CB$4,연료전지_원본!$A$4:$KY$4,0))</f>
        <v>0</v>
      </c>
      <c r="CC132" s="242">
        <f>INDEX(연료전지_원본!$A$4:$KY$369,MATCH($A132,연료전지_원본!$A$4:$A$369,0),MATCH($CC$4,연료전지_원본!$A$4:$KY$4,0))</f>
        <v>0</v>
      </c>
      <c r="CD132" s="250">
        <f>INDEX(연료전지_원본!$KB$4:$KX$369,MATCH($A132,연료전지_원본!$KB$4:$KB$369,0), MATCH(CD$4,연료전지_원본!$KB$4:$KX$4,0))*1000</f>
        <v>0</v>
      </c>
      <c r="CE132" s="250">
        <f>INDEX(연료전지_원본!$KB$4:$KX$369,MATCH($A132,연료전지_원본!$KB$4:$KB$369,0), MATCH(CE$4,연료전지_원본!$KB$4:$KX$4,0))*1000</f>
        <v>0</v>
      </c>
      <c r="CF132" s="250">
        <f>INDEX(연료전지_원본!$KB$4:$KX$369,MATCH($A132,연료전지_원본!$KB$4:$KB$369,0), MATCH(CF$4,연료전지_원본!$KB$4:$KX$4,0))*1000</f>
        <v>0</v>
      </c>
      <c r="CG132" s="250">
        <f>INDEX(연료전지_원본!$KB$4:$KX$369,MATCH($A132,연료전지_원본!$KB$4:$KB$369,0), MATCH(CG$4,연료전지_원본!$KB$4:$KX$4,0))*1000</f>
        <v>0</v>
      </c>
      <c r="CH132" s="250">
        <f>INDEX(연료전지_원본!$KB$4:$KX$369,MATCH($A132,연료전지_원본!$KB$4:$KB$369,0), MATCH(CH$4,연료전지_원본!$KB$4:$KX$4,0))*1000</f>
        <v>0</v>
      </c>
      <c r="CI132" s="250">
        <f>INDEX(연료전지_원본!$KB$4:$KX$369,MATCH($A132,연료전지_원본!$KB$4:$KB$369,0), MATCH(CI$4,연료전지_원본!$KB$4:$KX$4,0))*1000</f>
        <v>0</v>
      </c>
      <c r="CJ132" s="250">
        <f>INDEX(연료전지_원본!$KB$4:$KX$369,MATCH($A132,연료전지_원본!$KB$4:$KB$369,0), MATCH(CJ$4,연료전지_원본!$KB$4:$KX$4,0))*1000</f>
        <v>0</v>
      </c>
      <c r="CK132" s="250">
        <f>INDEX(연료전지_원본!$KB$4:$KX$369,MATCH($A132,연료전지_원본!$KB$4:$KB$369,0), MATCH(CK$4,연료전지_원본!$KB$4:$KX$4,0))*1000</f>
        <v>0</v>
      </c>
      <c r="CL132" s="250">
        <f>INDEX(연료전지_원본!$KB$4:$KX$369,MATCH($A132,연료전지_원본!$KB$4:$KB$369,0), MATCH(CL$4,연료전지_원본!$KB$4:$KX$4,0))*1000</f>
        <v>0</v>
      </c>
      <c r="CM132" s="250">
        <f>INDEX(연료전지_원본!$KB$4:$KX$369,MATCH($A132,연료전지_원본!$KB$4:$KB$369,0), MATCH(CM$4,연료전지_원본!$KB$4:$KX$4,0))*1000</f>
        <v>0</v>
      </c>
      <c r="CN132" s="250">
        <f>INDEX(연료전지_원본!$KB$4:$KX$369,MATCH($A132,연료전지_원본!$KB$4:$KB$369,0), MATCH(CN$4,연료전지_원본!$KB$4:$KX$4,0))*1000</f>
        <v>0</v>
      </c>
      <c r="CO132" s="250">
        <f>INDEX(연료전지_원본!$KB$4:$KX$369,MATCH($A132,연료전지_원본!$KB$4:$KB$369,0), MATCH(CO$4,연료전지_원본!$KB$4:$KX$4,0))*1000</f>
        <v>0</v>
      </c>
      <c r="CP132" s="250">
        <f>INDEX(연료전지_원본!$KB$4:$KX$369,MATCH($A132,연료전지_원본!$KB$4:$KB$369,0), MATCH(CP$4,연료전지_원본!$KB$4:$KX$4,0))*1000</f>
        <v>0</v>
      </c>
      <c r="CQ132" s="250">
        <f>INDEX(연료전지_원본!$KB$4:$KX$369,MATCH($A132,연료전지_원본!$KB$4:$KB$369,0), MATCH(CQ$4,연료전지_원본!$KB$4:$KX$4,0))*1000</f>
        <v>0</v>
      </c>
      <c r="CR132" s="250">
        <f>INDEX(연료전지_원본!$KB$4:$KX$369,MATCH($A132,연료전지_원본!$KB$4:$KB$369,0), MATCH(CR$4,연료전지_원본!$KB$4:$KX$4,0))*1000</f>
        <v>0</v>
      </c>
      <c r="CS132" s="250">
        <f>INDEX(연료전지_원본!$KB$4:$KX$369,MATCH($A132,연료전지_원본!$KB$4:$KB$369,0), MATCH(CS$4,연료전지_원본!$KB$4:$KX$4,0))*1000</f>
        <v>0</v>
      </c>
      <c r="CT132" s="250">
        <f>INDEX(연료전지_원본!$KB$4:$KX$369,MATCH($A132,연료전지_원본!$KB$4:$KB$369,0), MATCH(CT$4,연료전지_원본!$KB$4:$KX$4,0))*1000</f>
        <v>0</v>
      </c>
      <c r="CU132" s="250">
        <f>INDEX(연료전지_원본!$KB$4:$KX$369,MATCH($A132,연료전지_원본!$KB$4:$KB$369,0), MATCH(CU$4,연료전지_원본!$KB$4:$KX$4,0))*1000</f>
        <v>0</v>
      </c>
      <c r="CV132" s="250">
        <f>INDEX(연료전지_원본!$KB$4:$KX$369,MATCH($A132,연료전지_원본!$KB$4:$KB$369,0), MATCH(CV$4,연료전지_원본!$KB$4:$KX$4,0))*1000</f>
        <v>0</v>
      </c>
      <c r="CW132" s="250">
        <f>INDEX(연료전지_원본!$KB$4:$KX$369,MATCH($A132,연료전지_원본!$KB$4:$KB$369,0), MATCH(CW$4,연료전지_원본!$KB$4:$KX$4,0))*1000</f>
        <v>0</v>
      </c>
      <c r="CX132" s="250">
        <f>INDEX(연료전지_원본!$KB$4:$KX$369,MATCH($A132,연료전지_원본!$KB$4:$KB$369,0), MATCH(CX$4,연료전지_원본!$KB$4:$KX$4,0))*1000</f>
        <v>0</v>
      </c>
      <c r="CY132" s="250">
        <f>INDEX(연료전지_원본!$KB$4:$KX$369,MATCH($A132,연료전지_원본!$KB$4:$KB$369,0), MATCH(CY$4,연료전지_원본!$KB$4:$KX$4,0))*1000</f>
        <v>0</v>
      </c>
      <c r="DV132" s="30">
        <f t="shared" si="623"/>
        <v>0</v>
      </c>
    </row>
    <row r="133" spans="1:126">
      <c r="A133" s="6">
        <v>46150</v>
      </c>
      <c r="B133" s="15">
        <f>운전실적_원본!B133</f>
        <v>0</v>
      </c>
      <c r="C133" s="16" t="str">
        <f t="shared" si="629"/>
        <v/>
      </c>
      <c r="D133" s="12">
        <f>운전실적_원본!C133</f>
        <v>0</v>
      </c>
      <c r="E133" s="12" t="str">
        <f t="shared" si="630"/>
        <v/>
      </c>
      <c r="F133" s="12">
        <f>운전실적_원본!D133</f>
        <v>0</v>
      </c>
      <c r="G133" s="16" t="str">
        <f t="shared" si="631"/>
        <v/>
      </c>
      <c r="H133" s="15">
        <f>운전실적_원본!E133</f>
        <v>0</v>
      </c>
      <c r="I133" s="16" t="str">
        <f t="shared" si="632"/>
        <v/>
      </c>
      <c r="J133" s="15">
        <f>운전실적_원본!F133</f>
        <v>0</v>
      </c>
      <c r="K133" s="16" t="str">
        <f t="shared" si="632"/>
        <v/>
      </c>
      <c r="L133" s="32">
        <f>운전실적_원본!G133</f>
        <v>0</v>
      </c>
      <c r="M133" s="31" t="str">
        <f t="shared" ref="M133" si="779">IF(OR(LEN(L133)=0,L133=0),"",L133-L132)</f>
        <v/>
      </c>
      <c r="N133" s="15">
        <f>운전실적_원본!H133</f>
        <v>0</v>
      </c>
      <c r="O133" s="16" t="str">
        <f t="shared" ref="O133" si="780">IF(OR(LEN(N133)=0,N133=0),"",N133-N132)</f>
        <v/>
      </c>
      <c r="P133" s="15">
        <f>운전실적_원본!I133</f>
        <v>0</v>
      </c>
      <c r="Q133" s="16" t="str">
        <f t="shared" ref="Q133" si="781">IF(OR(LEN(P133)=0,P133=0),"",P133-P132)</f>
        <v/>
      </c>
      <c r="R133" s="18">
        <f>운전실적_원본!J133</f>
        <v>0</v>
      </c>
      <c r="S133" s="19" t="str">
        <f t="shared" ref="S133" si="782">IF(OR(LEN(R133)=0,R133=0),"",R133-R132)</f>
        <v/>
      </c>
      <c r="T133" s="18">
        <f>운전실적_원본!K133</f>
        <v>0</v>
      </c>
      <c r="U133" s="19" t="str">
        <f t="shared" si="637"/>
        <v/>
      </c>
      <c r="V133" s="12">
        <f>운전실적_원본!L133</f>
        <v>0</v>
      </c>
      <c r="W133" s="16" t="str">
        <f t="shared" ref="W133" si="783">IF(OR(LEN(V133)=0,V133=0),"",V133-V132)</f>
        <v/>
      </c>
      <c r="X133" s="10">
        <f>운전실적_원본!M133</f>
        <v>0</v>
      </c>
      <c r="Y133" s="10">
        <f>운전실적_원본!N133</f>
        <v>0</v>
      </c>
      <c r="Z133" s="10">
        <f>운전실적_원본!O133</f>
        <v>0</v>
      </c>
      <c r="AA133" s="10">
        <f>운전실적_원본!P133</f>
        <v>0</v>
      </c>
      <c r="AB133" s="10">
        <f>운전실적_원본!Q133</f>
        <v>0</v>
      </c>
      <c r="AC133" s="20">
        <f>운전실적_원본!R133</f>
        <v>0</v>
      </c>
      <c r="AD133" s="109">
        <f>운전실적_원본!S133</f>
        <v>0</v>
      </c>
      <c r="AE133" s="110">
        <f>운전실적_원본!T133</f>
        <v>0</v>
      </c>
      <c r="AF133" s="110">
        <f>운전실적_원본!U133</f>
        <v>0</v>
      </c>
      <c r="AG133" s="110">
        <f>운전실적_원본!V133</f>
        <v>0</v>
      </c>
      <c r="AH133" s="109">
        <f t="shared" si="460"/>
        <v>0</v>
      </c>
      <c r="AI133" s="110">
        <f t="shared" si="467"/>
        <v>0</v>
      </c>
      <c r="AJ133" s="110">
        <f>운전실적_원본!Y133</f>
        <v>0</v>
      </c>
      <c r="AK133" s="110">
        <f>운전실적_원본!Z133</f>
        <v>0</v>
      </c>
      <c r="AL133" s="106"/>
      <c r="AM133" s="105"/>
      <c r="AN133" s="105"/>
      <c r="AO133" s="105"/>
      <c r="AP133" s="105"/>
      <c r="AQ133" s="108"/>
      <c r="AR133" s="105"/>
      <c r="AS133" s="105"/>
      <c r="AT133" s="102"/>
      <c r="AU133" s="102"/>
      <c r="AV133" s="102"/>
      <c r="AW133" s="102"/>
      <c r="AX133" s="32">
        <f>운전실적_원본!W133</f>
        <v>0</v>
      </c>
      <c r="AY133" s="11">
        <f>운전실적_원본!X133</f>
        <v>0</v>
      </c>
      <c r="AZ133" s="11">
        <f>운전실적_원본!Y133</f>
        <v>0</v>
      </c>
      <c r="BA133" s="11">
        <f>운전실적_원본!Z133</f>
        <v>0</v>
      </c>
      <c r="BB133" s="11">
        <f>운전실적_원본!AA133</f>
        <v>0</v>
      </c>
      <c r="BC133" s="11">
        <f>운전실적_원본!AB133</f>
        <v>0</v>
      </c>
      <c r="BD133" s="32" t="str">
        <f t="shared" ref="BD133:BD196" si="784">IFERROR(AX133/AD133,"-")</f>
        <v>-</v>
      </c>
      <c r="BE133" s="11" t="str">
        <f t="shared" si="461"/>
        <v>-</v>
      </c>
      <c r="BF133" s="11">
        <f>운전실적_원본!AE133</f>
        <v>0</v>
      </c>
      <c r="BG133" s="31">
        <f t="shared" ref="BG133:BG196" si="785">IFERROR(BF133/$BG$4,"-")</f>
        <v>0</v>
      </c>
      <c r="BH133" s="241">
        <f>INDEX(연료전지_원본!$A$4:$KY$369,MATCH($A133,연료전지_원본!$A$4:$A$369,0),MATCH($BH$4,연료전지_원본!$A$4:$KY$4,0))</f>
        <v>0</v>
      </c>
      <c r="BI133" s="241">
        <f>INDEX(연료전지_원본!$A$4:$KY$369,MATCH($A133,연료전지_원본!$A$4:$A$369,0),MATCH($BI$4,연료전지_원본!$A$4:$KY$4,0))</f>
        <v>0</v>
      </c>
      <c r="BJ133" s="241">
        <f>INDEX(연료전지_원본!$A$4:$KY$369,MATCH($A133,연료전지_원본!$A$4:$A$369,0),MATCH($BJ$4,연료전지_원본!$A$4:$KY$4,0))</f>
        <v>0</v>
      </c>
      <c r="BK133" s="241">
        <f>INDEX(연료전지_원본!$A$4:$KY$369,MATCH($A133,연료전지_원본!$A$4:$A$369,0),MATCH($BK$4,연료전지_원본!$A$4:$KY$4,0))</f>
        <v>0</v>
      </c>
      <c r="BL133" s="241">
        <f>INDEX(연료전지_원본!$A$4:$KY$369,MATCH($A133,연료전지_원본!$A$4:$A$369,0),MATCH($BL$4,연료전지_원본!$A$4:$KY$4,0))</f>
        <v>0</v>
      </c>
      <c r="BM133" s="241">
        <f>INDEX(연료전지_원본!$A$4:$KY$369,MATCH($A133,연료전지_원본!$A$4:$A$369,0),MATCH($BM$4,연료전지_원본!$A$4:$KY$4,0))</f>
        <v>0</v>
      </c>
      <c r="BN133" s="241">
        <f>INDEX(연료전지_원본!$A$4:$KY$369,MATCH($A133,연료전지_원본!$A$4:$A$369,0),MATCH($BN$4,연료전지_원본!$A$4:$KY$4,0))</f>
        <v>0</v>
      </c>
      <c r="BO133" s="241">
        <f>INDEX(연료전지_원본!$A$4:$KY$369,MATCH($A133,연료전지_원본!$A$4:$A$369,0),MATCH($BO$4,연료전지_원본!$A$4:$KY$4,0))</f>
        <v>0</v>
      </c>
      <c r="BP133" s="241">
        <f>INDEX(연료전지_원본!$A$4:$KY$369,MATCH($A133,연료전지_원본!$A$4:$A$369,0),MATCH($BP$4,연료전지_원본!$A$4:$KY$4,0))</f>
        <v>0</v>
      </c>
      <c r="BQ133" s="241">
        <f>INDEX(연료전지_원본!$A$4:$KY$369,MATCH($A133,연료전지_원본!$A$4:$A$369,0),MATCH($BQ$4,연료전지_원본!$A$4:$KY$4,0))</f>
        <v>0</v>
      </c>
      <c r="BR133" s="241">
        <f>INDEX(연료전지_원본!$A$4:$KY$369,MATCH($A133,연료전지_원본!$A$4:$A$369,0),MATCH($BR$4,연료전지_원본!$A$4:$KY$4,0))</f>
        <v>0</v>
      </c>
      <c r="BS133" s="241">
        <f>INDEX(연료전지_원본!$A$4:$KY$369,MATCH($A133,연료전지_원본!$A$4:$A$369,0),MATCH($BS$4,연료전지_원본!$A$4:$KY$4,0))</f>
        <v>0</v>
      </c>
      <c r="BT133" s="241">
        <f>INDEX(연료전지_원본!$A$4:$KY$369,MATCH($A133,연료전지_원본!$A$4:$A$369,0),MATCH($BT$4,연료전지_원본!$A$4:$KY$4,0))</f>
        <v>0</v>
      </c>
      <c r="BU133" s="241">
        <f>INDEX(연료전지_원본!$A$4:$KY$369,MATCH($A133,연료전지_원본!$A$4:$A$369,0),MATCH($BU$4,연료전지_원본!$A$4:$KY$4,0))</f>
        <v>0</v>
      </c>
      <c r="BV133" s="241">
        <f>INDEX(연료전지_원본!$A$4:$KY$369,MATCH($A133,연료전지_원본!$A$4:$A$369,0),MATCH($BV$4,연료전지_원본!$A$4:$KY$4,0))</f>
        <v>0</v>
      </c>
      <c r="BW133" s="241">
        <f>INDEX(연료전지_원본!$A$4:$KY$369,MATCH($A133,연료전지_원본!$A$4:$A$369,0),MATCH($BW$4,연료전지_원본!$A$4:$KY$4,0))</f>
        <v>0</v>
      </c>
      <c r="BX133" s="241">
        <f>INDEX(연료전지_원본!$A$4:$KY$369,MATCH($A133,연료전지_원본!$A$4:$A$369,0),MATCH($BX$4,연료전지_원본!$A$4:$KY$4,0))</f>
        <v>0</v>
      </c>
      <c r="BY133" s="241">
        <f>INDEX(연료전지_원본!$A$4:$KY$369,MATCH($A133,연료전지_원본!$A$4:$A$369,0),MATCH($BY$4,연료전지_원본!$A$4:$KY$4,0))</f>
        <v>0</v>
      </c>
      <c r="BZ133" s="241">
        <f>INDEX(연료전지_원본!$A$4:$KY$369,MATCH($A133,연료전지_원본!$A$4:$A$369,0),MATCH($BZ$4,연료전지_원본!$A$4:$KY$4,0))</f>
        <v>0</v>
      </c>
      <c r="CA133" s="241">
        <f>INDEX(연료전지_원본!$A$4:$KY$369,MATCH($A133,연료전지_원본!$A$4:$A$369,0),MATCH($CA$4,연료전지_원본!$A$4:$KY$4,0))</f>
        <v>0</v>
      </c>
      <c r="CB133" s="241">
        <f>INDEX(연료전지_원본!$A$4:$KY$369,MATCH($A133,연료전지_원본!$A$4:$A$369,0),MATCH($CB$4,연료전지_원본!$A$4:$KY$4,0))</f>
        <v>0</v>
      </c>
      <c r="CC133" s="242">
        <f>INDEX(연료전지_원본!$A$4:$KY$369,MATCH($A133,연료전지_원본!$A$4:$A$369,0),MATCH($CC$4,연료전지_원본!$A$4:$KY$4,0))</f>
        <v>0</v>
      </c>
      <c r="CD133" s="250">
        <f>INDEX(연료전지_원본!$KB$4:$KX$369,MATCH($A133,연료전지_원본!$KB$4:$KB$369,0), MATCH(CD$4,연료전지_원본!$KB$4:$KX$4,0))*1000</f>
        <v>0</v>
      </c>
      <c r="CE133" s="250">
        <f>INDEX(연료전지_원본!$KB$4:$KX$369,MATCH($A133,연료전지_원본!$KB$4:$KB$369,0), MATCH(CE$4,연료전지_원본!$KB$4:$KX$4,0))*1000</f>
        <v>0</v>
      </c>
      <c r="CF133" s="250">
        <f>INDEX(연료전지_원본!$KB$4:$KX$369,MATCH($A133,연료전지_원본!$KB$4:$KB$369,0), MATCH(CF$4,연료전지_원본!$KB$4:$KX$4,0))*1000</f>
        <v>0</v>
      </c>
      <c r="CG133" s="250">
        <f>INDEX(연료전지_원본!$KB$4:$KX$369,MATCH($A133,연료전지_원본!$KB$4:$KB$369,0), MATCH(CG$4,연료전지_원본!$KB$4:$KX$4,0))*1000</f>
        <v>0</v>
      </c>
      <c r="CH133" s="250">
        <f>INDEX(연료전지_원본!$KB$4:$KX$369,MATCH($A133,연료전지_원본!$KB$4:$KB$369,0), MATCH(CH$4,연료전지_원본!$KB$4:$KX$4,0))*1000</f>
        <v>0</v>
      </c>
      <c r="CI133" s="250">
        <f>INDEX(연료전지_원본!$KB$4:$KX$369,MATCH($A133,연료전지_원본!$KB$4:$KB$369,0), MATCH(CI$4,연료전지_원본!$KB$4:$KX$4,0))*1000</f>
        <v>0</v>
      </c>
      <c r="CJ133" s="250">
        <f>INDEX(연료전지_원본!$KB$4:$KX$369,MATCH($A133,연료전지_원본!$KB$4:$KB$369,0), MATCH(CJ$4,연료전지_원본!$KB$4:$KX$4,0))*1000</f>
        <v>0</v>
      </c>
      <c r="CK133" s="250">
        <f>INDEX(연료전지_원본!$KB$4:$KX$369,MATCH($A133,연료전지_원본!$KB$4:$KB$369,0), MATCH(CK$4,연료전지_원본!$KB$4:$KX$4,0))*1000</f>
        <v>0</v>
      </c>
      <c r="CL133" s="250">
        <f>INDEX(연료전지_원본!$KB$4:$KX$369,MATCH($A133,연료전지_원본!$KB$4:$KB$369,0), MATCH(CL$4,연료전지_원본!$KB$4:$KX$4,0))*1000</f>
        <v>0</v>
      </c>
      <c r="CM133" s="250">
        <f>INDEX(연료전지_원본!$KB$4:$KX$369,MATCH($A133,연료전지_원본!$KB$4:$KB$369,0), MATCH(CM$4,연료전지_원본!$KB$4:$KX$4,0))*1000</f>
        <v>0</v>
      </c>
      <c r="CN133" s="250">
        <f>INDEX(연료전지_원본!$KB$4:$KX$369,MATCH($A133,연료전지_원본!$KB$4:$KB$369,0), MATCH(CN$4,연료전지_원본!$KB$4:$KX$4,0))*1000</f>
        <v>0</v>
      </c>
      <c r="CO133" s="250">
        <f>INDEX(연료전지_원본!$KB$4:$KX$369,MATCH($A133,연료전지_원본!$KB$4:$KB$369,0), MATCH(CO$4,연료전지_원본!$KB$4:$KX$4,0))*1000</f>
        <v>0</v>
      </c>
      <c r="CP133" s="250">
        <f>INDEX(연료전지_원본!$KB$4:$KX$369,MATCH($A133,연료전지_원본!$KB$4:$KB$369,0), MATCH(CP$4,연료전지_원본!$KB$4:$KX$4,0))*1000</f>
        <v>0</v>
      </c>
      <c r="CQ133" s="250">
        <f>INDEX(연료전지_원본!$KB$4:$KX$369,MATCH($A133,연료전지_원본!$KB$4:$KB$369,0), MATCH(CQ$4,연료전지_원본!$KB$4:$KX$4,0))*1000</f>
        <v>0</v>
      </c>
      <c r="CR133" s="250">
        <f>INDEX(연료전지_원본!$KB$4:$KX$369,MATCH($A133,연료전지_원본!$KB$4:$KB$369,0), MATCH(CR$4,연료전지_원본!$KB$4:$KX$4,0))*1000</f>
        <v>0</v>
      </c>
      <c r="CS133" s="250">
        <f>INDEX(연료전지_원본!$KB$4:$KX$369,MATCH($A133,연료전지_원본!$KB$4:$KB$369,0), MATCH(CS$4,연료전지_원본!$KB$4:$KX$4,0))*1000</f>
        <v>0</v>
      </c>
      <c r="CT133" s="250">
        <f>INDEX(연료전지_원본!$KB$4:$KX$369,MATCH($A133,연료전지_원본!$KB$4:$KB$369,0), MATCH(CT$4,연료전지_원본!$KB$4:$KX$4,0))*1000</f>
        <v>0</v>
      </c>
      <c r="CU133" s="250">
        <f>INDEX(연료전지_원본!$KB$4:$KX$369,MATCH($A133,연료전지_원본!$KB$4:$KB$369,0), MATCH(CU$4,연료전지_원본!$KB$4:$KX$4,0))*1000</f>
        <v>0</v>
      </c>
      <c r="CV133" s="250">
        <f>INDEX(연료전지_원본!$KB$4:$KX$369,MATCH($A133,연료전지_원본!$KB$4:$KB$369,0), MATCH(CV$4,연료전지_원본!$KB$4:$KX$4,0))*1000</f>
        <v>0</v>
      </c>
      <c r="CW133" s="250">
        <f>INDEX(연료전지_원본!$KB$4:$KX$369,MATCH($A133,연료전지_원본!$KB$4:$KB$369,0), MATCH(CW$4,연료전지_원본!$KB$4:$KX$4,0))*1000</f>
        <v>0</v>
      </c>
      <c r="CX133" s="250">
        <f>INDEX(연료전지_원본!$KB$4:$KX$369,MATCH($A133,연료전지_원본!$KB$4:$KB$369,0), MATCH(CX$4,연료전지_원본!$KB$4:$KX$4,0))*1000</f>
        <v>0</v>
      </c>
      <c r="CY133" s="250">
        <f>INDEX(연료전지_원본!$KB$4:$KX$369,MATCH($A133,연료전지_원본!$KB$4:$KB$369,0), MATCH(CY$4,연료전지_원본!$KB$4:$KX$4,0))*1000</f>
        <v>0</v>
      </c>
      <c r="DV133" s="30">
        <f t="shared" si="623"/>
        <v>0</v>
      </c>
    </row>
    <row r="134" spans="1:126">
      <c r="A134" s="6">
        <v>46151</v>
      </c>
      <c r="B134" s="15">
        <f>운전실적_원본!B134</f>
        <v>0</v>
      </c>
      <c r="C134" s="16" t="str">
        <f t="shared" si="629"/>
        <v/>
      </c>
      <c r="D134" s="12">
        <f>운전실적_원본!C134</f>
        <v>0</v>
      </c>
      <c r="E134" s="12" t="str">
        <f t="shared" si="630"/>
        <v/>
      </c>
      <c r="F134" s="12">
        <f>운전실적_원본!D134</f>
        <v>0</v>
      </c>
      <c r="G134" s="16" t="str">
        <f t="shared" si="631"/>
        <v/>
      </c>
      <c r="H134" s="15">
        <f>운전실적_원본!E134</f>
        <v>0</v>
      </c>
      <c r="I134" s="16" t="str">
        <f t="shared" si="632"/>
        <v/>
      </c>
      <c r="J134" s="15">
        <f>운전실적_원본!F134</f>
        <v>0</v>
      </c>
      <c r="K134" s="16" t="str">
        <f t="shared" si="632"/>
        <v/>
      </c>
      <c r="L134" s="32">
        <f>운전실적_원본!G134</f>
        <v>0</v>
      </c>
      <c r="M134" s="31" t="str">
        <f t="shared" ref="M134" si="786">IF(OR(LEN(L134)=0,L134=0),"",L134-L133)</f>
        <v/>
      </c>
      <c r="N134" s="15">
        <f>운전실적_원본!H134</f>
        <v>0</v>
      </c>
      <c r="O134" s="16" t="str">
        <f t="shared" ref="O134" si="787">IF(OR(LEN(N134)=0,N134=0),"",N134-N133)</f>
        <v/>
      </c>
      <c r="P134" s="15">
        <f>운전실적_원본!I134</f>
        <v>0</v>
      </c>
      <c r="Q134" s="16" t="str">
        <f t="shared" ref="Q134" si="788">IF(OR(LEN(P134)=0,P134=0),"",P134-P133)</f>
        <v/>
      </c>
      <c r="R134" s="18">
        <f>운전실적_원본!J134</f>
        <v>0</v>
      </c>
      <c r="S134" s="19" t="str">
        <f t="shared" ref="S134" si="789">IF(OR(LEN(R134)=0,R134=0),"",R134-R133)</f>
        <v/>
      </c>
      <c r="T134" s="18">
        <f>운전실적_원본!K134</f>
        <v>0</v>
      </c>
      <c r="U134" s="19" t="str">
        <f t="shared" si="637"/>
        <v/>
      </c>
      <c r="V134" s="12">
        <f>운전실적_원본!L134</f>
        <v>0</v>
      </c>
      <c r="W134" s="16" t="str">
        <f t="shared" ref="W134" si="790">IF(OR(LEN(V134)=0,V134=0),"",V134-V133)</f>
        <v/>
      </c>
      <c r="X134" s="10">
        <f>운전실적_원본!M134</f>
        <v>0</v>
      </c>
      <c r="Y134" s="10">
        <f>운전실적_원본!N134</f>
        <v>0</v>
      </c>
      <c r="Z134" s="10">
        <f>운전실적_원본!O134</f>
        <v>0</v>
      </c>
      <c r="AA134" s="10">
        <f>운전실적_원본!P134</f>
        <v>0</v>
      </c>
      <c r="AB134" s="10">
        <f>운전실적_원본!Q134</f>
        <v>0</v>
      </c>
      <c r="AC134" s="20">
        <f>운전실적_원본!R134</f>
        <v>0</v>
      </c>
      <c r="AD134" s="109">
        <f>운전실적_원본!S134</f>
        <v>0</v>
      </c>
      <c r="AE134" s="110">
        <f>운전실적_원본!T134</f>
        <v>0</v>
      </c>
      <c r="AF134" s="110">
        <f>운전실적_원본!U134</f>
        <v>0</v>
      </c>
      <c r="AG134" s="110">
        <f>운전실적_원본!V134</f>
        <v>0</v>
      </c>
      <c r="AH134" s="109">
        <f t="shared" ref="AH134:AH197" si="791">((AM134-AL134)+(AO134-AN134)+(AQ134-AP134))*24</f>
        <v>0</v>
      </c>
      <c r="AI134" s="110">
        <f t="shared" si="467"/>
        <v>0</v>
      </c>
      <c r="AJ134" s="110">
        <f>운전실적_원본!Y134</f>
        <v>0</v>
      </c>
      <c r="AK134" s="110">
        <f>운전실적_원본!Z134</f>
        <v>0</v>
      </c>
      <c r="AL134" s="106"/>
      <c r="AM134" s="105"/>
      <c r="AN134" s="105"/>
      <c r="AO134" s="105"/>
      <c r="AP134" s="105"/>
      <c r="AQ134" s="108"/>
      <c r="AR134" s="105"/>
      <c r="AS134" s="105"/>
      <c r="AT134" s="102"/>
      <c r="AU134" s="102"/>
      <c r="AV134" s="102"/>
      <c r="AW134" s="102"/>
      <c r="AX134" s="32">
        <f>운전실적_원본!W134</f>
        <v>0</v>
      </c>
      <c r="AY134" s="11">
        <f>운전실적_원본!X134</f>
        <v>0</v>
      </c>
      <c r="AZ134" s="11">
        <f>운전실적_원본!Y134</f>
        <v>0</v>
      </c>
      <c r="BA134" s="11">
        <f>운전실적_원본!Z134</f>
        <v>0</v>
      </c>
      <c r="BB134" s="11">
        <f>운전실적_원본!AA134</f>
        <v>0</v>
      </c>
      <c r="BC134" s="11">
        <f>운전실적_원본!AB134</f>
        <v>0</v>
      </c>
      <c r="BD134" s="32" t="str">
        <f t="shared" si="784"/>
        <v>-</v>
      </c>
      <c r="BE134" s="11" t="str">
        <f t="shared" ref="BE134:BE197" si="792">IFERROR(BD134/$BE$4,"-")</f>
        <v>-</v>
      </c>
      <c r="BF134" s="11">
        <f>운전실적_원본!AE134</f>
        <v>0</v>
      </c>
      <c r="BG134" s="31">
        <f t="shared" si="785"/>
        <v>0</v>
      </c>
      <c r="BH134" s="241">
        <f>INDEX(연료전지_원본!$A$4:$KY$369,MATCH($A134,연료전지_원본!$A$4:$A$369,0),MATCH($BH$4,연료전지_원본!$A$4:$KY$4,0))</f>
        <v>0</v>
      </c>
      <c r="BI134" s="241">
        <f>INDEX(연료전지_원본!$A$4:$KY$369,MATCH($A134,연료전지_원본!$A$4:$A$369,0),MATCH($BI$4,연료전지_원본!$A$4:$KY$4,0))</f>
        <v>0</v>
      </c>
      <c r="BJ134" s="241">
        <f>INDEX(연료전지_원본!$A$4:$KY$369,MATCH($A134,연료전지_원본!$A$4:$A$369,0),MATCH($BJ$4,연료전지_원본!$A$4:$KY$4,0))</f>
        <v>0</v>
      </c>
      <c r="BK134" s="241">
        <f>INDEX(연료전지_원본!$A$4:$KY$369,MATCH($A134,연료전지_원본!$A$4:$A$369,0),MATCH($BK$4,연료전지_원본!$A$4:$KY$4,0))</f>
        <v>0</v>
      </c>
      <c r="BL134" s="241">
        <f>INDEX(연료전지_원본!$A$4:$KY$369,MATCH($A134,연료전지_원본!$A$4:$A$369,0),MATCH($BL$4,연료전지_원본!$A$4:$KY$4,0))</f>
        <v>0</v>
      </c>
      <c r="BM134" s="241">
        <f>INDEX(연료전지_원본!$A$4:$KY$369,MATCH($A134,연료전지_원본!$A$4:$A$369,0),MATCH($BM$4,연료전지_원본!$A$4:$KY$4,0))</f>
        <v>0</v>
      </c>
      <c r="BN134" s="241">
        <f>INDEX(연료전지_원본!$A$4:$KY$369,MATCH($A134,연료전지_원본!$A$4:$A$369,0),MATCH($BN$4,연료전지_원본!$A$4:$KY$4,0))</f>
        <v>0</v>
      </c>
      <c r="BO134" s="241">
        <f>INDEX(연료전지_원본!$A$4:$KY$369,MATCH($A134,연료전지_원본!$A$4:$A$369,0),MATCH($BO$4,연료전지_원본!$A$4:$KY$4,0))</f>
        <v>0</v>
      </c>
      <c r="BP134" s="241">
        <f>INDEX(연료전지_원본!$A$4:$KY$369,MATCH($A134,연료전지_원본!$A$4:$A$369,0),MATCH($BP$4,연료전지_원본!$A$4:$KY$4,0))</f>
        <v>0</v>
      </c>
      <c r="BQ134" s="241">
        <f>INDEX(연료전지_원본!$A$4:$KY$369,MATCH($A134,연료전지_원본!$A$4:$A$369,0),MATCH($BQ$4,연료전지_원본!$A$4:$KY$4,0))</f>
        <v>0</v>
      </c>
      <c r="BR134" s="241">
        <f>INDEX(연료전지_원본!$A$4:$KY$369,MATCH($A134,연료전지_원본!$A$4:$A$369,0),MATCH($BR$4,연료전지_원본!$A$4:$KY$4,0))</f>
        <v>0</v>
      </c>
      <c r="BS134" s="241">
        <f>INDEX(연료전지_원본!$A$4:$KY$369,MATCH($A134,연료전지_원본!$A$4:$A$369,0),MATCH($BS$4,연료전지_원본!$A$4:$KY$4,0))</f>
        <v>0</v>
      </c>
      <c r="BT134" s="241">
        <f>INDEX(연료전지_원본!$A$4:$KY$369,MATCH($A134,연료전지_원본!$A$4:$A$369,0),MATCH($BT$4,연료전지_원본!$A$4:$KY$4,0))</f>
        <v>0</v>
      </c>
      <c r="BU134" s="241">
        <f>INDEX(연료전지_원본!$A$4:$KY$369,MATCH($A134,연료전지_원본!$A$4:$A$369,0),MATCH($BU$4,연료전지_원본!$A$4:$KY$4,0))</f>
        <v>0</v>
      </c>
      <c r="BV134" s="241">
        <f>INDEX(연료전지_원본!$A$4:$KY$369,MATCH($A134,연료전지_원본!$A$4:$A$369,0),MATCH($BV$4,연료전지_원본!$A$4:$KY$4,0))</f>
        <v>0</v>
      </c>
      <c r="BW134" s="241">
        <f>INDEX(연료전지_원본!$A$4:$KY$369,MATCH($A134,연료전지_원본!$A$4:$A$369,0),MATCH($BW$4,연료전지_원본!$A$4:$KY$4,0))</f>
        <v>0</v>
      </c>
      <c r="BX134" s="241">
        <f>INDEX(연료전지_원본!$A$4:$KY$369,MATCH($A134,연료전지_원본!$A$4:$A$369,0),MATCH($BX$4,연료전지_원본!$A$4:$KY$4,0))</f>
        <v>0</v>
      </c>
      <c r="BY134" s="241">
        <f>INDEX(연료전지_원본!$A$4:$KY$369,MATCH($A134,연료전지_원본!$A$4:$A$369,0),MATCH($BY$4,연료전지_원본!$A$4:$KY$4,0))</f>
        <v>0</v>
      </c>
      <c r="BZ134" s="241">
        <f>INDEX(연료전지_원본!$A$4:$KY$369,MATCH($A134,연료전지_원본!$A$4:$A$369,0),MATCH($BZ$4,연료전지_원본!$A$4:$KY$4,0))</f>
        <v>0</v>
      </c>
      <c r="CA134" s="241">
        <f>INDEX(연료전지_원본!$A$4:$KY$369,MATCH($A134,연료전지_원본!$A$4:$A$369,0),MATCH($CA$4,연료전지_원본!$A$4:$KY$4,0))</f>
        <v>0</v>
      </c>
      <c r="CB134" s="241">
        <f>INDEX(연료전지_원본!$A$4:$KY$369,MATCH($A134,연료전지_원본!$A$4:$A$369,0),MATCH($CB$4,연료전지_원본!$A$4:$KY$4,0))</f>
        <v>0</v>
      </c>
      <c r="CC134" s="242">
        <f>INDEX(연료전지_원본!$A$4:$KY$369,MATCH($A134,연료전지_원본!$A$4:$A$369,0),MATCH($CC$4,연료전지_원본!$A$4:$KY$4,0))</f>
        <v>0</v>
      </c>
      <c r="CD134" s="250">
        <f>INDEX(연료전지_원본!$KB$4:$KX$369,MATCH($A134,연료전지_원본!$KB$4:$KB$369,0), MATCH(CD$4,연료전지_원본!$KB$4:$KX$4,0))*1000</f>
        <v>0</v>
      </c>
      <c r="CE134" s="250">
        <f>INDEX(연료전지_원본!$KB$4:$KX$369,MATCH($A134,연료전지_원본!$KB$4:$KB$369,0), MATCH(CE$4,연료전지_원본!$KB$4:$KX$4,0))*1000</f>
        <v>0</v>
      </c>
      <c r="CF134" s="250">
        <f>INDEX(연료전지_원본!$KB$4:$KX$369,MATCH($A134,연료전지_원본!$KB$4:$KB$369,0), MATCH(CF$4,연료전지_원본!$KB$4:$KX$4,0))*1000</f>
        <v>0</v>
      </c>
      <c r="CG134" s="250">
        <f>INDEX(연료전지_원본!$KB$4:$KX$369,MATCH($A134,연료전지_원본!$KB$4:$KB$369,0), MATCH(CG$4,연료전지_원본!$KB$4:$KX$4,0))*1000</f>
        <v>0</v>
      </c>
      <c r="CH134" s="250">
        <f>INDEX(연료전지_원본!$KB$4:$KX$369,MATCH($A134,연료전지_원본!$KB$4:$KB$369,0), MATCH(CH$4,연료전지_원본!$KB$4:$KX$4,0))*1000</f>
        <v>0</v>
      </c>
      <c r="CI134" s="250">
        <f>INDEX(연료전지_원본!$KB$4:$KX$369,MATCH($A134,연료전지_원본!$KB$4:$KB$369,0), MATCH(CI$4,연료전지_원본!$KB$4:$KX$4,0))*1000</f>
        <v>0</v>
      </c>
      <c r="CJ134" s="250">
        <f>INDEX(연료전지_원본!$KB$4:$KX$369,MATCH($A134,연료전지_원본!$KB$4:$KB$369,0), MATCH(CJ$4,연료전지_원본!$KB$4:$KX$4,0))*1000</f>
        <v>0</v>
      </c>
      <c r="CK134" s="250">
        <f>INDEX(연료전지_원본!$KB$4:$KX$369,MATCH($A134,연료전지_원본!$KB$4:$KB$369,0), MATCH(CK$4,연료전지_원본!$KB$4:$KX$4,0))*1000</f>
        <v>0</v>
      </c>
      <c r="CL134" s="250">
        <f>INDEX(연료전지_원본!$KB$4:$KX$369,MATCH($A134,연료전지_원본!$KB$4:$KB$369,0), MATCH(CL$4,연료전지_원본!$KB$4:$KX$4,0))*1000</f>
        <v>0</v>
      </c>
      <c r="CM134" s="250">
        <f>INDEX(연료전지_원본!$KB$4:$KX$369,MATCH($A134,연료전지_원본!$KB$4:$KB$369,0), MATCH(CM$4,연료전지_원본!$KB$4:$KX$4,0))*1000</f>
        <v>0</v>
      </c>
      <c r="CN134" s="250">
        <f>INDEX(연료전지_원본!$KB$4:$KX$369,MATCH($A134,연료전지_원본!$KB$4:$KB$369,0), MATCH(CN$4,연료전지_원본!$KB$4:$KX$4,0))*1000</f>
        <v>0</v>
      </c>
      <c r="CO134" s="250">
        <f>INDEX(연료전지_원본!$KB$4:$KX$369,MATCH($A134,연료전지_원본!$KB$4:$KB$369,0), MATCH(CO$4,연료전지_원본!$KB$4:$KX$4,0))*1000</f>
        <v>0</v>
      </c>
      <c r="CP134" s="250">
        <f>INDEX(연료전지_원본!$KB$4:$KX$369,MATCH($A134,연료전지_원본!$KB$4:$KB$369,0), MATCH(CP$4,연료전지_원본!$KB$4:$KX$4,0))*1000</f>
        <v>0</v>
      </c>
      <c r="CQ134" s="250">
        <f>INDEX(연료전지_원본!$KB$4:$KX$369,MATCH($A134,연료전지_원본!$KB$4:$KB$369,0), MATCH(CQ$4,연료전지_원본!$KB$4:$KX$4,0))*1000</f>
        <v>0</v>
      </c>
      <c r="CR134" s="250">
        <f>INDEX(연료전지_원본!$KB$4:$KX$369,MATCH($A134,연료전지_원본!$KB$4:$KB$369,0), MATCH(CR$4,연료전지_원본!$KB$4:$KX$4,0))*1000</f>
        <v>0</v>
      </c>
      <c r="CS134" s="250">
        <f>INDEX(연료전지_원본!$KB$4:$KX$369,MATCH($A134,연료전지_원본!$KB$4:$KB$369,0), MATCH(CS$4,연료전지_원본!$KB$4:$KX$4,0))*1000</f>
        <v>0</v>
      </c>
      <c r="CT134" s="250">
        <f>INDEX(연료전지_원본!$KB$4:$KX$369,MATCH($A134,연료전지_원본!$KB$4:$KB$369,0), MATCH(CT$4,연료전지_원본!$KB$4:$KX$4,0))*1000</f>
        <v>0</v>
      </c>
      <c r="CU134" s="250">
        <f>INDEX(연료전지_원본!$KB$4:$KX$369,MATCH($A134,연료전지_원본!$KB$4:$KB$369,0), MATCH(CU$4,연료전지_원본!$KB$4:$KX$4,0))*1000</f>
        <v>0</v>
      </c>
      <c r="CV134" s="250">
        <f>INDEX(연료전지_원본!$KB$4:$KX$369,MATCH($A134,연료전지_원본!$KB$4:$KB$369,0), MATCH(CV$4,연료전지_원본!$KB$4:$KX$4,0))*1000</f>
        <v>0</v>
      </c>
      <c r="CW134" s="250">
        <f>INDEX(연료전지_원본!$KB$4:$KX$369,MATCH($A134,연료전지_원본!$KB$4:$KB$369,0), MATCH(CW$4,연료전지_원본!$KB$4:$KX$4,0))*1000</f>
        <v>0</v>
      </c>
      <c r="CX134" s="250">
        <f>INDEX(연료전지_원본!$KB$4:$KX$369,MATCH($A134,연료전지_원본!$KB$4:$KB$369,0), MATCH(CX$4,연료전지_원본!$KB$4:$KX$4,0))*1000</f>
        <v>0</v>
      </c>
      <c r="CY134" s="250">
        <f>INDEX(연료전지_원본!$KB$4:$KX$369,MATCH($A134,연료전지_원본!$KB$4:$KB$369,0), MATCH(CY$4,연료전지_원본!$KB$4:$KX$4,0))*1000</f>
        <v>0</v>
      </c>
      <c r="DV134" s="30">
        <f t="shared" si="623"/>
        <v>0</v>
      </c>
    </row>
    <row r="135" spans="1:126">
      <c r="A135" s="6">
        <v>46152</v>
      </c>
      <c r="B135" s="15">
        <f>운전실적_원본!B135</f>
        <v>0</v>
      </c>
      <c r="C135" s="16" t="str">
        <f t="shared" si="629"/>
        <v/>
      </c>
      <c r="D135" s="12">
        <f>운전실적_원본!C135</f>
        <v>0</v>
      </c>
      <c r="E135" s="12" t="str">
        <f t="shared" si="630"/>
        <v/>
      </c>
      <c r="F135" s="12">
        <f>운전실적_원본!D135</f>
        <v>0</v>
      </c>
      <c r="G135" s="16" t="str">
        <f t="shared" si="631"/>
        <v/>
      </c>
      <c r="H135" s="15">
        <f>운전실적_원본!E135</f>
        <v>0</v>
      </c>
      <c r="I135" s="16" t="str">
        <f t="shared" si="632"/>
        <v/>
      </c>
      <c r="J135" s="15">
        <f>운전실적_원본!F135</f>
        <v>0</v>
      </c>
      <c r="K135" s="16" t="str">
        <f t="shared" si="632"/>
        <v/>
      </c>
      <c r="L135" s="32">
        <f>운전실적_원본!G135</f>
        <v>0</v>
      </c>
      <c r="M135" s="31" t="str">
        <f t="shared" ref="M135" si="793">IF(OR(LEN(L135)=0,L135=0),"",L135-L134)</f>
        <v/>
      </c>
      <c r="N135" s="15">
        <f>운전실적_원본!H135</f>
        <v>0</v>
      </c>
      <c r="O135" s="16" t="str">
        <f t="shared" ref="O135" si="794">IF(OR(LEN(N135)=0,N135=0),"",N135-N134)</f>
        <v/>
      </c>
      <c r="P135" s="15">
        <f>운전실적_원본!I135</f>
        <v>0</v>
      </c>
      <c r="Q135" s="16" t="str">
        <f t="shared" ref="Q135" si="795">IF(OR(LEN(P135)=0,P135=0),"",P135-P134)</f>
        <v/>
      </c>
      <c r="R135" s="18">
        <f>운전실적_원본!J135</f>
        <v>0</v>
      </c>
      <c r="S135" s="19" t="str">
        <f t="shared" ref="S135" si="796">IF(OR(LEN(R135)=0,R135=0),"",R135-R134)</f>
        <v/>
      </c>
      <c r="T135" s="18">
        <f>운전실적_원본!K135</f>
        <v>0</v>
      </c>
      <c r="U135" s="19" t="str">
        <f t="shared" si="637"/>
        <v/>
      </c>
      <c r="V135" s="12">
        <f>운전실적_원본!L135</f>
        <v>0</v>
      </c>
      <c r="W135" s="16" t="str">
        <f t="shared" ref="W135" si="797">IF(OR(LEN(V135)=0,V135=0),"",V135-V134)</f>
        <v/>
      </c>
      <c r="X135" s="10">
        <f>운전실적_원본!M135</f>
        <v>0</v>
      </c>
      <c r="Y135" s="10">
        <f>운전실적_원본!N135</f>
        <v>0</v>
      </c>
      <c r="Z135" s="10">
        <f>운전실적_원본!O135</f>
        <v>0</v>
      </c>
      <c r="AA135" s="10">
        <f>운전실적_원본!P135</f>
        <v>0</v>
      </c>
      <c r="AB135" s="10">
        <f>운전실적_원본!Q135</f>
        <v>0</v>
      </c>
      <c r="AC135" s="20">
        <f>운전실적_원본!R135</f>
        <v>0</v>
      </c>
      <c r="AD135" s="109">
        <f>운전실적_원본!S135</f>
        <v>0</v>
      </c>
      <c r="AE135" s="110">
        <f>운전실적_원본!T135</f>
        <v>0</v>
      </c>
      <c r="AF135" s="110">
        <f>운전실적_원본!U135</f>
        <v>0</v>
      </c>
      <c r="AG135" s="110">
        <f>운전실적_원본!V135</f>
        <v>0</v>
      </c>
      <c r="AH135" s="109">
        <f t="shared" si="791"/>
        <v>0</v>
      </c>
      <c r="AI135" s="110">
        <f t="shared" ref="AI135:AI198" si="798">(AS135-AR135)*24</f>
        <v>0</v>
      </c>
      <c r="AJ135" s="110">
        <f>운전실적_원본!Y135</f>
        <v>0</v>
      </c>
      <c r="AK135" s="110">
        <f>운전실적_원본!Z135</f>
        <v>0</v>
      </c>
      <c r="AL135" s="106"/>
      <c r="AM135" s="105"/>
      <c r="AN135" s="105"/>
      <c r="AO135" s="105"/>
      <c r="AP135" s="105"/>
      <c r="AQ135" s="108"/>
      <c r="AR135" s="105"/>
      <c r="AS135" s="105"/>
      <c r="AT135" s="102"/>
      <c r="AU135" s="102"/>
      <c r="AV135" s="102"/>
      <c r="AW135" s="102"/>
      <c r="AX135" s="32">
        <f>운전실적_원본!W135</f>
        <v>0</v>
      </c>
      <c r="AY135" s="11">
        <f>운전실적_원본!X135</f>
        <v>0</v>
      </c>
      <c r="AZ135" s="11">
        <f>운전실적_원본!Y135</f>
        <v>0</v>
      </c>
      <c r="BA135" s="11">
        <f>운전실적_원본!Z135</f>
        <v>0</v>
      </c>
      <c r="BB135" s="11">
        <f>운전실적_원본!AA135</f>
        <v>0</v>
      </c>
      <c r="BC135" s="11">
        <f>운전실적_원본!AB135</f>
        <v>0</v>
      </c>
      <c r="BD135" s="32" t="str">
        <f t="shared" si="784"/>
        <v>-</v>
      </c>
      <c r="BE135" s="11" t="str">
        <f t="shared" si="792"/>
        <v>-</v>
      </c>
      <c r="BF135" s="11">
        <f>운전실적_원본!AE135</f>
        <v>0</v>
      </c>
      <c r="BG135" s="31">
        <f t="shared" si="785"/>
        <v>0</v>
      </c>
      <c r="BH135" s="241">
        <f>INDEX(연료전지_원본!$A$4:$KY$369,MATCH($A135,연료전지_원본!$A$4:$A$369,0),MATCH($BH$4,연료전지_원본!$A$4:$KY$4,0))</f>
        <v>0</v>
      </c>
      <c r="BI135" s="241">
        <f>INDEX(연료전지_원본!$A$4:$KY$369,MATCH($A135,연료전지_원본!$A$4:$A$369,0),MATCH($BI$4,연료전지_원본!$A$4:$KY$4,0))</f>
        <v>0</v>
      </c>
      <c r="BJ135" s="241">
        <f>INDEX(연료전지_원본!$A$4:$KY$369,MATCH($A135,연료전지_원본!$A$4:$A$369,0),MATCH($BJ$4,연료전지_원본!$A$4:$KY$4,0))</f>
        <v>0</v>
      </c>
      <c r="BK135" s="241">
        <f>INDEX(연료전지_원본!$A$4:$KY$369,MATCH($A135,연료전지_원본!$A$4:$A$369,0),MATCH($BK$4,연료전지_원본!$A$4:$KY$4,0))</f>
        <v>0</v>
      </c>
      <c r="BL135" s="241">
        <f>INDEX(연료전지_원본!$A$4:$KY$369,MATCH($A135,연료전지_원본!$A$4:$A$369,0),MATCH($BL$4,연료전지_원본!$A$4:$KY$4,0))</f>
        <v>0</v>
      </c>
      <c r="BM135" s="241">
        <f>INDEX(연료전지_원본!$A$4:$KY$369,MATCH($A135,연료전지_원본!$A$4:$A$369,0),MATCH($BM$4,연료전지_원본!$A$4:$KY$4,0))</f>
        <v>0</v>
      </c>
      <c r="BN135" s="241">
        <f>INDEX(연료전지_원본!$A$4:$KY$369,MATCH($A135,연료전지_원본!$A$4:$A$369,0),MATCH($BN$4,연료전지_원본!$A$4:$KY$4,0))</f>
        <v>0</v>
      </c>
      <c r="BO135" s="241">
        <f>INDEX(연료전지_원본!$A$4:$KY$369,MATCH($A135,연료전지_원본!$A$4:$A$369,0),MATCH($BO$4,연료전지_원본!$A$4:$KY$4,0))</f>
        <v>0</v>
      </c>
      <c r="BP135" s="241">
        <f>INDEX(연료전지_원본!$A$4:$KY$369,MATCH($A135,연료전지_원본!$A$4:$A$369,0),MATCH($BP$4,연료전지_원본!$A$4:$KY$4,0))</f>
        <v>0</v>
      </c>
      <c r="BQ135" s="241">
        <f>INDEX(연료전지_원본!$A$4:$KY$369,MATCH($A135,연료전지_원본!$A$4:$A$369,0),MATCH($BQ$4,연료전지_원본!$A$4:$KY$4,0))</f>
        <v>0</v>
      </c>
      <c r="BR135" s="241">
        <f>INDEX(연료전지_원본!$A$4:$KY$369,MATCH($A135,연료전지_원본!$A$4:$A$369,0),MATCH($BR$4,연료전지_원본!$A$4:$KY$4,0))</f>
        <v>0</v>
      </c>
      <c r="BS135" s="241">
        <f>INDEX(연료전지_원본!$A$4:$KY$369,MATCH($A135,연료전지_원본!$A$4:$A$369,0),MATCH($BS$4,연료전지_원본!$A$4:$KY$4,0))</f>
        <v>0</v>
      </c>
      <c r="BT135" s="241">
        <f>INDEX(연료전지_원본!$A$4:$KY$369,MATCH($A135,연료전지_원본!$A$4:$A$369,0),MATCH($BT$4,연료전지_원본!$A$4:$KY$4,0))</f>
        <v>0</v>
      </c>
      <c r="BU135" s="241">
        <f>INDEX(연료전지_원본!$A$4:$KY$369,MATCH($A135,연료전지_원본!$A$4:$A$369,0),MATCH($BU$4,연료전지_원본!$A$4:$KY$4,0))</f>
        <v>0</v>
      </c>
      <c r="BV135" s="241">
        <f>INDEX(연료전지_원본!$A$4:$KY$369,MATCH($A135,연료전지_원본!$A$4:$A$369,0),MATCH($BV$4,연료전지_원본!$A$4:$KY$4,0))</f>
        <v>0</v>
      </c>
      <c r="BW135" s="241">
        <f>INDEX(연료전지_원본!$A$4:$KY$369,MATCH($A135,연료전지_원본!$A$4:$A$369,0),MATCH($BW$4,연료전지_원본!$A$4:$KY$4,0))</f>
        <v>0</v>
      </c>
      <c r="BX135" s="241">
        <f>INDEX(연료전지_원본!$A$4:$KY$369,MATCH($A135,연료전지_원본!$A$4:$A$369,0),MATCH($BX$4,연료전지_원본!$A$4:$KY$4,0))</f>
        <v>0</v>
      </c>
      <c r="BY135" s="241">
        <f>INDEX(연료전지_원본!$A$4:$KY$369,MATCH($A135,연료전지_원본!$A$4:$A$369,0),MATCH($BY$4,연료전지_원본!$A$4:$KY$4,0))</f>
        <v>0</v>
      </c>
      <c r="BZ135" s="241">
        <f>INDEX(연료전지_원본!$A$4:$KY$369,MATCH($A135,연료전지_원본!$A$4:$A$369,0),MATCH($BZ$4,연료전지_원본!$A$4:$KY$4,0))</f>
        <v>0</v>
      </c>
      <c r="CA135" s="241">
        <f>INDEX(연료전지_원본!$A$4:$KY$369,MATCH($A135,연료전지_원본!$A$4:$A$369,0),MATCH($CA$4,연료전지_원본!$A$4:$KY$4,0))</f>
        <v>0</v>
      </c>
      <c r="CB135" s="241">
        <f>INDEX(연료전지_원본!$A$4:$KY$369,MATCH($A135,연료전지_원본!$A$4:$A$369,0),MATCH($CB$4,연료전지_원본!$A$4:$KY$4,0))</f>
        <v>0</v>
      </c>
      <c r="CC135" s="242">
        <f>INDEX(연료전지_원본!$A$4:$KY$369,MATCH($A135,연료전지_원본!$A$4:$A$369,0),MATCH($CC$4,연료전지_원본!$A$4:$KY$4,0))</f>
        <v>0</v>
      </c>
      <c r="CD135" s="250">
        <f>INDEX(연료전지_원본!$KB$4:$KX$369,MATCH($A135,연료전지_원본!$KB$4:$KB$369,0), MATCH(CD$4,연료전지_원본!$KB$4:$KX$4,0))*1000</f>
        <v>0</v>
      </c>
      <c r="CE135" s="250">
        <f>INDEX(연료전지_원본!$KB$4:$KX$369,MATCH($A135,연료전지_원본!$KB$4:$KB$369,0), MATCH(CE$4,연료전지_원본!$KB$4:$KX$4,0))*1000</f>
        <v>0</v>
      </c>
      <c r="CF135" s="250">
        <f>INDEX(연료전지_원본!$KB$4:$KX$369,MATCH($A135,연료전지_원본!$KB$4:$KB$369,0), MATCH(CF$4,연료전지_원본!$KB$4:$KX$4,0))*1000</f>
        <v>0</v>
      </c>
      <c r="CG135" s="250">
        <f>INDEX(연료전지_원본!$KB$4:$KX$369,MATCH($A135,연료전지_원본!$KB$4:$KB$369,0), MATCH(CG$4,연료전지_원본!$KB$4:$KX$4,0))*1000</f>
        <v>0</v>
      </c>
      <c r="CH135" s="250">
        <f>INDEX(연료전지_원본!$KB$4:$KX$369,MATCH($A135,연료전지_원본!$KB$4:$KB$369,0), MATCH(CH$4,연료전지_원본!$KB$4:$KX$4,0))*1000</f>
        <v>0</v>
      </c>
      <c r="CI135" s="250">
        <f>INDEX(연료전지_원본!$KB$4:$KX$369,MATCH($A135,연료전지_원본!$KB$4:$KB$369,0), MATCH(CI$4,연료전지_원본!$KB$4:$KX$4,0))*1000</f>
        <v>0</v>
      </c>
      <c r="CJ135" s="250">
        <f>INDEX(연료전지_원본!$KB$4:$KX$369,MATCH($A135,연료전지_원본!$KB$4:$KB$369,0), MATCH(CJ$4,연료전지_원본!$KB$4:$KX$4,0))*1000</f>
        <v>0</v>
      </c>
      <c r="CK135" s="250">
        <f>INDEX(연료전지_원본!$KB$4:$KX$369,MATCH($A135,연료전지_원본!$KB$4:$KB$369,0), MATCH(CK$4,연료전지_원본!$KB$4:$KX$4,0))*1000</f>
        <v>0</v>
      </c>
      <c r="CL135" s="250">
        <f>INDEX(연료전지_원본!$KB$4:$KX$369,MATCH($A135,연료전지_원본!$KB$4:$KB$369,0), MATCH(CL$4,연료전지_원본!$KB$4:$KX$4,0))*1000</f>
        <v>0</v>
      </c>
      <c r="CM135" s="250">
        <f>INDEX(연료전지_원본!$KB$4:$KX$369,MATCH($A135,연료전지_원본!$KB$4:$KB$369,0), MATCH(CM$4,연료전지_원본!$KB$4:$KX$4,0))*1000</f>
        <v>0</v>
      </c>
      <c r="CN135" s="250">
        <f>INDEX(연료전지_원본!$KB$4:$KX$369,MATCH($A135,연료전지_원본!$KB$4:$KB$369,0), MATCH(CN$4,연료전지_원본!$KB$4:$KX$4,0))*1000</f>
        <v>0</v>
      </c>
      <c r="CO135" s="250">
        <f>INDEX(연료전지_원본!$KB$4:$KX$369,MATCH($A135,연료전지_원본!$KB$4:$KB$369,0), MATCH(CO$4,연료전지_원본!$KB$4:$KX$4,0))*1000</f>
        <v>0</v>
      </c>
      <c r="CP135" s="250">
        <f>INDEX(연료전지_원본!$KB$4:$KX$369,MATCH($A135,연료전지_원본!$KB$4:$KB$369,0), MATCH(CP$4,연료전지_원본!$KB$4:$KX$4,0))*1000</f>
        <v>0</v>
      </c>
      <c r="CQ135" s="250">
        <f>INDEX(연료전지_원본!$KB$4:$KX$369,MATCH($A135,연료전지_원본!$KB$4:$KB$369,0), MATCH(CQ$4,연료전지_원본!$KB$4:$KX$4,0))*1000</f>
        <v>0</v>
      </c>
      <c r="CR135" s="250">
        <f>INDEX(연료전지_원본!$KB$4:$KX$369,MATCH($A135,연료전지_원본!$KB$4:$KB$369,0), MATCH(CR$4,연료전지_원본!$KB$4:$KX$4,0))*1000</f>
        <v>0</v>
      </c>
      <c r="CS135" s="250">
        <f>INDEX(연료전지_원본!$KB$4:$KX$369,MATCH($A135,연료전지_원본!$KB$4:$KB$369,0), MATCH(CS$4,연료전지_원본!$KB$4:$KX$4,0))*1000</f>
        <v>0</v>
      </c>
      <c r="CT135" s="250">
        <f>INDEX(연료전지_원본!$KB$4:$KX$369,MATCH($A135,연료전지_원본!$KB$4:$KB$369,0), MATCH(CT$4,연료전지_원본!$KB$4:$KX$4,0))*1000</f>
        <v>0</v>
      </c>
      <c r="CU135" s="250">
        <f>INDEX(연료전지_원본!$KB$4:$KX$369,MATCH($A135,연료전지_원본!$KB$4:$KB$369,0), MATCH(CU$4,연료전지_원본!$KB$4:$KX$4,0))*1000</f>
        <v>0</v>
      </c>
      <c r="CV135" s="250">
        <f>INDEX(연료전지_원본!$KB$4:$KX$369,MATCH($A135,연료전지_원본!$KB$4:$KB$369,0), MATCH(CV$4,연료전지_원본!$KB$4:$KX$4,0))*1000</f>
        <v>0</v>
      </c>
      <c r="CW135" s="250">
        <f>INDEX(연료전지_원본!$KB$4:$KX$369,MATCH($A135,연료전지_원본!$KB$4:$KB$369,0), MATCH(CW$4,연료전지_원본!$KB$4:$KX$4,0))*1000</f>
        <v>0</v>
      </c>
      <c r="CX135" s="250">
        <f>INDEX(연료전지_원본!$KB$4:$KX$369,MATCH($A135,연료전지_원본!$KB$4:$KB$369,0), MATCH(CX$4,연료전지_원본!$KB$4:$KX$4,0))*1000</f>
        <v>0</v>
      </c>
      <c r="CY135" s="250">
        <f>INDEX(연료전지_원본!$KB$4:$KX$369,MATCH($A135,연료전지_원본!$KB$4:$KB$369,0), MATCH(CY$4,연료전지_원본!$KB$4:$KX$4,0))*1000</f>
        <v>0</v>
      </c>
      <c r="DV135" s="30">
        <f t="shared" si="623"/>
        <v>0</v>
      </c>
    </row>
    <row r="136" spans="1:126">
      <c r="A136" s="6">
        <v>46153</v>
      </c>
      <c r="B136" s="15">
        <f>운전실적_원본!B136</f>
        <v>0</v>
      </c>
      <c r="C136" s="16" t="str">
        <f t="shared" si="629"/>
        <v/>
      </c>
      <c r="D136" s="12">
        <f>운전실적_원본!C136</f>
        <v>0</v>
      </c>
      <c r="E136" s="12" t="str">
        <f t="shared" si="630"/>
        <v/>
      </c>
      <c r="F136" s="12">
        <f>운전실적_원본!D136</f>
        <v>0</v>
      </c>
      <c r="G136" s="16" t="str">
        <f t="shared" si="631"/>
        <v/>
      </c>
      <c r="H136" s="15">
        <f>운전실적_원본!E136</f>
        <v>0</v>
      </c>
      <c r="I136" s="16" t="str">
        <f t="shared" si="632"/>
        <v/>
      </c>
      <c r="J136" s="15">
        <f>운전실적_원본!F136</f>
        <v>0</v>
      </c>
      <c r="K136" s="16" t="str">
        <f t="shared" si="632"/>
        <v/>
      </c>
      <c r="L136" s="32">
        <f>운전실적_원본!G136</f>
        <v>0</v>
      </c>
      <c r="M136" s="31" t="str">
        <f t="shared" ref="M136" si="799">IF(OR(LEN(L136)=0,L136=0),"",L136-L135)</f>
        <v/>
      </c>
      <c r="N136" s="15">
        <f>운전실적_원본!H136</f>
        <v>0</v>
      </c>
      <c r="O136" s="16" t="str">
        <f t="shared" ref="O136" si="800">IF(OR(LEN(N136)=0,N136=0),"",N136-N135)</f>
        <v/>
      </c>
      <c r="P136" s="15">
        <f>운전실적_원본!I136</f>
        <v>0</v>
      </c>
      <c r="Q136" s="16" t="str">
        <f t="shared" ref="Q136" si="801">IF(OR(LEN(P136)=0,P136=0),"",P136-P135)</f>
        <v/>
      </c>
      <c r="R136" s="18">
        <f>운전실적_원본!J136</f>
        <v>0</v>
      </c>
      <c r="S136" s="19" t="str">
        <f t="shared" ref="S136" si="802">IF(OR(LEN(R136)=0,R136=0),"",R136-R135)</f>
        <v/>
      </c>
      <c r="T136" s="18">
        <f>운전실적_원본!K136</f>
        <v>0</v>
      </c>
      <c r="U136" s="19" t="str">
        <f t="shared" si="637"/>
        <v/>
      </c>
      <c r="V136" s="12">
        <f>운전실적_원본!L136</f>
        <v>0</v>
      </c>
      <c r="W136" s="16" t="str">
        <f t="shared" ref="W136" si="803">IF(OR(LEN(V136)=0,V136=0),"",V136-V135)</f>
        <v/>
      </c>
      <c r="X136" s="10">
        <f>운전실적_원본!M136</f>
        <v>0</v>
      </c>
      <c r="Y136" s="10">
        <f>운전실적_원본!N136</f>
        <v>0</v>
      </c>
      <c r="Z136" s="10">
        <f>운전실적_원본!O136</f>
        <v>0</v>
      </c>
      <c r="AA136" s="10">
        <f>운전실적_원본!P136</f>
        <v>0</v>
      </c>
      <c r="AB136" s="10">
        <f>운전실적_원본!Q136</f>
        <v>0</v>
      </c>
      <c r="AC136" s="20">
        <f>운전실적_원본!R136</f>
        <v>0</v>
      </c>
      <c r="AD136" s="109">
        <f>운전실적_원본!S136</f>
        <v>0</v>
      </c>
      <c r="AE136" s="110">
        <f>운전실적_원본!T136</f>
        <v>0</v>
      </c>
      <c r="AF136" s="110">
        <f>운전실적_원본!U136</f>
        <v>0</v>
      </c>
      <c r="AG136" s="110">
        <f>운전실적_원본!V136</f>
        <v>0</v>
      </c>
      <c r="AH136" s="109">
        <f t="shared" si="791"/>
        <v>0</v>
      </c>
      <c r="AI136" s="110">
        <f t="shared" si="798"/>
        <v>0</v>
      </c>
      <c r="AJ136" s="110">
        <f>운전실적_원본!Y136</f>
        <v>0</v>
      </c>
      <c r="AK136" s="110">
        <f>운전실적_원본!Z136</f>
        <v>0</v>
      </c>
      <c r="AL136" s="106"/>
      <c r="AM136" s="105"/>
      <c r="AN136" s="105"/>
      <c r="AO136" s="105"/>
      <c r="AP136" s="105"/>
      <c r="AQ136" s="108"/>
      <c r="AR136" s="105"/>
      <c r="AS136" s="105"/>
      <c r="AT136" s="102"/>
      <c r="AU136" s="102"/>
      <c r="AV136" s="102"/>
      <c r="AW136" s="102"/>
      <c r="AX136" s="32">
        <f>운전실적_원본!W136</f>
        <v>0</v>
      </c>
      <c r="AY136" s="11">
        <f>운전실적_원본!X136</f>
        <v>0</v>
      </c>
      <c r="AZ136" s="11">
        <f>운전실적_원본!Y136</f>
        <v>0</v>
      </c>
      <c r="BA136" s="11">
        <f>운전실적_원본!Z136</f>
        <v>0</v>
      </c>
      <c r="BB136" s="11">
        <f>운전실적_원본!AA136</f>
        <v>0</v>
      </c>
      <c r="BC136" s="11">
        <f>운전실적_원본!AB136</f>
        <v>0</v>
      </c>
      <c r="BD136" s="32" t="str">
        <f t="shared" si="784"/>
        <v>-</v>
      </c>
      <c r="BE136" s="11" t="str">
        <f t="shared" si="792"/>
        <v>-</v>
      </c>
      <c r="BF136" s="11">
        <f>운전실적_원본!AE136</f>
        <v>0</v>
      </c>
      <c r="BG136" s="31">
        <f t="shared" si="785"/>
        <v>0</v>
      </c>
      <c r="BH136" s="241">
        <f>INDEX(연료전지_원본!$A$4:$KY$369,MATCH($A136,연료전지_원본!$A$4:$A$369,0),MATCH($BH$4,연료전지_원본!$A$4:$KY$4,0))</f>
        <v>0</v>
      </c>
      <c r="BI136" s="241">
        <f>INDEX(연료전지_원본!$A$4:$KY$369,MATCH($A136,연료전지_원본!$A$4:$A$369,0),MATCH($BI$4,연료전지_원본!$A$4:$KY$4,0))</f>
        <v>0</v>
      </c>
      <c r="BJ136" s="241">
        <f>INDEX(연료전지_원본!$A$4:$KY$369,MATCH($A136,연료전지_원본!$A$4:$A$369,0),MATCH($BJ$4,연료전지_원본!$A$4:$KY$4,0))</f>
        <v>0</v>
      </c>
      <c r="BK136" s="241">
        <f>INDEX(연료전지_원본!$A$4:$KY$369,MATCH($A136,연료전지_원본!$A$4:$A$369,0),MATCH($BK$4,연료전지_원본!$A$4:$KY$4,0))</f>
        <v>0</v>
      </c>
      <c r="BL136" s="241">
        <f>INDEX(연료전지_원본!$A$4:$KY$369,MATCH($A136,연료전지_원본!$A$4:$A$369,0),MATCH($BL$4,연료전지_원본!$A$4:$KY$4,0))</f>
        <v>0</v>
      </c>
      <c r="BM136" s="241">
        <f>INDEX(연료전지_원본!$A$4:$KY$369,MATCH($A136,연료전지_원본!$A$4:$A$369,0),MATCH($BM$4,연료전지_원본!$A$4:$KY$4,0))</f>
        <v>0</v>
      </c>
      <c r="BN136" s="241">
        <f>INDEX(연료전지_원본!$A$4:$KY$369,MATCH($A136,연료전지_원본!$A$4:$A$369,0),MATCH($BN$4,연료전지_원본!$A$4:$KY$4,0))</f>
        <v>0</v>
      </c>
      <c r="BO136" s="241">
        <f>INDEX(연료전지_원본!$A$4:$KY$369,MATCH($A136,연료전지_원본!$A$4:$A$369,0),MATCH($BO$4,연료전지_원본!$A$4:$KY$4,0))</f>
        <v>0</v>
      </c>
      <c r="BP136" s="241">
        <f>INDEX(연료전지_원본!$A$4:$KY$369,MATCH($A136,연료전지_원본!$A$4:$A$369,0),MATCH($BP$4,연료전지_원본!$A$4:$KY$4,0))</f>
        <v>0</v>
      </c>
      <c r="BQ136" s="241">
        <f>INDEX(연료전지_원본!$A$4:$KY$369,MATCH($A136,연료전지_원본!$A$4:$A$369,0),MATCH($BQ$4,연료전지_원본!$A$4:$KY$4,0))</f>
        <v>0</v>
      </c>
      <c r="BR136" s="241">
        <f>INDEX(연료전지_원본!$A$4:$KY$369,MATCH($A136,연료전지_원본!$A$4:$A$369,0),MATCH($BR$4,연료전지_원본!$A$4:$KY$4,0))</f>
        <v>0</v>
      </c>
      <c r="BS136" s="241">
        <f>INDEX(연료전지_원본!$A$4:$KY$369,MATCH($A136,연료전지_원본!$A$4:$A$369,0),MATCH($BS$4,연료전지_원본!$A$4:$KY$4,0))</f>
        <v>0</v>
      </c>
      <c r="BT136" s="241">
        <f>INDEX(연료전지_원본!$A$4:$KY$369,MATCH($A136,연료전지_원본!$A$4:$A$369,0),MATCH($BT$4,연료전지_원본!$A$4:$KY$4,0))</f>
        <v>0</v>
      </c>
      <c r="BU136" s="241">
        <f>INDEX(연료전지_원본!$A$4:$KY$369,MATCH($A136,연료전지_원본!$A$4:$A$369,0),MATCH($BU$4,연료전지_원본!$A$4:$KY$4,0))</f>
        <v>0</v>
      </c>
      <c r="BV136" s="241">
        <f>INDEX(연료전지_원본!$A$4:$KY$369,MATCH($A136,연료전지_원본!$A$4:$A$369,0),MATCH($BV$4,연료전지_원본!$A$4:$KY$4,0))</f>
        <v>0</v>
      </c>
      <c r="BW136" s="241">
        <f>INDEX(연료전지_원본!$A$4:$KY$369,MATCH($A136,연료전지_원본!$A$4:$A$369,0),MATCH($BW$4,연료전지_원본!$A$4:$KY$4,0))</f>
        <v>0</v>
      </c>
      <c r="BX136" s="241">
        <f>INDEX(연료전지_원본!$A$4:$KY$369,MATCH($A136,연료전지_원본!$A$4:$A$369,0),MATCH($BX$4,연료전지_원본!$A$4:$KY$4,0))</f>
        <v>0</v>
      </c>
      <c r="BY136" s="241">
        <f>INDEX(연료전지_원본!$A$4:$KY$369,MATCH($A136,연료전지_원본!$A$4:$A$369,0),MATCH($BY$4,연료전지_원본!$A$4:$KY$4,0))</f>
        <v>0</v>
      </c>
      <c r="BZ136" s="241">
        <f>INDEX(연료전지_원본!$A$4:$KY$369,MATCH($A136,연료전지_원본!$A$4:$A$369,0),MATCH($BZ$4,연료전지_원본!$A$4:$KY$4,0))</f>
        <v>0</v>
      </c>
      <c r="CA136" s="241">
        <f>INDEX(연료전지_원본!$A$4:$KY$369,MATCH($A136,연료전지_원본!$A$4:$A$369,0),MATCH($CA$4,연료전지_원본!$A$4:$KY$4,0))</f>
        <v>0</v>
      </c>
      <c r="CB136" s="241">
        <f>INDEX(연료전지_원본!$A$4:$KY$369,MATCH($A136,연료전지_원본!$A$4:$A$369,0),MATCH($CB$4,연료전지_원본!$A$4:$KY$4,0))</f>
        <v>0</v>
      </c>
      <c r="CC136" s="242">
        <f>INDEX(연료전지_원본!$A$4:$KY$369,MATCH($A136,연료전지_원본!$A$4:$A$369,0),MATCH($CC$4,연료전지_원본!$A$4:$KY$4,0))</f>
        <v>0</v>
      </c>
      <c r="CD136" s="250">
        <f>INDEX(연료전지_원본!$KB$4:$KX$369,MATCH($A136,연료전지_원본!$KB$4:$KB$369,0), MATCH(CD$4,연료전지_원본!$KB$4:$KX$4,0))*1000</f>
        <v>0</v>
      </c>
      <c r="CE136" s="250">
        <f>INDEX(연료전지_원본!$KB$4:$KX$369,MATCH($A136,연료전지_원본!$KB$4:$KB$369,0), MATCH(CE$4,연료전지_원본!$KB$4:$KX$4,0))*1000</f>
        <v>0</v>
      </c>
      <c r="CF136" s="250">
        <f>INDEX(연료전지_원본!$KB$4:$KX$369,MATCH($A136,연료전지_원본!$KB$4:$KB$369,0), MATCH(CF$4,연료전지_원본!$KB$4:$KX$4,0))*1000</f>
        <v>0</v>
      </c>
      <c r="CG136" s="250">
        <f>INDEX(연료전지_원본!$KB$4:$KX$369,MATCH($A136,연료전지_원본!$KB$4:$KB$369,0), MATCH(CG$4,연료전지_원본!$KB$4:$KX$4,0))*1000</f>
        <v>0</v>
      </c>
      <c r="CH136" s="250">
        <f>INDEX(연료전지_원본!$KB$4:$KX$369,MATCH($A136,연료전지_원본!$KB$4:$KB$369,0), MATCH(CH$4,연료전지_원본!$KB$4:$KX$4,0))*1000</f>
        <v>0</v>
      </c>
      <c r="CI136" s="250">
        <f>INDEX(연료전지_원본!$KB$4:$KX$369,MATCH($A136,연료전지_원본!$KB$4:$KB$369,0), MATCH(CI$4,연료전지_원본!$KB$4:$KX$4,0))*1000</f>
        <v>0</v>
      </c>
      <c r="CJ136" s="250">
        <f>INDEX(연료전지_원본!$KB$4:$KX$369,MATCH($A136,연료전지_원본!$KB$4:$KB$369,0), MATCH(CJ$4,연료전지_원본!$KB$4:$KX$4,0))*1000</f>
        <v>0</v>
      </c>
      <c r="CK136" s="250">
        <f>INDEX(연료전지_원본!$KB$4:$KX$369,MATCH($A136,연료전지_원본!$KB$4:$KB$369,0), MATCH(CK$4,연료전지_원본!$KB$4:$KX$4,0))*1000</f>
        <v>0</v>
      </c>
      <c r="CL136" s="250">
        <f>INDEX(연료전지_원본!$KB$4:$KX$369,MATCH($A136,연료전지_원본!$KB$4:$KB$369,0), MATCH(CL$4,연료전지_원본!$KB$4:$KX$4,0))*1000</f>
        <v>0</v>
      </c>
      <c r="CM136" s="250">
        <f>INDEX(연료전지_원본!$KB$4:$KX$369,MATCH($A136,연료전지_원본!$KB$4:$KB$369,0), MATCH(CM$4,연료전지_원본!$KB$4:$KX$4,0))*1000</f>
        <v>0</v>
      </c>
      <c r="CN136" s="250">
        <f>INDEX(연료전지_원본!$KB$4:$KX$369,MATCH($A136,연료전지_원본!$KB$4:$KB$369,0), MATCH(CN$4,연료전지_원본!$KB$4:$KX$4,0))*1000</f>
        <v>0</v>
      </c>
      <c r="CO136" s="250">
        <f>INDEX(연료전지_원본!$KB$4:$KX$369,MATCH($A136,연료전지_원본!$KB$4:$KB$369,0), MATCH(CO$4,연료전지_원본!$KB$4:$KX$4,0))*1000</f>
        <v>0</v>
      </c>
      <c r="CP136" s="250">
        <f>INDEX(연료전지_원본!$KB$4:$KX$369,MATCH($A136,연료전지_원본!$KB$4:$KB$369,0), MATCH(CP$4,연료전지_원본!$KB$4:$KX$4,0))*1000</f>
        <v>0</v>
      </c>
      <c r="CQ136" s="250">
        <f>INDEX(연료전지_원본!$KB$4:$KX$369,MATCH($A136,연료전지_원본!$KB$4:$KB$369,0), MATCH(CQ$4,연료전지_원본!$KB$4:$KX$4,0))*1000</f>
        <v>0</v>
      </c>
      <c r="CR136" s="250">
        <f>INDEX(연료전지_원본!$KB$4:$KX$369,MATCH($A136,연료전지_원본!$KB$4:$KB$369,0), MATCH(CR$4,연료전지_원본!$KB$4:$KX$4,0))*1000</f>
        <v>0</v>
      </c>
      <c r="CS136" s="250">
        <f>INDEX(연료전지_원본!$KB$4:$KX$369,MATCH($A136,연료전지_원본!$KB$4:$KB$369,0), MATCH(CS$4,연료전지_원본!$KB$4:$KX$4,0))*1000</f>
        <v>0</v>
      </c>
      <c r="CT136" s="250">
        <f>INDEX(연료전지_원본!$KB$4:$KX$369,MATCH($A136,연료전지_원본!$KB$4:$KB$369,0), MATCH(CT$4,연료전지_원본!$KB$4:$KX$4,0))*1000</f>
        <v>0</v>
      </c>
      <c r="CU136" s="250">
        <f>INDEX(연료전지_원본!$KB$4:$KX$369,MATCH($A136,연료전지_원본!$KB$4:$KB$369,0), MATCH(CU$4,연료전지_원본!$KB$4:$KX$4,0))*1000</f>
        <v>0</v>
      </c>
      <c r="CV136" s="250">
        <f>INDEX(연료전지_원본!$KB$4:$KX$369,MATCH($A136,연료전지_원본!$KB$4:$KB$369,0), MATCH(CV$4,연료전지_원본!$KB$4:$KX$4,0))*1000</f>
        <v>0</v>
      </c>
      <c r="CW136" s="250">
        <f>INDEX(연료전지_원본!$KB$4:$KX$369,MATCH($A136,연료전지_원본!$KB$4:$KB$369,0), MATCH(CW$4,연료전지_원본!$KB$4:$KX$4,0))*1000</f>
        <v>0</v>
      </c>
      <c r="CX136" s="250">
        <f>INDEX(연료전지_원본!$KB$4:$KX$369,MATCH($A136,연료전지_원본!$KB$4:$KB$369,0), MATCH(CX$4,연료전지_원본!$KB$4:$KX$4,0))*1000</f>
        <v>0</v>
      </c>
      <c r="CY136" s="250">
        <f>INDEX(연료전지_원본!$KB$4:$KX$369,MATCH($A136,연료전지_원본!$KB$4:$KB$369,0), MATCH(CY$4,연료전지_원본!$KB$4:$KX$4,0))*1000</f>
        <v>0</v>
      </c>
      <c r="DV136" s="30">
        <f t="shared" si="623"/>
        <v>0</v>
      </c>
    </row>
    <row r="137" spans="1:126">
      <c r="A137" s="6">
        <v>46154</v>
      </c>
      <c r="B137" s="15">
        <f>운전실적_원본!B137</f>
        <v>0</v>
      </c>
      <c r="C137" s="16" t="str">
        <f t="shared" si="629"/>
        <v/>
      </c>
      <c r="D137" s="12">
        <f>운전실적_원본!C137</f>
        <v>0</v>
      </c>
      <c r="E137" s="12" t="str">
        <f t="shared" si="630"/>
        <v/>
      </c>
      <c r="F137" s="12">
        <f>운전실적_원본!D137</f>
        <v>0</v>
      </c>
      <c r="G137" s="16" t="str">
        <f t="shared" si="631"/>
        <v/>
      </c>
      <c r="H137" s="15">
        <f>운전실적_원본!E137</f>
        <v>0</v>
      </c>
      <c r="I137" s="16" t="str">
        <f t="shared" si="632"/>
        <v/>
      </c>
      <c r="J137" s="15">
        <f>운전실적_원본!F137</f>
        <v>0</v>
      </c>
      <c r="K137" s="16" t="str">
        <f t="shared" si="632"/>
        <v/>
      </c>
      <c r="L137" s="32">
        <f>운전실적_원본!G137</f>
        <v>0</v>
      </c>
      <c r="M137" s="31" t="str">
        <f t="shared" ref="M137" si="804">IF(OR(LEN(L137)=0,L137=0),"",L137-L136)</f>
        <v/>
      </c>
      <c r="N137" s="15">
        <f>운전실적_원본!H137</f>
        <v>0</v>
      </c>
      <c r="O137" s="16" t="str">
        <f t="shared" ref="O137" si="805">IF(OR(LEN(N137)=0,N137=0),"",N137-N136)</f>
        <v/>
      </c>
      <c r="P137" s="15">
        <f>운전실적_원본!I137</f>
        <v>0</v>
      </c>
      <c r="Q137" s="16" t="str">
        <f t="shared" ref="Q137" si="806">IF(OR(LEN(P137)=0,P137=0),"",P137-P136)</f>
        <v/>
      </c>
      <c r="R137" s="18">
        <f>운전실적_원본!J137</f>
        <v>0</v>
      </c>
      <c r="S137" s="19" t="str">
        <f t="shared" ref="S137" si="807">IF(OR(LEN(R137)=0,R137=0),"",R137-R136)</f>
        <v/>
      </c>
      <c r="T137" s="18">
        <f>운전실적_원본!K137</f>
        <v>0</v>
      </c>
      <c r="U137" s="19" t="str">
        <f t="shared" si="637"/>
        <v/>
      </c>
      <c r="V137" s="12">
        <f>운전실적_원본!L137</f>
        <v>0</v>
      </c>
      <c r="W137" s="16" t="str">
        <f t="shared" ref="W137" si="808">IF(OR(LEN(V137)=0,V137=0),"",V137-V136)</f>
        <v/>
      </c>
      <c r="X137" s="10">
        <f>운전실적_원본!M137</f>
        <v>0</v>
      </c>
      <c r="Y137" s="10">
        <f>운전실적_원본!N137</f>
        <v>0</v>
      </c>
      <c r="Z137" s="10">
        <f>운전실적_원본!O137</f>
        <v>0</v>
      </c>
      <c r="AA137" s="10">
        <f>운전실적_원본!P137</f>
        <v>0</v>
      </c>
      <c r="AB137" s="10">
        <f>운전실적_원본!Q137</f>
        <v>0</v>
      </c>
      <c r="AC137" s="20">
        <f>운전실적_원본!R137</f>
        <v>0</v>
      </c>
      <c r="AD137" s="109">
        <f>운전실적_원본!S137</f>
        <v>0</v>
      </c>
      <c r="AE137" s="110">
        <f>운전실적_원본!T137</f>
        <v>0</v>
      </c>
      <c r="AF137" s="110">
        <f>운전실적_원본!U137</f>
        <v>0</v>
      </c>
      <c r="AG137" s="110">
        <f>운전실적_원본!V137</f>
        <v>0</v>
      </c>
      <c r="AH137" s="109">
        <f t="shared" si="791"/>
        <v>0</v>
      </c>
      <c r="AI137" s="110">
        <f t="shared" si="798"/>
        <v>0</v>
      </c>
      <c r="AJ137" s="110">
        <f>운전실적_원본!Y137</f>
        <v>0</v>
      </c>
      <c r="AK137" s="110">
        <f>운전실적_원본!Z137</f>
        <v>0</v>
      </c>
      <c r="AL137" s="106"/>
      <c r="AM137" s="105"/>
      <c r="AN137" s="105"/>
      <c r="AO137" s="105"/>
      <c r="AP137" s="105"/>
      <c r="AQ137" s="108"/>
      <c r="AR137" s="105"/>
      <c r="AS137" s="105"/>
      <c r="AT137" s="102"/>
      <c r="AU137" s="102"/>
      <c r="AV137" s="102"/>
      <c r="AW137" s="102"/>
      <c r="AX137" s="32">
        <f>운전실적_원본!W137</f>
        <v>0</v>
      </c>
      <c r="AY137" s="11">
        <f>운전실적_원본!X137</f>
        <v>0</v>
      </c>
      <c r="AZ137" s="11">
        <f>운전실적_원본!Y137</f>
        <v>0</v>
      </c>
      <c r="BA137" s="11">
        <f>운전실적_원본!Z137</f>
        <v>0</v>
      </c>
      <c r="BB137" s="11">
        <f>운전실적_원본!AA137</f>
        <v>0</v>
      </c>
      <c r="BC137" s="11">
        <f>운전실적_원본!AB137</f>
        <v>0</v>
      </c>
      <c r="BD137" s="32" t="str">
        <f t="shared" si="784"/>
        <v>-</v>
      </c>
      <c r="BE137" s="11" t="str">
        <f t="shared" si="792"/>
        <v>-</v>
      </c>
      <c r="BF137" s="11">
        <f>운전실적_원본!AE137</f>
        <v>0</v>
      </c>
      <c r="BG137" s="31">
        <f t="shared" si="785"/>
        <v>0</v>
      </c>
      <c r="BH137" s="241">
        <f>INDEX(연료전지_원본!$A$4:$KY$369,MATCH($A137,연료전지_원본!$A$4:$A$369,0),MATCH($BH$4,연료전지_원본!$A$4:$KY$4,0))</f>
        <v>0</v>
      </c>
      <c r="BI137" s="241">
        <f>INDEX(연료전지_원본!$A$4:$KY$369,MATCH($A137,연료전지_원본!$A$4:$A$369,0),MATCH($BI$4,연료전지_원본!$A$4:$KY$4,0))</f>
        <v>0</v>
      </c>
      <c r="BJ137" s="241">
        <f>INDEX(연료전지_원본!$A$4:$KY$369,MATCH($A137,연료전지_원본!$A$4:$A$369,0),MATCH($BJ$4,연료전지_원본!$A$4:$KY$4,0))</f>
        <v>0</v>
      </c>
      <c r="BK137" s="241">
        <f>INDEX(연료전지_원본!$A$4:$KY$369,MATCH($A137,연료전지_원본!$A$4:$A$369,0),MATCH($BK$4,연료전지_원본!$A$4:$KY$4,0))</f>
        <v>0</v>
      </c>
      <c r="BL137" s="241">
        <f>INDEX(연료전지_원본!$A$4:$KY$369,MATCH($A137,연료전지_원본!$A$4:$A$369,0),MATCH($BL$4,연료전지_원본!$A$4:$KY$4,0))</f>
        <v>0</v>
      </c>
      <c r="BM137" s="241">
        <f>INDEX(연료전지_원본!$A$4:$KY$369,MATCH($A137,연료전지_원본!$A$4:$A$369,0),MATCH($BM$4,연료전지_원본!$A$4:$KY$4,0))</f>
        <v>0</v>
      </c>
      <c r="BN137" s="241">
        <f>INDEX(연료전지_원본!$A$4:$KY$369,MATCH($A137,연료전지_원본!$A$4:$A$369,0),MATCH($BN$4,연료전지_원본!$A$4:$KY$4,0))</f>
        <v>0</v>
      </c>
      <c r="BO137" s="241">
        <f>INDEX(연료전지_원본!$A$4:$KY$369,MATCH($A137,연료전지_원본!$A$4:$A$369,0),MATCH($BO$4,연료전지_원본!$A$4:$KY$4,0))</f>
        <v>0</v>
      </c>
      <c r="BP137" s="241">
        <f>INDEX(연료전지_원본!$A$4:$KY$369,MATCH($A137,연료전지_원본!$A$4:$A$369,0),MATCH($BP$4,연료전지_원본!$A$4:$KY$4,0))</f>
        <v>0</v>
      </c>
      <c r="BQ137" s="241">
        <f>INDEX(연료전지_원본!$A$4:$KY$369,MATCH($A137,연료전지_원본!$A$4:$A$369,0),MATCH($BQ$4,연료전지_원본!$A$4:$KY$4,0))</f>
        <v>0</v>
      </c>
      <c r="BR137" s="241">
        <f>INDEX(연료전지_원본!$A$4:$KY$369,MATCH($A137,연료전지_원본!$A$4:$A$369,0),MATCH($BR$4,연료전지_원본!$A$4:$KY$4,0))</f>
        <v>0</v>
      </c>
      <c r="BS137" s="241">
        <f>INDEX(연료전지_원본!$A$4:$KY$369,MATCH($A137,연료전지_원본!$A$4:$A$369,0),MATCH($BS$4,연료전지_원본!$A$4:$KY$4,0))</f>
        <v>0</v>
      </c>
      <c r="BT137" s="241">
        <f>INDEX(연료전지_원본!$A$4:$KY$369,MATCH($A137,연료전지_원본!$A$4:$A$369,0),MATCH($BT$4,연료전지_원본!$A$4:$KY$4,0))</f>
        <v>0</v>
      </c>
      <c r="BU137" s="241">
        <f>INDEX(연료전지_원본!$A$4:$KY$369,MATCH($A137,연료전지_원본!$A$4:$A$369,0),MATCH($BU$4,연료전지_원본!$A$4:$KY$4,0))</f>
        <v>0</v>
      </c>
      <c r="BV137" s="241">
        <f>INDEX(연료전지_원본!$A$4:$KY$369,MATCH($A137,연료전지_원본!$A$4:$A$369,0),MATCH($BV$4,연료전지_원본!$A$4:$KY$4,0))</f>
        <v>0</v>
      </c>
      <c r="BW137" s="241">
        <f>INDEX(연료전지_원본!$A$4:$KY$369,MATCH($A137,연료전지_원본!$A$4:$A$369,0),MATCH($BW$4,연료전지_원본!$A$4:$KY$4,0))</f>
        <v>0</v>
      </c>
      <c r="BX137" s="241">
        <f>INDEX(연료전지_원본!$A$4:$KY$369,MATCH($A137,연료전지_원본!$A$4:$A$369,0),MATCH($BX$4,연료전지_원본!$A$4:$KY$4,0))</f>
        <v>0</v>
      </c>
      <c r="BY137" s="241">
        <f>INDEX(연료전지_원본!$A$4:$KY$369,MATCH($A137,연료전지_원본!$A$4:$A$369,0),MATCH($BY$4,연료전지_원본!$A$4:$KY$4,0))</f>
        <v>0</v>
      </c>
      <c r="BZ137" s="241">
        <f>INDEX(연료전지_원본!$A$4:$KY$369,MATCH($A137,연료전지_원본!$A$4:$A$369,0),MATCH($BZ$4,연료전지_원본!$A$4:$KY$4,0))</f>
        <v>0</v>
      </c>
      <c r="CA137" s="241">
        <f>INDEX(연료전지_원본!$A$4:$KY$369,MATCH($A137,연료전지_원본!$A$4:$A$369,0),MATCH($CA$4,연료전지_원본!$A$4:$KY$4,0))</f>
        <v>0</v>
      </c>
      <c r="CB137" s="241">
        <f>INDEX(연료전지_원본!$A$4:$KY$369,MATCH($A137,연료전지_원본!$A$4:$A$369,0),MATCH($CB$4,연료전지_원본!$A$4:$KY$4,0))</f>
        <v>0</v>
      </c>
      <c r="CC137" s="242">
        <f>INDEX(연료전지_원본!$A$4:$KY$369,MATCH($A137,연료전지_원본!$A$4:$A$369,0),MATCH($CC$4,연료전지_원본!$A$4:$KY$4,0))</f>
        <v>0</v>
      </c>
      <c r="CD137" s="250">
        <f>INDEX(연료전지_원본!$KB$4:$KX$369,MATCH($A137,연료전지_원본!$KB$4:$KB$369,0), MATCH(CD$4,연료전지_원본!$KB$4:$KX$4,0))*1000</f>
        <v>0</v>
      </c>
      <c r="CE137" s="250">
        <f>INDEX(연료전지_원본!$KB$4:$KX$369,MATCH($A137,연료전지_원본!$KB$4:$KB$369,0), MATCH(CE$4,연료전지_원본!$KB$4:$KX$4,0))*1000</f>
        <v>0</v>
      </c>
      <c r="CF137" s="250">
        <f>INDEX(연료전지_원본!$KB$4:$KX$369,MATCH($A137,연료전지_원본!$KB$4:$KB$369,0), MATCH(CF$4,연료전지_원본!$KB$4:$KX$4,0))*1000</f>
        <v>0</v>
      </c>
      <c r="CG137" s="250">
        <f>INDEX(연료전지_원본!$KB$4:$KX$369,MATCH($A137,연료전지_원본!$KB$4:$KB$369,0), MATCH(CG$4,연료전지_원본!$KB$4:$KX$4,0))*1000</f>
        <v>0</v>
      </c>
      <c r="CH137" s="250">
        <f>INDEX(연료전지_원본!$KB$4:$KX$369,MATCH($A137,연료전지_원본!$KB$4:$KB$369,0), MATCH(CH$4,연료전지_원본!$KB$4:$KX$4,0))*1000</f>
        <v>0</v>
      </c>
      <c r="CI137" s="250">
        <f>INDEX(연료전지_원본!$KB$4:$KX$369,MATCH($A137,연료전지_원본!$KB$4:$KB$369,0), MATCH(CI$4,연료전지_원본!$KB$4:$KX$4,0))*1000</f>
        <v>0</v>
      </c>
      <c r="CJ137" s="250">
        <f>INDEX(연료전지_원본!$KB$4:$KX$369,MATCH($A137,연료전지_원본!$KB$4:$KB$369,0), MATCH(CJ$4,연료전지_원본!$KB$4:$KX$4,0))*1000</f>
        <v>0</v>
      </c>
      <c r="CK137" s="250">
        <f>INDEX(연료전지_원본!$KB$4:$KX$369,MATCH($A137,연료전지_원본!$KB$4:$KB$369,0), MATCH(CK$4,연료전지_원본!$KB$4:$KX$4,0))*1000</f>
        <v>0</v>
      </c>
      <c r="CL137" s="250">
        <f>INDEX(연료전지_원본!$KB$4:$KX$369,MATCH($A137,연료전지_원본!$KB$4:$KB$369,0), MATCH(CL$4,연료전지_원본!$KB$4:$KX$4,0))*1000</f>
        <v>0</v>
      </c>
      <c r="CM137" s="250">
        <f>INDEX(연료전지_원본!$KB$4:$KX$369,MATCH($A137,연료전지_원본!$KB$4:$KB$369,0), MATCH(CM$4,연료전지_원본!$KB$4:$KX$4,0))*1000</f>
        <v>0</v>
      </c>
      <c r="CN137" s="250">
        <f>INDEX(연료전지_원본!$KB$4:$KX$369,MATCH($A137,연료전지_원본!$KB$4:$KB$369,0), MATCH(CN$4,연료전지_원본!$KB$4:$KX$4,0))*1000</f>
        <v>0</v>
      </c>
      <c r="CO137" s="250">
        <f>INDEX(연료전지_원본!$KB$4:$KX$369,MATCH($A137,연료전지_원본!$KB$4:$KB$369,0), MATCH(CO$4,연료전지_원본!$KB$4:$KX$4,0))*1000</f>
        <v>0</v>
      </c>
      <c r="CP137" s="250">
        <f>INDEX(연료전지_원본!$KB$4:$KX$369,MATCH($A137,연료전지_원본!$KB$4:$KB$369,0), MATCH(CP$4,연료전지_원본!$KB$4:$KX$4,0))*1000</f>
        <v>0</v>
      </c>
      <c r="CQ137" s="250">
        <f>INDEX(연료전지_원본!$KB$4:$KX$369,MATCH($A137,연료전지_원본!$KB$4:$KB$369,0), MATCH(CQ$4,연료전지_원본!$KB$4:$KX$4,0))*1000</f>
        <v>0</v>
      </c>
      <c r="CR137" s="250">
        <f>INDEX(연료전지_원본!$KB$4:$KX$369,MATCH($A137,연료전지_원본!$KB$4:$KB$369,0), MATCH(CR$4,연료전지_원본!$KB$4:$KX$4,0))*1000</f>
        <v>0</v>
      </c>
      <c r="CS137" s="250">
        <f>INDEX(연료전지_원본!$KB$4:$KX$369,MATCH($A137,연료전지_원본!$KB$4:$KB$369,0), MATCH(CS$4,연료전지_원본!$KB$4:$KX$4,0))*1000</f>
        <v>0</v>
      </c>
      <c r="CT137" s="250">
        <f>INDEX(연료전지_원본!$KB$4:$KX$369,MATCH($A137,연료전지_원본!$KB$4:$KB$369,0), MATCH(CT$4,연료전지_원본!$KB$4:$KX$4,0))*1000</f>
        <v>0</v>
      </c>
      <c r="CU137" s="250">
        <f>INDEX(연료전지_원본!$KB$4:$KX$369,MATCH($A137,연료전지_원본!$KB$4:$KB$369,0), MATCH(CU$4,연료전지_원본!$KB$4:$KX$4,0))*1000</f>
        <v>0</v>
      </c>
      <c r="CV137" s="250">
        <f>INDEX(연료전지_원본!$KB$4:$KX$369,MATCH($A137,연료전지_원본!$KB$4:$KB$369,0), MATCH(CV$4,연료전지_원본!$KB$4:$KX$4,0))*1000</f>
        <v>0</v>
      </c>
      <c r="CW137" s="250">
        <f>INDEX(연료전지_원본!$KB$4:$KX$369,MATCH($A137,연료전지_원본!$KB$4:$KB$369,0), MATCH(CW$4,연료전지_원본!$KB$4:$KX$4,0))*1000</f>
        <v>0</v>
      </c>
      <c r="CX137" s="250">
        <f>INDEX(연료전지_원본!$KB$4:$KX$369,MATCH($A137,연료전지_원본!$KB$4:$KB$369,0), MATCH(CX$4,연료전지_원본!$KB$4:$KX$4,0))*1000</f>
        <v>0</v>
      </c>
      <c r="CY137" s="250">
        <f>INDEX(연료전지_원본!$KB$4:$KX$369,MATCH($A137,연료전지_원본!$KB$4:$KB$369,0), MATCH(CY$4,연료전지_원본!$KB$4:$KX$4,0))*1000</f>
        <v>0</v>
      </c>
      <c r="DV137" s="30">
        <f t="shared" si="623"/>
        <v>0</v>
      </c>
    </row>
    <row r="138" spans="1:126">
      <c r="A138" s="6">
        <v>46155</v>
      </c>
      <c r="B138" s="15">
        <f>운전실적_원본!B138</f>
        <v>0</v>
      </c>
      <c r="C138" s="16" t="str">
        <f t="shared" si="629"/>
        <v/>
      </c>
      <c r="D138" s="12">
        <f>운전실적_원본!C138</f>
        <v>0</v>
      </c>
      <c r="E138" s="12" t="str">
        <f t="shared" si="630"/>
        <v/>
      </c>
      <c r="F138" s="12">
        <f>운전실적_원본!D138</f>
        <v>0</v>
      </c>
      <c r="G138" s="16" t="str">
        <f t="shared" si="631"/>
        <v/>
      </c>
      <c r="H138" s="15">
        <f>운전실적_원본!E138</f>
        <v>0</v>
      </c>
      <c r="I138" s="16" t="str">
        <f t="shared" si="632"/>
        <v/>
      </c>
      <c r="J138" s="15">
        <f>운전실적_원본!F138</f>
        <v>0</v>
      </c>
      <c r="K138" s="16" t="str">
        <f t="shared" si="632"/>
        <v/>
      </c>
      <c r="L138" s="32">
        <f>운전실적_원본!G138</f>
        <v>0</v>
      </c>
      <c r="M138" s="31" t="str">
        <f t="shared" ref="M138" si="809">IF(OR(LEN(L138)=0,L138=0),"",L138-L137)</f>
        <v/>
      </c>
      <c r="N138" s="15">
        <f>운전실적_원본!H138</f>
        <v>0</v>
      </c>
      <c r="O138" s="16" t="str">
        <f t="shared" ref="O138" si="810">IF(OR(LEN(N138)=0,N138=0),"",N138-N137)</f>
        <v/>
      </c>
      <c r="P138" s="15">
        <f>운전실적_원본!I138</f>
        <v>0</v>
      </c>
      <c r="Q138" s="16" t="str">
        <f t="shared" ref="Q138" si="811">IF(OR(LEN(P138)=0,P138=0),"",P138-P137)</f>
        <v/>
      </c>
      <c r="R138" s="18">
        <f>운전실적_원본!J138</f>
        <v>0</v>
      </c>
      <c r="S138" s="19" t="str">
        <f t="shared" ref="S138" si="812">IF(OR(LEN(R138)=0,R138=0),"",R138-R137)</f>
        <v/>
      </c>
      <c r="T138" s="18">
        <f>운전실적_원본!K138</f>
        <v>0</v>
      </c>
      <c r="U138" s="19" t="str">
        <f t="shared" si="637"/>
        <v/>
      </c>
      <c r="V138" s="12">
        <f>운전실적_원본!L138</f>
        <v>0</v>
      </c>
      <c r="W138" s="16" t="str">
        <f t="shared" ref="W138" si="813">IF(OR(LEN(V138)=0,V138=0),"",V138-V137)</f>
        <v/>
      </c>
      <c r="X138" s="10">
        <f>운전실적_원본!M138</f>
        <v>0</v>
      </c>
      <c r="Y138" s="10">
        <f>운전실적_원본!N138</f>
        <v>0</v>
      </c>
      <c r="Z138" s="10">
        <f>운전실적_원본!O138</f>
        <v>0</v>
      </c>
      <c r="AA138" s="10">
        <f>운전실적_원본!P138</f>
        <v>0</v>
      </c>
      <c r="AB138" s="10">
        <f>운전실적_원본!Q138</f>
        <v>0</v>
      </c>
      <c r="AC138" s="20">
        <f>운전실적_원본!R138</f>
        <v>0</v>
      </c>
      <c r="AD138" s="109">
        <f>운전실적_원본!S138</f>
        <v>0</v>
      </c>
      <c r="AE138" s="110">
        <f>운전실적_원본!T138</f>
        <v>0</v>
      </c>
      <c r="AF138" s="110">
        <f>운전실적_원본!U138</f>
        <v>0</v>
      </c>
      <c r="AG138" s="110">
        <f>운전실적_원본!V138</f>
        <v>0</v>
      </c>
      <c r="AH138" s="109">
        <f t="shared" si="791"/>
        <v>0</v>
      </c>
      <c r="AI138" s="110">
        <f t="shared" si="798"/>
        <v>0</v>
      </c>
      <c r="AJ138" s="110">
        <f>운전실적_원본!Y138</f>
        <v>0</v>
      </c>
      <c r="AK138" s="110">
        <f>운전실적_원본!Z138</f>
        <v>0</v>
      </c>
      <c r="AL138" s="106"/>
      <c r="AM138" s="105"/>
      <c r="AN138" s="105"/>
      <c r="AO138" s="105"/>
      <c r="AP138" s="105"/>
      <c r="AQ138" s="108"/>
      <c r="AR138" s="105"/>
      <c r="AS138" s="105"/>
      <c r="AT138" s="102"/>
      <c r="AU138" s="102"/>
      <c r="AV138" s="102"/>
      <c r="AW138" s="102"/>
      <c r="AX138" s="32">
        <f>운전실적_원본!W138</f>
        <v>0</v>
      </c>
      <c r="AY138" s="11">
        <f>운전실적_원본!X138</f>
        <v>0</v>
      </c>
      <c r="AZ138" s="11">
        <f>운전실적_원본!Y138</f>
        <v>0</v>
      </c>
      <c r="BA138" s="11">
        <f>운전실적_원본!Z138</f>
        <v>0</v>
      </c>
      <c r="BB138" s="11">
        <f>운전실적_원본!AA138</f>
        <v>0</v>
      </c>
      <c r="BC138" s="11">
        <f>운전실적_원본!AB138</f>
        <v>0</v>
      </c>
      <c r="BD138" s="32" t="str">
        <f t="shared" si="784"/>
        <v>-</v>
      </c>
      <c r="BE138" s="11" t="str">
        <f t="shared" si="792"/>
        <v>-</v>
      </c>
      <c r="BF138" s="11">
        <f>운전실적_원본!AE138</f>
        <v>0</v>
      </c>
      <c r="BG138" s="31">
        <f t="shared" si="785"/>
        <v>0</v>
      </c>
      <c r="BH138" s="241">
        <f>INDEX(연료전지_원본!$A$4:$KY$369,MATCH($A138,연료전지_원본!$A$4:$A$369,0),MATCH($BH$4,연료전지_원본!$A$4:$KY$4,0))</f>
        <v>0</v>
      </c>
      <c r="BI138" s="241">
        <f>INDEX(연료전지_원본!$A$4:$KY$369,MATCH($A138,연료전지_원본!$A$4:$A$369,0),MATCH($BI$4,연료전지_원본!$A$4:$KY$4,0))</f>
        <v>0</v>
      </c>
      <c r="BJ138" s="241">
        <f>INDEX(연료전지_원본!$A$4:$KY$369,MATCH($A138,연료전지_원본!$A$4:$A$369,0),MATCH($BJ$4,연료전지_원본!$A$4:$KY$4,0))</f>
        <v>0</v>
      </c>
      <c r="BK138" s="241">
        <f>INDEX(연료전지_원본!$A$4:$KY$369,MATCH($A138,연료전지_원본!$A$4:$A$369,0),MATCH($BK$4,연료전지_원본!$A$4:$KY$4,0))</f>
        <v>0</v>
      </c>
      <c r="BL138" s="241">
        <f>INDEX(연료전지_원본!$A$4:$KY$369,MATCH($A138,연료전지_원본!$A$4:$A$369,0),MATCH($BL$4,연료전지_원본!$A$4:$KY$4,0))</f>
        <v>0</v>
      </c>
      <c r="BM138" s="241">
        <f>INDEX(연료전지_원본!$A$4:$KY$369,MATCH($A138,연료전지_원본!$A$4:$A$369,0),MATCH($BM$4,연료전지_원본!$A$4:$KY$4,0))</f>
        <v>0</v>
      </c>
      <c r="BN138" s="241">
        <f>INDEX(연료전지_원본!$A$4:$KY$369,MATCH($A138,연료전지_원본!$A$4:$A$369,0),MATCH($BN$4,연료전지_원본!$A$4:$KY$4,0))</f>
        <v>0</v>
      </c>
      <c r="BO138" s="241">
        <f>INDEX(연료전지_원본!$A$4:$KY$369,MATCH($A138,연료전지_원본!$A$4:$A$369,0),MATCH($BO$4,연료전지_원본!$A$4:$KY$4,0))</f>
        <v>0</v>
      </c>
      <c r="BP138" s="241">
        <f>INDEX(연료전지_원본!$A$4:$KY$369,MATCH($A138,연료전지_원본!$A$4:$A$369,0),MATCH($BP$4,연료전지_원본!$A$4:$KY$4,0))</f>
        <v>0</v>
      </c>
      <c r="BQ138" s="241">
        <f>INDEX(연료전지_원본!$A$4:$KY$369,MATCH($A138,연료전지_원본!$A$4:$A$369,0),MATCH($BQ$4,연료전지_원본!$A$4:$KY$4,0))</f>
        <v>0</v>
      </c>
      <c r="BR138" s="241">
        <f>INDEX(연료전지_원본!$A$4:$KY$369,MATCH($A138,연료전지_원본!$A$4:$A$369,0),MATCH($BR$4,연료전지_원본!$A$4:$KY$4,0))</f>
        <v>0</v>
      </c>
      <c r="BS138" s="241">
        <f>INDEX(연료전지_원본!$A$4:$KY$369,MATCH($A138,연료전지_원본!$A$4:$A$369,0),MATCH($BS$4,연료전지_원본!$A$4:$KY$4,0))</f>
        <v>0</v>
      </c>
      <c r="BT138" s="241">
        <f>INDEX(연료전지_원본!$A$4:$KY$369,MATCH($A138,연료전지_원본!$A$4:$A$369,0),MATCH($BT$4,연료전지_원본!$A$4:$KY$4,0))</f>
        <v>0</v>
      </c>
      <c r="BU138" s="241">
        <f>INDEX(연료전지_원본!$A$4:$KY$369,MATCH($A138,연료전지_원본!$A$4:$A$369,0),MATCH($BU$4,연료전지_원본!$A$4:$KY$4,0))</f>
        <v>0</v>
      </c>
      <c r="BV138" s="241">
        <f>INDEX(연료전지_원본!$A$4:$KY$369,MATCH($A138,연료전지_원본!$A$4:$A$369,0),MATCH($BV$4,연료전지_원본!$A$4:$KY$4,0))</f>
        <v>0</v>
      </c>
      <c r="BW138" s="241">
        <f>INDEX(연료전지_원본!$A$4:$KY$369,MATCH($A138,연료전지_원본!$A$4:$A$369,0),MATCH($BW$4,연료전지_원본!$A$4:$KY$4,0))</f>
        <v>0</v>
      </c>
      <c r="BX138" s="241">
        <f>INDEX(연료전지_원본!$A$4:$KY$369,MATCH($A138,연료전지_원본!$A$4:$A$369,0),MATCH($BX$4,연료전지_원본!$A$4:$KY$4,0))</f>
        <v>0</v>
      </c>
      <c r="BY138" s="241">
        <f>INDEX(연료전지_원본!$A$4:$KY$369,MATCH($A138,연료전지_원본!$A$4:$A$369,0),MATCH($BY$4,연료전지_원본!$A$4:$KY$4,0))</f>
        <v>0</v>
      </c>
      <c r="BZ138" s="241">
        <f>INDEX(연료전지_원본!$A$4:$KY$369,MATCH($A138,연료전지_원본!$A$4:$A$369,0),MATCH($BZ$4,연료전지_원본!$A$4:$KY$4,0))</f>
        <v>0</v>
      </c>
      <c r="CA138" s="241">
        <f>INDEX(연료전지_원본!$A$4:$KY$369,MATCH($A138,연료전지_원본!$A$4:$A$369,0),MATCH($CA$4,연료전지_원본!$A$4:$KY$4,0))</f>
        <v>0</v>
      </c>
      <c r="CB138" s="241">
        <f>INDEX(연료전지_원본!$A$4:$KY$369,MATCH($A138,연료전지_원본!$A$4:$A$369,0),MATCH($CB$4,연료전지_원본!$A$4:$KY$4,0))</f>
        <v>0</v>
      </c>
      <c r="CC138" s="242">
        <f>INDEX(연료전지_원본!$A$4:$KY$369,MATCH($A138,연료전지_원본!$A$4:$A$369,0),MATCH($CC$4,연료전지_원본!$A$4:$KY$4,0))</f>
        <v>0</v>
      </c>
      <c r="CD138" s="250">
        <f>INDEX(연료전지_원본!$KB$4:$KX$369,MATCH($A138,연료전지_원본!$KB$4:$KB$369,0), MATCH(CD$4,연료전지_원본!$KB$4:$KX$4,0))*1000</f>
        <v>0</v>
      </c>
      <c r="CE138" s="250">
        <f>INDEX(연료전지_원본!$KB$4:$KX$369,MATCH($A138,연료전지_원본!$KB$4:$KB$369,0), MATCH(CE$4,연료전지_원본!$KB$4:$KX$4,0))*1000</f>
        <v>0</v>
      </c>
      <c r="CF138" s="250">
        <f>INDEX(연료전지_원본!$KB$4:$KX$369,MATCH($A138,연료전지_원본!$KB$4:$KB$369,0), MATCH(CF$4,연료전지_원본!$KB$4:$KX$4,0))*1000</f>
        <v>0</v>
      </c>
      <c r="CG138" s="250">
        <f>INDEX(연료전지_원본!$KB$4:$KX$369,MATCH($A138,연료전지_원본!$KB$4:$KB$369,0), MATCH(CG$4,연료전지_원본!$KB$4:$KX$4,0))*1000</f>
        <v>0</v>
      </c>
      <c r="CH138" s="250">
        <f>INDEX(연료전지_원본!$KB$4:$KX$369,MATCH($A138,연료전지_원본!$KB$4:$KB$369,0), MATCH(CH$4,연료전지_원본!$KB$4:$KX$4,0))*1000</f>
        <v>0</v>
      </c>
      <c r="CI138" s="250">
        <f>INDEX(연료전지_원본!$KB$4:$KX$369,MATCH($A138,연료전지_원본!$KB$4:$KB$369,0), MATCH(CI$4,연료전지_원본!$KB$4:$KX$4,0))*1000</f>
        <v>0</v>
      </c>
      <c r="CJ138" s="250">
        <f>INDEX(연료전지_원본!$KB$4:$KX$369,MATCH($A138,연료전지_원본!$KB$4:$KB$369,0), MATCH(CJ$4,연료전지_원본!$KB$4:$KX$4,0))*1000</f>
        <v>0</v>
      </c>
      <c r="CK138" s="250">
        <f>INDEX(연료전지_원본!$KB$4:$KX$369,MATCH($A138,연료전지_원본!$KB$4:$KB$369,0), MATCH(CK$4,연료전지_원본!$KB$4:$KX$4,0))*1000</f>
        <v>0</v>
      </c>
      <c r="CL138" s="250">
        <f>INDEX(연료전지_원본!$KB$4:$KX$369,MATCH($A138,연료전지_원본!$KB$4:$KB$369,0), MATCH(CL$4,연료전지_원본!$KB$4:$KX$4,0))*1000</f>
        <v>0</v>
      </c>
      <c r="CM138" s="250">
        <f>INDEX(연료전지_원본!$KB$4:$KX$369,MATCH($A138,연료전지_원본!$KB$4:$KB$369,0), MATCH(CM$4,연료전지_원본!$KB$4:$KX$4,0))*1000</f>
        <v>0</v>
      </c>
      <c r="CN138" s="250">
        <f>INDEX(연료전지_원본!$KB$4:$KX$369,MATCH($A138,연료전지_원본!$KB$4:$KB$369,0), MATCH(CN$4,연료전지_원본!$KB$4:$KX$4,0))*1000</f>
        <v>0</v>
      </c>
      <c r="CO138" s="250">
        <f>INDEX(연료전지_원본!$KB$4:$KX$369,MATCH($A138,연료전지_원본!$KB$4:$KB$369,0), MATCH(CO$4,연료전지_원본!$KB$4:$KX$4,0))*1000</f>
        <v>0</v>
      </c>
      <c r="CP138" s="250">
        <f>INDEX(연료전지_원본!$KB$4:$KX$369,MATCH($A138,연료전지_원본!$KB$4:$KB$369,0), MATCH(CP$4,연료전지_원본!$KB$4:$KX$4,0))*1000</f>
        <v>0</v>
      </c>
      <c r="CQ138" s="250">
        <f>INDEX(연료전지_원본!$KB$4:$KX$369,MATCH($A138,연료전지_원본!$KB$4:$KB$369,0), MATCH(CQ$4,연료전지_원본!$KB$4:$KX$4,0))*1000</f>
        <v>0</v>
      </c>
      <c r="CR138" s="250">
        <f>INDEX(연료전지_원본!$KB$4:$KX$369,MATCH($A138,연료전지_원본!$KB$4:$KB$369,0), MATCH(CR$4,연료전지_원본!$KB$4:$KX$4,0))*1000</f>
        <v>0</v>
      </c>
      <c r="CS138" s="250">
        <f>INDEX(연료전지_원본!$KB$4:$KX$369,MATCH($A138,연료전지_원본!$KB$4:$KB$369,0), MATCH(CS$4,연료전지_원본!$KB$4:$KX$4,0))*1000</f>
        <v>0</v>
      </c>
      <c r="CT138" s="250">
        <f>INDEX(연료전지_원본!$KB$4:$KX$369,MATCH($A138,연료전지_원본!$KB$4:$KB$369,0), MATCH(CT$4,연료전지_원본!$KB$4:$KX$4,0))*1000</f>
        <v>0</v>
      </c>
      <c r="CU138" s="250">
        <f>INDEX(연료전지_원본!$KB$4:$KX$369,MATCH($A138,연료전지_원본!$KB$4:$KB$369,0), MATCH(CU$4,연료전지_원본!$KB$4:$KX$4,0))*1000</f>
        <v>0</v>
      </c>
      <c r="CV138" s="250">
        <f>INDEX(연료전지_원본!$KB$4:$KX$369,MATCH($A138,연료전지_원본!$KB$4:$KB$369,0), MATCH(CV$4,연료전지_원본!$KB$4:$KX$4,0))*1000</f>
        <v>0</v>
      </c>
      <c r="CW138" s="250">
        <f>INDEX(연료전지_원본!$KB$4:$KX$369,MATCH($A138,연료전지_원본!$KB$4:$KB$369,0), MATCH(CW$4,연료전지_원본!$KB$4:$KX$4,0))*1000</f>
        <v>0</v>
      </c>
      <c r="CX138" s="250">
        <f>INDEX(연료전지_원본!$KB$4:$KX$369,MATCH($A138,연료전지_원본!$KB$4:$KB$369,0), MATCH(CX$4,연료전지_원본!$KB$4:$KX$4,0))*1000</f>
        <v>0</v>
      </c>
      <c r="CY138" s="250">
        <f>INDEX(연료전지_원본!$KB$4:$KX$369,MATCH($A138,연료전지_원본!$KB$4:$KB$369,0), MATCH(CY$4,연료전지_원본!$KB$4:$KX$4,0))*1000</f>
        <v>0</v>
      </c>
      <c r="DV138" s="30">
        <f t="shared" si="623"/>
        <v>0</v>
      </c>
    </row>
    <row r="139" spans="1:126">
      <c r="A139" s="6">
        <v>46156</v>
      </c>
      <c r="B139" s="15">
        <f>운전실적_원본!B139</f>
        <v>0</v>
      </c>
      <c r="C139" s="16" t="str">
        <f t="shared" si="629"/>
        <v/>
      </c>
      <c r="D139" s="12">
        <f>운전실적_원본!C139</f>
        <v>0</v>
      </c>
      <c r="E139" s="12" t="str">
        <f t="shared" si="630"/>
        <v/>
      </c>
      <c r="F139" s="12">
        <f>운전실적_원본!D139</f>
        <v>0</v>
      </c>
      <c r="G139" s="16" t="str">
        <f t="shared" si="631"/>
        <v/>
      </c>
      <c r="H139" s="15">
        <f>운전실적_원본!E139</f>
        <v>0</v>
      </c>
      <c r="I139" s="16" t="str">
        <f t="shared" si="632"/>
        <v/>
      </c>
      <c r="J139" s="15">
        <f>운전실적_원본!F139</f>
        <v>0</v>
      </c>
      <c r="K139" s="16" t="str">
        <f t="shared" si="632"/>
        <v/>
      </c>
      <c r="L139" s="32">
        <f>운전실적_원본!G139</f>
        <v>0</v>
      </c>
      <c r="M139" s="31" t="str">
        <f t="shared" ref="M139" si="814">IF(OR(LEN(L139)=0,L139=0),"",L139-L138)</f>
        <v/>
      </c>
      <c r="N139" s="15">
        <f>운전실적_원본!H139</f>
        <v>0</v>
      </c>
      <c r="O139" s="16" t="str">
        <f t="shared" ref="O139" si="815">IF(OR(LEN(N139)=0,N139=0),"",N139-N138)</f>
        <v/>
      </c>
      <c r="P139" s="15">
        <f>운전실적_원본!I139</f>
        <v>0</v>
      </c>
      <c r="Q139" s="16" t="str">
        <f t="shared" ref="Q139" si="816">IF(OR(LEN(P139)=0,P139=0),"",P139-P138)</f>
        <v/>
      </c>
      <c r="R139" s="18">
        <f>운전실적_원본!J139</f>
        <v>0</v>
      </c>
      <c r="S139" s="19" t="str">
        <f t="shared" ref="S139" si="817">IF(OR(LEN(R139)=0,R139=0),"",R139-R138)</f>
        <v/>
      </c>
      <c r="T139" s="18">
        <f>운전실적_원본!K139</f>
        <v>0</v>
      </c>
      <c r="U139" s="19" t="str">
        <f t="shared" si="637"/>
        <v/>
      </c>
      <c r="V139" s="12">
        <f>운전실적_원본!L139</f>
        <v>0</v>
      </c>
      <c r="W139" s="16" t="str">
        <f t="shared" ref="W139" si="818">IF(OR(LEN(V139)=0,V139=0),"",V139-V138)</f>
        <v/>
      </c>
      <c r="X139" s="10">
        <f>운전실적_원본!M139</f>
        <v>0</v>
      </c>
      <c r="Y139" s="10">
        <f>운전실적_원본!N139</f>
        <v>0</v>
      </c>
      <c r="Z139" s="10">
        <f>운전실적_원본!O139</f>
        <v>0</v>
      </c>
      <c r="AA139" s="10">
        <f>운전실적_원본!P139</f>
        <v>0</v>
      </c>
      <c r="AB139" s="10">
        <f>운전실적_원본!Q139</f>
        <v>0</v>
      </c>
      <c r="AC139" s="20">
        <f>운전실적_원본!R139</f>
        <v>0</v>
      </c>
      <c r="AD139" s="109">
        <f>운전실적_원본!S139</f>
        <v>0</v>
      </c>
      <c r="AE139" s="110">
        <f>운전실적_원본!T139</f>
        <v>0</v>
      </c>
      <c r="AF139" s="110">
        <f>운전실적_원본!U139</f>
        <v>0</v>
      </c>
      <c r="AG139" s="110">
        <f>운전실적_원본!V139</f>
        <v>0</v>
      </c>
      <c r="AH139" s="109">
        <f t="shared" si="791"/>
        <v>0</v>
      </c>
      <c r="AI139" s="110">
        <f t="shared" si="798"/>
        <v>0</v>
      </c>
      <c r="AJ139" s="110">
        <f>운전실적_원본!Y139</f>
        <v>0</v>
      </c>
      <c r="AK139" s="110">
        <f>운전실적_원본!Z139</f>
        <v>0</v>
      </c>
      <c r="AL139" s="106"/>
      <c r="AM139" s="105"/>
      <c r="AN139" s="105"/>
      <c r="AO139" s="105"/>
      <c r="AP139" s="105"/>
      <c r="AQ139" s="108"/>
      <c r="AR139" s="105"/>
      <c r="AS139" s="105"/>
      <c r="AT139" s="102"/>
      <c r="AU139" s="102"/>
      <c r="AV139" s="102"/>
      <c r="AW139" s="102"/>
      <c r="AX139" s="32">
        <f>운전실적_원본!W139</f>
        <v>0</v>
      </c>
      <c r="AY139" s="11">
        <f>운전실적_원본!X139</f>
        <v>0</v>
      </c>
      <c r="AZ139" s="11">
        <f>운전실적_원본!Y139</f>
        <v>0</v>
      </c>
      <c r="BA139" s="11">
        <f>운전실적_원본!Z139</f>
        <v>0</v>
      </c>
      <c r="BB139" s="11">
        <f>운전실적_원본!AA139</f>
        <v>0</v>
      </c>
      <c r="BC139" s="11">
        <f>운전실적_원본!AB139</f>
        <v>0</v>
      </c>
      <c r="BD139" s="32" t="str">
        <f t="shared" si="784"/>
        <v>-</v>
      </c>
      <c r="BE139" s="11" t="str">
        <f t="shared" si="792"/>
        <v>-</v>
      </c>
      <c r="BF139" s="11">
        <f>운전실적_원본!AE139</f>
        <v>0</v>
      </c>
      <c r="BG139" s="31">
        <f t="shared" si="785"/>
        <v>0</v>
      </c>
      <c r="BH139" s="241">
        <f>INDEX(연료전지_원본!$A$4:$KY$369,MATCH($A139,연료전지_원본!$A$4:$A$369,0),MATCH($BH$4,연료전지_원본!$A$4:$KY$4,0))</f>
        <v>0</v>
      </c>
      <c r="BI139" s="241">
        <f>INDEX(연료전지_원본!$A$4:$KY$369,MATCH($A139,연료전지_원본!$A$4:$A$369,0),MATCH($BI$4,연료전지_원본!$A$4:$KY$4,0))</f>
        <v>0</v>
      </c>
      <c r="BJ139" s="241">
        <f>INDEX(연료전지_원본!$A$4:$KY$369,MATCH($A139,연료전지_원본!$A$4:$A$369,0),MATCH($BJ$4,연료전지_원본!$A$4:$KY$4,0))</f>
        <v>0</v>
      </c>
      <c r="BK139" s="241">
        <f>INDEX(연료전지_원본!$A$4:$KY$369,MATCH($A139,연료전지_원본!$A$4:$A$369,0),MATCH($BK$4,연료전지_원본!$A$4:$KY$4,0))</f>
        <v>0</v>
      </c>
      <c r="BL139" s="241">
        <f>INDEX(연료전지_원본!$A$4:$KY$369,MATCH($A139,연료전지_원본!$A$4:$A$369,0),MATCH($BL$4,연료전지_원본!$A$4:$KY$4,0))</f>
        <v>0</v>
      </c>
      <c r="BM139" s="241">
        <f>INDEX(연료전지_원본!$A$4:$KY$369,MATCH($A139,연료전지_원본!$A$4:$A$369,0),MATCH($BM$4,연료전지_원본!$A$4:$KY$4,0))</f>
        <v>0</v>
      </c>
      <c r="BN139" s="241">
        <f>INDEX(연료전지_원본!$A$4:$KY$369,MATCH($A139,연료전지_원본!$A$4:$A$369,0),MATCH($BN$4,연료전지_원본!$A$4:$KY$4,0))</f>
        <v>0</v>
      </c>
      <c r="BO139" s="241">
        <f>INDEX(연료전지_원본!$A$4:$KY$369,MATCH($A139,연료전지_원본!$A$4:$A$369,0),MATCH($BO$4,연료전지_원본!$A$4:$KY$4,0))</f>
        <v>0</v>
      </c>
      <c r="BP139" s="241">
        <f>INDEX(연료전지_원본!$A$4:$KY$369,MATCH($A139,연료전지_원본!$A$4:$A$369,0),MATCH($BP$4,연료전지_원본!$A$4:$KY$4,0))</f>
        <v>0</v>
      </c>
      <c r="BQ139" s="241">
        <f>INDEX(연료전지_원본!$A$4:$KY$369,MATCH($A139,연료전지_원본!$A$4:$A$369,0),MATCH($BQ$4,연료전지_원본!$A$4:$KY$4,0))</f>
        <v>0</v>
      </c>
      <c r="BR139" s="241">
        <f>INDEX(연료전지_원본!$A$4:$KY$369,MATCH($A139,연료전지_원본!$A$4:$A$369,0),MATCH($BR$4,연료전지_원본!$A$4:$KY$4,0))</f>
        <v>0</v>
      </c>
      <c r="BS139" s="241">
        <f>INDEX(연료전지_원본!$A$4:$KY$369,MATCH($A139,연료전지_원본!$A$4:$A$369,0),MATCH($BS$4,연료전지_원본!$A$4:$KY$4,0))</f>
        <v>0</v>
      </c>
      <c r="BT139" s="241">
        <f>INDEX(연료전지_원본!$A$4:$KY$369,MATCH($A139,연료전지_원본!$A$4:$A$369,0),MATCH($BT$4,연료전지_원본!$A$4:$KY$4,0))</f>
        <v>0</v>
      </c>
      <c r="BU139" s="241">
        <f>INDEX(연료전지_원본!$A$4:$KY$369,MATCH($A139,연료전지_원본!$A$4:$A$369,0),MATCH($BU$4,연료전지_원본!$A$4:$KY$4,0))</f>
        <v>0</v>
      </c>
      <c r="BV139" s="241">
        <f>INDEX(연료전지_원본!$A$4:$KY$369,MATCH($A139,연료전지_원본!$A$4:$A$369,0),MATCH($BV$4,연료전지_원본!$A$4:$KY$4,0))</f>
        <v>0</v>
      </c>
      <c r="BW139" s="241">
        <f>INDEX(연료전지_원본!$A$4:$KY$369,MATCH($A139,연료전지_원본!$A$4:$A$369,0),MATCH($BW$4,연료전지_원본!$A$4:$KY$4,0))</f>
        <v>0</v>
      </c>
      <c r="BX139" s="241">
        <f>INDEX(연료전지_원본!$A$4:$KY$369,MATCH($A139,연료전지_원본!$A$4:$A$369,0),MATCH($BX$4,연료전지_원본!$A$4:$KY$4,0))</f>
        <v>0</v>
      </c>
      <c r="BY139" s="241">
        <f>INDEX(연료전지_원본!$A$4:$KY$369,MATCH($A139,연료전지_원본!$A$4:$A$369,0),MATCH($BY$4,연료전지_원본!$A$4:$KY$4,0))</f>
        <v>0</v>
      </c>
      <c r="BZ139" s="241">
        <f>INDEX(연료전지_원본!$A$4:$KY$369,MATCH($A139,연료전지_원본!$A$4:$A$369,0),MATCH($BZ$4,연료전지_원본!$A$4:$KY$4,0))</f>
        <v>0</v>
      </c>
      <c r="CA139" s="241">
        <f>INDEX(연료전지_원본!$A$4:$KY$369,MATCH($A139,연료전지_원본!$A$4:$A$369,0),MATCH($CA$4,연료전지_원본!$A$4:$KY$4,0))</f>
        <v>0</v>
      </c>
      <c r="CB139" s="241">
        <f>INDEX(연료전지_원본!$A$4:$KY$369,MATCH($A139,연료전지_원본!$A$4:$A$369,0),MATCH($CB$4,연료전지_원본!$A$4:$KY$4,0))</f>
        <v>0</v>
      </c>
      <c r="CC139" s="242">
        <f>INDEX(연료전지_원본!$A$4:$KY$369,MATCH($A139,연료전지_원본!$A$4:$A$369,0),MATCH($CC$4,연료전지_원본!$A$4:$KY$4,0))</f>
        <v>0</v>
      </c>
      <c r="CD139" s="250">
        <f>INDEX(연료전지_원본!$KB$4:$KX$369,MATCH($A139,연료전지_원본!$KB$4:$KB$369,0), MATCH(CD$4,연료전지_원본!$KB$4:$KX$4,0))*1000</f>
        <v>0</v>
      </c>
      <c r="CE139" s="250">
        <f>INDEX(연료전지_원본!$KB$4:$KX$369,MATCH($A139,연료전지_원본!$KB$4:$KB$369,0), MATCH(CE$4,연료전지_원본!$KB$4:$KX$4,0))*1000</f>
        <v>0</v>
      </c>
      <c r="CF139" s="250">
        <f>INDEX(연료전지_원본!$KB$4:$KX$369,MATCH($A139,연료전지_원본!$KB$4:$KB$369,0), MATCH(CF$4,연료전지_원본!$KB$4:$KX$4,0))*1000</f>
        <v>0</v>
      </c>
      <c r="CG139" s="250">
        <f>INDEX(연료전지_원본!$KB$4:$KX$369,MATCH($A139,연료전지_원본!$KB$4:$KB$369,0), MATCH(CG$4,연료전지_원본!$KB$4:$KX$4,0))*1000</f>
        <v>0</v>
      </c>
      <c r="CH139" s="250">
        <f>INDEX(연료전지_원본!$KB$4:$KX$369,MATCH($A139,연료전지_원본!$KB$4:$KB$369,0), MATCH(CH$4,연료전지_원본!$KB$4:$KX$4,0))*1000</f>
        <v>0</v>
      </c>
      <c r="CI139" s="250">
        <f>INDEX(연료전지_원본!$KB$4:$KX$369,MATCH($A139,연료전지_원본!$KB$4:$KB$369,0), MATCH(CI$4,연료전지_원본!$KB$4:$KX$4,0))*1000</f>
        <v>0</v>
      </c>
      <c r="CJ139" s="250">
        <f>INDEX(연료전지_원본!$KB$4:$KX$369,MATCH($A139,연료전지_원본!$KB$4:$KB$369,0), MATCH(CJ$4,연료전지_원본!$KB$4:$KX$4,0))*1000</f>
        <v>0</v>
      </c>
      <c r="CK139" s="250">
        <f>INDEX(연료전지_원본!$KB$4:$KX$369,MATCH($A139,연료전지_원본!$KB$4:$KB$369,0), MATCH(CK$4,연료전지_원본!$KB$4:$KX$4,0))*1000</f>
        <v>0</v>
      </c>
      <c r="CL139" s="250">
        <f>INDEX(연료전지_원본!$KB$4:$KX$369,MATCH($A139,연료전지_원본!$KB$4:$KB$369,0), MATCH(CL$4,연료전지_원본!$KB$4:$KX$4,0))*1000</f>
        <v>0</v>
      </c>
      <c r="CM139" s="250">
        <f>INDEX(연료전지_원본!$KB$4:$KX$369,MATCH($A139,연료전지_원본!$KB$4:$KB$369,0), MATCH(CM$4,연료전지_원본!$KB$4:$KX$4,0))*1000</f>
        <v>0</v>
      </c>
      <c r="CN139" s="250">
        <f>INDEX(연료전지_원본!$KB$4:$KX$369,MATCH($A139,연료전지_원본!$KB$4:$KB$369,0), MATCH(CN$4,연료전지_원본!$KB$4:$KX$4,0))*1000</f>
        <v>0</v>
      </c>
      <c r="CO139" s="250">
        <f>INDEX(연료전지_원본!$KB$4:$KX$369,MATCH($A139,연료전지_원본!$KB$4:$KB$369,0), MATCH(CO$4,연료전지_원본!$KB$4:$KX$4,0))*1000</f>
        <v>0</v>
      </c>
      <c r="CP139" s="250">
        <f>INDEX(연료전지_원본!$KB$4:$KX$369,MATCH($A139,연료전지_원본!$KB$4:$KB$369,0), MATCH(CP$4,연료전지_원본!$KB$4:$KX$4,0))*1000</f>
        <v>0</v>
      </c>
      <c r="CQ139" s="250">
        <f>INDEX(연료전지_원본!$KB$4:$KX$369,MATCH($A139,연료전지_원본!$KB$4:$KB$369,0), MATCH(CQ$4,연료전지_원본!$KB$4:$KX$4,0))*1000</f>
        <v>0</v>
      </c>
      <c r="CR139" s="250">
        <f>INDEX(연료전지_원본!$KB$4:$KX$369,MATCH($A139,연료전지_원본!$KB$4:$KB$369,0), MATCH(CR$4,연료전지_원본!$KB$4:$KX$4,0))*1000</f>
        <v>0</v>
      </c>
      <c r="CS139" s="250">
        <f>INDEX(연료전지_원본!$KB$4:$KX$369,MATCH($A139,연료전지_원본!$KB$4:$KB$369,0), MATCH(CS$4,연료전지_원본!$KB$4:$KX$4,0))*1000</f>
        <v>0</v>
      </c>
      <c r="CT139" s="250">
        <f>INDEX(연료전지_원본!$KB$4:$KX$369,MATCH($A139,연료전지_원본!$KB$4:$KB$369,0), MATCH(CT$4,연료전지_원본!$KB$4:$KX$4,0))*1000</f>
        <v>0</v>
      </c>
      <c r="CU139" s="250">
        <f>INDEX(연료전지_원본!$KB$4:$KX$369,MATCH($A139,연료전지_원본!$KB$4:$KB$369,0), MATCH(CU$4,연료전지_원본!$KB$4:$KX$4,0))*1000</f>
        <v>0</v>
      </c>
      <c r="CV139" s="250">
        <f>INDEX(연료전지_원본!$KB$4:$KX$369,MATCH($A139,연료전지_원본!$KB$4:$KB$369,0), MATCH(CV$4,연료전지_원본!$KB$4:$KX$4,0))*1000</f>
        <v>0</v>
      </c>
      <c r="CW139" s="250">
        <f>INDEX(연료전지_원본!$KB$4:$KX$369,MATCH($A139,연료전지_원본!$KB$4:$KB$369,0), MATCH(CW$4,연료전지_원본!$KB$4:$KX$4,0))*1000</f>
        <v>0</v>
      </c>
      <c r="CX139" s="250">
        <f>INDEX(연료전지_원본!$KB$4:$KX$369,MATCH($A139,연료전지_원본!$KB$4:$KB$369,0), MATCH(CX$4,연료전지_원본!$KB$4:$KX$4,0))*1000</f>
        <v>0</v>
      </c>
      <c r="CY139" s="250">
        <f>INDEX(연료전지_원본!$KB$4:$KX$369,MATCH($A139,연료전지_원본!$KB$4:$KB$369,0), MATCH(CY$4,연료전지_원본!$KB$4:$KX$4,0))*1000</f>
        <v>0</v>
      </c>
      <c r="DV139" s="30">
        <f t="shared" si="623"/>
        <v>0</v>
      </c>
    </row>
    <row r="140" spans="1:126">
      <c r="A140" s="6">
        <v>46157</v>
      </c>
      <c r="B140" s="15">
        <f>운전실적_원본!B140</f>
        <v>0</v>
      </c>
      <c r="C140" s="16" t="str">
        <f t="shared" si="629"/>
        <v/>
      </c>
      <c r="D140" s="12">
        <f>운전실적_원본!C140</f>
        <v>0</v>
      </c>
      <c r="E140" s="12" t="str">
        <f t="shared" si="630"/>
        <v/>
      </c>
      <c r="F140" s="12">
        <f>운전실적_원본!D140</f>
        <v>0</v>
      </c>
      <c r="G140" s="16" t="str">
        <f t="shared" si="631"/>
        <v/>
      </c>
      <c r="H140" s="15">
        <f>운전실적_원본!E140</f>
        <v>0</v>
      </c>
      <c r="I140" s="16" t="str">
        <f t="shared" si="632"/>
        <v/>
      </c>
      <c r="J140" s="15">
        <f>운전실적_원본!F140</f>
        <v>0</v>
      </c>
      <c r="K140" s="16" t="str">
        <f t="shared" si="632"/>
        <v/>
      </c>
      <c r="L140" s="32">
        <f>운전실적_원본!G140</f>
        <v>0</v>
      </c>
      <c r="M140" s="31" t="str">
        <f t="shared" ref="M140" si="819">IF(OR(LEN(L140)=0,L140=0),"",L140-L139)</f>
        <v/>
      </c>
      <c r="N140" s="15">
        <f>운전실적_원본!H140</f>
        <v>0</v>
      </c>
      <c r="O140" s="16" t="str">
        <f t="shared" ref="O140" si="820">IF(OR(LEN(N140)=0,N140=0),"",N140-N139)</f>
        <v/>
      </c>
      <c r="P140" s="15">
        <f>운전실적_원본!I140</f>
        <v>0</v>
      </c>
      <c r="Q140" s="16" t="str">
        <f t="shared" ref="Q140" si="821">IF(OR(LEN(P140)=0,P140=0),"",P140-P139)</f>
        <v/>
      </c>
      <c r="R140" s="18">
        <f>운전실적_원본!J140</f>
        <v>0</v>
      </c>
      <c r="S140" s="19" t="str">
        <f t="shared" ref="S140" si="822">IF(OR(LEN(R140)=0,R140=0),"",R140-R139)</f>
        <v/>
      </c>
      <c r="T140" s="18">
        <f>운전실적_원본!K140</f>
        <v>0</v>
      </c>
      <c r="U140" s="19" t="str">
        <f t="shared" si="637"/>
        <v/>
      </c>
      <c r="V140" s="12">
        <f>운전실적_원본!L140</f>
        <v>0</v>
      </c>
      <c r="W140" s="16" t="str">
        <f t="shared" ref="W140" si="823">IF(OR(LEN(V140)=0,V140=0),"",V140-V139)</f>
        <v/>
      </c>
      <c r="X140" s="10">
        <f>운전실적_원본!M140</f>
        <v>0</v>
      </c>
      <c r="Y140" s="10">
        <f>운전실적_원본!N140</f>
        <v>0</v>
      </c>
      <c r="Z140" s="10">
        <f>운전실적_원본!O140</f>
        <v>0</v>
      </c>
      <c r="AA140" s="10">
        <f>운전실적_원본!P140</f>
        <v>0</v>
      </c>
      <c r="AB140" s="10">
        <f>운전실적_원본!Q140</f>
        <v>0</v>
      </c>
      <c r="AC140" s="20">
        <f>운전실적_원본!R140</f>
        <v>0</v>
      </c>
      <c r="AD140" s="109">
        <f>운전실적_원본!S140</f>
        <v>0</v>
      </c>
      <c r="AE140" s="110">
        <f>운전실적_원본!T140</f>
        <v>0</v>
      </c>
      <c r="AF140" s="110">
        <f>운전실적_원본!U140</f>
        <v>0</v>
      </c>
      <c r="AG140" s="110">
        <f>운전실적_원본!V140</f>
        <v>0</v>
      </c>
      <c r="AH140" s="109">
        <f t="shared" si="791"/>
        <v>0</v>
      </c>
      <c r="AI140" s="110">
        <f t="shared" si="798"/>
        <v>0</v>
      </c>
      <c r="AJ140" s="110">
        <f>운전실적_원본!Y140</f>
        <v>0</v>
      </c>
      <c r="AK140" s="110">
        <f>운전실적_원본!Z140</f>
        <v>0</v>
      </c>
      <c r="AL140" s="106"/>
      <c r="AM140" s="105"/>
      <c r="AN140" s="105"/>
      <c r="AO140" s="105"/>
      <c r="AP140" s="105"/>
      <c r="AQ140" s="108"/>
      <c r="AR140" s="105"/>
      <c r="AS140" s="105"/>
      <c r="AT140" s="102"/>
      <c r="AU140" s="102"/>
      <c r="AV140" s="102"/>
      <c r="AW140" s="102"/>
      <c r="AX140" s="32">
        <f>운전실적_원본!W140</f>
        <v>0</v>
      </c>
      <c r="AY140" s="11">
        <f>운전실적_원본!X140</f>
        <v>0</v>
      </c>
      <c r="AZ140" s="11">
        <f>운전실적_원본!Y140</f>
        <v>0</v>
      </c>
      <c r="BA140" s="11">
        <f>운전실적_원본!Z140</f>
        <v>0</v>
      </c>
      <c r="BB140" s="11">
        <f>운전실적_원본!AA140</f>
        <v>0</v>
      </c>
      <c r="BC140" s="11">
        <f>운전실적_원본!AB140</f>
        <v>0</v>
      </c>
      <c r="BD140" s="32" t="str">
        <f t="shared" si="784"/>
        <v>-</v>
      </c>
      <c r="BE140" s="11" t="str">
        <f t="shared" si="792"/>
        <v>-</v>
      </c>
      <c r="BF140" s="11">
        <f>운전실적_원본!AE140</f>
        <v>0</v>
      </c>
      <c r="BG140" s="31">
        <f t="shared" si="785"/>
        <v>0</v>
      </c>
      <c r="BH140" s="241">
        <f>INDEX(연료전지_원본!$A$4:$KY$369,MATCH($A140,연료전지_원본!$A$4:$A$369,0),MATCH($BH$4,연료전지_원본!$A$4:$KY$4,0))</f>
        <v>0</v>
      </c>
      <c r="BI140" s="241">
        <f>INDEX(연료전지_원본!$A$4:$KY$369,MATCH($A140,연료전지_원본!$A$4:$A$369,0),MATCH($BI$4,연료전지_원본!$A$4:$KY$4,0))</f>
        <v>0</v>
      </c>
      <c r="BJ140" s="241">
        <f>INDEX(연료전지_원본!$A$4:$KY$369,MATCH($A140,연료전지_원본!$A$4:$A$369,0),MATCH($BJ$4,연료전지_원본!$A$4:$KY$4,0))</f>
        <v>0</v>
      </c>
      <c r="BK140" s="241">
        <f>INDEX(연료전지_원본!$A$4:$KY$369,MATCH($A140,연료전지_원본!$A$4:$A$369,0),MATCH($BK$4,연료전지_원본!$A$4:$KY$4,0))</f>
        <v>0</v>
      </c>
      <c r="BL140" s="241">
        <f>INDEX(연료전지_원본!$A$4:$KY$369,MATCH($A140,연료전지_원본!$A$4:$A$369,0),MATCH($BL$4,연료전지_원본!$A$4:$KY$4,0))</f>
        <v>0</v>
      </c>
      <c r="BM140" s="241">
        <f>INDEX(연료전지_원본!$A$4:$KY$369,MATCH($A140,연료전지_원본!$A$4:$A$369,0),MATCH($BM$4,연료전지_원본!$A$4:$KY$4,0))</f>
        <v>0</v>
      </c>
      <c r="BN140" s="241">
        <f>INDEX(연료전지_원본!$A$4:$KY$369,MATCH($A140,연료전지_원본!$A$4:$A$369,0),MATCH($BN$4,연료전지_원본!$A$4:$KY$4,0))</f>
        <v>0</v>
      </c>
      <c r="BO140" s="241">
        <f>INDEX(연료전지_원본!$A$4:$KY$369,MATCH($A140,연료전지_원본!$A$4:$A$369,0),MATCH($BO$4,연료전지_원본!$A$4:$KY$4,0))</f>
        <v>0</v>
      </c>
      <c r="BP140" s="241">
        <f>INDEX(연료전지_원본!$A$4:$KY$369,MATCH($A140,연료전지_원본!$A$4:$A$369,0),MATCH($BP$4,연료전지_원본!$A$4:$KY$4,0))</f>
        <v>0</v>
      </c>
      <c r="BQ140" s="241">
        <f>INDEX(연료전지_원본!$A$4:$KY$369,MATCH($A140,연료전지_원본!$A$4:$A$369,0),MATCH($BQ$4,연료전지_원본!$A$4:$KY$4,0))</f>
        <v>0</v>
      </c>
      <c r="BR140" s="241">
        <f>INDEX(연료전지_원본!$A$4:$KY$369,MATCH($A140,연료전지_원본!$A$4:$A$369,0),MATCH($BR$4,연료전지_원본!$A$4:$KY$4,0))</f>
        <v>0</v>
      </c>
      <c r="BS140" s="241">
        <f>INDEX(연료전지_원본!$A$4:$KY$369,MATCH($A140,연료전지_원본!$A$4:$A$369,0),MATCH($BS$4,연료전지_원본!$A$4:$KY$4,0))</f>
        <v>0</v>
      </c>
      <c r="BT140" s="241">
        <f>INDEX(연료전지_원본!$A$4:$KY$369,MATCH($A140,연료전지_원본!$A$4:$A$369,0),MATCH($BT$4,연료전지_원본!$A$4:$KY$4,0))</f>
        <v>0</v>
      </c>
      <c r="BU140" s="241">
        <f>INDEX(연료전지_원본!$A$4:$KY$369,MATCH($A140,연료전지_원본!$A$4:$A$369,0),MATCH($BU$4,연료전지_원본!$A$4:$KY$4,0))</f>
        <v>0</v>
      </c>
      <c r="BV140" s="241">
        <f>INDEX(연료전지_원본!$A$4:$KY$369,MATCH($A140,연료전지_원본!$A$4:$A$369,0),MATCH($BV$4,연료전지_원본!$A$4:$KY$4,0))</f>
        <v>0</v>
      </c>
      <c r="BW140" s="241">
        <f>INDEX(연료전지_원본!$A$4:$KY$369,MATCH($A140,연료전지_원본!$A$4:$A$369,0),MATCH($BW$4,연료전지_원본!$A$4:$KY$4,0))</f>
        <v>0</v>
      </c>
      <c r="BX140" s="241">
        <f>INDEX(연료전지_원본!$A$4:$KY$369,MATCH($A140,연료전지_원본!$A$4:$A$369,0),MATCH($BX$4,연료전지_원본!$A$4:$KY$4,0))</f>
        <v>0</v>
      </c>
      <c r="BY140" s="241">
        <f>INDEX(연료전지_원본!$A$4:$KY$369,MATCH($A140,연료전지_원본!$A$4:$A$369,0),MATCH($BY$4,연료전지_원본!$A$4:$KY$4,0))</f>
        <v>0</v>
      </c>
      <c r="BZ140" s="241">
        <f>INDEX(연료전지_원본!$A$4:$KY$369,MATCH($A140,연료전지_원본!$A$4:$A$369,0),MATCH($BZ$4,연료전지_원본!$A$4:$KY$4,0))</f>
        <v>0</v>
      </c>
      <c r="CA140" s="241">
        <f>INDEX(연료전지_원본!$A$4:$KY$369,MATCH($A140,연료전지_원본!$A$4:$A$369,0),MATCH($CA$4,연료전지_원본!$A$4:$KY$4,0))</f>
        <v>0</v>
      </c>
      <c r="CB140" s="241">
        <f>INDEX(연료전지_원본!$A$4:$KY$369,MATCH($A140,연료전지_원본!$A$4:$A$369,0),MATCH($CB$4,연료전지_원본!$A$4:$KY$4,0))</f>
        <v>0</v>
      </c>
      <c r="CC140" s="242">
        <f>INDEX(연료전지_원본!$A$4:$KY$369,MATCH($A140,연료전지_원본!$A$4:$A$369,0),MATCH($CC$4,연료전지_원본!$A$4:$KY$4,0))</f>
        <v>0</v>
      </c>
      <c r="CD140" s="250">
        <f>INDEX(연료전지_원본!$KB$4:$KX$369,MATCH($A140,연료전지_원본!$KB$4:$KB$369,0), MATCH(CD$4,연료전지_원본!$KB$4:$KX$4,0))*1000</f>
        <v>0</v>
      </c>
      <c r="CE140" s="250">
        <f>INDEX(연료전지_원본!$KB$4:$KX$369,MATCH($A140,연료전지_원본!$KB$4:$KB$369,0), MATCH(CE$4,연료전지_원본!$KB$4:$KX$4,0))*1000</f>
        <v>0</v>
      </c>
      <c r="CF140" s="250">
        <f>INDEX(연료전지_원본!$KB$4:$KX$369,MATCH($A140,연료전지_원본!$KB$4:$KB$369,0), MATCH(CF$4,연료전지_원본!$KB$4:$KX$4,0))*1000</f>
        <v>0</v>
      </c>
      <c r="CG140" s="250">
        <f>INDEX(연료전지_원본!$KB$4:$KX$369,MATCH($A140,연료전지_원본!$KB$4:$KB$369,0), MATCH(CG$4,연료전지_원본!$KB$4:$KX$4,0))*1000</f>
        <v>0</v>
      </c>
      <c r="CH140" s="250">
        <f>INDEX(연료전지_원본!$KB$4:$KX$369,MATCH($A140,연료전지_원본!$KB$4:$KB$369,0), MATCH(CH$4,연료전지_원본!$KB$4:$KX$4,0))*1000</f>
        <v>0</v>
      </c>
      <c r="CI140" s="250">
        <f>INDEX(연료전지_원본!$KB$4:$KX$369,MATCH($A140,연료전지_원본!$KB$4:$KB$369,0), MATCH(CI$4,연료전지_원본!$KB$4:$KX$4,0))*1000</f>
        <v>0</v>
      </c>
      <c r="CJ140" s="250">
        <f>INDEX(연료전지_원본!$KB$4:$KX$369,MATCH($A140,연료전지_원본!$KB$4:$KB$369,0), MATCH(CJ$4,연료전지_원본!$KB$4:$KX$4,0))*1000</f>
        <v>0</v>
      </c>
      <c r="CK140" s="250">
        <f>INDEX(연료전지_원본!$KB$4:$KX$369,MATCH($A140,연료전지_원본!$KB$4:$KB$369,0), MATCH(CK$4,연료전지_원본!$KB$4:$KX$4,0))*1000</f>
        <v>0</v>
      </c>
      <c r="CL140" s="250">
        <f>INDEX(연료전지_원본!$KB$4:$KX$369,MATCH($A140,연료전지_원본!$KB$4:$KB$369,0), MATCH(CL$4,연료전지_원본!$KB$4:$KX$4,0))*1000</f>
        <v>0</v>
      </c>
      <c r="CM140" s="250">
        <f>INDEX(연료전지_원본!$KB$4:$KX$369,MATCH($A140,연료전지_원본!$KB$4:$KB$369,0), MATCH(CM$4,연료전지_원본!$KB$4:$KX$4,0))*1000</f>
        <v>0</v>
      </c>
      <c r="CN140" s="250">
        <f>INDEX(연료전지_원본!$KB$4:$KX$369,MATCH($A140,연료전지_원본!$KB$4:$KB$369,0), MATCH(CN$4,연료전지_원본!$KB$4:$KX$4,0))*1000</f>
        <v>0</v>
      </c>
      <c r="CO140" s="250">
        <f>INDEX(연료전지_원본!$KB$4:$KX$369,MATCH($A140,연료전지_원본!$KB$4:$KB$369,0), MATCH(CO$4,연료전지_원본!$KB$4:$KX$4,0))*1000</f>
        <v>0</v>
      </c>
      <c r="CP140" s="250">
        <f>INDEX(연료전지_원본!$KB$4:$KX$369,MATCH($A140,연료전지_원본!$KB$4:$KB$369,0), MATCH(CP$4,연료전지_원본!$KB$4:$KX$4,0))*1000</f>
        <v>0</v>
      </c>
      <c r="CQ140" s="250">
        <f>INDEX(연료전지_원본!$KB$4:$KX$369,MATCH($A140,연료전지_원본!$KB$4:$KB$369,0), MATCH(CQ$4,연료전지_원본!$KB$4:$KX$4,0))*1000</f>
        <v>0</v>
      </c>
      <c r="CR140" s="250">
        <f>INDEX(연료전지_원본!$KB$4:$KX$369,MATCH($A140,연료전지_원본!$KB$4:$KB$369,0), MATCH(CR$4,연료전지_원본!$KB$4:$KX$4,0))*1000</f>
        <v>0</v>
      </c>
      <c r="CS140" s="250">
        <f>INDEX(연료전지_원본!$KB$4:$KX$369,MATCH($A140,연료전지_원본!$KB$4:$KB$369,0), MATCH(CS$4,연료전지_원본!$KB$4:$KX$4,0))*1000</f>
        <v>0</v>
      </c>
      <c r="CT140" s="250">
        <f>INDEX(연료전지_원본!$KB$4:$KX$369,MATCH($A140,연료전지_원본!$KB$4:$KB$369,0), MATCH(CT$4,연료전지_원본!$KB$4:$KX$4,0))*1000</f>
        <v>0</v>
      </c>
      <c r="CU140" s="250">
        <f>INDEX(연료전지_원본!$KB$4:$KX$369,MATCH($A140,연료전지_원본!$KB$4:$KB$369,0), MATCH(CU$4,연료전지_원본!$KB$4:$KX$4,0))*1000</f>
        <v>0</v>
      </c>
      <c r="CV140" s="250">
        <f>INDEX(연료전지_원본!$KB$4:$KX$369,MATCH($A140,연료전지_원본!$KB$4:$KB$369,0), MATCH(CV$4,연료전지_원본!$KB$4:$KX$4,0))*1000</f>
        <v>0</v>
      </c>
      <c r="CW140" s="250">
        <f>INDEX(연료전지_원본!$KB$4:$KX$369,MATCH($A140,연료전지_원본!$KB$4:$KB$369,0), MATCH(CW$4,연료전지_원본!$KB$4:$KX$4,0))*1000</f>
        <v>0</v>
      </c>
      <c r="CX140" s="250">
        <f>INDEX(연료전지_원본!$KB$4:$KX$369,MATCH($A140,연료전지_원본!$KB$4:$KB$369,0), MATCH(CX$4,연료전지_원본!$KB$4:$KX$4,0))*1000</f>
        <v>0</v>
      </c>
      <c r="CY140" s="250">
        <f>INDEX(연료전지_원본!$KB$4:$KX$369,MATCH($A140,연료전지_원본!$KB$4:$KB$369,0), MATCH(CY$4,연료전지_원본!$KB$4:$KX$4,0))*1000</f>
        <v>0</v>
      </c>
      <c r="DV140" s="30">
        <f t="shared" si="623"/>
        <v>0</v>
      </c>
    </row>
    <row r="141" spans="1:126">
      <c r="A141" s="6">
        <v>46158</v>
      </c>
      <c r="B141" s="15">
        <f>운전실적_원본!B141</f>
        <v>0</v>
      </c>
      <c r="C141" s="16" t="str">
        <f t="shared" si="629"/>
        <v/>
      </c>
      <c r="D141" s="12">
        <f>운전실적_원본!C141</f>
        <v>0</v>
      </c>
      <c r="E141" s="12" t="str">
        <f t="shared" si="630"/>
        <v/>
      </c>
      <c r="F141" s="12">
        <f>운전실적_원본!D141</f>
        <v>0</v>
      </c>
      <c r="G141" s="16" t="str">
        <f t="shared" si="631"/>
        <v/>
      </c>
      <c r="H141" s="15">
        <f>운전실적_원본!E141</f>
        <v>0</v>
      </c>
      <c r="I141" s="16" t="str">
        <f t="shared" si="632"/>
        <v/>
      </c>
      <c r="J141" s="15">
        <f>운전실적_원본!F141</f>
        <v>0</v>
      </c>
      <c r="K141" s="16" t="str">
        <f t="shared" si="632"/>
        <v/>
      </c>
      <c r="L141" s="32">
        <f>운전실적_원본!G141</f>
        <v>0</v>
      </c>
      <c r="M141" s="31" t="str">
        <f t="shared" ref="M141" si="824">IF(OR(LEN(L141)=0,L141=0),"",L141-L140)</f>
        <v/>
      </c>
      <c r="N141" s="15">
        <f>운전실적_원본!H141</f>
        <v>0</v>
      </c>
      <c r="O141" s="16" t="str">
        <f t="shared" ref="O141" si="825">IF(OR(LEN(N141)=0,N141=0),"",N141-N140)</f>
        <v/>
      </c>
      <c r="P141" s="15">
        <f>운전실적_원본!I141</f>
        <v>0</v>
      </c>
      <c r="Q141" s="16" t="str">
        <f t="shared" ref="Q141" si="826">IF(OR(LEN(P141)=0,P141=0),"",P141-P140)</f>
        <v/>
      </c>
      <c r="R141" s="18">
        <f>운전실적_원본!J141</f>
        <v>0</v>
      </c>
      <c r="S141" s="19" t="str">
        <f t="shared" ref="S141" si="827">IF(OR(LEN(R141)=0,R141=0),"",R141-R140)</f>
        <v/>
      </c>
      <c r="T141" s="18">
        <f>운전실적_원본!K141</f>
        <v>0</v>
      </c>
      <c r="U141" s="19" t="str">
        <f t="shared" si="637"/>
        <v/>
      </c>
      <c r="V141" s="12">
        <f>운전실적_원본!L141</f>
        <v>0</v>
      </c>
      <c r="W141" s="16" t="str">
        <f t="shared" ref="W141" si="828">IF(OR(LEN(V141)=0,V141=0),"",V141-V140)</f>
        <v/>
      </c>
      <c r="X141" s="10">
        <f>운전실적_원본!M141</f>
        <v>0</v>
      </c>
      <c r="Y141" s="10">
        <f>운전실적_원본!N141</f>
        <v>0</v>
      </c>
      <c r="Z141" s="10">
        <f>운전실적_원본!O141</f>
        <v>0</v>
      </c>
      <c r="AA141" s="10">
        <f>운전실적_원본!P141</f>
        <v>0</v>
      </c>
      <c r="AB141" s="10">
        <f>운전실적_원본!Q141</f>
        <v>0</v>
      </c>
      <c r="AC141" s="20">
        <f>운전실적_원본!R141</f>
        <v>0</v>
      </c>
      <c r="AD141" s="109">
        <f>운전실적_원본!S141</f>
        <v>0</v>
      </c>
      <c r="AE141" s="110">
        <f>운전실적_원본!T141</f>
        <v>0</v>
      </c>
      <c r="AF141" s="110">
        <f>운전실적_원본!U141</f>
        <v>0</v>
      </c>
      <c r="AG141" s="110">
        <f>운전실적_원본!V141</f>
        <v>0</v>
      </c>
      <c r="AH141" s="109">
        <f t="shared" si="791"/>
        <v>0</v>
      </c>
      <c r="AI141" s="110">
        <f t="shared" si="798"/>
        <v>0</v>
      </c>
      <c r="AJ141" s="110">
        <f>운전실적_원본!Y141</f>
        <v>0</v>
      </c>
      <c r="AK141" s="110">
        <f>운전실적_원본!Z141</f>
        <v>0</v>
      </c>
      <c r="AL141" s="106"/>
      <c r="AM141" s="105"/>
      <c r="AN141" s="105"/>
      <c r="AO141" s="105"/>
      <c r="AP141" s="105"/>
      <c r="AQ141" s="108"/>
      <c r="AR141" s="105"/>
      <c r="AS141" s="105"/>
      <c r="AT141" s="102"/>
      <c r="AU141" s="102"/>
      <c r="AV141" s="102"/>
      <c r="AW141" s="102"/>
      <c r="AX141" s="32">
        <f>운전실적_원본!W141</f>
        <v>0</v>
      </c>
      <c r="AY141" s="11">
        <f>운전실적_원본!X141</f>
        <v>0</v>
      </c>
      <c r="AZ141" s="11">
        <f>운전실적_원본!Y141</f>
        <v>0</v>
      </c>
      <c r="BA141" s="11">
        <f>운전실적_원본!Z141</f>
        <v>0</v>
      </c>
      <c r="BB141" s="11">
        <f>운전실적_원본!AA141</f>
        <v>0</v>
      </c>
      <c r="BC141" s="11">
        <f>운전실적_원본!AB141</f>
        <v>0</v>
      </c>
      <c r="BD141" s="32" t="str">
        <f t="shared" si="784"/>
        <v>-</v>
      </c>
      <c r="BE141" s="11" t="str">
        <f t="shared" si="792"/>
        <v>-</v>
      </c>
      <c r="BF141" s="11">
        <f>운전실적_원본!AE141</f>
        <v>0</v>
      </c>
      <c r="BG141" s="31">
        <f t="shared" si="785"/>
        <v>0</v>
      </c>
      <c r="BH141" s="241">
        <f>INDEX(연료전지_원본!$A$4:$KY$369,MATCH($A141,연료전지_원본!$A$4:$A$369,0),MATCH($BH$4,연료전지_원본!$A$4:$KY$4,0))</f>
        <v>0</v>
      </c>
      <c r="BI141" s="241">
        <f>INDEX(연료전지_원본!$A$4:$KY$369,MATCH($A141,연료전지_원본!$A$4:$A$369,0),MATCH($BI$4,연료전지_원본!$A$4:$KY$4,0))</f>
        <v>0</v>
      </c>
      <c r="BJ141" s="241">
        <f>INDEX(연료전지_원본!$A$4:$KY$369,MATCH($A141,연료전지_원본!$A$4:$A$369,0),MATCH($BJ$4,연료전지_원본!$A$4:$KY$4,0))</f>
        <v>0</v>
      </c>
      <c r="BK141" s="241">
        <f>INDEX(연료전지_원본!$A$4:$KY$369,MATCH($A141,연료전지_원본!$A$4:$A$369,0),MATCH($BK$4,연료전지_원본!$A$4:$KY$4,0))</f>
        <v>0</v>
      </c>
      <c r="BL141" s="241">
        <f>INDEX(연료전지_원본!$A$4:$KY$369,MATCH($A141,연료전지_원본!$A$4:$A$369,0),MATCH($BL$4,연료전지_원본!$A$4:$KY$4,0))</f>
        <v>0</v>
      </c>
      <c r="BM141" s="241">
        <f>INDEX(연료전지_원본!$A$4:$KY$369,MATCH($A141,연료전지_원본!$A$4:$A$369,0),MATCH($BM$4,연료전지_원본!$A$4:$KY$4,0))</f>
        <v>0</v>
      </c>
      <c r="BN141" s="241">
        <f>INDEX(연료전지_원본!$A$4:$KY$369,MATCH($A141,연료전지_원본!$A$4:$A$369,0),MATCH($BN$4,연료전지_원본!$A$4:$KY$4,0))</f>
        <v>0</v>
      </c>
      <c r="BO141" s="241">
        <f>INDEX(연료전지_원본!$A$4:$KY$369,MATCH($A141,연료전지_원본!$A$4:$A$369,0),MATCH($BO$4,연료전지_원본!$A$4:$KY$4,0))</f>
        <v>0</v>
      </c>
      <c r="BP141" s="241">
        <f>INDEX(연료전지_원본!$A$4:$KY$369,MATCH($A141,연료전지_원본!$A$4:$A$369,0),MATCH($BP$4,연료전지_원본!$A$4:$KY$4,0))</f>
        <v>0</v>
      </c>
      <c r="BQ141" s="241">
        <f>INDEX(연료전지_원본!$A$4:$KY$369,MATCH($A141,연료전지_원본!$A$4:$A$369,0),MATCH($BQ$4,연료전지_원본!$A$4:$KY$4,0))</f>
        <v>0</v>
      </c>
      <c r="BR141" s="241">
        <f>INDEX(연료전지_원본!$A$4:$KY$369,MATCH($A141,연료전지_원본!$A$4:$A$369,0),MATCH($BR$4,연료전지_원본!$A$4:$KY$4,0))</f>
        <v>0</v>
      </c>
      <c r="BS141" s="241">
        <f>INDEX(연료전지_원본!$A$4:$KY$369,MATCH($A141,연료전지_원본!$A$4:$A$369,0),MATCH($BS$4,연료전지_원본!$A$4:$KY$4,0))</f>
        <v>0</v>
      </c>
      <c r="BT141" s="241">
        <f>INDEX(연료전지_원본!$A$4:$KY$369,MATCH($A141,연료전지_원본!$A$4:$A$369,0),MATCH($BT$4,연료전지_원본!$A$4:$KY$4,0))</f>
        <v>0</v>
      </c>
      <c r="BU141" s="241">
        <f>INDEX(연료전지_원본!$A$4:$KY$369,MATCH($A141,연료전지_원본!$A$4:$A$369,0),MATCH($BU$4,연료전지_원본!$A$4:$KY$4,0))</f>
        <v>0</v>
      </c>
      <c r="BV141" s="241">
        <f>INDEX(연료전지_원본!$A$4:$KY$369,MATCH($A141,연료전지_원본!$A$4:$A$369,0),MATCH($BV$4,연료전지_원본!$A$4:$KY$4,0))</f>
        <v>0</v>
      </c>
      <c r="BW141" s="241">
        <f>INDEX(연료전지_원본!$A$4:$KY$369,MATCH($A141,연료전지_원본!$A$4:$A$369,0),MATCH($BW$4,연료전지_원본!$A$4:$KY$4,0))</f>
        <v>0</v>
      </c>
      <c r="BX141" s="241">
        <f>INDEX(연료전지_원본!$A$4:$KY$369,MATCH($A141,연료전지_원본!$A$4:$A$369,0),MATCH($BX$4,연료전지_원본!$A$4:$KY$4,0))</f>
        <v>0</v>
      </c>
      <c r="BY141" s="241">
        <f>INDEX(연료전지_원본!$A$4:$KY$369,MATCH($A141,연료전지_원본!$A$4:$A$369,0),MATCH($BY$4,연료전지_원본!$A$4:$KY$4,0))</f>
        <v>0</v>
      </c>
      <c r="BZ141" s="241">
        <f>INDEX(연료전지_원본!$A$4:$KY$369,MATCH($A141,연료전지_원본!$A$4:$A$369,0),MATCH($BZ$4,연료전지_원본!$A$4:$KY$4,0))</f>
        <v>0</v>
      </c>
      <c r="CA141" s="241">
        <f>INDEX(연료전지_원본!$A$4:$KY$369,MATCH($A141,연료전지_원본!$A$4:$A$369,0),MATCH($CA$4,연료전지_원본!$A$4:$KY$4,0))</f>
        <v>0</v>
      </c>
      <c r="CB141" s="241">
        <f>INDEX(연료전지_원본!$A$4:$KY$369,MATCH($A141,연료전지_원본!$A$4:$A$369,0),MATCH($CB$4,연료전지_원본!$A$4:$KY$4,0))</f>
        <v>0</v>
      </c>
      <c r="CC141" s="242">
        <f>INDEX(연료전지_원본!$A$4:$KY$369,MATCH($A141,연료전지_원본!$A$4:$A$369,0),MATCH($CC$4,연료전지_원본!$A$4:$KY$4,0))</f>
        <v>0</v>
      </c>
      <c r="CD141" s="250">
        <f>INDEX(연료전지_원본!$KB$4:$KX$369,MATCH($A141,연료전지_원본!$KB$4:$KB$369,0), MATCH(CD$4,연료전지_원본!$KB$4:$KX$4,0))*1000</f>
        <v>0</v>
      </c>
      <c r="CE141" s="250">
        <f>INDEX(연료전지_원본!$KB$4:$KX$369,MATCH($A141,연료전지_원본!$KB$4:$KB$369,0), MATCH(CE$4,연료전지_원본!$KB$4:$KX$4,0))*1000</f>
        <v>0</v>
      </c>
      <c r="CF141" s="250">
        <f>INDEX(연료전지_원본!$KB$4:$KX$369,MATCH($A141,연료전지_원본!$KB$4:$KB$369,0), MATCH(CF$4,연료전지_원본!$KB$4:$KX$4,0))*1000</f>
        <v>0</v>
      </c>
      <c r="CG141" s="250">
        <f>INDEX(연료전지_원본!$KB$4:$KX$369,MATCH($A141,연료전지_원본!$KB$4:$KB$369,0), MATCH(CG$4,연료전지_원본!$KB$4:$KX$4,0))*1000</f>
        <v>0</v>
      </c>
      <c r="CH141" s="250">
        <f>INDEX(연료전지_원본!$KB$4:$KX$369,MATCH($A141,연료전지_원본!$KB$4:$KB$369,0), MATCH(CH$4,연료전지_원본!$KB$4:$KX$4,0))*1000</f>
        <v>0</v>
      </c>
      <c r="CI141" s="250">
        <f>INDEX(연료전지_원본!$KB$4:$KX$369,MATCH($A141,연료전지_원본!$KB$4:$KB$369,0), MATCH(CI$4,연료전지_원본!$KB$4:$KX$4,0))*1000</f>
        <v>0</v>
      </c>
      <c r="CJ141" s="250">
        <f>INDEX(연료전지_원본!$KB$4:$KX$369,MATCH($A141,연료전지_원본!$KB$4:$KB$369,0), MATCH(CJ$4,연료전지_원본!$KB$4:$KX$4,0))*1000</f>
        <v>0</v>
      </c>
      <c r="CK141" s="250">
        <f>INDEX(연료전지_원본!$KB$4:$KX$369,MATCH($A141,연료전지_원본!$KB$4:$KB$369,0), MATCH(CK$4,연료전지_원본!$KB$4:$KX$4,0))*1000</f>
        <v>0</v>
      </c>
      <c r="CL141" s="250">
        <f>INDEX(연료전지_원본!$KB$4:$KX$369,MATCH($A141,연료전지_원본!$KB$4:$KB$369,0), MATCH(CL$4,연료전지_원본!$KB$4:$KX$4,0))*1000</f>
        <v>0</v>
      </c>
      <c r="CM141" s="250">
        <f>INDEX(연료전지_원본!$KB$4:$KX$369,MATCH($A141,연료전지_원본!$KB$4:$KB$369,0), MATCH(CM$4,연료전지_원본!$KB$4:$KX$4,0))*1000</f>
        <v>0</v>
      </c>
      <c r="CN141" s="250">
        <f>INDEX(연료전지_원본!$KB$4:$KX$369,MATCH($A141,연료전지_원본!$KB$4:$KB$369,0), MATCH(CN$4,연료전지_원본!$KB$4:$KX$4,0))*1000</f>
        <v>0</v>
      </c>
      <c r="CO141" s="250">
        <f>INDEX(연료전지_원본!$KB$4:$KX$369,MATCH($A141,연료전지_원본!$KB$4:$KB$369,0), MATCH(CO$4,연료전지_원본!$KB$4:$KX$4,0))*1000</f>
        <v>0</v>
      </c>
      <c r="CP141" s="250">
        <f>INDEX(연료전지_원본!$KB$4:$KX$369,MATCH($A141,연료전지_원본!$KB$4:$KB$369,0), MATCH(CP$4,연료전지_원본!$KB$4:$KX$4,0))*1000</f>
        <v>0</v>
      </c>
      <c r="CQ141" s="250">
        <f>INDEX(연료전지_원본!$KB$4:$KX$369,MATCH($A141,연료전지_원본!$KB$4:$KB$369,0), MATCH(CQ$4,연료전지_원본!$KB$4:$KX$4,0))*1000</f>
        <v>0</v>
      </c>
      <c r="CR141" s="250">
        <f>INDEX(연료전지_원본!$KB$4:$KX$369,MATCH($A141,연료전지_원본!$KB$4:$KB$369,0), MATCH(CR$4,연료전지_원본!$KB$4:$KX$4,0))*1000</f>
        <v>0</v>
      </c>
      <c r="CS141" s="250">
        <f>INDEX(연료전지_원본!$KB$4:$KX$369,MATCH($A141,연료전지_원본!$KB$4:$KB$369,0), MATCH(CS$4,연료전지_원본!$KB$4:$KX$4,0))*1000</f>
        <v>0</v>
      </c>
      <c r="CT141" s="250">
        <f>INDEX(연료전지_원본!$KB$4:$KX$369,MATCH($A141,연료전지_원본!$KB$4:$KB$369,0), MATCH(CT$4,연료전지_원본!$KB$4:$KX$4,0))*1000</f>
        <v>0</v>
      </c>
      <c r="CU141" s="250">
        <f>INDEX(연료전지_원본!$KB$4:$KX$369,MATCH($A141,연료전지_원본!$KB$4:$KB$369,0), MATCH(CU$4,연료전지_원본!$KB$4:$KX$4,0))*1000</f>
        <v>0</v>
      </c>
      <c r="CV141" s="250">
        <f>INDEX(연료전지_원본!$KB$4:$KX$369,MATCH($A141,연료전지_원본!$KB$4:$KB$369,0), MATCH(CV$4,연료전지_원본!$KB$4:$KX$4,0))*1000</f>
        <v>0</v>
      </c>
      <c r="CW141" s="250">
        <f>INDEX(연료전지_원본!$KB$4:$KX$369,MATCH($A141,연료전지_원본!$KB$4:$KB$369,0), MATCH(CW$4,연료전지_원본!$KB$4:$KX$4,0))*1000</f>
        <v>0</v>
      </c>
      <c r="CX141" s="250">
        <f>INDEX(연료전지_원본!$KB$4:$KX$369,MATCH($A141,연료전지_원본!$KB$4:$KB$369,0), MATCH(CX$4,연료전지_원본!$KB$4:$KX$4,0))*1000</f>
        <v>0</v>
      </c>
      <c r="CY141" s="250">
        <f>INDEX(연료전지_원본!$KB$4:$KX$369,MATCH($A141,연료전지_원본!$KB$4:$KB$369,0), MATCH(CY$4,연료전지_원본!$KB$4:$KX$4,0))*1000</f>
        <v>0</v>
      </c>
      <c r="DV141" s="30">
        <f t="shared" si="623"/>
        <v>0</v>
      </c>
    </row>
    <row r="142" spans="1:126">
      <c r="A142" s="6">
        <v>46159</v>
      </c>
      <c r="B142" s="15">
        <f>운전실적_원본!B142</f>
        <v>0</v>
      </c>
      <c r="C142" s="16" t="str">
        <f t="shared" si="629"/>
        <v/>
      </c>
      <c r="D142" s="12">
        <f>운전실적_원본!C142</f>
        <v>0</v>
      </c>
      <c r="E142" s="12" t="str">
        <f t="shared" si="630"/>
        <v/>
      </c>
      <c r="F142" s="12">
        <f>운전실적_원본!D142</f>
        <v>0</v>
      </c>
      <c r="G142" s="16" t="str">
        <f t="shared" si="631"/>
        <v/>
      </c>
      <c r="H142" s="15">
        <f>운전실적_원본!E142</f>
        <v>0</v>
      </c>
      <c r="I142" s="16" t="str">
        <f t="shared" si="632"/>
        <v/>
      </c>
      <c r="J142" s="15">
        <f>운전실적_원본!F142</f>
        <v>0</v>
      </c>
      <c r="K142" s="16" t="str">
        <f t="shared" si="632"/>
        <v/>
      </c>
      <c r="L142" s="32">
        <f>운전실적_원본!G142</f>
        <v>0</v>
      </c>
      <c r="M142" s="31" t="str">
        <f t="shared" ref="M142" si="829">IF(OR(LEN(L142)=0,L142=0),"",L142-L141)</f>
        <v/>
      </c>
      <c r="N142" s="15">
        <f>운전실적_원본!H142</f>
        <v>0</v>
      </c>
      <c r="O142" s="16" t="str">
        <f t="shared" ref="O142" si="830">IF(OR(LEN(N142)=0,N142=0),"",N142-N141)</f>
        <v/>
      </c>
      <c r="P142" s="15">
        <f>운전실적_원본!I142</f>
        <v>0</v>
      </c>
      <c r="Q142" s="16" t="str">
        <f t="shared" ref="Q142" si="831">IF(OR(LEN(P142)=0,P142=0),"",P142-P141)</f>
        <v/>
      </c>
      <c r="R142" s="18">
        <f>운전실적_원본!J142</f>
        <v>0</v>
      </c>
      <c r="S142" s="19" t="str">
        <f t="shared" ref="S142" si="832">IF(OR(LEN(R142)=0,R142=0),"",R142-R141)</f>
        <v/>
      </c>
      <c r="T142" s="18">
        <f>운전실적_원본!K142</f>
        <v>0</v>
      </c>
      <c r="U142" s="19" t="str">
        <f t="shared" si="637"/>
        <v/>
      </c>
      <c r="V142" s="12">
        <f>운전실적_원본!L142</f>
        <v>0</v>
      </c>
      <c r="W142" s="16" t="str">
        <f t="shared" ref="W142" si="833">IF(OR(LEN(V142)=0,V142=0),"",V142-V141)</f>
        <v/>
      </c>
      <c r="X142" s="10">
        <f>운전실적_원본!M142</f>
        <v>0</v>
      </c>
      <c r="Y142" s="10">
        <f>운전실적_원본!N142</f>
        <v>0</v>
      </c>
      <c r="Z142" s="10">
        <f>운전실적_원본!O142</f>
        <v>0</v>
      </c>
      <c r="AA142" s="10">
        <f>운전실적_원본!P142</f>
        <v>0</v>
      </c>
      <c r="AB142" s="10">
        <f>운전실적_원본!Q142</f>
        <v>0</v>
      </c>
      <c r="AC142" s="20">
        <f>운전실적_원본!R142</f>
        <v>0</v>
      </c>
      <c r="AD142" s="109">
        <f>운전실적_원본!S142</f>
        <v>0</v>
      </c>
      <c r="AE142" s="110">
        <f>운전실적_원본!T142</f>
        <v>0</v>
      </c>
      <c r="AF142" s="110">
        <f>운전실적_원본!U142</f>
        <v>0</v>
      </c>
      <c r="AG142" s="110">
        <f>운전실적_원본!V142</f>
        <v>0</v>
      </c>
      <c r="AH142" s="109">
        <f t="shared" si="791"/>
        <v>0</v>
      </c>
      <c r="AI142" s="110">
        <f t="shared" si="798"/>
        <v>0</v>
      </c>
      <c r="AJ142" s="110">
        <f>운전실적_원본!Y142</f>
        <v>0</v>
      </c>
      <c r="AK142" s="110">
        <f>운전실적_원본!Z142</f>
        <v>0</v>
      </c>
      <c r="AL142" s="106"/>
      <c r="AM142" s="105"/>
      <c r="AN142" s="105"/>
      <c r="AO142" s="105"/>
      <c r="AP142" s="105"/>
      <c r="AQ142" s="108"/>
      <c r="AR142" s="105"/>
      <c r="AS142" s="105"/>
      <c r="AT142" s="102"/>
      <c r="AU142" s="102"/>
      <c r="AV142" s="102"/>
      <c r="AW142" s="102"/>
      <c r="AX142" s="32">
        <f>운전실적_원본!W142</f>
        <v>0</v>
      </c>
      <c r="AY142" s="11">
        <f>운전실적_원본!X142</f>
        <v>0</v>
      </c>
      <c r="AZ142" s="11">
        <f>운전실적_원본!Y142</f>
        <v>0</v>
      </c>
      <c r="BA142" s="11">
        <f>운전실적_원본!Z142</f>
        <v>0</v>
      </c>
      <c r="BB142" s="11">
        <f>운전실적_원본!AA142</f>
        <v>0</v>
      </c>
      <c r="BC142" s="11">
        <f>운전실적_원본!AB142</f>
        <v>0</v>
      </c>
      <c r="BD142" s="32" t="str">
        <f t="shared" si="784"/>
        <v>-</v>
      </c>
      <c r="BE142" s="11" t="str">
        <f t="shared" si="792"/>
        <v>-</v>
      </c>
      <c r="BF142" s="11">
        <f>운전실적_원본!AE142</f>
        <v>0</v>
      </c>
      <c r="BG142" s="31">
        <f t="shared" si="785"/>
        <v>0</v>
      </c>
      <c r="BH142" s="241">
        <f>INDEX(연료전지_원본!$A$4:$KY$369,MATCH($A142,연료전지_원본!$A$4:$A$369,0),MATCH($BH$4,연료전지_원본!$A$4:$KY$4,0))</f>
        <v>0</v>
      </c>
      <c r="BI142" s="241">
        <f>INDEX(연료전지_원본!$A$4:$KY$369,MATCH($A142,연료전지_원본!$A$4:$A$369,0),MATCH($BI$4,연료전지_원본!$A$4:$KY$4,0))</f>
        <v>0</v>
      </c>
      <c r="BJ142" s="241">
        <f>INDEX(연료전지_원본!$A$4:$KY$369,MATCH($A142,연료전지_원본!$A$4:$A$369,0),MATCH($BJ$4,연료전지_원본!$A$4:$KY$4,0))</f>
        <v>0</v>
      </c>
      <c r="BK142" s="241">
        <f>INDEX(연료전지_원본!$A$4:$KY$369,MATCH($A142,연료전지_원본!$A$4:$A$369,0),MATCH($BK$4,연료전지_원본!$A$4:$KY$4,0))</f>
        <v>0</v>
      </c>
      <c r="BL142" s="241">
        <f>INDEX(연료전지_원본!$A$4:$KY$369,MATCH($A142,연료전지_원본!$A$4:$A$369,0),MATCH($BL$4,연료전지_원본!$A$4:$KY$4,0))</f>
        <v>0</v>
      </c>
      <c r="BM142" s="241">
        <f>INDEX(연료전지_원본!$A$4:$KY$369,MATCH($A142,연료전지_원본!$A$4:$A$369,0),MATCH($BM$4,연료전지_원본!$A$4:$KY$4,0))</f>
        <v>0</v>
      </c>
      <c r="BN142" s="241">
        <f>INDEX(연료전지_원본!$A$4:$KY$369,MATCH($A142,연료전지_원본!$A$4:$A$369,0),MATCH($BN$4,연료전지_원본!$A$4:$KY$4,0))</f>
        <v>0</v>
      </c>
      <c r="BO142" s="241">
        <f>INDEX(연료전지_원본!$A$4:$KY$369,MATCH($A142,연료전지_원본!$A$4:$A$369,0),MATCH($BO$4,연료전지_원본!$A$4:$KY$4,0))</f>
        <v>0</v>
      </c>
      <c r="BP142" s="241">
        <f>INDEX(연료전지_원본!$A$4:$KY$369,MATCH($A142,연료전지_원본!$A$4:$A$369,0),MATCH($BP$4,연료전지_원본!$A$4:$KY$4,0))</f>
        <v>0</v>
      </c>
      <c r="BQ142" s="241">
        <f>INDEX(연료전지_원본!$A$4:$KY$369,MATCH($A142,연료전지_원본!$A$4:$A$369,0),MATCH($BQ$4,연료전지_원본!$A$4:$KY$4,0))</f>
        <v>0</v>
      </c>
      <c r="BR142" s="241">
        <f>INDEX(연료전지_원본!$A$4:$KY$369,MATCH($A142,연료전지_원본!$A$4:$A$369,0),MATCH($BR$4,연료전지_원본!$A$4:$KY$4,0))</f>
        <v>0</v>
      </c>
      <c r="BS142" s="241">
        <f>INDEX(연료전지_원본!$A$4:$KY$369,MATCH($A142,연료전지_원본!$A$4:$A$369,0),MATCH($BS$4,연료전지_원본!$A$4:$KY$4,0))</f>
        <v>0</v>
      </c>
      <c r="BT142" s="241">
        <f>INDEX(연료전지_원본!$A$4:$KY$369,MATCH($A142,연료전지_원본!$A$4:$A$369,0),MATCH($BT$4,연료전지_원본!$A$4:$KY$4,0))</f>
        <v>0</v>
      </c>
      <c r="BU142" s="241">
        <f>INDEX(연료전지_원본!$A$4:$KY$369,MATCH($A142,연료전지_원본!$A$4:$A$369,0),MATCH($BU$4,연료전지_원본!$A$4:$KY$4,0))</f>
        <v>0</v>
      </c>
      <c r="BV142" s="241">
        <f>INDEX(연료전지_원본!$A$4:$KY$369,MATCH($A142,연료전지_원본!$A$4:$A$369,0),MATCH($BV$4,연료전지_원본!$A$4:$KY$4,0))</f>
        <v>0</v>
      </c>
      <c r="BW142" s="241">
        <f>INDEX(연료전지_원본!$A$4:$KY$369,MATCH($A142,연료전지_원본!$A$4:$A$369,0),MATCH($BW$4,연료전지_원본!$A$4:$KY$4,0))</f>
        <v>0</v>
      </c>
      <c r="BX142" s="241">
        <f>INDEX(연료전지_원본!$A$4:$KY$369,MATCH($A142,연료전지_원본!$A$4:$A$369,0),MATCH($BX$4,연료전지_원본!$A$4:$KY$4,0))</f>
        <v>0</v>
      </c>
      <c r="BY142" s="241">
        <f>INDEX(연료전지_원본!$A$4:$KY$369,MATCH($A142,연료전지_원본!$A$4:$A$369,0),MATCH($BY$4,연료전지_원본!$A$4:$KY$4,0))</f>
        <v>0</v>
      </c>
      <c r="BZ142" s="241">
        <f>INDEX(연료전지_원본!$A$4:$KY$369,MATCH($A142,연료전지_원본!$A$4:$A$369,0),MATCH($BZ$4,연료전지_원본!$A$4:$KY$4,0))</f>
        <v>0</v>
      </c>
      <c r="CA142" s="241">
        <f>INDEX(연료전지_원본!$A$4:$KY$369,MATCH($A142,연료전지_원본!$A$4:$A$369,0),MATCH($CA$4,연료전지_원본!$A$4:$KY$4,0))</f>
        <v>0</v>
      </c>
      <c r="CB142" s="241">
        <f>INDEX(연료전지_원본!$A$4:$KY$369,MATCH($A142,연료전지_원본!$A$4:$A$369,0),MATCH($CB$4,연료전지_원본!$A$4:$KY$4,0))</f>
        <v>0</v>
      </c>
      <c r="CC142" s="242">
        <f>INDEX(연료전지_원본!$A$4:$KY$369,MATCH($A142,연료전지_원본!$A$4:$A$369,0),MATCH($CC$4,연료전지_원본!$A$4:$KY$4,0))</f>
        <v>0</v>
      </c>
      <c r="CD142" s="250">
        <f>INDEX(연료전지_원본!$KB$4:$KX$369,MATCH($A142,연료전지_원본!$KB$4:$KB$369,0), MATCH(CD$4,연료전지_원본!$KB$4:$KX$4,0))*1000</f>
        <v>0</v>
      </c>
      <c r="CE142" s="250">
        <f>INDEX(연료전지_원본!$KB$4:$KX$369,MATCH($A142,연료전지_원본!$KB$4:$KB$369,0), MATCH(CE$4,연료전지_원본!$KB$4:$KX$4,0))*1000</f>
        <v>0</v>
      </c>
      <c r="CF142" s="250">
        <f>INDEX(연료전지_원본!$KB$4:$KX$369,MATCH($A142,연료전지_원본!$KB$4:$KB$369,0), MATCH(CF$4,연료전지_원본!$KB$4:$KX$4,0))*1000</f>
        <v>0</v>
      </c>
      <c r="CG142" s="250">
        <f>INDEX(연료전지_원본!$KB$4:$KX$369,MATCH($A142,연료전지_원본!$KB$4:$KB$369,0), MATCH(CG$4,연료전지_원본!$KB$4:$KX$4,0))*1000</f>
        <v>0</v>
      </c>
      <c r="CH142" s="250">
        <f>INDEX(연료전지_원본!$KB$4:$KX$369,MATCH($A142,연료전지_원본!$KB$4:$KB$369,0), MATCH(CH$4,연료전지_원본!$KB$4:$KX$4,0))*1000</f>
        <v>0</v>
      </c>
      <c r="CI142" s="250">
        <f>INDEX(연료전지_원본!$KB$4:$KX$369,MATCH($A142,연료전지_원본!$KB$4:$KB$369,0), MATCH(CI$4,연료전지_원본!$KB$4:$KX$4,0))*1000</f>
        <v>0</v>
      </c>
      <c r="CJ142" s="250">
        <f>INDEX(연료전지_원본!$KB$4:$KX$369,MATCH($A142,연료전지_원본!$KB$4:$KB$369,0), MATCH(CJ$4,연료전지_원본!$KB$4:$KX$4,0))*1000</f>
        <v>0</v>
      </c>
      <c r="CK142" s="250">
        <f>INDEX(연료전지_원본!$KB$4:$KX$369,MATCH($A142,연료전지_원본!$KB$4:$KB$369,0), MATCH(CK$4,연료전지_원본!$KB$4:$KX$4,0))*1000</f>
        <v>0</v>
      </c>
      <c r="CL142" s="250">
        <f>INDEX(연료전지_원본!$KB$4:$KX$369,MATCH($A142,연료전지_원본!$KB$4:$KB$369,0), MATCH(CL$4,연료전지_원본!$KB$4:$KX$4,0))*1000</f>
        <v>0</v>
      </c>
      <c r="CM142" s="250">
        <f>INDEX(연료전지_원본!$KB$4:$KX$369,MATCH($A142,연료전지_원본!$KB$4:$KB$369,0), MATCH(CM$4,연료전지_원본!$KB$4:$KX$4,0))*1000</f>
        <v>0</v>
      </c>
      <c r="CN142" s="250">
        <f>INDEX(연료전지_원본!$KB$4:$KX$369,MATCH($A142,연료전지_원본!$KB$4:$KB$369,0), MATCH(CN$4,연료전지_원본!$KB$4:$KX$4,0))*1000</f>
        <v>0</v>
      </c>
      <c r="CO142" s="250">
        <f>INDEX(연료전지_원본!$KB$4:$KX$369,MATCH($A142,연료전지_원본!$KB$4:$KB$369,0), MATCH(CO$4,연료전지_원본!$KB$4:$KX$4,0))*1000</f>
        <v>0</v>
      </c>
      <c r="CP142" s="250">
        <f>INDEX(연료전지_원본!$KB$4:$KX$369,MATCH($A142,연료전지_원본!$KB$4:$KB$369,0), MATCH(CP$4,연료전지_원본!$KB$4:$KX$4,0))*1000</f>
        <v>0</v>
      </c>
      <c r="CQ142" s="250">
        <f>INDEX(연료전지_원본!$KB$4:$KX$369,MATCH($A142,연료전지_원본!$KB$4:$KB$369,0), MATCH(CQ$4,연료전지_원본!$KB$4:$KX$4,0))*1000</f>
        <v>0</v>
      </c>
      <c r="CR142" s="250">
        <f>INDEX(연료전지_원본!$KB$4:$KX$369,MATCH($A142,연료전지_원본!$KB$4:$KB$369,0), MATCH(CR$4,연료전지_원본!$KB$4:$KX$4,0))*1000</f>
        <v>0</v>
      </c>
      <c r="CS142" s="250">
        <f>INDEX(연료전지_원본!$KB$4:$KX$369,MATCH($A142,연료전지_원본!$KB$4:$KB$369,0), MATCH(CS$4,연료전지_원본!$KB$4:$KX$4,0))*1000</f>
        <v>0</v>
      </c>
      <c r="CT142" s="250">
        <f>INDEX(연료전지_원본!$KB$4:$KX$369,MATCH($A142,연료전지_원본!$KB$4:$KB$369,0), MATCH(CT$4,연료전지_원본!$KB$4:$KX$4,0))*1000</f>
        <v>0</v>
      </c>
      <c r="CU142" s="250">
        <f>INDEX(연료전지_원본!$KB$4:$KX$369,MATCH($A142,연료전지_원본!$KB$4:$KB$369,0), MATCH(CU$4,연료전지_원본!$KB$4:$KX$4,0))*1000</f>
        <v>0</v>
      </c>
      <c r="CV142" s="250">
        <f>INDEX(연료전지_원본!$KB$4:$KX$369,MATCH($A142,연료전지_원본!$KB$4:$KB$369,0), MATCH(CV$4,연료전지_원본!$KB$4:$KX$4,0))*1000</f>
        <v>0</v>
      </c>
      <c r="CW142" s="250">
        <f>INDEX(연료전지_원본!$KB$4:$KX$369,MATCH($A142,연료전지_원본!$KB$4:$KB$369,0), MATCH(CW$4,연료전지_원본!$KB$4:$KX$4,0))*1000</f>
        <v>0</v>
      </c>
      <c r="CX142" s="250">
        <f>INDEX(연료전지_원본!$KB$4:$KX$369,MATCH($A142,연료전지_원본!$KB$4:$KB$369,0), MATCH(CX$4,연료전지_원본!$KB$4:$KX$4,0))*1000</f>
        <v>0</v>
      </c>
      <c r="CY142" s="250">
        <f>INDEX(연료전지_원본!$KB$4:$KX$369,MATCH($A142,연료전지_원본!$KB$4:$KB$369,0), MATCH(CY$4,연료전지_원본!$KB$4:$KX$4,0))*1000</f>
        <v>0</v>
      </c>
      <c r="DV142" s="30">
        <f t="shared" si="623"/>
        <v>0</v>
      </c>
    </row>
    <row r="143" spans="1:126">
      <c r="A143" s="6">
        <v>46160</v>
      </c>
      <c r="B143" s="15">
        <f>운전실적_원본!B143</f>
        <v>0</v>
      </c>
      <c r="C143" s="16" t="str">
        <f t="shared" si="629"/>
        <v/>
      </c>
      <c r="D143" s="12">
        <f>운전실적_원본!C143</f>
        <v>0</v>
      </c>
      <c r="E143" s="12" t="str">
        <f t="shared" si="630"/>
        <v/>
      </c>
      <c r="F143" s="12">
        <f>운전실적_원본!D143</f>
        <v>0</v>
      </c>
      <c r="G143" s="16" t="str">
        <f t="shared" si="631"/>
        <v/>
      </c>
      <c r="H143" s="15">
        <f>운전실적_원본!E143</f>
        <v>0</v>
      </c>
      <c r="I143" s="16" t="str">
        <f t="shared" si="632"/>
        <v/>
      </c>
      <c r="J143" s="15">
        <f>운전실적_원본!F143</f>
        <v>0</v>
      </c>
      <c r="K143" s="16" t="str">
        <f t="shared" si="632"/>
        <v/>
      </c>
      <c r="L143" s="32">
        <f>운전실적_원본!G143</f>
        <v>0</v>
      </c>
      <c r="M143" s="31" t="str">
        <f t="shared" ref="M143" si="834">IF(OR(LEN(L143)=0,L143=0),"",L143-L142)</f>
        <v/>
      </c>
      <c r="N143" s="15">
        <f>운전실적_원본!H143</f>
        <v>0</v>
      </c>
      <c r="O143" s="16" t="str">
        <f t="shared" ref="O143" si="835">IF(OR(LEN(N143)=0,N143=0),"",N143-N142)</f>
        <v/>
      </c>
      <c r="P143" s="15">
        <f>운전실적_원본!I143</f>
        <v>0</v>
      </c>
      <c r="Q143" s="16" t="str">
        <f t="shared" ref="Q143" si="836">IF(OR(LEN(P143)=0,P143=0),"",P143-P142)</f>
        <v/>
      </c>
      <c r="R143" s="18">
        <f>운전실적_원본!J143</f>
        <v>0</v>
      </c>
      <c r="S143" s="19" t="str">
        <f t="shared" ref="S143" si="837">IF(OR(LEN(R143)=0,R143=0),"",R143-R142)</f>
        <v/>
      </c>
      <c r="T143" s="18">
        <f>운전실적_원본!K143</f>
        <v>0</v>
      </c>
      <c r="U143" s="19" t="str">
        <f t="shared" si="637"/>
        <v/>
      </c>
      <c r="V143" s="12">
        <f>운전실적_원본!L143</f>
        <v>0</v>
      </c>
      <c r="W143" s="16" t="str">
        <f t="shared" ref="W143" si="838">IF(OR(LEN(V143)=0,V143=0),"",V143-V142)</f>
        <v/>
      </c>
      <c r="X143" s="10">
        <f>운전실적_원본!M143</f>
        <v>0</v>
      </c>
      <c r="Y143" s="10">
        <f>운전실적_원본!N143</f>
        <v>0</v>
      </c>
      <c r="Z143" s="10">
        <f>운전실적_원본!O143</f>
        <v>0</v>
      </c>
      <c r="AA143" s="10">
        <f>운전실적_원본!P143</f>
        <v>0</v>
      </c>
      <c r="AB143" s="10">
        <f>운전실적_원본!Q143</f>
        <v>0</v>
      </c>
      <c r="AC143" s="20">
        <f>운전실적_원본!R143</f>
        <v>0</v>
      </c>
      <c r="AD143" s="109">
        <f>운전실적_원본!S143</f>
        <v>0</v>
      </c>
      <c r="AE143" s="110">
        <f>운전실적_원본!T143</f>
        <v>0</v>
      </c>
      <c r="AF143" s="110">
        <f>운전실적_원본!U143</f>
        <v>0</v>
      </c>
      <c r="AG143" s="110">
        <f>운전실적_원본!V143</f>
        <v>0</v>
      </c>
      <c r="AH143" s="109">
        <f t="shared" si="791"/>
        <v>0</v>
      </c>
      <c r="AI143" s="110">
        <f t="shared" si="798"/>
        <v>0</v>
      </c>
      <c r="AJ143" s="110">
        <f>운전실적_원본!Y143</f>
        <v>0</v>
      </c>
      <c r="AK143" s="110">
        <f>운전실적_원본!Z143</f>
        <v>0</v>
      </c>
      <c r="AL143" s="106"/>
      <c r="AM143" s="105"/>
      <c r="AN143" s="105"/>
      <c r="AO143" s="105"/>
      <c r="AP143" s="105"/>
      <c r="AQ143" s="108"/>
      <c r="AR143" s="105"/>
      <c r="AS143" s="105"/>
      <c r="AT143" s="102"/>
      <c r="AU143" s="102"/>
      <c r="AV143" s="102"/>
      <c r="AW143" s="102"/>
      <c r="AX143" s="32">
        <f>운전실적_원본!W143</f>
        <v>0</v>
      </c>
      <c r="AY143" s="11">
        <f>운전실적_원본!X143</f>
        <v>0</v>
      </c>
      <c r="AZ143" s="11">
        <f>운전실적_원본!Y143</f>
        <v>0</v>
      </c>
      <c r="BA143" s="11">
        <f>운전실적_원본!Z143</f>
        <v>0</v>
      </c>
      <c r="BB143" s="11">
        <f>운전실적_원본!AA143</f>
        <v>0</v>
      </c>
      <c r="BC143" s="11">
        <f>운전실적_원본!AB143</f>
        <v>0</v>
      </c>
      <c r="BD143" s="32" t="str">
        <f t="shared" si="784"/>
        <v>-</v>
      </c>
      <c r="BE143" s="11" t="str">
        <f t="shared" si="792"/>
        <v>-</v>
      </c>
      <c r="BF143" s="11">
        <f>운전실적_원본!AE143</f>
        <v>0</v>
      </c>
      <c r="BG143" s="31">
        <f t="shared" si="785"/>
        <v>0</v>
      </c>
      <c r="BH143" s="241">
        <f>INDEX(연료전지_원본!$A$4:$KY$369,MATCH($A143,연료전지_원본!$A$4:$A$369,0),MATCH($BH$4,연료전지_원본!$A$4:$KY$4,0))</f>
        <v>0</v>
      </c>
      <c r="BI143" s="241">
        <f>INDEX(연료전지_원본!$A$4:$KY$369,MATCH($A143,연료전지_원본!$A$4:$A$369,0),MATCH($BI$4,연료전지_원본!$A$4:$KY$4,0))</f>
        <v>0</v>
      </c>
      <c r="BJ143" s="241">
        <f>INDEX(연료전지_원본!$A$4:$KY$369,MATCH($A143,연료전지_원본!$A$4:$A$369,0),MATCH($BJ$4,연료전지_원본!$A$4:$KY$4,0))</f>
        <v>0</v>
      </c>
      <c r="BK143" s="241">
        <f>INDEX(연료전지_원본!$A$4:$KY$369,MATCH($A143,연료전지_원본!$A$4:$A$369,0),MATCH($BK$4,연료전지_원본!$A$4:$KY$4,0))</f>
        <v>0</v>
      </c>
      <c r="BL143" s="241">
        <f>INDEX(연료전지_원본!$A$4:$KY$369,MATCH($A143,연료전지_원본!$A$4:$A$369,0),MATCH($BL$4,연료전지_원본!$A$4:$KY$4,0))</f>
        <v>0</v>
      </c>
      <c r="BM143" s="241">
        <f>INDEX(연료전지_원본!$A$4:$KY$369,MATCH($A143,연료전지_원본!$A$4:$A$369,0),MATCH($BM$4,연료전지_원본!$A$4:$KY$4,0))</f>
        <v>0</v>
      </c>
      <c r="BN143" s="241">
        <f>INDEX(연료전지_원본!$A$4:$KY$369,MATCH($A143,연료전지_원본!$A$4:$A$369,0),MATCH($BN$4,연료전지_원본!$A$4:$KY$4,0))</f>
        <v>0</v>
      </c>
      <c r="BO143" s="241">
        <f>INDEX(연료전지_원본!$A$4:$KY$369,MATCH($A143,연료전지_원본!$A$4:$A$369,0),MATCH($BO$4,연료전지_원본!$A$4:$KY$4,0))</f>
        <v>0</v>
      </c>
      <c r="BP143" s="241">
        <f>INDEX(연료전지_원본!$A$4:$KY$369,MATCH($A143,연료전지_원본!$A$4:$A$369,0),MATCH($BP$4,연료전지_원본!$A$4:$KY$4,0))</f>
        <v>0</v>
      </c>
      <c r="BQ143" s="241">
        <f>INDEX(연료전지_원본!$A$4:$KY$369,MATCH($A143,연료전지_원본!$A$4:$A$369,0),MATCH($BQ$4,연료전지_원본!$A$4:$KY$4,0))</f>
        <v>0</v>
      </c>
      <c r="BR143" s="241">
        <f>INDEX(연료전지_원본!$A$4:$KY$369,MATCH($A143,연료전지_원본!$A$4:$A$369,0),MATCH($BR$4,연료전지_원본!$A$4:$KY$4,0))</f>
        <v>0</v>
      </c>
      <c r="BS143" s="241">
        <f>INDEX(연료전지_원본!$A$4:$KY$369,MATCH($A143,연료전지_원본!$A$4:$A$369,0),MATCH($BS$4,연료전지_원본!$A$4:$KY$4,0))</f>
        <v>0</v>
      </c>
      <c r="BT143" s="241">
        <f>INDEX(연료전지_원본!$A$4:$KY$369,MATCH($A143,연료전지_원본!$A$4:$A$369,0),MATCH($BT$4,연료전지_원본!$A$4:$KY$4,0))</f>
        <v>0</v>
      </c>
      <c r="BU143" s="241">
        <f>INDEX(연료전지_원본!$A$4:$KY$369,MATCH($A143,연료전지_원본!$A$4:$A$369,0),MATCH($BU$4,연료전지_원본!$A$4:$KY$4,0))</f>
        <v>0</v>
      </c>
      <c r="BV143" s="241">
        <f>INDEX(연료전지_원본!$A$4:$KY$369,MATCH($A143,연료전지_원본!$A$4:$A$369,0),MATCH($BV$4,연료전지_원본!$A$4:$KY$4,0))</f>
        <v>0</v>
      </c>
      <c r="BW143" s="241">
        <f>INDEX(연료전지_원본!$A$4:$KY$369,MATCH($A143,연료전지_원본!$A$4:$A$369,0),MATCH($BW$4,연료전지_원본!$A$4:$KY$4,0))</f>
        <v>0</v>
      </c>
      <c r="BX143" s="241">
        <f>INDEX(연료전지_원본!$A$4:$KY$369,MATCH($A143,연료전지_원본!$A$4:$A$369,0),MATCH($BX$4,연료전지_원본!$A$4:$KY$4,0))</f>
        <v>0</v>
      </c>
      <c r="BY143" s="241">
        <f>INDEX(연료전지_원본!$A$4:$KY$369,MATCH($A143,연료전지_원본!$A$4:$A$369,0),MATCH($BY$4,연료전지_원본!$A$4:$KY$4,0))</f>
        <v>0</v>
      </c>
      <c r="BZ143" s="241">
        <f>INDEX(연료전지_원본!$A$4:$KY$369,MATCH($A143,연료전지_원본!$A$4:$A$369,0),MATCH($BZ$4,연료전지_원본!$A$4:$KY$4,0))</f>
        <v>0</v>
      </c>
      <c r="CA143" s="241">
        <f>INDEX(연료전지_원본!$A$4:$KY$369,MATCH($A143,연료전지_원본!$A$4:$A$369,0),MATCH($CA$4,연료전지_원본!$A$4:$KY$4,0))</f>
        <v>0</v>
      </c>
      <c r="CB143" s="241">
        <f>INDEX(연료전지_원본!$A$4:$KY$369,MATCH($A143,연료전지_원본!$A$4:$A$369,0),MATCH($CB$4,연료전지_원본!$A$4:$KY$4,0))</f>
        <v>0</v>
      </c>
      <c r="CC143" s="242">
        <f>INDEX(연료전지_원본!$A$4:$KY$369,MATCH($A143,연료전지_원본!$A$4:$A$369,0),MATCH($CC$4,연료전지_원본!$A$4:$KY$4,0))</f>
        <v>0</v>
      </c>
      <c r="CD143" s="250">
        <f>INDEX(연료전지_원본!$KB$4:$KX$369,MATCH($A143,연료전지_원본!$KB$4:$KB$369,0), MATCH(CD$4,연료전지_원본!$KB$4:$KX$4,0))*1000</f>
        <v>0</v>
      </c>
      <c r="CE143" s="250">
        <f>INDEX(연료전지_원본!$KB$4:$KX$369,MATCH($A143,연료전지_원본!$KB$4:$KB$369,0), MATCH(CE$4,연료전지_원본!$KB$4:$KX$4,0))*1000</f>
        <v>0</v>
      </c>
      <c r="CF143" s="250">
        <f>INDEX(연료전지_원본!$KB$4:$KX$369,MATCH($A143,연료전지_원본!$KB$4:$KB$369,0), MATCH(CF$4,연료전지_원본!$KB$4:$KX$4,0))*1000</f>
        <v>0</v>
      </c>
      <c r="CG143" s="250">
        <f>INDEX(연료전지_원본!$KB$4:$KX$369,MATCH($A143,연료전지_원본!$KB$4:$KB$369,0), MATCH(CG$4,연료전지_원본!$KB$4:$KX$4,0))*1000</f>
        <v>0</v>
      </c>
      <c r="CH143" s="250">
        <f>INDEX(연료전지_원본!$KB$4:$KX$369,MATCH($A143,연료전지_원본!$KB$4:$KB$369,0), MATCH(CH$4,연료전지_원본!$KB$4:$KX$4,0))*1000</f>
        <v>0</v>
      </c>
      <c r="CI143" s="250">
        <f>INDEX(연료전지_원본!$KB$4:$KX$369,MATCH($A143,연료전지_원본!$KB$4:$KB$369,0), MATCH(CI$4,연료전지_원본!$KB$4:$KX$4,0))*1000</f>
        <v>0</v>
      </c>
      <c r="CJ143" s="250">
        <f>INDEX(연료전지_원본!$KB$4:$KX$369,MATCH($A143,연료전지_원본!$KB$4:$KB$369,0), MATCH(CJ$4,연료전지_원본!$KB$4:$KX$4,0))*1000</f>
        <v>0</v>
      </c>
      <c r="CK143" s="250">
        <f>INDEX(연료전지_원본!$KB$4:$KX$369,MATCH($A143,연료전지_원본!$KB$4:$KB$369,0), MATCH(CK$4,연료전지_원본!$KB$4:$KX$4,0))*1000</f>
        <v>0</v>
      </c>
      <c r="CL143" s="250">
        <f>INDEX(연료전지_원본!$KB$4:$KX$369,MATCH($A143,연료전지_원본!$KB$4:$KB$369,0), MATCH(CL$4,연료전지_원본!$KB$4:$KX$4,0))*1000</f>
        <v>0</v>
      </c>
      <c r="CM143" s="250">
        <f>INDEX(연료전지_원본!$KB$4:$KX$369,MATCH($A143,연료전지_원본!$KB$4:$KB$369,0), MATCH(CM$4,연료전지_원본!$KB$4:$KX$4,0))*1000</f>
        <v>0</v>
      </c>
      <c r="CN143" s="250">
        <f>INDEX(연료전지_원본!$KB$4:$KX$369,MATCH($A143,연료전지_원본!$KB$4:$KB$369,0), MATCH(CN$4,연료전지_원본!$KB$4:$KX$4,0))*1000</f>
        <v>0</v>
      </c>
      <c r="CO143" s="250">
        <f>INDEX(연료전지_원본!$KB$4:$KX$369,MATCH($A143,연료전지_원본!$KB$4:$KB$369,0), MATCH(CO$4,연료전지_원본!$KB$4:$KX$4,0))*1000</f>
        <v>0</v>
      </c>
      <c r="CP143" s="250">
        <f>INDEX(연료전지_원본!$KB$4:$KX$369,MATCH($A143,연료전지_원본!$KB$4:$KB$369,0), MATCH(CP$4,연료전지_원본!$KB$4:$KX$4,0))*1000</f>
        <v>0</v>
      </c>
      <c r="CQ143" s="250">
        <f>INDEX(연료전지_원본!$KB$4:$KX$369,MATCH($A143,연료전지_원본!$KB$4:$KB$369,0), MATCH(CQ$4,연료전지_원본!$KB$4:$KX$4,0))*1000</f>
        <v>0</v>
      </c>
      <c r="CR143" s="250">
        <f>INDEX(연료전지_원본!$KB$4:$KX$369,MATCH($A143,연료전지_원본!$KB$4:$KB$369,0), MATCH(CR$4,연료전지_원본!$KB$4:$KX$4,0))*1000</f>
        <v>0</v>
      </c>
      <c r="CS143" s="250">
        <f>INDEX(연료전지_원본!$KB$4:$KX$369,MATCH($A143,연료전지_원본!$KB$4:$KB$369,0), MATCH(CS$4,연료전지_원본!$KB$4:$KX$4,0))*1000</f>
        <v>0</v>
      </c>
      <c r="CT143" s="250">
        <f>INDEX(연료전지_원본!$KB$4:$KX$369,MATCH($A143,연료전지_원본!$KB$4:$KB$369,0), MATCH(CT$4,연료전지_원본!$KB$4:$KX$4,0))*1000</f>
        <v>0</v>
      </c>
      <c r="CU143" s="250">
        <f>INDEX(연료전지_원본!$KB$4:$KX$369,MATCH($A143,연료전지_원본!$KB$4:$KB$369,0), MATCH(CU$4,연료전지_원본!$KB$4:$KX$4,0))*1000</f>
        <v>0</v>
      </c>
      <c r="CV143" s="250">
        <f>INDEX(연료전지_원본!$KB$4:$KX$369,MATCH($A143,연료전지_원본!$KB$4:$KB$369,0), MATCH(CV$4,연료전지_원본!$KB$4:$KX$4,0))*1000</f>
        <v>0</v>
      </c>
      <c r="CW143" s="250">
        <f>INDEX(연료전지_원본!$KB$4:$KX$369,MATCH($A143,연료전지_원본!$KB$4:$KB$369,0), MATCH(CW$4,연료전지_원본!$KB$4:$KX$4,0))*1000</f>
        <v>0</v>
      </c>
      <c r="CX143" s="250">
        <f>INDEX(연료전지_원본!$KB$4:$KX$369,MATCH($A143,연료전지_원본!$KB$4:$KB$369,0), MATCH(CX$4,연료전지_원본!$KB$4:$KX$4,0))*1000</f>
        <v>0</v>
      </c>
      <c r="CY143" s="250">
        <f>INDEX(연료전지_원본!$KB$4:$KX$369,MATCH($A143,연료전지_원본!$KB$4:$KB$369,0), MATCH(CY$4,연료전지_원본!$KB$4:$KX$4,0))*1000</f>
        <v>0</v>
      </c>
      <c r="DV143" s="30">
        <f t="shared" si="623"/>
        <v>0</v>
      </c>
    </row>
    <row r="144" spans="1:126">
      <c r="A144" s="6">
        <v>46161</v>
      </c>
      <c r="B144" s="15">
        <f>운전실적_원본!B144</f>
        <v>0</v>
      </c>
      <c r="C144" s="16" t="str">
        <f t="shared" si="629"/>
        <v/>
      </c>
      <c r="D144" s="12">
        <f>운전실적_원본!C144</f>
        <v>0</v>
      </c>
      <c r="E144" s="12" t="str">
        <f t="shared" si="630"/>
        <v/>
      </c>
      <c r="F144" s="12">
        <f>운전실적_원본!D144</f>
        <v>0</v>
      </c>
      <c r="G144" s="16" t="str">
        <f t="shared" si="631"/>
        <v/>
      </c>
      <c r="H144" s="15">
        <f>운전실적_원본!E144</f>
        <v>0</v>
      </c>
      <c r="I144" s="16" t="str">
        <f t="shared" si="632"/>
        <v/>
      </c>
      <c r="J144" s="15">
        <f>운전실적_원본!F144</f>
        <v>0</v>
      </c>
      <c r="K144" s="16" t="str">
        <f t="shared" si="632"/>
        <v/>
      </c>
      <c r="L144" s="32">
        <f>운전실적_원본!G144</f>
        <v>0</v>
      </c>
      <c r="M144" s="31" t="str">
        <f t="shared" ref="M144" si="839">IF(OR(LEN(L144)=0,L144=0),"",L144-L143)</f>
        <v/>
      </c>
      <c r="N144" s="15">
        <f>운전실적_원본!H144</f>
        <v>0</v>
      </c>
      <c r="O144" s="16" t="str">
        <f t="shared" ref="O144" si="840">IF(OR(LEN(N144)=0,N144=0),"",N144-N143)</f>
        <v/>
      </c>
      <c r="P144" s="15">
        <f>운전실적_원본!I144</f>
        <v>0</v>
      </c>
      <c r="Q144" s="16" t="str">
        <f t="shared" ref="Q144" si="841">IF(OR(LEN(P144)=0,P144=0),"",P144-P143)</f>
        <v/>
      </c>
      <c r="R144" s="18">
        <f>운전실적_원본!J144</f>
        <v>0</v>
      </c>
      <c r="S144" s="19" t="str">
        <f t="shared" ref="S144" si="842">IF(OR(LEN(R144)=0,R144=0),"",R144-R143)</f>
        <v/>
      </c>
      <c r="T144" s="18">
        <f>운전실적_원본!K144</f>
        <v>0</v>
      </c>
      <c r="U144" s="19" t="str">
        <f t="shared" si="637"/>
        <v/>
      </c>
      <c r="V144" s="12">
        <f>운전실적_원본!L144</f>
        <v>0</v>
      </c>
      <c r="W144" s="16" t="str">
        <f t="shared" ref="W144" si="843">IF(OR(LEN(V144)=0,V144=0),"",V144-V143)</f>
        <v/>
      </c>
      <c r="X144" s="10">
        <f>운전실적_원본!M144</f>
        <v>0</v>
      </c>
      <c r="Y144" s="10">
        <f>운전실적_원본!N144</f>
        <v>0</v>
      </c>
      <c r="Z144" s="10">
        <f>운전실적_원본!O144</f>
        <v>0</v>
      </c>
      <c r="AA144" s="10">
        <f>운전실적_원본!P144</f>
        <v>0</v>
      </c>
      <c r="AB144" s="10">
        <f>운전실적_원본!Q144</f>
        <v>0</v>
      </c>
      <c r="AC144" s="20">
        <f>운전실적_원본!R144</f>
        <v>0</v>
      </c>
      <c r="AD144" s="109">
        <f>운전실적_원본!S144</f>
        <v>0</v>
      </c>
      <c r="AE144" s="110">
        <f>운전실적_원본!T144</f>
        <v>0</v>
      </c>
      <c r="AF144" s="110">
        <f>운전실적_원본!U144</f>
        <v>0</v>
      </c>
      <c r="AG144" s="110">
        <f>운전실적_원본!V144</f>
        <v>0</v>
      </c>
      <c r="AH144" s="109">
        <f t="shared" si="791"/>
        <v>0</v>
      </c>
      <c r="AI144" s="110">
        <f t="shared" si="798"/>
        <v>0</v>
      </c>
      <c r="AJ144" s="110">
        <f>운전실적_원본!Y144</f>
        <v>0</v>
      </c>
      <c r="AK144" s="110">
        <f>운전실적_원본!Z144</f>
        <v>0</v>
      </c>
      <c r="AL144" s="106"/>
      <c r="AM144" s="105"/>
      <c r="AN144" s="105"/>
      <c r="AO144" s="105"/>
      <c r="AP144" s="105"/>
      <c r="AQ144" s="108"/>
      <c r="AR144" s="105"/>
      <c r="AS144" s="105"/>
      <c r="AT144" s="102"/>
      <c r="AU144" s="102"/>
      <c r="AV144" s="102"/>
      <c r="AW144" s="102"/>
      <c r="AX144" s="32">
        <f>운전실적_원본!W144</f>
        <v>0</v>
      </c>
      <c r="AY144" s="11">
        <f>운전실적_원본!X144</f>
        <v>0</v>
      </c>
      <c r="AZ144" s="11">
        <f>운전실적_원본!Y144</f>
        <v>0</v>
      </c>
      <c r="BA144" s="11">
        <f>운전실적_원본!Z144</f>
        <v>0</v>
      </c>
      <c r="BB144" s="11">
        <f>운전실적_원본!AA144</f>
        <v>0</v>
      </c>
      <c r="BC144" s="11">
        <f>운전실적_원본!AB144</f>
        <v>0</v>
      </c>
      <c r="BD144" s="32" t="str">
        <f t="shared" si="784"/>
        <v>-</v>
      </c>
      <c r="BE144" s="11" t="str">
        <f t="shared" si="792"/>
        <v>-</v>
      </c>
      <c r="BF144" s="11">
        <f>운전실적_원본!AE144</f>
        <v>0</v>
      </c>
      <c r="BG144" s="31">
        <f t="shared" si="785"/>
        <v>0</v>
      </c>
      <c r="BH144" s="241">
        <f>INDEX(연료전지_원본!$A$4:$KY$369,MATCH($A144,연료전지_원본!$A$4:$A$369,0),MATCH($BH$4,연료전지_원본!$A$4:$KY$4,0))</f>
        <v>0</v>
      </c>
      <c r="BI144" s="241">
        <f>INDEX(연료전지_원본!$A$4:$KY$369,MATCH($A144,연료전지_원본!$A$4:$A$369,0),MATCH($BI$4,연료전지_원본!$A$4:$KY$4,0))</f>
        <v>0</v>
      </c>
      <c r="BJ144" s="241">
        <f>INDEX(연료전지_원본!$A$4:$KY$369,MATCH($A144,연료전지_원본!$A$4:$A$369,0),MATCH($BJ$4,연료전지_원본!$A$4:$KY$4,0))</f>
        <v>0</v>
      </c>
      <c r="BK144" s="241">
        <f>INDEX(연료전지_원본!$A$4:$KY$369,MATCH($A144,연료전지_원본!$A$4:$A$369,0),MATCH($BK$4,연료전지_원본!$A$4:$KY$4,0))</f>
        <v>0</v>
      </c>
      <c r="BL144" s="241">
        <f>INDEX(연료전지_원본!$A$4:$KY$369,MATCH($A144,연료전지_원본!$A$4:$A$369,0),MATCH($BL$4,연료전지_원본!$A$4:$KY$4,0))</f>
        <v>0</v>
      </c>
      <c r="BM144" s="241">
        <f>INDEX(연료전지_원본!$A$4:$KY$369,MATCH($A144,연료전지_원본!$A$4:$A$369,0),MATCH($BM$4,연료전지_원본!$A$4:$KY$4,0))</f>
        <v>0</v>
      </c>
      <c r="BN144" s="241">
        <f>INDEX(연료전지_원본!$A$4:$KY$369,MATCH($A144,연료전지_원본!$A$4:$A$369,0),MATCH($BN$4,연료전지_원본!$A$4:$KY$4,0))</f>
        <v>0</v>
      </c>
      <c r="BO144" s="241">
        <f>INDEX(연료전지_원본!$A$4:$KY$369,MATCH($A144,연료전지_원본!$A$4:$A$369,0),MATCH($BO$4,연료전지_원본!$A$4:$KY$4,0))</f>
        <v>0</v>
      </c>
      <c r="BP144" s="241">
        <f>INDEX(연료전지_원본!$A$4:$KY$369,MATCH($A144,연료전지_원본!$A$4:$A$369,0),MATCH($BP$4,연료전지_원본!$A$4:$KY$4,0))</f>
        <v>0</v>
      </c>
      <c r="BQ144" s="241">
        <f>INDEX(연료전지_원본!$A$4:$KY$369,MATCH($A144,연료전지_원본!$A$4:$A$369,0),MATCH($BQ$4,연료전지_원본!$A$4:$KY$4,0))</f>
        <v>0</v>
      </c>
      <c r="BR144" s="241">
        <f>INDEX(연료전지_원본!$A$4:$KY$369,MATCH($A144,연료전지_원본!$A$4:$A$369,0),MATCH($BR$4,연료전지_원본!$A$4:$KY$4,0))</f>
        <v>0</v>
      </c>
      <c r="BS144" s="241">
        <f>INDEX(연료전지_원본!$A$4:$KY$369,MATCH($A144,연료전지_원본!$A$4:$A$369,0),MATCH($BS$4,연료전지_원본!$A$4:$KY$4,0))</f>
        <v>0</v>
      </c>
      <c r="BT144" s="241">
        <f>INDEX(연료전지_원본!$A$4:$KY$369,MATCH($A144,연료전지_원본!$A$4:$A$369,0),MATCH($BT$4,연료전지_원본!$A$4:$KY$4,0))</f>
        <v>0</v>
      </c>
      <c r="BU144" s="241">
        <f>INDEX(연료전지_원본!$A$4:$KY$369,MATCH($A144,연료전지_원본!$A$4:$A$369,0),MATCH($BU$4,연료전지_원본!$A$4:$KY$4,0))</f>
        <v>0</v>
      </c>
      <c r="BV144" s="241">
        <f>INDEX(연료전지_원본!$A$4:$KY$369,MATCH($A144,연료전지_원본!$A$4:$A$369,0),MATCH($BV$4,연료전지_원본!$A$4:$KY$4,0))</f>
        <v>0</v>
      </c>
      <c r="BW144" s="241">
        <f>INDEX(연료전지_원본!$A$4:$KY$369,MATCH($A144,연료전지_원본!$A$4:$A$369,0),MATCH($BW$4,연료전지_원본!$A$4:$KY$4,0))</f>
        <v>0</v>
      </c>
      <c r="BX144" s="241">
        <f>INDEX(연료전지_원본!$A$4:$KY$369,MATCH($A144,연료전지_원본!$A$4:$A$369,0),MATCH($BX$4,연료전지_원본!$A$4:$KY$4,0))</f>
        <v>0</v>
      </c>
      <c r="BY144" s="241">
        <f>INDEX(연료전지_원본!$A$4:$KY$369,MATCH($A144,연료전지_원본!$A$4:$A$369,0),MATCH($BY$4,연료전지_원본!$A$4:$KY$4,0))</f>
        <v>0</v>
      </c>
      <c r="BZ144" s="241">
        <f>INDEX(연료전지_원본!$A$4:$KY$369,MATCH($A144,연료전지_원본!$A$4:$A$369,0),MATCH($BZ$4,연료전지_원본!$A$4:$KY$4,0))</f>
        <v>0</v>
      </c>
      <c r="CA144" s="241">
        <f>INDEX(연료전지_원본!$A$4:$KY$369,MATCH($A144,연료전지_원본!$A$4:$A$369,0),MATCH($CA$4,연료전지_원본!$A$4:$KY$4,0))</f>
        <v>0</v>
      </c>
      <c r="CB144" s="241">
        <f>INDEX(연료전지_원본!$A$4:$KY$369,MATCH($A144,연료전지_원본!$A$4:$A$369,0),MATCH($CB$4,연료전지_원본!$A$4:$KY$4,0))</f>
        <v>0</v>
      </c>
      <c r="CC144" s="242">
        <f>INDEX(연료전지_원본!$A$4:$KY$369,MATCH($A144,연료전지_원본!$A$4:$A$369,0),MATCH($CC$4,연료전지_원본!$A$4:$KY$4,0))</f>
        <v>0</v>
      </c>
      <c r="CD144" s="250">
        <f>INDEX(연료전지_원본!$KB$4:$KX$369,MATCH($A144,연료전지_원본!$KB$4:$KB$369,0), MATCH(CD$4,연료전지_원본!$KB$4:$KX$4,0))*1000</f>
        <v>0</v>
      </c>
      <c r="CE144" s="250">
        <f>INDEX(연료전지_원본!$KB$4:$KX$369,MATCH($A144,연료전지_원본!$KB$4:$KB$369,0), MATCH(CE$4,연료전지_원본!$KB$4:$KX$4,0))*1000</f>
        <v>0</v>
      </c>
      <c r="CF144" s="250">
        <f>INDEX(연료전지_원본!$KB$4:$KX$369,MATCH($A144,연료전지_원본!$KB$4:$KB$369,0), MATCH(CF$4,연료전지_원본!$KB$4:$KX$4,0))*1000</f>
        <v>0</v>
      </c>
      <c r="CG144" s="250">
        <f>INDEX(연료전지_원본!$KB$4:$KX$369,MATCH($A144,연료전지_원본!$KB$4:$KB$369,0), MATCH(CG$4,연료전지_원본!$KB$4:$KX$4,0))*1000</f>
        <v>0</v>
      </c>
      <c r="CH144" s="250">
        <f>INDEX(연료전지_원본!$KB$4:$KX$369,MATCH($A144,연료전지_원본!$KB$4:$KB$369,0), MATCH(CH$4,연료전지_원본!$KB$4:$KX$4,0))*1000</f>
        <v>0</v>
      </c>
      <c r="CI144" s="250">
        <f>INDEX(연료전지_원본!$KB$4:$KX$369,MATCH($A144,연료전지_원본!$KB$4:$KB$369,0), MATCH(CI$4,연료전지_원본!$KB$4:$KX$4,0))*1000</f>
        <v>0</v>
      </c>
      <c r="CJ144" s="250">
        <f>INDEX(연료전지_원본!$KB$4:$KX$369,MATCH($A144,연료전지_원본!$KB$4:$KB$369,0), MATCH(CJ$4,연료전지_원본!$KB$4:$KX$4,0))*1000</f>
        <v>0</v>
      </c>
      <c r="CK144" s="250">
        <f>INDEX(연료전지_원본!$KB$4:$KX$369,MATCH($A144,연료전지_원본!$KB$4:$KB$369,0), MATCH(CK$4,연료전지_원본!$KB$4:$KX$4,0))*1000</f>
        <v>0</v>
      </c>
      <c r="CL144" s="250">
        <f>INDEX(연료전지_원본!$KB$4:$KX$369,MATCH($A144,연료전지_원본!$KB$4:$KB$369,0), MATCH(CL$4,연료전지_원본!$KB$4:$KX$4,0))*1000</f>
        <v>0</v>
      </c>
      <c r="CM144" s="250">
        <f>INDEX(연료전지_원본!$KB$4:$KX$369,MATCH($A144,연료전지_원본!$KB$4:$KB$369,0), MATCH(CM$4,연료전지_원본!$KB$4:$KX$4,0))*1000</f>
        <v>0</v>
      </c>
      <c r="CN144" s="250">
        <f>INDEX(연료전지_원본!$KB$4:$KX$369,MATCH($A144,연료전지_원본!$KB$4:$KB$369,0), MATCH(CN$4,연료전지_원본!$KB$4:$KX$4,0))*1000</f>
        <v>0</v>
      </c>
      <c r="CO144" s="250">
        <f>INDEX(연료전지_원본!$KB$4:$KX$369,MATCH($A144,연료전지_원본!$KB$4:$KB$369,0), MATCH(CO$4,연료전지_원본!$KB$4:$KX$4,0))*1000</f>
        <v>0</v>
      </c>
      <c r="CP144" s="250">
        <f>INDEX(연료전지_원본!$KB$4:$KX$369,MATCH($A144,연료전지_원본!$KB$4:$KB$369,0), MATCH(CP$4,연료전지_원본!$KB$4:$KX$4,0))*1000</f>
        <v>0</v>
      </c>
      <c r="CQ144" s="250">
        <f>INDEX(연료전지_원본!$KB$4:$KX$369,MATCH($A144,연료전지_원본!$KB$4:$KB$369,0), MATCH(CQ$4,연료전지_원본!$KB$4:$KX$4,0))*1000</f>
        <v>0</v>
      </c>
      <c r="CR144" s="250">
        <f>INDEX(연료전지_원본!$KB$4:$KX$369,MATCH($A144,연료전지_원본!$KB$4:$KB$369,0), MATCH(CR$4,연료전지_원본!$KB$4:$KX$4,0))*1000</f>
        <v>0</v>
      </c>
      <c r="CS144" s="250">
        <f>INDEX(연료전지_원본!$KB$4:$KX$369,MATCH($A144,연료전지_원본!$KB$4:$KB$369,0), MATCH(CS$4,연료전지_원본!$KB$4:$KX$4,0))*1000</f>
        <v>0</v>
      </c>
      <c r="CT144" s="250">
        <f>INDEX(연료전지_원본!$KB$4:$KX$369,MATCH($A144,연료전지_원본!$KB$4:$KB$369,0), MATCH(CT$4,연료전지_원본!$KB$4:$KX$4,0))*1000</f>
        <v>0</v>
      </c>
      <c r="CU144" s="250">
        <f>INDEX(연료전지_원본!$KB$4:$KX$369,MATCH($A144,연료전지_원본!$KB$4:$KB$369,0), MATCH(CU$4,연료전지_원본!$KB$4:$KX$4,0))*1000</f>
        <v>0</v>
      </c>
      <c r="CV144" s="250">
        <f>INDEX(연료전지_원본!$KB$4:$KX$369,MATCH($A144,연료전지_원본!$KB$4:$KB$369,0), MATCH(CV$4,연료전지_원본!$KB$4:$KX$4,0))*1000</f>
        <v>0</v>
      </c>
      <c r="CW144" s="250">
        <f>INDEX(연료전지_원본!$KB$4:$KX$369,MATCH($A144,연료전지_원본!$KB$4:$KB$369,0), MATCH(CW$4,연료전지_원본!$KB$4:$KX$4,0))*1000</f>
        <v>0</v>
      </c>
      <c r="CX144" s="250">
        <f>INDEX(연료전지_원본!$KB$4:$KX$369,MATCH($A144,연료전지_원본!$KB$4:$KB$369,0), MATCH(CX$4,연료전지_원본!$KB$4:$KX$4,0))*1000</f>
        <v>0</v>
      </c>
      <c r="CY144" s="250">
        <f>INDEX(연료전지_원본!$KB$4:$KX$369,MATCH($A144,연료전지_원본!$KB$4:$KB$369,0), MATCH(CY$4,연료전지_원본!$KB$4:$KX$4,0))*1000</f>
        <v>0</v>
      </c>
      <c r="DV144" s="30">
        <f t="shared" si="623"/>
        <v>0</v>
      </c>
    </row>
    <row r="145" spans="1:126">
      <c r="A145" s="6">
        <v>46162</v>
      </c>
      <c r="B145" s="15">
        <f>운전실적_원본!B145</f>
        <v>0</v>
      </c>
      <c r="C145" s="16" t="str">
        <f t="shared" si="629"/>
        <v/>
      </c>
      <c r="D145" s="12">
        <f>운전실적_원본!C145</f>
        <v>0</v>
      </c>
      <c r="E145" s="12" t="str">
        <f t="shared" si="630"/>
        <v/>
      </c>
      <c r="F145" s="12">
        <f>운전실적_원본!D145</f>
        <v>0</v>
      </c>
      <c r="G145" s="16" t="str">
        <f t="shared" si="631"/>
        <v/>
      </c>
      <c r="H145" s="15">
        <f>운전실적_원본!E145</f>
        <v>0</v>
      </c>
      <c r="I145" s="16" t="str">
        <f t="shared" si="632"/>
        <v/>
      </c>
      <c r="J145" s="15">
        <f>운전실적_원본!F145</f>
        <v>0</v>
      </c>
      <c r="K145" s="16" t="str">
        <f t="shared" si="632"/>
        <v/>
      </c>
      <c r="L145" s="32">
        <f>운전실적_원본!G145</f>
        <v>0</v>
      </c>
      <c r="M145" s="31" t="str">
        <f t="shared" ref="M145" si="844">IF(OR(LEN(L145)=0,L145=0),"",L145-L144)</f>
        <v/>
      </c>
      <c r="N145" s="15">
        <f>운전실적_원본!H145</f>
        <v>0</v>
      </c>
      <c r="O145" s="16" t="str">
        <f t="shared" ref="O145" si="845">IF(OR(LEN(N145)=0,N145=0),"",N145-N144)</f>
        <v/>
      </c>
      <c r="P145" s="15">
        <f>운전실적_원본!I145</f>
        <v>0</v>
      </c>
      <c r="Q145" s="16" t="str">
        <f t="shared" ref="Q145" si="846">IF(OR(LEN(P145)=0,P145=0),"",P145-P144)</f>
        <v/>
      </c>
      <c r="R145" s="18">
        <f>운전실적_원본!J145</f>
        <v>0</v>
      </c>
      <c r="S145" s="19" t="str">
        <f t="shared" ref="S145" si="847">IF(OR(LEN(R145)=0,R145=0),"",R145-R144)</f>
        <v/>
      </c>
      <c r="T145" s="18">
        <f>운전실적_원본!K145</f>
        <v>0</v>
      </c>
      <c r="U145" s="19" t="str">
        <f t="shared" si="637"/>
        <v/>
      </c>
      <c r="V145" s="12">
        <f>운전실적_원본!L145</f>
        <v>0</v>
      </c>
      <c r="W145" s="16" t="str">
        <f t="shared" ref="W145" si="848">IF(OR(LEN(V145)=0,V145=0),"",V145-V144)</f>
        <v/>
      </c>
      <c r="X145" s="10">
        <f>운전실적_원본!M145</f>
        <v>0</v>
      </c>
      <c r="Y145" s="10">
        <f>운전실적_원본!N145</f>
        <v>0</v>
      </c>
      <c r="Z145" s="10">
        <f>운전실적_원본!O145</f>
        <v>0</v>
      </c>
      <c r="AA145" s="10">
        <f>운전실적_원본!P145</f>
        <v>0</v>
      </c>
      <c r="AB145" s="10">
        <f>운전실적_원본!Q145</f>
        <v>0</v>
      </c>
      <c r="AC145" s="20">
        <f>운전실적_원본!R145</f>
        <v>0</v>
      </c>
      <c r="AD145" s="109">
        <f>운전실적_원본!S145</f>
        <v>0</v>
      </c>
      <c r="AE145" s="110">
        <f>운전실적_원본!T145</f>
        <v>0</v>
      </c>
      <c r="AF145" s="110">
        <f>운전실적_원본!U145</f>
        <v>0</v>
      </c>
      <c r="AG145" s="110">
        <f>운전실적_원본!V145</f>
        <v>0</v>
      </c>
      <c r="AH145" s="109">
        <f t="shared" si="791"/>
        <v>0</v>
      </c>
      <c r="AI145" s="110">
        <f t="shared" si="798"/>
        <v>0</v>
      </c>
      <c r="AJ145" s="110">
        <f>운전실적_원본!Y145</f>
        <v>0</v>
      </c>
      <c r="AK145" s="110">
        <f>운전실적_원본!Z145</f>
        <v>0</v>
      </c>
      <c r="AL145" s="106"/>
      <c r="AM145" s="105"/>
      <c r="AN145" s="105"/>
      <c r="AO145" s="105"/>
      <c r="AP145" s="105"/>
      <c r="AQ145" s="108"/>
      <c r="AR145" s="105"/>
      <c r="AS145" s="105"/>
      <c r="AT145" s="102"/>
      <c r="AU145" s="102"/>
      <c r="AV145" s="102"/>
      <c r="AW145" s="102"/>
      <c r="AX145" s="32">
        <f>운전실적_원본!W145</f>
        <v>0</v>
      </c>
      <c r="AY145" s="11">
        <f>운전실적_원본!X145</f>
        <v>0</v>
      </c>
      <c r="AZ145" s="11">
        <f>운전실적_원본!Y145</f>
        <v>0</v>
      </c>
      <c r="BA145" s="11">
        <f>운전실적_원본!Z145</f>
        <v>0</v>
      </c>
      <c r="BB145" s="11">
        <f>운전실적_원본!AA145</f>
        <v>0</v>
      </c>
      <c r="BC145" s="11">
        <f>운전실적_원본!AB145</f>
        <v>0</v>
      </c>
      <c r="BD145" s="32" t="str">
        <f t="shared" si="784"/>
        <v>-</v>
      </c>
      <c r="BE145" s="11" t="str">
        <f t="shared" si="792"/>
        <v>-</v>
      </c>
      <c r="BF145" s="11">
        <f>운전실적_원본!AE145</f>
        <v>0</v>
      </c>
      <c r="BG145" s="31">
        <f t="shared" si="785"/>
        <v>0</v>
      </c>
      <c r="BH145" s="241">
        <f>INDEX(연료전지_원본!$A$4:$KY$369,MATCH($A145,연료전지_원본!$A$4:$A$369,0),MATCH($BH$4,연료전지_원본!$A$4:$KY$4,0))</f>
        <v>0</v>
      </c>
      <c r="BI145" s="241">
        <f>INDEX(연료전지_원본!$A$4:$KY$369,MATCH($A145,연료전지_원본!$A$4:$A$369,0),MATCH($BI$4,연료전지_원본!$A$4:$KY$4,0))</f>
        <v>0</v>
      </c>
      <c r="BJ145" s="241">
        <f>INDEX(연료전지_원본!$A$4:$KY$369,MATCH($A145,연료전지_원본!$A$4:$A$369,0),MATCH($BJ$4,연료전지_원본!$A$4:$KY$4,0))</f>
        <v>0</v>
      </c>
      <c r="BK145" s="241">
        <f>INDEX(연료전지_원본!$A$4:$KY$369,MATCH($A145,연료전지_원본!$A$4:$A$369,0),MATCH($BK$4,연료전지_원본!$A$4:$KY$4,0))</f>
        <v>0</v>
      </c>
      <c r="BL145" s="241">
        <f>INDEX(연료전지_원본!$A$4:$KY$369,MATCH($A145,연료전지_원본!$A$4:$A$369,0),MATCH($BL$4,연료전지_원본!$A$4:$KY$4,0))</f>
        <v>0</v>
      </c>
      <c r="BM145" s="241">
        <f>INDEX(연료전지_원본!$A$4:$KY$369,MATCH($A145,연료전지_원본!$A$4:$A$369,0),MATCH($BM$4,연료전지_원본!$A$4:$KY$4,0))</f>
        <v>0</v>
      </c>
      <c r="BN145" s="241">
        <f>INDEX(연료전지_원본!$A$4:$KY$369,MATCH($A145,연료전지_원본!$A$4:$A$369,0),MATCH($BN$4,연료전지_원본!$A$4:$KY$4,0))</f>
        <v>0</v>
      </c>
      <c r="BO145" s="241">
        <f>INDEX(연료전지_원본!$A$4:$KY$369,MATCH($A145,연료전지_원본!$A$4:$A$369,0),MATCH($BO$4,연료전지_원본!$A$4:$KY$4,0))</f>
        <v>0</v>
      </c>
      <c r="BP145" s="241">
        <f>INDEX(연료전지_원본!$A$4:$KY$369,MATCH($A145,연료전지_원본!$A$4:$A$369,0),MATCH($BP$4,연료전지_원본!$A$4:$KY$4,0))</f>
        <v>0</v>
      </c>
      <c r="BQ145" s="241">
        <f>INDEX(연료전지_원본!$A$4:$KY$369,MATCH($A145,연료전지_원본!$A$4:$A$369,0),MATCH($BQ$4,연료전지_원본!$A$4:$KY$4,0))</f>
        <v>0</v>
      </c>
      <c r="BR145" s="241">
        <f>INDEX(연료전지_원본!$A$4:$KY$369,MATCH($A145,연료전지_원본!$A$4:$A$369,0),MATCH($BR$4,연료전지_원본!$A$4:$KY$4,0))</f>
        <v>0</v>
      </c>
      <c r="BS145" s="241">
        <f>INDEX(연료전지_원본!$A$4:$KY$369,MATCH($A145,연료전지_원본!$A$4:$A$369,0),MATCH($BS$4,연료전지_원본!$A$4:$KY$4,0))</f>
        <v>0</v>
      </c>
      <c r="BT145" s="241">
        <f>INDEX(연료전지_원본!$A$4:$KY$369,MATCH($A145,연료전지_원본!$A$4:$A$369,0),MATCH($BT$4,연료전지_원본!$A$4:$KY$4,0))</f>
        <v>0</v>
      </c>
      <c r="BU145" s="241">
        <f>INDEX(연료전지_원본!$A$4:$KY$369,MATCH($A145,연료전지_원본!$A$4:$A$369,0),MATCH($BU$4,연료전지_원본!$A$4:$KY$4,0))</f>
        <v>0</v>
      </c>
      <c r="BV145" s="241">
        <f>INDEX(연료전지_원본!$A$4:$KY$369,MATCH($A145,연료전지_원본!$A$4:$A$369,0),MATCH($BV$4,연료전지_원본!$A$4:$KY$4,0))</f>
        <v>0</v>
      </c>
      <c r="BW145" s="241">
        <f>INDEX(연료전지_원본!$A$4:$KY$369,MATCH($A145,연료전지_원본!$A$4:$A$369,0),MATCH($BW$4,연료전지_원본!$A$4:$KY$4,0))</f>
        <v>0</v>
      </c>
      <c r="BX145" s="241">
        <f>INDEX(연료전지_원본!$A$4:$KY$369,MATCH($A145,연료전지_원본!$A$4:$A$369,0),MATCH($BX$4,연료전지_원본!$A$4:$KY$4,0))</f>
        <v>0</v>
      </c>
      <c r="BY145" s="241">
        <f>INDEX(연료전지_원본!$A$4:$KY$369,MATCH($A145,연료전지_원본!$A$4:$A$369,0),MATCH($BY$4,연료전지_원본!$A$4:$KY$4,0))</f>
        <v>0</v>
      </c>
      <c r="BZ145" s="241">
        <f>INDEX(연료전지_원본!$A$4:$KY$369,MATCH($A145,연료전지_원본!$A$4:$A$369,0),MATCH($BZ$4,연료전지_원본!$A$4:$KY$4,0))</f>
        <v>0</v>
      </c>
      <c r="CA145" s="241">
        <f>INDEX(연료전지_원본!$A$4:$KY$369,MATCH($A145,연료전지_원본!$A$4:$A$369,0),MATCH($CA$4,연료전지_원본!$A$4:$KY$4,0))</f>
        <v>0</v>
      </c>
      <c r="CB145" s="241">
        <f>INDEX(연료전지_원본!$A$4:$KY$369,MATCH($A145,연료전지_원본!$A$4:$A$369,0),MATCH($CB$4,연료전지_원본!$A$4:$KY$4,0))</f>
        <v>0</v>
      </c>
      <c r="CC145" s="242">
        <f>INDEX(연료전지_원본!$A$4:$KY$369,MATCH($A145,연료전지_원본!$A$4:$A$369,0),MATCH($CC$4,연료전지_원본!$A$4:$KY$4,0))</f>
        <v>0</v>
      </c>
      <c r="CD145" s="250">
        <f>INDEX(연료전지_원본!$KB$4:$KX$369,MATCH($A145,연료전지_원본!$KB$4:$KB$369,0), MATCH(CD$4,연료전지_원본!$KB$4:$KX$4,0))*1000</f>
        <v>0</v>
      </c>
      <c r="CE145" s="250">
        <f>INDEX(연료전지_원본!$KB$4:$KX$369,MATCH($A145,연료전지_원본!$KB$4:$KB$369,0), MATCH(CE$4,연료전지_원본!$KB$4:$KX$4,0))*1000</f>
        <v>0</v>
      </c>
      <c r="CF145" s="250">
        <f>INDEX(연료전지_원본!$KB$4:$KX$369,MATCH($A145,연료전지_원본!$KB$4:$KB$369,0), MATCH(CF$4,연료전지_원본!$KB$4:$KX$4,0))*1000</f>
        <v>0</v>
      </c>
      <c r="CG145" s="250">
        <f>INDEX(연료전지_원본!$KB$4:$KX$369,MATCH($A145,연료전지_원본!$KB$4:$KB$369,0), MATCH(CG$4,연료전지_원본!$KB$4:$KX$4,0))*1000</f>
        <v>0</v>
      </c>
      <c r="CH145" s="250">
        <f>INDEX(연료전지_원본!$KB$4:$KX$369,MATCH($A145,연료전지_원본!$KB$4:$KB$369,0), MATCH(CH$4,연료전지_원본!$KB$4:$KX$4,0))*1000</f>
        <v>0</v>
      </c>
      <c r="CI145" s="250">
        <f>INDEX(연료전지_원본!$KB$4:$KX$369,MATCH($A145,연료전지_원본!$KB$4:$KB$369,0), MATCH(CI$4,연료전지_원본!$KB$4:$KX$4,0))*1000</f>
        <v>0</v>
      </c>
      <c r="CJ145" s="250">
        <f>INDEX(연료전지_원본!$KB$4:$KX$369,MATCH($A145,연료전지_원본!$KB$4:$KB$369,0), MATCH(CJ$4,연료전지_원본!$KB$4:$KX$4,0))*1000</f>
        <v>0</v>
      </c>
      <c r="CK145" s="250">
        <f>INDEX(연료전지_원본!$KB$4:$KX$369,MATCH($A145,연료전지_원본!$KB$4:$KB$369,0), MATCH(CK$4,연료전지_원본!$KB$4:$KX$4,0))*1000</f>
        <v>0</v>
      </c>
      <c r="CL145" s="250">
        <f>INDEX(연료전지_원본!$KB$4:$KX$369,MATCH($A145,연료전지_원본!$KB$4:$KB$369,0), MATCH(CL$4,연료전지_원본!$KB$4:$KX$4,0))*1000</f>
        <v>0</v>
      </c>
      <c r="CM145" s="250">
        <f>INDEX(연료전지_원본!$KB$4:$KX$369,MATCH($A145,연료전지_원본!$KB$4:$KB$369,0), MATCH(CM$4,연료전지_원본!$KB$4:$KX$4,0))*1000</f>
        <v>0</v>
      </c>
      <c r="CN145" s="250">
        <f>INDEX(연료전지_원본!$KB$4:$KX$369,MATCH($A145,연료전지_원본!$KB$4:$KB$369,0), MATCH(CN$4,연료전지_원본!$KB$4:$KX$4,0))*1000</f>
        <v>0</v>
      </c>
      <c r="CO145" s="250">
        <f>INDEX(연료전지_원본!$KB$4:$KX$369,MATCH($A145,연료전지_원본!$KB$4:$KB$369,0), MATCH(CO$4,연료전지_원본!$KB$4:$KX$4,0))*1000</f>
        <v>0</v>
      </c>
      <c r="CP145" s="250">
        <f>INDEX(연료전지_원본!$KB$4:$KX$369,MATCH($A145,연료전지_원본!$KB$4:$KB$369,0), MATCH(CP$4,연료전지_원본!$KB$4:$KX$4,0))*1000</f>
        <v>0</v>
      </c>
      <c r="CQ145" s="250">
        <f>INDEX(연료전지_원본!$KB$4:$KX$369,MATCH($A145,연료전지_원본!$KB$4:$KB$369,0), MATCH(CQ$4,연료전지_원본!$KB$4:$KX$4,0))*1000</f>
        <v>0</v>
      </c>
      <c r="CR145" s="250">
        <f>INDEX(연료전지_원본!$KB$4:$KX$369,MATCH($A145,연료전지_원본!$KB$4:$KB$369,0), MATCH(CR$4,연료전지_원본!$KB$4:$KX$4,0))*1000</f>
        <v>0</v>
      </c>
      <c r="CS145" s="250">
        <f>INDEX(연료전지_원본!$KB$4:$KX$369,MATCH($A145,연료전지_원본!$KB$4:$KB$369,0), MATCH(CS$4,연료전지_원본!$KB$4:$KX$4,0))*1000</f>
        <v>0</v>
      </c>
      <c r="CT145" s="250">
        <f>INDEX(연료전지_원본!$KB$4:$KX$369,MATCH($A145,연료전지_원본!$KB$4:$KB$369,0), MATCH(CT$4,연료전지_원본!$KB$4:$KX$4,0))*1000</f>
        <v>0</v>
      </c>
      <c r="CU145" s="250">
        <f>INDEX(연료전지_원본!$KB$4:$KX$369,MATCH($A145,연료전지_원본!$KB$4:$KB$369,0), MATCH(CU$4,연료전지_원본!$KB$4:$KX$4,0))*1000</f>
        <v>0</v>
      </c>
      <c r="CV145" s="250">
        <f>INDEX(연료전지_원본!$KB$4:$KX$369,MATCH($A145,연료전지_원본!$KB$4:$KB$369,0), MATCH(CV$4,연료전지_원본!$KB$4:$KX$4,0))*1000</f>
        <v>0</v>
      </c>
      <c r="CW145" s="250">
        <f>INDEX(연료전지_원본!$KB$4:$KX$369,MATCH($A145,연료전지_원본!$KB$4:$KB$369,0), MATCH(CW$4,연료전지_원본!$KB$4:$KX$4,0))*1000</f>
        <v>0</v>
      </c>
      <c r="CX145" s="250">
        <f>INDEX(연료전지_원본!$KB$4:$KX$369,MATCH($A145,연료전지_원본!$KB$4:$KB$369,0), MATCH(CX$4,연료전지_원본!$KB$4:$KX$4,0))*1000</f>
        <v>0</v>
      </c>
      <c r="CY145" s="250">
        <f>INDEX(연료전지_원본!$KB$4:$KX$369,MATCH($A145,연료전지_원본!$KB$4:$KB$369,0), MATCH(CY$4,연료전지_원본!$KB$4:$KX$4,0))*1000</f>
        <v>0</v>
      </c>
      <c r="DV145" s="30">
        <f t="shared" si="623"/>
        <v>0</v>
      </c>
    </row>
    <row r="146" spans="1:126">
      <c r="A146" s="6">
        <v>46163</v>
      </c>
      <c r="B146" s="15">
        <f>운전실적_원본!B146</f>
        <v>0</v>
      </c>
      <c r="C146" s="16" t="str">
        <f t="shared" si="629"/>
        <v/>
      </c>
      <c r="D146" s="12">
        <f>운전실적_원본!C146</f>
        <v>0</v>
      </c>
      <c r="E146" s="12" t="str">
        <f t="shared" si="630"/>
        <v/>
      </c>
      <c r="F146" s="12">
        <f>운전실적_원본!D146</f>
        <v>0</v>
      </c>
      <c r="G146" s="16" t="str">
        <f t="shared" si="631"/>
        <v/>
      </c>
      <c r="H146" s="15">
        <f>운전실적_원본!E146</f>
        <v>0</v>
      </c>
      <c r="I146" s="16" t="str">
        <f t="shared" si="632"/>
        <v/>
      </c>
      <c r="J146" s="15">
        <f>운전실적_원본!F146</f>
        <v>0</v>
      </c>
      <c r="K146" s="16" t="str">
        <f t="shared" si="632"/>
        <v/>
      </c>
      <c r="L146" s="32">
        <f>운전실적_원본!G146</f>
        <v>0</v>
      </c>
      <c r="M146" s="31" t="str">
        <f t="shared" ref="M146" si="849">IF(OR(LEN(L146)=0,L146=0),"",L146-L145)</f>
        <v/>
      </c>
      <c r="N146" s="15">
        <f>운전실적_원본!H146</f>
        <v>0</v>
      </c>
      <c r="O146" s="16" t="str">
        <f t="shared" ref="O146" si="850">IF(OR(LEN(N146)=0,N146=0),"",N146-N145)</f>
        <v/>
      </c>
      <c r="P146" s="15">
        <f>운전실적_원본!I146</f>
        <v>0</v>
      </c>
      <c r="Q146" s="16" t="str">
        <f t="shared" ref="Q146" si="851">IF(OR(LEN(P146)=0,P146=0),"",P146-P145)</f>
        <v/>
      </c>
      <c r="R146" s="18">
        <f>운전실적_원본!J146</f>
        <v>0</v>
      </c>
      <c r="S146" s="19" t="str">
        <f t="shared" ref="S146" si="852">IF(OR(LEN(R146)=0,R146=0),"",R146-R145)</f>
        <v/>
      </c>
      <c r="T146" s="18">
        <f>운전실적_원본!K146</f>
        <v>0</v>
      </c>
      <c r="U146" s="19" t="str">
        <f t="shared" si="637"/>
        <v/>
      </c>
      <c r="V146" s="12">
        <f>운전실적_원본!L146</f>
        <v>0</v>
      </c>
      <c r="W146" s="16" t="str">
        <f t="shared" ref="W146" si="853">IF(OR(LEN(V146)=0,V146=0),"",V146-V145)</f>
        <v/>
      </c>
      <c r="X146" s="10">
        <f>운전실적_원본!M146</f>
        <v>0</v>
      </c>
      <c r="Y146" s="10">
        <f>운전실적_원본!N146</f>
        <v>0</v>
      </c>
      <c r="Z146" s="10">
        <f>운전실적_원본!O146</f>
        <v>0</v>
      </c>
      <c r="AA146" s="10">
        <f>운전실적_원본!P146</f>
        <v>0</v>
      </c>
      <c r="AB146" s="10">
        <f>운전실적_원본!Q146</f>
        <v>0</v>
      </c>
      <c r="AC146" s="20">
        <f>운전실적_원본!R146</f>
        <v>0</v>
      </c>
      <c r="AD146" s="109">
        <f>운전실적_원본!S146</f>
        <v>0</v>
      </c>
      <c r="AE146" s="110">
        <f>운전실적_원본!T146</f>
        <v>0</v>
      </c>
      <c r="AF146" s="110">
        <f>운전실적_원본!U146</f>
        <v>0</v>
      </c>
      <c r="AG146" s="110">
        <f>운전실적_원본!V146</f>
        <v>0</v>
      </c>
      <c r="AH146" s="109">
        <f t="shared" si="791"/>
        <v>0</v>
      </c>
      <c r="AI146" s="110">
        <f t="shared" si="798"/>
        <v>0</v>
      </c>
      <c r="AJ146" s="110">
        <f>운전실적_원본!Y146</f>
        <v>0</v>
      </c>
      <c r="AK146" s="110">
        <f>운전실적_원본!Z146</f>
        <v>0</v>
      </c>
      <c r="AL146" s="106"/>
      <c r="AM146" s="105"/>
      <c r="AN146" s="105"/>
      <c r="AO146" s="105"/>
      <c r="AP146" s="105"/>
      <c r="AQ146" s="108"/>
      <c r="AR146" s="105"/>
      <c r="AS146" s="105"/>
      <c r="AT146" s="102"/>
      <c r="AU146" s="102"/>
      <c r="AV146" s="102"/>
      <c r="AW146" s="102"/>
      <c r="AX146" s="32">
        <f>운전실적_원본!W146</f>
        <v>0</v>
      </c>
      <c r="AY146" s="11">
        <f>운전실적_원본!X146</f>
        <v>0</v>
      </c>
      <c r="AZ146" s="11">
        <f>운전실적_원본!Y146</f>
        <v>0</v>
      </c>
      <c r="BA146" s="11">
        <f>운전실적_원본!Z146</f>
        <v>0</v>
      </c>
      <c r="BB146" s="11">
        <f>운전실적_원본!AA146</f>
        <v>0</v>
      </c>
      <c r="BC146" s="11">
        <f>운전실적_원본!AB146</f>
        <v>0</v>
      </c>
      <c r="BD146" s="32" t="str">
        <f t="shared" si="784"/>
        <v>-</v>
      </c>
      <c r="BE146" s="11" t="str">
        <f t="shared" si="792"/>
        <v>-</v>
      </c>
      <c r="BF146" s="11">
        <f>운전실적_원본!AE146</f>
        <v>0</v>
      </c>
      <c r="BG146" s="31">
        <f t="shared" si="785"/>
        <v>0</v>
      </c>
      <c r="BH146" s="241">
        <f>INDEX(연료전지_원본!$A$4:$KY$369,MATCH($A146,연료전지_원본!$A$4:$A$369,0),MATCH($BH$4,연료전지_원본!$A$4:$KY$4,0))</f>
        <v>0</v>
      </c>
      <c r="BI146" s="241">
        <f>INDEX(연료전지_원본!$A$4:$KY$369,MATCH($A146,연료전지_원본!$A$4:$A$369,0),MATCH($BI$4,연료전지_원본!$A$4:$KY$4,0))</f>
        <v>0</v>
      </c>
      <c r="BJ146" s="241">
        <f>INDEX(연료전지_원본!$A$4:$KY$369,MATCH($A146,연료전지_원본!$A$4:$A$369,0),MATCH($BJ$4,연료전지_원본!$A$4:$KY$4,0))</f>
        <v>0</v>
      </c>
      <c r="BK146" s="241">
        <f>INDEX(연료전지_원본!$A$4:$KY$369,MATCH($A146,연료전지_원본!$A$4:$A$369,0),MATCH($BK$4,연료전지_원본!$A$4:$KY$4,0))</f>
        <v>0</v>
      </c>
      <c r="BL146" s="241">
        <f>INDEX(연료전지_원본!$A$4:$KY$369,MATCH($A146,연료전지_원본!$A$4:$A$369,0),MATCH($BL$4,연료전지_원본!$A$4:$KY$4,0))</f>
        <v>0</v>
      </c>
      <c r="BM146" s="241">
        <f>INDEX(연료전지_원본!$A$4:$KY$369,MATCH($A146,연료전지_원본!$A$4:$A$369,0),MATCH($BM$4,연료전지_원본!$A$4:$KY$4,0))</f>
        <v>0</v>
      </c>
      <c r="BN146" s="241">
        <f>INDEX(연료전지_원본!$A$4:$KY$369,MATCH($A146,연료전지_원본!$A$4:$A$369,0),MATCH($BN$4,연료전지_원본!$A$4:$KY$4,0))</f>
        <v>0</v>
      </c>
      <c r="BO146" s="241">
        <f>INDEX(연료전지_원본!$A$4:$KY$369,MATCH($A146,연료전지_원본!$A$4:$A$369,0),MATCH($BO$4,연료전지_원본!$A$4:$KY$4,0))</f>
        <v>0</v>
      </c>
      <c r="BP146" s="241">
        <f>INDEX(연료전지_원본!$A$4:$KY$369,MATCH($A146,연료전지_원본!$A$4:$A$369,0),MATCH($BP$4,연료전지_원본!$A$4:$KY$4,0))</f>
        <v>0</v>
      </c>
      <c r="BQ146" s="241">
        <f>INDEX(연료전지_원본!$A$4:$KY$369,MATCH($A146,연료전지_원본!$A$4:$A$369,0),MATCH($BQ$4,연료전지_원본!$A$4:$KY$4,0))</f>
        <v>0</v>
      </c>
      <c r="BR146" s="241">
        <f>INDEX(연료전지_원본!$A$4:$KY$369,MATCH($A146,연료전지_원본!$A$4:$A$369,0),MATCH($BR$4,연료전지_원본!$A$4:$KY$4,0))</f>
        <v>0</v>
      </c>
      <c r="BS146" s="241">
        <f>INDEX(연료전지_원본!$A$4:$KY$369,MATCH($A146,연료전지_원본!$A$4:$A$369,0),MATCH($BS$4,연료전지_원본!$A$4:$KY$4,0))</f>
        <v>0</v>
      </c>
      <c r="BT146" s="241">
        <f>INDEX(연료전지_원본!$A$4:$KY$369,MATCH($A146,연료전지_원본!$A$4:$A$369,0),MATCH($BT$4,연료전지_원본!$A$4:$KY$4,0))</f>
        <v>0</v>
      </c>
      <c r="BU146" s="241">
        <f>INDEX(연료전지_원본!$A$4:$KY$369,MATCH($A146,연료전지_원본!$A$4:$A$369,0),MATCH($BU$4,연료전지_원본!$A$4:$KY$4,0))</f>
        <v>0</v>
      </c>
      <c r="BV146" s="241">
        <f>INDEX(연료전지_원본!$A$4:$KY$369,MATCH($A146,연료전지_원본!$A$4:$A$369,0),MATCH($BV$4,연료전지_원본!$A$4:$KY$4,0))</f>
        <v>0</v>
      </c>
      <c r="BW146" s="241">
        <f>INDEX(연료전지_원본!$A$4:$KY$369,MATCH($A146,연료전지_원본!$A$4:$A$369,0),MATCH($BW$4,연료전지_원본!$A$4:$KY$4,0))</f>
        <v>0</v>
      </c>
      <c r="BX146" s="241">
        <f>INDEX(연료전지_원본!$A$4:$KY$369,MATCH($A146,연료전지_원본!$A$4:$A$369,0),MATCH($BX$4,연료전지_원본!$A$4:$KY$4,0))</f>
        <v>0</v>
      </c>
      <c r="BY146" s="241">
        <f>INDEX(연료전지_원본!$A$4:$KY$369,MATCH($A146,연료전지_원본!$A$4:$A$369,0),MATCH($BY$4,연료전지_원본!$A$4:$KY$4,0))</f>
        <v>0</v>
      </c>
      <c r="BZ146" s="241">
        <f>INDEX(연료전지_원본!$A$4:$KY$369,MATCH($A146,연료전지_원본!$A$4:$A$369,0),MATCH($BZ$4,연료전지_원본!$A$4:$KY$4,0))</f>
        <v>0</v>
      </c>
      <c r="CA146" s="241">
        <f>INDEX(연료전지_원본!$A$4:$KY$369,MATCH($A146,연료전지_원본!$A$4:$A$369,0),MATCH($CA$4,연료전지_원본!$A$4:$KY$4,0))</f>
        <v>0</v>
      </c>
      <c r="CB146" s="241">
        <f>INDEX(연료전지_원본!$A$4:$KY$369,MATCH($A146,연료전지_원본!$A$4:$A$369,0),MATCH($CB$4,연료전지_원본!$A$4:$KY$4,0))</f>
        <v>0</v>
      </c>
      <c r="CC146" s="242">
        <f>INDEX(연료전지_원본!$A$4:$KY$369,MATCH($A146,연료전지_원본!$A$4:$A$369,0),MATCH($CC$4,연료전지_원본!$A$4:$KY$4,0))</f>
        <v>0</v>
      </c>
      <c r="CD146" s="250">
        <f>INDEX(연료전지_원본!$KB$4:$KX$369,MATCH($A146,연료전지_원본!$KB$4:$KB$369,0), MATCH(CD$4,연료전지_원본!$KB$4:$KX$4,0))*1000</f>
        <v>0</v>
      </c>
      <c r="CE146" s="250">
        <f>INDEX(연료전지_원본!$KB$4:$KX$369,MATCH($A146,연료전지_원본!$KB$4:$KB$369,0), MATCH(CE$4,연료전지_원본!$KB$4:$KX$4,0))*1000</f>
        <v>0</v>
      </c>
      <c r="CF146" s="250">
        <f>INDEX(연료전지_원본!$KB$4:$KX$369,MATCH($A146,연료전지_원본!$KB$4:$KB$369,0), MATCH(CF$4,연료전지_원본!$KB$4:$KX$4,0))*1000</f>
        <v>0</v>
      </c>
      <c r="CG146" s="250">
        <f>INDEX(연료전지_원본!$KB$4:$KX$369,MATCH($A146,연료전지_원본!$KB$4:$KB$369,0), MATCH(CG$4,연료전지_원본!$KB$4:$KX$4,0))*1000</f>
        <v>0</v>
      </c>
      <c r="CH146" s="250">
        <f>INDEX(연료전지_원본!$KB$4:$KX$369,MATCH($A146,연료전지_원본!$KB$4:$KB$369,0), MATCH(CH$4,연료전지_원본!$KB$4:$KX$4,0))*1000</f>
        <v>0</v>
      </c>
      <c r="CI146" s="250">
        <f>INDEX(연료전지_원본!$KB$4:$KX$369,MATCH($A146,연료전지_원본!$KB$4:$KB$369,0), MATCH(CI$4,연료전지_원본!$KB$4:$KX$4,0))*1000</f>
        <v>0</v>
      </c>
      <c r="CJ146" s="250">
        <f>INDEX(연료전지_원본!$KB$4:$KX$369,MATCH($A146,연료전지_원본!$KB$4:$KB$369,0), MATCH(CJ$4,연료전지_원본!$KB$4:$KX$4,0))*1000</f>
        <v>0</v>
      </c>
      <c r="CK146" s="250">
        <f>INDEX(연료전지_원본!$KB$4:$KX$369,MATCH($A146,연료전지_원본!$KB$4:$KB$369,0), MATCH(CK$4,연료전지_원본!$KB$4:$KX$4,0))*1000</f>
        <v>0</v>
      </c>
      <c r="CL146" s="250">
        <f>INDEX(연료전지_원본!$KB$4:$KX$369,MATCH($A146,연료전지_원본!$KB$4:$KB$369,0), MATCH(CL$4,연료전지_원본!$KB$4:$KX$4,0))*1000</f>
        <v>0</v>
      </c>
      <c r="CM146" s="250">
        <f>INDEX(연료전지_원본!$KB$4:$KX$369,MATCH($A146,연료전지_원본!$KB$4:$KB$369,0), MATCH(CM$4,연료전지_원본!$KB$4:$KX$4,0))*1000</f>
        <v>0</v>
      </c>
      <c r="CN146" s="250">
        <f>INDEX(연료전지_원본!$KB$4:$KX$369,MATCH($A146,연료전지_원본!$KB$4:$KB$369,0), MATCH(CN$4,연료전지_원본!$KB$4:$KX$4,0))*1000</f>
        <v>0</v>
      </c>
      <c r="CO146" s="250">
        <f>INDEX(연료전지_원본!$KB$4:$KX$369,MATCH($A146,연료전지_원본!$KB$4:$KB$369,0), MATCH(CO$4,연료전지_원본!$KB$4:$KX$4,0))*1000</f>
        <v>0</v>
      </c>
      <c r="CP146" s="250">
        <f>INDEX(연료전지_원본!$KB$4:$KX$369,MATCH($A146,연료전지_원본!$KB$4:$KB$369,0), MATCH(CP$4,연료전지_원본!$KB$4:$KX$4,0))*1000</f>
        <v>0</v>
      </c>
      <c r="CQ146" s="250">
        <f>INDEX(연료전지_원본!$KB$4:$KX$369,MATCH($A146,연료전지_원본!$KB$4:$KB$369,0), MATCH(CQ$4,연료전지_원본!$KB$4:$KX$4,0))*1000</f>
        <v>0</v>
      </c>
      <c r="CR146" s="250">
        <f>INDEX(연료전지_원본!$KB$4:$KX$369,MATCH($A146,연료전지_원본!$KB$4:$KB$369,0), MATCH(CR$4,연료전지_원본!$KB$4:$KX$4,0))*1000</f>
        <v>0</v>
      </c>
      <c r="CS146" s="250">
        <f>INDEX(연료전지_원본!$KB$4:$KX$369,MATCH($A146,연료전지_원본!$KB$4:$KB$369,0), MATCH(CS$4,연료전지_원본!$KB$4:$KX$4,0))*1000</f>
        <v>0</v>
      </c>
      <c r="CT146" s="250">
        <f>INDEX(연료전지_원본!$KB$4:$KX$369,MATCH($A146,연료전지_원본!$KB$4:$KB$369,0), MATCH(CT$4,연료전지_원본!$KB$4:$KX$4,0))*1000</f>
        <v>0</v>
      </c>
      <c r="CU146" s="250">
        <f>INDEX(연료전지_원본!$KB$4:$KX$369,MATCH($A146,연료전지_원본!$KB$4:$KB$369,0), MATCH(CU$4,연료전지_원본!$KB$4:$KX$4,0))*1000</f>
        <v>0</v>
      </c>
      <c r="CV146" s="250">
        <f>INDEX(연료전지_원본!$KB$4:$KX$369,MATCH($A146,연료전지_원본!$KB$4:$KB$369,0), MATCH(CV$4,연료전지_원본!$KB$4:$KX$4,0))*1000</f>
        <v>0</v>
      </c>
      <c r="CW146" s="250">
        <f>INDEX(연료전지_원본!$KB$4:$KX$369,MATCH($A146,연료전지_원본!$KB$4:$KB$369,0), MATCH(CW$4,연료전지_원본!$KB$4:$KX$4,0))*1000</f>
        <v>0</v>
      </c>
      <c r="CX146" s="250">
        <f>INDEX(연료전지_원본!$KB$4:$KX$369,MATCH($A146,연료전지_원본!$KB$4:$KB$369,0), MATCH(CX$4,연료전지_원본!$KB$4:$KX$4,0))*1000</f>
        <v>0</v>
      </c>
      <c r="CY146" s="250">
        <f>INDEX(연료전지_원본!$KB$4:$KX$369,MATCH($A146,연료전지_원본!$KB$4:$KB$369,0), MATCH(CY$4,연료전지_원본!$KB$4:$KX$4,0))*1000</f>
        <v>0</v>
      </c>
      <c r="DV146" s="30">
        <f t="shared" si="623"/>
        <v>0</v>
      </c>
    </row>
    <row r="147" spans="1:126">
      <c r="A147" s="6">
        <v>46164</v>
      </c>
      <c r="B147" s="15">
        <f>운전실적_원본!B147</f>
        <v>0</v>
      </c>
      <c r="C147" s="16" t="str">
        <f t="shared" si="629"/>
        <v/>
      </c>
      <c r="D147" s="12">
        <f>운전실적_원본!C147</f>
        <v>0</v>
      </c>
      <c r="E147" s="12" t="str">
        <f t="shared" si="630"/>
        <v/>
      </c>
      <c r="F147" s="12">
        <f>운전실적_원본!D147</f>
        <v>0</v>
      </c>
      <c r="G147" s="16" t="str">
        <f t="shared" si="631"/>
        <v/>
      </c>
      <c r="H147" s="15">
        <f>운전실적_원본!E147</f>
        <v>0</v>
      </c>
      <c r="I147" s="16" t="str">
        <f t="shared" si="632"/>
        <v/>
      </c>
      <c r="J147" s="15">
        <f>운전실적_원본!F147</f>
        <v>0</v>
      </c>
      <c r="K147" s="16" t="str">
        <f t="shared" si="632"/>
        <v/>
      </c>
      <c r="L147" s="32">
        <f>운전실적_원본!G147</f>
        <v>0</v>
      </c>
      <c r="M147" s="31" t="str">
        <f t="shared" ref="M147" si="854">IF(OR(LEN(L147)=0,L147=0),"",L147-L146)</f>
        <v/>
      </c>
      <c r="N147" s="15">
        <f>운전실적_원본!H147</f>
        <v>0</v>
      </c>
      <c r="O147" s="16" t="str">
        <f t="shared" ref="O147" si="855">IF(OR(LEN(N147)=0,N147=0),"",N147-N146)</f>
        <v/>
      </c>
      <c r="P147" s="15">
        <f>운전실적_원본!I147</f>
        <v>0</v>
      </c>
      <c r="Q147" s="16" t="str">
        <f t="shared" ref="Q147" si="856">IF(OR(LEN(P147)=0,P147=0),"",P147-P146)</f>
        <v/>
      </c>
      <c r="R147" s="18">
        <f>운전실적_원본!J147</f>
        <v>0</v>
      </c>
      <c r="S147" s="19" t="str">
        <f t="shared" ref="S147" si="857">IF(OR(LEN(R147)=0,R147=0),"",R147-R146)</f>
        <v/>
      </c>
      <c r="T147" s="18">
        <f>운전실적_원본!K147</f>
        <v>0</v>
      </c>
      <c r="U147" s="19" t="str">
        <f t="shared" si="637"/>
        <v/>
      </c>
      <c r="V147" s="12">
        <f>운전실적_원본!L147</f>
        <v>0</v>
      </c>
      <c r="W147" s="16" t="str">
        <f t="shared" ref="W147" si="858">IF(OR(LEN(V147)=0,V147=0),"",V147-V146)</f>
        <v/>
      </c>
      <c r="X147" s="10">
        <f>운전실적_원본!M147</f>
        <v>0</v>
      </c>
      <c r="Y147" s="10">
        <f>운전실적_원본!N147</f>
        <v>0</v>
      </c>
      <c r="Z147" s="10">
        <f>운전실적_원본!O147</f>
        <v>0</v>
      </c>
      <c r="AA147" s="10">
        <f>운전실적_원본!P147</f>
        <v>0</v>
      </c>
      <c r="AB147" s="10">
        <f>운전실적_원본!Q147</f>
        <v>0</v>
      </c>
      <c r="AC147" s="20">
        <f>운전실적_원본!R147</f>
        <v>0</v>
      </c>
      <c r="AD147" s="109">
        <f>운전실적_원본!S147</f>
        <v>0</v>
      </c>
      <c r="AE147" s="110">
        <f>운전실적_원본!T147</f>
        <v>0</v>
      </c>
      <c r="AF147" s="110">
        <f>운전실적_원본!U147</f>
        <v>0</v>
      </c>
      <c r="AG147" s="110">
        <f>운전실적_원본!V147</f>
        <v>0</v>
      </c>
      <c r="AH147" s="109">
        <f t="shared" si="791"/>
        <v>0</v>
      </c>
      <c r="AI147" s="110">
        <f t="shared" si="798"/>
        <v>0</v>
      </c>
      <c r="AJ147" s="110">
        <f>운전실적_원본!Y147</f>
        <v>0</v>
      </c>
      <c r="AK147" s="110">
        <f>운전실적_원본!Z147</f>
        <v>0</v>
      </c>
      <c r="AL147" s="106"/>
      <c r="AM147" s="105"/>
      <c r="AN147" s="105"/>
      <c r="AO147" s="105"/>
      <c r="AP147" s="105"/>
      <c r="AQ147" s="108"/>
      <c r="AR147" s="105"/>
      <c r="AS147" s="105"/>
      <c r="AT147" s="102"/>
      <c r="AU147" s="102"/>
      <c r="AV147" s="102"/>
      <c r="AW147" s="102"/>
      <c r="AX147" s="32">
        <f>운전실적_원본!W147</f>
        <v>0</v>
      </c>
      <c r="AY147" s="11">
        <f>운전실적_원본!X147</f>
        <v>0</v>
      </c>
      <c r="AZ147" s="11">
        <f>운전실적_원본!Y147</f>
        <v>0</v>
      </c>
      <c r="BA147" s="11">
        <f>운전실적_원본!Z147</f>
        <v>0</v>
      </c>
      <c r="BB147" s="11">
        <f>운전실적_원본!AA147</f>
        <v>0</v>
      </c>
      <c r="BC147" s="11">
        <f>운전실적_원본!AB147</f>
        <v>0</v>
      </c>
      <c r="BD147" s="32" t="str">
        <f t="shared" si="784"/>
        <v>-</v>
      </c>
      <c r="BE147" s="11" t="str">
        <f t="shared" si="792"/>
        <v>-</v>
      </c>
      <c r="BF147" s="11">
        <f>운전실적_원본!AE147</f>
        <v>0</v>
      </c>
      <c r="BG147" s="31">
        <f t="shared" si="785"/>
        <v>0</v>
      </c>
      <c r="BH147" s="241">
        <f>INDEX(연료전지_원본!$A$4:$KY$369,MATCH($A147,연료전지_원본!$A$4:$A$369,0),MATCH($BH$4,연료전지_원본!$A$4:$KY$4,0))</f>
        <v>0</v>
      </c>
      <c r="BI147" s="241">
        <f>INDEX(연료전지_원본!$A$4:$KY$369,MATCH($A147,연료전지_원본!$A$4:$A$369,0),MATCH($BI$4,연료전지_원본!$A$4:$KY$4,0))</f>
        <v>0</v>
      </c>
      <c r="BJ147" s="241">
        <f>INDEX(연료전지_원본!$A$4:$KY$369,MATCH($A147,연료전지_원본!$A$4:$A$369,0),MATCH($BJ$4,연료전지_원본!$A$4:$KY$4,0))</f>
        <v>0</v>
      </c>
      <c r="BK147" s="241">
        <f>INDEX(연료전지_원본!$A$4:$KY$369,MATCH($A147,연료전지_원본!$A$4:$A$369,0),MATCH($BK$4,연료전지_원본!$A$4:$KY$4,0))</f>
        <v>0</v>
      </c>
      <c r="BL147" s="241">
        <f>INDEX(연료전지_원본!$A$4:$KY$369,MATCH($A147,연료전지_원본!$A$4:$A$369,0),MATCH($BL$4,연료전지_원본!$A$4:$KY$4,0))</f>
        <v>0</v>
      </c>
      <c r="BM147" s="241">
        <f>INDEX(연료전지_원본!$A$4:$KY$369,MATCH($A147,연료전지_원본!$A$4:$A$369,0),MATCH($BM$4,연료전지_원본!$A$4:$KY$4,0))</f>
        <v>0</v>
      </c>
      <c r="BN147" s="241">
        <f>INDEX(연료전지_원본!$A$4:$KY$369,MATCH($A147,연료전지_원본!$A$4:$A$369,0),MATCH($BN$4,연료전지_원본!$A$4:$KY$4,0))</f>
        <v>0</v>
      </c>
      <c r="BO147" s="241">
        <f>INDEX(연료전지_원본!$A$4:$KY$369,MATCH($A147,연료전지_원본!$A$4:$A$369,0),MATCH($BO$4,연료전지_원본!$A$4:$KY$4,0))</f>
        <v>0</v>
      </c>
      <c r="BP147" s="241">
        <f>INDEX(연료전지_원본!$A$4:$KY$369,MATCH($A147,연료전지_원본!$A$4:$A$369,0),MATCH($BP$4,연료전지_원본!$A$4:$KY$4,0))</f>
        <v>0</v>
      </c>
      <c r="BQ147" s="241">
        <f>INDEX(연료전지_원본!$A$4:$KY$369,MATCH($A147,연료전지_원본!$A$4:$A$369,0),MATCH($BQ$4,연료전지_원본!$A$4:$KY$4,0))</f>
        <v>0</v>
      </c>
      <c r="BR147" s="241">
        <f>INDEX(연료전지_원본!$A$4:$KY$369,MATCH($A147,연료전지_원본!$A$4:$A$369,0),MATCH($BR$4,연료전지_원본!$A$4:$KY$4,0))</f>
        <v>0</v>
      </c>
      <c r="BS147" s="241">
        <f>INDEX(연료전지_원본!$A$4:$KY$369,MATCH($A147,연료전지_원본!$A$4:$A$369,0),MATCH($BS$4,연료전지_원본!$A$4:$KY$4,0))</f>
        <v>0</v>
      </c>
      <c r="BT147" s="241">
        <f>INDEX(연료전지_원본!$A$4:$KY$369,MATCH($A147,연료전지_원본!$A$4:$A$369,0),MATCH($BT$4,연료전지_원본!$A$4:$KY$4,0))</f>
        <v>0</v>
      </c>
      <c r="BU147" s="241">
        <f>INDEX(연료전지_원본!$A$4:$KY$369,MATCH($A147,연료전지_원본!$A$4:$A$369,0),MATCH($BU$4,연료전지_원본!$A$4:$KY$4,0))</f>
        <v>0</v>
      </c>
      <c r="BV147" s="241">
        <f>INDEX(연료전지_원본!$A$4:$KY$369,MATCH($A147,연료전지_원본!$A$4:$A$369,0),MATCH($BV$4,연료전지_원본!$A$4:$KY$4,0))</f>
        <v>0</v>
      </c>
      <c r="BW147" s="241">
        <f>INDEX(연료전지_원본!$A$4:$KY$369,MATCH($A147,연료전지_원본!$A$4:$A$369,0),MATCH($BW$4,연료전지_원본!$A$4:$KY$4,0))</f>
        <v>0</v>
      </c>
      <c r="BX147" s="241">
        <f>INDEX(연료전지_원본!$A$4:$KY$369,MATCH($A147,연료전지_원본!$A$4:$A$369,0),MATCH($BX$4,연료전지_원본!$A$4:$KY$4,0))</f>
        <v>0</v>
      </c>
      <c r="BY147" s="241">
        <f>INDEX(연료전지_원본!$A$4:$KY$369,MATCH($A147,연료전지_원본!$A$4:$A$369,0),MATCH($BY$4,연료전지_원본!$A$4:$KY$4,0))</f>
        <v>0</v>
      </c>
      <c r="BZ147" s="241">
        <f>INDEX(연료전지_원본!$A$4:$KY$369,MATCH($A147,연료전지_원본!$A$4:$A$369,0),MATCH($BZ$4,연료전지_원본!$A$4:$KY$4,0))</f>
        <v>0</v>
      </c>
      <c r="CA147" s="241">
        <f>INDEX(연료전지_원본!$A$4:$KY$369,MATCH($A147,연료전지_원본!$A$4:$A$369,0),MATCH($CA$4,연료전지_원본!$A$4:$KY$4,0))</f>
        <v>0</v>
      </c>
      <c r="CB147" s="241">
        <f>INDEX(연료전지_원본!$A$4:$KY$369,MATCH($A147,연료전지_원본!$A$4:$A$369,0),MATCH($CB$4,연료전지_원본!$A$4:$KY$4,0))</f>
        <v>0</v>
      </c>
      <c r="CC147" s="242">
        <f>INDEX(연료전지_원본!$A$4:$KY$369,MATCH($A147,연료전지_원본!$A$4:$A$369,0),MATCH($CC$4,연료전지_원본!$A$4:$KY$4,0))</f>
        <v>0</v>
      </c>
      <c r="CD147" s="250">
        <f>INDEX(연료전지_원본!$KB$4:$KX$369,MATCH($A147,연료전지_원본!$KB$4:$KB$369,0), MATCH(CD$4,연료전지_원본!$KB$4:$KX$4,0))*1000</f>
        <v>0</v>
      </c>
      <c r="CE147" s="250">
        <f>INDEX(연료전지_원본!$KB$4:$KX$369,MATCH($A147,연료전지_원본!$KB$4:$KB$369,0), MATCH(CE$4,연료전지_원본!$KB$4:$KX$4,0))*1000</f>
        <v>0</v>
      </c>
      <c r="CF147" s="250">
        <f>INDEX(연료전지_원본!$KB$4:$KX$369,MATCH($A147,연료전지_원본!$KB$4:$KB$369,0), MATCH(CF$4,연료전지_원본!$KB$4:$KX$4,0))*1000</f>
        <v>0</v>
      </c>
      <c r="CG147" s="250">
        <f>INDEX(연료전지_원본!$KB$4:$KX$369,MATCH($A147,연료전지_원본!$KB$4:$KB$369,0), MATCH(CG$4,연료전지_원본!$KB$4:$KX$4,0))*1000</f>
        <v>0</v>
      </c>
      <c r="CH147" s="250">
        <f>INDEX(연료전지_원본!$KB$4:$KX$369,MATCH($A147,연료전지_원본!$KB$4:$KB$369,0), MATCH(CH$4,연료전지_원본!$KB$4:$KX$4,0))*1000</f>
        <v>0</v>
      </c>
      <c r="CI147" s="250">
        <f>INDEX(연료전지_원본!$KB$4:$KX$369,MATCH($A147,연료전지_원본!$KB$4:$KB$369,0), MATCH(CI$4,연료전지_원본!$KB$4:$KX$4,0))*1000</f>
        <v>0</v>
      </c>
      <c r="CJ147" s="250">
        <f>INDEX(연료전지_원본!$KB$4:$KX$369,MATCH($A147,연료전지_원본!$KB$4:$KB$369,0), MATCH(CJ$4,연료전지_원본!$KB$4:$KX$4,0))*1000</f>
        <v>0</v>
      </c>
      <c r="CK147" s="250">
        <f>INDEX(연료전지_원본!$KB$4:$KX$369,MATCH($A147,연료전지_원본!$KB$4:$KB$369,0), MATCH(CK$4,연료전지_원본!$KB$4:$KX$4,0))*1000</f>
        <v>0</v>
      </c>
      <c r="CL147" s="250">
        <f>INDEX(연료전지_원본!$KB$4:$KX$369,MATCH($A147,연료전지_원본!$KB$4:$KB$369,0), MATCH(CL$4,연료전지_원본!$KB$4:$KX$4,0))*1000</f>
        <v>0</v>
      </c>
      <c r="CM147" s="250">
        <f>INDEX(연료전지_원본!$KB$4:$KX$369,MATCH($A147,연료전지_원본!$KB$4:$KB$369,0), MATCH(CM$4,연료전지_원본!$KB$4:$KX$4,0))*1000</f>
        <v>0</v>
      </c>
      <c r="CN147" s="250">
        <f>INDEX(연료전지_원본!$KB$4:$KX$369,MATCH($A147,연료전지_원본!$KB$4:$KB$369,0), MATCH(CN$4,연료전지_원본!$KB$4:$KX$4,0))*1000</f>
        <v>0</v>
      </c>
      <c r="CO147" s="250">
        <f>INDEX(연료전지_원본!$KB$4:$KX$369,MATCH($A147,연료전지_원본!$KB$4:$KB$369,0), MATCH(CO$4,연료전지_원본!$KB$4:$KX$4,0))*1000</f>
        <v>0</v>
      </c>
      <c r="CP147" s="250">
        <f>INDEX(연료전지_원본!$KB$4:$KX$369,MATCH($A147,연료전지_원본!$KB$4:$KB$369,0), MATCH(CP$4,연료전지_원본!$KB$4:$KX$4,0))*1000</f>
        <v>0</v>
      </c>
      <c r="CQ147" s="250">
        <f>INDEX(연료전지_원본!$KB$4:$KX$369,MATCH($A147,연료전지_원본!$KB$4:$KB$369,0), MATCH(CQ$4,연료전지_원본!$KB$4:$KX$4,0))*1000</f>
        <v>0</v>
      </c>
      <c r="CR147" s="250">
        <f>INDEX(연료전지_원본!$KB$4:$KX$369,MATCH($A147,연료전지_원본!$KB$4:$KB$369,0), MATCH(CR$4,연료전지_원본!$KB$4:$KX$4,0))*1000</f>
        <v>0</v>
      </c>
      <c r="CS147" s="250">
        <f>INDEX(연료전지_원본!$KB$4:$KX$369,MATCH($A147,연료전지_원본!$KB$4:$KB$369,0), MATCH(CS$4,연료전지_원본!$KB$4:$KX$4,0))*1000</f>
        <v>0</v>
      </c>
      <c r="CT147" s="250">
        <f>INDEX(연료전지_원본!$KB$4:$KX$369,MATCH($A147,연료전지_원본!$KB$4:$KB$369,0), MATCH(CT$4,연료전지_원본!$KB$4:$KX$4,0))*1000</f>
        <v>0</v>
      </c>
      <c r="CU147" s="250">
        <f>INDEX(연료전지_원본!$KB$4:$KX$369,MATCH($A147,연료전지_원본!$KB$4:$KB$369,0), MATCH(CU$4,연료전지_원본!$KB$4:$KX$4,0))*1000</f>
        <v>0</v>
      </c>
      <c r="CV147" s="250">
        <f>INDEX(연료전지_원본!$KB$4:$KX$369,MATCH($A147,연료전지_원본!$KB$4:$KB$369,0), MATCH(CV$4,연료전지_원본!$KB$4:$KX$4,0))*1000</f>
        <v>0</v>
      </c>
      <c r="CW147" s="250">
        <f>INDEX(연료전지_원본!$KB$4:$KX$369,MATCH($A147,연료전지_원본!$KB$4:$KB$369,0), MATCH(CW$4,연료전지_원본!$KB$4:$KX$4,0))*1000</f>
        <v>0</v>
      </c>
      <c r="CX147" s="250">
        <f>INDEX(연료전지_원본!$KB$4:$KX$369,MATCH($A147,연료전지_원본!$KB$4:$KB$369,0), MATCH(CX$4,연료전지_원본!$KB$4:$KX$4,0))*1000</f>
        <v>0</v>
      </c>
      <c r="CY147" s="250">
        <f>INDEX(연료전지_원본!$KB$4:$KX$369,MATCH($A147,연료전지_원본!$KB$4:$KB$369,0), MATCH(CY$4,연료전지_원본!$KB$4:$KX$4,0))*1000</f>
        <v>0</v>
      </c>
      <c r="DV147" s="30">
        <f t="shared" si="623"/>
        <v>0</v>
      </c>
    </row>
    <row r="148" spans="1:126">
      <c r="A148" s="6">
        <v>46165</v>
      </c>
      <c r="B148" s="15">
        <f>운전실적_원본!B148</f>
        <v>0</v>
      </c>
      <c r="C148" s="16" t="str">
        <f t="shared" si="629"/>
        <v/>
      </c>
      <c r="D148" s="12">
        <f>운전실적_원본!C148</f>
        <v>0</v>
      </c>
      <c r="E148" s="12" t="str">
        <f t="shared" si="630"/>
        <v/>
      </c>
      <c r="F148" s="12">
        <f>운전실적_원본!D148</f>
        <v>0</v>
      </c>
      <c r="G148" s="16" t="str">
        <f t="shared" si="631"/>
        <v/>
      </c>
      <c r="H148" s="15">
        <f>운전실적_원본!E148</f>
        <v>0</v>
      </c>
      <c r="I148" s="16" t="str">
        <f t="shared" si="632"/>
        <v/>
      </c>
      <c r="J148" s="15">
        <f>운전실적_원본!F148</f>
        <v>0</v>
      </c>
      <c r="K148" s="16" t="str">
        <f t="shared" si="632"/>
        <v/>
      </c>
      <c r="L148" s="32">
        <f>운전실적_원본!G148</f>
        <v>0</v>
      </c>
      <c r="M148" s="31" t="str">
        <f t="shared" ref="M148" si="859">IF(OR(LEN(L148)=0,L148=0),"",L148-L147)</f>
        <v/>
      </c>
      <c r="N148" s="15">
        <f>운전실적_원본!H148</f>
        <v>0</v>
      </c>
      <c r="O148" s="16" t="str">
        <f t="shared" ref="O148" si="860">IF(OR(LEN(N148)=0,N148=0),"",N148-N147)</f>
        <v/>
      </c>
      <c r="P148" s="15">
        <f>운전실적_원본!I148</f>
        <v>0</v>
      </c>
      <c r="Q148" s="16" t="str">
        <f t="shared" ref="Q148" si="861">IF(OR(LEN(P148)=0,P148=0),"",P148-P147)</f>
        <v/>
      </c>
      <c r="R148" s="18">
        <f>운전실적_원본!J148</f>
        <v>0</v>
      </c>
      <c r="S148" s="19" t="str">
        <f t="shared" ref="S148" si="862">IF(OR(LEN(R148)=0,R148=0),"",R148-R147)</f>
        <v/>
      </c>
      <c r="T148" s="18">
        <f>운전실적_원본!K148</f>
        <v>0</v>
      </c>
      <c r="U148" s="19" t="str">
        <f t="shared" si="637"/>
        <v/>
      </c>
      <c r="V148" s="12">
        <f>운전실적_원본!L148</f>
        <v>0</v>
      </c>
      <c r="W148" s="16" t="str">
        <f t="shared" ref="W148" si="863">IF(OR(LEN(V148)=0,V148=0),"",V148-V147)</f>
        <v/>
      </c>
      <c r="X148" s="10">
        <f>운전실적_원본!M148</f>
        <v>0</v>
      </c>
      <c r="Y148" s="10">
        <f>운전실적_원본!N148</f>
        <v>0</v>
      </c>
      <c r="Z148" s="10">
        <f>운전실적_원본!O148</f>
        <v>0</v>
      </c>
      <c r="AA148" s="10">
        <f>운전실적_원본!P148</f>
        <v>0</v>
      </c>
      <c r="AB148" s="10">
        <f>운전실적_원본!Q148</f>
        <v>0</v>
      </c>
      <c r="AC148" s="20">
        <f>운전실적_원본!R148</f>
        <v>0</v>
      </c>
      <c r="AD148" s="109">
        <f>운전실적_원본!S148</f>
        <v>0</v>
      </c>
      <c r="AE148" s="110">
        <f>운전실적_원본!T148</f>
        <v>0</v>
      </c>
      <c r="AF148" s="110">
        <f>운전실적_원본!U148</f>
        <v>0</v>
      </c>
      <c r="AG148" s="110">
        <f>운전실적_원본!V148</f>
        <v>0</v>
      </c>
      <c r="AH148" s="109">
        <f t="shared" si="791"/>
        <v>0</v>
      </c>
      <c r="AI148" s="110">
        <f t="shared" si="798"/>
        <v>0</v>
      </c>
      <c r="AJ148" s="110">
        <f>운전실적_원본!Y148</f>
        <v>0</v>
      </c>
      <c r="AK148" s="110">
        <f>운전실적_원본!Z148</f>
        <v>0</v>
      </c>
      <c r="AL148" s="106"/>
      <c r="AM148" s="105"/>
      <c r="AN148" s="105"/>
      <c r="AO148" s="105"/>
      <c r="AP148" s="105"/>
      <c r="AQ148" s="108"/>
      <c r="AR148" s="105"/>
      <c r="AS148" s="105"/>
      <c r="AT148" s="102"/>
      <c r="AU148" s="102"/>
      <c r="AV148" s="102"/>
      <c r="AW148" s="102"/>
      <c r="AX148" s="32">
        <f>운전실적_원본!W148</f>
        <v>0</v>
      </c>
      <c r="AY148" s="11">
        <f>운전실적_원본!X148</f>
        <v>0</v>
      </c>
      <c r="AZ148" s="11">
        <f>운전실적_원본!Y148</f>
        <v>0</v>
      </c>
      <c r="BA148" s="11">
        <f>운전실적_원본!Z148</f>
        <v>0</v>
      </c>
      <c r="BB148" s="11">
        <f>운전실적_원본!AA148</f>
        <v>0</v>
      </c>
      <c r="BC148" s="11">
        <f>운전실적_원본!AB148</f>
        <v>0</v>
      </c>
      <c r="BD148" s="32" t="str">
        <f t="shared" si="784"/>
        <v>-</v>
      </c>
      <c r="BE148" s="11" t="str">
        <f t="shared" si="792"/>
        <v>-</v>
      </c>
      <c r="BF148" s="11">
        <f>운전실적_원본!AE148</f>
        <v>0</v>
      </c>
      <c r="BG148" s="31">
        <f t="shared" si="785"/>
        <v>0</v>
      </c>
      <c r="BH148" s="241">
        <f>INDEX(연료전지_원본!$A$4:$KY$369,MATCH($A148,연료전지_원본!$A$4:$A$369,0),MATCH($BH$4,연료전지_원본!$A$4:$KY$4,0))</f>
        <v>0</v>
      </c>
      <c r="BI148" s="241">
        <f>INDEX(연료전지_원본!$A$4:$KY$369,MATCH($A148,연료전지_원본!$A$4:$A$369,0),MATCH($BI$4,연료전지_원본!$A$4:$KY$4,0))</f>
        <v>0</v>
      </c>
      <c r="BJ148" s="241">
        <f>INDEX(연료전지_원본!$A$4:$KY$369,MATCH($A148,연료전지_원본!$A$4:$A$369,0),MATCH($BJ$4,연료전지_원본!$A$4:$KY$4,0))</f>
        <v>0</v>
      </c>
      <c r="BK148" s="241">
        <f>INDEX(연료전지_원본!$A$4:$KY$369,MATCH($A148,연료전지_원본!$A$4:$A$369,0),MATCH($BK$4,연료전지_원본!$A$4:$KY$4,0))</f>
        <v>0</v>
      </c>
      <c r="BL148" s="241">
        <f>INDEX(연료전지_원본!$A$4:$KY$369,MATCH($A148,연료전지_원본!$A$4:$A$369,0),MATCH($BL$4,연료전지_원본!$A$4:$KY$4,0))</f>
        <v>0</v>
      </c>
      <c r="BM148" s="241">
        <f>INDEX(연료전지_원본!$A$4:$KY$369,MATCH($A148,연료전지_원본!$A$4:$A$369,0),MATCH($BM$4,연료전지_원본!$A$4:$KY$4,0))</f>
        <v>0</v>
      </c>
      <c r="BN148" s="241">
        <f>INDEX(연료전지_원본!$A$4:$KY$369,MATCH($A148,연료전지_원본!$A$4:$A$369,0),MATCH($BN$4,연료전지_원본!$A$4:$KY$4,0))</f>
        <v>0</v>
      </c>
      <c r="BO148" s="241">
        <f>INDEX(연료전지_원본!$A$4:$KY$369,MATCH($A148,연료전지_원본!$A$4:$A$369,0),MATCH($BO$4,연료전지_원본!$A$4:$KY$4,0))</f>
        <v>0</v>
      </c>
      <c r="BP148" s="241">
        <f>INDEX(연료전지_원본!$A$4:$KY$369,MATCH($A148,연료전지_원본!$A$4:$A$369,0),MATCH($BP$4,연료전지_원본!$A$4:$KY$4,0))</f>
        <v>0</v>
      </c>
      <c r="BQ148" s="241">
        <f>INDEX(연료전지_원본!$A$4:$KY$369,MATCH($A148,연료전지_원본!$A$4:$A$369,0),MATCH($BQ$4,연료전지_원본!$A$4:$KY$4,0))</f>
        <v>0</v>
      </c>
      <c r="BR148" s="241">
        <f>INDEX(연료전지_원본!$A$4:$KY$369,MATCH($A148,연료전지_원본!$A$4:$A$369,0),MATCH($BR$4,연료전지_원본!$A$4:$KY$4,0))</f>
        <v>0</v>
      </c>
      <c r="BS148" s="241">
        <f>INDEX(연료전지_원본!$A$4:$KY$369,MATCH($A148,연료전지_원본!$A$4:$A$369,0),MATCH($BS$4,연료전지_원본!$A$4:$KY$4,0))</f>
        <v>0</v>
      </c>
      <c r="BT148" s="241">
        <f>INDEX(연료전지_원본!$A$4:$KY$369,MATCH($A148,연료전지_원본!$A$4:$A$369,0),MATCH($BT$4,연료전지_원본!$A$4:$KY$4,0))</f>
        <v>0</v>
      </c>
      <c r="BU148" s="241">
        <f>INDEX(연료전지_원본!$A$4:$KY$369,MATCH($A148,연료전지_원본!$A$4:$A$369,0),MATCH($BU$4,연료전지_원본!$A$4:$KY$4,0))</f>
        <v>0</v>
      </c>
      <c r="BV148" s="241">
        <f>INDEX(연료전지_원본!$A$4:$KY$369,MATCH($A148,연료전지_원본!$A$4:$A$369,0),MATCH($BV$4,연료전지_원본!$A$4:$KY$4,0))</f>
        <v>0</v>
      </c>
      <c r="BW148" s="241">
        <f>INDEX(연료전지_원본!$A$4:$KY$369,MATCH($A148,연료전지_원본!$A$4:$A$369,0),MATCH($BW$4,연료전지_원본!$A$4:$KY$4,0))</f>
        <v>0</v>
      </c>
      <c r="BX148" s="241">
        <f>INDEX(연료전지_원본!$A$4:$KY$369,MATCH($A148,연료전지_원본!$A$4:$A$369,0),MATCH($BX$4,연료전지_원본!$A$4:$KY$4,0))</f>
        <v>0</v>
      </c>
      <c r="BY148" s="241">
        <f>INDEX(연료전지_원본!$A$4:$KY$369,MATCH($A148,연료전지_원본!$A$4:$A$369,0),MATCH($BY$4,연료전지_원본!$A$4:$KY$4,0))</f>
        <v>0</v>
      </c>
      <c r="BZ148" s="241">
        <f>INDEX(연료전지_원본!$A$4:$KY$369,MATCH($A148,연료전지_원본!$A$4:$A$369,0),MATCH($BZ$4,연료전지_원본!$A$4:$KY$4,0))</f>
        <v>0</v>
      </c>
      <c r="CA148" s="241">
        <f>INDEX(연료전지_원본!$A$4:$KY$369,MATCH($A148,연료전지_원본!$A$4:$A$369,0),MATCH($CA$4,연료전지_원본!$A$4:$KY$4,0))</f>
        <v>0</v>
      </c>
      <c r="CB148" s="241">
        <f>INDEX(연료전지_원본!$A$4:$KY$369,MATCH($A148,연료전지_원본!$A$4:$A$369,0),MATCH($CB$4,연료전지_원본!$A$4:$KY$4,0))</f>
        <v>0</v>
      </c>
      <c r="CC148" s="242">
        <f>INDEX(연료전지_원본!$A$4:$KY$369,MATCH($A148,연료전지_원본!$A$4:$A$369,0),MATCH($CC$4,연료전지_원본!$A$4:$KY$4,0))</f>
        <v>0</v>
      </c>
      <c r="CD148" s="250">
        <f>INDEX(연료전지_원본!$KB$4:$KX$369,MATCH($A148,연료전지_원본!$KB$4:$KB$369,0), MATCH(CD$4,연료전지_원본!$KB$4:$KX$4,0))*1000</f>
        <v>0</v>
      </c>
      <c r="CE148" s="250">
        <f>INDEX(연료전지_원본!$KB$4:$KX$369,MATCH($A148,연료전지_원본!$KB$4:$KB$369,0), MATCH(CE$4,연료전지_원본!$KB$4:$KX$4,0))*1000</f>
        <v>0</v>
      </c>
      <c r="CF148" s="250">
        <f>INDEX(연료전지_원본!$KB$4:$KX$369,MATCH($A148,연료전지_원본!$KB$4:$KB$369,0), MATCH(CF$4,연료전지_원본!$KB$4:$KX$4,0))*1000</f>
        <v>0</v>
      </c>
      <c r="CG148" s="250">
        <f>INDEX(연료전지_원본!$KB$4:$KX$369,MATCH($A148,연료전지_원본!$KB$4:$KB$369,0), MATCH(CG$4,연료전지_원본!$KB$4:$KX$4,0))*1000</f>
        <v>0</v>
      </c>
      <c r="CH148" s="250">
        <f>INDEX(연료전지_원본!$KB$4:$KX$369,MATCH($A148,연료전지_원본!$KB$4:$KB$369,0), MATCH(CH$4,연료전지_원본!$KB$4:$KX$4,0))*1000</f>
        <v>0</v>
      </c>
      <c r="CI148" s="250">
        <f>INDEX(연료전지_원본!$KB$4:$KX$369,MATCH($A148,연료전지_원본!$KB$4:$KB$369,0), MATCH(CI$4,연료전지_원본!$KB$4:$KX$4,0))*1000</f>
        <v>0</v>
      </c>
      <c r="CJ148" s="250">
        <f>INDEX(연료전지_원본!$KB$4:$KX$369,MATCH($A148,연료전지_원본!$KB$4:$KB$369,0), MATCH(CJ$4,연료전지_원본!$KB$4:$KX$4,0))*1000</f>
        <v>0</v>
      </c>
      <c r="CK148" s="250">
        <f>INDEX(연료전지_원본!$KB$4:$KX$369,MATCH($A148,연료전지_원본!$KB$4:$KB$369,0), MATCH(CK$4,연료전지_원본!$KB$4:$KX$4,0))*1000</f>
        <v>0</v>
      </c>
      <c r="CL148" s="250">
        <f>INDEX(연료전지_원본!$KB$4:$KX$369,MATCH($A148,연료전지_원본!$KB$4:$KB$369,0), MATCH(CL$4,연료전지_원본!$KB$4:$KX$4,0))*1000</f>
        <v>0</v>
      </c>
      <c r="CM148" s="250">
        <f>INDEX(연료전지_원본!$KB$4:$KX$369,MATCH($A148,연료전지_원본!$KB$4:$KB$369,0), MATCH(CM$4,연료전지_원본!$KB$4:$KX$4,0))*1000</f>
        <v>0</v>
      </c>
      <c r="CN148" s="250">
        <f>INDEX(연료전지_원본!$KB$4:$KX$369,MATCH($A148,연료전지_원본!$KB$4:$KB$369,0), MATCH(CN$4,연료전지_원본!$KB$4:$KX$4,0))*1000</f>
        <v>0</v>
      </c>
      <c r="CO148" s="250">
        <f>INDEX(연료전지_원본!$KB$4:$KX$369,MATCH($A148,연료전지_원본!$KB$4:$KB$369,0), MATCH(CO$4,연료전지_원본!$KB$4:$KX$4,0))*1000</f>
        <v>0</v>
      </c>
      <c r="CP148" s="250">
        <f>INDEX(연료전지_원본!$KB$4:$KX$369,MATCH($A148,연료전지_원본!$KB$4:$KB$369,0), MATCH(CP$4,연료전지_원본!$KB$4:$KX$4,0))*1000</f>
        <v>0</v>
      </c>
      <c r="CQ148" s="250">
        <f>INDEX(연료전지_원본!$KB$4:$KX$369,MATCH($A148,연료전지_원본!$KB$4:$KB$369,0), MATCH(CQ$4,연료전지_원본!$KB$4:$KX$4,0))*1000</f>
        <v>0</v>
      </c>
      <c r="CR148" s="250">
        <f>INDEX(연료전지_원본!$KB$4:$KX$369,MATCH($A148,연료전지_원본!$KB$4:$KB$369,0), MATCH(CR$4,연료전지_원본!$KB$4:$KX$4,0))*1000</f>
        <v>0</v>
      </c>
      <c r="CS148" s="250">
        <f>INDEX(연료전지_원본!$KB$4:$KX$369,MATCH($A148,연료전지_원본!$KB$4:$KB$369,0), MATCH(CS$4,연료전지_원본!$KB$4:$KX$4,0))*1000</f>
        <v>0</v>
      </c>
      <c r="CT148" s="250">
        <f>INDEX(연료전지_원본!$KB$4:$KX$369,MATCH($A148,연료전지_원본!$KB$4:$KB$369,0), MATCH(CT$4,연료전지_원본!$KB$4:$KX$4,0))*1000</f>
        <v>0</v>
      </c>
      <c r="CU148" s="250">
        <f>INDEX(연료전지_원본!$KB$4:$KX$369,MATCH($A148,연료전지_원본!$KB$4:$KB$369,0), MATCH(CU$4,연료전지_원본!$KB$4:$KX$4,0))*1000</f>
        <v>0</v>
      </c>
      <c r="CV148" s="250">
        <f>INDEX(연료전지_원본!$KB$4:$KX$369,MATCH($A148,연료전지_원본!$KB$4:$KB$369,0), MATCH(CV$4,연료전지_원본!$KB$4:$KX$4,0))*1000</f>
        <v>0</v>
      </c>
      <c r="CW148" s="250">
        <f>INDEX(연료전지_원본!$KB$4:$KX$369,MATCH($A148,연료전지_원본!$KB$4:$KB$369,0), MATCH(CW$4,연료전지_원본!$KB$4:$KX$4,0))*1000</f>
        <v>0</v>
      </c>
      <c r="CX148" s="250">
        <f>INDEX(연료전지_원본!$KB$4:$KX$369,MATCH($A148,연료전지_원본!$KB$4:$KB$369,0), MATCH(CX$4,연료전지_원본!$KB$4:$KX$4,0))*1000</f>
        <v>0</v>
      </c>
      <c r="CY148" s="250">
        <f>INDEX(연료전지_원본!$KB$4:$KX$369,MATCH($A148,연료전지_원본!$KB$4:$KB$369,0), MATCH(CY$4,연료전지_원본!$KB$4:$KX$4,0))*1000</f>
        <v>0</v>
      </c>
      <c r="DV148" s="30">
        <f t="shared" si="623"/>
        <v>0</v>
      </c>
    </row>
    <row r="149" spans="1:126">
      <c r="A149" s="6">
        <v>46166</v>
      </c>
      <c r="B149" s="15">
        <f>운전실적_원본!B149</f>
        <v>0</v>
      </c>
      <c r="C149" s="16" t="str">
        <f t="shared" si="629"/>
        <v/>
      </c>
      <c r="D149" s="12">
        <f>운전실적_원본!C149</f>
        <v>0</v>
      </c>
      <c r="E149" s="12" t="str">
        <f t="shared" si="630"/>
        <v/>
      </c>
      <c r="F149" s="12">
        <f>운전실적_원본!D149</f>
        <v>0</v>
      </c>
      <c r="G149" s="16" t="str">
        <f t="shared" si="631"/>
        <v/>
      </c>
      <c r="H149" s="15">
        <f>운전실적_원본!E149</f>
        <v>0</v>
      </c>
      <c r="I149" s="16" t="str">
        <f t="shared" si="632"/>
        <v/>
      </c>
      <c r="J149" s="15">
        <f>운전실적_원본!F149</f>
        <v>0</v>
      </c>
      <c r="K149" s="16" t="str">
        <f t="shared" si="632"/>
        <v/>
      </c>
      <c r="L149" s="32">
        <f>운전실적_원본!G149</f>
        <v>0</v>
      </c>
      <c r="M149" s="31" t="str">
        <f t="shared" ref="M149" si="864">IF(OR(LEN(L149)=0,L149=0),"",L149-L148)</f>
        <v/>
      </c>
      <c r="N149" s="15">
        <f>운전실적_원본!H149</f>
        <v>0</v>
      </c>
      <c r="O149" s="16" t="str">
        <f t="shared" ref="O149" si="865">IF(OR(LEN(N149)=0,N149=0),"",N149-N148)</f>
        <v/>
      </c>
      <c r="P149" s="15">
        <f>운전실적_원본!I149</f>
        <v>0</v>
      </c>
      <c r="Q149" s="16" t="str">
        <f t="shared" ref="Q149" si="866">IF(OR(LEN(P149)=0,P149=0),"",P149-P148)</f>
        <v/>
      </c>
      <c r="R149" s="18">
        <f>운전실적_원본!J149</f>
        <v>0</v>
      </c>
      <c r="S149" s="19" t="str">
        <f t="shared" ref="S149" si="867">IF(OR(LEN(R149)=0,R149=0),"",R149-R148)</f>
        <v/>
      </c>
      <c r="T149" s="18">
        <f>운전실적_원본!K149</f>
        <v>0</v>
      </c>
      <c r="U149" s="19" t="str">
        <f t="shared" si="637"/>
        <v/>
      </c>
      <c r="V149" s="12">
        <f>운전실적_원본!L149</f>
        <v>0</v>
      </c>
      <c r="W149" s="16" t="str">
        <f t="shared" ref="W149" si="868">IF(OR(LEN(V149)=0,V149=0),"",V149-V148)</f>
        <v/>
      </c>
      <c r="X149" s="10">
        <f>운전실적_원본!M149</f>
        <v>0</v>
      </c>
      <c r="Y149" s="10">
        <f>운전실적_원본!N149</f>
        <v>0</v>
      </c>
      <c r="Z149" s="10">
        <f>운전실적_원본!O149</f>
        <v>0</v>
      </c>
      <c r="AA149" s="10">
        <f>운전실적_원본!P149</f>
        <v>0</v>
      </c>
      <c r="AB149" s="10">
        <f>운전실적_원본!Q149</f>
        <v>0</v>
      </c>
      <c r="AC149" s="20">
        <f>운전실적_원본!R149</f>
        <v>0</v>
      </c>
      <c r="AD149" s="109">
        <f>운전실적_원본!S149</f>
        <v>0</v>
      </c>
      <c r="AE149" s="110">
        <f>운전실적_원본!T149</f>
        <v>0</v>
      </c>
      <c r="AF149" s="110">
        <f>운전실적_원본!U149</f>
        <v>0</v>
      </c>
      <c r="AG149" s="110">
        <f>운전실적_원본!V149</f>
        <v>0</v>
      </c>
      <c r="AH149" s="109">
        <f t="shared" si="791"/>
        <v>0</v>
      </c>
      <c r="AI149" s="110">
        <f t="shared" si="798"/>
        <v>0</v>
      </c>
      <c r="AJ149" s="110">
        <f>운전실적_원본!Y149</f>
        <v>0</v>
      </c>
      <c r="AK149" s="110">
        <f>운전실적_원본!Z149</f>
        <v>0</v>
      </c>
      <c r="AL149" s="106"/>
      <c r="AM149" s="105"/>
      <c r="AN149" s="105"/>
      <c r="AO149" s="105"/>
      <c r="AP149" s="105"/>
      <c r="AQ149" s="108"/>
      <c r="AR149" s="105"/>
      <c r="AS149" s="105"/>
      <c r="AT149" s="102"/>
      <c r="AU149" s="102"/>
      <c r="AV149" s="102"/>
      <c r="AW149" s="102"/>
      <c r="AX149" s="32">
        <f>운전실적_원본!W149</f>
        <v>0</v>
      </c>
      <c r="AY149" s="11">
        <f>운전실적_원본!X149</f>
        <v>0</v>
      </c>
      <c r="AZ149" s="11">
        <f>운전실적_원본!Y149</f>
        <v>0</v>
      </c>
      <c r="BA149" s="11">
        <f>운전실적_원본!Z149</f>
        <v>0</v>
      </c>
      <c r="BB149" s="11">
        <f>운전실적_원본!AA149</f>
        <v>0</v>
      </c>
      <c r="BC149" s="11">
        <f>운전실적_원본!AB149</f>
        <v>0</v>
      </c>
      <c r="BD149" s="32" t="str">
        <f t="shared" si="784"/>
        <v>-</v>
      </c>
      <c r="BE149" s="11" t="str">
        <f t="shared" si="792"/>
        <v>-</v>
      </c>
      <c r="BF149" s="11">
        <f>운전실적_원본!AE149</f>
        <v>0</v>
      </c>
      <c r="BG149" s="31">
        <f t="shared" si="785"/>
        <v>0</v>
      </c>
      <c r="BH149" s="241">
        <f>INDEX(연료전지_원본!$A$4:$KY$369,MATCH($A149,연료전지_원본!$A$4:$A$369,0),MATCH($BH$4,연료전지_원본!$A$4:$KY$4,0))</f>
        <v>0</v>
      </c>
      <c r="BI149" s="241">
        <f>INDEX(연료전지_원본!$A$4:$KY$369,MATCH($A149,연료전지_원본!$A$4:$A$369,0),MATCH($BI$4,연료전지_원본!$A$4:$KY$4,0))</f>
        <v>0</v>
      </c>
      <c r="BJ149" s="241">
        <f>INDEX(연료전지_원본!$A$4:$KY$369,MATCH($A149,연료전지_원본!$A$4:$A$369,0),MATCH($BJ$4,연료전지_원본!$A$4:$KY$4,0))</f>
        <v>0</v>
      </c>
      <c r="BK149" s="241">
        <f>INDEX(연료전지_원본!$A$4:$KY$369,MATCH($A149,연료전지_원본!$A$4:$A$369,0),MATCH($BK$4,연료전지_원본!$A$4:$KY$4,0))</f>
        <v>0</v>
      </c>
      <c r="BL149" s="241">
        <f>INDEX(연료전지_원본!$A$4:$KY$369,MATCH($A149,연료전지_원본!$A$4:$A$369,0),MATCH($BL$4,연료전지_원본!$A$4:$KY$4,0))</f>
        <v>0</v>
      </c>
      <c r="BM149" s="241">
        <f>INDEX(연료전지_원본!$A$4:$KY$369,MATCH($A149,연료전지_원본!$A$4:$A$369,0),MATCH($BM$4,연료전지_원본!$A$4:$KY$4,0))</f>
        <v>0</v>
      </c>
      <c r="BN149" s="241">
        <f>INDEX(연료전지_원본!$A$4:$KY$369,MATCH($A149,연료전지_원본!$A$4:$A$369,0),MATCH($BN$4,연료전지_원본!$A$4:$KY$4,0))</f>
        <v>0</v>
      </c>
      <c r="BO149" s="241">
        <f>INDEX(연료전지_원본!$A$4:$KY$369,MATCH($A149,연료전지_원본!$A$4:$A$369,0),MATCH($BO$4,연료전지_원본!$A$4:$KY$4,0))</f>
        <v>0</v>
      </c>
      <c r="BP149" s="241">
        <f>INDEX(연료전지_원본!$A$4:$KY$369,MATCH($A149,연료전지_원본!$A$4:$A$369,0),MATCH($BP$4,연료전지_원본!$A$4:$KY$4,0))</f>
        <v>0</v>
      </c>
      <c r="BQ149" s="241">
        <f>INDEX(연료전지_원본!$A$4:$KY$369,MATCH($A149,연료전지_원본!$A$4:$A$369,0),MATCH($BQ$4,연료전지_원본!$A$4:$KY$4,0))</f>
        <v>0</v>
      </c>
      <c r="BR149" s="241">
        <f>INDEX(연료전지_원본!$A$4:$KY$369,MATCH($A149,연료전지_원본!$A$4:$A$369,0),MATCH($BR$4,연료전지_원본!$A$4:$KY$4,0))</f>
        <v>0</v>
      </c>
      <c r="BS149" s="241">
        <f>INDEX(연료전지_원본!$A$4:$KY$369,MATCH($A149,연료전지_원본!$A$4:$A$369,0),MATCH($BS$4,연료전지_원본!$A$4:$KY$4,0))</f>
        <v>0</v>
      </c>
      <c r="BT149" s="241">
        <f>INDEX(연료전지_원본!$A$4:$KY$369,MATCH($A149,연료전지_원본!$A$4:$A$369,0),MATCH($BT$4,연료전지_원본!$A$4:$KY$4,0))</f>
        <v>0</v>
      </c>
      <c r="BU149" s="241">
        <f>INDEX(연료전지_원본!$A$4:$KY$369,MATCH($A149,연료전지_원본!$A$4:$A$369,0),MATCH($BU$4,연료전지_원본!$A$4:$KY$4,0))</f>
        <v>0</v>
      </c>
      <c r="BV149" s="241">
        <f>INDEX(연료전지_원본!$A$4:$KY$369,MATCH($A149,연료전지_원본!$A$4:$A$369,0),MATCH($BV$4,연료전지_원본!$A$4:$KY$4,0))</f>
        <v>0</v>
      </c>
      <c r="BW149" s="241">
        <f>INDEX(연료전지_원본!$A$4:$KY$369,MATCH($A149,연료전지_원본!$A$4:$A$369,0),MATCH($BW$4,연료전지_원본!$A$4:$KY$4,0))</f>
        <v>0</v>
      </c>
      <c r="BX149" s="241">
        <f>INDEX(연료전지_원본!$A$4:$KY$369,MATCH($A149,연료전지_원본!$A$4:$A$369,0),MATCH($BX$4,연료전지_원본!$A$4:$KY$4,0))</f>
        <v>0</v>
      </c>
      <c r="BY149" s="241">
        <f>INDEX(연료전지_원본!$A$4:$KY$369,MATCH($A149,연료전지_원본!$A$4:$A$369,0),MATCH($BY$4,연료전지_원본!$A$4:$KY$4,0))</f>
        <v>0</v>
      </c>
      <c r="BZ149" s="241">
        <f>INDEX(연료전지_원본!$A$4:$KY$369,MATCH($A149,연료전지_원본!$A$4:$A$369,0),MATCH($BZ$4,연료전지_원본!$A$4:$KY$4,0))</f>
        <v>0</v>
      </c>
      <c r="CA149" s="241">
        <f>INDEX(연료전지_원본!$A$4:$KY$369,MATCH($A149,연료전지_원본!$A$4:$A$369,0),MATCH($CA$4,연료전지_원본!$A$4:$KY$4,0))</f>
        <v>0</v>
      </c>
      <c r="CB149" s="241">
        <f>INDEX(연료전지_원본!$A$4:$KY$369,MATCH($A149,연료전지_원본!$A$4:$A$369,0),MATCH($CB$4,연료전지_원본!$A$4:$KY$4,0))</f>
        <v>0</v>
      </c>
      <c r="CC149" s="242">
        <f>INDEX(연료전지_원본!$A$4:$KY$369,MATCH($A149,연료전지_원본!$A$4:$A$369,0),MATCH($CC$4,연료전지_원본!$A$4:$KY$4,0))</f>
        <v>0</v>
      </c>
      <c r="CD149" s="250">
        <f>INDEX(연료전지_원본!$KB$4:$KX$369,MATCH($A149,연료전지_원본!$KB$4:$KB$369,0), MATCH(CD$4,연료전지_원본!$KB$4:$KX$4,0))*1000</f>
        <v>0</v>
      </c>
      <c r="CE149" s="250">
        <f>INDEX(연료전지_원본!$KB$4:$KX$369,MATCH($A149,연료전지_원본!$KB$4:$KB$369,0), MATCH(CE$4,연료전지_원본!$KB$4:$KX$4,0))*1000</f>
        <v>0</v>
      </c>
      <c r="CF149" s="250">
        <f>INDEX(연료전지_원본!$KB$4:$KX$369,MATCH($A149,연료전지_원본!$KB$4:$KB$369,0), MATCH(CF$4,연료전지_원본!$KB$4:$KX$4,0))*1000</f>
        <v>0</v>
      </c>
      <c r="CG149" s="250">
        <f>INDEX(연료전지_원본!$KB$4:$KX$369,MATCH($A149,연료전지_원본!$KB$4:$KB$369,0), MATCH(CG$4,연료전지_원본!$KB$4:$KX$4,0))*1000</f>
        <v>0</v>
      </c>
      <c r="CH149" s="250">
        <f>INDEX(연료전지_원본!$KB$4:$KX$369,MATCH($A149,연료전지_원본!$KB$4:$KB$369,0), MATCH(CH$4,연료전지_원본!$KB$4:$KX$4,0))*1000</f>
        <v>0</v>
      </c>
      <c r="CI149" s="250">
        <f>INDEX(연료전지_원본!$KB$4:$KX$369,MATCH($A149,연료전지_원본!$KB$4:$KB$369,0), MATCH(CI$4,연료전지_원본!$KB$4:$KX$4,0))*1000</f>
        <v>0</v>
      </c>
      <c r="CJ149" s="250">
        <f>INDEX(연료전지_원본!$KB$4:$KX$369,MATCH($A149,연료전지_원본!$KB$4:$KB$369,0), MATCH(CJ$4,연료전지_원본!$KB$4:$KX$4,0))*1000</f>
        <v>0</v>
      </c>
      <c r="CK149" s="250">
        <f>INDEX(연료전지_원본!$KB$4:$KX$369,MATCH($A149,연료전지_원본!$KB$4:$KB$369,0), MATCH(CK$4,연료전지_원본!$KB$4:$KX$4,0))*1000</f>
        <v>0</v>
      </c>
      <c r="CL149" s="250">
        <f>INDEX(연료전지_원본!$KB$4:$KX$369,MATCH($A149,연료전지_원본!$KB$4:$KB$369,0), MATCH(CL$4,연료전지_원본!$KB$4:$KX$4,0))*1000</f>
        <v>0</v>
      </c>
      <c r="CM149" s="250">
        <f>INDEX(연료전지_원본!$KB$4:$KX$369,MATCH($A149,연료전지_원본!$KB$4:$KB$369,0), MATCH(CM$4,연료전지_원본!$KB$4:$KX$4,0))*1000</f>
        <v>0</v>
      </c>
      <c r="CN149" s="250">
        <f>INDEX(연료전지_원본!$KB$4:$KX$369,MATCH($A149,연료전지_원본!$KB$4:$KB$369,0), MATCH(CN$4,연료전지_원본!$KB$4:$KX$4,0))*1000</f>
        <v>0</v>
      </c>
      <c r="CO149" s="250">
        <f>INDEX(연료전지_원본!$KB$4:$KX$369,MATCH($A149,연료전지_원본!$KB$4:$KB$369,0), MATCH(CO$4,연료전지_원본!$KB$4:$KX$4,0))*1000</f>
        <v>0</v>
      </c>
      <c r="CP149" s="250">
        <f>INDEX(연료전지_원본!$KB$4:$KX$369,MATCH($A149,연료전지_원본!$KB$4:$KB$369,0), MATCH(CP$4,연료전지_원본!$KB$4:$KX$4,0))*1000</f>
        <v>0</v>
      </c>
      <c r="CQ149" s="250">
        <f>INDEX(연료전지_원본!$KB$4:$KX$369,MATCH($A149,연료전지_원본!$KB$4:$KB$369,0), MATCH(CQ$4,연료전지_원본!$KB$4:$KX$4,0))*1000</f>
        <v>0</v>
      </c>
      <c r="CR149" s="250">
        <f>INDEX(연료전지_원본!$KB$4:$KX$369,MATCH($A149,연료전지_원본!$KB$4:$KB$369,0), MATCH(CR$4,연료전지_원본!$KB$4:$KX$4,0))*1000</f>
        <v>0</v>
      </c>
      <c r="CS149" s="250">
        <f>INDEX(연료전지_원본!$KB$4:$KX$369,MATCH($A149,연료전지_원본!$KB$4:$KB$369,0), MATCH(CS$4,연료전지_원본!$KB$4:$KX$4,0))*1000</f>
        <v>0</v>
      </c>
      <c r="CT149" s="250">
        <f>INDEX(연료전지_원본!$KB$4:$KX$369,MATCH($A149,연료전지_원본!$KB$4:$KB$369,0), MATCH(CT$4,연료전지_원본!$KB$4:$KX$4,0))*1000</f>
        <v>0</v>
      </c>
      <c r="CU149" s="250">
        <f>INDEX(연료전지_원본!$KB$4:$KX$369,MATCH($A149,연료전지_원본!$KB$4:$KB$369,0), MATCH(CU$4,연료전지_원본!$KB$4:$KX$4,0))*1000</f>
        <v>0</v>
      </c>
      <c r="CV149" s="250">
        <f>INDEX(연료전지_원본!$KB$4:$KX$369,MATCH($A149,연료전지_원본!$KB$4:$KB$369,0), MATCH(CV$4,연료전지_원본!$KB$4:$KX$4,0))*1000</f>
        <v>0</v>
      </c>
      <c r="CW149" s="250">
        <f>INDEX(연료전지_원본!$KB$4:$KX$369,MATCH($A149,연료전지_원본!$KB$4:$KB$369,0), MATCH(CW$4,연료전지_원본!$KB$4:$KX$4,0))*1000</f>
        <v>0</v>
      </c>
      <c r="CX149" s="250">
        <f>INDEX(연료전지_원본!$KB$4:$KX$369,MATCH($A149,연료전지_원본!$KB$4:$KB$369,0), MATCH(CX$4,연료전지_원본!$KB$4:$KX$4,0))*1000</f>
        <v>0</v>
      </c>
      <c r="CY149" s="250">
        <f>INDEX(연료전지_원본!$KB$4:$KX$369,MATCH($A149,연료전지_원본!$KB$4:$KB$369,0), MATCH(CY$4,연료전지_원본!$KB$4:$KX$4,0))*1000</f>
        <v>0</v>
      </c>
      <c r="DV149" s="30">
        <f t="shared" si="623"/>
        <v>0</v>
      </c>
    </row>
    <row r="150" spans="1:126">
      <c r="A150" s="6">
        <v>46167</v>
      </c>
      <c r="B150" s="15">
        <f>운전실적_원본!B150</f>
        <v>0</v>
      </c>
      <c r="C150" s="16" t="str">
        <f t="shared" si="629"/>
        <v/>
      </c>
      <c r="D150" s="12">
        <f>운전실적_원본!C150</f>
        <v>0</v>
      </c>
      <c r="E150" s="12" t="str">
        <f t="shared" si="630"/>
        <v/>
      </c>
      <c r="F150" s="12">
        <f>운전실적_원본!D150</f>
        <v>0</v>
      </c>
      <c r="G150" s="16" t="str">
        <f t="shared" si="631"/>
        <v/>
      </c>
      <c r="H150" s="15">
        <f>운전실적_원본!E150</f>
        <v>0</v>
      </c>
      <c r="I150" s="16" t="str">
        <f t="shared" si="632"/>
        <v/>
      </c>
      <c r="J150" s="15">
        <f>운전실적_원본!F150</f>
        <v>0</v>
      </c>
      <c r="K150" s="16" t="str">
        <f t="shared" si="632"/>
        <v/>
      </c>
      <c r="L150" s="32">
        <f>운전실적_원본!G150</f>
        <v>0</v>
      </c>
      <c r="M150" s="31" t="str">
        <f t="shared" ref="M150" si="869">IF(OR(LEN(L150)=0,L150=0),"",L150-L149)</f>
        <v/>
      </c>
      <c r="N150" s="15">
        <f>운전실적_원본!H150</f>
        <v>0</v>
      </c>
      <c r="O150" s="16" t="str">
        <f t="shared" ref="O150" si="870">IF(OR(LEN(N150)=0,N150=0),"",N150-N149)</f>
        <v/>
      </c>
      <c r="P150" s="15">
        <f>운전실적_원본!I150</f>
        <v>0</v>
      </c>
      <c r="Q150" s="16" t="str">
        <f t="shared" ref="Q150" si="871">IF(OR(LEN(P150)=0,P150=0),"",P150-P149)</f>
        <v/>
      </c>
      <c r="R150" s="18">
        <f>운전실적_원본!J150</f>
        <v>0</v>
      </c>
      <c r="S150" s="19" t="str">
        <f t="shared" ref="S150" si="872">IF(OR(LEN(R150)=0,R150=0),"",R150-R149)</f>
        <v/>
      </c>
      <c r="T150" s="18">
        <f>운전실적_원본!K150</f>
        <v>0</v>
      </c>
      <c r="U150" s="19" t="str">
        <f t="shared" si="637"/>
        <v/>
      </c>
      <c r="V150" s="12">
        <f>운전실적_원본!L150</f>
        <v>0</v>
      </c>
      <c r="W150" s="16" t="str">
        <f t="shared" ref="W150" si="873">IF(OR(LEN(V150)=0,V150=0),"",V150-V149)</f>
        <v/>
      </c>
      <c r="X150" s="10">
        <f>운전실적_원본!M150</f>
        <v>0</v>
      </c>
      <c r="Y150" s="10">
        <f>운전실적_원본!N150</f>
        <v>0</v>
      </c>
      <c r="Z150" s="10">
        <f>운전실적_원본!O150</f>
        <v>0</v>
      </c>
      <c r="AA150" s="10">
        <f>운전실적_원본!P150</f>
        <v>0</v>
      </c>
      <c r="AB150" s="10">
        <f>운전실적_원본!Q150</f>
        <v>0</v>
      </c>
      <c r="AC150" s="20">
        <f>운전실적_원본!R150</f>
        <v>0</v>
      </c>
      <c r="AD150" s="109">
        <f>운전실적_원본!S150</f>
        <v>0</v>
      </c>
      <c r="AE150" s="110">
        <f>운전실적_원본!T150</f>
        <v>0</v>
      </c>
      <c r="AF150" s="110">
        <f>운전실적_원본!U150</f>
        <v>0</v>
      </c>
      <c r="AG150" s="110">
        <f>운전실적_원본!V150</f>
        <v>0</v>
      </c>
      <c r="AH150" s="109">
        <f t="shared" si="791"/>
        <v>0</v>
      </c>
      <c r="AI150" s="110">
        <f t="shared" si="798"/>
        <v>0</v>
      </c>
      <c r="AJ150" s="110">
        <f>운전실적_원본!Y150</f>
        <v>0</v>
      </c>
      <c r="AK150" s="110">
        <f>운전실적_원본!Z150</f>
        <v>0</v>
      </c>
      <c r="AL150" s="106"/>
      <c r="AM150" s="105"/>
      <c r="AN150" s="105"/>
      <c r="AO150" s="105"/>
      <c r="AP150" s="105"/>
      <c r="AQ150" s="108"/>
      <c r="AR150" s="105"/>
      <c r="AS150" s="105"/>
      <c r="AT150" s="102"/>
      <c r="AU150" s="102"/>
      <c r="AV150" s="102"/>
      <c r="AW150" s="102"/>
      <c r="AX150" s="32">
        <f>운전실적_원본!W150</f>
        <v>0</v>
      </c>
      <c r="AY150" s="11">
        <f>운전실적_원본!X150</f>
        <v>0</v>
      </c>
      <c r="AZ150" s="11">
        <f>운전실적_원본!Y150</f>
        <v>0</v>
      </c>
      <c r="BA150" s="11">
        <f>운전실적_원본!Z150</f>
        <v>0</v>
      </c>
      <c r="BB150" s="11">
        <f>운전실적_원본!AA150</f>
        <v>0</v>
      </c>
      <c r="BC150" s="11">
        <f>운전실적_원본!AB150</f>
        <v>0</v>
      </c>
      <c r="BD150" s="32" t="str">
        <f t="shared" si="784"/>
        <v>-</v>
      </c>
      <c r="BE150" s="11" t="str">
        <f t="shared" si="792"/>
        <v>-</v>
      </c>
      <c r="BF150" s="11">
        <f>운전실적_원본!AE150</f>
        <v>0</v>
      </c>
      <c r="BG150" s="31">
        <f t="shared" si="785"/>
        <v>0</v>
      </c>
      <c r="BH150" s="241">
        <f>INDEX(연료전지_원본!$A$4:$KY$369,MATCH($A150,연료전지_원본!$A$4:$A$369,0),MATCH($BH$4,연료전지_원본!$A$4:$KY$4,0))</f>
        <v>0</v>
      </c>
      <c r="BI150" s="241">
        <f>INDEX(연료전지_원본!$A$4:$KY$369,MATCH($A150,연료전지_원본!$A$4:$A$369,0),MATCH($BI$4,연료전지_원본!$A$4:$KY$4,0))</f>
        <v>0</v>
      </c>
      <c r="BJ150" s="241">
        <f>INDEX(연료전지_원본!$A$4:$KY$369,MATCH($A150,연료전지_원본!$A$4:$A$369,0),MATCH($BJ$4,연료전지_원본!$A$4:$KY$4,0))</f>
        <v>0</v>
      </c>
      <c r="BK150" s="241">
        <f>INDEX(연료전지_원본!$A$4:$KY$369,MATCH($A150,연료전지_원본!$A$4:$A$369,0),MATCH($BK$4,연료전지_원본!$A$4:$KY$4,0))</f>
        <v>0</v>
      </c>
      <c r="BL150" s="241">
        <f>INDEX(연료전지_원본!$A$4:$KY$369,MATCH($A150,연료전지_원본!$A$4:$A$369,0),MATCH($BL$4,연료전지_원본!$A$4:$KY$4,0))</f>
        <v>0</v>
      </c>
      <c r="BM150" s="241">
        <f>INDEX(연료전지_원본!$A$4:$KY$369,MATCH($A150,연료전지_원본!$A$4:$A$369,0),MATCH($BM$4,연료전지_원본!$A$4:$KY$4,0))</f>
        <v>0</v>
      </c>
      <c r="BN150" s="241">
        <f>INDEX(연료전지_원본!$A$4:$KY$369,MATCH($A150,연료전지_원본!$A$4:$A$369,0),MATCH($BN$4,연료전지_원본!$A$4:$KY$4,0))</f>
        <v>0</v>
      </c>
      <c r="BO150" s="241">
        <f>INDEX(연료전지_원본!$A$4:$KY$369,MATCH($A150,연료전지_원본!$A$4:$A$369,0),MATCH($BO$4,연료전지_원본!$A$4:$KY$4,0))</f>
        <v>0</v>
      </c>
      <c r="BP150" s="241">
        <f>INDEX(연료전지_원본!$A$4:$KY$369,MATCH($A150,연료전지_원본!$A$4:$A$369,0),MATCH($BP$4,연료전지_원본!$A$4:$KY$4,0))</f>
        <v>0</v>
      </c>
      <c r="BQ150" s="241">
        <f>INDEX(연료전지_원본!$A$4:$KY$369,MATCH($A150,연료전지_원본!$A$4:$A$369,0),MATCH($BQ$4,연료전지_원본!$A$4:$KY$4,0))</f>
        <v>0</v>
      </c>
      <c r="BR150" s="241">
        <f>INDEX(연료전지_원본!$A$4:$KY$369,MATCH($A150,연료전지_원본!$A$4:$A$369,0),MATCH($BR$4,연료전지_원본!$A$4:$KY$4,0))</f>
        <v>0</v>
      </c>
      <c r="BS150" s="241">
        <f>INDEX(연료전지_원본!$A$4:$KY$369,MATCH($A150,연료전지_원본!$A$4:$A$369,0),MATCH($BS$4,연료전지_원본!$A$4:$KY$4,0))</f>
        <v>0</v>
      </c>
      <c r="BT150" s="241">
        <f>INDEX(연료전지_원본!$A$4:$KY$369,MATCH($A150,연료전지_원본!$A$4:$A$369,0),MATCH($BT$4,연료전지_원본!$A$4:$KY$4,0))</f>
        <v>0</v>
      </c>
      <c r="BU150" s="241">
        <f>INDEX(연료전지_원본!$A$4:$KY$369,MATCH($A150,연료전지_원본!$A$4:$A$369,0),MATCH($BU$4,연료전지_원본!$A$4:$KY$4,0))</f>
        <v>0</v>
      </c>
      <c r="BV150" s="241">
        <f>INDEX(연료전지_원본!$A$4:$KY$369,MATCH($A150,연료전지_원본!$A$4:$A$369,0),MATCH($BV$4,연료전지_원본!$A$4:$KY$4,0))</f>
        <v>0</v>
      </c>
      <c r="BW150" s="241">
        <f>INDEX(연료전지_원본!$A$4:$KY$369,MATCH($A150,연료전지_원본!$A$4:$A$369,0),MATCH($BW$4,연료전지_원본!$A$4:$KY$4,0))</f>
        <v>0</v>
      </c>
      <c r="BX150" s="241">
        <f>INDEX(연료전지_원본!$A$4:$KY$369,MATCH($A150,연료전지_원본!$A$4:$A$369,0),MATCH($BX$4,연료전지_원본!$A$4:$KY$4,0))</f>
        <v>0</v>
      </c>
      <c r="BY150" s="241">
        <f>INDEX(연료전지_원본!$A$4:$KY$369,MATCH($A150,연료전지_원본!$A$4:$A$369,0),MATCH($BY$4,연료전지_원본!$A$4:$KY$4,0))</f>
        <v>0</v>
      </c>
      <c r="BZ150" s="241">
        <f>INDEX(연료전지_원본!$A$4:$KY$369,MATCH($A150,연료전지_원본!$A$4:$A$369,0),MATCH($BZ$4,연료전지_원본!$A$4:$KY$4,0))</f>
        <v>0</v>
      </c>
      <c r="CA150" s="241">
        <f>INDEX(연료전지_원본!$A$4:$KY$369,MATCH($A150,연료전지_원본!$A$4:$A$369,0),MATCH($CA$4,연료전지_원본!$A$4:$KY$4,0))</f>
        <v>0</v>
      </c>
      <c r="CB150" s="241">
        <f>INDEX(연료전지_원본!$A$4:$KY$369,MATCH($A150,연료전지_원본!$A$4:$A$369,0),MATCH($CB$4,연료전지_원본!$A$4:$KY$4,0))</f>
        <v>0</v>
      </c>
      <c r="CC150" s="242">
        <f>INDEX(연료전지_원본!$A$4:$KY$369,MATCH($A150,연료전지_원본!$A$4:$A$369,0),MATCH($CC$4,연료전지_원본!$A$4:$KY$4,0))</f>
        <v>0</v>
      </c>
      <c r="CD150" s="250">
        <f>INDEX(연료전지_원본!$KB$4:$KX$369,MATCH($A150,연료전지_원본!$KB$4:$KB$369,0), MATCH(CD$4,연료전지_원본!$KB$4:$KX$4,0))*1000</f>
        <v>0</v>
      </c>
      <c r="CE150" s="250">
        <f>INDEX(연료전지_원본!$KB$4:$KX$369,MATCH($A150,연료전지_원본!$KB$4:$KB$369,0), MATCH(CE$4,연료전지_원본!$KB$4:$KX$4,0))*1000</f>
        <v>0</v>
      </c>
      <c r="CF150" s="250">
        <f>INDEX(연료전지_원본!$KB$4:$KX$369,MATCH($A150,연료전지_원본!$KB$4:$KB$369,0), MATCH(CF$4,연료전지_원본!$KB$4:$KX$4,0))*1000</f>
        <v>0</v>
      </c>
      <c r="CG150" s="250">
        <f>INDEX(연료전지_원본!$KB$4:$KX$369,MATCH($A150,연료전지_원본!$KB$4:$KB$369,0), MATCH(CG$4,연료전지_원본!$KB$4:$KX$4,0))*1000</f>
        <v>0</v>
      </c>
      <c r="CH150" s="250">
        <f>INDEX(연료전지_원본!$KB$4:$KX$369,MATCH($A150,연료전지_원본!$KB$4:$KB$369,0), MATCH(CH$4,연료전지_원본!$KB$4:$KX$4,0))*1000</f>
        <v>0</v>
      </c>
      <c r="CI150" s="250">
        <f>INDEX(연료전지_원본!$KB$4:$KX$369,MATCH($A150,연료전지_원본!$KB$4:$KB$369,0), MATCH(CI$4,연료전지_원본!$KB$4:$KX$4,0))*1000</f>
        <v>0</v>
      </c>
      <c r="CJ150" s="250">
        <f>INDEX(연료전지_원본!$KB$4:$KX$369,MATCH($A150,연료전지_원본!$KB$4:$KB$369,0), MATCH(CJ$4,연료전지_원본!$KB$4:$KX$4,0))*1000</f>
        <v>0</v>
      </c>
      <c r="CK150" s="250">
        <f>INDEX(연료전지_원본!$KB$4:$KX$369,MATCH($A150,연료전지_원본!$KB$4:$KB$369,0), MATCH(CK$4,연료전지_원본!$KB$4:$KX$4,0))*1000</f>
        <v>0</v>
      </c>
      <c r="CL150" s="250">
        <f>INDEX(연료전지_원본!$KB$4:$KX$369,MATCH($A150,연료전지_원본!$KB$4:$KB$369,0), MATCH(CL$4,연료전지_원본!$KB$4:$KX$4,0))*1000</f>
        <v>0</v>
      </c>
      <c r="CM150" s="250">
        <f>INDEX(연료전지_원본!$KB$4:$KX$369,MATCH($A150,연료전지_원본!$KB$4:$KB$369,0), MATCH(CM$4,연료전지_원본!$KB$4:$KX$4,0))*1000</f>
        <v>0</v>
      </c>
      <c r="CN150" s="250">
        <f>INDEX(연료전지_원본!$KB$4:$KX$369,MATCH($A150,연료전지_원본!$KB$4:$KB$369,0), MATCH(CN$4,연료전지_원본!$KB$4:$KX$4,0))*1000</f>
        <v>0</v>
      </c>
      <c r="CO150" s="250">
        <f>INDEX(연료전지_원본!$KB$4:$KX$369,MATCH($A150,연료전지_원본!$KB$4:$KB$369,0), MATCH(CO$4,연료전지_원본!$KB$4:$KX$4,0))*1000</f>
        <v>0</v>
      </c>
      <c r="CP150" s="250">
        <f>INDEX(연료전지_원본!$KB$4:$KX$369,MATCH($A150,연료전지_원본!$KB$4:$KB$369,0), MATCH(CP$4,연료전지_원본!$KB$4:$KX$4,0))*1000</f>
        <v>0</v>
      </c>
      <c r="CQ150" s="250">
        <f>INDEX(연료전지_원본!$KB$4:$KX$369,MATCH($A150,연료전지_원본!$KB$4:$KB$369,0), MATCH(CQ$4,연료전지_원본!$KB$4:$KX$4,0))*1000</f>
        <v>0</v>
      </c>
      <c r="CR150" s="250">
        <f>INDEX(연료전지_원본!$KB$4:$KX$369,MATCH($A150,연료전지_원본!$KB$4:$KB$369,0), MATCH(CR$4,연료전지_원본!$KB$4:$KX$4,0))*1000</f>
        <v>0</v>
      </c>
      <c r="CS150" s="250">
        <f>INDEX(연료전지_원본!$KB$4:$KX$369,MATCH($A150,연료전지_원본!$KB$4:$KB$369,0), MATCH(CS$4,연료전지_원본!$KB$4:$KX$4,0))*1000</f>
        <v>0</v>
      </c>
      <c r="CT150" s="250">
        <f>INDEX(연료전지_원본!$KB$4:$KX$369,MATCH($A150,연료전지_원본!$KB$4:$KB$369,0), MATCH(CT$4,연료전지_원본!$KB$4:$KX$4,0))*1000</f>
        <v>0</v>
      </c>
      <c r="CU150" s="250">
        <f>INDEX(연료전지_원본!$KB$4:$KX$369,MATCH($A150,연료전지_원본!$KB$4:$KB$369,0), MATCH(CU$4,연료전지_원본!$KB$4:$KX$4,0))*1000</f>
        <v>0</v>
      </c>
      <c r="CV150" s="250">
        <f>INDEX(연료전지_원본!$KB$4:$KX$369,MATCH($A150,연료전지_원본!$KB$4:$KB$369,0), MATCH(CV$4,연료전지_원본!$KB$4:$KX$4,0))*1000</f>
        <v>0</v>
      </c>
      <c r="CW150" s="250">
        <f>INDEX(연료전지_원본!$KB$4:$KX$369,MATCH($A150,연료전지_원본!$KB$4:$KB$369,0), MATCH(CW$4,연료전지_원본!$KB$4:$KX$4,0))*1000</f>
        <v>0</v>
      </c>
      <c r="CX150" s="250">
        <f>INDEX(연료전지_원본!$KB$4:$KX$369,MATCH($A150,연료전지_원본!$KB$4:$KB$369,0), MATCH(CX$4,연료전지_원본!$KB$4:$KX$4,0))*1000</f>
        <v>0</v>
      </c>
      <c r="CY150" s="250">
        <f>INDEX(연료전지_원본!$KB$4:$KX$369,MATCH($A150,연료전지_원본!$KB$4:$KB$369,0), MATCH(CY$4,연료전지_원본!$KB$4:$KX$4,0))*1000</f>
        <v>0</v>
      </c>
      <c r="DV150" s="30">
        <f t="shared" si="623"/>
        <v>0</v>
      </c>
    </row>
    <row r="151" spans="1:126">
      <c r="A151" s="6">
        <v>46168</v>
      </c>
      <c r="B151" s="15">
        <f>운전실적_원본!B151</f>
        <v>0</v>
      </c>
      <c r="C151" s="16" t="str">
        <f t="shared" si="629"/>
        <v/>
      </c>
      <c r="D151" s="12">
        <f>운전실적_원본!C151</f>
        <v>0</v>
      </c>
      <c r="E151" s="12" t="str">
        <f t="shared" si="630"/>
        <v/>
      </c>
      <c r="F151" s="12">
        <f>운전실적_원본!D151</f>
        <v>0</v>
      </c>
      <c r="G151" s="16" t="str">
        <f t="shared" si="631"/>
        <v/>
      </c>
      <c r="H151" s="15">
        <f>운전실적_원본!E151</f>
        <v>0</v>
      </c>
      <c r="I151" s="16" t="str">
        <f t="shared" si="632"/>
        <v/>
      </c>
      <c r="J151" s="15">
        <f>운전실적_원본!F151</f>
        <v>0</v>
      </c>
      <c r="K151" s="16" t="str">
        <f t="shared" si="632"/>
        <v/>
      </c>
      <c r="L151" s="32">
        <f>운전실적_원본!G151</f>
        <v>0</v>
      </c>
      <c r="M151" s="31" t="str">
        <f t="shared" ref="M151" si="874">IF(OR(LEN(L151)=0,L151=0),"",L151-L150)</f>
        <v/>
      </c>
      <c r="N151" s="15">
        <f>운전실적_원본!H151</f>
        <v>0</v>
      </c>
      <c r="O151" s="16" t="str">
        <f t="shared" ref="O151" si="875">IF(OR(LEN(N151)=0,N151=0),"",N151-N150)</f>
        <v/>
      </c>
      <c r="P151" s="15">
        <f>운전실적_원본!I151</f>
        <v>0</v>
      </c>
      <c r="Q151" s="16" t="str">
        <f t="shared" ref="Q151" si="876">IF(OR(LEN(P151)=0,P151=0),"",P151-P150)</f>
        <v/>
      </c>
      <c r="R151" s="18">
        <f>운전실적_원본!J151</f>
        <v>0</v>
      </c>
      <c r="S151" s="19" t="str">
        <f t="shared" ref="S151" si="877">IF(OR(LEN(R151)=0,R151=0),"",R151-R150)</f>
        <v/>
      </c>
      <c r="T151" s="18">
        <f>운전실적_원본!K151</f>
        <v>0</v>
      </c>
      <c r="U151" s="19" t="str">
        <f t="shared" si="637"/>
        <v/>
      </c>
      <c r="V151" s="12">
        <f>운전실적_원본!L151</f>
        <v>0</v>
      </c>
      <c r="W151" s="16" t="str">
        <f t="shared" ref="W151" si="878">IF(OR(LEN(V151)=0,V151=0),"",V151-V150)</f>
        <v/>
      </c>
      <c r="X151" s="10">
        <f>운전실적_원본!M151</f>
        <v>0</v>
      </c>
      <c r="Y151" s="10">
        <f>운전실적_원본!N151</f>
        <v>0</v>
      </c>
      <c r="Z151" s="10">
        <f>운전실적_원본!O151</f>
        <v>0</v>
      </c>
      <c r="AA151" s="10">
        <f>운전실적_원본!P151</f>
        <v>0</v>
      </c>
      <c r="AB151" s="10">
        <f>운전실적_원본!Q151</f>
        <v>0</v>
      </c>
      <c r="AC151" s="20">
        <f>운전실적_원본!R151</f>
        <v>0</v>
      </c>
      <c r="AD151" s="109">
        <f>운전실적_원본!S151</f>
        <v>0</v>
      </c>
      <c r="AE151" s="110">
        <f>운전실적_원본!T151</f>
        <v>0</v>
      </c>
      <c r="AF151" s="110">
        <f>운전실적_원본!U151</f>
        <v>0</v>
      </c>
      <c r="AG151" s="110">
        <f>운전실적_원본!V151</f>
        <v>0</v>
      </c>
      <c r="AH151" s="109">
        <f t="shared" si="791"/>
        <v>0</v>
      </c>
      <c r="AI151" s="110">
        <f t="shared" si="798"/>
        <v>0</v>
      </c>
      <c r="AJ151" s="110">
        <f>운전실적_원본!Y151</f>
        <v>0</v>
      </c>
      <c r="AK151" s="110">
        <f>운전실적_원본!Z151</f>
        <v>0</v>
      </c>
      <c r="AL151" s="106"/>
      <c r="AM151" s="105"/>
      <c r="AN151" s="105"/>
      <c r="AO151" s="105"/>
      <c r="AP151" s="105"/>
      <c r="AQ151" s="108"/>
      <c r="AR151" s="105"/>
      <c r="AS151" s="105"/>
      <c r="AT151" s="102"/>
      <c r="AU151" s="102"/>
      <c r="AV151" s="102"/>
      <c r="AW151" s="102"/>
      <c r="AX151" s="32">
        <f>운전실적_원본!W151</f>
        <v>0</v>
      </c>
      <c r="AY151" s="11">
        <f>운전실적_원본!X151</f>
        <v>0</v>
      </c>
      <c r="AZ151" s="11">
        <f>운전실적_원본!Y151</f>
        <v>0</v>
      </c>
      <c r="BA151" s="11">
        <f>운전실적_원본!Z151</f>
        <v>0</v>
      </c>
      <c r="BB151" s="11">
        <f>운전실적_원본!AA151</f>
        <v>0</v>
      </c>
      <c r="BC151" s="11">
        <f>운전실적_원본!AB151</f>
        <v>0</v>
      </c>
      <c r="BD151" s="32" t="str">
        <f t="shared" si="784"/>
        <v>-</v>
      </c>
      <c r="BE151" s="11" t="str">
        <f t="shared" si="792"/>
        <v>-</v>
      </c>
      <c r="BF151" s="11">
        <f>운전실적_원본!AE151</f>
        <v>0</v>
      </c>
      <c r="BG151" s="31">
        <f t="shared" si="785"/>
        <v>0</v>
      </c>
      <c r="BH151" s="241">
        <f>INDEX(연료전지_원본!$A$4:$KY$369,MATCH($A151,연료전지_원본!$A$4:$A$369,0),MATCH($BH$4,연료전지_원본!$A$4:$KY$4,0))</f>
        <v>0</v>
      </c>
      <c r="BI151" s="241">
        <f>INDEX(연료전지_원본!$A$4:$KY$369,MATCH($A151,연료전지_원본!$A$4:$A$369,0),MATCH($BI$4,연료전지_원본!$A$4:$KY$4,0))</f>
        <v>0</v>
      </c>
      <c r="BJ151" s="241">
        <f>INDEX(연료전지_원본!$A$4:$KY$369,MATCH($A151,연료전지_원본!$A$4:$A$369,0),MATCH($BJ$4,연료전지_원본!$A$4:$KY$4,0))</f>
        <v>0</v>
      </c>
      <c r="BK151" s="241">
        <f>INDEX(연료전지_원본!$A$4:$KY$369,MATCH($A151,연료전지_원본!$A$4:$A$369,0),MATCH($BK$4,연료전지_원본!$A$4:$KY$4,0))</f>
        <v>0</v>
      </c>
      <c r="BL151" s="241">
        <f>INDEX(연료전지_원본!$A$4:$KY$369,MATCH($A151,연료전지_원본!$A$4:$A$369,0),MATCH($BL$4,연료전지_원본!$A$4:$KY$4,0))</f>
        <v>0</v>
      </c>
      <c r="BM151" s="241">
        <f>INDEX(연료전지_원본!$A$4:$KY$369,MATCH($A151,연료전지_원본!$A$4:$A$369,0),MATCH($BM$4,연료전지_원본!$A$4:$KY$4,0))</f>
        <v>0</v>
      </c>
      <c r="BN151" s="241">
        <f>INDEX(연료전지_원본!$A$4:$KY$369,MATCH($A151,연료전지_원본!$A$4:$A$369,0),MATCH($BN$4,연료전지_원본!$A$4:$KY$4,0))</f>
        <v>0</v>
      </c>
      <c r="BO151" s="241">
        <f>INDEX(연료전지_원본!$A$4:$KY$369,MATCH($A151,연료전지_원본!$A$4:$A$369,0),MATCH($BO$4,연료전지_원본!$A$4:$KY$4,0))</f>
        <v>0</v>
      </c>
      <c r="BP151" s="241">
        <f>INDEX(연료전지_원본!$A$4:$KY$369,MATCH($A151,연료전지_원본!$A$4:$A$369,0),MATCH($BP$4,연료전지_원본!$A$4:$KY$4,0))</f>
        <v>0</v>
      </c>
      <c r="BQ151" s="241">
        <f>INDEX(연료전지_원본!$A$4:$KY$369,MATCH($A151,연료전지_원본!$A$4:$A$369,0),MATCH($BQ$4,연료전지_원본!$A$4:$KY$4,0))</f>
        <v>0</v>
      </c>
      <c r="BR151" s="241">
        <f>INDEX(연료전지_원본!$A$4:$KY$369,MATCH($A151,연료전지_원본!$A$4:$A$369,0),MATCH($BR$4,연료전지_원본!$A$4:$KY$4,0))</f>
        <v>0</v>
      </c>
      <c r="BS151" s="241">
        <f>INDEX(연료전지_원본!$A$4:$KY$369,MATCH($A151,연료전지_원본!$A$4:$A$369,0),MATCH($BS$4,연료전지_원본!$A$4:$KY$4,0))</f>
        <v>0</v>
      </c>
      <c r="BT151" s="241">
        <f>INDEX(연료전지_원본!$A$4:$KY$369,MATCH($A151,연료전지_원본!$A$4:$A$369,0),MATCH($BT$4,연료전지_원본!$A$4:$KY$4,0))</f>
        <v>0</v>
      </c>
      <c r="BU151" s="241">
        <f>INDEX(연료전지_원본!$A$4:$KY$369,MATCH($A151,연료전지_원본!$A$4:$A$369,0),MATCH($BU$4,연료전지_원본!$A$4:$KY$4,0))</f>
        <v>0</v>
      </c>
      <c r="BV151" s="241">
        <f>INDEX(연료전지_원본!$A$4:$KY$369,MATCH($A151,연료전지_원본!$A$4:$A$369,0),MATCH($BV$4,연료전지_원본!$A$4:$KY$4,0))</f>
        <v>0</v>
      </c>
      <c r="BW151" s="241">
        <f>INDEX(연료전지_원본!$A$4:$KY$369,MATCH($A151,연료전지_원본!$A$4:$A$369,0),MATCH($BW$4,연료전지_원본!$A$4:$KY$4,0))</f>
        <v>0</v>
      </c>
      <c r="BX151" s="241">
        <f>INDEX(연료전지_원본!$A$4:$KY$369,MATCH($A151,연료전지_원본!$A$4:$A$369,0),MATCH($BX$4,연료전지_원본!$A$4:$KY$4,0))</f>
        <v>0</v>
      </c>
      <c r="BY151" s="241">
        <f>INDEX(연료전지_원본!$A$4:$KY$369,MATCH($A151,연료전지_원본!$A$4:$A$369,0),MATCH($BY$4,연료전지_원본!$A$4:$KY$4,0))</f>
        <v>0</v>
      </c>
      <c r="BZ151" s="241">
        <f>INDEX(연료전지_원본!$A$4:$KY$369,MATCH($A151,연료전지_원본!$A$4:$A$369,0),MATCH($BZ$4,연료전지_원본!$A$4:$KY$4,0))</f>
        <v>0</v>
      </c>
      <c r="CA151" s="241">
        <f>INDEX(연료전지_원본!$A$4:$KY$369,MATCH($A151,연료전지_원본!$A$4:$A$369,0),MATCH($CA$4,연료전지_원본!$A$4:$KY$4,0))</f>
        <v>0</v>
      </c>
      <c r="CB151" s="241">
        <f>INDEX(연료전지_원본!$A$4:$KY$369,MATCH($A151,연료전지_원본!$A$4:$A$369,0),MATCH($CB$4,연료전지_원본!$A$4:$KY$4,0))</f>
        <v>0</v>
      </c>
      <c r="CC151" s="242">
        <f>INDEX(연료전지_원본!$A$4:$KY$369,MATCH($A151,연료전지_원본!$A$4:$A$369,0),MATCH($CC$4,연료전지_원본!$A$4:$KY$4,0))</f>
        <v>0</v>
      </c>
      <c r="CD151" s="250">
        <f>INDEX(연료전지_원본!$KB$4:$KX$369,MATCH($A151,연료전지_원본!$KB$4:$KB$369,0), MATCH(CD$4,연료전지_원본!$KB$4:$KX$4,0))*1000</f>
        <v>0</v>
      </c>
      <c r="CE151" s="250">
        <f>INDEX(연료전지_원본!$KB$4:$KX$369,MATCH($A151,연료전지_원본!$KB$4:$KB$369,0), MATCH(CE$4,연료전지_원본!$KB$4:$KX$4,0))*1000</f>
        <v>0</v>
      </c>
      <c r="CF151" s="250">
        <f>INDEX(연료전지_원본!$KB$4:$KX$369,MATCH($A151,연료전지_원본!$KB$4:$KB$369,0), MATCH(CF$4,연료전지_원본!$KB$4:$KX$4,0))*1000</f>
        <v>0</v>
      </c>
      <c r="CG151" s="250">
        <f>INDEX(연료전지_원본!$KB$4:$KX$369,MATCH($A151,연료전지_원본!$KB$4:$KB$369,0), MATCH(CG$4,연료전지_원본!$KB$4:$KX$4,0))*1000</f>
        <v>0</v>
      </c>
      <c r="CH151" s="250">
        <f>INDEX(연료전지_원본!$KB$4:$KX$369,MATCH($A151,연료전지_원본!$KB$4:$KB$369,0), MATCH(CH$4,연료전지_원본!$KB$4:$KX$4,0))*1000</f>
        <v>0</v>
      </c>
      <c r="CI151" s="250">
        <f>INDEX(연료전지_원본!$KB$4:$KX$369,MATCH($A151,연료전지_원본!$KB$4:$KB$369,0), MATCH(CI$4,연료전지_원본!$KB$4:$KX$4,0))*1000</f>
        <v>0</v>
      </c>
      <c r="CJ151" s="250">
        <f>INDEX(연료전지_원본!$KB$4:$KX$369,MATCH($A151,연료전지_원본!$KB$4:$KB$369,0), MATCH(CJ$4,연료전지_원본!$KB$4:$KX$4,0))*1000</f>
        <v>0</v>
      </c>
      <c r="CK151" s="250">
        <f>INDEX(연료전지_원본!$KB$4:$KX$369,MATCH($A151,연료전지_원본!$KB$4:$KB$369,0), MATCH(CK$4,연료전지_원본!$KB$4:$KX$4,0))*1000</f>
        <v>0</v>
      </c>
      <c r="CL151" s="250">
        <f>INDEX(연료전지_원본!$KB$4:$KX$369,MATCH($A151,연료전지_원본!$KB$4:$KB$369,0), MATCH(CL$4,연료전지_원본!$KB$4:$KX$4,0))*1000</f>
        <v>0</v>
      </c>
      <c r="CM151" s="250">
        <f>INDEX(연료전지_원본!$KB$4:$KX$369,MATCH($A151,연료전지_원본!$KB$4:$KB$369,0), MATCH(CM$4,연료전지_원본!$KB$4:$KX$4,0))*1000</f>
        <v>0</v>
      </c>
      <c r="CN151" s="250">
        <f>INDEX(연료전지_원본!$KB$4:$KX$369,MATCH($A151,연료전지_원본!$KB$4:$KB$369,0), MATCH(CN$4,연료전지_원본!$KB$4:$KX$4,0))*1000</f>
        <v>0</v>
      </c>
      <c r="CO151" s="250">
        <f>INDEX(연료전지_원본!$KB$4:$KX$369,MATCH($A151,연료전지_원본!$KB$4:$KB$369,0), MATCH(CO$4,연료전지_원본!$KB$4:$KX$4,0))*1000</f>
        <v>0</v>
      </c>
      <c r="CP151" s="250">
        <f>INDEX(연료전지_원본!$KB$4:$KX$369,MATCH($A151,연료전지_원본!$KB$4:$KB$369,0), MATCH(CP$4,연료전지_원본!$KB$4:$KX$4,0))*1000</f>
        <v>0</v>
      </c>
      <c r="CQ151" s="250">
        <f>INDEX(연료전지_원본!$KB$4:$KX$369,MATCH($A151,연료전지_원본!$KB$4:$KB$369,0), MATCH(CQ$4,연료전지_원본!$KB$4:$KX$4,0))*1000</f>
        <v>0</v>
      </c>
      <c r="CR151" s="250">
        <f>INDEX(연료전지_원본!$KB$4:$KX$369,MATCH($A151,연료전지_원본!$KB$4:$KB$369,0), MATCH(CR$4,연료전지_원본!$KB$4:$KX$4,0))*1000</f>
        <v>0</v>
      </c>
      <c r="CS151" s="250">
        <f>INDEX(연료전지_원본!$KB$4:$KX$369,MATCH($A151,연료전지_원본!$KB$4:$KB$369,0), MATCH(CS$4,연료전지_원본!$KB$4:$KX$4,0))*1000</f>
        <v>0</v>
      </c>
      <c r="CT151" s="250">
        <f>INDEX(연료전지_원본!$KB$4:$KX$369,MATCH($A151,연료전지_원본!$KB$4:$KB$369,0), MATCH(CT$4,연료전지_원본!$KB$4:$KX$4,0))*1000</f>
        <v>0</v>
      </c>
      <c r="CU151" s="250">
        <f>INDEX(연료전지_원본!$KB$4:$KX$369,MATCH($A151,연료전지_원본!$KB$4:$KB$369,0), MATCH(CU$4,연료전지_원본!$KB$4:$KX$4,0))*1000</f>
        <v>0</v>
      </c>
      <c r="CV151" s="250">
        <f>INDEX(연료전지_원본!$KB$4:$KX$369,MATCH($A151,연료전지_원본!$KB$4:$KB$369,0), MATCH(CV$4,연료전지_원본!$KB$4:$KX$4,0))*1000</f>
        <v>0</v>
      </c>
      <c r="CW151" s="250">
        <f>INDEX(연료전지_원본!$KB$4:$KX$369,MATCH($A151,연료전지_원본!$KB$4:$KB$369,0), MATCH(CW$4,연료전지_원본!$KB$4:$KX$4,0))*1000</f>
        <v>0</v>
      </c>
      <c r="CX151" s="250">
        <f>INDEX(연료전지_원본!$KB$4:$KX$369,MATCH($A151,연료전지_원본!$KB$4:$KB$369,0), MATCH(CX$4,연료전지_원본!$KB$4:$KX$4,0))*1000</f>
        <v>0</v>
      </c>
      <c r="CY151" s="250">
        <f>INDEX(연료전지_원본!$KB$4:$KX$369,MATCH($A151,연료전지_원본!$KB$4:$KB$369,0), MATCH(CY$4,연료전지_원본!$KB$4:$KX$4,0))*1000</f>
        <v>0</v>
      </c>
      <c r="DV151" s="30">
        <f t="shared" si="623"/>
        <v>0</v>
      </c>
    </row>
    <row r="152" spans="1:126">
      <c r="A152" s="6">
        <v>46169</v>
      </c>
      <c r="B152" s="15">
        <f>운전실적_원본!B152</f>
        <v>0</v>
      </c>
      <c r="C152" s="16" t="str">
        <f t="shared" si="629"/>
        <v/>
      </c>
      <c r="D152" s="12">
        <f>운전실적_원본!C152</f>
        <v>0</v>
      </c>
      <c r="E152" s="12" t="str">
        <f t="shared" si="630"/>
        <v/>
      </c>
      <c r="F152" s="12">
        <f>운전실적_원본!D152</f>
        <v>0</v>
      </c>
      <c r="G152" s="16" t="str">
        <f t="shared" si="631"/>
        <v/>
      </c>
      <c r="H152" s="15">
        <f>운전실적_원본!E152</f>
        <v>0</v>
      </c>
      <c r="I152" s="16" t="str">
        <f t="shared" si="632"/>
        <v/>
      </c>
      <c r="J152" s="15">
        <f>운전실적_원본!F152</f>
        <v>0</v>
      </c>
      <c r="K152" s="16" t="str">
        <f t="shared" si="632"/>
        <v/>
      </c>
      <c r="L152" s="32">
        <f>운전실적_원본!G152</f>
        <v>0</v>
      </c>
      <c r="M152" s="31" t="str">
        <f t="shared" ref="M152" si="879">IF(OR(LEN(L152)=0,L152=0),"",L152-L151)</f>
        <v/>
      </c>
      <c r="N152" s="15">
        <f>운전실적_원본!H152</f>
        <v>0</v>
      </c>
      <c r="O152" s="16" t="str">
        <f t="shared" ref="O152" si="880">IF(OR(LEN(N152)=0,N152=0),"",N152-N151)</f>
        <v/>
      </c>
      <c r="P152" s="15">
        <f>운전실적_원본!I152</f>
        <v>0</v>
      </c>
      <c r="Q152" s="16" t="str">
        <f t="shared" ref="Q152" si="881">IF(OR(LEN(P152)=0,P152=0),"",P152-P151)</f>
        <v/>
      </c>
      <c r="R152" s="18">
        <f>운전실적_원본!J152</f>
        <v>0</v>
      </c>
      <c r="S152" s="19" t="str">
        <f t="shared" ref="S152" si="882">IF(OR(LEN(R152)=0,R152=0),"",R152-R151)</f>
        <v/>
      </c>
      <c r="T152" s="18">
        <f>운전실적_원본!K152</f>
        <v>0</v>
      </c>
      <c r="U152" s="19" t="str">
        <f t="shared" si="637"/>
        <v/>
      </c>
      <c r="V152" s="12">
        <f>운전실적_원본!L152</f>
        <v>0</v>
      </c>
      <c r="W152" s="16" t="str">
        <f t="shared" ref="W152" si="883">IF(OR(LEN(V152)=0,V152=0),"",V152-V151)</f>
        <v/>
      </c>
      <c r="X152" s="10">
        <f>운전실적_원본!M152</f>
        <v>0</v>
      </c>
      <c r="Y152" s="10">
        <f>운전실적_원본!N152</f>
        <v>0</v>
      </c>
      <c r="Z152" s="10">
        <f>운전실적_원본!O152</f>
        <v>0</v>
      </c>
      <c r="AA152" s="10">
        <f>운전실적_원본!P152</f>
        <v>0</v>
      </c>
      <c r="AB152" s="10">
        <f>운전실적_원본!Q152</f>
        <v>0</v>
      </c>
      <c r="AC152" s="20">
        <f>운전실적_원본!R152</f>
        <v>0</v>
      </c>
      <c r="AD152" s="109">
        <f>운전실적_원본!S152</f>
        <v>0</v>
      </c>
      <c r="AE152" s="110">
        <f>운전실적_원본!T152</f>
        <v>0</v>
      </c>
      <c r="AF152" s="110">
        <f>운전실적_원본!U152</f>
        <v>0</v>
      </c>
      <c r="AG152" s="110">
        <f>운전실적_원본!V152</f>
        <v>0</v>
      </c>
      <c r="AH152" s="109">
        <f t="shared" si="791"/>
        <v>0</v>
      </c>
      <c r="AI152" s="110">
        <f t="shared" si="798"/>
        <v>0</v>
      </c>
      <c r="AJ152" s="110">
        <f>운전실적_원본!Y152</f>
        <v>0</v>
      </c>
      <c r="AK152" s="110">
        <f>운전실적_원본!Z152</f>
        <v>0</v>
      </c>
      <c r="AL152" s="106"/>
      <c r="AM152" s="105"/>
      <c r="AN152" s="105"/>
      <c r="AO152" s="105"/>
      <c r="AP152" s="105"/>
      <c r="AQ152" s="108"/>
      <c r="AR152" s="105"/>
      <c r="AS152" s="105"/>
      <c r="AT152" s="102"/>
      <c r="AU152" s="102"/>
      <c r="AV152" s="102"/>
      <c r="AW152" s="102"/>
      <c r="AX152" s="32">
        <f>운전실적_원본!W152</f>
        <v>0</v>
      </c>
      <c r="AY152" s="11">
        <f>운전실적_원본!X152</f>
        <v>0</v>
      </c>
      <c r="AZ152" s="11">
        <f>운전실적_원본!Y152</f>
        <v>0</v>
      </c>
      <c r="BA152" s="11">
        <f>운전실적_원본!Z152</f>
        <v>0</v>
      </c>
      <c r="BB152" s="11">
        <f>운전실적_원본!AA152</f>
        <v>0</v>
      </c>
      <c r="BC152" s="11">
        <f>운전실적_원본!AB152</f>
        <v>0</v>
      </c>
      <c r="BD152" s="32" t="str">
        <f t="shared" si="784"/>
        <v>-</v>
      </c>
      <c r="BE152" s="11" t="str">
        <f t="shared" si="792"/>
        <v>-</v>
      </c>
      <c r="BF152" s="11">
        <f>운전실적_원본!AE152</f>
        <v>0</v>
      </c>
      <c r="BG152" s="31">
        <f t="shared" si="785"/>
        <v>0</v>
      </c>
      <c r="BH152" s="241">
        <f>INDEX(연료전지_원본!$A$4:$KY$369,MATCH($A152,연료전지_원본!$A$4:$A$369,0),MATCH($BH$4,연료전지_원본!$A$4:$KY$4,0))</f>
        <v>0</v>
      </c>
      <c r="BI152" s="241">
        <f>INDEX(연료전지_원본!$A$4:$KY$369,MATCH($A152,연료전지_원본!$A$4:$A$369,0),MATCH($BI$4,연료전지_원본!$A$4:$KY$4,0))</f>
        <v>0</v>
      </c>
      <c r="BJ152" s="241">
        <f>INDEX(연료전지_원본!$A$4:$KY$369,MATCH($A152,연료전지_원본!$A$4:$A$369,0),MATCH($BJ$4,연료전지_원본!$A$4:$KY$4,0))</f>
        <v>0</v>
      </c>
      <c r="BK152" s="241">
        <f>INDEX(연료전지_원본!$A$4:$KY$369,MATCH($A152,연료전지_원본!$A$4:$A$369,0),MATCH($BK$4,연료전지_원본!$A$4:$KY$4,0))</f>
        <v>0</v>
      </c>
      <c r="BL152" s="241">
        <f>INDEX(연료전지_원본!$A$4:$KY$369,MATCH($A152,연료전지_원본!$A$4:$A$369,0),MATCH($BL$4,연료전지_원본!$A$4:$KY$4,0))</f>
        <v>0</v>
      </c>
      <c r="BM152" s="241">
        <f>INDEX(연료전지_원본!$A$4:$KY$369,MATCH($A152,연료전지_원본!$A$4:$A$369,0),MATCH($BM$4,연료전지_원본!$A$4:$KY$4,0))</f>
        <v>0</v>
      </c>
      <c r="BN152" s="241">
        <f>INDEX(연료전지_원본!$A$4:$KY$369,MATCH($A152,연료전지_원본!$A$4:$A$369,0),MATCH($BN$4,연료전지_원본!$A$4:$KY$4,0))</f>
        <v>0</v>
      </c>
      <c r="BO152" s="241">
        <f>INDEX(연료전지_원본!$A$4:$KY$369,MATCH($A152,연료전지_원본!$A$4:$A$369,0),MATCH($BO$4,연료전지_원본!$A$4:$KY$4,0))</f>
        <v>0</v>
      </c>
      <c r="BP152" s="241">
        <f>INDEX(연료전지_원본!$A$4:$KY$369,MATCH($A152,연료전지_원본!$A$4:$A$369,0),MATCH($BP$4,연료전지_원본!$A$4:$KY$4,0))</f>
        <v>0</v>
      </c>
      <c r="BQ152" s="241">
        <f>INDEX(연료전지_원본!$A$4:$KY$369,MATCH($A152,연료전지_원본!$A$4:$A$369,0),MATCH($BQ$4,연료전지_원본!$A$4:$KY$4,0))</f>
        <v>0</v>
      </c>
      <c r="BR152" s="241">
        <f>INDEX(연료전지_원본!$A$4:$KY$369,MATCH($A152,연료전지_원본!$A$4:$A$369,0),MATCH($BR$4,연료전지_원본!$A$4:$KY$4,0))</f>
        <v>0</v>
      </c>
      <c r="BS152" s="241">
        <f>INDEX(연료전지_원본!$A$4:$KY$369,MATCH($A152,연료전지_원본!$A$4:$A$369,0),MATCH($BS$4,연료전지_원본!$A$4:$KY$4,0))</f>
        <v>0</v>
      </c>
      <c r="BT152" s="241">
        <f>INDEX(연료전지_원본!$A$4:$KY$369,MATCH($A152,연료전지_원본!$A$4:$A$369,0),MATCH($BT$4,연료전지_원본!$A$4:$KY$4,0))</f>
        <v>0</v>
      </c>
      <c r="BU152" s="241">
        <f>INDEX(연료전지_원본!$A$4:$KY$369,MATCH($A152,연료전지_원본!$A$4:$A$369,0),MATCH($BU$4,연료전지_원본!$A$4:$KY$4,0))</f>
        <v>0</v>
      </c>
      <c r="BV152" s="241">
        <f>INDEX(연료전지_원본!$A$4:$KY$369,MATCH($A152,연료전지_원본!$A$4:$A$369,0),MATCH($BV$4,연료전지_원본!$A$4:$KY$4,0))</f>
        <v>0</v>
      </c>
      <c r="BW152" s="241">
        <f>INDEX(연료전지_원본!$A$4:$KY$369,MATCH($A152,연료전지_원본!$A$4:$A$369,0),MATCH($BW$4,연료전지_원본!$A$4:$KY$4,0))</f>
        <v>0</v>
      </c>
      <c r="BX152" s="241">
        <f>INDEX(연료전지_원본!$A$4:$KY$369,MATCH($A152,연료전지_원본!$A$4:$A$369,0),MATCH($BX$4,연료전지_원본!$A$4:$KY$4,0))</f>
        <v>0</v>
      </c>
      <c r="BY152" s="241">
        <f>INDEX(연료전지_원본!$A$4:$KY$369,MATCH($A152,연료전지_원본!$A$4:$A$369,0),MATCH($BY$4,연료전지_원본!$A$4:$KY$4,0))</f>
        <v>0</v>
      </c>
      <c r="BZ152" s="241">
        <f>INDEX(연료전지_원본!$A$4:$KY$369,MATCH($A152,연료전지_원본!$A$4:$A$369,0),MATCH($BZ$4,연료전지_원본!$A$4:$KY$4,0))</f>
        <v>0</v>
      </c>
      <c r="CA152" s="241">
        <f>INDEX(연료전지_원본!$A$4:$KY$369,MATCH($A152,연료전지_원본!$A$4:$A$369,0),MATCH($CA$4,연료전지_원본!$A$4:$KY$4,0))</f>
        <v>0</v>
      </c>
      <c r="CB152" s="241">
        <f>INDEX(연료전지_원본!$A$4:$KY$369,MATCH($A152,연료전지_원본!$A$4:$A$369,0),MATCH($CB$4,연료전지_원본!$A$4:$KY$4,0))</f>
        <v>0</v>
      </c>
      <c r="CC152" s="242">
        <f>INDEX(연료전지_원본!$A$4:$KY$369,MATCH($A152,연료전지_원본!$A$4:$A$369,0),MATCH($CC$4,연료전지_원본!$A$4:$KY$4,0))</f>
        <v>0</v>
      </c>
      <c r="CD152" s="250">
        <f>INDEX(연료전지_원본!$KB$4:$KX$369,MATCH($A152,연료전지_원본!$KB$4:$KB$369,0), MATCH(CD$4,연료전지_원본!$KB$4:$KX$4,0))*1000</f>
        <v>0</v>
      </c>
      <c r="CE152" s="250">
        <f>INDEX(연료전지_원본!$KB$4:$KX$369,MATCH($A152,연료전지_원본!$KB$4:$KB$369,0), MATCH(CE$4,연료전지_원본!$KB$4:$KX$4,0))*1000</f>
        <v>0</v>
      </c>
      <c r="CF152" s="250">
        <f>INDEX(연료전지_원본!$KB$4:$KX$369,MATCH($A152,연료전지_원본!$KB$4:$KB$369,0), MATCH(CF$4,연료전지_원본!$KB$4:$KX$4,0))*1000</f>
        <v>0</v>
      </c>
      <c r="CG152" s="250">
        <f>INDEX(연료전지_원본!$KB$4:$KX$369,MATCH($A152,연료전지_원본!$KB$4:$KB$369,0), MATCH(CG$4,연료전지_원본!$KB$4:$KX$4,0))*1000</f>
        <v>0</v>
      </c>
      <c r="CH152" s="250">
        <f>INDEX(연료전지_원본!$KB$4:$KX$369,MATCH($A152,연료전지_원본!$KB$4:$KB$369,0), MATCH(CH$4,연료전지_원본!$KB$4:$KX$4,0))*1000</f>
        <v>0</v>
      </c>
      <c r="CI152" s="250">
        <f>INDEX(연료전지_원본!$KB$4:$KX$369,MATCH($A152,연료전지_원본!$KB$4:$KB$369,0), MATCH(CI$4,연료전지_원본!$KB$4:$KX$4,0))*1000</f>
        <v>0</v>
      </c>
      <c r="CJ152" s="250">
        <f>INDEX(연료전지_원본!$KB$4:$KX$369,MATCH($A152,연료전지_원본!$KB$4:$KB$369,0), MATCH(CJ$4,연료전지_원본!$KB$4:$KX$4,0))*1000</f>
        <v>0</v>
      </c>
      <c r="CK152" s="250">
        <f>INDEX(연료전지_원본!$KB$4:$KX$369,MATCH($A152,연료전지_원본!$KB$4:$KB$369,0), MATCH(CK$4,연료전지_원본!$KB$4:$KX$4,0))*1000</f>
        <v>0</v>
      </c>
      <c r="CL152" s="250">
        <f>INDEX(연료전지_원본!$KB$4:$KX$369,MATCH($A152,연료전지_원본!$KB$4:$KB$369,0), MATCH(CL$4,연료전지_원본!$KB$4:$KX$4,0))*1000</f>
        <v>0</v>
      </c>
      <c r="CM152" s="250">
        <f>INDEX(연료전지_원본!$KB$4:$KX$369,MATCH($A152,연료전지_원본!$KB$4:$KB$369,0), MATCH(CM$4,연료전지_원본!$KB$4:$KX$4,0))*1000</f>
        <v>0</v>
      </c>
      <c r="CN152" s="250">
        <f>INDEX(연료전지_원본!$KB$4:$KX$369,MATCH($A152,연료전지_원본!$KB$4:$KB$369,0), MATCH(CN$4,연료전지_원본!$KB$4:$KX$4,0))*1000</f>
        <v>0</v>
      </c>
      <c r="CO152" s="250">
        <f>INDEX(연료전지_원본!$KB$4:$KX$369,MATCH($A152,연료전지_원본!$KB$4:$KB$369,0), MATCH(CO$4,연료전지_원본!$KB$4:$KX$4,0))*1000</f>
        <v>0</v>
      </c>
      <c r="CP152" s="250">
        <f>INDEX(연료전지_원본!$KB$4:$KX$369,MATCH($A152,연료전지_원본!$KB$4:$KB$369,0), MATCH(CP$4,연료전지_원본!$KB$4:$KX$4,0))*1000</f>
        <v>0</v>
      </c>
      <c r="CQ152" s="250">
        <f>INDEX(연료전지_원본!$KB$4:$KX$369,MATCH($A152,연료전지_원본!$KB$4:$KB$369,0), MATCH(CQ$4,연료전지_원본!$KB$4:$KX$4,0))*1000</f>
        <v>0</v>
      </c>
      <c r="CR152" s="250">
        <f>INDEX(연료전지_원본!$KB$4:$KX$369,MATCH($A152,연료전지_원본!$KB$4:$KB$369,0), MATCH(CR$4,연료전지_원본!$KB$4:$KX$4,0))*1000</f>
        <v>0</v>
      </c>
      <c r="CS152" s="250">
        <f>INDEX(연료전지_원본!$KB$4:$KX$369,MATCH($A152,연료전지_원본!$KB$4:$KB$369,0), MATCH(CS$4,연료전지_원본!$KB$4:$KX$4,0))*1000</f>
        <v>0</v>
      </c>
      <c r="CT152" s="250">
        <f>INDEX(연료전지_원본!$KB$4:$KX$369,MATCH($A152,연료전지_원본!$KB$4:$KB$369,0), MATCH(CT$4,연료전지_원본!$KB$4:$KX$4,0))*1000</f>
        <v>0</v>
      </c>
      <c r="CU152" s="250">
        <f>INDEX(연료전지_원본!$KB$4:$KX$369,MATCH($A152,연료전지_원본!$KB$4:$KB$369,0), MATCH(CU$4,연료전지_원본!$KB$4:$KX$4,0))*1000</f>
        <v>0</v>
      </c>
      <c r="CV152" s="250">
        <f>INDEX(연료전지_원본!$KB$4:$KX$369,MATCH($A152,연료전지_원본!$KB$4:$KB$369,0), MATCH(CV$4,연료전지_원본!$KB$4:$KX$4,0))*1000</f>
        <v>0</v>
      </c>
      <c r="CW152" s="250">
        <f>INDEX(연료전지_원본!$KB$4:$KX$369,MATCH($A152,연료전지_원본!$KB$4:$KB$369,0), MATCH(CW$4,연료전지_원본!$KB$4:$KX$4,0))*1000</f>
        <v>0</v>
      </c>
      <c r="CX152" s="250">
        <f>INDEX(연료전지_원본!$KB$4:$KX$369,MATCH($A152,연료전지_원본!$KB$4:$KB$369,0), MATCH(CX$4,연료전지_원본!$KB$4:$KX$4,0))*1000</f>
        <v>0</v>
      </c>
      <c r="CY152" s="250">
        <f>INDEX(연료전지_원본!$KB$4:$KX$369,MATCH($A152,연료전지_원본!$KB$4:$KB$369,0), MATCH(CY$4,연료전지_원본!$KB$4:$KX$4,0))*1000</f>
        <v>0</v>
      </c>
      <c r="DV152" s="30">
        <f t="shared" si="623"/>
        <v>0</v>
      </c>
    </row>
    <row r="153" spans="1:126">
      <c r="A153" s="6">
        <v>46170</v>
      </c>
      <c r="B153" s="15">
        <f>운전실적_원본!B153</f>
        <v>0</v>
      </c>
      <c r="C153" s="16" t="str">
        <f t="shared" si="629"/>
        <v/>
      </c>
      <c r="D153" s="12">
        <f>운전실적_원본!C153</f>
        <v>0</v>
      </c>
      <c r="E153" s="12" t="str">
        <f t="shared" si="630"/>
        <v/>
      </c>
      <c r="F153" s="12">
        <f>운전실적_원본!D153</f>
        <v>0</v>
      </c>
      <c r="G153" s="16" t="str">
        <f t="shared" si="631"/>
        <v/>
      </c>
      <c r="H153" s="15">
        <f>운전실적_원본!E153</f>
        <v>0</v>
      </c>
      <c r="I153" s="16" t="str">
        <f t="shared" si="632"/>
        <v/>
      </c>
      <c r="J153" s="15">
        <f>운전실적_원본!F153</f>
        <v>0</v>
      </c>
      <c r="K153" s="16" t="str">
        <f t="shared" si="632"/>
        <v/>
      </c>
      <c r="L153" s="32">
        <f>운전실적_원본!G153</f>
        <v>0</v>
      </c>
      <c r="M153" s="31" t="str">
        <f t="shared" ref="M153" si="884">IF(OR(LEN(L153)=0,L153=0),"",L153-L152)</f>
        <v/>
      </c>
      <c r="N153" s="15">
        <f>운전실적_원본!H153</f>
        <v>0</v>
      </c>
      <c r="O153" s="16" t="str">
        <f t="shared" ref="O153" si="885">IF(OR(LEN(N153)=0,N153=0),"",N153-N152)</f>
        <v/>
      </c>
      <c r="P153" s="15">
        <f>운전실적_원본!I153</f>
        <v>0</v>
      </c>
      <c r="Q153" s="16" t="str">
        <f t="shared" ref="Q153" si="886">IF(OR(LEN(P153)=0,P153=0),"",P153-P152)</f>
        <v/>
      </c>
      <c r="R153" s="18">
        <f>운전실적_원본!J153</f>
        <v>0</v>
      </c>
      <c r="S153" s="19" t="str">
        <f t="shared" ref="S153" si="887">IF(OR(LEN(R153)=0,R153=0),"",R153-R152)</f>
        <v/>
      </c>
      <c r="T153" s="18">
        <f>운전실적_원본!K153</f>
        <v>0</v>
      </c>
      <c r="U153" s="19" t="str">
        <f t="shared" si="637"/>
        <v/>
      </c>
      <c r="V153" s="12">
        <f>운전실적_원본!L153</f>
        <v>0</v>
      </c>
      <c r="W153" s="16" t="str">
        <f t="shared" ref="W153" si="888">IF(OR(LEN(V153)=0,V153=0),"",V153-V152)</f>
        <v/>
      </c>
      <c r="X153" s="10">
        <f>운전실적_원본!M153</f>
        <v>0</v>
      </c>
      <c r="Y153" s="10">
        <f>운전실적_원본!N153</f>
        <v>0</v>
      </c>
      <c r="Z153" s="10">
        <f>운전실적_원본!O153</f>
        <v>0</v>
      </c>
      <c r="AA153" s="10">
        <f>운전실적_원본!P153</f>
        <v>0</v>
      </c>
      <c r="AB153" s="10">
        <f>운전실적_원본!Q153</f>
        <v>0</v>
      </c>
      <c r="AC153" s="20">
        <f>운전실적_원본!R153</f>
        <v>0</v>
      </c>
      <c r="AD153" s="109">
        <f>운전실적_원본!S153</f>
        <v>0</v>
      </c>
      <c r="AE153" s="110">
        <f>운전실적_원본!T153</f>
        <v>0</v>
      </c>
      <c r="AF153" s="110">
        <f>운전실적_원본!U153</f>
        <v>0</v>
      </c>
      <c r="AG153" s="110">
        <f>운전실적_원본!V153</f>
        <v>0</v>
      </c>
      <c r="AH153" s="109">
        <f t="shared" si="791"/>
        <v>0</v>
      </c>
      <c r="AI153" s="110">
        <f t="shared" si="798"/>
        <v>0</v>
      </c>
      <c r="AJ153" s="110">
        <f>운전실적_원본!Y153</f>
        <v>0</v>
      </c>
      <c r="AK153" s="110">
        <f>운전실적_원본!Z153</f>
        <v>0</v>
      </c>
      <c r="AL153" s="106"/>
      <c r="AM153" s="105"/>
      <c r="AN153" s="105"/>
      <c r="AO153" s="105"/>
      <c r="AP153" s="105"/>
      <c r="AQ153" s="108"/>
      <c r="AR153" s="105"/>
      <c r="AS153" s="105"/>
      <c r="AT153" s="102"/>
      <c r="AU153" s="102"/>
      <c r="AV153" s="102"/>
      <c r="AW153" s="102"/>
      <c r="AX153" s="32">
        <f>운전실적_원본!W153</f>
        <v>0</v>
      </c>
      <c r="AY153" s="11">
        <f>운전실적_원본!X153</f>
        <v>0</v>
      </c>
      <c r="AZ153" s="11">
        <f>운전실적_원본!Y153</f>
        <v>0</v>
      </c>
      <c r="BA153" s="11">
        <f>운전실적_원본!Z153</f>
        <v>0</v>
      </c>
      <c r="BB153" s="11">
        <f>운전실적_원본!AA153</f>
        <v>0</v>
      </c>
      <c r="BC153" s="11">
        <f>운전실적_원본!AB153</f>
        <v>0</v>
      </c>
      <c r="BD153" s="32" t="str">
        <f t="shared" si="784"/>
        <v>-</v>
      </c>
      <c r="BE153" s="11" t="str">
        <f t="shared" si="792"/>
        <v>-</v>
      </c>
      <c r="BF153" s="11">
        <f>운전실적_원본!AE153</f>
        <v>0</v>
      </c>
      <c r="BG153" s="31">
        <f t="shared" si="785"/>
        <v>0</v>
      </c>
      <c r="BH153" s="241">
        <f>INDEX(연료전지_원본!$A$4:$KY$369,MATCH($A153,연료전지_원본!$A$4:$A$369,0),MATCH($BH$4,연료전지_원본!$A$4:$KY$4,0))</f>
        <v>0</v>
      </c>
      <c r="BI153" s="241">
        <f>INDEX(연료전지_원본!$A$4:$KY$369,MATCH($A153,연료전지_원본!$A$4:$A$369,0),MATCH($BI$4,연료전지_원본!$A$4:$KY$4,0))</f>
        <v>0</v>
      </c>
      <c r="BJ153" s="241">
        <f>INDEX(연료전지_원본!$A$4:$KY$369,MATCH($A153,연료전지_원본!$A$4:$A$369,0),MATCH($BJ$4,연료전지_원본!$A$4:$KY$4,0))</f>
        <v>0</v>
      </c>
      <c r="BK153" s="241">
        <f>INDEX(연료전지_원본!$A$4:$KY$369,MATCH($A153,연료전지_원본!$A$4:$A$369,0),MATCH($BK$4,연료전지_원본!$A$4:$KY$4,0))</f>
        <v>0</v>
      </c>
      <c r="BL153" s="241">
        <f>INDEX(연료전지_원본!$A$4:$KY$369,MATCH($A153,연료전지_원본!$A$4:$A$369,0),MATCH($BL$4,연료전지_원본!$A$4:$KY$4,0))</f>
        <v>0</v>
      </c>
      <c r="BM153" s="241">
        <f>INDEX(연료전지_원본!$A$4:$KY$369,MATCH($A153,연료전지_원본!$A$4:$A$369,0),MATCH($BM$4,연료전지_원본!$A$4:$KY$4,0))</f>
        <v>0</v>
      </c>
      <c r="BN153" s="241">
        <f>INDEX(연료전지_원본!$A$4:$KY$369,MATCH($A153,연료전지_원본!$A$4:$A$369,0),MATCH($BN$4,연료전지_원본!$A$4:$KY$4,0))</f>
        <v>0</v>
      </c>
      <c r="BO153" s="241">
        <f>INDEX(연료전지_원본!$A$4:$KY$369,MATCH($A153,연료전지_원본!$A$4:$A$369,0),MATCH($BO$4,연료전지_원본!$A$4:$KY$4,0))</f>
        <v>0</v>
      </c>
      <c r="BP153" s="241">
        <f>INDEX(연료전지_원본!$A$4:$KY$369,MATCH($A153,연료전지_원본!$A$4:$A$369,0),MATCH($BP$4,연료전지_원본!$A$4:$KY$4,0))</f>
        <v>0</v>
      </c>
      <c r="BQ153" s="241">
        <f>INDEX(연료전지_원본!$A$4:$KY$369,MATCH($A153,연료전지_원본!$A$4:$A$369,0),MATCH($BQ$4,연료전지_원본!$A$4:$KY$4,0))</f>
        <v>0</v>
      </c>
      <c r="BR153" s="241">
        <f>INDEX(연료전지_원본!$A$4:$KY$369,MATCH($A153,연료전지_원본!$A$4:$A$369,0),MATCH($BR$4,연료전지_원본!$A$4:$KY$4,0))</f>
        <v>0</v>
      </c>
      <c r="BS153" s="241">
        <f>INDEX(연료전지_원본!$A$4:$KY$369,MATCH($A153,연료전지_원본!$A$4:$A$369,0),MATCH($BS$4,연료전지_원본!$A$4:$KY$4,0))</f>
        <v>0</v>
      </c>
      <c r="BT153" s="241">
        <f>INDEX(연료전지_원본!$A$4:$KY$369,MATCH($A153,연료전지_원본!$A$4:$A$369,0),MATCH($BT$4,연료전지_원본!$A$4:$KY$4,0))</f>
        <v>0</v>
      </c>
      <c r="BU153" s="241">
        <f>INDEX(연료전지_원본!$A$4:$KY$369,MATCH($A153,연료전지_원본!$A$4:$A$369,0),MATCH($BU$4,연료전지_원본!$A$4:$KY$4,0))</f>
        <v>0</v>
      </c>
      <c r="BV153" s="241">
        <f>INDEX(연료전지_원본!$A$4:$KY$369,MATCH($A153,연료전지_원본!$A$4:$A$369,0),MATCH($BV$4,연료전지_원본!$A$4:$KY$4,0))</f>
        <v>0</v>
      </c>
      <c r="BW153" s="241">
        <f>INDEX(연료전지_원본!$A$4:$KY$369,MATCH($A153,연료전지_원본!$A$4:$A$369,0),MATCH($BW$4,연료전지_원본!$A$4:$KY$4,0))</f>
        <v>0</v>
      </c>
      <c r="BX153" s="241">
        <f>INDEX(연료전지_원본!$A$4:$KY$369,MATCH($A153,연료전지_원본!$A$4:$A$369,0),MATCH($BX$4,연료전지_원본!$A$4:$KY$4,0))</f>
        <v>0</v>
      </c>
      <c r="BY153" s="241">
        <f>INDEX(연료전지_원본!$A$4:$KY$369,MATCH($A153,연료전지_원본!$A$4:$A$369,0),MATCH($BY$4,연료전지_원본!$A$4:$KY$4,0))</f>
        <v>0</v>
      </c>
      <c r="BZ153" s="241">
        <f>INDEX(연료전지_원본!$A$4:$KY$369,MATCH($A153,연료전지_원본!$A$4:$A$369,0),MATCH($BZ$4,연료전지_원본!$A$4:$KY$4,0))</f>
        <v>0</v>
      </c>
      <c r="CA153" s="241">
        <f>INDEX(연료전지_원본!$A$4:$KY$369,MATCH($A153,연료전지_원본!$A$4:$A$369,0),MATCH($CA$4,연료전지_원본!$A$4:$KY$4,0))</f>
        <v>0</v>
      </c>
      <c r="CB153" s="241">
        <f>INDEX(연료전지_원본!$A$4:$KY$369,MATCH($A153,연료전지_원본!$A$4:$A$369,0),MATCH($CB$4,연료전지_원본!$A$4:$KY$4,0))</f>
        <v>0</v>
      </c>
      <c r="CC153" s="242">
        <f>INDEX(연료전지_원본!$A$4:$KY$369,MATCH($A153,연료전지_원본!$A$4:$A$369,0),MATCH($CC$4,연료전지_원본!$A$4:$KY$4,0))</f>
        <v>0</v>
      </c>
      <c r="CD153" s="250">
        <f>INDEX(연료전지_원본!$KB$4:$KX$369,MATCH($A153,연료전지_원본!$KB$4:$KB$369,0), MATCH(CD$4,연료전지_원본!$KB$4:$KX$4,0))*1000</f>
        <v>0</v>
      </c>
      <c r="CE153" s="250">
        <f>INDEX(연료전지_원본!$KB$4:$KX$369,MATCH($A153,연료전지_원본!$KB$4:$KB$369,0), MATCH(CE$4,연료전지_원본!$KB$4:$KX$4,0))*1000</f>
        <v>0</v>
      </c>
      <c r="CF153" s="250">
        <f>INDEX(연료전지_원본!$KB$4:$KX$369,MATCH($A153,연료전지_원본!$KB$4:$KB$369,0), MATCH(CF$4,연료전지_원본!$KB$4:$KX$4,0))*1000</f>
        <v>0</v>
      </c>
      <c r="CG153" s="250">
        <f>INDEX(연료전지_원본!$KB$4:$KX$369,MATCH($A153,연료전지_원본!$KB$4:$KB$369,0), MATCH(CG$4,연료전지_원본!$KB$4:$KX$4,0))*1000</f>
        <v>0</v>
      </c>
      <c r="CH153" s="250">
        <f>INDEX(연료전지_원본!$KB$4:$KX$369,MATCH($A153,연료전지_원본!$KB$4:$KB$369,0), MATCH(CH$4,연료전지_원본!$KB$4:$KX$4,0))*1000</f>
        <v>0</v>
      </c>
      <c r="CI153" s="250">
        <f>INDEX(연료전지_원본!$KB$4:$KX$369,MATCH($A153,연료전지_원본!$KB$4:$KB$369,0), MATCH(CI$4,연료전지_원본!$KB$4:$KX$4,0))*1000</f>
        <v>0</v>
      </c>
      <c r="CJ153" s="250">
        <f>INDEX(연료전지_원본!$KB$4:$KX$369,MATCH($A153,연료전지_원본!$KB$4:$KB$369,0), MATCH(CJ$4,연료전지_원본!$KB$4:$KX$4,0))*1000</f>
        <v>0</v>
      </c>
      <c r="CK153" s="250">
        <f>INDEX(연료전지_원본!$KB$4:$KX$369,MATCH($A153,연료전지_원본!$KB$4:$KB$369,0), MATCH(CK$4,연료전지_원본!$KB$4:$KX$4,0))*1000</f>
        <v>0</v>
      </c>
      <c r="CL153" s="250">
        <f>INDEX(연료전지_원본!$KB$4:$KX$369,MATCH($A153,연료전지_원본!$KB$4:$KB$369,0), MATCH(CL$4,연료전지_원본!$KB$4:$KX$4,0))*1000</f>
        <v>0</v>
      </c>
      <c r="CM153" s="250">
        <f>INDEX(연료전지_원본!$KB$4:$KX$369,MATCH($A153,연료전지_원본!$KB$4:$KB$369,0), MATCH(CM$4,연료전지_원본!$KB$4:$KX$4,0))*1000</f>
        <v>0</v>
      </c>
      <c r="CN153" s="250">
        <f>INDEX(연료전지_원본!$KB$4:$KX$369,MATCH($A153,연료전지_원본!$KB$4:$KB$369,0), MATCH(CN$4,연료전지_원본!$KB$4:$KX$4,0))*1000</f>
        <v>0</v>
      </c>
      <c r="CO153" s="250">
        <f>INDEX(연료전지_원본!$KB$4:$KX$369,MATCH($A153,연료전지_원본!$KB$4:$KB$369,0), MATCH(CO$4,연료전지_원본!$KB$4:$KX$4,0))*1000</f>
        <v>0</v>
      </c>
      <c r="CP153" s="250">
        <f>INDEX(연료전지_원본!$KB$4:$KX$369,MATCH($A153,연료전지_원본!$KB$4:$KB$369,0), MATCH(CP$4,연료전지_원본!$KB$4:$KX$4,0))*1000</f>
        <v>0</v>
      </c>
      <c r="CQ153" s="250">
        <f>INDEX(연료전지_원본!$KB$4:$KX$369,MATCH($A153,연료전지_원본!$KB$4:$KB$369,0), MATCH(CQ$4,연료전지_원본!$KB$4:$KX$4,0))*1000</f>
        <v>0</v>
      </c>
      <c r="CR153" s="250">
        <f>INDEX(연료전지_원본!$KB$4:$KX$369,MATCH($A153,연료전지_원본!$KB$4:$KB$369,0), MATCH(CR$4,연료전지_원본!$KB$4:$KX$4,0))*1000</f>
        <v>0</v>
      </c>
      <c r="CS153" s="250">
        <f>INDEX(연료전지_원본!$KB$4:$KX$369,MATCH($A153,연료전지_원본!$KB$4:$KB$369,0), MATCH(CS$4,연료전지_원본!$KB$4:$KX$4,0))*1000</f>
        <v>0</v>
      </c>
      <c r="CT153" s="250">
        <f>INDEX(연료전지_원본!$KB$4:$KX$369,MATCH($A153,연료전지_원본!$KB$4:$KB$369,0), MATCH(CT$4,연료전지_원본!$KB$4:$KX$4,0))*1000</f>
        <v>0</v>
      </c>
      <c r="CU153" s="250">
        <f>INDEX(연료전지_원본!$KB$4:$KX$369,MATCH($A153,연료전지_원본!$KB$4:$KB$369,0), MATCH(CU$4,연료전지_원본!$KB$4:$KX$4,0))*1000</f>
        <v>0</v>
      </c>
      <c r="CV153" s="250">
        <f>INDEX(연료전지_원본!$KB$4:$KX$369,MATCH($A153,연료전지_원본!$KB$4:$KB$369,0), MATCH(CV$4,연료전지_원본!$KB$4:$KX$4,0))*1000</f>
        <v>0</v>
      </c>
      <c r="CW153" s="250">
        <f>INDEX(연료전지_원본!$KB$4:$KX$369,MATCH($A153,연료전지_원본!$KB$4:$KB$369,0), MATCH(CW$4,연료전지_원본!$KB$4:$KX$4,0))*1000</f>
        <v>0</v>
      </c>
      <c r="CX153" s="250">
        <f>INDEX(연료전지_원본!$KB$4:$KX$369,MATCH($A153,연료전지_원본!$KB$4:$KB$369,0), MATCH(CX$4,연료전지_원본!$KB$4:$KX$4,0))*1000</f>
        <v>0</v>
      </c>
      <c r="CY153" s="250">
        <f>INDEX(연료전지_원본!$KB$4:$KX$369,MATCH($A153,연료전지_원본!$KB$4:$KB$369,0), MATCH(CY$4,연료전지_원본!$KB$4:$KX$4,0))*1000</f>
        <v>0</v>
      </c>
      <c r="DV153" s="30">
        <f t="shared" si="623"/>
        <v>0</v>
      </c>
    </row>
    <row r="154" spans="1:126">
      <c r="A154" s="6">
        <v>46171</v>
      </c>
      <c r="B154" s="15">
        <f>운전실적_원본!B154</f>
        <v>0</v>
      </c>
      <c r="C154" s="16" t="str">
        <f t="shared" si="629"/>
        <v/>
      </c>
      <c r="D154" s="12">
        <f>운전실적_원본!C154</f>
        <v>0</v>
      </c>
      <c r="E154" s="12" t="str">
        <f t="shared" si="630"/>
        <v/>
      </c>
      <c r="F154" s="12">
        <f>운전실적_원본!D154</f>
        <v>0</v>
      </c>
      <c r="G154" s="16" t="str">
        <f t="shared" si="631"/>
        <v/>
      </c>
      <c r="H154" s="15">
        <f>운전실적_원본!E154</f>
        <v>0</v>
      </c>
      <c r="I154" s="16" t="str">
        <f t="shared" si="632"/>
        <v/>
      </c>
      <c r="J154" s="15">
        <f>운전실적_원본!F154</f>
        <v>0</v>
      </c>
      <c r="K154" s="16" t="str">
        <f t="shared" si="632"/>
        <v/>
      </c>
      <c r="L154" s="32">
        <f>운전실적_원본!G154</f>
        <v>0</v>
      </c>
      <c r="M154" s="31" t="str">
        <f t="shared" ref="M154" si="889">IF(OR(LEN(L154)=0,L154=0),"",L154-L153)</f>
        <v/>
      </c>
      <c r="N154" s="15">
        <f>운전실적_원본!H154</f>
        <v>0</v>
      </c>
      <c r="O154" s="16" t="str">
        <f t="shared" ref="O154" si="890">IF(OR(LEN(N154)=0,N154=0),"",N154-N153)</f>
        <v/>
      </c>
      <c r="P154" s="15">
        <f>운전실적_원본!I154</f>
        <v>0</v>
      </c>
      <c r="Q154" s="16" t="str">
        <f t="shared" ref="Q154" si="891">IF(OR(LEN(P154)=0,P154=0),"",P154-P153)</f>
        <v/>
      </c>
      <c r="R154" s="18">
        <f>운전실적_원본!J154</f>
        <v>0</v>
      </c>
      <c r="S154" s="19" t="str">
        <f t="shared" ref="S154" si="892">IF(OR(LEN(R154)=0,R154=0),"",R154-R153)</f>
        <v/>
      </c>
      <c r="T154" s="18">
        <f>운전실적_원본!K154</f>
        <v>0</v>
      </c>
      <c r="U154" s="19" t="str">
        <f t="shared" si="637"/>
        <v/>
      </c>
      <c r="V154" s="12">
        <f>운전실적_원본!L154</f>
        <v>0</v>
      </c>
      <c r="W154" s="16" t="str">
        <f t="shared" ref="W154" si="893">IF(OR(LEN(V154)=0,V154=0),"",V154-V153)</f>
        <v/>
      </c>
      <c r="X154" s="10">
        <f>운전실적_원본!M154</f>
        <v>0</v>
      </c>
      <c r="Y154" s="10">
        <f>운전실적_원본!N154</f>
        <v>0</v>
      </c>
      <c r="Z154" s="10">
        <f>운전실적_원본!O154</f>
        <v>0</v>
      </c>
      <c r="AA154" s="10">
        <f>운전실적_원본!P154</f>
        <v>0</v>
      </c>
      <c r="AB154" s="10">
        <f>운전실적_원본!Q154</f>
        <v>0</v>
      </c>
      <c r="AC154" s="20">
        <f>운전실적_원본!R154</f>
        <v>0</v>
      </c>
      <c r="AD154" s="109">
        <f>운전실적_원본!S154</f>
        <v>0</v>
      </c>
      <c r="AE154" s="110">
        <f>운전실적_원본!T154</f>
        <v>0</v>
      </c>
      <c r="AF154" s="110">
        <f>운전실적_원본!U154</f>
        <v>0</v>
      </c>
      <c r="AG154" s="110">
        <f>운전실적_원본!V154</f>
        <v>0</v>
      </c>
      <c r="AH154" s="109">
        <f t="shared" si="791"/>
        <v>0</v>
      </c>
      <c r="AI154" s="110">
        <f t="shared" si="798"/>
        <v>0</v>
      </c>
      <c r="AJ154" s="110">
        <f>운전실적_원본!Y154</f>
        <v>0</v>
      </c>
      <c r="AK154" s="110">
        <f>운전실적_원본!Z154</f>
        <v>0</v>
      </c>
      <c r="AL154" s="106"/>
      <c r="AM154" s="105"/>
      <c r="AN154" s="105"/>
      <c r="AO154" s="105"/>
      <c r="AP154" s="105"/>
      <c r="AQ154" s="108"/>
      <c r="AR154" s="105"/>
      <c r="AS154" s="105"/>
      <c r="AT154" s="102"/>
      <c r="AU154" s="102"/>
      <c r="AV154" s="102"/>
      <c r="AW154" s="102"/>
      <c r="AX154" s="32">
        <f>운전실적_원본!W154</f>
        <v>0</v>
      </c>
      <c r="AY154" s="11">
        <f>운전실적_원본!X154</f>
        <v>0</v>
      </c>
      <c r="AZ154" s="11">
        <f>운전실적_원본!Y154</f>
        <v>0</v>
      </c>
      <c r="BA154" s="11">
        <f>운전실적_원본!Z154</f>
        <v>0</v>
      </c>
      <c r="BB154" s="11">
        <f>운전실적_원본!AA154</f>
        <v>0</v>
      </c>
      <c r="BC154" s="11">
        <f>운전실적_원본!AB154</f>
        <v>0</v>
      </c>
      <c r="BD154" s="32" t="str">
        <f t="shared" si="784"/>
        <v>-</v>
      </c>
      <c r="BE154" s="11" t="str">
        <f t="shared" si="792"/>
        <v>-</v>
      </c>
      <c r="BF154" s="11">
        <f>운전실적_원본!AE154</f>
        <v>0</v>
      </c>
      <c r="BG154" s="31">
        <f t="shared" si="785"/>
        <v>0</v>
      </c>
      <c r="BH154" s="241">
        <f>INDEX(연료전지_원본!$A$4:$KY$369,MATCH($A154,연료전지_원본!$A$4:$A$369,0),MATCH($BH$4,연료전지_원본!$A$4:$KY$4,0))</f>
        <v>0</v>
      </c>
      <c r="BI154" s="241">
        <f>INDEX(연료전지_원본!$A$4:$KY$369,MATCH($A154,연료전지_원본!$A$4:$A$369,0),MATCH($BI$4,연료전지_원본!$A$4:$KY$4,0))</f>
        <v>0</v>
      </c>
      <c r="BJ154" s="241">
        <f>INDEX(연료전지_원본!$A$4:$KY$369,MATCH($A154,연료전지_원본!$A$4:$A$369,0),MATCH($BJ$4,연료전지_원본!$A$4:$KY$4,0))</f>
        <v>0</v>
      </c>
      <c r="BK154" s="241">
        <f>INDEX(연료전지_원본!$A$4:$KY$369,MATCH($A154,연료전지_원본!$A$4:$A$369,0),MATCH($BK$4,연료전지_원본!$A$4:$KY$4,0))</f>
        <v>0</v>
      </c>
      <c r="BL154" s="241">
        <f>INDEX(연료전지_원본!$A$4:$KY$369,MATCH($A154,연료전지_원본!$A$4:$A$369,0),MATCH($BL$4,연료전지_원본!$A$4:$KY$4,0))</f>
        <v>0</v>
      </c>
      <c r="BM154" s="241">
        <f>INDEX(연료전지_원본!$A$4:$KY$369,MATCH($A154,연료전지_원본!$A$4:$A$369,0),MATCH($BM$4,연료전지_원본!$A$4:$KY$4,0))</f>
        <v>0</v>
      </c>
      <c r="BN154" s="241">
        <f>INDEX(연료전지_원본!$A$4:$KY$369,MATCH($A154,연료전지_원본!$A$4:$A$369,0),MATCH($BN$4,연료전지_원본!$A$4:$KY$4,0))</f>
        <v>0</v>
      </c>
      <c r="BO154" s="241">
        <f>INDEX(연료전지_원본!$A$4:$KY$369,MATCH($A154,연료전지_원본!$A$4:$A$369,0),MATCH($BO$4,연료전지_원본!$A$4:$KY$4,0))</f>
        <v>0</v>
      </c>
      <c r="BP154" s="241">
        <f>INDEX(연료전지_원본!$A$4:$KY$369,MATCH($A154,연료전지_원본!$A$4:$A$369,0),MATCH($BP$4,연료전지_원본!$A$4:$KY$4,0))</f>
        <v>0</v>
      </c>
      <c r="BQ154" s="241">
        <f>INDEX(연료전지_원본!$A$4:$KY$369,MATCH($A154,연료전지_원본!$A$4:$A$369,0),MATCH($BQ$4,연료전지_원본!$A$4:$KY$4,0))</f>
        <v>0</v>
      </c>
      <c r="BR154" s="241">
        <f>INDEX(연료전지_원본!$A$4:$KY$369,MATCH($A154,연료전지_원본!$A$4:$A$369,0),MATCH($BR$4,연료전지_원본!$A$4:$KY$4,0))</f>
        <v>0</v>
      </c>
      <c r="BS154" s="241">
        <f>INDEX(연료전지_원본!$A$4:$KY$369,MATCH($A154,연료전지_원본!$A$4:$A$369,0),MATCH($BS$4,연료전지_원본!$A$4:$KY$4,0))</f>
        <v>0</v>
      </c>
      <c r="BT154" s="241">
        <f>INDEX(연료전지_원본!$A$4:$KY$369,MATCH($A154,연료전지_원본!$A$4:$A$369,0),MATCH($BT$4,연료전지_원본!$A$4:$KY$4,0))</f>
        <v>0</v>
      </c>
      <c r="BU154" s="241">
        <f>INDEX(연료전지_원본!$A$4:$KY$369,MATCH($A154,연료전지_원본!$A$4:$A$369,0),MATCH($BU$4,연료전지_원본!$A$4:$KY$4,0))</f>
        <v>0</v>
      </c>
      <c r="BV154" s="241">
        <f>INDEX(연료전지_원본!$A$4:$KY$369,MATCH($A154,연료전지_원본!$A$4:$A$369,0),MATCH($BV$4,연료전지_원본!$A$4:$KY$4,0))</f>
        <v>0</v>
      </c>
      <c r="BW154" s="241">
        <f>INDEX(연료전지_원본!$A$4:$KY$369,MATCH($A154,연료전지_원본!$A$4:$A$369,0),MATCH($BW$4,연료전지_원본!$A$4:$KY$4,0))</f>
        <v>0</v>
      </c>
      <c r="BX154" s="241">
        <f>INDEX(연료전지_원본!$A$4:$KY$369,MATCH($A154,연료전지_원본!$A$4:$A$369,0),MATCH($BX$4,연료전지_원본!$A$4:$KY$4,0))</f>
        <v>0</v>
      </c>
      <c r="BY154" s="241">
        <f>INDEX(연료전지_원본!$A$4:$KY$369,MATCH($A154,연료전지_원본!$A$4:$A$369,0),MATCH($BY$4,연료전지_원본!$A$4:$KY$4,0))</f>
        <v>0</v>
      </c>
      <c r="BZ154" s="241">
        <f>INDEX(연료전지_원본!$A$4:$KY$369,MATCH($A154,연료전지_원본!$A$4:$A$369,0),MATCH($BZ$4,연료전지_원본!$A$4:$KY$4,0))</f>
        <v>0</v>
      </c>
      <c r="CA154" s="241">
        <f>INDEX(연료전지_원본!$A$4:$KY$369,MATCH($A154,연료전지_원본!$A$4:$A$369,0),MATCH($CA$4,연료전지_원본!$A$4:$KY$4,0))</f>
        <v>0</v>
      </c>
      <c r="CB154" s="241">
        <f>INDEX(연료전지_원본!$A$4:$KY$369,MATCH($A154,연료전지_원본!$A$4:$A$369,0),MATCH($CB$4,연료전지_원본!$A$4:$KY$4,0))</f>
        <v>0</v>
      </c>
      <c r="CC154" s="242">
        <f>INDEX(연료전지_원본!$A$4:$KY$369,MATCH($A154,연료전지_원본!$A$4:$A$369,0),MATCH($CC$4,연료전지_원본!$A$4:$KY$4,0))</f>
        <v>0</v>
      </c>
      <c r="CD154" s="250">
        <f>INDEX(연료전지_원본!$KB$4:$KX$369,MATCH($A154,연료전지_원본!$KB$4:$KB$369,0), MATCH(CD$4,연료전지_원본!$KB$4:$KX$4,0))*1000</f>
        <v>0</v>
      </c>
      <c r="CE154" s="250">
        <f>INDEX(연료전지_원본!$KB$4:$KX$369,MATCH($A154,연료전지_원본!$KB$4:$KB$369,0), MATCH(CE$4,연료전지_원본!$KB$4:$KX$4,0))*1000</f>
        <v>0</v>
      </c>
      <c r="CF154" s="250">
        <f>INDEX(연료전지_원본!$KB$4:$KX$369,MATCH($A154,연료전지_원본!$KB$4:$KB$369,0), MATCH(CF$4,연료전지_원본!$KB$4:$KX$4,0))*1000</f>
        <v>0</v>
      </c>
      <c r="CG154" s="250">
        <f>INDEX(연료전지_원본!$KB$4:$KX$369,MATCH($A154,연료전지_원본!$KB$4:$KB$369,0), MATCH(CG$4,연료전지_원본!$KB$4:$KX$4,0))*1000</f>
        <v>0</v>
      </c>
      <c r="CH154" s="250">
        <f>INDEX(연료전지_원본!$KB$4:$KX$369,MATCH($A154,연료전지_원본!$KB$4:$KB$369,0), MATCH(CH$4,연료전지_원본!$KB$4:$KX$4,0))*1000</f>
        <v>0</v>
      </c>
      <c r="CI154" s="250">
        <f>INDEX(연료전지_원본!$KB$4:$KX$369,MATCH($A154,연료전지_원본!$KB$4:$KB$369,0), MATCH(CI$4,연료전지_원본!$KB$4:$KX$4,0))*1000</f>
        <v>0</v>
      </c>
      <c r="CJ154" s="250">
        <f>INDEX(연료전지_원본!$KB$4:$KX$369,MATCH($A154,연료전지_원본!$KB$4:$KB$369,0), MATCH(CJ$4,연료전지_원본!$KB$4:$KX$4,0))*1000</f>
        <v>0</v>
      </c>
      <c r="CK154" s="250">
        <f>INDEX(연료전지_원본!$KB$4:$KX$369,MATCH($A154,연료전지_원본!$KB$4:$KB$369,0), MATCH(CK$4,연료전지_원본!$KB$4:$KX$4,0))*1000</f>
        <v>0</v>
      </c>
      <c r="CL154" s="250">
        <f>INDEX(연료전지_원본!$KB$4:$KX$369,MATCH($A154,연료전지_원본!$KB$4:$KB$369,0), MATCH(CL$4,연료전지_원본!$KB$4:$KX$4,0))*1000</f>
        <v>0</v>
      </c>
      <c r="CM154" s="250">
        <f>INDEX(연료전지_원본!$KB$4:$KX$369,MATCH($A154,연료전지_원본!$KB$4:$KB$369,0), MATCH(CM$4,연료전지_원본!$KB$4:$KX$4,0))*1000</f>
        <v>0</v>
      </c>
      <c r="CN154" s="250">
        <f>INDEX(연료전지_원본!$KB$4:$KX$369,MATCH($A154,연료전지_원본!$KB$4:$KB$369,0), MATCH(CN$4,연료전지_원본!$KB$4:$KX$4,0))*1000</f>
        <v>0</v>
      </c>
      <c r="CO154" s="250">
        <f>INDEX(연료전지_원본!$KB$4:$KX$369,MATCH($A154,연료전지_원본!$KB$4:$KB$369,0), MATCH(CO$4,연료전지_원본!$KB$4:$KX$4,0))*1000</f>
        <v>0</v>
      </c>
      <c r="CP154" s="250">
        <f>INDEX(연료전지_원본!$KB$4:$KX$369,MATCH($A154,연료전지_원본!$KB$4:$KB$369,0), MATCH(CP$4,연료전지_원본!$KB$4:$KX$4,0))*1000</f>
        <v>0</v>
      </c>
      <c r="CQ154" s="250">
        <f>INDEX(연료전지_원본!$KB$4:$KX$369,MATCH($A154,연료전지_원본!$KB$4:$KB$369,0), MATCH(CQ$4,연료전지_원본!$KB$4:$KX$4,0))*1000</f>
        <v>0</v>
      </c>
      <c r="CR154" s="250">
        <f>INDEX(연료전지_원본!$KB$4:$KX$369,MATCH($A154,연료전지_원본!$KB$4:$KB$369,0), MATCH(CR$4,연료전지_원본!$KB$4:$KX$4,0))*1000</f>
        <v>0</v>
      </c>
      <c r="CS154" s="250">
        <f>INDEX(연료전지_원본!$KB$4:$KX$369,MATCH($A154,연료전지_원본!$KB$4:$KB$369,0), MATCH(CS$4,연료전지_원본!$KB$4:$KX$4,0))*1000</f>
        <v>0</v>
      </c>
      <c r="CT154" s="250">
        <f>INDEX(연료전지_원본!$KB$4:$KX$369,MATCH($A154,연료전지_원본!$KB$4:$KB$369,0), MATCH(CT$4,연료전지_원본!$KB$4:$KX$4,0))*1000</f>
        <v>0</v>
      </c>
      <c r="CU154" s="250">
        <f>INDEX(연료전지_원본!$KB$4:$KX$369,MATCH($A154,연료전지_원본!$KB$4:$KB$369,0), MATCH(CU$4,연료전지_원본!$KB$4:$KX$4,0))*1000</f>
        <v>0</v>
      </c>
      <c r="CV154" s="250">
        <f>INDEX(연료전지_원본!$KB$4:$KX$369,MATCH($A154,연료전지_원본!$KB$4:$KB$369,0), MATCH(CV$4,연료전지_원본!$KB$4:$KX$4,0))*1000</f>
        <v>0</v>
      </c>
      <c r="CW154" s="250">
        <f>INDEX(연료전지_원본!$KB$4:$KX$369,MATCH($A154,연료전지_원본!$KB$4:$KB$369,0), MATCH(CW$4,연료전지_원본!$KB$4:$KX$4,0))*1000</f>
        <v>0</v>
      </c>
      <c r="CX154" s="250">
        <f>INDEX(연료전지_원본!$KB$4:$KX$369,MATCH($A154,연료전지_원본!$KB$4:$KB$369,0), MATCH(CX$4,연료전지_원본!$KB$4:$KX$4,0))*1000</f>
        <v>0</v>
      </c>
      <c r="CY154" s="250">
        <f>INDEX(연료전지_원본!$KB$4:$KX$369,MATCH($A154,연료전지_원본!$KB$4:$KB$369,0), MATCH(CY$4,연료전지_원본!$KB$4:$KX$4,0))*1000</f>
        <v>0</v>
      </c>
      <c r="DV154" s="30">
        <f t="shared" si="623"/>
        <v>0</v>
      </c>
    </row>
    <row r="155" spans="1:126">
      <c r="A155" s="6">
        <v>46172</v>
      </c>
      <c r="B155" s="15">
        <f>운전실적_원본!B155</f>
        <v>0</v>
      </c>
      <c r="C155" s="16" t="str">
        <f t="shared" si="629"/>
        <v/>
      </c>
      <c r="D155" s="12">
        <f>운전실적_원본!C155</f>
        <v>0</v>
      </c>
      <c r="E155" s="12" t="str">
        <f t="shared" si="630"/>
        <v/>
      </c>
      <c r="F155" s="12">
        <f>운전실적_원본!D155</f>
        <v>0</v>
      </c>
      <c r="G155" s="16" t="str">
        <f t="shared" si="631"/>
        <v/>
      </c>
      <c r="H155" s="15">
        <f>운전실적_원본!E155</f>
        <v>0</v>
      </c>
      <c r="I155" s="16" t="str">
        <f t="shared" si="632"/>
        <v/>
      </c>
      <c r="J155" s="15">
        <f>운전실적_원본!F155</f>
        <v>0</v>
      </c>
      <c r="K155" s="16" t="str">
        <f t="shared" si="632"/>
        <v/>
      </c>
      <c r="L155" s="32">
        <f>운전실적_원본!G155</f>
        <v>0</v>
      </c>
      <c r="M155" s="31" t="str">
        <f t="shared" ref="M155" si="894">IF(OR(LEN(L155)=0,L155=0),"",L155-L154)</f>
        <v/>
      </c>
      <c r="N155" s="15">
        <f>운전실적_원본!H155</f>
        <v>0</v>
      </c>
      <c r="O155" s="16" t="str">
        <f t="shared" ref="O155" si="895">IF(OR(LEN(N155)=0,N155=0),"",N155-N154)</f>
        <v/>
      </c>
      <c r="P155" s="15">
        <f>운전실적_원본!I155</f>
        <v>0</v>
      </c>
      <c r="Q155" s="16" t="str">
        <f t="shared" ref="Q155" si="896">IF(OR(LEN(P155)=0,P155=0),"",P155-P154)</f>
        <v/>
      </c>
      <c r="R155" s="18">
        <f>운전실적_원본!J155</f>
        <v>0</v>
      </c>
      <c r="S155" s="19" t="str">
        <f t="shared" ref="S155" si="897">IF(OR(LEN(R155)=0,R155=0),"",R155-R154)</f>
        <v/>
      </c>
      <c r="T155" s="18">
        <f>운전실적_원본!K155</f>
        <v>0</v>
      </c>
      <c r="U155" s="19" t="str">
        <f t="shared" si="637"/>
        <v/>
      </c>
      <c r="V155" s="12">
        <f>운전실적_원본!L155</f>
        <v>0</v>
      </c>
      <c r="W155" s="16" t="str">
        <f t="shared" ref="W155" si="898">IF(OR(LEN(V155)=0,V155=0),"",V155-V154)</f>
        <v/>
      </c>
      <c r="X155" s="10">
        <f>운전실적_원본!M155</f>
        <v>0</v>
      </c>
      <c r="Y155" s="10">
        <f>운전실적_원본!N155</f>
        <v>0</v>
      </c>
      <c r="Z155" s="10">
        <f>운전실적_원본!O155</f>
        <v>0</v>
      </c>
      <c r="AA155" s="10">
        <f>운전실적_원본!P155</f>
        <v>0</v>
      </c>
      <c r="AB155" s="10">
        <f>운전실적_원본!Q155</f>
        <v>0</v>
      </c>
      <c r="AC155" s="20">
        <f>운전실적_원본!R155</f>
        <v>0</v>
      </c>
      <c r="AD155" s="109">
        <f>운전실적_원본!S155</f>
        <v>0</v>
      </c>
      <c r="AE155" s="110">
        <f>운전실적_원본!T155</f>
        <v>0</v>
      </c>
      <c r="AF155" s="110">
        <f>운전실적_원본!U155</f>
        <v>0</v>
      </c>
      <c r="AG155" s="110">
        <f>운전실적_원본!V155</f>
        <v>0</v>
      </c>
      <c r="AH155" s="109">
        <f t="shared" si="791"/>
        <v>0</v>
      </c>
      <c r="AI155" s="110">
        <f t="shared" si="798"/>
        <v>0</v>
      </c>
      <c r="AJ155" s="110">
        <f>운전실적_원본!Y155</f>
        <v>0</v>
      </c>
      <c r="AK155" s="110">
        <f>운전실적_원본!Z155</f>
        <v>0</v>
      </c>
      <c r="AL155" s="106"/>
      <c r="AM155" s="105"/>
      <c r="AN155" s="105"/>
      <c r="AO155" s="105"/>
      <c r="AP155" s="105"/>
      <c r="AQ155" s="108"/>
      <c r="AR155" s="105"/>
      <c r="AS155" s="105"/>
      <c r="AT155" s="102"/>
      <c r="AU155" s="102"/>
      <c r="AV155" s="102"/>
      <c r="AW155" s="102"/>
      <c r="AX155" s="32">
        <f>운전실적_원본!W155</f>
        <v>0</v>
      </c>
      <c r="AY155" s="11">
        <f>운전실적_원본!X155</f>
        <v>0</v>
      </c>
      <c r="AZ155" s="11">
        <f>운전실적_원본!Y155</f>
        <v>0</v>
      </c>
      <c r="BA155" s="11">
        <f>운전실적_원본!Z155</f>
        <v>0</v>
      </c>
      <c r="BB155" s="11">
        <f>운전실적_원본!AA155</f>
        <v>0</v>
      </c>
      <c r="BC155" s="11">
        <f>운전실적_원본!AB155</f>
        <v>0</v>
      </c>
      <c r="BD155" s="32" t="str">
        <f t="shared" si="784"/>
        <v>-</v>
      </c>
      <c r="BE155" s="11" t="str">
        <f t="shared" si="792"/>
        <v>-</v>
      </c>
      <c r="BF155" s="11">
        <f>운전실적_원본!AE155</f>
        <v>0</v>
      </c>
      <c r="BG155" s="31">
        <f t="shared" si="785"/>
        <v>0</v>
      </c>
      <c r="BH155" s="241">
        <f>INDEX(연료전지_원본!$A$4:$KY$369,MATCH($A155,연료전지_원본!$A$4:$A$369,0),MATCH($BH$4,연료전지_원본!$A$4:$KY$4,0))</f>
        <v>0</v>
      </c>
      <c r="BI155" s="241">
        <f>INDEX(연료전지_원본!$A$4:$KY$369,MATCH($A155,연료전지_원본!$A$4:$A$369,0),MATCH($BI$4,연료전지_원본!$A$4:$KY$4,0))</f>
        <v>0</v>
      </c>
      <c r="BJ155" s="241">
        <f>INDEX(연료전지_원본!$A$4:$KY$369,MATCH($A155,연료전지_원본!$A$4:$A$369,0),MATCH($BJ$4,연료전지_원본!$A$4:$KY$4,0))</f>
        <v>0</v>
      </c>
      <c r="BK155" s="241">
        <f>INDEX(연료전지_원본!$A$4:$KY$369,MATCH($A155,연료전지_원본!$A$4:$A$369,0),MATCH($BK$4,연료전지_원본!$A$4:$KY$4,0))</f>
        <v>0</v>
      </c>
      <c r="BL155" s="241">
        <f>INDEX(연료전지_원본!$A$4:$KY$369,MATCH($A155,연료전지_원본!$A$4:$A$369,0),MATCH($BL$4,연료전지_원본!$A$4:$KY$4,0))</f>
        <v>0</v>
      </c>
      <c r="BM155" s="241">
        <f>INDEX(연료전지_원본!$A$4:$KY$369,MATCH($A155,연료전지_원본!$A$4:$A$369,0),MATCH($BM$4,연료전지_원본!$A$4:$KY$4,0))</f>
        <v>0</v>
      </c>
      <c r="BN155" s="241">
        <f>INDEX(연료전지_원본!$A$4:$KY$369,MATCH($A155,연료전지_원본!$A$4:$A$369,0),MATCH($BN$4,연료전지_원본!$A$4:$KY$4,0))</f>
        <v>0</v>
      </c>
      <c r="BO155" s="241">
        <f>INDEX(연료전지_원본!$A$4:$KY$369,MATCH($A155,연료전지_원본!$A$4:$A$369,0),MATCH($BO$4,연료전지_원본!$A$4:$KY$4,0))</f>
        <v>0</v>
      </c>
      <c r="BP155" s="241">
        <f>INDEX(연료전지_원본!$A$4:$KY$369,MATCH($A155,연료전지_원본!$A$4:$A$369,0),MATCH($BP$4,연료전지_원본!$A$4:$KY$4,0))</f>
        <v>0</v>
      </c>
      <c r="BQ155" s="241">
        <f>INDEX(연료전지_원본!$A$4:$KY$369,MATCH($A155,연료전지_원본!$A$4:$A$369,0),MATCH($BQ$4,연료전지_원본!$A$4:$KY$4,0))</f>
        <v>0</v>
      </c>
      <c r="BR155" s="241">
        <f>INDEX(연료전지_원본!$A$4:$KY$369,MATCH($A155,연료전지_원본!$A$4:$A$369,0),MATCH($BR$4,연료전지_원본!$A$4:$KY$4,0))</f>
        <v>0</v>
      </c>
      <c r="BS155" s="241">
        <f>INDEX(연료전지_원본!$A$4:$KY$369,MATCH($A155,연료전지_원본!$A$4:$A$369,0),MATCH($BS$4,연료전지_원본!$A$4:$KY$4,0))</f>
        <v>0</v>
      </c>
      <c r="BT155" s="241">
        <f>INDEX(연료전지_원본!$A$4:$KY$369,MATCH($A155,연료전지_원본!$A$4:$A$369,0),MATCH($BT$4,연료전지_원본!$A$4:$KY$4,0))</f>
        <v>0</v>
      </c>
      <c r="BU155" s="241">
        <f>INDEX(연료전지_원본!$A$4:$KY$369,MATCH($A155,연료전지_원본!$A$4:$A$369,0),MATCH($BU$4,연료전지_원본!$A$4:$KY$4,0))</f>
        <v>0</v>
      </c>
      <c r="BV155" s="241">
        <f>INDEX(연료전지_원본!$A$4:$KY$369,MATCH($A155,연료전지_원본!$A$4:$A$369,0),MATCH($BV$4,연료전지_원본!$A$4:$KY$4,0))</f>
        <v>0</v>
      </c>
      <c r="BW155" s="241">
        <f>INDEX(연료전지_원본!$A$4:$KY$369,MATCH($A155,연료전지_원본!$A$4:$A$369,0),MATCH($BW$4,연료전지_원본!$A$4:$KY$4,0))</f>
        <v>0</v>
      </c>
      <c r="BX155" s="241">
        <f>INDEX(연료전지_원본!$A$4:$KY$369,MATCH($A155,연료전지_원본!$A$4:$A$369,0),MATCH($BX$4,연료전지_원본!$A$4:$KY$4,0))</f>
        <v>0</v>
      </c>
      <c r="BY155" s="241">
        <f>INDEX(연료전지_원본!$A$4:$KY$369,MATCH($A155,연료전지_원본!$A$4:$A$369,0),MATCH($BY$4,연료전지_원본!$A$4:$KY$4,0))</f>
        <v>0</v>
      </c>
      <c r="BZ155" s="241">
        <f>INDEX(연료전지_원본!$A$4:$KY$369,MATCH($A155,연료전지_원본!$A$4:$A$369,0),MATCH($BZ$4,연료전지_원본!$A$4:$KY$4,0))</f>
        <v>0</v>
      </c>
      <c r="CA155" s="241">
        <f>INDEX(연료전지_원본!$A$4:$KY$369,MATCH($A155,연료전지_원본!$A$4:$A$369,0),MATCH($CA$4,연료전지_원본!$A$4:$KY$4,0))</f>
        <v>0</v>
      </c>
      <c r="CB155" s="241">
        <f>INDEX(연료전지_원본!$A$4:$KY$369,MATCH($A155,연료전지_원본!$A$4:$A$369,0),MATCH($CB$4,연료전지_원본!$A$4:$KY$4,0))</f>
        <v>0</v>
      </c>
      <c r="CC155" s="242">
        <f>INDEX(연료전지_원본!$A$4:$KY$369,MATCH($A155,연료전지_원본!$A$4:$A$369,0),MATCH($CC$4,연료전지_원본!$A$4:$KY$4,0))</f>
        <v>0</v>
      </c>
      <c r="CD155" s="250">
        <f>INDEX(연료전지_원본!$KB$4:$KX$369,MATCH($A155,연료전지_원본!$KB$4:$KB$369,0), MATCH(CD$4,연료전지_원본!$KB$4:$KX$4,0))*1000</f>
        <v>0</v>
      </c>
      <c r="CE155" s="250">
        <f>INDEX(연료전지_원본!$KB$4:$KX$369,MATCH($A155,연료전지_원본!$KB$4:$KB$369,0), MATCH(CE$4,연료전지_원본!$KB$4:$KX$4,0))*1000</f>
        <v>0</v>
      </c>
      <c r="CF155" s="250">
        <f>INDEX(연료전지_원본!$KB$4:$KX$369,MATCH($A155,연료전지_원본!$KB$4:$KB$369,0), MATCH(CF$4,연료전지_원본!$KB$4:$KX$4,0))*1000</f>
        <v>0</v>
      </c>
      <c r="CG155" s="250">
        <f>INDEX(연료전지_원본!$KB$4:$KX$369,MATCH($A155,연료전지_원본!$KB$4:$KB$369,0), MATCH(CG$4,연료전지_원본!$KB$4:$KX$4,0))*1000</f>
        <v>0</v>
      </c>
      <c r="CH155" s="250">
        <f>INDEX(연료전지_원본!$KB$4:$KX$369,MATCH($A155,연료전지_원본!$KB$4:$KB$369,0), MATCH(CH$4,연료전지_원본!$KB$4:$KX$4,0))*1000</f>
        <v>0</v>
      </c>
      <c r="CI155" s="250">
        <f>INDEX(연료전지_원본!$KB$4:$KX$369,MATCH($A155,연료전지_원본!$KB$4:$KB$369,0), MATCH(CI$4,연료전지_원본!$KB$4:$KX$4,0))*1000</f>
        <v>0</v>
      </c>
      <c r="CJ155" s="250">
        <f>INDEX(연료전지_원본!$KB$4:$KX$369,MATCH($A155,연료전지_원본!$KB$4:$KB$369,0), MATCH(CJ$4,연료전지_원본!$KB$4:$KX$4,0))*1000</f>
        <v>0</v>
      </c>
      <c r="CK155" s="250">
        <f>INDEX(연료전지_원본!$KB$4:$KX$369,MATCH($A155,연료전지_원본!$KB$4:$KB$369,0), MATCH(CK$4,연료전지_원본!$KB$4:$KX$4,0))*1000</f>
        <v>0</v>
      </c>
      <c r="CL155" s="250">
        <f>INDEX(연료전지_원본!$KB$4:$KX$369,MATCH($A155,연료전지_원본!$KB$4:$KB$369,0), MATCH(CL$4,연료전지_원본!$KB$4:$KX$4,0))*1000</f>
        <v>0</v>
      </c>
      <c r="CM155" s="250">
        <f>INDEX(연료전지_원본!$KB$4:$KX$369,MATCH($A155,연료전지_원본!$KB$4:$KB$369,0), MATCH(CM$4,연료전지_원본!$KB$4:$KX$4,0))*1000</f>
        <v>0</v>
      </c>
      <c r="CN155" s="250">
        <f>INDEX(연료전지_원본!$KB$4:$KX$369,MATCH($A155,연료전지_원본!$KB$4:$KB$369,0), MATCH(CN$4,연료전지_원본!$KB$4:$KX$4,0))*1000</f>
        <v>0</v>
      </c>
      <c r="CO155" s="250">
        <f>INDEX(연료전지_원본!$KB$4:$KX$369,MATCH($A155,연료전지_원본!$KB$4:$KB$369,0), MATCH(CO$4,연료전지_원본!$KB$4:$KX$4,0))*1000</f>
        <v>0</v>
      </c>
      <c r="CP155" s="250">
        <f>INDEX(연료전지_원본!$KB$4:$KX$369,MATCH($A155,연료전지_원본!$KB$4:$KB$369,0), MATCH(CP$4,연료전지_원본!$KB$4:$KX$4,0))*1000</f>
        <v>0</v>
      </c>
      <c r="CQ155" s="250">
        <f>INDEX(연료전지_원본!$KB$4:$KX$369,MATCH($A155,연료전지_원본!$KB$4:$KB$369,0), MATCH(CQ$4,연료전지_원본!$KB$4:$KX$4,0))*1000</f>
        <v>0</v>
      </c>
      <c r="CR155" s="250">
        <f>INDEX(연료전지_원본!$KB$4:$KX$369,MATCH($A155,연료전지_원본!$KB$4:$KB$369,0), MATCH(CR$4,연료전지_원본!$KB$4:$KX$4,0))*1000</f>
        <v>0</v>
      </c>
      <c r="CS155" s="250">
        <f>INDEX(연료전지_원본!$KB$4:$KX$369,MATCH($A155,연료전지_원본!$KB$4:$KB$369,0), MATCH(CS$4,연료전지_원본!$KB$4:$KX$4,0))*1000</f>
        <v>0</v>
      </c>
      <c r="CT155" s="250">
        <f>INDEX(연료전지_원본!$KB$4:$KX$369,MATCH($A155,연료전지_원본!$KB$4:$KB$369,0), MATCH(CT$4,연료전지_원본!$KB$4:$KX$4,0))*1000</f>
        <v>0</v>
      </c>
      <c r="CU155" s="250">
        <f>INDEX(연료전지_원본!$KB$4:$KX$369,MATCH($A155,연료전지_원본!$KB$4:$KB$369,0), MATCH(CU$4,연료전지_원본!$KB$4:$KX$4,0))*1000</f>
        <v>0</v>
      </c>
      <c r="CV155" s="250">
        <f>INDEX(연료전지_원본!$KB$4:$KX$369,MATCH($A155,연료전지_원본!$KB$4:$KB$369,0), MATCH(CV$4,연료전지_원본!$KB$4:$KX$4,0))*1000</f>
        <v>0</v>
      </c>
      <c r="CW155" s="250">
        <f>INDEX(연료전지_원본!$KB$4:$KX$369,MATCH($A155,연료전지_원본!$KB$4:$KB$369,0), MATCH(CW$4,연료전지_원본!$KB$4:$KX$4,0))*1000</f>
        <v>0</v>
      </c>
      <c r="CX155" s="250">
        <f>INDEX(연료전지_원본!$KB$4:$KX$369,MATCH($A155,연료전지_원본!$KB$4:$KB$369,0), MATCH(CX$4,연료전지_원본!$KB$4:$KX$4,0))*1000</f>
        <v>0</v>
      </c>
      <c r="CY155" s="250">
        <f>INDEX(연료전지_원본!$KB$4:$KX$369,MATCH($A155,연료전지_원본!$KB$4:$KB$369,0), MATCH(CY$4,연료전지_원본!$KB$4:$KX$4,0))*1000</f>
        <v>0</v>
      </c>
      <c r="DV155" s="30">
        <f t="shared" si="623"/>
        <v>0</v>
      </c>
    </row>
    <row r="156" spans="1:126">
      <c r="A156" s="158">
        <v>46173</v>
      </c>
      <c r="B156" s="27">
        <f>운전실적_원본!B156</f>
        <v>0</v>
      </c>
      <c r="C156" s="28" t="str">
        <f t="shared" si="629"/>
        <v/>
      </c>
      <c r="D156" s="29">
        <f>운전실적_원본!C156</f>
        <v>0</v>
      </c>
      <c r="E156" s="29" t="str">
        <f t="shared" si="630"/>
        <v/>
      </c>
      <c r="F156" s="29">
        <f>운전실적_원본!D156</f>
        <v>0</v>
      </c>
      <c r="G156" s="28" t="str">
        <f t="shared" si="631"/>
        <v/>
      </c>
      <c r="H156" s="27">
        <f>운전실적_원본!E156</f>
        <v>0</v>
      </c>
      <c r="I156" s="28" t="str">
        <f t="shared" si="632"/>
        <v/>
      </c>
      <c r="J156" s="27">
        <f>운전실적_원본!F156</f>
        <v>0</v>
      </c>
      <c r="K156" s="28" t="str">
        <f t="shared" si="632"/>
        <v/>
      </c>
      <c r="L156" s="159">
        <f>운전실적_원본!G156</f>
        <v>0</v>
      </c>
      <c r="M156" s="157" t="str">
        <f t="shared" ref="M156" si="899">IF(OR(LEN(L156)=0,L156=0),"",L156-L155)</f>
        <v/>
      </c>
      <c r="N156" s="27">
        <f>운전실적_원본!H156</f>
        <v>0</v>
      </c>
      <c r="O156" s="28" t="str">
        <f t="shared" ref="O156" si="900">IF(OR(LEN(N156)=0,N156=0),"",N156-N155)</f>
        <v/>
      </c>
      <c r="P156" s="27">
        <f>운전실적_원본!I156</f>
        <v>0</v>
      </c>
      <c r="Q156" s="28" t="str">
        <f t="shared" ref="Q156" si="901">IF(OR(LEN(P156)=0,P156=0),"",P156-P155)</f>
        <v/>
      </c>
      <c r="R156" s="160">
        <f>운전실적_원본!J156</f>
        <v>0</v>
      </c>
      <c r="S156" s="161" t="str">
        <f t="shared" ref="S156" si="902">IF(OR(LEN(R156)=0,R156=0),"",R156-R155)</f>
        <v/>
      </c>
      <c r="T156" s="160">
        <f>운전실적_원본!K156</f>
        <v>0</v>
      </c>
      <c r="U156" s="161" t="str">
        <f t="shared" si="637"/>
        <v/>
      </c>
      <c r="V156" s="29">
        <f>운전실적_원본!L156</f>
        <v>0</v>
      </c>
      <c r="W156" s="28" t="str">
        <f t="shared" ref="W156" si="903">IF(OR(LEN(V156)=0,V156=0),"",V156-V155)</f>
        <v/>
      </c>
      <c r="X156" s="162">
        <f>운전실적_원본!M156</f>
        <v>0</v>
      </c>
      <c r="Y156" s="162">
        <f>운전실적_원본!N156</f>
        <v>0</v>
      </c>
      <c r="Z156" s="162">
        <f>운전실적_원본!O156</f>
        <v>0</v>
      </c>
      <c r="AA156" s="162">
        <f>운전실적_원본!P156</f>
        <v>0</v>
      </c>
      <c r="AB156" s="162">
        <f>운전실적_원본!Q156</f>
        <v>0</v>
      </c>
      <c r="AC156" s="162">
        <f>운전실적_원본!R156</f>
        <v>0</v>
      </c>
      <c r="AD156" s="163">
        <f>운전실적_원본!S156</f>
        <v>0</v>
      </c>
      <c r="AE156" s="164">
        <f>운전실적_원본!T156</f>
        <v>0</v>
      </c>
      <c r="AF156" s="164">
        <f>운전실적_원본!U156</f>
        <v>0</v>
      </c>
      <c r="AG156" s="164">
        <f>운전실적_원본!V156</f>
        <v>0</v>
      </c>
      <c r="AH156" s="163">
        <f t="shared" si="791"/>
        <v>0</v>
      </c>
      <c r="AI156" s="164">
        <f t="shared" si="798"/>
        <v>0</v>
      </c>
      <c r="AJ156" s="164">
        <f>운전실적_원본!Y156</f>
        <v>0</v>
      </c>
      <c r="AK156" s="164">
        <f>운전실적_원본!Z156</f>
        <v>0</v>
      </c>
      <c r="AL156" s="165"/>
      <c r="AM156" s="166"/>
      <c r="AN156" s="166"/>
      <c r="AO156" s="166"/>
      <c r="AP156" s="166"/>
      <c r="AQ156" s="167"/>
      <c r="AR156" s="166"/>
      <c r="AS156" s="166"/>
      <c r="AT156" s="168"/>
      <c r="AU156" s="168"/>
      <c r="AV156" s="168"/>
      <c r="AW156" s="168"/>
      <c r="AX156" s="159">
        <f>운전실적_원본!W156</f>
        <v>0</v>
      </c>
      <c r="AY156" s="169">
        <f>운전실적_원본!X156</f>
        <v>0</v>
      </c>
      <c r="AZ156" s="169">
        <f>운전실적_원본!Y156</f>
        <v>0</v>
      </c>
      <c r="BA156" s="169">
        <f>운전실적_원본!Z156</f>
        <v>0</v>
      </c>
      <c r="BB156" s="169">
        <f>운전실적_원본!AA156</f>
        <v>0</v>
      </c>
      <c r="BC156" s="169">
        <f>운전실적_원본!AB156</f>
        <v>0</v>
      </c>
      <c r="BD156" s="159" t="str">
        <f t="shared" si="784"/>
        <v>-</v>
      </c>
      <c r="BE156" s="169" t="str">
        <f t="shared" si="792"/>
        <v>-</v>
      </c>
      <c r="BF156" s="169">
        <f>운전실적_원본!AE156</f>
        <v>0</v>
      </c>
      <c r="BG156" s="157">
        <f t="shared" si="785"/>
        <v>0</v>
      </c>
      <c r="BH156" s="244">
        <f>INDEX(연료전지_원본!$A$4:$KY$369,MATCH($A156,연료전지_원본!$A$4:$A$369,0),MATCH($BH$4,연료전지_원본!$A$4:$KY$4,0))</f>
        <v>0</v>
      </c>
      <c r="BI156" s="244">
        <f>INDEX(연료전지_원본!$A$4:$KY$369,MATCH($A156,연료전지_원본!$A$4:$A$369,0),MATCH($BI$4,연료전지_원본!$A$4:$KY$4,0))</f>
        <v>0</v>
      </c>
      <c r="BJ156" s="244">
        <f>INDEX(연료전지_원본!$A$4:$KY$369,MATCH($A156,연료전지_원본!$A$4:$A$369,0),MATCH($BJ$4,연료전지_원본!$A$4:$KY$4,0))</f>
        <v>0</v>
      </c>
      <c r="BK156" s="244">
        <f>INDEX(연료전지_원본!$A$4:$KY$369,MATCH($A156,연료전지_원본!$A$4:$A$369,0),MATCH($BK$4,연료전지_원본!$A$4:$KY$4,0))</f>
        <v>0</v>
      </c>
      <c r="BL156" s="244">
        <f>INDEX(연료전지_원본!$A$4:$KY$369,MATCH($A156,연료전지_원본!$A$4:$A$369,0),MATCH($BL$4,연료전지_원본!$A$4:$KY$4,0))</f>
        <v>0</v>
      </c>
      <c r="BM156" s="244">
        <f>INDEX(연료전지_원본!$A$4:$KY$369,MATCH($A156,연료전지_원본!$A$4:$A$369,0),MATCH($BM$4,연료전지_원본!$A$4:$KY$4,0))</f>
        <v>0</v>
      </c>
      <c r="BN156" s="244">
        <f>INDEX(연료전지_원본!$A$4:$KY$369,MATCH($A156,연료전지_원본!$A$4:$A$369,0),MATCH($BN$4,연료전지_원본!$A$4:$KY$4,0))</f>
        <v>0</v>
      </c>
      <c r="BO156" s="244">
        <f>INDEX(연료전지_원본!$A$4:$KY$369,MATCH($A156,연료전지_원본!$A$4:$A$369,0),MATCH($BO$4,연료전지_원본!$A$4:$KY$4,0))</f>
        <v>0</v>
      </c>
      <c r="BP156" s="244">
        <f>INDEX(연료전지_원본!$A$4:$KY$369,MATCH($A156,연료전지_원본!$A$4:$A$369,0),MATCH($BP$4,연료전지_원본!$A$4:$KY$4,0))</f>
        <v>0</v>
      </c>
      <c r="BQ156" s="244">
        <f>INDEX(연료전지_원본!$A$4:$KY$369,MATCH($A156,연료전지_원본!$A$4:$A$369,0),MATCH($BQ$4,연료전지_원본!$A$4:$KY$4,0))</f>
        <v>0</v>
      </c>
      <c r="BR156" s="244">
        <f>INDEX(연료전지_원본!$A$4:$KY$369,MATCH($A156,연료전지_원본!$A$4:$A$369,0),MATCH($BR$4,연료전지_원본!$A$4:$KY$4,0))</f>
        <v>0</v>
      </c>
      <c r="BS156" s="244">
        <f>INDEX(연료전지_원본!$A$4:$KY$369,MATCH($A156,연료전지_원본!$A$4:$A$369,0),MATCH($BS$4,연료전지_원본!$A$4:$KY$4,0))</f>
        <v>0</v>
      </c>
      <c r="BT156" s="244">
        <f>INDEX(연료전지_원본!$A$4:$KY$369,MATCH($A156,연료전지_원본!$A$4:$A$369,0),MATCH($BT$4,연료전지_원본!$A$4:$KY$4,0))</f>
        <v>0</v>
      </c>
      <c r="BU156" s="244">
        <f>INDEX(연료전지_원본!$A$4:$KY$369,MATCH($A156,연료전지_원본!$A$4:$A$369,0),MATCH($BU$4,연료전지_원본!$A$4:$KY$4,0))</f>
        <v>0</v>
      </c>
      <c r="BV156" s="244">
        <f>INDEX(연료전지_원본!$A$4:$KY$369,MATCH($A156,연료전지_원본!$A$4:$A$369,0),MATCH($BV$4,연료전지_원본!$A$4:$KY$4,0))</f>
        <v>0</v>
      </c>
      <c r="BW156" s="244">
        <f>INDEX(연료전지_원본!$A$4:$KY$369,MATCH($A156,연료전지_원본!$A$4:$A$369,0),MATCH($BW$4,연료전지_원본!$A$4:$KY$4,0))</f>
        <v>0</v>
      </c>
      <c r="BX156" s="244">
        <f>INDEX(연료전지_원본!$A$4:$KY$369,MATCH($A156,연료전지_원본!$A$4:$A$369,0),MATCH($BX$4,연료전지_원본!$A$4:$KY$4,0))</f>
        <v>0</v>
      </c>
      <c r="BY156" s="244">
        <f>INDEX(연료전지_원본!$A$4:$KY$369,MATCH($A156,연료전지_원본!$A$4:$A$369,0),MATCH($BY$4,연료전지_원본!$A$4:$KY$4,0))</f>
        <v>0</v>
      </c>
      <c r="BZ156" s="244">
        <f>INDEX(연료전지_원본!$A$4:$KY$369,MATCH($A156,연료전지_원본!$A$4:$A$369,0),MATCH($BZ$4,연료전지_원본!$A$4:$KY$4,0))</f>
        <v>0</v>
      </c>
      <c r="CA156" s="244">
        <f>INDEX(연료전지_원본!$A$4:$KY$369,MATCH($A156,연료전지_원본!$A$4:$A$369,0),MATCH($CA$4,연료전지_원본!$A$4:$KY$4,0))</f>
        <v>0</v>
      </c>
      <c r="CB156" s="244">
        <f>INDEX(연료전지_원본!$A$4:$KY$369,MATCH($A156,연료전지_원본!$A$4:$A$369,0),MATCH($CB$4,연료전지_원본!$A$4:$KY$4,0))</f>
        <v>0</v>
      </c>
      <c r="CC156" s="245">
        <f>INDEX(연료전지_원본!$A$4:$KY$369,MATCH($A156,연료전지_원본!$A$4:$A$369,0),MATCH($CC$4,연료전지_원본!$A$4:$KY$4,0))</f>
        <v>0</v>
      </c>
      <c r="CD156" s="257">
        <f>INDEX(연료전지_원본!$KB$4:$KX$369,MATCH($A156,연료전지_원본!$KB$4:$KB$369,0), MATCH(CD$4,연료전지_원본!$KB$4:$KX$4,0))*1000</f>
        <v>0</v>
      </c>
      <c r="CE156" s="257">
        <f>INDEX(연료전지_원본!$KB$4:$KX$369,MATCH($A156,연료전지_원본!$KB$4:$KB$369,0), MATCH(CE$4,연료전지_원본!$KB$4:$KX$4,0))*1000</f>
        <v>0</v>
      </c>
      <c r="CF156" s="257">
        <f>INDEX(연료전지_원본!$KB$4:$KX$369,MATCH($A156,연료전지_원본!$KB$4:$KB$369,0), MATCH(CF$4,연료전지_원본!$KB$4:$KX$4,0))*1000</f>
        <v>0</v>
      </c>
      <c r="CG156" s="257">
        <f>INDEX(연료전지_원본!$KB$4:$KX$369,MATCH($A156,연료전지_원본!$KB$4:$KB$369,0), MATCH(CG$4,연료전지_원본!$KB$4:$KX$4,0))*1000</f>
        <v>0</v>
      </c>
      <c r="CH156" s="257">
        <f>INDEX(연료전지_원본!$KB$4:$KX$369,MATCH($A156,연료전지_원본!$KB$4:$KB$369,0), MATCH(CH$4,연료전지_원본!$KB$4:$KX$4,0))*1000</f>
        <v>0</v>
      </c>
      <c r="CI156" s="257">
        <f>INDEX(연료전지_원본!$KB$4:$KX$369,MATCH($A156,연료전지_원본!$KB$4:$KB$369,0), MATCH(CI$4,연료전지_원본!$KB$4:$KX$4,0))*1000</f>
        <v>0</v>
      </c>
      <c r="CJ156" s="257">
        <f>INDEX(연료전지_원본!$KB$4:$KX$369,MATCH($A156,연료전지_원본!$KB$4:$KB$369,0), MATCH(CJ$4,연료전지_원본!$KB$4:$KX$4,0))*1000</f>
        <v>0</v>
      </c>
      <c r="CK156" s="257">
        <f>INDEX(연료전지_원본!$KB$4:$KX$369,MATCH($A156,연료전지_원본!$KB$4:$KB$369,0), MATCH(CK$4,연료전지_원본!$KB$4:$KX$4,0))*1000</f>
        <v>0</v>
      </c>
      <c r="CL156" s="257">
        <f>INDEX(연료전지_원본!$KB$4:$KX$369,MATCH($A156,연료전지_원본!$KB$4:$KB$369,0), MATCH(CL$4,연료전지_원본!$KB$4:$KX$4,0))*1000</f>
        <v>0</v>
      </c>
      <c r="CM156" s="257">
        <f>INDEX(연료전지_원본!$KB$4:$KX$369,MATCH($A156,연료전지_원본!$KB$4:$KB$369,0), MATCH(CM$4,연료전지_원본!$KB$4:$KX$4,0))*1000</f>
        <v>0</v>
      </c>
      <c r="CN156" s="257">
        <f>INDEX(연료전지_원본!$KB$4:$KX$369,MATCH($A156,연료전지_원본!$KB$4:$KB$369,0), MATCH(CN$4,연료전지_원본!$KB$4:$KX$4,0))*1000</f>
        <v>0</v>
      </c>
      <c r="CO156" s="257">
        <f>INDEX(연료전지_원본!$KB$4:$KX$369,MATCH($A156,연료전지_원본!$KB$4:$KB$369,0), MATCH(CO$4,연료전지_원본!$KB$4:$KX$4,0))*1000</f>
        <v>0</v>
      </c>
      <c r="CP156" s="257">
        <f>INDEX(연료전지_원본!$KB$4:$KX$369,MATCH($A156,연료전지_원본!$KB$4:$KB$369,0), MATCH(CP$4,연료전지_원본!$KB$4:$KX$4,0))*1000</f>
        <v>0</v>
      </c>
      <c r="CQ156" s="257">
        <f>INDEX(연료전지_원본!$KB$4:$KX$369,MATCH($A156,연료전지_원본!$KB$4:$KB$369,0), MATCH(CQ$4,연료전지_원본!$KB$4:$KX$4,0))*1000</f>
        <v>0</v>
      </c>
      <c r="CR156" s="257">
        <f>INDEX(연료전지_원본!$KB$4:$KX$369,MATCH($A156,연료전지_원본!$KB$4:$KB$369,0), MATCH(CR$4,연료전지_원본!$KB$4:$KX$4,0))*1000</f>
        <v>0</v>
      </c>
      <c r="CS156" s="257">
        <f>INDEX(연료전지_원본!$KB$4:$KX$369,MATCH($A156,연료전지_원본!$KB$4:$KB$369,0), MATCH(CS$4,연료전지_원본!$KB$4:$KX$4,0))*1000</f>
        <v>0</v>
      </c>
      <c r="CT156" s="257">
        <f>INDEX(연료전지_원본!$KB$4:$KX$369,MATCH($A156,연료전지_원본!$KB$4:$KB$369,0), MATCH(CT$4,연료전지_원본!$KB$4:$KX$4,0))*1000</f>
        <v>0</v>
      </c>
      <c r="CU156" s="257">
        <f>INDEX(연료전지_원본!$KB$4:$KX$369,MATCH($A156,연료전지_원본!$KB$4:$KB$369,0), MATCH(CU$4,연료전지_원본!$KB$4:$KX$4,0))*1000</f>
        <v>0</v>
      </c>
      <c r="CV156" s="257">
        <f>INDEX(연료전지_원본!$KB$4:$KX$369,MATCH($A156,연료전지_원본!$KB$4:$KB$369,0), MATCH(CV$4,연료전지_원본!$KB$4:$KX$4,0))*1000</f>
        <v>0</v>
      </c>
      <c r="CW156" s="257">
        <f>INDEX(연료전지_원본!$KB$4:$KX$369,MATCH($A156,연료전지_원본!$KB$4:$KB$369,0), MATCH(CW$4,연료전지_원본!$KB$4:$KX$4,0))*1000</f>
        <v>0</v>
      </c>
      <c r="CX156" s="257">
        <f>INDEX(연료전지_원본!$KB$4:$KX$369,MATCH($A156,연료전지_원본!$KB$4:$KB$369,0), MATCH(CX$4,연료전지_원본!$KB$4:$KX$4,0))*1000</f>
        <v>0</v>
      </c>
      <c r="CY156" s="257">
        <f>INDEX(연료전지_원본!$KB$4:$KX$369,MATCH($A156,연료전지_원본!$KB$4:$KB$369,0), MATCH(CY$4,연료전지_원본!$KB$4:$KX$4,0))*1000</f>
        <v>0</v>
      </c>
      <c r="CZ156" s="186"/>
      <c r="DA156" s="182"/>
      <c r="DB156" s="182"/>
      <c r="DC156" s="182"/>
      <c r="DD156" s="182"/>
      <c r="DE156" s="182"/>
      <c r="DF156" s="182"/>
      <c r="DG156" s="182"/>
      <c r="DH156" s="182"/>
      <c r="DI156" s="182"/>
      <c r="DJ156" s="182"/>
      <c r="DK156" s="182"/>
      <c r="DL156" s="182"/>
      <c r="DM156" s="182"/>
      <c r="DN156" s="182"/>
      <c r="DO156" s="182"/>
      <c r="DP156" s="182"/>
      <c r="DQ156" s="182"/>
      <c r="DR156" s="182"/>
      <c r="DS156" s="182"/>
      <c r="DT156" s="182"/>
      <c r="DU156" s="182"/>
      <c r="DV156" s="182">
        <f t="shared" si="623"/>
        <v>0</v>
      </c>
    </row>
    <row r="157" spans="1:126">
      <c r="A157" s="6">
        <v>46174</v>
      </c>
      <c r="B157" s="15">
        <f>운전실적_원본!B157</f>
        <v>0</v>
      </c>
      <c r="C157" s="16" t="str">
        <f t="shared" si="629"/>
        <v/>
      </c>
      <c r="D157" s="12">
        <f>운전실적_원본!C157</f>
        <v>0</v>
      </c>
      <c r="E157" s="12" t="str">
        <f t="shared" si="630"/>
        <v/>
      </c>
      <c r="F157" s="12">
        <f>운전실적_원본!D157</f>
        <v>0</v>
      </c>
      <c r="G157" s="16" t="str">
        <f t="shared" si="631"/>
        <v/>
      </c>
      <c r="H157" s="15">
        <f>운전실적_원본!E157</f>
        <v>0</v>
      </c>
      <c r="I157" s="16" t="str">
        <f t="shared" si="632"/>
        <v/>
      </c>
      <c r="J157" s="15">
        <f>운전실적_원본!F157</f>
        <v>0</v>
      </c>
      <c r="K157" s="16" t="str">
        <f t="shared" si="632"/>
        <v/>
      </c>
      <c r="L157" s="32">
        <f>운전실적_원본!G157</f>
        <v>0</v>
      </c>
      <c r="M157" s="31" t="str">
        <f t="shared" ref="M157" si="904">IF(OR(LEN(L157)=0,L157=0),"",L157-L156)</f>
        <v/>
      </c>
      <c r="N157" s="15">
        <f>운전실적_원본!H157</f>
        <v>0</v>
      </c>
      <c r="O157" s="16" t="str">
        <f t="shared" ref="O157" si="905">IF(OR(LEN(N157)=0,N157=0),"",N157-N156)</f>
        <v/>
      </c>
      <c r="P157" s="15">
        <f>운전실적_원본!I157</f>
        <v>0</v>
      </c>
      <c r="Q157" s="16" t="str">
        <f t="shared" ref="Q157" si="906">IF(OR(LEN(P157)=0,P157=0),"",P157-P156)</f>
        <v/>
      </c>
      <c r="R157" s="18">
        <f>운전실적_원본!J157</f>
        <v>0</v>
      </c>
      <c r="S157" s="19" t="str">
        <f t="shared" ref="S157" si="907">IF(OR(LEN(R157)=0,R157=0),"",R157-R156)</f>
        <v/>
      </c>
      <c r="T157" s="18">
        <f>운전실적_원본!K157</f>
        <v>0</v>
      </c>
      <c r="U157" s="19" t="str">
        <f t="shared" si="637"/>
        <v/>
      </c>
      <c r="V157" s="12">
        <f>운전실적_원본!L157</f>
        <v>0</v>
      </c>
      <c r="W157" s="16" t="str">
        <f t="shared" ref="W157" si="908">IF(OR(LEN(V157)=0,V157=0),"",V157-V156)</f>
        <v/>
      </c>
      <c r="X157" s="10">
        <f>운전실적_원본!M157</f>
        <v>0</v>
      </c>
      <c r="Y157" s="10">
        <f>운전실적_원본!N157</f>
        <v>0</v>
      </c>
      <c r="Z157" s="10">
        <f>운전실적_원본!O157</f>
        <v>0</v>
      </c>
      <c r="AA157" s="10">
        <f>운전실적_원본!P157</f>
        <v>0</v>
      </c>
      <c r="AB157" s="10">
        <f>운전실적_원본!Q157</f>
        <v>0</v>
      </c>
      <c r="AC157" s="20">
        <f>운전실적_원본!R157</f>
        <v>0</v>
      </c>
      <c r="AD157" s="109">
        <f>운전실적_원본!S157</f>
        <v>0</v>
      </c>
      <c r="AE157" s="110">
        <f>운전실적_원본!T157</f>
        <v>0</v>
      </c>
      <c r="AF157" s="110">
        <f>운전실적_원본!U157</f>
        <v>0</v>
      </c>
      <c r="AG157" s="110">
        <f>운전실적_원본!V157</f>
        <v>0</v>
      </c>
      <c r="AH157" s="109">
        <f t="shared" si="791"/>
        <v>0</v>
      </c>
      <c r="AI157" s="110">
        <f t="shared" si="798"/>
        <v>0</v>
      </c>
      <c r="AJ157" s="110">
        <f>운전실적_원본!Y157</f>
        <v>0</v>
      </c>
      <c r="AK157" s="110">
        <f>운전실적_원본!Z157</f>
        <v>0</v>
      </c>
      <c r="AL157" s="106"/>
      <c r="AM157" s="105"/>
      <c r="AN157" s="105"/>
      <c r="AO157" s="105"/>
      <c r="AP157" s="105"/>
      <c r="AQ157" s="108"/>
      <c r="AR157" s="105"/>
      <c r="AS157" s="105"/>
      <c r="AT157" s="102"/>
      <c r="AU157" s="102"/>
      <c r="AV157" s="102"/>
      <c r="AW157" s="102"/>
      <c r="AX157" s="32">
        <f>운전실적_원본!W157</f>
        <v>0</v>
      </c>
      <c r="AY157" s="11">
        <f>운전실적_원본!X157</f>
        <v>0</v>
      </c>
      <c r="AZ157" s="11">
        <f>운전실적_원본!Y157</f>
        <v>0</v>
      </c>
      <c r="BA157" s="11">
        <f>운전실적_원본!Z157</f>
        <v>0</v>
      </c>
      <c r="BB157" s="11">
        <f>운전실적_원본!AA157</f>
        <v>0</v>
      </c>
      <c r="BC157" s="11">
        <f>운전실적_원본!AB157</f>
        <v>0</v>
      </c>
      <c r="BD157" s="32" t="str">
        <f t="shared" si="784"/>
        <v>-</v>
      </c>
      <c r="BE157" s="11" t="str">
        <f t="shared" si="792"/>
        <v>-</v>
      </c>
      <c r="BF157" s="11">
        <f>운전실적_원본!AE157</f>
        <v>0</v>
      </c>
      <c r="BG157" s="31">
        <f t="shared" si="785"/>
        <v>0</v>
      </c>
      <c r="BH157" s="241">
        <f>INDEX(연료전지_원본!$A$4:$KY$369,MATCH($A157,연료전지_원본!$A$4:$A$369,0),MATCH($BH$4,연료전지_원본!$A$4:$KY$4,0))</f>
        <v>0</v>
      </c>
      <c r="BI157" s="241">
        <f>INDEX(연료전지_원본!$A$4:$KY$369,MATCH($A157,연료전지_원본!$A$4:$A$369,0),MATCH($BI$4,연료전지_원본!$A$4:$KY$4,0))</f>
        <v>0</v>
      </c>
      <c r="BJ157" s="241">
        <f>INDEX(연료전지_원본!$A$4:$KY$369,MATCH($A157,연료전지_원본!$A$4:$A$369,0),MATCH($BJ$4,연료전지_원본!$A$4:$KY$4,0))</f>
        <v>0</v>
      </c>
      <c r="BK157" s="241">
        <f>INDEX(연료전지_원본!$A$4:$KY$369,MATCH($A157,연료전지_원본!$A$4:$A$369,0),MATCH($BK$4,연료전지_원본!$A$4:$KY$4,0))</f>
        <v>0</v>
      </c>
      <c r="BL157" s="241">
        <f>INDEX(연료전지_원본!$A$4:$KY$369,MATCH($A157,연료전지_원본!$A$4:$A$369,0),MATCH($BL$4,연료전지_원본!$A$4:$KY$4,0))</f>
        <v>0</v>
      </c>
      <c r="BM157" s="241">
        <f>INDEX(연료전지_원본!$A$4:$KY$369,MATCH($A157,연료전지_원본!$A$4:$A$369,0),MATCH($BM$4,연료전지_원본!$A$4:$KY$4,0))</f>
        <v>0</v>
      </c>
      <c r="BN157" s="241">
        <f>INDEX(연료전지_원본!$A$4:$KY$369,MATCH($A157,연료전지_원본!$A$4:$A$369,0),MATCH($BN$4,연료전지_원본!$A$4:$KY$4,0))</f>
        <v>0</v>
      </c>
      <c r="BO157" s="241">
        <f>INDEX(연료전지_원본!$A$4:$KY$369,MATCH($A157,연료전지_원본!$A$4:$A$369,0),MATCH($BO$4,연료전지_원본!$A$4:$KY$4,0))</f>
        <v>0</v>
      </c>
      <c r="BP157" s="241">
        <f>INDEX(연료전지_원본!$A$4:$KY$369,MATCH($A157,연료전지_원본!$A$4:$A$369,0),MATCH($BP$4,연료전지_원본!$A$4:$KY$4,0))</f>
        <v>0</v>
      </c>
      <c r="BQ157" s="241">
        <f>INDEX(연료전지_원본!$A$4:$KY$369,MATCH($A157,연료전지_원본!$A$4:$A$369,0),MATCH($BQ$4,연료전지_원본!$A$4:$KY$4,0))</f>
        <v>0</v>
      </c>
      <c r="BR157" s="241">
        <f>INDEX(연료전지_원본!$A$4:$KY$369,MATCH($A157,연료전지_원본!$A$4:$A$369,0),MATCH($BR$4,연료전지_원본!$A$4:$KY$4,0))</f>
        <v>0</v>
      </c>
      <c r="BS157" s="241">
        <f>INDEX(연료전지_원본!$A$4:$KY$369,MATCH($A157,연료전지_원본!$A$4:$A$369,0),MATCH($BS$4,연료전지_원본!$A$4:$KY$4,0))</f>
        <v>0</v>
      </c>
      <c r="BT157" s="241">
        <f>INDEX(연료전지_원본!$A$4:$KY$369,MATCH($A157,연료전지_원본!$A$4:$A$369,0),MATCH($BT$4,연료전지_원본!$A$4:$KY$4,0))</f>
        <v>0</v>
      </c>
      <c r="BU157" s="241">
        <f>INDEX(연료전지_원본!$A$4:$KY$369,MATCH($A157,연료전지_원본!$A$4:$A$369,0),MATCH($BU$4,연료전지_원본!$A$4:$KY$4,0))</f>
        <v>0</v>
      </c>
      <c r="BV157" s="241">
        <f>INDEX(연료전지_원본!$A$4:$KY$369,MATCH($A157,연료전지_원본!$A$4:$A$369,0),MATCH($BV$4,연료전지_원본!$A$4:$KY$4,0))</f>
        <v>0</v>
      </c>
      <c r="BW157" s="241">
        <f>INDEX(연료전지_원본!$A$4:$KY$369,MATCH($A157,연료전지_원본!$A$4:$A$369,0),MATCH($BW$4,연료전지_원본!$A$4:$KY$4,0))</f>
        <v>0</v>
      </c>
      <c r="BX157" s="241">
        <f>INDEX(연료전지_원본!$A$4:$KY$369,MATCH($A157,연료전지_원본!$A$4:$A$369,0),MATCH($BX$4,연료전지_원본!$A$4:$KY$4,0))</f>
        <v>0</v>
      </c>
      <c r="BY157" s="241">
        <f>INDEX(연료전지_원본!$A$4:$KY$369,MATCH($A157,연료전지_원본!$A$4:$A$369,0),MATCH($BY$4,연료전지_원본!$A$4:$KY$4,0))</f>
        <v>0</v>
      </c>
      <c r="BZ157" s="241">
        <f>INDEX(연료전지_원본!$A$4:$KY$369,MATCH($A157,연료전지_원본!$A$4:$A$369,0),MATCH($BZ$4,연료전지_원본!$A$4:$KY$4,0))</f>
        <v>0</v>
      </c>
      <c r="CA157" s="241">
        <f>INDEX(연료전지_원본!$A$4:$KY$369,MATCH($A157,연료전지_원본!$A$4:$A$369,0),MATCH($CA$4,연료전지_원본!$A$4:$KY$4,0))</f>
        <v>0</v>
      </c>
      <c r="CB157" s="241">
        <f>INDEX(연료전지_원본!$A$4:$KY$369,MATCH($A157,연료전지_원본!$A$4:$A$369,0),MATCH($CB$4,연료전지_원본!$A$4:$KY$4,0))</f>
        <v>0</v>
      </c>
      <c r="CC157" s="242">
        <f>INDEX(연료전지_원본!$A$4:$KY$369,MATCH($A157,연료전지_원본!$A$4:$A$369,0),MATCH($CC$4,연료전지_원본!$A$4:$KY$4,0))</f>
        <v>0</v>
      </c>
      <c r="CD157" s="250">
        <f>INDEX(연료전지_원본!$KB$4:$KX$369,MATCH($A157,연료전지_원본!$KB$4:$KB$369,0), MATCH(CD$4,연료전지_원본!$KB$4:$KX$4,0))*1000</f>
        <v>0</v>
      </c>
      <c r="CE157" s="250">
        <f>INDEX(연료전지_원본!$KB$4:$KX$369,MATCH($A157,연료전지_원본!$KB$4:$KB$369,0), MATCH(CE$4,연료전지_원본!$KB$4:$KX$4,0))*1000</f>
        <v>0</v>
      </c>
      <c r="CF157" s="250">
        <f>INDEX(연료전지_원본!$KB$4:$KX$369,MATCH($A157,연료전지_원본!$KB$4:$KB$369,0), MATCH(CF$4,연료전지_원본!$KB$4:$KX$4,0))*1000</f>
        <v>0</v>
      </c>
      <c r="CG157" s="250">
        <f>INDEX(연료전지_원본!$KB$4:$KX$369,MATCH($A157,연료전지_원본!$KB$4:$KB$369,0), MATCH(CG$4,연료전지_원본!$KB$4:$KX$4,0))*1000</f>
        <v>0</v>
      </c>
      <c r="CH157" s="250">
        <f>INDEX(연료전지_원본!$KB$4:$KX$369,MATCH($A157,연료전지_원본!$KB$4:$KB$369,0), MATCH(CH$4,연료전지_원본!$KB$4:$KX$4,0))*1000</f>
        <v>0</v>
      </c>
      <c r="CI157" s="250">
        <f>INDEX(연료전지_원본!$KB$4:$KX$369,MATCH($A157,연료전지_원본!$KB$4:$KB$369,0), MATCH(CI$4,연료전지_원본!$KB$4:$KX$4,0))*1000</f>
        <v>0</v>
      </c>
      <c r="CJ157" s="250">
        <f>INDEX(연료전지_원본!$KB$4:$KX$369,MATCH($A157,연료전지_원본!$KB$4:$KB$369,0), MATCH(CJ$4,연료전지_원본!$KB$4:$KX$4,0))*1000</f>
        <v>0</v>
      </c>
      <c r="CK157" s="250">
        <f>INDEX(연료전지_원본!$KB$4:$KX$369,MATCH($A157,연료전지_원본!$KB$4:$KB$369,0), MATCH(CK$4,연료전지_원본!$KB$4:$KX$4,0))*1000</f>
        <v>0</v>
      </c>
      <c r="CL157" s="250">
        <f>INDEX(연료전지_원본!$KB$4:$KX$369,MATCH($A157,연료전지_원본!$KB$4:$KB$369,0), MATCH(CL$4,연료전지_원본!$KB$4:$KX$4,0))*1000</f>
        <v>0</v>
      </c>
      <c r="CM157" s="250">
        <f>INDEX(연료전지_원본!$KB$4:$KX$369,MATCH($A157,연료전지_원본!$KB$4:$KB$369,0), MATCH(CM$4,연료전지_원본!$KB$4:$KX$4,0))*1000</f>
        <v>0</v>
      </c>
      <c r="CN157" s="250">
        <f>INDEX(연료전지_원본!$KB$4:$KX$369,MATCH($A157,연료전지_원본!$KB$4:$KB$369,0), MATCH(CN$4,연료전지_원본!$KB$4:$KX$4,0))*1000</f>
        <v>0</v>
      </c>
      <c r="CO157" s="250">
        <f>INDEX(연료전지_원본!$KB$4:$KX$369,MATCH($A157,연료전지_원본!$KB$4:$KB$369,0), MATCH(CO$4,연료전지_원본!$KB$4:$KX$4,0))*1000</f>
        <v>0</v>
      </c>
      <c r="CP157" s="250">
        <f>INDEX(연료전지_원본!$KB$4:$KX$369,MATCH($A157,연료전지_원본!$KB$4:$KB$369,0), MATCH(CP$4,연료전지_원본!$KB$4:$KX$4,0))*1000</f>
        <v>0</v>
      </c>
      <c r="CQ157" s="250">
        <f>INDEX(연료전지_원본!$KB$4:$KX$369,MATCH($A157,연료전지_원본!$KB$4:$KB$369,0), MATCH(CQ$4,연료전지_원본!$KB$4:$KX$4,0))*1000</f>
        <v>0</v>
      </c>
      <c r="CR157" s="250">
        <f>INDEX(연료전지_원본!$KB$4:$KX$369,MATCH($A157,연료전지_원본!$KB$4:$KB$369,0), MATCH(CR$4,연료전지_원본!$KB$4:$KX$4,0))*1000</f>
        <v>0</v>
      </c>
      <c r="CS157" s="250">
        <f>INDEX(연료전지_원본!$KB$4:$KX$369,MATCH($A157,연료전지_원본!$KB$4:$KB$369,0), MATCH(CS$4,연료전지_원본!$KB$4:$KX$4,0))*1000</f>
        <v>0</v>
      </c>
      <c r="CT157" s="250">
        <f>INDEX(연료전지_원본!$KB$4:$KX$369,MATCH($A157,연료전지_원본!$KB$4:$KB$369,0), MATCH(CT$4,연료전지_원본!$KB$4:$KX$4,0))*1000</f>
        <v>0</v>
      </c>
      <c r="CU157" s="250">
        <f>INDEX(연료전지_원본!$KB$4:$KX$369,MATCH($A157,연료전지_원본!$KB$4:$KB$369,0), MATCH(CU$4,연료전지_원본!$KB$4:$KX$4,0))*1000</f>
        <v>0</v>
      </c>
      <c r="CV157" s="250">
        <f>INDEX(연료전지_원본!$KB$4:$KX$369,MATCH($A157,연료전지_원본!$KB$4:$KB$369,0), MATCH(CV$4,연료전지_원본!$KB$4:$KX$4,0))*1000</f>
        <v>0</v>
      </c>
      <c r="CW157" s="250">
        <f>INDEX(연료전지_원본!$KB$4:$KX$369,MATCH($A157,연료전지_원본!$KB$4:$KB$369,0), MATCH(CW$4,연료전지_원본!$KB$4:$KX$4,0))*1000</f>
        <v>0</v>
      </c>
      <c r="CX157" s="250">
        <f>INDEX(연료전지_원본!$KB$4:$KX$369,MATCH($A157,연료전지_원본!$KB$4:$KB$369,0), MATCH(CX$4,연료전지_원본!$KB$4:$KX$4,0))*1000</f>
        <v>0</v>
      </c>
      <c r="CY157" s="250">
        <f>INDEX(연료전지_원본!$KB$4:$KX$369,MATCH($A157,연료전지_원본!$KB$4:$KB$369,0), MATCH(CY$4,연료전지_원본!$KB$4:$KX$4,0))*1000</f>
        <v>0</v>
      </c>
      <c r="DV157" s="30">
        <f t="shared" si="623"/>
        <v>0</v>
      </c>
    </row>
    <row r="158" spans="1:126">
      <c r="A158" s="6">
        <v>46175</v>
      </c>
      <c r="B158" s="15">
        <f>운전실적_원본!B158</f>
        <v>0</v>
      </c>
      <c r="C158" s="16" t="str">
        <f t="shared" si="629"/>
        <v/>
      </c>
      <c r="D158" s="12">
        <f>운전실적_원본!C158</f>
        <v>0</v>
      </c>
      <c r="E158" s="12" t="str">
        <f t="shared" si="630"/>
        <v/>
      </c>
      <c r="F158" s="12">
        <f>운전실적_원본!D158</f>
        <v>0</v>
      </c>
      <c r="G158" s="16" t="str">
        <f t="shared" si="631"/>
        <v/>
      </c>
      <c r="H158" s="15">
        <f>운전실적_원본!E158</f>
        <v>0</v>
      </c>
      <c r="I158" s="16" t="str">
        <f t="shared" si="632"/>
        <v/>
      </c>
      <c r="J158" s="15">
        <f>운전실적_원본!F158</f>
        <v>0</v>
      </c>
      <c r="K158" s="16" t="str">
        <f t="shared" si="632"/>
        <v/>
      </c>
      <c r="L158" s="32">
        <f>운전실적_원본!G158</f>
        <v>0</v>
      </c>
      <c r="M158" s="31" t="str">
        <f t="shared" ref="M158" si="909">IF(OR(LEN(L158)=0,L158=0),"",L158-L157)</f>
        <v/>
      </c>
      <c r="N158" s="15">
        <f>운전실적_원본!H158</f>
        <v>0</v>
      </c>
      <c r="O158" s="16" t="str">
        <f t="shared" ref="O158" si="910">IF(OR(LEN(N158)=0,N158=0),"",N158-N157)</f>
        <v/>
      </c>
      <c r="P158" s="15">
        <f>운전실적_원본!I158</f>
        <v>0</v>
      </c>
      <c r="Q158" s="16" t="str">
        <f t="shared" ref="Q158" si="911">IF(OR(LEN(P158)=0,P158=0),"",P158-P157)</f>
        <v/>
      </c>
      <c r="R158" s="18">
        <f>운전실적_원본!J158</f>
        <v>0</v>
      </c>
      <c r="S158" s="19" t="str">
        <f t="shared" ref="S158" si="912">IF(OR(LEN(R158)=0,R158=0),"",R158-R157)</f>
        <v/>
      </c>
      <c r="T158" s="18">
        <f>운전실적_원본!K158</f>
        <v>0</v>
      </c>
      <c r="U158" s="19" t="str">
        <f t="shared" si="637"/>
        <v/>
      </c>
      <c r="V158" s="12">
        <f>운전실적_원본!L158</f>
        <v>0</v>
      </c>
      <c r="W158" s="16" t="str">
        <f t="shared" ref="W158" si="913">IF(OR(LEN(V158)=0,V158=0),"",V158-V157)</f>
        <v/>
      </c>
      <c r="X158" s="10">
        <f>운전실적_원본!M158</f>
        <v>0</v>
      </c>
      <c r="Y158" s="10">
        <f>운전실적_원본!N158</f>
        <v>0</v>
      </c>
      <c r="Z158" s="10">
        <f>운전실적_원본!O158</f>
        <v>0</v>
      </c>
      <c r="AA158" s="10">
        <f>운전실적_원본!P158</f>
        <v>0</v>
      </c>
      <c r="AB158" s="10">
        <f>운전실적_원본!Q158</f>
        <v>0</v>
      </c>
      <c r="AC158" s="20">
        <f>운전실적_원본!R158</f>
        <v>0</v>
      </c>
      <c r="AD158" s="109">
        <f>운전실적_원본!S158</f>
        <v>0</v>
      </c>
      <c r="AE158" s="110">
        <f>운전실적_원본!T158</f>
        <v>0</v>
      </c>
      <c r="AF158" s="110">
        <f>운전실적_원본!U158</f>
        <v>0</v>
      </c>
      <c r="AG158" s="110">
        <f>운전실적_원본!V158</f>
        <v>0</v>
      </c>
      <c r="AH158" s="109">
        <f t="shared" si="791"/>
        <v>0</v>
      </c>
      <c r="AI158" s="110">
        <f t="shared" si="798"/>
        <v>0</v>
      </c>
      <c r="AJ158" s="110">
        <f>운전실적_원본!Y158</f>
        <v>0</v>
      </c>
      <c r="AK158" s="110">
        <f>운전실적_원본!Z158</f>
        <v>0</v>
      </c>
      <c r="AL158" s="106"/>
      <c r="AM158" s="105"/>
      <c r="AN158" s="105"/>
      <c r="AO158" s="105"/>
      <c r="AP158" s="105"/>
      <c r="AQ158" s="108"/>
      <c r="AR158" s="105"/>
      <c r="AS158" s="105"/>
      <c r="AT158" s="102"/>
      <c r="AU158" s="102"/>
      <c r="AV158" s="102"/>
      <c r="AW158" s="102"/>
      <c r="AX158" s="32">
        <f>운전실적_원본!W158</f>
        <v>0</v>
      </c>
      <c r="AY158" s="11">
        <f>운전실적_원본!X158</f>
        <v>0</v>
      </c>
      <c r="AZ158" s="11">
        <f>운전실적_원본!Y158</f>
        <v>0</v>
      </c>
      <c r="BA158" s="11">
        <f>운전실적_원본!Z158</f>
        <v>0</v>
      </c>
      <c r="BB158" s="11">
        <f>운전실적_원본!AA158</f>
        <v>0</v>
      </c>
      <c r="BC158" s="11">
        <f>운전실적_원본!AB158</f>
        <v>0</v>
      </c>
      <c r="BD158" s="32" t="str">
        <f t="shared" si="784"/>
        <v>-</v>
      </c>
      <c r="BE158" s="11" t="str">
        <f t="shared" si="792"/>
        <v>-</v>
      </c>
      <c r="BF158" s="11">
        <f>운전실적_원본!AE158</f>
        <v>0</v>
      </c>
      <c r="BG158" s="31">
        <f t="shared" si="785"/>
        <v>0</v>
      </c>
      <c r="BH158" s="241">
        <f>INDEX(연료전지_원본!$A$4:$KY$369,MATCH($A158,연료전지_원본!$A$4:$A$369,0),MATCH($BH$4,연료전지_원본!$A$4:$KY$4,0))</f>
        <v>0</v>
      </c>
      <c r="BI158" s="241">
        <f>INDEX(연료전지_원본!$A$4:$KY$369,MATCH($A158,연료전지_원본!$A$4:$A$369,0),MATCH($BI$4,연료전지_원본!$A$4:$KY$4,0))</f>
        <v>0</v>
      </c>
      <c r="BJ158" s="241">
        <f>INDEX(연료전지_원본!$A$4:$KY$369,MATCH($A158,연료전지_원본!$A$4:$A$369,0),MATCH($BJ$4,연료전지_원본!$A$4:$KY$4,0))</f>
        <v>0</v>
      </c>
      <c r="BK158" s="241">
        <f>INDEX(연료전지_원본!$A$4:$KY$369,MATCH($A158,연료전지_원본!$A$4:$A$369,0),MATCH($BK$4,연료전지_원본!$A$4:$KY$4,0))</f>
        <v>0</v>
      </c>
      <c r="BL158" s="241">
        <f>INDEX(연료전지_원본!$A$4:$KY$369,MATCH($A158,연료전지_원본!$A$4:$A$369,0),MATCH($BL$4,연료전지_원본!$A$4:$KY$4,0))</f>
        <v>0</v>
      </c>
      <c r="BM158" s="241">
        <f>INDEX(연료전지_원본!$A$4:$KY$369,MATCH($A158,연료전지_원본!$A$4:$A$369,0),MATCH($BM$4,연료전지_원본!$A$4:$KY$4,0))</f>
        <v>0</v>
      </c>
      <c r="BN158" s="241">
        <f>INDEX(연료전지_원본!$A$4:$KY$369,MATCH($A158,연료전지_원본!$A$4:$A$369,0),MATCH($BN$4,연료전지_원본!$A$4:$KY$4,0))</f>
        <v>0</v>
      </c>
      <c r="BO158" s="241">
        <f>INDEX(연료전지_원본!$A$4:$KY$369,MATCH($A158,연료전지_원본!$A$4:$A$369,0),MATCH($BO$4,연료전지_원본!$A$4:$KY$4,0))</f>
        <v>0</v>
      </c>
      <c r="BP158" s="241">
        <f>INDEX(연료전지_원본!$A$4:$KY$369,MATCH($A158,연료전지_원본!$A$4:$A$369,0),MATCH($BP$4,연료전지_원본!$A$4:$KY$4,0))</f>
        <v>0</v>
      </c>
      <c r="BQ158" s="241">
        <f>INDEX(연료전지_원본!$A$4:$KY$369,MATCH($A158,연료전지_원본!$A$4:$A$369,0),MATCH($BQ$4,연료전지_원본!$A$4:$KY$4,0))</f>
        <v>0</v>
      </c>
      <c r="BR158" s="241">
        <f>INDEX(연료전지_원본!$A$4:$KY$369,MATCH($A158,연료전지_원본!$A$4:$A$369,0),MATCH($BR$4,연료전지_원본!$A$4:$KY$4,0))</f>
        <v>0</v>
      </c>
      <c r="BS158" s="241">
        <f>INDEX(연료전지_원본!$A$4:$KY$369,MATCH($A158,연료전지_원본!$A$4:$A$369,0),MATCH($BS$4,연료전지_원본!$A$4:$KY$4,0))</f>
        <v>0</v>
      </c>
      <c r="BT158" s="241">
        <f>INDEX(연료전지_원본!$A$4:$KY$369,MATCH($A158,연료전지_원본!$A$4:$A$369,0),MATCH($BT$4,연료전지_원본!$A$4:$KY$4,0))</f>
        <v>0</v>
      </c>
      <c r="BU158" s="241">
        <f>INDEX(연료전지_원본!$A$4:$KY$369,MATCH($A158,연료전지_원본!$A$4:$A$369,0),MATCH($BU$4,연료전지_원본!$A$4:$KY$4,0))</f>
        <v>0</v>
      </c>
      <c r="BV158" s="241">
        <f>INDEX(연료전지_원본!$A$4:$KY$369,MATCH($A158,연료전지_원본!$A$4:$A$369,0),MATCH($BV$4,연료전지_원본!$A$4:$KY$4,0))</f>
        <v>0</v>
      </c>
      <c r="BW158" s="241">
        <f>INDEX(연료전지_원본!$A$4:$KY$369,MATCH($A158,연료전지_원본!$A$4:$A$369,0),MATCH($BW$4,연료전지_원본!$A$4:$KY$4,0))</f>
        <v>0</v>
      </c>
      <c r="BX158" s="241">
        <f>INDEX(연료전지_원본!$A$4:$KY$369,MATCH($A158,연료전지_원본!$A$4:$A$369,0),MATCH($BX$4,연료전지_원본!$A$4:$KY$4,0))</f>
        <v>0</v>
      </c>
      <c r="BY158" s="241">
        <f>INDEX(연료전지_원본!$A$4:$KY$369,MATCH($A158,연료전지_원본!$A$4:$A$369,0),MATCH($BY$4,연료전지_원본!$A$4:$KY$4,0))</f>
        <v>0</v>
      </c>
      <c r="BZ158" s="241">
        <f>INDEX(연료전지_원본!$A$4:$KY$369,MATCH($A158,연료전지_원본!$A$4:$A$369,0),MATCH($BZ$4,연료전지_원본!$A$4:$KY$4,0))</f>
        <v>0</v>
      </c>
      <c r="CA158" s="241">
        <f>INDEX(연료전지_원본!$A$4:$KY$369,MATCH($A158,연료전지_원본!$A$4:$A$369,0),MATCH($CA$4,연료전지_원본!$A$4:$KY$4,0))</f>
        <v>0</v>
      </c>
      <c r="CB158" s="241">
        <f>INDEX(연료전지_원본!$A$4:$KY$369,MATCH($A158,연료전지_원본!$A$4:$A$369,0),MATCH($CB$4,연료전지_원본!$A$4:$KY$4,0))</f>
        <v>0</v>
      </c>
      <c r="CC158" s="242">
        <f>INDEX(연료전지_원본!$A$4:$KY$369,MATCH($A158,연료전지_원본!$A$4:$A$369,0),MATCH($CC$4,연료전지_원본!$A$4:$KY$4,0))</f>
        <v>0</v>
      </c>
      <c r="CD158" s="250">
        <f>INDEX(연료전지_원본!$KB$4:$KX$369,MATCH($A158,연료전지_원본!$KB$4:$KB$369,0), MATCH(CD$4,연료전지_원본!$KB$4:$KX$4,0))*1000</f>
        <v>0</v>
      </c>
      <c r="CE158" s="250">
        <f>INDEX(연료전지_원본!$KB$4:$KX$369,MATCH($A158,연료전지_원본!$KB$4:$KB$369,0), MATCH(CE$4,연료전지_원본!$KB$4:$KX$4,0))*1000</f>
        <v>0</v>
      </c>
      <c r="CF158" s="250">
        <f>INDEX(연료전지_원본!$KB$4:$KX$369,MATCH($A158,연료전지_원본!$KB$4:$KB$369,0), MATCH(CF$4,연료전지_원본!$KB$4:$KX$4,0))*1000</f>
        <v>0</v>
      </c>
      <c r="CG158" s="250">
        <f>INDEX(연료전지_원본!$KB$4:$KX$369,MATCH($A158,연료전지_원본!$KB$4:$KB$369,0), MATCH(CG$4,연료전지_원본!$KB$4:$KX$4,0))*1000</f>
        <v>0</v>
      </c>
      <c r="CH158" s="250">
        <f>INDEX(연료전지_원본!$KB$4:$KX$369,MATCH($A158,연료전지_원본!$KB$4:$KB$369,0), MATCH(CH$4,연료전지_원본!$KB$4:$KX$4,0))*1000</f>
        <v>0</v>
      </c>
      <c r="CI158" s="250">
        <f>INDEX(연료전지_원본!$KB$4:$KX$369,MATCH($A158,연료전지_원본!$KB$4:$KB$369,0), MATCH(CI$4,연료전지_원본!$KB$4:$KX$4,0))*1000</f>
        <v>0</v>
      </c>
      <c r="CJ158" s="250">
        <f>INDEX(연료전지_원본!$KB$4:$KX$369,MATCH($A158,연료전지_원본!$KB$4:$KB$369,0), MATCH(CJ$4,연료전지_원본!$KB$4:$KX$4,0))*1000</f>
        <v>0</v>
      </c>
      <c r="CK158" s="250">
        <f>INDEX(연료전지_원본!$KB$4:$KX$369,MATCH($A158,연료전지_원본!$KB$4:$KB$369,0), MATCH(CK$4,연료전지_원본!$KB$4:$KX$4,0))*1000</f>
        <v>0</v>
      </c>
      <c r="CL158" s="250">
        <f>INDEX(연료전지_원본!$KB$4:$KX$369,MATCH($A158,연료전지_원본!$KB$4:$KB$369,0), MATCH(CL$4,연료전지_원본!$KB$4:$KX$4,0))*1000</f>
        <v>0</v>
      </c>
      <c r="CM158" s="250">
        <f>INDEX(연료전지_원본!$KB$4:$KX$369,MATCH($A158,연료전지_원본!$KB$4:$KB$369,0), MATCH(CM$4,연료전지_원본!$KB$4:$KX$4,0))*1000</f>
        <v>0</v>
      </c>
      <c r="CN158" s="250">
        <f>INDEX(연료전지_원본!$KB$4:$KX$369,MATCH($A158,연료전지_원본!$KB$4:$KB$369,0), MATCH(CN$4,연료전지_원본!$KB$4:$KX$4,0))*1000</f>
        <v>0</v>
      </c>
      <c r="CO158" s="250">
        <f>INDEX(연료전지_원본!$KB$4:$KX$369,MATCH($A158,연료전지_원본!$KB$4:$KB$369,0), MATCH(CO$4,연료전지_원본!$KB$4:$KX$4,0))*1000</f>
        <v>0</v>
      </c>
      <c r="CP158" s="250">
        <f>INDEX(연료전지_원본!$KB$4:$KX$369,MATCH($A158,연료전지_원본!$KB$4:$KB$369,0), MATCH(CP$4,연료전지_원본!$KB$4:$KX$4,0))*1000</f>
        <v>0</v>
      </c>
      <c r="CQ158" s="250">
        <f>INDEX(연료전지_원본!$KB$4:$KX$369,MATCH($A158,연료전지_원본!$KB$4:$KB$369,0), MATCH(CQ$4,연료전지_원본!$KB$4:$KX$4,0))*1000</f>
        <v>0</v>
      </c>
      <c r="CR158" s="250">
        <f>INDEX(연료전지_원본!$KB$4:$KX$369,MATCH($A158,연료전지_원본!$KB$4:$KB$369,0), MATCH(CR$4,연료전지_원본!$KB$4:$KX$4,0))*1000</f>
        <v>0</v>
      </c>
      <c r="CS158" s="250">
        <f>INDEX(연료전지_원본!$KB$4:$KX$369,MATCH($A158,연료전지_원본!$KB$4:$KB$369,0), MATCH(CS$4,연료전지_원본!$KB$4:$KX$4,0))*1000</f>
        <v>0</v>
      </c>
      <c r="CT158" s="250">
        <f>INDEX(연료전지_원본!$KB$4:$KX$369,MATCH($A158,연료전지_원본!$KB$4:$KB$369,0), MATCH(CT$4,연료전지_원본!$KB$4:$KX$4,0))*1000</f>
        <v>0</v>
      </c>
      <c r="CU158" s="250">
        <f>INDEX(연료전지_원본!$KB$4:$KX$369,MATCH($A158,연료전지_원본!$KB$4:$KB$369,0), MATCH(CU$4,연료전지_원본!$KB$4:$KX$4,0))*1000</f>
        <v>0</v>
      </c>
      <c r="CV158" s="250">
        <f>INDEX(연료전지_원본!$KB$4:$KX$369,MATCH($A158,연료전지_원본!$KB$4:$KB$369,0), MATCH(CV$4,연료전지_원본!$KB$4:$KX$4,0))*1000</f>
        <v>0</v>
      </c>
      <c r="CW158" s="250">
        <f>INDEX(연료전지_원본!$KB$4:$KX$369,MATCH($A158,연료전지_원본!$KB$4:$KB$369,0), MATCH(CW$4,연료전지_원본!$KB$4:$KX$4,0))*1000</f>
        <v>0</v>
      </c>
      <c r="CX158" s="250">
        <f>INDEX(연료전지_원본!$KB$4:$KX$369,MATCH($A158,연료전지_원본!$KB$4:$KB$369,0), MATCH(CX$4,연료전지_원본!$KB$4:$KX$4,0))*1000</f>
        <v>0</v>
      </c>
      <c r="CY158" s="250">
        <f>INDEX(연료전지_원본!$KB$4:$KX$369,MATCH($A158,연료전지_원본!$KB$4:$KB$369,0), MATCH(CY$4,연료전지_원본!$KB$4:$KX$4,0))*1000</f>
        <v>0</v>
      </c>
      <c r="DV158" s="30">
        <f t="shared" si="623"/>
        <v>0</v>
      </c>
    </row>
    <row r="159" spans="1:126">
      <c r="A159" s="6">
        <v>46176</v>
      </c>
      <c r="B159" s="15">
        <f>운전실적_원본!B159</f>
        <v>0</v>
      </c>
      <c r="C159" s="16" t="str">
        <f t="shared" si="629"/>
        <v/>
      </c>
      <c r="D159" s="12">
        <f>운전실적_원본!C159</f>
        <v>0</v>
      </c>
      <c r="E159" s="12" t="str">
        <f t="shared" si="630"/>
        <v/>
      </c>
      <c r="F159" s="12">
        <f>운전실적_원본!D159</f>
        <v>0</v>
      </c>
      <c r="G159" s="16" t="str">
        <f t="shared" si="631"/>
        <v/>
      </c>
      <c r="H159" s="15">
        <f>운전실적_원본!E159</f>
        <v>0</v>
      </c>
      <c r="I159" s="16" t="str">
        <f t="shared" si="632"/>
        <v/>
      </c>
      <c r="J159" s="15">
        <f>운전실적_원본!F159</f>
        <v>0</v>
      </c>
      <c r="K159" s="16" t="str">
        <f t="shared" si="632"/>
        <v/>
      </c>
      <c r="L159" s="32">
        <f>운전실적_원본!G159</f>
        <v>0</v>
      </c>
      <c r="M159" s="31" t="str">
        <f t="shared" ref="M159" si="914">IF(OR(LEN(L159)=0,L159=0),"",L159-L158)</f>
        <v/>
      </c>
      <c r="N159" s="15">
        <f>운전실적_원본!H159</f>
        <v>0</v>
      </c>
      <c r="O159" s="16" t="str">
        <f t="shared" ref="O159" si="915">IF(OR(LEN(N159)=0,N159=0),"",N159-N158)</f>
        <v/>
      </c>
      <c r="P159" s="15">
        <f>운전실적_원본!I159</f>
        <v>0</v>
      </c>
      <c r="Q159" s="16" t="str">
        <f t="shared" ref="Q159" si="916">IF(OR(LEN(P159)=0,P159=0),"",P159-P158)</f>
        <v/>
      </c>
      <c r="R159" s="18">
        <f>운전실적_원본!J159</f>
        <v>0</v>
      </c>
      <c r="S159" s="19" t="str">
        <f t="shared" ref="S159" si="917">IF(OR(LEN(R159)=0,R159=0),"",R159-R158)</f>
        <v/>
      </c>
      <c r="T159" s="18">
        <f>운전실적_원본!K159</f>
        <v>0</v>
      </c>
      <c r="U159" s="19" t="str">
        <f t="shared" si="637"/>
        <v/>
      </c>
      <c r="V159" s="12">
        <f>운전실적_원본!L159</f>
        <v>0</v>
      </c>
      <c r="W159" s="16" t="str">
        <f t="shared" ref="W159" si="918">IF(OR(LEN(V159)=0,V159=0),"",V159-V158)</f>
        <v/>
      </c>
      <c r="X159" s="10">
        <f>운전실적_원본!M159</f>
        <v>0</v>
      </c>
      <c r="Y159" s="10">
        <f>운전실적_원본!N159</f>
        <v>0</v>
      </c>
      <c r="Z159" s="10">
        <f>운전실적_원본!O159</f>
        <v>0</v>
      </c>
      <c r="AA159" s="10">
        <f>운전실적_원본!P159</f>
        <v>0</v>
      </c>
      <c r="AB159" s="10">
        <f>운전실적_원본!Q159</f>
        <v>0</v>
      </c>
      <c r="AC159" s="20">
        <f>운전실적_원본!R159</f>
        <v>0</v>
      </c>
      <c r="AD159" s="109">
        <f>운전실적_원본!S159</f>
        <v>0</v>
      </c>
      <c r="AE159" s="110">
        <f>운전실적_원본!T159</f>
        <v>0</v>
      </c>
      <c r="AF159" s="110">
        <f>운전실적_원본!U159</f>
        <v>0</v>
      </c>
      <c r="AG159" s="110">
        <f>운전실적_원본!V159</f>
        <v>0</v>
      </c>
      <c r="AH159" s="109">
        <f t="shared" si="791"/>
        <v>0</v>
      </c>
      <c r="AI159" s="110">
        <f t="shared" si="798"/>
        <v>0</v>
      </c>
      <c r="AJ159" s="110">
        <f>운전실적_원본!Y159</f>
        <v>0</v>
      </c>
      <c r="AK159" s="110">
        <f>운전실적_원본!Z159</f>
        <v>0</v>
      </c>
      <c r="AL159" s="106"/>
      <c r="AM159" s="105"/>
      <c r="AN159" s="105"/>
      <c r="AO159" s="105"/>
      <c r="AP159" s="105"/>
      <c r="AQ159" s="108"/>
      <c r="AR159" s="105"/>
      <c r="AS159" s="105"/>
      <c r="AT159" s="102"/>
      <c r="AU159" s="102"/>
      <c r="AV159" s="102"/>
      <c r="AW159" s="102"/>
      <c r="AX159" s="32">
        <f>운전실적_원본!W159</f>
        <v>0</v>
      </c>
      <c r="AY159" s="11">
        <f>운전실적_원본!X159</f>
        <v>0</v>
      </c>
      <c r="AZ159" s="11">
        <f>운전실적_원본!Y159</f>
        <v>0</v>
      </c>
      <c r="BA159" s="11">
        <f>운전실적_원본!Z159</f>
        <v>0</v>
      </c>
      <c r="BB159" s="11">
        <f>운전실적_원본!AA159</f>
        <v>0</v>
      </c>
      <c r="BC159" s="11">
        <f>운전실적_원본!AB159</f>
        <v>0</v>
      </c>
      <c r="BD159" s="32" t="str">
        <f t="shared" si="784"/>
        <v>-</v>
      </c>
      <c r="BE159" s="11" t="str">
        <f t="shared" si="792"/>
        <v>-</v>
      </c>
      <c r="BF159" s="11">
        <f>운전실적_원본!AE159</f>
        <v>0</v>
      </c>
      <c r="BG159" s="31">
        <f t="shared" si="785"/>
        <v>0</v>
      </c>
      <c r="BH159" s="241">
        <f>INDEX(연료전지_원본!$A$4:$KY$369,MATCH($A159,연료전지_원본!$A$4:$A$369,0),MATCH($BH$4,연료전지_원본!$A$4:$KY$4,0))</f>
        <v>0</v>
      </c>
      <c r="BI159" s="241">
        <f>INDEX(연료전지_원본!$A$4:$KY$369,MATCH($A159,연료전지_원본!$A$4:$A$369,0),MATCH($BI$4,연료전지_원본!$A$4:$KY$4,0))</f>
        <v>0</v>
      </c>
      <c r="BJ159" s="241">
        <f>INDEX(연료전지_원본!$A$4:$KY$369,MATCH($A159,연료전지_원본!$A$4:$A$369,0),MATCH($BJ$4,연료전지_원본!$A$4:$KY$4,0))</f>
        <v>0</v>
      </c>
      <c r="BK159" s="241">
        <f>INDEX(연료전지_원본!$A$4:$KY$369,MATCH($A159,연료전지_원본!$A$4:$A$369,0),MATCH($BK$4,연료전지_원본!$A$4:$KY$4,0))</f>
        <v>0</v>
      </c>
      <c r="BL159" s="241">
        <f>INDEX(연료전지_원본!$A$4:$KY$369,MATCH($A159,연료전지_원본!$A$4:$A$369,0),MATCH($BL$4,연료전지_원본!$A$4:$KY$4,0))</f>
        <v>0</v>
      </c>
      <c r="BM159" s="241">
        <f>INDEX(연료전지_원본!$A$4:$KY$369,MATCH($A159,연료전지_원본!$A$4:$A$369,0),MATCH($BM$4,연료전지_원본!$A$4:$KY$4,0))</f>
        <v>0</v>
      </c>
      <c r="BN159" s="241">
        <f>INDEX(연료전지_원본!$A$4:$KY$369,MATCH($A159,연료전지_원본!$A$4:$A$369,0),MATCH($BN$4,연료전지_원본!$A$4:$KY$4,0))</f>
        <v>0</v>
      </c>
      <c r="BO159" s="241">
        <f>INDEX(연료전지_원본!$A$4:$KY$369,MATCH($A159,연료전지_원본!$A$4:$A$369,0),MATCH($BO$4,연료전지_원본!$A$4:$KY$4,0))</f>
        <v>0</v>
      </c>
      <c r="BP159" s="241">
        <f>INDEX(연료전지_원본!$A$4:$KY$369,MATCH($A159,연료전지_원본!$A$4:$A$369,0),MATCH($BP$4,연료전지_원본!$A$4:$KY$4,0))</f>
        <v>0</v>
      </c>
      <c r="BQ159" s="241">
        <f>INDEX(연료전지_원본!$A$4:$KY$369,MATCH($A159,연료전지_원본!$A$4:$A$369,0),MATCH($BQ$4,연료전지_원본!$A$4:$KY$4,0))</f>
        <v>0</v>
      </c>
      <c r="BR159" s="241">
        <f>INDEX(연료전지_원본!$A$4:$KY$369,MATCH($A159,연료전지_원본!$A$4:$A$369,0),MATCH($BR$4,연료전지_원본!$A$4:$KY$4,0))</f>
        <v>0</v>
      </c>
      <c r="BS159" s="241">
        <f>INDEX(연료전지_원본!$A$4:$KY$369,MATCH($A159,연료전지_원본!$A$4:$A$369,0),MATCH($BS$4,연료전지_원본!$A$4:$KY$4,0))</f>
        <v>0</v>
      </c>
      <c r="BT159" s="241">
        <f>INDEX(연료전지_원본!$A$4:$KY$369,MATCH($A159,연료전지_원본!$A$4:$A$369,0),MATCH($BT$4,연료전지_원본!$A$4:$KY$4,0))</f>
        <v>0</v>
      </c>
      <c r="BU159" s="241">
        <f>INDEX(연료전지_원본!$A$4:$KY$369,MATCH($A159,연료전지_원본!$A$4:$A$369,0),MATCH($BU$4,연료전지_원본!$A$4:$KY$4,0))</f>
        <v>0</v>
      </c>
      <c r="BV159" s="241">
        <f>INDEX(연료전지_원본!$A$4:$KY$369,MATCH($A159,연료전지_원본!$A$4:$A$369,0),MATCH($BV$4,연료전지_원본!$A$4:$KY$4,0))</f>
        <v>0</v>
      </c>
      <c r="BW159" s="241">
        <f>INDEX(연료전지_원본!$A$4:$KY$369,MATCH($A159,연료전지_원본!$A$4:$A$369,0),MATCH($BW$4,연료전지_원본!$A$4:$KY$4,0))</f>
        <v>0</v>
      </c>
      <c r="BX159" s="241">
        <f>INDEX(연료전지_원본!$A$4:$KY$369,MATCH($A159,연료전지_원본!$A$4:$A$369,0),MATCH($BX$4,연료전지_원본!$A$4:$KY$4,0))</f>
        <v>0</v>
      </c>
      <c r="BY159" s="241">
        <f>INDEX(연료전지_원본!$A$4:$KY$369,MATCH($A159,연료전지_원본!$A$4:$A$369,0),MATCH($BY$4,연료전지_원본!$A$4:$KY$4,0))</f>
        <v>0</v>
      </c>
      <c r="BZ159" s="241">
        <f>INDEX(연료전지_원본!$A$4:$KY$369,MATCH($A159,연료전지_원본!$A$4:$A$369,0),MATCH($BZ$4,연료전지_원본!$A$4:$KY$4,0))</f>
        <v>0</v>
      </c>
      <c r="CA159" s="241">
        <f>INDEX(연료전지_원본!$A$4:$KY$369,MATCH($A159,연료전지_원본!$A$4:$A$369,0),MATCH($CA$4,연료전지_원본!$A$4:$KY$4,0))</f>
        <v>0</v>
      </c>
      <c r="CB159" s="241">
        <f>INDEX(연료전지_원본!$A$4:$KY$369,MATCH($A159,연료전지_원본!$A$4:$A$369,0),MATCH($CB$4,연료전지_원본!$A$4:$KY$4,0))</f>
        <v>0</v>
      </c>
      <c r="CC159" s="242">
        <f>INDEX(연료전지_원본!$A$4:$KY$369,MATCH($A159,연료전지_원본!$A$4:$A$369,0),MATCH($CC$4,연료전지_원본!$A$4:$KY$4,0))</f>
        <v>0</v>
      </c>
      <c r="CD159" s="250">
        <f>INDEX(연료전지_원본!$KB$4:$KX$369,MATCH($A159,연료전지_원본!$KB$4:$KB$369,0), MATCH(CD$4,연료전지_원본!$KB$4:$KX$4,0))*1000</f>
        <v>0</v>
      </c>
      <c r="CE159" s="250">
        <f>INDEX(연료전지_원본!$KB$4:$KX$369,MATCH($A159,연료전지_원본!$KB$4:$KB$369,0), MATCH(CE$4,연료전지_원본!$KB$4:$KX$4,0))*1000</f>
        <v>0</v>
      </c>
      <c r="CF159" s="250">
        <f>INDEX(연료전지_원본!$KB$4:$KX$369,MATCH($A159,연료전지_원본!$KB$4:$KB$369,0), MATCH(CF$4,연료전지_원본!$KB$4:$KX$4,0))*1000</f>
        <v>0</v>
      </c>
      <c r="CG159" s="250">
        <f>INDEX(연료전지_원본!$KB$4:$KX$369,MATCH($A159,연료전지_원본!$KB$4:$KB$369,0), MATCH(CG$4,연료전지_원본!$KB$4:$KX$4,0))*1000</f>
        <v>0</v>
      </c>
      <c r="CH159" s="250">
        <f>INDEX(연료전지_원본!$KB$4:$KX$369,MATCH($A159,연료전지_원본!$KB$4:$KB$369,0), MATCH(CH$4,연료전지_원본!$KB$4:$KX$4,0))*1000</f>
        <v>0</v>
      </c>
      <c r="CI159" s="250">
        <f>INDEX(연료전지_원본!$KB$4:$KX$369,MATCH($A159,연료전지_원본!$KB$4:$KB$369,0), MATCH(CI$4,연료전지_원본!$KB$4:$KX$4,0))*1000</f>
        <v>0</v>
      </c>
      <c r="CJ159" s="250">
        <f>INDEX(연료전지_원본!$KB$4:$KX$369,MATCH($A159,연료전지_원본!$KB$4:$KB$369,0), MATCH(CJ$4,연료전지_원본!$KB$4:$KX$4,0))*1000</f>
        <v>0</v>
      </c>
      <c r="CK159" s="250">
        <f>INDEX(연료전지_원본!$KB$4:$KX$369,MATCH($A159,연료전지_원본!$KB$4:$KB$369,0), MATCH(CK$4,연료전지_원본!$KB$4:$KX$4,0))*1000</f>
        <v>0</v>
      </c>
      <c r="CL159" s="250">
        <f>INDEX(연료전지_원본!$KB$4:$KX$369,MATCH($A159,연료전지_원본!$KB$4:$KB$369,0), MATCH(CL$4,연료전지_원본!$KB$4:$KX$4,0))*1000</f>
        <v>0</v>
      </c>
      <c r="CM159" s="250">
        <f>INDEX(연료전지_원본!$KB$4:$KX$369,MATCH($A159,연료전지_원본!$KB$4:$KB$369,0), MATCH(CM$4,연료전지_원본!$KB$4:$KX$4,0))*1000</f>
        <v>0</v>
      </c>
      <c r="CN159" s="250">
        <f>INDEX(연료전지_원본!$KB$4:$KX$369,MATCH($A159,연료전지_원본!$KB$4:$KB$369,0), MATCH(CN$4,연료전지_원본!$KB$4:$KX$4,0))*1000</f>
        <v>0</v>
      </c>
      <c r="CO159" s="250">
        <f>INDEX(연료전지_원본!$KB$4:$KX$369,MATCH($A159,연료전지_원본!$KB$4:$KB$369,0), MATCH(CO$4,연료전지_원본!$KB$4:$KX$4,0))*1000</f>
        <v>0</v>
      </c>
      <c r="CP159" s="250">
        <f>INDEX(연료전지_원본!$KB$4:$KX$369,MATCH($A159,연료전지_원본!$KB$4:$KB$369,0), MATCH(CP$4,연료전지_원본!$KB$4:$KX$4,0))*1000</f>
        <v>0</v>
      </c>
      <c r="CQ159" s="250">
        <f>INDEX(연료전지_원본!$KB$4:$KX$369,MATCH($A159,연료전지_원본!$KB$4:$KB$369,0), MATCH(CQ$4,연료전지_원본!$KB$4:$KX$4,0))*1000</f>
        <v>0</v>
      </c>
      <c r="CR159" s="250">
        <f>INDEX(연료전지_원본!$KB$4:$KX$369,MATCH($A159,연료전지_원본!$KB$4:$KB$369,0), MATCH(CR$4,연료전지_원본!$KB$4:$KX$4,0))*1000</f>
        <v>0</v>
      </c>
      <c r="CS159" s="250">
        <f>INDEX(연료전지_원본!$KB$4:$KX$369,MATCH($A159,연료전지_원본!$KB$4:$KB$369,0), MATCH(CS$4,연료전지_원본!$KB$4:$KX$4,0))*1000</f>
        <v>0</v>
      </c>
      <c r="CT159" s="250">
        <f>INDEX(연료전지_원본!$KB$4:$KX$369,MATCH($A159,연료전지_원본!$KB$4:$KB$369,0), MATCH(CT$4,연료전지_원본!$KB$4:$KX$4,0))*1000</f>
        <v>0</v>
      </c>
      <c r="CU159" s="250">
        <f>INDEX(연료전지_원본!$KB$4:$KX$369,MATCH($A159,연료전지_원본!$KB$4:$KB$369,0), MATCH(CU$4,연료전지_원본!$KB$4:$KX$4,0))*1000</f>
        <v>0</v>
      </c>
      <c r="CV159" s="250">
        <f>INDEX(연료전지_원본!$KB$4:$KX$369,MATCH($A159,연료전지_원본!$KB$4:$KB$369,0), MATCH(CV$4,연료전지_원본!$KB$4:$KX$4,0))*1000</f>
        <v>0</v>
      </c>
      <c r="CW159" s="250">
        <f>INDEX(연료전지_원본!$KB$4:$KX$369,MATCH($A159,연료전지_원본!$KB$4:$KB$369,0), MATCH(CW$4,연료전지_원본!$KB$4:$KX$4,0))*1000</f>
        <v>0</v>
      </c>
      <c r="CX159" s="250">
        <f>INDEX(연료전지_원본!$KB$4:$KX$369,MATCH($A159,연료전지_원본!$KB$4:$KB$369,0), MATCH(CX$4,연료전지_원본!$KB$4:$KX$4,0))*1000</f>
        <v>0</v>
      </c>
      <c r="CY159" s="250">
        <f>INDEX(연료전지_원본!$KB$4:$KX$369,MATCH($A159,연료전지_원본!$KB$4:$KB$369,0), MATCH(CY$4,연료전지_원본!$KB$4:$KX$4,0))*1000</f>
        <v>0</v>
      </c>
      <c r="DV159" s="30">
        <f t="shared" si="623"/>
        <v>0</v>
      </c>
    </row>
    <row r="160" spans="1:126">
      <c r="A160" s="6">
        <v>46177</v>
      </c>
      <c r="B160" s="15">
        <f>운전실적_원본!B160</f>
        <v>0</v>
      </c>
      <c r="C160" s="16" t="str">
        <f t="shared" si="629"/>
        <v/>
      </c>
      <c r="D160" s="12">
        <f>운전실적_원본!C160</f>
        <v>0</v>
      </c>
      <c r="E160" s="12" t="str">
        <f t="shared" si="630"/>
        <v/>
      </c>
      <c r="F160" s="12">
        <f>운전실적_원본!D160</f>
        <v>0</v>
      </c>
      <c r="G160" s="16" t="str">
        <f t="shared" si="631"/>
        <v/>
      </c>
      <c r="H160" s="15">
        <f>운전실적_원본!E160</f>
        <v>0</v>
      </c>
      <c r="I160" s="16" t="str">
        <f t="shared" si="632"/>
        <v/>
      </c>
      <c r="J160" s="15">
        <f>운전실적_원본!F160</f>
        <v>0</v>
      </c>
      <c r="K160" s="16" t="str">
        <f t="shared" si="632"/>
        <v/>
      </c>
      <c r="L160" s="32">
        <f>운전실적_원본!G160</f>
        <v>0</v>
      </c>
      <c r="M160" s="31" t="str">
        <f t="shared" ref="M160" si="919">IF(OR(LEN(L160)=0,L160=0),"",L160-L159)</f>
        <v/>
      </c>
      <c r="N160" s="15">
        <f>운전실적_원본!H160</f>
        <v>0</v>
      </c>
      <c r="O160" s="16" t="str">
        <f t="shared" ref="O160" si="920">IF(OR(LEN(N160)=0,N160=0),"",N160-N159)</f>
        <v/>
      </c>
      <c r="P160" s="15">
        <f>운전실적_원본!I160</f>
        <v>0</v>
      </c>
      <c r="Q160" s="16" t="str">
        <f t="shared" ref="Q160" si="921">IF(OR(LEN(P160)=0,P160=0),"",P160-P159)</f>
        <v/>
      </c>
      <c r="R160" s="18">
        <f>운전실적_원본!J160</f>
        <v>0</v>
      </c>
      <c r="S160" s="19" t="str">
        <f t="shared" ref="S160" si="922">IF(OR(LEN(R160)=0,R160=0),"",R160-R159)</f>
        <v/>
      </c>
      <c r="T160" s="18">
        <f>운전실적_원본!K160</f>
        <v>0</v>
      </c>
      <c r="U160" s="19" t="str">
        <f t="shared" si="637"/>
        <v/>
      </c>
      <c r="V160" s="12">
        <f>운전실적_원본!L160</f>
        <v>0</v>
      </c>
      <c r="W160" s="16" t="str">
        <f t="shared" ref="W160" si="923">IF(OR(LEN(V160)=0,V160=0),"",V160-V159)</f>
        <v/>
      </c>
      <c r="X160" s="10">
        <f>운전실적_원본!M160</f>
        <v>0</v>
      </c>
      <c r="Y160" s="10">
        <f>운전실적_원본!N160</f>
        <v>0</v>
      </c>
      <c r="Z160" s="10">
        <f>운전실적_원본!O160</f>
        <v>0</v>
      </c>
      <c r="AA160" s="10">
        <f>운전실적_원본!P160</f>
        <v>0</v>
      </c>
      <c r="AB160" s="10">
        <f>운전실적_원본!Q160</f>
        <v>0</v>
      </c>
      <c r="AC160" s="20">
        <f>운전실적_원본!R160</f>
        <v>0</v>
      </c>
      <c r="AD160" s="109">
        <f>운전실적_원본!S160</f>
        <v>0</v>
      </c>
      <c r="AE160" s="110">
        <f>운전실적_원본!T160</f>
        <v>0</v>
      </c>
      <c r="AF160" s="110">
        <f>운전실적_원본!U160</f>
        <v>0</v>
      </c>
      <c r="AG160" s="110">
        <f>운전실적_원본!V160</f>
        <v>0</v>
      </c>
      <c r="AH160" s="109">
        <f t="shared" si="791"/>
        <v>0</v>
      </c>
      <c r="AI160" s="110">
        <f t="shared" si="798"/>
        <v>0</v>
      </c>
      <c r="AJ160" s="110">
        <f>운전실적_원본!Y160</f>
        <v>0</v>
      </c>
      <c r="AK160" s="110">
        <f>운전실적_원본!Z160</f>
        <v>0</v>
      </c>
      <c r="AL160" s="106"/>
      <c r="AM160" s="105"/>
      <c r="AN160" s="105"/>
      <c r="AO160" s="105"/>
      <c r="AP160" s="105"/>
      <c r="AQ160" s="108"/>
      <c r="AR160" s="105"/>
      <c r="AS160" s="105"/>
      <c r="AT160" s="102"/>
      <c r="AU160" s="102"/>
      <c r="AV160" s="102"/>
      <c r="AW160" s="102"/>
      <c r="AX160" s="32">
        <f>운전실적_원본!W160</f>
        <v>0</v>
      </c>
      <c r="AY160" s="11">
        <f>운전실적_원본!X160</f>
        <v>0</v>
      </c>
      <c r="AZ160" s="11">
        <f>운전실적_원본!Y160</f>
        <v>0</v>
      </c>
      <c r="BA160" s="11">
        <f>운전실적_원본!Z160</f>
        <v>0</v>
      </c>
      <c r="BB160" s="11">
        <f>운전실적_원본!AA160</f>
        <v>0</v>
      </c>
      <c r="BC160" s="11">
        <f>운전실적_원본!AB160</f>
        <v>0</v>
      </c>
      <c r="BD160" s="32" t="str">
        <f t="shared" si="784"/>
        <v>-</v>
      </c>
      <c r="BE160" s="11" t="str">
        <f t="shared" si="792"/>
        <v>-</v>
      </c>
      <c r="BF160" s="11">
        <f>운전실적_원본!AE160</f>
        <v>0</v>
      </c>
      <c r="BG160" s="31">
        <f t="shared" si="785"/>
        <v>0</v>
      </c>
      <c r="BH160" s="241">
        <f>INDEX(연료전지_원본!$A$4:$KY$369,MATCH($A160,연료전지_원본!$A$4:$A$369,0),MATCH($BH$4,연료전지_원본!$A$4:$KY$4,0))</f>
        <v>0</v>
      </c>
      <c r="BI160" s="241">
        <f>INDEX(연료전지_원본!$A$4:$KY$369,MATCH($A160,연료전지_원본!$A$4:$A$369,0),MATCH($BI$4,연료전지_원본!$A$4:$KY$4,0))</f>
        <v>0</v>
      </c>
      <c r="BJ160" s="241">
        <f>INDEX(연료전지_원본!$A$4:$KY$369,MATCH($A160,연료전지_원본!$A$4:$A$369,0),MATCH($BJ$4,연료전지_원본!$A$4:$KY$4,0))</f>
        <v>0</v>
      </c>
      <c r="BK160" s="241">
        <f>INDEX(연료전지_원본!$A$4:$KY$369,MATCH($A160,연료전지_원본!$A$4:$A$369,0),MATCH($BK$4,연료전지_원본!$A$4:$KY$4,0))</f>
        <v>0</v>
      </c>
      <c r="BL160" s="241">
        <f>INDEX(연료전지_원본!$A$4:$KY$369,MATCH($A160,연료전지_원본!$A$4:$A$369,0),MATCH($BL$4,연료전지_원본!$A$4:$KY$4,0))</f>
        <v>0</v>
      </c>
      <c r="BM160" s="241">
        <f>INDEX(연료전지_원본!$A$4:$KY$369,MATCH($A160,연료전지_원본!$A$4:$A$369,0),MATCH($BM$4,연료전지_원본!$A$4:$KY$4,0))</f>
        <v>0</v>
      </c>
      <c r="BN160" s="241">
        <f>INDEX(연료전지_원본!$A$4:$KY$369,MATCH($A160,연료전지_원본!$A$4:$A$369,0),MATCH($BN$4,연료전지_원본!$A$4:$KY$4,0))</f>
        <v>0</v>
      </c>
      <c r="BO160" s="241">
        <f>INDEX(연료전지_원본!$A$4:$KY$369,MATCH($A160,연료전지_원본!$A$4:$A$369,0),MATCH($BO$4,연료전지_원본!$A$4:$KY$4,0))</f>
        <v>0</v>
      </c>
      <c r="BP160" s="241">
        <f>INDEX(연료전지_원본!$A$4:$KY$369,MATCH($A160,연료전지_원본!$A$4:$A$369,0),MATCH($BP$4,연료전지_원본!$A$4:$KY$4,0))</f>
        <v>0</v>
      </c>
      <c r="BQ160" s="241">
        <f>INDEX(연료전지_원본!$A$4:$KY$369,MATCH($A160,연료전지_원본!$A$4:$A$369,0),MATCH($BQ$4,연료전지_원본!$A$4:$KY$4,0))</f>
        <v>0</v>
      </c>
      <c r="BR160" s="241">
        <f>INDEX(연료전지_원본!$A$4:$KY$369,MATCH($A160,연료전지_원본!$A$4:$A$369,0),MATCH($BR$4,연료전지_원본!$A$4:$KY$4,0))</f>
        <v>0</v>
      </c>
      <c r="BS160" s="241">
        <f>INDEX(연료전지_원본!$A$4:$KY$369,MATCH($A160,연료전지_원본!$A$4:$A$369,0),MATCH($BS$4,연료전지_원본!$A$4:$KY$4,0))</f>
        <v>0</v>
      </c>
      <c r="BT160" s="241">
        <f>INDEX(연료전지_원본!$A$4:$KY$369,MATCH($A160,연료전지_원본!$A$4:$A$369,0),MATCH($BT$4,연료전지_원본!$A$4:$KY$4,0))</f>
        <v>0</v>
      </c>
      <c r="BU160" s="241">
        <f>INDEX(연료전지_원본!$A$4:$KY$369,MATCH($A160,연료전지_원본!$A$4:$A$369,0),MATCH($BU$4,연료전지_원본!$A$4:$KY$4,0))</f>
        <v>0</v>
      </c>
      <c r="BV160" s="241">
        <f>INDEX(연료전지_원본!$A$4:$KY$369,MATCH($A160,연료전지_원본!$A$4:$A$369,0),MATCH($BV$4,연료전지_원본!$A$4:$KY$4,0))</f>
        <v>0</v>
      </c>
      <c r="BW160" s="241">
        <f>INDEX(연료전지_원본!$A$4:$KY$369,MATCH($A160,연료전지_원본!$A$4:$A$369,0),MATCH($BW$4,연료전지_원본!$A$4:$KY$4,0))</f>
        <v>0</v>
      </c>
      <c r="BX160" s="241">
        <f>INDEX(연료전지_원본!$A$4:$KY$369,MATCH($A160,연료전지_원본!$A$4:$A$369,0),MATCH($BX$4,연료전지_원본!$A$4:$KY$4,0))</f>
        <v>0</v>
      </c>
      <c r="BY160" s="241">
        <f>INDEX(연료전지_원본!$A$4:$KY$369,MATCH($A160,연료전지_원본!$A$4:$A$369,0),MATCH($BY$4,연료전지_원본!$A$4:$KY$4,0))</f>
        <v>0</v>
      </c>
      <c r="BZ160" s="241">
        <f>INDEX(연료전지_원본!$A$4:$KY$369,MATCH($A160,연료전지_원본!$A$4:$A$369,0),MATCH($BZ$4,연료전지_원본!$A$4:$KY$4,0))</f>
        <v>0</v>
      </c>
      <c r="CA160" s="241">
        <f>INDEX(연료전지_원본!$A$4:$KY$369,MATCH($A160,연료전지_원본!$A$4:$A$369,0),MATCH($CA$4,연료전지_원본!$A$4:$KY$4,0))</f>
        <v>0</v>
      </c>
      <c r="CB160" s="241">
        <f>INDEX(연료전지_원본!$A$4:$KY$369,MATCH($A160,연료전지_원본!$A$4:$A$369,0),MATCH($CB$4,연료전지_원본!$A$4:$KY$4,0))</f>
        <v>0</v>
      </c>
      <c r="CC160" s="242">
        <f>INDEX(연료전지_원본!$A$4:$KY$369,MATCH($A160,연료전지_원본!$A$4:$A$369,0),MATCH($CC$4,연료전지_원본!$A$4:$KY$4,0))</f>
        <v>0</v>
      </c>
      <c r="CD160" s="250">
        <f>INDEX(연료전지_원본!$KB$4:$KX$369,MATCH($A160,연료전지_원본!$KB$4:$KB$369,0), MATCH(CD$4,연료전지_원본!$KB$4:$KX$4,0))*1000</f>
        <v>0</v>
      </c>
      <c r="CE160" s="250">
        <f>INDEX(연료전지_원본!$KB$4:$KX$369,MATCH($A160,연료전지_원본!$KB$4:$KB$369,0), MATCH(CE$4,연료전지_원본!$KB$4:$KX$4,0))*1000</f>
        <v>0</v>
      </c>
      <c r="CF160" s="250">
        <f>INDEX(연료전지_원본!$KB$4:$KX$369,MATCH($A160,연료전지_원본!$KB$4:$KB$369,0), MATCH(CF$4,연료전지_원본!$KB$4:$KX$4,0))*1000</f>
        <v>0</v>
      </c>
      <c r="CG160" s="250">
        <f>INDEX(연료전지_원본!$KB$4:$KX$369,MATCH($A160,연료전지_원본!$KB$4:$KB$369,0), MATCH(CG$4,연료전지_원본!$KB$4:$KX$4,0))*1000</f>
        <v>0</v>
      </c>
      <c r="CH160" s="250">
        <f>INDEX(연료전지_원본!$KB$4:$KX$369,MATCH($A160,연료전지_원본!$KB$4:$KB$369,0), MATCH(CH$4,연료전지_원본!$KB$4:$KX$4,0))*1000</f>
        <v>0</v>
      </c>
      <c r="CI160" s="250">
        <f>INDEX(연료전지_원본!$KB$4:$KX$369,MATCH($A160,연료전지_원본!$KB$4:$KB$369,0), MATCH(CI$4,연료전지_원본!$KB$4:$KX$4,0))*1000</f>
        <v>0</v>
      </c>
      <c r="CJ160" s="250">
        <f>INDEX(연료전지_원본!$KB$4:$KX$369,MATCH($A160,연료전지_원본!$KB$4:$KB$369,0), MATCH(CJ$4,연료전지_원본!$KB$4:$KX$4,0))*1000</f>
        <v>0</v>
      </c>
      <c r="CK160" s="250">
        <f>INDEX(연료전지_원본!$KB$4:$KX$369,MATCH($A160,연료전지_원본!$KB$4:$KB$369,0), MATCH(CK$4,연료전지_원본!$KB$4:$KX$4,0))*1000</f>
        <v>0</v>
      </c>
      <c r="CL160" s="250">
        <f>INDEX(연료전지_원본!$KB$4:$KX$369,MATCH($A160,연료전지_원본!$KB$4:$KB$369,0), MATCH(CL$4,연료전지_원본!$KB$4:$KX$4,0))*1000</f>
        <v>0</v>
      </c>
      <c r="CM160" s="250">
        <f>INDEX(연료전지_원본!$KB$4:$KX$369,MATCH($A160,연료전지_원본!$KB$4:$KB$369,0), MATCH(CM$4,연료전지_원본!$KB$4:$KX$4,0))*1000</f>
        <v>0</v>
      </c>
      <c r="CN160" s="250">
        <f>INDEX(연료전지_원본!$KB$4:$KX$369,MATCH($A160,연료전지_원본!$KB$4:$KB$369,0), MATCH(CN$4,연료전지_원본!$KB$4:$KX$4,0))*1000</f>
        <v>0</v>
      </c>
      <c r="CO160" s="250">
        <f>INDEX(연료전지_원본!$KB$4:$KX$369,MATCH($A160,연료전지_원본!$KB$4:$KB$369,0), MATCH(CO$4,연료전지_원본!$KB$4:$KX$4,0))*1000</f>
        <v>0</v>
      </c>
      <c r="CP160" s="250">
        <f>INDEX(연료전지_원본!$KB$4:$KX$369,MATCH($A160,연료전지_원본!$KB$4:$KB$369,0), MATCH(CP$4,연료전지_원본!$KB$4:$KX$4,0))*1000</f>
        <v>0</v>
      </c>
      <c r="CQ160" s="250">
        <f>INDEX(연료전지_원본!$KB$4:$KX$369,MATCH($A160,연료전지_원본!$KB$4:$KB$369,0), MATCH(CQ$4,연료전지_원본!$KB$4:$KX$4,0))*1000</f>
        <v>0</v>
      </c>
      <c r="CR160" s="250">
        <f>INDEX(연료전지_원본!$KB$4:$KX$369,MATCH($A160,연료전지_원본!$KB$4:$KB$369,0), MATCH(CR$4,연료전지_원본!$KB$4:$KX$4,0))*1000</f>
        <v>0</v>
      </c>
      <c r="CS160" s="250">
        <f>INDEX(연료전지_원본!$KB$4:$KX$369,MATCH($A160,연료전지_원본!$KB$4:$KB$369,0), MATCH(CS$4,연료전지_원본!$KB$4:$KX$4,0))*1000</f>
        <v>0</v>
      </c>
      <c r="CT160" s="250">
        <f>INDEX(연료전지_원본!$KB$4:$KX$369,MATCH($A160,연료전지_원본!$KB$4:$KB$369,0), MATCH(CT$4,연료전지_원본!$KB$4:$KX$4,0))*1000</f>
        <v>0</v>
      </c>
      <c r="CU160" s="250">
        <f>INDEX(연료전지_원본!$KB$4:$KX$369,MATCH($A160,연료전지_원본!$KB$4:$KB$369,0), MATCH(CU$4,연료전지_원본!$KB$4:$KX$4,0))*1000</f>
        <v>0</v>
      </c>
      <c r="CV160" s="250">
        <f>INDEX(연료전지_원본!$KB$4:$KX$369,MATCH($A160,연료전지_원본!$KB$4:$KB$369,0), MATCH(CV$4,연료전지_원본!$KB$4:$KX$4,0))*1000</f>
        <v>0</v>
      </c>
      <c r="CW160" s="250">
        <f>INDEX(연료전지_원본!$KB$4:$KX$369,MATCH($A160,연료전지_원본!$KB$4:$KB$369,0), MATCH(CW$4,연료전지_원본!$KB$4:$KX$4,0))*1000</f>
        <v>0</v>
      </c>
      <c r="CX160" s="250">
        <f>INDEX(연료전지_원본!$KB$4:$KX$369,MATCH($A160,연료전지_원본!$KB$4:$KB$369,0), MATCH(CX$4,연료전지_원본!$KB$4:$KX$4,0))*1000</f>
        <v>0</v>
      </c>
      <c r="CY160" s="250">
        <f>INDEX(연료전지_원본!$KB$4:$KX$369,MATCH($A160,연료전지_원본!$KB$4:$KB$369,0), MATCH(CY$4,연료전지_원본!$KB$4:$KX$4,0))*1000</f>
        <v>0</v>
      </c>
      <c r="DV160" s="30">
        <f t="shared" si="623"/>
        <v>0</v>
      </c>
    </row>
    <row r="161" spans="1:126">
      <c r="A161" s="6">
        <v>46178</v>
      </c>
      <c r="B161" s="15">
        <f>운전실적_원본!B161</f>
        <v>0</v>
      </c>
      <c r="C161" s="16" t="str">
        <f t="shared" si="629"/>
        <v/>
      </c>
      <c r="D161" s="12">
        <f>운전실적_원본!C161</f>
        <v>0</v>
      </c>
      <c r="E161" s="12" t="str">
        <f t="shared" si="630"/>
        <v/>
      </c>
      <c r="F161" s="12">
        <f>운전실적_원본!D161</f>
        <v>0</v>
      </c>
      <c r="G161" s="16" t="str">
        <f t="shared" si="631"/>
        <v/>
      </c>
      <c r="H161" s="15">
        <f>운전실적_원본!E161</f>
        <v>0</v>
      </c>
      <c r="I161" s="16" t="str">
        <f t="shared" si="632"/>
        <v/>
      </c>
      <c r="J161" s="15">
        <f>운전실적_원본!F161</f>
        <v>0</v>
      </c>
      <c r="K161" s="16" t="str">
        <f t="shared" si="632"/>
        <v/>
      </c>
      <c r="L161" s="32">
        <f>운전실적_원본!G161</f>
        <v>0</v>
      </c>
      <c r="M161" s="31" t="str">
        <f t="shared" ref="M161" si="924">IF(OR(LEN(L161)=0,L161=0),"",L161-L160)</f>
        <v/>
      </c>
      <c r="N161" s="15">
        <f>운전실적_원본!H161</f>
        <v>0</v>
      </c>
      <c r="O161" s="16" t="str">
        <f t="shared" ref="O161" si="925">IF(OR(LEN(N161)=0,N161=0),"",N161-N160)</f>
        <v/>
      </c>
      <c r="P161" s="15">
        <f>운전실적_원본!I161</f>
        <v>0</v>
      </c>
      <c r="Q161" s="16" t="str">
        <f t="shared" ref="Q161" si="926">IF(OR(LEN(P161)=0,P161=0),"",P161-P160)</f>
        <v/>
      </c>
      <c r="R161" s="18">
        <f>운전실적_원본!J161</f>
        <v>0</v>
      </c>
      <c r="S161" s="19" t="str">
        <f t="shared" ref="S161" si="927">IF(OR(LEN(R161)=0,R161=0),"",R161-R160)</f>
        <v/>
      </c>
      <c r="T161" s="18">
        <f>운전실적_원본!K161</f>
        <v>0</v>
      </c>
      <c r="U161" s="19" t="str">
        <f t="shared" si="637"/>
        <v/>
      </c>
      <c r="V161" s="12">
        <f>운전실적_원본!L161</f>
        <v>0</v>
      </c>
      <c r="W161" s="16" t="str">
        <f t="shared" ref="W161" si="928">IF(OR(LEN(V161)=0,V161=0),"",V161-V160)</f>
        <v/>
      </c>
      <c r="X161" s="10">
        <f>운전실적_원본!M161</f>
        <v>0</v>
      </c>
      <c r="Y161" s="10">
        <f>운전실적_원본!N161</f>
        <v>0</v>
      </c>
      <c r="Z161" s="10">
        <f>운전실적_원본!O161</f>
        <v>0</v>
      </c>
      <c r="AA161" s="10">
        <f>운전실적_원본!P161</f>
        <v>0</v>
      </c>
      <c r="AB161" s="10">
        <f>운전실적_원본!Q161</f>
        <v>0</v>
      </c>
      <c r="AC161" s="20">
        <f>운전실적_원본!R161</f>
        <v>0</v>
      </c>
      <c r="AD161" s="109">
        <f>운전실적_원본!S161</f>
        <v>0</v>
      </c>
      <c r="AE161" s="110">
        <f>운전실적_원본!T161</f>
        <v>0</v>
      </c>
      <c r="AF161" s="110">
        <f>운전실적_원본!U161</f>
        <v>0</v>
      </c>
      <c r="AG161" s="110">
        <f>운전실적_원본!V161</f>
        <v>0</v>
      </c>
      <c r="AH161" s="109">
        <f t="shared" si="791"/>
        <v>0</v>
      </c>
      <c r="AI161" s="110">
        <f t="shared" si="798"/>
        <v>0</v>
      </c>
      <c r="AJ161" s="110">
        <f>운전실적_원본!Y161</f>
        <v>0</v>
      </c>
      <c r="AK161" s="110">
        <f>운전실적_원본!Z161</f>
        <v>0</v>
      </c>
      <c r="AL161" s="106"/>
      <c r="AM161" s="105"/>
      <c r="AN161" s="105"/>
      <c r="AO161" s="105"/>
      <c r="AP161" s="105"/>
      <c r="AQ161" s="108"/>
      <c r="AR161" s="105"/>
      <c r="AS161" s="105"/>
      <c r="AT161" s="102"/>
      <c r="AU161" s="102"/>
      <c r="AV161" s="102"/>
      <c r="AW161" s="102"/>
      <c r="AX161" s="32">
        <f>운전실적_원본!W161</f>
        <v>0</v>
      </c>
      <c r="AY161" s="11">
        <f>운전실적_원본!X161</f>
        <v>0</v>
      </c>
      <c r="AZ161" s="11">
        <f>운전실적_원본!Y161</f>
        <v>0</v>
      </c>
      <c r="BA161" s="11">
        <f>운전실적_원본!Z161</f>
        <v>0</v>
      </c>
      <c r="BB161" s="11">
        <f>운전실적_원본!AA161</f>
        <v>0</v>
      </c>
      <c r="BC161" s="11">
        <f>운전실적_원본!AB161</f>
        <v>0</v>
      </c>
      <c r="BD161" s="32" t="str">
        <f t="shared" si="784"/>
        <v>-</v>
      </c>
      <c r="BE161" s="11" t="str">
        <f t="shared" si="792"/>
        <v>-</v>
      </c>
      <c r="BF161" s="11">
        <f>운전실적_원본!AE161</f>
        <v>0</v>
      </c>
      <c r="BG161" s="31">
        <f t="shared" si="785"/>
        <v>0</v>
      </c>
      <c r="BH161" s="241">
        <f>INDEX(연료전지_원본!$A$4:$KY$369,MATCH($A161,연료전지_원본!$A$4:$A$369,0),MATCH($BH$4,연료전지_원본!$A$4:$KY$4,0))</f>
        <v>0</v>
      </c>
      <c r="BI161" s="241">
        <f>INDEX(연료전지_원본!$A$4:$KY$369,MATCH($A161,연료전지_원본!$A$4:$A$369,0),MATCH($BI$4,연료전지_원본!$A$4:$KY$4,0))</f>
        <v>0</v>
      </c>
      <c r="BJ161" s="241">
        <f>INDEX(연료전지_원본!$A$4:$KY$369,MATCH($A161,연료전지_원본!$A$4:$A$369,0),MATCH($BJ$4,연료전지_원본!$A$4:$KY$4,0))</f>
        <v>0</v>
      </c>
      <c r="BK161" s="241">
        <f>INDEX(연료전지_원본!$A$4:$KY$369,MATCH($A161,연료전지_원본!$A$4:$A$369,0),MATCH($BK$4,연료전지_원본!$A$4:$KY$4,0))</f>
        <v>0</v>
      </c>
      <c r="BL161" s="241">
        <f>INDEX(연료전지_원본!$A$4:$KY$369,MATCH($A161,연료전지_원본!$A$4:$A$369,0),MATCH($BL$4,연료전지_원본!$A$4:$KY$4,0))</f>
        <v>0</v>
      </c>
      <c r="BM161" s="241">
        <f>INDEX(연료전지_원본!$A$4:$KY$369,MATCH($A161,연료전지_원본!$A$4:$A$369,0),MATCH($BM$4,연료전지_원본!$A$4:$KY$4,0))</f>
        <v>0</v>
      </c>
      <c r="BN161" s="241">
        <f>INDEX(연료전지_원본!$A$4:$KY$369,MATCH($A161,연료전지_원본!$A$4:$A$369,0),MATCH($BN$4,연료전지_원본!$A$4:$KY$4,0))</f>
        <v>0</v>
      </c>
      <c r="BO161" s="241">
        <f>INDEX(연료전지_원본!$A$4:$KY$369,MATCH($A161,연료전지_원본!$A$4:$A$369,0),MATCH($BO$4,연료전지_원본!$A$4:$KY$4,0))</f>
        <v>0</v>
      </c>
      <c r="BP161" s="241">
        <f>INDEX(연료전지_원본!$A$4:$KY$369,MATCH($A161,연료전지_원본!$A$4:$A$369,0),MATCH($BP$4,연료전지_원본!$A$4:$KY$4,0))</f>
        <v>0</v>
      </c>
      <c r="BQ161" s="241">
        <f>INDEX(연료전지_원본!$A$4:$KY$369,MATCH($A161,연료전지_원본!$A$4:$A$369,0),MATCH($BQ$4,연료전지_원본!$A$4:$KY$4,0))</f>
        <v>0</v>
      </c>
      <c r="BR161" s="241">
        <f>INDEX(연료전지_원본!$A$4:$KY$369,MATCH($A161,연료전지_원본!$A$4:$A$369,0),MATCH($BR$4,연료전지_원본!$A$4:$KY$4,0))</f>
        <v>0</v>
      </c>
      <c r="BS161" s="241">
        <f>INDEX(연료전지_원본!$A$4:$KY$369,MATCH($A161,연료전지_원본!$A$4:$A$369,0),MATCH($BS$4,연료전지_원본!$A$4:$KY$4,0))</f>
        <v>0</v>
      </c>
      <c r="BT161" s="241">
        <f>INDEX(연료전지_원본!$A$4:$KY$369,MATCH($A161,연료전지_원본!$A$4:$A$369,0),MATCH($BT$4,연료전지_원본!$A$4:$KY$4,0))</f>
        <v>0</v>
      </c>
      <c r="BU161" s="241">
        <f>INDEX(연료전지_원본!$A$4:$KY$369,MATCH($A161,연료전지_원본!$A$4:$A$369,0),MATCH($BU$4,연료전지_원본!$A$4:$KY$4,0))</f>
        <v>0</v>
      </c>
      <c r="BV161" s="241">
        <f>INDEX(연료전지_원본!$A$4:$KY$369,MATCH($A161,연료전지_원본!$A$4:$A$369,0),MATCH($BV$4,연료전지_원본!$A$4:$KY$4,0))</f>
        <v>0</v>
      </c>
      <c r="BW161" s="241">
        <f>INDEX(연료전지_원본!$A$4:$KY$369,MATCH($A161,연료전지_원본!$A$4:$A$369,0),MATCH($BW$4,연료전지_원본!$A$4:$KY$4,0))</f>
        <v>0</v>
      </c>
      <c r="BX161" s="241">
        <f>INDEX(연료전지_원본!$A$4:$KY$369,MATCH($A161,연료전지_원본!$A$4:$A$369,0),MATCH($BX$4,연료전지_원본!$A$4:$KY$4,0))</f>
        <v>0</v>
      </c>
      <c r="BY161" s="241">
        <f>INDEX(연료전지_원본!$A$4:$KY$369,MATCH($A161,연료전지_원본!$A$4:$A$369,0),MATCH($BY$4,연료전지_원본!$A$4:$KY$4,0))</f>
        <v>0</v>
      </c>
      <c r="BZ161" s="241">
        <f>INDEX(연료전지_원본!$A$4:$KY$369,MATCH($A161,연료전지_원본!$A$4:$A$369,0),MATCH($BZ$4,연료전지_원본!$A$4:$KY$4,0))</f>
        <v>0</v>
      </c>
      <c r="CA161" s="241">
        <f>INDEX(연료전지_원본!$A$4:$KY$369,MATCH($A161,연료전지_원본!$A$4:$A$369,0),MATCH($CA$4,연료전지_원본!$A$4:$KY$4,0))</f>
        <v>0</v>
      </c>
      <c r="CB161" s="241">
        <f>INDEX(연료전지_원본!$A$4:$KY$369,MATCH($A161,연료전지_원본!$A$4:$A$369,0),MATCH($CB$4,연료전지_원본!$A$4:$KY$4,0))</f>
        <v>0</v>
      </c>
      <c r="CC161" s="242">
        <f>INDEX(연료전지_원본!$A$4:$KY$369,MATCH($A161,연료전지_원본!$A$4:$A$369,0),MATCH($CC$4,연료전지_원본!$A$4:$KY$4,0))</f>
        <v>0</v>
      </c>
      <c r="CD161" s="250">
        <f>INDEX(연료전지_원본!$KB$4:$KX$369,MATCH($A161,연료전지_원본!$KB$4:$KB$369,0), MATCH(CD$4,연료전지_원본!$KB$4:$KX$4,0))*1000</f>
        <v>0</v>
      </c>
      <c r="CE161" s="250">
        <f>INDEX(연료전지_원본!$KB$4:$KX$369,MATCH($A161,연료전지_원본!$KB$4:$KB$369,0), MATCH(CE$4,연료전지_원본!$KB$4:$KX$4,0))*1000</f>
        <v>0</v>
      </c>
      <c r="CF161" s="250">
        <f>INDEX(연료전지_원본!$KB$4:$KX$369,MATCH($A161,연료전지_원본!$KB$4:$KB$369,0), MATCH(CF$4,연료전지_원본!$KB$4:$KX$4,0))*1000</f>
        <v>0</v>
      </c>
      <c r="CG161" s="250">
        <f>INDEX(연료전지_원본!$KB$4:$KX$369,MATCH($A161,연료전지_원본!$KB$4:$KB$369,0), MATCH(CG$4,연료전지_원본!$KB$4:$KX$4,0))*1000</f>
        <v>0</v>
      </c>
      <c r="CH161" s="250">
        <f>INDEX(연료전지_원본!$KB$4:$KX$369,MATCH($A161,연료전지_원본!$KB$4:$KB$369,0), MATCH(CH$4,연료전지_원본!$KB$4:$KX$4,0))*1000</f>
        <v>0</v>
      </c>
      <c r="CI161" s="250">
        <f>INDEX(연료전지_원본!$KB$4:$KX$369,MATCH($A161,연료전지_원본!$KB$4:$KB$369,0), MATCH(CI$4,연료전지_원본!$KB$4:$KX$4,0))*1000</f>
        <v>0</v>
      </c>
      <c r="CJ161" s="250">
        <f>INDEX(연료전지_원본!$KB$4:$KX$369,MATCH($A161,연료전지_원본!$KB$4:$KB$369,0), MATCH(CJ$4,연료전지_원본!$KB$4:$KX$4,0))*1000</f>
        <v>0</v>
      </c>
      <c r="CK161" s="250">
        <f>INDEX(연료전지_원본!$KB$4:$KX$369,MATCH($A161,연료전지_원본!$KB$4:$KB$369,0), MATCH(CK$4,연료전지_원본!$KB$4:$KX$4,0))*1000</f>
        <v>0</v>
      </c>
      <c r="CL161" s="250">
        <f>INDEX(연료전지_원본!$KB$4:$KX$369,MATCH($A161,연료전지_원본!$KB$4:$KB$369,0), MATCH(CL$4,연료전지_원본!$KB$4:$KX$4,0))*1000</f>
        <v>0</v>
      </c>
      <c r="CM161" s="250">
        <f>INDEX(연료전지_원본!$KB$4:$KX$369,MATCH($A161,연료전지_원본!$KB$4:$KB$369,0), MATCH(CM$4,연료전지_원본!$KB$4:$KX$4,0))*1000</f>
        <v>0</v>
      </c>
      <c r="CN161" s="250">
        <f>INDEX(연료전지_원본!$KB$4:$KX$369,MATCH($A161,연료전지_원본!$KB$4:$KB$369,0), MATCH(CN$4,연료전지_원본!$KB$4:$KX$4,0))*1000</f>
        <v>0</v>
      </c>
      <c r="CO161" s="250">
        <f>INDEX(연료전지_원본!$KB$4:$KX$369,MATCH($A161,연료전지_원본!$KB$4:$KB$369,0), MATCH(CO$4,연료전지_원본!$KB$4:$KX$4,0))*1000</f>
        <v>0</v>
      </c>
      <c r="CP161" s="250">
        <f>INDEX(연료전지_원본!$KB$4:$KX$369,MATCH($A161,연료전지_원본!$KB$4:$KB$369,0), MATCH(CP$4,연료전지_원본!$KB$4:$KX$4,0))*1000</f>
        <v>0</v>
      </c>
      <c r="CQ161" s="250">
        <f>INDEX(연료전지_원본!$KB$4:$KX$369,MATCH($A161,연료전지_원본!$KB$4:$KB$369,0), MATCH(CQ$4,연료전지_원본!$KB$4:$KX$4,0))*1000</f>
        <v>0</v>
      </c>
      <c r="CR161" s="250">
        <f>INDEX(연료전지_원본!$KB$4:$KX$369,MATCH($A161,연료전지_원본!$KB$4:$KB$369,0), MATCH(CR$4,연료전지_원본!$KB$4:$KX$4,0))*1000</f>
        <v>0</v>
      </c>
      <c r="CS161" s="250">
        <f>INDEX(연료전지_원본!$KB$4:$KX$369,MATCH($A161,연료전지_원본!$KB$4:$KB$369,0), MATCH(CS$4,연료전지_원본!$KB$4:$KX$4,0))*1000</f>
        <v>0</v>
      </c>
      <c r="CT161" s="250">
        <f>INDEX(연료전지_원본!$KB$4:$KX$369,MATCH($A161,연료전지_원본!$KB$4:$KB$369,0), MATCH(CT$4,연료전지_원본!$KB$4:$KX$4,0))*1000</f>
        <v>0</v>
      </c>
      <c r="CU161" s="250">
        <f>INDEX(연료전지_원본!$KB$4:$KX$369,MATCH($A161,연료전지_원본!$KB$4:$KB$369,0), MATCH(CU$4,연료전지_원본!$KB$4:$KX$4,0))*1000</f>
        <v>0</v>
      </c>
      <c r="CV161" s="250">
        <f>INDEX(연료전지_원본!$KB$4:$KX$369,MATCH($A161,연료전지_원본!$KB$4:$KB$369,0), MATCH(CV$4,연료전지_원본!$KB$4:$KX$4,0))*1000</f>
        <v>0</v>
      </c>
      <c r="CW161" s="250">
        <f>INDEX(연료전지_원본!$KB$4:$KX$369,MATCH($A161,연료전지_원본!$KB$4:$KB$369,0), MATCH(CW$4,연료전지_원본!$KB$4:$KX$4,0))*1000</f>
        <v>0</v>
      </c>
      <c r="CX161" s="250">
        <f>INDEX(연료전지_원본!$KB$4:$KX$369,MATCH($A161,연료전지_원본!$KB$4:$KB$369,0), MATCH(CX$4,연료전지_원본!$KB$4:$KX$4,0))*1000</f>
        <v>0</v>
      </c>
      <c r="CY161" s="250">
        <f>INDEX(연료전지_원본!$KB$4:$KX$369,MATCH($A161,연료전지_원본!$KB$4:$KB$369,0), MATCH(CY$4,연료전지_원본!$KB$4:$KX$4,0))*1000</f>
        <v>0</v>
      </c>
      <c r="DV161" s="30">
        <f t="shared" si="623"/>
        <v>0</v>
      </c>
    </row>
    <row r="162" spans="1:126">
      <c r="A162" s="6">
        <v>46179</v>
      </c>
      <c r="B162" s="15">
        <f>운전실적_원본!B162</f>
        <v>0</v>
      </c>
      <c r="C162" s="16" t="str">
        <f t="shared" si="629"/>
        <v/>
      </c>
      <c r="D162" s="12">
        <f>운전실적_원본!C162</f>
        <v>0</v>
      </c>
      <c r="E162" s="12" t="str">
        <f t="shared" si="630"/>
        <v/>
      </c>
      <c r="F162" s="12">
        <f>운전실적_원본!D162</f>
        <v>0</v>
      </c>
      <c r="G162" s="16" t="str">
        <f t="shared" si="631"/>
        <v/>
      </c>
      <c r="H162" s="15">
        <f>운전실적_원본!E162</f>
        <v>0</v>
      </c>
      <c r="I162" s="16" t="str">
        <f t="shared" si="632"/>
        <v/>
      </c>
      <c r="J162" s="15">
        <f>운전실적_원본!F162</f>
        <v>0</v>
      </c>
      <c r="K162" s="16" t="str">
        <f t="shared" si="632"/>
        <v/>
      </c>
      <c r="L162" s="32">
        <f>운전실적_원본!G162</f>
        <v>0</v>
      </c>
      <c r="M162" s="31" t="str">
        <f t="shared" ref="M162" si="929">IF(OR(LEN(L162)=0,L162=0),"",L162-L161)</f>
        <v/>
      </c>
      <c r="N162" s="15">
        <f>운전실적_원본!H162</f>
        <v>0</v>
      </c>
      <c r="O162" s="16" t="str">
        <f t="shared" ref="O162" si="930">IF(OR(LEN(N162)=0,N162=0),"",N162-N161)</f>
        <v/>
      </c>
      <c r="P162" s="15">
        <f>운전실적_원본!I162</f>
        <v>0</v>
      </c>
      <c r="Q162" s="16" t="str">
        <f t="shared" ref="Q162" si="931">IF(OR(LEN(P162)=0,P162=0),"",P162-P161)</f>
        <v/>
      </c>
      <c r="R162" s="18">
        <f>운전실적_원본!J162</f>
        <v>0</v>
      </c>
      <c r="S162" s="19" t="str">
        <f t="shared" ref="S162" si="932">IF(OR(LEN(R162)=0,R162=0),"",R162-R161)</f>
        <v/>
      </c>
      <c r="T162" s="18">
        <f>운전실적_원본!K162</f>
        <v>0</v>
      </c>
      <c r="U162" s="19" t="str">
        <f t="shared" si="637"/>
        <v/>
      </c>
      <c r="V162" s="12">
        <f>운전실적_원본!L162</f>
        <v>0</v>
      </c>
      <c r="W162" s="16" t="str">
        <f t="shared" ref="W162" si="933">IF(OR(LEN(V162)=0,V162=0),"",V162-V161)</f>
        <v/>
      </c>
      <c r="X162" s="10">
        <f>운전실적_원본!M162</f>
        <v>0</v>
      </c>
      <c r="Y162" s="10">
        <f>운전실적_원본!N162</f>
        <v>0</v>
      </c>
      <c r="Z162" s="10">
        <f>운전실적_원본!O162</f>
        <v>0</v>
      </c>
      <c r="AA162" s="10">
        <f>운전실적_원본!P162</f>
        <v>0</v>
      </c>
      <c r="AB162" s="10">
        <f>운전실적_원본!Q162</f>
        <v>0</v>
      </c>
      <c r="AC162" s="20">
        <f>운전실적_원본!R162</f>
        <v>0</v>
      </c>
      <c r="AD162" s="109">
        <f>운전실적_원본!S162</f>
        <v>0</v>
      </c>
      <c r="AE162" s="110">
        <f>운전실적_원본!T162</f>
        <v>0</v>
      </c>
      <c r="AF162" s="110">
        <f>운전실적_원본!U162</f>
        <v>0</v>
      </c>
      <c r="AG162" s="110">
        <f>운전실적_원본!V162</f>
        <v>0</v>
      </c>
      <c r="AH162" s="109">
        <f t="shared" si="791"/>
        <v>0</v>
      </c>
      <c r="AI162" s="110">
        <f t="shared" si="798"/>
        <v>0</v>
      </c>
      <c r="AJ162" s="110">
        <f>운전실적_원본!Y162</f>
        <v>0</v>
      </c>
      <c r="AK162" s="110">
        <f>운전실적_원본!Z162</f>
        <v>0</v>
      </c>
      <c r="AL162" s="106"/>
      <c r="AM162" s="105"/>
      <c r="AN162" s="105"/>
      <c r="AO162" s="105"/>
      <c r="AP162" s="105"/>
      <c r="AQ162" s="108"/>
      <c r="AR162" s="105"/>
      <c r="AS162" s="105"/>
      <c r="AT162" s="102"/>
      <c r="AU162" s="102"/>
      <c r="AV162" s="102"/>
      <c r="AW162" s="102"/>
      <c r="AX162" s="32">
        <f>운전실적_원본!W162</f>
        <v>0</v>
      </c>
      <c r="AY162" s="11">
        <f>운전실적_원본!X162</f>
        <v>0</v>
      </c>
      <c r="AZ162" s="11">
        <f>운전실적_원본!Y162</f>
        <v>0</v>
      </c>
      <c r="BA162" s="11">
        <f>운전실적_원본!Z162</f>
        <v>0</v>
      </c>
      <c r="BB162" s="11">
        <f>운전실적_원본!AA162</f>
        <v>0</v>
      </c>
      <c r="BC162" s="11">
        <f>운전실적_원본!AB162</f>
        <v>0</v>
      </c>
      <c r="BD162" s="32" t="str">
        <f t="shared" si="784"/>
        <v>-</v>
      </c>
      <c r="BE162" s="11" t="str">
        <f t="shared" si="792"/>
        <v>-</v>
      </c>
      <c r="BF162" s="11">
        <f>운전실적_원본!AE162</f>
        <v>0</v>
      </c>
      <c r="BG162" s="31">
        <f t="shared" si="785"/>
        <v>0</v>
      </c>
      <c r="BH162" s="241">
        <f>INDEX(연료전지_원본!$A$4:$KY$369,MATCH($A162,연료전지_원본!$A$4:$A$369,0),MATCH($BH$4,연료전지_원본!$A$4:$KY$4,0))</f>
        <v>0</v>
      </c>
      <c r="BI162" s="241">
        <f>INDEX(연료전지_원본!$A$4:$KY$369,MATCH($A162,연료전지_원본!$A$4:$A$369,0),MATCH($BI$4,연료전지_원본!$A$4:$KY$4,0))</f>
        <v>0</v>
      </c>
      <c r="BJ162" s="241">
        <f>INDEX(연료전지_원본!$A$4:$KY$369,MATCH($A162,연료전지_원본!$A$4:$A$369,0),MATCH($BJ$4,연료전지_원본!$A$4:$KY$4,0))</f>
        <v>0</v>
      </c>
      <c r="BK162" s="241">
        <f>INDEX(연료전지_원본!$A$4:$KY$369,MATCH($A162,연료전지_원본!$A$4:$A$369,0),MATCH($BK$4,연료전지_원본!$A$4:$KY$4,0))</f>
        <v>0</v>
      </c>
      <c r="BL162" s="241">
        <f>INDEX(연료전지_원본!$A$4:$KY$369,MATCH($A162,연료전지_원본!$A$4:$A$369,0),MATCH($BL$4,연료전지_원본!$A$4:$KY$4,0))</f>
        <v>0</v>
      </c>
      <c r="BM162" s="241">
        <f>INDEX(연료전지_원본!$A$4:$KY$369,MATCH($A162,연료전지_원본!$A$4:$A$369,0),MATCH($BM$4,연료전지_원본!$A$4:$KY$4,0))</f>
        <v>0</v>
      </c>
      <c r="BN162" s="241">
        <f>INDEX(연료전지_원본!$A$4:$KY$369,MATCH($A162,연료전지_원본!$A$4:$A$369,0),MATCH($BN$4,연료전지_원본!$A$4:$KY$4,0))</f>
        <v>0</v>
      </c>
      <c r="BO162" s="241">
        <f>INDEX(연료전지_원본!$A$4:$KY$369,MATCH($A162,연료전지_원본!$A$4:$A$369,0),MATCH($BO$4,연료전지_원본!$A$4:$KY$4,0))</f>
        <v>0</v>
      </c>
      <c r="BP162" s="241">
        <f>INDEX(연료전지_원본!$A$4:$KY$369,MATCH($A162,연료전지_원본!$A$4:$A$369,0),MATCH($BP$4,연료전지_원본!$A$4:$KY$4,0))</f>
        <v>0</v>
      </c>
      <c r="BQ162" s="241">
        <f>INDEX(연료전지_원본!$A$4:$KY$369,MATCH($A162,연료전지_원본!$A$4:$A$369,0),MATCH($BQ$4,연료전지_원본!$A$4:$KY$4,0))</f>
        <v>0</v>
      </c>
      <c r="BR162" s="241">
        <f>INDEX(연료전지_원본!$A$4:$KY$369,MATCH($A162,연료전지_원본!$A$4:$A$369,0),MATCH($BR$4,연료전지_원본!$A$4:$KY$4,0))</f>
        <v>0</v>
      </c>
      <c r="BS162" s="241">
        <f>INDEX(연료전지_원본!$A$4:$KY$369,MATCH($A162,연료전지_원본!$A$4:$A$369,0),MATCH($BS$4,연료전지_원본!$A$4:$KY$4,0))</f>
        <v>0</v>
      </c>
      <c r="BT162" s="241">
        <f>INDEX(연료전지_원본!$A$4:$KY$369,MATCH($A162,연료전지_원본!$A$4:$A$369,0),MATCH($BT$4,연료전지_원본!$A$4:$KY$4,0))</f>
        <v>0</v>
      </c>
      <c r="BU162" s="241">
        <f>INDEX(연료전지_원본!$A$4:$KY$369,MATCH($A162,연료전지_원본!$A$4:$A$369,0),MATCH($BU$4,연료전지_원본!$A$4:$KY$4,0))</f>
        <v>0</v>
      </c>
      <c r="BV162" s="241">
        <f>INDEX(연료전지_원본!$A$4:$KY$369,MATCH($A162,연료전지_원본!$A$4:$A$369,0),MATCH($BV$4,연료전지_원본!$A$4:$KY$4,0))</f>
        <v>0</v>
      </c>
      <c r="BW162" s="241">
        <f>INDEX(연료전지_원본!$A$4:$KY$369,MATCH($A162,연료전지_원본!$A$4:$A$369,0),MATCH($BW$4,연료전지_원본!$A$4:$KY$4,0))</f>
        <v>0</v>
      </c>
      <c r="BX162" s="241">
        <f>INDEX(연료전지_원본!$A$4:$KY$369,MATCH($A162,연료전지_원본!$A$4:$A$369,0),MATCH($BX$4,연료전지_원본!$A$4:$KY$4,0))</f>
        <v>0</v>
      </c>
      <c r="BY162" s="241">
        <f>INDEX(연료전지_원본!$A$4:$KY$369,MATCH($A162,연료전지_원본!$A$4:$A$369,0),MATCH($BY$4,연료전지_원본!$A$4:$KY$4,0))</f>
        <v>0</v>
      </c>
      <c r="BZ162" s="241">
        <f>INDEX(연료전지_원본!$A$4:$KY$369,MATCH($A162,연료전지_원본!$A$4:$A$369,0),MATCH($BZ$4,연료전지_원본!$A$4:$KY$4,0))</f>
        <v>0</v>
      </c>
      <c r="CA162" s="241">
        <f>INDEX(연료전지_원본!$A$4:$KY$369,MATCH($A162,연료전지_원본!$A$4:$A$369,0),MATCH($CA$4,연료전지_원본!$A$4:$KY$4,0))</f>
        <v>0</v>
      </c>
      <c r="CB162" s="241">
        <f>INDEX(연료전지_원본!$A$4:$KY$369,MATCH($A162,연료전지_원본!$A$4:$A$369,0),MATCH($CB$4,연료전지_원본!$A$4:$KY$4,0))</f>
        <v>0</v>
      </c>
      <c r="CC162" s="242">
        <f>INDEX(연료전지_원본!$A$4:$KY$369,MATCH($A162,연료전지_원본!$A$4:$A$369,0),MATCH($CC$4,연료전지_원본!$A$4:$KY$4,0))</f>
        <v>0</v>
      </c>
      <c r="CD162" s="250">
        <f>INDEX(연료전지_원본!$KB$4:$KX$369,MATCH($A162,연료전지_원본!$KB$4:$KB$369,0), MATCH(CD$4,연료전지_원본!$KB$4:$KX$4,0))*1000</f>
        <v>0</v>
      </c>
      <c r="CE162" s="250">
        <f>INDEX(연료전지_원본!$KB$4:$KX$369,MATCH($A162,연료전지_원본!$KB$4:$KB$369,0), MATCH(CE$4,연료전지_원본!$KB$4:$KX$4,0))*1000</f>
        <v>0</v>
      </c>
      <c r="CF162" s="250">
        <f>INDEX(연료전지_원본!$KB$4:$KX$369,MATCH($A162,연료전지_원본!$KB$4:$KB$369,0), MATCH(CF$4,연료전지_원본!$KB$4:$KX$4,0))*1000</f>
        <v>0</v>
      </c>
      <c r="CG162" s="250">
        <f>INDEX(연료전지_원본!$KB$4:$KX$369,MATCH($A162,연료전지_원본!$KB$4:$KB$369,0), MATCH(CG$4,연료전지_원본!$KB$4:$KX$4,0))*1000</f>
        <v>0</v>
      </c>
      <c r="CH162" s="250">
        <f>INDEX(연료전지_원본!$KB$4:$KX$369,MATCH($A162,연료전지_원본!$KB$4:$KB$369,0), MATCH(CH$4,연료전지_원본!$KB$4:$KX$4,0))*1000</f>
        <v>0</v>
      </c>
      <c r="CI162" s="250">
        <f>INDEX(연료전지_원본!$KB$4:$KX$369,MATCH($A162,연료전지_원본!$KB$4:$KB$369,0), MATCH(CI$4,연료전지_원본!$KB$4:$KX$4,0))*1000</f>
        <v>0</v>
      </c>
      <c r="CJ162" s="250">
        <f>INDEX(연료전지_원본!$KB$4:$KX$369,MATCH($A162,연료전지_원본!$KB$4:$KB$369,0), MATCH(CJ$4,연료전지_원본!$KB$4:$KX$4,0))*1000</f>
        <v>0</v>
      </c>
      <c r="CK162" s="250">
        <f>INDEX(연료전지_원본!$KB$4:$KX$369,MATCH($A162,연료전지_원본!$KB$4:$KB$369,0), MATCH(CK$4,연료전지_원본!$KB$4:$KX$4,0))*1000</f>
        <v>0</v>
      </c>
      <c r="CL162" s="250">
        <f>INDEX(연료전지_원본!$KB$4:$KX$369,MATCH($A162,연료전지_원본!$KB$4:$KB$369,0), MATCH(CL$4,연료전지_원본!$KB$4:$KX$4,0))*1000</f>
        <v>0</v>
      </c>
      <c r="CM162" s="250">
        <f>INDEX(연료전지_원본!$KB$4:$KX$369,MATCH($A162,연료전지_원본!$KB$4:$KB$369,0), MATCH(CM$4,연료전지_원본!$KB$4:$KX$4,0))*1000</f>
        <v>0</v>
      </c>
      <c r="CN162" s="250">
        <f>INDEX(연료전지_원본!$KB$4:$KX$369,MATCH($A162,연료전지_원본!$KB$4:$KB$369,0), MATCH(CN$4,연료전지_원본!$KB$4:$KX$4,0))*1000</f>
        <v>0</v>
      </c>
      <c r="CO162" s="250">
        <f>INDEX(연료전지_원본!$KB$4:$KX$369,MATCH($A162,연료전지_원본!$KB$4:$KB$369,0), MATCH(CO$4,연료전지_원본!$KB$4:$KX$4,0))*1000</f>
        <v>0</v>
      </c>
      <c r="CP162" s="250">
        <f>INDEX(연료전지_원본!$KB$4:$KX$369,MATCH($A162,연료전지_원본!$KB$4:$KB$369,0), MATCH(CP$4,연료전지_원본!$KB$4:$KX$4,0))*1000</f>
        <v>0</v>
      </c>
      <c r="CQ162" s="250">
        <f>INDEX(연료전지_원본!$KB$4:$KX$369,MATCH($A162,연료전지_원본!$KB$4:$KB$369,0), MATCH(CQ$4,연료전지_원본!$KB$4:$KX$4,0))*1000</f>
        <v>0</v>
      </c>
      <c r="CR162" s="250">
        <f>INDEX(연료전지_원본!$KB$4:$KX$369,MATCH($A162,연료전지_원본!$KB$4:$KB$369,0), MATCH(CR$4,연료전지_원본!$KB$4:$KX$4,0))*1000</f>
        <v>0</v>
      </c>
      <c r="CS162" s="250">
        <f>INDEX(연료전지_원본!$KB$4:$KX$369,MATCH($A162,연료전지_원본!$KB$4:$KB$369,0), MATCH(CS$4,연료전지_원본!$KB$4:$KX$4,0))*1000</f>
        <v>0</v>
      </c>
      <c r="CT162" s="250">
        <f>INDEX(연료전지_원본!$KB$4:$KX$369,MATCH($A162,연료전지_원본!$KB$4:$KB$369,0), MATCH(CT$4,연료전지_원본!$KB$4:$KX$4,0))*1000</f>
        <v>0</v>
      </c>
      <c r="CU162" s="250">
        <f>INDEX(연료전지_원본!$KB$4:$KX$369,MATCH($A162,연료전지_원본!$KB$4:$KB$369,0), MATCH(CU$4,연료전지_원본!$KB$4:$KX$4,0))*1000</f>
        <v>0</v>
      </c>
      <c r="CV162" s="250">
        <f>INDEX(연료전지_원본!$KB$4:$KX$369,MATCH($A162,연료전지_원본!$KB$4:$KB$369,0), MATCH(CV$4,연료전지_원본!$KB$4:$KX$4,0))*1000</f>
        <v>0</v>
      </c>
      <c r="CW162" s="250">
        <f>INDEX(연료전지_원본!$KB$4:$KX$369,MATCH($A162,연료전지_원본!$KB$4:$KB$369,0), MATCH(CW$4,연료전지_원본!$KB$4:$KX$4,0))*1000</f>
        <v>0</v>
      </c>
      <c r="CX162" s="250">
        <f>INDEX(연료전지_원본!$KB$4:$KX$369,MATCH($A162,연료전지_원본!$KB$4:$KB$369,0), MATCH(CX$4,연료전지_원본!$KB$4:$KX$4,0))*1000</f>
        <v>0</v>
      </c>
      <c r="CY162" s="250">
        <f>INDEX(연료전지_원본!$KB$4:$KX$369,MATCH($A162,연료전지_원본!$KB$4:$KB$369,0), MATCH(CY$4,연료전지_원본!$KB$4:$KX$4,0))*1000</f>
        <v>0</v>
      </c>
      <c r="DV162" s="30">
        <f t="shared" si="623"/>
        <v>0</v>
      </c>
    </row>
    <row r="163" spans="1:126">
      <c r="A163" s="6">
        <v>46180</v>
      </c>
      <c r="B163" s="15">
        <f>운전실적_원본!B163</f>
        <v>0</v>
      </c>
      <c r="C163" s="16" t="str">
        <f t="shared" si="629"/>
        <v/>
      </c>
      <c r="D163" s="12">
        <f>운전실적_원본!C163</f>
        <v>0</v>
      </c>
      <c r="E163" s="12" t="str">
        <f t="shared" si="630"/>
        <v/>
      </c>
      <c r="F163" s="12">
        <f>운전실적_원본!D163</f>
        <v>0</v>
      </c>
      <c r="G163" s="16" t="str">
        <f t="shared" si="631"/>
        <v/>
      </c>
      <c r="H163" s="15">
        <f>운전실적_원본!E163</f>
        <v>0</v>
      </c>
      <c r="I163" s="16" t="str">
        <f t="shared" si="632"/>
        <v/>
      </c>
      <c r="J163" s="15">
        <f>운전실적_원본!F163</f>
        <v>0</v>
      </c>
      <c r="K163" s="16" t="str">
        <f t="shared" si="632"/>
        <v/>
      </c>
      <c r="L163" s="32">
        <f>운전실적_원본!G163</f>
        <v>0</v>
      </c>
      <c r="M163" s="31" t="str">
        <f t="shared" ref="M163" si="934">IF(OR(LEN(L163)=0,L163=0),"",L163-L162)</f>
        <v/>
      </c>
      <c r="N163" s="15">
        <f>운전실적_원본!H163</f>
        <v>0</v>
      </c>
      <c r="O163" s="16" t="str">
        <f t="shared" ref="O163" si="935">IF(OR(LEN(N163)=0,N163=0),"",N163-N162)</f>
        <v/>
      </c>
      <c r="P163" s="15">
        <f>운전실적_원본!I163</f>
        <v>0</v>
      </c>
      <c r="Q163" s="16" t="str">
        <f t="shared" ref="Q163" si="936">IF(OR(LEN(P163)=0,P163=0),"",P163-P162)</f>
        <v/>
      </c>
      <c r="R163" s="18">
        <f>운전실적_원본!J163</f>
        <v>0</v>
      </c>
      <c r="S163" s="19" t="str">
        <f t="shared" ref="S163" si="937">IF(OR(LEN(R163)=0,R163=0),"",R163-R162)</f>
        <v/>
      </c>
      <c r="T163" s="18">
        <f>운전실적_원본!K163</f>
        <v>0</v>
      </c>
      <c r="U163" s="19" t="str">
        <f t="shared" si="637"/>
        <v/>
      </c>
      <c r="V163" s="12">
        <f>운전실적_원본!L163</f>
        <v>0</v>
      </c>
      <c r="W163" s="16" t="str">
        <f t="shared" ref="W163" si="938">IF(OR(LEN(V163)=0,V163=0),"",V163-V162)</f>
        <v/>
      </c>
      <c r="X163" s="10">
        <f>운전실적_원본!M163</f>
        <v>0</v>
      </c>
      <c r="Y163" s="10">
        <f>운전실적_원본!N163</f>
        <v>0</v>
      </c>
      <c r="Z163" s="10">
        <f>운전실적_원본!O163</f>
        <v>0</v>
      </c>
      <c r="AA163" s="10">
        <f>운전실적_원본!P163</f>
        <v>0</v>
      </c>
      <c r="AB163" s="10">
        <f>운전실적_원본!Q163</f>
        <v>0</v>
      </c>
      <c r="AC163" s="20">
        <f>운전실적_원본!R163</f>
        <v>0</v>
      </c>
      <c r="AD163" s="109">
        <f>운전실적_원본!S163</f>
        <v>0</v>
      </c>
      <c r="AE163" s="110">
        <f>운전실적_원본!T163</f>
        <v>0</v>
      </c>
      <c r="AF163" s="110">
        <f>운전실적_원본!U163</f>
        <v>0</v>
      </c>
      <c r="AG163" s="110">
        <f>운전실적_원본!V163</f>
        <v>0</v>
      </c>
      <c r="AH163" s="109">
        <f t="shared" si="791"/>
        <v>0</v>
      </c>
      <c r="AI163" s="110">
        <f t="shared" si="798"/>
        <v>0</v>
      </c>
      <c r="AJ163" s="110">
        <f>운전실적_원본!Y163</f>
        <v>0</v>
      </c>
      <c r="AK163" s="110">
        <f>운전실적_원본!Z163</f>
        <v>0</v>
      </c>
      <c r="AL163" s="106"/>
      <c r="AM163" s="105"/>
      <c r="AN163" s="105"/>
      <c r="AO163" s="105"/>
      <c r="AP163" s="105"/>
      <c r="AQ163" s="108"/>
      <c r="AR163" s="105"/>
      <c r="AS163" s="105"/>
      <c r="AT163" s="102"/>
      <c r="AU163" s="102"/>
      <c r="AV163" s="102"/>
      <c r="AW163" s="102"/>
      <c r="AX163" s="32">
        <f>운전실적_원본!W163</f>
        <v>0</v>
      </c>
      <c r="AY163" s="11">
        <f>운전실적_원본!X163</f>
        <v>0</v>
      </c>
      <c r="AZ163" s="11">
        <f>운전실적_원본!Y163</f>
        <v>0</v>
      </c>
      <c r="BA163" s="11">
        <f>운전실적_원본!Z163</f>
        <v>0</v>
      </c>
      <c r="BB163" s="11">
        <f>운전실적_원본!AA163</f>
        <v>0</v>
      </c>
      <c r="BC163" s="11">
        <f>운전실적_원본!AB163</f>
        <v>0</v>
      </c>
      <c r="BD163" s="32" t="str">
        <f t="shared" si="784"/>
        <v>-</v>
      </c>
      <c r="BE163" s="11" t="str">
        <f t="shared" si="792"/>
        <v>-</v>
      </c>
      <c r="BF163" s="11">
        <f>운전실적_원본!AE163</f>
        <v>0</v>
      </c>
      <c r="BG163" s="31">
        <f t="shared" si="785"/>
        <v>0</v>
      </c>
      <c r="BH163" s="241">
        <f>INDEX(연료전지_원본!$A$4:$KY$369,MATCH($A163,연료전지_원본!$A$4:$A$369,0),MATCH($BH$4,연료전지_원본!$A$4:$KY$4,0))</f>
        <v>0</v>
      </c>
      <c r="BI163" s="241">
        <f>INDEX(연료전지_원본!$A$4:$KY$369,MATCH($A163,연료전지_원본!$A$4:$A$369,0),MATCH($BI$4,연료전지_원본!$A$4:$KY$4,0))</f>
        <v>0</v>
      </c>
      <c r="BJ163" s="241">
        <f>INDEX(연료전지_원본!$A$4:$KY$369,MATCH($A163,연료전지_원본!$A$4:$A$369,0),MATCH($BJ$4,연료전지_원본!$A$4:$KY$4,0))</f>
        <v>0</v>
      </c>
      <c r="BK163" s="241">
        <f>INDEX(연료전지_원본!$A$4:$KY$369,MATCH($A163,연료전지_원본!$A$4:$A$369,0),MATCH($BK$4,연료전지_원본!$A$4:$KY$4,0))</f>
        <v>0</v>
      </c>
      <c r="BL163" s="241">
        <f>INDEX(연료전지_원본!$A$4:$KY$369,MATCH($A163,연료전지_원본!$A$4:$A$369,0),MATCH($BL$4,연료전지_원본!$A$4:$KY$4,0))</f>
        <v>0</v>
      </c>
      <c r="BM163" s="241">
        <f>INDEX(연료전지_원본!$A$4:$KY$369,MATCH($A163,연료전지_원본!$A$4:$A$369,0),MATCH($BM$4,연료전지_원본!$A$4:$KY$4,0))</f>
        <v>0</v>
      </c>
      <c r="BN163" s="241">
        <f>INDEX(연료전지_원본!$A$4:$KY$369,MATCH($A163,연료전지_원본!$A$4:$A$369,0),MATCH($BN$4,연료전지_원본!$A$4:$KY$4,0))</f>
        <v>0</v>
      </c>
      <c r="BO163" s="241">
        <f>INDEX(연료전지_원본!$A$4:$KY$369,MATCH($A163,연료전지_원본!$A$4:$A$369,0),MATCH($BO$4,연료전지_원본!$A$4:$KY$4,0))</f>
        <v>0</v>
      </c>
      <c r="BP163" s="241">
        <f>INDEX(연료전지_원본!$A$4:$KY$369,MATCH($A163,연료전지_원본!$A$4:$A$369,0),MATCH($BP$4,연료전지_원본!$A$4:$KY$4,0))</f>
        <v>0</v>
      </c>
      <c r="BQ163" s="241">
        <f>INDEX(연료전지_원본!$A$4:$KY$369,MATCH($A163,연료전지_원본!$A$4:$A$369,0),MATCH($BQ$4,연료전지_원본!$A$4:$KY$4,0))</f>
        <v>0</v>
      </c>
      <c r="BR163" s="241">
        <f>INDEX(연료전지_원본!$A$4:$KY$369,MATCH($A163,연료전지_원본!$A$4:$A$369,0),MATCH($BR$4,연료전지_원본!$A$4:$KY$4,0))</f>
        <v>0</v>
      </c>
      <c r="BS163" s="241">
        <f>INDEX(연료전지_원본!$A$4:$KY$369,MATCH($A163,연료전지_원본!$A$4:$A$369,0),MATCH($BS$4,연료전지_원본!$A$4:$KY$4,0))</f>
        <v>0</v>
      </c>
      <c r="BT163" s="241">
        <f>INDEX(연료전지_원본!$A$4:$KY$369,MATCH($A163,연료전지_원본!$A$4:$A$369,0),MATCH($BT$4,연료전지_원본!$A$4:$KY$4,0))</f>
        <v>0</v>
      </c>
      <c r="BU163" s="241">
        <f>INDEX(연료전지_원본!$A$4:$KY$369,MATCH($A163,연료전지_원본!$A$4:$A$369,0),MATCH($BU$4,연료전지_원본!$A$4:$KY$4,0))</f>
        <v>0</v>
      </c>
      <c r="BV163" s="241">
        <f>INDEX(연료전지_원본!$A$4:$KY$369,MATCH($A163,연료전지_원본!$A$4:$A$369,0),MATCH($BV$4,연료전지_원본!$A$4:$KY$4,0))</f>
        <v>0</v>
      </c>
      <c r="BW163" s="241">
        <f>INDEX(연료전지_원본!$A$4:$KY$369,MATCH($A163,연료전지_원본!$A$4:$A$369,0),MATCH($BW$4,연료전지_원본!$A$4:$KY$4,0))</f>
        <v>0</v>
      </c>
      <c r="BX163" s="241">
        <f>INDEX(연료전지_원본!$A$4:$KY$369,MATCH($A163,연료전지_원본!$A$4:$A$369,0),MATCH($BX$4,연료전지_원본!$A$4:$KY$4,0))</f>
        <v>0</v>
      </c>
      <c r="BY163" s="241">
        <f>INDEX(연료전지_원본!$A$4:$KY$369,MATCH($A163,연료전지_원본!$A$4:$A$369,0),MATCH($BY$4,연료전지_원본!$A$4:$KY$4,0))</f>
        <v>0</v>
      </c>
      <c r="BZ163" s="241">
        <f>INDEX(연료전지_원본!$A$4:$KY$369,MATCH($A163,연료전지_원본!$A$4:$A$369,0),MATCH($BZ$4,연료전지_원본!$A$4:$KY$4,0))</f>
        <v>0</v>
      </c>
      <c r="CA163" s="241">
        <f>INDEX(연료전지_원본!$A$4:$KY$369,MATCH($A163,연료전지_원본!$A$4:$A$369,0),MATCH($CA$4,연료전지_원본!$A$4:$KY$4,0))</f>
        <v>0</v>
      </c>
      <c r="CB163" s="241">
        <f>INDEX(연료전지_원본!$A$4:$KY$369,MATCH($A163,연료전지_원본!$A$4:$A$369,0),MATCH($CB$4,연료전지_원본!$A$4:$KY$4,0))</f>
        <v>0</v>
      </c>
      <c r="CC163" s="242">
        <f>INDEX(연료전지_원본!$A$4:$KY$369,MATCH($A163,연료전지_원본!$A$4:$A$369,0),MATCH($CC$4,연료전지_원본!$A$4:$KY$4,0))</f>
        <v>0</v>
      </c>
      <c r="CD163" s="250">
        <f>INDEX(연료전지_원본!$KB$4:$KX$369,MATCH($A163,연료전지_원본!$KB$4:$KB$369,0), MATCH(CD$4,연료전지_원본!$KB$4:$KX$4,0))*1000</f>
        <v>0</v>
      </c>
      <c r="CE163" s="250">
        <f>INDEX(연료전지_원본!$KB$4:$KX$369,MATCH($A163,연료전지_원본!$KB$4:$KB$369,0), MATCH(CE$4,연료전지_원본!$KB$4:$KX$4,0))*1000</f>
        <v>0</v>
      </c>
      <c r="CF163" s="250">
        <f>INDEX(연료전지_원본!$KB$4:$KX$369,MATCH($A163,연료전지_원본!$KB$4:$KB$369,0), MATCH(CF$4,연료전지_원본!$KB$4:$KX$4,0))*1000</f>
        <v>0</v>
      </c>
      <c r="CG163" s="250">
        <f>INDEX(연료전지_원본!$KB$4:$KX$369,MATCH($A163,연료전지_원본!$KB$4:$KB$369,0), MATCH(CG$4,연료전지_원본!$KB$4:$KX$4,0))*1000</f>
        <v>0</v>
      </c>
      <c r="CH163" s="250">
        <f>INDEX(연료전지_원본!$KB$4:$KX$369,MATCH($A163,연료전지_원본!$KB$4:$KB$369,0), MATCH(CH$4,연료전지_원본!$KB$4:$KX$4,0))*1000</f>
        <v>0</v>
      </c>
      <c r="CI163" s="250">
        <f>INDEX(연료전지_원본!$KB$4:$KX$369,MATCH($A163,연료전지_원본!$KB$4:$KB$369,0), MATCH(CI$4,연료전지_원본!$KB$4:$KX$4,0))*1000</f>
        <v>0</v>
      </c>
      <c r="CJ163" s="250">
        <f>INDEX(연료전지_원본!$KB$4:$KX$369,MATCH($A163,연료전지_원본!$KB$4:$KB$369,0), MATCH(CJ$4,연료전지_원본!$KB$4:$KX$4,0))*1000</f>
        <v>0</v>
      </c>
      <c r="CK163" s="250">
        <f>INDEX(연료전지_원본!$KB$4:$KX$369,MATCH($A163,연료전지_원본!$KB$4:$KB$369,0), MATCH(CK$4,연료전지_원본!$KB$4:$KX$4,0))*1000</f>
        <v>0</v>
      </c>
      <c r="CL163" s="250">
        <f>INDEX(연료전지_원본!$KB$4:$KX$369,MATCH($A163,연료전지_원본!$KB$4:$KB$369,0), MATCH(CL$4,연료전지_원본!$KB$4:$KX$4,0))*1000</f>
        <v>0</v>
      </c>
      <c r="CM163" s="250">
        <f>INDEX(연료전지_원본!$KB$4:$KX$369,MATCH($A163,연료전지_원본!$KB$4:$KB$369,0), MATCH(CM$4,연료전지_원본!$KB$4:$KX$4,0))*1000</f>
        <v>0</v>
      </c>
      <c r="CN163" s="250">
        <f>INDEX(연료전지_원본!$KB$4:$KX$369,MATCH($A163,연료전지_원본!$KB$4:$KB$369,0), MATCH(CN$4,연료전지_원본!$KB$4:$KX$4,0))*1000</f>
        <v>0</v>
      </c>
      <c r="CO163" s="250">
        <f>INDEX(연료전지_원본!$KB$4:$KX$369,MATCH($A163,연료전지_원본!$KB$4:$KB$369,0), MATCH(CO$4,연료전지_원본!$KB$4:$KX$4,0))*1000</f>
        <v>0</v>
      </c>
      <c r="CP163" s="250">
        <f>INDEX(연료전지_원본!$KB$4:$KX$369,MATCH($A163,연료전지_원본!$KB$4:$KB$369,0), MATCH(CP$4,연료전지_원본!$KB$4:$KX$4,0))*1000</f>
        <v>0</v>
      </c>
      <c r="CQ163" s="250">
        <f>INDEX(연료전지_원본!$KB$4:$KX$369,MATCH($A163,연료전지_원본!$KB$4:$KB$369,0), MATCH(CQ$4,연료전지_원본!$KB$4:$KX$4,0))*1000</f>
        <v>0</v>
      </c>
      <c r="CR163" s="250">
        <f>INDEX(연료전지_원본!$KB$4:$KX$369,MATCH($A163,연료전지_원본!$KB$4:$KB$369,0), MATCH(CR$4,연료전지_원본!$KB$4:$KX$4,0))*1000</f>
        <v>0</v>
      </c>
      <c r="CS163" s="250">
        <f>INDEX(연료전지_원본!$KB$4:$KX$369,MATCH($A163,연료전지_원본!$KB$4:$KB$369,0), MATCH(CS$4,연료전지_원본!$KB$4:$KX$4,0))*1000</f>
        <v>0</v>
      </c>
      <c r="CT163" s="250">
        <f>INDEX(연료전지_원본!$KB$4:$KX$369,MATCH($A163,연료전지_원본!$KB$4:$KB$369,0), MATCH(CT$4,연료전지_원본!$KB$4:$KX$4,0))*1000</f>
        <v>0</v>
      </c>
      <c r="CU163" s="250">
        <f>INDEX(연료전지_원본!$KB$4:$KX$369,MATCH($A163,연료전지_원본!$KB$4:$KB$369,0), MATCH(CU$4,연료전지_원본!$KB$4:$KX$4,0))*1000</f>
        <v>0</v>
      </c>
      <c r="CV163" s="250">
        <f>INDEX(연료전지_원본!$KB$4:$KX$369,MATCH($A163,연료전지_원본!$KB$4:$KB$369,0), MATCH(CV$4,연료전지_원본!$KB$4:$KX$4,0))*1000</f>
        <v>0</v>
      </c>
      <c r="CW163" s="250">
        <f>INDEX(연료전지_원본!$KB$4:$KX$369,MATCH($A163,연료전지_원본!$KB$4:$KB$369,0), MATCH(CW$4,연료전지_원본!$KB$4:$KX$4,0))*1000</f>
        <v>0</v>
      </c>
      <c r="CX163" s="250">
        <f>INDEX(연료전지_원본!$KB$4:$KX$369,MATCH($A163,연료전지_원본!$KB$4:$KB$369,0), MATCH(CX$4,연료전지_원본!$KB$4:$KX$4,0))*1000</f>
        <v>0</v>
      </c>
      <c r="CY163" s="250">
        <f>INDEX(연료전지_원본!$KB$4:$KX$369,MATCH($A163,연료전지_원본!$KB$4:$KB$369,0), MATCH(CY$4,연료전지_원본!$KB$4:$KX$4,0))*1000</f>
        <v>0</v>
      </c>
      <c r="DV163" s="30">
        <f t="shared" si="623"/>
        <v>0</v>
      </c>
    </row>
    <row r="164" spans="1:126">
      <c r="A164" s="6">
        <v>46181</v>
      </c>
      <c r="B164" s="15">
        <f>운전실적_원본!B164</f>
        <v>0</v>
      </c>
      <c r="C164" s="16" t="str">
        <f t="shared" si="629"/>
        <v/>
      </c>
      <c r="D164" s="12">
        <f>운전실적_원본!C164</f>
        <v>0</v>
      </c>
      <c r="E164" s="12" t="str">
        <f t="shared" si="630"/>
        <v/>
      </c>
      <c r="F164" s="12">
        <f>운전실적_원본!D164</f>
        <v>0</v>
      </c>
      <c r="G164" s="16" t="str">
        <f t="shared" si="631"/>
        <v/>
      </c>
      <c r="H164" s="15">
        <f>운전실적_원본!E164</f>
        <v>0</v>
      </c>
      <c r="I164" s="16" t="str">
        <f t="shared" si="632"/>
        <v/>
      </c>
      <c r="J164" s="15">
        <f>운전실적_원본!F164</f>
        <v>0</v>
      </c>
      <c r="K164" s="16" t="str">
        <f t="shared" si="632"/>
        <v/>
      </c>
      <c r="L164" s="32">
        <f>운전실적_원본!G164</f>
        <v>0</v>
      </c>
      <c r="M164" s="31" t="str">
        <f t="shared" ref="M164" si="939">IF(OR(LEN(L164)=0,L164=0),"",L164-L163)</f>
        <v/>
      </c>
      <c r="N164" s="15">
        <f>운전실적_원본!H164</f>
        <v>0</v>
      </c>
      <c r="O164" s="16" t="str">
        <f t="shared" ref="O164" si="940">IF(OR(LEN(N164)=0,N164=0),"",N164-N163)</f>
        <v/>
      </c>
      <c r="P164" s="15">
        <f>운전실적_원본!I164</f>
        <v>0</v>
      </c>
      <c r="Q164" s="16" t="str">
        <f t="shared" ref="Q164" si="941">IF(OR(LEN(P164)=0,P164=0),"",P164-P163)</f>
        <v/>
      </c>
      <c r="R164" s="18">
        <f>운전실적_원본!J164</f>
        <v>0</v>
      </c>
      <c r="S164" s="19" t="str">
        <f t="shared" ref="S164" si="942">IF(OR(LEN(R164)=0,R164=0),"",R164-R163)</f>
        <v/>
      </c>
      <c r="T164" s="18">
        <f>운전실적_원본!K164</f>
        <v>0</v>
      </c>
      <c r="U164" s="19" t="str">
        <f t="shared" si="637"/>
        <v/>
      </c>
      <c r="V164" s="12">
        <f>운전실적_원본!L164</f>
        <v>0</v>
      </c>
      <c r="W164" s="16" t="str">
        <f t="shared" ref="W164" si="943">IF(OR(LEN(V164)=0,V164=0),"",V164-V163)</f>
        <v/>
      </c>
      <c r="X164" s="10">
        <f>운전실적_원본!M164</f>
        <v>0</v>
      </c>
      <c r="Y164" s="10">
        <f>운전실적_원본!N164</f>
        <v>0</v>
      </c>
      <c r="Z164" s="10">
        <f>운전실적_원본!O164</f>
        <v>0</v>
      </c>
      <c r="AA164" s="10">
        <f>운전실적_원본!P164</f>
        <v>0</v>
      </c>
      <c r="AB164" s="10">
        <f>운전실적_원본!Q164</f>
        <v>0</v>
      </c>
      <c r="AC164" s="20">
        <f>운전실적_원본!R164</f>
        <v>0</v>
      </c>
      <c r="AD164" s="109">
        <f>운전실적_원본!S164</f>
        <v>0</v>
      </c>
      <c r="AE164" s="110">
        <f>운전실적_원본!T164</f>
        <v>0</v>
      </c>
      <c r="AF164" s="110">
        <f>운전실적_원본!U164</f>
        <v>0</v>
      </c>
      <c r="AG164" s="110">
        <f>운전실적_원본!V164</f>
        <v>0</v>
      </c>
      <c r="AH164" s="109">
        <f t="shared" si="791"/>
        <v>0</v>
      </c>
      <c r="AI164" s="110">
        <f t="shared" si="798"/>
        <v>0</v>
      </c>
      <c r="AJ164" s="110">
        <f>운전실적_원본!Y164</f>
        <v>0</v>
      </c>
      <c r="AK164" s="110">
        <f>운전실적_원본!Z164</f>
        <v>0</v>
      </c>
      <c r="AL164" s="106"/>
      <c r="AM164" s="105"/>
      <c r="AN164" s="105"/>
      <c r="AO164" s="105"/>
      <c r="AP164" s="105"/>
      <c r="AQ164" s="108"/>
      <c r="AR164" s="105"/>
      <c r="AS164" s="105"/>
      <c r="AT164" s="102"/>
      <c r="AU164" s="102"/>
      <c r="AV164" s="102"/>
      <c r="AW164" s="102"/>
      <c r="AX164" s="32">
        <f>운전실적_원본!W164</f>
        <v>0</v>
      </c>
      <c r="AY164" s="11">
        <f>운전실적_원본!X164</f>
        <v>0</v>
      </c>
      <c r="AZ164" s="11">
        <f>운전실적_원본!Y164</f>
        <v>0</v>
      </c>
      <c r="BA164" s="11">
        <f>운전실적_원본!Z164</f>
        <v>0</v>
      </c>
      <c r="BB164" s="11">
        <f>운전실적_원본!AA164</f>
        <v>0</v>
      </c>
      <c r="BC164" s="11">
        <f>운전실적_원본!AB164</f>
        <v>0</v>
      </c>
      <c r="BD164" s="32" t="str">
        <f t="shared" si="784"/>
        <v>-</v>
      </c>
      <c r="BE164" s="11" t="str">
        <f t="shared" si="792"/>
        <v>-</v>
      </c>
      <c r="BF164" s="11">
        <f>운전실적_원본!AE164</f>
        <v>0</v>
      </c>
      <c r="BG164" s="31">
        <f t="shared" si="785"/>
        <v>0</v>
      </c>
      <c r="BH164" s="241">
        <f>INDEX(연료전지_원본!$A$4:$KY$369,MATCH($A164,연료전지_원본!$A$4:$A$369,0),MATCH($BH$4,연료전지_원본!$A$4:$KY$4,0))</f>
        <v>0</v>
      </c>
      <c r="BI164" s="241">
        <f>INDEX(연료전지_원본!$A$4:$KY$369,MATCH($A164,연료전지_원본!$A$4:$A$369,0),MATCH($BI$4,연료전지_원본!$A$4:$KY$4,0))</f>
        <v>0</v>
      </c>
      <c r="BJ164" s="241">
        <f>INDEX(연료전지_원본!$A$4:$KY$369,MATCH($A164,연료전지_원본!$A$4:$A$369,0),MATCH($BJ$4,연료전지_원본!$A$4:$KY$4,0))</f>
        <v>0</v>
      </c>
      <c r="BK164" s="241">
        <f>INDEX(연료전지_원본!$A$4:$KY$369,MATCH($A164,연료전지_원본!$A$4:$A$369,0),MATCH($BK$4,연료전지_원본!$A$4:$KY$4,0))</f>
        <v>0</v>
      </c>
      <c r="BL164" s="241">
        <f>INDEX(연료전지_원본!$A$4:$KY$369,MATCH($A164,연료전지_원본!$A$4:$A$369,0),MATCH($BL$4,연료전지_원본!$A$4:$KY$4,0))</f>
        <v>0</v>
      </c>
      <c r="BM164" s="241">
        <f>INDEX(연료전지_원본!$A$4:$KY$369,MATCH($A164,연료전지_원본!$A$4:$A$369,0),MATCH($BM$4,연료전지_원본!$A$4:$KY$4,0))</f>
        <v>0</v>
      </c>
      <c r="BN164" s="241">
        <f>INDEX(연료전지_원본!$A$4:$KY$369,MATCH($A164,연료전지_원본!$A$4:$A$369,0),MATCH($BN$4,연료전지_원본!$A$4:$KY$4,0))</f>
        <v>0</v>
      </c>
      <c r="BO164" s="241">
        <f>INDEX(연료전지_원본!$A$4:$KY$369,MATCH($A164,연료전지_원본!$A$4:$A$369,0),MATCH($BO$4,연료전지_원본!$A$4:$KY$4,0))</f>
        <v>0</v>
      </c>
      <c r="BP164" s="241">
        <f>INDEX(연료전지_원본!$A$4:$KY$369,MATCH($A164,연료전지_원본!$A$4:$A$369,0),MATCH($BP$4,연료전지_원본!$A$4:$KY$4,0))</f>
        <v>0</v>
      </c>
      <c r="BQ164" s="241">
        <f>INDEX(연료전지_원본!$A$4:$KY$369,MATCH($A164,연료전지_원본!$A$4:$A$369,0),MATCH($BQ$4,연료전지_원본!$A$4:$KY$4,0))</f>
        <v>0</v>
      </c>
      <c r="BR164" s="241">
        <f>INDEX(연료전지_원본!$A$4:$KY$369,MATCH($A164,연료전지_원본!$A$4:$A$369,0),MATCH($BR$4,연료전지_원본!$A$4:$KY$4,0))</f>
        <v>0</v>
      </c>
      <c r="BS164" s="241">
        <f>INDEX(연료전지_원본!$A$4:$KY$369,MATCH($A164,연료전지_원본!$A$4:$A$369,0),MATCH($BS$4,연료전지_원본!$A$4:$KY$4,0))</f>
        <v>0</v>
      </c>
      <c r="BT164" s="241">
        <f>INDEX(연료전지_원본!$A$4:$KY$369,MATCH($A164,연료전지_원본!$A$4:$A$369,0),MATCH($BT$4,연료전지_원본!$A$4:$KY$4,0))</f>
        <v>0</v>
      </c>
      <c r="BU164" s="241">
        <f>INDEX(연료전지_원본!$A$4:$KY$369,MATCH($A164,연료전지_원본!$A$4:$A$369,0),MATCH($BU$4,연료전지_원본!$A$4:$KY$4,0))</f>
        <v>0</v>
      </c>
      <c r="BV164" s="241">
        <f>INDEX(연료전지_원본!$A$4:$KY$369,MATCH($A164,연료전지_원본!$A$4:$A$369,0),MATCH($BV$4,연료전지_원본!$A$4:$KY$4,0))</f>
        <v>0</v>
      </c>
      <c r="BW164" s="241">
        <f>INDEX(연료전지_원본!$A$4:$KY$369,MATCH($A164,연료전지_원본!$A$4:$A$369,0),MATCH($BW$4,연료전지_원본!$A$4:$KY$4,0))</f>
        <v>0</v>
      </c>
      <c r="BX164" s="241">
        <f>INDEX(연료전지_원본!$A$4:$KY$369,MATCH($A164,연료전지_원본!$A$4:$A$369,0),MATCH($BX$4,연료전지_원본!$A$4:$KY$4,0))</f>
        <v>0</v>
      </c>
      <c r="BY164" s="241">
        <f>INDEX(연료전지_원본!$A$4:$KY$369,MATCH($A164,연료전지_원본!$A$4:$A$369,0),MATCH($BY$4,연료전지_원본!$A$4:$KY$4,0))</f>
        <v>0</v>
      </c>
      <c r="BZ164" s="241">
        <f>INDEX(연료전지_원본!$A$4:$KY$369,MATCH($A164,연료전지_원본!$A$4:$A$369,0),MATCH($BZ$4,연료전지_원본!$A$4:$KY$4,0))</f>
        <v>0</v>
      </c>
      <c r="CA164" s="241">
        <f>INDEX(연료전지_원본!$A$4:$KY$369,MATCH($A164,연료전지_원본!$A$4:$A$369,0),MATCH($CA$4,연료전지_원본!$A$4:$KY$4,0))</f>
        <v>0</v>
      </c>
      <c r="CB164" s="241">
        <f>INDEX(연료전지_원본!$A$4:$KY$369,MATCH($A164,연료전지_원본!$A$4:$A$369,0),MATCH($CB$4,연료전지_원본!$A$4:$KY$4,0))</f>
        <v>0</v>
      </c>
      <c r="CC164" s="242">
        <f>INDEX(연료전지_원본!$A$4:$KY$369,MATCH($A164,연료전지_원본!$A$4:$A$369,0),MATCH($CC$4,연료전지_원본!$A$4:$KY$4,0))</f>
        <v>0</v>
      </c>
      <c r="CD164" s="250">
        <f>INDEX(연료전지_원본!$KB$4:$KX$369,MATCH($A164,연료전지_원본!$KB$4:$KB$369,0), MATCH(CD$4,연료전지_원본!$KB$4:$KX$4,0))*1000</f>
        <v>0</v>
      </c>
      <c r="CE164" s="250">
        <f>INDEX(연료전지_원본!$KB$4:$KX$369,MATCH($A164,연료전지_원본!$KB$4:$KB$369,0), MATCH(CE$4,연료전지_원본!$KB$4:$KX$4,0))*1000</f>
        <v>0</v>
      </c>
      <c r="CF164" s="250">
        <f>INDEX(연료전지_원본!$KB$4:$KX$369,MATCH($A164,연료전지_원본!$KB$4:$KB$369,0), MATCH(CF$4,연료전지_원본!$KB$4:$KX$4,0))*1000</f>
        <v>0</v>
      </c>
      <c r="CG164" s="250">
        <f>INDEX(연료전지_원본!$KB$4:$KX$369,MATCH($A164,연료전지_원본!$KB$4:$KB$369,0), MATCH(CG$4,연료전지_원본!$KB$4:$KX$4,0))*1000</f>
        <v>0</v>
      </c>
      <c r="CH164" s="250">
        <f>INDEX(연료전지_원본!$KB$4:$KX$369,MATCH($A164,연료전지_원본!$KB$4:$KB$369,0), MATCH(CH$4,연료전지_원본!$KB$4:$KX$4,0))*1000</f>
        <v>0</v>
      </c>
      <c r="CI164" s="250">
        <f>INDEX(연료전지_원본!$KB$4:$KX$369,MATCH($A164,연료전지_원본!$KB$4:$KB$369,0), MATCH(CI$4,연료전지_원본!$KB$4:$KX$4,0))*1000</f>
        <v>0</v>
      </c>
      <c r="CJ164" s="250">
        <f>INDEX(연료전지_원본!$KB$4:$KX$369,MATCH($A164,연료전지_원본!$KB$4:$KB$369,0), MATCH(CJ$4,연료전지_원본!$KB$4:$KX$4,0))*1000</f>
        <v>0</v>
      </c>
      <c r="CK164" s="250">
        <f>INDEX(연료전지_원본!$KB$4:$KX$369,MATCH($A164,연료전지_원본!$KB$4:$KB$369,0), MATCH(CK$4,연료전지_원본!$KB$4:$KX$4,0))*1000</f>
        <v>0</v>
      </c>
      <c r="CL164" s="250">
        <f>INDEX(연료전지_원본!$KB$4:$KX$369,MATCH($A164,연료전지_원본!$KB$4:$KB$369,0), MATCH(CL$4,연료전지_원본!$KB$4:$KX$4,0))*1000</f>
        <v>0</v>
      </c>
      <c r="CM164" s="250">
        <f>INDEX(연료전지_원본!$KB$4:$KX$369,MATCH($A164,연료전지_원본!$KB$4:$KB$369,0), MATCH(CM$4,연료전지_원본!$KB$4:$KX$4,0))*1000</f>
        <v>0</v>
      </c>
      <c r="CN164" s="250">
        <f>INDEX(연료전지_원본!$KB$4:$KX$369,MATCH($A164,연료전지_원본!$KB$4:$KB$369,0), MATCH(CN$4,연료전지_원본!$KB$4:$KX$4,0))*1000</f>
        <v>0</v>
      </c>
      <c r="CO164" s="250">
        <f>INDEX(연료전지_원본!$KB$4:$KX$369,MATCH($A164,연료전지_원본!$KB$4:$KB$369,0), MATCH(CO$4,연료전지_원본!$KB$4:$KX$4,0))*1000</f>
        <v>0</v>
      </c>
      <c r="CP164" s="250">
        <f>INDEX(연료전지_원본!$KB$4:$KX$369,MATCH($A164,연료전지_원본!$KB$4:$KB$369,0), MATCH(CP$4,연료전지_원본!$KB$4:$KX$4,0))*1000</f>
        <v>0</v>
      </c>
      <c r="CQ164" s="250">
        <f>INDEX(연료전지_원본!$KB$4:$KX$369,MATCH($A164,연료전지_원본!$KB$4:$KB$369,0), MATCH(CQ$4,연료전지_원본!$KB$4:$KX$4,0))*1000</f>
        <v>0</v>
      </c>
      <c r="CR164" s="250">
        <f>INDEX(연료전지_원본!$KB$4:$KX$369,MATCH($A164,연료전지_원본!$KB$4:$KB$369,0), MATCH(CR$4,연료전지_원본!$KB$4:$KX$4,0))*1000</f>
        <v>0</v>
      </c>
      <c r="CS164" s="250">
        <f>INDEX(연료전지_원본!$KB$4:$KX$369,MATCH($A164,연료전지_원본!$KB$4:$KB$369,0), MATCH(CS$4,연료전지_원본!$KB$4:$KX$4,0))*1000</f>
        <v>0</v>
      </c>
      <c r="CT164" s="250">
        <f>INDEX(연료전지_원본!$KB$4:$KX$369,MATCH($A164,연료전지_원본!$KB$4:$KB$369,0), MATCH(CT$4,연료전지_원본!$KB$4:$KX$4,0))*1000</f>
        <v>0</v>
      </c>
      <c r="CU164" s="250">
        <f>INDEX(연료전지_원본!$KB$4:$KX$369,MATCH($A164,연료전지_원본!$KB$4:$KB$369,0), MATCH(CU$4,연료전지_원본!$KB$4:$KX$4,0))*1000</f>
        <v>0</v>
      </c>
      <c r="CV164" s="250">
        <f>INDEX(연료전지_원본!$KB$4:$KX$369,MATCH($A164,연료전지_원본!$KB$4:$KB$369,0), MATCH(CV$4,연료전지_원본!$KB$4:$KX$4,0))*1000</f>
        <v>0</v>
      </c>
      <c r="CW164" s="250">
        <f>INDEX(연료전지_원본!$KB$4:$KX$369,MATCH($A164,연료전지_원본!$KB$4:$KB$369,0), MATCH(CW$4,연료전지_원본!$KB$4:$KX$4,0))*1000</f>
        <v>0</v>
      </c>
      <c r="CX164" s="250">
        <f>INDEX(연료전지_원본!$KB$4:$KX$369,MATCH($A164,연료전지_원본!$KB$4:$KB$369,0), MATCH(CX$4,연료전지_원본!$KB$4:$KX$4,0))*1000</f>
        <v>0</v>
      </c>
      <c r="CY164" s="250">
        <f>INDEX(연료전지_원본!$KB$4:$KX$369,MATCH($A164,연료전지_원본!$KB$4:$KB$369,0), MATCH(CY$4,연료전지_원본!$KB$4:$KX$4,0))*1000</f>
        <v>0</v>
      </c>
      <c r="DV164" s="30">
        <f t="shared" si="623"/>
        <v>0</v>
      </c>
    </row>
    <row r="165" spans="1:126">
      <c r="A165" s="6">
        <v>46182</v>
      </c>
      <c r="B165" s="15">
        <f>운전실적_원본!B165</f>
        <v>0</v>
      </c>
      <c r="C165" s="16" t="str">
        <f t="shared" si="629"/>
        <v/>
      </c>
      <c r="D165" s="12">
        <f>운전실적_원본!C165</f>
        <v>0</v>
      </c>
      <c r="E165" s="12" t="str">
        <f t="shared" si="630"/>
        <v/>
      </c>
      <c r="F165" s="12">
        <f>운전실적_원본!D165</f>
        <v>0</v>
      </c>
      <c r="G165" s="16" t="str">
        <f t="shared" si="631"/>
        <v/>
      </c>
      <c r="H165" s="15">
        <f>운전실적_원본!E165</f>
        <v>0</v>
      </c>
      <c r="I165" s="16" t="str">
        <f t="shared" si="632"/>
        <v/>
      </c>
      <c r="J165" s="15">
        <f>운전실적_원본!F165</f>
        <v>0</v>
      </c>
      <c r="K165" s="16" t="str">
        <f t="shared" si="632"/>
        <v/>
      </c>
      <c r="L165" s="32">
        <f>운전실적_원본!G165</f>
        <v>0</v>
      </c>
      <c r="M165" s="31" t="str">
        <f t="shared" ref="M165" si="944">IF(OR(LEN(L165)=0,L165=0),"",L165-L164)</f>
        <v/>
      </c>
      <c r="N165" s="15">
        <f>운전실적_원본!H165</f>
        <v>0</v>
      </c>
      <c r="O165" s="16" t="str">
        <f t="shared" ref="O165" si="945">IF(OR(LEN(N165)=0,N165=0),"",N165-N164)</f>
        <v/>
      </c>
      <c r="P165" s="15">
        <f>운전실적_원본!I165</f>
        <v>0</v>
      </c>
      <c r="Q165" s="16" t="str">
        <f t="shared" ref="Q165" si="946">IF(OR(LEN(P165)=0,P165=0),"",P165-P164)</f>
        <v/>
      </c>
      <c r="R165" s="18">
        <f>운전실적_원본!J165</f>
        <v>0</v>
      </c>
      <c r="S165" s="19" t="str">
        <f t="shared" ref="S165" si="947">IF(OR(LEN(R165)=0,R165=0),"",R165-R164)</f>
        <v/>
      </c>
      <c r="T165" s="18">
        <f>운전실적_원본!K165</f>
        <v>0</v>
      </c>
      <c r="U165" s="19" t="str">
        <f t="shared" si="637"/>
        <v/>
      </c>
      <c r="V165" s="12">
        <f>운전실적_원본!L165</f>
        <v>0</v>
      </c>
      <c r="W165" s="16" t="str">
        <f t="shared" ref="W165" si="948">IF(OR(LEN(V165)=0,V165=0),"",V165-V164)</f>
        <v/>
      </c>
      <c r="X165" s="10">
        <f>운전실적_원본!M165</f>
        <v>0</v>
      </c>
      <c r="Y165" s="10">
        <f>운전실적_원본!N165</f>
        <v>0</v>
      </c>
      <c r="Z165" s="10">
        <f>운전실적_원본!O165</f>
        <v>0</v>
      </c>
      <c r="AA165" s="10">
        <f>운전실적_원본!P165</f>
        <v>0</v>
      </c>
      <c r="AB165" s="10">
        <f>운전실적_원본!Q165</f>
        <v>0</v>
      </c>
      <c r="AC165" s="20">
        <f>운전실적_원본!R165</f>
        <v>0</v>
      </c>
      <c r="AD165" s="109">
        <f>운전실적_원본!S165</f>
        <v>0</v>
      </c>
      <c r="AE165" s="110">
        <f>운전실적_원본!T165</f>
        <v>0</v>
      </c>
      <c r="AF165" s="110">
        <f>운전실적_원본!U165</f>
        <v>0</v>
      </c>
      <c r="AG165" s="110">
        <f>운전실적_원본!V165</f>
        <v>0</v>
      </c>
      <c r="AH165" s="109">
        <f t="shared" si="791"/>
        <v>0</v>
      </c>
      <c r="AI165" s="110">
        <f t="shared" si="798"/>
        <v>0</v>
      </c>
      <c r="AJ165" s="110">
        <f>운전실적_원본!Y165</f>
        <v>0</v>
      </c>
      <c r="AK165" s="110">
        <f>운전실적_원본!Z165</f>
        <v>0</v>
      </c>
      <c r="AL165" s="106"/>
      <c r="AM165" s="105"/>
      <c r="AN165" s="105"/>
      <c r="AO165" s="105"/>
      <c r="AP165" s="105"/>
      <c r="AQ165" s="108"/>
      <c r="AR165" s="105"/>
      <c r="AS165" s="105"/>
      <c r="AT165" s="102"/>
      <c r="AU165" s="102"/>
      <c r="AV165" s="102"/>
      <c r="AW165" s="102"/>
      <c r="AX165" s="32">
        <f>운전실적_원본!W165</f>
        <v>0</v>
      </c>
      <c r="AY165" s="11">
        <f>운전실적_원본!X165</f>
        <v>0</v>
      </c>
      <c r="AZ165" s="11">
        <f>운전실적_원본!Y165</f>
        <v>0</v>
      </c>
      <c r="BA165" s="11">
        <f>운전실적_원본!Z165</f>
        <v>0</v>
      </c>
      <c r="BB165" s="11">
        <f>운전실적_원본!AA165</f>
        <v>0</v>
      </c>
      <c r="BC165" s="11">
        <f>운전실적_원본!AB165</f>
        <v>0</v>
      </c>
      <c r="BD165" s="32" t="str">
        <f t="shared" si="784"/>
        <v>-</v>
      </c>
      <c r="BE165" s="11" t="str">
        <f t="shared" si="792"/>
        <v>-</v>
      </c>
      <c r="BF165" s="11">
        <f>운전실적_원본!AE165</f>
        <v>0</v>
      </c>
      <c r="BG165" s="31">
        <f t="shared" si="785"/>
        <v>0</v>
      </c>
      <c r="BH165" s="241">
        <f>INDEX(연료전지_원본!$A$4:$KY$369,MATCH($A165,연료전지_원본!$A$4:$A$369,0),MATCH($BH$4,연료전지_원본!$A$4:$KY$4,0))</f>
        <v>0</v>
      </c>
      <c r="BI165" s="241">
        <f>INDEX(연료전지_원본!$A$4:$KY$369,MATCH($A165,연료전지_원본!$A$4:$A$369,0),MATCH($BI$4,연료전지_원본!$A$4:$KY$4,0))</f>
        <v>0</v>
      </c>
      <c r="BJ165" s="241">
        <f>INDEX(연료전지_원본!$A$4:$KY$369,MATCH($A165,연료전지_원본!$A$4:$A$369,0),MATCH($BJ$4,연료전지_원본!$A$4:$KY$4,0))</f>
        <v>0</v>
      </c>
      <c r="BK165" s="241">
        <f>INDEX(연료전지_원본!$A$4:$KY$369,MATCH($A165,연료전지_원본!$A$4:$A$369,0),MATCH($BK$4,연료전지_원본!$A$4:$KY$4,0))</f>
        <v>0</v>
      </c>
      <c r="BL165" s="241">
        <f>INDEX(연료전지_원본!$A$4:$KY$369,MATCH($A165,연료전지_원본!$A$4:$A$369,0),MATCH($BL$4,연료전지_원본!$A$4:$KY$4,0))</f>
        <v>0</v>
      </c>
      <c r="BM165" s="241">
        <f>INDEX(연료전지_원본!$A$4:$KY$369,MATCH($A165,연료전지_원본!$A$4:$A$369,0),MATCH($BM$4,연료전지_원본!$A$4:$KY$4,0))</f>
        <v>0</v>
      </c>
      <c r="BN165" s="241">
        <f>INDEX(연료전지_원본!$A$4:$KY$369,MATCH($A165,연료전지_원본!$A$4:$A$369,0),MATCH($BN$4,연료전지_원본!$A$4:$KY$4,0))</f>
        <v>0</v>
      </c>
      <c r="BO165" s="241">
        <f>INDEX(연료전지_원본!$A$4:$KY$369,MATCH($A165,연료전지_원본!$A$4:$A$369,0),MATCH($BO$4,연료전지_원본!$A$4:$KY$4,0))</f>
        <v>0</v>
      </c>
      <c r="BP165" s="241">
        <f>INDEX(연료전지_원본!$A$4:$KY$369,MATCH($A165,연료전지_원본!$A$4:$A$369,0),MATCH($BP$4,연료전지_원본!$A$4:$KY$4,0))</f>
        <v>0</v>
      </c>
      <c r="BQ165" s="241">
        <f>INDEX(연료전지_원본!$A$4:$KY$369,MATCH($A165,연료전지_원본!$A$4:$A$369,0),MATCH($BQ$4,연료전지_원본!$A$4:$KY$4,0))</f>
        <v>0</v>
      </c>
      <c r="BR165" s="241">
        <f>INDEX(연료전지_원본!$A$4:$KY$369,MATCH($A165,연료전지_원본!$A$4:$A$369,0),MATCH($BR$4,연료전지_원본!$A$4:$KY$4,0))</f>
        <v>0</v>
      </c>
      <c r="BS165" s="241">
        <f>INDEX(연료전지_원본!$A$4:$KY$369,MATCH($A165,연료전지_원본!$A$4:$A$369,0),MATCH($BS$4,연료전지_원본!$A$4:$KY$4,0))</f>
        <v>0</v>
      </c>
      <c r="BT165" s="241">
        <f>INDEX(연료전지_원본!$A$4:$KY$369,MATCH($A165,연료전지_원본!$A$4:$A$369,0),MATCH($BT$4,연료전지_원본!$A$4:$KY$4,0))</f>
        <v>0</v>
      </c>
      <c r="BU165" s="241">
        <f>INDEX(연료전지_원본!$A$4:$KY$369,MATCH($A165,연료전지_원본!$A$4:$A$369,0),MATCH($BU$4,연료전지_원본!$A$4:$KY$4,0))</f>
        <v>0</v>
      </c>
      <c r="BV165" s="241">
        <f>INDEX(연료전지_원본!$A$4:$KY$369,MATCH($A165,연료전지_원본!$A$4:$A$369,0),MATCH($BV$4,연료전지_원본!$A$4:$KY$4,0))</f>
        <v>0</v>
      </c>
      <c r="BW165" s="241">
        <f>INDEX(연료전지_원본!$A$4:$KY$369,MATCH($A165,연료전지_원본!$A$4:$A$369,0),MATCH($BW$4,연료전지_원본!$A$4:$KY$4,0))</f>
        <v>0</v>
      </c>
      <c r="BX165" s="241">
        <f>INDEX(연료전지_원본!$A$4:$KY$369,MATCH($A165,연료전지_원본!$A$4:$A$369,0),MATCH($BX$4,연료전지_원본!$A$4:$KY$4,0))</f>
        <v>0</v>
      </c>
      <c r="BY165" s="241">
        <f>INDEX(연료전지_원본!$A$4:$KY$369,MATCH($A165,연료전지_원본!$A$4:$A$369,0),MATCH($BY$4,연료전지_원본!$A$4:$KY$4,0))</f>
        <v>0</v>
      </c>
      <c r="BZ165" s="241">
        <f>INDEX(연료전지_원본!$A$4:$KY$369,MATCH($A165,연료전지_원본!$A$4:$A$369,0),MATCH($BZ$4,연료전지_원본!$A$4:$KY$4,0))</f>
        <v>0</v>
      </c>
      <c r="CA165" s="241">
        <f>INDEX(연료전지_원본!$A$4:$KY$369,MATCH($A165,연료전지_원본!$A$4:$A$369,0),MATCH($CA$4,연료전지_원본!$A$4:$KY$4,0))</f>
        <v>0</v>
      </c>
      <c r="CB165" s="241">
        <f>INDEX(연료전지_원본!$A$4:$KY$369,MATCH($A165,연료전지_원본!$A$4:$A$369,0),MATCH($CB$4,연료전지_원본!$A$4:$KY$4,0))</f>
        <v>0</v>
      </c>
      <c r="CC165" s="242">
        <f>INDEX(연료전지_원본!$A$4:$KY$369,MATCH($A165,연료전지_원본!$A$4:$A$369,0),MATCH($CC$4,연료전지_원본!$A$4:$KY$4,0))</f>
        <v>0</v>
      </c>
      <c r="CD165" s="250">
        <f>INDEX(연료전지_원본!$KB$4:$KX$369,MATCH($A165,연료전지_원본!$KB$4:$KB$369,0), MATCH(CD$4,연료전지_원본!$KB$4:$KX$4,0))*1000</f>
        <v>0</v>
      </c>
      <c r="CE165" s="250">
        <f>INDEX(연료전지_원본!$KB$4:$KX$369,MATCH($A165,연료전지_원본!$KB$4:$KB$369,0), MATCH(CE$4,연료전지_원본!$KB$4:$KX$4,0))*1000</f>
        <v>0</v>
      </c>
      <c r="CF165" s="250">
        <f>INDEX(연료전지_원본!$KB$4:$KX$369,MATCH($A165,연료전지_원본!$KB$4:$KB$369,0), MATCH(CF$4,연료전지_원본!$KB$4:$KX$4,0))*1000</f>
        <v>0</v>
      </c>
      <c r="CG165" s="250">
        <f>INDEX(연료전지_원본!$KB$4:$KX$369,MATCH($A165,연료전지_원본!$KB$4:$KB$369,0), MATCH(CG$4,연료전지_원본!$KB$4:$KX$4,0))*1000</f>
        <v>0</v>
      </c>
      <c r="CH165" s="250">
        <f>INDEX(연료전지_원본!$KB$4:$KX$369,MATCH($A165,연료전지_원본!$KB$4:$KB$369,0), MATCH(CH$4,연료전지_원본!$KB$4:$KX$4,0))*1000</f>
        <v>0</v>
      </c>
      <c r="CI165" s="250">
        <f>INDEX(연료전지_원본!$KB$4:$KX$369,MATCH($A165,연료전지_원본!$KB$4:$KB$369,0), MATCH(CI$4,연료전지_원본!$KB$4:$KX$4,0))*1000</f>
        <v>0</v>
      </c>
      <c r="CJ165" s="250">
        <f>INDEX(연료전지_원본!$KB$4:$KX$369,MATCH($A165,연료전지_원본!$KB$4:$KB$369,0), MATCH(CJ$4,연료전지_원본!$KB$4:$KX$4,0))*1000</f>
        <v>0</v>
      </c>
      <c r="CK165" s="250">
        <f>INDEX(연료전지_원본!$KB$4:$KX$369,MATCH($A165,연료전지_원본!$KB$4:$KB$369,0), MATCH(CK$4,연료전지_원본!$KB$4:$KX$4,0))*1000</f>
        <v>0</v>
      </c>
      <c r="CL165" s="250">
        <f>INDEX(연료전지_원본!$KB$4:$KX$369,MATCH($A165,연료전지_원본!$KB$4:$KB$369,0), MATCH(CL$4,연료전지_원본!$KB$4:$KX$4,0))*1000</f>
        <v>0</v>
      </c>
      <c r="CM165" s="250">
        <f>INDEX(연료전지_원본!$KB$4:$KX$369,MATCH($A165,연료전지_원본!$KB$4:$KB$369,0), MATCH(CM$4,연료전지_원본!$KB$4:$KX$4,0))*1000</f>
        <v>0</v>
      </c>
      <c r="CN165" s="250">
        <f>INDEX(연료전지_원본!$KB$4:$KX$369,MATCH($A165,연료전지_원본!$KB$4:$KB$369,0), MATCH(CN$4,연료전지_원본!$KB$4:$KX$4,0))*1000</f>
        <v>0</v>
      </c>
      <c r="CO165" s="250">
        <f>INDEX(연료전지_원본!$KB$4:$KX$369,MATCH($A165,연료전지_원본!$KB$4:$KB$369,0), MATCH(CO$4,연료전지_원본!$KB$4:$KX$4,0))*1000</f>
        <v>0</v>
      </c>
      <c r="CP165" s="250">
        <f>INDEX(연료전지_원본!$KB$4:$KX$369,MATCH($A165,연료전지_원본!$KB$4:$KB$369,0), MATCH(CP$4,연료전지_원본!$KB$4:$KX$4,0))*1000</f>
        <v>0</v>
      </c>
      <c r="CQ165" s="250">
        <f>INDEX(연료전지_원본!$KB$4:$KX$369,MATCH($A165,연료전지_원본!$KB$4:$KB$369,0), MATCH(CQ$4,연료전지_원본!$KB$4:$KX$4,0))*1000</f>
        <v>0</v>
      </c>
      <c r="CR165" s="250">
        <f>INDEX(연료전지_원본!$KB$4:$KX$369,MATCH($A165,연료전지_원본!$KB$4:$KB$369,0), MATCH(CR$4,연료전지_원본!$KB$4:$KX$4,0))*1000</f>
        <v>0</v>
      </c>
      <c r="CS165" s="250">
        <f>INDEX(연료전지_원본!$KB$4:$KX$369,MATCH($A165,연료전지_원본!$KB$4:$KB$369,0), MATCH(CS$4,연료전지_원본!$KB$4:$KX$4,0))*1000</f>
        <v>0</v>
      </c>
      <c r="CT165" s="250">
        <f>INDEX(연료전지_원본!$KB$4:$KX$369,MATCH($A165,연료전지_원본!$KB$4:$KB$369,0), MATCH(CT$4,연료전지_원본!$KB$4:$KX$4,0))*1000</f>
        <v>0</v>
      </c>
      <c r="CU165" s="250">
        <f>INDEX(연료전지_원본!$KB$4:$KX$369,MATCH($A165,연료전지_원본!$KB$4:$KB$369,0), MATCH(CU$4,연료전지_원본!$KB$4:$KX$4,0))*1000</f>
        <v>0</v>
      </c>
      <c r="CV165" s="250">
        <f>INDEX(연료전지_원본!$KB$4:$KX$369,MATCH($A165,연료전지_원본!$KB$4:$KB$369,0), MATCH(CV$4,연료전지_원본!$KB$4:$KX$4,0))*1000</f>
        <v>0</v>
      </c>
      <c r="CW165" s="250">
        <f>INDEX(연료전지_원본!$KB$4:$KX$369,MATCH($A165,연료전지_원본!$KB$4:$KB$369,0), MATCH(CW$4,연료전지_원본!$KB$4:$KX$4,0))*1000</f>
        <v>0</v>
      </c>
      <c r="CX165" s="250">
        <f>INDEX(연료전지_원본!$KB$4:$KX$369,MATCH($A165,연료전지_원본!$KB$4:$KB$369,0), MATCH(CX$4,연료전지_원본!$KB$4:$KX$4,0))*1000</f>
        <v>0</v>
      </c>
      <c r="CY165" s="250">
        <f>INDEX(연료전지_원본!$KB$4:$KX$369,MATCH($A165,연료전지_원본!$KB$4:$KB$369,0), MATCH(CY$4,연료전지_원본!$KB$4:$KX$4,0))*1000</f>
        <v>0</v>
      </c>
      <c r="DV165" s="30">
        <f t="shared" si="623"/>
        <v>0</v>
      </c>
    </row>
    <row r="166" spans="1:126">
      <c r="A166" s="6">
        <v>46183</v>
      </c>
      <c r="B166" s="15">
        <f>운전실적_원본!B166</f>
        <v>0</v>
      </c>
      <c r="C166" s="16" t="str">
        <f t="shared" si="629"/>
        <v/>
      </c>
      <c r="D166" s="12">
        <f>운전실적_원본!C166</f>
        <v>0</v>
      </c>
      <c r="E166" s="12" t="str">
        <f t="shared" si="630"/>
        <v/>
      </c>
      <c r="F166" s="12">
        <f>운전실적_원본!D166</f>
        <v>0</v>
      </c>
      <c r="G166" s="16" t="str">
        <f t="shared" si="631"/>
        <v/>
      </c>
      <c r="H166" s="15">
        <f>운전실적_원본!E166</f>
        <v>0</v>
      </c>
      <c r="I166" s="16" t="str">
        <f t="shared" si="632"/>
        <v/>
      </c>
      <c r="J166" s="15">
        <f>운전실적_원본!F166</f>
        <v>0</v>
      </c>
      <c r="K166" s="16" t="str">
        <f t="shared" si="632"/>
        <v/>
      </c>
      <c r="L166" s="32">
        <f>운전실적_원본!G166</f>
        <v>0</v>
      </c>
      <c r="M166" s="31" t="str">
        <f t="shared" ref="M166" si="949">IF(OR(LEN(L166)=0,L166=0),"",L166-L165)</f>
        <v/>
      </c>
      <c r="N166" s="15">
        <f>운전실적_원본!H166</f>
        <v>0</v>
      </c>
      <c r="O166" s="16" t="str">
        <f t="shared" ref="O166" si="950">IF(OR(LEN(N166)=0,N166=0),"",N166-N165)</f>
        <v/>
      </c>
      <c r="P166" s="15">
        <f>운전실적_원본!I166</f>
        <v>0</v>
      </c>
      <c r="Q166" s="16" t="str">
        <f t="shared" ref="Q166" si="951">IF(OR(LEN(P166)=0,P166=0),"",P166-P165)</f>
        <v/>
      </c>
      <c r="R166" s="18">
        <f>운전실적_원본!J166</f>
        <v>0</v>
      </c>
      <c r="S166" s="19" t="str">
        <f t="shared" ref="S166" si="952">IF(OR(LEN(R166)=0,R166=0),"",R166-R165)</f>
        <v/>
      </c>
      <c r="T166" s="18">
        <f>운전실적_원본!K166</f>
        <v>0</v>
      </c>
      <c r="U166" s="19" t="str">
        <f t="shared" si="637"/>
        <v/>
      </c>
      <c r="V166" s="12">
        <f>운전실적_원본!L166</f>
        <v>0</v>
      </c>
      <c r="W166" s="16" t="str">
        <f t="shared" ref="W166" si="953">IF(OR(LEN(V166)=0,V166=0),"",V166-V165)</f>
        <v/>
      </c>
      <c r="X166" s="10">
        <f>운전실적_원본!M166</f>
        <v>0</v>
      </c>
      <c r="Y166" s="10">
        <f>운전실적_원본!N166</f>
        <v>0</v>
      </c>
      <c r="Z166" s="10">
        <f>운전실적_원본!O166</f>
        <v>0</v>
      </c>
      <c r="AA166" s="10">
        <f>운전실적_원본!P166</f>
        <v>0</v>
      </c>
      <c r="AB166" s="10">
        <f>운전실적_원본!Q166</f>
        <v>0</v>
      </c>
      <c r="AC166" s="20">
        <f>운전실적_원본!R166</f>
        <v>0</v>
      </c>
      <c r="AD166" s="109">
        <f>운전실적_원본!S166</f>
        <v>0</v>
      </c>
      <c r="AE166" s="110">
        <f>운전실적_원본!T166</f>
        <v>0</v>
      </c>
      <c r="AF166" s="110">
        <f>운전실적_원본!U166</f>
        <v>0</v>
      </c>
      <c r="AG166" s="110">
        <f>운전실적_원본!V166</f>
        <v>0</v>
      </c>
      <c r="AH166" s="109">
        <f t="shared" si="791"/>
        <v>0</v>
      </c>
      <c r="AI166" s="110">
        <f t="shared" si="798"/>
        <v>0</v>
      </c>
      <c r="AJ166" s="110">
        <f>운전실적_원본!Y166</f>
        <v>0</v>
      </c>
      <c r="AK166" s="110">
        <f>운전실적_원본!Z166</f>
        <v>0</v>
      </c>
      <c r="AL166" s="106"/>
      <c r="AM166" s="105"/>
      <c r="AN166" s="105"/>
      <c r="AO166" s="105"/>
      <c r="AP166" s="105"/>
      <c r="AQ166" s="108"/>
      <c r="AR166" s="105"/>
      <c r="AS166" s="105"/>
      <c r="AT166" s="102"/>
      <c r="AU166" s="102"/>
      <c r="AV166" s="102"/>
      <c r="AW166" s="102"/>
      <c r="AX166" s="32">
        <f>운전실적_원본!W166</f>
        <v>0</v>
      </c>
      <c r="AY166" s="11">
        <f>운전실적_원본!X166</f>
        <v>0</v>
      </c>
      <c r="AZ166" s="11">
        <f>운전실적_원본!Y166</f>
        <v>0</v>
      </c>
      <c r="BA166" s="11">
        <f>운전실적_원본!Z166</f>
        <v>0</v>
      </c>
      <c r="BB166" s="11">
        <f>운전실적_원본!AA166</f>
        <v>0</v>
      </c>
      <c r="BC166" s="11">
        <f>운전실적_원본!AB166</f>
        <v>0</v>
      </c>
      <c r="BD166" s="32" t="str">
        <f t="shared" si="784"/>
        <v>-</v>
      </c>
      <c r="BE166" s="11" t="str">
        <f t="shared" si="792"/>
        <v>-</v>
      </c>
      <c r="BF166" s="11">
        <f>운전실적_원본!AE166</f>
        <v>0</v>
      </c>
      <c r="BG166" s="31">
        <f t="shared" si="785"/>
        <v>0</v>
      </c>
      <c r="BH166" s="241">
        <f>INDEX(연료전지_원본!$A$4:$KY$369,MATCH($A166,연료전지_원본!$A$4:$A$369,0),MATCH($BH$4,연료전지_원본!$A$4:$KY$4,0))</f>
        <v>0</v>
      </c>
      <c r="BI166" s="241">
        <f>INDEX(연료전지_원본!$A$4:$KY$369,MATCH($A166,연료전지_원본!$A$4:$A$369,0),MATCH($BI$4,연료전지_원본!$A$4:$KY$4,0))</f>
        <v>0</v>
      </c>
      <c r="BJ166" s="241">
        <f>INDEX(연료전지_원본!$A$4:$KY$369,MATCH($A166,연료전지_원본!$A$4:$A$369,0),MATCH($BJ$4,연료전지_원본!$A$4:$KY$4,0))</f>
        <v>0</v>
      </c>
      <c r="BK166" s="241">
        <f>INDEX(연료전지_원본!$A$4:$KY$369,MATCH($A166,연료전지_원본!$A$4:$A$369,0),MATCH($BK$4,연료전지_원본!$A$4:$KY$4,0))</f>
        <v>0</v>
      </c>
      <c r="BL166" s="241">
        <f>INDEX(연료전지_원본!$A$4:$KY$369,MATCH($A166,연료전지_원본!$A$4:$A$369,0),MATCH($BL$4,연료전지_원본!$A$4:$KY$4,0))</f>
        <v>0</v>
      </c>
      <c r="BM166" s="241">
        <f>INDEX(연료전지_원본!$A$4:$KY$369,MATCH($A166,연료전지_원본!$A$4:$A$369,0),MATCH($BM$4,연료전지_원본!$A$4:$KY$4,0))</f>
        <v>0</v>
      </c>
      <c r="BN166" s="241">
        <f>INDEX(연료전지_원본!$A$4:$KY$369,MATCH($A166,연료전지_원본!$A$4:$A$369,0),MATCH($BN$4,연료전지_원본!$A$4:$KY$4,0))</f>
        <v>0</v>
      </c>
      <c r="BO166" s="241">
        <f>INDEX(연료전지_원본!$A$4:$KY$369,MATCH($A166,연료전지_원본!$A$4:$A$369,0),MATCH($BO$4,연료전지_원본!$A$4:$KY$4,0))</f>
        <v>0</v>
      </c>
      <c r="BP166" s="241">
        <f>INDEX(연료전지_원본!$A$4:$KY$369,MATCH($A166,연료전지_원본!$A$4:$A$369,0),MATCH($BP$4,연료전지_원본!$A$4:$KY$4,0))</f>
        <v>0</v>
      </c>
      <c r="BQ166" s="241">
        <f>INDEX(연료전지_원본!$A$4:$KY$369,MATCH($A166,연료전지_원본!$A$4:$A$369,0),MATCH($BQ$4,연료전지_원본!$A$4:$KY$4,0))</f>
        <v>0</v>
      </c>
      <c r="BR166" s="241">
        <f>INDEX(연료전지_원본!$A$4:$KY$369,MATCH($A166,연료전지_원본!$A$4:$A$369,0),MATCH($BR$4,연료전지_원본!$A$4:$KY$4,0))</f>
        <v>0</v>
      </c>
      <c r="BS166" s="241">
        <f>INDEX(연료전지_원본!$A$4:$KY$369,MATCH($A166,연료전지_원본!$A$4:$A$369,0),MATCH($BS$4,연료전지_원본!$A$4:$KY$4,0))</f>
        <v>0</v>
      </c>
      <c r="BT166" s="241">
        <f>INDEX(연료전지_원본!$A$4:$KY$369,MATCH($A166,연료전지_원본!$A$4:$A$369,0),MATCH($BT$4,연료전지_원본!$A$4:$KY$4,0))</f>
        <v>0</v>
      </c>
      <c r="BU166" s="241">
        <f>INDEX(연료전지_원본!$A$4:$KY$369,MATCH($A166,연료전지_원본!$A$4:$A$369,0),MATCH($BU$4,연료전지_원본!$A$4:$KY$4,0))</f>
        <v>0</v>
      </c>
      <c r="BV166" s="241">
        <f>INDEX(연료전지_원본!$A$4:$KY$369,MATCH($A166,연료전지_원본!$A$4:$A$369,0),MATCH($BV$4,연료전지_원본!$A$4:$KY$4,0))</f>
        <v>0</v>
      </c>
      <c r="BW166" s="241">
        <f>INDEX(연료전지_원본!$A$4:$KY$369,MATCH($A166,연료전지_원본!$A$4:$A$369,0),MATCH($BW$4,연료전지_원본!$A$4:$KY$4,0))</f>
        <v>0</v>
      </c>
      <c r="BX166" s="241">
        <f>INDEX(연료전지_원본!$A$4:$KY$369,MATCH($A166,연료전지_원본!$A$4:$A$369,0),MATCH($BX$4,연료전지_원본!$A$4:$KY$4,0))</f>
        <v>0</v>
      </c>
      <c r="BY166" s="241">
        <f>INDEX(연료전지_원본!$A$4:$KY$369,MATCH($A166,연료전지_원본!$A$4:$A$369,0),MATCH($BY$4,연료전지_원본!$A$4:$KY$4,0))</f>
        <v>0</v>
      </c>
      <c r="BZ166" s="241">
        <f>INDEX(연료전지_원본!$A$4:$KY$369,MATCH($A166,연료전지_원본!$A$4:$A$369,0),MATCH($BZ$4,연료전지_원본!$A$4:$KY$4,0))</f>
        <v>0</v>
      </c>
      <c r="CA166" s="241">
        <f>INDEX(연료전지_원본!$A$4:$KY$369,MATCH($A166,연료전지_원본!$A$4:$A$369,0),MATCH($CA$4,연료전지_원본!$A$4:$KY$4,0))</f>
        <v>0</v>
      </c>
      <c r="CB166" s="241">
        <f>INDEX(연료전지_원본!$A$4:$KY$369,MATCH($A166,연료전지_원본!$A$4:$A$369,0),MATCH($CB$4,연료전지_원본!$A$4:$KY$4,0))</f>
        <v>0</v>
      </c>
      <c r="CC166" s="242">
        <f>INDEX(연료전지_원본!$A$4:$KY$369,MATCH($A166,연료전지_원본!$A$4:$A$369,0),MATCH($CC$4,연료전지_원본!$A$4:$KY$4,0))</f>
        <v>0</v>
      </c>
      <c r="CD166" s="250">
        <f>INDEX(연료전지_원본!$KB$4:$KX$369,MATCH($A166,연료전지_원본!$KB$4:$KB$369,0), MATCH(CD$4,연료전지_원본!$KB$4:$KX$4,0))*1000</f>
        <v>0</v>
      </c>
      <c r="CE166" s="250">
        <f>INDEX(연료전지_원본!$KB$4:$KX$369,MATCH($A166,연료전지_원본!$KB$4:$KB$369,0), MATCH(CE$4,연료전지_원본!$KB$4:$KX$4,0))*1000</f>
        <v>0</v>
      </c>
      <c r="CF166" s="250">
        <f>INDEX(연료전지_원본!$KB$4:$KX$369,MATCH($A166,연료전지_원본!$KB$4:$KB$369,0), MATCH(CF$4,연료전지_원본!$KB$4:$KX$4,0))*1000</f>
        <v>0</v>
      </c>
      <c r="CG166" s="250">
        <f>INDEX(연료전지_원본!$KB$4:$KX$369,MATCH($A166,연료전지_원본!$KB$4:$KB$369,0), MATCH(CG$4,연료전지_원본!$KB$4:$KX$4,0))*1000</f>
        <v>0</v>
      </c>
      <c r="CH166" s="250">
        <f>INDEX(연료전지_원본!$KB$4:$KX$369,MATCH($A166,연료전지_원본!$KB$4:$KB$369,0), MATCH(CH$4,연료전지_원본!$KB$4:$KX$4,0))*1000</f>
        <v>0</v>
      </c>
      <c r="CI166" s="250">
        <f>INDEX(연료전지_원본!$KB$4:$KX$369,MATCH($A166,연료전지_원본!$KB$4:$KB$369,0), MATCH(CI$4,연료전지_원본!$KB$4:$KX$4,0))*1000</f>
        <v>0</v>
      </c>
      <c r="CJ166" s="250">
        <f>INDEX(연료전지_원본!$KB$4:$KX$369,MATCH($A166,연료전지_원본!$KB$4:$KB$369,0), MATCH(CJ$4,연료전지_원본!$KB$4:$KX$4,0))*1000</f>
        <v>0</v>
      </c>
      <c r="CK166" s="250">
        <f>INDEX(연료전지_원본!$KB$4:$KX$369,MATCH($A166,연료전지_원본!$KB$4:$KB$369,0), MATCH(CK$4,연료전지_원본!$KB$4:$KX$4,0))*1000</f>
        <v>0</v>
      </c>
      <c r="CL166" s="250">
        <f>INDEX(연료전지_원본!$KB$4:$KX$369,MATCH($A166,연료전지_원본!$KB$4:$KB$369,0), MATCH(CL$4,연료전지_원본!$KB$4:$KX$4,0))*1000</f>
        <v>0</v>
      </c>
      <c r="CM166" s="250">
        <f>INDEX(연료전지_원본!$KB$4:$KX$369,MATCH($A166,연료전지_원본!$KB$4:$KB$369,0), MATCH(CM$4,연료전지_원본!$KB$4:$KX$4,0))*1000</f>
        <v>0</v>
      </c>
      <c r="CN166" s="250">
        <f>INDEX(연료전지_원본!$KB$4:$KX$369,MATCH($A166,연료전지_원본!$KB$4:$KB$369,0), MATCH(CN$4,연료전지_원본!$KB$4:$KX$4,0))*1000</f>
        <v>0</v>
      </c>
      <c r="CO166" s="250">
        <f>INDEX(연료전지_원본!$KB$4:$KX$369,MATCH($A166,연료전지_원본!$KB$4:$KB$369,0), MATCH(CO$4,연료전지_원본!$KB$4:$KX$4,0))*1000</f>
        <v>0</v>
      </c>
      <c r="CP166" s="250">
        <f>INDEX(연료전지_원본!$KB$4:$KX$369,MATCH($A166,연료전지_원본!$KB$4:$KB$369,0), MATCH(CP$4,연료전지_원본!$KB$4:$KX$4,0))*1000</f>
        <v>0</v>
      </c>
      <c r="CQ166" s="250">
        <f>INDEX(연료전지_원본!$KB$4:$KX$369,MATCH($A166,연료전지_원본!$KB$4:$KB$369,0), MATCH(CQ$4,연료전지_원본!$KB$4:$KX$4,0))*1000</f>
        <v>0</v>
      </c>
      <c r="CR166" s="250">
        <f>INDEX(연료전지_원본!$KB$4:$KX$369,MATCH($A166,연료전지_원본!$KB$4:$KB$369,0), MATCH(CR$4,연료전지_원본!$KB$4:$KX$4,0))*1000</f>
        <v>0</v>
      </c>
      <c r="CS166" s="250">
        <f>INDEX(연료전지_원본!$KB$4:$KX$369,MATCH($A166,연료전지_원본!$KB$4:$KB$369,0), MATCH(CS$4,연료전지_원본!$KB$4:$KX$4,0))*1000</f>
        <v>0</v>
      </c>
      <c r="CT166" s="250">
        <f>INDEX(연료전지_원본!$KB$4:$KX$369,MATCH($A166,연료전지_원본!$KB$4:$KB$369,0), MATCH(CT$4,연료전지_원본!$KB$4:$KX$4,0))*1000</f>
        <v>0</v>
      </c>
      <c r="CU166" s="250">
        <f>INDEX(연료전지_원본!$KB$4:$KX$369,MATCH($A166,연료전지_원본!$KB$4:$KB$369,0), MATCH(CU$4,연료전지_원본!$KB$4:$KX$4,0))*1000</f>
        <v>0</v>
      </c>
      <c r="CV166" s="250">
        <f>INDEX(연료전지_원본!$KB$4:$KX$369,MATCH($A166,연료전지_원본!$KB$4:$KB$369,0), MATCH(CV$4,연료전지_원본!$KB$4:$KX$4,0))*1000</f>
        <v>0</v>
      </c>
      <c r="CW166" s="250">
        <f>INDEX(연료전지_원본!$KB$4:$KX$369,MATCH($A166,연료전지_원본!$KB$4:$KB$369,0), MATCH(CW$4,연료전지_원본!$KB$4:$KX$4,0))*1000</f>
        <v>0</v>
      </c>
      <c r="CX166" s="250">
        <f>INDEX(연료전지_원본!$KB$4:$KX$369,MATCH($A166,연료전지_원본!$KB$4:$KB$369,0), MATCH(CX$4,연료전지_원본!$KB$4:$KX$4,0))*1000</f>
        <v>0</v>
      </c>
      <c r="CY166" s="250">
        <f>INDEX(연료전지_원본!$KB$4:$KX$369,MATCH($A166,연료전지_원본!$KB$4:$KB$369,0), MATCH(CY$4,연료전지_원본!$KB$4:$KX$4,0))*1000</f>
        <v>0</v>
      </c>
      <c r="DV166" s="30">
        <f t="shared" ref="DV166:DV229" si="954">SUM(CZ166:DU166)</f>
        <v>0</v>
      </c>
    </row>
    <row r="167" spans="1:126">
      <c r="A167" s="6">
        <v>46184</v>
      </c>
      <c r="B167" s="15">
        <f>운전실적_원본!B167</f>
        <v>0</v>
      </c>
      <c r="C167" s="16" t="str">
        <f t="shared" si="629"/>
        <v/>
      </c>
      <c r="D167" s="12">
        <f>운전실적_원본!C167</f>
        <v>0</v>
      </c>
      <c r="E167" s="12" t="str">
        <f t="shared" si="630"/>
        <v/>
      </c>
      <c r="F167" s="12">
        <f>운전실적_원본!D167</f>
        <v>0</v>
      </c>
      <c r="G167" s="16" t="str">
        <f t="shared" si="631"/>
        <v/>
      </c>
      <c r="H167" s="15">
        <f>운전실적_원본!E167</f>
        <v>0</v>
      </c>
      <c r="I167" s="16" t="str">
        <f t="shared" si="632"/>
        <v/>
      </c>
      <c r="J167" s="15">
        <f>운전실적_원본!F167</f>
        <v>0</v>
      </c>
      <c r="K167" s="16" t="str">
        <f t="shared" si="632"/>
        <v/>
      </c>
      <c r="L167" s="32">
        <f>운전실적_원본!G167</f>
        <v>0</v>
      </c>
      <c r="M167" s="31" t="str">
        <f t="shared" ref="M167" si="955">IF(OR(LEN(L167)=0,L167=0),"",L167-L166)</f>
        <v/>
      </c>
      <c r="N167" s="15">
        <f>운전실적_원본!H167</f>
        <v>0</v>
      </c>
      <c r="O167" s="16" t="str">
        <f t="shared" ref="O167" si="956">IF(OR(LEN(N167)=0,N167=0),"",N167-N166)</f>
        <v/>
      </c>
      <c r="P167" s="15">
        <f>운전실적_원본!I167</f>
        <v>0</v>
      </c>
      <c r="Q167" s="16" t="str">
        <f t="shared" ref="Q167" si="957">IF(OR(LEN(P167)=0,P167=0),"",P167-P166)</f>
        <v/>
      </c>
      <c r="R167" s="18">
        <f>운전실적_원본!J167</f>
        <v>0</v>
      </c>
      <c r="S167" s="19" t="str">
        <f t="shared" ref="S167" si="958">IF(OR(LEN(R167)=0,R167=0),"",R167-R166)</f>
        <v/>
      </c>
      <c r="T167" s="18">
        <f>운전실적_원본!K167</f>
        <v>0</v>
      </c>
      <c r="U167" s="19" t="str">
        <f t="shared" si="637"/>
        <v/>
      </c>
      <c r="V167" s="12">
        <f>운전실적_원본!L167</f>
        <v>0</v>
      </c>
      <c r="W167" s="16" t="str">
        <f t="shared" ref="W167" si="959">IF(OR(LEN(V167)=0,V167=0),"",V167-V166)</f>
        <v/>
      </c>
      <c r="X167" s="10">
        <f>운전실적_원본!M167</f>
        <v>0</v>
      </c>
      <c r="Y167" s="10">
        <f>운전실적_원본!N167</f>
        <v>0</v>
      </c>
      <c r="Z167" s="10">
        <f>운전실적_원본!O167</f>
        <v>0</v>
      </c>
      <c r="AA167" s="10">
        <f>운전실적_원본!P167</f>
        <v>0</v>
      </c>
      <c r="AB167" s="10">
        <f>운전실적_원본!Q167</f>
        <v>0</v>
      </c>
      <c r="AC167" s="20">
        <f>운전실적_원본!R167</f>
        <v>0</v>
      </c>
      <c r="AD167" s="109">
        <f>운전실적_원본!S167</f>
        <v>0</v>
      </c>
      <c r="AE167" s="110">
        <f>운전실적_원본!T167</f>
        <v>0</v>
      </c>
      <c r="AF167" s="110">
        <f>운전실적_원본!U167</f>
        <v>0</v>
      </c>
      <c r="AG167" s="110">
        <f>운전실적_원본!V167</f>
        <v>0</v>
      </c>
      <c r="AH167" s="109">
        <f t="shared" si="791"/>
        <v>0</v>
      </c>
      <c r="AI167" s="110">
        <f t="shared" si="798"/>
        <v>0</v>
      </c>
      <c r="AJ167" s="110">
        <f>운전실적_원본!Y167</f>
        <v>0</v>
      </c>
      <c r="AK167" s="110">
        <f>운전실적_원본!Z167</f>
        <v>0</v>
      </c>
      <c r="AL167" s="106"/>
      <c r="AM167" s="105"/>
      <c r="AN167" s="105"/>
      <c r="AO167" s="105"/>
      <c r="AP167" s="105"/>
      <c r="AQ167" s="108"/>
      <c r="AR167" s="105"/>
      <c r="AS167" s="105"/>
      <c r="AT167" s="102"/>
      <c r="AU167" s="102"/>
      <c r="AV167" s="102"/>
      <c r="AW167" s="102"/>
      <c r="AX167" s="32">
        <f>운전실적_원본!W167</f>
        <v>0</v>
      </c>
      <c r="AY167" s="11">
        <f>운전실적_원본!X167</f>
        <v>0</v>
      </c>
      <c r="AZ167" s="11">
        <f>운전실적_원본!Y167</f>
        <v>0</v>
      </c>
      <c r="BA167" s="11">
        <f>운전실적_원본!Z167</f>
        <v>0</v>
      </c>
      <c r="BB167" s="11">
        <f>운전실적_원본!AA167</f>
        <v>0</v>
      </c>
      <c r="BC167" s="11">
        <f>운전실적_원본!AB167</f>
        <v>0</v>
      </c>
      <c r="BD167" s="32" t="str">
        <f t="shared" si="784"/>
        <v>-</v>
      </c>
      <c r="BE167" s="11" t="str">
        <f t="shared" si="792"/>
        <v>-</v>
      </c>
      <c r="BF167" s="11">
        <f>운전실적_원본!AE167</f>
        <v>0</v>
      </c>
      <c r="BG167" s="31">
        <f t="shared" si="785"/>
        <v>0</v>
      </c>
      <c r="BH167" s="241">
        <f>INDEX(연료전지_원본!$A$4:$KY$369,MATCH($A167,연료전지_원본!$A$4:$A$369,0),MATCH($BH$4,연료전지_원본!$A$4:$KY$4,0))</f>
        <v>0</v>
      </c>
      <c r="BI167" s="241">
        <f>INDEX(연료전지_원본!$A$4:$KY$369,MATCH($A167,연료전지_원본!$A$4:$A$369,0),MATCH($BI$4,연료전지_원본!$A$4:$KY$4,0))</f>
        <v>0</v>
      </c>
      <c r="BJ167" s="241">
        <f>INDEX(연료전지_원본!$A$4:$KY$369,MATCH($A167,연료전지_원본!$A$4:$A$369,0),MATCH($BJ$4,연료전지_원본!$A$4:$KY$4,0))</f>
        <v>0</v>
      </c>
      <c r="BK167" s="241">
        <f>INDEX(연료전지_원본!$A$4:$KY$369,MATCH($A167,연료전지_원본!$A$4:$A$369,0),MATCH($BK$4,연료전지_원본!$A$4:$KY$4,0))</f>
        <v>0</v>
      </c>
      <c r="BL167" s="241">
        <f>INDEX(연료전지_원본!$A$4:$KY$369,MATCH($A167,연료전지_원본!$A$4:$A$369,0),MATCH($BL$4,연료전지_원본!$A$4:$KY$4,0))</f>
        <v>0</v>
      </c>
      <c r="BM167" s="241">
        <f>INDEX(연료전지_원본!$A$4:$KY$369,MATCH($A167,연료전지_원본!$A$4:$A$369,0),MATCH($BM$4,연료전지_원본!$A$4:$KY$4,0))</f>
        <v>0</v>
      </c>
      <c r="BN167" s="241">
        <f>INDEX(연료전지_원본!$A$4:$KY$369,MATCH($A167,연료전지_원본!$A$4:$A$369,0),MATCH($BN$4,연료전지_원본!$A$4:$KY$4,0))</f>
        <v>0</v>
      </c>
      <c r="BO167" s="241">
        <f>INDEX(연료전지_원본!$A$4:$KY$369,MATCH($A167,연료전지_원본!$A$4:$A$369,0),MATCH($BO$4,연료전지_원본!$A$4:$KY$4,0))</f>
        <v>0</v>
      </c>
      <c r="BP167" s="241">
        <f>INDEX(연료전지_원본!$A$4:$KY$369,MATCH($A167,연료전지_원본!$A$4:$A$369,0),MATCH($BP$4,연료전지_원본!$A$4:$KY$4,0))</f>
        <v>0</v>
      </c>
      <c r="BQ167" s="241">
        <f>INDEX(연료전지_원본!$A$4:$KY$369,MATCH($A167,연료전지_원본!$A$4:$A$369,0),MATCH($BQ$4,연료전지_원본!$A$4:$KY$4,0))</f>
        <v>0</v>
      </c>
      <c r="BR167" s="241">
        <f>INDEX(연료전지_원본!$A$4:$KY$369,MATCH($A167,연료전지_원본!$A$4:$A$369,0),MATCH($BR$4,연료전지_원본!$A$4:$KY$4,0))</f>
        <v>0</v>
      </c>
      <c r="BS167" s="241">
        <f>INDEX(연료전지_원본!$A$4:$KY$369,MATCH($A167,연료전지_원본!$A$4:$A$369,0),MATCH($BS$4,연료전지_원본!$A$4:$KY$4,0))</f>
        <v>0</v>
      </c>
      <c r="BT167" s="241">
        <f>INDEX(연료전지_원본!$A$4:$KY$369,MATCH($A167,연료전지_원본!$A$4:$A$369,0),MATCH($BT$4,연료전지_원본!$A$4:$KY$4,0))</f>
        <v>0</v>
      </c>
      <c r="BU167" s="241">
        <f>INDEX(연료전지_원본!$A$4:$KY$369,MATCH($A167,연료전지_원본!$A$4:$A$369,0),MATCH($BU$4,연료전지_원본!$A$4:$KY$4,0))</f>
        <v>0</v>
      </c>
      <c r="BV167" s="241">
        <f>INDEX(연료전지_원본!$A$4:$KY$369,MATCH($A167,연료전지_원본!$A$4:$A$369,0),MATCH($BV$4,연료전지_원본!$A$4:$KY$4,0))</f>
        <v>0</v>
      </c>
      <c r="BW167" s="241">
        <f>INDEX(연료전지_원본!$A$4:$KY$369,MATCH($A167,연료전지_원본!$A$4:$A$369,0),MATCH($BW$4,연료전지_원본!$A$4:$KY$4,0))</f>
        <v>0</v>
      </c>
      <c r="BX167" s="241">
        <f>INDEX(연료전지_원본!$A$4:$KY$369,MATCH($A167,연료전지_원본!$A$4:$A$369,0),MATCH($BX$4,연료전지_원본!$A$4:$KY$4,0))</f>
        <v>0</v>
      </c>
      <c r="BY167" s="241">
        <f>INDEX(연료전지_원본!$A$4:$KY$369,MATCH($A167,연료전지_원본!$A$4:$A$369,0),MATCH($BY$4,연료전지_원본!$A$4:$KY$4,0))</f>
        <v>0</v>
      </c>
      <c r="BZ167" s="241">
        <f>INDEX(연료전지_원본!$A$4:$KY$369,MATCH($A167,연료전지_원본!$A$4:$A$369,0),MATCH($BZ$4,연료전지_원본!$A$4:$KY$4,0))</f>
        <v>0</v>
      </c>
      <c r="CA167" s="241">
        <f>INDEX(연료전지_원본!$A$4:$KY$369,MATCH($A167,연료전지_원본!$A$4:$A$369,0),MATCH($CA$4,연료전지_원본!$A$4:$KY$4,0))</f>
        <v>0</v>
      </c>
      <c r="CB167" s="241">
        <f>INDEX(연료전지_원본!$A$4:$KY$369,MATCH($A167,연료전지_원본!$A$4:$A$369,0),MATCH($CB$4,연료전지_원본!$A$4:$KY$4,0))</f>
        <v>0</v>
      </c>
      <c r="CC167" s="242">
        <f>INDEX(연료전지_원본!$A$4:$KY$369,MATCH($A167,연료전지_원본!$A$4:$A$369,0),MATCH($CC$4,연료전지_원본!$A$4:$KY$4,0))</f>
        <v>0</v>
      </c>
      <c r="CD167" s="250">
        <f>INDEX(연료전지_원본!$KB$4:$KX$369,MATCH($A167,연료전지_원본!$KB$4:$KB$369,0), MATCH(CD$4,연료전지_원본!$KB$4:$KX$4,0))*1000</f>
        <v>0</v>
      </c>
      <c r="CE167" s="250">
        <f>INDEX(연료전지_원본!$KB$4:$KX$369,MATCH($A167,연료전지_원본!$KB$4:$KB$369,0), MATCH(CE$4,연료전지_원본!$KB$4:$KX$4,0))*1000</f>
        <v>0</v>
      </c>
      <c r="CF167" s="250">
        <f>INDEX(연료전지_원본!$KB$4:$KX$369,MATCH($A167,연료전지_원본!$KB$4:$KB$369,0), MATCH(CF$4,연료전지_원본!$KB$4:$KX$4,0))*1000</f>
        <v>0</v>
      </c>
      <c r="CG167" s="250">
        <f>INDEX(연료전지_원본!$KB$4:$KX$369,MATCH($A167,연료전지_원본!$KB$4:$KB$369,0), MATCH(CG$4,연료전지_원본!$KB$4:$KX$4,0))*1000</f>
        <v>0</v>
      </c>
      <c r="CH167" s="250">
        <f>INDEX(연료전지_원본!$KB$4:$KX$369,MATCH($A167,연료전지_원본!$KB$4:$KB$369,0), MATCH(CH$4,연료전지_원본!$KB$4:$KX$4,0))*1000</f>
        <v>0</v>
      </c>
      <c r="CI167" s="250">
        <f>INDEX(연료전지_원본!$KB$4:$KX$369,MATCH($A167,연료전지_원본!$KB$4:$KB$369,0), MATCH(CI$4,연료전지_원본!$KB$4:$KX$4,0))*1000</f>
        <v>0</v>
      </c>
      <c r="CJ167" s="250">
        <f>INDEX(연료전지_원본!$KB$4:$KX$369,MATCH($A167,연료전지_원본!$KB$4:$KB$369,0), MATCH(CJ$4,연료전지_원본!$KB$4:$KX$4,0))*1000</f>
        <v>0</v>
      </c>
      <c r="CK167" s="250">
        <f>INDEX(연료전지_원본!$KB$4:$KX$369,MATCH($A167,연료전지_원본!$KB$4:$KB$369,0), MATCH(CK$4,연료전지_원본!$KB$4:$KX$4,0))*1000</f>
        <v>0</v>
      </c>
      <c r="CL167" s="250">
        <f>INDEX(연료전지_원본!$KB$4:$KX$369,MATCH($A167,연료전지_원본!$KB$4:$KB$369,0), MATCH(CL$4,연료전지_원본!$KB$4:$KX$4,0))*1000</f>
        <v>0</v>
      </c>
      <c r="CM167" s="250">
        <f>INDEX(연료전지_원본!$KB$4:$KX$369,MATCH($A167,연료전지_원본!$KB$4:$KB$369,0), MATCH(CM$4,연료전지_원본!$KB$4:$KX$4,0))*1000</f>
        <v>0</v>
      </c>
      <c r="CN167" s="250">
        <f>INDEX(연료전지_원본!$KB$4:$KX$369,MATCH($A167,연료전지_원본!$KB$4:$KB$369,0), MATCH(CN$4,연료전지_원본!$KB$4:$KX$4,0))*1000</f>
        <v>0</v>
      </c>
      <c r="CO167" s="250">
        <f>INDEX(연료전지_원본!$KB$4:$KX$369,MATCH($A167,연료전지_원본!$KB$4:$KB$369,0), MATCH(CO$4,연료전지_원본!$KB$4:$KX$4,0))*1000</f>
        <v>0</v>
      </c>
      <c r="CP167" s="250">
        <f>INDEX(연료전지_원본!$KB$4:$KX$369,MATCH($A167,연료전지_원본!$KB$4:$KB$369,0), MATCH(CP$4,연료전지_원본!$KB$4:$KX$4,0))*1000</f>
        <v>0</v>
      </c>
      <c r="CQ167" s="250">
        <f>INDEX(연료전지_원본!$KB$4:$KX$369,MATCH($A167,연료전지_원본!$KB$4:$KB$369,0), MATCH(CQ$4,연료전지_원본!$KB$4:$KX$4,0))*1000</f>
        <v>0</v>
      </c>
      <c r="CR167" s="250">
        <f>INDEX(연료전지_원본!$KB$4:$KX$369,MATCH($A167,연료전지_원본!$KB$4:$KB$369,0), MATCH(CR$4,연료전지_원본!$KB$4:$KX$4,0))*1000</f>
        <v>0</v>
      </c>
      <c r="CS167" s="250">
        <f>INDEX(연료전지_원본!$KB$4:$KX$369,MATCH($A167,연료전지_원본!$KB$4:$KB$369,0), MATCH(CS$4,연료전지_원본!$KB$4:$KX$4,0))*1000</f>
        <v>0</v>
      </c>
      <c r="CT167" s="250">
        <f>INDEX(연료전지_원본!$KB$4:$KX$369,MATCH($A167,연료전지_원본!$KB$4:$KB$369,0), MATCH(CT$4,연료전지_원본!$KB$4:$KX$4,0))*1000</f>
        <v>0</v>
      </c>
      <c r="CU167" s="250">
        <f>INDEX(연료전지_원본!$KB$4:$KX$369,MATCH($A167,연료전지_원본!$KB$4:$KB$369,0), MATCH(CU$4,연료전지_원본!$KB$4:$KX$4,0))*1000</f>
        <v>0</v>
      </c>
      <c r="CV167" s="250">
        <f>INDEX(연료전지_원본!$KB$4:$KX$369,MATCH($A167,연료전지_원본!$KB$4:$KB$369,0), MATCH(CV$4,연료전지_원본!$KB$4:$KX$4,0))*1000</f>
        <v>0</v>
      </c>
      <c r="CW167" s="250">
        <f>INDEX(연료전지_원본!$KB$4:$KX$369,MATCH($A167,연료전지_원본!$KB$4:$KB$369,0), MATCH(CW$4,연료전지_원본!$KB$4:$KX$4,0))*1000</f>
        <v>0</v>
      </c>
      <c r="CX167" s="250">
        <f>INDEX(연료전지_원본!$KB$4:$KX$369,MATCH($A167,연료전지_원본!$KB$4:$KB$369,0), MATCH(CX$4,연료전지_원본!$KB$4:$KX$4,0))*1000</f>
        <v>0</v>
      </c>
      <c r="CY167" s="250">
        <f>INDEX(연료전지_원본!$KB$4:$KX$369,MATCH($A167,연료전지_원본!$KB$4:$KB$369,0), MATCH(CY$4,연료전지_원본!$KB$4:$KX$4,0))*1000</f>
        <v>0</v>
      </c>
      <c r="DV167" s="30">
        <f t="shared" si="954"/>
        <v>0</v>
      </c>
    </row>
    <row r="168" spans="1:126">
      <c r="A168" s="6">
        <v>46185</v>
      </c>
      <c r="B168" s="15">
        <f>운전실적_원본!B168</f>
        <v>0</v>
      </c>
      <c r="C168" s="16" t="str">
        <f t="shared" ref="C168:C231" si="960">IF(OR(LEN(B168)=0,B168=0),"",B168-B167)</f>
        <v/>
      </c>
      <c r="D168" s="12">
        <f>운전실적_원본!C168</f>
        <v>0</v>
      </c>
      <c r="E168" s="12" t="str">
        <f t="shared" ref="E168:E231" si="961">IF(OR(LEN(D168)=0,D168=0),"",D168-D167)</f>
        <v/>
      </c>
      <c r="F168" s="12">
        <f>운전실적_원본!D168</f>
        <v>0</v>
      </c>
      <c r="G168" s="16" t="str">
        <f t="shared" ref="G168:G231" si="962">IF(OR(LEN(F168)=0,F168=0),"",F168-F167)</f>
        <v/>
      </c>
      <c r="H168" s="15">
        <f>운전실적_원본!E168</f>
        <v>0</v>
      </c>
      <c r="I168" s="16" t="str">
        <f t="shared" ref="I168:K231" si="963">IF(OR(LEN(H168)=0,H168=0),"",H168-H167)</f>
        <v/>
      </c>
      <c r="J168" s="15">
        <f>운전실적_원본!F168</f>
        <v>0</v>
      </c>
      <c r="K168" s="16" t="str">
        <f t="shared" si="963"/>
        <v/>
      </c>
      <c r="L168" s="32">
        <f>운전실적_원본!G168</f>
        <v>0</v>
      </c>
      <c r="M168" s="31" t="str">
        <f t="shared" ref="M168" si="964">IF(OR(LEN(L168)=0,L168=0),"",L168-L167)</f>
        <v/>
      </c>
      <c r="N168" s="15">
        <f>운전실적_원본!H168</f>
        <v>0</v>
      </c>
      <c r="O168" s="16" t="str">
        <f t="shared" ref="O168" si="965">IF(OR(LEN(N168)=0,N168=0),"",N168-N167)</f>
        <v/>
      </c>
      <c r="P168" s="15">
        <f>운전실적_원본!I168</f>
        <v>0</v>
      </c>
      <c r="Q168" s="16" t="str">
        <f t="shared" ref="Q168" si="966">IF(OR(LEN(P168)=0,P168=0),"",P168-P167)</f>
        <v/>
      </c>
      <c r="R168" s="18">
        <f>운전실적_원본!J168</f>
        <v>0</v>
      </c>
      <c r="S168" s="19" t="str">
        <f t="shared" ref="S168" si="967">IF(OR(LEN(R168)=0,R168=0),"",R168-R167)</f>
        <v/>
      </c>
      <c r="T168" s="18">
        <f>운전실적_원본!K168</f>
        <v>0</v>
      </c>
      <c r="U168" s="19" t="str">
        <f t="shared" ref="U168:U231" si="968">IF(OR(LEN(T168)=0,T168=0),"",T168-T167)</f>
        <v/>
      </c>
      <c r="V168" s="12">
        <f>운전실적_원본!L168</f>
        <v>0</v>
      </c>
      <c r="W168" s="16" t="str">
        <f t="shared" ref="W168" si="969">IF(OR(LEN(V168)=0,V168=0),"",V168-V167)</f>
        <v/>
      </c>
      <c r="X168" s="10">
        <f>운전실적_원본!M168</f>
        <v>0</v>
      </c>
      <c r="Y168" s="10">
        <f>운전실적_원본!N168</f>
        <v>0</v>
      </c>
      <c r="Z168" s="10">
        <f>운전실적_원본!O168</f>
        <v>0</v>
      </c>
      <c r="AA168" s="10">
        <f>운전실적_원본!P168</f>
        <v>0</v>
      </c>
      <c r="AB168" s="10">
        <f>운전실적_원본!Q168</f>
        <v>0</v>
      </c>
      <c r="AC168" s="20">
        <f>운전실적_원본!R168</f>
        <v>0</v>
      </c>
      <c r="AD168" s="109">
        <f>운전실적_원본!S168</f>
        <v>0</v>
      </c>
      <c r="AE168" s="110">
        <f>운전실적_원본!T168</f>
        <v>0</v>
      </c>
      <c r="AF168" s="110">
        <f>운전실적_원본!U168</f>
        <v>0</v>
      </c>
      <c r="AG168" s="110">
        <f>운전실적_원본!V168</f>
        <v>0</v>
      </c>
      <c r="AH168" s="109">
        <f t="shared" si="791"/>
        <v>0</v>
      </c>
      <c r="AI168" s="110">
        <f t="shared" si="798"/>
        <v>0</v>
      </c>
      <c r="AJ168" s="110">
        <f>운전실적_원본!Y168</f>
        <v>0</v>
      </c>
      <c r="AK168" s="110">
        <f>운전실적_원본!Z168</f>
        <v>0</v>
      </c>
      <c r="AL168" s="106"/>
      <c r="AM168" s="105"/>
      <c r="AN168" s="105"/>
      <c r="AO168" s="105"/>
      <c r="AP168" s="105"/>
      <c r="AQ168" s="108"/>
      <c r="AR168" s="105"/>
      <c r="AS168" s="105"/>
      <c r="AT168" s="102"/>
      <c r="AU168" s="102"/>
      <c r="AV168" s="102"/>
      <c r="AW168" s="102"/>
      <c r="AX168" s="32">
        <f>운전실적_원본!W168</f>
        <v>0</v>
      </c>
      <c r="AY168" s="11">
        <f>운전실적_원본!X168</f>
        <v>0</v>
      </c>
      <c r="AZ168" s="11">
        <f>운전실적_원본!Y168</f>
        <v>0</v>
      </c>
      <c r="BA168" s="11">
        <f>운전실적_원본!Z168</f>
        <v>0</v>
      </c>
      <c r="BB168" s="11">
        <f>운전실적_원본!AA168</f>
        <v>0</v>
      </c>
      <c r="BC168" s="11">
        <f>운전실적_원본!AB168</f>
        <v>0</v>
      </c>
      <c r="BD168" s="32" t="str">
        <f t="shared" si="784"/>
        <v>-</v>
      </c>
      <c r="BE168" s="11" t="str">
        <f t="shared" si="792"/>
        <v>-</v>
      </c>
      <c r="BF168" s="11">
        <f>운전실적_원본!AE168</f>
        <v>0</v>
      </c>
      <c r="BG168" s="31">
        <f t="shared" si="785"/>
        <v>0</v>
      </c>
      <c r="BH168" s="241">
        <f>INDEX(연료전지_원본!$A$4:$KY$369,MATCH($A168,연료전지_원본!$A$4:$A$369,0),MATCH($BH$4,연료전지_원본!$A$4:$KY$4,0))</f>
        <v>0</v>
      </c>
      <c r="BI168" s="241">
        <f>INDEX(연료전지_원본!$A$4:$KY$369,MATCH($A168,연료전지_원본!$A$4:$A$369,0),MATCH($BI$4,연료전지_원본!$A$4:$KY$4,0))</f>
        <v>0</v>
      </c>
      <c r="BJ168" s="241">
        <f>INDEX(연료전지_원본!$A$4:$KY$369,MATCH($A168,연료전지_원본!$A$4:$A$369,0),MATCH($BJ$4,연료전지_원본!$A$4:$KY$4,0))</f>
        <v>0</v>
      </c>
      <c r="BK168" s="241">
        <f>INDEX(연료전지_원본!$A$4:$KY$369,MATCH($A168,연료전지_원본!$A$4:$A$369,0),MATCH($BK$4,연료전지_원본!$A$4:$KY$4,0))</f>
        <v>0</v>
      </c>
      <c r="BL168" s="241">
        <f>INDEX(연료전지_원본!$A$4:$KY$369,MATCH($A168,연료전지_원본!$A$4:$A$369,0),MATCH($BL$4,연료전지_원본!$A$4:$KY$4,0))</f>
        <v>0</v>
      </c>
      <c r="BM168" s="241">
        <f>INDEX(연료전지_원본!$A$4:$KY$369,MATCH($A168,연료전지_원본!$A$4:$A$369,0),MATCH($BM$4,연료전지_원본!$A$4:$KY$4,0))</f>
        <v>0</v>
      </c>
      <c r="BN168" s="241">
        <f>INDEX(연료전지_원본!$A$4:$KY$369,MATCH($A168,연료전지_원본!$A$4:$A$369,0),MATCH($BN$4,연료전지_원본!$A$4:$KY$4,0))</f>
        <v>0</v>
      </c>
      <c r="BO168" s="241">
        <f>INDEX(연료전지_원본!$A$4:$KY$369,MATCH($A168,연료전지_원본!$A$4:$A$369,0),MATCH($BO$4,연료전지_원본!$A$4:$KY$4,0))</f>
        <v>0</v>
      </c>
      <c r="BP168" s="241">
        <f>INDEX(연료전지_원본!$A$4:$KY$369,MATCH($A168,연료전지_원본!$A$4:$A$369,0),MATCH($BP$4,연료전지_원본!$A$4:$KY$4,0))</f>
        <v>0</v>
      </c>
      <c r="BQ168" s="241">
        <f>INDEX(연료전지_원본!$A$4:$KY$369,MATCH($A168,연료전지_원본!$A$4:$A$369,0),MATCH($BQ$4,연료전지_원본!$A$4:$KY$4,0))</f>
        <v>0</v>
      </c>
      <c r="BR168" s="241">
        <f>INDEX(연료전지_원본!$A$4:$KY$369,MATCH($A168,연료전지_원본!$A$4:$A$369,0),MATCH($BR$4,연료전지_원본!$A$4:$KY$4,0))</f>
        <v>0</v>
      </c>
      <c r="BS168" s="241">
        <f>INDEX(연료전지_원본!$A$4:$KY$369,MATCH($A168,연료전지_원본!$A$4:$A$369,0),MATCH($BS$4,연료전지_원본!$A$4:$KY$4,0))</f>
        <v>0</v>
      </c>
      <c r="BT168" s="241">
        <f>INDEX(연료전지_원본!$A$4:$KY$369,MATCH($A168,연료전지_원본!$A$4:$A$369,0),MATCH($BT$4,연료전지_원본!$A$4:$KY$4,0))</f>
        <v>0</v>
      </c>
      <c r="BU168" s="241">
        <f>INDEX(연료전지_원본!$A$4:$KY$369,MATCH($A168,연료전지_원본!$A$4:$A$369,0),MATCH($BU$4,연료전지_원본!$A$4:$KY$4,0))</f>
        <v>0</v>
      </c>
      <c r="BV168" s="241">
        <f>INDEX(연료전지_원본!$A$4:$KY$369,MATCH($A168,연료전지_원본!$A$4:$A$369,0),MATCH($BV$4,연료전지_원본!$A$4:$KY$4,0))</f>
        <v>0</v>
      </c>
      <c r="BW168" s="241">
        <f>INDEX(연료전지_원본!$A$4:$KY$369,MATCH($A168,연료전지_원본!$A$4:$A$369,0),MATCH($BW$4,연료전지_원본!$A$4:$KY$4,0))</f>
        <v>0</v>
      </c>
      <c r="BX168" s="241">
        <f>INDEX(연료전지_원본!$A$4:$KY$369,MATCH($A168,연료전지_원본!$A$4:$A$369,0),MATCH($BX$4,연료전지_원본!$A$4:$KY$4,0))</f>
        <v>0</v>
      </c>
      <c r="BY168" s="241">
        <f>INDEX(연료전지_원본!$A$4:$KY$369,MATCH($A168,연료전지_원본!$A$4:$A$369,0),MATCH($BY$4,연료전지_원본!$A$4:$KY$4,0))</f>
        <v>0</v>
      </c>
      <c r="BZ168" s="241">
        <f>INDEX(연료전지_원본!$A$4:$KY$369,MATCH($A168,연료전지_원본!$A$4:$A$369,0),MATCH($BZ$4,연료전지_원본!$A$4:$KY$4,0))</f>
        <v>0</v>
      </c>
      <c r="CA168" s="241">
        <f>INDEX(연료전지_원본!$A$4:$KY$369,MATCH($A168,연료전지_원본!$A$4:$A$369,0),MATCH($CA$4,연료전지_원본!$A$4:$KY$4,0))</f>
        <v>0</v>
      </c>
      <c r="CB168" s="241">
        <f>INDEX(연료전지_원본!$A$4:$KY$369,MATCH($A168,연료전지_원본!$A$4:$A$369,0),MATCH($CB$4,연료전지_원본!$A$4:$KY$4,0))</f>
        <v>0</v>
      </c>
      <c r="CC168" s="242">
        <f>INDEX(연료전지_원본!$A$4:$KY$369,MATCH($A168,연료전지_원본!$A$4:$A$369,0),MATCH($CC$4,연료전지_원본!$A$4:$KY$4,0))</f>
        <v>0</v>
      </c>
      <c r="CD168" s="250">
        <f>INDEX(연료전지_원본!$KB$4:$KX$369,MATCH($A168,연료전지_원본!$KB$4:$KB$369,0), MATCH(CD$4,연료전지_원본!$KB$4:$KX$4,0))*1000</f>
        <v>0</v>
      </c>
      <c r="CE168" s="250">
        <f>INDEX(연료전지_원본!$KB$4:$KX$369,MATCH($A168,연료전지_원본!$KB$4:$KB$369,0), MATCH(CE$4,연료전지_원본!$KB$4:$KX$4,0))*1000</f>
        <v>0</v>
      </c>
      <c r="CF168" s="250">
        <f>INDEX(연료전지_원본!$KB$4:$KX$369,MATCH($A168,연료전지_원본!$KB$4:$KB$369,0), MATCH(CF$4,연료전지_원본!$KB$4:$KX$4,0))*1000</f>
        <v>0</v>
      </c>
      <c r="CG168" s="250">
        <f>INDEX(연료전지_원본!$KB$4:$KX$369,MATCH($A168,연료전지_원본!$KB$4:$KB$369,0), MATCH(CG$4,연료전지_원본!$KB$4:$KX$4,0))*1000</f>
        <v>0</v>
      </c>
      <c r="CH168" s="250">
        <f>INDEX(연료전지_원본!$KB$4:$KX$369,MATCH($A168,연료전지_원본!$KB$4:$KB$369,0), MATCH(CH$4,연료전지_원본!$KB$4:$KX$4,0))*1000</f>
        <v>0</v>
      </c>
      <c r="CI168" s="250">
        <f>INDEX(연료전지_원본!$KB$4:$KX$369,MATCH($A168,연료전지_원본!$KB$4:$KB$369,0), MATCH(CI$4,연료전지_원본!$KB$4:$KX$4,0))*1000</f>
        <v>0</v>
      </c>
      <c r="CJ168" s="250">
        <f>INDEX(연료전지_원본!$KB$4:$KX$369,MATCH($A168,연료전지_원본!$KB$4:$KB$369,0), MATCH(CJ$4,연료전지_원본!$KB$4:$KX$4,0))*1000</f>
        <v>0</v>
      </c>
      <c r="CK168" s="250">
        <f>INDEX(연료전지_원본!$KB$4:$KX$369,MATCH($A168,연료전지_원본!$KB$4:$KB$369,0), MATCH(CK$4,연료전지_원본!$KB$4:$KX$4,0))*1000</f>
        <v>0</v>
      </c>
      <c r="CL168" s="250">
        <f>INDEX(연료전지_원본!$KB$4:$KX$369,MATCH($A168,연료전지_원본!$KB$4:$KB$369,0), MATCH(CL$4,연료전지_원본!$KB$4:$KX$4,0))*1000</f>
        <v>0</v>
      </c>
      <c r="CM168" s="250">
        <f>INDEX(연료전지_원본!$KB$4:$KX$369,MATCH($A168,연료전지_원본!$KB$4:$KB$369,0), MATCH(CM$4,연료전지_원본!$KB$4:$KX$4,0))*1000</f>
        <v>0</v>
      </c>
      <c r="CN168" s="250">
        <f>INDEX(연료전지_원본!$KB$4:$KX$369,MATCH($A168,연료전지_원본!$KB$4:$KB$369,0), MATCH(CN$4,연료전지_원본!$KB$4:$KX$4,0))*1000</f>
        <v>0</v>
      </c>
      <c r="CO168" s="250">
        <f>INDEX(연료전지_원본!$KB$4:$KX$369,MATCH($A168,연료전지_원본!$KB$4:$KB$369,0), MATCH(CO$4,연료전지_원본!$KB$4:$KX$4,0))*1000</f>
        <v>0</v>
      </c>
      <c r="CP168" s="250">
        <f>INDEX(연료전지_원본!$KB$4:$KX$369,MATCH($A168,연료전지_원본!$KB$4:$KB$369,0), MATCH(CP$4,연료전지_원본!$KB$4:$KX$4,0))*1000</f>
        <v>0</v>
      </c>
      <c r="CQ168" s="250">
        <f>INDEX(연료전지_원본!$KB$4:$KX$369,MATCH($A168,연료전지_원본!$KB$4:$KB$369,0), MATCH(CQ$4,연료전지_원본!$KB$4:$KX$4,0))*1000</f>
        <v>0</v>
      </c>
      <c r="CR168" s="250">
        <f>INDEX(연료전지_원본!$KB$4:$KX$369,MATCH($A168,연료전지_원본!$KB$4:$KB$369,0), MATCH(CR$4,연료전지_원본!$KB$4:$KX$4,0))*1000</f>
        <v>0</v>
      </c>
      <c r="CS168" s="250">
        <f>INDEX(연료전지_원본!$KB$4:$KX$369,MATCH($A168,연료전지_원본!$KB$4:$KB$369,0), MATCH(CS$4,연료전지_원본!$KB$4:$KX$4,0))*1000</f>
        <v>0</v>
      </c>
      <c r="CT168" s="250">
        <f>INDEX(연료전지_원본!$KB$4:$KX$369,MATCH($A168,연료전지_원본!$KB$4:$KB$369,0), MATCH(CT$4,연료전지_원본!$KB$4:$KX$4,0))*1000</f>
        <v>0</v>
      </c>
      <c r="CU168" s="250">
        <f>INDEX(연료전지_원본!$KB$4:$KX$369,MATCH($A168,연료전지_원본!$KB$4:$KB$369,0), MATCH(CU$4,연료전지_원본!$KB$4:$KX$4,0))*1000</f>
        <v>0</v>
      </c>
      <c r="CV168" s="250">
        <f>INDEX(연료전지_원본!$KB$4:$KX$369,MATCH($A168,연료전지_원본!$KB$4:$KB$369,0), MATCH(CV$4,연료전지_원본!$KB$4:$KX$4,0))*1000</f>
        <v>0</v>
      </c>
      <c r="CW168" s="250">
        <f>INDEX(연료전지_원본!$KB$4:$KX$369,MATCH($A168,연료전지_원본!$KB$4:$KB$369,0), MATCH(CW$4,연료전지_원본!$KB$4:$KX$4,0))*1000</f>
        <v>0</v>
      </c>
      <c r="CX168" s="250">
        <f>INDEX(연료전지_원본!$KB$4:$KX$369,MATCH($A168,연료전지_원본!$KB$4:$KB$369,0), MATCH(CX$4,연료전지_원본!$KB$4:$KX$4,0))*1000</f>
        <v>0</v>
      </c>
      <c r="CY168" s="250">
        <f>INDEX(연료전지_원본!$KB$4:$KX$369,MATCH($A168,연료전지_원본!$KB$4:$KB$369,0), MATCH(CY$4,연료전지_원본!$KB$4:$KX$4,0))*1000</f>
        <v>0</v>
      </c>
      <c r="DV168" s="30">
        <f t="shared" si="954"/>
        <v>0</v>
      </c>
    </row>
    <row r="169" spans="1:126">
      <c r="A169" s="6">
        <v>46186</v>
      </c>
      <c r="B169" s="15">
        <f>운전실적_원본!B169</f>
        <v>0</v>
      </c>
      <c r="C169" s="16" t="str">
        <f t="shared" si="960"/>
        <v/>
      </c>
      <c r="D169" s="12">
        <f>운전실적_원본!C169</f>
        <v>0</v>
      </c>
      <c r="E169" s="12" t="str">
        <f t="shared" si="961"/>
        <v/>
      </c>
      <c r="F169" s="12">
        <f>운전실적_원본!D169</f>
        <v>0</v>
      </c>
      <c r="G169" s="16" t="str">
        <f t="shared" si="962"/>
        <v/>
      </c>
      <c r="H169" s="15">
        <f>운전실적_원본!E169</f>
        <v>0</v>
      </c>
      <c r="I169" s="16" t="str">
        <f t="shared" si="963"/>
        <v/>
      </c>
      <c r="J169" s="15">
        <f>운전실적_원본!F169</f>
        <v>0</v>
      </c>
      <c r="K169" s="16" t="str">
        <f t="shared" si="963"/>
        <v/>
      </c>
      <c r="L169" s="32">
        <f>운전실적_원본!G169</f>
        <v>0</v>
      </c>
      <c r="M169" s="31" t="str">
        <f t="shared" ref="M169" si="970">IF(OR(LEN(L169)=0,L169=0),"",L169-L168)</f>
        <v/>
      </c>
      <c r="N169" s="15">
        <f>운전실적_원본!H169</f>
        <v>0</v>
      </c>
      <c r="O169" s="16" t="str">
        <f t="shared" ref="O169" si="971">IF(OR(LEN(N169)=0,N169=0),"",N169-N168)</f>
        <v/>
      </c>
      <c r="P169" s="15">
        <f>운전실적_원본!I169</f>
        <v>0</v>
      </c>
      <c r="Q169" s="16" t="str">
        <f t="shared" ref="Q169" si="972">IF(OR(LEN(P169)=0,P169=0),"",P169-P168)</f>
        <v/>
      </c>
      <c r="R169" s="18">
        <f>운전실적_원본!J169</f>
        <v>0</v>
      </c>
      <c r="S169" s="19" t="str">
        <f t="shared" ref="S169" si="973">IF(OR(LEN(R169)=0,R169=0),"",R169-R168)</f>
        <v/>
      </c>
      <c r="T169" s="18">
        <f>운전실적_원본!K169</f>
        <v>0</v>
      </c>
      <c r="U169" s="19" t="str">
        <f t="shared" si="968"/>
        <v/>
      </c>
      <c r="V169" s="12">
        <f>운전실적_원본!L169</f>
        <v>0</v>
      </c>
      <c r="W169" s="16" t="str">
        <f t="shared" ref="W169" si="974">IF(OR(LEN(V169)=0,V169=0),"",V169-V168)</f>
        <v/>
      </c>
      <c r="X169" s="10">
        <f>운전실적_원본!M169</f>
        <v>0</v>
      </c>
      <c r="Y169" s="10">
        <f>운전실적_원본!N169</f>
        <v>0</v>
      </c>
      <c r="Z169" s="10">
        <f>운전실적_원본!O169</f>
        <v>0</v>
      </c>
      <c r="AA169" s="10">
        <f>운전실적_원본!P169</f>
        <v>0</v>
      </c>
      <c r="AB169" s="10">
        <f>운전실적_원본!Q169</f>
        <v>0</v>
      </c>
      <c r="AC169" s="20">
        <f>운전실적_원본!R169</f>
        <v>0</v>
      </c>
      <c r="AD169" s="109">
        <f>운전실적_원본!S169</f>
        <v>0</v>
      </c>
      <c r="AE169" s="110">
        <f>운전실적_원본!T169</f>
        <v>0</v>
      </c>
      <c r="AF169" s="110">
        <f>운전실적_원본!U169</f>
        <v>0</v>
      </c>
      <c r="AG169" s="110">
        <f>운전실적_원본!V169</f>
        <v>0</v>
      </c>
      <c r="AH169" s="109">
        <f t="shared" si="791"/>
        <v>0</v>
      </c>
      <c r="AI169" s="110">
        <f t="shared" si="798"/>
        <v>0</v>
      </c>
      <c r="AJ169" s="110">
        <f>운전실적_원본!Y169</f>
        <v>0</v>
      </c>
      <c r="AK169" s="110">
        <f>운전실적_원본!Z169</f>
        <v>0</v>
      </c>
      <c r="AL169" s="106"/>
      <c r="AM169" s="105"/>
      <c r="AN169" s="105"/>
      <c r="AO169" s="105"/>
      <c r="AP169" s="105"/>
      <c r="AQ169" s="108"/>
      <c r="AR169" s="105"/>
      <c r="AS169" s="105"/>
      <c r="AT169" s="102"/>
      <c r="AU169" s="102"/>
      <c r="AV169" s="102"/>
      <c r="AW169" s="102"/>
      <c r="AX169" s="32">
        <f>운전실적_원본!W169</f>
        <v>0</v>
      </c>
      <c r="AY169" s="11">
        <f>운전실적_원본!X169</f>
        <v>0</v>
      </c>
      <c r="AZ169" s="11">
        <f>운전실적_원본!Y169</f>
        <v>0</v>
      </c>
      <c r="BA169" s="11">
        <f>운전실적_원본!Z169</f>
        <v>0</v>
      </c>
      <c r="BB169" s="11">
        <f>운전실적_원본!AA169</f>
        <v>0</v>
      </c>
      <c r="BC169" s="11">
        <f>운전실적_원본!AB169</f>
        <v>0</v>
      </c>
      <c r="BD169" s="32" t="str">
        <f t="shared" si="784"/>
        <v>-</v>
      </c>
      <c r="BE169" s="11" t="str">
        <f t="shared" si="792"/>
        <v>-</v>
      </c>
      <c r="BF169" s="11">
        <f>운전실적_원본!AE169</f>
        <v>0</v>
      </c>
      <c r="BG169" s="31">
        <f t="shared" si="785"/>
        <v>0</v>
      </c>
      <c r="BH169" s="241">
        <f>INDEX(연료전지_원본!$A$4:$KY$369,MATCH($A169,연료전지_원본!$A$4:$A$369,0),MATCH($BH$4,연료전지_원본!$A$4:$KY$4,0))</f>
        <v>0</v>
      </c>
      <c r="BI169" s="241">
        <f>INDEX(연료전지_원본!$A$4:$KY$369,MATCH($A169,연료전지_원본!$A$4:$A$369,0),MATCH($BI$4,연료전지_원본!$A$4:$KY$4,0))</f>
        <v>0</v>
      </c>
      <c r="BJ169" s="241">
        <f>INDEX(연료전지_원본!$A$4:$KY$369,MATCH($A169,연료전지_원본!$A$4:$A$369,0),MATCH($BJ$4,연료전지_원본!$A$4:$KY$4,0))</f>
        <v>0</v>
      </c>
      <c r="BK169" s="241">
        <f>INDEX(연료전지_원본!$A$4:$KY$369,MATCH($A169,연료전지_원본!$A$4:$A$369,0),MATCH($BK$4,연료전지_원본!$A$4:$KY$4,0))</f>
        <v>0</v>
      </c>
      <c r="BL169" s="241">
        <f>INDEX(연료전지_원본!$A$4:$KY$369,MATCH($A169,연료전지_원본!$A$4:$A$369,0),MATCH($BL$4,연료전지_원본!$A$4:$KY$4,0))</f>
        <v>0</v>
      </c>
      <c r="BM169" s="241">
        <f>INDEX(연료전지_원본!$A$4:$KY$369,MATCH($A169,연료전지_원본!$A$4:$A$369,0),MATCH($BM$4,연료전지_원본!$A$4:$KY$4,0))</f>
        <v>0</v>
      </c>
      <c r="BN169" s="241">
        <f>INDEX(연료전지_원본!$A$4:$KY$369,MATCH($A169,연료전지_원본!$A$4:$A$369,0),MATCH($BN$4,연료전지_원본!$A$4:$KY$4,0))</f>
        <v>0</v>
      </c>
      <c r="BO169" s="241">
        <f>INDEX(연료전지_원본!$A$4:$KY$369,MATCH($A169,연료전지_원본!$A$4:$A$369,0),MATCH($BO$4,연료전지_원본!$A$4:$KY$4,0))</f>
        <v>0</v>
      </c>
      <c r="BP169" s="241">
        <f>INDEX(연료전지_원본!$A$4:$KY$369,MATCH($A169,연료전지_원본!$A$4:$A$369,0),MATCH($BP$4,연료전지_원본!$A$4:$KY$4,0))</f>
        <v>0</v>
      </c>
      <c r="BQ169" s="241">
        <f>INDEX(연료전지_원본!$A$4:$KY$369,MATCH($A169,연료전지_원본!$A$4:$A$369,0),MATCH($BQ$4,연료전지_원본!$A$4:$KY$4,0))</f>
        <v>0</v>
      </c>
      <c r="BR169" s="241">
        <f>INDEX(연료전지_원본!$A$4:$KY$369,MATCH($A169,연료전지_원본!$A$4:$A$369,0),MATCH($BR$4,연료전지_원본!$A$4:$KY$4,0))</f>
        <v>0</v>
      </c>
      <c r="BS169" s="241">
        <f>INDEX(연료전지_원본!$A$4:$KY$369,MATCH($A169,연료전지_원본!$A$4:$A$369,0),MATCH($BS$4,연료전지_원본!$A$4:$KY$4,0))</f>
        <v>0</v>
      </c>
      <c r="BT169" s="241">
        <f>INDEX(연료전지_원본!$A$4:$KY$369,MATCH($A169,연료전지_원본!$A$4:$A$369,0),MATCH($BT$4,연료전지_원본!$A$4:$KY$4,0))</f>
        <v>0</v>
      </c>
      <c r="BU169" s="241">
        <f>INDEX(연료전지_원본!$A$4:$KY$369,MATCH($A169,연료전지_원본!$A$4:$A$369,0),MATCH($BU$4,연료전지_원본!$A$4:$KY$4,0))</f>
        <v>0</v>
      </c>
      <c r="BV169" s="241">
        <f>INDEX(연료전지_원본!$A$4:$KY$369,MATCH($A169,연료전지_원본!$A$4:$A$369,0),MATCH($BV$4,연료전지_원본!$A$4:$KY$4,0))</f>
        <v>0</v>
      </c>
      <c r="BW169" s="241">
        <f>INDEX(연료전지_원본!$A$4:$KY$369,MATCH($A169,연료전지_원본!$A$4:$A$369,0),MATCH($BW$4,연료전지_원본!$A$4:$KY$4,0))</f>
        <v>0</v>
      </c>
      <c r="BX169" s="241">
        <f>INDEX(연료전지_원본!$A$4:$KY$369,MATCH($A169,연료전지_원본!$A$4:$A$369,0),MATCH($BX$4,연료전지_원본!$A$4:$KY$4,0))</f>
        <v>0</v>
      </c>
      <c r="BY169" s="241">
        <f>INDEX(연료전지_원본!$A$4:$KY$369,MATCH($A169,연료전지_원본!$A$4:$A$369,0),MATCH($BY$4,연료전지_원본!$A$4:$KY$4,0))</f>
        <v>0</v>
      </c>
      <c r="BZ169" s="241">
        <f>INDEX(연료전지_원본!$A$4:$KY$369,MATCH($A169,연료전지_원본!$A$4:$A$369,0),MATCH($BZ$4,연료전지_원본!$A$4:$KY$4,0))</f>
        <v>0</v>
      </c>
      <c r="CA169" s="241">
        <f>INDEX(연료전지_원본!$A$4:$KY$369,MATCH($A169,연료전지_원본!$A$4:$A$369,0),MATCH($CA$4,연료전지_원본!$A$4:$KY$4,0))</f>
        <v>0</v>
      </c>
      <c r="CB169" s="241">
        <f>INDEX(연료전지_원본!$A$4:$KY$369,MATCH($A169,연료전지_원본!$A$4:$A$369,0),MATCH($CB$4,연료전지_원본!$A$4:$KY$4,0))</f>
        <v>0</v>
      </c>
      <c r="CC169" s="242">
        <f>INDEX(연료전지_원본!$A$4:$KY$369,MATCH($A169,연료전지_원본!$A$4:$A$369,0),MATCH($CC$4,연료전지_원본!$A$4:$KY$4,0))</f>
        <v>0</v>
      </c>
      <c r="CD169" s="250">
        <f>INDEX(연료전지_원본!$KB$4:$KX$369,MATCH($A169,연료전지_원본!$KB$4:$KB$369,0), MATCH(CD$4,연료전지_원본!$KB$4:$KX$4,0))*1000</f>
        <v>0</v>
      </c>
      <c r="CE169" s="250">
        <f>INDEX(연료전지_원본!$KB$4:$KX$369,MATCH($A169,연료전지_원본!$KB$4:$KB$369,0), MATCH(CE$4,연료전지_원본!$KB$4:$KX$4,0))*1000</f>
        <v>0</v>
      </c>
      <c r="CF169" s="250">
        <f>INDEX(연료전지_원본!$KB$4:$KX$369,MATCH($A169,연료전지_원본!$KB$4:$KB$369,0), MATCH(CF$4,연료전지_원본!$KB$4:$KX$4,0))*1000</f>
        <v>0</v>
      </c>
      <c r="CG169" s="250">
        <f>INDEX(연료전지_원본!$KB$4:$KX$369,MATCH($A169,연료전지_원본!$KB$4:$KB$369,0), MATCH(CG$4,연료전지_원본!$KB$4:$KX$4,0))*1000</f>
        <v>0</v>
      </c>
      <c r="CH169" s="250">
        <f>INDEX(연료전지_원본!$KB$4:$KX$369,MATCH($A169,연료전지_원본!$KB$4:$KB$369,0), MATCH(CH$4,연료전지_원본!$KB$4:$KX$4,0))*1000</f>
        <v>0</v>
      </c>
      <c r="CI169" s="250">
        <f>INDEX(연료전지_원본!$KB$4:$KX$369,MATCH($A169,연료전지_원본!$KB$4:$KB$369,0), MATCH(CI$4,연료전지_원본!$KB$4:$KX$4,0))*1000</f>
        <v>0</v>
      </c>
      <c r="CJ169" s="250">
        <f>INDEX(연료전지_원본!$KB$4:$KX$369,MATCH($A169,연료전지_원본!$KB$4:$KB$369,0), MATCH(CJ$4,연료전지_원본!$KB$4:$KX$4,0))*1000</f>
        <v>0</v>
      </c>
      <c r="CK169" s="250">
        <f>INDEX(연료전지_원본!$KB$4:$KX$369,MATCH($A169,연료전지_원본!$KB$4:$KB$369,0), MATCH(CK$4,연료전지_원본!$KB$4:$KX$4,0))*1000</f>
        <v>0</v>
      </c>
      <c r="CL169" s="250">
        <f>INDEX(연료전지_원본!$KB$4:$KX$369,MATCH($A169,연료전지_원본!$KB$4:$KB$369,0), MATCH(CL$4,연료전지_원본!$KB$4:$KX$4,0))*1000</f>
        <v>0</v>
      </c>
      <c r="CM169" s="250">
        <f>INDEX(연료전지_원본!$KB$4:$KX$369,MATCH($A169,연료전지_원본!$KB$4:$KB$369,0), MATCH(CM$4,연료전지_원본!$KB$4:$KX$4,0))*1000</f>
        <v>0</v>
      </c>
      <c r="CN169" s="250">
        <f>INDEX(연료전지_원본!$KB$4:$KX$369,MATCH($A169,연료전지_원본!$KB$4:$KB$369,0), MATCH(CN$4,연료전지_원본!$KB$4:$KX$4,0))*1000</f>
        <v>0</v>
      </c>
      <c r="CO169" s="250">
        <f>INDEX(연료전지_원본!$KB$4:$KX$369,MATCH($A169,연료전지_원본!$KB$4:$KB$369,0), MATCH(CO$4,연료전지_원본!$KB$4:$KX$4,0))*1000</f>
        <v>0</v>
      </c>
      <c r="CP169" s="250">
        <f>INDEX(연료전지_원본!$KB$4:$KX$369,MATCH($A169,연료전지_원본!$KB$4:$KB$369,0), MATCH(CP$4,연료전지_원본!$KB$4:$KX$4,0))*1000</f>
        <v>0</v>
      </c>
      <c r="CQ169" s="250">
        <f>INDEX(연료전지_원본!$KB$4:$KX$369,MATCH($A169,연료전지_원본!$KB$4:$KB$369,0), MATCH(CQ$4,연료전지_원본!$KB$4:$KX$4,0))*1000</f>
        <v>0</v>
      </c>
      <c r="CR169" s="250">
        <f>INDEX(연료전지_원본!$KB$4:$KX$369,MATCH($A169,연료전지_원본!$KB$4:$KB$369,0), MATCH(CR$4,연료전지_원본!$KB$4:$KX$4,0))*1000</f>
        <v>0</v>
      </c>
      <c r="CS169" s="250">
        <f>INDEX(연료전지_원본!$KB$4:$KX$369,MATCH($A169,연료전지_원본!$KB$4:$KB$369,0), MATCH(CS$4,연료전지_원본!$KB$4:$KX$4,0))*1000</f>
        <v>0</v>
      </c>
      <c r="CT169" s="250">
        <f>INDEX(연료전지_원본!$KB$4:$KX$369,MATCH($A169,연료전지_원본!$KB$4:$KB$369,0), MATCH(CT$4,연료전지_원본!$KB$4:$KX$4,0))*1000</f>
        <v>0</v>
      </c>
      <c r="CU169" s="250">
        <f>INDEX(연료전지_원본!$KB$4:$KX$369,MATCH($A169,연료전지_원본!$KB$4:$KB$369,0), MATCH(CU$4,연료전지_원본!$KB$4:$KX$4,0))*1000</f>
        <v>0</v>
      </c>
      <c r="CV169" s="250">
        <f>INDEX(연료전지_원본!$KB$4:$KX$369,MATCH($A169,연료전지_원본!$KB$4:$KB$369,0), MATCH(CV$4,연료전지_원본!$KB$4:$KX$4,0))*1000</f>
        <v>0</v>
      </c>
      <c r="CW169" s="250">
        <f>INDEX(연료전지_원본!$KB$4:$KX$369,MATCH($A169,연료전지_원본!$KB$4:$KB$369,0), MATCH(CW$4,연료전지_원본!$KB$4:$KX$4,0))*1000</f>
        <v>0</v>
      </c>
      <c r="CX169" s="250">
        <f>INDEX(연료전지_원본!$KB$4:$KX$369,MATCH($A169,연료전지_원본!$KB$4:$KB$369,0), MATCH(CX$4,연료전지_원본!$KB$4:$KX$4,0))*1000</f>
        <v>0</v>
      </c>
      <c r="CY169" s="250">
        <f>INDEX(연료전지_원본!$KB$4:$KX$369,MATCH($A169,연료전지_원본!$KB$4:$KB$369,0), MATCH(CY$4,연료전지_원본!$KB$4:$KX$4,0))*1000</f>
        <v>0</v>
      </c>
      <c r="DV169" s="30">
        <f t="shared" si="954"/>
        <v>0</v>
      </c>
    </row>
    <row r="170" spans="1:126">
      <c r="A170" s="6">
        <v>46187</v>
      </c>
      <c r="B170" s="15">
        <f>운전실적_원본!B170</f>
        <v>0</v>
      </c>
      <c r="C170" s="16" t="str">
        <f t="shared" si="960"/>
        <v/>
      </c>
      <c r="D170" s="12">
        <f>운전실적_원본!C170</f>
        <v>0</v>
      </c>
      <c r="E170" s="12" t="str">
        <f t="shared" si="961"/>
        <v/>
      </c>
      <c r="F170" s="12">
        <f>운전실적_원본!D170</f>
        <v>0</v>
      </c>
      <c r="G170" s="16" t="str">
        <f t="shared" si="962"/>
        <v/>
      </c>
      <c r="H170" s="15">
        <f>운전실적_원본!E170</f>
        <v>0</v>
      </c>
      <c r="I170" s="16" t="str">
        <f t="shared" si="963"/>
        <v/>
      </c>
      <c r="J170" s="15">
        <f>운전실적_원본!F170</f>
        <v>0</v>
      </c>
      <c r="K170" s="16" t="str">
        <f t="shared" si="963"/>
        <v/>
      </c>
      <c r="L170" s="32">
        <f>운전실적_원본!G170</f>
        <v>0</v>
      </c>
      <c r="M170" s="31" t="str">
        <f t="shared" ref="M170" si="975">IF(OR(LEN(L170)=0,L170=0),"",L170-L169)</f>
        <v/>
      </c>
      <c r="N170" s="15">
        <f>운전실적_원본!H170</f>
        <v>0</v>
      </c>
      <c r="O170" s="16" t="str">
        <f t="shared" ref="O170" si="976">IF(OR(LEN(N170)=0,N170=0),"",N170-N169)</f>
        <v/>
      </c>
      <c r="P170" s="15">
        <f>운전실적_원본!I170</f>
        <v>0</v>
      </c>
      <c r="Q170" s="16" t="str">
        <f t="shared" ref="Q170" si="977">IF(OR(LEN(P170)=0,P170=0),"",P170-P169)</f>
        <v/>
      </c>
      <c r="R170" s="18">
        <f>운전실적_원본!J170</f>
        <v>0</v>
      </c>
      <c r="S170" s="19" t="str">
        <f t="shared" ref="S170" si="978">IF(OR(LEN(R170)=0,R170=0),"",R170-R169)</f>
        <v/>
      </c>
      <c r="T170" s="18">
        <f>운전실적_원본!K170</f>
        <v>0</v>
      </c>
      <c r="U170" s="19" t="str">
        <f t="shared" si="968"/>
        <v/>
      </c>
      <c r="V170" s="12">
        <f>운전실적_원본!L170</f>
        <v>0</v>
      </c>
      <c r="W170" s="16" t="str">
        <f t="shared" ref="W170" si="979">IF(OR(LEN(V170)=0,V170=0),"",V170-V169)</f>
        <v/>
      </c>
      <c r="X170" s="10">
        <f>운전실적_원본!M170</f>
        <v>0</v>
      </c>
      <c r="Y170" s="10">
        <f>운전실적_원본!N170</f>
        <v>0</v>
      </c>
      <c r="Z170" s="10">
        <f>운전실적_원본!O170</f>
        <v>0</v>
      </c>
      <c r="AA170" s="10">
        <f>운전실적_원본!P170</f>
        <v>0</v>
      </c>
      <c r="AB170" s="10">
        <f>운전실적_원본!Q170</f>
        <v>0</v>
      </c>
      <c r="AC170" s="20">
        <f>운전실적_원본!R170</f>
        <v>0</v>
      </c>
      <c r="AD170" s="109">
        <f>운전실적_원본!S170</f>
        <v>0</v>
      </c>
      <c r="AE170" s="110">
        <f>운전실적_원본!T170</f>
        <v>0</v>
      </c>
      <c r="AF170" s="110">
        <f>운전실적_원본!U170</f>
        <v>0</v>
      </c>
      <c r="AG170" s="110">
        <f>운전실적_원본!V170</f>
        <v>0</v>
      </c>
      <c r="AH170" s="109">
        <f t="shared" si="791"/>
        <v>0</v>
      </c>
      <c r="AI170" s="110">
        <f t="shared" si="798"/>
        <v>0</v>
      </c>
      <c r="AJ170" s="110">
        <f>운전실적_원본!Y170</f>
        <v>0</v>
      </c>
      <c r="AK170" s="110">
        <f>운전실적_원본!Z170</f>
        <v>0</v>
      </c>
      <c r="AL170" s="106"/>
      <c r="AM170" s="105"/>
      <c r="AN170" s="105"/>
      <c r="AO170" s="105"/>
      <c r="AP170" s="105"/>
      <c r="AQ170" s="108"/>
      <c r="AR170" s="105"/>
      <c r="AS170" s="105"/>
      <c r="AT170" s="102"/>
      <c r="AU170" s="102"/>
      <c r="AV170" s="102"/>
      <c r="AW170" s="102"/>
      <c r="AX170" s="32">
        <f>운전실적_원본!W170</f>
        <v>0</v>
      </c>
      <c r="AY170" s="11">
        <f>운전실적_원본!X170</f>
        <v>0</v>
      </c>
      <c r="AZ170" s="11">
        <f>운전실적_원본!Y170</f>
        <v>0</v>
      </c>
      <c r="BA170" s="11">
        <f>운전실적_원본!Z170</f>
        <v>0</v>
      </c>
      <c r="BB170" s="11">
        <f>운전실적_원본!AA170</f>
        <v>0</v>
      </c>
      <c r="BC170" s="11">
        <f>운전실적_원본!AB170</f>
        <v>0</v>
      </c>
      <c r="BD170" s="32" t="str">
        <f t="shared" si="784"/>
        <v>-</v>
      </c>
      <c r="BE170" s="11" t="str">
        <f t="shared" si="792"/>
        <v>-</v>
      </c>
      <c r="BF170" s="11">
        <f>운전실적_원본!AE170</f>
        <v>0</v>
      </c>
      <c r="BG170" s="31">
        <f t="shared" si="785"/>
        <v>0</v>
      </c>
      <c r="BH170" s="241">
        <f>INDEX(연료전지_원본!$A$4:$KY$369,MATCH($A170,연료전지_원본!$A$4:$A$369,0),MATCH($BH$4,연료전지_원본!$A$4:$KY$4,0))</f>
        <v>0</v>
      </c>
      <c r="BI170" s="241">
        <f>INDEX(연료전지_원본!$A$4:$KY$369,MATCH($A170,연료전지_원본!$A$4:$A$369,0),MATCH($BI$4,연료전지_원본!$A$4:$KY$4,0))</f>
        <v>0</v>
      </c>
      <c r="BJ170" s="241">
        <f>INDEX(연료전지_원본!$A$4:$KY$369,MATCH($A170,연료전지_원본!$A$4:$A$369,0),MATCH($BJ$4,연료전지_원본!$A$4:$KY$4,0))</f>
        <v>0</v>
      </c>
      <c r="BK170" s="241">
        <f>INDEX(연료전지_원본!$A$4:$KY$369,MATCH($A170,연료전지_원본!$A$4:$A$369,0),MATCH($BK$4,연료전지_원본!$A$4:$KY$4,0))</f>
        <v>0</v>
      </c>
      <c r="BL170" s="241">
        <f>INDEX(연료전지_원본!$A$4:$KY$369,MATCH($A170,연료전지_원본!$A$4:$A$369,0),MATCH($BL$4,연료전지_원본!$A$4:$KY$4,0))</f>
        <v>0</v>
      </c>
      <c r="BM170" s="241">
        <f>INDEX(연료전지_원본!$A$4:$KY$369,MATCH($A170,연료전지_원본!$A$4:$A$369,0),MATCH($BM$4,연료전지_원본!$A$4:$KY$4,0))</f>
        <v>0</v>
      </c>
      <c r="BN170" s="241">
        <f>INDEX(연료전지_원본!$A$4:$KY$369,MATCH($A170,연료전지_원본!$A$4:$A$369,0),MATCH($BN$4,연료전지_원본!$A$4:$KY$4,0))</f>
        <v>0</v>
      </c>
      <c r="BO170" s="241">
        <f>INDEX(연료전지_원본!$A$4:$KY$369,MATCH($A170,연료전지_원본!$A$4:$A$369,0),MATCH($BO$4,연료전지_원본!$A$4:$KY$4,0))</f>
        <v>0</v>
      </c>
      <c r="BP170" s="241">
        <f>INDEX(연료전지_원본!$A$4:$KY$369,MATCH($A170,연료전지_원본!$A$4:$A$369,0),MATCH($BP$4,연료전지_원본!$A$4:$KY$4,0))</f>
        <v>0</v>
      </c>
      <c r="BQ170" s="241">
        <f>INDEX(연료전지_원본!$A$4:$KY$369,MATCH($A170,연료전지_원본!$A$4:$A$369,0),MATCH($BQ$4,연료전지_원본!$A$4:$KY$4,0))</f>
        <v>0</v>
      </c>
      <c r="BR170" s="241">
        <f>INDEX(연료전지_원본!$A$4:$KY$369,MATCH($A170,연료전지_원본!$A$4:$A$369,0),MATCH($BR$4,연료전지_원본!$A$4:$KY$4,0))</f>
        <v>0</v>
      </c>
      <c r="BS170" s="241">
        <f>INDEX(연료전지_원본!$A$4:$KY$369,MATCH($A170,연료전지_원본!$A$4:$A$369,0),MATCH($BS$4,연료전지_원본!$A$4:$KY$4,0))</f>
        <v>0</v>
      </c>
      <c r="BT170" s="241">
        <f>INDEX(연료전지_원본!$A$4:$KY$369,MATCH($A170,연료전지_원본!$A$4:$A$369,0),MATCH($BT$4,연료전지_원본!$A$4:$KY$4,0))</f>
        <v>0</v>
      </c>
      <c r="BU170" s="241">
        <f>INDEX(연료전지_원본!$A$4:$KY$369,MATCH($A170,연료전지_원본!$A$4:$A$369,0),MATCH($BU$4,연료전지_원본!$A$4:$KY$4,0))</f>
        <v>0</v>
      </c>
      <c r="BV170" s="241">
        <f>INDEX(연료전지_원본!$A$4:$KY$369,MATCH($A170,연료전지_원본!$A$4:$A$369,0),MATCH($BV$4,연료전지_원본!$A$4:$KY$4,0))</f>
        <v>0</v>
      </c>
      <c r="BW170" s="241">
        <f>INDEX(연료전지_원본!$A$4:$KY$369,MATCH($A170,연료전지_원본!$A$4:$A$369,0),MATCH($BW$4,연료전지_원본!$A$4:$KY$4,0))</f>
        <v>0</v>
      </c>
      <c r="BX170" s="241">
        <f>INDEX(연료전지_원본!$A$4:$KY$369,MATCH($A170,연료전지_원본!$A$4:$A$369,0),MATCH($BX$4,연료전지_원본!$A$4:$KY$4,0))</f>
        <v>0</v>
      </c>
      <c r="BY170" s="241">
        <f>INDEX(연료전지_원본!$A$4:$KY$369,MATCH($A170,연료전지_원본!$A$4:$A$369,0),MATCH($BY$4,연료전지_원본!$A$4:$KY$4,0))</f>
        <v>0</v>
      </c>
      <c r="BZ170" s="241">
        <f>INDEX(연료전지_원본!$A$4:$KY$369,MATCH($A170,연료전지_원본!$A$4:$A$369,0),MATCH($BZ$4,연료전지_원본!$A$4:$KY$4,0))</f>
        <v>0</v>
      </c>
      <c r="CA170" s="241">
        <f>INDEX(연료전지_원본!$A$4:$KY$369,MATCH($A170,연료전지_원본!$A$4:$A$369,0),MATCH($CA$4,연료전지_원본!$A$4:$KY$4,0))</f>
        <v>0</v>
      </c>
      <c r="CB170" s="241">
        <f>INDEX(연료전지_원본!$A$4:$KY$369,MATCH($A170,연료전지_원본!$A$4:$A$369,0),MATCH($CB$4,연료전지_원본!$A$4:$KY$4,0))</f>
        <v>0</v>
      </c>
      <c r="CC170" s="242">
        <f>INDEX(연료전지_원본!$A$4:$KY$369,MATCH($A170,연료전지_원본!$A$4:$A$369,0),MATCH($CC$4,연료전지_원본!$A$4:$KY$4,0))</f>
        <v>0</v>
      </c>
      <c r="CD170" s="250">
        <f>INDEX(연료전지_원본!$KB$4:$KX$369,MATCH($A170,연료전지_원본!$KB$4:$KB$369,0), MATCH(CD$4,연료전지_원본!$KB$4:$KX$4,0))*1000</f>
        <v>0</v>
      </c>
      <c r="CE170" s="250">
        <f>INDEX(연료전지_원본!$KB$4:$KX$369,MATCH($A170,연료전지_원본!$KB$4:$KB$369,0), MATCH(CE$4,연료전지_원본!$KB$4:$KX$4,0))*1000</f>
        <v>0</v>
      </c>
      <c r="CF170" s="250">
        <f>INDEX(연료전지_원본!$KB$4:$KX$369,MATCH($A170,연료전지_원본!$KB$4:$KB$369,0), MATCH(CF$4,연료전지_원본!$KB$4:$KX$4,0))*1000</f>
        <v>0</v>
      </c>
      <c r="CG170" s="250">
        <f>INDEX(연료전지_원본!$KB$4:$KX$369,MATCH($A170,연료전지_원본!$KB$4:$KB$369,0), MATCH(CG$4,연료전지_원본!$KB$4:$KX$4,0))*1000</f>
        <v>0</v>
      </c>
      <c r="CH170" s="250">
        <f>INDEX(연료전지_원본!$KB$4:$KX$369,MATCH($A170,연료전지_원본!$KB$4:$KB$369,0), MATCH(CH$4,연료전지_원본!$KB$4:$KX$4,0))*1000</f>
        <v>0</v>
      </c>
      <c r="CI170" s="250">
        <f>INDEX(연료전지_원본!$KB$4:$KX$369,MATCH($A170,연료전지_원본!$KB$4:$KB$369,0), MATCH(CI$4,연료전지_원본!$KB$4:$KX$4,0))*1000</f>
        <v>0</v>
      </c>
      <c r="CJ170" s="250">
        <f>INDEX(연료전지_원본!$KB$4:$KX$369,MATCH($A170,연료전지_원본!$KB$4:$KB$369,0), MATCH(CJ$4,연료전지_원본!$KB$4:$KX$4,0))*1000</f>
        <v>0</v>
      </c>
      <c r="CK170" s="250">
        <f>INDEX(연료전지_원본!$KB$4:$KX$369,MATCH($A170,연료전지_원본!$KB$4:$KB$369,0), MATCH(CK$4,연료전지_원본!$KB$4:$KX$4,0))*1000</f>
        <v>0</v>
      </c>
      <c r="CL170" s="250">
        <f>INDEX(연료전지_원본!$KB$4:$KX$369,MATCH($A170,연료전지_원본!$KB$4:$KB$369,0), MATCH(CL$4,연료전지_원본!$KB$4:$KX$4,0))*1000</f>
        <v>0</v>
      </c>
      <c r="CM170" s="250">
        <f>INDEX(연료전지_원본!$KB$4:$KX$369,MATCH($A170,연료전지_원본!$KB$4:$KB$369,0), MATCH(CM$4,연료전지_원본!$KB$4:$KX$4,0))*1000</f>
        <v>0</v>
      </c>
      <c r="CN170" s="250">
        <f>INDEX(연료전지_원본!$KB$4:$KX$369,MATCH($A170,연료전지_원본!$KB$4:$KB$369,0), MATCH(CN$4,연료전지_원본!$KB$4:$KX$4,0))*1000</f>
        <v>0</v>
      </c>
      <c r="CO170" s="250">
        <f>INDEX(연료전지_원본!$KB$4:$KX$369,MATCH($A170,연료전지_원본!$KB$4:$KB$369,0), MATCH(CO$4,연료전지_원본!$KB$4:$KX$4,0))*1000</f>
        <v>0</v>
      </c>
      <c r="CP170" s="250">
        <f>INDEX(연료전지_원본!$KB$4:$KX$369,MATCH($A170,연료전지_원본!$KB$4:$KB$369,0), MATCH(CP$4,연료전지_원본!$KB$4:$KX$4,0))*1000</f>
        <v>0</v>
      </c>
      <c r="CQ170" s="250">
        <f>INDEX(연료전지_원본!$KB$4:$KX$369,MATCH($A170,연료전지_원본!$KB$4:$KB$369,0), MATCH(CQ$4,연료전지_원본!$KB$4:$KX$4,0))*1000</f>
        <v>0</v>
      </c>
      <c r="CR170" s="250">
        <f>INDEX(연료전지_원본!$KB$4:$KX$369,MATCH($A170,연료전지_원본!$KB$4:$KB$369,0), MATCH(CR$4,연료전지_원본!$KB$4:$KX$4,0))*1000</f>
        <v>0</v>
      </c>
      <c r="CS170" s="250">
        <f>INDEX(연료전지_원본!$KB$4:$KX$369,MATCH($A170,연료전지_원본!$KB$4:$KB$369,0), MATCH(CS$4,연료전지_원본!$KB$4:$KX$4,0))*1000</f>
        <v>0</v>
      </c>
      <c r="CT170" s="250">
        <f>INDEX(연료전지_원본!$KB$4:$KX$369,MATCH($A170,연료전지_원본!$KB$4:$KB$369,0), MATCH(CT$4,연료전지_원본!$KB$4:$KX$4,0))*1000</f>
        <v>0</v>
      </c>
      <c r="CU170" s="250">
        <f>INDEX(연료전지_원본!$KB$4:$KX$369,MATCH($A170,연료전지_원본!$KB$4:$KB$369,0), MATCH(CU$4,연료전지_원본!$KB$4:$KX$4,0))*1000</f>
        <v>0</v>
      </c>
      <c r="CV170" s="250">
        <f>INDEX(연료전지_원본!$KB$4:$KX$369,MATCH($A170,연료전지_원본!$KB$4:$KB$369,0), MATCH(CV$4,연료전지_원본!$KB$4:$KX$4,0))*1000</f>
        <v>0</v>
      </c>
      <c r="CW170" s="250">
        <f>INDEX(연료전지_원본!$KB$4:$KX$369,MATCH($A170,연료전지_원본!$KB$4:$KB$369,0), MATCH(CW$4,연료전지_원본!$KB$4:$KX$4,0))*1000</f>
        <v>0</v>
      </c>
      <c r="CX170" s="250">
        <f>INDEX(연료전지_원본!$KB$4:$KX$369,MATCH($A170,연료전지_원본!$KB$4:$KB$369,0), MATCH(CX$4,연료전지_원본!$KB$4:$KX$4,0))*1000</f>
        <v>0</v>
      </c>
      <c r="CY170" s="250">
        <f>INDEX(연료전지_원본!$KB$4:$KX$369,MATCH($A170,연료전지_원본!$KB$4:$KB$369,0), MATCH(CY$4,연료전지_원본!$KB$4:$KX$4,0))*1000</f>
        <v>0</v>
      </c>
      <c r="DV170" s="30">
        <f t="shared" si="954"/>
        <v>0</v>
      </c>
    </row>
    <row r="171" spans="1:126">
      <c r="A171" s="6">
        <v>46188</v>
      </c>
      <c r="B171" s="15">
        <f>운전실적_원본!B171</f>
        <v>0</v>
      </c>
      <c r="C171" s="16" t="str">
        <f t="shared" si="960"/>
        <v/>
      </c>
      <c r="D171" s="12">
        <f>운전실적_원본!C171</f>
        <v>0</v>
      </c>
      <c r="E171" s="12" t="str">
        <f t="shared" si="961"/>
        <v/>
      </c>
      <c r="F171" s="12">
        <f>운전실적_원본!D171</f>
        <v>0</v>
      </c>
      <c r="G171" s="16" t="str">
        <f t="shared" si="962"/>
        <v/>
      </c>
      <c r="H171" s="15">
        <f>운전실적_원본!E171</f>
        <v>0</v>
      </c>
      <c r="I171" s="16" t="str">
        <f t="shared" si="963"/>
        <v/>
      </c>
      <c r="J171" s="15">
        <f>운전실적_원본!F171</f>
        <v>0</v>
      </c>
      <c r="K171" s="16" t="str">
        <f t="shared" si="963"/>
        <v/>
      </c>
      <c r="L171" s="32">
        <f>운전실적_원본!G171</f>
        <v>0</v>
      </c>
      <c r="M171" s="31" t="str">
        <f t="shared" ref="M171" si="980">IF(OR(LEN(L171)=0,L171=0),"",L171-L170)</f>
        <v/>
      </c>
      <c r="N171" s="15">
        <f>운전실적_원본!H171</f>
        <v>0</v>
      </c>
      <c r="O171" s="16" t="str">
        <f t="shared" ref="O171" si="981">IF(OR(LEN(N171)=0,N171=0),"",N171-N170)</f>
        <v/>
      </c>
      <c r="P171" s="15">
        <f>운전실적_원본!I171</f>
        <v>0</v>
      </c>
      <c r="Q171" s="16" t="str">
        <f t="shared" ref="Q171" si="982">IF(OR(LEN(P171)=0,P171=0),"",P171-P170)</f>
        <v/>
      </c>
      <c r="R171" s="18">
        <f>운전실적_원본!J171</f>
        <v>0</v>
      </c>
      <c r="S171" s="19" t="str">
        <f t="shared" ref="S171" si="983">IF(OR(LEN(R171)=0,R171=0),"",R171-R170)</f>
        <v/>
      </c>
      <c r="T171" s="18">
        <f>운전실적_원본!K171</f>
        <v>0</v>
      </c>
      <c r="U171" s="19" t="str">
        <f t="shared" si="968"/>
        <v/>
      </c>
      <c r="V171" s="12">
        <f>운전실적_원본!L171</f>
        <v>0</v>
      </c>
      <c r="W171" s="16" t="str">
        <f t="shared" ref="W171" si="984">IF(OR(LEN(V171)=0,V171=0),"",V171-V170)</f>
        <v/>
      </c>
      <c r="X171" s="10">
        <f>운전실적_원본!M171</f>
        <v>0</v>
      </c>
      <c r="Y171" s="10">
        <f>운전실적_원본!N171</f>
        <v>0</v>
      </c>
      <c r="Z171" s="10">
        <f>운전실적_원본!O171</f>
        <v>0</v>
      </c>
      <c r="AA171" s="10">
        <f>운전실적_원본!P171</f>
        <v>0</v>
      </c>
      <c r="AB171" s="10">
        <f>운전실적_원본!Q171</f>
        <v>0</v>
      </c>
      <c r="AC171" s="20">
        <f>운전실적_원본!R171</f>
        <v>0</v>
      </c>
      <c r="AD171" s="109">
        <f>운전실적_원본!S171</f>
        <v>0</v>
      </c>
      <c r="AE171" s="110">
        <f>운전실적_원본!T171</f>
        <v>0</v>
      </c>
      <c r="AF171" s="110">
        <f>운전실적_원본!U171</f>
        <v>0</v>
      </c>
      <c r="AG171" s="110">
        <f>운전실적_원본!V171</f>
        <v>0</v>
      </c>
      <c r="AH171" s="109">
        <f t="shared" si="791"/>
        <v>0</v>
      </c>
      <c r="AI171" s="110">
        <f t="shared" si="798"/>
        <v>0</v>
      </c>
      <c r="AJ171" s="110">
        <f>운전실적_원본!Y171</f>
        <v>0</v>
      </c>
      <c r="AK171" s="110">
        <f>운전실적_원본!Z171</f>
        <v>0</v>
      </c>
      <c r="AL171" s="106"/>
      <c r="AM171" s="105"/>
      <c r="AN171" s="105"/>
      <c r="AO171" s="105"/>
      <c r="AP171" s="105"/>
      <c r="AQ171" s="108"/>
      <c r="AR171" s="105"/>
      <c r="AS171" s="105"/>
      <c r="AT171" s="102"/>
      <c r="AU171" s="102"/>
      <c r="AV171" s="102"/>
      <c r="AW171" s="102"/>
      <c r="AX171" s="32">
        <f>운전실적_원본!W171</f>
        <v>0</v>
      </c>
      <c r="AY171" s="11">
        <f>운전실적_원본!X171</f>
        <v>0</v>
      </c>
      <c r="AZ171" s="11">
        <f>운전실적_원본!Y171</f>
        <v>0</v>
      </c>
      <c r="BA171" s="11">
        <f>운전실적_원본!Z171</f>
        <v>0</v>
      </c>
      <c r="BB171" s="11">
        <f>운전실적_원본!AA171</f>
        <v>0</v>
      </c>
      <c r="BC171" s="11">
        <f>운전실적_원본!AB171</f>
        <v>0</v>
      </c>
      <c r="BD171" s="32" t="str">
        <f t="shared" si="784"/>
        <v>-</v>
      </c>
      <c r="BE171" s="11" t="str">
        <f t="shared" si="792"/>
        <v>-</v>
      </c>
      <c r="BF171" s="11">
        <f>운전실적_원본!AE171</f>
        <v>0</v>
      </c>
      <c r="BG171" s="31">
        <f t="shared" si="785"/>
        <v>0</v>
      </c>
      <c r="BH171" s="241">
        <f>INDEX(연료전지_원본!$A$4:$KY$369,MATCH($A171,연료전지_원본!$A$4:$A$369,0),MATCH($BH$4,연료전지_원본!$A$4:$KY$4,0))</f>
        <v>0</v>
      </c>
      <c r="BI171" s="241">
        <f>INDEX(연료전지_원본!$A$4:$KY$369,MATCH($A171,연료전지_원본!$A$4:$A$369,0),MATCH($BI$4,연료전지_원본!$A$4:$KY$4,0))</f>
        <v>0</v>
      </c>
      <c r="BJ171" s="241">
        <f>INDEX(연료전지_원본!$A$4:$KY$369,MATCH($A171,연료전지_원본!$A$4:$A$369,0),MATCH($BJ$4,연료전지_원본!$A$4:$KY$4,0))</f>
        <v>0</v>
      </c>
      <c r="BK171" s="241">
        <f>INDEX(연료전지_원본!$A$4:$KY$369,MATCH($A171,연료전지_원본!$A$4:$A$369,0),MATCH($BK$4,연료전지_원본!$A$4:$KY$4,0))</f>
        <v>0</v>
      </c>
      <c r="BL171" s="241">
        <f>INDEX(연료전지_원본!$A$4:$KY$369,MATCH($A171,연료전지_원본!$A$4:$A$369,0),MATCH($BL$4,연료전지_원본!$A$4:$KY$4,0))</f>
        <v>0</v>
      </c>
      <c r="BM171" s="241">
        <f>INDEX(연료전지_원본!$A$4:$KY$369,MATCH($A171,연료전지_원본!$A$4:$A$369,0),MATCH($BM$4,연료전지_원본!$A$4:$KY$4,0))</f>
        <v>0</v>
      </c>
      <c r="BN171" s="241">
        <f>INDEX(연료전지_원본!$A$4:$KY$369,MATCH($A171,연료전지_원본!$A$4:$A$369,0),MATCH($BN$4,연료전지_원본!$A$4:$KY$4,0))</f>
        <v>0</v>
      </c>
      <c r="BO171" s="241">
        <f>INDEX(연료전지_원본!$A$4:$KY$369,MATCH($A171,연료전지_원본!$A$4:$A$369,0),MATCH($BO$4,연료전지_원본!$A$4:$KY$4,0))</f>
        <v>0</v>
      </c>
      <c r="BP171" s="241">
        <f>INDEX(연료전지_원본!$A$4:$KY$369,MATCH($A171,연료전지_원본!$A$4:$A$369,0),MATCH($BP$4,연료전지_원본!$A$4:$KY$4,0))</f>
        <v>0</v>
      </c>
      <c r="BQ171" s="241">
        <f>INDEX(연료전지_원본!$A$4:$KY$369,MATCH($A171,연료전지_원본!$A$4:$A$369,0),MATCH($BQ$4,연료전지_원본!$A$4:$KY$4,0))</f>
        <v>0</v>
      </c>
      <c r="BR171" s="241">
        <f>INDEX(연료전지_원본!$A$4:$KY$369,MATCH($A171,연료전지_원본!$A$4:$A$369,0),MATCH($BR$4,연료전지_원본!$A$4:$KY$4,0))</f>
        <v>0</v>
      </c>
      <c r="BS171" s="241">
        <f>INDEX(연료전지_원본!$A$4:$KY$369,MATCH($A171,연료전지_원본!$A$4:$A$369,0),MATCH($BS$4,연료전지_원본!$A$4:$KY$4,0))</f>
        <v>0</v>
      </c>
      <c r="BT171" s="241">
        <f>INDEX(연료전지_원본!$A$4:$KY$369,MATCH($A171,연료전지_원본!$A$4:$A$369,0),MATCH($BT$4,연료전지_원본!$A$4:$KY$4,0))</f>
        <v>0</v>
      </c>
      <c r="BU171" s="241">
        <f>INDEX(연료전지_원본!$A$4:$KY$369,MATCH($A171,연료전지_원본!$A$4:$A$369,0),MATCH($BU$4,연료전지_원본!$A$4:$KY$4,0))</f>
        <v>0</v>
      </c>
      <c r="BV171" s="241">
        <f>INDEX(연료전지_원본!$A$4:$KY$369,MATCH($A171,연료전지_원본!$A$4:$A$369,0),MATCH($BV$4,연료전지_원본!$A$4:$KY$4,0))</f>
        <v>0</v>
      </c>
      <c r="BW171" s="241">
        <f>INDEX(연료전지_원본!$A$4:$KY$369,MATCH($A171,연료전지_원본!$A$4:$A$369,0),MATCH($BW$4,연료전지_원본!$A$4:$KY$4,0))</f>
        <v>0</v>
      </c>
      <c r="BX171" s="241">
        <f>INDEX(연료전지_원본!$A$4:$KY$369,MATCH($A171,연료전지_원본!$A$4:$A$369,0),MATCH($BX$4,연료전지_원본!$A$4:$KY$4,0))</f>
        <v>0</v>
      </c>
      <c r="BY171" s="241">
        <f>INDEX(연료전지_원본!$A$4:$KY$369,MATCH($A171,연료전지_원본!$A$4:$A$369,0),MATCH($BY$4,연료전지_원본!$A$4:$KY$4,0))</f>
        <v>0</v>
      </c>
      <c r="BZ171" s="241">
        <f>INDEX(연료전지_원본!$A$4:$KY$369,MATCH($A171,연료전지_원본!$A$4:$A$369,0),MATCH($BZ$4,연료전지_원본!$A$4:$KY$4,0))</f>
        <v>0</v>
      </c>
      <c r="CA171" s="241">
        <f>INDEX(연료전지_원본!$A$4:$KY$369,MATCH($A171,연료전지_원본!$A$4:$A$369,0),MATCH($CA$4,연료전지_원본!$A$4:$KY$4,0))</f>
        <v>0</v>
      </c>
      <c r="CB171" s="241">
        <f>INDEX(연료전지_원본!$A$4:$KY$369,MATCH($A171,연료전지_원본!$A$4:$A$369,0),MATCH($CB$4,연료전지_원본!$A$4:$KY$4,0))</f>
        <v>0</v>
      </c>
      <c r="CC171" s="242">
        <f>INDEX(연료전지_원본!$A$4:$KY$369,MATCH($A171,연료전지_원본!$A$4:$A$369,0),MATCH($CC$4,연료전지_원본!$A$4:$KY$4,0))</f>
        <v>0</v>
      </c>
      <c r="CD171" s="250">
        <f>INDEX(연료전지_원본!$KB$4:$KX$369,MATCH($A171,연료전지_원본!$KB$4:$KB$369,0), MATCH(CD$4,연료전지_원본!$KB$4:$KX$4,0))*1000</f>
        <v>0</v>
      </c>
      <c r="CE171" s="250">
        <f>INDEX(연료전지_원본!$KB$4:$KX$369,MATCH($A171,연료전지_원본!$KB$4:$KB$369,0), MATCH(CE$4,연료전지_원본!$KB$4:$KX$4,0))*1000</f>
        <v>0</v>
      </c>
      <c r="CF171" s="250">
        <f>INDEX(연료전지_원본!$KB$4:$KX$369,MATCH($A171,연료전지_원본!$KB$4:$KB$369,0), MATCH(CF$4,연료전지_원본!$KB$4:$KX$4,0))*1000</f>
        <v>0</v>
      </c>
      <c r="CG171" s="250">
        <f>INDEX(연료전지_원본!$KB$4:$KX$369,MATCH($A171,연료전지_원본!$KB$4:$KB$369,0), MATCH(CG$4,연료전지_원본!$KB$4:$KX$4,0))*1000</f>
        <v>0</v>
      </c>
      <c r="CH171" s="250">
        <f>INDEX(연료전지_원본!$KB$4:$KX$369,MATCH($A171,연료전지_원본!$KB$4:$KB$369,0), MATCH(CH$4,연료전지_원본!$KB$4:$KX$4,0))*1000</f>
        <v>0</v>
      </c>
      <c r="CI171" s="250">
        <f>INDEX(연료전지_원본!$KB$4:$KX$369,MATCH($A171,연료전지_원본!$KB$4:$KB$369,0), MATCH(CI$4,연료전지_원본!$KB$4:$KX$4,0))*1000</f>
        <v>0</v>
      </c>
      <c r="CJ171" s="250">
        <f>INDEX(연료전지_원본!$KB$4:$KX$369,MATCH($A171,연료전지_원본!$KB$4:$KB$369,0), MATCH(CJ$4,연료전지_원본!$KB$4:$KX$4,0))*1000</f>
        <v>0</v>
      </c>
      <c r="CK171" s="250">
        <f>INDEX(연료전지_원본!$KB$4:$KX$369,MATCH($A171,연료전지_원본!$KB$4:$KB$369,0), MATCH(CK$4,연료전지_원본!$KB$4:$KX$4,0))*1000</f>
        <v>0</v>
      </c>
      <c r="CL171" s="250">
        <f>INDEX(연료전지_원본!$KB$4:$KX$369,MATCH($A171,연료전지_원본!$KB$4:$KB$369,0), MATCH(CL$4,연료전지_원본!$KB$4:$KX$4,0))*1000</f>
        <v>0</v>
      </c>
      <c r="CM171" s="250">
        <f>INDEX(연료전지_원본!$KB$4:$KX$369,MATCH($A171,연료전지_원본!$KB$4:$KB$369,0), MATCH(CM$4,연료전지_원본!$KB$4:$KX$4,0))*1000</f>
        <v>0</v>
      </c>
      <c r="CN171" s="250">
        <f>INDEX(연료전지_원본!$KB$4:$KX$369,MATCH($A171,연료전지_원본!$KB$4:$KB$369,0), MATCH(CN$4,연료전지_원본!$KB$4:$KX$4,0))*1000</f>
        <v>0</v>
      </c>
      <c r="CO171" s="250">
        <f>INDEX(연료전지_원본!$KB$4:$KX$369,MATCH($A171,연료전지_원본!$KB$4:$KB$369,0), MATCH(CO$4,연료전지_원본!$KB$4:$KX$4,0))*1000</f>
        <v>0</v>
      </c>
      <c r="CP171" s="250">
        <f>INDEX(연료전지_원본!$KB$4:$KX$369,MATCH($A171,연료전지_원본!$KB$4:$KB$369,0), MATCH(CP$4,연료전지_원본!$KB$4:$KX$4,0))*1000</f>
        <v>0</v>
      </c>
      <c r="CQ171" s="250">
        <f>INDEX(연료전지_원본!$KB$4:$KX$369,MATCH($A171,연료전지_원본!$KB$4:$KB$369,0), MATCH(CQ$4,연료전지_원본!$KB$4:$KX$4,0))*1000</f>
        <v>0</v>
      </c>
      <c r="CR171" s="250">
        <f>INDEX(연료전지_원본!$KB$4:$KX$369,MATCH($A171,연료전지_원본!$KB$4:$KB$369,0), MATCH(CR$4,연료전지_원본!$KB$4:$KX$4,0))*1000</f>
        <v>0</v>
      </c>
      <c r="CS171" s="250">
        <f>INDEX(연료전지_원본!$KB$4:$KX$369,MATCH($A171,연료전지_원본!$KB$4:$KB$369,0), MATCH(CS$4,연료전지_원본!$KB$4:$KX$4,0))*1000</f>
        <v>0</v>
      </c>
      <c r="CT171" s="250">
        <f>INDEX(연료전지_원본!$KB$4:$KX$369,MATCH($A171,연료전지_원본!$KB$4:$KB$369,0), MATCH(CT$4,연료전지_원본!$KB$4:$KX$4,0))*1000</f>
        <v>0</v>
      </c>
      <c r="CU171" s="250">
        <f>INDEX(연료전지_원본!$KB$4:$KX$369,MATCH($A171,연료전지_원본!$KB$4:$KB$369,0), MATCH(CU$4,연료전지_원본!$KB$4:$KX$4,0))*1000</f>
        <v>0</v>
      </c>
      <c r="CV171" s="250">
        <f>INDEX(연료전지_원본!$KB$4:$KX$369,MATCH($A171,연료전지_원본!$KB$4:$KB$369,0), MATCH(CV$4,연료전지_원본!$KB$4:$KX$4,0))*1000</f>
        <v>0</v>
      </c>
      <c r="CW171" s="250">
        <f>INDEX(연료전지_원본!$KB$4:$KX$369,MATCH($A171,연료전지_원본!$KB$4:$KB$369,0), MATCH(CW$4,연료전지_원본!$KB$4:$KX$4,0))*1000</f>
        <v>0</v>
      </c>
      <c r="CX171" s="250">
        <f>INDEX(연료전지_원본!$KB$4:$KX$369,MATCH($A171,연료전지_원본!$KB$4:$KB$369,0), MATCH(CX$4,연료전지_원본!$KB$4:$KX$4,0))*1000</f>
        <v>0</v>
      </c>
      <c r="CY171" s="250">
        <f>INDEX(연료전지_원본!$KB$4:$KX$369,MATCH($A171,연료전지_원본!$KB$4:$KB$369,0), MATCH(CY$4,연료전지_원본!$KB$4:$KX$4,0))*1000</f>
        <v>0</v>
      </c>
      <c r="DV171" s="30">
        <f t="shared" si="954"/>
        <v>0</v>
      </c>
    </row>
    <row r="172" spans="1:126">
      <c r="A172" s="6">
        <v>46189</v>
      </c>
      <c r="B172" s="15">
        <f>운전실적_원본!B172</f>
        <v>0</v>
      </c>
      <c r="C172" s="16" t="str">
        <f t="shared" si="960"/>
        <v/>
      </c>
      <c r="D172" s="12">
        <f>운전실적_원본!C172</f>
        <v>0</v>
      </c>
      <c r="E172" s="12" t="str">
        <f t="shared" si="961"/>
        <v/>
      </c>
      <c r="F172" s="12">
        <f>운전실적_원본!D172</f>
        <v>0</v>
      </c>
      <c r="G172" s="16" t="str">
        <f t="shared" si="962"/>
        <v/>
      </c>
      <c r="H172" s="15">
        <f>운전실적_원본!E172</f>
        <v>0</v>
      </c>
      <c r="I172" s="16" t="str">
        <f t="shared" si="963"/>
        <v/>
      </c>
      <c r="J172" s="15">
        <f>운전실적_원본!F172</f>
        <v>0</v>
      </c>
      <c r="K172" s="16" t="str">
        <f t="shared" si="963"/>
        <v/>
      </c>
      <c r="L172" s="32">
        <f>운전실적_원본!G172</f>
        <v>0</v>
      </c>
      <c r="M172" s="31" t="str">
        <f t="shared" ref="M172" si="985">IF(OR(LEN(L172)=0,L172=0),"",L172-L171)</f>
        <v/>
      </c>
      <c r="N172" s="15">
        <f>운전실적_원본!H172</f>
        <v>0</v>
      </c>
      <c r="O172" s="16" t="str">
        <f t="shared" ref="O172" si="986">IF(OR(LEN(N172)=0,N172=0),"",N172-N171)</f>
        <v/>
      </c>
      <c r="P172" s="15">
        <f>운전실적_원본!I172</f>
        <v>0</v>
      </c>
      <c r="Q172" s="16" t="str">
        <f t="shared" ref="Q172" si="987">IF(OR(LEN(P172)=0,P172=0),"",P172-P171)</f>
        <v/>
      </c>
      <c r="R172" s="18">
        <f>운전실적_원본!J172</f>
        <v>0</v>
      </c>
      <c r="S172" s="19" t="str">
        <f t="shared" ref="S172" si="988">IF(OR(LEN(R172)=0,R172=0),"",R172-R171)</f>
        <v/>
      </c>
      <c r="T172" s="18">
        <f>운전실적_원본!K172</f>
        <v>0</v>
      </c>
      <c r="U172" s="19" t="str">
        <f t="shared" si="968"/>
        <v/>
      </c>
      <c r="V172" s="12">
        <f>운전실적_원본!L172</f>
        <v>0</v>
      </c>
      <c r="W172" s="16" t="str">
        <f t="shared" ref="W172" si="989">IF(OR(LEN(V172)=0,V172=0),"",V172-V171)</f>
        <v/>
      </c>
      <c r="X172" s="10">
        <f>운전실적_원본!M172</f>
        <v>0</v>
      </c>
      <c r="Y172" s="10">
        <f>운전실적_원본!N172</f>
        <v>0</v>
      </c>
      <c r="Z172" s="10">
        <f>운전실적_원본!O172</f>
        <v>0</v>
      </c>
      <c r="AA172" s="10">
        <f>운전실적_원본!P172</f>
        <v>0</v>
      </c>
      <c r="AB172" s="10">
        <f>운전실적_원본!Q172</f>
        <v>0</v>
      </c>
      <c r="AC172" s="20">
        <f>운전실적_원본!R172</f>
        <v>0</v>
      </c>
      <c r="AD172" s="109">
        <f>운전실적_원본!S172</f>
        <v>0</v>
      </c>
      <c r="AE172" s="110">
        <f>운전실적_원본!T172</f>
        <v>0</v>
      </c>
      <c r="AF172" s="110">
        <f>운전실적_원본!U172</f>
        <v>0</v>
      </c>
      <c r="AG172" s="110">
        <f>운전실적_원본!V172</f>
        <v>0</v>
      </c>
      <c r="AH172" s="109">
        <f t="shared" si="791"/>
        <v>0</v>
      </c>
      <c r="AI172" s="110">
        <f t="shared" si="798"/>
        <v>0</v>
      </c>
      <c r="AJ172" s="110">
        <f>운전실적_원본!Y172</f>
        <v>0</v>
      </c>
      <c r="AK172" s="110">
        <f>운전실적_원본!Z172</f>
        <v>0</v>
      </c>
      <c r="AL172" s="106"/>
      <c r="AM172" s="105"/>
      <c r="AN172" s="105"/>
      <c r="AO172" s="105"/>
      <c r="AP172" s="105"/>
      <c r="AQ172" s="108"/>
      <c r="AR172" s="105"/>
      <c r="AS172" s="105"/>
      <c r="AT172" s="102"/>
      <c r="AU172" s="102"/>
      <c r="AV172" s="102"/>
      <c r="AW172" s="102"/>
      <c r="AX172" s="32">
        <f>운전실적_원본!W172</f>
        <v>0</v>
      </c>
      <c r="AY172" s="11">
        <f>운전실적_원본!X172</f>
        <v>0</v>
      </c>
      <c r="AZ172" s="11">
        <f>운전실적_원본!Y172</f>
        <v>0</v>
      </c>
      <c r="BA172" s="11">
        <f>운전실적_원본!Z172</f>
        <v>0</v>
      </c>
      <c r="BB172" s="11">
        <f>운전실적_원본!AA172</f>
        <v>0</v>
      </c>
      <c r="BC172" s="11">
        <f>운전실적_원본!AB172</f>
        <v>0</v>
      </c>
      <c r="BD172" s="32" t="str">
        <f t="shared" si="784"/>
        <v>-</v>
      </c>
      <c r="BE172" s="11" t="str">
        <f t="shared" si="792"/>
        <v>-</v>
      </c>
      <c r="BF172" s="11">
        <f>운전실적_원본!AE172</f>
        <v>0</v>
      </c>
      <c r="BG172" s="31">
        <f t="shared" si="785"/>
        <v>0</v>
      </c>
      <c r="BH172" s="241">
        <f>INDEX(연료전지_원본!$A$4:$KY$369,MATCH($A172,연료전지_원본!$A$4:$A$369,0),MATCH($BH$4,연료전지_원본!$A$4:$KY$4,0))</f>
        <v>0</v>
      </c>
      <c r="BI172" s="241">
        <f>INDEX(연료전지_원본!$A$4:$KY$369,MATCH($A172,연료전지_원본!$A$4:$A$369,0),MATCH($BI$4,연료전지_원본!$A$4:$KY$4,0))</f>
        <v>0</v>
      </c>
      <c r="BJ172" s="241">
        <f>INDEX(연료전지_원본!$A$4:$KY$369,MATCH($A172,연료전지_원본!$A$4:$A$369,0),MATCH($BJ$4,연료전지_원본!$A$4:$KY$4,0))</f>
        <v>0</v>
      </c>
      <c r="BK172" s="241">
        <f>INDEX(연료전지_원본!$A$4:$KY$369,MATCH($A172,연료전지_원본!$A$4:$A$369,0),MATCH($BK$4,연료전지_원본!$A$4:$KY$4,0))</f>
        <v>0</v>
      </c>
      <c r="BL172" s="241">
        <f>INDEX(연료전지_원본!$A$4:$KY$369,MATCH($A172,연료전지_원본!$A$4:$A$369,0),MATCH($BL$4,연료전지_원본!$A$4:$KY$4,0))</f>
        <v>0</v>
      </c>
      <c r="BM172" s="241">
        <f>INDEX(연료전지_원본!$A$4:$KY$369,MATCH($A172,연료전지_원본!$A$4:$A$369,0),MATCH($BM$4,연료전지_원본!$A$4:$KY$4,0))</f>
        <v>0</v>
      </c>
      <c r="BN172" s="241">
        <f>INDEX(연료전지_원본!$A$4:$KY$369,MATCH($A172,연료전지_원본!$A$4:$A$369,0),MATCH($BN$4,연료전지_원본!$A$4:$KY$4,0))</f>
        <v>0</v>
      </c>
      <c r="BO172" s="241">
        <f>INDEX(연료전지_원본!$A$4:$KY$369,MATCH($A172,연료전지_원본!$A$4:$A$369,0),MATCH($BO$4,연료전지_원본!$A$4:$KY$4,0))</f>
        <v>0</v>
      </c>
      <c r="BP172" s="241">
        <f>INDEX(연료전지_원본!$A$4:$KY$369,MATCH($A172,연료전지_원본!$A$4:$A$369,0),MATCH($BP$4,연료전지_원본!$A$4:$KY$4,0))</f>
        <v>0</v>
      </c>
      <c r="BQ172" s="241">
        <f>INDEX(연료전지_원본!$A$4:$KY$369,MATCH($A172,연료전지_원본!$A$4:$A$369,0),MATCH($BQ$4,연료전지_원본!$A$4:$KY$4,0))</f>
        <v>0</v>
      </c>
      <c r="BR172" s="241">
        <f>INDEX(연료전지_원본!$A$4:$KY$369,MATCH($A172,연료전지_원본!$A$4:$A$369,0),MATCH($BR$4,연료전지_원본!$A$4:$KY$4,0))</f>
        <v>0</v>
      </c>
      <c r="BS172" s="241">
        <f>INDEX(연료전지_원본!$A$4:$KY$369,MATCH($A172,연료전지_원본!$A$4:$A$369,0),MATCH($BS$4,연료전지_원본!$A$4:$KY$4,0))</f>
        <v>0</v>
      </c>
      <c r="BT172" s="241">
        <f>INDEX(연료전지_원본!$A$4:$KY$369,MATCH($A172,연료전지_원본!$A$4:$A$369,0),MATCH($BT$4,연료전지_원본!$A$4:$KY$4,0))</f>
        <v>0</v>
      </c>
      <c r="BU172" s="241">
        <f>INDEX(연료전지_원본!$A$4:$KY$369,MATCH($A172,연료전지_원본!$A$4:$A$369,0),MATCH($BU$4,연료전지_원본!$A$4:$KY$4,0))</f>
        <v>0</v>
      </c>
      <c r="BV172" s="241">
        <f>INDEX(연료전지_원본!$A$4:$KY$369,MATCH($A172,연료전지_원본!$A$4:$A$369,0),MATCH($BV$4,연료전지_원본!$A$4:$KY$4,0))</f>
        <v>0</v>
      </c>
      <c r="BW172" s="241">
        <f>INDEX(연료전지_원본!$A$4:$KY$369,MATCH($A172,연료전지_원본!$A$4:$A$369,0),MATCH($BW$4,연료전지_원본!$A$4:$KY$4,0))</f>
        <v>0</v>
      </c>
      <c r="BX172" s="241">
        <f>INDEX(연료전지_원본!$A$4:$KY$369,MATCH($A172,연료전지_원본!$A$4:$A$369,0),MATCH($BX$4,연료전지_원본!$A$4:$KY$4,0))</f>
        <v>0</v>
      </c>
      <c r="BY172" s="241">
        <f>INDEX(연료전지_원본!$A$4:$KY$369,MATCH($A172,연료전지_원본!$A$4:$A$369,0),MATCH($BY$4,연료전지_원본!$A$4:$KY$4,0))</f>
        <v>0</v>
      </c>
      <c r="BZ172" s="241">
        <f>INDEX(연료전지_원본!$A$4:$KY$369,MATCH($A172,연료전지_원본!$A$4:$A$369,0),MATCH($BZ$4,연료전지_원본!$A$4:$KY$4,0))</f>
        <v>0</v>
      </c>
      <c r="CA172" s="241">
        <f>INDEX(연료전지_원본!$A$4:$KY$369,MATCH($A172,연료전지_원본!$A$4:$A$369,0),MATCH($CA$4,연료전지_원본!$A$4:$KY$4,0))</f>
        <v>0</v>
      </c>
      <c r="CB172" s="241">
        <f>INDEX(연료전지_원본!$A$4:$KY$369,MATCH($A172,연료전지_원본!$A$4:$A$369,0),MATCH($CB$4,연료전지_원본!$A$4:$KY$4,0))</f>
        <v>0</v>
      </c>
      <c r="CC172" s="242">
        <f>INDEX(연료전지_원본!$A$4:$KY$369,MATCH($A172,연료전지_원본!$A$4:$A$369,0),MATCH($CC$4,연료전지_원본!$A$4:$KY$4,0))</f>
        <v>0</v>
      </c>
      <c r="CD172" s="250">
        <f>INDEX(연료전지_원본!$KB$4:$KX$369,MATCH($A172,연료전지_원본!$KB$4:$KB$369,0), MATCH(CD$4,연료전지_원본!$KB$4:$KX$4,0))*1000</f>
        <v>0</v>
      </c>
      <c r="CE172" s="250">
        <f>INDEX(연료전지_원본!$KB$4:$KX$369,MATCH($A172,연료전지_원본!$KB$4:$KB$369,0), MATCH(CE$4,연료전지_원본!$KB$4:$KX$4,0))*1000</f>
        <v>0</v>
      </c>
      <c r="CF172" s="250">
        <f>INDEX(연료전지_원본!$KB$4:$KX$369,MATCH($A172,연료전지_원본!$KB$4:$KB$369,0), MATCH(CF$4,연료전지_원본!$KB$4:$KX$4,0))*1000</f>
        <v>0</v>
      </c>
      <c r="CG172" s="250">
        <f>INDEX(연료전지_원본!$KB$4:$KX$369,MATCH($A172,연료전지_원본!$KB$4:$KB$369,0), MATCH(CG$4,연료전지_원본!$KB$4:$KX$4,0))*1000</f>
        <v>0</v>
      </c>
      <c r="CH172" s="250">
        <f>INDEX(연료전지_원본!$KB$4:$KX$369,MATCH($A172,연료전지_원본!$KB$4:$KB$369,0), MATCH(CH$4,연료전지_원본!$KB$4:$KX$4,0))*1000</f>
        <v>0</v>
      </c>
      <c r="CI172" s="250">
        <f>INDEX(연료전지_원본!$KB$4:$KX$369,MATCH($A172,연료전지_원본!$KB$4:$KB$369,0), MATCH(CI$4,연료전지_원본!$KB$4:$KX$4,0))*1000</f>
        <v>0</v>
      </c>
      <c r="CJ172" s="250">
        <f>INDEX(연료전지_원본!$KB$4:$KX$369,MATCH($A172,연료전지_원본!$KB$4:$KB$369,0), MATCH(CJ$4,연료전지_원본!$KB$4:$KX$4,0))*1000</f>
        <v>0</v>
      </c>
      <c r="CK172" s="250">
        <f>INDEX(연료전지_원본!$KB$4:$KX$369,MATCH($A172,연료전지_원본!$KB$4:$KB$369,0), MATCH(CK$4,연료전지_원본!$KB$4:$KX$4,0))*1000</f>
        <v>0</v>
      </c>
      <c r="CL172" s="250">
        <f>INDEX(연료전지_원본!$KB$4:$KX$369,MATCH($A172,연료전지_원본!$KB$4:$KB$369,0), MATCH(CL$4,연료전지_원본!$KB$4:$KX$4,0))*1000</f>
        <v>0</v>
      </c>
      <c r="CM172" s="250">
        <f>INDEX(연료전지_원본!$KB$4:$KX$369,MATCH($A172,연료전지_원본!$KB$4:$KB$369,0), MATCH(CM$4,연료전지_원본!$KB$4:$KX$4,0))*1000</f>
        <v>0</v>
      </c>
      <c r="CN172" s="250">
        <f>INDEX(연료전지_원본!$KB$4:$KX$369,MATCH($A172,연료전지_원본!$KB$4:$KB$369,0), MATCH(CN$4,연료전지_원본!$KB$4:$KX$4,0))*1000</f>
        <v>0</v>
      </c>
      <c r="CO172" s="250">
        <f>INDEX(연료전지_원본!$KB$4:$KX$369,MATCH($A172,연료전지_원본!$KB$4:$KB$369,0), MATCH(CO$4,연료전지_원본!$KB$4:$KX$4,0))*1000</f>
        <v>0</v>
      </c>
      <c r="CP172" s="250">
        <f>INDEX(연료전지_원본!$KB$4:$KX$369,MATCH($A172,연료전지_원본!$KB$4:$KB$369,0), MATCH(CP$4,연료전지_원본!$KB$4:$KX$4,0))*1000</f>
        <v>0</v>
      </c>
      <c r="CQ172" s="250">
        <f>INDEX(연료전지_원본!$KB$4:$KX$369,MATCH($A172,연료전지_원본!$KB$4:$KB$369,0), MATCH(CQ$4,연료전지_원본!$KB$4:$KX$4,0))*1000</f>
        <v>0</v>
      </c>
      <c r="CR172" s="250">
        <f>INDEX(연료전지_원본!$KB$4:$KX$369,MATCH($A172,연료전지_원본!$KB$4:$KB$369,0), MATCH(CR$4,연료전지_원본!$KB$4:$KX$4,0))*1000</f>
        <v>0</v>
      </c>
      <c r="CS172" s="250">
        <f>INDEX(연료전지_원본!$KB$4:$KX$369,MATCH($A172,연료전지_원본!$KB$4:$KB$369,0), MATCH(CS$4,연료전지_원본!$KB$4:$KX$4,0))*1000</f>
        <v>0</v>
      </c>
      <c r="CT172" s="250">
        <f>INDEX(연료전지_원본!$KB$4:$KX$369,MATCH($A172,연료전지_원본!$KB$4:$KB$369,0), MATCH(CT$4,연료전지_원본!$KB$4:$KX$4,0))*1000</f>
        <v>0</v>
      </c>
      <c r="CU172" s="250">
        <f>INDEX(연료전지_원본!$KB$4:$KX$369,MATCH($A172,연료전지_원본!$KB$4:$KB$369,0), MATCH(CU$4,연료전지_원본!$KB$4:$KX$4,0))*1000</f>
        <v>0</v>
      </c>
      <c r="CV172" s="250">
        <f>INDEX(연료전지_원본!$KB$4:$KX$369,MATCH($A172,연료전지_원본!$KB$4:$KB$369,0), MATCH(CV$4,연료전지_원본!$KB$4:$KX$4,0))*1000</f>
        <v>0</v>
      </c>
      <c r="CW172" s="250">
        <f>INDEX(연료전지_원본!$KB$4:$KX$369,MATCH($A172,연료전지_원본!$KB$4:$KB$369,0), MATCH(CW$4,연료전지_원본!$KB$4:$KX$4,0))*1000</f>
        <v>0</v>
      </c>
      <c r="CX172" s="250">
        <f>INDEX(연료전지_원본!$KB$4:$KX$369,MATCH($A172,연료전지_원본!$KB$4:$KB$369,0), MATCH(CX$4,연료전지_원본!$KB$4:$KX$4,0))*1000</f>
        <v>0</v>
      </c>
      <c r="CY172" s="250">
        <f>INDEX(연료전지_원본!$KB$4:$KX$369,MATCH($A172,연료전지_원본!$KB$4:$KB$369,0), MATCH(CY$4,연료전지_원본!$KB$4:$KX$4,0))*1000</f>
        <v>0</v>
      </c>
      <c r="DV172" s="30">
        <f t="shared" si="954"/>
        <v>0</v>
      </c>
    </row>
    <row r="173" spans="1:126">
      <c r="A173" s="6">
        <v>46190</v>
      </c>
      <c r="B173" s="15">
        <f>운전실적_원본!B173</f>
        <v>0</v>
      </c>
      <c r="C173" s="16" t="str">
        <f t="shared" si="960"/>
        <v/>
      </c>
      <c r="D173" s="12">
        <f>운전실적_원본!C173</f>
        <v>0</v>
      </c>
      <c r="E173" s="12" t="str">
        <f t="shared" si="961"/>
        <v/>
      </c>
      <c r="F173" s="12">
        <f>운전실적_원본!D173</f>
        <v>0</v>
      </c>
      <c r="G173" s="16" t="str">
        <f t="shared" si="962"/>
        <v/>
      </c>
      <c r="H173" s="15">
        <f>운전실적_원본!E173</f>
        <v>0</v>
      </c>
      <c r="I173" s="16" t="str">
        <f t="shared" si="963"/>
        <v/>
      </c>
      <c r="J173" s="15">
        <f>운전실적_원본!F173</f>
        <v>0</v>
      </c>
      <c r="K173" s="16" t="str">
        <f t="shared" si="963"/>
        <v/>
      </c>
      <c r="L173" s="32">
        <f>운전실적_원본!G173</f>
        <v>0</v>
      </c>
      <c r="M173" s="31" t="str">
        <f t="shared" ref="M173" si="990">IF(OR(LEN(L173)=0,L173=0),"",L173-L172)</f>
        <v/>
      </c>
      <c r="N173" s="15">
        <f>운전실적_원본!H173</f>
        <v>0</v>
      </c>
      <c r="O173" s="16" t="str">
        <f t="shared" ref="O173" si="991">IF(OR(LEN(N173)=0,N173=0),"",N173-N172)</f>
        <v/>
      </c>
      <c r="P173" s="15">
        <f>운전실적_원본!I173</f>
        <v>0</v>
      </c>
      <c r="Q173" s="16" t="str">
        <f t="shared" ref="Q173" si="992">IF(OR(LEN(P173)=0,P173=0),"",P173-P172)</f>
        <v/>
      </c>
      <c r="R173" s="18">
        <f>운전실적_원본!J173</f>
        <v>0</v>
      </c>
      <c r="S173" s="19" t="str">
        <f t="shared" ref="S173" si="993">IF(OR(LEN(R173)=0,R173=0),"",R173-R172)</f>
        <v/>
      </c>
      <c r="T173" s="18">
        <f>운전실적_원본!K173</f>
        <v>0</v>
      </c>
      <c r="U173" s="19" t="str">
        <f t="shared" si="968"/>
        <v/>
      </c>
      <c r="V173" s="12">
        <f>운전실적_원본!L173</f>
        <v>0</v>
      </c>
      <c r="W173" s="16" t="str">
        <f t="shared" ref="W173" si="994">IF(OR(LEN(V173)=0,V173=0),"",V173-V172)</f>
        <v/>
      </c>
      <c r="X173" s="10">
        <f>운전실적_원본!M173</f>
        <v>0</v>
      </c>
      <c r="Y173" s="10">
        <f>운전실적_원본!N173</f>
        <v>0</v>
      </c>
      <c r="Z173" s="10">
        <f>운전실적_원본!O173</f>
        <v>0</v>
      </c>
      <c r="AA173" s="10">
        <f>운전실적_원본!P173</f>
        <v>0</v>
      </c>
      <c r="AB173" s="10">
        <f>운전실적_원본!Q173</f>
        <v>0</v>
      </c>
      <c r="AC173" s="20">
        <f>운전실적_원본!R173</f>
        <v>0</v>
      </c>
      <c r="AD173" s="109">
        <f>운전실적_원본!S173</f>
        <v>0</v>
      </c>
      <c r="AE173" s="110">
        <f>운전실적_원본!T173</f>
        <v>0</v>
      </c>
      <c r="AF173" s="110">
        <f>운전실적_원본!U173</f>
        <v>0</v>
      </c>
      <c r="AG173" s="110">
        <f>운전실적_원본!V173</f>
        <v>0</v>
      </c>
      <c r="AH173" s="109">
        <f t="shared" si="791"/>
        <v>0</v>
      </c>
      <c r="AI173" s="110">
        <f t="shared" si="798"/>
        <v>0</v>
      </c>
      <c r="AJ173" s="110">
        <f>운전실적_원본!Y173</f>
        <v>0</v>
      </c>
      <c r="AK173" s="110">
        <f>운전실적_원본!Z173</f>
        <v>0</v>
      </c>
      <c r="AL173" s="106"/>
      <c r="AM173" s="105"/>
      <c r="AN173" s="105"/>
      <c r="AO173" s="105"/>
      <c r="AP173" s="105"/>
      <c r="AQ173" s="108"/>
      <c r="AR173" s="105"/>
      <c r="AS173" s="105"/>
      <c r="AT173" s="102"/>
      <c r="AU173" s="102"/>
      <c r="AV173" s="102"/>
      <c r="AW173" s="102"/>
      <c r="AX173" s="32">
        <f>운전실적_원본!W173</f>
        <v>0</v>
      </c>
      <c r="AY173" s="11">
        <f>운전실적_원본!X173</f>
        <v>0</v>
      </c>
      <c r="AZ173" s="11">
        <f>운전실적_원본!Y173</f>
        <v>0</v>
      </c>
      <c r="BA173" s="11">
        <f>운전실적_원본!Z173</f>
        <v>0</v>
      </c>
      <c r="BB173" s="11">
        <f>운전실적_원본!AA173</f>
        <v>0</v>
      </c>
      <c r="BC173" s="11">
        <f>운전실적_원본!AB173</f>
        <v>0</v>
      </c>
      <c r="BD173" s="32" t="str">
        <f t="shared" si="784"/>
        <v>-</v>
      </c>
      <c r="BE173" s="11" t="str">
        <f t="shared" si="792"/>
        <v>-</v>
      </c>
      <c r="BF173" s="11">
        <f>운전실적_원본!AE173</f>
        <v>0</v>
      </c>
      <c r="BG173" s="31">
        <f t="shared" si="785"/>
        <v>0</v>
      </c>
      <c r="BH173" s="241">
        <f>INDEX(연료전지_원본!$A$4:$KY$369,MATCH($A173,연료전지_원본!$A$4:$A$369,0),MATCH($BH$4,연료전지_원본!$A$4:$KY$4,0))</f>
        <v>0</v>
      </c>
      <c r="BI173" s="241">
        <f>INDEX(연료전지_원본!$A$4:$KY$369,MATCH($A173,연료전지_원본!$A$4:$A$369,0),MATCH($BI$4,연료전지_원본!$A$4:$KY$4,0))</f>
        <v>0</v>
      </c>
      <c r="BJ173" s="241">
        <f>INDEX(연료전지_원본!$A$4:$KY$369,MATCH($A173,연료전지_원본!$A$4:$A$369,0),MATCH($BJ$4,연료전지_원본!$A$4:$KY$4,0))</f>
        <v>0</v>
      </c>
      <c r="BK173" s="241">
        <f>INDEX(연료전지_원본!$A$4:$KY$369,MATCH($A173,연료전지_원본!$A$4:$A$369,0),MATCH($BK$4,연료전지_원본!$A$4:$KY$4,0))</f>
        <v>0</v>
      </c>
      <c r="BL173" s="241">
        <f>INDEX(연료전지_원본!$A$4:$KY$369,MATCH($A173,연료전지_원본!$A$4:$A$369,0),MATCH($BL$4,연료전지_원본!$A$4:$KY$4,0))</f>
        <v>0</v>
      </c>
      <c r="BM173" s="241">
        <f>INDEX(연료전지_원본!$A$4:$KY$369,MATCH($A173,연료전지_원본!$A$4:$A$369,0),MATCH($BM$4,연료전지_원본!$A$4:$KY$4,0))</f>
        <v>0</v>
      </c>
      <c r="BN173" s="241">
        <f>INDEX(연료전지_원본!$A$4:$KY$369,MATCH($A173,연료전지_원본!$A$4:$A$369,0),MATCH($BN$4,연료전지_원본!$A$4:$KY$4,0))</f>
        <v>0</v>
      </c>
      <c r="BO173" s="241">
        <f>INDEX(연료전지_원본!$A$4:$KY$369,MATCH($A173,연료전지_원본!$A$4:$A$369,0),MATCH($BO$4,연료전지_원본!$A$4:$KY$4,0))</f>
        <v>0</v>
      </c>
      <c r="BP173" s="241">
        <f>INDEX(연료전지_원본!$A$4:$KY$369,MATCH($A173,연료전지_원본!$A$4:$A$369,0),MATCH($BP$4,연료전지_원본!$A$4:$KY$4,0))</f>
        <v>0</v>
      </c>
      <c r="BQ173" s="241">
        <f>INDEX(연료전지_원본!$A$4:$KY$369,MATCH($A173,연료전지_원본!$A$4:$A$369,0),MATCH($BQ$4,연료전지_원본!$A$4:$KY$4,0))</f>
        <v>0</v>
      </c>
      <c r="BR173" s="241">
        <f>INDEX(연료전지_원본!$A$4:$KY$369,MATCH($A173,연료전지_원본!$A$4:$A$369,0),MATCH($BR$4,연료전지_원본!$A$4:$KY$4,0))</f>
        <v>0</v>
      </c>
      <c r="BS173" s="241">
        <f>INDEX(연료전지_원본!$A$4:$KY$369,MATCH($A173,연료전지_원본!$A$4:$A$369,0),MATCH($BS$4,연료전지_원본!$A$4:$KY$4,0))</f>
        <v>0</v>
      </c>
      <c r="BT173" s="241">
        <f>INDEX(연료전지_원본!$A$4:$KY$369,MATCH($A173,연료전지_원본!$A$4:$A$369,0),MATCH($BT$4,연료전지_원본!$A$4:$KY$4,0))</f>
        <v>0</v>
      </c>
      <c r="BU173" s="241">
        <f>INDEX(연료전지_원본!$A$4:$KY$369,MATCH($A173,연료전지_원본!$A$4:$A$369,0),MATCH($BU$4,연료전지_원본!$A$4:$KY$4,0))</f>
        <v>0</v>
      </c>
      <c r="BV173" s="241">
        <f>INDEX(연료전지_원본!$A$4:$KY$369,MATCH($A173,연료전지_원본!$A$4:$A$369,0),MATCH($BV$4,연료전지_원본!$A$4:$KY$4,0))</f>
        <v>0</v>
      </c>
      <c r="BW173" s="241">
        <f>INDEX(연료전지_원본!$A$4:$KY$369,MATCH($A173,연료전지_원본!$A$4:$A$369,0),MATCH($BW$4,연료전지_원본!$A$4:$KY$4,0))</f>
        <v>0</v>
      </c>
      <c r="BX173" s="241">
        <f>INDEX(연료전지_원본!$A$4:$KY$369,MATCH($A173,연료전지_원본!$A$4:$A$369,0),MATCH($BX$4,연료전지_원본!$A$4:$KY$4,0))</f>
        <v>0</v>
      </c>
      <c r="BY173" s="241">
        <f>INDEX(연료전지_원본!$A$4:$KY$369,MATCH($A173,연료전지_원본!$A$4:$A$369,0),MATCH($BY$4,연료전지_원본!$A$4:$KY$4,0))</f>
        <v>0</v>
      </c>
      <c r="BZ173" s="241">
        <f>INDEX(연료전지_원본!$A$4:$KY$369,MATCH($A173,연료전지_원본!$A$4:$A$369,0),MATCH($BZ$4,연료전지_원본!$A$4:$KY$4,0))</f>
        <v>0</v>
      </c>
      <c r="CA173" s="241">
        <f>INDEX(연료전지_원본!$A$4:$KY$369,MATCH($A173,연료전지_원본!$A$4:$A$369,0),MATCH($CA$4,연료전지_원본!$A$4:$KY$4,0))</f>
        <v>0</v>
      </c>
      <c r="CB173" s="241">
        <f>INDEX(연료전지_원본!$A$4:$KY$369,MATCH($A173,연료전지_원본!$A$4:$A$369,0),MATCH($CB$4,연료전지_원본!$A$4:$KY$4,0))</f>
        <v>0</v>
      </c>
      <c r="CC173" s="242">
        <f>INDEX(연료전지_원본!$A$4:$KY$369,MATCH($A173,연료전지_원본!$A$4:$A$369,0),MATCH($CC$4,연료전지_원본!$A$4:$KY$4,0))</f>
        <v>0</v>
      </c>
      <c r="CD173" s="250">
        <f>INDEX(연료전지_원본!$KB$4:$KX$369,MATCH($A173,연료전지_원본!$KB$4:$KB$369,0), MATCH(CD$4,연료전지_원본!$KB$4:$KX$4,0))*1000</f>
        <v>0</v>
      </c>
      <c r="CE173" s="250">
        <f>INDEX(연료전지_원본!$KB$4:$KX$369,MATCH($A173,연료전지_원본!$KB$4:$KB$369,0), MATCH(CE$4,연료전지_원본!$KB$4:$KX$4,0))*1000</f>
        <v>0</v>
      </c>
      <c r="CF173" s="250">
        <f>INDEX(연료전지_원본!$KB$4:$KX$369,MATCH($A173,연료전지_원본!$KB$4:$KB$369,0), MATCH(CF$4,연료전지_원본!$KB$4:$KX$4,0))*1000</f>
        <v>0</v>
      </c>
      <c r="CG173" s="250">
        <f>INDEX(연료전지_원본!$KB$4:$KX$369,MATCH($A173,연료전지_원본!$KB$4:$KB$369,0), MATCH(CG$4,연료전지_원본!$KB$4:$KX$4,0))*1000</f>
        <v>0</v>
      </c>
      <c r="CH173" s="250">
        <f>INDEX(연료전지_원본!$KB$4:$KX$369,MATCH($A173,연료전지_원본!$KB$4:$KB$369,0), MATCH(CH$4,연료전지_원본!$KB$4:$KX$4,0))*1000</f>
        <v>0</v>
      </c>
      <c r="CI173" s="250">
        <f>INDEX(연료전지_원본!$KB$4:$KX$369,MATCH($A173,연료전지_원본!$KB$4:$KB$369,0), MATCH(CI$4,연료전지_원본!$KB$4:$KX$4,0))*1000</f>
        <v>0</v>
      </c>
      <c r="CJ173" s="250">
        <f>INDEX(연료전지_원본!$KB$4:$KX$369,MATCH($A173,연료전지_원본!$KB$4:$KB$369,0), MATCH(CJ$4,연료전지_원본!$KB$4:$KX$4,0))*1000</f>
        <v>0</v>
      </c>
      <c r="CK173" s="250">
        <f>INDEX(연료전지_원본!$KB$4:$KX$369,MATCH($A173,연료전지_원본!$KB$4:$KB$369,0), MATCH(CK$4,연료전지_원본!$KB$4:$KX$4,0))*1000</f>
        <v>0</v>
      </c>
      <c r="CL173" s="250">
        <f>INDEX(연료전지_원본!$KB$4:$KX$369,MATCH($A173,연료전지_원본!$KB$4:$KB$369,0), MATCH(CL$4,연료전지_원본!$KB$4:$KX$4,0))*1000</f>
        <v>0</v>
      </c>
      <c r="CM173" s="250">
        <f>INDEX(연료전지_원본!$KB$4:$KX$369,MATCH($A173,연료전지_원본!$KB$4:$KB$369,0), MATCH(CM$4,연료전지_원본!$KB$4:$KX$4,0))*1000</f>
        <v>0</v>
      </c>
      <c r="CN173" s="250">
        <f>INDEX(연료전지_원본!$KB$4:$KX$369,MATCH($A173,연료전지_원본!$KB$4:$KB$369,0), MATCH(CN$4,연료전지_원본!$KB$4:$KX$4,0))*1000</f>
        <v>0</v>
      </c>
      <c r="CO173" s="250">
        <f>INDEX(연료전지_원본!$KB$4:$KX$369,MATCH($A173,연료전지_원본!$KB$4:$KB$369,0), MATCH(CO$4,연료전지_원본!$KB$4:$KX$4,0))*1000</f>
        <v>0</v>
      </c>
      <c r="CP173" s="250">
        <f>INDEX(연료전지_원본!$KB$4:$KX$369,MATCH($A173,연료전지_원본!$KB$4:$KB$369,0), MATCH(CP$4,연료전지_원본!$KB$4:$KX$4,0))*1000</f>
        <v>0</v>
      </c>
      <c r="CQ173" s="250">
        <f>INDEX(연료전지_원본!$KB$4:$KX$369,MATCH($A173,연료전지_원본!$KB$4:$KB$369,0), MATCH(CQ$4,연료전지_원본!$KB$4:$KX$4,0))*1000</f>
        <v>0</v>
      </c>
      <c r="CR173" s="250">
        <f>INDEX(연료전지_원본!$KB$4:$KX$369,MATCH($A173,연료전지_원본!$KB$4:$KB$369,0), MATCH(CR$4,연료전지_원본!$KB$4:$KX$4,0))*1000</f>
        <v>0</v>
      </c>
      <c r="CS173" s="250">
        <f>INDEX(연료전지_원본!$KB$4:$KX$369,MATCH($A173,연료전지_원본!$KB$4:$KB$369,0), MATCH(CS$4,연료전지_원본!$KB$4:$KX$4,0))*1000</f>
        <v>0</v>
      </c>
      <c r="CT173" s="250">
        <f>INDEX(연료전지_원본!$KB$4:$KX$369,MATCH($A173,연료전지_원본!$KB$4:$KB$369,0), MATCH(CT$4,연료전지_원본!$KB$4:$KX$4,0))*1000</f>
        <v>0</v>
      </c>
      <c r="CU173" s="250">
        <f>INDEX(연료전지_원본!$KB$4:$KX$369,MATCH($A173,연료전지_원본!$KB$4:$KB$369,0), MATCH(CU$4,연료전지_원본!$KB$4:$KX$4,0))*1000</f>
        <v>0</v>
      </c>
      <c r="CV173" s="250">
        <f>INDEX(연료전지_원본!$KB$4:$KX$369,MATCH($A173,연료전지_원본!$KB$4:$KB$369,0), MATCH(CV$4,연료전지_원본!$KB$4:$KX$4,0))*1000</f>
        <v>0</v>
      </c>
      <c r="CW173" s="250">
        <f>INDEX(연료전지_원본!$KB$4:$KX$369,MATCH($A173,연료전지_원본!$KB$4:$KB$369,0), MATCH(CW$4,연료전지_원본!$KB$4:$KX$4,0))*1000</f>
        <v>0</v>
      </c>
      <c r="CX173" s="250">
        <f>INDEX(연료전지_원본!$KB$4:$KX$369,MATCH($A173,연료전지_원본!$KB$4:$KB$369,0), MATCH(CX$4,연료전지_원본!$KB$4:$KX$4,0))*1000</f>
        <v>0</v>
      </c>
      <c r="CY173" s="250">
        <f>INDEX(연료전지_원본!$KB$4:$KX$369,MATCH($A173,연료전지_원본!$KB$4:$KB$369,0), MATCH(CY$4,연료전지_원본!$KB$4:$KX$4,0))*1000</f>
        <v>0</v>
      </c>
      <c r="DV173" s="30">
        <f t="shared" si="954"/>
        <v>0</v>
      </c>
    </row>
    <row r="174" spans="1:126">
      <c r="A174" s="6">
        <v>46191</v>
      </c>
      <c r="B174" s="15">
        <f>운전실적_원본!B174</f>
        <v>0</v>
      </c>
      <c r="C174" s="16" t="str">
        <f t="shared" si="960"/>
        <v/>
      </c>
      <c r="D174" s="12">
        <f>운전실적_원본!C174</f>
        <v>0</v>
      </c>
      <c r="E174" s="12" t="str">
        <f t="shared" si="961"/>
        <v/>
      </c>
      <c r="F174" s="12">
        <f>운전실적_원본!D174</f>
        <v>0</v>
      </c>
      <c r="G174" s="16" t="str">
        <f t="shared" si="962"/>
        <v/>
      </c>
      <c r="H174" s="15">
        <f>운전실적_원본!E174</f>
        <v>0</v>
      </c>
      <c r="I174" s="16" t="str">
        <f t="shared" si="963"/>
        <v/>
      </c>
      <c r="J174" s="15">
        <f>운전실적_원본!F174</f>
        <v>0</v>
      </c>
      <c r="K174" s="16" t="str">
        <f t="shared" si="963"/>
        <v/>
      </c>
      <c r="L174" s="32">
        <f>운전실적_원본!G174</f>
        <v>0</v>
      </c>
      <c r="M174" s="31" t="str">
        <f t="shared" ref="M174" si="995">IF(OR(LEN(L174)=0,L174=0),"",L174-L173)</f>
        <v/>
      </c>
      <c r="N174" s="15">
        <f>운전실적_원본!H174</f>
        <v>0</v>
      </c>
      <c r="O174" s="16" t="str">
        <f t="shared" ref="O174" si="996">IF(OR(LEN(N174)=0,N174=0),"",N174-N173)</f>
        <v/>
      </c>
      <c r="P174" s="15">
        <f>운전실적_원본!I174</f>
        <v>0</v>
      </c>
      <c r="Q174" s="16" t="str">
        <f t="shared" ref="Q174" si="997">IF(OR(LEN(P174)=0,P174=0),"",P174-P173)</f>
        <v/>
      </c>
      <c r="R174" s="18">
        <f>운전실적_원본!J174</f>
        <v>0</v>
      </c>
      <c r="S174" s="19" t="str">
        <f t="shared" ref="S174" si="998">IF(OR(LEN(R174)=0,R174=0),"",R174-R173)</f>
        <v/>
      </c>
      <c r="T174" s="18">
        <f>운전실적_원본!K174</f>
        <v>0</v>
      </c>
      <c r="U174" s="19" t="str">
        <f t="shared" si="968"/>
        <v/>
      </c>
      <c r="V174" s="12">
        <f>운전실적_원본!L174</f>
        <v>0</v>
      </c>
      <c r="W174" s="16" t="str">
        <f t="shared" ref="W174" si="999">IF(OR(LEN(V174)=0,V174=0),"",V174-V173)</f>
        <v/>
      </c>
      <c r="X174" s="10">
        <f>운전실적_원본!M174</f>
        <v>0</v>
      </c>
      <c r="Y174" s="10">
        <f>운전실적_원본!N174</f>
        <v>0</v>
      </c>
      <c r="Z174" s="10">
        <f>운전실적_원본!O174</f>
        <v>0</v>
      </c>
      <c r="AA174" s="10">
        <f>운전실적_원본!P174</f>
        <v>0</v>
      </c>
      <c r="AB174" s="10">
        <f>운전실적_원본!Q174</f>
        <v>0</v>
      </c>
      <c r="AC174" s="20">
        <f>운전실적_원본!R174</f>
        <v>0</v>
      </c>
      <c r="AD174" s="109">
        <f>운전실적_원본!S174</f>
        <v>0</v>
      </c>
      <c r="AE174" s="110">
        <f>운전실적_원본!T174</f>
        <v>0</v>
      </c>
      <c r="AF174" s="110">
        <f>운전실적_원본!U174</f>
        <v>0</v>
      </c>
      <c r="AG174" s="110">
        <f>운전실적_원본!V174</f>
        <v>0</v>
      </c>
      <c r="AH174" s="109">
        <f t="shared" si="791"/>
        <v>0</v>
      </c>
      <c r="AI174" s="110">
        <f t="shared" si="798"/>
        <v>0</v>
      </c>
      <c r="AJ174" s="110">
        <f>운전실적_원본!Y174</f>
        <v>0</v>
      </c>
      <c r="AK174" s="110">
        <f>운전실적_원본!Z174</f>
        <v>0</v>
      </c>
      <c r="AL174" s="106"/>
      <c r="AM174" s="105"/>
      <c r="AN174" s="105"/>
      <c r="AO174" s="105"/>
      <c r="AP174" s="105"/>
      <c r="AQ174" s="108"/>
      <c r="AR174" s="105"/>
      <c r="AS174" s="105"/>
      <c r="AT174" s="102"/>
      <c r="AU174" s="102"/>
      <c r="AV174" s="102"/>
      <c r="AW174" s="102"/>
      <c r="AX174" s="32">
        <f>운전실적_원본!W174</f>
        <v>0</v>
      </c>
      <c r="AY174" s="11">
        <f>운전실적_원본!X174</f>
        <v>0</v>
      </c>
      <c r="AZ174" s="11">
        <f>운전실적_원본!Y174</f>
        <v>0</v>
      </c>
      <c r="BA174" s="11">
        <f>운전실적_원본!Z174</f>
        <v>0</v>
      </c>
      <c r="BB174" s="11">
        <f>운전실적_원본!AA174</f>
        <v>0</v>
      </c>
      <c r="BC174" s="11">
        <f>운전실적_원본!AB174</f>
        <v>0</v>
      </c>
      <c r="BD174" s="32" t="str">
        <f t="shared" si="784"/>
        <v>-</v>
      </c>
      <c r="BE174" s="11" t="str">
        <f t="shared" si="792"/>
        <v>-</v>
      </c>
      <c r="BF174" s="11">
        <f>운전실적_원본!AE174</f>
        <v>0</v>
      </c>
      <c r="BG174" s="31">
        <f t="shared" si="785"/>
        <v>0</v>
      </c>
      <c r="BH174" s="241">
        <f>INDEX(연료전지_원본!$A$4:$KY$369,MATCH($A174,연료전지_원본!$A$4:$A$369,0),MATCH($BH$4,연료전지_원본!$A$4:$KY$4,0))</f>
        <v>0</v>
      </c>
      <c r="BI174" s="241">
        <f>INDEX(연료전지_원본!$A$4:$KY$369,MATCH($A174,연료전지_원본!$A$4:$A$369,0),MATCH($BI$4,연료전지_원본!$A$4:$KY$4,0))</f>
        <v>0</v>
      </c>
      <c r="BJ174" s="241">
        <f>INDEX(연료전지_원본!$A$4:$KY$369,MATCH($A174,연료전지_원본!$A$4:$A$369,0),MATCH($BJ$4,연료전지_원본!$A$4:$KY$4,0))</f>
        <v>0</v>
      </c>
      <c r="BK174" s="241">
        <f>INDEX(연료전지_원본!$A$4:$KY$369,MATCH($A174,연료전지_원본!$A$4:$A$369,0),MATCH($BK$4,연료전지_원본!$A$4:$KY$4,0))</f>
        <v>0</v>
      </c>
      <c r="BL174" s="241">
        <f>INDEX(연료전지_원본!$A$4:$KY$369,MATCH($A174,연료전지_원본!$A$4:$A$369,0),MATCH($BL$4,연료전지_원본!$A$4:$KY$4,0))</f>
        <v>0</v>
      </c>
      <c r="BM174" s="241">
        <f>INDEX(연료전지_원본!$A$4:$KY$369,MATCH($A174,연료전지_원본!$A$4:$A$369,0),MATCH($BM$4,연료전지_원본!$A$4:$KY$4,0))</f>
        <v>0</v>
      </c>
      <c r="BN174" s="241">
        <f>INDEX(연료전지_원본!$A$4:$KY$369,MATCH($A174,연료전지_원본!$A$4:$A$369,0),MATCH($BN$4,연료전지_원본!$A$4:$KY$4,0))</f>
        <v>0</v>
      </c>
      <c r="BO174" s="241">
        <f>INDEX(연료전지_원본!$A$4:$KY$369,MATCH($A174,연료전지_원본!$A$4:$A$369,0),MATCH($BO$4,연료전지_원본!$A$4:$KY$4,0))</f>
        <v>0</v>
      </c>
      <c r="BP174" s="241">
        <f>INDEX(연료전지_원본!$A$4:$KY$369,MATCH($A174,연료전지_원본!$A$4:$A$369,0),MATCH($BP$4,연료전지_원본!$A$4:$KY$4,0))</f>
        <v>0</v>
      </c>
      <c r="BQ174" s="241">
        <f>INDEX(연료전지_원본!$A$4:$KY$369,MATCH($A174,연료전지_원본!$A$4:$A$369,0),MATCH($BQ$4,연료전지_원본!$A$4:$KY$4,0))</f>
        <v>0</v>
      </c>
      <c r="BR174" s="241">
        <f>INDEX(연료전지_원본!$A$4:$KY$369,MATCH($A174,연료전지_원본!$A$4:$A$369,0),MATCH($BR$4,연료전지_원본!$A$4:$KY$4,0))</f>
        <v>0</v>
      </c>
      <c r="BS174" s="241">
        <f>INDEX(연료전지_원본!$A$4:$KY$369,MATCH($A174,연료전지_원본!$A$4:$A$369,0),MATCH($BS$4,연료전지_원본!$A$4:$KY$4,0))</f>
        <v>0</v>
      </c>
      <c r="BT174" s="241">
        <f>INDEX(연료전지_원본!$A$4:$KY$369,MATCH($A174,연료전지_원본!$A$4:$A$369,0),MATCH($BT$4,연료전지_원본!$A$4:$KY$4,0))</f>
        <v>0</v>
      </c>
      <c r="BU174" s="241">
        <f>INDEX(연료전지_원본!$A$4:$KY$369,MATCH($A174,연료전지_원본!$A$4:$A$369,0),MATCH($BU$4,연료전지_원본!$A$4:$KY$4,0))</f>
        <v>0</v>
      </c>
      <c r="BV174" s="241">
        <f>INDEX(연료전지_원본!$A$4:$KY$369,MATCH($A174,연료전지_원본!$A$4:$A$369,0),MATCH($BV$4,연료전지_원본!$A$4:$KY$4,0))</f>
        <v>0</v>
      </c>
      <c r="BW174" s="241">
        <f>INDEX(연료전지_원본!$A$4:$KY$369,MATCH($A174,연료전지_원본!$A$4:$A$369,0),MATCH($BW$4,연료전지_원본!$A$4:$KY$4,0))</f>
        <v>0</v>
      </c>
      <c r="BX174" s="241">
        <f>INDEX(연료전지_원본!$A$4:$KY$369,MATCH($A174,연료전지_원본!$A$4:$A$369,0),MATCH($BX$4,연료전지_원본!$A$4:$KY$4,0))</f>
        <v>0</v>
      </c>
      <c r="BY174" s="241">
        <f>INDEX(연료전지_원본!$A$4:$KY$369,MATCH($A174,연료전지_원본!$A$4:$A$369,0),MATCH($BY$4,연료전지_원본!$A$4:$KY$4,0))</f>
        <v>0</v>
      </c>
      <c r="BZ174" s="241">
        <f>INDEX(연료전지_원본!$A$4:$KY$369,MATCH($A174,연료전지_원본!$A$4:$A$369,0),MATCH($BZ$4,연료전지_원본!$A$4:$KY$4,0))</f>
        <v>0</v>
      </c>
      <c r="CA174" s="241">
        <f>INDEX(연료전지_원본!$A$4:$KY$369,MATCH($A174,연료전지_원본!$A$4:$A$369,0),MATCH($CA$4,연료전지_원본!$A$4:$KY$4,0))</f>
        <v>0</v>
      </c>
      <c r="CB174" s="241">
        <f>INDEX(연료전지_원본!$A$4:$KY$369,MATCH($A174,연료전지_원본!$A$4:$A$369,0),MATCH($CB$4,연료전지_원본!$A$4:$KY$4,0))</f>
        <v>0</v>
      </c>
      <c r="CC174" s="242">
        <f>INDEX(연료전지_원본!$A$4:$KY$369,MATCH($A174,연료전지_원본!$A$4:$A$369,0),MATCH($CC$4,연료전지_원본!$A$4:$KY$4,0))</f>
        <v>0</v>
      </c>
      <c r="CD174" s="250">
        <f>INDEX(연료전지_원본!$KB$4:$KX$369,MATCH($A174,연료전지_원본!$KB$4:$KB$369,0), MATCH(CD$4,연료전지_원본!$KB$4:$KX$4,0))*1000</f>
        <v>0</v>
      </c>
      <c r="CE174" s="250">
        <f>INDEX(연료전지_원본!$KB$4:$KX$369,MATCH($A174,연료전지_원본!$KB$4:$KB$369,0), MATCH(CE$4,연료전지_원본!$KB$4:$KX$4,0))*1000</f>
        <v>0</v>
      </c>
      <c r="CF174" s="250">
        <f>INDEX(연료전지_원본!$KB$4:$KX$369,MATCH($A174,연료전지_원본!$KB$4:$KB$369,0), MATCH(CF$4,연료전지_원본!$KB$4:$KX$4,0))*1000</f>
        <v>0</v>
      </c>
      <c r="CG174" s="250">
        <f>INDEX(연료전지_원본!$KB$4:$KX$369,MATCH($A174,연료전지_원본!$KB$4:$KB$369,0), MATCH(CG$4,연료전지_원본!$KB$4:$KX$4,0))*1000</f>
        <v>0</v>
      </c>
      <c r="CH174" s="250">
        <f>INDEX(연료전지_원본!$KB$4:$KX$369,MATCH($A174,연료전지_원본!$KB$4:$KB$369,0), MATCH(CH$4,연료전지_원본!$KB$4:$KX$4,0))*1000</f>
        <v>0</v>
      </c>
      <c r="CI174" s="250">
        <f>INDEX(연료전지_원본!$KB$4:$KX$369,MATCH($A174,연료전지_원본!$KB$4:$KB$369,0), MATCH(CI$4,연료전지_원본!$KB$4:$KX$4,0))*1000</f>
        <v>0</v>
      </c>
      <c r="CJ174" s="250">
        <f>INDEX(연료전지_원본!$KB$4:$KX$369,MATCH($A174,연료전지_원본!$KB$4:$KB$369,0), MATCH(CJ$4,연료전지_원본!$KB$4:$KX$4,0))*1000</f>
        <v>0</v>
      </c>
      <c r="CK174" s="250">
        <f>INDEX(연료전지_원본!$KB$4:$KX$369,MATCH($A174,연료전지_원본!$KB$4:$KB$369,0), MATCH(CK$4,연료전지_원본!$KB$4:$KX$4,0))*1000</f>
        <v>0</v>
      </c>
      <c r="CL174" s="250">
        <f>INDEX(연료전지_원본!$KB$4:$KX$369,MATCH($A174,연료전지_원본!$KB$4:$KB$369,0), MATCH(CL$4,연료전지_원본!$KB$4:$KX$4,0))*1000</f>
        <v>0</v>
      </c>
      <c r="CM174" s="250">
        <f>INDEX(연료전지_원본!$KB$4:$KX$369,MATCH($A174,연료전지_원본!$KB$4:$KB$369,0), MATCH(CM$4,연료전지_원본!$KB$4:$KX$4,0))*1000</f>
        <v>0</v>
      </c>
      <c r="CN174" s="250">
        <f>INDEX(연료전지_원본!$KB$4:$KX$369,MATCH($A174,연료전지_원본!$KB$4:$KB$369,0), MATCH(CN$4,연료전지_원본!$KB$4:$KX$4,0))*1000</f>
        <v>0</v>
      </c>
      <c r="CO174" s="250">
        <f>INDEX(연료전지_원본!$KB$4:$KX$369,MATCH($A174,연료전지_원본!$KB$4:$KB$369,0), MATCH(CO$4,연료전지_원본!$KB$4:$KX$4,0))*1000</f>
        <v>0</v>
      </c>
      <c r="CP174" s="250">
        <f>INDEX(연료전지_원본!$KB$4:$KX$369,MATCH($A174,연료전지_원본!$KB$4:$KB$369,0), MATCH(CP$4,연료전지_원본!$KB$4:$KX$4,0))*1000</f>
        <v>0</v>
      </c>
      <c r="CQ174" s="250">
        <f>INDEX(연료전지_원본!$KB$4:$KX$369,MATCH($A174,연료전지_원본!$KB$4:$KB$369,0), MATCH(CQ$4,연료전지_원본!$KB$4:$KX$4,0))*1000</f>
        <v>0</v>
      </c>
      <c r="CR174" s="250">
        <f>INDEX(연료전지_원본!$KB$4:$KX$369,MATCH($A174,연료전지_원본!$KB$4:$KB$369,0), MATCH(CR$4,연료전지_원본!$KB$4:$KX$4,0))*1000</f>
        <v>0</v>
      </c>
      <c r="CS174" s="250">
        <f>INDEX(연료전지_원본!$KB$4:$KX$369,MATCH($A174,연료전지_원본!$KB$4:$KB$369,0), MATCH(CS$4,연료전지_원본!$KB$4:$KX$4,0))*1000</f>
        <v>0</v>
      </c>
      <c r="CT174" s="250">
        <f>INDEX(연료전지_원본!$KB$4:$KX$369,MATCH($A174,연료전지_원본!$KB$4:$KB$369,0), MATCH(CT$4,연료전지_원본!$KB$4:$KX$4,0))*1000</f>
        <v>0</v>
      </c>
      <c r="CU174" s="250">
        <f>INDEX(연료전지_원본!$KB$4:$KX$369,MATCH($A174,연료전지_원본!$KB$4:$KB$369,0), MATCH(CU$4,연료전지_원본!$KB$4:$KX$4,0))*1000</f>
        <v>0</v>
      </c>
      <c r="CV174" s="250">
        <f>INDEX(연료전지_원본!$KB$4:$KX$369,MATCH($A174,연료전지_원본!$KB$4:$KB$369,0), MATCH(CV$4,연료전지_원본!$KB$4:$KX$4,0))*1000</f>
        <v>0</v>
      </c>
      <c r="CW174" s="250">
        <f>INDEX(연료전지_원본!$KB$4:$KX$369,MATCH($A174,연료전지_원본!$KB$4:$KB$369,0), MATCH(CW$4,연료전지_원본!$KB$4:$KX$4,0))*1000</f>
        <v>0</v>
      </c>
      <c r="CX174" s="250">
        <f>INDEX(연료전지_원본!$KB$4:$KX$369,MATCH($A174,연료전지_원본!$KB$4:$KB$369,0), MATCH(CX$4,연료전지_원본!$KB$4:$KX$4,0))*1000</f>
        <v>0</v>
      </c>
      <c r="CY174" s="250">
        <f>INDEX(연료전지_원본!$KB$4:$KX$369,MATCH($A174,연료전지_원본!$KB$4:$KB$369,0), MATCH(CY$4,연료전지_원본!$KB$4:$KX$4,0))*1000</f>
        <v>0</v>
      </c>
      <c r="DV174" s="30">
        <f t="shared" si="954"/>
        <v>0</v>
      </c>
    </row>
    <row r="175" spans="1:126">
      <c r="A175" s="6">
        <v>46192</v>
      </c>
      <c r="B175" s="15">
        <f>운전실적_원본!B175</f>
        <v>0</v>
      </c>
      <c r="C175" s="16" t="str">
        <f t="shared" si="960"/>
        <v/>
      </c>
      <c r="D175" s="12">
        <f>운전실적_원본!C175</f>
        <v>0</v>
      </c>
      <c r="E175" s="12" t="str">
        <f t="shared" si="961"/>
        <v/>
      </c>
      <c r="F175" s="12">
        <f>운전실적_원본!D175</f>
        <v>0</v>
      </c>
      <c r="G175" s="16" t="str">
        <f t="shared" si="962"/>
        <v/>
      </c>
      <c r="H175" s="15">
        <f>운전실적_원본!E175</f>
        <v>0</v>
      </c>
      <c r="I175" s="16" t="str">
        <f t="shared" si="963"/>
        <v/>
      </c>
      <c r="J175" s="15">
        <f>운전실적_원본!F175</f>
        <v>0</v>
      </c>
      <c r="K175" s="16" t="str">
        <f t="shared" si="963"/>
        <v/>
      </c>
      <c r="L175" s="32">
        <f>운전실적_원본!G175</f>
        <v>0</v>
      </c>
      <c r="M175" s="31" t="str">
        <f t="shared" ref="M175" si="1000">IF(OR(LEN(L175)=0,L175=0),"",L175-L174)</f>
        <v/>
      </c>
      <c r="N175" s="15">
        <f>운전실적_원본!H175</f>
        <v>0</v>
      </c>
      <c r="O175" s="16" t="str">
        <f t="shared" ref="O175" si="1001">IF(OR(LEN(N175)=0,N175=0),"",N175-N174)</f>
        <v/>
      </c>
      <c r="P175" s="15">
        <f>운전실적_원본!I175</f>
        <v>0</v>
      </c>
      <c r="Q175" s="16" t="str">
        <f t="shared" ref="Q175" si="1002">IF(OR(LEN(P175)=0,P175=0),"",P175-P174)</f>
        <v/>
      </c>
      <c r="R175" s="18">
        <f>운전실적_원본!J175</f>
        <v>0</v>
      </c>
      <c r="S175" s="19" t="str">
        <f t="shared" ref="S175" si="1003">IF(OR(LEN(R175)=0,R175=0),"",R175-R174)</f>
        <v/>
      </c>
      <c r="T175" s="18">
        <f>운전실적_원본!K175</f>
        <v>0</v>
      </c>
      <c r="U175" s="19" t="str">
        <f t="shared" si="968"/>
        <v/>
      </c>
      <c r="V175" s="12">
        <f>운전실적_원본!L175</f>
        <v>0</v>
      </c>
      <c r="W175" s="16" t="str">
        <f t="shared" ref="W175" si="1004">IF(OR(LEN(V175)=0,V175=0),"",V175-V174)</f>
        <v/>
      </c>
      <c r="X175" s="10">
        <f>운전실적_원본!M175</f>
        <v>0</v>
      </c>
      <c r="Y175" s="10">
        <f>운전실적_원본!N175</f>
        <v>0</v>
      </c>
      <c r="Z175" s="10">
        <f>운전실적_원본!O175</f>
        <v>0</v>
      </c>
      <c r="AA175" s="10">
        <f>운전실적_원본!P175</f>
        <v>0</v>
      </c>
      <c r="AB175" s="10">
        <f>운전실적_원본!Q175</f>
        <v>0</v>
      </c>
      <c r="AC175" s="20">
        <f>운전실적_원본!R175</f>
        <v>0</v>
      </c>
      <c r="AD175" s="109">
        <f>운전실적_원본!S175</f>
        <v>0</v>
      </c>
      <c r="AE175" s="110">
        <f>운전실적_원본!T175</f>
        <v>0</v>
      </c>
      <c r="AF175" s="110">
        <f>운전실적_원본!U175</f>
        <v>0</v>
      </c>
      <c r="AG175" s="110">
        <f>운전실적_원본!V175</f>
        <v>0</v>
      </c>
      <c r="AH175" s="109">
        <f t="shared" si="791"/>
        <v>0</v>
      </c>
      <c r="AI175" s="110">
        <f t="shared" si="798"/>
        <v>0</v>
      </c>
      <c r="AJ175" s="110">
        <f>운전실적_원본!Y175</f>
        <v>0</v>
      </c>
      <c r="AK175" s="110">
        <f>운전실적_원본!Z175</f>
        <v>0</v>
      </c>
      <c r="AL175" s="106"/>
      <c r="AM175" s="105"/>
      <c r="AN175" s="105"/>
      <c r="AO175" s="105"/>
      <c r="AP175" s="105"/>
      <c r="AQ175" s="108"/>
      <c r="AR175" s="105"/>
      <c r="AS175" s="105"/>
      <c r="AT175" s="102"/>
      <c r="AU175" s="102"/>
      <c r="AV175" s="102"/>
      <c r="AW175" s="102"/>
      <c r="AX175" s="32">
        <f>운전실적_원본!W175</f>
        <v>0</v>
      </c>
      <c r="AY175" s="11">
        <f>운전실적_원본!X175</f>
        <v>0</v>
      </c>
      <c r="AZ175" s="11">
        <f>운전실적_원본!Y175</f>
        <v>0</v>
      </c>
      <c r="BA175" s="11">
        <f>운전실적_원본!Z175</f>
        <v>0</v>
      </c>
      <c r="BB175" s="11">
        <f>운전실적_원본!AA175</f>
        <v>0</v>
      </c>
      <c r="BC175" s="11">
        <f>운전실적_원본!AB175</f>
        <v>0</v>
      </c>
      <c r="BD175" s="32" t="str">
        <f t="shared" si="784"/>
        <v>-</v>
      </c>
      <c r="BE175" s="11" t="str">
        <f t="shared" si="792"/>
        <v>-</v>
      </c>
      <c r="BF175" s="11">
        <f>운전실적_원본!AE175</f>
        <v>0</v>
      </c>
      <c r="BG175" s="31">
        <f t="shared" si="785"/>
        <v>0</v>
      </c>
      <c r="BH175" s="241">
        <f>INDEX(연료전지_원본!$A$4:$KY$369,MATCH($A175,연료전지_원본!$A$4:$A$369,0),MATCH($BH$4,연료전지_원본!$A$4:$KY$4,0))</f>
        <v>0</v>
      </c>
      <c r="BI175" s="241">
        <f>INDEX(연료전지_원본!$A$4:$KY$369,MATCH($A175,연료전지_원본!$A$4:$A$369,0),MATCH($BI$4,연료전지_원본!$A$4:$KY$4,0))</f>
        <v>0</v>
      </c>
      <c r="BJ175" s="241">
        <f>INDEX(연료전지_원본!$A$4:$KY$369,MATCH($A175,연료전지_원본!$A$4:$A$369,0),MATCH($BJ$4,연료전지_원본!$A$4:$KY$4,0))</f>
        <v>0</v>
      </c>
      <c r="BK175" s="241">
        <f>INDEX(연료전지_원본!$A$4:$KY$369,MATCH($A175,연료전지_원본!$A$4:$A$369,0),MATCH($BK$4,연료전지_원본!$A$4:$KY$4,0))</f>
        <v>0</v>
      </c>
      <c r="BL175" s="241">
        <f>INDEX(연료전지_원본!$A$4:$KY$369,MATCH($A175,연료전지_원본!$A$4:$A$369,0),MATCH($BL$4,연료전지_원본!$A$4:$KY$4,0))</f>
        <v>0</v>
      </c>
      <c r="BM175" s="241">
        <f>INDEX(연료전지_원본!$A$4:$KY$369,MATCH($A175,연료전지_원본!$A$4:$A$369,0),MATCH($BM$4,연료전지_원본!$A$4:$KY$4,0))</f>
        <v>0</v>
      </c>
      <c r="BN175" s="241">
        <f>INDEX(연료전지_원본!$A$4:$KY$369,MATCH($A175,연료전지_원본!$A$4:$A$369,0),MATCH($BN$4,연료전지_원본!$A$4:$KY$4,0))</f>
        <v>0</v>
      </c>
      <c r="BO175" s="241">
        <f>INDEX(연료전지_원본!$A$4:$KY$369,MATCH($A175,연료전지_원본!$A$4:$A$369,0),MATCH($BO$4,연료전지_원본!$A$4:$KY$4,0))</f>
        <v>0</v>
      </c>
      <c r="BP175" s="241">
        <f>INDEX(연료전지_원본!$A$4:$KY$369,MATCH($A175,연료전지_원본!$A$4:$A$369,0),MATCH($BP$4,연료전지_원본!$A$4:$KY$4,0))</f>
        <v>0</v>
      </c>
      <c r="BQ175" s="241">
        <f>INDEX(연료전지_원본!$A$4:$KY$369,MATCH($A175,연료전지_원본!$A$4:$A$369,0),MATCH($BQ$4,연료전지_원본!$A$4:$KY$4,0))</f>
        <v>0</v>
      </c>
      <c r="BR175" s="241">
        <f>INDEX(연료전지_원본!$A$4:$KY$369,MATCH($A175,연료전지_원본!$A$4:$A$369,0),MATCH($BR$4,연료전지_원본!$A$4:$KY$4,0))</f>
        <v>0</v>
      </c>
      <c r="BS175" s="241">
        <f>INDEX(연료전지_원본!$A$4:$KY$369,MATCH($A175,연료전지_원본!$A$4:$A$369,0),MATCH($BS$4,연료전지_원본!$A$4:$KY$4,0))</f>
        <v>0</v>
      </c>
      <c r="BT175" s="241">
        <f>INDEX(연료전지_원본!$A$4:$KY$369,MATCH($A175,연료전지_원본!$A$4:$A$369,0),MATCH($BT$4,연료전지_원본!$A$4:$KY$4,0))</f>
        <v>0</v>
      </c>
      <c r="BU175" s="241">
        <f>INDEX(연료전지_원본!$A$4:$KY$369,MATCH($A175,연료전지_원본!$A$4:$A$369,0),MATCH($BU$4,연료전지_원본!$A$4:$KY$4,0))</f>
        <v>0</v>
      </c>
      <c r="BV175" s="241">
        <f>INDEX(연료전지_원본!$A$4:$KY$369,MATCH($A175,연료전지_원본!$A$4:$A$369,0),MATCH($BV$4,연료전지_원본!$A$4:$KY$4,0))</f>
        <v>0</v>
      </c>
      <c r="BW175" s="241">
        <f>INDEX(연료전지_원본!$A$4:$KY$369,MATCH($A175,연료전지_원본!$A$4:$A$369,0),MATCH($BW$4,연료전지_원본!$A$4:$KY$4,0))</f>
        <v>0</v>
      </c>
      <c r="BX175" s="241">
        <f>INDEX(연료전지_원본!$A$4:$KY$369,MATCH($A175,연료전지_원본!$A$4:$A$369,0),MATCH($BX$4,연료전지_원본!$A$4:$KY$4,0))</f>
        <v>0</v>
      </c>
      <c r="BY175" s="241">
        <f>INDEX(연료전지_원본!$A$4:$KY$369,MATCH($A175,연료전지_원본!$A$4:$A$369,0),MATCH($BY$4,연료전지_원본!$A$4:$KY$4,0))</f>
        <v>0</v>
      </c>
      <c r="BZ175" s="241">
        <f>INDEX(연료전지_원본!$A$4:$KY$369,MATCH($A175,연료전지_원본!$A$4:$A$369,0),MATCH($BZ$4,연료전지_원본!$A$4:$KY$4,0))</f>
        <v>0</v>
      </c>
      <c r="CA175" s="241">
        <f>INDEX(연료전지_원본!$A$4:$KY$369,MATCH($A175,연료전지_원본!$A$4:$A$369,0),MATCH($CA$4,연료전지_원본!$A$4:$KY$4,0))</f>
        <v>0</v>
      </c>
      <c r="CB175" s="241">
        <f>INDEX(연료전지_원본!$A$4:$KY$369,MATCH($A175,연료전지_원본!$A$4:$A$369,0),MATCH($CB$4,연료전지_원본!$A$4:$KY$4,0))</f>
        <v>0</v>
      </c>
      <c r="CC175" s="242">
        <f>INDEX(연료전지_원본!$A$4:$KY$369,MATCH($A175,연료전지_원본!$A$4:$A$369,0),MATCH($CC$4,연료전지_원본!$A$4:$KY$4,0))</f>
        <v>0</v>
      </c>
      <c r="CD175" s="250">
        <f>INDEX(연료전지_원본!$KB$4:$KX$369,MATCH($A175,연료전지_원본!$KB$4:$KB$369,0), MATCH(CD$4,연료전지_원본!$KB$4:$KX$4,0))*1000</f>
        <v>0</v>
      </c>
      <c r="CE175" s="250">
        <f>INDEX(연료전지_원본!$KB$4:$KX$369,MATCH($A175,연료전지_원본!$KB$4:$KB$369,0), MATCH(CE$4,연료전지_원본!$KB$4:$KX$4,0))*1000</f>
        <v>0</v>
      </c>
      <c r="CF175" s="250">
        <f>INDEX(연료전지_원본!$KB$4:$KX$369,MATCH($A175,연료전지_원본!$KB$4:$KB$369,0), MATCH(CF$4,연료전지_원본!$KB$4:$KX$4,0))*1000</f>
        <v>0</v>
      </c>
      <c r="CG175" s="250">
        <f>INDEX(연료전지_원본!$KB$4:$KX$369,MATCH($A175,연료전지_원본!$KB$4:$KB$369,0), MATCH(CG$4,연료전지_원본!$KB$4:$KX$4,0))*1000</f>
        <v>0</v>
      </c>
      <c r="CH175" s="250">
        <f>INDEX(연료전지_원본!$KB$4:$KX$369,MATCH($A175,연료전지_원본!$KB$4:$KB$369,0), MATCH(CH$4,연료전지_원본!$KB$4:$KX$4,0))*1000</f>
        <v>0</v>
      </c>
      <c r="CI175" s="250">
        <f>INDEX(연료전지_원본!$KB$4:$KX$369,MATCH($A175,연료전지_원본!$KB$4:$KB$369,0), MATCH(CI$4,연료전지_원본!$KB$4:$KX$4,0))*1000</f>
        <v>0</v>
      </c>
      <c r="CJ175" s="250">
        <f>INDEX(연료전지_원본!$KB$4:$KX$369,MATCH($A175,연료전지_원본!$KB$4:$KB$369,0), MATCH(CJ$4,연료전지_원본!$KB$4:$KX$4,0))*1000</f>
        <v>0</v>
      </c>
      <c r="CK175" s="250">
        <f>INDEX(연료전지_원본!$KB$4:$KX$369,MATCH($A175,연료전지_원본!$KB$4:$KB$369,0), MATCH(CK$4,연료전지_원본!$KB$4:$KX$4,0))*1000</f>
        <v>0</v>
      </c>
      <c r="CL175" s="250">
        <f>INDEX(연료전지_원본!$KB$4:$KX$369,MATCH($A175,연료전지_원본!$KB$4:$KB$369,0), MATCH(CL$4,연료전지_원본!$KB$4:$KX$4,0))*1000</f>
        <v>0</v>
      </c>
      <c r="CM175" s="250">
        <f>INDEX(연료전지_원본!$KB$4:$KX$369,MATCH($A175,연료전지_원본!$KB$4:$KB$369,0), MATCH(CM$4,연료전지_원본!$KB$4:$KX$4,0))*1000</f>
        <v>0</v>
      </c>
      <c r="CN175" s="250">
        <f>INDEX(연료전지_원본!$KB$4:$KX$369,MATCH($A175,연료전지_원본!$KB$4:$KB$369,0), MATCH(CN$4,연료전지_원본!$KB$4:$KX$4,0))*1000</f>
        <v>0</v>
      </c>
      <c r="CO175" s="250">
        <f>INDEX(연료전지_원본!$KB$4:$KX$369,MATCH($A175,연료전지_원본!$KB$4:$KB$369,0), MATCH(CO$4,연료전지_원본!$KB$4:$KX$4,0))*1000</f>
        <v>0</v>
      </c>
      <c r="CP175" s="250">
        <f>INDEX(연료전지_원본!$KB$4:$KX$369,MATCH($A175,연료전지_원본!$KB$4:$KB$369,0), MATCH(CP$4,연료전지_원본!$KB$4:$KX$4,0))*1000</f>
        <v>0</v>
      </c>
      <c r="CQ175" s="250">
        <f>INDEX(연료전지_원본!$KB$4:$KX$369,MATCH($A175,연료전지_원본!$KB$4:$KB$369,0), MATCH(CQ$4,연료전지_원본!$KB$4:$KX$4,0))*1000</f>
        <v>0</v>
      </c>
      <c r="CR175" s="250">
        <f>INDEX(연료전지_원본!$KB$4:$KX$369,MATCH($A175,연료전지_원본!$KB$4:$KB$369,0), MATCH(CR$4,연료전지_원본!$KB$4:$KX$4,0))*1000</f>
        <v>0</v>
      </c>
      <c r="CS175" s="250">
        <f>INDEX(연료전지_원본!$KB$4:$KX$369,MATCH($A175,연료전지_원본!$KB$4:$KB$369,0), MATCH(CS$4,연료전지_원본!$KB$4:$KX$4,0))*1000</f>
        <v>0</v>
      </c>
      <c r="CT175" s="250">
        <f>INDEX(연료전지_원본!$KB$4:$KX$369,MATCH($A175,연료전지_원본!$KB$4:$KB$369,0), MATCH(CT$4,연료전지_원본!$KB$4:$KX$4,0))*1000</f>
        <v>0</v>
      </c>
      <c r="CU175" s="250">
        <f>INDEX(연료전지_원본!$KB$4:$KX$369,MATCH($A175,연료전지_원본!$KB$4:$KB$369,0), MATCH(CU$4,연료전지_원본!$KB$4:$KX$4,0))*1000</f>
        <v>0</v>
      </c>
      <c r="CV175" s="250">
        <f>INDEX(연료전지_원본!$KB$4:$KX$369,MATCH($A175,연료전지_원본!$KB$4:$KB$369,0), MATCH(CV$4,연료전지_원본!$KB$4:$KX$4,0))*1000</f>
        <v>0</v>
      </c>
      <c r="CW175" s="250">
        <f>INDEX(연료전지_원본!$KB$4:$KX$369,MATCH($A175,연료전지_원본!$KB$4:$KB$369,0), MATCH(CW$4,연료전지_원본!$KB$4:$KX$4,0))*1000</f>
        <v>0</v>
      </c>
      <c r="CX175" s="250">
        <f>INDEX(연료전지_원본!$KB$4:$KX$369,MATCH($A175,연료전지_원본!$KB$4:$KB$369,0), MATCH(CX$4,연료전지_원본!$KB$4:$KX$4,0))*1000</f>
        <v>0</v>
      </c>
      <c r="CY175" s="250">
        <f>INDEX(연료전지_원본!$KB$4:$KX$369,MATCH($A175,연료전지_원본!$KB$4:$KB$369,0), MATCH(CY$4,연료전지_원본!$KB$4:$KX$4,0))*1000</f>
        <v>0</v>
      </c>
      <c r="DV175" s="30">
        <f t="shared" si="954"/>
        <v>0</v>
      </c>
    </row>
    <row r="176" spans="1:126">
      <c r="A176" s="6">
        <v>46193</v>
      </c>
      <c r="B176" s="15">
        <f>운전실적_원본!B176</f>
        <v>0</v>
      </c>
      <c r="C176" s="16" t="str">
        <f t="shared" si="960"/>
        <v/>
      </c>
      <c r="D176" s="12">
        <f>운전실적_원본!C176</f>
        <v>0</v>
      </c>
      <c r="E176" s="12" t="str">
        <f t="shared" si="961"/>
        <v/>
      </c>
      <c r="F176" s="12">
        <f>운전실적_원본!D176</f>
        <v>0</v>
      </c>
      <c r="G176" s="16" t="str">
        <f t="shared" si="962"/>
        <v/>
      </c>
      <c r="H176" s="15">
        <f>운전실적_원본!E176</f>
        <v>0</v>
      </c>
      <c r="I176" s="16" t="str">
        <f t="shared" si="963"/>
        <v/>
      </c>
      <c r="J176" s="15">
        <f>운전실적_원본!F176</f>
        <v>0</v>
      </c>
      <c r="K176" s="16" t="str">
        <f t="shared" si="963"/>
        <v/>
      </c>
      <c r="L176" s="32">
        <f>운전실적_원본!G176</f>
        <v>0</v>
      </c>
      <c r="M176" s="31" t="str">
        <f t="shared" ref="M176" si="1005">IF(OR(LEN(L176)=0,L176=0),"",L176-L175)</f>
        <v/>
      </c>
      <c r="N176" s="15">
        <f>운전실적_원본!H176</f>
        <v>0</v>
      </c>
      <c r="O176" s="16" t="str">
        <f t="shared" ref="O176" si="1006">IF(OR(LEN(N176)=0,N176=0),"",N176-N175)</f>
        <v/>
      </c>
      <c r="P176" s="15">
        <f>운전실적_원본!I176</f>
        <v>0</v>
      </c>
      <c r="Q176" s="16" t="str">
        <f t="shared" ref="Q176" si="1007">IF(OR(LEN(P176)=0,P176=0),"",P176-P175)</f>
        <v/>
      </c>
      <c r="R176" s="18">
        <f>운전실적_원본!J176</f>
        <v>0</v>
      </c>
      <c r="S176" s="19" t="str">
        <f t="shared" ref="S176" si="1008">IF(OR(LEN(R176)=0,R176=0),"",R176-R175)</f>
        <v/>
      </c>
      <c r="T176" s="18">
        <f>운전실적_원본!K176</f>
        <v>0</v>
      </c>
      <c r="U176" s="19" t="str">
        <f t="shared" si="968"/>
        <v/>
      </c>
      <c r="V176" s="12">
        <f>운전실적_원본!L176</f>
        <v>0</v>
      </c>
      <c r="W176" s="16" t="str">
        <f t="shared" ref="W176" si="1009">IF(OR(LEN(V176)=0,V176=0),"",V176-V175)</f>
        <v/>
      </c>
      <c r="X176" s="10">
        <f>운전실적_원본!M176</f>
        <v>0</v>
      </c>
      <c r="Y176" s="10">
        <f>운전실적_원본!N176</f>
        <v>0</v>
      </c>
      <c r="Z176" s="10">
        <f>운전실적_원본!O176</f>
        <v>0</v>
      </c>
      <c r="AA176" s="10">
        <f>운전실적_원본!P176</f>
        <v>0</v>
      </c>
      <c r="AB176" s="10">
        <f>운전실적_원본!Q176</f>
        <v>0</v>
      </c>
      <c r="AC176" s="20">
        <f>운전실적_원본!R176</f>
        <v>0</v>
      </c>
      <c r="AD176" s="109">
        <f>운전실적_원본!S176</f>
        <v>0</v>
      </c>
      <c r="AE176" s="110">
        <f>운전실적_원본!T176</f>
        <v>0</v>
      </c>
      <c r="AF176" s="110">
        <f>운전실적_원본!U176</f>
        <v>0</v>
      </c>
      <c r="AG176" s="110">
        <f>운전실적_원본!V176</f>
        <v>0</v>
      </c>
      <c r="AH176" s="109">
        <f t="shared" si="791"/>
        <v>0</v>
      </c>
      <c r="AI176" s="110">
        <f t="shared" si="798"/>
        <v>0</v>
      </c>
      <c r="AJ176" s="110">
        <f>운전실적_원본!Y176</f>
        <v>0</v>
      </c>
      <c r="AK176" s="110">
        <f>운전실적_원본!Z176</f>
        <v>0</v>
      </c>
      <c r="AL176" s="106"/>
      <c r="AM176" s="105"/>
      <c r="AN176" s="105"/>
      <c r="AO176" s="105"/>
      <c r="AP176" s="105"/>
      <c r="AQ176" s="108"/>
      <c r="AR176" s="105"/>
      <c r="AS176" s="105"/>
      <c r="AT176" s="102"/>
      <c r="AU176" s="102"/>
      <c r="AV176" s="102"/>
      <c r="AW176" s="102"/>
      <c r="AX176" s="32">
        <f>운전실적_원본!W176</f>
        <v>0</v>
      </c>
      <c r="AY176" s="11">
        <f>운전실적_원본!X176</f>
        <v>0</v>
      </c>
      <c r="AZ176" s="11">
        <f>운전실적_원본!Y176</f>
        <v>0</v>
      </c>
      <c r="BA176" s="11">
        <f>운전실적_원본!Z176</f>
        <v>0</v>
      </c>
      <c r="BB176" s="11">
        <f>운전실적_원본!AA176</f>
        <v>0</v>
      </c>
      <c r="BC176" s="11">
        <f>운전실적_원본!AB176</f>
        <v>0</v>
      </c>
      <c r="BD176" s="32" t="str">
        <f t="shared" si="784"/>
        <v>-</v>
      </c>
      <c r="BE176" s="11" t="str">
        <f t="shared" si="792"/>
        <v>-</v>
      </c>
      <c r="BF176" s="11">
        <f>운전실적_원본!AE176</f>
        <v>0</v>
      </c>
      <c r="BG176" s="31">
        <f t="shared" si="785"/>
        <v>0</v>
      </c>
      <c r="BH176" s="241">
        <f>INDEX(연료전지_원본!$A$4:$KY$369,MATCH($A176,연료전지_원본!$A$4:$A$369,0),MATCH($BH$4,연료전지_원본!$A$4:$KY$4,0))</f>
        <v>0</v>
      </c>
      <c r="BI176" s="241">
        <f>INDEX(연료전지_원본!$A$4:$KY$369,MATCH($A176,연료전지_원본!$A$4:$A$369,0),MATCH($BI$4,연료전지_원본!$A$4:$KY$4,0))</f>
        <v>0</v>
      </c>
      <c r="BJ176" s="241">
        <f>INDEX(연료전지_원본!$A$4:$KY$369,MATCH($A176,연료전지_원본!$A$4:$A$369,0),MATCH($BJ$4,연료전지_원본!$A$4:$KY$4,0))</f>
        <v>0</v>
      </c>
      <c r="BK176" s="241">
        <f>INDEX(연료전지_원본!$A$4:$KY$369,MATCH($A176,연료전지_원본!$A$4:$A$369,0),MATCH($BK$4,연료전지_원본!$A$4:$KY$4,0))</f>
        <v>0</v>
      </c>
      <c r="BL176" s="241">
        <f>INDEX(연료전지_원본!$A$4:$KY$369,MATCH($A176,연료전지_원본!$A$4:$A$369,0),MATCH($BL$4,연료전지_원본!$A$4:$KY$4,0))</f>
        <v>0</v>
      </c>
      <c r="BM176" s="241">
        <f>INDEX(연료전지_원본!$A$4:$KY$369,MATCH($A176,연료전지_원본!$A$4:$A$369,0),MATCH($BM$4,연료전지_원본!$A$4:$KY$4,0))</f>
        <v>0</v>
      </c>
      <c r="BN176" s="241">
        <f>INDEX(연료전지_원본!$A$4:$KY$369,MATCH($A176,연료전지_원본!$A$4:$A$369,0),MATCH($BN$4,연료전지_원본!$A$4:$KY$4,0))</f>
        <v>0</v>
      </c>
      <c r="BO176" s="241">
        <f>INDEX(연료전지_원본!$A$4:$KY$369,MATCH($A176,연료전지_원본!$A$4:$A$369,0),MATCH($BO$4,연료전지_원본!$A$4:$KY$4,0))</f>
        <v>0</v>
      </c>
      <c r="BP176" s="241">
        <f>INDEX(연료전지_원본!$A$4:$KY$369,MATCH($A176,연료전지_원본!$A$4:$A$369,0),MATCH($BP$4,연료전지_원본!$A$4:$KY$4,0))</f>
        <v>0</v>
      </c>
      <c r="BQ176" s="241">
        <f>INDEX(연료전지_원본!$A$4:$KY$369,MATCH($A176,연료전지_원본!$A$4:$A$369,0),MATCH($BQ$4,연료전지_원본!$A$4:$KY$4,0))</f>
        <v>0</v>
      </c>
      <c r="BR176" s="241">
        <f>INDEX(연료전지_원본!$A$4:$KY$369,MATCH($A176,연료전지_원본!$A$4:$A$369,0),MATCH($BR$4,연료전지_원본!$A$4:$KY$4,0))</f>
        <v>0</v>
      </c>
      <c r="BS176" s="241">
        <f>INDEX(연료전지_원본!$A$4:$KY$369,MATCH($A176,연료전지_원본!$A$4:$A$369,0),MATCH($BS$4,연료전지_원본!$A$4:$KY$4,0))</f>
        <v>0</v>
      </c>
      <c r="BT176" s="241">
        <f>INDEX(연료전지_원본!$A$4:$KY$369,MATCH($A176,연료전지_원본!$A$4:$A$369,0),MATCH($BT$4,연료전지_원본!$A$4:$KY$4,0))</f>
        <v>0</v>
      </c>
      <c r="BU176" s="241">
        <f>INDEX(연료전지_원본!$A$4:$KY$369,MATCH($A176,연료전지_원본!$A$4:$A$369,0),MATCH($BU$4,연료전지_원본!$A$4:$KY$4,0))</f>
        <v>0</v>
      </c>
      <c r="BV176" s="241">
        <f>INDEX(연료전지_원본!$A$4:$KY$369,MATCH($A176,연료전지_원본!$A$4:$A$369,0),MATCH($BV$4,연료전지_원본!$A$4:$KY$4,0))</f>
        <v>0</v>
      </c>
      <c r="BW176" s="241">
        <f>INDEX(연료전지_원본!$A$4:$KY$369,MATCH($A176,연료전지_원본!$A$4:$A$369,0),MATCH($BW$4,연료전지_원본!$A$4:$KY$4,0))</f>
        <v>0</v>
      </c>
      <c r="BX176" s="241">
        <f>INDEX(연료전지_원본!$A$4:$KY$369,MATCH($A176,연료전지_원본!$A$4:$A$369,0),MATCH($BX$4,연료전지_원본!$A$4:$KY$4,0))</f>
        <v>0</v>
      </c>
      <c r="BY176" s="241">
        <f>INDEX(연료전지_원본!$A$4:$KY$369,MATCH($A176,연료전지_원본!$A$4:$A$369,0),MATCH($BY$4,연료전지_원본!$A$4:$KY$4,0))</f>
        <v>0</v>
      </c>
      <c r="BZ176" s="241">
        <f>INDEX(연료전지_원본!$A$4:$KY$369,MATCH($A176,연료전지_원본!$A$4:$A$369,0),MATCH($BZ$4,연료전지_원본!$A$4:$KY$4,0))</f>
        <v>0</v>
      </c>
      <c r="CA176" s="241">
        <f>INDEX(연료전지_원본!$A$4:$KY$369,MATCH($A176,연료전지_원본!$A$4:$A$369,0),MATCH($CA$4,연료전지_원본!$A$4:$KY$4,0))</f>
        <v>0</v>
      </c>
      <c r="CB176" s="241">
        <f>INDEX(연료전지_원본!$A$4:$KY$369,MATCH($A176,연료전지_원본!$A$4:$A$369,0),MATCH($CB$4,연료전지_원본!$A$4:$KY$4,0))</f>
        <v>0</v>
      </c>
      <c r="CC176" s="242">
        <f>INDEX(연료전지_원본!$A$4:$KY$369,MATCH($A176,연료전지_원본!$A$4:$A$369,0),MATCH($CC$4,연료전지_원본!$A$4:$KY$4,0))</f>
        <v>0</v>
      </c>
      <c r="CD176" s="250">
        <f>INDEX(연료전지_원본!$KB$4:$KX$369,MATCH($A176,연료전지_원본!$KB$4:$KB$369,0), MATCH(CD$4,연료전지_원본!$KB$4:$KX$4,0))*1000</f>
        <v>0</v>
      </c>
      <c r="CE176" s="250">
        <f>INDEX(연료전지_원본!$KB$4:$KX$369,MATCH($A176,연료전지_원본!$KB$4:$KB$369,0), MATCH(CE$4,연료전지_원본!$KB$4:$KX$4,0))*1000</f>
        <v>0</v>
      </c>
      <c r="CF176" s="250">
        <f>INDEX(연료전지_원본!$KB$4:$KX$369,MATCH($A176,연료전지_원본!$KB$4:$KB$369,0), MATCH(CF$4,연료전지_원본!$KB$4:$KX$4,0))*1000</f>
        <v>0</v>
      </c>
      <c r="CG176" s="250">
        <f>INDEX(연료전지_원본!$KB$4:$KX$369,MATCH($A176,연료전지_원본!$KB$4:$KB$369,0), MATCH(CG$4,연료전지_원본!$KB$4:$KX$4,0))*1000</f>
        <v>0</v>
      </c>
      <c r="CH176" s="250">
        <f>INDEX(연료전지_원본!$KB$4:$KX$369,MATCH($A176,연료전지_원본!$KB$4:$KB$369,0), MATCH(CH$4,연료전지_원본!$KB$4:$KX$4,0))*1000</f>
        <v>0</v>
      </c>
      <c r="CI176" s="250">
        <f>INDEX(연료전지_원본!$KB$4:$KX$369,MATCH($A176,연료전지_원본!$KB$4:$KB$369,0), MATCH(CI$4,연료전지_원본!$KB$4:$KX$4,0))*1000</f>
        <v>0</v>
      </c>
      <c r="CJ176" s="250">
        <f>INDEX(연료전지_원본!$KB$4:$KX$369,MATCH($A176,연료전지_원본!$KB$4:$KB$369,0), MATCH(CJ$4,연료전지_원본!$KB$4:$KX$4,0))*1000</f>
        <v>0</v>
      </c>
      <c r="CK176" s="250">
        <f>INDEX(연료전지_원본!$KB$4:$KX$369,MATCH($A176,연료전지_원본!$KB$4:$KB$369,0), MATCH(CK$4,연료전지_원본!$KB$4:$KX$4,0))*1000</f>
        <v>0</v>
      </c>
      <c r="CL176" s="250">
        <f>INDEX(연료전지_원본!$KB$4:$KX$369,MATCH($A176,연료전지_원본!$KB$4:$KB$369,0), MATCH(CL$4,연료전지_원본!$KB$4:$KX$4,0))*1000</f>
        <v>0</v>
      </c>
      <c r="CM176" s="250">
        <f>INDEX(연료전지_원본!$KB$4:$KX$369,MATCH($A176,연료전지_원본!$KB$4:$KB$369,0), MATCH(CM$4,연료전지_원본!$KB$4:$KX$4,0))*1000</f>
        <v>0</v>
      </c>
      <c r="CN176" s="250">
        <f>INDEX(연료전지_원본!$KB$4:$KX$369,MATCH($A176,연료전지_원본!$KB$4:$KB$369,0), MATCH(CN$4,연료전지_원본!$KB$4:$KX$4,0))*1000</f>
        <v>0</v>
      </c>
      <c r="CO176" s="250">
        <f>INDEX(연료전지_원본!$KB$4:$KX$369,MATCH($A176,연료전지_원본!$KB$4:$KB$369,0), MATCH(CO$4,연료전지_원본!$KB$4:$KX$4,0))*1000</f>
        <v>0</v>
      </c>
      <c r="CP176" s="250">
        <f>INDEX(연료전지_원본!$KB$4:$KX$369,MATCH($A176,연료전지_원본!$KB$4:$KB$369,0), MATCH(CP$4,연료전지_원본!$KB$4:$KX$4,0))*1000</f>
        <v>0</v>
      </c>
      <c r="CQ176" s="250">
        <f>INDEX(연료전지_원본!$KB$4:$KX$369,MATCH($A176,연료전지_원본!$KB$4:$KB$369,0), MATCH(CQ$4,연료전지_원본!$KB$4:$KX$4,0))*1000</f>
        <v>0</v>
      </c>
      <c r="CR176" s="250">
        <f>INDEX(연료전지_원본!$KB$4:$KX$369,MATCH($A176,연료전지_원본!$KB$4:$KB$369,0), MATCH(CR$4,연료전지_원본!$KB$4:$KX$4,0))*1000</f>
        <v>0</v>
      </c>
      <c r="CS176" s="250">
        <f>INDEX(연료전지_원본!$KB$4:$KX$369,MATCH($A176,연료전지_원본!$KB$4:$KB$369,0), MATCH(CS$4,연료전지_원본!$KB$4:$KX$4,0))*1000</f>
        <v>0</v>
      </c>
      <c r="CT176" s="250">
        <f>INDEX(연료전지_원본!$KB$4:$KX$369,MATCH($A176,연료전지_원본!$KB$4:$KB$369,0), MATCH(CT$4,연료전지_원본!$KB$4:$KX$4,0))*1000</f>
        <v>0</v>
      </c>
      <c r="CU176" s="250">
        <f>INDEX(연료전지_원본!$KB$4:$KX$369,MATCH($A176,연료전지_원본!$KB$4:$KB$369,0), MATCH(CU$4,연료전지_원본!$KB$4:$KX$4,0))*1000</f>
        <v>0</v>
      </c>
      <c r="CV176" s="250">
        <f>INDEX(연료전지_원본!$KB$4:$KX$369,MATCH($A176,연료전지_원본!$KB$4:$KB$369,0), MATCH(CV$4,연료전지_원본!$KB$4:$KX$4,0))*1000</f>
        <v>0</v>
      </c>
      <c r="CW176" s="250">
        <f>INDEX(연료전지_원본!$KB$4:$KX$369,MATCH($A176,연료전지_원본!$KB$4:$KB$369,0), MATCH(CW$4,연료전지_원본!$KB$4:$KX$4,0))*1000</f>
        <v>0</v>
      </c>
      <c r="CX176" s="250">
        <f>INDEX(연료전지_원본!$KB$4:$KX$369,MATCH($A176,연료전지_원본!$KB$4:$KB$369,0), MATCH(CX$4,연료전지_원본!$KB$4:$KX$4,0))*1000</f>
        <v>0</v>
      </c>
      <c r="CY176" s="250">
        <f>INDEX(연료전지_원본!$KB$4:$KX$369,MATCH($A176,연료전지_원본!$KB$4:$KB$369,0), MATCH(CY$4,연료전지_원본!$KB$4:$KX$4,0))*1000</f>
        <v>0</v>
      </c>
      <c r="DV176" s="30">
        <f t="shared" si="954"/>
        <v>0</v>
      </c>
    </row>
    <row r="177" spans="1:126">
      <c r="A177" s="6">
        <v>46194</v>
      </c>
      <c r="B177" s="15">
        <f>운전실적_원본!B177</f>
        <v>0</v>
      </c>
      <c r="C177" s="16" t="str">
        <f t="shared" si="960"/>
        <v/>
      </c>
      <c r="D177" s="12">
        <f>운전실적_원본!C177</f>
        <v>0</v>
      </c>
      <c r="E177" s="12" t="str">
        <f t="shared" si="961"/>
        <v/>
      </c>
      <c r="F177" s="12">
        <f>운전실적_원본!D177</f>
        <v>0</v>
      </c>
      <c r="G177" s="16" t="str">
        <f t="shared" si="962"/>
        <v/>
      </c>
      <c r="H177" s="15">
        <f>운전실적_원본!E177</f>
        <v>0</v>
      </c>
      <c r="I177" s="16" t="str">
        <f t="shared" si="963"/>
        <v/>
      </c>
      <c r="J177" s="15">
        <f>운전실적_원본!F177</f>
        <v>0</v>
      </c>
      <c r="K177" s="16" t="str">
        <f t="shared" si="963"/>
        <v/>
      </c>
      <c r="L177" s="32">
        <f>운전실적_원본!G177</f>
        <v>0</v>
      </c>
      <c r="M177" s="31" t="str">
        <f t="shared" ref="M177" si="1010">IF(OR(LEN(L177)=0,L177=0),"",L177-L176)</f>
        <v/>
      </c>
      <c r="N177" s="15">
        <f>운전실적_원본!H177</f>
        <v>0</v>
      </c>
      <c r="O177" s="16" t="str">
        <f t="shared" ref="O177" si="1011">IF(OR(LEN(N177)=0,N177=0),"",N177-N176)</f>
        <v/>
      </c>
      <c r="P177" s="15">
        <f>운전실적_원본!I177</f>
        <v>0</v>
      </c>
      <c r="Q177" s="16" t="str">
        <f t="shared" ref="Q177" si="1012">IF(OR(LEN(P177)=0,P177=0),"",P177-P176)</f>
        <v/>
      </c>
      <c r="R177" s="18">
        <f>운전실적_원본!J177</f>
        <v>0</v>
      </c>
      <c r="S177" s="19" t="str">
        <f t="shared" ref="S177" si="1013">IF(OR(LEN(R177)=0,R177=0),"",R177-R176)</f>
        <v/>
      </c>
      <c r="T177" s="18">
        <f>운전실적_원본!K177</f>
        <v>0</v>
      </c>
      <c r="U177" s="19" t="str">
        <f t="shared" si="968"/>
        <v/>
      </c>
      <c r="V177" s="12">
        <f>운전실적_원본!L177</f>
        <v>0</v>
      </c>
      <c r="W177" s="16" t="str">
        <f t="shared" ref="W177" si="1014">IF(OR(LEN(V177)=0,V177=0),"",V177-V176)</f>
        <v/>
      </c>
      <c r="X177" s="10">
        <f>운전실적_원본!M177</f>
        <v>0</v>
      </c>
      <c r="Y177" s="10">
        <f>운전실적_원본!N177</f>
        <v>0</v>
      </c>
      <c r="Z177" s="10">
        <f>운전실적_원본!O177</f>
        <v>0</v>
      </c>
      <c r="AA177" s="10">
        <f>운전실적_원본!P177</f>
        <v>0</v>
      </c>
      <c r="AB177" s="10">
        <f>운전실적_원본!Q177</f>
        <v>0</v>
      </c>
      <c r="AC177" s="20">
        <f>운전실적_원본!R177</f>
        <v>0</v>
      </c>
      <c r="AD177" s="109">
        <f>운전실적_원본!S177</f>
        <v>0</v>
      </c>
      <c r="AE177" s="110">
        <f>운전실적_원본!T177</f>
        <v>0</v>
      </c>
      <c r="AF177" s="110">
        <f>운전실적_원본!U177</f>
        <v>0</v>
      </c>
      <c r="AG177" s="110">
        <f>운전실적_원본!V177</f>
        <v>0</v>
      </c>
      <c r="AH177" s="109">
        <f t="shared" si="791"/>
        <v>0</v>
      </c>
      <c r="AI177" s="110">
        <f t="shared" si="798"/>
        <v>0</v>
      </c>
      <c r="AJ177" s="110">
        <f>운전실적_원본!Y177</f>
        <v>0</v>
      </c>
      <c r="AK177" s="110">
        <f>운전실적_원본!Z177</f>
        <v>0</v>
      </c>
      <c r="AL177" s="106"/>
      <c r="AM177" s="105"/>
      <c r="AN177" s="105"/>
      <c r="AO177" s="105"/>
      <c r="AP177" s="105"/>
      <c r="AQ177" s="108"/>
      <c r="AR177" s="105"/>
      <c r="AS177" s="105"/>
      <c r="AT177" s="102"/>
      <c r="AU177" s="102"/>
      <c r="AV177" s="102"/>
      <c r="AW177" s="102"/>
      <c r="AX177" s="32">
        <f>운전실적_원본!W177</f>
        <v>0</v>
      </c>
      <c r="AY177" s="11">
        <f>운전실적_원본!X177</f>
        <v>0</v>
      </c>
      <c r="AZ177" s="11">
        <f>운전실적_원본!Y177</f>
        <v>0</v>
      </c>
      <c r="BA177" s="11">
        <f>운전실적_원본!Z177</f>
        <v>0</v>
      </c>
      <c r="BB177" s="11">
        <f>운전실적_원본!AA177</f>
        <v>0</v>
      </c>
      <c r="BC177" s="11">
        <f>운전실적_원본!AB177</f>
        <v>0</v>
      </c>
      <c r="BD177" s="32" t="str">
        <f t="shared" si="784"/>
        <v>-</v>
      </c>
      <c r="BE177" s="11" t="str">
        <f t="shared" si="792"/>
        <v>-</v>
      </c>
      <c r="BF177" s="11">
        <f>운전실적_원본!AE177</f>
        <v>0</v>
      </c>
      <c r="BG177" s="31">
        <f t="shared" si="785"/>
        <v>0</v>
      </c>
      <c r="BH177" s="241">
        <f>INDEX(연료전지_원본!$A$4:$KY$369,MATCH($A177,연료전지_원본!$A$4:$A$369,0),MATCH($BH$4,연료전지_원본!$A$4:$KY$4,0))</f>
        <v>0</v>
      </c>
      <c r="BI177" s="241">
        <f>INDEX(연료전지_원본!$A$4:$KY$369,MATCH($A177,연료전지_원본!$A$4:$A$369,0),MATCH($BI$4,연료전지_원본!$A$4:$KY$4,0))</f>
        <v>0</v>
      </c>
      <c r="BJ177" s="241">
        <f>INDEX(연료전지_원본!$A$4:$KY$369,MATCH($A177,연료전지_원본!$A$4:$A$369,0),MATCH($BJ$4,연료전지_원본!$A$4:$KY$4,0))</f>
        <v>0</v>
      </c>
      <c r="BK177" s="241">
        <f>INDEX(연료전지_원본!$A$4:$KY$369,MATCH($A177,연료전지_원본!$A$4:$A$369,0),MATCH($BK$4,연료전지_원본!$A$4:$KY$4,0))</f>
        <v>0</v>
      </c>
      <c r="BL177" s="241">
        <f>INDEX(연료전지_원본!$A$4:$KY$369,MATCH($A177,연료전지_원본!$A$4:$A$369,0),MATCH($BL$4,연료전지_원본!$A$4:$KY$4,0))</f>
        <v>0</v>
      </c>
      <c r="BM177" s="241">
        <f>INDEX(연료전지_원본!$A$4:$KY$369,MATCH($A177,연료전지_원본!$A$4:$A$369,0),MATCH($BM$4,연료전지_원본!$A$4:$KY$4,0))</f>
        <v>0</v>
      </c>
      <c r="BN177" s="241">
        <f>INDEX(연료전지_원본!$A$4:$KY$369,MATCH($A177,연료전지_원본!$A$4:$A$369,0),MATCH($BN$4,연료전지_원본!$A$4:$KY$4,0))</f>
        <v>0</v>
      </c>
      <c r="BO177" s="241">
        <f>INDEX(연료전지_원본!$A$4:$KY$369,MATCH($A177,연료전지_원본!$A$4:$A$369,0),MATCH($BO$4,연료전지_원본!$A$4:$KY$4,0))</f>
        <v>0</v>
      </c>
      <c r="BP177" s="241">
        <f>INDEX(연료전지_원본!$A$4:$KY$369,MATCH($A177,연료전지_원본!$A$4:$A$369,0),MATCH($BP$4,연료전지_원본!$A$4:$KY$4,0))</f>
        <v>0</v>
      </c>
      <c r="BQ177" s="241">
        <f>INDEX(연료전지_원본!$A$4:$KY$369,MATCH($A177,연료전지_원본!$A$4:$A$369,0),MATCH($BQ$4,연료전지_원본!$A$4:$KY$4,0))</f>
        <v>0</v>
      </c>
      <c r="BR177" s="241">
        <f>INDEX(연료전지_원본!$A$4:$KY$369,MATCH($A177,연료전지_원본!$A$4:$A$369,0),MATCH($BR$4,연료전지_원본!$A$4:$KY$4,0))</f>
        <v>0</v>
      </c>
      <c r="BS177" s="241">
        <f>INDEX(연료전지_원본!$A$4:$KY$369,MATCH($A177,연료전지_원본!$A$4:$A$369,0),MATCH($BS$4,연료전지_원본!$A$4:$KY$4,0))</f>
        <v>0</v>
      </c>
      <c r="BT177" s="241">
        <f>INDEX(연료전지_원본!$A$4:$KY$369,MATCH($A177,연료전지_원본!$A$4:$A$369,0),MATCH($BT$4,연료전지_원본!$A$4:$KY$4,0))</f>
        <v>0</v>
      </c>
      <c r="BU177" s="241">
        <f>INDEX(연료전지_원본!$A$4:$KY$369,MATCH($A177,연료전지_원본!$A$4:$A$369,0),MATCH($BU$4,연료전지_원본!$A$4:$KY$4,0))</f>
        <v>0</v>
      </c>
      <c r="BV177" s="241">
        <f>INDEX(연료전지_원본!$A$4:$KY$369,MATCH($A177,연료전지_원본!$A$4:$A$369,0),MATCH($BV$4,연료전지_원본!$A$4:$KY$4,0))</f>
        <v>0</v>
      </c>
      <c r="BW177" s="241">
        <f>INDEX(연료전지_원본!$A$4:$KY$369,MATCH($A177,연료전지_원본!$A$4:$A$369,0),MATCH($BW$4,연료전지_원본!$A$4:$KY$4,0))</f>
        <v>0</v>
      </c>
      <c r="BX177" s="241">
        <f>INDEX(연료전지_원본!$A$4:$KY$369,MATCH($A177,연료전지_원본!$A$4:$A$369,0),MATCH($BX$4,연료전지_원본!$A$4:$KY$4,0))</f>
        <v>0</v>
      </c>
      <c r="BY177" s="241">
        <f>INDEX(연료전지_원본!$A$4:$KY$369,MATCH($A177,연료전지_원본!$A$4:$A$369,0),MATCH($BY$4,연료전지_원본!$A$4:$KY$4,0))</f>
        <v>0</v>
      </c>
      <c r="BZ177" s="241">
        <f>INDEX(연료전지_원본!$A$4:$KY$369,MATCH($A177,연료전지_원본!$A$4:$A$369,0),MATCH($BZ$4,연료전지_원본!$A$4:$KY$4,0))</f>
        <v>0</v>
      </c>
      <c r="CA177" s="241">
        <f>INDEX(연료전지_원본!$A$4:$KY$369,MATCH($A177,연료전지_원본!$A$4:$A$369,0),MATCH($CA$4,연료전지_원본!$A$4:$KY$4,0))</f>
        <v>0</v>
      </c>
      <c r="CB177" s="241">
        <f>INDEX(연료전지_원본!$A$4:$KY$369,MATCH($A177,연료전지_원본!$A$4:$A$369,0),MATCH($CB$4,연료전지_원본!$A$4:$KY$4,0))</f>
        <v>0</v>
      </c>
      <c r="CC177" s="242">
        <f>INDEX(연료전지_원본!$A$4:$KY$369,MATCH($A177,연료전지_원본!$A$4:$A$369,0),MATCH($CC$4,연료전지_원본!$A$4:$KY$4,0))</f>
        <v>0</v>
      </c>
      <c r="CD177" s="250">
        <f>INDEX(연료전지_원본!$KB$4:$KX$369,MATCH($A177,연료전지_원본!$KB$4:$KB$369,0), MATCH(CD$4,연료전지_원본!$KB$4:$KX$4,0))*1000</f>
        <v>0</v>
      </c>
      <c r="CE177" s="250">
        <f>INDEX(연료전지_원본!$KB$4:$KX$369,MATCH($A177,연료전지_원본!$KB$4:$KB$369,0), MATCH(CE$4,연료전지_원본!$KB$4:$KX$4,0))*1000</f>
        <v>0</v>
      </c>
      <c r="CF177" s="250">
        <f>INDEX(연료전지_원본!$KB$4:$KX$369,MATCH($A177,연료전지_원본!$KB$4:$KB$369,0), MATCH(CF$4,연료전지_원본!$KB$4:$KX$4,0))*1000</f>
        <v>0</v>
      </c>
      <c r="CG177" s="250">
        <f>INDEX(연료전지_원본!$KB$4:$KX$369,MATCH($A177,연료전지_원본!$KB$4:$KB$369,0), MATCH(CG$4,연료전지_원본!$KB$4:$KX$4,0))*1000</f>
        <v>0</v>
      </c>
      <c r="CH177" s="250">
        <f>INDEX(연료전지_원본!$KB$4:$KX$369,MATCH($A177,연료전지_원본!$KB$4:$KB$369,0), MATCH(CH$4,연료전지_원본!$KB$4:$KX$4,0))*1000</f>
        <v>0</v>
      </c>
      <c r="CI177" s="250">
        <f>INDEX(연료전지_원본!$KB$4:$KX$369,MATCH($A177,연료전지_원본!$KB$4:$KB$369,0), MATCH(CI$4,연료전지_원본!$KB$4:$KX$4,0))*1000</f>
        <v>0</v>
      </c>
      <c r="CJ177" s="250">
        <f>INDEX(연료전지_원본!$KB$4:$KX$369,MATCH($A177,연료전지_원본!$KB$4:$KB$369,0), MATCH(CJ$4,연료전지_원본!$KB$4:$KX$4,0))*1000</f>
        <v>0</v>
      </c>
      <c r="CK177" s="250">
        <f>INDEX(연료전지_원본!$KB$4:$KX$369,MATCH($A177,연료전지_원본!$KB$4:$KB$369,0), MATCH(CK$4,연료전지_원본!$KB$4:$KX$4,0))*1000</f>
        <v>0</v>
      </c>
      <c r="CL177" s="250">
        <f>INDEX(연료전지_원본!$KB$4:$KX$369,MATCH($A177,연료전지_원본!$KB$4:$KB$369,0), MATCH(CL$4,연료전지_원본!$KB$4:$KX$4,0))*1000</f>
        <v>0</v>
      </c>
      <c r="CM177" s="250">
        <f>INDEX(연료전지_원본!$KB$4:$KX$369,MATCH($A177,연료전지_원본!$KB$4:$KB$369,0), MATCH(CM$4,연료전지_원본!$KB$4:$KX$4,0))*1000</f>
        <v>0</v>
      </c>
      <c r="CN177" s="250">
        <f>INDEX(연료전지_원본!$KB$4:$KX$369,MATCH($A177,연료전지_원본!$KB$4:$KB$369,0), MATCH(CN$4,연료전지_원본!$KB$4:$KX$4,0))*1000</f>
        <v>0</v>
      </c>
      <c r="CO177" s="250">
        <f>INDEX(연료전지_원본!$KB$4:$KX$369,MATCH($A177,연료전지_원본!$KB$4:$KB$369,0), MATCH(CO$4,연료전지_원본!$KB$4:$KX$4,0))*1000</f>
        <v>0</v>
      </c>
      <c r="CP177" s="250">
        <f>INDEX(연료전지_원본!$KB$4:$KX$369,MATCH($A177,연료전지_원본!$KB$4:$KB$369,0), MATCH(CP$4,연료전지_원본!$KB$4:$KX$4,0))*1000</f>
        <v>0</v>
      </c>
      <c r="CQ177" s="250">
        <f>INDEX(연료전지_원본!$KB$4:$KX$369,MATCH($A177,연료전지_원본!$KB$4:$KB$369,0), MATCH(CQ$4,연료전지_원본!$KB$4:$KX$4,0))*1000</f>
        <v>0</v>
      </c>
      <c r="CR177" s="250">
        <f>INDEX(연료전지_원본!$KB$4:$KX$369,MATCH($A177,연료전지_원본!$KB$4:$KB$369,0), MATCH(CR$4,연료전지_원본!$KB$4:$KX$4,0))*1000</f>
        <v>0</v>
      </c>
      <c r="CS177" s="250">
        <f>INDEX(연료전지_원본!$KB$4:$KX$369,MATCH($A177,연료전지_원본!$KB$4:$KB$369,0), MATCH(CS$4,연료전지_원본!$KB$4:$KX$4,0))*1000</f>
        <v>0</v>
      </c>
      <c r="CT177" s="250">
        <f>INDEX(연료전지_원본!$KB$4:$KX$369,MATCH($A177,연료전지_원본!$KB$4:$KB$369,0), MATCH(CT$4,연료전지_원본!$KB$4:$KX$4,0))*1000</f>
        <v>0</v>
      </c>
      <c r="CU177" s="250">
        <f>INDEX(연료전지_원본!$KB$4:$KX$369,MATCH($A177,연료전지_원본!$KB$4:$KB$369,0), MATCH(CU$4,연료전지_원본!$KB$4:$KX$4,0))*1000</f>
        <v>0</v>
      </c>
      <c r="CV177" s="250">
        <f>INDEX(연료전지_원본!$KB$4:$KX$369,MATCH($A177,연료전지_원본!$KB$4:$KB$369,0), MATCH(CV$4,연료전지_원본!$KB$4:$KX$4,0))*1000</f>
        <v>0</v>
      </c>
      <c r="CW177" s="250">
        <f>INDEX(연료전지_원본!$KB$4:$KX$369,MATCH($A177,연료전지_원본!$KB$4:$KB$369,0), MATCH(CW$4,연료전지_원본!$KB$4:$KX$4,0))*1000</f>
        <v>0</v>
      </c>
      <c r="CX177" s="250">
        <f>INDEX(연료전지_원본!$KB$4:$KX$369,MATCH($A177,연료전지_원본!$KB$4:$KB$369,0), MATCH(CX$4,연료전지_원본!$KB$4:$KX$4,0))*1000</f>
        <v>0</v>
      </c>
      <c r="CY177" s="250">
        <f>INDEX(연료전지_원본!$KB$4:$KX$369,MATCH($A177,연료전지_원본!$KB$4:$KB$369,0), MATCH(CY$4,연료전지_원본!$KB$4:$KX$4,0))*1000</f>
        <v>0</v>
      </c>
      <c r="DV177" s="30">
        <f t="shared" si="954"/>
        <v>0</v>
      </c>
    </row>
    <row r="178" spans="1:126">
      <c r="A178" s="6">
        <v>46195</v>
      </c>
      <c r="B178" s="15">
        <f>운전실적_원본!B178</f>
        <v>0</v>
      </c>
      <c r="C178" s="16" t="str">
        <f t="shared" si="960"/>
        <v/>
      </c>
      <c r="D178" s="12">
        <f>운전실적_원본!C178</f>
        <v>0</v>
      </c>
      <c r="E178" s="12" t="str">
        <f t="shared" si="961"/>
        <v/>
      </c>
      <c r="F178" s="12">
        <f>운전실적_원본!D178</f>
        <v>0</v>
      </c>
      <c r="G178" s="16" t="str">
        <f t="shared" si="962"/>
        <v/>
      </c>
      <c r="H178" s="15">
        <f>운전실적_원본!E178</f>
        <v>0</v>
      </c>
      <c r="I178" s="16" t="str">
        <f t="shared" si="963"/>
        <v/>
      </c>
      <c r="J178" s="15">
        <f>운전실적_원본!F178</f>
        <v>0</v>
      </c>
      <c r="K178" s="16" t="str">
        <f t="shared" si="963"/>
        <v/>
      </c>
      <c r="L178" s="32">
        <f>운전실적_원본!G178</f>
        <v>0</v>
      </c>
      <c r="M178" s="31" t="str">
        <f t="shared" ref="M178" si="1015">IF(OR(LEN(L178)=0,L178=0),"",L178-L177)</f>
        <v/>
      </c>
      <c r="N178" s="15">
        <f>운전실적_원본!H178</f>
        <v>0</v>
      </c>
      <c r="O178" s="16" t="str">
        <f t="shared" ref="O178" si="1016">IF(OR(LEN(N178)=0,N178=0),"",N178-N177)</f>
        <v/>
      </c>
      <c r="P178" s="15">
        <f>운전실적_원본!I178</f>
        <v>0</v>
      </c>
      <c r="Q178" s="16" t="str">
        <f t="shared" ref="Q178" si="1017">IF(OR(LEN(P178)=0,P178=0),"",P178-P177)</f>
        <v/>
      </c>
      <c r="R178" s="18">
        <f>운전실적_원본!J178</f>
        <v>0</v>
      </c>
      <c r="S178" s="19" t="str">
        <f t="shared" ref="S178" si="1018">IF(OR(LEN(R178)=0,R178=0),"",R178-R177)</f>
        <v/>
      </c>
      <c r="T178" s="18">
        <f>운전실적_원본!K178</f>
        <v>0</v>
      </c>
      <c r="U178" s="19" t="str">
        <f t="shared" si="968"/>
        <v/>
      </c>
      <c r="V178" s="12">
        <f>운전실적_원본!L178</f>
        <v>0</v>
      </c>
      <c r="W178" s="16" t="str">
        <f t="shared" ref="W178" si="1019">IF(OR(LEN(V178)=0,V178=0),"",V178-V177)</f>
        <v/>
      </c>
      <c r="X178" s="10">
        <f>운전실적_원본!M178</f>
        <v>0</v>
      </c>
      <c r="Y178" s="10">
        <f>운전실적_원본!N178</f>
        <v>0</v>
      </c>
      <c r="Z178" s="10">
        <f>운전실적_원본!O178</f>
        <v>0</v>
      </c>
      <c r="AA178" s="10">
        <f>운전실적_원본!P178</f>
        <v>0</v>
      </c>
      <c r="AB178" s="10">
        <f>운전실적_원본!Q178</f>
        <v>0</v>
      </c>
      <c r="AC178" s="20">
        <f>운전실적_원본!R178</f>
        <v>0</v>
      </c>
      <c r="AD178" s="109">
        <f>운전실적_원본!S178</f>
        <v>0</v>
      </c>
      <c r="AE178" s="110">
        <f>운전실적_원본!T178</f>
        <v>0</v>
      </c>
      <c r="AF178" s="110">
        <f>운전실적_원본!U178</f>
        <v>0</v>
      </c>
      <c r="AG178" s="110">
        <f>운전실적_원본!V178</f>
        <v>0</v>
      </c>
      <c r="AH178" s="109">
        <f t="shared" si="791"/>
        <v>0</v>
      </c>
      <c r="AI178" s="110">
        <f t="shared" si="798"/>
        <v>0</v>
      </c>
      <c r="AJ178" s="110">
        <f>운전실적_원본!Y178</f>
        <v>0</v>
      </c>
      <c r="AK178" s="110">
        <f>운전실적_원본!Z178</f>
        <v>0</v>
      </c>
      <c r="AL178" s="106"/>
      <c r="AM178" s="105"/>
      <c r="AN178" s="105"/>
      <c r="AO178" s="105"/>
      <c r="AP178" s="105"/>
      <c r="AQ178" s="108"/>
      <c r="AR178" s="105"/>
      <c r="AS178" s="105"/>
      <c r="AT178" s="102"/>
      <c r="AU178" s="102"/>
      <c r="AV178" s="102"/>
      <c r="AW178" s="102"/>
      <c r="AX178" s="32">
        <f>운전실적_원본!W178</f>
        <v>0</v>
      </c>
      <c r="AY178" s="11">
        <f>운전실적_원본!X178</f>
        <v>0</v>
      </c>
      <c r="AZ178" s="11">
        <f>운전실적_원본!Y178</f>
        <v>0</v>
      </c>
      <c r="BA178" s="11">
        <f>운전실적_원본!Z178</f>
        <v>0</v>
      </c>
      <c r="BB178" s="11">
        <f>운전실적_원본!AA178</f>
        <v>0</v>
      </c>
      <c r="BC178" s="11">
        <f>운전실적_원본!AB178</f>
        <v>0</v>
      </c>
      <c r="BD178" s="32" t="str">
        <f t="shared" si="784"/>
        <v>-</v>
      </c>
      <c r="BE178" s="11" t="str">
        <f t="shared" si="792"/>
        <v>-</v>
      </c>
      <c r="BF178" s="11">
        <f>운전실적_원본!AE178</f>
        <v>0</v>
      </c>
      <c r="BG178" s="31">
        <f t="shared" si="785"/>
        <v>0</v>
      </c>
      <c r="BH178" s="241">
        <f>INDEX(연료전지_원본!$A$4:$KY$369,MATCH($A178,연료전지_원본!$A$4:$A$369,0),MATCH($BH$4,연료전지_원본!$A$4:$KY$4,0))</f>
        <v>0</v>
      </c>
      <c r="BI178" s="241">
        <f>INDEX(연료전지_원본!$A$4:$KY$369,MATCH($A178,연료전지_원본!$A$4:$A$369,0),MATCH($BI$4,연료전지_원본!$A$4:$KY$4,0))</f>
        <v>0</v>
      </c>
      <c r="BJ178" s="241">
        <f>INDEX(연료전지_원본!$A$4:$KY$369,MATCH($A178,연료전지_원본!$A$4:$A$369,0),MATCH($BJ$4,연료전지_원본!$A$4:$KY$4,0))</f>
        <v>0</v>
      </c>
      <c r="BK178" s="241">
        <f>INDEX(연료전지_원본!$A$4:$KY$369,MATCH($A178,연료전지_원본!$A$4:$A$369,0),MATCH($BK$4,연료전지_원본!$A$4:$KY$4,0))</f>
        <v>0</v>
      </c>
      <c r="BL178" s="241">
        <f>INDEX(연료전지_원본!$A$4:$KY$369,MATCH($A178,연료전지_원본!$A$4:$A$369,0),MATCH($BL$4,연료전지_원본!$A$4:$KY$4,0))</f>
        <v>0</v>
      </c>
      <c r="BM178" s="241">
        <f>INDEX(연료전지_원본!$A$4:$KY$369,MATCH($A178,연료전지_원본!$A$4:$A$369,0),MATCH($BM$4,연료전지_원본!$A$4:$KY$4,0))</f>
        <v>0</v>
      </c>
      <c r="BN178" s="241">
        <f>INDEX(연료전지_원본!$A$4:$KY$369,MATCH($A178,연료전지_원본!$A$4:$A$369,0),MATCH($BN$4,연료전지_원본!$A$4:$KY$4,0))</f>
        <v>0</v>
      </c>
      <c r="BO178" s="241">
        <f>INDEX(연료전지_원본!$A$4:$KY$369,MATCH($A178,연료전지_원본!$A$4:$A$369,0),MATCH($BO$4,연료전지_원본!$A$4:$KY$4,0))</f>
        <v>0</v>
      </c>
      <c r="BP178" s="241">
        <f>INDEX(연료전지_원본!$A$4:$KY$369,MATCH($A178,연료전지_원본!$A$4:$A$369,0),MATCH($BP$4,연료전지_원본!$A$4:$KY$4,0))</f>
        <v>0</v>
      </c>
      <c r="BQ178" s="241">
        <f>INDEX(연료전지_원본!$A$4:$KY$369,MATCH($A178,연료전지_원본!$A$4:$A$369,0),MATCH($BQ$4,연료전지_원본!$A$4:$KY$4,0))</f>
        <v>0</v>
      </c>
      <c r="BR178" s="241">
        <f>INDEX(연료전지_원본!$A$4:$KY$369,MATCH($A178,연료전지_원본!$A$4:$A$369,0),MATCH($BR$4,연료전지_원본!$A$4:$KY$4,0))</f>
        <v>0</v>
      </c>
      <c r="BS178" s="241">
        <f>INDEX(연료전지_원본!$A$4:$KY$369,MATCH($A178,연료전지_원본!$A$4:$A$369,0),MATCH($BS$4,연료전지_원본!$A$4:$KY$4,0))</f>
        <v>0</v>
      </c>
      <c r="BT178" s="241">
        <f>INDEX(연료전지_원본!$A$4:$KY$369,MATCH($A178,연료전지_원본!$A$4:$A$369,0),MATCH($BT$4,연료전지_원본!$A$4:$KY$4,0))</f>
        <v>0</v>
      </c>
      <c r="BU178" s="241">
        <f>INDEX(연료전지_원본!$A$4:$KY$369,MATCH($A178,연료전지_원본!$A$4:$A$369,0),MATCH($BU$4,연료전지_원본!$A$4:$KY$4,0))</f>
        <v>0</v>
      </c>
      <c r="BV178" s="241">
        <f>INDEX(연료전지_원본!$A$4:$KY$369,MATCH($A178,연료전지_원본!$A$4:$A$369,0),MATCH($BV$4,연료전지_원본!$A$4:$KY$4,0))</f>
        <v>0</v>
      </c>
      <c r="BW178" s="241">
        <f>INDEX(연료전지_원본!$A$4:$KY$369,MATCH($A178,연료전지_원본!$A$4:$A$369,0),MATCH($BW$4,연료전지_원본!$A$4:$KY$4,0))</f>
        <v>0</v>
      </c>
      <c r="BX178" s="241">
        <f>INDEX(연료전지_원본!$A$4:$KY$369,MATCH($A178,연료전지_원본!$A$4:$A$369,0),MATCH($BX$4,연료전지_원본!$A$4:$KY$4,0))</f>
        <v>0</v>
      </c>
      <c r="BY178" s="241">
        <f>INDEX(연료전지_원본!$A$4:$KY$369,MATCH($A178,연료전지_원본!$A$4:$A$369,0),MATCH($BY$4,연료전지_원본!$A$4:$KY$4,0))</f>
        <v>0</v>
      </c>
      <c r="BZ178" s="241">
        <f>INDEX(연료전지_원본!$A$4:$KY$369,MATCH($A178,연료전지_원본!$A$4:$A$369,0),MATCH($BZ$4,연료전지_원본!$A$4:$KY$4,0))</f>
        <v>0</v>
      </c>
      <c r="CA178" s="241">
        <f>INDEX(연료전지_원본!$A$4:$KY$369,MATCH($A178,연료전지_원본!$A$4:$A$369,0),MATCH($CA$4,연료전지_원본!$A$4:$KY$4,0))</f>
        <v>0</v>
      </c>
      <c r="CB178" s="241">
        <f>INDEX(연료전지_원본!$A$4:$KY$369,MATCH($A178,연료전지_원본!$A$4:$A$369,0),MATCH($CB$4,연료전지_원본!$A$4:$KY$4,0))</f>
        <v>0</v>
      </c>
      <c r="CC178" s="242">
        <f>INDEX(연료전지_원본!$A$4:$KY$369,MATCH($A178,연료전지_원본!$A$4:$A$369,0),MATCH($CC$4,연료전지_원본!$A$4:$KY$4,0))</f>
        <v>0</v>
      </c>
      <c r="CD178" s="250">
        <f>INDEX(연료전지_원본!$KB$4:$KX$369,MATCH($A178,연료전지_원본!$KB$4:$KB$369,0), MATCH(CD$4,연료전지_원본!$KB$4:$KX$4,0))*1000</f>
        <v>0</v>
      </c>
      <c r="CE178" s="250">
        <f>INDEX(연료전지_원본!$KB$4:$KX$369,MATCH($A178,연료전지_원본!$KB$4:$KB$369,0), MATCH(CE$4,연료전지_원본!$KB$4:$KX$4,0))*1000</f>
        <v>0</v>
      </c>
      <c r="CF178" s="250">
        <f>INDEX(연료전지_원본!$KB$4:$KX$369,MATCH($A178,연료전지_원본!$KB$4:$KB$369,0), MATCH(CF$4,연료전지_원본!$KB$4:$KX$4,0))*1000</f>
        <v>0</v>
      </c>
      <c r="CG178" s="250">
        <f>INDEX(연료전지_원본!$KB$4:$KX$369,MATCH($A178,연료전지_원본!$KB$4:$KB$369,0), MATCH(CG$4,연료전지_원본!$KB$4:$KX$4,0))*1000</f>
        <v>0</v>
      </c>
      <c r="CH178" s="250">
        <f>INDEX(연료전지_원본!$KB$4:$KX$369,MATCH($A178,연료전지_원본!$KB$4:$KB$369,0), MATCH(CH$4,연료전지_원본!$KB$4:$KX$4,0))*1000</f>
        <v>0</v>
      </c>
      <c r="CI178" s="250">
        <f>INDEX(연료전지_원본!$KB$4:$KX$369,MATCH($A178,연료전지_원본!$KB$4:$KB$369,0), MATCH(CI$4,연료전지_원본!$KB$4:$KX$4,0))*1000</f>
        <v>0</v>
      </c>
      <c r="CJ178" s="250">
        <f>INDEX(연료전지_원본!$KB$4:$KX$369,MATCH($A178,연료전지_원본!$KB$4:$KB$369,0), MATCH(CJ$4,연료전지_원본!$KB$4:$KX$4,0))*1000</f>
        <v>0</v>
      </c>
      <c r="CK178" s="250">
        <f>INDEX(연료전지_원본!$KB$4:$KX$369,MATCH($A178,연료전지_원본!$KB$4:$KB$369,0), MATCH(CK$4,연료전지_원본!$KB$4:$KX$4,0))*1000</f>
        <v>0</v>
      </c>
      <c r="CL178" s="250">
        <f>INDEX(연료전지_원본!$KB$4:$KX$369,MATCH($A178,연료전지_원본!$KB$4:$KB$369,0), MATCH(CL$4,연료전지_원본!$KB$4:$KX$4,0))*1000</f>
        <v>0</v>
      </c>
      <c r="CM178" s="250">
        <f>INDEX(연료전지_원본!$KB$4:$KX$369,MATCH($A178,연료전지_원본!$KB$4:$KB$369,0), MATCH(CM$4,연료전지_원본!$KB$4:$KX$4,0))*1000</f>
        <v>0</v>
      </c>
      <c r="CN178" s="250">
        <f>INDEX(연료전지_원본!$KB$4:$KX$369,MATCH($A178,연료전지_원본!$KB$4:$KB$369,0), MATCH(CN$4,연료전지_원본!$KB$4:$KX$4,0))*1000</f>
        <v>0</v>
      </c>
      <c r="CO178" s="250">
        <f>INDEX(연료전지_원본!$KB$4:$KX$369,MATCH($A178,연료전지_원본!$KB$4:$KB$369,0), MATCH(CO$4,연료전지_원본!$KB$4:$KX$4,0))*1000</f>
        <v>0</v>
      </c>
      <c r="CP178" s="250">
        <f>INDEX(연료전지_원본!$KB$4:$KX$369,MATCH($A178,연료전지_원본!$KB$4:$KB$369,0), MATCH(CP$4,연료전지_원본!$KB$4:$KX$4,0))*1000</f>
        <v>0</v>
      </c>
      <c r="CQ178" s="250">
        <f>INDEX(연료전지_원본!$KB$4:$KX$369,MATCH($A178,연료전지_원본!$KB$4:$KB$369,0), MATCH(CQ$4,연료전지_원본!$KB$4:$KX$4,0))*1000</f>
        <v>0</v>
      </c>
      <c r="CR178" s="250">
        <f>INDEX(연료전지_원본!$KB$4:$KX$369,MATCH($A178,연료전지_원본!$KB$4:$KB$369,0), MATCH(CR$4,연료전지_원본!$KB$4:$KX$4,0))*1000</f>
        <v>0</v>
      </c>
      <c r="CS178" s="250">
        <f>INDEX(연료전지_원본!$KB$4:$KX$369,MATCH($A178,연료전지_원본!$KB$4:$KB$369,0), MATCH(CS$4,연료전지_원본!$KB$4:$KX$4,0))*1000</f>
        <v>0</v>
      </c>
      <c r="CT178" s="250">
        <f>INDEX(연료전지_원본!$KB$4:$KX$369,MATCH($A178,연료전지_원본!$KB$4:$KB$369,0), MATCH(CT$4,연료전지_원본!$KB$4:$KX$4,0))*1000</f>
        <v>0</v>
      </c>
      <c r="CU178" s="250">
        <f>INDEX(연료전지_원본!$KB$4:$KX$369,MATCH($A178,연료전지_원본!$KB$4:$KB$369,0), MATCH(CU$4,연료전지_원본!$KB$4:$KX$4,0))*1000</f>
        <v>0</v>
      </c>
      <c r="CV178" s="250">
        <f>INDEX(연료전지_원본!$KB$4:$KX$369,MATCH($A178,연료전지_원본!$KB$4:$KB$369,0), MATCH(CV$4,연료전지_원본!$KB$4:$KX$4,0))*1000</f>
        <v>0</v>
      </c>
      <c r="CW178" s="250">
        <f>INDEX(연료전지_원본!$KB$4:$KX$369,MATCH($A178,연료전지_원본!$KB$4:$KB$369,0), MATCH(CW$4,연료전지_원본!$KB$4:$KX$4,0))*1000</f>
        <v>0</v>
      </c>
      <c r="CX178" s="250">
        <f>INDEX(연료전지_원본!$KB$4:$KX$369,MATCH($A178,연료전지_원본!$KB$4:$KB$369,0), MATCH(CX$4,연료전지_원본!$KB$4:$KX$4,0))*1000</f>
        <v>0</v>
      </c>
      <c r="CY178" s="250">
        <f>INDEX(연료전지_원본!$KB$4:$KX$369,MATCH($A178,연료전지_원본!$KB$4:$KB$369,0), MATCH(CY$4,연료전지_원본!$KB$4:$KX$4,0))*1000</f>
        <v>0</v>
      </c>
      <c r="DV178" s="30">
        <f t="shared" si="954"/>
        <v>0</v>
      </c>
    </row>
    <row r="179" spans="1:126">
      <c r="A179" s="6">
        <v>46196</v>
      </c>
      <c r="B179" s="15">
        <f>운전실적_원본!B179</f>
        <v>0</v>
      </c>
      <c r="C179" s="16" t="str">
        <f t="shared" si="960"/>
        <v/>
      </c>
      <c r="D179" s="12">
        <f>운전실적_원본!C179</f>
        <v>0</v>
      </c>
      <c r="E179" s="12" t="str">
        <f t="shared" si="961"/>
        <v/>
      </c>
      <c r="F179" s="12">
        <f>운전실적_원본!D179</f>
        <v>0</v>
      </c>
      <c r="G179" s="16" t="str">
        <f t="shared" si="962"/>
        <v/>
      </c>
      <c r="H179" s="15">
        <f>운전실적_원본!E179</f>
        <v>0</v>
      </c>
      <c r="I179" s="16" t="str">
        <f t="shared" si="963"/>
        <v/>
      </c>
      <c r="J179" s="15">
        <f>운전실적_원본!F179</f>
        <v>0</v>
      </c>
      <c r="K179" s="16" t="str">
        <f t="shared" si="963"/>
        <v/>
      </c>
      <c r="L179" s="32">
        <f>운전실적_원본!G179</f>
        <v>0</v>
      </c>
      <c r="M179" s="31" t="str">
        <f t="shared" ref="M179" si="1020">IF(OR(LEN(L179)=0,L179=0),"",L179-L178)</f>
        <v/>
      </c>
      <c r="N179" s="15">
        <f>운전실적_원본!H179</f>
        <v>0</v>
      </c>
      <c r="O179" s="16" t="str">
        <f t="shared" ref="O179" si="1021">IF(OR(LEN(N179)=0,N179=0),"",N179-N178)</f>
        <v/>
      </c>
      <c r="P179" s="15">
        <f>운전실적_원본!I179</f>
        <v>0</v>
      </c>
      <c r="Q179" s="16" t="str">
        <f t="shared" ref="Q179" si="1022">IF(OR(LEN(P179)=0,P179=0),"",P179-P178)</f>
        <v/>
      </c>
      <c r="R179" s="18">
        <f>운전실적_원본!J179</f>
        <v>0</v>
      </c>
      <c r="S179" s="19" t="str">
        <f t="shared" ref="S179" si="1023">IF(OR(LEN(R179)=0,R179=0),"",R179-R178)</f>
        <v/>
      </c>
      <c r="T179" s="18">
        <f>운전실적_원본!K179</f>
        <v>0</v>
      </c>
      <c r="U179" s="19" t="str">
        <f t="shared" si="968"/>
        <v/>
      </c>
      <c r="V179" s="12">
        <f>운전실적_원본!L179</f>
        <v>0</v>
      </c>
      <c r="W179" s="16" t="str">
        <f t="shared" ref="W179" si="1024">IF(OR(LEN(V179)=0,V179=0),"",V179-V178)</f>
        <v/>
      </c>
      <c r="X179" s="10">
        <f>운전실적_원본!M179</f>
        <v>0</v>
      </c>
      <c r="Y179" s="10">
        <f>운전실적_원본!N179</f>
        <v>0</v>
      </c>
      <c r="Z179" s="10">
        <f>운전실적_원본!O179</f>
        <v>0</v>
      </c>
      <c r="AA179" s="10">
        <f>운전실적_원본!P179</f>
        <v>0</v>
      </c>
      <c r="AB179" s="10">
        <f>운전실적_원본!Q179</f>
        <v>0</v>
      </c>
      <c r="AC179" s="20">
        <f>운전실적_원본!R179</f>
        <v>0</v>
      </c>
      <c r="AD179" s="109">
        <f>운전실적_원본!S179</f>
        <v>0</v>
      </c>
      <c r="AE179" s="110">
        <f>운전실적_원본!T179</f>
        <v>0</v>
      </c>
      <c r="AF179" s="110">
        <f>운전실적_원본!U179</f>
        <v>0</v>
      </c>
      <c r="AG179" s="110">
        <f>운전실적_원본!V179</f>
        <v>0</v>
      </c>
      <c r="AH179" s="109">
        <f t="shared" si="791"/>
        <v>0</v>
      </c>
      <c r="AI179" s="110">
        <f t="shared" si="798"/>
        <v>0</v>
      </c>
      <c r="AJ179" s="110">
        <f>운전실적_원본!Y179</f>
        <v>0</v>
      </c>
      <c r="AK179" s="110">
        <f>운전실적_원본!Z179</f>
        <v>0</v>
      </c>
      <c r="AL179" s="106"/>
      <c r="AM179" s="105"/>
      <c r="AN179" s="105"/>
      <c r="AO179" s="105"/>
      <c r="AP179" s="105"/>
      <c r="AQ179" s="108"/>
      <c r="AR179" s="105"/>
      <c r="AS179" s="105"/>
      <c r="AT179" s="102"/>
      <c r="AU179" s="102"/>
      <c r="AV179" s="102"/>
      <c r="AW179" s="102"/>
      <c r="AX179" s="32">
        <f>운전실적_원본!W179</f>
        <v>0</v>
      </c>
      <c r="AY179" s="11">
        <f>운전실적_원본!X179</f>
        <v>0</v>
      </c>
      <c r="AZ179" s="11">
        <f>운전실적_원본!Y179</f>
        <v>0</v>
      </c>
      <c r="BA179" s="11">
        <f>운전실적_원본!Z179</f>
        <v>0</v>
      </c>
      <c r="BB179" s="11">
        <f>운전실적_원본!AA179</f>
        <v>0</v>
      </c>
      <c r="BC179" s="11">
        <f>운전실적_원본!AB179</f>
        <v>0</v>
      </c>
      <c r="BD179" s="32" t="str">
        <f t="shared" si="784"/>
        <v>-</v>
      </c>
      <c r="BE179" s="11" t="str">
        <f t="shared" si="792"/>
        <v>-</v>
      </c>
      <c r="BF179" s="11">
        <f>운전실적_원본!AE179</f>
        <v>0</v>
      </c>
      <c r="BG179" s="31">
        <f t="shared" si="785"/>
        <v>0</v>
      </c>
      <c r="BH179" s="241">
        <f>INDEX(연료전지_원본!$A$4:$KY$369,MATCH($A179,연료전지_원본!$A$4:$A$369,0),MATCH($BH$4,연료전지_원본!$A$4:$KY$4,0))</f>
        <v>0</v>
      </c>
      <c r="BI179" s="241">
        <f>INDEX(연료전지_원본!$A$4:$KY$369,MATCH($A179,연료전지_원본!$A$4:$A$369,0),MATCH($BI$4,연료전지_원본!$A$4:$KY$4,0))</f>
        <v>0</v>
      </c>
      <c r="BJ179" s="241">
        <f>INDEX(연료전지_원본!$A$4:$KY$369,MATCH($A179,연료전지_원본!$A$4:$A$369,0),MATCH($BJ$4,연료전지_원본!$A$4:$KY$4,0))</f>
        <v>0</v>
      </c>
      <c r="BK179" s="241">
        <f>INDEX(연료전지_원본!$A$4:$KY$369,MATCH($A179,연료전지_원본!$A$4:$A$369,0),MATCH($BK$4,연료전지_원본!$A$4:$KY$4,0))</f>
        <v>0</v>
      </c>
      <c r="BL179" s="241">
        <f>INDEX(연료전지_원본!$A$4:$KY$369,MATCH($A179,연료전지_원본!$A$4:$A$369,0),MATCH($BL$4,연료전지_원본!$A$4:$KY$4,0))</f>
        <v>0</v>
      </c>
      <c r="BM179" s="241">
        <f>INDEX(연료전지_원본!$A$4:$KY$369,MATCH($A179,연료전지_원본!$A$4:$A$369,0),MATCH($BM$4,연료전지_원본!$A$4:$KY$4,0))</f>
        <v>0</v>
      </c>
      <c r="BN179" s="241">
        <f>INDEX(연료전지_원본!$A$4:$KY$369,MATCH($A179,연료전지_원본!$A$4:$A$369,0),MATCH($BN$4,연료전지_원본!$A$4:$KY$4,0))</f>
        <v>0</v>
      </c>
      <c r="BO179" s="241">
        <f>INDEX(연료전지_원본!$A$4:$KY$369,MATCH($A179,연료전지_원본!$A$4:$A$369,0),MATCH($BO$4,연료전지_원본!$A$4:$KY$4,0))</f>
        <v>0</v>
      </c>
      <c r="BP179" s="241">
        <f>INDEX(연료전지_원본!$A$4:$KY$369,MATCH($A179,연료전지_원본!$A$4:$A$369,0),MATCH($BP$4,연료전지_원본!$A$4:$KY$4,0))</f>
        <v>0</v>
      </c>
      <c r="BQ179" s="241">
        <f>INDEX(연료전지_원본!$A$4:$KY$369,MATCH($A179,연료전지_원본!$A$4:$A$369,0),MATCH($BQ$4,연료전지_원본!$A$4:$KY$4,0))</f>
        <v>0</v>
      </c>
      <c r="BR179" s="241">
        <f>INDEX(연료전지_원본!$A$4:$KY$369,MATCH($A179,연료전지_원본!$A$4:$A$369,0),MATCH($BR$4,연료전지_원본!$A$4:$KY$4,0))</f>
        <v>0</v>
      </c>
      <c r="BS179" s="241">
        <f>INDEX(연료전지_원본!$A$4:$KY$369,MATCH($A179,연료전지_원본!$A$4:$A$369,0),MATCH($BS$4,연료전지_원본!$A$4:$KY$4,0))</f>
        <v>0</v>
      </c>
      <c r="BT179" s="241">
        <f>INDEX(연료전지_원본!$A$4:$KY$369,MATCH($A179,연료전지_원본!$A$4:$A$369,0),MATCH($BT$4,연료전지_원본!$A$4:$KY$4,0))</f>
        <v>0</v>
      </c>
      <c r="BU179" s="241">
        <f>INDEX(연료전지_원본!$A$4:$KY$369,MATCH($A179,연료전지_원본!$A$4:$A$369,0),MATCH($BU$4,연료전지_원본!$A$4:$KY$4,0))</f>
        <v>0</v>
      </c>
      <c r="BV179" s="241">
        <f>INDEX(연료전지_원본!$A$4:$KY$369,MATCH($A179,연료전지_원본!$A$4:$A$369,0),MATCH($BV$4,연료전지_원본!$A$4:$KY$4,0))</f>
        <v>0</v>
      </c>
      <c r="BW179" s="241">
        <f>INDEX(연료전지_원본!$A$4:$KY$369,MATCH($A179,연료전지_원본!$A$4:$A$369,0),MATCH($BW$4,연료전지_원본!$A$4:$KY$4,0))</f>
        <v>0</v>
      </c>
      <c r="BX179" s="241">
        <f>INDEX(연료전지_원본!$A$4:$KY$369,MATCH($A179,연료전지_원본!$A$4:$A$369,0),MATCH($BX$4,연료전지_원본!$A$4:$KY$4,0))</f>
        <v>0</v>
      </c>
      <c r="BY179" s="241">
        <f>INDEX(연료전지_원본!$A$4:$KY$369,MATCH($A179,연료전지_원본!$A$4:$A$369,0),MATCH($BY$4,연료전지_원본!$A$4:$KY$4,0))</f>
        <v>0</v>
      </c>
      <c r="BZ179" s="241">
        <f>INDEX(연료전지_원본!$A$4:$KY$369,MATCH($A179,연료전지_원본!$A$4:$A$369,0),MATCH($BZ$4,연료전지_원본!$A$4:$KY$4,0))</f>
        <v>0</v>
      </c>
      <c r="CA179" s="241">
        <f>INDEX(연료전지_원본!$A$4:$KY$369,MATCH($A179,연료전지_원본!$A$4:$A$369,0),MATCH($CA$4,연료전지_원본!$A$4:$KY$4,0))</f>
        <v>0</v>
      </c>
      <c r="CB179" s="241">
        <f>INDEX(연료전지_원본!$A$4:$KY$369,MATCH($A179,연료전지_원본!$A$4:$A$369,0),MATCH($CB$4,연료전지_원본!$A$4:$KY$4,0))</f>
        <v>0</v>
      </c>
      <c r="CC179" s="242">
        <f>INDEX(연료전지_원본!$A$4:$KY$369,MATCH($A179,연료전지_원본!$A$4:$A$369,0),MATCH($CC$4,연료전지_원본!$A$4:$KY$4,0))</f>
        <v>0</v>
      </c>
      <c r="CD179" s="250">
        <f>INDEX(연료전지_원본!$KB$4:$KX$369,MATCH($A179,연료전지_원본!$KB$4:$KB$369,0), MATCH(CD$4,연료전지_원본!$KB$4:$KX$4,0))*1000</f>
        <v>0</v>
      </c>
      <c r="CE179" s="250">
        <f>INDEX(연료전지_원본!$KB$4:$KX$369,MATCH($A179,연료전지_원본!$KB$4:$KB$369,0), MATCH(CE$4,연료전지_원본!$KB$4:$KX$4,0))*1000</f>
        <v>0</v>
      </c>
      <c r="CF179" s="250">
        <f>INDEX(연료전지_원본!$KB$4:$KX$369,MATCH($A179,연료전지_원본!$KB$4:$KB$369,0), MATCH(CF$4,연료전지_원본!$KB$4:$KX$4,0))*1000</f>
        <v>0</v>
      </c>
      <c r="CG179" s="250">
        <f>INDEX(연료전지_원본!$KB$4:$KX$369,MATCH($A179,연료전지_원본!$KB$4:$KB$369,0), MATCH(CG$4,연료전지_원본!$KB$4:$KX$4,0))*1000</f>
        <v>0</v>
      </c>
      <c r="CH179" s="250">
        <f>INDEX(연료전지_원본!$KB$4:$KX$369,MATCH($A179,연료전지_원본!$KB$4:$KB$369,0), MATCH(CH$4,연료전지_원본!$KB$4:$KX$4,0))*1000</f>
        <v>0</v>
      </c>
      <c r="CI179" s="250">
        <f>INDEX(연료전지_원본!$KB$4:$KX$369,MATCH($A179,연료전지_원본!$KB$4:$KB$369,0), MATCH(CI$4,연료전지_원본!$KB$4:$KX$4,0))*1000</f>
        <v>0</v>
      </c>
      <c r="CJ179" s="250">
        <f>INDEX(연료전지_원본!$KB$4:$KX$369,MATCH($A179,연료전지_원본!$KB$4:$KB$369,0), MATCH(CJ$4,연료전지_원본!$KB$4:$KX$4,0))*1000</f>
        <v>0</v>
      </c>
      <c r="CK179" s="250">
        <f>INDEX(연료전지_원본!$KB$4:$KX$369,MATCH($A179,연료전지_원본!$KB$4:$KB$369,0), MATCH(CK$4,연료전지_원본!$KB$4:$KX$4,0))*1000</f>
        <v>0</v>
      </c>
      <c r="CL179" s="250">
        <f>INDEX(연료전지_원본!$KB$4:$KX$369,MATCH($A179,연료전지_원본!$KB$4:$KB$369,0), MATCH(CL$4,연료전지_원본!$KB$4:$KX$4,0))*1000</f>
        <v>0</v>
      </c>
      <c r="CM179" s="250">
        <f>INDEX(연료전지_원본!$KB$4:$KX$369,MATCH($A179,연료전지_원본!$KB$4:$KB$369,0), MATCH(CM$4,연료전지_원본!$KB$4:$KX$4,0))*1000</f>
        <v>0</v>
      </c>
      <c r="CN179" s="250">
        <f>INDEX(연료전지_원본!$KB$4:$KX$369,MATCH($A179,연료전지_원본!$KB$4:$KB$369,0), MATCH(CN$4,연료전지_원본!$KB$4:$KX$4,0))*1000</f>
        <v>0</v>
      </c>
      <c r="CO179" s="250">
        <f>INDEX(연료전지_원본!$KB$4:$KX$369,MATCH($A179,연료전지_원본!$KB$4:$KB$369,0), MATCH(CO$4,연료전지_원본!$KB$4:$KX$4,0))*1000</f>
        <v>0</v>
      </c>
      <c r="CP179" s="250">
        <f>INDEX(연료전지_원본!$KB$4:$KX$369,MATCH($A179,연료전지_원본!$KB$4:$KB$369,0), MATCH(CP$4,연료전지_원본!$KB$4:$KX$4,0))*1000</f>
        <v>0</v>
      </c>
      <c r="CQ179" s="250">
        <f>INDEX(연료전지_원본!$KB$4:$KX$369,MATCH($A179,연료전지_원본!$KB$4:$KB$369,0), MATCH(CQ$4,연료전지_원본!$KB$4:$KX$4,0))*1000</f>
        <v>0</v>
      </c>
      <c r="CR179" s="250">
        <f>INDEX(연료전지_원본!$KB$4:$KX$369,MATCH($A179,연료전지_원본!$KB$4:$KB$369,0), MATCH(CR$4,연료전지_원본!$KB$4:$KX$4,0))*1000</f>
        <v>0</v>
      </c>
      <c r="CS179" s="250">
        <f>INDEX(연료전지_원본!$KB$4:$KX$369,MATCH($A179,연료전지_원본!$KB$4:$KB$369,0), MATCH(CS$4,연료전지_원본!$KB$4:$KX$4,0))*1000</f>
        <v>0</v>
      </c>
      <c r="CT179" s="250">
        <f>INDEX(연료전지_원본!$KB$4:$KX$369,MATCH($A179,연료전지_원본!$KB$4:$KB$369,0), MATCH(CT$4,연료전지_원본!$KB$4:$KX$4,0))*1000</f>
        <v>0</v>
      </c>
      <c r="CU179" s="250">
        <f>INDEX(연료전지_원본!$KB$4:$KX$369,MATCH($A179,연료전지_원본!$KB$4:$KB$369,0), MATCH(CU$4,연료전지_원본!$KB$4:$KX$4,0))*1000</f>
        <v>0</v>
      </c>
      <c r="CV179" s="250">
        <f>INDEX(연료전지_원본!$KB$4:$KX$369,MATCH($A179,연료전지_원본!$KB$4:$KB$369,0), MATCH(CV$4,연료전지_원본!$KB$4:$KX$4,0))*1000</f>
        <v>0</v>
      </c>
      <c r="CW179" s="250">
        <f>INDEX(연료전지_원본!$KB$4:$KX$369,MATCH($A179,연료전지_원본!$KB$4:$KB$369,0), MATCH(CW$4,연료전지_원본!$KB$4:$KX$4,0))*1000</f>
        <v>0</v>
      </c>
      <c r="CX179" s="250">
        <f>INDEX(연료전지_원본!$KB$4:$KX$369,MATCH($A179,연료전지_원본!$KB$4:$KB$369,0), MATCH(CX$4,연료전지_원본!$KB$4:$KX$4,0))*1000</f>
        <v>0</v>
      </c>
      <c r="CY179" s="250">
        <f>INDEX(연료전지_원본!$KB$4:$KX$369,MATCH($A179,연료전지_원본!$KB$4:$KB$369,0), MATCH(CY$4,연료전지_원본!$KB$4:$KX$4,0))*1000</f>
        <v>0</v>
      </c>
      <c r="DV179" s="30">
        <f t="shared" si="954"/>
        <v>0</v>
      </c>
    </row>
    <row r="180" spans="1:126">
      <c r="A180" s="6">
        <v>46197</v>
      </c>
      <c r="B180" s="15">
        <f>운전실적_원본!B180</f>
        <v>0</v>
      </c>
      <c r="C180" s="16" t="str">
        <f t="shared" si="960"/>
        <v/>
      </c>
      <c r="D180" s="12">
        <f>운전실적_원본!C180</f>
        <v>0</v>
      </c>
      <c r="E180" s="12" t="str">
        <f t="shared" si="961"/>
        <v/>
      </c>
      <c r="F180" s="12">
        <f>운전실적_원본!D180</f>
        <v>0</v>
      </c>
      <c r="G180" s="16" t="str">
        <f t="shared" si="962"/>
        <v/>
      </c>
      <c r="H180" s="15">
        <f>운전실적_원본!E180</f>
        <v>0</v>
      </c>
      <c r="I180" s="16" t="str">
        <f t="shared" si="963"/>
        <v/>
      </c>
      <c r="J180" s="15">
        <f>운전실적_원본!F180</f>
        <v>0</v>
      </c>
      <c r="K180" s="16" t="str">
        <f t="shared" si="963"/>
        <v/>
      </c>
      <c r="L180" s="32">
        <f>운전실적_원본!G180</f>
        <v>0</v>
      </c>
      <c r="M180" s="31" t="str">
        <f t="shared" ref="M180" si="1025">IF(OR(LEN(L180)=0,L180=0),"",L180-L179)</f>
        <v/>
      </c>
      <c r="N180" s="15">
        <f>운전실적_원본!H180</f>
        <v>0</v>
      </c>
      <c r="O180" s="16" t="str">
        <f t="shared" ref="O180" si="1026">IF(OR(LEN(N180)=0,N180=0),"",N180-N179)</f>
        <v/>
      </c>
      <c r="P180" s="15">
        <f>운전실적_원본!I180</f>
        <v>0</v>
      </c>
      <c r="Q180" s="16" t="str">
        <f t="shared" ref="Q180" si="1027">IF(OR(LEN(P180)=0,P180=0),"",P180-P179)</f>
        <v/>
      </c>
      <c r="R180" s="18">
        <f>운전실적_원본!J180</f>
        <v>0</v>
      </c>
      <c r="S180" s="19" t="str">
        <f t="shared" ref="S180" si="1028">IF(OR(LEN(R180)=0,R180=0),"",R180-R179)</f>
        <v/>
      </c>
      <c r="T180" s="18">
        <f>운전실적_원본!K180</f>
        <v>0</v>
      </c>
      <c r="U180" s="19" t="str">
        <f t="shared" si="968"/>
        <v/>
      </c>
      <c r="V180" s="12">
        <f>운전실적_원본!L180</f>
        <v>0</v>
      </c>
      <c r="W180" s="16" t="str">
        <f t="shared" ref="W180" si="1029">IF(OR(LEN(V180)=0,V180=0),"",V180-V179)</f>
        <v/>
      </c>
      <c r="X180" s="10">
        <f>운전실적_원본!M180</f>
        <v>0</v>
      </c>
      <c r="Y180" s="10">
        <f>운전실적_원본!N180</f>
        <v>0</v>
      </c>
      <c r="Z180" s="10">
        <f>운전실적_원본!O180</f>
        <v>0</v>
      </c>
      <c r="AA180" s="10">
        <f>운전실적_원본!P180</f>
        <v>0</v>
      </c>
      <c r="AB180" s="10">
        <f>운전실적_원본!Q180</f>
        <v>0</v>
      </c>
      <c r="AC180" s="20">
        <f>운전실적_원본!R180</f>
        <v>0</v>
      </c>
      <c r="AD180" s="109">
        <f>운전실적_원본!S180</f>
        <v>0</v>
      </c>
      <c r="AE180" s="110">
        <f>운전실적_원본!T180</f>
        <v>0</v>
      </c>
      <c r="AF180" s="110">
        <f>운전실적_원본!U180</f>
        <v>0</v>
      </c>
      <c r="AG180" s="110">
        <f>운전실적_원본!V180</f>
        <v>0</v>
      </c>
      <c r="AH180" s="109">
        <f t="shared" si="791"/>
        <v>0</v>
      </c>
      <c r="AI180" s="110">
        <f t="shared" si="798"/>
        <v>0</v>
      </c>
      <c r="AJ180" s="110">
        <f>운전실적_원본!Y180</f>
        <v>0</v>
      </c>
      <c r="AK180" s="110">
        <f>운전실적_원본!Z180</f>
        <v>0</v>
      </c>
      <c r="AL180" s="106"/>
      <c r="AM180" s="105"/>
      <c r="AN180" s="105"/>
      <c r="AO180" s="105"/>
      <c r="AP180" s="105"/>
      <c r="AQ180" s="108"/>
      <c r="AR180" s="105"/>
      <c r="AS180" s="105"/>
      <c r="AT180" s="102"/>
      <c r="AU180" s="102"/>
      <c r="AV180" s="102"/>
      <c r="AW180" s="102"/>
      <c r="AX180" s="32">
        <f>운전실적_원본!W180</f>
        <v>0</v>
      </c>
      <c r="AY180" s="11">
        <f>운전실적_원본!X180</f>
        <v>0</v>
      </c>
      <c r="AZ180" s="11">
        <f>운전실적_원본!Y180</f>
        <v>0</v>
      </c>
      <c r="BA180" s="11">
        <f>운전실적_원본!Z180</f>
        <v>0</v>
      </c>
      <c r="BB180" s="11">
        <f>운전실적_원본!AA180</f>
        <v>0</v>
      </c>
      <c r="BC180" s="11">
        <f>운전실적_원본!AB180</f>
        <v>0</v>
      </c>
      <c r="BD180" s="32" t="str">
        <f t="shared" si="784"/>
        <v>-</v>
      </c>
      <c r="BE180" s="11" t="str">
        <f t="shared" si="792"/>
        <v>-</v>
      </c>
      <c r="BF180" s="11">
        <f>운전실적_원본!AE180</f>
        <v>0</v>
      </c>
      <c r="BG180" s="31">
        <f t="shared" si="785"/>
        <v>0</v>
      </c>
      <c r="BH180" s="241">
        <f>INDEX(연료전지_원본!$A$4:$KY$369,MATCH($A180,연료전지_원본!$A$4:$A$369,0),MATCH($BH$4,연료전지_원본!$A$4:$KY$4,0))</f>
        <v>0</v>
      </c>
      <c r="BI180" s="241">
        <f>INDEX(연료전지_원본!$A$4:$KY$369,MATCH($A180,연료전지_원본!$A$4:$A$369,0),MATCH($BI$4,연료전지_원본!$A$4:$KY$4,0))</f>
        <v>0</v>
      </c>
      <c r="BJ180" s="241">
        <f>INDEX(연료전지_원본!$A$4:$KY$369,MATCH($A180,연료전지_원본!$A$4:$A$369,0),MATCH($BJ$4,연료전지_원본!$A$4:$KY$4,0))</f>
        <v>0</v>
      </c>
      <c r="BK180" s="241">
        <f>INDEX(연료전지_원본!$A$4:$KY$369,MATCH($A180,연료전지_원본!$A$4:$A$369,0),MATCH($BK$4,연료전지_원본!$A$4:$KY$4,0))</f>
        <v>0</v>
      </c>
      <c r="BL180" s="241">
        <f>INDEX(연료전지_원본!$A$4:$KY$369,MATCH($A180,연료전지_원본!$A$4:$A$369,0),MATCH($BL$4,연료전지_원본!$A$4:$KY$4,0))</f>
        <v>0</v>
      </c>
      <c r="BM180" s="241">
        <f>INDEX(연료전지_원본!$A$4:$KY$369,MATCH($A180,연료전지_원본!$A$4:$A$369,0),MATCH($BM$4,연료전지_원본!$A$4:$KY$4,0))</f>
        <v>0</v>
      </c>
      <c r="BN180" s="241">
        <f>INDEX(연료전지_원본!$A$4:$KY$369,MATCH($A180,연료전지_원본!$A$4:$A$369,0),MATCH($BN$4,연료전지_원본!$A$4:$KY$4,0))</f>
        <v>0</v>
      </c>
      <c r="BO180" s="241">
        <f>INDEX(연료전지_원본!$A$4:$KY$369,MATCH($A180,연료전지_원본!$A$4:$A$369,0),MATCH($BO$4,연료전지_원본!$A$4:$KY$4,0))</f>
        <v>0</v>
      </c>
      <c r="BP180" s="241">
        <f>INDEX(연료전지_원본!$A$4:$KY$369,MATCH($A180,연료전지_원본!$A$4:$A$369,0),MATCH($BP$4,연료전지_원본!$A$4:$KY$4,0))</f>
        <v>0</v>
      </c>
      <c r="BQ180" s="241">
        <f>INDEX(연료전지_원본!$A$4:$KY$369,MATCH($A180,연료전지_원본!$A$4:$A$369,0),MATCH($BQ$4,연료전지_원본!$A$4:$KY$4,0))</f>
        <v>0</v>
      </c>
      <c r="BR180" s="241">
        <f>INDEX(연료전지_원본!$A$4:$KY$369,MATCH($A180,연료전지_원본!$A$4:$A$369,0),MATCH($BR$4,연료전지_원본!$A$4:$KY$4,0))</f>
        <v>0</v>
      </c>
      <c r="BS180" s="241">
        <f>INDEX(연료전지_원본!$A$4:$KY$369,MATCH($A180,연료전지_원본!$A$4:$A$369,0),MATCH($BS$4,연료전지_원본!$A$4:$KY$4,0))</f>
        <v>0</v>
      </c>
      <c r="BT180" s="241">
        <f>INDEX(연료전지_원본!$A$4:$KY$369,MATCH($A180,연료전지_원본!$A$4:$A$369,0),MATCH($BT$4,연료전지_원본!$A$4:$KY$4,0))</f>
        <v>0</v>
      </c>
      <c r="BU180" s="241">
        <f>INDEX(연료전지_원본!$A$4:$KY$369,MATCH($A180,연료전지_원본!$A$4:$A$369,0),MATCH($BU$4,연료전지_원본!$A$4:$KY$4,0))</f>
        <v>0</v>
      </c>
      <c r="BV180" s="241">
        <f>INDEX(연료전지_원본!$A$4:$KY$369,MATCH($A180,연료전지_원본!$A$4:$A$369,0),MATCH($BV$4,연료전지_원본!$A$4:$KY$4,0))</f>
        <v>0</v>
      </c>
      <c r="BW180" s="241">
        <f>INDEX(연료전지_원본!$A$4:$KY$369,MATCH($A180,연료전지_원본!$A$4:$A$369,0),MATCH($BW$4,연료전지_원본!$A$4:$KY$4,0))</f>
        <v>0</v>
      </c>
      <c r="BX180" s="241">
        <f>INDEX(연료전지_원본!$A$4:$KY$369,MATCH($A180,연료전지_원본!$A$4:$A$369,0),MATCH($BX$4,연료전지_원본!$A$4:$KY$4,0))</f>
        <v>0</v>
      </c>
      <c r="BY180" s="241">
        <f>INDEX(연료전지_원본!$A$4:$KY$369,MATCH($A180,연료전지_원본!$A$4:$A$369,0),MATCH($BY$4,연료전지_원본!$A$4:$KY$4,0))</f>
        <v>0</v>
      </c>
      <c r="BZ180" s="241">
        <f>INDEX(연료전지_원본!$A$4:$KY$369,MATCH($A180,연료전지_원본!$A$4:$A$369,0),MATCH($BZ$4,연료전지_원본!$A$4:$KY$4,0))</f>
        <v>0</v>
      </c>
      <c r="CA180" s="241">
        <f>INDEX(연료전지_원본!$A$4:$KY$369,MATCH($A180,연료전지_원본!$A$4:$A$369,0),MATCH($CA$4,연료전지_원본!$A$4:$KY$4,0))</f>
        <v>0</v>
      </c>
      <c r="CB180" s="241">
        <f>INDEX(연료전지_원본!$A$4:$KY$369,MATCH($A180,연료전지_원본!$A$4:$A$369,0),MATCH($CB$4,연료전지_원본!$A$4:$KY$4,0))</f>
        <v>0</v>
      </c>
      <c r="CC180" s="242">
        <f>INDEX(연료전지_원본!$A$4:$KY$369,MATCH($A180,연료전지_원본!$A$4:$A$369,0),MATCH($CC$4,연료전지_원본!$A$4:$KY$4,0))</f>
        <v>0</v>
      </c>
      <c r="CD180" s="250">
        <f>INDEX(연료전지_원본!$KB$4:$KX$369,MATCH($A180,연료전지_원본!$KB$4:$KB$369,0), MATCH(CD$4,연료전지_원본!$KB$4:$KX$4,0))*1000</f>
        <v>0</v>
      </c>
      <c r="CE180" s="250">
        <f>INDEX(연료전지_원본!$KB$4:$KX$369,MATCH($A180,연료전지_원본!$KB$4:$KB$369,0), MATCH(CE$4,연료전지_원본!$KB$4:$KX$4,0))*1000</f>
        <v>0</v>
      </c>
      <c r="CF180" s="250">
        <f>INDEX(연료전지_원본!$KB$4:$KX$369,MATCH($A180,연료전지_원본!$KB$4:$KB$369,0), MATCH(CF$4,연료전지_원본!$KB$4:$KX$4,0))*1000</f>
        <v>0</v>
      </c>
      <c r="CG180" s="250">
        <f>INDEX(연료전지_원본!$KB$4:$KX$369,MATCH($A180,연료전지_원본!$KB$4:$KB$369,0), MATCH(CG$4,연료전지_원본!$KB$4:$KX$4,0))*1000</f>
        <v>0</v>
      </c>
      <c r="CH180" s="250">
        <f>INDEX(연료전지_원본!$KB$4:$KX$369,MATCH($A180,연료전지_원본!$KB$4:$KB$369,0), MATCH(CH$4,연료전지_원본!$KB$4:$KX$4,0))*1000</f>
        <v>0</v>
      </c>
      <c r="CI180" s="250">
        <f>INDEX(연료전지_원본!$KB$4:$KX$369,MATCH($A180,연료전지_원본!$KB$4:$KB$369,0), MATCH(CI$4,연료전지_원본!$KB$4:$KX$4,0))*1000</f>
        <v>0</v>
      </c>
      <c r="CJ180" s="250">
        <f>INDEX(연료전지_원본!$KB$4:$KX$369,MATCH($A180,연료전지_원본!$KB$4:$KB$369,0), MATCH(CJ$4,연료전지_원본!$KB$4:$KX$4,0))*1000</f>
        <v>0</v>
      </c>
      <c r="CK180" s="250">
        <f>INDEX(연료전지_원본!$KB$4:$KX$369,MATCH($A180,연료전지_원본!$KB$4:$KB$369,0), MATCH(CK$4,연료전지_원본!$KB$4:$KX$4,0))*1000</f>
        <v>0</v>
      </c>
      <c r="CL180" s="250">
        <f>INDEX(연료전지_원본!$KB$4:$KX$369,MATCH($A180,연료전지_원본!$KB$4:$KB$369,0), MATCH(CL$4,연료전지_원본!$KB$4:$KX$4,0))*1000</f>
        <v>0</v>
      </c>
      <c r="CM180" s="250">
        <f>INDEX(연료전지_원본!$KB$4:$KX$369,MATCH($A180,연료전지_원본!$KB$4:$KB$369,0), MATCH(CM$4,연료전지_원본!$KB$4:$KX$4,0))*1000</f>
        <v>0</v>
      </c>
      <c r="CN180" s="250">
        <f>INDEX(연료전지_원본!$KB$4:$KX$369,MATCH($A180,연료전지_원본!$KB$4:$KB$369,0), MATCH(CN$4,연료전지_원본!$KB$4:$KX$4,0))*1000</f>
        <v>0</v>
      </c>
      <c r="CO180" s="250">
        <f>INDEX(연료전지_원본!$KB$4:$KX$369,MATCH($A180,연료전지_원본!$KB$4:$KB$369,0), MATCH(CO$4,연료전지_원본!$KB$4:$KX$4,0))*1000</f>
        <v>0</v>
      </c>
      <c r="CP180" s="250">
        <f>INDEX(연료전지_원본!$KB$4:$KX$369,MATCH($A180,연료전지_원본!$KB$4:$KB$369,0), MATCH(CP$4,연료전지_원본!$KB$4:$KX$4,0))*1000</f>
        <v>0</v>
      </c>
      <c r="CQ180" s="250">
        <f>INDEX(연료전지_원본!$KB$4:$KX$369,MATCH($A180,연료전지_원본!$KB$4:$KB$369,0), MATCH(CQ$4,연료전지_원본!$KB$4:$KX$4,0))*1000</f>
        <v>0</v>
      </c>
      <c r="CR180" s="250">
        <f>INDEX(연료전지_원본!$KB$4:$KX$369,MATCH($A180,연료전지_원본!$KB$4:$KB$369,0), MATCH(CR$4,연료전지_원본!$KB$4:$KX$4,0))*1000</f>
        <v>0</v>
      </c>
      <c r="CS180" s="250">
        <f>INDEX(연료전지_원본!$KB$4:$KX$369,MATCH($A180,연료전지_원본!$KB$4:$KB$369,0), MATCH(CS$4,연료전지_원본!$KB$4:$KX$4,0))*1000</f>
        <v>0</v>
      </c>
      <c r="CT180" s="250">
        <f>INDEX(연료전지_원본!$KB$4:$KX$369,MATCH($A180,연료전지_원본!$KB$4:$KB$369,0), MATCH(CT$4,연료전지_원본!$KB$4:$KX$4,0))*1000</f>
        <v>0</v>
      </c>
      <c r="CU180" s="250">
        <f>INDEX(연료전지_원본!$KB$4:$KX$369,MATCH($A180,연료전지_원본!$KB$4:$KB$369,0), MATCH(CU$4,연료전지_원본!$KB$4:$KX$4,0))*1000</f>
        <v>0</v>
      </c>
      <c r="CV180" s="250">
        <f>INDEX(연료전지_원본!$KB$4:$KX$369,MATCH($A180,연료전지_원본!$KB$4:$KB$369,0), MATCH(CV$4,연료전지_원본!$KB$4:$KX$4,0))*1000</f>
        <v>0</v>
      </c>
      <c r="CW180" s="250">
        <f>INDEX(연료전지_원본!$KB$4:$KX$369,MATCH($A180,연료전지_원본!$KB$4:$KB$369,0), MATCH(CW$4,연료전지_원본!$KB$4:$KX$4,0))*1000</f>
        <v>0</v>
      </c>
      <c r="CX180" s="250">
        <f>INDEX(연료전지_원본!$KB$4:$KX$369,MATCH($A180,연료전지_원본!$KB$4:$KB$369,0), MATCH(CX$4,연료전지_원본!$KB$4:$KX$4,0))*1000</f>
        <v>0</v>
      </c>
      <c r="CY180" s="250">
        <f>INDEX(연료전지_원본!$KB$4:$KX$369,MATCH($A180,연료전지_원본!$KB$4:$KB$369,0), MATCH(CY$4,연료전지_원본!$KB$4:$KX$4,0))*1000</f>
        <v>0</v>
      </c>
      <c r="DV180" s="30">
        <f t="shared" si="954"/>
        <v>0</v>
      </c>
    </row>
    <row r="181" spans="1:126">
      <c r="A181" s="6">
        <v>46198</v>
      </c>
      <c r="B181" s="15">
        <f>운전실적_원본!B181</f>
        <v>0</v>
      </c>
      <c r="C181" s="16" t="str">
        <f t="shared" si="960"/>
        <v/>
      </c>
      <c r="D181" s="12">
        <f>운전실적_원본!C181</f>
        <v>0</v>
      </c>
      <c r="E181" s="12" t="str">
        <f t="shared" si="961"/>
        <v/>
      </c>
      <c r="F181" s="12">
        <f>운전실적_원본!D181</f>
        <v>0</v>
      </c>
      <c r="G181" s="16" t="str">
        <f t="shared" si="962"/>
        <v/>
      </c>
      <c r="H181" s="15">
        <f>운전실적_원본!E181</f>
        <v>0</v>
      </c>
      <c r="I181" s="16" t="str">
        <f t="shared" si="963"/>
        <v/>
      </c>
      <c r="J181" s="15">
        <f>운전실적_원본!F181</f>
        <v>0</v>
      </c>
      <c r="K181" s="16" t="str">
        <f t="shared" si="963"/>
        <v/>
      </c>
      <c r="L181" s="32">
        <f>운전실적_원본!G181</f>
        <v>0</v>
      </c>
      <c r="M181" s="31" t="str">
        <f t="shared" ref="M181" si="1030">IF(OR(LEN(L181)=0,L181=0),"",L181-L180)</f>
        <v/>
      </c>
      <c r="N181" s="15">
        <f>운전실적_원본!H181</f>
        <v>0</v>
      </c>
      <c r="O181" s="16" t="str">
        <f t="shared" ref="O181" si="1031">IF(OR(LEN(N181)=0,N181=0),"",N181-N180)</f>
        <v/>
      </c>
      <c r="P181" s="15">
        <f>운전실적_원본!I181</f>
        <v>0</v>
      </c>
      <c r="Q181" s="16" t="str">
        <f t="shared" ref="Q181" si="1032">IF(OR(LEN(P181)=0,P181=0),"",P181-P180)</f>
        <v/>
      </c>
      <c r="R181" s="18">
        <f>운전실적_원본!J181</f>
        <v>0</v>
      </c>
      <c r="S181" s="19" t="str">
        <f t="shared" ref="S181" si="1033">IF(OR(LEN(R181)=0,R181=0),"",R181-R180)</f>
        <v/>
      </c>
      <c r="T181" s="18">
        <f>운전실적_원본!K181</f>
        <v>0</v>
      </c>
      <c r="U181" s="19" t="str">
        <f t="shared" si="968"/>
        <v/>
      </c>
      <c r="V181" s="12">
        <f>운전실적_원본!L181</f>
        <v>0</v>
      </c>
      <c r="W181" s="16" t="str">
        <f t="shared" ref="W181" si="1034">IF(OR(LEN(V181)=0,V181=0),"",V181-V180)</f>
        <v/>
      </c>
      <c r="X181" s="10">
        <f>운전실적_원본!M181</f>
        <v>0</v>
      </c>
      <c r="Y181" s="10">
        <f>운전실적_원본!N181</f>
        <v>0</v>
      </c>
      <c r="Z181" s="10">
        <f>운전실적_원본!O181</f>
        <v>0</v>
      </c>
      <c r="AA181" s="10">
        <f>운전실적_원본!P181</f>
        <v>0</v>
      </c>
      <c r="AB181" s="10">
        <f>운전실적_원본!Q181</f>
        <v>0</v>
      </c>
      <c r="AC181" s="20">
        <f>운전실적_원본!R181</f>
        <v>0</v>
      </c>
      <c r="AD181" s="109">
        <f>운전실적_원본!S181</f>
        <v>0</v>
      </c>
      <c r="AE181" s="110">
        <f>운전실적_원본!T181</f>
        <v>0</v>
      </c>
      <c r="AF181" s="110">
        <f>운전실적_원본!U181</f>
        <v>0</v>
      </c>
      <c r="AG181" s="110">
        <f>운전실적_원본!V181</f>
        <v>0</v>
      </c>
      <c r="AH181" s="109">
        <f t="shared" si="791"/>
        <v>0</v>
      </c>
      <c r="AI181" s="110">
        <f t="shared" si="798"/>
        <v>0</v>
      </c>
      <c r="AJ181" s="110">
        <f>운전실적_원본!Y181</f>
        <v>0</v>
      </c>
      <c r="AK181" s="110">
        <f>운전실적_원본!Z181</f>
        <v>0</v>
      </c>
      <c r="AL181" s="106"/>
      <c r="AM181" s="105"/>
      <c r="AN181" s="105"/>
      <c r="AO181" s="105"/>
      <c r="AP181" s="105"/>
      <c r="AQ181" s="108"/>
      <c r="AR181" s="105"/>
      <c r="AS181" s="105"/>
      <c r="AT181" s="102"/>
      <c r="AU181" s="102"/>
      <c r="AV181" s="102"/>
      <c r="AW181" s="102"/>
      <c r="AX181" s="32">
        <f>운전실적_원본!W181</f>
        <v>0</v>
      </c>
      <c r="AY181" s="11">
        <f>운전실적_원본!X181</f>
        <v>0</v>
      </c>
      <c r="AZ181" s="11">
        <f>운전실적_원본!Y181</f>
        <v>0</v>
      </c>
      <c r="BA181" s="11">
        <f>운전실적_원본!Z181</f>
        <v>0</v>
      </c>
      <c r="BB181" s="11">
        <f>운전실적_원본!AA181</f>
        <v>0</v>
      </c>
      <c r="BC181" s="11">
        <f>운전실적_원본!AB181</f>
        <v>0</v>
      </c>
      <c r="BD181" s="32" t="str">
        <f t="shared" si="784"/>
        <v>-</v>
      </c>
      <c r="BE181" s="11" t="str">
        <f t="shared" si="792"/>
        <v>-</v>
      </c>
      <c r="BF181" s="11">
        <f>운전실적_원본!AE181</f>
        <v>0</v>
      </c>
      <c r="BG181" s="31">
        <f t="shared" si="785"/>
        <v>0</v>
      </c>
      <c r="BH181" s="241">
        <f>INDEX(연료전지_원본!$A$4:$KY$369,MATCH($A181,연료전지_원본!$A$4:$A$369,0),MATCH($BH$4,연료전지_원본!$A$4:$KY$4,0))</f>
        <v>0</v>
      </c>
      <c r="BI181" s="241">
        <f>INDEX(연료전지_원본!$A$4:$KY$369,MATCH($A181,연료전지_원본!$A$4:$A$369,0),MATCH($BI$4,연료전지_원본!$A$4:$KY$4,0))</f>
        <v>0</v>
      </c>
      <c r="BJ181" s="241">
        <f>INDEX(연료전지_원본!$A$4:$KY$369,MATCH($A181,연료전지_원본!$A$4:$A$369,0),MATCH($BJ$4,연료전지_원본!$A$4:$KY$4,0))</f>
        <v>0</v>
      </c>
      <c r="BK181" s="241">
        <f>INDEX(연료전지_원본!$A$4:$KY$369,MATCH($A181,연료전지_원본!$A$4:$A$369,0),MATCH($BK$4,연료전지_원본!$A$4:$KY$4,0))</f>
        <v>0</v>
      </c>
      <c r="BL181" s="241">
        <f>INDEX(연료전지_원본!$A$4:$KY$369,MATCH($A181,연료전지_원본!$A$4:$A$369,0),MATCH($BL$4,연료전지_원본!$A$4:$KY$4,0))</f>
        <v>0</v>
      </c>
      <c r="BM181" s="241">
        <f>INDEX(연료전지_원본!$A$4:$KY$369,MATCH($A181,연료전지_원본!$A$4:$A$369,0),MATCH($BM$4,연료전지_원본!$A$4:$KY$4,0))</f>
        <v>0</v>
      </c>
      <c r="BN181" s="241">
        <f>INDEX(연료전지_원본!$A$4:$KY$369,MATCH($A181,연료전지_원본!$A$4:$A$369,0),MATCH($BN$4,연료전지_원본!$A$4:$KY$4,0))</f>
        <v>0</v>
      </c>
      <c r="BO181" s="241">
        <f>INDEX(연료전지_원본!$A$4:$KY$369,MATCH($A181,연료전지_원본!$A$4:$A$369,0),MATCH($BO$4,연료전지_원본!$A$4:$KY$4,0))</f>
        <v>0</v>
      </c>
      <c r="BP181" s="241">
        <f>INDEX(연료전지_원본!$A$4:$KY$369,MATCH($A181,연료전지_원본!$A$4:$A$369,0),MATCH($BP$4,연료전지_원본!$A$4:$KY$4,0))</f>
        <v>0</v>
      </c>
      <c r="BQ181" s="241">
        <f>INDEX(연료전지_원본!$A$4:$KY$369,MATCH($A181,연료전지_원본!$A$4:$A$369,0),MATCH($BQ$4,연료전지_원본!$A$4:$KY$4,0))</f>
        <v>0</v>
      </c>
      <c r="BR181" s="241">
        <f>INDEX(연료전지_원본!$A$4:$KY$369,MATCH($A181,연료전지_원본!$A$4:$A$369,0),MATCH($BR$4,연료전지_원본!$A$4:$KY$4,0))</f>
        <v>0</v>
      </c>
      <c r="BS181" s="241">
        <f>INDEX(연료전지_원본!$A$4:$KY$369,MATCH($A181,연료전지_원본!$A$4:$A$369,0),MATCH($BS$4,연료전지_원본!$A$4:$KY$4,0))</f>
        <v>0</v>
      </c>
      <c r="BT181" s="241">
        <f>INDEX(연료전지_원본!$A$4:$KY$369,MATCH($A181,연료전지_원본!$A$4:$A$369,0),MATCH($BT$4,연료전지_원본!$A$4:$KY$4,0))</f>
        <v>0</v>
      </c>
      <c r="BU181" s="241">
        <f>INDEX(연료전지_원본!$A$4:$KY$369,MATCH($A181,연료전지_원본!$A$4:$A$369,0),MATCH($BU$4,연료전지_원본!$A$4:$KY$4,0))</f>
        <v>0</v>
      </c>
      <c r="BV181" s="241">
        <f>INDEX(연료전지_원본!$A$4:$KY$369,MATCH($A181,연료전지_원본!$A$4:$A$369,0),MATCH($BV$4,연료전지_원본!$A$4:$KY$4,0))</f>
        <v>0</v>
      </c>
      <c r="BW181" s="241">
        <f>INDEX(연료전지_원본!$A$4:$KY$369,MATCH($A181,연료전지_원본!$A$4:$A$369,0),MATCH($BW$4,연료전지_원본!$A$4:$KY$4,0))</f>
        <v>0</v>
      </c>
      <c r="BX181" s="241">
        <f>INDEX(연료전지_원본!$A$4:$KY$369,MATCH($A181,연료전지_원본!$A$4:$A$369,0),MATCH($BX$4,연료전지_원본!$A$4:$KY$4,0))</f>
        <v>0</v>
      </c>
      <c r="BY181" s="241">
        <f>INDEX(연료전지_원본!$A$4:$KY$369,MATCH($A181,연료전지_원본!$A$4:$A$369,0),MATCH($BY$4,연료전지_원본!$A$4:$KY$4,0))</f>
        <v>0</v>
      </c>
      <c r="BZ181" s="241">
        <f>INDEX(연료전지_원본!$A$4:$KY$369,MATCH($A181,연료전지_원본!$A$4:$A$369,0),MATCH($BZ$4,연료전지_원본!$A$4:$KY$4,0))</f>
        <v>0</v>
      </c>
      <c r="CA181" s="241">
        <f>INDEX(연료전지_원본!$A$4:$KY$369,MATCH($A181,연료전지_원본!$A$4:$A$369,0),MATCH($CA$4,연료전지_원본!$A$4:$KY$4,0))</f>
        <v>0</v>
      </c>
      <c r="CB181" s="241">
        <f>INDEX(연료전지_원본!$A$4:$KY$369,MATCH($A181,연료전지_원본!$A$4:$A$369,0),MATCH($CB$4,연료전지_원본!$A$4:$KY$4,0))</f>
        <v>0</v>
      </c>
      <c r="CC181" s="242">
        <f>INDEX(연료전지_원본!$A$4:$KY$369,MATCH($A181,연료전지_원본!$A$4:$A$369,0),MATCH($CC$4,연료전지_원본!$A$4:$KY$4,0))</f>
        <v>0</v>
      </c>
      <c r="CD181" s="250">
        <f>INDEX(연료전지_원본!$KB$4:$KX$369,MATCH($A181,연료전지_원본!$KB$4:$KB$369,0), MATCH(CD$4,연료전지_원본!$KB$4:$KX$4,0))*1000</f>
        <v>0</v>
      </c>
      <c r="CE181" s="250">
        <f>INDEX(연료전지_원본!$KB$4:$KX$369,MATCH($A181,연료전지_원본!$KB$4:$KB$369,0), MATCH(CE$4,연료전지_원본!$KB$4:$KX$4,0))*1000</f>
        <v>0</v>
      </c>
      <c r="CF181" s="250">
        <f>INDEX(연료전지_원본!$KB$4:$KX$369,MATCH($A181,연료전지_원본!$KB$4:$KB$369,0), MATCH(CF$4,연료전지_원본!$KB$4:$KX$4,0))*1000</f>
        <v>0</v>
      </c>
      <c r="CG181" s="250">
        <f>INDEX(연료전지_원본!$KB$4:$KX$369,MATCH($A181,연료전지_원본!$KB$4:$KB$369,0), MATCH(CG$4,연료전지_원본!$KB$4:$KX$4,0))*1000</f>
        <v>0</v>
      </c>
      <c r="CH181" s="250">
        <f>INDEX(연료전지_원본!$KB$4:$KX$369,MATCH($A181,연료전지_원본!$KB$4:$KB$369,0), MATCH(CH$4,연료전지_원본!$KB$4:$KX$4,0))*1000</f>
        <v>0</v>
      </c>
      <c r="CI181" s="250">
        <f>INDEX(연료전지_원본!$KB$4:$KX$369,MATCH($A181,연료전지_원본!$KB$4:$KB$369,0), MATCH(CI$4,연료전지_원본!$KB$4:$KX$4,0))*1000</f>
        <v>0</v>
      </c>
      <c r="CJ181" s="250">
        <f>INDEX(연료전지_원본!$KB$4:$KX$369,MATCH($A181,연료전지_원본!$KB$4:$KB$369,0), MATCH(CJ$4,연료전지_원본!$KB$4:$KX$4,0))*1000</f>
        <v>0</v>
      </c>
      <c r="CK181" s="250">
        <f>INDEX(연료전지_원본!$KB$4:$KX$369,MATCH($A181,연료전지_원본!$KB$4:$KB$369,0), MATCH(CK$4,연료전지_원본!$KB$4:$KX$4,0))*1000</f>
        <v>0</v>
      </c>
      <c r="CL181" s="250">
        <f>INDEX(연료전지_원본!$KB$4:$KX$369,MATCH($A181,연료전지_원본!$KB$4:$KB$369,0), MATCH(CL$4,연료전지_원본!$KB$4:$KX$4,0))*1000</f>
        <v>0</v>
      </c>
      <c r="CM181" s="250">
        <f>INDEX(연료전지_원본!$KB$4:$KX$369,MATCH($A181,연료전지_원본!$KB$4:$KB$369,0), MATCH(CM$4,연료전지_원본!$KB$4:$KX$4,0))*1000</f>
        <v>0</v>
      </c>
      <c r="CN181" s="250">
        <f>INDEX(연료전지_원본!$KB$4:$KX$369,MATCH($A181,연료전지_원본!$KB$4:$KB$369,0), MATCH(CN$4,연료전지_원본!$KB$4:$KX$4,0))*1000</f>
        <v>0</v>
      </c>
      <c r="CO181" s="250">
        <f>INDEX(연료전지_원본!$KB$4:$KX$369,MATCH($A181,연료전지_원본!$KB$4:$KB$369,0), MATCH(CO$4,연료전지_원본!$KB$4:$KX$4,0))*1000</f>
        <v>0</v>
      </c>
      <c r="CP181" s="250">
        <f>INDEX(연료전지_원본!$KB$4:$KX$369,MATCH($A181,연료전지_원본!$KB$4:$KB$369,0), MATCH(CP$4,연료전지_원본!$KB$4:$KX$4,0))*1000</f>
        <v>0</v>
      </c>
      <c r="CQ181" s="250">
        <f>INDEX(연료전지_원본!$KB$4:$KX$369,MATCH($A181,연료전지_원본!$KB$4:$KB$369,0), MATCH(CQ$4,연료전지_원본!$KB$4:$KX$4,0))*1000</f>
        <v>0</v>
      </c>
      <c r="CR181" s="250">
        <f>INDEX(연료전지_원본!$KB$4:$KX$369,MATCH($A181,연료전지_원본!$KB$4:$KB$369,0), MATCH(CR$4,연료전지_원본!$KB$4:$KX$4,0))*1000</f>
        <v>0</v>
      </c>
      <c r="CS181" s="250">
        <f>INDEX(연료전지_원본!$KB$4:$KX$369,MATCH($A181,연료전지_원본!$KB$4:$KB$369,0), MATCH(CS$4,연료전지_원본!$KB$4:$KX$4,0))*1000</f>
        <v>0</v>
      </c>
      <c r="CT181" s="250">
        <f>INDEX(연료전지_원본!$KB$4:$KX$369,MATCH($A181,연료전지_원본!$KB$4:$KB$369,0), MATCH(CT$4,연료전지_원본!$KB$4:$KX$4,0))*1000</f>
        <v>0</v>
      </c>
      <c r="CU181" s="250">
        <f>INDEX(연료전지_원본!$KB$4:$KX$369,MATCH($A181,연료전지_원본!$KB$4:$KB$369,0), MATCH(CU$4,연료전지_원본!$KB$4:$KX$4,0))*1000</f>
        <v>0</v>
      </c>
      <c r="CV181" s="250">
        <f>INDEX(연료전지_원본!$KB$4:$KX$369,MATCH($A181,연료전지_원본!$KB$4:$KB$369,0), MATCH(CV$4,연료전지_원본!$KB$4:$KX$4,0))*1000</f>
        <v>0</v>
      </c>
      <c r="CW181" s="250">
        <f>INDEX(연료전지_원본!$KB$4:$KX$369,MATCH($A181,연료전지_원본!$KB$4:$KB$369,0), MATCH(CW$4,연료전지_원본!$KB$4:$KX$4,0))*1000</f>
        <v>0</v>
      </c>
      <c r="CX181" s="250">
        <f>INDEX(연료전지_원본!$KB$4:$KX$369,MATCH($A181,연료전지_원본!$KB$4:$KB$369,0), MATCH(CX$4,연료전지_원본!$KB$4:$KX$4,0))*1000</f>
        <v>0</v>
      </c>
      <c r="CY181" s="250">
        <f>INDEX(연료전지_원본!$KB$4:$KX$369,MATCH($A181,연료전지_원본!$KB$4:$KB$369,0), MATCH(CY$4,연료전지_원본!$KB$4:$KX$4,0))*1000</f>
        <v>0</v>
      </c>
      <c r="DV181" s="30">
        <f t="shared" si="954"/>
        <v>0</v>
      </c>
    </row>
    <row r="182" spans="1:126">
      <c r="A182" s="6">
        <v>46199</v>
      </c>
      <c r="B182" s="15">
        <f>운전실적_원본!B182</f>
        <v>0</v>
      </c>
      <c r="C182" s="16" t="str">
        <f t="shared" si="960"/>
        <v/>
      </c>
      <c r="D182" s="12">
        <f>운전실적_원본!C182</f>
        <v>0</v>
      </c>
      <c r="E182" s="12" t="str">
        <f t="shared" si="961"/>
        <v/>
      </c>
      <c r="F182" s="12">
        <f>운전실적_원본!D182</f>
        <v>0</v>
      </c>
      <c r="G182" s="16" t="str">
        <f t="shared" si="962"/>
        <v/>
      </c>
      <c r="H182" s="15">
        <f>운전실적_원본!E182</f>
        <v>0</v>
      </c>
      <c r="I182" s="16" t="str">
        <f t="shared" si="963"/>
        <v/>
      </c>
      <c r="J182" s="15">
        <f>운전실적_원본!F182</f>
        <v>0</v>
      </c>
      <c r="K182" s="16" t="str">
        <f t="shared" si="963"/>
        <v/>
      </c>
      <c r="L182" s="32">
        <f>운전실적_원본!G182</f>
        <v>0</v>
      </c>
      <c r="M182" s="31" t="str">
        <f t="shared" ref="M182" si="1035">IF(OR(LEN(L182)=0,L182=0),"",L182-L181)</f>
        <v/>
      </c>
      <c r="N182" s="15">
        <f>운전실적_원본!H182</f>
        <v>0</v>
      </c>
      <c r="O182" s="16" t="str">
        <f t="shared" ref="O182" si="1036">IF(OR(LEN(N182)=0,N182=0),"",N182-N181)</f>
        <v/>
      </c>
      <c r="P182" s="15">
        <f>운전실적_원본!I182</f>
        <v>0</v>
      </c>
      <c r="Q182" s="16" t="str">
        <f t="shared" ref="Q182" si="1037">IF(OR(LEN(P182)=0,P182=0),"",P182-P181)</f>
        <v/>
      </c>
      <c r="R182" s="18">
        <f>운전실적_원본!J182</f>
        <v>0</v>
      </c>
      <c r="S182" s="19" t="str">
        <f t="shared" ref="S182" si="1038">IF(OR(LEN(R182)=0,R182=0),"",R182-R181)</f>
        <v/>
      </c>
      <c r="T182" s="18">
        <f>운전실적_원본!K182</f>
        <v>0</v>
      </c>
      <c r="U182" s="19" t="str">
        <f t="shared" si="968"/>
        <v/>
      </c>
      <c r="V182" s="12">
        <f>운전실적_원본!L182</f>
        <v>0</v>
      </c>
      <c r="W182" s="16" t="str">
        <f t="shared" ref="W182" si="1039">IF(OR(LEN(V182)=0,V182=0),"",V182-V181)</f>
        <v/>
      </c>
      <c r="X182" s="10">
        <f>운전실적_원본!M182</f>
        <v>0</v>
      </c>
      <c r="Y182" s="10">
        <f>운전실적_원본!N182</f>
        <v>0</v>
      </c>
      <c r="Z182" s="10">
        <f>운전실적_원본!O182</f>
        <v>0</v>
      </c>
      <c r="AA182" s="10">
        <f>운전실적_원본!P182</f>
        <v>0</v>
      </c>
      <c r="AB182" s="10">
        <f>운전실적_원본!Q182</f>
        <v>0</v>
      </c>
      <c r="AC182" s="20">
        <f>운전실적_원본!R182</f>
        <v>0</v>
      </c>
      <c r="AD182" s="109">
        <f>운전실적_원본!S182</f>
        <v>0</v>
      </c>
      <c r="AE182" s="110">
        <f>운전실적_원본!T182</f>
        <v>0</v>
      </c>
      <c r="AF182" s="110">
        <f>운전실적_원본!U182</f>
        <v>0</v>
      </c>
      <c r="AG182" s="110">
        <f>운전실적_원본!V182</f>
        <v>0</v>
      </c>
      <c r="AH182" s="109">
        <f t="shared" si="791"/>
        <v>0</v>
      </c>
      <c r="AI182" s="110">
        <f t="shared" si="798"/>
        <v>0</v>
      </c>
      <c r="AJ182" s="110">
        <f>운전실적_원본!Y182</f>
        <v>0</v>
      </c>
      <c r="AK182" s="110">
        <f>운전실적_원본!Z182</f>
        <v>0</v>
      </c>
      <c r="AL182" s="106"/>
      <c r="AM182" s="105"/>
      <c r="AN182" s="105"/>
      <c r="AO182" s="105"/>
      <c r="AP182" s="105"/>
      <c r="AQ182" s="108"/>
      <c r="AR182" s="105"/>
      <c r="AS182" s="105"/>
      <c r="AT182" s="102"/>
      <c r="AU182" s="102"/>
      <c r="AV182" s="102"/>
      <c r="AW182" s="102"/>
      <c r="AX182" s="32">
        <f>운전실적_원본!W182</f>
        <v>0</v>
      </c>
      <c r="AY182" s="11">
        <f>운전실적_원본!X182</f>
        <v>0</v>
      </c>
      <c r="AZ182" s="11">
        <f>운전실적_원본!Y182</f>
        <v>0</v>
      </c>
      <c r="BA182" s="11">
        <f>운전실적_원본!Z182</f>
        <v>0</v>
      </c>
      <c r="BB182" s="11">
        <f>운전실적_원본!AA182</f>
        <v>0</v>
      </c>
      <c r="BC182" s="11">
        <f>운전실적_원본!AB182</f>
        <v>0</v>
      </c>
      <c r="BD182" s="32" t="str">
        <f t="shared" si="784"/>
        <v>-</v>
      </c>
      <c r="BE182" s="11" t="str">
        <f t="shared" si="792"/>
        <v>-</v>
      </c>
      <c r="BF182" s="11">
        <f>운전실적_원본!AE182</f>
        <v>0</v>
      </c>
      <c r="BG182" s="31">
        <f t="shared" si="785"/>
        <v>0</v>
      </c>
      <c r="BH182" s="241">
        <f>INDEX(연료전지_원본!$A$4:$KY$369,MATCH($A182,연료전지_원본!$A$4:$A$369,0),MATCH($BH$4,연료전지_원본!$A$4:$KY$4,0))</f>
        <v>0</v>
      </c>
      <c r="BI182" s="241">
        <f>INDEX(연료전지_원본!$A$4:$KY$369,MATCH($A182,연료전지_원본!$A$4:$A$369,0),MATCH($BI$4,연료전지_원본!$A$4:$KY$4,0))</f>
        <v>0</v>
      </c>
      <c r="BJ182" s="241">
        <f>INDEX(연료전지_원본!$A$4:$KY$369,MATCH($A182,연료전지_원본!$A$4:$A$369,0),MATCH($BJ$4,연료전지_원본!$A$4:$KY$4,0))</f>
        <v>0</v>
      </c>
      <c r="BK182" s="241">
        <f>INDEX(연료전지_원본!$A$4:$KY$369,MATCH($A182,연료전지_원본!$A$4:$A$369,0),MATCH($BK$4,연료전지_원본!$A$4:$KY$4,0))</f>
        <v>0</v>
      </c>
      <c r="BL182" s="241">
        <f>INDEX(연료전지_원본!$A$4:$KY$369,MATCH($A182,연료전지_원본!$A$4:$A$369,0),MATCH($BL$4,연료전지_원본!$A$4:$KY$4,0))</f>
        <v>0</v>
      </c>
      <c r="BM182" s="241">
        <f>INDEX(연료전지_원본!$A$4:$KY$369,MATCH($A182,연료전지_원본!$A$4:$A$369,0),MATCH($BM$4,연료전지_원본!$A$4:$KY$4,0))</f>
        <v>0</v>
      </c>
      <c r="BN182" s="241">
        <f>INDEX(연료전지_원본!$A$4:$KY$369,MATCH($A182,연료전지_원본!$A$4:$A$369,0),MATCH($BN$4,연료전지_원본!$A$4:$KY$4,0))</f>
        <v>0</v>
      </c>
      <c r="BO182" s="241">
        <f>INDEX(연료전지_원본!$A$4:$KY$369,MATCH($A182,연료전지_원본!$A$4:$A$369,0),MATCH($BO$4,연료전지_원본!$A$4:$KY$4,0))</f>
        <v>0</v>
      </c>
      <c r="BP182" s="241">
        <f>INDEX(연료전지_원본!$A$4:$KY$369,MATCH($A182,연료전지_원본!$A$4:$A$369,0),MATCH($BP$4,연료전지_원본!$A$4:$KY$4,0))</f>
        <v>0</v>
      </c>
      <c r="BQ182" s="241">
        <f>INDEX(연료전지_원본!$A$4:$KY$369,MATCH($A182,연료전지_원본!$A$4:$A$369,0),MATCH($BQ$4,연료전지_원본!$A$4:$KY$4,0))</f>
        <v>0</v>
      </c>
      <c r="BR182" s="241">
        <f>INDEX(연료전지_원본!$A$4:$KY$369,MATCH($A182,연료전지_원본!$A$4:$A$369,0),MATCH($BR$4,연료전지_원본!$A$4:$KY$4,0))</f>
        <v>0</v>
      </c>
      <c r="BS182" s="241">
        <f>INDEX(연료전지_원본!$A$4:$KY$369,MATCH($A182,연료전지_원본!$A$4:$A$369,0),MATCH($BS$4,연료전지_원본!$A$4:$KY$4,0))</f>
        <v>0</v>
      </c>
      <c r="BT182" s="241">
        <f>INDEX(연료전지_원본!$A$4:$KY$369,MATCH($A182,연료전지_원본!$A$4:$A$369,0),MATCH($BT$4,연료전지_원본!$A$4:$KY$4,0))</f>
        <v>0</v>
      </c>
      <c r="BU182" s="241">
        <f>INDEX(연료전지_원본!$A$4:$KY$369,MATCH($A182,연료전지_원본!$A$4:$A$369,0),MATCH($BU$4,연료전지_원본!$A$4:$KY$4,0))</f>
        <v>0</v>
      </c>
      <c r="BV182" s="241">
        <f>INDEX(연료전지_원본!$A$4:$KY$369,MATCH($A182,연료전지_원본!$A$4:$A$369,0),MATCH($BV$4,연료전지_원본!$A$4:$KY$4,0))</f>
        <v>0</v>
      </c>
      <c r="BW182" s="241">
        <f>INDEX(연료전지_원본!$A$4:$KY$369,MATCH($A182,연료전지_원본!$A$4:$A$369,0),MATCH($BW$4,연료전지_원본!$A$4:$KY$4,0))</f>
        <v>0</v>
      </c>
      <c r="BX182" s="241">
        <f>INDEX(연료전지_원본!$A$4:$KY$369,MATCH($A182,연료전지_원본!$A$4:$A$369,0),MATCH($BX$4,연료전지_원본!$A$4:$KY$4,0))</f>
        <v>0</v>
      </c>
      <c r="BY182" s="241">
        <f>INDEX(연료전지_원본!$A$4:$KY$369,MATCH($A182,연료전지_원본!$A$4:$A$369,0),MATCH($BY$4,연료전지_원본!$A$4:$KY$4,0))</f>
        <v>0</v>
      </c>
      <c r="BZ182" s="241">
        <f>INDEX(연료전지_원본!$A$4:$KY$369,MATCH($A182,연료전지_원본!$A$4:$A$369,0),MATCH($BZ$4,연료전지_원본!$A$4:$KY$4,0))</f>
        <v>0</v>
      </c>
      <c r="CA182" s="241">
        <f>INDEX(연료전지_원본!$A$4:$KY$369,MATCH($A182,연료전지_원본!$A$4:$A$369,0),MATCH($CA$4,연료전지_원본!$A$4:$KY$4,0))</f>
        <v>0</v>
      </c>
      <c r="CB182" s="241">
        <f>INDEX(연료전지_원본!$A$4:$KY$369,MATCH($A182,연료전지_원본!$A$4:$A$369,0),MATCH($CB$4,연료전지_원본!$A$4:$KY$4,0))</f>
        <v>0</v>
      </c>
      <c r="CC182" s="242">
        <f>INDEX(연료전지_원본!$A$4:$KY$369,MATCH($A182,연료전지_원본!$A$4:$A$369,0),MATCH($CC$4,연료전지_원본!$A$4:$KY$4,0))</f>
        <v>0</v>
      </c>
      <c r="CD182" s="250">
        <f>INDEX(연료전지_원본!$KB$4:$KX$369,MATCH($A182,연료전지_원본!$KB$4:$KB$369,0), MATCH(CD$4,연료전지_원본!$KB$4:$KX$4,0))*1000</f>
        <v>0</v>
      </c>
      <c r="CE182" s="250">
        <f>INDEX(연료전지_원본!$KB$4:$KX$369,MATCH($A182,연료전지_원본!$KB$4:$KB$369,0), MATCH(CE$4,연료전지_원본!$KB$4:$KX$4,0))*1000</f>
        <v>0</v>
      </c>
      <c r="CF182" s="250">
        <f>INDEX(연료전지_원본!$KB$4:$KX$369,MATCH($A182,연료전지_원본!$KB$4:$KB$369,0), MATCH(CF$4,연료전지_원본!$KB$4:$KX$4,0))*1000</f>
        <v>0</v>
      </c>
      <c r="CG182" s="250">
        <f>INDEX(연료전지_원본!$KB$4:$KX$369,MATCH($A182,연료전지_원본!$KB$4:$KB$369,0), MATCH(CG$4,연료전지_원본!$KB$4:$KX$4,0))*1000</f>
        <v>0</v>
      </c>
      <c r="CH182" s="250">
        <f>INDEX(연료전지_원본!$KB$4:$KX$369,MATCH($A182,연료전지_원본!$KB$4:$KB$369,0), MATCH(CH$4,연료전지_원본!$KB$4:$KX$4,0))*1000</f>
        <v>0</v>
      </c>
      <c r="CI182" s="250">
        <f>INDEX(연료전지_원본!$KB$4:$KX$369,MATCH($A182,연료전지_원본!$KB$4:$KB$369,0), MATCH(CI$4,연료전지_원본!$KB$4:$KX$4,0))*1000</f>
        <v>0</v>
      </c>
      <c r="CJ182" s="250">
        <f>INDEX(연료전지_원본!$KB$4:$KX$369,MATCH($A182,연료전지_원본!$KB$4:$KB$369,0), MATCH(CJ$4,연료전지_원본!$KB$4:$KX$4,0))*1000</f>
        <v>0</v>
      </c>
      <c r="CK182" s="250">
        <f>INDEX(연료전지_원본!$KB$4:$KX$369,MATCH($A182,연료전지_원본!$KB$4:$KB$369,0), MATCH(CK$4,연료전지_원본!$KB$4:$KX$4,0))*1000</f>
        <v>0</v>
      </c>
      <c r="CL182" s="250">
        <f>INDEX(연료전지_원본!$KB$4:$KX$369,MATCH($A182,연료전지_원본!$KB$4:$KB$369,0), MATCH(CL$4,연료전지_원본!$KB$4:$KX$4,0))*1000</f>
        <v>0</v>
      </c>
      <c r="CM182" s="250">
        <f>INDEX(연료전지_원본!$KB$4:$KX$369,MATCH($A182,연료전지_원본!$KB$4:$KB$369,0), MATCH(CM$4,연료전지_원본!$KB$4:$KX$4,0))*1000</f>
        <v>0</v>
      </c>
      <c r="CN182" s="250">
        <f>INDEX(연료전지_원본!$KB$4:$KX$369,MATCH($A182,연료전지_원본!$KB$4:$KB$369,0), MATCH(CN$4,연료전지_원본!$KB$4:$KX$4,0))*1000</f>
        <v>0</v>
      </c>
      <c r="CO182" s="250">
        <f>INDEX(연료전지_원본!$KB$4:$KX$369,MATCH($A182,연료전지_원본!$KB$4:$KB$369,0), MATCH(CO$4,연료전지_원본!$KB$4:$KX$4,0))*1000</f>
        <v>0</v>
      </c>
      <c r="CP182" s="250">
        <f>INDEX(연료전지_원본!$KB$4:$KX$369,MATCH($A182,연료전지_원본!$KB$4:$KB$369,0), MATCH(CP$4,연료전지_원본!$KB$4:$KX$4,0))*1000</f>
        <v>0</v>
      </c>
      <c r="CQ182" s="250">
        <f>INDEX(연료전지_원본!$KB$4:$KX$369,MATCH($A182,연료전지_원본!$KB$4:$KB$369,0), MATCH(CQ$4,연료전지_원본!$KB$4:$KX$4,0))*1000</f>
        <v>0</v>
      </c>
      <c r="CR182" s="250">
        <f>INDEX(연료전지_원본!$KB$4:$KX$369,MATCH($A182,연료전지_원본!$KB$4:$KB$369,0), MATCH(CR$4,연료전지_원본!$KB$4:$KX$4,0))*1000</f>
        <v>0</v>
      </c>
      <c r="CS182" s="250">
        <f>INDEX(연료전지_원본!$KB$4:$KX$369,MATCH($A182,연료전지_원본!$KB$4:$KB$369,0), MATCH(CS$4,연료전지_원본!$KB$4:$KX$4,0))*1000</f>
        <v>0</v>
      </c>
      <c r="CT182" s="250">
        <f>INDEX(연료전지_원본!$KB$4:$KX$369,MATCH($A182,연료전지_원본!$KB$4:$KB$369,0), MATCH(CT$4,연료전지_원본!$KB$4:$KX$4,0))*1000</f>
        <v>0</v>
      </c>
      <c r="CU182" s="250">
        <f>INDEX(연료전지_원본!$KB$4:$KX$369,MATCH($A182,연료전지_원본!$KB$4:$KB$369,0), MATCH(CU$4,연료전지_원본!$KB$4:$KX$4,0))*1000</f>
        <v>0</v>
      </c>
      <c r="CV182" s="250">
        <f>INDEX(연료전지_원본!$KB$4:$KX$369,MATCH($A182,연료전지_원본!$KB$4:$KB$369,0), MATCH(CV$4,연료전지_원본!$KB$4:$KX$4,0))*1000</f>
        <v>0</v>
      </c>
      <c r="CW182" s="250">
        <f>INDEX(연료전지_원본!$KB$4:$KX$369,MATCH($A182,연료전지_원본!$KB$4:$KB$369,0), MATCH(CW$4,연료전지_원본!$KB$4:$KX$4,0))*1000</f>
        <v>0</v>
      </c>
      <c r="CX182" s="250">
        <f>INDEX(연료전지_원본!$KB$4:$KX$369,MATCH($A182,연료전지_원본!$KB$4:$KB$369,0), MATCH(CX$4,연료전지_원본!$KB$4:$KX$4,0))*1000</f>
        <v>0</v>
      </c>
      <c r="CY182" s="250">
        <f>INDEX(연료전지_원본!$KB$4:$KX$369,MATCH($A182,연료전지_원본!$KB$4:$KB$369,0), MATCH(CY$4,연료전지_원본!$KB$4:$KX$4,0))*1000</f>
        <v>0</v>
      </c>
      <c r="DV182" s="30">
        <f t="shared" si="954"/>
        <v>0</v>
      </c>
    </row>
    <row r="183" spans="1:126">
      <c r="A183" s="6">
        <v>46200</v>
      </c>
      <c r="B183" s="15">
        <f>운전실적_원본!B183</f>
        <v>0</v>
      </c>
      <c r="C183" s="16" t="str">
        <f t="shared" si="960"/>
        <v/>
      </c>
      <c r="D183" s="12">
        <f>운전실적_원본!C183</f>
        <v>0</v>
      </c>
      <c r="E183" s="12" t="str">
        <f t="shared" si="961"/>
        <v/>
      </c>
      <c r="F183" s="12">
        <f>운전실적_원본!D183</f>
        <v>0</v>
      </c>
      <c r="G183" s="16" t="str">
        <f t="shared" si="962"/>
        <v/>
      </c>
      <c r="H183" s="15">
        <f>운전실적_원본!E183</f>
        <v>0</v>
      </c>
      <c r="I183" s="16" t="str">
        <f t="shared" si="963"/>
        <v/>
      </c>
      <c r="J183" s="15">
        <f>운전실적_원본!F183</f>
        <v>0</v>
      </c>
      <c r="K183" s="16" t="str">
        <f t="shared" si="963"/>
        <v/>
      </c>
      <c r="L183" s="32">
        <f>운전실적_원본!G183</f>
        <v>0</v>
      </c>
      <c r="M183" s="31" t="str">
        <f t="shared" ref="M183" si="1040">IF(OR(LEN(L183)=0,L183=0),"",L183-L182)</f>
        <v/>
      </c>
      <c r="N183" s="15">
        <f>운전실적_원본!H183</f>
        <v>0</v>
      </c>
      <c r="O183" s="16" t="str">
        <f t="shared" ref="O183" si="1041">IF(OR(LEN(N183)=0,N183=0),"",N183-N182)</f>
        <v/>
      </c>
      <c r="P183" s="15">
        <f>운전실적_원본!I183</f>
        <v>0</v>
      </c>
      <c r="Q183" s="16" t="str">
        <f t="shared" ref="Q183" si="1042">IF(OR(LEN(P183)=0,P183=0),"",P183-P182)</f>
        <v/>
      </c>
      <c r="R183" s="18">
        <f>운전실적_원본!J183</f>
        <v>0</v>
      </c>
      <c r="S183" s="19" t="str">
        <f t="shared" ref="S183" si="1043">IF(OR(LEN(R183)=0,R183=0),"",R183-R182)</f>
        <v/>
      </c>
      <c r="T183" s="18">
        <f>운전실적_원본!K183</f>
        <v>0</v>
      </c>
      <c r="U183" s="19" t="str">
        <f t="shared" si="968"/>
        <v/>
      </c>
      <c r="V183" s="12">
        <f>운전실적_원본!L183</f>
        <v>0</v>
      </c>
      <c r="W183" s="16" t="str">
        <f t="shared" ref="W183" si="1044">IF(OR(LEN(V183)=0,V183=0),"",V183-V182)</f>
        <v/>
      </c>
      <c r="X183" s="10">
        <f>운전실적_원본!M183</f>
        <v>0</v>
      </c>
      <c r="Y183" s="10">
        <f>운전실적_원본!N183</f>
        <v>0</v>
      </c>
      <c r="Z183" s="10">
        <f>운전실적_원본!O183</f>
        <v>0</v>
      </c>
      <c r="AA183" s="10">
        <f>운전실적_원본!P183</f>
        <v>0</v>
      </c>
      <c r="AB183" s="10">
        <f>운전실적_원본!Q183</f>
        <v>0</v>
      </c>
      <c r="AC183" s="20">
        <f>운전실적_원본!R183</f>
        <v>0</v>
      </c>
      <c r="AD183" s="109">
        <f>운전실적_원본!S183</f>
        <v>0</v>
      </c>
      <c r="AE183" s="110">
        <f>운전실적_원본!T183</f>
        <v>0</v>
      </c>
      <c r="AF183" s="110">
        <f>운전실적_원본!U183</f>
        <v>0</v>
      </c>
      <c r="AG183" s="110">
        <f>운전실적_원본!V183</f>
        <v>0</v>
      </c>
      <c r="AH183" s="109">
        <f t="shared" si="791"/>
        <v>0</v>
      </c>
      <c r="AI183" s="110">
        <f t="shared" si="798"/>
        <v>0</v>
      </c>
      <c r="AJ183" s="110">
        <f>운전실적_원본!Y183</f>
        <v>0</v>
      </c>
      <c r="AK183" s="110">
        <f>운전실적_원본!Z183</f>
        <v>0</v>
      </c>
      <c r="AL183" s="106"/>
      <c r="AM183" s="105"/>
      <c r="AN183" s="105"/>
      <c r="AO183" s="105"/>
      <c r="AP183" s="105"/>
      <c r="AQ183" s="108"/>
      <c r="AR183" s="105"/>
      <c r="AS183" s="105"/>
      <c r="AT183" s="102"/>
      <c r="AU183" s="102"/>
      <c r="AV183" s="102"/>
      <c r="AW183" s="102"/>
      <c r="AX183" s="32">
        <f>운전실적_원본!W183</f>
        <v>0</v>
      </c>
      <c r="AY183" s="11">
        <f>운전실적_원본!X183</f>
        <v>0</v>
      </c>
      <c r="AZ183" s="11">
        <f>운전실적_원본!Y183</f>
        <v>0</v>
      </c>
      <c r="BA183" s="11">
        <f>운전실적_원본!Z183</f>
        <v>0</v>
      </c>
      <c r="BB183" s="11">
        <f>운전실적_원본!AA183</f>
        <v>0</v>
      </c>
      <c r="BC183" s="11">
        <f>운전실적_원본!AB183</f>
        <v>0</v>
      </c>
      <c r="BD183" s="32" t="str">
        <f t="shared" si="784"/>
        <v>-</v>
      </c>
      <c r="BE183" s="11" t="str">
        <f t="shared" si="792"/>
        <v>-</v>
      </c>
      <c r="BF183" s="11">
        <f>운전실적_원본!AE183</f>
        <v>0</v>
      </c>
      <c r="BG183" s="31">
        <f t="shared" si="785"/>
        <v>0</v>
      </c>
      <c r="BH183" s="241">
        <f>INDEX(연료전지_원본!$A$4:$KY$369,MATCH($A183,연료전지_원본!$A$4:$A$369,0),MATCH($BH$4,연료전지_원본!$A$4:$KY$4,0))</f>
        <v>0</v>
      </c>
      <c r="BI183" s="241">
        <f>INDEX(연료전지_원본!$A$4:$KY$369,MATCH($A183,연료전지_원본!$A$4:$A$369,0),MATCH($BI$4,연료전지_원본!$A$4:$KY$4,0))</f>
        <v>0</v>
      </c>
      <c r="BJ183" s="241">
        <f>INDEX(연료전지_원본!$A$4:$KY$369,MATCH($A183,연료전지_원본!$A$4:$A$369,0),MATCH($BJ$4,연료전지_원본!$A$4:$KY$4,0))</f>
        <v>0</v>
      </c>
      <c r="BK183" s="241">
        <f>INDEX(연료전지_원본!$A$4:$KY$369,MATCH($A183,연료전지_원본!$A$4:$A$369,0),MATCH($BK$4,연료전지_원본!$A$4:$KY$4,0))</f>
        <v>0</v>
      </c>
      <c r="BL183" s="241">
        <f>INDEX(연료전지_원본!$A$4:$KY$369,MATCH($A183,연료전지_원본!$A$4:$A$369,0),MATCH($BL$4,연료전지_원본!$A$4:$KY$4,0))</f>
        <v>0</v>
      </c>
      <c r="BM183" s="241">
        <f>INDEX(연료전지_원본!$A$4:$KY$369,MATCH($A183,연료전지_원본!$A$4:$A$369,0),MATCH($BM$4,연료전지_원본!$A$4:$KY$4,0))</f>
        <v>0</v>
      </c>
      <c r="BN183" s="241">
        <f>INDEX(연료전지_원본!$A$4:$KY$369,MATCH($A183,연료전지_원본!$A$4:$A$369,0),MATCH($BN$4,연료전지_원본!$A$4:$KY$4,0))</f>
        <v>0</v>
      </c>
      <c r="BO183" s="241">
        <f>INDEX(연료전지_원본!$A$4:$KY$369,MATCH($A183,연료전지_원본!$A$4:$A$369,0),MATCH($BO$4,연료전지_원본!$A$4:$KY$4,0))</f>
        <v>0</v>
      </c>
      <c r="BP183" s="241">
        <f>INDEX(연료전지_원본!$A$4:$KY$369,MATCH($A183,연료전지_원본!$A$4:$A$369,0),MATCH($BP$4,연료전지_원본!$A$4:$KY$4,0))</f>
        <v>0</v>
      </c>
      <c r="BQ183" s="241">
        <f>INDEX(연료전지_원본!$A$4:$KY$369,MATCH($A183,연료전지_원본!$A$4:$A$369,0),MATCH($BQ$4,연료전지_원본!$A$4:$KY$4,0))</f>
        <v>0</v>
      </c>
      <c r="BR183" s="241">
        <f>INDEX(연료전지_원본!$A$4:$KY$369,MATCH($A183,연료전지_원본!$A$4:$A$369,0),MATCH($BR$4,연료전지_원본!$A$4:$KY$4,0))</f>
        <v>0</v>
      </c>
      <c r="BS183" s="241">
        <f>INDEX(연료전지_원본!$A$4:$KY$369,MATCH($A183,연료전지_원본!$A$4:$A$369,0),MATCH($BS$4,연료전지_원본!$A$4:$KY$4,0))</f>
        <v>0</v>
      </c>
      <c r="BT183" s="241">
        <f>INDEX(연료전지_원본!$A$4:$KY$369,MATCH($A183,연료전지_원본!$A$4:$A$369,0),MATCH($BT$4,연료전지_원본!$A$4:$KY$4,0))</f>
        <v>0</v>
      </c>
      <c r="BU183" s="241">
        <f>INDEX(연료전지_원본!$A$4:$KY$369,MATCH($A183,연료전지_원본!$A$4:$A$369,0),MATCH($BU$4,연료전지_원본!$A$4:$KY$4,0))</f>
        <v>0</v>
      </c>
      <c r="BV183" s="241">
        <f>INDEX(연료전지_원본!$A$4:$KY$369,MATCH($A183,연료전지_원본!$A$4:$A$369,0),MATCH($BV$4,연료전지_원본!$A$4:$KY$4,0))</f>
        <v>0</v>
      </c>
      <c r="BW183" s="241">
        <f>INDEX(연료전지_원본!$A$4:$KY$369,MATCH($A183,연료전지_원본!$A$4:$A$369,0),MATCH($BW$4,연료전지_원본!$A$4:$KY$4,0))</f>
        <v>0</v>
      </c>
      <c r="BX183" s="241">
        <f>INDEX(연료전지_원본!$A$4:$KY$369,MATCH($A183,연료전지_원본!$A$4:$A$369,0),MATCH($BX$4,연료전지_원본!$A$4:$KY$4,0))</f>
        <v>0</v>
      </c>
      <c r="BY183" s="241">
        <f>INDEX(연료전지_원본!$A$4:$KY$369,MATCH($A183,연료전지_원본!$A$4:$A$369,0),MATCH($BY$4,연료전지_원본!$A$4:$KY$4,0))</f>
        <v>0</v>
      </c>
      <c r="BZ183" s="241">
        <f>INDEX(연료전지_원본!$A$4:$KY$369,MATCH($A183,연료전지_원본!$A$4:$A$369,0),MATCH($BZ$4,연료전지_원본!$A$4:$KY$4,0))</f>
        <v>0</v>
      </c>
      <c r="CA183" s="241">
        <f>INDEX(연료전지_원본!$A$4:$KY$369,MATCH($A183,연료전지_원본!$A$4:$A$369,0),MATCH($CA$4,연료전지_원본!$A$4:$KY$4,0))</f>
        <v>0</v>
      </c>
      <c r="CB183" s="241">
        <f>INDEX(연료전지_원본!$A$4:$KY$369,MATCH($A183,연료전지_원본!$A$4:$A$369,0),MATCH($CB$4,연료전지_원본!$A$4:$KY$4,0))</f>
        <v>0</v>
      </c>
      <c r="CC183" s="242">
        <f>INDEX(연료전지_원본!$A$4:$KY$369,MATCH($A183,연료전지_원본!$A$4:$A$369,0),MATCH($CC$4,연료전지_원본!$A$4:$KY$4,0))</f>
        <v>0</v>
      </c>
      <c r="CD183" s="250">
        <f>INDEX(연료전지_원본!$KB$4:$KX$369,MATCH($A183,연료전지_원본!$KB$4:$KB$369,0), MATCH(CD$4,연료전지_원본!$KB$4:$KX$4,0))*1000</f>
        <v>0</v>
      </c>
      <c r="CE183" s="250">
        <f>INDEX(연료전지_원본!$KB$4:$KX$369,MATCH($A183,연료전지_원본!$KB$4:$KB$369,0), MATCH(CE$4,연료전지_원본!$KB$4:$KX$4,0))*1000</f>
        <v>0</v>
      </c>
      <c r="CF183" s="250">
        <f>INDEX(연료전지_원본!$KB$4:$KX$369,MATCH($A183,연료전지_원본!$KB$4:$KB$369,0), MATCH(CF$4,연료전지_원본!$KB$4:$KX$4,0))*1000</f>
        <v>0</v>
      </c>
      <c r="CG183" s="250">
        <f>INDEX(연료전지_원본!$KB$4:$KX$369,MATCH($A183,연료전지_원본!$KB$4:$KB$369,0), MATCH(CG$4,연료전지_원본!$KB$4:$KX$4,0))*1000</f>
        <v>0</v>
      </c>
      <c r="CH183" s="250">
        <f>INDEX(연료전지_원본!$KB$4:$KX$369,MATCH($A183,연료전지_원본!$KB$4:$KB$369,0), MATCH(CH$4,연료전지_원본!$KB$4:$KX$4,0))*1000</f>
        <v>0</v>
      </c>
      <c r="CI183" s="250">
        <f>INDEX(연료전지_원본!$KB$4:$KX$369,MATCH($A183,연료전지_원본!$KB$4:$KB$369,0), MATCH(CI$4,연료전지_원본!$KB$4:$KX$4,0))*1000</f>
        <v>0</v>
      </c>
      <c r="CJ183" s="250">
        <f>INDEX(연료전지_원본!$KB$4:$KX$369,MATCH($A183,연료전지_원본!$KB$4:$KB$369,0), MATCH(CJ$4,연료전지_원본!$KB$4:$KX$4,0))*1000</f>
        <v>0</v>
      </c>
      <c r="CK183" s="250">
        <f>INDEX(연료전지_원본!$KB$4:$KX$369,MATCH($A183,연료전지_원본!$KB$4:$KB$369,0), MATCH(CK$4,연료전지_원본!$KB$4:$KX$4,0))*1000</f>
        <v>0</v>
      </c>
      <c r="CL183" s="250">
        <f>INDEX(연료전지_원본!$KB$4:$KX$369,MATCH($A183,연료전지_원본!$KB$4:$KB$369,0), MATCH(CL$4,연료전지_원본!$KB$4:$KX$4,0))*1000</f>
        <v>0</v>
      </c>
      <c r="CM183" s="250">
        <f>INDEX(연료전지_원본!$KB$4:$KX$369,MATCH($A183,연료전지_원본!$KB$4:$KB$369,0), MATCH(CM$4,연료전지_원본!$KB$4:$KX$4,0))*1000</f>
        <v>0</v>
      </c>
      <c r="CN183" s="250">
        <f>INDEX(연료전지_원본!$KB$4:$KX$369,MATCH($A183,연료전지_원본!$KB$4:$KB$369,0), MATCH(CN$4,연료전지_원본!$KB$4:$KX$4,0))*1000</f>
        <v>0</v>
      </c>
      <c r="CO183" s="250">
        <f>INDEX(연료전지_원본!$KB$4:$KX$369,MATCH($A183,연료전지_원본!$KB$4:$KB$369,0), MATCH(CO$4,연료전지_원본!$KB$4:$KX$4,0))*1000</f>
        <v>0</v>
      </c>
      <c r="CP183" s="250">
        <f>INDEX(연료전지_원본!$KB$4:$KX$369,MATCH($A183,연료전지_원본!$KB$4:$KB$369,0), MATCH(CP$4,연료전지_원본!$KB$4:$KX$4,0))*1000</f>
        <v>0</v>
      </c>
      <c r="CQ183" s="250">
        <f>INDEX(연료전지_원본!$KB$4:$KX$369,MATCH($A183,연료전지_원본!$KB$4:$KB$369,0), MATCH(CQ$4,연료전지_원본!$KB$4:$KX$4,0))*1000</f>
        <v>0</v>
      </c>
      <c r="CR183" s="250">
        <f>INDEX(연료전지_원본!$KB$4:$KX$369,MATCH($A183,연료전지_원본!$KB$4:$KB$369,0), MATCH(CR$4,연료전지_원본!$KB$4:$KX$4,0))*1000</f>
        <v>0</v>
      </c>
      <c r="CS183" s="250">
        <f>INDEX(연료전지_원본!$KB$4:$KX$369,MATCH($A183,연료전지_원본!$KB$4:$KB$369,0), MATCH(CS$4,연료전지_원본!$KB$4:$KX$4,0))*1000</f>
        <v>0</v>
      </c>
      <c r="CT183" s="250">
        <f>INDEX(연료전지_원본!$KB$4:$KX$369,MATCH($A183,연료전지_원본!$KB$4:$KB$369,0), MATCH(CT$4,연료전지_원본!$KB$4:$KX$4,0))*1000</f>
        <v>0</v>
      </c>
      <c r="CU183" s="250">
        <f>INDEX(연료전지_원본!$KB$4:$KX$369,MATCH($A183,연료전지_원본!$KB$4:$KB$369,0), MATCH(CU$4,연료전지_원본!$KB$4:$KX$4,0))*1000</f>
        <v>0</v>
      </c>
      <c r="CV183" s="250">
        <f>INDEX(연료전지_원본!$KB$4:$KX$369,MATCH($A183,연료전지_원본!$KB$4:$KB$369,0), MATCH(CV$4,연료전지_원본!$KB$4:$KX$4,0))*1000</f>
        <v>0</v>
      </c>
      <c r="CW183" s="250">
        <f>INDEX(연료전지_원본!$KB$4:$KX$369,MATCH($A183,연료전지_원본!$KB$4:$KB$369,0), MATCH(CW$4,연료전지_원본!$KB$4:$KX$4,0))*1000</f>
        <v>0</v>
      </c>
      <c r="CX183" s="250">
        <f>INDEX(연료전지_원본!$KB$4:$KX$369,MATCH($A183,연료전지_원본!$KB$4:$KB$369,0), MATCH(CX$4,연료전지_원본!$KB$4:$KX$4,0))*1000</f>
        <v>0</v>
      </c>
      <c r="CY183" s="250">
        <f>INDEX(연료전지_원본!$KB$4:$KX$369,MATCH($A183,연료전지_원본!$KB$4:$KB$369,0), MATCH(CY$4,연료전지_원본!$KB$4:$KX$4,0))*1000</f>
        <v>0</v>
      </c>
      <c r="DV183" s="30">
        <f t="shared" si="954"/>
        <v>0</v>
      </c>
    </row>
    <row r="184" spans="1:126">
      <c r="A184" s="6">
        <v>46201</v>
      </c>
      <c r="B184" s="15">
        <f>운전실적_원본!B184</f>
        <v>0</v>
      </c>
      <c r="C184" s="16" t="str">
        <f t="shared" si="960"/>
        <v/>
      </c>
      <c r="D184" s="12">
        <f>운전실적_원본!C184</f>
        <v>0</v>
      </c>
      <c r="E184" s="12" t="str">
        <f t="shared" si="961"/>
        <v/>
      </c>
      <c r="F184" s="12">
        <f>운전실적_원본!D184</f>
        <v>0</v>
      </c>
      <c r="G184" s="16" t="str">
        <f t="shared" si="962"/>
        <v/>
      </c>
      <c r="H184" s="15">
        <f>운전실적_원본!E184</f>
        <v>0</v>
      </c>
      <c r="I184" s="16" t="str">
        <f t="shared" si="963"/>
        <v/>
      </c>
      <c r="J184" s="15">
        <f>운전실적_원본!F184</f>
        <v>0</v>
      </c>
      <c r="K184" s="16" t="str">
        <f t="shared" si="963"/>
        <v/>
      </c>
      <c r="L184" s="32">
        <f>운전실적_원본!G184</f>
        <v>0</v>
      </c>
      <c r="M184" s="31" t="str">
        <f t="shared" ref="M184" si="1045">IF(OR(LEN(L184)=0,L184=0),"",L184-L183)</f>
        <v/>
      </c>
      <c r="N184" s="15">
        <f>운전실적_원본!H184</f>
        <v>0</v>
      </c>
      <c r="O184" s="16" t="str">
        <f t="shared" ref="O184" si="1046">IF(OR(LEN(N184)=0,N184=0),"",N184-N183)</f>
        <v/>
      </c>
      <c r="P184" s="15">
        <f>운전실적_원본!I184</f>
        <v>0</v>
      </c>
      <c r="Q184" s="16" t="str">
        <f t="shared" ref="Q184" si="1047">IF(OR(LEN(P184)=0,P184=0),"",P184-P183)</f>
        <v/>
      </c>
      <c r="R184" s="18">
        <f>운전실적_원본!J184</f>
        <v>0</v>
      </c>
      <c r="S184" s="19" t="str">
        <f t="shared" ref="S184" si="1048">IF(OR(LEN(R184)=0,R184=0),"",R184-R183)</f>
        <v/>
      </c>
      <c r="T184" s="18">
        <f>운전실적_원본!K184</f>
        <v>0</v>
      </c>
      <c r="U184" s="19" t="str">
        <f t="shared" si="968"/>
        <v/>
      </c>
      <c r="V184" s="12">
        <f>운전실적_원본!L184</f>
        <v>0</v>
      </c>
      <c r="W184" s="16" t="str">
        <f t="shared" ref="W184" si="1049">IF(OR(LEN(V184)=0,V184=0),"",V184-V183)</f>
        <v/>
      </c>
      <c r="X184" s="10">
        <f>운전실적_원본!M184</f>
        <v>0</v>
      </c>
      <c r="Y184" s="10">
        <f>운전실적_원본!N184</f>
        <v>0</v>
      </c>
      <c r="Z184" s="10">
        <f>운전실적_원본!O184</f>
        <v>0</v>
      </c>
      <c r="AA184" s="10">
        <f>운전실적_원본!P184</f>
        <v>0</v>
      </c>
      <c r="AB184" s="10">
        <f>운전실적_원본!Q184</f>
        <v>0</v>
      </c>
      <c r="AC184" s="20">
        <f>운전실적_원본!R184</f>
        <v>0</v>
      </c>
      <c r="AD184" s="109">
        <f>운전실적_원본!S184</f>
        <v>0</v>
      </c>
      <c r="AE184" s="110">
        <f>운전실적_원본!T184</f>
        <v>0</v>
      </c>
      <c r="AF184" s="110">
        <f>운전실적_원본!U184</f>
        <v>0</v>
      </c>
      <c r="AG184" s="110">
        <f>운전실적_원본!V184</f>
        <v>0</v>
      </c>
      <c r="AH184" s="109">
        <f t="shared" si="791"/>
        <v>0</v>
      </c>
      <c r="AI184" s="110">
        <f t="shared" si="798"/>
        <v>0</v>
      </c>
      <c r="AJ184" s="110">
        <f>운전실적_원본!Y184</f>
        <v>0</v>
      </c>
      <c r="AK184" s="110">
        <f>운전실적_원본!Z184</f>
        <v>0</v>
      </c>
      <c r="AL184" s="106"/>
      <c r="AM184" s="105"/>
      <c r="AN184" s="105"/>
      <c r="AO184" s="105"/>
      <c r="AP184" s="105"/>
      <c r="AQ184" s="108"/>
      <c r="AR184" s="105"/>
      <c r="AS184" s="105"/>
      <c r="AT184" s="102"/>
      <c r="AU184" s="102"/>
      <c r="AV184" s="102"/>
      <c r="AW184" s="102"/>
      <c r="AX184" s="32">
        <f>운전실적_원본!W184</f>
        <v>0</v>
      </c>
      <c r="AY184" s="11">
        <f>운전실적_원본!X184</f>
        <v>0</v>
      </c>
      <c r="AZ184" s="11">
        <f>운전실적_원본!Y184</f>
        <v>0</v>
      </c>
      <c r="BA184" s="11">
        <f>운전실적_원본!Z184</f>
        <v>0</v>
      </c>
      <c r="BB184" s="11">
        <f>운전실적_원본!AA184</f>
        <v>0</v>
      </c>
      <c r="BC184" s="11">
        <f>운전실적_원본!AB184</f>
        <v>0</v>
      </c>
      <c r="BD184" s="32" t="str">
        <f t="shared" si="784"/>
        <v>-</v>
      </c>
      <c r="BE184" s="11" t="str">
        <f t="shared" si="792"/>
        <v>-</v>
      </c>
      <c r="BF184" s="11">
        <f>운전실적_원본!AE184</f>
        <v>0</v>
      </c>
      <c r="BG184" s="31">
        <f t="shared" si="785"/>
        <v>0</v>
      </c>
      <c r="BH184" s="241">
        <f>INDEX(연료전지_원본!$A$4:$KY$369,MATCH($A184,연료전지_원본!$A$4:$A$369,0),MATCH($BH$4,연료전지_원본!$A$4:$KY$4,0))</f>
        <v>0</v>
      </c>
      <c r="BI184" s="241">
        <f>INDEX(연료전지_원본!$A$4:$KY$369,MATCH($A184,연료전지_원본!$A$4:$A$369,0),MATCH($BI$4,연료전지_원본!$A$4:$KY$4,0))</f>
        <v>0</v>
      </c>
      <c r="BJ184" s="241">
        <f>INDEX(연료전지_원본!$A$4:$KY$369,MATCH($A184,연료전지_원본!$A$4:$A$369,0),MATCH($BJ$4,연료전지_원본!$A$4:$KY$4,0))</f>
        <v>0</v>
      </c>
      <c r="BK184" s="241">
        <f>INDEX(연료전지_원본!$A$4:$KY$369,MATCH($A184,연료전지_원본!$A$4:$A$369,0),MATCH($BK$4,연료전지_원본!$A$4:$KY$4,0))</f>
        <v>0</v>
      </c>
      <c r="BL184" s="241">
        <f>INDEX(연료전지_원본!$A$4:$KY$369,MATCH($A184,연료전지_원본!$A$4:$A$369,0),MATCH($BL$4,연료전지_원본!$A$4:$KY$4,0))</f>
        <v>0</v>
      </c>
      <c r="BM184" s="241">
        <f>INDEX(연료전지_원본!$A$4:$KY$369,MATCH($A184,연료전지_원본!$A$4:$A$369,0),MATCH($BM$4,연료전지_원본!$A$4:$KY$4,0))</f>
        <v>0</v>
      </c>
      <c r="BN184" s="241">
        <f>INDEX(연료전지_원본!$A$4:$KY$369,MATCH($A184,연료전지_원본!$A$4:$A$369,0),MATCH($BN$4,연료전지_원본!$A$4:$KY$4,0))</f>
        <v>0</v>
      </c>
      <c r="BO184" s="241">
        <f>INDEX(연료전지_원본!$A$4:$KY$369,MATCH($A184,연료전지_원본!$A$4:$A$369,0),MATCH($BO$4,연료전지_원본!$A$4:$KY$4,0))</f>
        <v>0</v>
      </c>
      <c r="BP184" s="241">
        <f>INDEX(연료전지_원본!$A$4:$KY$369,MATCH($A184,연료전지_원본!$A$4:$A$369,0),MATCH($BP$4,연료전지_원본!$A$4:$KY$4,0))</f>
        <v>0</v>
      </c>
      <c r="BQ184" s="241">
        <f>INDEX(연료전지_원본!$A$4:$KY$369,MATCH($A184,연료전지_원본!$A$4:$A$369,0),MATCH($BQ$4,연료전지_원본!$A$4:$KY$4,0))</f>
        <v>0</v>
      </c>
      <c r="BR184" s="241">
        <f>INDEX(연료전지_원본!$A$4:$KY$369,MATCH($A184,연료전지_원본!$A$4:$A$369,0),MATCH($BR$4,연료전지_원본!$A$4:$KY$4,0))</f>
        <v>0</v>
      </c>
      <c r="BS184" s="241">
        <f>INDEX(연료전지_원본!$A$4:$KY$369,MATCH($A184,연료전지_원본!$A$4:$A$369,0),MATCH($BS$4,연료전지_원본!$A$4:$KY$4,0))</f>
        <v>0</v>
      </c>
      <c r="BT184" s="241">
        <f>INDEX(연료전지_원본!$A$4:$KY$369,MATCH($A184,연료전지_원본!$A$4:$A$369,0),MATCH($BT$4,연료전지_원본!$A$4:$KY$4,0))</f>
        <v>0</v>
      </c>
      <c r="BU184" s="241">
        <f>INDEX(연료전지_원본!$A$4:$KY$369,MATCH($A184,연료전지_원본!$A$4:$A$369,0),MATCH($BU$4,연료전지_원본!$A$4:$KY$4,0))</f>
        <v>0</v>
      </c>
      <c r="BV184" s="241">
        <f>INDEX(연료전지_원본!$A$4:$KY$369,MATCH($A184,연료전지_원본!$A$4:$A$369,0),MATCH($BV$4,연료전지_원본!$A$4:$KY$4,0))</f>
        <v>0</v>
      </c>
      <c r="BW184" s="241">
        <f>INDEX(연료전지_원본!$A$4:$KY$369,MATCH($A184,연료전지_원본!$A$4:$A$369,0),MATCH($BW$4,연료전지_원본!$A$4:$KY$4,0))</f>
        <v>0</v>
      </c>
      <c r="BX184" s="241">
        <f>INDEX(연료전지_원본!$A$4:$KY$369,MATCH($A184,연료전지_원본!$A$4:$A$369,0),MATCH($BX$4,연료전지_원본!$A$4:$KY$4,0))</f>
        <v>0</v>
      </c>
      <c r="BY184" s="241">
        <f>INDEX(연료전지_원본!$A$4:$KY$369,MATCH($A184,연료전지_원본!$A$4:$A$369,0),MATCH($BY$4,연료전지_원본!$A$4:$KY$4,0))</f>
        <v>0</v>
      </c>
      <c r="BZ184" s="241">
        <f>INDEX(연료전지_원본!$A$4:$KY$369,MATCH($A184,연료전지_원본!$A$4:$A$369,0),MATCH($BZ$4,연료전지_원본!$A$4:$KY$4,0))</f>
        <v>0</v>
      </c>
      <c r="CA184" s="241">
        <f>INDEX(연료전지_원본!$A$4:$KY$369,MATCH($A184,연료전지_원본!$A$4:$A$369,0),MATCH($CA$4,연료전지_원본!$A$4:$KY$4,0))</f>
        <v>0</v>
      </c>
      <c r="CB184" s="241">
        <f>INDEX(연료전지_원본!$A$4:$KY$369,MATCH($A184,연료전지_원본!$A$4:$A$369,0),MATCH($CB$4,연료전지_원본!$A$4:$KY$4,0))</f>
        <v>0</v>
      </c>
      <c r="CC184" s="242">
        <f>INDEX(연료전지_원본!$A$4:$KY$369,MATCH($A184,연료전지_원본!$A$4:$A$369,0),MATCH($CC$4,연료전지_원본!$A$4:$KY$4,0))</f>
        <v>0</v>
      </c>
      <c r="CD184" s="250">
        <f>INDEX(연료전지_원본!$KB$4:$KX$369,MATCH($A184,연료전지_원본!$KB$4:$KB$369,0), MATCH(CD$4,연료전지_원본!$KB$4:$KX$4,0))*1000</f>
        <v>0</v>
      </c>
      <c r="CE184" s="250">
        <f>INDEX(연료전지_원본!$KB$4:$KX$369,MATCH($A184,연료전지_원본!$KB$4:$KB$369,0), MATCH(CE$4,연료전지_원본!$KB$4:$KX$4,0))*1000</f>
        <v>0</v>
      </c>
      <c r="CF184" s="250">
        <f>INDEX(연료전지_원본!$KB$4:$KX$369,MATCH($A184,연료전지_원본!$KB$4:$KB$369,0), MATCH(CF$4,연료전지_원본!$KB$4:$KX$4,0))*1000</f>
        <v>0</v>
      </c>
      <c r="CG184" s="250">
        <f>INDEX(연료전지_원본!$KB$4:$KX$369,MATCH($A184,연료전지_원본!$KB$4:$KB$369,0), MATCH(CG$4,연료전지_원본!$KB$4:$KX$4,0))*1000</f>
        <v>0</v>
      </c>
      <c r="CH184" s="250">
        <f>INDEX(연료전지_원본!$KB$4:$KX$369,MATCH($A184,연료전지_원본!$KB$4:$KB$369,0), MATCH(CH$4,연료전지_원본!$KB$4:$KX$4,0))*1000</f>
        <v>0</v>
      </c>
      <c r="CI184" s="250">
        <f>INDEX(연료전지_원본!$KB$4:$KX$369,MATCH($A184,연료전지_원본!$KB$4:$KB$369,0), MATCH(CI$4,연료전지_원본!$KB$4:$KX$4,0))*1000</f>
        <v>0</v>
      </c>
      <c r="CJ184" s="250">
        <f>INDEX(연료전지_원본!$KB$4:$KX$369,MATCH($A184,연료전지_원본!$KB$4:$KB$369,0), MATCH(CJ$4,연료전지_원본!$KB$4:$KX$4,0))*1000</f>
        <v>0</v>
      </c>
      <c r="CK184" s="250">
        <f>INDEX(연료전지_원본!$KB$4:$KX$369,MATCH($A184,연료전지_원본!$KB$4:$KB$369,0), MATCH(CK$4,연료전지_원본!$KB$4:$KX$4,0))*1000</f>
        <v>0</v>
      </c>
      <c r="CL184" s="250">
        <f>INDEX(연료전지_원본!$KB$4:$KX$369,MATCH($A184,연료전지_원본!$KB$4:$KB$369,0), MATCH(CL$4,연료전지_원본!$KB$4:$KX$4,0))*1000</f>
        <v>0</v>
      </c>
      <c r="CM184" s="250">
        <f>INDEX(연료전지_원본!$KB$4:$KX$369,MATCH($A184,연료전지_원본!$KB$4:$KB$369,0), MATCH(CM$4,연료전지_원본!$KB$4:$KX$4,0))*1000</f>
        <v>0</v>
      </c>
      <c r="CN184" s="250">
        <f>INDEX(연료전지_원본!$KB$4:$KX$369,MATCH($A184,연료전지_원본!$KB$4:$KB$369,0), MATCH(CN$4,연료전지_원본!$KB$4:$KX$4,0))*1000</f>
        <v>0</v>
      </c>
      <c r="CO184" s="250">
        <f>INDEX(연료전지_원본!$KB$4:$KX$369,MATCH($A184,연료전지_원본!$KB$4:$KB$369,0), MATCH(CO$4,연료전지_원본!$KB$4:$KX$4,0))*1000</f>
        <v>0</v>
      </c>
      <c r="CP184" s="250">
        <f>INDEX(연료전지_원본!$KB$4:$KX$369,MATCH($A184,연료전지_원본!$KB$4:$KB$369,0), MATCH(CP$4,연료전지_원본!$KB$4:$KX$4,0))*1000</f>
        <v>0</v>
      </c>
      <c r="CQ184" s="250">
        <f>INDEX(연료전지_원본!$KB$4:$KX$369,MATCH($A184,연료전지_원본!$KB$4:$KB$369,0), MATCH(CQ$4,연료전지_원본!$KB$4:$KX$4,0))*1000</f>
        <v>0</v>
      </c>
      <c r="CR184" s="250">
        <f>INDEX(연료전지_원본!$KB$4:$KX$369,MATCH($A184,연료전지_원본!$KB$4:$KB$369,0), MATCH(CR$4,연료전지_원본!$KB$4:$KX$4,0))*1000</f>
        <v>0</v>
      </c>
      <c r="CS184" s="250">
        <f>INDEX(연료전지_원본!$KB$4:$KX$369,MATCH($A184,연료전지_원본!$KB$4:$KB$369,0), MATCH(CS$4,연료전지_원본!$KB$4:$KX$4,0))*1000</f>
        <v>0</v>
      </c>
      <c r="CT184" s="250">
        <f>INDEX(연료전지_원본!$KB$4:$KX$369,MATCH($A184,연료전지_원본!$KB$4:$KB$369,0), MATCH(CT$4,연료전지_원본!$KB$4:$KX$4,0))*1000</f>
        <v>0</v>
      </c>
      <c r="CU184" s="250">
        <f>INDEX(연료전지_원본!$KB$4:$KX$369,MATCH($A184,연료전지_원본!$KB$4:$KB$369,0), MATCH(CU$4,연료전지_원본!$KB$4:$KX$4,0))*1000</f>
        <v>0</v>
      </c>
      <c r="CV184" s="250">
        <f>INDEX(연료전지_원본!$KB$4:$KX$369,MATCH($A184,연료전지_원본!$KB$4:$KB$369,0), MATCH(CV$4,연료전지_원본!$KB$4:$KX$4,0))*1000</f>
        <v>0</v>
      </c>
      <c r="CW184" s="250">
        <f>INDEX(연료전지_원본!$KB$4:$KX$369,MATCH($A184,연료전지_원본!$KB$4:$KB$369,0), MATCH(CW$4,연료전지_원본!$KB$4:$KX$4,0))*1000</f>
        <v>0</v>
      </c>
      <c r="CX184" s="250">
        <f>INDEX(연료전지_원본!$KB$4:$KX$369,MATCH($A184,연료전지_원본!$KB$4:$KB$369,0), MATCH(CX$4,연료전지_원본!$KB$4:$KX$4,0))*1000</f>
        <v>0</v>
      </c>
      <c r="CY184" s="250">
        <f>INDEX(연료전지_원본!$KB$4:$KX$369,MATCH($A184,연료전지_원본!$KB$4:$KB$369,0), MATCH(CY$4,연료전지_원본!$KB$4:$KX$4,0))*1000</f>
        <v>0</v>
      </c>
      <c r="DV184" s="30">
        <f t="shared" si="954"/>
        <v>0</v>
      </c>
    </row>
    <row r="185" spans="1:126">
      <c r="A185" s="6">
        <v>46202</v>
      </c>
      <c r="B185" s="15">
        <f>운전실적_원본!B185</f>
        <v>0</v>
      </c>
      <c r="C185" s="16" t="str">
        <f t="shared" si="960"/>
        <v/>
      </c>
      <c r="D185" s="12">
        <f>운전실적_원본!C185</f>
        <v>0</v>
      </c>
      <c r="E185" s="12" t="str">
        <f t="shared" si="961"/>
        <v/>
      </c>
      <c r="F185" s="12">
        <f>운전실적_원본!D185</f>
        <v>0</v>
      </c>
      <c r="G185" s="16" t="str">
        <f t="shared" si="962"/>
        <v/>
      </c>
      <c r="H185" s="15">
        <f>운전실적_원본!E185</f>
        <v>0</v>
      </c>
      <c r="I185" s="16" t="str">
        <f t="shared" si="963"/>
        <v/>
      </c>
      <c r="J185" s="15">
        <f>운전실적_원본!F185</f>
        <v>0</v>
      </c>
      <c r="K185" s="16" t="str">
        <f t="shared" si="963"/>
        <v/>
      </c>
      <c r="L185" s="32">
        <f>운전실적_원본!G185</f>
        <v>0</v>
      </c>
      <c r="M185" s="31" t="str">
        <f t="shared" ref="M185" si="1050">IF(OR(LEN(L185)=0,L185=0),"",L185-L184)</f>
        <v/>
      </c>
      <c r="N185" s="15">
        <f>운전실적_원본!H185</f>
        <v>0</v>
      </c>
      <c r="O185" s="16" t="str">
        <f t="shared" ref="O185" si="1051">IF(OR(LEN(N185)=0,N185=0),"",N185-N184)</f>
        <v/>
      </c>
      <c r="P185" s="15">
        <f>운전실적_원본!I185</f>
        <v>0</v>
      </c>
      <c r="Q185" s="16" t="str">
        <f t="shared" ref="Q185" si="1052">IF(OR(LEN(P185)=0,P185=0),"",P185-P184)</f>
        <v/>
      </c>
      <c r="R185" s="18">
        <f>운전실적_원본!J185</f>
        <v>0</v>
      </c>
      <c r="S185" s="19" t="str">
        <f t="shared" ref="S185" si="1053">IF(OR(LEN(R185)=0,R185=0),"",R185-R184)</f>
        <v/>
      </c>
      <c r="T185" s="18">
        <f>운전실적_원본!K185</f>
        <v>0</v>
      </c>
      <c r="U185" s="19" t="str">
        <f t="shared" si="968"/>
        <v/>
      </c>
      <c r="V185" s="12">
        <f>운전실적_원본!L185</f>
        <v>0</v>
      </c>
      <c r="W185" s="16" t="str">
        <f t="shared" ref="W185" si="1054">IF(OR(LEN(V185)=0,V185=0),"",V185-V184)</f>
        <v/>
      </c>
      <c r="X185" s="10">
        <f>운전실적_원본!M185</f>
        <v>0</v>
      </c>
      <c r="Y185" s="10">
        <f>운전실적_원본!N185</f>
        <v>0</v>
      </c>
      <c r="Z185" s="10">
        <f>운전실적_원본!O185</f>
        <v>0</v>
      </c>
      <c r="AA185" s="10">
        <f>운전실적_원본!P185</f>
        <v>0</v>
      </c>
      <c r="AB185" s="10">
        <f>운전실적_원본!Q185</f>
        <v>0</v>
      </c>
      <c r="AC185" s="20">
        <f>운전실적_원본!R185</f>
        <v>0</v>
      </c>
      <c r="AD185" s="109">
        <f>운전실적_원본!S185</f>
        <v>0</v>
      </c>
      <c r="AE185" s="110">
        <f>운전실적_원본!T185</f>
        <v>0</v>
      </c>
      <c r="AF185" s="110">
        <f>운전실적_원본!U185</f>
        <v>0</v>
      </c>
      <c r="AG185" s="110">
        <f>운전실적_원본!V185</f>
        <v>0</v>
      </c>
      <c r="AH185" s="109">
        <f t="shared" si="791"/>
        <v>0</v>
      </c>
      <c r="AI185" s="110">
        <f t="shared" si="798"/>
        <v>0</v>
      </c>
      <c r="AJ185" s="110">
        <f>운전실적_원본!Y185</f>
        <v>0</v>
      </c>
      <c r="AK185" s="110">
        <f>운전실적_원본!Z185</f>
        <v>0</v>
      </c>
      <c r="AL185" s="106"/>
      <c r="AM185" s="105"/>
      <c r="AN185" s="105"/>
      <c r="AO185" s="105"/>
      <c r="AP185" s="105"/>
      <c r="AQ185" s="108"/>
      <c r="AR185" s="105"/>
      <c r="AS185" s="105"/>
      <c r="AT185" s="102"/>
      <c r="AU185" s="102"/>
      <c r="AV185" s="102"/>
      <c r="AW185" s="102"/>
      <c r="AX185" s="32">
        <f>운전실적_원본!W185</f>
        <v>0</v>
      </c>
      <c r="AY185" s="11">
        <f>운전실적_원본!X185</f>
        <v>0</v>
      </c>
      <c r="AZ185" s="11">
        <f>운전실적_원본!Y185</f>
        <v>0</v>
      </c>
      <c r="BA185" s="11">
        <f>운전실적_원본!Z185</f>
        <v>0</v>
      </c>
      <c r="BB185" s="11">
        <f>운전실적_원본!AA185</f>
        <v>0</v>
      </c>
      <c r="BC185" s="11">
        <f>운전실적_원본!AB185</f>
        <v>0</v>
      </c>
      <c r="BD185" s="32" t="str">
        <f t="shared" si="784"/>
        <v>-</v>
      </c>
      <c r="BE185" s="11" t="str">
        <f t="shared" si="792"/>
        <v>-</v>
      </c>
      <c r="BF185" s="11">
        <f>운전실적_원본!AE185</f>
        <v>0</v>
      </c>
      <c r="BG185" s="31">
        <f t="shared" si="785"/>
        <v>0</v>
      </c>
      <c r="BH185" s="241">
        <f>INDEX(연료전지_원본!$A$4:$KY$369,MATCH($A185,연료전지_원본!$A$4:$A$369,0),MATCH($BH$4,연료전지_원본!$A$4:$KY$4,0))</f>
        <v>0</v>
      </c>
      <c r="BI185" s="241">
        <f>INDEX(연료전지_원본!$A$4:$KY$369,MATCH($A185,연료전지_원본!$A$4:$A$369,0),MATCH($BI$4,연료전지_원본!$A$4:$KY$4,0))</f>
        <v>0</v>
      </c>
      <c r="BJ185" s="241">
        <f>INDEX(연료전지_원본!$A$4:$KY$369,MATCH($A185,연료전지_원본!$A$4:$A$369,0),MATCH($BJ$4,연료전지_원본!$A$4:$KY$4,0))</f>
        <v>0</v>
      </c>
      <c r="BK185" s="241">
        <f>INDEX(연료전지_원본!$A$4:$KY$369,MATCH($A185,연료전지_원본!$A$4:$A$369,0),MATCH($BK$4,연료전지_원본!$A$4:$KY$4,0))</f>
        <v>0</v>
      </c>
      <c r="BL185" s="241">
        <f>INDEX(연료전지_원본!$A$4:$KY$369,MATCH($A185,연료전지_원본!$A$4:$A$369,0),MATCH($BL$4,연료전지_원본!$A$4:$KY$4,0))</f>
        <v>0</v>
      </c>
      <c r="BM185" s="241">
        <f>INDEX(연료전지_원본!$A$4:$KY$369,MATCH($A185,연료전지_원본!$A$4:$A$369,0),MATCH($BM$4,연료전지_원본!$A$4:$KY$4,0))</f>
        <v>0</v>
      </c>
      <c r="BN185" s="241">
        <f>INDEX(연료전지_원본!$A$4:$KY$369,MATCH($A185,연료전지_원본!$A$4:$A$369,0),MATCH($BN$4,연료전지_원본!$A$4:$KY$4,0))</f>
        <v>0</v>
      </c>
      <c r="BO185" s="241">
        <f>INDEX(연료전지_원본!$A$4:$KY$369,MATCH($A185,연료전지_원본!$A$4:$A$369,0),MATCH($BO$4,연료전지_원본!$A$4:$KY$4,0))</f>
        <v>0</v>
      </c>
      <c r="BP185" s="241">
        <f>INDEX(연료전지_원본!$A$4:$KY$369,MATCH($A185,연료전지_원본!$A$4:$A$369,0),MATCH($BP$4,연료전지_원본!$A$4:$KY$4,0))</f>
        <v>0</v>
      </c>
      <c r="BQ185" s="241">
        <f>INDEX(연료전지_원본!$A$4:$KY$369,MATCH($A185,연료전지_원본!$A$4:$A$369,0),MATCH($BQ$4,연료전지_원본!$A$4:$KY$4,0))</f>
        <v>0</v>
      </c>
      <c r="BR185" s="241">
        <f>INDEX(연료전지_원본!$A$4:$KY$369,MATCH($A185,연료전지_원본!$A$4:$A$369,0),MATCH($BR$4,연료전지_원본!$A$4:$KY$4,0))</f>
        <v>0</v>
      </c>
      <c r="BS185" s="241">
        <f>INDEX(연료전지_원본!$A$4:$KY$369,MATCH($A185,연료전지_원본!$A$4:$A$369,0),MATCH($BS$4,연료전지_원본!$A$4:$KY$4,0))</f>
        <v>0</v>
      </c>
      <c r="BT185" s="241">
        <f>INDEX(연료전지_원본!$A$4:$KY$369,MATCH($A185,연료전지_원본!$A$4:$A$369,0),MATCH($BT$4,연료전지_원본!$A$4:$KY$4,0))</f>
        <v>0</v>
      </c>
      <c r="BU185" s="241">
        <f>INDEX(연료전지_원본!$A$4:$KY$369,MATCH($A185,연료전지_원본!$A$4:$A$369,0),MATCH($BU$4,연료전지_원본!$A$4:$KY$4,0))</f>
        <v>0</v>
      </c>
      <c r="BV185" s="241">
        <f>INDEX(연료전지_원본!$A$4:$KY$369,MATCH($A185,연료전지_원본!$A$4:$A$369,0),MATCH($BV$4,연료전지_원본!$A$4:$KY$4,0))</f>
        <v>0</v>
      </c>
      <c r="BW185" s="241">
        <f>INDEX(연료전지_원본!$A$4:$KY$369,MATCH($A185,연료전지_원본!$A$4:$A$369,0),MATCH($BW$4,연료전지_원본!$A$4:$KY$4,0))</f>
        <v>0</v>
      </c>
      <c r="BX185" s="241">
        <f>INDEX(연료전지_원본!$A$4:$KY$369,MATCH($A185,연료전지_원본!$A$4:$A$369,0),MATCH($BX$4,연료전지_원본!$A$4:$KY$4,0))</f>
        <v>0</v>
      </c>
      <c r="BY185" s="241">
        <f>INDEX(연료전지_원본!$A$4:$KY$369,MATCH($A185,연료전지_원본!$A$4:$A$369,0),MATCH($BY$4,연료전지_원본!$A$4:$KY$4,0))</f>
        <v>0</v>
      </c>
      <c r="BZ185" s="241">
        <f>INDEX(연료전지_원본!$A$4:$KY$369,MATCH($A185,연료전지_원본!$A$4:$A$369,0),MATCH($BZ$4,연료전지_원본!$A$4:$KY$4,0))</f>
        <v>0</v>
      </c>
      <c r="CA185" s="241">
        <f>INDEX(연료전지_원본!$A$4:$KY$369,MATCH($A185,연료전지_원본!$A$4:$A$369,0),MATCH($CA$4,연료전지_원본!$A$4:$KY$4,0))</f>
        <v>0</v>
      </c>
      <c r="CB185" s="241">
        <f>INDEX(연료전지_원본!$A$4:$KY$369,MATCH($A185,연료전지_원본!$A$4:$A$369,0),MATCH($CB$4,연료전지_원본!$A$4:$KY$4,0))</f>
        <v>0</v>
      </c>
      <c r="CC185" s="242">
        <f>INDEX(연료전지_원본!$A$4:$KY$369,MATCH($A185,연료전지_원본!$A$4:$A$369,0),MATCH($CC$4,연료전지_원본!$A$4:$KY$4,0))</f>
        <v>0</v>
      </c>
      <c r="CD185" s="250">
        <f>INDEX(연료전지_원본!$KB$4:$KX$369,MATCH($A185,연료전지_원본!$KB$4:$KB$369,0), MATCH(CD$4,연료전지_원본!$KB$4:$KX$4,0))*1000</f>
        <v>0</v>
      </c>
      <c r="CE185" s="250">
        <f>INDEX(연료전지_원본!$KB$4:$KX$369,MATCH($A185,연료전지_원본!$KB$4:$KB$369,0), MATCH(CE$4,연료전지_원본!$KB$4:$KX$4,0))*1000</f>
        <v>0</v>
      </c>
      <c r="CF185" s="250">
        <f>INDEX(연료전지_원본!$KB$4:$KX$369,MATCH($A185,연료전지_원본!$KB$4:$KB$369,0), MATCH(CF$4,연료전지_원본!$KB$4:$KX$4,0))*1000</f>
        <v>0</v>
      </c>
      <c r="CG185" s="250">
        <f>INDEX(연료전지_원본!$KB$4:$KX$369,MATCH($A185,연료전지_원본!$KB$4:$KB$369,0), MATCH(CG$4,연료전지_원본!$KB$4:$KX$4,0))*1000</f>
        <v>0</v>
      </c>
      <c r="CH185" s="250">
        <f>INDEX(연료전지_원본!$KB$4:$KX$369,MATCH($A185,연료전지_원본!$KB$4:$KB$369,0), MATCH(CH$4,연료전지_원본!$KB$4:$KX$4,0))*1000</f>
        <v>0</v>
      </c>
      <c r="CI185" s="250">
        <f>INDEX(연료전지_원본!$KB$4:$KX$369,MATCH($A185,연료전지_원본!$KB$4:$KB$369,0), MATCH(CI$4,연료전지_원본!$KB$4:$KX$4,0))*1000</f>
        <v>0</v>
      </c>
      <c r="CJ185" s="250">
        <f>INDEX(연료전지_원본!$KB$4:$KX$369,MATCH($A185,연료전지_원본!$KB$4:$KB$369,0), MATCH(CJ$4,연료전지_원본!$KB$4:$KX$4,0))*1000</f>
        <v>0</v>
      </c>
      <c r="CK185" s="250">
        <f>INDEX(연료전지_원본!$KB$4:$KX$369,MATCH($A185,연료전지_원본!$KB$4:$KB$369,0), MATCH(CK$4,연료전지_원본!$KB$4:$KX$4,0))*1000</f>
        <v>0</v>
      </c>
      <c r="CL185" s="250">
        <f>INDEX(연료전지_원본!$KB$4:$KX$369,MATCH($A185,연료전지_원본!$KB$4:$KB$369,0), MATCH(CL$4,연료전지_원본!$KB$4:$KX$4,0))*1000</f>
        <v>0</v>
      </c>
      <c r="CM185" s="250">
        <f>INDEX(연료전지_원본!$KB$4:$KX$369,MATCH($A185,연료전지_원본!$KB$4:$KB$369,0), MATCH(CM$4,연료전지_원본!$KB$4:$KX$4,0))*1000</f>
        <v>0</v>
      </c>
      <c r="CN185" s="250">
        <f>INDEX(연료전지_원본!$KB$4:$KX$369,MATCH($A185,연료전지_원본!$KB$4:$KB$369,0), MATCH(CN$4,연료전지_원본!$KB$4:$KX$4,0))*1000</f>
        <v>0</v>
      </c>
      <c r="CO185" s="250">
        <f>INDEX(연료전지_원본!$KB$4:$KX$369,MATCH($A185,연료전지_원본!$KB$4:$KB$369,0), MATCH(CO$4,연료전지_원본!$KB$4:$KX$4,0))*1000</f>
        <v>0</v>
      </c>
      <c r="CP185" s="250">
        <f>INDEX(연료전지_원본!$KB$4:$KX$369,MATCH($A185,연료전지_원본!$KB$4:$KB$369,0), MATCH(CP$4,연료전지_원본!$KB$4:$KX$4,0))*1000</f>
        <v>0</v>
      </c>
      <c r="CQ185" s="250">
        <f>INDEX(연료전지_원본!$KB$4:$KX$369,MATCH($A185,연료전지_원본!$KB$4:$KB$369,0), MATCH(CQ$4,연료전지_원본!$KB$4:$KX$4,0))*1000</f>
        <v>0</v>
      </c>
      <c r="CR185" s="250">
        <f>INDEX(연료전지_원본!$KB$4:$KX$369,MATCH($A185,연료전지_원본!$KB$4:$KB$369,0), MATCH(CR$4,연료전지_원본!$KB$4:$KX$4,0))*1000</f>
        <v>0</v>
      </c>
      <c r="CS185" s="250">
        <f>INDEX(연료전지_원본!$KB$4:$KX$369,MATCH($A185,연료전지_원본!$KB$4:$KB$369,0), MATCH(CS$4,연료전지_원본!$KB$4:$KX$4,0))*1000</f>
        <v>0</v>
      </c>
      <c r="CT185" s="250">
        <f>INDEX(연료전지_원본!$KB$4:$KX$369,MATCH($A185,연료전지_원본!$KB$4:$KB$369,0), MATCH(CT$4,연료전지_원본!$KB$4:$KX$4,0))*1000</f>
        <v>0</v>
      </c>
      <c r="CU185" s="250">
        <f>INDEX(연료전지_원본!$KB$4:$KX$369,MATCH($A185,연료전지_원본!$KB$4:$KB$369,0), MATCH(CU$4,연료전지_원본!$KB$4:$KX$4,0))*1000</f>
        <v>0</v>
      </c>
      <c r="CV185" s="250">
        <f>INDEX(연료전지_원본!$KB$4:$KX$369,MATCH($A185,연료전지_원본!$KB$4:$KB$369,0), MATCH(CV$4,연료전지_원본!$KB$4:$KX$4,0))*1000</f>
        <v>0</v>
      </c>
      <c r="CW185" s="250">
        <f>INDEX(연료전지_원본!$KB$4:$KX$369,MATCH($A185,연료전지_원본!$KB$4:$KB$369,0), MATCH(CW$4,연료전지_원본!$KB$4:$KX$4,0))*1000</f>
        <v>0</v>
      </c>
      <c r="CX185" s="250">
        <f>INDEX(연료전지_원본!$KB$4:$KX$369,MATCH($A185,연료전지_원본!$KB$4:$KB$369,0), MATCH(CX$4,연료전지_원본!$KB$4:$KX$4,0))*1000</f>
        <v>0</v>
      </c>
      <c r="CY185" s="250">
        <f>INDEX(연료전지_원본!$KB$4:$KX$369,MATCH($A185,연료전지_원본!$KB$4:$KB$369,0), MATCH(CY$4,연료전지_원본!$KB$4:$KX$4,0))*1000</f>
        <v>0</v>
      </c>
      <c r="DV185" s="30">
        <f t="shared" si="954"/>
        <v>0</v>
      </c>
    </row>
    <row r="186" spans="1:126">
      <c r="A186" s="158">
        <v>46203</v>
      </c>
      <c r="B186" s="27">
        <f>운전실적_원본!B186</f>
        <v>0</v>
      </c>
      <c r="C186" s="28" t="str">
        <f t="shared" si="960"/>
        <v/>
      </c>
      <c r="D186" s="29">
        <f>운전실적_원본!C186</f>
        <v>0</v>
      </c>
      <c r="E186" s="29" t="str">
        <f t="shared" si="961"/>
        <v/>
      </c>
      <c r="F186" s="29">
        <f>운전실적_원본!D186</f>
        <v>0</v>
      </c>
      <c r="G186" s="28" t="str">
        <f t="shared" si="962"/>
        <v/>
      </c>
      <c r="H186" s="27">
        <f>운전실적_원본!E186</f>
        <v>0</v>
      </c>
      <c r="I186" s="28" t="str">
        <f t="shared" si="963"/>
        <v/>
      </c>
      <c r="J186" s="27">
        <f>운전실적_원본!F186</f>
        <v>0</v>
      </c>
      <c r="K186" s="28" t="str">
        <f t="shared" si="963"/>
        <v/>
      </c>
      <c r="L186" s="159">
        <f>운전실적_원본!G186</f>
        <v>0</v>
      </c>
      <c r="M186" s="157" t="str">
        <f t="shared" ref="M186" si="1055">IF(OR(LEN(L186)=0,L186=0),"",L186-L185)</f>
        <v/>
      </c>
      <c r="N186" s="27">
        <f>운전실적_원본!H186</f>
        <v>0</v>
      </c>
      <c r="O186" s="28" t="str">
        <f t="shared" ref="O186" si="1056">IF(OR(LEN(N186)=0,N186=0),"",N186-N185)</f>
        <v/>
      </c>
      <c r="P186" s="27">
        <f>운전실적_원본!I186</f>
        <v>0</v>
      </c>
      <c r="Q186" s="28" t="str">
        <f t="shared" ref="Q186" si="1057">IF(OR(LEN(P186)=0,P186=0),"",P186-P185)</f>
        <v/>
      </c>
      <c r="R186" s="160">
        <f>운전실적_원본!J186</f>
        <v>0</v>
      </c>
      <c r="S186" s="161" t="str">
        <f t="shared" ref="S186" si="1058">IF(OR(LEN(R186)=0,R186=0),"",R186-R185)</f>
        <v/>
      </c>
      <c r="T186" s="160">
        <f>운전실적_원본!K186</f>
        <v>0</v>
      </c>
      <c r="U186" s="161" t="str">
        <f t="shared" si="968"/>
        <v/>
      </c>
      <c r="V186" s="29">
        <f>운전실적_원본!L186</f>
        <v>0</v>
      </c>
      <c r="W186" s="28" t="str">
        <f t="shared" ref="W186" si="1059">IF(OR(LEN(V186)=0,V186=0),"",V186-V185)</f>
        <v/>
      </c>
      <c r="X186" s="162">
        <f>운전실적_원본!M186</f>
        <v>0</v>
      </c>
      <c r="Y186" s="162">
        <f>운전실적_원본!N186</f>
        <v>0</v>
      </c>
      <c r="Z186" s="162">
        <f>운전실적_원본!O186</f>
        <v>0</v>
      </c>
      <c r="AA186" s="162">
        <f>운전실적_원본!P186</f>
        <v>0</v>
      </c>
      <c r="AB186" s="162">
        <f>운전실적_원본!Q186</f>
        <v>0</v>
      </c>
      <c r="AC186" s="162">
        <f>운전실적_원본!R186</f>
        <v>0</v>
      </c>
      <c r="AD186" s="163">
        <f>운전실적_원본!S186</f>
        <v>0</v>
      </c>
      <c r="AE186" s="164">
        <f>운전실적_원본!T186</f>
        <v>0</v>
      </c>
      <c r="AF186" s="164">
        <f>운전실적_원본!U186</f>
        <v>0</v>
      </c>
      <c r="AG186" s="164">
        <f>운전실적_원본!V186</f>
        <v>0</v>
      </c>
      <c r="AH186" s="163">
        <f t="shared" si="791"/>
        <v>0</v>
      </c>
      <c r="AI186" s="164">
        <f t="shared" si="798"/>
        <v>0</v>
      </c>
      <c r="AJ186" s="164">
        <f>운전실적_원본!Y186</f>
        <v>0</v>
      </c>
      <c r="AK186" s="164">
        <f>운전실적_원본!Z186</f>
        <v>0</v>
      </c>
      <c r="AL186" s="165"/>
      <c r="AM186" s="166"/>
      <c r="AN186" s="166"/>
      <c r="AO186" s="166"/>
      <c r="AP186" s="166"/>
      <c r="AQ186" s="167"/>
      <c r="AR186" s="166"/>
      <c r="AS186" s="166"/>
      <c r="AT186" s="168"/>
      <c r="AU186" s="168"/>
      <c r="AV186" s="168"/>
      <c r="AW186" s="168"/>
      <c r="AX186" s="159">
        <f>운전실적_원본!W186</f>
        <v>0</v>
      </c>
      <c r="AY186" s="169">
        <f>운전실적_원본!X186</f>
        <v>0</v>
      </c>
      <c r="AZ186" s="169">
        <f>운전실적_원본!Y186</f>
        <v>0</v>
      </c>
      <c r="BA186" s="169">
        <f>운전실적_원본!Z186</f>
        <v>0</v>
      </c>
      <c r="BB186" s="169">
        <f>운전실적_원본!AA186</f>
        <v>0</v>
      </c>
      <c r="BC186" s="169">
        <f>운전실적_원본!AB186</f>
        <v>0</v>
      </c>
      <c r="BD186" s="159" t="str">
        <f t="shared" si="784"/>
        <v>-</v>
      </c>
      <c r="BE186" s="169" t="str">
        <f t="shared" si="792"/>
        <v>-</v>
      </c>
      <c r="BF186" s="169">
        <f>운전실적_원본!AE186</f>
        <v>0</v>
      </c>
      <c r="BG186" s="157">
        <f t="shared" si="785"/>
        <v>0</v>
      </c>
      <c r="BH186" s="244">
        <f>INDEX(연료전지_원본!$A$4:$KY$369,MATCH($A186,연료전지_원본!$A$4:$A$369,0),MATCH($BH$4,연료전지_원본!$A$4:$KY$4,0))</f>
        <v>0</v>
      </c>
      <c r="BI186" s="244">
        <f>INDEX(연료전지_원본!$A$4:$KY$369,MATCH($A186,연료전지_원본!$A$4:$A$369,0),MATCH($BI$4,연료전지_원본!$A$4:$KY$4,0))</f>
        <v>0</v>
      </c>
      <c r="BJ186" s="244">
        <f>INDEX(연료전지_원본!$A$4:$KY$369,MATCH($A186,연료전지_원본!$A$4:$A$369,0),MATCH($BJ$4,연료전지_원본!$A$4:$KY$4,0))</f>
        <v>0</v>
      </c>
      <c r="BK186" s="244">
        <f>INDEX(연료전지_원본!$A$4:$KY$369,MATCH($A186,연료전지_원본!$A$4:$A$369,0),MATCH($BK$4,연료전지_원본!$A$4:$KY$4,0))</f>
        <v>0</v>
      </c>
      <c r="BL186" s="244">
        <f>INDEX(연료전지_원본!$A$4:$KY$369,MATCH($A186,연료전지_원본!$A$4:$A$369,0),MATCH($BL$4,연료전지_원본!$A$4:$KY$4,0))</f>
        <v>0</v>
      </c>
      <c r="BM186" s="244">
        <f>INDEX(연료전지_원본!$A$4:$KY$369,MATCH($A186,연료전지_원본!$A$4:$A$369,0),MATCH($BM$4,연료전지_원본!$A$4:$KY$4,0))</f>
        <v>0</v>
      </c>
      <c r="BN186" s="244">
        <f>INDEX(연료전지_원본!$A$4:$KY$369,MATCH($A186,연료전지_원본!$A$4:$A$369,0),MATCH($BN$4,연료전지_원본!$A$4:$KY$4,0))</f>
        <v>0</v>
      </c>
      <c r="BO186" s="244">
        <f>INDEX(연료전지_원본!$A$4:$KY$369,MATCH($A186,연료전지_원본!$A$4:$A$369,0),MATCH($BO$4,연료전지_원본!$A$4:$KY$4,0))</f>
        <v>0</v>
      </c>
      <c r="BP186" s="244">
        <f>INDEX(연료전지_원본!$A$4:$KY$369,MATCH($A186,연료전지_원본!$A$4:$A$369,0),MATCH($BP$4,연료전지_원본!$A$4:$KY$4,0))</f>
        <v>0</v>
      </c>
      <c r="BQ186" s="244">
        <f>INDEX(연료전지_원본!$A$4:$KY$369,MATCH($A186,연료전지_원본!$A$4:$A$369,0),MATCH($BQ$4,연료전지_원본!$A$4:$KY$4,0))</f>
        <v>0</v>
      </c>
      <c r="BR186" s="244">
        <f>INDEX(연료전지_원본!$A$4:$KY$369,MATCH($A186,연료전지_원본!$A$4:$A$369,0),MATCH($BR$4,연료전지_원본!$A$4:$KY$4,0))</f>
        <v>0</v>
      </c>
      <c r="BS186" s="244">
        <f>INDEX(연료전지_원본!$A$4:$KY$369,MATCH($A186,연료전지_원본!$A$4:$A$369,0),MATCH($BS$4,연료전지_원본!$A$4:$KY$4,0))</f>
        <v>0</v>
      </c>
      <c r="BT186" s="244">
        <f>INDEX(연료전지_원본!$A$4:$KY$369,MATCH($A186,연료전지_원본!$A$4:$A$369,0),MATCH($BT$4,연료전지_원본!$A$4:$KY$4,0))</f>
        <v>0</v>
      </c>
      <c r="BU186" s="244">
        <f>INDEX(연료전지_원본!$A$4:$KY$369,MATCH($A186,연료전지_원본!$A$4:$A$369,0),MATCH($BU$4,연료전지_원본!$A$4:$KY$4,0))</f>
        <v>0</v>
      </c>
      <c r="BV186" s="244">
        <f>INDEX(연료전지_원본!$A$4:$KY$369,MATCH($A186,연료전지_원본!$A$4:$A$369,0),MATCH($BV$4,연료전지_원본!$A$4:$KY$4,0))</f>
        <v>0</v>
      </c>
      <c r="BW186" s="244">
        <f>INDEX(연료전지_원본!$A$4:$KY$369,MATCH($A186,연료전지_원본!$A$4:$A$369,0),MATCH($BW$4,연료전지_원본!$A$4:$KY$4,0))</f>
        <v>0</v>
      </c>
      <c r="BX186" s="244">
        <f>INDEX(연료전지_원본!$A$4:$KY$369,MATCH($A186,연료전지_원본!$A$4:$A$369,0),MATCH($BX$4,연료전지_원본!$A$4:$KY$4,0))</f>
        <v>0</v>
      </c>
      <c r="BY186" s="244">
        <f>INDEX(연료전지_원본!$A$4:$KY$369,MATCH($A186,연료전지_원본!$A$4:$A$369,0),MATCH($BY$4,연료전지_원본!$A$4:$KY$4,0))</f>
        <v>0</v>
      </c>
      <c r="BZ186" s="244">
        <f>INDEX(연료전지_원본!$A$4:$KY$369,MATCH($A186,연료전지_원본!$A$4:$A$369,0),MATCH($BZ$4,연료전지_원본!$A$4:$KY$4,0))</f>
        <v>0</v>
      </c>
      <c r="CA186" s="244">
        <f>INDEX(연료전지_원본!$A$4:$KY$369,MATCH($A186,연료전지_원본!$A$4:$A$369,0),MATCH($CA$4,연료전지_원본!$A$4:$KY$4,0))</f>
        <v>0</v>
      </c>
      <c r="CB186" s="244">
        <f>INDEX(연료전지_원본!$A$4:$KY$369,MATCH($A186,연료전지_원본!$A$4:$A$369,0),MATCH($CB$4,연료전지_원본!$A$4:$KY$4,0))</f>
        <v>0</v>
      </c>
      <c r="CC186" s="245">
        <f>INDEX(연료전지_원본!$A$4:$KY$369,MATCH($A186,연료전지_원본!$A$4:$A$369,0),MATCH($CC$4,연료전지_원본!$A$4:$KY$4,0))</f>
        <v>0</v>
      </c>
      <c r="CD186" s="257">
        <f>INDEX(연료전지_원본!$KB$4:$KX$369,MATCH($A186,연료전지_원본!$KB$4:$KB$369,0), MATCH(CD$4,연료전지_원본!$KB$4:$KX$4,0))*1000</f>
        <v>0</v>
      </c>
      <c r="CE186" s="257">
        <f>INDEX(연료전지_원본!$KB$4:$KX$369,MATCH($A186,연료전지_원본!$KB$4:$KB$369,0), MATCH(CE$4,연료전지_원본!$KB$4:$KX$4,0))*1000</f>
        <v>0</v>
      </c>
      <c r="CF186" s="257">
        <f>INDEX(연료전지_원본!$KB$4:$KX$369,MATCH($A186,연료전지_원본!$KB$4:$KB$369,0), MATCH(CF$4,연료전지_원본!$KB$4:$KX$4,0))*1000</f>
        <v>0</v>
      </c>
      <c r="CG186" s="257">
        <f>INDEX(연료전지_원본!$KB$4:$KX$369,MATCH($A186,연료전지_원본!$KB$4:$KB$369,0), MATCH(CG$4,연료전지_원본!$KB$4:$KX$4,0))*1000</f>
        <v>0</v>
      </c>
      <c r="CH186" s="257">
        <f>INDEX(연료전지_원본!$KB$4:$KX$369,MATCH($A186,연료전지_원본!$KB$4:$KB$369,0), MATCH(CH$4,연료전지_원본!$KB$4:$KX$4,0))*1000</f>
        <v>0</v>
      </c>
      <c r="CI186" s="257">
        <f>INDEX(연료전지_원본!$KB$4:$KX$369,MATCH($A186,연료전지_원본!$KB$4:$KB$369,0), MATCH(CI$4,연료전지_원본!$KB$4:$KX$4,0))*1000</f>
        <v>0</v>
      </c>
      <c r="CJ186" s="257">
        <f>INDEX(연료전지_원본!$KB$4:$KX$369,MATCH($A186,연료전지_원본!$KB$4:$KB$369,0), MATCH(CJ$4,연료전지_원본!$KB$4:$KX$4,0))*1000</f>
        <v>0</v>
      </c>
      <c r="CK186" s="257">
        <f>INDEX(연료전지_원본!$KB$4:$KX$369,MATCH($A186,연료전지_원본!$KB$4:$KB$369,0), MATCH(CK$4,연료전지_원본!$KB$4:$KX$4,0))*1000</f>
        <v>0</v>
      </c>
      <c r="CL186" s="257">
        <f>INDEX(연료전지_원본!$KB$4:$KX$369,MATCH($A186,연료전지_원본!$KB$4:$KB$369,0), MATCH(CL$4,연료전지_원본!$KB$4:$KX$4,0))*1000</f>
        <v>0</v>
      </c>
      <c r="CM186" s="257">
        <f>INDEX(연료전지_원본!$KB$4:$KX$369,MATCH($A186,연료전지_원본!$KB$4:$KB$369,0), MATCH(CM$4,연료전지_원본!$KB$4:$KX$4,0))*1000</f>
        <v>0</v>
      </c>
      <c r="CN186" s="257">
        <f>INDEX(연료전지_원본!$KB$4:$KX$369,MATCH($A186,연료전지_원본!$KB$4:$KB$369,0), MATCH(CN$4,연료전지_원본!$KB$4:$KX$4,0))*1000</f>
        <v>0</v>
      </c>
      <c r="CO186" s="257">
        <f>INDEX(연료전지_원본!$KB$4:$KX$369,MATCH($A186,연료전지_원본!$KB$4:$KB$369,0), MATCH(CO$4,연료전지_원본!$KB$4:$KX$4,0))*1000</f>
        <v>0</v>
      </c>
      <c r="CP186" s="257">
        <f>INDEX(연료전지_원본!$KB$4:$KX$369,MATCH($A186,연료전지_원본!$KB$4:$KB$369,0), MATCH(CP$4,연료전지_원본!$KB$4:$KX$4,0))*1000</f>
        <v>0</v>
      </c>
      <c r="CQ186" s="257">
        <f>INDEX(연료전지_원본!$KB$4:$KX$369,MATCH($A186,연료전지_원본!$KB$4:$KB$369,0), MATCH(CQ$4,연료전지_원본!$KB$4:$KX$4,0))*1000</f>
        <v>0</v>
      </c>
      <c r="CR186" s="257">
        <f>INDEX(연료전지_원본!$KB$4:$KX$369,MATCH($A186,연료전지_원본!$KB$4:$KB$369,0), MATCH(CR$4,연료전지_원본!$KB$4:$KX$4,0))*1000</f>
        <v>0</v>
      </c>
      <c r="CS186" s="257">
        <f>INDEX(연료전지_원본!$KB$4:$KX$369,MATCH($A186,연료전지_원본!$KB$4:$KB$369,0), MATCH(CS$4,연료전지_원본!$KB$4:$KX$4,0))*1000</f>
        <v>0</v>
      </c>
      <c r="CT186" s="257">
        <f>INDEX(연료전지_원본!$KB$4:$KX$369,MATCH($A186,연료전지_원본!$KB$4:$KB$369,0), MATCH(CT$4,연료전지_원본!$KB$4:$KX$4,0))*1000</f>
        <v>0</v>
      </c>
      <c r="CU186" s="257">
        <f>INDEX(연료전지_원본!$KB$4:$KX$369,MATCH($A186,연료전지_원본!$KB$4:$KB$369,0), MATCH(CU$4,연료전지_원본!$KB$4:$KX$4,0))*1000</f>
        <v>0</v>
      </c>
      <c r="CV186" s="257">
        <f>INDEX(연료전지_원본!$KB$4:$KX$369,MATCH($A186,연료전지_원본!$KB$4:$KB$369,0), MATCH(CV$4,연료전지_원본!$KB$4:$KX$4,0))*1000</f>
        <v>0</v>
      </c>
      <c r="CW186" s="257">
        <f>INDEX(연료전지_원본!$KB$4:$KX$369,MATCH($A186,연료전지_원본!$KB$4:$KB$369,0), MATCH(CW$4,연료전지_원본!$KB$4:$KX$4,0))*1000</f>
        <v>0</v>
      </c>
      <c r="CX186" s="257">
        <f>INDEX(연료전지_원본!$KB$4:$KX$369,MATCH($A186,연료전지_원본!$KB$4:$KB$369,0), MATCH(CX$4,연료전지_원본!$KB$4:$KX$4,0))*1000</f>
        <v>0</v>
      </c>
      <c r="CY186" s="257">
        <f>INDEX(연료전지_원본!$KB$4:$KX$369,MATCH($A186,연료전지_원본!$KB$4:$KB$369,0), MATCH(CY$4,연료전지_원본!$KB$4:$KX$4,0))*1000</f>
        <v>0</v>
      </c>
      <c r="CZ186" s="186"/>
      <c r="DA186" s="182"/>
      <c r="DB186" s="182"/>
      <c r="DC186" s="182"/>
      <c r="DD186" s="182"/>
      <c r="DE186" s="182"/>
      <c r="DF186" s="182"/>
      <c r="DG186" s="182"/>
      <c r="DH186" s="182"/>
      <c r="DI186" s="182"/>
      <c r="DJ186" s="182"/>
      <c r="DK186" s="182"/>
      <c r="DL186" s="182"/>
      <c r="DM186" s="182"/>
      <c r="DN186" s="182"/>
      <c r="DO186" s="182"/>
      <c r="DP186" s="182"/>
      <c r="DQ186" s="182"/>
      <c r="DR186" s="182"/>
      <c r="DS186" s="182"/>
      <c r="DT186" s="182"/>
      <c r="DU186" s="182"/>
      <c r="DV186" s="182">
        <f t="shared" si="954"/>
        <v>0</v>
      </c>
    </row>
    <row r="187" spans="1:126">
      <c r="A187" s="6">
        <v>46204</v>
      </c>
      <c r="B187" s="15">
        <f>운전실적_원본!B187</f>
        <v>0</v>
      </c>
      <c r="C187" s="16" t="str">
        <f t="shared" si="960"/>
        <v/>
      </c>
      <c r="D187" s="12">
        <f>운전실적_원본!C187</f>
        <v>0</v>
      </c>
      <c r="E187" s="12" t="str">
        <f t="shared" si="961"/>
        <v/>
      </c>
      <c r="F187" s="12">
        <f>운전실적_원본!D187</f>
        <v>0</v>
      </c>
      <c r="G187" s="16" t="str">
        <f t="shared" si="962"/>
        <v/>
      </c>
      <c r="H187" s="15">
        <f>운전실적_원본!E187</f>
        <v>0</v>
      </c>
      <c r="I187" s="16" t="str">
        <f t="shared" si="963"/>
        <v/>
      </c>
      <c r="J187" s="15">
        <f>운전실적_원본!F187</f>
        <v>0</v>
      </c>
      <c r="K187" s="16" t="str">
        <f t="shared" si="963"/>
        <v/>
      </c>
      <c r="L187" s="32">
        <f>운전실적_원본!G187</f>
        <v>0</v>
      </c>
      <c r="M187" s="31" t="str">
        <f t="shared" ref="M187" si="1060">IF(OR(LEN(L187)=0,L187=0),"",L187-L186)</f>
        <v/>
      </c>
      <c r="N187" s="15">
        <f>운전실적_원본!H187</f>
        <v>0</v>
      </c>
      <c r="O187" s="16" t="str">
        <f t="shared" ref="O187" si="1061">IF(OR(LEN(N187)=0,N187=0),"",N187-N186)</f>
        <v/>
      </c>
      <c r="P187" s="15">
        <f>운전실적_원본!I187</f>
        <v>0</v>
      </c>
      <c r="Q187" s="16" t="str">
        <f t="shared" ref="Q187" si="1062">IF(OR(LEN(P187)=0,P187=0),"",P187-P186)</f>
        <v/>
      </c>
      <c r="R187" s="18">
        <f>운전실적_원본!J187</f>
        <v>0</v>
      </c>
      <c r="S187" s="19" t="str">
        <f t="shared" ref="S187" si="1063">IF(OR(LEN(R187)=0,R187=0),"",R187-R186)</f>
        <v/>
      </c>
      <c r="T187" s="18">
        <f>운전실적_원본!K187</f>
        <v>0</v>
      </c>
      <c r="U187" s="19" t="str">
        <f t="shared" si="968"/>
        <v/>
      </c>
      <c r="V187" s="12">
        <f>운전실적_원본!L187</f>
        <v>0</v>
      </c>
      <c r="W187" s="16" t="str">
        <f t="shared" ref="W187" si="1064">IF(OR(LEN(V187)=0,V187=0),"",V187-V186)</f>
        <v/>
      </c>
      <c r="X187" s="10">
        <f>운전실적_원본!M187</f>
        <v>0</v>
      </c>
      <c r="Y187" s="10">
        <f>운전실적_원본!N187</f>
        <v>0</v>
      </c>
      <c r="Z187" s="10">
        <f>운전실적_원본!O187</f>
        <v>0</v>
      </c>
      <c r="AA187" s="10">
        <f>운전실적_원본!P187</f>
        <v>0</v>
      </c>
      <c r="AB187" s="10">
        <f>운전실적_원본!Q187</f>
        <v>0</v>
      </c>
      <c r="AC187" s="20">
        <f>운전실적_원본!R187</f>
        <v>0</v>
      </c>
      <c r="AD187" s="109">
        <f>운전실적_원본!S187</f>
        <v>0</v>
      </c>
      <c r="AE187" s="110">
        <f>운전실적_원본!T187</f>
        <v>0</v>
      </c>
      <c r="AF187" s="110">
        <f>운전실적_원본!U187</f>
        <v>0</v>
      </c>
      <c r="AG187" s="110">
        <f>운전실적_원본!V187</f>
        <v>0</v>
      </c>
      <c r="AH187" s="109">
        <f t="shared" si="791"/>
        <v>0</v>
      </c>
      <c r="AI187" s="110">
        <f t="shared" si="798"/>
        <v>0</v>
      </c>
      <c r="AJ187" s="110">
        <f>운전실적_원본!Y187</f>
        <v>0</v>
      </c>
      <c r="AK187" s="110">
        <f>운전실적_원본!Z187</f>
        <v>0</v>
      </c>
      <c r="AL187" s="106"/>
      <c r="AM187" s="105"/>
      <c r="AN187" s="105"/>
      <c r="AO187" s="105"/>
      <c r="AP187" s="105"/>
      <c r="AQ187" s="108"/>
      <c r="AR187" s="105"/>
      <c r="AS187" s="105"/>
      <c r="AT187" s="102"/>
      <c r="AU187" s="102"/>
      <c r="AV187" s="102"/>
      <c r="AW187" s="102"/>
      <c r="AX187" s="32">
        <f>운전실적_원본!W187</f>
        <v>0</v>
      </c>
      <c r="AY187" s="11">
        <f>운전실적_원본!X187</f>
        <v>0</v>
      </c>
      <c r="AZ187" s="11">
        <f>운전실적_원본!Y187</f>
        <v>0</v>
      </c>
      <c r="BA187" s="11">
        <f>운전실적_원본!Z187</f>
        <v>0</v>
      </c>
      <c r="BB187" s="11">
        <f>운전실적_원본!AA187</f>
        <v>0</v>
      </c>
      <c r="BC187" s="11">
        <f>운전실적_원본!AB187</f>
        <v>0</v>
      </c>
      <c r="BD187" s="32" t="str">
        <f t="shared" si="784"/>
        <v>-</v>
      </c>
      <c r="BE187" s="11" t="str">
        <f t="shared" si="792"/>
        <v>-</v>
      </c>
      <c r="BF187" s="11">
        <f>운전실적_원본!AE187</f>
        <v>0</v>
      </c>
      <c r="BG187" s="31">
        <f t="shared" si="785"/>
        <v>0</v>
      </c>
      <c r="BH187" s="241">
        <f>INDEX(연료전지_원본!$A$4:$KY$369,MATCH($A187,연료전지_원본!$A$4:$A$369,0),MATCH($BH$4,연료전지_원본!$A$4:$KY$4,0))</f>
        <v>0</v>
      </c>
      <c r="BI187" s="241">
        <f>INDEX(연료전지_원본!$A$4:$KY$369,MATCH($A187,연료전지_원본!$A$4:$A$369,0),MATCH($BI$4,연료전지_원본!$A$4:$KY$4,0))</f>
        <v>0</v>
      </c>
      <c r="BJ187" s="241">
        <f>INDEX(연료전지_원본!$A$4:$KY$369,MATCH($A187,연료전지_원본!$A$4:$A$369,0),MATCH($BJ$4,연료전지_원본!$A$4:$KY$4,0))</f>
        <v>0</v>
      </c>
      <c r="BK187" s="241">
        <f>INDEX(연료전지_원본!$A$4:$KY$369,MATCH($A187,연료전지_원본!$A$4:$A$369,0),MATCH($BK$4,연료전지_원본!$A$4:$KY$4,0))</f>
        <v>0</v>
      </c>
      <c r="BL187" s="241">
        <f>INDEX(연료전지_원본!$A$4:$KY$369,MATCH($A187,연료전지_원본!$A$4:$A$369,0),MATCH($BL$4,연료전지_원본!$A$4:$KY$4,0))</f>
        <v>0</v>
      </c>
      <c r="BM187" s="241">
        <f>INDEX(연료전지_원본!$A$4:$KY$369,MATCH($A187,연료전지_원본!$A$4:$A$369,0),MATCH($BM$4,연료전지_원본!$A$4:$KY$4,0))</f>
        <v>0</v>
      </c>
      <c r="BN187" s="241">
        <f>INDEX(연료전지_원본!$A$4:$KY$369,MATCH($A187,연료전지_원본!$A$4:$A$369,0),MATCH($BN$4,연료전지_원본!$A$4:$KY$4,0))</f>
        <v>0</v>
      </c>
      <c r="BO187" s="241">
        <f>INDEX(연료전지_원본!$A$4:$KY$369,MATCH($A187,연료전지_원본!$A$4:$A$369,0),MATCH($BO$4,연료전지_원본!$A$4:$KY$4,0))</f>
        <v>0</v>
      </c>
      <c r="BP187" s="241">
        <f>INDEX(연료전지_원본!$A$4:$KY$369,MATCH($A187,연료전지_원본!$A$4:$A$369,0),MATCH($BP$4,연료전지_원본!$A$4:$KY$4,0))</f>
        <v>0</v>
      </c>
      <c r="BQ187" s="241">
        <f>INDEX(연료전지_원본!$A$4:$KY$369,MATCH($A187,연료전지_원본!$A$4:$A$369,0),MATCH($BQ$4,연료전지_원본!$A$4:$KY$4,0))</f>
        <v>0</v>
      </c>
      <c r="BR187" s="241">
        <f>INDEX(연료전지_원본!$A$4:$KY$369,MATCH($A187,연료전지_원본!$A$4:$A$369,0),MATCH($BR$4,연료전지_원본!$A$4:$KY$4,0))</f>
        <v>0</v>
      </c>
      <c r="BS187" s="241">
        <f>INDEX(연료전지_원본!$A$4:$KY$369,MATCH($A187,연료전지_원본!$A$4:$A$369,0),MATCH($BS$4,연료전지_원본!$A$4:$KY$4,0))</f>
        <v>0</v>
      </c>
      <c r="BT187" s="241">
        <f>INDEX(연료전지_원본!$A$4:$KY$369,MATCH($A187,연료전지_원본!$A$4:$A$369,0),MATCH($BT$4,연료전지_원본!$A$4:$KY$4,0))</f>
        <v>0</v>
      </c>
      <c r="BU187" s="241">
        <f>INDEX(연료전지_원본!$A$4:$KY$369,MATCH($A187,연료전지_원본!$A$4:$A$369,0),MATCH($BU$4,연료전지_원본!$A$4:$KY$4,0))</f>
        <v>0</v>
      </c>
      <c r="BV187" s="241">
        <f>INDEX(연료전지_원본!$A$4:$KY$369,MATCH($A187,연료전지_원본!$A$4:$A$369,0),MATCH($BV$4,연료전지_원본!$A$4:$KY$4,0))</f>
        <v>0</v>
      </c>
      <c r="BW187" s="241">
        <f>INDEX(연료전지_원본!$A$4:$KY$369,MATCH($A187,연료전지_원본!$A$4:$A$369,0),MATCH($BW$4,연료전지_원본!$A$4:$KY$4,0))</f>
        <v>0</v>
      </c>
      <c r="BX187" s="241">
        <f>INDEX(연료전지_원본!$A$4:$KY$369,MATCH($A187,연료전지_원본!$A$4:$A$369,0),MATCH($BX$4,연료전지_원본!$A$4:$KY$4,0))</f>
        <v>0</v>
      </c>
      <c r="BY187" s="241">
        <f>INDEX(연료전지_원본!$A$4:$KY$369,MATCH($A187,연료전지_원본!$A$4:$A$369,0),MATCH($BY$4,연료전지_원본!$A$4:$KY$4,0))</f>
        <v>0</v>
      </c>
      <c r="BZ187" s="241">
        <f>INDEX(연료전지_원본!$A$4:$KY$369,MATCH($A187,연료전지_원본!$A$4:$A$369,0),MATCH($BZ$4,연료전지_원본!$A$4:$KY$4,0))</f>
        <v>0</v>
      </c>
      <c r="CA187" s="241">
        <f>INDEX(연료전지_원본!$A$4:$KY$369,MATCH($A187,연료전지_원본!$A$4:$A$369,0),MATCH($CA$4,연료전지_원본!$A$4:$KY$4,0))</f>
        <v>0</v>
      </c>
      <c r="CB187" s="241">
        <f>INDEX(연료전지_원본!$A$4:$KY$369,MATCH($A187,연료전지_원본!$A$4:$A$369,0),MATCH($CB$4,연료전지_원본!$A$4:$KY$4,0))</f>
        <v>0</v>
      </c>
      <c r="CC187" s="242">
        <f>INDEX(연료전지_원본!$A$4:$KY$369,MATCH($A187,연료전지_원본!$A$4:$A$369,0),MATCH($CC$4,연료전지_원본!$A$4:$KY$4,0))</f>
        <v>0</v>
      </c>
      <c r="CD187" s="250">
        <f>INDEX(연료전지_원본!$KB$4:$KX$369,MATCH($A187,연료전지_원본!$KB$4:$KB$369,0), MATCH(CD$4,연료전지_원본!$KB$4:$KX$4,0))*1000</f>
        <v>0</v>
      </c>
      <c r="CE187" s="250">
        <f>INDEX(연료전지_원본!$KB$4:$KX$369,MATCH($A187,연료전지_원본!$KB$4:$KB$369,0), MATCH(CE$4,연료전지_원본!$KB$4:$KX$4,0))*1000</f>
        <v>0</v>
      </c>
      <c r="CF187" s="250">
        <f>INDEX(연료전지_원본!$KB$4:$KX$369,MATCH($A187,연료전지_원본!$KB$4:$KB$369,0), MATCH(CF$4,연료전지_원본!$KB$4:$KX$4,0))*1000</f>
        <v>0</v>
      </c>
      <c r="CG187" s="250">
        <f>INDEX(연료전지_원본!$KB$4:$KX$369,MATCH($A187,연료전지_원본!$KB$4:$KB$369,0), MATCH(CG$4,연료전지_원본!$KB$4:$KX$4,0))*1000</f>
        <v>0</v>
      </c>
      <c r="CH187" s="250">
        <f>INDEX(연료전지_원본!$KB$4:$KX$369,MATCH($A187,연료전지_원본!$KB$4:$KB$369,0), MATCH(CH$4,연료전지_원본!$KB$4:$KX$4,0))*1000</f>
        <v>0</v>
      </c>
      <c r="CI187" s="250">
        <f>INDEX(연료전지_원본!$KB$4:$KX$369,MATCH($A187,연료전지_원본!$KB$4:$KB$369,0), MATCH(CI$4,연료전지_원본!$KB$4:$KX$4,0))*1000</f>
        <v>0</v>
      </c>
      <c r="CJ187" s="250">
        <f>INDEX(연료전지_원본!$KB$4:$KX$369,MATCH($A187,연료전지_원본!$KB$4:$KB$369,0), MATCH(CJ$4,연료전지_원본!$KB$4:$KX$4,0))*1000</f>
        <v>0</v>
      </c>
      <c r="CK187" s="250">
        <f>INDEX(연료전지_원본!$KB$4:$KX$369,MATCH($A187,연료전지_원본!$KB$4:$KB$369,0), MATCH(CK$4,연료전지_원본!$KB$4:$KX$4,0))*1000</f>
        <v>0</v>
      </c>
      <c r="CL187" s="250">
        <f>INDEX(연료전지_원본!$KB$4:$KX$369,MATCH($A187,연료전지_원본!$KB$4:$KB$369,0), MATCH(CL$4,연료전지_원본!$KB$4:$KX$4,0))*1000</f>
        <v>0</v>
      </c>
      <c r="CM187" s="250">
        <f>INDEX(연료전지_원본!$KB$4:$KX$369,MATCH($A187,연료전지_원본!$KB$4:$KB$369,0), MATCH(CM$4,연료전지_원본!$KB$4:$KX$4,0))*1000</f>
        <v>0</v>
      </c>
      <c r="CN187" s="250">
        <f>INDEX(연료전지_원본!$KB$4:$KX$369,MATCH($A187,연료전지_원본!$KB$4:$KB$369,0), MATCH(CN$4,연료전지_원본!$KB$4:$KX$4,0))*1000</f>
        <v>0</v>
      </c>
      <c r="CO187" s="250">
        <f>INDEX(연료전지_원본!$KB$4:$KX$369,MATCH($A187,연료전지_원본!$KB$4:$KB$369,0), MATCH(CO$4,연료전지_원본!$KB$4:$KX$4,0))*1000</f>
        <v>0</v>
      </c>
      <c r="CP187" s="250">
        <f>INDEX(연료전지_원본!$KB$4:$KX$369,MATCH($A187,연료전지_원본!$KB$4:$KB$369,0), MATCH(CP$4,연료전지_원본!$KB$4:$KX$4,0))*1000</f>
        <v>0</v>
      </c>
      <c r="CQ187" s="250">
        <f>INDEX(연료전지_원본!$KB$4:$KX$369,MATCH($A187,연료전지_원본!$KB$4:$KB$369,0), MATCH(CQ$4,연료전지_원본!$KB$4:$KX$4,0))*1000</f>
        <v>0</v>
      </c>
      <c r="CR187" s="250">
        <f>INDEX(연료전지_원본!$KB$4:$KX$369,MATCH($A187,연료전지_원본!$KB$4:$KB$369,0), MATCH(CR$4,연료전지_원본!$KB$4:$KX$4,0))*1000</f>
        <v>0</v>
      </c>
      <c r="CS187" s="250">
        <f>INDEX(연료전지_원본!$KB$4:$KX$369,MATCH($A187,연료전지_원본!$KB$4:$KB$369,0), MATCH(CS$4,연료전지_원본!$KB$4:$KX$4,0))*1000</f>
        <v>0</v>
      </c>
      <c r="CT187" s="250">
        <f>INDEX(연료전지_원본!$KB$4:$KX$369,MATCH($A187,연료전지_원본!$KB$4:$KB$369,0), MATCH(CT$4,연료전지_원본!$KB$4:$KX$4,0))*1000</f>
        <v>0</v>
      </c>
      <c r="CU187" s="250">
        <f>INDEX(연료전지_원본!$KB$4:$KX$369,MATCH($A187,연료전지_원본!$KB$4:$KB$369,0), MATCH(CU$4,연료전지_원본!$KB$4:$KX$4,0))*1000</f>
        <v>0</v>
      </c>
      <c r="CV187" s="250">
        <f>INDEX(연료전지_원본!$KB$4:$KX$369,MATCH($A187,연료전지_원본!$KB$4:$KB$369,0), MATCH(CV$4,연료전지_원본!$KB$4:$KX$4,0))*1000</f>
        <v>0</v>
      </c>
      <c r="CW187" s="250">
        <f>INDEX(연료전지_원본!$KB$4:$KX$369,MATCH($A187,연료전지_원본!$KB$4:$KB$369,0), MATCH(CW$4,연료전지_원본!$KB$4:$KX$4,0))*1000</f>
        <v>0</v>
      </c>
      <c r="CX187" s="250">
        <f>INDEX(연료전지_원본!$KB$4:$KX$369,MATCH($A187,연료전지_원본!$KB$4:$KB$369,0), MATCH(CX$4,연료전지_원본!$KB$4:$KX$4,0))*1000</f>
        <v>0</v>
      </c>
      <c r="CY187" s="250">
        <f>INDEX(연료전지_원본!$KB$4:$KX$369,MATCH($A187,연료전지_원본!$KB$4:$KB$369,0), MATCH(CY$4,연료전지_원본!$KB$4:$KX$4,0))*1000</f>
        <v>0</v>
      </c>
      <c r="DV187" s="30">
        <f t="shared" si="954"/>
        <v>0</v>
      </c>
    </row>
    <row r="188" spans="1:126">
      <c r="A188" s="6">
        <v>46205</v>
      </c>
      <c r="B188" s="15">
        <f>운전실적_원본!B188</f>
        <v>0</v>
      </c>
      <c r="C188" s="16" t="str">
        <f t="shared" si="960"/>
        <v/>
      </c>
      <c r="D188" s="12">
        <f>운전실적_원본!C188</f>
        <v>0</v>
      </c>
      <c r="E188" s="12" t="str">
        <f t="shared" si="961"/>
        <v/>
      </c>
      <c r="F188" s="12">
        <f>운전실적_원본!D188</f>
        <v>0</v>
      </c>
      <c r="G188" s="16" t="str">
        <f t="shared" si="962"/>
        <v/>
      </c>
      <c r="H188" s="15">
        <f>운전실적_원본!E188</f>
        <v>0</v>
      </c>
      <c r="I188" s="16" t="str">
        <f t="shared" si="963"/>
        <v/>
      </c>
      <c r="J188" s="15">
        <f>운전실적_원본!F188</f>
        <v>0</v>
      </c>
      <c r="K188" s="16" t="str">
        <f t="shared" si="963"/>
        <v/>
      </c>
      <c r="L188" s="32">
        <f>운전실적_원본!G188</f>
        <v>0</v>
      </c>
      <c r="M188" s="31" t="str">
        <f t="shared" ref="M188" si="1065">IF(OR(LEN(L188)=0,L188=0),"",L188-L187)</f>
        <v/>
      </c>
      <c r="N188" s="15">
        <f>운전실적_원본!H188</f>
        <v>0</v>
      </c>
      <c r="O188" s="16" t="str">
        <f t="shared" ref="O188" si="1066">IF(OR(LEN(N188)=0,N188=0),"",N188-N187)</f>
        <v/>
      </c>
      <c r="P188" s="15">
        <f>운전실적_원본!I188</f>
        <v>0</v>
      </c>
      <c r="Q188" s="16" t="str">
        <f t="shared" ref="Q188" si="1067">IF(OR(LEN(P188)=0,P188=0),"",P188-P187)</f>
        <v/>
      </c>
      <c r="R188" s="18">
        <f>운전실적_원본!J188</f>
        <v>0</v>
      </c>
      <c r="S188" s="19" t="str">
        <f t="shared" ref="S188" si="1068">IF(OR(LEN(R188)=0,R188=0),"",R188-R187)</f>
        <v/>
      </c>
      <c r="T188" s="18">
        <f>운전실적_원본!K188</f>
        <v>0</v>
      </c>
      <c r="U188" s="19" t="str">
        <f t="shared" si="968"/>
        <v/>
      </c>
      <c r="V188" s="12">
        <f>운전실적_원본!L188</f>
        <v>0</v>
      </c>
      <c r="W188" s="16" t="str">
        <f t="shared" ref="W188" si="1069">IF(OR(LEN(V188)=0,V188=0),"",V188-V187)</f>
        <v/>
      </c>
      <c r="X188" s="10">
        <f>운전실적_원본!M188</f>
        <v>0</v>
      </c>
      <c r="Y188" s="10">
        <f>운전실적_원본!N188</f>
        <v>0</v>
      </c>
      <c r="Z188" s="10">
        <f>운전실적_원본!O188</f>
        <v>0</v>
      </c>
      <c r="AA188" s="10">
        <f>운전실적_원본!P188</f>
        <v>0</v>
      </c>
      <c r="AB188" s="10">
        <f>운전실적_원본!Q188</f>
        <v>0</v>
      </c>
      <c r="AC188" s="20">
        <f>운전실적_원본!R188</f>
        <v>0</v>
      </c>
      <c r="AD188" s="109">
        <f>운전실적_원본!S188</f>
        <v>0</v>
      </c>
      <c r="AE188" s="110">
        <f>운전실적_원본!T188</f>
        <v>0</v>
      </c>
      <c r="AF188" s="110">
        <f>운전실적_원본!U188</f>
        <v>0</v>
      </c>
      <c r="AG188" s="110">
        <f>운전실적_원본!V188</f>
        <v>0</v>
      </c>
      <c r="AH188" s="109">
        <f t="shared" si="791"/>
        <v>0</v>
      </c>
      <c r="AI188" s="110">
        <f t="shared" si="798"/>
        <v>0</v>
      </c>
      <c r="AJ188" s="110">
        <f>운전실적_원본!Y188</f>
        <v>0</v>
      </c>
      <c r="AK188" s="110">
        <f>운전실적_원본!Z188</f>
        <v>0</v>
      </c>
      <c r="AL188" s="106"/>
      <c r="AM188" s="105"/>
      <c r="AN188" s="105"/>
      <c r="AO188" s="105"/>
      <c r="AP188" s="105"/>
      <c r="AQ188" s="108"/>
      <c r="AR188" s="105"/>
      <c r="AS188" s="105"/>
      <c r="AT188" s="102"/>
      <c r="AU188" s="102"/>
      <c r="AV188" s="102"/>
      <c r="AW188" s="102"/>
      <c r="AX188" s="32">
        <f>운전실적_원본!W188</f>
        <v>0</v>
      </c>
      <c r="AY188" s="11">
        <f>운전실적_원본!X188</f>
        <v>0</v>
      </c>
      <c r="AZ188" s="11">
        <f>운전실적_원본!Y188</f>
        <v>0</v>
      </c>
      <c r="BA188" s="11">
        <f>운전실적_원본!Z188</f>
        <v>0</v>
      </c>
      <c r="BB188" s="11">
        <f>운전실적_원본!AA188</f>
        <v>0</v>
      </c>
      <c r="BC188" s="11">
        <f>운전실적_원본!AB188</f>
        <v>0</v>
      </c>
      <c r="BD188" s="32" t="str">
        <f t="shared" si="784"/>
        <v>-</v>
      </c>
      <c r="BE188" s="11" t="str">
        <f t="shared" si="792"/>
        <v>-</v>
      </c>
      <c r="BF188" s="11">
        <f>운전실적_원본!AE188</f>
        <v>0</v>
      </c>
      <c r="BG188" s="31">
        <f t="shared" si="785"/>
        <v>0</v>
      </c>
      <c r="BH188" s="241">
        <f>INDEX(연료전지_원본!$A$4:$KY$369,MATCH($A188,연료전지_원본!$A$4:$A$369,0),MATCH($BH$4,연료전지_원본!$A$4:$KY$4,0))</f>
        <v>0</v>
      </c>
      <c r="BI188" s="241">
        <f>INDEX(연료전지_원본!$A$4:$KY$369,MATCH($A188,연료전지_원본!$A$4:$A$369,0),MATCH($BI$4,연료전지_원본!$A$4:$KY$4,0))</f>
        <v>0</v>
      </c>
      <c r="BJ188" s="241">
        <f>INDEX(연료전지_원본!$A$4:$KY$369,MATCH($A188,연료전지_원본!$A$4:$A$369,0),MATCH($BJ$4,연료전지_원본!$A$4:$KY$4,0))</f>
        <v>0</v>
      </c>
      <c r="BK188" s="241">
        <f>INDEX(연료전지_원본!$A$4:$KY$369,MATCH($A188,연료전지_원본!$A$4:$A$369,0),MATCH($BK$4,연료전지_원본!$A$4:$KY$4,0))</f>
        <v>0</v>
      </c>
      <c r="BL188" s="241">
        <f>INDEX(연료전지_원본!$A$4:$KY$369,MATCH($A188,연료전지_원본!$A$4:$A$369,0),MATCH($BL$4,연료전지_원본!$A$4:$KY$4,0))</f>
        <v>0</v>
      </c>
      <c r="BM188" s="241">
        <f>INDEX(연료전지_원본!$A$4:$KY$369,MATCH($A188,연료전지_원본!$A$4:$A$369,0),MATCH($BM$4,연료전지_원본!$A$4:$KY$4,0))</f>
        <v>0</v>
      </c>
      <c r="BN188" s="241">
        <f>INDEX(연료전지_원본!$A$4:$KY$369,MATCH($A188,연료전지_원본!$A$4:$A$369,0),MATCH($BN$4,연료전지_원본!$A$4:$KY$4,0))</f>
        <v>0</v>
      </c>
      <c r="BO188" s="241">
        <f>INDEX(연료전지_원본!$A$4:$KY$369,MATCH($A188,연료전지_원본!$A$4:$A$369,0),MATCH($BO$4,연료전지_원본!$A$4:$KY$4,0))</f>
        <v>0</v>
      </c>
      <c r="BP188" s="241">
        <f>INDEX(연료전지_원본!$A$4:$KY$369,MATCH($A188,연료전지_원본!$A$4:$A$369,0),MATCH($BP$4,연료전지_원본!$A$4:$KY$4,0))</f>
        <v>0</v>
      </c>
      <c r="BQ188" s="241">
        <f>INDEX(연료전지_원본!$A$4:$KY$369,MATCH($A188,연료전지_원본!$A$4:$A$369,0),MATCH($BQ$4,연료전지_원본!$A$4:$KY$4,0))</f>
        <v>0</v>
      </c>
      <c r="BR188" s="241">
        <f>INDEX(연료전지_원본!$A$4:$KY$369,MATCH($A188,연료전지_원본!$A$4:$A$369,0),MATCH($BR$4,연료전지_원본!$A$4:$KY$4,0))</f>
        <v>0</v>
      </c>
      <c r="BS188" s="241">
        <f>INDEX(연료전지_원본!$A$4:$KY$369,MATCH($A188,연료전지_원본!$A$4:$A$369,0),MATCH($BS$4,연료전지_원본!$A$4:$KY$4,0))</f>
        <v>0</v>
      </c>
      <c r="BT188" s="241">
        <f>INDEX(연료전지_원본!$A$4:$KY$369,MATCH($A188,연료전지_원본!$A$4:$A$369,0),MATCH($BT$4,연료전지_원본!$A$4:$KY$4,0))</f>
        <v>0</v>
      </c>
      <c r="BU188" s="241">
        <f>INDEX(연료전지_원본!$A$4:$KY$369,MATCH($A188,연료전지_원본!$A$4:$A$369,0),MATCH($BU$4,연료전지_원본!$A$4:$KY$4,0))</f>
        <v>0</v>
      </c>
      <c r="BV188" s="241">
        <f>INDEX(연료전지_원본!$A$4:$KY$369,MATCH($A188,연료전지_원본!$A$4:$A$369,0),MATCH($BV$4,연료전지_원본!$A$4:$KY$4,0))</f>
        <v>0</v>
      </c>
      <c r="BW188" s="241">
        <f>INDEX(연료전지_원본!$A$4:$KY$369,MATCH($A188,연료전지_원본!$A$4:$A$369,0),MATCH($BW$4,연료전지_원본!$A$4:$KY$4,0))</f>
        <v>0</v>
      </c>
      <c r="BX188" s="241">
        <f>INDEX(연료전지_원본!$A$4:$KY$369,MATCH($A188,연료전지_원본!$A$4:$A$369,0),MATCH($BX$4,연료전지_원본!$A$4:$KY$4,0))</f>
        <v>0</v>
      </c>
      <c r="BY188" s="241">
        <f>INDEX(연료전지_원본!$A$4:$KY$369,MATCH($A188,연료전지_원본!$A$4:$A$369,0),MATCH($BY$4,연료전지_원본!$A$4:$KY$4,0))</f>
        <v>0</v>
      </c>
      <c r="BZ188" s="241">
        <f>INDEX(연료전지_원본!$A$4:$KY$369,MATCH($A188,연료전지_원본!$A$4:$A$369,0),MATCH($BZ$4,연료전지_원본!$A$4:$KY$4,0))</f>
        <v>0</v>
      </c>
      <c r="CA188" s="241">
        <f>INDEX(연료전지_원본!$A$4:$KY$369,MATCH($A188,연료전지_원본!$A$4:$A$369,0),MATCH($CA$4,연료전지_원본!$A$4:$KY$4,0))</f>
        <v>0</v>
      </c>
      <c r="CB188" s="241">
        <f>INDEX(연료전지_원본!$A$4:$KY$369,MATCH($A188,연료전지_원본!$A$4:$A$369,0),MATCH($CB$4,연료전지_원본!$A$4:$KY$4,0))</f>
        <v>0</v>
      </c>
      <c r="CC188" s="242">
        <f>INDEX(연료전지_원본!$A$4:$KY$369,MATCH($A188,연료전지_원본!$A$4:$A$369,0),MATCH($CC$4,연료전지_원본!$A$4:$KY$4,0))</f>
        <v>0</v>
      </c>
      <c r="CD188" s="250">
        <f>INDEX(연료전지_원본!$KB$4:$KX$369,MATCH($A188,연료전지_원본!$KB$4:$KB$369,0), MATCH(CD$4,연료전지_원본!$KB$4:$KX$4,0))*1000</f>
        <v>0</v>
      </c>
      <c r="CE188" s="250">
        <f>INDEX(연료전지_원본!$KB$4:$KX$369,MATCH($A188,연료전지_원본!$KB$4:$KB$369,0), MATCH(CE$4,연료전지_원본!$KB$4:$KX$4,0))*1000</f>
        <v>0</v>
      </c>
      <c r="CF188" s="250">
        <f>INDEX(연료전지_원본!$KB$4:$KX$369,MATCH($A188,연료전지_원본!$KB$4:$KB$369,0), MATCH(CF$4,연료전지_원본!$KB$4:$KX$4,0))*1000</f>
        <v>0</v>
      </c>
      <c r="CG188" s="250">
        <f>INDEX(연료전지_원본!$KB$4:$KX$369,MATCH($A188,연료전지_원본!$KB$4:$KB$369,0), MATCH(CG$4,연료전지_원본!$KB$4:$KX$4,0))*1000</f>
        <v>0</v>
      </c>
      <c r="CH188" s="250">
        <f>INDEX(연료전지_원본!$KB$4:$KX$369,MATCH($A188,연료전지_원본!$KB$4:$KB$369,0), MATCH(CH$4,연료전지_원본!$KB$4:$KX$4,0))*1000</f>
        <v>0</v>
      </c>
      <c r="CI188" s="250">
        <f>INDEX(연료전지_원본!$KB$4:$KX$369,MATCH($A188,연료전지_원본!$KB$4:$KB$369,0), MATCH(CI$4,연료전지_원본!$KB$4:$KX$4,0))*1000</f>
        <v>0</v>
      </c>
      <c r="CJ188" s="250">
        <f>INDEX(연료전지_원본!$KB$4:$KX$369,MATCH($A188,연료전지_원본!$KB$4:$KB$369,0), MATCH(CJ$4,연료전지_원본!$KB$4:$KX$4,0))*1000</f>
        <v>0</v>
      </c>
      <c r="CK188" s="250">
        <f>INDEX(연료전지_원본!$KB$4:$KX$369,MATCH($A188,연료전지_원본!$KB$4:$KB$369,0), MATCH(CK$4,연료전지_원본!$KB$4:$KX$4,0))*1000</f>
        <v>0</v>
      </c>
      <c r="CL188" s="250">
        <f>INDEX(연료전지_원본!$KB$4:$KX$369,MATCH($A188,연료전지_원본!$KB$4:$KB$369,0), MATCH(CL$4,연료전지_원본!$KB$4:$KX$4,0))*1000</f>
        <v>0</v>
      </c>
      <c r="CM188" s="250">
        <f>INDEX(연료전지_원본!$KB$4:$KX$369,MATCH($A188,연료전지_원본!$KB$4:$KB$369,0), MATCH(CM$4,연료전지_원본!$KB$4:$KX$4,0))*1000</f>
        <v>0</v>
      </c>
      <c r="CN188" s="250">
        <f>INDEX(연료전지_원본!$KB$4:$KX$369,MATCH($A188,연료전지_원본!$KB$4:$KB$369,0), MATCH(CN$4,연료전지_원본!$KB$4:$KX$4,0))*1000</f>
        <v>0</v>
      </c>
      <c r="CO188" s="250">
        <f>INDEX(연료전지_원본!$KB$4:$KX$369,MATCH($A188,연료전지_원본!$KB$4:$KB$369,0), MATCH(CO$4,연료전지_원본!$KB$4:$KX$4,0))*1000</f>
        <v>0</v>
      </c>
      <c r="CP188" s="250">
        <f>INDEX(연료전지_원본!$KB$4:$KX$369,MATCH($A188,연료전지_원본!$KB$4:$KB$369,0), MATCH(CP$4,연료전지_원본!$KB$4:$KX$4,0))*1000</f>
        <v>0</v>
      </c>
      <c r="CQ188" s="250">
        <f>INDEX(연료전지_원본!$KB$4:$KX$369,MATCH($A188,연료전지_원본!$KB$4:$KB$369,0), MATCH(CQ$4,연료전지_원본!$KB$4:$KX$4,0))*1000</f>
        <v>0</v>
      </c>
      <c r="CR188" s="250">
        <f>INDEX(연료전지_원본!$KB$4:$KX$369,MATCH($A188,연료전지_원본!$KB$4:$KB$369,0), MATCH(CR$4,연료전지_원본!$KB$4:$KX$4,0))*1000</f>
        <v>0</v>
      </c>
      <c r="CS188" s="250">
        <f>INDEX(연료전지_원본!$KB$4:$KX$369,MATCH($A188,연료전지_원본!$KB$4:$KB$369,0), MATCH(CS$4,연료전지_원본!$KB$4:$KX$4,0))*1000</f>
        <v>0</v>
      </c>
      <c r="CT188" s="250">
        <f>INDEX(연료전지_원본!$KB$4:$KX$369,MATCH($A188,연료전지_원본!$KB$4:$KB$369,0), MATCH(CT$4,연료전지_원본!$KB$4:$KX$4,0))*1000</f>
        <v>0</v>
      </c>
      <c r="CU188" s="250">
        <f>INDEX(연료전지_원본!$KB$4:$KX$369,MATCH($A188,연료전지_원본!$KB$4:$KB$369,0), MATCH(CU$4,연료전지_원본!$KB$4:$KX$4,0))*1000</f>
        <v>0</v>
      </c>
      <c r="CV188" s="250">
        <f>INDEX(연료전지_원본!$KB$4:$KX$369,MATCH($A188,연료전지_원본!$KB$4:$KB$369,0), MATCH(CV$4,연료전지_원본!$KB$4:$KX$4,0))*1000</f>
        <v>0</v>
      </c>
      <c r="CW188" s="250">
        <f>INDEX(연료전지_원본!$KB$4:$KX$369,MATCH($A188,연료전지_원본!$KB$4:$KB$369,0), MATCH(CW$4,연료전지_원본!$KB$4:$KX$4,0))*1000</f>
        <v>0</v>
      </c>
      <c r="CX188" s="250">
        <f>INDEX(연료전지_원본!$KB$4:$KX$369,MATCH($A188,연료전지_원본!$KB$4:$KB$369,0), MATCH(CX$4,연료전지_원본!$KB$4:$KX$4,0))*1000</f>
        <v>0</v>
      </c>
      <c r="CY188" s="250">
        <f>INDEX(연료전지_원본!$KB$4:$KX$369,MATCH($A188,연료전지_원본!$KB$4:$KB$369,0), MATCH(CY$4,연료전지_원본!$KB$4:$KX$4,0))*1000</f>
        <v>0</v>
      </c>
      <c r="DV188" s="30">
        <f t="shared" si="954"/>
        <v>0</v>
      </c>
    </row>
    <row r="189" spans="1:126">
      <c r="A189" s="6">
        <v>46206</v>
      </c>
      <c r="B189" s="15">
        <f>운전실적_원본!B189</f>
        <v>0</v>
      </c>
      <c r="C189" s="16" t="str">
        <f t="shared" si="960"/>
        <v/>
      </c>
      <c r="D189" s="12">
        <f>운전실적_원본!C189</f>
        <v>0</v>
      </c>
      <c r="E189" s="12" t="str">
        <f t="shared" si="961"/>
        <v/>
      </c>
      <c r="F189" s="12">
        <f>운전실적_원본!D189</f>
        <v>0</v>
      </c>
      <c r="G189" s="16" t="str">
        <f t="shared" si="962"/>
        <v/>
      </c>
      <c r="H189" s="15">
        <f>운전실적_원본!E189</f>
        <v>0</v>
      </c>
      <c r="I189" s="16" t="str">
        <f t="shared" si="963"/>
        <v/>
      </c>
      <c r="J189" s="15">
        <f>운전실적_원본!F189</f>
        <v>0</v>
      </c>
      <c r="K189" s="16" t="str">
        <f t="shared" si="963"/>
        <v/>
      </c>
      <c r="L189" s="32">
        <f>운전실적_원본!G189</f>
        <v>0</v>
      </c>
      <c r="M189" s="31" t="str">
        <f t="shared" ref="M189" si="1070">IF(OR(LEN(L189)=0,L189=0),"",L189-L188)</f>
        <v/>
      </c>
      <c r="N189" s="15">
        <f>운전실적_원본!H189</f>
        <v>0</v>
      </c>
      <c r="O189" s="16" t="str">
        <f t="shared" ref="O189" si="1071">IF(OR(LEN(N189)=0,N189=0),"",N189-N188)</f>
        <v/>
      </c>
      <c r="P189" s="15">
        <f>운전실적_원본!I189</f>
        <v>0</v>
      </c>
      <c r="Q189" s="16" t="str">
        <f t="shared" ref="Q189" si="1072">IF(OR(LEN(P189)=0,P189=0),"",P189-P188)</f>
        <v/>
      </c>
      <c r="R189" s="18">
        <f>운전실적_원본!J189</f>
        <v>0</v>
      </c>
      <c r="S189" s="19" t="str">
        <f t="shared" ref="S189" si="1073">IF(OR(LEN(R189)=0,R189=0),"",R189-R188)</f>
        <v/>
      </c>
      <c r="T189" s="18">
        <f>운전실적_원본!K189</f>
        <v>0</v>
      </c>
      <c r="U189" s="19" t="str">
        <f t="shared" si="968"/>
        <v/>
      </c>
      <c r="V189" s="12">
        <f>운전실적_원본!L189</f>
        <v>0</v>
      </c>
      <c r="W189" s="16" t="str">
        <f t="shared" ref="W189" si="1074">IF(OR(LEN(V189)=0,V189=0),"",V189-V188)</f>
        <v/>
      </c>
      <c r="X189" s="10">
        <f>운전실적_원본!M189</f>
        <v>0</v>
      </c>
      <c r="Y189" s="10">
        <f>운전실적_원본!N189</f>
        <v>0</v>
      </c>
      <c r="Z189" s="10">
        <f>운전실적_원본!O189</f>
        <v>0</v>
      </c>
      <c r="AA189" s="10">
        <f>운전실적_원본!P189</f>
        <v>0</v>
      </c>
      <c r="AB189" s="10">
        <f>운전실적_원본!Q189</f>
        <v>0</v>
      </c>
      <c r="AC189" s="20">
        <f>운전실적_원본!R189</f>
        <v>0</v>
      </c>
      <c r="AD189" s="109">
        <f>운전실적_원본!S189</f>
        <v>0</v>
      </c>
      <c r="AE189" s="110">
        <f>운전실적_원본!T189</f>
        <v>0</v>
      </c>
      <c r="AF189" s="110">
        <f>운전실적_원본!U189</f>
        <v>0</v>
      </c>
      <c r="AG189" s="110">
        <f>운전실적_원본!V189</f>
        <v>0</v>
      </c>
      <c r="AH189" s="109">
        <f t="shared" si="791"/>
        <v>0</v>
      </c>
      <c r="AI189" s="110">
        <f t="shared" si="798"/>
        <v>0</v>
      </c>
      <c r="AJ189" s="110">
        <f>운전실적_원본!Y189</f>
        <v>0</v>
      </c>
      <c r="AK189" s="110">
        <f>운전실적_원본!Z189</f>
        <v>0</v>
      </c>
      <c r="AL189" s="106"/>
      <c r="AM189" s="105"/>
      <c r="AN189" s="105"/>
      <c r="AO189" s="105"/>
      <c r="AP189" s="105"/>
      <c r="AQ189" s="108"/>
      <c r="AR189" s="105"/>
      <c r="AS189" s="105"/>
      <c r="AT189" s="102"/>
      <c r="AU189" s="102"/>
      <c r="AV189" s="102"/>
      <c r="AW189" s="102"/>
      <c r="AX189" s="32">
        <f>운전실적_원본!W189</f>
        <v>0</v>
      </c>
      <c r="AY189" s="11">
        <f>운전실적_원본!X189</f>
        <v>0</v>
      </c>
      <c r="AZ189" s="11">
        <f>운전실적_원본!Y189</f>
        <v>0</v>
      </c>
      <c r="BA189" s="11">
        <f>운전실적_원본!Z189</f>
        <v>0</v>
      </c>
      <c r="BB189" s="11">
        <f>운전실적_원본!AA189</f>
        <v>0</v>
      </c>
      <c r="BC189" s="11">
        <f>운전실적_원본!AB189</f>
        <v>0</v>
      </c>
      <c r="BD189" s="32" t="str">
        <f t="shared" si="784"/>
        <v>-</v>
      </c>
      <c r="BE189" s="11" t="str">
        <f t="shared" si="792"/>
        <v>-</v>
      </c>
      <c r="BF189" s="11">
        <f>운전실적_원본!AE189</f>
        <v>0</v>
      </c>
      <c r="BG189" s="31">
        <f t="shared" si="785"/>
        <v>0</v>
      </c>
      <c r="BH189" s="241">
        <f>INDEX(연료전지_원본!$A$4:$KY$369,MATCH($A189,연료전지_원본!$A$4:$A$369,0),MATCH($BH$4,연료전지_원본!$A$4:$KY$4,0))</f>
        <v>0</v>
      </c>
      <c r="BI189" s="241">
        <f>INDEX(연료전지_원본!$A$4:$KY$369,MATCH($A189,연료전지_원본!$A$4:$A$369,0),MATCH($BI$4,연료전지_원본!$A$4:$KY$4,0))</f>
        <v>0</v>
      </c>
      <c r="BJ189" s="241">
        <f>INDEX(연료전지_원본!$A$4:$KY$369,MATCH($A189,연료전지_원본!$A$4:$A$369,0),MATCH($BJ$4,연료전지_원본!$A$4:$KY$4,0))</f>
        <v>0</v>
      </c>
      <c r="BK189" s="241">
        <f>INDEX(연료전지_원본!$A$4:$KY$369,MATCH($A189,연료전지_원본!$A$4:$A$369,0),MATCH($BK$4,연료전지_원본!$A$4:$KY$4,0))</f>
        <v>0</v>
      </c>
      <c r="BL189" s="241">
        <f>INDEX(연료전지_원본!$A$4:$KY$369,MATCH($A189,연료전지_원본!$A$4:$A$369,0),MATCH($BL$4,연료전지_원본!$A$4:$KY$4,0))</f>
        <v>0</v>
      </c>
      <c r="BM189" s="241">
        <f>INDEX(연료전지_원본!$A$4:$KY$369,MATCH($A189,연료전지_원본!$A$4:$A$369,0),MATCH($BM$4,연료전지_원본!$A$4:$KY$4,0))</f>
        <v>0</v>
      </c>
      <c r="BN189" s="241">
        <f>INDEX(연료전지_원본!$A$4:$KY$369,MATCH($A189,연료전지_원본!$A$4:$A$369,0),MATCH($BN$4,연료전지_원본!$A$4:$KY$4,0))</f>
        <v>0</v>
      </c>
      <c r="BO189" s="241">
        <f>INDEX(연료전지_원본!$A$4:$KY$369,MATCH($A189,연료전지_원본!$A$4:$A$369,0),MATCH($BO$4,연료전지_원본!$A$4:$KY$4,0))</f>
        <v>0</v>
      </c>
      <c r="BP189" s="241">
        <f>INDEX(연료전지_원본!$A$4:$KY$369,MATCH($A189,연료전지_원본!$A$4:$A$369,0),MATCH($BP$4,연료전지_원본!$A$4:$KY$4,0))</f>
        <v>0</v>
      </c>
      <c r="BQ189" s="241">
        <f>INDEX(연료전지_원본!$A$4:$KY$369,MATCH($A189,연료전지_원본!$A$4:$A$369,0),MATCH($BQ$4,연료전지_원본!$A$4:$KY$4,0))</f>
        <v>0</v>
      </c>
      <c r="BR189" s="241">
        <f>INDEX(연료전지_원본!$A$4:$KY$369,MATCH($A189,연료전지_원본!$A$4:$A$369,0),MATCH($BR$4,연료전지_원본!$A$4:$KY$4,0))</f>
        <v>0</v>
      </c>
      <c r="BS189" s="241">
        <f>INDEX(연료전지_원본!$A$4:$KY$369,MATCH($A189,연료전지_원본!$A$4:$A$369,0),MATCH($BS$4,연료전지_원본!$A$4:$KY$4,0))</f>
        <v>0</v>
      </c>
      <c r="BT189" s="241">
        <f>INDEX(연료전지_원본!$A$4:$KY$369,MATCH($A189,연료전지_원본!$A$4:$A$369,0),MATCH($BT$4,연료전지_원본!$A$4:$KY$4,0))</f>
        <v>0</v>
      </c>
      <c r="BU189" s="241">
        <f>INDEX(연료전지_원본!$A$4:$KY$369,MATCH($A189,연료전지_원본!$A$4:$A$369,0),MATCH($BU$4,연료전지_원본!$A$4:$KY$4,0))</f>
        <v>0</v>
      </c>
      <c r="BV189" s="241">
        <f>INDEX(연료전지_원본!$A$4:$KY$369,MATCH($A189,연료전지_원본!$A$4:$A$369,0),MATCH($BV$4,연료전지_원본!$A$4:$KY$4,0))</f>
        <v>0</v>
      </c>
      <c r="BW189" s="241">
        <f>INDEX(연료전지_원본!$A$4:$KY$369,MATCH($A189,연료전지_원본!$A$4:$A$369,0),MATCH($BW$4,연료전지_원본!$A$4:$KY$4,0))</f>
        <v>0</v>
      </c>
      <c r="BX189" s="241">
        <f>INDEX(연료전지_원본!$A$4:$KY$369,MATCH($A189,연료전지_원본!$A$4:$A$369,0),MATCH($BX$4,연료전지_원본!$A$4:$KY$4,0))</f>
        <v>0</v>
      </c>
      <c r="BY189" s="241">
        <f>INDEX(연료전지_원본!$A$4:$KY$369,MATCH($A189,연료전지_원본!$A$4:$A$369,0),MATCH($BY$4,연료전지_원본!$A$4:$KY$4,0))</f>
        <v>0</v>
      </c>
      <c r="BZ189" s="241">
        <f>INDEX(연료전지_원본!$A$4:$KY$369,MATCH($A189,연료전지_원본!$A$4:$A$369,0),MATCH($BZ$4,연료전지_원본!$A$4:$KY$4,0))</f>
        <v>0</v>
      </c>
      <c r="CA189" s="241">
        <f>INDEX(연료전지_원본!$A$4:$KY$369,MATCH($A189,연료전지_원본!$A$4:$A$369,0),MATCH($CA$4,연료전지_원본!$A$4:$KY$4,0))</f>
        <v>0</v>
      </c>
      <c r="CB189" s="241">
        <f>INDEX(연료전지_원본!$A$4:$KY$369,MATCH($A189,연료전지_원본!$A$4:$A$369,0),MATCH($CB$4,연료전지_원본!$A$4:$KY$4,0))</f>
        <v>0</v>
      </c>
      <c r="CC189" s="242">
        <f>INDEX(연료전지_원본!$A$4:$KY$369,MATCH($A189,연료전지_원본!$A$4:$A$369,0),MATCH($CC$4,연료전지_원본!$A$4:$KY$4,0))</f>
        <v>0</v>
      </c>
      <c r="CD189" s="250">
        <f>INDEX(연료전지_원본!$KB$4:$KX$369,MATCH($A189,연료전지_원본!$KB$4:$KB$369,0), MATCH(CD$4,연료전지_원본!$KB$4:$KX$4,0))*1000</f>
        <v>0</v>
      </c>
      <c r="CE189" s="250">
        <f>INDEX(연료전지_원본!$KB$4:$KX$369,MATCH($A189,연료전지_원본!$KB$4:$KB$369,0), MATCH(CE$4,연료전지_원본!$KB$4:$KX$4,0))*1000</f>
        <v>0</v>
      </c>
      <c r="CF189" s="250">
        <f>INDEX(연료전지_원본!$KB$4:$KX$369,MATCH($A189,연료전지_원본!$KB$4:$KB$369,0), MATCH(CF$4,연료전지_원본!$KB$4:$KX$4,0))*1000</f>
        <v>0</v>
      </c>
      <c r="CG189" s="250">
        <f>INDEX(연료전지_원본!$KB$4:$KX$369,MATCH($A189,연료전지_원본!$KB$4:$KB$369,0), MATCH(CG$4,연료전지_원본!$KB$4:$KX$4,0))*1000</f>
        <v>0</v>
      </c>
      <c r="CH189" s="250">
        <f>INDEX(연료전지_원본!$KB$4:$KX$369,MATCH($A189,연료전지_원본!$KB$4:$KB$369,0), MATCH(CH$4,연료전지_원본!$KB$4:$KX$4,0))*1000</f>
        <v>0</v>
      </c>
      <c r="CI189" s="250">
        <f>INDEX(연료전지_원본!$KB$4:$KX$369,MATCH($A189,연료전지_원본!$KB$4:$KB$369,0), MATCH(CI$4,연료전지_원본!$KB$4:$KX$4,0))*1000</f>
        <v>0</v>
      </c>
      <c r="CJ189" s="250">
        <f>INDEX(연료전지_원본!$KB$4:$KX$369,MATCH($A189,연료전지_원본!$KB$4:$KB$369,0), MATCH(CJ$4,연료전지_원본!$KB$4:$KX$4,0))*1000</f>
        <v>0</v>
      </c>
      <c r="CK189" s="250">
        <f>INDEX(연료전지_원본!$KB$4:$KX$369,MATCH($A189,연료전지_원본!$KB$4:$KB$369,0), MATCH(CK$4,연료전지_원본!$KB$4:$KX$4,0))*1000</f>
        <v>0</v>
      </c>
      <c r="CL189" s="250">
        <f>INDEX(연료전지_원본!$KB$4:$KX$369,MATCH($A189,연료전지_원본!$KB$4:$KB$369,0), MATCH(CL$4,연료전지_원본!$KB$4:$KX$4,0))*1000</f>
        <v>0</v>
      </c>
      <c r="CM189" s="250">
        <f>INDEX(연료전지_원본!$KB$4:$KX$369,MATCH($A189,연료전지_원본!$KB$4:$KB$369,0), MATCH(CM$4,연료전지_원본!$KB$4:$KX$4,0))*1000</f>
        <v>0</v>
      </c>
      <c r="CN189" s="250">
        <f>INDEX(연료전지_원본!$KB$4:$KX$369,MATCH($A189,연료전지_원본!$KB$4:$KB$369,0), MATCH(CN$4,연료전지_원본!$KB$4:$KX$4,0))*1000</f>
        <v>0</v>
      </c>
      <c r="CO189" s="250">
        <f>INDEX(연료전지_원본!$KB$4:$KX$369,MATCH($A189,연료전지_원본!$KB$4:$KB$369,0), MATCH(CO$4,연료전지_원본!$KB$4:$KX$4,0))*1000</f>
        <v>0</v>
      </c>
      <c r="CP189" s="250">
        <f>INDEX(연료전지_원본!$KB$4:$KX$369,MATCH($A189,연료전지_원본!$KB$4:$KB$369,0), MATCH(CP$4,연료전지_원본!$KB$4:$KX$4,0))*1000</f>
        <v>0</v>
      </c>
      <c r="CQ189" s="250">
        <f>INDEX(연료전지_원본!$KB$4:$KX$369,MATCH($A189,연료전지_원본!$KB$4:$KB$369,0), MATCH(CQ$4,연료전지_원본!$KB$4:$KX$4,0))*1000</f>
        <v>0</v>
      </c>
      <c r="CR189" s="250">
        <f>INDEX(연료전지_원본!$KB$4:$KX$369,MATCH($A189,연료전지_원본!$KB$4:$KB$369,0), MATCH(CR$4,연료전지_원본!$KB$4:$KX$4,0))*1000</f>
        <v>0</v>
      </c>
      <c r="CS189" s="250">
        <f>INDEX(연료전지_원본!$KB$4:$KX$369,MATCH($A189,연료전지_원본!$KB$4:$KB$369,0), MATCH(CS$4,연료전지_원본!$KB$4:$KX$4,0))*1000</f>
        <v>0</v>
      </c>
      <c r="CT189" s="250">
        <f>INDEX(연료전지_원본!$KB$4:$KX$369,MATCH($A189,연료전지_원본!$KB$4:$KB$369,0), MATCH(CT$4,연료전지_원본!$KB$4:$KX$4,0))*1000</f>
        <v>0</v>
      </c>
      <c r="CU189" s="250">
        <f>INDEX(연료전지_원본!$KB$4:$KX$369,MATCH($A189,연료전지_원본!$KB$4:$KB$369,0), MATCH(CU$4,연료전지_원본!$KB$4:$KX$4,0))*1000</f>
        <v>0</v>
      </c>
      <c r="CV189" s="250">
        <f>INDEX(연료전지_원본!$KB$4:$KX$369,MATCH($A189,연료전지_원본!$KB$4:$KB$369,0), MATCH(CV$4,연료전지_원본!$KB$4:$KX$4,0))*1000</f>
        <v>0</v>
      </c>
      <c r="CW189" s="250">
        <f>INDEX(연료전지_원본!$KB$4:$KX$369,MATCH($A189,연료전지_원본!$KB$4:$KB$369,0), MATCH(CW$4,연료전지_원본!$KB$4:$KX$4,0))*1000</f>
        <v>0</v>
      </c>
      <c r="CX189" s="250">
        <f>INDEX(연료전지_원본!$KB$4:$KX$369,MATCH($A189,연료전지_원본!$KB$4:$KB$369,0), MATCH(CX$4,연료전지_원본!$KB$4:$KX$4,0))*1000</f>
        <v>0</v>
      </c>
      <c r="CY189" s="250">
        <f>INDEX(연료전지_원본!$KB$4:$KX$369,MATCH($A189,연료전지_원본!$KB$4:$KB$369,0), MATCH(CY$4,연료전지_원본!$KB$4:$KX$4,0))*1000</f>
        <v>0</v>
      </c>
      <c r="DV189" s="30">
        <f t="shared" si="954"/>
        <v>0</v>
      </c>
    </row>
    <row r="190" spans="1:126">
      <c r="A190" s="6">
        <v>46207</v>
      </c>
      <c r="B190" s="15">
        <f>운전실적_원본!B190</f>
        <v>0</v>
      </c>
      <c r="C190" s="16" t="str">
        <f t="shared" si="960"/>
        <v/>
      </c>
      <c r="D190" s="12">
        <f>운전실적_원본!C190</f>
        <v>0</v>
      </c>
      <c r="E190" s="12" t="str">
        <f t="shared" si="961"/>
        <v/>
      </c>
      <c r="F190" s="12">
        <f>운전실적_원본!D190</f>
        <v>0</v>
      </c>
      <c r="G190" s="16" t="str">
        <f t="shared" si="962"/>
        <v/>
      </c>
      <c r="H190" s="15">
        <f>운전실적_원본!E190</f>
        <v>0</v>
      </c>
      <c r="I190" s="16" t="str">
        <f t="shared" si="963"/>
        <v/>
      </c>
      <c r="J190" s="15">
        <f>운전실적_원본!F190</f>
        <v>0</v>
      </c>
      <c r="K190" s="16" t="str">
        <f t="shared" si="963"/>
        <v/>
      </c>
      <c r="L190" s="32">
        <f>운전실적_원본!G190</f>
        <v>0</v>
      </c>
      <c r="M190" s="31" t="str">
        <f t="shared" ref="M190" si="1075">IF(OR(LEN(L190)=0,L190=0),"",L190-L189)</f>
        <v/>
      </c>
      <c r="N190" s="15">
        <f>운전실적_원본!H190</f>
        <v>0</v>
      </c>
      <c r="O190" s="16" t="str">
        <f t="shared" ref="O190" si="1076">IF(OR(LEN(N190)=0,N190=0),"",N190-N189)</f>
        <v/>
      </c>
      <c r="P190" s="15">
        <f>운전실적_원본!I190</f>
        <v>0</v>
      </c>
      <c r="Q190" s="16" t="str">
        <f t="shared" ref="Q190" si="1077">IF(OR(LEN(P190)=0,P190=0),"",P190-P189)</f>
        <v/>
      </c>
      <c r="R190" s="18">
        <f>운전실적_원본!J190</f>
        <v>0</v>
      </c>
      <c r="S190" s="19" t="str">
        <f t="shared" ref="S190" si="1078">IF(OR(LEN(R190)=0,R190=0),"",R190-R189)</f>
        <v/>
      </c>
      <c r="T190" s="18">
        <f>운전실적_원본!K190</f>
        <v>0</v>
      </c>
      <c r="U190" s="19" t="str">
        <f t="shared" si="968"/>
        <v/>
      </c>
      <c r="V190" s="12">
        <f>운전실적_원본!L190</f>
        <v>0</v>
      </c>
      <c r="W190" s="16" t="str">
        <f t="shared" ref="W190" si="1079">IF(OR(LEN(V190)=0,V190=0),"",V190-V189)</f>
        <v/>
      </c>
      <c r="X190" s="10">
        <f>운전실적_원본!M190</f>
        <v>0</v>
      </c>
      <c r="Y190" s="10">
        <f>운전실적_원본!N190</f>
        <v>0</v>
      </c>
      <c r="Z190" s="10">
        <f>운전실적_원본!O190</f>
        <v>0</v>
      </c>
      <c r="AA190" s="10">
        <f>운전실적_원본!P190</f>
        <v>0</v>
      </c>
      <c r="AB190" s="10">
        <f>운전실적_원본!Q190</f>
        <v>0</v>
      </c>
      <c r="AC190" s="20">
        <f>운전실적_원본!R190</f>
        <v>0</v>
      </c>
      <c r="AD190" s="109">
        <f>운전실적_원본!S190</f>
        <v>0</v>
      </c>
      <c r="AE190" s="110">
        <f>운전실적_원본!T190</f>
        <v>0</v>
      </c>
      <c r="AF190" s="110">
        <f>운전실적_원본!U190</f>
        <v>0</v>
      </c>
      <c r="AG190" s="110">
        <f>운전실적_원본!V190</f>
        <v>0</v>
      </c>
      <c r="AH190" s="109">
        <f t="shared" si="791"/>
        <v>0</v>
      </c>
      <c r="AI190" s="110">
        <f t="shared" si="798"/>
        <v>0</v>
      </c>
      <c r="AJ190" s="110">
        <f>운전실적_원본!Y190</f>
        <v>0</v>
      </c>
      <c r="AK190" s="110">
        <f>운전실적_원본!Z190</f>
        <v>0</v>
      </c>
      <c r="AL190" s="106"/>
      <c r="AM190" s="105"/>
      <c r="AN190" s="105"/>
      <c r="AO190" s="105"/>
      <c r="AP190" s="105"/>
      <c r="AQ190" s="108"/>
      <c r="AR190" s="105"/>
      <c r="AS190" s="105"/>
      <c r="AT190" s="102"/>
      <c r="AU190" s="102"/>
      <c r="AV190" s="102"/>
      <c r="AW190" s="102"/>
      <c r="AX190" s="32">
        <f>운전실적_원본!W190</f>
        <v>0</v>
      </c>
      <c r="AY190" s="11">
        <f>운전실적_원본!X190</f>
        <v>0</v>
      </c>
      <c r="AZ190" s="11">
        <f>운전실적_원본!Y190</f>
        <v>0</v>
      </c>
      <c r="BA190" s="11">
        <f>운전실적_원본!Z190</f>
        <v>0</v>
      </c>
      <c r="BB190" s="11">
        <f>운전실적_원본!AA190</f>
        <v>0</v>
      </c>
      <c r="BC190" s="11">
        <f>운전실적_원본!AB190</f>
        <v>0</v>
      </c>
      <c r="BD190" s="32" t="str">
        <f t="shared" si="784"/>
        <v>-</v>
      </c>
      <c r="BE190" s="11" t="str">
        <f t="shared" si="792"/>
        <v>-</v>
      </c>
      <c r="BF190" s="11">
        <f>운전실적_원본!AE190</f>
        <v>0</v>
      </c>
      <c r="BG190" s="31">
        <f t="shared" si="785"/>
        <v>0</v>
      </c>
      <c r="BH190" s="241">
        <f>INDEX(연료전지_원본!$A$4:$KY$369,MATCH($A190,연료전지_원본!$A$4:$A$369,0),MATCH($BH$4,연료전지_원본!$A$4:$KY$4,0))</f>
        <v>0</v>
      </c>
      <c r="BI190" s="241">
        <f>INDEX(연료전지_원본!$A$4:$KY$369,MATCH($A190,연료전지_원본!$A$4:$A$369,0),MATCH($BI$4,연료전지_원본!$A$4:$KY$4,0))</f>
        <v>0</v>
      </c>
      <c r="BJ190" s="241">
        <f>INDEX(연료전지_원본!$A$4:$KY$369,MATCH($A190,연료전지_원본!$A$4:$A$369,0),MATCH($BJ$4,연료전지_원본!$A$4:$KY$4,0))</f>
        <v>0</v>
      </c>
      <c r="BK190" s="241">
        <f>INDEX(연료전지_원본!$A$4:$KY$369,MATCH($A190,연료전지_원본!$A$4:$A$369,0),MATCH($BK$4,연료전지_원본!$A$4:$KY$4,0))</f>
        <v>0</v>
      </c>
      <c r="BL190" s="241">
        <f>INDEX(연료전지_원본!$A$4:$KY$369,MATCH($A190,연료전지_원본!$A$4:$A$369,0),MATCH($BL$4,연료전지_원본!$A$4:$KY$4,0))</f>
        <v>0</v>
      </c>
      <c r="BM190" s="241">
        <f>INDEX(연료전지_원본!$A$4:$KY$369,MATCH($A190,연료전지_원본!$A$4:$A$369,0),MATCH($BM$4,연료전지_원본!$A$4:$KY$4,0))</f>
        <v>0</v>
      </c>
      <c r="BN190" s="241">
        <f>INDEX(연료전지_원본!$A$4:$KY$369,MATCH($A190,연료전지_원본!$A$4:$A$369,0),MATCH($BN$4,연료전지_원본!$A$4:$KY$4,0))</f>
        <v>0</v>
      </c>
      <c r="BO190" s="241">
        <f>INDEX(연료전지_원본!$A$4:$KY$369,MATCH($A190,연료전지_원본!$A$4:$A$369,0),MATCH($BO$4,연료전지_원본!$A$4:$KY$4,0))</f>
        <v>0</v>
      </c>
      <c r="BP190" s="241">
        <f>INDEX(연료전지_원본!$A$4:$KY$369,MATCH($A190,연료전지_원본!$A$4:$A$369,0),MATCH($BP$4,연료전지_원본!$A$4:$KY$4,0))</f>
        <v>0</v>
      </c>
      <c r="BQ190" s="241">
        <f>INDEX(연료전지_원본!$A$4:$KY$369,MATCH($A190,연료전지_원본!$A$4:$A$369,0),MATCH($BQ$4,연료전지_원본!$A$4:$KY$4,0))</f>
        <v>0</v>
      </c>
      <c r="BR190" s="241">
        <f>INDEX(연료전지_원본!$A$4:$KY$369,MATCH($A190,연료전지_원본!$A$4:$A$369,0),MATCH($BR$4,연료전지_원본!$A$4:$KY$4,0))</f>
        <v>0</v>
      </c>
      <c r="BS190" s="241">
        <f>INDEX(연료전지_원본!$A$4:$KY$369,MATCH($A190,연료전지_원본!$A$4:$A$369,0),MATCH($BS$4,연료전지_원본!$A$4:$KY$4,0))</f>
        <v>0</v>
      </c>
      <c r="BT190" s="241">
        <f>INDEX(연료전지_원본!$A$4:$KY$369,MATCH($A190,연료전지_원본!$A$4:$A$369,0),MATCH($BT$4,연료전지_원본!$A$4:$KY$4,0))</f>
        <v>0</v>
      </c>
      <c r="BU190" s="241">
        <f>INDEX(연료전지_원본!$A$4:$KY$369,MATCH($A190,연료전지_원본!$A$4:$A$369,0),MATCH($BU$4,연료전지_원본!$A$4:$KY$4,0))</f>
        <v>0</v>
      </c>
      <c r="BV190" s="241">
        <f>INDEX(연료전지_원본!$A$4:$KY$369,MATCH($A190,연료전지_원본!$A$4:$A$369,0),MATCH($BV$4,연료전지_원본!$A$4:$KY$4,0))</f>
        <v>0</v>
      </c>
      <c r="BW190" s="241">
        <f>INDEX(연료전지_원본!$A$4:$KY$369,MATCH($A190,연료전지_원본!$A$4:$A$369,0),MATCH($BW$4,연료전지_원본!$A$4:$KY$4,0))</f>
        <v>0</v>
      </c>
      <c r="BX190" s="241">
        <f>INDEX(연료전지_원본!$A$4:$KY$369,MATCH($A190,연료전지_원본!$A$4:$A$369,0),MATCH($BX$4,연료전지_원본!$A$4:$KY$4,0))</f>
        <v>0</v>
      </c>
      <c r="BY190" s="241">
        <f>INDEX(연료전지_원본!$A$4:$KY$369,MATCH($A190,연료전지_원본!$A$4:$A$369,0),MATCH($BY$4,연료전지_원본!$A$4:$KY$4,0))</f>
        <v>0</v>
      </c>
      <c r="BZ190" s="241">
        <f>INDEX(연료전지_원본!$A$4:$KY$369,MATCH($A190,연료전지_원본!$A$4:$A$369,0),MATCH($BZ$4,연료전지_원본!$A$4:$KY$4,0))</f>
        <v>0</v>
      </c>
      <c r="CA190" s="241">
        <f>INDEX(연료전지_원본!$A$4:$KY$369,MATCH($A190,연료전지_원본!$A$4:$A$369,0),MATCH($CA$4,연료전지_원본!$A$4:$KY$4,0))</f>
        <v>0</v>
      </c>
      <c r="CB190" s="241">
        <f>INDEX(연료전지_원본!$A$4:$KY$369,MATCH($A190,연료전지_원본!$A$4:$A$369,0),MATCH($CB$4,연료전지_원본!$A$4:$KY$4,0))</f>
        <v>0</v>
      </c>
      <c r="CC190" s="242">
        <f>INDEX(연료전지_원본!$A$4:$KY$369,MATCH($A190,연료전지_원본!$A$4:$A$369,0),MATCH($CC$4,연료전지_원본!$A$4:$KY$4,0))</f>
        <v>0</v>
      </c>
      <c r="CD190" s="250">
        <f>INDEX(연료전지_원본!$KB$4:$KX$369,MATCH($A190,연료전지_원본!$KB$4:$KB$369,0), MATCH(CD$4,연료전지_원본!$KB$4:$KX$4,0))*1000</f>
        <v>0</v>
      </c>
      <c r="CE190" s="250">
        <f>INDEX(연료전지_원본!$KB$4:$KX$369,MATCH($A190,연료전지_원본!$KB$4:$KB$369,0), MATCH(CE$4,연료전지_원본!$KB$4:$KX$4,0))*1000</f>
        <v>0</v>
      </c>
      <c r="CF190" s="250">
        <f>INDEX(연료전지_원본!$KB$4:$KX$369,MATCH($A190,연료전지_원본!$KB$4:$KB$369,0), MATCH(CF$4,연료전지_원본!$KB$4:$KX$4,0))*1000</f>
        <v>0</v>
      </c>
      <c r="CG190" s="250">
        <f>INDEX(연료전지_원본!$KB$4:$KX$369,MATCH($A190,연료전지_원본!$KB$4:$KB$369,0), MATCH(CG$4,연료전지_원본!$KB$4:$KX$4,0))*1000</f>
        <v>0</v>
      </c>
      <c r="CH190" s="250">
        <f>INDEX(연료전지_원본!$KB$4:$KX$369,MATCH($A190,연료전지_원본!$KB$4:$KB$369,0), MATCH(CH$4,연료전지_원본!$KB$4:$KX$4,0))*1000</f>
        <v>0</v>
      </c>
      <c r="CI190" s="250">
        <f>INDEX(연료전지_원본!$KB$4:$KX$369,MATCH($A190,연료전지_원본!$KB$4:$KB$369,0), MATCH(CI$4,연료전지_원본!$KB$4:$KX$4,0))*1000</f>
        <v>0</v>
      </c>
      <c r="CJ190" s="250">
        <f>INDEX(연료전지_원본!$KB$4:$KX$369,MATCH($A190,연료전지_원본!$KB$4:$KB$369,0), MATCH(CJ$4,연료전지_원본!$KB$4:$KX$4,0))*1000</f>
        <v>0</v>
      </c>
      <c r="CK190" s="250">
        <f>INDEX(연료전지_원본!$KB$4:$KX$369,MATCH($A190,연료전지_원본!$KB$4:$KB$369,0), MATCH(CK$4,연료전지_원본!$KB$4:$KX$4,0))*1000</f>
        <v>0</v>
      </c>
      <c r="CL190" s="250">
        <f>INDEX(연료전지_원본!$KB$4:$KX$369,MATCH($A190,연료전지_원본!$KB$4:$KB$369,0), MATCH(CL$4,연료전지_원본!$KB$4:$KX$4,0))*1000</f>
        <v>0</v>
      </c>
      <c r="CM190" s="250">
        <f>INDEX(연료전지_원본!$KB$4:$KX$369,MATCH($A190,연료전지_원본!$KB$4:$KB$369,0), MATCH(CM$4,연료전지_원본!$KB$4:$KX$4,0))*1000</f>
        <v>0</v>
      </c>
      <c r="CN190" s="250">
        <f>INDEX(연료전지_원본!$KB$4:$KX$369,MATCH($A190,연료전지_원본!$KB$4:$KB$369,0), MATCH(CN$4,연료전지_원본!$KB$4:$KX$4,0))*1000</f>
        <v>0</v>
      </c>
      <c r="CO190" s="250">
        <f>INDEX(연료전지_원본!$KB$4:$KX$369,MATCH($A190,연료전지_원본!$KB$4:$KB$369,0), MATCH(CO$4,연료전지_원본!$KB$4:$KX$4,0))*1000</f>
        <v>0</v>
      </c>
      <c r="CP190" s="250">
        <f>INDEX(연료전지_원본!$KB$4:$KX$369,MATCH($A190,연료전지_원본!$KB$4:$KB$369,0), MATCH(CP$4,연료전지_원본!$KB$4:$KX$4,0))*1000</f>
        <v>0</v>
      </c>
      <c r="CQ190" s="250">
        <f>INDEX(연료전지_원본!$KB$4:$KX$369,MATCH($A190,연료전지_원본!$KB$4:$KB$369,0), MATCH(CQ$4,연료전지_원본!$KB$4:$KX$4,0))*1000</f>
        <v>0</v>
      </c>
      <c r="CR190" s="250">
        <f>INDEX(연료전지_원본!$KB$4:$KX$369,MATCH($A190,연료전지_원본!$KB$4:$KB$369,0), MATCH(CR$4,연료전지_원본!$KB$4:$KX$4,0))*1000</f>
        <v>0</v>
      </c>
      <c r="CS190" s="250">
        <f>INDEX(연료전지_원본!$KB$4:$KX$369,MATCH($A190,연료전지_원본!$KB$4:$KB$369,0), MATCH(CS$4,연료전지_원본!$KB$4:$KX$4,0))*1000</f>
        <v>0</v>
      </c>
      <c r="CT190" s="250">
        <f>INDEX(연료전지_원본!$KB$4:$KX$369,MATCH($A190,연료전지_원본!$KB$4:$KB$369,0), MATCH(CT$4,연료전지_원본!$KB$4:$KX$4,0))*1000</f>
        <v>0</v>
      </c>
      <c r="CU190" s="250">
        <f>INDEX(연료전지_원본!$KB$4:$KX$369,MATCH($A190,연료전지_원본!$KB$4:$KB$369,0), MATCH(CU$4,연료전지_원본!$KB$4:$KX$4,0))*1000</f>
        <v>0</v>
      </c>
      <c r="CV190" s="250">
        <f>INDEX(연료전지_원본!$KB$4:$KX$369,MATCH($A190,연료전지_원본!$KB$4:$KB$369,0), MATCH(CV$4,연료전지_원본!$KB$4:$KX$4,0))*1000</f>
        <v>0</v>
      </c>
      <c r="CW190" s="250">
        <f>INDEX(연료전지_원본!$KB$4:$KX$369,MATCH($A190,연료전지_원본!$KB$4:$KB$369,0), MATCH(CW$4,연료전지_원본!$KB$4:$KX$4,0))*1000</f>
        <v>0</v>
      </c>
      <c r="CX190" s="250">
        <f>INDEX(연료전지_원본!$KB$4:$KX$369,MATCH($A190,연료전지_원본!$KB$4:$KB$369,0), MATCH(CX$4,연료전지_원본!$KB$4:$KX$4,0))*1000</f>
        <v>0</v>
      </c>
      <c r="CY190" s="250">
        <f>INDEX(연료전지_원본!$KB$4:$KX$369,MATCH($A190,연료전지_원본!$KB$4:$KB$369,0), MATCH(CY$4,연료전지_원본!$KB$4:$KX$4,0))*1000</f>
        <v>0</v>
      </c>
      <c r="DV190" s="30">
        <f t="shared" si="954"/>
        <v>0</v>
      </c>
    </row>
    <row r="191" spans="1:126">
      <c r="A191" s="6">
        <v>46208</v>
      </c>
      <c r="B191" s="15">
        <f>운전실적_원본!B191</f>
        <v>0</v>
      </c>
      <c r="C191" s="16" t="str">
        <f t="shared" si="960"/>
        <v/>
      </c>
      <c r="D191" s="12">
        <f>운전실적_원본!C191</f>
        <v>0</v>
      </c>
      <c r="E191" s="12" t="str">
        <f t="shared" si="961"/>
        <v/>
      </c>
      <c r="F191" s="12">
        <f>운전실적_원본!D191</f>
        <v>0</v>
      </c>
      <c r="G191" s="16" t="str">
        <f t="shared" si="962"/>
        <v/>
      </c>
      <c r="H191" s="15">
        <f>운전실적_원본!E191</f>
        <v>0</v>
      </c>
      <c r="I191" s="16" t="str">
        <f t="shared" si="963"/>
        <v/>
      </c>
      <c r="J191" s="15">
        <f>운전실적_원본!F191</f>
        <v>0</v>
      </c>
      <c r="K191" s="16" t="str">
        <f t="shared" si="963"/>
        <v/>
      </c>
      <c r="L191" s="32">
        <f>운전실적_원본!G191</f>
        <v>0</v>
      </c>
      <c r="M191" s="31" t="str">
        <f t="shared" ref="M191" si="1080">IF(OR(LEN(L191)=0,L191=0),"",L191-L190)</f>
        <v/>
      </c>
      <c r="N191" s="15">
        <f>운전실적_원본!H191</f>
        <v>0</v>
      </c>
      <c r="O191" s="16" t="str">
        <f t="shared" ref="O191" si="1081">IF(OR(LEN(N191)=0,N191=0),"",N191-N190)</f>
        <v/>
      </c>
      <c r="P191" s="15">
        <f>운전실적_원본!I191</f>
        <v>0</v>
      </c>
      <c r="Q191" s="16" t="str">
        <f t="shared" ref="Q191" si="1082">IF(OR(LEN(P191)=0,P191=0),"",P191-P190)</f>
        <v/>
      </c>
      <c r="R191" s="18">
        <f>운전실적_원본!J191</f>
        <v>0</v>
      </c>
      <c r="S191" s="19" t="str">
        <f t="shared" ref="S191" si="1083">IF(OR(LEN(R191)=0,R191=0),"",R191-R190)</f>
        <v/>
      </c>
      <c r="T191" s="18">
        <f>운전실적_원본!K191</f>
        <v>0</v>
      </c>
      <c r="U191" s="19" t="str">
        <f t="shared" si="968"/>
        <v/>
      </c>
      <c r="V191" s="12">
        <f>운전실적_원본!L191</f>
        <v>0</v>
      </c>
      <c r="W191" s="16" t="str">
        <f t="shared" ref="W191" si="1084">IF(OR(LEN(V191)=0,V191=0),"",V191-V190)</f>
        <v/>
      </c>
      <c r="X191" s="10">
        <f>운전실적_원본!M191</f>
        <v>0</v>
      </c>
      <c r="Y191" s="10">
        <f>운전실적_원본!N191</f>
        <v>0</v>
      </c>
      <c r="Z191" s="10">
        <f>운전실적_원본!O191</f>
        <v>0</v>
      </c>
      <c r="AA191" s="10">
        <f>운전실적_원본!P191</f>
        <v>0</v>
      </c>
      <c r="AB191" s="10">
        <f>운전실적_원본!Q191</f>
        <v>0</v>
      </c>
      <c r="AC191" s="20">
        <f>운전실적_원본!R191</f>
        <v>0</v>
      </c>
      <c r="AD191" s="109">
        <f>운전실적_원본!S191</f>
        <v>0</v>
      </c>
      <c r="AE191" s="110">
        <f>운전실적_원본!T191</f>
        <v>0</v>
      </c>
      <c r="AF191" s="110">
        <f>운전실적_원본!U191</f>
        <v>0</v>
      </c>
      <c r="AG191" s="110">
        <f>운전실적_원본!V191</f>
        <v>0</v>
      </c>
      <c r="AH191" s="109">
        <f t="shared" si="791"/>
        <v>0</v>
      </c>
      <c r="AI191" s="110">
        <f t="shared" si="798"/>
        <v>0</v>
      </c>
      <c r="AJ191" s="110">
        <f>운전실적_원본!Y191</f>
        <v>0</v>
      </c>
      <c r="AK191" s="110">
        <f>운전실적_원본!Z191</f>
        <v>0</v>
      </c>
      <c r="AL191" s="106"/>
      <c r="AM191" s="105"/>
      <c r="AN191" s="105"/>
      <c r="AO191" s="105"/>
      <c r="AP191" s="105"/>
      <c r="AQ191" s="108"/>
      <c r="AR191" s="105"/>
      <c r="AS191" s="105"/>
      <c r="AT191" s="102"/>
      <c r="AU191" s="102"/>
      <c r="AV191" s="102"/>
      <c r="AW191" s="102"/>
      <c r="AX191" s="32">
        <f>운전실적_원본!W191</f>
        <v>0</v>
      </c>
      <c r="AY191" s="11">
        <f>운전실적_원본!X191</f>
        <v>0</v>
      </c>
      <c r="AZ191" s="11">
        <f>운전실적_원본!Y191</f>
        <v>0</v>
      </c>
      <c r="BA191" s="11">
        <f>운전실적_원본!Z191</f>
        <v>0</v>
      </c>
      <c r="BB191" s="11">
        <f>운전실적_원본!AA191</f>
        <v>0</v>
      </c>
      <c r="BC191" s="11">
        <f>운전실적_원본!AB191</f>
        <v>0</v>
      </c>
      <c r="BD191" s="32" t="str">
        <f t="shared" si="784"/>
        <v>-</v>
      </c>
      <c r="BE191" s="11" t="str">
        <f t="shared" si="792"/>
        <v>-</v>
      </c>
      <c r="BF191" s="11">
        <f>운전실적_원본!AE191</f>
        <v>0</v>
      </c>
      <c r="BG191" s="31">
        <f t="shared" si="785"/>
        <v>0</v>
      </c>
      <c r="BH191" s="241">
        <f>INDEX(연료전지_원본!$A$4:$KY$369,MATCH($A191,연료전지_원본!$A$4:$A$369,0),MATCH($BH$4,연료전지_원본!$A$4:$KY$4,0))</f>
        <v>0</v>
      </c>
      <c r="BI191" s="241">
        <f>INDEX(연료전지_원본!$A$4:$KY$369,MATCH($A191,연료전지_원본!$A$4:$A$369,0),MATCH($BI$4,연료전지_원본!$A$4:$KY$4,0))</f>
        <v>0</v>
      </c>
      <c r="BJ191" s="241">
        <f>INDEX(연료전지_원본!$A$4:$KY$369,MATCH($A191,연료전지_원본!$A$4:$A$369,0),MATCH($BJ$4,연료전지_원본!$A$4:$KY$4,0))</f>
        <v>0</v>
      </c>
      <c r="BK191" s="241">
        <f>INDEX(연료전지_원본!$A$4:$KY$369,MATCH($A191,연료전지_원본!$A$4:$A$369,0),MATCH($BK$4,연료전지_원본!$A$4:$KY$4,0))</f>
        <v>0</v>
      </c>
      <c r="BL191" s="241">
        <f>INDEX(연료전지_원본!$A$4:$KY$369,MATCH($A191,연료전지_원본!$A$4:$A$369,0),MATCH($BL$4,연료전지_원본!$A$4:$KY$4,0))</f>
        <v>0</v>
      </c>
      <c r="BM191" s="241">
        <f>INDEX(연료전지_원본!$A$4:$KY$369,MATCH($A191,연료전지_원본!$A$4:$A$369,0),MATCH($BM$4,연료전지_원본!$A$4:$KY$4,0))</f>
        <v>0</v>
      </c>
      <c r="BN191" s="241">
        <f>INDEX(연료전지_원본!$A$4:$KY$369,MATCH($A191,연료전지_원본!$A$4:$A$369,0),MATCH($BN$4,연료전지_원본!$A$4:$KY$4,0))</f>
        <v>0</v>
      </c>
      <c r="BO191" s="241">
        <f>INDEX(연료전지_원본!$A$4:$KY$369,MATCH($A191,연료전지_원본!$A$4:$A$369,0),MATCH($BO$4,연료전지_원본!$A$4:$KY$4,0))</f>
        <v>0</v>
      </c>
      <c r="BP191" s="241">
        <f>INDEX(연료전지_원본!$A$4:$KY$369,MATCH($A191,연료전지_원본!$A$4:$A$369,0),MATCH($BP$4,연료전지_원본!$A$4:$KY$4,0))</f>
        <v>0</v>
      </c>
      <c r="BQ191" s="241">
        <f>INDEX(연료전지_원본!$A$4:$KY$369,MATCH($A191,연료전지_원본!$A$4:$A$369,0),MATCH($BQ$4,연료전지_원본!$A$4:$KY$4,0))</f>
        <v>0</v>
      </c>
      <c r="BR191" s="241">
        <f>INDEX(연료전지_원본!$A$4:$KY$369,MATCH($A191,연료전지_원본!$A$4:$A$369,0),MATCH($BR$4,연료전지_원본!$A$4:$KY$4,0))</f>
        <v>0</v>
      </c>
      <c r="BS191" s="241">
        <f>INDEX(연료전지_원본!$A$4:$KY$369,MATCH($A191,연료전지_원본!$A$4:$A$369,0),MATCH($BS$4,연료전지_원본!$A$4:$KY$4,0))</f>
        <v>0</v>
      </c>
      <c r="BT191" s="241">
        <f>INDEX(연료전지_원본!$A$4:$KY$369,MATCH($A191,연료전지_원본!$A$4:$A$369,0),MATCH($BT$4,연료전지_원본!$A$4:$KY$4,0))</f>
        <v>0</v>
      </c>
      <c r="BU191" s="241">
        <f>INDEX(연료전지_원본!$A$4:$KY$369,MATCH($A191,연료전지_원본!$A$4:$A$369,0),MATCH($BU$4,연료전지_원본!$A$4:$KY$4,0))</f>
        <v>0</v>
      </c>
      <c r="BV191" s="241">
        <f>INDEX(연료전지_원본!$A$4:$KY$369,MATCH($A191,연료전지_원본!$A$4:$A$369,0),MATCH($BV$4,연료전지_원본!$A$4:$KY$4,0))</f>
        <v>0</v>
      </c>
      <c r="BW191" s="241">
        <f>INDEX(연료전지_원본!$A$4:$KY$369,MATCH($A191,연료전지_원본!$A$4:$A$369,0),MATCH($BW$4,연료전지_원본!$A$4:$KY$4,0))</f>
        <v>0</v>
      </c>
      <c r="BX191" s="241">
        <f>INDEX(연료전지_원본!$A$4:$KY$369,MATCH($A191,연료전지_원본!$A$4:$A$369,0),MATCH($BX$4,연료전지_원본!$A$4:$KY$4,0))</f>
        <v>0</v>
      </c>
      <c r="BY191" s="241">
        <f>INDEX(연료전지_원본!$A$4:$KY$369,MATCH($A191,연료전지_원본!$A$4:$A$369,0),MATCH($BY$4,연료전지_원본!$A$4:$KY$4,0))</f>
        <v>0</v>
      </c>
      <c r="BZ191" s="241">
        <f>INDEX(연료전지_원본!$A$4:$KY$369,MATCH($A191,연료전지_원본!$A$4:$A$369,0),MATCH($BZ$4,연료전지_원본!$A$4:$KY$4,0))</f>
        <v>0</v>
      </c>
      <c r="CA191" s="241">
        <f>INDEX(연료전지_원본!$A$4:$KY$369,MATCH($A191,연료전지_원본!$A$4:$A$369,0),MATCH($CA$4,연료전지_원본!$A$4:$KY$4,0))</f>
        <v>0</v>
      </c>
      <c r="CB191" s="241">
        <f>INDEX(연료전지_원본!$A$4:$KY$369,MATCH($A191,연료전지_원본!$A$4:$A$369,0),MATCH($CB$4,연료전지_원본!$A$4:$KY$4,0))</f>
        <v>0</v>
      </c>
      <c r="CC191" s="242">
        <f>INDEX(연료전지_원본!$A$4:$KY$369,MATCH($A191,연료전지_원본!$A$4:$A$369,0),MATCH($CC$4,연료전지_원본!$A$4:$KY$4,0))</f>
        <v>0</v>
      </c>
      <c r="CD191" s="250">
        <f>INDEX(연료전지_원본!$KB$4:$KX$369,MATCH($A191,연료전지_원본!$KB$4:$KB$369,0), MATCH(CD$4,연료전지_원본!$KB$4:$KX$4,0))*1000</f>
        <v>0</v>
      </c>
      <c r="CE191" s="250">
        <f>INDEX(연료전지_원본!$KB$4:$KX$369,MATCH($A191,연료전지_원본!$KB$4:$KB$369,0), MATCH(CE$4,연료전지_원본!$KB$4:$KX$4,0))*1000</f>
        <v>0</v>
      </c>
      <c r="CF191" s="250">
        <f>INDEX(연료전지_원본!$KB$4:$KX$369,MATCH($A191,연료전지_원본!$KB$4:$KB$369,0), MATCH(CF$4,연료전지_원본!$KB$4:$KX$4,0))*1000</f>
        <v>0</v>
      </c>
      <c r="CG191" s="250">
        <f>INDEX(연료전지_원본!$KB$4:$KX$369,MATCH($A191,연료전지_원본!$KB$4:$KB$369,0), MATCH(CG$4,연료전지_원본!$KB$4:$KX$4,0))*1000</f>
        <v>0</v>
      </c>
      <c r="CH191" s="250">
        <f>INDEX(연료전지_원본!$KB$4:$KX$369,MATCH($A191,연료전지_원본!$KB$4:$KB$369,0), MATCH(CH$4,연료전지_원본!$KB$4:$KX$4,0))*1000</f>
        <v>0</v>
      </c>
      <c r="CI191" s="250">
        <f>INDEX(연료전지_원본!$KB$4:$KX$369,MATCH($A191,연료전지_원본!$KB$4:$KB$369,0), MATCH(CI$4,연료전지_원본!$KB$4:$KX$4,0))*1000</f>
        <v>0</v>
      </c>
      <c r="CJ191" s="250">
        <f>INDEX(연료전지_원본!$KB$4:$KX$369,MATCH($A191,연료전지_원본!$KB$4:$KB$369,0), MATCH(CJ$4,연료전지_원본!$KB$4:$KX$4,0))*1000</f>
        <v>0</v>
      </c>
      <c r="CK191" s="250">
        <f>INDEX(연료전지_원본!$KB$4:$KX$369,MATCH($A191,연료전지_원본!$KB$4:$KB$369,0), MATCH(CK$4,연료전지_원본!$KB$4:$KX$4,0))*1000</f>
        <v>0</v>
      </c>
      <c r="CL191" s="250">
        <f>INDEX(연료전지_원본!$KB$4:$KX$369,MATCH($A191,연료전지_원본!$KB$4:$KB$369,0), MATCH(CL$4,연료전지_원본!$KB$4:$KX$4,0))*1000</f>
        <v>0</v>
      </c>
      <c r="CM191" s="250">
        <f>INDEX(연료전지_원본!$KB$4:$KX$369,MATCH($A191,연료전지_원본!$KB$4:$KB$369,0), MATCH(CM$4,연료전지_원본!$KB$4:$KX$4,0))*1000</f>
        <v>0</v>
      </c>
      <c r="CN191" s="250">
        <f>INDEX(연료전지_원본!$KB$4:$KX$369,MATCH($A191,연료전지_원본!$KB$4:$KB$369,0), MATCH(CN$4,연료전지_원본!$KB$4:$KX$4,0))*1000</f>
        <v>0</v>
      </c>
      <c r="CO191" s="250">
        <f>INDEX(연료전지_원본!$KB$4:$KX$369,MATCH($A191,연료전지_원본!$KB$4:$KB$369,0), MATCH(CO$4,연료전지_원본!$KB$4:$KX$4,0))*1000</f>
        <v>0</v>
      </c>
      <c r="CP191" s="250">
        <f>INDEX(연료전지_원본!$KB$4:$KX$369,MATCH($A191,연료전지_원본!$KB$4:$KB$369,0), MATCH(CP$4,연료전지_원본!$KB$4:$KX$4,0))*1000</f>
        <v>0</v>
      </c>
      <c r="CQ191" s="250">
        <f>INDEX(연료전지_원본!$KB$4:$KX$369,MATCH($A191,연료전지_원본!$KB$4:$KB$369,0), MATCH(CQ$4,연료전지_원본!$KB$4:$KX$4,0))*1000</f>
        <v>0</v>
      </c>
      <c r="CR191" s="250">
        <f>INDEX(연료전지_원본!$KB$4:$KX$369,MATCH($A191,연료전지_원본!$KB$4:$KB$369,0), MATCH(CR$4,연료전지_원본!$KB$4:$KX$4,0))*1000</f>
        <v>0</v>
      </c>
      <c r="CS191" s="250">
        <f>INDEX(연료전지_원본!$KB$4:$KX$369,MATCH($A191,연료전지_원본!$KB$4:$KB$369,0), MATCH(CS$4,연료전지_원본!$KB$4:$KX$4,0))*1000</f>
        <v>0</v>
      </c>
      <c r="CT191" s="250">
        <f>INDEX(연료전지_원본!$KB$4:$KX$369,MATCH($A191,연료전지_원본!$KB$4:$KB$369,0), MATCH(CT$4,연료전지_원본!$KB$4:$KX$4,0))*1000</f>
        <v>0</v>
      </c>
      <c r="CU191" s="250">
        <f>INDEX(연료전지_원본!$KB$4:$KX$369,MATCH($A191,연료전지_원본!$KB$4:$KB$369,0), MATCH(CU$4,연료전지_원본!$KB$4:$KX$4,0))*1000</f>
        <v>0</v>
      </c>
      <c r="CV191" s="250">
        <f>INDEX(연료전지_원본!$KB$4:$KX$369,MATCH($A191,연료전지_원본!$KB$4:$KB$369,0), MATCH(CV$4,연료전지_원본!$KB$4:$KX$4,0))*1000</f>
        <v>0</v>
      </c>
      <c r="CW191" s="250">
        <f>INDEX(연료전지_원본!$KB$4:$KX$369,MATCH($A191,연료전지_원본!$KB$4:$KB$369,0), MATCH(CW$4,연료전지_원본!$KB$4:$KX$4,0))*1000</f>
        <v>0</v>
      </c>
      <c r="CX191" s="250">
        <f>INDEX(연료전지_원본!$KB$4:$KX$369,MATCH($A191,연료전지_원본!$KB$4:$KB$369,0), MATCH(CX$4,연료전지_원본!$KB$4:$KX$4,0))*1000</f>
        <v>0</v>
      </c>
      <c r="CY191" s="250">
        <f>INDEX(연료전지_원본!$KB$4:$KX$369,MATCH($A191,연료전지_원본!$KB$4:$KB$369,0), MATCH(CY$4,연료전지_원본!$KB$4:$KX$4,0))*1000</f>
        <v>0</v>
      </c>
      <c r="DV191" s="30">
        <f t="shared" si="954"/>
        <v>0</v>
      </c>
    </row>
    <row r="192" spans="1:126">
      <c r="A192" s="6">
        <v>46209</v>
      </c>
      <c r="B192" s="15">
        <f>운전실적_원본!B192</f>
        <v>0</v>
      </c>
      <c r="C192" s="16" t="str">
        <f t="shared" si="960"/>
        <v/>
      </c>
      <c r="D192" s="12">
        <f>운전실적_원본!C192</f>
        <v>0</v>
      </c>
      <c r="E192" s="12" t="str">
        <f t="shared" si="961"/>
        <v/>
      </c>
      <c r="F192" s="12">
        <f>운전실적_원본!D192</f>
        <v>0</v>
      </c>
      <c r="G192" s="16" t="str">
        <f t="shared" si="962"/>
        <v/>
      </c>
      <c r="H192" s="15">
        <f>운전실적_원본!E192</f>
        <v>0</v>
      </c>
      <c r="I192" s="16" t="str">
        <f t="shared" si="963"/>
        <v/>
      </c>
      <c r="J192" s="15">
        <f>운전실적_원본!F192</f>
        <v>0</v>
      </c>
      <c r="K192" s="16" t="str">
        <f t="shared" si="963"/>
        <v/>
      </c>
      <c r="L192" s="32">
        <f>운전실적_원본!G192</f>
        <v>0</v>
      </c>
      <c r="M192" s="31" t="str">
        <f t="shared" ref="M192" si="1085">IF(OR(LEN(L192)=0,L192=0),"",L192-L191)</f>
        <v/>
      </c>
      <c r="N192" s="15">
        <f>운전실적_원본!H192</f>
        <v>0</v>
      </c>
      <c r="O192" s="16" t="str">
        <f t="shared" ref="O192" si="1086">IF(OR(LEN(N192)=0,N192=0),"",N192-N191)</f>
        <v/>
      </c>
      <c r="P192" s="15">
        <f>운전실적_원본!I192</f>
        <v>0</v>
      </c>
      <c r="Q192" s="16" t="str">
        <f t="shared" ref="Q192" si="1087">IF(OR(LEN(P192)=0,P192=0),"",P192-P191)</f>
        <v/>
      </c>
      <c r="R192" s="18">
        <f>운전실적_원본!J192</f>
        <v>0</v>
      </c>
      <c r="S192" s="19" t="str">
        <f t="shared" ref="S192" si="1088">IF(OR(LEN(R192)=0,R192=0),"",R192-R191)</f>
        <v/>
      </c>
      <c r="T192" s="18">
        <f>운전실적_원본!K192</f>
        <v>0</v>
      </c>
      <c r="U192" s="19" t="str">
        <f t="shared" si="968"/>
        <v/>
      </c>
      <c r="V192" s="12">
        <f>운전실적_원본!L192</f>
        <v>0</v>
      </c>
      <c r="W192" s="16" t="str">
        <f t="shared" ref="W192" si="1089">IF(OR(LEN(V192)=0,V192=0),"",V192-V191)</f>
        <v/>
      </c>
      <c r="X192" s="10">
        <f>운전실적_원본!M192</f>
        <v>0</v>
      </c>
      <c r="Y192" s="10">
        <f>운전실적_원본!N192</f>
        <v>0</v>
      </c>
      <c r="Z192" s="10">
        <f>운전실적_원본!O192</f>
        <v>0</v>
      </c>
      <c r="AA192" s="10">
        <f>운전실적_원본!P192</f>
        <v>0</v>
      </c>
      <c r="AB192" s="10">
        <f>운전실적_원본!Q192</f>
        <v>0</v>
      </c>
      <c r="AC192" s="20">
        <f>운전실적_원본!R192</f>
        <v>0</v>
      </c>
      <c r="AD192" s="109">
        <f>운전실적_원본!S192</f>
        <v>0</v>
      </c>
      <c r="AE192" s="110">
        <f>운전실적_원본!T192</f>
        <v>0</v>
      </c>
      <c r="AF192" s="110">
        <f>운전실적_원본!U192</f>
        <v>0</v>
      </c>
      <c r="AG192" s="110">
        <f>운전실적_원본!V192</f>
        <v>0</v>
      </c>
      <c r="AH192" s="109">
        <f t="shared" si="791"/>
        <v>0</v>
      </c>
      <c r="AI192" s="110">
        <f t="shared" si="798"/>
        <v>0</v>
      </c>
      <c r="AJ192" s="110">
        <f>운전실적_원본!Y192</f>
        <v>0</v>
      </c>
      <c r="AK192" s="110">
        <f>운전실적_원본!Z192</f>
        <v>0</v>
      </c>
      <c r="AL192" s="106"/>
      <c r="AM192" s="105"/>
      <c r="AN192" s="105"/>
      <c r="AO192" s="105"/>
      <c r="AP192" s="105"/>
      <c r="AQ192" s="108"/>
      <c r="AR192" s="105"/>
      <c r="AS192" s="105"/>
      <c r="AT192" s="102"/>
      <c r="AU192" s="102"/>
      <c r="AV192" s="102"/>
      <c r="AW192" s="102"/>
      <c r="AX192" s="32">
        <f>운전실적_원본!W192</f>
        <v>0</v>
      </c>
      <c r="AY192" s="11">
        <f>운전실적_원본!X192</f>
        <v>0</v>
      </c>
      <c r="AZ192" s="11">
        <f>운전실적_원본!Y192</f>
        <v>0</v>
      </c>
      <c r="BA192" s="11">
        <f>운전실적_원본!Z192</f>
        <v>0</v>
      </c>
      <c r="BB192" s="11">
        <f>운전실적_원본!AA192</f>
        <v>0</v>
      </c>
      <c r="BC192" s="11">
        <f>운전실적_원본!AB192</f>
        <v>0</v>
      </c>
      <c r="BD192" s="32" t="str">
        <f t="shared" si="784"/>
        <v>-</v>
      </c>
      <c r="BE192" s="11" t="str">
        <f t="shared" si="792"/>
        <v>-</v>
      </c>
      <c r="BF192" s="11">
        <f>운전실적_원본!AE192</f>
        <v>0</v>
      </c>
      <c r="BG192" s="31">
        <f t="shared" si="785"/>
        <v>0</v>
      </c>
      <c r="BH192" s="241">
        <f>INDEX(연료전지_원본!$A$4:$KY$369,MATCH($A192,연료전지_원본!$A$4:$A$369,0),MATCH($BH$4,연료전지_원본!$A$4:$KY$4,0))</f>
        <v>0</v>
      </c>
      <c r="BI192" s="241">
        <f>INDEX(연료전지_원본!$A$4:$KY$369,MATCH($A192,연료전지_원본!$A$4:$A$369,0),MATCH($BI$4,연료전지_원본!$A$4:$KY$4,0))</f>
        <v>0</v>
      </c>
      <c r="BJ192" s="241">
        <f>INDEX(연료전지_원본!$A$4:$KY$369,MATCH($A192,연료전지_원본!$A$4:$A$369,0),MATCH($BJ$4,연료전지_원본!$A$4:$KY$4,0))</f>
        <v>0</v>
      </c>
      <c r="BK192" s="241">
        <f>INDEX(연료전지_원본!$A$4:$KY$369,MATCH($A192,연료전지_원본!$A$4:$A$369,0),MATCH($BK$4,연료전지_원본!$A$4:$KY$4,0))</f>
        <v>0</v>
      </c>
      <c r="BL192" s="241">
        <f>INDEX(연료전지_원본!$A$4:$KY$369,MATCH($A192,연료전지_원본!$A$4:$A$369,0),MATCH($BL$4,연료전지_원본!$A$4:$KY$4,0))</f>
        <v>0</v>
      </c>
      <c r="BM192" s="241">
        <f>INDEX(연료전지_원본!$A$4:$KY$369,MATCH($A192,연료전지_원본!$A$4:$A$369,0),MATCH($BM$4,연료전지_원본!$A$4:$KY$4,0))</f>
        <v>0</v>
      </c>
      <c r="BN192" s="241">
        <f>INDEX(연료전지_원본!$A$4:$KY$369,MATCH($A192,연료전지_원본!$A$4:$A$369,0),MATCH($BN$4,연료전지_원본!$A$4:$KY$4,0))</f>
        <v>0</v>
      </c>
      <c r="BO192" s="241">
        <f>INDEX(연료전지_원본!$A$4:$KY$369,MATCH($A192,연료전지_원본!$A$4:$A$369,0),MATCH($BO$4,연료전지_원본!$A$4:$KY$4,0))</f>
        <v>0</v>
      </c>
      <c r="BP192" s="241">
        <f>INDEX(연료전지_원본!$A$4:$KY$369,MATCH($A192,연료전지_원본!$A$4:$A$369,0),MATCH($BP$4,연료전지_원본!$A$4:$KY$4,0))</f>
        <v>0</v>
      </c>
      <c r="BQ192" s="241">
        <f>INDEX(연료전지_원본!$A$4:$KY$369,MATCH($A192,연료전지_원본!$A$4:$A$369,0),MATCH($BQ$4,연료전지_원본!$A$4:$KY$4,0))</f>
        <v>0</v>
      </c>
      <c r="BR192" s="241">
        <f>INDEX(연료전지_원본!$A$4:$KY$369,MATCH($A192,연료전지_원본!$A$4:$A$369,0),MATCH($BR$4,연료전지_원본!$A$4:$KY$4,0))</f>
        <v>0</v>
      </c>
      <c r="BS192" s="241">
        <f>INDEX(연료전지_원본!$A$4:$KY$369,MATCH($A192,연료전지_원본!$A$4:$A$369,0),MATCH($BS$4,연료전지_원본!$A$4:$KY$4,0))</f>
        <v>0</v>
      </c>
      <c r="BT192" s="241">
        <f>INDEX(연료전지_원본!$A$4:$KY$369,MATCH($A192,연료전지_원본!$A$4:$A$369,0),MATCH($BT$4,연료전지_원본!$A$4:$KY$4,0))</f>
        <v>0</v>
      </c>
      <c r="BU192" s="241">
        <f>INDEX(연료전지_원본!$A$4:$KY$369,MATCH($A192,연료전지_원본!$A$4:$A$369,0),MATCH($BU$4,연료전지_원본!$A$4:$KY$4,0))</f>
        <v>0</v>
      </c>
      <c r="BV192" s="241">
        <f>INDEX(연료전지_원본!$A$4:$KY$369,MATCH($A192,연료전지_원본!$A$4:$A$369,0),MATCH($BV$4,연료전지_원본!$A$4:$KY$4,0))</f>
        <v>0</v>
      </c>
      <c r="BW192" s="241">
        <f>INDEX(연료전지_원본!$A$4:$KY$369,MATCH($A192,연료전지_원본!$A$4:$A$369,0),MATCH($BW$4,연료전지_원본!$A$4:$KY$4,0))</f>
        <v>0</v>
      </c>
      <c r="BX192" s="241">
        <f>INDEX(연료전지_원본!$A$4:$KY$369,MATCH($A192,연료전지_원본!$A$4:$A$369,0),MATCH($BX$4,연료전지_원본!$A$4:$KY$4,0))</f>
        <v>0</v>
      </c>
      <c r="BY192" s="241">
        <f>INDEX(연료전지_원본!$A$4:$KY$369,MATCH($A192,연료전지_원본!$A$4:$A$369,0),MATCH($BY$4,연료전지_원본!$A$4:$KY$4,0))</f>
        <v>0</v>
      </c>
      <c r="BZ192" s="241">
        <f>INDEX(연료전지_원본!$A$4:$KY$369,MATCH($A192,연료전지_원본!$A$4:$A$369,0),MATCH($BZ$4,연료전지_원본!$A$4:$KY$4,0))</f>
        <v>0</v>
      </c>
      <c r="CA192" s="241">
        <f>INDEX(연료전지_원본!$A$4:$KY$369,MATCH($A192,연료전지_원본!$A$4:$A$369,0),MATCH($CA$4,연료전지_원본!$A$4:$KY$4,0))</f>
        <v>0</v>
      </c>
      <c r="CB192" s="241">
        <f>INDEX(연료전지_원본!$A$4:$KY$369,MATCH($A192,연료전지_원본!$A$4:$A$369,0),MATCH($CB$4,연료전지_원본!$A$4:$KY$4,0))</f>
        <v>0</v>
      </c>
      <c r="CC192" s="242">
        <f>INDEX(연료전지_원본!$A$4:$KY$369,MATCH($A192,연료전지_원본!$A$4:$A$369,0),MATCH($CC$4,연료전지_원본!$A$4:$KY$4,0))</f>
        <v>0</v>
      </c>
      <c r="CD192" s="250">
        <f>INDEX(연료전지_원본!$KB$4:$KX$369,MATCH($A192,연료전지_원본!$KB$4:$KB$369,0), MATCH(CD$4,연료전지_원본!$KB$4:$KX$4,0))*1000</f>
        <v>0</v>
      </c>
      <c r="CE192" s="250">
        <f>INDEX(연료전지_원본!$KB$4:$KX$369,MATCH($A192,연료전지_원본!$KB$4:$KB$369,0), MATCH(CE$4,연료전지_원본!$KB$4:$KX$4,0))*1000</f>
        <v>0</v>
      </c>
      <c r="CF192" s="250">
        <f>INDEX(연료전지_원본!$KB$4:$KX$369,MATCH($A192,연료전지_원본!$KB$4:$KB$369,0), MATCH(CF$4,연료전지_원본!$KB$4:$KX$4,0))*1000</f>
        <v>0</v>
      </c>
      <c r="CG192" s="250">
        <f>INDEX(연료전지_원본!$KB$4:$KX$369,MATCH($A192,연료전지_원본!$KB$4:$KB$369,0), MATCH(CG$4,연료전지_원본!$KB$4:$KX$4,0))*1000</f>
        <v>0</v>
      </c>
      <c r="CH192" s="250">
        <f>INDEX(연료전지_원본!$KB$4:$KX$369,MATCH($A192,연료전지_원본!$KB$4:$KB$369,0), MATCH(CH$4,연료전지_원본!$KB$4:$KX$4,0))*1000</f>
        <v>0</v>
      </c>
      <c r="CI192" s="250">
        <f>INDEX(연료전지_원본!$KB$4:$KX$369,MATCH($A192,연료전지_원본!$KB$4:$KB$369,0), MATCH(CI$4,연료전지_원본!$KB$4:$KX$4,0))*1000</f>
        <v>0</v>
      </c>
      <c r="CJ192" s="250">
        <f>INDEX(연료전지_원본!$KB$4:$KX$369,MATCH($A192,연료전지_원본!$KB$4:$KB$369,0), MATCH(CJ$4,연료전지_원본!$KB$4:$KX$4,0))*1000</f>
        <v>0</v>
      </c>
      <c r="CK192" s="250">
        <f>INDEX(연료전지_원본!$KB$4:$KX$369,MATCH($A192,연료전지_원본!$KB$4:$KB$369,0), MATCH(CK$4,연료전지_원본!$KB$4:$KX$4,0))*1000</f>
        <v>0</v>
      </c>
      <c r="CL192" s="250">
        <f>INDEX(연료전지_원본!$KB$4:$KX$369,MATCH($A192,연료전지_원본!$KB$4:$KB$369,0), MATCH(CL$4,연료전지_원본!$KB$4:$KX$4,0))*1000</f>
        <v>0</v>
      </c>
      <c r="CM192" s="250">
        <f>INDEX(연료전지_원본!$KB$4:$KX$369,MATCH($A192,연료전지_원본!$KB$4:$KB$369,0), MATCH(CM$4,연료전지_원본!$KB$4:$KX$4,0))*1000</f>
        <v>0</v>
      </c>
      <c r="CN192" s="250">
        <f>INDEX(연료전지_원본!$KB$4:$KX$369,MATCH($A192,연료전지_원본!$KB$4:$KB$369,0), MATCH(CN$4,연료전지_원본!$KB$4:$KX$4,0))*1000</f>
        <v>0</v>
      </c>
      <c r="CO192" s="250">
        <f>INDEX(연료전지_원본!$KB$4:$KX$369,MATCH($A192,연료전지_원본!$KB$4:$KB$369,0), MATCH(CO$4,연료전지_원본!$KB$4:$KX$4,0))*1000</f>
        <v>0</v>
      </c>
      <c r="CP192" s="250">
        <f>INDEX(연료전지_원본!$KB$4:$KX$369,MATCH($A192,연료전지_원본!$KB$4:$KB$369,0), MATCH(CP$4,연료전지_원본!$KB$4:$KX$4,0))*1000</f>
        <v>0</v>
      </c>
      <c r="CQ192" s="250">
        <f>INDEX(연료전지_원본!$KB$4:$KX$369,MATCH($A192,연료전지_원본!$KB$4:$KB$369,0), MATCH(CQ$4,연료전지_원본!$KB$4:$KX$4,0))*1000</f>
        <v>0</v>
      </c>
      <c r="CR192" s="250">
        <f>INDEX(연료전지_원본!$KB$4:$KX$369,MATCH($A192,연료전지_원본!$KB$4:$KB$369,0), MATCH(CR$4,연료전지_원본!$KB$4:$KX$4,0))*1000</f>
        <v>0</v>
      </c>
      <c r="CS192" s="250">
        <f>INDEX(연료전지_원본!$KB$4:$KX$369,MATCH($A192,연료전지_원본!$KB$4:$KB$369,0), MATCH(CS$4,연료전지_원본!$KB$4:$KX$4,0))*1000</f>
        <v>0</v>
      </c>
      <c r="CT192" s="250">
        <f>INDEX(연료전지_원본!$KB$4:$KX$369,MATCH($A192,연료전지_원본!$KB$4:$KB$369,0), MATCH(CT$4,연료전지_원본!$KB$4:$KX$4,0))*1000</f>
        <v>0</v>
      </c>
      <c r="CU192" s="250">
        <f>INDEX(연료전지_원본!$KB$4:$KX$369,MATCH($A192,연료전지_원본!$KB$4:$KB$369,0), MATCH(CU$4,연료전지_원본!$KB$4:$KX$4,0))*1000</f>
        <v>0</v>
      </c>
      <c r="CV192" s="250">
        <f>INDEX(연료전지_원본!$KB$4:$KX$369,MATCH($A192,연료전지_원본!$KB$4:$KB$369,0), MATCH(CV$4,연료전지_원본!$KB$4:$KX$4,0))*1000</f>
        <v>0</v>
      </c>
      <c r="CW192" s="250">
        <f>INDEX(연료전지_원본!$KB$4:$KX$369,MATCH($A192,연료전지_원본!$KB$4:$KB$369,0), MATCH(CW$4,연료전지_원본!$KB$4:$KX$4,0))*1000</f>
        <v>0</v>
      </c>
      <c r="CX192" s="250">
        <f>INDEX(연료전지_원본!$KB$4:$KX$369,MATCH($A192,연료전지_원본!$KB$4:$KB$369,0), MATCH(CX$4,연료전지_원본!$KB$4:$KX$4,0))*1000</f>
        <v>0</v>
      </c>
      <c r="CY192" s="250">
        <f>INDEX(연료전지_원본!$KB$4:$KX$369,MATCH($A192,연료전지_원본!$KB$4:$KB$369,0), MATCH(CY$4,연료전지_원본!$KB$4:$KX$4,0))*1000</f>
        <v>0</v>
      </c>
      <c r="DV192" s="30">
        <f t="shared" si="954"/>
        <v>0</v>
      </c>
    </row>
    <row r="193" spans="1:126">
      <c r="A193" s="6">
        <v>46210</v>
      </c>
      <c r="B193" s="15">
        <f>운전실적_원본!B193</f>
        <v>0</v>
      </c>
      <c r="C193" s="16" t="str">
        <f t="shared" si="960"/>
        <v/>
      </c>
      <c r="D193" s="12">
        <f>운전실적_원본!C193</f>
        <v>0</v>
      </c>
      <c r="E193" s="12" t="str">
        <f t="shared" si="961"/>
        <v/>
      </c>
      <c r="F193" s="12">
        <f>운전실적_원본!D193</f>
        <v>0</v>
      </c>
      <c r="G193" s="16" t="str">
        <f t="shared" si="962"/>
        <v/>
      </c>
      <c r="H193" s="15">
        <f>운전실적_원본!E193</f>
        <v>0</v>
      </c>
      <c r="I193" s="16" t="str">
        <f t="shared" si="963"/>
        <v/>
      </c>
      <c r="J193" s="15">
        <f>운전실적_원본!F193</f>
        <v>0</v>
      </c>
      <c r="K193" s="16" t="str">
        <f t="shared" si="963"/>
        <v/>
      </c>
      <c r="L193" s="32">
        <f>운전실적_원본!G193</f>
        <v>0</v>
      </c>
      <c r="M193" s="31" t="str">
        <f t="shared" ref="M193" si="1090">IF(OR(LEN(L193)=0,L193=0),"",L193-L192)</f>
        <v/>
      </c>
      <c r="N193" s="15">
        <f>운전실적_원본!H193</f>
        <v>0</v>
      </c>
      <c r="O193" s="16" t="str">
        <f t="shared" ref="O193" si="1091">IF(OR(LEN(N193)=0,N193=0),"",N193-N192)</f>
        <v/>
      </c>
      <c r="P193" s="15">
        <f>운전실적_원본!I193</f>
        <v>0</v>
      </c>
      <c r="Q193" s="16" t="str">
        <f t="shared" ref="Q193" si="1092">IF(OR(LEN(P193)=0,P193=0),"",P193-P192)</f>
        <v/>
      </c>
      <c r="R193" s="18">
        <f>운전실적_원본!J193</f>
        <v>0</v>
      </c>
      <c r="S193" s="19" t="str">
        <f t="shared" ref="S193" si="1093">IF(OR(LEN(R193)=0,R193=0),"",R193-R192)</f>
        <v/>
      </c>
      <c r="T193" s="18">
        <f>운전실적_원본!K193</f>
        <v>0</v>
      </c>
      <c r="U193" s="19" t="str">
        <f t="shared" si="968"/>
        <v/>
      </c>
      <c r="V193" s="12">
        <f>운전실적_원본!L193</f>
        <v>0</v>
      </c>
      <c r="W193" s="16" t="str">
        <f t="shared" ref="W193" si="1094">IF(OR(LEN(V193)=0,V193=0),"",V193-V192)</f>
        <v/>
      </c>
      <c r="X193" s="10">
        <f>운전실적_원본!M193</f>
        <v>0</v>
      </c>
      <c r="Y193" s="10">
        <f>운전실적_원본!N193</f>
        <v>0</v>
      </c>
      <c r="Z193" s="10">
        <f>운전실적_원본!O193</f>
        <v>0</v>
      </c>
      <c r="AA193" s="10">
        <f>운전실적_원본!P193</f>
        <v>0</v>
      </c>
      <c r="AB193" s="10">
        <f>운전실적_원본!Q193</f>
        <v>0</v>
      </c>
      <c r="AC193" s="20">
        <f>운전실적_원본!R193</f>
        <v>0</v>
      </c>
      <c r="AD193" s="109">
        <f>운전실적_원본!S193</f>
        <v>0</v>
      </c>
      <c r="AE193" s="110">
        <f>운전실적_원본!T193</f>
        <v>0</v>
      </c>
      <c r="AF193" s="110">
        <f>운전실적_원본!U193</f>
        <v>0</v>
      </c>
      <c r="AG193" s="110">
        <f>운전실적_원본!V193</f>
        <v>0</v>
      </c>
      <c r="AH193" s="109">
        <f t="shared" si="791"/>
        <v>0</v>
      </c>
      <c r="AI193" s="110">
        <f t="shared" si="798"/>
        <v>0</v>
      </c>
      <c r="AJ193" s="110">
        <f>운전실적_원본!Y193</f>
        <v>0</v>
      </c>
      <c r="AK193" s="110">
        <f>운전실적_원본!Z193</f>
        <v>0</v>
      </c>
      <c r="AL193" s="106"/>
      <c r="AM193" s="105"/>
      <c r="AN193" s="105"/>
      <c r="AO193" s="105"/>
      <c r="AP193" s="105"/>
      <c r="AQ193" s="108"/>
      <c r="AR193" s="105"/>
      <c r="AS193" s="105"/>
      <c r="AT193" s="102"/>
      <c r="AU193" s="102"/>
      <c r="AV193" s="102"/>
      <c r="AW193" s="102"/>
      <c r="AX193" s="32">
        <f>운전실적_원본!W193</f>
        <v>0</v>
      </c>
      <c r="AY193" s="11">
        <f>운전실적_원본!X193</f>
        <v>0</v>
      </c>
      <c r="AZ193" s="11">
        <f>운전실적_원본!Y193</f>
        <v>0</v>
      </c>
      <c r="BA193" s="11">
        <f>운전실적_원본!Z193</f>
        <v>0</v>
      </c>
      <c r="BB193" s="11">
        <f>운전실적_원본!AA193</f>
        <v>0</v>
      </c>
      <c r="BC193" s="11">
        <f>운전실적_원본!AB193</f>
        <v>0</v>
      </c>
      <c r="BD193" s="32" t="str">
        <f t="shared" si="784"/>
        <v>-</v>
      </c>
      <c r="BE193" s="11" t="str">
        <f t="shared" si="792"/>
        <v>-</v>
      </c>
      <c r="BF193" s="11">
        <f>운전실적_원본!AE193</f>
        <v>0</v>
      </c>
      <c r="BG193" s="31">
        <f t="shared" si="785"/>
        <v>0</v>
      </c>
      <c r="BH193" s="241">
        <f>INDEX(연료전지_원본!$A$4:$KY$369,MATCH($A193,연료전지_원본!$A$4:$A$369,0),MATCH($BH$4,연료전지_원본!$A$4:$KY$4,0))</f>
        <v>0</v>
      </c>
      <c r="BI193" s="241">
        <f>INDEX(연료전지_원본!$A$4:$KY$369,MATCH($A193,연료전지_원본!$A$4:$A$369,0),MATCH($BI$4,연료전지_원본!$A$4:$KY$4,0))</f>
        <v>0</v>
      </c>
      <c r="BJ193" s="241">
        <f>INDEX(연료전지_원본!$A$4:$KY$369,MATCH($A193,연료전지_원본!$A$4:$A$369,0),MATCH($BJ$4,연료전지_원본!$A$4:$KY$4,0))</f>
        <v>0</v>
      </c>
      <c r="BK193" s="241">
        <f>INDEX(연료전지_원본!$A$4:$KY$369,MATCH($A193,연료전지_원본!$A$4:$A$369,0),MATCH($BK$4,연료전지_원본!$A$4:$KY$4,0))</f>
        <v>0</v>
      </c>
      <c r="BL193" s="241">
        <f>INDEX(연료전지_원본!$A$4:$KY$369,MATCH($A193,연료전지_원본!$A$4:$A$369,0),MATCH($BL$4,연료전지_원본!$A$4:$KY$4,0))</f>
        <v>0</v>
      </c>
      <c r="BM193" s="241">
        <f>INDEX(연료전지_원본!$A$4:$KY$369,MATCH($A193,연료전지_원본!$A$4:$A$369,0),MATCH($BM$4,연료전지_원본!$A$4:$KY$4,0))</f>
        <v>0</v>
      </c>
      <c r="BN193" s="241">
        <f>INDEX(연료전지_원본!$A$4:$KY$369,MATCH($A193,연료전지_원본!$A$4:$A$369,0),MATCH($BN$4,연료전지_원본!$A$4:$KY$4,0))</f>
        <v>0</v>
      </c>
      <c r="BO193" s="241">
        <f>INDEX(연료전지_원본!$A$4:$KY$369,MATCH($A193,연료전지_원본!$A$4:$A$369,0),MATCH($BO$4,연료전지_원본!$A$4:$KY$4,0))</f>
        <v>0</v>
      </c>
      <c r="BP193" s="241">
        <f>INDEX(연료전지_원본!$A$4:$KY$369,MATCH($A193,연료전지_원본!$A$4:$A$369,0),MATCH($BP$4,연료전지_원본!$A$4:$KY$4,0))</f>
        <v>0</v>
      </c>
      <c r="BQ193" s="241">
        <f>INDEX(연료전지_원본!$A$4:$KY$369,MATCH($A193,연료전지_원본!$A$4:$A$369,0),MATCH($BQ$4,연료전지_원본!$A$4:$KY$4,0))</f>
        <v>0</v>
      </c>
      <c r="BR193" s="241">
        <f>INDEX(연료전지_원본!$A$4:$KY$369,MATCH($A193,연료전지_원본!$A$4:$A$369,0),MATCH($BR$4,연료전지_원본!$A$4:$KY$4,0))</f>
        <v>0</v>
      </c>
      <c r="BS193" s="241">
        <f>INDEX(연료전지_원본!$A$4:$KY$369,MATCH($A193,연료전지_원본!$A$4:$A$369,0),MATCH($BS$4,연료전지_원본!$A$4:$KY$4,0))</f>
        <v>0</v>
      </c>
      <c r="BT193" s="241">
        <f>INDEX(연료전지_원본!$A$4:$KY$369,MATCH($A193,연료전지_원본!$A$4:$A$369,0),MATCH($BT$4,연료전지_원본!$A$4:$KY$4,0))</f>
        <v>0</v>
      </c>
      <c r="BU193" s="241">
        <f>INDEX(연료전지_원본!$A$4:$KY$369,MATCH($A193,연료전지_원본!$A$4:$A$369,0),MATCH($BU$4,연료전지_원본!$A$4:$KY$4,0))</f>
        <v>0</v>
      </c>
      <c r="BV193" s="241">
        <f>INDEX(연료전지_원본!$A$4:$KY$369,MATCH($A193,연료전지_원본!$A$4:$A$369,0),MATCH($BV$4,연료전지_원본!$A$4:$KY$4,0))</f>
        <v>0</v>
      </c>
      <c r="BW193" s="241">
        <f>INDEX(연료전지_원본!$A$4:$KY$369,MATCH($A193,연료전지_원본!$A$4:$A$369,0),MATCH($BW$4,연료전지_원본!$A$4:$KY$4,0))</f>
        <v>0</v>
      </c>
      <c r="BX193" s="241">
        <f>INDEX(연료전지_원본!$A$4:$KY$369,MATCH($A193,연료전지_원본!$A$4:$A$369,0),MATCH($BX$4,연료전지_원본!$A$4:$KY$4,0))</f>
        <v>0</v>
      </c>
      <c r="BY193" s="241">
        <f>INDEX(연료전지_원본!$A$4:$KY$369,MATCH($A193,연료전지_원본!$A$4:$A$369,0),MATCH($BY$4,연료전지_원본!$A$4:$KY$4,0))</f>
        <v>0</v>
      </c>
      <c r="BZ193" s="241">
        <f>INDEX(연료전지_원본!$A$4:$KY$369,MATCH($A193,연료전지_원본!$A$4:$A$369,0),MATCH($BZ$4,연료전지_원본!$A$4:$KY$4,0))</f>
        <v>0</v>
      </c>
      <c r="CA193" s="241">
        <f>INDEX(연료전지_원본!$A$4:$KY$369,MATCH($A193,연료전지_원본!$A$4:$A$369,0),MATCH($CA$4,연료전지_원본!$A$4:$KY$4,0))</f>
        <v>0</v>
      </c>
      <c r="CB193" s="241">
        <f>INDEX(연료전지_원본!$A$4:$KY$369,MATCH($A193,연료전지_원본!$A$4:$A$369,0),MATCH($CB$4,연료전지_원본!$A$4:$KY$4,0))</f>
        <v>0</v>
      </c>
      <c r="CC193" s="242">
        <f>INDEX(연료전지_원본!$A$4:$KY$369,MATCH($A193,연료전지_원본!$A$4:$A$369,0),MATCH($CC$4,연료전지_원본!$A$4:$KY$4,0))</f>
        <v>0</v>
      </c>
      <c r="CD193" s="250">
        <f>INDEX(연료전지_원본!$KB$4:$KX$369,MATCH($A193,연료전지_원본!$KB$4:$KB$369,0), MATCH(CD$4,연료전지_원본!$KB$4:$KX$4,0))*1000</f>
        <v>0</v>
      </c>
      <c r="CE193" s="250">
        <f>INDEX(연료전지_원본!$KB$4:$KX$369,MATCH($A193,연료전지_원본!$KB$4:$KB$369,0), MATCH(CE$4,연료전지_원본!$KB$4:$KX$4,0))*1000</f>
        <v>0</v>
      </c>
      <c r="CF193" s="250">
        <f>INDEX(연료전지_원본!$KB$4:$KX$369,MATCH($A193,연료전지_원본!$KB$4:$KB$369,0), MATCH(CF$4,연료전지_원본!$KB$4:$KX$4,0))*1000</f>
        <v>0</v>
      </c>
      <c r="CG193" s="250">
        <f>INDEX(연료전지_원본!$KB$4:$KX$369,MATCH($A193,연료전지_원본!$KB$4:$KB$369,0), MATCH(CG$4,연료전지_원본!$KB$4:$KX$4,0))*1000</f>
        <v>0</v>
      </c>
      <c r="CH193" s="250">
        <f>INDEX(연료전지_원본!$KB$4:$KX$369,MATCH($A193,연료전지_원본!$KB$4:$KB$369,0), MATCH(CH$4,연료전지_원본!$KB$4:$KX$4,0))*1000</f>
        <v>0</v>
      </c>
      <c r="CI193" s="250">
        <f>INDEX(연료전지_원본!$KB$4:$KX$369,MATCH($A193,연료전지_원본!$KB$4:$KB$369,0), MATCH(CI$4,연료전지_원본!$KB$4:$KX$4,0))*1000</f>
        <v>0</v>
      </c>
      <c r="CJ193" s="250">
        <f>INDEX(연료전지_원본!$KB$4:$KX$369,MATCH($A193,연료전지_원본!$KB$4:$KB$369,0), MATCH(CJ$4,연료전지_원본!$KB$4:$KX$4,0))*1000</f>
        <v>0</v>
      </c>
      <c r="CK193" s="250">
        <f>INDEX(연료전지_원본!$KB$4:$KX$369,MATCH($A193,연료전지_원본!$KB$4:$KB$369,0), MATCH(CK$4,연료전지_원본!$KB$4:$KX$4,0))*1000</f>
        <v>0</v>
      </c>
      <c r="CL193" s="250">
        <f>INDEX(연료전지_원본!$KB$4:$KX$369,MATCH($A193,연료전지_원본!$KB$4:$KB$369,0), MATCH(CL$4,연료전지_원본!$KB$4:$KX$4,0))*1000</f>
        <v>0</v>
      </c>
      <c r="CM193" s="250">
        <f>INDEX(연료전지_원본!$KB$4:$KX$369,MATCH($A193,연료전지_원본!$KB$4:$KB$369,0), MATCH(CM$4,연료전지_원본!$KB$4:$KX$4,0))*1000</f>
        <v>0</v>
      </c>
      <c r="CN193" s="250">
        <f>INDEX(연료전지_원본!$KB$4:$KX$369,MATCH($A193,연료전지_원본!$KB$4:$KB$369,0), MATCH(CN$4,연료전지_원본!$KB$4:$KX$4,0))*1000</f>
        <v>0</v>
      </c>
      <c r="CO193" s="250">
        <f>INDEX(연료전지_원본!$KB$4:$KX$369,MATCH($A193,연료전지_원본!$KB$4:$KB$369,0), MATCH(CO$4,연료전지_원본!$KB$4:$KX$4,0))*1000</f>
        <v>0</v>
      </c>
      <c r="CP193" s="250">
        <f>INDEX(연료전지_원본!$KB$4:$KX$369,MATCH($A193,연료전지_원본!$KB$4:$KB$369,0), MATCH(CP$4,연료전지_원본!$KB$4:$KX$4,0))*1000</f>
        <v>0</v>
      </c>
      <c r="CQ193" s="250">
        <f>INDEX(연료전지_원본!$KB$4:$KX$369,MATCH($A193,연료전지_원본!$KB$4:$KB$369,0), MATCH(CQ$4,연료전지_원본!$KB$4:$KX$4,0))*1000</f>
        <v>0</v>
      </c>
      <c r="CR193" s="250">
        <f>INDEX(연료전지_원본!$KB$4:$KX$369,MATCH($A193,연료전지_원본!$KB$4:$KB$369,0), MATCH(CR$4,연료전지_원본!$KB$4:$KX$4,0))*1000</f>
        <v>0</v>
      </c>
      <c r="CS193" s="250">
        <f>INDEX(연료전지_원본!$KB$4:$KX$369,MATCH($A193,연료전지_원본!$KB$4:$KB$369,0), MATCH(CS$4,연료전지_원본!$KB$4:$KX$4,0))*1000</f>
        <v>0</v>
      </c>
      <c r="CT193" s="250">
        <f>INDEX(연료전지_원본!$KB$4:$KX$369,MATCH($A193,연료전지_원본!$KB$4:$KB$369,0), MATCH(CT$4,연료전지_원본!$KB$4:$KX$4,0))*1000</f>
        <v>0</v>
      </c>
      <c r="CU193" s="250">
        <f>INDEX(연료전지_원본!$KB$4:$KX$369,MATCH($A193,연료전지_원본!$KB$4:$KB$369,0), MATCH(CU$4,연료전지_원본!$KB$4:$KX$4,0))*1000</f>
        <v>0</v>
      </c>
      <c r="CV193" s="250">
        <f>INDEX(연료전지_원본!$KB$4:$KX$369,MATCH($A193,연료전지_원본!$KB$4:$KB$369,0), MATCH(CV$4,연료전지_원본!$KB$4:$KX$4,0))*1000</f>
        <v>0</v>
      </c>
      <c r="CW193" s="250">
        <f>INDEX(연료전지_원본!$KB$4:$KX$369,MATCH($A193,연료전지_원본!$KB$4:$KB$369,0), MATCH(CW$4,연료전지_원본!$KB$4:$KX$4,0))*1000</f>
        <v>0</v>
      </c>
      <c r="CX193" s="250">
        <f>INDEX(연료전지_원본!$KB$4:$KX$369,MATCH($A193,연료전지_원본!$KB$4:$KB$369,0), MATCH(CX$4,연료전지_원본!$KB$4:$KX$4,0))*1000</f>
        <v>0</v>
      </c>
      <c r="CY193" s="250">
        <f>INDEX(연료전지_원본!$KB$4:$KX$369,MATCH($A193,연료전지_원본!$KB$4:$KB$369,0), MATCH(CY$4,연료전지_원본!$KB$4:$KX$4,0))*1000</f>
        <v>0</v>
      </c>
      <c r="DV193" s="30">
        <f t="shared" si="954"/>
        <v>0</v>
      </c>
    </row>
    <row r="194" spans="1:126">
      <c r="A194" s="6">
        <v>46211</v>
      </c>
      <c r="B194" s="15">
        <f>운전실적_원본!B194</f>
        <v>0</v>
      </c>
      <c r="C194" s="16" t="str">
        <f t="shared" si="960"/>
        <v/>
      </c>
      <c r="D194" s="12">
        <f>운전실적_원본!C194</f>
        <v>0</v>
      </c>
      <c r="E194" s="12" t="str">
        <f t="shared" si="961"/>
        <v/>
      </c>
      <c r="F194" s="12">
        <f>운전실적_원본!D194</f>
        <v>0</v>
      </c>
      <c r="G194" s="16" t="str">
        <f t="shared" si="962"/>
        <v/>
      </c>
      <c r="H194" s="15">
        <f>운전실적_원본!E194</f>
        <v>0</v>
      </c>
      <c r="I194" s="16" t="str">
        <f t="shared" si="963"/>
        <v/>
      </c>
      <c r="J194" s="15">
        <f>운전실적_원본!F194</f>
        <v>0</v>
      </c>
      <c r="K194" s="16" t="str">
        <f t="shared" si="963"/>
        <v/>
      </c>
      <c r="L194" s="32">
        <f>운전실적_원본!G194</f>
        <v>0</v>
      </c>
      <c r="M194" s="31" t="str">
        <f t="shared" ref="M194" si="1095">IF(OR(LEN(L194)=0,L194=0),"",L194-L193)</f>
        <v/>
      </c>
      <c r="N194" s="15">
        <f>운전실적_원본!H194</f>
        <v>0</v>
      </c>
      <c r="O194" s="16" t="str">
        <f t="shared" ref="O194" si="1096">IF(OR(LEN(N194)=0,N194=0),"",N194-N193)</f>
        <v/>
      </c>
      <c r="P194" s="15">
        <f>운전실적_원본!I194</f>
        <v>0</v>
      </c>
      <c r="Q194" s="16" t="str">
        <f t="shared" ref="Q194" si="1097">IF(OR(LEN(P194)=0,P194=0),"",P194-P193)</f>
        <v/>
      </c>
      <c r="R194" s="18">
        <f>운전실적_원본!J194</f>
        <v>0</v>
      </c>
      <c r="S194" s="19" t="str">
        <f t="shared" ref="S194" si="1098">IF(OR(LEN(R194)=0,R194=0),"",R194-R193)</f>
        <v/>
      </c>
      <c r="T194" s="18">
        <f>운전실적_원본!K194</f>
        <v>0</v>
      </c>
      <c r="U194" s="19" t="str">
        <f t="shared" si="968"/>
        <v/>
      </c>
      <c r="V194" s="12">
        <f>운전실적_원본!L194</f>
        <v>0</v>
      </c>
      <c r="W194" s="16" t="str">
        <f t="shared" ref="W194" si="1099">IF(OR(LEN(V194)=0,V194=0),"",V194-V193)</f>
        <v/>
      </c>
      <c r="X194" s="10">
        <f>운전실적_원본!M194</f>
        <v>0</v>
      </c>
      <c r="Y194" s="10">
        <f>운전실적_원본!N194</f>
        <v>0</v>
      </c>
      <c r="Z194" s="10">
        <f>운전실적_원본!O194</f>
        <v>0</v>
      </c>
      <c r="AA194" s="10">
        <f>운전실적_원본!P194</f>
        <v>0</v>
      </c>
      <c r="AB194" s="10">
        <f>운전실적_원본!Q194</f>
        <v>0</v>
      </c>
      <c r="AC194" s="20">
        <f>운전실적_원본!R194</f>
        <v>0</v>
      </c>
      <c r="AD194" s="109">
        <f>운전실적_원본!S194</f>
        <v>0</v>
      </c>
      <c r="AE194" s="110">
        <f>운전실적_원본!T194</f>
        <v>0</v>
      </c>
      <c r="AF194" s="110">
        <f>운전실적_원본!U194</f>
        <v>0</v>
      </c>
      <c r="AG194" s="110">
        <f>운전실적_원본!V194</f>
        <v>0</v>
      </c>
      <c r="AH194" s="109">
        <f t="shared" si="791"/>
        <v>0</v>
      </c>
      <c r="AI194" s="110">
        <f t="shared" si="798"/>
        <v>0</v>
      </c>
      <c r="AJ194" s="110">
        <f>운전실적_원본!Y194</f>
        <v>0</v>
      </c>
      <c r="AK194" s="110">
        <f>운전실적_원본!Z194</f>
        <v>0</v>
      </c>
      <c r="AL194" s="106"/>
      <c r="AM194" s="105"/>
      <c r="AN194" s="105"/>
      <c r="AO194" s="105"/>
      <c r="AP194" s="105"/>
      <c r="AQ194" s="108"/>
      <c r="AR194" s="105"/>
      <c r="AS194" s="105"/>
      <c r="AT194" s="102"/>
      <c r="AU194" s="102"/>
      <c r="AV194" s="102"/>
      <c r="AW194" s="102"/>
      <c r="AX194" s="32">
        <f>운전실적_원본!W194</f>
        <v>0</v>
      </c>
      <c r="AY194" s="11">
        <f>운전실적_원본!X194</f>
        <v>0</v>
      </c>
      <c r="AZ194" s="11">
        <f>운전실적_원본!Y194</f>
        <v>0</v>
      </c>
      <c r="BA194" s="11">
        <f>운전실적_원본!Z194</f>
        <v>0</v>
      </c>
      <c r="BB194" s="11">
        <f>운전실적_원본!AA194</f>
        <v>0</v>
      </c>
      <c r="BC194" s="11">
        <f>운전실적_원본!AB194</f>
        <v>0</v>
      </c>
      <c r="BD194" s="32" t="str">
        <f t="shared" si="784"/>
        <v>-</v>
      </c>
      <c r="BE194" s="11" t="str">
        <f t="shared" si="792"/>
        <v>-</v>
      </c>
      <c r="BF194" s="11">
        <f>운전실적_원본!AE194</f>
        <v>0</v>
      </c>
      <c r="BG194" s="31">
        <f t="shared" si="785"/>
        <v>0</v>
      </c>
      <c r="BH194" s="241">
        <f>INDEX(연료전지_원본!$A$4:$KY$369,MATCH($A194,연료전지_원본!$A$4:$A$369,0),MATCH($BH$4,연료전지_원본!$A$4:$KY$4,0))</f>
        <v>0</v>
      </c>
      <c r="BI194" s="241">
        <f>INDEX(연료전지_원본!$A$4:$KY$369,MATCH($A194,연료전지_원본!$A$4:$A$369,0),MATCH($BI$4,연료전지_원본!$A$4:$KY$4,0))</f>
        <v>0</v>
      </c>
      <c r="BJ194" s="241">
        <f>INDEX(연료전지_원본!$A$4:$KY$369,MATCH($A194,연료전지_원본!$A$4:$A$369,0),MATCH($BJ$4,연료전지_원본!$A$4:$KY$4,0))</f>
        <v>0</v>
      </c>
      <c r="BK194" s="241">
        <f>INDEX(연료전지_원본!$A$4:$KY$369,MATCH($A194,연료전지_원본!$A$4:$A$369,0),MATCH($BK$4,연료전지_원본!$A$4:$KY$4,0))</f>
        <v>0</v>
      </c>
      <c r="BL194" s="241">
        <f>INDEX(연료전지_원본!$A$4:$KY$369,MATCH($A194,연료전지_원본!$A$4:$A$369,0),MATCH($BL$4,연료전지_원본!$A$4:$KY$4,0))</f>
        <v>0</v>
      </c>
      <c r="BM194" s="241">
        <f>INDEX(연료전지_원본!$A$4:$KY$369,MATCH($A194,연료전지_원본!$A$4:$A$369,0),MATCH($BM$4,연료전지_원본!$A$4:$KY$4,0))</f>
        <v>0</v>
      </c>
      <c r="BN194" s="241">
        <f>INDEX(연료전지_원본!$A$4:$KY$369,MATCH($A194,연료전지_원본!$A$4:$A$369,0),MATCH($BN$4,연료전지_원본!$A$4:$KY$4,0))</f>
        <v>0</v>
      </c>
      <c r="BO194" s="241">
        <f>INDEX(연료전지_원본!$A$4:$KY$369,MATCH($A194,연료전지_원본!$A$4:$A$369,0),MATCH($BO$4,연료전지_원본!$A$4:$KY$4,0))</f>
        <v>0</v>
      </c>
      <c r="BP194" s="241">
        <f>INDEX(연료전지_원본!$A$4:$KY$369,MATCH($A194,연료전지_원본!$A$4:$A$369,0),MATCH($BP$4,연료전지_원본!$A$4:$KY$4,0))</f>
        <v>0</v>
      </c>
      <c r="BQ194" s="241">
        <f>INDEX(연료전지_원본!$A$4:$KY$369,MATCH($A194,연료전지_원본!$A$4:$A$369,0),MATCH($BQ$4,연료전지_원본!$A$4:$KY$4,0))</f>
        <v>0</v>
      </c>
      <c r="BR194" s="241">
        <f>INDEX(연료전지_원본!$A$4:$KY$369,MATCH($A194,연료전지_원본!$A$4:$A$369,0),MATCH($BR$4,연료전지_원본!$A$4:$KY$4,0))</f>
        <v>0</v>
      </c>
      <c r="BS194" s="241">
        <f>INDEX(연료전지_원본!$A$4:$KY$369,MATCH($A194,연료전지_원본!$A$4:$A$369,0),MATCH($BS$4,연료전지_원본!$A$4:$KY$4,0))</f>
        <v>0</v>
      </c>
      <c r="BT194" s="241">
        <f>INDEX(연료전지_원본!$A$4:$KY$369,MATCH($A194,연료전지_원본!$A$4:$A$369,0),MATCH($BT$4,연료전지_원본!$A$4:$KY$4,0))</f>
        <v>0</v>
      </c>
      <c r="BU194" s="241">
        <f>INDEX(연료전지_원본!$A$4:$KY$369,MATCH($A194,연료전지_원본!$A$4:$A$369,0),MATCH($BU$4,연료전지_원본!$A$4:$KY$4,0))</f>
        <v>0</v>
      </c>
      <c r="BV194" s="241">
        <f>INDEX(연료전지_원본!$A$4:$KY$369,MATCH($A194,연료전지_원본!$A$4:$A$369,0),MATCH($BV$4,연료전지_원본!$A$4:$KY$4,0))</f>
        <v>0</v>
      </c>
      <c r="BW194" s="241">
        <f>INDEX(연료전지_원본!$A$4:$KY$369,MATCH($A194,연료전지_원본!$A$4:$A$369,0),MATCH($BW$4,연료전지_원본!$A$4:$KY$4,0))</f>
        <v>0</v>
      </c>
      <c r="BX194" s="241">
        <f>INDEX(연료전지_원본!$A$4:$KY$369,MATCH($A194,연료전지_원본!$A$4:$A$369,0),MATCH($BX$4,연료전지_원본!$A$4:$KY$4,0))</f>
        <v>0</v>
      </c>
      <c r="BY194" s="241">
        <f>INDEX(연료전지_원본!$A$4:$KY$369,MATCH($A194,연료전지_원본!$A$4:$A$369,0),MATCH($BY$4,연료전지_원본!$A$4:$KY$4,0))</f>
        <v>0</v>
      </c>
      <c r="BZ194" s="241">
        <f>INDEX(연료전지_원본!$A$4:$KY$369,MATCH($A194,연료전지_원본!$A$4:$A$369,0),MATCH($BZ$4,연료전지_원본!$A$4:$KY$4,0))</f>
        <v>0</v>
      </c>
      <c r="CA194" s="241">
        <f>INDEX(연료전지_원본!$A$4:$KY$369,MATCH($A194,연료전지_원본!$A$4:$A$369,0),MATCH($CA$4,연료전지_원본!$A$4:$KY$4,0))</f>
        <v>0</v>
      </c>
      <c r="CB194" s="241">
        <f>INDEX(연료전지_원본!$A$4:$KY$369,MATCH($A194,연료전지_원본!$A$4:$A$369,0),MATCH($CB$4,연료전지_원본!$A$4:$KY$4,0))</f>
        <v>0</v>
      </c>
      <c r="CC194" s="242">
        <f>INDEX(연료전지_원본!$A$4:$KY$369,MATCH($A194,연료전지_원본!$A$4:$A$369,0),MATCH($CC$4,연료전지_원본!$A$4:$KY$4,0))</f>
        <v>0</v>
      </c>
      <c r="CD194" s="250">
        <f>INDEX(연료전지_원본!$KB$4:$KX$369,MATCH($A194,연료전지_원본!$KB$4:$KB$369,0), MATCH(CD$4,연료전지_원본!$KB$4:$KX$4,0))*1000</f>
        <v>0</v>
      </c>
      <c r="CE194" s="250">
        <f>INDEX(연료전지_원본!$KB$4:$KX$369,MATCH($A194,연료전지_원본!$KB$4:$KB$369,0), MATCH(CE$4,연료전지_원본!$KB$4:$KX$4,0))*1000</f>
        <v>0</v>
      </c>
      <c r="CF194" s="250">
        <f>INDEX(연료전지_원본!$KB$4:$KX$369,MATCH($A194,연료전지_원본!$KB$4:$KB$369,0), MATCH(CF$4,연료전지_원본!$KB$4:$KX$4,0))*1000</f>
        <v>0</v>
      </c>
      <c r="CG194" s="250">
        <f>INDEX(연료전지_원본!$KB$4:$KX$369,MATCH($A194,연료전지_원본!$KB$4:$KB$369,0), MATCH(CG$4,연료전지_원본!$KB$4:$KX$4,0))*1000</f>
        <v>0</v>
      </c>
      <c r="CH194" s="250">
        <f>INDEX(연료전지_원본!$KB$4:$KX$369,MATCH($A194,연료전지_원본!$KB$4:$KB$369,0), MATCH(CH$4,연료전지_원본!$KB$4:$KX$4,0))*1000</f>
        <v>0</v>
      </c>
      <c r="CI194" s="250">
        <f>INDEX(연료전지_원본!$KB$4:$KX$369,MATCH($A194,연료전지_원본!$KB$4:$KB$369,0), MATCH(CI$4,연료전지_원본!$KB$4:$KX$4,0))*1000</f>
        <v>0</v>
      </c>
      <c r="CJ194" s="250">
        <f>INDEX(연료전지_원본!$KB$4:$KX$369,MATCH($A194,연료전지_원본!$KB$4:$KB$369,0), MATCH(CJ$4,연료전지_원본!$KB$4:$KX$4,0))*1000</f>
        <v>0</v>
      </c>
      <c r="CK194" s="250">
        <f>INDEX(연료전지_원본!$KB$4:$KX$369,MATCH($A194,연료전지_원본!$KB$4:$KB$369,0), MATCH(CK$4,연료전지_원본!$KB$4:$KX$4,0))*1000</f>
        <v>0</v>
      </c>
      <c r="CL194" s="250">
        <f>INDEX(연료전지_원본!$KB$4:$KX$369,MATCH($A194,연료전지_원본!$KB$4:$KB$369,0), MATCH(CL$4,연료전지_원본!$KB$4:$KX$4,0))*1000</f>
        <v>0</v>
      </c>
      <c r="CM194" s="250">
        <f>INDEX(연료전지_원본!$KB$4:$KX$369,MATCH($A194,연료전지_원본!$KB$4:$KB$369,0), MATCH(CM$4,연료전지_원본!$KB$4:$KX$4,0))*1000</f>
        <v>0</v>
      </c>
      <c r="CN194" s="250">
        <f>INDEX(연료전지_원본!$KB$4:$KX$369,MATCH($A194,연료전지_원본!$KB$4:$KB$369,0), MATCH(CN$4,연료전지_원본!$KB$4:$KX$4,0))*1000</f>
        <v>0</v>
      </c>
      <c r="CO194" s="250">
        <f>INDEX(연료전지_원본!$KB$4:$KX$369,MATCH($A194,연료전지_원본!$KB$4:$KB$369,0), MATCH(CO$4,연료전지_원본!$KB$4:$KX$4,0))*1000</f>
        <v>0</v>
      </c>
      <c r="CP194" s="250">
        <f>INDEX(연료전지_원본!$KB$4:$KX$369,MATCH($A194,연료전지_원본!$KB$4:$KB$369,0), MATCH(CP$4,연료전지_원본!$KB$4:$KX$4,0))*1000</f>
        <v>0</v>
      </c>
      <c r="CQ194" s="250">
        <f>INDEX(연료전지_원본!$KB$4:$KX$369,MATCH($A194,연료전지_원본!$KB$4:$KB$369,0), MATCH(CQ$4,연료전지_원본!$KB$4:$KX$4,0))*1000</f>
        <v>0</v>
      </c>
      <c r="CR194" s="250">
        <f>INDEX(연료전지_원본!$KB$4:$KX$369,MATCH($A194,연료전지_원본!$KB$4:$KB$369,0), MATCH(CR$4,연료전지_원본!$KB$4:$KX$4,0))*1000</f>
        <v>0</v>
      </c>
      <c r="CS194" s="250">
        <f>INDEX(연료전지_원본!$KB$4:$KX$369,MATCH($A194,연료전지_원본!$KB$4:$KB$369,0), MATCH(CS$4,연료전지_원본!$KB$4:$KX$4,0))*1000</f>
        <v>0</v>
      </c>
      <c r="CT194" s="250">
        <f>INDEX(연료전지_원본!$KB$4:$KX$369,MATCH($A194,연료전지_원본!$KB$4:$KB$369,0), MATCH(CT$4,연료전지_원본!$KB$4:$KX$4,0))*1000</f>
        <v>0</v>
      </c>
      <c r="CU194" s="250">
        <f>INDEX(연료전지_원본!$KB$4:$KX$369,MATCH($A194,연료전지_원본!$KB$4:$KB$369,0), MATCH(CU$4,연료전지_원본!$KB$4:$KX$4,0))*1000</f>
        <v>0</v>
      </c>
      <c r="CV194" s="250">
        <f>INDEX(연료전지_원본!$KB$4:$KX$369,MATCH($A194,연료전지_원본!$KB$4:$KB$369,0), MATCH(CV$4,연료전지_원본!$KB$4:$KX$4,0))*1000</f>
        <v>0</v>
      </c>
      <c r="CW194" s="250">
        <f>INDEX(연료전지_원본!$KB$4:$KX$369,MATCH($A194,연료전지_원본!$KB$4:$KB$369,0), MATCH(CW$4,연료전지_원본!$KB$4:$KX$4,0))*1000</f>
        <v>0</v>
      </c>
      <c r="CX194" s="250">
        <f>INDEX(연료전지_원본!$KB$4:$KX$369,MATCH($A194,연료전지_원본!$KB$4:$KB$369,0), MATCH(CX$4,연료전지_원본!$KB$4:$KX$4,0))*1000</f>
        <v>0</v>
      </c>
      <c r="CY194" s="250">
        <f>INDEX(연료전지_원본!$KB$4:$KX$369,MATCH($A194,연료전지_원본!$KB$4:$KB$369,0), MATCH(CY$4,연료전지_원본!$KB$4:$KX$4,0))*1000</f>
        <v>0</v>
      </c>
      <c r="DV194" s="30">
        <f t="shared" si="954"/>
        <v>0</v>
      </c>
    </row>
    <row r="195" spans="1:126">
      <c r="A195" s="6">
        <v>46212</v>
      </c>
      <c r="B195" s="15">
        <f>운전실적_원본!B195</f>
        <v>0</v>
      </c>
      <c r="C195" s="16" t="str">
        <f t="shared" si="960"/>
        <v/>
      </c>
      <c r="D195" s="12">
        <f>운전실적_원본!C195</f>
        <v>0</v>
      </c>
      <c r="E195" s="12" t="str">
        <f t="shared" si="961"/>
        <v/>
      </c>
      <c r="F195" s="12">
        <f>운전실적_원본!D195</f>
        <v>0</v>
      </c>
      <c r="G195" s="16" t="str">
        <f t="shared" si="962"/>
        <v/>
      </c>
      <c r="H195" s="15">
        <f>운전실적_원본!E195</f>
        <v>0</v>
      </c>
      <c r="I195" s="16" t="str">
        <f t="shared" si="963"/>
        <v/>
      </c>
      <c r="J195" s="15">
        <f>운전실적_원본!F195</f>
        <v>0</v>
      </c>
      <c r="K195" s="16" t="str">
        <f t="shared" si="963"/>
        <v/>
      </c>
      <c r="L195" s="32">
        <f>운전실적_원본!G195</f>
        <v>0</v>
      </c>
      <c r="M195" s="31" t="str">
        <f t="shared" ref="M195" si="1100">IF(OR(LEN(L195)=0,L195=0),"",L195-L194)</f>
        <v/>
      </c>
      <c r="N195" s="15">
        <f>운전실적_원본!H195</f>
        <v>0</v>
      </c>
      <c r="O195" s="16" t="str">
        <f t="shared" ref="O195" si="1101">IF(OR(LEN(N195)=0,N195=0),"",N195-N194)</f>
        <v/>
      </c>
      <c r="P195" s="15">
        <f>운전실적_원본!I195</f>
        <v>0</v>
      </c>
      <c r="Q195" s="16" t="str">
        <f t="shared" ref="Q195" si="1102">IF(OR(LEN(P195)=0,P195=0),"",P195-P194)</f>
        <v/>
      </c>
      <c r="R195" s="18">
        <f>운전실적_원본!J195</f>
        <v>0</v>
      </c>
      <c r="S195" s="19" t="str">
        <f t="shared" ref="S195" si="1103">IF(OR(LEN(R195)=0,R195=0),"",R195-R194)</f>
        <v/>
      </c>
      <c r="T195" s="18">
        <f>운전실적_원본!K195</f>
        <v>0</v>
      </c>
      <c r="U195" s="19" t="str">
        <f t="shared" si="968"/>
        <v/>
      </c>
      <c r="V195" s="12">
        <f>운전실적_원본!L195</f>
        <v>0</v>
      </c>
      <c r="W195" s="16" t="str">
        <f t="shared" ref="W195" si="1104">IF(OR(LEN(V195)=0,V195=0),"",V195-V194)</f>
        <v/>
      </c>
      <c r="X195" s="10">
        <f>운전실적_원본!M195</f>
        <v>0</v>
      </c>
      <c r="Y195" s="10">
        <f>운전실적_원본!N195</f>
        <v>0</v>
      </c>
      <c r="Z195" s="10">
        <f>운전실적_원본!O195</f>
        <v>0</v>
      </c>
      <c r="AA195" s="10">
        <f>운전실적_원본!P195</f>
        <v>0</v>
      </c>
      <c r="AB195" s="10">
        <f>운전실적_원본!Q195</f>
        <v>0</v>
      </c>
      <c r="AC195" s="20">
        <f>운전실적_원본!R195</f>
        <v>0</v>
      </c>
      <c r="AD195" s="109">
        <f>운전실적_원본!S195</f>
        <v>0</v>
      </c>
      <c r="AE195" s="110">
        <f>운전실적_원본!T195</f>
        <v>0</v>
      </c>
      <c r="AF195" s="110">
        <f>운전실적_원본!U195</f>
        <v>0</v>
      </c>
      <c r="AG195" s="110">
        <f>운전실적_원본!V195</f>
        <v>0</v>
      </c>
      <c r="AH195" s="109">
        <f t="shared" si="791"/>
        <v>0</v>
      </c>
      <c r="AI195" s="110">
        <f t="shared" si="798"/>
        <v>0</v>
      </c>
      <c r="AJ195" s="110">
        <f>운전실적_원본!Y195</f>
        <v>0</v>
      </c>
      <c r="AK195" s="110">
        <f>운전실적_원본!Z195</f>
        <v>0</v>
      </c>
      <c r="AL195" s="106"/>
      <c r="AM195" s="105"/>
      <c r="AN195" s="105"/>
      <c r="AO195" s="105"/>
      <c r="AP195" s="105"/>
      <c r="AQ195" s="108"/>
      <c r="AR195" s="105"/>
      <c r="AS195" s="105"/>
      <c r="AT195" s="102"/>
      <c r="AU195" s="102"/>
      <c r="AV195" s="102"/>
      <c r="AW195" s="102"/>
      <c r="AX195" s="32">
        <f>운전실적_원본!W195</f>
        <v>0</v>
      </c>
      <c r="AY195" s="11">
        <f>운전실적_원본!X195</f>
        <v>0</v>
      </c>
      <c r="AZ195" s="11">
        <f>운전실적_원본!Y195</f>
        <v>0</v>
      </c>
      <c r="BA195" s="11">
        <f>운전실적_원본!Z195</f>
        <v>0</v>
      </c>
      <c r="BB195" s="11">
        <f>운전실적_원본!AA195</f>
        <v>0</v>
      </c>
      <c r="BC195" s="11">
        <f>운전실적_원본!AB195</f>
        <v>0</v>
      </c>
      <c r="BD195" s="32" t="str">
        <f t="shared" si="784"/>
        <v>-</v>
      </c>
      <c r="BE195" s="11" t="str">
        <f t="shared" si="792"/>
        <v>-</v>
      </c>
      <c r="BF195" s="11">
        <f>운전실적_원본!AE195</f>
        <v>0</v>
      </c>
      <c r="BG195" s="31">
        <f t="shared" si="785"/>
        <v>0</v>
      </c>
      <c r="BH195" s="241">
        <f>INDEX(연료전지_원본!$A$4:$KY$369,MATCH($A195,연료전지_원본!$A$4:$A$369,0),MATCH($BH$4,연료전지_원본!$A$4:$KY$4,0))</f>
        <v>0</v>
      </c>
      <c r="BI195" s="241">
        <f>INDEX(연료전지_원본!$A$4:$KY$369,MATCH($A195,연료전지_원본!$A$4:$A$369,0),MATCH($BI$4,연료전지_원본!$A$4:$KY$4,0))</f>
        <v>0</v>
      </c>
      <c r="BJ195" s="241">
        <f>INDEX(연료전지_원본!$A$4:$KY$369,MATCH($A195,연료전지_원본!$A$4:$A$369,0),MATCH($BJ$4,연료전지_원본!$A$4:$KY$4,0))</f>
        <v>0</v>
      </c>
      <c r="BK195" s="241">
        <f>INDEX(연료전지_원본!$A$4:$KY$369,MATCH($A195,연료전지_원본!$A$4:$A$369,0),MATCH($BK$4,연료전지_원본!$A$4:$KY$4,0))</f>
        <v>0</v>
      </c>
      <c r="BL195" s="241">
        <f>INDEX(연료전지_원본!$A$4:$KY$369,MATCH($A195,연료전지_원본!$A$4:$A$369,0),MATCH($BL$4,연료전지_원본!$A$4:$KY$4,0))</f>
        <v>0</v>
      </c>
      <c r="BM195" s="241">
        <f>INDEX(연료전지_원본!$A$4:$KY$369,MATCH($A195,연료전지_원본!$A$4:$A$369,0),MATCH($BM$4,연료전지_원본!$A$4:$KY$4,0))</f>
        <v>0</v>
      </c>
      <c r="BN195" s="241">
        <f>INDEX(연료전지_원본!$A$4:$KY$369,MATCH($A195,연료전지_원본!$A$4:$A$369,0),MATCH($BN$4,연료전지_원본!$A$4:$KY$4,0))</f>
        <v>0</v>
      </c>
      <c r="BO195" s="241">
        <f>INDEX(연료전지_원본!$A$4:$KY$369,MATCH($A195,연료전지_원본!$A$4:$A$369,0),MATCH($BO$4,연료전지_원본!$A$4:$KY$4,0))</f>
        <v>0</v>
      </c>
      <c r="BP195" s="241">
        <f>INDEX(연료전지_원본!$A$4:$KY$369,MATCH($A195,연료전지_원본!$A$4:$A$369,0),MATCH($BP$4,연료전지_원본!$A$4:$KY$4,0))</f>
        <v>0</v>
      </c>
      <c r="BQ195" s="241">
        <f>INDEX(연료전지_원본!$A$4:$KY$369,MATCH($A195,연료전지_원본!$A$4:$A$369,0),MATCH($BQ$4,연료전지_원본!$A$4:$KY$4,0))</f>
        <v>0</v>
      </c>
      <c r="BR195" s="241">
        <f>INDEX(연료전지_원본!$A$4:$KY$369,MATCH($A195,연료전지_원본!$A$4:$A$369,0),MATCH($BR$4,연료전지_원본!$A$4:$KY$4,0))</f>
        <v>0</v>
      </c>
      <c r="BS195" s="241">
        <f>INDEX(연료전지_원본!$A$4:$KY$369,MATCH($A195,연료전지_원본!$A$4:$A$369,0),MATCH($BS$4,연료전지_원본!$A$4:$KY$4,0))</f>
        <v>0</v>
      </c>
      <c r="BT195" s="241">
        <f>INDEX(연료전지_원본!$A$4:$KY$369,MATCH($A195,연료전지_원본!$A$4:$A$369,0),MATCH($BT$4,연료전지_원본!$A$4:$KY$4,0))</f>
        <v>0</v>
      </c>
      <c r="BU195" s="241">
        <f>INDEX(연료전지_원본!$A$4:$KY$369,MATCH($A195,연료전지_원본!$A$4:$A$369,0),MATCH($BU$4,연료전지_원본!$A$4:$KY$4,0))</f>
        <v>0</v>
      </c>
      <c r="BV195" s="241">
        <f>INDEX(연료전지_원본!$A$4:$KY$369,MATCH($A195,연료전지_원본!$A$4:$A$369,0),MATCH($BV$4,연료전지_원본!$A$4:$KY$4,0))</f>
        <v>0</v>
      </c>
      <c r="BW195" s="241">
        <f>INDEX(연료전지_원본!$A$4:$KY$369,MATCH($A195,연료전지_원본!$A$4:$A$369,0),MATCH($BW$4,연료전지_원본!$A$4:$KY$4,0))</f>
        <v>0</v>
      </c>
      <c r="BX195" s="241">
        <f>INDEX(연료전지_원본!$A$4:$KY$369,MATCH($A195,연료전지_원본!$A$4:$A$369,0),MATCH($BX$4,연료전지_원본!$A$4:$KY$4,0))</f>
        <v>0</v>
      </c>
      <c r="BY195" s="241">
        <f>INDEX(연료전지_원본!$A$4:$KY$369,MATCH($A195,연료전지_원본!$A$4:$A$369,0),MATCH($BY$4,연료전지_원본!$A$4:$KY$4,0))</f>
        <v>0</v>
      </c>
      <c r="BZ195" s="241">
        <f>INDEX(연료전지_원본!$A$4:$KY$369,MATCH($A195,연료전지_원본!$A$4:$A$369,0),MATCH($BZ$4,연료전지_원본!$A$4:$KY$4,0))</f>
        <v>0</v>
      </c>
      <c r="CA195" s="241">
        <f>INDEX(연료전지_원본!$A$4:$KY$369,MATCH($A195,연료전지_원본!$A$4:$A$369,0),MATCH($CA$4,연료전지_원본!$A$4:$KY$4,0))</f>
        <v>0</v>
      </c>
      <c r="CB195" s="241">
        <f>INDEX(연료전지_원본!$A$4:$KY$369,MATCH($A195,연료전지_원본!$A$4:$A$369,0),MATCH($CB$4,연료전지_원본!$A$4:$KY$4,0))</f>
        <v>0</v>
      </c>
      <c r="CC195" s="242">
        <f>INDEX(연료전지_원본!$A$4:$KY$369,MATCH($A195,연료전지_원본!$A$4:$A$369,0),MATCH($CC$4,연료전지_원본!$A$4:$KY$4,0))</f>
        <v>0</v>
      </c>
      <c r="CD195" s="250">
        <f>INDEX(연료전지_원본!$KB$4:$KX$369,MATCH($A195,연료전지_원본!$KB$4:$KB$369,0), MATCH(CD$4,연료전지_원본!$KB$4:$KX$4,0))*1000</f>
        <v>0</v>
      </c>
      <c r="CE195" s="250">
        <f>INDEX(연료전지_원본!$KB$4:$KX$369,MATCH($A195,연료전지_원본!$KB$4:$KB$369,0), MATCH(CE$4,연료전지_원본!$KB$4:$KX$4,0))*1000</f>
        <v>0</v>
      </c>
      <c r="CF195" s="250">
        <f>INDEX(연료전지_원본!$KB$4:$KX$369,MATCH($A195,연료전지_원본!$KB$4:$KB$369,0), MATCH(CF$4,연료전지_원본!$KB$4:$KX$4,0))*1000</f>
        <v>0</v>
      </c>
      <c r="CG195" s="250">
        <f>INDEX(연료전지_원본!$KB$4:$KX$369,MATCH($A195,연료전지_원본!$KB$4:$KB$369,0), MATCH(CG$4,연료전지_원본!$KB$4:$KX$4,0))*1000</f>
        <v>0</v>
      </c>
      <c r="CH195" s="250">
        <f>INDEX(연료전지_원본!$KB$4:$KX$369,MATCH($A195,연료전지_원본!$KB$4:$KB$369,0), MATCH(CH$4,연료전지_원본!$KB$4:$KX$4,0))*1000</f>
        <v>0</v>
      </c>
      <c r="CI195" s="250">
        <f>INDEX(연료전지_원본!$KB$4:$KX$369,MATCH($A195,연료전지_원본!$KB$4:$KB$369,0), MATCH(CI$4,연료전지_원본!$KB$4:$KX$4,0))*1000</f>
        <v>0</v>
      </c>
      <c r="CJ195" s="250">
        <f>INDEX(연료전지_원본!$KB$4:$KX$369,MATCH($A195,연료전지_원본!$KB$4:$KB$369,0), MATCH(CJ$4,연료전지_원본!$KB$4:$KX$4,0))*1000</f>
        <v>0</v>
      </c>
      <c r="CK195" s="250">
        <f>INDEX(연료전지_원본!$KB$4:$KX$369,MATCH($A195,연료전지_원본!$KB$4:$KB$369,0), MATCH(CK$4,연료전지_원본!$KB$4:$KX$4,0))*1000</f>
        <v>0</v>
      </c>
      <c r="CL195" s="250">
        <f>INDEX(연료전지_원본!$KB$4:$KX$369,MATCH($A195,연료전지_원본!$KB$4:$KB$369,0), MATCH(CL$4,연료전지_원본!$KB$4:$KX$4,0))*1000</f>
        <v>0</v>
      </c>
      <c r="CM195" s="250">
        <f>INDEX(연료전지_원본!$KB$4:$KX$369,MATCH($A195,연료전지_원본!$KB$4:$KB$369,0), MATCH(CM$4,연료전지_원본!$KB$4:$KX$4,0))*1000</f>
        <v>0</v>
      </c>
      <c r="CN195" s="250">
        <f>INDEX(연료전지_원본!$KB$4:$KX$369,MATCH($A195,연료전지_원본!$KB$4:$KB$369,0), MATCH(CN$4,연료전지_원본!$KB$4:$KX$4,0))*1000</f>
        <v>0</v>
      </c>
      <c r="CO195" s="250">
        <f>INDEX(연료전지_원본!$KB$4:$KX$369,MATCH($A195,연료전지_원본!$KB$4:$KB$369,0), MATCH(CO$4,연료전지_원본!$KB$4:$KX$4,0))*1000</f>
        <v>0</v>
      </c>
      <c r="CP195" s="250">
        <f>INDEX(연료전지_원본!$KB$4:$KX$369,MATCH($A195,연료전지_원본!$KB$4:$KB$369,0), MATCH(CP$4,연료전지_원본!$KB$4:$KX$4,0))*1000</f>
        <v>0</v>
      </c>
      <c r="CQ195" s="250">
        <f>INDEX(연료전지_원본!$KB$4:$KX$369,MATCH($A195,연료전지_원본!$KB$4:$KB$369,0), MATCH(CQ$4,연료전지_원본!$KB$4:$KX$4,0))*1000</f>
        <v>0</v>
      </c>
      <c r="CR195" s="250">
        <f>INDEX(연료전지_원본!$KB$4:$KX$369,MATCH($A195,연료전지_원본!$KB$4:$KB$369,0), MATCH(CR$4,연료전지_원본!$KB$4:$KX$4,0))*1000</f>
        <v>0</v>
      </c>
      <c r="CS195" s="250">
        <f>INDEX(연료전지_원본!$KB$4:$KX$369,MATCH($A195,연료전지_원본!$KB$4:$KB$369,0), MATCH(CS$4,연료전지_원본!$KB$4:$KX$4,0))*1000</f>
        <v>0</v>
      </c>
      <c r="CT195" s="250">
        <f>INDEX(연료전지_원본!$KB$4:$KX$369,MATCH($A195,연료전지_원본!$KB$4:$KB$369,0), MATCH(CT$4,연료전지_원본!$KB$4:$KX$4,0))*1000</f>
        <v>0</v>
      </c>
      <c r="CU195" s="250">
        <f>INDEX(연료전지_원본!$KB$4:$KX$369,MATCH($A195,연료전지_원본!$KB$4:$KB$369,0), MATCH(CU$4,연료전지_원본!$KB$4:$KX$4,0))*1000</f>
        <v>0</v>
      </c>
      <c r="CV195" s="250">
        <f>INDEX(연료전지_원본!$KB$4:$KX$369,MATCH($A195,연료전지_원본!$KB$4:$KB$369,0), MATCH(CV$4,연료전지_원본!$KB$4:$KX$4,0))*1000</f>
        <v>0</v>
      </c>
      <c r="CW195" s="250">
        <f>INDEX(연료전지_원본!$KB$4:$KX$369,MATCH($A195,연료전지_원본!$KB$4:$KB$369,0), MATCH(CW$4,연료전지_원본!$KB$4:$KX$4,0))*1000</f>
        <v>0</v>
      </c>
      <c r="CX195" s="250">
        <f>INDEX(연료전지_원본!$KB$4:$KX$369,MATCH($A195,연료전지_원본!$KB$4:$KB$369,0), MATCH(CX$4,연료전지_원본!$KB$4:$KX$4,0))*1000</f>
        <v>0</v>
      </c>
      <c r="CY195" s="250">
        <f>INDEX(연료전지_원본!$KB$4:$KX$369,MATCH($A195,연료전지_원본!$KB$4:$KB$369,0), MATCH(CY$4,연료전지_원본!$KB$4:$KX$4,0))*1000</f>
        <v>0</v>
      </c>
      <c r="DV195" s="30">
        <f t="shared" si="954"/>
        <v>0</v>
      </c>
    </row>
    <row r="196" spans="1:126">
      <c r="A196" s="6">
        <v>46213</v>
      </c>
      <c r="B196" s="15">
        <f>운전실적_원본!B196</f>
        <v>0</v>
      </c>
      <c r="C196" s="16" t="str">
        <f t="shared" si="960"/>
        <v/>
      </c>
      <c r="D196" s="12">
        <f>운전실적_원본!C196</f>
        <v>0</v>
      </c>
      <c r="E196" s="12" t="str">
        <f t="shared" si="961"/>
        <v/>
      </c>
      <c r="F196" s="12">
        <f>운전실적_원본!D196</f>
        <v>0</v>
      </c>
      <c r="G196" s="16" t="str">
        <f t="shared" si="962"/>
        <v/>
      </c>
      <c r="H196" s="15">
        <f>운전실적_원본!E196</f>
        <v>0</v>
      </c>
      <c r="I196" s="16" t="str">
        <f t="shared" si="963"/>
        <v/>
      </c>
      <c r="J196" s="15">
        <f>운전실적_원본!F196</f>
        <v>0</v>
      </c>
      <c r="K196" s="16" t="str">
        <f t="shared" si="963"/>
        <v/>
      </c>
      <c r="L196" s="32">
        <f>운전실적_원본!G196</f>
        <v>0</v>
      </c>
      <c r="M196" s="31" t="str">
        <f t="shared" ref="M196" si="1105">IF(OR(LEN(L196)=0,L196=0),"",L196-L195)</f>
        <v/>
      </c>
      <c r="N196" s="15">
        <f>운전실적_원본!H196</f>
        <v>0</v>
      </c>
      <c r="O196" s="16" t="str">
        <f t="shared" ref="O196" si="1106">IF(OR(LEN(N196)=0,N196=0),"",N196-N195)</f>
        <v/>
      </c>
      <c r="P196" s="15">
        <f>운전실적_원본!I196</f>
        <v>0</v>
      </c>
      <c r="Q196" s="16" t="str">
        <f t="shared" ref="Q196" si="1107">IF(OR(LEN(P196)=0,P196=0),"",P196-P195)</f>
        <v/>
      </c>
      <c r="R196" s="18">
        <f>운전실적_원본!J196</f>
        <v>0</v>
      </c>
      <c r="S196" s="19" t="str">
        <f t="shared" ref="S196" si="1108">IF(OR(LEN(R196)=0,R196=0),"",R196-R195)</f>
        <v/>
      </c>
      <c r="T196" s="18">
        <f>운전실적_원본!K196</f>
        <v>0</v>
      </c>
      <c r="U196" s="19" t="str">
        <f t="shared" si="968"/>
        <v/>
      </c>
      <c r="V196" s="12">
        <f>운전실적_원본!L196</f>
        <v>0</v>
      </c>
      <c r="W196" s="16" t="str">
        <f t="shared" ref="W196" si="1109">IF(OR(LEN(V196)=0,V196=0),"",V196-V195)</f>
        <v/>
      </c>
      <c r="X196" s="10">
        <f>운전실적_원본!M196</f>
        <v>0</v>
      </c>
      <c r="Y196" s="10">
        <f>운전실적_원본!N196</f>
        <v>0</v>
      </c>
      <c r="Z196" s="10">
        <f>운전실적_원본!O196</f>
        <v>0</v>
      </c>
      <c r="AA196" s="10">
        <f>운전실적_원본!P196</f>
        <v>0</v>
      </c>
      <c r="AB196" s="10">
        <f>운전실적_원본!Q196</f>
        <v>0</v>
      </c>
      <c r="AC196" s="20">
        <f>운전실적_원본!R196</f>
        <v>0</v>
      </c>
      <c r="AD196" s="109">
        <f>운전실적_원본!S196</f>
        <v>0</v>
      </c>
      <c r="AE196" s="110">
        <f>운전실적_원본!T196</f>
        <v>0</v>
      </c>
      <c r="AF196" s="110">
        <f>운전실적_원본!U196</f>
        <v>0</v>
      </c>
      <c r="AG196" s="110">
        <f>운전실적_원본!V196</f>
        <v>0</v>
      </c>
      <c r="AH196" s="109">
        <f t="shared" si="791"/>
        <v>0</v>
      </c>
      <c r="AI196" s="110">
        <f t="shared" si="798"/>
        <v>0</v>
      </c>
      <c r="AJ196" s="110">
        <f>운전실적_원본!Y196</f>
        <v>0</v>
      </c>
      <c r="AK196" s="110">
        <f>운전실적_원본!Z196</f>
        <v>0</v>
      </c>
      <c r="AL196" s="106"/>
      <c r="AM196" s="105"/>
      <c r="AN196" s="105"/>
      <c r="AO196" s="105"/>
      <c r="AP196" s="105"/>
      <c r="AQ196" s="108"/>
      <c r="AR196" s="105"/>
      <c r="AS196" s="105"/>
      <c r="AT196" s="102"/>
      <c r="AU196" s="102"/>
      <c r="AV196" s="102"/>
      <c r="AW196" s="102"/>
      <c r="AX196" s="32">
        <f>운전실적_원본!W196</f>
        <v>0</v>
      </c>
      <c r="AY196" s="11">
        <f>운전실적_원본!X196</f>
        <v>0</v>
      </c>
      <c r="AZ196" s="11">
        <f>운전실적_원본!Y196</f>
        <v>0</v>
      </c>
      <c r="BA196" s="11">
        <f>운전실적_원본!Z196</f>
        <v>0</v>
      </c>
      <c r="BB196" s="11">
        <f>운전실적_원본!AA196</f>
        <v>0</v>
      </c>
      <c r="BC196" s="11">
        <f>운전실적_원본!AB196</f>
        <v>0</v>
      </c>
      <c r="BD196" s="32" t="str">
        <f t="shared" si="784"/>
        <v>-</v>
      </c>
      <c r="BE196" s="11" t="str">
        <f t="shared" si="792"/>
        <v>-</v>
      </c>
      <c r="BF196" s="11">
        <f>운전실적_원본!AE196</f>
        <v>0</v>
      </c>
      <c r="BG196" s="31">
        <f t="shared" si="785"/>
        <v>0</v>
      </c>
      <c r="BH196" s="241">
        <f>INDEX(연료전지_원본!$A$4:$KY$369,MATCH($A196,연료전지_원본!$A$4:$A$369,0),MATCH($BH$4,연료전지_원본!$A$4:$KY$4,0))</f>
        <v>0</v>
      </c>
      <c r="BI196" s="241">
        <f>INDEX(연료전지_원본!$A$4:$KY$369,MATCH($A196,연료전지_원본!$A$4:$A$369,0),MATCH($BI$4,연료전지_원본!$A$4:$KY$4,0))</f>
        <v>0</v>
      </c>
      <c r="BJ196" s="241">
        <f>INDEX(연료전지_원본!$A$4:$KY$369,MATCH($A196,연료전지_원본!$A$4:$A$369,0),MATCH($BJ$4,연료전지_원본!$A$4:$KY$4,0))</f>
        <v>0</v>
      </c>
      <c r="BK196" s="241">
        <f>INDEX(연료전지_원본!$A$4:$KY$369,MATCH($A196,연료전지_원본!$A$4:$A$369,0),MATCH($BK$4,연료전지_원본!$A$4:$KY$4,0))</f>
        <v>0</v>
      </c>
      <c r="BL196" s="241">
        <f>INDEX(연료전지_원본!$A$4:$KY$369,MATCH($A196,연료전지_원본!$A$4:$A$369,0),MATCH($BL$4,연료전지_원본!$A$4:$KY$4,0))</f>
        <v>0</v>
      </c>
      <c r="BM196" s="241">
        <f>INDEX(연료전지_원본!$A$4:$KY$369,MATCH($A196,연료전지_원본!$A$4:$A$369,0),MATCH($BM$4,연료전지_원본!$A$4:$KY$4,0))</f>
        <v>0</v>
      </c>
      <c r="BN196" s="241">
        <f>INDEX(연료전지_원본!$A$4:$KY$369,MATCH($A196,연료전지_원본!$A$4:$A$369,0),MATCH($BN$4,연료전지_원본!$A$4:$KY$4,0))</f>
        <v>0</v>
      </c>
      <c r="BO196" s="241">
        <f>INDEX(연료전지_원본!$A$4:$KY$369,MATCH($A196,연료전지_원본!$A$4:$A$369,0),MATCH($BO$4,연료전지_원본!$A$4:$KY$4,0))</f>
        <v>0</v>
      </c>
      <c r="BP196" s="241">
        <f>INDEX(연료전지_원본!$A$4:$KY$369,MATCH($A196,연료전지_원본!$A$4:$A$369,0),MATCH($BP$4,연료전지_원본!$A$4:$KY$4,0))</f>
        <v>0</v>
      </c>
      <c r="BQ196" s="241">
        <f>INDEX(연료전지_원본!$A$4:$KY$369,MATCH($A196,연료전지_원본!$A$4:$A$369,0),MATCH($BQ$4,연료전지_원본!$A$4:$KY$4,0))</f>
        <v>0</v>
      </c>
      <c r="BR196" s="241">
        <f>INDEX(연료전지_원본!$A$4:$KY$369,MATCH($A196,연료전지_원본!$A$4:$A$369,0),MATCH($BR$4,연료전지_원본!$A$4:$KY$4,0))</f>
        <v>0</v>
      </c>
      <c r="BS196" s="241">
        <f>INDEX(연료전지_원본!$A$4:$KY$369,MATCH($A196,연료전지_원본!$A$4:$A$369,0),MATCH($BS$4,연료전지_원본!$A$4:$KY$4,0))</f>
        <v>0</v>
      </c>
      <c r="BT196" s="241">
        <f>INDEX(연료전지_원본!$A$4:$KY$369,MATCH($A196,연료전지_원본!$A$4:$A$369,0),MATCH($BT$4,연료전지_원본!$A$4:$KY$4,0))</f>
        <v>0</v>
      </c>
      <c r="BU196" s="241">
        <f>INDEX(연료전지_원본!$A$4:$KY$369,MATCH($A196,연료전지_원본!$A$4:$A$369,0),MATCH($BU$4,연료전지_원본!$A$4:$KY$4,0))</f>
        <v>0</v>
      </c>
      <c r="BV196" s="241">
        <f>INDEX(연료전지_원본!$A$4:$KY$369,MATCH($A196,연료전지_원본!$A$4:$A$369,0),MATCH($BV$4,연료전지_원본!$A$4:$KY$4,0))</f>
        <v>0</v>
      </c>
      <c r="BW196" s="241">
        <f>INDEX(연료전지_원본!$A$4:$KY$369,MATCH($A196,연료전지_원본!$A$4:$A$369,0),MATCH($BW$4,연료전지_원본!$A$4:$KY$4,0))</f>
        <v>0</v>
      </c>
      <c r="BX196" s="241">
        <f>INDEX(연료전지_원본!$A$4:$KY$369,MATCH($A196,연료전지_원본!$A$4:$A$369,0),MATCH($BX$4,연료전지_원본!$A$4:$KY$4,0))</f>
        <v>0</v>
      </c>
      <c r="BY196" s="241">
        <f>INDEX(연료전지_원본!$A$4:$KY$369,MATCH($A196,연료전지_원본!$A$4:$A$369,0),MATCH($BY$4,연료전지_원본!$A$4:$KY$4,0))</f>
        <v>0</v>
      </c>
      <c r="BZ196" s="241">
        <f>INDEX(연료전지_원본!$A$4:$KY$369,MATCH($A196,연료전지_원본!$A$4:$A$369,0),MATCH($BZ$4,연료전지_원본!$A$4:$KY$4,0))</f>
        <v>0</v>
      </c>
      <c r="CA196" s="241">
        <f>INDEX(연료전지_원본!$A$4:$KY$369,MATCH($A196,연료전지_원본!$A$4:$A$369,0),MATCH($CA$4,연료전지_원본!$A$4:$KY$4,0))</f>
        <v>0</v>
      </c>
      <c r="CB196" s="241">
        <f>INDEX(연료전지_원본!$A$4:$KY$369,MATCH($A196,연료전지_원본!$A$4:$A$369,0),MATCH($CB$4,연료전지_원본!$A$4:$KY$4,0))</f>
        <v>0</v>
      </c>
      <c r="CC196" s="242">
        <f>INDEX(연료전지_원본!$A$4:$KY$369,MATCH($A196,연료전지_원본!$A$4:$A$369,0),MATCH($CC$4,연료전지_원본!$A$4:$KY$4,0))</f>
        <v>0</v>
      </c>
      <c r="CD196" s="250">
        <f>INDEX(연료전지_원본!$KB$4:$KX$369,MATCH($A196,연료전지_원본!$KB$4:$KB$369,0), MATCH(CD$4,연료전지_원본!$KB$4:$KX$4,0))*1000</f>
        <v>0</v>
      </c>
      <c r="CE196" s="250">
        <f>INDEX(연료전지_원본!$KB$4:$KX$369,MATCH($A196,연료전지_원본!$KB$4:$KB$369,0), MATCH(CE$4,연료전지_원본!$KB$4:$KX$4,0))*1000</f>
        <v>0</v>
      </c>
      <c r="CF196" s="250">
        <f>INDEX(연료전지_원본!$KB$4:$KX$369,MATCH($A196,연료전지_원본!$KB$4:$KB$369,0), MATCH(CF$4,연료전지_원본!$KB$4:$KX$4,0))*1000</f>
        <v>0</v>
      </c>
      <c r="CG196" s="250">
        <f>INDEX(연료전지_원본!$KB$4:$KX$369,MATCH($A196,연료전지_원본!$KB$4:$KB$369,0), MATCH(CG$4,연료전지_원본!$KB$4:$KX$4,0))*1000</f>
        <v>0</v>
      </c>
      <c r="CH196" s="250">
        <f>INDEX(연료전지_원본!$KB$4:$KX$369,MATCH($A196,연료전지_원본!$KB$4:$KB$369,0), MATCH(CH$4,연료전지_원본!$KB$4:$KX$4,0))*1000</f>
        <v>0</v>
      </c>
      <c r="CI196" s="250">
        <f>INDEX(연료전지_원본!$KB$4:$KX$369,MATCH($A196,연료전지_원본!$KB$4:$KB$369,0), MATCH(CI$4,연료전지_원본!$KB$4:$KX$4,0))*1000</f>
        <v>0</v>
      </c>
      <c r="CJ196" s="250">
        <f>INDEX(연료전지_원본!$KB$4:$KX$369,MATCH($A196,연료전지_원본!$KB$4:$KB$369,0), MATCH(CJ$4,연료전지_원본!$KB$4:$KX$4,0))*1000</f>
        <v>0</v>
      </c>
      <c r="CK196" s="250">
        <f>INDEX(연료전지_원본!$KB$4:$KX$369,MATCH($A196,연료전지_원본!$KB$4:$KB$369,0), MATCH(CK$4,연료전지_원본!$KB$4:$KX$4,0))*1000</f>
        <v>0</v>
      </c>
      <c r="CL196" s="250">
        <f>INDEX(연료전지_원본!$KB$4:$KX$369,MATCH($A196,연료전지_원본!$KB$4:$KB$369,0), MATCH(CL$4,연료전지_원본!$KB$4:$KX$4,0))*1000</f>
        <v>0</v>
      </c>
      <c r="CM196" s="250">
        <f>INDEX(연료전지_원본!$KB$4:$KX$369,MATCH($A196,연료전지_원본!$KB$4:$KB$369,0), MATCH(CM$4,연료전지_원본!$KB$4:$KX$4,0))*1000</f>
        <v>0</v>
      </c>
      <c r="CN196" s="250">
        <f>INDEX(연료전지_원본!$KB$4:$KX$369,MATCH($A196,연료전지_원본!$KB$4:$KB$369,0), MATCH(CN$4,연료전지_원본!$KB$4:$KX$4,0))*1000</f>
        <v>0</v>
      </c>
      <c r="CO196" s="250">
        <f>INDEX(연료전지_원본!$KB$4:$KX$369,MATCH($A196,연료전지_원본!$KB$4:$KB$369,0), MATCH(CO$4,연료전지_원본!$KB$4:$KX$4,0))*1000</f>
        <v>0</v>
      </c>
      <c r="CP196" s="250">
        <f>INDEX(연료전지_원본!$KB$4:$KX$369,MATCH($A196,연료전지_원본!$KB$4:$KB$369,0), MATCH(CP$4,연료전지_원본!$KB$4:$KX$4,0))*1000</f>
        <v>0</v>
      </c>
      <c r="CQ196" s="250">
        <f>INDEX(연료전지_원본!$KB$4:$KX$369,MATCH($A196,연료전지_원본!$KB$4:$KB$369,0), MATCH(CQ$4,연료전지_원본!$KB$4:$KX$4,0))*1000</f>
        <v>0</v>
      </c>
      <c r="CR196" s="250">
        <f>INDEX(연료전지_원본!$KB$4:$KX$369,MATCH($A196,연료전지_원본!$KB$4:$KB$369,0), MATCH(CR$4,연료전지_원본!$KB$4:$KX$4,0))*1000</f>
        <v>0</v>
      </c>
      <c r="CS196" s="250">
        <f>INDEX(연료전지_원본!$KB$4:$KX$369,MATCH($A196,연료전지_원본!$KB$4:$KB$369,0), MATCH(CS$4,연료전지_원본!$KB$4:$KX$4,0))*1000</f>
        <v>0</v>
      </c>
      <c r="CT196" s="250">
        <f>INDEX(연료전지_원본!$KB$4:$KX$369,MATCH($A196,연료전지_원본!$KB$4:$KB$369,0), MATCH(CT$4,연료전지_원본!$KB$4:$KX$4,0))*1000</f>
        <v>0</v>
      </c>
      <c r="CU196" s="250">
        <f>INDEX(연료전지_원본!$KB$4:$KX$369,MATCH($A196,연료전지_원본!$KB$4:$KB$369,0), MATCH(CU$4,연료전지_원본!$KB$4:$KX$4,0))*1000</f>
        <v>0</v>
      </c>
      <c r="CV196" s="250">
        <f>INDEX(연료전지_원본!$KB$4:$KX$369,MATCH($A196,연료전지_원본!$KB$4:$KB$369,0), MATCH(CV$4,연료전지_원본!$KB$4:$KX$4,0))*1000</f>
        <v>0</v>
      </c>
      <c r="CW196" s="250">
        <f>INDEX(연료전지_원본!$KB$4:$KX$369,MATCH($A196,연료전지_원본!$KB$4:$KB$369,0), MATCH(CW$4,연료전지_원본!$KB$4:$KX$4,0))*1000</f>
        <v>0</v>
      </c>
      <c r="CX196" s="250">
        <f>INDEX(연료전지_원본!$KB$4:$KX$369,MATCH($A196,연료전지_원본!$KB$4:$KB$369,0), MATCH(CX$4,연료전지_원본!$KB$4:$KX$4,0))*1000</f>
        <v>0</v>
      </c>
      <c r="CY196" s="250">
        <f>INDEX(연료전지_원본!$KB$4:$KX$369,MATCH($A196,연료전지_원본!$KB$4:$KB$369,0), MATCH(CY$4,연료전지_원본!$KB$4:$KX$4,0))*1000</f>
        <v>0</v>
      </c>
      <c r="DV196" s="30">
        <f t="shared" si="954"/>
        <v>0</v>
      </c>
    </row>
    <row r="197" spans="1:126">
      <c r="A197" s="6">
        <v>46214</v>
      </c>
      <c r="B197" s="15">
        <f>운전실적_원본!B197</f>
        <v>0</v>
      </c>
      <c r="C197" s="16" t="str">
        <f t="shared" si="960"/>
        <v/>
      </c>
      <c r="D197" s="12">
        <f>운전실적_원본!C197</f>
        <v>0</v>
      </c>
      <c r="E197" s="12" t="str">
        <f t="shared" si="961"/>
        <v/>
      </c>
      <c r="F197" s="12">
        <f>운전실적_원본!D197</f>
        <v>0</v>
      </c>
      <c r="G197" s="16" t="str">
        <f t="shared" si="962"/>
        <v/>
      </c>
      <c r="H197" s="15">
        <f>운전실적_원본!E197</f>
        <v>0</v>
      </c>
      <c r="I197" s="16" t="str">
        <f t="shared" si="963"/>
        <v/>
      </c>
      <c r="J197" s="15">
        <f>운전실적_원본!F197</f>
        <v>0</v>
      </c>
      <c r="K197" s="16" t="str">
        <f t="shared" si="963"/>
        <v/>
      </c>
      <c r="L197" s="32">
        <f>운전실적_원본!G197</f>
        <v>0</v>
      </c>
      <c r="M197" s="31" t="str">
        <f t="shared" ref="M197" si="1110">IF(OR(LEN(L197)=0,L197=0),"",L197-L196)</f>
        <v/>
      </c>
      <c r="N197" s="15">
        <f>운전실적_원본!H197</f>
        <v>0</v>
      </c>
      <c r="O197" s="16" t="str">
        <f t="shared" ref="O197" si="1111">IF(OR(LEN(N197)=0,N197=0),"",N197-N196)</f>
        <v/>
      </c>
      <c r="P197" s="15">
        <f>운전실적_원본!I197</f>
        <v>0</v>
      </c>
      <c r="Q197" s="16" t="str">
        <f t="shared" ref="Q197" si="1112">IF(OR(LEN(P197)=0,P197=0),"",P197-P196)</f>
        <v/>
      </c>
      <c r="R197" s="18">
        <f>운전실적_원본!J197</f>
        <v>0</v>
      </c>
      <c r="S197" s="19" t="str">
        <f t="shared" ref="S197" si="1113">IF(OR(LEN(R197)=0,R197=0),"",R197-R196)</f>
        <v/>
      </c>
      <c r="T197" s="18">
        <f>운전실적_원본!K197</f>
        <v>0</v>
      </c>
      <c r="U197" s="19" t="str">
        <f t="shared" si="968"/>
        <v/>
      </c>
      <c r="V197" s="12">
        <f>운전실적_원본!L197</f>
        <v>0</v>
      </c>
      <c r="W197" s="16" t="str">
        <f t="shared" ref="W197" si="1114">IF(OR(LEN(V197)=0,V197=0),"",V197-V196)</f>
        <v/>
      </c>
      <c r="X197" s="10">
        <f>운전실적_원본!M197</f>
        <v>0</v>
      </c>
      <c r="Y197" s="10">
        <f>운전실적_원본!N197</f>
        <v>0</v>
      </c>
      <c r="Z197" s="10">
        <f>운전실적_원본!O197</f>
        <v>0</v>
      </c>
      <c r="AA197" s="10">
        <f>운전실적_원본!P197</f>
        <v>0</v>
      </c>
      <c r="AB197" s="10">
        <f>운전실적_원본!Q197</f>
        <v>0</v>
      </c>
      <c r="AC197" s="20">
        <f>운전실적_원본!R197</f>
        <v>0</v>
      </c>
      <c r="AD197" s="109">
        <f>운전실적_원본!S197</f>
        <v>0</v>
      </c>
      <c r="AE197" s="110">
        <f>운전실적_원본!T197</f>
        <v>0</v>
      </c>
      <c r="AF197" s="110">
        <f>운전실적_원본!U197</f>
        <v>0</v>
      </c>
      <c r="AG197" s="110">
        <f>운전실적_원본!V197</f>
        <v>0</v>
      </c>
      <c r="AH197" s="109">
        <f t="shared" si="791"/>
        <v>0</v>
      </c>
      <c r="AI197" s="110">
        <f t="shared" si="798"/>
        <v>0</v>
      </c>
      <c r="AJ197" s="110">
        <f>운전실적_원본!Y197</f>
        <v>0</v>
      </c>
      <c r="AK197" s="110">
        <f>운전실적_원본!Z197</f>
        <v>0</v>
      </c>
      <c r="AL197" s="106"/>
      <c r="AM197" s="105"/>
      <c r="AN197" s="105"/>
      <c r="AO197" s="105"/>
      <c r="AP197" s="105"/>
      <c r="AQ197" s="108"/>
      <c r="AR197" s="105"/>
      <c r="AS197" s="105"/>
      <c r="AT197" s="102"/>
      <c r="AU197" s="102"/>
      <c r="AV197" s="102"/>
      <c r="AW197" s="102"/>
      <c r="AX197" s="32">
        <f>운전실적_원본!W197</f>
        <v>0</v>
      </c>
      <c r="AY197" s="11">
        <f>운전실적_원본!X197</f>
        <v>0</v>
      </c>
      <c r="AZ197" s="11">
        <f>운전실적_원본!Y197</f>
        <v>0</v>
      </c>
      <c r="BA197" s="11">
        <f>운전실적_원본!Z197</f>
        <v>0</v>
      </c>
      <c r="BB197" s="11">
        <f>운전실적_원본!AA197</f>
        <v>0</v>
      </c>
      <c r="BC197" s="11">
        <f>운전실적_원본!AB197</f>
        <v>0</v>
      </c>
      <c r="BD197" s="32" t="str">
        <f t="shared" ref="BD197:BD260" si="1115">IFERROR(AX197/AD197,"-")</f>
        <v>-</v>
      </c>
      <c r="BE197" s="11" t="str">
        <f t="shared" si="792"/>
        <v>-</v>
      </c>
      <c r="BF197" s="11">
        <f>운전실적_원본!AE197</f>
        <v>0</v>
      </c>
      <c r="BG197" s="31">
        <f t="shared" ref="BG197:BG260" si="1116">IFERROR(BF197/$BG$4,"-")</f>
        <v>0</v>
      </c>
      <c r="BH197" s="241">
        <f>INDEX(연료전지_원본!$A$4:$KY$369,MATCH($A197,연료전지_원본!$A$4:$A$369,0),MATCH($BH$4,연료전지_원본!$A$4:$KY$4,0))</f>
        <v>0</v>
      </c>
      <c r="BI197" s="241">
        <f>INDEX(연료전지_원본!$A$4:$KY$369,MATCH($A197,연료전지_원본!$A$4:$A$369,0),MATCH($BI$4,연료전지_원본!$A$4:$KY$4,0))</f>
        <v>0</v>
      </c>
      <c r="BJ197" s="241">
        <f>INDEX(연료전지_원본!$A$4:$KY$369,MATCH($A197,연료전지_원본!$A$4:$A$369,0),MATCH($BJ$4,연료전지_원본!$A$4:$KY$4,0))</f>
        <v>0</v>
      </c>
      <c r="BK197" s="241">
        <f>INDEX(연료전지_원본!$A$4:$KY$369,MATCH($A197,연료전지_원본!$A$4:$A$369,0),MATCH($BK$4,연료전지_원본!$A$4:$KY$4,0))</f>
        <v>0</v>
      </c>
      <c r="BL197" s="241">
        <f>INDEX(연료전지_원본!$A$4:$KY$369,MATCH($A197,연료전지_원본!$A$4:$A$369,0),MATCH($BL$4,연료전지_원본!$A$4:$KY$4,0))</f>
        <v>0</v>
      </c>
      <c r="BM197" s="241">
        <f>INDEX(연료전지_원본!$A$4:$KY$369,MATCH($A197,연료전지_원본!$A$4:$A$369,0),MATCH($BM$4,연료전지_원본!$A$4:$KY$4,0))</f>
        <v>0</v>
      </c>
      <c r="BN197" s="241">
        <f>INDEX(연료전지_원본!$A$4:$KY$369,MATCH($A197,연료전지_원본!$A$4:$A$369,0),MATCH($BN$4,연료전지_원본!$A$4:$KY$4,0))</f>
        <v>0</v>
      </c>
      <c r="BO197" s="241">
        <f>INDEX(연료전지_원본!$A$4:$KY$369,MATCH($A197,연료전지_원본!$A$4:$A$369,0),MATCH($BO$4,연료전지_원본!$A$4:$KY$4,0))</f>
        <v>0</v>
      </c>
      <c r="BP197" s="241">
        <f>INDEX(연료전지_원본!$A$4:$KY$369,MATCH($A197,연료전지_원본!$A$4:$A$369,0),MATCH($BP$4,연료전지_원본!$A$4:$KY$4,0))</f>
        <v>0</v>
      </c>
      <c r="BQ197" s="241">
        <f>INDEX(연료전지_원본!$A$4:$KY$369,MATCH($A197,연료전지_원본!$A$4:$A$369,0),MATCH($BQ$4,연료전지_원본!$A$4:$KY$4,0))</f>
        <v>0</v>
      </c>
      <c r="BR197" s="241">
        <f>INDEX(연료전지_원본!$A$4:$KY$369,MATCH($A197,연료전지_원본!$A$4:$A$369,0),MATCH($BR$4,연료전지_원본!$A$4:$KY$4,0))</f>
        <v>0</v>
      </c>
      <c r="BS197" s="241">
        <f>INDEX(연료전지_원본!$A$4:$KY$369,MATCH($A197,연료전지_원본!$A$4:$A$369,0),MATCH($BS$4,연료전지_원본!$A$4:$KY$4,0))</f>
        <v>0</v>
      </c>
      <c r="BT197" s="241">
        <f>INDEX(연료전지_원본!$A$4:$KY$369,MATCH($A197,연료전지_원본!$A$4:$A$369,0),MATCH($BT$4,연료전지_원본!$A$4:$KY$4,0))</f>
        <v>0</v>
      </c>
      <c r="BU197" s="241">
        <f>INDEX(연료전지_원본!$A$4:$KY$369,MATCH($A197,연료전지_원본!$A$4:$A$369,0),MATCH($BU$4,연료전지_원본!$A$4:$KY$4,0))</f>
        <v>0</v>
      </c>
      <c r="BV197" s="241">
        <f>INDEX(연료전지_원본!$A$4:$KY$369,MATCH($A197,연료전지_원본!$A$4:$A$369,0),MATCH($BV$4,연료전지_원본!$A$4:$KY$4,0))</f>
        <v>0</v>
      </c>
      <c r="BW197" s="241">
        <f>INDEX(연료전지_원본!$A$4:$KY$369,MATCH($A197,연료전지_원본!$A$4:$A$369,0),MATCH($BW$4,연료전지_원본!$A$4:$KY$4,0))</f>
        <v>0</v>
      </c>
      <c r="BX197" s="241">
        <f>INDEX(연료전지_원본!$A$4:$KY$369,MATCH($A197,연료전지_원본!$A$4:$A$369,0),MATCH($BX$4,연료전지_원본!$A$4:$KY$4,0))</f>
        <v>0</v>
      </c>
      <c r="BY197" s="241">
        <f>INDEX(연료전지_원본!$A$4:$KY$369,MATCH($A197,연료전지_원본!$A$4:$A$369,0),MATCH($BY$4,연료전지_원본!$A$4:$KY$4,0))</f>
        <v>0</v>
      </c>
      <c r="BZ197" s="241">
        <f>INDEX(연료전지_원본!$A$4:$KY$369,MATCH($A197,연료전지_원본!$A$4:$A$369,0),MATCH($BZ$4,연료전지_원본!$A$4:$KY$4,0))</f>
        <v>0</v>
      </c>
      <c r="CA197" s="241">
        <f>INDEX(연료전지_원본!$A$4:$KY$369,MATCH($A197,연료전지_원본!$A$4:$A$369,0),MATCH($CA$4,연료전지_원본!$A$4:$KY$4,0))</f>
        <v>0</v>
      </c>
      <c r="CB197" s="241">
        <f>INDEX(연료전지_원본!$A$4:$KY$369,MATCH($A197,연료전지_원본!$A$4:$A$369,0),MATCH($CB$4,연료전지_원본!$A$4:$KY$4,0))</f>
        <v>0</v>
      </c>
      <c r="CC197" s="242">
        <f>INDEX(연료전지_원본!$A$4:$KY$369,MATCH($A197,연료전지_원본!$A$4:$A$369,0),MATCH($CC$4,연료전지_원본!$A$4:$KY$4,0))</f>
        <v>0</v>
      </c>
      <c r="CD197" s="250">
        <f>INDEX(연료전지_원본!$KB$4:$KX$369,MATCH($A197,연료전지_원본!$KB$4:$KB$369,0), MATCH(CD$4,연료전지_원본!$KB$4:$KX$4,0))*1000</f>
        <v>0</v>
      </c>
      <c r="CE197" s="250">
        <f>INDEX(연료전지_원본!$KB$4:$KX$369,MATCH($A197,연료전지_원본!$KB$4:$KB$369,0), MATCH(CE$4,연료전지_원본!$KB$4:$KX$4,0))*1000</f>
        <v>0</v>
      </c>
      <c r="CF197" s="250">
        <f>INDEX(연료전지_원본!$KB$4:$KX$369,MATCH($A197,연료전지_원본!$KB$4:$KB$369,0), MATCH(CF$4,연료전지_원본!$KB$4:$KX$4,0))*1000</f>
        <v>0</v>
      </c>
      <c r="CG197" s="250">
        <f>INDEX(연료전지_원본!$KB$4:$KX$369,MATCH($A197,연료전지_원본!$KB$4:$KB$369,0), MATCH(CG$4,연료전지_원본!$KB$4:$KX$4,0))*1000</f>
        <v>0</v>
      </c>
      <c r="CH197" s="250">
        <f>INDEX(연료전지_원본!$KB$4:$KX$369,MATCH($A197,연료전지_원본!$KB$4:$KB$369,0), MATCH(CH$4,연료전지_원본!$KB$4:$KX$4,0))*1000</f>
        <v>0</v>
      </c>
      <c r="CI197" s="250">
        <f>INDEX(연료전지_원본!$KB$4:$KX$369,MATCH($A197,연료전지_원본!$KB$4:$KB$369,0), MATCH(CI$4,연료전지_원본!$KB$4:$KX$4,0))*1000</f>
        <v>0</v>
      </c>
      <c r="CJ197" s="250">
        <f>INDEX(연료전지_원본!$KB$4:$KX$369,MATCH($A197,연료전지_원본!$KB$4:$KB$369,0), MATCH(CJ$4,연료전지_원본!$KB$4:$KX$4,0))*1000</f>
        <v>0</v>
      </c>
      <c r="CK197" s="250">
        <f>INDEX(연료전지_원본!$KB$4:$KX$369,MATCH($A197,연료전지_원본!$KB$4:$KB$369,0), MATCH(CK$4,연료전지_원본!$KB$4:$KX$4,0))*1000</f>
        <v>0</v>
      </c>
      <c r="CL197" s="250">
        <f>INDEX(연료전지_원본!$KB$4:$KX$369,MATCH($A197,연료전지_원본!$KB$4:$KB$369,0), MATCH(CL$4,연료전지_원본!$KB$4:$KX$4,0))*1000</f>
        <v>0</v>
      </c>
      <c r="CM197" s="250">
        <f>INDEX(연료전지_원본!$KB$4:$KX$369,MATCH($A197,연료전지_원본!$KB$4:$KB$369,0), MATCH(CM$4,연료전지_원본!$KB$4:$KX$4,0))*1000</f>
        <v>0</v>
      </c>
      <c r="CN197" s="250">
        <f>INDEX(연료전지_원본!$KB$4:$KX$369,MATCH($A197,연료전지_원본!$KB$4:$KB$369,0), MATCH(CN$4,연료전지_원본!$KB$4:$KX$4,0))*1000</f>
        <v>0</v>
      </c>
      <c r="CO197" s="250">
        <f>INDEX(연료전지_원본!$KB$4:$KX$369,MATCH($A197,연료전지_원본!$KB$4:$KB$369,0), MATCH(CO$4,연료전지_원본!$KB$4:$KX$4,0))*1000</f>
        <v>0</v>
      </c>
      <c r="CP197" s="250">
        <f>INDEX(연료전지_원본!$KB$4:$KX$369,MATCH($A197,연료전지_원본!$KB$4:$KB$369,0), MATCH(CP$4,연료전지_원본!$KB$4:$KX$4,0))*1000</f>
        <v>0</v>
      </c>
      <c r="CQ197" s="250">
        <f>INDEX(연료전지_원본!$KB$4:$KX$369,MATCH($A197,연료전지_원본!$KB$4:$KB$369,0), MATCH(CQ$4,연료전지_원본!$KB$4:$KX$4,0))*1000</f>
        <v>0</v>
      </c>
      <c r="CR197" s="250">
        <f>INDEX(연료전지_원본!$KB$4:$KX$369,MATCH($A197,연료전지_원본!$KB$4:$KB$369,0), MATCH(CR$4,연료전지_원본!$KB$4:$KX$4,0))*1000</f>
        <v>0</v>
      </c>
      <c r="CS197" s="250">
        <f>INDEX(연료전지_원본!$KB$4:$KX$369,MATCH($A197,연료전지_원본!$KB$4:$KB$369,0), MATCH(CS$4,연료전지_원본!$KB$4:$KX$4,0))*1000</f>
        <v>0</v>
      </c>
      <c r="CT197" s="250">
        <f>INDEX(연료전지_원본!$KB$4:$KX$369,MATCH($A197,연료전지_원본!$KB$4:$KB$369,0), MATCH(CT$4,연료전지_원본!$KB$4:$KX$4,0))*1000</f>
        <v>0</v>
      </c>
      <c r="CU197" s="250">
        <f>INDEX(연료전지_원본!$KB$4:$KX$369,MATCH($A197,연료전지_원본!$KB$4:$KB$369,0), MATCH(CU$4,연료전지_원본!$KB$4:$KX$4,0))*1000</f>
        <v>0</v>
      </c>
      <c r="CV197" s="250">
        <f>INDEX(연료전지_원본!$KB$4:$KX$369,MATCH($A197,연료전지_원본!$KB$4:$KB$369,0), MATCH(CV$4,연료전지_원본!$KB$4:$KX$4,0))*1000</f>
        <v>0</v>
      </c>
      <c r="CW197" s="250">
        <f>INDEX(연료전지_원본!$KB$4:$KX$369,MATCH($A197,연료전지_원본!$KB$4:$KB$369,0), MATCH(CW$4,연료전지_원본!$KB$4:$KX$4,0))*1000</f>
        <v>0</v>
      </c>
      <c r="CX197" s="250">
        <f>INDEX(연료전지_원본!$KB$4:$KX$369,MATCH($A197,연료전지_원본!$KB$4:$KB$369,0), MATCH(CX$4,연료전지_원본!$KB$4:$KX$4,0))*1000</f>
        <v>0</v>
      </c>
      <c r="CY197" s="250">
        <f>INDEX(연료전지_원본!$KB$4:$KX$369,MATCH($A197,연료전지_원본!$KB$4:$KB$369,0), MATCH(CY$4,연료전지_원본!$KB$4:$KX$4,0))*1000</f>
        <v>0</v>
      </c>
      <c r="DV197" s="30">
        <f t="shared" si="954"/>
        <v>0</v>
      </c>
    </row>
    <row r="198" spans="1:126">
      <c r="A198" s="6">
        <v>46215</v>
      </c>
      <c r="B198" s="15">
        <f>운전실적_원본!B198</f>
        <v>0</v>
      </c>
      <c r="C198" s="16" t="str">
        <f t="shared" si="960"/>
        <v/>
      </c>
      <c r="D198" s="12">
        <f>운전실적_원본!C198</f>
        <v>0</v>
      </c>
      <c r="E198" s="12" t="str">
        <f t="shared" si="961"/>
        <v/>
      </c>
      <c r="F198" s="12">
        <f>운전실적_원본!D198</f>
        <v>0</v>
      </c>
      <c r="G198" s="16" t="str">
        <f t="shared" si="962"/>
        <v/>
      </c>
      <c r="H198" s="15">
        <f>운전실적_원본!E198</f>
        <v>0</v>
      </c>
      <c r="I198" s="16" t="str">
        <f t="shared" si="963"/>
        <v/>
      </c>
      <c r="J198" s="15">
        <f>운전실적_원본!F198</f>
        <v>0</v>
      </c>
      <c r="K198" s="16" t="str">
        <f t="shared" si="963"/>
        <v/>
      </c>
      <c r="L198" s="32">
        <f>운전실적_원본!G198</f>
        <v>0</v>
      </c>
      <c r="M198" s="31" t="str">
        <f t="shared" ref="M198" si="1117">IF(OR(LEN(L198)=0,L198=0),"",L198-L197)</f>
        <v/>
      </c>
      <c r="N198" s="15">
        <f>운전실적_원본!H198</f>
        <v>0</v>
      </c>
      <c r="O198" s="16" t="str">
        <f t="shared" ref="O198" si="1118">IF(OR(LEN(N198)=0,N198=0),"",N198-N197)</f>
        <v/>
      </c>
      <c r="P198" s="15">
        <f>운전실적_원본!I198</f>
        <v>0</v>
      </c>
      <c r="Q198" s="16" t="str">
        <f t="shared" ref="Q198" si="1119">IF(OR(LEN(P198)=0,P198=0),"",P198-P197)</f>
        <v/>
      </c>
      <c r="R198" s="18">
        <f>운전실적_원본!J198</f>
        <v>0</v>
      </c>
      <c r="S198" s="19" t="str">
        <f t="shared" ref="S198" si="1120">IF(OR(LEN(R198)=0,R198=0),"",R198-R197)</f>
        <v/>
      </c>
      <c r="T198" s="18">
        <f>운전실적_원본!K198</f>
        <v>0</v>
      </c>
      <c r="U198" s="19" t="str">
        <f t="shared" si="968"/>
        <v/>
      </c>
      <c r="V198" s="12">
        <f>운전실적_원본!L198</f>
        <v>0</v>
      </c>
      <c r="W198" s="16" t="str">
        <f t="shared" ref="W198" si="1121">IF(OR(LEN(V198)=0,V198=0),"",V198-V197)</f>
        <v/>
      </c>
      <c r="X198" s="10">
        <f>운전실적_원본!M198</f>
        <v>0</v>
      </c>
      <c r="Y198" s="10">
        <f>운전실적_원본!N198</f>
        <v>0</v>
      </c>
      <c r="Z198" s="10">
        <f>운전실적_원본!O198</f>
        <v>0</v>
      </c>
      <c r="AA198" s="10">
        <f>운전실적_원본!P198</f>
        <v>0</v>
      </c>
      <c r="AB198" s="10">
        <f>운전실적_원본!Q198</f>
        <v>0</v>
      </c>
      <c r="AC198" s="20">
        <f>운전실적_원본!R198</f>
        <v>0</v>
      </c>
      <c r="AD198" s="109">
        <f>운전실적_원본!S198</f>
        <v>0</v>
      </c>
      <c r="AE198" s="110">
        <f>운전실적_원본!T198</f>
        <v>0</v>
      </c>
      <c r="AF198" s="110">
        <f>운전실적_원본!U198</f>
        <v>0</v>
      </c>
      <c r="AG198" s="110">
        <f>운전실적_원본!V198</f>
        <v>0</v>
      </c>
      <c r="AH198" s="109">
        <f t="shared" ref="AH198:AH261" si="1122">((AM198-AL198)+(AO198-AN198)+(AQ198-AP198))*24</f>
        <v>0</v>
      </c>
      <c r="AI198" s="110">
        <f t="shared" si="798"/>
        <v>0</v>
      </c>
      <c r="AJ198" s="110">
        <f>운전실적_원본!Y198</f>
        <v>0</v>
      </c>
      <c r="AK198" s="110">
        <f>운전실적_원본!Z198</f>
        <v>0</v>
      </c>
      <c r="AL198" s="106"/>
      <c r="AM198" s="105"/>
      <c r="AN198" s="105"/>
      <c r="AO198" s="105"/>
      <c r="AP198" s="105"/>
      <c r="AQ198" s="108"/>
      <c r="AR198" s="105"/>
      <c r="AS198" s="105"/>
      <c r="AT198" s="102"/>
      <c r="AU198" s="102"/>
      <c r="AV198" s="102"/>
      <c r="AW198" s="102"/>
      <c r="AX198" s="32">
        <f>운전실적_원본!W198</f>
        <v>0</v>
      </c>
      <c r="AY198" s="11">
        <f>운전실적_원본!X198</f>
        <v>0</v>
      </c>
      <c r="AZ198" s="11">
        <f>운전실적_원본!Y198</f>
        <v>0</v>
      </c>
      <c r="BA198" s="11">
        <f>운전실적_원본!Z198</f>
        <v>0</v>
      </c>
      <c r="BB198" s="11">
        <f>운전실적_원본!AA198</f>
        <v>0</v>
      </c>
      <c r="BC198" s="11">
        <f>운전실적_원본!AB198</f>
        <v>0</v>
      </c>
      <c r="BD198" s="32" t="str">
        <f t="shared" si="1115"/>
        <v>-</v>
      </c>
      <c r="BE198" s="11" t="str">
        <f t="shared" ref="BE198:BE261" si="1123">IFERROR(BD198/$BE$4,"-")</f>
        <v>-</v>
      </c>
      <c r="BF198" s="11">
        <f>운전실적_원본!AE198</f>
        <v>0</v>
      </c>
      <c r="BG198" s="31">
        <f t="shared" si="1116"/>
        <v>0</v>
      </c>
      <c r="BH198" s="241">
        <f>INDEX(연료전지_원본!$A$4:$KY$369,MATCH($A198,연료전지_원본!$A$4:$A$369,0),MATCH($BH$4,연료전지_원본!$A$4:$KY$4,0))</f>
        <v>0</v>
      </c>
      <c r="BI198" s="241">
        <f>INDEX(연료전지_원본!$A$4:$KY$369,MATCH($A198,연료전지_원본!$A$4:$A$369,0),MATCH($BI$4,연료전지_원본!$A$4:$KY$4,0))</f>
        <v>0</v>
      </c>
      <c r="BJ198" s="241">
        <f>INDEX(연료전지_원본!$A$4:$KY$369,MATCH($A198,연료전지_원본!$A$4:$A$369,0),MATCH($BJ$4,연료전지_원본!$A$4:$KY$4,0))</f>
        <v>0</v>
      </c>
      <c r="BK198" s="241">
        <f>INDEX(연료전지_원본!$A$4:$KY$369,MATCH($A198,연료전지_원본!$A$4:$A$369,0),MATCH($BK$4,연료전지_원본!$A$4:$KY$4,0))</f>
        <v>0</v>
      </c>
      <c r="BL198" s="241">
        <f>INDEX(연료전지_원본!$A$4:$KY$369,MATCH($A198,연료전지_원본!$A$4:$A$369,0),MATCH($BL$4,연료전지_원본!$A$4:$KY$4,0))</f>
        <v>0</v>
      </c>
      <c r="BM198" s="241">
        <f>INDEX(연료전지_원본!$A$4:$KY$369,MATCH($A198,연료전지_원본!$A$4:$A$369,0),MATCH($BM$4,연료전지_원본!$A$4:$KY$4,0))</f>
        <v>0</v>
      </c>
      <c r="BN198" s="241">
        <f>INDEX(연료전지_원본!$A$4:$KY$369,MATCH($A198,연료전지_원본!$A$4:$A$369,0),MATCH($BN$4,연료전지_원본!$A$4:$KY$4,0))</f>
        <v>0</v>
      </c>
      <c r="BO198" s="241">
        <f>INDEX(연료전지_원본!$A$4:$KY$369,MATCH($A198,연료전지_원본!$A$4:$A$369,0),MATCH($BO$4,연료전지_원본!$A$4:$KY$4,0))</f>
        <v>0</v>
      </c>
      <c r="BP198" s="241">
        <f>INDEX(연료전지_원본!$A$4:$KY$369,MATCH($A198,연료전지_원본!$A$4:$A$369,0),MATCH($BP$4,연료전지_원본!$A$4:$KY$4,0))</f>
        <v>0</v>
      </c>
      <c r="BQ198" s="241">
        <f>INDEX(연료전지_원본!$A$4:$KY$369,MATCH($A198,연료전지_원본!$A$4:$A$369,0),MATCH($BQ$4,연료전지_원본!$A$4:$KY$4,0))</f>
        <v>0</v>
      </c>
      <c r="BR198" s="241">
        <f>INDEX(연료전지_원본!$A$4:$KY$369,MATCH($A198,연료전지_원본!$A$4:$A$369,0),MATCH($BR$4,연료전지_원본!$A$4:$KY$4,0))</f>
        <v>0</v>
      </c>
      <c r="BS198" s="241">
        <f>INDEX(연료전지_원본!$A$4:$KY$369,MATCH($A198,연료전지_원본!$A$4:$A$369,0),MATCH($BS$4,연료전지_원본!$A$4:$KY$4,0))</f>
        <v>0</v>
      </c>
      <c r="BT198" s="241">
        <f>INDEX(연료전지_원본!$A$4:$KY$369,MATCH($A198,연료전지_원본!$A$4:$A$369,0),MATCH($BT$4,연료전지_원본!$A$4:$KY$4,0))</f>
        <v>0</v>
      </c>
      <c r="BU198" s="241">
        <f>INDEX(연료전지_원본!$A$4:$KY$369,MATCH($A198,연료전지_원본!$A$4:$A$369,0),MATCH($BU$4,연료전지_원본!$A$4:$KY$4,0))</f>
        <v>0</v>
      </c>
      <c r="BV198" s="241">
        <f>INDEX(연료전지_원본!$A$4:$KY$369,MATCH($A198,연료전지_원본!$A$4:$A$369,0),MATCH($BV$4,연료전지_원본!$A$4:$KY$4,0))</f>
        <v>0</v>
      </c>
      <c r="BW198" s="241">
        <f>INDEX(연료전지_원본!$A$4:$KY$369,MATCH($A198,연료전지_원본!$A$4:$A$369,0),MATCH($BW$4,연료전지_원본!$A$4:$KY$4,0))</f>
        <v>0</v>
      </c>
      <c r="BX198" s="241">
        <f>INDEX(연료전지_원본!$A$4:$KY$369,MATCH($A198,연료전지_원본!$A$4:$A$369,0),MATCH($BX$4,연료전지_원본!$A$4:$KY$4,0))</f>
        <v>0</v>
      </c>
      <c r="BY198" s="241">
        <f>INDEX(연료전지_원본!$A$4:$KY$369,MATCH($A198,연료전지_원본!$A$4:$A$369,0),MATCH($BY$4,연료전지_원본!$A$4:$KY$4,0))</f>
        <v>0</v>
      </c>
      <c r="BZ198" s="241">
        <f>INDEX(연료전지_원본!$A$4:$KY$369,MATCH($A198,연료전지_원본!$A$4:$A$369,0),MATCH($BZ$4,연료전지_원본!$A$4:$KY$4,0))</f>
        <v>0</v>
      </c>
      <c r="CA198" s="241">
        <f>INDEX(연료전지_원본!$A$4:$KY$369,MATCH($A198,연료전지_원본!$A$4:$A$369,0),MATCH($CA$4,연료전지_원본!$A$4:$KY$4,0))</f>
        <v>0</v>
      </c>
      <c r="CB198" s="241">
        <f>INDEX(연료전지_원본!$A$4:$KY$369,MATCH($A198,연료전지_원본!$A$4:$A$369,0),MATCH($CB$4,연료전지_원본!$A$4:$KY$4,0))</f>
        <v>0</v>
      </c>
      <c r="CC198" s="242">
        <f>INDEX(연료전지_원본!$A$4:$KY$369,MATCH($A198,연료전지_원본!$A$4:$A$369,0),MATCH($CC$4,연료전지_원본!$A$4:$KY$4,0))</f>
        <v>0</v>
      </c>
      <c r="CD198" s="250">
        <f>INDEX(연료전지_원본!$KB$4:$KX$369,MATCH($A198,연료전지_원본!$KB$4:$KB$369,0), MATCH(CD$4,연료전지_원본!$KB$4:$KX$4,0))*1000</f>
        <v>0</v>
      </c>
      <c r="CE198" s="250">
        <f>INDEX(연료전지_원본!$KB$4:$KX$369,MATCH($A198,연료전지_원본!$KB$4:$KB$369,0), MATCH(CE$4,연료전지_원본!$KB$4:$KX$4,0))*1000</f>
        <v>0</v>
      </c>
      <c r="CF198" s="250">
        <f>INDEX(연료전지_원본!$KB$4:$KX$369,MATCH($A198,연료전지_원본!$KB$4:$KB$369,0), MATCH(CF$4,연료전지_원본!$KB$4:$KX$4,0))*1000</f>
        <v>0</v>
      </c>
      <c r="CG198" s="250">
        <f>INDEX(연료전지_원본!$KB$4:$KX$369,MATCH($A198,연료전지_원본!$KB$4:$KB$369,0), MATCH(CG$4,연료전지_원본!$KB$4:$KX$4,0))*1000</f>
        <v>0</v>
      </c>
      <c r="CH198" s="250">
        <f>INDEX(연료전지_원본!$KB$4:$KX$369,MATCH($A198,연료전지_원본!$KB$4:$KB$369,0), MATCH(CH$4,연료전지_원본!$KB$4:$KX$4,0))*1000</f>
        <v>0</v>
      </c>
      <c r="CI198" s="250">
        <f>INDEX(연료전지_원본!$KB$4:$KX$369,MATCH($A198,연료전지_원본!$KB$4:$KB$369,0), MATCH(CI$4,연료전지_원본!$KB$4:$KX$4,0))*1000</f>
        <v>0</v>
      </c>
      <c r="CJ198" s="250">
        <f>INDEX(연료전지_원본!$KB$4:$KX$369,MATCH($A198,연료전지_원본!$KB$4:$KB$369,0), MATCH(CJ$4,연료전지_원본!$KB$4:$KX$4,0))*1000</f>
        <v>0</v>
      </c>
      <c r="CK198" s="250">
        <f>INDEX(연료전지_원본!$KB$4:$KX$369,MATCH($A198,연료전지_원본!$KB$4:$KB$369,0), MATCH(CK$4,연료전지_원본!$KB$4:$KX$4,0))*1000</f>
        <v>0</v>
      </c>
      <c r="CL198" s="250">
        <f>INDEX(연료전지_원본!$KB$4:$KX$369,MATCH($A198,연료전지_원본!$KB$4:$KB$369,0), MATCH(CL$4,연료전지_원본!$KB$4:$KX$4,0))*1000</f>
        <v>0</v>
      </c>
      <c r="CM198" s="250">
        <f>INDEX(연료전지_원본!$KB$4:$KX$369,MATCH($A198,연료전지_원본!$KB$4:$KB$369,0), MATCH(CM$4,연료전지_원본!$KB$4:$KX$4,0))*1000</f>
        <v>0</v>
      </c>
      <c r="CN198" s="250">
        <f>INDEX(연료전지_원본!$KB$4:$KX$369,MATCH($A198,연료전지_원본!$KB$4:$KB$369,0), MATCH(CN$4,연료전지_원본!$KB$4:$KX$4,0))*1000</f>
        <v>0</v>
      </c>
      <c r="CO198" s="250">
        <f>INDEX(연료전지_원본!$KB$4:$KX$369,MATCH($A198,연료전지_원본!$KB$4:$KB$369,0), MATCH(CO$4,연료전지_원본!$KB$4:$KX$4,0))*1000</f>
        <v>0</v>
      </c>
      <c r="CP198" s="250">
        <f>INDEX(연료전지_원본!$KB$4:$KX$369,MATCH($A198,연료전지_원본!$KB$4:$KB$369,0), MATCH(CP$4,연료전지_원본!$KB$4:$KX$4,0))*1000</f>
        <v>0</v>
      </c>
      <c r="CQ198" s="250">
        <f>INDEX(연료전지_원본!$KB$4:$KX$369,MATCH($A198,연료전지_원본!$KB$4:$KB$369,0), MATCH(CQ$4,연료전지_원본!$KB$4:$KX$4,0))*1000</f>
        <v>0</v>
      </c>
      <c r="CR198" s="250">
        <f>INDEX(연료전지_원본!$KB$4:$KX$369,MATCH($A198,연료전지_원본!$KB$4:$KB$369,0), MATCH(CR$4,연료전지_원본!$KB$4:$KX$4,0))*1000</f>
        <v>0</v>
      </c>
      <c r="CS198" s="250">
        <f>INDEX(연료전지_원본!$KB$4:$KX$369,MATCH($A198,연료전지_원본!$KB$4:$KB$369,0), MATCH(CS$4,연료전지_원본!$KB$4:$KX$4,0))*1000</f>
        <v>0</v>
      </c>
      <c r="CT198" s="250">
        <f>INDEX(연료전지_원본!$KB$4:$KX$369,MATCH($A198,연료전지_원본!$KB$4:$KB$369,0), MATCH(CT$4,연료전지_원본!$KB$4:$KX$4,0))*1000</f>
        <v>0</v>
      </c>
      <c r="CU198" s="250">
        <f>INDEX(연료전지_원본!$KB$4:$KX$369,MATCH($A198,연료전지_원본!$KB$4:$KB$369,0), MATCH(CU$4,연료전지_원본!$KB$4:$KX$4,0))*1000</f>
        <v>0</v>
      </c>
      <c r="CV198" s="250">
        <f>INDEX(연료전지_원본!$KB$4:$KX$369,MATCH($A198,연료전지_원본!$KB$4:$KB$369,0), MATCH(CV$4,연료전지_원본!$KB$4:$KX$4,0))*1000</f>
        <v>0</v>
      </c>
      <c r="CW198" s="250">
        <f>INDEX(연료전지_원본!$KB$4:$KX$369,MATCH($A198,연료전지_원본!$KB$4:$KB$369,0), MATCH(CW$4,연료전지_원본!$KB$4:$KX$4,0))*1000</f>
        <v>0</v>
      </c>
      <c r="CX198" s="250">
        <f>INDEX(연료전지_원본!$KB$4:$KX$369,MATCH($A198,연료전지_원본!$KB$4:$KB$369,0), MATCH(CX$4,연료전지_원본!$KB$4:$KX$4,0))*1000</f>
        <v>0</v>
      </c>
      <c r="CY198" s="250">
        <f>INDEX(연료전지_원본!$KB$4:$KX$369,MATCH($A198,연료전지_원본!$KB$4:$KB$369,0), MATCH(CY$4,연료전지_원본!$KB$4:$KX$4,0))*1000</f>
        <v>0</v>
      </c>
      <c r="DV198" s="30">
        <f t="shared" si="954"/>
        <v>0</v>
      </c>
    </row>
    <row r="199" spans="1:126">
      <c r="A199" s="6">
        <v>46216</v>
      </c>
      <c r="B199" s="15">
        <f>운전실적_원본!B199</f>
        <v>0</v>
      </c>
      <c r="C199" s="16" t="str">
        <f t="shared" si="960"/>
        <v/>
      </c>
      <c r="D199" s="12">
        <f>운전실적_원본!C199</f>
        <v>0</v>
      </c>
      <c r="E199" s="12" t="str">
        <f t="shared" si="961"/>
        <v/>
      </c>
      <c r="F199" s="12">
        <f>운전실적_원본!D199</f>
        <v>0</v>
      </c>
      <c r="G199" s="16" t="str">
        <f t="shared" si="962"/>
        <v/>
      </c>
      <c r="H199" s="15">
        <f>운전실적_원본!E199</f>
        <v>0</v>
      </c>
      <c r="I199" s="16" t="str">
        <f t="shared" si="963"/>
        <v/>
      </c>
      <c r="J199" s="15">
        <f>운전실적_원본!F199</f>
        <v>0</v>
      </c>
      <c r="K199" s="16" t="str">
        <f t="shared" si="963"/>
        <v/>
      </c>
      <c r="L199" s="32">
        <f>운전실적_원본!G199</f>
        <v>0</v>
      </c>
      <c r="M199" s="31" t="str">
        <f t="shared" ref="M199" si="1124">IF(OR(LEN(L199)=0,L199=0),"",L199-L198)</f>
        <v/>
      </c>
      <c r="N199" s="15">
        <f>운전실적_원본!H199</f>
        <v>0</v>
      </c>
      <c r="O199" s="16" t="str">
        <f t="shared" ref="O199" si="1125">IF(OR(LEN(N199)=0,N199=0),"",N199-N198)</f>
        <v/>
      </c>
      <c r="P199" s="15">
        <f>운전실적_원본!I199</f>
        <v>0</v>
      </c>
      <c r="Q199" s="16" t="str">
        <f t="shared" ref="Q199" si="1126">IF(OR(LEN(P199)=0,P199=0),"",P199-P198)</f>
        <v/>
      </c>
      <c r="R199" s="18">
        <f>운전실적_원본!J199</f>
        <v>0</v>
      </c>
      <c r="S199" s="19" t="str">
        <f t="shared" ref="S199" si="1127">IF(OR(LEN(R199)=0,R199=0),"",R199-R198)</f>
        <v/>
      </c>
      <c r="T199" s="18">
        <f>운전실적_원본!K199</f>
        <v>0</v>
      </c>
      <c r="U199" s="19" t="str">
        <f t="shared" si="968"/>
        <v/>
      </c>
      <c r="V199" s="12">
        <f>운전실적_원본!L199</f>
        <v>0</v>
      </c>
      <c r="W199" s="16" t="str">
        <f t="shared" ref="W199" si="1128">IF(OR(LEN(V199)=0,V199=0),"",V199-V198)</f>
        <v/>
      </c>
      <c r="X199" s="10">
        <f>운전실적_원본!M199</f>
        <v>0</v>
      </c>
      <c r="Y199" s="10">
        <f>운전실적_원본!N199</f>
        <v>0</v>
      </c>
      <c r="Z199" s="10">
        <f>운전실적_원본!O199</f>
        <v>0</v>
      </c>
      <c r="AA199" s="10">
        <f>운전실적_원본!P199</f>
        <v>0</v>
      </c>
      <c r="AB199" s="10">
        <f>운전실적_원본!Q199</f>
        <v>0</v>
      </c>
      <c r="AC199" s="20">
        <f>운전실적_원본!R199</f>
        <v>0</v>
      </c>
      <c r="AD199" s="109">
        <f>운전실적_원본!S199</f>
        <v>0</v>
      </c>
      <c r="AE199" s="110">
        <f>운전실적_원본!T199</f>
        <v>0</v>
      </c>
      <c r="AF199" s="110">
        <f>운전실적_원본!U199</f>
        <v>0</v>
      </c>
      <c r="AG199" s="110">
        <f>운전실적_원본!V199</f>
        <v>0</v>
      </c>
      <c r="AH199" s="109">
        <f t="shared" si="1122"/>
        <v>0</v>
      </c>
      <c r="AI199" s="110">
        <f t="shared" ref="AI199:AI262" si="1129">(AS199-AR199)*24</f>
        <v>0</v>
      </c>
      <c r="AJ199" s="110">
        <f>운전실적_원본!Y199</f>
        <v>0</v>
      </c>
      <c r="AK199" s="110">
        <f>운전실적_원본!Z199</f>
        <v>0</v>
      </c>
      <c r="AL199" s="106"/>
      <c r="AM199" s="105"/>
      <c r="AN199" s="105"/>
      <c r="AO199" s="105"/>
      <c r="AP199" s="105"/>
      <c r="AQ199" s="108"/>
      <c r="AR199" s="105"/>
      <c r="AS199" s="105"/>
      <c r="AT199" s="102"/>
      <c r="AU199" s="102"/>
      <c r="AV199" s="102"/>
      <c r="AW199" s="102"/>
      <c r="AX199" s="32">
        <f>운전실적_원본!W199</f>
        <v>0</v>
      </c>
      <c r="AY199" s="11">
        <f>운전실적_원본!X199</f>
        <v>0</v>
      </c>
      <c r="AZ199" s="11">
        <f>운전실적_원본!Y199</f>
        <v>0</v>
      </c>
      <c r="BA199" s="11">
        <f>운전실적_원본!Z199</f>
        <v>0</v>
      </c>
      <c r="BB199" s="11">
        <f>운전실적_원본!AA199</f>
        <v>0</v>
      </c>
      <c r="BC199" s="11">
        <f>운전실적_원본!AB199</f>
        <v>0</v>
      </c>
      <c r="BD199" s="32" t="str">
        <f t="shared" si="1115"/>
        <v>-</v>
      </c>
      <c r="BE199" s="11" t="str">
        <f t="shared" si="1123"/>
        <v>-</v>
      </c>
      <c r="BF199" s="11">
        <f>운전실적_원본!AE199</f>
        <v>0</v>
      </c>
      <c r="BG199" s="31">
        <f t="shared" si="1116"/>
        <v>0</v>
      </c>
      <c r="BH199" s="241">
        <f>INDEX(연료전지_원본!$A$4:$KY$369,MATCH($A199,연료전지_원본!$A$4:$A$369,0),MATCH($BH$4,연료전지_원본!$A$4:$KY$4,0))</f>
        <v>0</v>
      </c>
      <c r="BI199" s="241">
        <f>INDEX(연료전지_원본!$A$4:$KY$369,MATCH($A199,연료전지_원본!$A$4:$A$369,0),MATCH($BI$4,연료전지_원본!$A$4:$KY$4,0))</f>
        <v>0</v>
      </c>
      <c r="BJ199" s="241">
        <f>INDEX(연료전지_원본!$A$4:$KY$369,MATCH($A199,연료전지_원본!$A$4:$A$369,0),MATCH($BJ$4,연료전지_원본!$A$4:$KY$4,0))</f>
        <v>0</v>
      </c>
      <c r="BK199" s="241">
        <f>INDEX(연료전지_원본!$A$4:$KY$369,MATCH($A199,연료전지_원본!$A$4:$A$369,0),MATCH($BK$4,연료전지_원본!$A$4:$KY$4,0))</f>
        <v>0</v>
      </c>
      <c r="BL199" s="241">
        <f>INDEX(연료전지_원본!$A$4:$KY$369,MATCH($A199,연료전지_원본!$A$4:$A$369,0),MATCH($BL$4,연료전지_원본!$A$4:$KY$4,0))</f>
        <v>0</v>
      </c>
      <c r="BM199" s="241">
        <f>INDEX(연료전지_원본!$A$4:$KY$369,MATCH($A199,연료전지_원본!$A$4:$A$369,0),MATCH($BM$4,연료전지_원본!$A$4:$KY$4,0))</f>
        <v>0</v>
      </c>
      <c r="BN199" s="241">
        <f>INDEX(연료전지_원본!$A$4:$KY$369,MATCH($A199,연료전지_원본!$A$4:$A$369,0),MATCH($BN$4,연료전지_원본!$A$4:$KY$4,0))</f>
        <v>0</v>
      </c>
      <c r="BO199" s="241">
        <f>INDEX(연료전지_원본!$A$4:$KY$369,MATCH($A199,연료전지_원본!$A$4:$A$369,0),MATCH($BO$4,연료전지_원본!$A$4:$KY$4,0))</f>
        <v>0</v>
      </c>
      <c r="BP199" s="241">
        <f>INDEX(연료전지_원본!$A$4:$KY$369,MATCH($A199,연료전지_원본!$A$4:$A$369,0),MATCH($BP$4,연료전지_원본!$A$4:$KY$4,0))</f>
        <v>0</v>
      </c>
      <c r="BQ199" s="241">
        <f>INDEX(연료전지_원본!$A$4:$KY$369,MATCH($A199,연료전지_원본!$A$4:$A$369,0),MATCH($BQ$4,연료전지_원본!$A$4:$KY$4,0))</f>
        <v>0</v>
      </c>
      <c r="BR199" s="241">
        <f>INDEX(연료전지_원본!$A$4:$KY$369,MATCH($A199,연료전지_원본!$A$4:$A$369,0),MATCH($BR$4,연료전지_원본!$A$4:$KY$4,0))</f>
        <v>0</v>
      </c>
      <c r="BS199" s="241">
        <f>INDEX(연료전지_원본!$A$4:$KY$369,MATCH($A199,연료전지_원본!$A$4:$A$369,0),MATCH($BS$4,연료전지_원본!$A$4:$KY$4,0))</f>
        <v>0</v>
      </c>
      <c r="BT199" s="241">
        <f>INDEX(연료전지_원본!$A$4:$KY$369,MATCH($A199,연료전지_원본!$A$4:$A$369,0),MATCH($BT$4,연료전지_원본!$A$4:$KY$4,0))</f>
        <v>0</v>
      </c>
      <c r="BU199" s="241">
        <f>INDEX(연료전지_원본!$A$4:$KY$369,MATCH($A199,연료전지_원본!$A$4:$A$369,0),MATCH($BU$4,연료전지_원본!$A$4:$KY$4,0))</f>
        <v>0</v>
      </c>
      <c r="BV199" s="241">
        <f>INDEX(연료전지_원본!$A$4:$KY$369,MATCH($A199,연료전지_원본!$A$4:$A$369,0),MATCH($BV$4,연료전지_원본!$A$4:$KY$4,0))</f>
        <v>0</v>
      </c>
      <c r="BW199" s="241">
        <f>INDEX(연료전지_원본!$A$4:$KY$369,MATCH($A199,연료전지_원본!$A$4:$A$369,0),MATCH($BW$4,연료전지_원본!$A$4:$KY$4,0))</f>
        <v>0</v>
      </c>
      <c r="BX199" s="241">
        <f>INDEX(연료전지_원본!$A$4:$KY$369,MATCH($A199,연료전지_원본!$A$4:$A$369,0),MATCH($BX$4,연료전지_원본!$A$4:$KY$4,0))</f>
        <v>0</v>
      </c>
      <c r="BY199" s="241">
        <f>INDEX(연료전지_원본!$A$4:$KY$369,MATCH($A199,연료전지_원본!$A$4:$A$369,0),MATCH($BY$4,연료전지_원본!$A$4:$KY$4,0))</f>
        <v>0</v>
      </c>
      <c r="BZ199" s="241">
        <f>INDEX(연료전지_원본!$A$4:$KY$369,MATCH($A199,연료전지_원본!$A$4:$A$369,0),MATCH($BZ$4,연료전지_원본!$A$4:$KY$4,0))</f>
        <v>0</v>
      </c>
      <c r="CA199" s="241">
        <f>INDEX(연료전지_원본!$A$4:$KY$369,MATCH($A199,연료전지_원본!$A$4:$A$369,0),MATCH($CA$4,연료전지_원본!$A$4:$KY$4,0))</f>
        <v>0</v>
      </c>
      <c r="CB199" s="241">
        <f>INDEX(연료전지_원본!$A$4:$KY$369,MATCH($A199,연료전지_원본!$A$4:$A$369,0),MATCH($CB$4,연료전지_원본!$A$4:$KY$4,0))</f>
        <v>0</v>
      </c>
      <c r="CC199" s="242">
        <f>INDEX(연료전지_원본!$A$4:$KY$369,MATCH($A199,연료전지_원본!$A$4:$A$369,0),MATCH($CC$4,연료전지_원본!$A$4:$KY$4,0))</f>
        <v>0</v>
      </c>
      <c r="CD199" s="250">
        <f>INDEX(연료전지_원본!$KB$4:$KX$369,MATCH($A199,연료전지_원본!$KB$4:$KB$369,0), MATCH(CD$4,연료전지_원본!$KB$4:$KX$4,0))*1000</f>
        <v>0</v>
      </c>
      <c r="CE199" s="250">
        <f>INDEX(연료전지_원본!$KB$4:$KX$369,MATCH($A199,연료전지_원본!$KB$4:$KB$369,0), MATCH(CE$4,연료전지_원본!$KB$4:$KX$4,0))*1000</f>
        <v>0</v>
      </c>
      <c r="CF199" s="250">
        <f>INDEX(연료전지_원본!$KB$4:$KX$369,MATCH($A199,연료전지_원본!$KB$4:$KB$369,0), MATCH(CF$4,연료전지_원본!$KB$4:$KX$4,0))*1000</f>
        <v>0</v>
      </c>
      <c r="CG199" s="250">
        <f>INDEX(연료전지_원본!$KB$4:$KX$369,MATCH($A199,연료전지_원본!$KB$4:$KB$369,0), MATCH(CG$4,연료전지_원본!$KB$4:$KX$4,0))*1000</f>
        <v>0</v>
      </c>
      <c r="CH199" s="250">
        <f>INDEX(연료전지_원본!$KB$4:$KX$369,MATCH($A199,연료전지_원본!$KB$4:$KB$369,0), MATCH(CH$4,연료전지_원본!$KB$4:$KX$4,0))*1000</f>
        <v>0</v>
      </c>
      <c r="CI199" s="250">
        <f>INDEX(연료전지_원본!$KB$4:$KX$369,MATCH($A199,연료전지_원본!$KB$4:$KB$369,0), MATCH(CI$4,연료전지_원본!$KB$4:$KX$4,0))*1000</f>
        <v>0</v>
      </c>
      <c r="CJ199" s="250">
        <f>INDEX(연료전지_원본!$KB$4:$KX$369,MATCH($A199,연료전지_원본!$KB$4:$KB$369,0), MATCH(CJ$4,연료전지_원본!$KB$4:$KX$4,0))*1000</f>
        <v>0</v>
      </c>
      <c r="CK199" s="250">
        <f>INDEX(연료전지_원본!$KB$4:$KX$369,MATCH($A199,연료전지_원본!$KB$4:$KB$369,0), MATCH(CK$4,연료전지_원본!$KB$4:$KX$4,0))*1000</f>
        <v>0</v>
      </c>
      <c r="CL199" s="250">
        <f>INDEX(연료전지_원본!$KB$4:$KX$369,MATCH($A199,연료전지_원본!$KB$4:$KB$369,0), MATCH(CL$4,연료전지_원본!$KB$4:$KX$4,0))*1000</f>
        <v>0</v>
      </c>
      <c r="CM199" s="250">
        <f>INDEX(연료전지_원본!$KB$4:$KX$369,MATCH($A199,연료전지_원본!$KB$4:$KB$369,0), MATCH(CM$4,연료전지_원본!$KB$4:$KX$4,0))*1000</f>
        <v>0</v>
      </c>
      <c r="CN199" s="250">
        <f>INDEX(연료전지_원본!$KB$4:$KX$369,MATCH($A199,연료전지_원본!$KB$4:$KB$369,0), MATCH(CN$4,연료전지_원본!$KB$4:$KX$4,0))*1000</f>
        <v>0</v>
      </c>
      <c r="CO199" s="250">
        <f>INDEX(연료전지_원본!$KB$4:$KX$369,MATCH($A199,연료전지_원본!$KB$4:$KB$369,0), MATCH(CO$4,연료전지_원본!$KB$4:$KX$4,0))*1000</f>
        <v>0</v>
      </c>
      <c r="CP199" s="250">
        <f>INDEX(연료전지_원본!$KB$4:$KX$369,MATCH($A199,연료전지_원본!$KB$4:$KB$369,0), MATCH(CP$4,연료전지_원본!$KB$4:$KX$4,0))*1000</f>
        <v>0</v>
      </c>
      <c r="CQ199" s="250">
        <f>INDEX(연료전지_원본!$KB$4:$KX$369,MATCH($A199,연료전지_원본!$KB$4:$KB$369,0), MATCH(CQ$4,연료전지_원본!$KB$4:$KX$4,0))*1000</f>
        <v>0</v>
      </c>
      <c r="CR199" s="250">
        <f>INDEX(연료전지_원본!$KB$4:$KX$369,MATCH($A199,연료전지_원본!$KB$4:$KB$369,0), MATCH(CR$4,연료전지_원본!$KB$4:$KX$4,0))*1000</f>
        <v>0</v>
      </c>
      <c r="CS199" s="250">
        <f>INDEX(연료전지_원본!$KB$4:$KX$369,MATCH($A199,연료전지_원본!$KB$4:$KB$369,0), MATCH(CS$4,연료전지_원본!$KB$4:$KX$4,0))*1000</f>
        <v>0</v>
      </c>
      <c r="CT199" s="250">
        <f>INDEX(연료전지_원본!$KB$4:$KX$369,MATCH($A199,연료전지_원본!$KB$4:$KB$369,0), MATCH(CT$4,연료전지_원본!$KB$4:$KX$4,0))*1000</f>
        <v>0</v>
      </c>
      <c r="CU199" s="250">
        <f>INDEX(연료전지_원본!$KB$4:$KX$369,MATCH($A199,연료전지_원본!$KB$4:$KB$369,0), MATCH(CU$4,연료전지_원본!$KB$4:$KX$4,0))*1000</f>
        <v>0</v>
      </c>
      <c r="CV199" s="250">
        <f>INDEX(연료전지_원본!$KB$4:$KX$369,MATCH($A199,연료전지_원본!$KB$4:$KB$369,0), MATCH(CV$4,연료전지_원본!$KB$4:$KX$4,0))*1000</f>
        <v>0</v>
      </c>
      <c r="CW199" s="250">
        <f>INDEX(연료전지_원본!$KB$4:$KX$369,MATCH($A199,연료전지_원본!$KB$4:$KB$369,0), MATCH(CW$4,연료전지_원본!$KB$4:$KX$4,0))*1000</f>
        <v>0</v>
      </c>
      <c r="CX199" s="250">
        <f>INDEX(연료전지_원본!$KB$4:$KX$369,MATCH($A199,연료전지_원본!$KB$4:$KB$369,0), MATCH(CX$4,연료전지_원본!$KB$4:$KX$4,0))*1000</f>
        <v>0</v>
      </c>
      <c r="CY199" s="250">
        <f>INDEX(연료전지_원본!$KB$4:$KX$369,MATCH($A199,연료전지_원본!$KB$4:$KB$369,0), MATCH(CY$4,연료전지_원본!$KB$4:$KX$4,0))*1000</f>
        <v>0</v>
      </c>
      <c r="DV199" s="30">
        <f t="shared" si="954"/>
        <v>0</v>
      </c>
    </row>
    <row r="200" spans="1:126">
      <c r="A200" s="6">
        <v>46217</v>
      </c>
      <c r="B200" s="15">
        <f>운전실적_원본!B200</f>
        <v>0</v>
      </c>
      <c r="C200" s="16" t="str">
        <f t="shared" si="960"/>
        <v/>
      </c>
      <c r="D200" s="12">
        <f>운전실적_원본!C200</f>
        <v>0</v>
      </c>
      <c r="E200" s="12" t="str">
        <f t="shared" si="961"/>
        <v/>
      </c>
      <c r="F200" s="12">
        <f>운전실적_원본!D200</f>
        <v>0</v>
      </c>
      <c r="G200" s="16" t="str">
        <f t="shared" si="962"/>
        <v/>
      </c>
      <c r="H200" s="15">
        <f>운전실적_원본!E200</f>
        <v>0</v>
      </c>
      <c r="I200" s="16" t="str">
        <f t="shared" si="963"/>
        <v/>
      </c>
      <c r="J200" s="15">
        <f>운전실적_원본!F200</f>
        <v>0</v>
      </c>
      <c r="K200" s="16" t="str">
        <f t="shared" si="963"/>
        <v/>
      </c>
      <c r="L200" s="32">
        <f>운전실적_원본!G200</f>
        <v>0</v>
      </c>
      <c r="M200" s="31" t="str">
        <f t="shared" ref="M200" si="1130">IF(OR(LEN(L200)=0,L200=0),"",L200-L199)</f>
        <v/>
      </c>
      <c r="N200" s="15">
        <f>운전실적_원본!H200</f>
        <v>0</v>
      </c>
      <c r="O200" s="16" t="str">
        <f t="shared" ref="O200" si="1131">IF(OR(LEN(N200)=0,N200=0),"",N200-N199)</f>
        <v/>
      </c>
      <c r="P200" s="15">
        <f>운전실적_원본!I200</f>
        <v>0</v>
      </c>
      <c r="Q200" s="16" t="str">
        <f t="shared" ref="Q200" si="1132">IF(OR(LEN(P200)=0,P200=0),"",P200-P199)</f>
        <v/>
      </c>
      <c r="R200" s="18">
        <f>운전실적_원본!J200</f>
        <v>0</v>
      </c>
      <c r="S200" s="19" t="str">
        <f t="shared" ref="S200" si="1133">IF(OR(LEN(R200)=0,R200=0),"",R200-R199)</f>
        <v/>
      </c>
      <c r="T200" s="18">
        <f>운전실적_원본!K200</f>
        <v>0</v>
      </c>
      <c r="U200" s="19" t="str">
        <f t="shared" si="968"/>
        <v/>
      </c>
      <c r="V200" s="12">
        <f>운전실적_원본!L200</f>
        <v>0</v>
      </c>
      <c r="W200" s="16" t="str">
        <f t="shared" ref="W200" si="1134">IF(OR(LEN(V200)=0,V200=0),"",V200-V199)</f>
        <v/>
      </c>
      <c r="X200" s="10">
        <f>운전실적_원본!M200</f>
        <v>0</v>
      </c>
      <c r="Y200" s="10">
        <f>운전실적_원본!N200</f>
        <v>0</v>
      </c>
      <c r="Z200" s="10">
        <f>운전실적_원본!O200</f>
        <v>0</v>
      </c>
      <c r="AA200" s="10">
        <f>운전실적_원본!P200</f>
        <v>0</v>
      </c>
      <c r="AB200" s="10">
        <f>운전실적_원본!Q200</f>
        <v>0</v>
      </c>
      <c r="AC200" s="20">
        <f>운전실적_원본!R200</f>
        <v>0</v>
      </c>
      <c r="AD200" s="109">
        <f>운전실적_원본!S200</f>
        <v>0</v>
      </c>
      <c r="AE200" s="110">
        <f>운전실적_원본!T200</f>
        <v>0</v>
      </c>
      <c r="AF200" s="110">
        <f>운전실적_원본!U200</f>
        <v>0</v>
      </c>
      <c r="AG200" s="110">
        <f>운전실적_원본!V200</f>
        <v>0</v>
      </c>
      <c r="AH200" s="109">
        <f t="shared" si="1122"/>
        <v>0</v>
      </c>
      <c r="AI200" s="110">
        <f t="shared" si="1129"/>
        <v>0</v>
      </c>
      <c r="AJ200" s="110">
        <f>운전실적_원본!Y200</f>
        <v>0</v>
      </c>
      <c r="AK200" s="110">
        <f>운전실적_원본!Z200</f>
        <v>0</v>
      </c>
      <c r="AL200" s="106"/>
      <c r="AM200" s="105"/>
      <c r="AN200" s="105"/>
      <c r="AO200" s="105"/>
      <c r="AP200" s="105"/>
      <c r="AQ200" s="108"/>
      <c r="AR200" s="105"/>
      <c r="AS200" s="105"/>
      <c r="AT200" s="102"/>
      <c r="AU200" s="102"/>
      <c r="AV200" s="102"/>
      <c r="AW200" s="102"/>
      <c r="AX200" s="32">
        <f>운전실적_원본!W200</f>
        <v>0</v>
      </c>
      <c r="AY200" s="11">
        <f>운전실적_원본!X200</f>
        <v>0</v>
      </c>
      <c r="AZ200" s="11">
        <f>운전실적_원본!Y200</f>
        <v>0</v>
      </c>
      <c r="BA200" s="11">
        <f>운전실적_원본!Z200</f>
        <v>0</v>
      </c>
      <c r="BB200" s="11">
        <f>운전실적_원본!AA200</f>
        <v>0</v>
      </c>
      <c r="BC200" s="11">
        <f>운전실적_원본!AB200</f>
        <v>0</v>
      </c>
      <c r="BD200" s="32" t="str">
        <f t="shared" si="1115"/>
        <v>-</v>
      </c>
      <c r="BE200" s="11" t="str">
        <f t="shared" si="1123"/>
        <v>-</v>
      </c>
      <c r="BF200" s="11">
        <f>운전실적_원본!AE200</f>
        <v>0</v>
      </c>
      <c r="BG200" s="31">
        <f t="shared" si="1116"/>
        <v>0</v>
      </c>
      <c r="BH200" s="241">
        <f>INDEX(연료전지_원본!$A$4:$KY$369,MATCH($A200,연료전지_원본!$A$4:$A$369,0),MATCH($BH$4,연료전지_원본!$A$4:$KY$4,0))</f>
        <v>0</v>
      </c>
      <c r="BI200" s="241">
        <f>INDEX(연료전지_원본!$A$4:$KY$369,MATCH($A200,연료전지_원본!$A$4:$A$369,0),MATCH($BI$4,연료전지_원본!$A$4:$KY$4,0))</f>
        <v>0</v>
      </c>
      <c r="BJ200" s="241">
        <f>INDEX(연료전지_원본!$A$4:$KY$369,MATCH($A200,연료전지_원본!$A$4:$A$369,0),MATCH($BJ$4,연료전지_원본!$A$4:$KY$4,0))</f>
        <v>0</v>
      </c>
      <c r="BK200" s="241">
        <f>INDEX(연료전지_원본!$A$4:$KY$369,MATCH($A200,연료전지_원본!$A$4:$A$369,0),MATCH($BK$4,연료전지_원본!$A$4:$KY$4,0))</f>
        <v>0</v>
      </c>
      <c r="BL200" s="241">
        <f>INDEX(연료전지_원본!$A$4:$KY$369,MATCH($A200,연료전지_원본!$A$4:$A$369,0),MATCH($BL$4,연료전지_원본!$A$4:$KY$4,0))</f>
        <v>0</v>
      </c>
      <c r="BM200" s="241">
        <f>INDEX(연료전지_원본!$A$4:$KY$369,MATCH($A200,연료전지_원본!$A$4:$A$369,0),MATCH($BM$4,연료전지_원본!$A$4:$KY$4,0))</f>
        <v>0</v>
      </c>
      <c r="BN200" s="241">
        <f>INDEX(연료전지_원본!$A$4:$KY$369,MATCH($A200,연료전지_원본!$A$4:$A$369,0),MATCH($BN$4,연료전지_원본!$A$4:$KY$4,0))</f>
        <v>0</v>
      </c>
      <c r="BO200" s="241">
        <f>INDEX(연료전지_원본!$A$4:$KY$369,MATCH($A200,연료전지_원본!$A$4:$A$369,0),MATCH($BO$4,연료전지_원본!$A$4:$KY$4,0))</f>
        <v>0</v>
      </c>
      <c r="BP200" s="241">
        <f>INDEX(연료전지_원본!$A$4:$KY$369,MATCH($A200,연료전지_원본!$A$4:$A$369,0),MATCH($BP$4,연료전지_원본!$A$4:$KY$4,0))</f>
        <v>0</v>
      </c>
      <c r="BQ200" s="241">
        <f>INDEX(연료전지_원본!$A$4:$KY$369,MATCH($A200,연료전지_원본!$A$4:$A$369,0),MATCH($BQ$4,연료전지_원본!$A$4:$KY$4,0))</f>
        <v>0</v>
      </c>
      <c r="BR200" s="241">
        <f>INDEX(연료전지_원본!$A$4:$KY$369,MATCH($A200,연료전지_원본!$A$4:$A$369,0),MATCH($BR$4,연료전지_원본!$A$4:$KY$4,0))</f>
        <v>0</v>
      </c>
      <c r="BS200" s="241">
        <f>INDEX(연료전지_원본!$A$4:$KY$369,MATCH($A200,연료전지_원본!$A$4:$A$369,0),MATCH($BS$4,연료전지_원본!$A$4:$KY$4,0))</f>
        <v>0</v>
      </c>
      <c r="BT200" s="241">
        <f>INDEX(연료전지_원본!$A$4:$KY$369,MATCH($A200,연료전지_원본!$A$4:$A$369,0),MATCH($BT$4,연료전지_원본!$A$4:$KY$4,0))</f>
        <v>0</v>
      </c>
      <c r="BU200" s="241">
        <f>INDEX(연료전지_원본!$A$4:$KY$369,MATCH($A200,연료전지_원본!$A$4:$A$369,0),MATCH($BU$4,연료전지_원본!$A$4:$KY$4,0))</f>
        <v>0</v>
      </c>
      <c r="BV200" s="241">
        <f>INDEX(연료전지_원본!$A$4:$KY$369,MATCH($A200,연료전지_원본!$A$4:$A$369,0),MATCH($BV$4,연료전지_원본!$A$4:$KY$4,0))</f>
        <v>0</v>
      </c>
      <c r="BW200" s="241">
        <f>INDEX(연료전지_원본!$A$4:$KY$369,MATCH($A200,연료전지_원본!$A$4:$A$369,0),MATCH($BW$4,연료전지_원본!$A$4:$KY$4,0))</f>
        <v>0</v>
      </c>
      <c r="BX200" s="241">
        <f>INDEX(연료전지_원본!$A$4:$KY$369,MATCH($A200,연료전지_원본!$A$4:$A$369,0),MATCH($BX$4,연료전지_원본!$A$4:$KY$4,0))</f>
        <v>0</v>
      </c>
      <c r="BY200" s="241">
        <f>INDEX(연료전지_원본!$A$4:$KY$369,MATCH($A200,연료전지_원본!$A$4:$A$369,0),MATCH($BY$4,연료전지_원본!$A$4:$KY$4,0))</f>
        <v>0</v>
      </c>
      <c r="BZ200" s="241">
        <f>INDEX(연료전지_원본!$A$4:$KY$369,MATCH($A200,연료전지_원본!$A$4:$A$369,0),MATCH($BZ$4,연료전지_원본!$A$4:$KY$4,0))</f>
        <v>0</v>
      </c>
      <c r="CA200" s="241">
        <f>INDEX(연료전지_원본!$A$4:$KY$369,MATCH($A200,연료전지_원본!$A$4:$A$369,0),MATCH($CA$4,연료전지_원본!$A$4:$KY$4,0))</f>
        <v>0</v>
      </c>
      <c r="CB200" s="241">
        <f>INDEX(연료전지_원본!$A$4:$KY$369,MATCH($A200,연료전지_원본!$A$4:$A$369,0),MATCH($CB$4,연료전지_원본!$A$4:$KY$4,0))</f>
        <v>0</v>
      </c>
      <c r="CC200" s="242">
        <f>INDEX(연료전지_원본!$A$4:$KY$369,MATCH($A200,연료전지_원본!$A$4:$A$369,0),MATCH($CC$4,연료전지_원본!$A$4:$KY$4,0))</f>
        <v>0</v>
      </c>
      <c r="CD200" s="250">
        <f>INDEX(연료전지_원본!$KB$4:$KX$369,MATCH($A200,연료전지_원본!$KB$4:$KB$369,0), MATCH(CD$4,연료전지_원본!$KB$4:$KX$4,0))*1000</f>
        <v>0</v>
      </c>
      <c r="CE200" s="250">
        <f>INDEX(연료전지_원본!$KB$4:$KX$369,MATCH($A200,연료전지_원본!$KB$4:$KB$369,0), MATCH(CE$4,연료전지_원본!$KB$4:$KX$4,0))*1000</f>
        <v>0</v>
      </c>
      <c r="CF200" s="250">
        <f>INDEX(연료전지_원본!$KB$4:$KX$369,MATCH($A200,연료전지_원본!$KB$4:$KB$369,0), MATCH(CF$4,연료전지_원본!$KB$4:$KX$4,0))*1000</f>
        <v>0</v>
      </c>
      <c r="CG200" s="250">
        <f>INDEX(연료전지_원본!$KB$4:$KX$369,MATCH($A200,연료전지_원본!$KB$4:$KB$369,0), MATCH(CG$4,연료전지_원본!$KB$4:$KX$4,0))*1000</f>
        <v>0</v>
      </c>
      <c r="CH200" s="250">
        <f>INDEX(연료전지_원본!$KB$4:$KX$369,MATCH($A200,연료전지_원본!$KB$4:$KB$369,0), MATCH(CH$4,연료전지_원본!$KB$4:$KX$4,0))*1000</f>
        <v>0</v>
      </c>
      <c r="CI200" s="250">
        <f>INDEX(연료전지_원본!$KB$4:$KX$369,MATCH($A200,연료전지_원본!$KB$4:$KB$369,0), MATCH(CI$4,연료전지_원본!$KB$4:$KX$4,0))*1000</f>
        <v>0</v>
      </c>
      <c r="CJ200" s="250">
        <f>INDEX(연료전지_원본!$KB$4:$KX$369,MATCH($A200,연료전지_원본!$KB$4:$KB$369,0), MATCH(CJ$4,연료전지_원본!$KB$4:$KX$4,0))*1000</f>
        <v>0</v>
      </c>
      <c r="CK200" s="250">
        <f>INDEX(연료전지_원본!$KB$4:$KX$369,MATCH($A200,연료전지_원본!$KB$4:$KB$369,0), MATCH(CK$4,연료전지_원본!$KB$4:$KX$4,0))*1000</f>
        <v>0</v>
      </c>
      <c r="CL200" s="250">
        <f>INDEX(연료전지_원본!$KB$4:$KX$369,MATCH($A200,연료전지_원본!$KB$4:$KB$369,0), MATCH(CL$4,연료전지_원본!$KB$4:$KX$4,0))*1000</f>
        <v>0</v>
      </c>
      <c r="CM200" s="250">
        <f>INDEX(연료전지_원본!$KB$4:$KX$369,MATCH($A200,연료전지_원본!$KB$4:$KB$369,0), MATCH(CM$4,연료전지_원본!$KB$4:$KX$4,0))*1000</f>
        <v>0</v>
      </c>
      <c r="CN200" s="250">
        <f>INDEX(연료전지_원본!$KB$4:$KX$369,MATCH($A200,연료전지_원본!$KB$4:$KB$369,0), MATCH(CN$4,연료전지_원본!$KB$4:$KX$4,0))*1000</f>
        <v>0</v>
      </c>
      <c r="CO200" s="250">
        <f>INDEX(연료전지_원본!$KB$4:$KX$369,MATCH($A200,연료전지_원본!$KB$4:$KB$369,0), MATCH(CO$4,연료전지_원본!$KB$4:$KX$4,0))*1000</f>
        <v>0</v>
      </c>
      <c r="CP200" s="250">
        <f>INDEX(연료전지_원본!$KB$4:$KX$369,MATCH($A200,연료전지_원본!$KB$4:$KB$369,0), MATCH(CP$4,연료전지_원본!$KB$4:$KX$4,0))*1000</f>
        <v>0</v>
      </c>
      <c r="CQ200" s="250">
        <f>INDEX(연료전지_원본!$KB$4:$KX$369,MATCH($A200,연료전지_원본!$KB$4:$KB$369,0), MATCH(CQ$4,연료전지_원본!$KB$4:$KX$4,0))*1000</f>
        <v>0</v>
      </c>
      <c r="CR200" s="250">
        <f>INDEX(연료전지_원본!$KB$4:$KX$369,MATCH($A200,연료전지_원본!$KB$4:$KB$369,0), MATCH(CR$4,연료전지_원본!$KB$4:$KX$4,0))*1000</f>
        <v>0</v>
      </c>
      <c r="CS200" s="250">
        <f>INDEX(연료전지_원본!$KB$4:$KX$369,MATCH($A200,연료전지_원본!$KB$4:$KB$369,0), MATCH(CS$4,연료전지_원본!$KB$4:$KX$4,0))*1000</f>
        <v>0</v>
      </c>
      <c r="CT200" s="250">
        <f>INDEX(연료전지_원본!$KB$4:$KX$369,MATCH($A200,연료전지_원본!$KB$4:$KB$369,0), MATCH(CT$4,연료전지_원본!$KB$4:$KX$4,0))*1000</f>
        <v>0</v>
      </c>
      <c r="CU200" s="250">
        <f>INDEX(연료전지_원본!$KB$4:$KX$369,MATCH($A200,연료전지_원본!$KB$4:$KB$369,0), MATCH(CU$4,연료전지_원본!$KB$4:$KX$4,0))*1000</f>
        <v>0</v>
      </c>
      <c r="CV200" s="250">
        <f>INDEX(연료전지_원본!$KB$4:$KX$369,MATCH($A200,연료전지_원본!$KB$4:$KB$369,0), MATCH(CV$4,연료전지_원본!$KB$4:$KX$4,0))*1000</f>
        <v>0</v>
      </c>
      <c r="CW200" s="250">
        <f>INDEX(연료전지_원본!$KB$4:$KX$369,MATCH($A200,연료전지_원본!$KB$4:$KB$369,0), MATCH(CW$4,연료전지_원본!$KB$4:$KX$4,0))*1000</f>
        <v>0</v>
      </c>
      <c r="CX200" s="250">
        <f>INDEX(연료전지_원본!$KB$4:$KX$369,MATCH($A200,연료전지_원본!$KB$4:$KB$369,0), MATCH(CX$4,연료전지_원본!$KB$4:$KX$4,0))*1000</f>
        <v>0</v>
      </c>
      <c r="CY200" s="250">
        <f>INDEX(연료전지_원본!$KB$4:$KX$369,MATCH($A200,연료전지_원본!$KB$4:$KB$369,0), MATCH(CY$4,연료전지_원본!$KB$4:$KX$4,0))*1000</f>
        <v>0</v>
      </c>
      <c r="DV200" s="30">
        <f t="shared" si="954"/>
        <v>0</v>
      </c>
    </row>
    <row r="201" spans="1:126">
      <c r="A201" s="6">
        <v>46218</v>
      </c>
      <c r="B201" s="15">
        <f>운전실적_원본!B201</f>
        <v>0</v>
      </c>
      <c r="C201" s="16" t="str">
        <f t="shared" si="960"/>
        <v/>
      </c>
      <c r="D201" s="12">
        <f>운전실적_원본!C201</f>
        <v>0</v>
      </c>
      <c r="E201" s="12" t="str">
        <f t="shared" si="961"/>
        <v/>
      </c>
      <c r="F201" s="12">
        <f>운전실적_원본!D201</f>
        <v>0</v>
      </c>
      <c r="G201" s="16" t="str">
        <f t="shared" si="962"/>
        <v/>
      </c>
      <c r="H201" s="15">
        <f>운전실적_원본!E201</f>
        <v>0</v>
      </c>
      <c r="I201" s="16" t="str">
        <f t="shared" si="963"/>
        <v/>
      </c>
      <c r="J201" s="15">
        <f>운전실적_원본!F201</f>
        <v>0</v>
      </c>
      <c r="K201" s="16" t="str">
        <f t="shared" si="963"/>
        <v/>
      </c>
      <c r="L201" s="32">
        <f>운전실적_원본!G201</f>
        <v>0</v>
      </c>
      <c r="M201" s="31" t="str">
        <f t="shared" ref="M201" si="1135">IF(OR(LEN(L201)=0,L201=0),"",L201-L200)</f>
        <v/>
      </c>
      <c r="N201" s="15">
        <f>운전실적_원본!H201</f>
        <v>0</v>
      </c>
      <c r="O201" s="16" t="str">
        <f t="shared" ref="O201" si="1136">IF(OR(LEN(N201)=0,N201=0),"",N201-N200)</f>
        <v/>
      </c>
      <c r="P201" s="15">
        <f>운전실적_원본!I201</f>
        <v>0</v>
      </c>
      <c r="Q201" s="16" t="str">
        <f t="shared" ref="Q201" si="1137">IF(OR(LEN(P201)=0,P201=0),"",P201-P200)</f>
        <v/>
      </c>
      <c r="R201" s="18">
        <f>운전실적_원본!J201</f>
        <v>0</v>
      </c>
      <c r="S201" s="19" t="str">
        <f t="shared" ref="S201" si="1138">IF(OR(LEN(R201)=0,R201=0),"",R201-R200)</f>
        <v/>
      </c>
      <c r="T201" s="18">
        <f>운전실적_원본!K201</f>
        <v>0</v>
      </c>
      <c r="U201" s="19" t="str">
        <f t="shared" si="968"/>
        <v/>
      </c>
      <c r="V201" s="12">
        <f>운전실적_원본!L201</f>
        <v>0</v>
      </c>
      <c r="W201" s="16" t="str">
        <f t="shared" ref="W201" si="1139">IF(OR(LEN(V201)=0,V201=0),"",V201-V200)</f>
        <v/>
      </c>
      <c r="X201" s="10">
        <f>운전실적_원본!M201</f>
        <v>0</v>
      </c>
      <c r="Y201" s="10">
        <f>운전실적_원본!N201</f>
        <v>0</v>
      </c>
      <c r="Z201" s="10">
        <f>운전실적_원본!O201</f>
        <v>0</v>
      </c>
      <c r="AA201" s="10">
        <f>운전실적_원본!P201</f>
        <v>0</v>
      </c>
      <c r="AB201" s="10">
        <f>운전실적_원본!Q201</f>
        <v>0</v>
      </c>
      <c r="AC201" s="20">
        <f>운전실적_원본!R201</f>
        <v>0</v>
      </c>
      <c r="AD201" s="109">
        <f>운전실적_원본!S201</f>
        <v>0</v>
      </c>
      <c r="AE201" s="110">
        <f>운전실적_원본!T201</f>
        <v>0</v>
      </c>
      <c r="AF201" s="110">
        <f>운전실적_원본!U201</f>
        <v>0</v>
      </c>
      <c r="AG201" s="110">
        <f>운전실적_원본!V201</f>
        <v>0</v>
      </c>
      <c r="AH201" s="109">
        <f t="shared" si="1122"/>
        <v>0</v>
      </c>
      <c r="AI201" s="110">
        <f t="shared" si="1129"/>
        <v>0</v>
      </c>
      <c r="AJ201" s="110">
        <f>운전실적_원본!Y201</f>
        <v>0</v>
      </c>
      <c r="AK201" s="110">
        <f>운전실적_원본!Z201</f>
        <v>0</v>
      </c>
      <c r="AL201" s="106"/>
      <c r="AM201" s="105"/>
      <c r="AN201" s="105"/>
      <c r="AO201" s="105"/>
      <c r="AP201" s="105"/>
      <c r="AQ201" s="108"/>
      <c r="AR201" s="105"/>
      <c r="AS201" s="105"/>
      <c r="AT201" s="102"/>
      <c r="AU201" s="102"/>
      <c r="AV201" s="102"/>
      <c r="AW201" s="102"/>
      <c r="AX201" s="32">
        <f>운전실적_원본!W201</f>
        <v>0</v>
      </c>
      <c r="AY201" s="11">
        <f>운전실적_원본!X201</f>
        <v>0</v>
      </c>
      <c r="AZ201" s="11">
        <f>운전실적_원본!Y201</f>
        <v>0</v>
      </c>
      <c r="BA201" s="11">
        <f>운전실적_원본!Z201</f>
        <v>0</v>
      </c>
      <c r="BB201" s="11">
        <f>운전실적_원본!AA201</f>
        <v>0</v>
      </c>
      <c r="BC201" s="11">
        <f>운전실적_원본!AB201</f>
        <v>0</v>
      </c>
      <c r="BD201" s="32" t="str">
        <f t="shared" si="1115"/>
        <v>-</v>
      </c>
      <c r="BE201" s="11" t="str">
        <f t="shared" si="1123"/>
        <v>-</v>
      </c>
      <c r="BF201" s="11">
        <f>운전실적_원본!AE201</f>
        <v>0</v>
      </c>
      <c r="BG201" s="31">
        <f t="shared" si="1116"/>
        <v>0</v>
      </c>
      <c r="BH201" s="241">
        <f>INDEX(연료전지_원본!$A$4:$KY$369,MATCH($A201,연료전지_원본!$A$4:$A$369,0),MATCH($BH$4,연료전지_원본!$A$4:$KY$4,0))</f>
        <v>0</v>
      </c>
      <c r="BI201" s="241">
        <f>INDEX(연료전지_원본!$A$4:$KY$369,MATCH($A201,연료전지_원본!$A$4:$A$369,0),MATCH($BI$4,연료전지_원본!$A$4:$KY$4,0))</f>
        <v>0</v>
      </c>
      <c r="BJ201" s="241">
        <f>INDEX(연료전지_원본!$A$4:$KY$369,MATCH($A201,연료전지_원본!$A$4:$A$369,0),MATCH($BJ$4,연료전지_원본!$A$4:$KY$4,0))</f>
        <v>0</v>
      </c>
      <c r="BK201" s="241">
        <f>INDEX(연료전지_원본!$A$4:$KY$369,MATCH($A201,연료전지_원본!$A$4:$A$369,0),MATCH($BK$4,연료전지_원본!$A$4:$KY$4,0))</f>
        <v>0</v>
      </c>
      <c r="BL201" s="241">
        <f>INDEX(연료전지_원본!$A$4:$KY$369,MATCH($A201,연료전지_원본!$A$4:$A$369,0),MATCH($BL$4,연료전지_원본!$A$4:$KY$4,0))</f>
        <v>0</v>
      </c>
      <c r="BM201" s="241">
        <f>INDEX(연료전지_원본!$A$4:$KY$369,MATCH($A201,연료전지_원본!$A$4:$A$369,0),MATCH($BM$4,연료전지_원본!$A$4:$KY$4,0))</f>
        <v>0</v>
      </c>
      <c r="BN201" s="241">
        <f>INDEX(연료전지_원본!$A$4:$KY$369,MATCH($A201,연료전지_원본!$A$4:$A$369,0),MATCH($BN$4,연료전지_원본!$A$4:$KY$4,0))</f>
        <v>0</v>
      </c>
      <c r="BO201" s="241">
        <f>INDEX(연료전지_원본!$A$4:$KY$369,MATCH($A201,연료전지_원본!$A$4:$A$369,0),MATCH($BO$4,연료전지_원본!$A$4:$KY$4,0))</f>
        <v>0</v>
      </c>
      <c r="BP201" s="241">
        <f>INDEX(연료전지_원본!$A$4:$KY$369,MATCH($A201,연료전지_원본!$A$4:$A$369,0),MATCH($BP$4,연료전지_원본!$A$4:$KY$4,0))</f>
        <v>0</v>
      </c>
      <c r="BQ201" s="241">
        <f>INDEX(연료전지_원본!$A$4:$KY$369,MATCH($A201,연료전지_원본!$A$4:$A$369,0),MATCH($BQ$4,연료전지_원본!$A$4:$KY$4,0))</f>
        <v>0</v>
      </c>
      <c r="BR201" s="241">
        <f>INDEX(연료전지_원본!$A$4:$KY$369,MATCH($A201,연료전지_원본!$A$4:$A$369,0),MATCH($BR$4,연료전지_원본!$A$4:$KY$4,0))</f>
        <v>0</v>
      </c>
      <c r="BS201" s="241">
        <f>INDEX(연료전지_원본!$A$4:$KY$369,MATCH($A201,연료전지_원본!$A$4:$A$369,0),MATCH($BS$4,연료전지_원본!$A$4:$KY$4,0))</f>
        <v>0</v>
      </c>
      <c r="BT201" s="241">
        <f>INDEX(연료전지_원본!$A$4:$KY$369,MATCH($A201,연료전지_원본!$A$4:$A$369,0),MATCH($BT$4,연료전지_원본!$A$4:$KY$4,0))</f>
        <v>0</v>
      </c>
      <c r="BU201" s="241">
        <f>INDEX(연료전지_원본!$A$4:$KY$369,MATCH($A201,연료전지_원본!$A$4:$A$369,0),MATCH($BU$4,연료전지_원본!$A$4:$KY$4,0))</f>
        <v>0</v>
      </c>
      <c r="BV201" s="241">
        <f>INDEX(연료전지_원본!$A$4:$KY$369,MATCH($A201,연료전지_원본!$A$4:$A$369,0),MATCH($BV$4,연료전지_원본!$A$4:$KY$4,0))</f>
        <v>0</v>
      </c>
      <c r="BW201" s="241">
        <f>INDEX(연료전지_원본!$A$4:$KY$369,MATCH($A201,연료전지_원본!$A$4:$A$369,0),MATCH($BW$4,연료전지_원본!$A$4:$KY$4,0))</f>
        <v>0</v>
      </c>
      <c r="BX201" s="241">
        <f>INDEX(연료전지_원본!$A$4:$KY$369,MATCH($A201,연료전지_원본!$A$4:$A$369,0),MATCH($BX$4,연료전지_원본!$A$4:$KY$4,0))</f>
        <v>0</v>
      </c>
      <c r="BY201" s="241">
        <f>INDEX(연료전지_원본!$A$4:$KY$369,MATCH($A201,연료전지_원본!$A$4:$A$369,0),MATCH($BY$4,연료전지_원본!$A$4:$KY$4,0))</f>
        <v>0</v>
      </c>
      <c r="BZ201" s="241">
        <f>INDEX(연료전지_원본!$A$4:$KY$369,MATCH($A201,연료전지_원본!$A$4:$A$369,0),MATCH($BZ$4,연료전지_원본!$A$4:$KY$4,0))</f>
        <v>0</v>
      </c>
      <c r="CA201" s="241">
        <f>INDEX(연료전지_원본!$A$4:$KY$369,MATCH($A201,연료전지_원본!$A$4:$A$369,0),MATCH($CA$4,연료전지_원본!$A$4:$KY$4,0))</f>
        <v>0</v>
      </c>
      <c r="CB201" s="241">
        <f>INDEX(연료전지_원본!$A$4:$KY$369,MATCH($A201,연료전지_원본!$A$4:$A$369,0),MATCH($CB$4,연료전지_원본!$A$4:$KY$4,0))</f>
        <v>0</v>
      </c>
      <c r="CC201" s="242">
        <f>INDEX(연료전지_원본!$A$4:$KY$369,MATCH($A201,연료전지_원본!$A$4:$A$369,0),MATCH($CC$4,연료전지_원본!$A$4:$KY$4,0))</f>
        <v>0</v>
      </c>
      <c r="CD201" s="250">
        <f>INDEX(연료전지_원본!$KB$4:$KX$369,MATCH($A201,연료전지_원본!$KB$4:$KB$369,0), MATCH(CD$4,연료전지_원본!$KB$4:$KX$4,0))*1000</f>
        <v>0</v>
      </c>
      <c r="CE201" s="250">
        <f>INDEX(연료전지_원본!$KB$4:$KX$369,MATCH($A201,연료전지_원본!$KB$4:$KB$369,0), MATCH(CE$4,연료전지_원본!$KB$4:$KX$4,0))*1000</f>
        <v>0</v>
      </c>
      <c r="CF201" s="250">
        <f>INDEX(연료전지_원본!$KB$4:$KX$369,MATCH($A201,연료전지_원본!$KB$4:$KB$369,0), MATCH(CF$4,연료전지_원본!$KB$4:$KX$4,0))*1000</f>
        <v>0</v>
      </c>
      <c r="CG201" s="250">
        <f>INDEX(연료전지_원본!$KB$4:$KX$369,MATCH($A201,연료전지_원본!$KB$4:$KB$369,0), MATCH(CG$4,연료전지_원본!$KB$4:$KX$4,0))*1000</f>
        <v>0</v>
      </c>
      <c r="CH201" s="250">
        <f>INDEX(연료전지_원본!$KB$4:$KX$369,MATCH($A201,연료전지_원본!$KB$4:$KB$369,0), MATCH(CH$4,연료전지_원본!$KB$4:$KX$4,0))*1000</f>
        <v>0</v>
      </c>
      <c r="CI201" s="250">
        <f>INDEX(연료전지_원본!$KB$4:$KX$369,MATCH($A201,연료전지_원본!$KB$4:$KB$369,0), MATCH(CI$4,연료전지_원본!$KB$4:$KX$4,0))*1000</f>
        <v>0</v>
      </c>
      <c r="CJ201" s="250">
        <f>INDEX(연료전지_원본!$KB$4:$KX$369,MATCH($A201,연료전지_원본!$KB$4:$KB$369,0), MATCH(CJ$4,연료전지_원본!$KB$4:$KX$4,0))*1000</f>
        <v>0</v>
      </c>
      <c r="CK201" s="250">
        <f>INDEX(연료전지_원본!$KB$4:$KX$369,MATCH($A201,연료전지_원본!$KB$4:$KB$369,0), MATCH(CK$4,연료전지_원본!$KB$4:$KX$4,0))*1000</f>
        <v>0</v>
      </c>
      <c r="CL201" s="250">
        <f>INDEX(연료전지_원본!$KB$4:$KX$369,MATCH($A201,연료전지_원본!$KB$4:$KB$369,0), MATCH(CL$4,연료전지_원본!$KB$4:$KX$4,0))*1000</f>
        <v>0</v>
      </c>
      <c r="CM201" s="250">
        <f>INDEX(연료전지_원본!$KB$4:$KX$369,MATCH($A201,연료전지_원본!$KB$4:$KB$369,0), MATCH(CM$4,연료전지_원본!$KB$4:$KX$4,0))*1000</f>
        <v>0</v>
      </c>
      <c r="CN201" s="250">
        <f>INDEX(연료전지_원본!$KB$4:$KX$369,MATCH($A201,연료전지_원본!$KB$4:$KB$369,0), MATCH(CN$4,연료전지_원본!$KB$4:$KX$4,0))*1000</f>
        <v>0</v>
      </c>
      <c r="CO201" s="250">
        <f>INDEX(연료전지_원본!$KB$4:$KX$369,MATCH($A201,연료전지_원본!$KB$4:$KB$369,0), MATCH(CO$4,연료전지_원본!$KB$4:$KX$4,0))*1000</f>
        <v>0</v>
      </c>
      <c r="CP201" s="250">
        <f>INDEX(연료전지_원본!$KB$4:$KX$369,MATCH($A201,연료전지_원본!$KB$4:$KB$369,0), MATCH(CP$4,연료전지_원본!$KB$4:$KX$4,0))*1000</f>
        <v>0</v>
      </c>
      <c r="CQ201" s="250">
        <f>INDEX(연료전지_원본!$KB$4:$KX$369,MATCH($A201,연료전지_원본!$KB$4:$KB$369,0), MATCH(CQ$4,연료전지_원본!$KB$4:$KX$4,0))*1000</f>
        <v>0</v>
      </c>
      <c r="CR201" s="250">
        <f>INDEX(연료전지_원본!$KB$4:$KX$369,MATCH($A201,연료전지_원본!$KB$4:$KB$369,0), MATCH(CR$4,연료전지_원본!$KB$4:$KX$4,0))*1000</f>
        <v>0</v>
      </c>
      <c r="CS201" s="250">
        <f>INDEX(연료전지_원본!$KB$4:$KX$369,MATCH($A201,연료전지_원본!$KB$4:$KB$369,0), MATCH(CS$4,연료전지_원본!$KB$4:$KX$4,0))*1000</f>
        <v>0</v>
      </c>
      <c r="CT201" s="250">
        <f>INDEX(연료전지_원본!$KB$4:$KX$369,MATCH($A201,연료전지_원본!$KB$4:$KB$369,0), MATCH(CT$4,연료전지_원본!$KB$4:$KX$4,0))*1000</f>
        <v>0</v>
      </c>
      <c r="CU201" s="250">
        <f>INDEX(연료전지_원본!$KB$4:$KX$369,MATCH($A201,연료전지_원본!$KB$4:$KB$369,0), MATCH(CU$4,연료전지_원본!$KB$4:$KX$4,0))*1000</f>
        <v>0</v>
      </c>
      <c r="CV201" s="250">
        <f>INDEX(연료전지_원본!$KB$4:$KX$369,MATCH($A201,연료전지_원본!$KB$4:$KB$369,0), MATCH(CV$4,연료전지_원본!$KB$4:$KX$4,0))*1000</f>
        <v>0</v>
      </c>
      <c r="CW201" s="250">
        <f>INDEX(연료전지_원본!$KB$4:$KX$369,MATCH($A201,연료전지_원본!$KB$4:$KB$369,0), MATCH(CW$4,연료전지_원본!$KB$4:$KX$4,0))*1000</f>
        <v>0</v>
      </c>
      <c r="CX201" s="250">
        <f>INDEX(연료전지_원본!$KB$4:$KX$369,MATCH($A201,연료전지_원본!$KB$4:$KB$369,0), MATCH(CX$4,연료전지_원본!$KB$4:$KX$4,0))*1000</f>
        <v>0</v>
      </c>
      <c r="CY201" s="250">
        <f>INDEX(연료전지_원본!$KB$4:$KX$369,MATCH($A201,연료전지_원본!$KB$4:$KB$369,0), MATCH(CY$4,연료전지_원본!$KB$4:$KX$4,0))*1000</f>
        <v>0</v>
      </c>
      <c r="DV201" s="30">
        <f t="shared" si="954"/>
        <v>0</v>
      </c>
    </row>
    <row r="202" spans="1:126">
      <c r="A202" s="6">
        <v>46219</v>
      </c>
      <c r="B202" s="15">
        <f>운전실적_원본!B202</f>
        <v>0</v>
      </c>
      <c r="C202" s="16" t="str">
        <f t="shared" si="960"/>
        <v/>
      </c>
      <c r="D202" s="12">
        <f>운전실적_원본!C202</f>
        <v>0</v>
      </c>
      <c r="E202" s="12" t="str">
        <f t="shared" si="961"/>
        <v/>
      </c>
      <c r="F202" s="12">
        <f>운전실적_원본!D202</f>
        <v>0</v>
      </c>
      <c r="G202" s="16" t="str">
        <f t="shared" si="962"/>
        <v/>
      </c>
      <c r="H202" s="15">
        <f>운전실적_원본!E202</f>
        <v>0</v>
      </c>
      <c r="I202" s="16" t="str">
        <f t="shared" si="963"/>
        <v/>
      </c>
      <c r="J202" s="15">
        <f>운전실적_원본!F202</f>
        <v>0</v>
      </c>
      <c r="K202" s="16" t="str">
        <f t="shared" si="963"/>
        <v/>
      </c>
      <c r="L202" s="32">
        <f>운전실적_원본!G202</f>
        <v>0</v>
      </c>
      <c r="M202" s="31" t="str">
        <f t="shared" ref="M202" si="1140">IF(OR(LEN(L202)=0,L202=0),"",L202-L201)</f>
        <v/>
      </c>
      <c r="N202" s="15">
        <f>운전실적_원본!H202</f>
        <v>0</v>
      </c>
      <c r="O202" s="16" t="str">
        <f t="shared" ref="O202" si="1141">IF(OR(LEN(N202)=0,N202=0),"",N202-N201)</f>
        <v/>
      </c>
      <c r="P202" s="15">
        <f>운전실적_원본!I202</f>
        <v>0</v>
      </c>
      <c r="Q202" s="16" t="str">
        <f t="shared" ref="Q202" si="1142">IF(OR(LEN(P202)=0,P202=0),"",P202-P201)</f>
        <v/>
      </c>
      <c r="R202" s="18">
        <f>운전실적_원본!J202</f>
        <v>0</v>
      </c>
      <c r="S202" s="19" t="str">
        <f t="shared" ref="S202" si="1143">IF(OR(LEN(R202)=0,R202=0),"",R202-R201)</f>
        <v/>
      </c>
      <c r="T202" s="18">
        <f>운전실적_원본!K202</f>
        <v>0</v>
      </c>
      <c r="U202" s="19" t="str">
        <f t="shared" si="968"/>
        <v/>
      </c>
      <c r="V202" s="12">
        <f>운전실적_원본!L202</f>
        <v>0</v>
      </c>
      <c r="W202" s="16" t="str">
        <f t="shared" ref="W202" si="1144">IF(OR(LEN(V202)=0,V202=0),"",V202-V201)</f>
        <v/>
      </c>
      <c r="X202" s="10">
        <f>운전실적_원본!M202</f>
        <v>0</v>
      </c>
      <c r="Y202" s="10">
        <f>운전실적_원본!N202</f>
        <v>0</v>
      </c>
      <c r="Z202" s="10">
        <f>운전실적_원본!O202</f>
        <v>0</v>
      </c>
      <c r="AA202" s="10">
        <f>운전실적_원본!P202</f>
        <v>0</v>
      </c>
      <c r="AB202" s="10">
        <f>운전실적_원본!Q202</f>
        <v>0</v>
      </c>
      <c r="AC202" s="20">
        <f>운전실적_원본!R202</f>
        <v>0</v>
      </c>
      <c r="AD202" s="109">
        <f>운전실적_원본!S202</f>
        <v>0</v>
      </c>
      <c r="AE202" s="110">
        <f>운전실적_원본!T202</f>
        <v>0</v>
      </c>
      <c r="AF202" s="110">
        <f>운전실적_원본!U202</f>
        <v>0</v>
      </c>
      <c r="AG202" s="110">
        <f>운전실적_원본!V202</f>
        <v>0</v>
      </c>
      <c r="AH202" s="109">
        <f t="shared" si="1122"/>
        <v>0</v>
      </c>
      <c r="AI202" s="110">
        <f t="shared" si="1129"/>
        <v>0</v>
      </c>
      <c r="AJ202" s="110">
        <f>운전실적_원본!Y202</f>
        <v>0</v>
      </c>
      <c r="AK202" s="110">
        <f>운전실적_원본!Z202</f>
        <v>0</v>
      </c>
      <c r="AL202" s="106"/>
      <c r="AM202" s="105"/>
      <c r="AN202" s="105"/>
      <c r="AO202" s="105"/>
      <c r="AP202" s="105"/>
      <c r="AQ202" s="108"/>
      <c r="AR202" s="105"/>
      <c r="AS202" s="105"/>
      <c r="AT202" s="102"/>
      <c r="AU202" s="102"/>
      <c r="AV202" s="102"/>
      <c r="AW202" s="102"/>
      <c r="AX202" s="32">
        <f>운전실적_원본!W202</f>
        <v>0</v>
      </c>
      <c r="AY202" s="11">
        <f>운전실적_원본!X202</f>
        <v>0</v>
      </c>
      <c r="AZ202" s="11">
        <f>운전실적_원본!Y202</f>
        <v>0</v>
      </c>
      <c r="BA202" s="11">
        <f>운전실적_원본!Z202</f>
        <v>0</v>
      </c>
      <c r="BB202" s="11">
        <f>운전실적_원본!AA202</f>
        <v>0</v>
      </c>
      <c r="BC202" s="11">
        <f>운전실적_원본!AB202</f>
        <v>0</v>
      </c>
      <c r="BD202" s="32" t="str">
        <f t="shared" si="1115"/>
        <v>-</v>
      </c>
      <c r="BE202" s="11" t="str">
        <f t="shared" si="1123"/>
        <v>-</v>
      </c>
      <c r="BF202" s="11">
        <f>운전실적_원본!AE202</f>
        <v>0</v>
      </c>
      <c r="BG202" s="31">
        <f t="shared" si="1116"/>
        <v>0</v>
      </c>
      <c r="BH202" s="241">
        <f>INDEX(연료전지_원본!$A$4:$KY$369,MATCH($A202,연료전지_원본!$A$4:$A$369,0),MATCH($BH$4,연료전지_원본!$A$4:$KY$4,0))</f>
        <v>0</v>
      </c>
      <c r="BI202" s="241">
        <f>INDEX(연료전지_원본!$A$4:$KY$369,MATCH($A202,연료전지_원본!$A$4:$A$369,0),MATCH($BI$4,연료전지_원본!$A$4:$KY$4,0))</f>
        <v>0</v>
      </c>
      <c r="BJ202" s="241">
        <f>INDEX(연료전지_원본!$A$4:$KY$369,MATCH($A202,연료전지_원본!$A$4:$A$369,0),MATCH($BJ$4,연료전지_원본!$A$4:$KY$4,0))</f>
        <v>0</v>
      </c>
      <c r="BK202" s="241">
        <f>INDEX(연료전지_원본!$A$4:$KY$369,MATCH($A202,연료전지_원본!$A$4:$A$369,0),MATCH($BK$4,연료전지_원본!$A$4:$KY$4,0))</f>
        <v>0</v>
      </c>
      <c r="BL202" s="241">
        <f>INDEX(연료전지_원본!$A$4:$KY$369,MATCH($A202,연료전지_원본!$A$4:$A$369,0),MATCH($BL$4,연료전지_원본!$A$4:$KY$4,0))</f>
        <v>0</v>
      </c>
      <c r="BM202" s="241">
        <f>INDEX(연료전지_원본!$A$4:$KY$369,MATCH($A202,연료전지_원본!$A$4:$A$369,0),MATCH($BM$4,연료전지_원본!$A$4:$KY$4,0))</f>
        <v>0</v>
      </c>
      <c r="BN202" s="241">
        <f>INDEX(연료전지_원본!$A$4:$KY$369,MATCH($A202,연료전지_원본!$A$4:$A$369,0),MATCH($BN$4,연료전지_원본!$A$4:$KY$4,0))</f>
        <v>0</v>
      </c>
      <c r="BO202" s="241">
        <f>INDEX(연료전지_원본!$A$4:$KY$369,MATCH($A202,연료전지_원본!$A$4:$A$369,0),MATCH($BO$4,연료전지_원본!$A$4:$KY$4,0))</f>
        <v>0</v>
      </c>
      <c r="BP202" s="241">
        <f>INDEX(연료전지_원본!$A$4:$KY$369,MATCH($A202,연료전지_원본!$A$4:$A$369,0),MATCH($BP$4,연료전지_원본!$A$4:$KY$4,0))</f>
        <v>0</v>
      </c>
      <c r="BQ202" s="241">
        <f>INDEX(연료전지_원본!$A$4:$KY$369,MATCH($A202,연료전지_원본!$A$4:$A$369,0),MATCH($BQ$4,연료전지_원본!$A$4:$KY$4,0))</f>
        <v>0</v>
      </c>
      <c r="BR202" s="241">
        <f>INDEX(연료전지_원본!$A$4:$KY$369,MATCH($A202,연료전지_원본!$A$4:$A$369,0),MATCH($BR$4,연료전지_원본!$A$4:$KY$4,0))</f>
        <v>0</v>
      </c>
      <c r="BS202" s="241">
        <f>INDEX(연료전지_원본!$A$4:$KY$369,MATCH($A202,연료전지_원본!$A$4:$A$369,0),MATCH($BS$4,연료전지_원본!$A$4:$KY$4,0))</f>
        <v>0</v>
      </c>
      <c r="BT202" s="241">
        <f>INDEX(연료전지_원본!$A$4:$KY$369,MATCH($A202,연료전지_원본!$A$4:$A$369,0),MATCH($BT$4,연료전지_원본!$A$4:$KY$4,0))</f>
        <v>0</v>
      </c>
      <c r="BU202" s="241">
        <f>INDEX(연료전지_원본!$A$4:$KY$369,MATCH($A202,연료전지_원본!$A$4:$A$369,0),MATCH($BU$4,연료전지_원본!$A$4:$KY$4,0))</f>
        <v>0</v>
      </c>
      <c r="BV202" s="241">
        <f>INDEX(연료전지_원본!$A$4:$KY$369,MATCH($A202,연료전지_원본!$A$4:$A$369,0),MATCH($BV$4,연료전지_원본!$A$4:$KY$4,0))</f>
        <v>0</v>
      </c>
      <c r="BW202" s="241">
        <f>INDEX(연료전지_원본!$A$4:$KY$369,MATCH($A202,연료전지_원본!$A$4:$A$369,0),MATCH($BW$4,연료전지_원본!$A$4:$KY$4,0))</f>
        <v>0</v>
      </c>
      <c r="BX202" s="241">
        <f>INDEX(연료전지_원본!$A$4:$KY$369,MATCH($A202,연료전지_원본!$A$4:$A$369,0),MATCH($BX$4,연료전지_원본!$A$4:$KY$4,0))</f>
        <v>0</v>
      </c>
      <c r="BY202" s="241">
        <f>INDEX(연료전지_원본!$A$4:$KY$369,MATCH($A202,연료전지_원본!$A$4:$A$369,0),MATCH($BY$4,연료전지_원본!$A$4:$KY$4,0))</f>
        <v>0</v>
      </c>
      <c r="BZ202" s="241">
        <f>INDEX(연료전지_원본!$A$4:$KY$369,MATCH($A202,연료전지_원본!$A$4:$A$369,0),MATCH($BZ$4,연료전지_원본!$A$4:$KY$4,0))</f>
        <v>0</v>
      </c>
      <c r="CA202" s="241">
        <f>INDEX(연료전지_원본!$A$4:$KY$369,MATCH($A202,연료전지_원본!$A$4:$A$369,0),MATCH($CA$4,연료전지_원본!$A$4:$KY$4,0))</f>
        <v>0</v>
      </c>
      <c r="CB202" s="241">
        <f>INDEX(연료전지_원본!$A$4:$KY$369,MATCH($A202,연료전지_원본!$A$4:$A$369,0),MATCH($CB$4,연료전지_원본!$A$4:$KY$4,0))</f>
        <v>0</v>
      </c>
      <c r="CC202" s="242">
        <f>INDEX(연료전지_원본!$A$4:$KY$369,MATCH($A202,연료전지_원본!$A$4:$A$369,0),MATCH($CC$4,연료전지_원본!$A$4:$KY$4,0))</f>
        <v>0</v>
      </c>
      <c r="CD202" s="250">
        <f>INDEX(연료전지_원본!$KB$4:$KX$369,MATCH($A202,연료전지_원본!$KB$4:$KB$369,0), MATCH(CD$4,연료전지_원본!$KB$4:$KX$4,0))*1000</f>
        <v>0</v>
      </c>
      <c r="CE202" s="250">
        <f>INDEX(연료전지_원본!$KB$4:$KX$369,MATCH($A202,연료전지_원본!$KB$4:$KB$369,0), MATCH(CE$4,연료전지_원본!$KB$4:$KX$4,0))*1000</f>
        <v>0</v>
      </c>
      <c r="CF202" s="250">
        <f>INDEX(연료전지_원본!$KB$4:$KX$369,MATCH($A202,연료전지_원본!$KB$4:$KB$369,0), MATCH(CF$4,연료전지_원본!$KB$4:$KX$4,0))*1000</f>
        <v>0</v>
      </c>
      <c r="CG202" s="250">
        <f>INDEX(연료전지_원본!$KB$4:$KX$369,MATCH($A202,연료전지_원본!$KB$4:$KB$369,0), MATCH(CG$4,연료전지_원본!$KB$4:$KX$4,0))*1000</f>
        <v>0</v>
      </c>
      <c r="CH202" s="250">
        <f>INDEX(연료전지_원본!$KB$4:$KX$369,MATCH($A202,연료전지_원본!$KB$4:$KB$369,0), MATCH(CH$4,연료전지_원본!$KB$4:$KX$4,0))*1000</f>
        <v>0</v>
      </c>
      <c r="CI202" s="250">
        <f>INDEX(연료전지_원본!$KB$4:$KX$369,MATCH($A202,연료전지_원본!$KB$4:$KB$369,0), MATCH(CI$4,연료전지_원본!$KB$4:$KX$4,0))*1000</f>
        <v>0</v>
      </c>
      <c r="CJ202" s="250">
        <f>INDEX(연료전지_원본!$KB$4:$KX$369,MATCH($A202,연료전지_원본!$KB$4:$KB$369,0), MATCH(CJ$4,연료전지_원본!$KB$4:$KX$4,0))*1000</f>
        <v>0</v>
      </c>
      <c r="CK202" s="250">
        <f>INDEX(연료전지_원본!$KB$4:$KX$369,MATCH($A202,연료전지_원본!$KB$4:$KB$369,0), MATCH(CK$4,연료전지_원본!$KB$4:$KX$4,0))*1000</f>
        <v>0</v>
      </c>
      <c r="CL202" s="250">
        <f>INDEX(연료전지_원본!$KB$4:$KX$369,MATCH($A202,연료전지_원본!$KB$4:$KB$369,0), MATCH(CL$4,연료전지_원본!$KB$4:$KX$4,0))*1000</f>
        <v>0</v>
      </c>
      <c r="CM202" s="250">
        <f>INDEX(연료전지_원본!$KB$4:$KX$369,MATCH($A202,연료전지_원본!$KB$4:$KB$369,0), MATCH(CM$4,연료전지_원본!$KB$4:$KX$4,0))*1000</f>
        <v>0</v>
      </c>
      <c r="CN202" s="250">
        <f>INDEX(연료전지_원본!$KB$4:$KX$369,MATCH($A202,연료전지_원본!$KB$4:$KB$369,0), MATCH(CN$4,연료전지_원본!$KB$4:$KX$4,0))*1000</f>
        <v>0</v>
      </c>
      <c r="CO202" s="250">
        <f>INDEX(연료전지_원본!$KB$4:$KX$369,MATCH($A202,연료전지_원본!$KB$4:$KB$369,0), MATCH(CO$4,연료전지_원본!$KB$4:$KX$4,0))*1000</f>
        <v>0</v>
      </c>
      <c r="CP202" s="250">
        <f>INDEX(연료전지_원본!$KB$4:$KX$369,MATCH($A202,연료전지_원본!$KB$4:$KB$369,0), MATCH(CP$4,연료전지_원본!$KB$4:$KX$4,0))*1000</f>
        <v>0</v>
      </c>
      <c r="CQ202" s="250">
        <f>INDEX(연료전지_원본!$KB$4:$KX$369,MATCH($A202,연료전지_원본!$KB$4:$KB$369,0), MATCH(CQ$4,연료전지_원본!$KB$4:$KX$4,0))*1000</f>
        <v>0</v>
      </c>
      <c r="CR202" s="250">
        <f>INDEX(연료전지_원본!$KB$4:$KX$369,MATCH($A202,연료전지_원본!$KB$4:$KB$369,0), MATCH(CR$4,연료전지_원본!$KB$4:$KX$4,0))*1000</f>
        <v>0</v>
      </c>
      <c r="CS202" s="250">
        <f>INDEX(연료전지_원본!$KB$4:$KX$369,MATCH($A202,연료전지_원본!$KB$4:$KB$369,0), MATCH(CS$4,연료전지_원본!$KB$4:$KX$4,0))*1000</f>
        <v>0</v>
      </c>
      <c r="CT202" s="250">
        <f>INDEX(연료전지_원본!$KB$4:$KX$369,MATCH($A202,연료전지_원본!$KB$4:$KB$369,0), MATCH(CT$4,연료전지_원본!$KB$4:$KX$4,0))*1000</f>
        <v>0</v>
      </c>
      <c r="CU202" s="250">
        <f>INDEX(연료전지_원본!$KB$4:$KX$369,MATCH($A202,연료전지_원본!$KB$4:$KB$369,0), MATCH(CU$4,연료전지_원본!$KB$4:$KX$4,0))*1000</f>
        <v>0</v>
      </c>
      <c r="CV202" s="250">
        <f>INDEX(연료전지_원본!$KB$4:$KX$369,MATCH($A202,연료전지_원본!$KB$4:$KB$369,0), MATCH(CV$4,연료전지_원본!$KB$4:$KX$4,0))*1000</f>
        <v>0</v>
      </c>
      <c r="CW202" s="250">
        <f>INDEX(연료전지_원본!$KB$4:$KX$369,MATCH($A202,연료전지_원본!$KB$4:$KB$369,0), MATCH(CW$4,연료전지_원본!$KB$4:$KX$4,0))*1000</f>
        <v>0</v>
      </c>
      <c r="CX202" s="250">
        <f>INDEX(연료전지_원본!$KB$4:$KX$369,MATCH($A202,연료전지_원본!$KB$4:$KB$369,0), MATCH(CX$4,연료전지_원본!$KB$4:$KX$4,0))*1000</f>
        <v>0</v>
      </c>
      <c r="CY202" s="250">
        <f>INDEX(연료전지_원본!$KB$4:$KX$369,MATCH($A202,연료전지_원본!$KB$4:$KB$369,0), MATCH(CY$4,연료전지_원본!$KB$4:$KX$4,0))*1000</f>
        <v>0</v>
      </c>
      <c r="DV202" s="30">
        <f t="shared" si="954"/>
        <v>0</v>
      </c>
    </row>
    <row r="203" spans="1:126">
      <c r="A203" s="6">
        <v>46220</v>
      </c>
      <c r="B203" s="15">
        <f>운전실적_원본!B203</f>
        <v>0</v>
      </c>
      <c r="C203" s="16" t="str">
        <f t="shared" si="960"/>
        <v/>
      </c>
      <c r="D203" s="12">
        <f>운전실적_원본!C203</f>
        <v>0</v>
      </c>
      <c r="E203" s="12" t="str">
        <f t="shared" si="961"/>
        <v/>
      </c>
      <c r="F203" s="12">
        <f>운전실적_원본!D203</f>
        <v>0</v>
      </c>
      <c r="G203" s="16" t="str">
        <f t="shared" si="962"/>
        <v/>
      </c>
      <c r="H203" s="15">
        <f>운전실적_원본!E203</f>
        <v>0</v>
      </c>
      <c r="I203" s="16" t="str">
        <f t="shared" si="963"/>
        <v/>
      </c>
      <c r="J203" s="15">
        <f>운전실적_원본!F203</f>
        <v>0</v>
      </c>
      <c r="K203" s="16" t="str">
        <f t="shared" si="963"/>
        <v/>
      </c>
      <c r="L203" s="32">
        <f>운전실적_원본!G203</f>
        <v>0</v>
      </c>
      <c r="M203" s="31" t="str">
        <f t="shared" ref="M203" si="1145">IF(OR(LEN(L203)=0,L203=0),"",L203-L202)</f>
        <v/>
      </c>
      <c r="N203" s="15">
        <f>운전실적_원본!H203</f>
        <v>0</v>
      </c>
      <c r="O203" s="16" t="str">
        <f t="shared" ref="O203" si="1146">IF(OR(LEN(N203)=0,N203=0),"",N203-N202)</f>
        <v/>
      </c>
      <c r="P203" s="15">
        <f>운전실적_원본!I203</f>
        <v>0</v>
      </c>
      <c r="Q203" s="16" t="str">
        <f t="shared" ref="Q203" si="1147">IF(OR(LEN(P203)=0,P203=0),"",P203-P202)</f>
        <v/>
      </c>
      <c r="R203" s="18">
        <f>운전실적_원본!J203</f>
        <v>0</v>
      </c>
      <c r="S203" s="19" t="str">
        <f t="shared" ref="S203" si="1148">IF(OR(LEN(R203)=0,R203=0),"",R203-R202)</f>
        <v/>
      </c>
      <c r="T203" s="18">
        <f>운전실적_원본!K203</f>
        <v>0</v>
      </c>
      <c r="U203" s="19" t="str">
        <f t="shared" si="968"/>
        <v/>
      </c>
      <c r="V203" s="12">
        <f>운전실적_원본!L203</f>
        <v>0</v>
      </c>
      <c r="W203" s="16" t="str">
        <f t="shared" ref="W203" si="1149">IF(OR(LEN(V203)=0,V203=0),"",V203-V202)</f>
        <v/>
      </c>
      <c r="X203" s="10">
        <f>운전실적_원본!M203</f>
        <v>0</v>
      </c>
      <c r="Y203" s="10">
        <f>운전실적_원본!N203</f>
        <v>0</v>
      </c>
      <c r="Z203" s="10">
        <f>운전실적_원본!O203</f>
        <v>0</v>
      </c>
      <c r="AA203" s="10">
        <f>운전실적_원본!P203</f>
        <v>0</v>
      </c>
      <c r="AB203" s="10">
        <f>운전실적_원본!Q203</f>
        <v>0</v>
      </c>
      <c r="AC203" s="20">
        <f>운전실적_원본!R203</f>
        <v>0</v>
      </c>
      <c r="AD203" s="109">
        <f>운전실적_원본!S203</f>
        <v>0</v>
      </c>
      <c r="AE203" s="110">
        <f>운전실적_원본!T203</f>
        <v>0</v>
      </c>
      <c r="AF203" s="110">
        <f>운전실적_원본!U203</f>
        <v>0</v>
      </c>
      <c r="AG203" s="110">
        <f>운전실적_원본!V203</f>
        <v>0</v>
      </c>
      <c r="AH203" s="109">
        <f t="shared" si="1122"/>
        <v>0</v>
      </c>
      <c r="AI203" s="110">
        <f t="shared" si="1129"/>
        <v>0</v>
      </c>
      <c r="AJ203" s="110">
        <f>운전실적_원본!Y203</f>
        <v>0</v>
      </c>
      <c r="AK203" s="110">
        <f>운전실적_원본!Z203</f>
        <v>0</v>
      </c>
      <c r="AL203" s="106"/>
      <c r="AM203" s="105"/>
      <c r="AN203" s="105"/>
      <c r="AO203" s="105"/>
      <c r="AP203" s="105"/>
      <c r="AQ203" s="108"/>
      <c r="AR203" s="105"/>
      <c r="AS203" s="105"/>
      <c r="AT203" s="102"/>
      <c r="AU203" s="102"/>
      <c r="AV203" s="102"/>
      <c r="AW203" s="102"/>
      <c r="AX203" s="32">
        <f>운전실적_원본!W203</f>
        <v>0</v>
      </c>
      <c r="AY203" s="11">
        <f>운전실적_원본!X203</f>
        <v>0</v>
      </c>
      <c r="AZ203" s="11">
        <f>운전실적_원본!Y203</f>
        <v>0</v>
      </c>
      <c r="BA203" s="11">
        <f>운전실적_원본!Z203</f>
        <v>0</v>
      </c>
      <c r="BB203" s="11">
        <f>운전실적_원본!AA203</f>
        <v>0</v>
      </c>
      <c r="BC203" s="11">
        <f>운전실적_원본!AB203</f>
        <v>0</v>
      </c>
      <c r="BD203" s="32" t="str">
        <f t="shared" si="1115"/>
        <v>-</v>
      </c>
      <c r="BE203" s="11" t="str">
        <f t="shared" si="1123"/>
        <v>-</v>
      </c>
      <c r="BF203" s="11">
        <f>운전실적_원본!AE203</f>
        <v>0</v>
      </c>
      <c r="BG203" s="31">
        <f t="shared" si="1116"/>
        <v>0</v>
      </c>
      <c r="BH203" s="241">
        <f>INDEX(연료전지_원본!$A$4:$KY$369,MATCH($A203,연료전지_원본!$A$4:$A$369,0),MATCH($BH$4,연료전지_원본!$A$4:$KY$4,0))</f>
        <v>0</v>
      </c>
      <c r="BI203" s="241">
        <f>INDEX(연료전지_원본!$A$4:$KY$369,MATCH($A203,연료전지_원본!$A$4:$A$369,0),MATCH($BI$4,연료전지_원본!$A$4:$KY$4,0))</f>
        <v>0</v>
      </c>
      <c r="BJ203" s="241">
        <f>INDEX(연료전지_원본!$A$4:$KY$369,MATCH($A203,연료전지_원본!$A$4:$A$369,0),MATCH($BJ$4,연료전지_원본!$A$4:$KY$4,0))</f>
        <v>0</v>
      </c>
      <c r="BK203" s="241">
        <f>INDEX(연료전지_원본!$A$4:$KY$369,MATCH($A203,연료전지_원본!$A$4:$A$369,0),MATCH($BK$4,연료전지_원본!$A$4:$KY$4,0))</f>
        <v>0</v>
      </c>
      <c r="BL203" s="241">
        <f>INDEX(연료전지_원본!$A$4:$KY$369,MATCH($A203,연료전지_원본!$A$4:$A$369,0),MATCH($BL$4,연료전지_원본!$A$4:$KY$4,0))</f>
        <v>0</v>
      </c>
      <c r="BM203" s="241">
        <f>INDEX(연료전지_원본!$A$4:$KY$369,MATCH($A203,연료전지_원본!$A$4:$A$369,0),MATCH($BM$4,연료전지_원본!$A$4:$KY$4,0))</f>
        <v>0</v>
      </c>
      <c r="BN203" s="241">
        <f>INDEX(연료전지_원본!$A$4:$KY$369,MATCH($A203,연료전지_원본!$A$4:$A$369,0),MATCH($BN$4,연료전지_원본!$A$4:$KY$4,0))</f>
        <v>0</v>
      </c>
      <c r="BO203" s="241">
        <f>INDEX(연료전지_원본!$A$4:$KY$369,MATCH($A203,연료전지_원본!$A$4:$A$369,0),MATCH($BO$4,연료전지_원본!$A$4:$KY$4,0))</f>
        <v>0</v>
      </c>
      <c r="BP203" s="241">
        <f>INDEX(연료전지_원본!$A$4:$KY$369,MATCH($A203,연료전지_원본!$A$4:$A$369,0),MATCH($BP$4,연료전지_원본!$A$4:$KY$4,0))</f>
        <v>0</v>
      </c>
      <c r="BQ203" s="241">
        <f>INDEX(연료전지_원본!$A$4:$KY$369,MATCH($A203,연료전지_원본!$A$4:$A$369,0),MATCH($BQ$4,연료전지_원본!$A$4:$KY$4,0))</f>
        <v>0</v>
      </c>
      <c r="BR203" s="241">
        <f>INDEX(연료전지_원본!$A$4:$KY$369,MATCH($A203,연료전지_원본!$A$4:$A$369,0),MATCH($BR$4,연료전지_원본!$A$4:$KY$4,0))</f>
        <v>0</v>
      </c>
      <c r="BS203" s="241">
        <f>INDEX(연료전지_원본!$A$4:$KY$369,MATCH($A203,연료전지_원본!$A$4:$A$369,0),MATCH($BS$4,연료전지_원본!$A$4:$KY$4,0))</f>
        <v>0</v>
      </c>
      <c r="BT203" s="241">
        <f>INDEX(연료전지_원본!$A$4:$KY$369,MATCH($A203,연료전지_원본!$A$4:$A$369,0),MATCH($BT$4,연료전지_원본!$A$4:$KY$4,0))</f>
        <v>0</v>
      </c>
      <c r="BU203" s="241">
        <f>INDEX(연료전지_원본!$A$4:$KY$369,MATCH($A203,연료전지_원본!$A$4:$A$369,0),MATCH($BU$4,연료전지_원본!$A$4:$KY$4,0))</f>
        <v>0</v>
      </c>
      <c r="BV203" s="241">
        <f>INDEX(연료전지_원본!$A$4:$KY$369,MATCH($A203,연료전지_원본!$A$4:$A$369,0),MATCH($BV$4,연료전지_원본!$A$4:$KY$4,0))</f>
        <v>0</v>
      </c>
      <c r="BW203" s="241">
        <f>INDEX(연료전지_원본!$A$4:$KY$369,MATCH($A203,연료전지_원본!$A$4:$A$369,0),MATCH($BW$4,연료전지_원본!$A$4:$KY$4,0))</f>
        <v>0</v>
      </c>
      <c r="BX203" s="241">
        <f>INDEX(연료전지_원본!$A$4:$KY$369,MATCH($A203,연료전지_원본!$A$4:$A$369,0),MATCH($BX$4,연료전지_원본!$A$4:$KY$4,0))</f>
        <v>0</v>
      </c>
      <c r="BY203" s="241">
        <f>INDEX(연료전지_원본!$A$4:$KY$369,MATCH($A203,연료전지_원본!$A$4:$A$369,0),MATCH($BY$4,연료전지_원본!$A$4:$KY$4,0))</f>
        <v>0</v>
      </c>
      <c r="BZ203" s="241">
        <f>INDEX(연료전지_원본!$A$4:$KY$369,MATCH($A203,연료전지_원본!$A$4:$A$369,0),MATCH($BZ$4,연료전지_원본!$A$4:$KY$4,0))</f>
        <v>0</v>
      </c>
      <c r="CA203" s="241">
        <f>INDEX(연료전지_원본!$A$4:$KY$369,MATCH($A203,연료전지_원본!$A$4:$A$369,0),MATCH($CA$4,연료전지_원본!$A$4:$KY$4,0))</f>
        <v>0</v>
      </c>
      <c r="CB203" s="241">
        <f>INDEX(연료전지_원본!$A$4:$KY$369,MATCH($A203,연료전지_원본!$A$4:$A$369,0),MATCH($CB$4,연료전지_원본!$A$4:$KY$4,0))</f>
        <v>0</v>
      </c>
      <c r="CC203" s="242">
        <f>INDEX(연료전지_원본!$A$4:$KY$369,MATCH($A203,연료전지_원본!$A$4:$A$369,0),MATCH($CC$4,연료전지_원본!$A$4:$KY$4,0))</f>
        <v>0</v>
      </c>
      <c r="CD203" s="250">
        <f>INDEX(연료전지_원본!$KB$4:$KX$369,MATCH($A203,연료전지_원본!$KB$4:$KB$369,0), MATCH(CD$4,연료전지_원본!$KB$4:$KX$4,0))*1000</f>
        <v>0</v>
      </c>
      <c r="CE203" s="250">
        <f>INDEX(연료전지_원본!$KB$4:$KX$369,MATCH($A203,연료전지_원본!$KB$4:$KB$369,0), MATCH(CE$4,연료전지_원본!$KB$4:$KX$4,0))*1000</f>
        <v>0</v>
      </c>
      <c r="CF203" s="250">
        <f>INDEX(연료전지_원본!$KB$4:$KX$369,MATCH($A203,연료전지_원본!$KB$4:$KB$369,0), MATCH(CF$4,연료전지_원본!$KB$4:$KX$4,0))*1000</f>
        <v>0</v>
      </c>
      <c r="CG203" s="250">
        <f>INDEX(연료전지_원본!$KB$4:$KX$369,MATCH($A203,연료전지_원본!$KB$4:$KB$369,0), MATCH(CG$4,연료전지_원본!$KB$4:$KX$4,0))*1000</f>
        <v>0</v>
      </c>
      <c r="CH203" s="250">
        <f>INDEX(연료전지_원본!$KB$4:$KX$369,MATCH($A203,연료전지_원본!$KB$4:$KB$369,0), MATCH(CH$4,연료전지_원본!$KB$4:$KX$4,0))*1000</f>
        <v>0</v>
      </c>
      <c r="CI203" s="250">
        <f>INDEX(연료전지_원본!$KB$4:$KX$369,MATCH($A203,연료전지_원본!$KB$4:$KB$369,0), MATCH(CI$4,연료전지_원본!$KB$4:$KX$4,0))*1000</f>
        <v>0</v>
      </c>
      <c r="CJ203" s="250">
        <f>INDEX(연료전지_원본!$KB$4:$KX$369,MATCH($A203,연료전지_원본!$KB$4:$KB$369,0), MATCH(CJ$4,연료전지_원본!$KB$4:$KX$4,0))*1000</f>
        <v>0</v>
      </c>
      <c r="CK203" s="250">
        <f>INDEX(연료전지_원본!$KB$4:$KX$369,MATCH($A203,연료전지_원본!$KB$4:$KB$369,0), MATCH(CK$4,연료전지_원본!$KB$4:$KX$4,0))*1000</f>
        <v>0</v>
      </c>
      <c r="CL203" s="250">
        <f>INDEX(연료전지_원본!$KB$4:$KX$369,MATCH($A203,연료전지_원본!$KB$4:$KB$369,0), MATCH(CL$4,연료전지_원본!$KB$4:$KX$4,0))*1000</f>
        <v>0</v>
      </c>
      <c r="CM203" s="250">
        <f>INDEX(연료전지_원본!$KB$4:$KX$369,MATCH($A203,연료전지_원본!$KB$4:$KB$369,0), MATCH(CM$4,연료전지_원본!$KB$4:$KX$4,0))*1000</f>
        <v>0</v>
      </c>
      <c r="CN203" s="250">
        <f>INDEX(연료전지_원본!$KB$4:$KX$369,MATCH($A203,연료전지_원본!$KB$4:$KB$369,0), MATCH(CN$4,연료전지_원본!$KB$4:$KX$4,0))*1000</f>
        <v>0</v>
      </c>
      <c r="CO203" s="250">
        <f>INDEX(연료전지_원본!$KB$4:$KX$369,MATCH($A203,연료전지_원본!$KB$4:$KB$369,0), MATCH(CO$4,연료전지_원본!$KB$4:$KX$4,0))*1000</f>
        <v>0</v>
      </c>
      <c r="CP203" s="250">
        <f>INDEX(연료전지_원본!$KB$4:$KX$369,MATCH($A203,연료전지_원본!$KB$4:$KB$369,0), MATCH(CP$4,연료전지_원본!$KB$4:$KX$4,0))*1000</f>
        <v>0</v>
      </c>
      <c r="CQ203" s="250">
        <f>INDEX(연료전지_원본!$KB$4:$KX$369,MATCH($A203,연료전지_원본!$KB$4:$KB$369,0), MATCH(CQ$4,연료전지_원본!$KB$4:$KX$4,0))*1000</f>
        <v>0</v>
      </c>
      <c r="CR203" s="250">
        <f>INDEX(연료전지_원본!$KB$4:$KX$369,MATCH($A203,연료전지_원본!$KB$4:$KB$369,0), MATCH(CR$4,연료전지_원본!$KB$4:$KX$4,0))*1000</f>
        <v>0</v>
      </c>
      <c r="CS203" s="250">
        <f>INDEX(연료전지_원본!$KB$4:$KX$369,MATCH($A203,연료전지_원본!$KB$4:$KB$369,0), MATCH(CS$4,연료전지_원본!$KB$4:$KX$4,0))*1000</f>
        <v>0</v>
      </c>
      <c r="CT203" s="250">
        <f>INDEX(연료전지_원본!$KB$4:$KX$369,MATCH($A203,연료전지_원본!$KB$4:$KB$369,0), MATCH(CT$4,연료전지_원본!$KB$4:$KX$4,0))*1000</f>
        <v>0</v>
      </c>
      <c r="CU203" s="250">
        <f>INDEX(연료전지_원본!$KB$4:$KX$369,MATCH($A203,연료전지_원본!$KB$4:$KB$369,0), MATCH(CU$4,연료전지_원본!$KB$4:$KX$4,0))*1000</f>
        <v>0</v>
      </c>
      <c r="CV203" s="250">
        <f>INDEX(연료전지_원본!$KB$4:$KX$369,MATCH($A203,연료전지_원본!$KB$4:$KB$369,0), MATCH(CV$4,연료전지_원본!$KB$4:$KX$4,0))*1000</f>
        <v>0</v>
      </c>
      <c r="CW203" s="250">
        <f>INDEX(연료전지_원본!$KB$4:$KX$369,MATCH($A203,연료전지_원본!$KB$4:$KB$369,0), MATCH(CW$4,연료전지_원본!$KB$4:$KX$4,0))*1000</f>
        <v>0</v>
      </c>
      <c r="CX203" s="250">
        <f>INDEX(연료전지_원본!$KB$4:$KX$369,MATCH($A203,연료전지_원본!$KB$4:$KB$369,0), MATCH(CX$4,연료전지_원본!$KB$4:$KX$4,0))*1000</f>
        <v>0</v>
      </c>
      <c r="CY203" s="250">
        <f>INDEX(연료전지_원본!$KB$4:$KX$369,MATCH($A203,연료전지_원본!$KB$4:$KB$369,0), MATCH(CY$4,연료전지_원본!$KB$4:$KX$4,0))*1000</f>
        <v>0</v>
      </c>
      <c r="DV203" s="30">
        <f t="shared" si="954"/>
        <v>0</v>
      </c>
    </row>
    <row r="204" spans="1:126">
      <c r="A204" s="6">
        <v>46221</v>
      </c>
      <c r="B204" s="15">
        <f>운전실적_원본!B204</f>
        <v>0</v>
      </c>
      <c r="C204" s="16" t="str">
        <f t="shared" si="960"/>
        <v/>
      </c>
      <c r="D204" s="12">
        <f>운전실적_원본!C204</f>
        <v>0</v>
      </c>
      <c r="E204" s="12" t="str">
        <f t="shared" si="961"/>
        <v/>
      </c>
      <c r="F204" s="12">
        <f>운전실적_원본!D204</f>
        <v>0</v>
      </c>
      <c r="G204" s="16" t="str">
        <f t="shared" si="962"/>
        <v/>
      </c>
      <c r="H204" s="15">
        <f>운전실적_원본!E204</f>
        <v>0</v>
      </c>
      <c r="I204" s="16" t="str">
        <f t="shared" si="963"/>
        <v/>
      </c>
      <c r="J204" s="15">
        <f>운전실적_원본!F204</f>
        <v>0</v>
      </c>
      <c r="K204" s="16" t="str">
        <f t="shared" si="963"/>
        <v/>
      </c>
      <c r="L204" s="32">
        <f>운전실적_원본!G204</f>
        <v>0</v>
      </c>
      <c r="M204" s="31" t="str">
        <f t="shared" ref="M204" si="1150">IF(OR(LEN(L204)=0,L204=0),"",L204-L203)</f>
        <v/>
      </c>
      <c r="N204" s="15">
        <f>운전실적_원본!H204</f>
        <v>0</v>
      </c>
      <c r="O204" s="16" t="str">
        <f t="shared" ref="O204" si="1151">IF(OR(LEN(N204)=0,N204=0),"",N204-N203)</f>
        <v/>
      </c>
      <c r="P204" s="15">
        <f>운전실적_원본!I204</f>
        <v>0</v>
      </c>
      <c r="Q204" s="16" t="str">
        <f t="shared" ref="Q204" si="1152">IF(OR(LEN(P204)=0,P204=0),"",P204-P203)</f>
        <v/>
      </c>
      <c r="R204" s="18">
        <f>운전실적_원본!J204</f>
        <v>0</v>
      </c>
      <c r="S204" s="19" t="str">
        <f t="shared" ref="S204" si="1153">IF(OR(LEN(R204)=0,R204=0),"",R204-R203)</f>
        <v/>
      </c>
      <c r="T204" s="18">
        <f>운전실적_원본!K204</f>
        <v>0</v>
      </c>
      <c r="U204" s="19" t="str">
        <f t="shared" si="968"/>
        <v/>
      </c>
      <c r="V204" s="12">
        <f>운전실적_원본!L204</f>
        <v>0</v>
      </c>
      <c r="W204" s="16" t="str">
        <f t="shared" ref="W204" si="1154">IF(OR(LEN(V204)=0,V204=0),"",V204-V203)</f>
        <v/>
      </c>
      <c r="X204" s="10">
        <f>운전실적_원본!M204</f>
        <v>0</v>
      </c>
      <c r="Y204" s="10">
        <f>운전실적_원본!N204</f>
        <v>0</v>
      </c>
      <c r="Z204" s="10">
        <f>운전실적_원본!O204</f>
        <v>0</v>
      </c>
      <c r="AA204" s="10">
        <f>운전실적_원본!P204</f>
        <v>0</v>
      </c>
      <c r="AB204" s="10">
        <f>운전실적_원본!Q204</f>
        <v>0</v>
      </c>
      <c r="AC204" s="20">
        <f>운전실적_원본!R204</f>
        <v>0</v>
      </c>
      <c r="AD204" s="109">
        <f>운전실적_원본!S204</f>
        <v>0</v>
      </c>
      <c r="AE204" s="110">
        <f>운전실적_원본!T204</f>
        <v>0</v>
      </c>
      <c r="AF204" s="110">
        <f>운전실적_원본!U204</f>
        <v>0</v>
      </c>
      <c r="AG204" s="110">
        <f>운전실적_원본!V204</f>
        <v>0</v>
      </c>
      <c r="AH204" s="109">
        <f t="shared" si="1122"/>
        <v>0</v>
      </c>
      <c r="AI204" s="110">
        <f t="shared" si="1129"/>
        <v>0</v>
      </c>
      <c r="AJ204" s="110">
        <f>운전실적_원본!Y204</f>
        <v>0</v>
      </c>
      <c r="AK204" s="110">
        <f>운전실적_원본!Z204</f>
        <v>0</v>
      </c>
      <c r="AL204" s="106"/>
      <c r="AM204" s="105"/>
      <c r="AN204" s="105"/>
      <c r="AO204" s="105"/>
      <c r="AP204" s="105"/>
      <c r="AQ204" s="108"/>
      <c r="AR204" s="105"/>
      <c r="AS204" s="105"/>
      <c r="AT204" s="102"/>
      <c r="AU204" s="102"/>
      <c r="AV204" s="102"/>
      <c r="AW204" s="102"/>
      <c r="AX204" s="32">
        <f>운전실적_원본!W204</f>
        <v>0</v>
      </c>
      <c r="AY204" s="11">
        <f>운전실적_원본!X204</f>
        <v>0</v>
      </c>
      <c r="AZ204" s="11">
        <f>운전실적_원본!Y204</f>
        <v>0</v>
      </c>
      <c r="BA204" s="11">
        <f>운전실적_원본!Z204</f>
        <v>0</v>
      </c>
      <c r="BB204" s="11">
        <f>운전실적_원본!AA204</f>
        <v>0</v>
      </c>
      <c r="BC204" s="11">
        <f>운전실적_원본!AB204</f>
        <v>0</v>
      </c>
      <c r="BD204" s="32" t="str">
        <f t="shared" si="1115"/>
        <v>-</v>
      </c>
      <c r="BE204" s="11" t="str">
        <f t="shared" si="1123"/>
        <v>-</v>
      </c>
      <c r="BF204" s="11">
        <f>운전실적_원본!AE204</f>
        <v>0</v>
      </c>
      <c r="BG204" s="31">
        <f t="shared" si="1116"/>
        <v>0</v>
      </c>
      <c r="BH204" s="241">
        <f>INDEX(연료전지_원본!$A$4:$KY$369,MATCH($A204,연료전지_원본!$A$4:$A$369,0),MATCH($BH$4,연료전지_원본!$A$4:$KY$4,0))</f>
        <v>0</v>
      </c>
      <c r="BI204" s="241">
        <f>INDEX(연료전지_원본!$A$4:$KY$369,MATCH($A204,연료전지_원본!$A$4:$A$369,0),MATCH($BI$4,연료전지_원본!$A$4:$KY$4,0))</f>
        <v>0</v>
      </c>
      <c r="BJ204" s="241">
        <f>INDEX(연료전지_원본!$A$4:$KY$369,MATCH($A204,연료전지_원본!$A$4:$A$369,0),MATCH($BJ$4,연료전지_원본!$A$4:$KY$4,0))</f>
        <v>0</v>
      </c>
      <c r="BK204" s="241">
        <f>INDEX(연료전지_원본!$A$4:$KY$369,MATCH($A204,연료전지_원본!$A$4:$A$369,0),MATCH($BK$4,연료전지_원본!$A$4:$KY$4,0))</f>
        <v>0</v>
      </c>
      <c r="BL204" s="241">
        <f>INDEX(연료전지_원본!$A$4:$KY$369,MATCH($A204,연료전지_원본!$A$4:$A$369,0),MATCH($BL$4,연료전지_원본!$A$4:$KY$4,0))</f>
        <v>0</v>
      </c>
      <c r="BM204" s="241">
        <f>INDEX(연료전지_원본!$A$4:$KY$369,MATCH($A204,연료전지_원본!$A$4:$A$369,0),MATCH($BM$4,연료전지_원본!$A$4:$KY$4,0))</f>
        <v>0</v>
      </c>
      <c r="BN204" s="241">
        <f>INDEX(연료전지_원본!$A$4:$KY$369,MATCH($A204,연료전지_원본!$A$4:$A$369,0),MATCH($BN$4,연료전지_원본!$A$4:$KY$4,0))</f>
        <v>0</v>
      </c>
      <c r="BO204" s="241">
        <f>INDEX(연료전지_원본!$A$4:$KY$369,MATCH($A204,연료전지_원본!$A$4:$A$369,0),MATCH($BO$4,연료전지_원본!$A$4:$KY$4,0))</f>
        <v>0</v>
      </c>
      <c r="BP204" s="241">
        <f>INDEX(연료전지_원본!$A$4:$KY$369,MATCH($A204,연료전지_원본!$A$4:$A$369,0),MATCH($BP$4,연료전지_원본!$A$4:$KY$4,0))</f>
        <v>0</v>
      </c>
      <c r="BQ204" s="241">
        <f>INDEX(연료전지_원본!$A$4:$KY$369,MATCH($A204,연료전지_원본!$A$4:$A$369,0),MATCH($BQ$4,연료전지_원본!$A$4:$KY$4,0))</f>
        <v>0</v>
      </c>
      <c r="BR204" s="241">
        <f>INDEX(연료전지_원본!$A$4:$KY$369,MATCH($A204,연료전지_원본!$A$4:$A$369,0),MATCH($BR$4,연료전지_원본!$A$4:$KY$4,0))</f>
        <v>0</v>
      </c>
      <c r="BS204" s="241">
        <f>INDEX(연료전지_원본!$A$4:$KY$369,MATCH($A204,연료전지_원본!$A$4:$A$369,0),MATCH($BS$4,연료전지_원본!$A$4:$KY$4,0))</f>
        <v>0</v>
      </c>
      <c r="BT204" s="241">
        <f>INDEX(연료전지_원본!$A$4:$KY$369,MATCH($A204,연료전지_원본!$A$4:$A$369,0),MATCH($BT$4,연료전지_원본!$A$4:$KY$4,0))</f>
        <v>0</v>
      </c>
      <c r="BU204" s="241">
        <f>INDEX(연료전지_원본!$A$4:$KY$369,MATCH($A204,연료전지_원본!$A$4:$A$369,0),MATCH($BU$4,연료전지_원본!$A$4:$KY$4,0))</f>
        <v>0</v>
      </c>
      <c r="BV204" s="241">
        <f>INDEX(연료전지_원본!$A$4:$KY$369,MATCH($A204,연료전지_원본!$A$4:$A$369,0),MATCH($BV$4,연료전지_원본!$A$4:$KY$4,0))</f>
        <v>0</v>
      </c>
      <c r="BW204" s="241">
        <f>INDEX(연료전지_원본!$A$4:$KY$369,MATCH($A204,연료전지_원본!$A$4:$A$369,0),MATCH($BW$4,연료전지_원본!$A$4:$KY$4,0))</f>
        <v>0</v>
      </c>
      <c r="BX204" s="241">
        <f>INDEX(연료전지_원본!$A$4:$KY$369,MATCH($A204,연료전지_원본!$A$4:$A$369,0),MATCH($BX$4,연료전지_원본!$A$4:$KY$4,0))</f>
        <v>0</v>
      </c>
      <c r="BY204" s="241">
        <f>INDEX(연료전지_원본!$A$4:$KY$369,MATCH($A204,연료전지_원본!$A$4:$A$369,0),MATCH($BY$4,연료전지_원본!$A$4:$KY$4,0))</f>
        <v>0</v>
      </c>
      <c r="BZ204" s="241">
        <f>INDEX(연료전지_원본!$A$4:$KY$369,MATCH($A204,연료전지_원본!$A$4:$A$369,0),MATCH($BZ$4,연료전지_원본!$A$4:$KY$4,0))</f>
        <v>0</v>
      </c>
      <c r="CA204" s="241">
        <f>INDEX(연료전지_원본!$A$4:$KY$369,MATCH($A204,연료전지_원본!$A$4:$A$369,0),MATCH($CA$4,연료전지_원본!$A$4:$KY$4,0))</f>
        <v>0</v>
      </c>
      <c r="CB204" s="241">
        <f>INDEX(연료전지_원본!$A$4:$KY$369,MATCH($A204,연료전지_원본!$A$4:$A$369,0),MATCH($CB$4,연료전지_원본!$A$4:$KY$4,0))</f>
        <v>0</v>
      </c>
      <c r="CC204" s="242">
        <f>INDEX(연료전지_원본!$A$4:$KY$369,MATCH($A204,연료전지_원본!$A$4:$A$369,0),MATCH($CC$4,연료전지_원본!$A$4:$KY$4,0))</f>
        <v>0</v>
      </c>
      <c r="CD204" s="250">
        <f>INDEX(연료전지_원본!$KB$4:$KX$369,MATCH($A204,연료전지_원본!$KB$4:$KB$369,0), MATCH(CD$4,연료전지_원본!$KB$4:$KX$4,0))*1000</f>
        <v>0</v>
      </c>
      <c r="CE204" s="250">
        <f>INDEX(연료전지_원본!$KB$4:$KX$369,MATCH($A204,연료전지_원본!$KB$4:$KB$369,0), MATCH(CE$4,연료전지_원본!$KB$4:$KX$4,0))*1000</f>
        <v>0</v>
      </c>
      <c r="CF204" s="250">
        <f>INDEX(연료전지_원본!$KB$4:$KX$369,MATCH($A204,연료전지_원본!$KB$4:$KB$369,0), MATCH(CF$4,연료전지_원본!$KB$4:$KX$4,0))*1000</f>
        <v>0</v>
      </c>
      <c r="CG204" s="250">
        <f>INDEX(연료전지_원본!$KB$4:$KX$369,MATCH($A204,연료전지_원본!$KB$4:$KB$369,0), MATCH(CG$4,연료전지_원본!$KB$4:$KX$4,0))*1000</f>
        <v>0</v>
      </c>
      <c r="CH204" s="250">
        <f>INDEX(연료전지_원본!$KB$4:$KX$369,MATCH($A204,연료전지_원본!$KB$4:$KB$369,0), MATCH(CH$4,연료전지_원본!$KB$4:$KX$4,0))*1000</f>
        <v>0</v>
      </c>
      <c r="CI204" s="250">
        <f>INDEX(연료전지_원본!$KB$4:$KX$369,MATCH($A204,연료전지_원본!$KB$4:$KB$369,0), MATCH(CI$4,연료전지_원본!$KB$4:$KX$4,0))*1000</f>
        <v>0</v>
      </c>
      <c r="CJ204" s="250">
        <f>INDEX(연료전지_원본!$KB$4:$KX$369,MATCH($A204,연료전지_원본!$KB$4:$KB$369,0), MATCH(CJ$4,연료전지_원본!$KB$4:$KX$4,0))*1000</f>
        <v>0</v>
      </c>
      <c r="CK204" s="250">
        <f>INDEX(연료전지_원본!$KB$4:$KX$369,MATCH($A204,연료전지_원본!$KB$4:$KB$369,0), MATCH(CK$4,연료전지_원본!$KB$4:$KX$4,0))*1000</f>
        <v>0</v>
      </c>
      <c r="CL204" s="250">
        <f>INDEX(연료전지_원본!$KB$4:$KX$369,MATCH($A204,연료전지_원본!$KB$4:$KB$369,0), MATCH(CL$4,연료전지_원본!$KB$4:$KX$4,0))*1000</f>
        <v>0</v>
      </c>
      <c r="CM204" s="250">
        <f>INDEX(연료전지_원본!$KB$4:$KX$369,MATCH($A204,연료전지_원본!$KB$4:$KB$369,0), MATCH(CM$4,연료전지_원본!$KB$4:$KX$4,0))*1000</f>
        <v>0</v>
      </c>
      <c r="CN204" s="250">
        <f>INDEX(연료전지_원본!$KB$4:$KX$369,MATCH($A204,연료전지_원본!$KB$4:$KB$369,0), MATCH(CN$4,연료전지_원본!$KB$4:$KX$4,0))*1000</f>
        <v>0</v>
      </c>
      <c r="CO204" s="250">
        <f>INDEX(연료전지_원본!$KB$4:$KX$369,MATCH($A204,연료전지_원본!$KB$4:$KB$369,0), MATCH(CO$4,연료전지_원본!$KB$4:$KX$4,0))*1000</f>
        <v>0</v>
      </c>
      <c r="CP204" s="250">
        <f>INDEX(연료전지_원본!$KB$4:$KX$369,MATCH($A204,연료전지_원본!$KB$4:$KB$369,0), MATCH(CP$4,연료전지_원본!$KB$4:$KX$4,0))*1000</f>
        <v>0</v>
      </c>
      <c r="CQ204" s="250">
        <f>INDEX(연료전지_원본!$KB$4:$KX$369,MATCH($A204,연료전지_원본!$KB$4:$KB$369,0), MATCH(CQ$4,연료전지_원본!$KB$4:$KX$4,0))*1000</f>
        <v>0</v>
      </c>
      <c r="CR204" s="250">
        <f>INDEX(연료전지_원본!$KB$4:$KX$369,MATCH($A204,연료전지_원본!$KB$4:$KB$369,0), MATCH(CR$4,연료전지_원본!$KB$4:$KX$4,0))*1000</f>
        <v>0</v>
      </c>
      <c r="CS204" s="250">
        <f>INDEX(연료전지_원본!$KB$4:$KX$369,MATCH($A204,연료전지_원본!$KB$4:$KB$369,0), MATCH(CS$4,연료전지_원본!$KB$4:$KX$4,0))*1000</f>
        <v>0</v>
      </c>
      <c r="CT204" s="250">
        <f>INDEX(연료전지_원본!$KB$4:$KX$369,MATCH($A204,연료전지_원본!$KB$4:$KB$369,0), MATCH(CT$4,연료전지_원본!$KB$4:$KX$4,0))*1000</f>
        <v>0</v>
      </c>
      <c r="CU204" s="250">
        <f>INDEX(연료전지_원본!$KB$4:$KX$369,MATCH($A204,연료전지_원본!$KB$4:$KB$369,0), MATCH(CU$4,연료전지_원본!$KB$4:$KX$4,0))*1000</f>
        <v>0</v>
      </c>
      <c r="CV204" s="250">
        <f>INDEX(연료전지_원본!$KB$4:$KX$369,MATCH($A204,연료전지_원본!$KB$4:$KB$369,0), MATCH(CV$4,연료전지_원본!$KB$4:$KX$4,0))*1000</f>
        <v>0</v>
      </c>
      <c r="CW204" s="250">
        <f>INDEX(연료전지_원본!$KB$4:$KX$369,MATCH($A204,연료전지_원본!$KB$4:$KB$369,0), MATCH(CW$4,연료전지_원본!$KB$4:$KX$4,0))*1000</f>
        <v>0</v>
      </c>
      <c r="CX204" s="250">
        <f>INDEX(연료전지_원본!$KB$4:$KX$369,MATCH($A204,연료전지_원본!$KB$4:$KB$369,0), MATCH(CX$4,연료전지_원본!$KB$4:$KX$4,0))*1000</f>
        <v>0</v>
      </c>
      <c r="CY204" s="250">
        <f>INDEX(연료전지_원본!$KB$4:$KX$369,MATCH($A204,연료전지_원본!$KB$4:$KB$369,0), MATCH(CY$4,연료전지_원본!$KB$4:$KX$4,0))*1000</f>
        <v>0</v>
      </c>
      <c r="DV204" s="30">
        <f t="shared" si="954"/>
        <v>0</v>
      </c>
    </row>
    <row r="205" spans="1:126">
      <c r="A205" s="6">
        <v>46222</v>
      </c>
      <c r="B205" s="15">
        <f>운전실적_원본!B205</f>
        <v>0</v>
      </c>
      <c r="C205" s="16" t="str">
        <f t="shared" si="960"/>
        <v/>
      </c>
      <c r="D205" s="12">
        <f>운전실적_원본!C205</f>
        <v>0</v>
      </c>
      <c r="E205" s="12" t="str">
        <f t="shared" si="961"/>
        <v/>
      </c>
      <c r="F205" s="12">
        <f>운전실적_원본!D205</f>
        <v>0</v>
      </c>
      <c r="G205" s="16" t="str">
        <f t="shared" si="962"/>
        <v/>
      </c>
      <c r="H205" s="15">
        <f>운전실적_원본!E205</f>
        <v>0</v>
      </c>
      <c r="I205" s="16" t="str">
        <f t="shared" si="963"/>
        <v/>
      </c>
      <c r="J205" s="15">
        <f>운전실적_원본!F205</f>
        <v>0</v>
      </c>
      <c r="K205" s="16" t="str">
        <f t="shared" si="963"/>
        <v/>
      </c>
      <c r="L205" s="32">
        <f>운전실적_원본!G205</f>
        <v>0</v>
      </c>
      <c r="M205" s="31" t="str">
        <f t="shared" ref="M205" si="1155">IF(OR(LEN(L205)=0,L205=0),"",L205-L204)</f>
        <v/>
      </c>
      <c r="N205" s="15">
        <f>운전실적_원본!H205</f>
        <v>0</v>
      </c>
      <c r="O205" s="16" t="str">
        <f t="shared" ref="O205" si="1156">IF(OR(LEN(N205)=0,N205=0),"",N205-N204)</f>
        <v/>
      </c>
      <c r="P205" s="15">
        <f>운전실적_원본!I205</f>
        <v>0</v>
      </c>
      <c r="Q205" s="16" t="str">
        <f t="shared" ref="Q205" si="1157">IF(OR(LEN(P205)=0,P205=0),"",P205-P204)</f>
        <v/>
      </c>
      <c r="R205" s="18">
        <f>운전실적_원본!J205</f>
        <v>0</v>
      </c>
      <c r="S205" s="19" t="str">
        <f t="shared" ref="S205" si="1158">IF(OR(LEN(R205)=0,R205=0),"",R205-R204)</f>
        <v/>
      </c>
      <c r="T205" s="18">
        <f>운전실적_원본!K205</f>
        <v>0</v>
      </c>
      <c r="U205" s="19" t="str">
        <f t="shared" si="968"/>
        <v/>
      </c>
      <c r="V205" s="12">
        <f>운전실적_원본!L205</f>
        <v>0</v>
      </c>
      <c r="W205" s="16" t="str">
        <f t="shared" ref="W205" si="1159">IF(OR(LEN(V205)=0,V205=0),"",V205-V204)</f>
        <v/>
      </c>
      <c r="X205" s="10">
        <f>운전실적_원본!M205</f>
        <v>0</v>
      </c>
      <c r="Y205" s="10">
        <f>운전실적_원본!N205</f>
        <v>0</v>
      </c>
      <c r="Z205" s="10">
        <f>운전실적_원본!O205</f>
        <v>0</v>
      </c>
      <c r="AA205" s="10">
        <f>운전실적_원본!P205</f>
        <v>0</v>
      </c>
      <c r="AB205" s="10">
        <f>운전실적_원본!Q205</f>
        <v>0</v>
      </c>
      <c r="AC205" s="20">
        <f>운전실적_원본!R205</f>
        <v>0</v>
      </c>
      <c r="AD205" s="109">
        <f>운전실적_원본!S205</f>
        <v>0</v>
      </c>
      <c r="AE205" s="110">
        <f>운전실적_원본!T205</f>
        <v>0</v>
      </c>
      <c r="AF205" s="110">
        <f>운전실적_원본!U205</f>
        <v>0</v>
      </c>
      <c r="AG205" s="110">
        <f>운전실적_원본!V205</f>
        <v>0</v>
      </c>
      <c r="AH205" s="109">
        <f t="shared" si="1122"/>
        <v>0</v>
      </c>
      <c r="AI205" s="110">
        <f t="shared" si="1129"/>
        <v>0</v>
      </c>
      <c r="AJ205" s="110">
        <f>운전실적_원본!Y205</f>
        <v>0</v>
      </c>
      <c r="AK205" s="110">
        <f>운전실적_원본!Z205</f>
        <v>0</v>
      </c>
      <c r="AL205" s="106"/>
      <c r="AM205" s="105"/>
      <c r="AN205" s="105"/>
      <c r="AO205" s="105"/>
      <c r="AP205" s="105"/>
      <c r="AQ205" s="108"/>
      <c r="AR205" s="105"/>
      <c r="AS205" s="105"/>
      <c r="AT205" s="102"/>
      <c r="AU205" s="102"/>
      <c r="AV205" s="102"/>
      <c r="AW205" s="102"/>
      <c r="AX205" s="32">
        <f>운전실적_원본!W205</f>
        <v>0</v>
      </c>
      <c r="AY205" s="11">
        <f>운전실적_원본!X205</f>
        <v>0</v>
      </c>
      <c r="AZ205" s="11">
        <f>운전실적_원본!Y205</f>
        <v>0</v>
      </c>
      <c r="BA205" s="11">
        <f>운전실적_원본!Z205</f>
        <v>0</v>
      </c>
      <c r="BB205" s="11">
        <f>운전실적_원본!AA205</f>
        <v>0</v>
      </c>
      <c r="BC205" s="11">
        <f>운전실적_원본!AB205</f>
        <v>0</v>
      </c>
      <c r="BD205" s="32" t="str">
        <f t="shared" si="1115"/>
        <v>-</v>
      </c>
      <c r="BE205" s="11" t="str">
        <f t="shared" si="1123"/>
        <v>-</v>
      </c>
      <c r="BF205" s="11">
        <f>운전실적_원본!AE205</f>
        <v>0</v>
      </c>
      <c r="BG205" s="31">
        <f t="shared" si="1116"/>
        <v>0</v>
      </c>
      <c r="BH205" s="241">
        <f>INDEX(연료전지_원본!$A$4:$KY$369,MATCH($A205,연료전지_원본!$A$4:$A$369,0),MATCH($BH$4,연료전지_원본!$A$4:$KY$4,0))</f>
        <v>0</v>
      </c>
      <c r="BI205" s="241">
        <f>INDEX(연료전지_원본!$A$4:$KY$369,MATCH($A205,연료전지_원본!$A$4:$A$369,0),MATCH($BI$4,연료전지_원본!$A$4:$KY$4,0))</f>
        <v>0</v>
      </c>
      <c r="BJ205" s="241">
        <f>INDEX(연료전지_원본!$A$4:$KY$369,MATCH($A205,연료전지_원본!$A$4:$A$369,0),MATCH($BJ$4,연료전지_원본!$A$4:$KY$4,0))</f>
        <v>0</v>
      </c>
      <c r="BK205" s="241">
        <f>INDEX(연료전지_원본!$A$4:$KY$369,MATCH($A205,연료전지_원본!$A$4:$A$369,0),MATCH($BK$4,연료전지_원본!$A$4:$KY$4,0))</f>
        <v>0</v>
      </c>
      <c r="BL205" s="241">
        <f>INDEX(연료전지_원본!$A$4:$KY$369,MATCH($A205,연료전지_원본!$A$4:$A$369,0),MATCH($BL$4,연료전지_원본!$A$4:$KY$4,0))</f>
        <v>0</v>
      </c>
      <c r="BM205" s="241">
        <f>INDEX(연료전지_원본!$A$4:$KY$369,MATCH($A205,연료전지_원본!$A$4:$A$369,0),MATCH($BM$4,연료전지_원본!$A$4:$KY$4,0))</f>
        <v>0</v>
      </c>
      <c r="BN205" s="241">
        <f>INDEX(연료전지_원본!$A$4:$KY$369,MATCH($A205,연료전지_원본!$A$4:$A$369,0),MATCH($BN$4,연료전지_원본!$A$4:$KY$4,0))</f>
        <v>0</v>
      </c>
      <c r="BO205" s="241">
        <f>INDEX(연료전지_원본!$A$4:$KY$369,MATCH($A205,연료전지_원본!$A$4:$A$369,0),MATCH($BO$4,연료전지_원본!$A$4:$KY$4,0))</f>
        <v>0</v>
      </c>
      <c r="BP205" s="241">
        <f>INDEX(연료전지_원본!$A$4:$KY$369,MATCH($A205,연료전지_원본!$A$4:$A$369,0),MATCH($BP$4,연료전지_원본!$A$4:$KY$4,0))</f>
        <v>0</v>
      </c>
      <c r="BQ205" s="241">
        <f>INDEX(연료전지_원본!$A$4:$KY$369,MATCH($A205,연료전지_원본!$A$4:$A$369,0),MATCH($BQ$4,연료전지_원본!$A$4:$KY$4,0))</f>
        <v>0</v>
      </c>
      <c r="BR205" s="241">
        <f>INDEX(연료전지_원본!$A$4:$KY$369,MATCH($A205,연료전지_원본!$A$4:$A$369,0),MATCH($BR$4,연료전지_원본!$A$4:$KY$4,0))</f>
        <v>0</v>
      </c>
      <c r="BS205" s="241">
        <f>INDEX(연료전지_원본!$A$4:$KY$369,MATCH($A205,연료전지_원본!$A$4:$A$369,0),MATCH($BS$4,연료전지_원본!$A$4:$KY$4,0))</f>
        <v>0</v>
      </c>
      <c r="BT205" s="241">
        <f>INDEX(연료전지_원본!$A$4:$KY$369,MATCH($A205,연료전지_원본!$A$4:$A$369,0),MATCH($BT$4,연료전지_원본!$A$4:$KY$4,0))</f>
        <v>0</v>
      </c>
      <c r="BU205" s="241">
        <f>INDEX(연료전지_원본!$A$4:$KY$369,MATCH($A205,연료전지_원본!$A$4:$A$369,0),MATCH($BU$4,연료전지_원본!$A$4:$KY$4,0))</f>
        <v>0</v>
      </c>
      <c r="BV205" s="241">
        <f>INDEX(연료전지_원본!$A$4:$KY$369,MATCH($A205,연료전지_원본!$A$4:$A$369,0),MATCH($BV$4,연료전지_원본!$A$4:$KY$4,0))</f>
        <v>0</v>
      </c>
      <c r="BW205" s="241">
        <f>INDEX(연료전지_원본!$A$4:$KY$369,MATCH($A205,연료전지_원본!$A$4:$A$369,0),MATCH($BW$4,연료전지_원본!$A$4:$KY$4,0))</f>
        <v>0</v>
      </c>
      <c r="BX205" s="241">
        <f>INDEX(연료전지_원본!$A$4:$KY$369,MATCH($A205,연료전지_원본!$A$4:$A$369,0),MATCH($BX$4,연료전지_원본!$A$4:$KY$4,0))</f>
        <v>0</v>
      </c>
      <c r="BY205" s="241">
        <f>INDEX(연료전지_원본!$A$4:$KY$369,MATCH($A205,연료전지_원본!$A$4:$A$369,0),MATCH($BY$4,연료전지_원본!$A$4:$KY$4,0))</f>
        <v>0</v>
      </c>
      <c r="BZ205" s="241">
        <f>INDEX(연료전지_원본!$A$4:$KY$369,MATCH($A205,연료전지_원본!$A$4:$A$369,0),MATCH($BZ$4,연료전지_원본!$A$4:$KY$4,0))</f>
        <v>0</v>
      </c>
      <c r="CA205" s="241">
        <f>INDEX(연료전지_원본!$A$4:$KY$369,MATCH($A205,연료전지_원본!$A$4:$A$369,0),MATCH($CA$4,연료전지_원본!$A$4:$KY$4,0))</f>
        <v>0</v>
      </c>
      <c r="CB205" s="241">
        <f>INDEX(연료전지_원본!$A$4:$KY$369,MATCH($A205,연료전지_원본!$A$4:$A$369,0),MATCH($CB$4,연료전지_원본!$A$4:$KY$4,0))</f>
        <v>0</v>
      </c>
      <c r="CC205" s="242">
        <f>INDEX(연료전지_원본!$A$4:$KY$369,MATCH($A205,연료전지_원본!$A$4:$A$369,0),MATCH($CC$4,연료전지_원본!$A$4:$KY$4,0))</f>
        <v>0</v>
      </c>
      <c r="CD205" s="250">
        <f>INDEX(연료전지_원본!$KB$4:$KX$369,MATCH($A205,연료전지_원본!$KB$4:$KB$369,0), MATCH(CD$4,연료전지_원본!$KB$4:$KX$4,0))*1000</f>
        <v>0</v>
      </c>
      <c r="CE205" s="250">
        <f>INDEX(연료전지_원본!$KB$4:$KX$369,MATCH($A205,연료전지_원본!$KB$4:$KB$369,0), MATCH(CE$4,연료전지_원본!$KB$4:$KX$4,0))*1000</f>
        <v>0</v>
      </c>
      <c r="CF205" s="250">
        <f>INDEX(연료전지_원본!$KB$4:$KX$369,MATCH($A205,연료전지_원본!$KB$4:$KB$369,0), MATCH(CF$4,연료전지_원본!$KB$4:$KX$4,0))*1000</f>
        <v>0</v>
      </c>
      <c r="CG205" s="250">
        <f>INDEX(연료전지_원본!$KB$4:$KX$369,MATCH($A205,연료전지_원본!$KB$4:$KB$369,0), MATCH(CG$4,연료전지_원본!$KB$4:$KX$4,0))*1000</f>
        <v>0</v>
      </c>
      <c r="CH205" s="250">
        <f>INDEX(연료전지_원본!$KB$4:$KX$369,MATCH($A205,연료전지_원본!$KB$4:$KB$369,0), MATCH(CH$4,연료전지_원본!$KB$4:$KX$4,0))*1000</f>
        <v>0</v>
      </c>
      <c r="CI205" s="250">
        <f>INDEX(연료전지_원본!$KB$4:$KX$369,MATCH($A205,연료전지_원본!$KB$4:$KB$369,0), MATCH(CI$4,연료전지_원본!$KB$4:$KX$4,0))*1000</f>
        <v>0</v>
      </c>
      <c r="CJ205" s="250">
        <f>INDEX(연료전지_원본!$KB$4:$KX$369,MATCH($A205,연료전지_원본!$KB$4:$KB$369,0), MATCH(CJ$4,연료전지_원본!$KB$4:$KX$4,0))*1000</f>
        <v>0</v>
      </c>
      <c r="CK205" s="250">
        <f>INDEX(연료전지_원본!$KB$4:$KX$369,MATCH($A205,연료전지_원본!$KB$4:$KB$369,0), MATCH(CK$4,연료전지_원본!$KB$4:$KX$4,0))*1000</f>
        <v>0</v>
      </c>
      <c r="CL205" s="250">
        <f>INDEX(연료전지_원본!$KB$4:$KX$369,MATCH($A205,연료전지_원본!$KB$4:$KB$369,0), MATCH(CL$4,연료전지_원본!$KB$4:$KX$4,0))*1000</f>
        <v>0</v>
      </c>
      <c r="CM205" s="250">
        <f>INDEX(연료전지_원본!$KB$4:$KX$369,MATCH($A205,연료전지_원본!$KB$4:$KB$369,0), MATCH(CM$4,연료전지_원본!$KB$4:$KX$4,0))*1000</f>
        <v>0</v>
      </c>
      <c r="CN205" s="250">
        <f>INDEX(연료전지_원본!$KB$4:$KX$369,MATCH($A205,연료전지_원본!$KB$4:$KB$369,0), MATCH(CN$4,연료전지_원본!$KB$4:$KX$4,0))*1000</f>
        <v>0</v>
      </c>
      <c r="CO205" s="250">
        <f>INDEX(연료전지_원본!$KB$4:$KX$369,MATCH($A205,연료전지_원본!$KB$4:$KB$369,0), MATCH(CO$4,연료전지_원본!$KB$4:$KX$4,0))*1000</f>
        <v>0</v>
      </c>
      <c r="CP205" s="250">
        <f>INDEX(연료전지_원본!$KB$4:$KX$369,MATCH($A205,연료전지_원본!$KB$4:$KB$369,0), MATCH(CP$4,연료전지_원본!$KB$4:$KX$4,0))*1000</f>
        <v>0</v>
      </c>
      <c r="CQ205" s="250">
        <f>INDEX(연료전지_원본!$KB$4:$KX$369,MATCH($A205,연료전지_원본!$KB$4:$KB$369,0), MATCH(CQ$4,연료전지_원본!$KB$4:$KX$4,0))*1000</f>
        <v>0</v>
      </c>
      <c r="CR205" s="250">
        <f>INDEX(연료전지_원본!$KB$4:$KX$369,MATCH($A205,연료전지_원본!$KB$4:$KB$369,0), MATCH(CR$4,연료전지_원본!$KB$4:$KX$4,0))*1000</f>
        <v>0</v>
      </c>
      <c r="CS205" s="250">
        <f>INDEX(연료전지_원본!$KB$4:$KX$369,MATCH($A205,연료전지_원본!$KB$4:$KB$369,0), MATCH(CS$4,연료전지_원본!$KB$4:$KX$4,0))*1000</f>
        <v>0</v>
      </c>
      <c r="CT205" s="250">
        <f>INDEX(연료전지_원본!$KB$4:$KX$369,MATCH($A205,연료전지_원본!$KB$4:$KB$369,0), MATCH(CT$4,연료전지_원본!$KB$4:$KX$4,0))*1000</f>
        <v>0</v>
      </c>
      <c r="CU205" s="250">
        <f>INDEX(연료전지_원본!$KB$4:$KX$369,MATCH($A205,연료전지_원본!$KB$4:$KB$369,0), MATCH(CU$4,연료전지_원본!$KB$4:$KX$4,0))*1000</f>
        <v>0</v>
      </c>
      <c r="CV205" s="250">
        <f>INDEX(연료전지_원본!$KB$4:$KX$369,MATCH($A205,연료전지_원본!$KB$4:$KB$369,0), MATCH(CV$4,연료전지_원본!$KB$4:$KX$4,0))*1000</f>
        <v>0</v>
      </c>
      <c r="CW205" s="250">
        <f>INDEX(연료전지_원본!$KB$4:$KX$369,MATCH($A205,연료전지_원본!$KB$4:$KB$369,0), MATCH(CW$4,연료전지_원본!$KB$4:$KX$4,0))*1000</f>
        <v>0</v>
      </c>
      <c r="CX205" s="250">
        <f>INDEX(연료전지_원본!$KB$4:$KX$369,MATCH($A205,연료전지_원본!$KB$4:$KB$369,0), MATCH(CX$4,연료전지_원본!$KB$4:$KX$4,0))*1000</f>
        <v>0</v>
      </c>
      <c r="CY205" s="250">
        <f>INDEX(연료전지_원본!$KB$4:$KX$369,MATCH($A205,연료전지_원본!$KB$4:$KB$369,0), MATCH(CY$4,연료전지_원본!$KB$4:$KX$4,0))*1000</f>
        <v>0</v>
      </c>
      <c r="DV205" s="30">
        <f t="shared" si="954"/>
        <v>0</v>
      </c>
    </row>
    <row r="206" spans="1:126">
      <c r="A206" s="6">
        <v>46223</v>
      </c>
      <c r="B206" s="15">
        <f>운전실적_원본!B206</f>
        <v>0</v>
      </c>
      <c r="C206" s="16" t="str">
        <f t="shared" si="960"/>
        <v/>
      </c>
      <c r="D206" s="12">
        <f>운전실적_원본!C206</f>
        <v>0</v>
      </c>
      <c r="E206" s="12" t="str">
        <f t="shared" si="961"/>
        <v/>
      </c>
      <c r="F206" s="12">
        <f>운전실적_원본!D206</f>
        <v>0</v>
      </c>
      <c r="G206" s="16" t="str">
        <f t="shared" si="962"/>
        <v/>
      </c>
      <c r="H206" s="15">
        <f>운전실적_원본!E206</f>
        <v>0</v>
      </c>
      <c r="I206" s="16" t="str">
        <f t="shared" si="963"/>
        <v/>
      </c>
      <c r="J206" s="15">
        <f>운전실적_원본!F206</f>
        <v>0</v>
      </c>
      <c r="K206" s="16" t="str">
        <f t="shared" si="963"/>
        <v/>
      </c>
      <c r="L206" s="32">
        <f>운전실적_원본!G206</f>
        <v>0</v>
      </c>
      <c r="M206" s="31" t="str">
        <f t="shared" ref="M206" si="1160">IF(OR(LEN(L206)=0,L206=0),"",L206-L205)</f>
        <v/>
      </c>
      <c r="N206" s="15">
        <f>운전실적_원본!H206</f>
        <v>0</v>
      </c>
      <c r="O206" s="16" t="str">
        <f t="shared" ref="O206" si="1161">IF(OR(LEN(N206)=0,N206=0),"",N206-N205)</f>
        <v/>
      </c>
      <c r="P206" s="15">
        <f>운전실적_원본!I206</f>
        <v>0</v>
      </c>
      <c r="Q206" s="16" t="str">
        <f t="shared" ref="Q206" si="1162">IF(OR(LEN(P206)=0,P206=0),"",P206-P205)</f>
        <v/>
      </c>
      <c r="R206" s="18">
        <f>운전실적_원본!J206</f>
        <v>0</v>
      </c>
      <c r="S206" s="19" t="str">
        <f t="shared" ref="S206" si="1163">IF(OR(LEN(R206)=0,R206=0),"",R206-R205)</f>
        <v/>
      </c>
      <c r="T206" s="18">
        <f>운전실적_원본!K206</f>
        <v>0</v>
      </c>
      <c r="U206" s="19" t="str">
        <f t="shared" si="968"/>
        <v/>
      </c>
      <c r="V206" s="12">
        <f>운전실적_원본!L206</f>
        <v>0</v>
      </c>
      <c r="W206" s="16" t="str">
        <f t="shared" ref="W206" si="1164">IF(OR(LEN(V206)=0,V206=0),"",V206-V205)</f>
        <v/>
      </c>
      <c r="X206" s="10">
        <f>운전실적_원본!M206</f>
        <v>0</v>
      </c>
      <c r="Y206" s="10">
        <f>운전실적_원본!N206</f>
        <v>0</v>
      </c>
      <c r="Z206" s="10">
        <f>운전실적_원본!O206</f>
        <v>0</v>
      </c>
      <c r="AA206" s="10">
        <f>운전실적_원본!P206</f>
        <v>0</v>
      </c>
      <c r="AB206" s="10">
        <f>운전실적_원본!Q206</f>
        <v>0</v>
      </c>
      <c r="AC206" s="20">
        <f>운전실적_원본!R206</f>
        <v>0</v>
      </c>
      <c r="AD206" s="109">
        <f>운전실적_원본!S206</f>
        <v>0</v>
      </c>
      <c r="AE206" s="110">
        <f>운전실적_원본!T206</f>
        <v>0</v>
      </c>
      <c r="AF206" s="110">
        <f>운전실적_원본!U206</f>
        <v>0</v>
      </c>
      <c r="AG206" s="110">
        <f>운전실적_원본!V206</f>
        <v>0</v>
      </c>
      <c r="AH206" s="109">
        <f t="shared" si="1122"/>
        <v>0</v>
      </c>
      <c r="AI206" s="110">
        <f t="shared" si="1129"/>
        <v>0</v>
      </c>
      <c r="AJ206" s="110">
        <f>운전실적_원본!Y206</f>
        <v>0</v>
      </c>
      <c r="AK206" s="110">
        <f>운전실적_원본!Z206</f>
        <v>0</v>
      </c>
      <c r="AL206" s="106"/>
      <c r="AM206" s="105"/>
      <c r="AN206" s="105"/>
      <c r="AO206" s="105"/>
      <c r="AP206" s="105"/>
      <c r="AQ206" s="108"/>
      <c r="AR206" s="105"/>
      <c r="AS206" s="105"/>
      <c r="AT206" s="102"/>
      <c r="AU206" s="102"/>
      <c r="AV206" s="102"/>
      <c r="AW206" s="102"/>
      <c r="AX206" s="32">
        <f>운전실적_원본!W206</f>
        <v>0</v>
      </c>
      <c r="AY206" s="11">
        <f>운전실적_원본!X206</f>
        <v>0</v>
      </c>
      <c r="AZ206" s="11">
        <f>운전실적_원본!Y206</f>
        <v>0</v>
      </c>
      <c r="BA206" s="11">
        <f>운전실적_원본!Z206</f>
        <v>0</v>
      </c>
      <c r="BB206" s="11">
        <f>운전실적_원본!AA206</f>
        <v>0</v>
      </c>
      <c r="BC206" s="11">
        <f>운전실적_원본!AB206</f>
        <v>0</v>
      </c>
      <c r="BD206" s="32" t="str">
        <f t="shared" si="1115"/>
        <v>-</v>
      </c>
      <c r="BE206" s="11" t="str">
        <f t="shared" si="1123"/>
        <v>-</v>
      </c>
      <c r="BF206" s="11">
        <f>운전실적_원본!AE206</f>
        <v>0</v>
      </c>
      <c r="BG206" s="31">
        <f t="shared" si="1116"/>
        <v>0</v>
      </c>
      <c r="BH206" s="241">
        <f>INDEX(연료전지_원본!$A$4:$KY$369,MATCH($A206,연료전지_원본!$A$4:$A$369,0),MATCH($BH$4,연료전지_원본!$A$4:$KY$4,0))</f>
        <v>0</v>
      </c>
      <c r="BI206" s="241">
        <f>INDEX(연료전지_원본!$A$4:$KY$369,MATCH($A206,연료전지_원본!$A$4:$A$369,0),MATCH($BI$4,연료전지_원본!$A$4:$KY$4,0))</f>
        <v>0</v>
      </c>
      <c r="BJ206" s="241">
        <f>INDEX(연료전지_원본!$A$4:$KY$369,MATCH($A206,연료전지_원본!$A$4:$A$369,0),MATCH($BJ$4,연료전지_원본!$A$4:$KY$4,0))</f>
        <v>0</v>
      </c>
      <c r="BK206" s="241">
        <f>INDEX(연료전지_원본!$A$4:$KY$369,MATCH($A206,연료전지_원본!$A$4:$A$369,0),MATCH($BK$4,연료전지_원본!$A$4:$KY$4,0))</f>
        <v>0</v>
      </c>
      <c r="BL206" s="241">
        <f>INDEX(연료전지_원본!$A$4:$KY$369,MATCH($A206,연료전지_원본!$A$4:$A$369,0),MATCH($BL$4,연료전지_원본!$A$4:$KY$4,0))</f>
        <v>0</v>
      </c>
      <c r="BM206" s="241">
        <f>INDEX(연료전지_원본!$A$4:$KY$369,MATCH($A206,연료전지_원본!$A$4:$A$369,0),MATCH($BM$4,연료전지_원본!$A$4:$KY$4,0))</f>
        <v>0</v>
      </c>
      <c r="BN206" s="241">
        <f>INDEX(연료전지_원본!$A$4:$KY$369,MATCH($A206,연료전지_원본!$A$4:$A$369,0),MATCH($BN$4,연료전지_원본!$A$4:$KY$4,0))</f>
        <v>0</v>
      </c>
      <c r="BO206" s="241">
        <f>INDEX(연료전지_원본!$A$4:$KY$369,MATCH($A206,연료전지_원본!$A$4:$A$369,0),MATCH($BO$4,연료전지_원본!$A$4:$KY$4,0))</f>
        <v>0</v>
      </c>
      <c r="BP206" s="241">
        <f>INDEX(연료전지_원본!$A$4:$KY$369,MATCH($A206,연료전지_원본!$A$4:$A$369,0),MATCH($BP$4,연료전지_원본!$A$4:$KY$4,0))</f>
        <v>0</v>
      </c>
      <c r="BQ206" s="241">
        <f>INDEX(연료전지_원본!$A$4:$KY$369,MATCH($A206,연료전지_원본!$A$4:$A$369,0),MATCH($BQ$4,연료전지_원본!$A$4:$KY$4,0))</f>
        <v>0</v>
      </c>
      <c r="BR206" s="241">
        <f>INDEX(연료전지_원본!$A$4:$KY$369,MATCH($A206,연료전지_원본!$A$4:$A$369,0),MATCH($BR$4,연료전지_원본!$A$4:$KY$4,0))</f>
        <v>0</v>
      </c>
      <c r="BS206" s="241">
        <f>INDEX(연료전지_원본!$A$4:$KY$369,MATCH($A206,연료전지_원본!$A$4:$A$369,0),MATCH($BS$4,연료전지_원본!$A$4:$KY$4,0))</f>
        <v>0</v>
      </c>
      <c r="BT206" s="241">
        <f>INDEX(연료전지_원본!$A$4:$KY$369,MATCH($A206,연료전지_원본!$A$4:$A$369,0),MATCH($BT$4,연료전지_원본!$A$4:$KY$4,0))</f>
        <v>0</v>
      </c>
      <c r="BU206" s="241">
        <f>INDEX(연료전지_원본!$A$4:$KY$369,MATCH($A206,연료전지_원본!$A$4:$A$369,0),MATCH($BU$4,연료전지_원본!$A$4:$KY$4,0))</f>
        <v>0</v>
      </c>
      <c r="BV206" s="241">
        <f>INDEX(연료전지_원본!$A$4:$KY$369,MATCH($A206,연료전지_원본!$A$4:$A$369,0),MATCH($BV$4,연료전지_원본!$A$4:$KY$4,0))</f>
        <v>0</v>
      </c>
      <c r="BW206" s="241">
        <f>INDEX(연료전지_원본!$A$4:$KY$369,MATCH($A206,연료전지_원본!$A$4:$A$369,0),MATCH($BW$4,연료전지_원본!$A$4:$KY$4,0))</f>
        <v>0</v>
      </c>
      <c r="BX206" s="241">
        <f>INDEX(연료전지_원본!$A$4:$KY$369,MATCH($A206,연료전지_원본!$A$4:$A$369,0),MATCH($BX$4,연료전지_원본!$A$4:$KY$4,0))</f>
        <v>0</v>
      </c>
      <c r="BY206" s="241">
        <f>INDEX(연료전지_원본!$A$4:$KY$369,MATCH($A206,연료전지_원본!$A$4:$A$369,0),MATCH($BY$4,연료전지_원본!$A$4:$KY$4,0))</f>
        <v>0</v>
      </c>
      <c r="BZ206" s="241">
        <f>INDEX(연료전지_원본!$A$4:$KY$369,MATCH($A206,연료전지_원본!$A$4:$A$369,0),MATCH($BZ$4,연료전지_원본!$A$4:$KY$4,0))</f>
        <v>0</v>
      </c>
      <c r="CA206" s="241">
        <f>INDEX(연료전지_원본!$A$4:$KY$369,MATCH($A206,연료전지_원본!$A$4:$A$369,0),MATCH($CA$4,연료전지_원본!$A$4:$KY$4,0))</f>
        <v>0</v>
      </c>
      <c r="CB206" s="241">
        <f>INDEX(연료전지_원본!$A$4:$KY$369,MATCH($A206,연료전지_원본!$A$4:$A$369,0),MATCH($CB$4,연료전지_원본!$A$4:$KY$4,0))</f>
        <v>0</v>
      </c>
      <c r="CC206" s="242">
        <f>INDEX(연료전지_원본!$A$4:$KY$369,MATCH($A206,연료전지_원본!$A$4:$A$369,0),MATCH($CC$4,연료전지_원본!$A$4:$KY$4,0))</f>
        <v>0</v>
      </c>
      <c r="CD206" s="250">
        <f>INDEX(연료전지_원본!$KB$4:$KX$369,MATCH($A206,연료전지_원본!$KB$4:$KB$369,0), MATCH(CD$4,연료전지_원본!$KB$4:$KX$4,0))*1000</f>
        <v>0</v>
      </c>
      <c r="CE206" s="250">
        <f>INDEX(연료전지_원본!$KB$4:$KX$369,MATCH($A206,연료전지_원본!$KB$4:$KB$369,0), MATCH(CE$4,연료전지_원본!$KB$4:$KX$4,0))*1000</f>
        <v>0</v>
      </c>
      <c r="CF206" s="250">
        <f>INDEX(연료전지_원본!$KB$4:$KX$369,MATCH($A206,연료전지_원본!$KB$4:$KB$369,0), MATCH(CF$4,연료전지_원본!$KB$4:$KX$4,0))*1000</f>
        <v>0</v>
      </c>
      <c r="CG206" s="250">
        <f>INDEX(연료전지_원본!$KB$4:$KX$369,MATCH($A206,연료전지_원본!$KB$4:$KB$369,0), MATCH(CG$4,연료전지_원본!$KB$4:$KX$4,0))*1000</f>
        <v>0</v>
      </c>
      <c r="CH206" s="250">
        <f>INDEX(연료전지_원본!$KB$4:$KX$369,MATCH($A206,연료전지_원본!$KB$4:$KB$369,0), MATCH(CH$4,연료전지_원본!$KB$4:$KX$4,0))*1000</f>
        <v>0</v>
      </c>
      <c r="CI206" s="250">
        <f>INDEX(연료전지_원본!$KB$4:$KX$369,MATCH($A206,연료전지_원본!$KB$4:$KB$369,0), MATCH(CI$4,연료전지_원본!$KB$4:$KX$4,0))*1000</f>
        <v>0</v>
      </c>
      <c r="CJ206" s="250">
        <f>INDEX(연료전지_원본!$KB$4:$KX$369,MATCH($A206,연료전지_원본!$KB$4:$KB$369,0), MATCH(CJ$4,연료전지_원본!$KB$4:$KX$4,0))*1000</f>
        <v>0</v>
      </c>
      <c r="CK206" s="250">
        <f>INDEX(연료전지_원본!$KB$4:$KX$369,MATCH($A206,연료전지_원본!$KB$4:$KB$369,0), MATCH(CK$4,연료전지_원본!$KB$4:$KX$4,0))*1000</f>
        <v>0</v>
      </c>
      <c r="CL206" s="250">
        <f>INDEX(연료전지_원본!$KB$4:$KX$369,MATCH($A206,연료전지_원본!$KB$4:$KB$369,0), MATCH(CL$4,연료전지_원본!$KB$4:$KX$4,0))*1000</f>
        <v>0</v>
      </c>
      <c r="CM206" s="250">
        <f>INDEX(연료전지_원본!$KB$4:$KX$369,MATCH($A206,연료전지_원본!$KB$4:$KB$369,0), MATCH(CM$4,연료전지_원본!$KB$4:$KX$4,0))*1000</f>
        <v>0</v>
      </c>
      <c r="CN206" s="250">
        <f>INDEX(연료전지_원본!$KB$4:$KX$369,MATCH($A206,연료전지_원본!$KB$4:$KB$369,0), MATCH(CN$4,연료전지_원본!$KB$4:$KX$4,0))*1000</f>
        <v>0</v>
      </c>
      <c r="CO206" s="250">
        <f>INDEX(연료전지_원본!$KB$4:$KX$369,MATCH($A206,연료전지_원본!$KB$4:$KB$369,0), MATCH(CO$4,연료전지_원본!$KB$4:$KX$4,0))*1000</f>
        <v>0</v>
      </c>
      <c r="CP206" s="250">
        <f>INDEX(연료전지_원본!$KB$4:$KX$369,MATCH($A206,연료전지_원본!$KB$4:$KB$369,0), MATCH(CP$4,연료전지_원본!$KB$4:$KX$4,0))*1000</f>
        <v>0</v>
      </c>
      <c r="CQ206" s="250">
        <f>INDEX(연료전지_원본!$KB$4:$KX$369,MATCH($A206,연료전지_원본!$KB$4:$KB$369,0), MATCH(CQ$4,연료전지_원본!$KB$4:$KX$4,0))*1000</f>
        <v>0</v>
      </c>
      <c r="CR206" s="250">
        <f>INDEX(연료전지_원본!$KB$4:$KX$369,MATCH($A206,연료전지_원본!$KB$4:$KB$369,0), MATCH(CR$4,연료전지_원본!$KB$4:$KX$4,0))*1000</f>
        <v>0</v>
      </c>
      <c r="CS206" s="250">
        <f>INDEX(연료전지_원본!$KB$4:$KX$369,MATCH($A206,연료전지_원본!$KB$4:$KB$369,0), MATCH(CS$4,연료전지_원본!$KB$4:$KX$4,0))*1000</f>
        <v>0</v>
      </c>
      <c r="CT206" s="250">
        <f>INDEX(연료전지_원본!$KB$4:$KX$369,MATCH($A206,연료전지_원본!$KB$4:$KB$369,0), MATCH(CT$4,연료전지_원본!$KB$4:$KX$4,0))*1000</f>
        <v>0</v>
      </c>
      <c r="CU206" s="250">
        <f>INDEX(연료전지_원본!$KB$4:$KX$369,MATCH($A206,연료전지_원본!$KB$4:$KB$369,0), MATCH(CU$4,연료전지_원본!$KB$4:$KX$4,0))*1000</f>
        <v>0</v>
      </c>
      <c r="CV206" s="250">
        <f>INDEX(연료전지_원본!$KB$4:$KX$369,MATCH($A206,연료전지_원본!$KB$4:$KB$369,0), MATCH(CV$4,연료전지_원본!$KB$4:$KX$4,0))*1000</f>
        <v>0</v>
      </c>
      <c r="CW206" s="250">
        <f>INDEX(연료전지_원본!$KB$4:$KX$369,MATCH($A206,연료전지_원본!$KB$4:$KB$369,0), MATCH(CW$4,연료전지_원본!$KB$4:$KX$4,0))*1000</f>
        <v>0</v>
      </c>
      <c r="CX206" s="250">
        <f>INDEX(연료전지_원본!$KB$4:$KX$369,MATCH($A206,연료전지_원본!$KB$4:$KB$369,0), MATCH(CX$4,연료전지_원본!$KB$4:$KX$4,0))*1000</f>
        <v>0</v>
      </c>
      <c r="CY206" s="250">
        <f>INDEX(연료전지_원본!$KB$4:$KX$369,MATCH($A206,연료전지_원본!$KB$4:$KB$369,0), MATCH(CY$4,연료전지_원본!$KB$4:$KX$4,0))*1000</f>
        <v>0</v>
      </c>
      <c r="DV206" s="30">
        <f t="shared" si="954"/>
        <v>0</v>
      </c>
    </row>
    <row r="207" spans="1:126">
      <c r="A207" s="6">
        <v>46224</v>
      </c>
      <c r="B207" s="15">
        <f>운전실적_원본!B207</f>
        <v>0</v>
      </c>
      <c r="C207" s="16" t="str">
        <f t="shared" si="960"/>
        <v/>
      </c>
      <c r="D207" s="12">
        <f>운전실적_원본!C207</f>
        <v>0</v>
      </c>
      <c r="E207" s="12" t="str">
        <f t="shared" si="961"/>
        <v/>
      </c>
      <c r="F207" s="12">
        <f>운전실적_원본!D207</f>
        <v>0</v>
      </c>
      <c r="G207" s="16" t="str">
        <f t="shared" si="962"/>
        <v/>
      </c>
      <c r="H207" s="15">
        <f>운전실적_원본!E207</f>
        <v>0</v>
      </c>
      <c r="I207" s="16" t="str">
        <f t="shared" si="963"/>
        <v/>
      </c>
      <c r="J207" s="15">
        <f>운전실적_원본!F207</f>
        <v>0</v>
      </c>
      <c r="K207" s="16" t="str">
        <f t="shared" si="963"/>
        <v/>
      </c>
      <c r="L207" s="32">
        <f>운전실적_원본!G207</f>
        <v>0</v>
      </c>
      <c r="M207" s="31" t="str">
        <f t="shared" ref="M207" si="1165">IF(OR(LEN(L207)=0,L207=0),"",L207-L206)</f>
        <v/>
      </c>
      <c r="N207" s="15">
        <f>운전실적_원본!H207</f>
        <v>0</v>
      </c>
      <c r="O207" s="16" t="str">
        <f t="shared" ref="O207" si="1166">IF(OR(LEN(N207)=0,N207=0),"",N207-N206)</f>
        <v/>
      </c>
      <c r="P207" s="15">
        <f>운전실적_원본!I207</f>
        <v>0</v>
      </c>
      <c r="Q207" s="16" t="str">
        <f t="shared" ref="Q207" si="1167">IF(OR(LEN(P207)=0,P207=0),"",P207-P206)</f>
        <v/>
      </c>
      <c r="R207" s="18">
        <f>운전실적_원본!J207</f>
        <v>0</v>
      </c>
      <c r="S207" s="19" t="str">
        <f t="shared" ref="S207" si="1168">IF(OR(LEN(R207)=0,R207=0),"",R207-R206)</f>
        <v/>
      </c>
      <c r="T207" s="18">
        <f>운전실적_원본!K207</f>
        <v>0</v>
      </c>
      <c r="U207" s="19" t="str">
        <f t="shared" si="968"/>
        <v/>
      </c>
      <c r="V207" s="12">
        <f>운전실적_원본!L207</f>
        <v>0</v>
      </c>
      <c r="W207" s="16" t="str">
        <f t="shared" ref="W207" si="1169">IF(OR(LEN(V207)=0,V207=0),"",V207-V206)</f>
        <v/>
      </c>
      <c r="X207" s="10">
        <f>운전실적_원본!M207</f>
        <v>0</v>
      </c>
      <c r="Y207" s="10">
        <f>운전실적_원본!N207</f>
        <v>0</v>
      </c>
      <c r="Z207" s="10">
        <f>운전실적_원본!O207</f>
        <v>0</v>
      </c>
      <c r="AA207" s="10">
        <f>운전실적_원본!P207</f>
        <v>0</v>
      </c>
      <c r="AB207" s="10">
        <f>운전실적_원본!Q207</f>
        <v>0</v>
      </c>
      <c r="AC207" s="20">
        <f>운전실적_원본!R207</f>
        <v>0</v>
      </c>
      <c r="AD207" s="109">
        <f>운전실적_원본!S207</f>
        <v>0</v>
      </c>
      <c r="AE207" s="110">
        <f>운전실적_원본!T207</f>
        <v>0</v>
      </c>
      <c r="AF207" s="110">
        <f>운전실적_원본!U207</f>
        <v>0</v>
      </c>
      <c r="AG207" s="110">
        <f>운전실적_원본!V207</f>
        <v>0</v>
      </c>
      <c r="AH207" s="109">
        <f t="shared" si="1122"/>
        <v>0</v>
      </c>
      <c r="AI207" s="110">
        <f t="shared" si="1129"/>
        <v>0</v>
      </c>
      <c r="AJ207" s="110">
        <f>운전실적_원본!Y207</f>
        <v>0</v>
      </c>
      <c r="AK207" s="110">
        <f>운전실적_원본!Z207</f>
        <v>0</v>
      </c>
      <c r="AL207" s="106"/>
      <c r="AM207" s="105"/>
      <c r="AN207" s="105"/>
      <c r="AO207" s="105"/>
      <c r="AP207" s="105"/>
      <c r="AQ207" s="108"/>
      <c r="AR207" s="105"/>
      <c r="AS207" s="105"/>
      <c r="AT207" s="102"/>
      <c r="AU207" s="102"/>
      <c r="AV207" s="102"/>
      <c r="AW207" s="102"/>
      <c r="AX207" s="32">
        <f>운전실적_원본!W207</f>
        <v>0</v>
      </c>
      <c r="AY207" s="11">
        <f>운전실적_원본!X207</f>
        <v>0</v>
      </c>
      <c r="AZ207" s="11">
        <f>운전실적_원본!Y207</f>
        <v>0</v>
      </c>
      <c r="BA207" s="11">
        <f>운전실적_원본!Z207</f>
        <v>0</v>
      </c>
      <c r="BB207" s="11">
        <f>운전실적_원본!AA207</f>
        <v>0</v>
      </c>
      <c r="BC207" s="11">
        <f>운전실적_원본!AB207</f>
        <v>0</v>
      </c>
      <c r="BD207" s="32" t="str">
        <f t="shared" si="1115"/>
        <v>-</v>
      </c>
      <c r="BE207" s="11" t="str">
        <f t="shared" si="1123"/>
        <v>-</v>
      </c>
      <c r="BF207" s="11">
        <f>운전실적_원본!AE207</f>
        <v>0</v>
      </c>
      <c r="BG207" s="31">
        <f t="shared" si="1116"/>
        <v>0</v>
      </c>
      <c r="BH207" s="241">
        <f>INDEX(연료전지_원본!$A$4:$KY$369,MATCH($A207,연료전지_원본!$A$4:$A$369,0),MATCH($BH$4,연료전지_원본!$A$4:$KY$4,0))</f>
        <v>0</v>
      </c>
      <c r="BI207" s="241">
        <f>INDEX(연료전지_원본!$A$4:$KY$369,MATCH($A207,연료전지_원본!$A$4:$A$369,0),MATCH($BI$4,연료전지_원본!$A$4:$KY$4,0))</f>
        <v>0</v>
      </c>
      <c r="BJ207" s="241">
        <f>INDEX(연료전지_원본!$A$4:$KY$369,MATCH($A207,연료전지_원본!$A$4:$A$369,0),MATCH($BJ$4,연료전지_원본!$A$4:$KY$4,0))</f>
        <v>0</v>
      </c>
      <c r="BK207" s="241">
        <f>INDEX(연료전지_원본!$A$4:$KY$369,MATCH($A207,연료전지_원본!$A$4:$A$369,0),MATCH($BK$4,연료전지_원본!$A$4:$KY$4,0))</f>
        <v>0</v>
      </c>
      <c r="BL207" s="241">
        <f>INDEX(연료전지_원본!$A$4:$KY$369,MATCH($A207,연료전지_원본!$A$4:$A$369,0),MATCH($BL$4,연료전지_원본!$A$4:$KY$4,0))</f>
        <v>0</v>
      </c>
      <c r="BM207" s="241">
        <f>INDEX(연료전지_원본!$A$4:$KY$369,MATCH($A207,연료전지_원본!$A$4:$A$369,0),MATCH($BM$4,연료전지_원본!$A$4:$KY$4,0))</f>
        <v>0</v>
      </c>
      <c r="BN207" s="241">
        <f>INDEX(연료전지_원본!$A$4:$KY$369,MATCH($A207,연료전지_원본!$A$4:$A$369,0),MATCH($BN$4,연료전지_원본!$A$4:$KY$4,0))</f>
        <v>0</v>
      </c>
      <c r="BO207" s="241">
        <f>INDEX(연료전지_원본!$A$4:$KY$369,MATCH($A207,연료전지_원본!$A$4:$A$369,0),MATCH($BO$4,연료전지_원본!$A$4:$KY$4,0))</f>
        <v>0</v>
      </c>
      <c r="BP207" s="241">
        <f>INDEX(연료전지_원본!$A$4:$KY$369,MATCH($A207,연료전지_원본!$A$4:$A$369,0),MATCH($BP$4,연료전지_원본!$A$4:$KY$4,0))</f>
        <v>0</v>
      </c>
      <c r="BQ207" s="241">
        <f>INDEX(연료전지_원본!$A$4:$KY$369,MATCH($A207,연료전지_원본!$A$4:$A$369,0),MATCH($BQ$4,연료전지_원본!$A$4:$KY$4,0))</f>
        <v>0</v>
      </c>
      <c r="BR207" s="241">
        <f>INDEX(연료전지_원본!$A$4:$KY$369,MATCH($A207,연료전지_원본!$A$4:$A$369,0),MATCH($BR$4,연료전지_원본!$A$4:$KY$4,0))</f>
        <v>0</v>
      </c>
      <c r="BS207" s="241">
        <f>INDEX(연료전지_원본!$A$4:$KY$369,MATCH($A207,연료전지_원본!$A$4:$A$369,0),MATCH($BS$4,연료전지_원본!$A$4:$KY$4,0))</f>
        <v>0</v>
      </c>
      <c r="BT207" s="241">
        <f>INDEX(연료전지_원본!$A$4:$KY$369,MATCH($A207,연료전지_원본!$A$4:$A$369,0),MATCH($BT$4,연료전지_원본!$A$4:$KY$4,0))</f>
        <v>0</v>
      </c>
      <c r="BU207" s="241">
        <f>INDEX(연료전지_원본!$A$4:$KY$369,MATCH($A207,연료전지_원본!$A$4:$A$369,0),MATCH($BU$4,연료전지_원본!$A$4:$KY$4,0))</f>
        <v>0</v>
      </c>
      <c r="BV207" s="241">
        <f>INDEX(연료전지_원본!$A$4:$KY$369,MATCH($A207,연료전지_원본!$A$4:$A$369,0),MATCH($BV$4,연료전지_원본!$A$4:$KY$4,0))</f>
        <v>0</v>
      </c>
      <c r="BW207" s="241">
        <f>INDEX(연료전지_원본!$A$4:$KY$369,MATCH($A207,연료전지_원본!$A$4:$A$369,0),MATCH($BW$4,연료전지_원본!$A$4:$KY$4,0))</f>
        <v>0</v>
      </c>
      <c r="BX207" s="241">
        <f>INDEX(연료전지_원본!$A$4:$KY$369,MATCH($A207,연료전지_원본!$A$4:$A$369,0),MATCH($BX$4,연료전지_원본!$A$4:$KY$4,0))</f>
        <v>0</v>
      </c>
      <c r="BY207" s="241">
        <f>INDEX(연료전지_원본!$A$4:$KY$369,MATCH($A207,연료전지_원본!$A$4:$A$369,0),MATCH($BY$4,연료전지_원본!$A$4:$KY$4,0))</f>
        <v>0</v>
      </c>
      <c r="BZ207" s="241">
        <f>INDEX(연료전지_원본!$A$4:$KY$369,MATCH($A207,연료전지_원본!$A$4:$A$369,0),MATCH($BZ$4,연료전지_원본!$A$4:$KY$4,0))</f>
        <v>0</v>
      </c>
      <c r="CA207" s="241">
        <f>INDEX(연료전지_원본!$A$4:$KY$369,MATCH($A207,연료전지_원본!$A$4:$A$369,0),MATCH($CA$4,연료전지_원본!$A$4:$KY$4,0))</f>
        <v>0</v>
      </c>
      <c r="CB207" s="241">
        <f>INDEX(연료전지_원본!$A$4:$KY$369,MATCH($A207,연료전지_원본!$A$4:$A$369,0),MATCH($CB$4,연료전지_원본!$A$4:$KY$4,0))</f>
        <v>0</v>
      </c>
      <c r="CC207" s="242">
        <f>INDEX(연료전지_원본!$A$4:$KY$369,MATCH($A207,연료전지_원본!$A$4:$A$369,0),MATCH($CC$4,연료전지_원본!$A$4:$KY$4,0))</f>
        <v>0</v>
      </c>
      <c r="CD207" s="250">
        <f>INDEX(연료전지_원본!$KB$4:$KX$369,MATCH($A207,연료전지_원본!$KB$4:$KB$369,0), MATCH(CD$4,연료전지_원본!$KB$4:$KX$4,0))*1000</f>
        <v>0</v>
      </c>
      <c r="CE207" s="250">
        <f>INDEX(연료전지_원본!$KB$4:$KX$369,MATCH($A207,연료전지_원본!$KB$4:$KB$369,0), MATCH(CE$4,연료전지_원본!$KB$4:$KX$4,0))*1000</f>
        <v>0</v>
      </c>
      <c r="CF207" s="250">
        <f>INDEX(연료전지_원본!$KB$4:$KX$369,MATCH($A207,연료전지_원본!$KB$4:$KB$369,0), MATCH(CF$4,연료전지_원본!$KB$4:$KX$4,0))*1000</f>
        <v>0</v>
      </c>
      <c r="CG207" s="250">
        <f>INDEX(연료전지_원본!$KB$4:$KX$369,MATCH($A207,연료전지_원본!$KB$4:$KB$369,0), MATCH(CG$4,연료전지_원본!$KB$4:$KX$4,0))*1000</f>
        <v>0</v>
      </c>
      <c r="CH207" s="250">
        <f>INDEX(연료전지_원본!$KB$4:$KX$369,MATCH($A207,연료전지_원본!$KB$4:$KB$369,0), MATCH(CH$4,연료전지_원본!$KB$4:$KX$4,0))*1000</f>
        <v>0</v>
      </c>
      <c r="CI207" s="250">
        <f>INDEX(연료전지_원본!$KB$4:$KX$369,MATCH($A207,연료전지_원본!$KB$4:$KB$369,0), MATCH(CI$4,연료전지_원본!$KB$4:$KX$4,0))*1000</f>
        <v>0</v>
      </c>
      <c r="CJ207" s="250">
        <f>INDEX(연료전지_원본!$KB$4:$KX$369,MATCH($A207,연료전지_원본!$KB$4:$KB$369,0), MATCH(CJ$4,연료전지_원본!$KB$4:$KX$4,0))*1000</f>
        <v>0</v>
      </c>
      <c r="CK207" s="250">
        <f>INDEX(연료전지_원본!$KB$4:$KX$369,MATCH($A207,연료전지_원본!$KB$4:$KB$369,0), MATCH(CK$4,연료전지_원본!$KB$4:$KX$4,0))*1000</f>
        <v>0</v>
      </c>
      <c r="CL207" s="250">
        <f>INDEX(연료전지_원본!$KB$4:$KX$369,MATCH($A207,연료전지_원본!$KB$4:$KB$369,0), MATCH(CL$4,연료전지_원본!$KB$4:$KX$4,0))*1000</f>
        <v>0</v>
      </c>
      <c r="CM207" s="250">
        <f>INDEX(연료전지_원본!$KB$4:$KX$369,MATCH($A207,연료전지_원본!$KB$4:$KB$369,0), MATCH(CM$4,연료전지_원본!$KB$4:$KX$4,0))*1000</f>
        <v>0</v>
      </c>
      <c r="CN207" s="250">
        <f>INDEX(연료전지_원본!$KB$4:$KX$369,MATCH($A207,연료전지_원본!$KB$4:$KB$369,0), MATCH(CN$4,연료전지_원본!$KB$4:$KX$4,0))*1000</f>
        <v>0</v>
      </c>
      <c r="CO207" s="250">
        <f>INDEX(연료전지_원본!$KB$4:$KX$369,MATCH($A207,연료전지_원본!$KB$4:$KB$369,0), MATCH(CO$4,연료전지_원본!$KB$4:$KX$4,0))*1000</f>
        <v>0</v>
      </c>
      <c r="CP207" s="250">
        <f>INDEX(연료전지_원본!$KB$4:$KX$369,MATCH($A207,연료전지_원본!$KB$4:$KB$369,0), MATCH(CP$4,연료전지_원본!$KB$4:$KX$4,0))*1000</f>
        <v>0</v>
      </c>
      <c r="CQ207" s="250">
        <f>INDEX(연료전지_원본!$KB$4:$KX$369,MATCH($A207,연료전지_원본!$KB$4:$KB$369,0), MATCH(CQ$4,연료전지_원본!$KB$4:$KX$4,0))*1000</f>
        <v>0</v>
      </c>
      <c r="CR207" s="250">
        <f>INDEX(연료전지_원본!$KB$4:$KX$369,MATCH($A207,연료전지_원본!$KB$4:$KB$369,0), MATCH(CR$4,연료전지_원본!$KB$4:$KX$4,0))*1000</f>
        <v>0</v>
      </c>
      <c r="CS207" s="250">
        <f>INDEX(연료전지_원본!$KB$4:$KX$369,MATCH($A207,연료전지_원본!$KB$4:$KB$369,0), MATCH(CS$4,연료전지_원본!$KB$4:$KX$4,0))*1000</f>
        <v>0</v>
      </c>
      <c r="CT207" s="250">
        <f>INDEX(연료전지_원본!$KB$4:$KX$369,MATCH($A207,연료전지_원본!$KB$4:$KB$369,0), MATCH(CT$4,연료전지_원본!$KB$4:$KX$4,0))*1000</f>
        <v>0</v>
      </c>
      <c r="CU207" s="250">
        <f>INDEX(연료전지_원본!$KB$4:$KX$369,MATCH($A207,연료전지_원본!$KB$4:$KB$369,0), MATCH(CU$4,연료전지_원본!$KB$4:$KX$4,0))*1000</f>
        <v>0</v>
      </c>
      <c r="CV207" s="250">
        <f>INDEX(연료전지_원본!$KB$4:$KX$369,MATCH($A207,연료전지_원본!$KB$4:$KB$369,0), MATCH(CV$4,연료전지_원본!$KB$4:$KX$4,0))*1000</f>
        <v>0</v>
      </c>
      <c r="CW207" s="250">
        <f>INDEX(연료전지_원본!$KB$4:$KX$369,MATCH($A207,연료전지_원본!$KB$4:$KB$369,0), MATCH(CW$4,연료전지_원본!$KB$4:$KX$4,0))*1000</f>
        <v>0</v>
      </c>
      <c r="CX207" s="250">
        <f>INDEX(연료전지_원본!$KB$4:$KX$369,MATCH($A207,연료전지_원본!$KB$4:$KB$369,0), MATCH(CX$4,연료전지_원본!$KB$4:$KX$4,0))*1000</f>
        <v>0</v>
      </c>
      <c r="CY207" s="250">
        <f>INDEX(연료전지_원본!$KB$4:$KX$369,MATCH($A207,연료전지_원본!$KB$4:$KB$369,0), MATCH(CY$4,연료전지_원본!$KB$4:$KX$4,0))*1000</f>
        <v>0</v>
      </c>
      <c r="DV207" s="30">
        <f t="shared" si="954"/>
        <v>0</v>
      </c>
    </row>
    <row r="208" spans="1:126">
      <c r="A208" s="6">
        <v>46225</v>
      </c>
      <c r="B208" s="15">
        <f>운전실적_원본!B208</f>
        <v>0</v>
      </c>
      <c r="C208" s="16" t="str">
        <f t="shared" si="960"/>
        <v/>
      </c>
      <c r="D208" s="12">
        <f>운전실적_원본!C208</f>
        <v>0</v>
      </c>
      <c r="E208" s="12" t="str">
        <f t="shared" si="961"/>
        <v/>
      </c>
      <c r="F208" s="12">
        <f>운전실적_원본!D208</f>
        <v>0</v>
      </c>
      <c r="G208" s="16" t="str">
        <f t="shared" si="962"/>
        <v/>
      </c>
      <c r="H208" s="15">
        <f>운전실적_원본!E208</f>
        <v>0</v>
      </c>
      <c r="I208" s="16" t="str">
        <f t="shared" si="963"/>
        <v/>
      </c>
      <c r="J208" s="15">
        <f>운전실적_원본!F208</f>
        <v>0</v>
      </c>
      <c r="K208" s="16" t="str">
        <f t="shared" si="963"/>
        <v/>
      </c>
      <c r="L208" s="32">
        <f>운전실적_원본!G208</f>
        <v>0</v>
      </c>
      <c r="M208" s="31" t="str">
        <f t="shared" ref="M208" si="1170">IF(OR(LEN(L208)=0,L208=0),"",L208-L207)</f>
        <v/>
      </c>
      <c r="N208" s="15">
        <f>운전실적_원본!H208</f>
        <v>0</v>
      </c>
      <c r="O208" s="16" t="str">
        <f t="shared" ref="O208" si="1171">IF(OR(LEN(N208)=0,N208=0),"",N208-N207)</f>
        <v/>
      </c>
      <c r="P208" s="15">
        <f>운전실적_원본!I208</f>
        <v>0</v>
      </c>
      <c r="Q208" s="16" t="str">
        <f t="shared" ref="Q208" si="1172">IF(OR(LEN(P208)=0,P208=0),"",P208-P207)</f>
        <v/>
      </c>
      <c r="R208" s="18">
        <f>운전실적_원본!J208</f>
        <v>0</v>
      </c>
      <c r="S208" s="19" t="str">
        <f t="shared" ref="S208" si="1173">IF(OR(LEN(R208)=0,R208=0),"",R208-R207)</f>
        <v/>
      </c>
      <c r="T208" s="18">
        <f>운전실적_원본!K208</f>
        <v>0</v>
      </c>
      <c r="U208" s="19" t="str">
        <f t="shared" si="968"/>
        <v/>
      </c>
      <c r="V208" s="12">
        <f>운전실적_원본!L208</f>
        <v>0</v>
      </c>
      <c r="W208" s="16" t="str">
        <f t="shared" ref="W208" si="1174">IF(OR(LEN(V208)=0,V208=0),"",V208-V207)</f>
        <v/>
      </c>
      <c r="X208" s="10">
        <f>운전실적_원본!M208</f>
        <v>0</v>
      </c>
      <c r="Y208" s="10">
        <f>운전실적_원본!N208</f>
        <v>0</v>
      </c>
      <c r="Z208" s="10">
        <f>운전실적_원본!O208</f>
        <v>0</v>
      </c>
      <c r="AA208" s="10">
        <f>운전실적_원본!P208</f>
        <v>0</v>
      </c>
      <c r="AB208" s="10">
        <f>운전실적_원본!Q208</f>
        <v>0</v>
      </c>
      <c r="AC208" s="20">
        <f>운전실적_원본!R208</f>
        <v>0</v>
      </c>
      <c r="AD208" s="109">
        <f>운전실적_원본!S208</f>
        <v>0</v>
      </c>
      <c r="AE208" s="110">
        <f>운전실적_원본!T208</f>
        <v>0</v>
      </c>
      <c r="AF208" s="110">
        <f>운전실적_원본!U208</f>
        <v>0</v>
      </c>
      <c r="AG208" s="110">
        <f>운전실적_원본!V208</f>
        <v>0</v>
      </c>
      <c r="AH208" s="109">
        <f t="shared" si="1122"/>
        <v>0</v>
      </c>
      <c r="AI208" s="110">
        <f t="shared" si="1129"/>
        <v>0</v>
      </c>
      <c r="AJ208" s="110">
        <f>운전실적_원본!Y208</f>
        <v>0</v>
      </c>
      <c r="AK208" s="110">
        <f>운전실적_원본!Z208</f>
        <v>0</v>
      </c>
      <c r="AL208" s="106"/>
      <c r="AM208" s="105"/>
      <c r="AN208" s="105"/>
      <c r="AO208" s="105"/>
      <c r="AP208" s="105"/>
      <c r="AQ208" s="108"/>
      <c r="AR208" s="105"/>
      <c r="AS208" s="105"/>
      <c r="AT208" s="102"/>
      <c r="AU208" s="102"/>
      <c r="AV208" s="102"/>
      <c r="AW208" s="102"/>
      <c r="AX208" s="32">
        <f>운전실적_원본!W208</f>
        <v>0</v>
      </c>
      <c r="AY208" s="11">
        <f>운전실적_원본!X208</f>
        <v>0</v>
      </c>
      <c r="AZ208" s="11">
        <f>운전실적_원본!Y208</f>
        <v>0</v>
      </c>
      <c r="BA208" s="11">
        <f>운전실적_원본!Z208</f>
        <v>0</v>
      </c>
      <c r="BB208" s="11">
        <f>운전실적_원본!AA208</f>
        <v>0</v>
      </c>
      <c r="BC208" s="11">
        <f>운전실적_원본!AB208</f>
        <v>0</v>
      </c>
      <c r="BD208" s="32" t="str">
        <f t="shared" si="1115"/>
        <v>-</v>
      </c>
      <c r="BE208" s="11" t="str">
        <f t="shared" si="1123"/>
        <v>-</v>
      </c>
      <c r="BF208" s="11">
        <f>운전실적_원본!AE208</f>
        <v>0</v>
      </c>
      <c r="BG208" s="31">
        <f t="shared" si="1116"/>
        <v>0</v>
      </c>
      <c r="BH208" s="241">
        <f>INDEX(연료전지_원본!$A$4:$KY$369,MATCH($A208,연료전지_원본!$A$4:$A$369,0),MATCH($BH$4,연료전지_원본!$A$4:$KY$4,0))</f>
        <v>0</v>
      </c>
      <c r="BI208" s="241">
        <f>INDEX(연료전지_원본!$A$4:$KY$369,MATCH($A208,연료전지_원본!$A$4:$A$369,0),MATCH($BI$4,연료전지_원본!$A$4:$KY$4,0))</f>
        <v>0</v>
      </c>
      <c r="BJ208" s="241">
        <f>INDEX(연료전지_원본!$A$4:$KY$369,MATCH($A208,연료전지_원본!$A$4:$A$369,0),MATCH($BJ$4,연료전지_원본!$A$4:$KY$4,0))</f>
        <v>0</v>
      </c>
      <c r="BK208" s="241">
        <f>INDEX(연료전지_원본!$A$4:$KY$369,MATCH($A208,연료전지_원본!$A$4:$A$369,0),MATCH($BK$4,연료전지_원본!$A$4:$KY$4,0))</f>
        <v>0</v>
      </c>
      <c r="BL208" s="241">
        <f>INDEX(연료전지_원본!$A$4:$KY$369,MATCH($A208,연료전지_원본!$A$4:$A$369,0),MATCH($BL$4,연료전지_원본!$A$4:$KY$4,0))</f>
        <v>0</v>
      </c>
      <c r="BM208" s="241">
        <f>INDEX(연료전지_원본!$A$4:$KY$369,MATCH($A208,연료전지_원본!$A$4:$A$369,0),MATCH($BM$4,연료전지_원본!$A$4:$KY$4,0))</f>
        <v>0</v>
      </c>
      <c r="BN208" s="241">
        <f>INDEX(연료전지_원본!$A$4:$KY$369,MATCH($A208,연료전지_원본!$A$4:$A$369,0),MATCH($BN$4,연료전지_원본!$A$4:$KY$4,0))</f>
        <v>0</v>
      </c>
      <c r="BO208" s="241">
        <f>INDEX(연료전지_원본!$A$4:$KY$369,MATCH($A208,연료전지_원본!$A$4:$A$369,0),MATCH($BO$4,연료전지_원본!$A$4:$KY$4,0))</f>
        <v>0</v>
      </c>
      <c r="BP208" s="241">
        <f>INDEX(연료전지_원본!$A$4:$KY$369,MATCH($A208,연료전지_원본!$A$4:$A$369,0),MATCH($BP$4,연료전지_원본!$A$4:$KY$4,0))</f>
        <v>0</v>
      </c>
      <c r="BQ208" s="241">
        <f>INDEX(연료전지_원본!$A$4:$KY$369,MATCH($A208,연료전지_원본!$A$4:$A$369,0),MATCH($BQ$4,연료전지_원본!$A$4:$KY$4,0))</f>
        <v>0</v>
      </c>
      <c r="BR208" s="241">
        <f>INDEX(연료전지_원본!$A$4:$KY$369,MATCH($A208,연료전지_원본!$A$4:$A$369,0),MATCH($BR$4,연료전지_원본!$A$4:$KY$4,0))</f>
        <v>0</v>
      </c>
      <c r="BS208" s="241">
        <f>INDEX(연료전지_원본!$A$4:$KY$369,MATCH($A208,연료전지_원본!$A$4:$A$369,0),MATCH($BS$4,연료전지_원본!$A$4:$KY$4,0))</f>
        <v>0</v>
      </c>
      <c r="BT208" s="241">
        <f>INDEX(연료전지_원본!$A$4:$KY$369,MATCH($A208,연료전지_원본!$A$4:$A$369,0),MATCH($BT$4,연료전지_원본!$A$4:$KY$4,0))</f>
        <v>0</v>
      </c>
      <c r="BU208" s="241">
        <f>INDEX(연료전지_원본!$A$4:$KY$369,MATCH($A208,연료전지_원본!$A$4:$A$369,0),MATCH($BU$4,연료전지_원본!$A$4:$KY$4,0))</f>
        <v>0</v>
      </c>
      <c r="BV208" s="241">
        <f>INDEX(연료전지_원본!$A$4:$KY$369,MATCH($A208,연료전지_원본!$A$4:$A$369,0),MATCH($BV$4,연료전지_원본!$A$4:$KY$4,0))</f>
        <v>0</v>
      </c>
      <c r="BW208" s="241">
        <f>INDEX(연료전지_원본!$A$4:$KY$369,MATCH($A208,연료전지_원본!$A$4:$A$369,0),MATCH($BW$4,연료전지_원본!$A$4:$KY$4,0))</f>
        <v>0</v>
      </c>
      <c r="BX208" s="241">
        <f>INDEX(연료전지_원본!$A$4:$KY$369,MATCH($A208,연료전지_원본!$A$4:$A$369,0),MATCH($BX$4,연료전지_원본!$A$4:$KY$4,0))</f>
        <v>0</v>
      </c>
      <c r="BY208" s="241">
        <f>INDEX(연료전지_원본!$A$4:$KY$369,MATCH($A208,연료전지_원본!$A$4:$A$369,0),MATCH($BY$4,연료전지_원본!$A$4:$KY$4,0))</f>
        <v>0</v>
      </c>
      <c r="BZ208" s="241">
        <f>INDEX(연료전지_원본!$A$4:$KY$369,MATCH($A208,연료전지_원본!$A$4:$A$369,0),MATCH($BZ$4,연료전지_원본!$A$4:$KY$4,0))</f>
        <v>0</v>
      </c>
      <c r="CA208" s="241">
        <f>INDEX(연료전지_원본!$A$4:$KY$369,MATCH($A208,연료전지_원본!$A$4:$A$369,0),MATCH($CA$4,연료전지_원본!$A$4:$KY$4,0))</f>
        <v>0</v>
      </c>
      <c r="CB208" s="241">
        <f>INDEX(연료전지_원본!$A$4:$KY$369,MATCH($A208,연료전지_원본!$A$4:$A$369,0),MATCH($CB$4,연료전지_원본!$A$4:$KY$4,0))</f>
        <v>0</v>
      </c>
      <c r="CC208" s="242">
        <f>INDEX(연료전지_원본!$A$4:$KY$369,MATCH($A208,연료전지_원본!$A$4:$A$369,0),MATCH($CC$4,연료전지_원본!$A$4:$KY$4,0))</f>
        <v>0</v>
      </c>
      <c r="CD208" s="250">
        <f>INDEX(연료전지_원본!$KB$4:$KX$369,MATCH($A208,연료전지_원본!$KB$4:$KB$369,0), MATCH(CD$4,연료전지_원본!$KB$4:$KX$4,0))*1000</f>
        <v>0</v>
      </c>
      <c r="CE208" s="250">
        <f>INDEX(연료전지_원본!$KB$4:$KX$369,MATCH($A208,연료전지_원본!$KB$4:$KB$369,0), MATCH(CE$4,연료전지_원본!$KB$4:$KX$4,0))*1000</f>
        <v>0</v>
      </c>
      <c r="CF208" s="250">
        <f>INDEX(연료전지_원본!$KB$4:$KX$369,MATCH($A208,연료전지_원본!$KB$4:$KB$369,0), MATCH(CF$4,연료전지_원본!$KB$4:$KX$4,0))*1000</f>
        <v>0</v>
      </c>
      <c r="CG208" s="250">
        <f>INDEX(연료전지_원본!$KB$4:$KX$369,MATCH($A208,연료전지_원본!$KB$4:$KB$369,0), MATCH(CG$4,연료전지_원본!$KB$4:$KX$4,0))*1000</f>
        <v>0</v>
      </c>
      <c r="CH208" s="250">
        <f>INDEX(연료전지_원본!$KB$4:$KX$369,MATCH($A208,연료전지_원본!$KB$4:$KB$369,0), MATCH(CH$4,연료전지_원본!$KB$4:$KX$4,0))*1000</f>
        <v>0</v>
      </c>
      <c r="CI208" s="250">
        <f>INDEX(연료전지_원본!$KB$4:$KX$369,MATCH($A208,연료전지_원본!$KB$4:$KB$369,0), MATCH(CI$4,연료전지_원본!$KB$4:$KX$4,0))*1000</f>
        <v>0</v>
      </c>
      <c r="CJ208" s="250">
        <f>INDEX(연료전지_원본!$KB$4:$KX$369,MATCH($A208,연료전지_원본!$KB$4:$KB$369,0), MATCH(CJ$4,연료전지_원본!$KB$4:$KX$4,0))*1000</f>
        <v>0</v>
      </c>
      <c r="CK208" s="250">
        <f>INDEX(연료전지_원본!$KB$4:$KX$369,MATCH($A208,연료전지_원본!$KB$4:$KB$369,0), MATCH(CK$4,연료전지_원본!$KB$4:$KX$4,0))*1000</f>
        <v>0</v>
      </c>
      <c r="CL208" s="250">
        <f>INDEX(연료전지_원본!$KB$4:$KX$369,MATCH($A208,연료전지_원본!$KB$4:$KB$369,0), MATCH(CL$4,연료전지_원본!$KB$4:$KX$4,0))*1000</f>
        <v>0</v>
      </c>
      <c r="CM208" s="250">
        <f>INDEX(연료전지_원본!$KB$4:$KX$369,MATCH($A208,연료전지_원본!$KB$4:$KB$369,0), MATCH(CM$4,연료전지_원본!$KB$4:$KX$4,0))*1000</f>
        <v>0</v>
      </c>
      <c r="CN208" s="250">
        <f>INDEX(연료전지_원본!$KB$4:$KX$369,MATCH($A208,연료전지_원본!$KB$4:$KB$369,0), MATCH(CN$4,연료전지_원본!$KB$4:$KX$4,0))*1000</f>
        <v>0</v>
      </c>
      <c r="CO208" s="250">
        <f>INDEX(연료전지_원본!$KB$4:$KX$369,MATCH($A208,연료전지_원본!$KB$4:$KB$369,0), MATCH(CO$4,연료전지_원본!$KB$4:$KX$4,0))*1000</f>
        <v>0</v>
      </c>
      <c r="CP208" s="250">
        <f>INDEX(연료전지_원본!$KB$4:$KX$369,MATCH($A208,연료전지_원본!$KB$4:$KB$369,0), MATCH(CP$4,연료전지_원본!$KB$4:$KX$4,0))*1000</f>
        <v>0</v>
      </c>
      <c r="CQ208" s="250">
        <f>INDEX(연료전지_원본!$KB$4:$KX$369,MATCH($A208,연료전지_원본!$KB$4:$KB$369,0), MATCH(CQ$4,연료전지_원본!$KB$4:$KX$4,0))*1000</f>
        <v>0</v>
      </c>
      <c r="CR208" s="250">
        <f>INDEX(연료전지_원본!$KB$4:$KX$369,MATCH($A208,연료전지_원본!$KB$4:$KB$369,0), MATCH(CR$4,연료전지_원본!$KB$4:$KX$4,0))*1000</f>
        <v>0</v>
      </c>
      <c r="CS208" s="250">
        <f>INDEX(연료전지_원본!$KB$4:$KX$369,MATCH($A208,연료전지_원본!$KB$4:$KB$369,0), MATCH(CS$4,연료전지_원본!$KB$4:$KX$4,0))*1000</f>
        <v>0</v>
      </c>
      <c r="CT208" s="250">
        <f>INDEX(연료전지_원본!$KB$4:$KX$369,MATCH($A208,연료전지_원본!$KB$4:$KB$369,0), MATCH(CT$4,연료전지_원본!$KB$4:$KX$4,0))*1000</f>
        <v>0</v>
      </c>
      <c r="CU208" s="250">
        <f>INDEX(연료전지_원본!$KB$4:$KX$369,MATCH($A208,연료전지_원본!$KB$4:$KB$369,0), MATCH(CU$4,연료전지_원본!$KB$4:$KX$4,0))*1000</f>
        <v>0</v>
      </c>
      <c r="CV208" s="250">
        <f>INDEX(연료전지_원본!$KB$4:$KX$369,MATCH($A208,연료전지_원본!$KB$4:$KB$369,0), MATCH(CV$4,연료전지_원본!$KB$4:$KX$4,0))*1000</f>
        <v>0</v>
      </c>
      <c r="CW208" s="250">
        <f>INDEX(연료전지_원본!$KB$4:$KX$369,MATCH($A208,연료전지_원본!$KB$4:$KB$369,0), MATCH(CW$4,연료전지_원본!$KB$4:$KX$4,0))*1000</f>
        <v>0</v>
      </c>
      <c r="CX208" s="250">
        <f>INDEX(연료전지_원본!$KB$4:$KX$369,MATCH($A208,연료전지_원본!$KB$4:$KB$369,0), MATCH(CX$4,연료전지_원본!$KB$4:$KX$4,0))*1000</f>
        <v>0</v>
      </c>
      <c r="CY208" s="250">
        <f>INDEX(연료전지_원본!$KB$4:$KX$369,MATCH($A208,연료전지_원본!$KB$4:$KB$369,0), MATCH(CY$4,연료전지_원본!$KB$4:$KX$4,0))*1000</f>
        <v>0</v>
      </c>
      <c r="DV208" s="30">
        <f t="shared" si="954"/>
        <v>0</v>
      </c>
    </row>
    <row r="209" spans="1:126">
      <c r="A209" s="6">
        <v>46226</v>
      </c>
      <c r="B209" s="15">
        <f>운전실적_원본!B209</f>
        <v>0</v>
      </c>
      <c r="C209" s="16" t="str">
        <f t="shared" si="960"/>
        <v/>
      </c>
      <c r="D209" s="12">
        <f>운전실적_원본!C209</f>
        <v>0</v>
      </c>
      <c r="E209" s="12" t="str">
        <f t="shared" si="961"/>
        <v/>
      </c>
      <c r="F209" s="12">
        <f>운전실적_원본!D209</f>
        <v>0</v>
      </c>
      <c r="G209" s="16" t="str">
        <f t="shared" si="962"/>
        <v/>
      </c>
      <c r="H209" s="15">
        <f>운전실적_원본!E209</f>
        <v>0</v>
      </c>
      <c r="I209" s="16" t="str">
        <f t="shared" si="963"/>
        <v/>
      </c>
      <c r="J209" s="15">
        <f>운전실적_원본!F209</f>
        <v>0</v>
      </c>
      <c r="K209" s="16" t="str">
        <f t="shared" si="963"/>
        <v/>
      </c>
      <c r="L209" s="32">
        <f>운전실적_원본!G209</f>
        <v>0</v>
      </c>
      <c r="M209" s="31" t="str">
        <f t="shared" ref="M209" si="1175">IF(OR(LEN(L209)=0,L209=0),"",L209-L208)</f>
        <v/>
      </c>
      <c r="N209" s="15">
        <f>운전실적_원본!H209</f>
        <v>0</v>
      </c>
      <c r="O209" s="16" t="str">
        <f t="shared" ref="O209" si="1176">IF(OR(LEN(N209)=0,N209=0),"",N209-N208)</f>
        <v/>
      </c>
      <c r="P209" s="15">
        <f>운전실적_원본!I209</f>
        <v>0</v>
      </c>
      <c r="Q209" s="16" t="str">
        <f t="shared" ref="Q209" si="1177">IF(OR(LEN(P209)=0,P209=0),"",P209-P208)</f>
        <v/>
      </c>
      <c r="R209" s="18">
        <f>운전실적_원본!J209</f>
        <v>0</v>
      </c>
      <c r="S209" s="19" t="str">
        <f t="shared" ref="S209" si="1178">IF(OR(LEN(R209)=0,R209=0),"",R209-R208)</f>
        <v/>
      </c>
      <c r="T209" s="18">
        <f>운전실적_원본!K209</f>
        <v>0</v>
      </c>
      <c r="U209" s="19" t="str">
        <f t="shared" si="968"/>
        <v/>
      </c>
      <c r="V209" s="12">
        <f>운전실적_원본!L209</f>
        <v>0</v>
      </c>
      <c r="W209" s="16" t="str">
        <f t="shared" ref="W209" si="1179">IF(OR(LEN(V209)=0,V209=0),"",V209-V208)</f>
        <v/>
      </c>
      <c r="X209" s="10">
        <f>운전실적_원본!M209</f>
        <v>0</v>
      </c>
      <c r="Y209" s="10">
        <f>운전실적_원본!N209</f>
        <v>0</v>
      </c>
      <c r="Z209" s="10">
        <f>운전실적_원본!O209</f>
        <v>0</v>
      </c>
      <c r="AA209" s="10">
        <f>운전실적_원본!P209</f>
        <v>0</v>
      </c>
      <c r="AB209" s="10">
        <f>운전실적_원본!Q209</f>
        <v>0</v>
      </c>
      <c r="AC209" s="20">
        <f>운전실적_원본!R209</f>
        <v>0</v>
      </c>
      <c r="AD209" s="109">
        <f>운전실적_원본!S209</f>
        <v>0</v>
      </c>
      <c r="AE209" s="110">
        <f>운전실적_원본!T209</f>
        <v>0</v>
      </c>
      <c r="AF209" s="110">
        <f>운전실적_원본!U209</f>
        <v>0</v>
      </c>
      <c r="AG209" s="110">
        <f>운전실적_원본!V209</f>
        <v>0</v>
      </c>
      <c r="AH209" s="109">
        <f t="shared" si="1122"/>
        <v>0</v>
      </c>
      <c r="AI209" s="110">
        <f t="shared" si="1129"/>
        <v>0</v>
      </c>
      <c r="AJ209" s="110">
        <f>운전실적_원본!Y209</f>
        <v>0</v>
      </c>
      <c r="AK209" s="110">
        <f>운전실적_원본!Z209</f>
        <v>0</v>
      </c>
      <c r="AL209" s="106"/>
      <c r="AM209" s="105"/>
      <c r="AN209" s="105"/>
      <c r="AO209" s="105"/>
      <c r="AP209" s="105"/>
      <c r="AQ209" s="108"/>
      <c r="AR209" s="105"/>
      <c r="AS209" s="105"/>
      <c r="AT209" s="102"/>
      <c r="AU209" s="102"/>
      <c r="AV209" s="102"/>
      <c r="AW209" s="102"/>
      <c r="AX209" s="32">
        <f>운전실적_원본!W209</f>
        <v>0</v>
      </c>
      <c r="AY209" s="11">
        <f>운전실적_원본!X209</f>
        <v>0</v>
      </c>
      <c r="AZ209" s="11">
        <f>운전실적_원본!Y209</f>
        <v>0</v>
      </c>
      <c r="BA209" s="11">
        <f>운전실적_원본!Z209</f>
        <v>0</v>
      </c>
      <c r="BB209" s="11">
        <f>운전실적_원본!AA209</f>
        <v>0</v>
      </c>
      <c r="BC209" s="11">
        <f>운전실적_원본!AB209</f>
        <v>0</v>
      </c>
      <c r="BD209" s="32" t="str">
        <f t="shared" si="1115"/>
        <v>-</v>
      </c>
      <c r="BE209" s="11" t="str">
        <f t="shared" si="1123"/>
        <v>-</v>
      </c>
      <c r="BF209" s="11">
        <f>운전실적_원본!AE209</f>
        <v>0</v>
      </c>
      <c r="BG209" s="31">
        <f t="shared" si="1116"/>
        <v>0</v>
      </c>
      <c r="BH209" s="241">
        <f>INDEX(연료전지_원본!$A$4:$KY$369,MATCH($A209,연료전지_원본!$A$4:$A$369,0),MATCH($BH$4,연료전지_원본!$A$4:$KY$4,0))</f>
        <v>0</v>
      </c>
      <c r="BI209" s="241">
        <f>INDEX(연료전지_원본!$A$4:$KY$369,MATCH($A209,연료전지_원본!$A$4:$A$369,0),MATCH($BI$4,연료전지_원본!$A$4:$KY$4,0))</f>
        <v>0</v>
      </c>
      <c r="BJ209" s="241">
        <f>INDEX(연료전지_원본!$A$4:$KY$369,MATCH($A209,연료전지_원본!$A$4:$A$369,0),MATCH($BJ$4,연료전지_원본!$A$4:$KY$4,0))</f>
        <v>0</v>
      </c>
      <c r="BK209" s="241">
        <f>INDEX(연료전지_원본!$A$4:$KY$369,MATCH($A209,연료전지_원본!$A$4:$A$369,0),MATCH($BK$4,연료전지_원본!$A$4:$KY$4,0))</f>
        <v>0</v>
      </c>
      <c r="BL209" s="241">
        <f>INDEX(연료전지_원본!$A$4:$KY$369,MATCH($A209,연료전지_원본!$A$4:$A$369,0),MATCH($BL$4,연료전지_원본!$A$4:$KY$4,0))</f>
        <v>0</v>
      </c>
      <c r="BM209" s="241">
        <f>INDEX(연료전지_원본!$A$4:$KY$369,MATCH($A209,연료전지_원본!$A$4:$A$369,0),MATCH($BM$4,연료전지_원본!$A$4:$KY$4,0))</f>
        <v>0</v>
      </c>
      <c r="BN209" s="241">
        <f>INDEX(연료전지_원본!$A$4:$KY$369,MATCH($A209,연료전지_원본!$A$4:$A$369,0),MATCH($BN$4,연료전지_원본!$A$4:$KY$4,0))</f>
        <v>0</v>
      </c>
      <c r="BO209" s="241">
        <f>INDEX(연료전지_원본!$A$4:$KY$369,MATCH($A209,연료전지_원본!$A$4:$A$369,0),MATCH($BO$4,연료전지_원본!$A$4:$KY$4,0))</f>
        <v>0</v>
      </c>
      <c r="BP209" s="241">
        <f>INDEX(연료전지_원본!$A$4:$KY$369,MATCH($A209,연료전지_원본!$A$4:$A$369,0),MATCH($BP$4,연료전지_원본!$A$4:$KY$4,0))</f>
        <v>0</v>
      </c>
      <c r="BQ209" s="241">
        <f>INDEX(연료전지_원본!$A$4:$KY$369,MATCH($A209,연료전지_원본!$A$4:$A$369,0),MATCH($BQ$4,연료전지_원본!$A$4:$KY$4,0))</f>
        <v>0</v>
      </c>
      <c r="BR209" s="241">
        <f>INDEX(연료전지_원본!$A$4:$KY$369,MATCH($A209,연료전지_원본!$A$4:$A$369,0),MATCH($BR$4,연료전지_원본!$A$4:$KY$4,0))</f>
        <v>0</v>
      </c>
      <c r="BS209" s="241">
        <f>INDEX(연료전지_원본!$A$4:$KY$369,MATCH($A209,연료전지_원본!$A$4:$A$369,0),MATCH($BS$4,연료전지_원본!$A$4:$KY$4,0))</f>
        <v>0</v>
      </c>
      <c r="BT209" s="241">
        <f>INDEX(연료전지_원본!$A$4:$KY$369,MATCH($A209,연료전지_원본!$A$4:$A$369,0),MATCH($BT$4,연료전지_원본!$A$4:$KY$4,0))</f>
        <v>0</v>
      </c>
      <c r="BU209" s="241">
        <f>INDEX(연료전지_원본!$A$4:$KY$369,MATCH($A209,연료전지_원본!$A$4:$A$369,0),MATCH($BU$4,연료전지_원본!$A$4:$KY$4,0))</f>
        <v>0</v>
      </c>
      <c r="BV209" s="241">
        <f>INDEX(연료전지_원본!$A$4:$KY$369,MATCH($A209,연료전지_원본!$A$4:$A$369,0),MATCH($BV$4,연료전지_원본!$A$4:$KY$4,0))</f>
        <v>0</v>
      </c>
      <c r="BW209" s="241">
        <f>INDEX(연료전지_원본!$A$4:$KY$369,MATCH($A209,연료전지_원본!$A$4:$A$369,0),MATCH($BW$4,연료전지_원본!$A$4:$KY$4,0))</f>
        <v>0</v>
      </c>
      <c r="BX209" s="241">
        <f>INDEX(연료전지_원본!$A$4:$KY$369,MATCH($A209,연료전지_원본!$A$4:$A$369,0),MATCH($BX$4,연료전지_원본!$A$4:$KY$4,0))</f>
        <v>0</v>
      </c>
      <c r="BY209" s="241">
        <f>INDEX(연료전지_원본!$A$4:$KY$369,MATCH($A209,연료전지_원본!$A$4:$A$369,0),MATCH($BY$4,연료전지_원본!$A$4:$KY$4,0))</f>
        <v>0</v>
      </c>
      <c r="BZ209" s="241">
        <f>INDEX(연료전지_원본!$A$4:$KY$369,MATCH($A209,연료전지_원본!$A$4:$A$369,0),MATCH($BZ$4,연료전지_원본!$A$4:$KY$4,0))</f>
        <v>0</v>
      </c>
      <c r="CA209" s="241">
        <f>INDEX(연료전지_원본!$A$4:$KY$369,MATCH($A209,연료전지_원본!$A$4:$A$369,0),MATCH($CA$4,연료전지_원본!$A$4:$KY$4,0))</f>
        <v>0</v>
      </c>
      <c r="CB209" s="241">
        <f>INDEX(연료전지_원본!$A$4:$KY$369,MATCH($A209,연료전지_원본!$A$4:$A$369,0),MATCH($CB$4,연료전지_원본!$A$4:$KY$4,0))</f>
        <v>0</v>
      </c>
      <c r="CC209" s="242">
        <f>INDEX(연료전지_원본!$A$4:$KY$369,MATCH($A209,연료전지_원본!$A$4:$A$369,0),MATCH($CC$4,연료전지_원본!$A$4:$KY$4,0))</f>
        <v>0</v>
      </c>
      <c r="CD209" s="250">
        <f>INDEX(연료전지_원본!$KB$4:$KX$369,MATCH($A209,연료전지_원본!$KB$4:$KB$369,0), MATCH(CD$4,연료전지_원본!$KB$4:$KX$4,0))*1000</f>
        <v>0</v>
      </c>
      <c r="CE209" s="250">
        <f>INDEX(연료전지_원본!$KB$4:$KX$369,MATCH($A209,연료전지_원본!$KB$4:$KB$369,0), MATCH(CE$4,연료전지_원본!$KB$4:$KX$4,0))*1000</f>
        <v>0</v>
      </c>
      <c r="CF209" s="250">
        <f>INDEX(연료전지_원본!$KB$4:$KX$369,MATCH($A209,연료전지_원본!$KB$4:$KB$369,0), MATCH(CF$4,연료전지_원본!$KB$4:$KX$4,0))*1000</f>
        <v>0</v>
      </c>
      <c r="CG209" s="250">
        <f>INDEX(연료전지_원본!$KB$4:$KX$369,MATCH($A209,연료전지_원본!$KB$4:$KB$369,0), MATCH(CG$4,연료전지_원본!$KB$4:$KX$4,0))*1000</f>
        <v>0</v>
      </c>
      <c r="CH209" s="250">
        <f>INDEX(연료전지_원본!$KB$4:$KX$369,MATCH($A209,연료전지_원본!$KB$4:$KB$369,0), MATCH(CH$4,연료전지_원본!$KB$4:$KX$4,0))*1000</f>
        <v>0</v>
      </c>
      <c r="CI209" s="250">
        <f>INDEX(연료전지_원본!$KB$4:$KX$369,MATCH($A209,연료전지_원본!$KB$4:$KB$369,0), MATCH(CI$4,연료전지_원본!$KB$4:$KX$4,0))*1000</f>
        <v>0</v>
      </c>
      <c r="CJ209" s="250">
        <f>INDEX(연료전지_원본!$KB$4:$KX$369,MATCH($A209,연료전지_원본!$KB$4:$KB$369,0), MATCH(CJ$4,연료전지_원본!$KB$4:$KX$4,0))*1000</f>
        <v>0</v>
      </c>
      <c r="CK209" s="250">
        <f>INDEX(연료전지_원본!$KB$4:$KX$369,MATCH($A209,연료전지_원본!$KB$4:$KB$369,0), MATCH(CK$4,연료전지_원본!$KB$4:$KX$4,0))*1000</f>
        <v>0</v>
      </c>
      <c r="CL209" s="250">
        <f>INDEX(연료전지_원본!$KB$4:$KX$369,MATCH($A209,연료전지_원본!$KB$4:$KB$369,0), MATCH(CL$4,연료전지_원본!$KB$4:$KX$4,0))*1000</f>
        <v>0</v>
      </c>
      <c r="CM209" s="250">
        <f>INDEX(연료전지_원본!$KB$4:$KX$369,MATCH($A209,연료전지_원본!$KB$4:$KB$369,0), MATCH(CM$4,연료전지_원본!$KB$4:$KX$4,0))*1000</f>
        <v>0</v>
      </c>
      <c r="CN209" s="250">
        <f>INDEX(연료전지_원본!$KB$4:$KX$369,MATCH($A209,연료전지_원본!$KB$4:$KB$369,0), MATCH(CN$4,연료전지_원본!$KB$4:$KX$4,0))*1000</f>
        <v>0</v>
      </c>
      <c r="CO209" s="250">
        <f>INDEX(연료전지_원본!$KB$4:$KX$369,MATCH($A209,연료전지_원본!$KB$4:$KB$369,0), MATCH(CO$4,연료전지_원본!$KB$4:$KX$4,0))*1000</f>
        <v>0</v>
      </c>
      <c r="CP209" s="250">
        <f>INDEX(연료전지_원본!$KB$4:$KX$369,MATCH($A209,연료전지_원본!$KB$4:$KB$369,0), MATCH(CP$4,연료전지_원본!$KB$4:$KX$4,0))*1000</f>
        <v>0</v>
      </c>
      <c r="CQ209" s="250">
        <f>INDEX(연료전지_원본!$KB$4:$KX$369,MATCH($A209,연료전지_원본!$KB$4:$KB$369,0), MATCH(CQ$4,연료전지_원본!$KB$4:$KX$4,0))*1000</f>
        <v>0</v>
      </c>
      <c r="CR209" s="250">
        <f>INDEX(연료전지_원본!$KB$4:$KX$369,MATCH($A209,연료전지_원본!$KB$4:$KB$369,0), MATCH(CR$4,연료전지_원본!$KB$4:$KX$4,0))*1000</f>
        <v>0</v>
      </c>
      <c r="CS209" s="250">
        <f>INDEX(연료전지_원본!$KB$4:$KX$369,MATCH($A209,연료전지_원본!$KB$4:$KB$369,0), MATCH(CS$4,연료전지_원본!$KB$4:$KX$4,0))*1000</f>
        <v>0</v>
      </c>
      <c r="CT209" s="250">
        <f>INDEX(연료전지_원본!$KB$4:$KX$369,MATCH($A209,연료전지_원본!$KB$4:$KB$369,0), MATCH(CT$4,연료전지_원본!$KB$4:$KX$4,0))*1000</f>
        <v>0</v>
      </c>
      <c r="CU209" s="250">
        <f>INDEX(연료전지_원본!$KB$4:$KX$369,MATCH($A209,연료전지_원본!$KB$4:$KB$369,0), MATCH(CU$4,연료전지_원본!$KB$4:$KX$4,0))*1000</f>
        <v>0</v>
      </c>
      <c r="CV209" s="250">
        <f>INDEX(연료전지_원본!$KB$4:$KX$369,MATCH($A209,연료전지_원본!$KB$4:$KB$369,0), MATCH(CV$4,연료전지_원본!$KB$4:$KX$4,0))*1000</f>
        <v>0</v>
      </c>
      <c r="CW209" s="250">
        <f>INDEX(연료전지_원본!$KB$4:$KX$369,MATCH($A209,연료전지_원본!$KB$4:$KB$369,0), MATCH(CW$4,연료전지_원본!$KB$4:$KX$4,0))*1000</f>
        <v>0</v>
      </c>
      <c r="CX209" s="250">
        <f>INDEX(연료전지_원본!$KB$4:$KX$369,MATCH($A209,연료전지_원본!$KB$4:$KB$369,0), MATCH(CX$4,연료전지_원본!$KB$4:$KX$4,0))*1000</f>
        <v>0</v>
      </c>
      <c r="CY209" s="250">
        <f>INDEX(연료전지_원본!$KB$4:$KX$369,MATCH($A209,연료전지_원본!$KB$4:$KB$369,0), MATCH(CY$4,연료전지_원본!$KB$4:$KX$4,0))*1000</f>
        <v>0</v>
      </c>
      <c r="DV209" s="30">
        <f t="shared" si="954"/>
        <v>0</v>
      </c>
    </row>
    <row r="210" spans="1:126">
      <c r="A210" s="6">
        <v>46227</v>
      </c>
      <c r="B210" s="15">
        <f>운전실적_원본!B210</f>
        <v>0</v>
      </c>
      <c r="C210" s="16" t="str">
        <f t="shared" si="960"/>
        <v/>
      </c>
      <c r="D210" s="12">
        <f>운전실적_원본!C210</f>
        <v>0</v>
      </c>
      <c r="E210" s="12" t="str">
        <f t="shared" si="961"/>
        <v/>
      </c>
      <c r="F210" s="12">
        <f>운전실적_원본!D210</f>
        <v>0</v>
      </c>
      <c r="G210" s="16" t="str">
        <f t="shared" si="962"/>
        <v/>
      </c>
      <c r="H210" s="15">
        <f>운전실적_원본!E210</f>
        <v>0</v>
      </c>
      <c r="I210" s="16" t="str">
        <f t="shared" si="963"/>
        <v/>
      </c>
      <c r="J210" s="15">
        <f>운전실적_원본!F210</f>
        <v>0</v>
      </c>
      <c r="K210" s="16" t="str">
        <f t="shared" si="963"/>
        <v/>
      </c>
      <c r="L210" s="32">
        <f>운전실적_원본!G210</f>
        <v>0</v>
      </c>
      <c r="M210" s="31" t="str">
        <f t="shared" ref="M210" si="1180">IF(OR(LEN(L210)=0,L210=0),"",L210-L209)</f>
        <v/>
      </c>
      <c r="N210" s="15">
        <f>운전실적_원본!H210</f>
        <v>0</v>
      </c>
      <c r="O210" s="16" t="str">
        <f t="shared" ref="O210" si="1181">IF(OR(LEN(N210)=0,N210=0),"",N210-N209)</f>
        <v/>
      </c>
      <c r="P210" s="15">
        <f>운전실적_원본!I210</f>
        <v>0</v>
      </c>
      <c r="Q210" s="16" t="str">
        <f t="shared" ref="Q210" si="1182">IF(OR(LEN(P210)=0,P210=0),"",P210-P209)</f>
        <v/>
      </c>
      <c r="R210" s="18">
        <f>운전실적_원본!J210</f>
        <v>0</v>
      </c>
      <c r="S210" s="19" t="str">
        <f t="shared" ref="S210" si="1183">IF(OR(LEN(R210)=0,R210=0),"",R210-R209)</f>
        <v/>
      </c>
      <c r="T210" s="18">
        <f>운전실적_원본!K210</f>
        <v>0</v>
      </c>
      <c r="U210" s="19" t="str">
        <f t="shared" si="968"/>
        <v/>
      </c>
      <c r="V210" s="12">
        <f>운전실적_원본!L210</f>
        <v>0</v>
      </c>
      <c r="W210" s="16" t="str">
        <f t="shared" ref="W210" si="1184">IF(OR(LEN(V210)=0,V210=0),"",V210-V209)</f>
        <v/>
      </c>
      <c r="X210" s="10">
        <f>운전실적_원본!M210</f>
        <v>0</v>
      </c>
      <c r="Y210" s="10">
        <f>운전실적_원본!N210</f>
        <v>0</v>
      </c>
      <c r="Z210" s="10">
        <f>운전실적_원본!O210</f>
        <v>0</v>
      </c>
      <c r="AA210" s="10">
        <f>운전실적_원본!P210</f>
        <v>0</v>
      </c>
      <c r="AB210" s="10">
        <f>운전실적_원본!Q210</f>
        <v>0</v>
      </c>
      <c r="AC210" s="20">
        <f>운전실적_원본!R210</f>
        <v>0</v>
      </c>
      <c r="AD210" s="109">
        <f>운전실적_원본!S210</f>
        <v>0</v>
      </c>
      <c r="AE210" s="110">
        <f>운전실적_원본!T210</f>
        <v>0</v>
      </c>
      <c r="AF210" s="110">
        <f>운전실적_원본!U210</f>
        <v>0</v>
      </c>
      <c r="AG210" s="110">
        <f>운전실적_원본!V210</f>
        <v>0</v>
      </c>
      <c r="AH210" s="109">
        <f t="shared" si="1122"/>
        <v>0</v>
      </c>
      <c r="AI210" s="110">
        <f t="shared" si="1129"/>
        <v>0</v>
      </c>
      <c r="AJ210" s="110">
        <f>운전실적_원본!Y210</f>
        <v>0</v>
      </c>
      <c r="AK210" s="110">
        <f>운전실적_원본!Z210</f>
        <v>0</v>
      </c>
      <c r="AL210" s="106"/>
      <c r="AM210" s="105"/>
      <c r="AN210" s="105"/>
      <c r="AO210" s="105"/>
      <c r="AP210" s="105"/>
      <c r="AQ210" s="108"/>
      <c r="AR210" s="105"/>
      <c r="AS210" s="105"/>
      <c r="AT210" s="102"/>
      <c r="AU210" s="102"/>
      <c r="AV210" s="102"/>
      <c r="AW210" s="102"/>
      <c r="AX210" s="32">
        <f>운전실적_원본!W210</f>
        <v>0</v>
      </c>
      <c r="AY210" s="11">
        <f>운전실적_원본!X210</f>
        <v>0</v>
      </c>
      <c r="AZ210" s="11">
        <f>운전실적_원본!Y210</f>
        <v>0</v>
      </c>
      <c r="BA210" s="11">
        <f>운전실적_원본!Z210</f>
        <v>0</v>
      </c>
      <c r="BB210" s="11">
        <f>운전실적_원본!AA210</f>
        <v>0</v>
      </c>
      <c r="BC210" s="11">
        <f>운전실적_원본!AB210</f>
        <v>0</v>
      </c>
      <c r="BD210" s="32" t="str">
        <f t="shared" si="1115"/>
        <v>-</v>
      </c>
      <c r="BE210" s="11" t="str">
        <f t="shared" si="1123"/>
        <v>-</v>
      </c>
      <c r="BF210" s="11">
        <f>운전실적_원본!AE210</f>
        <v>0</v>
      </c>
      <c r="BG210" s="31">
        <f t="shared" si="1116"/>
        <v>0</v>
      </c>
      <c r="BH210" s="241">
        <f>INDEX(연료전지_원본!$A$4:$KY$369,MATCH($A210,연료전지_원본!$A$4:$A$369,0),MATCH($BH$4,연료전지_원본!$A$4:$KY$4,0))</f>
        <v>0</v>
      </c>
      <c r="BI210" s="241">
        <f>INDEX(연료전지_원본!$A$4:$KY$369,MATCH($A210,연료전지_원본!$A$4:$A$369,0),MATCH($BI$4,연료전지_원본!$A$4:$KY$4,0))</f>
        <v>0</v>
      </c>
      <c r="BJ210" s="241">
        <f>INDEX(연료전지_원본!$A$4:$KY$369,MATCH($A210,연료전지_원본!$A$4:$A$369,0),MATCH($BJ$4,연료전지_원본!$A$4:$KY$4,0))</f>
        <v>0</v>
      </c>
      <c r="BK210" s="241">
        <f>INDEX(연료전지_원본!$A$4:$KY$369,MATCH($A210,연료전지_원본!$A$4:$A$369,0),MATCH($BK$4,연료전지_원본!$A$4:$KY$4,0))</f>
        <v>0</v>
      </c>
      <c r="BL210" s="241">
        <f>INDEX(연료전지_원본!$A$4:$KY$369,MATCH($A210,연료전지_원본!$A$4:$A$369,0),MATCH($BL$4,연료전지_원본!$A$4:$KY$4,0))</f>
        <v>0</v>
      </c>
      <c r="BM210" s="241">
        <f>INDEX(연료전지_원본!$A$4:$KY$369,MATCH($A210,연료전지_원본!$A$4:$A$369,0),MATCH($BM$4,연료전지_원본!$A$4:$KY$4,0))</f>
        <v>0</v>
      </c>
      <c r="BN210" s="241">
        <f>INDEX(연료전지_원본!$A$4:$KY$369,MATCH($A210,연료전지_원본!$A$4:$A$369,0),MATCH($BN$4,연료전지_원본!$A$4:$KY$4,0))</f>
        <v>0</v>
      </c>
      <c r="BO210" s="241">
        <f>INDEX(연료전지_원본!$A$4:$KY$369,MATCH($A210,연료전지_원본!$A$4:$A$369,0),MATCH($BO$4,연료전지_원본!$A$4:$KY$4,0))</f>
        <v>0</v>
      </c>
      <c r="BP210" s="241">
        <f>INDEX(연료전지_원본!$A$4:$KY$369,MATCH($A210,연료전지_원본!$A$4:$A$369,0),MATCH($BP$4,연료전지_원본!$A$4:$KY$4,0))</f>
        <v>0</v>
      </c>
      <c r="BQ210" s="241">
        <f>INDEX(연료전지_원본!$A$4:$KY$369,MATCH($A210,연료전지_원본!$A$4:$A$369,0),MATCH($BQ$4,연료전지_원본!$A$4:$KY$4,0))</f>
        <v>0</v>
      </c>
      <c r="BR210" s="241">
        <f>INDEX(연료전지_원본!$A$4:$KY$369,MATCH($A210,연료전지_원본!$A$4:$A$369,0),MATCH($BR$4,연료전지_원본!$A$4:$KY$4,0))</f>
        <v>0</v>
      </c>
      <c r="BS210" s="241">
        <f>INDEX(연료전지_원본!$A$4:$KY$369,MATCH($A210,연료전지_원본!$A$4:$A$369,0),MATCH($BS$4,연료전지_원본!$A$4:$KY$4,0))</f>
        <v>0</v>
      </c>
      <c r="BT210" s="241">
        <f>INDEX(연료전지_원본!$A$4:$KY$369,MATCH($A210,연료전지_원본!$A$4:$A$369,0),MATCH($BT$4,연료전지_원본!$A$4:$KY$4,0))</f>
        <v>0</v>
      </c>
      <c r="BU210" s="241">
        <f>INDEX(연료전지_원본!$A$4:$KY$369,MATCH($A210,연료전지_원본!$A$4:$A$369,0),MATCH($BU$4,연료전지_원본!$A$4:$KY$4,0))</f>
        <v>0</v>
      </c>
      <c r="BV210" s="241">
        <f>INDEX(연료전지_원본!$A$4:$KY$369,MATCH($A210,연료전지_원본!$A$4:$A$369,0),MATCH($BV$4,연료전지_원본!$A$4:$KY$4,0))</f>
        <v>0</v>
      </c>
      <c r="BW210" s="241">
        <f>INDEX(연료전지_원본!$A$4:$KY$369,MATCH($A210,연료전지_원본!$A$4:$A$369,0),MATCH($BW$4,연료전지_원본!$A$4:$KY$4,0))</f>
        <v>0</v>
      </c>
      <c r="BX210" s="241">
        <f>INDEX(연료전지_원본!$A$4:$KY$369,MATCH($A210,연료전지_원본!$A$4:$A$369,0),MATCH($BX$4,연료전지_원본!$A$4:$KY$4,0))</f>
        <v>0</v>
      </c>
      <c r="BY210" s="241">
        <f>INDEX(연료전지_원본!$A$4:$KY$369,MATCH($A210,연료전지_원본!$A$4:$A$369,0),MATCH($BY$4,연료전지_원본!$A$4:$KY$4,0))</f>
        <v>0</v>
      </c>
      <c r="BZ210" s="241">
        <f>INDEX(연료전지_원본!$A$4:$KY$369,MATCH($A210,연료전지_원본!$A$4:$A$369,0),MATCH($BZ$4,연료전지_원본!$A$4:$KY$4,0))</f>
        <v>0</v>
      </c>
      <c r="CA210" s="241">
        <f>INDEX(연료전지_원본!$A$4:$KY$369,MATCH($A210,연료전지_원본!$A$4:$A$369,0),MATCH($CA$4,연료전지_원본!$A$4:$KY$4,0))</f>
        <v>0</v>
      </c>
      <c r="CB210" s="241">
        <f>INDEX(연료전지_원본!$A$4:$KY$369,MATCH($A210,연료전지_원본!$A$4:$A$369,0),MATCH($CB$4,연료전지_원본!$A$4:$KY$4,0))</f>
        <v>0</v>
      </c>
      <c r="CC210" s="242">
        <f>INDEX(연료전지_원본!$A$4:$KY$369,MATCH($A210,연료전지_원본!$A$4:$A$369,0),MATCH($CC$4,연료전지_원본!$A$4:$KY$4,0))</f>
        <v>0</v>
      </c>
      <c r="CD210" s="250">
        <f>INDEX(연료전지_원본!$KB$4:$KX$369,MATCH($A210,연료전지_원본!$KB$4:$KB$369,0), MATCH(CD$4,연료전지_원본!$KB$4:$KX$4,0))*1000</f>
        <v>0</v>
      </c>
      <c r="CE210" s="250">
        <f>INDEX(연료전지_원본!$KB$4:$KX$369,MATCH($A210,연료전지_원본!$KB$4:$KB$369,0), MATCH(CE$4,연료전지_원본!$KB$4:$KX$4,0))*1000</f>
        <v>0</v>
      </c>
      <c r="CF210" s="250">
        <f>INDEX(연료전지_원본!$KB$4:$KX$369,MATCH($A210,연료전지_원본!$KB$4:$KB$369,0), MATCH(CF$4,연료전지_원본!$KB$4:$KX$4,0))*1000</f>
        <v>0</v>
      </c>
      <c r="CG210" s="250">
        <f>INDEX(연료전지_원본!$KB$4:$KX$369,MATCH($A210,연료전지_원본!$KB$4:$KB$369,0), MATCH(CG$4,연료전지_원본!$KB$4:$KX$4,0))*1000</f>
        <v>0</v>
      </c>
      <c r="CH210" s="250">
        <f>INDEX(연료전지_원본!$KB$4:$KX$369,MATCH($A210,연료전지_원본!$KB$4:$KB$369,0), MATCH(CH$4,연료전지_원본!$KB$4:$KX$4,0))*1000</f>
        <v>0</v>
      </c>
      <c r="CI210" s="250">
        <f>INDEX(연료전지_원본!$KB$4:$KX$369,MATCH($A210,연료전지_원본!$KB$4:$KB$369,0), MATCH(CI$4,연료전지_원본!$KB$4:$KX$4,0))*1000</f>
        <v>0</v>
      </c>
      <c r="CJ210" s="250">
        <f>INDEX(연료전지_원본!$KB$4:$KX$369,MATCH($A210,연료전지_원본!$KB$4:$KB$369,0), MATCH(CJ$4,연료전지_원본!$KB$4:$KX$4,0))*1000</f>
        <v>0</v>
      </c>
      <c r="CK210" s="250">
        <f>INDEX(연료전지_원본!$KB$4:$KX$369,MATCH($A210,연료전지_원본!$KB$4:$KB$369,0), MATCH(CK$4,연료전지_원본!$KB$4:$KX$4,0))*1000</f>
        <v>0</v>
      </c>
      <c r="CL210" s="250">
        <f>INDEX(연료전지_원본!$KB$4:$KX$369,MATCH($A210,연료전지_원본!$KB$4:$KB$369,0), MATCH(CL$4,연료전지_원본!$KB$4:$KX$4,0))*1000</f>
        <v>0</v>
      </c>
      <c r="CM210" s="250">
        <f>INDEX(연료전지_원본!$KB$4:$KX$369,MATCH($A210,연료전지_원본!$KB$4:$KB$369,0), MATCH(CM$4,연료전지_원본!$KB$4:$KX$4,0))*1000</f>
        <v>0</v>
      </c>
      <c r="CN210" s="250">
        <f>INDEX(연료전지_원본!$KB$4:$KX$369,MATCH($A210,연료전지_원본!$KB$4:$KB$369,0), MATCH(CN$4,연료전지_원본!$KB$4:$KX$4,0))*1000</f>
        <v>0</v>
      </c>
      <c r="CO210" s="250">
        <f>INDEX(연료전지_원본!$KB$4:$KX$369,MATCH($A210,연료전지_원본!$KB$4:$KB$369,0), MATCH(CO$4,연료전지_원본!$KB$4:$KX$4,0))*1000</f>
        <v>0</v>
      </c>
      <c r="CP210" s="250">
        <f>INDEX(연료전지_원본!$KB$4:$KX$369,MATCH($A210,연료전지_원본!$KB$4:$KB$369,0), MATCH(CP$4,연료전지_원본!$KB$4:$KX$4,0))*1000</f>
        <v>0</v>
      </c>
      <c r="CQ210" s="250">
        <f>INDEX(연료전지_원본!$KB$4:$KX$369,MATCH($A210,연료전지_원본!$KB$4:$KB$369,0), MATCH(CQ$4,연료전지_원본!$KB$4:$KX$4,0))*1000</f>
        <v>0</v>
      </c>
      <c r="CR210" s="250">
        <f>INDEX(연료전지_원본!$KB$4:$KX$369,MATCH($A210,연료전지_원본!$KB$4:$KB$369,0), MATCH(CR$4,연료전지_원본!$KB$4:$KX$4,0))*1000</f>
        <v>0</v>
      </c>
      <c r="CS210" s="250">
        <f>INDEX(연료전지_원본!$KB$4:$KX$369,MATCH($A210,연료전지_원본!$KB$4:$KB$369,0), MATCH(CS$4,연료전지_원본!$KB$4:$KX$4,0))*1000</f>
        <v>0</v>
      </c>
      <c r="CT210" s="250">
        <f>INDEX(연료전지_원본!$KB$4:$KX$369,MATCH($A210,연료전지_원본!$KB$4:$KB$369,0), MATCH(CT$4,연료전지_원본!$KB$4:$KX$4,0))*1000</f>
        <v>0</v>
      </c>
      <c r="CU210" s="250">
        <f>INDEX(연료전지_원본!$KB$4:$KX$369,MATCH($A210,연료전지_원본!$KB$4:$KB$369,0), MATCH(CU$4,연료전지_원본!$KB$4:$KX$4,0))*1000</f>
        <v>0</v>
      </c>
      <c r="CV210" s="250">
        <f>INDEX(연료전지_원본!$KB$4:$KX$369,MATCH($A210,연료전지_원본!$KB$4:$KB$369,0), MATCH(CV$4,연료전지_원본!$KB$4:$KX$4,0))*1000</f>
        <v>0</v>
      </c>
      <c r="CW210" s="250">
        <f>INDEX(연료전지_원본!$KB$4:$KX$369,MATCH($A210,연료전지_원본!$KB$4:$KB$369,0), MATCH(CW$4,연료전지_원본!$KB$4:$KX$4,0))*1000</f>
        <v>0</v>
      </c>
      <c r="CX210" s="250">
        <f>INDEX(연료전지_원본!$KB$4:$KX$369,MATCH($A210,연료전지_원본!$KB$4:$KB$369,0), MATCH(CX$4,연료전지_원본!$KB$4:$KX$4,0))*1000</f>
        <v>0</v>
      </c>
      <c r="CY210" s="250">
        <f>INDEX(연료전지_원본!$KB$4:$KX$369,MATCH($A210,연료전지_원본!$KB$4:$KB$369,0), MATCH(CY$4,연료전지_원본!$KB$4:$KX$4,0))*1000</f>
        <v>0</v>
      </c>
      <c r="DV210" s="30">
        <f t="shared" si="954"/>
        <v>0</v>
      </c>
    </row>
    <row r="211" spans="1:126">
      <c r="A211" s="6">
        <v>46228</v>
      </c>
      <c r="B211" s="15">
        <f>운전실적_원본!B211</f>
        <v>0</v>
      </c>
      <c r="C211" s="16" t="str">
        <f t="shared" si="960"/>
        <v/>
      </c>
      <c r="D211" s="12">
        <f>운전실적_원본!C211</f>
        <v>0</v>
      </c>
      <c r="E211" s="12" t="str">
        <f t="shared" si="961"/>
        <v/>
      </c>
      <c r="F211" s="12">
        <f>운전실적_원본!D211</f>
        <v>0</v>
      </c>
      <c r="G211" s="16" t="str">
        <f t="shared" si="962"/>
        <v/>
      </c>
      <c r="H211" s="15">
        <f>운전실적_원본!E211</f>
        <v>0</v>
      </c>
      <c r="I211" s="16" t="str">
        <f t="shared" si="963"/>
        <v/>
      </c>
      <c r="J211" s="15">
        <f>운전실적_원본!F211</f>
        <v>0</v>
      </c>
      <c r="K211" s="16" t="str">
        <f t="shared" si="963"/>
        <v/>
      </c>
      <c r="L211" s="32">
        <f>운전실적_원본!G211</f>
        <v>0</v>
      </c>
      <c r="M211" s="31" t="str">
        <f t="shared" ref="M211" si="1185">IF(OR(LEN(L211)=0,L211=0),"",L211-L210)</f>
        <v/>
      </c>
      <c r="N211" s="15">
        <f>운전실적_원본!H211</f>
        <v>0</v>
      </c>
      <c r="O211" s="16" t="str">
        <f t="shared" ref="O211" si="1186">IF(OR(LEN(N211)=0,N211=0),"",N211-N210)</f>
        <v/>
      </c>
      <c r="P211" s="15">
        <f>운전실적_원본!I211</f>
        <v>0</v>
      </c>
      <c r="Q211" s="16" t="str">
        <f t="shared" ref="Q211" si="1187">IF(OR(LEN(P211)=0,P211=0),"",P211-P210)</f>
        <v/>
      </c>
      <c r="R211" s="18">
        <f>운전실적_원본!J211</f>
        <v>0</v>
      </c>
      <c r="S211" s="19" t="str">
        <f t="shared" ref="S211" si="1188">IF(OR(LEN(R211)=0,R211=0),"",R211-R210)</f>
        <v/>
      </c>
      <c r="T211" s="18">
        <f>운전실적_원본!K211</f>
        <v>0</v>
      </c>
      <c r="U211" s="19" t="str">
        <f t="shared" si="968"/>
        <v/>
      </c>
      <c r="V211" s="12">
        <f>운전실적_원본!L211</f>
        <v>0</v>
      </c>
      <c r="W211" s="16" t="str">
        <f t="shared" ref="W211" si="1189">IF(OR(LEN(V211)=0,V211=0),"",V211-V210)</f>
        <v/>
      </c>
      <c r="X211" s="10">
        <f>운전실적_원본!M211</f>
        <v>0</v>
      </c>
      <c r="Y211" s="10">
        <f>운전실적_원본!N211</f>
        <v>0</v>
      </c>
      <c r="Z211" s="10">
        <f>운전실적_원본!O211</f>
        <v>0</v>
      </c>
      <c r="AA211" s="10">
        <f>운전실적_원본!P211</f>
        <v>0</v>
      </c>
      <c r="AB211" s="10">
        <f>운전실적_원본!Q211</f>
        <v>0</v>
      </c>
      <c r="AC211" s="20">
        <f>운전실적_원본!R211</f>
        <v>0</v>
      </c>
      <c r="AD211" s="109">
        <f>운전실적_원본!S211</f>
        <v>0</v>
      </c>
      <c r="AE211" s="110">
        <f>운전실적_원본!T211</f>
        <v>0</v>
      </c>
      <c r="AF211" s="110">
        <f>운전실적_원본!U211</f>
        <v>0</v>
      </c>
      <c r="AG211" s="110">
        <f>운전실적_원본!V211</f>
        <v>0</v>
      </c>
      <c r="AH211" s="109">
        <f t="shared" si="1122"/>
        <v>0</v>
      </c>
      <c r="AI211" s="110">
        <f t="shared" si="1129"/>
        <v>0</v>
      </c>
      <c r="AJ211" s="110">
        <f>운전실적_원본!Y211</f>
        <v>0</v>
      </c>
      <c r="AK211" s="110">
        <f>운전실적_원본!Z211</f>
        <v>0</v>
      </c>
      <c r="AL211" s="106"/>
      <c r="AM211" s="105"/>
      <c r="AN211" s="105"/>
      <c r="AO211" s="105"/>
      <c r="AP211" s="105"/>
      <c r="AQ211" s="108"/>
      <c r="AR211" s="105"/>
      <c r="AS211" s="105"/>
      <c r="AT211" s="102"/>
      <c r="AU211" s="102"/>
      <c r="AV211" s="102"/>
      <c r="AW211" s="102"/>
      <c r="AX211" s="32">
        <f>운전실적_원본!W211</f>
        <v>0</v>
      </c>
      <c r="AY211" s="11">
        <f>운전실적_원본!X211</f>
        <v>0</v>
      </c>
      <c r="AZ211" s="11">
        <f>운전실적_원본!Y211</f>
        <v>0</v>
      </c>
      <c r="BA211" s="11">
        <f>운전실적_원본!Z211</f>
        <v>0</v>
      </c>
      <c r="BB211" s="11">
        <f>운전실적_원본!AA211</f>
        <v>0</v>
      </c>
      <c r="BC211" s="11">
        <f>운전실적_원본!AB211</f>
        <v>0</v>
      </c>
      <c r="BD211" s="32" t="str">
        <f t="shared" si="1115"/>
        <v>-</v>
      </c>
      <c r="BE211" s="11" t="str">
        <f t="shared" si="1123"/>
        <v>-</v>
      </c>
      <c r="BF211" s="11">
        <f>운전실적_원본!AE211</f>
        <v>0</v>
      </c>
      <c r="BG211" s="31">
        <f t="shared" si="1116"/>
        <v>0</v>
      </c>
      <c r="BH211" s="241">
        <f>INDEX(연료전지_원본!$A$4:$KY$369,MATCH($A211,연료전지_원본!$A$4:$A$369,0),MATCH($BH$4,연료전지_원본!$A$4:$KY$4,0))</f>
        <v>0</v>
      </c>
      <c r="BI211" s="241">
        <f>INDEX(연료전지_원본!$A$4:$KY$369,MATCH($A211,연료전지_원본!$A$4:$A$369,0),MATCH($BI$4,연료전지_원본!$A$4:$KY$4,0))</f>
        <v>0</v>
      </c>
      <c r="BJ211" s="241">
        <f>INDEX(연료전지_원본!$A$4:$KY$369,MATCH($A211,연료전지_원본!$A$4:$A$369,0),MATCH($BJ$4,연료전지_원본!$A$4:$KY$4,0))</f>
        <v>0</v>
      </c>
      <c r="BK211" s="241">
        <f>INDEX(연료전지_원본!$A$4:$KY$369,MATCH($A211,연료전지_원본!$A$4:$A$369,0),MATCH($BK$4,연료전지_원본!$A$4:$KY$4,0))</f>
        <v>0</v>
      </c>
      <c r="BL211" s="241">
        <f>INDEX(연료전지_원본!$A$4:$KY$369,MATCH($A211,연료전지_원본!$A$4:$A$369,0),MATCH($BL$4,연료전지_원본!$A$4:$KY$4,0))</f>
        <v>0</v>
      </c>
      <c r="BM211" s="241">
        <f>INDEX(연료전지_원본!$A$4:$KY$369,MATCH($A211,연료전지_원본!$A$4:$A$369,0),MATCH($BM$4,연료전지_원본!$A$4:$KY$4,0))</f>
        <v>0</v>
      </c>
      <c r="BN211" s="241">
        <f>INDEX(연료전지_원본!$A$4:$KY$369,MATCH($A211,연료전지_원본!$A$4:$A$369,0),MATCH($BN$4,연료전지_원본!$A$4:$KY$4,0))</f>
        <v>0</v>
      </c>
      <c r="BO211" s="241">
        <f>INDEX(연료전지_원본!$A$4:$KY$369,MATCH($A211,연료전지_원본!$A$4:$A$369,0),MATCH($BO$4,연료전지_원본!$A$4:$KY$4,0))</f>
        <v>0</v>
      </c>
      <c r="BP211" s="241">
        <f>INDEX(연료전지_원본!$A$4:$KY$369,MATCH($A211,연료전지_원본!$A$4:$A$369,0),MATCH($BP$4,연료전지_원본!$A$4:$KY$4,0))</f>
        <v>0</v>
      </c>
      <c r="BQ211" s="241">
        <f>INDEX(연료전지_원본!$A$4:$KY$369,MATCH($A211,연료전지_원본!$A$4:$A$369,0),MATCH($BQ$4,연료전지_원본!$A$4:$KY$4,0))</f>
        <v>0</v>
      </c>
      <c r="BR211" s="241">
        <f>INDEX(연료전지_원본!$A$4:$KY$369,MATCH($A211,연료전지_원본!$A$4:$A$369,0),MATCH($BR$4,연료전지_원본!$A$4:$KY$4,0))</f>
        <v>0</v>
      </c>
      <c r="BS211" s="241">
        <f>INDEX(연료전지_원본!$A$4:$KY$369,MATCH($A211,연료전지_원본!$A$4:$A$369,0),MATCH($BS$4,연료전지_원본!$A$4:$KY$4,0))</f>
        <v>0</v>
      </c>
      <c r="BT211" s="241">
        <f>INDEX(연료전지_원본!$A$4:$KY$369,MATCH($A211,연료전지_원본!$A$4:$A$369,0),MATCH($BT$4,연료전지_원본!$A$4:$KY$4,0))</f>
        <v>0</v>
      </c>
      <c r="BU211" s="241">
        <f>INDEX(연료전지_원본!$A$4:$KY$369,MATCH($A211,연료전지_원본!$A$4:$A$369,0),MATCH($BU$4,연료전지_원본!$A$4:$KY$4,0))</f>
        <v>0</v>
      </c>
      <c r="BV211" s="241">
        <f>INDEX(연료전지_원본!$A$4:$KY$369,MATCH($A211,연료전지_원본!$A$4:$A$369,0),MATCH($BV$4,연료전지_원본!$A$4:$KY$4,0))</f>
        <v>0</v>
      </c>
      <c r="BW211" s="241">
        <f>INDEX(연료전지_원본!$A$4:$KY$369,MATCH($A211,연료전지_원본!$A$4:$A$369,0),MATCH($BW$4,연료전지_원본!$A$4:$KY$4,0))</f>
        <v>0</v>
      </c>
      <c r="BX211" s="241">
        <f>INDEX(연료전지_원본!$A$4:$KY$369,MATCH($A211,연료전지_원본!$A$4:$A$369,0),MATCH($BX$4,연료전지_원본!$A$4:$KY$4,0))</f>
        <v>0</v>
      </c>
      <c r="BY211" s="241">
        <f>INDEX(연료전지_원본!$A$4:$KY$369,MATCH($A211,연료전지_원본!$A$4:$A$369,0),MATCH($BY$4,연료전지_원본!$A$4:$KY$4,0))</f>
        <v>0</v>
      </c>
      <c r="BZ211" s="241">
        <f>INDEX(연료전지_원본!$A$4:$KY$369,MATCH($A211,연료전지_원본!$A$4:$A$369,0),MATCH($BZ$4,연료전지_원본!$A$4:$KY$4,0))</f>
        <v>0</v>
      </c>
      <c r="CA211" s="241">
        <f>INDEX(연료전지_원본!$A$4:$KY$369,MATCH($A211,연료전지_원본!$A$4:$A$369,0),MATCH($CA$4,연료전지_원본!$A$4:$KY$4,0))</f>
        <v>0</v>
      </c>
      <c r="CB211" s="241">
        <f>INDEX(연료전지_원본!$A$4:$KY$369,MATCH($A211,연료전지_원본!$A$4:$A$369,0),MATCH($CB$4,연료전지_원본!$A$4:$KY$4,0))</f>
        <v>0</v>
      </c>
      <c r="CC211" s="242">
        <f>INDEX(연료전지_원본!$A$4:$KY$369,MATCH($A211,연료전지_원본!$A$4:$A$369,0),MATCH($CC$4,연료전지_원본!$A$4:$KY$4,0))</f>
        <v>0</v>
      </c>
      <c r="CD211" s="250">
        <f>INDEX(연료전지_원본!$KB$4:$KX$369,MATCH($A211,연료전지_원본!$KB$4:$KB$369,0), MATCH(CD$4,연료전지_원본!$KB$4:$KX$4,0))*1000</f>
        <v>0</v>
      </c>
      <c r="CE211" s="250">
        <f>INDEX(연료전지_원본!$KB$4:$KX$369,MATCH($A211,연료전지_원본!$KB$4:$KB$369,0), MATCH(CE$4,연료전지_원본!$KB$4:$KX$4,0))*1000</f>
        <v>0</v>
      </c>
      <c r="CF211" s="250">
        <f>INDEX(연료전지_원본!$KB$4:$KX$369,MATCH($A211,연료전지_원본!$KB$4:$KB$369,0), MATCH(CF$4,연료전지_원본!$KB$4:$KX$4,0))*1000</f>
        <v>0</v>
      </c>
      <c r="CG211" s="250">
        <f>INDEX(연료전지_원본!$KB$4:$KX$369,MATCH($A211,연료전지_원본!$KB$4:$KB$369,0), MATCH(CG$4,연료전지_원본!$KB$4:$KX$4,0))*1000</f>
        <v>0</v>
      </c>
      <c r="CH211" s="250">
        <f>INDEX(연료전지_원본!$KB$4:$KX$369,MATCH($A211,연료전지_원본!$KB$4:$KB$369,0), MATCH(CH$4,연료전지_원본!$KB$4:$KX$4,0))*1000</f>
        <v>0</v>
      </c>
      <c r="CI211" s="250">
        <f>INDEX(연료전지_원본!$KB$4:$KX$369,MATCH($A211,연료전지_원본!$KB$4:$KB$369,0), MATCH(CI$4,연료전지_원본!$KB$4:$KX$4,0))*1000</f>
        <v>0</v>
      </c>
      <c r="CJ211" s="250">
        <f>INDEX(연료전지_원본!$KB$4:$KX$369,MATCH($A211,연료전지_원본!$KB$4:$KB$369,0), MATCH(CJ$4,연료전지_원본!$KB$4:$KX$4,0))*1000</f>
        <v>0</v>
      </c>
      <c r="CK211" s="250">
        <f>INDEX(연료전지_원본!$KB$4:$KX$369,MATCH($A211,연료전지_원본!$KB$4:$KB$369,0), MATCH(CK$4,연료전지_원본!$KB$4:$KX$4,0))*1000</f>
        <v>0</v>
      </c>
      <c r="CL211" s="250">
        <f>INDEX(연료전지_원본!$KB$4:$KX$369,MATCH($A211,연료전지_원본!$KB$4:$KB$369,0), MATCH(CL$4,연료전지_원본!$KB$4:$KX$4,0))*1000</f>
        <v>0</v>
      </c>
      <c r="CM211" s="250">
        <f>INDEX(연료전지_원본!$KB$4:$KX$369,MATCH($A211,연료전지_원본!$KB$4:$KB$369,0), MATCH(CM$4,연료전지_원본!$KB$4:$KX$4,0))*1000</f>
        <v>0</v>
      </c>
      <c r="CN211" s="250">
        <f>INDEX(연료전지_원본!$KB$4:$KX$369,MATCH($A211,연료전지_원본!$KB$4:$KB$369,0), MATCH(CN$4,연료전지_원본!$KB$4:$KX$4,0))*1000</f>
        <v>0</v>
      </c>
      <c r="CO211" s="250">
        <f>INDEX(연료전지_원본!$KB$4:$KX$369,MATCH($A211,연료전지_원본!$KB$4:$KB$369,0), MATCH(CO$4,연료전지_원본!$KB$4:$KX$4,0))*1000</f>
        <v>0</v>
      </c>
      <c r="CP211" s="250">
        <f>INDEX(연료전지_원본!$KB$4:$KX$369,MATCH($A211,연료전지_원본!$KB$4:$KB$369,0), MATCH(CP$4,연료전지_원본!$KB$4:$KX$4,0))*1000</f>
        <v>0</v>
      </c>
      <c r="CQ211" s="250">
        <f>INDEX(연료전지_원본!$KB$4:$KX$369,MATCH($A211,연료전지_원본!$KB$4:$KB$369,0), MATCH(CQ$4,연료전지_원본!$KB$4:$KX$4,0))*1000</f>
        <v>0</v>
      </c>
      <c r="CR211" s="250">
        <f>INDEX(연료전지_원본!$KB$4:$KX$369,MATCH($A211,연료전지_원본!$KB$4:$KB$369,0), MATCH(CR$4,연료전지_원본!$KB$4:$KX$4,0))*1000</f>
        <v>0</v>
      </c>
      <c r="CS211" s="250">
        <f>INDEX(연료전지_원본!$KB$4:$KX$369,MATCH($A211,연료전지_원본!$KB$4:$KB$369,0), MATCH(CS$4,연료전지_원본!$KB$4:$KX$4,0))*1000</f>
        <v>0</v>
      </c>
      <c r="CT211" s="250">
        <f>INDEX(연료전지_원본!$KB$4:$KX$369,MATCH($A211,연료전지_원본!$KB$4:$KB$369,0), MATCH(CT$4,연료전지_원본!$KB$4:$KX$4,0))*1000</f>
        <v>0</v>
      </c>
      <c r="CU211" s="250">
        <f>INDEX(연료전지_원본!$KB$4:$KX$369,MATCH($A211,연료전지_원본!$KB$4:$KB$369,0), MATCH(CU$4,연료전지_원본!$KB$4:$KX$4,0))*1000</f>
        <v>0</v>
      </c>
      <c r="CV211" s="250">
        <f>INDEX(연료전지_원본!$KB$4:$KX$369,MATCH($A211,연료전지_원본!$KB$4:$KB$369,0), MATCH(CV$4,연료전지_원본!$KB$4:$KX$4,0))*1000</f>
        <v>0</v>
      </c>
      <c r="CW211" s="250">
        <f>INDEX(연료전지_원본!$KB$4:$KX$369,MATCH($A211,연료전지_원본!$KB$4:$KB$369,0), MATCH(CW$4,연료전지_원본!$KB$4:$KX$4,0))*1000</f>
        <v>0</v>
      </c>
      <c r="CX211" s="250">
        <f>INDEX(연료전지_원본!$KB$4:$KX$369,MATCH($A211,연료전지_원본!$KB$4:$KB$369,0), MATCH(CX$4,연료전지_원본!$KB$4:$KX$4,0))*1000</f>
        <v>0</v>
      </c>
      <c r="CY211" s="250">
        <f>INDEX(연료전지_원본!$KB$4:$KX$369,MATCH($A211,연료전지_원본!$KB$4:$KB$369,0), MATCH(CY$4,연료전지_원본!$KB$4:$KX$4,0))*1000</f>
        <v>0</v>
      </c>
      <c r="DV211" s="30">
        <f t="shared" si="954"/>
        <v>0</v>
      </c>
    </row>
    <row r="212" spans="1:126">
      <c r="A212" s="6">
        <v>46229</v>
      </c>
      <c r="B212" s="15">
        <f>운전실적_원본!B212</f>
        <v>0</v>
      </c>
      <c r="C212" s="16" t="str">
        <f t="shared" si="960"/>
        <v/>
      </c>
      <c r="D212" s="12">
        <f>운전실적_원본!C212</f>
        <v>0</v>
      </c>
      <c r="E212" s="12" t="str">
        <f t="shared" si="961"/>
        <v/>
      </c>
      <c r="F212" s="12">
        <f>운전실적_원본!D212</f>
        <v>0</v>
      </c>
      <c r="G212" s="16" t="str">
        <f t="shared" si="962"/>
        <v/>
      </c>
      <c r="H212" s="15">
        <f>운전실적_원본!E212</f>
        <v>0</v>
      </c>
      <c r="I212" s="16" t="str">
        <f t="shared" si="963"/>
        <v/>
      </c>
      <c r="J212" s="15">
        <f>운전실적_원본!F212</f>
        <v>0</v>
      </c>
      <c r="K212" s="16" t="str">
        <f t="shared" si="963"/>
        <v/>
      </c>
      <c r="L212" s="32">
        <f>운전실적_원본!G212</f>
        <v>0</v>
      </c>
      <c r="M212" s="31" t="str">
        <f t="shared" ref="M212" si="1190">IF(OR(LEN(L212)=0,L212=0),"",L212-L211)</f>
        <v/>
      </c>
      <c r="N212" s="15">
        <f>운전실적_원본!H212</f>
        <v>0</v>
      </c>
      <c r="O212" s="16" t="str">
        <f t="shared" ref="O212" si="1191">IF(OR(LEN(N212)=0,N212=0),"",N212-N211)</f>
        <v/>
      </c>
      <c r="P212" s="15">
        <f>운전실적_원본!I212</f>
        <v>0</v>
      </c>
      <c r="Q212" s="16" t="str">
        <f t="shared" ref="Q212" si="1192">IF(OR(LEN(P212)=0,P212=0),"",P212-P211)</f>
        <v/>
      </c>
      <c r="R212" s="18">
        <f>운전실적_원본!J212</f>
        <v>0</v>
      </c>
      <c r="S212" s="19" t="str">
        <f t="shared" ref="S212" si="1193">IF(OR(LEN(R212)=0,R212=0),"",R212-R211)</f>
        <v/>
      </c>
      <c r="T212" s="18">
        <f>운전실적_원본!K212</f>
        <v>0</v>
      </c>
      <c r="U212" s="19" t="str">
        <f t="shared" si="968"/>
        <v/>
      </c>
      <c r="V212" s="12">
        <f>운전실적_원본!L212</f>
        <v>0</v>
      </c>
      <c r="W212" s="16" t="str">
        <f t="shared" ref="W212" si="1194">IF(OR(LEN(V212)=0,V212=0),"",V212-V211)</f>
        <v/>
      </c>
      <c r="X212" s="10">
        <f>운전실적_원본!M212</f>
        <v>0</v>
      </c>
      <c r="Y212" s="10">
        <f>운전실적_원본!N212</f>
        <v>0</v>
      </c>
      <c r="Z212" s="10">
        <f>운전실적_원본!O212</f>
        <v>0</v>
      </c>
      <c r="AA212" s="10">
        <f>운전실적_원본!P212</f>
        <v>0</v>
      </c>
      <c r="AB212" s="10">
        <f>운전실적_원본!Q212</f>
        <v>0</v>
      </c>
      <c r="AC212" s="20">
        <f>운전실적_원본!R212</f>
        <v>0</v>
      </c>
      <c r="AD212" s="109">
        <f>운전실적_원본!S212</f>
        <v>0</v>
      </c>
      <c r="AE212" s="110">
        <f>운전실적_원본!T212</f>
        <v>0</v>
      </c>
      <c r="AF212" s="110">
        <f>운전실적_원본!U212</f>
        <v>0</v>
      </c>
      <c r="AG212" s="110">
        <f>운전실적_원본!V212</f>
        <v>0</v>
      </c>
      <c r="AH212" s="109">
        <f t="shared" si="1122"/>
        <v>0</v>
      </c>
      <c r="AI212" s="110">
        <f t="shared" si="1129"/>
        <v>0</v>
      </c>
      <c r="AJ212" s="110">
        <f>운전실적_원본!Y212</f>
        <v>0</v>
      </c>
      <c r="AK212" s="110">
        <f>운전실적_원본!Z212</f>
        <v>0</v>
      </c>
      <c r="AL212" s="106"/>
      <c r="AM212" s="105"/>
      <c r="AN212" s="105"/>
      <c r="AO212" s="105"/>
      <c r="AP212" s="105"/>
      <c r="AQ212" s="108"/>
      <c r="AR212" s="105"/>
      <c r="AS212" s="105"/>
      <c r="AT212" s="102"/>
      <c r="AU212" s="102"/>
      <c r="AV212" s="102"/>
      <c r="AW212" s="102"/>
      <c r="AX212" s="32">
        <f>운전실적_원본!W212</f>
        <v>0</v>
      </c>
      <c r="AY212" s="11">
        <f>운전실적_원본!X212</f>
        <v>0</v>
      </c>
      <c r="AZ212" s="11">
        <f>운전실적_원본!Y212</f>
        <v>0</v>
      </c>
      <c r="BA212" s="11">
        <f>운전실적_원본!Z212</f>
        <v>0</v>
      </c>
      <c r="BB212" s="11">
        <f>운전실적_원본!AA212</f>
        <v>0</v>
      </c>
      <c r="BC212" s="11">
        <f>운전실적_원본!AB212</f>
        <v>0</v>
      </c>
      <c r="BD212" s="32" t="str">
        <f t="shared" si="1115"/>
        <v>-</v>
      </c>
      <c r="BE212" s="11" t="str">
        <f t="shared" si="1123"/>
        <v>-</v>
      </c>
      <c r="BF212" s="11">
        <f>운전실적_원본!AE212</f>
        <v>0</v>
      </c>
      <c r="BG212" s="31">
        <f t="shared" si="1116"/>
        <v>0</v>
      </c>
      <c r="BH212" s="241">
        <f>INDEX(연료전지_원본!$A$4:$KY$369,MATCH($A212,연료전지_원본!$A$4:$A$369,0),MATCH($BH$4,연료전지_원본!$A$4:$KY$4,0))</f>
        <v>0</v>
      </c>
      <c r="BI212" s="241">
        <f>INDEX(연료전지_원본!$A$4:$KY$369,MATCH($A212,연료전지_원본!$A$4:$A$369,0),MATCH($BI$4,연료전지_원본!$A$4:$KY$4,0))</f>
        <v>0</v>
      </c>
      <c r="BJ212" s="241">
        <f>INDEX(연료전지_원본!$A$4:$KY$369,MATCH($A212,연료전지_원본!$A$4:$A$369,0),MATCH($BJ$4,연료전지_원본!$A$4:$KY$4,0))</f>
        <v>0</v>
      </c>
      <c r="BK212" s="241">
        <f>INDEX(연료전지_원본!$A$4:$KY$369,MATCH($A212,연료전지_원본!$A$4:$A$369,0),MATCH($BK$4,연료전지_원본!$A$4:$KY$4,0))</f>
        <v>0</v>
      </c>
      <c r="BL212" s="241">
        <f>INDEX(연료전지_원본!$A$4:$KY$369,MATCH($A212,연료전지_원본!$A$4:$A$369,0),MATCH($BL$4,연료전지_원본!$A$4:$KY$4,0))</f>
        <v>0</v>
      </c>
      <c r="BM212" s="241">
        <f>INDEX(연료전지_원본!$A$4:$KY$369,MATCH($A212,연료전지_원본!$A$4:$A$369,0),MATCH($BM$4,연료전지_원본!$A$4:$KY$4,0))</f>
        <v>0</v>
      </c>
      <c r="BN212" s="241">
        <f>INDEX(연료전지_원본!$A$4:$KY$369,MATCH($A212,연료전지_원본!$A$4:$A$369,0),MATCH($BN$4,연료전지_원본!$A$4:$KY$4,0))</f>
        <v>0</v>
      </c>
      <c r="BO212" s="241">
        <f>INDEX(연료전지_원본!$A$4:$KY$369,MATCH($A212,연료전지_원본!$A$4:$A$369,0),MATCH($BO$4,연료전지_원본!$A$4:$KY$4,0))</f>
        <v>0</v>
      </c>
      <c r="BP212" s="241">
        <f>INDEX(연료전지_원본!$A$4:$KY$369,MATCH($A212,연료전지_원본!$A$4:$A$369,0),MATCH($BP$4,연료전지_원본!$A$4:$KY$4,0))</f>
        <v>0</v>
      </c>
      <c r="BQ212" s="241">
        <f>INDEX(연료전지_원본!$A$4:$KY$369,MATCH($A212,연료전지_원본!$A$4:$A$369,0),MATCH($BQ$4,연료전지_원본!$A$4:$KY$4,0))</f>
        <v>0</v>
      </c>
      <c r="BR212" s="241">
        <f>INDEX(연료전지_원본!$A$4:$KY$369,MATCH($A212,연료전지_원본!$A$4:$A$369,0),MATCH($BR$4,연료전지_원본!$A$4:$KY$4,0))</f>
        <v>0</v>
      </c>
      <c r="BS212" s="241">
        <f>INDEX(연료전지_원본!$A$4:$KY$369,MATCH($A212,연료전지_원본!$A$4:$A$369,0),MATCH($BS$4,연료전지_원본!$A$4:$KY$4,0))</f>
        <v>0</v>
      </c>
      <c r="BT212" s="241">
        <f>INDEX(연료전지_원본!$A$4:$KY$369,MATCH($A212,연료전지_원본!$A$4:$A$369,0),MATCH($BT$4,연료전지_원본!$A$4:$KY$4,0))</f>
        <v>0</v>
      </c>
      <c r="BU212" s="241">
        <f>INDEX(연료전지_원본!$A$4:$KY$369,MATCH($A212,연료전지_원본!$A$4:$A$369,0),MATCH($BU$4,연료전지_원본!$A$4:$KY$4,0))</f>
        <v>0</v>
      </c>
      <c r="BV212" s="241">
        <f>INDEX(연료전지_원본!$A$4:$KY$369,MATCH($A212,연료전지_원본!$A$4:$A$369,0),MATCH($BV$4,연료전지_원본!$A$4:$KY$4,0))</f>
        <v>0</v>
      </c>
      <c r="BW212" s="241">
        <f>INDEX(연료전지_원본!$A$4:$KY$369,MATCH($A212,연료전지_원본!$A$4:$A$369,0),MATCH($BW$4,연료전지_원본!$A$4:$KY$4,0))</f>
        <v>0</v>
      </c>
      <c r="BX212" s="241">
        <f>INDEX(연료전지_원본!$A$4:$KY$369,MATCH($A212,연료전지_원본!$A$4:$A$369,0),MATCH($BX$4,연료전지_원본!$A$4:$KY$4,0))</f>
        <v>0</v>
      </c>
      <c r="BY212" s="241">
        <f>INDEX(연료전지_원본!$A$4:$KY$369,MATCH($A212,연료전지_원본!$A$4:$A$369,0),MATCH($BY$4,연료전지_원본!$A$4:$KY$4,0))</f>
        <v>0</v>
      </c>
      <c r="BZ212" s="241">
        <f>INDEX(연료전지_원본!$A$4:$KY$369,MATCH($A212,연료전지_원본!$A$4:$A$369,0),MATCH($BZ$4,연료전지_원본!$A$4:$KY$4,0))</f>
        <v>0</v>
      </c>
      <c r="CA212" s="241">
        <f>INDEX(연료전지_원본!$A$4:$KY$369,MATCH($A212,연료전지_원본!$A$4:$A$369,0),MATCH($CA$4,연료전지_원본!$A$4:$KY$4,0))</f>
        <v>0</v>
      </c>
      <c r="CB212" s="241">
        <f>INDEX(연료전지_원본!$A$4:$KY$369,MATCH($A212,연료전지_원본!$A$4:$A$369,0),MATCH($CB$4,연료전지_원본!$A$4:$KY$4,0))</f>
        <v>0</v>
      </c>
      <c r="CC212" s="242">
        <f>INDEX(연료전지_원본!$A$4:$KY$369,MATCH($A212,연료전지_원본!$A$4:$A$369,0),MATCH($CC$4,연료전지_원본!$A$4:$KY$4,0))</f>
        <v>0</v>
      </c>
      <c r="CD212" s="250">
        <f>INDEX(연료전지_원본!$KB$4:$KX$369,MATCH($A212,연료전지_원본!$KB$4:$KB$369,0), MATCH(CD$4,연료전지_원본!$KB$4:$KX$4,0))*1000</f>
        <v>0</v>
      </c>
      <c r="CE212" s="250">
        <f>INDEX(연료전지_원본!$KB$4:$KX$369,MATCH($A212,연료전지_원본!$KB$4:$KB$369,0), MATCH(CE$4,연료전지_원본!$KB$4:$KX$4,0))*1000</f>
        <v>0</v>
      </c>
      <c r="CF212" s="250">
        <f>INDEX(연료전지_원본!$KB$4:$KX$369,MATCH($A212,연료전지_원본!$KB$4:$KB$369,0), MATCH(CF$4,연료전지_원본!$KB$4:$KX$4,0))*1000</f>
        <v>0</v>
      </c>
      <c r="CG212" s="250">
        <f>INDEX(연료전지_원본!$KB$4:$KX$369,MATCH($A212,연료전지_원본!$KB$4:$KB$369,0), MATCH(CG$4,연료전지_원본!$KB$4:$KX$4,0))*1000</f>
        <v>0</v>
      </c>
      <c r="CH212" s="250">
        <f>INDEX(연료전지_원본!$KB$4:$KX$369,MATCH($A212,연료전지_원본!$KB$4:$KB$369,0), MATCH(CH$4,연료전지_원본!$KB$4:$KX$4,0))*1000</f>
        <v>0</v>
      </c>
      <c r="CI212" s="250">
        <f>INDEX(연료전지_원본!$KB$4:$KX$369,MATCH($A212,연료전지_원본!$KB$4:$KB$369,0), MATCH(CI$4,연료전지_원본!$KB$4:$KX$4,0))*1000</f>
        <v>0</v>
      </c>
      <c r="CJ212" s="250">
        <f>INDEX(연료전지_원본!$KB$4:$KX$369,MATCH($A212,연료전지_원본!$KB$4:$KB$369,0), MATCH(CJ$4,연료전지_원본!$KB$4:$KX$4,0))*1000</f>
        <v>0</v>
      </c>
      <c r="CK212" s="250">
        <f>INDEX(연료전지_원본!$KB$4:$KX$369,MATCH($A212,연료전지_원본!$KB$4:$KB$369,0), MATCH(CK$4,연료전지_원본!$KB$4:$KX$4,0))*1000</f>
        <v>0</v>
      </c>
      <c r="CL212" s="250">
        <f>INDEX(연료전지_원본!$KB$4:$KX$369,MATCH($A212,연료전지_원본!$KB$4:$KB$369,0), MATCH(CL$4,연료전지_원본!$KB$4:$KX$4,0))*1000</f>
        <v>0</v>
      </c>
      <c r="CM212" s="250">
        <f>INDEX(연료전지_원본!$KB$4:$KX$369,MATCH($A212,연료전지_원본!$KB$4:$KB$369,0), MATCH(CM$4,연료전지_원본!$KB$4:$KX$4,0))*1000</f>
        <v>0</v>
      </c>
      <c r="CN212" s="250">
        <f>INDEX(연료전지_원본!$KB$4:$KX$369,MATCH($A212,연료전지_원본!$KB$4:$KB$369,0), MATCH(CN$4,연료전지_원본!$KB$4:$KX$4,0))*1000</f>
        <v>0</v>
      </c>
      <c r="CO212" s="250">
        <f>INDEX(연료전지_원본!$KB$4:$KX$369,MATCH($A212,연료전지_원본!$KB$4:$KB$369,0), MATCH(CO$4,연료전지_원본!$KB$4:$KX$4,0))*1000</f>
        <v>0</v>
      </c>
      <c r="CP212" s="250">
        <f>INDEX(연료전지_원본!$KB$4:$KX$369,MATCH($A212,연료전지_원본!$KB$4:$KB$369,0), MATCH(CP$4,연료전지_원본!$KB$4:$KX$4,0))*1000</f>
        <v>0</v>
      </c>
      <c r="CQ212" s="250">
        <f>INDEX(연료전지_원본!$KB$4:$KX$369,MATCH($A212,연료전지_원본!$KB$4:$KB$369,0), MATCH(CQ$4,연료전지_원본!$KB$4:$KX$4,0))*1000</f>
        <v>0</v>
      </c>
      <c r="CR212" s="250">
        <f>INDEX(연료전지_원본!$KB$4:$KX$369,MATCH($A212,연료전지_원본!$KB$4:$KB$369,0), MATCH(CR$4,연료전지_원본!$KB$4:$KX$4,0))*1000</f>
        <v>0</v>
      </c>
      <c r="CS212" s="250">
        <f>INDEX(연료전지_원본!$KB$4:$KX$369,MATCH($A212,연료전지_원본!$KB$4:$KB$369,0), MATCH(CS$4,연료전지_원본!$KB$4:$KX$4,0))*1000</f>
        <v>0</v>
      </c>
      <c r="CT212" s="250">
        <f>INDEX(연료전지_원본!$KB$4:$KX$369,MATCH($A212,연료전지_원본!$KB$4:$KB$369,0), MATCH(CT$4,연료전지_원본!$KB$4:$KX$4,0))*1000</f>
        <v>0</v>
      </c>
      <c r="CU212" s="250">
        <f>INDEX(연료전지_원본!$KB$4:$KX$369,MATCH($A212,연료전지_원본!$KB$4:$KB$369,0), MATCH(CU$4,연료전지_원본!$KB$4:$KX$4,0))*1000</f>
        <v>0</v>
      </c>
      <c r="CV212" s="250">
        <f>INDEX(연료전지_원본!$KB$4:$KX$369,MATCH($A212,연료전지_원본!$KB$4:$KB$369,0), MATCH(CV$4,연료전지_원본!$KB$4:$KX$4,0))*1000</f>
        <v>0</v>
      </c>
      <c r="CW212" s="250">
        <f>INDEX(연료전지_원본!$KB$4:$KX$369,MATCH($A212,연료전지_원본!$KB$4:$KB$369,0), MATCH(CW$4,연료전지_원본!$KB$4:$KX$4,0))*1000</f>
        <v>0</v>
      </c>
      <c r="CX212" s="250">
        <f>INDEX(연료전지_원본!$KB$4:$KX$369,MATCH($A212,연료전지_원본!$KB$4:$KB$369,0), MATCH(CX$4,연료전지_원본!$KB$4:$KX$4,0))*1000</f>
        <v>0</v>
      </c>
      <c r="CY212" s="250">
        <f>INDEX(연료전지_원본!$KB$4:$KX$369,MATCH($A212,연료전지_원본!$KB$4:$KB$369,0), MATCH(CY$4,연료전지_원본!$KB$4:$KX$4,0))*1000</f>
        <v>0</v>
      </c>
      <c r="DV212" s="30">
        <f t="shared" si="954"/>
        <v>0</v>
      </c>
    </row>
    <row r="213" spans="1:126">
      <c r="A213" s="6">
        <v>46230</v>
      </c>
      <c r="B213" s="15">
        <f>운전실적_원본!B213</f>
        <v>0</v>
      </c>
      <c r="C213" s="16" t="str">
        <f t="shared" si="960"/>
        <v/>
      </c>
      <c r="D213" s="12">
        <f>운전실적_원본!C213</f>
        <v>0</v>
      </c>
      <c r="E213" s="12" t="str">
        <f t="shared" si="961"/>
        <v/>
      </c>
      <c r="F213" s="12">
        <f>운전실적_원본!D213</f>
        <v>0</v>
      </c>
      <c r="G213" s="16" t="str">
        <f t="shared" si="962"/>
        <v/>
      </c>
      <c r="H213" s="15">
        <f>운전실적_원본!E213</f>
        <v>0</v>
      </c>
      <c r="I213" s="16" t="str">
        <f t="shared" si="963"/>
        <v/>
      </c>
      <c r="J213" s="15">
        <f>운전실적_원본!F213</f>
        <v>0</v>
      </c>
      <c r="K213" s="16" t="str">
        <f t="shared" si="963"/>
        <v/>
      </c>
      <c r="L213" s="32">
        <f>운전실적_원본!G213</f>
        <v>0</v>
      </c>
      <c r="M213" s="31" t="str">
        <f t="shared" ref="M213" si="1195">IF(OR(LEN(L213)=0,L213=0),"",L213-L212)</f>
        <v/>
      </c>
      <c r="N213" s="15">
        <f>운전실적_원본!H213</f>
        <v>0</v>
      </c>
      <c r="O213" s="16" t="str">
        <f t="shared" ref="O213" si="1196">IF(OR(LEN(N213)=0,N213=0),"",N213-N212)</f>
        <v/>
      </c>
      <c r="P213" s="15">
        <f>운전실적_원본!I213</f>
        <v>0</v>
      </c>
      <c r="Q213" s="16" t="str">
        <f t="shared" ref="Q213" si="1197">IF(OR(LEN(P213)=0,P213=0),"",P213-P212)</f>
        <v/>
      </c>
      <c r="R213" s="18">
        <f>운전실적_원본!J213</f>
        <v>0</v>
      </c>
      <c r="S213" s="19" t="str">
        <f t="shared" ref="S213" si="1198">IF(OR(LEN(R213)=0,R213=0),"",R213-R212)</f>
        <v/>
      </c>
      <c r="T213" s="18">
        <f>운전실적_원본!K213</f>
        <v>0</v>
      </c>
      <c r="U213" s="19" t="str">
        <f t="shared" si="968"/>
        <v/>
      </c>
      <c r="V213" s="12">
        <f>운전실적_원본!L213</f>
        <v>0</v>
      </c>
      <c r="W213" s="16" t="str">
        <f t="shared" ref="W213" si="1199">IF(OR(LEN(V213)=0,V213=0),"",V213-V212)</f>
        <v/>
      </c>
      <c r="X213" s="10">
        <f>운전실적_원본!M213</f>
        <v>0</v>
      </c>
      <c r="Y213" s="10">
        <f>운전실적_원본!N213</f>
        <v>0</v>
      </c>
      <c r="Z213" s="10">
        <f>운전실적_원본!O213</f>
        <v>0</v>
      </c>
      <c r="AA213" s="10">
        <f>운전실적_원본!P213</f>
        <v>0</v>
      </c>
      <c r="AB213" s="10">
        <f>운전실적_원본!Q213</f>
        <v>0</v>
      </c>
      <c r="AC213" s="20">
        <f>운전실적_원본!R213</f>
        <v>0</v>
      </c>
      <c r="AD213" s="109">
        <f>운전실적_원본!S213</f>
        <v>0</v>
      </c>
      <c r="AE213" s="110">
        <f>운전실적_원본!T213</f>
        <v>0</v>
      </c>
      <c r="AF213" s="110">
        <f>운전실적_원본!U213</f>
        <v>0</v>
      </c>
      <c r="AG213" s="110">
        <f>운전실적_원본!V213</f>
        <v>0</v>
      </c>
      <c r="AH213" s="109">
        <f t="shared" si="1122"/>
        <v>0</v>
      </c>
      <c r="AI213" s="110">
        <f t="shared" si="1129"/>
        <v>0</v>
      </c>
      <c r="AJ213" s="110">
        <f>운전실적_원본!Y213</f>
        <v>0</v>
      </c>
      <c r="AK213" s="110">
        <f>운전실적_원본!Z213</f>
        <v>0</v>
      </c>
      <c r="AL213" s="106"/>
      <c r="AM213" s="105"/>
      <c r="AN213" s="105"/>
      <c r="AO213" s="105"/>
      <c r="AP213" s="105"/>
      <c r="AQ213" s="108"/>
      <c r="AR213" s="105"/>
      <c r="AS213" s="105"/>
      <c r="AT213" s="102"/>
      <c r="AU213" s="102"/>
      <c r="AV213" s="102"/>
      <c r="AW213" s="102"/>
      <c r="AX213" s="32">
        <f>운전실적_원본!W213</f>
        <v>0</v>
      </c>
      <c r="AY213" s="11">
        <f>운전실적_원본!X213</f>
        <v>0</v>
      </c>
      <c r="AZ213" s="11">
        <f>운전실적_원본!Y213</f>
        <v>0</v>
      </c>
      <c r="BA213" s="11">
        <f>운전실적_원본!Z213</f>
        <v>0</v>
      </c>
      <c r="BB213" s="11">
        <f>운전실적_원본!AA213</f>
        <v>0</v>
      </c>
      <c r="BC213" s="11">
        <f>운전실적_원본!AB213</f>
        <v>0</v>
      </c>
      <c r="BD213" s="32" t="str">
        <f t="shared" si="1115"/>
        <v>-</v>
      </c>
      <c r="BE213" s="11" t="str">
        <f t="shared" si="1123"/>
        <v>-</v>
      </c>
      <c r="BF213" s="11">
        <f>운전실적_원본!AE213</f>
        <v>0</v>
      </c>
      <c r="BG213" s="31">
        <f t="shared" si="1116"/>
        <v>0</v>
      </c>
      <c r="BH213" s="241">
        <f>INDEX(연료전지_원본!$A$4:$KY$369,MATCH($A213,연료전지_원본!$A$4:$A$369,0),MATCH($BH$4,연료전지_원본!$A$4:$KY$4,0))</f>
        <v>0</v>
      </c>
      <c r="BI213" s="241">
        <f>INDEX(연료전지_원본!$A$4:$KY$369,MATCH($A213,연료전지_원본!$A$4:$A$369,0),MATCH($BI$4,연료전지_원본!$A$4:$KY$4,0))</f>
        <v>0</v>
      </c>
      <c r="BJ213" s="241">
        <f>INDEX(연료전지_원본!$A$4:$KY$369,MATCH($A213,연료전지_원본!$A$4:$A$369,0),MATCH($BJ$4,연료전지_원본!$A$4:$KY$4,0))</f>
        <v>0</v>
      </c>
      <c r="BK213" s="241">
        <f>INDEX(연료전지_원본!$A$4:$KY$369,MATCH($A213,연료전지_원본!$A$4:$A$369,0),MATCH($BK$4,연료전지_원본!$A$4:$KY$4,0))</f>
        <v>0</v>
      </c>
      <c r="BL213" s="241">
        <f>INDEX(연료전지_원본!$A$4:$KY$369,MATCH($A213,연료전지_원본!$A$4:$A$369,0),MATCH($BL$4,연료전지_원본!$A$4:$KY$4,0))</f>
        <v>0</v>
      </c>
      <c r="BM213" s="241">
        <f>INDEX(연료전지_원본!$A$4:$KY$369,MATCH($A213,연료전지_원본!$A$4:$A$369,0),MATCH($BM$4,연료전지_원본!$A$4:$KY$4,0))</f>
        <v>0</v>
      </c>
      <c r="BN213" s="241">
        <f>INDEX(연료전지_원본!$A$4:$KY$369,MATCH($A213,연료전지_원본!$A$4:$A$369,0),MATCH($BN$4,연료전지_원본!$A$4:$KY$4,0))</f>
        <v>0</v>
      </c>
      <c r="BO213" s="241">
        <f>INDEX(연료전지_원본!$A$4:$KY$369,MATCH($A213,연료전지_원본!$A$4:$A$369,0),MATCH($BO$4,연료전지_원본!$A$4:$KY$4,0))</f>
        <v>0</v>
      </c>
      <c r="BP213" s="241">
        <f>INDEX(연료전지_원본!$A$4:$KY$369,MATCH($A213,연료전지_원본!$A$4:$A$369,0),MATCH($BP$4,연료전지_원본!$A$4:$KY$4,0))</f>
        <v>0</v>
      </c>
      <c r="BQ213" s="241">
        <f>INDEX(연료전지_원본!$A$4:$KY$369,MATCH($A213,연료전지_원본!$A$4:$A$369,0),MATCH($BQ$4,연료전지_원본!$A$4:$KY$4,0))</f>
        <v>0</v>
      </c>
      <c r="BR213" s="241">
        <f>INDEX(연료전지_원본!$A$4:$KY$369,MATCH($A213,연료전지_원본!$A$4:$A$369,0),MATCH($BR$4,연료전지_원본!$A$4:$KY$4,0))</f>
        <v>0</v>
      </c>
      <c r="BS213" s="241">
        <f>INDEX(연료전지_원본!$A$4:$KY$369,MATCH($A213,연료전지_원본!$A$4:$A$369,0),MATCH($BS$4,연료전지_원본!$A$4:$KY$4,0))</f>
        <v>0</v>
      </c>
      <c r="BT213" s="241">
        <f>INDEX(연료전지_원본!$A$4:$KY$369,MATCH($A213,연료전지_원본!$A$4:$A$369,0),MATCH($BT$4,연료전지_원본!$A$4:$KY$4,0))</f>
        <v>0</v>
      </c>
      <c r="BU213" s="241">
        <f>INDEX(연료전지_원본!$A$4:$KY$369,MATCH($A213,연료전지_원본!$A$4:$A$369,0),MATCH($BU$4,연료전지_원본!$A$4:$KY$4,0))</f>
        <v>0</v>
      </c>
      <c r="BV213" s="241">
        <f>INDEX(연료전지_원본!$A$4:$KY$369,MATCH($A213,연료전지_원본!$A$4:$A$369,0),MATCH($BV$4,연료전지_원본!$A$4:$KY$4,0))</f>
        <v>0</v>
      </c>
      <c r="BW213" s="241">
        <f>INDEX(연료전지_원본!$A$4:$KY$369,MATCH($A213,연료전지_원본!$A$4:$A$369,0),MATCH($BW$4,연료전지_원본!$A$4:$KY$4,0))</f>
        <v>0</v>
      </c>
      <c r="BX213" s="241">
        <f>INDEX(연료전지_원본!$A$4:$KY$369,MATCH($A213,연료전지_원본!$A$4:$A$369,0),MATCH($BX$4,연료전지_원본!$A$4:$KY$4,0))</f>
        <v>0</v>
      </c>
      <c r="BY213" s="241">
        <f>INDEX(연료전지_원본!$A$4:$KY$369,MATCH($A213,연료전지_원본!$A$4:$A$369,0),MATCH($BY$4,연료전지_원본!$A$4:$KY$4,0))</f>
        <v>0</v>
      </c>
      <c r="BZ213" s="241">
        <f>INDEX(연료전지_원본!$A$4:$KY$369,MATCH($A213,연료전지_원본!$A$4:$A$369,0),MATCH($BZ$4,연료전지_원본!$A$4:$KY$4,0))</f>
        <v>0</v>
      </c>
      <c r="CA213" s="241">
        <f>INDEX(연료전지_원본!$A$4:$KY$369,MATCH($A213,연료전지_원본!$A$4:$A$369,0),MATCH($CA$4,연료전지_원본!$A$4:$KY$4,0))</f>
        <v>0</v>
      </c>
      <c r="CB213" s="241">
        <f>INDEX(연료전지_원본!$A$4:$KY$369,MATCH($A213,연료전지_원본!$A$4:$A$369,0),MATCH($CB$4,연료전지_원본!$A$4:$KY$4,0))</f>
        <v>0</v>
      </c>
      <c r="CC213" s="242">
        <f>INDEX(연료전지_원본!$A$4:$KY$369,MATCH($A213,연료전지_원본!$A$4:$A$369,0),MATCH($CC$4,연료전지_원본!$A$4:$KY$4,0))</f>
        <v>0</v>
      </c>
      <c r="CD213" s="250">
        <f>INDEX(연료전지_원본!$KB$4:$KX$369,MATCH($A213,연료전지_원본!$KB$4:$KB$369,0), MATCH(CD$4,연료전지_원본!$KB$4:$KX$4,0))*1000</f>
        <v>0</v>
      </c>
      <c r="CE213" s="250">
        <f>INDEX(연료전지_원본!$KB$4:$KX$369,MATCH($A213,연료전지_원본!$KB$4:$KB$369,0), MATCH(CE$4,연료전지_원본!$KB$4:$KX$4,0))*1000</f>
        <v>0</v>
      </c>
      <c r="CF213" s="250">
        <f>INDEX(연료전지_원본!$KB$4:$KX$369,MATCH($A213,연료전지_원본!$KB$4:$KB$369,0), MATCH(CF$4,연료전지_원본!$KB$4:$KX$4,0))*1000</f>
        <v>0</v>
      </c>
      <c r="CG213" s="250">
        <f>INDEX(연료전지_원본!$KB$4:$KX$369,MATCH($A213,연료전지_원본!$KB$4:$KB$369,0), MATCH(CG$4,연료전지_원본!$KB$4:$KX$4,0))*1000</f>
        <v>0</v>
      </c>
      <c r="CH213" s="250">
        <f>INDEX(연료전지_원본!$KB$4:$KX$369,MATCH($A213,연료전지_원본!$KB$4:$KB$369,0), MATCH(CH$4,연료전지_원본!$KB$4:$KX$4,0))*1000</f>
        <v>0</v>
      </c>
      <c r="CI213" s="250">
        <f>INDEX(연료전지_원본!$KB$4:$KX$369,MATCH($A213,연료전지_원본!$KB$4:$KB$369,0), MATCH(CI$4,연료전지_원본!$KB$4:$KX$4,0))*1000</f>
        <v>0</v>
      </c>
      <c r="CJ213" s="250">
        <f>INDEX(연료전지_원본!$KB$4:$KX$369,MATCH($A213,연료전지_원본!$KB$4:$KB$369,0), MATCH(CJ$4,연료전지_원본!$KB$4:$KX$4,0))*1000</f>
        <v>0</v>
      </c>
      <c r="CK213" s="250">
        <f>INDEX(연료전지_원본!$KB$4:$KX$369,MATCH($A213,연료전지_원본!$KB$4:$KB$369,0), MATCH(CK$4,연료전지_원본!$KB$4:$KX$4,0))*1000</f>
        <v>0</v>
      </c>
      <c r="CL213" s="250">
        <f>INDEX(연료전지_원본!$KB$4:$KX$369,MATCH($A213,연료전지_원본!$KB$4:$KB$369,0), MATCH(CL$4,연료전지_원본!$KB$4:$KX$4,0))*1000</f>
        <v>0</v>
      </c>
      <c r="CM213" s="250">
        <f>INDEX(연료전지_원본!$KB$4:$KX$369,MATCH($A213,연료전지_원본!$KB$4:$KB$369,0), MATCH(CM$4,연료전지_원본!$KB$4:$KX$4,0))*1000</f>
        <v>0</v>
      </c>
      <c r="CN213" s="250">
        <f>INDEX(연료전지_원본!$KB$4:$KX$369,MATCH($A213,연료전지_원본!$KB$4:$KB$369,0), MATCH(CN$4,연료전지_원본!$KB$4:$KX$4,0))*1000</f>
        <v>0</v>
      </c>
      <c r="CO213" s="250">
        <f>INDEX(연료전지_원본!$KB$4:$KX$369,MATCH($A213,연료전지_원본!$KB$4:$KB$369,0), MATCH(CO$4,연료전지_원본!$KB$4:$KX$4,0))*1000</f>
        <v>0</v>
      </c>
      <c r="CP213" s="250">
        <f>INDEX(연료전지_원본!$KB$4:$KX$369,MATCH($A213,연료전지_원본!$KB$4:$KB$369,0), MATCH(CP$4,연료전지_원본!$KB$4:$KX$4,0))*1000</f>
        <v>0</v>
      </c>
      <c r="CQ213" s="250">
        <f>INDEX(연료전지_원본!$KB$4:$KX$369,MATCH($A213,연료전지_원본!$KB$4:$KB$369,0), MATCH(CQ$4,연료전지_원본!$KB$4:$KX$4,0))*1000</f>
        <v>0</v>
      </c>
      <c r="CR213" s="250">
        <f>INDEX(연료전지_원본!$KB$4:$KX$369,MATCH($A213,연료전지_원본!$KB$4:$KB$369,0), MATCH(CR$4,연료전지_원본!$KB$4:$KX$4,0))*1000</f>
        <v>0</v>
      </c>
      <c r="CS213" s="250">
        <f>INDEX(연료전지_원본!$KB$4:$KX$369,MATCH($A213,연료전지_원본!$KB$4:$KB$369,0), MATCH(CS$4,연료전지_원본!$KB$4:$KX$4,0))*1000</f>
        <v>0</v>
      </c>
      <c r="CT213" s="250">
        <f>INDEX(연료전지_원본!$KB$4:$KX$369,MATCH($A213,연료전지_원본!$KB$4:$KB$369,0), MATCH(CT$4,연료전지_원본!$KB$4:$KX$4,0))*1000</f>
        <v>0</v>
      </c>
      <c r="CU213" s="250">
        <f>INDEX(연료전지_원본!$KB$4:$KX$369,MATCH($A213,연료전지_원본!$KB$4:$KB$369,0), MATCH(CU$4,연료전지_원본!$KB$4:$KX$4,0))*1000</f>
        <v>0</v>
      </c>
      <c r="CV213" s="250">
        <f>INDEX(연료전지_원본!$KB$4:$KX$369,MATCH($A213,연료전지_원본!$KB$4:$KB$369,0), MATCH(CV$4,연료전지_원본!$KB$4:$KX$4,0))*1000</f>
        <v>0</v>
      </c>
      <c r="CW213" s="250">
        <f>INDEX(연료전지_원본!$KB$4:$KX$369,MATCH($A213,연료전지_원본!$KB$4:$KB$369,0), MATCH(CW$4,연료전지_원본!$KB$4:$KX$4,0))*1000</f>
        <v>0</v>
      </c>
      <c r="CX213" s="250">
        <f>INDEX(연료전지_원본!$KB$4:$KX$369,MATCH($A213,연료전지_원본!$KB$4:$KB$369,0), MATCH(CX$4,연료전지_원본!$KB$4:$KX$4,0))*1000</f>
        <v>0</v>
      </c>
      <c r="CY213" s="250">
        <f>INDEX(연료전지_원본!$KB$4:$KX$369,MATCH($A213,연료전지_원본!$KB$4:$KB$369,0), MATCH(CY$4,연료전지_원본!$KB$4:$KX$4,0))*1000</f>
        <v>0</v>
      </c>
      <c r="DV213" s="30">
        <f t="shared" si="954"/>
        <v>0</v>
      </c>
    </row>
    <row r="214" spans="1:126">
      <c r="A214" s="6">
        <v>46231</v>
      </c>
      <c r="B214" s="15">
        <f>운전실적_원본!B214</f>
        <v>0</v>
      </c>
      <c r="C214" s="16" t="str">
        <f t="shared" si="960"/>
        <v/>
      </c>
      <c r="D214" s="12">
        <f>운전실적_원본!C214</f>
        <v>0</v>
      </c>
      <c r="E214" s="12" t="str">
        <f t="shared" si="961"/>
        <v/>
      </c>
      <c r="F214" s="12">
        <f>운전실적_원본!D214</f>
        <v>0</v>
      </c>
      <c r="G214" s="16" t="str">
        <f t="shared" si="962"/>
        <v/>
      </c>
      <c r="H214" s="15">
        <f>운전실적_원본!E214</f>
        <v>0</v>
      </c>
      <c r="I214" s="16" t="str">
        <f t="shared" si="963"/>
        <v/>
      </c>
      <c r="J214" s="15">
        <f>운전실적_원본!F214</f>
        <v>0</v>
      </c>
      <c r="K214" s="16" t="str">
        <f t="shared" si="963"/>
        <v/>
      </c>
      <c r="L214" s="32">
        <f>운전실적_원본!G214</f>
        <v>0</v>
      </c>
      <c r="M214" s="31" t="str">
        <f t="shared" ref="M214" si="1200">IF(OR(LEN(L214)=0,L214=0),"",L214-L213)</f>
        <v/>
      </c>
      <c r="N214" s="15">
        <f>운전실적_원본!H214</f>
        <v>0</v>
      </c>
      <c r="O214" s="16" t="str">
        <f t="shared" ref="O214" si="1201">IF(OR(LEN(N214)=0,N214=0),"",N214-N213)</f>
        <v/>
      </c>
      <c r="P214" s="15">
        <f>운전실적_원본!I214</f>
        <v>0</v>
      </c>
      <c r="Q214" s="16" t="str">
        <f t="shared" ref="Q214" si="1202">IF(OR(LEN(P214)=0,P214=0),"",P214-P213)</f>
        <v/>
      </c>
      <c r="R214" s="18">
        <f>운전실적_원본!J214</f>
        <v>0</v>
      </c>
      <c r="S214" s="19" t="str">
        <f t="shared" ref="S214" si="1203">IF(OR(LEN(R214)=0,R214=0),"",R214-R213)</f>
        <v/>
      </c>
      <c r="T214" s="18">
        <f>운전실적_원본!K214</f>
        <v>0</v>
      </c>
      <c r="U214" s="19" t="str">
        <f t="shared" si="968"/>
        <v/>
      </c>
      <c r="V214" s="12">
        <f>운전실적_원본!L214</f>
        <v>0</v>
      </c>
      <c r="W214" s="16" t="str">
        <f t="shared" ref="W214" si="1204">IF(OR(LEN(V214)=0,V214=0),"",V214-V213)</f>
        <v/>
      </c>
      <c r="X214" s="10">
        <f>운전실적_원본!M214</f>
        <v>0</v>
      </c>
      <c r="Y214" s="10">
        <f>운전실적_원본!N214</f>
        <v>0</v>
      </c>
      <c r="Z214" s="10">
        <f>운전실적_원본!O214</f>
        <v>0</v>
      </c>
      <c r="AA214" s="10">
        <f>운전실적_원본!P214</f>
        <v>0</v>
      </c>
      <c r="AB214" s="10">
        <f>운전실적_원본!Q214</f>
        <v>0</v>
      </c>
      <c r="AC214" s="20">
        <f>운전실적_원본!R214</f>
        <v>0</v>
      </c>
      <c r="AD214" s="109">
        <f>운전실적_원본!S214</f>
        <v>0</v>
      </c>
      <c r="AE214" s="110">
        <f>운전실적_원본!T214</f>
        <v>0</v>
      </c>
      <c r="AF214" s="110">
        <f>운전실적_원본!U214</f>
        <v>0</v>
      </c>
      <c r="AG214" s="110">
        <f>운전실적_원본!V214</f>
        <v>0</v>
      </c>
      <c r="AH214" s="109">
        <f t="shared" si="1122"/>
        <v>0</v>
      </c>
      <c r="AI214" s="110">
        <f t="shared" si="1129"/>
        <v>0</v>
      </c>
      <c r="AJ214" s="110">
        <f>운전실적_원본!Y214</f>
        <v>0</v>
      </c>
      <c r="AK214" s="110">
        <f>운전실적_원본!Z214</f>
        <v>0</v>
      </c>
      <c r="AL214" s="106"/>
      <c r="AM214" s="105"/>
      <c r="AN214" s="105"/>
      <c r="AO214" s="105"/>
      <c r="AP214" s="105"/>
      <c r="AQ214" s="108"/>
      <c r="AR214" s="105"/>
      <c r="AS214" s="105"/>
      <c r="AT214" s="102"/>
      <c r="AU214" s="102"/>
      <c r="AV214" s="102"/>
      <c r="AW214" s="102"/>
      <c r="AX214" s="32">
        <f>운전실적_원본!W214</f>
        <v>0</v>
      </c>
      <c r="AY214" s="11">
        <f>운전실적_원본!X214</f>
        <v>0</v>
      </c>
      <c r="AZ214" s="11">
        <f>운전실적_원본!Y214</f>
        <v>0</v>
      </c>
      <c r="BA214" s="11">
        <f>운전실적_원본!Z214</f>
        <v>0</v>
      </c>
      <c r="BB214" s="11">
        <f>운전실적_원본!AA214</f>
        <v>0</v>
      </c>
      <c r="BC214" s="11">
        <f>운전실적_원본!AB214</f>
        <v>0</v>
      </c>
      <c r="BD214" s="32" t="str">
        <f t="shared" si="1115"/>
        <v>-</v>
      </c>
      <c r="BE214" s="11" t="str">
        <f t="shared" si="1123"/>
        <v>-</v>
      </c>
      <c r="BF214" s="11">
        <f>운전실적_원본!AE214</f>
        <v>0</v>
      </c>
      <c r="BG214" s="31">
        <f t="shared" si="1116"/>
        <v>0</v>
      </c>
      <c r="BH214" s="241">
        <f>INDEX(연료전지_원본!$A$4:$KY$369,MATCH($A214,연료전지_원본!$A$4:$A$369,0),MATCH($BH$4,연료전지_원본!$A$4:$KY$4,0))</f>
        <v>0</v>
      </c>
      <c r="BI214" s="241">
        <f>INDEX(연료전지_원본!$A$4:$KY$369,MATCH($A214,연료전지_원본!$A$4:$A$369,0),MATCH($BI$4,연료전지_원본!$A$4:$KY$4,0))</f>
        <v>0</v>
      </c>
      <c r="BJ214" s="241">
        <f>INDEX(연료전지_원본!$A$4:$KY$369,MATCH($A214,연료전지_원본!$A$4:$A$369,0),MATCH($BJ$4,연료전지_원본!$A$4:$KY$4,0))</f>
        <v>0</v>
      </c>
      <c r="BK214" s="241">
        <f>INDEX(연료전지_원본!$A$4:$KY$369,MATCH($A214,연료전지_원본!$A$4:$A$369,0),MATCH($BK$4,연료전지_원본!$A$4:$KY$4,0))</f>
        <v>0</v>
      </c>
      <c r="BL214" s="241">
        <f>INDEX(연료전지_원본!$A$4:$KY$369,MATCH($A214,연료전지_원본!$A$4:$A$369,0),MATCH($BL$4,연료전지_원본!$A$4:$KY$4,0))</f>
        <v>0</v>
      </c>
      <c r="BM214" s="241">
        <f>INDEX(연료전지_원본!$A$4:$KY$369,MATCH($A214,연료전지_원본!$A$4:$A$369,0),MATCH($BM$4,연료전지_원본!$A$4:$KY$4,0))</f>
        <v>0</v>
      </c>
      <c r="BN214" s="241">
        <f>INDEX(연료전지_원본!$A$4:$KY$369,MATCH($A214,연료전지_원본!$A$4:$A$369,0),MATCH($BN$4,연료전지_원본!$A$4:$KY$4,0))</f>
        <v>0</v>
      </c>
      <c r="BO214" s="241">
        <f>INDEX(연료전지_원본!$A$4:$KY$369,MATCH($A214,연료전지_원본!$A$4:$A$369,0),MATCH($BO$4,연료전지_원본!$A$4:$KY$4,0))</f>
        <v>0</v>
      </c>
      <c r="BP214" s="241">
        <f>INDEX(연료전지_원본!$A$4:$KY$369,MATCH($A214,연료전지_원본!$A$4:$A$369,0),MATCH($BP$4,연료전지_원본!$A$4:$KY$4,0))</f>
        <v>0</v>
      </c>
      <c r="BQ214" s="241">
        <f>INDEX(연료전지_원본!$A$4:$KY$369,MATCH($A214,연료전지_원본!$A$4:$A$369,0),MATCH($BQ$4,연료전지_원본!$A$4:$KY$4,0))</f>
        <v>0</v>
      </c>
      <c r="BR214" s="241">
        <f>INDEX(연료전지_원본!$A$4:$KY$369,MATCH($A214,연료전지_원본!$A$4:$A$369,0),MATCH($BR$4,연료전지_원본!$A$4:$KY$4,0))</f>
        <v>0</v>
      </c>
      <c r="BS214" s="241">
        <f>INDEX(연료전지_원본!$A$4:$KY$369,MATCH($A214,연료전지_원본!$A$4:$A$369,0),MATCH($BS$4,연료전지_원본!$A$4:$KY$4,0))</f>
        <v>0</v>
      </c>
      <c r="BT214" s="241">
        <f>INDEX(연료전지_원본!$A$4:$KY$369,MATCH($A214,연료전지_원본!$A$4:$A$369,0),MATCH($BT$4,연료전지_원본!$A$4:$KY$4,0))</f>
        <v>0</v>
      </c>
      <c r="BU214" s="241">
        <f>INDEX(연료전지_원본!$A$4:$KY$369,MATCH($A214,연료전지_원본!$A$4:$A$369,0),MATCH($BU$4,연료전지_원본!$A$4:$KY$4,0))</f>
        <v>0</v>
      </c>
      <c r="BV214" s="241">
        <f>INDEX(연료전지_원본!$A$4:$KY$369,MATCH($A214,연료전지_원본!$A$4:$A$369,0),MATCH($BV$4,연료전지_원본!$A$4:$KY$4,0))</f>
        <v>0</v>
      </c>
      <c r="BW214" s="241">
        <f>INDEX(연료전지_원본!$A$4:$KY$369,MATCH($A214,연료전지_원본!$A$4:$A$369,0),MATCH($BW$4,연료전지_원본!$A$4:$KY$4,0))</f>
        <v>0</v>
      </c>
      <c r="BX214" s="241">
        <f>INDEX(연료전지_원본!$A$4:$KY$369,MATCH($A214,연료전지_원본!$A$4:$A$369,0),MATCH($BX$4,연료전지_원본!$A$4:$KY$4,0))</f>
        <v>0</v>
      </c>
      <c r="BY214" s="241">
        <f>INDEX(연료전지_원본!$A$4:$KY$369,MATCH($A214,연료전지_원본!$A$4:$A$369,0),MATCH($BY$4,연료전지_원본!$A$4:$KY$4,0))</f>
        <v>0</v>
      </c>
      <c r="BZ214" s="241">
        <f>INDEX(연료전지_원본!$A$4:$KY$369,MATCH($A214,연료전지_원본!$A$4:$A$369,0),MATCH($BZ$4,연료전지_원본!$A$4:$KY$4,0))</f>
        <v>0</v>
      </c>
      <c r="CA214" s="241">
        <f>INDEX(연료전지_원본!$A$4:$KY$369,MATCH($A214,연료전지_원본!$A$4:$A$369,0),MATCH($CA$4,연료전지_원본!$A$4:$KY$4,0))</f>
        <v>0</v>
      </c>
      <c r="CB214" s="241">
        <f>INDEX(연료전지_원본!$A$4:$KY$369,MATCH($A214,연료전지_원본!$A$4:$A$369,0),MATCH($CB$4,연료전지_원본!$A$4:$KY$4,0))</f>
        <v>0</v>
      </c>
      <c r="CC214" s="242">
        <f>INDEX(연료전지_원본!$A$4:$KY$369,MATCH($A214,연료전지_원본!$A$4:$A$369,0),MATCH($CC$4,연료전지_원본!$A$4:$KY$4,0))</f>
        <v>0</v>
      </c>
      <c r="CD214" s="250">
        <f>INDEX(연료전지_원본!$KB$4:$KX$369,MATCH($A214,연료전지_원본!$KB$4:$KB$369,0), MATCH(CD$4,연료전지_원본!$KB$4:$KX$4,0))*1000</f>
        <v>0</v>
      </c>
      <c r="CE214" s="250">
        <f>INDEX(연료전지_원본!$KB$4:$KX$369,MATCH($A214,연료전지_원본!$KB$4:$KB$369,0), MATCH(CE$4,연료전지_원본!$KB$4:$KX$4,0))*1000</f>
        <v>0</v>
      </c>
      <c r="CF214" s="250">
        <f>INDEX(연료전지_원본!$KB$4:$KX$369,MATCH($A214,연료전지_원본!$KB$4:$KB$369,0), MATCH(CF$4,연료전지_원본!$KB$4:$KX$4,0))*1000</f>
        <v>0</v>
      </c>
      <c r="CG214" s="250">
        <f>INDEX(연료전지_원본!$KB$4:$KX$369,MATCH($A214,연료전지_원본!$KB$4:$KB$369,0), MATCH(CG$4,연료전지_원본!$KB$4:$KX$4,0))*1000</f>
        <v>0</v>
      </c>
      <c r="CH214" s="250">
        <f>INDEX(연료전지_원본!$KB$4:$KX$369,MATCH($A214,연료전지_원본!$KB$4:$KB$369,0), MATCH(CH$4,연료전지_원본!$KB$4:$KX$4,0))*1000</f>
        <v>0</v>
      </c>
      <c r="CI214" s="250">
        <f>INDEX(연료전지_원본!$KB$4:$KX$369,MATCH($A214,연료전지_원본!$KB$4:$KB$369,0), MATCH(CI$4,연료전지_원본!$KB$4:$KX$4,0))*1000</f>
        <v>0</v>
      </c>
      <c r="CJ214" s="250">
        <f>INDEX(연료전지_원본!$KB$4:$KX$369,MATCH($A214,연료전지_원본!$KB$4:$KB$369,0), MATCH(CJ$4,연료전지_원본!$KB$4:$KX$4,0))*1000</f>
        <v>0</v>
      </c>
      <c r="CK214" s="250">
        <f>INDEX(연료전지_원본!$KB$4:$KX$369,MATCH($A214,연료전지_원본!$KB$4:$KB$369,0), MATCH(CK$4,연료전지_원본!$KB$4:$KX$4,0))*1000</f>
        <v>0</v>
      </c>
      <c r="CL214" s="250">
        <f>INDEX(연료전지_원본!$KB$4:$KX$369,MATCH($A214,연료전지_원본!$KB$4:$KB$369,0), MATCH(CL$4,연료전지_원본!$KB$4:$KX$4,0))*1000</f>
        <v>0</v>
      </c>
      <c r="CM214" s="250">
        <f>INDEX(연료전지_원본!$KB$4:$KX$369,MATCH($A214,연료전지_원본!$KB$4:$KB$369,0), MATCH(CM$4,연료전지_원본!$KB$4:$KX$4,0))*1000</f>
        <v>0</v>
      </c>
      <c r="CN214" s="250">
        <f>INDEX(연료전지_원본!$KB$4:$KX$369,MATCH($A214,연료전지_원본!$KB$4:$KB$369,0), MATCH(CN$4,연료전지_원본!$KB$4:$KX$4,0))*1000</f>
        <v>0</v>
      </c>
      <c r="CO214" s="250">
        <f>INDEX(연료전지_원본!$KB$4:$KX$369,MATCH($A214,연료전지_원본!$KB$4:$KB$369,0), MATCH(CO$4,연료전지_원본!$KB$4:$KX$4,0))*1000</f>
        <v>0</v>
      </c>
      <c r="CP214" s="250">
        <f>INDEX(연료전지_원본!$KB$4:$KX$369,MATCH($A214,연료전지_원본!$KB$4:$KB$369,0), MATCH(CP$4,연료전지_원본!$KB$4:$KX$4,0))*1000</f>
        <v>0</v>
      </c>
      <c r="CQ214" s="250">
        <f>INDEX(연료전지_원본!$KB$4:$KX$369,MATCH($A214,연료전지_원본!$KB$4:$KB$369,0), MATCH(CQ$4,연료전지_원본!$KB$4:$KX$4,0))*1000</f>
        <v>0</v>
      </c>
      <c r="CR214" s="250">
        <f>INDEX(연료전지_원본!$KB$4:$KX$369,MATCH($A214,연료전지_원본!$KB$4:$KB$369,0), MATCH(CR$4,연료전지_원본!$KB$4:$KX$4,0))*1000</f>
        <v>0</v>
      </c>
      <c r="CS214" s="250">
        <f>INDEX(연료전지_원본!$KB$4:$KX$369,MATCH($A214,연료전지_원본!$KB$4:$KB$369,0), MATCH(CS$4,연료전지_원본!$KB$4:$KX$4,0))*1000</f>
        <v>0</v>
      </c>
      <c r="CT214" s="250">
        <f>INDEX(연료전지_원본!$KB$4:$KX$369,MATCH($A214,연료전지_원본!$KB$4:$KB$369,0), MATCH(CT$4,연료전지_원본!$KB$4:$KX$4,0))*1000</f>
        <v>0</v>
      </c>
      <c r="CU214" s="250">
        <f>INDEX(연료전지_원본!$KB$4:$KX$369,MATCH($A214,연료전지_원본!$KB$4:$KB$369,0), MATCH(CU$4,연료전지_원본!$KB$4:$KX$4,0))*1000</f>
        <v>0</v>
      </c>
      <c r="CV214" s="250">
        <f>INDEX(연료전지_원본!$KB$4:$KX$369,MATCH($A214,연료전지_원본!$KB$4:$KB$369,0), MATCH(CV$4,연료전지_원본!$KB$4:$KX$4,0))*1000</f>
        <v>0</v>
      </c>
      <c r="CW214" s="250">
        <f>INDEX(연료전지_원본!$KB$4:$KX$369,MATCH($A214,연료전지_원본!$KB$4:$KB$369,0), MATCH(CW$4,연료전지_원본!$KB$4:$KX$4,0))*1000</f>
        <v>0</v>
      </c>
      <c r="CX214" s="250">
        <f>INDEX(연료전지_원본!$KB$4:$KX$369,MATCH($A214,연료전지_원본!$KB$4:$KB$369,0), MATCH(CX$4,연료전지_원본!$KB$4:$KX$4,0))*1000</f>
        <v>0</v>
      </c>
      <c r="CY214" s="250">
        <f>INDEX(연료전지_원본!$KB$4:$KX$369,MATCH($A214,연료전지_원본!$KB$4:$KB$369,0), MATCH(CY$4,연료전지_원본!$KB$4:$KX$4,0))*1000</f>
        <v>0</v>
      </c>
      <c r="DV214" s="30">
        <f t="shared" si="954"/>
        <v>0</v>
      </c>
    </row>
    <row r="215" spans="1:126">
      <c r="A215" s="6">
        <v>46232</v>
      </c>
      <c r="B215" s="15">
        <f>운전실적_원본!B215</f>
        <v>0</v>
      </c>
      <c r="C215" s="16" t="str">
        <f t="shared" si="960"/>
        <v/>
      </c>
      <c r="D215" s="12">
        <f>운전실적_원본!C215</f>
        <v>0</v>
      </c>
      <c r="E215" s="12" t="str">
        <f t="shared" si="961"/>
        <v/>
      </c>
      <c r="F215" s="12">
        <f>운전실적_원본!D215</f>
        <v>0</v>
      </c>
      <c r="G215" s="16" t="str">
        <f t="shared" si="962"/>
        <v/>
      </c>
      <c r="H215" s="15">
        <f>운전실적_원본!E215</f>
        <v>0</v>
      </c>
      <c r="I215" s="16" t="str">
        <f t="shared" si="963"/>
        <v/>
      </c>
      <c r="J215" s="15">
        <f>운전실적_원본!F215</f>
        <v>0</v>
      </c>
      <c r="K215" s="16" t="str">
        <f t="shared" si="963"/>
        <v/>
      </c>
      <c r="L215" s="32">
        <f>운전실적_원본!G215</f>
        <v>0</v>
      </c>
      <c r="M215" s="31" t="str">
        <f t="shared" ref="M215" si="1205">IF(OR(LEN(L215)=0,L215=0),"",L215-L214)</f>
        <v/>
      </c>
      <c r="N215" s="15">
        <f>운전실적_원본!H215</f>
        <v>0</v>
      </c>
      <c r="O215" s="16" t="str">
        <f t="shared" ref="O215" si="1206">IF(OR(LEN(N215)=0,N215=0),"",N215-N214)</f>
        <v/>
      </c>
      <c r="P215" s="15">
        <f>운전실적_원본!I215</f>
        <v>0</v>
      </c>
      <c r="Q215" s="16" t="str">
        <f t="shared" ref="Q215" si="1207">IF(OR(LEN(P215)=0,P215=0),"",P215-P214)</f>
        <v/>
      </c>
      <c r="R215" s="18">
        <f>운전실적_원본!J215</f>
        <v>0</v>
      </c>
      <c r="S215" s="19" t="str">
        <f t="shared" ref="S215" si="1208">IF(OR(LEN(R215)=0,R215=0),"",R215-R214)</f>
        <v/>
      </c>
      <c r="T215" s="18">
        <f>운전실적_원본!K215</f>
        <v>0</v>
      </c>
      <c r="U215" s="19" t="str">
        <f t="shared" si="968"/>
        <v/>
      </c>
      <c r="V215" s="12">
        <f>운전실적_원본!L215</f>
        <v>0</v>
      </c>
      <c r="W215" s="16" t="str">
        <f t="shared" ref="W215" si="1209">IF(OR(LEN(V215)=0,V215=0),"",V215-V214)</f>
        <v/>
      </c>
      <c r="X215" s="10">
        <f>운전실적_원본!M215</f>
        <v>0</v>
      </c>
      <c r="Y215" s="10">
        <f>운전실적_원본!N215</f>
        <v>0</v>
      </c>
      <c r="Z215" s="10">
        <f>운전실적_원본!O215</f>
        <v>0</v>
      </c>
      <c r="AA215" s="10">
        <f>운전실적_원본!P215</f>
        <v>0</v>
      </c>
      <c r="AB215" s="10">
        <f>운전실적_원본!Q215</f>
        <v>0</v>
      </c>
      <c r="AC215" s="20">
        <f>운전실적_원본!R215</f>
        <v>0</v>
      </c>
      <c r="AD215" s="109">
        <f>운전실적_원본!S215</f>
        <v>0</v>
      </c>
      <c r="AE215" s="110">
        <f>운전실적_원본!T215</f>
        <v>0</v>
      </c>
      <c r="AF215" s="110">
        <f>운전실적_원본!U215</f>
        <v>0</v>
      </c>
      <c r="AG215" s="110">
        <f>운전실적_원본!V215</f>
        <v>0</v>
      </c>
      <c r="AH215" s="109">
        <f t="shared" si="1122"/>
        <v>0</v>
      </c>
      <c r="AI215" s="110">
        <f t="shared" si="1129"/>
        <v>0</v>
      </c>
      <c r="AJ215" s="110">
        <f>운전실적_원본!Y215</f>
        <v>0</v>
      </c>
      <c r="AK215" s="110">
        <f>운전실적_원본!Z215</f>
        <v>0</v>
      </c>
      <c r="AL215" s="106"/>
      <c r="AM215" s="105"/>
      <c r="AN215" s="105"/>
      <c r="AO215" s="105"/>
      <c r="AP215" s="105"/>
      <c r="AQ215" s="108"/>
      <c r="AR215" s="105"/>
      <c r="AS215" s="105"/>
      <c r="AT215" s="102"/>
      <c r="AU215" s="102"/>
      <c r="AV215" s="102"/>
      <c r="AW215" s="102"/>
      <c r="AX215" s="32">
        <f>운전실적_원본!W215</f>
        <v>0</v>
      </c>
      <c r="AY215" s="11">
        <f>운전실적_원본!X215</f>
        <v>0</v>
      </c>
      <c r="AZ215" s="11">
        <f>운전실적_원본!Y215</f>
        <v>0</v>
      </c>
      <c r="BA215" s="11">
        <f>운전실적_원본!Z215</f>
        <v>0</v>
      </c>
      <c r="BB215" s="11">
        <f>운전실적_원본!AA215</f>
        <v>0</v>
      </c>
      <c r="BC215" s="11">
        <f>운전실적_원본!AB215</f>
        <v>0</v>
      </c>
      <c r="BD215" s="32" t="str">
        <f t="shared" si="1115"/>
        <v>-</v>
      </c>
      <c r="BE215" s="11" t="str">
        <f t="shared" si="1123"/>
        <v>-</v>
      </c>
      <c r="BF215" s="11">
        <f>운전실적_원본!AE215</f>
        <v>0</v>
      </c>
      <c r="BG215" s="31">
        <f t="shared" si="1116"/>
        <v>0</v>
      </c>
      <c r="BH215" s="241">
        <f>INDEX(연료전지_원본!$A$4:$KY$369,MATCH($A215,연료전지_원본!$A$4:$A$369,0),MATCH($BH$4,연료전지_원본!$A$4:$KY$4,0))</f>
        <v>0</v>
      </c>
      <c r="BI215" s="241">
        <f>INDEX(연료전지_원본!$A$4:$KY$369,MATCH($A215,연료전지_원본!$A$4:$A$369,0),MATCH($BI$4,연료전지_원본!$A$4:$KY$4,0))</f>
        <v>0</v>
      </c>
      <c r="BJ215" s="241">
        <f>INDEX(연료전지_원본!$A$4:$KY$369,MATCH($A215,연료전지_원본!$A$4:$A$369,0),MATCH($BJ$4,연료전지_원본!$A$4:$KY$4,0))</f>
        <v>0</v>
      </c>
      <c r="BK215" s="241">
        <f>INDEX(연료전지_원본!$A$4:$KY$369,MATCH($A215,연료전지_원본!$A$4:$A$369,0),MATCH($BK$4,연료전지_원본!$A$4:$KY$4,0))</f>
        <v>0</v>
      </c>
      <c r="BL215" s="241">
        <f>INDEX(연료전지_원본!$A$4:$KY$369,MATCH($A215,연료전지_원본!$A$4:$A$369,0),MATCH($BL$4,연료전지_원본!$A$4:$KY$4,0))</f>
        <v>0</v>
      </c>
      <c r="BM215" s="241">
        <f>INDEX(연료전지_원본!$A$4:$KY$369,MATCH($A215,연료전지_원본!$A$4:$A$369,0),MATCH($BM$4,연료전지_원본!$A$4:$KY$4,0))</f>
        <v>0</v>
      </c>
      <c r="BN215" s="241">
        <f>INDEX(연료전지_원본!$A$4:$KY$369,MATCH($A215,연료전지_원본!$A$4:$A$369,0),MATCH($BN$4,연료전지_원본!$A$4:$KY$4,0))</f>
        <v>0</v>
      </c>
      <c r="BO215" s="241">
        <f>INDEX(연료전지_원본!$A$4:$KY$369,MATCH($A215,연료전지_원본!$A$4:$A$369,0),MATCH($BO$4,연료전지_원본!$A$4:$KY$4,0))</f>
        <v>0</v>
      </c>
      <c r="BP215" s="241">
        <f>INDEX(연료전지_원본!$A$4:$KY$369,MATCH($A215,연료전지_원본!$A$4:$A$369,0),MATCH($BP$4,연료전지_원본!$A$4:$KY$4,0))</f>
        <v>0</v>
      </c>
      <c r="BQ215" s="241">
        <f>INDEX(연료전지_원본!$A$4:$KY$369,MATCH($A215,연료전지_원본!$A$4:$A$369,0),MATCH($BQ$4,연료전지_원본!$A$4:$KY$4,0))</f>
        <v>0</v>
      </c>
      <c r="BR215" s="241">
        <f>INDEX(연료전지_원본!$A$4:$KY$369,MATCH($A215,연료전지_원본!$A$4:$A$369,0),MATCH($BR$4,연료전지_원본!$A$4:$KY$4,0))</f>
        <v>0</v>
      </c>
      <c r="BS215" s="241">
        <f>INDEX(연료전지_원본!$A$4:$KY$369,MATCH($A215,연료전지_원본!$A$4:$A$369,0),MATCH($BS$4,연료전지_원본!$A$4:$KY$4,0))</f>
        <v>0</v>
      </c>
      <c r="BT215" s="241">
        <f>INDEX(연료전지_원본!$A$4:$KY$369,MATCH($A215,연료전지_원본!$A$4:$A$369,0),MATCH($BT$4,연료전지_원본!$A$4:$KY$4,0))</f>
        <v>0</v>
      </c>
      <c r="BU215" s="241">
        <f>INDEX(연료전지_원본!$A$4:$KY$369,MATCH($A215,연료전지_원본!$A$4:$A$369,0),MATCH($BU$4,연료전지_원본!$A$4:$KY$4,0))</f>
        <v>0</v>
      </c>
      <c r="BV215" s="241">
        <f>INDEX(연료전지_원본!$A$4:$KY$369,MATCH($A215,연료전지_원본!$A$4:$A$369,0),MATCH($BV$4,연료전지_원본!$A$4:$KY$4,0))</f>
        <v>0</v>
      </c>
      <c r="BW215" s="241">
        <f>INDEX(연료전지_원본!$A$4:$KY$369,MATCH($A215,연료전지_원본!$A$4:$A$369,0),MATCH($BW$4,연료전지_원본!$A$4:$KY$4,0))</f>
        <v>0</v>
      </c>
      <c r="BX215" s="241">
        <f>INDEX(연료전지_원본!$A$4:$KY$369,MATCH($A215,연료전지_원본!$A$4:$A$369,0),MATCH($BX$4,연료전지_원본!$A$4:$KY$4,0))</f>
        <v>0</v>
      </c>
      <c r="BY215" s="241">
        <f>INDEX(연료전지_원본!$A$4:$KY$369,MATCH($A215,연료전지_원본!$A$4:$A$369,0),MATCH($BY$4,연료전지_원본!$A$4:$KY$4,0))</f>
        <v>0</v>
      </c>
      <c r="BZ215" s="241">
        <f>INDEX(연료전지_원본!$A$4:$KY$369,MATCH($A215,연료전지_원본!$A$4:$A$369,0),MATCH($BZ$4,연료전지_원본!$A$4:$KY$4,0))</f>
        <v>0</v>
      </c>
      <c r="CA215" s="241">
        <f>INDEX(연료전지_원본!$A$4:$KY$369,MATCH($A215,연료전지_원본!$A$4:$A$369,0),MATCH($CA$4,연료전지_원본!$A$4:$KY$4,0))</f>
        <v>0</v>
      </c>
      <c r="CB215" s="241">
        <f>INDEX(연료전지_원본!$A$4:$KY$369,MATCH($A215,연료전지_원본!$A$4:$A$369,0),MATCH($CB$4,연료전지_원본!$A$4:$KY$4,0))</f>
        <v>0</v>
      </c>
      <c r="CC215" s="242">
        <f>INDEX(연료전지_원본!$A$4:$KY$369,MATCH($A215,연료전지_원본!$A$4:$A$369,0),MATCH($CC$4,연료전지_원본!$A$4:$KY$4,0))</f>
        <v>0</v>
      </c>
      <c r="CD215" s="250">
        <f>INDEX(연료전지_원본!$KB$4:$KX$369,MATCH($A215,연료전지_원본!$KB$4:$KB$369,0), MATCH(CD$4,연료전지_원본!$KB$4:$KX$4,0))*1000</f>
        <v>0</v>
      </c>
      <c r="CE215" s="250">
        <f>INDEX(연료전지_원본!$KB$4:$KX$369,MATCH($A215,연료전지_원본!$KB$4:$KB$369,0), MATCH(CE$4,연료전지_원본!$KB$4:$KX$4,0))*1000</f>
        <v>0</v>
      </c>
      <c r="CF215" s="250">
        <f>INDEX(연료전지_원본!$KB$4:$KX$369,MATCH($A215,연료전지_원본!$KB$4:$KB$369,0), MATCH(CF$4,연료전지_원본!$KB$4:$KX$4,0))*1000</f>
        <v>0</v>
      </c>
      <c r="CG215" s="250">
        <f>INDEX(연료전지_원본!$KB$4:$KX$369,MATCH($A215,연료전지_원본!$KB$4:$KB$369,0), MATCH(CG$4,연료전지_원본!$KB$4:$KX$4,0))*1000</f>
        <v>0</v>
      </c>
      <c r="CH215" s="250">
        <f>INDEX(연료전지_원본!$KB$4:$KX$369,MATCH($A215,연료전지_원본!$KB$4:$KB$369,0), MATCH(CH$4,연료전지_원본!$KB$4:$KX$4,0))*1000</f>
        <v>0</v>
      </c>
      <c r="CI215" s="250">
        <f>INDEX(연료전지_원본!$KB$4:$KX$369,MATCH($A215,연료전지_원본!$KB$4:$KB$369,0), MATCH(CI$4,연료전지_원본!$KB$4:$KX$4,0))*1000</f>
        <v>0</v>
      </c>
      <c r="CJ215" s="250">
        <f>INDEX(연료전지_원본!$KB$4:$KX$369,MATCH($A215,연료전지_원본!$KB$4:$KB$369,0), MATCH(CJ$4,연료전지_원본!$KB$4:$KX$4,0))*1000</f>
        <v>0</v>
      </c>
      <c r="CK215" s="250">
        <f>INDEX(연료전지_원본!$KB$4:$KX$369,MATCH($A215,연료전지_원본!$KB$4:$KB$369,0), MATCH(CK$4,연료전지_원본!$KB$4:$KX$4,0))*1000</f>
        <v>0</v>
      </c>
      <c r="CL215" s="250">
        <f>INDEX(연료전지_원본!$KB$4:$KX$369,MATCH($A215,연료전지_원본!$KB$4:$KB$369,0), MATCH(CL$4,연료전지_원본!$KB$4:$KX$4,0))*1000</f>
        <v>0</v>
      </c>
      <c r="CM215" s="250">
        <f>INDEX(연료전지_원본!$KB$4:$KX$369,MATCH($A215,연료전지_원본!$KB$4:$KB$369,0), MATCH(CM$4,연료전지_원본!$KB$4:$KX$4,0))*1000</f>
        <v>0</v>
      </c>
      <c r="CN215" s="250">
        <f>INDEX(연료전지_원본!$KB$4:$KX$369,MATCH($A215,연료전지_원본!$KB$4:$KB$369,0), MATCH(CN$4,연료전지_원본!$KB$4:$KX$4,0))*1000</f>
        <v>0</v>
      </c>
      <c r="CO215" s="250">
        <f>INDEX(연료전지_원본!$KB$4:$KX$369,MATCH($A215,연료전지_원본!$KB$4:$KB$369,0), MATCH(CO$4,연료전지_원본!$KB$4:$KX$4,0))*1000</f>
        <v>0</v>
      </c>
      <c r="CP215" s="250">
        <f>INDEX(연료전지_원본!$KB$4:$KX$369,MATCH($A215,연료전지_원본!$KB$4:$KB$369,0), MATCH(CP$4,연료전지_원본!$KB$4:$KX$4,0))*1000</f>
        <v>0</v>
      </c>
      <c r="CQ215" s="250">
        <f>INDEX(연료전지_원본!$KB$4:$KX$369,MATCH($A215,연료전지_원본!$KB$4:$KB$369,0), MATCH(CQ$4,연료전지_원본!$KB$4:$KX$4,0))*1000</f>
        <v>0</v>
      </c>
      <c r="CR215" s="250">
        <f>INDEX(연료전지_원본!$KB$4:$KX$369,MATCH($A215,연료전지_원본!$KB$4:$KB$369,0), MATCH(CR$4,연료전지_원본!$KB$4:$KX$4,0))*1000</f>
        <v>0</v>
      </c>
      <c r="CS215" s="250">
        <f>INDEX(연료전지_원본!$KB$4:$KX$369,MATCH($A215,연료전지_원본!$KB$4:$KB$369,0), MATCH(CS$4,연료전지_원본!$KB$4:$KX$4,0))*1000</f>
        <v>0</v>
      </c>
      <c r="CT215" s="250">
        <f>INDEX(연료전지_원본!$KB$4:$KX$369,MATCH($A215,연료전지_원본!$KB$4:$KB$369,0), MATCH(CT$4,연료전지_원본!$KB$4:$KX$4,0))*1000</f>
        <v>0</v>
      </c>
      <c r="CU215" s="250">
        <f>INDEX(연료전지_원본!$KB$4:$KX$369,MATCH($A215,연료전지_원본!$KB$4:$KB$369,0), MATCH(CU$4,연료전지_원본!$KB$4:$KX$4,0))*1000</f>
        <v>0</v>
      </c>
      <c r="CV215" s="250">
        <f>INDEX(연료전지_원본!$KB$4:$KX$369,MATCH($A215,연료전지_원본!$KB$4:$KB$369,0), MATCH(CV$4,연료전지_원본!$KB$4:$KX$4,0))*1000</f>
        <v>0</v>
      </c>
      <c r="CW215" s="250">
        <f>INDEX(연료전지_원본!$KB$4:$KX$369,MATCH($A215,연료전지_원본!$KB$4:$KB$369,0), MATCH(CW$4,연료전지_원본!$KB$4:$KX$4,0))*1000</f>
        <v>0</v>
      </c>
      <c r="CX215" s="250">
        <f>INDEX(연료전지_원본!$KB$4:$KX$369,MATCH($A215,연료전지_원본!$KB$4:$KB$369,0), MATCH(CX$4,연료전지_원본!$KB$4:$KX$4,0))*1000</f>
        <v>0</v>
      </c>
      <c r="CY215" s="250">
        <f>INDEX(연료전지_원본!$KB$4:$KX$369,MATCH($A215,연료전지_원본!$KB$4:$KB$369,0), MATCH(CY$4,연료전지_원본!$KB$4:$KX$4,0))*1000</f>
        <v>0</v>
      </c>
      <c r="DV215" s="30">
        <f t="shared" si="954"/>
        <v>0</v>
      </c>
    </row>
    <row r="216" spans="1:126">
      <c r="A216" s="6">
        <v>46233</v>
      </c>
      <c r="B216" s="15">
        <f>운전실적_원본!B216</f>
        <v>0</v>
      </c>
      <c r="C216" s="16" t="str">
        <f t="shared" si="960"/>
        <v/>
      </c>
      <c r="D216" s="12">
        <f>운전실적_원본!C216</f>
        <v>0</v>
      </c>
      <c r="E216" s="12" t="str">
        <f t="shared" si="961"/>
        <v/>
      </c>
      <c r="F216" s="12">
        <f>운전실적_원본!D216</f>
        <v>0</v>
      </c>
      <c r="G216" s="16" t="str">
        <f t="shared" si="962"/>
        <v/>
      </c>
      <c r="H216" s="15">
        <f>운전실적_원본!E216</f>
        <v>0</v>
      </c>
      <c r="I216" s="16" t="str">
        <f t="shared" si="963"/>
        <v/>
      </c>
      <c r="J216" s="15">
        <f>운전실적_원본!F216</f>
        <v>0</v>
      </c>
      <c r="K216" s="16" t="str">
        <f t="shared" si="963"/>
        <v/>
      </c>
      <c r="L216" s="32">
        <f>운전실적_원본!G216</f>
        <v>0</v>
      </c>
      <c r="M216" s="31" t="str">
        <f t="shared" ref="M216" si="1210">IF(OR(LEN(L216)=0,L216=0),"",L216-L215)</f>
        <v/>
      </c>
      <c r="N216" s="15">
        <f>운전실적_원본!H216</f>
        <v>0</v>
      </c>
      <c r="O216" s="16" t="str">
        <f t="shared" ref="O216" si="1211">IF(OR(LEN(N216)=0,N216=0),"",N216-N215)</f>
        <v/>
      </c>
      <c r="P216" s="15">
        <f>운전실적_원본!I216</f>
        <v>0</v>
      </c>
      <c r="Q216" s="16" t="str">
        <f t="shared" ref="Q216" si="1212">IF(OR(LEN(P216)=0,P216=0),"",P216-P215)</f>
        <v/>
      </c>
      <c r="R216" s="18">
        <f>운전실적_원본!J216</f>
        <v>0</v>
      </c>
      <c r="S216" s="19" t="str">
        <f t="shared" ref="S216" si="1213">IF(OR(LEN(R216)=0,R216=0),"",R216-R215)</f>
        <v/>
      </c>
      <c r="T216" s="18">
        <f>운전실적_원본!K216</f>
        <v>0</v>
      </c>
      <c r="U216" s="19" t="str">
        <f t="shared" si="968"/>
        <v/>
      </c>
      <c r="V216" s="12">
        <f>운전실적_원본!L216</f>
        <v>0</v>
      </c>
      <c r="W216" s="16" t="str">
        <f t="shared" ref="W216" si="1214">IF(OR(LEN(V216)=0,V216=0),"",V216-V215)</f>
        <v/>
      </c>
      <c r="X216" s="10">
        <f>운전실적_원본!M216</f>
        <v>0</v>
      </c>
      <c r="Y216" s="10">
        <f>운전실적_원본!N216</f>
        <v>0</v>
      </c>
      <c r="Z216" s="10">
        <f>운전실적_원본!O216</f>
        <v>0</v>
      </c>
      <c r="AA216" s="10">
        <f>운전실적_원본!P216</f>
        <v>0</v>
      </c>
      <c r="AB216" s="10">
        <f>운전실적_원본!Q216</f>
        <v>0</v>
      </c>
      <c r="AC216" s="20">
        <f>운전실적_원본!R216</f>
        <v>0</v>
      </c>
      <c r="AD216" s="109">
        <f>운전실적_원본!S216</f>
        <v>0</v>
      </c>
      <c r="AE216" s="110">
        <f>운전실적_원본!T216</f>
        <v>0</v>
      </c>
      <c r="AF216" s="110">
        <f>운전실적_원본!U216</f>
        <v>0</v>
      </c>
      <c r="AG216" s="110">
        <f>운전실적_원본!V216</f>
        <v>0</v>
      </c>
      <c r="AH216" s="109">
        <f t="shared" si="1122"/>
        <v>0</v>
      </c>
      <c r="AI216" s="110">
        <f t="shared" si="1129"/>
        <v>0</v>
      </c>
      <c r="AJ216" s="110">
        <f>운전실적_원본!Y216</f>
        <v>0</v>
      </c>
      <c r="AK216" s="110">
        <f>운전실적_원본!Z216</f>
        <v>0</v>
      </c>
      <c r="AL216" s="106"/>
      <c r="AM216" s="105"/>
      <c r="AN216" s="105"/>
      <c r="AO216" s="105"/>
      <c r="AP216" s="105"/>
      <c r="AQ216" s="108"/>
      <c r="AR216" s="105"/>
      <c r="AS216" s="105"/>
      <c r="AT216" s="102"/>
      <c r="AU216" s="102"/>
      <c r="AV216" s="102"/>
      <c r="AW216" s="102"/>
      <c r="AX216" s="32">
        <f>운전실적_원본!W216</f>
        <v>0</v>
      </c>
      <c r="AY216" s="11">
        <f>운전실적_원본!X216</f>
        <v>0</v>
      </c>
      <c r="AZ216" s="11">
        <f>운전실적_원본!Y216</f>
        <v>0</v>
      </c>
      <c r="BA216" s="11">
        <f>운전실적_원본!Z216</f>
        <v>0</v>
      </c>
      <c r="BB216" s="11">
        <f>운전실적_원본!AA216</f>
        <v>0</v>
      </c>
      <c r="BC216" s="11">
        <f>운전실적_원본!AB216</f>
        <v>0</v>
      </c>
      <c r="BD216" s="32" t="str">
        <f t="shared" si="1115"/>
        <v>-</v>
      </c>
      <c r="BE216" s="11" t="str">
        <f t="shared" si="1123"/>
        <v>-</v>
      </c>
      <c r="BF216" s="11">
        <f>운전실적_원본!AE216</f>
        <v>0</v>
      </c>
      <c r="BG216" s="31">
        <f t="shared" si="1116"/>
        <v>0</v>
      </c>
      <c r="BH216" s="241">
        <f>INDEX(연료전지_원본!$A$4:$KY$369,MATCH($A216,연료전지_원본!$A$4:$A$369,0),MATCH($BH$4,연료전지_원본!$A$4:$KY$4,0))</f>
        <v>0</v>
      </c>
      <c r="BI216" s="241">
        <f>INDEX(연료전지_원본!$A$4:$KY$369,MATCH($A216,연료전지_원본!$A$4:$A$369,0),MATCH($BI$4,연료전지_원본!$A$4:$KY$4,0))</f>
        <v>0</v>
      </c>
      <c r="BJ216" s="241">
        <f>INDEX(연료전지_원본!$A$4:$KY$369,MATCH($A216,연료전지_원본!$A$4:$A$369,0),MATCH($BJ$4,연료전지_원본!$A$4:$KY$4,0))</f>
        <v>0</v>
      </c>
      <c r="BK216" s="241">
        <f>INDEX(연료전지_원본!$A$4:$KY$369,MATCH($A216,연료전지_원본!$A$4:$A$369,0),MATCH($BK$4,연료전지_원본!$A$4:$KY$4,0))</f>
        <v>0</v>
      </c>
      <c r="BL216" s="241">
        <f>INDEX(연료전지_원본!$A$4:$KY$369,MATCH($A216,연료전지_원본!$A$4:$A$369,0),MATCH($BL$4,연료전지_원본!$A$4:$KY$4,0))</f>
        <v>0</v>
      </c>
      <c r="BM216" s="241">
        <f>INDEX(연료전지_원본!$A$4:$KY$369,MATCH($A216,연료전지_원본!$A$4:$A$369,0),MATCH($BM$4,연료전지_원본!$A$4:$KY$4,0))</f>
        <v>0</v>
      </c>
      <c r="BN216" s="241">
        <f>INDEX(연료전지_원본!$A$4:$KY$369,MATCH($A216,연료전지_원본!$A$4:$A$369,0),MATCH($BN$4,연료전지_원본!$A$4:$KY$4,0))</f>
        <v>0</v>
      </c>
      <c r="BO216" s="241">
        <f>INDEX(연료전지_원본!$A$4:$KY$369,MATCH($A216,연료전지_원본!$A$4:$A$369,0),MATCH($BO$4,연료전지_원본!$A$4:$KY$4,0))</f>
        <v>0</v>
      </c>
      <c r="BP216" s="241">
        <f>INDEX(연료전지_원본!$A$4:$KY$369,MATCH($A216,연료전지_원본!$A$4:$A$369,0),MATCH($BP$4,연료전지_원본!$A$4:$KY$4,0))</f>
        <v>0</v>
      </c>
      <c r="BQ216" s="241">
        <f>INDEX(연료전지_원본!$A$4:$KY$369,MATCH($A216,연료전지_원본!$A$4:$A$369,0),MATCH($BQ$4,연료전지_원본!$A$4:$KY$4,0))</f>
        <v>0</v>
      </c>
      <c r="BR216" s="241">
        <f>INDEX(연료전지_원본!$A$4:$KY$369,MATCH($A216,연료전지_원본!$A$4:$A$369,0),MATCH($BR$4,연료전지_원본!$A$4:$KY$4,0))</f>
        <v>0</v>
      </c>
      <c r="BS216" s="241">
        <f>INDEX(연료전지_원본!$A$4:$KY$369,MATCH($A216,연료전지_원본!$A$4:$A$369,0),MATCH($BS$4,연료전지_원본!$A$4:$KY$4,0))</f>
        <v>0</v>
      </c>
      <c r="BT216" s="241">
        <f>INDEX(연료전지_원본!$A$4:$KY$369,MATCH($A216,연료전지_원본!$A$4:$A$369,0),MATCH($BT$4,연료전지_원본!$A$4:$KY$4,0))</f>
        <v>0</v>
      </c>
      <c r="BU216" s="241">
        <f>INDEX(연료전지_원본!$A$4:$KY$369,MATCH($A216,연료전지_원본!$A$4:$A$369,0),MATCH($BU$4,연료전지_원본!$A$4:$KY$4,0))</f>
        <v>0</v>
      </c>
      <c r="BV216" s="241">
        <f>INDEX(연료전지_원본!$A$4:$KY$369,MATCH($A216,연료전지_원본!$A$4:$A$369,0),MATCH($BV$4,연료전지_원본!$A$4:$KY$4,0))</f>
        <v>0</v>
      </c>
      <c r="BW216" s="241">
        <f>INDEX(연료전지_원본!$A$4:$KY$369,MATCH($A216,연료전지_원본!$A$4:$A$369,0),MATCH($BW$4,연료전지_원본!$A$4:$KY$4,0))</f>
        <v>0</v>
      </c>
      <c r="BX216" s="241">
        <f>INDEX(연료전지_원본!$A$4:$KY$369,MATCH($A216,연료전지_원본!$A$4:$A$369,0),MATCH($BX$4,연료전지_원본!$A$4:$KY$4,0))</f>
        <v>0</v>
      </c>
      <c r="BY216" s="241">
        <f>INDEX(연료전지_원본!$A$4:$KY$369,MATCH($A216,연료전지_원본!$A$4:$A$369,0),MATCH($BY$4,연료전지_원본!$A$4:$KY$4,0))</f>
        <v>0</v>
      </c>
      <c r="BZ216" s="241">
        <f>INDEX(연료전지_원본!$A$4:$KY$369,MATCH($A216,연료전지_원본!$A$4:$A$369,0),MATCH($BZ$4,연료전지_원본!$A$4:$KY$4,0))</f>
        <v>0</v>
      </c>
      <c r="CA216" s="241">
        <f>INDEX(연료전지_원본!$A$4:$KY$369,MATCH($A216,연료전지_원본!$A$4:$A$369,0),MATCH($CA$4,연료전지_원본!$A$4:$KY$4,0))</f>
        <v>0</v>
      </c>
      <c r="CB216" s="241">
        <f>INDEX(연료전지_원본!$A$4:$KY$369,MATCH($A216,연료전지_원본!$A$4:$A$369,0),MATCH($CB$4,연료전지_원본!$A$4:$KY$4,0))</f>
        <v>0</v>
      </c>
      <c r="CC216" s="242">
        <f>INDEX(연료전지_원본!$A$4:$KY$369,MATCH($A216,연료전지_원본!$A$4:$A$369,0),MATCH($CC$4,연료전지_원본!$A$4:$KY$4,0))</f>
        <v>0</v>
      </c>
      <c r="CD216" s="250">
        <f>INDEX(연료전지_원본!$KB$4:$KX$369,MATCH($A216,연료전지_원본!$KB$4:$KB$369,0), MATCH(CD$4,연료전지_원본!$KB$4:$KX$4,0))*1000</f>
        <v>0</v>
      </c>
      <c r="CE216" s="250">
        <f>INDEX(연료전지_원본!$KB$4:$KX$369,MATCH($A216,연료전지_원본!$KB$4:$KB$369,0), MATCH(CE$4,연료전지_원본!$KB$4:$KX$4,0))*1000</f>
        <v>0</v>
      </c>
      <c r="CF216" s="250">
        <f>INDEX(연료전지_원본!$KB$4:$KX$369,MATCH($A216,연료전지_원본!$KB$4:$KB$369,0), MATCH(CF$4,연료전지_원본!$KB$4:$KX$4,0))*1000</f>
        <v>0</v>
      </c>
      <c r="CG216" s="250">
        <f>INDEX(연료전지_원본!$KB$4:$KX$369,MATCH($A216,연료전지_원본!$KB$4:$KB$369,0), MATCH(CG$4,연료전지_원본!$KB$4:$KX$4,0))*1000</f>
        <v>0</v>
      </c>
      <c r="CH216" s="250">
        <f>INDEX(연료전지_원본!$KB$4:$KX$369,MATCH($A216,연료전지_원본!$KB$4:$KB$369,0), MATCH(CH$4,연료전지_원본!$KB$4:$KX$4,0))*1000</f>
        <v>0</v>
      </c>
      <c r="CI216" s="250">
        <f>INDEX(연료전지_원본!$KB$4:$KX$369,MATCH($A216,연료전지_원본!$KB$4:$KB$369,0), MATCH(CI$4,연료전지_원본!$KB$4:$KX$4,0))*1000</f>
        <v>0</v>
      </c>
      <c r="CJ216" s="250">
        <f>INDEX(연료전지_원본!$KB$4:$KX$369,MATCH($A216,연료전지_원본!$KB$4:$KB$369,0), MATCH(CJ$4,연료전지_원본!$KB$4:$KX$4,0))*1000</f>
        <v>0</v>
      </c>
      <c r="CK216" s="250">
        <f>INDEX(연료전지_원본!$KB$4:$KX$369,MATCH($A216,연료전지_원본!$KB$4:$KB$369,0), MATCH(CK$4,연료전지_원본!$KB$4:$KX$4,0))*1000</f>
        <v>0</v>
      </c>
      <c r="CL216" s="250">
        <f>INDEX(연료전지_원본!$KB$4:$KX$369,MATCH($A216,연료전지_원본!$KB$4:$KB$369,0), MATCH(CL$4,연료전지_원본!$KB$4:$KX$4,0))*1000</f>
        <v>0</v>
      </c>
      <c r="CM216" s="250">
        <f>INDEX(연료전지_원본!$KB$4:$KX$369,MATCH($A216,연료전지_원본!$KB$4:$KB$369,0), MATCH(CM$4,연료전지_원본!$KB$4:$KX$4,0))*1000</f>
        <v>0</v>
      </c>
      <c r="CN216" s="250">
        <f>INDEX(연료전지_원본!$KB$4:$KX$369,MATCH($A216,연료전지_원본!$KB$4:$KB$369,0), MATCH(CN$4,연료전지_원본!$KB$4:$KX$4,0))*1000</f>
        <v>0</v>
      </c>
      <c r="CO216" s="250">
        <f>INDEX(연료전지_원본!$KB$4:$KX$369,MATCH($A216,연료전지_원본!$KB$4:$KB$369,0), MATCH(CO$4,연료전지_원본!$KB$4:$KX$4,0))*1000</f>
        <v>0</v>
      </c>
      <c r="CP216" s="250">
        <f>INDEX(연료전지_원본!$KB$4:$KX$369,MATCH($A216,연료전지_원본!$KB$4:$KB$369,0), MATCH(CP$4,연료전지_원본!$KB$4:$KX$4,0))*1000</f>
        <v>0</v>
      </c>
      <c r="CQ216" s="250">
        <f>INDEX(연료전지_원본!$KB$4:$KX$369,MATCH($A216,연료전지_원본!$KB$4:$KB$369,0), MATCH(CQ$4,연료전지_원본!$KB$4:$KX$4,0))*1000</f>
        <v>0</v>
      </c>
      <c r="CR216" s="250">
        <f>INDEX(연료전지_원본!$KB$4:$KX$369,MATCH($A216,연료전지_원본!$KB$4:$KB$369,0), MATCH(CR$4,연료전지_원본!$KB$4:$KX$4,0))*1000</f>
        <v>0</v>
      </c>
      <c r="CS216" s="250">
        <f>INDEX(연료전지_원본!$KB$4:$KX$369,MATCH($A216,연료전지_원본!$KB$4:$KB$369,0), MATCH(CS$4,연료전지_원본!$KB$4:$KX$4,0))*1000</f>
        <v>0</v>
      </c>
      <c r="CT216" s="250">
        <f>INDEX(연료전지_원본!$KB$4:$KX$369,MATCH($A216,연료전지_원본!$KB$4:$KB$369,0), MATCH(CT$4,연료전지_원본!$KB$4:$KX$4,0))*1000</f>
        <v>0</v>
      </c>
      <c r="CU216" s="250">
        <f>INDEX(연료전지_원본!$KB$4:$KX$369,MATCH($A216,연료전지_원본!$KB$4:$KB$369,0), MATCH(CU$4,연료전지_원본!$KB$4:$KX$4,0))*1000</f>
        <v>0</v>
      </c>
      <c r="CV216" s="250">
        <f>INDEX(연료전지_원본!$KB$4:$KX$369,MATCH($A216,연료전지_원본!$KB$4:$KB$369,0), MATCH(CV$4,연료전지_원본!$KB$4:$KX$4,0))*1000</f>
        <v>0</v>
      </c>
      <c r="CW216" s="250">
        <f>INDEX(연료전지_원본!$KB$4:$KX$369,MATCH($A216,연료전지_원본!$KB$4:$KB$369,0), MATCH(CW$4,연료전지_원본!$KB$4:$KX$4,0))*1000</f>
        <v>0</v>
      </c>
      <c r="CX216" s="250">
        <f>INDEX(연료전지_원본!$KB$4:$KX$369,MATCH($A216,연료전지_원본!$KB$4:$KB$369,0), MATCH(CX$4,연료전지_원본!$KB$4:$KX$4,0))*1000</f>
        <v>0</v>
      </c>
      <c r="CY216" s="250">
        <f>INDEX(연료전지_원본!$KB$4:$KX$369,MATCH($A216,연료전지_원본!$KB$4:$KB$369,0), MATCH(CY$4,연료전지_원본!$KB$4:$KX$4,0))*1000</f>
        <v>0</v>
      </c>
      <c r="DV216" s="30">
        <f t="shared" si="954"/>
        <v>0</v>
      </c>
    </row>
    <row r="217" spans="1:126">
      <c r="A217" s="158">
        <v>46234</v>
      </c>
      <c r="B217" s="27">
        <f>운전실적_원본!B217</f>
        <v>0</v>
      </c>
      <c r="C217" s="28" t="str">
        <f t="shared" si="960"/>
        <v/>
      </c>
      <c r="D217" s="29">
        <f>운전실적_원본!C217</f>
        <v>0</v>
      </c>
      <c r="E217" s="29" t="str">
        <f t="shared" si="961"/>
        <v/>
      </c>
      <c r="F217" s="29">
        <f>운전실적_원본!D217</f>
        <v>0</v>
      </c>
      <c r="G217" s="28" t="str">
        <f t="shared" si="962"/>
        <v/>
      </c>
      <c r="H217" s="27">
        <f>운전실적_원본!E217</f>
        <v>0</v>
      </c>
      <c r="I217" s="28" t="str">
        <f t="shared" si="963"/>
        <v/>
      </c>
      <c r="J217" s="27">
        <f>운전실적_원본!F217</f>
        <v>0</v>
      </c>
      <c r="K217" s="28" t="str">
        <f t="shared" si="963"/>
        <v/>
      </c>
      <c r="L217" s="159">
        <f>운전실적_원본!G217</f>
        <v>0</v>
      </c>
      <c r="M217" s="157" t="str">
        <f t="shared" ref="M217" si="1215">IF(OR(LEN(L217)=0,L217=0),"",L217-L216)</f>
        <v/>
      </c>
      <c r="N217" s="27">
        <f>운전실적_원본!H217</f>
        <v>0</v>
      </c>
      <c r="O217" s="28" t="str">
        <f t="shared" ref="O217" si="1216">IF(OR(LEN(N217)=0,N217=0),"",N217-N216)</f>
        <v/>
      </c>
      <c r="P217" s="27">
        <f>운전실적_원본!I217</f>
        <v>0</v>
      </c>
      <c r="Q217" s="28" t="str">
        <f t="shared" ref="Q217" si="1217">IF(OR(LEN(P217)=0,P217=0),"",P217-P216)</f>
        <v/>
      </c>
      <c r="R217" s="160">
        <f>운전실적_원본!J217</f>
        <v>0</v>
      </c>
      <c r="S217" s="161" t="str">
        <f t="shared" ref="S217" si="1218">IF(OR(LEN(R217)=0,R217=0),"",R217-R216)</f>
        <v/>
      </c>
      <c r="T217" s="160">
        <f>운전실적_원본!K217</f>
        <v>0</v>
      </c>
      <c r="U217" s="161" t="str">
        <f t="shared" si="968"/>
        <v/>
      </c>
      <c r="V217" s="29">
        <f>운전실적_원본!L217</f>
        <v>0</v>
      </c>
      <c r="W217" s="28" t="str">
        <f t="shared" ref="W217" si="1219">IF(OR(LEN(V217)=0,V217=0),"",V217-V216)</f>
        <v/>
      </c>
      <c r="X217" s="162">
        <f>운전실적_원본!M217</f>
        <v>0</v>
      </c>
      <c r="Y217" s="162">
        <f>운전실적_원본!N217</f>
        <v>0</v>
      </c>
      <c r="Z217" s="162">
        <f>운전실적_원본!O217</f>
        <v>0</v>
      </c>
      <c r="AA217" s="162">
        <f>운전실적_원본!P217</f>
        <v>0</v>
      </c>
      <c r="AB217" s="162">
        <f>운전실적_원본!Q217</f>
        <v>0</v>
      </c>
      <c r="AC217" s="162">
        <f>운전실적_원본!R217</f>
        <v>0</v>
      </c>
      <c r="AD217" s="163">
        <f>운전실적_원본!S217</f>
        <v>0</v>
      </c>
      <c r="AE217" s="164">
        <f>운전실적_원본!T217</f>
        <v>0</v>
      </c>
      <c r="AF217" s="164">
        <f>운전실적_원본!U217</f>
        <v>0</v>
      </c>
      <c r="AG217" s="164">
        <f>운전실적_원본!V217</f>
        <v>0</v>
      </c>
      <c r="AH217" s="163">
        <f t="shared" si="1122"/>
        <v>0</v>
      </c>
      <c r="AI217" s="164">
        <f t="shared" si="1129"/>
        <v>0</v>
      </c>
      <c r="AJ217" s="164">
        <f>운전실적_원본!Y217</f>
        <v>0</v>
      </c>
      <c r="AK217" s="164">
        <f>운전실적_원본!Z217</f>
        <v>0</v>
      </c>
      <c r="AL217" s="165"/>
      <c r="AM217" s="166"/>
      <c r="AN217" s="166"/>
      <c r="AO217" s="166"/>
      <c r="AP217" s="166"/>
      <c r="AQ217" s="167"/>
      <c r="AR217" s="166"/>
      <c r="AS217" s="166"/>
      <c r="AT217" s="168"/>
      <c r="AU217" s="168"/>
      <c r="AV217" s="168"/>
      <c r="AW217" s="168"/>
      <c r="AX217" s="159">
        <f>운전실적_원본!W217</f>
        <v>0</v>
      </c>
      <c r="AY217" s="169">
        <f>운전실적_원본!X217</f>
        <v>0</v>
      </c>
      <c r="AZ217" s="169">
        <f>운전실적_원본!Y217</f>
        <v>0</v>
      </c>
      <c r="BA217" s="169">
        <f>운전실적_원본!Z217</f>
        <v>0</v>
      </c>
      <c r="BB217" s="169">
        <f>운전실적_원본!AA217</f>
        <v>0</v>
      </c>
      <c r="BC217" s="169">
        <f>운전실적_원본!AB217</f>
        <v>0</v>
      </c>
      <c r="BD217" s="159" t="str">
        <f t="shared" si="1115"/>
        <v>-</v>
      </c>
      <c r="BE217" s="169" t="str">
        <f t="shared" si="1123"/>
        <v>-</v>
      </c>
      <c r="BF217" s="169">
        <f>운전실적_원본!AE217</f>
        <v>0</v>
      </c>
      <c r="BG217" s="157">
        <f t="shared" si="1116"/>
        <v>0</v>
      </c>
      <c r="BH217" s="244">
        <f>INDEX(연료전지_원본!$A$4:$KY$369,MATCH($A217,연료전지_원본!$A$4:$A$369,0),MATCH($BH$4,연료전지_원본!$A$4:$KY$4,0))</f>
        <v>0</v>
      </c>
      <c r="BI217" s="244">
        <f>INDEX(연료전지_원본!$A$4:$KY$369,MATCH($A217,연료전지_원본!$A$4:$A$369,0),MATCH($BI$4,연료전지_원본!$A$4:$KY$4,0))</f>
        <v>0</v>
      </c>
      <c r="BJ217" s="244">
        <f>INDEX(연료전지_원본!$A$4:$KY$369,MATCH($A217,연료전지_원본!$A$4:$A$369,0),MATCH($BJ$4,연료전지_원본!$A$4:$KY$4,0))</f>
        <v>0</v>
      </c>
      <c r="BK217" s="244">
        <f>INDEX(연료전지_원본!$A$4:$KY$369,MATCH($A217,연료전지_원본!$A$4:$A$369,0),MATCH($BK$4,연료전지_원본!$A$4:$KY$4,0))</f>
        <v>0</v>
      </c>
      <c r="BL217" s="244">
        <f>INDEX(연료전지_원본!$A$4:$KY$369,MATCH($A217,연료전지_원본!$A$4:$A$369,0),MATCH($BL$4,연료전지_원본!$A$4:$KY$4,0))</f>
        <v>0</v>
      </c>
      <c r="BM217" s="244">
        <f>INDEX(연료전지_원본!$A$4:$KY$369,MATCH($A217,연료전지_원본!$A$4:$A$369,0),MATCH($BM$4,연료전지_원본!$A$4:$KY$4,0))</f>
        <v>0</v>
      </c>
      <c r="BN217" s="244">
        <f>INDEX(연료전지_원본!$A$4:$KY$369,MATCH($A217,연료전지_원본!$A$4:$A$369,0),MATCH($BN$4,연료전지_원본!$A$4:$KY$4,0))</f>
        <v>0</v>
      </c>
      <c r="BO217" s="244">
        <f>INDEX(연료전지_원본!$A$4:$KY$369,MATCH($A217,연료전지_원본!$A$4:$A$369,0),MATCH($BO$4,연료전지_원본!$A$4:$KY$4,0))</f>
        <v>0</v>
      </c>
      <c r="BP217" s="244">
        <f>INDEX(연료전지_원본!$A$4:$KY$369,MATCH($A217,연료전지_원본!$A$4:$A$369,0),MATCH($BP$4,연료전지_원본!$A$4:$KY$4,0))</f>
        <v>0</v>
      </c>
      <c r="BQ217" s="244">
        <f>INDEX(연료전지_원본!$A$4:$KY$369,MATCH($A217,연료전지_원본!$A$4:$A$369,0),MATCH($BQ$4,연료전지_원본!$A$4:$KY$4,0))</f>
        <v>0</v>
      </c>
      <c r="BR217" s="244">
        <f>INDEX(연료전지_원본!$A$4:$KY$369,MATCH($A217,연료전지_원본!$A$4:$A$369,0),MATCH($BR$4,연료전지_원본!$A$4:$KY$4,0))</f>
        <v>0</v>
      </c>
      <c r="BS217" s="244">
        <f>INDEX(연료전지_원본!$A$4:$KY$369,MATCH($A217,연료전지_원본!$A$4:$A$369,0),MATCH($BS$4,연료전지_원본!$A$4:$KY$4,0))</f>
        <v>0</v>
      </c>
      <c r="BT217" s="244">
        <f>INDEX(연료전지_원본!$A$4:$KY$369,MATCH($A217,연료전지_원본!$A$4:$A$369,0),MATCH($BT$4,연료전지_원본!$A$4:$KY$4,0))</f>
        <v>0</v>
      </c>
      <c r="BU217" s="244">
        <f>INDEX(연료전지_원본!$A$4:$KY$369,MATCH($A217,연료전지_원본!$A$4:$A$369,0),MATCH($BU$4,연료전지_원본!$A$4:$KY$4,0))</f>
        <v>0</v>
      </c>
      <c r="BV217" s="244">
        <f>INDEX(연료전지_원본!$A$4:$KY$369,MATCH($A217,연료전지_원본!$A$4:$A$369,0),MATCH($BV$4,연료전지_원본!$A$4:$KY$4,0))</f>
        <v>0</v>
      </c>
      <c r="BW217" s="244">
        <f>INDEX(연료전지_원본!$A$4:$KY$369,MATCH($A217,연료전지_원본!$A$4:$A$369,0),MATCH($BW$4,연료전지_원본!$A$4:$KY$4,0))</f>
        <v>0</v>
      </c>
      <c r="BX217" s="244">
        <f>INDEX(연료전지_원본!$A$4:$KY$369,MATCH($A217,연료전지_원본!$A$4:$A$369,0),MATCH($BX$4,연료전지_원본!$A$4:$KY$4,0))</f>
        <v>0</v>
      </c>
      <c r="BY217" s="244">
        <f>INDEX(연료전지_원본!$A$4:$KY$369,MATCH($A217,연료전지_원본!$A$4:$A$369,0),MATCH($BY$4,연료전지_원본!$A$4:$KY$4,0))</f>
        <v>0</v>
      </c>
      <c r="BZ217" s="244">
        <f>INDEX(연료전지_원본!$A$4:$KY$369,MATCH($A217,연료전지_원본!$A$4:$A$369,0),MATCH($BZ$4,연료전지_원본!$A$4:$KY$4,0))</f>
        <v>0</v>
      </c>
      <c r="CA217" s="244">
        <f>INDEX(연료전지_원본!$A$4:$KY$369,MATCH($A217,연료전지_원본!$A$4:$A$369,0),MATCH($CA$4,연료전지_원본!$A$4:$KY$4,0))</f>
        <v>0</v>
      </c>
      <c r="CB217" s="244">
        <f>INDEX(연료전지_원본!$A$4:$KY$369,MATCH($A217,연료전지_원본!$A$4:$A$369,0),MATCH($CB$4,연료전지_원본!$A$4:$KY$4,0))</f>
        <v>0</v>
      </c>
      <c r="CC217" s="245">
        <f>INDEX(연료전지_원본!$A$4:$KY$369,MATCH($A217,연료전지_원본!$A$4:$A$369,0),MATCH($CC$4,연료전지_원본!$A$4:$KY$4,0))</f>
        <v>0</v>
      </c>
      <c r="CD217" s="257">
        <f>INDEX(연료전지_원본!$KB$4:$KX$369,MATCH($A217,연료전지_원본!$KB$4:$KB$369,0), MATCH(CD$4,연료전지_원본!$KB$4:$KX$4,0))*1000</f>
        <v>0</v>
      </c>
      <c r="CE217" s="257">
        <f>INDEX(연료전지_원본!$KB$4:$KX$369,MATCH($A217,연료전지_원본!$KB$4:$KB$369,0), MATCH(CE$4,연료전지_원본!$KB$4:$KX$4,0))*1000</f>
        <v>0</v>
      </c>
      <c r="CF217" s="257">
        <f>INDEX(연료전지_원본!$KB$4:$KX$369,MATCH($A217,연료전지_원본!$KB$4:$KB$369,0), MATCH(CF$4,연료전지_원본!$KB$4:$KX$4,0))*1000</f>
        <v>0</v>
      </c>
      <c r="CG217" s="257">
        <f>INDEX(연료전지_원본!$KB$4:$KX$369,MATCH($A217,연료전지_원본!$KB$4:$KB$369,0), MATCH(CG$4,연료전지_원본!$KB$4:$KX$4,0))*1000</f>
        <v>0</v>
      </c>
      <c r="CH217" s="257">
        <f>INDEX(연료전지_원본!$KB$4:$KX$369,MATCH($A217,연료전지_원본!$KB$4:$KB$369,0), MATCH(CH$4,연료전지_원본!$KB$4:$KX$4,0))*1000</f>
        <v>0</v>
      </c>
      <c r="CI217" s="257">
        <f>INDEX(연료전지_원본!$KB$4:$KX$369,MATCH($A217,연료전지_원본!$KB$4:$KB$369,0), MATCH(CI$4,연료전지_원본!$KB$4:$KX$4,0))*1000</f>
        <v>0</v>
      </c>
      <c r="CJ217" s="257">
        <f>INDEX(연료전지_원본!$KB$4:$KX$369,MATCH($A217,연료전지_원본!$KB$4:$KB$369,0), MATCH(CJ$4,연료전지_원본!$KB$4:$KX$4,0))*1000</f>
        <v>0</v>
      </c>
      <c r="CK217" s="257">
        <f>INDEX(연료전지_원본!$KB$4:$KX$369,MATCH($A217,연료전지_원본!$KB$4:$KB$369,0), MATCH(CK$4,연료전지_원본!$KB$4:$KX$4,0))*1000</f>
        <v>0</v>
      </c>
      <c r="CL217" s="257">
        <f>INDEX(연료전지_원본!$KB$4:$KX$369,MATCH($A217,연료전지_원본!$KB$4:$KB$369,0), MATCH(CL$4,연료전지_원본!$KB$4:$KX$4,0))*1000</f>
        <v>0</v>
      </c>
      <c r="CM217" s="257">
        <f>INDEX(연료전지_원본!$KB$4:$KX$369,MATCH($A217,연료전지_원본!$KB$4:$KB$369,0), MATCH(CM$4,연료전지_원본!$KB$4:$KX$4,0))*1000</f>
        <v>0</v>
      </c>
      <c r="CN217" s="257">
        <f>INDEX(연료전지_원본!$KB$4:$KX$369,MATCH($A217,연료전지_원본!$KB$4:$KB$369,0), MATCH(CN$4,연료전지_원본!$KB$4:$KX$4,0))*1000</f>
        <v>0</v>
      </c>
      <c r="CO217" s="257">
        <f>INDEX(연료전지_원본!$KB$4:$KX$369,MATCH($A217,연료전지_원본!$KB$4:$KB$369,0), MATCH(CO$4,연료전지_원본!$KB$4:$KX$4,0))*1000</f>
        <v>0</v>
      </c>
      <c r="CP217" s="257">
        <f>INDEX(연료전지_원본!$KB$4:$KX$369,MATCH($A217,연료전지_원본!$KB$4:$KB$369,0), MATCH(CP$4,연료전지_원본!$KB$4:$KX$4,0))*1000</f>
        <v>0</v>
      </c>
      <c r="CQ217" s="257">
        <f>INDEX(연료전지_원본!$KB$4:$KX$369,MATCH($A217,연료전지_원본!$KB$4:$KB$369,0), MATCH(CQ$4,연료전지_원본!$KB$4:$KX$4,0))*1000</f>
        <v>0</v>
      </c>
      <c r="CR217" s="257">
        <f>INDEX(연료전지_원본!$KB$4:$KX$369,MATCH($A217,연료전지_원본!$KB$4:$KB$369,0), MATCH(CR$4,연료전지_원본!$KB$4:$KX$4,0))*1000</f>
        <v>0</v>
      </c>
      <c r="CS217" s="257">
        <f>INDEX(연료전지_원본!$KB$4:$KX$369,MATCH($A217,연료전지_원본!$KB$4:$KB$369,0), MATCH(CS$4,연료전지_원본!$KB$4:$KX$4,0))*1000</f>
        <v>0</v>
      </c>
      <c r="CT217" s="257">
        <f>INDEX(연료전지_원본!$KB$4:$KX$369,MATCH($A217,연료전지_원본!$KB$4:$KB$369,0), MATCH(CT$4,연료전지_원본!$KB$4:$KX$4,0))*1000</f>
        <v>0</v>
      </c>
      <c r="CU217" s="257">
        <f>INDEX(연료전지_원본!$KB$4:$KX$369,MATCH($A217,연료전지_원본!$KB$4:$KB$369,0), MATCH(CU$4,연료전지_원본!$KB$4:$KX$4,0))*1000</f>
        <v>0</v>
      </c>
      <c r="CV217" s="257">
        <f>INDEX(연료전지_원본!$KB$4:$KX$369,MATCH($A217,연료전지_원본!$KB$4:$KB$369,0), MATCH(CV$4,연료전지_원본!$KB$4:$KX$4,0))*1000</f>
        <v>0</v>
      </c>
      <c r="CW217" s="257">
        <f>INDEX(연료전지_원본!$KB$4:$KX$369,MATCH($A217,연료전지_원본!$KB$4:$KB$369,0), MATCH(CW$4,연료전지_원본!$KB$4:$KX$4,0))*1000</f>
        <v>0</v>
      </c>
      <c r="CX217" s="257">
        <f>INDEX(연료전지_원본!$KB$4:$KX$369,MATCH($A217,연료전지_원본!$KB$4:$KB$369,0), MATCH(CX$4,연료전지_원본!$KB$4:$KX$4,0))*1000</f>
        <v>0</v>
      </c>
      <c r="CY217" s="257">
        <f>INDEX(연료전지_원본!$KB$4:$KX$369,MATCH($A217,연료전지_원본!$KB$4:$KB$369,0), MATCH(CY$4,연료전지_원본!$KB$4:$KX$4,0))*1000</f>
        <v>0</v>
      </c>
      <c r="CZ217" s="186"/>
      <c r="DA217" s="182"/>
      <c r="DB217" s="182"/>
      <c r="DC217" s="182"/>
      <c r="DD217" s="182"/>
      <c r="DE217" s="182"/>
      <c r="DF217" s="182"/>
      <c r="DG217" s="182"/>
      <c r="DH217" s="182"/>
      <c r="DI217" s="182"/>
      <c r="DJ217" s="182"/>
      <c r="DK217" s="182"/>
      <c r="DL217" s="182"/>
      <c r="DM217" s="182"/>
      <c r="DN217" s="182"/>
      <c r="DO217" s="182"/>
      <c r="DP217" s="182"/>
      <c r="DQ217" s="182"/>
      <c r="DR217" s="182"/>
      <c r="DS217" s="182"/>
      <c r="DT217" s="182"/>
      <c r="DU217" s="182"/>
      <c r="DV217" s="182">
        <f t="shared" si="954"/>
        <v>0</v>
      </c>
    </row>
    <row r="218" spans="1:126">
      <c r="A218" s="6">
        <v>46235</v>
      </c>
      <c r="B218" s="15">
        <f>운전실적_원본!B218</f>
        <v>0</v>
      </c>
      <c r="C218" s="16" t="str">
        <f t="shared" si="960"/>
        <v/>
      </c>
      <c r="D218" s="12">
        <f>운전실적_원본!C218</f>
        <v>0</v>
      </c>
      <c r="E218" s="12" t="str">
        <f t="shared" si="961"/>
        <v/>
      </c>
      <c r="F218" s="12">
        <f>운전실적_원본!D218</f>
        <v>0</v>
      </c>
      <c r="G218" s="16" t="str">
        <f t="shared" si="962"/>
        <v/>
      </c>
      <c r="H218" s="15">
        <f>운전실적_원본!E218</f>
        <v>0</v>
      </c>
      <c r="I218" s="16" t="str">
        <f t="shared" si="963"/>
        <v/>
      </c>
      <c r="J218" s="15">
        <f>운전실적_원본!F218</f>
        <v>0</v>
      </c>
      <c r="K218" s="16" t="str">
        <f t="shared" si="963"/>
        <v/>
      </c>
      <c r="L218" s="32">
        <f>운전실적_원본!G218</f>
        <v>0</v>
      </c>
      <c r="M218" s="31" t="str">
        <f t="shared" ref="M218" si="1220">IF(OR(LEN(L218)=0,L218=0),"",L218-L217)</f>
        <v/>
      </c>
      <c r="N218" s="15">
        <f>운전실적_원본!H218</f>
        <v>0</v>
      </c>
      <c r="O218" s="16" t="str">
        <f t="shared" ref="O218" si="1221">IF(OR(LEN(N218)=0,N218=0),"",N218-N217)</f>
        <v/>
      </c>
      <c r="P218" s="15">
        <f>운전실적_원본!I218</f>
        <v>0</v>
      </c>
      <c r="Q218" s="16" t="str">
        <f t="shared" ref="Q218" si="1222">IF(OR(LEN(P218)=0,P218=0),"",P218-P217)</f>
        <v/>
      </c>
      <c r="R218" s="18">
        <f>운전실적_원본!J218</f>
        <v>0</v>
      </c>
      <c r="S218" s="19" t="str">
        <f t="shared" ref="S218" si="1223">IF(OR(LEN(R218)=0,R218=0),"",R218-R217)</f>
        <v/>
      </c>
      <c r="T218" s="18">
        <f>운전실적_원본!K218</f>
        <v>0</v>
      </c>
      <c r="U218" s="19" t="str">
        <f t="shared" si="968"/>
        <v/>
      </c>
      <c r="V218" s="12">
        <f>운전실적_원본!L218</f>
        <v>0</v>
      </c>
      <c r="W218" s="16" t="str">
        <f t="shared" ref="W218" si="1224">IF(OR(LEN(V218)=0,V218=0),"",V218-V217)</f>
        <v/>
      </c>
      <c r="X218" s="10">
        <f>운전실적_원본!M218</f>
        <v>0</v>
      </c>
      <c r="Y218" s="10">
        <f>운전실적_원본!N218</f>
        <v>0</v>
      </c>
      <c r="Z218" s="10">
        <f>운전실적_원본!O218</f>
        <v>0</v>
      </c>
      <c r="AA218" s="10">
        <f>운전실적_원본!P218</f>
        <v>0</v>
      </c>
      <c r="AB218" s="10">
        <f>운전실적_원본!Q218</f>
        <v>0</v>
      </c>
      <c r="AC218" s="20">
        <f>운전실적_원본!R218</f>
        <v>0</v>
      </c>
      <c r="AD218" s="109">
        <f>운전실적_원본!S218</f>
        <v>0</v>
      </c>
      <c r="AE218" s="110">
        <f>운전실적_원본!T218</f>
        <v>0</v>
      </c>
      <c r="AF218" s="110">
        <f>운전실적_원본!U218</f>
        <v>0</v>
      </c>
      <c r="AG218" s="110">
        <f>운전실적_원본!V218</f>
        <v>0</v>
      </c>
      <c r="AH218" s="109">
        <f t="shared" si="1122"/>
        <v>0</v>
      </c>
      <c r="AI218" s="110">
        <f t="shared" si="1129"/>
        <v>0</v>
      </c>
      <c r="AJ218" s="110">
        <f>운전실적_원본!Y218</f>
        <v>0</v>
      </c>
      <c r="AK218" s="110">
        <f>운전실적_원본!Z218</f>
        <v>0</v>
      </c>
      <c r="AL218" s="106"/>
      <c r="AM218" s="105"/>
      <c r="AN218" s="105"/>
      <c r="AO218" s="105"/>
      <c r="AP218" s="105"/>
      <c r="AQ218" s="108"/>
      <c r="AR218" s="105"/>
      <c r="AS218" s="105"/>
      <c r="AT218" s="102"/>
      <c r="AU218" s="102"/>
      <c r="AV218" s="102"/>
      <c r="AW218" s="102"/>
      <c r="AX218" s="32">
        <f>운전실적_원본!W218</f>
        <v>0</v>
      </c>
      <c r="AY218" s="11">
        <f>운전실적_원본!X218</f>
        <v>0</v>
      </c>
      <c r="AZ218" s="11">
        <f>운전실적_원본!Y218</f>
        <v>0</v>
      </c>
      <c r="BA218" s="11">
        <f>운전실적_원본!Z218</f>
        <v>0</v>
      </c>
      <c r="BB218" s="11">
        <f>운전실적_원본!AA218</f>
        <v>0</v>
      </c>
      <c r="BC218" s="11">
        <f>운전실적_원본!AB218</f>
        <v>0</v>
      </c>
      <c r="BD218" s="32" t="str">
        <f t="shared" si="1115"/>
        <v>-</v>
      </c>
      <c r="BE218" s="11" t="str">
        <f t="shared" si="1123"/>
        <v>-</v>
      </c>
      <c r="BF218" s="11">
        <f>운전실적_원본!AE218</f>
        <v>0</v>
      </c>
      <c r="BG218" s="31">
        <f t="shared" si="1116"/>
        <v>0</v>
      </c>
      <c r="BH218" s="241">
        <f>INDEX(연료전지_원본!$A$4:$KY$369,MATCH($A218,연료전지_원본!$A$4:$A$369,0),MATCH($BH$4,연료전지_원본!$A$4:$KY$4,0))</f>
        <v>0</v>
      </c>
      <c r="BI218" s="241">
        <f>INDEX(연료전지_원본!$A$4:$KY$369,MATCH($A218,연료전지_원본!$A$4:$A$369,0),MATCH($BI$4,연료전지_원본!$A$4:$KY$4,0))</f>
        <v>0</v>
      </c>
      <c r="BJ218" s="241">
        <f>INDEX(연료전지_원본!$A$4:$KY$369,MATCH($A218,연료전지_원본!$A$4:$A$369,0),MATCH($BJ$4,연료전지_원본!$A$4:$KY$4,0))</f>
        <v>0</v>
      </c>
      <c r="BK218" s="241">
        <f>INDEX(연료전지_원본!$A$4:$KY$369,MATCH($A218,연료전지_원본!$A$4:$A$369,0),MATCH($BK$4,연료전지_원본!$A$4:$KY$4,0))</f>
        <v>0</v>
      </c>
      <c r="BL218" s="241">
        <f>INDEX(연료전지_원본!$A$4:$KY$369,MATCH($A218,연료전지_원본!$A$4:$A$369,0),MATCH($BL$4,연료전지_원본!$A$4:$KY$4,0))</f>
        <v>0</v>
      </c>
      <c r="BM218" s="241">
        <f>INDEX(연료전지_원본!$A$4:$KY$369,MATCH($A218,연료전지_원본!$A$4:$A$369,0),MATCH($BM$4,연료전지_원본!$A$4:$KY$4,0))</f>
        <v>0</v>
      </c>
      <c r="BN218" s="241">
        <f>INDEX(연료전지_원본!$A$4:$KY$369,MATCH($A218,연료전지_원본!$A$4:$A$369,0),MATCH($BN$4,연료전지_원본!$A$4:$KY$4,0))</f>
        <v>0</v>
      </c>
      <c r="BO218" s="241">
        <f>INDEX(연료전지_원본!$A$4:$KY$369,MATCH($A218,연료전지_원본!$A$4:$A$369,0),MATCH($BO$4,연료전지_원본!$A$4:$KY$4,0))</f>
        <v>0</v>
      </c>
      <c r="BP218" s="241">
        <f>INDEX(연료전지_원본!$A$4:$KY$369,MATCH($A218,연료전지_원본!$A$4:$A$369,0),MATCH($BP$4,연료전지_원본!$A$4:$KY$4,0))</f>
        <v>0</v>
      </c>
      <c r="BQ218" s="241">
        <f>INDEX(연료전지_원본!$A$4:$KY$369,MATCH($A218,연료전지_원본!$A$4:$A$369,0),MATCH($BQ$4,연료전지_원본!$A$4:$KY$4,0))</f>
        <v>0</v>
      </c>
      <c r="BR218" s="241">
        <f>INDEX(연료전지_원본!$A$4:$KY$369,MATCH($A218,연료전지_원본!$A$4:$A$369,0),MATCH($BR$4,연료전지_원본!$A$4:$KY$4,0))</f>
        <v>0</v>
      </c>
      <c r="BS218" s="241">
        <f>INDEX(연료전지_원본!$A$4:$KY$369,MATCH($A218,연료전지_원본!$A$4:$A$369,0),MATCH($BS$4,연료전지_원본!$A$4:$KY$4,0))</f>
        <v>0</v>
      </c>
      <c r="BT218" s="241">
        <f>INDEX(연료전지_원본!$A$4:$KY$369,MATCH($A218,연료전지_원본!$A$4:$A$369,0),MATCH($BT$4,연료전지_원본!$A$4:$KY$4,0))</f>
        <v>0</v>
      </c>
      <c r="BU218" s="241">
        <f>INDEX(연료전지_원본!$A$4:$KY$369,MATCH($A218,연료전지_원본!$A$4:$A$369,0),MATCH($BU$4,연료전지_원본!$A$4:$KY$4,0))</f>
        <v>0</v>
      </c>
      <c r="BV218" s="241">
        <f>INDEX(연료전지_원본!$A$4:$KY$369,MATCH($A218,연료전지_원본!$A$4:$A$369,0),MATCH($BV$4,연료전지_원본!$A$4:$KY$4,0))</f>
        <v>0</v>
      </c>
      <c r="BW218" s="241">
        <f>INDEX(연료전지_원본!$A$4:$KY$369,MATCH($A218,연료전지_원본!$A$4:$A$369,0),MATCH($BW$4,연료전지_원본!$A$4:$KY$4,0))</f>
        <v>0</v>
      </c>
      <c r="BX218" s="241">
        <f>INDEX(연료전지_원본!$A$4:$KY$369,MATCH($A218,연료전지_원본!$A$4:$A$369,0),MATCH($BX$4,연료전지_원본!$A$4:$KY$4,0))</f>
        <v>0</v>
      </c>
      <c r="BY218" s="241">
        <f>INDEX(연료전지_원본!$A$4:$KY$369,MATCH($A218,연료전지_원본!$A$4:$A$369,0),MATCH($BY$4,연료전지_원본!$A$4:$KY$4,0))</f>
        <v>0</v>
      </c>
      <c r="BZ218" s="241">
        <f>INDEX(연료전지_원본!$A$4:$KY$369,MATCH($A218,연료전지_원본!$A$4:$A$369,0),MATCH($BZ$4,연료전지_원본!$A$4:$KY$4,0))</f>
        <v>0</v>
      </c>
      <c r="CA218" s="241">
        <f>INDEX(연료전지_원본!$A$4:$KY$369,MATCH($A218,연료전지_원본!$A$4:$A$369,0),MATCH($CA$4,연료전지_원본!$A$4:$KY$4,0))</f>
        <v>0</v>
      </c>
      <c r="CB218" s="241">
        <f>INDEX(연료전지_원본!$A$4:$KY$369,MATCH($A218,연료전지_원본!$A$4:$A$369,0),MATCH($CB$4,연료전지_원본!$A$4:$KY$4,0))</f>
        <v>0</v>
      </c>
      <c r="CC218" s="242">
        <f>INDEX(연료전지_원본!$A$4:$KY$369,MATCH($A218,연료전지_원본!$A$4:$A$369,0),MATCH($CC$4,연료전지_원본!$A$4:$KY$4,0))</f>
        <v>0</v>
      </c>
      <c r="CD218" s="250">
        <f>INDEX(연료전지_원본!$KB$4:$KX$369,MATCH($A218,연료전지_원본!$KB$4:$KB$369,0), MATCH(CD$4,연료전지_원본!$KB$4:$KX$4,0))*1000</f>
        <v>0</v>
      </c>
      <c r="CE218" s="250">
        <f>INDEX(연료전지_원본!$KB$4:$KX$369,MATCH($A218,연료전지_원본!$KB$4:$KB$369,0), MATCH(CE$4,연료전지_원본!$KB$4:$KX$4,0))*1000</f>
        <v>0</v>
      </c>
      <c r="CF218" s="250">
        <f>INDEX(연료전지_원본!$KB$4:$KX$369,MATCH($A218,연료전지_원본!$KB$4:$KB$369,0), MATCH(CF$4,연료전지_원본!$KB$4:$KX$4,0))*1000</f>
        <v>0</v>
      </c>
      <c r="CG218" s="250">
        <f>INDEX(연료전지_원본!$KB$4:$KX$369,MATCH($A218,연료전지_원본!$KB$4:$KB$369,0), MATCH(CG$4,연료전지_원본!$KB$4:$KX$4,0))*1000</f>
        <v>0</v>
      </c>
      <c r="CH218" s="250">
        <f>INDEX(연료전지_원본!$KB$4:$KX$369,MATCH($A218,연료전지_원본!$KB$4:$KB$369,0), MATCH(CH$4,연료전지_원본!$KB$4:$KX$4,0))*1000</f>
        <v>0</v>
      </c>
      <c r="CI218" s="250">
        <f>INDEX(연료전지_원본!$KB$4:$KX$369,MATCH($A218,연료전지_원본!$KB$4:$KB$369,0), MATCH(CI$4,연료전지_원본!$KB$4:$KX$4,0))*1000</f>
        <v>0</v>
      </c>
      <c r="CJ218" s="250">
        <f>INDEX(연료전지_원본!$KB$4:$KX$369,MATCH($A218,연료전지_원본!$KB$4:$KB$369,0), MATCH(CJ$4,연료전지_원본!$KB$4:$KX$4,0))*1000</f>
        <v>0</v>
      </c>
      <c r="CK218" s="250">
        <f>INDEX(연료전지_원본!$KB$4:$KX$369,MATCH($A218,연료전지_원본!$KB$4:$KB$369,0), MATCH(CK$4,연료전지_원본!$KB$4:$KX$4,0))*1000</f>
        <v>0</v>
      </c>
      <c r="CL218" s="250">
        <f>INDEX(연료전지_원본!$KB$4:$KX$369,MATCH($A218,연료전지_원본!$KB$4:$KB$369,0), MATCH(CL$4,연료전지_원본!$KB$4:$KX$4,0))*1000</f>
        <v>0</v>
      </c>
      <c r="CM218" s="250">
        <f>INDEX(연료전지_원본!$KB$4:$KX$369,MATCH($A218,연료전지_원본!$KB$4:$KB$369,0), MATCH(CM$4,연료전지_원본!$KB$4:$KX$4,0))*1000</f>
        <v>0</v>
      </c>
      <c r="CN218" s="250">
        <f>INDEX(연료전지_원본!$KB$4:$KX$369,MATCH($A218,연료전지_원본!$KB$4:$KB$369,0), MATCH(CN$4,연료전지_원본!$KB$4:$KX$4,0))*1000</f>
        <v>0</v>
      </c>
      <c r="CO218" s="250">
        <f>INDEX(연료전지_원본!$KB$4:$KX$369,MATCH($A218,연료전지_원본!$KB$4:$KB$369,0), MATCH(CO$4,연료전지_원본!$KB$4:$KX$4,0))*1000</f>
        <v>0</v>
      </c>
      <c r="CP218" s="250">
        <f>INDEX(연료전지_원본!$KB$4:$KX$369,MATCH($A218,연료전지_원본!$KB$4:$KB$369,0), MATCH(CP$4,연료전지_원본!$KB$4:$KX$4,0))*1000</f>
        <v>0</v>
      </c>
      <c r="CQ218" s="250">
        <f>INDEX(연료전지_원본!$KB$4:$KX$369,MATCH($A218,연료전지_원본!$KB$4:$KB$369,0), MATCH(CQ$4,연료전지_원본!$KB$4:$KX$4,0))*1000</f>
        <v>0</v>
      </c>
      <c r="CR218" s="250">
        <f>INDEX(연료전지_원본!$KB$4:$KX$369,MATCH($A218,연료전지_원본!$KB$4:$KB$369,0), MATCH(CR$4,연료전지_원본!$KB$4:$KX$4,0))*1000</f>
        <v>0</v>
      </c>
      <c r="CS218" s="250">
        <f>INDEX(연료전지_원본!$KB$4:$KX$369,MATCH($A218,연료전지_원본!$KB$4:$KB$369,0), MATCH(CS$4,연료전지_원본!$KB$4:$KX$4,0))*1000</f>
        <v>0</v>
      </c>
      <c r="CT218" s="250">
        <f>INDEX(연료전지_원본!$KB$4:$KX$369,MATCH($A218,연료전지_원본!$KB$4:$KB$369,0), MATCH(CT$4,연료전지_원본!$KB$4:$KX$4,0))*1000</f>
        <v>0</v>
      </c>
      <c r="CU218" s="250">
        <f>INDEX(연료전지_원본!$KB$4:$KX$369,MATCH($A218,연료전지_원본!$KB$4:$KB$369,0), MATCH(CU$4,연료전지_원본!$KB$4:$KX$4,0))*1000</f>
        <v>0</v>
      </c>
      <c r="CV218" s="250">
        <f>INDEX(연료전지_원본!$KB$4:$KX$369,MATCH($A218,연료전지_원본!$KB$4:$KB$369,0), MATCH(CV$4,연료전지_원본!$KB$4:$KX$4,0))*1000</f>
        <v>0</v>
      </c>
      <c r="CW218" s="250">
        <f>INDEX(연료전지_원본!$KB$4:$KX$369,MATCH($A218,연료전지_원본!$KB$4:$KB$369,0), MATCH(CW$4,연료전지_원본!$KB$4:$KX$4,0))*1000</f>
        <v>0</v>
      </c>
      <c r="CX218" s="250">
        <f>INDEX(연료전지_원본!$KB$4:$KX$369,MATCH($A218,연료전지_원본!$KB$4:$KB$369,0), MATCH(CX$4,연료전지_원본!$KB$4:$KX$4,0))*1000</f>
        <v>0</v>
      </c>
      <c r="CY218" s="250">
        <f>INDEX(연료전지_원본!$KB$4:$KX$369,MATCH($A218,연료전지_원본!$KB$4:$KB$369,0), MATCH(CY$4,연료전지_원본!$KB$4:$KX$4,0))*1000</f>
        <v>0</v>
      </c>
      <c r="DV218" s="30">
        <f t="shared" si="954"/>
        <v>0</v>
      </c>
    </row>
    <row r="219" spans="1:126">
      <c r="A219" s="6">
        <v>46236</v>
      </c>
      <c r="B219" s="15">
        <f>운전실적_원본!B219</f>
        <v>0</v>
      </c>
      <c r="C219" s="16" t="str">
        <f t="shared" si="960"/>
        <v/>
      </c>
      <c r="D219" s="12">
        <f>운전실적_원본!C219</f>
        <v>0</v>
      </c>
      <c r="E219" s="12" t="str">
        <f t="shared" si="961"/>
        <v/>
      </c>
      <c r="F219" s="12">
        <f>운전실적_원본!D219</f>
        <v>0</v>
      </c>
      <c r="G219" s="16" t="str">
        <f t="shared" si="962"/>
        <v/>
      </c>
      <c r="H219" s="15">
        <f>운전실적_원본!E219</f>
        <v>0</v>
      </c>
      <c r="I219" s="16" t="str">
        <f t="shared" si="963"/>
        <v/>
      </c>
      <c r="J219" s="15">
        <f>운전실적_원본!F219</f>
        <v>0</v>
      </c>
      <c r="K219" s="16" t="str">
        <f t="shared" si="963"/>
        <v/>
      </c>
      <c r="L219" s="32">
        <f>운전실적_원본!G219</f>
        <v>0</v>
      </c>
      <c r="M219" s="31" t="str">
        <f t="shared" ref="M219" si="1225">IF(OR(LEN(L219)=0,L219=0),"",L219-L218)</f>
        <v/>
      </c>
      <c r="N219" s="15">
        <f>운전실적_원본!H219</f>
        <v>0</v>
      </c>
      <c r="O219" s="16" t="str">
        <f t="shared" ref="O219" si="1226">IF(OR(LEN(N219)=0,N219=0),"",N219-N218)</f>
        <v/>
      </c>
      <c r="P219" s="15">
        <f>운전실적_원본!I219</f>
        <v>0</v>
      </c>
      <c r="Q219" s="16" t="str">
        <f t="shared" ref="Q219" si="1227">IF(OR(LEN(P219)=0,P219=0),"",P219-P218)</f>
        <v/>
      </c>
      <c r="R219" s="18">
        <f>운전실적_원본!J219</f>
        <v>0</v>
      </c>
      <c r="S219" s="19" t="str">
        <f t="shared" ref="S219" si="1228">IF(OR(LEN(R219)=0,R219=0),"",R219-R218)</f>
        <v/>
      </c>
      <c r="T219" s="18">
        <f>운전실적_원본!K219</f>
        <v>0</v>
      </c>
      <c r="U219" s="19" t="str">
        <f t="shared" si="968"/>
        <v/>
      </c>
      <c r="V219" s="12">
        <f>운전실적_원본!L219</f>
        <v>0</v>
      </c>
      <c r="W219" s="16" t="str">
        <f t="shared" ref="W219" si="1229">IF(OR(LEN(V219)=0,V219=0),"",V219-V218)</f>
        <v/>
      </c>
      <c r="X219" s="10">
        <f>운전실적_원본!M219</f>
        <v>0</v>
      </c>
      <c r="Y219" s="10">
        <f>운전실적_원본!N219</f>
        <v>0</v>
      </c>
      <c r="Z219" s="10">
        <f>운전실적_원본!O219</f>
        <v>0</v>
      </c>
      <c r="AA219" s="10">
        <f>운전실적_원본!P219</f>
        <v>0</v>
      </c>
      <c r="AB219" s="10">
        <f>운전실적_원본!Q219</f>
        <v>0</v>
      </c>
      <c r="AC219" s="20">
        <f>운전실적_원본!R219</f>
        <v>0</v>
      </c>
      <c r="AD219" s="109">
        <f>운전실적_원본!S219</f>
        <v>0</v>
      </c>
      <c r="AE219" s="110">
        <f>운전실적_원본!T219</f>
        <v>0</v>
      </c>
      <c r="AF219" s="110">
        <f>운전실적_원본!U219</f>
        <v>0</v>
      </c>
      <c r="AG219" s="110">
        <f>운전실적_원본!V219</f>
        <v>0</v>
      </c>
      <c r="AH219" s="109">
        <f t="shared" si="1122"/>
        <v>0</v>
      </c>
      <c r="AI219" s="110">
        <f t="shared" si="1129"/>
        <v>0</v>
      </c>
      <c r="AJ219" s="110">
        <f>운전실적_원본!Y219</f>
        <v>0</v>
      </c>
      <c r="AK219" s="110">
        <f>운전실적_원본!Z219</f>
        <v>0</v>
      </c>
      <c r="AL219" s="106"/>
      <c r="AM219" s="105"/>
      <c r="AN219" s="105"/>
      <c r="AO219" s="105"/>
      <c r="AP219" s="105"/>
      <c r="AQ219" s="108"/>
      <c r="AR219" s="105"/>
      <c r="AS219" s="105"/>
      <c r="AT219" s="102"/>
      <c r="AU219" s="102"/>
      <c r="AV219" s="102"/>
      <c r="AW219" s="102"/>
      <c r="AX219" s="32">
        <f>운전실적_원본!W219</f>
        <v>0</v>
      </c>
      <c r="AY219" s="11">
        <f>운전실적_원본!X219</f>
        <v>0</v>
      </c>
      <c r="AZ219" s="11">
        <f>운전실적_원본!Y219</f>
        <v>0</v>
      </c>
      <c r="BA219" s="11">
        <f>운전실적_원본!Z219</f>
        <v>0</v>
      </c>
      <c r="BB219" s="11">
        <f>운전실적_원본!AA219</f>
        <v>0</v>
      </c>
      <c r="BC219" s="11">
        <f>운전실적_원본!AB219</f>
        <v>0</v>
      </c>
      <c r="BD219" s="32" t="str">
        <f t="shared" si="1115"/>
        <v>-</v>
      </c>
      <c r="BE219" s="11" t="str">
        <f t="shared" si="1123"/>
        <v>-</v>
      </c>
      <c r="BF219" s="11">
        <f>운전실적_원본!AE219</f>
        <v>0</v>
      </c>
      <c r="BG219" s="31">
        <f t="shared" si="1116"/>
        <v>0</v>
      </c>
      <c r="BH219" s="241">
        <f>INDEX(연료전지_원본!$A$4:$KY$369,MATCH($A219,연료전지_원본!$A$4:$A$369,0),MATCH($BH$4,연료전지_원본!$A$4:$KY$4,0))</f>
        <v>0</v>
      </c>
      <c r="BI219" s="241">
        <f>INDEX(연료전지_원본!$A$4:$KY$369,MATCH($A219,연료전지_원본!$A$4:$A$369,0),MATCH($BI$4,연료전지_원본!$A$4:$KY$4,0))</f>
        <v>0</v>
      </c>
      <c r="BJ219" s="241">
        <f>INDEX(연료전지_원본!$A$4:$KY$369,MATCH($A219,연료전지_원본!$A$4:$A$369,0),MATCH($BJ$4,연료전지_원본!$A$4:$KY$4,0))</f>
        <v>0</v>
      </c>
      <c r="BK219" s="241">
        <f>INDEX(연료전지_원본!$A$4:$KY$369,MATCH($A219,연료전지_원본!$A$4:$A$369,0),MATCH($BK$4,연료전지_원본!$A$4:$KY$4,0))</f>
        <v>0</v>
      </c>
      <c r="BL219" s="241">
        <f>INDEX(연료전지_원본!$A$4:$KY$369,MATCH($A219,연료전지_원본!$A$4:$A$369,0),MATCH($BL$4,연료전지_원본!$A$4:$KY$4,0))</f>
        <v>0</v>
      </c>
      <c r="BM219" s="241">
        <f>INDEX(연료전지_원본!$A$4:$KY$369,MATCH($A219,연료전지_원본!$A$4:$A$369,0),MATCH($BM$4,연료전지_원본!$A$4:$KY$4,0))</f>
        <v>0</v>
      </c>
      <c r="BN219" s="241">
        <f>INDEX(연료전지_원본!$A$4:$KY$369,MATCH($A219,연료전지_원본!$A$4:$A$369,0),MATCH($BN$4,연료전지_원본!$A$4:$KY$4,0))</f>
        <v>0</v>
      </c>
      <c r="BO219" s="241">
        <f>INDEX(연료전지_원본!$A$4:$KY$369,MATCH($A219,연료전지_원본!$A$4:$A$369,0),MATCH($BO$4,연료전지_원본!$A$4:$KY$4,0))</f>
        <v>0</v>
      </c>
      <c r="BP219" s="241">
        <f>INDEX(연료전지_원본!$A$4:$KY$369,MATCH($A219,연료전지_원본!$A$4:$A$369,0),MATCH($BP$4,연료전지_원본!$A$4:$KY$4,0))</f>
        <v>0</v>
      </c>
      <c r="BQ219" s="241">
        <f>INDEX(연료전지_원본!$A$4:$KY$369,MATCH($A219,연료전지_원본!$A$4:$A$369,0),MATCH($BQ$4,연료전지_원본!$A$4:$KY$4,0))</f>
        <v>0</v>
      </c>
      <c r="BR219" s="241">
        <f>INDEX(연료전지_원본!$A$4:$KY$369,MATCH($A219,연료전지_원본!$A$4:$A$369,0),MATCH($BR$4,연료전지_원본!$A$4:$KY$4,0))</f>
        <v>0</v>
      </c>
      <c r="BS219" s="241">
        <f>INDEX(연료전지_원본!$A$4:$KY$369,MATCH($A219,연료전지_원본!$A$4:$A$369,0),MATCH($BS$4,연료전지_원본!$A$4:$KY$4,0))</f>
        <v>0</v>
      </c>
      <c r="BT219" s="241">
        <f>INDEX(연료전지_원본!$A$4:$KY$369,MATCH($A219,연료전지_원본!$A$4:$A$369,0),MATCH($BT$4,연료전지_원본!$A$4:$KY$4,0))</f>
        <v>0</v>
      </c>
      <c r="BU219" s="241">
        <f>INDEX(연료전지_원본!$A$4:$KY$369,MATCH($A219,연료전지_원본!$A$4:$A$369,0),MATCH($BU$4,연료전지_원본!$A$4:$KY$4,0))</f>
        <v>0</v>
      </c>
      <c r="BV219" s="241">
        <f>INDEX(연료전지_원본!$A$4:$KY$369,MATCH($A219,연료전지_원본!$A$4:$A$369,0),MATCH($BV$4,연료전지_원본!$A$4:$KY$4,0))</f>
        <v>0</v>
      </c>
      <c r="BW219" s="241">
        <f>INDEX(연료전지_원본!$A$4:$KY$369,MATCH($A219,연료전지_원본!$A$4:$A$369,0),MATCH($BW$4,연료전지_원본!$A$4:$KY$4,0))</f>
        <v>0</v>
      </c>
      <c r="BX219" s="241">
        <f>INDEX(연료전지_원본!$A$4:$KY$369,MATCH($A219,연료전지_원본!$A$4:$A$369,0),MATCH($BX$4,연료전지_원본!$A$4:$KY$4,0))</f>
        <v>0</v>
      </c>
      <c r="BY219" s="241">
        <f>INDEX(연료전지_원본!$A$4:$KY$369,MATCH($A219,연료전지_원본!$A$4:$A$369,0),MATCH($BY$4,연료전지_원본!$A$4:$KY$4,0))</f>
        <v>0</v>
      </c>
      <c r="BZ219" s="241">
        <f>INDEX(연료전지_원본!$A$4:$KY$369,MATCH($A219,연료전지_원본!$A$4:$A$369,0),MATCH($BZ$4,연료전지_원본!$A$4:$KY$4,0))</f>
        <v>0</v>
      </c>
      <c r="CA219" s="241">
        <f>INDEX(연료전지_원본!$A$4:$KY$369,MATCH($A219,연료전지_원본!$A$4:$A$369,0),MATCH($CA$4,연료전지_원본!$A$4:$KY$4,0))</f>
        <v>0</v>
      </c>
      <c r="CB219" s="241">
        <f>INDEX(연료전지_원본!$A$4:$KY$369,MATCH($A219,연료전지_원본!$A$4:$A$369,0),MATCH($CB$4,연료전지_원본!$A$4:$KY$4,0))</f>
        <v>0</v>
      </c>
      <c r="CC219" s="242">
        <f>INDEX(연료전지_원본!$A$4:$KY$369,MATCH($A219,연료전지_원본!$A$4:$A$369,0),MATCH($CC$4,연료전지_원본!$A$4:$KY$4,0))</f>
        <v>0</v>
      </c>
      <c r="CD219" s="250">
        <f>INDEX(연료전지_원본!$KB$4:$KX$369,MATCH($A219,연료전지_원본!$KB$4:$KB$369,0), MATCH(CD$4,연료전지_원본!$KB$4:$KX$4,0))*1000</f>
        <v>0</v>
      </c>
      <c r="CE219" s="250">
        <f>INDEX(연료전지_원본!$KB$4:$KX$369,MATCH($A219,연료전지_원본!$KB$4:$KB$369,0), MATCH(CE$4,연료전지_원본!$KB$4:$KX$4,0))*1000</f>
        <v>0</v>
      </c>
      <c r="CF219" s="250">
        <f>INDEX(연료전지_원본!$KB$4:$KX$369,MATCH($A219,연료전지_원본!$KB$4:$KB$369,0), MATCH(CF$4,연료전지_원본!$KB$4:$KX$4,0))*1000</f>
        <v>0</v>
      </c>
      <c r="CG219" s="250">
        <f>INDEX(연료전지_원본!$KB$4:$KX$369,MATCH($A219,연료전지_원본!$KB$4:$KB$369,0), MATCH(CG$4,연료전지_원본!$KB$4:$KX$4,0))*1000</f>
        <v>0</v>
      </c>
      <c r="CH219" s="250">
        <f>INDEX(연료전지_원본!$KB$4:$KX$369,MATCH($A219,연료전지_원본!$KB$4:$KB$369,0), MATCH(CH$4,연료전지_원본!$KB$4:$KX$4,0))*1000</f>
        <v>0</v>
      </c>
      <c r="CI219" s="250">
        <f>INDEX(연료전지_원본!$KB$4:$KX$369,MATCH($A219,연료전지_원본!$KB$4:$KB$369,0), MATCH(CI$4,연료전지_원본!$KB$4:$KX$4,0))*1000</f>
        <v>0</v>
      </c>
      <c r="CJ219" s="250">
        <f>INDEX(연료전지_원본!$KB$4:$KX$369,MATCH($A219,연료전지_원본!$KB$4:$KB$369,0), MATCH(CJ$4,연료전지_원본!$KB$4:$KX$4,0))*1000</f>
        <v>0</v>
      </c>
      <c r="CK219" s="250">
        <f>INDEX(연료전지_원본!$KB$4:$KX$369,MATCH($A219,연료전지_원본!$KB$4:$KB$369,0), MATCH(CK$4,연료전지_원본!$KB$4:$KX$4,0))*1000</f>
        <v>0</v>
      </c>
      <c r="CL219" s="250">
        <f>INDEX(연료전지_원본!$KB$4:$KX$369,MATCH($A219,연료전지_원본!$KB$4:$KB$369,0), MATCH(CL$4,연료전지_원본!$KB$4:$KX$4,0))*1000</f>
        <v>0</v>
      </c>
      <c r="CM219" s="250">
        <f>INDEX(연료전지_원본!$KB$4:$KX$369,MATCH($A219,연료전지_원본!$KB$4:$KB$369,0), MATCH(CM$4,연료전지_원본!$KB$4:$KX$4,0))*1000</f>
        <v>0</v>
      </c>
      <c r="CN219" s="250">
        <f>INDEX(연료전지_원본!$KB$4:$KX$369,MATCH($A219,연료전지_원본!$KB$4:$KB$369,0), MATCH(CN$4,연료전지_원본!$KB$4:$KX$4,0))*1000</f>
        <v>0</v>
      </c>
      <c r="CO219" s="250">
        <f>INDEX(연료전지_원본!$KB$4:$KX$369,MATCH($A219,연료전지_원본!$KB$4:$KB$369,0), MATCH(CO$4,연료전지_원본!$KB$4:$KX$4,0))*1000</f>
        <v>0</v>
      </c>
      <c r="CP219" s="250">
        <f>INDEX(연료전지_원본!$KB$4:$KX$369,MATCH($A219,연료전지_원본!$KB$4:$KB$369,0), MATCH(CP$4,연료전지_원본!$KB$4:$KX$4,0))*1000</f>
        <v>0</v>
      </c>
      <c r="CQ219" s="250">
        <f>INDEX(연료전지_원본!$KB$4:$KX$369,MATCH($A219,연료전지_원본!$KB$4:$KB$369,0), MATCH(CQ$4,연료전지_원본!$KB$4:$KX$4,0))*1000</f>
        <v>0</v>
      </c>
      <c r="CR219" s="250">
        <f>INDEX(연료전지_원본!$KB$4:$KX$369,MATCH($A219,연료전지_원본!$KB$4:$KB$369,0), MATCH(CR$4,연료전지_원본!$KB$4:$KX$4,0))*1000</f>
        <v>0</v>
      </c>
      <c r="CS219" s="250">
        <f>INDEX(연료전지_원본!$KB$4:$KX$369,MATCH($A219,연료전지_원본!$KB$4:$KB$369,0), MATCH(CS$4,연료전지_원본!$KB$4:$KX$4,0))*1000</f>
        <v>0</v>
      </c>
      <c r="CT219" s="250">
        <f>INDEX(연료전지_원본!$KB$4:$KX$369,MATCH($A219,연료전지_원본!$KB$4:$KB$369,0), MATCH(CT$4,연료전지_원본!$KB$4:$KX$4,0))*1000</f>
        <v>0</v>
      </c>
      <c r="CU219" s="250">
        <f>INDEX(연료전지_원본!$KB$4:$KX$369,MATCH($A219,연료전지_원본!$KB$4:$KB$369,0), MATCH(CU$4,연료전지_원본!$KB$4:$KX$4,0))*1000</f>
        <v>0</v>
      </c>
      <c r="CV219" s="250">
        <f>INDEX(연료전지_원본!$KB$4:$KX$369,MATCH($A219,연료전지_원본!$KB$4:$KB$369,0), MATCH(CV$4,연료전지_원본!$KB$4:$KX$4,0))*1000</f>
        <v>0</v>
      </c>
      <c r="CW219" s="250">
        <f>INDEX(연료전지_원본!$KB$4:$KX$369,MATCH($A219,연료전지_원본!$KB$4:$KB$369,0), MATCH(CW$4,연료전지_원본!$KB$4:$KX$4,0))*1000</f>
        <v>0</v>
      </c>
      <c r="CX219" s="250">
        <f>INDEX(연료전지_원본!$KB$4:$KX$369,MATCH($A219,연료전지_원본!$KB$4:$KB$369,0), MATCH(CX$4,연료전지_원본!$KB$4:$KX$4,0))*1000</f>
        <v>0</v>
      </c>
      <c r="CY219" s="250">
        <f>INDEX(연료전지_원본!$KB$4:$KX$369,MATCH($A219,연료전지_원본!$KB$4:$KB$369,0), MATCH(CY$4,연료전지_원본!$KB$4:$KX$4,0))*1000</f>
        <v>0</v>
      </c>
      <c r="DV219" s="30">
        <f t="shared" si="954"/>
        <v>0</v>
      </c>
    </row>
    <row r="220" spans="1:126">
      <c r="A220" s="6">
        <v>46237</v>
      </c>
      <c r="B220" s="15">
        <f>운전실적_원본!B220</f>
        <v>0</v>
      </c>
      <c r="C220" s="16" t="str">
        <f t="shared" si="960"/>
        <v/>
      </c>
      <c r="D220" s="12">
        <f>운전실적_원본!C220</f>
        <v>0</v>
      </c>
      <c r="E220" s="12" t="str">
        <f t="shared" si="961"/>
        <v/>
      </c>
      <c r="F220" s="12">
        <f>운전실적_원본!D220</f>
        <v>0</v>
      </c>
      <c r="G220" s="16" t="str">
        <f t="shared" si="962"/>
        <v/>
      </c>
      <c r="H220" s="15">
        <f>운전실적_원본!E220</f>
        <v>0</v>
      </c>
      <c r="I220" s="16" t="str">
        <f t="shared" si="963"/>
        <v/>
      </c>
      <c r="J220" s="15">
        <f>운전실적_원본!F220</f>
        <v>0</v>
      </c>
      <c r="K220" s="16" t="str">
        <f t="shared" si="963"/>
        <v/>
      </c>
      <c r="L220" s="32">
        <f>운전실적_원본!G220</f>
        <v>0</v>
      </c>
      <c r="M220" s="31" t="str">
        <f t="shared" ref="M220" si="1230">IF(OR(LEN(L220)=0,L220=0),"",L220-L219)</f>
        <v/>
      </c>
      <c r="N220" s="15">
        <f>운전실적_원본!H220</f>
        <v>0</v>
      </c>
      <c r="O220" s="16" t="str">
        <f t="shared" ref="O220" si="1231">IF(OR(LEN(N220)=0,N220=0),"",N220-N219)</f>
        <v/>
      </c>
      <c r="P220" s="15">
        <f>운전실적_원본!I220</f>
        <v>0</v>
      </c>
      <c r="Q220" s="16" t="str">
        <f t="shared" ref="Q220" si="1232">IF(OR(LEN(P220)=0,P220=0),"",P220-P219)</f>
        <v/>
      </c>
      <c r="R220" s="18">
        <f>운전실적_원본!J220</f>
        <v>0</v>
      </c>
      <c r="S220" s="19" t="str">
        <f t="shared" ref="S220" si="1233">IF(OR(LEN(R220)=0,R220=0),"",R220-R219)</f>
        <v/>
      </c>
      <c r="T220" s="18">
        <f>운전실적_원본!K220</f>
        <v>0</v>
      </c>
      <c r="U220" s="19" t="str">
        <f t="shared" si="968"/>
        <v/>
      </c>
      <c r="V220" s="12">
        <f>운전실적_원본!L220</f>
        <v>0</v>
      </c>
      <c r="W220" s="16" t="str">
        <f t="shared" ref="W220" si="1234">IF(OR(LEN(V220)=0,V220=0),"",V220-V219)</f>
        <v/>
      </c>
      <c r="X220" s="10">
        <f>운전실적_원본!M220</f>
        <v>0</v>
      </c>
      <c r="Y220" s="10">
        <f>운전실적_원본!N220</f>
        <v>0</v>
      </c>
      <c r="Z220" s="10">
        <f>운전실적_원본!O220</f>
        <v>0</v>
      </c>
      <c r="AA220" s="10">
        <f>운전실적_원본!P220</f>
        <v>0</v>
      </c>
      <c r="AB220" s="10">
        <f>운전실적_원본!Q220</f>
        <v>0</v>
      </c>
      <c r="AC220" s="20">
        <f>운전실적_원본!R220</f>
        <v>0</v>
      </c>
      <c r="AD220" s="109">
        <f>운전실적_원본!S220</f>
        <v>0</v>
      </c>
      <c r="AE220" s="110">
        <f>운전실적_원본!T220</f>
        <v>0</v>
      </c>
      <c r="AF220" s="110">
        <f>운전실적_원본!U220</f>
        <v>0</v>
      </c>
      <c r="AG220" s="110">
        <f>운전실적_원본!V220</f>
        <v>0</v>
      </c>
      <c r="AH220" s="109">
        <f t="shared" si="1122"/>
        <v>0</v>
      </c>
      <c r="AI220" s="110">
        <f t="shared" si="1129"/>
        <v>0</v>
      </c>
      <c r="AJ220" s="110">
        <f>운전실적_원본!Y220</f>
        <v>0</v>
      </c>
      <c r="AK220" s="110">
        <f>운전실적_원본!Z220</f>
        <v>0</v>
      </c>
      <c r="AL220" s="106"/>
      <c r="AM220" s="105"/>
      <c r="AN220" s="105"/>
      <c r="AO220" s="105"/>
      <c r="AP220" s="105"/>
      <c r="AQ220" s="108"/>
      <c r="AR220" s="105"/>
      <c r="AS220" s="105"/>
      <c r="AT220" s="102"/>
      <c r="AU220" s="102"/>
      <c r="AV220" s="102"/>
      <c r="AW220" s="102"/>
      <c r="AX220" s="32">
        <f>운전실적_원본!W220</f>
        <v>0</v>
      </c>
      <c r="AY220" s="11">
        <f>운전실적_원본!X220</f>
        <v>0</v>
      </c>
      <c r="AZ220" s="11">
        <f>운전실적_원본!Y220</f>
        <v>0</v>
      </c>
      <c r="BA220" s="11">
        <f>운전실적_원본!Z220</f>
        <v>0</v>
      </c>
      <c r="BB220" s="11">
        <f>운전실적_원본!AA220</f>
        <v>0</v>
      </c>
      <c r="BC220" s="11">
        <f>운전실적_원본!AB220</f>
        <v>0</v>
      </c>
      <c r="BD220" s="32" t="str">
        <f t="shared" si="1115"/>
        <v>-</v>
      </c>
      <c r="BE220" s="11" t="str">
        <f t="shared" si="1123"/>
        <v>-</v>
      </c>
      <c r="BF220" s="11">
        <f>운전실적_원본!AE220</f>
        <v>0</v>
      </c>
      <c r="BG220" s="31">
        <f t="shared" si="1116"/>
        <v>0</v>
      </c>
      <c r="BH220" s="241">
        <f>INDEX(연료전지_원본!$A$4:$KY$369,MATCH($A220,연료전지_원본!$A$4:$A$369,0),MATCH($BH$4,연료전지_원본!$A$4:$KY$4,0))</f>
        <v>0</v>
      </c>
      <c r="BI220" s="241">
        <f>INDEX(연료전지_원본!$A$4:$KY$369,MATCH($A220,연료전지_원본!$A$4:$A$369,0),MATCH($BI$4,연료전지_원본!$A$4:$KY$4,0))</f>
        <v>0</v>
      </c>
      <c r="BJ220" s="241">
        <f>INDEX(연료전지_원본!$A$4:$KY$369,MATCH($A220,연료전지_원본!$A$4:$A$369,0),MATCH($BJ$4,연료전지_원본!$A$4:$KY$4,0))</f>
        <v>0</v>
      </c>
      <c r="BK220" s="241">
        <f>INDEX(연료전지_원본!$A$4:$KY$369,MATCH($A220,연료전지_원본!$A$4:$A$369,0),MATCH($BK$4,연료전지_원본!$A$4:$KY$4,0))</f>
        <v>0</v>
      </c>
      <c r="BL220" s="241">
        <f>INDEX(연료전지_원본!$A$4:$KY$369,MATCH($A220,연료전지_원본!$A$4:$A$369,0),MATCH($BL$4,연료전지_원본!$A$4:$KY$4,0))</f>
        <v>0</v>
      </c>
      <c r="BM220" s="241">
        <f>INDEX(연료전지_원본!$A$4:$KY$369,MATCH($A220,연료전지_원본!$A$4:$A$369,0),MATCH($BM$4,연료전지_원본!$A$4:$KY$4,0))</f>
        <v>0</v>
      </c>
      <c r="BN220" s="241">
        <f>INDEX(연료전지_원본!$A$4:$KY$369,MATCH($A220,연료전지_원본!$A$4:$A$369,0),MATCH($BN$4,연료전지_원본!$A$4:$KY$4,0))</f>
        <v>0</v>
      </c>
      <c r="BO220" s="241">
        <f>INDEX(연료전지_원본!$A$4:$KY$369,MATCH($A220,연료전지_원본!$A$4:$A$369,0),MATCH($BO$4,연료전지_원본!$A$4:$KY$4,0))</f>
        <v>0</v>
      </c>
      <c r="BP220" s="241">
        <f>INDEX(연료전지_원본!$A$4:$KY$369,MATCH($A220,연료전지_원본!$A$4:$A$369,0),MATCH($BP$4,연료전지_원본!$A$4:$KY$4,0))</f>
        <v>0</v>
      </c>
      <c r="BQ220" s="241">
        <f>INDEX(연료전지_원본!$A$4:$KY$369,MATCH($A220,연료전지_원본!$A$4:$A$369,0),MATCH($BQ$4,연료전지_원본!$A$4:$KY$4,0))</f>
        <v>0</v>
      </c>
      <c r="BR220" s="241">
        <f>INDEX(연료전지_원본!$A$4:$KY$369,MATCH($A220,연료전지_원본!$A$4:$A$369,0),MATCH($BR$4,연료전지_원본!$A$4:$KY$4,0))</f>
        <v>0</v>
      </c>
      <c r="BS220" s="241">
        <f>INDEX(연료전지_원본!$A$4:$KY$369,MATCH($A220,연료전지_원본!$A$4:$A$369,0),MATCH($BS$4,연료전지_원본!$A$4:$KY$4,0))</f>
        <v>0</v>
      </c>
      <c r="BT220" s="241">
        <f>INDEX(연료전지_원본!$A$4:$KY$369,MATCH($A220,연료전지_원본!$A$4:$A$369,0),MATCH($BT$4,연료전지_원본!$A$4:$KY$4,0))</f>
        <v>0</v>
      </c>
      <c r="BU220" s="241">
        <f>INDEX(연료전지_원본!$A$4:$KY$369,MATCH($A220,연료전지_원본!$A$4:$A$369,0),MATCH($BU$4,연료전지_원본!$A$4:$KY$4,0))</f>
        <v>0</v>
      </c>
      <c r="BV220" s="241">
        <f>INDEX(연료전지_원본!$A$4:$KY$369,MATCH($A220,연료전지_원본!$A$4:$A$369,0),MATCH($BV$4,연료전지_원본!$A$4:$KY$4,0))</f>
        <v>0</v>
      </c>
      <c r="BW220" s="241">
        <f>INDEX(연료전지_원본!$A$4:$KY$369,MATCH($A220,연료전지_원본!$A$4:$A$369,0),MATCH($BW$4,연료전지_원본!$A$4:$KY$4,0))</f>
        <v>0</v>
      </c>
      <c r="BX220" s="241">
        <f>INDEX(연료전지_원본!$A$4:$KY$369,MATCH($A220,연료전지_원본!$A$4:$A$369,0),MATCH($BX$4,연료전지_원본!$A$4:$KY$4,0))</f>
        <v>0</v>
      </c>
      <c r="BY220" s="241">
        <f>INDEX(연료전지_원본!$A$4:$KY$369,MATCH($A220,연료전지_원본!$A$4:$A$369,0),MATCH($BY$4,연료전지_원본!$A$4:$KY$4,0))</f>
        <v>0</v>
      </c>
      <c r="BZ220" s="241">
        <f>INDEX(연료전지_원본!$A$4:$KY$369,MATCH($A220,연료전지_원본!$A$4:$A$369,0),MATCH($BZ$4,연료전지_원본!$A$4:$KY$4,0))</f>
        <v>0</v>
      </c>
      <c r="CA220" s="241">
        <f>INDEX(연료전지_원본!$A$4:$KY$369,MATCH($A220,연료전지_원본!$A$4:$A$369,0),MATCH($CA$4,연료전지_원본!$A$4:$KY$4,0))</f>
        <v>0</v>
      </c>
      <c r="CB220" s="241">
        <f>INDEX(연료전지_원본!$A$4:$KY$369,MATCH($A220,연료전지_원본!$A$4:$A$369,0),MATCH($CB$4,연료전지_원본!$A$4:$KY$4,0))</f>
        <v>0</v>
      </c>
      <c r="CC220" s="242">
        <f>INDEX(연료전지_원본!$A$4:$KY$369,MATCH($A220,연료전지_원본!$A$4:$A$369,0),MATCH($CC$4,연료전지_원본!$A$4:$KY$4,0))</f>
        <v>0</v>
      </c>
      <c r="CD220" s="250">
        <f>INDEX(연료전지_원본!$KB$4:$KX$369,MATCH($A220,연료전지_원본!$KB$4:$KB$369,0), MATCH(CD$4,연료전지_원본!$KB$4:$KX$4,0))*1000</f>
        <v>0</v>
      </c>
      <c r="CE220" s="250">
        <f>INDEX(연료전지_원본!$KB$4:$KX$369,MATCH($A220,연료전지_원본!$KB$4:$KB$369,0), MATCH(CE$4,연료전지_원본!$KB$4:$KX$4,0))*1000</f>
        <v>0</v>
      </c>
      <c r="CF220" s="250">
        <f>INDEX(연료전지_원본!$KB$4:$KX$369,MATCH($A220,연료전지_원본!$KB$4:$KB$369,0), MATCH(CF$4,연료전지_원본!$KB$4:$KX$4,0))*1000</f>
        <v>0</v>
      </c>
      <c r="CG220" s="250">
        <f>INDEX(연료전지_원본!$KB$4:$KX$369,MATCH($A220,연료전지_원본!$KB$4:$KB$369,0), MATCH(CG$4,연료전지_원본!$KB$4:$KX$4,0))*1000</f>
        <v>0</v>
      </c>
      <c r="CH220" s="250">
        <f>INDEX(연료전지_원본!$KB$4:$KX$369,MATCH($A220,연료전지_원본!$KB$4:$KB$369,0), MATCH(CH$4,연료전지_원본!$KB$4:$KX$4,0))*1000</f>
        <v>0</v>
      </c>
      <c r="CI220" s="250">
        <f>INDEX(연료전지_원본!$KB$4:$KX$369,MATCH($A220,연료전지_원본!$KB$4:$KB$369,0), MATCH(CI$4,연료전지_원본!$KB$4:$KX$4,0))*1000</f>
        <v>0</v>
      </c>
      <c r="CJ220" s="250">
        <f>INDEX(연료전지_원본!$KB$4:$KX$369,MATCH($A220,연료전지_원본!$KB$4:$KB$369,0), MATCH(CJ$4,연료전지_원본!$KB$4:$KX$4,0))*1000</f>
        <v>0</v>
      </c>
      <c r="CK220" s="250">
        <f>INDEX(연료전지_원본!$KB$4:$KX$369,MATCH($A220,연료전지_원본!$KB$4:$KB$369,0), MATCH(CK$4,연료전지_원본!$KB$4:$KX$4,0))*1000</f>
        <v>0</v>
      </c>
      <c r="CL220" s="250">
        <f>INDEX(연료전지_원본!$KB$4:$KX$369,MATCH($A220,연료전지_원본!$KB$4:$KB$369,0), MATCH(CL$4,연료전지_원본!$KB$4:$KX$4,0))*1000</f>
        <v>0</v>
      </c>
      <c r="CM220" s="250">
        <f>INDEX(연료전지_원본!$KB$4:$KX$369,MATCH($A220,연료전지_원본!$KB$4:$KB$369,0), MATCH(CM$4,연료전지_원본!$KB$4:$KX$4,0))*1000</f>
        <v>0</v>
      </c>
      <c r="CN220" s="250">
        <f>INDEX(연료전지_원본!$KB$4:$KX$369,MATCH($A220,연료전지_원본!$KB$4:$KB$369,0), MATCH(CN$4,연료전지_원본!$KB$4:$KX$4,0))*1000</f>
        <v>0</v>
      </c>
      <c r="CO220" s="250">
        <f>INDEX(연료전지_원본!$KB$4:$KX$369,MATCH($A220,연료전지_원본!$KB$4:$KB$369,0), MATCH(CO$4,연료전지_원본!$KB$4:$KX$4,0))*1000</f>
        <v>0</v>
      </c>
      <c r="CP220" s="250">
        <f>INDEX(연료전지_원본!$KB$4:$KX$369,MATCH($A220,연료전지_원본!$KB$4:$KB$369,0), MATCH(CP$4,연료전지_원본!$KB$4:$KX$4,0))*1000</f>
        <v>0</v>
      </c>
      <c r="CQ220" s="250">
        <f>INDEX(연료전지_원본!$KB$4:$KX$369,MATCH($A220,연료전지_원본!$KB$4:$KB$369,0), MATCH(CQ$4,연료전지_원본!$KB$4:$KX$4,0))*1000</f>
        <v>0</v>
      </c>
      <c r="CR220" s="250">
        <f>INDEX(연료전지_원본!$KB$4:$KX$369,MATCH($A220,연료전지_원본!$KB$4:$KB$369,0), MATCH(CR$4,연료전지_원본!$KB$4:$KX$4,0))*1000</f>
        <v>0</v>
      </c>
      <c r="CS220" s="250">
        <f>INDEX(연료전지_원본!$KB$4:$KX$369,MATCH($A220,연료전지_원본!$KB$4:$KB$369,0), MATCH(CS$4,연료전지_원본!$KB$4:$KX$4,0))*1000</f>
        <v>0</v>
      </c>
      <c r="CT220" s="250">
        <f>INDEX(연료전지_원본!$KB$4:$KX$369,MATCH($A220,연료전지_원본!$KB$4:$KB$369,0), MATCH(CT$4,연료전지_원본!$KB$4:$KX$4,0))*1000</f>
        <v>0</v>
      </c>
      <c r="CU220" s="250">
        <f>INDEX(연료전지_원본!$KB$4:$KX$369,MATCH($A220,연료전지_원본!$KB$4:$KB$369,0), MATCH(CU$4,연료전지_원본!$KB$4:$KX$4,0))*1000</f>
        <v>0</v>
      </c>
      <c r="CV220" s="250">
        <f>INDEX(연료전지_원본!$KB$4:$KX$369,MATCH($A220,연료전지_원본!$KB$4:$KB$369,0), MATCH(CV$4,연료전지_원본!$KB$4:$KX$4,0))*1000</f>
        <v>0</v>
      </c>
      <c r="CW220" s="250">
        <f>INDEX(연료전지_원본!$KB$4:$KX$369,MATCH($A220,연료전지_원본!$KB$4:$KB$369,0), MATCH(CW$4,연료전지_원본!$KB$4:$KX$4,0))*1000</f>
        <v>0</v>
      </c>
      <c r="CX220" s="250">
        <f>INDEX(연료전지_원본!$KB$4:$KX$369,MATCH($A220,연료전지_원본!$KB$4:$KB$369,0), MATCH(CX$4,연료전지_원본!$KB$4:$KX$4,0))*1000</f>
        <v>0</v>
      </c>
      <c r="CY220" s="250">
        <f>INDEX(연료전지_원본!$KB$4:$KX$369,MATCH($A220,연료전지_원본!$KB$4:$KB$369,0), MATCH(CY$4,연료전지_원본!$KB$4:$KX$4,0))*1000</f>
        <v>0</v>
      </c>
      <c r="DV220" s="30">
        <f t="shared" si="954"/>
        <v>0</v>
      </c>
    </row>
    <row r="221" spans="1:126">
      <c r="A221" s="6">
        <v>46238</v>
      </c>
      <c r="B221" s="15">
        <f>운전실적_원본!B221</f>
        <v>0</v>
      </c>
      <c r="C221" s="16" t="str">
        <f t="shared" si="960"/>
        <v/>
      </c>
      <c r="D221" s="12">
        <f>운전실적_원본!C221</f>
        <v>0</v>
      </c>
      <c r="E221" s="12" t="str">
        <f t="shared" si="961"/>
        <v/>
      </c>
      <c r="F221" s="12">
        <f>운전실적_원본!D221</f>
        <v>0</v>
      </c>
      <c r="G221" s="16" t="str">
        <f t="shared" si="962"/>
        <v/>
      </c>
      <c r="H221" s="15">
        <f>운전실적_원본!E221</f>
        <v>0</v>
      </c>
      <c r="I221" s="16" t="str">
        <f t="shared" si="963"/>
        <v/>
      </c>
      <c r="J221" s="15">
        <f>운전실적_원본!F221</f>
        <v>0</v>
      </c>
      <c r="K221" s="16" t="str">
        <f t="shared" si="963"/>
        <v/>
      </c>
      <c r="L221" s="32">
        <f>운전실적_원본!G221</f>
        <v>0</v>
      </c>
      <c r="M221" s="31" t="str">
        <f t="shared" ref="M221" si="1235">IF(OR(LEN(L221)=0,L221=0),"",L221-L220)</f>
        <v/>
      </c>
      <c r="N221" s="15">
        <f>운전실적_원본!H221</f>
        <v>0</v>
      </c>
      <c r="O221" s="16" t="str">
        <f t="shared" ref="O221" si="1236">IF(OR(LEN(N221)=0,N221=0),"",N221-N220)</f>
        <v/>
      </c>
      <c r="P221" s="15">
        <f>운전실적_원본!I221</f>
        <v>0</v>
      </c>
      <c r="Q221" s="16" t="str">
        <f t="shared" ref="Q221" si="1237">IF(OR(LEN(P221)=0,P221=0),"",P221-P220)</f>
        <v/>
      </c>
      <c r="R221" s="18">
        <f>운전실적_원본!J221</f>
        <v>0</v>
      </c>
      <c r="S221" s="19" t="str">
        <f t="shared" ref="S221" si="1238">IF(OR(LEN(R221)=0,R221=0),"",R221-R220)</f>
        <v/>
      </c>
      <c r="T221" s="18">
        <f>운전실적_원본!K221</f>
        <v>0</v>
      </c>
      <c r="U221" s="19" t="str">
        <f t="shared" si="968"/>
        <v/>
      </c>
      <c r="V221" s="12">
        <f>운전실적_원본!L221</f>
        <v>0</v>
      </c>
      <c r="W221" s="16" t="str">
        <f t="shared" ref="W221" si="1239">IF(OR(LEN(V221)=0,V221=0),"",V221-V220)</f>
        <v/>
      </c>
      <c r="X221" s="10">
        <f>운전실적_원본!M221</f>
        <v>0</v>
      </c>
      <c r="Y221" s="10">
        <f>운전실적_원본!N221</f>
        <v>0</v>
      </c>
      <c r="Z221" s="10">
        <f>운전실적_원본!O221</f>
        <v>0</v>
      </c>
      <c r="AA221" s="10">
        <f>운전실적_원본!P221</f>
        <v>0</v>
      </c>
      <c r="AB221" s="10">
        <f>운전실적_원본!Q221</f>
        <v>0</v>
      </c>
      <c r="AC221" s="20">
        <f>운전실적_원본!R221</f>
        <v>0</v>
      </c>
      <c r="AD221" s="109">
        <f>운전실적_원본!S221</f>
        <v>0</v>
      </c>
      <c r="AE221" s="110">
        <f>운전실적_원본!T221</f>
        <v>0</v>
      </c>
      <c r="AF221" s="110">
        <f>운전실적_원본!U221</f>
        <v>0</v>
      </c>
      <c r="AG221" s="110">
        <f>운전실적_원본!V221</f>
        <v>0</v>
      </c>
      <c r="AH221" s="109">
        <f t="shared" si="1122"/>
        <v>0</v>
      </c>
      <c r="AI221" s="110">
        <f t="shared" si="1129"/>
        <v>0</v>
      </c>
      <c r="AJ221" s="110">
        <f>운전실적_원본!Y221</f>
        <v>0</v>
      </c>
      <c r="AK221" s="110">
        <f>운전실적_원본!Z221</f>
        <v>0</v>
      </c>
      <c r="AL221" s="106"/>
      <c r="AM221" s="105"/>
      <c r="AN221" s="105"/>
      <c r="AO221" s="105"/>
      <c r="AP221" s="105"/>
      <c r="AQ221" s="108"/>
      <c r="AR221" s="105"/>
      <c r="AS221" s="105"/>
      <c r="AT221" s="102"/>
      <c r="AU221" s="102"/>
      <c r="AV221" s="102"/>
      <c r="AW221" s="102"/>
      <c r="AX221" s="32">
        <f>운전실적_원본!W221</f>
        <v>0</v>
      </c>
      <c r="AY221" s="11">
        <f>운전실적_원본!X221</f>
        <v>0</v>
      </c>
      <c r="AZ221" s="11">
        <f>운전실적_원본!Y221</f>
        <v>0</v>
      </c>
      <c r="BA221" s="11">
        <f>운전실적_원본!Z221</f>
        <v>0</v>
      </c>
      <c r="BB221" s="11">
        <f>운전실적_원본!AA221</f>
        <v>0</v>
      </c>
      <c r="BC221" s="11">
        <f>운전실적_원본!AB221</f>
        <v>0</v>
      </c>
      <c r="BD221" s="32" t="str">
        <f t="shared" si="1115"/>
        <v>-</v>
      </c>
      <c r="BE221" s="11" t="str">
        <f t="shared" si="1123"/>
        <v>-</v>
      </c>
      <c r="BF221" s="11">
        <f>운전실적_원본!AE221</f>
        <v>0</v>
      </c>
      <c r="BG221" s="31">
        <f t="shared" si="1116"/>
        <v>0</v>
      </c>
      <c r="BH221" s="241">
        <f>INDEX(연료전지_원본!$A$4:$KY$369,MATCH($A221,연료전지_원본!$A$4:$A$369,0),MATCH($BH$4,연료전지_원본!$A$4:$KY$4,0))</f>
        <v>0</v>
      </c>
      <c r="BI221" s="241">
        <f>INDEX(연료전지_원본!$A$4:$KY$369,MATCH($A221,연료전지_원본!$A$4:$A$369,0),MATCH($BI$4,연료전지_원본!$A$4:$KY$4,0))</f>
        <v>0</v>
      </c>
      <c r="BJ221" s="241">
        <f>INDEX(연료전지_원본!$A$4:$KY$369,MATCH($A221,연료전지_원본!$A$4:$A$369,0),MATCH($BJ$4,연료전지_원본!$A$4:$KY$4,0))</f>
        <v>0</v>
      </c>
      <c r="BK221" s="241">
        <f>INDEX(연료전지_원본!$A$4:$KY$369,MATCH($A221,연료전지_원본!$A$4:$A$369,0),MATCH($BK$4,연료전지_원본!$A$4:$KY$4,0))</f>
        <v>0</v>
      </c>
      <c r="BL221" s="241">
        <f>INDEX(연료전지_원본!$A$4:$KY$369,MATCH($A221,연료전지_원본!$A$4:$A$369,0),MATCH($BL$4,연료전지_원본!$A$4:$KY$4,0))</f>
        <v>0</v>
      </c>
      <c r="BM221" s="241">
        <f>INDEX(연료전지_원본!$A$4:$KY$369,MATCH($A221,연료전지_원본!$A$4:$A$369,0),MATCH($BM$4,연료전지_원본!$A$4:$KY$4,0))</f>
        <v>0</v>
      </c>
      <c r="BN221" s="241">
        <f>INDEX(연료전지_원본!$A$4:$KY$369,MATCH($A221,연료전지_원본!$A$4:$A$369,0),MATCH($BN$4,연료전지_원본!$A$4:$KY$4,0))</f>
        <v>0</v>
      </c>
      <c r="BO221" s="241">
        <f>INDEX(연료전지_원본!$A$4:$KY$369,MATCH($A221,연료전지_원본!$A$4:$A$369,0),MATCH($BO$4,연료전지_원본!$A$4:$KY$4,0))</f>
        <v>0</v>
      </c>
      <c r="BP221" s="241">
        <f>INDEX(연료전지_원본!$A$4:$KY$369,MATCH($A221,연료전지_원본!$A$4:$A$369,0),MATCH($BP$4,연료전지_원본!$A$4:$KY$4,0))</f>
        <v>0</v>
      </c>
      <c r="BQ221" s="241">
        <f>INDEX(연료전지_원본!$A$4:$KY$369,MATCH($A221,연료전지_원본!$A$4:$A$369,0),MATCH($BQ$4,연료전지_원본!$A$4:$KY$4,0))</f>
        <v>0</v>
      </c>
      <c r="BR221" s="241">
        <f>INDEX(연료전지_원본!$A$4:$KY$369,MATCH($A221,연료전지_원본!$A$4:$A$369,0),MATCH($BR$4,연료전지_원본!$A$4:$KY$4,0))</f>
        <v>0</v>
      </c>
      <c r="BS221" s="241">
        <f>INDEX(연료전지_원본!$A$4:$KY$369,MATCH($A221,연료전지_원본!$A$4:$A$369,0),MATCH($BS$4,연료전지_원본!$A$4:$KY$4,0))</f>
        <v>0</v>
      </c>
      <c r="BT221" s="241">
        <f>INDEX(연료전지_원본!$A$4:$KY$369,MATCH($A221,연료전지_원본!$A$4:$A$369,0),MATCH($BT$4,연료전지_원본!$A$4:$KY$4,0))</f>
        <v>0</v>
      </c>
      <c r="BU221" s="241">
        <f>INDEX(연료전지_원본!$A$4:$KY$369,MATCH($A221,연료전지_원본!$A$4:$A$369,0),MATCH($BU$4,연료전지_원본!$A$4:$KY$4,0))</f>
        <v>0</v>
      </c>
      <c r="BV221" s="241">
        <f>INDEX(연료전지_원본!$A$4:$KY$369,MATCH($A221,연료전지_원본!$A$4:$A$369,0),MATCH($BV$4,연료전지_원본!$A$4:$KY$4,0))</f>
        <v>0</v>
      </c>
      <c r="BW221" s="241">
        <f>INDEX(연료전지_원본!$A$4:$KY$369,MATCH($A221,연료전지_원본!$A$4:$A$369,0),MATCH($BW$4,연료전지_원본!$A$4:$KY$4,0))</f>
        <v>0</v>
      </c>
      <c r="BX221" s="241">
        <f>INDEX(연료전지_원본!$A$4:$KY$369,MATCH($A221,연료전지_원본!$A$4:$A$369,0),MATCH($BX$4,연료전지_원본!$A$4:$KY$4,0))</f>
        <v>0</v>
      </c>
      <c r="BY221" s="241">
        <f>INDEX(연료전지_원본!$A$4:$KY$369,MATCH($A221,연료전지_원본!$A$4:$A$369,0),MATCH($BY$4,연료전지_원본!$A$4:$KY$4,0))</f>
        <v>0</v>
      </c>
      <c r="BZ221" s="241">
        <f>INDEX(연료전지_원본!$A$4:$KY$369,MATCH($A221,연료전지_원본!$A$4:$A$369,0),MATCH($BZ$4,연료전지_원본!$A$4:$KY$4,0))</f>
        <v>0</v>
      </c>
      <c r="CA221" s="241">
        <f>INDEX(연료전지_원본!$A$4:$KY$369,MATCH($A221,연료전지_원본!$A$4:$A$369,0),MATCH($CA$4,연료전지_원본!$A$4:$KY$4,0))</f>
        <v>0</v>
      </c>
      <c r="CB221" s="241">
        <f>INDEX(연료전지_원본!$A$4:$KY$369,MATCH($A221,연료전지_원본!$A$4:$A$369,0),MATCH($CB$4,연료전지_원본!$A$4:$KY$4,0))</f>
        <v>0</v>
      </c>
      <c r="CC221" s="242">
        <f>INDEX(연료전지_원본!$A$4:$KY$369,MATCH($A221,연료전지_원본!$A$4:$A$369,0),MATCH($CC$4,연료전지_원본!$A$4:$KY$4,0))</f>
        <v>0</v>
      </c>
      <c r="CD221" s="250">
        <f>INDEX(연료전지_원본!$KB$4:$KX$369,MATCH($A221,연료전지_원본!$KB$4:$KB$369,0), MATCH(CD$4,연료전지_원본!$KB$4:$KX$4,0))*1000</f>
        <v>0</v>
      </c>
      <c r="CE221" s="250">
        <f>INDEX(연료전지_원본!$KB$4:$KX$369,MATCH($A221,연료전지_원본!$KB$4:$KB$369,0), MATCH(CE$4,연료전지_원본!$KB$4:$KX$4,0))*1000</f>
        <v>0</v>
      </c>
      <c r="CF221" s="250">
        <f>INDEX(연료전지_원본!$KB$4:$KX$369,MATCH($A221,연료전지_원본!$KB$4:$KB$369,0), MATCH(CF$4,연료전지_원본!$KB$4:$KX$4,0))*1000</f>
        <v>0</v>
      </c>
      <c r="CG221" s="250">
        <f>INDEX(연료전지_원본!$KB$4:$KX$369,MATCH($A221,연료전지_원본!$KB$4:$KB$369,0), MATCH(CG$4,연료전지_원본!$KB$4:$KX$4,0))*1000</f>
        <v>0</v>
      </c>
      <c r="CH221" s="250">
        <f>INDEX(연료전지_원본!$KB$4:$KX$369,MATCH($A221,연료전지_원본!$KB$4:$KB$369,0), MATCH(CH$4,연료전지_원본!$KB$4:$KX$4,0))*1000</f>
        <v>0</v>
      </c>
      <c r="CI221" s="250">
        <f>INDEX(연료전지_원본!$KB$4:$KX$369,MATCH($A221,연료전지_원본!$KB$4:$KB$369,0), MATCH(CI$4,연료전지_원본!$KB$4:$KX$4,0))*1000</f>
        <v>0</v>
      </c>
      <c r="CJ221" s="250">
        <f>INDEX(연료전지_원본!$KB$4:$KX$369,MATCH($A221,연료전지_원본!$KB$4:$KB$369,0), MATCH(CJ$4,연료전지_원본!$KB$4:$KX$4,0))*1000</f>
        <v>0</v>
      </c>
      <c r="CK221" s="250">
        <f>INDEX(연료전지_원본!$KB$4:$KX$369,MATCH($A221,연료전지_원본!$KB$4:$KB$369,0), MATCH(CK$4,연료전지_원본!$KB$4:$KX$4,0))*1000</f>
        <v>0</v>
      </c>
      <c r="CL221" s="250">
        <f>INDEX(연료전지_원본!$KB$4:$KX$369,MATCH($A221,연료전지_원본!$KB$4:$KB$369,0), MATCH(CL$4,연료전지_원본!$KB$4:$KX$4,0))*1000</f>
        <v>0</v>
      </c>
      <c r="CM221" s="250">
        <f>INDEX(연료전지_원본!$KB$4:$KX$369,MATCH($A221,연료전지_원본!$KB$4:$KB$369,0), MATCH(CM$4,연료전지_원본!$KB$4:$KX$4,0))*1000</f>
        <v>0</v>
      </c>
      <c r="CN221" s="250">
        <f>INDEX(연료전지_원본!$KB$4:$KX$369,MATCH($A221,연료전지_원본!$KB$4:$KB$369,0), MATCH(CN$4,연료전지_원본!$KB$4:$KX$4,0))*1000</f>
        <v>0</v>
      </c>
      <c r="CO221" s="250">
        <f>INDEX(연료전지_원본!$KB$4:$KX$369,MATCH($A221,연료전지_원본!$KB$4:$KB$369,0), MATCH(CO$4,연료전지_원본!$KB$4:$KX$4,0))*1000</f>
        <v>0</v>
      </c>
      <c r="CP221" s="250">
        <f>INDEX(연료전지_원본!$KB$4:$KX$369,MATCH($A221,연료전지_원본!$KB$4:$KB$369,0), MATCH(CP$4,연료전지_원본!$KB$4:$KX$4,0))*1000</f>
        <v>0</v>
      </c>
      <c r="CQ221" s="250">
        <f>INDEX(연료전지_원본!$KB$4:$KX$369,MATCH($A221,연료전지_원본!$KB$4:$KB$369,0), MATCH(CQ$4,연료전지_원본!$KB$4:$KX$4,0))*1000</f>
        <v>0</v>
      </c>
      <c r="CR221" s="250">
        <f>INDEX(연료전지_원본!$KB$4:$KX$369,MATCH($A221,연료전지_원본!$KB$4:$KB$369,0), MATCH(CR$4,연료전지_원본!$KB$4:$KX$4,0))*1000</f>
        <v>0</v>
      </c>
      <c r="CS221" s="250">
        <f>INDEX(연료전지_원본!$KB$4:$KX$369,MATCH($A221,연료전지_원본!$KB$4:$KB$369,0), MATCH(CS$4,연료전지_원본!$KB$4:$KX$4,0))*1000</f>
        <v>0</v>
      </c>
      <c r="CT221" s="250">
        <f>INDEX(연료전지_원본!$KB$4:$KX$369,MATCH($A221,연료전지_원본!$KB$4:$KB$369,0), MATCH(CT$4,연료전지_원본!$KB$4:$KX$4,0))*1000</f>
        <v>0</v>
      </c>
      <c r="CU221" s="250">
        <f>INDEX(연료전지_원본!$KB$4:$KX$369,MATCH($A221,연료전지_원본!$KB$4:$KB$369,0), MATCH(CU$4,연료전지_원본!$KB$4:$KX$4,0))*1000</f>
        <v>0</v>
      </c>
      <c r="CV221" s="250">
        <f>INDEX(연료전지_원본!$KB$4:$KX$369,MATCH($A221,연료전지_원본!$KB$4:$KB$369,0), MATCH(CV$4,연료전지_원본!$KB$4:$KX$4,0))*1000</f>
        <v>0</v>
      </c>
      <c r="CW221" s="250">
        <f>INDEX(연료전지_원본!$KB$4:$KX$369,MATCH($A221,연료전지_원본!$KB$4:$KB$369,0), MATCH(CW$4,연료전지_원본!$KB$4:$KX$4,0))*1000</f>
        <v>0</v>
      </c>
      <c r="CX221" s="250">
        <f>INDEX(연료전지_원본!$KB$4:$KX$369,MATCH($A221,연료전지_원본!$KB$4:$KB$369,0), MATCH(CX$4,연료전지_원본!$KB$4:$KX$4,0))*1000</f>
        <v>0</v>
      </c>
      <c r="CY221" s="250">
        <f>INDEX(연료전지_원본!$KB$4:$KX$369,MATCH($A221,연료전지_원본!$KB$4:$KB$369,0), MATCH(CY$4,연료전지_원본!$KB$4:$KX$4,0))*1000</f>
        <v>0</v>
      </c>
      <c r="DV221" s="30">
        <f t="shared" si="954"/>
        <v>0</v>
      </c>
    </row>
    <row r="222" spans="1:126">
      <c r="A222" s="6">
        <v>46239</v>
      </c>
      <c r="B222" s="15">
        <f>운전실적_원본!B222</f>
        <v>0</v>
      </c>
      <c r="C222" s="16" t="str">
        <f t="shared" si="960"/>
        <v/>
      </c>
      <c r="D222" s="12">
        <f>운전실적_원본!C222</f>
        <v>0</v>
      </c>
      <c r="E222" s="12" t="str">
        <f t="shared" si="961"/>
        <v/>
      </c>
      <c r="F222" s="12">
        <f>운전실적_원본!D222</f>
        <v>0</v>
      </c>
      <c r="G222" s="16" t="str">
        <f t="shared" si="962"/>
        <v/>
      </c>
      <c r="H222" s="15">
        <f>운전실적_원본!E222</f>
        <v>0</v>
      </c>
      <c r="I222" s="16" t="str">
        <f t="shared" si="963"/>
        <v/>
      </c>
      <c r="J222" s="15">
        <f>운전실적_원본!F222</f>
        <v>0</v>
      </c>
      <c r="K222" s="16" t="str">
        <f t="shared" si="963"/>
        <v/>
      </c>
      <c r="L222" s="32">
        <f>운전실적_원본!G222</f>
        <v>0</v>
      </c>
      <c r="M222" s="31" t="str">
        <f t="shared" ref="M222" si="1240">IF(OR(LEN(L222)=0,L222=0),"",L222-L221)</f>
        <v/>
      </c>
      <c r="N222" s="15">
        <f>운전실적_원본!H222</f>
        <v>0</v>
      </c>
      <c r="O222" s="16" t="str">
        <f t="shared" ref="O222" si="1241">IF(OR(LEN(N222)=0,N222=0),"",N222-N221)</f>
        <v/>
      </c>
      <c r="P222" s="15">
        <f>운전실적_원본!I222</f>
        <v>0</v>
      </c>
      <c r="Q222" s="16" t="str">
        <f t="shared" ref="Q222" si="1242">IF(OR(LEN(P222)=0,P222=0),"",P222-P221)</f>
        <v/>
      </c>
      <c r="R222" s="18">
        <f>운전실적_원본!J222</f>
        <v>0</v>
      </c>
      <c r="S222" s="19" t="str">
        <f t="shared" ref="S222" si="1243">IF(OR(LEN(R222)=0,R222=0),"",R222-R221)</f>
        <v/>
      </c>
      <c r="T222" s="18">
        <f>운전실적_원본!K222</f>
        <v>0</v>
      </c>
      <c r="U222" s="19" t="str">
        <f t="shared" si="968"/>
        <v/>
      </c>
      <c r="V222" s="12">
        <f>운전실적_원본!L222</f>
        <v>0</v>
      </c>
      <c r="W222" s="16" t="str">
        <f t="shared" ref="W222" si="1244">IF(OR(LEN(V222)=0,V222=0),"",V222-V221)</f>
        <v/>
      </c>
      <c r="X222" s="10">
        <f>운전실적_원본!M222</f>
        <v>0</v>
      </c>
      <c r="Y222" s="10">
        <f>운전실적_원본!N222</f>
        <v>0</v>
      </c>
      <c r="Z222" s="10">
        <f>운전실적_원본!O222</f>
        <v>0</v>
      </c>
      <c r="AA222" s="10">
        <f>운전실적_원본!P222</f>
        <v>0</v>
      </c>
      <c r="AB222" s="10">
        <f>운전실적_원본!Q222</f>
        <v>0</v>
      </c>
      <c r="AC222" s="20">
        <f>운전실적_원본!R222</f>
        <v>0</v>
      </c>
      <c r="AD222" s="109">
        <f>운전실적_원본!S222</f>
        <v>0</v>
      </c>
      <c r="AE222" s="110">
        <f>운전실적_원본!T222</f>
        <v>0</v>
      </c>
      <c r="AF222" s="110">
        <f>운전실적_원본!U222</f>
        <v>0</v>
      </c>
      <c r="AG222" s="110">
        <f>운전실적_원본!V222</f>
        <v>0</v>
      </c>
      <c r="AH222" s="109">
        <f t="shared" si="1122"/>
        <v>0</v>
      </c>
      <c r="AI222" s="110">
        <f t="shared" si="1129"/>
        <v>0</v>
      </c>
      <c r="AJ222" s="110">
        <f>운전실적_원본!Y222</f>
        <v>0</v>
      </c>
      <c r="AK222" s="110">
        <f>운전실적_원본!Z222</f>
        <v>0</v>
      </c>
      <c r="AL222" s="106"/>
      <c r="AM222" s="105"/>
      <c r="AN222" s="105"/>
      <c r="AO222" s="105"/>
      <c r="AP222" s="105"/>
      <c r="AQ222" s="108"/>
      <c r="AR222" s="105"/>
      <c r="AS222" s="105"/>
      <c r="AT222" s="102"/>
      <c r="AU222" s="102"/>
      <c r="AV222" s="102"/>
      <c r="AW222" s="102"/>
      <c r="AX222" s="32">
        <f>운전실적_원본!W222</f>
        <v>0</v>
      </c>
      <c r="AY222" s="11">
        <f>운전실적_원본!X222</f>
        <v>0</v>
      </c>
      <c r="AZ222" s="11">
        <f>운전실적_원본!Y222</f>
        <v>0</v>
      </c>
      <c r="BA222" s="11">
        <f>운전실적_원본!Z222</f>
        <v>0</v>
      </c>
      <c r="BB222" s="11">
        <f>운전실적_원본!AA222</f>
        <v>0</v>
      </c>
      <c r="BC222" s="11">
        <f>운전실적_원본!AB222</f>
        <v>0</v>
      </c>
      <c r="BD222" s="32" t="str">
        <f t="shared" si="1115"/>
        <v>-</v>
      </c>
      <c r="BE222" s="11" t="str">
        <f t="shared" si="1123"/>
        <v>-</v>
      </c>
      <c r="BF222" s="11">
        <f>운전실적_원본!AE222</f>
        <v>0</v>
      </c>
      <c r="BG222" s="31">
        <f t="shared" si="1116"/>
        <v>0</v>
      </c>
      <c r="BH222" s="241">
        <f>INDEX(연료전지_원본!$A$4:$KY$369,MATCH($A222,연료전지_원본!$A$4:$A$369,0),MATCH($BH$4,연료전지_원본!$A$4:$KY$4,0))</f>
        <v>0</v>
      </c>
      <c r="BI222" s="241">
        <f>INDEX(연료전지_원본!$A$4:$KY$369,MATCH($A222,연료전지_원본!$A$4:$A$369,0),MATCH($BI$4,연료전지_원본!$A$4:$KY$4,0))</f>
        <v>0</v>
      </c>
      <c r="BJ222" s="241">
        <f>INDEX(연료전지_원본!$A$4:$KY$369,MATCH($A222,연료전지_원본!$A$4:$A$369,0),MATCH($BJ$4,연료전지_원본!$A$4:$KY$4,0))</f>
        <v>0</v>
      </c>
      <c r="BK222" s="241">
        <f>INDEX(연료전지_원본!$A$4:$KY$369,MATCH($A222,연료전지_원본!$A$4:$A$369,0),MATCH($BK$4,연료전지_원본!$A$4:$KY$4,0))</f>
        <v>0</v>
      </c>
      <c r="BL222" s="241">
        <f>INDEX(연료전지_원본!$A$4:$KY$369,MATCH($A222,연료전지_원본!$A$4:$A$369,0),MATCH($BL$4,연료전지_원본!$A$4:$KY$4,0))</f>
        <v>0</v>
      </c>
      <c r="BM222" s="241">
        <f>INDEX(연료전지_원본!$A$4:$KY$369,MATCH($A222,연료전지_원본!$A$4:$A$369,0),MATCH($BM$4,연료전지_원본!$A$4:$KY$4,0))</f>
        <v>0</v>
      </c>
      <c r="BN222" s="241">
        <f>INDEX(연료전지_원본!$A$4:$KY$369,MATCH($A222,연료전지_원본!$A$4:$A$369,0),MATCH($BN$4,연료전지_원본!$A$4:$KY$4,0))</f>
        <v>0</v>
      </c>
      <c r="BO222" s="241">
        <f>INDEX(연료전지_원본!$A$4:$KY$369,MATCH($A222,연료전지_원본!$A$4:$A$369,0),MATCH($BO$4,연료전지_원본!$A$4:$KY$4,0))</f>
        <v>0</v>
      </c>
      <c r="BP222" s="241">
        <f>INDEX(연료전지_원본!$A$4:$KY$369,MATCH($A222,연료전지_원본!$A$4:$A$369,0),MATCH($BP$4,연료전지_원본!$A$4:$KY$4,0))</f>
        <v>0</v>
      </c>
      <c r="BQ222" s="241">
        <f>INDEX(연료전지_원본!$A$4:$KY$369,MATCH($A222,연료전지_원본!$A$4:$A$369,0),MATCH($BQ$4,연료전지_원본!$A$4:$KY$4,0))</f>
        <v>0</v>
      </c>
      <c r="BR222" s="241">
        <f>INDEX(연료전지_원본!$A$4:$KY$369,MATCH($A222,연료전지_원본!$A$4:$A$369,0),MATCH($BR$4,연료전지_원본!$A$4:$KY$4,0))</f>
        <v>0</v>
      </c>
      <c r="BS222" s="241">
        <f>INDEX(연료전지_원본!$A$4:$KY$369,MATCH($A222,연료전지_원본!$A$4:$A$369,0),MATCH($BS$4,연료전지_원본!$A$4:$KY$4,0))</f>
        <v>0</v>
      </c>
      <c r="BT222" s="241">
        <f>INDEX(연료전지_원본!$A$4:$KY$369,MATCH($A222,연료전지_원본!$A$4:$A$369,0),MATCH($BT$4,연료전지_원본!$A$4:$KY$4,0))</f>
        <v>0</v>
      </c>
      <c r="BU222" s="241">
        <f>INDEX(연료전지_원본!$A$4:$KY$369,MATCH($A222,연료전지_원본!$A$4:$A$369,0),MATCH($BU$4,연료전지_원본!$A$4:$KY$4,0))</f>
        <v>0</v>
      </c>
      <c r="BV222" s="241">
        <f>INDEX(연료전지_원본!$A$4:$KY$369,MATCH($A222,연료전지_원본!$A$4:$A$369,0),MATCH($BV$4,연료전지_원본!$A$4:$KY$4,0))</f>
        <v>0</v>
      </c>
      <c r="BW222" s="241">
        <f>INDEX(연료전지_원본!$A$4:$KY$369,MATCH($A222,연료전지_원본!$A$4:$A$369,0),MATCH($BW$4,연료전지_원본!$A$4:$KY$4,0))</f>
        <v>0</v>
      </c>
      <c r="BX222" s="241">
        <f>INDEX(연료전지_원본!$A$4:$KY$369,MATCH($A222,연료전지_원본!$A$4:$A$369,0),MATCH($BX$4,연료전지_원본!$A$4:$KY$4,0))</f>
        <v>0</v>
      </c>
      <c r="BY222" s="241">
        <f>INDEX(연료전지_원본!$A$4:$KY$369,MATCH($A222,연료전지_원본!$A$4:$A$369,0),MATCH($BY$4,연료전지_원본!$A$4:$KY$4,0))</f>
        <v>0</v>
      </c>
      <c r="BZ222" s="241">
        <f>INDEX(연료전지_원본!$A$4:$KY$369,MATCH($A222,연료전지_원본!$A$4:$A$369,0),MATCH($BZ$4,연료전지_원본!$A$4:$KY$4,0))</f>
        <v>0</v>
      </c>
      <c r="CA222" s="241">
        <f>INDEX(연료전지_원본!$A$4:$KY$369,MATCH($A222,연료전지_원본!$A$4:$A$369,0),MATCH($CA$4,연료전지_원본!$A$4:$KY$4,0))</f>
        <v>0</v>
      </c>
      <c r="CB222" s="241">
        <f>INDEX(연료전지_원본!$A$4:$KY$369,MATCH($A222,연료전지_원본!$A$4:$A$369,0),MATCH($CB$4,연료전지_원본!$A$4:$KY$4,0))</f>
        <v>0</v>
      </c>
      <c r="CC222" s="242">
        <f>INDEX(연료전지_원본!$A$4:$KY$369,MATCH($A222,연료전지_원본!$A$4:$A$369,0),MATCH($CC$4,연료전지_원본!$A$4:$KY$4,0))</f>
        <v>0</v>
      </c>
      <c r="CD222" s="250">
        <f>INDEX(연료전지_원본!$KB$4:$KX$369,MATCH($A222,연료전지_원본!$KB$4:$KB$369,0), MATCH(CD$4,연료전지_원본!$KB$4:$KX$4,0))*1000</f>
        <v>0</v>
      </c>
      <c r="CE222" s="250">
        <f>INDEX(연료전지_원본!$KB$4:$KX$369,MATCH($A222,연료전지_원본!$KB$4:$KB$369,0), MATCH(CE$4,연료전지_원본!$KB$4:$KX$4,0))*1000</f>
        <v>0</v>
      </c>
      <c r="CF222" s="250">
        <f>INDEX(연료전지_원본!$KB$4:$KX$369,MATCH($A222,연료전지_원본!$KB$4:$KB$369,0), MATCH(CF$4,연료전지_원본!$KB$4:$KX$4,0))*1000</f>
        <v>0</v>
      </c>
      <c r="CG222" s="250">
        <f>INDEX(연료전지_원본!$KB$4:$KX$369,MATCH($A222,연료전지_원본!$KB$4:$KB$369,0), MATCH(CG$4,연료전지_원본!$KB$4:$KX$4,0))*1000</f>
        <v>0</v>
      </c>
      <c r="CH222" s="250">
        <f>INDEX(연료전지_원본!$KB$4:$KX$369,MATCH($A222,연료전지_원본!$KB$4:$KB$369,0), MATCH(CH$4,연료전지_원본!$KB$4:$KX$4,0))*1000</f>
        <v>0</v>
      </c>
      <c r="CI222" s="250">
        <f>INDEX(연료전지_원본!$KB$4:$KX$369,MATCH($A222,연료전지_원본!$KB$4:$KB$369,0), MATCH(CI$4,연료전지_원본!$KB$4:$KX$4,0))*1000</f>
        <v>0</v>
      </c>
      <c r="CJ222" s="250">
        <f>INDEX(연료전지_원본!$KB$4:$KX$369,MATCH($A222,연료전지_원본!$KB$4:$KB$369,0), MATCH(CJ$4,연료전지_원본!$KB$4:$KX$4,0))*1000</f>
        <v>0</v>
      </c>
      <c r="CK222" s="250">
        <f>INDEX(연료전지_원본!$KB$4:$KX$369,MATCH($A222,연료전지_원본!$KB$4:$KB$369,0), MATCH(CK$4,연료전지_원본!$KB$4:$KX$4,0))*1000</f>
        <v>0</v>
      </c>
      <c r="CL222" s="250">
        <f>INDEX(연료전지_원본!$KB$4:$KX$369,MATCH($A222,연료전지_원본!$KB$4:$KB$369,0), MATCH(CL$4,연료전지_원본!$KB$4:$KX$4,0))*1000</f>
        <v>0</v>
      </c>
      <c r="CM222" s="250">
        <f>INDEX(연료전지_원본!$KB$4:$KX$369,MATCH($A222,연료전지_원본!$KB$4:$KB$369,0), MATCH(CM$4,연료전지_원본!$KB$4:$KX$4,0))*1000</f>
        <v>0</v>
      </c>
      <c r="CN222" s="250">
        <f>INDEX(연료전지_원본!$KB$4:$KX$369,MATCH($A222,연료전지_원본!$KB$4:$KB$369,0), MATCH(CN$4,연료전지_원본!$KB$4:$KX$4,0))*1000</f>
        <v>0</v>
      </c>
      <c r="CO222" s="250">
        <f>INDEX(연료전지_원본!$KB$4:$KX$369,MATCH($A222,연료전지_원본!$KB$4:$KB$369,0), MATCH(CO$4,연료전지_원본!$KB$4:$KX$4,0))*1000</f>
        <v>0</v>
      </c>
      <c r="CP222" s="250">
        <f>INDEX(연료전지_원본!$KB$4:$KX$369,MATCH($A222,연료전지_원본!$KB$4:$KB$369,0), MATCH(CP$4,연료전지_원본!$KB$4:$KX$4,0))*1000</f>
        <v>0</v>
      </c>
      <c r="CQ222" s="250">
        <f>INDEX(연료전지_원본!$KB$4:$KX$369,MATCH($A222,연료전지_원본!$KB$4:$KB$369,0), MATCH(CQ$4,연료전지_원본!$KB$4:$KX$4,0))*1000</f>
        <v>0</v>
      </c>
      <c r="CR222" s="250">
        <f>INDEX(연료전지_원본!$KB$4:$KX$369,MATCH($A222,연료전지_원본!$KB$4:$KB$369,0), MATCH(CR$4,연료전지_원본!$KB$4:$KX$4,0))*1000</f>
        <v>0</v>
      </c>
      <c r="CS222" s="250">
        <f>INDEX(연료전지_원본!$KB$4:$KX$369,MATCH($A222,연료전지_원본!$KB$4:$KB$369,0), MATCH(CS$4,연료전지_원본!$KB$4:$KX$4,0))*1000</f>
        <v>0</v>
      </c>
      <c r="CT222" s="250">
        <f>INDEX(연료전지_원본!$KB$4:$KX$369,MATCH($A222,연료전지_원본!$KB$4:$KB$369,0), MATCH(CT$4,연료전지_원본!$KB$4:$KX$4,0))*1000</f>
        <v>0</v>
      </c>
      <c r="CU222" s="250">
        <f>INDEX(연료전지_원본!$KB$4:$KX$369,MATCH($A222,연료전지_원본!$KB$4:$KB$369,0), MATCH(CU$4,연료전지_원본!$KB$4:$KX$4,0))*1000</f>
        <v>0</v>
      </c>
      <c r="CV222" s="250">
        <f>INDEX(연료전지_원본!$KB$4:$KX$369,MATCH($A222,연료전지_원본!$KB$4:$KB$369,0), MATCH(CV$4,연료전지_원본!$KB$4:$KX$4,0))*1000</f>
        <v>0</v>
      </c>
      <c r="CW222" s="250">
        <f>INDEX(연료전지_원본!$KB$4:$KX$369,MATCH($A222,연료전지_원본!$KB$4:$KB$369,0), MATCH(CW$4,연료전지_원본!$KB$4:$KX$4,0))*1000</f>
        <v>0</v>
      </c>
      <c r="CX222" s="250">
        <f>INDEX(연료전지_원본!$KB$4:$KX$369,MATCH($A222,연료전지_원본!$KB$4:$KB$369,0), MATCH(CX$4,연료전지_원본!$KB$4:$KX$4,0))*1000</f>
        <v>0</v>
      </c>
      <c r="CY222" s="250">
        <f>INDEX(연료전지_원본!$KB$4:$KX$369,MATCH($A222,연료전지_원본!$KB$4:$KB$369,0), MATCH(CY$4,연료전지_원본!$KB$4:$KX$4,0))*1000</f>
        <v>0</v>
      </c>
      <c r="DV222" s="30">
        <f t="shared" si="954"/>
        <v>0</v>
      </c>
    </row>
    <row r="223" spans="1:126">
      <c r="A223" s="6">
        <v>46240</v>
      </c>
      <c r="B223" s="15">
        <f>운전실적_원본!B223</f>
        <v>0</v>
      </c>
      <c r="C223" s="16" t="str">
        <f t="shared" si="960"/>
        <v/>
      </c>
      <c r="D223" s="12">
        <f>운전실적_원본!C223</f>
        <v>0</v>
      </c>
      <c r="E223" s="12" t="str">
        <f t="shared" si="961"/>
        <v/>
      </c>
      <c r="F223" s="12">
        <f>운전실적_원본!D223</f>
        <v>0</v>
      </c>
      <c r="G223" s="16" t="str">
        <f t="shared" si="962"/>
        <v/>
      </c>
      <c r="H223" s="15">
        <f>운전실적_원본!E223</f>
        <v>0</v>
      </c>
      <c r="I223" s="16" t="str">
        <f t="shared" si="963"/>
        <v/>
      </c>
      <c r="J223" s="15">
        <f>운전실적_원본!F223</f>
        <v>0</v>
      </c>
      <c r="K223" s="16" t="str">
        <f t="shared" si="963"/>
        <v/>
      </c>
      <c r="L223" s="32">
        <f>운전실적_원본!G223</f>
        <v>0</v>
      </c>
      <c r="M223" s="31" t="str">
        <f t="shared" ref="M223" si="1245">IF(OR(LEN(L223)=0,L223=0),"",L223-L222)</f>
        <v/>
      </c>
      <c r="N223" s="15">
        <f>운전실적_원본!H223</f>
        <v>0</v>
      </c>
      <c r="O223" s="16" t="str">
        <f t="shared" ref="O223" si="1246">IF(OR(LEN(N223)=0,N223=0),"",N223-N222)</f>
        <v/>
      </c>
      <c r="P223" s="15">
        <f>운전실적_원본!I223</f>
        <v>0</v>
      </c>
      <c r="Q223" s="16" t="str">
        <f t="shared" ref="Q223" si="1247">IF(OR(LEN(P223)=0,P223=0),"",P223-P222)</f>
        <v/>
      </c>
      <c r="R223" s="18">
        <f>운전실적_원본!J223</f>
        <v>0</v>
      </c>
      <c r="S223" s="19" t="str">
        <f t="shared" ref="S223" si="1248">IF(OR(LEN(R223)=0,R223=0),"",R223-R222)</f>
        <v/>
      </c>
      <c r="T223" s="18">
        <f>운전실적_원본!K223</f>
        <v>0</v>
      </c>
      <c r="U223" s="19" t="str">
        <f t="shared" si="968"/>
        <v/>
      </c>
      <c r="V223" s="12">
        <f>운전실적_원본!L223</f>
        <v>0</v>
      </c>
      <c r="W223" s="16" t="str">
        <f t="shared" ref="W223" si="1249">IF(OR(LEN(V223)=0,V223=0),"",V223-V222)</f>
        <v/>
      </c>
      <c r="X223" s="10">
        <f>운전실적_원본!M223</f>
        <v>0</v>
      </c>
      <c r="Y223" s="10">
        <f>운전실적_원본!N223</f>
        <v>0</v>
      </c>
      <c r="Z223" s="10">
        <f>운전실적_원본!O223</f>
        <v>0</v>
      </c>
      <c r="AA223" s="10">
        <f>운전실적_원본!P223</f>
        <v>0</v>
      </c>
      <c r="AB223" s="10">
        <f>운전실적_원본!Q223</f>
        <v>0</v>
      </c>
      <c r="AC223" s="20">
        <f>운전실적_원본!R223</f>
        <v>0</v>
      </c>
      <c r="AD223" s="109">
        <f>운전실적_원본!S223</f>
        <v>0</v>
      </c>
      <c r="AE223" s="110">
        <f>운전실적_원본!T223</f>
        <v>0</v>
      </c>
      <c r="AF223" s="110">
        <f>운전실적_원본!U223</f>
        <v>0</v>
      </c>
      <c r="AG223" s="110">
        <f>운전실적_원본!V223</f>
        <v>0</v>
      </c>
      <c r="AH223" s="109">
        <f t="shared" si="1122"/>
        <v>0</v>
      </c>
      <c r="AI223" s="110">
        <f t="shared" si="1129"/>
        <v>0</v>
      </c>
      <c r="AJ223" s="110">
        <f>운전실적_원본!Y223</f>
        <v>0</v>
      </c>
      <c r="AK223" s="110">
        <f>운전실적_원본!Z223</f>
        <v>0</v>
      </c>
      <c r="AL223" s="106"/>
      <c r="AM223" s="105"/>
      <c r="AN223" s="105"/>
      <c r="AO223" s="105"/>
      <c r="AP223" s="105"/>
      <c r="AQ223" s="108"/>
      <c r="AR223" s="105"/>
      <c r="AS223" s="105"/>
      <c r="AT223" s="102"/>
      <c r="AU223" s="102"/>
      <c r="AV223" s="102"/>
      <c r="AW223" s="102"/>
      <c r="AX223" s="32">
        <f>운전실적_원본!W223</f>
        <v>0</v>
      </c>
      <c r="AY223" s="11">
        <f>운전실적_원본!X223</f>
        <v>0</v>
      </c>
      <c r="AZ223" s="11">
        <f>운전실적_원본!Y223</f>
        <v>0</v>
      </c>
      <c r="BA223" s="11">
        <f>운전실적_원본!Z223</f>
        <v>0</v>
      </c>
      <c r="BB223" s="11">
        <f>운전실적_원본!AA223</f>
        <v>0</v>
      </c>
      <c r="BC223" s="11">
        <f>운전실적_원본!AB223</f>
        <v>0</v>
      </c>
      <c r="BD223" s="32" t="str">
        <f t="shared" si="1115"/>
        <v>-</v>
      </c>
      <c r="BE223" s="11" t="str">
        <f t="shared" si="1123"/>
        <v>-</v>
      </c>
      <c r="BF223" s="11">
        <f>운전실적_원본!AE223</f>
        <v>0</v>
      </c>
      <c r="BG223" s="31">
        <f t="shared" si="1116"/>
        <v>0</v>
      </c>
      <c r="BH223" s="241">
        <f>INDEX(연료전지_원본!$A$4:$KY$369,MATCH($A223,연료전지_원본!$A$4:$A$369,0),MATCH($BH$4,연료전지_원본!$A$4:$KY$4,0))</f>
        <v>0</v>
      </c>
      <c r="BI223" s="241">
        <f>INDEX(연료전지_원본!$A$4:$KY$369,MATCH($A223,연료전지_원본!$A$4:$A$369,0),MATCH($BI$4,연료전지_원본!$A$4:$KY$4,0))</f>
        <v>0</v>
      </c>
      <c r="BJ223" s="241">
        <f>INDEX(연료전지_원본!$A$4:$KY$369,MATCH($A223,연료전지_원본!$A$4:$A$369,0),MATCH($BJ$4,연료전지_원본!$A$4:$KY$4,0))</f>
        <v>0</v>
      </c>
      <c r="BK223" s="241">
        <f>INDEX(연료전지_원본!$A$4:$KY$369,MATCH($A223,연료전지_원본!$A$4:$A$369,0),MATCH($BK$4,연료전지_원본!$A$4:$KY$4,0))</f>
        <v>0</v>
      </c>
      <c r="BL223" s="241">
        <f>INDEX(연료전지_원본!$A$4:$KY$369,MATCH($A223,연료전지_원본!$A$4:$A$369,0),MATCH($BL$4,연료전지_원본!$A$4:$KY$4,0))</f>
        <v>0</v>
      </c>
      <c r="BM223" s="241">
        <f>INDEX(연료전지_원본!$A$4:$KY$369,MATCH($A223,연료전지_원본!$A$4:$A$369,0),MATCH($BM$4,연료전지_원본!$A$4:$KY$4,0))</f>
        <v>0</v>
      </c>
      <c r="BN223" s="241">
        <f>INDEX(연료전지_원본!$A$4:$KY$369,MATCH($A223,연료전지_원본!$A$4:$A$369,0),MATCH($BN$4,연료전지_원본!$A$4:$KY$4,0))</f>
        <v>0</v>
      </c>
      <c r="BO223" s="241">
        <f>INDEX(연료전지_원본!$A$4:$KY$369,MATCH($A223,연료전지_원본!$A$4:$A$369,0),MATCH($BO$4,연료전지_원본!$A$4:$KY$4,0))</f>
        <v>0</v>
      </c>
      <c r="BP223" s="241">
        <f>INDEX(연료전지_원본!$A$4:$KY$369,MATCH($A223,연료전지_원본!$A$4:$A$369,0),MATCH($BP$4,연료전지_원본!$A$4:$KY$4,0))</f>
        <v>0</v>
      </c>
      <c r="BQ223" s="241">
        <f>INDEX(연료전지_원본!$A$4:$KY$369,MATCH($A223,연료전지_원본!$A$4:$A$369,0),MATCH($BQ$4,연료전지_원본!$A$4:$KY$4,0))</f>
        <v>0</v>
      </c>
      <c r="BR223" s="241">
        <f>INDEX(연료전지_원본!$A$4:$KY$369,MATCH($A223,연료전지_원본!$A$4:$A$369,0),MATCH($BR$4,연료전지_원본!$A$4:$KY$4,0))</f>
        <v>0</v>
      </c>
      <c r="BS223" s="241">
        <f>INDEX(연료전지_원본!$A$4:$KY$369,MATCH($A223,연료전지_원본!$A$4:$A$369,0),MATCH($BS$4,연료전지_원본!$A$4:$KY$4,0))</f>
        <v>0</v>
      </c>
      <c r="BT223" s="241">
        <f>INDEX(연료전지_원본!$A$4:$KY$369,MATCH($A223,연료전지_원본!$A$4:$A$369,0),MATCH($BT$4,연료전지_원본!$A$4:$KY$4,0))</f>
        <v>0</v>
      </c>
      <c r="BU223" s="241">
        <f>INDEX(연료전지_원본!$A$4:$KY$369,MATCH($A223,연료전지_원본!$A$4:$A$369,0),MATCH($BU$4,연료전지_원본!$A$4:$KY$4,0))</f>
        <v>0</v>
      </c>
      <c r="BV223" s="241">
        <f>INDEX(연료전지_원본!$A$4:$KY$369,MATCH($A223,연료전지_원본!$A$4:$A$369,0),MATCH($BV$4,연료전지_원본!$A$4:$KY$4,0))</f>
        <v>0</v>
      </c>
      <c r="BW223" s="241">
        <f>INDEX(연료전지_원본!$A$4:$KY$369,MATCH($A223,연료전지_원본!$A$4:$A$369,0),MATCH($BW$4,연료전지_원본!$A$4:$KY$4,0))</f>
        <v>0</v>
      </c>
      <c r="BX223" s="241">
        <f>INDEX(연료전지_원본!$A$4:$KY$369,MATCH($A223,연료전지_원본!$A$4:$A$369,0),MATCH($BX$4,연료전지_원본!$A$4:$KY$4,0))</f>
        <v>0</v>
      </c>
      <c r="BY223" s="241">
        <f>INDEX(연료전지_원본!$A$4:$KY$369,MATCH($A223,연료전지_원본!$A$4:$A$369,0),MATCH($BY$4,연료전지_원본!$A$4:$KY$4,0))</f>
        <v>0</v>
      </c>
      <c r="BZ223" s="241">
        <f>INDEX(연료전지_원본!$A$4:$KY$369,MATCH($A223,연료전지_원본!$A$4:$A$369,0),MATCH($BZ$4,연료전지_원본!$A$4:$KY$4,0))</f>
        <v>0</v>
      </c>
      <c r="CA223" s="241">
        <f>INDEX(연료전지_원본!$A$4:$KY$369,MATCH($A223,연료전지_원본!$A$4:$A$369,0),MATCH($CA$4,연료전지_원본!$A$4:$KY$4,0))</f>
        <v>0</v>
      </c>
      <c r="CB223" s="241">
        <f>INDEX(연료전지_원본!$A$4:$KY$369,MATCH($A223,연료전지_원본!$A$4:$A$369,0),MATCH($CB$4,연료전지_원본!$A$4:$KY$4,0))</f>
        <v>0</v>
      </c>
      <c r="CC223" s="242">
        <f>INDEX(연료전지_원본!$A$4:$KY$369,MATCH($A223,연료전지_원본!$A$4:$A$369,0),MATCH($CC$4,연료전지_원본!$A$4:$KY$4,0))</f>
        <v>0</v>
      </c>
      <c r="CD223" s="250">
        <f>INDEX(연료전지_원본!$KB$4:$KX$369,MATCH($A223,연료전지_원본!$KB$4:$KB$369,0), MATCH(CD$4,연료전지_원본!$KB$4:$KX$4,0))*1000</f>
        <v>0</v>
      </c>
      <c r="CE223" s="250">
        <f>INDEX(연료전지_원본!$KB$4:$KX$369,MATCH($A223,연료전지_원본!$KB$4:$KB$369,0), MATCH(CE$4,연료전지_원본!$KB$4:$KX$4,0))*1000</f>
        <v>0</v>
      </c>
      <c r="CF223" s="250">
        <f>INDEX(연료전지_원본!$KB$4:$KX$369,MATCH($A223,연료전지_원본!$KB$4:$KB$369,0), MATCH(CF$4,연료전지_원본!$KB$4:$KX$4,0))*1000</f>
        <v>0</v>
      </c>
      <c r="CG223" s="250">
        <f>INDEX(연료전지_원본!$KB$4:$KX$369,MATCH($A223,연료전지_원본!$KB$4:$KB$369,0), MATCH(CG$4,연료전지_원본!$KB$4:$KX$4,0))*1000</f>
        <v>0</v>
      </c>
      <c r="CH223" s="250">
        <f>INDEX(연료전지_원본!$KB$4:$KX$369,MATCH($A223,연료전지_원본!$KB$4:$KB$369,0), MATCH(CH$4,연료전지_원본!$KB$4:$KX$4,0))*1000</f>
        <v>0</v>
      </c>
      <c r="CI223" s="250">
        <f>INDEX(연료전지_원본!$KB$4:$KX$369,MATCH($A223,연료전지_원본!$KB$4:$KB$369,0), MATCH(CI$4,연료전지_원본!$KB$4:$KX$4,0))*1000</f>
        <v>0</v>
      </c>
      <c r="CJ223" s="250">
        <f>INDEX(연료전지_원본!$KB$4:$KX$369,MATCH($A223,연료전지_원본!$KB$4:$KB$369,0), MATCH(CJ$4,연료전지_원본!$KB$4:$KX$4,0))*1000</f>
        <v>0</v>
      </c>
      <c r="CK223" s="250">
        <f>INDEX(연료전지_원본!$KB$4:$KX$369,MATCH($A223,연료전지_원본!$KB$4:$KB$369,0), MATCH(CK$4,연료전지_원본!$KB$4:$KX$4,0))*1000</f>
        <v>0</v>
      </c>
      <c r="CL223" s="250">
        <f>INDEX(연료전지_원본!$KB$4:$KX$369,MATCH($A223,연료전지_원본!$KB$4:$KB$369,0), MATCH(CL$4,연료전지_원본!$KB$4:$KX$4,0))*1000</f>
        <v>0</v>
      </c>
      <c r="CM223" s="250">
        <f>INDEX(연료전지_원본!$KB$4:$KX$369,MATCH($A223,연료전지_원본!$KB$4:$KB$369,0), MATCH(CM$4,연료전지_원본!$KB$4:$KX$4,0))*1000</f>
        <v>0</v>
      </c>
      <c r="CN223" s="250">
        <f>INDEX(연료전지_원본!$KB$4:$KX$369,MATCH($A223,연료전지_원본!$KB$4:$KB$369,0), MATCH(CN$4,연료전지_원본!$KB$4:$KX$4,0))*1000</f>
        <v>0</v>
      </c>
      <c r="CO223" s="250">
        <f>INDEX(연료전지_원본!$KB$4:$KX$369,MATCH($A223,연료전지_원본!$KB$4:$KB$369,0), MATCH(CO$4,연료전지_원본!$KB$4:$KX$4,0))*1000</f>
        <v>0</v>
      </c>
      <c r="CP223" s="250">
        <f>INDEX(연료전지_원본!$KB$4:$KX$369,MATCH($A223,연료전지_원본!$KB$4:$KB$369,0), MATCH(CP$4,연료전지_원본!$KB$4:$KX$4,0))*1000</f>
        <v>0</v>
      </c>
      <c r="CQ223" s="250">
        <f>INDEX(연료전지_원본!$KB$4:$KX$369,MATCH($A223,연료전지_원본!$KB$4:$KB$369,0), MATCH(CQ$4,연료전지_원본!$KB$4:$KX$4,0))*1000</f>
        <v>0</v>
      </c>
      <c r="CR223" s="250">
        <f>INDEX(연료전지_원본!$KB$4:$KX$369,MATCH($A223,연료전지_원본!$KB$4:$KB$369,0), MATCH(CR$4,연료전지_원본!$KB$4:$KX$4,0))*1000</f>
        <v>0</v>
      </c>
      <c r="CS223" s="250">
        <f>INDEX(연료전지_원본!$KB$4:$KX$369,MATCH($A223,연료전지_원본!$KB$4:$KB$369,0), MATCH(CS$4,연료전지_원본!$KB$4:$KX$4,0))*1000</f>
        <v>0</v>
      </c>
      <c r="CT223" s="250">
        <f>INDEX(연료전지_원본!$KB$4:$KX$369,MATCH($A223,연료전지_원본!$KB$4:$KB$369,0), MATCH(CT$4,연료전지_원본!$KB$4:$KX$4,0))*1000</f>
        <v>0</v>
      </c>
      <c r="CU223" s="250">
        <f>INDEX(연료전지_원본!$KB$4:$KX$369,MATCH($A223,연료전지_원본!$KB$4:$KB$369,0), MATCH(CU$4,연료전지_원본!$KB$4:$KX$4,0))*1000</f>
        <v>0</v>
      </c>
      <c r="CV223" s="250">
        <f>INDEX(연료전지_원본!$KB$4:$KX$369,MATCH($A223,연료전지_원본!$KB$4:$KB$369,0), MATCH(CV$4,연료전지_원본!$KB$4:$KX$4,0))*1000</f>
        <v>0</v>
      </c>
      <c r="CW223" s="250">
        <f>INDEX(연료전지_원본!$KB$4:$KX$369,MATCH($A223,연료전지_원본!$KB$4:$KB$369,0), MATCH(CW$4,연료전지_원본!$KB$4:$KX$4,0))*1000</f>
        <v>0</v>
      </c>
      <c r="CX223" s="250">
        <f>INDEX(연료전지_원본!$KB$4:$KX$369,MATCH($A223,연료전지_원본!$KB$4:$KB$369,0), MATCH(CX$4,연료전지_원본!$KB$4:$KX$4,0))*1000</f>
        <v>0</v>
      </c>
      <c r="CY223" s="250">
        <f>INDEX(연료전지_원본!$KB$4:$KX$369,MATCH($A223,연료전지_원본!$KB$4:$KB$369,0), MATCH(CY$4,연료전지_원본!$KB$4:$KX$4,0))*1000</f>
        <v>0</v>
      </c>
      <c r="DV223" s="30">
        <f t="shared" si="954"/>
        <v>0</v>
      </c>
    </row>
    <row r="224" spans="1:126">
      <c r="A224" s="6">
        <v>46241</v>
      </c>
      <c r="B224" s="15">
        <f>운전실적_원본!B224</f>
        <v>0</v>
      </c>
      <c r="C224" s="16" t="str">
        <f t="shared" si="960"/>
        <v/>
      </c>
      <c r="D224" s="12">
        <f>운전실적_원본!C224</f>
        <v>0</v>
      </c>
      <c r="E224" s="12" t="str">
        <f t="shared" si="961"/>
        <v/>
      </c>
      <c r="F224" s="12">
        <f>운전실적_원본!D224</f>
        <v>0</v>
      </c>
      <c r="G224" s="16" t="str">
        <f t="shared" si="962"/>
        <v/>
      </c>
      <c r="H224" s="15">
        <f>운전실적_원본!E224</f>
        <v>0</v>
      </c>
      <c r="I224" s="16" t="str">
        <f t="shared" si="963"/>
        <v/>
      </c>
      <c r="J224" s="15">
        <f>운전실적_원본!F224</f>
        <v>0</v>
      </c>
      <c r="K224" s="16" t="str">
        <f t="shared" si="963"/>
        <v/>
      </c>
      <c r="L224" s="32">
        <f>운전실적_원본!G224</f>
        <v>0</v>
      </c>
      <c r="M224" s="31" t="str">
        <f t="shared" ref="M224" si="1250">IF(OR(LEN(L224)=0,L224=0),"",L224-L223)</f>
        <v/>
      </c>
      <c r="N224" s="15">
        <f>운전실적_원본!H224</f>
        <v>0</v>
      </c>
      <c r="O224" s="16" t="str">
        <f t="shared" ref="O224" si="1251">IF(OR(LEN(N224)=0,N224=0),"",N224-N223)</f>
        <v/>
      </c>
      <c r="P224" s="15">
        <f>운전실적_원본!I224</f>
        <v>0</v>
      </c>
      <c r="Q224" s="16" t="str">
        <f t="shared" ref="Q224" si="1252">IF(OR(LEN(P224)=0,P224=0),"",P224-P223)</f>
        <v/>
      </c>
      <c r="R224" s="18">
        <f>운전실적_원본!J224</f>
        <v>0</v>
      </c>
      <c r="S224" s="19" t="str">
        <f t="shared" ref="S224" si="1253">IF(OR(LEN(R224)=0,R224=0),"",R224-R223)</f>
        <v/>
      </c>
      <c r="T224" s="18">
        <f>운전실적_원본!K224</f>
        <v>0</v>
      </c>
      <c r="U224" s="19" t="str">
        <f t="shared" si="968"/>
        <v/>
      </c>
      <c r="V224" s="12">
        <f>운전실적_원본!L224</f>
        <v>0</v>
      </c>
      <c r="W224" s="16" t="str">
        <f t="shared" ref="W224" si="1254">IF(OR(LEN(V224)=0,V224=0),"",V224-V223)</f>
        <v/>
      </c>
      <c r="X224" s="10">
        <f>운전실적_원본!M224</f>
        <v>0</v>
      </c>
      <c r="Y224" s="10">
        <f>운전실적_원본!N224</f>
        <v>0</v>
      </c>
      <c r="Z224" s="10">
        <f>운전실적_원본!O224</f>
        <v>0</v>
      </c>
      <c r="AA224" s="10">
        <f>운전실적_원본!P224</f>
        <v>0</v>
      </c>
      <c r="AB224" s="10">
        <f>운전실적_원본!Q224</f>
        <v>0</v>
      </c>
      <c r="AC224" s="20">
        <f>운전실적_원본!R224</f>
        <v>0</v>
      </c>
      <c r="AD224" s="109">
        <f>운전실적_원본!S224</f>
        <v>0</v>
      </c>
      <c r="AE224" s="110">
        <f>운전실적_원본!T224</f>
        <v>0</v>
      </c>
      <c r="AF224" s="110">
        <f>운전실적_원본!U224</f>
        <v>0</v>
      </c>
      <c r="AG224" s="110">
        <f>운전실적_원본!V224</f>
        <v>0</v>
      </c>
      <c r="AH224" s="109">
        <f t="shared" si="1122"/>
        <v>0</v>
      </c>
      <c r="AI224" s="110">
        <f t="shared" si="1129"/>
        <v>0</v>
      </c>
      <c r="AJ224" s="110">
        <f>운전실적_원본!Y224</f>
        <v>0</v>
      </c>
      <c r="AK224" s="110">
        <f>운전실적_원본!Z224</f>
        <v>0</v>
      </c>
      <c r="AL224" s="106"/>
      <c r="AM224" s="105"/>
      <c r="AN224" s="105"/>
      <c r="AO224" s="105"/>
      <c r="AP224" s="105"/>
      <c r="AQ224" s="108"/>
      <c r="AR224" s="105"/>
      <c r="AS224" s="105"/>
      <c r="AT224" s="102"/>
      <c r="AU224" s="102"/>
      <c r="AV224" s="102"/>
      <c r="AW224" s="102"/>
      <c r="AX224" s="32">
        <f>운전실적_원본!W224</f>
        <v>0</v>
      </c>
      <c r="AY224" s="11">
        <f>운전실적_원본!X224</f>
        <v>0</v>
      </c>
      <c r="AZ224" s="11">
        <f>운전실적_원본!Y224</f>
        <v>0</v>
      </c>
      <c r="BA224" s="11">
        <f>운전실적_원본!Z224</f>
        <v>0</v>
      </c>
      <c r="BB224" s="11">
        <f>운전실적_원본!AA224</f>
        <v>0</v>
      </c>
      <c r="BC224" s="11">
        <f>운전실적_원본!AB224</f>
        <v>0</v>
      </c>
      <c r="BD224" s="32" t="str">
        <f t="shared" si="1115"/>
        <v>-</v>
      </c>
      <c r="BE224" s="11" t="str">
        <f t="shared" si="1123"/>
        <v>-</v>
      </c>
      <c r="BF224" s="11">
        <f>운전실적_원본!AE224</f>
        <v>0</v>
      </c>
      <c r="BG224" s="31">
        <f t="shared" si="1116"/>
        <v>0</v>
      </c>
      <c r="BH224" s="241">
        <f>INDEX(연료전지_원본!$A$4:$KY$369,MATCH($A224,연료전지_원본!$A$4:$A$369,0),MATCH($BH$4,연료전지_원본!$A$4:$KY$4,0))</f>
        <v>0</v>
      </c>
      <c r="BI224" s="241">
        <f>INDEX(연료전지_원본!$A$4:$KY$369,MATCH($A224,연료전지_원본!$A$4:$A$369,0),MATCH($BI$4,연료전지_원본!$A$4:$KY$4,0))</f>
        <v>0</v>
      </c>
      <c r="BJ224" s="241">
        <f>INDEX(연료전지_원본!$A$4:$KY$369,MATCH($A224,연료전지_원본!$A$4:$A$369,0),MATCH($BJ$4,연료전지_원본!$A$4:$KY$4,0))</f>
        <v>0</v>
      </c>
      <c r="BK224" s="241">
        <f>INDEX(연료전지_원본!$A$4:$KY$369,MATCH($A224,연료전지_원본!$A$4:$A$369,0),MATCH($BK$4,연료전지_원본!$A$4:$KY$4,0))</f>
        <v>0</v>
      </c>
      <c r="BL224" s="241">
        <f>INDEX(연료전지_원본!$A$4:$KY$369,MATCH($A224,연료전지_원본!$A$4:$A$369,0),MATCH($BL$4,연료전지_원본!$A$4:$KY$4,0))</f>
        <v>0</v>
      </c>
      <c r="BM224" s="241">
        <f>INDEX(연료전지_원본!$A$4:$KY$369,MATCH($A224,연료전지_원본!$A$4:$A$369,0),MATCH($BM$4,연료전지_원본!$A$4:$KY$4,0))</f>
        <v>0</v>
      </c>
      <c r="BN224" s="241">
        <f>INDEX(연료전지_원본!$A$4:$KY$369,MATCH($A224,연료전지_원본!$A$4:$A$369,0),MATCH($BN$4,연료전지_원본!$A$4:$KY$4,0))</f>
        <v>0</v>
      </c>
      <c r="BO224" s="241">
        <f>INDEX(연료전지_원본!$A$4:$KY$369,MATCH($A224,연료전지_원본!$A$4:$A$369,0),MATCH($BO$4,연료전지_원본!$A$4:$KY$4,0))</f>
        <v>0</v>
      </c>
      <c r="BP224" s="241">
        <f>INDEX(연료전지_원본!$A$4:$KY$369,MATCH($A224,연료전지_원본!$A$4:$A$369,0),MATCH($BP$4,연료전지_원본!$A$4:$KY$4,0))</f>
        <v>0</v>
      </c>
      <c r="BQ224" s="241">
        <f>INDEX(연료전지_원본!$A$4:$KY$369,MATCH($A224,연료전지_원본!$A$4:$A$369,0),MATCH($BQ$4,연료전지_원본!$A$4:$KY$4,0))</f>
        <v>0</v>
      </c>
      <c r="BR224" s="241">
        <f>INDEX(연료전지_원본!$A$4:$KY$369,MATCH($A224,연료전지_원본!$A$4:$A$369,0),MATCH($BR$4,연료전지_원본!$A$4:$KY$4,0))</f>
        <v>0</v>
      </c>
      <c r="BS224" s="241">
        <f>INDEX(연료전지_원본!$A$4:$KY$369,MATCH($A224,연료전지_원본!$A$4:$A$369,0),MATCH($BS$4,연료전지_원본!$A$4:$KY$4,0))</f>
        <v>0</v>
      </c>
      <c r="BT224" s="241">
        <f>INDEX(연료전지_원본!$A$4:$KY$369,MATCH($A224,연료전지_원본!$A$4:$A$369,0),MATCH($BT$4,연료전지_원본!$A$4:$KY$4,0))</f>
        <v>0</v>
      </c>
      <c r="BU224" s="241">
        <f>INDEX(연료전지_원본!$A$4:$KY$369,MATCH($A224,연료전지_원본!$A$4:$A$369,0),MATCH($BU$4,연료전지_원본!$A$4:$KY$4,0))</f>
        <v>0</v>
      </c>
      <c r="BV224" s="241">
        <f>INDEX(연료전지_원본!$A$4:$KY$369,MATCH($A224,연료전지_원본!$A$4:$A$369,0),MATCH($BV$4,연료전지_원본!$A$4:$KY$4,0))</f>
        <v>0</v>
      </c>
      <c r="BW224" s="241">
        <f>INDEX(연료전지_원본!$A$4:$KY$369,MATCH($A224,연료전지_원본!$A$4:$A$369,0),MATCH($BW$4,연료전지_원본!$A$4:$KY$4,0))</f>
        <v>0</v>
      </c>
      <c r="BX224" s="241">
        <f>INDEX(연료전지_원본!$A$4:$KY$369,MATCH($A224,연료전지_원본!$A$4:$A$369,0),MATCH($BX$4,연료전지_원본!$A$4:$KY$4,0))</f>
        <v>0</v>
      </c>
      <c r="BY224" s="241">
        <f>INDEX(연료전지_원본!$A$4:$KY$369,MATCH($A224,연료전지_원본!$A$4:$A$369,0),MATCH($BY$4,연료전지_원본!$A$4:$KY$4,0))</f>
        <v>0</v>
      </c>
      <c r="BZ224" s="241">
        <f>INDEX(연료전지_원본!$A$4:$KY$369,MATCH($A224,연료전지_원본!$A$4:$A$369,0),MATCH($BZ$4,연료전지_원본!$A$4:$KY$4,0))</f>
        <v>0</v>
      </c>
      <c r="CA224" s="241">
        <f>INDEX(연료전지_원본!$A$4:$KY$369,MATCH($A224,연료전지_원본!$A$4:$A$369,0),MATCH($CA$4,연료전지_원본!$A$4:$KY$4,0))</f>
        <v>0</v>
      </c>
      <c r="CB224" s="241">
        <f>INDEX(연료전지_원본!$A$4:$KY$369,MATCH($A224,연료전지_원본!$A$4:$A$369,0),MATCH($CB$4,연료전지_원본!$A$4:$KY$4,0))</f>
        <v>0</v>
      </c>
      <c r="CC224" s="242">
        <f>INDEX(연료전지_원본!$A$4:$KY$369,MATCH($A224,연료전지_원본!$A$4:$A$369,0),MATCH($CC$4,연료전지_원본!$A$4:$KY$4,0))</f>
        <v>0</v>
      </c>
      <c r="CD224" s="250">
        <f>INDEX(연료전지_원본!$KB$4:$KX$369,MATCH($A224,연료전지_원본!$KB$4:$KB$369,0), MATCH(CD$4,연료전지_원본!$KB$4:$KX$4,0))*1000</f>
        <v>0</v>
      </c>
      <c r="CE224" s="250">
        <f>INDEX(연료전지_원본!$KB$4:$KX$369,MATCH($A224,연료전지_원본!$KB$4:$KB$369,0), MATCH(CE$4,연료전지_원본!$KB$4:$KX$4,0))*1000</f>
        <v>0</v>
      </c>
      <c r="CF224" s="250">
        <f>INDEX(연료전지_원본!$KB$4:$KX$369,MATCH($A224,연료전지_원본!$KB$4:$KB$369,0), MATCH(CF$4,연료전지_원본!$KB$4:$KX$4,0))*1000</f>
        <v>0</v>
      </c>
      <c r="CG224" s="250">
        <f>INDEX(연료전지_원본!$KB$4:$KX$369,MATCH($A224,연료전지_원본!$KB$4:$KB$369,0), MATCH(CG$4,연료전지_원본!$KB$4:$KX$4,0))*1000</f>
        <v>0</v>
      </c>
      <c r="CH224" s="250">
        <f>INDEX(연료전지_원본!$KB$4:$KX$369,MATCH($A224,연료전지_원본!$KB$4:$KB$369,0), MATCH(CH$4,연료전지_원본!$KB$4:$KX$4,0))*1000</f>
        <v>0</v>
      </c>
      <c r="CI224" s="250">
        <f>INDEX(연료전지_원본!$KB$4:$KX$369,MATCH($A224,연료전지_원본!$KB$4:$KB$369,0), MATCH(CI$4,연료전지_원본!$KB$4:$KX$4,0))*1000</f>
        <v>0</v>
      </c>
      <c r="CJ224" s="250">
        <f>INDEX(연료전지_원본!$KB$4:$KX$369,MATCH($A224,연료전지_원본!$KB$4:$KB$369,0), MATCH(CJ$4,연료전지_원본!$KB$4:$KX$4,0))*1000</f>
        <v>0</v>
      </c>
      <c r="CK224" s="250">
        <f>INDEX(연료전지_원본!$KB$4:$KX$369,MATCH($A224,연료전지_원본!$KB$4:$KB$369,0), MATCH(CK$4,연료전지_원본!$KB$4:$KX$4,0))*1000</f>
        <v>0</v>
      </c>
      <c r="CL224" s="250">
        <f>INDEX(연료전지_원본!$KB$4:$KX$369,MATCH($A224,연료전지_원본!$KB$4:$KB$369,0), MATCH(CL$4,연료전지_원본!$KB$4:$KX$4,0))*1000</f>
        <v>0</v>
      </c>
      <c r="CM224" s="250">
        <f>INDEX(연료전지_원본!$KB$4:$KX$369,MATCH($A224,연료전지_원본!$KB$4:$KB$369,0), MATCH(CM$4,연료전지_원본!$KB$4:$KX$4,0))*1000</f>
        <v>0</v>
      </c>
      <c r="CN224" s="250">
        <f>INDEX(연료전지_원본!$KB$4:$KX$369,MATCH($A224,연료전지_원본!$KB$4:$KB$369,0), MATCH(CN$4,연료전지_원본!$KB$4:$KX$4,0))*1000</f>
        <v>0</v>
      </c>
      <c r="CO224" s="250">
        <f>INDEX(연료전지_원본!$KB$4:$KX$369,MATCH($A224,연료전지_원본!$KB$4:$KB$369,0), MATCH(CO$4,연료전지_원본!$KB$4:$KX$4,0))*1000</f>
        <v>0</v>
      </c>
      <c r="CP224" s="250">
        <f>INDEX(연료전지_원본!$KB$4:$KX$369,MATCH($A224,연료전지_원본!$KB$4:$KB$369,0), MATCH(CP$4,연료전지_원본!$KB$4:$KX$4,0))*1000</f>
        <v>0</v>
      </c>
      <c r="CQ224" s="250">
        <f>INDEX(연료전지_원본!$KB$4:$KX$369,MATCH($A224,연료전지_원본!$KB$4:$KB$369,0), MATCH(CQ$4,연료전지_원본!$KB$4:$KX$4,0))*1000</f>
        <v>0</v>
      </c>
      <c r="CR224" s="250">
        <f>INDEX(연료전지_원본!$KB$4:$KX$369,MATCH($A224,연료전지_원본!$KB$4:$KB$369,0), MATCH(CR$4,연료전지_원본!$KB$4:$KX$4,0))*1000</f>
        <v>0</v>
      </c>
      <c r="CS224" s="250">
        <f>INDEX(연료전지_원본!$KB$4:$KX$369,MATCH($A224,연료전지_원본!$KB$4:$KB$369,0), MATCH(CS$4,연료전지_원본!$KB$4:$KX$4,0))*1000</f>
        <v>0</v>
      </c>
      <c r="CT224" s="250">
        <f>INDEX(연료전지_원본!$KB$4:$KX$369,MATCH($A224,연료전지_원본!$KB$4:$KB$369,0), MATCH(CT$4,연료전지_원본!$KB$4:$KX$4,0))*1000</f>
        <v>0</v>
      </c>
      <c r="CU224" s="250">
        <f>INDEX(연료전지_원본!$KB$4:$KX$369,MATCH($A224,연료전지_원본!$KB$4:$KB$369,0), MATCH(CU$4,연료전지_원본!$KB$4:$KX$4,0))*1000</f>
        <v>0</v>
      </c>
      <c r="CV224" s="250">
        <f>INDEX(연료전지_원본!$KB$4:$KX$369,MATCH($A224,연료전지_원본!$KB$4:$KB$369,0), MATCH(CV$4,연료전지_원본!$KB$4:$KX$4,0))*1000</f>
        <v>0</v>
      </c>
      <c r="CW224" s="250">
        <f>INDEX(연료전지_원본!$KB$4:$KX$369,MATCH($A224,연료전지_원본!$KB$4:$KB$369,0), MATCH(CW$4,연료전지_원본!$KB$4:$KX$4,0))*1000</f>
        <v>0</v>
      </c>
      <c r="CX224" s="250">
        <f>INDEX(연료전지_원본!$KB$4:$KX$369,MATCH($A224,연료전지_원본!$KB$4:$KB$369,0), MATCH(CX$4,연료전지_원본!$KB$4:$KX$4,0))*1000</f>
        <v>0</v>
      </c>
      <c r="CY224" s="250">
        <f>INDEX(연료전지_원본!$KB$4:$KX$369,MATCH($A224,연료전지_원본!$KB$4:$KB$369,0), MATCH(CY$4,연료전지_원본!$KB$4:$KX$4,0))*1000</f>
        <v>0</v>
      </c>
      <c r="DV224" s="30">
        <f t="shared" si="954"/>
        <v>0</v>
      </c>
    </row>
    <row r="225" spans="1:126">
      <c r="A225" s="6">
        <v>46242</v>
      </c>
      <c r="B225" s="15">
        <f>운전실적_원본!B225</f>
        <v>0</v>
      </c>
      <c r="C225" s="16" t="str">
        <f t="shared" si="960"/>
        <v/>
      </c>
      <c r="D225" s="12">
        <f>운전실적_원본!C225</f>
        <v>0</v>
      </c>
      <c r="E225" s="12" t="str">
        <f t="shared" si="961"/>
        <v/>
      </c>
      <c r="F225" s="12">
        <f>운전실적_원본!D225</f>
        <v>0</v>
      </c>
      <c r="G225" s="16" t="str">
        <f t="shared" si="962"/>
        <v/>
      </c>
      <c r="H225" s="15">
        <f>운전실적_원본!E225</f>
        <v>0</v>
      </c>
      <c r="I225" s="16" t="str">
        <f t="shared" si="963"/>
        <v/>
      </c>
      <c r="J225" s="15">
        <f>운전실적_원본!F225</f>
        <v>0</v>
      </c>
      <c r="K225" s="16" t="str">
        <f t="shared" si="963"/>
        <v/>
      </c>
      <c r="L225" s="32">
        <f>운전실적_원본!G225</f>
        <v>0</v>
      </c>
      <c r="M225" s="31" t="str">
        <f t="shared" ref="M225" si="1255">IF(OR(LEN(L225)=0,L225=0),"",L225-L224)</f>
        <v/>
      </c>
      <c r="N225" s="15">
        <f>운전실적_원본!H225</f>
        <v>0</v>
      </c>
      <c r="O225" s="16" t="str">
        <f t="shared" ref="O225" si="1256">IF(OR(LEN(N225)=0,N225=0),"",N225-N224)</f>
        <v/>
      </c>
      <c r="P225" s="15">
        <f>운전실적_원본!I225</f>
        <v>0</v>
      </c>
      <c r="Q225" s="16" t="str">
        <f t="shared" ref="Q225" si="1257">IF(OR(LEN(P225)=0,P225=0),"",P225-P224)</f>
        <v/>
      </c>
      <c r="R225" s="18">
        <f>운전실적_원본!J225</f>
        <v>0</v>
      </c>
      <c r="S225" s="19" t="str">
        <f t="shared" ref="S225" si="1258">IF(OR(LEN(R225)=0,R225=0),"",R225-R224)</f>
        <v/>
      </c>
      <c r="T225" s="18">
        <f>운전실적_원본!K225</f>
        <v>0</v>
      </c>
      <c r="U225" s="19" t="str">
        <f t="shared" si="968"/>
        <v/>
      </c>
      <c r="V225" s="12">
        <f>운전실적_원본!L225</f>
        <v>0</v>
      </c>
      <c r="W225" s="16" t="str">
        <f t="shared" ref="W225" si="1259">IF(OR(LEN(V225)=0,V225=0),"",V225-V224)</f>
        <v/>
      </c>
      <c r="X225" s="10">
        <f>운전실적_원본!M225</f>
        <v>0</v>
      </c>
      <c r="Y225" s="10">
        <f>운전실적_원본!N225</f>
        <v>0</v>
      </c>
      <c r="Z225" s="10">
        <f>운전실적_원본!O225</f>
        <v>0</v>
      </c>
      <c r="AA225" s="10">
        <f>운전실적_원본!P225</f>
        <v>0</v>
      </c>
      <c r="AB225" s="10">
        <f>운전실적_원본!Q225</f>
        <v>0</v>
      </c>
      <c r="AC225" s="20">
        <f>운전실적_원본!R225</f>
        <v>0</v>
      </c>
      <c r="AD225" s="109">
        <f>운전실적_원본!S225</f>
        <v>0</v>
      </c>
      <c r="AE225" s="110">
        <f>운전실적_원본!T225</f>
        <v>0</v>
      </c>
      <c r="AF225" s="110">
        <f>운전실적_원본!U225</f>
        <v>0</v>
      </c>
      <c r="AG225" s="110">
        <f>운전실적_원본!V225</f>
        <v>0</v>
      </c>
      <c r="AH225" s="109">
        <f t="shared" si="1122"/>
        <v>0</v>
      </c>
      <c r="AI225" s="110">
        <f t="shared" si="1129"/>
        <v>0</v>
      </c>
      <c r="AJ225" s="110">
        <f>운전실적_원본!Y225</f>
        <v>0</v>
      </c>
      <c r="AK225" s="110">
        <f>운전실적_원본!Z225</f>
        <v>0</v>
      </c>
      <c r="AL225" s="106"/>
      <c r="AM225" s="105"/>
      <c r="AN225" s="105"/>
      <c r="AO225" s="105"/>
      <c r="AP225" s="105"/>
      <c r="AQ225" s="108"/>
      <c r="AR225" s="105"/>
      <c r="AS225" s="105"/>
      <c r="AT225" s="102"/>
      <c r="AU225" s="102"/>
      <c r="AV225" s="102"/>
      <c r="AW225" s="102"/>
      <c r="AX225" s="32">
        <f>운전실적_원본!W225</f>
        <v>0</v>
      </c>
      <c r="AY225" s="11">
        <f>운전실적_원본!X225</f>
        <v>0</v>
      </c>
      <c r="AZ225" s="11">
        <f>운전실적_원본!Y225</f>
        <v>0</v>
      </c>
      <c r="BA225" s="11">
        <f>운전실적_원본!Z225</f>
        <v>0</v>
      </c>
      <c r="BB225" s="11">
        <f>운전실적_원본!AA225</f>
        <v>0</v>
      </c>
      <c r="BC225" s="11">
        <f>운전실적_원본!AB225</f>
        <v>0</v>
      </c>
      <c r="BD225" s="32" t="str">
        <f t="shared" si="1115"/>
        <v>-</v>
      </c>
      <c r="BE225" s="11" t="str">
        <f t="shared" si="1123"/>
        <v>-</v>
      </c>
      <c r="BF225" s="11">
        <f>운전실적_원본!AE225</f>
        <v>0</v>
      </c>
      <c r="BG225" s="31">
        <f t="shared" si="1116"/>
        <v>0</v>
      </c>
      <c r="BH225" s="241">
        <f>INDEX(연료전지_원본!$A$4:$KY$369,MATCH($A225,연료전지_원본!$A$4:$A$369,0),MATCH($BH$4,연료전지_원본!$A$4:$KY$4,0))</f>
        <v>0</v>
      </c>
      <c r="BI225" s="241">
        <f>INDEX(연료전지_원본!$A$4:$KY$369,MATCH($A225,연료전지_원본!$A$4:$A$369,0),MATCH($BI$4,연료전지_원본!$A$4:$KY$4,0))</f>
        <v>0</v>
      </c>
      <c r="BJ225" s="241">
        <f>INDEX(연료전지_원본!$A$4:$KY$369,MATCH($A225,연료전지_원본!$A$4:$A$369,0),MATCH($BJ$4,연료전지_원본!$A$4:$KY$4,0))</f>
        <v>0</v>
      </c>
      <c r="BK225" s="241">
        <f>INDEX(연료전지_원본!$A$4:$KY$369,MATCH($A225,연료전지_원본!$A$4:$A$369,0),MATCH($BK$4,연료전지_원본!$A$4:$KY$4,0))</f>
        <v>0</v>
      </c>
      <c r="BL225" s="241">
        <f>INDEX(연료전지_원본!$A$4:$KY$369,MATCH($A225,연료전지_원본!$A$4:$A$369,0),MATCH($BL$4,연료전지_원본!$A$4:$KY$4,0))</f>
        <v>0</v>
      </c>
      <c r="BM225" s="241">
        <f>INDEX(연료전지_원본!$A$4:$KY$369,MATCH($A225,연료전지_원본!$A$4:$A$369,0),MATCH($BM$4,연료전지_원본!$A$4:$KY$4,0))</f>
        <v>0</v>
      </c>
      <c r="BN225" s="241">
        <f>INDEX(연료전지_원본!$A$4:$KY$369,MATCH($A225,연료전지_원본!$A$4:$A$369,0),MATCH($BN$4,연료전지_원본!$A$4:$KY$4,0))</f>
        <v>0</v>
      </c>
      <c r="BO225" s="241">
        <f>INDEX(연료전지_원본!$A$4:$KY$369,MATCH($A225,연료전지_원본!$A$4:$A$369,0),MATCH($BO$4,연료전지_원본!$A$4:$KY$4,0))</f>
        <v>0</v>
      </c>
      <c r="BP225" s="241">
        <f>INDEX(연료전지_원본!$A$4:$KY$369,MATCH($A225,연료전지_원본!$A$4:$A$369,0),MATCH($BP$4,연료전지_원본!$A$4:$KY$4,0))</f>
        <v>0</v>
      </c>
      <c r="BQ225" s="241">
        <f>INDEX(연료전지_원본!$A$4:$KY$369,MATCH($A225,연료전지_원본!$A$4:$A$369,0),MATCH($BQ$4,연료전지_원본!$A$4:$KY$4,0))</f>
        <v>0</v>
      </c>
      <c r="BR225" s="241">
        <f>INDEX(연료전지_원본!$A$4:$KY$369,MATCH($A225,연료전지_원본!$A$4:$A$369,0),MATCH($BR$4,연료전지_원본!$A$4:$KY$4,0))</f>
        <v>0</v>
      </c>
      <c r="BS225" s="241">
        <f>INDEX(연료전지_원본!$A$4:$KY$369,MATCH($A225,연료전지_원본!$A$4:$A$369,0),MATCH($BS$4,연료전지_원본!$A$4:$KY$4,0))</f>
        <v>0</v>
      </c>
      <c r="BT225" s="241">
        <f>INDEX(연료전지_원본!$A$4:$KY$369,MATCH($A225,연료전지_원본!$A$4:$A$369,0),MATCH($BT$4,연료전지_원본!$A$4:$KY$4,0))</f>
        <v>0</v>
      </c>
      <c r="BU225" s="241">
        <f>INDEX(연료전지_원본!$A$4:$KY$369,MATCH($A225,연료전지_원본!$A$4:$A$369,0),MATCH($BU$4,연료전지_원본!$A$4:$KY$4,0))</f>
        <v>0</v>
      </c>
      <c r="BV225" s="241">
        <f>INDEX(연료전지_원본!$A$4:$KY$369,MATCH($A225,연료전지_원본!$A$4:$A$369,0),MATCH($BV$4,연료전지_원본!$A$4:$KY$4,0))</f>
        <v>0</v>
      </c>
      <c r="BW225" s="241">
        <f>INDEX(연료전지_원본!$A$4:$KY$369,MATCH($A225,연료전지_원본!$A$4:$A$369,0),MATCH($BW$4,연료전지_원본!$A$4:$KY$4,0))</f>
        <v>0</v>
      </c>
      <c r="BX225" s="241">
        <f>INDEX(연료전지_원본!$A$4:$KY$369,MATCH($A225,연료전지_원본!$A$4:$A$369,0),MATCH($BX$4,연료전지_원본!$A$4:$KY$4,0))</f>
        <v>0</v>
      </c>
      <c r="BY225" s="241">
        <f>INDEX(연료전지_원본!$A$4:$KY$369,MATCH($A225,연료전지_원본!$A$4:$A$369,0),MATCH($BY$4,연료전지_원본!$A$4:$KY$4,0))</f>
        <v>0</v>
      </c>
      <c r="BZ225" s="241">
        <f>INDEX(연료전지_원본!$A$4:$KY$369,MATCH($A225,연료전지_원본!$A$4:$A$369,0),MATCH($BZ$4,연료전지_원본!$A$4:$KY$4,0))</f>
        <v>0</v>
      </c>
      <c r="CA225" s="241">
        <f>INDEX(연료전지_원본!$A$4:$KY$369,MATCH($A225,연료전지_원본!$A$4:$A$369,0),MATCH($CA$4,연료전지_원본!$A$4:$KY$4,0))</f>
        <v>0</v>
      </c>
      <c r="CB225" s="241">
        <f>INDEX(연료전지_원본!$A$4:$KY$369,MATCH($A225,연료전지_원본!$A$4:$A$369,0),MATCH($CB$4,연료전지_원본!$A$4:$KY$4,0))</f>
        <v>0</v>
      </c>
      <c r="CC225" s="242">
        <f>INDEX(연료전지_원본!$A$4:$KY$369,MATCH($A225,연료전지_원본!$A$4:$A$369,0),MATCH($CC$4,연료전지_원본!$A$4:$KY$4,0))</f>
        <v>0</v>
      </c>
      <c r="CD225" s="250">
        <f>INDEX(연료전지_원본!$KB$4:$KX$369,MATCH($A225,연료전지_원본!$KB$4:$KB$369,0), MATCH(CD$4,연료전지_원본!$KB$4:$KX$4,0))*1000</f>
        <v>0</v>
      </c>
      <c r="CE225" s="250">
        <f>INDEX(연료전지_원본!$KB$4:$KX$369,MATCH($A225,연료전지_원본!$KB$4:$KB$369,0), MATCH(CE$4,연료전지_원본!$KB$4:$KX$4,0))*1000</f>
        <v>0</v>
      </c>
      <c r="CF225" s="250">
        <f>INDEX(연료전지_원본!$KB$4:$KX$369,MATCH($A225,연료전지_원본!$KB$4:$KB$369,0), MATCH(CF$4,연료전지_원본!$KB$4:$KX$4,0))*1000</f>
        <v>0</v>
      </c>
      <c r="CG225" s="250">
        <f>INDEX(연료전지_원본!$KB$4:$KX$369,MATCH($A225,연료전지_원본!$KB$4:$KB$369,0), MATCH(CG$4,연료전지_원본!$KB$4:$KX$4,0))*1000</f>
        <v>0</v>
      </c>
      <c r="CH225" s="250">
        <f>INDEX(연료전지_원본!$KB$4:$KX$369,MATCH($A225,연료전지_원본!$KB$4:$KB$369,0), MATCH(CH$4,연료전지_원본!$KB$4:$KX$4,0))*1000</f>
        <v>0</v>
      </c>
      <c r="CI225" s="250">
        <f>INDEX(연료전지_원본!$KB$4:$KX$369,MATCH($A225,연료전지_원본!$KB$4:$KB$369,0), MATCH(CI$4,연료전지_원본!$KB$4:$KX$4,0))*1000</f>
        <v>0</v>
      </c>
      <c r="CJ225" s="250">
        <f>INDEX(연료전지_원본!$KB$4:$KX$369,MATCH($A225,연료전지_원본!$KB$4:$KB$369,0), MATCH(CJ$4,연료전지_원본!$KB$4:$KX$4,0))*1000</f>
        <v>0</v>
      </c>
      <c r="CK225" s="250">
        <f>INDEX(연료전지_원본!$KB$4:$KX$369,MATCH($A225,연료전지_원본!$KB$4:$KB$369,0), MATCH(CK$4,연료전지_원본!$KB$4:$KX$4,0))*1000</f>
        <v>0</v>
      </c>
      <c r="CL225" s="250">
        <f>INDEX(연료전지_원본!$KB$4:$KX$369,MATCH($A225,연료전지_원본!$KB$4:$KB$369,0), MATCH(CL$4,연료전지_원본!$KB$4:$KX$4,0))*1000</f>
        <v>0</v>
      </c>
      <c r="CM225" s="250">
        <f>INDEX(연료전지_원본!$KB$4:$KX$369,MATCH($A225,연료전지_원본!$KB$4:$KB$369,0), MATCH(CM$4,연료전지_원본!$KB$4:$KX$4,0))*1000</f>
        <v>0</v>
      </c>
      <c r="CN225" s="250">
        <f>INDEX(연료전지_원본!$KB$4:$KX$369,MATCH($A225,연료전지_원본!$KB$4:$KB$369,0), MATCH(CN$4,연료전지_원본!$KB$4:$KX$4,0))*1000</f>
        <v>0</v>
      </c>
      <c r="CO225" s="250">
        <f>INDEX(연료전지_원본!$KB$4:$KX$369,MATCH($A225,연료전지_원본!$KB$4:$KB$369,0), MATCH(CO$4,연료전지_원본!$KB$4:$KX$4,0))*1000</f>
        <v>0</v>
      </c>
      <c r="CP225" s="250">
        <f>INDEX(연료전지_원본!$KB$4:$KX$369,MATCH($A225,연료전지_원본!$KB$4:$KB$369,0), MATCH(CP$4,연료전지_원본!$KB$4:$KX$4,0))*1000</f>
        <v>0</v>
      </c>
      <c r="CQ225" s="250">
        <f>INDEX(연료전지_원본!$KB$4:$KX$369,MATCH($A225,연료전지_원본!$KB$4:$KB$369,0), MATCH(CQ$4,연료전지_원본!$KB$4:$KX$4,0))*1000</f>
        <v>0</v>
      </c>
      <c r="CR225" s="250">
        <f>INDEX(연료전지_원본!$KB$4:$KX$369,MATCH($A225,연료전지_원본!$KB$4:$KB$369,0), MATCH(CR$4,연료전지_원본!$KB$4:$KX$4,0))*1000</f>
        <v>0</v>
      </c>
      <c r="CS225" s="250">
        <f>INDEX(연료전지_원본!$KB$4:$KX$369,MATCH($A225,연료전지_원본!$KB$4:$KB$369,0), MATCH(CS$4,연료전지_원본!$KB$4:$KX$4,0))*1000</f>
        <v>0</v>
      </c>
      <c r="CT225" s="250">
        <f>INDEX(연료전지_원본!$KB$4:$KX$369,MATCH($A225,연료전지_원본!$KB$4:$KB$369,0), MATCH(CT$4,연료전지_원본!$KB$4:$KX$4,0))*1000</f>
        <v>0</v>
      </c>
      <c r="CU225" s="250">
        <f>INDEX(연료전지_원본!$KB$4:$KX$369,MATCH($A225,연료전지_원본!$KB$4:$KB$369,0), MATCH(CU$4,연료전지_원본!$KB$4:$KX$4,0))*1000</f>
        <v>0</v>
      </c>
      <c r="CV225" s="250">
        <f>INDEX(연료전지_원본!$KB$4:$KX$369,MATCH($A225,연료전지_원본!$KB$4:$KB$369,0), MATCH(CV$4,연료전지_원본!$KB$4:$KX$4,0))*1000</f>
        <v>0</v>
      </c>
      <c r="CW225" s="250">
        <f>INDEX(연료전지_원본!$KB$4:$KX$369,MATCH($A225,연료전지_원본!$KB$4:$KB$369,0), MATCH(CW$4,연료전지_원본!$KB$4:$KX$4,0))*1000</f>
        <v>0</v>
      </c>
      <c r="CX225" s="250">
        <f>INDEX(연료전지_원본!$KB$4:$KX$369,MATCH($A225,연료전지_원본!$KB$4:$KB$369,0), MATCH(CX$4,연료전지_원본!$KB$4:$KX$4,0))*1000</f>
        <v>0</v>
      </c>
      <c r="CY225" s="250">
        <f>INDEX(연료전지_원본!$KB$4:$KX$369,MATCH($A225,연료전지_원본!$KB$4:$KB$369,0), MATCH(CY$4,연료전지_원본!$KB$4:$KX$4,0))*1000</f>
        <v>0</v>
      </c>
      <c r="DV225" s="30">
        <f t="shared" si="954"/>
        <v>0</v>
      </c>
    </row>
    <row r="226" spans="1:126">
      <c r="A226" s="6">
        <v>46243</v>
      </c>
      <c r="B226" s="15">
        <f>운전실적_원본!B226</f>
        <v>0</v>
      </c>
      <c r="C226" s="16" t="str">
        <f t="shared" si="960"/>
        <v/>
      </c>
      <c r="D226" s="12">
        <f>운전실적_원본!C226</f>
        <v>0</v>
      </c>
      <c r="E226" s="12" t="str">
        <f t="shared" si="961"/>
        <v/>
      </c>
      <c r="F226" s="12">
        <f>운전실적_원본!D226</f>
        <v>0</v>
      </c>
      <c r="G226" s="16" t="str">
        <f t="shared" si="962"/>
        <v/>
      </c>
      <c r="H226" s="15">
        <f>운전실적_원본!E226</f>
        <v>0</v>
      </c>
      <c r="I226" s="16" t="str">
        <f t="shared" si="963"/>
        <v/>
      </c>
      <c r="J226" s="15">
        <f>운전실적_원본!F226</f>
        <v>0</v>
      </c>
      <c r="K226" s="16" t="str">
        <f t="shared" si="963"/>
        <v/>
      </c>
      <c r="L226" s="32">
        <f>운전실적_원본!G226</f>
        <v>0</v>
      </c>
      <c r="M226" s="31" t="str">
        <f t="shared" ref="M226" si="1260">IF(OR(LEN(L226)=0,L226=0),"",L226-L225)</f>
        <v/>
      </c>
      <c r="N226" s="15">
        <f>운전실적_원본!H226</f>
        <v>0</v>
      </c>
      <c r="O226" s="16" t="str">
        <f t="shared" ref="O226" si="1261">IF(OR(LEN(N226)=0,N226=0),"",N226-N225)</f>
        <v/>
      </c>
      <c r="P226" s="15">
        <f>운전실적_원본!I226</f>
        <v>0</v>
      </c>
      <c r="Q226" s="16" t="str">
        <f t="shared" ref="Q226" si="1262">IF(OR(LEN(P226)=0,P226=0),"",P226-P225)</f>
        <v/>
      </c>
      <c r="R226" s="18">
        <f>운전실적_원본!J226</f>
        <v>0</v>
      </c>
      <c r="S226" s="19" t="str">
        <f t="shared" ref="S226" si="1263">IF(OR(LEN(R226)=0,R226=0),"",R226-R225)</f>
        <v/>
      </c>
      <c r="T226" s="18">
        <f>운전실적_원본!K226</f>
        <v>0</v>
      </c>
      <c r="U226" s="19" t="str">
        <f t="shared" si="968"/>
        <v/>
      </c>
      <c r="V226" s="12">
        <f>운전실적_원본!L226</f>
        <v>0</v>
      </c>
      <c r="W226" s="16" t="str">
        <f t="shared" ref="W226" si="1264">IF(OR(LEN(V226)=0,V226=0),"",V226-V225)</f>
        <v/>
      </c>
      <c r="X226" s="10">
        <f>운전실적_원본!M226</f>
        <v>0</v>
      </c>
      <c r="Y226" s="10">
        <f>운전실적_원본!N226</f>
        <v>0</v>
      </c>
      <c r="Z226" s="10">
        <f>운전실적_원본!O226</f>
        <v>0</v>
      </c>
      <c r="AA226" s="10">
        <f>운전실적_원본!P226</f>
        <v>0</v>
      </c>
      <c r="AB226" s="10">
        <f>운전실적_원본!Q226</f>
        <v>0</v>
      </c>
      <c r="AC226" s="20">
        <f>운전실적_원본!R226</f>
        <v>0</v>
      </c>
      <c r="AD226" s="109">
        <f>운전실적_원본!S226</f>
        <v>0</v>
      </c>
      <c r="AE226" s="110">
        <f>운전실적_원본!T226</f>
        <v>0</v>
      </c>
      <c r="AF226" s="110">
        <f>운전실적_원본!U226</f>
        <v>0</v>
      </c>
      <c r="AG226" s="110">
        <f>운전실적_원본!V226</f>
        <v>0</v>
      </c>
      <c r="AH226" s="109">
        <f t="shared" si="1122"/>
        <v>0</v>
      </c>
      <c r="AI226" s="110">
        <f t="shared" si="1129"/>
        <v>0</v>
      </c>
      <c r="AJ226" s="110">
        <f>운전실적_원본!Y226</f>
        <v>0</v>
      </c>
      <c r="AK226" s="110">
        <f>운전실적_원본!Z226</f>
        <v>0</v>
      </c>
      <c r="AL226" s="106"/>
      <c r="AM226" s="105"/>
      <c r="AN226" s="105"/>
      <c r="AO226" s="105"/>
      <c r="AP226" s="105"/>
      <c r="AQ226" s="108"/>
      <c r="AR226" s="105"/>
      <c r="AS226" s="105"/>
      <c r="AT226" s="102"/>
      <c r="AU226" s="102"/>
      <c r="AV226" s="102"/>
      <c r="AW226" s="102"/>
      <c r="AX226" s="32">
        <f>운전실적_원본!W226</f>
        <v>0</v>
      </c>
      <c r="AY226" s="11">
        <f>운전실적_원본!X226</f>
        <v>0</v>
      </c>
      <c r="AZ226" s="11">
        <f>운전실적_원본!Y226</f>
        <v>0</v>
      </c>
      <c r="BA226" s="11">
        <f>운전실적_원본!Z226</f>
        <v>0</v>
      </c>
      <c r="BB226" s="11">
        <f>운전실적_원본!AA226</f>
        <v>0</v>
      </c>
      <c r="BC226" s="11">
        <f>운전실적_원본!AB226</f>
        <v>0</v>
      </c>
      <c r="BD226" s="32" t="str">
        <f t="shared" si="1115"/>
        <v>-</v>
      </c>
      <c r="BE226" s="11" t="str">
        <f t="shared" si="1123"/>
        <v>-</v>
      </c>
      <c r="BF226" s="11">
        <f>운전실적_원본!AE226</f>
        <v>0</v>
      </c>
      <c r="BG226" s="31">
        <f t="shared" si="1116"/>
        <v>0</v>
      </c>
      <c r="BH226" s="241">
        <f>INDEX(연료전지_원본!$A$4:$KY$369,MATCH($A226,연료전지_원본!$A$4:$A$369,0),MATCH($BH$4,연료전지_원본!$A$4:$KY$4,0))</f>
        <v>0</v>
      </c>
      <c r="BI226" s="241">
        <f>INDEX(연료전지_원본!$A$4:$KY$369,MATCH($A226,연료전지_원본!$A$4:$A$369,0),MATCH($BI$4,연료전지_원본!$A$4:$KY$4,0))</f>
        <v>0</v>
      </c>
      <c r="BJ226" s="241">
        <f>INDEX(연료전지_원본!$A$4:$KY$369,MATCH($A226,연료전지_원본!$A$4:$A$369,0),MATCH($BJ$4,연료전지_원본!$A$4:$KY$4,0))</f>
        <v>0</v>
      </c>
      <c r="BK226" s="241">
        <f>INDEX(연료전지_원본!$A$4:$KY$369,MATCH($A226,연료전지_원본!$A$4:$A$369,0),MATCH($BK$4,연료전지_원본!$A$4:$KY$4,0))</f>
        <v>0</v>
      </c>
      <c r="BL226" s="241">
        <f>INDEX(연료전지_원본!$A$4:$KY$369,MATCH($A226,연료전지_원본!$A$4:$A$369,0),MATCH($BL$4,연료전지_원본!$A$4:$KY$4,0))</f>
        <v>0</v>
      </c>
      <c r="BM226" s="241">
        <f>INDEX(연료전지_원본!$A$4:$KY$369,MATCH($A226,연료전지_원본!$A$4:$A$369,0),MATCH($BM$4,연료전지_원본!$A$4:$KY$4,0))</f>
        <v>0</v>
      </c>
      <c r="BN226" s="241">
        <f>INDEX(연료전지_원본!$A$4:$KY$369,MATCH($A226,연료전지_원본!$A$4:$A$369,0),MATCH($BN$4,연료전지_원본!$A$4:$KY$4,0))</f>
        <v>0</v>
      </c>
      <c r="BO226" s="241">
        <f>INDEX(연료전지_원본!$A$4:$KY$369,MATCH($A226,연료전지_원본!$A$4:$A$369,0),MATCH($BO$4,연료전지_원본!$A$4:$KY$4,0))</f>
        <v>0</v>
      </c>
      <c r="BP226" s="241">
        <f>INDEX(연료전지_원본!$A$4:$KY$369,MATCH($A226,연료전지_원본!$A$4:$A$369,0),MATCH($BP$4,연료전지_원본!$A$4:$KY$4,0))</f>
        <v>0</v>
      </c>
      <c r="BQ226" s="241">
        <f>INDEX(연료전지_원본!$A$4:$KY$369,MATCH($A226,연료전지_원본!$A$4:$A$369,0),MATCH($BQ$4,연료전지_원본!$A$4:$KY$4,0))</f>
        <v>0</v>
      </c>
      <c r="BR226" s="241">
        <f>INDEX(연료전지_원본!$A$4:$KY$369,MATCH($A226,연료전지_원본!$A$4:$A$369,0),MATCH($BR$4,연료전지_원본!$A$4:$KY$4,0))</f>
        <v>0</v>
      </c>
      <c r="BS226" s="241">
        <f>INDEX(연료전지_원본!$A$4:$KY$369,MATCH($A226,연료전지_원본!$A$4:$A$369,0),MATCH($BS$4,연료전지_원본!$A$4:$KY$4,0))</f>
        <v>0</v>
      </c>
      <c r="BT226" s="241">
        <f>INDEX(연료전지_원본!$A$4:$KY$369,MATCH($A226,연료전지_원본!$A$4:$A$369,0),MATCH($BT$4,연료전지_원본!$A$4:$KY$4,0))</f>
        <v>0</v>
      </c>
      <c r="BU226" s="241">
        <f>INDEX(연료전지_원본!$A$4:$KY$369,MATCH($A226,연료전지_원본!$A$4:$A$369,0),MATCH($BU$4,연료전지_원본!$A$4:$KY$4,0))</f>
        <v>0</v>
      </c>
      <c r="BV226" s="241">
        <f>INDEX(연료전지_원본!$A$4:$KY$369,MATCH($A226,연료전지_원본!$A$4:$A$369,0),MATCH($BV$4,연료전지_원본!$A$4:$KY$4,0))</f>
        <v>0</v>
      </c>
      <c r="BW226" s="241">
        <f>INDEX(연료전지_원본!$A$4:$KY$369,MATCH($A226,연료전지_원본!$A$4:$A$369,0),MATCH($BW$4,연료전지_원본!$A$4:$KY$4,0))</f>
        <v>0</v>
      </c>
      <c r="BX226" s="241">
        <f>INDEX(연료전지_원본!$A$4:$KY$369,MATCH($A226,연료전지_원본!$A$4:$A$369,0),MATCH($BX$4,연료전지_원본!$A$4:$KY$4,0))</f>
        <v>0</v>
      </c>
      <c r="BY226" s="241">
        <f>INDEX(연료전지_원본!$A$4:$KY$369,MATCH($A226,연료전지_원본!$A$4:$A$369,0),MATCH($BY$4,연료전지_원본!$A$4:$KY$4,0))</f>
        <v>0</v>
      </c>
      <c r="BZ226" s="241">
        <f>INDEX(연료전지_원본!$A$4:$KY$369,MATCH($A226,연료전지_원본!$A$4:$A$369,0),MATCH($BZ$4,연료전지_원본!$A$4:$KY$4,0))</f>
        <v>0</v>
      </c>
      <c r="CA226" s="241">
        <f>INDEX(연료전지_원본!$A$4:$KY$369,MATCH($A226,연료전지_원본!$A$4:$A$369,0),MATCH($CA$4,연료전지_원본!$A$4:$KY$4,0))</f>
        <v>0</v>
      </c>
      <c r="CB226" s="241">
        <f>INDEX(연료전지_원본!$A$4:$KY$369,MATCH($A226,연료전지_원본!$A$4:$A$369,0),MATCH($CB$4,연료전지_원본!$A$4:$KY$4,0))</f>
        <v>0</v>
      </c>
      <c r="CC226" s="242">
        <f>INDEX(연료전지_원본!$A$4:$KY$369,MATCH($A226,연료전지_원본!$A$4:$A$369,0),MATCH($CC$4,연료전지_원본!$A$4:$KY$4,0))</f>
        <v>0</v>
      </c>
      <c r="CD226" s="250">
        <f>INDEX(연료전지_원본!$KB$4:$KX$369,MATCH($A226,연료전지_원본!$KB$4:$KB$369,0), MATCH(CD$4,연료전지_원본!$KB$4:$KX$4,0))*1000</f>
        <v>0</v>
      </c>
      <c r="CE226" s="250">
        <f>INDEX(연료전지_원본!$KB$4:$KX$369,MATCH($A226,연료전지_원본!$KB$4:$KB$369,0), MATCH(CE$4,연료전지_원본!$KB$4:$KX$4,0))*1000</f>
        <v>0</v>
      </c>
      <c r="CF226" s="250">
        <f>INDEX(연료전지_원본!$KB$4:$KX$369,MATCH($A226,연료전지_원본!$KB$4:$KB$369,0), MATCH(CF$4,연료전지_원본!$KB$4:$KX$4,0))*1000</f>
        <v>0</v>
      </c>
      <c r="CG226" s="250">
        <f>INDEX(연료전지_원본!$KB$4:$KX$369,MATCH($A226,연료전지_원본!$KB$4:$KB$369,0), MATCH(CG$4,연료전지_원본!$KB$4:$KX$4,0))*1000</f>
        <v>0</v>
      </c>
      <c r="CH226" s="250">
        <f>INDEX(연료전지_원본!$KB$4:$KX$369,MATCH($A226,연료전지_원본!$KB$4:$KB$369,0), MATCH(CH$4,연료전지_원본!$KB$4:$KX$4,0))*1000</f>
        <v>0</v>
      </c>
      <c r="CI226" s="250">
        <f>INDEX(연료전지_원본!$KB$4:$KX$369,MATCH($A226,연료전지_원본!$KB$4:$KB$369,0), MATCH(CI$4,연료전지_원본!$KB$4:$KX$4,0))*1000</f>
        <v>0</v>
      </c>
      <c r="CJ226" s="250">
        <f>INDEX(연료전지_원본!$KB$4:$KX$369,MATCH($A226,연료전지_원본!$KB$4:$KB$369,0), MATCH(CJ$4,연료전지_원본!$KB$4:$KX$4,0))*1000</f>
        <v>0</v>
      </c>
      <c r="CK226" s="250">
        <f>INDEX(연료전지_원본!$KB$4:$KX$369,MATCH($A226,연료전지_원본!$KB$4:$KB$369,0), MATCH(CK$4,연료전지_원본!$KB$4:$KX$4,0))*1000</f>
        <v>0</v>
      </c>
      <c r="CL226" s="250">
        <f>INDEX(연료전지_원본!$KB$4:$KX$369,MATCH($A226,연료전지_원본!$KB$4:$KB$369,0), MATCH(CL$4,연료전지_원본!$KB$4:$KX$4,0))*1000</f>
        <v>0</v>
      </c>
      <c r="CM226" s="250">
        <f>INDEX(연료전지_원본!$KB$4:$KX$369,MATCH($A226,연료전지_원본!$KB$4:$KB$369,0), MATCH(CM$4,연료전지_원본!$KB$4:$KX$4,0))*1000</f>
        <v>0</v>
      </c>
      <c r="CN226" s="250">
        <f>INDEX(연료전지_원본!$KB$4:$KX$369,MATCH($A226,연료전지_원본!$KB$4:$KB$369,0), MATCH(CN$4,연료전지_원본!$KB$4:$KX$4,0))*1000</f>
        <v>0</v>
      </c>
      <c r="CO226" s="250">
        <f>INDEX(연료전지_원본!$KB$4:$KX$369,MATCH($A226,연료전지_원본!$KB$4:$KB$369,0), MATCH(CO$4,연료전지_원본!$KB$4:$KX$4,0))*1000</f>
        <v>0</v>
      </c>
      <c r="CP226" s="250">
        <f>INDEX(연료전지_원본!$KB$4:$KX$369,MATCH($A226,연료전지_원본!$KB$4:$KB$369,0), MATCH(CP$4,연료전지_원본!$KB$4:$KX$4,0))*1000</f>
        <v>0</v>
      </c>
      <c r="CQ226" s="250">
        <f>INDEX(연료전지_원본!$KB$4:$KX$369,MATCH($A226,연료전지_원본!$KB$4:$KB$369,0), MATCH(CQ$4,연료전지_원본!$KB$4:$KX$4,0))*1000</f>
        <v>0</v>
      </c>
      <c r="CR226" s="250">
        <f>INDEX(연료전지_원본!$KB$4:$KX$369,MATCH($A226,연료전지_원본!$KB$4:$KB$369,0), MATCH(CR$4,연료전지_원본!$KB$4:$KX$4,0))*1000</f>
        <v>0</v>
      </c>
      <c r="CS226" s="250">
        <f>INDEX(연료전지_원본!$KB$4:$KX$369,MATCH($A226,연료전지_원본!$KB$4:$KB$369,0), MATCH(CS$4,연료전지_원본!$KB$4:$KX$4,0))*1000</f>
        <v>0</v>
      </c>
      <c r="CT226" s="250">
        <f>INDEX(연료전지_원본!$KB$4:$KX$369,MATCH($A226,연료전지_원본!$KB$4:$KB$369,0), MATCH(CT$4,연료전지_원본!$KB$4:$KX$4,0))*1000</f>
        <v>0</v>
      </c>
      <c r="CU226" s="250">
        <f>INDEX(연료전지_원본!$KB$4:$KX$369,MATCH($A226,연료전지_원본!$KB$4:$KB$369,0), MATCH(CU$4,연료전지_원본!$KB$4:$KX$4,0))*1000</f>
        <v>0</v>
      </c>
      <c r="CV226" s="250">
        <f>INDEX(연료전지_원본!$KB$4:$KX$369,MATCH($A226,연료전지_원본!$KB$4:$KB$369,0), MATCH(CV$4,연료전지_원본!$KB$4:$KX$4,0))*1000</f>
        <v>0</v>
      </c>
      <c r="CW226" s="250">
        <f>INDEX(연료전지_원본!$KB$4:$KX$369,MATCH($A226,연료전지_원본!$KB$4:$KB$369,0), MATCH(CW$4,연료전지_원본!$KB$4:$KX$4,0))*1000</f>
        <v>0</v>
      </c>
      <c r="CX226" s="250">
        <f>INDEX(연료전지_원본!$KB$4:$KX$369,MATCH($A226,연료전지_원본!$KB$4:$KB$369,0), MATCH(CX$4,연료전지_원본!$KB$4:$KX$4,0))*1000</f>
        <v>0</v>
      </c>
      <c r="CY226" s="250">
        <f>INDEX(연료전지_원본!$KB$4:$KX$369,MATCH($A226,연료전지_원본!$KB$4:$KB$369,0), MATCH(CY$4,연료전지_원본!$KB$4:$KX$4,0))*1000</f>
        <v>0</v>
      </c>
      <c r="DV226" s="30">
        <f t="shared" si="954"/>
        <v>0</v>
      </c>
    </row>
    <row r="227" spans="1:126">
      <c r="A227" s="6">
        <v>46244</v>
      </c>
      <c r="B227" s="15">
        <f>운전실적_원본!B227</f>
        <v>0</v>
      </c>
      <c r="C227" s="16" t="str">
        <f t="shared" si="960"/>
        <v/>
      </c>
      <c r="D227" s="12">
        <f>운전실적_원본!C227</f>
        <v>0</v>
      </c>
      <c r="E227" s="12" t="str">
        <f t="shared" si="961"/>
        <v/>
      </c>
      <c r="F227" s="12">
        <f>운전실적_원본!D227</f>
        <v>0</v>
      </c>
      <c r="G227" s="16" t="str">
        <f t="shared" si="962"/>
        <v/>
      </c>
      <c r="H227" s="15">
        <f>운전실적_원본!E227</f>
        <v>0</v>
      </c>
      <c r="I227" s="16" t="str">
        <f t="shared" si="963"/>
        <v/>
      </c>
      <c r="J227" s="15">
        <f>운전실적_원본!F227</f>
        <v>0</v>
      </c>
      <c r="K227" s="16" t="str">
        <f t="shared" si="963"/>
        <v/>
      </c>
      <c r="L227" s="32">
        <f>운전실적_원본!G227</f>
        <v>0</v>
      </c>
      <c r="M227" s="31" t="str">
        <f t="shared" ref="M227" si="1265">IF(OR(LEN(L227)=0,L227=0),"",L227-L226)</f>
        <v/>
      </c>
      <c r="N227" s="15">
        <f>운전실적_원본!H227</f>
        <v>0</v>
      </c>
      <c r="O227" s="16" t="str">
        <f t="shared" ref="O227" si="1266">IF(OR(LEN(N227)=0,N227=0),"",N227-N226)</f>
        <v/>
      </c>
      <c r="P227" s="15">
        <f>운전실적_원본!I227</f>
        <v>0</v>
      </c>
      <c r="Q227" s="16" t="str">
        <f t="shared" ref="Q227" si="1267">IF(OR(LEN(P227)=0,P227=0),"",P227-P226)</f>
        <v/>
      </c>
      <c r="R227" s="18">
        <f>운전실적_원본!J227</f>
        <v>0</v>
      </c>
      <c r="S227" s="19" t="str">
        <f t="shared" ref="S227" si="1268">IF(OR(LEN(R227)=0,R227=0),"",R227-R226)</f>
        <v/>
      </c>
      <c r="T227" s="18">
        <f>운전실적_원본!K227</f>
        <v>0</v>
      </c>
      <c r="U227" s="19" t="str">
        <f t="shared" si="968"/>
        <v/>
      </c>
      <c r="V227" s="12">
        <f>운전실적_원본!L227</f>
        <v>0</v>
      </c>
      <c r="W227" s="16" t="str">
        <f t="shared" ref="W227" si="1269">IF(OR(LEN(V227)=0,V227=0),"",V227-V226)</f>
        <v/>
      </c>
      <c r="X227" s="10">
        <f>운전실적_원본!M227</f>
        <v>0</v>
      </c>
      <c r="Y227" s="10">
        <f>운전실적_원본!N227</f>
        <v>0</v>
      </c>
      <c r="Z227" s="10">
        <f>운전실적_원본!O227</f>
        <v>0</v>
      </c>
      <c r="AA227" s="10">
        <f>운전실적_원본!P227</f>
        <v>0</v>
      </c>
      <c r="AB227" s="10">
        <f>운전실적_원본!Q227</f>
        <v>0</v>
      </c>
      <c r="AC227" s="20">
        <f>운전실적_원본!R227</f>
        <v>0</v>
      </c>
      <c r="AD227" s="109">
        <f>운전실적_원본!S227</f>
        <v>0</v>
      </c>
      <c r="AE227" s="110">
        <f>운전실적_원본!T227</f>
        <v>0</v>
      </c>
      <c r="AF227" s="110">
        <f>운전실적_원본!U227</f>
        <v>0</v>
      </c>
      <c r="AG227" s="110">
        <f>운전실적_원본!V227</f>
        <v>0</v>
      </c>
      <c r="AH227" s="109">
        <f t="shared" si="1122"/>
        <v>0</v>
      </c>
      <c r="AI227" s="110">
        <f t="shared" si="1129"/>
        <v>0</v>
      </c>
      <c r="AJ227" s="110">
        <f>운전실적_원본!Y227</f>
        <v>0</v>
      </c>
      <c r="AK227" s="110">
        <f>운전실적_원본!Z227</f>
        <v>0</v>
      </c>
      <c r="AL227" s="106"/>
      <c r="AM227" s="105"/>
      <c r="AN227" s="105"/>
      <c r="AO227" s="105"/>
      <c r="AP227" s="105"/>
      <c r="AQ227" s="108"/>
      <c r="AR227" s="105"/>
      <c r="AS227" s="105"/>
      <c r="AT227" s="102"/>
      <c r="AU227" s="102"/>
      <c r="AV227" s="102"/>
      <c r="AW227" s="102"/>
      <c r="AX227" s="32">
        <f>운전실적_원본!W227</f>
        <v>0</v>
      </c>
      <c r="AY227" s="11">
        <f>운전실적_원본!X227</f>
        <v>0</v>
      </c>
      <c r="AZ227" s="11">
        <f>운전실적_원본!Y227</f>
        <v>0</v>
      </c>
      <c r="BA227" s="11">
        <f>운전실적_원본!Z227</f>
        <v>0</v>
      </c>
      <c r="BB227" s="11">
        <f>운전실적_원본!AA227</f>
        <v>0</v>
      </c>
      <c r="BC227" s="11">
        <f>운전실적_원본!AB227</f>
        <v>0</v>
      </c>
      <c r="BD227" s="32" t="str">
        <f t="shared" si="1115"/>
        <v>-</v>
      </c>
      <c r="BE227" s="11" t="str">
        <f t="shared" si="1123"/>
        <v>-</v>
      </c>
      <c r="BF227" s="11">
        <f>운전실적_원본!AE227</f>
        <v>0</v>
      </c>
      <c r="BG227" s="31">
        <f t="shared" si="1116"/>
        <v>0</v>
      </c>
      <c r="BH227" s="241">
        <f>INDEX(연료전지_원본!$A$4:$KY$369,MATCH($A227,연료전지_원본!$A$4:$A$369,0),MATCH($BH$4,연료전지_원본!$A$4:$KY$4,0))</f>
        <v>0</v>
      </c>
      <c r="BI227" s="241">
        <f>INDEX(연료전지_원본!$A$4:$KY$369,MATCH($A227,연료전지_원본!$A$4:$A$369,0),MATCH($BI$4,연료전지_원본!$A$4:$KY$4,0))</f>
        <v>0</v>
      </c>
      <c r="BJ227" s="241">
        <f>INDEX(연료전지_원본!$A$4:$KY$369,MATCH($A227,연료전지_원본!$A$4:$A$369,0),MATCH($BJ$4,연료전지_원본!$A$4:$KY$4,0))</f>
        <v>0</v>
      </c>
      <c r="BK227" s="241">
        <f>INDEX(연료전지_원본!$A$4:$KY$369,MATCH($A227,연료전지_원본!$A$4:$A$369,0),MATCH($BK$4,연료전지_원본!$A$4:$KY$4,0))</f>
        <v>0</v>
      </c>
      <c r="BL227" s="241">
        <f>INDEX(연료전지_원본!$A$4:$KY$369,MATCH($A227,연료전지_원본!$A$4:$A$369,0),MATCH($BL$4,연료전지_원본!$A$4:$KY$4,0))</f>
        <v>0</v>
      </c>
      <c r="BM227" s="241">
        <f>INDEX(연료전지_원본!$A$4:$KY$369,MATCH($A227,연료전지_원본!$A$4:$A$369,0),MATCH($BM$4,연료전지_원본!$A$4:$KY$4,0))</f>
        <v>0</v>
      </c>
      <c r="BN227" s="241">
        <f>INDEX(연료전지_원본!$A$4:$KY$369,MATCH($A227,연료전지_원본!$A$4:$A$369,0),MATCH($BN$4,연료전지_원본!$A$4:$KY$4,0))</f>
        <v>0</v>
      </c>
      <c r="BO227" s="241">
        <f>INDEX(연료전지_원본!$A$4:$KY$369,MATCH($A227,연료전지_원본!$A$4:$A$369,0),MATCH($BO$4,연료전지_원본!$A$4:$KY$4,0))</f>
        <v>0</v>
      </c>
      <c r="BP227" s="241">
        <f>INDEX(연료전지_원본!$A$4:$KY$369,MATCH($A227,연료전지_원본!$A$4:$A$369,0),MATCH($BP$4,연료전지_원본!$A$4:$KY$4,0))</f>
        <v>0</v>
      </c>
      <c r="BQ227" s="241">
        <f>INDEX(연료전지_원본!$A$4:$KY$369,MATCH($A227,연료전지_원본!$A$4:$A$369,0),MATCH($BQ$4,연료전지_원본!$A$4:$KY$4,0))</f>
        <v>0</v>
      </c>
      <c r="BR227" s="241">
        <f>INDEX(연료전지_원본!$A$4:$KY$369,MATCH($A227,연료전지_원본!$A$4:$A$369,0),MATCH($BR$4,연료전지_원본!$A$4:$KY$4,0))</f>
        <v>0</v>
      </c>
      <c r="BS227" s="241">
        <f>INDEX(연료전지_원본!$A$4:$KY$369,MATCH($A227,연료전지_원본!$A$4:$A$369,0),MATCH($BS$4,연료전지_원본!$A$4:$KY$4,0))</f>
        <v>0</v>
      </c>
      <c r="BT227" s="241">
        <f>INDEX(연료전지_원본!$A$4:$KY$369,MATCH($A227,연료전지_원본!$A$4:$A$369,0),MATCH($BT$4,연료전지_원본!$A$4:$KY$4,0))</f>
        <v>0</v>
      </c>
      <c r="BU227" s="241">
        <f>INDEX(연료전지_원본!$A$4:$KY$369,MATCH($A227,연료전지_원본!$A$4:$A$369,0),MATCH($BU$4,연료전지_원본!$A$4:$KY$4,0))</f>
        <v>0</v>
      </c>
      <c r="BV227" s="241">
        <f>INDEX(연료전지_원본!$A$4:$KY$369,MATCH($A227,연료전지_원본!$A$4:$A$369,0),MATCH($BV$4,연료전지_원본!$A$4:$KY$4,0))</f>
        <v>0</v>
      </c>
      <c r="BW227" s="241">
        <f>INDEX(연료전지_원본!$A$4:$KY$369,MATCH($A227,연료전지_원본!$A$4:$A$369,0),MATCH($BW$4,연료전지_원본!$A$4:$KY$4,0))</f>
        <v>0</v>
      </c>
      <c r="BX227" s="241">
        <f>INDEX(연료전지_원본!$A$4:$KY$369,MATCH($A227,연료전지_원본!$A$4:$A$369,0),MATCH($BX$4,연료전지_원본!$A$4:$KY$4,0))</f>
        <v>0</v>
      </c>
      <c r="BY227" s="241">
        <f>INDEX(연료전지_원본!$A$4:$KY$369,MATCH($A227,연료전지_원본!$A$4:$A$369,0),MATCH($BY$4,연료전지_원본!$A$4:$KY$4,0))</f>
        <v>0</v>
      </c>
      <c r="BZ227" s="241">
        <f>INDEX(연료전지_원본!$A$4:$KY$369,MATCH($A227,연료전지_원본!$A$4:$A$369,0),MATCH($BZ$4,연료전지_원본!$A$4:$KY$4,0))</f>
        <v>0</v>
      </c>
      <c r="CA227" s="241">
        <f>INDEX(연료전지_원본!$A$4:$KY$369,MATCH($A227,연료전지_원본!$A$4:$A$369,0),MATCH($CA$4,연료전지_원본!$A$4:$KY$4,0))</f>
        <v>0</v>
      </c>
      <c r="CB227" s="241">
        <f>INDEX(연료전지_원본!$A$4:$KY$369,MATCH($A227,연료전지_원본!$A$4:$A$369,0),MATCH($CB$4,연료전지_원본!$A$4:$KY$4,0))</f>
        <v>0</v>
      </c>
      <c r="CC227" s="242">
        <f>INDEX(연료전지_원본!$A$4:$KY$369,MATCH($A227,연료전지_원본!$A$4:$A$369,0),MATCH($CC$4,연료전지_원본!$A$4:$KY$4,0))</f>
        <v>0</v>
      </c>
      <c r="CD227" s="250">
        <f>INDEX(연료전지_원본!$KB$4:$KX$369,MATCH($A227,연료전지_원본!$KB$4:$KB$369,0), MATCH(CD$4,연료전지_원본!$KB$4:$KX$4,0))*1000</f>
        <v>0</v>
      </c>
      <c r="CE227" s="250">
        <f>INDEX(연료전지_원본!$KB$4:$KX$369,MATCH($A227,연료전지_원본!$KB$4:$KB$369,0), MATCH(CE$4,연료전지_원본!$KB$4:$KX$4,0))*1000</f>
        <v>0</v>
      </c>
      <c r="CF227" s="250">
        <f>INDEX(연료전지_원본!$KB$4:$KX$369,MATCH($A227,연료전지_원본!$KB$4:$KB$369,0), MATCH(CF$4,연료전지_원본!$KB$4:$KX$4,0))*1000</f>
        <v>0</v>
      </c>
      <c r="CG227" s="250">
        <f>INDEX(연료전지_원본!$KB$4:$KX$369,MATCH($A227,연료전지_원본!$KB$4:$KB$369,0), MATCH(CG$4,연료전지_원본!$KB$4:$KX$4,0))*1000</f>
        <v>0</v>
      </c>
      <c r="CH227" s="250">
        <f>INDEX(연료전지_원본!$KB$4:$KX$369,MATCH($A227,연료전지_원본!$KB$4:$KB$369,0), MATCH(CH$4,연료전지_원본!$KB$4:$KX$4,0))*1000</f>
        <v>0</v>
      </c>
      <c r="CI227" s="250">
        <f>INDEX(연료전지_원본!$KB$4:$KX$369,MATCH($A227,연료전지_원본!$KB$4:$KB$369,0), MATCH(CI$4,연료전지_원본!$KB$4:$KX$4,0))*1000</f>
        <v>0</v>
      </c>
      <c r="CJ227" s="250">
        <f>INDEX(연료전지_원본!$KB$4:$KX$369,MATCH($A227,연료전지_원본!$KB$4:$KB$369,0), MATCH(CJ$4,연료전지_원본!$KB$4:$KX$4,0))*1000</f>
        <v>0</v>
      </c>
      <c r="CK227" s="250">
        <f>INDEX(연료전지_원본!$KB$4:$KX$369,MATCH($A227,연료전지_원본!$KB$4:$KB$369,0), MATCH(CK$4,연료전지_원본!$KB$4:$KX$4,0))*1000</f>
        <v>0</v>
      </c>
      <c r="CL227" s="250">
        <f>INDEX(연료전지_원본!$KB$4:$KX$369,MATCH($A227,연료전지_원본!$KB$4:$KB$369,0), MATCH(CL$4,연료전지_원본!$KB$4:$KX$4,0))*1000</f>
        <v>0</v>
      </c>
      <c r="CM227" s="250">
        <f>INDEX(연료전지_원본!$KB$4:$KX$369,MATCH($A227,연료전지_원본!$KB$4:$KB$369,0), MATCH(CM$4,연료전지_원본!$KB$4:$KX$4,0))*1000</f>
        <v>0</v>
      </c>
      <c r="CN227" s="250">
        <f>INDEX(연료전지_원본!$KB$4:$KX$369,MATCH($A227,연료전지_원본!$KB$4:$KB$369,0), MATCH(CN$4,연료전지_원본!$KB$4:$KX$4,0))*1000</f>
        <v>0</v>
      </c>
      <c r="CO227" s="250">
        <f>INDEX(연료전지_원본!$KB$4:$KX$369,MATCH($A227,연료전지_원본!$KB$4:$KB$369,0), MATCH(CO$4,연료전지_원본!$KB$4:$KX$4,0))*1000</f>
        <v>0</v>
      </c>
      <c r="CP227" s="250">
        <f>INDEX(연료전지_원본!$KB$4:$KX$369,MATCH($A227,연료전지_원본!$KB$4:$KB$369,0), MATCH(CP$4,연료전지_원본!$KB$4:$KX$4,0))*1000</f>
        <v>0</v>
      </c>
      <c r="CQ227" s="250">
        <f>INDEX(연료전지_원본!$KB$4:$KX$369,MATCH($A227,연료전지_원본!$KB$4:$KB$369,0), MATCH(CQ$4,연료전지_원본!$KB$4:$KX$4,0))*1000</f>
        <v>0</v>
      </c>
      <c r="CR227" s="250">
        <f>INDEX(연료전지_원본!$KB$4:$KX$369,MATCH($A227,연료전지_원본!$KB$4:$KB$369,0), MATCH(CR$4,연료전지_원본!$KB$4:$KX$4,0))*1000</f>
        <v>0</v>
      </c>
      <c r="CS227" s="250">
        <f>INDEX(연료전지_원본!$KB$4:$KX$369,MATCH($A227,연료전지_원본!$KB$4:$KB$369,0), MATCH(CS$4,연료전지_원본!$KB$4:$KX$4,0))*1000</f>
        <v>0</v>
      </c>
      <c r="CT227" s="250">
        <f>INDEX(연료전지_원본!$KB$4:$KX$369,MATCH($A227,연료전지_원본!$KB$4:$KB$369,0), MATCH(CT$4,연료전지_원본!$KB$4:$KX$4,0))*1000</f>
        <v>0</v>
      </c>
      <c r="CU227" s="250">
        <f>INDEX(연료전지_원본!$KB$4:$KX$369,MATCH($A227,연료전지_원본!$KB$4:$KB$369,0), MATCH(CU$4,연료전지_원본!$KB$4:$KX$4,0))*1000</f>
        <v>0</v>
      </c>
      <c r="CV227" s="250">
        <f>INDEX(연료전지_원본!$KB$4:$KX$369,MATCH($A227,연료전지_원본!$KB$4:$KB$369,0), MATCH(CV$4,연료전지_원본!$KB$4:$KX$4,0))*1000</f>
        <v>0</v>
      </c>
      <c r="CW227" s="250">
        <f>INDEX(연료전지_원본!$KB$4:$KX$369,MATCH($A227,연료전지_원본!$KB$4:$KB$369,0), MATCH(CW$4,연료전지_원본!$KB$4:$KX$4,0))*1000</f>
        <v>0</v>
      </c>
      <c r="CX227" s="250">
        <f>INDEX(연료전지_원본!$KB$4:$KX$369,MATCH($A227,연료전지_원본!$KB$4:$KB$369,0), MATCH(CX$4,연료전지_원본!$KB$4:$KX$4,0))*1000</f>
        <v>0</v>
      </c>
      <c r="CY227" s="250">
        <f>INDEX(연료전지_원본!$KB$4:$KX$369,MATCH($A227,연료전지_원본!$KB$4:$KB$369,0), MATCH(CY$4,연료전지_원본!$KB$4:$KX$4,0))*1000</f>
        <v>0</v>
      </c>
      <c r="DV227" s="30">
        <f t="shared" si="954"/>
        <v>0</v>
      </c>
    </row>
    <row r="228" spans="1:126">
      <c r="A228" s="6">
        <v>46245</v>
      </c>
      <c r="B228" s="15">
        <f>운전실적_원본!B228</f>
        <v>0</v>
      </c>
      <c r="C228" s="16" t="str">
        <f t="shared" si="960"/>
        <v/>
      </c>
      <c r="D228" s="12">
        <f>운전실적_원본!C228</f>
        <v>0</v>
      </c>
      <c r="E228" s="12" t="str">
        <f t="shared" si="961"/>
        <v/>
      </c>
      <c r="F228" s="12">
        <f>운전실적_원본!D228</f>
        <v>0</v>
      </c>
      <c r="G228" s="16" t="str">
        <f t="shared" si="962"/>
        <v/>
      </c>
      <c r="H228" s="15">
        <f>운전실적_원본!E228</f>
        <v>0</v>
      </c>
      <c r="I228" s="16" t="str">
        <f t="shared" si="963"/>
        <v/>
      </c>
      <c r="J228" s="15">
        <f>운전실적_원본!F228</f>
        <v>0</v>
      </c>
      <c r="K228" s="16" t="str">
        <f t="shared" si="963"/>
        <v/>
      </c>
      <c r="L228" s="32">
        <f>운전실적_원본!G228</f>
        <v>0</v>
      </c>
      <c r="M228" s="31" t="str">
        <f t="shared" ref="M228" si="1270">IF(OR(LEN(L228)=0,L228=0),"",L228-L227)</f>
        <v/>
      </c>
      <c r="N228" s="15">
        <f>운전실적_원본!H228</f>
        <v>0</v>
      </c>
      <c r="O228" s="16" t="str">
        <f t="shared" ref="O228" si="1271">IF(OR(LEN(N228)=0,N228=0),"",N228-N227)</f>
        <v/>
      </c>
      <c r="P228" s="15">
        <f>운전실적_원본!I228</f>
        <v>0</v>
      </c>
      <c r="Q228" s="16" t="str">
        <f t="shared" ref="Q228" si="1272">IF(OR(LEN(P228)=0,P228=0),"",P228-P227)</f>
        <v/>
      </c>
      <c r="R228" s="18">
        <f>운전실적_원본!J228</f>
        <v>0</v>
      </c>
      <c r="S228" s="19" t="str">
        <f t="shared" ref="S228" si="1273">IF(OR(LEN(R228)=0,R228=0),"",R228-R227)</f>
        <v/>
      </c>
      <c r="T228" s="18">
        <f>운전실적_원본!K228</f>
        <v>0</v>
      </c>
      <c r="U228" s="19" t="str">
        <f t="shared" si="968"/>
        <v/>
      </c>
      <c r="V228" s="12">
        <f>운전실적_원본!L228</f>
        <v>0</v>
      </c>
      <c r="W228" s="16" t="str">
        <f t="shared" ref="W228" si="1274">IF(OR(LEN(V228)=0,V228=0),"",V228-V227)</f>
        <v/>
      </c>
      <c r="X228" s="10">
        <f>운전실적_원본!M228</f>
        <v>0</v>
      </c>
      <c r="Y228" s="10">
        <f>운전실적_원본!N228</f>
        <v>0</v>
      </c>
      <c r="Z228" s="10">
        <f>운전실적_원본!O228</f>
        <v>0</v>
      </c>
      <c r="AA228" s="10">
        <f>운전실적_원본!P228</f>
        <v>0</v>
      </c>
      <c r="AB228" s="10">
        <f>운전실적_원본!Q228</f>
        <v>0</v>
      </c>
      <c r="AC228" s="20">
        <f>운전실적_원본!R228</f>
        <v>0</v>
      </c>
      <c r="AD228" s="109">
        <f>운전실적_원본!S228</f>
        <v>0</v>
      </c>
      <c r="AE228" s="110">
        <f>운전실적_원본!T228</f>
        <v>0</v>
      </c>
      <c r="AF228" s="110">
        <f>운전실적_원본!U228</f>
        <v>0</v>
      </c>
      <c r="AG228" s="110">
        <f>운전실적_원본!V228</f>
        <v>0</v>
      </c>
      <c r="AH228" s="109">
        <f t="shared" si="1122"/>
        <v>0</v>
      </c>
      <c r="AI228" s="110">
        <f t="shared" si="1129"/>
        <v>0</v>
      </c>
      <c r="AJ228" s="110">
        <f>운전실적_원본!Y228</f>
        <v>0</v>
      </c>
      <c r="AK228" s="110">
        <f>운전실적_원본!Z228</f>
        <v>0</v>
      </c>
      <c r="AL228" s="106"/>
      <c r="AM228" s="105"/>
      <c r="AN228" s="105"/>
      <c r="AO228" s="105"/>
      <c r="AP228" s="105"/>
      <c r="AQ228" s="108"/>
      <c r="AR228" s="105"/>
      <c r="AS228" s="105"/>
      <c r="AT228" s="102"/>
      <c r="AU228" s="102"/>
      <c r="AV228" s="102"/>
      <c r="AW228" s="102"/>
      <c r="AX228" s="32">
        <f>운전실적_원본!W228</f>
        <v>0</v>
      </c>
      <c r="AY228" s="11">
        <f>운전실적_원본!X228</f>
        <v>0</v>
      </c>
      <c r="AZ228" s="11">
        <f>운전실적_원본!Y228</f>
        <v>0</v>
      </c>
      <c r="BA228" s="11">
        <f>운전실적_원본!Z228</f>
        <v>0</v>
      </c>
      <c r="BB228" s="11">
        <f>운전실적_원본!AA228</f>
        <v>0</v>
      </c>
      <c r="BC228" s="11">
        <f>운전실적_원본!AB228</f>
        <v>0</v>
      </c>
      <c r="BD228" s="32" t="str">
        <f t="shared" si="1115"/>
        <v>-</v>
      </c>
      <c r="BE228" s="11" t="str">
        <f t="shared" si="1123"/>
        <v>-</v>
      </c>
      <c r="BF228" s="11">
        <f>운전실적_원본!AE228</f>
        <v>0</v>
      </c>
      <c r="BG228" s="31">
        <f t="shared" si="1116"/>
        <v>0</v>
      </c>
      <c r="BH228" s="241">
        <f>INDEX(연료전지_원본!$A$4:$KY$369,MATCH($A228,연료전지_원본!$A$4:$A$369,0),MATCH($BH$4,연료전지_원본!$A$4:$KY$4,0))</f>
        <v>0</v>
      </c>
      <c r="BI228" s="241">
        <f>INDEX(연료전지_원본!$A$4:$KY$369,MATCH($A228,연료전지_원본!$A$4:$A$369,0),MATCH($BI$4,연료전지_원본!$A$4:$KY$4,0))</f>
        <v>0</v>
      </c>
      <c r="BJ228" s="241">
        <f>INDEX(연료전지_원본!$A$4:$KY$369,MATCH($A228,연료전지_원본!$A$4:$A$369,0),MATCH($BJ$4,연료전지_원본!$A$4:$KY$4,0))</f>
        <v>0</v>
      </c>
      <c r="BK228" s="241">
        <f>INDEX(연료전지_원본!$A$4:$KY$369,MATCH($A228,연료전지_원본!$A$4:$A$369,0),MATCH($BK$4,연료전지_원본!$A$4:$KY$4,0))</f>
        <v>0</v>
      </c>
      <c r="BL228" s="241">
        <f>INDEX(연료전지_원본!$A$4:$KY$369,MATCH($A228,연료전지_원본!$A$4:$A$369,0),MATCH($BL$4,연료전지_원본!$A$4:$KY$4,0))</f>
        <v>0</v>
      </c>
      <c r="BM228" s="241">
        <f>INDEX(연료전지_원본!$A$4:$KY$369,MATCH($A228,연료전지_원본!$A$4:$A$369,0),MATCH($BM$4,연료전지_원본!$A$4:$KY$4,0))</f>
        <v>0</v>
      </c>
      <c r="BN228" s="241">
        <f>INDEX(연료전지_원본!$A$4:$KY$369,MATCH($A228,연료전지_원본!$A$4:$A$369,0),MATCH($BN$4,연료전지_원본!$A$4:$KY$4,0))</f>
        <v>0</v>
      </c>
      <c r="BO228" s="241">
        <f>INDEX(연료전지_원본!$A$4:$KY$369,MATCH($A228,연료전지_원본!$A$4:$A$369,0),MATCH($BO$4,연료전지_원본!$A$4:$KY$4,0))</f>
        <v>0</v>
      </c>
      <c r="BP228" s="241">
        <f>INDEX(연료전지_원본!$A$4:$KY$369,MATCH($A228,연료전지_원본!$A$4:$A$369,0),MATCH($BP$4,연료전지_원본!$A$4:$KY$4,0))</f>
        <v>0</v>
      </c>
      <c r="BQ228" s="241">
        <f>INDEX(연료전지_원본!$A$4:$KY$369,MATCH($A228,연료전지_원본!$A$4:$A$369,0),MATCH($BQ$4,연료전지_원본!$A$4:$KY$4,0))</f>
        <v>0</v>
      </c>
      <c r="BR228" s="241">
        <f>INDEX(연료전지_원본!$A$4:$KY$369,MATCH($A228,연료전지_원본!$A$4:$A$369,0),MATCH($BR$4,연료전지_원본!$A$4:$KY$4,0))</f>
        <v>0</v>
      </c>
      <c r="BS228" s="241">
        <f>INDEX(연료전지_원본!$A$4:$KY$369,MATCH($A228,연료전지_원본!$A$4:$A$369,0),MATCH($BS$4,연료전지_원본!$A$4:$KY$4,0))</f>
        <v>0</v>
      </c>
      <c r="BT228" s="241">
        <f>INDEX(연료전지_원본!$A$4:$KY$369,MATCH($A228,연료전지_원본!$A$4:$A$369,0),MATCH($BT$4,연료전지_원본!$A$4:$KY$4,0))</f>
        <v>0</v>
      </c>
      <c r="BU228" s="241">
        <f>INDEX(연료전지_원본!$A$4:$KY$369,MATCH($A228,연료전지_원본!$A$4:$A$369,0),MATCH($BU$4,연료전지_원본!$A$4:$KY$4,0))</f>
        <v>0</v>
      </c>
      <c r="BV228" s="241">
        <f>INDEX(연료전지_원본!$A$4:$KY$369,MATCH($A228,연료전지_원본!$A$4:$A$369,0),MATCH($BV$4,연료전지_원본!$A$4:$KY$4,0))</f>
        <v>0</v>
      </c>
      <c r="BW228" s="241">
        <f>INDEX(연료전지_원본!$A$4:$KY$369,MATCH($A228,연료전지_원본!$A$4:$A$369,0),MATCH($BW$4,연료전지_원본!$A$4:$KY$4,0))</f>
        <v>0</v>
      </c>
      <c r="BX228" s="241">
        <f>INDEX(연료전지_원본!$A$4:$KY$369,MATCH($A228,연료전지_원본!$A$4:$A$369,0),MATCH($BX$4,연료전지_원본!$A$4:$KY$4,0))</f>
        <v>0</v>
      </c>
      <c r="BY228" s="241">
        <f>INDEX(연료전지_원본!$A$4:$KY$369,MATCH($A228,연료전지_원본!$A$4:$A$369,0),MATCH($BY$4,연료전지_원본!$A$4:$KY$4,0))</f>
        <v>0</v>
      </c>
      <c r="BZ228" s="241">
        <f>INDEX(연료전지_원본!$A$4:$KY$369,MATCH($A228,연료전지_원본!$A$4:$A$369,0),MATCH($BZ$4,연료전지_원본!$A$4:$KY$4,0))</f>
        <v>0</v>
      </c>
      <c r="CA228" s="241">
        <f>INDEX(연료전지_원본!$A$4:$KY$369,MATCH($A228,연료전지_원본!$A$4:$A$369,0),MATCH($CA$4,연료전지_원본!$A$4:$KY$4,0))</f>
        <v>0</v>
      </c>
      <c r="CB228" s="241">
        <f>INDEX(연료전지_원본!$A$4:$KY$369,MATCH($A228,연료전지_원본!$A$4:$A$369,0),MATCH($CB$4,연료전지_원본!$A$4:$KY$4,0))</f>
        <v>0</v>
      </c>
      <c r="CC228" s="242">
        <f>INDEX(연료전지_원본!$A$4:$KY$369,MATCH($A228,연료전지_원본!$A$4:$A$369,0),MATCH($CC$4,연료전지_원본!$A$4:$KY$4,0))</f>
        <v>0</v>
      </c>
      <c r="CD228" s="250">
        <f>INDEX(연료전지_원본!$KB$4:$KX$369,MATCH($A228,연료전지_원본!$KB$4:$KB$369,0), MATCH(CD$4,연료전지_원본!$KB$4:$KX$4,0))*1000</f>
        <v>0</v>
      </c>
      <c r="CE228" s="250">
        <f>INDEX(연료전지_원본!$KB$4:$KX$369,MATCH($A228,연료전지_원본!$KB$4:$KB$369,0), MATCH(CE$4,연료전지_원본!$KB$4:$KX$4,0))*1000</f>
        <v>0</v>
      </c>
      <c r="CF228" s="250">
        <f>INDEX(연료전지_원본!$KB$4:$KX$369,MATCH($A228,연료전지_원본!$KB$4:$KB$369,0), MATCH(CF$4,연료전지_원본!$KB$4:$KX$4,0))*1000</f>
        <v>0</v>
      </c>
      <c r="CG228" s="250">
        <f>INDEX(연료전지_원본!$KB$4:$KX$369,MATCH($A228,연료전지_원본!$KB$4:$KB$369,0), MATCH(CG$4,연료전지_원본!$KB$4:$KX$4,0))*1000</f>
        <v>0</v>
      </c>
      <c r="CH228" s="250">
        <f>INDEX(연료전지_원본!$KB$4:$KX$369,MATCH($A228,연료전지_원본!$KB$4:$KB$369,0), MATCH(CH$4,연료전지_원본!$KB$4:$KX$4,0))*1000</f>
        <v>0</v>
      </c>
      <c r="CI228" s="250">
        <f>INDEX(연료전지_원본!$KB$4:$KX$369,MATCH($A228,연료전지_원본!$KB$4:$KB$369,0), MATCH(CI$4,연료전지_원본!$KB$4:$KX$4,0))*1000</f>
        <v>0</v>
      </c>
      <c r="CJ228" s="250">
        <f>INDEX(연료전지_원본!$KB$4:$KX$369,MATCH($A228,연료전지_원본!$KB$4:$KB$369,0), MATCH(CJ$4,연료전지_원본!$KB$4:$KX$4,0))*1000</f>
        <v>0</v>
      </c>
      <c r="CK228" s="250">
        <f>INDEX(연료전지_원본!$KB$4:$KX$369,MATCH($A228,연료전지_원본!$KB$4:$KB$369,0), MATCH(CK$4,연료전지_원본!$KB$4:$KX$4,0))*1000</f>
        <v>0</v>
      </c>
      <c r="CL228" s="250">
        <f>INDEX(연료전지_원본!$KB$4:$KX$369,MATCH($A228,연료전지_원본!$KB$4:$KB$369,0), MATCH(CL$4,연료전지_원본!$KB$4:$KX$4,0))*1000</f>
        <v>0</v>
      </c>
      <c r="CM228" s="250">
        <f>INDEX(연료전지_원본!$KB$4:$KX$369,MATCH($A228,연료전지_원본!$KB$4:$KB$369,0), MATCH(CM$4,연료전지_원본!$KB$4:$KX$4,0))*1000</f>
        <v>0</v>
      </c>
      <c r="CN228" s="250">
        <f>INDEX(연료전지_원본!$KB$4:$KX$369,MATCH($A228,연료전지_원본!$KB$4:$KB$369,0), MATCH(CN$4,연료전지_원본!$KB$4:$KX$4,0))*1000</f>
        <v>0</v>
      </c>
      <c r="CO228" s="250">
        <f>INDEX(연료전지_원본!$KB$4:$KX$369,MATCH($A228,연료전지_원본!$KB$4:$KB$369,0), MATCH(CO$4,연료전지_원본!$KB$4:$KX$4,0))*1000</f>
        <v>0</v>
      </c>
      <c r="CP228" s="250">
        <f>INDEX(연료전지_원본!$KB$4:$KX$369,MATCH($A228,연료전지_원본!$KB$4:$KB$369,0), MATCH(CP$4,연료전지_원본!$KB$4:$KX$4,0))*1000</f>
        <v>0</v>
      </c>
      <c r="CQ228" s="250">
        <f>INDEX(연료전지_원본!$KB$4:$KX$369,MATCH($A228,연료전지_원본!$KB$4:$KB$369,0), MATCH(CQ$4,연료전지_원본!$KB$4:$KX$4,0))*1000</f>
        <v>0</v>
      </c>
      <c r="CR228" s="250">
        <f>INDEX(연료전지_원본!$KB$4:$KX$369,MATCH($A228,연료전지_원본!$KB$4:$KB$369,0), MATCH(CR$4,연료전지_원본!$KB$4:$KX$4,0))*1000</f>
        <v>0</v>
      </c>
      <c r="CS228" s="250">
        <f>INDEX(연료전지_원본!$KB$4:$KX$369,MATCH($A228,연료전지_원본!$KB$4:$KB$369,0), MATCH(CS$4,연료전지_원본!$KB$4:$KX$4,0))*1000</f>
        <v>0</v>
      </c>
      <c r="CT228" s="250">
        <f>INDEX(연료전지_원본!$KB$4:$KX$369,MATCH($A228,연료전지_원본!$KB$4:$KB$369,0), MATCH(CT$4,연료전지_원본!$KB$4:$KX$4,0))*1000</f>
        <v>0</v>
      </c>
      <c r="CU228" s="250">
        <f>INDEX(연료전지_원본!$KB$4:$KX$369,MATCH($A228,연료전지_원본!$KB$4:$KB$369,0), MATCH(CU$4,연료전지_원본!$KB$4:$KX$4,0))*1000</f>
        <v>0</v>
      </c>
      <c r="CV228" s="250">
        <f>INDEX(연료전지_원본!$KB$4:$KX$369,MATCH($A228,연료전지_원본!$KB$4:$KB$369,0), MATCH(CV$4,연료전지_원본!$KB$4:$KX$4,0))*1000</f>
        <v>0</v>
      </c>
      <c r="CW228" s="250">
        <f>INDEX(연료전지_원본!$KB$4:$KX$369,MATCH($A228,연료전지_원본!$KB$4:$KB$369,0), MATCH(CW$4,연료전지_원본!$KB$4:$KX$4,0))*1000</f>
        <v>0</v>
      </c>
      <c r="CX228" s="250">
        <f>INDEX(연료전지_원본!$KB$4:$KX$369,MATCH($A228,연료전지_원본!$KB$4:$KB$369,0), MATCH(CX$4,연료전지_원본!$KB$4:$KX$4,0))*1000</f>
        <v>0</v>
      </c>
      <c r="CY228" s="250">
        <f>INDEX(연료전지_원본!$KB$4:$KX$369,MATCH($A228,연료전지_원본!$KB$4:$KB$369,0), MATCH(CY$4,연료전지_원본!$KB$4:$KX$4,0))*1000</f>
        <v>0</v>
      </c>
      <c r="DV228" s="30">
        <f t="shared" si="954"/>
        <v>0</v>
      </c>
    </row>
    <row r="229" spans="1:126">
      <c r="A229" s="6">
        <v>46246</v>
      </c>
      <c r="B229" s="15">
        <f>운전실적_원본!B229</f>
        <v>0</v>
      </c>
      <c r="C229" s="16" t="str">
        <f t="shared" si="960"/>
        <v/>
      </c>
      <c r="D229" s="12">
        <f>운전실적_원본!C229</f>
        <v>0</v>
      </c>
      <c r="E229" s="12" t="str">
        <f t="shared" si="961"/>
        <v/>
      </c>
      <c r="F229" s="12">
        <f>운전실적_원본!D229</f>
        <v>0</v>
      </c>
      <c r="G229" s="16" t="str">
        <f t="shared" si="962"/>
        <v/>
      </c>
      <c r="H229" s="15">
        <f>운전실적_원본!E229</f>
        <v>0</v>
      </c>
      <c r="I229" s="16" t="str">
        <f t="shared" si="963"/>
        <v/>
      </c>
      <c r="J229" s="15">
        <f>운전실적_원본!F229</f>
        <v>0</v>
      </c>
      <c r="K229" s="16" t="str">
        <f t="shared" si="963"/>
        <v/>
      </c>
      <c r="L229" s="32">
        <f>운전실적_원본!G229</f>
        <v>0</v>
      </c>
      <c r="M229" s="31" t="str">
        <f t="shared" ref="M229" si="1275">IF(OR(LEN(L229)=0,L229=0),"",L229-L228)</f>
        <v/>
      </c>
      <c r="N229" s="15">
        <f>운전실적_원본!H229</f>
        <v>0</v>
      </c>
      <c r="O229" s="16" t="str">
        <f t="shared" ref="O229" si="1276">IF(OR(LEN(N229)=0,N229=0),"",N229-N228)</f>
        <v/>
      </c>
      <c r="P229" s="15">
        <f>운전실적_원본!I229</f>
        <v>0</v>
      </c>
      <c r="Q229" s="16" t="str">
        <f t="shared" ref="Q229" si="1277">IF(OR(LEN(P229)=0,P229=0),"",P229-P228)</f>
        <v/>
      </c>
      <c r="R229" s="18">
        <f>운전실적_원본!J229</f>
        <v>0</v>
      </c>
      <c r="S229" s="19" t="str">
        <f t="shared" ref="S229" si="1278">IF(OR(LEN(R229)=0,R229=0),"",R229-R228)</f>
        <v/>
      </c>
      <c r="T229" s="18">
        <f>운전실적_원본!K229</f>
        <v>0</v>
      </c>
      <c r="U229" s="19" t="str">
        <f t="shared" si="968"/>
        <v/>
      </c>
      <c r="V229" s="12">
        <f>운전실적_원본!L229</f>
        <v>0</v>
      </c>
      <c r="W229" s="16" t="str">
        <f t="shared" ref="W229" si="1279">IF(OR(LEN(V229)=0,V229=0),"",V229-V228)</f>
        <v/>
      </c>
      <c r="X229" s="10">
        <f>운전실적_원본!M229</f>
        <v>0</v>
      </c>
      <c r="Y229" s="10">
        <f>운전실적_원본!N229</f>
        <v>0</v>
      </c>
      <c r="Z229" s="10">
        <f>운전실적_원본!O229</f>
        <v>0</v>
      </c>
      <c r="AA229" s="10">
        <f>운전실적_원본!P229</f>
        <v>0</v>
      </c>
      <c r="AB229" s="10">
        <f>운전실적_원본!Q229</f>
        <v>0</v>
      </c>
      <c r="AC229" s="20">
        <f>운전실적_원본!R229</f>
        <v>0</v>
      </c>
      <c r="AD229" s="109">
        <f>운전실적_원본!S229</f>
        <v>0</v>
      </c>
      <c r="AE229" s="110">
        <f>운전실적_원본!T229</f>
        <v>0</v>
      </c>
      <c r="AF229" s="110">
        <f>운전실적_원본!U229</f>
        <v>0</v>
      </c>
      <c r="AG229" s="110">
        <f>운전실적_원본!V229</f>
        <v>0</v>
      </c>
      <c r="AH229" s="109">
        <f t="shared" si="1122"/>
        <v>0</v>
      </c>
      <c r="AI229" s="110">
        <f t="shared" si="1129"/>
        <v>0</v>
      </c>
      <c r="AJ229" s="110">
        <f>운전실적_원본!Y229</f>
        <v>0</v>
      </c>
      <c r="AK229" s="110">
        <f>운전실적_원본!Z229</f>
        <v>0</v>
      </c>
      <c r="AL229" s="106"/>
      <c r="AM229" s="105"/>
      <c r="AN229" s="105"/>
      <c r="AO229" s="105"/>
      <c r="AP229" s="105"/>
      <c r="AQ229" s="108"/>
      <c r="AR229" s="105"/>
      <c r="AS229" s="105"/>
      <c r="AT229" s="102"/>
      <c r="AU229" s="102"/>
      <c r="AV229" s="102"/>
      <c r="AW229" s="102"/>
      <c r="AX229" s="32">
        <f>운전실적_원본!W229</f>
        <v>0</v>
      </c>
      <c r="AY229" s="11">
        <f>운전실적_원본!X229</f>
        <v>0</v>
      </c>
      <c r="AZ229" s="11">
        <f>운전실적_원본!Y229</f>
        <v>0</v>
      </c>
      <c r="BA229" s="11">
        <f>운전실적_원본!Z229</f>
        <v>0</v>
      </c>
      <c r="BB229" s="11">
        <f>운전실적_원본!AA229</f>
        <v>0</v>
      </c>
      <c r="BC229" s="11">
        <f>운전실적_원본!AB229</f>
        <v>0</v>
      </c>
      <c r="BD229" s="32" t="str">
        <f t="shared" si="1115"/>
        <v>-</v>
      </c>
      <c r="BE229" s="11" t="str">
        <f t="shared" si="1123"/>
        <v>-</v>
      </c>
      <c r="BF229" s="11">
        <f>운전실적_원본!AE229</f>
        <v>0</v>
      </c>
      <c r="BG229" s="31">
        <f t="shared" si="1116"/>
        <v>0</v>
      </c>
      <c r="BH229" s="241">
        <f>INDEX(연료전지_원본!$A$4:$KY$369,MATCH($A229,연료전지_원본!$A$4:$A$369,0),MATCH($BH$4,연료전지_원본!$A$4:$KY$4,0))</f>
        <v>0</v>
      </c>
      <c r="BI229" s="241">
        <f>INDEX(연료전지_원본!$A$4:$KY$369,MATCH($A229,연료전지_원본!$A$4:$A$369,0),MATCH($BI$4,연료전지_원본!$A$4:$KY$4,0))</f>
        <v>0</v>
      </c>
      <c r="BJ229" s="241">
        <f>INDEX(연료전지_원본!$A$4:$KY$369,MATCH($A229,연료전지_원본!$A$4:$A$369,0),MATCH($BJ$4,연료전지_원본!$A$4:$KY$4,0))</f>
        <v>0</v>
      </c>
      <c r="BK229" s="241">
        <f>INDEX(연료전지_원본!$A$4:$KY$369,MATCH($A229,연료전지_원본!$A$4:$A$369,0),MATCH($BK$4,연료전지_원본!$A$4:$KY$4,0))</f>
        <v>0</v>
      </c>
      <c r="BL229" s="241">
        <f>INDEX(연료전지_원본!$A$4:$KY$369,MATCH($A229,연료전지_원본!$A$4:$A$369,0),MATCH($BL$4,연료전지_원본!$A$4:$KY$4,0))</f>
        <v>0</v>
      </c>
      <c r="BM229" s="241">
        <f>INDEX(연료전지_원본!$A$4:$KY$369,MATCH($A229,연료전지_원본!$A$4:$A$369,0),MATCH($BM$4,연료전지_원본!$A$4:$KY$4,0))</f>
        <v>0</v>
      </c>
      <c r="BN229" s="241">
        <f>INDEX(연료전지_원본!$A$4:$KY$369,MATCH($A229,연료전지_원본!$A$4:$A$369,0),MATCH($BN$4,연료전지_원본!$A$4:$KY$4,0))</f>
        <v>0</v>
      </c>
      <c r="BO229" s="241">
        <f>INDEX(연료전지_원본!$A$4:$KY$369,MATCH($A229,연료전지_원본!$A$4:$A$369,0),MATCH($BO$4,연료전지_원본!$A$4:$KY$4,0))</f>
        <v>0</v>
      </c>
      <c r="BP229" s="241">
        <f>INDEX(연료전지_원본!$A$4:$KY$369,MATCH($A229,연료전지_원본!$A$4:$A$369,0),MATCH($BP$4,연료전지_원본!$A$4:$KY$4,0))</f>
        <v>0</v>
      </c>
      <c r="BQ229" s="241">
        <f>INDEX(연료전지_원본!$A$4:$KY$369,MATCH($A229,연료전지_원본!$A$4:$A$369,0),MATCH($BQ$4,연료전지_원본!$A$4:$KY$4,0))</f>
        <v>0</v>
      </c>
      <c r="BR229" s="241">
        <f>INDEX(연료전지_원본!$A$4:$KY$369,MATCH($A229,연료전지_원본!$A$4:$A$369,0),MATCH($BR$4,연료전지_원본!$A$4:$KY$4,0))</f>
        <v>0</v>
      </c>
      <c r="BS229" s="241">
        <f>INDEX(연료전지_원본!$A$4:$KY$369,MATCH($A229,연료전지_원본!$A$4:$A$369,0),MATCH($BS$4,연료전지_원본!$A$4:$KY$4,0))</f>
        <v>0</v>
      </c>
      <c r="BT229" s="241">
        <f>INDEX(연료전지_원본!$A$4:$KY$369,MATCH($A229,연료전지_원본!$A$4:$A$369,0),MATCH($BT$4,연료전지_원본!$A$4:$KY$4,0))</f>
        <v>0</v>
      </c>
      <c r="BU229" s="241">
        <f>INDEX(연료전지_원본!$A$4:$KY$369,MATCH($A229,연료전지_원본!$A$4:$A$369,0),MATCH($BU$4,연료전지_원본!$A$4:$KY$4,0))</f>
        <v>0</v>
      </c>
      <c r="BV229" s="241">
        <f>INDEX(연료전지_원본!$A$4:$KY$369,MATCH($A229,연료전지_원본!$A$4:$A$369,0),MATCH($BV$4,연료전지_원본!$A$4:$KY$4,0))</f>
        <v>0</v>
      </c>
      <c r="BW229" s="241">
        <f>INDEX(연료전지_원본!$A$4:$KY$369,MATCH($A229,연료전지_원본!$A$4:$A$369,0),MATCH($BW$4,연료전지_원본!$A$4:$KY$4,0))</f>
        <v>0</v>
      </c>
      <c r="BX229" s="241">
        <f>INDEX(연료전지_원본!$A$4:$KY$369,MATCH($A229,연료전지_원본!$A$4:$A$369,0),MATCH($BX$4,연료전지_원본!$A$4:$KY$4,0))</f>
        <v>0</v>
      </c>
      <c r="BY229" s="241">
        <f>INDEX(연료전지_원본!$A$4:$KY$369,MATCH($A229,연료전지_원본!$A$4:$A$369,0),MATCH($BY$4,연료전지_원본!$A$4:$KY$4,0))</f>
        <v>0</v>
      </c>
      <c r="BZ229" s="241">
        <f>INDEX(연료전지_원본!$A$4:$KY$369,MATCH($A229,연료전지_원본!$A$4:$A$369,0),MATCH($BZ$4,연료전지_원본!$A$4:$KY$4,0))</f>
        <v>0</v>
      </c>
      <c r="CA229" s="241">
        <f>INDEX(연료전지_원본!$A$4:$KY$369,MATCH($A229,연료전지_원본!$A$4:$A$369,0),MATCH($CA$4,연료전지_원본!$A$4:$KY$4,0))</f>
        <v>0</v>
      </c>
      <c r="CB229" s="241">
        <f>INDEX(연료전지_원본!$A$4:$KY$369,MATCH($A229,연료전지_원본!$A$4:$A$369,0),MATCH($CB$4,연료전지_원본!$A$4:$KY$4,0))</f>
        <v>0</v>
      </c>
      <c r="CC229" s="242">
        <f>INDEX(연료전지_원본!$A$4:$KY$369,MATCH($A229,연료전지_원본!$A$4:$A$369,0),MATCH($CC$4,연료전지_원본!$A$4:$KY$4,0))</f>
        <v>0</v>
      </c>
      <c r="CD229" s="250">
        <f>INDEX(연료전지_원본!$KB$4:$KX$369,MATCH($A229,연료전지_원본!$KB$4:$KB$369,0), MATCH(CD$4,연료전지_원본!$KB$4:$KX$4,0))*1000</f>
        <v>0</v>
      </c>
      <c r="CE229" s="250">
        <f>INDEX(연료전지_원본!$KB$4:$KX$369,MATCH($A229,연료전지_원본!$KB$4:$KB$369,0), MATCH(CE$4,연료전지_원본!$KB$4:$KX$4,0))*1000</f>
        <v>0</v>
      </c>
      <c r="CF229" s="250">
        <f>INDEX(연료전지_원본!$KB$4:$KX$369,MATCH($A229,연료전지_원본!$KB$4:$KB$369,0), MATCH(CF$4,연료전지_원본!$KB$4:$KX$4,0))*1000</f>
        <v>0</v>
      </c>
      <c r="CG229" s="250">
        <f>INDEX(연료전지_원본!$KB$4:$KX$369,MATCH($A229,연료전지_원본!$KB$4:$KB$369,0), MATCH(CG$4,연료전지_원본!$KB$4:$KX$4,0))*1000</f>
        <v>0</v>
      </c>
      <c r="CH229" s="250">
        <f>INDEX(연료전지_원본!$KB$4:$KX$369,MATCH($A229,연료전지_원본!$KB$4:$KB$369,0), MATCH(CH$4,연료전지_원본!$KB$4:$KX$4,0))*1000</f>
        <v>0</v>
      </c>
      <c r="CI229" s="250">
        <f>INDEX(연료전지_원본!$KB$4:$KX$369,MATCH($A229,연료전지_원본!$KB$4:$KB$369,0), MATCH(CI$4,연료전지_원본!$KB$4:$KX$4,0))*1000</f>
        <v>0</v>
      </c>
      <c r="CJ229" s="250">
        <f>INDEX(연료전지_원본!$KB$4:$KX$369,MATCH($A229,연료전지_원본!$KB$4:$KB$369,0), MATCH(CJ$4,연료전지_원본!$KB$4:$KX$4,0))*1000</f>
        <v>0</v>
      </c>
      <c r="CK229" s="250">
        <f>INDEX(연료전지_원본!$KB$4:$KX$369,MATCH($A229,연료전지_원본!$KB$4:$KB$369,0), MATCH(CK$4,연료전지_원본!$KB$4:$KX$4,0))*1000</f>
        <v>0</v>
      </c>
      <c r="CL229" s="250">
        <f>INDEX(연료전지_원본!$KB$4:$KX$369,MATCH($A229,연료전지_원본!$KB$4:$KB$369,0), MATCH(CL$4,연료전지_원본!$KB$4:$KX$4,0))*1000</f>
        <v>0</v>
      </c>
      <c r="CM229" s="250">
        <f>INDEX(연료전지_원본!$KB$4:$KX$369,MATCH($A229,연료전지_원본!$KB$4:$KB$369,0), MATCH(CM$4,연료전지_원본!$KB$4:$KX$4,0))*1000</f>
        <v>0</v>
      </c>
      <c r="CN229" s="250">
        <f>INDEX(연료전지_원본!$KB$4:$KX$369,MATCH($A229,연료전지_원본!$KB$4:$KB$369,0), MATCH(CN$4,연료전지_원본!$KB$4:$KX$4,0))*1000</f>
        <v>0</v>
      </c>
      <c r="CO229" s="250">
        <f>INDEX(연료전지_원본!$KB$4:$KX$369,MATCH($A229,연료전지_원본!$KB$4:$KB$369,0), MATCH(CO$4,연료전지_원본!$KB$4:$KX$4,0))*1000</f>
        <v>0</v>
      </c>
      <c r="CP229" s="250">
        <f>INDEX(연료전지_원본!$KB$4:$KX$369,MATCH($A229,연료전지_원본!$KB$4:$KB$369,0), MATCH(CP$4,연료전지_원본!$KB$4:$KX$4,0))*1000</f>
        <v>0</v>
      </c>
      <c r="CQ229" s="250">
        <f>INDEX(연료전지_원본!$KB$4:$KX$369,MATCH($A229,연료전지_원본!$KB$4:$KB$369,0), MATCH(CQ$4,연료전지_원본!$KB$4:$KX$4,0))*1000</f>
        <v>0</v>
      </c>
      <c r="CR229" s="250">
        <f>INDEX(연료전지_원본!$KB$4:$KX$369,MATCH($A229,연료전지_원본!$KB$4:$KB$369,0), MATCH(CR$4,연료전지_원본!$KB$4:$KX$4,0))*1000</f>
        <v>0</v>
      </c>
      <c r="CS229" s="250">
        <f>INDEX(연료전지_원본!$KB$4:$KX$369,MATCH($A229,연료전지_원본!$KB$4:$KB$369,0), MATCH(CS$4,연료전지_원본!$KB$4:$KX$4,0))*1000</f>
        <v>0</v>
      </c>
      <c r="CT229" s="250">
        <f>INDEX(연료전지_원본!$KB$4:$KX$369,MATCH($A229,연료전지_원본!$KB$4:$KB$369,0), MATCH(CT$4,연료전지_원본!$KB$4:$KX$4,0))*1000</f>
        <v>0</v>
      </c>
      <c r="CU229" s="250">
        <f>INDEX(연료전지_원본!$KB$4:$KX$369,MATCH($A229,연료전지_원본!$KB$4:$KB$369,0), MATCH(CU$4,연료전지_원본!$KB$4:$KX$4,0))*1000</f>
        <v>0</v>
      </c>
      <c r="CV229" s="250">
        <f>INDEX(연료전지_원본!$KB$4:$KX$369,MATCH($A229,연료전지_원본!$KB$4:$KB$369,0), MATCH(CV$4,연료전지_원본!$KB$4:$KX$4,0))*1000</f>
        <v>0</v>
      </c>
      <c r="CW229" s="250">
        <f>INDEX(연료전지_원본!$KB$4:$KX$369,MATCH($A229,연료전지_원본!$KB$4:$KB$369,0), MATCH(CW$4,연료전지_원본!$KB$4:$KX$4,0))*1000</f>
        <v>0</v>
      </c>
      <c r="CX229" s="250">
        <f>INDEX(연료전지_원본!$KB$4:$KX$369,MATCH($A229,연료전지_원본!$KB$4:$KB$369,0), MATCH(CX$4,연료전지_원본!$KB$4:$KX$4,0))*1000</f>
        <v>0</v>
      </c>
      <c r="CY229" s="250">
        <f>INDEX(연료전지_원본!$KB$4:$KX$369,MATCH($A229,연료전지_원본!$KB$4:$KB$369,0), MATCH(CY$4,연료전지_원본!$KB$4:$KX$4,0))*1000</f>
        <v>0</v>
      </c>
      <c r="DV229" s="30">
        <f t="shared" si="954"/>
        <v>0</v>
      </c>
    </row>
    <row r="230" spans="1:126">
      <c r="A230" s="6">
        <v>46247</v>
      </c>
      <c r="B230" s="15">
        <f>운전실적_원본!B230</f>
        <v>0</v>
      </c>
      <c r="C230" s="16" t="str">
        <f t="shared" si="960"/>
        <v/>
      </c>
      <c r="D230" s="12">
        <f>운전실적_원본!C230</f>
        <v>0</v>
      </c>
      <c r="E230" s="12" t="str">
        <f t="shared" si="961"/>
        <v/>
      </c>
      <c r="F230" s="12">
        <f>운전실적_원본!D230</f>
        <v>0</v>
      </c>
      <c r="G230" s="16" t="str">
        <f t="shared" si="962"/>
        <v/>
      </c>
      <c r="H230" s="15">
        <f>운전실적_원본!E230</f>
        <v>0</v>
      </c>
      <c r="I230" s="16" t="str">
        <f t="shared" si="963"/>
        <v/>
      </c>
      <c r="J230" s="15">
        <f>운전실적_원본!F230</f>
        <v>0</v>
      </c>
      <c r="K230" s="16" t="str">
        <f t="shared" si="963"/>
        <v/>
      </c>
      <c r="L230" s="32">
        <f>운전실적_원본!G230</f>
        <v>0</v>
      </c>
      <c r="M230" s="31" t="str">
        <f t="shared" ref="M230" si="1280">IF(OR(LEN(L230)=0,L230=0),"",L230-L229)</f>
        <v/>
      </c>
      <c r="N230" s="15">
        <f>운전실적_원본!H230</f>
        <v>0</v>
      </c>
      <c r="O230" s="16" t="str">
        <f t="shared" ref="O230" si="1281">IF(OR(LEN(N230)=0,N230=0),"",N230-N229)</f>
        <v/>
      </c>
      <c r="P230" s="15">
        <f>운전실적_원본!I230</f>
        <v>0</v>
      </c>
      <c r="Q230" s="16" t="str">
        <f t="shared" ref="Q230" si="1282">IF(OR(LEN(P230)=0,P230=0),"",P230-P229)</f>
        <v/>
      </c>
      <c r="R230" s="18">
        <f>운전실적_원본!J230</f>
        <v>0</v>
      </c>
      <c r="S230" s="19" t="str">
        <f t="shared" ref="S230" si="1283">IF(OR(LEN(R230)=0,R230=0),"",R230-R229)</f>
        <v/>
      </c>
      <c r="T230" s="18">
        <f>운전실적_원본!K230</f>
        <v>0</v>
      </c>
      <c r="U230" s="19" t="str">
        <f t="shared" si="968"/>
        <v/>
      </c>
      <c r="V230" s="12">
        <f>운전실적_원본!L230</f>
        <v>0</v>
      </c>
      <c r="W230" s="16" t="str">
        <f t="shared" ref="W230" si="1284">IF(OR(LEN(V230)=0,V230=0),"",V230-V229)</f>
        <v/>
      </c>
      <c r="X230" s="10">
        <f>운전실적_원본!M230</f>
        <v>0</v>
      </c>
      <c r="Y230" s="10">
        <f>운전실적_원본!N230</f>
        <v>0</v>
      </c>
      <c r="Z230" s="10">
        <f>운전실적_원본!O230</f>
        <v>0</v>
      </c>
      <c r="AA230" s="10">
        <f>운전실적_원본!P230</f>
        <v>0</v>
      </c>
      <c r="AB230" s="10">
        <f>운전실적_원본!Q230</f>
        <v>0</v>
      </c>
      <c r="AC230" s="20">
        <f>운전실적_원본!R230</f>
        <v>0</v>
      </c>
      <c r="AD230" s="109">
        <f>운전실적_원본!S230</f>
        <v>0</v>
      </c>
      <c r="AE230" s="110">
        <f>운전실적_원본!T230</f>
        <v>0</v>
      </c>
      <c r="AF230" s="110">
        <f>운전실적_원본!U230</f>
        <v>0</v>
      </c>
      <c r="AG230" s="110">
        <f>운전실적_원본!V230</f>
        <v>0</v>
      </c>
      <c r="AH230" s="109">
        <f t="shared" si="1122"/>
        <v>0</v>
      </c>
      <c r="AI230" s="110">
        <f t="shared" si="1129"/>
        <v>0</v>
      </c>
      <c r="AJ230" s="110">
        <f>운전실적_원본!Y230</f>
        <v>0</v>
      </c>
      <c r="AK230" s="110">
        <f>운전실적_원본!Z230</f>
        <v>0</v>
      </c>
      <c r="AL230" s="106"/>
      <c r="AM230" s="105"/>
      <c r="AN230" s="105"/>
      <c r="AO230" s="105"/>
      <c r="AP230" s="105"/>
      <c r="AQ230" s="108"/>
      <c r="AR230" s="105"/>
      <c r="AS230" s="105"/>
      <c r="AT230" s="102"/>
      <c r="AU230" s="102"/>
      <c r="AV230" s="102"/>
      <c r="AW230" s="102"/>
      <c r="AX230" s="32">
        <f>운전실적_원본!W230</f>
        <v>0</v>
      </c>
      <c r="AY230" s="11">
        <f>운전실적_원본!X230</f>
        <v>0</v>
      </c>
      <c r="AZ230" s="11">
        <f>운전실적_원본!Y230</f>
        <v>0</v>
      </c>
      <c r="BA230" s="11">
        <f>운전실적_원본!Z230</f>
        <v>0</v>
      </c>
      <c r="BB230" s="11">
        <f>운전실적_원본!AA230</f>
        <v>0</v>
      </c>
      <c r="BC230" s="11">
        <f>운전실적_원본!AB230</f>
        <v>0</v>
      </c>
      <c r="BD230" s="32" t="str">
        <f t="shared" si="1115"/>
        <v>-</v>
      </c>
      <c r="BE230" s="11" t="str">
        <f t="shared" si="1123"/>
        <v>-</v>
      </c>
      <c r="BF230" s="11">
        <f>운전실적_원본!AE230</f>
        <v>0</v>
      </c>
      <c r="BG230" s="31">
        <f t="shared" si="1116"/>
        <v>0</v>
      </c>
      <c r="BH230" s="241">
        <f>INDEX(연료전지_원본!$A$4:$KY$369,MATCH($A230,연료전지_원본!$A$4:$A$369,0),MATCH($BH$4,연료전지_원본!$A$4:$KY$4,0))</f>
        <v>0</v>
      </c>
      <c r="BI230" s="241">
        <f>INDEX(연료전지_원본!$A$4:$KY$369,MATCH($A230,연료전지_원본!$A$4:$A$369,0),MATCH($BI$4,연료전지_원본!$A$4:$KY$4,0))</f>
        <v>0</v>
      </c>
      <c r="BJ230" s="241">
        <f>INDEX(연료전지_원본!$A$4:$KY$369,MATCH($A230,연료전지_원본!$A$4:$A$369,0),MATCH($BJ$4,연료전지_원본!$A$4:$KY$4,0))</f>
        <v>0</v>
      </c>
      <c r="BK230" s="241">
        <f>INDEX(연료전지_원본!$A$4:$KY$369,MATCH($A230,연료전지_원본!$A$4:$A$369,0),MATCH($BK$4,연료전지_원본!$A$4:$KY$4,0))</f>
        <v>0</v>
      </c>
      <c r="BL230" s="241">
        <f>INDEX(연료전지_원본!$A$4:$KY$369,MATCH($A230,연료전지_원본!$A$4:$A$369,0),MATCH($BL$4,연료전지_원본!$A$4:$KY$4,0))</f>
        <v>0</v>
      </c>
      <c r="BM230" s="241">
        <f>INDEX(연료전지_원본!$A$4:$KY$369,MATCH($A230,연료전지_원본!$A$4:$A$369,0),MATCH($BM$4,연료전지_원본!$A$4:$KY$4,0))</f>
        <v>0</v>
      </c>
      <c r="BN230" s="241">
        <f>INDEX(연료전지_원본!$A$4:$KY$369,MATCH($A230,연료전지_원본!$A$4:$A$369,0),MATCH($BN$4,연료전지_원본!$A$4:$KY$4,0))</f>
        <v>0</v>
      </c>
      <c r="BO230" s="241">
        <f>INDEX(연료전지_원본!$A$4:$KY$369,MATCH($A230,연료전지_원본!$A$4:$A$369,0),MATCH($BO$4,연료전지_원본!$A$4:$KY$4,0))</f>
        <v>0</v>
      </c>
      <c r="BP230" s="241">
        <f>INDEX(연료전지_원본!$A$4:$KY$369,MATCH($A230,연료전지_원본!$A$4:$A$369,0),MATCH($BP$4,연료전지_원본!$A$4:$KY$4,0))</f>
        <v>0</v>
      </c>
      <c r="BQ230" s="241">
        <f>INDEX(연료전지_원본!$A$4:$KY$369,MATCH($A230,연료전지_원본!$A$4:$A$369,0),MATCH($BQ$4,연료전지_원본!$A$4:$KY$4,0))</f>
        <v>0</v>
      </c>
      <c r="BR230" s="241">
        <f>INDEX(연료전지_원본!$A$4:$KY$369,MATCH($A230,연료전지_원본!$A$4:$A$369,0),MATCH($BR$4,연료전지_원본!$A$4:$KY$4,0))</f>
        <v>0</v>
      </c>
      <c r="BS230" s="241">
        <f>INDEX(연료전지_원본!$A$4:$KY$369,MATCH($A230,연료전지_원본!$A$4:$A$369,0),MATCH($BS$4,연료전지_원본!$A$4:$KY$4,0))</f>
        <v>0</v>
      </c>
      <c r="BT230" s="241">
        <f>INDEX(연료전지_원본!$A$4:$KY$369,MATCH($A230,연료전지_원본!$A$4:$A$369,0),MATCH($BT$4,연료전지_원본!$A$4:$KY$4,0))</f>
        <v>0</v>
      </c>
      <c r="BU230" s="241">
        <f>INDEX(연료전지_원본!$A$4:$KY$369,MATCH($A230,연료전지_원본!$A$4:$A$369,0),MATCH($BU$4,연료전지_원본!$A$4:$KY$4,0))</f>
        <v>0</v>
      </c>
      <c r="BV230" s="241">
        <f>INDEX(연료전지_원본!$A$4:$KY$369,MATCH($A230,연료전지_원본!$A$4:$A$369,0),MATCH($BV$4,연료전지_원본!$A$4:$KY$4,0))</f>
        <v>0</v>
      </c>
      <c r="BW230" s="241">
        <f>INDEX(연료전지_원본!$A$4:$KY$369,MATCH($A230,연료전지_원본!$A$4:$A$369,0),MATCH($BW$4,연료전지_원본!$A$4:$KY$4,0))</f>
        <v>0</v>
      </c>
      <c r="BX230" s="241">
        <f>INDEX(연료전지_원본!$A$4:$KY$369,MATCH($A230,연료전지_원본!$A$4:$A$369,0),MATCH($BX$4,연료전지_원본!$A$4:$KY$4,0))</f>
        <v>0</v>
      </c>
      <c r="BY230" s="241">
        <f>INDEX(연료전지_원본!$A$4:$KY$369,MATCH($A230,연료전지_원본!$A$4:$A$369,0),MATCH($BY$4,연료전지_원본!$A$4:$KY$4,0))</f>
        <v>0</v>
      </c>
      <c r="BZ230" s="241">
        <f>INDEX(연료전지_원본!$A$4:$KY$369,MATCH($A230,연료전지_원본!$A$4:$A$369,0),MATCH($BZ$4,연료전지_원본!$A$4:$KY$4,0))</f>
        <v>0</v>
      </c>
      <c r="CA230" s="241">
        <f>INDEX(연료전지_원본!$A$4:$KY$369,MATCH($A230,연료전지_원본!$A$4:$A$369,0),MATCH($CA$4,연료전지_원본!$A$4:$KY$4,0))</f>
        <v>0</v>
      </c>
      <c r="CB230" s="241">
        <f>INDEX(연료전지_원본!$A$4:$KY$369,MATCH($A230,연료전지_원본!$A$4:$A$369,0),MATCH($CB$4,연료전지_원본!$A$4:$KY$4,0))</f>
        <v>0</v>
      </c>
      <c r="CC230" s="242">
        <f>INDEX(연료전지_원본!$A$4:$KY$369,MATCH($A230,연료전지_원본!$A$4:$A$369,0),MATCH($CC$4,연료전지_원본!$A$4:$KY$4,0))</f>
        <v>0</v>
      </c>
      <c r="CD230" s="250">
        <f>INDEX(연료전지_원본!$KB$4:$KX$369,MATCH($A230,연료전지_원본!$KB$4:$KB$369,0), MATCH(CD$4,연료전지_원본!$KB$4:$KX$4,0))*1000</f>
        <v>0</v>
      </c>
      <c r="CE230" s="250">
        <f>INDEX(연료전지_원본!$KB$4:$KX$369,MATCH($A230,연료전지_원본!$KB$4:$KB$369,0), MATCH(CE$4,연료전지_원본!$KB$4:$KX$4,0))*1000</f>
        <v>0</v>
      </c>
      <c r="CF230" s="250">
        <f>INDEX(연료전지_원본!$KB$4:$KX$369,MATCH($A230,연료전지_원본!$KB$4:$KB$369,0), MATCH(CF$4,연료전지_원본!$KB$4:$KX$4,0))*1000</f>
        <v>0</v>
      </c>
      <c r="CG230" s="250">
        <f>INDEX(연료전지_원본!$KB$4:$KX$369,MATCH($A230,연료전지_원본!$KB$4:$KB$369,0), MATCH(CG$4,연료전지_원본!$KB$4:$KX$4,0))*1000</f>
        <v>0</v>
      </c>
      <c r="CH230" s="250">
        <f>INDEX(연료전지_원본!$KB$4:$KX$369,MATCH($A230,연료전지_원본!$KB$4:$KB$369,0), MATCH(CH$4,연료전지_원본!$KB$4:$KX$4,0))*1000</f>
        <v>0</v>
      </c>
      <c r="CI230" s="250">
        <f>INDEX(연료전지_원본!$KB$4:$KX$369,MATCH($A230,연료전지_원본!$KB$4:$KB$369,0), MATCH(CI$4,연료전지_원본!$KB$4:$KX$4,0))*1000</f>
        <v>0</v>
      </c>
      <c r="CJ230" s="250">
        <f>INDEX(연료전지_원본!$KB$4:$KX$369,MATCH($A230,연료전지_원본!$KB$4:$KB$369,0), MATCH(CJ$4,연료전지_원본!$KB$4:$KX$4,0))*1000</f>
        <v>0</v>
      </c>
      <c r="CK230" s="250">
        <f>INDEX(연료전지_원본!$KB$4:$KX$369,MATCH($A230,연료전지_원본!$KB$4:$KB$369,0), MATCH(CK$4,연료전지_원본!$KB$4:$KX$4,0))*1000</f>
        <v>0</v>
      </c>
      <c r="CL230" s="250">
        <f>INDEX(연료전지_원본!$KB$4:$KX$369,MATCH($A230,연료전지_원본!$KB$4:$KB$369,0), MATCH(CL$4,연료전지_원본!$KB$4:$KX$4,0))*1000</f>
        <v>0</v>
      </c>
      <c r="CM230" s="250">
        <f>INDEX(연료전지_원본!$KB$4:$KX$369,MATCH($A230,연료전지_원본!$KB$4:$KB$369,0), MATCH(CM$4,연료전지_원본!$KB$4:$KX$4,0))*1000</f>
        <v>0</v>
      </c>
      <c r="CN230" s="250">
        <f>INDEX(연료전지_원본!$KB$4:$KX$369,MATCH($A230,연료전지_원본!$KB$4:$KB$369,0), MATCH(CN$4,연료전지_원본!$KB$4:$KX$4,0))*1000</f>
        <v>0</v>
      </c>
      <c r="CO230" s="250">
        <f>INDEX(연료전지_원본!$KB$4:$KX$369,MATCH($A230,연료전지_원본!$KB$4:$KB$369,0), MATCH(CO$4,연료전지_원본!$KB$4:$KX$4,0))*1000</f>
        <v>0</v>
      </c>
      <c r="CP230" s="250">
        <f>INDEX(연료전지_원본!$KB$4:$KX$369,MATCH($A230,연료전지_원본!$KB$4:$KB$369,0), MATCH(CP$4,연료전지_원본!$KB$4:$KX$4,0))*1000</f>
        <v>0</v>
      </c>
      <c r="CQ230" s="250">
        <f>INDEX(연료전지_원본!$KB$4:$KX$369,MATCH($A230,연료전지_원본!$KB$4:$KB$369,0), MATCH(CQ$4,연료전지_원본!$KB$4:$KX$4,0))*1000</f>
        <v>0</v>
      </c>
      <c r="CR230" s="250">
        <f>INDEX(연료전지_원본!$KB$4:$KX$369,MATCH($A230,연료전지_원본!$KB$4:$KB$369,0), MATCH(CR$4,연료전지_원본!$KB$4:$KX$4,0))*1000</f>
        <v>0</v>
      </c>
      <c r="CS230" s="250">
        <f>INDEX(연료전지_원본!$KB$4:$KX$369,MATCH($A230,연료전지_원본!$KB$4:$KB$369,0), MATCH(CS$4,연료전지_원본!$KB$4:$KX$4,0))*1000</f>
        <v>0</v>
      </c>
      <c r="CT230" s="250">
        <f>INDEX(연료전지_원본!$KB$4:$KX$369,MATCH($A230,연료전지_원본!$KB$4:$KB$369,0), MATCH(CT$4,연료전지_원본!$KB$4:$KX$4,0))*1000</f>
        <v>0</v>
      </c>
      <c r="CU230" s="250">
        <f>INDEX(연료전지_원본!$KB$4:$KX$369,MATCH($A230,연료전지_원본!$KB$4:$KB$369,0), MATCH(CU$4,연료전지_원본!$KB$4:$KX$4,0))*1000</f>
        <v>0</v>
      </c>
      <c r="CV230" s="250">
        <f>INDEX(연료전지_원본!$KB$4:$KX$369,MATCH($A230,연료전지_원본!$KB$4:$KB$369,0), MATCH(CV$4,연료전지_원본!$KB$4:$KX$4,0))*1000</f>
        <v>0</v>
      </c>
      <c r="CW230" s="250">
        <f>INDEX(연료전지_원본!$KB$4:$KX$369,MATCH($A230,연료전지_원본!$KB$4:$KB$369,0), MATCH(CW$4,연료전지_원본!$KB$4:$KX$4,0))*1000</f>
        <v>0</v>
      </c>
      <c r="CX230" s="250">
        <f>INDEX(연료전지_원본!$KB$4:$KX$369,MATCH($A230,연료전지_원본!$KB$4:$KB$369,0), MATCH(CX$4,연료전지_원본!$KB$4:$KX$4,0))*1000</f>
        <v>0</v>
      </c>
      <c r="CY230" s="250">
        <f>INDEX(연료전지_원본!$KB$4:$KX$369,MATCH($A230,연료전지_원본!$KB$4:$KB$369,0), MATCH(CY$4,연료전지_원본!$KB$4:$KX$4,0))*1000</f>
        <v>0</v>
      </c>
      <c r="DV230" s="30">
        <f t="shared" ref="DV230:DV293" si="1285">SUM(CZ230:DU230)</f>
        <v>0</v>
      </c>
    </row>
    <row r="231" spans="1:126">
      <c r="A231" s="6">
        <v>46248</v>
      </c>
      <c r="B231" s="15">
        <f>운전실적_원본!B231</f>
        <v>0</v>
      </c>
      <c r="C231" s="16" t="str">
        <f t="shared" si="960"/>
        <v/>
      </c>
      <c r="D231" s="12">
        <f>운전실적_원본!C231</f>
        <v>0</v>
      </c>
      <c r="E231" s="12" t="str">
        <f t="shared" si="961"/>
        <v/>
      </c>
      <c r="F231" s="12">
        <f>운전실적_원본!D231</f>
        <v>0</v>
      </c>
      <c r="G231" s="16" t="str">
        <f t="shared" si="962"/>
        <v/>
      </c>
      <c r="H231" s="15">
        <f>운전실적_원본!E231</f>
        <v>0</v>
      </c>
      <c r="I231" s="16" t="str">
        <f t="shared" si="963"/>
        <v/>
      </c>
      <c r="J231" s="15">
        <f>운전실적_원본!F231</f>
        <v>0</v>
      </c>
      <c r="K231" s="16" t="str">
        <f t="shared" si="963"/>
        <v/>
      </c>
      <c r="L231" s="32">
        <f>운전실적_원본!G231</f>
        <v>0</v>
      </c>
      <c r="M231" s="31" t="str">
        <f t="shared" ref="M231" si="1286">IF(OR(LEN(L231)=0,L231=0),"",L231-L230)</f>
        <v/>
      </c>
      <c r="N231" s="15">
        <f>운전실적_원본!H231</f>
        <v>0</v>
      </c>
      <c r="O231" s="16" t="str">
        <f t="shared" ref="O231" si="1287">IF(OR(LEN(N231)=0,N231=0),"",N231-N230)</f>
        <v/>
      </c>
      <c r="P231" s="15">
        <f>운전실적_원본!I231</f>
        <v>0</v>
      </c>
      <c r="Q231" s="16" t="str">
        <f t="shared" ref="Q231" si="1288">IF(OR(LEN(P231)=0,P231=0),"",P231-P230)</f>
        <v/>
      </c>
      <c r="R231" s="18">
        <f>운전실적_원본!J231</f>
        <v>0</v>
      </c>
      <c r="S231" s="19" t="str">
        <f t="shared" ref="S231" si="1289">IF(OR(LEN(R231)=0,R231=0),"",R231-R230)</f>
        <v/>
      </c>
      <c r="T231" s="18">
        <f>운전실적_원본!K231</f>
        <v>0</v>
      </c>
      <c r="U231" s="19" t="str">
        <f t="shared" si="968"/>
        <v/>
      </c>
      <c r="V231" s="12">
        <f>운전실적_원본!L231</f>
        <v>0</v>
      </c>
      <c r="W231" s="16" t="str">
        <f t="shared" ref="W231" si="1290">IF(OR(LEN(V231)=0,V231=0),"",V231-V230)</f>
        <v/>
      </c>
      <c r="X231" s="10">
        <f>운전실적_원본!M231</f>
        <v>0</v>
      </c>
      <c r="Y231" s="10">
        <f>운전실적_원본!N231</f>
        <v>0</v>
      </c>
      <c r="Z231" s="10">
        <f>운전실적_원본!O231</f>
        <v>0</v>
      </c>
      <c r="AA231" s="10">
        <f>운전실적_원본!P231</f>
        <v>0</v>
      </c>
      <c r="AB231" s="10">
        <f>운전실적_원본!Q231</f>
        <v>0</v>
      </c>
      <c r="AC231" s="20">
        <f>운전실적_원본!R231</f>
        <v>0</v>
      </c>
      <c r="AD231" s="109">
        <f>운전실적_원본!S231</f>
        <v>0</v>
      </c>
      <c r="AE231" s="110">
        <f>운전실적_원본!T231</f>
        <v>0</v>
      </c>
      <c r="AF231" s="110">
        <f>운전실적_원본!U231</f>
        <v>0</v>
      </c>
      <c r="AG231" s="110">
        <f>운전실적_원본!V231</f>
        <v>0</v>
      </c>
      <c r="AH231" s="109">
        <f t="shared" si="1122"/>
        <v>0</v>
      </c>
      <c r="AI231" s="110">
        <f t="shared" si="1129"/>
        <v>0</v>
      </c>
      <c r="AJ231" s="110">
        <f>운전실적_원본!Y231</f>
        <v>0</v>
      </c>
      <c r="AK231" s="110">
        <f>운전실적_원본!Z231</f>
        <v>0</v>
      </c>
      <c r="AL231" s="106"/>
      <c r="AM231" s="105"/>
      <c r="AN231" s="105"/>
      <c r="AO231" s="105"/>
      <c r="AP231" s="105"/>
      <c r="AQ231" s="108"/>
      <c r="AR231" s="105"/>
      <c r="AS231" s="105"/>
      <c r="AT231" s="102"/>
      <c r="AU231" s="102"/>
      <c r="AV231" s="102"/>
      <c r="AW231" s="102"/>
      <c r="AX231" s="32">
        <f>운전실적_원본!W231</f>
        <v>0</v>
      </c>
      <c r="AY231" s="11">
        <f>운전실적_원본!X231</f>
        <v>0</v>
      </c>
      <c r="AZ231" s="11">
        <f>운전실적_원본!Y231</f>
        <v>0</v>
      </c>
      <c r="BA231" s="11">
        <f>운전실적_원본!Z231</f>
        <v>0</v>
      </c>
      <c r="BB231" s="11">
        <f>운전실적_원본!AA231</f>
        <v>0</v>
      </c>
      <c r="BC231" s="11">
        <f>운전실적_원본!AB231</f>
        <v>0</v>
      </c>
      <c r="BD231" s="32" t="str">
        <f t="shared" si="1115"/>
        <v>-</v>
      </c>
      <c r="BE231" s="11" t="str">
        <f t="shared" si="1123"/>
        <v>-</v>
      </c>
      <c r="BF231" s="11">
        <f>운전실적_원본!AE231</f>
        <v>0</v>
      </c>
      <c r="BG231" s="31">
        <f t="shared" si="1116"/>
        <v>0</v>
      </c>
      <c r="BH231" s="241">
        <f>INDEX(연료전지_원본!$A$4:$KY$369,MATCH($A231,연료전지_원본!$A$4:$A$369,0),MATCH($BH$4,연료전지_원본!$A$4:$KY$4,0))</f>
        <v>0</v>
      </c>
      <c r="BI231" s="241">
        <f>INDEX(연료전지_원본!$A$4:$KY$369,MATCH($A231,연료전지_원본!$A$4:$A$369,0),MATCH($BI$4,연료전지_원본!$A$4:$KY$4,0))</f>
        <v>0</v>
      </c>
      <c r="BJ231" s="241">
        <f>INDEX(연료전지_원본!$A$4:$KY$369,MATCH($A231,연료전지_원본!$A$4:$A$369,0),MATCH($BJ$4,연료전지_원본!$A$4:$KY$4,0))</f>
        <v>0</v>
      </c>
      <c r="BK231" s="241">
        <f>INDEX(연료전지_원본!$A$4:$KY$369,MATCH($A231,연료전지_원본!$A$4:$A$369,0),MATCH($BK$4,연료전지_원본!$A$4:$KY$4,0))</f>
        <v>0</v>
      </c>
      <c r="BL231" s="241">
        <f>INDEX(연료전지_원본!$A$4:$KY$369,MATCH($A231,연료전지_원본!$A$4:$A$369,0),MATCH($BL$4,연료전지_원본!$A$4:$KY$4,0))</f>
        <v>0</v>
      </c>
      <c r="BM231" s="241">
        <f>INDEX(연료전지_원본!$A$4:$KY$369,MATCH($A231,연료전지_원본!$A$4:$A$369,0),MATCH($BM$4,연료전지_원본!$A$4:$KY$4,0))</f>
        <v>0</v>
      </c>
      <c r="BN231" s="241">
        <f>INDEX(연료전지_원본!$A$4:$KY$369,MATCH($A231,연료전지_원본!$A$4:$A$369,0),MATCH($BN$4,연료전지_원본!$A$4:$KY$4,0))</f>
        <v>0</v>
      </c>
      <c r="BO231" s="241">
        <f>INDEX(연료전지_원본!$A$4:$KY$369,MATCH($A231,연료전지_원본!$A$4:$A$369,0),MATCH($BO$4,연료전지_원본!$A$4:$KY$4,0))</f>
        <v>0</v>
      </c>
      <c r="BP231" s="241">
        <f>INDEX(연료전지_원본!$A$4:$KY$369,MATCH($A231,연료전지_원본!$A$4:$A$369,0),MATCH($BP$4,연료전지_원본!$A$4:$KY$4,0))</f>
        <v>0</v>
      </c>
      <c r="BQ231" s="241">
        <f>INDEX(연료전지_원본!$A$4:$KY$369,MATCH($A231,연료전지_원본!$A$4:$A$369,0),MATCH($BQ$4,연료전지_원본!$A$4:$KY$4,0))</f>
        <v>0</v>
      </c>
      <c r="BR231" s="241">
        <f>INDEX(연료전지_원본!$A$4:$KY$369,MATCH($A231,연료전지_원본!$A$4:$A$369,0),MATCH($BR$4,연료전지_원본!$A$4:$KY$4,0))</f>
        <v>0</v>
      </c>
      <c r="BS231" s="241">
        <f>INDEX(연료전지_원본!$A$4:$KY$369,MATCH($A231,연료전지_원본!$A$4:$A$369,0),MATCH($BS$4,연료전지_원본!$A$4:$KY$4,0))</f>
        <v>0</v>
      </c>
      <c r="BT231" s="241">
        <f>INDEX(연료전지_원본!$A$4:$KY$369,MATCH($A231,연료전지_원본!$A$4:$A$369,0),MATCH($BT$4,연료전지_원본!$A$4:$KY$4,0))</f>
        <v>0</v>
      </c>
      <c r="BU231" s="241">
        <f>INDEX(연료전지_원본!$A$4:$KY$369,MATCH($A231,연료전지_원본!$A$4:$A$369,0),MATCH($BU$4,연료전지_원본!$A$4:$KY$4,0))</f>
        <v>0</v>
      </c>
      <c r="BV231" s="241">
        <f>INDEX(연료전지_원본!$A$4:$KY$369,MATCH($A231,연료전지_원본!$A$4:$A$369,0),MATCH($BV$4,연료전지_원본!$A$4:$KY$4,0))</f>
        <v>0</v>
      </c>
      <c r="BW231" s="241">
        <f>INDEX(연료전지_원본!$A$4:$KY$369,MATCH($A231,연료전지_원본!$A$4:$A$369,0),MATCH($BW$4,연료전지_원본!$A$4:$KY$4,0))</f>
        <v>0</v>
      </c>
      <c r="BX231" s="241">
        <f>INDEX(연료전지_원본!$A$4:$KY$369,MATCH($A231,연료전지_원본!$A$4:$A$369,0),MATCH($BX$4,연료전지_원본!$A$4:$KY$4,0))</f>
        <v>0</v>
      </c>
      <c r="BY231" s="241">
        <f>INDEX(연료전지_원본!$A$4:$KY$369,MATCH($A231,연료전지_원본!$A$4:$A$369,0),MATCH($BY$4,연료전지_원본!$A$4:$KY$4,0))</f>
        <v>0</v>
      </c>
      <c r="BZ231" s="241">
        <f>INDEX(연료전지_원본!$A$4:$KY$369,MATCH($A231,연료전지_원본!$A$4:$A$369,0),MATCH($BZ$4,연료전지_원본!$A$4:$KY$4,0))</f>
        <v>0</v>
      </c>
      <c r="CA231" s="241">
        <f>INDEX(연료전지_원본!$A$4:$KY$369,MATCH($A231,연료전지_원본!$A$4:$A$369,0),MATCH($CA$4,연료전지_원본!$A$4:$KY$4,0))</f>
        <v>0</v>
      </c>
      <c r="CB231" s="241">
        <f>INDEX(연료전지_원본!$A$4:$KY$369,MATCH($A231,연료전지_원본!$A$4:$A$369,0),MATCH($CB$4,연료전지_원본!$A$4:$KY$4,0))</f>
        <v>0</v>
      </c>
      <c r="CC231" s="242">
        <f>INDEX(연료전지_원본!$A$4:$KY$369,MATCH($A231,연료전지_원본!$A$4:$A$369,0),MATCH($CC$4,연료전지_원본!$A$4:$KY$4,0))</f>
        <v>0</v>
      </c>
      <c r="CD231" s="250">
        <f>INDEX(연료전지_원본!$KB$4:$KX$369,MATCH($A231,연료전지_원본!$KB$4:$KB$369,0), MATCH(CD$4,연료전지_원본!$KB$4:$KX$4,0))*1000</f>
        <v>0</v>
      </c>
      <c r="CE231" s="250">
        <f>INDEX(연료전지_원본!$KB$4:$KX$369,MATCH($A231,연료전지_원본!$KB$4:$KB$369,0), MATCH(CE$4,연료전지_원본!$KB$4:$KX$4,0))*1000</f>
        <v>0</v>
      </c>
      <c r="CF231" s="250">
        <f>INDEX(연료전지_원본!$KB$4:$KX$369,MATCH($A231,연료전지_원본!$KB$4:$KB$369,0), MATCH(CF$4,연료전지_원본!$KB$4:$KX$4,0))*1000</f>
        <v>0</v>
      </c>
      <c r="CG231" s="250">
        <f>INDEX(연료전지_원본!$KB$4:$KX$369,MATCH($A231,연료전지_원본!$KB$4:$KB$369,0), MATCH(CG$4,연료전지_원본!$KB$4:$KX$4,0))*1000</f>
        <v>0</v>
      </c>
      <c r="CH231" s="250">
        <f>INDEX(연료전지_원본!$KB$4:$KX$369,MATCH($A231,연료전지_원본!$KB$4:$KB$369,0), MATCH(CH$4,연료전지_원본!$KB$4:$KX$4,0))*1000</f>
        <v>0</v>
      </c>
      <c r="CI231" s="250">
        <f>INDEX(연료전지_원본!$KB$4:$KX$369,MATCH($A231,연료전지_원본!$KB$4:$KB$369,0), MATCH(CI$4,연료전지_원본!$KB$4:$KX$4,0))*1000</f>
        <v>0</v>
      </c>
      <c r="CJ231" s="250">
        <f>INDEX(연료전지_원본!$KB$4:$KX$369,MATCH($A231,연료전지_원본!$KB$4:$KB$369,0), MATCH(CJ$4,연료전지_원본!$KB$4:$KX$4,0))*1000</f>
        <v>0</v>
      </c>
      <c r="CK231" s="250">
        <f>INDEX(연료전지_원본!$KB$4:$KX$369,MATCH($A231,연료전지_원본!$KB$4:$KB$369,0), MATCH(CK$4,연료전지_원본!$KB$4:$KX$4,0))*1000</f>
        <v>0</v>
      </c>
      <c r="CL231" s="250">
        <f>INDEX(연료전지_원본!$KB$4:$KX$369,MATCH($A231,연료전지_원본!$KB$4:$KB$369,0), MATCH(CL$4,연료전지_원본!$KB$4:$KX$4,0))*1000</f>
        <v>0</v>
      </c>
      <c r="CM231" s="250">
        <f>INDEX(연료전지_원본!$KB$4:$KX$369,MATCH($A231,연료전지_원본!$KB$4:$KB$369,0), MATCH(CM$4,연료전지_원본!$KB$4:$KX$4,0))*1000</f>
        <v>0</v>
      </c>
      <c r="CN231" s="250">
        <f>INDEX(연료전지_원본!$KB$4:$KX$369,MATCH($A231,연료전지_원본!$KB$4:$KB$369,0), MATCH(CN$4,연료전지_원본!$KB$4:$KX$4,0))*1000</f>
        <v>0</v>
      </c>
      <c r="CO231" s="250">
        <f>INDEX(연료전지_원본!$KB$4:$KX$369,MATCH($A231,연료전지_원본!$KB$4:$KB$369,0), MATCH(CO$4,연료전지_원본!$KB$4:$KX$4,0))*1000</f>
        <v>0</v>
      </c>
      <c r="CP231" s="250">
        <f>INDEX(연료전지_원본!$KB$4:$KX$369,MATCH($A231,연료전지_원본!$KB$4:$KB$369,0), MATCH(CP$4,연료전지_원본!$KB$4:$KX$4,0))*1000</f>
        <v>0</v>
      </c>
      <c r="CQ231" s="250">
        <f>INDEX(연료전지_원본!$KB$4:$KX$369,MATCH($A231,연료전지_원본!$KB$4:$KB$369,0), MATCH(CQ$4,연료전지_원본!$KB$4:$KX$4,0))*1000</f>
        <v>0</v>
      </c>
      <c r="CR231" s="250">
        <f>INDEX(연료전지_원본!$KB$4:$KX$369,MATCH($A231,연료전지_원본!$KB$4:$KB$369,0), MATCH(CR$4,연료전지_원본!$KB$4:$KX$4,0))*1000</f>
        <v>0</v>
      </c>
      <c r="CS231" s="250">
        <f>INDEX(연료전지_원본!$KB$4:$KX$369,MATCH($A231,연료전지_원본!$KB$4:$KB$369,0), MATCH(CS$4,연료전지_원본!$KB$4:$KX$4,0))*1000</f>
        <v>0</v>
      </c>
      <c r="CT231" s="250">
        <f>INDEX(연료전지_원본!$KB$4:$KX$369,MATCH($A231,연료전지_원본!$KB$4:$KB$369,0), MATCH(CT$4,연료전지_원본!$KB$4:$KX$4,0))*1000</f>
        <v>0</v>
      </c>
      <c r="CU231" s="250">
        <f>INDEX(연료전지_원본!$KB$4:$KX$369,MATCH($A231,연료전지_원본!$KB$4:$KB$369,0), MATCH(CU$4,연료전지_원본!$KB$4:$KX$4,0))*1000</f>
        <v>0</v>
      </c>
      <c r="CV231" s="250">
        <f>INDEX(연료전지_원본!$KB$4:$KX$369,MATCH($A231,연료전지_원본!$KB$4:$KB$369,0), MATCH(CV$4,연료전지_원본!$KB$4:$KX$4,0))*1000</f>
        <v>0</v>
      </c>
      <c r="CW231" s="250">
        <f>INDEX(연료전지_원본!$KB$4:$KX$369,MATCH($A231,연료전지_원본!$KB$4:$KB$369,0), MATCH(CW$4,연료전지_원본!$KB$4:$KX$4,0))*1000</f>
        <v>0</v>
      </c>
      <c r="CX231" s="250">
        <f>INDEX(연료전지_원본!$KB$4:$KX$369,MATCH($A231,연료전지_원본!$KB$4:$KB$369,0), MATCH(CX$4,연료전지_원본!$KB$4:$KX$4,0))*1000</f>
        <v>0</v>
      </c>
      <c r="CY231" s="250">
        <f>INDEX(연료전지_원본!$KB$4:$KX$369,MATCH($A231,연료전지_원본!$KB$4:$KB$369,0), MATCH(CY$4,연료전지_원본!$KB$4:$KX$4,0))*1000</f>
        <v>0</v>
      </c>
      <c r="DV231" s="30">
        <f t="shared" si="1285"/>
        <v>0</v>
      </c>
    </row>
    <row r="232" spans="1:126">
      <c r="A232" s="6">
        <v>46249</v>
      </c>
      <c r="B232" s="15">
        <f>운전실적_원본!B232</f>
        <v>0</v>
      </c>
      <c r="C232" s="16" t="str">
        <f t="shared" ref="C232:C295" si="1291">IF(OR(LEN(B232)=0,B232=0),"",B232-B231)</f>
        <v/>
      </c>
      <c r="D232" s="12">
        <f>운전실적_원본!C232</f>
        <v>0</v>
      </c>
      <c r="E232" s="12" t="str">
        <f t="shared" ref="E232:E295" si="1292">IF(OR(LEN(D232)=0,D232=0),"",D232-D231)</f>
        <v/>
      </c>
      <c r="F232" s="12">
        <f>운전실적_원본!D232</f>
        <v>0</v>
      </c>
      <c r="G232" s="16" t="str">
        <f t="shared" ref="G232:G295" si="1293">IF(OR(LEN(F232)=0,F232=0),"",F232-F231)</f>
        <v/>
      </c>
      <c r="H232" s="15">
        <f>운전실적_원본!E232</f>
        <v>0</v>
      </c>
      <c r="I232" s="16" t="str">
        <f t="shared" ref="I232:K295" si="1294">IF(OR(LEN(H232)=0,H232=0),"",H232-H231)</f>
        <v/>
      </c>
      <c r="J232" s="15">
        <f>운전실적_원본!F232</f>
        <v>0</v>
      </c>
      <c r="K232" s="16" t="str">
        <f t="shared" si="1294"/>
        <v/>
      </c>
      <c r="L232" s="32">
        <f>운전실적_원본!G232</f>
        <v>0</v>
      </c>
      <c r="M232" s="31" t="str">
        <f t="shared" ref="M232" si="1295">IF(OR(LEN(L232)=0,L232=0),"",L232-L231)</f>
        <v/>
      </c>
      <c r="N232" s="15">
        <f>운전실적_원본!H232</f>
        <v>0</v>
      </c>
      <c r="O232" s="16" t="str">
        <f t="shared" ref="O232" si="1296">IF(OR(LEN(N232)=0,N232=0),"",N232-N231)</f>
        <v/>
      </c>
      <c r="P232" s="15">
        <f>운전실적_원본!I232</f>
        <v>0</v>
      </c>
      <c r="Q232" s="16" t="str">
        <f t="shared" ref="Q232" si="1297">IF(OR(LEN(P232)=0,P232=0),"",P232-P231)</f>
        <v/>
      </c>
      <c r="R232" s="18">
        <f>운전실적_원본!J232</f>
        <v>0</v>
      </c>
      <c r="S232" s="19" t="str">
        <f t="shared" ref="S232" si="1298">IF(OR(LEN(R232)=0,R232=0),"",R232-R231)</f>
        <v/>
      </c>
      <c r="T232" s="18">
        <f>운전실적_원본!K232</f>
        <v>0</v>
      </c>
      <c r="U232" s="19" t="str">
        <f t="shared" ref="U232:U295" si="1299">IF(OR(LEN(T232)=0,T232=0),"",T232-T231)</f>
        <v/>
      </c>
      <c r="V232" s="12">
        <f>운전실적_원본!L232</f>
        <v>0</v>
      </c>
      <c r="W232" s="16" t="str">
        <f t="shared" ref="W232" si="1300">IF(OR(LEN(V232)=0,V232=0),"",V232-V231)</f>
        <v/>
      </c>
      <c r="X232" s="10">
        <f>운전실적_원본!M232</f>
        <v>0</v>
      </c>
      <c r="Y232" s="10">
        <f>운전실적_원본!N232</f>
        <v>0</v>
      </c>
      <c r="Z232" s="10">
        <f>운전실적_원본!O232</f>
        <v>0</v>
      </c>
      <c r="AA232" s="10">
        <f>운전실적_원본!P232</f>
        <v>0</v>
      </c>
      <c r="AB232" s="10">
        <f>운전실적_원본!Q232</f>
        <v>0</v>
      </c>
      <c r="AC232" s="20">
        <f>운전실적_원본!R232</f>
        <v>0</v>
      </c>
      <c r="AD232" s="109">
        <f>운전실적_원본!S232</f>
        <v>0</v>
      </c>
      <c r="AE232" s="110">
        <f>운전실적_원본!T232</f>
        <v>0</v>
      </c>
      <c r="AF232" s="110">
        <f>운전실적_원본!U232</f>
        <v>0</v>
      </c>
      <c r="AG232" s="110">
        <f>운전실적_원본!V232</f>
        <v>0</v>
      </c>
      <c r="AH232" s="109">
        <f t="shared" si="1122"/>
        <v>0</v>
      </c>
      <c r="AI232" s="110">
        <f t="shared" si="1129"/>
        <v>0</v>
      </c>
      <c r="AJ232" s="110">
        <f>운전실적_원본!Y232</f>
        <v>0</v>
      </c>
      <c r="AK232" s="110">
        <f>운전실적_원본!Z232</f>
        <v>0</v>
      </c>
      <c r="AL232" s="106"/>
      <c r="AM232" s="105"/>
      <c r="AN232" s="105"/>
      <c r="AO232" s="105"/>
      <c r="AP232" s="105"/>
      <c r="AQ232" s="108"/>
      <c r="AR232" s="105"/>
      <c r="AS232" s="105"/>
      <c r="AT232" s="102"/>
      <c r="AU232" s="102"/>
      <c r="AV232" s="102"/>
      <c r="AW232" s="102"/>
      <c r="AX232" s="32">
        <f>운전실적_원본!W232</f>
        <v>0</v>
      </c>
      <c r="AY232" s="11">
        <f>운전실적_원본!X232</f>
        <v>0</v>
      </c>
      <c r="AZ232" s="11">
        <f>운전실적_원본!Y232</f>
        <v>0</v>
      </c>
      <c r="BA232" s="11">
        <f>운전실적_원본!Z232</f>
        <v>0</v>
      </c>
      <c r="BB232" s="11">
        <f>운전실적_원본!AA232</f>
        <v>0</v>
      </c>
      <c r="BC232" s="11">
        <f>운전실적_원본!AB232</f>
        <v>0</v>
      </c>
      <c r="BD232" s="32" t="str">
        <f t="shared" si="1115"/>
        <v>-</v>
      </c>
      <c r="BE232" s="11" t="str">
        <f t="shared" si="1123"/>
        <v>-</v>
      </c>
      <c r="BF232" s="11">
        <f>운전실적_원본!AE232</f>
        <v>0</v>
      </c>
      <c r="BG232" s="31">
        <f t="shared" si="1116"/>
        <v>0</v>
      </c>
      <c r="BH232" s="241">
        <f>INDEX(연료전지_원본!$A$4:$KY$369,MATCH($A232,연료전지_원본!$A$4:$A$369,0),MATCH($BH$4,연료전지_원본!$A$4:$KY$4,0))</f>
        <v>0</v>
      </c>
      <c r="BI232" s="241">
        <f>INDEX(연료전지_원본!$A$4:$KY$369,MATCH($A232,연료전지_원본!$A$4:$A$369,0),MATCH($BI$4,연료전지_원본!$A$4:$KY$4,0))</f>
        <v>0</v>
      </c>
      <c r="BJ232" s="241">
        <f>INDEX(연료전지_원본!$A$4:$KY$369,MATCH($A232,연료전지_원본!$A$4:$A$369,0),MATCH($BJ$4,연료전지_원본!$A$4:$KY$4,0))</f>
        <v>0</v>
      </c>
      <c r="BK232" s="241">
        <f>INDEX(연료전지_원본!$A$4:$KY$369,MATCH($A232,연료전지_원본!$A$4:$A$369,0),MATCH($BK$4,연료전지_원본!$A$4:$KY$4,0))</f>
        <v>0</v>
      </c>
      <c r="BL232" s="241">
        <f>INDEX(연료전지_원본!$A$4:$KY$369,MATCH($A232,연료전지_원본!$A$4:$A$369,0),MATCH($BL$4,연료전지_원본!$A$4:$KY$4,0))</f>
        <v>0</v>
      </c>
      <c r="BM232" s="241">
        <f>INDEX(연료전지_원본!$A$4:$KY$369,MATCH($A232,연료전지_원본!$A$4:$A$369,0),MATCH($BM$4,연료전지_원본!$A$4:$KY$4,0))</f>
        <v>0</v>
      </c>
      <c r="BN232" s="241">
        <f>INDEX(연료전지_원본!$A$4:$KY$369,MATCH($A232,연료전지_원본!$A$4:$A$369,0),MATCH($BN$4,연료전지_원본!$A$4:$KY$4,0))</f>
        <v>0</v>
      </c>
      <c r="BO232" s="241">
        <f>INDEX(연료전지_원본!$A$4:$KY$369,MATCH($A232,연료전지_원본!$A$4:$A$369,0),MATCH($BO$4,연료전지_원본!$A$4:$KY$4,0))</f>
        <v>0</v>
      </c>
      <c r="BP232" s="241">
        <f>INDEX(연료전지_원본!$A$4:$KY$369,MATCH($A232,연료전지_원본!$A$4:$A$369,0),MATCH($BP$4,연료전지_원본!$A$4:$KY$4,0))</f>
        <v>0</v>
      </c>
      <c r="BQ232" s="241">
        <f>INDEX(연료전지_원본!$A$4:$KY$369,MATCH($A232,연료전지_원본!$A$4:$A$369,0),MATCH($BQ$4,연료전지_원본!$A$4:$KY$4,0))</f>
        <v>0</v>
      </c>
      <c r="BR232" s="241">
        <f>INDEX(연료전지_원본!$A$4:$KY$369,MATCH($A232,연료전지_원본!$A$4:$A$369,0),MATCH($BR$4,연료전지_원본!$A$4:$KY$4,0))</f>
        <v>0</v>
      </c>
      <c r="BS232" s="241">
        <f>INDEX(연료전지_원본!$A$4:$KY$369,MATCH($A232,연료전지_원본!$A$4:$A$369,0),MATCH($BS$4,연료전지_원본!$A$4:$KY$4,0))</f>
        <v>0</v>
      </c>
      <c r="BT232" s="241">
        <f>INDEX(연료전지_원본!$A$4:$KY$369,MATCH($A232,연료전지_원본!$A$4:$A$369,0),MATCH($BT$4,연료전지_원본!$A$4:$KY$4,0))</f>
        <v>0</v>
      </c>
      <c r="BU232" s="241">
        <f>INDEX(연료전지_원본!$A$4:$KY$369,MATCH($A232,연료전지_원본!$A$4:$A$369,0),MATCH($BU$4,연료전지_원본!$A$4:$KY$4,0))</f>
        <v>0</v>
      </c>
      <c r="BV232" s="241">
        <f>INDEX(연료전지_원본!$A$4:$KY$369,MATCH($A232,연료전지_원본!$A$4:$A$369,0),MATCH($BV$4,연료전지_원본!$A$4:$KY$4,0))</f>
        <v>0</v>
      </c>
      <c r="BW232" s="241">
        <f>INDEX(연료전지_원본!$A$4:$KY$369,MATCH($A232,연료전지_원본!$A$4:$A$369,0),MATCH($BW$4,연료전지_원본!$A$4:$KY$4,0))</f>
        <v>0</v>
      </c>
      <c r="BX232" s="241">
        <f>INDEX(연료전지_원본!$A$4:$KY$369,MATCH($A232,연료전지_원본!$A$4:$A$369,0),MATCH($BX$4,연료전지_원본!$A$4:$KY$4,0))</f>
        <v>0</v>
      </c>
      <c r="BY232" s="241">
        <f>INDEX(연료전지_원본!$A$4:$KY$369,MATCH($A232,연료전지_원본!$A$4:$A$369,0),MATCH($BY$4,연료전지_원본!$A$4:$KY$4,0))</f>
        <v>0</v>
      </c>
      <c r="BZ232" s="241">
        <f>INDEX(연료전지_원본!$A$4:$KY$369,MATCH($A232,연료전지_원본!$A$4:$A$369,0),MATCH($BZ$4,연료전지_원본!$A$4:$KY$4,0))</f>
        <v>0</v>
      </c>
      <c r="CA232" s="241">
        <f>INDEX(연료전지_원본!$A$4:$KY$369,MATCH($A232,연료전지_원본!$A$4:$A$369,0),MATCH($CA$4,연료전지_원본!$A$4:$KY$4,0))</f>
        <v>0</v>
      </c>
      <c r="CB232" s="241">
        <f>INDEX(연료전지_원본!$A$4:$KY$369,MATCH($A232,연료전지_원본!$A$4:$A$369,0),MATCH($CB$4,연료전지_원본!$A$4:$KY$4,0))</f>
        <v>0</v>
      </c>
      <c r="CC232" s="242">
        <f>INDEX(연료전지_원본!$A$4:$KY$369,MATCH($A232,연료전지_원본!$A$4:$A$369,0),MATCH($CC$4,연료전지_원본!$A$4:$KY$4,0))</f>
        <v>0</v>
      </c>
      <c r="CD232" s="250">
        <f>INDEX(연료전지_원본!$KB$4:$KX$369,MATCH($A232,연료전지_원본!$KB$4:$KB$369,0), MATCH(CD$4,연료전지_원본!$KB$4:$KX$4,0))*1000</f>
        <v>0</v>
      </c>
      <c r="CE232" s="250">
        <f>INDEX(연료전지_원본!$KB$4:$KX$369,MATCH($A232,연료전지_원본!$KB$4:$KB$369,0), MATCH(CE$4,연료전지_원본!$KB$4:$KX$4,0))*1000</f>
        <v>0</v>
      </c>
      <c r="CF232" s="250">
        <f>INDEX(연료전지_원본!$KB$4:$KX$369,MATCH($A232,연료전지_원본!$KB$4:$KB$369,0), MATCH(CF$4,연료전지_원본!$KB$4:$KX$4,0))*1000</f>
        <v>0</v>
      </c>
      <c r="CG232" s="250">
        <f>INDEX(연료전지_원본!$KB$4:$KX$369,MATCH($A232,연료전지_원본!$KB$4:$KB$369,0), MATCH(CG$4,연료전지_원본!$KB$4:$KX$4,0))*1000</f>
        <v>0</v>
      </c>
      <c r="CH232" s="250">
        <f>INDEX(연료전지_원본!$KB$4:$KX$369,MATCH($A232,연료전지_원본!$KB$4:$KB$369,0), MATCH(CH$4,연료전지_원본!$KB$4:$KX$4,0))*1000</f>
        <v>0</v>
      </c>
      <c r="CI232" s="250">
        <f>INDEX(연료전지_원본!$KB$4:$KX$369,MATCH($A232,연료전지_원본!$KB$4:$KB$369,0), MATCH(CI$4,연료전지_원본!$KB$4:$KX$4,0))*1000</f>
        <v>0</v>
      </c>
      <c r="CJ232" s="250">
        <f>INDEX(연료전지_원본!$KB$4:$KX$369,MATCH($A232,연료전지_원본!$KB$4:$KB$369,0), MATCH(CJ$4,연료전지_원본!$KB$4:$KX$4,0))*1000</f>
        <v>0</v>
      </c>
      <c r="CK232" s="250">
        <f>INDEX(연료전지_원본!$KB$4:$KX$369,MATCH($A232,연료전지_원본!$KB$4:$KB$369,0), MATCH(CK$4,연료전지_원본!$KB$4:$KX$4,0))*1000</f>
        <v>0</v>
      </c>
      <c r="CL232" s="250">
        <f>INDEX(연료전지_원본!$KB$4:$KX$369,MATCH($A232,연료전지_원본!$KB$4:$KB$369,0), MATCH(CL$4,연료전지_원본!$KB$4:$KX$4,0))*1000</f>
        <v>0</v>
      </c>
      <c r="CM232" s="250">
        <f>INDEX(연료전지_원본!$KB$4:$KX$369,MATCH($A232,연료전지_원본!$KB$4:$KB$369,0), MATCH(CM$4,연료전지_원본!$KB$4:$KX$4,0))*1000</f>
        <v>0</v>
      </c>
      <c r="CN232" s="250">
        <f>INDEX(연료전지_원본!$KB$4:$KX$369,MATCH($A232,연료전지_원본!$KB$4:$KB$369,0), MATCH(CN$4,연료전지_원본!$KB$4:$KX$4,0))*1000</f>
        <v>0</v>
      </c>
      <c r="CO232" s="250">
        <f>INDEX(연료전지_원본!$KB$4:$KX$369,MATCH($A232,연료전지_원본!$KB$4:$KB$369,0), MATCH(CO$4,연료전지_원본!$KB$4:$KX$4,0))*1000</f>
        <v>0</v>
      </c>
      <c r="CP232" s="250">
        <f>INDEX(연료전지_원본!$KB$4:$KX$369,MATCH($A232,연료전지_원본!$KB$4:$KB$369,0), MATCH(CP$4,연료전지_원본!$KB$4:$KX$4,0))*1000</f>
        <v>0</v>
      </c>
      <c r="CQ232" s="250">
        <f>INDEX(연료전지_원본!$KB$4:$KX$369,MATCH($A232,연료전지_원본!$KB$4:$KB$369,0), MATCH(CQ$4,연료전지_원본!$KB$4:$KX$4,0))*1000</f>
        <v>0</v>
      </c>
      <c r="CR232" s="250">
        <f>INDEX(연료전지_원본!$KB$4:$KX$369,MATCH($A232,연료전지_원본!$KB$4:$KB$369,0), MATCH(CR$4,연료전지_원본!$KB$4:$KX$4,0))*1000</f>
        <v>0</v>
      </c>
      <c r="CS232" s="250">
        <f>INDEX(연료전지_원본!$KB$4:$KX$369,MATCH($A232,연료전지_원본!$KB$4:$KB$369,0), MATCH(CS$4,연료전지_원본!$KB$4:$KX$4,0))*1000</f>
        <v>0</v>
      </c>
      <c r="CT232" s="250">
        <f>INDEX(연료전지_원본!$KB$4:$KX$369,MATCH($A232,연료전지_원본!$KB$4:$KB$369,0), MATCH(CT$4,연료전지_원본!$KB$4:$KX$4,0))*1000</f>
        <v>0</v>
      </c>
      <c r="CU232" s="250">
        <f>INDEX(연료전지_원본!$KB$4:$KX$369,MATCH($A232,연료전지_원본!$KB$4:$KB$369,0), MATCH(CU$4,연료전지_원본!$KB$4:$KX$4,0))*1000</f>
        <v>0</v>
      </c>
      <c r="CV232" s="250">
        <f>INDEX(연료전지_원본!$KB$4:$KX$369,MATCH($A232,연료전지_원본!$KB$4:$KB$369,0), MATCH(CV$4,연료전지_원본!$KB$4:$KX$4,0))*1000</f>
        <v>0</v>
      </c>
      <c r="CW232" s="250">
        <f>INDEX(연료전지_원본!$KB$4:$KX$369,MATCH($A232,연료전지_원본!$KB$4:$KB$369,0), MATCH(CW$4,연료전지_원본!$KB$4:$KX$4,0))*1000</f>
        <v>0</v>
      </c>
      <c r="CX232" s="250">
        <f>INDEX(연료전지_원본!$KB$4:$KX$369,MATCH($A232,연료전지_원본!$KB$4:$KB$369,0), MATCH(CX$4,연료전지_원본!$KB$4:$KX$4,0))*1000</f>
        <v>0</v>
      </c>
      <c r="CY232" s="250">
        <f>INDEX(연료전지_원본!$KB$4:$KX$369,MATCH($A232,연료전지_원본!$KB$4:$KB$369,0), MATCH(CY$4,연료전지_원본!$KB$4:$KX$4,0))*1000</f>
        <v>0</v>
      </c>
      <c r="DV232" s="30">
        <f t="shared" si="1285"/>
        <v>0</v>
      </c>
    </row>
    <row r="233" spans="1:126">
      <c r="A233" s="6">
        <v>46250</v>
      </c>
      <c r="B233" s="15">
        <f>운전실적_원본!B233</f>
        <v>0</v>
      </c>
      <c r="C233" s="16" t="str">
        <f t="shared" si="1291"/>
        <v/>
      </c>
      <c r="D233" s="12">
        <f>운전실적_원본!C233</f>
        <v>0</v>
      </c>
      <c r="E233" s="12" t="str">
        <f t="shared" si="1292"/>
        <v/>
      </c>
      <c r="F233" s="12">
        <f>운전실적_원본!D233</f>
        <v>0</v>
      </c>
      <c r="G233" s="16" t="str">
        <f t="shared" si="1293"/>
        <v/>
      </c>
      <c r="H233" s="15">
        <f>운전실적_원본!E233</f>
        <v>0</v>
      </c>
      <c r="I233" s="16" t="str">
        <f t="shared" si="1294"/>
        <v/>
      </c>
      <c r="J233" s="15">
        <f>운전실적_원본!F233</f>
        <v>0</v>
      </c>
      <c r="K233" s="16" t="str">
        <f t="shared" si="1294"/>
        <v/>
      </c>
      <c r="L233" s="32">
        <f>운전실적_원본!G233</f>
        <v>0</v>
      </c>
      <c r="M233" s="31" t="str">
        <f t="shared" ref="M233" si="1301">IF(OR(LEN(L233)=0,L233=0),"",L233-L232)</f>
        <v/>
      </c>
      <c r="N233" s="15">
        <f>운전실적_원본!H233</f>
        <v>0</v>
      </c>
      <c r="O233" s="16" t="str">
        <f t="shared" ref="O233" si="1302">IF(OR(LEN(N233)=0,N233=0),"",N233-N232)</f>
        <v/>
      </c>
      <c r="P233" s="15">
        <f>운전실적_원본!I233</f>
        <v>0</v>
      </c>
      <c r="Q233" s="16" t="str">
        <f t="shared" ref="Q233" si="1303">IF(OR(LEN(P233)=0,P233=0),"",P233-P232)</f>
        <v/>
      </c>
      <c r="R233" s="18">
        <f>운전실적_원본!J233</f>
        <v>0</v>
      </c>
      <c r="S233" s="19" t="str">
        <f t="shared" ref="S233" si="1304">IF(OR(LEN(R233)=0,R233=0),"",R233-R232)</f>
        <v/>
      </c>
      <c r="T233" s="18">
        <f>운전실적_원본!K233</f>
        <v>0</v>
      </c>
      <c r="U233" s="19" t="str">
        <f t="shared" si="1299"/>
        <v/>
      </c>
      <c r="V233" s="12">
        <f>운전실적_원본!L233</f>
        <v>0</v>
      </c>
      <c r="W233" s="16" t="str">
        <f t="shared" ref="W233" si="1305">IF(OR(LEN(V233)=0,V233=0),"",V233-V232)</f>
        <v/>
      </c>
      <c r="X233" s="10">
        <f>운전실적_원본!M233</f>
        <v>0</v>
      </c>
      <c r="Y233" s="10">
        <f>운전실적_원본!N233</f>
        <v>0</v>
      </c>
      <c r="Z233" s="10">
        <f>운전실적_원본!O233</f>
        <v>0</v>
      </c>
      <c r="AA233" s="10">
        <f>운전실적_원본!P233</f>
        <v>0</v>
      </c>
      <c r="AB233" s="10">
        <f>운전실적_원본!Q233</f>
        <v>0</v>
      </c>
      <c r="AC233" s="20">
        <f>운전실적_원본!R233</f>
        <v>0</v>
      </c>
      <c r="AD233" s="109">
        <f>운전실적_원본!S233</f>
        <v>0</v>
      </c>
      <c r="AE233" s="110">
        <f>운전실적_원본!T233</f>
        <v>0</v>
      </c>
      <c r="AF233" s="110">
        <f>운전실적_원본!U233</f>
        <v>0</v>
      </c>
      <c r="AG233" s="110">
        <f>운전실적_원본!V233</f>
        <v>0</v>
      </c>
      <c r="AH233" s="109">
        <f t="shared" si="1122"/>
        <v>0</v>
      </c>
      <c r="AI233" s="110">
        <f t="shared" si="1129"/>
        <v>0</v>
      </c>
      <c r="AJ233" s="110">
        <f>운전실적_원본!Y233</f>
        <v>0</v>
      </c>
      <c r="AK233" s="110">
        <f>운전실적_원본!Z233</f>
        <v>0</v>
      </c>
      <c r="AL233" s="106"/>
      <c r="AM233" s="105"/>
      <c r="AN233" s="105"/>
      <c r="AO233" s="105"/>
      <c r="AP233" s="105"/>
      <c r="AQ233" s="108"/>
      <c r="AR233" s="105"/>
      <c r="AS233" s="105"/>
      <c r="AT233" s="102"/>
      <c r="AU233" s="102"/>
      <c r="AV233" s="102"/>
      <c r="AW233" s="102"/>
      <c r="AX233" s="32">
        <f>운전실적_원본!W233</f>
        <v>0</v>
      </c>
      <c r="AY233" s="11">
        <f>운전실적_원본!X233</f>
        <v>0</v>
      </c>
      <c r="AZ233" s="11">
        <f>운전실적_원본!Y233</f>
        <v>0</v>
      </c>
      <c r="BA233" s="11">
        <f>운전실적_원본!Z233</f>
        <v>0</v>
      </c>
      <c r="BB233" s="11">
        <f>운전실적_원본!AA233</f>
        <v>0</v>
      </c>
      <c r="BC233" s="11">
        <f>운전실적_원본!AB233</f>
        <v>0</v>
      </c>
      <c r="BD233" s="32" t="str">
        <f t="shared" si="1115"/>
        <v>-</v>
      </c>
      <c r="BE233" s="11" t="str">
        <f t="shared" si="1123"/>
        <v>-</v>
      </c>
      <c r="BF233" s="11">
        <f>운전실적_원본!AE233</f>
        <v>0</v>
      </c>
      <c r="BG233" s="31">
        <f t="shared" si="1116"/>
        <v>0</v>
      </c>
      <c r="BH233" s="241">
        <f>INDEX(연료전지_원본!$A$4:$KY$369,MATCH($A233,연료전지_원본!$A$4:$A$369,0),MATCH($BH$4,연료전지_원본!$A$4:$KY$4,0))</f>
        <v>0</v>
      </c>
      <c r="BI233" s="241">
        <f>INDEX(연료전지_원본!$A$4:$KY$369,MATCH($A233,연료전지_원본!$A$4:$A$369,0),MATCH($BI$4,연료전지_원본!$A$4:$KY$4,0))</f>
        <v>0</v>
      </c>
      <c r="BJ233" s="241">
        <f>INDEX(연료전지_원본!$A$4:$KY$369,MATCH($A233,연료전지_원본!$A$4:$A$369,0),MATCH($BJ$4,연료전지_원본!$A$4:$KY$4,0))</f>
        <v>0</v>
      </c>
      <c r="BK233" s="241">
        <f>INDEX(연료전지_원본!$A$4:$KY$369,MATCH($A233,연료전지_원본!$A$4:$A$369,0),MATCH($BK$4,연료전지_원본!$A$4:$KY$4,0))</f>
        <v>0</v>
      </c>
      <c r="BL233" s="241">
        <f>INDEX(연료전지_원본!$A$4:$KY$369,MATCH($A233,연료전지_원본!$A$4:$A$369,0),MATCH($BL$4,연료전지_원본!$A$4:$KY$4,0))</f>
        <v>0</v>
      </c>
      <c r="BM233" s="241">
        <f>INDEX(연료전지_원본!$A$4:$KY$369,MATCH($A233,연료전지_원본!$A$4:$A$369,0),MATCH($BM$4,연료전지_원본!$A$4:$KY$4,0))</f>
        <v>0</v>
      </c>
      <c r="BN233" s="241">
        <f>INDEX(연료전지_원본!$A$4:$KY$369,MATCH($A233,연료전지_원본!$A$4:$A$369,0),MATCH($BN$4,연료전지_원본!$A$4:$KY$4,0))</f>
        <v>0</v>
      </c>
      <c r="BO233" s="241">
        <f>INDEX(연료전지_원본!$A$4:$KY$369,MATCH($A233,연료전지_원본!$A$4:$A$369,0),MATCH($BO$4,연료전지_원본!$A$4:$KY$4,0))</f>
        <v>0</v>
      </c>
      <c r="BP233" s="241">
        <f>INDEX(연료전지_원본!$A$4:$KY$369,MATCH($A233,연료전지_원본!$A$4:$A$369,0),MATCH($BP$4,연료전지_원본!$A$4:$KY$4,0))</f>
        <v>0</v>
      </c>
      <c r="BQ233" s="241">
        <f>INDEX(연료전지_원본!$A$4:$KY$369,MATCH($A233,연료전지_원본!$A$4:$A$369,0),MATCH($BQ$4,연료전지_원본!$A$4:$KY$4,0))</f>
        <v>0</v>
      </c>
      <c r="BR233" s="241">
        <f>INDEX(연료전지_원본!$A$4:$KY$369,MATCH($A233,연료전지_원본!$A$4:$A$369,0),MATCH($BR$4,연료전지_원본!$A$4:$KY$4,0))</f>
        <v>0</v>
      </c>
      <c r="BS233" s="241">
        <f>INDEX(연료전지_원본!$A$4:$KY$369,MATCH($A233,연료전지_원본!$A$4:$A$369,0),MATCH($BS$4,연료전지_원본!$A$4:$KY$4,0))</f>
        <v>0</v>
      </c>
      <c r="BT233" s="241">
        <f>INDEX(연료전지_원본!$A$4:$KY$369,MATCH($A233,연료전지_원본!$A$4:$A$369,0),MATCH($BT$4,연료전지_원본!$A$4:$KY$4,0))</f>
        <v>0</v>
      </c>
      <c r="BU233" s="241">
        <f>INDEX(연료전지_원본!$A$4:$KY$369,MATCH($A233,연료전지_원본!$A$4:$A$369,0),MATCH($BU$4,연료전지_원본!$A$4:$KY$4,0))</f>
        <v>0</v>
      </c>
      <c r="BV233" s="241">
        <f>INDEX(연료전지_원본!$A$4:$KY$369,MATCH($A233,연료전지_원본!$A$4:$A$369,0),MATCH($BV$4,연료전지_원본!$A$4:$KY$4,0))</f>
        <v>0</v>
      </c>
      <c r="BW233" s="241">
        <f>INDEX(연료전지_원본!$A$4:$KY$369,MATCH($A233,연료전지_원본!$A$4:$A$369,0),MATCH($BW$4,연료전지_원본!$A$4:$KY$4,0))</f>
        <v>0</v>
      </c>
      <c r="BX233" s="241">
        <f>INDEX(연료전지_원본!$A$4:$KY$369,MATCH($A233,연료전지_원본!$A$4:$A$369,0),MATCH($BX$4,연료전지_원본!$A$4:$KY$4,0))</f>
        <v>0</v>
      </c>
      <c r="BY233" s="241">
        <f>INDEX(연료전지_원본!$A$4:$KY$369,MATCH($A233,연료전지_원본!$A$4:$A$369,0),MATCH($BY$4,연료전지_원본!$A$4:$KY$4,0))</f>
        <v>0</v>
      </c>
      <c r="BZ233" s="241">
        <f>INDEX(연료전지_원본!$A$4:$KY$369,MATCH($A233,연료전지_원본!$A$4:$A$369,0),MATCH($BZ$4,연료전지_원본!$A$4:$KY$4,0))</f>
        <v>0</v>
      </c>
      <c r="CA233" s="241">
        <f>INDEX(연료전지_원본!$A$4:$KY$369,MATCH($A233,연료전지_원본!$A$4:$A$369,0),MATCH($CA$4,연료전지_원본!$A$4:$KY$4,0))</f>
        <v>0</v>
      </c>
      <c r="CB233" s="241">
        <f>INDEX(연료전지_원본!$A$4:$KY$369,MATCH($A233,연료전지_원본!$A$4:$A$369,0),MATCH($CB$4,연료전지_원본!$A$4:$KY$4,0))</f>
        <v>0</v>
      </c>
      <c r="CC233" s="242">
        <f>INDEX(연료전지_원본!$A$4:$KY$369,MATCH($A233,연료전지_원본!$A$4:$A$369,0),MATCH($CC$4,연료전지_원본!$A$4:$KY$4,0))</f>
        <v>0</v>
      </c>
      <c r="CD233" s="250">
        <f>INDEX(연료전지_원본!$KB$4:$KX$369,MATCH($A233,연료전지_원본!$KB$4:$KB$369,0), MATCH(CD$4,연료전지_원본!$KB$4:$KX$4,0))*1000</f>
        <v>0</v>
      </c>
      <c r="CE233" s="250">
        <f>INDEX(연료전지_원본!$KB$4:$KX$369,MATCH($A233,연료전지_원본!$KB$4:$KB$369,0), MATCH(CE$4,연료전지_원본!$KB$4:$KX$4,0))*1000</f>
        <v>0</v>
      </c>
      <c r="CF233" s="250">
        <f>INDEX(연료전지_원본!$KB$4:$KX$369,MATCH($A233,연료전지_원본!$KB$4:$KB$369,0), MATCH(CF$4,연료전지_원본!$KB$4:$KX$4,0))*1000</f>
        <v>0</v>
      </c>
      <c r="CG233" s="250">
        <f>INDEX(연료전지_원본!$KB$4:$KX$369,MATCH($A233,연료전지_원본!$KB$4:$KB$369,0), MATCH(CG$4,연료전지_원본!$KB$4:$KX$4,0))*1000</f>
        <v>0</v>
      </c>
      <c r="CH233" s="250">
        <f>INDEX(연료전지_원본!$KB$4:$KX$369,MATCH($A233,연료전지_원본!$KB$4:$KB$369,0), MATCH(CH$4,연료전지_원본!$KB$4:$KX$4,0))*1000</f>
        <v>0</v>
      </c>
      <c r="CI233" s="250">
        <f>INDEX(연료전지_원본!$KB$4:$KX$369,MATCH($A233,연료전지_원본!$KB$4:$KB$369,0), MATCH(CI$4,연료전지_원본!$KB$4:$KX$4,0))*1000</f>
        <v>0</v>
      </c>
      <c r="CJ233" s="250">
        <f>INDEX(연료전지_원본!$KB$4:$KX$369,MATCH($A233,연료전지_원본!$KB$4:$KB$369,0), MATCH(CJ$4,연료전지_원본!$KB$4:$KX$4,0))*1000</f>
        <v>0</v>
      </c>
      <c r="CK233" s="250">
        <f>INDEX(연료전지_원본!$KB$4:$KX$369,MATCH($A233,연료전지_원본!$KB$4:$KB$369,0), MATCH(CK$4,연료전지_원본!$KB$4:$KX$4,0))*1000</f>
        <v>0</v>
      </c>
      <c r="CL233" s="250">
        <f>INDEX(연료전지_원본!$KB$4:$KX$369,MATCH($A233,연료전지_원본!$KB$4:$KB$369,0), MATCH(CL$4,연료전지_원본!$KB$4:$KX$4,0))*1000</f>
        <v>0</v>
      </c>
      <c r="CM233" s="250">
        <f>INDEX(연료전지_원본!$KB$4:$KX$369,MATCH($A233,연료전지_원본!$KB$4:$KB$369,0), MATCH(CM$4,연료전지_원본!$KB$4:$KX$4,0))*1000</f>
        <v>0</v>
      </c>
      <c r="CN233" s="250">
        <f>INDEX(연료전지_원본!$KB$4:$KX$369,MATCH($A233,연료전지_원본!$KB$4:$KB$369,0), MATCH(CN$4,연료전지_원본!$KB$4:$KX$4,0))*1000</f>
        <v>0</v>
      </c>
      <c r="CO233" s="250">
        <f>INDEX(연료전지_원본!$KB$4:$KX$369,MATCH($A233,연료전지_원본!$KB$4:$KB$369,0), MATCH(CO$4,연료전지_원본!$KB$4:$KX$4,0))*1000</f>
        <v>0</v>
      </c>
      <c r="CP233" s="250">
        <f>INDEX(연료전지_원본!$KB$4:$KX$369,MATCH($A233,연료전지_원본!$KB$4:$KB$369,0), MATCH(CP$4,연료전지_원본!$KB$4:$KX$4,0))*1000</f>
        <v>0</v>
      </c>
      <c r="CQ233" s="250">
        <f>INDEX(연료전지_원본!$KB$4:$KX$369,MATCH($A233,연료전지_원본!$KB$4:$KB$369,0), MATCH(CQ$4,연료전지_원본!$KB$4:$KX$4,0))*1000</f>
        <v>0</v>
      </c>
      <c r="CR233" s="250">
        <f>INDEX(연료전지_원본!$KB$4:$KX$369,MATCH($A233,연료전지_원본!$KB$4:$KB$369,0), MATCH(CR$4,연료전지_원본!$KB$4:$KX$4,0))*1000</f>
        <v>0</v>
      </c>
      <c r="CS233" s="250">
        <f>INDEX(연료전지_원본!$KB$4:$KX$369,MATCH($A233,연료전지_원본!$KB$4:$KB$369,0), MATCH(CS$4,연료전지_원본!$KB$4:$KX$4,0))*1000</f>
        <v>0</v>
      </c>
      <c r="CT233" s="250">
        <f>INDEX(연료전지_원본!$KB$4:$KX$369,MATCH($A233,연료전지_원본!$KB$4:$KB$369,0), MATCH(CT$4,연료전지_원본!$KB$4:$KX$4,0))*1000</f>
        <v>0</v>
      </c>
      <c r="CU233" s="250">
        <f>INDEX(연료전지_원본!$KB$4:$KX$369,MATCH($A233,연료전지_원본!$KB$4:$KB$369,0), MATCH(CU$4,연료전지_원본!$KB$4:$KX$4,0))*1000</f>
        <v>0</v>
      </c>
      <c r="CV233" s="250">
        <f>INDEX(연료전지_원본!$KB$4:$KX$369,MATCH($A233,연료전지_원본!$KB$4:$KB$369,0), MATCH(CV$4,연료전지_원본!$KB$4:$KX$4,0))*1000</f>
        <v>0</v>
      </c>
      <c r="CW233" s="250">
        <f>INDEX(연료전지_원본!$KB$4:$KX$369,MATCH($A233,연료전지_원본!$KB$4:$KB$369,0), MATCH(CW$4,연료전지_원본!$KB$4:$KX$4,0))*1000</f>
        <v>0</v>
      </c>
      <c r="CX233" s="250">
        <f>INDEX(연료전지_원본!$KB$4:$KX$369,MATCH($A233,연료전지_원본!$KB$4:$KB$369,0), MATCH(CX$4,연료전지_원본!$KB$4:$KX$4,0))*1000</f>
        <v>0</v>
      </c>
      <c r="CY233" s="250">
        <f>INDEX(연료전지_원본!$KB$4:$KX$369,MATCH($A233,연료전지_원본!$KB$4:$KB$369,0), MATCH(CY$4,연료전지_원본!$KB$4:$KX$4,0))*1000</f>
        <v>0</v>
      </c>
      <c r="DV233" s="30">
        <f t="shared" si="1285"/>
        <v>0</v>
      </c>
    </row>
    <row r="234" spans="1:126">
      <c r="A234" s="6">
        <v>46251</v>
      </c>
      <c r="B234" s="15">
        <f>운전실적_원본!B234</f>
        <v>0</v>
      </c>
      <c r="C234" s="16" t="str">
        <f t="shared" si="1291"/>
        <v/>
      </c>
      <c r="D234" s="12">
        <f>운전실적_원본!C234</f>
        <v>0</v>
      </c>
      <c r="E234" s="12" t="str">
        <f t="shared" si="1292"/>
        <v/>
      </c>
      <c r="F234" s="12">
        <f>운전실적_원본!D234</f>
        <v>0</v>
      </c>
      <c r="G234" s="16" t="str">
        <f t="shared" si="1293"/>
        <v/>
      </c>
      <c r="H234" s="15">
        <f>운전실적_원본!E234</f>
        <v>0</v>
      </c>
      <c r="I234" s="16" t="str">
        <f t="shared" si="1294"/>
        <v/>
      </c>
      <c r="J234" s="15">
        <f>운전실적_원본!F234</f>
        <v>0</v>
      </c>
      <c r="K234" s="16" t="str">
        <f t="shared" si="1294"/>
        <v/>
      </c>
      <c r="L234" s="32">
        <f>운전실적_원본!G234</f>
        <v>0</v>
      </c>
      <c r="M234" s="31" t="str">
        <f t="shared" ref="M234" si="1306">IF(OR(LEN(L234)=0,L234=0),"",L234-L233)</f>
        <v/>
      </c>
      <c r="N234" s="15">
        <f>운전실적_원본!H234</f>
        <v>0</v>
      </c>
      <c r="O234" s="16" t="str">
        <f t="shared" ref="O234" si="1307">IF(OR(LEN(N234)=0,N234=0),"",N234-N233)</f>
        <v/>
      </c>
      <c r="P234" s="15">
        <f>운전실적_원본!I234</f>
        <v>0</v>
      </c>
      <c r="Q234" s="16" t="str">
        <f t="shared" ref="Q234" si="1308">IF(OR(LEN(P234)=0,P234=0),"",P234-P233)</f>
        <v/>
      </c>
      <c r="R234" s="18">
        <f>운전실적_원본!J234</f>
        <v>0</v>
      </c>
      <c r="S234" s="19" t="str">
        <f t="shared" ref="S234" si="1309">IF(OR(LEN(R234)=0,R234=0),"",R234-R233)</f>
        <v/>
      </c>
      <c r="T234" s="18">
        <f>운전실적_원본!K234</f>
        <v>0</v>
      </c>
      <c r="U234" s="19" t="str">
        <f t="shared" si="1299"/>
        <v/>
      </c>
      <c r="V234" s="12">
        <f>운전실적_원본!L234</f>
        <v>0</v>
      </c>
      <c r="W234" s="16" t="str">
        <f t="shared" ref="W234" si="1310">IF(OR(LEN(V234)=0,V234=0),"",V234-V233)</f>
        <v/>
      </c>
      <c r="X234" s="10">
        <f>운전실적_원본!M234</f>
        <v>0</v>
      </c>
      <c r="Y234" s="10">
        <f>운전실적_원본!N234</f>
        <v>0</v>
      </c>
      <c r="Z234" s="10">
        <f>운전실적_원본!O234</f>
        <v>0</v>
      </c>
      <c r="AA234" s="10">
        <f>운전실적_원본!P234</f>
        <v>0</v>
      </c>
      <c r="AB234" s="10">
        <f>운전실적_원본!Q234</f>
        <v>0</v>
      </c>
      <c r="AC234" s="20">
        <f>운전실적_원본!R234</f>
        <v>0</v>
      </c>
      <c r="AD234" s="109">
        <f>운전실적_원본!S234</f>
        <v>0</v>
      </c>
      <c r="AE234" s="110">
        <f>운전실적_원본!T234</f>
        <v>0</v>
      </c>
      <c r="AF234" s="110">
        <f>운전실적_원본!U234</f>
        <v>0</v>
      </c>
      <c r="AG234" s="110">
        <f>운전실적_원본!V234</f>
        <v>0</v>
      </c>
      <c r="AH234" s="109">
        <f t="shared" si="1122"/>
        <v>0</v>
      </c>
      <c r="AI234" s="110">
        <f t="shared" si="1129"/>
        <v>0</v>
      </c>
      <c r="AJ234" s="110">
        <f>운전실적_원본!Y234</f>
        <v>0</v>
      </c>
      <c r="AK234" s="110">
        <f>운전실적_원본!Z234</f>
        <v>0</v>
      </c>
      <c r="AL234" s="106"/>
      <c r="AM234" s="105"/>
      <c r="AN234" s="105"/>
      <c r="AO234" s="105"/>
      <c r="AP234" s="105"/>
      <c r="AQ234" s="108"/>
      <c r="AR234" s="105"/>
      <c r="AS234" s="105"/>
      <c r="AT234" s="102"/>
      <c r="AU234" s="102"/>
      <c r="AV234" s="102"/>
      <c r="AW234" s="102"/>
      <c r="AX234" s="32">
        <f>운전실적_원본!W234</f>
        <v>0</v>
      </c>
      <c r="AY234" s="11">
        <f>운전실적_원본!X234</f>
        <v>0</v>
      </c>
      <c r="AZ234" s="11">
        <f>운전실적_원본!Y234</f>
        <v>0</v>
      </c>
      <c r="BA234" s="11">
        <f>운전실적_원본!Z234</f>
        <v>0</v>
      </c>
      <c r="BB234" s="11">
        <f>운전실적_원본!AA234</f>
        <v>0</v>
      </c>
      <c r="BC234" s="11">
        <f>운전실적_원본!AB234</f>
        <v>0</v>
      </c>
      <c r="BD234" s="32" t="str">
        <f t="shared" si="1115"/>
        <v>-</v>
      </c>
      <c r="BE234" s="11" t="str">
        <f t="shared" si="1123"/>
        <v>-</v>
      </c>
      <c r="BF234" s="11">
        <f>운전실적_원본!AE234</f>
        <v>0</v>
      </c>
      <c r="BG234" s="31">
        <f t="shared" si="1116"/>
        <v>0</v>
      </c>
      <c r="BH234" s="241">
        <f>INDEX(연료전지_원본!$A$4:$KY$369,MATCH($A234,연료전지_원본!$A$4:$A$369,0),MATCH($BH$4,연료전지_원본!$A$4:$KY$4,0))</f>
        <v>0</v>
      </c>
      <c r="BI234" s="241">
        <f>INDEX(연료전지_원본!$A$4:$KY$369,MATCH($A234,연료전지_원본!$A$4:$A$369,0),MATCH($BI$4,연료전지_원본!$A$4:$KY$4,0))</f>
        <v>0</v>
      </c>
      <c r="BJ234" s="241">
        <f>INDEX(연료전지_원본!$A$4:$KY$369,MATCH($A234,연료전지_원본!$A$4:$A$369,0),MATCH($BJ$4,연료전지_원본!$A$4:$KY$4,0))</f>
        <v>0</v>
      </c>
      <c r="BK234" s="241">
        <f>INDEX(연료전지_원본!$A$4:$KY$369,MATCH($A234,연료전지_원본!$A$4:$A$369,0),MATCH($BK$4,연료전지_원본!$A$4:$KY$4,0))</f>
        <v>0</v>
      </c>
      <c r="BL234" s="241">
        <f>INDEX(연료전지_원본!$A$4:$KY$369,MATCH($A234,연료전지_원본!$A$4:$A$369,0),MATCH($BL$4,연료전지_원본!$A$4:$KY$4,0))</f>
        <v>0</v>
      </c>
      <c r="BM234" s="241">
        <f>INDEX(연료전지_원본!$A$4:$KY$369,MATCH($A234,연료전지_원본!$A$4:$A$369,0),MATCH($BM$4,연료전지_원본!$A$4:$KY$4,0))</f>
        <v>0</v>
      </c>
      <c r="BN234" s="241">
        <f>INDEX(연료전지_원본!$A$4:$KY$369,MATCH($A234,연료전지_원본!$A$4:$A$369,0),MATCH($BN$4,연료전지_원본!$A$4:$KY$4,0))</f>
        <v>0</v>
      </c>
      <c r="BO234" s="241">
        <f>INDEX(연료전지_원본!$A$4:$KY$369,MATCH($A234,연료전지_원본!$A$4:$A$369,0),MATCH($BO$4,연료전지_원본!$A$4:$KY$4,0))</f>
        <v>0</v>
      </c>
      <c r="BP234" s="241">
        <f>INDEX(연료전지_원본!$A$4:$KY$369,MATCH($A234,연료전지_원본!$A$4:$A$369,0),MATCH($BP$4,연료전지_원본!$A$4:$KY$4,0))</f>
        <v>0</v>
      </c>
      <c r="BQ234" s="241">
        <f>INDEX(연료전지_원본!$A$4:$KY$369,MATCH($A234,연료전지_원본!$A$4:$A$369,0),MATCH($BQ$4,연료전지_원본!$A$4:$KY$4,0))</f>
        <v>0</v>
      </c>
      <c r="BR234" s="241">
        <f>INDEX(연료전지_원본!$A$4:$KY$369,MATCH($A234,연료전지_원본!$A$4:$A$369,0),MATCH($BR$4,연료전지_원본!$A$4:$KY$4,0))</f>
        <v>0</v>
      </c>
      <c r="BS234" s="241">
        <f>INDEX(연료전지_원본!$A$4:$KY$369,MATCH($A234,연료전지_원본!$A$4:$A$369,0),MATCH($BS$4,연료전지_원본!$A$4:$KY$4,0))</f>
        <v>0</v>
      </c>
      <c r="BT234" s="241">
        <f>INDEX(연료전지_원본!$A$4:$KY$369,MATCH($A234,연료전지_원본!$A$4:$A$369,0),MATCH($BT$4,연료전지_원본!$A$4:$KY$4,0))</f>
        <v>0</v>
      </c>
      <c r="BU234" s="241">
        <f>INDEX(연료전지_원본!$A$4:$KY$369,MATCH($A234,연료전지_원본!$A$4:$A$369,0),MATCH($BU$4,연료전지_원본!$A$4:$KY$4,0))</f>
        <v>0</v>
      </c>
      <c r="BV234" s="241">
        <f>INDEX(연료전지_원본!$A$4:$KY$369,MATCH($A234,연료전지_원본!$A$4:$A$369,0),MATCH($BV$4,연료전지_원본!$A$4:$KY$4,0))</f>
        <v>0</v>
      </c>
      <c r="BW234" s="241">
        <f>INDEX(연료전지_원본!$A$4:$KY$369,MATCH($A234,연료전지_원본!$A$4:$A$369,0),MATCH($BW$4,연료전지_원본!$A$4:$KY$4,0))</f>
        <v>0</v>
      </c>
      <c r="BX234" s="241">
        <f>INDEX(연료전지_원본!$A$4:$KY$369,MATCH($A234,연료전지_원본!$A$4:$A$369,0),MATCH($BX$4,연료전지_원본!$A$4:$KY$4,0))</f>
        <v>0</v>
      </c>
      <c r="BY234" s="241">
        <f>INDEX(연료전지_원본!$A$4:$KY$369,MATCH($A234,연료전지_원본!$A$4:$A$369,0),MATCH($BY$4,연료전지_원본!$A$4:$KY$4,0))</f>
        <v>0</v>
      </c>
      <c r="BZ234" s="241">
        <f>INDEX(연료전지_원본!$A$4:$KY$369,MATCH($A234,연료전지_원본!$A$4:$A$369,0),MATCH($BZ$4,연료전지_원본!$A$4:$KY$4,0))</f>
        <v>0</v>
      </c>
      <c r="CA234" s="241">
        <f>INDEX(연료전지_원본!$A$4:$KY$369,MATCH($A234,연료전지_원본!$A$4:$A$369,0),MATCH($CA$4,연료전지_원본!$A$4:$KY$4,0))</f>
        <v>0</v>
      </c>
      <c r="CB234" s="241">
        <f>INDEX(연료전지_원본!$A$4:$KY$369,MATCH($A234,연료전지_원본!$A$4:$A$369,0),MATCH($CB$4,연료전지_원본!$A$4:$KY$4,0))</f>
        <v>0</v>
      </c>
      <c r="CC234" s="242">
        <f>INDEX(연료전지_원본!$A$4:$KY$369,MATCH($A234,연료전지_원본!$A$4:$A$369,0),MATCH($CC$4,연료전지_원본!$A$4:$KY$4,0))</f>
        <v>0</v>
      </c>
      <c r="CD234" s="250">
        <f>INDEX(연료전지_원본!$KB$4:$KX$369,MATCH($A234,연료전지_원본!$KB$4:$KB$369,0), MATCH(CD$4,연료전지_원본!$KB$4:$KX$4,0))*1000</f>
        <v>0</v>
      </c>
      <c r="CE234" s="250">
        <f>INDEX(연료전지_원본!$KB$4:$KX$369,MATCH($A234,연료전지_원본!$KB$4:$KB$369,0), MATCH(CE$4,연료전지_원본!$KB$4:$KX$4,0))*1000</f>
        <v>0</v>
      </c>
      <c r="CF234" s="250">
        <f>INDEX(연료전지_원본!$KB$4:$KX$369,MATCH($A234,연료전지_원본!$KB$4:$KB$369,0), MATCH(CF$4,연료전지_원본!$KB$4:$KX$4,0))*1000</f>
        <v>0</v>
      </c>
      <c r="CG234" s="250">
        <f>INDEX(연료전지_원본!$KB$4:$KX$369,MATCH($A234,연료전지_원본!$KB$4:$KB$369,0), MATCH(CG$4,연료전지_원본!$KB$4:$KX$4,0))*1000</f>
        <v>0</v>
      </c>
      <c r="CH234" s="250">
        <f>INDEX(연료전지_원본!$KB$4:$KX$369,MATCH($A234,연료전지_원본!$KB$4:$KB$369,0), MATCH(CH$4,연료전지_원본!$KB$4:$KX$4,0))*1000</f>
        <v>0</v>
      </c>
      <c r="CI234" s="250">
        <f>INDEX(연료전지_원본!$KB$4:$KX$369,MATCH($A234,연료전지_원본!$KB$4:$KB$369,0), MATCH(CI$4,연료전지_원본!$KB$4:$KX$4,0))*1000</f>
        <v>0</v>
      </c>
      <c r="CJ234" s="250">
        <f>INDEX(연료전지_원본!$KB$4:$KX$369,MATCH($A234,연료전지_원본!$KB$4:$KB$369,0), MATCH(CJ$4,연료전지_원본!$KB$4:$KX$4,0))*1000</f>
        <v>0</v>
      </c>
      <c r="CK234" s="250">
        <f>INDEX(연료전지_원본!$KB$4:$KX$369,MATCH($A234,연료전지_원본!$KB$4:$KB$369,0), MATCH(CK$4,연료전지_원본!$KB$4:$KX$4,0))*1000</f>
        <v>0</v>
      </c>
      <c r="CL234" s="250">
        <f>INDEX(연료전지_원본!$KB$4:$KX$369,MATCH($A234,연료전지_원본!$KB$4:$KB$369,0), MATCH(CL$4,연료전지_원본!$KB$4:$KX$4,0))*1000</f>
        <v>0</v>
      </c>
      <c r="CM234" s="250">
        <f>INDEX(연료전지_원본!$KB$4:$KX$369,MATCH($A234,연료전지_원본!$KB$4:$KB$369,0), MATCH(CM$4,연료전지_원본!$KB$4:$KX$4,0))*1000</f>
        <v>0</v>
      </c>
      <c r="CN234" s="250">
        <f>INDEX(연료전지_원본!$KB$4:$KX$369,MATCH($A234,연료전지_원본!$KB$4:$KB$369,0), MATCH(CN$4,연료전지_원본!$KB$4:$KX$4,0))*1000</f>
        <v>0</v>
      </c>
      <c r="CO234" s="250">
        <f>INDEX(연료전지_원본!$KB$4:$KX$369,MATCH($A234,연료전지_원본!$KB$4:$KB$369,0), MATCH(CO$4,연료전지_원본!$KB$4:$KX$4,0))*1000</f>
        <v>0</v>
      </c>
      <c r="CP234" s="250">
        <f>INDEX(연료전지_원본!$KB$4:$KX$369,MATCH($A234,연료전지_원본!$KB$4:$KB$369,0), MATCH(CP$4,연료전지_원본!$KB$4:$KX$4,0))*1000</f>
        <v>0</v>
      </c>
      <c r="CQ234" s="250">
        <f>INDEX(연료전지_원본!$KB$4:$KX$369,MATCH($A234,연료전지_원본!$KB$4:$KB$369,0), MATCH(CQ$4,연료전지_원본!$KB$4:$KX$4,0))*1000</f>
        <v>0</v>
      </c>
      <c r="CR234" s="250">
        <f>INDEX(연료전지_원본!$KB$4:$KX$369,MATCH($A234,연료전지_원본!$KB$4:$KB$369,0), MATCH(CR$4,연료전지_원본!$KB$4:$KX$4,0))*1000</f>
        <v>0</v>
      </c>
      <c r="CS234" s="250">
        <f>INDEX(연료전지_원본!$KB$4:$KX$369,MATCH($A234,연료전지_원본!$KB$4:$KB$369,0), MATCH(CS$4,연료전지_원본!$KB$4:$KX$4,0))*1000</f>
        <v>0</v>
      </c>
      <c r="CT234" s="250">
        <f>INDEX(연료전지_원본!$KB$4:$KX$369,MATCH($A234,연료전지_원본!$KB$4:$KB$369,0), MATCH(CT$4,연료전지_원본!$KB$4:$KX$4,0))*1000</f>
        <v>0</v>
      </c>
      <c r="CU234" s="250">
        <f>INDEX(연료전지_원본!$KB$4:$KX$369,MATCH($A234,연료전지_원본!$KB$4:$KB$369,0), MATCH(CU$4,연료전지_원본!$KB$4:$KX$4,0))*1000</f>
        <v>0</v>
      </c>
      <c r="CV234" s="250">
        <f>INDEX(연료전지_원본!$KB$4:$KX$369,MATCH($A234,연료전지_원본!$KB$4:$KB$369,0), MATCH(CV$4,연료전지_원본!$KB$4:$KX$4,0))*1000</f>
        <v>0</v>
      </c>
      <c r="CW234" s="250">
        <f>INDEX(연료전지_원본!$KB$4:$KX$369,MATCH($A234,연료전지_원본!$KB$4:$KB$369,0), MATCH(CW$4,연료전지_원본!$KB$4:$KX$4,0))*1000</f>
        <v>0</v>
      </c>
      <c r="CX234" s="250">
        <f>INDEX(연료전지_원본!$KB$4:$KX$369,MATCH($A234,연료전지_원본!$KB$4:$KB$369,0), MATCH(CX$4,연료전지_원본!$KB$4:$KX$4,0))*1000</f>
        <v>0</v>
      </c>
      <c r="CY234" s="250">
        <f>INDEX(연료전지_원본!$KB$4:$KX$369,MATCH($A234,연료전지_원본!$KB$4:$KB$369,0), MATCH(CY$4,연료전지_원본!$KB$4:$KX$4,0))*1000</f>
        <v>0</v>
      </c>
      <c r="DV234" s="30">
        <f t="shared" si="1285"/>
        <v>0</v>
      </c>
    </row>
    <row r="235" spans="1:126">
      <c r="A235" s="6">
        <v>46252</v>
      </c>
      <c r="B235" s="15">
        <f>운전실적_원본!B235</f>
        <v>0</v>
      </c>
      <c r="C235" s="16" t="str">
        <f t="shared" si="1291"/>
        <v/>
      </c>
      <c r="D235" s="12">
        <f>운전실적_원본!C235</f>
        <v>0</v>
      </c>
      <c r="E235" s="12" t="str">
        <f t="shared" si="1292"/>
        <v/>
      </c>
      <c r="F235" s="12">
        <f>운전실적_원본!D235</f>
        <v>0</v>
      </c>
      <c r="G235" s="16" t="str">
        <f t="shared" si="1293"/>
        <v/>
      </c>
      <c r="H235" s="15">
        <f>운전실적_원본!E235</f>
        <v>0</v>
      </c>
      <c r="I235" s="16" t="str">
        <f t="shared" si="1294"/>
        <v/>
      </c>
      <c r="J235" s="15">
        <f>운전실적_원본!F235</f>
        <v>0</v>
      </c>
      <c r="K235" s="16" t="str">
        <f t="shared" si="1294"/>
        <v/>
      </c>
      <c r="L235" s="32">
        <f>운전실적_원본!G235</f>
        <v>0</v>
      </c>
      <c r="M235" s="31" t="str">
        <f t="shared" ref="M235" si="1311">IF(OR(LEN(L235)=0,L235=0),"",L235-L234)</f>
        <v/>
      </c>
      <c r="N235" s="15">
        <f>운전실적_원본!H235</f>
        <v>0</v>
      </c>
      <c r="O235" s="16" t="str">
        <f t="shared" ref="O235" si="1312">IF(OR(LEN(N235)=0,N235=0),"",N235-N234)</f>
        <v/>
      </c>
      <c r="P235" s="15">
        <f>운전실적_원본!I235</f>
        <v>0</v>
      </c>
      <c r="Q235" s="16" t="str">
        <f t="shared" ref="Q235" si="1313">IF(OR(LEN(P235)=0,P235=0),"",P235-P234)</f>
        <v/>
      </c>
      <c r="R235" s="18">
        <f>운전실적_원본!J235</f>
        <v>0</v>
      </c>
      <c r="S235" s="19" t="str">
        <f t="shared" ref="S235" si="1314">IF(OR(LEN(R235)=0,R235=0),"",R235-R234)</f>
        <v/>
      </c>
      <c r="T235" s="18">
        <f>운전실적_원본!K235</f>
        <v>0</v>
      </c>
      <c r="U235" s="19" t="str">
        <f t="shared" si="1299"/>
        <v/>
      </c>
      <c r="V235" s="12">
        <f>운전실적_원본!L235</f>
        <v>0</v>
      </c>
      <c r="W235" s="16" t="str">
        <f t="shared" ref="W235" si="1315">IF(OR(LEN(V235)=0,V235=0),"",V235-V234)</f>
        <v/>
      </c>
      <c r="X235" s="10">
        <f>운전실적_원본!M235</f>
        <v>0</v>
      </c>
      <c r="Y235" s="10">
        <f>운전실적_원본!N235</f>
        <v>0</v>
      </c>
      <c r="Z235" s="10">
        <f>운전실적_원본!O235</f>
        <v>0</v>
      </c>
      <c r="AA235" s="10">
        <f>운전실적_원본!P235</f>
        <v>0</v>
      </c>
      <c r="AB235" s="10">
        <f>운전실적_원본!Q235</f>
        <v>0</v>
      </c>
      <c r="AC235" s="20">
        <f>운전실적_원본!R235</f>
        <v>0</v>
      </c>
      <c r="AD235" s="109">
        <f>운전실적_원본!S235</f>
        <v>0</v>
      </c>
      <c r="AE235" s="110">
        <f>운전실적_원본!T235</f>
        <v>0</v>
      </c>
      <c r="AF235" s="110">
        <f>운전실적_원본!U235</f>
        <v>0</v>
      </c>
      <c r="AG235" s="110">
        <f>운전실적_원본!V235</f>
        <v>0</v>
      </c>
      <c r="AH235" s="109">
        <f t="shared" si="1122"/>
        <v>0</v>
      </c>
      <c r="AI235" s="110">
        <f t="shared" si="1129"/>
        <v>0</v>
      </c>
      <c r="AJ235" s="110">
        <f>운전실적_원본!Y235</f>
        <v>0</v>
      </c>
      <c r="AK235" s="110">
        <f>운전실적_원본!Z235</f>
        <v>0</v>
      </c>
      <c r="AL235" s="106"/>
      <c r="AM235" s="105"/>
      <c r="AN235" s="105"/>
      <c r="AO235" s="105"/>
      <c r="AP235" s="105"/>
      <c r="AQ235" s="108"/>
      <c r="AR235" s="105"/>
      <c r="AS235" s="105"/>
      <c r="AT235" s="102"/>
      <c r="AU235" s="102"/>
      <c r="AV235" s="102"/>
      <c r="AW235" s="102"/>
      <c r="AX235" s="32">
        <f>운전실적_원본!W235</f>
        <v>0</v>
      </c>
      <c r="AY235" s="11">
        <f>운전실적_원본!X235</f>
        <v>0</v>
      </c>
      <c r="AZ235" s="11">
        <f>운전실적_원본!Y235</f>
        <v>0</v>
      </c>
      <c r="BA235" s="11">
        <f>운전실적_원본!Z235</f>
        <v>0</v>
      </c>
      <c r="BB235" s="11">
        <f>운전실적_원본!AA235</f>
        <v>0</v>
      </c>
      <c r="BC235" s="11">
        <f>운전실적_원본!AB235</f>
        <v>0</v>
      </c>
      <c r="BD235" s="32" t="str">
        <f t="shared" si="1115"/>
        <v>-</v>
      </c>
      <c r="BE235" s="11" t="str">
        <f t="shared" si="1123"/>
        <v>-</v>
      </c>
      <c r="BF235" s="11">
        <f>운전실적_원본!AE235</f>
        <v>0</v>
      </c>
      <c r="BG235" s="31">
        <f t="shared" si="1116"/>
        <v>0</v>
      </c>
      <c r="BH235" s="241">
        <f>INDEX(연료전지_원본!$A$4:$KY$369,MATCH($A235,연료전지_원본!$A$4:$A$369,0),MATCH($BH$4,연료전지_원본!$A$4:$KY$4,0))</f>
        <v>0</v>
      </c>
      <c r="BI235" s="241">
        <f>INDEX(연료전지_원본!$A$4:$KY$369,MATCH($A235,연료전지_원본!$A$4:$A$369,0),MATCH($BI$4,연료전지_원본!$A$4:$KY$4,0))</f>
        <v>0</v>
      </c>
      <c r="BJ235" s="241">
        <f>INDEX(연료전지_원본!$A$4:$KY$369,MATCH($A235,연료전지_원본!$A$4:$A$369,0),MATCH($BJ$4,연료전지_원본!$A$4:$KY$4,0))</f>
        <v>0</v>
      </c>
      <c r="BK235" s="241">
        <f>INDEX(연료전지_원본!$A$4:$KY$369,MATCH($A235,연료전지_원본!$A$4:$A$369,0),MATCH($BK$4,연료전지_원본!$A$4:$KY$4,0))</f>
        <v>0</v>
      </c>
      <c r="BL235" s="241">
        <f>INDEX(연료전지_원본!$A$4:$KY$369,MATCH($A235,연료전지_원본!$A$4:$A$369,0),MATCH($BL$4,연료전지_원본!$A$4:$KY$4,0))</f>
        <v>0</v>
      </c>
      <c r="BM235" s="241">
        <f>INDEX(연료전지_원본!$A$4:$KY$369,MATCH($A235,연료전지_원본!$A$4:$A$369,0),MATCH($BM$4,연료전지_원본!$A$4:$KY$4,0))</f>
        <v>0</v>
      </c>
      <c r="BN235" s="241">
        <f>INDEX(연료전지_원본!$A$4:$KY$369,MATCH($A235,연료전지_원본!$A$4:$A$369,0),MATCH($BN$4,연료전지_원본!$A$4:$KY$4,0))</f>
        <v>0</v>
      </c>
      <c r="BO235" s="241">
        <f>INDEX(연료전지_원본!$A$4:$KY$369,MATCH($A235,연료전지_원본!$A$4:$A$369,0),MATCH($BO$4,연료전지_원본!$A$4:$KY$4,0))</f>
        <v>0</v>
      </c>
      <c r="BP235" s="241">
        <f>INDEX(연료전지_원본!$A$4:$KY$369,MATCH($A235,연료전지_원본!$A$4:$A$369,0),MATCH($BP$4,연료전지_원본!$A$4:$KY$4,0))</f>
        <v>0</v>
      </c>
      <c r="BQ235" s="241">
        <f>INDEX(연료전지_원본!$A$4:$KY$369,MATCH($A235,연료전지_원본!$A$4:$A$369,0),MATCH($BQ$4,연료전지_원본!$A$4:$KY$4,0))</f>
        <v>0</v>
      </c>
      <c r="BR235" s="241">
        <f>INDEX(연료전지_원본!$A$4:$KY$369,MATCH($A235,연료전지_원본!$A$4:$A$369,0),MATCH($BR$4,연료전지_원본!$A$4:$KY$4,0))</f>
        <v>0</v>
      </c>
      <c r="BS235" s="241">
        <f>INDEX(연료전지_원본!$A$4:$KY$369,MATCH($A235,연료전지_원본!$A$4:$A$369,0),MATCH($BS$4,연료전지_원본!$A$4:$KY$4,0))</f>
        <v>0</v>
      </c>
      <c r="BT235" s="241">
        <f>INDEX(연료전지_원본!$A$4:$KY$369,MATCH($A235,연료전지_원본!$A$4:$A$369,0),MATCH($BT$4,연료전지_원본!$A$4:$KY$4,0))</f>
        <v>0</v>
      </c>
      <c r="BU235" s="241">
        <f>INDEX(연료전지_원본!$A$4:$KY$369,MATCH($A235,연료전지_원본!$A$4:$A$369,0),MATCH($BU$4,연료전지_원본!$A$4:$KY$4,0))</f>
        <v>0</v>
      </c>
      <c r="BV235" s="241">
        <f>INDEX(연료전지_원본!$A$4:$KY$369,MATCH($A235,연료전지_원본!$A$4:$A$369,0),MATCH($BV$4,연료전지_원본!$A$4:$KY$4,0))</f>
        <v>0</v>
      </c>
      <c r="BW235" s="241">
        <f>INDEX(연료전지_원본!$A$4:$KY$369,MATCH($A235,연료전지_원본!$A$4:$A$369,0),MATCH($BW$4,연료전지_원본!$A$4:$KY$4,0))</f>
        <v>0</v>
      </c>
      <c r="BX235" s="241">
        <f>INDEX(연료전지_원본!$A$4:$KY$369,MATCH($A235,연료전지_원본!$A$4:$A$369,0),MATCH($BX$4,연료전지_원본!$A$4:$KY$4,0))</f>
        <v>0</v>
      </c>
      <c r="BY235" s="241">
        <f>INDEX(연료전지_원본!$A$4:$KY$369,MATCH($A235,연료전지_원본!$A$4:$A$369,0),MATCH($BY$4,연료전지_원본!$A$4:$KY$4,0))</f>
        <v>0</v>
      </c>
      <c r="BZ235" s="241">
        <f>INDEX(연료전지_원본!$A$4:$KY$369,MATCH($A235,연료전지_원본!$A$4:$A$369,0),MATCH($BZ$4,연료전지_원본!$A$4:$KY$4,0))</f>
        <v>0</v>
      </c>
      <c r="CA235" s="241">
        <f>INDEX(연료전지_원본!$A$4:$KY$369,MATCH($A235,연료전지_원본!$A$4:$A$369,0),MATCH($CA$4,연료전지_원본!$A$4:$KY$4,0))</f>
        <v>0</v>
      </c>
      <c r="CB235" s="241">
        <f>INDEX(연료전지_원본!$A$4:$KY$369,MATCH($A235,연료전지_원본!$A$4:$A$369,0),MATCH($CB$4,연료전지_원본!$A$4:$KY$4,0))</f>
        <v>0</v>
      </c>
      <c r="CC235" s="242">
        <f>INDEX(연료전지_원본!$A$4:$KY$369,MATCH($A235,연료전지_원본!$A$4:$A$369,0),MATCH($CC$4,연료전지_원본!$A$4:$KY$4,0))</f>
        <v>0</v>
      </c>
      <c r="CD235" s="250">
        <f>INDEX(연료전지_원본!$KB$4:$KX$369,MATCH($A235,연료전지_원본!$KB$4:$KB$369,0), MATCH(CD$4,연료전지_원본!$KB$4:$KX$4,0))*1000</f>
        <v>0</v>
      </c>
      <c r="CE235" s="250">
        <f>INDEX(연료전지_원본!$KB$4:$KX$369,MATCH($A235,연료전지_원본!$KB$4:$KB$369,0), MATCH(CE$4,연료전지_원본!$KB$4:$KX$4,0))*1000</f>
        <v>0</v>
      </c>
      <c r="CF235" s="250">
        <f>INDEX(연료전지_원본!$KB$4:$KX$369,MATCH($A235,연료전지_원본!$KB$4:$KB$369,0), MATCH(CF$4,연료전지_원본!$KB$4:$KX$4,0))*1000</f>
        <v>0</v>
      </c>
      <c r="CG235" s="250">
        <f>INDEX(연료전지_원본!$KB$4:$KX$369,MATCH($A235,연료전지_원본!$KB$4:$KB$369,0), MATCH(CG$4,연료전지_원본!$KB$4:$KX$4,0))*1000</f>
        <v>0</v>
      </c>
      <c r="CH235" s="250">
        <f>INDEX(연료전지_원본!$KB$4:$KX$369,MATCH($A235,연료전지_원본!$KB$4:$KB$369,0), MATCH(CH$4,연료전지_원본!$KB$4:$KX$4,0))*1000</f>
        <v>0</v>
      </c>
      <c r="CI235" s="250">
        <f>INDEX(연료전지_원본!$KB$4:$KX$369,MATCH($A235,연료전지_원본!$KB$4:$KB$369,0), MATCH(CI$4,연료전지_원본!$KB$4:$KX$4,0))*1000</f>
        <v>0</v>
      </c>
      <c r="CJ235" s="250">
        <f>INDEX(연료전지_원본!$KB$4:$KX$369,MATCH($A235,연료전지_원본!$KB$4:$KB$369,0), MATCH(CJ$4,연료전지_원본!$KB$4:$KX$4,0))*1000</f>
        <v>0</v>
      </c>
      <c r="CK235" s="250">
        <f>INDEX(연료전지_원본!$KB$4:$KX$369,MATCH($A235,연료전지_원본!$KB$4:$KB$369,0), MATCH(CK$4,연료전지_원본!$KB$4:$KX$4,0))*1000</f>
        <v>0</v>
      </c>
      <c r="CL235" s="250">
        <f>INDEX(연료전지_원본!$KB$4:$KX$369,MATCH($A235,연료전지_원본!$KB$4:$KB$369,0), MATCH(CL$4,연료전지_원본!$KB$4:$KX$4,0))*1000</f>
        <v>0</v>
      </c>
      <c r="CM235" s="250">
        <f>INDEX(연료전지_원본!$KB$4:$KX$369,MATCH($A235,연료전지_원본!$KB$4:$KB$369,0), MATCH(CM$4,연료전지_원본!$KB$4:$KX$4,0))*1000</f>
        <v>0</v>
      </c>
      <c r="CN235" s="250">
        <f>INDEX(연료전지_원본!$KB$4:$KX$369,MATCH($A235,연료전지_원본!$KB$4:$KB$369,0), MATCH(CN$4,연료전지_원본!$KB$4:$KX$4,0))*1000</f>
        <v>0</v>
      </c>
      <c r="CO235" s="250">
        <f>INDEX(연료전지_원본!$KB$4:$KX$369,MATCH($A235,연료전지_원본!$KB$4:$KB$369,0), MATCH(CO$4,연료전지_원본!$KB$4:$KX$4,0))*1000</f>
        <v>0</v>
      </c>
      <c r="CP235" s="250">
        <f>INDEX(연료전지_원본!$KB$4:$KX$369,MATCH($A235,연료전지_원본!$KB$4:$KB$369,0), MATCH(CP$4,연료전지_원본!$KB$4:$KX$4,0))*1000</f>
        <v>0</v>
      </c>
      <c r="CQ235" s="250">
        <f>INDEX(연료전지_원본!$KB$4:$KX$369,MATCH($A235,연료전지_원본!$KB$4:$KB$369,0), MATCH(CQ$4,연료전지_원본!$KB$4:$KX$4,0))*1000</f>
        <v>0</v>
      </c>
      <c r="CR235" s="250">
        <f>INDEX(연료전지_원본!$KB$4:$KX$369,MATCH($A235,연료전지_원본!$KB$4:$KB$369,0), MATCH(CR$4,연료전지_원본!$KB$4:$KX$4,0))*1000</f>
        <v>0</v>
      </c>
      <c r="CS235" s="250">
        <f>INDEX(연료전지_원본!$KB$4:$KX$369,MATCH($A235,연료전지_원본!$KB$4:$KB$369,0), MATCH(CS$4,연료전지_원본!$KB$4:$KX$4,0))*1000</f>
        <v>0</v>
      </c>
      <c r="CT235" s="250">
        <f>INDEX(연료전지_원본!$KB$4:$KX$369,MATCH($A235,연료전지_원본!$KB$4:$KB$369,0), MATCH(CT$4,연료전지_원본!$KB$4:$KX$4,0))*1000</f>
        <v>0</v>
      </c>
      <c r="CU235" s="250">
        <f>INDEX(연료전지_원본!$KB$4:$KX$369,MATCH($A235,연료전지_원본!$KB$4:$KB$369,0), MATCH(CU$4,연료전지_원본!$KB$4:$KX$4,0))*1000</f>
        <v>0</v>
      </c>
      <c r="CV235" s="250">
        <f>INDEX(연료전지_원본!$KB$4:$KX$369,MATCH($A235,연료전지_원본!$KB$4:$KB$369,0), MATCH(CV$4,연료전지_원본!$KB$4:$KX$4,0))*1000</f>
        <v>0</v>
      </c>
      <c r="CW235" s="250">
        <f>INDEX(연료전지_원본!$KB$4:$KX$369,MATCH($A235,연료전지_원본!$KB$4:$KB$369,0), MATCH(CW$4,연료전지_원본!$KB$4:$KX$4,0))*1000</f>
        <v>0</v>
      </c>
      <c r="CX235" s="250">
        <f>INDEX(연료전지_원본!$KB$4:$KX$369,MATCH($A235,연료전지_원본!$KB$4:$KB$369,0), MATCH(CX$4,연료전지_원본!$KB$4:$KX$4,0))*1000</f>
        <v>0</v>
      </c>
      <c r="CY235" s="250">
        <f>INDEX(연료전지_원본!$KB$4:$KX$369,MATCH($A235,연료전지_원본!$KB$4:$KB$369,0), MATCH(CY$4,연료전지_원본!$KB$4:$KX$4,0))*1000</f>
        <v>0</v>
      </c>
      <c r="DV235" s="30">
        <f t="shared" si="1285"/>
        <v>0</v>
      </c>
    </row>
    <row r="236" spans="1:126">
      <c r="A236" s="6">
        <v>46253</v>
      </c>
      <c r="B236" s="15">
        <f>운전실적_원본!B236</f>
        <v>0</v>
      </c>
      <c r="C236" s="16" t="str">
        <f t="shared" si="1291"/>
        <v/>
      </c>
      <c r="D236" s="12">
        <f>운전실적_원본!C236</f>
        <v>0</v>
      </c>
      <c r="E236" s="12" t="str">
        <f t="shared" si="1292"/>
        <v/>
      </c>
      <c r="F236" s="12">
        <f>운전실적_원본!D236</f>
        <v>0</v>
      </c>
      <c r="G236" s="16" t="str">
        <f t="shared" si="1293"/>
        <v/>
      </c>
      <c r="H236" s="15">
        <f>운전실적_원본!E236</f>
        <v>0</v>
      </c>
      <c r="I236" s="16" t="str">
        <f t="shared" si="1294"/>
        <v/>
      </c>
      <c r="J236" s="15">
        <f>운전실적_원본!F236</f>
        <v>0</v>
      </c>
      <c r="K236" s="16" t="str">
        <f t="shared" si="1294"/>
        <v/>
      </c>
      <c r="L236" s="32">
        <f>운전실적_원본!G236</f>
        <v>0</v>
      </c>
      <c r="M236" s="31" t="str">
        <f t="shared" ref="M236" si="1316">IF(OR(LEN(L236)=0,L236=0),"",L236-L235)</f>
        <v/>
      </c>
      <c r="N236" s="15">
        <f>운전실적_원본!H236</f>
        <v>0</v>
      </c>
      <c r="O236" s="16" t="str">
        <f t="shared" ref="O236" si="1317">IF(OR(LEN(N236)=0,N236=0),"",N236-N235)</f>
        <v/>
      </c>
      <c r="P236" s="15">
        <f>운전실적_원본!I236</f>
        <v>0</v>
      </c>
      <c r="Q236" s="16" t="str">
        <f t="shared" ref="Q236" si="1318">IF(OR(LEN(P236)=0,P236=0),"",P236-P235)</f>
        <v/>
      </c>
      <c r="R236" s="18">
        <f>운전실적_원본!J236</f>
        <v>0</v>
      </c>
      <c r="S236" s="19" t="str">
        <f t="shared" ref="S236" si="1319">IF(OR(LEN(R236)=0,R236=0),"",R236-R235)</f>
        <v/>
      </c>
      <c r="T236" s="18">
        <f>운전실적_원본!K236</f>
        <v>0</v>
      </c>
      <c r="U236" s="19" t="str">
        <f t="shared" si="1299"/>
        <v/>
      </c>
      <c r="V236" s="12">
        <f>운전실적_원본!L236</f>
        <v>0</v>
      </c>
      <c r="W236" s="16" t="str">
        <f t="shared" ref="W236" si="1320">IF(OR(LEN(V236)=0,V236=0),"",V236-V235)</f>
        <v/>
      </c>
      <c r="X236" s="10">
        <f>운전실적_원본!M236</f>
        <v>0</v>
      </c>
      <c r="Y236" s="10">
        <f>운전실적_원본!N236</f>
        <v>0</v>
      </c>
      <c r="Z236" s="10">
        <f>운전실적_원본!O236</f>
        <v>0</v>
      </c>
      <c r="AA236" s="10">
        <f>운전실적_원본!P236</f>
        <v>0</v>
      </c>
      <c r="AB236" s="10">
        <f>운전실적_원본!Q236</f>
        <v>0</v>
      </c>
      <c r="AC236" s="20">
        <f>운전실적_원본!R236</f>
        <v>0</v>
      </c>
      <c r="AD236" s="109">
        <f>운전실적_원본!S236</f>
        <v>0</v>
      </c>
      <c r="AE236" s="110">
        <f>운전실적_원본!T236</f>
        <v>0</v>
      </c>
      <c r="AF236" s="110">
        <f>운전실적_원본!U236</f>
        <v>0</v>
      </c>
      <c r="AG236" s="110">
        <f>운전실적_원본!V236</f>
        <v>0</v>
      </c>
      <c r="AH236" s="109">
        <f t="shared" si="1122"/>
        <v>0</v>
      </c>
      <c r="AI236" s="110">
        <f t="shared" si="1129"/>
        <v>0</v>
      </c>
      <c r="AJ236" s="110">
        <f>운전실적_원본!Y236</f>
        <v>0</v>
      </c>
      <c r="AK236" s="110">
        <f>운전실적_원본!Z236</f>
        <v>0</v>
      </c>
      <c r="AL236" s="106"/>
      <c r="AM236" s="105"/>
      <c r="AN236" s="105"/>
      <c r="AO236" s="105"/>
      <c r="AP236" s="105"/>
      <c r="AQ236" s="108"/>
      <c r="AR236" s="105"/>
      <c r="AS236" s="105"/>
      <c r="AT236" s="102"/>
      <c r="AU236" s="102"/>
      <c r="AV236" s="102"/>
      <c r="AW236" s="102"/>
      <c r="AX236" s="32">
        <f>운전실적_원본!W236</f>
        <v>0</v>
      </c>
      <c r="AY236" s="11">
        <f>운전실적_원본!X236</f>
        <v>0</v>
      </c>
      <c r="AZ236" s="11">
        <f>운전실적_원본!Y236</f>
        <v>0</v>
      </c>
      <c r="BA236" s="11">
        <f>운전실적_원본!Z236</f>
        <v>0</v>
      </c>
      <c r="BB236" s="11">
        <f>운전실적_원본!AA236</f>
        <v>0</v>
      </c>
      <c r="BC236" s="11">
        <f>운전실적_원본!AB236</f>
        <v>0</v>
      </c>
      <c r="BD236" s="32" t="str">
        <f t="shared" si="1115"/>
        <v>-</v>
      </c>
      <c r="BE236" s="11" t="str">
        <f t="shared" si="1123"/>
        <v>-</v>
      </c>
      <c r="BF236" s="11">
        <f>운전실적_원본!AE236</f>
        <v>0</v>
      </c>
      <c r="BG236" s="31">
        <f t="shared" si="1116"/>
        <v>0</v>
      </c>
      <c r="BH236" s="241">
        <f>INDEX(연료전지_원본!$A$4:$KY$369,MATCH($A236,연료전지_원본!$A$4:$A$369,0),MATCH($BH$4,연료전지_원본!$A$4:$KY$4,0))</f>
        <v>0</v>
      </c>
      <c r="BI236" s="241">
        <f>INDEX(연료전지_원본!$A$4:$KY$369,MATCH($A236,연료전지_원본!$A$4:$A$369,0),MATCH($BI$4,연료전지_원본!$A$4:$KY$4,0))</f>
        <v>0</v>
      </c>
      <c r="BJ236" s="241">
        <f>INDEX(연료전지_원본!$A$4:$KY$369,MATCH($A236,연료전지_원본!$A$4:$A$369,0),MATCH($BJ$4,연료전지_원본!$A$4:$KY$4,0))</f>
        <v>0</v>
      </c>
      <c r="BK236" s="241">
        <f>INDEX(연료전지_원본!$A$4:$KY$369,MATCH($A236,연료전지_원본!$A$4:$A$369,0),MATCH($BK$4,연료전지_원본!$A$4:$KY$4,0))</f>
        <v>0</v>
      </c>
      <c r="BL236" s="241">
        <f>INDEX(연료전지_원본!$A$4:$KY$369,MATCH($A236,연료전지_원본!$A$4:$A$369,0),MATCH($BL$4,연료전지_원본!$A$4:$KY$4,0))</f>
        <v>0</v>
      </c>
      <c r="BM236" s="241">
        <f>INDEX(연료전지_원본!$A$4:$KY$369,MATCH($A236,연료전지_원본!$A$4:$A$369,0),MATCH($BM$4,연료전지_원본!$A$4:$KY$4,0))</f>
        <v>0</v>
      </c>
      <c r="BN236" s="241">
        <f>INDEX(연료전지_원본!$A$4:$KY$369,MATCH($A236,연료전지_원본!$A$4:$A$369,0),MATCH($BN$4,연료전지_원본!$A$4:$KY$4,0))</f>
        <v>0</v>
      </c>
      <c r="BO236" s="241">
        <f>INDEX(연료전지_원본!$A$4:$KY$369,MATCH($A236,연료전지_원본!$A$4:$A$369,0),MATCH($BO$4,연료전지_원본!$A$4:$KY$4,0))</f>
        <v>0</v>
      </c>
      <c r="BP236" s="241">
        <f>INDEX(연료전지_원본!$A$4:$KY$369,MATCH($A236,연료전지_원본!$A$4:$A$369,0),MATCH($BP$4,연료전지_원본!$A$4:$KY$4,0))</f>
        <v>0</v>
      </c>
      <c r="BQ236" s="241">
        <f>INDEX(연료전지_원본!$A$4:$KY$369,MATCH($A236,연료전지_원본!$A$4:$A$369,0),MATCH($BQ$4,연료전지_원본!$A$4:$KY$4,0))</f>
        <v>0</v>
      </c>
      <c r="BR236" s="241">
        <f>INDEX(연료전지_원본!$A$4:$KY$369,MATCH($A236,연료전지_원본!$A$4:$A$369,0),MATCH($BR$4,연료전지_원본!$A$4:$KY$4,0))</f>
        <v>0</v>
      </c>
      <c r="BS236" s="241">
        <f>INDEX(연료전지_원본!$A$4:$KY$369,MATCH($A236,연료전지_원본!$A$4:$A$369,0),MATCH($BS$4,연료전지_원본!$A$4:$KY$4,0))</f>
        <v>0</v>
      </c>
      <c r="BT236" s="241">
        <f>INDEX(연료전지_원본!$A$4:$KY$369,MATCH($A236,연료전지_원본!$A$4:$A$369,0),MATCH($BT$4,연료전지_원본!$A$4:$KY$4,0))</f>
        <v>0</v>
      </c>
      <c r="BU236" s="241">
        <f>INDEX(연료전지_원본!$A$4:$KY$369,MATCH($A236,연료전지_원본!$A$4:$A$369,0),MATCH($BU$4,연료전지_원본!$A$4:$KY$4,0))</f>
        <v>0</v>
      </c>
      <c r="BV236" s="241">
        <f>INDEX(연료전지_원본!$A$4:$KY$369,MATCH($A236,연료전지_원본!$A$4:$A$369,0),MATCH($BV$4,연료전지_원본!$A$4:$KY$4,0))</f>
        <v>0</v>
      </c>
      <c r="BW236" s="241">
        <f>INDEX(연료전지_원본!$A$4:$KY$369,MATCH($A236,연료전지_원본!$A$4:$A$369,0),MATCH($BW$4,연료전지_원본!$A$4:$KY$4,0))</f>
        <v>0</v>
      </c>
      <c r="BX236" s="241">
        <f>INDEX(연료전지_원본!$A$4:$KY$369,MATCH($A236,연료전지_원본!$A$4:$A$369,0),MATCH($BX$4,연료전지_원본!$A$4:$KY$4,0))</f>
        <v>0</v>
      </c>
      <c r="BY236" s="241">
        <f>INDEX(연료전지_원본!$A$4:$KY$369,MATCH($A236,연료전지_원본!$A$4:$A$369,0),MATCH($BY$4,연료전지_원본!$A$4:$KY$4,0))</f>
        <v>0</v>
      </c>
      <c r="BZ236" s="241">
        <f>INDEX(연료전지_원본!$A$4:$KY$369,MATCH($A236,연료전지_원본!$A$4:$A$369,0),MATCH($BZ$4,연료전지_원본!$A$4:$KY$4,0))</f>
        <v>0</v>
      </c>
      <c r="CA236" s="241">
        <f>INDEX(연료전지_원본!$A$4:$KY$369,MATCH($A236,연료전지_원본!$A$4:$A$369,0),MATCH($CA$4,연료전지_원본!$A$4:$KY$4,0))</f>
        <v>0</v>
      </c>
      <c r="CB236" s="241">
        <f>INDEX(연료전지_원본!$A$4:$KY$369,MATCH($A236,연료전지_원본!$A$4:$A$369,0),MATCH($CB$4,연료전지_원본!$A$4:$KY$4,0))</f>
        <v>0</v>
      </c>
      <c r="CC236" s="242">
        <f>INDEX(연료전지_원본!$A$4:$KY$369,MATCH($A236,연료전지_원본!$A$4:$A$369,0),MATCH($CC$4,연료전지_원본!$A$4:$KY$4,0))</f>
        <v>0</v>
      </c>
      <c r="CD236" s="250">
        <f>INDEX(연료전지_원본!$KB$4:$KX$369,MATCH($A236,연료전지_원본!$KB$4:$KB$369,0), MATCH(CD$4,연료전지_원본!$KB$4:$KX$4,0))*1000</f>
        <v>0</v>
      </c>
      <c r="CE236" s="250">
        <f>INDEX(연료전지_원본!$KB$4:$KX$369,MATCH($A236,연료전지_원본!$KB$4:$KB$369,0), MATCH(CE$4,연료전지_원본!$KB$4:$KX$4,0))*1000</f>
        <v>0</v>
      </c>
      <c r="CF236" s="250">
        <f>INDEX(연료전지_원본!$KB$4:$KX$369,MATCH($A236,연료전지_원본!$KB$4:$KB$369,0), MATCH(CF$4,연료전지_원본!$KB$4:$KX$4,0))*1000</f>
        <v>0</v>
      </c>
      <c r="CG236" s="250">
        <f>INDEX(연료전지_원본!$KB$4:$KX$369,MATCH($A236,연료전지_원본!$KB$4:$KB$369,0), MATCH(CG$4,연료전지_원본!$KB$4:$KX$4,0))*1000</f>
        <v>0</v>
      </c>
      <c r="CH236" s="250">
        <f>INDEX(연료전지_원본!$KB$4:$KX$369,MATCH($A236,연료전지_원본!$KB$4:$KB$369,0), MATCH(CH$4,연료전지_원본!$KB$4:$KX$4,0))*1000</f>
        <v>0</v>
      </c>
      <c r="CI236" s="250">
        <f>INDEX(연료전지_원본!$KB$4:$KX$369,MATCH($A236,연료전지_원본!$KB$4:$KB$369,0), MATCH(CI$4,연료전지_원본!$KB$4:$KX$4,0))*1000</f>
        <v>0</v>
      </c>
      <c r="CJ236" s="250">
        <f>INDEX(연료전지_원본!$KB$4:$KX$369,MATCH($A236,연료전지_원본!$KB$4:$KB$369,0), MATCH(CJ$4,연료전지_원본!$KB$4:$KX$4,0))*1000</f>
        <v>0</v>
      </c>
      <c r="CK236" s="250">
        <f>INDEX(연료전지_원본!$KB$4:$KX$369,MATCH($A236,연료전지_원본!$KB$4:$KB$369,0), MATCH(CK$4,연료전지_원본!$KB$4:$KX$4,0))*1000</f>
        <v>0</v>
      </c>
      <c r="CL236" s="250">
        <f>INDEX(연료전지_원본!$KB$4:$KX$369,MATCH($A236,연료전지_원본!$KB$4:$KB$369,0), MATCH(CL$4,연료전지_원본!$KB$4:$KX$4,0))*1000</f>
        <v>0</v>
      </c>
      <c r="CM236" s="250">
        <f>INDEX(연료전지_원본!$KB$4:$KX$369,MATCH($A236,연료전지_원본!$KB$4:$KB$369,0), MATCH(CM$4,연료전지_원본!$KB$4:$KX$4,0))*1000</f>
        <v>0</v>
      </c>
      <c r="CN236" s="250">
        <f>INDEX(연료전지_원본!$KB$4:$KX$369,MATCH($A236,연료전지_원본!$KB$4:$KB$369,0), MATCH(CN$4,연료전지_원본!$KB$4:$KX$4,0))*1000</f>
        <v>0</v>
      </c>
      <c r="CO236" s="250">
        <f>INDEX(연료전지_원본!$KB$4:$KX$369,MATCH($A236,연료전지_원본!$KB$4:$KB$369,0), MATCH(CO$4,연료전지_원본!$KB$4:$KX$4,0))*1000</f>
        <v>0</v>
      </c>
      <c r="CP236" s="250">
        <f>INDEX(연료전지_원본!$KB$4:$KX$369,MATCH($A236,연료전지_원본!$KB$4:$KB$369,0), MATCH(CP$4,연료전지_원본!$KB$4:$KX$4,0))*1000</f>
        <v>0</v>
      </c>
      <c r="CQ236" s="250">
        <f>INDEX(연료전지_원본!$KB$4:$KX$369,MATCH($A236,연료전지_원본!$KB$4:$KB$369,0), MATCH(CQ$4,연료전지_원본!$KB$4:$KX$4,0))*1000</f>
        <v>0</v>
      </c>
      <c r="CR236" s="250">
        <f>INDEX(연료전지_원본!$KB$4:$KX$369,MATCH($A236,연료전지_원본!$KB$4:$KB$369,0), MATCH(CR$4,연료전지_원본!$KB$4:$KX$4,0))*1000</f>
        <v>0</v>
      </c>
      <c r="CS236" s="250">
        <f>INDEX(연료전지_원본!$KB$4:$KX$369,MATCH($A236,연료전지_원본!$KB$4:$KB$369,0), MATCH(CS$4,연료전지_원본!$KB$4:$KX$4,0))*1000</f>
        <v>0</v>
      </c>
      <c r="CT236" s="250">
        <f>INDEX(연료전지_원본!$KB$4:$KX$369,MATCH($A236,연료전지_원본!$KB$4:$KB$369,0), MATCH(CT$4,연료전지_원본!$KB$4:$KX$4,0))*1000</f>
        <v>0</v>
      </c>
      <c r="CU236" s="250">
        <f>INDEX(연료전지_원본!$KB$4:$KX$369,MATCH($A236,연료전지_원본!$KB$4:$KB$369,0), MATCH(CU$4,연료전지_원본!$KB$4:$KX$4,0))*1000</f>
        <v>0</v>
      </c>
      <c r="CV236" s="250">
        <f>INDEX(연료전지_원본!$KB$4:$KX$369,MATCH($A236,연료전지_원본!$KB$4:$KB$369,0), MATCH(CV$4,연료전지_원본!$KB$4:$KX$4,0))*1000</f>
        <v>0</v>
      </c>
      <c r="CW236" s="250">
        <f>INDEX(연료전지_원본!$KB$4:$KX$369,MATCH($A236,연료전지_원본!$KB$4:$KB$369,0), MATCH(CW$4,연료전지_원본!$KB$4:$KX$4,0))*1000</f>
        <v>0</v>
      </c>
      <c r="CX236" s="250">
        <f>INDEX(연료전지_원본!$KB$4:$KX$369,MATCH($A236,연료전지_원본!$KB$4:$KB$369,0), MATCH(CX$4,연료전지_원본!$KB$4:$KX$4,0))*1000</f>
        <v>0</v>
      </c>
      <c r="CY236" s="250">
        <f>INDEX(연료전지_원본!$KB$4:$KX$369,MATCH($A236,연료전지_원본!$KB$4:$KB$369,0), MATCH(CY$4,연료전지_원본!$KB$4:$KX$4,0))*1000</f>
        <v>0</v>
      </c>
      <c r="DV236" s="30">
        <f t="shared" si="1285"/>
        <v>0</v>
      </c>
    </row>
    <row r="237" spans="1:126">
      <c r="A237" s="6">
        <v>46254</v>
      </c>
      <c r="B237" s="15">
        <f>운전실적_원본!B237</f>
        <v>0</v>
      </c>
      <c r="C237" s="16" t="str">
        <f t="shared" si="1291"/>
        <v/>
      </c>
      <c r="D237" s="12">
        <f>운전실적_원본!C237</f>
        <v>0</v>
      </c>
      <c r="E237" s="12" t="str">
        <f t="shared" si="1292"/>
        <v/>
      </c>
      <c r="F237" s="12">
        <f>운전실적_원본!D237</f>
        <v>0</v>
      </c>
      <c r="G237" s="16" t="str">
        <f t="shared" si="1293"/>
        <v/>
      </c>
      <c r="H237" s="15">
        <f>운전실적_원본!E237</f>
        <v>0</v>
      </c>
      <c r="I237" s="16" t="str">
        <f t="shared" si="1294"/>
        <v/>
      </c>
      <c r="J237" s="15">
        <f>운전실적_원본!F237</f>
        <v>0</v>
      </c>
      <c r="K237" s="16" t="str">
        <f t="shared" si="1294"/>
        <v/>
      </c>
      <c r="L237" s="32">
        <f>운전실적_원본!G237</f>
        <v>0</v>
      </c>
      <c r="M237" s="31" t="str">
        <f t="shared" ref="M237" si="1321">IF(OR(LEN(L237)=0,L237=0),"",L237-L236)</f>
        <v/>
      </c>
      <c r="N237" s="15">
        <f>운전실적_원본!H237</f>
        <v>0</v>
      </c>
      <c r="O237" s="16" t="str">
        <f t="shared" ref="O237" si="1322">IF(OR(LEN(N237)=0,N237=0),"",N237-N236)</f>
        <v/>
      </c>
      <c r="P237" s="15">
        <f>운전실적_원본!I237</f>
        <v>0</v>
      </c>
      <c r="Q237" s="16" t="str">
        <f t="shared" ref="Q237" si="1323">IF(OR(LEN(P237)=0,P237=0),"",P237-P236)</f>
        <v/>
      </c>
      <c r="R237" s="18">
        <f>운전실적_원본!J237</f>
        <v>0</v>
      </c>
      <c r="S237" s="19" t="str">
        <f t="shared" ref="S237" si="1324">IF(OR(LEN(R237)=0,R237=0),"",R237-R236)</f>
        <v/>
      </c>
      <c r="T237" s="18">
        <f>운전실적_원본!K237</f>
        <v>0</v>
      </c>
      <c r="U237" s="19" t="str">
        <f t="shared" si="1299"/>
        <v/>
      </c>
      <c r="V237" s="12">
        <f>운전실적_원본!L237</f>
        <v>0</v>
      </c>
      <c r="W237" s="16" t="str">
        <f t="shared" ref="W237" si="1325">IF(OR(LEN(V237)=0,V237=0),"",V237-V236)</f>
        <v/>
      </c>
      <c r="X237" s="10">
        <f>운전실적_원본!M237</f>
        <v>0</v>
      </c>
      <c r="Y237" s="10">
        <f>운전실적_원본!N237</f>
        <v>0</v>
      </c>
      <c r="Z237" s="10">
        <f>운전실적_원본!O237</f>
        <v>0</v>
      </c>
      <c r="AA237" s="10">
        <f>운전실적_원본!P237</f>
        <v>0</v>
      </c>
      <c r="AB237" s="10">
        <f>운전실적_원본!Q237</f>
        <v>0</v>
      </c>
      <c r="AC237" s="20">
        <f>운전실적_원본!R237</f>
        <v>0</v>
      </c>
      <c r="AD237" s="109">
        <f>운전실적_원본!S237</f>
        <v>0</v>
      </c>
      <c r="AE237" s="110">
        <f>운전실적_원본!T237</f>
        <v>0</v>
      </c>
      <c r="AF237" s="110">
        <f>운전실적_원본!U237</f>
        <v>0</v>
      </c>
      <c r="AG237" s="110">
        <f>운전실적_원본!V237</f>
        <v>0</v>
      </c>
      <c r="AH237" s="109">
        <f t="shared" si="1122"/>
        <v>0</v>
      </c>
      <c r="AI237" s="110">
        <f t="shared" si="1129"/>
        <v>0</v>
      </c>
      <c r="AJ237" s="110">
        <f>운전실적_원본!Y237</f>
        <v>0</v>
      </c>
      <c r="AK237" s="110">
        <f>운전실적_원본!Z237</f>
        <v>0</v>
      </c>
      <c r="AL237" s="106"/>
      <c r="AM237" s="105"/>
      <c r="AN237" s="105"/>
      <c r="AO237" s="105"/>
      <c r="AP237" s="105"/>
      <c r="AQ237" s="108"/>
      <c r="AR237" s="105"/>
      <c r="AS237" s="105"/>
      <c r="AT237" s="102"/>
      <c r="AU237" s="102"/>
      <c r="AV237" s="102"/>
      <c r="AW237" s="102"/>
      <c r="AX237" s="32">
        <f>운전실적_원본!W237</f>
        <v>0</v>
      </c>
      <c r="AY237" s="11">
        <f>운전실적_원본!X237</f>
        <v>0</v>
      </c>
      <c r="AZ237" s="11">
        <f>운전실적_원본!Y237</f>
        <v>0</v>
      </c>
      <c r="BA237" s="11">
        <f>운전실적_원본!Z237</f>
        <v>0</v>
      </c>
      <c r="BB237" s="11">
        <f>운전실적_원본!AA237</f>
        <v>0</v>
      </c>
      <c r="BC237" s="11">
        <f>운전실적_원본!AB237</f>
        <v>0</v>
      </c>
      <c r="BD237" s="32" t="str">
        <f t="shared" si="1115"/>
        <v>-</v>
      </c>
      <c r="BE237" s="11" t="str">
        <f t="shared" si="1123"/>
        <v>-</v>
      </c>
      <c r="BF237" s="11">
        <f>운전실적_원본!AE237</f>
        <v>0</v>
      </c>
      <c r="BG237" s="31">
        <f t="shared" si="1116"/>
        <v>0</v>
      </c>
      <c r="BH237" s="241">
        <f>INDEX(연료전지_원본!$A$4:$KY$369,MATCH($A237,연료전지_원본!$A$4:$A$369,0),MATCH($BH$4,연료전지_원본!$A$4:$KY$4,0))</f>
        <v>0</v>
      </c>
      <c r="BI237" s="241">
        <f>INDEX(연료전지_원본!$A$4:$KY$369,MATCH($A237,연료전지_원본!$A$4:$A$369,0),MATCH($BI$4,연료전지_원본!$A$4:$KY$4,0))</f>
        <v>0</v>
      </c>
      <c r="BJ237" s="241">
        <f>INDEX(연료전지_원본!$A$4:$KY$369,MATCH($A237,연료전지_원본!$A$4:$A$369,0),MATCH($BJ$4,연료전지_원본!$A$4:$KY$4,0))</f>
        <v>0</v>
      </c>
      <c r="BK237" s="241">
        <f>INDEX(연료전지_원본!$A$4:$KY$369,MATCH($A237,연료전지_원본!$A$4:$A$369,0),MATCH($BK$4,연료전지_원본!$A$4:$KY$4,0))</f>
        <v>0</v>
      </c>
      <c r="BL237" s="241">
        <f>INDEX(연료전지_원본!$A$4:$KY$369,MATCH($A237,연료전지_원본!$A$4:$A$369,0),MATCH($BL$4,연료전지_원본!$A$4:$KY$4,0))</f>
        <v>0</v>
      </c>
      <c r="BM237" s="241">
        <f>INDEX(연료전지_원본!$A$4:$KY$369,MATCH($A237,연료전지_원본!$A$4:$A$369,0),MATCH($BM$4,연료전지_원본!$A$4:$KY$4,0))</f>
        <v>0</v>
      </c>
      <c r="BN237" s="241">
        <f>INDEX(연료전지_원본!$A$4:$KY$369,MATCH($A237,연료전지_원본!$A$4:$A$369,0),MATCH($BN$4,연료전지_원본!$A$4:$KY$4,0))</f>
        <v>0</v>
      </c>
      <c r="BO237" s="241">
        <f>INDEX(연료전지_원본!$A$4:$KY$369,MATCH($A237,연료전지_원본!$A$4:$A$369,0),MATCH($BO$4,연료전지_원본!$A$4:$KY$4,0))</f>
        <v>0</v>
      </c>
      <c r="BP237" s="241">
        <f>INDEX(연료전지_원본!$A$4:$KY$369,MATCH($A237,연료전지_원본!$A$4:$A$369,0),MATCH($BP$4,연료전지_원본!$A$4:$KY$4,0))</f>
        <v>0</v>
      </c>
      <c r="BQ237" s="241">
        <f>INDEX(연료전지_원본!$A$4:$KY$369,MATCH($A237,연료전지_원본!$A$4:$A$369,0),MATCH($BQ$4,연료전지_원본!$A$4:$KY$4,0))</f>
        <v>0</v>
      </c>
      <c r="BR237" s="241">
        <f>INDEX(연료전지_원본!$A$4:$KY$369,MATCH($A237,연료전지_원본!$A$4:$A$369,0),MATCH($BR$4,연료전지_원본!$A$4:$KY$4,0))</f>
        <v>0</v>
      </c>
      <c r="BS237" s="241">
        <f>INDEX(연료전지_원본!$A$4:$KY$369,MATCH($A237,연료전지_원본!$A$4:$A$369,0),MATCH($BS$4,연료전지_원본!$A$4:$KY$4,0))</f>
        <v>0</v>
      </c>
      <c r="BT237" s="241">
        <f>INDEX(연료전지_원본!$A$4:$KY$369,MATCH($A237,연료전지_원본!$A$4:$A$369,0),MATCH($BT$4,연료전지_원본!$A$4:$KY$4,0))</f>
        <v>0</v>
      </c>
      <c r="BU237" s="241">
        <f>INDEX(연료전지_원본!$A$4:$KY$369,MATCH($A237,연료전지_원본!$A$4:$A$369,0),MATCH($BU$4,연료전지_원본!$A$4:$KY$4,0))</f>
        <v>0</v>
      </c>
      <c r="BV237" s="241">
        <f>INDEX(연료전지_원본!$A$4:$KY$369,MATCH($A237,연료전지_원본!$A$4:$A$369,0),MATCH($BV$4,연료전지_원본!$A$4:$KY$4,0))</f>
        <v>0</v>
      </c>
      <c r="BW237" s="241">
        <f>INDEX(연료전지_원본!$A$4:$KY$369,MATCH($A237,연료전지_원본!$A$4:$A$369,0),MATCH($BW$4,연료전지_원본!$A$4:$KY$4,0))</f>
        <v>0</v>
      </c>
      <c r="BX237" s="241">
        <f>INDEX(연료전지_원본!$A$4:$KY$369,MATCH($A237,연료전지_원본!$A$4:$A$369,0),MATCH($BX$4,연료전지_원본!$A$4:$KY$4,0))</f>
        <v>0</v>
      </c>
      <c r="BY237" s="241">
        <f>INDEX(연료전지_원본!$A$4:$KY$369,MATCH($A237,연료전지_원본!$A$4:$A$369,0),MATCH($BY$4,연료전지_원본!$A$4:$KY$4,0))</f>
        <v>0</v>
      </c>
      <c r="BZ237" s="241">
        <f>INDEX(연료전지_원본!$A$4:$KY$369,MATCH($A237,연료전지_원본!$A$4:$A$369,0),MATCH($BZ$4,연료전지_원본!$A$4:$KY$4,0))</f>
        <v>0</v>
      </c>
      <c r="CA237" s="241">
        <f>INDEX(연료전지_원본!$A$4:$KY$369,MATCH($A237,연료전지_원본!$A$4:$A$369,0),MATCH($CA$4,연료전지_원본!$A$4:$KY$4,0))</f>
        <v>0</v>
      </c>
      <c r="CB237" s="241">
        <f>INDEX(연료전지_원본!$A$4:$KY$369,MATCH($A237,연료전지_원본!$A$4:$A$369,0),MATCH($CB$4,연료전지_원본!$A$4:$KY$4,0))</f>
        <v>0</v>
      </c>
      <c r="CC237" s="242">
        <f>INDEX(연료전지_원본!$A$4:$KY$369,MATCH($A237,연료전지_원본!$A$4:$A$369,0),MATCH($CC$4,연료전지_원본!$A$4:$KY$4,0))</f>
        <v>0</v>
      </c>
      <c r="CD237" s="250">
        <f>INDEX(연료전지_원본!$KB$4:$KX$369,MATCH($A237,연료전지_원본!$KB$4:$KB$369,0), MATCH(CD$4,연료전지_원본!$KB$4:$KX$4,0))*1000</f>
        <v>0</v>
      </c>
      <c r="CE237" s="250">
        <f>INDEX(연료전지_원본!$KB$4:$KX$369,MATCH($A237,연료전지_원본!$KB$4:$KB$369,0), MATCH(CE$4,연료전지_원본!$KB$4:$KX$4,0))*1000</f>
        <v>0</v>
      </c>
      <c r="CF237" s="250">
        <f>INDEX(연료전지_원본!$KB$4:$KX$369,MATCH($A237,연료전지_원본!$KB$4:$KB$369,0), MATCH(CF$4,연료전지_원본!$KB$4:$KX$4,0))*1000</f>
        <v>0</v>
      </c>
      <c r="CG237" s="250">
        <f>INDEX(연료전지_원본!$KB$4:$KX$369,MATCH($A237,연료전지_원본!$KB$4:$KB$369,0), MATCH(CG$4,연료전지_원본!$KB$4:$KX$4,0))*1000</f>
        <v>0</v>
      </c>
      <c r="CH237" s="250">
        <f>INDEX(연료전지_원본!$KB$4:$KX$369,MATCH($A237,연료전지_원본!$KB$4:$KB$369,0), MATCH(CH$4,연료전지_원본!$KB$4:$KX$4,0))*1000</f>
        <v>0</v>
      </c>
      <c r="CI237" s="250">
        <f>INDEX(연료전지_원본!$KB$4:$KX$369,MATCH($A237,연료전지_원본!$KB$4:$KB$369,0), MATCH(CI$4,연료전지_원본!$KB$4:$KX$4,0))*1000</f>
        <v>0</v>
      </c>
      <c r="CJ237" s="250">
        <f>INDEX(연료전지_원본!$KB$4:$KX$369,MATCH($A237,연료전지_원본!$KB$4:$KB$369,0), MATCH(CJ$4,연료전지_원본!$KB$4:$KX$4,0))*1000</f>
        <v>0</v>
      </c>
      <c r="CK237" s="250">
        <f>INDEX(연료전지_원본!$KB$4:$KX$369,MATCH($A237,연료전지_원본!$KB$4:$KB$369,0), MATCH(CK$4,연료전지_원본!$KB$4:$KX$4,0))*1000</f>
        <v>0</v>
      </c>
      <c r="CL237" s="250">
        <f>INDEX(연료전지_원본!$KB$4:$KX$369,MATCH($A237,연료전지_원본!$KB$4:$KB$369,0), MATCH(CL$4,연료전지_원본!$KB$4:$KX$4,0))*1000</f>
        <v>0</v>
      </c>
      <c r="CM237" s="250">
        <f>INDEX(연료전지_원본!$KB$4:$KX$369,MATCH($A237,연료전지_원본!$KB$4:$KB$369,0), MATCH(CM$4,연료전지_원본!$KB$4:$KX$4,0))*1000</f>
        <v>0</v>
      </c>
      <c r="CN237" s="250">
        <f>INDEX(연료전지_원본!$KB$4:$KX$369,MATCH($A237,연료전지_원본!$KB$4:$KB$369,0), MATCH(CN$4,연료전지_원본!$KB$4:$KX$4,0))*1000</f>
        <v>0</v>
      </c>
      <c r="CO237" s="250">
        <f>INDEX(연료전지_원본!$KB$4:$KX$369,MATCH($A237,연료전지_원본!$KB$4:$KB$369,0), MATCH(CO$4,연료전지_원본!$KB$4:$KX$4,0))*1000</f>
        <v>0</v>
      </c>
      <c r="CP237" s="250">
        <f>INDEX(연료전지_원본!$KB$4:$KX$369,MATCH($A237,연료전지_원본!$KB$4:$KB$369,0), MATCH(CP$4,연료전지_원본!$KB$4:$KX$4,0))*1000</f>
        <v>0</v>
      </c>
      <c r="CQ237" s="250">
        <f>INDEX(연료전지_원본!$KB$4:$KX$369,MATCH($A237,연료전지_원본!$KB$4:$KB$369,0), MATCH(CQ$4,연료전지_원본!$KB$4:$KX$4,0))*1000</f>
        <v>0</v>
      </c>
      <c r="CR237" s="250">
        <f>INDEX(연료전지_원본!$KB$4:$KX$369,MATCH($A237,연료전지_원본!$KB$4:$KB$369,0), MATCH(CR$4,연료전지_원본!$KB$4:$KX$4,0))*1000</f>
        <v>0</v>
      </c>
      <c r="CS237" s="250">
        <f>INDEX(연료전지_원본!$KB$4:$KX$369,MATCH($A237,연료전지_원본!$KB$4:$KB$369,0), MATCH(CS$4,연료전지_원본!$KB$4:$KX$4,0))*1000</f>
        <v>0</v>
      </c>
      <c r="CT237" s="250">
        <f>INDEX(연료전지_원본!$KB$4:$KX$369,MATCH($A237,연료전지_원본!$KB$4:$KB$369,0), MATCH(CT$4,연료전지_원본!$KB$4:$KX$4,0))*1000</f>
        <v>0</v>
      </c>
      <c r="CU237" s="250">
        <f>INDEX(연료전지_원본!$KB$4:$KX$369,MATCH($A237,연료전지_원본!$KB$4:$KB$369,0), MATCH(CU$4,연료전지_원본!$KB$4:$KX$4,0))*1000</f>
        <v>0</v>
      </c>
      <c r="CV237" s="250">
        <f>INDEX(연료전지_원본!$KB$4:$KX$369,MATCH($A237,연료전지_원본!$KB$4:$KB$369,0), MATCH(CV$4,연료전지_원본!$KB$4:$KX$4,0))*1000</f>
        <v>0</v>
      </c>
      <c r="CW237" s="250">
        <f>INDEX(연료전지_원본!$KB$4:$KX$369,MATCH($A237,연료전지_원본!$KB$4:$KB$369,0), MATCH(CW$4,연료전지_원본!$KB$4:$KX$4,0))*1000</f>
        <v>0</v>
      </c>
      <c r="CX237" s="250">
        <f>INDEX(연료전지_원본!$KB$4:$KX$369,MATCH($A237,연료전지_원본!$KB$4:$KB$369,0), MATCH(CX$4,연료전지_원본!$KB$4:$KX$4,0))*1000</f>
        <v>0</v>
      </c>
      <c r="CY237" s="250">
        <f>INDEX(연료전지_원본!$KB$4:$KX$369,MATCH($A237,연료전지_원본!$KB$4:$KB$369,0), MATCH(CY$4,연료전지_원본!$KB$4:$KX$4,0))*1000</f>
        <v>0</v>
      </c>
      <c r="DV237" s="30">
        <f t="shared" si="1285"/>
        <v>0</v>
      </c>
    </row>
    <row r="238" spans="1:126">
      <c r="A238" s="6">
        <v>46255</v>
      </c>
      <c r="B238" s="15">
        <f>운전실적_원본!B238</f>
        <v>0</v>
      </c>
      <c r="C238" s="16" t="str">
        <f t="shared" si="1291"/>
        <v/>
      </c>
      <c r="D238" s="12">
        <f>운전실적_원본!C238</f>
        <v>0</v>
      </c>
      <c r="E238" s="12" t="str">
        <f t="shared" si="1292"/>
        <v/>
      </c>
      <c r="F238" s="12">
        <f>운전실적_원본!D238</f>
        <v>0</v>
      </c>
      <c r="G238" s="16" t="str">
        <f t="shared" si="1293"/>
        <v/>
      </c>
      <c r="H238" s="15">
        <f>운전실적_원본!E238</f>
        <v>0</v>
      </c>
      <c r="I238" s="16" t="str">
        <f t="shared" si="1294"/>
        <v/>
      </c>
      <c r="J238" s="15">
        <f>운전실적_원본!F238</f>
        <v>0</v>
      </c>
      <c r="K238" s="16" t="str">
        <f t="shared" si="1294"/>
        <v/>
      </c>
      <c r="L238" s="32">
        <f>운전실적_원본!G238</f>
        <v>0</v>
      </c>
      <c r="M238" s="31" t="str">
        <f t="shared" ref="M238" si="1326">IF(OR(LEN(L238)=0,L238=0),"",L238-L237)</f>
        <v/>
      </c>
      <c r="N238" s="15">
        <f>운전실적_원본!H238</f>
        <v>0</v>
      </c>
      <c r="O238" s="16" t="str">
        <f t="shared" ref="O238" si="1327">IF(OR(LEN(N238)=0,N238=0),"",N238-N237)</f>
        <v/>
      </c>
      <c r="P238" s="15">
        <f>운전실적_원본!I238</f>
        <v>0</v>
      </c>
      <c r="Q238" s="16" t="str">
        <f t="shared" ref="Q238" si="1328">IF(OR(LEN(P238)=0,P238=0),"",P238-P237)</f>
        <v/>
      </c>
      <c r="R238" s="18">
        <f>운전실적_원본!J238</f>
        <v>0</v>
      </c>
      <c r="S238" s="19" t="str">
        <f t="shared" ref="S238" si="1329">IF(OR(LEN(R238)=0,R238=0),"",R238-R237)</f>
        <v/>
      </c>
      <c r="T238" s="18">
        <f>운전실적_원본!K238</f>
        <v>0</v>
      </c>
      <c r="U238" s="19" t="str">
        <f t="shared" si="1299"/>
        <v/>
      </c>
      <c r="V238" s="12">
        <f>운전실적_원본!L238</f>
        <v>0</v>
      </c>
      <c r="W238" s="16" t="str">
        <f t="shared" ref="W238" si="1330">IF(OR(LEN(V238)=0,V238=0),"",V238-V237)</f>
        <v/>
      </c>
      <c r="X238" s="10">
        <f>운전실적_원본!M238</f>
        <v>0</v>
      </c>
      <c r="Y238" s="10">
        <f>운전실적_원본!N238</f>
        <v>0</v>
      </c>
      <c r="Z238" s="10">
        <f>운전실적_원본!O238</f>
        <v>0</v>
      </c>
      <c r="AA238" s="10">
        <f>운전실적_원본!P238</f>
        <v>0</v>
      </c>
      <c r="AB238" s="10">
        <f>운전실적_원본!Q238</f>
        <v>0</v>
      </c>
      <c r="AC238" s="20">
        <f>운전실적_원본!R238</f>
        <v>0</v>
      </c>
      <c r="AD238" s="109">
        <f>운전실적_원본!S238</f>
        <v>0</v>
      </c>
      <c r="AE238" s="110">
        <f>운전실적_원본!T238</f>
        <v>0</v>
      </c>
      <c r="AF238" s="110">
        <f>운전실적_원본!U238</f>
        <v>0</v>
      </c>
      <c r="AG238" s="110">
        <f>운전실적_원본!V238</f>
        <v>0</v>
      </c>
      <c r="AH238" s="109">
        <f t="shared" si="1122"/>
        <v>0</v>
      </c>
      <c r="AI238" s="110">
        <f t="shared" si="1129"/>
        <v>0</v>
      </c>
      <c r="AJ238" s="110">
        <f>운전실적_원본!Y238</f>
        <v>0</v>
      </c>
      <c r="AK238" s="110">
        <f>운전실적_원본!Z238</f>
        <v>0</v>
      </c>
      <c r="AL238" s="106"/>
      <c r="AM238" s="105"/>
      <c r="AN238" s="105"/>
      <c r="AO238" s="105"/>
      <c r="AP238" s="105"/>
      <c r="AQ238" s="108"/>
      <c r="AR238" s="105"/>
      <c r="AS238" s="105"/>
      <c r="AT238" s="102"/>
      <c r="AU238" s="102"/>
      <c r="AV238" s="102"/>
      <c r="AW238" s="102"/>
      <c r="AX238" s="32">
        <f>운전실적_원본!W238</f>
        <v>0</v>
      </c>
      <c r="AY238" s="11">
        <f>운전실적_원본!X238</f>
        <v>0</v>
      </c>
      <c r="AZ238" s="11">
        <f>운전실적_원본!Y238</f>
        <v>0</v>
      </c>
      <c r="BA238" s="11">
        <f>운전실적_원본!Z238</f>
        <v>0</v>
      </c>
      <c r="BB238" s="11">
        <f>운전실적_원본!AA238</f>
        <v>0</v>
      </c>
      <c r="BC238" s="11">
        <f>운전실적_원본!AB238</f>
        <v>0</v>
      </c>
      <c r="BD238" s="32" t="str">
        <f t="shared" si="1115"/>
        <v>-</v>
      </c>
      <c r="BE238" s="11" t="str">
        <f t="shared" si="1123"/>
        <v>-</v>
      </c>
      <c r="BF238" s="11">
        <f>운전실적_원본!AE238</f>
        <v>0</v>
      </c>
      <c r="BG238" s="31">
        <f t="shared" si="1116"/>
        <v>0</v>
      </c>
      <c r="BH238" s="241">
        <f>INDEX(연료전지_원본!$A$4:$KY$369,MATCH($A238,연료전지_원본!$A$4:$A$369,0),MATCH($BH$4,연료전지_원본!$A$4:$KY$4,0))</f>
        <v>0</v>
      </c>
      <c r="BI238" s="241">
        <f>INDEX(연료전지_원본!$A$4:$KY$369,MATCH($A238,연료전지_원본!$A$4:$A$369,0),MATCH($BI$4,연료전지_원본!$A$4:$KY$4,0))</f>
        <v>0</v>
      </c>
      <c r="BJ238" s="241">
        <f>INDEX(연료전지_원본!$A$4:$KY$369,MATCH($A238,연료전지_원본!$A$4:$A$369,0),MATCH($BJ$4,연료전지_원본!$A$4:$KY$4,0))</f>
        <v>0</v>
      </c>
      <c r="BK238" s="241">
        <f>INDEX(연료전지_원본!$A$4:$KY$369,MATCH($A238,연료전지_원본!$A$4:$A$369,0),MATCH($BK$4,연료전지_원본!$A$4:$KY$4,0))</f>
        <v>0</v>
      </c>
      <c r="BL238" s="241">
        <f>INDEX(연료전지_원본!$A$4:$KY$369,MATCH($A238,연료전지_원본!$A$4:$A$369,0),MATCH($BL$4,연료전지_원본!$A$4:$KY$4,0))</f>
        <v>0</v>
      </c>
      <c r="BM238" s="241">
        <f>INDEX(연료전지_원본!$A$4:$KY$369,MATCH($A238,연료전지_원본!$A$4:$A$369,0),MATCH($BM$4,연료전지_원본!$A$4:$KY$4,0))</f>
        <v>0</v>
      </c>
      <c r="BN238" s="241">
        <f>INDEX(연료전지_원본!$A$4:$KY$369,MATCH($A238,연료전지_원본!$A$4:$A$369,0),MATCH($BN$4,연료전지_원본!$A$4:$KY$4,0))</f>
        <v>0</v>
      </c>
      <c r="BO238" s="241">
        <f>INDEX(연료전지_원본!$A$4:$KY$369,MATCH($A238,연료전지_원본!$A$4:$A$369,0),MATCH($BO$4,연료전지_원본!$A$4:$KY$4,0))</f>
        <v>0</v>
      </c>
      <c r="BP238" s="241">
        <f>INDEX(연료전지_원본!$A$4:$KY$369,MATCH($A238,연료전지_원본!$A$4:$A$369,0),MATCH($BP$4,연료전지_원본!$A$4:$KY$4,0))</f>
        <v>0</v>
      </c>
      <c r="BQ238" s="241">
        <f>INDEX(연료전지_원본!$A$4:$KY$369,MATCH($A238,연료전지_원본!$A$4:$A$369,0),MATCH($BQ$4,연료전지_원본!$A$4:$KY$4,0))</f>
        <v>0</v>
      </c>
      <c r="BR238" s="241">
        <f>INDEX(연료전지_원본!$A$4:$KY$369,MATCH($A238,연료전지_원본!$A$4:$A$369,0),MATCH($BR$4,연료전지_원본!$A$4:$KY$4,0))</f>
        <v>0</v>
      </c>
      <c r="BS238" s="241">
        <f>INDEX(연료전지_원본!$A$4:$KY$369,MATCH($A238,연료전지_원본!$A$4:$A$369,0),MATCH($BS$4,연료전지_원본!$A$4:$KY$4,0))</f>
        <v>0</v>
      </c>
      <c r="BT238" s="241">
        <f>INDEX(연료전지_원본!$A$4:$KY$369,MATCH($A238,연료전지_원본!$A$4:$A$369,0),MATCH($BT$4,연료전지_원본!$A$4:$KY$4,0))</f>
        <v>0</v>
      </c>
      <c r="BU238" s="241">
        <f>INDEX(연료전지_원본!$A$4:$KY$369,MATCH($A238,연료전지_원본!$A$4:$A$369,0),MATCH($BU$4,연료전지_원본!$A$4:$KY$4,0))</f>
        <v>0</v>
      </c>
      <c r="BV238" s="241">
        <f>INDEX(연료전지_원본!$A$4:$KY$369,MATCH($A238,연료전지_원본!$A$4:$A$369,0),MATCH($BV$4,연료전지_원본!$A$4:$KY$4,0))</f>
        <v>0</v>
      </c>
      <c r="BW238" s="241">
        <f>INDEX(연료전지_원본!$A$4:$KY$369,MATCH($A238,연료전지_원본!$A$4:$A$369,0),MATCH($BW$4,연료전지_원본!$A$4:$KY$4,0))</f>
        <v>0</v>
      </c>
      <c r="BX238" s="241">
        <f>INDEX(연료전지_원본!$A$4:$KY$369,MATCH($A238,연료전지_원본!$A$4:$A$369,0),MATCH($BX$4,연료전지_원본!$A$4:$KY$4,0))</f>
        <v>0</v>
      </c>
      <c r="BY238" s="241">
        <f>INDEX(연료전지_원본!$A$4:$KY$369,MATCH($A238,연료전지_원본!$A$4:$A$369,0),MATCH($BY$4,연료전지_원본!$A$4:$KY$4,0))</f>
        <v>0</v>
      </c>
      <c r="BZ238" s="241">
        <f>INDEX(연료전지_원본!$A$4:$KY$369,MATCH($A238,연료전지_원본!$A$4:$A$369,0),MATCH($BZ$4,연료전지_원본!$A$4:$KY$4,0))</f>
        <v>0</v>
      </c>
      <c r="CA238" s="241">
        <f>INDEX(연료전지_원본!$A$4:$KY$369,MATCH($A238,연료전지_원본!$A$4:$A$369,0),MATCH($CA$4,연료전지_원본!$A$4:$KY$4,0))</f>
        <v>0</v>
      </c>
      <c r="CB238" s="241">
        <f>INDEX(연료전지_원본!$A$4:$KY$369,MATCH($A238,연료전지_원본!$A$4:$A$369,0),MATCH($CB$4,연료전지_원본!$A$4:$KY$4,0))</f>
        <v>0</v>
      </c>
      <c r="CC238" s="242">
        <f>INDEX(연료전지_원본!$A$4:$KY$369,MATCH($A238,연료전지_원본!$A$4:$A$369,0),MATCH($CC$4,연료전지_원본!$A$4:$KY$4,0))</f>
        <v>0</v>
      </c>
      <c r="CD238" s="250">
        <f>INDEX(연료전지_원본!$KB$4:$KX$369,MATCH($A238,연료전지_원본!$KB$4:$KB$369,0), MATCH(CD$4,연료전지_원본!$KB$4:$KX$4,0))*1000</f>
        <v>0</v>
      </c>
      <c r="CE238" s="250">
        <f>INDEX(연료전지_원본!$KB$4:$KX$369,MATCH($A238,연료전지_원본!$KB$4:$KB$369,0), MATCH(CE$4,연료전지_원본!$KB$4:$KX$4,0))*1000</f>
        <v>0</v>
      </c>
      <c r="CF238" s="250">
        <f>INDEX(연료전지_원본!$KB$4:$KX$369,MATCH($A238,연료전지_원본!$KB$4:$KB$369,0), MATCH(CF$4,연료전지_원본!$KB$4:$KX$4,0))*1000</f>
        <v>0</v>
      </c>
      <c r="CG238" s="250">
        <f>INDEX(연료전지_원본!$KB$4:$KX$369,MATCH($A238,연료전지_원본!$KB$4:$KB$369,0), MATCH(CG$4,연료전지_원본!$KB$4:$KX$4,0))*1000</f>
        <v>0</v>
      </c>
      <c r="CH238" s="250">
        <f>INDEX(연료전지_원본!$KB$4:$KX$369,MATCH($A238,연료전지_원본!$KB$4:$KB$369,0), MATCH(CH$4,연료전지_원본!$KB$4:$KX$4,0))*1000</f>
        <v>0</v>
      </c>
      <c r="CI238" s="250">
        <f>INDEX(연료전지_원본!$KB$4:$KX$369,MATCH($A238,연료전지_원본!$KB$4:$KB$369,0), MATCH(CI$4,연료전지_원본!$KB$4:$KX$4,0))*1000</f>
        <v>0</v>
      </c>
      <c r="CJ238" s="250">
        <f>INDEX(연료전지_원본!$KB$4:$KX$369,MATCH($A238,연료전지_원본!$KB$4:$KB$369,0), MATCH(CJ$4,연료전지_원본!$KB$4:$KX$4,0))*1000</f>
        <v>0</v>
      </c>
      <c r="CK238" s="250">
        <f>INDEX(연료전지_원본!$KB$4:$KX$369,MATCH($A238,연료전지_원본!$KB$4:$KB$369,0), MATCH(CK$4,연료전지_원본!$KB$4:$KX$4,0))*1000</f>
        <v>0</v>
      </c>
      <c r="CL238" s="250">
        <f>INDEX(연료전지_원본!$KB$4:$KX$369,MATCH($A238,연료전지_원본!$KB$4:$KB$369,0), MATCH(CL$4,연료전지_원본!$KB$4:$KX$4,0))*1000</f>
        <v>0</v>
      </c>
      <c r="CM238" s="250">
        <f>INDEX(연료전지_원본!$KB$4:$KX$369,MATCH($A238,연료전지_원본!$KB$4:$KB$369,0), MATCH(CM$4,연료전지_원본!$KB$4:$KX$4,0))*1000</f>
        <v>0</v>
      </c>
      <c r="CN238" s="250">
        <f>INDEX(연료전지_원본!$KB$4:$KX$369,MATCH($A238,연료전지_원본!$KB$4:$KB$369,0), MATCH(CN$4,연료전지_원본!$KB$4:$KX$4,0))*1000</f>
        <v>0</v>
      </c>
      <c r="CO238" s="250">
        <f>INDEX(연료전지_원본!$KB$4:$KX$369,MATCH($A238,연료전지_원본!$KB$4:$KB$369,0), MATCH(CO$4,연료전지_원본!$KB$4:$KX$4,0))*1000</f>
        <v>0</v>
      </c>
      <c r="CP238" s="250">
        <f>INDEX(연료전지_원본!$KB$4:$KX$369,MATCH($A238,연료전지_원본!$KB$4:$KB$369,0), MATCH(CP$4,연료전지_원본!$KB$4:$KX$4,0))*1000</f>
        <v>0</v>
      </c>
      <c r="CQ238" s="250">
        <f>INDEX(연료전지_원본!$KB$4:$KX$369,MATCH($A238,연료전지_원본!$KB$4:$KB$369,0), MATCH(CQ$4,연료전지_원본!$KB$4:$KX$4,0))*1000</f>
        <v>0</v>
      </c>
      <c r="CR238" s="250">
        <f>INDEX(연료전지_원본!$KB$4:$KX$369,MATCH($A238,연료전지_원본!$KB$4:$KB$369,0), MATCH(CR$4,연료전지_원본!$KB$4:$KX$4,0))*1000</f>
        <v>0</v>
      </c>
      <c r="CS238" s="250">
        <f>INDEX(연료전지_원본!$KB$4:$KX$369,MATCH($A238,연료전지_원본!$KB$4:$KB$369,0), MATCH(CS$4,연료전지_원본!$KB$4:$KX$4,0))*1000</f>
        <v>0</v>
      </c>
      <c r="CT238" s="250">
        <f>INDEX(연료전지_원본!$KB$4:$KX$369,MATCH($A238,연료전지_원본!$KB$4:$KB$369,0), MATCH(CT$4,연료전지_원본!$KB$4:$KX$4,0))*1000</f>
        <v>0</v>
      </c>
      <c r="CU238" s="250">
        <f>INDEX(연료전지_원본!$KB$4:$KX$369,MATCH($A238,연료전지_원본!$KB$4:$KB$369,0), MATCH(CU$4,연료전지_원본!$KB$4:$KX$4,0))*1000</f>
        <v>0</v>
      </c>
      <c r="CV238" s="250">
        <f>INDEX(연료전지_원본!$KB$4:$KX$369,MATCH($A238,연료전지_원본!$KB$4:$KB$369,0), MATCH(CV$4,연료전지_원본!$KB$4:$KX$4,0))*1000</f>
        <v>0</v>
      </c>
      <c r="CW238" s="250">
        <f>INDEX(연료전지_원본!$KB$4:$KX$369,MATCH($A238,연료전지_원본!$KB$4:$KB$369,0), MATCH(CW$4,연료전지_원본!$KB$4:$KX$4,0))*1000</f>
        <v>0</v>
      </c>
      <c r="CX238" s="250">
        <f>INDEX(연료전지_원본!$KB$4:$KX$369,MATCH($A238,연료전지_원본!$KB$4:$KB$369,0), MATCH(CX$4,연료전지_원본!$KB$4:$KX$4,0))*1000</f>
        <v>0</v>
      </c>
      <c r="CY238" s="250">
        <f>INDEX(연료전지_원본!$KB$4:$KX$369,MATCH($A238,연료전지_원본!$KB$4:$KB$369,0), MATCH(CY$4,연료전지_원본!$KB$4:$KX$4,0))*1000</f>
        <v>0</v>
      </c>
      <c r="DV238" s="30">
        <f t="shared" si="1285"/>
        <v>0</v>
      </c>
    </row>
    <row r="239" spans="1:126">
      <c r="A239" s="6">
        <v>46256</v>
      </c>
      <c r="B239" s="15">
        <f>운전실적_원본!B239</f>
        <v>0</v>
      </c>
      <c r="C239" s="16" t="str">
        <f t="shared" si="1291"/>
        <v/>
      </c>
      <c r="D239" s="12">
        <f>운전실적_원본!C239</f>
        <v>0</v>
      </c>
      <c r="E239" s="12" t="str">
        <f t="shared" si="1292"/>
        <v/>
      </c>
      <c r="F239" s="12">
        <f>운전실적_원본!D239</f>
        <v>0</v>
      </c>
      <c r="G239" s="16" t="str">
        <f t="shared" si="1293"/>
        <v/>
      </c>
      <c r="H239" s="15">
        <f>운전실적_원본!E239</f>
        <v>0</v>
      </c>
      <c r="I239" s="16" t="str">
        <f t="shared" si="1294"/>
        <v/>
      </c>
      <c r="J239" s="15">
        <f>운전실적_원본!F239</f>
        <v>0</v>
      </c>
      <c r="K239" s="16" t="str">
        <f t="shared" si="1294"/>
        <v/>
      </c>
      <c r="L239" s="32">
        <f>운전실적_원본!G239</f>
        <v>0</v>
      </c>
      <c r="M239" s="31" t="str">
        <f t="shared" ref="M239" si="1331">IF(OR(LEN(L239)=0,L239=0),"",L239-L238)</f>
        <v/>
      </c>
      <c r="N239" s="15">
        <f>운전실적_원본!H239</f>
        <v>0</v>
      </c>
      <c r="O239" s="16" t="str">
        <f t="shared" ref="O239" si="1332">IF(OR(LEN(N239)=0,N239=0),"",N239-N238)</f>
        <v/>
      </c>
      <c r="P239" s="15">
        <f>운전실적_원본!I239</f>
        <v>0</v>
      </c>
      <c r="Q239" s="16" t="str">
        <f t="shared" ref="Q239" si="1333">IF(OR(LEN(P239)=0,P239=0),"",P239-P238)</f>
        <v/>
      </c>
      <c r="R239" s="18">
        <f>운전실적_원본!J239</f>
        <v>0</v>
      </c>
      <c r="S239" s="19" t="str">
        <f t="shared" ref="S239" si="1334">IF(OR(LEN(R239)=0,R239=0),"",R239-R238)</f>
        <v/>
      </c>
      <c r="T239" s="18">
        <f>운전실적_원본!K239</f>
        <v>0</v>
      </c>
      <c r="U239" s="19" t="str">
        <f t="shared" si="1299"/>
        <v/>
      </c>
      <c r="V239" s="12">
        <f>운전실적_원본!L239</f>
        <v>0</v>
      </c>
      <c r="W239" s="16" t="str">
        <f t="shared" ref="W239" si="1335">IF(OR(LEN(V239)=0,V239=0),"",V239-V238)</f>
        <v/>
      </c>
      <c r="X239" s="10">
        <f>운전실적_원본!M239</f>
        <v>0</v>
      </c>
      <c r="Y239" s="10">
        <f>운전실적_원본!N239</f>
        <v>0</v>
      </c>
      <c r="Z239" s="10">
        <f>운전실적_원본!O239</f>
        <v>0</v>
      </c>
      <c r="AA239" s="10">
        <f>운전실적_원본!P239</f>
        <v>0</v>
      </c>
      <c r="AB239" s="10">
        <f>운전실적_원본!Q239</f>
        <v>0</v>
      </c>
      <c r="AC239" s="20">
        <f>운전실적_원본!R239</f>
        <v>0</v>
      </c>
      <c r="AD239" s="109">
        <f>운전실적_원본!S239</f>
        <v>0</v>
      </c>
      <c r="AE239" s="110">
        <f>운전실적_원본!T239</f>
        <v>0</v>
      </c>
      <c r="AF239" s="110">
        <f>운전실적_원본!U239</f>
        <v>0</v>
      </c>
      <c r="AG239" s="110">
        <f>운전실적_원본!V239</f>
        <v>0</v>
      </c>
      <c r="AH239" s="109">
        <f t="shared" si="1122"/>
        <v>0</v>
      </c>
      <c r="AI239" s="110">
        <f t="shared" si="1129"/>
        <v>0</v>
      </c>
      <c r="AJ239" s="110">
        <f>운전실적_원본!Y239</f>
        <v>0</v>
      </c>
      <c r="AK239" s="110">
        <f>운전실적_원본!Z239</f>
        <v>0</v>
      </c>
      <c r="AL239" s="106"/>
      <c r="AM239" s="105"/>
      <c r="AN239" s="105"/>
      <c r="AO239" s="105"/>
      <c r="AP239" s="105"/>
      <c r="AQ239" s="108"/>
      <c r="AR239" s="105"/>
      <c r="AS239" s="105"/>
      <c r="AT239" s="102"/>
      <c r="AU239" s="102"/>
      <c r="AV239" s="102"/>
      <c r="AW239" s="102"/>
      <c r="AX239" s="32">
        <f>운전실적_원본!W239</f>
        <v>0</v>
      </c>
      <c r="AY239" s="11">
        <f>운전실적_원본!X239</f>
        <v>0</v>
      </c>
      <c r="AZ239" s="11">
        <f>운전실적_원본!Y239</f>
        <v>0</v>
      </c>
      <c r="BA239" s="11">
        <f>운전실적_원본!Z239</f>
        <v>0</v>
      </c>
      <c r="BB239" s="11">
        <f>운전실적_원본!AA239</f>
        <v>0</v>
      </c>
      <c r="BC239" s="11">
        <f>운전실적_원본!AB239</f>
        <v>0</v>
      </c>
      <c r="BD239" s="32" t="str">
        <f t="shared" si="1115"/>
        <v>-</v>
      </c>
      <c r="BE239" s="11" t="str">
        <f t="shared" si="1123"/>
        <v>-</v>
      </c>
      <c r="BF239" s="11">
        <f>운전실적_원본!AE239</f>
        <v>0</v>
      </c>
      <c r="BG239" s="31">
        <f t="shared" si="1116"/>
        <v>0</v>
      </c>
      <c r="BH239" s="241">
        <f>INDEX(연료전지_원본!$A$4:$KY$369,MATCH($A239,연료전지_원본!$A$4:$A$369,0),MATCH($BH$4,연료전지_원본!$A$4:$KY$4,0))</f>
        <v>0</v>
      </c>
      <c r="BI239" s="241">
        <f>INDEX(연료전지_원본!$A$4:$KY$369,MATCH($A239,연료전지_원본!$A$4:$A$369,0),MATCH($BI$4,연료전지_원본!$A$4:$KY$4,0))</f>
        <v>0</v>
      </c>
      <c r="BJ239" s="241">
        <f>INDEX(연료전지_원본!$A$4:$KY$369,MATCH($A239,연료전지_원본!$A$4:$A$369,0),MATCH($BJ$4,연료전지_원본!$A$4:$KY$4,0))</f>
        <v>0</v>
      </c>
      <c r="BK239" s="241">
        <f>INDEX(연료전지_원본!$A$4:$KY$369,MATCH($A239,연료전지_원본!$A$4:$A$369,0),MATCH($BK$4,연료전지_원본!$A$4:$KY$4,0))</f>
        <v>0</v>
      </c>
      <c r="BL239" s="241">
        <f>INDEX(연료전지_원본!$A$4:$KY$369,MATCH($A239,연료전지_원본!$A$4:$A$369,0),MATCH($BL$4,연료전지_원본!$A$4:$KY$4,0))</f>
        <v>0</v>
      </c>
      <c r="BM239" s="241">
        <f>INDEX(연료전지_원본!$A$4:$KY$369,MATCH($A239,연료전지_원본!$A$4:$A$369,0),MATCH($BM$4,연료전지_원본!$A$4:$KY$4,0))</f>
        <v>0</v>
      </c>
      <c r="BN239" s="241">
        <f>INDEX(연료전지_원본!$A$4:$KY$369,MATCH($A239,연료전지_원본!$A$4:$A$369,0),MATCH($BN$4,연료전지_원본!$A$4:$KY$4,0))</f>
        <v>0</v>
      </c>
      <c r="BO239" s="241">
        <f>INDEX(연료전지_원본!$A$4:$KY$369,MATCH($A239,연료전지_원본!$A$4:$A$369,0),MATCH($BO$4,연료전지_원본!$A$4:$KY$4,0))</f>
        <v>0</v>
      </c>
      <c r="BP239" s="241">
        <f>INDEX(연료전지_원본!$A$4:$KY$369,MATCH($A239,연료전지_원본!$A$4:$A$369,0),MATCH($BP$4,연료전지_원본!$A$4:$KY$4,0))</f>
        <v>0</v>
      </c>
      <c r="BQ239" s="241">
        <f>INDEX(연료전지_원본!$A$4:$KY$369,MATCH($A239,연료전지_원본!$A$4:$A$369,0),MATCH($BQ$4,연료전지_원본!$A$4:$KY$4,0))</f>
        <v>0</v>
      </c>
      <c r="BR239" s="241">
        <f>INDEX(연료전지_원본!$A$4:$KY$369,MATCH($A239,연료전지_원본!$A$4:$A$369,0),MATCH($BR$4,연료전지_원본!$A$4:$KY$4,0))</f>
        <v>0</v>
      </c>
      <c r="BS239" s="241">
        <f>INDEX(연료전지_원본!$A$4:$KY$369,MATCH($A239,연료전지_원본!$A$4:$A$369,0),MATCH($BS$4,연료전지_원본!$A$4:$KY$4,0))</f>
        <v>0</v>
      </c>
      <c r="BT239" s="241">
        <f>INDEX(연료전지_원본!$A$4:$KY$369,MATCH($A239,연료전지_원본!$A$4:$A$369,0),MATCH($BT$4,연료전지_원본!$A$4:$KY$4,0))</f>
        <v>0</v>
      </c>
      <c r="BU239" s="241">
        <f>INDEX(연료전지_원본!$A$4:$KY$369,MATCH($A239,연료전지_원본!$A$4:$A$369,0),MATCH($BU$4,연료전지_원본!$A$4:$KY$4,0))</f>
        <v>0</v>
      </c>
      <c r="BV239" s="241">
        <f>INDEX(연료전지_원본!$A$4:$KY$369,MATCH($A239,연료전지_원본!$A$4:$A$369,0),MATCH($BV$4,연료전지_원본!$A$4:$KY$4,0))</f>
        <v>0</v>
      </c>
      <c r="BW239" s="241">
        <f>INDEX(연료전지_원본!$A$4:$KY$369,MATCH($A239,연료전지_원본!$A$4:$A$369,0),MATCH($BW$4,연료전지_원본!$A$4:$KY$4,0))</f>
        <v>0</v>
      </c>
      <c r="BX239" s="241">
        <f>INDEX(연료전지_원본!$A$4:$KY$369,MATCH($A239,연료전지_원본!$A$4:$A$369,0),MATCH($BX$4,연료전지_원본!$A$4:$KY$4,0))</f>
        <v>0</v>
      </c>
      <c r="BY239" s="241">
        <f>INDEX(연료전지_원본!$A$4:$KY$369,MATCH($A239,연료전지_원본!$A$4:$A$369,0),MATCH($BY$4,연료전지_원본!$A$4:$KY$4,0))</f>
        <v>0</v>
      </c>
      <c r="BZ239" s="241">
        <f>INDEX(연료전지_원본!$A$4:$KY$369,MATCH($A239,연료전지_원본!$A$4:$A$369,0),MATCH($BZ$4,연료전지_원본!$A$4:$KY$4,0))</f>
        <v>0</v>
      </c>
      <c r="CA239" s="241">
        <f>INDEX(연료전지_원본!$A$4:$KY$369,MATCH($A239,연료전지_원본!$A$4:$A$369,0),MATCH($CA$4,연료전지_원본!$A$4:$KY$4,0))</f>
        <v>0</v>
      </c>
      <c r="CB239" s="241">
        <f>INDEX(연료전지_원본!$A$4:$KY$369,MATCH($A239,연료전지_원본!$A$4:$A$369,0),MATCH($CB$4,연료전지_원본!$A$4:$KY$4,0))</f>
        <v>0</v>
      </c>
      <c r="CC239" s="242">
        <f>INDEX(연료전지_원본!$A$4:$KY$369,MATCH($A239,연료전지_원본!$A$4:$A$369,0),MATCH($CC$4,연료전지_원본!$A$4:$KY$4,0))</f>
        <v>0</v>
      </c>
      <c r="CD239" s="250">
        <f>INDEX(연료전지_원본!$KB$4:$KX$369,MATCH($A239,연료전지_원본!$KB$4:$KB$369,0), MATCH(CD$4,연료전지_원본!$KB$4:$KX$4,0))*1000</f>
        <v>0</v>
      </c>
      <c r="CE239" s="250">
        <f>INDEX(연료전지_원본!$KB$4:$KX$369,MATCH($A239,연료전지_원본!$KB$4:$KB$369,0), MATCH(CE$4,연료전지_원본!$KB$4:$KX$4,0))*1000</f>
        <v>0</v>
      </c>
      <c r="CF239" s="250">
        <f>INDEX(연료전지_원본!$KB$4:$KX$369,MATCH($A239,연료전지_원본!$KB$4:$KB$369,0), MATCH(CF$4,연료전지_원본!$KB$4:$KX$4,0))*1000</f>
        <v>0</v>
      </c>
      <c r="CG239" s="250">
        <f>INDEX(연료전지_원본!$KB$4:$KX$369,MATCH($A239,연료전지_원본!$KB$4:$KB$369,0), MATCH(CG$4,연료전지_원본!$KB$4:$KX$4,0))*1000</f>
        <v>0</v>
      </c>
      <c r="CH239" s="250">
        <f>INDEX(연료전지_원본!$KB$4:$KX$369,MATCH($A239,연료전지_원본!$KB$4:$KB$369,0), MATCH(CH$4,연료전지_원본!$KB$4:$KX$4,0))*1000</f>
        <v>0</v>
      </c>
      <c r="CI239" s="250">
        <f>INDEX(연료전지_원본!$KB$4:$KX$369,MATCH($A239,연료전지_원본!$KB$4:$KB$369,0), MATCH(CI$4,연료전지_원본!$KB$4:$KX$4,0))*1000</f>
        <v>0</v>
      </c>
      <c r="CJ239" s="250">
        <f>INDEX(연료전지_원본!$KB$4:$KX$369,MATCH($A239,연료전지_원본!$KB$4:$KB$369,0), MATCH(CJ$4,연료전지_원본!$KB$4:$KX$4,0))*1000</f>
        <v>0</v>
      </c>
      <c r="CK239" s="250">
        <f>INDEX(연료전지_원본!$KB$4:$KX$369,MATCH($A239,연료전지_원본!$KB$4:$KB$369,0), MATCH(CK$4,연료전지_원본!$KB$4:$KX$4,0))*1000</f>
        <v>0</v>
      </c>
      <c r="CL239" s="250">
        <f>INDEX(연료전지_원본!$KB$4:$KX$369,MATCH($A239,연료전지_원본!$KB$4:$KB$369,0), MATCH(CL$4,연료전지_원본!$KB$4:$KX$4,0))*1000</f>
        <v>0</v>
      </c>
      <c r="CM239" s="250">
        <f>INDEX(연료전지_원본!$KB$4:$KX$369,MATCH($A239,연료전지_원본!$KB$4:$KB$369,0), MATCH(CM$4,연료전지_원본!$KB$4:$KX$4,0))*1000</f>
        <v>0</v>
      </c>
      <c r="CN239" s="250">
        <f>INDEX(연료전지_원본!$KB$4:$KX$369,MATCH($A239,연료전지_원본!$KB$4:$KB$369,0), MATCH(CN$4,연료전지_원본!$KB$4:$KX$4,0))*1000</f>
        <v>0</v>
      </c>
      <c r="CO239" s="250">
        <f>INDEX(연료전지_원본!$KB$4:$KX$369,MATCH($A239,연료전지_원본!$KB$4:$KB$369,0), MATCH(CO$4,연료전지_원본!$KB$4:$KX$4,0))*1000</f>
        <v>0</v>
      </c>
      <c r="CP239" s="250">
        <f>INDEX(연료전지_원본!$KB$4:$KX$369,MATCH($A239,연료전지_원본!$KB$4:$KB$369,0), MATCH(CP$4,연료전지_원본!$KB$4:$KX$4,0))*1000</f>
        <v>0</v>
      </c>
      <c r="CQ239" s="250">
        <f>INDEX(연료전지_원본!$KB$4:$KX$369,MATCH($A239,연료전지_원본!$KB$4:$KB$369,0), MATCH(CQ$4,연료전지_원본!$KB$4:$KX$4,0))*1000</f>
        <v>0</v>
      </c>
      <c r="CR239" s="250">
        <f>INDEX(연료전지_원본!$KB$4:$KX$369,MATCH($A239,연료전지_원본!$KB$4:$KB$369,0), MATCH(CR$4,연료전지_원본!$KB$4:$KX$4,0))*1000</f>
        <v>0</v>
      </c>
      <c r="CS239" s="250">
        <f>INDEX(연료전지_원본!$KB$4:$KX$369,MATCH($A239,연료전지_원본!$KB$4:$KB$369,0), MATCH(CS$4,연료전지_원본!$KB$4:$KX$4,0))*1000</f>
        <v>0</v>
      </c>
      <c r="CT239" s="250">
        <f>INDEX(연료전지_원본!$KB$4:$KX$369,MATCH($A239,연료전지_원본!$KB$4:$KB$369,0), MATCH(CT$4,연료전지_원본!$KB$4:$KX$4,0))*1000</f>
        <v>0</v>
      </c>
      <c r="CU239" s="250">
        <f>INDEX(연료전지_원본!$KB$4:$KX$369,MATCH($A239,연료전지_원본!$KB$4:$KB$369,0), MATCH(CU$4,연료전지_원본!$KB$4:$KX$4,0))*1000</f>
        <v>0</v>
      </c>
      <c r="CV239" s="250">
        <f>INDEX(연료전지_원본!$KB$4:$KX$369,MATCH($A239,연료전지_원본!$KB$4:$KB$369,0), MATCH(CV$4,연료전지_원본!$KB$4:$KX$4,0))*1000</f>
        <v>0</v>
      </c>
      <c r="CW239" s="250">
        <f>INDEX(연료전지_원본!$KB$4:$KX$369,MATCH($A239,연료전지_원본!$KB$4:$KB$369,0), MATCH(CW$4,연료전지_원본!$KB$4:$KX$4,0))*1000</f>
        <v>0</v>
      </c>
      <c r="CX239" s="250">
        <f>INDEX(연료전지_원본!$KB$4:$KX$369,MATCH($A239,연료전지_원본!$KB$4:$KB$369,0), MATCH(CX$4,연료전지_원본!$KB$4:$KX$4,0))*1000</f>
        <v>0</v>
      </c>
      <c r="CY239" s="250">
        <f>INDEX(연료전지_원본!$KB$4:$KX$369,MATCH($A239,연료전지_원본!$KB$4:$KB$369,0), MATCH(CY$4,연료전지_원본!$KB$4:$KX$4,0))*1000</f>
        <v>0</v>
      </c>
      <c r="DV239" s="30">
        <f t="shared" si="1285"/>
        <v>0</v>
      </c>
    </row>
    <row r="240" spans="1:126">
      <c r="A240" s="6">
        <v>46257</v>
      </c>
      <c r="B240" s="15">
        <f>운전실적_원본!B240</f>
        <v>0</v>
      </c>
      <c r="C240" s="16" t="str">
        <f t="shared" si="1291"/>
        <v/>
      </c>
      <c r="D240" s="12">
        <f>운전실적_원본!C240</f>
        <v>0</v>
      </c>
      <c r="E240" s="12" t="str">
        <f t="shared" si="1292"/>
        <v/>
      </c>
      <c r="F240" s="12">
        <f>운전실적_원본!D240</f>
        <v>0</v>
      </c>
      <c r="G240" s="16" t="str">
        <f t="shared" si="1293"/>
        <v/>
      </c>
      <c r="H240" s="15">
        <f>운전실적_원본!E240</f>
        <v>0</v>
      </c>
      <c r="I240" s="16" t="str">
        <f t="shared" si="1294"/>
        <v/>
      </c>
      <c r="J240" s="15">
        <f>운전실적_원본!F240</f>
        <v>0</v>
      </c>
      <c r="K240" s="16" t="str">
        <f t="shared" si="1294"/>
        <v/>
      </c>
      <c r="L240" s="32">
        <f>운전실적_원본!G240</f>
        <v>0</v>
      </c>
      <c r="M240" s="31" t="str">
        <f t="shared" ref="M240" si="1336">IF(OR(LEN(L240)=0,L240=0),"",L240-L239)</f>
        <v/>
      </c>
      <c r="N240" s="15">
        <f>운전실적_원본!H240</f>
        <v>0</v>
      </c>
      <c r="O240" s="16" t="str">
        <f t="shared" ref="O240" si="1337">IF(OR(LEN(N240)=0,N240=0),"",N240-N239)</f>
        <v/>
      </c>
      <c r="P240" s="15">
        <f>운전실적_원본!I240</f>
        <v>0</v>
      </c>
      <c r="Q240" s="16" t="str">
        <f t="shared" ref="Q240" si="1338">IF(OR(LEN(P240)=0,P240=0),"",P240-P239)</f>
        <v/>
      </c>
      <c r="R240" s="18">
        <f>운전실적_원본!J240</f>
        <v>0</v>
      </c>
      <c r="S240" s="19" t="str">
        <f t="shared" ref="S240" si="1339">IF(OR(LEN(R240)=0,R240=0),"",R240-R239)</f>
        <v/>
      </c>
      <c r="T240" s="18">
        <f>운전실적_원본!K240</f>
        <v>0</v>
      </c>
      <c r="U240" s="19" t="str">
        <f t="shared" si="1299"/>
        <v/>
      </c>
      <c r="V240" s="12">
        <f>운전실적_원본!L240</f>
        <v>0</v>
      </c>
      <c r="W240" s="16" t="str">
        <f t="shared" ref="W240" si="1340">IF(OR(LEN(V240)=0,V240=0),"",V240-V239)</f>
        <v/>
      </c>
      <c r="X240" s="10">
        <f>운전실적_원본!M240</f>
        <v>0</v>
      </c>
      <c r="Y240" s="10">
        <f>운전실적_원본!N240</f>
        <v>0</v>
      </c>
      <c r="Z240" s="10">
        <f>운전실적_원본!O240</f>
        <v>0</v>
      </c>
      <c r="AA240" s="10">
        <f>운전실적_원본!P240</f>
        <v>0</v>
      </c>
      <c r="AB240" s="10">
        <f>운전실적_원본!Q240</f>
        <v>0</v>
      </c>
      <c r="AC240" s="20">
        <f>운전실적_원본!R240</f>
        <v>0</v>
      </c>
      <c r="AD240" s="109">
        <f>운전실적_원본!S240</f>
        <v>0</v>
      </c>
      <c r="AE240" s="110">
        <f>운전실적_원본!T240</f>
        <v>0</v>
      </c>
      <c r="AF240" s="110">
        <f>운전실적_원본!U240</f>
        <v>0</v>
      </c>
      <c r="AG240" s="110">
        <f>운전실적_원본!V240</f>
        <v>0</v>
      </c>
      <c r="AH240" s="109">
        <f t="shared" si="1122"/>
        <v>0</v>
      </c>
      <c r="AI240" s="110">
        <f t="shared" si="1129"/>
        <v>0</v>
      </c>
      <c r="AJ240" s="110">
        <f>운전실적_원본!Y240</f>
        <v>0</v>
      </c>
      <c r="AK240" s="110">
        <f>운전실적_원본!Z240</f>
        <v>0</v>
      </c>
      <c r="AL240" s="106"/>
      <c r="AM240" s="105"/>
      <c r="AN240" s="105"/>
      <c r="AO240" s="105"/>
      <c r="AP240" s="105"/>
      <c r="AQ240" s="108"/>
      <c r="AR240" s="105"/>
      <c r="AS240" s="105"/>
      <c r="AT240" s="102"/>
      <c r="AU240" s="102"/>
      <c r="AV240" s="102"/>
      <c r="AW240" s="102"/>
      <c r="AX240" s="32">
        <f>운전실적_원본!W240</f>
        <v>0</v>
      </c>
      <c r="AY240" s="11">
        <f>운전실적_원본!X240</f>
        <v>0</v>
      </c>
      <c r="AZ240" s="11">
        <f>운전실적_원본!Y240</f>
        <v>0</v>
      </c>
      <c r="BA240" s="11">
        <f>운전실적_원본!Z240</f>
        <v>0</v>
      </c>
      <c r="BB240" s="11">
        <f>운전실적_원본!AA240</f>
        <v>0</v>
      </c>
      <c r="BC240" s="11">
        <f>운전실적_원본!AB240</f>
        <v>0</v>
      </c>
      <c r="BD240" s="32" t="str">
        <f t="shared" si="1115"/>
        <v>-</v>
      </c>
      <c r="BE240" s="11" t="str">
        <f t="shared" si="1123"/>
        <v>-</v>
      </c>
      <c r="BF240" s="11">
        <f>운전실적_원본!AE240</f>
        <v>0</v>
      </c>
      <c r="BG240" s="31">
        <f t="shared" si="1116"/>
        <v>0</v>
      </c>
      <c r="BH240" s="241">
        <f>INDEX(연료전지_원본!$A$4:$KY$369,MATCH($A240,연료전지_원본!$A$4:$A$369,0),MATCH($BH$4,연료전지_원본!$A$4:$KY$4,0))</f>
        <v>0</v>
      </c>
      <c r="BI240" s="241">
        <f>INDEX(연료전지_원본!$A$4:$KY$369,MATCH($A240,연료전지_원본!$A$4:$A$369,0),MATCH($BI$4,연료전지_원본!$A$4:$KY$4,0))</f>
        <v>0</v>
      </c>
      <c r="BJ240" s="241">
        <f>INDEX(연료전지_원본!$A$4:$KY$369,MATCH($A240,연료전지_원본!$A$4:$A$369,0),MATCH($BJ$4,연료전지_원본!$A$4:$KY$4,0))</f>
        <v>0</v>
      </c>
      <c r="BK240" s="241">
        <f>INDEX(연료전지_원본!$A$4:$KY$369,MATCH($A240,연료전지_원본!$A$4:$A$369,0),MATCH($BK$4,연료전지_원본!$A$4:$KY$4,0))</f>
        <v>0</v>
      </c>
      <c r="BL240" s="241">
        <f>INDEX(연료전지_원본!$A$4:$KY$369,MATCH($A240,연료전지_원본!$A$4:$A$369,0),MATCH($BL$4,연료전지_원본!$A$4:$KY$4,0))</f>
        <v>0</v>
      </c>
      <c r="BM240" s="241">
        <f>INDEX(연료전지_원본!$A$4:$KY$369,MATCH($A240,연료전지_원본!$A$4:$A$369,0),MATCH($BM$4,연료전지_원본!$A$4:$KY$4,0))</f>
        <v>0</v>
      </c>
      <c r="BN240" s="241">
        <f>INDEX(연료전지_원본!$A$4:$KY$369,MATCH($A240,연료전지_원본!$A$4:$A$369,0),MATCH($BN$4,연료전지_원본!$A$4:$KY$4,0))</f>
        <v>0</v>
      </c>
      <c r="BO240" s="241">
        <f>INDEX(연료전지_원본!$A$4:$KY$369,MATCH($A240,연료전지_원본!$A$4:$A$369,0),MATCH($BO$4,연료전지_원본!$A$4:$KY$4,0))</f>
        <v>0</v>
      </c>
      <c r="BP240" s="241">
        <f>INDEX(연료전지_원본!$A$4:$KY$369,MATCH($A240,연료전지_원본!$A$4:$A$369,0),MATCH($BP$4,연료전지_원본!$A$4:$KY$4,0))</f>
        <v>0</v>
      </c>
      <c r="BQ240" s="241">
        <f>INDEX(연료전지_원본!$A$4:$KY$369,MATCH($A240,연료전지_원본!$A$4:$A$369,0),MATCH($BQ$4,연료전지_원본!$A$4:$KY$4,0))</f>
        <v>0</v>
      </c>
      <c r="BR240" s="241">
        <f>INDEX(연료전지_원본!$A$4:$KY$369,MATCH($A240,연료전지_원본!$A$4:$A$369,0),MATCH($BR$4,연료전지_원본!$A$4:$KY$4,0))</f>
        <v>0</v>
      </c>
      <c r="BS240" s="241">
        <f>INDEX(연료전지_원본!$A$4:$KY$369,MATCH($A240,연료전지_원본!$A$4:$A$369,0),MATCH($BS$4,연료전지_원본!$A$4:$KY$4,0))</f>
        <v>0</v>
      </c>
      <c r="BT240" s="241">
        <f>INDEX(연료전지_원본!$A$4:$KY$369,MATCH($A240,연료전지_원본!$A$4:$A$369,0),MATCH($BT$4,연료전지_원본!$A$4:$KY$4,0))</f>
        <v>0</v>
      </c>
      <c r="BU240" s="241">
        <f>INDEX(연료전지_원본!$A$4:$KY$369,MATCH($A240,연료전지_원본!$A$4:$A$369,0),MATCH($BU$4,연료전지_원본!$A$4:$KY$4,0))</f>
        <v>0</v>
      </c>
      <c r="BV240" s="241">
        <f>INDEX(연료전지_원본!$A$4:$KY$369,MATCH($A240,연료전지_원본!$A$4:$A$369,0),MATCH($BV$4,연료전지_원본!$A$4:$KY$4,0))</f>
        <v>0</v>
      </c>
      <c r="BW240" s="241">
        <f>INDEX(연료전지_원본!$A$4:$KY$369,MATCH($A240,연료전지_원본!$A$4:$A$369,0),MATCH($BW$4,연료전지_원본!$A$4:$KY$4,0))</f>
        <v>0</v>
      </c>
      <c r="BX240" s="241">
        <f>INDEX(연료전지_원본!$A$4:$KY$369,MATCH($A240,연료전지_원본!$A$4:$A$369,0),MATCH($BX$4,연료전지_원본!$A$4:$KY$4,0))</f>
        <v>0</v>
      </c>
      <c r="BY240" s="241">
        <f>INDEX(연료전지_원본!$A$4:$KY$369,MATCH($A240,연료전지_원본!$A$4:$A$369,0),MATCH($BY$4,연료전지_원본!$A$4:$KY$4,0))</f>
        <v>0</v>
      </c>
      <c r="BZ240" s="241">
        <f>INDEX(연료전지_원본!$A$4:$KY$369,MATCH($A240,연료전지_원본!$A$4:$A$369,0),MATCH($BZ$4,연료전지_원본!$A$4:$KY$4,0))</f>
        <v>0</v>
      </c>
      <c r="CA240" s="241">
        <f>INDEX(연료전지_원본!$A$4:$KY$369,MATCH($A240,연료전지_원본!$A$4:$A$369,0),MATCH($CA$4,연료전지_원본!$A$4:$KY$4,0))</f>
        <v>0</v>
      </c>
      <c r="CB240" s="241">
        <f>INDEX(연료전지_원본!$A$4:$KY$369,MATCH($A240,연료전지_원본!$A$4:$A$369,0),MATCH($CB$4,연료전지_원본!$A$4:$KY$4,0))</f>
        <v>0</v>
      </c>
      <c r="CC240" s="242">
        <f>INDEX(연료전지_원본!$A$4:$KY$369,MATCH($A240,연료전지_원본!$A$4:$A$369,0),MATCH($CC$4,연료전지_원본!$A$4:$KY$4,0))</f>
        <v>0</v>
      </c>
      <c r="CD240" s="250">
        <f>INDEX(연료전지_원본!$KB$4:$KX$369,MATCH($A240,연료전지_원본!$KB$4:$KB$369,0), MATCH(CD$4,연료전지_원본!$KB$4:$KX$4,0))*1000</f>
        <v>0</v>
      </c>
      <c r="CE240" s="250">
        <f>INDEX(연료전지_원본!$KB$4:$KX$369,MATCH($A240,연료전지_원본!$KB$4:$KB$369,0), MATCH(CE$4,연료전지_원본!$KB$4:$KX$4,0))*1000</f>
        <v>0</v>
      </c>
      <c r="CF240" s="250">
        <f>INDEX(연료전지_원본!$KB$4:$KX$369,MATCH($A240,연료전지_원본!$KB$4:$KB$369,0), MATCH(CF$4,연료전지_원본!$KB$4:$KX$4,0))*1000</f>
        <v>0</v>
      </c>
      <c r="CG240" s="250">
        <f>INDEX(연료전지_원본!$KB$4:$KX$369,MATCH($A240,연료전지_원본!$KB$4:$KB$369,0), MATCH(CG$4,연료전지_원본!$KB$4:$KX$4,0))*1000</f>
        <v>0</v>
      </c>
      <c r="CH240" s="250">
        <f>INDEX(연료전지_원본!$KB$4:$KX$369,MATCH($A240,연료전지_원본!$KB$4:$KB$369,0), MATCH(CH$4,연료전지_원본!$KB$4:$KX$4,0))*1000</f>
        <v>0</v>
      </c>
      <c r="CI240" s="250">
        <f>INDEX(연료전지_원본!$KB$4:$KX$369,MATCH($A240,연료전지_원본!$KB$4:$KB$369,0), MATCH(CI$4,연료전지_원본!$KB$4:$KX$4,0))*1000</f>
        <v>0</v>
      </c>
      <c r="CJ240" s="250">
        <f>INDEX(연료전지_원본!$KB$4:$KX$369,MATCH($A240,연료전지_원본!$KB$4:$KB$369,0), MATCH(CJ$4,연료전지_원본!$KB$4:$KX$4,0))*1000</f>
        <v>0</v>
      </c>
      <c r="CK240" s="250">
        <f>INDEX(연료전지_원본!$KB$4:$KX$369,MATCH($A240,연료전지_원본!$KB$4:$KB$369,0), MATCH(CK$4,연료전지_원본!$KB$4:$KX$4,0))*1000</f>
        <v>0</v>
      </c>
      <c r="CL240" s="250">
        <f>INDEX(연료전지_원본!$KB$4:$KX$369,MATCH($A240,연료전지_원본!$KB$4:$KB$369,0), MATCH(CL$4,연료전지_원본!$KB$4:$KX$4,0))*1000</f>
        <v>0</v>
      </c>
      <c r="CM240" s="250">
        <f>INDEX(연료전지_원본!$KB$4:$KX$369,MATCH($A240,연료전지_원본!$KB$4:$KB$369,0), MATCH(CM$4,연료전지_원본!$KB$4:$KX$4,0))*1000</f>
        <v>0</v>
      </c>
      <c r="CN240" s="250">
        <f>INDEX(연료전지_원본!$KB$4:$KX$369,MATCH($A240,연료전지_원본!$KB$4:$KB$369,0), MATCH(CN$4,연료전지_원본!$KB$4:$KX$4,0))*1000</f>
        <v>0</v>
      </c>
      <c r="CO240" s="250">
        <f>INDEX(연료전지_원본!$KB$4:$KX$369,MATCH($A240,연료전지_원본!$KB$4:$KB$369,0), MATCH(CO$4,연료전지_원본!$KB$4:$KX$4,0))*1000</f>
        <v>0</v>
      </c>
      <c r="CP240" s="250">
        <f>INDEX(연료전지_원본!$KB$4:$KX$369,MATCH($A240,연료전지_원본!$KB$4:$KB$369,0), MATCH(CP$4,연료전지_원본!$KB$4:$KX$4,0))*1000</f>
        <v>0</v>
      </c>
      <c r="CQ240" s="250">
        <f>INDEX(연료전지_원본!$KB$4:$KX$369,MATCH($A240,연료전지_원본!$KB$4:$KB$369,0), MATCH(CQ$4,연료전지_원본!$KB$4:$KX$4,0))*1000</f>
        <v>0</v>
      </c>
      <c r="CR240" s="250">
        <f>INDEX(연료전지_원본!$KB$4:$KX$369,MATCH($A240,연료전지_원본!$KB$4:$KB$369,0), MATCH(CR$4,연료전지_원본!$KB$4:$KX$4,0))*1000</f>
        <v>0</v>
      </c>
      <c r="CS240" s="250">
        <f>INDEX(연료전지_원본!$KB$4:$KX$369,MATCH($A240,연료전지_원본!$KB$4:$KB$369,0), MATCH(CS$4,연료전지_원본!$KB$4:$KX$4,0))*1000</f>
        <v>0</v>
      </c>
      <c r="CT240" s="250">
        <f>INDEX(연료전지_원본!$KB$4:$KX$369,MATCH($A240,연료전지_원본!$KB$4:$KB$369,0), MATCH(CT$4,연료전지_원본!$KB$4:$KX$4,0))*1000</f>
        <v>0</v>
      </c>
      <c r="CU240" s="250">
        <f>INDEX(연료전지_원본!$KB$4:$KX$369,MATCH($A240,연료전지_원본!$KB$4:$KB$369,0), MATCH(CU$4,연료전지_원본!$KB$4:$KX$4,0))*1000</f>
        <v>0</v>
      </c>
      <c r="CV240" s="250">
        <f>INDEX(연료전지_원본!$KB$4:$KX$369,MATCH($A240,연료전지_원본!$KB$4:$KB$369,0), MATCH(CV$4,연료전지_원본!$KB$4:$KX$4,0))*1000</f>
        <v>0</v>
      </c>
      <c r="CW240" s="250">
        <f>INDEX(연료전지_원본!$KB$4:$KX$369,MATCH($A240,연료전지_원본!$KB$4:$KB$369,0), MATCH(CW$4,연료전지_원본!$KB$4:$KX$4,0))*1000</f>
        <v>0</v>
      </c>
      <c r="CX240" s="250">
        <f>INDEX(연료전지_원본!$KB$4:$KX$369,MATCH($A240,연료전지_원본!$KB$4:$KB$369,0), MATCH(CX$4,연료전지_원본!$KB$4:$KX$4,0))*1000</f>
        <v>0</v>
      </c>
      <c r="CY240" s="250">
        <f>INDEX(연료전지_원본!$KB$4:$KX$369,MATCH($A240,연료전지_원본!$KB$4:$KB$369,0), MATCH(CY$4,연료전지_원본!$KB$4:$KX$4,0))*1000</f>
        <v>0</v>
      </c>
      <c r="DV240" s="30">
        <f t="shared" si="1285"/>
        <v>0</v>
      </c>
    </row>
    <row r="241" spans="1:126">
      <c r="A241" s="6">
        <v>46258</v>
      </c>
      <c r="B241" s="15">
        <f>운전실적_원본!B241</f>
        <v>0</v>
      </c>
      <c r="C241" s="16" t="str">
        <f t="shared" si="1291"/>
        <v/>
      </c>
      <c r="D241" s="12">
        <f>운전실적_원본!C241</f>
        <v>0</v>
      </c>
      <c r="E241" s="12" t="str">
        <f t="shared" si="1292"/>
        <v/>
      </c>
      <c r="F241" s="12">
        <f>운전실적_원본!D241</f>
        <v>0</v>
      </c>
      <c r="G241" s="16" t="str">
        <f t="shared" si="1293"/>
        <v/>
      </c>
      <c r="H241" s="15">
        <f>운전실적_원본!E241</f>
        <v>0</v>
      </c>
      <c r="I241" s="16" t="str">
        <f t="shared" si="1294"/>
        <v/>
      </c>
      <c r="J241" s="15">
        <f>운전실적_원본!F241</f>
        <v>0</v>
      </c>
      <c r="K241" s="16" t="str">
        <f t="shared" si="1294"/>
        <v/>
      </c>
      <c r="L241" s="32">
        <f>운전실적_원본!G241</f>
        <v>0</v>
      </c>
      <c r="M241" s="31" t="str">
        <f t="shared" ref="M241" si="1341">IF(OR(LEN(L241)=0,L241=0),"",L241-L240)</f>
        <v/>
      </c>
      <c r="N241" s="15">
        <f>운전실적_원본!H241</f>
        <v>0</v>
      </c>
      <c r="O241" s="16" t="str">
        <f t="shared" ref="O241" si="1342">IF(OR(LEN(N241)=0,N241=0),"",N241-N240)</f>
        <v/>
      </c>
      <c r="P241" s="15">
        <f>운전실적_원본!I241</f>
        <v>0</v>
      </c>
      <c r="Q241" s="16" t="str">
        <f t="shared" ref="Q241" si="1343">IF(OR(LEN(P241)=0,P241=0),"",P241-P240)</f>
        <v/>
      </c>
      <c r="R241" s="18">
        <f>운전실적_원본!J241</f>
        <v>0</v>
      </c>
      <c r="S241" s="19" t="str">
        <f t="shared" ref="S241" si="1344">IF(OR(LEN(R241)=0,R241=0),"",R241-R240)</f>
        <v/>
      </c>
      <c r="T241" s="18">
        <f>운전실적_원본!K241</f>
        <v>0</v>
      </c>
      <c r="U241" s="19" t="str">
        <f t="shared" si="1299"/>
        <v/>
      </c>
      <c r="V241" s="12">
        <f>운전실적_원본!L241</f>
        <v>0</v>
      </c>
      <c r="W241" s="16" t="str">
        <f t="shared" ref="W241" si="1345">IF(OR(LEN(V241)=0,V241=0),"",V241-V240)</f>
        <v/>
      </c>
      <c r="X241" s="10">
        <f>운전실적_원본!M241</f>
        <v>0</v>
      </c>
      <c r="Y241" s="10">
        <f>운전실적_원본!N241</f>
        <v>0</v>
      </c>
      <c r="Z241" s="10">
        <f>운전실적_원본!O241</f>
        <v>0</v>
      </c>
      <c r="AA241" s="10">
        <f>운전실적_원본!P241</f>
        <v>0</v>
      </c>
      <c r="AB241" s="10">
        <f>운전실적_원본!Q241</f>
        <v>0</v>
      </c>
      <c r="AC241" s="20">
        <f>운전실적_원본!R241</f>
        <v>0</v>
      </c>
      <c r="AD241" s="109">
        <f>운전실적_원본!S241</f>
        <v>0</v>
      </c>
      <c r="AE241" s="110">
        <f>운전실적_원본!T241</f>
        <v>0</v>
      </c>
      <c r="AF241" s="110">
        <f>운전실적_원본!U241</f>
        <v>0</v>
      </c>
      <c r="AG241" s="110">
        <f>운전실적_원본!V241</f>
        <v>0</v>
      </c>
      <c r="AH241" s="109">
        <f t="shared" si="1122"/>
        <v>0</v>
      </c>
      <c r="AI241" s="110">
        <f t="shared" si="1129"/>
        <v>0</v>
      </c>
      <c r="AJ241" s="110">
        <f>운전실적_원본!Y241</f>
        <v>0</v>
      </c>
      <c r="AK241" s="110">
        <f>운전실적_원본!Z241</f>
        <v>0</v>
      </c>
      <c r="AL241" s="106"/>
      <c r="AM241" s="105"/>
      <c r="AN241" s="105"/>
      <c r="AO241" s="105"/>
      <c r="AP241" s="105"/>
      <c r="AQ241" s="108"/>
      <c r="AR241" s="105"/>
      <c r="AS241" s="105"/>
      <c r="AT241" s="102"/>
      <c r="AU241" s="102"/>
      <c r="AV241" s="102"/>
      <c r="AW241" s="102"/>
      <c r="AX241" s="32">
        <f>운전실적_원본!W241</f>
        <v>0</v>
      </c>
      <c r="AY241" s="11">
        <f>운전실적_원본!X241</f>
        <v>0</v>
      </c>
      <c r="AZ241" s="11">
        <f>운전실적_원본!Y241</f>
        <v>0</v>
      </c>
      <c r="BA241" s="11">
        <f>운전실적_원본!Z241</f>
        <v>0</v>
      </c>
      <c r="BB241" s="11">
        <f>운전실적_원본!AA241</f>
        <v>0</v>
      </c>
      <c r="BC241" s="11">
        <f>운전실적_원본!AB241</f>
        <v>0</v>
      </c>
      <c r="BD241" s="32" t="str">
        <f t="shared" si="1115"/>
        <v>-</v>
      </c>
      <c r="BE241" s="11" t="str">
        <f t="shared" si="1123"/>
        <v>-</v>
      </c>
      <c r="BF241" s="11">
        <f>운전실적_원본!AE241</f>
        <v>0</v>
      </c>
      <c r="BG241" s="31">
        <f t="shared" si="1116"/>
        <v>0</v>
      </c>
      <c r="BH241" s="241">
        <f>INDEX(연료전지_원본!$A$4:$KY$369,MATCH($A241,연료전지_원본!$A$4:$A$369,0),MATCH($BH$4,연료전지_원본!$A$4:$KY$4,0))</f>
        <v>0</v>
      </c>
      <c r="BI241" s="241">
        <f>INDEX(연료전지_원본!$A$4:$KY$369,MATCH($A241,연료전지_원본!$A$4:$A$369,0),MATCH($BI$4,연료전지_원본!$A$4:$KY$4,0))</f>
        <v>0</v>
      </c>
      <c r="BJ241" s="241">
        <f>INDEX(연료전지_원본!$A$4:$KY$369,MATCH($A241,연료전지_원본!$A$4:$A$369,0),MATCH($BJ$4,연료전지_원본!$A$4:$KY$4,0))</f>
        <v>0</v>
      </c>
      <c r="BK241" s="241">
        <f>INDEX(연료전지_원본!$A$4:$KY$369,MATCH($A241,연료전지_원본!$A$4:$A$369,0),MATCH($BK$4,연료전지_원본!$A$4:$KY$4,0))</f>
        <v>0</v>
      </c>
      <c r="BL241" s="241">
        <f>INDEX(연료전지_원본!$A$4:$KY$369,MATCH($A241,연료전지_원본!$A$4:$A$369,0),MATCH($BL$4,연료전지_원본!$A$4:$KY$4,0))</f>
        <v>0</v>
      </c>
      <c r="BM241" s="241">
        <f>INDEX(연료전지_원본!$A$4:$KY$369,MATCH($A241,연료전지_원본!$A$4:$A$369,0),MATCH($BM$4,연료전지_원본!$A$4:$KY$4,0))</f>
        <v>0</v>
      </c>
      <c r="BN241" s="241">
        <f>INDEX(연료전지_원본!$A$4:$KY$369,MATCH($A241,연료전지_원본!$A$4:$A$369,0),MATCH($BN$4,연료전지_원본!$A$4:$KY$4,0))</f>
        <v>0</v>
      </c>
      <c r="BO241" s="241">
        <f>INDEX(연료전지_원본!$A$4:$KY$369,MATCH($A241,연료전지_원본!$A$4:$A$369,0),MATCH($BO$4,연료전지_원본!$A$4:$KY$4,0))</f>
        <v>0</v>
      </c>
      <c r="BP241" s="241">
        <f>INDEX(연료전지_원본!$A$4:$KY$369,MATCH($A241,연료전지_원본!$A$4:$A$369,0),MATCH($BP$4,연료전지_원본!$A$4:$KY$4,0))</f>
        <v>0</v>
      </c>
      <c r="BQ241" s="241">
        <f>INDEX(연료전지_원본!$A$4:$KY$369,MATCH($A241,연료전지_원본!$A$4:$A$369,0),MATCH($BQ$4,연료전지_원본!$A$4:$KY$4,0))</f>
        <v>0</v>
      </c>
      <c r="BR241" s="241">
        <f>INDEX(연료전지_원본!$A$4:$KY$369,MATCH($A241,연료전지_원본!$A$4:$A$369,0),MATCH($BR$4,연료전지_원본!$A$4:$KY$4,0))</f>
        <v>0</v>
      </c>
      <c r="BS241" s="241">
        <f>INDEX(연료전지_원본!$A$4:$KY$369,MATCH($A241,연료전지_원본!$A$4:$A$369,0),MATCH($BS$4,연료전지_원본!$A$4:$KY$4,0))</f>
        <v>0</v>
      </c>
      <c r="BT241" s="241">
        <f>INDEX(연료전지_원본!$A$4:$KY$369,MATCH($A241,연료전지_원본!$A$4:$A$369,0),MATCH($BT$4,연료전지_원본!$A$4:$KY$4,0))</f>
        <v>0</v>
      </c>
      <c r="BU241" s="241">
        <f>INDEX(연료전지_원본!$A$4:$KY$369,MATCH($A241,연료전지_원본!$A$4:$A$369,0),MATCH($BU$4,연료전지_원본!$A$4:$KY$4,0))</f>
        <v>0</v>
      </c>
      <c r="BV241" s="241">
        <f>INDEX(연료전지_원본!$A$4:$KY$369,MATCH($A241,연료전지_원본!$A$4:$A$369,0),MATCH($BV$4,연료전지_원본!$A$4:$KY$4,0))</f>
        <v>0</v>
      </c>
      <c r="BW241" s="241">
        <f>INDEX(연료전지_원본!$A$4:$KY$369,MATCH($A241,연료전지_원본!$A$4:$A$369,0),MATCH($BW$4,연료전지_원본!$A$4:$KY$4,0))</f>
        <v>0</v>
      </c>
      <c r="BX241" s="241">
        <f>INDEX(연료전지_원본!$A$4:$KY$369,MATCH($A241,연료전지_원본!$A$4:$A$369,0),MATCH($BX$4,연료전지_원본!$A$4:$KY$4,0))</f>
        <v>0</v>
      </c>
      <c r="BY241" s="241">
        <f>INDEX(연료전지_원본!$A$4:$KY$369,MATCH($A241,연료전지_원본!$A$4:$A$369,0),MATCH($BY$4,연료전지_원본!$A$4:$KY$4,0))</f>
        <v>0</v>
      </c>
      <c r="BZ241" s="241">
        <f>INDEX(연료전지_원본!$A$4:$KY$369,MATCH($A241,연료전지_원본!$A$4:$A$369,0),MATCH($BZ$4,연료전지_원본!$A$4:$KY$4,0))</f>
        <v>0</v>
      </c>
      <c r="CA241" s="241">
        <f>INDEX(연료전지_원본!$A$4:$KY$369,MATCH($A241,연료전지_원본!$A$4:$A$369,0),MATCH($CA$4,연료전지_원본!$A$4:$KY$4,0))</f>
        <v>0</v>
      </c>
      <c r="CB241" s="241">
        <f>INDEX(연료전지_원본!$A$4:$KY$369,MATCH($A241,연료전지_원본!$A$4:$A$369,0),MATCH($CB$4,연료전지_원본!$A$4:$KY$4,0))</f>
        <v>0</v>
      </c>
      <c r="CC241" s="242">
        <f>INDEX(연료전지_원본!$A$4:$KY$369,MATCH($A241,연료전지_원본!$A$4:$A$369,0),MATCH($CC$4,연료전지_원본!$A$4:$KY$4,0))</f>
        <v>0</v>
      </c>
      <c r="CD241" s="250">
        <f>INDEX(연료전지_원본!$KB$4:$KX$369,MATCH($A241,연료전지_원본!$KB$4:$KB$369,0), MATCH(CD$4,연료전지_원본!$KB$4:$KX$4,0))*1000</f>
        <v>0</v>
      </c>
      <c r="CE241" s="250">
        <f>INDEX(연료전지_원본!$KB$4:$KX$369,MATCH($A241,연료전지_원본!$KB$4:$KB$369,0), MATCH(CE$4,연료전지_원본!$KB$4:$KX$4,0))*1000</f>
        <v>0</v>
      </c>
      <c r="CF241" s="250">
        <f>INDEX(연료전지_원본!$KB$4:$KX$369,MATCH($A241,연료전지_원본!$KB$4:$KB$369,0), MATCH(CF$4,연료전지_원본!$KB$4:$KX$4,0))*1000</f>
        <v>0</v>
      </c>
      <c r="CG241" s="250">
        <f>INDEX(연료전지_원본!$KB$4:$KX$369,MATCH($A241,연료전지_원본!$KB$4:$KB$369,0), MATCH(CG$4,연료전지_원본!$KB$4:$KX$4,0))*1000</f>
        <v>0</v>
      </c>
      <c r="CH241" s="250">
        <f>INDEX(연료전지_원본!$KB$4:$KX$369,MATCH($A241,연료전지_원본!$KB$4:$KB$369,0), MATCH(CH$4,연료전지_원본!$KB$4:$KX$4,0))*1000</f>
        <v>0</v>
      </c>
      <c r="CI241" s="250">
        <f>INDEX(연료전지_원본!$KB$4:$KX$369,MATCH($A241,연료전지_원본!$KB$4:$KB$369,0), MATCH(CI$4,연료전지_원본!$KB$4:$KX$4,0))*1000</f>
        <v>0</v>
      </c>
      <c r="CJ241" s="250">
        <f>INDEX(연료전지_원본!$KB$4:$KX$369,MATCH($A241,연료전지_원본!$KB$4:$KB$369,0), MATCH(CJ$4,연료전지_원본!$KB$4:$KX$4,0))*1000</f>
        <v>0</v>
      </c>
      <c r="CK241" s="250">
        <f>INDEX(연료전지_원본!$KB$4:$KX$369,MATCH($A241,연료전지_원본!$KB$4:$KB$369,0), MATCH(CK$4,연료전지_원본!$KB$4:$KX$4,0))*1000</f>
        <v>0</v>
      </c>
      <c r="CL241" s="250">
        <f>INDEX(연료전지_원본!$KB$4:$KX$369,MATCH($A241,연료전지_원본!$KB$4:$KB$369,0), MATCH(CL$4,연료전지_원본!$KB$4:$KX$4,0))*1000</f>
        <v>0</v>
      </c>
      <c r="CM241" s="250">
        <f>INDEX(연료전지_원본!$KB$4:$KX$369,MATCH($A241,연료전지_원본!$KB$4:$KB$369,0), MATCH(CM$4,연료전지_원본!$KB$4:$KX$4,0))*1000</f>
        <v>0</v>
      </c>
      <c r="CN241" s="250">
        <f>INDEX(연료전지_원본!$KB$4:$KX$369,MATCH($A241,연료전지_원본!$KB$4:$KB$369,0), MATCH(CN$4,연료전지_원본!$KB$4:$KX$4,0))*1000</f>
        <v>0</v>
      </c>
      <c r="CO241" s="250">
        <f>INDEX(연료전지_원본!$KB$4:$KX$369,MATCH($A241,연료전지_원본!$KB$4:$KB$369,0), MATCH(CO$4,연료전지_원본!$KB$4:$KX$4,0))*1000</f>
        <v>0</v>
      </c>
      <c r="CP241" s="250">
        <f>INDEX(연료전지_원본!$KB$4:$KX$369,MATCH($A241,연료전지_원본!$KB$4:$KB$369,0), MATCH(CP$4,연료전지_원본!$KB$4:$KX$4,0))*1000</f>
        <v>0</v>
      </c>
      <c r="CQ241" s="250">
        <f>INDEX(연료전지_원본!$KB$4:$KX$369,MATCH($A241,연료전지_원본!$KB$4:$KB$369,0), MATCH(CQ$4,연료전지_원본!$KB$4:$KX$4,0))*1000</f>
        <v>0</v>
      </c>
      <c r="CR241" s="250">
        <f>INDEX(연료전지_원본!$KB$4:$KX$369,MATCH($A241,연료전지_원본!$KB$4:$KB$369,0), MATCH(CR$4,연료전지_원본!$KB$4:$KX$4,0))*1000</f>
        <v>0</v>
      </c>
      <c r="CS241" s="250">
        <f>INDEX(연료전지_원본!$KB$4:$KX$369,MATCH($A241,연료전지_원본!$KB$4:$KB$369,0), MATCH(CS$4,연료전지_원본!$KB$4:$KX$4,0))*1000</f>
        <v>0</v>
      </c>
      <c r="CT241" s="250">
        <f>INDEX(연료전지_원본!$KB$4:$KX$369,MATCH($A241,연료전지_원본!$KB$4:$KB$369,0), MATCH(CT$4,연료전지_원본!$KB$4:$KX$4,0))*1000</f>
        <v>0</v>
      </c>
      <c r="CU241" s="250">
        <f>INDEX(연료전지_원본!$KB$4:$KX$369,MATCH($A241,연료전지_원본!$KB$4:$KB$369,0), MATCH(CU$4,연료전지_원본!$KB$4:$KX$4,0))*1000</f>
        <v>0</v>
      </c>
      <c r="CV241" s="250">
        <f>INDEX(연료전지_원본!$KB$4:$KX$369,MATCH($A241,연료전지_원본!$KB$4:$KB$369,0), MATCH(CV$4,연료전지_원본!$KB$4:$KX$4,0))*1000</f>
        <v>0</v>
      </c>
      <c r="CW241" s="250">
        <f>INDEX(연료전지_원본!$KB$4:$KX$369,MATCH($A241,연료전지_원본!$KB$4:$KB$369,0), MATCH(CW$4,연료전지_원본!$KB$4:$KX$4,0))*1000</f>
        <v>0</v>
      </c>
      <c r="CX241" s="250">
        <f>INDEX(연료전지_원본!$KB$4:$KX$369,MATCH($A241,연료전지_원본!$KB$4:$KB$369,0), MATCH(CX$4,연료전지_원본!$KB$4:$KX$4,0))*1000</f>
        <v>0</v>
      </c>
      <c r="CY241" s="250">
        <f>INDEX(연료전지_원본!$KB$4:$KX$369,MATCH($A241,연료전지_원본!$KB$4:$KB$369,0), MATCH(CY$4,연료전지_원본!$KB$4:$KX$4,0))*1000</f>
        <v>0</v>
      </c>
      <c r="DV241" s="30">
        <f t="shared" si="1285"/>
        <v>0</v>
      </c>
    </row>
    <row r="242" spans="1:126">
      <c r="A242" s="6">
        <v>46259</v>
      </c>
      <c r="B242" s="15">
        <f>운전실적_원본!B242</f>
        <v>0</v>
      </c>
      <c r="C242" s="16" t="str">
        <f t="shared" si="1291"/>
        <v/>
      </c>
      <c r="D242" s="12">
        <f>운전실적_원본!C242</f>
        <v>0</v>
      </c>
      <c r="E242" s="12" t="str">
        <f t="shared" si="1292"/>
        <v/>
      </c>
      <c r="F242" s="12">
        <f>운전실적_원본!D242</f>
        <v>0</v>
      </c>
      <c r="G242" s="16" t="str">
        <f t="shared" si="1293"/>
        <v/>
      </c>
      <c r="H242" s="15">
        <f>운전실적_원본!E242</f>
        <v>0</v>
      </c>
      <c r="I242" s="16" t="str">
        <f t="shared" si="1294"/>
        <v/>
      </c>
      <c r="J242" s="15">
        <f>운전실적_원본!F242</f>
        <v>0</v>
      </c>
      <c r="K242" s="16" t="str">
        <f t="shared" si="1294"/>
        <v/>
      </c>
      <c r="L242" s="32">
        <f>운전실적_원본!G242</f>
        <v>0</v>
      </c>
      <c r="M242" s="31" t="str">
        <f t="shared" ref="M242" si="1346">IF(OR(LEN(L242)=0,L242=0),"",L242-L241)</f>
        <v/>
      </c>
      <c r="N242" s="15">
        <f>운전실적_원본!H242</f>
        <v>0</v>
      </c>
      <c r="O242" s="16" t="str">
        <f t="shared" ref="O242" si="1347">IF(OR(LEN(N242)=0,N242=0),"",N242-N241)</f>
        <v/>
      </c>
      <c r="P242" s="15">
        <f>운전실적_원본!I242</f>
        <v>0</v>
      </c>
      <c r="Q242" s="16" t="str">
        <f t="shared" ref="Q242" si="1348">IF(OR(LEN(P242)=0,P242=0),"",P242-P241)</f>
        <v/>
      </c>
      <c r="R242" s="18">
        <f>운전실적_원본!J242</f>
        <v>0</v>
      </c>
      <c r="S242" s="19" t="str">
        <f t="shared" ref="S242" si="1349">IF(OR(LEN(R242)=0,R242=0),"",R242-R241)</f>
        <v/>
      </c>
      <c r="T242" s="18">
        <f>운전실적_원본!K242</f>
        <v>0</v>
      </c>
      <c r="U242" s="19" t="str">
        <f t="shared" si="1299"/>
        <v/>
      </c>
      <c r="V242" s="12">
        <f>운전실적_원본!L242</f>
        <v>0</v>
      </c>
      <c r="W242" s="16" t="str">
        <f t="shared" ref="W242" si="1350">IF(OR(LEN(V242)=0,V242=0),"",V242-V241)</f>
        <v/>
      </c>
      <c r="X242" s="10">
        <f>운전실적_원본!M242</f>
        <v>0</v>
      </c>
      <c r="Y242" s="10">
        <f>운전실적_원본!N242</f>
        <v>0</v>
      </c>
      <c r="Z242" s="10">
        <f>운전실적_원본!O242</f>
        <v>0</v>
      </c>
      <c r="AA242" s="10">
        <f>운전실적_원본!P242</f>
        <v>0</v>
      </c>
      <c r="AB242" s="10">
        <f>운전실적_원본!Q242</f>
        <v>0</v>
      </c>
      <c r="AC242" s="20">
        <f>운전실적_원본!R242</f>
        <v>0</v>
      </c>
      <c r="AD242" s="109">
        <f>운전실적_원본!S242</f>
        <v>0</v>
      </c>
      <c r="AE242" s="110">
        <f>운전실적_원본!T242</f>
        <v>0</v>
      </c>
      <c r="AF242" s="110">
        <f>운전실적_원본!U242</f>
        <v>0</v>
      </c>
      <c r="AG242" s="110">
        <f>운전실적_원본!V242</f>
        <v>0</v>
      </c>
      <c r="AH242" s="109">
        <f t="shared" si="1122"/>
        <v>0</v>
      </c>
      <c r="AI242" s="110">
        <f t="shared" si="1129"/>
        <v>0</v>
      </c>
      <c r="AJ242" s="110">
        <f>운전실적_원본!Y242</f>
        <v>0</v>
      </c>
      <c r="AK242" s="110">
        <f>운전실적_원본!Z242</f>
        <v>0</v>
      </c>
      <c r="AL242" s="106"/>
      <c r="AM242" s="105"/>
      <c r="AN242" s="105"/>
      <c r="AO242" s="105"/>
      <c r="AP242" s="105"/>
      <c r="AQ242" s="108"/>
      <c r="AR242" s="105"/>
      <c r="AS242" s="105"/>
      <c r="AT242" s="102"/>
      <c r="AU242" s="102"/>
      <c r="AV242" s="102"/>
      <c r="AW242" s="102"/>
      <c r="AX242" s="32">
        <f>운전실적_원본!W242</f>
        <v>0</v>
      </c>
      <c r="AY242" s="11">
        <f>운전실적_원본!X242</f>
        <v>0</v>
      </c>
      <c r="AZ242" s="11">
        <f>운전실적_원본!Y242</f>
        <v>0</v>
      </c>
      <c r="BA242" s="11">
        <f>운전실적_원본!Z242</f>
        <v>0</v>
      </c>
      <c r="BB242" s="11">
        <f>운전실적_원본!AA242</f>
        <v>0</v>
      </c>
      <c r="BC242" s="11">
        <f>운전실적_원본!AB242</f>
        <v>0</v>
      </c>
      <c r="BD242" s="32" t="str">
        <f t="shared" si="1115"/>
        <v>-</v>
      </c>
      <c r="BE242" s="11" t="str">
        <f t="shared" si="1123"/>
        <v>-</v>
      </c>
      <c r="BF242" s="11">
        <f>운전실적_원본!AE242</f>
        <v>0</v>
      </c>
      <c r="BG242" s="31">
        <f t="shared" si="1116"/>
        <v>0</v>
      </c>
      <c r="BH242" s="241">
        <f>INDEX(연료전지_원본!$A$4:$KY$369,MATCH($A242,연료전지_원본!$A$4:$A$369,0),MATCH($BH$4,연료전지_원본!$A$4:$KY$4,0))</f>
        <v>0</v>
      </c>
      <c r="BI242" s="241">
        <f>INDEX(연료전지_원본!$A$4:$KY$369,MATCH($A242,연료전지_원본!$A$4:$A$369,0),MATCH($BI$4,연료전지_원본!$A$4:$KY$4,0))</f>
        <v>0</v>
      </c>
      <c r="BJ242" s="241">
        <f>INDEX(연료전지_원본!$A$4:$KY$369,MATCH($A242,연료전지_원본!$A$4:$A$369,0),MATCH($BJ$4,연료전지_원본!$A$4:$KY$4,0))</f>
        <v>0</v>
      </c>
      <c r="BK242" s="241">
        <f>INDEX(연료전지_원본!$A$4:$KY$369,MATCH($A242,연료전지_원본!$A$4:$A$369,0),MATCH($BK$4,연료전지_원본!$A$4:$KY$4,0))</f>
        <v>0</v>
      </c>
      <c r="BL242" s="241">
        <f>INDEX(연료전지_원본!$A$4:$KY$369,MATCH($A242,연료전지_원본!$A$4:$A$369,0),MATCH($BL$4,연료전지_원본!$A$4:$KY$4,0))</f>
        <v>0</v>
      </c>
      <c r="BM242" s="241">
        <f>INDEX(연료전지_원본!$A$4:$KY$369,MATCH($A242,연료전지_원본!$A$4:$A$369,0),MATCH($BM$4,연료전지_원본!$A$4:$KY$4,0))</f>
        <v>0</v>
      </c>
      <c r="BN242" s="241">
        <f>INDEX(연료전지_원본!$A$4:$KY$369,MATCH($A242,연료전지_원본!$A$4:$A$369,0),MATCH($BN$4,연료전지_원본!$A$4:$KY$4,0))</f>
        <v>0</v>
      </c>
      <c r="BO242" s="241">
        <f>INDEX(연료전지_원본!$A$4:$KY$369,MATCH($A242,연료전지_원본!$A$4:$A$369,0),MATCH($BO$4,연료전지_원본!$A$4:$KY$4,0))</f>
        <v>0</v>
      </c>
      <c r="BP242" s="241">
        <f>INDEX(연료전지_원본!$A$4:$KY$369,MATCH($A242,연료전지_원본!$A$4:$A$369,0),MATCH($BP$4,연료전지_원본!$A$4:$KY$4,0))</f>
        <v>0</v>
      </c>
      <c r="BQ242" s="241">
        <f>INDEX(연료전지_원본!$A$4:$KY$369,MATCH($A242,연료전지_원본!$A$4:$A$369,0),MATCH($BQ$4,연료전지_원본!$A$4:$KY$4,0))</f>
        <v>0</v>
      </c>
      <c r="BR242" s="241">
        <f>INDEX(연료전지_원본!$A$4:$KY$369,MATCH($A242,연료전지_원본!$A$4:$A$369,0),MATCH($BR$4,연료전지_원본!$A$4:$KY$4,0))</f>
        <v>0</v>
      </c>
      <c r="BS242" s="241">
        <f>INDEX(연료전지_원본!$A$4:$KY$369,MATCH($A242,연료전지_원본!$A$4:$A$369,0),MATCH($BS$4,연료전지_원본!$A$4:$KY$4,0))</f>
        <v>0</v>
      </c>
      <c r="BT242" s="241">
        <f>INDEX(연료전지_원본!$A$4:$KY$369,MATCH($A242,연료전지_원본!$A$4:$A$369,0),MATCH($BT$4,연료전지_원본!$A$4:$KY$4,0))</f>
        <v>0</v>
      </c>
      <c r="BU242" s="241">
        <f>INDEX(연료전지_원본!$A$4:$KY$369,MATCH($A242,연료전지_원본!$A$4:$A$369,0),MATCH($BU$4,연료전지_원본!$A$4:$KY$4,0))</f>
        <v>0</v>
      </c>
      <c r="BV242" s="241">
        <f>INDEX(연료전지_원본!$A$4:$KY$369,MATCH($A242,연료전지_원본!$A$4:$A$369,0),MATCH($BV$4,연료전지_원본!$A$4:$KY$4,0))</f>
        <v>0</v>
      </c>
      <c r="BW242" s="241">
        <f>INDEX(연료전지_원본!$A$4:$KY$369,MATCH($A242,연료전지_원본!$A$4:$A$369,0),MATCH($BW$4,연료전지_원본!$A$4:$KY$4,0))</f>
        <v>0</v>
      </c>
      <c r="BX242" s="241">
        <f>INDEX(연료전지_원본!$A$4:$KY$369,MATCH($A242,연료전지_원본!$A$4:$A$369,0),MATCH($BX$4,연료전지_원본!$A$4:$KY$4,0))</f>
        <v>0</v>
      </c>
      <c r="BY242" s="241">
        <f>INDEX(연료전지_원본!$A$4:$KY$369,MATCH($A242,연료전지_원본!$A$4:$A$369,0),MATCH($BY$4,연료전지_원본!$A$4:$KY$4,0))</f>
        <v>0</v>
      </c>
      <c r="BZ242" s="241">
        <f>INDEX(연료전지_원본!$A$4:$KY$369,MATCH($A242,연료전지_원본!$A$4:$A$369,0),MATCH($BZ$4,연료전지_원본!$A$4:$KY$4,0))</f>
        <v>0</v>
      </c>
      <c r="CA242" s="241">
        <f>INDEX(연료전지_원본!$A$4:$KY$369,MATCH($A242,연료전지_원본!$A$4:$A$369,0),MATCH($CA$4,연료전지_원본!$A$4:$KY$4,0))</f>
        <v>0</v>
      </c>
      <c r="CB242" s="241">
        <f>INDEX(연료전지_원본!$A$4:$KY$369,MATCH($A242,연료전지_원본!$A$4:$A$369,0),MATCH($CB$4,연료전지_원본!$A$4:$KY$4,0))</f>
        <v>0</v>
      </c>
      <c r="CC242" s="242">
        <f>INDEX(연료전지_원본!$A$4:$KY$369,MATCH($A242,연료전지_원본!$A$4:$A$369,0),MATCH($CC$4,연료전지_원본!$A$4:$KY$4,0))</f>
        <v>0</v>
      </c>
      <c r="CD242" s="250">
        <f>INDEX(연료전지_원본!$KB$4:$KX$369,MATCH($A242,연료전지_원본!$KB$4:$KB$369,0), MATCH(CD$4,연료전지_원본!$KB$4:$KX$4,0))*1000</f>
        <v>0</v>
      </c>
      <c r="CE242" s="250">
        <f>INDEX(연료전지_원본!$KB$4:$KX$369,MATCH($A242,연료전지_원본!$KB$4:$KB$369,0), MATCH(CE$4,연료전지_원본!$KB$4:$KX$4,0))*1000</f>
        <v>0</v>
      </c>
      <c r="CF242" s="250">
        <f>INDEX(연료전지_원본!$KB$4:$KX$369,MATCH($A242,연료전지_원본!$KB$4:$KB$369,0), MATCH(CF$4,연료전지_원본!$KB$4:$KX$4,0))*1000</f>
        <v>0</v>
      </c>
      <c r="CG242" s="250">
        <f>INDEX(연료전지_원본!$KB$4:$KX$369,MATCH($A242,연료전지_원본!$KB$4:$KB$369,0), MATCH(CG$4,연료전지_원본!$KB$4:$KX$4,0))*1000</f>
        <v>0</v>
      </c>
      <c r="CH242" s="250">
        <f>INDEX(연료전지_원본!$KB$4:$KX$369,MATCH($A242,연료전지_원본!$KB$4:$KB$369,0), MATCH(CH$4,연료전지_원본!$KB$4:$KX$4,0))*1000</f>
        <v>0</v>
      </c>
      <c r="CI242" s="250">
        <f>INDEX(연료전지_원본!$KB$4:$KX$369,MATCH($A242,연료전지_원본!$KB$4:$KB$369,0), MATCH(CI$4,연료전지_원본!$KB$4:$KX$4,0))*1000</f>
        <v>0</v>
      </c>
      <c r="CJ242" s="250">
        <f>INDEX(연료전지_원본!$KB$4:$KX$369,MATCH($A242,연료전지_원본!$KB$4:$KB$369,0), MATCH(CJ$4,연료전지_원본!$KB$4:$KX$4,0))*1000</f>
        <v>0</v>
      </c>
      <c r="CK242" s="250">
        <f>INDEX(연료전지_원본!$KB$4:$KX$369,MATCH($A242,연료전지_원본!$KB$4:$KB$369,0), MATCH(CK$4,연료전지_원본!$KB$4:$KX$4,0))*1000</f>
        <v>0</v>
      </c>
      <c r="CL242" s="250">
        <f>INDEX(연료전지_원본!$KB$4:$KX$369,MATCH($A242,연료전지_원본!$KB$4:$KB$369,0), MATCH(CL$4,연료전지_원본!$KB$4:$KX$4,0))*1000</f>
        <v>0</v>
      </c>
      <c r="CM242" s="250">
        <f>INDEX(연료전지_원본!$KB$4:$KX$369,MATCH($A242,연료전지_원본!$KB$4:$KB$369,0), MATCH(CM$4,연료전지_원본!$KB$4:$KX$4,0))*1000</f>
        <v>0</v>
      </c>
      <c r="CN242" s="250">
        <f>INDEX(연료전지_원본!$KB$4:$KX$369,MATCH($A242,연료전지_원본!$KB$4:$KB$369,0), MATCH(CN$4,연료전지_원본!$KB$4:$KX$4,0))*1000</f>
        <v>0</v>
      </c>
      <c r="CO242" s="250">
        <f>INDEX(연료전지_원본!$KB$4:$KX$369,MATCH($A242,연료전지_원본!$KB$4:$KB$369,0), MATCH(CO$4,연료전지_원본!$KB$4:$KX$4,0))*1000</f>
        <v>0</v>
      </c>
      <c r="CP242" s="250">
        <f>INDEX(연료전지_원본!$KB$4:$KX$369,MATCH($A242,연료전지_원본!$KB$4:$KB$369,0), MATCH(CP$4,연료전지_원본!$KB$4:$KX$4,0))*1000</f>
        <v>0</v>
      </c>
      <c r="CQ242" s="250">
        <f>INDEX(연료전지_원본!$KB$4:$KX$369,MATCH($A242,연료전지_원본!$KB$4:$KB$369,0), MATCH(CQ$4,연료전지_원본!$KB$4:$KX$4,0))*1000</f>
        <v>0</v>
      </c>
      <c r="CR242" s="250">
        <f>INDEX(연료전지_원본!$KB$4:$KX$369,MATCH($A242,연료전지_원본!$KB$4:$KB$369,0), MATCH(CR$4,연료전지_원본!$KB$4:$KX$4,0))*1000</f>
        <v>0</v>
      </c>
      <c r="CS242" s="250">
        <f>INDEX(연료전지_원본!$KB$4:$KX$369,MATCH($A242,연료전지_원본!$KB$4:$KB$369,0), MATCH(CS$4,연료전지_원본!$KB$4:$KX$4,0))*1000</f>
        <v>0</v>
      </c>
      <c r="CT242" s="250">
        <f>INDEX(연료전지_원본!$KB$4:$KX$369,MATCH($A242,연료전지_원본!$KB$4:$KB$369,0), MATCH(CT$4,연료전지_원본!$KB$4:$KX$4,0))*1000</f>
        <v>0</v>
      </c>
      <c r="CU242" s="250">
        <f>INDEX(연료전지_원본!$KB$4:$KX$369,MATCH($A242,연료전지_원본!$KB$4:$KB$369,0), MATCH(CU$4,연료전지_원본!$KB$4:$KX$4,0))*1000</f>
        <v>0</v>
      </c>
      <c r="CV242" s="250">
        <f>INDEX(연료전지_원본!$KB$4:$KX$369,MATCH($A242,연료전지_원본!$KB$4:$KB$369,0), MATCH(CV$4,연료전지_원본!$KB$4:$KX$4,0))*1000</f>
        <v>0</v>
      </c>
      <c r="CW242" s="250">
        <f>INDEX(연료전지_원본!$KB$4:$KX$369,MATCH($A242,연료전지_원본!$KB$4:$KB$369,0), MATCH(CW$4,연료전지_원본!$KB$4:$KX$4,0))*1000</f>
        <v>0</v>
      </c>
      <c r="CX242" s="250">
        <f>INDEX(연료전지_원본!$KB$4:$KX$369,MATCH($A242,연료전지_원본!$KB$4:$KB$369,0), MATCH(CX$4,연료전지_원본!$KB$4:$KX$4,0))*1000</f>
        <v>0</v>
      </c>
      <c r="CY242" s="250">
        <f>INDEX(연료전지_원본!$KB$4:$KX$369,MATCH($A242,연료전지_원본!$KB$4:$KB$369,0), MATCH(CY$4,연료전지_원본!$KB$4:$KX$4,0))*1000</f>
        <v>0</v>
      </c>
      <c r="DV242" s="30">
        <f t="shared" si="1285"/>
        <v>0</v>
      </c>
    </row>
    <row r="243" spans="1:126">
      <c r="A243" s="6">
        <v>46260</v>
      </c>
      <c r="B243" s="15">
        <f>운전실적_원본!B243</f>
        <v>0</v>
      </c>
      <c r="C243" s="16" t="str">
        <f t="shared" si="1291"/>
        <v/>
      </c>
      <c r="D243" s="12">
        <f>운전실적_원본!C243</f>
        <v>0</v>
      </c>
      <c r="E243" s="12" t="str">
        <f t="shared" si="1292"/>
        <v/>
      </c>
      <c r="F243" s="12">
        <f>운전실적_원본!D243</f>
        <v>0</v>
      </c>
      <c r="G243" s="16" t="str">
        <f t="shared" si="1293"/>
        <v/>
      </c>
      <c r="H243" s="15">
        <f>운전실적_원본!E243</f>
        <v>0</v>
      </c>
      <c r="I243" s="16" t="str">
        <f t="shared" si="1294"/>
        <v/>
      </c>
      <c r="J243" s="15">
        <f>운전실적_원본!F243</f>
        <v>0</v>
      </c>
      <c r="K243" s="16" t="str">
        <f t="shared" si="1294"/>
        <v/>
      </c>
      <c r="L243" s="32">
        <f>운전실적_원본!G243</f>
        <v>0</v>
      </c>
      <c r="M243" s="31" t="str">
        <f t="shared" ref="M243" si="1351">IF(OR(LEN(L243)=0,L243=0),"",L243-L242)</f>
        <v/>
      </c>
      <c r="N243" s="15">
        <f>운전실적_원본!H243</f>
        <v>0</v>
      </c>
      <c r="O243" s="16" t="str">
        <f t="shared" ref="O243" si="1352">IF(OR(LEN(N243)=0,N243=0),"",N243-N242)</f>
        <v/>
      </c>
      <c r="P243" s="15">
        <f>운전실적_원본!I243</f>
        <v>0</v>
      </c>
      <c r="Q243" s="16" t="str">
        <f t="shared" ref="Q243" si="1353">IF(OR(LEN(P243)=0,P243=0),"",P243-P242)</f>
        <v/>
      </c>
      <c r="R243" s="18">
        <f>운전실적_원본!J243</f>
        <v>0</v>
      </c>
      <c r="S243" s="19" t="str">
        <f t="shared" ref="S243" si="1354">IF(OR(LEN(R243)=0,R243=0),"",R243-R242)</f>
        <v/>
      </c>
      <c r="T243" s="18">
        <f>운전실적_원본!K243</f>
        <v>0</v>
      </c>
      <c r="U243" s="19" t="str">
        <f t="shared" si="1299"/>
        <v/>
      </c>
      <c r="V243" s="12">
        <f>운전실적_원본!L243</f>
        <v>0</v>
      </c>
      <c r="W243" s="16" t="str">
        <f t="shared" ref="W243" si="1355">IF(OR(LEN(V243)=0,V243=0),"",V243-V242)</f>
        <v/>
      </c>
      <c r="X243" s="10">
        <f>운전실적_원본!M243</f>
        <v>0</v>
      </c>
      <c r="Y243" s="10">
        <f>운전실적_원본!N243</f>
        <v>0</v>
      </c>
      <c r="Z243" s="10">
        <f>운전실적_원본!O243</f>
        <v>0</v>
      </c>
      <c r="AA243" s="10">
        <f>운전실적_원본!P243</f>
        <v>0</v>
      </c>
      <c r="AB243" s="10">
        <f>운전실적_원본!Q243</f>
        <v>0</v>
      </c>
      <c r="AC243" s="20">
        <f>운전실적_원본!R243</f>
        <v>0</v>
      </c>
      <c r="AD243" s="109">
        <f>운전실적_원본!S243</f>
        <v>0</v>
      </c>
      <c r="AE243" s="110">
        <f>운전실적_원본!T243</f>
        <v>0</v>
      </c>
      <c r="AF243" s="110">
        <f>운전실적_원본!U243</f>
        <v>0</v>
      </c>
      <c r="AG243" s="110">
        <f>운전실적_원본!V243</f>
        <v>0</v>
      </c>
      <c r="AH243" s="109">
        <f t="shared" si="1122"/>
        <v>0</v>
      </c>
      <c r="AI243" s="110">
        <f t="shared" si="1129"/>
        <v>0</v>
      </c>
      <c r="AJ243" s="110">
        <f>운전실적_원본!Y243</f>
        <v>0</v>
      </c>
      <c r="AK243" s="110">
        <f>운전실적_원본!Z243</f>
        <v>0</v>
      </c>
      <c r="AL243" s="106"/>
      <c r="AM243" s="105"/>
      <c r="AN243" s="105"/>
      <c r="AO243" s="105"/>
      <c r="AP243" s="105"/>
      <c r="AQ243" s="108"/>
      <c r="AR243" s="105"/>
      <c r="AS243" s="105"/>
      <c r="AT243" s="102"/>
      <c r="AU243" s="102"/>
      <c r="AV243" s="102"/>
      <c r="AW243" s="102"/>
      <c r="AX243" s="32">
        <f>운전실적_원본!W243</f>
        <v>0</v>
      </c>
      <c r="AY243" s="11">
        <f>운전실적_원본!X243</f>
        <v>0</v>
      </c>
      <c r="AZ243" s="11">
        <f>운전실적_원본!Y243</f>
        <v>0</v>
      </c>
      <c r="BA243" s="11">
        <f>운전실적_원본!Z243</f>
        <v>0</v>
      </c>
      <c r="BB243" s="11">
        <f>운전실적_원본!AA243</f>
        <v>0</v>
      </c>
      <c r="BC243" s="11">
        <f>운전실적_원본!AB243</f>
        <v>0</v>
      </c>
      <c r="BD243" s="32" t="str">
        <f t="shared" si="1115"/>
        <v>-</v>
      </c>
      <c r="BE243" s="11" t="str">
        <f t="shared" si="1123"/>
        <v>-</v>
      </c>
      <c r="BF243" s="11">
        <f>운전실적_원본!AE243</f>
        <v>0</v>
      </c>
      <c r="BG243" s="31">
        <f t="shared" si="1116"/>
        <v>0</v>
      </c>
      <c r="BH243" s="241">
        <f>INDEX(연료전지_원본!$A$4:$KY$369,MATCH($A243,연료전지_원본!$A$4:$A$369,0),MATCH($BH$4,연료전지_원본!$A$4:$KY$4,0))</f>
        <v>0</v>
      </c>
      <c r="BI243" s="241">
        <f>INDEX(연료전지_원본!$A$4:$KY$369,MATCH($A243,연료전지_원본!$A$4:$A$369,0),MATCH($BI$4,연료전지_원본!$A$4:$KY$4,0))</f>
        <v>0</v>
      </c>
      <c r="BJ243" s="241">
        <f>INDEX(연료전지_원본!$A$4:$KY$369,MATCH($A243,연료전지_원본!$A$4:$A$369,0),MATCH($BJ$4,연료전지_원본!$A$4:$KY$4,0))</f>
        <v>0</v>
      </c>
      <c r="BK243" s="241">
        <f>INDEX(연료전지_원본!$A$4:$KY$369,MATCH($A243,연료전지_원본!$A$4:$A$369,0),MATCH($BK$4,연료전지_원본!$A$4:$KY$4,0))</f>
        <v>0</v>
      </c>
      <c r="BL243" s="241">
        <f>INDEX(연료전지_원본!$A$4:$KY$369,MATCH($A243,연료전지_원본!$A$4:$A$369,0),MATCH($BL$4,연료전지_원본!$A$4:$KY$4,0))</f>
        <v>0</v>
      </c>
      <c r="BM243" s="241">
        <f>INDEX(연료전지_원본!$A$4:$KY$369,MATCH($A243,연료전지_원본!$A$4:$A$369,0),MATCH($BM$4,연료전지_원본!$A$4:$KY$4,0))</f>
        <v>0</v>
      </c>
      <c r="BN243" s="241">
        <f>INDEX(연료전지_원본!$A$4:$KY$369,MATCH($A243,연료전지_원본!$A$4:$A$369,0),MATCH($BN$4,연료전지_원본!$A$4:$KY$4,0))</f>
        <v>0</v>
      </c>
      <c r="BO243" s="241">
        <f>INDEX(연료전지_원본!$A$4:$KY$369,MATCH($A243,연료전지_원본!$A$4:$A$369,0),MATCH($BO$4,연료전지_원본!$A$4:$KY$4,0))</f>
        <v>0</v>
      </c>
      <c r="BP243" s="241">
        <f>INDEX(연료전지_원본!$A$4:$KY$369,MATCH($A243,연료전지_원본!$A$4:$A$369,0),MATCH($BP$4,연료전지_원본!$A$4:$KY$4,0))</f>
        <v>0</v>
      </c>
      <c r="BQ243" s="241">
        <f>INDEX(연료전지_원본!$A$4:$KY$369,MATCH($A243,연료전지_원본!$A$4:$A$369,0),MATCH($BQ$4,연료전지_원본!$A$4:$KY$4,0))</f>
        <v>0</v>
      </c>
      <c r="BR243" s="241">
        <f>INDEX(연료전지_원본!$A$4:$KY$369,MATCH($A243,연료전지_원본!$A$4:$A$369,0),MATCH($BR$4,연료전지_원본!$A$4:$KY$4,0))</f>
        <v>0</v>
      </c>
      <c r="BS243" s="241">
        <f>INDEX(연료전지_원본!$A$4:$KY$369,MATCH($A243,연료전지_원본!$A$4:$A$369,0),MATCH($BS$4,연료전지_원본!$A$4:$KY$4,0))</f>
        <v>0</v>
      </c>
      <c r="BT243" s="241">
        <f>INDEX(연료전지_원본!$A$4:$KY$369,MATCH($A243,연료전지_원본!$A$4:$A$369,0),MATCH($BT$4,연료전지_원본!$A$4:$KY$4,0))</f>
        <v>0</v>
      </c>
      <c r="BU243" s="241">
        <f>INDEX(연료전지_원본!$A$4:$KY$369,MATCH($A243,연료전지_원본!$A$4:$A$369,0),MATCH($BU$4,연료전지_원본!$A$4:$KY$4,0))</f>
        <v>0</v>
      </c>
      <c r="BV243" s="241">
        <f>INDEX(연료전지_원본!$A$4:$KY$369,MATCH($A243,연료전지_원본!$A$4:$A$369,0),MATCH($BV$4,연료전지_원본!$A$4:$KY$4,0))</f>
        <v>0</v>
      </c>
      <c r="BW243" s="241">
        <f>INDEX(연료전지_원본!$A$4:$KY$369,MATCH($A243,연료전지_원본!$A$4:$A$369,0),MATCH($BW$4,연료전지_원본!$A$4:$KY$4,0))</f>
        <v>0</v>
      </c>
      <c r="BX243" s="241">
        <f>INDEX(연료전지_원본!$A$4:$KY$369,MATCH($A243,연료전지_원본!$A$4:$A$369,0),MATCH($BX$4,연료전지_원본!$A$4:$KY$4,0))</f>
        <v>0</v>
      </c>
      <c r="BY243" s="241">
        <f>INDEX(연료전지_원본!$A$4:$KY$369,MATCH($A243,연료전지_원본!$A$4:$A$369,0),MATCH($BY$4,연료전지_원본!$A$4:$KY$4,0))</f>
        <v>0</v>
      </c>
      <c r="BZ243" s="241">
        <f>INDEX(연료전지_원본!$A$4:$KY$369,MATCH($A243,연료전지_원본!$A$4:$A$369,0),MATCH($BZ$4,연료전지_원본!$A$4:$KY$4,0))</f>
        <v>0</v>
      </c>
      <c r="CA243" s="241">
        <f>INDEX(연료전지_원본!$A$4:$KY$369,MATCH($A243,연료전지_원본!$A$4:$A$369,0),MATCH($CA$4,연료전지_원본!$A$4:$KY$4,0))</f>
        <v>0</v>
      </c>
      <c r="CB243" s="241">
        <f>INDEX(연료전지_원본!$A$4:$KY$369,MATCH($A243,연료전지_원본!$A$4:$A$369,0),MATCH($CB$4,연료전지_원본!$A$4:$KY$4,0))</f>
        <v>0</v>
      </c>
      <c r="CC243" s="242">
        <f>INDEX(연료전지_원본!$A$4:$KY$369,MATCH($A243,연료전지_원본!$A$4:$A$369,0),MATCH($CC$4,연료전지_원본!$A$4:$KY$4,0))</f>
        <v>0</v>
      </c>
      <c r="CD243" s="250">
        <f>INDEX(연료전지_원본!$KB$4:$KX$369,MATCH($A243,연료전지_원본!$KB$4:$KB$369,0), MATCH(CD$4,연료전지_원본!$KB$4:$KX$4,0))*1000</f>
        <v>0</v>
      </c>
      <c r="CE243" s="250">
        <f>INDEX(연료전지_원본!$KB$4:$KX$369,MATCH($A243,연료전지_원본!$KB$4:$KB$369,0), MATCH(CE$4,연료전지_원본!$KB$4:$KX$4,0))*1000</f>
        <v>0</v>
      </c>
      <c r="CF243" s="250">
        <f>INDEX(연료전지_원본!$KB$4:$KX$369,MATCH($A243,연료전지_원본!$KB$4:$KB$369,0), MATCH(CF$4,연료전지_원본!$KB$4:$KX$4,0))*1000</f>
        <v>0</v>
      </c>
      <c r="CG243" s="250">
        <f>INDEX(연료전지_원본!$KB$4:$KX$369,MATCH($A243,연료전지_원본!$KB$4:$KB$369,0), MATCH(CG$4,연료전지_원본!$KB$4:$KX$4,0))*1000</f>
        <v>0</v>
      </c>
      <c r="CH243" s="250">
        <f>INDEX(연료전지_원본!$KB$4:$KX$369,MATCH($A243,연료전지_원본!$KB$4:$KB$369,0), MATCH(CH$4,연료전지_원본!$KB$4:$KX$4,0))*1000</f>
        <v>0</v>
      </c>
      <c r="CI243" s="250">
        <f>INDEX(연료전지_원본!$KB$4:$KX$369,MATCH($A243,연료전지_원본!$KB$4:$KB$369,0), MATCH(CI$4,연료전지_원본!$KB$4:$KX$4,0))*1000</f>
        <v>0</v>
      </c>
      <c r="CJ243" s="250">
        <f>INDEX(연료전지_원본!$KB$4:$KX$369,MATCH($A243,연료전지_원본!$KB$4:$KB$369,0), MATCH(CJ$4,연료전지_원본!$KB$4:$KX$4,0))*1000</f>
        <v>0</v>
      </c>
      <c r="CK243" s="250">
        <f>INDEX(연료전지_원본!$KB$4:$KX$369,MATCH($A243,연료전지_원본!$KB$4:$KB$369,0), MATCH(CK$4,연료전지_원본!$KB$4:$KX$4,0))*1000</f>
        <v>0</v>
      </c>
      <c r="CL243" s="250">
        <f>INDEX(연료전지_원본!$KB$4:$KX$369,MATCH($A243,연료전지_원본!$KB$4:$KB$369,0), MATCH(CL$4,연료전지_원본!$KB$4:$KX$4,0))*1000</f>
        <v>0</v>
      </c>
      <c r="CM243" s="250">
        <f>INDEX(연료전지_원본!$KB$4:$KX$369,MATCH($A243,연료전지_원본!$KB$4:$KB$369,0), MATCH(CM$4,연료전지_원본!$KB$4:$KX$4,0))*1000</f>
        <v>0</v>
      </c>
      <c r="CN243" s="250">
        <f>INDEX(연료전지_원본!$KB$4:$KX$369,MATCH($A243,연료전지_원본!$KB$4:$KB$369,0), MATCH(CN$4,연료전지_원본!$KB$4:$KX$4,0))*1000</f>
        <v>0</v>
      </c>
      <c r="CO243" s="250">
        <f>INDEX(연료전지_원본!$KB$4:$KX$369,MATCH($A243,연료전지_원본!$KB$4:$KB$369,0), MATCH(CO$4,연료전지_원본!$KB$4:$KX$4,0))*1000</f>
        <v>0</v>
      </c>
      <c r="CP243" s="250">
        <f>INDEX(연료전지_원본!$KB$4:$KX$369,MATCH($A243,연료전지_원본!$KB$4:$KB$369,0), MATCH(CP$4,연료전지_원본!$KB$4:$KX$4,0))*1000</f>
        <v>0</v>
      </c>
      <c r="CQ243" s="250">
        <f>INDEX(연료전지_원본!$KB$4:$KX$369,MATCH($A243,연료전지_원본!$KB$4:$KB$369,0), MATCH(CQ$4,연료전지_원본!$KB$4:$KX$4,0))*1000</f>
        <v>0</v>
      </c>
      <c r="CR243" s="250">
        <f>INDEX(연료전지_원본!$KB$4:$KX$369,MATCH($A243,연료전지_원본!$KB$4:$KB$369,0), MATCH(CR$4,연료전지_원본!$KB$4:$KX$4,0))*1000</f>
        <v>0</v>
      </c>
      <c r="CS243" s="250">
        <f>INDEX(연료전지_원본!$KB$4:$KX$369,MATCH($A243,연료전지_원본!$KB$4:$KB$369,0), MATCH(CS$4,연료전지_원본!$KB$4:$KX$4,0))*1000</f>
        <v>0</v>
      </c>
      <c r="CT243" s="250">
        <f>INDEX(연료전지_원본!$KB$4:$KX$369,MATCH($A243,연료전지_원본!$KB$4:$KB$369,0), MATCH(CT$4,연료전지_원본!$KB$4:$KX$4,0))*1000</f>
        <v>0</v>
      </c>
      <c r="CU243" s="250">
        <f>INDEX(연료전지_원본!$KB$4:$KX$369,MATCH($A243,연료전지_원본!$KB$4:$KB$369,0), MATCH(CU$4,연료전지_원본!$KB$4:$KX$4,0))*1000</f>
        <v>0</v>
      </c>
      <c r="CV243" s="250">
        <f>INDEX(연료전지_원본!$KB$4:$KX$369,MATCH($A243,연료전지_원본!$KB$4:$KB$369,0), MATCH(CV$4,연료전지_원본!$KB$4:$KX$4,0))*1000</f>
        <v>0</v>
      </c>
      <c r="CW243" s="250">
        <f>INDEX(연료전지_원본!$KB$4:$KX$369,MATCH($A243,연료전지_원본!$KB$4:$KB$369,0), MATCH(CW$4,연료전지_원본!$KB$4:$KX$4,0))*1000</f>
        <v>0</v>
      </c>
      <c r="CX243" s="250">
        <f>INDEX(연료전지_원본!$KB$4:$KX$369,MATCH($A243,연료전지_원본!$KB$4:$KB$369,0), MATCH(CX$4,연료전지_원본!$KB$4:$KX$4,0))*1000</f>
        <v>0</v>
      </c>
      <c r="CY243" s="250">
        <f>INDEX(연료전지_원본!$KB$4:$KX$369,MATCH($A243,연료전지_원본!$KB$4:$KB$369,0), MATCH(CY$4,연료전지_원본!$KB$4:$KX$4,0))*1000</f>
        <v>0</v>
      </c>
      <c r="DV243" s="30">
        <f t="shared" si="1285"/>
        <v>0</v>
      </c>
    </row>
    <row r="244" spans="1:126">
      <c r="A244" s="6">
        <v>46261</v>
      </c>
      <c r="B244" s="15">
        <f>운전실적_원본!B244</f>
        <v>0</v>
      </c>
      <c r="C244" s="16" t="str">
        <f t="shared" si="1291"/>
        <v/>
      </c>
      <c r="D244" s="12">
        <f>운전실적_원본!C244</f>
        <v>0</v>
      </c>
      <c r="E244" s="12" t="str">
        <f t="shared" si="1292"/>
        <v/>
      </c>
      <c r="F244" s="12">
        <f>운전실적_원본!D244</f>
        <v>0</v>
      </c>
      <c r="G244" s="16" t="str">
        <f t="shared" si="1293"/>
        <v/>
      </c>
      <c r="H244" s="15">
        <f>운전실적_원본!E244</f>
        <v>0</v>
      </c>
      <c r="I244" s="16" t="str">
        <f t="shared" si="1294"/>
        <v/>
      </c>
      <c r="J244" s="15">
        <f>운전실적_원본!F244</f>
        <v>0</v>
      </c>
      <c r="K244" s="16" t="str">
        <f t="shared" si="1294"/>
        <v/>
      </c>
      <c r="L244" s="32">
        <f>운전실적_원본!G244</f>
        <v>0</v>
      </c>
      <c r="M244" s="31" t="str">
        <f t="shared" ref="M244" si="1356">IF(OR(LEN(L244)=0,L244=0),"",L244-L243)</f>
        <v/>
      </c>
      <c r="N244" s="15">
        <f>운전실적_원본!H244</f>
        <v>0</v>
      </c>
      <c r="O244" s="16" t="str">
        <f t="shared" ref="O244" si="1357">IF(OR(LEN(N244)=0,N244=0),"",N244-N243)</f>
        <v/>
      </c>
      <c r="P244" s="15">
        <f>운전실적_원본!I244</f>
        <v>0</v>
      </c>
      <c r="Q244" s="16" t="str">
        <f t="shared" ref="Q244" si="1358">IF(OR(LEN(P244)=0,P244=0),"",P244-P243)</f>
        <v/>
      </c>
      <c r="R244" s="18">
        <f>운전실적_원본!J244</f>
        <v>0</v>
      </c>
      <c r="S244" s="19" t="str">
        <f t="shared" ref="S244" si="1359">IF(OR(LEN(R244)=0,R244=0),"",R244-R243)</f>
        <v/>
      </c>
      <c r="T244" s="18">
        <f>운전실적_원본!K244</f>
        <v>0</v>
      </c>
      <c r="U244" s="19" t="str">
        <f t="shared" si="1299"/>
        <v/>
      </c>
      <c r="V244" s="12">
        <f>운전실적_원본!L244</f>
        <v>0</v>
      </c>
      <c r="W244" s="16" t="str">
        <f t="shared" ref="W244" si="1360">IF(OR(LEN(V244)=0,V244=0),"",V244-V243)</f>
        <v/>
      </c>
      <c r="X244" s="10">
        <f>운전실적_원본!M244</f>
        <v>0</v>
      </c>
      <c r="Y244" s="10">
        <f>운전실적_원본!N244</f>
        <v>0</v>
      </c>
      <c r="Z244" s="10">
        <f>운전실적_원본!O244</f>
        <v>0</v>
      </c>
      <c r="AA244" s="10">
        <f>운전실적_원본!P244</f>
        <v>0</v>
      </c>
      <c r="AB244" s="10">
        <f>운전실적_원본!Q244</f>
        <v>0</v>
      </c>
      <c r="AC244" s="20">
        <f>운전실적_원본!R244</f>
        <v>0</v>
      </c>
      <c r="AD244" s="109">
        <f>운전실적_원본!S244</f>
        <v>0</v>
      </c>
      <c r="AE244" s="110">
        <f>운전실적_원본!T244</f>
        <v>0</v>
      </c>
      <c r="AF244" s="110">
        <f>운전실적_원본!U244</f>
        <v>0</v>
      </c>
      <c r="AG244" s="110">
        <f>운전실적_원본!V244</f>
        <v>0</v>
      </c>
      <c r="AH244" s="109">
        <f t="shared" si="1122"/>
        <v>0</v>
      </c>
      <c r="AI244" s="110">
        <f t="shared" si="1129"/>
        <v>0</v>
      </c>
      <c r="AJ244" s="110">
        <f>운전실적_원본!Y244</f>
        <v>0</v>
      </c>
      <c r="AK244" s="110">
        <f>운전실적_원본!Z244</f>
        <v>0</v>
      </c>
      <c r="AL244" s="106"/>
      <c r="AM244" s="105"/>
      <c r="AN244" s="105"/>
      <c r="AO244" s="105"/>
      <c r="AP244" s="105"/>
      <c r="AQ244" s="108"/>
      <c r="AR244" s="105"/>
      <c r="AS244" s="105"/>
      <c r="AT244" s="102"/>
      <c r="AU244" s="102"/>
      <c r="AV244" s="102"/>
      <c r="AW244" s="102"/>
      <c r="AX244" s="32">
        <f>운전실적_원본!W244</f>
        <v>0</v>
      </c>
      <c r="AY244" s="11">
        <f>운전실적_원본!X244</f>
        <v>0</v>
      </c>
      <c r="AZ244" s="11">
        <f>운전실적_원본!Y244</f>
        <v>0</v>
      </c>
      <c r="BA244" s="11">
        <f>운전실적_원본!Z244</f>
        <v>0</v>
      </c>
      <c r="BB244" s="11">
        <f>운전실적_원본!AA244</f>
        <v>0</v>
      </c>
      <c r="BC244" s="11">
        <f>운전실적_원본!AB244</f>
        <v>0</v>
      </c>
      <c r="BD244" s="32" t="str">
        <f t="shared" si="1115"/>
        <v>-</v>
      </c>
      <c r="BE244" s="11" t="str">
        <f t="shared" si="1123"/>
        <v>-</v>
      </c>
      <c r="BF244" s="11">
        <f>운전실적_원본!AE244</f>
        <v>0</v>
      </c>
      <c r="BG244" s="31">
        <f t="shared" si="1116"/>
        <v>0</v>
      </c>
      <c r="BH244" s="241">
        <f>INDEX(연료전지_원본!$A$4:$KY$369,MATCH($A244,연료전지_원본!$A$4:$A$369,0),MATCH($BH$4,연료전지_원본!$A$4:$KY$4,0))</f>
        <v>0</v>
      </c>
      <c r="BI244" s="241">
        <f>INDEX(연료전지_원본!$A$4:$KY$369,MATCH($A244,연료전지_원본!$A$4:$A$369,0),MATCH($BI$4,연료전지_원본!$A$4:$KY$4,0))</f>
        <v>0</v>
      </c>
      <c r="BJ244" s="241">
        <f>INDEX(연료전지_원본!$A$4:$KY$369,MATCH($A244,연료전지_원본!$A$4:$A$369,0),MATCH($BJ$4,연료전지_원본!$A$4:$KY$4,0))</f>
        <v>0</v>
      </c>
      <c r="BK244" s="241">
        <f>INDEX(연료전지_원본!$A$4:$KY$369,MATCH($A244,연료전지_원본!$A$4:$A$369,0),MATCH($BK$4,연료전지_원본!$A$4:$KY$4,0))</f>
        <v>0</v>
      </c>
      <c r="BL244" s="241">
        <f>INDEX(연료전지_원본!$A$4:$KY$369,MATCH($A244,연료전지_원본!$A$4:$A$369,0),MATCH($BL$4,연료전지_원본!$A$4:$KY$4,0))</f>
        <v>0</v>
      </c>
      <c r="BM244" s="241">
        <f>INDEX(연료전지_원본!$A$4:$KY$369,MATCH($A244,연료전지_원본!$A$4:$A$369,0),MATCH($BM$4,연료전지_원본!$A$4:$KY$4,0))</f>
        <v>0</v>
      </c>
      <c r="BN244" s="241">
        <f>INDEX(연료전지_원본!$A$4:$KY$369,MATCH($A244,연료전지_원본!$A$4:$A$369,0),MATCH($BN$4,연료전지_원본!$A$4:$KY$4,0))</f>
        <v>0</v>
      </c>
      <c r="BO244" s="241">
        <f>INDEX(연료전지_원본!$A$4:$KY$369,MATCH($A244,연료전지_원본!$A$4:$A$369,0),MATCH($BO$4,연료전지_원본!$A$4:$KY$4,0))</f>
        <v>0</v>
      </c>
      <c r="BP244" s="241">
        <f>INDEX(연료전지_원본!$A$4:$KY$369,MATCH($A244,연료전지_원본!$A$4:$A$369,0),MATCH($BP$4,연료전지_원본!$A$4:$KY$4,0))</f>
        <v>0</v>
      </c>
      <c r="BQ244" s="241">
        <f>INDEX(연료전지_원본!$A$4:$KY$369,MATCH($A244,연료전지_원본!$A$4:$A$369,0),MATCH($BQ$4,연료전지_원본!$A$4:$KY$4,0))</f>
        <v>0</v>
      </c>
      <c r="BR244" s="241">
        <f>INDEX(연료전지_원본!$A$4:$KY$369,MATCH($A244,연료전지_원본!$A$4:$A$369,0),MATCH($BR$4,연료전지_원본!$A$4:$KY$4,0))</f>
        <v>0</v>
      </c>
      <c r="BS244" s="241">
        <f>INDEX(연료전지_원본!$A$4:$KY$369,MATCH($A244,연료전지_원본!$A$4:$A$369,0),MATCH($BS$4,연료전지_원본!$A$4:$KY$4,0))</f>
        <v>0</v>
      </c>
      <c r="BT244" s="241">
        <f>INDEX(연료전지_원본!$A$4:$KY$369,MATCH($A244,연료전지_원본!$A$4:$A$369,0),MATCH($BT$4,연료전지_원본!$A$4:$KY$4,0))</f>
        <v>0</v>
      </c>
      <c r="BU244" s="241">
        <f>INDEX(연료전지_원본!$A$4:$KY$369,MATCH($A244,연료전지_원본!$A$4:$A$369,0),MATCH($BU$4,연료전지_원본!$A$4:$KY$4,0))</f>
        <v>0</v>
      </c>
      <c r="BV244" s="241">
        <f>INDEX(연료전지_원본!$A$4:$KY$369,MATCH($A244,연료전지_원본!$A$4:$A$369,0),MATCH($BV$4,연료전지_원본!$A$4:$KY$4,0))</f>
        <v>0</v>
      </c>
      <c r="BW244" s="241">
        <f>INDEX(연료전지_원본!$A$4:$KY$369,MATCH($A244,연료전지_원본!$A$4:$A$369,0),MATCH($BW$4,연료전지_원본!$A$4:$KY$4,0))</f>
        <v>0</v>
      </c>
      <c r="BX244" s="241">
        <f>INDEX(연료전지_원본!$A$4:$KY$369,MATCH($A244,연료전지_원본!$A$4:$A$369,0),MATCH($BX$4,연료전지_원본!$A$4:$KY$4,0))</f>
        <v>0</v>
      </c>
      <c r="BY244" s="241">
        <f>INDEX(연료전지_원본!$A$4:$KY$369,MATCH($A244,연료전지_원본!$A$4:$A$369,0),MATCH($BY$4,연료전지_원본!$A$4:$KY$4,0))</f>
        <v>0</v>
      </c>
      <c r="BZ244" s="241">
        <f>INDEX(연료전지_원본!$A$4:$KY$369,MATCH($A244,연료전지_원본!$A$4:$A$369,0),MATCH($BZ$4,연료전지_원본!$A$4:$KY$4,0))</f>
        <v>0</v>
      </c>
      <c r="CA244" s="241">
        <f>INDEX(연료전지_원본!$A$4:$KY$369,MATCH($A244,연료전지_원본!$A$4:$A$369,0),MATCH($CA$4,연료전지_원본!$A$4:$KY$4,0))</f>
        <v>0</v>
      </c>
      <c r="CB244" s="241">
        <f>INDEX(연료전지_원본!$A$4:$KY$369,MATCH($A244,연료전지_원본!$A$4:$A$369,0),MATCH($CB$4,연료전지_원본!$A$4:$KY$4,0))</f>
        <v>0</v>
      </c>
      <c r="CC244" s="242">
        <f>INDEX(연료전지_원본!$A$4:$KY$369,MATCH($A244,연료전지_원본!$A$4:$A$369,0),MATCH($CC$4,연료전지_원본!$A$4:$KY$4,0))</f>
        <v>0</v>
      </c>
      <c r="CD244" s="250">
        <f>INDEX(연료전지_원본!$KB$4:$KX$369,MATCH($A244,연료전지_원본!$KB$4:$KB$369,0), MATCH(CD$4,연료전지_원본!$KB$4:$KX$4,0))*1000</f>
        <v>0</v>
      </c>
      <c r="CE244" s="250">
        <f>INDEX(연료전지_원본!$KB$4:$KX$369,MATCH($A244,연료전지_원본!$KB$4:$KB$369,0), MATCH(CE$4,연료전지_원본!$KB$4:$KX$4,0))*1000</f>
        <v>0</v>
      </c>
      <c r="CF244" s="250">
        <f>INDEX(연료전지_원본!$KB$4:$KX$369,MATCH($A244,연료전지_원본!$KB$4:$KB$369,0), MATCH(CF$4,연료전지_원본!$KB$4:$KX$4,0))*1000</f>
        <v>0</v>
      </c>
      <c r="CG244" s="250">
        <f>INDEX(연료전지_원본!$KB$4:$KX$369,MATCH($A244,연료전지_원본!$KB$4:$KB$369,0), MATCH(CG$4,연료전지_원본!$KB$4:$KX$4,0))*1000</f>
        <v>0</v>
      </c>
      <c r="CH244" s="250">
        <f>INDEX(연료전지_원본!$KB$4:$KX$369,MATCH($A244,연료전지_원본!$KB$4:$KB$369,0), MATCH(CH$4,연료전지_원본!$KB$4:$KX$4,0))*1000</f>
        <v>0</v>
      </c>
      <c r="CI244" s="250">
        <f>INDEX(연료전지_원본!$KB$4:$KX$369,MATCH($A244,연료전지_원본!$KB$4:$KB$369,0), MATCH(CI$4,연료전지_원본!$KB$4:$KX$4,0))*1000</f>
        <v>0</v>
      </c>
      <c r="CJ244" s="250">
        <f>INDEX(연료전지_원본!$KB$4:$KX$369,MATCH($A244,연료전지_원본!$KB$4:$KB$369,0), MATCH(CJ$4,연료전지_원본!$KB$4:$KX$4,0))*1000</f>
        <v>0</v>
      </c>
      <c r="CK244" s="250">
        <f>INDEX(연료전지_원본!$KB$4:$KX$369,MATCH($A244,연료전지_원본!$KB$4:$KB$369,0), MATCH(CK$4,연료전지_원본!$KB$4:$KX$4,0))*1000</f>
        <v>0</v>
      </c>
      <c r="CL244" s="250">
        <f>INDEX(연료전지_원본!$KB$4:$KX$369,MATCH($A244,연료전지_원본!$KB$4:$KB$369,0), MATCH(CL$4,연료전지_원본!$KB$4:$KX$4,0))*1000</f>
        <v>0</v>
      </c>
      <c r="CM244" s="250">
        <f>INDEX(연료전지_원본!$KB$4:$KX$369,MATCH($A244,연료전지_원본!$KB$4:$KB$369,0), MATCH(CM$4,연료전지_원본!$KB$4:$KX$4,0))*1000</f>
        <v>0</v>
      </c>
      <c r="CN244" s="250">
        <f>INDEX(연료전지_원본!$KB$4:$KX$369,MATCH($A244,연료전지_원본!$KB$4:$KB$369,0), MATCH(CN$4,연료전지_원본!$KB$4:$KX$4,0))*1000</f>
        <v>0</v>
      </c>
      <c r="CO244" s="250">
        <f>INDEX(연료전지_원본!$KB$4:$KX$369,MATCH($A244,연료전지_원본!$KB$4:$KB$369,0), MATCH(CO$4,연료전지_원본!$KB$4:$KX$4,0))*1000</f>
        <v>0</v>
      </c>
      <c r="CP244" s="250">
        <f>INDEX(연료전지_원본!$KB$4:$KX$369,MATCH($A244,연료전지_원본!$KB$4:$KB$369,0), MATCH(CP$4,연료전지_원본!$KB$4:$KX$4,0))*1000</f>
        <v>0</v>
      </c>
      <c r="CQ244" s="250">
        <f>INDEX(연료전지_원본!$KB$4:$KX$369,MATCH($A244,연료전지_원본!$KB$4:$KB$369,0), MATCH(CQ$4,연료전지_원본!$KB$4:$KX$4,0))*1000</f>
        <v>0</v>
      </c>
      <c r="CR244" s="250">
        <f>INDEX(연료전지_원본!$KB$4:$KX$369,MATCH($A244,연료전지_원본!$KB$4:$KB$369,0), MATCH(CR$4,연료전지_원본!$KB$4:$KX$4,0))*1000</f>
        <v>0</v>
      </c>
      <c r="CS244" s="250">
        <f>INDEX(연료전지_원본!$KB$4:$KX$369,MATCH($A244,연료전지_원본!$KB$4:$KB$369,0), MATCH(CS$4,연료전지_원본!$KB$4:$KX$4,0))*1000</f>
        <v>0</v>
      </c>
      <c r="CT244" s="250">
        <f>INDEX(연료전지_원본!$KB$4:$KX$369,MATCH($A244,연료전지_원본!$KB$4:$KB$369,0), MATCH(CT$4,연료전지_원본!$KB$4:$KX$4,0))*1000</f>
        <v>0</v>
      </c>
      <c r="CU244" s="250">
        <f>INDEX(연료전지_원본!$KB$4:$KX$369,MATCH($A244,연료전지_원본!$KB$4:$KB$369,0), MATCH(CU$4,연료전지_원본!$KB$4:$KX$4,0))*1000</f>
        <v>0</v>
      </c>
      <c r="CV244" s="250">
        <f>INDEX(연료전지_원본!$KB$4:$KX$369,MATCH($A244,연료전지_원본!$KB$4:$KB$369,0), MATCH(CV$4,연료전지_원본!$KB$4:$KX$4,0))*1000</f>
        <v>0</v>
      </c>
      <c r="CW244" s="250">
        <f>INDEX(연료전지_원본!$KB$4:$KX$369,MATCH($A244,연료전지_원본!$KB$4:$KB$369,0), MATCH(CW$4,연료전지_원본!$KB$4:$KX$4,0))*1000</f>
        <v>0</v>
      </c>
      <c r="CX244" s="250">
        <f>INDEX(연료전지_원본!$KB$4:$KX$369,MATCH($A244,연료전지_원본!$KB$4:$KB$369,0), MATCH(CX$4,연료전지_원본!$KB$4:$KX$4,0))*1000</f>
        <v>0</v>
      </c>
      <c r="CY244" s="250">
        <f>INDEX(연료전지_원본!$KB$4:$KX$369,MATCH($A244,연료전지_원본!$KB$4:$KB$369,0), MATCH(CY$4,연료전지_원본!$KB$4:$KX$4,0))*1000</f>
        <v>0</v>
      </c>
      <c r="DV244" s="30">
        <f t="shared" si="1285"/>
        <v>0</v>
      </c>
    </row>
    <row r="245" spans="1:126">
      <c r="A245" s="6">
        <v>46262</v>
      </c>
      <c r="B245" s="15">
        <f>운전실적_원본!B245</f>
        <v>0</v>
      </c>
      <c r="C245" s="16" t="str">
        <f t="shared" si="1291"/>
        <v/>
      </c>
      <c r="D245" s="12">
        <f>운전실적_원본!C245</f>
        <v>0</v>
      </c>
      <c r="E245" s="12" t="str">
        <f t="shared" si="1292"/>
        <v/>
      </c>
      <c r="F245" s="12">
        <f>운전실적_원본!D245</f>
        <v>0</v>
      </c>
      <c r="G245" s="16" t="str">
        <f t="shared" si="1293"/>
        <v/>
      </c>
      <c r="H245" s="15">
        <f>운전실적_원본!E245</f>
        <v>0</v>
      </c>
      <c r="I245" s="16" t="str">
        <f t="shared" si="1294"/>
        <v/>
      </c>
      <c r="J245" s="15">
        <f>운전실적_원본!F245</f>
        <v>0</v>
      </c>
      <c r="K245" s="16" t="str">
        <f t="shared" si="1294"/>
        <v/>
      </c>
      <c r="L245" s="32">
        <f>운전실적_원본!G245</f>
        <v>0</v>
      </c>
      <c r="M245" s="31" t="str">
        <f t="shared" ref="M245" si="1361">IF(OR(LEN(L245)=0,L245=0),"",L245-L244)</f>
        <v/>
      </c>
      <c r="N245" s="15">
        <f>운전실적_원본!H245</f>
        <v>0</v>
      </c>
      <c r="O245" s="16" t="str">
        <f t="shared" ref="O245" si="1362">IF(OR(LEN(N245)=0,N245=0),"",N245-N244)</f>
        <v/>
      </c>
      <c r="P245" s="15">
        <f>운전실적_원본!I245</f>
        <v>0</v>
      </c>
      <c r="Q245" s="16" t="str">
        <f t="shared" ref="Q245" si="1363">IF(OR(LEN(P245)=0,P245=0),"",P245-P244)</f>
        <v/>
      </c>
      <c r="R245" s="18">
        <f>운전실적_원본!J245</f>
        <v>0</v>
      </c>
      <c r="S245" s="19" t="str">
        <f t="shared" ref="S245" si="1364">IF(OR(LEN(R245)=0,R245=0),"",R245-R244)</f>
        <v/>
      </c>
      <c r="T245" s="18">
        <f>운전실적_원본!K245</f>
        <v>0</v>
      </c>
      <c r="U245" s="19" t="str">
        <f t="shared" si="1299"/>
        <v/>
      </c>
      <c r="V245" s="12">
        <f>운전실적_원본!L245</f>
        <v>0</v>
      </c>
      <c r="W245" s="16" t="str">
        <f t="shared" ref="W245" si="1365">IF(OR(LEN(V245)=0,V245=0),"",V245-V244)</f>
        <v/>
      </c>
      <c r="X245" s="10">
        <f>운전실적_원본!M245</f>
        <v>0</v>
      </c>
      <c r="Y245" s="10">
        <f>운전실적_원본!N245</f>
        <v>0</v>
      </c>
      <c r="Z245" s="10">
        <f>운전실적_원본!O245</f>
        <v>0</v>
      </c>
      <c r="AA245" s="10">
        <f>운전실적_원본!P245</f>
        <v>0</v>
      </c>
      <c r="AB245" s="10">
        <f>운전실적_원본!Q245</f>
        <v>0</v>
      </c>
      <c r="AC245" s="20">
        <f>운전실적_원본!R245</f>
        <v>0</v>
      </c>
      <c r="AD245" s="109">
        <f>운전실적_원본!S245</f>
        <v>0</v>
      </c>
      <c r="AE245" s="110">
        <f>운전실적_원본!T245</f>
        <v>0</v>
      </c>
      <c r="AF245" s="110">
        <f>운전실적_원본!U245</f>
        <v>0</v>
      </c>
      <c r="AG245" s="110">
        <f>운전실적_원본!V245</f>
        <v>0</v>
      </c>
      <c r="AH245" s="109">
        <f t="shared" si="1122"/>
        <v>0</v>
      </c>
      <c r="AI245" s="110">
        <f t="shared" si="1129"/>
        <v>0</v>
      </c>
      <c r="AJ245" s="110">
        <f>운전실적_원본!Y245</f>
        <v>0</v>
      </c>
      <c r="AK245" s="110">
        <f>운전실적_원본!Z245</f>
        <v>0</v>
      </c>
      <c r="AL245" s="106"/>
      <c r="AM245" s="105"/>
      <c r="AN245" s="105"/>
      <c r="AO245" s="105"/>
      <c r="AP245" s="105"/>
      <c r="AQ245" s="108"/>
      <c r="AR245" s="105"/>
      <c r="AS245" s="105"/>
      <c r="AT245" s="102"/>
      <c r="AU245" s="102"/>
      <c r="AV245" s="102"/>
      <c r="AW245" s="102"/>
      <c r="AX245" s="32">
        <f>운전실적_원본!W245</f>
        <v>0</v>
      </c>
      <c r="AY245" s="11">
        <f>운전실적_원본!X245</f>
        <v>0</v>
      </c>
      <c r="AZ245" s="11">
        <f>운전실적_원본!Y245</f>
        <v>0</v>
      </c>
      <c r="BA245" s="11">
        <f>운전실적_원본!Z245</f>
        <v>0</v>
      </c>
      <c r="BB245" s="11">
        <f>운전실적_원본!AA245</f>
        <v>0</v>
      </c>
      <c r="BC245" s="11">
        <f>운전실적_원본!AB245</f>
        <v>0</v>
      </c>
      <c r="BD245" s="32" t="str">
        <f t="shared" si="1115"/>
        <v>-</v>
      </c>
      <c r="BE245" s="11" t="str">
        <f t="shared" si="1123"/>
        <v>-</v>
      </c>
      <c r="BF245" s="11">
        <f>운전실적_원본!AE245</f>
        <v>0</v>
      </c>
      <c r="BG245" s="31">
        <f t="shared" si="1116"/>
        <v>0</v>
      </c>
      <c r="BH245" s="241">
        <f>INDEX(연료전지_원본!$A$4:$KY$369,MATCH($A245,연료전지_원본!$A$4:$A$369,0),MATCH($BH$4,연료전지_원본!$A$4:$KY$4,0))</f>
        <v>0</v>
      </c>
      <c r="BI245" s="241">
        <f>INDEX(연료전지_원본!$A$4:$KY$369,MATCH($A245,연료전지_원본!$A$4:$A$369,0),MATCH($BI$4,연료전지_원본!$A$4:$KY$4,0))</f>
        <v>0</v>
      </c>
      <c r="BJ245" s="241">
        <f>INDEX(연료전지_원본!$A$4:$KY$369,MATCH($A245,연료전지_원본!$A$4:$A$369,0),MATCH($BJ$4,연료전지_원본!$A$4:$KY$4,0))</f>
        <v>0</v>
      </c>
      <c r="BK245" s="241">
        <f>INDEX(연료전지_원본!$A$4:$KY$369,MATCH($A245,연료전지_원본!$A$4:$A$369,0),MATCH($BK$4,연료전지_원본!$A$4:$KY$4,0))</f>
        <v>0</v>
      </c>
      <c r="BL245" s="241">
        <f>INDEX(연료전지_원본!$A$4:$KY$369,MATCH($A245,연료전지_원본!$A$4:$A$369,0),MATCH($BL$4,연료전지_원본!$A$4:$KY$4,0))</f>
        <v>0</v>
      </c>
      <c r="BM245" s="241">
        <f>INDEX(연료전지_원본!$A$4:$KY$369,MATCH($A245,연료전지_원본!$A$4:$A$369,0),MATCH($BM$4,연료전지_원본!$A$4:$KY$4,0))</f>
        <v>0</v>
      </c>
      <c r="BN245" s="241">
        <f>INDEX(연료전지_원본!$A$4:$KY$369,MATCH($A245,연료전지_원본!$A$4:$A$369,0),MATCH($BN$4,연료전지_원본!$A$4:$KY$4,0))</f>
        <v>0</v>
      </c>
      <c r="BO245" s="241">
        <f>INDEX(연료전지_원본!$A$4:$KY$369,MATCH($A245,연료전지_원본!$A$4:$A$369,0),MATCH($BO$4,연료전지_원본!$A$4:$KY$4,0))</f>
        <v>0</v>
      </c>
      <c r="BP245" s="241">
        <f>INDEX(연료전지_원본!$A$4:$KY$369,MATCH($A245,연료전지_원본!$A$4:$A$369,0),MATCH($BP$4,연료전지_원본!$A$4:$KY$4,0))</f>
        <v>0</v>
      </c>
      <c r="BQ245" s="241">
        <f>INDEX(연료전지_원본!$A$4:$KY$369,MATCH($A245,연료전지_원본!$A$4:$A$369,0),MATCH($BQ$4,연료전지_원본!$A$4:$KY$4,0))</f>
        <v>0</v>
      </c>
      <c r="BR245" s="241">
        <f>INDEX(연료전지_원본!$A$4:$KY$369,MATCH($A245,연료전지_원본!$A$4:$A$369,0),MATCH($BR$4,연료전지_원본!$A$4:$KY$4,0))</f>
        <v>0</v>
      </c>
      <c r="BS245" s="241">
        <f>INDEX(연료전지_원본!$A$4:$KY$369,MATCH($A245,연료전지_원본!$A$4:$A$369,0),MATCH($BS$4,연료전지_원본!$A$4:$KY$4,0))</f>
        <v>0</v>
      </c>
      <c r="BT245" s="241">
        <f>INDEX(연료전지_원본!$A$4:$KY$369,MATCH($A245,연료전지_원본!$A$4:$A$369,0),MATCH($BT$4,연료전지_원본!$A$4:$KY$4,0))</f>
        <v>0</v>
      </c>
      <c r="BU245" s="241">
        <f>INDEX(연료전지_원본!$A$4:$KY$369,MATCH($A245,연료전지_원본!$A$4:$A$369,0),MATCH($BU$4,연료전지_원본!$A$4:$KY$4,0))</f>
        <v>0</v>
      </c>
      <c r="BV245" s="241">
        <f>INDEX(연료전지_원본!$A$4:$KY$369,MATCH($A245,연료전지_원본!$A$4:$A$369,0),MATCH($BV$4,연료전지_원본!$A$4:$KY$4,0))</f>
        <v>0</v>
      </c>
      <c r="BW245" s="241">
        <f>INDEX(연료전지_원본!$A$4:$KY$369,MATCH($A245,연료전지_원본!$A$4:$A$369,0),MATCH($BW$4,연료전지_원본!$A$4:$KY$4,0))</f>
        <v>0</v>
      </c>
      <c r="BX245" s="241">
        <f>INDEX(연료전지_원본!$A$4:$KY$369,MATCH($A245,연료전지_원본!$A$4:$A$369,0),MATCH($BX$4,연료전지_원본!$A$4:$KY$4,0))</f>
        <v>0</v>
      </c>
      <c r="BY245" s="241">
        <f>INDEX(연료전지_원본!$A$4:$KY$369,MATCH($A245,연료전지_원본!$A$4:$A$369,0),MATCH($BY$4,연료전지_원본!$A$4:$KY$4,0))</f>
        <v>0</v>
      </c>
      <c r="BZ245" s="241">
        <f>INDEX(연료전지_원본!$A$4:$KY$369,MATCH($A245,연료전지_원본!$A$4:$A$369,0),MATCH($BZ$4,연료전지_원본!$A$4:$KY$4,0))</f>
        <v>0</v>
      </c>
      <c r="CA245" s="241">
        <f>INDEX(연료전지_원본!$A$4:$KY$369,MATCH($A245,연료전지_원본!$A$4:$A$369,0),MATCH($CA$4,연료전지_원본!$A$4:$KY$4,0))</f>
        <v>0</v>
      </c>
      <c r="CB245" s="241">
        <f>INDEX(연료전지_원본!$A$4:$KY$369,MATCH($A245,연료전지_원본!$A$4:$A$369,0),MATCH($CB$4,연료전지_원본!$A$4:$KY$4,0))</f>
        <v>0</v>
      </c>
      <c r="CC245" s="242">
        <f>INDEX(연료전지_원본!$A$4:$KY$369,MATCH($A245,연료전지_원본!$A$4:$A$369,0),MATCH($CC$4,연료전지_원본!$A$4:$KY$4,0))</f>
        <v>0</v>
      </c>
      <c r="CD245" s="250">
        <f>INDEX(연료전지_원본!$KB$4:$KX$369,MATCH($A245,연료전지_원본!$KB$4:$KB$369,0), MATCH(CD$4,연료전지_원본!$KB$4:$KX$4,0))*1000</f>
        <v>0</v>
      </c>
      <c r="CE245" s="250">
        <f>INDEX(연료전지_원본!$KB$4:$KX$369,MATCH($A245,연료전지_원본!$KB$4:$KB$369,0), MATCH(CE$4,연료전지_원본!$KB$4:$KX$4,0))*1000</f>
        <v>0</v>
      </c>
      <c r="CF245" s="250">
        <f>INDEX(연료전지_원본!$KB$4:$KX$369,MATCH($A245,연료전지_원본!$KB$4:$KB$369,0), MATCH(CF$4,연료전지_원본!$KB$4:$KX$4,0))*1000</f>
        <v>0</v>
      </c>
      <c r="CG245" s="250">
        <f>INDEX(연료전지_원본!$KB$4:$KX$369,MATCH($A245,연료전지_원본!$KB$4:$KB$369,0), MATCH(CG$4,연료전지_원본!$KB$4:$KX$4,0))*1000</f>
        <v>0</v>
      </c>
      <c r="CH245" s="250">
        <f>INDEX(연료전지_원본!$KB$4:$KX$369,MATCH($A245,연료전지_원본!$KB$4:$KB$369,0), MATCH(CH$4,연료전지_원본!$KB$4:$KX$4,0))*1000</f>
        <v>0</v>
      </c>
      <c r="CI245" s="250">
        <f>INDEX(연료전지_원본!$KB$4:$KX$369,MATCH($A245,연료전지_원본!$KB$4:$KB$369,0), MATCH(CI$4,연료전지_원본!$KB$4:$KX$4,0))*1000</f>
        <v>0</v>
      </c>
      <c r="CJ245" s="250">
        <f>INDEX(연료전지_원본!$KB$4:$KX$369,MATCH($A245,연료전지_원본!$KB$4:$KB$369,0), MATCH(CJ$4,연료전지_원본!$KB$4:$KX$4,0))*1000</f>
        <v>0</v>
      </c>
      <c r="CK245" s="250">
        <f>INDEX(연료전지_원본!$KB$4:$KX$369,MATCH($A245,연료전지_원본!$KB$4:$KB$369,0), MATCH(CK$4,연료전지_원본!$KB$4:$KX$4,0))*1000</f>
        <v>0</v>
      </c>
      <c r="CL245" s="250">
        <f>INDEX(연료전지_원본!$KB$4:$KX$369,MATCH($A245,연료전지_원본!$KB$4:$KB$369,0), MATCH(CL$4,연료전지_원본!$KB$4:$KX$4,0))*1000</f>
        <v>0</v>
      </c>
      <c r="CM245" s="250">
        <f>INDEX(연료전지_원본!$KB$4:$KX$369,MATCH($A245,연료전지_원본!$KB$4:$KB$369,0), MATCH(CM$4,연료전지_원본!$KB$4:$KX$4,0))*1000</f>
        <v>0</v>
      </c>
      <c r="CN245" s="250">
        <f>INDEX(연료전지_원본!$KB$4:$KX$369,MATCH($A245,연료전지_원본!$KB$4:$KB$369,0), MATCH(CN$4,연료전지_원본!$KB$4:$KX$4,0))*1000</f>
        <v>0</v>
      </c>
      <c r="CO245" s="250">
        <f>INDEX(연료전지_원본!$KB$4:$KX$369,MATCH($A245,연료전지_원본!$KB$4:$KB$369,0), MATCH(CO$4,연료전지_원본!$KB$4:$KX$4,0))*1000</f>
        <v>0</v>
      </c>
      <c r="CP245" s="250">
        <f>INDEX(연료전지_원본!$KB$4:$KX$369,MATCH($A245,연료전지_원본!$KB$4:$KB$369,0), MATCH(CP$4,연료전지_원본!$KB$4:$KX$4,0))*1000</f>
        <v>0</v>
      </c>
      <c r="CQ245" s="250">
        <f>INDEX(연료전지_원본!$KB$4:$KX$369,MATCH($A245,연료전지_원본!$KB$4:$KB$369,0), MATCH(CQ$4,연료전지_원본!$KB$4:$KX$4,0))*1000</f>
        <v>0</v>
      </c>
      <c r="CR245" s="250">
        <f>INDEX(연료전지_원본!$KB$4:$KX$369,MATCH($A245,연료전지_원본!$KB$4:$KB$369,0), MATCH(CR$4,연료전지_원본!$KB$4:$KX$4,0))*1000</f>
        <v>0</v>
      </c>
      <c r="CS245" s="250">
        <f>INDEX(연료전지_원본!$KB$4:$KX$369,MATCH($A245,연료전지_원본!$KB$4:$KB$369,0), MATCH(CS$4,연료전지_원본!$KB$4:$KX$4,0))*1000</f>
        <v>0</v>
      </c>
      <c r="CT245" s="250">
        <f>INDEX(연료전지_원본!$KB$4:$KX$369,MATCH($A245,연료전지_원본!$KB$4:$KB$369,0), MATCH(CT$4,연료전지_원본!$KB$4:$KX$4,0))*1000</f>
        <v>0</v>
      </c>
      <c r="CU245" s="250">
        <f>INDEX(연료전지_원본!$KB$4:$KX$369,MATCH($A245,연료전지_원본!$KB$4:$KB$369,0), MATCH(CU$4,연료전지_원본!$KB$4:$KX$4,0))*1000</f>
        <v>0</v>
      </c>
      <c r="CV245" s="250">
        <f>INDEX(연료전지_원본!$KB$4:$KX$369,MATCH($A245,연료전지_원본!$KB$4:$KB$369,0), MATCH(CV$4,연료전지_원본!$KB$4:$KX$4,0))*1000</f>
        <v>0</v>
      </c>
      <c r="CW245" s="250">
        <f>INDEX(연료전지_원본!$KB$4:$KX$369,MATCH($A245,연료전지_원본!$KB$4:$KB$369,0), MATCH(CW$4,연료전지_원본!$KB$4:$KX$4,0))*1000</f>
        <v>0</v>
      </c>
      <c r="CX245" s="250">
        <f>INDEX(연료전지_원본!$KB$4:$KX$369,MATCH($A245,연료전지_원본!$KB$4:$KB$369,0), MATCH(CX$4,연료전지_원본!$KB$4:$KX$4,0))*1000</f>
        <v>0</v>
      </c>
      <c r="CY245" s="250">
        <f>INDEX(연료전지_원본!$KB$4:$KX$369,MATCH($A245,연료전지_원본!$KB$4:$KB$369,0), MATCH(CY$4,연료전지_원본!$KB$4:$KX$4,0))*1000</f>
        <v>0</v>
      </c>
      <c r="DV245" s="30">
        <f t="shared" si="1285"/>
        <v>0</v>
      </c>
    </row>
    <row r="246" spans="1:126">
      <c r="A246" s="6">
        <v>46263</v>
      </c>
      <c r="B246" s="15">
        <f>운전실적_원본!B246</f>
        <v>0</v>
      </c>
      <c r="C246" s="16" t="str">
        <f t="shared" si="1291"/>
        <v/>
      </c>
      <c r="D246" s="12">
        <f>운전실적_원본!C246</f>
        <v>0</v>
      </c>
      <c r="E246" s="12" t="str">
        <f t="shared" si="1292"/>
        <v/>
      </c>
      <c r="F246" s="12">
        <f>운전실적_원본!D246</f>
        <v>0</v>
      </c>
      <c r="G246" s="16" t="str">
        <f t="shared" si="1293"/>
        <v/>
      </c>
      <c r="H246" s="15">
        <f>운전실적_원본!E246</f>
        <v>0</v>
      </c>
      <c r="I246" s="16" t="str">
        <f t="shared" si="1294"/>
        <v/>
      </c>
      <c r="J246" s="15">
        <f>운전실적_원본!F246</f>
        <v>0</v>
      </c>
      <c r="K246" s="16" t="str">
        <f t="shared" si="1294"/>
        <v/>
      </c>
      <c r="L246" s="32">
        <f>운전실적_원본!G246</f>
        <v>0</v>
      </c>
      <c r="M246" s="31" t="str">
        <f t="shared" ref="M246" si="1366">IF(OR(LEN(L246)=0,L246=0),"",L246-L245)</f>
        <v/>
      </c>
      <c r="N246" s="15">
        <f>운전실적_원본!H246</f>
        <v>0</v>
      </c>
      <c r="O246" s="16" t="str">
        <f t="shared" ref="O246" si="1367">IF(OR(LEN(N246)=0,N246=0),"",N246-N245)</f>
        <v/>
      </c>
      <c r="P246" s="15">
        <f>운전실적_원본!I246</f>
        <v>0</v>
      </c>
      <c r="Q246" s="16" t="str">
        <f t="shared" ref="Q246" si="1368">IF(OR(LEN(P246)=0,P246=0),"",P246-P245)</f>
        <v/>
      </c>
      <c r="R246" s="18">
        <f>운전실적_원본!J246</f>
        <v>0</v>
      </c>
      <c r="S246" s="19" t="str">
        <f t="shared" ref="S246" si="1369">IF(OR(LEN(R246)=0,R246=0),"",R246-R245)</f>
        <v/>
      </c>
      <c r="T246" s="18">
        <f>운전실적_원본!K246</f>
        <v>0</v>
      </c>
      <c r="U246" s="19" t="str">
        <f t="shared" si="1299"/>
        <v/>
      </c>
      <c r="V246" s="12">
        <f>운전실적_원본!L246</f>
        <v>0</v>
      </c>
      <c r="W246" s="16" t="str">
        <f t="shared" ref="W246" si="1370">IF(OR(LEN(V246)=0,V246=0),"",V246-V245)</f>
        <v/>
      </c>
      <c r="X246" s="10">
        <f>운전실적_원본!M246</f>
        <v>0</v>
      </c>
      <c r="Y246" s="10">
        <f>운전실적_원본!N246</f>
        <v>0</v>
      </c>
      <c r="Z246" s="10">
        <f>운전실적_원본!O246</f>
        <v>0</v>
      </c>
      <c r="AA246" s="10">
        <f>운전실적_원본!P246</f>
        <v>0</v>
      </c>
      <c r="AB246" s="10">
        <f>운전실적_원본!Q246</f>
        <v>0</v>
      </c>
      <c r="AC246" s="20">
        <f>운전실적_원본!R246</f>
        <v>0</v>
      </c>
      <c r="AD246" s="109">
        <f>운전실적_원본!S246</f>
        <v>0</v>
      </c>
      <c r="AE246" s="110">
        <f>운전실적_원본!T246</f>
        <v>0</v>
      </c>
      <c r="AF246" s="110">
        <f>운전실적_원본!U246</f>
        <v>0</v>
      </c>
      <c r="AG246" s="110">
        <f>운전실적_원본!V246</f>
        <v>0</v>
      </c>
      <c r="AH246" s="109">
        <f t="shared" si="1122"/>
        <v>0</v>
      </c>
      <c r="AI246" s="110">
        <f t="shared" si="1129"/>
        <v>0</v>
      </c>
      <c r="AJ246" s="110">
        <f>운전실적_원본!Y246</f>
        <v>0</v>
      </c>
      <c r="AK246" s="110">
        <f>운전실적_원본!Z246</f>
        <v>0</v>
      </c>
      <c r="AL246" s="106"/>
      <c r="AM246" s="105"/>
      <c r="AN246" s="105"/>
      <c r="AO246" s="105"/>
      <c r="AP246" s="105"/>
      <c r="AQ246" s="108"/>
      <c r="AR246" s="105"/>
      <c r="AS246" s="105"/>
      <c r="AT246" s="102"/>
      <c r="AU246" s="102"/>
      <c r="AV246" s="102"/>
      <c r="AW246" s="102"/>
      <c r="AX246" s="32">
        <f>운전실적_원본!W246</f>
        <v>0</v>
      </c>
      <c r="AY246" s="11">
        <f>운전실적_원본!X246</f>
        <v>0</v>
      </c>
      <c r="AZ246" s="11">
        <f>운전실적_원본!Y246</f>
        <v>0</v>
      </c>
      <c r="BA246" s="11">
        <f>운전실적_원본!Z246</f>
        <v>0</v>
      </c>
      <c r="BB246" s="11">
        <f>운전실적_원본!AA246</f>
        <v>0</v>
      </c>
      <c r="BC246" s="11">
        <f>운전실적_원본!AB246</f>
        <v>0</v>
      </c>
      <c r="BD246" s="32" t="str">
        <f t="shared" si="1115"/>
        <v>-</v>
      </c>
      <c r="BE246" s="11" t="str">
        <f t="shared" si="1123"/>
        <v>-</v>
      </c>
      <c r="BF246" s="11">
        <f>운전실적_원본!AE246</f>
        <v>0</v>
      </c>
      <c r="BG246" s="31">
        <f t="shared" si="1116"/>
        <v>0</v>
      </c>
      <c r="BH246" s="241">
        <f>INDEX(연료전지_원본!$A$4:$KY$369,MATCH($A246,연료전지_원본!$A$4:$A$369,0),MATCH($BH$4,연료전지_원본!$A$4:$KY$4,0))</f>
        <v>0</v>
      </c>
      <c r="BI246" s="241">
        <f>INDEX(연료전지_원본!$A$4:$KY$369,MATCH($A246,연료전지_원본!$A$4:$A$369,0),MATCH($BI$4,연료전지_원본!$A$4:$KY$4,0))</f>
        <v>0</v>
      </c>
      <c r="BJ246" s="241">
        <f>INDEX(연료전지_원본!$A$4:$KY$369,MATCH($A246,연료전지_원본!$A$4:$A$369,0),MATCH($BJ$4,연료전지_원본!$A$4:$KY$4,0))</f>
        <v>0</v>
      </c>
      <c r="BK246" s="241">
        <f>INDEX(연료전지_원본!$A$4:$KY$369,MATCH($A246,연료전지_원본!$A$4:$A$369,0),MATCH($BK$4,연료전지_원본!$A$4:$KY$4,0))</f>
        <v>0</v>
      </c>
      <c r="BL246" s="241">
        <f>INDEX(연료전지_원본!$A$4:$KY$369,MATCH($A246,연료전지_원본!$A$4:$A$369,0),MATCH($BL$4,연료전지_원본!$A$4:$KY$4,0))</f>
        <v>0</v>
      </c>
      <c r="BM246" s="241">
        <f>INDEX(연료전지_원본!$A$4:$KY$369,MATCH($A246,연료전지_원본!$A$4:$A$369,0),MATCH($BM$4,연료전지_원본!$A$4:$KY$4,0))</f>
        <v>0</v>
      </c>
      <c r="BN246" s="241">
        <f>INDEX(연료전지_원본!$A$4:$KY$369,MATCH($A246,연료전지_원본!$A$4:$A$369,0),MATCH($BN$4,연료전지_원본!$A$4:$KY$4,0))</f>
        <v>0</v>
      </c>
      <c r="BO246" s="241">
        <f>INDEX(연료전지_원본!$A$4:$KY$369,MATCH($A246,연료전지_원본!$A$4:$A$369,0),MATCH($BO$4,연료전지_원본!$A$4:$KY$4,0))</f>
        <v>0</v>
      </c>
      <c r="BP246" s="241">
        <f>INDEX(연료전지_원본!$A$4:$KY$369,MATCH($A246,연료전지_원본!$A$4:$A$369,0),MATCH($BP$4,연료전지_원본!$A$4:$KY$4,0))</f>
        <v>0</v>
      </c>
      <c r="BQ246" s="241">
        <f>INDEX(연료전지_원본!$A$4:$KY$369,MATCH($A246,연료전지_원본!$A$4:$A$369,0),MATCH($BQ$4,연료전지_원본!$A$4:$KY$4,0))</f>
        <v>0</v>
      </c>
      <c r="BR246" s="241">
        <f>INDEX(연료전지_원본!$A$4:$KY$369,MATCH($A246,연료전지_원본!$A$4:$A$369,0),MATCH($BR$4,연료전지_원본!$A$4:$KY$4,0))</f>
        <v>0</v>
      </c>
      <c r="BS246" s="241">
        <f>INDEX(연료전지_원본!$A$4:$KY$369,MATCH($A246,연료전지_원본!$A$4:$A$369,0),MATCH($BS$4,연료전지_원본!$A$4:$KY$4,0))</f>
        <v>0</v>
      </c>
      <c r="BT246" s="241">
        <f>INDEX(연료전지_원본!$A$4:$KY$369,MATCH($A246,연료전지_원본!$A$4:$A$369,0),MATCH($BT$4,연료전지_원본!$A$4:$KY$4,0))</f>
        <v>0</v>
      </c>
      <c r="BU246" s="241">
        <f>INDEX(연료전지_원본!$A$4:$KY$369,MATCH($A246,연료전지_원본!$A$4:$A$369,0),MATCH($BU$4,연료전지_원본!$A$4:$KY$4,0))</f>
        <v>0</v>
      </c>
      <c r="BV246" s="241">
        <f>INDEX(연료전지_원본!$A$4:$KY$369,MATCH($A246,연료전지_원본!$A$4:$A$369,0),MATCH($BV$4,연료전지_원본!$A$4:$KY$4,0))</f>
        <v>0</v>
      </c>
      <c r="BW246" s="241">
        <f>INDEX(연료전지_원본!$A$4:$KY$369,MATCH($A246,연료전지_원본!$A$4:$A$369,0),MATCH($BW$4,연료전지_원본!$A$4:$KY$4,0))</f>
        <v>0</v>
      </c>
      <c r="BX246" s="241">
        <f>INDEX(연료전지_원본!$A$4:$KY$369,MATCH($A246,연료전지_원본!$A$4:$A$369,0),MATCH($BX$4,연료전지_원본!$A$4:$KY$4,0))</f>
        <v>0</v>
      </c>
      <c r="BY246" s="241">
        <f>INDEX(연료전지_원본!$A$4:$KY$369,MATCH($A246,연료전지_원본!$A$4:$A$369,0),MATCH($BY$4,연료전지_원본!$A$4:$KY$4,0))</f>
        <v>0</v>
      </c>
      <c r="BZ246" s="241">
        <f>INDEX(연료전지_원본!$A$4:$KY$369,MATCH($A246,연료전지_원본!$A$4:$A$369,0),MATCH($BZ$4,연료전지_원본!$A$4:$KY$4,0))</f>
        <v>0</v>
      </c>
      <c r="CA246" s="241">
        <f>INDEX(연료전지_원본!$A$4:$KY$369,MATCH($A246,연료전지_원본!$A$4:$A$369,0),MATCH($CA$4,연료전지_원본!$A$4:$KY$4,0))</f>
        <v>0</v>
      </c>
      <c r="CB246" s="241">
        <f>INDEX(연료전지_원본!$A$4:$KY$369,MATCH($A246,연료전지_원본!$A$4:$A$369,0),MATCH($CB$4,연료전지_원본!$A$4:$KY$4,0))</f>
        <v>0</v>
      </c>
      <c r="CC246" s="242">
        <f>INDEX(연료전지_원본!$A$4:$KY$369,MATCH($A246,연료전지_원본!$A$4:$A$369,0),MATCH($CC$4,연료전지_원본!$A$4:$KY$4,0))</f>
        <v>0</v>
      </c>
      <c r="CD246" s="250">
        <f>INDEX(연료전지_원본!$KB$4:$KX$369,MATCH($A246,연료전지_원본!$KB$4:$KB$369,0), MATCH(CD$4,연료전지_원본!$KB$4:$KX$4,0))*1000</f>
        <v>0</v>
      </c>
      <c r="CE246" s="250">
        <f>INDEX(연료전지_원본!$KB$4:$KX$369,MATCH($A246,연료전지_원본!$KB$4:$KB$369,0), MATCH(CE$4,연료전지_원본!$KB$4:$KX$4,0))*1000</f>
        <v>0</v>
      </c>
      <c r="CF246" s="250">
        <f>INDEX(연료전지_원본!$KB$4:$KX$369,MATCH($A246,연료전지_원본!$KB$4:$KB$369,0), MATCH(CF$4,연료전지_원본!$KB$4:$KX$4,0))*1000</f>
        <v>0</v>
      </c>
      <c r="CG246" s="250">
        <f>INDEX(연료전지_원본!$KB$4:$KX$369,MATCH($A246,연료전지_원본!$KB$4:$KB$369,0), MATCH(CG$4,연료전지_원본!$KB$4:$KX$4,0))*1000</f>
        <v>0</v>
      </c>
      <c r="CH246" s="250">
        <f>INDEX(연료전지_원본!$KB$4:$KX$369,MATCH($A246,연료전지_원본!$KB$4:$KB$369,0), MATCH(CH$4,연료전지_원본!$KB$4:$KX$4,0))*1000</f>
        <v>0</v>
      </c>
      <c r="CI246" s="250">
        <f>INDEX(연료전지_원본!$KB$4:$KX$369,MATCH($A246,연료전지_원본!$KB$4:$KB$369,0), MATCH(CI$4,연료전지_원본!$KB$4:$KX$4,0))*1000</f>
        <v>0</v>
      </c>
      <c r="CJ246" s="250">
        <f>INDEX(연료전지_원본!$KB$4:$KX$369,MATCH($A246,연료전지_원본!$KB$4:$KB$369,0), MATCH(CJ$4,연료전지_원본!$KB$4:$KX$4,0))*1000</f>
        <v>0</v>
      </c>
      <c r="CK246" s="250">
        <f>INDEX(연료전지_원본!$KB$4:$KX$369,MATCH($A246,연료전지_원본!$KB$4:$KB$369,0), MATCH(CK$4,연료전지_원본!$KB$4:$KX$4,0))*1000</f>
        <v>0</v>
      </c>
      <c r="CL246" s="250">
        <f>INDEX(연료전지_원본!$KB$4:$KX$369,MATCH($A246,연료전지_원본!$KB$4:$KB$369,0), MATCH(CL$4,연료전지_원본!$KB$4:$KX$4,0))*1000</f>
        <v>0</v>
      </c>
      <c r="CM246" s="250">
        <f>INDEX(연료전지_원본!$KB$4:$KX$369,MATCH($A246,연료전지_원본!$KB$4:$KB$369,0), MATCH(CM$4,연료전지_원본!$KB$4:$KX$4,0))*1000</f>
        <v>0</v>
      </c>
      <c r="CN246" s="250">
        <f>INDEX(연료전지_원본!$KB$4:$KX$369,MATCH($A246,연료전지_원본!$KB$4:$KB$369,0), MATCH(CN$4,연료전지_원본!$KB$4:$KX$4,0))*1000</f>
        <v>0</v>
      </c>
      <c r="CO246" s="250">
        <f>INDEX(연료전지_원본!$KB$4:$KX$369,MATCH($A246,연료전지_원본!$KB$4:$KB$369,0), MATCH(CO$4,연료전지_원본!$KB$4:$KX$4,0))*1000</f>
        <v>0</v>
      </c>
      <c r="CP246" s="250">
        <f>INDEX(연료전지_원본!$KB$4:$KX$369,MATCH($A246,연료전지_원본!$KB$4:$KB$369,0), MATCH(CP$4,연료전지_원본!$KB$4:$KX$4,0))*1000</f>
        <v>0</v>
      </c>
      <c r="CQ246" s="250">
        <f>INDEX(연료전지_원본!$KB$4:$KX$369,MATCH($A246,연료전지_원본!$KB$4:$KB$369,0), MATCH(CQ$4,연료전지_원본!$KB$4:$KX$4,0))*1000</f>
        <v>0</v>
      </c>
      <c r="CR246" s="250">
        <f>INDEX(연료전지_원본!$KB$4:$KX$369,MATCH($A246,연료전지_원본!$KB$4:$KB$369,0), MATCH(CR$4,연료전지_원본!$KB$4:$KX$4,0))*1000</f>
        <v>0</v>
      </c>
      <c r="CS246" s="250">
        <f>INDEX(연료전지_원본!$KB$4:$KX$369,MATCH($A246,연료전지_원본!$KB$4:$KB$369,0), MATCH(CS$4,연료전지_원본!$KB$4:$KX$4,0))*1000</f>
        <v>0</v>
      </c>
      <c r="CT246" s="250">
        <f>INDEX(연료전지_원본!$KB$4:$KX$369,MATCH($A246,연료전지_원본!$KB$4:$KB$369,0), MATCH(CT$4,연료전지_원본!$KB$4:$KX$4,0))*1000</f>
        <v>0</v>
      </c>
      <c r="CU246" s="250">
        <f>INDEX(연료전지_원본!$KB$4:$KX$369,MATCH($A246,연료전지_원본!$KB$4:$KB$369,0), MATCH(CU$4,연료전지_원본!$KB$4:$KX$4,0))*1000</f>
        <v>0</v>
      </c>
      <c r="CV246" s="250">
        <f>INDEX(연료전지_원본!$KB$4:$KX$369,MATCH($A246,연료전지_원본!$KB$4:$KB$369,0), MATCH(CV$4,연료전지_원본!$KB$4:$KX$4,0))*1000</f>
        <v>0</v>
      </c>
      <c r="CW246" s="250">
        <f>INDEX(연료전지_원본!$KB$4:$KX$369,MATCH($A246,연료전지_원본!$KB$4:$KB$369,0), MATCH(CW$4,연료전지_원본!$KB$4:$KX$4,0))*1000</f>
        <v>0</v>
      </c>
      <c r="CX246" s="250">
        <f>INDEX(연료전지_원본!$KB$4:$KX$369,MATCH($A246,연료전지_원본!$KB$4:$KB$369,0), MATCH(CX$4,연료전지_원본!$KB$4:$KX$4,0))*1000</f>
        <v>0</v>
      </c>
      <c r="CY246" s="250">
        <f>INDEX(연료전지_원본!$KB$4:$KX$369,MATCH($A246,연료전지_원본!$KB$4:$KB$369,0), MATCH(CY$4,연료전지_원본!$KB$4:$KX$4,0))*1000</f>
        <v>0</v>
      </c>
      <c r="DV246" s="30">
        <f t="shared" si="1285"/>
        <v>0</v>
      </c>
    </row>
    <row r="247" spans="1:126">
      <c r="A247" s="6">
        <v>46264</v>
      </c>
      <c r="B247" s="15">
        <f>운전실적_원본!B247</f>
        <v>0</v>
      </c>
      <c r="C247" s="16" t="str">
        <f t="shared" si="1291"/>
        <v/>
      </c>
      <c r="D247" s="12">
        <f>운전실적_원본!C247</f>
        <v>0</v>
      </c>
      <c r="E247" s="12" t="str">
        <f t="shared" si="1292"/>
        <v/>
      </c>
      <c r="F247" s="12">
        <f>운전실적_원본!D247</f>
        <v>0</v>
      </c>
      <c r="G247" s="16" t="str">
        <f t="shared" si="1293"/>
        <v/>
      </c>
      <c r="H247" s="15">
        <f>운전실적_원본!E247</f>
        <v>0</v>
      </c>
      <c r="I247" s="16" t="str">
        <f t="shared" si="1294"/>
        <v/>
      </c>
      <c r="J247" s="15">
        <f>운전실적_원본!F247</f>
        <v>0</v>
      </c>
      <c r="K247" s="16" t="str">
        <f t="shared" si="1294"/>
        <v/>
      </c>
      <c r="L247" s="32">
        <f>운전실적_원본!G247</f>
        <v>0</v>
      </c>
      <c r="M247" s="31" t="str">
        <f t="shared" ref="M247" si="1371">IF(OR(LEN(L247)=0,L247=0),"",L247-L246)</f>
        <v/>
      </c>
      <c r="N247" s="15">
        <f>운전실적_원본!H247</f>
        <v>0</v>
      </c>
      <c r="O247" s="16" t="str">
        <f t="shared" ref="O247" si="1372">IF(OR(LEN(N247)=0,N247=0),"",N247-N246)</f>
        <v/>
      </c>
      <c r="P247" s="15">
        <f>운전실적_원본!I247</f>
        <v>0</v>
      </c>
      <c r="Q247" s="16" t="str">
        <f t="shared" ref="Q247" si="1373">IF(OR(LEN(P247)=0,P247=0),"",P247-P246)</f>
        <v/>
      </c>
      <c r="R247" s="18">
        <f>운전실적_원본!J247</f>
        <v>0</v>
      </c>
      <c r="S247" s="19" t="str">
        <f t="shared" ref="S247" si="1374">IF(OR(LEN(R247)=0,R247=0),"",R247-R246)</f>
        <v/>
      </c>
      <c r="T247" s="18">
        <f>운전실적_원본!K247</f>
        <v>0</v>
      </c>
      <c r="U247" s="19" t="str">
        <f t="shared" si="1299"/>
        <v/>
      </c>
      <c r="V247" s="12">
        <f>운전실적_원본!L247</f>
        <v>0</v>
      </c>
      <c r="W247" s="16" t="str">
        <f t="shared" ref="W247" si="1375">IF(OR(LEN(V247)=0,V247=0),"",V247-V246)</f>
        <v/>
      </c>
      <c r="X247" s="10">
        <f>운전실적_원본!M247</f>
        <v>0</v>
      </c>
      <c r="Y247" s="10">
        <f>운전실적_원본!N247</f>
        <v>0</v>
      </c>
      <c r="Z247" s="10">
        <f>운전실적_원본!O247</f>
        <v>0</v>
      </c>
      <c r="AA247" s="10">
        <f>운전실적_원본!P247</f>
        <v>0</v>
      </c>
      <c r="AB247" s="10">
        <f>운전실적_원본!Q247</f>
        <v>0</v>
      </c>
      <c r="AC247" s="20">
        <f>운전실적_원본!R247</f>
        <v>0</v>
      </c>
      <c r="AD247" s="109">
        <f>운전실적_원본!S247</f>
        <v>0</v>
      </c>
      <c r="AE247" s="110">
        <f>운전실적_원본!T247</f>
        <v>0</v>
      </c>
      <c r="AF247" s="110">
        <f>운전실적_원본!U247</f>
        <v>0</v>
      </c>
      <c r="AG247" s="110">
        <f>운전실적_원본!V247</f>
        <v>0</v>
      </c>
      <c r="AH247" s="109">
        <f t="shared" si="1122"/>
        <v>0</v>
      </c>
      <c r="AI247" s="110">
        <f t="shared" si="1129"/>
        <v>0</v>
      </c>
      <c r="AJ247" s="110">
        <f>운전실적_원본!Y247</f>
        <v>0</v>
      </c>
      <c r="AK247" s="110">
        <f>운전실적_원본!Z247</f>
        <v>0</v>
      </c>
      <c r="AL247" s="106"/>
      <c r="AM247" s="105"/>
      <c r="AN247" s="105"/>
      <c r="AO247" s="105"/>
      <c r="AP247" s="105"/>
      <c r="AQ247" s="108"/>
      <c r="AR247" s="105"/>
      <c r="AS247" s="105"/>
      <c r="AT247" s="102"/>
      <c r="AU247" s="102"/>
      <c r="AV247" s="102"/>
      <c r="AW247" s="102"/>
      <c r="AX247" s="32">
        <f>운전실적_원본!W247</f>
        <v>0</v>
      </c>
      <c r="AY247" s="11">
        <f>운전실적_원본!X247</f>
        <v>0</v>
      </c>
      <c r="AZ247" s="11">
        <f>운전실적_원본!Y247</f>
        <v>0</v>
      </c>
      <c r="BA247" s="11">
        <f>운전실적_원본!Z247</f>
        <v>0</v>
      </c>
      <c r="BB247" s="11">
        <f>운전실적_원본!AA247</f>
        <v>0</v>
      </c>
      <c r="BC247" s="11">
        <f>운전실적_원본!AB247</f>
        <v>0</v>
      </c>
      <c r="BD247" s="32" t="str">
        <f t="shared" si="1115"/>
        <v>-</v>
      </c>
      <c r="BE247" s="11" t="str">
        <f t="shared" si="1123"/>
        <v>-</v>
      </c>
      <c r="BF247" s="11">
        <f>운전실적_원본!AE247</f>
        <v>0</v>
      </c>
      <c r="BG247" s="31">
        <f t="shared" si="1116"/>
        <v>0</v>
      </c>
      <c r="BH247" s="241">
        <f>INDEX(연료전지_원본!$A$4:$KY$369,MATCH($A247,연료전지_원본!$A$4:$A$369,0),MATCH($BH$4,연료전지_원본!$A$4:$KY$4,0))</f>
        <v>0</v>
      </c>
      <c r="BI247" s="241">
        <f>INDEX(연료전지_원본!$A$4:$KY$369,MATCH($A247,연료전지_원본!$A$4:$A$369,0),MATCH($BI$4,연료전지_원본!$A$4:$KY$4,0))</f>
        <v>0</v>
      </c>
      <c r="BJ247" s="241">
        <f>INDEX(연료전지_원본!$A$4:$KY$369,MATCH($A247,연료전지_원본!$A$4:$A$369,0),MATCH($BJ$4,연료전지_원본!$A$4:$KY$4,0))</f>
        <v>0</v>
      </c>
      <c r="BK247" s="241">
        <f>INDEX(연료전지_원본!$A$4:$KY$369,MATCH($A247,연료전지_원본!$A$4:$A$369,0),MATCH($BK$4,연료전지_원본!$A$4:$KY$4,0))</f>
        <v>0</v>
      </c>
      <c r="BL247" s="241">
        <f>INDEX(연료전지_원본!$A$4:$KY$369,MATCH($A247,연료전지_원본!$A$4:$A$369,0),MATCH($BL$4,연료전지_원본!$A$4:$KY$4,0))</f>
        <v>0</v>
      </c>
      <c r="BM247" s="241">
        <f>INDEX(연료전지_원본!$A$4:$KY$369,MATCH($A247,연료전지_원본!$A$4:$A$369,0),MATCH($BM$4,연료전지_원본!$A$4:$KY$4,0))</f>
        <v>0</v>
      </c>
      <c r="BN247" s="241">
        <f>INDEX(연료전지_원본!$A$4:$KY$369,MATCH($A247,연료전지_원본!$A$4:$A$369,0),MATCH($BN$4,연료전지_원본!$A$4:$KY$4,0))</f>
        <v>0</v>
      </c>
      <c r="BO247" s="241">
        <f>INDEX(연료전지_원본!$A$4:$KY$369,MATCH($A247,연료전지_원본!$A$4:$A$369,0),MATCH($BO$4,연료전지_원본!$A$4:$KY$4,0))</f>
        <v>0</v>
      </c>
      <c r="BP247" s="241">
        <f>INDEX(연료전지_원본!$A$4:$KY$369,MATCH($A247,연료전지_원본!$A$4:$A$369,0),MATCH($BP$4,연료전지_원본!$A$4:$KY$4,0))</f>
        <v>0</v>
      </c>
      <c r="BQ247" s="241">
        <f>INDEX(연료전지_원본!$A$4:$KY$369,MATCH($A247,연료전지_원본!$A$4:$A$369,0),MATCH($BQ$4,연료전지_원본!$A$4:$KY$4,0))</f>
        <v>0</v>
      </c>
      <c r="BR247" s="241">
        <f>INDEX(연료전지_원본!$A$4:$KY$369,MATCH($A247,연료전지_원본!$A$4:$A$369,0),MATCH($BR$4,연료전지_원본!$A$4:$KY$4,0))</f>
        <v>0</v>
      </c>
      <c r="BS247" s="241">
        <f>INDEX(연료전지_원본!$A$4:$KY$369,MATCH($A247,연료전지_원본!$A$4:$A$369,0),MATCH($BS$4,연료전지_원본!$A$4:$KY$4,0))</f>
        <v>0</v>
      </c>
      <c r="BT247" s="241">
        <f>INDEX(연료전지_원본!$A$4:$KY$369,MATCH($A247,연료전지_원본!$A$4:$A$369,0),MATCH($BT$4,연료전지_원본!$A$4:$KY$4,0))</f>
        <v>0</v>
      </c>
      <c r="BU247" s="241">
        <f>INDEX(연료전지_원본!$A$4:$KY$369,MATCH($A247,연료전지_원본!$A$4:$A$369,0),MATCH($BU$4,연료전지_원본!$A$4:$KY$4,0))</f>
        <v>0</v>
      </c>
      <c r="BV247" s="241">
        <f>INDEX(연료전지_원본!$A$4:$KY$369,MATCH($A247,연료전지_원본!$A$4:$A$369,0),MATCH($BV$4,연료전지_원본!$A$4:$KY$4,0))</f>
        <v>0</v>
      </c>
      <c r="BW247" s="241">
        <f>INDEX(연료전지_원본!$A$4:$KY$369,MATCH($A247,연료전지_원본!$A$4:$A$369,0),MATCH($BW$4,연료전지_원본!$A$4:$KY$4,0))</f>
        <v>0</v>
      </c>
      <c r="BX247" s="241">
        <f>INDEX(연료전지_원본!$A$4:$KY$369,MATCH($A247,연료전지_원본!$A$4:$A$369,0),MATCH($BX$4,연료전지_원본!$A$4:$KY$4,0))</f>
        <v>0</v>
      </c>
      <c r="BY247" s="241">
        <f>INDEX(연료전지_원본!$A$4:$KY$369,MATCH($A247,연료전지_원본!$A$4:$A$369,0),MATCH($BY$4,연료전지_원본!$A$4:$KY$4,0))</f>
        <v>0</v>
      </c>
      <c r="BZ247" s="241">
        <f>INDEX(연료전지_원본!$A$4:$KY$369,MATCH($A247,연료전지_원본!$A$4:$A$369,0),MATCH($BZ$4,연료전지_원본!$A$4:$KY$4,0))</f>
        <v>0</v>
      </c>
      <c r="CA247" s="241">
        <f>INDEX(연료전지_원본!$A$4:$KY$369,MATCH($A247,연료전지_원본!$A$4:$A$369,0),MATCH($CA$4,연료전지_원본!$A$4:$KY$4,0))</f>
        <v>0</v>
      </c>
      <c r="CB247" s="241">
        <f>INDEX(연료전지_원본!$A$4:$KY$369,MATCH($A247,연료전지_원본!$A$4:$A$369,0),MATCH($CB$4,연료전지_원본!$A$4:$KY$4,0))</f>
        <v>0</v>
      </c>
      <c r="CC247" s="242">
        <f>INDEX(연료전지_원본!$A$4:$KY$369,MATCH($A247,연료전지_원본!$A$4:$A$369,0),MATCH($CC$4,연료전지_원본!$A$4:$KY$4,0))</f>
        <v>0</v>
      </c>
      <c r="CD247" s="250">
        <f>INDEX(연료전지_원본!$KB$4:$KX$369,MATCH($A247,연료전지_원본!$KB$4:$KB$369,0), MATCH(CD$4,연료전지_원본!$KB$4:$KX$4,0))*1000</f>
        <v>0</v>
      </c>
      <c r="CE247" s="250">
        <f>INDEX(연료전지_원본!$KB$4:$KX$369,MATCH($A247,연료전지_원본!$KB$4:$KB$369,0), MATCH(CE$4,연료전지_원본!$KB$4:$KX$4,0))*1000</f>
        <v>0</v>
      </c>
      <c r="CF247" s="250">
        <f>INDEX(연료전지_원본!$KB$4:$KX$369,MATCH($A247,연료전지_원본!$KB$4:$KB$369,0), MATCH(CF$4,연료전지_원본!$KB$4:$KX$4,0))*1000</f>
        <v>0</v>
      </c>
      <c r="CG247" s="250">
        <f>INDEX(연료전지_원본!$KB$4:$KX$369,MATCH($A247,연료전지_원본!$KB$4:$KB$369,0), MATCH(CG$4,연료전지_원본!$KB$4:$KX$4,0))*1000</f>
        <v>0</v>
      </c>
      <c r="CH247" s="250">
        <f>INDEX(연료전지_원본!$KB$4:$KX$369,MATCH($A247,연료전지_원본!$KB$4:$KB$369,0), MATCH(CH$4,연료전지_원본!$KB$4:$KX$4,0))*1000</f>
        <v>0</v>
      </c>
      <c r="CI247" s="250">
        <f>INDEX(연료전지_원본!$KB$4:$KX$369,MATCH($A247,연료전지_원본!$KB$4:$KB$369,0), MATCH(CI$4,연료전지_원본!$KB$4:$KX$4,0))*1000</f>
        <v>0</v>
      </c>
      <c r="CJ247" s="250">
        <f>INDEX(연료전지_원본!$KB$4:$KX$369,MATCH($A247,연료전지_원본!$KB$4:$KB$369,0), MATCH(CJ$4,연료전지_원본!$KB$4:$KX$4,0))*1000</f>
        <v>0</v>
      </c>
      <c r="CK247" s="250">
        <f>INDEX(연료전지_원본!$KB$4:$KX$369,MATCH($A247,연료전지_원본!$KB$4:$KB$369,0), MATCH(CK$4,연료전지_원본!$KB$4:$KX$4,0))*1000</f>
        <v>0</v>
      </c>
      <c r="CL247" s="250">
        <f>INDEX(연료전지_원본!$KB$4:$KX$369,MATCH($A247,연료전지_원본!$KB$4:$KB$369,0), MATCH(CL$4,연료전지_원본!$KB$4:$KX$4,0))*1000</f>
        <v>0</v>
      </c>
      <c r="CM247" s="250">
        <f>INDEX(연료전지_원본!$KB$4:$KX$369,MATCH($A247,연료전지_원본!$KB$4:$KB$369,0), MATCH(CM$4,연료전지_원본!$KB$4:$KX$4,0))*1000</f>
        <v>0</v>
      </c>
      <c r="CN247" s="250">
        <f>INDEX(연료전지_원본!$KB$4:$KX$369,MATCH($A247,연료전지_원본!$KB$4:$KB$369,0), MATCH(CN$4,연료전지_원본!$KB$4:$KX$4,0))*1000</f>
        <v>0</v>
      </c>
      <c r="CO247" s="250">
        <f>INDEX(연료전지_원본!$KB$4:$KX$369,MATCH($A247,연료전지_원본!$KB$4:$KB$369,0), MATCH(CO$4,연료전지_원본!$KB$4:$KX$4,0))*1000</f>
        <v>0</v>
      </c>
      <c r="CP247" s="250">
        <f>INDEX(연료전지_원본!$KB$4:$KX$369,MATCH($A247,연료전지_원본!$KB$4:$KB$369,0), MATCH(CP$4,연료전지_원본!$KB$4:$KX$4,0))*1000</f>
        <v>0</v>
      </c>
      <c r="CQ247" s="250">
        <f>INDEX(연료전지_원본!$KB$4:$KX$369,MATCH($A247,연료전지_원본!$KB$4:$KB$369,0), MATCH(CQ$4,연료전지_원본!$KB$4:$KX$4,0))*1000</f>
        <v>0</v>
      </c>
      <c r="CR247" s="250">
        <f>INDEX(연료전지_원본!$KB$4:$KX$369,MATCH($A247,연료전지_원본!$KB$4:$KB$369,0), MATCH(CR$4,연료전지_원본!$KB$4:$KX$4,0))*1000</f>
        <v>0</v>
      </c>
      <c r="CS247" s="250">
        <f>INDEX(연료전지_원본!$KB$4:$KX$369,MATCH($A247,연료전지_원본!$KB$4:$KB$369,0), MATCH(CS$4,연료전지_원본!$KB$4:$KX$4,0))*1000</f>
        <v>0</v>
      </c>
      <c r="CT247" s="250">
        <f>INDEX(연료전지_원본!$KB$4:$KX$369,MATCH($A247,연료전지_원본!$KB$4:$KB$369,0), MATCH(CT$4,연료전지_원본!$KB$4:$KX$4,0))*1000</f>
        <v>0</v>
      </c>
      <c r="CU247" s="250">
        <f>INDEX(연료전지_원본!$KB$4:$KX$369,MATCH($A247,연료전지_원본!$KB$4:$KB$369,0), MATCH(CU$4,연료전지_원본!$KB$4:$KX$4,0))*1000</f>
        <v>0</v>
      </c>
      <c r="CV247" s="250">
        <f>INDEX(연료전지_원본!$KB$4:$KX$369,MATCH($A247,연료전지_원본!$KB$4:$KB$369,0), MATCH(CV$4,연료전지_원본!$KB$4:$KX$4,0))*1000</f>
        <v>0</v>
      </c>
      <c r="CW247" s="250">
        <f>INDEX(연료전지_원본!$KB$4:$KX$369,MATCH($A247,연료전지_원본!$KB$4:$KB$369,0), MATCH(CW$4,연료전지_원본!$KB$4:$KX$4,0))*1000</f>
        <v>0</v>
      </c>
      <c r="CX247" s="250">
        <f>INDEX(연료전지_원본!$KB$4:$KX$369,MATCH($A247,연료전지_원본!$KB$4:$KB$369,0), MATCH(CX$4,연료전지_원본!$KB$4:$KX$4,0))*1000</f>
        <v>0</v>
      </c>
      <c r="CY247" s="250">
        <f>INDEX(연료전지_원본!$KB$4:$KX$369,MATCH($A247,연료전지_원본!$KB$4:$KB$369,0), MATCH(CY$4,연료전지_원본!$KB$4:$KX$4,0))*1000</f>
        <v>0</v>
      </c>
      <c r="DV247" s="30">
        <f t="shared" si="1285"/>
        <v>0</v>
      </c>
    </row>
    <row r="248" spans="1:126">
      <c r="A248" s="158">
        <v>46265</v>
      </c>
      <c r="B248" s="27">
        <f>운전실적_원본!B248</f>
        <v>0</v>
      </c>
      <c r="C248" s="28" t="str">
        <f t="shared" si="1291"/>
        <v/>
      </c>
      <c r="D248" s="29">
        <f>운전실적_원본!C248</f>
        <v>0</v>
      </c>
      <c r="E248" s="29" t="str">
        <f t="shared" si="1292"/>
        <v/>
      </c>
      <c r="F248" s="29">
        <f>운전실적_원본!D248</f>
        <v>0</v>
      </c>
      <c r="G248" s="28" t="str">
        <f t="shared" si="1293"/>
        <v/>
      </c>
      <c r="H248" s="27">
        <f>운전실적_원본!E248</f>
        <v>0</v>
      </c>
      <c r="I248" s="28" t="str">
        <f t="shared" si="1294"/>
        <v/>
      </c>
      <c r="J248" s="27">
        <f>운전실적_원본!F248</f>
        <v>0</v>
      </c>
      <c r="K248" s="28" t="str">
        <f t="shared" si="1294"/>
        <v/>
      </c>
      <c r="L248" s="159">
        <f>운전실적_원본!G248</f>
        <v>0</v>
      </c>
      <c r="M248" s="157" t="str">
        <f t="shared" ref="M248" si="1376">IF(OR(LEN(L248)=0,L248=0),"",L248-L247)</f>
        <v/>
      </c>
      <c r="N248" s="27">
        <f>운전실적_원본!H248</f>
        <v>0</v>
      </c>
      <c r="O248" s="28" t="str">
        <f t="shared" ref="O248" si="1377">IF(OR(LEN(N248)=0,N248=0),"",N248-N247)</f>
        <v/>
      </c>
      <c r="P248" s="27">
        <f>운전실적_원본!I248</f>
        <v>0</v>
      </c>
      <c r="Q248" s="28" t="str">
        <f t="shared" ref="Q248" si="1378">IF(OR(LEN(P248)=0,P248=0),"",P248-P247)</f>
        <v/>
      </c>
      <c r="R248" s="160">
        <f>운전실적_원본!J248</f>
        <v>0</v>
      </c>
      <c r="S248" s="161" t="str">
        <f t="shared" ref="S248" si="1379">IF(OR(LEN(R248)=0,R248=0),"",R248-R247)</f>
        <v/>
      </c>
      <c r="T248" s="160">
        <f>운전실적_원본!K248</f>
        <v>0</v>
      </c>
      <c r="U248" s="161" t="str">
        <f t="shared" si="1299"/>
        <v/>
      </c>
      <c r="V248" s="29">
        <f>운전실적_원본!L248</f>
        <v>0</v>
      </c>
      <c r="W248" s="28" t="str">
        <f t="shared" ref="W248" si="1380">IF(OR(LEN(V248)=0,V248=0),"",V248-V247)</f>
        <v/>
      </c>
      <c r="X248" s="162">
        <f>운전실적_원본!M248</f>
        <v>0</v>
      </c>
      <c r="Y248" s="162">
        <f>운전실적_원본!N248</f>
        <v>0</v>
      </c>
      <c r="Z248" s="162">
        <f>운전실적_원본!O248</f>
        <v>0</v>
      </c>
      <c r="AA248" s="162">
        <f>운전실적_원본!P248</f>
        <v>0</v>
      </c>
      <c r="AB248" s="162">
        <f>운전실적_원본!Q248</f>
        <v>0</v>
      </c>
      <c r="AC248" s="162">
        <f>운전실적_원본!R248</f>
        <v>0</v>
      </c>
      <c r="AD248" s="163">
        <f>운전실적_원본!S248</f>
        <v>0</v>
      </c>
      <c r="AE248" s="164">
        <f>운전실적_원본!T248</f>
        <v>0</v>
      </c>
      <c r="AF248" s="164">
        <f>운전실적_원본!U248</f>
        <v>0</v>
      </c>
      <c r="AG248" s="164">
        <f>운전실적_원본!V248</f>
        <v>0</v>
      </c>
      <c r="AH248" s="163">
        <f t="shared" si="1122"/>
        <v>0</v>
      </c>
      <c r="AI248" s="164">
        <f t="shared" si="1129"/>
        <v>0</v>
      </c>
      <c r="AJ248" s="164">
        <f>운전실적_원본!Y248</f>
        <v>0</v>
      </c>
      <c r="AK248" s="164">
        <f>운전실적_원본!Z248</f>
        <v>0</v>
      </c>
      <c r="AL248" s="165"/>
      <c r="AM248" s="166"/>
      <c r="AN248" s="166"/>
      <c r="AO248" s="166"/>
      <c r="AP248" s="166"/>
      <c r="AQ248" s="167"/>
      <c r="AR248" s="166"/>
      <c r="AS248" s="166"/>
      <c r="AT248" s="168"/>
      <c r="AU248" s="168"/>
      <c r="AV248" s="168"/>
      <c r="AW248" s="168"/>
      <c r="AX248" s="159">
        <f>운전실적_원본!W248</f>
        <v>0</v>
      </c>
      <c r="AY248" s="169">
        <f>운전실적_원본!X248</f>
        <v>0</v>
      </c>
      <c r="AZ248" s="169">
        <f>운전실적_원본!Y248</f>
        <v>0</v>
      </c>
      <c r="BA248" s="169">
        <f>운전실적_원본!Z248</f>
        <v>0</v>
      </c>
      <c r="BB248" s="169">
        <f>운전실적_원본!AA248</f>
        <v>0</v>
      </c>
      <c r="BC248" s="169">
        <f>운전실적_원본!AB248</f>
        <v>0</v>
      </c>
      <c r="BD248" s="159" t="str">
        <f t="shared" si="1115"/>
        <v>-</v>
      </c>
      <c r="BE248" s="169" t="str">
        <f t="shared" si="1123"/>
        <v>-</v>
      </c>
      <c r="BF248" s="169">
        <f>운전실적_원본!AE248</f>
        <v>0</v>
      </c>
      <c r="BG248" s="157">
        <f t="shared" si="1116"/>
        <v>0</v>
      </c>
      <c r="BH248" s="244">
        <f>INDEX(연료전지_원본!$A$4:$KY$369,MATCH($A248,연료전지_원본!$A$4:$A$369,0),MATCH($BH$4,연료전지_원본!$A$4:$KY$4,0))</f>
        <v>0</v>
      </c>
      <c r="BI248" s="244">
        <f>INDEX(연료전지_원본!$A$4:$KY$369,MATCH($A248,연료전지_원본!$A$4:$A$369,0),MATCH($BI$4,연료전지_원본!$A$4:$KY$4,0))</f>
        <v>0</v>
      </c>
      <c r="BJ248" s="244">
        <f>INDEX(연료전지_원본!$A$4:$KY$369,MATCH($A248,연료전지_원본!$A$4:$A$369,0),MATCH($BJ$4,연료전지_원본!$A$4:$KY$4,0))</f>
        <v>0</v>
      </c>
      <c r="BK248" s="244">
        <f>INDEX(연료전지_원본!$A$4:$KY$369,MATCH($A248,연료전지_원본!$A$4:$A$369,0),MATCH($BK$4,연료전지_원본!$A$4:$KY$4,0))</f>
        <v>0</v>
      </c>
      <c r="BL248" s="244">
        <f>INDEX(연료전지_원본!$A$4:$KY$369,MATCH($A248,연료전지_원본!$A$4:$A$369,0),MATCH($BL$4,연료전지_원본!$A$4:$KY$4,0))</f>
        <v>0</v>
      </c>
      <c r="BM248" s="244">
        <f>INDEX(연료전지_원본!$A$4:$KY$369,MATCH($A248,연료전지_원본!$A$4:$A$369,0),MATCH($BM$4,연료전지_원본!$A$4:$KY$4,0))</f>
        <v>0</v>
      </c>
      <c r="BN248" s="244">
        <f>INDEX(연료전지_원본!$A$4:$KY$369,MATCH($A248,연료전지_원본!$A$4:$A$369,0),MATCH($BN$4,연료전지_원본!$A$4:$KY$4,0))</f>
        <v>0</v>
      </c>
      <c r="BO248" s="244">
        <f>INDEX(연료전지_원본!$A$4:$KY$369,MATCH($A248,연료전지_원본!$A$4:$A$369,0),MATCH($BO$4,연료전지_원본!$A$4:$KY$4,0))</f>
        <v>0</v>
      </c>
      <c r="BP248" s="244">
        <f>INDEX(연료전지_원본!$A$4:$KY$369,MATCH($A248,연료전지_원본!$A$4:$A$369,0),MATCH($BP$4,연료전지_원본!$A$4:$KY$4,0))</f>
        <v>0</v>
      </c>
      <c r="BQ248" s="244">
        <f>INDEX(연료전지_원본!$A$4:$KY$369,MATCH($A248,연료전지_원본!$A$4:$A$369,0),MATCH($BQ$4,연료전지_원본!$A$4:$KY$4,0))</f>
        <v>0</v>
      </c>
      <c r="BR248" s="244">
        <f>INDEX(연료전지_원본!$A$4:$KY$369,MATCH($A248,연료전지_원본!$A$4:$A$369,0),MATCH($BR$4,연료전지_원본!$A$4:$KY$4,0))</f>
        <v>0</v>
      </c>
      <c r="BS248" s="244">
        <f>INDEX(연료전지_원본!$A$4:$KY$369,MATCH($A248,연료전지_원본!$A$4:$A$369,0),MATCH($BS$4,연료전지_원본!$A$4:$KY$4,0))</f>
        <v>0</v>
      </c>
      <c r="BT248" s="244">
        <f>INDEX(연료전지_원본!$A$4:$KY$369,MATCH($A248,연료전지_원본!$A$4:$A$369,0),MATCH($BT$4,연료전지_원본!$A$4:$KY$4,0))</f>
        <v>0</v>
      </c>
      <c r="BU248" s="244">
        <f>INDEX(연료전지_원본!$A$4:$KY$369,MATCH($A248,연료전지_원본!$A$4:$A$369,0),MATCH($BU$4,연료전지_원본!$A$4:$KY$4,0))</f>
        <v>0</v>
      </c>
      <c r="BV248" s="244">
        <f>INDEX(연료전지_원본!$A$4:$KY$369,MATCH($A248,연료전지_원본!$A$4:$A$369,0),MATCH($BV$4,연료전지_원본!$A$4:$KY$4,0))</f>
        <v>0</v>
      </c>
      <c r="BW248" s="244">
        <f>INDEX(연료전지_원본!$A$4:$KY$369,MATCH($A248,연료전지_원본!$A$4:$A$369,0),MATCH($BW$4,연료전지_원본!$A$4:$KY$4,0))</f>
        <v>0</v>
      </c>
      <c r="BX248" s="244">
        <f>INDEX(연료전지_원본!$A$4:$KY$369,MATCH($A248,연료전지_원본!$A$4:$A$369,0),MATCH($BX$4,연료전지_원본!$A$4:$KY$4,0))</f>
        <v>0</v>
      </c>
      <c r="BY248" s="244">
        <f>INDEX(연료전지_원본!$A$4:$KY$369,MATCH($A248,연료전지_원본!$A$4:$A$369,0),MATCH($BY$4,연료전지_원본!$A$4:$KY$4,0))</f>
        <v>0</v>
      </c>
      <c r="BZ248" s="244">
        <f>INDEX(연료전지_원본!$A$4:$KY$369,MATCH($A248,연료전지_원본!$A$4:$A$369,0),MATCH($BZ$4,연료전지_원본!$A$4:$KY$4,0))</f>
        <v>0</v>
      </c>
      <c r="CA248" s="244">
        <f>INDEX(연료전지_원본!$A$4:$KY$369,MATCH($A248,연료전지_원본!$A$4:$A$369,0),MATCH($CA$4,연료전지_원본!$A$4:$KY$4,0))</f>
        <v>0</v>
      </c>
      <c r="CB248" s="244">
        <f>INDEX(연료전지_원본!$A$4:$KY$369,MATCH($A248,연료전지_원본!$A$4:$A$369,0),MATCH($CB$4,연료전지_원본!$A$4:$KY$4,0))</f>
        <v>0</v>
      </c>
      <c r="CC248" s="245">
        <f>INDEX(연료전지_원본!$A$4:$KY$369,MATCH($A248,연료전지_원본!$A$4:$A$369,0),MATCH($CC$4,연료전지_원본!$A$4:$KY$4,0))</f>
        <v>0</v>
      </c>
      <c r="CD248" s="257">
        <f>INDEX(연료전지_원본!$KB$4:$KX$369,MATCH($A248,연료전지_원본!$KB$4:$KB$369,0), MATCH(CD$4,연료전지_원본!$KB$4:$KX$4,0))*1000</f>
        <v>0</v>
      </c>
      <c r="CE248" s="257">
        <f>INDEX(연료전지_원본!$KB$4:$KX$369,MATCH($A248,연료전지_원본!$KB$4:$KB$369,0), MATCH(CE$4,연료전지_원본!$KB$4:$KX$4,0))*1000</f>
        <v>0</v>
      </c>
      <c r="CF248" s="257">
        <f>INDEX(연료전지_원본!$KB$4:$KX$369,MATCH($A248,연료전지_원본!$KB$4:$KB$369,0), MATCH(CF$4,연료전지_원본!$KB$4:$KX$4,0))*1000</f>
        <v>0</v>
      </c>
      <c r="CG248" s="257">
        <f>INDEX(연료전지_원본!$KB$4:$KX$369,MATCH($A248,연료전지_원본!$KB$4:$KB$369,0), MATCH(CG$4,연료전지_원본!$KB$4:$KX$4,0))*1000</f>
        <v>0</v>
      </c>
      <c r="CH248" s="257">
        <f>INDEX(연료전지_원본!$KB$4:$KX$369,MATCH($A248,연료전지_원본!$KB$4:$KB$369,0), MATCH(CH$4,연료전지_원본!$KB$4:$KX$4,0))*1000</f>
        <v>0</v>
      </c>
      <c r="CI248" s="257">
        <f>INDEX(연료전지_원본!$KB$4:$KX$369,MATCH($A248,연료전지_원본!$KB$4:$KB$369,0), MATCH(CI$4,연료전지_원본!$KB$4:$KX$4,0))*1000</f>
        <v>0</v>
      </c>
      <c r="CJ248" s="257">
        <f>INDEX(연료전지_원본!$KB$4:$KX$369,MATCH($A248,연료전지_원본!$KB$4:$KB$369,0), MATCH(CJ$4,연료전지_원본!$KB$4:$KX$4,0))*1000</f>
        <v>0</v>
      </c>
      <c r="CK248" s="257">
        <f>INDEX(연료전지_원본!$KB$4:$KX$369,MATCH($A248,연료전지_원본!$KB$4:$KB$369,0), MATCH(CK$4,연료전지_원본!$KB$4:$KX$4,0))*1000</f>
        <v>0</v>
      </c>
      <c r="CL248" s="257">
        <f>INDEX(연료전지_원본!$KB$4:$KX$369,MATCH($A248,연료전지_원본!$KB$4:$KB$369,0), MATCH(CL$4,연료전지_원본!$KB$4:$KX$4,0))*1000</f>
        <v>0</v>
      </c>
      <c r="CM248" s="257">
        <f>INDEX(연료전지_원본!$KB$4:$KX$369,MATCH($A248,연료전지_원본!$KB$4:$KB$369,0), MATCH(CM$4,연료전지_원본!$KB$4:$KX$4,0))*1000</f>
        <v>0</v>
      </c>
      <c r="CN248" s="257">
        <f>INDEX(연료전지_원본!$KB$4:$KX$369,MATCH($A248,연료전지_원본!$KB$4:$KB$369,0), MATCH(CN$4,연료전지_원본!$KB$4:$KX$4,0))*1000</f>
        <v>0</v>
      </c>
      <c r="CO248" s="257">
        <f>INDEX(연료전지_원본!$KB$4:$KX$369,MATCH($A248,연료전지_원본!$KB$4:$KB$369,0), MATCH(CO$4,연료전지_원본!$KB$4:$KX$4,0))*1000</f>
        <v>0</v>
      </c>
      <c r="CP248" s="257">
        <f>INDEX(연료전지_원본!$KB$4:$KX$369,MATCH($A248,연료전지_원본!$KB$4:$KB$369,0), MATCH(CP$4,연료전지_원본!$KB$4:$KX$4,0))*1000</f>
        <v>0</v>
      </c>
      <c r="CQ248" s="257">
        <f>INDEX(연료전지_원본!$KB$4:$KX$369,MATCH($A248,연료전지_원본!$KB$4:$KB$369,0), MATCH(CQ$4,연료전지_원본!$KB$4:$KX$4,0))*1000</f>
        <v>0</v>
      </c>
      <c r="CR248" s="257">
        <f>INDEX(연료전지_원본!$KB$4:$KX$369,MATCH($A248,연료전지_원본!$KB$4:$KB$369,0), MATCH(CR$4,연료전지_원본!$KB$4:$KX$4,0))*1000</f>
        <v>0</v>
      </c>
      <c r="CS248" s="257">
        <f>INDEX(연료전지_원본!$KB$4:$KX$369,MATCH($A248,연료전지_원본!$KB$4:$KB$369,0), MATCH(CS$4,연료전지_원본!$KB$4:$KX$4,0))*1000</f>
        <v>0</v>
      </c>
      <c r="CT248" s="257">
        <f>INDEX(연료전지_원본!$KB$4:$KX$369,MATCH($A248,연료전지_원본!$KB$4:$KB$369,0), MATCH(CT$4,연료전지_원본!$KB$4:$KX$4,0))*1000</f>
        <v>0</v>
      </c>
      <c r="CU248" s="257">
        <f>INDEX(연료전지_원본!$KB$4:$KX$369,MATCH($A248,연료전지_원본!$KB$4:$KB$369,0), MATCH(CU$4,연료전지_원본!$KB$4:$KX$4,0))*1000</f>
        <v>0</v>
      </c>
      <c r="CV248" s="257">
        <f>INDEX(연료전지_원본!$KB$4:$KX$369,MATCH($A248,연료전지_원본!$KB$4:$KB$369,0), MATCH(CV$4,연료전지_원본!$KB$4:$KX$4,0))*1000</f>
        <v>0</v>
      </c>
      <c r="CW248" s="257">
        <f>INDEX(연료전지_원본!$KB$4:$KX$369,MATCH($A248,연료전지_원본!$KB$4:$KB$369,0), MATCH(CW$4,연료전지_원본!$KB$4:$KX$4,0))*1000</f>
        <v>0</v>
      </c>
      <c r="CX248" s="257">
        <f>INDEX(연료전지_원본!$KB$4:$KX$369,MATCH($A248,연료전지_원본!$KB$4:$KB$369,0), MATCH(CX$4,연료전지_원본!$KB$4:$KX$4,0))*1000</f>
        <v>0</v>
      </c>
      <c r="CY248" s="257">
        <f>INDEX(연료전지_원본!$KB$4:$KX$369,MATCH($A248,연료전지_원본!$KB$4:$KB$369,0), MATCH(CY$4,연료전지_원본!$KB$4:$KX$4,0))*1000</f>
        <v>0</v>
      </c>
      <c r="CZ248" s="186"/>
      <c r="DA248" s="182"/>
      <c r="DB248" s="182"/>
      <c r="DC248" s="182"/>
      <c r="DD248" s="182"/>
      <c r="DE248" s="182"/>
      <c r="DF248" s="182"/>
      <c r="DG248" s="182"/>
      <c r="DH248" s="182"/>
      <c r="DI248" s="182"/>
      <c r="DJ248" s="182"/>
      <c r="DK248" s="182"/>
      <c r="DL248" s="182"/>
      <c r="DM248" s="182"/>
      <c r="DN248" s="182"/>
      <c r="DO248" s="182"/>
      <c r="DP248" s="182"/>
      <c r="DQ248" s="182"/>
      <c r="DR248" s="182"/>
      <c r="DS248" s="182"/>
      <c r="DT248" s="182"/>
      <c r="DU248" s="182"/>
      <c r="DV248" s="182">
        <f t="shared" si="1285"/>
        <v>0</v>
      </c>
    </row>
    <row r="249" spans="1:126">
      <c r="A249" s="6">
        <v>46266</v>
      </c>
      <c r="B249" s="15">
        <f>운전실적_원본!B249</f>
        <v>0</v>
      </c>
      <c r="C249" s="16" t="str">
        <f t="shared" si="1291"/>
        <v/>
      </c>
      <c r="D249" s="12">
        <f>운전실적_원본!C249</f>
        <v>0</v>
      </c>
      <c r="E249" s="12" t="str">
        <f t="shared" si="1292"/>
        <v/>
      </c>
      <c r="F249" s="12">
        <f>운전실적_원본!D249</f>
        <v>0</v>
      </c>
      <c r="G249" s="16" t="str">
        <f t="shared" si="1293"/>
        <v/>
      </c>
      <c r="H249" s="15">
        <f>운전실적_원본!E249</f>
        <v>0</v>
      </c>
      <c r="I249" s="16" t="str">
        <f t="shared" si="1294"/>
        <v/>
      </c>
      <c r="J249" s="15">
        <f>운전실적_원본!F249</f>
        <v>0</v>
      </c>
      <c r="K249" s="16" t="str">
        <f t="shared" si="1294"/>
        <v/>
      </c>
      <c r="L249" s="32">
        <f>운전실적_원본!G249</f>
        <v>0</v>
      </c>
      <c r="M249" s="31" t="str">
        <f t="shared" ref="M249" si="1381">IF(OR(LEN(L249)=0,L249=0),"",L249-L248)</f>
        <v/>
      </c>
      <c r="N249" s="15">
        <f>운전실적_원본!H249</f>
        <v>0</v>
      </c>
      <c r="O249" s="16" t="str">
        <f t="shared" ref="O249" si="1382">IF(OR(LEN(N249)=0,N249=0),"",N249-N248)</f>
        <v/>
      </c>
      <c r="P249" s="15">
        <f>운전실적_원본!I249</f>
        <v>0</v>
      </c>
      <c r="Q249" s="16" t="str">
        <f t="shared" ref="Q249" si="1383">IF(OR(LEN(P249)=0,P249=0),"",P249-P248)</f>
        <v/>
      </c>
      <c r="R249" s="18">
        <f>운전실적_원본!J249</f>
        <v>0</v>
      </c>
      <c r="S249" s="19" t="str">
        <f t="shared" ref="S249" si="1384">IF(OR(LEN(R249)=0,R249=0),"",R249-R248)</f>
        <v/>
      </c>
      <c r="T249" s="18">
        <f>운전실적_원본!K249</f>
        <v>0</v>
      </c>
      <c r="U249" s="19" t="str">
        <f t="shared" si="1299"/>
        <v/>
      </c>
      <c r="V249" s="12">
        <f>운전실적_원본!L249</f>
        <v>0</v>
      </c>
      <c r="W249" s="16" t="str">
        <f t="shared" ref="W249" si="1385">IF(OR(LEN(V249)=0,V249=0),"",V249-V248)</f>
        <v/>
      </c>
      <c r="X249" s="10">
        <f>운전실적_원본!M249</f>
        <v>0</v>
      </c>
      <c r="Y249" s="10">
        <f>운전실적_원본!N249</f>
        <v>0</v>
      </c>
      <c r="Z249" s="10">
        <f>운전실적_원본!O249</f>
        <v>0</v>
      </c>
      <c r="AA249" s="10">
        <f>운전실적_원본!P249</f>
        <v>0</v>
      </c>
      <c r="AB249" s="10">
        <f>운전실적_원본!Q249</f>
        <v>0</v>
      </c>
      <c r="AC249" s="20">
        <f>운전실적_원본!R249</f>
        <v>0</v>
      </c>
      <c r="AD249" s="109">
        <f>운전실적_원본!S249</f>
        <v>0</v>
      </c>
      <c r="AE249" s="110">
        <f>운전실적_원본!T249</f>
        <v>0</v>
      </c>
      <c r="AF249" s="110">
        <f>운전실적_원본!U249</f>
        <v>0</v>
      </c>
      <c r="AG249" s="110">
        <f>운전실적_원본!V249</f>
        <v>0</v>
      </c>
      <c r="AH249" s="109">
        <f t="shared" si="1122"/>
        <v>0</v>
      </c>
      <c r="AI249" s="110">
        <f t="shared" si="1129"/>
        <v>0</v>
      </c>
      <c r="AJ249" s="110">
        <f>운전실적_원본!Y249</f>
        <v>0</v>
      </c>
      <c r="AK249" s="110">
        <f>운전실적_원본!Z249</f>
        <v>0</v>
      </c>
      <c r="AL249" s="106"/>
      <c r="AM249" s="105"/>
      <c r="AN249" s="105"/>
      <c r="AO249" s="105"/>
      <c r="AP249" s="105"/>
      <c r="AQ249" s="108"/>
      <c r="AR249" s="105"/>
      <c r="AS249" s="105"/>
      <c r="AT249" s="102"/>
      <c r="AU249" s="102"/>
      <c r="AV249" s="102"/>
      <c r="AW249" s="102"/>
      <c r="AX249" s="32">
        <f>운전실적_원본!W249</f>
        <v>0</v>
      </c>
      <c r="AY249" s="11">
        <f>운전실적_원본!X249</f>
        <v>0</v>
      </c>
      <c r="AZ249" s="11">
        <f>운전실적_원본!Y249</f>
        <v>0</v>
      </c>
      <c r="BA249" s="11">
        <f>운전실적_원본!Z249</f>
        <v>0</v>
      </c>
      <c r="BB249" s="11">
        <f>운전실적_원본!AA249</f>
        <v>0</v>
      </c>
      <c r="BC249" s="11">
        <f>운전실적_원본!AB249</f>
        <v>0</v>
      </c>
      <c r="BD249" s="32" t="str">
        <f t="shared" si="1115"/>
        <v>-</v>
      </c>
      <c r="BE249" s="11" t="str">
        <f t="shared" si="1123"/>
        <v>-</v>
      </c>
      <c r="BF249" s="11">
        <f>운전실적_원본!AE249</f>
        <v>0</v>
      </c>
      <c r="BG249" s="31">
        <f t="shared" si="1116"/>
        <v>0</v>
      </c>
      <c r="BH249" s="241">
        <f>INDEX(연료전지_원본!$A$4:$KY$369,MATCH($A249,연료전지_원본!$A$4:$A$369,0),MATCH($BH$4,연료전지_원본!$A$4:$KY$4,0))</f>
        <v>0</v>
      </c>
      <c r="BI249" s="241">
        <f>INDEX(연료전지_원본!$A$4:$KY$369,MATCH($A249,연료전지_원본!$A$4:$A$369,0),MATCH($BI$4,연료전지_원본!$A$4:$KY$4,0))</f>
        <v>0</v>
      </c>
      <c r="BJ249" s="241">
        <f>INDEX(연료전지_원본!$A$4:$KY$369,MATCH($A249,연료전지_원본!$A$4:$A$369,0),MATCH($BJ$4,연료전지_원본!$A$4:$KY$4,0))</f>
        <v>0</v>
      </c>
      <c r="BK249" s="241">
        <f>INDEX(연료전지_원본!$A$4:$KY$369,MATCH($A249,연료전지_원본!$A$4:$A$369,0),MATCH($BK$4,연료전지_원본!$A$4:$KY$4,0))</f>
        <v>0</v>
      </c>
      <c r="BL249" s="241">
        <f>INDEX(연료전지_원본!$A$4:$KY$369,MATCH($A249,연료전지_원본!$A$4:$A$369,0),MATCH($BL$4,연료전지_원본!$A$4:$KY$4,0))</f>
        <v>0</v>
      </c>
      <c r="BM249" s="241">
        <f>INDEX(연료전지_원본!$A$4:$KY$369,MATCH($A249,연료전지_원본!$A$4:$A$369,0),MATCH($BM$4,연료전지_원본!$A$4:$KY$4,0))</f>
        <v>0</v>
      </c>
      <c r="BN249" s="241">
        <f>INDEX(연료전지_원본!$A$4:$KY$369,MATCH($A249,연료전지_원본!$A$4:$A$369,0),MATCH($BN$4,연료전지_원본!$A$4:$KY$4,0))</f>
        <v>0</v>
      </c>
      <c r="BO249" s="241">
        <f>INDEX(연료전지_원본!$A$4:$KY$369,MATCH($A249,연료전지_원본!$A$4:$A$369,0),MATCH($BO$4,연료전지_원본!$A$4:$KY$4,0))</f>
        <v>0</v>
      </c>
      <c r="BP249" s="241">
        <f>INDEX(연료전지_원본!$A$4:$KY$369,MATCH($A249,연료전지_원본!$A$4:$A$369,0),MATCH($BP$4,연료전지_원본!$A$4:$KY$4,0))</f>
        <v>0</v>
      </c>
      <c r="BQ249" s="241">
        <f>INDEX(연료전지_원본!$A$4:$KY$369,MATCH($A249,연료전지_원본!$A$4:$A$369,0),MATCH($BQ$4,연료전지_원본!$A$4:$KY$4,0))</f>
        <v>0</v>
      </c>
      <c r="BR249" s="241">
        <f>INDEX(연료전지_원본!$A$4:$KY$369,MATCH($A249,연료전지_원본!$A$4:$A$369,0),MATCH($BR$4,연료전지_원본!$A$4:$KY$4,0))</f>
        <v>0</v>
      </c>
      <c r="BS249" s="241">
        <f>INDEX(연료전지_원본!$A$4:$KY$369,MATCH($A249,연료전지_원본!$A$4:$A$369,0),MATCH($BS$4,연료전지_원본!$A$4:$KY$4,0))</f>
        <v>0</v>
      </c>
      <c r="BT249" s="241">
        <f>INDEX(연료전지_원본!$A$4:$KY$369,MATCH($A249,연료전지_원본!$A$4:$A$369,0),MATCH($BT$4,연료전지_원본!$A$4:$KY$4,0))</f>
        <v>0</v>
      </c>
      <c r="BU249" s="241">
        <f>INDEX(연료전지_원본!$A$4:$KY$369,MATCH($A249,연료전지_원본!$A$4:$A$369,0),MATCH($BU$4,연료전지_원본!$A$4:$KY$4,0))</f>
        <v>0</v>
      </c>
      <c r="BV249" s="241">
        <f>INDEX(연료전지_원본!$A$4:$KY$369,MATCH($A249,연료전지_원본!$A$4:$A$369,0),MATCH($BV$4,연료전지_원본!$A$4:$KY$4,0))</f>
        <v>0</v>
      </c>
      <c r="BW249" s="241">
        <f>INDEX(연료전지_원본!$A$4:$KY$369,MATCH($A249,연료전지_원본!$A$4:$A$369,0),MATCH($BW$4,연료전지_원본!$A$4:$KY$4,0))</f>
        <v>0</v>
      </c>
      <c r="BX249" s="241">
        <f>INDEX(연료전지_원본!$A$4:$KY$369,MATCH($A249,연료전지_원본!$A$4:$A$369,0),MATCH($BX$4,연료전지_원본!$A$4:$KY$4,0))</f>
        <v>0</v>
      </c>
      <c r="BY249" s="241">
        <f>INDEX(연료전지_원본!$A$4:$KY$369,MATCH($A249,연료전지_원본!$A$4:$A$369,0),MATCH($BY$4,연료전지_원본!$A$4:$KY$4,0))</f>
        <v>0</v>
      </c>
      <c r="BZ249" s="241">
        <f>INDEX(연료전지_원본!$A$4:$KY$369,MATCH($A249,연료전지_원본!$A$4:$A$369,0),MATCH($BZ$4,연료전지_원본!$A$4:$KY$4,0))</f>
        <v>0</v>
      </c>
      <c r="CA249" s="241">
        <f>INDEX(연료전지_원본!$A$4:$KY$369,MATCH($A249,연료전지_원본!$A$4:$A$369,0),MATCH($CA$4,연료전지_원본!$A$4:$KY$4,0))</f>
        <v>0</v>
      </c>
      <c r="CB249" s="241">
        <f>INDEX(연료전지_원본!$A$4:$KY$369,MATCH($A249,연료전지_원본!$A$4:$A$369,0),MATCH($CB$4,연료전지_원본!$A$4:$KY$4,0))</f>
        <v>0</v>
      </c>
      <c r="CC249" s="242">
        <f>INDEX(연료전지_원본!$A$4:$KY$369,MATCH($A249,연료전지_원본!$A$4:$A$369,0),MATCH($CC$4,연료전지_원본!$A$4:$KY$4,0))</f>
        <v>0</v>
      </c>
      <c r="CD249" s="250">
        <f>INDEX(연료전지_원본!$KB$4:$KX$369,MATCH($A249,연료전지_원본!$KB$4:$KB$369,0), MATCH(CD$4,연료전지_원본!$KB$4:$KX$4,0))*1000</f>
        <v>0</v>
      </c>
      <c r="CE249" s="250">
        <f>INDEX(연료전지_원본!$KB$4:$KX$369,MATCH($A249,연료전지_원본!$KB$4:$KB$369,0), MATCH(CE$4,연료전지_원본!$KB$4:$KX$4,0))*1000</f>
        <v>0</v>
      </c>
      <c r="CF249" s="250">
        <f>INDEX(연료전지_원본!$KB$4:$KX$369,MATCH($A249,연료전지_원본!$KB$4:$KB$369,0), MATCH(CF$4,연료전지_원본!$KB$4:$KX$4,0))*1000</f>
        <v>0</v>
      </c>
      <c r="CG249" s="250">
        <f>INDEX(연료전지_원본!$KB$4:$KX$369,MATCH($A249,연료전지_원본!$KB$4:$KB$369,0), MATCH(CG$4,연료전지_원본!$KB$4:$KX$4,0))*1000</f>
        <v>0</v>
      </c>
      <c r="CH249" s="250">
        <f>INDEX(연료전지_원본!$KB$4:$KX$369,MATCH($A249,연료전지_원본!$KB$4:$KB$369,0), MATCH(CH$4,연료전지_원본!$KB$4:$KX$4,0))*1000</f>
        <v>0</v>
      </c>
      <c r="CI249" s="250">
        <f>INDEX(연료전지_원본!$KB$4:$KX$369,MATCH($A249,연료전지_원본!$KB$4:$KB$369,0), MATCH(CI$4,연료전지_원본!$KB$4:$KX$4,0))*1000</f>
        <v>0</v>
      </c>
      <c r="CJ249" s="250">
        <f>INDEX(연료전지_원본!$KB$4:$KX$369,MATCH($A249,연료전지_원본!$KB$4:$KB$369,0), MATCH(CJ$4,연료전지_원본!$KB$4:$KX$4,0))*1000</f>
        <v>0</v>
      </c>
      <c r="CK249" s="250">
        <f>INDEX(연료전지_원본!$KB$4:$KX$369,MATCH($A249,연료전지_원본!$KB$4:$KB$369,0), MATCH(CK$4,연료전지_원본!$KB$4:$KX$4,0))*1000</f>
        <v>0</v>
      </c>
      <c r="CL249" s="250">
        <f>INDEX(연료전지_원본!$KB$4:$KX$369,MATCH($A249,연료전지_원본!$KB$4:$KB$369,0), MATCH(CL$4,연료전지_원본!$KB$4:$KX$4,0))*1000</f>
        <v>0</v>
      </c>
      <c r="CM249" s="250">
        <f>INDEX(연료전지_원본!$KB$4:$KX$369,MATCH($A249,연료전지_원본!$KB$4:$KB$369,0), MATCH(CM$4,연료전지_원본!$KB$4:$KX$4,0))*1000</f>
        <v>0</v>
      </c>
      <c r="CN249" s="250">
        <f>INDEX(연료전지_원본!$KB$4:$KX$369,MATCH($A249,연료전지_원본!$KB$4:$KB$369,0), MATCH(CN$4,연료전지_원본!$KB$4:$KX$4,0))*1000</f>
        <v>0</v>
      </c>
      <c r="CO249" s="250">
        <f>INDEX(연료전지_원본!$KB$4:$KX$369,MATCH($A249,연료전지_원본!$KB$4:$KB$369,0), MATCH(CO$4,연료전지_원본!$KB$4:$KX$4,0))*1000</f>
        <v>0</v>
      </c>
      <c r="CP249" s="250">
        <f>INDEX(연료전지_원본!$KB$4:$KX$369,MATCH($A249,연료전지_원본!$KB$4:$KB$369,0), MATCH(CP$4,연료전지_원본!$KB$4:$KX$4,0))*1000</f>
        <v>0</v>
      </c>
      <c r="CQ249" s="250">
        <f>INDEX(연료전지_원본!$KB$4:$KX$369,MATCH($A249,연료전지_원본!$KB$4:$KB$369,0), MATCH(CQ$4,연료전지_원본!$KB$4:$KX$4,0))*1000</f>
        <v>0</v>
      </c>
      <c r="CR249" s="250">
        <f>INDEX(연료전지_원본!$KB$4:$KX$369,MATCH($A249,연료전지_원본!$KB$4:$KB$369,0), MATCH(CR$4,연료전지_원본!$KB$4:$KX$4,0))*1000</f>
        <v>0</v>
      </c>
      <c r="CS249" s="250">
        <f>INDEX(연료전지_원본!$KB$4:$KX$369,MATCH($A249,연료전지_원본!$KB$4:$KB$369,0), MATCH(CS$4,연료전지_원본!$KB$4:$KX$4,0))*1000</f>
        <v>0</v>
      </c>
      <c r="CT249" s="250">
        <f>INDEX(연료전지_원본!$KB$4:$KX$369,MATCH($A249,연료전지_원본!$KB$4:$KB$369,0), MATCH(CT$4,연료전지_원본!$KB$4:$KX$4,0))*1000</f>
        <v>0</v>
      </c>
      <c r="CU249" s="250">
        <f>INDEX(연료전지_원본!$KB$4:$KX$369,MATCH($A249,연료전지_원본!$KB$4:$KB$369,0), MATCH(CU$4,연료전지_원본!$KB$4:$KX$4,0))*1000</f>
        <v>0</v>
      </c>
      <c r="CV249" s="250">
        <f>INDEX(연료전지_원본!$KB$4:$KX$369,MATCH($A249,연료전지_원본!$KB$4:$KB$369,0), MATCH(CV$4,연료전지_원본!$KB$4:$KX$4,0))*1000</f>
        <v>0</v>
      </c>
      <c r="CW249" s="250">
        <f>INDEX(연료전지_원본!$KB$4:$KX$369,MATCH($A249,연료전지_원본!$KB$4:$KB$369,0), MATCH(CW$4,연료전지_원본!$KB$4:$KX$4,0))*1000</f>
        <v>0</v>
      </c>
      <c r="CX249" s="250">
        <f>INDEX(연료전지_원본!$KB$4:$KX$369,MATCH($A249,연료전지_원본!$KB$4:$KB$369,0), MATCH(CX$4,연료전지_원본!$KB$4:$KX$4,0))*1000</f>
        <v>0</v>
      </c>
      <c r="CY249" s="250">
        <f>INDEX(연료전지_원본!$KB$4:$KX$369,MATCH($A249,연료전지_원본!$KB$4:$KB$369,0), MATCH(CY$4,연료전지_원본!$KB$4:$KX$4,0))*1000</f>
        <v>0</v>
      </c>
      <c r="DV249" s="30">
        <f t="shared" si="1285"/>
        <v>0</v>
      </c>
    </row>
    <row r="250" spans="1:126">
      <c r="A250" s="6">
        <v>46267</v>
      </c>
      <c r="B250" s="15">
        <f>운전실적_원본!B250</f>
        <v>0</v>
      </c>
      <c r="C250" s="16" t="str">
        <f t="shared" si="1291"/>
        <v/>
      </c>
      <c r="D250" s="12">
        <f>운전실적_원본!C250</f>
        <v>0</v>
      </c>
      <c r="E250" s="12" t="str">
        <f t="shared" si="1292"/>
        <v/>
      </c>
      <c r="F250" s="12">
        <f>운전실적_원본!D250</f>
        <v>0</v>
      </c>
      <c r="G250" s="16" t="str">
        <f t="shared" si="1293"/>
        <v/>
      </c>
      <c r="H250" s="15">
        <f>운전실적_원본!E250</f>
        <v>0</v>
      </c>
      <c r="I250" s="16" t="str">
        <f t="shared" si="1294"/>
        <v/>
      </c>
      <c r="J250" s="15">
        <f>운전실적_원본!F250</f>
        <v>0</v>
      </c>
      <c r="K250" s="16" t="str">
        <f t="shared" si="1294"/>
        <v/>
      </c>
      <c r="L250" s="32">
        <f>운전실적_원본!G250</f>
        <v>0</v>
      </c>
      <c r="M250" s="31" t="str">
        <f t="shared" ref="M250" si="1386">IF(OR(LEN(L250)=0,L250=0),"",L250-L249)</f>
        <v/>
      </c>
      <c r="N250" s="15">
        <f>운전실적_원본!H250</f>
        <v>0</v>
      </c>
      <c r="O250" s="16" t="str">
        <f t="shared" ref="O250" si="1387">IF(OR(LEN(N250)=0,N250=0),"",N250-N249)</f>
        <v/>
      </c>
      <c r="P250" s="15">
        <f>운전실적_원본!I250</f>
        <v>0</v>
      </c>
      <c r="Q250" s="16" t="str">
        <f t="shared" ref="Q250" si="1388">IF(OR(LEN(P250)=0,P250=0),"",P250-P249)</f>
        <v/>
      </c>
      <c r="R250" s="18">
        <f>운전실적_원본!J250</f>
        <v>0</v>
      </c>
      <c r="S250" s="19" t="str">
        <f t="shared" ref="S250" si="1389">IF(OR(LEN(R250)=0,R250=0),"",R250-R249)</f>
        <v/>
      </c>
      <c r="T250" s="18">
        <f>운전실적_원본!K250</f>
        <v>0</v>
      </c>
      <c r="U250" s="19" t="str">
        <f t="shared" si="1299"/>
        <v/>
      </c>
      <c r="V250" s="12">
        <f>운전실적_원본!L250</f>
        <v>0</v>
      </c>
      <c r="W250" s="16" t="str">
        <f t="shared" ref="W250" si="1390">IF(OR(LEN(V250)=0,V250=0),"",V250-V249)</f>
        <v/>
      </c>
      <c r="X250" s="10">
        <f>운전실적_원본!M250</f>
        <v>0</v>
      </c>
      <c r="Y250" s="10">
        <f>운전실적_원본!N250</f>
        <v>0</v>
      </c>
      <c r="Z250" s="10">
        <f>운전실적_원본!O250</f>
        <v>0</v>
      </c>
      <c r="AA250" s="10">
        <f>운전실적_원본!P250</f>
        <v>0</v>
      </c>
      <c r="AB250" s="10">
        <f>운전실적_원본!Q250</f>
        <v>0</v>
      </c>
      <c r="AC250" s="20">
        <f>운전실적_원본!R250</f>
        <v>0</v>
      </c>
      <c r="AD250" s="109">
        <f>운전실적_원본!S250</f>
        <v>0</v>
      </c>
      <c r="AE250" s="110">
        <f>운전실적_원본!T250</f>
        <v>0</v>
      </c>
      <c r="AF250" s="110">
        <f>운전실적_원본!U250</f>
        <v>0</v>
      </c>
      <c r="AG250" s="110">
        <f>운전실적_원본!V250</f>
        <v>0</v>
      </c>
      <c r="AH250" s="109">
        <f t="shared" si="1122"/>
        <v>0</v>
      </c>
      <c r="AI250" s="110">
        <f t="shared" si="1129"/>
        <v>0</v>
      </c>
      <c r="AJ250" s="110">
        <f>운전실적_원본!Y250</f>
        <v>0</v>
      </c>
      <c r="AK250" s="110">
        <f>운전실적_원본!Z250</f>
        <v>0</v>
      </c>
      <c r="AL250" s="106"/>
      <c r="AM250" s="105"/>
      <c r="AN250" s="105"/>
      <c r="AO250" s="105"/>
      <c r="AP250" s="105"/>
      <c r="AQ250" s="108"/>
      <c r="AR250" s="105"/>
      <c r="AS250" s="105"/>
      <c r="AT250" s="102"/>
      <c r="AU250" s="102"/>
      <c r="AV250" s="102"/>
      <c r="AW250" s="102"/>
      <c r="AX250" s="32">
        <f>운전실적_원본!W250</f>
        <v>0</v>
      </c>
      <c r="AY250" s="11">
        <f>운전실적_원본!X250</f>
        <v>0</v>
      </c>
      <c r="AZ250" s="11">
        <f>운전실적_원본!Y250</f>
        <v>0</v>
      </c>
      <c r="BA250" s="11">
        <f>운전실적_원본!Z250</f>
        <v>0</v>
      </c>
      <c r="BB250" s="11">
        <f>운전실적_원본!AA250</f>
        <v>0</v>
      </c>
      <c r="BC250" s="11">
        <f>운전실적_원본!AB250</f>
        <v>0</v>
      </c>
      <c r="BD250" s="32" t="str">
        <f t="shared" si="1115"/>
        <v>-</v>
      </c>
      <c r="BE250" s="11" t="str">
        <f t="shared" si="1123"/>
        <v>-</v>
      </c>
      <c r="BF250" s="11">
        <f>운전실적_원본!AE250</f>
        <v>0</v>
      </c>
      <c r="BG250" s="31">
        <f t="shared" si="1116"/>
        <v>0</v>
      </c>
      <c r="BH250" s="241">
        <f>INDEX(연료전지_원본!$A$4:$KY$369,MATCH($A250,연료전지_원본!$A$4:$A$369,0),MATCH($BH$4,연료전지_원본!$A$4:$KY$4,0))</f>
        <v>0</v>
      </c>
      <c r="BI250" s="241">
        <f>INDEX(연료전지_원본!$A$4:$KY$369,MATCH($A250,연료전지_원본!$A$4:$A$369,0),MATCH($BI$4,연료전지_원본!$A$4:$KY$4,0))</f>
        <v>0</v>
      </c>
      <c r="BJ250" s="241">
        <f>INDEX(연료전지_원본!$A$4:$KY$369,MATCH($A250,연료전지_원본!$A$4:$A$369,0),MATCH($BJ$4,연료전지_원본!$A$4:$KY$4,0))</f>
        <v>0</v>
      </c>
      <c r="BK250" s="241">
        <f>INDEX(연료전지_원본!$A$4:$KY$369,MATCH($A250,연료전지_원본!$A$4:$A$369,0),MATCH($BK$4,연료전지_원본!$A$4:$KY$4,0))</f>
        <v>0</v>
      </c>
      <c r="BL250" s="241">
        <f>INDEX(연료전지_원본!$A$4:$KY$369,MATCH($A250,연료전지_원본!$A$4:$A$369,0),MATCH($BL$4,연료전지_원본!$A$4:$KY$4,0))</f>
        <v>0</v>
      </c>
      <c r="BM250" s="241">
        <f>INDEX(연료전지_원본!$A$4:$KY$369,MATCH($A250,연료전지_원본!$A$4:$A$369,0),MATCH($BM$4,연료전지_원본!$A$4:$KY$4,0))</f>
        <v>0</v>
      </c>
      <c r="BN250" s="241">
        <f>INDEX(연료전지_원본!$A$4:$KY$369,MATCH($A250,연료전지_원본!$A$4:$A$369,0),MATCH($BN$4,연료전지_원본!$A$4:$KY$4,0))</f>
        <v>0</v>
      </c>
      <c r="BO250" s="241">
        <f>INDEX(연료전지_원본!$A$4:$KY$369,MATCH($A250,연료전지_원본!$A$4:$A$369,0),MATCH($BO$4,연료전지_원본!$A$4:$KY$4,0))</f>
        <v>0</v>
      </c>
      <c r="BP250" s="241">
        <f>INDEX(연료전지_원본!$A$4:$KY$369,MATCH($A250,연료전지_원본!$A$4:$A$369,0),MATCH($BP$4,연료전지_원본!$A$4:$KY$4,0))</f>
        <v>0</v>
      </c>
      <c r="BQ250" s="241">
        <f>INDEX(연료전지_원본!$A$4:$KY$369,MATCH($A250,연료전지_원본!$A$4:$A$369,0),MATCH($BQ$4,연료전지_원본!$A$4:$KY$4,0))</f>
        <v>0</v>
      </c>
      <c r="BR250" s="241">
        <f>INDEX(연료전지_원본!$A$4:$KY$369,MATCH($A250,연료전지_원본!$A$4:$A$369,0),MATCH($BR$4,연료전지_원본!$A$4:$KY$4,0))</f>
        <v>0</v>
      </c>
      <c r="BS250" s="241">
        <f>INDEX(연료전지_원본!$A$4:$KY$369,MATCH($A250,연료전지_원본!$A$4:$A$369,0),MATCH($BS$4,연료전지_원본!$A$4:$KY$4,0))</f>
        <v>0</v>
      </c>
      <c r="BT250" s="241">
        <f>INDEX(연료전지_원본!$A$4:$KY$369,MATCH($A250,연료전지_원본!$A$4:$A$369,0),MATCH($BT$4,연료전지_원본!$A$4:$KY$4,0))</f>
        <v>0</v>
      </c>
      <c r="BU250" s="241">
        <f>INDEX(연료전지_원본!$A$4:$KY$369,MATCH($A250,연료전지_원본!$A$4:$A$369,0),MATCH($BU$4,연료전지_원본!$A$4:$KY$4,0))</f>
        <v>0</v>
      </c>
      <c r="BV250" s="241">
        <f>INDEX(연료전지_원본!$A$4:$KY$369,MATCH($A250,연료전지_원본!$A$4:$A$369,0),MATCH($BV$4,연료전지_원본!$A$4:$KY$4,0))</f>
        <v>0</v>
      </c>
      <c r="BW250" s="241">
        <f>INDEX(연료전지_원본!$A$4:$KY$369,MATCH($A250,연료전지_원본!$A$4:$A$369,0),MATCH($BW$4,연료전지_원본!$A$4:$KY$4,0))</f>
        <v>0</v>
      </c>
      <c r="BX250" s="241">
        <f>INDEX(연료전지_원본!$A$4:$KY$369,MATCH($A250,연료전지_원본!$A$4:$A$369,0),MATCH($BX$4,연료전지_원본!$A$4:$KY$4,0))</f>
        <v>0</v>
      </c>
      <c r="BY250" s="241">
        <f>INDEX(연료전지_원본!$A$4:$KY$369,MATCH($A250,연료전지_원본!$A$4:$A$369,0),MATCH($BY$4,연료전지_원본!$A$4:$KY$4,0))</f>
        <v>0</v>
      </c>
      <c r="BZ250" s="241">
        <f>INDEX(연료전지_원본!$A$4:$KY$369,MATCH($A250,연료전지_원본!$A$4:$A$369,0),MATCH($BZ$4,연료전지_원본!$A$4:$KY$4,0))</f>
        <v>0</v>
      </c>
      <c r="CA250" s="241">
        <f>INDEX(연료전지_원본!$A$4:$KY$369,MATCH($A250,연료전지_원본!$A$4:$A$369,0),MATCH($CA$4,연료전지_원본!$A$4:$KY$4,0))</f>
        <v>0</v>
      </c>
      <c r="CB250" s="241">
        <f>INDEX(연료전지_원본!$A$4:$KY$369,MATCH($A250,연료전지_원본!$A$4:$A$369,0),MATCH($CB$4,연료전지_원본!$A$4:$KY$4,0))</f>
        <v>0</v>
      </c>
      <c r="CC250" s="242">
        <f>INDEX(연료전지_원본!$A$4:$KY$369,MATCH($A250,연료전지_원본!$A$4:$A$369,0),MATCH($CC$4,연료전지_원본!$A$4:$KY$4,0))</f>
        <v>0</v>
      </c>
      <c r="CD250" s="250">
        <f>INDEX(연료전지_원본!$KB$4:$KX$369,MATCH($A250,연료전지_원본!$KB$4:$KB$369,0), MATCH(CD$4,연료전지_원본!$KB$4:$KX$4,0))*1000</f>
        <v>0</v>
      </c>
      <c r="CE250" s="250">
        <f>INDEX(연료전지_원본!$KB$4:$KX$369,MATCH($A250,연료전지_원본!$KB$4:$KB$369,0), MATCH(CE$4,연료전지_원본!$KB$4:$KX$4,0))*1000</f>
        <v>0</v>
      </c>
      <c r="CF250" s="250">
        <f>INDEX(연료전지_원본!$KB$4:$KX$369,MATCH($A250,연료전지_원본!$KB$4:$KB$369,0), MATCH(CF$4,연료전지_원본!$KB$4:$KX$4,0))*1000</f>
        <v>0</v>
      </c>
      <c r="CG250" s="250">
        <f>INDEX(연료전지_원본!$KB$4:$KX$369,MATCH($A250,연료전지_원본!$KB$4:$KB$369,0), MATCH(CG$4,연료전지_원본!$KB$4:$KX$4,0))*1000</f>
        <v>0</v>
      </c>
      <c r="CH250" s="250">
        <f>INDEX(연료전지_원본!$KB$4:$KX$369,MATCH($A250,연료전지_원본!$KB$4:$KB$369,0), MATCH(CH$4,연료전지_원본!$KB$4:$KX$4,0))*1000</f>
        <v>0</v>
      </c>
      <c r="CI250" s="250">
        <f>INDEX(연료전지_원본!$KB$4:$KX$369,MATCH($A250,연료전지_원본!$KB$4:$KB$369,0), MATCH(CI$4,연료전지_원본!$KB$4:$KX$4,0))*1000</f>
        <v>0</v>
      </c>
      <c r="CJ250" s="250">
        <f>INDEX(연료전지_원본!$KB$4:$KX$369,MATCH($A250,연료전지_원본!$KB$4:$KB$369,0), MATCH(CJ$4,연료전지_원본!$KB$4:$KX$4,0))*1000</f>
        <v>0</v>
      </c>
      <c r="CK250" s="250">
        <f>INDEX(연료전지_원본!$KB$4:$KX$369,MATCH($A250,연료전지_원본!$KB$4:$KB$369,0), MATCH(CK$4,연료전지_원본!$KB$4:$KX$4,0))*1000</f>
        <v>0</v>
      </c>
      <c r="CL250" s="250">
        <f>INDEX(연료전지_원본!$KB$4:$KX$369,MATCH($A250,연료전지_원본!$KB$4:$KB$369,0), MATCH(CL$4,연료전지_원본!$KB$4:$KX$4,0))*1000</f>
        <v>0</v>
      </c>
      <c r="CM250" s="250">
        <f>INDEX(연료전지_원본!$KB$4:$KX$369,MATCH($A250,연료전지_원본!$KB$4:$KB$369,0), MATCH(CM$4,연료전지_원본!$KB$4:$KX$4,0))*1000</f>
        <v>0</v>
      </c>
      <c r="CN250" s="250">
        <f>INDEX(연료전지_원본!$KB$4:$KX$369,MATCH($A250,연료전지_원본!$KB$4:$KB$369,0), MATCH(CN$4,연료전지_원본!$KB$4:$KX$4,0))*1000</f>
        <v>0</v>
      </c>
      <c r="CO250" s="250">
        <f>INDEX(연료전지_원본!$KB$4:$KX$369,MATCH($A250,연료전지_원본!$KB$4:$KB$369,0), MATCH(CO$4,연료전지_원본!$KB$4:$KX$4,0))*1000</f>
        <v>0</v>
      </c>
      <c r="CP250" s="250">
        <f>INDEX(연료전지_원본!$KB$4:$KX$369,MATCH($A250,연료전지_원본!$KB$4:$KB$369,0), MATCH(CP$4,연료전지_원본!$KB$4:$KX$4,0))*1000</f>
        <v>0</v>
      </c>
      <c r="CQ250" s="250">
        <f>INDEX(연료전지_원본!$KB$4:$KX$369,MATCH($A250,연료전지_원본!$KB$4:$KB$369,0), MATCH(CQ$4,연료전지_원본!$KB$4:$KX$4,0))*1000</f>
        <v>0</v>
      </c>
      <c r="CR250" s="250">
        <f>INDEX(연료전지_원본!$KB$4:$KX$369,MATCH($A250,연료전지_원본!$KB$4:$KB$369,0), MATCH(CR$4,연료전지_원본!$KB$4:$KX$4,0))*1000</f>
        <v>0</v>
      </c>
      <c r="CS250" s="250">
        <f>INDEX(연료전지_원본!$KB$4:$KX$369,MATCH($A250,연료전지_원본!$KB$4:$KB$369,0), MATCH(CS$4,연료전지_원본!$KB$4:$KX$4,0))*1000</f>
        <v>0</v>
      </c>
      <c r="CT250" s="250">
        <f>INDEX(연료전지_원본!$KB$4:$KX$369,MATCH($A250,연료전지_원본!$KB$4:$KB$369,0), MATCH(CT$4,연료전지_원본!$KB$4:$KX$4,0))*1000</f>
        <v>0</v>
      </c>
      <c r="CU250" s="250">
        <f>INDEX(연료전지_원본!$KB$4:$KX$369,MATCH($A250,연료전지_원본!$KB$4:$KB$369,0), MATCH(CU$4,연료전지_원본!$KB$4:$KX$4,0))*1000</f>
        <v>0</v>
      </c>
      <c r="CV250" s="250">
        <f>INDEX(연료전지_원본!$KB$4:$KX$369,MATCH($A250,연료전지_원본!$KB$4:$KB$369,0), MATCH(CV$4,연료전지_원본!$KB$4:$KX$4,0))*1000</f>
        <v>0</v>
      </c>
      <c r="CW250" s="250">
        <f>INDEX(연료전지_원본!$KB$4:$KX$369,MATCH($A250,연료전지_원본!$KB$4:$KB$369,0), MATCH(CW$4,연료전지_원본!$KB$4:$KX$4,0))*1000</f>
        <v>0</v>
      </c>
      <c r="CX250" s="250">
        <f>INDEX(연료전지_원본!$KB$4:$KX$369,MATCH($A250,연료전지_원본!$KB$4:$KB$369,0), MATCH(CX$4,연료전지_원본!$KB$4:$KX$4,0))*1000</f>
        <v>0</v>
      </c>
      <c r="CY250" s="250">
        <f>INDEX(연료전지_원본!$KB$4:$KX$369,MATCH($A250,연료전지_원본!$KB$4:$KB$369,0), MATCH(CY$4,연료전지_원본!$KB$4:$KX$4,0))*1000</f>
        <v>0</v>
      </c>
      <c r="DV250" s="30">
        <f t="shared" si="1285"/>
        <v>0</v>
      </c>
    </row>
    <row r="251" spans="1:126">
      <c r="A251" s="6">
        <v>46268</v>
      </c>
      <c r="B251" s="15">
        <f>운전실적_원본!B251</f>
        <v>0</v>
      </c>
      <c r="C251" s="16" t="str">
        <f t="shared" si="1291"/>
        <v/>
      </c>
      <c r="D251" s="12">
        <f>운전실적_원본!C251</f>
        <v>0</v>
      </c>
      <c r="E251" s="12" t="str">
        <f t="shared" si="1292"/>
        <v/>
      </c>
      <c r="F251" s="12">
        <f>운전실적_원본!D251</f>
        <v>0</v>
      </c>
      <c r="G251" s="16" t="str">
        <f t="shared" si="1293"/>
        <v/>
      </c>
      <c r="H251" s="15">
        <f>운전실적_원본!E251</f>
        <v>0</v>
      </c>
      <c r="I251" s="16" t="str">
        <f t="shared" si="1294"/>
        <v/>
      </c>
      <c r="J251" s="15">
        <f>운전실적_원본!F251</f>
        <v>0</v>
      </c>
      <c r="K251" s="16" t="str">
        <f t="shared" si="1294"/>
        <v/>
      </c>
      <c r="L251" s="32">
        <f>운전실적_원본!G251</f>
        <v>0</v>
      </c>
      <c r="M251" s="31" t="str">
        <f t="shared" ref="M251" si="1391">IF(OR(LEN(L251)=0,L251=0),"",L251-L250)</f>
        <v/>
      </c>
      <c r="N251" s="15">
        <f>운전실적_원본!H251</f>
        <v>0</v>
      </c>
      <c r="O251" s="16" t="str">
        <f t="shared" ref="O251" si="1392">IF(OR(LEN(N251)=0,N251=0),"",N251-N250)</f>
        <v/>
      </c>
      <c r="P251" s="15">
        <f>운전실적_원본!I251</f>
        <v>0</v>
      </c>
      <c r="Q251" s="16" t="str">
        <f t="shared" ref="Q251" si="1393">IF(OR(LEN(P251)=0,P251=0),"",P251-P250)</f>
        <v/>
      </c>
      <c r="R251" s="18">
        <f>운전실적_원본!J251</f>
        <v>0</v>
      </c>
      <c r="S251" s="19" t="str">
        <f t="shared" ref="S251" si="1394">IF(OR(LEN(R251)=0,R251=0),"",R251-R250)</f>
        <v/>
      </c>
      <c r="T251" s="18">
        <f>운전실적_원본!K251</f>
        <v>0</v>
      </c>
      <c r="U251" s="19" t="str">
        <f t="shared" si="1299"/>
        <v/>
      </c>
      <c r="V251" s="12">
        <f>운전실적_원본!L251</f>
        <v>0</v>
      </c>
      <c r="W251" s="16" t="str">
        <f t="shared" ref="W251" si="1395">IF(OR(LEN(V251)=0,V251=0),"",V251-V250)</f>
        <v/>
      </c>
      <c r="X251" s="10">
        <f>운전실적_원본!M251</f>
        <v>0</v>
      </c>
      <c r="Y251" s="10">
        <f>운전실적_원본!N251</f>
        <v>0</v>
      </c>
      <c r="Z251" s="10">
        <f>운전실적_원본!O251</f>
        <v>0</v>
      </c>
      <c r="AA251" s="10">
        <f>운전실적_원본!P251</f>
        <v>0</v>
      </c>
      <c r="AB251" s="10">
        <f>운전실적_원본!Q251</f>
        <v>0</v>
      </c>
      <c r="AC251" s="20">
        <f>운전실적_원본!R251</f>
        <v>0</v>
      </c>
      <c r="AD251" s="109">
        <f>운전실적_원본!S251</f>
        <v>0</v>
      </c>
      <c r="AE251" s="110">
        <f>운전실적_원본!T251</f>
        <v>0</v>
      </c>
      <c r="AF251" s="110">
        <f>운전실적_원본!U251</f>
        <v>0</v>
      </c>
      <c r="AG251" s="110">
        <f>운전실적_원본!V251</f>
        <v>0</v>
      </c>
      <c r="AH251" s="109">
        <f t="shared" si="1122"/>
        <v>0</v>
      </c>
      <c r="AI251" s="110">
        <f t="shared" si="1129"/>
        <v>0</v>
      </c>
      <c r="AJ251" s="110">
        <f>운전실적_원본!Y251</f>
        <v>0</v>
      </c>
      <c r="AK251" s="110">
        <f>운전실적_원본!Z251</f>
        <v>0</v>
      </c>
      <c r="AL251" s="106"/>
      <c r="AM251" s="105"/>
      <c r="AN251" s="105"/>
      <c r="AO251" s="105"/>
      <c r="AP251" s="105"/>
      <c r="AQ251" s="108"/>
      <c r="AR251" s="105"/>
      <c r="AS251" s="105"/>
      <c r="AT251" s="102"/>
      <c r="AU251" s="102"/>
      <c r="AV251" s="102"/>
      <c r="AW251" s="102"/>
      <c r="AX251" s="32">
        <f>운전실적_원본!W251</f>
        <v>0</v>
      </c>
      <c r="AY251" s="11">
        <f>운전실적_원본!X251</f>
        <v>0</v>
      </c>
      <c r="AZ251" s="11">
        <f>운전실적_원본!Y251</f>
        <v>0</v>
      </c>
      <c r="BA251" s="11">
        <f>운전실적_원본!Z251</f>
        <v>0</v>
      </c>
      <c r="BB251" s="11">
        <f>운전실적_원본!AA251</f>
        <v>0</v>
      </c>
      <c r="BC251" s="11">
        <f>운전실적_원본!AB251</f>
        <v>0</v>
      </c>
      <c r="BD251" s="32" t="str">
        <f t="shared" si="1115"/>
        <v>-</v>
      </c>
      <c r="BE251" s="11" t="str">
        <f t="shared" si="1123"/>
        <v>-</v>
      </c>
      <c r="BF251" s="11">
        <f>운전실적_원본!AE251</f>
        <v>0</v>
      </c>
      <c r="BG251" s="31">
        <f t="shared" si="1116"/>
        <v>0</v>
      </c>
      <c r="BH251" s="241">
        <f>INDEX(연료전지_원본!$A$4:$KY$369,MATCH($A251,연료전지_원본!$A$4:$A$369,0),MATCH($BH$4,연료전지_원본!$A$4:$KY$4,0))</f>
        <v>0</v>
      </c>
      <c r="BI251" s="241">
        <f>INDEX(연료전지_원본!$A$4:$KY$369,MATCH($A251,연료전지_원본!$A$4:$A$369,0),MATCH($BI$4,연료전지_원본!$A$4:$KY$4,0))</f>
        <v>0</v>
      </c>
      <c r="BJ251" s="241">
        <f>INDEX(연료전지_원본!$A$4:$KY$369,MATCH($A251,연료전지_원본!$A$4:$A$369,0),MATCH($BJ$4,연료전지_원본!$A$4:$KY$4,0))</f>
        <v>0</v>
      </c>
      <c r="BK251" s="241">
        <f>INDEX(연료전지_원본!$A$4:$KY$369,MATCH($A251,연료전지_원본!$A$4:$A$369,0),MATCH($BK$4,연료전지_원본!$A$4:$KY$4,0))</f>
        <v>0</v>
      </c>
      <c r="BL251" s="241">
        <f>INDEX(연료전지_원본!$A$4:$KY$369,MATCH($A251,연료전지_원본!$A$4:$A$369,0),MATCH($BL$4,연료전지_원본!$A$4:$KY$4,0))</f>
        <v>0</v>
      </c>
      <c r="BM251" s="241">
        <f>INDEX(연료전지_원본!$A$4:$KY$369,MATCH($A251,연료전지_원본!$A$4:$A$369,0),MATCH($BM$4,연료전지_원본!$A$4:$KY$4,0))</f>
        <v>0</v>
      </c>
      <c r="BN251" s="241">
        <f>INDEX(연료전지_원본!$A$4:$KY$369,MATCH($A251,연료전지_원본!$A$4:$A$369,0),MATCH($BN$4,연료전지_원본!$A$4:$KY$4,0))</f>
        <v>0</v>
      </c>
      <c r="BO251" s="241">
        <f>INDEX(연료전지_원본!$A$4:$KY$369,MATCH($A251,연료전지_원본!$A$4:$A$369,0),MATCH($BO$4,연료전지_원본!$A$4:$KY$4,0))</f>
        <v>0</v>
      </c>
      <c r="BP251" s="241">
        <f>INDEX(연료전지_원본!$A$4:$KY$369,MATCH($A251,연료전지_원본!$A$4:$A$369,0),MATCH($BP$4,연료전지_원본!$A$4:$KY$4,0))</f>
        <v>0</v>
      </c>
      <c r="BQ251" s="241">
        <f>INDEX(연료전지_원본!$A$4:$KY$369,MATCH($A251,연료전지_원본!$A$4:$A$369,0),MATCH($BQ$4,연료전지_원본!$A$4:$KY$4,0))</f>
        <v>0</v>
      </c>
      <c r="BR251" s="241">
        <f>INDEX(연료전지_원본!$A$4:$KY$369,MATCH($A251,연료전지_원본!$A$4:$A$369,0),MATCH($BR$4,연료전지_원본!$A$4:$KY$4,0))</f>
        <v>0</v>
      </c>
      <c r="BS251" s="241">
        <f>INDEX(연료전지_원본!$A$4:$KY$369,MATCH($A251,연료전지_원본!$A$4:$A$369,0),MATCH($BS$4,연료전지_원본!$A$4:$KY$4,0))</f>
        <v>0</v>
      </c>
      <c r="BT251" s="241">
        <f>INDEX(연료전지_원본!$A$4:$KY$369,MATCH($A251,연료전지_원본!$A$4:$A$369,0),MATCH($BT$4,연료전지_원본!$A$4:$KY$4,0))</f>
        <v>0</v>
      </c>
      <c r="BU251" s="241">
        <f>INDEX(연료전지_원본!$A$4:$KY$369,MATCH($A251,연료전지_원본!$A$4:$A$369,0),MATCH($BU$4,연료전지_원본!$A$4:$KY$4,0))</f>
        <v>0</v>
      </c>
      <c r="BV251" s="241">
        <f>INDEX(연료전지_원본!$A$4:$KY$369,MATCH($A251,연료전지_원본!$A$4:$A$369,0),MATCH($BV$4,연료전지_원본!$A$4:$KY$4,0))</f>
        <v>0</v>
      </c>
      <c r="BW251" s="241">
        <f>INDEX(연료전지_원본!$A$4:$KY$369,MATCH($A251,연료전지_원본!$A$4:$A$369,0),MATCH($BW$4,연료전지_원본!$A$4:$KY$4,0))</f>
        <v>0</v>
      </c>
      <c r="BX251" s="241">
        <f>INDEX(연료전지_원본!$A$4:$KY$369,MATCH($A251,연료전지_원본!$A$4:$A$369,0),MATCH($BX$4,연료전지_원본!$A$4:$KY$4,0))</f>
        <v>0</v>
      </c>
      <c r="BY251" s="241">
        <f>INDEX(연료전지_원본!$A$4:$KY$369,MATCH($A251,연료전지_원본!$A$4:$A$369,0),MATCH($BY$4,연료전지_원본!$A$4:$KY$4,0))</f>
        <v>0</v>
      </c>
      <c r="BZ251" s="241">
        <f>INDEX(연료전지_원본!$A$4:$KY$369,MATCH($A251,연료전지_원본!$A$4:$A$369,0),MATCH($BZ$4,연료전지_원본!$A$4:$KY$4,0))</f>
        <v>0</v>
      </c>
      <c r="CA251" s="241">
        <f>INDEX(연료전지_원본!$A$4:$KY$369,MATCH($A251,연료전지_원본!$A$4:$A$369,0),MATCH($CA$4,연료전지_원본!$A$4:$KY$4,0))</f>
        <v>0</v>
      </c>
      <c r="CB251" s="241">
        <f>INDEX(연료전지_원본!$A$4:$KY$369,MATCH($A251,연료전지_원본!$A$4:$A$369,0),MATCH($CB$4,연료전지_원본!$A$4:$KY$4,0))</f>
        <v>0</v>
      </c>
      <c r="CC251" s="242">
        <f>INDEX(연료전지_원본!$A$4:$KY$369,MATCH($A251,연료전지_원본!$A$4:$A$369,0),MATCH($CC$4,연료전지_원본!$A$4:$KY$4,0))</f>
        <v>0</v>
      </c>
      <c r="CD251" s="250">
        <f>INDEX(연료전지_원본!$KB$4:$KX$369,MATCH($A251,연료전지_원본!$KB$4:$KB$369,0), MATCH(CD$4,연료전지_원본!$KB$4:$KX$4,0))*1000</f>
        <v>0</v>
      </c>
      <c r="CE251" s="250">
        <f>INDEX(연료전지_원본!$KB$4:$KX$369,MATCH($A251,연료전지_원본!$KB$4:$KB$369,0), MATCH(CE$4,연료전지_원본!$KB$4:$KX$4,0))*1000</f>
        <v>0</v>
      </c>
      <c r="CF251" s="250">
        <f>INDEX(연료전지_원본!$KB$4:$KX$369,MATCH($A251,연료전지_원본!$KB$4:$KB$369,0), MATCH(CF$4,연료전지_원본!$KB$4:$KX$4,0))*1000</f>
        <v>0</v>
      </c>
      <c r="CG251" s="250">
        <f>INDEX(연료전지_원본!$KB$4:$KX$369,MATCH($A251,연료전지_원본!$KB$4:$KB$369,0), MATCH(CG$4,연료전지_원본!$KB$4:$KX$4,0))*1000</f>
        <v>0</v>
      </c>
      <c r="CH251" s="250">
        <f>INDEX(연료전지_원본!$KB$4:$KX$369,MATCH($A251,연료전지_원본!$KB$4:$KB$369,0), MATCH(CH$4,연료전지_원본!$KB$4:$KX$4,0))*1000</f>
        <v>0</v>
      </c>
      <c r="CI251" s="250">
        <f>INDEX(연료전지_원본!$KB$4:$KX$369,MATCH($A251,연료전지_원본!$KB$4:$KB$369,0), MATCH(CI$4,연료전지_원본!$KB$4:$KX$4,0))*1000</f>
        <v>0</v>
      </c>
      <c r="CJ251" s="250">
        <f>INDEX(연료전지_원본!$KB$4:$KX$369,MATCH($A251,연료전지_원본!$KB$4:$KB$369,0), MATCH(CJ$4,연료전지_원본!$KB$4:$KX$4,0))*1000</f>
        <v>0</v>
      </c>
      <c r="CK251" s="250">
        <f>INDEX(연료전지_원본!$KB$4:$KX$369,MATCH($A251,연료전지_원본!$KB$4:$KB$369,0), MATCH(CK$4,연료전지_원본!$KB$4:$KX$4,0))*1000</f>
        <v>0</v>
      </c>
      <c r="CL251" s="250">
        <f>INDEX(연료전지_원본!$KB$4:$KX$369,MATCH($A251,연료전지_원본!$KB$4:$KB$369,0), MATCH(CL$4,연료전지_원본!$KB$4:$KX$4,0))*1000</f>
        <v>0</v>
      </c>
      <c r="CM251" s="250">
        <f>INDEX(연료전지_원본!$KB$4:$KX$369,MATCH($A251,연료전지_원본!$KB$4:$KB$369,0), MATCH(CM$4,연료전지_원본!$KB$4:$KX$4,0))*1000</f>
        <v>0</v>
      </c>
      <c r="CN251" s="250">
        <f>INDEX(연료전지_원본!$KB$4:$KX$369,MATCH($A251,연료전지_원본!$KB$4:$KB$369,0), MATCH(CN$4,연료전지_원본!$KB$4:$KX$4,0))*1000</f>
        <v>0</v>
      </c>
      <c r="CO251" s="250">
        <f>INDEX(연료전지_원본!$KB$4:$KX$369,MATCH($A251,연료전지_원본!$KB$4:$KB$369,0), MATCH(CO$4,연료전지_원본!$KB$4:$KX$4,0))*1000</f>
        <v>0</v>
      </c>
      <c r="CP251" s="250">
        <f>INDEX(연료전지_원본!$KB$4:$KX$369,MATCH($A251,연료전지_원본!$KB$4:$KB$369,0), MATCH(CP$4,연료전지_원본!$KB$4:$KX$4,0))*1000</f>
        <v>0</v>
      </c>
      <c r="CQ251" s="250">
        <f>INDEX(연료전지_원본!$KB$4:$KX$369,MATCH($A251,연료전지_원본!$KB$4:$KB$369,0), MATCH(CQ$4,연료전지_원본!$KB$4:$KX$4,0))*1000</f>
        <v>0</v>
      </c>
      <c r="CR251" s="250">
        <f>INDEX(연료전지_원본!$KB$4:$KX$369,MATCH($A251,연료전지_원본!$KB$4:$KB$369,0), MATCH(CR$4,연료전지_원본!$KB$4:$KX$4,0))*1000</f>
        <v>0</v>
      </c>
      <c r="CS251" s="250">
        <f>INDEX(연료전지_원본!$KB$4:$KX$369,MATCH($A251,연료전지_원본!$KB$4:$KB$369,0), MATCH(CS$4,연료전지_원본!$KB$4:$KX$4,0))*1000</f>
        <v>0</v>
      </c>
      <c r="CT251" s="250">
        <f>INDEX(연료전지_원본!$KB$4:$KX$369,MATCH($A251,연료전지_원본!$KB$4:$KB$369,0), MATCH(CT$4,연료전지_원본!$KB$4:$KX$4,0))*1000</f>
        <v>0</v>
      </c>
      <c r="CU251" s="250">
        <f>INDEX(연료전지_원본!$KB$4:$KX$369,MATCH($A251,연료전지_원본!$KB$4:$KB$369,0), MATCH(CU$4,연료전지_원본!$KB$4:$KX$4,0))*1000</f>
        <v>0</v>
      </c>
      <c r="CV251" s="250">
        <f>INDEX(연료전지_원본!$KB$4:$KX$369,MATCH($A251,연료전지_원본!$KB$4:$KB$369,0), MATCH(CV$4,연료전지_원본!$KB$4:$KX$4,0))*1000</f>
        <v>0</v>
      </c>
      <c r="CW251" s="250">
        <f>INDEX(연료전지_원본!$KB$4:$KX$369,MATCH($A251,연료전지_원본!$KB$4:$KB$369,0), MATCH(CW$4,연료전지_원본!$KB$4:$KX$4,0))*1000</f>
        <v>0</v>
      </c>
      <c r="CX251" s="250">
        <f>INDEX(연료전지_원본!$KB$4:$KX$369,MATCH($A251,연료전지_원본!$KB$4:$KB$369,0), MATCH(CX$4,연료전지_원본!$KB$4:$KX$4,0))*1000</f>
        <v>0</v>
      </c>
      <c r="CY251" s="250">
        <f>INDEX(연료전지_원본!$KB$4:$KX$369,MATCH($A251,연료전지_원본!$KB$4:$KB$369,0), MATCH(CY$4,연료전지_원본!$KB$4:$KX$4,0))*1000</f>
        <v>0</v>
      </c>
      <c r="DV251" s="30">
        <f t="shared" si="1285"/>
        <v>0</v>
      </c>
    </row>
    <row r="252" spans="1:126">
      <c r="A252" s="6">
        <v>46269</v>
      </c>
      <c r="B252" s="15">
        <f>운전실적_원본!B252</f>
        <v>0</v>
      </c>
      <c r="C252" s="16" t="str">
        <f t="shared" si="1291"/>
        <v/>
      </c>
      <c r="D252" s="12">
        <f>운전실적_원본!C252</f>
        <v>0</v>
      </c>
      <c r="E252" s="12" t="str">
        <f t="shared" si="1292"/>
        <v/>
      </c>
      <c r="F252" s="12">
        <f>운전실적_원본!D252</f>
        <v>0</v>
      </c>
      <c r="G252" s="16" t="str">
        <f t="shared" si="1293"/>
        <v/>
      </c>
      <c r="H252" s="15">
        <f>운전실적_원본!E252</f>
        <v>0</v>
      </c>
      <c r="I252" s="16" t="str">
        <f t="shared" si="1294"/>
        <v/>
      </c>
      <c r="J252" s="15">
        <f>운전실적_원본!F252</f>
        <v>0</v>
      </c>
      <c r="K252" s="16" t="str">
        <f t="shared" si="1294"/>
        <v/>
      </c>
      <c r="L252" s="32">
        <f>운전실적_원본!G252</f>
        <v>0</v>
      </c>
      <c r="M252" s="31" t="str">
        <f t="shared" ref="M252" si="1396">IF(OR(LEN(L252)=0,L252=0),"",L252-L251)</f>
        <v/>
      </c>
      <c r="N252" s="15">
        <f>운전실적_원본!H252</f>
        <v>0</v>
      </c>
      <c r="O252" s="16" t="str">
        <f t="shared" ref="O252" si="1397">IF(OR(LEN(N252)=0,N252=0),"",N252-N251)</f>
        <v/>
      </c>
      <c r="P252" s="15">
        <f>운전실적_원본!I252</f>
        <v>0</v>
      </c>
      <c r="Q252" s="16" t="str">
        <f t="shared" ref="Q252" si="1398">IF(OR(LEN(P252)=0,P252=0),"",P252-P251)</f>
        <v/>
      </c>
      <c r="R252" s="18">
        <f>운전실적_원본!J252</f>
        <v>0</v>
      </c>
      <c r="S252" s="19" t="str">
        <f t="shared" ref="S252" si="1399">IF(OR(LEN(R252)=0,R252=0),"",R252-R251)</f>
        <v/>
      </c>
      <c r="T252" s="18">
        <f>운전실적_원본!K252</f>
        <v>0</v>
      </c>
      <c r="U252" s="19" t="str">
        <f t="shared" si="1299"/>
        <v/>
      </c>
      <c r="V252" s="12">
        <f>운전실적_원본!L252</f>
        <v>0</v>
      </c>
      <c r="W252" s="16" t="str">
        <f t="shared" ref="W252" si="1400">IF(OR(LEN(V252)=0,V252=0),"",V252-V251)</f>
        <v/>
      </c>
      <c r="X252" s="10">
        <f>운전실적_원본!M252</f>
        <v>0</v>
      </c>
      <c r="Y252" s="10">
        <f>운전실적_원본!N252</f>
        <v>0</v>
      </c>
      <c r="Z252" s="10">
        <f>운전실적_원본!O252</f>
        <v>0</v>
      </c>
      <c r="AA252" s="10">
        <f>운전실적_원본!P252</f>
        <v>0</v>
      </c>
      <c r="AB252" s="10">
        <f>운전실적_원본!Q252</f>
        <v>0</v>
      </c>
      <c r="AC252" s="20">
        <f>운전실적_원본!R252</f>
        <v>0</v>
      </c>
      <c r="AD252" s="109">
        <f>운전실적_원본!S252</f>
        <v>0</v>
      </c>
      <c r="AE252" s="110">
        <f>운전실적_원본!T252</f>
        <v>0</v>
      </c>
      <c r="AF252" s="110">
        <f>운전실적_원본!U252</f>
        <v>0</v>
      </c>
      <c r="AG252" s="110">
        <f>운전실적_원본!V252</f>
        <v>0</v>
      </c>
      <c r="AH252" s="109">
        <f t="shared" si="1122"/>
        <v>0</v>
      </c>
      <c r="AI252" s="110">
        <f t="shared" si="1129"/>
        <v>0</v>
      </c>
      <c r="AJ252" s="110">
        <f>운전실적_원본!Y252</f>
        <v>0</v>
      </c>
      <c r="AK252" s="110">
        <f>운전실적_원본!Z252</f>
        <v>0</v>
      </c>
      <c r="AL252" s="106"/>
      <c r="AM252" s="105"/>
      <c r="AN252" s="105"/>
      <c r="AO252" s="105"/>
      <c r="AP252" s="105"/>
      <c r="AQ252" s="108"/>
      <c r="AR252" s="105"/>
      <c r="AS252" s="105"/>
      <c r="AT252" s="102"/>
      <c r="AU252" s="102"/>
      <c r="AV252" s="102"/>
      <c r="AW252" s="102"/>
      <c r="AX252" s="32">
        <f>운전실적_원본!W252</f>
        <v>0</v>
      </c>
      <c r="AY252" s="11">
        <f>운전실적_원본!X252</f>
        <v>0</v>
      </c>
      <c r="AZ252" s="11">
        <f>운전실적_원본!Y252</f>
        <v>0</v>
      </c>
      <c r="BA252" s="11">
        <f>운전실적_원본!Z252</f>
        <v>0</v>
      </c>
      <c r="BB252" s="11">
        <f>운전실적_원본!AA252</f>
        <v>0</v>
      </c>
      <c r="BC252" s="11">
        <f>운전실적_원본!AB252</f>
        <v>0</v>
      </c>
      <c r="BD252" s="32" t="str">
        <f t="shared" si="1115"/>
        <v>-</v>
      </c>
      <c r="BE252" s="11" t="str">
        <f t="shared" si="1123"/>
        <v>-</v>
      </c>
      <c r="BF252" s="11">
        <f>운전실적_원본!AE252</f>
        <v>0</v>
      </c>
      <c r="BG252" s="31">
        <f t="shared" si="1116"/>
        <v>0</v>
      </c>
      <c r="BH252" s="241">
        <f>INDEX(연료전지_원본!$A$4:$KY$369,MATCH($A252,연료전지_원본!$A$4:$A$369,0),MATCH($BH$4,연료전지_원본!$A$4:$KY$4,0))</f>
        <v>0</v>
      </c>
      <c r="BI252" s="241">
        <f>INDEX(연료전지_원본!$A$4:$KY$369,MATCH($A252,연료전지_원본!$A$4:$A$369,0),MATCH($BI$4,연료전지_원본!$A$4:$KY$4,0))</f>
        <v>0</v>
      </c>
      <c r="BJ252" s="241">
        <f>INDEX(연료전지_원본!$A$4:$KY$369,MATCH($A252,연료전지_원본!$A$4:$A$369,0),MATCH($BJ$4,연료전지_원본!$A$4:$KY$4,0))</f>
        <v>0</v>
      </c>
      <c r="BK252" s="241">
        <f>INDEX(연료전지_원본!$A$4:$KY$369,MATCH($A252,연료전지_원본!$A$4:$A$369,0),MATCH($BK$4,연료전지_원본!$A$4:$KY$4,0))</f>
        <v>0</v>
      </c>
      <c r="BL252" s="241">
        <f>INDEX(연료전지_원본!$A$4:$KY$369,MATCH($A252,연료전지_원본!$A$4:$A$369,0),MATCH($BL$4,연료전지_원본!$A$4:$KY$4,0))</f>
        <v>0</v>
      </c>
      <c r="BM252" s="241">
        <f>INDEX(연료전지_원본!$A$4:$KY$369,MATCH($A252,연료전지_원본!$A$4:$A$369,0),MATCH($BM$4,연료전지_원본!$A$4:$KY$4,0))</f>
        <v>0</v>
      </c>
      <c r="BN252" s="241">
        <f>INDEX(연료전지_원본!$A$4:$KY$369,MATCH($A252,연료전지_원본!$A$4:$A$369,0),MATCH($BN$4,연료전지_원본!$A$4:$KY$4,0))</f>
        <v>0</v>
      </c>
      <c r="BO252" s="241">
        <f>INDEX(연료전지_원본!$A$4:$KY$369,MATCH($A252,연료전지_원본!$A$4:$A$369,0),MATCH($BO$4,연료전지_원본!$A$4:$KY$4,0))</f>
        <v>0</v>
      </c>
      <c r="BP252" s="241">
        <f>INDEX(연료전지_원본!$A$4:$KY$369,MATCH($A252,연료전지_원본!$A$4:$A$369,0),MATCH($BP$4,연료전지_원본!$A$4:$KY$4,0))</f>
        <v>0</v>
      </c>
      <c r="BQ252" s="241">
        <f>INDEX(연료전지_원본!$A$4:$KY$369,MATCH($A252,연료전지_원본!$A$4:$A$369,0),MATCH($BQ$4,연료전지_원본!$A$4:$KY$4,0))</f>
        <v>0</v>
      </c>
      <c r="BR252" s="241">
        <f>INDEX(연료전지_원본!$A$4:$KY$369,MATCH($A252,연료전지_원본!$A$4:$A$369,0),MATCH($BR$4,연료전지_원본!$A$4:$KY$4,0))</f>
        <v>0</v>
      </c>
      <c r="BS252" s="241">
        <f>INDEX(연료전지_원본!$A$4:$KY$369,MATCH($A252,연료전지_원본!$A$4:$A$369,0),MATCH($BS$4,연료전지_원본!$A$4:$KY$4,0))</f>
        <v>0</v>
      </c>
      <c r="BT252" s="241">
        <f>INDEX(연료전지_원본!$A$4:$KY$369,MATCH($A252,연료전지_원본!$A$4:$A$369,0),MATCH($BT$4,연료전지_원본!$A$4:$KY$4,0))</f>
        <v>0</v>
      </c>
      <c r="BU252" s="241">
        <f>INDEX(연료전지_원본!$A$4:$KY$369,MATCH($A252,연료전지_원본!$A$4:$A$369,0),MATCH($BU$4,연료전지_원본!$A$4:$KY$4,0))</f>
        <v>0</v>
      </c>
      <c r="BV252" s="241">
        <f>INDEX(연료전지_원본!$A$4:$KY$369,MATCH($A252,연료전지_원본!$A$4:$A$369,0),MATCH($BV$4,연료전지_원본!$A$4:$KY$4,0))</f>
        <v>0</v>
      </c>
      <c r="BW252" s="241">
        <f>INDEX(연료전지_원본!$A$4:$KY$369,MATCH($A252,연료전지_원본!$A$4:$A$369,0),MATCH($BW$4,연료전지_원본!$A$4:$KY$4,0))</f>
        <v>0</v>
      </c>
      <c r="BX252" s="241">
        <f>INDEX(연료전지_원본!$A$4:$KY$369,MATCH($A252,연료전지_원본!$A$4:$A$369,0),MATCH($BX$4,연료전지_원본!$A$4:$KY$4,0))</f>
        <v>0</v>
      </c>
      <c r="BY252" s="241">
        <f>INDEX(연료전지_원본!$A$4:$KY$369,MATCH($A252,연료전지_원본!$A$4:$A$369,0),MATCH($BY$4,연료전지_원본!$A$4:$KY$4,0))</f>
        <v>0</v>
      </c>
      <c r="BZ252" s="241">
        <f>INDEX(연료전지_원본!$A$4:$KY$369,MATCH($A252,연료전지_원본!$A$4:$A$369,0),MATCH($BZ$4,연료전지_원본!$A$4:$KY$4,0))</f>
        <v>0</v>
      </c>
      <c r="CA252" s="241">
        <f>INDEX(연료전지_원본!$A$4:$KY$369,MATCH($A252,연료전지_원본!$A$4:$A$369,0),MATCH($CA$4,연료전지_원본!$A$4:$KY$4,0))</f>
        <v>0</v>
      </c>
      <c r="CB252" s="241">
        <f>INDEX(연료전지_원본!$A$4:$KY$369,MATCH($A252,연료전지_원본!$A$4:$A$369,0),MATCH($CB$4,연료전지_원본!$A$4:$KY$4,0))</f>
        <v>0</v>
      </c>
      <c r="CC252" s="242">
        <f>INDEX(연료전지_원본!$A$4:$KY$369,MATCH($A252,연료전지_원본!$A$4:$A$369,0),MATCH($CC$4,연료전지_원본!$A$4:$KY$4,0))</f>
        <v>0</v>
      </c>
      <c r="CD252" s="250">
        <f>INDEX(연료전지_원본!$KB$4:$KX$369,MATCH($A252,연료전지_원본!$KB$4:$KB$369,0), MATCH(CD$4,연료전지_원본!$KB$4:$KX$4,0))*1000</f>
        <v>0</v>
      </c>
      <c r="CE252" s="250">
        <f>INDEX(연료전지_원본!$KB$4:$KX$369,MATCH($A252,연료전지_원본!$KB$4:$KB$369,0), MATCH(CE$4,연료전지_원본!$KB$4:$KX$4,0))*1000</f>
        <v>0</v>
      </c>
      <c r="CF252" s="250">
        <f>INDEX(연료전지_원본!$KB$4:$KX$369,MATCH($A252,연료전지_원본!$KB$4:$KB$369,0), MATCH(CF$4,연료전지_원본!$KB$4:$KX$4,0))*1000</f>
        <v>0</v>
      </c>
      <c r="CG252" s="250">
        <f>INDEX(연료전지_원본!$KB$4:$KX$369,MATCH($A252,연료전지_원본!$KB$4:$KB$369,0), MATCH(CG$4,연료전지_원본!$KB$4:$KX$4,0))*1000</f>
        <v>0</v>
      </c>
      <c r="CH252" s="250">
        <f>INDEX(연료전지_원본!$KB$4:$KX$369,MATCH($A252,연료전지_원본!$KB$4:$KB$369,0), MATCH(CH$4,연료전지_원본!$KB$4:$KX$4,0))*1000</f>
        <v>0</v>
      </c>
      <c r="CI252" s="250">
        <f>INDEX(연료전지_원본!$KB$4:$KX$369,MATCH($A252,연료전지_원본!$KB$4:$KB$369,0), MATCH(CI$4,연료전지_원본!$KB$4:$KX$4,0))*1000</f>
        <v>0</v>
      </c>
      <c r="CJ252" s="250">
        <f>INDEX(연료전지_원본!$KB$4:$KX$369,MATCH($A252,연료전지_원본!$KB$4:$KB$369,0), MATCH(CJ$4,연료전지_원본!$KB$4:$KX$4,0))*1000</f>
        <v>0</v>
      </c>
      <c r="CK252" s="250">
        <f>INDEX(연료전지_원본!$KB$4:$KX$369,MATCH($A252,연료전지_원본!$KB$4:$KB$369,0), MATCH(CK$4,연료전지_원본!$KB$4:$KX$4,0))*1000</f>
        <v>0</v>
      </c>
      <c r="CL252" s="250">
        <f>INDEX(연료전지_원본!$KB$4:$KX$369,MATCH($A252,연료전지_원본!$KB$4:$KB$369,0), MATCH(CL$4,연료전지_원본!$KB$4:$KX$4,0))*1000</f>
        <v>0</v>
      </c>
      <c r="CM252" s="250">
        <f>INDEX(연료전지_원본!$KB$4:$KX$369,MATCH($A252,연료전지_원본!$KB$4:$KB$369,0), MATCH(CM$4,연료전지_원본!$KB$4:$KX$4,0))*1000</f>
        <v>0</v>
      </c>
      <c r="CN252" s="250">
        <f>INDEX(연료전지_원본!$KB$4:$KX$369,MATCH($A252,연료전지_원본!$KB$4:$KB$369,0), MATCH(CN$4,연료전지_원본!$KB$4:$KX$4,0))*1000</f>
        <v>0</v>
      </c>
      <c r="CO252" s="250">
        <f>INDEX(연료전지_원본!$KB$4:$KX$369,MATCH($A252,연료전지_원본!$KB$4:$KB$369,0), MATCH(CO$4,연료전지_원본!$KB$4:$KX$4,0))*1000</f>
        <v>0</v>
      </c>
      <c r="CP252" s="250">
        <f>INDEX(연료전지_원본!$KB$4:$KX$369,MATCH($A252,연료전지_원본!$KB$4:$KB$369,0), MATCH(CP$4,연료전지_원본!$KB$4:$KX$4,0))*1000</f>
        <v>0</v>
      </c>
      <c r="CQ252" s="250">
        <f>INDEX(연료전지_원본!$KB$4:$KX$369,MATCH($A252,연료전지_원본!$KB$4:$KB$369,0), MATCH(CQ$4,연료전지_원본!$KB$4:$KX$4,0))*1000</f>
        <v>0</v>
      </c>
      <c r="CR252" s="250">
        <f>INDEX(연료전지_원본!$KB$4:$KX$369,MATCH($A252,연료전지_원본!$KB$4:$KB$369,0), MATCH(CR$4,연료전지_원본!$KB$4:$KX$4,0))*1000</f>
        <v>0</v>
      </c>
      <c r="CS252" s="250">
        <f>INDEX(연료전지_원본!$KB$4:$KX$369,MATCH($A252,연료전지_원본!$KB$4:$KB$369,0), MATCH(CS$4,연료전지_원본!$KB$4:$KX$4,0))*1000</f>
        <v>0</v>
      </c>
      <c r="CT252" s="250">
        <f>INDEX(연료전지_원본!$KB$4:$KX$369,MATCH($A252,연료전지_원본!$KB$4:$KB$369,0), MATCH(CT$4,연료전지_원본!$KB$4:$KX$4,0))*1000</f>
        <v>0</v>
      </c>
      <c r="CU252" s="250">
        <f>INDEX(연료전지_원본!$KB$4:$KX$369,MATCH($A252,연료전지_원본!$KB$4:$KB$369,0), MATCH(CU$4,연료전지_원본!$KB$4:$KX$4,0))*1000</f>
        <v>0</v>
      </c>
      <c r="CV252" s="250">
        <f>INDEX(연료전지_원본!$KB$4:$KX$369,MATCH($A252,연료전지_원본!$KB$4:$KB$369,0), MATCH(CV$4,연료전지_원본!$KB$4:$KX$4,0))*1000</f>
        <v>0</v>
      </c>
      <c r="CW252" s="250">
        <f>INDEX(연료전지_원본!$KB$4:$KX$369,MATCH($A252,연료전지_원본!$KB$4:$KB$369,0), MATCH(CW$4,연료전지_원본!$KB$4:$KX$4,0))*1000</f>
        <v>0</v>
      </c>
      <c r="CX252" s="250">
        <f>INDEX(연료전지_원본!$KB$4:$KX$369,MATCH($A252,연료전지_원본!$KB$4:$KB$369,0), MATCH(CX$4,연료전지_원본!$KB$4:$KX$4,0))*1000</f>
        <v>0</v>
      </c>
      <c r="CY252" s="250">
        <f>INDEX(연료전지_원본!$KB$4:$KX$369,MATCH($A252,연료전지_원본!$KB$4:$KB$369,0), MATCH(CY$4,연료전지_원본!$KB$4:$KX$4,0))*1000</f>
        <v>0</v>
      </c>
      <c r="DV252" s="30">
        <f t="shared" si="1285"/>
        <v>0</v>
      </c>
    </row>
    <row r="253" spans="1:126">
      <c r="A253" s="6">
        <v>46270</v>
      </c>
      <c r="B253" s="15">
        <f>운전실적_원본!B253</f>
        <v>0</v>
      </c>
      <c r="C253" s="16" t="str">
        <f t="shared" si="1291"/>
        <v/>
      </c>
      <c r="D253" s="12">
        <f>운전실적_원본!C253</f>
        <v>0</v>
      </c>
      <c r="E253" s="12" t="str">
        <f t="shared" si="1292"/>
        <v/>
      </c>
      <c r="F253" s="12">
        <f>운전실적_원본!D253</f>
        <v>0</v>
      </c>
      <c r="G253" s="16" t="str">
        <f t="shared" si="1293"/>
        <v/>
      </c>
      <c r="H253" s="15">
        <f>운전실적_원본!E253</f>
        <v>0</v>
      </c>
      <c r="I253" s="16" t="str">
        <f t="shared" si="1294"/>
        <v/>
      </c>
      <c r="J253" s="15">
        <f>운전실적_원본!F253</f>
        <v>0</v>
      </c>
      <c r="K253" s="16" t="str">
        <f t="shared" si="1294"/>
        <v/>
      </c>
      <c r="L253" s="32">
        <f>운전실적_원본!G253</f>
        <v>0</v>
      </c>
      <c r="M253" s="31" t="str">
        <f t="shared" ref="M253" si="1401">IF(OR(LEN(L253)=0,L253=0),"",L253-L252)</f>
        <v/>
      </c>
      <c r="N253" s="15">
        <f>운전실적_원본!H253</f>
        <v>0</v>
      </c>
      <c r="O253" s="16" t="str">
        <f t="shared" ref="O253" si="1402">IF(OR(LEN(N253)=0,N253=0),"",N253-N252)</f>
        <v/>
      </c>
      <c r="P253" s="15">
        <f>운전실적_원본!I253</f>
        <v>0</v>
      </c>
      <c r="Q253" s="16" t="str">
        <f t="shared" ref="Q253" si="1403">IF(OR(LEN(P253)=0,P253=0),"",P253-P252)</f>
        <v/>
      </c>
      <c r="R253" s="18">
        <f>운전실적_원본!J253</f>
        <v>0</v>
      </c>
      <c r="S253" s="19" t="str">
        <f t="shared" ref="S253" si="1404">IF(OR(LEN(R253)=0,R253=0),"",R253-R252)</f>
        <v/>
      </c>
      <c r="T253" s="18">
        <f>운전실적_원본!K253</f>
        <v>0</v>
      </c>
      <c r="U253" s="19" t="str">
        <f t="shared" si="1299"/>
        <v/>
      </c>
      <c r="V253" s="12">
        <f>운전실적_원본!L253</f>
        <v>0</v>
      </c>
      <c r="W253" s="16" t="str">
        <f t="shared" ref="W253" si="1405">IF(OR(LEN(V253)=0,V253=0),"",V253-V252)</f>
        <v/>
      </c>
      <c r="X253" s="10">
        <f>운전실적_원본!M253</f>
        <v>0</v>
      </c>
      <c r="Y253" s="10">
        <f>운전실적_원본!N253</f>
        <v>0</v>
      </c>
      <c r="Z253" s="10">
        <f>운전실적_원본!O253</f>
        <v>0</v>
      </c>
      <c r="AA253" s="10">
        <f>운전실적_원본!P253</f>
        <v>0</v>
      </c>
      <c r="AB253" s="10">
        <f>운전실적_원본!Q253</f>
        <v>0</v>
      </c>
      <c r="AC253" s="20">
        <f>운전실적_원본!R253</f>
        <v>0</v>
      </c>
      <c r="AD253" s="109">
        <f>운전실적_원본!S253</f>
        <v>0</v>
      </c>
      <c r="AE253" s="110">
        <f>운전실적_원본!T253</f>
        <v>0</v>
      </c>
      <c r="AF253" s="110">
        <f>운전실적_원본!U253</f>
        <v>0</v>
      </c>
      <c r="AG253" s="110">
        <f>운전실적_원본!V253</f>
        <v>0</v>
      </c>
      <c r="AH253" s="109">
        <f t="shared" si="1122"/>
        <v>0</v>
      </c>
      <c r="AI253" s="110">
        <f t="shared" si="1129"/>
        <v>0</v>
      </c>
      <c r="AJ253" s="110">
        <f>운전실적_원본!Y253</f>
        <v>0</v>
      </c>
      <c r="AK253" s="110">
        <f>운전실적_원본!Z253</f>
        <v>0</v>
      </c>
      <c r="AL253" s="106"/>
      <c r="AM253" s="105"/>
      <c r="AN253" s="105"/>
      <c r="AO253" s="105"/>
      <c r="AP253" s="105"/>
      <c r="AQ253" s="108"/>
      <c r="AR253" s="105"/>
      <c r="AS253" s="105"/>
      <c r="AT253" s="102"/>
      <c r="AU253" s="102"/>
      <c r="AV253" s="102"/>
      <c r="AW253" s="102"/>
      <c r="AX253" s="32">
        <f>운전실적_원본!W253</f>
        <v>0</v>
      </c>
      <c r="AY253" s="11">
        <f>운전실적_원본!X253</f>
        <v>0</v>
      </c>
      <c r="AZ253" s="11">
        <f>운전실적_원본!Y253</f>
        <v>0</v>
      </c>
      <c r="BA253" s="11">
        <f>운전실적_원본!Z253</f>
        <v>0</v>
      </c>
      <c r="BB253" s="11">
        <f>운전실적_원본!AA253</f>
        <v>0</v>
      </c>
      <c r="BC253" s="11">
        <f>운전실적_원본!AB253</f>
        <v>0</v>
      </c>
      <c r="BD253" s="32" t="str">
        <f t="shared" si="1115"/>
        <v>-</v>
      </c>
      <c r="BE253" s="11" t="str">
        <f t="shared" si="1123"/>
        <v>-</v>
      </c>
      <c r="BF253" s="11">
        <f>운전실적_원본!AE253</f>
        <v>0</v>
      </c>
      <c r="BG253" s="31">
        <f t="shared" si="1116"/>
        <v>0</v>
      </c>
      <c r="BH253" s="241">
        <f>INDEX(연료전지_원본!$A$4:$KY$369,MATCH($A253,연료전지_원본!$A$4:$A$369,0),MATCH($BH$4,연료전지_원본!$A$4:$KY$4,0))</f>
        <v>0</v>
      </c>
      <c r="BI253" s="241">
        <f>INDEX(연료전지_원본!$A$4:$KY$369,MATCH($A253,연료전지_원본!$A$4:$A$369,0),MATCH($BI$4,연료전지_원본!$A$4:$KY$4,0))</f>
        <v>0</v>
      </c>
      <c r="BJ253" s="241">
        <f>INDEX(연료전지_원본!$A$4:$KY$369,MATCH($A253,연료전지_원본!$A$4:$A$369,0),MATCH($BJ$4,연료전지_원본!$A$4:$KY$4,0))</f>
        <v>0</v>
      </c>
      <c r="BK253" s="241">
        <f>INDEX(연료전지_원본!$A$4:$KY$369,MATCH($A253,연료전지_원본!$A$4:$A$369,0),MATCH($BK$4,연료전지_원본!$A$4:$KY$4,0))</f>
        <v>0</v>
      </c>
      <c r="BL253" s="241">
        <f>INDEX(연료전지_원본!$A$4:$KY$369,MATCH($A253,연료전지_원본!$A$4:$A$369,0),MATCH($BL$4,연료전지_원본!$A$4:$KY$4,0))</f>
        <v>0</v>
      </c>
      <c r="BM253" s="241">
        <f>INDEX(연료전지_원본!$A$4:$KY$369,MATCH($A253,연료전지_원본!$A$4:$A$369,0),MATCH($BM$4,연료전지_원본!$A$4:$KY$4,0))</f>
        <v>0</v>
      </c>
      <c r="BN253" s="241">
        <f>INDEX(연료전지_원본!$A$4:$KY$369,MATCH($A253,연료전지_원본!$A$4:$A$369,0),MATCH($BN$4,연료전지_원본!$A$4:$KY$4,0))</f>
        <v>0</v>
      </c>
      <c r="BO253" s="241">
        <f>INDEX(연료전지_원본!$A$4:$KY$369,MATCH($A253,연료전지_원본!$A$4:$A$369,0),MATCH($BO$4,연료전지_원본!$A$4:$KY$4,0))</f>
        <v>0</v>
      </c>
      <c r="BP253" s="241">
        <f>INDEX(연료전지_원본!$A$4:$KY$369,MATCH($A253,연료전지_원본!$A$4:$A$369,0),MATCH($BP$4,연료전지_원본!$A$4:$KY$4,0))</f>
        <v>0</v>
      </c>
      <c r="BQ253" s="241">
        <f>INDEX(연료전지_원본!$A$4:$KY$369,MATCH($A253,연료전지_원본!$A$4:$A$369,0),MATCH($BQ$4,연료전지_원본!$A$4:$KY$4,0))</f>
        <v>0</v>
      </c>
      <c r="BR253" s="241">
        <f>INDEX(연료전지_원본!$A$4:$KY$369,MATCH($A253,연료전지_원본!$A$4:$A$369,0),MATCH($BR$4,연료전지_원본!$A$4:$KY$4,0))</f>
        <v>0</v>
      </c>
      <c r="BS253" s="241">
        <f>INDEX(연료전지_원본!$A$4:$KY$369,MATCH($A253,연료전지_원본!$A$4:$A$369,0),MATCH($BS$4,연료전지_원본!$A$4:$KY$4,0))</f>
        <v>0</v>
      </c>
      <c r="BT253" s="241">
        <f>INDEX(연료전지_원본!$A$4:$KY$369,MATCH($A253,연료전지_원본!$A$4:$A$369,0),MATCH($BT$4,연료전지_원본!$A$4:$KY$4,0))</f>
        <v>0</v>
      </c>
      <c r="BU253" s="241">
        <f>INDEX(연료전지_원본!$A$4:$KY$369,MATCH($A253,연료전지_원본!$A$4:$A$369,0),MATCH($BU$4,연료전지_원본!$A$4:$KY$4,0))</f>
        <v>0</v>
      </c>
      <c r="BV253" s="241">
        <f>INDEX(연료전지_원본!$A$4:$KY$369,MATCH($A253,연료전지_원본!$A$4:$A$369,0),MATCH($BV$4,연료전지_원본!$A$4:$KY$4,0))</f>
        <v>0</v>
      </c>
      <c r="BW253" s="241">
        <f>INDEX(연료전지_원본!$A$4:$KY$369,MATCH($A253,연료전지_원본!$A$4:$A$369,0),MATCH($BW$4,연료전지_원본!$A$4:$KY$4,0))</f>
        <v>0</v>
      </c>
      <c r="BX253" s="241">
        <f>INDEX(연료전지_원본!$A$4:$KY$369,MATCH($A253,연료전지_원본!$A$4:$A$369,0),MATCH($BX$4,연료전지_원본!$A$4:$KY$4,0))</f>
        <v>0</v>
      </c>
      <c r="BY253" s="241">
        <f>INDEX(연료전지_원본!$A$4:$KY$369,MATCH($A253,연료전지_원본!$A$4:$A$369,0),MATCH($BY$4,연료전지_원본!$A$4:$KY$4,0))</f>
        <v>0</v>
      </c>
      <c r="BZ253" s="241">
        <f>INDEX(연료전지_원본!$A$4:$KY$369,MATCH($A253,연료전지_원본!$A$4:$A$369,0),MATCH($BZ$4,연료전지_원본!$A$4:$KY$4,0))</f>
        <v>0</v>
      </c>
      <c r="CA253" s="241">
        <f>INDEX(연료전지_원본!$A$4:$KY$369,MATCH($A253,연료전지_원본!$A$4:$A$369,0),MATCH($CA$4,연료전지_원본!$A$4:$KY$4,0))</f>
        <v>0</v>
      </c>
      <c r="CB253" s="241">
        <f>INDEX(연료전지_원본!$A$4:$KY$369,MATCH($A253,연료전지_원본!$A$4:$A$369,0),MATCH($CB$4,연료전지_원본!$A$4:$KY$4,0))</f>
        <v>0</v>
      </c>
      <c r="CC253" s="242">
        <f>INDEX(연료전지_원본!$A$4:$KY$369,MATCH($A253,연료전지_원본!$A$4:$A$369,0),MATCH($CC$4,연료전지_원본!$A$4:$KY$4,0))</f>
        <v>0</v>
      </c>
      <c r="CD253" s="250">
        <f>INDEX(연료전지_원본!$KB$4:$KX$369,MATCH($A253,연료전지_원본!$KB$4:$KB$369,0), MATCH(CD$4,연료전지_원본!$KB$4:$KX$4,0))*1000</f>
        <v>0</v>
      </c>
      <c r="CE253" s="250">
        <f>INDEX(연료전지_원본!$KB$4:$KX$369,MATCH($A253,연료전지_원본!$KB$4:$KB$369,0), MATCH(CE$4,연료전지_원본!$KB$4:$KX$4,0))*1000</f>
        <v>0</v>
      </c>
      <c r="CF253" s="250">
        <f>INDEX(연료전지_원본!$KB$4:$KX$369,MATCH($A253,연료전지_원본!$KB$4:$KB$369,0), MATCH(CF$4,연료전지_원본!$KB$4:$KX$4,0))*1000</f>
        <v>0</v>
      </c>
      <c r="CG253" s="250">
        <f>INDEX(연료전지_원본!$KB$4:$KX$369,MATCH($A253,연료전지_원본!$KB$4:$KB$369,0), MATCH(CG$4,연료전지_원본!$KB$4:$KX$4,0))*1000</f>
        <v>0</v>
      </c>
      <c r="CH253" s="250">
        <f>INDEX(연료전지_원본!$KB$4:$KX$369,MATCH($A253,연료전지_원본!$KB$4:$KB$369,0), MATCH(CH$4,연료전지_원본!$KB$4:$KX$4,0))*1000</f>
        <v>0</v>
      </c>
      <c r="CI253" s="250">
        <f>INDEX(연료전지_원본!$KB$4:$KX$369,MATCH($A253,연료전지_원본!$KB$4:$KB$369,0), MATCH(CI$4,연료전지_원본!$KB$4:$KX$4,0))*1000</f>
        <v>0</v>
      </c>
      <c r="CJ253" s="250">
        <f>INDEX(연료전지_원본!$KB$4:$KX$369,MATCH($A253,연료전지_원본!$KB$4:$KB$369,0), MATCH(CJ$4,연료전지_원본!$KB$4:$KX$4,0))*1000</f>
        <v>0</v>
      </c>
      <c r="CK253" s="250">
        <f>INDEX(연료전지_원본!$KB$4:$KX$369,MATCH($A253,연료전지_원본!$KB$4:$KB$369,0), MATCH(CK$4,연료전지_원본!$KB$4:$KX$4,0))*1000</f>
        <v>0</v>
      </c>
      <c r="CL253" s="250">
        <f>INDEX(연료전지_원본!$KB$4:$KX$369,MATCH($A253,연료전지_원본!$KB$4:$KB$369,0), MATCH(CL$4,연료전지_원본!$KB$4:$KX$4,0))*1000</f>
        <v>0</v>
      </c>
      <c r="CM253" s="250">
        <f>INDEX(연료전지_원본!$KB$4:$KX$369,MATCH($A253,연료전지_원본!$KB$4:$KB$369,0), MATCH(CM$4,연료전지_원본!$KB$4:$KX$4,0))*1000</f>
        <v>0</v>
      </c>
      <c r="CN253" s="250">
        <f>INDEX(연료전지_원본!$KB$4:$KX$369,MATCH($A253,연료전지_원본!$KB$4:$KB$369,0), MATCH(CN$4,연료전지_원본!$KB$4:$KX$4,0))*1000</f>
        <v>0</v>
      </c>
      <c r="CO253" s="250">
        <f>INDEX(연료전지_원본!$KB$4:$KX$369,MATCH($A253,연료전지_원본!$KB$4:$KB$369,0), MATCH(CO$4,연료전지_원본!$KB$4:$KX$4,0))*1000</f>
        <v>0</v>
      </c>
      <c r="CP253" s="250">
        <f>INDEX(연료전지_원본!$KB$4:$KX$369,MATCH($A253,연료전지_원본!$KB$4:$KB$369,0), MATCH(CP$4,연료전지_원본!$KB$4:$KX$4,0))*1000</f>
        <v>0</v>
      </c>
      <c r="CQ253" s="250">
        <f>INDEX(연료전지_원본!$KB$4:$KX$369,MATCH($A253,연료전지_원본!$KB$4:$KB$369,0), MATCH(CQ$4,연료전지_원본!$KB$4:$KX$4,0))*1000</f>
        <v>0</v>
      </c>
      <c r="CR253" s="250">
        <f>INDEX(연료전지_원본!$KB$4:$KX$369,MATCH($A253,연료전지_원본!$KB$4:$KB$369,0), MATCH(CR$4,연료전지_원본!$KB$4:$KX$4,0))*1000</f>
        <v>0</v>
      </c>
      <c r="CS253" s="250">
        <f>INDEX(연료전지_원본!$KB$4:$KX$369,MATCH($A253,연료전지_원본!$KB$4:$KB$369,0), MATCH(CS$4,연료전지_원본!$KB$4:$KX$4,0))*1000</f>
        <v>0</v>
      </c>
      <c r="CT253" s="250">
        <f>INDEX(연료전지_원본!$KB$4:$KX$369,MATCH($A253,연료전지_원본!$KB$4:$KB$369,0), MATCH(CT$4,연료전지_원본!$KB$4:$KX$4,0))*1000</f>
        <v>0</v>
      </c>
      <c r="CU253" s="250">
        <f>INDEX(연료전지_원본!$KB$4:$KX$369,MATCH($A253,연료전지_원본!$KB$4:$KB$369,0), MATCH(CU$4,연료전지_원본!$KB$4:$KX$4,0))*1000</f>
        <v>0</v>
      </c>
      <c r="CV253" s="250">
        <f>INDEX(연료전지_원본!$KB$4:$KX$369,MATCH($A253,연료전지_원본!$KB$4:$KB$369,0), MATCH(CV$4,연료전지_원본!$KB$4:$KX$4,0))*1000</f>
        <v>0</v>
      </c>
      <c r="CW253" s="250">
        <f>INDEX(연료전지_원본!$KB$4:$KX$369,MATCH($A253,연료전지_원본!$KB$4:$KB$369,0), MATCH(CW$4,연료전지_원본!$KB$4:$KX$4,0))*1000</f>
        <v>0</v>
      </c>
      <c r="CX253" s="250">
        <f>INDEX(연료전지_원본!$KB$4:$KX$369,MATCH($A253,연료전지_원본!$KB$4:$KB$369,0), MATCH(CX$4,연료전지_원본!$KB$4:$KX$4,0))*1000</f>
        <v>0</v>
      </c>
      <c r="CY253" s="250">
        <f>INDEX(연료전지_원본!$KB$4:$KX$369,MATCH($A253,연료전지_원본!$KB$4:$KB$369,0), MATCH(CY$4,연료전지_원본!$KB$4:$KX$4,0))*1000</f>
        <v>0</v>
      </c>
      <c r="DV253" s="30">
        <f t="shared" si="1285"/>
        <v>0</v>
      </c>
    </row>
    <row r="254" spans="1:126">
      <c r="A254" s="6">
        <v>46271</v>
      </c>
      <c r="B254" s="15">
        <f>운전실적_원본!B254</f>
        <v>0</v>
      </c>
      <c r="C254" s="16" t="str">
        <f t="shared" si="1291"/>
        <v/>
      </c>
      <c r="D254" s="12">
        <f>운전실적_원본!C254</f>
        <v>0</v>
      </c>
      <c r="E254" s="12" t="str">
        <f t="shared" si="1292"/>
        <v/>
      </c>
      <c r="F254" s="12">
        <f>운전실적_원본!D254</f>
        <v>0</v>
      </c>
      <c r="G254" s="16" t="str">
        <f t="shared" si="1293"/>
        <v/>
      </c>
      <c r="H254" s="15">
        <f>운전실적_원본!E254</f>
        <v>0</v>
      </c>
      <c r="I254" s="16" t="str">
        <f t="shared" si="1294"/>
        <v/>
      </c>
      <c r="J254" s="15">
        <f>운전실적_원본!F254</f>
        <v>0</v>
      </c>
      <c r="K254" s="16" t="str">
        <f t="shared" si="1294"/>
        <v/>
      </c>
      <c r="L254" s="32">
        <f>운전실적_원본!G254</f>
        <v>0</v>
      </c>
      <c r="M254" s="31" t="str">
        <f t="shared" ref="M254" si="1406">IF(OR(LEN(L254)=0,L254=0),"",L254-L253)</f>
        <v/>
      </c>
      <c r="N254" s="15">
        <f>운전실적_원본!H254</f>
        <v>0</v>
      </c>
      <c r="O254" s="16" t="str">
        <f t="shared" ref="O254" si="1407">IF(OR(LEN(N254)=0,N254=0),"",N254-N253)</f>
        <v/>
      </c>
      <c r="P254" s="15">
        <f>운전실적_원본!I254</f>
        <v>0</v>
      </c>
      <c r="Q254" s="16" t="str">
        <f t="shared" ref="Q254" si="1408">IF(OR(LEN(P254)=0,P254=0),"",P254-P253)</f>
        <v/>
      </c>
      <c r="R254" s="18">
        <f>운전실적_원본!J254</f>
        <v>0</v>
      </c>
      <c r="S254" s="19" t="str">
        <f t="shared" ref="S254" si="1409">IF(OR(LEN(R254)=0,R254=0),"",R254-R253)</f>
        <v/>
      </c>
      <c r="T254" s="18">
        <f>운전실적_원본!K254</f>
        <v>0</v>
      </c>
      <c r="U254" s="19" t="str">
        <f t="shared" si="1299"/>
        <v/>
      </c>
      <c r="V254" s="12">
        <f>운전실적_원본!L254</f>
        <v>0</v>
      </c>
      <c r="W254" s="16" t="str">
        <f t="shared" ref="W254" si="1410">IF(OR(LEN(V254)=0,V254=0),"",V254-V253)</f>
        <v/>
      </c>
      <c r="X254" s="10">
        <f>운전실적_원본!M254</f>
        <v>0</v>
      </c>
      <c r="Y254" s="10">
        <f>운전실적_원본!N254</f>
        <v>0</v>
      </c>
      <c r="Z254" s="10">
        <f>운전실적_원본!O254</f>
        <v>0</v>
      </c>
      <c r="AA254" s="10">
        <f>운전실적_원본!P254</f>
        <v>0</v>
      </c>
      <c r="AB254" s="10">
        <f>운전실적_원본!Q254</f>
        <v>0</v>
      </c>
      <c r="AC254" s="20">
        <f>운전실적_원본!R254</f>
        <v>0</v>
      </c>
      <c r="AD254" s="109">
        <f>운전실적_원본!S254</f>
        <v>0</v>
      </c>
      <c r="AE254" s="110">
        <f>운전실적_원본!T254</f>
        <v>0</v>
      </c>
      <c r="AF254" s="110">
        <f>운전실적_원본!U254</f>
        <v>0</v>
      </c>
      <c r="AG254" s="110">
        <f>운전실적_원본!V254</f>
        <v>0</v>
      </c>
      <c r="AH254" s="109">
        <f t="shared" si="1122"/>
        <v>0</v>
      </c>
      <c r="AI254" s="110">
        <f t="shared" si="1129"/>
        <v>0</v>
      </c>
      <c r="AJ254" s="110">
        <f>운전실적_원본!Y254</f>
        <v>0</v>
      </c>
      <c r="AK254" s="110">
        <f>운전실적_원본!Z254</f>
        <v>0</v>
      </c>
      <c r="AL254" s="106"/>
      <c r="AM254" s="105"/>
      <c r="AN254" s="105"/>
      <c r="AO254" s="105"/>
      <c r="AP254" s="105"/>
      <c r="AQ254" s="108"/>
      <c r="AR254" s="105"/>
      <c r="AS254" s="105"/>
      <c r="AT254" s="102"/>
      <c r="AU254" s="102"/>
      <c r="AV254" s="102"/>
      <c r="AW254" s="102"/>
      <c r="AX254" s="32">
        <f>운전실적_원본!W254</f>
        <v>0</v>
      </c>
      <c r="AY254" s="11">
        <f>운전실적_원본!X254</f>
        <v>0</v>
      </c>
      <c r="AZ254" s="11">
        <f>운전실적_원본!Y254</f>
        <v>0</v>
      </c>
      <c r="BA254" s="11">
        <f>운전실적_원본!Z254</f>
        <v>0</v>
      </c>
      <c r="BB254" s="11">
        <f>운전실적_원본!AA254</f>
        <v>0</v>
      </c>
      <c r="BC254" s="11">
        <f>운전실적_원본!AB254</f>
        <v>0</v>
      </c>
      <c r="BD254" s="32" t="str">
        <f t="shared" si="1115"/>
        <v>-</v>
      </c>
      <c r="BE254" s="11" t="str">
        <f t="shared" si="1123"/>
        <v>-</v>
      </c>
      <c r="BF254" s="11">
        <f>운전실적_원본!AE254</f>
        <v>0</v>
      </c>
      <c r="BG254" s="31">
        <f t="shared" si="1116"/>
        <v>0</v>
      </c>
      <c r="BH254" s="241">
        <f>INDEX(연료전지_원본!$A$4:$KY$369,MATCH($A254,연료전지_원본!$A$4:$A$369,0),MATCH($BH$4,연료전지_원본!$A$4:$KY$4,0))</f>
        <v>0</v>
      </c>
      <c r="BI254" s="241">
        <f>INDEX(연료전지_원본!$A$4:$KY$369,MATCH($A254,연료전지_원본!$A$4:$A$369,0),MATCH($BI$4,연료전지_원본!$A$4:$KY$4,0))</f>
        <v>0</v>
      </c>
      <c r="BJ254" s="241">
        <f>INDEX(연료전지_원본!$A$4:$KY$369,MATCH($A254,연료전지_원본!$A$4:$A$369,0),MATCH($BJ$4,연료전지_원본!$A$4:$KY$4,0))</f>
        <v>0</v>
      </c>
      <c r="BK254" s="241">
        <f>INDEX(연료전지_원본!$A$4:$KY$369,MATCH($A254,연료전지_원본!$A$4:$A$369,0),MATCH($BK$4,연료전지_원본!$A$4:$KY$4,0))</f>
        <v>0</v>
      </c>
      <c r="BL254" s="241">
        <f>INDEX(연료전지_원본!$A$4:$KY$369,MATCH($A254,연료전지_원본!$A$4:$A$369,0),MATCH($BL$4,연료전지_원본!$A$4:$KY$4,0))</f>
        <v>0</v>
      </c>
      <c r="BM254" s="241">
        <f>INDEX(연료전지_원본!$A$4:$KY$369,MATCH($A254,연료전지_원본!$A$4:$A$369,0),MATCH($BM$4,연료전지_원본!$A$4:$KY$4,0))</f>
        <v>0</v>
      </c>
      <c r="BN254" s="241">
        <f>INDEX(연료전지_원본!$A$4:$KY$369,MATCH($A254,연료전지_원본!$A$4:$A$369,0),MATCH($BN$4,연료전지_원본!$A$4:$KY$4,0))</f>
        <v>0</v>
      </c>
      <c r="BO254" s="241">
        <f>INDEX(연료전지_원본!$A$4:$KY$369,MATCH($A254,연료전지_원본!$A$4:$A$369,0),MATCH($BO$4,연료전지_원본!$A$4:$KY$4,0))</f>
        <v>0</v>
      </c>
      <c r="BP254" s="241">
        <f>INDEX(연료전지_원본!$A$4:$KY$369,MATCH($A254,연료전지_원본!$A$4:$A$369,0),MATCH($BP$4,연료전지_원본!$A$4:$KY$4,0))</f>
        <v>0</v>
      </c>
      <c r="BQ254" s="241">
        <f>INDEX(연료전지_원본!$A$4:$KY$369,MATCH($A254,연료전지_원본!$A$4:$A$369,0),MATCH($BQ$4,연료전지_원본!$A$4:$KY$4,0))</f>
        <v>0</v>
      </c>
      <c r="BR254" s="241">
        <f>INDEX(연료전지_원본!$A$4:$KY$369,MATCH($A254,연료전지_원본!$A$4:$A$369,0),MATCH($BR$4,연료전지_원본!$A$4:$KY$4,0))</f>
        <v>0</v>
      </c>
      <c r="BS254" s="241">
        <f>INDEX(연료전지_원본!$A$4:$KY$369,MATCH($A254,연료전지_원본!$A$4:$A$369,0),MATCH($BS$4,연료전지_원본!$A$4:$KY$4,0))</f>
        <v>0</v>
      </c>
      <c r="BT254" s="241">
        <f>INDEX(연료전지_원본!$A$4:$KY$369,MATCH($A254,연료전지_원본!$A$4:$A$369,0),MATCH($BT$4,연료전지_원본!$A$4:$KY$4,0))</f>
        <v>0</v>
      </c>
      <c r="BU254" s="241">
        <f>INDEX(연료전지_원본!$A$4:$KY$369,MATCH($A254,연료전지_원본!$A$4:$A$369,0),MATCH($BU$4,연료전지_원본!$A$4:$KY$4,0))</f>
        <v>0</v>
      </c>
      <c r="BV254" s="241">
        <f>INDEX(연료전지_원본!$A$4:$KY$369,MATCH($A254,연료전지_원본!$A$4:$A$369,0),MATCH($BV$4,연료전지_원본!$A$4:$KY$4,0))</f>
        <v>0</v>
      </c>
      <c r="BW254" s="241">
        <f>INDEX(연료전지_원본!$A$4:$KY$369,MATCH($A254,연료전지_원본!$A$4:$A$369,0),MATCH($BW$4,연료전지_원본!$A$4:$KY$4,0))</f>
        <v>0</v>
      </c>
      <c r="BX254" s="241">
        <f>INDEX(연료전지_원본!$A$4:$KY$369,MATCH($A254,연료전지_원본!$A$4:$A$369,0),MATCH($BX$4,연료전지_원본!$A$4:$KY$4,0))</f>
        <v>0</v>
      </c>
      <c r="BY254" s="241">
        <f>INDEX(연료전지_원본!$A$4:$KY$369,MATCH($A254,연료전지_원본!$A$4:$A$369,0),MATCH($BY$4,연료전지_원본!$A$4:$KY$4,0))</f>
        <v>0</v>
      </c>
      <c r="BZ254" s="241">
        <f>INDEX(연료전지_원본!$A$4:$KY$369,MATCH($A254,연료전지_원본!$A$4:$A$369,0),MATCH($BZ$4,연료전지_원본!$A$4:$KY$4,0))</f>
        <v>0</v>
      </c>
      <c r="CA254" s="241">
        <f>INDEX(연료전지_원본!$A$4:$KY$369,MATCH($A254,연료전지_원본!$A$4:$A$369,0),MATCH($CA$4,연료전지_원본!$A$4:$KY$4,0))</f>
        <v>0</v>
      </c>
      <c r="CB254" s="241">
        <f>INDEX(연료전지_원본!$A$4:$KY$369,MATCH($A254,연료전지_원본!$A$4:$A$369,0),MATCH($CB$4,연료전지_원본!$A$4:$KY$4,0))</f>
        <v>0</v>
      </c>
      <c r="CC254" s="242">
        <f>INDEX(연료전지_원본!$A$4:$KY$369,MATCH($A254,연료전지_원본!$A$4:$A$369,0),MATCH($CC$4,연료전지_원본!$A$4:$KY$4,0))</f>
        <v>0</v>
      </c>
      <c r="CD254" s="250">
        <f>INDEX(연료전지_원본!$KB$4:$KX$369,MATCH($A254,연료전지_원본!$KB$4:$KB$369,0), MATCH(CD$4,연료전지_원본!$KB$4:$KX$4,0))*1000</f>
        <v>0</v>
      </c>
      <c r="CE254" s="250">
        <f>INDEX(연료전지_원본!$KB$4:$KX$369,MATCH($A254,연료전지_원본!$KB$4:$KB$369,0), MATCH(CE$4,연료전지_원본!$KB$4:$KX$4,0))*1000</f>
        <v>0</v>
      </c>
      <c r="CF254" s="250">
        <f>INDEX(연료전지_원본!$KB$4:$KX$369,MATCH($A254,연료전지_원본!$KB$4:$KB$369,0), MATCH(CF$4,연료전지_원본!$KB$4:$KX$4,0))*1000</f>
        <v>0</v>
      </c>
      <c r="CG254" s="250">
        <f>INDEX(연료전지_원본!$KB$4:$KX$369,MATCH($A254,연료전지_원본!$KB$4:$KB$369,0), MATCH(CG$4,연료전지_원본!$KB$4:$KX$4,0))*1000</f>
        <v>0</v>
      </c>
      <c r="CH254" s="250">
        <f>INDEX(연료전지_원본!$KB$4:$KX$369,MATCH($A254,연료전지_원본!$KB$4:$KB$369,0), MATCH(CH$4,연료전지_원본!$KB$4:$KX$4,0))*1000</f>
        <v>0</v>
      </c>
      <c r="CI254" s="250">
        <f>INDEX(연료전지_원본!$KB$4:$KX$369,MATCH($A254,연료전지_원본!$KB$4:$KB$369,0), MATCH(CI$4,연료전지_원본!$KB$4:$KX$4,0))*1000</f>
        <v>0</v>
      </c>
      <c r="CJ254" s="250">
        <f>INDEX(연료전지_원본!$KB$4:$KX$369,MATCH($A254,연료전지_원본!$KB$4:$KB$369,0), MATCH(CJ$4,연료전지_원본!$KB$4:$KX$4,0))*1000</f>
        <v>0</v>
      </c>
      <c r="CK254" s="250">
        <f>INDEX(연료전지_원본!$KB$4:$KX$369,MATCH($A254,연료전지_원본!$KB$4:$KB$369,0), MATCH(CK$4,연료전지_원본!$KB$4:$KX$4,0))*1000</f>
        <v>0</v>
      </c>
      <c r="CL254" s="250">
        <f>INDEX(연료전지_원본!$KB$4:$KX$369,MATCH($A254,연료전지_원본!$KB$4:$KB$369,0), MATCH(CL$4,연료전지_원본!$KB$4:$KX$4,0))*1000</f>
        <v>0</v>
      </c>
      <c r="CM254" s="250">
        <f>INDEX(연료전지_원본!$KB$4:$KX$369,MATCH($A254,연료전지_원본!$KB$4:$KB$369,0), MATCH(CM$4,연료전지_원본!$KB$4:$KX$4,0))*1000</f>
        <v>0</v>
      </c>
      <c r="CN254" s="250">
        <f>INDEX(연료전지_원본!$KB$4:$KX$369,MATCH($A254,연료전지_원본!$KB$4:$KB$369,0), MATCH(CN$4,연료전지_원본!$KB$4:$KX$4,0))*1000</f>
        <v>0</v>
      </c>
      <c r="CO254" s="250">
        <f>INDEX(연료전지_원본!$KB$4:$KX$369,MATCH($A254,연료전지_원본!$KB$4:$KB$369,0), MATCH(CO$4,연료전지_원본!$KB$4:$KX$4,0))*1000</f>
        <v>0</v>
      </c>
      <c r="CP254" s="250">
        <f>INDEX(연료전지_원본!$KB$4:$KX$369,MATCH($A254,연료전지_원본!$KB$4:$KB$369,0), MATCH(CP$4,연료전지_원본!$KB$4:$KX$4,0))*1000</f>
        <v>0</v>
      </c>
      <c r="CQ254" s="250">
        <f>INDEX(연료전지_원본!$KB$4:$KX$369,MATCH($A254,연료전지_원본!$KB$4:$KB$369,0), MATCH(CQ$4,연료전지_원본!$KB$4:$KX$4,0))*1000</f>
        <v>0</v>
      </c>
      <c r="CR254" s="250">
        <f>INDEX(연료전지_원본!$KB$4:$KX$369,MATCH($A254,연료전지_원본!$KB$4:$KB$369,0), MATCH(CR$4,연료전지_원본!$KB$4:$KX$4,0))*1000</f>
        <v>0</v>
      </c>
      <c r="CS254" s="250">
        <f>INDEX(연료전지_원본!$KB$4:$KX$369,MATCH($A254,연료전지_원본!$KB$4:$KB$369,0), MATCH(CS$4,연료전지_원본!$KB$4:$KX$4,0))*1000</f>
        <v>0</v>
      </c>
      <c r="CT254" s="250">
        <f>INDEX(연료전지_원본!$KB$4:$KX$369,MATCH($A254,연료전지_원본!$KB$4:$KB$369,0), MATCH(CT$4,연료전지_원본!$KB$4:$KX$4,0))*1000</f>
        <v>0</v>
      </c>
      <c r="CU254" s="250">
        <f>INDEX(연료전지_원본!$KB$4:$KX$369,MATCH($A254,연료전지_원본!$KB$4:$KB$369,0), MATCH(CU$4,연료전지_원본!$KB$4:$KX$4,0))*1000</f>
        <v>0</v>
      </c>
      <c r="CV254" s="250">
        <f>INDEX(연료전지_원본!$KB$4:$KX$369,MATCH($A254,연료전지_원본!$KB$4:$KB$369,0), MATCH(CV$4,연료전지_원본!$KB$4:$KX$4,0))*1000</f>
        <v>0</v>
      </c>
      <c r="CW254" s="250">
        <f>INDEX(연료전지_원본!$KB$4:$KX$369,MATCH($A254,연료전지_원본!$KB$4:$KB$369,0), MATCH(CW$4,연료전지_원본!$KB$4:$KX$4,0))*1000</f>
        <v>0</v>
      </c>
      <c r="CX254" s="250">
        <f>INDEX(연료전지_원본!$KB$4:$KX$369,MATCH($A254,연료전지_원본!$KB$4:$KB$369,0), MATCH(CX$4,연료전지_원본!$KB$4:$KX$4,0))*1000</f>
        <v>0</v>
      </c>
      <c r="CY254" s="250">
        <f>INDEX(연료전지_원본!$KB$4:$KX$369,MATCH($A254,연료전지_원본!$KB$4:$KB$369,0), MATCH(CY$4,연료전지_원본!$KB$4:$KX$4,0))*1000</f>
        <v>0</v>
      </c>
      <c r="DV254" s="30">
        <f t="shared" si="1285"/>
        <v>0</v>
      </c>
    </row>
    <row r="255" spans="1:126">
      <c r="A255" s="6">
        <v>46272</v>
      </c>
      <c r="B255" s="15">
        <f>운전실적_원본!B255</f>
        <v>0</v>
      </c>
      <c r="C255" s="16" t="str">
        <f t="shared" si="1291"/>
        <v/>
      </c>
      <c r="D255" s="12">
        <f>운전실적_원본!C255</f>
        <v>0</v>
      </c>
      <c r="E255" s="12" t="str">
        <f t="shared" si="1292"/>
        <v/>
      </c>
      <c r="F255" s="12">
        <f>운전실적_원본!D255</f>
        <v>0</v>
      </c>
      <c r="G255" s="16" t="str">
        <f t="shared" si="1293"/>
        <v/>
      </c>
      <c r="H255" s="15">
        <f>운전실적_원본!E255</f>
        <v>0</v>
      </c>
      <c r="I255" s="16" t="str">
        <f t="shared" si="1294"/>
        <v/>
      </c>
      <c r="J255" s="15">
        <f>운전실적_원본!F255</f>
        <v>0</v>
      </c>
      <c r="K255" s="16" t="str">
        <f t="shared" si="1294"/>
        <v/>
      </c>
      <c r="L255" s="32">
        <f>운전실적_원본!G255</f>
        <v>0</v>
      </c>
      <c r="M255" s="31" t="str">
        <f t="shared" ref="M255" si="1411">IF(OR(LEN(L255)=0,L255=0),"",L255-L254)</f>
        <v/>
      </c>
      <c r="N255" s="15">
        <f>운전실적_원본!H255</f>
        <v>0</v>
      </c>
      <c r="O255" s="16" t="str">
        <f t="shared" ref="O255" si="1412">IF(OR(LEN(N255)=0,N255=0),"",N255-N254)</f>
        <v/>
      </c>
      <c r="P255" s="15">
        <f>운전실적_원본!I255</f>
        <v>0</v>
      </c>
      <c r="Q255" s="16" t="str">
        <f t="shared" ref="Q255" si="1413">IF(OR(LEN(P255)=0,P255=0),"",P255-P254)</f>
        <v/>
      </c>
      <c r="R255" s="18">
        <f>운전실적_원본!J255</f>
        <v>0</v>
      </c>
      <c r="S255" s="19" t="str">
        <f t="shared" ref="S255" si="1414">IF(OR(LEN(R255)=0,R255=0),"",R255-R254)</f>
        <v/>
      </c>
      <c r="T255" s="18">
        <f>운전실적_원본!K255</f>
        <v>0</v>
      </c>
      <c r="U255" s="19" t="str">
        <f t="shared" si="1299"/>
        <v/>
      </c>
      <c r="V255" s="12">
        <f>운전실적_원본!L255</f>
        <v>0</v>
      </c>
      <c r="W255" s="16" t="str">
        <f t="shared" ref="W255" si="1415">IF(OR(LEN(V255)=0,V255=0),"",V255-V254)</f>
        <v/>
      </c>
      <c r="X255" s="10">
        <f>운전실적_원본!M255</f>
        <v>0</v>
      </c>
      <c r="Y255" s="10">
        <f>운전실적_원본!N255</f>
        <v>0</v>
      </c>
      <c r="Z255" s="10">
        <f>운전실적_원본!O255</f>
        <v>0</v>
      </c>
      <c r="AA255" s="10">
        <f>운전실적_원본!P255</f>
        <v>0</v>
      </c>
      <c r="AB255" s="10">
        <f>운전실적_원본!Q255</f>
        <v>0</v>
      </c>
      <c r="AC255" s="20">
        <f>운전실적_원본!R255</f>
        <v>0</v>
      </c>
      <c r="AD255" s="109">
        <f>운전실적_원본!S255</f>
        <v>0</v>
      </c>
      <c r="AE255" s="110">
        <f>운전실적_원본!T255</f>
        <v>0</v>
      </c>
      <c r="AF255" s="110">
        <f>운전실적_원본!U255</f>
        <v>0</v>
      </c>
      <c r="AG255" s="110">
        <f>운전실적_원본!V255</f>
        <v>0</v>
      </c>
      <c r="AH255" s="109">
        <f t="shared" si="1122"/>
        <v>0</v>
      </c>
      <c r="AI255" s="110">
        <f t="shared" si="1129"/>
        <v>0</v>
      </c>
      <c r="AJ255" s="110">
        <f>운전실적_원본!Y255</f>
        <v>0</v>
      </c>
      <c r="AK255" s="110">
        <f>운전실적_원본!Z255</f>
        <v>0</v>
      </c>
      <c r="AL255" s="106"/>
      <c r="AM255" s="105"/>
      <c r="AN255" s="105"/>
      <c r="AO255" s="105"/>
      <c r="AP255" s="105"/>
      <c r="AQ255" s="108"/>
      <c r="AR255" s="105"/>
      <c r="AS255" s="105"/>
      <c r="AT255" s="102"/>
      <c r="AU255" s="102"/>
      <c r="AV255" s="102"/>
      <c r="AW255" s="102"/>
      <c r="AX255" s="32">
        <f>운전실적_원본!W255</f>
        <v>0</v>
      </c>
      <c r="AY255" s="11">
        <f>운전실적_원본!X255</f>
        <v>0</v>
      </c>
      <c r="AZ255" s="11">
        <f>운전실적_원본!Y255</f>
        <v>0</v>
      </c>
      <c r="BA255" s="11">
        <f>운전실적_원본!Z255</f>
        <v>0</v>
      </c>
      <c r="BB255" s="11">
        <f>운전실적_원본!AA255</f>
        <v>0</v>
      </c>
      <c r="BC255" s="11">
        <f>운전실적_원본!AB255</f>
        <v>0</v>
      </c>
      <c r="BD255" s="32" t="str">
        <f t="shared" si="1115"/>
        <v>-</v>
      </c>
      <c r="BE255" s="11" t="str">
        <f t="shared" si="1123"/>
        <v>-</v>
      </c>
      <c r="BF255" s="11">
        <f>운전실적_원본!AE255</f>
        <v>0</v>
      </c>
      <c r="BG255" s="31">
        <f t="shared" si="1116"/>
        <v>0</v>
      </c>
      <c r="BH255" s="241">
        <f>INDEX(연료전지_원본!$A$4:$KY$369,MATCH($A255,연료전지_원본!$A$4:$A$369,0),MATCH($BH$4,연료전지_원본!$A$4:$KY$4,0))</f>
        <v>0</v>
      </c>
      <c r="BI255" s="241">
        <f>INDEX(연료전지_원본!$A$4:$KY$369,MATCH($A255,연료전지_원본!$A$4:$A$369,0),MATCH($BI$4,연료전지_원본!$A$4:$KY$4,0))</f>
        <v>0</v>
      </c>
      <c r="BJ255" s="241">
        <f>INDEX(연료전지_원본!$A$4:$KY$369,MATCH($A255,연료전지_원본!$A$4:$A$369,0),MATCH($BJ$4,연료전지_원본!$A$4:$KY$4,0))</f>
        <v>0</v>
      </c>
      <c r="BK255" s="241">
        <f>INDEX(연료전지_원본!$A$4:$KY$369,MATCH($A255,연료전지_원본!$A$4:$A$369,0),MATCH($BK$4,연료전지_원본!$A$4:$KY$4,0))</f>
        <v>0</v>
      </c>
      <c r="BL255" s="241">
        <f>INDEX(연료전지_원본!$A$4:$KY$369,MATCH($A255,연료전지_원본!$A$4:$A$369,0),MATCH($BL$4,연료전지_원본!$A$4:$KY$4,0))</f>
        <v>0</v>
      </c>
      <c r="BM255" s="241">
        <f>INDEX(연료전지_원본!$A$4:$KY$369,MATCH($A255,연료전지_원본!$A$4:$A$369,0),MATCH($BM$4,연료전지_원본!$A$4:$KY$4,0))</f>
        <v>0</v>
      </c>
      <c r="BN255" s="241">
        <f>INDEX(연료전지_원본!$A$4:$KY$369,MATCH($A255,연료전지_원본!$A$4:$A$369,0),MATCH($BN$4,연료전지_원본!$A$4:$KY$4,0))</f>
        <v>0</v>
      </c>
      <c r="BO255" s="241">
        <f>INDEX(연료전지_원본!$A$4:$KY$369,MATCH($A255,연료전지_원본!$A$4:$A$369,0),MATCH($BO$4,연료전지_원본!$A$4:$KY$4,0))</f>
        <v>0</v>
      </c>
      <c r="BP255" s="241">
        <f>INDEX(연료전지_원본!$A$4:$KY$369,MATCH($A255,연료전지_원본!$A$4:$A$369,0),MATCH($BP$4,연료전지_원본!$A$4:$KY$4,0))</f>
        <v>0</v>
      </c>
      <c r="BQ255" s="241">
        <f>INDEX(연료전지_원본!$A$4:$KY$369,MATCH($A255,연료전지_원본!$A$4:$A$369,0),MATCH($BQ$4,연료전지_원본!$A$4:$KY$4,0))</f>
        <v>0</v>
      </c>
      <c r="BR255" s="241">
        <f>INDEX(연료전지_원본!$A$4:$KY$369,MATCH($A255,연료전지_원본!$A$4:$A$369,0),MATCH($BR$4,연료전지_원본!$A$4:$KY$4,0))</f>
        <v>0</v>
      </c>
      <c r="BS255" s="241">
        <f>INDEX(연료전지_원본!$A$4:$KY$369,MATCH($A255,연료전지_원본!$A$4:$A$369,0),MATCH($BS$4,연료전지_원본!$A$4:$KY$4,0))</f>
        <v>0</v>
      </c>
      <c r="BT255" s="241">
        <f>INDEX(연료전지_원본!$A$4:$KY$369,MATCH($A255,연료전지_원본!$A$4:$A$369,0),MATCH($BT$4,연료전지_원본!$A$4:$KY$4,0))</f>
        <v>0</v>
      </c>
      <c r="BU255" s="241">
        <f>INDEX(연료전지_원본!$A$4:$KY$369,MATCH($A255,연료전지_원본!$A$4:$A$369,0),MATCH($BU$4,연료전지_원본!$A$4:$KY$4,0))</f>
        <v>0</v>
      </c>
      <c r="BV255" s="241">
        <f>INDEX(연료전지_원본!$A$4:$KY$369,MATCH($A255,연료전지_원본!$A$4:$A$369,0),MATCH($BV$4,연료전지_원본!$A$4:$KY$4,0))</f>
        <v>0</v>
      </c>
      <c r="BW255" s="241">
        <f>INDEX(연료전지_원본!$A$4:$KY$369,MATCH($A255,연료전지_원본!$A$4:$A$369,0),MATCH($BW$4,연료전지_원본!$A$4:$KY$4,0))</f>
        <v>0</v>
      </c>
      <c r="BX255" s="241">
        <f>INDEX(연료전지_원본!$A$4:$KY$369,MATCH($A255,연료전지_원본!$A$4:$A$369,0),MATCH($BX$4,연료전지_원본!$A$4:$KY$4,0))</f>
        <v>0</v>
      </c>
      <c r="BY255" s="241">
        <f>INDEX(연료전지_원본!$A$4:$KY$369,MATCH($A255,연료전지_원본!$A$4:$A$369,0),MATCH($BY$4,연료전지_원본!$A$4:$KY$4,0))</f>
        <v>0</v>
      </c>
      <c r="BZ255" s="241">
        <f>INDEX(연료전지_원본!$A$4:$KY$369,MATCH($A255,연료전지_원본!$A$4:$A$369,0),MATCH($BZ$4,연료전지_원본!$A$4:$KY$4,0))</f>
        <v>0</v>
      </c>
      <c r="CA255" s="241">
        <f>INDEX(연료전지_원본!$A$4:$KY$369,MATCH($A255,연료전지_원본!$A$4:$A$369,0),MATCH($CA$4,연료전지_원본!$A$4:$KY$4,0))</f>
        <v>0</v>
      </c>
      <c r="CB255" s="241">
        <f>INDEX(연료전지_원본!$A$4:$KY$369,MATCH($A255,연료전지_원본!$A$4:$A$369,0),MATCH($CB$4,연료전지_원본!$A$4:$KY$4,0))</f>
        <v>0</v>
      </c>
      <c r="CC255" s="242">
        <f>INDEX(연료전지_원본!$A$4:$KY$369,MATCH($A255,연료전지_원본!$A$4:$A$369,0),MATCH($CC$4,연료전지_원본!$A$4:$KY$4,0))</f>
        <v>0</v>
      </c>
      <c r="CD255" s="250">
        <f>INDEX(연료전지_원본!$KB$4:$KX$369,MATCH($A255,연료전지_원본!$KB$4:$KB$369,0), MATCH(CD$4,연료전지_원본!$KB$4:$KX$4,0))*1000</f>
        <v>0</v>
      </c>
      <c r="CE255" s="250">
        <f>INDEX(연료전지_원본!$KB$4:$KX$369,MATCH($A255,연료전지_원본!$KB$4:$KB$369,0), MATCH(CE$4,연료전지_원본!$KB$4:$KX$4,0))*1000</f>
        <v>0</v>
      </c>
      <c r="CF255" s="250">
        <f>INDEX(연료전지_원본!$KB$4:$KX$369,MATCH($A255,연료전지_원본!$KB$4:$KB$369,0), MATCH(CF$4,연료전지_원본!$KB$4:$KX$4,0))*1000</f>
        <v>0</v>
      </c>
      <c r="CG255" s="250">
        <f>INDEX(연료전지_원본!$KB$4:$KX$369,MATCH($A255,연료전지_원본!$KB$4:$KB$369,0), MATCH(CG$4,연료전지_원본!$KB$4:$KX$4,0))*1000</f>
        <v>0</v>
      </c>
      <c r="CH255" s="250">
        <f>INDEX(연료전지_원본!$KB$4:$KX$369,MATCH($A255,연료전지_원본!$KB$4:$KB$369,0), MATCH(CH$4,연료전지_원본!$KB$4:$KX$4,0))*1000</f>
        <v>0</v>
      </c>
      <c r="CI255" s="250">
        <f>INDEX(연료전지_원본!$KB$4:$KX$369,MATCH($A255,연료전지_원본!$KB$4:$KB$369,0), MATCH(CI$4,연료전지_원본!$KB$4:$KX$4,0))*1000</f>
        <v>0</v>
      </c>
      <c r="CJ255" s="250">
        <f>INDEX(연료전지_원본!$KB$4:$KX$369,MATCH($A255,연료전지_원본!$KB$4:$KB$369,0), MATCH(CJ$4,연료전지_원본!$KB$4:$KX$4,0))*1000</f>
        <v>0</v>
      </c>
      <c r="CK255" s="250">
        <f>INDEX(연료전지_원본!$KB$4:$KX$369,MATCH($A255,연료전지_원본!$KB$4:$KB$369,0), MATCH(CK$4,연료전지_원본!$KB$4:$KX$4,0))*1000</f>
        <v>0</v>
      </c>
      <c r="CL255" s="250">
        <f>INDEX(연료전지_원본!$KB$4:$KX$369,MATCH($A255,연료전지_원본!$KB$4:$KB$369,0), MATCH(CL$4,연료전지_원본!$KB$4:$KX$4,0))*1000</f>
        <v>0</v>
      </c>
      <c r="CM255" s="250">
        <f>INDEX(연료전지_원본!$KB$4:$KX$369,MATCH($A255,연료전지_원본!$KB$4:$KB$369,0), MATCH(CM$4,연료전지_원본!$KB$4:$KX$4,0))*1000</f>
        <v>0</v>
      </c>
      <c r="CN255" s="250">
        <f>INDEX(연료전지_원본!$KB$4:$KX$369,MATCH($A255,연료전지_원본!$KB$4:$KB$369,0), MATCH(CN$4,연료전지_원본!$KB$4:$KX$4,0))*1000</f>
        <v>0</v>
      </c>
      <c r="CO255" s="250">
        <f>INDEX(연료전지_원본!$KB$4:$KX$369,MATCH($A255,연료전지_원본!$KB$4:$KB$369,0), MATCH(CO$4,연료전지_원본!$KB$4:$KX$4,0))*1000</f>
        <v>0</v>
      </c>
      <c r="CP255" s="250">
        <f>INDEX(연료전지_원본!$KB$4:$KX$369,MATCH($A255,연료전지_원본!$KB$4:$KB$369,0), MATCH(CP$4,연료전지_원본!$KB$4:$KX$4,0))*1000</f>
        <v>0</v>
      </c>
      <c r="CQ255" s="250">
        <f>INDEX(연료전지_원본!$KB$4:$KX$369,MATCH($A255,연료전지_원본!$KB$4:$KB$369,0), MATCH(CQ$4,연료전지_원본!$KB$4:$KX$4,0))*1000</f>
        <v>0</v>
      </c>
      <c r="CR255" s="250">
        <f>INDEX(연료전지_원본!$KB$4:$KX$369,MATCH($A255,연료전지_원본!$KB$4:$KB$369,0), MATCH(CR$4,연료전지_원본!$KB$4:$KX$4,0))*1000</f>
        <v>0</v>
      </c>
      <c r="CS255" s="250">
        <f>INDEX(연료전지_원본!$KB$4:$KX$369,MATCH($A255,연료전지_원본!$KB$4:$KB$369,0), MATCH(CS$4,연료전지_원본!$KB$4:$KX$4,0))*1000</f>
        <v>0</v>
      </c>
      <c r="CT255" s="250">
        <f>INDEX(연료전지_원본!$KB$4:$KX$369,MATCH($A255,연료전지_원본!$KB$4:$KB$369,0), MATCH(CT$4,연료전지_원본!$KB$4:$KX$4,0))*1000</f>
        <v>0</v>
      </c>
      <c r="CU255" s="250">
        <f>INDEX(연료전지_원본!$KB$4:$KX$369,MATCH($A255,연료전지_원본!$KB$4:$KB$369,0), MATCH(CU$4,연료전지_원본!$KB$4:$KX$4,0))*1000</f>
        <v>0</v>
      </c>
      <c r="CV255" s="250">
        <f>INDEX(연료전지_원본!$KB$4:$KX$369,MATCH($A255,연료전지_원본!$KB$4:$KB$369,0), MATCH(CV$4,연료전지_원본!$KB$4:$KX$4,0))*1000</f>
        <v>0</v>
      </c>
      <c r="CW255" s="250">
        <f>INDEX(연료전지_원본!$KB$4:$KX$369,MATCH($A255,연료전지_원본!$KB$4:$KB$369,0), MATCH(CW$4,연료전지_원본!$KB$4:$KX$4,0))*1000</f>
        <v>0</v>
      </c>
      <c r="CX255" s="250">
        <f>INDEX(연료전지_원본!$KB$4:$KX$369,MATCH($A255,연료전지_원본!$KB$4:$KB$369,0), MATCH(CX$4,연료전지_원본!$KB$4:$KX$4,0))*1000</f>
        <v>0</v>
      </c>
      <c r="CY255" s="250">
        <f>INDEX(연료전지_원본!$KB$4:$KX$369,MATCH($A255,연료전지_원본!$KB$4:$KB$369,0), MATCH(CY$4,연료전지_원본!$KB$4:$KX$4,0))*1000</f>
        <v>0</v>
      </c>
      <c r="DV255" s="30">
        <f t="shared" si="1285"/>
        <v>0</v>
      </c>
    </row>
    <row r="256" spans="1:126">
      <c r="A256" s="6">
        <v>46273</v>
      </c>
      <c r="B256" s="15">
        <f>운전실적_원본!B256</f>
        <v>0</v>
      </c>
      <c r="C256" s="16" t="str">
        <f t="shared" si="1291"/>
        <v/>
      </c>
      <c r="D256" s="12">
        <f>운전실적_원본!C256</f>
        <v>0</v>
      </c>
      <c r="E256" s="12" t="str">
        <f t="shared" si="1292"/>
        <v/>
      </c>
      <c r="F256" s="12">
        <f>운전실적_원본!D256</f>
        <v>0</v>
      </c>
      <c r="G256" s="16" t="str">
        <f t="shared" si="1293"/>
        <v/>
      </c>
      <c r="H256" s="15">
        <f>운전실적_원본!E256</f>
        <v>0</v>
      </c>
      <c r="I256" s="16" t="str">
        <f t="shared" si="1294"/>
        <v/>
      </c>
      <c r="J256" s="15">
        <f>운전실적_원본!F256</f>
        <v>0</v>
      </c>
      <c r="K256" s="16" t="str">
        <f t="shared" si="1294"/>
        <v/>
      </c>
      <c r="L256" s="32">
        <f>운전실적_원본!G256</f>
        <v>0</v>
      </c>
      <c r="M256" s="31" t="str">
        <f t="shared" ref="M256" si="1416">IF(OR(LEN(L256)=0,L256=0),"",L256-L255)</f>
        <v/>
      </c>
      <c r="N256" s="15">
        <f>운전실적_원본!H256</f>
        <v>0</v>
      </c>
      <c r="O256" s="16" t="str">
        <f t="shared" ref="O256" si="1417">IF(OR(LEN(N256)=0,N256=0),"",N256-N255)</f>
        <v/>
      </c>
      <c r="P256" s="15">
        <f>운전실적_원본!I256</f>
        <v>0</v>
      </c>
      <c r="Q256" s="16" t="str">
        <f t="shared" ref="Q256" si="1418">IF(OR(LEN(P256)=0,P256=0),"",P256-P255)</f>
        <v/>
      </c>
      <c r="R256" s="18">
        <f>운전실적_원본!J256</f>
        <v>0</v>
      </c>
      <c r="S256" s="19" t="str">
        <f t="shared" ref="S256" si="1419">IF(OR(LEN(R256)=0,R256=0),"",R256-R255)</f>
        <v/>
      </c>
      <c r="T256" s="18">
        <f>운전실적_원본!K256</f>
        <v>0</v>
      </c>
      <c r="U256" s="19" t="str">
        <f t="shared" si="1299"/>
        <v/>
      </c>
      <c r="V256" s="12">
        <f>운전실적_원본!L256</f>
        <v>0</v>
      </c>
      <c r="W256" s="16" t="str">
        <f t="shared" ref="W256" si="1420">IF(OR(LEN(V256)=0,V256=0),"",V256-V255)</f>
        <v/>
      </c>
      <c r="X256" s="10">
        <f>운전실적_원본!M256</f>
        <v>0</v>
      </c>
      <c r="Y256" s="10">
        <f>운전실적_원본!N256</f>
        <v>0</v>
      </c>
      <c r="Z256" s="10">
        <f>운전실적_원본!O256</f>
        <v>0</v>
      </c>
      <c r="AA256" s="10">
        <f>운전실적_원본!P256</f>
        <v>0</v>
      </c>
      <c r="AB256" s="10">
        <f>운전실적_원본!Q256</f>
        <v>0</v>
      </c>
      <c r="AC256" s="20">
        <f>운전실적_원본!R256</f>
        <v>0</v>
      </c>
      <c r="AD256" s="109">
        <f>운전실적_원본!S256</f>
        <v>0</v>
      </c>
      <c r="AE256" s="110">
        <f>운전실적_원본!T256</f>
        <v>0</v>
      </c>
      <c r="AF256" s="110">
        <f>운전실적_원본!U256</f>
        <v>0</v>
      </c>
      <c r="AG256" s="110">
        <f>운전실적_원본!V256</f>
        <v>0</v>
      </c>
      <c r="AH256" s="109">
        <f t="shared" si="1122"/>
        <v>0</v>
      </c>
      <c r="AI256" s="110">
        <f t="shared" si="1129"/>
        <v>0</v>
      </c>
      <c r="AJ256" s="110">
        <f>운전실적_원본!Y256</f>
        <v>0</v>
      </c>
      <c r="AK256" s="110">
        <f>운전실적_원본!Z256</f>
        <v>0</v>
      </c>
      <c r="AL256" s="106"/>
      <c r="AM256" s="105"/>
      <c r="AN256" s="105"/>
      <c r="AO256" s="105"/>
      <c r="AP256" s="105"/>
      <c r="AQ256" s="108"/>
      <c r="AR256" s="105"/>
      <c r="AS256" s="105"/>
      <c r="AT256" s="102"/>
      <c r="AU256" s="102"/>
      <c r="AV256" s="102"/>
      <c r="AW256" s="102"/>
      <c r="AX256" s="32">
        <f>운전실적_원본!W256</f>
        <v>0</v>
      </c>
      <c r="AY256" s="11">
        <f>운전실적_원본!X256</f>
        <v>0</v>
      </c>
      <c r="AZ256" s="11">
        <f>운전실적_원본!Y256</f>
        <v>0</v>
      </c>
      <c r="BA256" s="11">
        <f>운전실적_원본!Z256</f>
        <v>0</v>
      </c>
      <c r="BB256" s="11">
        <f>운전실적_원본!AA256</f>
        <v>0</v>
      </c>
      <c r="BC256" s="11">
        <f>운전실적_원본!AB256</f>
        <v>0</v>
      </c>
      <c r="BD256" s="32" t="str">
        <f t="shared" si="1115"/>
        <v>-</v>
      </c>
      <c r="BE256" s="11" t="str">
        <f t="shared" si="1123"/>
        <v>-</v>
      </c>
      <c r="BF256" s="11">
        <f>운전실적_원본!AE256</f>
        <v>0</v>
      </c>
      <c r="BG256" s="31">
        <f t="shared" si="1116"/>
        <v>0</v>
      </c>
      <c r="BH256" s="241">
        <f>INDEX(연료전지_원본!$A$4:$KY$369,MATCH($A256,연료전지_원본!$A$4:$A$369,0),MATCH($BH$4,연료전지_원본!$A$4:$KY$4,0))</f>
        <v>0</v>
      </c>
      <c r="BI256" s="241">
        <f>INDEX(연료전지_원본!$A$4:$KY$369,MATCH($A256,연료전지_원본!$A$4:$A$369,0),MATCH($BI$4,연료전지_원본!$A$4:$KY$4,0))</f>
        <v>0</v>
      </c>
      <c r="BJ256" s="241">
        <f>INDEX(연료전지_원본!$A$4:$KY$369,MATCH($A256,연료전지_원본!$A$4:$A$369,0),MATCH($BJ$4,연료전지_원본!$A$4:$KY$4,0))</f>
        <v>0</v>
      </c>
      <c r="BK256" s="241">
        <f>INDEX(연료전지_원본!$A$4:$KY$369,MATCH($A256,연료전지_원본!$A$4:$A$369,0),MATCH($BK$4,연료전지_원본!$A$4:$KY$4,0))</f>
        <v>0</v>
      </c>
      <c r="BL256" s="241">
        <f>INDEX(연료전지_원본!$A$4:$KY$369,MATCH($A256,연료전지_원본!$A$4:$A$369,0),MATCH($BL$4,연료전지_원본!$A$4:$KY$4,0))</f>
        <v>0</v>
      </c>
      <c r="BM256" s="241">
        <f>INDEX(연료전지_원본!$A$4:$KY$369,MATCH($A256,연료전지_원본!$A$4:$A$369,0),MATCH($BM$4,연료전지_원본!$A$4:$KY$4,0))</f>
        <v>0</v>
      </c>
      <c r="BN256" s="241">
        <f>INDEX(연료전지_원본!$A$4:$KY$369,MATCH($A256,연료전지_원본!$A$4:$A$369,0),MATCH($BN$4,연료전지_원본!$A$4:$KY$4,0))</f>
        <v>0</v>
      </c>
      <c r="BO256" s="241">
        <f>INDEX(연료전지_원본!$A$4:$KY$369,MATCH($A256,연료전지_원본!$A$4:$A$369,0),MATCH($BO$4,연료전지_원본!$A$4:$KY$4,0))</f>
        <v>0</v>
      </c>
      <c r="BP256" s="241">
        <f>INDEX(연료전지_원본!$A$4:$KY$369,MATCH($A256,연료전지_원본!$A$4:$A$369,0),MATCH($BP$4,연료전지_원본!$A$4:$KY$4,0))</f>
        <v>0</v>
      </c>
      <c r="BQ256" s="241">
        <f>INDEX(연료전지_원본!$A$4:$KY$369,MATCH($A256,연료전지_원본!$A$4:$A$369,0),MATCH($BQ$4,연료전지_원본!$A$4:$KY$4,0))</f>
        <v>0</v>
      </c>
      <c r="BR256" s="241">
        <f>INDEX(연료전지_원본!$A$4:$KY$369,MATCH($A256,연료전지_원본!$A$4:$A$369,0),MATCH($BR$4,연료전지_원본!$A$4:$KY$4,0))</f>
        <v>0</v>
      </c>
      <c r="BS256" s="241">
        <f>INDEX(연료전지_원본!$A$4:$KY$369,MATCH($A256,연료전지_원본!$A$4:$A$369,0),MATCH($BS$4,연료전지_원본!$A$4:$KY$4,0))</f>
        <v>0</v>
      </c>
      <c r="BT256" s="241">
        <f>INDEX(연료전지_원본!$A$4:$KY$369,MATCH($A256,연료전지_원본!$A$4:$A$369,0),MATCH($BT$4,연료전지_원본!$A$4:$KY$4,0))</f>
        <v>0</v>
      </c>
      <c r="BU256" s="241">
        <f>INDEX(연료전지_원본!$A$4:$KY$369,MATCH($A256,연료전지_원본!$A$4:$A$369,0),MATCH($BU$4,연료전지_원본!$A$4:$KY$4,0))</f>
        <v>0</v>
      </c>
      <c r="BV256" s="241">
        <f>INDEX(연료전지_원본!$A$4:$KY$369,MATCH($A256,연료전지_원본!$A$4:$A$369,0),MATCH($BV$4,연료전지_원본!$A$4:$KY$4,0))</f>
        <v>0</v>
      </c>
      <c r="BW256" s="241">
        <f>INDEX(연료전지_원본!$A$4:$KY$369,MATCH($A256,연료전지_원본!$A$4:$A$369,0),MATCH($BW$4,연료전지_원본!$A$4:$KY$4,0))</f>
        <v>0</v>
      </c>
      <c r="BX256" s="241">
        <f>INDEX(연료전지_원본!$A$4:$KY$369,MATCH($A256,연료전지_원본!$A$4:$A$369,0),MATCH($BX$4,연료전지_원본!$A$4:$KY$4,0))</f>
        <v>0</v>
      </c>
      <c r="BY256" s="241">
        <f>INDEX(연료전지_원본!$A$4:$KY$369,MATCH($A256,연료전지_원본!$A$4:$A$369,0),MATCH($BY$4,연료전지_원본!$A$4:$KY$4,0))</f>
        <v>0</v>
      </c>
      <c r="BZ256" s="241">
        <f>INDEX(연료전지_원본!$A$4:$KY$369,MATCH($A256,연료전지_원본!$A$4:$A$369,0),MATCH($BZ$4,연료전지_원본!$A$4:$KY$4,0))</f>
        <v>0</v>
      </c>
      <c r="CA256" s="241">
        <f>INDEX(연료전지_원본!$A$4:$KY$369,MATCH($A256,연료전지_원본!$A$4:$A$369,0),MATCH($CA$4,연료전지_원본!$A$4:$KY$4,0))</f>
        <v>0</v>
      </c>
      <c r="CB256" s="241">
        <f>INDEX(연료전지_원본!$A$4:$KY$369,MATCH($A256,연료전지_원본!$A$4:$A$369,0),MATCH($CB$4,연료전지_원본!$A$4:$KY$4,0))</f>
        <v>0</v>
      </c>
      <c r="CC256" s="242">
        <f>INDEX(연료전지_원본!$A$4:$KY$369,MATCH($A256,연료전지_원본!$A$4:$A$369,0),MATCH($CC$4,연료전지_원본!$A$4:$KY$4,0))</f>
        <v>0</v>
      </c>
      <c r="CD256" s="250">
        <f>INDEX(연료전지_원본!$KB$4:$KX$369,MATCH($A256,연료전지_원본!$KB$4:$KB$369,0), MATCH(CD$4,연료전지_원본!$KB$4:$KX$4,0))*1000</f>
        <v>0</v>
      </c>
      <c r="CE256" s="250">
        <f>INDEX(연료전지_원본!$KB$4:$KX$369,MATCH($A256,연료전지_원본!$KB$4:$KB$369,0), MATCH(CE$4,연료전지_원본!$KB$4:$KX$4,0))*1000</f>
        <v>0</v>
      </c>
      <c r="CF256" s="250">
        <f>INDEX(연료전지_원본!$KB$4:$KX$369,MATCH($A256,연료전지_원본!$KB$4:$KB$369,0), MATCH(CF$4,연료전지_원본!$KB$4:$KX$4,0))*1000</f>
        <v>0</v>
      </c>
      <c r="CG256" s="250">
        <f>INDEX(연료전지_원본!$KB$4:$KX$369,MATCH($A256,연료전지_원본!$KB$4:$KB$369,0), MATCH(CG$4,연료전지_원본!$KB$4:$KX$4,0))*1000</f>
        <v>0</v>
      </c>
      <c r="CH256" s="250">
        <f>INDEX(연료전지_원본!$KB$4:$KX$369,MATCH($A256,연료전지_원본!$KB$4:$KB$369,0), MATCH(CH$4,연료전지_원본!$KB$4:$KX$4,0))*1000</f>
        <v>0</v>
      </c>
      <c r="CI256" s="250">
        <f>INDEX(연료전지_원본!$KB$4:$KX$369,MATCH($A256,연료전지_원본!$KB$4:$KB$369,0), MATCH(CI$4,연료전지_원본!$KB$4:$KX$4,0))*1000</f>
        <v>0</v>
      </c>
      <c r="CJ256" s="250">
        <f>INDEX(연료전지_원본!$KB$4:$KX$369,MATCH($A256,연료전지_원본!$KB$4:$KB$369,0), MATCH(CJ$4,연료전지_원본!$KB$4:$KX$4,0))*1000</f>
        <v>0</v>
      </c>
      <c r="CK256" s="250">
        <f>INDEX(연료전지_원본!$KB$4:$KX$369,MATCH($A256,연료전지_원본!$KB$4:$KB$369,0), MATCH(CK$4,연료전지_원본!$KB$4:$KX$4,0))*1000</f>
        <v>0</v>
      </c>
      <c r="CL256" s="250">
        <f>INDEX(연료전지_원본!$KB$4:$KX$369,MATCH($A256,연료전지_원본!$KB$4:$KB$369,0), MATCH(CL$4,연료전지_원본!$KB$4:$KX$4,0))*1000</f>
        <v>0</v>
      </c>
      <c r="CM256" s="250">
        <f>INDEX(연료전지_원본!$KB$4:$KX$369,MATCH($A256,연료전지_원본!$KB$4:$KB$369,0), MATCH(CM$4,연료전지_원본!$KB$4:$KX$4,0))*1000</f>
        <v>0</v>
      </c>
      <c r="CN256" s="250">
        <f>INDEX(연료전지_원본!$KB$4:$KX$369,MATCH($A256,연료전지_원본!$KB$4:$KB$369,0), MATCH(CN$4,연료전지_원본!$KB$4:$KX$4,0))*1000</f>
        <v>0</v>
      </c>
      <c r="CO256" s="250">
        <f>INDEX(연료전지_원본!$KB$4:$KX$369,MATCH($A256,연료전지_원본!$KB$4:$KB$369,0), MATCH(CO$4,연료전지_원본!$KB$4:$KX$4,0))*1000</f>
        <v>0</v>
      </c>
      <c r="CP256" s="250">
        <f>INDEX(연료전지_원본!$KB$4:$KX$369,MATCH($A256,연료전지_원본!$KB$4:$KB$369,0), MATCH(CP$4,연료전지_원본!$KB$4:$KX$4,0))*1000</f>
        <v>0</v>
      </c>
      <c r="CQ256" s="250">
        <f>INDEX(연료전지_원본!$KB$4:$KX$369,MATCH($A256,연료전지_원본!$KB$4:$KB$369,0), MATCH(CQ$4,연료전지_원본!$KB$4:$KX$4,0))*1000</f>
        <v>0</v>
      </c>
      <c r="CR256" s="250">
        <f>INDEX(연료전지_원본!$KB$4:$KX$369,MATCH($A256,연료전지_원본!$KB$4:$KB$369,0), MATCH(CR$4,연료전지_원본!$KB$4:$KX$4,0))*1000</f>
        <v>0</v>
      </c>
      <c r="CS256" s="250">
        <f>INDEX(연료전지_원본!$KB$4:$KX$369,MATCH($A256,연료전지_원본!$KB$4:$KB$369,0), MATCH(CS$4,연료전지_원본!$KB$4:$KX$4,0))*1000</f>
        <v>0</v>
      </c>
      <c r="CT256" s="250">
        <f>INDEX(연료전지_원본!$KB$4:$KX$369,MATCH($A256,연료전지_원본!$KB$4:$KB$369,0), MATCH(CT$4,연료전지_원본!$KB$4:$KX$4,0))*1000</f>
        <v>0</v>
      </c>
      <c r="CU256" s="250">
        <f>INDEX(연료전지_원본!$KB$4:$KX$369,MATCH($A256,연료전지_원본!$KB$4:$KB$369,0), MATCH(CU$4,연료전지_원본!$KB$4:$KX$4,0))*1000</f>
        <v>0</v>
      </c>
      <c r="CV256" s="250">
        <f>INDEX(연료전지_원본!$KB$4:$KX$369,MATCH($A256,연료전지_원본!$KB$4:$KB$369,0), MATCH(CV$4,연료전지_원본!$KB$4:$KX$4,0))*1000</f>
        <v>0</v>
      </c>
      <c r="CW256" s="250">
        <f>INDEX(연료전지_원본!$KB$4:$KX$369,MATCH($A256,연료전지_원본!$KB$4:$KB$369,0), MATCH(CW$4,연료전지_원본!$KB$4:$KX$4,0))*1000</f>
        <v>0</v>
      </c>
      <c r="CX256" s="250">
        <f>INDEX(연료전지_원본!$KB$4:$KX$369,MATCH($A256,연료전지_원본!$KB$4:$KB$369,0), MATCH(CX$4,연료전지_원본!$KB$4:$KX$4,0))*1000</f>
        <v>0</v>
      </c>
      <c r="CY256" s="250">
        <f>INDEX(연료전지_원본!$KB$4:$KX$369,MATCH($A256,연료전지_원본!$KB$4:$KB$369,0), MATCH(CY$4,연료전지_원본!$KB$4:$KX$4,0))*1000</f>
        <v>0</v>
      </c>
      <c r="DV256" s="30">
        <f t="shared" si="1285"/>
        <v>0</v>
      </c>
    </row>
    <row r="257" spans="1:126">
      <c r="A257" s="6">
        <v>46274</v>
      </c>
      <c r="B257" s="15">
        <f>운전실적_원본!B257</f>
        <v>0</v>
      </c>
      <c r="C257" s="16" t="str">
        <f t="shared" si="1291"/>
        <v/>
      </c>
      <c r="D257" s="12">
        <f>운전실적_원본!C257</f>
        <v>0</v>
      </c>
      <c r="E257" s="12" t="str">
        <f t="shared" si="1292"/>
        <v/>
      </c>
      <c r="F257" s="12">
        <f>운전실적_원본!D257</f>
        <v>0</v>
      </c>
      <c r="G257" s="16" t="str">
        <f t="shared" si="1293"/>
        <v/>
      </c>
      <c r="H257" s="15">
        <f>운전실적_원본!E257</f>
        <v>0</v>
      </c>
      <c r="I257" s="16" t="str">
        <f t="shared" si="1294"/>
        <v/>
      </c>
      <c r="J257" s="15">
        <f>운전실적_원본!F257</f>
        <v>0</v>
      </c>
      <c r="K257" s="16" t="str">
        <f t="shared" si="1294"/>
        <v/>
      </c>
      <c r="L257" s="32">
        <f>운전실적_원본!G257</f>
        <v>0</v>
      </c>
      <c r="M257" s="31" t="str">
        <f t="shared" ref="M257" si="1421">IF(OR(LEN(L257)=0,L257=0),"",L257-L256)</f>
        <v/>
      </c>
      <c r="N257" s="15">
        <f>운전실적_원본!H257</f>
        <v>0</v>
      </c>
      <c r="O257" s="16" t="str">
        <f t="shared" ref="O257" si="1422">IF(OR(LEN(N257)=0,N257=0),"",N257-N256)</f>
        <v/>
      </c>
      <c r="P257" s="15">
        <f>운전실적_원본!I257</f>
        <v>0</v>
      </c>
      <c r="Q257" s="16" t="str">
        <f t="shared" ref="Q257" si="1423">IF(OR(LEN(P257)=0,P257=0),"",P257-P256)</f>
        <v/>
      </c>
      <c r="R257" s="18">
        <f>운전실적_원본!J257</f>
        <v>0</v>
      </c>
      <c r="S257" s="19" t="str">
        <f t="shared" ref="S257" si="1424">IF(OR(LEN(R257)=0,R257=0),"",R257-R256)</f>
        <v/>
      </c>
      <c r="T257" s="18">
        <f>운전실적_원본!K257</f>
        <v>0</v>
      </c>
      <c r="U257" s="19" t="str">
        <f t="shared" si="1299"/>
        <v/>
      </c>
      <c r="V257" s="12">
        <f>운전실적_원본!L257</f>
        <v>0</v>
      </c>
      <c r="W257" s="16" t="str">
        <f t="shared" ref="W257" si="1425">IF(OR(LEN(V257)=0,V257=0),"",V257-V256)</f>
        <v/>
      </c>
      <c r="X257" s="10">
        <f>운전실적_원본!M257</f>
        <v>0</v>
      </c>
      <c r="Y257" s="10">
        <f>운전실적_원본!N257</f>
        <v>0</v>
      </c>
      <c r="Z257" s="10">
        <f>운전실적_원본!O257</f>
        <v>0</v>
      </c>
      <c r="AA257" s="10">
        <f>운전실적_원본!P257</f>
        <v>0</v>
      </c>
      <c r="AB257" s="10">
        <f>운전실적_원본!Q257</f>
        <v>0</v>
      </c>
      <c r="AC257" s="20">
        <f>운전실적_원본!R257</f>
        <v>0</v>
      </c>
      <c r="AD257" s="109">
        <f>운전실적_원본!S257</f>
        <v>0</v>
      </c>
      <c r="AE257" s="110">
        <f>운전실적_원본!T257</f>
        <v>0</v>
      </c>
      <c r="AF257" s="110">
        <f>운전실적_원본!U257</f>
        <v>0</v>
      </c>
      <c r="AG257" s="110">
        <f>운전실적_원본!V257</f>
        <v>0</v>
      </c>
      <c r="AH257" s="109">
        <f t="shared" si="1122"/>
        <v>0</v>
      </c>
      <c r="AI257" s="110">
        <f t="shared" si="1129"/>
        <v>0</v>
      </c>
      <c r="AJ257" s="110">
        <f>운전실적_원본!Y257</f>
        <v>0</v>
      </c>
      <c r="AK257" s="110">
        <f>운전실적_원본!Z257</f>
        <v>0</v>
      </c>
      <c r="AL257" s="106"/>
      <c r="AM257" s="105"/>
      <c r="AN257" s="105"/>
      <c r="AO257" s="105"/>
      <c r="AP257" s="105"/>
      <c r="AQ257" s="108"/>
      <c r="AR257" s="105"/>
      <c r="AS257" s="105"/>
      <c r="AT257" s="102"/>
      <c r="AU257" s="102"/>
      <c r="AV257" s="102"/>
      <c r="AW257" s="102"/>
      <c r="AX257" s="32">
        <f>운전실적_원본!W257</f>
        <v>0</v>
      </c>
      <c r="AY257" s="11">
        <f>운전실적_원본!X257</f>
        <v>0</v>
      </c>
      <c r="AZ257" s="11">
        <f>운전실적_원본!Y257</f>
        <v>0</v>
      </c>
      <c r="BA257" s="11">
        <f>운전실적_원본!Z257</f>
        <v>0</v>
      </c>
      <c r="BB257" s="11">
        <f>운전실적_원본!AA257</f>
        <v>0</v>
      </c>
      <c r="BC257" s="11">
        <f>운전실적_원본!AB257</f>
        <v>0</v>
      </c>
      <c r="BD257" s="32" t="str">
        <f t="shared" si="1115"/>
        <v>-</v>
      </c>
      <c r="BE257" s="11" t="str">
        <f t="shared" si="1123"/>
        <v>-</v>
      </c>
      <c r="BF257" s="11">
        <f>운전실적_원본!AE257</f>
        <v>0</v>
      </c>
      <c r="BG257" s="31">
        <f t="shared" si="1116"/>
        <v>0</v>
      </c>
      <c r="BH257" s="241">
        <f>INDEX(연료전지_원본!$A$4:$KY$369,MATCH($A257,연료전지_원본!$A$4:$A$369,0),MATCH($BH$4,연료전지_원본!$A$4:$KY$4,0))</f>
        <v>0</v>
      </c>
      <c r="BI257" s="241">
        <f>INDEX(연료전지_원본!$A$4:$KY$369,MATCH($A257,연료전지_원본!$A$4:$A$369,0),MATCH($BI$4,연료전지_원본!$A$4:$KY$4,0))</f>
        <v>0</v>
      </c>
      <c r="BJ257" s="241">
        <f>INDEX(연료전지_원본!$A$4:$KY$369,MATCH($A257,연료전지_원본!$A$4:$A$369,0),MATCH($BJ$4,연료전지_원본!$A$4:$KY$4,0))</f>
        <v>0</v>
      </c>
      <c r="BK257" s="241">
        <f>INDEX(연료전지_원본!$A$4:$KY$369,MATCH($A257,연료전지_원본!$A$4:$A$369,0),MATCH($BK$4,연료전지_원본!$A$4:$KY$4,0))</f>
        <v>0</v>
      </c>
      <c r="BL257" s="241">
        <f>INDEX(연료전지_원본!$A$4:$KY$369,MATCH($A257,연료전지_원본!$A$4:$A$369,0),MATCH($BL$4,연료전지_원본!$A$4:$KY$4,0))</f>
        <v>0</v>
      </c>
      <c r="BM257" s="241">
        <f>INDEX(연료전지_원본!$A$4:$KY$369,MATCH($A257,연료전지_원본!$A$4:$A$369,0),MATCH($BM$4,연료전지_원본!$A$4:$KY$4,0))</f>
        <v>0</v>
      </c>
      <c r="BN257" s="241">
        <f>INDEX(연료전지_원본!$A$4:$KY$369,MATCH($A257,연료전지_원본!$A$4:$A$369,0),MATCH($BN$4,연료전지_원본!$A$4:$KY$4,0))</f>
        <v>0</v>
      </c>
      <c r="BO257" s="241">
        <f>INDEX(연료전지_원본!$A$4:$KY$369,MATCH($A257,연료전지_원본!$A$4:$A$369,0),MATCH($BO$4,연료전지_원본!$A$4:$KY$4,0))</f>
        <v>0</v>
      </c>
      <c r="BP257" s="241">
        <f>INDEX(연료전지_원본!$A$4:$KY$369,MATCH($A257,연료전지_원본!$A$4:$A$369,0),MATCH($BP$4,연료전지_원본!$A$4:$KY$4,0))</f>
        <v>0</v>
      </c>
      <c r="BQ257" s="241">
        <f>INDEX(연료전지_원본!$A$4:$KY$369,MATCH($A257,연료전지_원본!$A$4:$A$369,0),MATCH($BQ$4,연료전지_원본!$A$4:$KY$4,0))</f>
        <v>0</v>
      </c>
      <c r="BR257" s="241">
        <f>INDEX(연료전지_원본!$A$4:$KY$369,MATCH($A257,연료전지_원본!$A$4:$A$369,0),MATCH($BR$4,연료전지_원본!$A$4:$KY$4,0))</f>
        <v>0</v>
      </c>
      <c r="BS257" s="241">
        <f>INDEX(연료전지_원본!$A$4:$KY$369,MATCH($A257,연료전지_원본!$A$4:$A$369,0),MATCH($BS$4,연료전지_원본!$A$4:$KY$4,0))</f>
        <v>0</v>
      </c>
      <c r="BT257" s="241">
        <f>INDEX(연료전지_원본!$A$4:$KY$369,MATCH($A257,연료전지_원본!$A$4:$A$369,0),MATCH($BT$4,연료전지_원본!$A$4:$KY$4,0))</f>
        <v>0</v>
      </c>
      <c r="BU257" s="241">
        <f>INDEX(연료전지_원본!$A$4:$KY$369,MATCH($A257,연료전지_원본!$A$4:$A$369,0),MATCH($BU$4,연료전지_원본!$A$4:$KY$4,0))</f>
        <v>0</v>
      </c>
      <c r="BV257" s="241">
        <f>INDEX(연료전지_원본!$A$4:$KY$369,MATCH($A257,연료전지_원본!$A$4:$A$369,0),MATCH($BV$4,연료전지_원본!$A$4:$KY$4,0))</f>
        <v>0</v>
      </c>
      <c r="BW257" s="241">
        <f>INDEX(연료전지_원본!$A$4:$KY$369,MATCH($A257,연료전지_원본!$A$4:$A$369,0),MATCH($BW$4,연료전지_원본!$A$4:$KY$4,0))</f>
        <v>0</v>
      </c>
      <c r="BX257" s="241">
        <f>INDEX(연료전지_원본!$A$4:$KY$369,MATCH($A257,연료전지_원본!$A$4:$A$369,0),MATCH($BX$4,연료전지_원본!$A$4:$KY$4,0))</f>
        <v>0</v>
      </c>
      <c r="BY257" s="241">
        <f>INDEX(연료전지_원본!$A$4:$KY$369,MATCH($A257,연료전지_원본!$A$4:$A$369,0),MATCH($BY$4,연료전지_원본!$A$4:$KY$4,0))</f>
        <v>0</v>
      </c>
      <c r="BZ257" s="241">
        <f>INDEX(연료전지_원본!$A$4:$KY$369,MATCH($A257,연료전지_원본!$A$4:$A$369,0),MATCH($BZ$4,연료전지_원본!$A$4:$KY$4,0))</f>
        <v>0</v>
      </c>
      <c r="CA257" s="241">
        <f>INDEX(연료전지_원본!$A$4:$KY$369,MATCH($A257,연료전지_원본!$A$4:$A$369,0),MATCH($CA$4,연료전지_원본!$A$4:$KY$4,0))</f>
        <v>0</v>
      </c>
      <c r="CB257" s="241">
        <f>INDEX(연료전지_원본!$A$4:$KY$369,MATCH($A257,연료전지_원본!$A$4:$A$369,0),MATCH($CB$4,연료전지_원본!$A$4:$KY$4,0))</f>
        <v>0</v>
      </c>
      <c r="CC257" s="242">
        <f>INDEX(연료전지_원본!$A$4:$KY$369,MATCH($A257,연료전지_원본!$A$4:$A$369,0),MATCH($CC$4,연료전지_원본!$A$4:$KY$4,0))</f>
        <v>0</v>
      </c>
      <c r="CD257" s="250">
        <f>INDEX(연료전지_원본!$KB$4:$KX$369,MATCH($A257,연료전지_원본!$KB$4:$KB$369,0), MATCH(CD$4,연료전지_원본!$KB$4:$KX$4,0))*1000</f>
        <v>0</v>
      </c>
      <c r="CE257" s="250">
        <f>INDEX(연료전지_원본!$KB$4:$KX$369,MATCH($A257,연료전지_원본!$KB$4:$KB$369,0), MATCH(CE$4,연료전지_원본!$KB$4:$KX$4,0))*1000</f>
        <v>0</v>
      </c>
      <c r="CF257" s="250">
        <f>INDEX(연료전지_원본!$KB$4:$KX$369,MATCH($A257,연료전지_원본!$KB$4:$KB$369,0), MATCH(CF$4,연료전지_원본!$KB$4:$KX$4,0))*1000</f>
        <v>0</v>
      </c>
      <c r="CG257" s="250">
        <f>INDEX(연료전지_원본!$KB$4:$KX$369,MATCH($A257,연료전지_원본!$KB$4:$KB$369,0), MATCH(CG$4,연료전지_원본!$KB$4:$KX$4,0))*1000</f>
        <v>0</v>
      </c>
      <c r="CH257" s="250">
        <f>INDEX(연료전지_원본!$KB$4:$KX$369,MATCH($A257,연료전지_원본!$KB$4:$KB$369,0), MATCH(CH$4,연료전지_원본!$KB$4:$KX$4,0))*1000</f>
        <v>0</v>
      </c>
      <c r="CI257" s="250">
        <f>INDEX(연료전지_원본!$KB$4:$KX$369,MATCH($A257,연료전지_원본!$KB$4:$KB$369,0), MATCH(CI$4,연료전지_원본!$KB$4:$KX$4,0))*1000</f>
        <v>0</v>
      </c>
      <c r="CJ257" s="250">
        <f>INDEX(연료전지_원본!$KB$4:$KX$369,MATCH($A257,연료전지_원본!$KB$4:$KB$369,0), MATCH(CJ$4,연료전지_원본!$KB$4:$KX$4,0))*1000</f>
        <v>0</v>
      </c>
      <c r="CK257" s="250">
        <f>INDEX(연료전지_원본!$KB$4:$KX$369,MATCH($A257,연료전지_원본!$KB$4:$KB$369,0), MATCH(CK$4,연료전지_원본!$KB$4:$KX$4,0))*1000</f>
        <v>0</v>
      </c>
      <c r="CL257" s="250">
        <f>INDEX(연료전지_원본!$KB$4:$KX$369,MATCH($A257,연료전지_원본!$KB$4:$KB$369,0), MATCH(CL$4,연료전지_원본!$KB$4:$KX$4,0))*1000</f>
        <v>0</v>
      </c>
      <c r="CM257" s="250">
        <f>INDEX(연료전지_원본!$KB$4:$KX$369,MATCH($A257,연료전지_원본!$KB$4:$KB$369,0), MATCH(CM$4,연료전지_원본!$KB$4:$KX$4,0))*1000</f>
        <v>0</v>
      </c>
      <c r="CN257" s="250">
        <f>INDEX(연료전지_원본!$KB$4:$KX$369,MATCH($A257,연료전지_원본!$KB$4:$KB$369,0), MATCH(CN$4,연료전지_원본!$KB$4:$KX$4,0))*1000</f>
        <v>0</v>
      </c>
      <c r="CO257" s="250">
        <f>INDEX(연료전지_원본!$KB$4:$KX$369,MATCH($A257,연료전지_원본!$KB$4:$KB$369,0), MATCH(CO$4,연료전지_원본!$KB$4:$KX$4,0))*1000</f>
        <v>0</v>
      </c>
      <c r="CP257" s="250">
        <f>INDEX(연료전지_원본!$KB$4:$KX$369,MATCH($A257,연료전지_원본!$KB$4:$KB$369,0), MATCH(CP$4,연료전지_원본!$KB$4:$KX$4,0))*1000</f>
        <v>0</v>
      </c>
      <c r="CQ257" s="250">
        <f>INDEX(연료전지_원본!$KB$4:$KX$369,MATCH($A257,연료전지_원본!$KB$4:$KB$369,0), MATCH(CQ$4,연료전지_원본!$KB$4:$KX$4,0))*1000</f>
        <v>0</v>
      </c>
      <c r="CR257" s="250">
        <f>INDEX(연료전지_원본!$KB$4:$KX$369,MATCH($A257,연료전지_원본!$KB$4:$KB$369,0), MATCH(CR$4,연료전지_원본!$KB$4:$KX$4,0))*1000</f>
        <v>0</v>
      </c>
      <c r="CS257" s="250">
        <f>INDEX(연료전지_원본!$KB$4:$KX$369,MATCH($A257,연료전지_원본!$KB$4:$KB$369,0), MATCH(CS$4,연료전지_원본!$KB$4:$KX$4,0))*1000</f>
        <v>0</v>
      </c>
      <c r="CT257" s="250">
        <f>INDEX(연료전지_원본!$KB$4:$KX$369,MATCH($A257,연료전지_원본!$KB$4:$KB$369,0), MATCH(CT$4,연료전지_원본!$KB$4:$KX$4,0))*1000</f>
        <v>0</v>
      </c>
      <c r="CU257" s="250">
        <f>INDEX(연료전지_원본!$KB$4:$KX$369,MATCH($A257,연료전지_원본!$KB$4:$KB$369,0), MATCH(CU$4,연료전지_원본!$KB$4:$KX$4,0))*1000</f>
        <v>0</v>
      </c>
      <c r="CV257" s="250">
        <f>INDEX(연료전지_원본!$KB$4:$KX$369,MATCH($A257,연료전지_원본!$KB$4:$KB$369,0), MATCH(CV$4,연료전지_원본!$KB$4:$KX$4,0))*1000</f>
        <v>0</v>
      </c>
      <c r="CW257" s="250">
        <f>INDEX(연료전지_원본!$KB$4:$KX$369,MATCH($A257,연료전지_원본!$KB$4:$KB$369,0), MATCH(CW$4,연료전지_원본!$KB$4:$KX$4,0))*1000</f>
        <v>0</v>
      </c>
      <c r="CX257" s="250">
        <f>INDEX(연료전지_원본!$KB$4:$KX$369,MATCH($A257,연료전지_원본!$KB$4:$KB$369,0), MATCH(CX$4,연료전지_원본!$KB$4:$KX$4,0))*1000</f>
        <v>0</v>
      </c>
      <c r="CY257" s="250">
        <f>INDEX(연료전지_원본!$KB$4:$KX$369,MATCH($A257,연료전지_원본!$KB$4:$KB$369,0), MATCH(CY$4,연료전지_원본!$KB$4:$KX$4,0))*1000</f>
        <v>0</v>
      </c>
      <c r="DV257" s="30">
        <f t="shared" si="1285"/>
        <v>0</v>
      </c>
    </row>
    <row r="258" spans="1:126">
      <c r="A258" s="6">
        <v>46275</v>
      </c>
      <c r="B258" s="15">
        <f>운전실적_원본!B258</f>
        <v>0</v>
      </c>
      <c r="C258" s="16" t="str">
        <f t="shared" si="1291"/>
        <v/>
      </c>
      <c r="D258" s="12">
        <f>운전실적_원본!C258</f>
        <v>0</v>
      </c>
      <c r="E258" s="12" t="str">
        <f t="shared" si="1292"/>
        <v/>
      </c>
      <c r="F258" s="12">
        <f>운전실적_원본!D258</f>
        <v>0</v>
      </c>
      <c r="G258" s="16" t="str">
        <f t="shared" si="1293"/>
        <v/>
      </c>
      <c r="H258" s="15">
        <f>운전실적_원본!E258</f>
        <v>0</v>
      </c>
      <c r="I258" s="16" t="str">
        <f t="shared" si="1294"/>
        <v/>
      </c>
      <c r="J258" s="15">
        <f>운전실적_원본!F258</f>
        <v>0</v>
      </c>
      <c r="K258" s="16" t="str">
        <f t="shared" si="1294"/>
        <v/>
      </c>
      <c r="L258" s="32">
        <f>운전실적_원본!G258</f>
        <v>0</v>
      </c>
      <c r="M258" s="31" t="str">
        <f t="shared" ref="M258" si="1426">IF(OR(LEN(L258)=0,L258=0),"",L258-L257)</f>
        <v/>
      </c>
      <c r="N258" s="15">
        <f>운전실적_원본!H258</f>
        <v>0</v>
      </c>
      <c r="O258" s="16" t="str">
        <f t="shared" ref="O258" si="1427">IF(OR(LEN(N258)=0,N258=0),"",N258-N257)</f>
        <v/>
      </c>
      <c r="P258" s="15">
        <f>운전실적_원본!I258</f>
        <v>0</v>
      </c>
      <c r="Q258" s="16" t="str">
        <f t="shared" ref="Q258" si="1428">IF(OR(LEN(P258)=0,P258=0),"",P258-P257)</f>
        <v/>
      </c>
      <c r="R258" s="18">
        <f>운전실적_원본!J258</f>
        <v>0</v>
      </c>
      <c r="S258" s="19" t="str">
        <f t="shared" ref="S258" si="1429">IF(OR(LEN(R258)=0,R258=0),"",R258-R257)</f>
        <v/>
      </c>
      <c r="T258" s="18">
        <f>운전실적_원본!K258</f>
        <v>0</v>
      </c>
      <c r="U258" s="19" t="str">
        <f t="shared" si="1299"/>
        <v/>
      </c>
      <c r="V258" s="12">
        <f>운전실적_원본!L258</f>
        <v>0</v>
      </c>
      <c r="W258" s="16" t="str">
        <f t="shared" ref="W258" si="1430">IF(OR(LEN(V258)=0,V258=0),"",V258-V257)</f>
        <v/>
      </c>
      <c r="X258" s="10">
        <f>운전실적_원본!M258</f>
        <v>0</v>
      </c>
      <c r="Y258" s="10">
        <f>운전실적_원본!N258</f>
        <v>0</v>
      </c>
      <c r="Z258" s="10">
        <f>운전실적_원본!O258</f>
        <v>0</v>
      </c>
      <c r="AA258" s="10">
        <f>운전실적_원본!P258</f>
        <v>0</v>
      </c>
      <c r="AB258" s="10">
        <f>운전실적_원본!Q258</f>
        <v>0</v>
      </c>
      <c r="AC258" s="20">
        <f>운전실적_원본!R258</f>
        <v>0</v>
      </c>
      <c r="AD258" s="109">
        <f>운전실적_원본!S258</f>
        <v>0</v>
      </c>
      <c r="AE258" s="110">
        <f>운전실적_원본!T258</f>
        <v>0</v>
      </c>
      <c r="AF258" s="110">
        <f>운전실적_원본!U258</f>
        <v>0</v>
      </c>
      <c r="AG258" s="110">
        <f>운전실적_원본!V258</f>
        <v>0</v>
      </c>
      <c r="AH258" s="109">
        <f t="shared" si="1122"/>
        <v>0</v>
      </c>
      <c r="AI258" s="110">
        <f t="shared" si="1129"/>
        <v>0</v>
      </c>
      <c r="AJ258" s="110">
        <f>운전실적_원본!Y258</f>
        <v>0</v>
      </c>
      <c r="AK258" s="110">
        <f>운전실적_원본!Z258</f>
        <v>0</v>
      </c>
      <c r="AL258" s="106"/>
      <c r="AM258" s="105"/>
      <c r="AN258" s="105"/>
      <c r="AO258" s="105"/>
      <c r="AP258" s="105"/>
      <c r="AQ258" s="108"/>
      <c r="AR258" s="105"/>
      <c r="AS258" s="105"/>
      <c r="AT258" s="102"/>
      <c r="AU258" s="102"/>
      <c r="AV258" s="102"/>
      <c r="AW258" s="102"/>
      <c r="AX258" s="32">
        <f>운전실적_원본!W258</f>
        <v>0</v>
      </c>
      <c r="AY258" s="11">
        <f>운전실적_원본!X258</f>
        <v>0</v>
      </c>
      <c r="AZ258" s="11">
        <f>운전실적_원본!Y258</f>
        <v>0</v>
      </c>
      <c r="BA258" s="11">
        <f>운전실적_원본!Z258</f>
        <v>0</v>
      </c>
      <c r="BB258" s="11">
        <f>운전실적_원본!AA258</f>
        <v>0</v>
      </c>
      <c r="BC258" s="11">
        <f>운전실적_원본!AB258</f>
        <v>0</v>
      </c>
      <c r="BD258" s="32" t="str">
        <f t="shared" si="1115"/>
        <v>-</v>
      </c>
      <c r="BE258" s="11" t="str">
        <f t="shared" si="1123"/>
        <v>-</v>
      </c>
      <c r="BF258" s="11">
        <f>운전실적_원본!AE258</f>
        <v>0</v>
      </c>
      <c r="BG258" s="31">
        <f t="shared" si="1116"/>
        <v>0</v>
      </c>
      <c r="BH258" s="241">
        <f>INDEX(연료전지_원본!$A$4:$KY$369,MATCH($A258,연료전지_원본!$A$4:$A$369,0),MATCH($BH$4,연료전지_원본!$A$4:$KY$4,0))</f>
        <v>0</v>
      </c>
      <c r="BI258" s="241">
        <f>INDEX(연료전지_원본!$A$4:$KY$369,MATCH($A258,연료전지_원본!$A$4:$A$369,0),MATCH($BI$4,연료전지_원본!$A$4:$KY$4,0))</f>
        <v>0</v>
      </c>
      <c r="BJ258" s="241">
        <f>INDEX(연료전지_원본!$A$4:$KY$369,MATCH($A258,연료전지_원본!$A$4:$A$369,0),MATCH($BJ$4,연료전지_원본!$A$4:$KY$4,0))</f>
        <v>0</v>
      </c>
      <c r="BK258" s="241">
        <f>INDEX(연료전지_원본!$A$4:$KY$369,MATCH($A258,연료전지_원본!$A$4:$A$369,0),MATCH($BK$4,연료전지_원본!$A$4:$KY$4,0))</f>
        <v>0</v>
      </c>
      <c r="BL258" s="241">
        <f>INDEX(연료전지_원본!$A$4:$KY$369,MATCH($A258,연료전지_원본!$A$4:$A$369,0),MATCH($BL$4,연료전지_원본!$A$4:$KY$4,0))</f>
        <v>0</v>
      </c>
      <c r="BM258" s="241">
        <f>INDEX(연료전지_원본!$A$4:$KY$369,MATCH($A258,연료전지_원본!$A$4:$A$369,0),MATCH($BM$4,연료전지_원본!$A$4:$KY$4,0))</f>
        <v>0</v>
      </c>
      <c r="BN258" s="241">
        <f>INDEX(연료전지_원본!$A$4:$KY$369,MATCH($A258,연료전지_원본!$A$4:$A$369,0),MATCH($BN$4,연료전지_원본!$A$4:$KY$4,0))</f>
        <v>0</v>
      </c>
      <c r="BO258" s="241">
        <f>INDEX(연료전지_원본!$A$4:$KY$369,MATCH($A258,연료전지_원본!$A$4:$A$369,0),MATCH($BO$4,연료전지_원본!$A$4:$KY$4,0))</f>
        <v>0</v>
      </c>
      <c r="BP258" s="241">
        <f>INDEX(연료전지_원본!$A$4:$KY$369,MATCH($A258,연료전지_원본!$A$4:$A$369,0),MATCH($BP$4,연료전지_원본!$A$4:$KY$4,0))</f>
        <v>0</v>
      </c>
      <c r="BQ258" s="241">
        <f>INDEX(연료전지_원본!$A$4:$KY$369,MATCH($A258,연료전지_원본!$A$4:$A$369,0),MATCH($BQ$4,연료전지_원본!$A$4:$KY$4,0))</f>
        <v>0</v>
      </c>
      <c r="BR258" s="241">
        <f>INDEX(연료전지_원본!$A$4:$KY$369,MATCH($A258,연료전지_원본!$A$4:$A$369,0),MATCH($BR$4,연료전지_원본!$A$4:$KY$4,0))</f>
        <v>0</v>
      </c>
      <c r="BS258" s="241">
        <f>INDEX(연료전지_원본!$A$4:$KY$369,MATCH($A258,연료전지_원본!$A$4:$A$369,0),MATCH($BS$4,연료전지_원본!$A$4:$KY$4,0))</f>
        <v>0</v>
      </c>
      <c r="BT258" s="241">
        <f>INDEX(연료전지_원본!$A$4:$KY$369,MATCH($A258,연료전지_원본!$A$4:$A$369,0),MATCH($BT$4,연료전지_원본!$A$4:$KY$4,0))</f>
        <v>0</v>
      </c>
      <c r="BU258" s="241">
        <f>INDEX(연료전지_원본!$A$4:$KY$369,MATCH($A258,연료전지_원본!$A$4:$A$369,0),MATCH($BU$4,연료전지_원본!$A$4:$KY$4,0))</f>
        <v>0</v>
      </c>
      <c r="BV258" s="241">
        <f>INDEX(연료전지_원본!$A$4:$KY$369,MATCH($A258,연료전지_원본!$A$4:$A$369,0),MATCH($BV$4,연료전지_원본!$A$4:$KY$4,0))</f>
        <v>0</v>
      </c>
      <c r="BW258" s="241">
        <f>INDEX(연료전지_원본!$A$4:$KY$369,MATCH($A258,연료전지_원본!$A$4:$A$369,0),MATCH($BW$4,연료전지_원본!$A$4:$KY$4,0))</f>
        <v>0</v>
      </c>
      <c r="BX258" s="241">
        <f>INDEX(연료전지_원본!$A$4:$KY$369,MATCH($A258,연료전지_원본!$A$4:$A$369,0),MATCH($BX$4,연료전지_원본!$A$4:$KY$4,0))</f>
        <v>0</v>
      </c>
      <c r="BY258" s="241">
        <f>INDEX(연료전지_원본!$A$4:$KY$369,MATCH($A258,연료전지_원본!$A$4:$A$369,0),MATCH($BY$4,연료전지_원본!$A$4:$KY$4,0))</f>
        <v>0</v>
      </c>
      <c r="BZ258" s="241">
        <f>INDEX(연료전지_원본!$A$4:$KY$369,MATCH($A258,연료전지_원본!$A$4:$A$369,0),MATCH($BZ$4,연료전지_원본!$A$4:$KY$4,0))</f>
        <v>0</v>
      </c>
      <c r="CA258" s="241">
        <f>INDEX(연료전지_원본!$A$4:$KY$369,MATCH($A258,연료전지_원본!$A$4:$A$369,0),MATCH($CA$4,연료전지_원본!$A$4:$KY$4,0))</f>
        <v>0</v>
      </c>
      <c r="CB258" s="241">
        <f>INDEX(연료전지_원본!$A$4:$KY$369,MATCH($A258,연료전지_원본!$A$4:$A$369,0),MATCH($CB$4,연료전지_원본!$A$4:$KY$4,0))</f>
        <v>0</v>
      </c>
      <c r="CC258" s="242">
        <f>INDEX(연료전지_원본!$A$4:$KY$369,MATCH($A258,연료전지_원본!$A$4:$A$369,0),MATCH($CC$4,연료전지_원본!$A$4:$KY$4,0))</f>
        <v>0</v>
      </c>
      <c r="CD258" s="250">
        <f>INDEX(연료전지_원본!$KB$4:$KX$369,MATCH($A258,연료전지_원본!$KB$4:$KB$369,0), MATCH(CD$4,연료전지_원본!$KB$4:$KX$4,0))*1000</f>
        <v>0</v>
      </c>
      <c r="CE258" s="250">
        <f>INDEX(연료전지_원본!$KB$4:$KX$369,MATCH($A258,연료전지_원본!$KB$4:$KB$369,0), MATCH(CE$4,연료전지_원본!$KB$4:$KX$4,0))*1000</f>
        <v>0</v>
      </c>
      <c r="CF258" s="250">
        <f>INDEX(연료전지_원본!$KB$4:$KX$369,MATCH($A258,연료전지_원본!$KB$4:$KB$369,0), MATCH(CF$4,연료전지_원본!$KB$4:$KX$4,0))*1000</f>
        <v>0</v>
      </c>
      <c r="CG258" s="250">
        <f>INDEX(연료전지_원본!$KB$4:$KX$369,MATCH($A258,연료전지_원본!$KB$4:$KB$369,0), MATCH(CG$4,연료전지_원본!$KB$4:$KX$4,0))*1000</f>
        <v>0</v>
      </c>
      <c r="CH258" s="250">
        <f>INDEX(연료전지_원본!$KB$4:$KX$369,MATCH($A258,연료전지_원본!$KB$4:$KB$369,0), MATCH(CH$4,연료전지_원본!$KB$4:$KX$4,0))*1000</f>
        <v>0</v>
      </c>
      <c r="CI258" s="250">
        <f>INDEX(연료전지_원본!$KB$4:$KX$369,MATCH($A258,연료전지_원본!$KB$4:$KB$369,0), MATCH(CI$4,연료전지_원본!$KB$4:$KX$4,0))*1000</f>
        <v>0</v>
      </c>
      <c r="CJ258" s="250">
        <f>INDEX(연료전지_원본!$KB$4:$KX$369,MATCH($A258,연료전지_원본!$KB$4:$KB$369,0), MATCH(CJ$4,연료전지_원본!$KB$4:$KX$4,0))*1000</f>
        <v>0</v>
      </c>
      <c r="CK258" s="250">
        <f>INDEX(연료전지_원본!$KB$4:$KX$369,MATCH($A258,연료전지_원본!$KB$4:$KB$369,0), MATCH(CK$4,연료전지_원본!$KB$4:$KX$4,0))*1000</f>
        <v>0</v>
      </c>
      <c r="CL258" s="250">
        <f>INDEX(연료전지_원본!$KB$4:$KX$369,MATCH($A258,연료전지_원본!$KB$4:$KB$369,0), MATCH(CL$4,연료전지_원본!$KB$4:$KX$4,0))*1000</f>
        <v>0</v>
      </c>
      <c r="CM258" s="250">
        <f>INDEX(연료전지_원본!$KB$4:$KX$369,MATCH($A258,연료전지_원본!$KB$4:$KB$369,0), MATCH(CM$4,연료전지_원본!$KB$4:$KX$4,0))*1000</f>
        <v>0</v>
      </c>
      <c r="CN258" s="250">
        <f>INDEX(연료전지_원본!$KB$4:$KX$369,MATCH($A258,연료전지_원본!$KB$4:$KB$369,0), MATCH(CN$4,연료전지_원본!$KB$4:$KX$4,0))*1000</f>
        <v>0</v>
      </c>
      <c r="CO258" s="250">
        <f>INDEX(연료전지_원본!$KB$4:$KX$369,MATCH($A258,연료전지_원본!$KB$4:$KB$369,0), MATCH(CO$4,연료전지_원본!$KB$4:$KX$4,0))*1000</f>
        <v>0</v>
      </c>
      <c r="CP258" s="250">
        <f>INDEX(연료전지_원본!$KB$4:$KX$369,MATCH($A258,연료전지_원본!$KB$4:$KB$369,0), MATCH(CP$4,연료전지_원본!$KB$4:$KX$4,0))*1000</f>
        <v>0</v>
      </c>
      <c r="CQ258" s="250">
        <f>INDEX(연료전지_원본!$KB$4:$KX$369,MATCH($A258,연료전지_원본!$KB$4:$KB$369,0), MATCH(CQ$4,연료전지_원본!$KB$4:$KX$4,0))*1000</f>
        <v>0</v>
      </c>
      <c r="CR258" s="250">
        <f>INDEX(연료전지_원본!$KB$4:$KX$369,MATCH($A258,연료전지_원본!$KB$4:$KB$369,0), MATCH(CR$4,연료전지_원본!$KB$4:$KX$4,0))*1000</f>
        <v>0</v>
      </c>
      <c r="CS258" s="250">
        <f>INDEX(연료전지_원본!$KB$4:$KX$369,MATCH($A258,연료전지_원본!$KB$4:$KB$369,0), MATCH(CS$4,연료전지_원본!$KB$4:$KX$4,0))*1000</f>
        <v>0</v>
      </c>
      <c r="CT258" s="250">
        <f>INDEX(연료전지_원본!$KB$4:$KX$369,MATCH($A258,연료전지_원본!$KB$4:$KB$369,0), MATCH(CT$4,연료전지_원본!$KB$4:$KX$4,0))*1000</f>
        <v>0</v>
      </c>
      <c r="CU258" s="250">
        <f>INDEX(연료전지_원본!$KB$4:$KX$369,MATCH($A258,연료전지_원본!$KB$4:$KB$369,0), MATCH(CU$4,연료전지_원본!$KB$4:$KX$4,0))*1000</f>
        <v>0</v>
      </c>
      <c r="CV258" s="250">
        <f>INDEX(연료전지_원본!$KB$4:$KX$369,MATCH($A258,연료전지_원본!$KB$4:$KB$369,0), MATCH(CV$4,연료전지_원본!$KB$4:$KX$4,0))*1000</f>
        <v>0</v>
      </c>
      <c r="CW258" s="250">
        <f>INDEX(연료전지_원본!$KB$4:$KX$369,MATCH($A258,연료전지_원본!$KB$4:$KB$369,0), MATCH(CW$4,연료전지_원본!$KB$4:$KX$4,0))*1000</f>
        <v>0</v>
      </c>
      <c r="CX258" s="250">
        <f>INDEX(연료전지_원본!$KB$4:$KX$369,MATCH($A258,연료전지_원본!$KB$4:$KB$369,0), MATCH(CX$4,연료전지_원본!$KB$4:$KX$4,0))*1000</f>
        <v>0</v>
      </c>
      <c r="CY258" s="250">
        <f>INDEX(연료전지_원본!$KB$4:$KX$369,MATCH($A258,연료전지_원본!$KB$4:$KB$369,0), MATCH(CY$4,연료전지_원본!$KB$4:$KX$4,0))*1000</f>
        <v>0</v>
      </c>
      <c r="DV258" s="30">
        <f t="shared" si="1285"/>
        <v>0</v>
      </c>
    </row>
    <row r="259" spans="1:126">
      <c r="A259" s="6">
        <v>46276</v>
      </c>
      <c r="B259" s="15">
        <f>운전실적_원본!B259</f>
        <v>0</v>
      </c>
      <c r="C259" s="16" t="str">
        <f t="shared" si="1291"/>
        <v/>
      </c>
      <c r="D259" s="12">
        <f>운전실적_원본!C259</f>
        <v>0</v>
      </c>
      <c r="E259" s="12" t="str">
        <f t="shared" si="1292"/>
        <v/>
      </c>
      <c r="F259" s="12">
        <f>운전실적_원본!D259</f>
        <v>0</v>
      </c>
      <c r="G259" s="16" t="str">
        <f t="shared" si="1293"/>
        <v/>
      </c>
      <c r="H259" s="15">
        <f>운전실적_원본!E259</f>
        <v>0</v>
      </c>
      <c r="I259" s="16" t="str">
        <f t="shared" si="1294"/>
        <v/>
      </c>
      <c r="J259" s="15">
        <f>운전실적_원본!F259</f>
        <v>0</v>
      </c>
      <c r="K259" s="16" t="str">
        <f t="shared" si="1294"/>
        <v/>
      </c>
      <c r="L259" s="32">
        <f>운전실적_원본!G259</f>
        <v>0</v>
      </c>
      <c r="M259" s="31" t="str">
        <f t="shared" ref="M259" si="1431">IF(OR(LEN(L259)=0,L259=0),"",L259-L258)</f>
        <v/>
      </c>
      <c r="N259" s="15">
        <f>운전실적_원본!H259</f>
        <v>0</v>
      </c>
      <c r="O259" s="16" t="str">
        <f t="shared" ref="O259" si="1432">IF(OR(LEN(N259)=0,N259=0),"",N259-N258)</f>
        <v/>
      </c>
      <c r="P259" s="15">
        <f>운전실적_원본!I259</f>
        <v>0</v>
      </c>
      <c r="Q259" s="16" t="str">
        <f t="shared" ref="Q259" si="1433">IF(OR(LEN(P259)=0,P259=0),"",P259-P258)</f>
        <v/>
      </c>
      <c r="R259" s="18">
        <f>운전실적_원본!J259</f>
        <v>0</v>
      </c>
      <c r="S259" s="19" t="str">
        <f t="shared" ref="S259" si="1434">IF(OR(LEN(R259)=0,R259=0),"",R259-R258)</f>
        <v/>
      </c>
      <c r="T259" s="18">
        <f>운전실적_원본!K259</f>
        <v>0</v>
      </c>
      <c r="U259" s="19" t="str">
        <f t="shared" si="1299"/>
        <v/>
      </c>
      <c r="V259" s="12">
        <f>운전실적_원본!L259</f>
        <v>0</v>
      </c>
      <c r="W259" s="16" t="str">
        <f t="shared" ref="W259" si="1435">IF(OR(LEN(V259)=0,V259=0),"",V259-V258)</f>
        <v/>
      </c>
      <c r="X259" s="10">
        <f>운전실적_원본!M259</f>
        <v>0</v>
      </c>
      <c r="Y259" s="10">
        <f>운전실적_원본!N259</f>
        <v>0</v>
      </c>
      <c r="Z259" s="10">
        <f>운전실적_원본!O259</f>
        <v>0</v>
      </c>
      <c r="AA259" s="10">
        <f>운전실적_원본!P259</f>
        <v>0</v>
      </c>
      <c r="AB259" s="10">
        <f>운전실적_원본!Q259</f>
        <v>0</v>
      </c>
      <c r="AC259" s="20">
        <f>운전실적_원본!R259</f>
        <v>0</v>
      </c>
      <c r="AD259" s="109">
        <f>운전실적_원본!S259</f>
        <v>0</v>
      </c>
      <c r="AE259" s="110">
        <f>운전실적_원본!T259</f>
        <v>0</v>
      </c>
      <c r="AF259" s="110">
        <f>운전실적_원본!U259</f>
        <v>0</v>
      </c>
      <c r="AG259" s="110">
        <f>운전실적_원본!V259</f>
        <v>0</v>
      </c>
      <c r="AH259" s="109">
        <f t="shared" si="1122"/>
        <v>0</v>
      </c>
      <c r="AI259" s="110">
        <f t="shared" si="1129"/>
        <v>0</v>
      </c>
      <c r="AJ259" s="110">
        <f>운전실적_원본!Y259</f>
        <v>0</v>
      </c>
      <c r="AK259" s="110">
        <f>운전실적_원본!Z259</f>
        <v>0</v>
      </c>
      <c r="AL259" s="106"/>
      <c r="AM259" s="105"/>
      <c r="AN259" s="105"/>
      <c r="AO259" s="105"/>
      <c r="AP259" s="105"/>
      <c r="AQ259" s="108"/>
      <c r="AR259" s="105"/>
      <c r="AS259" s="105"/>
      <c r="AT259" s="102"/>
      <c r="AU259" s="102"/>
      <c r="AV259" s="102"/>
      <c r="AW259" s="102"/>
      <c r="AX259" s="32">
        <f>운전실적_원본!W259</f>
        <v>0</v>
      </c>
      <c r="AY259" s="11">
        <f>운전실적_원본!X259</f>
        <v>0</v>
      </c>
      <c r="AZ259" s="11">
        <f>운전실적_원본!Y259</f>
        <v>0</v>
      </c>
      <c r="BA259" s="11">
        <f>운전실적_원본!Z259</f>
        <v>0</v>
      </c>
      <c r="BB259" s="11">
        <f>운전실적_원본!AA259</f>
        <v>0</v>
      </c>
      <c r="BC259" s="11">
        <f>운전실적_원본!AB259</f>
        <v>0</v>
      </c>
      <c r="BD259" s="32" t="str">
        <f t="shared" si="1115"/>
        <v>-</v>
      </c>
      <c r="BE259" s="11" t="str">
        <f t="shared" si="1123"/>
        <v>-</v>
      </c>
      <c r="BF259" s="11">
        <f>운전실적_원본!AE259</f>
        <v>0</v>
      </c>
      <c r="BG259" s="31">
        <f t="shared" si="1116"/>
        <v>0</v>
      </c>
      <c r="BH259" s="241">
        <f>INDEX(연료전지_원본!$A$4:$KY$369,MATCH($A259,연료전지_원본!$A$4:$A$369,0),MATCH($BH$4,연료전지_원본!$A$4:$KY$4,0))</f>
        <v>0</v>
      </c>
      <c r="BI259" s="241">
        <f>INDEX(연료전지_원본!$A$4:$KY$369,MATCH($A259,연료전지_원본!$A$4:$A$369,0),MATCH($BI$4,연료전지_원본!$A$4:$KY$4,0))</f>
        <v>0</v>
      </c>
      <c r="BJ259" s="241">
        <f>INDEX(연료전지_원본!$A$4:$KY$369,MATCH($A259,연료전지_원본!$A$4:$A$369,0),MATCH($BJ$4,연료전지_원본!$A$4:$KY$4,0))</f>
        <v>0</v>
      </c>
      <c r="BK259" s="241">
        <f>INDEX(연료전지_원본!$A$4:$KY$369,MATCH($A259,연료전지_원본!$A$4:$A$369,0),MATCH($BK$4,연료전지_원본!$A$4:$KY$4,0))</f>
        <v>0</v>
      </c>
      <c r="BL259" s="241">
        <f>INDEX(연료전지_원본!$A$4:$KY$369,MATCH($A259,연료전지_원본!$A$4:$A$369,0),MATCH($BL$4,연료전지_원본!$A$4:$KY$4,0))</f>
        <v>0</v>
      </c>
      <c r="BM259" s="241">
        <f>INDEX(연료전지_원본!$A$4:$KY$369,MATCH($A259,연료전지_원본!$A$4:$A$369,0),MATCH($BM$4,연료전지_원본!$A$4:$KY$4,0))</f>
        <v>0</v>
      </c>
      <c r="BN259" s="241">
        <f>INDEX(연료전지_원본!$A$4:$KY$369,MATCH($A259,연료전지_원본!$A$4:$A$369,0),MATCH($BN$4,연료전지_원본!$A$4:$KY$4,0))</f>
        <v>0</v>
      </c>
      <c r="BO259" s="241">
        <f>INDEX(연료전지_원본!$A$4:$KY$369,MATCH($A259,연료전지_원본!$A$4:$A$369,0),MATCH($BO$4,연료전지_원본!$A$4:$KY$4,0))</f>
        <v>0</v>
      </c>
      <c r="BP259" s="241">
        <f>INDEX(연료전지_원본!$A$4:$KY$369,MATCH($A259,연료전지_원본!$A$4:$A$369,0),MATCH($BP$4,연료전지_원본!$A$4:$KY$4,0))</f>
        <v>0</v>
      </c>
      <c r="BQ259" s="241">
        <f>INDEX(연료전지_원본!$A$4:$KY$369,MATCH($A259,연료전지_원본!$A$4:$A$369,0),MATCH($BQ$4,연료전지_원본!$A$4:$KY$4,0))</f>
        <v>0</v>
      </c>
      <c r="BR259" s="241">
        <f>INDEX(연료전지_원본!$A$4:$KY$369,MATCH($A259,연료전지_원본!$A$4:$A$369,0),MATCH($BR$4,연료전지_원본!$A$4:$KY$4,0))</f>
        <v>0</v>
      </c>
      <c r="BS259" s="241">
        <f>INDEX(연료전지_원본!$A$4:$KY$369,MATCH($A259,연료전지_원본!$A$4:$A$369,0),MATCH($BS$4,연료전지_원본!$A$4:$KY$4,0))</f>
        <v>0</v>
      </c>
      <c r="BT259" s="241">
        <f>INDEX(연료전지_원본!$A$4:$KY$369,MATCH($A259,연료전지_원본!$A$4:$A$369,0),MATCH($BT$4,연료전지_원본!$A$4:$KY$4,0))</f>
        <v>0</v>
      </c>
      <c r="BU259" s="241">
        <f>INDEX(연료전지_원본!$A$4:$KY$369,MATCH($A259,연료전지_원본!$A$4:$A$369,0),MATCH($BU$4,연료전지_원본!$A$4:$KY$4,0))</f>
        <v>0</v>
      </c>
      <c r="BV259" s="241">
        <f>INDEX(연료전지_원본!$A$4:$KY$369,MATCH($A259,연료전지_원본!$A$4:$A$369,0),MATCH($BV$4,연료전지_원본!$A$4:$KY$4,0))</f>
        <v>0</v>
      </c>
      <c r="BW259" s="241">
        <f>INDEX(연료전지_원본!$A$4:$KY$369,MATCH($A259,연료전지_원본!$A$4:$A$369,0),MATCH($BW$4,연료전지_원본!$A$4:$KY$4,0))</f>
        <v>0</v>
      </c>
      <c r="BX259" s="241">
        <f>INDEX(연료전지_원본!$A$4:$KY$369,MATCH($A259,연료전지_원본!$A$4:$A$369,0),MATCH($BX$4,연료전지_원본!$A$4:$KY$4,0))</f>
        <v>0</v>
      </c>
      <c r="BY259" s="241">
        <f>INDEX(연료전지_원본!$A$4:$KY$369,MATCH($A259,연료전지_원본!$A$4:$A$369,0),MATCH($BY$4,연료전지_원본!$A$4:$KY$4,0))</f>
        <v>0</v>
      </c>
      <c r="BZ259" s="241">
        <f>INDEX(연료전지_원본!$A$4:$KY$369,MATCH($A259,연료전지_원본!$A$4:$A$369,0),MATCH($BZ$4,연료전지_원본!$A$4:$KY$4,0))</f>
        <v>0</v>
      </c>
      <c r="CA259" s="241">
        <f>INDEX(연료전지_원본!$A$4:$KY$369,MATCH($A259,연료전지_원본!$A$4:$A$369,0),MATCH($CA$4,연료전지_원본!$A$4:$KY$4,0))</f>
        <v>0</v>
      </c>
      <c r="CB259" s="241">
        <f>INDEX(연료전지_원본!$A$4:$KY$369,MATCH($A259,연료전지_원본!$A$4:$A$369,0),MATCH($CB$4,연료전지_원본!$A$4:$KY$4,0))</f>
        <v>0</v>
      </c>
      <c r="CC259" s="242">
        <f>INDEX(연료전지_원본!$A$4:$KY$369,MATCH($A259,연료전지_원본!$A$4:$A$369,0),MATCH($CC$4,연료전지_원본!$A$4:$KY$4,0))</f>
        <v>0</v>
      </c>
      <c r="CD259" s="250">
        <f>INDEX(연료전지_원본!$KB$4:$KX$369,MATCH($A259,연료전지_원본!$KB$4:$KB$369,0), MATCH(CD$4,연료전지_원본!$KB$4:$KX$4,0))*1000</f>
        <v>0</v>
      </c>
      <c r="CE259" s="250">
        <f>INDEX(연료전지_원본!$KB$4:$KX$369,MATCH($A259,연료전지_원본!$KB$4:$KB$369,0), MATCH(CE$4,연료전지_원본!$KB$4:$KX$4,0))*1000</f>
        <v>0</v>
      </c>
      <c r="CF259" s="250">
        <f>INDEX(연료전지_원본!$KB$4:$KX$369,MATCH($A259,연료전지_원본!$KB$4:$KB$369,0), MATCH(CF$4,연료전지_원본!$KB$4:$KX$4,0))*1000</f>
        <v>0</v>
      </c>
      <c r="CG259" s="250">
        <f>INDEX(연료전지_원본!$KB$4:$KX$369,MATCH($A259,연료전지_원본!$KB$4:$KB$369,0), MATCH(CG$4,연료전지_원본!$KB$4:$KX$4,0))*1000</f>
        <v>0</v>
      </c>
      <c r="CH259" s="250">
        <f>INDEX(연료전지_원본!$KB$4:$KX$369,MATCH($A259,연료전지_원본!$KB$4:$KB$369,0), MATCH(CH$4,연료전지_원본!$KB$4:$KX$4,0))*1000</f>
        <v>0</v>
      </c>
      <c r="CI259" s="250">
        <f>INDEX(연료전지_원본!$KB$4:$KX$369,MATCH($A259,연료전지_원본!$KB$4:$KB$369,0), MATCH(CI$4,연료전지_원본!$KB$4:$KX$4,0))*1000</f>
        <v>0</v>
      </c>
      <c r="CJ259" s="250">
        <f>INDEX(연료전지_원본!$KB$4:$KX$369,MATCH($A259,연료전지_원본!$KB$4:$KB$369,0), MATCH(CJ$4,연료전지_원본!$KB$4:$KX$4,0))*1000</f>
        <v>0</v>
      </c>
      <c r="CK259" s="250">
        <f>INDEX(연료전지_원본!$KB$4:$KX$369,MATCH($A259,연료전지_원본!$KB$4:$KB$369,0), MATCH(CK$4,연료전지_원본!$KB$4:$KX$4,0))*1000</f>
        <v>0</v>
      </c>
      <c r="CL259" s="250">
        <f>INDEX(연료전지_원본!$KB$4:$KX$369,MATCH($A259,연료전지_원본!$KB$4:$KB$369,0), MATCH(CL$4,연료전지_원본!$KB$4:$KX$4,0))*1000</f>
        <v>0</v>
      </c>
      <c r="CM259" s="250">
        <f>INDEX(연료전지_원본!$KB$4:$KX$369,MATCH($A259,연료전지_원본!$KB$4:$KB$369,0), MATCH(CM$4,연료전지_원본!$KB$4:$KX$4,0))*1000</f>
        <v>0</v>
      </c>
      <c r="CN259" s="250">
        <f>INDEX(연료전지_원본!$KB$4:$KX$369,MATCH($A259,연료전지_원본!$KB$4:$KB$369,0), MATCH(CN$4,연료전지_원본!$KB$4:$KX$4,0))*1000</f>
        <v>0</v>
      </c>
      <c r="CO259" s="250">
        <f>INDEX(연료전지_원본!$KB$4:$KX$369,MATCH($A259,연료전지_원본!$KB$4:$KB$369,0), MATCH(CO$4,연료전지_원본!$KB$4:$KX$4,0))*1000</f>
        <v>0</v>
      </c>
      <c r="CP259" s="250">
        <f>INDEX(연료전지_원본!$KB$4:$KX$369,MATCH($A259,연료전지_원본!$KB$4:$KB$369,0), MATCH(CP$4,연료전지_원본!$KB$4:$KX$4,0))*1000</f>
        <v>0</v>
      </c>
      <c r="CQ259" s="250">
        <f>INDEX(연료전지_원본!$KB$4:$KX$369,MATCH($A259,연료전지_원본!$KB$4:$KB$369,0), MATCH(CQ$4,연료전지_원본!$KB$4:$KX$4,0))*1000</f>
        <v>0</v>
      </c>
      <c r="CR259" s="250">
        <f>INDEX(연료전지_원본!$KB$4:$KX$369,MATCH($A259,연료전지_원본!$KB$4:$KB$369,0), MATCH(CR$4,연료전지_원본!$KB$4:$KX$4,0))*1000</f>
        <v>0</v>
      </c>
      <c r="CS259" s="250">
        <f>INDEX(연료전지_원본!$KB$4:$KX$369,MATCH($A259,연료전지_원본!$KB$4:$KB$369,0), MATCH(CS$4,연료전지_원본!$KB$4:$KX$4,0))*1000</f>
        <v>0</v>
      </c>
      <c r="CT259" s="250">
        <f>INDEX(연료전지_원본!$KB$4:$KX$369,MATCH($A259,연료전지_원본!$KB$4:$KB$369,0), MATCH(CT$4,연료전지_원본!$KB$4:$KX$4,0))*1000</f>
        <v>0</v>
      </c>
      <c r="CU259" s="250">
        <f>INDEX(연료전지_원본!$KB$4:$KX$369,MATCH($A259,연료전지_원본!$KB$4:$KB$369,0), MATCH(CU$4,연료전지_원본!$KB$4:$KX$4,0))*1000</f>
        <v>0</v>
      </c>
      <c r="CV259" s="250">
        <f>INDEX(연료전지_원본!$KB$4:$KX$369,MATCH($A259,연료전지_원본!$KB$4:$KB$369,0), MATCH(CV$4,연료전지_원본!$KB$4:$KX$4,0))*1000</f>
        <v>0</v>
      </c>
      <c r="CW259" s="250">
        <f>INDEX(연료전지_원본!$KB$4:$KX$369,MATCH($A259,연료전지_원본!$KB$4:$KB$369,0), MATCH(CW$4,연료전지_원본!$KB$4:$KX$4,0))*1000</f>
        <v>0</v>
      </c>
      <c r="CX259" s="250">
        <f>INDEX(연료전지_원본!$KB$4:$KX$369,MATCH($A259,연료전지_원본!$KB$4:$KB$369,0), MATCH(CX$4,연료전지_원본!$KB$4:$KX$4,0))*1000</f>
        <v>0</v>
      </c>
      <c r="CY259" s="250">
        <f>INDEX(연료전지_원본!$KB$4:$KX$369,MATCH($A259,연료전지_원본!$KB$4:$KB$369,0), MATCH(CY$4,연료전지_원본!$KB$4:$KX$4,0))*1000</f>
        <v>0</v>
      </c>
      <c r="DV259" s="30">
        <f t="shared" si="1285"/>
        <v>0</v>
      </c>
    </row>
    <row r="260" spans="1:126">
      <c r="A260" s="6">
        <v>46277</v>
      </c>
      <c r="B260" s="15">
        <f>운전실적_원본!B260</f>
        <v>0</v>
      </c>
      <c r="C260" s="16" t="str">
        <f t="shared" si="1291"/>
        <v/>
      </c>
      <c r="D260" s="12">
        <f>운전실적_원본!C260</f>
        <v>0</v>
      </c>
      <c r="E260" s="12" t="str">
        <f t="shared" si="1292"/>
        <v/>
      </c>
      <c r="F260" s="12">
        <f>운전실적_원본!D260</f>
        <v>0</v>
      </c>
      <c r="G260" s="16" t="str">
        <f t="shared" si="1293"/>
        <v/>
      </c>
      <c r="H260" s="15">
        <f>운전실적_원본!E260</f>
        <v>0</v>
      </c>
      <c r="I260" s="16" t="str">
        <f t="shared" si="1294"/>
        <v/>
      </c>
      <c r="J260" s="15">
        <f>운전실적_원본!F260</f>
        <v>0</v>
      </c>
      <c r="K260" s="16" t="str">
        <f t="shared" si="1294"/>
        <v/>
      </c>
      <c r="L260" s="32">
        <f>운전실적_원본!G260</f>
        <v>0</v>
      </c>
      <c r="M260" s="31" t="str">
        <f t="shared" ref="M260" si="1436">IF(OR(LEN(L260)=0,L260=0),"",L260-L259)</f>
        <v/>
      </c>
      <c r="N260" s="15">
        <f>운전실적_원본!H260</f>
        <v>0</v>
      </c>
      <c r="O260" s="16" t="str">
        <f t="shared" ref="O260" si="1437">IF(OR(LEN(N260)=0,N260=0),"",N260-N259)</f>
        <v/>
      </c>
      <c r="P260" s="15">
        <f>운전실적_원본!I260</f>
        <v>0</v>
      </c>
      <c r="Q260" s="16" t="str">
        <f t="shared" ref="Q260" si="1438">IF(OR(LEN(P260)=0,P260=0),"",P260-P259)</f>
        <v/>
      </c>
      <c r="R260" s="18">
        <f>운전실적_원본!J260</f>
        <v>0</v>
      </c>
      <c r="S260" s="19" t="str">
        <f t="shared" ref="S260" si="1439">IF(OR(LEN(R260)=0,R260=0),"",R260-R259)</f>
        <v/>
      </c>
      <c r="T260" s="18">
        <f>운전실적_원본!K260</f>
        <v>0</v>
      </c>
      <c r="U260" s="19" t="str">
        <f t="shared" si="1299"/>
        <v/>
      </c>
      <c r="V260" s="12">
        <f>운전실적_원본!L260</f>
        <v>0</v>
      </c>
      <c r="W260" s="16" t="str">
        <f t="shared" ref="W260" si="1440">IF(OR(LEN(V260)=0,V260=0),"",V260-V259)</f>
        <v/>
      </c>
      <c r="X260" s="10">
        <f>운전실적_원본!M260</f>
        <v>0</v>
      </c>
      <c r="Y260" s="10">
        <f>운전실적_원본!N260</f>
        <v>0</v>
      </c>
      <c r="Z260" s="10">
        <f>운전실적_원본!O260</f>
        <v>0</v>
      </c>
      <c r="AA260" s="10">
        <f>운전실적_원본!P260</f>
        <v>0</v>
      </c>
      <c r="AB260" s="10">
        <f>운전실적_원본!Q260</f>
        <v>0</v>
      </c>
      <c r="AC260" s="20">
        <f>운전실적_원본!R260</f>
        <v>0</v>
      </c>
      <c r="AD260" s="109">
        <f>운전실적_원본!S260</f>
        <v>0</v>
      </c>
      <c r="AE260" s="110">
        <f>운전실적_원본!T260</f>
        <v>0</v>
      </c>
      <c r="AF260" s="110">
        <f>운전실적_원본!U260</f>
        <v>0</v>
      </c>
      <c r="AG260" s="110">
        <f>운전실적_원본!V260</f>
        <v>0</v>
      </c>
      <c r="AH260" s="109">
        <f t="shared" si="1122"/>
        <v>0</v>
      </c>
      <c r="AI260" s="110">
        <f t="shared" si="1129"/>
        <v>0</v>
      </c>
      <c r="AJ260" s="110">
        <f>운전실적_원본!Y260</f>
        <v>0</v>
      </c>
      <c r="AK260" s="110">
        <f>운전실적_원본!Z260</f>
        <v>0</v>
      </c>
      <c r="AL260" s="106"/>
      <c r="AM260" s="105"/>
      <c r="AN260" s="105"/>
      <c r="AO260" s="105"/>
      <c r="AP260" s="105"/>
      <c r="AQ260" s="108"/>
      <c r="AR260" s="105"/>
      <c r="AS260" s="105"/>
      <c r="AT260" s="102"/>
      <c r="AU260" s="102"/>
      <c r="AV260" s="102"/>
      <c r="AW260" s="102"/>
      <c r="AX260" s="32">
        <f>운전실적_원본!W260</f>
        <v>0</v>
      </c>
      <c r="AY260" s="11">
        <f>운전실적_원본!X260</f>
        <v>0</v>
      </c>
      <c r="AZ260" s="11">
        <f>운전실적_원본!Y260</f>
        <v>0</v>
      </c>
      <c r="BA260" s="11">
        <f>운전실적_원본!Z260</f>
        <v>0</v>
      </c>
      <c r="BB260" s="11">
        <f>운전실적_원본!AA260</f>
        <v>0</v>
      </c>
      <c r="BC260" s="11">
        <f>운전실적_원본!AB260</f>
        <v>0</v>
      </c>
      <c r="BD260" s="32" t="str">
        <f t="shared" si="1115"/>
        <v>-</v>
      </c>
      <c r="BE260" s="11" t="str">
        <f t="shared" si="1123"/>
        <v>-</v>
      </c>
      <c r="BF260" s="11">
        <f>운전실적_원본!AE260</f>
        <v>0</v>
      </c>
      <c r="BG260" s="31">
        <f t="shared" si="1116"/>
        <v>0</v>
      </c>
      <c r="BH260" s="241">
        <f>INDEX(연료전지_원본!$A$4:$KY$369,MATCH($A260,연료전지_원본!$A$4:$A$369,0),MATCH($BH$4,연료전지_원본!$A$4:$KY$4,0))</f>
        <v>0</v>
      </c>
      <c r="BI260" s="241">
        <f>INDEX(연료전지_원본!$A$4:$KY$369,MATCH($A260,연료전지_원본!$A$4:$A$369,0),MATCH($BI$4,연료전지_원본!$A$4:$KY$4,0))</f>
        <v>0</v>
      </c>
      <c r="BJ260" s="241">
        <f>INDEX(연료전지_원본!$A$4:$KY$369,MATCH($A260,연료전지_원본!$A$4:$A$369,0),MATCH($BJ$4,연료전지_원본!$A$4:$KY$4,0))</f>
        <v>0</v>
      </c>
      <c r="BK260" s="241">
        <f>INDEX(연료전지_원본!$A$4:$KY$369,MATCH($A260,연료전지_원본!$A$4:$A$369,0),MATCH($BK$4,연료전지_원본!$A$4:$KY$4,0))</f>
        <v>0</v>
      </c>
      <c r="BL260" s="241">
        <f>INDEX(연료전지_원본!$A$4:$KY$369,MATCH($A260,연료전지_원본!$A$4:$A$369,0),MATCH($BL$4,연료전지_원본!$A$4:$KY$4,0))</f>
        <v>0</v>
      </c>
      <c r="BM260" s="241">
        <f>INDEX(연료전지_원본!$A$4:$KY$369,MATCH($A260,연료전지_원본!$A$4:$A$369,0),MATCH($BM$4,연료전지_원본!$A$4:$KY$4,0))</f>
        <v>0</v>
      </c>
      <c r="BN260" s="241">
        <f>INDEX(연료전지_원본!$A$4:$KY$369,MATCH($A260,연료전지_원본!$A$4:$A$369,0),MATCH($BN$4,연료전지_원본!$A$4:$KY$4,0))</f>
        <v>0</v>
      </c>
      <c r="BO260" s="241">
        <f>INDEX(연료전지_원본!$A$4:$KY$369,MATCH($A260,연료전지_원본!$A$4:$A$369,0),MATCH($BO$4,연료전지_원본!$A$4:$KY$4,0))</f>
        <v>0</v>
      </c>
      <c r="BP260" s="241">
        <f>INDEX(연료전지_원본!$A$4:$KY$369,MATCH($A260,연료전지_원본!$A$4:$A$369,0),MATCH($BP$4,연료전지_원본!$A$4:$KY$4,0))</f>
        <v>0</v>
      </c>
      <c r="BQ260" s="241">
        <f>INDEX(연료전지_원본!$A$4:$KY$369,MATCH($A260,연료전지_원본!$A$4:$A$369,0),MATCH($BQ$4,연료전지_원본!$A$4:$KY$4,0))</f>
        <v>0</v>
      </c>
      <c r="BR260" s="241">
        <f>INDEX(연료전지_원본!$A$4:$KY$369,MATCH($A260,연료전지_원본!$A$4:$A$369,0),MATCH($BR$4,연료전지_원본!$A$4:$KY$4,0))</f>
        <v>0</v>
      </c>
      <c r="BS260" s="241">
        <f>INDEX(연료전지_원본!$A$4:$KY$369,MATCH($A260,연료전지_원본!$A$4:$A$369,0),MATCH($BS$4,연료전지_원본!$A$4:$KY$4,0))</f>
        <v>0</v>
      </c>
      <c r="BT260" s="241">
        <f>INDEX(연료전지_원본!$A$4:$KY$369,MATCH($A260,연료전지_원본!$A$4:$A$369,0),MATCH($BT$4,연료전지_원본!$A$4:$KY$4,0))</f>
        <v>0</v>
      </c>
      <c r="BU260" s="241">
        <f>INDEX(연료전지_원본!$A$4:$KY$369,MATCH($A260,연료전지_원본!$A$4:$A$369,0),MATCH($BU$4,연료전지_원본!$A$4:$KY$4,0))</f>
        <v>0</v>
      </c>
      <c r="BV260" s="241">
        <f>INDEX(연료전지_원본!$A$4:$KY$369,MATCH($A260,연료전지_원본!$A$4:$A$369,0),MATCH($BV$4,연료전지_원본!$A$4:$KY$4,0))</f>
        <v>0</v>
      </c>
      <c r="BW260" s="241">
        <f>INDEX(연료전지_원본!$A$4:$KY$369,MATCH($A260,연료전지_원본!$A$4:$A$369,0),MATCH($BW$4,연료전지_원본!$A$4:$KY$4,0))</f>
        <v>0</v>
      </c>
      <c r="BX260" s="241">
        <f>INDEX(연료전지_원본!$A$4:$KY$369,MATCH($A260,연료전지_원본!$A$4:$A$369,0),MATCH($BX$4,연료전지_원본!$A$4:$KY$4,0))</f>
        <v>0</v>
      </c>
      <c r="BY260" s="241">
        <f>INDEX(연료전지_원본!$A$4:$KY$369,MATCH($A260,연료전지_원본!$A$4:$A$369,0),MATCH($BY$4,연료전지_원본!$A$4:$KY$4,0))</f>
        <v>0</v>
      </c>
      <c r="BZ260" s="241">
        <f>INDEX(연료전지_원본!$A$4:$KY$369,MATCH($A260,연료전지_원본!$A$4:$A$369,0),MATCH($BZ$4,연료전지_원본!$A$4:$KY$4,0))</f>
        <v>0</v>
      </c>
      <c r="CA260" s="241">
        <f>INDEX(연료전지_원본!$A$4:$KY$369,MATCH($A260,연료전지_원본!$A$4:$A$369,0),MATCH($CA$4,연료전지_원본!$A$4:$KY$4,0))</f>
        <v>0</v>
      </c>
      <c r="CB260" s="241">
        <f>INDEX(연료전지_원본!$A$4:$KY$369,MATCH($A260,연료전지_원본!$A$4:$A$369,0),MATCH($CB$4,연료전지_원본!$A$4:$KY$4,0))</f>
        <v>0</v>
      </c>
      <c r="CC260" s="242">
        <f>INDEX(연료전지_원본!$A$4:$KY$369,MATCH($A260,연료전지_원본!$A$4:$A$369,0),MATCH($CC$4,연료전지_원본!$A$4:$KY$4,0))</f>
        <v>0</v>
      </c>
      <c r="CD260" s="250">
        <f>INDEX(연료전지_원본!$KB$4:$KX$369,MATCH($A260,연료전지_원본!$KB$4:$KB$369,0), MATCH(CD$4,연료전지_원본!$KB$4:$KX$4,0))*1000</f>
        <v>0</v>
      </c>
      <c r="CE260" s="250">
        <f>INDEX(연료전지_원본!$KB$4:$KX$369,MATCH($A260,연료전지_원본!$KB$4:$KB$369,0), MATCH(CE$4,연료전지_원본!$KB$4:$KX$4,0))*1000</f>
        <v>0</v>
      </c>
      <c r="CF260" s="250">
        <f>INDEX(연료전지_원본!$KB$4:$KX$369,MATCH($A260,연료전지_원본!$KB$4:$KB$369,0), MATCH(CF$4,연료전지_원본!$KB$4:$KX$4,0))*1000</f>
        <v>0</v>
      </c>
      <c r="CG260" s="250">
        <f>INDEX(연료전지_원본!$KB$4:$KX$369,MATCH($A260,연료전지_원본!$KB$4:$KB$369,0), MATCH(CG$4,연료전지_원본!$KB$4:$KX$4,0))*1000</f>
        <v>0</v>
      </c>
      <c r="CH260" s="250">
        <f>INDEX(연료전지_원본!$KB$4:$KX$369,MATCH($A260,연료전지_원본!$KB$4:$KB$369,0), MATCH(CH$4,연료전지_원본!$KB$4:$KX$4,0))*1000</f>
        <v>0</v>
      </c>
      <c r="CI260" s="250">
        <f>INDEX(연료전지_원본!$KB$4:$KX$369,MATCH($A260,연료전지_원본!$KB$4:$KB$369,0), MATCH(CI$4,연료전지_원본!$KB$4:$KX$4,0))*1000</f>
        <v>0</v>
      </c>
      <c r="CJ260" s="250">
        <f>INDEX(연료전지_원본!$KB$4:$KX$369,MATCH($A260,연료전지_원본!$KB$4:$KB$369,0), MATCH(CJ$4,연료전지_원본!$KB$4:$KX$4,0))*1000</f>
        <v>0</v>
      </c>
      <c r="CK260" s="250">
        <f>INDEX(연료전지_원본!$KB$4:$KX$369,MATCH($A260,연료전지_원본!$KB$4:$KB$369,0), MATCH(CK$4,연료전지_원본!$KB$4:$KX$4,0))*1000</f>
        <v>0</v>
      </c>
      <c r="CL260" s="250">
        <f>INDEX(연료전지_원본!$KB$4:$KX$369,MATCH($A260,연료전지_원본!$KB$4:$KB$369,0), MATCH(CL$4,연료전지_원본!$KB$4:$KX$4,0))*1000</f>
        <v>0</v>
      </c>
      <c r="CM260" s="250">
        <f>INDEX(연료전지_원본!$KB$4:$KX$369,MATCH($A260,연료전지_원본!$KB$4:$KB$369,0), MATCH(CM$4,연료전지_원본!$KB$4:$KX$4,0))*1000</f>
        <v>0</v>
      </c>
      <c r="CN260" s="250">
        <f>INDEX(연료전지_원본!$KB$4:$KX$369,MATCH($A260,연료전지_원본!$KB$4:$KB$369,0), MATCH(CN$4,연료전지_원본!$KB$4:$KX$4,0))*1000</f>
        <v>0</v>
      </c>
      <c r="CO260" s="250">
        <f>INDEX(연료전지_원본!$KB$4:$KX$369,MATCH($A260,연료전지_원본!$KB$4:$KB$369,0), MATCH(CO$4,연료전지_원본!$KB$4:$KX$4,0))*1000</f>
        <v>0</v>
      </c>
      <c r="CP260" s="250">
        <f>INDEX(연료전지_원본!$KB$4:$KX$369,MATCH($A260,연료전지_원본!$KB$4:$KB$369,0), MATCH(CP$4,연료전지_원본!$KB$4:$KX$4,0))*1000</f>
        <v>0</v>
      </c>
      <c r="CQ260" s="250">
        <f>INDEX(연료전지_원본!$KB$4:$KX$369,MATCH($A260,연료전지_원본!$KB$4:$KB$369,0), MATCH(CQ$4,연료전지_원본!$KB$4:$KX$4,0))*1000</f>
        <v>0</v>
      </c>
      <c r="CR260" s="250">
        <f>INDEX(연료전지_원본!$KB$4:$KX$369,MATCH($A260,연료전지_원본!$KB$4:$KB$369,0), MATCH(CR$4,연료전지_원본!$KB$4:$KX$4,0))*1000</f>
        <v>0</v>
      </c>
      <c r="CS260" s="250">
        <f>INDEX(연료전지_원본!$KB$4:$KX$369,MATCH($A260,연료전지_원본!$KB$4:$KB$369,0), MATCH(CS$4,연료전지_원본!$KB$4:$KX$4,0))*1000</f>
        <v>0</v>
      </c>
      <c r="CT260" s="250">
        <f>INDEX(연료전지_원본!$KB$4:$KX$369,MATCH($A260,연료전지_원본!$KB$4:$KB$369,0), MATCH(CT$4,연료전지_원본!$KB$4:$KX$4,0))*1000</f>
        <v>0</v>
      </c>
      <c r="CU260" s="250">
        <f>INDEX(연료전지_원본!$KB$4:$KX$369,MATCH($A260,연료전지_원본!$KB$4:$KB$369,0), MATCH(CU$4,연료전지_원본!$KB$4:$KX$4,0))*1000</f>
        <v>0</v>
      </c>
      <c r="CV260" s="250">
        <f>INDEX(연료전지_원본!$KB$4:$KX$369,MATCH($A260,연료전지_원본!$KB$4:$KB$369,0), MATCH(CV$4,연료전지_원본!$KB$4:$KX$4,0))*1000</f>
        <v>0</v>
      </c>
      <c r="CW260" s="250">
        <f>INDEX(연료전지_원본!$KB$4:$KX$369,MATCH($A260,연료전지_원본!$KB$4:$KB$369,0), MATCH(CW$4,연료전지_원본!$KB$4:$KX$4,0))*1000</f>
        <v>0</v>
      </c>
      <c r="CX260" s="250">
        <f>INDEX(연료전지_원본!$KB$4:$KX$369,MATCH($A260,연료전지_원본!$KB$4:$KB$369,0), MATCH(CX$4,연료전지_원본!$KB$4:$KX$4,0))*1000</f>
        <v>0</v>
      </c>
      <c r="CY260" s="250">
        <f>INDEX(연료전지_원본!$KB$4:$KX$369,MATCH($A260,연료전지_원본!$KB$4:$KB$369,0), MATCH(CY$4,연료전지_원본!$KB$4:$KX$4,0))*1000</f>
        <v>0</v>
      </c>
      <c r="DV260" s="30">
        <f t="shared" si="1285"/>
        <v>0</v>
      </c>
    </row>
    <row r="261" spans="1:126">
      <c r="A261" s="6">
        <v>46278</v>
      </c>
      <c r="B261" s="15">
        <f>운전실적_원본!B261</f>
        <v>0</v>
      </c>
      <c r="C261" s="16" t="str">
        <f t="shared" si="1291"/>
        <v/>
      </c>
      <c r="D261" s="12">
        <f>운전실적_원본!C261</f>
        <v>0</v>
      </c>
      <c r="E261" s="12" t="str">
        <f t="shared" si="1292"/>
        <v/>
      </c>
      <c r="F261" s="12">
        <f>운전실적_원본!D261</f>
        <v>0</v>
      </c>
      <c r="G261" s="16" t="str">
        <f t="shared" si="1293"/>
        <v/>
      </c>
      <c r="H261" s="15">
        <f>운전실적_원본!E261</f>
        <v>0</v>
      </c>
      <c r="I261" s="16" t="str">
        <f t="shared" si="1294"/>
        <v/>
      </c>
      <c r="J261" s="15">
        <f>운전실적_원본!F261</f>
        <v>0</v>
      </c>
      <c r="K261" s="16" t="str">
        <f t="shared" si="1294"/>
        <v/>
      </c>
      <c r="L261" s="32">
        <f>운전실적_원본!G261</f>
        <v>0</v>
      </c>
      <c r="M261" s="31" t="str">
        <f t="shared" ref="M261" si="1441">IF(OR(LEN(L261)=0,L261=0),"",L261-L260)</f>
        <v/>
      </c>
      <c r="N261" s="15">
        <f>운전실적_원본!H261</f>
        <v>0</v>
      </c>
      <c r="O261" s="16" t="str">
        <f t="shared" ref="O261" si="1442">IF(OR(LEN(N261)=0,N261=0),"",N261-N260)</f>
        <v/>
      </c>
      <c r="P261" s="15">
        <f>운전실적_원본!I261</f>
        <v>0</v>
      </c>
      <c r="Q261" s="16" t="str">
        <f t="shared" ref="Q261" si="1443">IF(OR(LEN(P261)=0,P261=0),"",P261-P260)</f>
        <v/>
      </c>
      <c r="R261" s="18">
        <f>운전실적_원본!J261</f>
        <v>0</v>
      </c>
      <c r="S261" s="19" t="str">
        <f t="shared" ref="S261" si="1444">IF(OR(LEN(R261)=0,R261=0),"",R261-R260)</f>
        <v/>
      </c>
      <c r="T261" s="18">
        <f>운전실적_원본!K261</f>
        <v>0</v>
      </c>
      <c r="U261" s="19" t="str">
        <f t="shared" si="1299"/>
        <v/>
      </c>
      <c r="V261" s="12">
        <f>운전실적_원본!L261</f>
        <v>0</v>
      </c>
      <c r="W261" s="16" t="str">
        <f t="shared" ref="W261" si="1445">IF(OR(LEN(V261)=0,V261=0),"",V261-V260)</f>
        <v/>
      </c>
      <c r="X261" s="10">
        <f>운전실적_원본!M261</f>
        <v>0</v>
      </c>
      <c r="Y261" s="10">
        <f>운전실적_원본!N261</f>
        <v>0</v>
      </c>
      <c r="Z261" s="10">
        <f>운전실적_원본!O261</f>
        <v>0</v>
      </c>
      <c r="AA261" s="10">
        <f>운전실적_원본!P261</f>
        <v>0</v>
      </c>
      <c r="AB261" s="10">
        <f>운전실적_원본!Q261</f>
        <v>0</v>
      </c>
      <c r="AC261" s="20">
        <f>운전실적_원본!R261</f>
        <v>0</v>
      </c>
      <c r="AD261" s="109">
        <f>운전실적_원본!S261</f>
        <v>0</v>
      </c>
      <c r="AE261" s="110">
        <f>운전실적_원본!T261</f>
        <v>0</v>
      </c>
      <c r="AF261" s="110">
        <f>운전실적_원본!U261</f>
        <v>0</v>
      </c>
      <c r="AG261" s="110">
        <f>운전실적_원본!V261</f>
        <v>0</v>
      </c>
      <c r="AH261" s="109">
        <f t="shared" si="1122"/>
        <v>0</v>
      </c>
      <c r="AI261" s="110">
        <f t="shared" si="1129"/>
        <v>0</v>
      </c>
      <c r="AJ261" s="110">
        <f>운전실적_원본!Y261</f>
        <v>0</v>
      </c>
      <c r="AK261" s="110">
        <f>운전실적_원본!Z261</f>
        <v>0</v>
      </c>
      <c r="AL261" s="106"/>
      <c r="AM261" s="105"/>
      <c r="AN261" s="105"/>
      <c r="AO261" s="105"/>
      <c r="AP261" s="105"/>
      <c r="AQ261" s="108"/>
      <c r="AR261" s="105"/>
      <c r="AS261" s="105"/>
      <c r="AT261" s="102"/>
      <c r="AU261" s="102"/>
      <c r="AV261" s="102"/>
      <c r="AW261" s="102"/>
      <c r="AX261" s="32">
        <f>운전실적_원본!W261</f>
        <v>0</v>
      </c>
      <c r="AY261" s="11">
        <f>운전실적_원본!X261</f>
        <v>0</v>
      </c>
      <c r="AZ261" s="11">
        <f>운전실적_원본!Y261</f>
        <v>0</v>
      </c>
      <c r="BA261" s="11">
        <f>운전실적_원본!Z261</f>
        <v>0</v>
      </c>
      <c r="BB261" s="11">
        <f>운전실적_원본!AA261</f>
        <v>0</v>
      </c>
      <c r="BC261" s="11">
        <f>운전실적_원본!AB261</f>
        <v>0</v>
      </c>
      <c r="BD261" s="32" t="str">
        <f t="shared" ref="BD261:BD324" si="1446">IFERROR(AX261/AD261,"-")</f>
        <v>-</v>
      </c>
      <c r="BE261" s="11" t="str">
        <f t="shared" si="1123"/>
        <v>-</v>
      </c>
      <c r="BF261" s="11">
        <f>운전실적_원본!AE261</f>
        <v>0</v>
      </c>
      <c r="BG261" s="31">
        <f t="shared" ref="BG261:BG324" si="1447">IFERROR(BF261/$BG$4,"-")</f>
        <v>0</v>
      </c>
      <c r="BH261" s="241">
        <f>INDEX(연료전지_원본!$A$4:$KY$369,MATCH($A261,연료전지_원본!$A$4:$A$369,0),MATCH($BH$4,연료전지_원본!$A$4:$KY$4,0))</f>
        <v>0</v>
      </c>
      <c r="BI261" s="241">
        <f>INDEX(연료전지_원본!$A$4:$KY$369,MATCH($A261,연료전지_원본!$A$4:$A$369,0),MATCH($BI$4,연료전지_원본!$A$4:$KY$4,0))</f>
        <v>0</v>
      </c>
      <c r="BJ261" s="241">
        <f>INDEX(연료전지_원본!$A$4:$KY$369,MATCH($A261,연료전지_원본!$A$4:$A$369,0),MATCH($BJ$4,연료전지_원본!$A$4:$KY$4,0))</f>
        <v>0</v>
      </c>
      <c r="BK261" s="241">
        <f>INDEX(연료전지_원본!$A$4:$KY$369,MATCH($A261,연료전지_원본!$A$4:$A$369,0),MATCH($BK$4,연료전지_원본!$A$4:$KY$4,0))</f>
        <v>0</v>
      </c>
      <c r="BL261" s="241">
        <f>INDEX(연료전지_원본!$A$4:$KY$369,MATCH($A261,연료전지_원본!$A$4:$A$369,0),MATCH($BL$4,연료전지_원본!$A$4:$KY$4,0))</f>
        <v>0</v>
      </c>
      <c r="BM261" s="241">
        <f>INDEX(연료전지_원본!$A$4:$KY$369,MATCH($A261,연료전지_원본!$A$4:$A$369,0),MATCH($BM$4,연료전지_원본!$A$4:$KY$4,0))</f>
        <v>0</v>
      </c>
      <c r="BN261" s="241">
        <f>INDEX(연료전지_원본!$A$4:$KY$369,MATCH($A261,연료전지_원본!$A$4:$A$369,0),MATCH($BN$4,연료전지_원본!$A$4:$KY$4,0))</f>
        <v>0</v>
      </c>
      <c r="BO261" s="241">
        <f>INDEX(연료전지_원본!$A$4:$KY$369,MATCH($A261,연료전지_원본!$A$4:$A$369,0),MATCH($BO$4,연료전지_원본!$A$4:$KY$4,0))</f>
        <v>0</v>
      </c>
      <c r="BP261" s="241">
        <f>INDEX(연료전지_원본!$A$4:$KY$369,MATCH($A261,연료전지_원본!$A$4:$A$369,0),MATCH($BP$4,연료전지_원본!$A$4:$KY$4,0))</f>
        <v>0</v>
      </c>
      <c r="BQ261" s="241">
        <f>INDEX(연료전지_원본!$A$4:$KY$369,MATCH($A261,연료전지_원본!$A$4:$A$369,0),MATCH($BQ$4,연료전지_원본!$A$4:$KY$4,0))</f>
        <v>0</v>
      </c>
      <c r="BR261" s="241">
        <f>INDEX(연료전지_원본!$A$4:$KY$369,MATCH($A261,연료전지_원본!$A$4:$A$369,0),MATCH($BR$4,연료전지_원본!$A$4:$KY$4,0))</f>
        <v>0</v>
      </c>
      <c r="BS261" s="241">
        <f>INDEX(연료전지_원본!$A$4:$KY$369,MATCH($A261,연료전지_원본!$A$4:$A$369,0),MATCH($BS$4,연료전지_원본!$A$4:$KY$4,0))</f>
        <v>0</v>
      </c>
      <c r="BT261" s="241">
        <f>INDEX(연료전지_원본!$A$4:$KY$369,MATCH($A261,연료전지_원본!$A$4:$A$369,0),MATCH($BT$4,연료전지_원본!$A$4:$KY$4,0))</f>
        <v>0</v>
      </c>
      <c r="BU261" s="241">
        <f>INDEX(연료전지_원본!$A$4:$KY$369,MATCH($A261,연료전지_원본!$A$4:$A$369,0),MATCH($BU$4,연료전지_원본!$A$4:$KY$4,0))</f>
        <v>0</v>
      </c>
      <c r="BV261" s="241">
        <f>INDEX(연료전지_원본!$A$4:$KY$369,MATCH($A261,연료전지_원본!$A$4:$A$369,0),MATCH($BV$4,연료전지_원본!$A$4:$KY$4,0))</f>
        <v>0</v>
      </c>
      <c r="BW261" s="241">
        <f>INDEX(연료전지_원본!$A$4:$KY$369,MATCH($A261,연료전지_원본!$A$4:$A$369,0),MATCH($BW$4,연료전지_원본!$A$4:$KY$4,0))</f>
        <v>0</v>
      </c>
      <c r="BX261" s="241">
        <f>INDEX(연료전지_원본!$A$4:$KY$369,MATCH($A261,연료전지_원본!$A$4:$A$369,0),MATCH($BX$4,연료전지_원본!$A$4:$KY$4,0))</f>
        <v>0</v>
      </c>
      <c r="BY261" s="241">
        <f>INDEX(연료전지_원본!$A$4:$KY$369,MATCH($A261,연료전지_원본!$A$4:$A$369,0),MATCH($BY$4,연료전지_원본!$A$4:$KY$4,0))</f>
        <v>0</v>
      </c>
      <c r="BZ261" s="241">
        <f>INDEX(연료전지_원본!$A$4:$KY$369,MATCH($A261,연료전지_원본!$A$4:$A$369,0),MATCH($BZ$4,연료전지_원본!$A$4:$KY$4,0))</f>
        <v>0</v>
      </c>
      <c r="CA261" s="241">
        <f>INDEX(연료전지_원본!$A$4:$KY$369,MATCH($A261,연료전지_원본!$A$4:$A$369,0),MATCH($CA$4,연료전지_원본!$A$4:$KY$4,0))</f>
        <v>0</v>
      </c>
      <c r="CB261" s="241">
        <f>INDEX(연료전지_원본!$A$4:$KY$369,MATCH($A261,연료전지_원본!$A$4:$A$369,0),MATCH($CB$4,연료전지_원본!$A$4:$KY$4,0))</f>
        <v>0</v>
      </c>
      <c r="CC261" s="242">
        <f>INDEX(연료전지_원본!$A$4:$KY$369,MATCH($A261,연료전지_원본!$A$4:$A$369,0),MATCH($CC$4,연료전지_원본!$A$4:$KY$4,0))</f>
        <v>0</v>
      </c>
      <c r="CD261" s="250">
        <f>INDEX(연료전지_원본!$KB$4:$KX$369,MATCH($A261,연료전지_원본!$KB$4:$KB$369,0), MATCH(CD$4,연료전지_원본!$KB$4:$KX$4,0))*1000</f>
        <v>0</v>
      </c>
      <c r="CE261" s="250">
        <f>INDEX(연료전지_원본!$KB$4:$KX$369,MATCH($A261,연료전지_원본!$KB$4:$KB$369,0), MATCH(CE$4,연료전지_원본!$KB$4:$KX$4,0))*1000</f>
        <v>0</v>
      </c>
      <c r="CF261" s="250">
        <f>INDEX(연료전지_원본!$KB$4:$KX$369,MATCH($A261,연료전지_원본!$KB$4:$KB$369,0), MATCH(CF$4,연료전지_원본!$KB$4:$KX$4,0))*1000</f>
        <v>0</v>
      </c>
      <c r="CG261" s="250">
        <f>INDEX(연료전지_원본!$KB$4:$KX$369,MATCH($A261,연료전지_원본!$KB$4:$KB$369,0), MATCH(CG$4,연료전지_원본!$KB$4:$KX$4,0))*1000</f>
        <v>0</v>
      </c>
      <c r="CH261" s="250">
        <f>INDEX(연료전지_원본!$KB$4:$KX$369,MATCH($A261,연료전지_원본!$KB$4:$KB$369,0), MATCH(CH$4,연료전지_원본!$KB$4:$KX$4,0))*1000</f>
        <v>0</v>
      </c>
      <c r="CI261" s="250">
        <f>INDEX(연료전지_원본!$KB$4:$KX$369,MATCH($A261,연료전지_원본!$KB$4:$KB$369,0), MATCH(CI$4,연료전지_원본!$KB$4:$KX$4,0))*1000</f>
        <v>0</v>
      </c>
      <c r="CJ261" s="250">
        <f>INDEX(연료전지_원본!$KB$4:$KX$369,MATCH($A261,연료전지_원본!$KB$4:$KB$369,0), MATCH(CJ$4,연료전지_원본!$KB$4:$KX$4,0))*1000</f>
        <v>0</v>
      </c>
      <c r="CK261" s="250">
        <f>INDEX(연료전지_원본!$KB$4:$KX$369,MATCH($A261,연료전지_원본!$KB$4:$KB$369,0), MATCH(CK$4,연료전지_원본!$KB$4:$KX$4,0))*1000</f>
        <v>0</v>
      </c>
      <c r="CL261" s="250">
        <f>INDEX(연료전지_원본!$KB$4:$KX$369,MATCH($A261,연료전지_원본!$KB$4:$KB$369,0), MATCH(CL$4,연료전지_원본!$KB$4:$KX$4,0))*1000</f>
        <v>0</v>
      </c>
      <c r="CM261" s="250">
        <f>INDEX(연료전지_원본!$KB$4:$KX$369,MATCH($A261,연료전지_원본!$KB$4:$KB$369,0), MATCH(CM$4,연료전지_원본!$KB$4:$KX$4,0))*1000</f>
        <v>0</v>
      </c>
      <c r="CN261" s="250">
        <f>INDEX(연료전지_원본!$KB$4:$KX$369,MATCH($A261,연료전지_원본!$KB$4:$KB$369,0), MATCH(CN$4,연료전지_원본!$KB$4:$KX$4,0))*1000</f>
        <v>0</v>
      </c>
      <c r="CO261" s="250">
        <f>INDEX(연료전지_원본!$KB$4:$KX$369,MATCH($A261,연료전지_원본!$KB$4:$KB$369,0), MATCH(CO$4,연료전지_원본!$KB$4:$KX$4,0))*1000</f>
        <v>0</v>
      </c>
      <c r="CP261" s="250">
        <f>INDEX(연료전지_원본!$KB$4:$KX$369,MATCH($A261,연료전지_원본!$KB$4:$KB$369,0), MATCH(CP$4,연료전지_원본!$KB$4:$KX$4,0))*1000</f>
        <v>0</v>
      </c>
      <c r="CQ261" s="250">
        <f>INDEX(연료전지_원본!$KB$4:$KX$369,MATCH($A261,연료전지_원본!$KB$4:$KB$369,0), MATCH(CQ$4,연료전지_원본!$KB$4:$KX$4,0))*1000</f>
        <v>0</v>
      </c>
      <c r="CR261" s="250">
        <f>INDEX(연료전지_원본!$KB$4:$KX$369,MATCH($A261,연료전지_원본!$KB$4:$KB$369,0), MATCH(CR$4,연료전지_원본!$KB$4:$KX$4,0))*1000</f>
        <v>0</v>
      </c>
      <c r="CS261" s="250">
        <f>INDEX(연료전지_원본!$KB$4:$KX$369,MATCH($A261,연료전지_원본!$KB$4:$KB$369,0), MATCH(CS$4,연료전지_원본!$KB$4:$KX$4,0))*1000</f>
        <v>0</v>
      </c>
      <c r="CT261" s="250">
        <f>INDEX(연료전지_원본!$KB$4:$KX$369,MATCH($A261,연료전지_원본!$KB$4:$KB$369,0), MATCH(CT$4,연료전지_원본!$KB$4:$KX$4,0))*1000</f>
        <v>0</v>
      </c>
      <c r="CU261" s="250">
        <f>INDEX(연료전지_원본!$KB$4:$KX$369,MATCH($A261,연료전지_원본!$KB$4:$KB$369,0), MATCH(CU$4,연료전지_원본!$KB$4:$KX$4,0))*1000</f>
        <v>0</v>
      </c>
      <c r="CV261" s="250">
        <f>INDEX(연료전지_원본!$KB$4:$KX$369,MATCH($A261,연료전지_원본!$KB$4:$KB$369,0), MATCH(CV$4,연료전지_원본!$KB$4:$KX$4,0))*1000</f>
        <v>0</v>
      </c>
      <c r="CW261" s="250">
        <f>INDEX(연료전지_원본!$KB$4:$KX$369,MATCH($A261,연료전지_원본!$KB$4:$KB$369,0), MATCH(CW$4,연료전지_원본!$KB$4:$KX$4,0))*1000</f>
        <v>0</v>
      </c>
      <c r="CX261" s="250">
        <f>INDEX(연료전지_원본!$KB$4:$KX$369,MATCH($A261,연료전지_원본!$KB$4:$KB$369,0), MATCH(CX$4,연료전지_원본!$KB$4:$KX$4,0))*1000</f>
        <v>0</v>
      </c>
      <c r="CY261" s="250">
        <f>INDEX(연료전지_원본!$KB$4:$KX$369,MATCH($A261,연료전지_원본!$KB$4:$KB$369,0), MATCH(CY$4,연료전지_원본!$KB$4:$KX$4,0))*1000</f>
        <v>0</v>
      </c>
      <c r="DV261" s="30">
        <f t="shared" si="1285"/>
        <v>0</v>
      </c>
    </row>
    <row r="262" spans="1:126">
      <c r="A262" s="6">
        <v>46279</v>
      </c>
      <c r="B262" s="15">
        <f>운전실적_원본!B262</f>
        <v>0</v>
      </c>
      <c r="C262" s="16" t="str">
        <f t="shared" si="1291"/>
        <v/>
      </c>
      <c r="D262" s="12">
        <f>운전실적_원본!C262</f>
        <v>0</v>
      </c>
      <c r="E262" s="12" t="str">
        <f t="shared" si="1292"/>
        <v/>
      </c>
      <c r="F262" s="12">
        <f>운전실적_원본!D262</f>
        <v>0</v>
      </c>
      <c r="G262" s="16" t="str">
        <f t="shared" si="1293"/>
        <v/>
      </c>
      <c r="H262" s="15">
        <f>운전실적_원본!E262</f>
        <v>0</v>
      </c>
      <c r="I262" s="16" t="str">
        <f t="shared" si="1294"/>
        <v/>
      </c>
      <c r="J262" s="15">
        <f>운전실적_원본!F262</f>
        <v>0</v>
      </c>
      <c r="K262" s="16" t="str">
        <f t="shared" si="1294"/>
        <v/>
      </c>
      <c r="L262" s="32">
        <f>운전실적_원본!G262</f>
        <v>0</v>
      </c>
      <c r="M262" s="31" t="str">
        <f t="shared" ref="M262" si="1448">IF(OR(LEN(L262)=0,L262=0),"",L262-L261)</f>
        <v/>
      </c>
      <c r="N262" s="15">
        <f>운전실적_원본!H262</f>
        <v>0</v>
      </c>
      <c r="O262" s="16" t="str">
        <f t="shared" ref="O262" si="1449">IF(OR(LEN(N262)=0,N262=0),"",N262-N261)</f>
        <v/>
      </c>
      <c r="P262" s="15">
        <f>운전실적_원본!I262</f>
        <v>0</v>
      </c>
      <c r="Q262" s="16" t="str">
        <f t="shared" ref="Q262" si="1450">IF(OR(LEN(P262)=0,P262=0),"",P262-P261)</f>
        <v/>
      </c>
      <c r="R262" s="18">
        <f>운전실적_원본!J262</f>
        <v>0</v>
      </c>
      <c r="S262" s="19" t="str">
        <f t="shared" ref="S262" si="1451">IF(OR(LEN(R262)=0,R262=0),"",R262-R261)</f>
        <v/>
      </c>
      <c r="T262" s="18">
        <f>운전실적_원본!K262</f>
        <v>0</v>
      </c>
      <c r="U262" s="19" t="str">
        <f t="shared" si="1299"/>
        <v/>
      </c>
      <c r="V262" s="12">
        <f>운전실적_원본!L262</f>
        <v>0</v>
      </c>
      <c r="W262" s="16" t="str">
        <f t="shared" ref="W262" si="1452">IF(OR(LEN(V262)=0,V262=0),"",V262-V261)</f>
        <v/>
      </c>
      <c r="X262" s="10">
        <f>운전실적_원본!M262</f>
        <v>0</v>
      </c>
      <c r="Y262" s="10">
        <f>운전실적_원본!N262</f>
        <v>0</v>
      </c>
      <c r="Z262" s="10">
        <f>운전실적_원본!O262</f>
        <v>0</v>
      </c>
      <c r="AA262" s="10">
        <f>운전실적_원본!P262</f>
        <v>0</v>
      </c>
      <c r="AB262" s="10">
        <f>운전실적_원본!Q262</f>
        <v>0</v>
      </c>
      <c r="AC262" s="20">
        <f>운전실적_원본!R262</f>
        <v>0</v>
      </c>
      <c r="AD262" s="109">
        <f>운전실적_원본!S262</f>
        <v>0</v>
      </c>
      <c r="AE262" s="110">
        <f>운전실적_원본!T262</f>
        <v>0</v>
      </c>
      <c r="AF262" s="110">
        <f>운전실적_원본!U262</f>
        <v>0</v>
      </c>
      <c r="AG262" s="110">
        <f>운전실적_원본!V262</f>
        <v>0</v>
      </c>
      <c r="AH262" s="109">
        <f t="shared" ref="AH262:AH325" si="1453">((AM262-AL262)+(AO262-AN262)+(AQ262-AP262))*24</f>
        <v>0</v>
      </c>
      <c r="AI262" s="110">
        <f t="shared" si="1129"/>
        <v>0</v>
      </c>
      <c r="AJ262" s="110">
        <f>운전실적_원본!Y262</f>
        <v>0</v>
      </c>
      <c r="AK262" s="110">
        <f>운전실적_원본!Z262</f>
        <v>0</v>
      </c>
      <c r="AL262" s="106"/>
      <c r="AM262" s="105"/>
      <c r="AN262" s="105"/>
      <c r="AO262" s="105"/>
      <c r="AP262" s="105"/>
      <c r="AQ262" s="108"/>
      <c r="AR262" s="105"/>
      <c r="AS262" s="105"/>
      <c r="AT262" s="102"/>
      <c r="AU262" s="102"/>
      <c r="AV262" s="102"/>
      <c r="AW262" s="102"/>
      <c r="AX262" s="32">
        <f>운전실적_원본!W262</f>
        <v>0</v>
      </c>
      <c r="AY262" s="11">
        <f>운전실적_원본!X262</f>
        <v>0</v>
      </c>
      <c r="AZ262" s="11">
        <f>운전실적_원본!Y262</f>
        <v>0</v>
      </c>
      <c r="BA262" s="11">
        <f>운전실적_원본!Z262</f>
        <v>0</v>
      </c>
      <c r="BB262" s="11">
        <f>운전실적_원본!AA262</f>
        <v>0</v>
      </c>
      <c r="BC262" s="11">
        <f>운전실적_원본!AB262</f>
        <v>0</v>
      </c>
      <c r="BD262" s="32" t="str">
        <f t="shared" si="1446"/>
        <v>-</v>
      </c>
      <c r="BE262" s="11" t="str">
        <f t="shared" ref="BE262:BE325" si="1454">IFERROR(BD262/$BE$4,"-")</f>
        <v>-</v>
      </c>
      <c r="BF262" s="11">
        <f>운전실적_원본!AE262</f>
        <v>0</v>
      </c>
      <c r="BG262" s="31">
        <f t="shared" si="1447"/>
        <v>0</v>
      </c>
      <c r="BH262" s="241">
        <f>INDEX(연료전지_원본!$A$4:$KY$369,MATCH($A262,연료전지_원본!$A$4:$A$369,0),MATCH($BH$4,연료전지_원본!$A$4:$KY$4,0))</f>
        <v>0</v>
      </c>
      <c r="BI262" s="241">
        <f>INDEX(연료전지_원본!$A$4:$KY$369,MATCH($A262,연료전지_원본!$A$4:$A$369,0),MATCH($BI$4,연료전지_원본!$A$4:$KY$4,0))</f>
        <v>0</v>
      </c>
      <c r="BJ262" s="241">
        <f>INDEX(연료전지_원본!$A$4:$KY$369,MATCH($A262,연료전지_원본!$A$4:$A$369,0),MATCH($BJ$4,연료전지_원본!$A$4:$KY$4,0))</f>
        <v>0</v>
      </c>
      <c r="BK262" s="241">
        <f>INDEX(연료전지_원본!$A$4:$KY$369,MATCH($A262,연료전지_원본!$A$4:$A$369,0),MATCH($BK$4,연료전지_원본!$A$4:$KY$4,0))</f>
        <v>0</v>
      </c>
      <c r="BL262" s="241">
        <f>INDEX(연료전지_원본!$A$4:$KY$369,MATCH($A262,연료전지_원본!$A$4:$A$369,0),MATCH($BL$4,연료전지_원본!$A$4:$KY$4,0))</f>
        <v>0</v>
      </c>
      <c r="BM262" s="241">
        <f>INDEX(연료전지_원본!$A$4:$KY$369,MATCH($A262,연료전지_원본!$A$4:$A$369,0),MATCH($BM$4,연료전지_원본!$A$4:$KY$4,0))</f>
        <v>0</v>
      </c>
      <c r="BN262" s="241">
        <f>INDEX(연료전지_원본!$A$4:$KY$369,MATCH($A262,연료전지_원본!$A$4:$A$369,0),MATCH($BN$4,연료전지_원본!$A$4:$KY$4,0))</f>
        <v>0</v>
      </c>
      <c r="BO262" s="241">
        <f>INDEX(연료전지_원본!$A$4:$KY$369,MATCH($A262,연료전지_원본!$A$4:$A$369,0),MATCH($BO$4,연료전지_원본!$A$4:$KY$4,0))</f>
        <v>0</v>
      </c>
      <c r="BP262" s="241">
        <f>INDEX(연료전지_원본!$A$4:$KY$369,MATCH($A262,연료전지_원본!$A$4:$A$369,0),MATCH($BP$4,연료전지_원본!$A$4:$KY$4,0))</f>
        <v>0</v>
      </c>
      <c r="BQ262" s="241">
        <f>INDEX(연료전지_원본!$A$4:$KY$369,MATCH($A262,연료전지_원본!$A$4:$A$369,0),MATCH($BQ$4,연료전지_원본!$A$4:$KY$4,0))</f>
        <v>0</v>
      </c>
      <c r="BR262" s="241">
        <f>INDEX(연료전지_원본!$A$4:$KY$369,MATCH($A262,연료전지_원본!$A$4:$A$369,0),MATCH($BR$4,연료전지_원본!$A$4:$KY$4,0))</f>
        <v>0</v>
      </c>
      <c r="BS262" s="241">
        <f>INDEX(연료전지_원본!$A$4:$KY$369,MATCH($A262,연료전지_원본!$A$4:$A$369,0),MATCH($BS$4,연료전지_원본!$A$4:$KY$4,0))</f>
        <v>0</v>
      </c>
      <c r="BT262" s="241">
        <f>INDEX(연료전지_원본!$A$4:$KY$369,MATCH($A262,연료전지_원본!$A$4:$A$369,0),MATCH($BT$4,연료전지_원본!$A$4:$KY$4,0))</f>
        <v>0</v>
      </c>
      <c r="BU262" s="241">
        <f>INDEX(연료전지_원본!$A$4:$KY$369,MATCH($A262,연료전지_원본!$A$4:$A$369,0),MATCH($BU$4,연료전지_원본!$A$4:$KY$4,0))</f>
        <v>0</v>
      </c>
      <c r="BV262" s="241">
        <f>INDEX(연료전지_원본!$A$4:$KY$369,MATCH($A262,연료전지_원본!$A$4:$A$369,0),MATCH($BV$4,연료전지_원본!$A$4:$KY$4,0))</f>
        <v>0</v>
      </c>
      <c r="BW262" s="241">
        <f>INDEX(연료전지_원본!$A$4:$KY$369,MATCH($A262,연료전지_원본!$A$4:$A$369,0),MATCH($BW$4,연료전지_원본!$A$4:$KY$4,0))</f>
        <v>0</v>
      </c>
      <c r="BX262" s="241">
        <f>INDEX(연료전지_원본!$A$4:$KY$369,MATCH($A262,연료전지_원본!$A$4:$A$369,0),MATCH($BX$4,연료전지_원본!$A$4:$KY$4,0))</f>
        <v>0</v>
      </c>
      <c r="BY262" s="241">
        <f>INDEX(연료전지_원본!$A$4:$KY$369,MATCH($A262,연료전지_원본!$A$4:$A$369,0),MATCH($BY$4,연료전지_원본!$A$4:$KY$4,0))</f>
        <v>0</v>
      </c>
      <c r="BZ262" s="241">
        <f>INDEX(연료전지_원본!$A$4:$KY$369,MATCH($A262,연료전지_원본!$A$4:$A$369,0),MATCH($BZ$4,연료전지_원본!$A$4:$KY$4,0))</f>
        <v>0</v>
      </c>
      <c r="CA262" s="241">
        <f>INDEX(연료전지_원본!$A$4:$KY$369,MATCH($A262,연료전지_원본!$A$4:$A$369,0),MATCH($CA$4,연료전지_원본!$A$4:$KY$4,0))</f>
        <v>0</v>
      </c>
      <c r="CB262" s="241">
        <f>INDEX(연료전지_원본!$A$4:$KY$369,MATCH($A262,연료전지_원본!$A$4:$A$369,0),MATCH($CB$4,연료전지_원본!$A$4:$KY$4,0))</f>
        <v>0</v>
      </c>
      <c r="CC262" s="242">
        <f>INDEX(연료전지_원본!$A$4:$KY$369,MATCH($A262,연료전지_원본!$A$4:$A$369,0),MATCH($CC$4,연료전지_원본!$A$4:$KY$4,0))</f>
        <v>0</v>
      </c>
      <c r="CD262" s="250">
        <f>INDEX(연료전지_원본!$KB$4:$KX$369,MATCH($A262,연료전지_원본!$KB$4:$KB$369,0), MATCH(CD$4,연료전지_원본!$KB$4:$KX$4,0))*1000</f>
        <v>0</v>
      </c>
      <c r="CE262" s="250">
        <f>INDEX(연료전지_원본!$KB$4:$KX$369,MATCH($A262,연료전지_원본!$KB$4:$KB$369,0), MATCH(CE$4,연료전지_원본!$KB$4:$KX$4,0))*1000</f>
        <v>0</v>
      </c>
      <c r="CF262" s="250">
        <f>INDEX(연료전지_원본!$KB$4:$KX$369,MATCH($A262,연료전지_원본!$KB$4:$KB$369,0), MATCH(CF$4,연료전지_원본!$KB$4:$KX$4,0))*1000</f>
        <v>0</v>
      </c>
      <c r="CG262" s="250">
        <f>INDEX(연료전지_원본!$KB$4:$KX$369,MATCH($A262,연료전지_원본!$KB$4:$KB$369,0), MATCH(CG$4,연료전지_원본!$KB$4:$KX$4,0))*1000</f>
        <v>0</v>
      </c>
      <c r="CH262" s="250">
        <f>INDEX(연료전지_원본!$KB$4:$KX$369,MATCH($A262,연료전지_원본!$KB$4:$KB$369,0), MATCH(CH$4,연료전지_원본!$KB$4:$KX$4,0))*1000</f>
        <v>0</v>
      </c>
      <c r="CI262" s="250">
        <f>INDEX(연료전지_원본!$KB$4:$KX$369,MATCH($A262,연료전지_원본!$KB$4:$KB$369,0), MATCH(CI$4,연료전지_원본!$KB$4:$KX$4,0))*1000</f>
        <v>0</v>
      </c>
      <c r="CJ262" s="250">
        <f>INDEX(연료전지_원본!$KB$4:$KX$369,MATCH($A262,연료전지_원본!$KB$4:$KB$369,0), MATCH(CJ$4,연료전지_원본!$KB$4:$KX$4,0))*1000</f>
        <v>0</v>
      </c>
      <c r="CK262" s="250">
        <f>INDEX(연료전지_원본!$KB$4:$KX$369,MATCH($A262,연료전지_원본!$KB$4:$KB$369,0), MATCH(CK$4,연료전지_원본!$KB$4:$KX$4,0))*1000</f>
        <v>0</v>
      </c>
      <c r="CL262" s="250">
        <f>INDEX(연료전지_원본!$KB$4:$KX$369,MATCH($A262,연료전지_원본!$KB$4:$KB$369,0), MATCH(CL$4,연료전지_원본!$KB$4:$KX$4,0))*1000</f>
        <v>0</v>
      </c>
      <c r="CM262" s="250">
        <f>INDEX(연료전지_원본!$KB$4:$KX$369,MATCH($A262,연료전지_원본!$KB$4:$KB$369,0), MATCH(CM$4,연료전지_원본!$KB$4:$KX$4,0))*1000</f>
        <v>0</v>
      </c>
      <c r="CN262" s="250">
        <f>INDEX(연료전지_원본!$KB$4:$KX$369,MATCH($A262,연료전지_원본!$KB$4:$KB$369,0), MATCH(CN$4,연료전지_원본!$KB$4:$KX$4,0))*1000</f>
        <v>0</v>
      </c>
      <c r="CO262" s="250">
        <f>INDEX(연료전지_원본!$KB$4:$KX$369,MATCH($A262,연료전지_원본!$KB$4:$KB$369,0), MATCH(CO$4,연료전지_원본!$KB$4:$KX$4,0))*1000</f>
        <v>0</v>
      </c>
      <c r="CP262" s="250">
        <f>INDEX(연료전지_원본!$KB$4:$KX$369,MATCH($A262,연료전지_원본!$KB$4:$KB$369,0), MATCH(CP$4,연료전지_원본!$KB$4:$KX$4,0))*1000</f>
        <v>0</v>
      </c>
      <c r="CQ262" s="250">
        <f>INDEX(연료전지_원본!$KB$4:$KX$369,MATCH($A262,연료전지_원본!$KB$4:$KB$369,0), MATCH(CQ$4,연료전지_원본!$KB$4:$KX$4,0))*1000</f>
        <v>0</v>
      </c>
      <c r="CR262" s="250">
        <f>INDEX(연료전지_원본!$KB$4:$KX$369,MATCH($A262,연료전지_원본!$KB$4:$KB$369,0), MATCH(CR$4,연료전지_원본!$KB$4:$KX$4,0))*1000</f>
        <v>0</v>
      </c>
      <c r="CS262" s="250">
        <f>INDEX(연료전지_원본!$KB$4:$KX$369,MATCH($A262,연료전지_원본!$KB$4:$KB$369,0), MATCH(CS$4,연료전지_원본!$KB$4:$KX$4,0))*1000</f>
        <v>0</v>
      </c>
      <c r="CT262" s="250">
        <f>INDEX(연료전지_원본!$KB$4:$KX$369,MATCH($A262,연료전지_원본!$KB$4:$KB$369,0), MATCH(CT$4,연료전지_원본!$KB$4:$KX$4,0))*1000</f>
        <v>0</v>
      </c>
      <c r="CU262" s="250">
        <f>INDEX(연료전지_원본!$KB$4:$KX$369,MATCH($A262,연료전지_원본!$KB$4:$KB$369,0), MATCH(CU$4,연료전지_원본!$KB$4:$KX$4,0))*1000</f>
        <v>0</v>
      </c>
      <c r="CV262" s="250">
        <f>INDEX(연료전지_원본!$KB$4:$KX$369,MATCH($A262,연료전지_원본!$KB$4:$KB$369,0), MATCH(CV$4,연료전지_원본!$KB$4:$KX$4,0))*1000</f>
        <v>0</v>
      </c>
      <c r="CW262" s="250">
        <f>INDEX(연료전지_원본!$KB$4:$KX$369,MATCH($A262,연료전지_원본!$KB$4:$KB$369,0), MATCH(CW$4,연료전지_원본!$KB$4:$KX$4,0))*1000</f>
        <v>0</v>
      </c>
      <c r="CX262" s="250">
        <f>INDEX(연료전지_원본!$KB$4:$KX$369,MATCH($A262,연료전지_원본!$KB$4:$KB$369,0), MATCH(CX$4,연료전지_원본!$KB$4:$KX$4,0))*1000</f>
        <v>0</v>
      </c>
      <c r="CY262" s="250">
        <f>INDEX(연료전지_원본!$KB$4:$KX$369,MATCH($A262,연료전지_원본!$KB$4:$KB$369,0), MATCH(CY$4,연료전지_원본!$KB$4:$KX$4,0))*1000</f>
        <v>0</v>
      </c>
      <c r="DV262" s="30">
        <f t="shared" si="1285"/>
        <v>0</v>
      </c>
    </row>
    <row r="263" spans="1:126">
      <c r="A263" s="6">
        <v>46280</v>
      </c>
      <c r="B263" s="15">
        <f>운전실적_원본!B263</f>
        <v>0</v>
      </c>
      <c r="C263" s="16" t="str">
        <f t="shared" si="1291"/>
        <v/>
      </c>
      <c r="D263" s="12">
        <f>운전실적_원본!C263</f>
        <v>0</v>
      </c>
      <c r="E263" s="12" t="str">
        <f t="shared" si="1292"/>
        <v/>
      </c>
      <c r="F263" s="12">
        <f>운전실적_원본!D263</f>
        <v>0</v>
      </c>
      <c r="G263" s="16" t="str">
        <f t="shared" si="1293"/>
        <v/>
      </c>
      <c r="H263" s="15">
        <f>운전실적_원본!E263</f>
        <v>0</v>
      </c>
      <c r="I263" s="16" t="str">
        <f t="shared" si="1294"/>
        <v/>
      </c>
      <c r="J263" s="15">
        <f>운전실적_원본!F263</f>
        <v>0</v>
      </c>
      <c r="K263" s="16" t="str">
        <f t="shared" si="1294"/>
        <v/>
      </c>
      <c r="L263" s="32">
        <f>운전실적_원본!G263</f>
        <v>0</v>
      </c>
      <c r="M263" s="31" t="str">
        <f t="shared" ref="M263" si="1455">IF(OR(LEN(L263)=0,L263=0),"",L263-L262)</f>
        <v/>
      </c>
      <c r="N263" s="15">
        <f>운전실적_원본!H263</f>
        <v>0</v>
      </c>
      <c r="O263" s="16" t="str">
        <f t="shared" ref="O263" si="1456">IF(OR(LEN(N263)=0,N263=0),"",N263-N262)</f>
        <v/>
      </c>
      <c r="P263" s="15">
        <f>운전실적_원본!I263</f>
        <v>0</v>
      </c>
      <c r="Q263" s="16" t="str">
        <f t="shared" ref="Q263" si="1457">IF(OR(LEN(P263)=0,P263=0),"",P263-P262)</f>
        <v/>
      </c>
      <c r="R263" s="18">
        <f>운전실적_원본!J263</f>
        <v>0</v>
      </c>
      <c r="S263" s="19" t="str">
        <f t="shared" ref="S263" si="1458">IF(OR(LEN(R263)=0,R263=0),"",R263-R262)</f>
        <v/>
      </c>
      <c r="T263" s="18">
        <f>운전실적_원본!K263</f>
        <v>0</v>
      </c>
      <c r="U263" s="19" t="str">
        <f t="shared" si="1299"/>
        <v/>
      </c>
      <c r="V263" s="12">
        <f>운전실적_원본!L263</f>
        <v>0</v>
      </c>
      <c r="W263" s="16" t="str">
        <f t="shared" ref="W263" si="1459">IF(OR(LEN(V263)=0,V263=0),"",V263-V262)</f>
        <v/>
      </c>
      <c r="X263" s="10">
        <f>운전실적_원본!M263</f>
        <v>0</v>
      </c>
      <c r="Y263" s="10">
        <f>운전실적_원본!N263</f>
        <v>0</v>
      </c>
      <c r="Z263" s="10">
        <f>운전실적_원본!O263</f>
        <v>0</v>
      </c>
      <c r="AA263" s="10">
        <f>운전실적_원본!P263</f>
        <v>0</v>
      </c>
      <c r="AB263" s="10">
        <f>운전실적_원본!Q263</f>
        <v>0</v>
      </c>
      <c r="AC263" s="20">
        <f>운전실적_원본!R263</f>
        <v>0</v>
      </c>
      <c r="AD263" s="109">
        <f>운전실적_원본!S263</f>
        <v>0</v>
      </c>
      <c r="AE263" s="110">
        <f>운전실적_원본!T263</f>
        <v>0</v>
      </c>
      <c r="AF263" s="110">
        <f>운전실적_원본!U263</f>
        <v>0</v>
      </c>
      <c r="AG263" s="110">
        <f>운전실적_원본!V263</f>
        <v>0</v>
      </c>
      <c r="AH263" s="109">
        <f t="shared" si="1453"/>
        <v>0</v>
      </c>
      <c r="AI263" s="110">
        <f t="shared" ref="AI263:AI326" si="1460">(AS263-AR263)*24</f>
        <v>0</v>
      </c>
      <c r="AJ263" s="110">
        <f>운전실적_원본!Y263</f>
        <v>0</v>
      </c>
      <c r="AK263" s="110">
        <f>운전실적_원본!Z263</f>
        <v>0</v>
      </c>
      <c r="AL263" s="106"/>
      <c r="AM263" s="105"/>
      <c r="AN263" s="105"/>
      <c r="AO263" s="105"/>
      <c r="AP263" s="105"/>
      <c r="AQ263" s="108"/>
      <c r="AR263" s="105"/>
      <c r="AS263" s="105"/>
      <c r="AT263" s="102"/>
      <c r="AU263" s="102"/>
      <c r="AV263" s="102"/>
      <c r="AW263" s="102"/>
      <c r="AX263" s="32">
        <f>운전실적_원본!W263</f>
        <v>0</v>
      </c>
      <c r="AY263" s="11">
        <f>운전실적_원본!X263</f>
        <v>0</v>
      </c>
      <c r="AZ263" s="11">
        <f>운전실적_원본!Y263</f>
        <v>0</v>
      </c>
      <c r="BA263" s="11">
        <f>운전실적_원본!Z263</f>
        <v>0</v>
      </c>
      <c r="BB263" s="11">
        <f>운전실적_원본!AA263</f>
        <v>0</v>
      </c>
      <c r="BC263" s="11">
        <f>운전실적_원본!AB263</f>
        <v>0</v>
      </c>
      <c r="BD263" s="32" t="str">
        <f t="shared" si="1446"/>
        <v>-</v>
      </c>
      <c r="BE263" s="11" t="str">
        <f t="shared" si="1454"/>
        <v>-</v>
      </c>
      <c r="BF263" s="11">
        <f>운전실적_원본!AE263</f>
        <v>0</v>
      </c>
      <c r="BG263" s="31">
        <f t="shared" si="1447"/>
        <v>0</v>
      </c>
      <c r="BH263" s="241">
        <f>INDEX(연료전지_원본!$A$4:$KY$369,MATCH($A263,연료전지_원본!$A$4:$A$369,0),MATCH($BH$4,연료전지_원본!$A$4:$KY$4,0))</f>
        <v>0</v>
      </c>
      <c r="BI263" s="241">
        <f>INDEX(연료전지_원본!$A$4:$KY$369,MATCH($A263,연료전지_원본!$A$4:$A$369,0),MATCH($BI$4,연료전지_원본!$A$4:$KY$4,0))</f>
        <v>0</v>
      </c>
      <c r="BJ263" s="241">
        <f>INDEX(연료전지_원본!$A$4:$KY$369,MATCH($A263,연료전지_원본!$A$4:$A$369,0),MATCH($BJ$4,연료전지_원본!$A$4:$KY$4,0))</f>
        <v>0</v>
      </c>
      <c r="BK263" s="241">
        <f>INDEX(연료전지_원본!$A$4:$KY$369,MATCH($A263,연료전지_원본!$A$4:$A$369,0),MATCH($BK$4,연료전지_원본!$A$4:$KY$4,0))</f>
        <v>0</v>
      </c>
      <c r="BL263" s="241">
        <f>INDEX(연료전지_원본!$A$4:$KY$369,MATCH($A263,연료전지_원본!$A$4:$A$369,0),MATCH($BL$4,연료전지_원본!$A$4:$KY$4,0))</f>
        <v>0</v>
      </c>
      <c r="BM263" s="241">
        <f>INDEX(연료전지_원본!$A$4:$KY$369,MATCH($A263,연료전지_원본!$A$4:$A$369,0),MATCH($BM$4,연료전지_원본!$A$4:$KY$4,0))</f>
        <v>0</v>
      </c>
      <c r="BN263" s="241">
        <f>INDEX(연료전지_원본!$A$4:$KY$369,MATCH($A263,연료전지_원본!$A$4:$A$369,0),MATCH($BN$4,연료전지_원본!$A$4:$KY$4,0))</f>
        <v>0</v>
      </c>
      <c r="BO263" s="241">
        <f>INDEX(연료전지_원본!$A$4:$KY$369,MATCH($A263,연료전지_원본!$A$4:$A$369,0),MATCH($BO$4,연료전지_원본!$A$4:$KY$4,0))</f>
        <v>0</v>
      </c>
      <c r="BP263" s="241">
        <f>INDEX(연료전지_원본!$A$4:$KY$369,MATCH($A263,연료전지_원본!$A$4:$A$369,0),MATCH($BP$4,연료전지_원본!$A$4:$KY$4,0))</f>
        <v>0</v>
      </c>
      <c r="BQ263" s="241">
        <f>INDEX(연료전지_원본!$A$4:$KY$369,MATCH($A263,연료전지_원본!$A$4:$A$369,0),MATCH($BQ$4,연료전지_원본!$A$4:$KY$4,0))</f>
        <v>0</v>
      </c>
      <c r="BR263" s="241">
        <f>INDEX(연료전지_원본!$A$4:$KY$369,MATCH($A263,연료전지_원본!$A$4:$A$369,0),MATCH($BR$4,연료전지_원본!$A$4:$KY$4,0))</f>
        <v>0</v>
      </c>
      <c r="BS263" s="241">
        <f>INDEX(연료전지_원본!$A$4:$KY$369,MATCH($A263,연료전지_원본!$A$4:$A$369,0),MATCH($BS$4,연료전지_원본!$A$4:$KY$4,0))</f>
        <v>0</v>
      </c>
      <c r="BT263" s="241">
        <f>INDEX(연료전지_원본!$A$4:$KY$369,MATCH($A263,연료전지_원본!$A$4:$A$369,0),MATCH($BT$4,연료전지_원본!$A$4:$KY$4,0))</f>
        <v>0</v>
      </c>
      <c r="BU263" s="241">
        <f>INDEX(연료전지_원본!$A$4:$KY$369,MATCH($A263,연료전지_원본!$A$4:$A$369,0),MATCH($BU$4,연료전지_원본!$A$4:$KY$4,0))</f>
        <v>0</v>
      </c>
      <c r="BV263" s="241">
        <f>INDEX(연료전지_원본!$A$4:$KY$369,MATCH($A263,연료전지_원본!$A$4:$A$369,0),MATCH($BV$4,연료전지_원본!$A$4:$KY$4,0))</f>
        <v>0</v>
      </c>
      <c r="BW263" s="241">
        <f>INDEX(연료전지_원본!$A$4:$KY$369,MATCH($A263,연료전지_원본!$A$4:$A$369,0),MATCH($BW$4,연료전지_원본!$A$4:$KY$4,0))</f>
        <v>0</v>
      </c>
      <c r="BX263" s="241">
        <f>INDEX(연료전지_원본!$A$4:$KY$369,MATCH($A263,연료전지_원본!$A$4:$A$369,0),MATCH($BX$4,연료전지_원본!$A$4:$KY$4,0))</f>
        <v>0</v>
      </c>
      <c r="BY263" s="241">
        <f>INDEX(연료전지_원본!$A$4:$KY$369,MATCH($A263,연료전지_원본!$A$4:$A$369,0),MATCH($BY$4,연료전지_원본!$A$4:$KY$4,0))</f>
        <v>0</v>
      </c>
      <c r="BZ263" s="241">
        <f>INDEX(연료전지_원본!$A$4:$KY$369,MATCH($A263,연료전지_원본!$A$4:$A$369,0),MATCH($BZ$4,연료전지_원본!$A$4:$KY$4,0))</f>
        <v>0</v>
      </c>
      <c r="CA263" s="241">
        <f>INDEX(연료전지_원본!$A$4:$KY$369,MATCH($A263,연료전지_원본!$A$4:$A$369,0),MATCH($CA$4,연료전지_원본!$A$4:$KY$4,0))</f>
        <v>0</v>
      </c>
      <c r="CB263" s="241">
        <f>INDEX(연료전지_원본!$A$4:$KY$369,MATCH($A263,연료전지_원본!$A$4:$A$369,0),MATCH($CB$4,연료전지_원본!$A$4:$KY$4,0))</f>
        <v>0</v>
      </c>
      <c r="CC263" s="242">
        <f>INDEX(연료전지_원본!$A$4:$KY$369,MATCH($A263,연료전지_원본!$A$4:$A$369,0),MATCH($CC$4,연료전지_원본!$A$4:$KY$4,0))</f>
        <v>0</v>
      </c>
      <c r="CD263" s="250">
        <f>INDEX(연료전지_원본!$KB$4:$KX$369,MATCH($A263,연료전지_원본!$KB$4:$KB$369,0), MATCH(CD$4,연료전지_원본!$KB$4:$KX$4,0))*1000</f>
        <v>0</v>
      </c>
      <c r="CE263" s="250">
        <f>INDEX(연료전지_원본!$KB$4:$KX$369,MATCH($A263,연료전지_원본!$KB$4:$KB$369,0), MATCH(CE$4,연료전지_원본!$KB$4:$KX$4,0))*1000</f>
        <v>0</v>
      </c>
      <c r="CF263" s="250">
        <f>INDEX(연료전지_원본!$KB$4:$KX$369,MATCH($A263,연료전지_원본!$KB$4:$KB$369,0), MATCH(CF$4,연료전지_원본!$KB$4:$KX$4,0))*1000</f>
        <v>0</v>
      </c>
      <c r="CG263" s="250">
        <f>INDEX(연료전지_원본!$KB$4:$KX$369,MATCH($A263,연료전지_원본!$KB$4:$KB$369,0), MATCH(CG$4,연료전지_원본!$KB$4:$KX$4,0))*1000</f>
        <v>0</v>
      </c>
      <c r="CH263" s="250">
        <f>INDEX(연료전지_원본!$KB$4:$KX$369,MATCH($A263,연료전지_원본!$KB$4:$KB$369,0), MATCH(CH$4,연료전지_원본!$KB$4:$KX$4,0))*1000</f>
        <v>0</v>
      </c>
      <c r="CI263" s="250">
        <f>INDEX(연료전지_원본!$KB$4:$KX$369,MATCH($A263,연료전지_원본!$KB$4:$KB$369,0), MATCH(CI$4,연료전지_원본!$KB$4:$KX$4,0))*1000</f>
        <v>0</v>
      </c>
      <c r="CJ263" s="250">
        <f>INDEX(연료전지_원본!$KB$4:$KX$369,MATCH($A263,연료전지_원본!$KB$4:$KB$369,0), MATCH(CJ$4,연료전지_원본!$KB$4:$KX$4,0))*1000</f>
        <v>0</v>
      </c>
      <c r="CK263" s="250">
        <f>INDEX(연료전지_원본!$KB$4:$KX$369,MATCH($A263,연료전지_원본!$KB$4:$KB$369,0), MATCH(CK$4,연료전지_원본!$KB$4:$KX$4,0))*1000</f>
        <v>0</v>
      </c>
      <c r="CL263" s="250">
        <f>INDEX(연료전지_원본!$KB$4:$KX$369,MATCH($A263,연료전지_원본!$KB$4:$KB$369,0), MATCH(CL$4,연료전지_원본!$KB$4:$KX$4,0))*1000</f>
        <v>0</v>
      </c>
      <c r="CM263" s="250">
        <f>INDEX(연료전지_원본!$KB$4:$KX$369,MATCH($A263,연료전지_원본!$KB$4:$KB$369,0), MATCH(CM$4,연료전지_원본!$KB$4:$KX$4,0))*1000</f>
        <v>0</v>
      </c>
      <c r="CN263" s="250">
        <f>INDEX(연료전지_원본!$KB$4:$KX$369,MATCH($A263,연료전지_원본!$KB$4:$KB$369,0), MATCH(CN$4,연료전지_원본!$KB$4:$KX$4,0))*1000</f>
        <v>0</v>
      </c>
      <c r="CO263" s="250">
        <f>INDEX(연료전지_원본!$KB$4:$KX$369,MATCH($A263,연료전지_원본!$KB$4:$KB$369,0), MATCH(CO$4,연료전지_원본!$KB$4:$KX$4,0))*1000</f>
        <v>0</v>
      </c>
      <c r="CP263" s="250">
        <f>INDEX(연료전지_원본!$KB$4:$KX$369,MATCH($A263,연료전지_원본!$KB$4:$KB$369,0), MATCH(CP$4,연료전지_원본!$KB$4:$KX$4,0))*1000</f>
        <v>0</v>
      </c>
      <c r="CQ263" s="250">
        <f>INDEX(연료전지_원본!$KB$4:$KX$369,MATCH($A263,연료전지_원본!$KB$4:$KB$369,0), MATCH(CQ$4,연료전지_원본!$KB$4:$KX$4,0))*1000</f>
        <v>0</v>
      </c>
      <c r="CR263" s="250">
        <f>INDEX(연료전지_원본!$KB$4:$KX$369,MATCH($A263,연료전지_원본!$KB$4:$KB$369,0), MATCH(CR$4,연료전지_원본!$KB$4:$KX$4,0))*1000</f>
        <v>0</v>
      </c>
      <c r="CS263" s="250">
        <f>INDEX(연료전지_원본!$KB$4:$KX$369,MATCH($A263,연료전지_원본!$KB$4:$KB$369,0), MATCH(CS$4,연료전지_원본!$KB$4:$KX$4,0))*1000</f>
        <v>0</v>
      </c>
      <c r="CT263" s="250">
        <f>INDEX(연료전지_원본!$KB$4:$KX$369,MATCH($A263,연료전지_원본!$KB$4:$KB$369,0), MATCH(CT$4,연료전지_원본!$KB$4:$KX$4,0))*1000</f>
        <v>0</v>
      </c>
      <c r="CU263" s="250">
        <f>INDEX(연료전지_원본!$KB$4:$KX$369,MATCH($A263,연료전지_원본!$KB$4:$KB$369,0), MATCH(CU$4,연료전지_원본!$KB$4:$KX$4,0))*1000</f>
        <v>0</v>
      </c>
      <c r="CV263" s="250">
        <f>INDEX(연료전지_원본!$KB$4:$KX$369,MATCH($A263,연료전지_원본!$KB$4:$KB$369,0), MATCH(CV$4,연료전지_원본!$KB$4:$KX$4,0))*1000</f>
        <v>0</v>
      </c>
      <c r="CW263" s="250">
        <f>INDEX(연료전지_원본!$KB$4:$KX$369,MATCH($A263,연료전지_원본!$KB$4:$KB$369,0), MATCH(CW$4,연료전지_원본!$KB$4:$KX$4,0))*1000</f>
        <v>0</v>
      </c>
      <c r="CX263" s="250">
        <f>INDEX(연료전지_원본!$KB$4:$KX$369,MATCH($A263,연료전지_원본!$KB$4:$KB$369,0), MATCH(CX$4,연료전지_원본!$KB$4:$KX$4,0))*1000</f>
        <v>0</v>
      </c>
      <c r="CY263" s="250">
        <f>INDEX(연료전지_원본!$KB$4:$KX$369,MATCH($A263,연료전지_원본!$KB$4:$KB$369,0), MATCH(CY$4,연료전지_원본!$KB$4:$KX$4,0))*1000</f>
        <v>0</v>
      </c>
      <c r="DV263" s="30">
        <f t="shared" si="1285"/>
        <v>0</v>
      </c>
    </row>
    <row r="264" spans="1:126">
      <c r="A264" s="6">
        <v>46281</v>
      </c>
      <c r="B264" s="15">
        <f>운전실적_원본!B264</f>
        <v>0</v>
      </c>
      <c r="C264" s="16" t="str">
        <f t="shared" si="1291"/>
        <v/>
      </c>
      <c r="D264" s="12">
        <f>운전실적_원본!C264</f>
        <v>0</v>
      </c>
      <c r="E264" s="12" t="str">
        <f t="shared" si="1292"/>
        <v/>
      </c>
      <c r="F264" s="12">
        <f>운전실적_원본!D264</f>
        <v>0</v>
      </c>
      <c r="G264" s="16" t="str">
        <f t="shared" si="1293"/>
        <v/>
      </c>
      <c r="H264" s="15">
        <f>운전실적_원본!E264</f>
        <v>0</v>
      </c>
      <c r="I264" s="16" t="str">
        <f t="shared" si="1294"/>
        <v/>
      </c>
      <c r="J264" s="15">
        <f>운전실적_원본!F264</f>
        <v>0</v>
      </c>
      <c r="K264" s="16" t="str">
        <f t="shared" si="1294"/>
        <v/>
      </c>
      <c r="L264" s="32">
        <f>운전실적_원본!G264</f>
        <v>0</v>
      </c>
      <c r="M264" s="31" t="str">
        <f t="shared" ref="M264" si="1461">IF(OR(LEN(L264)=0,L264=0),"",L264-L263)</f>
        <v/>
      </c>
      <c r="N264" s="15">
        <f>운전실적_원본!H264</f>
        <v>0</v>
      </c>
      <c r="O264" s="16" t="str">
        <f t="shared" ref="O264" si="1462">IF(OR(LEN(N264)=0,N264=0),"",N264-N263)</f>
        <v/>
      </c>
      <c r="P264" s="15">
        <f>운전실적_원본!I264</f>
        <v>0</v>
      </c>
      <c r="Q264" s="16" t="str">
        <f t="shared" ref="Q264" si="1463">IF(OR(LEN(P264)=0,P264=0),"",P264-P263)</f>
        <v/>
      </c>
      <c r="R264" s="18">
        <f>운전실적_원본!J264</f>
        <v>0</v>
      </c>
      <c r="S264" s="19" t="str">
        <f t="shared" ref="S264" si="1464">IF(OR(LEN(R264)=0,R264=0),"",R264-R263)</f>
        <v/>
      </c>
      <c r="T264" s="18">
        <f>운전실적_원본!K264</f>
        <v>0</v>
      </c>
      <c r="U264" s="19" t="str">
        <f t="shared" si="1299"/>
        <v/>
      </c>
      <c r="V264" s="12">
        <f>운전실적_원본!L264</f>
        <v>0</v>
      </c>
      <c r="W264" s="16" t="str">
        <f t="shared" ref="W264" si="1465">IF(OR(LEN(V264)=0,V264=0),"",V264-V263)</f>
        <v/>
      </c>
      <c r="X264" s="10">
        <f>운전실적_원본!M264</f>
        <v>0</v>
      </c>
      <c r="Y264" s="10">
        <f>운전실적_원본!N264</f>
        <v>0</v>
      </c>
      <c r="Z264" s="10">
        <f>운전실적_원본!O264</f>
        <v>0</v>
      </c>
      <c r="AA264" s="10">
        <f>운전실적_원본!P264</f>
        <v>0</v>
      </c>
      <c r="AB264" s="10">
        <f>운전실적_원본!Q264</f>
        <v>0</v>
      </c>
      <c r="AC264" s="20">
        <f>운전실적_원본!R264</f>
        <v>0</v>
      </c>
      <c r="AD264" s="109">
        <f>운전실적_원본!S264</f>
        <v>0</v>
      </c>
      <c r="AE264" s="110">
        <f>운전실적_원본!T264</f>
        <v>0</v>
      </c>
      <c r="AF264" s="110">
        <f>운전실적_원본!U264</f>
        <v>0</v>
      </c>
      <c r="AG264" s="110">
        <f>운전실적_원본!V264</f>
        <v>0</v>
      </c>
      <c r="AH264" s="109">
        <f t="shared" si="1453"/>
        <v>0</v>
      </c>
      <c r="AI264" s="110">
        <f t="shared" si="1460"/>
        <v>0</v>
      </c>
      <c r="AJ264" s="110">
        <f>운전실적_원본!Y264</f>
        <v>0</v>
      </c>
      <c r="AK264" s="110">
        <f>운전실적_원본!Z264</f>
        <v>0</v>
      </c>
      <c r="AL264" s="106"/>
      <c r="AM264" s="105"/>
      <c r="AN264" s="105"/>
      <c r="AO264" s="105"/>
      <c r="AP264" s="105"/>
      <c r="AQ264" s="108"/>
      <c r="AR264" s="105"/>
      <c r="AS264" s="105"/>
      <c r="AT264" s="102"/>
      <c r="AU264" s="102"/>
      <c r="AV264" s="102"/>
      <c r="AW264" s="102"/>
      <c r="AX264" s="32">
        <f>운전실적_원본!W264</f>
        <v>0</v>
      </c>
      <c r="AY264" s="11">
        <f>운전실적_원본!X264</f>
        <v>0</v>
      </c>
      <c r="AZ264" s="11">
        <f>운전실적_원본!Y264</f>
        <v>0</v>
      </c>
      <c r="BA264" s="11">
        <f>운전실적_원본!Z264</f>
        <v>0</v>
      </c>
      <c r="BB264" s="11">
        <f>운전실적_원본!AA264</f>
        <v>0</v>
      </c>
      <c r="BC264" s="11">
        <f>운전실적_원본!AB264</f>
        <v>0</v>
      </c>
      <c r="BD264" s="32" t="str">
        <f t="shared" si="1446"/>
        <v>-</v>
      </c>
      <c r="BE264" s="11" t="str">
        <f t="shared" si="1454"/>
        <v>-</v>
      </c>
      <c r="BF264" s="11">
        <f>운전실적_원본!AE264</f>
        <v>0</v>
      </c>
      <c r="BG264" s="31">
        <f t="shared" si="1447"/>
        <v>0</v>
      </c>
      <c r="BH264" s="241">
        <f>INDEX(연료전지_원본!$A$4:$KY$369,MATCH($A264,연료전지_원본!$A$4:$A$369,0),MATCH($BH$4,연료전지_원본!$A$4:$KY$4,0))</f>
        <v>0</v>
      </c>
      <c r="BI264" s="241">
        <f>INDEX(연료전지_원본!$A$4:$KY$369,MATCH($A264,연료전지_원본!$A$4:$A$369,0),MATCH($BI$4,연료전지_원본!$A$4:$KY$4,0))</f>
        <v>0</v>
      </c>
      <c r="BJ264" s="241">
        <f>INDEX(연료전지_원본!$A$4:$KY$369,MATCH($A264,연료전지_원본!$A$4:$A$369,0),MATCH($BJ$4,연료전지_원본!$A$4:$KY$4,0))</f>
        <v>0</v>
      </c>
      <c r="BK264" s="241">
        <f>INDEX(연료전지_원본!$A$4:$KY$369,MATCH($A264,연료전지_원본!$A$4:$A$369,0),MATCH($BK$4,연료전지_원본!$A$4:$KY$4,0))</f>
        <v>0</v>
      </c>
      <c r="BL264" s="241">
        <f>INDEX(연료전지_원본!$A$4:$KY$369,MATCH($A264,연료전지_원본!$A$4:$A$369,0),MATCH($BL$4,연료전지_원본!$A$4:$KY$4,0))</f>
        <v>0</v>
      </c>
      <c r="BM264" s="241">
        <f>INDEX(연료전지_원본!$A$4:$KY$369,MATCH($A264,연료전지_원본!$A$4:$A$369,0),MATCH($BM$4,연료전지_원본!$A$4:$KY$4,0))</f>
        <v>0</v>
      </c>
      <c r="BN264" s="241">
        <f>INDEX(연료전지_원본!$A$4:$KY$369,MATCH($A264,연료전지_원본!$A$4:$A$369,0),MATCH($BN$4,연료전지_원본!$A$4:$KY$4,0))</f>
        <v>0</v>
      </c>
      <c r="BO264" s="241">
        <f>INDEX(연료전지_원본!$A$4:$KY$369,MATCH($A264,연료전지_원본!$A$4:$A$369,0),MATCH($BO$4,연료전지_원본!$A$4:$KY$4,0))</f>
        <v>0</v>
      </c>
      <c r="BP264" s="241">
        <f>INDEX(연료전지_원본!$A$4:$KY$369,MATCH($A264,연료전지_원본!$A$4:$A$369,0),MATCH($BP$4,연료전지_원본!$A$4:$KY$4,0))</f>
        <v>0</v>
      </c>
      <c r="BQ264" s="241">
        <f>INDEX(연료전지_원본!$A$4:$KY$369,MATCH($A264,연료전지_원본!$A$4:$A$369,0),MATCH($BQ$4,연료전지_원본!$A$4:$KY$4,0))</f>
        <v>0</v>
      </c>
      <c r="BR264" s="241">
        <f>INDEX(연료전지_원본!$A$4:$KY$369,MATCH($A264,연료전지_원본!$A$4:$A$369,0),MATCH($BR$4,연료전지_원본!$A$4:$KY$4,0))</f>
        <v>0</v>
      </c>
      <c r="BS264" s="241">
        <f>INDEX(연료전지_원본!$A$4:$KY$369,MATCH($A264,연료전지_원본!$A$4:$A$369,0),MATCH($BS$4,연료전지_원본!$A$4:$KY$4,0))</f>
        <v>0</v>
      </c>
      <c r="BT264" s="241">
        <f>INDEX(연료전지_원본!$A$4:$KY$369,MATCH($A264,연료전지_원본!$A$4:$A$369,0),MATCH($BT$4,연료전지_원본!$A$4:$KY$4,0))</f>
        <v>0</v>
      </c>
      <c r="BU264" s="241">
        <f>INDEX(연료전지_원본!$A$4:$KY$369,MATCH($A264,연료전지_원본!$A$4:$A$369,0),MATCH($BU$4,연료전지_원본!$A$4:$KY$4,0))</f>
        <v>0</v>
      </c>
      <c r="BV264" s="241">
        <f>INDEX(연료전지_원본!$A$4:$KY$369,MATCH($A264,연료전지_원본!$A$4:$A$369,0),MATCH($BV$4,연료전지_원본!$A$4:$KY$4,0))</f>
        <v>0</v>
      </c>
      <c r="BW264" s="241">
        <f>INDEX(연료전지_원본!$A$4:$KY$369,MATCH($A264,연료전지_원본!$A$4:$A$369,0),MATCH($BW$4,연료전지_원본!$A$4:$KY$4,0))</f>
        <v>0</v>
      </c>
      <c r="BX264" s="241">
        <f>INDEX(연료전지_원본!$A$4:$KY$369,MATCH($A264,연료전지_원본!$A$4:$A$369,0),MATCH($BX$4,연료전지_원본!$A$4:$KY$4,0))</f>
        <v>0</v>
      </c>
      <c r="BY264" s="241">
        <f>INDEX(연료전지_원본!$A$4:$KY$369,MATCH($A264,연료전지_원본!$A$4:$A$369,0),MATCH($BY$4,연료전지_원본!$A$4:$KY$4,0))</f>
        <v>0</v>
      </c>
      <c r="BZ264" s="241">
        <f>INDEX(연료전지_원본!$A$4:$KY$369,MATCH($A264,연료전지_원본!$A$4:$A$369,0),MATCH($BZ$4,연료전지_원본!$A$4:$KY$4,0))</f>
        <v>0</v>
      </c>
      <c r="CA264" s="241">
        <f>INDEX(연료전지_원본!$A$4:$KY$369,MATCH($A264,연료전지_원본!$A$4:$A$369,0),MATCH($CA$4,연료전지_원본!$A$4:$KY$4,0))</f>
        <v>0</v>
      </c>
      <c r="CB264" s="241">
        <f>INDEX(연료전지_원본!$A$4:$KY$369,MATCH($A264,연료전지_원본!$A$4:$A$369,0),MATCH($CB$4,연료전지_원본!$A$4:$KY$4,0))</f>
        <v>0</v>
      </c>
      <c r="CC264" s="242">
        <f>INDEX(연료전지_원본!$A$4:$KY$369,MATCH($A264,연료전지_원본!$A$4:$A$369,0),MATCH($CC$4,연료전지_원본!$A$4:$KY$4,0))</f>
        <v>0</v>
      </c>
      <c r="CD264" s="250">
        <f>INDEX(연료전지_원본!$KB$4:$KX$369,MATCH($A264,연료전지_원본!$KB$4:$KB$369,0), MATCH(CD$4,연료전지_원본!$KB$4:$KX$4,0))*1000</f>
        <v>0</v>
      </c>
      <c r="CE264" s="250">
        <f>INDEX(연료전지_원본!$KB$4:$KX$369,MATCH($A264,연료전지_원본!$KB$4:$KB$369,0), MATCH(CE$4,연료전지_원본!$KB$4:$KX$4,0))*1000</f>
        <v>0</v>
      </c>
      <c r="CF264" s="250">
        <f>INDEX(연료전지_원본!$KB$4:$KX$369,MATCH($A264,연료전지_원본!$KB$4:$KB$369,0), MATCH(CF$4,연료전지_원본!$KB$4:$KX$4,0))*1000</f>
        <v>0</v>
      </c>
      <c r="CG264" s="250">
        <f>INDEX(연료전지_원본!$KB$4:$KX$369,MATCH($A264,연료전지_원본!$KB$4:$KB$369,0), MATCH(CG$4,연료전지_원본!$KB$4:$KX$4,0))*1000</f>
        <v>0</v>
      </c>
      <c r="CH264" s="250">
        <f>INDEX(연료전지_원본!$KB$4:$KX$369,MATCH($A264,연료전지_원본!$KB$4:$KB$369,0), MATCH(CH$4,연료전지_원본!$KB$4:$KX$4,0))*1000</f>
        <v>0</v>
      </c>
      <c r="CI264" s="250">
        <f>INDEX(연료전지_원본!$KB$4:$KX$369,MATCH($A264,연료전지_원본!$KB$4:$KB$369,0), MATCH(CI$4,연료전지_원본!$KB$4:$KX$4,0))*1000</f>
        <v>0</v>
      </c>
      <c r="CJ264" s="250">
        <f>INDEX(연료전지_원본!$KB$4:$KX$369,MATCH($A264,연료전지_원본!$KB$4:$KB$369,0), MATCH(CJ$4,연료전지_원본!$KB$4:$KX$4,0))*1000</f>
        <v>0</v>
      </c>
      <c r="CK264" s="250">
        <f>INDEX(연료전지_원본!$KB$4:$KX$369,MATCH($A264,연료전지_원본!$KB$4:$KB$369,0), MATCH(CK$4,연료전지_원본!$KB$4:$KX$4,0))*1000</f>
        <v>0</v>
      </c>
      <c r="CL264" s="250">
        <f>INDEX(연료전지_원본!$KB$4:$KX$369,MATCH($A264,연료전지_원본!$KB$4:$KB$369,0), MATCH(CL$4,연료전지_원본!$KB$4:$KX$4,0))*1000</f>
        <v>0</v>
      </c>
      <c r="CM264" s="250">
        <f>INDEX(연료전지_원본!$KB$4:$KX$369,MATCH($A264,연료전지_원본!$KB$4:$KB$369,0), MATCH(CM$4,연료전지_원본!$KB$4:$KX$4,0))*1000</f>
        <v>0</v>
      </c>
      <c r="CN264" s="250">
        <f>INDEX(연료전지_원본!$KB$4:$KX$369,MATCH($A264,연료전지_원본!$KB$4:$KB$369,0), MATCH(CN$4,연료전지_원본!$KB$4:$KX$4,0))*1000</f>
        <v>0</v>
      </c>
      <c r="CO264" s="250">
        <f>INDEX(연료전지_원본!$KB$4:$KX$369,MATCH($A264,연료전지_원본!$KB$4:$KB$369,0), MATCH(CO$4,연료전지_원본!$KB$4:$KX$4,0))*1000</f>
        <v>0</v>
      </c>
      <c r="CP264" s="250">
        <f>INDEX(연료전지_원본!$KB$4:$KX$369,MATCH($A264,연료전지_원본!$KB$4:$KB$369,0), MATCH(CP$4,연료전지_원본!$KB$4:$KX$4,0))*1000</f>
        <v>0</v>
      </c>
      <c r="CQ264" s="250">
        <f>INDEX(연료전지_원본!$KB$4:$KX$369,MATCH($A264,연료전지_원본!$KB$4:$KB$369,0), MATCH(CQ$4,연료전지_원본!$KB$4:$KX$4,0))*1000</f>
        <v>0</v>
      </c>
      <c r="CR264" s="250">
        <f>INDEX(연료전지_원본!$KB$4:$KX$369,MATCH($A264,연료전지_원본!$KB$4:$KB$369,0), MATCH(CR$4,연료전지_원본!$KB$4:$KX$4,0))*1000</f>
        <v>0</v>
      </c>
      <c r="CS264" s="250">
        <f>INDEX(연료전지_원본!$KB$4:$KX$369,MATCH($A264,연료전지_원본!$KB$4:$KB$369,0), MATCH(CS$4,연료전지_원본!$KB$4:$KX$4,0))*1000</f>
        <v>0</v>
      </c>
      <c r="CT264" s="250">
        <f>INDEX(연료전지_원본!$KB$4:$KX$369,MATCH($A264,연료전지_원본!$KB$4:$KB$369,0), MATCH(CT$4,연료전지_원본!$KB$4:$KX$4,0))*1000</f>
        <v>0</v>
      </c>
      <c r="CU264" s="250">
        <f>INDEX(연료전지_원본!$KB$4:$KX$369,MATCH($A264,연료전지_원본!$KB$4:$KB$369,0), MATCH(CU$4,연료전지_원본!$KB$4:$KX$4,0))*1000</f>
        <v>0</v>
      </c>
      <c r="CV264" s="250">
        <f>INDEX(연료전지_원본!$KB$4:$KX$369,MATCH($A264,연료전지_원본!$KB$4:$KB$369,0), MATCH(CV$4,연료전지_원본!$KB$4:$KX$4,0))*1000</f>
        <v>0</v>
      </c>
      <c r="CW264" s="250">
        <f>INDEX(연료전지_원본!$KB$4:$KX$369,MATCH($A264,연료전지_원본!$KB$4:$KB$369,0), MATCH(CW$4,연료전지_원본!$KB$4:$KX$4,0))*1000</f>
        <v>0</v>
      </c>
      <c r="CX264" s="250">
        <f>INDEX(연료전지_원본!$KB$4:$KX$369,MATCH($A264,연료전지_원본!$KB$4:$KB$369,0), MATCH(CX$4,연료전지_원본!$KB$4:$KX$4,0))*1000</f>
        <v>0</v>
      </c>
      <c r="CY264" s="250">
        <f>INDEX(연료전지_원본!$KB$4:$KX$369,MATCH($A264,연료전지_원본!$KB$4:$KB$369,0), MATCH(CY$4,연료전지_원본!$KB$4:$KX$4,0))*1000</f>
        <v>0</v>
      </c>
      <c r="DV264" s="30">
        <f t="shared" si="1285"/>
        <v>0</v>
      </c>
    </row>
    <row r="265" spans="1:126">
      <c r="A265" s="6">
        <v>46282</v>
      </c>
      <c r="B265" s="15">
        <f>운전실적_원본!B265</f>
        <v>0</v>
      </c>
      <c r="C265" s="16" t="str">
        <f t="shared" si="1291"/>
        <v/>
      </c>
      <c r="D265" s="12">
        <f>운전실적_원본!C265</f>
        <v>0</v>
      </c>
      <c r="E265" s="12" t="str">
        <f t="shared" si="1292"/>
        <v/>
      </c>
      <c r="F265" s="12">
        <f>운전실적_원본!D265</f>
        <v>0</v>
      </c>
      <c r="G265" s="16" t="str">
        <f t="shared" si="1293"/>
        <v/>
      </c>
      <c r="H265" s="15">
        <f>운전실적_원본!E265</f>
        <v>0</v>
      </c>
      <c r="I265" s="16" t="str">
        <f t="shared" si="1294"/>
        <v/>
      </c>
      <c r="J265" s="15">
        <f>운전실적_원본!F265</f>
        <v>0</v>
      </c>
      <c r="K265" s="16" t="str">
        <f t="shared" si="1294"/>
        <v/>
      </c>
      <c r="L265" s="32">
        <f>운전실적_원본!G265</f>
        <v>0</v>
      </c>
      <c r="M265" s="31" t="str">
        <f t="shared" ref="M265" si="1466">IF(OR(LEN(L265)=0,L265=0),"",L265-L264)</f>
        <v/>
      </c>
      <c r="N265" s="15">
        <f>운전실적_원본!H265</f>
        <v>0</v>
      </c>
      <c r="O265" s="16" t="str">
        <f t="shared" ref="O265" si="1467">IF(OR(LEN(N265)=0,N265=0),"",N265-N264)</f>
        <v/>
      </c>
      <c r="P265" s="15">
        <f>운전실적_원본!I265</f>
        <v>0</v>
      </c>
      <c r="Q265" s="16" t="str">
        <f t="shared" ref="Q265" si="1468">IF(OR(LEN(P265)=0,P265=0),"",P265-P264)</f>
        <v/>
      </c>
      <c r="R265" s="18">
        <f>운전실적_원본!J265</f>
        <v>0</v>
      </c>
      <c r="S265" s="19" t="str">
        <f t="shared" ref="S265" si="1469">IF(OR(LEN(R265)=0,R265=0),"",R265-R264)</f>
        <v/>
      </c>
      <c r="T265" s="18">
        <f>운전실적_원본!K265</f>
        <v>0</v>
      </c>
      <c r="U265" s="19" t="str">
        <f t="shared" si="1299"/>
        <v/>
      </c>
      <c r="V265" s="12">
        <f>운전실적_원본!L265</f>
        <v>0</v>
      </c>
      <c r="W265" s="16" t="str">
        <f t="shared" ref="W265" si="1470">IF(OR(LEN(V265)=0,V265=0),"",V265-V264)</f>
        <v/>
      </c>
      <c r="X265" s="10">
        <f>운전실적_원본!M265</f>
        <v>0</v>
      </c>
      <c r="Y265" s="10">
        <f>운전실적_원본!N265</f>
        <v>0</v>
      </c>
      <c r="Z265" s="10">
        <f>운전실적_원본!O265</f>
        <v>0</v>
      </c>
      <c r="AA265" s="10">
        <f>운전실적_원본!P265</f>
        <v>0</v>
      </c>
      <c r="AB265" s="10">
        <f>운전실적_원본!Q265</f>
        <v>0</v>
      </c>
      <c r="AC265" s="20">
        <f>운전실적_원본!R265</f>
        <v>0</v>
      </c>
      <c r="AD265" s="109">
        <f>운전실적_원본!S265</f>
        <v>0</v>
      </c>
      <c r="AE265" s="110">
        <f>운전실적_원본!T265</f>
        <v>0</v>
      </c>
      <c r="AF265" s="110">
        <f>운전실적_원본!U265</f>
        <v>0</v>
      </c>
      <c r="AG265" s="110">
        <f>운전실적_원본!V265</f>
        <v>0</v>
      </c>
      <c r="AH265" s="109">
        <f t="shared" si="1453"/>
        <v>0</v>
      </c>
      <c r="AI265" s="110">
        <f t="shared" si="1460"/>
        <v>0</v>
      </c>
      <c r="AJ265" s="110">
        <f>운전실적_원본!Y265</f>
        <v>0</v>
      </c>
      <c r="AK265" s="110">
        <f>운전실적_원본!Z265</f>
        <v>0</v>
      </c>
      <c r="AL265" s="106"/>
      <c r="AM265" s="105"/>
      <c r="AN265" s="105"/>
      <c r="AO265" s="105"/>
      <c r="AP265" s="105"/>
      <c r="AQ265" s="108"/>
      <c r="AR265" s="105"/>
      <c r="AS265" s="105"/>
      <c r="AT265" s="102"/>
      <c r="AU265" s="102"/>
      <c r="AV265" s="102"/>
      <c r="AW265" s="102"/>
      <c r="AX265" s="32">
        <f>운전실적_원본!W265</f>
        <v>0</v>
      </c>
      <c r="AY265" s="11">
        <f>운전실적_원본!X265</f>
        <v>0</v>
      </c>
      <c r="AZ265" s="11">
        <f>운전실적_원본!Y265</f>
        <v>0</v>
      </c>
      <c r="BA265" s="11">
        <f>운전실적_원본!Z265</f>
        <v>0</v>
      </c>
      <c r="BB265" s="11">
        <f>운전실적_원본!AA265</f>
        <v>0</v>
      </c>
      <c r="BC265" s="11">
        <f>운전실적_원본!AB265</f>
        <v>0</v>
      </c>
      <c r="BD265" s="32" t="str">
        <f t="shared" si="1446"/>
        <v>-</v>
      </c>
      <c r="BE265" s="11" t="str">
        <f t="shared" si="1454"/>
        <v>-</v>
      </c>
      <c r="BF265" s="11">
        <f>운전실적_원본!AE265</f>
        <v>0</v>
      </c>
      <c r="BG265" s="31">
        <f t="shared" si="1447"/>
        <v>0</v>
      </c>
      <c r="BH265" s="241">
        <f>INDEX(연료전지_원본!$A$4:$KY$369,MATCH($A265,연료전지_원본!$A$4:$A$369,0),MATCH($BH$4,연료전지_원본!$A$4:$KY$4,0))</f>
        <v>0</v>
      </c>
      <c r="BI265" s="241">
        <f>INDEX(연료전지_원본!$A$4:$KY$369,MATCH($A265,연료전지_원본!$A$4:$A$369,0),MATCH($BI$4,연료전지_원본!$A$4:$KY$4,0))</f>
        <v>0</v>
      </c>
      <c r="BJ265" s="241">
        <f>INDEX(연료전지_원본!$A$4:$KY$369,MATCH($A265,연료전지_원본!$A$4:$A$369,0),MATCH($BJ$4,연료전지_원본!$A$4:$KY$4,0))</f>
        <v>0</v>
      </c>
      <c r="BK265" s="241">
        <f>INDEX(연료전지_원본!$A$4:$KY$369,MATCH($A265,연료전지_원본!$A$4:$A$369,0),MATCH($BK$4,연료전지_원본!$A$4:$KY$4,0))</f>
        <v>0</v>
      </c>
      <c r="BL265" s="241">
        <f>INDEX(연료전지_원본!$A$4:$KY$369,MATCH($A265,연료전지_원본!$A$4:$A$369,0),MATCH($BL$4,연료전지_원본!$A$4:$KY$4,0))</f>
        <v>0</v>
      </c>
      <c r="BM265" s="241">
        <f>INDEX(연료전지_원본!$A$4:$KY$369,MATCH($A265,연료전지_원본!$A$4:$A$369,0),MATCH($BM$4,연료전지_원본!$A$4:$KY$4,0))</f>
        <v>0</v>
      </c>
      <c r="BN265" s="241">
        <f>INDEX(연료전지_원본!$A$4:$KY$369,MATCH($A265,연료전지_원본!$A$4:$A$369,0),MATCH($BN$4,연료전지_원본!$A$4:$KY$4,0))</f>
        <v>0</v>
      </c>
      <c r="BO265" s="241">
        <f>INDEX(연료전지_원본!$A$4:$KY$369,MATCH($A265,연료전지_원본!$A$4:$A$369,0),MATCH($BO$4,연료전지_원본!$A$4:$KY$4,0))</f>
        <v>0</v>
      </c>
      <c r="BP265" s="241">
        <f>INDEX(연료전지_원본!$A$4:$KY$369,MATCH($A265,연료전지_원본!$A$4:$A$369,0),MATCH($BP$4,연료전지_원본!$A$4:$KY$4,0))</f>
        <v>0</v>
      </c>
      <c r="BQ265" s="241">
        <f>INDEX(연료전지_원본!$A$4:$KY$369,MATCH($A265,연료전지_원본!$A$4:$A$369,0),MATCH($BQ$4,연료전지_원본!$A$4:$KY$4,0))</f>
        <v>0</v>
      </c>
      <c r="BR265" s="241">
        <f>INDEX(연료전지_원본!$A$4:$KY$369,MATCH($A265,연료전지_원본!$A$4:$A$369,0),MATCH($BR$4,연료전지_원본!$A$4:$KY$4,0))</f>
        <v>0</v>
      </c>
      <c r="BS265" s="241">
        <f>INDEX(연료전지_원본!$A$4:$KY$369,MATCH($A265,연료전지_원본!$A$4:$A$369,0),MATCH($BS$4,연료전지_원본!$A$4:$KY$4,0))</f>
        <v>0</v>
      </c>
      <c r="BT265" s="241">
        <f>INDEX(연료전지_원본!$A$4:$KY$369,MATCH($A265,연료전지_원본!$A$4:$A$369,0),MATCH($BT$4,연료전지_원본!$A$4:$KY$4,0))</f>
        <v>0</v>
      </c>
      <c r="BU265" s="241">
        <f>INDEX(연료전지_원본!$A$4:$KY$369,MATCH($A265,연료전지_원본!$A$4:$A$369,0),MATCH($BU$4,연료전지_원본!$A$4:$KY$4,0))</f>
        <v>0</v>
      </c>
      <c r="BV265" s="241">
        <f>INDEX(연료전지_원본!$A$4:$KY$369,MATCH($A265,연료전지_원본!$A$4:$A$369,0),MATCH($BV$4,연료전지_원본!$A$4:$KY$4,0))</f>
        <v>0</v>
      </c>
      <c r="BW265" s="241">
        <f>INDEX(연료전지_원본!$A$4:$KY$369,MATCH($A265,연료전지_원본!$A$4:$A$369,0),MATCH($BW$4,연료전지_원본!$A$4:$KY$4,0))</f>
        <v>0</v>
      </c>
      <c r="BX265" s="241">
        <f>INDEX(연료전지_원본!$A$4:$KY$369,MATCH($A265,연료전지_원본!$A$4:$A$369,0),MATCH($BX$4,연료전지_원본!$A$4:$KY$4,0))</f>
        <v>0</v>
      </c>
      <c r="BY265" s="241">
        <f>INDEX(연료전지_원본!$A$4:$KY$369,MATCH($A265,연료전지_원본!$A$4:$A$369,0),MATCH($BY$4,연료전지_원본!$A$4:$KY$4,0))</f>
        <v>0</v>
      </c>
      <c r="BZ265" s="241">
        <f>INDEX(연료전지_원본!$A$4:$KY$369,MATCH($A265,연료전지_원본!$A$4:$A$369,0),MATCH($BZ$4,연료전지_원본!$A$4:$KY$4,0))</f>
        <v>0</v>
      </c>
      <c r="CA265" s="241">
        <f>INDEX(연료전지_원본!$A$4:$KY$369,MATCH($A265,연료전지_원본!$A$4:$A$369,0),MATCH($CA$4,연료전지_원본!$A$4:$KY$4,0))</f>
        <v>0</v>
      </c>
      <c r="CB265" s="241">
        <f>INDEX(연료전지_원본!$A$4:$KY$369,MATCH($A265,연료전지_원본!$A$4:$A$369,0),MATCH($CB$4,연료전지_원본!$A$4:$KY$4,0))</f>
        <v>0</v>
      </c>
      <c r="CC265" s="242">
        <f>INDEX(연료전지_원본!$A$4:$KY$369,MATCH($A265,연료전지_원본!$A$4:$A$369,0),MATCH($CC$4,연료전지_원본!$A$4:$KY$4,0))</f>
        <v>0</v>
      </c>
      <c r="CD265" s="250">
        <f>INDEX(연료전지_원본!$KB$4:$KX$369,MATCH($A265,연료전지_원본!$KB$4:$KB$369,0), MATCH(CD$4,연료전지_원본!$KB$4:$KX$4,0))*1000</f>
        <v>0</v>
      </c>
      <c r="CE265" s="250">
        <f>INDEX(연료전지_원본!$KB$4:$KX$369,MATCH($A265,연료전지_원본!$KB$4:$KB$369,0), MATCH(CE$4,연료전지_원본!$KB$4:$KX$4,0))*1000</f>
        <v>0</v>
      </c>
      <c r="CF265" s="250">
        <f>INDEX(연료전지_원본!$KB$4:$KX$369,MATCH($A265,연료전지_원본!$KB$4:$KB$369,0), MATCH(CF$4,연료전지_원본!$KB$4:$KX$4,0))*1000</f>
        <v>0</v>
      </c>
      <c r="CG265" s="250">
        <f>INDEX(연료전지_원본!$KB$4:$KX$369,MATCH($A265,연료전지_원본!$KB$4:$KB$369,0), MATCH(CG$4,연료전지_원본!$KB$4:$KX$4,0))*1000</f>
        <v>0</v>
      </c>
      <c r="CH265" s="250">
        <f>INDEX(연료전지_원본!$KB$4:$KX$369,MATCH($A265,연료전지_원본!$KB$4:$KB$369,0), MATCH(CH$4,연료전지_원본!$KB$4:$KX$4,0))*1000</f>
        <v>0</v>
      </c>
      <c r="CI265" s="250">
        <f>INDEX(연료전지_원본!$KB$4:$KX$369,MATCH($A265,연료전지_원본!$KB$4:$KB$369,0), MATCH(CI$4,연료전지_원본!$KB$4:$KX$4,0))*1000</f>
        <v>0</v>
      </c>
      <c r="CJ265" s="250">
        <f>INDEX(연료전지_원본!$KB$4:$KX$369,MATCH($A265,연료전지_원본!$KB$4:$KB$369,0), MATCH(CJ$4,연료전지_원본!$KB$4:$KX$4,0))*1000</f>
        <v>0</v>
      </c>
      <c r="CK265" s="250">
        <f>INDEX(연료전지_원본!$KB$4:$KX$369,MATCH($A265,연료전지_원본!$KB$4:$KB$369,0), MATCH(CK$4,연료전지_원본!$KB$4:$KX$4,0))*1000</f>
        <v>0</v>
      </c>
      <c r="CL265" s="250">
        <f>INDEX(연료전지_원본!$KB$4:$KX$369,MATCH($A265,연료전지_원본!$KB$4:$KB$369,0), MATCH(CL$4,연료전지_원본!$KB$4:$KX$4,0))*1000</f>
        <v>0</v>
      </c>
      <c r="CM265" s="250">
        <f>INDEX(연료전지_원본!$KB$4:$KX$369,MATCH($A265,연료전지_원본!$KB$4:$KB$369,0), MATCH(CM$4,연료전지_원본!$KB$4:$KX$4,0))*1000</f>
        <v>0</v>
      </c>
      <c r="CN265" s="250">
        <f>INDEX(연료전지_원본!$KB$4:$KX$369,MATCH($A265,연료전지_원본!$KB$4:$KB$369,0), MATCH(CN$4,연료전지_원본!$KB$4:$KX$4,0))*1000</f>
        <v>0</v>
      </c>
      <c r="CO265" s="250">
        <f>INDEX(연료전지_원본!$KB$4:$KX$369,MATCH($A265,연료전지_원본!$KB$4:$KB$369,0), MATCH(CO$4,연료전지_원본!$KB$4:$KX$4,0))*1000</f>
        <v>0</v>
      </c>
      <c r="CP265" s="250">
        <f>INDEX(연료전지_원본!$KB$4:$KX$369,MATCH($A265,연료전지_원본!$KB$4:$KB$369,0), MATCH(CP$4,연료전지_원본!$KB$4:$KX$4,0))*1000</f>
        <v>0</v>
      </c>
      <c r="CQ265" s="250">
        <f>INDEX(연료전지_원본!$KB$4:$KX$369,MATCH($A265,연료전지_원본!$KB$4:$KB$369,0), MATCH(CQ$4,연료전지_원본!$KB$4:$KX$4,0))*1000</f>
        <v>0</v>
      </c>
      <c r="CR265" s="250">
        <f>INDEX(연료전지_원본!$KB$4:$KX$369,MATCH($A265,연료전지_원본!$KB$4:$KB$369,0), MATCH(CR$4,연료전지_원본!$KB$4:$KX$4,0))*1000</f>
        <v>0</v>
      </c>
      <c r="CS265" s="250">
        <f>INDEX(연료전지_원본!$KB$4:$KX$369,MATCH($A265,연료전지_원본!$KB$4:$KB$369,0), MATCH(CS$4,연료전지_원본!$KB$4:$KX$4,0))*1000</f>
        <v>0</v>
      </c>
      <c r="CT265" s="250">
        <f>INDEX(연료전지_원본!$KB$4:$KX$369,MATCH($A265,연료전지_원본!$KB$4:$KB$369,0), MATCH(CT$4,연료전지_원본!$KB$4:$KX$4,0))*1000</f>
        <v>0</v>
      </c>
      <c r="CU265" s="250">
        <f>INDEX(연료전지_원본!$KB$4:$KX$369,MATCH($A265,연료전지_원본!$KB$4:$KB$369,0), MATCH(CU$4,연료전지_원본!$KB$4:$KX$4,0))*1000</f>
        <v>0</v>
      </c>
      <c r="CV265" s="250">
        <f>INDEX(연료전지_원본!$KB$4:$KX$369,MATCH($A265,연료전지_원본!$KB$4:$KB$369,0), MATCH(CV$4,연료전지_원본!$KB$4:$KX$4,0))*1000</f>
        <v>0</v>
      </c>
      <c r="CW265" s="250">
        <f>INDEX(연료전지_원본!$KB$4:$KX$369,MATCH($A265,연료전지_원본!$KB$4:$KB$369,0), MATCH(CW$4,연료전지_원본!$KB$4:$KX$4,0))*1000</f>
        <v>0</v>
      </c>
      <c r="CX265" s="250">
        <f>INDEX(연료전지_원본!$KB$4:$KX$369,MATCH($A265,연료전지_원본!$KB$4:$KB$369,0), MATCH(CX$4,연료전지_원본!$KB$4:$KX$4,0))*1000</f>
        <v>0</v>
      </c>
      <c r="CY265" s="250">
        <f>INDEX(연료전지_원본!$KB$4:$KX$369,MATCH($A265,연료전지_원본!$KB$4:$KB$369,0), MATCH(CY$4,연료전지_원본!$KB$4:$KX$4,0))*1000</f>
        <v>0</v>
      </c>
      <c r="DV265" s="30">
        <f t="shared" si="1285"/>
        <v>0</v>
      </c>
    </row>
    <row r="266" spans="1:126">
      <c r="A266" s="6">
        <v>46283</v>
      </c>
      <c r="B266" s="15">
        <f>운전실적_원본!B266</f>
        <v>0</v>
      </c>
      <c r="C266" s="16" t="str">
        <f t="shared" si="1291"/>
        <v/>
      </c>
      <c r="D266" s="12">
        <f>운전실적_원본!C266</f>
        <v>0</v>
      </c>
      <c r="E266" s="12" t="str">
        <f t="shared" si="1292"/>
        <v/>
      </c>
      <c r="F266" s="12">
        <f>운전실적_원본!D266</f>
        <v>0</v>
      </c>
      <c r="G266" s="16" t="str">
        <f t="shared" si="1293"/>
        <v/>
      </c>
      <c r="H266" s="15">
        <f>운전실적_원본!E266</f>
        <v>0</v>
      </c>
      <c r="I266" s="16" t="str">
        <f t="shared" si="1294"/>
        <v/>
      </c>
      <c r="J266" s="15">
        <f>운전실적_원본!F266</f>
        <v>0</v>
      </c>
      <c r="K266" s="16" t="str">
        <f t="shared" si="1294"/>
        <v/>
      </c>
      <c r="L266" s="32">
        <f>운전실적_원본!G266</f>
        <v>0</v>
      </c>
      <c r="M266" s="31" t="str">
        <f t="shared" ref="M266" si="1471">IF(OR(LEN(L266)=0,L266=0),"",L266-L265)</f>
        <v/>
      </c>
      <c r="N266" s="15">
        <f>운전실적_원본!H266</f>
        <v>0</v>
      </c>
      <c r="O266" s="16" t="str">
        <f t="shared" ref="O266" si="1472">IF(OR(LEN(N266)=0,N266=0),"",N266-N265)</f>
        <v/>
      </c>
      <c r="P266" s="15">
        <f>운전실적_원본!I266</f>
        <v>0</v>
      </c>
      <c r="Q266" s="16" t="str">
        <f t="shared" ref="Q266" si="1473">IF(OR(LEN(P266)=0,P266=0),"",P266-P265)</f>
        <v/>
      </c>
      <c r="R266" s="18">
        <f>운전실적_원본!J266</f>
        <v>0</v>
      </c>
      <c r="S266" s="19" t="str">
        <f t="shared" ref="S266" si="1474">IF(OR(LEN(R266)=0,R266=0),"",R266-R265)</f>
        <v/>
      </c>
      <c r="T266" s="18">
        <f>운전실적_원본!K266</f>
        <v>0</v>
      </c>
      <c r="U266" s="19" t="str">
        <f t="shared" si="1299"/>
        <v/>
      </c>
      <c r="V266" s="12">
        <f>운전실적_원본!L266</f>
        <v>0</v>
      </c>
      <c r="W266" s="16" t="str">
        <f t="shared" ref="W266" si="1475">IF(OR(LEN(V266)=0,V266=0),"",V266-V265)</f>
        <v/>
      </c>
      <c r="X266" s="10">
        <f>운전실적_원본!M266</f>
        <v>0</v>
      </c>
      <c r="Y266" s="10">
        <f>운전실적_원본!N266</f>
        <v>0</v>
      </c>
      <c r="Z266" s="10">
        <f>운전실적_원본!O266</f>
        <v>0</v>
      </c>
      <c r="AA266" s="10">
        <f>운전실적_원본!P266</f>
        <v>0</v>
      </c>
      <c r="AB266" s="10">
        <f>운전실적_원본!Q266</f>
        <v>0</v>
      </c>
      <c r="AC266" s="20">
        <f>운전실적_원본!R266</f>
        <v>0</v>
      </c>
      <c r="AD266" s="109">
        <f>운전실적_원본!S266</f>
        <v>0</v>
      </c>
      <c r="AE266" s="110">
        <f>운전실적_원본!T266</f>
        <v>0</v>
      </c>
      <c r="AF266" s="110">
        <f>운전실적_원본!U266</f>
        <v>0</v>
      </c>
      <c r="AG266" s="110">
        <f>운전실적_원본!V266</f>
        <v>0</v>
      </c>
      <c r="AH266" s="109">
        <f t="shared" si="1453"/>
        <v>0</v>
      </c>
      <c r="AI266" s="110">
        <f t="shared" si="1460"/>
        <v>0</v>
      </c>
      <c r="AJ266" s="110">
        <f>운전실적_원본!Y266</f>
        <v>0</v>
      </c>
      <c r="AK266" s="110">
        <f>운전실적_원본!Z266</f>
        <v>0</v>
      </c>
      <c r="AL266" s="106"/>
      <c r="AM266" s="105"/>
      <c r="AN266" s="105"/>
      <c r="AO266" s="105"/>
      <c r="AP266" s="105"/>
      <c r="AQ266" s="108"/>
      <c r="AR266" s="105"/>
      <c r="AS266" s="105"/>
      <c r="AT266" s="102"/>
      <c r="AU266" s="102"/>
      <c r="AV266" s="102"/>
      <c r="AW266" s="102"/>
      <c r="AX266" s="32">
        <f>운전실적_원본!W266</f>
        <v>0</v>
      </c>
      <c r="AY266" s="11">
        <f>운전실적_원본!X266</f>
        <v>0</v>
      </c>
      <c r="AZ266" s="11">
        <f>운전실적_원본!Y266</f>
        <v>0</v>
      </c>
      <c r="BA266" s="11">
        <f>운전실적_원본!Z266</f>
        <v>0</v>
      </c>
      <c r="BB266" s="11">
        <f>운전실적_원본!AA266</f>
        <v>0</v>
      </c>
      <c r="BC266" s="11">
        <f>운전실적_원본!AB266</f>
        <v>0</v>
      </c>
      <c r="BD266" s="32" t="str">
        <f t="shared" si="1446"/>
        <v>-</v>
      </c>
      <c r="BE266" s="11" t="str">
        <f t="shared" si="1454"/>
        <v>-</v>
      </c>
      <c r="BF266" s="11">
        <f>운전실적_원본!AE266</f>
        <v>0</v>
      </c>
      <c r="BG266" s="31">
        <f t="shared" si="1447"/>
        <v>0</v>
      </c>
      <c r="BH266" s="241">
        <f>INDEX(연료전지_원본!$A$4:$KY$369,MATCH($A266,연료전지_원본!$A$4:$A$369,0),MATCH($BH$4,연료전지_원본!$A$4:$KY$4,0))</f>
        <v>0</v>
      </c>
      <c r="BI266" s="241">
        <f>INDEX(연료전지_원본!$A$4:$KY$369,MATCH($A266,연료전지_원본!$A$4:$A$369,0),MATCH($BI$4,연료전지_원본!$A$4:$KY$4,0))</f>
        <v>0</v>
      </c>
      <c r="BJ266" s="241">
        <f>INDEX(연료전지_원본!$A$4:$KY$369,MATCH($A266,연료전지_원본!$A$4:$A$369,0),MATCH($BJ$4,연료전지_원본!$A$4:$KY$4,0))</f>
        <v>0</v>
      </c>
      <c r="BK266" s="241">
        <f>INDEX(연료전지_원본!$A$4:$KY$369,MATCH($A266,연료전지_원본!$A$4:$A$369,0),MATCH($BK$4,연료전지_원본!$A$4:$KY$4,0))</f>
        <v>0</v>
      </c>
      <c r="BL266" s="241">
        <f>INDEX(연료전지_원본!$A$4:$KY$369,MATCH($A266,연료전지_원본!$A$4:$A$369,0),MATCH($BL$4,연료전지_원본!$A$4:$KY$4,0))</f>
        <v>0</v>
      </c>
      <c r="BM266" s="241">
        <f>INDEX(연료전지_원본!$A$4:$KY$369,MATCH($A266,연료전지_원본!$A$4:$A$369,0),MATCH($BM$4,연료전지_원본!$A$4:$KY$4,0))</f>
        <v>0</v>
      </c>
      <c r="BN266" s="241">
        <f>INDEX(연료전지_원본!$A$4:$KY$369,MATCH($A266,연료전지_원본!$A$4:$A$369,0),MATCH($BN$4,연료전지_원본!$A$4:$KY$4,0))</f>
        <v>0</v>
      </c>
      <c r="BO266" s="241">
        <f>INDEX(연료전지_원본!$A$4:$KY$369,MATCH($A266,연료전지_원본!$A$4:$A$369,0),MATCH($BO$4,연료전지_원본!$A$4:$KY$4,0))</f>
        <v>0</v>
      </c>
      <c r="BP266" s="241">
        <f>INDEX(연료전지_원본!$A$4:$KY$369,MATCH($A266,연료전지_원본!$A$4:$A$369,0),MATCH($BP$4,연료전지_원본!$A$4:$KY$4,0))</f>
        <v>0</v>
      </c>
      <c r="BQ266" s="241">
        <f>INDEX(연료전지_원본!$A$4:$KY$369,MATCH($A266,연료전지_원본!$A$4:$A$369,0),MATCH($BQ$4,연료전지_원본!$A$4:$KY$4,0))</f>
        <v>0</v>
      </c>
      <c r="BR266" s="241">
        <f>INDEX(연료전지_원본!$A$4:$KY$369,MATCH($A266,연료전지_원본!$A$4:$A$369,0),MATCH($BR$4,연료전지_원본!$A$4:$KY$4,0))</f>
        <v>0</v>
      </c>
      <c r="BS266" s="241">
        <f>INDEX(연료전지_원본!$A$4:$KY$369,MATCH($A266,연료전지_원본!$A$4:$A$369,0),MATCH($BS$4,연료전지_원본!$A$4:$KY$4,0))</f>
        <v>0</v>
      </c>
      <c r="BT266" s="241">
        <f>INDEX(연료전지_원본!$A$4:$KY$369,MATCH($A266,연료전지_원본!$A$4:$A$369,0),MATCH($BT$4,연료전지_원본!$A$4:$KY$4,0))</f>
        <v>0</v>
      </c>
      <c r="BU266" s="241">
        <f>INDEX(연료전지_원본!$A$4:$KY$369,MATCH($A266,연료전지_원본!$A$4:$A$369,0),MATCH($BU$4,연료전지_원본!$A$4:$KY$4,0))</f>
        <v>0</v>
      </c>
      <c r="BV266" s="241">
        <f>INDEX(연료전지_원본!$A$4:$KY$369,MATCH($A266,연료전지_원본!$A$4:$A$369,0),MATCH($BV$4,연료전지_원본!$A$4:$KY$4,0))</f>
        <v>0</v>
      </c>
      <c r="BW266" s="241">
        <f>INDEX(연료전지_원본!$A$4:$KY$369,MATCH($A266,연료전지_원본!$A$4:$A$369,0),MATCH($BW$4,연료전지_원본!$A$4:$KY$4,0))</f>
        <v>0</v>
      </c>
      <c r="BX266" s="241">
        <f>INDEX(연료전지_원본!$A$4:$KY$369,MATCH($A266,연료전지_원본!$A$4:$A$369,0),MATCH($BX$4,연료전지_원본!$A$4:$KY$4,0))</f>
        <v>0</v>
      </c>
      <c r="BY266" s="241">
        <f>INDEX(연료전지_원본!$A$4:$KY$369,MATCH($A266,연료전지_원본!$A$4:$A$369,0),MATCH($BY$4,연료전지_원본!$A$4:$KY$4,0))</f>
        <v>0</v>
      </c>
      <c r="BZ266" s="241">
        <f>INDEX(연료전지_원본!$A$4:$KY$369,MATCH($A266,연료전지_원본!$A$4:$A$369,0),MATCH($BZ$4,연료전지_원본!$A$4:$KY$4,0))</f>
        <v>0</v>
      </c>
      <c r="CA266" s="241">
        <f>INDEX(연료전지_원본!$A$4:$KY$369,MATCH($A266,연료전지_원본!$A$4:$A$369,0),MATCH($CA$4,연료전지_원본!$A$4:$KY$4,0))</f>
        <v>0</v>
      </c>
      <c r="CB266" s="241">
        <f>INDEX(연료전지_원본!$A$4:$KY$369,MATCH($A266,연료전지_원본!$A$4:$A$369,0),MATCH($CB$4,연료전지_원본!$A$4:$KY$4,0))</f>
        <v>0</v>
      </c>
      <c r="CC266" s="242">
        <f>INDEX(연료전지_원본!$A$4:$KY$369,MATCH($A266,연료전지_원본!$A$4:$A$369,0),MATCH($CC$4,연료전지_원본!$A$4:$KY$4,0))</f>
        <v>0</v>
      </c>
      <c r="CD266" s="250">
        <f>INDEX(연료전지_원본!$KB$4:$KX$369,MATCH($A266,연료전지_원본!$KB$4:$KB$369,0), MATCH(CD$4,연료전지_원본!$KB$4:$KX$4,0))*1000</f>
        <v>0</v>
      </c>
      <c r="CE266" s="250">
        <f>INDEX(연료전지_원본!$KB$4:$KX$369,MATCH($A266,연료전지_원본!$KB$4:$KB$369,0), MATCH(CE$4,연료전지_원본!$KB$4:$KX$4,0))*1000</f>
        <v>0</v>
      </c>
      <c r="CF266" s="250">
        <f>INDEX(연료전지_원본!$KB$4:$KX$369,MATCH($A266,연료전지_원본!$KB$4:$KB$369,0), MATCH(CF$4,연료전지_원본!$KB$4:$KX$4,0))*1000</f>
        <v>0</v>
      </c>
      <c r="CG266" s="250">
        <f>INDEX(연료전지_원본!$KB$4:$KX$369,MATCH($A266,연료전지_원본!$KB$4:$KB$369,0), MATCH(CG$4,연료전지_원본!$KB$4:$KX$4,0))*1000</f>
        <v>0</v>
      </c>
      <c r="CH266" s="250">
        <f>INDEX(연료전지_원본!$KB$4:$KX$369,MATCH($A266,연료전지_원본!$KB$4:$KB$369,0), MATCH(CH$4,연료전지_원본!$KB$4:$KX$4,0))*1000</f>
        <v>0</v>
      </c>
      <c r="CI266" s="250">
        <f>INDEX(연료전지_원본!$KB$4:$KX$369,MATCH($A266,연료전지_원본!$KB$4:$KB$369,0), MATCH(CI$4,연료전지_원본!$KB$4:$KX$4,0))*1000</f>
        <v>0</v>
      </c>
      <c r="CJ266" s="250">
        <f>INDEX(연료전지_원본!$KB$4:$KX$369,MATCH($A266,연료전지_원본!$KB$4:$KB$369,0), MATCH(CJ$4,연료전지_원본!$KB$4:$KX$4,0))*1000</f>
        <v>0</v>
      </c>
      <c r="CK266" s="250">
        <f>INDEX(연료전지_원본!$KB$4:$KX$369,MATCH($A266,연료전지_원본!$KB$4:$KB$369,0), MATCH(CK$4,연료전지_원본!$KB$4:$KX$4,0))*1000</f>
        <v>0</v>
      </c>
      <c r="CL266" s="250">
        <f>INDEX(연료전지_원본!$KB$4:$KX$369,MATCH($A266,연료전지_원본!$KB$4:$KB$369,0), MATCH(CL$4,연료전지_원본!$KB$4:$KX$4,0))*1000</f>
        <v>0</v>
      </c>
      <c r="CM266" s="250">
        <f>INDEX(연료전지_원본!$KB$4:$KX$369,MATCH($A266,연료전지_원본!$KB$4:$KB$369,0), MATCH(CM$4,연료전지_원본!$KB$4:$KX$4,0))*1000</f>
        <v>0</v>
      </c>
      <c r="CN266" s="250">
        <f>INDEX(연료전지_원본!$KB$4:$KX$369,MATCH($A266,연료전지_원본!$KB$4:$KB$369,0), MATCH(CN$4,연료전지_원본!$KB$4:$KX$4,0))*1000</f>
        <v>0</v>
      </c>
      <c r="CO266" s="250">
        <f>INDEX(연료전지_원본!$KB$4:$KX$369,MATCH($A266,연료전지_원본!$KB$4:$KB$369,0), MATCH(CO$4,연료전지_원본!$KB$4:$KX$4,0))*1000</f>
        <v>0</v>
      </c>
      <c r="CP266" s="250">
        <f>INDEX(연료전지_원본!$KB$4:$KX$369,MATCH($A266,연료전지_원본!$KB$4:$KB$369,0), MATCH(CP$4,연료전지_원본!$KB$4:$KX$4,0))*1000</f>
        <v>0</v>
      </c>
      <c r="CQ266" s="250">
        <f>INDEX(연료전지_원본!$KB$4:$KX$369,MATCH($A266,연료전지_원본!$KB$4:$KB$369,0), MATCH(CQ$4,연료전지_원본!$KB$4:$KX$4,0))*1000</f>
        <v>0</v>
      </c>
      <c r="CR266" s="250">
        <f>INDEX(연료전지_원본!$KB$4:$KX$369,MATCH($A266,연료전지_원본!$KB$4:$KB$369,0), MATCH(CR$4,연료전지_원본!$KB$4:$KX$4,0))*1000</f>
        <v>0</v>
      </c>
      <c r="CS266" s="250">
        <f>INDEX(연료전지_원본!$KB$4:$KX$369,MATCH($A266,연료전지_원본!$KB$4:$KB$369,0), MATCH(CS$4,연료전지_원본!$KB$4:$KX$4,0))*1000</f>
        <v>0</v>
      </c>
      <c r="CT266" s="250">
        <f>INDEX(연료전지_원본!$KB$4:$KX$369,MATCH($A266,연료전지_원본!$KB$4:$KB$369,0), MATCH(CT$4,연료전지_원본!$KB$4:$KX$4,0))*1000</f>
        <v>0</v>
      </c>
      <c r="CU266" s="250">
        <f>INDEX(연료전지_원본!$KB$4:$KX$369,MATCH($A266,연료전지_원본!$KB$4:$KB$369,0), MATCH(CU$4,연료전지_원본!$KB$4:$KX$4,0))*1000</f>
        <v>0</v>
      </c>
      <c r="CV266" s="250">
        <f>INDEX(연료전지_원본!$KB$4:$KX$369,MATCH($A266,연료전지_원본!$KB$4:$KB$369,0), MATCH(CV$4,연료전지_원본!$KB$4:$KX$4,0))*1000</f>
        <v>0</v>
      </c>
      <c r="CW266" s="250">
        <f>INDEX(연료전지_원본!$KB$4:$KX$369,MATCH($A266,연료전지_원본!$KB$4:$KB$369,0), MATCH(CW$4,연료전지_원본!$KB$4:$KX$4,0))*1000</f>
        <v>0</v>
      </c>
      <c r="CX266" s="250">
        <f>INDEX(연료전지_원본!$KB$4:$KX$369,MATCH($A266,연료전지_원본!$KB$4:$KB$369,0), MATCH(CX$4,연료전지_원본!$KB$4:$KX$4,0))*1000</f>
        <v>0</v>
      </c>
      <c r="CY266" s="250">
        <f>INDEX(연료전지_원본!$KB$4:$KX$369,MATCH($A266,연료전지_원본!$KB$4:$KB$369,0), MATCH(CY$4,연료전지_원본!$KB$4:$KX$4,0))*1000</f>
        <v>0</v>
      </c>
      <c r="DV266" s="30">
        <f t="shared" si="1285"/>
        <v>0</v>
      </c>
    </row>
    <row r="267" spans="1:126">
      <c r="A267" s="6">
        <v>46284</v>
      </c>
      <c r="B267" s="15">
        <f>운전실적_원본!B267</f>
        <v>0</v>
      </c>
      <c r="C267" s="16" t="str">
        <f t="shared" si="1291"/>
        <v/>
      </c>
      <c r="D267" s="12">
        <f>운전실적_원본!C267</f>
        <v>0</v>
      </c>
      <c r="E267" s="12" t="str">
        <f t="shared" si="1292"/>
        <v/>
      </c>
      <c r="F267" s="12">
        <f>운전실적_원본!D267</f>
        <v>0</v>
      </c>
      <c r="G267" s="16" t="str">
        <f t="shared" si="1293"/>
        <v/>
      </c>
      <c r="H267" s="15">
        <f>운전실적_원본!E267</f>
        <v>0</v>
      </c>
      <c r="I267" s="16" t="str">
        <f t="shared" si="1294"/>
        <v/>
      </c>
      <c r="J267" s="15">
        <f>운전실적_원본!F267</f>
        <v>0</v>
      </c>
      <c r="K267" s="16" t="str">
        <f t="shared" si="1294"/>
        <v/>
      </c>
      <c r="L267" s="32">
        <f>운전실적_원본!G267</f>
        <v>0</v>
      </c>
      <c r="M267" s="31" t="str">
        <f t="shared" ref="M267" si="1476">IF(OR(LEN(L267)=0,L267=0),"",L267-L266)</f>
        <v/>
      </c>
      <c r="N267" s="15">
        <f>운전실적_원본!H267</f>
        <v>0</v>
      </c>
      <c r="O267" s="16" t="str">
        <f t="shared" ref="O267" si="1477">IF(OR(LEN(N267)=0,N267=0),"",N267-N266)</f>
        <v/>
      </c>
      <c r="P267" s="15">
        <f>운전실적_원본!I267</f>
        <v>0</v>
      </c>
      <c r="Q267" s="16" t="str">
        <f t="shared" ref="Q267" si="1478">IF(OR(LEN(P267)=0,P267=0),"",P267-P266)</f>
        <v/>
      </c>
      <c r="R267" s="18">
        <f>운전실적_원본!J267</f>
        <v>0</v>
      </c>
      <c r="S267" s="19" t="str">
        <f t="shared" ref="S267" si="1479">IF(OR(LEN(R267)=0,R267=0),"",R267-R266)</f>
        <v/>
      </c>
      <c r="T267" s="18">
        <f>운전실적_원본!K267</f>
        <v>0</v>
      </c>
      <c r="U267" s="19" t="str">
        <f t="shared" si="1299"/>
        <v/>
      </c>
      <c r="V267" s="12">
        <f>운전실적_원본!L267</f>
        <v>0</v>
      </c>
      <c r="W267" s="16" t="str">
        <f t="shared" ref="W267" si="1480">IF(OR(LEN(V267)=0,V267=0),"",V267-V266)</f>
        <v/>
      </c>
      <c r="X267" s="10">
        <f>운전실적_원본!M267</f>
        <v>0</v>
      </c>
      <c r="Y267" s="10">
        <f>운전실적_원본!N267</f>
        <v>0</v>
      </c>
      <c r="Z267" s="10">
        <f>운전실적_원본!O267</f>
        <v>0</v>
      </c>
      <c r="AA267" s="10">
        <f>운전실적_원본!P267</f>
        <v>0</v>
      </c>
      <c r="AB267" s="10">
        <f>운전실적_원본!Q267</f>
        <v>0</v>
      </c>
      <c r="AC267" s="20">
        <f>운전실적_원본!R267</f>
        <v>0</v>
      </c>
      <c r="AD267" s="109">
        <f>운전실적_원본!S267</f>
        <v>0</v>
      </c>
      <c r="AE267" s="110">
        <f>운전실적_원본!T267</f>
        <v>0</v>
      </c>
      <c r="AF267" s="110">
        <f>운전실적_원본!U267</f>
        <v>0</v>
      </c>
      <c r="AG267" s="110">
        <f>운전실적_원본!V267</f>
        <v>0</v>
      </c>
      <c r="AH267" s="109">
        <f t="shared" si="1453"/>
        <v>0</v>
      </c>
      <c r="AI267" s="110">
        <f t="shared" si="1460"/>
        <v>0</v>
      </c>
      <c r="AJ267" s="110">
        <f>운전실적_원본!Y267</f>
        <v>0</v>
      </c>
      <c r="AK267" s="110">
        <f>운전실적_원본!Z267</f>
        <v>0</v>
      </c>
      <c r="AL267" s="106"/>
      <c r="AM267" s="105"/>
      <c r="AN267" s="105"/>
      <c r="AO267" s="105"/>
      <c r="AP267" s="105"/>
      <c r="AQ267" s="108"/>
      <c r="AR267" s="105"/>
      <c r="AS267" s="105"/>
      <c r="AT267" s="102"/>
      <c r="AU267" s="102"/>
      <c r="AV267" s="102"/>
      <c r="AW267" s="102"/>
      <c r="AX267" s="32">
        <f>운전실적_원본!W267</f>
        <v>0</v>
      </c>
      <c r="AY267" s="11">
        <f>운전실적_원본!X267</f>
        <v>0</v>
      </c>
      <c r="AZ267" s="11">
        <f>운전실적_원본!Y267</f>
        <v>0</v>
      </c>
      <c r="BA267" s="11">
        <f>운전실적_원본!Z267</f>
        <v>0</v>
      </c>
      <c r="BB267" s="11">
        <f>운전실적_원본!AA267</f>
        <v>0</v>
      </c>
      <c r="BC267" s="11">
        <f>운전실적_원본!AB267</f>
        <v>0</v>
      </c>
      <c r="BD267" s="32" t="str">
        <f t="shared" si="1446"/>
        <v>-</v>
      </c>
      <c r="BE267" s="11" t="str">
        <f t="shared" si="1454"/>
        <v>-</v>
      </c>
      <c r="BF267" s="11">
        <f>운전실적_원본!AE267</f>
        <v>0</v>
      </c>
      <c r="BG267" s="31">
        <f t="shared" si="1447"/>
        <v>0</v>
      </c>
      <c r="BH267" s="241">
        <f>INDEX(연료전지_원본!$A$4:$KY$369,MATCH($A267,연료전지_원본!$A$4:$A$369,0),MATCH($BH$4,연료전지_원본!$A$4:$KY$4,0))</f>
        <v>0</v>
      </c>
      <c r="BI267" s="241">
        <f>INDEX(연료전지_원본!$A$4:$KY$369,MATCH($A267,연료전지_원본!$A$4:$A$369,0),MATCH($BI$4,연료전지_원본!$A$4:$KY$4,0))</f>
        <v>0</v>
      </c>
      <c r="BJ267" s="241">
        <f>INDEX(연료전지_원본!$A$4:$KY$369,MATCH($A267,연료전지_원본!$A$4:$A$369,0),MATCH($BJ$4,연료전지_원본!$A$4:$KY$4,0))</f>
        <v>0</v>
      </c>
      <c r="BK267" s="241">
        <f>INDEX(연료전지_원본!$A$4:$KY$369,MATCH($A267,연료전지_원본!$A$4:$A$369,0),MATCH($BK$4,연료전지_원본!$A$4:$KY$4,0))</f>
        <v>0</v>
      </c>
      <c r="BL267" s="241">
        <f>INDEX(연료전지_원본!$A$4:$KY$369,MATCH($A267,연료전지_원본!$A$4:$A$369,0),MATCH($BL$4,연료전지_원본!$A$4:$KY$4,0))</f>
        <v>0</v>
      </c>
      <c r="BM267" s="241">
        <f>INDEX(연료전지_원본!$A$4:$KY$369,MATCH($A267,연료전지_원본!$A$4:$A$369,0),MATCH($BM$4,연료전지_원본!$A$4:$KY$4,0))</f>
        <v>0</v>
      </c>
      <c r="BN267" s="241">
        <f>INDEX(연료전지_원본!$A$4:$KY$369,MATCH($A267,연료전지_원본!$A$4:$A$369,0),MATCH($BN$4,연료전지_원본!$A$4:$KY$4,0))</f>
        <v>0</v>
      </c>
      <c r="BO267" s="241">
        <f>INDEX(연료전지_원본!$A$4:$KY$369,MATCH($A267,연료전지_원본!$A$4:$A$369,0),MATCH($BO$4,연료전지_원본!$A$4:$KY$4,0))</f>
        <v>0</v>
      </c>
      <c r="BP267" s="241">
        <f>INDEX(연료전지_원본!$A$4:$KY$369,MATCH($A267,연료전지_원본!$A$4:$A$369,0),MATCH($BP$4,연료전지_원본!$A$4:$KY$4,0))</f>
        <v>0</v>
      </c>
      <c r="BQ267" s="241">
        <f>INDEX(연료전지_원본!$A$4:$KY$369,MATCH($A267,연료전지_원본!$A$4:$A$369,0),MATCH($BQ$4,연료전지_원본!$A$4:$KY$4,0))</f>
        <v>0</v>
      </c>
      <c r="BR267" s="241">
        <f>INDEX(연료전지_원본!$A$4:$KY$369,MATCH($A267,연료전지_원본!$A$4:$A$369,0),MATCH($BR$4,연료전지_원본!$A$4:$KY$4,0))</f>
        <v>0</v>
      </c>
      <c r="BS267" s="241">
        <f>INDEX(연료전지_원본!$A$4:$KY$369,MATCH($A267,연료전지_원본!$A$4:$A$369,0),MATCH($BS$4,연료전지_원본!$A$4:$KY$4,0))</f>
        <v>0</v>
      </c>
      <c r="BT267" s="241">
        <f>INDEX(연료전지_원본!$A$4:$KY$369,MATCH($A267,연료전지_원본!$A$4:$A$369,0),MATCH($BT$4,연료전지_원본!$A$4:$KY$4,0))</f>
        <v>0</v>
      </c>
      <c r="BU267" s="241">
        <f>INDEX(연료전지_원본!$A$4:$KY$369,MATCH($A267,연료전지_원본!$A$4:$A$369,0),MATCH($BU$4,연료전지_원본!$A$4:$KY$4,0))</f>
        <v>0</v>
      </c>
      <c r="BV267" s="241">
        <f>INDEX(연료전지_원본!$A$4:$KY$369,MATCH($A267,연료전지_원본!$A$4:$A$369,0),MATCH($BV$4,연료전지_원본!$A$4:$KY$4,0))</f>
        <v>0</v>
      </c>
      <c r="BW267" s="241">
        <f>INDEX(연료전지_원본!$A$4:$KY$369,MATCH($A267,연료전지_원본!$A$4:$A$369,0),MATCH($BW$4,연료전지_원본!$A$4:$KY$4,0))</f>
        <v>0</v>
      </c>
      <c r="BX267" s="241">
        <f>INDEX(연료전지_원본!$A$4:$KY$369,MATCH($A267,연료전지_원본!$A$4:$A$369,0),MATCH($BX$4,연료전지_원본!$A$4:$KY$4,0))</f>
        <v>0</v>
      </c>
      <c r="BY267" s="241">
        <f>INDEX(연료전지_원본!$A$4:$KY$369,MATCH($A267,연료전지_원본!$A$4:$A$369,0),MATCH($BY$4,연료전지_원본!$A$4:$KY$4,0))</f>
        <v>0</v>
      </c>
      <c r="BZ267" s="241">
        <f>INDEX(연료전지_원본!$A$4:$KY$369,MATCH($A267,연료전지_원본!$A$4:$A$369,0),MATCH($BZ$4,연료전지_원본!$A$4:$KY$4,0))</f>
        <v>0</v>
      </c>
      <c r="CA267" s="241">
        <f>INDEX(연료전지_원본!$A$4:$KY$369,MATCH($A267,연료전지_원본!$A$4:$A$369,0),MATCH($CA$4,연료전지_원본!$A$4:$KY$4,0))</f>
        <v>0</v>
      </c>
      <c r="CB267" s="241">
        <f>INDEX(연료전지_원본!$A$4:$KY$369,MATCH($A267,연료전지_원본!$A$4:$A$369,0),MATCH($CB$4,연료전지_원본!$A$4:$KY$4,0))</f>
        <v>0</v>
      </c>
      <c r="CC267" s="242">
        <f>INDEX(연료전지_원본!$A$4:$KY$369,MATCH($A267,연료전지_원본!$A$4:$A$369,0),MATCH($CC$4,연료전지_원본!$A$4:$KY$4,0))</f>
        <v>0</v>
      </c>
      <c r="CD267" s="250">
        <f>INDEX(연료전지_원본!$KB$4:$KX$369,MATCH($A267,연료전지_원본!$KB$4:$KB$369,0), MATCH(CD$4,연료전지_원본!$KB$4:$KX$4,0))*1000</f>
        <v>0</v>
      </c>
      <c r="CE267" s="250">
        <f>INDEX(연료전지_원본!$KB$4:$KX$369,MATCH($A267,연료전지_원본!$KB$4:$KB$369,0), MATCH(CE$4,연료전지_원본!$KB$4:$KX$4,0))*1000</f>
        <v>0</v>
      </c>
      <c r="CF267" s="250">
        <f>INDEX(연료전지_원본!$KB$4:$KX$369,MATCH($A267,연료전지_원본!$KB$4:$KB$369,0), MATCH(CF$4,연료전지_원본!$KB$4:$KX$4,0))*1000</f>
        <v>0</v>
      </c>
      <c r="CG267" s="250">
        <f>INDEX(연료전지_원본!$KB$4:$KX$369,MATCH($A267,연료전지_원본!$KB$4:$KB$369,0), MATCH(CG$4,연료전지_원본!$KB$4:$KX$4,0))*1000</f>
        <v>0</v>
      </c>
      <c r="CH267" s="250">
        <f>INDEX(연료전지_원본!$KB$4:$KX$369,MATCH($A267,연료전지_원본!$KB$4:$KB$369,0), MATCH(CH$4,연료전지_원본!$KB$4:$KX$4,0))*1000</f>
        <v>0</v>
      </c>
      <c r="CI267" s="250">
        <f>INDEX(연료전지_원본!$KB$4:$KX$369,MATCH($A267,연료전지_원본!$KB$4:$KB$369,0), MATCH(CI$4,연료전지_원본!$KB$4:$KX$4,0))*1000</f>
        <v>0</v>
      </c>
      <c r="CJ267" s="250">
        <f>INDEX(연료전지_원본!$KB$4:$KX$369,MATCH($A267,연료전지_원본!$KB$4:$KB$369,0), MATCH(CJ$4,연료전지_원본!$KB$4:$KX$4,0))*1000</f>
        <v>0</v>
      </c>
      <c r="CK267" s="250">
        <f>INDEX(연료전지_원본!$KB$4:$KX$369,MATCH($A267,연료전지_원본!$KB$4:$KB$369,0), MATCH(CK$4,연료전지_원본!$KB$4:$KX$4,0))*1000</f>
        <v>0</v>
      </c>
      <c r="CL267" s="250">
        <f>INDEX(연료전지_원본!$KB$4:$KX$369,MATCH($A267,연료전지_원본!$KB$4:$KB$369,0), MATCH(CL$4,연료전지_원본!$KB$4:$KX$4,0))*1000</f>
        <v>0</v>
      </c>
      <c r="CM267" s="250">
        <f>INDEX(연료전지_원본!$KB$4:$KX$369,MATCH($A267,연료전지_원본!$KB$4:$KB$369,0), MATCH(CM$4,연료전지_원본!$KB$4:$KX$4,0))*1000</f>
        <v>0</v>
      </c>
      <c r="CN267" s="250">
        <f>INDEX(연료전지_원본!$KB$4:$KX$369,MATCH($A267,연료전지_원본!$KB$4:$KB$369,0), MATCH(CN$4,연료전지_원본!$KB$4:$KX$4,0))*1000</f>
        <v>0</v>
      </c>
      <c r="CO267" s="250">
        <f>INDEX(연료전지_원본!$KB$4:$KX$369,MATCH($A267,연료전지_원본!$KB$4:$KB$369,0), MATCH(CO$4,연료전지_원본!$KB$4:$KX$4,0))*1000</f>
        <v>0</v>
      </c>
      <c r="CP267" s="250">
        <f>INDEX(연료전지_원본!$KB$4:$KX$369,MATCH($A267,연료전지_원본!$KB$4:$KB$369,0), MATCH(CP$4,연료전지_원본!$KB$4:$KX$4,0))*1000</f>
        <v>0</v>
      </c>
      <c r="CQ267" s="250">
        <f>INDEX(연료전지_원본!$KB$4:$KX$369,MATCH($A267,연료전지_원본!$KB$4:$KB$369,0), MATCH(CQ$4,연료전지_원본!$KB$4:$KX$4,0))*1000</f>
        <v>0</v>
      </c>
      <c r="CR267" s="250">
        <f>INDEX(연료전지_원본!$KB$4:$KX$369,MATCH($A267,연료전지_원본!$KB$4:$KB$369,0), MATCH(CR$4,연료전지_원본!$KB$4:$KX$4,0))*1000</f>
        <v>0</v>
      </c>
      <c r="CS267" s="250">
        <f>INDEX(연료전지_원본!$KB$4:$KX$369,MATCH($A267,연료전지_원본!$KB$4:$KB$369,0), MATCH(CS$4,연료전지_원본!$KB$4:$KX$4,0))*1000</f>
        <v>0</v>
      </c>
      <c r="CT267" s="250">
        <f>INDEX(연료전지_원본!$KB$4:$KX$369,MATCH($A267,연료전지_원본!$KB$4:$KB$369,0), MATCH(CT$4,연료전지_원본!$KB$4:$KX$4,0))*1000</f>
        <v>0</v>
      </c>
      <c r="CU267" s="250">
        <f>INDEX(연료전지_원본!$KB$4:$KX$369,MATCH($A267,연료전지_원본!$KB$4:$KB$369,0), MATCH(CU$4,연료전지_원본!$KB$4:$KX$4,0))*1000</f>
        <v>0</v>
      </c>
      <c r="CV267" s="250">
        <f>INDEX(연료전지_원본!$KB$4:$KX$369,MATCH($A267,연료전지_원본!$KB$4:$KB$369,0), MATCH(CV$4,연료전지_원본!$KB$4:$KX$4,0))*1000</f>
        <v>0</v>
      </c>
      <c r="CW267" s="250">
        <f>INDEX(연료전지_원본!$KB$4:$KX$369,MATCH($A267,연료전지_원본!$KB$4:$KB$369,0), MATCH(CW$4,연료전지_원본!$KB$4:$KX$4,0))*1000</f>
        <v>0</v>
      </c>
      <c r="CX267" s="250">
        <f>INDEX(연료전지_원본!$KB$4:$KX$369,MATCH($A267,연료전지_원본!$KB$4:$KB$369,0), MATCH(CX$4,연료전지_원본!$KB$4:$KX$4,0))*1000</f>
        <v>0</v>
      </c>
      <c r="CY267" s="250">
        <f>INDEX(연료전지_원본!$KB$4:$KX$369,MATCH($A267,연료전지_원본!$KB$4:$KB$369,0), MATCH(CY$4,연료전지_원본!$KB$4:$KX$4,0))*1000</f>
        <v>0</v>
      </c>
      <c r="DV267" s="30">
        <f t="shared" si="1285"/>
        <v>0</v>
      </c>
    </row>
    <row r="268" spans="1:126">
      <c r="A268" s="6">
        <v>46285</v>
      </c>
      <c r="B268" s="15">
        <f>운전실적_원본!B268</f>
        <v>0</v>
      </c>
      <c r="C268" s="16" t="str">
        <f t="shared" si="1291"/>
        <v/>
      </c>
      <c r="D268" s="12">
        <f>운전실적_원본!C268</f>
        <v>0</v>
      </c>
      <c r="E268" s="12" t="str">
        <f t="shared" si="1292"/>
        <v/>
      </c>
      <c r="F268" s="12">
        <f>운전실적_원본!D268</f>
        <v>0</v>
      </c>
      <c r="G268" s="16" t="str">
        <f t="shared" si="1293"/>
        <v/>
      </c>
      <c r="H268" s="15">
        <f>운전실적_원본!E268</f>
        <v>0</v>
      </c>
      <c r="I268" s="16" t="str">
        <f t="shared" si="1294"/>
        <v/>
      </c>
      <c r="J268" s="15">
        <f>운전실적_원본!F268</f>
        <v>0</v>
      </c>
      <c r="K268" s="16" t="str">
        <f t="shared" si="1294"/>
        <v/>
      </c>
      <c r="L268" s="32">
        <f>운전실적_원본!G268</f>
        <v>0</v>
      </c>
      <c r="M268" s="31" t="str">
        <f t="shared" ref="M268" si="1481">IF(OR(LEN(L268)=0,L268=0),"",L268-L267)</f>
        <v/>
      </c>
      <c r="N268" s="15">
        <f>운전실적_원본!H268</f>
        <v>0</v>
      </c>
      <c r="O268" s="16" t="str">
        <f t="shared" ref="O268" si="1482">IF(OR(LEN(N268)=0,N268=0),"",N268-N267)</f>
        <v/>
      </c>
      <c r="P268" s="15">
        <f>운전실적_원본!I268</f>
        <v>0</v>
      </c>
      <c r="Q268" s="16" t="str">
        <f t="shared" ref="Q268" si="1483">IF(OR(LEN(P268)=0,P268=0),"",P268-P267)</f>
        <v/>
      </c>
      <c r="R268" s="18">
        <f>운전실적_원본!J268</f>
        <v>0</v>
      </c>
      <c r="S268" s="19" t="str">
        <f t="shared" ref="S268" si="1484">IF(OR(LEN(R268)=0,R268=0),"",R268-R267)</f>
        <v/>
      </c>
      <c r="T268" s="18">
        <f>운전실적_원본!K268</f>
        <v>0</v>
      </c>
      <c r="U268" s="19" t="str">
        <f t="shared" si="1299"/>
        <v/>
      </c>
      <c r="V268" s="12">
        <f>운전실적_원본!L268</f>
        <v>0</v>
      </c>
      <c r="W268" s="16" t="str">
        <f t="shared" ref="W268" si="1485">IF(OR(LEN(V268)=0,V268=0),"",V268-V267)</f>
        <v/>
      </c>
      <c r="X268" s="10">
        <f>운전실적_원본!M268</f>
        <v>0</v>
      </c>
      <c r="Y268" s="10">
        <f>운전실적_원본!N268</f>
        <v>0</v>
      </c>
      <c r="Z268" s="10">
        <f>운전실적_원본!O268</f>
        <v>0</v>
      </c>
      <c r="AA268" s="10">
        <f>운전실적_원본!P268</f>
        <v>0</v>
      </c>
      <c r="AB268" s="10">
        <f>운전실적_원본!Q268</f>
        <v>0</v>
      </c>
      <c r="AC268" s="20">
        <f>운전실적_원본!R268</f>
        <v>0</v>
      </c>
      <c r="AD268" s="109">
        <f>운전실적_원본!S268</f>
        <v>0</v>
      </c>
      <c r="AE268" s="110">
        <f>운전실적_원본!T268</f>
        <v>0</v>
      </c>
      <c r="AF268" s="110">
        <f>운전실적_원본!U268</f>
        <v>0</v>
      </c>
      <c r="AG268" s="110">
        <f>운전실적_원본!V268</f>
        <v>0</v>
      </c>
      <c r="AH268" s="109">
        <f t="shared" si="1453"/>
        <v>0</v>
      </c>
      <c r="AI268" s="110">
        <f t="shared" si="1460"/>
        <v>0</v>
      </c>
      <c r="AJ268" s="110">
        <f>운전실적_원본!Y268</f>
        <v>0</v>
      </c>
      <c r="AK268" s="110">
        <f>운전실적_원본!Z268</f>
        <v>0</v>
      </c>
      <c r="AL268" s="106"/>
      <c r="AM268" s="105"/>
      <c r="AN268" s="105"/>
      <c r="AO268" s="105"/>
      <c r="AP268" s="105"/>
      <c r="AQ268" s="108"/>
      <c r="AR268" s="105"/>
      <c r="AS268" s="105"/>
      <c r="AT268" s="102"/>
      <c r="AU268" s="102"/>
      <c r="AV268" s="102"/>
      <c r="AW268" s="102"/>
      <c r="AX268" s="32">
        <f>운전실적_원본!W268</f>
        <v>0</v>
      </c>
      <c r="AY268" s="11">
        <f>운전실적_원본!X268</f>
        <v>0</v>
      </c>
      <c r="AZ268" s="11">
        <f>운전실적_원본!Y268</f>
        <v>0</v>
      </c>
      <c r="BA268" s="11">
        <f>운전실적_원본!Z268</f>
        <v>0</v>
      </c>
      <c r="BB268" s="11">
        <f>운전실적_원본!AA268</f>
        <v>0</v>
      </c>
      <c r="BC268" s="11">
        <f>운전실적_원본!AB268</f>
        <v>0</v>
      </c>
      <c r="BD268" s="32" t="str">
        <f t="shared" si="1446"/>
        <v>-</v>
      </c>
      <c r="BE268" s="11" t="str">
        <f t="shared" si="1454"/>
        <v>-</v>
      </c>
      <c r="BF268" s="11">
        <f>운전실적_원본!AE268</f>
        <v>0</v>
      </c>
      <c r="BG268" s="31">
        <f t="shared" si="1447"/>
        <v>0</v>
      </c>
      <c r="BH268" s="241">
        <f>INDEX(연료전지_원본!$A$4:$KY$369,MATCH($A268,연료전지_원본!$A$4:$A$369,0),MATCH($BH$4,연료전지_원본!$A$4:$KY$4,0))</f>
        <v>0</v>
      </c>
      <c r="BI268" s="241">
        <f>INDEX(연료전지_원본!$A$4:$KY$369,MATCH($A268,연료전지_원본!$A$4:$A$369,0),MATCH($BI$4,연료전지_원본!$A$4:$KY$4,0))</f>
        <v>0</v>
      </c>
      <c r="BJ268" s="241">
        <f>INDEX(연료전지_원본!$A$4:$KY$369,MATCH($A268,연료전지_원본!$A$4:$A$369,0),MATCH($BJ$4,연료전지_원본!$A$4:$KY$4,0))</f>
        <v>0</v>
      </c>
      <c r="BK268" s="241">
        <f>INDEX(연료전지_원본!$A$4:$KY$369,MATCH($A268,연료전지_원본!$A$4:$A$369,0),MATCH($BK$4,연료전지_원본!$A$4:$KY$4,0))</f>
        <v>0</v>
      </c>
      <c r="BL268" s="241">
        <f>INDEX(연료전지_원본!$A$4:$KY$369,MATCH($A268,연료전지_원본!$A$4:$A$369,0),MATCH($BL$4,연료전지_원본!$A$4:$KY$4,0))</f>
        <v>0</v>
      </c>
      <c r="BM268" s="241">
        <f>INDEX(연료전지_원본!$A$4:$KY$369,MATCH($A268,연료전지_원본!$A$4:$A$369,0),MATCH($BM$4,연료전지_원본!$A$4:$KY$4,0))</f>
        <v>0</v>
      </c>
      <c r="BN268" s="241">
        <f>INDEX(연료전지_원본!$A$4:$KY$369,MATCH($A268,연료전지_원본!$A$4:$A$369,0),MATCH($BN$4,연료전지_원본!$A$4:$KY$4,0))</f>
        <v>0</v>
      </c>
      <c r="BO268" s="241">
        <f>INDEX(연료전지_원본!$A$4:$KY$369,MATCH($A268,연료전지_원본!$A$4:$A$369,0),MATCH($BO$4,연료전지_원본!$A$4:$KY$4,0))</f>
        <v>0</v>
      </c>
      <c r="BP268" s="241">
        <f>INDEX(연료전지_원본!$A$4:$KY$369,MATCH($A268,연료전지_원본!$A$4:$A$369,0),MATCH($BP$4,연료전지_원본!$A$4:$KY$4,0))</f>
        <v>0</v>
      </c>
      <c r="BQ268" s="241">
        <f>INDEX(연료전지_원본!$A$4:$KY$369,MATCH($A268,연료전지_원본!$A$4:$A$369,0),MATCH($BQ$4,연료전지_원본!$A$4:$KY$4,0))</f>
        <v>0</v>
      </c>
      <c r="BR268" s="241">
        <f>INDEX(연료전지_원본!$A$4:$KY$369,MATCH($A268,연료전지_원본!$A$4:$A$369,0),MATCH($BR$4,연료전지_원본!$A$4:$KY$4,0))</f>
        <v>0</v>
      </c>
      <c r="BS268" s="241">
        <f>INDEX(연료전지_원본!$A$4:$KY$369,MATCH($A268,연료전지_원본!$A$4:$A$369,0),MATCH($BS$4,연료전지_원본!$A$4:$KY$4,0))</f>
        <v>0</v>
      </c>
      <c r="BT268" s="241">
        <f>INDEX(연료전지_원본!$A$4:$KY$369,MATCH($A268,연료전지_원본!$A$4:$A$369,0),MATCH($BT$4,연료전지_원본!$A$4:$KY$4,0))</f>
        <v>0</v>
      </c>
      <c r="BU268" s="241">
        <f>INDEX(연료전지_원본!$A$4:$KY$369,MATCH($A268,연료전지_원본!$A$4:$A$369,0),MATCH($BU$4,연료전지_원본!$A$4:$KY$4,0))</f>
        <v>0</v>
      </c>
      <c r="BV268" s="241">
        <f>INDEX(연료전지_원본!$A$4:$KY$369,MATCH($A268,연료전지_원본!$A$4:$A$369,0),MATCH($BV$4,연료전지_원본!$A$4:$KY$4,0))</f>
        <v>0</v>
      </c>
      <c r="BW268" s="241">
        <f>INDEX(연료전지_원본!$A$4:$KY$369,MATCH($A268,연료전지_원본!$A$4:$A$369,0),MATCH($BW$4,연료전지_원본!$A$4:$KY$4,0))</f>
        <v>0</v>
      </c>
      <c r="BX268" s="241">
        <f>INDEX(연료전지_원본!$A$4:$KY$369,MATCH($A268,연료전지_원본!$A$4:$A$369,0),MATCH($BX$4,연료전지_원본!$A$4:$KY$4,0))</f>
        <v>0</v>
      </c>
      <c r="BY268" s="241">
        <f>INDEX(연료전지_원본!$A$4:$KY$369,MATCH($A268,연료전지_원본!$A$4:$A$369,0),MATCH($BY$4,연료전지_원본!$A$4:$KY$4,0))</f>
        <v>0</v>
      </c>
      <c r="BZ268" s="241">
        <f>INDEX(연료전지_원본!$A$4:$KY$369,MATCH($A268,연료전지_원본!$A$4:$A$369,0),MATCH($BZ$4,연료전지_원본!$A$4:$KY$4,0))</f>
        <v>0</v>
      </c>
      <c r="CA268" s="241">
        <f>INDEX(연료전지_원본!$A$4:$KY$369,MATCH($A268,연료전지_원본!$A$4:$A$369,0),MATCH($CA$4,연료전지_원본!$A$4:$KY$4,0))</f>
        <v>0</v>
      </c>
      <c r="CB268" s="241">
        <f>INDEX(연료전지_원본!$A$4:$KY$369,MATCH($A268,연료전지_원본!$A$4:$A$369,0),MATCH($CB$4,연료전지_원본!$A$4:$KY$4,0))</f>
        <v>0</v>
      </c>
      <c r="CC268" s="242">
        <f>INDEX(연료전지_원본!$A$4:$KY$369,MATCH($A268,연료전지_원본!$A$4:$A$369,0),MATCH($CC$4,연료전지_원본!$A$4:$KY$4,0))</f>
        <v>0</v>
      </c>
      <c r="CD268" s="250">
        <f>INDEX(연료전지_원본!$KB$4:$KX$369,MATCH($A268,연료전지_원본!$KB$4:$KB$369,0), MATCH(CD$4,연료전지_원본!$KB$4:$KX$4,0))*1000</f>
        <v>0</v>
      </c>
      <c r="CE268" s="250">
        <f>INDEX(연료전지_원본!$KB$4:$KX$369,MATCH($A268,연료전지_원본!$KB$4:$KB$369,0), MATCH(CE$4,연료전지_원본!$KB$4:$KX$4,0))*1000</f>
        <v>0</v>
      </c>
      <c r="CF268" s="250">
        <f>INDEX(연료전지_원본!$KB$4:$KX$369,MATCH($A268,연료전지_원본!$KB$4:$KB$369,0), MATCH(CF$4,연료전지_원본!$KB$4:$KX$4,0))*1000</f>
        <v>0</v>
      </c>
      <c r="CG268" s="250">
        <f>INDEX(연료전지_원본!$KB$4:$KX$369,MATCH($A268,연료전지_원본!$KB$4:$KB$369,0), MATCH(CG$4,연료전지_원본!$KB$4:$KX$4,0))*1000</f>
        <v>0</v>
      </c>
      <c r="CH268" s="250">
        <f>INDEX(연료전지_원본!$KB$4:$KX$369,MATCH($A268,연료전지_원본!$KB$4:$KB$369,0), MATCH(CH$4,연료전지_원본!$KB$4:$KX$4,0))*1000</f>
        <v>0</v>
      </c>
      <c r="CI268" s="250">
        <f>INDEX(연료전지_원본!$KB$4:$KX$369,MATCH($A268,연료전지_원본!$KB$4:$KB$369,0), MATCH(CI$4,연료전지_원본!$KB$4:$KX$4,0))*1000</f>
        <v>0</v>
      </c>
      <c r="CJ268" s="250">
        <f>INDEX(연료전지_원본!$KB$4:$KX$369,MATCH($A268,연료전지_원본!$KB$4:$KB$369,0), MATCH(CJ$4,연료전지_원본!$KB$4:$KX$4,0))*1000</f>
        <v>0</v>
      </c>
      <c r="CK268" s="250">
        <f>INDEX(연료전지_원본!$KB$4:$KX$369,MATCH($A268,연료전지_원본!$KB$4:$KB$369,0), MATCH(CK$4,연료전지_원본!$KB$4:$KX$4,0))*1000</f>
        <v>0</v>
      </c>
      <c r="CL268" s="250">
        <f>INDEX(연료전지_원본!$KB$4:$KX$369,MATCH($A268,연료전지_원본!$KB$4:$KB$369,0), MATCH(CL$4,연료전지_원본!$KB$4:$KX$4,0))*1000</f>
        <v>0</v>
      </c>
      <c r="CM268" s="250">
        <f>INDEX(연료전지_원본!$KB$4:$KX$369,MATCH($A268,연료전지_원본!$KB$4:$KB$369,0), MATCH(CM$4,연료전지_원본!$KB$4:$KX$4,0))*1000</f>
        <v>0</v>
      </c>
      <c r="CN268" s="250">
        <f>INDEX(연료전지_원본!$KB$4:$KX$369,MATCH($A268,연료전지_원본!$KB$4:$KB$369,0), MATCH(CN$4,연료전지_원본!$KB$4:$KX$4,0))*1000</f>
        <v>0</v>
      </c>
      <c r="CO268" s="250">
        <f>INDEX(연료전지_원본!$KB$4:$KX$369,MATCH($A268,연료전지_원본!$KB$4:$KB$369,0), MATCH(CO$4,연료전지_원본!$KB$4:$KX$4,0))*1000</f>
        <v>0</v>
      </c>
      <c r="CP268" s="250">
        <f>INDEX(연료전지_원본!$KB$4:$KX$369,MATCH($A268,연료전지_원본!$KB$4:$KB$369,0), MATCH(CP$4,연료전지_원본!$KB$4:$KX$4,0))*1000</f>
        <v>0</v>
      </c>
      <c r="CQ268" s="250">
        <f>INDEX(연료전지_원본!$KB$4:$KX$369,MATCH($A268,연료전지_원본!$KB$4:$KB$369,0), MATCH(CQ$4,연료전지_원본!$KB$4:$KX$4,0))*1000</f>
        <v>0</v>
      </c>
      <c r="CR268" s="250">
        <f>INDEX(연료전지_원본!$KB$4:$KX$369,MATCH($A268,연료전지_원본!$KB$4:$KB$369,0), MATCH(CR$4,연료전지_원본!$KB$4:$KX$4,0))*1000</f>
        <v>0</v>
      </c>
      <c r="CS268" s="250">
        <f>INDEX(연료전지_원본!$KB$4:$KX$369,MATCH($A268,연료전지_원본!$KB$4:$KB$369,0), MATCH(CS$4,연료전지_원본!$KB$4:$KX$4,0))*1000</f>
        <v>0</v>
      </c>
      <c r="CT268" s="250">
        <f>INDEX(연료전지_원본!$KB$4:$KX$369,MATCH($A268,연료전지_원본!$KB$4:$KB$369,0), MATCH(CT$4,연료전지_원본!$KB$4:$KX$4,0))*1000</f>
        <v>0</v>
      </c>
      <c r="CU268" s="250">
        <f>INDEX(연료전지_원본!$KB$4:$KX$369,MATCH($A268,연료전지_원본!$KB$4:$KB$369,0), MATCH(CU$4,연료전지_원본!$KB$4:$KX$4,0))*1000</f>
        <v>0</v>
      </c>
      <c r="CV268" s="250">
        <f>INDEX(연료전지_원본!$KB$4:$KX$369,MATCH($A268,연료전지_원본!$KB$4:$KB$369,0), MATCH(CV$4,연료전지_원본!$KB$4:$KX$4,0))*1000</f>
        <v>0</v>
      </c>
      <c r="CW268" s="250">
        <f>INDEX(연료전지_원본!$KB$4:$KX$369,MATCH($A268,연료전지_원본!$KB$4:$KB$369,0), MATCH(CW$4,연료전지_원본!$KB$4:$KX$4,0))*1000</f>
        <v>0</v>
      </c>
      <c r="CX268" s="250">
        <f>INDEX(연료전지_원본!$KB$4:$KX$369,MATCH($A268,연료전지_원본!$KB$4:$KB$369,0), MATCH(CX$4,연료전지_원본!$KB$4:$KX$4,0))*1000</f>
        <v>0</v>
      </c>
      <c r="CY268" s="250">
        <f>INDEX(연료전지_원본!$KB$4:$KX$369,MATCH($A268,연료전지_원본!$KB$4:$KB$369,0), MATCH(CY$4,연료전지_원본!$KB$4:$KX$4,0))*1000</f>
        <v>0</v>
      </c>
      <c r="DV268" s="30">
        <f t="shared" si="1285"/>
        <v>0</v>
      </c>
    </row>
    <row r="269" spans="1:126">
      <c r="A269" s="6">
        <v>46286</v>
      </c>
      <c r="B269" s="15">
        <f>운전실적_원본!B269</f>
        <v>0</v>
      </c>
      <c r="C269" s="16" t="str">
        <f t="shared" si="1291"/>
        <v/>
      </c>
      <c r="D269" s="12">
        <f>운전실적_원본!C269</f>
        <v>0</v>
      </c>
      <c r="E269" s="12" t="str">
        <f t="shared" si="1292"/>
        <v/>
      </c>
      <c r="F269" s="12">
        <f>운전실적_원본!D269</f>
        <v>0</v>
      </c>
      <c r="G269" s="16" t="str">
        <f t="shared" si="1293"/>
        <v/>
      </c>
      <c r="H269" s="15">
        <f>운전실적_원본!E269</f>
        <v>0</v>
      </c>
      <c r="I269" s="16" t="str">
        <f t="shared" si="1294"/>
        <v/>
      </c>
      <c r="J269" s="15">
        <f>운전실적_원본!F269</f>
        <v>0</v>
      </c>
      <c r="K269" s="16" t="str">
        <f t="shared" si="1294"/>
        <v/>
      </c>
      <c r="L269" s="32">
        <f>운전실적_원본!G269</f>
        <v>0</v>
      </c>
      <c r="M269" s="31" t="str">
        <f t="shared" ref="M269" si="1486">IF(OR(LEN(L269)=0,L269=0),"",L269-L268)</f>
        <v/>
      </c>
      <c r="N269" s="15">
        <f>운전실적_원본!H269</f>
        <v>0</v>
      </c>
      <c r="O269" s="16" t="str">
        <f t="shared" ref="O269" si="1487">IF(OR(LEN(N269)=0,N269=0),"",N269-N268)</f>
        <v/>
      </c>
      <c r="P269" s="15">
        <f>운전실적_원본!I269</f>
        <v>0</v>
      </c>
      <c r="Q269" s="16" t="str">
        <f t="shared" ref="Q269" si="1488">IF(OR(LEN(P269)=0,P269=0),"",P269-P268)</f>
        <v/>
      </c>
      <c r="R269" s="18">
        <f>운전실적_원본!J269</f>
        <v>0</v>
      </c>
      <c r="S269" s="19" t="str">
        <f t="shared" ref="S269" si="1489">IF(OR(LEN(R269)=0,R269=0),"",R269-R268)</f>
        <v/>
      </c>
      <c r="T269" s="18">
        <f>운전실적_원본!K269</f>
        <v>0</v>
      </c>
      <c r="U269" s="19" t="str">
        <f t="shared" si="1299"/>
        <v/>
      </c>
      <c r="V269" s="12">
        <f>운전실적_원본!L269</f>
        <v>0</v>
      </c>
      <c r="W269" s="16" t="str">
        <f t="shared" ref="W269" si="1490">IF(OR(LEN(V269)=0,V269=0),"",V269-V268)</f>
        <v/>
      </c>
      <c r="X269" s="10">
        <f>운전실적_원본!M269</f>
        <v>0</v>
      </c>
      <c r="Y269" s="10">
        <f>운전실적_원본!N269</f>
        <v>0</v>
      </c>
      <c r="Z269" s="10">
        <f>운전실적_원본!O269</f>
        <v>0</v>
      </c>
      <c r="AA269" s="10">
        <f>운전실적_원본!P269</f>
        <v>0</v>
      </c>
      <c r="AB269" s="10">
        <f>운전실적_원본!Q269</f>
        <v>0</v>
      </c>
      <c r="AC269" s="20">
        <f>운전실적_원본!R269</f>
        <v>0</v>
      </c>
      <c r="AD269" s="109">
        <f>운전실적_원본!S269</f>
        <v>0</v>
      </c>
      <c r="AE269" s="110">
        <f>운전실적_원본!T269</f>
        <v>0</v>
      </c>
      <c r="AF269" s="110">
        <f>운전실적_원본!U269</f>
        <v>0</v>
      </c>
      <c r="AG269" s="110">
        <f>운전실적_원본!V269</f>
        <v>0</v>
      </c>
      <c r="AH269" s="109">
        <f t="shared" si="1453"/>
        <v>0</v>
      </c>
      <c r="AI269" s="110">
        <f t="shared" si="1460"/>
        <v>0</v>
      </c>
      <c r="AJ269" s="110">
        <f>운전실적_원본!Y269</f>
        <v>0</v>
      </c>
      <c r="AK269" s="110">
        <f>운전실적_원본!Z269</f>
        <v>0</v>
      </c>
      <c r="AL269" s="106"/>
      <c r="AM269" s="105"/>
      <c r="AN269" s="105"/>
      <c r="AO269" s="105"/>
      <c r="AP269" s="105"/>
      <c r="AQ269" s="108"/>
      <c r="AR269" s="105"/>
      <c r="AS269" s="105"/>
      <c r="AT269" s="102"/>
      <c r="AU269" s="102"/>
      <c r="AV269" s="102"/>
      <c r="AW269" s="102"/>
      <c r="AX269" s="32">
        <f>운전실적_원본!W269</f>
        <v>0</v>
      </c>
      <c r="AY269" s="11">
        <f>운전실적_원본!X269</f>
        <v>0</v>
      </c>
      <c r="AZ269" s="11">
        <f>운전실적_원본!Y269</f>
        <v>0</v>
      </c>
      <c r="BA269" s="11">
        <f>운전실적_원본!Z269</f>
        <v>0</v>
      </c>
      <c r="BB269" s="11">
        <f>운전실적_원본!AA269</f>
        <v>0</v>
      </c>
      <c r="BC269" s="11">
        <f>운전실적_원본!AB269</f>
        <v>0</v>
      </c>
      <c r="BD269" s="32" t="str">
        <f t="shared" si="1446"/>
        <v>-</v>
      </c>
      <c r="BE269" s="11" t="str">
        <f t="shared" si="1454"/>
        <v>-</v>
      </c>
      <c r="BF269" s="11">
        <f>운전실적_원본!AE269</f>
        <v>0</v>
      </c>
      <c r="BG269" s="31">
        <f t="shared" si="1447"/>
        <v>0</v>
      </c>
      <c r="BH269" s="241">
        <f>INDEX(연료전지_원본!$A$4:$KY$369,MATCH($A269,연료전지_원본!$A$4:$A$369,0),MATCH($BH$4,연료전지_원본!$A$4:$KY$4,0))</f>
        <v>0</v>
      </c>
      <c r="BI269" s="241">
        <f>INDEX(연료전지_원본!$A$4:$KY$369,MATCH($A269,연료전지_원본!$A$4:$A$369,0),MATCH($BI$4,연료전지_원본!$A$4:$KY$4,0))</f>
        <v>0</v>
      </c>
      <c r="BJ269" s="241">
        <f>INDEX(연료전지_원본!$A$4:$KY$369,MATCH($A269,연료전지_원본!$A$4:$A$369,0),MATCH($BJ$4,연료전지_원본!$A$4:$KY$4,0))</f>
        <v>0</v>
      </c>
      <c r="BK269" s="241">
        <f>INDEX(연료전지_원본!$A$4:$KY$369,MATCH($A269,연료전지_원본!$A$4:$A$369,0),MATCH($BK$4,연료전지_원본!$A$4:$KY$4,0))</f>
        <v>0</v>
      </c>
      <c r="BL269" s="241">
        <f>INDEX(연료전지_원본!$A$4:$KY$369,MATCH($A269,연료전지_원본!$A$4:$A$369,0),MATCH($BL$4,연료전지_원본!$A$4:$KY$4,0))</f>
        <v>0</v>
      </c>
      <c r="BM269" s="241">
        <f>INDEX(연료전지_원본!$A$4:$KY$369,MATCH($A269,연료전지_원본!$A$4:$A$369,0),MATCH($BM$4,연료전지_원본!$A$4:$KY$4,0))</f>
        <v>0</v>
      </c>
      <c r="BN269" s="241">
        <f>INDEX(연료전지_원본!$A$4:$KY$369,MATCH($A269,연료전지_원본!$A$4:$A$369,0),MATCH($BN$4,연료전지_원본!$A$4:$KY$4,0))</f>
        <v>0</v>
      </c>
      <c r="BO269" s="241">
        <f>INDEX(연료전지_원본!$A$4:$KY$369,MATCH($A269,연료전지_원본!$A$4:$A$369,0),MATCH($BO$4,연료전지_원본!$A$4:$KY$4,0))</f>
        <v>0</v>
      </c>
      <c r="BP269" s="241">
        <f>INDEX(연료전지_원본!$A$4:$KY$369,MATCH($A269,연료전지_원본!$A$4:$A$369,0),MATCH($BP$4,연료전지_원본!$A$4:$KY$4,0))</f>
        <v>0</v>
      </c>
      <c r="BQ269" s="241">
        <f>INDEX(연료전지_원본!$A$4:$KY$369,MATCH($A269,연료전지_원본!$A$4:$A$369,0),MATCH($BQ$4,연료전지_원본!$A$4:$KY$4,0))</f>
        <v>0</v>
      </c>
      <c r="BR269" s="241">
        <f>INDEX(연료전지_원본!$A$4:$KY$369,MATCH($A269,연료전지_원본!$A$4:$A$369,0),MATCH($BR$4,연료전지_원본!$A$4:$KY$4,0))</f>
        <v>0</v>
      </c>
      <c r="BS269" s="241">
        <f>INDEX(연료전지_원본!$A$4:$KY$369,MATCH($A269,연료전지_원본!$A$4:$A$369,0),MATCH($BS$4,연료전지_원본!$A$4:$KY$4,0))</f>
        <v>0</v>
      </c>
      <c r="BT269" s="241">
        <f>INDEX(연료전지_원본!$A$4:$KY$369,MATCH($A269,연료전지_원본!$A$4:$A$369,0),MATCH($BT$4,연료전지_원본!$A$4:$KY$4,0))</f>
        <v>0</v>
      </c>
      <c r="BU269" s="241">
        <f>INDEX(연료전지_원본!$A$4:$KY$369,MATCH($A269,연료전지_원본!$A$4:$A$369,0),MATCH($BU$4,연료전지_원본!$A$4:$KY$4,0))</f>
        <v>0</v>
      </c>
      <c r="BV269" s="241">
        <f>INDEX(연료전지_원본!$A$4:$KY$369,MATCH($A269,연료전지_원본!$A$4:$A$369,0),MATCH($BV$4,연료전지_원본!$A$4:$KY$4,0))</f>
        <v>0</v>
      </c>
      <c r="BW269" s="241">
        <f>INDEX(연료전지_원본!$A$4:$KY$369,MATCH($A269,연료전지_원본!$A$4:$A$369,0),MATCH($BW$4,연료전지_원본!$A$4:$KY$4,0))</f>
        <v>0</v>
      </c>
      <c r="BX269" s="241">
        <f>INDEX(연료전지_원본!$A$4:$KY$369,MATCH($A269,연료전지_원본!$A$4:$A$369,0),MATCH($BX$4,연료전지_원본!$A$4:$KY$4,0))</f>
        <v>0</v>
      </c>
      <c r="BY269" s="241">
        <f>INDEX(연료전지_원본!$A$4:$KY$369,MATCH($A269,연료전지_원본!$A$4:$A$369,0),MATCH($BY$4,연료전지_원본!$A$4:$KY$4,0))</f>
        <v>0</v>
      </c>
      <c r="BZ269" s="241">
        <f>INDEX(연료전지_원본!$A$4:$KY$369,MATCH($A269,연료전지_원본!$A$4:$A$369,0),MATCH($BZ$4,연료전지_원본!$A$4:$KY$4,0))</f>
        <v>0</v>
      </c>
      <c r="CA269" s="241">
        <f>INDEX(연료전지_원본!$A$4:$KY$369,MATCH($A269,연료전지_원본!$A$4:$A$369,0),MATCH($CA$4,연료전지_원본!$A$4:$KY$4,0))</f>
        <v>0</v>
      </c>
      <c r="CB269" s="241">
        <f>INDEX(연료전지_원본!$A$4:$KY$369,MATCH($A269,연료전지_원본!$A$4:$A$369,0),MATCH($CB$4,연료전지_원본!$A$4:$KY$4,0))</f>
        <v>0</v>
      </c>
      <c r="CC269" s="242">
        <f>INDEX(연료전지_원본!$A$4:$KY$369,MATCH($A269,연료전지_원본!$A$4:$A$369,0),MATCH($CC$4,연료전지_원본!$A$4:$KY$4,0))</f>
        <v>0</v>
      </c>
      <c r="CD269" s="250">
        <f>INDEX(연료전지_원본!$KB$4:$KX$369,MATCH($A269,연료전지_원본!$KB$4:$KB$369,0), MATCH(CD$4,연료전지_원본!$KB$4:$KX$4,0))*1000</f>
        <v>0</v>
      </c>
      <c r="CE269" s="250">
        <f>INDEX(연료전지_원본!$KB$4:$KX$369,MATCH($A269,연료전지_원본!$KB$4:$KB$369,0), MATCH(CE$4,연료전지_원본!$KB$4:$KX$4,0))*1000</f>
        <v>0</v>
      </c>
      <c r="CF269" s="250">
        <f>INDEX(연료전지_원본!$KB$4:$KX$369,MATCH($A269,연료전지_원본!$KB$4:$KB$369,0), MATCH(CF$4,연료전지_원본!$KB$4:$KX$4,0))*1000</f>
        <v>0</v>
      </c>
      <c r="CG269" s="250">
        <f>INDEX(연료전지_원본!$KB$4:$KX$369,MATCH($A269,연료전지_원본!$KB$4:$KB$369,0), MATCH(CG$4,연료전지_원본!$KB$4:$KX$4,0))*1000</f>
        <v>0</v>
      </c>
      <c r="CH269" s="250">
        <f>INDEX(연료전지_원본!$KB$4:$KX$369,MATCH($A269,연료전지_원본!$KB$4:$KB$369,0), MATCH(CH$4,연료전지_원본!$KB$4:$KX$4,0))*1000</f>
        <v>0</v>
      </c>
      <c r="CI269" s="250">
        <f>INDEX(연료전지_원본!$KB$4:$KX$369,MATCH($A269,연료전지_원본!$KB$4:$KB$369,0), MATCH(CI$4,연료전지_원본!$KB$4:$KX$4,0))*1000</f>
        <v>0</v>
      </c>
      <c r="CJ269" s="250">
        <f>INDEX(연료전지_원본!$KB$4:$KX$369,MATCH($A269,연료전지_원본!$KB$4:$KB$369,0), MATCH(CJ$4,연료전지_원본!$KB$4:$KX$4,0))*1000</f>
        <v>0</v>
      </c>
      <c r="CK269" s="250">
        <f>INDEX(연료전지_원본!$KB$4:$KX$369,MATCH($A269,연료전지_원본!$KB$4:$KB$369,0), MATCH(CK$4,연료전지_원본!$KB$4:$KX$4,0))*1000</f>
        <v>0</v>
      </c>
      <c r="CL269" s="250">
        <f>INDEX(연료전지_원본!$KB$4:$KX$369,MATCH($A269,연료전지_원본!$KB$4:$KB$369,0), MATCH(CL$4,연료전지_원본!$KB$4:$KX$4,0))*1000</f>
        <v>0</v>
      </c>
      <c r="CM269" s="250">
        <f>INDEX(연료전지_원본!$KB$4:$KX$369,MATCH($A269,연료전지_원본!$KB$4:$KB$369,0), MATCH(CM$4,연료전지_원본!$KB$4:$KX$4,0))*1000</f>
        <v>0</v>
      </c>
      <c r="CN269" s="250">
        <f>INDEX(연료전지_원본!$KB$4:$KX$369,MATCH($A269,연료전지_원본!$KB$4:$KB$369,0), MATCH(CN$4,연료전지_원본!$KB$4:$KX$4,0))*1000</f>
        <v>0</v>
      </c>
      <c r="CO269" s="250">
        <f>INDEX(연료전지_원본!$KB$4:$KX$369,MATCH($A269,연료전지_원본!$KB$4:$KB$369,0), MATCH(CO$4,연료전지_원본!$KB$4:$KX$4,0))*1000</f>
        <v>0</v>
      </c>
      <c r="CP269" s="250">
        <f>INDEX(연료전지_원본!$KB$4:$KX$369,MATCH($A269,연료전지_원본!$KB$4:$KB$369,0), MATCH(CP$4,연료전지_원본!$KB$4:$KX$4,0))*1000</f>
        <v>0</v>
      </c>
      <c r="CQ269" s="250">
        <f>INDEX(연료전지_원본!$KB$4:$KX$369,MATCH($A269,연료전지_원본!$KB$4:$KB$369,0), MATCH(CQ$4,연료전지_원본!$KB$4:$KX$4,0))*1000</f>
        <v>0</v>
      </c>
      <c r="CR269" s="250">
        <f>INDEX(연료전지_원본!$KB$4:$KX$369,MATCH($A269,연료전지_원본!$KB$4:$KB$369,0), MATCH(CR$4,연료전지_원본!$KB$4:$KX$4,0))*1000</f>
        <v>0</v>
      </c>
      <c r="CS269" s="250">
        <f>INDEX(연료전지_원본!$KB$4:$KX$369,MATCH($A269,연료전지_원본!$KB$4:$KB$369,0), MATCH(CS$4,연료전지_원본!$KB$4:$KX$4,0))*1000</f>
        <v>0</v>
      </c>
      <c r="CT269" s="250">
        <f>INDEX(연료전지_원본!$KB$4:$KX$369,MATCH($A269,연료전지_원본!$KB$4:$KB$369,0), MATCH(CT$4,연료전지_원본!$KB$4:$KX$4,0))*1000</f>
        <v>0</v>
      </c>
      <c r="CU269" s="250">
        <f>INDEX(연료전지_원본!$KB$4:$KX$369,MATCH($A269,연료전지_원본!$KB$4:$KB$369,0), MATCH(CU$4,연료전지_원본!$KB$4:$KX$4,0))*1000</f>
        <v>0</v>
      </c>
      <c r="CV269" s="250">
        <f>INDEX(연료전지_원본!$KB$4:$KX$369,MATCH($A269,연료전지_원본!$KB$4:$KB$369,0), MATCH(CV$4,연료전지_원본!$KB$4:$KX$4,0))*1000</f>
        <v>0</v>
      </c>
      <c r="CW269" s="250">
        <f>INDEX(연료전지_원본!$KB$4:$KX$369,MATCH($A269,연료전지_원본!$KB$4:$KB$369,0), MATCH(CW$4,연료전지_원본!$KB$4:$KX$4,0))*1000</f>
        <v>0</v>
      </c>
      <c r="CX269" s="250">
        <f>INDEX(연료전지_원본!$KB$4:$KX$369,MATCH($A269,연료전지_원본!$KB$4:$KB$369,0), MATCH(CX$4,연료전지_원본!$KB$4:$KX$4,0))*1000</f>
        <v>0</v>
      </c>
      <c r="CY269" s="250">
        <f>INDEX(연료전지_원본!$KB$4:$KX$369,MATCH($A269,연료전지_원본!$KB$4:$KB$369,0), MATCH(CY$4,연료전지_원본!$KB$4:$KX$4,0))*1000</f>
        <v>0</v>
      </c>
      <c r="DV269" s="30">
        <f t="shared" si="1285"/>
        <v>0</v>
      </c>
    </row>
    <row r="270" spans="1:126">
      <c r="A270" s="6">
        <v>46287</v>
      </c>
      <c r="B270" s="15">
        <f>운전실적_원본!B270</f>
        <v>0</v>
      </c>
      <c r="C270" s="16" t="str">
        <f t="shared" si="1291"/>
        <v/>
      </c>
      <c r="D270" s="12">
        <f>운전실적_원본!C270</f>
        <v>0</v>
      </c>
      <c r="E270" s="12" t="str">
        <f t="shared" si="1292"/>
        <v/>
      </c>
      <c r="F270" s="12">
        <f>운전실적_원본!D270</f>
        <v>0</v>
      </c>
      <c r="G270" s="16" t="str">
        <f t="shared" si="1293"/>
        <v/>
      </c>
      <c r="H270" s="15">
        <f>운전실적_원본!E270</f>
        <v>0</v>
      </c>
      <c r="I270" s="16" t="str">
        <f t="shared" si="1294"/>
        <v/>
      </c>
      <c r="J270" s="15">
        <f>운전실적_원본!F270</f>
        <v>0</v>
      </c>
      <c r="K270" s="16" t="str">
        <f t="shared" si="1294"/>
        <v/>
      </c>
      <c r="L270" s="32">
        <f>운전실적_원본!G270</f>
        <v>0</v>
      </c>
      <c r="M270" s="31" t="str">
        <f t="shared" ref="M270" si="1491">IF(OR(LEN(L270)=0,L270=0),"",L270-L269)</f>
        <v/>
      </c>
      <c r="N270" s="15">
        <f>운전실적_원본!H270</f>
        <v>0</v>
      </c>
      <c r="O270" s="16" t="str">
        <f t="shared" ref="O270" si="1492">IF(OR(LEN(N270)=0,N270=0),"",N270-N269)</f>
        <v/>
      </c>
      <c r="P270" s="15">
        <f>운전실적_원본!I270</f>
        <v>0</v>
      </c>
      <c r="Q270" s="16" t="str">
        <f t="shared" ref="Q270" si="1493">IF(OR(LEN(P270)=0,P270=0),"",P270-P269)</f>
        <v/>
      </c>
      <c r="R270" s="18">
        <f>운전실적_원본!J270</f>
        <v>0</v>
      </c>
      <c r="S270" s="19" t="str">
        <f t="shared" ref="S270" si="1494">IF(OR(LEN(R270)=0,R270=0),"",R270-R269)</f>
        <v/>
      </c>
      <c r="T270" s="18">
        <f>운전실적_원본!K270</f>
        <v>0</v>
      </c>
      <c r="U270" s="19" t="str">
        <f t="shared" si="1299"/>
        <v/>
      </c>
      <c r="V270" s="12">
        <f>운전실적_원본!L270</f>
        <v>0</v>
      </c>
      <c r="W270" s="16" t="str">
        <f t="shared" ref="W270" si="1495">IF(OR(LEN(V270)=0,V270=0),"",V270-V269)</f>
        <v/>
      </c>
      <c r="X270" s="10">
        <f>운전실적_원본!M270</f>
        <v>0</v>
      </c>
      <c r="Y270" s="10">
        <f>운전실적_원본!N270</f>
        <v>0</v>
      </c>
      <c r="Z270" s="10">
        <f>운전실적_원본!O270</f>
        <v>0</v>
      </c>
      <c r="AA270" s="10">
        <f>운전실적_원본!P270</f>
        <v>0</v>
      </c>
      <c r="AB270" s="10">
        <f>운전실적_원본!Q270</f>
        <v>0</v>
      </c>
      <c r="AC270" s="20">
        <f>운전실적_원본!R270</f>
        <v>0</v>
      </c>
      <c r="AD270" s="109">
        <f>운전실적_원본!S270</f>
        <v>0</v>
      </c>
      <c r="AE270" s="110">
        <f>운전실적_원본!T270</f>
        <v>0</v>
      </c>
      <c r="AF270" s="110">
        <f>운전실적_원본!U270</f>
        <v>0</v>
      </c>
      <c r="AG270" s="110">
        <f>운전실적_원본!V270</f>
        <v>0</v>
      </c>
      <c r="AH270" s="109">
        <f t="shared" si="1453"/>
        <v>0</v>
      </c>
      <c r="AI270" s="110">
        <f t="shared" si="1460"/>
        <v>0</v>
      </c>
      <c r="AJ270" s="110">
        <f>운전실적_원본!Y270</f>
        <v>0</v>
      </c>
      <c r="AK270" s="110">
        <f>운전실적_원본!Z270</f>
        <v>0</v>
      </c>
      <c r="AL270" s="106"/>
      <c r="AM270" s="105"/>
      <c r="AN270" s="105"/>
      <c r="AO270" s="105"/>
      <c r="AP270" s="105"/>
      <c r="AQ270" s="108"/>
      <c r="AR270" s="105"/>
      <c r="AS270" s="105"/>
      <c r="AT270" s="102"/>
      <c r="AU270" s="102"/>
      <c r="AV270" s="102"/>
      <c r="AW270" s="102"/>
      <c r="AX270" s="32">
        <f>운전실적_원본!W270</f>
        <v>0</v>
      </c>
      <c r="AY270" s="11">
        <f>운전실적_원본!X270</f>
        <v>0</v>
      </c>
      <c r="AZ270" s="11">
        <f>운전실적_원본!Y270</f>
        <v>0</v>
      </c>
      <c r="BA270" s="11">
        <f>운전실적_원본!Z270</f>
        <v>0</v>
      </c>
      <c r="BB270" s="11">
        <f>운전실적_원본!AA270</f>
        <v>0</v>
      </c>
      <c r="BC270" s="11">
        <f>운전실적_원본!AB270</f>
        <v>0</v>
      </c>
      <c r="BD270" s="32" t="str">
        <f t="shared" si="1446"/>
        <v>-</v>
      </c>
      <c r="BE270" s="11" t="str">
        <f t="shared" si="1454"/>
        <v>-</v>
      </c>
      <c r="BF270" s="11">
        <f>운전실적_원본!AE270</f>
        <v>0</v>
      </c>
      <c r="BG270" s="31">
        <f t="shared" si="1447"/>
        <v>0</v>
      </c>
      <c r="BH270" s="241">
        <f>INDEX(연료전지_원본!$A$4:$KY$369,MATCH($A270,연료전지_원본!$A$4:$A$369,0),MATCH($BH$4,연료전지_원본!$A$4:$KY$4,0))</f>
        <v>0</v>
      </c>
      <c r="BI270" s="241">
        <f>INDEX(연료전지_원본!$A$4:$KY$369,MATCH($A270,연료전지_원본!$A$4:$A$369,0),MATCH($BI$4,연료전지_원본!$A$4:$KY$4,0))</f>
        <v>0</v>
      </c>
      <c r="BJ270" s="241">
        <f>INDEX(연료전지_원본!$A$4:$KY$369,MATCH($A270,연료전지_원본!$A$4:$A$369,0),MATCH($BJ$4,연료전지_원본!$A$4:$KY$4,0))</f>
        <v>0</v>
      </c>
      <c r="BK270" s="241">
        <f>INDEX(연료전지_원본!$A$4:$KY$369,MATCH($A270,연료전지_원본!$A$4:$A$369,0),MATCH($BK$4,연료전지_원본!$A$4:$KY$4,0))</f>
        <v>0</v>
      </c>
      <c r="BL270" s="241">
        <f>INDEX(연료전지_원본!$A$4:$KY$369,MATCH($A270,연료전지_원본!$A$4:$A$369,0),MATCH($BL$4,연료전지_원본!$A$4:$KY$4,0))</f>
        <v>0</v>
      </c>
      <c r="BM270" s="241">
        <f>INDEX(연료전지_원본!$A$4:$KY$369,MATCH($A270,연료전지_원본!$A$4:$A$369,0),MATCH($BM$4,연료전지_원본!$A$4:$KY$4,0))</f>
        <v>0</v>
      </c>
      <c r="BN270" s="241">
        <f>INDEX(연료전지_원본!$A$4:$KY$369,MATCH($A270,연료전지_원본!$A$4:$A$369,0),MATCH($BN$4,연료전지_원본!$A$4:$KY$4,0))</f>
        <v>0</v>
      </c>
      <c r="BO270" s="241">
        <f>INDEX(연료전지_원본!$A$4:$KY$369,MATCH($A270,연료전지_원본!$A$4:$A$369,0),MATCH($BO$4,연료전지_원본!$A$4:$KY$4,0))</f>
        <v>0</v>
      </c>
      <c r="BP270" s="241">
        <f>INDEX(연료전지_원본!$A$4:$KY$369,MATCH($A270,연료전지_원본!$A$4:$A$369,0),MATCH($BP$4,연료전지_원본!$A$4:$KY$4,0))</f>
        <v>0</v>
      </c>
      <c r="BQ270" s="241">
        <f>INDEX(연료전지_원본!$A$4:$KY$369,MATCH($A270,연료전지_원본!$A$4:$A$369,0),MATCH($BQ$4,연료전지_원본!$A$4:$KY$4,0))</f>
        <v>0</v>
      </c>
      <c r="BR270" s="241">
        <f>INDEX(연료전지_원본!$A$4:$KY$369,MATCH($A270,연료전지_원본!$A$4:$A$369,0),MATCH($BR$4,연료전지_원본!$A$4:$KY$4,0))</f>
        <v>0</v>
      </c>
      <c r="BS270" s="241">
        <f>INDEX(연료전지_원본!$A$4:$KY$369,MATCH($A270,연료전지_원본!$A$4:$A$369,0),MATCH($BS$4,연료전지_원본!$A$4:$KY$4,0))</f>
        <v>0</v>
      </c>
      <c r="BT270" s="241">
        <f>INDEX(연료전지_원본!$A$4:$KY$369,MATCH($A270,연료전지_원본!$A$4:$A$369,0),MATCH($BT$4,연료전지_원본!$A$4:$KY$4,0))</f>
        <v>0</v>
      </c>
      <c r="BU270" s="241">
        <f>INDEX(연료전지_원본!$A$4:$KY$369,MATCH($A270,연료전지_원본!$A$4:$A$369,0),MATCH($BU$4,연료전지_원본!$A$4:$KY$4,0))</f>
        <v>0</v>
      </c>
      <c r="BV270" s="241">
        <f>INDEX(연료전지_원본!$A$4:$KY$369,MATCH($A270,연료전지_원본!$A$4:$A$369,0),MATCH($BV$4,연료전지_원본!$A$4:$KY$4,0))</f>
        <v>0</v>
      </c>
      <c r="BW270" s="241">
        <f>INDEX(연료전지_원본!$A$4:$KY$369,MATCH($A270,연료전지_원본!$A$4:$A$369,0),MATCH($BW$4,연료전지_원본!$A$4:$KY$4,0))</f>
        <v>0</v>
      </c>
      <c r="BX270" s="241">
        <f>INDEX(연료전지_원본!$A$4:$KY$369,MATCH($A270,연료전지_원본!$A$4:$A$369,0),MATCH($BX$4,연료전지_원본!$A$4:$KY$4,0))</f>
        <v>0</v>
      </c>
      <c r="BY270" s="241">
        <f>INDEX(연료전지_원본!$A$4:$KY$369,MATCH($A270,연료전지_원본!$A$4:$A$369,0),MATCH($BY$4,연료전지_원본!$A$4:$KY$4,0))</f>
        <v>0</v>
      </c>
      <c r="BZ270" s="241">
        <f>INDEX(연료전지_원본!$A$4:$KY$369,MATCH($A270,연료전지_원본!$A$4:$A$369,0),MATCH($BZ$4,연료전지_원본!$A$4:$KY$4,0))</f>
        <v>0</v>
      </c>
      <c r="CA270" s="241">
        <f>INDEX(연료전지_원본!$A$4:$KY$369,MATCH($A270,연료전지_원본!$A$4:$A$369,0),MATCH($CA$4,연료전지_원본!$A$4:$KY$4,0))</f>
        <v>0</v>
      </c>
      <c r="CB270" s="241">
        <f>INDEX(연료전지_원본!$A$4:$KY$369,MATCH($A270,연료전지_원본!$A$4:$A$369,0),MATCH($CB$4,연료전지_원본!$A$4:$KY$4,0))</f>
        <v>0</v>
      </c>
      <c r="CC270" s="242">
        <f>INDEX(연료전지_원본!$A$4:$KY$369,MATCH($A270,연료전지_원본!$A$4:$A$369,0),MATCH($CC$4,연료전지_원본!$A$4:$KY$4,0))</f>
        <v>0</v>
      </c>
      <c r="CD270" s="250">
        <f>INDEX(연료전지_원본!$KB$4:$KX$369,MATCH($A270,연료전지_원본!$KB$4:$KB$369,0), MATCH(CD$4,연료전지_원본!$KB$4:$KX$4,0))*1000</f>
        <v>0</v>
      </c>
      <c r="CE270" s="250">
        <f>INDEX(연료전지_원본!$KB$4:$KX$369,MATCH($A270,연료전지_원본!$KB$4:$KB$369,0), MATCH(CE$4,연료전지_원본!$KB$4:$KX$4,0))*1000</f>
        <v>0</v>
      </c>
      <c r="CF270" s="250">
        <f>INDEX(연료전지_원본!$KB$4:$KX$369,MATCH($A270,연료전지_원본!$KB$4:$KB$369,0), MATCH(CF$4,연료전지_원본!$KB$4:$KX$4,0))*1000</f>
        <v>0</v>
      </c>
      <c r="CG270" s="250">
        <f>INDEX(연료전지_원본!$KB$4:$KX$369,MATCH($A270,연료전지_원본!$KB$4:$KB$369,0), MATCH(CG$4,연료전지_원본!$KB$4:$KX$4,0))*1000</f>
        <v>0</v>
      </c>
      <c r="CH270" s="250">
        <f>INDEX(연료전지_원본!$KB$4:$KX$369,MATCH($A270,연료전지_원본!$KB$4:$KB$369,0), MATCH(CH$4,연료전지_원본!$KB$4:$KX$4,0))*1000</f>
        <v>0</v>
      </c>
      <c r="CI270" s="250">
        <f>INDEX(연료전지_원본!$KB$4:$KX$369,MATCH($A270,연료전지_원본!$KB$4:$KB$369,0), MATCH(CI$4,연료전지_원본!$KB$4:$KX$4,0))*1000</f>
        <v>0</v>
      </c>
      <c r="CJ270" s="250">
        <f>INDEX(연료전지_원본!$KB$4:$KX$369,MATCH($A270,연료전지_원본!$KB$4:$KB$369,0), MATCH(CJ$4,연료전지_원본!$KB$4:$KX$4,0))*1000</f>
        <v>0</v>
      </c>
      <c r="CK270" s="250">
        <f>INDEX(연료전지_원본!$KB$4:$KX$369,MATCH($A270,연료전지_원본!$KB$4:$KB$369,0), MATCH(CK$4,연료전지_원본!$KB$4:$KX$4,0))*1000</f>
        <v>0</v>
      </c>
      <c r="CL270" s="250">
        <f>INDEX(연료전지_원본!$KB$4:$KX$369,MATCH($A270,연료전지_원본!$KB$4:$KB$369,0), MATCH(CL$4,연료전지_원본!$KB$4:$KX$4,0))*1000</f>
        <v>0</v>
      </c>
      <c r="CM270" s="250">
        <f>INDEX(연료전지_원본!$KB$4:$KX$369,MATCH($A270,연료전지_원본!$KB$4:$KB$369,0), MATCH(CM$4,연료전지_원본!$KB$4:$KX$4,0))*1000</f>
        <v>0</v>
      </c>
      <c r="CN270" s="250">
        <f>INDEX(연료전지_원본!$KB$4:$KX$369,MATCH($A270,연료전지_원본!$KB$4:$KB$369,0), MATCH(CN$4,연료전지_원본!$KB$4:$KX$4,0))*1000</f>
        <v>0</v>
      </c>
      <c r="CO270" s="250">
        <f>INDEX(연료전지_원본!$KB$4:$KX$369,MATCH($A270,연료전지_원본!$KB$4:$KB$369,0), MATCH(CO$4,연료전지_원본!$KB$4:$KX$4,0))*1000</f>
        <v>0</v>
      </c>
      <c r="CP270" s="250">
        <f>INDEX(연료전지_원본!$KB$4:$KX$369,MATCH($A270,연료전지_원본!$KB$4:$KB$369,0), MATCH(CP$4,연료전지_원본!$KB$4:$KX$4,0))*1000</f>
        <v>0</v>
      </c>
      <c r="CQ270" s="250">
        <f>INDEX(연료전지_원본!$KB$4:$KX$369,MATCH($A270,연료전지_원본!$KB$4:$KB$369,0), MATCH(CQ$4,연료전지_원본!$KB$4:$KX$4,0))*1000</f>
        <v>0</v>
      </c>
      <c r="CR270" s="250">
        <f>INDEX(연료전지_원본!$KB$4:$KX$369,MATCH($A270,연료전지_원본!$KB$4:$KB$369,0), MATCH(CR$4,연료전지_원본!$KB$4:$KX$4,0))*1000</f>
        <v>0</v>
      </c>
      <c r="CS270" s="250">
        <f>INDEX(연료전지_원본!$KB$4:$KX$369,MATCH($A270,연료전지_원본!$KB$4:$KB$369,0), MATCH(CS$4,연료전지_원본!$KB$4:$KX$4,0))*1000</f>
        <v>0</v>
      </c>
      <c r="CT270" s="250">
        <f>INDEX(연료전지_원본!$KB$4:$KX$369,MATCH($A270,연료전지_원본!$KB$4:$KB$369,0), MATCH(CT$4,연료전지_원본!$KB$4:$KX$4,0))*1000</f>
        <v>0</v>
      </c>
      <c r="CU270" s="250">
        <f>INDEX(연료전지_원본!$KB$4:$KX$369,MATCH($A270,연료전지_원본!$KB$4:$KB$369,0), MATCH(CU$4,연료전지_원본!$KB$4:$KX$4,0))*1000</f>
        <v>0</v>
      </c>
      <c r="CV270" s="250">
        <f>INDEX(연료전지_원본!$KB$4:$KX$369,MATCH($A270,연료전지_원본!$KB$4:$KB$369,0), MATCH(CV$4,연료전지_원본!$KB$4:$KX$4,0))*1000</f>
        <v>0</v>
      </c>
      <c r="CW270" s="250">
        <f>INDEX(연료전지_원본!$KB$4:$KX$369,MATCH($A270,연료전지_원본!$KB$4:$KB$369,0), MATCH(CW$4,연료전지_원본!$KB$4:$KX$4,0))*1000</f>
        <v>0</v>
      </c>
      <c r="CX270" s="250">
        <f>INDEX(연료전지_원본!$KB$4:$KX$369,MATCH($A270,연료전지_원본!$KB$4:$KB$369,0), MATCH(CX$4,연료전지_원본!$KB$4:$KX$4,0))*1000</f>
        <v>0</v>
      </c>
      <c r="CY270" s="250">
        <f>INDEX(연료전지_원본!$KB$4:$KX$369,MATCH($A270,연료전지_원본!$KB$4:$KB$369,0), MATCH(CY$4,연료전지_원본!$KB$4:$KX$4,0))*1000</f>
        <v>0</v>
      </c>
      <c r="DV270" s="30">
        <f t="shared" si="1285"/>
        <v>0</v>
      </c>
    </row>
    <row r="271" spans="1:126">
      <c r="A271" s="6">
        <v>46288</v>
      </c>
      <c r="B271" s="15">
        <f>운전실적_원본!B271</f>
        <v>0</v>
      </c>
      <c r="C271" s="16" t="str">
        <f t="shared" si="1291"/>
        <v/>
      </c>
      <c r="D271" s="12">
        <f>운전실적_원본!C271</f>
        <v>0</v>
      </c>
      <c r="E271" s="12" t="str">
        <f t="shared" si="1292"/>
        <v/>
      </c>
      <c r="F271" s="12">
        <f>운전실적_원본!D271</f>
        <v>0</v>
      </c>
      <c r="G271" s="16" t="str">
        <f t="shared" si="1293"/>
        <v/>
      </c>
      <c r="H271" s="15">
        <f>운전실적_원본!E271</f>
        <v>0</v>
      </c>
      <c r="I271" s="16" t="str">
        <f t="shared" si="1294"/>
        <v/>
      </c>
      <c r="J271" s="15">
        <f>운전실적_원본!F271</f>
        <v>0</v>
      </c>
      <c r="K271" s="16" t="str">
        <f t="shared" si="1294"/>
        <v/>
      </c>
      <c r="L271" s="32">
        <f>운전실적_원본!G271</f>
        <v>0</v>
      </c>
      <c r="M271" s="31" t="str">
        <f t="shared" ref="M271" si="1496">IF(OR(LEN(L271)=0,L271=0),"",L271-L270)</f>
        <v/>
      </c>
      <c r="N271" s="15">
        <f>운전실적_원본!H271</f>
        <v>0</v>
      </c>
      <c r="O271" s="16" t="str">
        <f t="shared" ref="O271" si="1497">IF(OR(LEN(N271)=0,N271=0),"",N271-N270)</f>
        <v/>
      </c>
      <c r="P271" s="15">
        <f>운전실적_원본!I271</f>
        <v>0</v>
      </c>
      <c r="Q271" s="16" t="str">
        <f t="shared" ref="Q271" si="1498">IF(OR(LEN(P271)=0,P271=0),"",P271-P270)</f>
        <v/>
      </c>
      <c r="R271" s="18">
        <f>운전실적_원본!J271</f>
        <v>0</v>
      </c>
      <c r="S271" s="19" t="str">
        <f t="shared" ref="S271" si="1499">IF(OR(LEN(R271)=0,R271=0),"",R271-R270)</f>
        <v/>
      </c>
      <c r="T271" s="18">
        <f>운전실적_원본!K271</f>
        <v>0</v>
      </c>
      <c r="U271" s="19" t="str">
        <f t="shared" si="1299"/>
        <v/>
      </c>
      <c r="V271" s="12">
        <f>운전실적_원본!L271</f>
        <v>0</v>
      </c>
      <c r="W271" s="16" t="str">
        <f t="shared" ref="W271" si="1500">IF(OR(LEN(V271)=0,V271=0),"",V271-V270)</f>
        <v/>
      </c>
      <c r="X271" s="10">
        <f>운전실적_원본!M271</f>
        <v>0</v>
      </c>
      <c r="Y271" s="10">
        <f>운전실적_원본!N271</f>
        <v>0</v>
      </c>
      <c r="Z271" s="10">
        <f>운전실적_원본!O271</f>
        <v>0</v>
      </c>
      <c r="AA271" s="10">
        <f>운전실적_원본!P271</f>
        <v>0</v>
      </c>
      <c r="AB271" s="10">
        <f>운전실적_원본!Q271</f>
        <v>0</v>
      </c>
      <c r="AC271" s="20">
        <f>운전실적_원본!R271</f>
        <v>0</v>
      </c>
      <c r="AD271" s="109">
        <f>운전실적_원본!S271</f>
        <v>0</v>
      </c>
      <c r="AE271" s="110">
        <f>운전실적_원본!T271</f>
        <v>0</v>
      </c>
      <c r="AF271" s="110">
        <f>운전실적_원본!U271</f>
        <v>0</v>
      </c>
      <c r="AG271" s="110">
        <f>운전실적_원본!V271</f>
        <v>0</v>
      </c>
      <c r="AH271" s="109">
        <f t="shared" si="1453"/>
        <v>0</v>
      </c>
      <c r="AI271" s="110">
        <f t="shared" si="1460"/>
        <v>0</v>
      </c>
      <c r="AJ271" s="110">
        <f>운전실적_원본!Y271</f>
        <v>0</v>
      </c>
      <c r="AK271" s="110">
        <f>운전실적_원본!Z271</f>
        <v>0</v>
      </c>
      <c r="AL271" s="106"/>
      <c r="AM271" s="105"/>
      <c r="AN271" s="105"/>
      <c r="AO271" s="105"/>
      <c r="AP271" s="105"/>
      <c r="AQ271" s="108"/>
      <c r="AR271" s="105"/>
      <c r="AS271" s="105"/>
      <c r="AT271" s="102"/>
      <c r="AU271" s="102"/>
      <c r="AV271" s="102"/>
      <c r="AW271" s="102"/>
      <c r="AX271" s="32">
        <f>운전실적_원본!W271</f>
        <v>0</v>
      </c>
      <c r="AY271" s="11">
        <f>운전실적_원본!X271</f>
        <v>0</v>
      </c>
      <c r="AZ271" s="11">
        <f>운전실적_원본!Y271</f>
        <v>0</v>
      </c>
      <c r="BA271" s="11">
        <f>운전실적_원본!Z271</f>
        <v>0</v>
      </c>
      <c r="BB271" s="11">
        <f>운전실적_원본!AA271</f>
        <v>0</v>
      </c>
      <c r="BC271" s="11">
        <f>운전실적_원본!AB271</f>
        <v>0</v>
      </c>
      <c r="BD271" s="32" t="str">
        <f t="shared" si="1446"/>
        <v>-</v>
      </c>
      <c r="BE271" s="11" t="str">
        <f t="shared" si="1454"/>
        <v>-</v>
      </c>
      <c r="BF271" s="11">
        <f>운전실적_원본!AE271</f>
        <v>0</v>
      </c>
      <c r="BG271" s="31">
        <f t="shared" si="1447"/>
        <v>0</v>
      </c>
      <c r="BH271" s="241">
        <f>INDEX(연료전지_원본!$A$4:$KY$369,MATCH($A271,연료전지_원본!$A$4:$A$369,0),MATCH($BH$4,연료전지_원본!$A$4:$KY$4,0))</f>
        <v>0</v>
      </c>
      <c r="BI271" s="241">
        <f>INDEX(연료전지_원본!$A$4:$KY$369,MATCH($A271,연료전지_원본!$A$4:$A$369,0),MATCH($BI$4,연료전지_원본!$A$4:$KY$4,0))</f>
        <v>0</v>
      </c>
      <c r="BJ271" s="241">
        <f>INDEX(연료전지_원본!$A$4:$KY$369,MATCH($A271,연료전지_원본!$A$4:$A$369,0),MATCH($BJ$4,연료전지_원본!$A$4:$KY$4,0))</f>
        <v>0</v>
      </c>
      <c r="BK271" s="241">
        <f>INDEX(연료전지_원본!$A$4:$KY$369,MATCH($A271,연료전지_원본!$A$4:$A$369,0),MATCH($BK$4,연료전지_원본!$A$4:$KY$4,0))</f>
        <v>0</v>
      </c>
      <c r="BL271" s="241">
        <f>INDEX(연료전지_원본!$A$4:$KY$369,MATCH($A271,연료전지_원본!$A$4:$A$369,0),MATCH($BL$4,연료전지_원본!$A$4:$KY$4,0))</f>
        <v>0</v>
      </c>
      <c r="BM271" s="241">
        <f>INDEX(연료전지_원본!$A$4:$KY$369,MATCH($A271,연료전지_원본!$A$4:$A$369,0),MATCH($BM$4,연료전지_원본!$A$4:$KY$4,0))</f>
        <v>0</v>
      </c>
      <c r="BN271" s="241">
        <f>INDEX(연료전지_원본!$A$4:$KY$369,MATCH($A271,연료전지_원본!$A$4:$A$369,0),MATCH($BN$4,연료전지_원본!$A$4:$KY$4,0))</f>
        <v>0</v>
      </c>
      <c r="BO271" s="241">
        <f>INDEX(연료전지_원본!$A$4:$KY$369,MATCH($A271,연료전지_원본!$A$4:$A$369,0),MATCH($BO$4,연료전지_원본!$A$4:$KY$4,0))</f>
        <v>0</v>
      </c>
      <c r="BP271" s="241">
        <f>INDEX(연료전지_원본!$A$4:$KY$369,MATCH($A271,연료전지_원본!$A$4:$A$369,0),MATCH($BP$4,연료전지_원본!$A$4:$KY$4,0))</f>
        <v>0</v>
      </c>
      <c r="BQ271" s="241">
        <f>INDEX(연료전지_원본!$A$4:$KY$369,MATCH($A271,연료전지_원본!$A$4:$A$369,0),MATCH($BQ$4,연료전지_원본!$A$4:$KY$4,0))</f>
        <v>0</v>
      </c>
      <c r="BR271" s="241">
        <f>INDEX(연료전지_원본!$A$4:$KY$369,MATCH($A271,연료전지_원본!$A$4:$A$369,0),MATCH($BR$4,연료전지_원본!$A$4:$KY$4,0))</f>
        <v>0</v>
      </c>
      <c r="BS271" s="241">
        <f>INDEX(연료전지_원본!$A$4:$KY$369,MATCH($A271,연료전지_원본!$A$4:$A$369,0),MATCH($BS$4,연료전지_원본!$A$4:$KY$4,0))</f>
        <v>0</v>
      </c>
      <c r="BT271" s="241">
        <f>INDEX(연료전지_원본!$A$4:$KY$369,MATCH($A271,연료전지_원본!$A$4:$A$369,0),MATCH($BT$4,연료전지_원본!$A$4:$KY$4,0))</f>
        <v>0</v>
      </c>
      <c r="BU271" s="241">
        <f>INDEX(연료전지_원본!$A$4:$KY$369,MATCH($A271,연료전지_원본!$A$4:$A$369,0),MATCH($BU$4,연료전지_원본!$A$4:$KY$4,0))</f>
        <v>0</v>
      </c>
      <c r="BV271" s="241">
        <f>INDEX(연료전지_원본!$A$4:$KY$369,MATCH($A271,연료전지_원본!$A$4:$A$369,0),MATCH($BV$4,연료전지_원본!$A$4:$KY$4,0))</f>
        <v>0</v>
      </c>
      <c r="BW271" s="241">
        <f>INDEX(연료전지_원본!$A$4:$KY$369,MATCH($A271,연료전지_원본!$A$4:$A$369,0),MATCH($BW$4,연료전지_원본!$A$4:$KY$4,0))</f>
        <v>0</v>
      </c>
      <c r="BX271" s="241">
        <f>INDEX(연료전지_원본!$A$4:$KY$369,MATCH($A271,연료전지_원본!$A$4:$A$369,0),MATCH($BX$4,연료전지_원본!$A$4:$KY$4,0))</f>
        <v>0</v>
      </c>
      <c r="BY271" s="241">
        <f>INDEX(연료전지_원본!$A$4:$KY$369,MATCH($A271,연료전지_원본!$A$4:$A$369,0),MATCH($BY$4,연료전지_원본!$A$4:$KY$4,0))</f>
        <v>0</v>
      </c>
      <c r="BZ271" s="241">
        <f>INDEX(연료전지_원본!$A$4:$KY$369,MATCH($A271,연료전지_원본!$A$4:$A$369,0),MATCH($BZ$4,연료전지_원본!$A$4:$KY$4,0))</f>
        <v>0</v>
      </c>
      <c r="CA271" s="241">
        <f>INDEX(연료전지_원본!$A$4:$KY$369,MATCH($A271,연료전지_원본!$A$4:$A$369,0),MATCH($CA$4,연료전지_원본!$A$4:$KY$4,0))</f>
        <v>0</v>
      </c>
      <c r="CB271" s="241">
        <f>INDEX(연료전지_원본!$A$4:$KY$369,MATCH($A271,연료전지_원본!$A$4:$A$369,0),MATCH($CB$4,연료전지_원본!$A$4:$KY$4,0))</f>
        <v>0</v>
      </c>
      <c r="CC271" s="242">
        <f>INDEX(연료전지_원본!$A$4:$KY$369,MATCH($A271,연료전지_원본!$A$4:$A$369,0),MATCH($CC$4,연료전지_원본!$A$4:$KY$4,0))</f>
        <v>0</v>
      </c>
      <c r="CD271" s="250">
        <f>INDEX(연료전지_원본!$KB$4:$KX$369,MATCH($A271,연료전지_원본!$KB$4:$KB$369,0), MATCH(CD$4,연료전지_원본!$KB$4:$KX$4,0))*1000</f>
        <v>0</v>
      </c>
      <c r="CE271" s="250">
        <f>INDEX(연료전지_원본!$KB$4:$KX$369,MATCH($A271,연료전지_원본!$KB$4:$KB$369,0), MATCH(CE$4,연료전지_원본!$KB$4:$KX$4,0))*1000</f>
        <v>0</v>
      </c>
      <c r="CF271" s="250">
        <f>INDEX(연료전지_원본!$KB$4:$KX$369,MATCH($A271,연료전지_원본!$KB$4:$KB$369,0), MATCH(CF$4,연료전지_원본!$KB$4:$KX$4,0))*1000</f>
        <v>0</v>
      </c>
      <c r="CG271" s="250">
        <f>INDEX(연료전지_원본!$KB$4:$KX$369,MATCH($A271,연료전지_원본!$KB$4:$KB$369,0), MATCH(CG$4,연료전지_원본!$KB$4:$KX$4,0))*1000</f>
        <v>0</v>
      </c>
      <c r="CH271" s="250">
        <f>INDEX(연료전지_원본!$KB$4:$KX$369,MATCH($A271,연료전지_원본!$KB$4:$KB$369,0), MATCH(CH$4,연료전지_원본!$KB$4:$KX$4,0))*1000</f>
        <v>0</v>
      </c>
      <c r="CI271" s="250">
        <f>INDEX(연료전지_원본!$KB$4:$KX$369,MATCH($A271,연료전지_원본!$KB$4:$KB$369,0), MATCH(CI$4,연료전지_원본!$KB$4:$KX$4,0))*1000</f>
        <v>0</v>
      </c>
      <c r="CJ271" s="250">
        <f>INDEX(연료전지_원본!$KB$4:$KX$369,MATCH($A271,연료전지_원본!$KB$4:$KB$369,0), MATCH(CJ$4,연료전지_원본!$KB$4:$KX$4,0))*1000</f>
        <v>0</v>
      </c>
      <c r="CK271" s="250">
        <f>INDEX(연료전지_원본!$KB$4:$KX$369,MATCH($A271,연료전지_원본!$KB$4:$KB$369,0), MATCH(CK$4,연료전지_원본!$KB$4:$KX$4,0))*1000</f>
        <v>0</v>
      </c>
      <c r="CL271" s="250">
        <f>INDEX(연료전지_원본!$KB$4:$KX$369,MATCH($A271,연료전지_원본!$KB$4:$KB$369,0), MATCH(CL$4,연료전지_원본!$KB$4:$KX$4,0))*1000</f>
        <v>0</v>
      </c>
      <c r="CM271" s="250">
        <f>INDEX(연료전지_원본!$KB$4:$KX$369,MATCH($A271,연료전지_원본!$KB$4:$KB$369,0), MATCH(CM$4,연료전지_원본!$KB$4:$KX$4,0))*1000</f>
        <v>0</v>
      </c>
      <c r="CN271" s="250">
        <f>INDEX(연료전지_원본!$KB$4:$KX$369,MATCH($A271,연료전지_원본!$KB$4:$KB$369,0), MATCH(CN$4,연료전지_원본!$KB$4:$KX$4,0))*1000</f>
        <v>0</v>
      </c>
      <c r="CO271" s="250">
        <f>INDEX(연료전지_원본!$KB$4:$KX$369,MATCH($A271,연료전지_원본!$KB$4:$KB$369,0), MATCH(CO$4,연료전지_원본!$KB$4:$KX$4,0))*1000</f>
        <v>0</v>
      </c>
      <c r="CP271" s="250">
        <f>INDEX(연료전지_원본!$KB$4:$KX$369,MATCH($A271,연료전지_원본!$KB$4:$KB$369,0), MATCH(CP$4,연료전지_원본!$KB$4:$KX$4,0))*1000</f>
        <v>0</v>
      </c>
      <c r="CQ271" s="250">
        <f>INDEX(연료전지_원본!$KB$4:$KX$369,MATCH($A271,연료전지_원본!$KB$4:$KB$369,0), MATCH(CQ$4,연료전지_원본!$KB$4:$KX$4,0))*1000</f>
        <v>0</v>
      </c>
      <c r="CR271" s="250">
        <f>INDEX(연료전지_원본!$KB$4:$KX$369,MATCH($A271,연료전지_원본!$KB$4:$KB$369,0), MATCH(CR$4,연료전지_원본!$KB$4:$KX$4,0))*1000</f>
        <v>0</v>
      </c>
      <c r="CS271" s="250">
        <f>INDEX(연료전지_원본!$KB$4:$KX$369,MATCH($A271,연료전지_원본!$KB$4:$KB$369,0), MATCH(CS$4,연료전지_원본!$KB$4:$KX$4,0))*1000</f>
        <v>0</v>
      </c>
      <c r="CT271" s="250">
        <f>INDEX(연료전지_원본!$KB$4:$KX$369,MATCH($A271,연료전지_원본!$KB$4:$KB$369,0), MATCH(CT$4,연료전지_원본!$KB$4:$KX$4,0))*1000</f>
        <v>0</v>
      </c>
      <c r="CU271" s="250">
        <f>INDEX(연료전지_원본!$KB$4:$KX$369,MATCH($A271,연료전지_원본!$KB$4:$KB$369,0), MATCH(CU$4,연료전지_원본!$KB$4:$KX$4,0))*1000</f>
        <v>0</v>
      </c>
      <c r="CV271" s="250">
        <f>INDEX(연료전지_원본!$KB$4:$KX$369,MATCH($A271,연료전지_원본!$KB$4:$KB$369,0), MATCH(CV$4,연료전지_원본!$KB$4:$KX$4,0))*1000</f>
        <v>0</v>
      </c>
      <c r="CW271" s="250">
        <f>INDEX(연료전지_원본!$KB$4:$KX$369,MATCH($A271,연료전지_원본!$KB$4:$KB$369,0), MATCH(CW$4,연료전지_원본!$KB$4:$KX$4,0))*1000</f>
        <v>0</v>
      </c>
      <c r="CX271" s="250">
        <f>INDEX(연료전지_원본!$KB$4:$KX$369,MATCH($A271,연료전지_원본!$KB$4:$KB$369,0), MATCH(CX$4,연료전지_원본!$KB$4:$KX$4,0))*1000</f>
        <v>0</v>
      </c>
      <c r="CY271" s="250">
        <f>INDEX(연료전지_원본!$KB$4:$KX$369,MATCH($A271,연료전지_원본!$KB$4:$KB$369,0), MATCH(CY$4,연료전지_원본!$KB$4:$KX$4,0))*1000</f>
        <v>0</v>
      </c>
      <c r="DV271" s="30">
        <f t="shared" si="1285"/>
        <v>0</v>
      </c>
    </row>
    <row r="272" spans="1:126">
      <c r="A272" s="6">
        <v>46289</v>
      </c>
      <c r="B272" s="15">
        <f>운전실적_원본!B272</f>
        <v>0</v>
      </c>
      <c r="C272" s="16" t="str">
        <f t="shared" si="1291"/>
        <v/>
      </c>
      <c r="D272" s="12">
        <f>운전실적_원본!C272</f>
        <v>0</v>
      </c>
      <c r="E272" s="12" t="str">
        <f t="shared" si="1292"/>
        <v/>
      </c>
      <c r="F272" s="12">
        <f>운전실적_원본!D272</f>
        <v>0</v>
      </c>
      <c r="G272" s="16" t="str">
        <f t="shared" si="1293"/>
        <v/>
      </c>
      <c r="H272" s="15">
        <f>운전실적_원본!E272</f>
        <v>0</v>
      </c>
      <c r="I272" s="16" t="str">
        <f t="shared" si="1294"/>
        <v/>
      </c>
      <c r="J272" s="15">
        <f>운전실적_원본!F272</f>
        <v>0</v>
      </c>
      <c r="K272" s="16" t="str">
        <f t="shared" si="1294"/>
        <v/>
      </c>
      <c r="L272" s="32">
        <f>운전실적_원본!G272</f>
        <v>0</v>
      </c>
      <c r="M272" s="31" t="str">
        <f t="shared" ref="M272" si="1501">IF(OR(LEN(L272)=0,L272=0),"",L272-L271)</f>
        <v/>
      </c>
      <c r="N272" s="15">
        <f>운전실적_원본!H272</f>
        <v>0</v>
      </c>
      <c r="O272" s="16" t="str">
        <f t="shared" ref="O272" si="1502">IF(OR(LEN(N272)=0,N272=0),"",N272-N271)</f>
        <v/>
      </c>
      <c r="P272" s="15">
        <f>운전실적_원본!I272</f>
        <v>0</v>
      </c>
      <c r="Q272" s="16" t="str">
        <f t="shared" ref="Q272" si="1503">IF(OR(LEN(P272)=0,P272=0),"",P272-P271)</f>
        <v/>
      </c>
      <c r="R272" s="18">
        <f>운전실적_원본!J272</f>
        <v>0</v>
      </c>
      <c r="S272" s="19" t="str">
        <f t="shared" ref="S272" si="1504">IF(OR(LEN(R272)=0,R272=0),"",R272-R271)</f>
        <v/>
      </c>
      <c r="T272" s="18">
        <f>운전실적_원본!K272</f>
        <v>0</v>
      </c>
      <c r="U272" s="19" t="str">
        <f t="shared" si="1299"/>
        <v/>
      </c>
      <c r="V272" s="12">
        <f>운전실적_원본!L272</f>
        <v>0</v>
      </c>
      <c r="W272" s="16" t="str">
        <f t="shared" ref="W272" si="1505">IF(OR(LEN(V272)=0,V272=0),"",V272-V271)</f>
        <v/>
      </c>
      <c r="X272" s="10">
        <f>운전실적_원본!M272</f>
        <v>0</v>
      </c>
      <c r="Y272" s="10">
        <f>운전실적_원본!N272</f>
        <v>0</v>
      </c>
      <c r="Z272" s="10">
        <f>운전실적_원본!O272</f>
        <v>0</v>
      </c>
      <c r="AA272" s="10">
        <f>운전실적_원본!P272</f>
        <v>0</v>
      </c>
      <c r="AB272" s="10">
        <f>운전실적_원본!Q272</f>
        <v>0</v>
      </c>
      <c r="AC272" s="20">
        <f>운전실적_원본!R272</f>
        <v>0</v>
      </c>
      <c r="AD272" s="109">
        <f>운전실적_원본!S272</f>
        <v>0</v>
      </c>
      <c r="AE272" s="110">
        <f>운전실적_원본!T272</f>
        <v>0</v>
      </c>
      <c r="AF272" s="110">
        <f>운전실적_원본!U272</f>
        <v>0</v>
      </c>
      <c r="AG272" s="110">
        <f>운전실적_원본!V272</f>
        <v>0</v>
      </c>
      <c r="AH272" s="109">
        <f t="shared" si="1453"/>
        <v>0</v>
      </c>
      <c r="AI272" s="110">
        <f t="shared" si="1460"/>
        <v>0</v>
      </c>
      <c r="AJ272" s="110">
        <f>운전실적_원본!Y272</f>
        <v>0</v>
      </c>
      <c r="AK272" s="110">
        <f>운전실적_원본!Z272</f>
        <v>0</v>
      </c>
      <c r="AL272" s="106"/>
      <c r="AM272" s="105"/>
      <c r="AN272" s="105"/>
      <c r="AO272" s="105"/>
      <c r="AP272" s="105"/>
      <c r="AQ272" s="108"/>
      <c r="AR272" s="105"/>
      <c r="AS272" s="105"/>
      <c r="AT272" s="102"/>
      <c r="AU272" s="102"/>
      <c r="AV272" s="102"/>
      <c r="AW272" s="102"/>
      <c r="AX272" s="32">
        <f>운전실적_원본!W272</f>
        <v>0</v>
      </c>
      <c r="AY272" s="11">
        <f>운전실적_원본!X272</f>
        <v>0</v>
      </c>
      <c r="AZ272" s="11">
        <f>운전실적_원본!Y272</f>
        <v>0</v>
      </c>
      <c r="BA272" s="11">
        <f>운전실적_원본!Z272</f>
        <v>0</v>
      </c>
      <c r="BB272" s="11">
        <f>운전실적_원본!AA272</f>
        <v>0</v>
      </c>
      <c r="BC272" s="11">
        <f>운전실적_원본!AB272</f>
        <v>0</v>
      </c>
      <c r="BD272" s="32" t="str">
        <f t="shared" si="1446"/>
        <v>-</v>
      </c>
      <c r="BE272" s="11" t="str">
        <f t="shared" si="1454"/>
        <v>-</v>
      </c>
      <c r="BF272" s="11">
        <f>운전실적_원본!AE272</f>
        <v>0</v>
      </c>
      <c r="BG272" s="31">
        <f t="shared" si="1447"/>
        <v>0</v>
      </c>
      <c r="BH272" s="241">
        <f>INDEX(연료전지_원본!$A$4:$KY$369,MATCH($A272,연료전지_원본!$A$4:$A$369,0),MATCH($BH$4,연료전지_원본!$A$4:$KY$4,0))</f>
        <v>0</v>
      </c>
      <c r="BI272" s="241">
        <f>INDEX(연료전지_원본!$A$4:$KY$369,MATCH($A272,연료전지_원본!$A$4:$A$369,0),MATCH($BI$4,연료전지_원본!$A$4:$KY$4,0))</f>
        <v>0</v>
      </c>
      <c r="BJ272" s="241">
        <f>INDEX(연료전지_원본!$A$4:$KY$369,MATCH($A272,연료전지_원본!$A$4:$A$369,0),MATCH($BJ$4,연료전지_원본!$A$4:$KY$4,0))</f>
        <v>0</v>
      </c>
      <c r="BK272" s="241">
        <f>INDEX(연료전지_원본!$A$4:$KY$369,MATCH($A272,연료전지_원본!$A$4:$A$369,0),MATCH($BK$4,연료전지_원본!$A$4:$KY$4,0))</f>
        <v>0</v>
      </c>
      <c r="BL272" s="241">
        <f>INDEX(연료전지_원본!$A$4:$KY$369,MATCH($A272,연료전지_원본!$A$4:$A$369,0),MATCH($BL$4,연료전지_원본!$A$4:$KY$4,0))</f>
        <v>0</v>
      </c>
      <c r="BM272" s="241">
        <f>INDEX(연료전지_원본!$A$4:$KY$369,MATCH($A272,연료전지_원본!$A$4:$A$369,0),MATCH($BM$4,연료전지_원본!$A$4:$KY$4,0))</f>
        <v>0</v>
      </c>
      <c r="BN272" s="241">
        <f>INDEX(연료전지_원본!$A$4:$KY$369,MATCH($A272,연료전지_원본!$A$4:$A$369,0),MATCH($BN$4,연료전지_원본!$A$4:$KY$4,0))</f>
        <v>0</v>
      </c>
      <c r="BO272" s="241">
        <f>INDEX(연료전지_원본!$A$4:$KY$369,MATCH($A272,연료전지_원본!$A$4:$A$369,0),MATCH($BO$4,연료전지_원본!$A$4:$KY$4,0))</f>
        <v>0</v>
      </c>
      <c r="BP272" s="241">
        <f>INDEX(연료전지_원본!$A$4:$KY$369,MATCH($A272,연료전지_원본!$A$4:$A$369,0),MATCH($BP$4,연료전지_원본!$A$4:$KY$4,0))</f>
        <v>0</v>
      </c>
      <c r="BQ272" s="241">
        <f>INDEX(연료전지_원본!$A$4:$KY$369,MATCH($A272,연료전지_원본!$A$4:$A$369,0),MATCH($BQ$4,연료전지_원본!$A$4:$KY$4,0))</f>
        <v>0</v>
      </c>
      <c r="BR272" s="241">
        <f>INDEX(연료전지_원본!$A$4:$KY$369,MATCH($A272,연료전지_원본!$A$4:$A$369,0),MATCH($BR$4,연료전지_원본!$A$4:$KY$4,0))</f>
        <v>0</v>
      </c>
      <c r="BS272" s="241">
        <f>INDEX(연료전지_원본!$A$4:$KY$369,MATCH($A272,연료전지_원본!$A$4:$A$369,0),MATCH($BS$4,연료전지_원본!$A$4:$KY$4,0))</f>
        <v>0</v>
      </c>
      <c r="BT272" s="241">
        <f>INDEX(연료전지_원본!$A$4:$KY$369,MATCH($A272,연료전지_원본!$A$4:$A$369,0),MATCH($BT$4,연료전지_원본!$A$4:$KY$4,0))</f>
        <v>0</v>
      </c>
      <c r="BU272" s="241">
        <f>INDEX(연료전지_원본!$A$4:$KY$369,MATCH($A272,연료전지_원본!$A$4:$A$369,0),MATCH($BU$4,연료전지_원본!$A$4:$KY$4,0))</f>
        <v>0</v>
      </c>
      <c r="BV272" s="241">
        <f>INDEX(연료전지_원본!$A$4:$KY$369,MATCH($A272,연료전지_원본!$A$4:$A$369,0),MATCH($BV$4,연료전지_원본!$A$4:$KY$4,0))</f>
        <v>0</v>
      </c>
      <c r="BW272" s="241">
        <f>INDEX(연료전지_원본!$A$4:$KY$369,MATCH($A272,연료전지_원본!$A$4:$A$369,0),MATCH($BW$4,연료전지_원본!$A$4:$KY$4,0))</f>
        <v>0</v>
      </c>
      <c r="BX272" s="241">
        <f>INDEX(연료전지_원본!$A$4:$KY$369,MATCH($A272,연료전지_원본!$A$4:$A$369,0),MATCH($BX$4,연료전지_원본!$A$4:$KY$4,0))</f>
        <v>0</v>
      </c>
      <c r="BY272" s="241">
        <f>INDEX(연료전지_원본!$A$4:$KY$369,MATCH($A272,연료전지_원본!$A$4:$A$369,0),MATCH($BY$4,연료전지_원본!$A$4:$KY$4,0))</f>
        <v>0</v>
      </c>
      <c r="BZ272" s="241">
        <f>INDEX(연료전지_원본!$A$4:$KY$369,MATCH($A272,연료전지_원본!$A$4:$A$369,0),MATCH($BZ$4,연료전지_원본!$A$4:$KY$4,0))</f>
        <v>0</v>
      </c>
      <c r="CA272" s="241">
        <f>INDEX(연료전지_원본!$A$4:$KY$369,MATCH($A272,연료전지_원본!$A$4:$A$369,0),MATCH($CA$4,연료전지_원본!$A$4:$KY$4,0))</f>
        <v>0</v>
      </c>
      <c r="CB272" s="241">
        <f>INDEX(연료전지_원본!$A$4:$KY$369,MATCH($A272,연료전지_원본!$A$4:$A$369,0),MATCH($CB$4,연료전지_원본!$A$4:$KY$4,0))</f>
        <v>0</v>
      </c>
      <c r="CC272" s="242">
        <f>INDEX(연료전지_원본!$A$4:$KY$369,MATCH($A272,연료전지_원본!$A$4:$A$369,0),MATCH($CC$4,연료전지_원본!$A$4:$KY$4,0))</f>
        <v>0</v>
      </c>
      <c r="CD272" s="250">
        <f>INDEX(연료전지_원본!$KB$4:$KX$369,MATCH($A272,연료전지_원본!$KB$4:$KB$369,0), MATCH(CD$4,연료전지_원본!$KB$4:$KX$4,0))*1000</f>
        <v>0</v>
      </c>
      <c r="CE272" s="250">
        <f>INDEX(연료전지_원본!$KB$4:$KX$369,MATCH($A272,연료전지_원본!$KB$4:$KB$369,0), MATCH(CE$4,연료전지_원본!$KB$4:$KX$4,0))*1000</f>
        <v>0</v>
      </c>
      <c r="CF272" s="250">
        <f>INDEX(연료전지_원본!$KB$4:$KX$369,MATCH($A272,연료전지_원본!$KB$4:$KB$369,0), MATCH(CF$4,연료전지_원본!$KB$4:$KX$4,0))*1000</f>
        <v>0</v>
      </c>
      <c r="CG272" s="250">
        <f>INDEX(연료전지_원본!$KB$4:$KX$369,MATCH($A272,연료전지_원본!$KB$4:$KB$369,0), MATCH(CG$4,연료전지_원본!$KB$4:$KX$4,0))*1000</f>
        <v>0</v>
      </c>
      <c r="CH272" s="250">
        <f>INDEX(연료전지_원본!$KB$4:$KX$369,MATCH($A272,연료전지_원본!$KB$4:$KB$369,0), MATCH(CH$4,연료전지_원본!$KB$4:$KX$4,0))*1000</f>
        <v>0</v>
      </c>
      <c r="CI272" s="250">
        <f>INDEX(연료전지_원본!$KB$4:$KX$369,MATCH($A272,연료전지_원본!$KB$4:$KB$369,0), MATCH(CI$4,연료전지_원본!$KB$4:$KX$4,0))*1000</f>
        <v>0</v>
      </c>
      <c r="CJ272" s="250">
        <f>INDEX(연료전지_원본!$KB$4:$KX$369,MATCH($A272,연료전지_원본!$KB$4:$KB$369,0), MATCH(CJ$4,연료전지_원본!$KB$4:$KX$4,0))*1000</f>
        <v>0</v>
      </c>
      <c r="CK272" s="250">
        <f>INDEX(연료전지_원본!$KB$4:$KX$369,MATCH($A272,연료전지_원본!$KB$4:$KB$369,0), MATCH(CK$4,연료전지_원본!$KB$4:$KX$4,0))*1000</f>
        <v>0</v>
      </c>
      <c r="CL272" s="250">
        <f>INDEX(연료전지_원본!$KB$4:$KX$369,MATCH($A272,연료전지_원본!$KB$4:$KB$369,0), MATCH(CL$4,연료전지_원본!$KB$4:$KX$4,0))*1000</f>
        <v>0</v>
      </c>
      <c r="CM272" s="250">
        <f>INDEX(연료전지_원본!$KB$4:$KX$369,MATCH($A272,연료전지_원본!$KB$4:$KB$369,0), MATCH(CM$4,연료전지_원본!$KB$4:$KX$4,0))*1000</f>
        <v>0</v>
      </c>
      <c r="CN272" s="250">
        <f>INDEX(연료전지_원본!$KB$4:$KX$369,MATCH($A272,연료전지_원본!$KB$4:$KB$369,0), MATCH(CN$4,연료전지_원본!$KB$4:$KX$4,0))*1000</f>
        <v>0</v>
      </c>
      <c r="CO272" s="250">
        <f>INDEX(연료전지_원본!$KB$4:$KX$369,MATCH($A272,연료전지_원본!$KB$4:$KB$369,0), MATCH(CO$4,연료전지_원본!$KB$4:$KX$4,0))*1000</f>
        <v>0</v>
      </c>
      <c r="CP272" s="250">
        <f>INDEX(연료전지_원본!$KB$4:$KX$369,MATCH($A272,연료전지_원본!$KB$4:$KB$369,0), MATCH(CP$4,연료전지_원본!$KB$4:$KX$4,0))*1000</f>
        <v>0</v>
      </c>
      <c r="CQ272" s="250">
        <f>INDEX(연료전지_원본!$KB$4:$KX$369,MATCH($A272,연료전지_원본!$KB$4:$KB$369,0), MATCH(CQ$4,연료전지_원본!$KB$4:$KX$4,0))*1000</f>
        <v>0</v>
      </c>
      <c r="CR272" s="250">
        <f>INDEX(연료전지_원본!$KB$4:$KX$369,MATCH($A272,연료전지_원본!$KB$4:$KB$369,0), MATCH(CR$4,연료전지_원본!$KB$4:$KX$4,0))*1000</f>
        <v>0</v>
      </c>
      <c r="CS272" s="250">
        <f>INDEX(연료전지_원본!$KB$4:$KX$369,MATCH($A272,연료전지_원본!$KB$4:$KB$369,0), MATCH(CS$4,연료전지_원본!$KB$4:$KX$4,0))*1000</f>
        <v>0</v>
      </c>
      <c r="CT272" s="250">
        <f>INDEX(연료전지_원본!$KB$4:$KX$369,MATCH($A272,연료전지_원본!$KB$4:$KB$369,0), MATCH(CT$4,연료전지_원본!$KB$4:$KX$4,0))*1000</f>
        <v>0</v>
      </c>
      <c r="CU272" s="250">
        <f>INDEX(연료전지_원본!$KB$4:$KX$369,MATCH($A272,연료전지_원본!$KB$4:$KB$369,0), MATCH(CU$4,연료전지_원본!$KB$4:$KX$4,0))*1000</f>
        <v>0</v>
      </c>
      <c r="CV272" s="250">
        <f>INDEX(연료전지_원본!$KB$4:$KX$369,MATCH($A272,연료전지_원본!$KB$4:$KB$369,0), MATCH(CV$4,연료전지_원본!$KB$4:$KX$4,0))*1000</f>
        <v>0</v>
      </c>
      <c r="CW272" s="250">
        <f>INDEX(연료전지_원본!$KB$4:$KX$369,MATCH($A272,연료전지_원본!$KB$4:$KB$369,0), MATCH(CW$4,연료전지_원본!$KB$4:$KX$4,0))*1000</f>
        <v>0</v>
      </c>
      <c r="CX272" s="250">
        <f>INDEX(연료전지_원본!$KB$4:$KX$369,MATCH($A272,연료전지_원본!$KB$4:$KB$369,0), MATCH(CX$4,연료전지_원본!$KB$4:$KX$4,0))*1000</f>
        <v>0</v>
      </c>
      <c r="CY272" s="250">
        <f>INDEX(연료전지_원본!$KB$4:$KX$369,MATCH($A272,연료전지_원본!$KB$4:$KB$369,0), MATCH(CY$4,연료전지_원본!$KB$4:$KX$4,0))*1000</f>
        <v>0</v>
      </c>
      <c r="DV272" s="30">
        <f t="shared" si="1285"/>
        <v>0</v>
      </c>
    </row>
    <row r="273" spans="1:126">
      <c r="A273" s="6">
        <v>46290</v>
      </c>
      <c r="B273" s="15">
        <f>운전실적_원본!B273</f>
        <v>0</v>
      </c>
      <c r="C273" s="16" t="str">
        <f t="shared" si="1291"/>
        <v/>
      </c>
      <c r="D273" s="12">
        <f>운전실적_원본!C273</f>
        <v>0</v>
      </c>
      <c r="E273" s="12" t="str">
        <f t="shared" si="1292"/>
        <v/>
      </c>
      <c r="F273" s="12">
        <f>운전실적_원본!D273</f>
        <v>0</v>
      </c>
      <c r="G273" s="16" t="str">
        <f t="shared" si="1293"/>
        <v/>
      </c>
      <c r="H273" s="15">
        <f>운전실적_원본!E273</f>
        <v>0</v>
      </c>
      <c r="I273" s="16" t="str">
        <f t="shared" si="1294"/>
        <v/>
      </c>
      <c r="J273" s="15">
        <f>운전실적_원본!F273</f>
        <v>0</v>
      </c>
      <c r="K273" s="16" t="str">
        <f t="shared" si="1294"/>
        <v/>
      </c>
      <c r="L273" s="32">
        <f>운전실적_원본!G273</f>
        <v>0</v>
      </c>
      <c r="M273" s="31" t="str">
        <f t="shared" ref="M273" si="1506">IF(OR(LEN(L273)=0,L273=0),"",L273-L272)</f>
        <v/>
      </c>
      <c r="N273" s="15">
        <f>운전실적_원본!H273</f>
        <v>0</v>
      </c>
      <c r="O273" s="16" t="str">
        <f t="shared" ref="O273" si="1507">IF(OR(LEN(N273)=0,N273=0),"",N273-N272)</f>
        <v/>
      </c>
      <c r="P273" s="15">
        <f>운전실적_원본!I273</f>
        <v>0</v>
      </c>
      <c r="Q273" s="16" t="str">
        <f t="shared" ref="Q273" si="1508">IF(OR(LEN(P273)=0,P273=0),"",P273-P272)</f>
        <v/>
      </c>
      <c r="R273" s="18">
        <f>운전실적_원본!J273</f>
        <v>0</v>
      </c>
      <c r="S273" s="19" t="str">
        <f t="shared" ref="S273" si="1509">IF(OR(LEN(R273)=0,R273=0),"",R273-R272)</f>
        <v/>
      </c>
      <c r="T273" s="18">
        <f>운전실적_원본!K273</f>
        <v>0</v>
      </c>
      <c r="U273" s="19" t="str">
        <f t="shared" si="1299"/>
        <v/>
      </c>
      <c r="V273" s="12">
        <f>운전실적_원본!L273</f>
        <v>0</v>
      </c>
      <c r="W273" s="16" t="str">
        <f t="shared" ref="W273" si="1510">IF(OR(LEN(V273)=0,V273=0),"",V273-V272)</f>
        <v/>
      </c>
      <c r="X273" s="10">
        <f>운전실적_원본!M273</f>
        <v>0</v>
      </c>
      <c r="Y273" s="10">
        <f>운전실적_원본!N273</f>
        <v>0</v>
      </c>
      <c r="Z273" s="10">
        <f>운전실적_원본!O273</f>
        <v>0</v>
      </c>
      <c r="AA273" s="10">
        <f>운전실적_원본!P273</f>
        <v>0</v>
      </c>
      <c r="AB273" s="10">
        <f>운전실적_원본!Q273</f>
        <v>0</v>
      </c>
      <c r="AC273" s="20">
        <f>운전실적_원본!R273</f>
        <v>0</v>
      </c>
      <c r="AD273" s="109">
        <f>운전실적_원본!S273</f>
        <v>0</v>
      </c>
      <c r="AE273" s="110">
        <f>운전실적_원본!T273</f>
        <v>0</v>
      </c>
      <c r="AF273" s="110">
        <f>운전실적_원본!U273</f>
        <v>0</v>
      </c>
      <c r="AG273" s="110">
        <f>운전실적_원본!V273</f>
        <v>0</v>
      </c>
      <c r="AH273" s="109">
        <f t="shared" si="1453"/>
        <v>0</v>
      </c>
      <c r="AI273" s="110">
        <f t="shared" si="1460"/>
        <v>0</v>
      </c>
      <c r="AJ273" s="110">
        <f>운전실적_원본!Y273</f>
        <v>0</v>
      </c>
      <c r="AK273" s="110">
        <f>운전실적_원본!Z273</f>
        <v>0</v>
      </c>
      <c r="AL273" s="106"/>
      <c r="AM273" s="105"/>
      <c r="AN273" s="105"/>
      <c r="AO273" s="105"/>
      <c r="AP273" s="105"/>
      <c r="AQ273" s="108"/>
      <c r="AR273" s="105"/>
      <c r="AS273" s="105"/>
      <c r="AT273" s="102"/>
      <c r="AU273" s="102"/>
      <c r="AV273" s="102"/>
      <c r="AW273" s="102"/>
      <c r="AX273" s="32">
        <f>운전실적_원본!W273</f>
        <v>0</v>
      </c>
      <c r="AY273" s="11">
        <f>운전실적_원본!X273</f>
        <v>0</v>
      </c>
      <c r="AZ273" s="11">
        <f>운전실적_원본!Y273</f>
        <v>0</v>
      </c>
      <c r="BA273" s="11">
        <f>운전실적_원본!Z273</f>
        <v>0</v>
      </c>
      <c r="BB273" s="11">
        <f>운전실적_원본!AA273</f>
        <v>0</v>
      </c>
      <c r="BC273" s="11">
        <f>운전실적_원본!AB273</f>
        <v>0</v>
      </c>
      <c r="BD273" s="32" t="str">
        <f t="shared" si="1446"/>
        <v>-</v>
      </c>
      <c r="BE273" s="11" t="str">
        <f t="shared" si="1454"/>
        <v>-</v>
      </c>
      <c r="BF273" s="11">
        <f>운전실적_원본!AE273</f>
        <v>0</v>
      </c>
      <c r="BG273" s="31">
        <f t="shared" si="1447"/>
        <v>0</v>
      </c>
      <c r="BH273" s="241">
        <f>INDEX(연료전지_원본!$A$4:$KY$369,MATCH($A273,연료전지_원본!$A$4:$A$369,0),MATCH($BH$4,연료전지_원본!$A$4:$KY$4,0))</f>
        <v>0</v>
      </c>
      <c r="BI273" s="241">
        <f>INDEX(연료전지_원본!$A$4:$KY$369,MATCH($A273,연료전지_원본!$A$4:$A$369,0),MATCH($BI$4,연료전지_원본!$A$4:$KY$4,0))</f>
        <v>0</v>
      </c>
      <c r="BJ273" s="241">
        <f>INDEX(연료전지_원본!$A$4:$KY$369,MATCH($A273,연료전지_원본!$A$4:$A$369,0),MATCH($BJ$4,연료전지_원본!$A$4:$KY$4,0))</f>
        <v>0</v>
      </c>
      <c r="BK273" s="241">
        <f>INDEX(연료전지_원본!$A$4:$KY$369,MATCH($A273,연료전지_원본!$A$4:$A$369,0),MATCH($BK$4,연료전지_원본!$A$4:$KY$4,0))</f>
        <v>0</v>
      </c>
      <c r="BL273" s="241">
        <f>INDEX(연료전지_원본!$A$4:$KY$369,MATCH($A273,연료전지_원본!$A$4:$A$369,0),MATCH($BL$4,연료전지_원본!$A$4:$KY$4,0))</f>
        <v>0</v>
      </c>
      <c r="BM273" s="241">
        <f>INDEX(연료전지_원본!$A$4:$KY$369,MATCH($A273,연료전지_원본!$A$4:$A$369,0),MATCH($BM$4,연료전지_원본!$A$4:$KY$4,0))</f>
        <v>0</v>
      </c>
      <c r="BN273" s="241">
        <f>INDEX(연료전지_원본!$A$4:$KY$369,MATCH($A273,연료전지_원본!$A$4:$A$369,0),MATCH($BN$4,연료전지_원본!$A$4:$KY$4,0))</f>
        <v>0</v>
      </c>
      <c r="BO273" s="241">
        <f>INDEX(연료전지_원본!$A$4:$KY$369,MATCH($A273,연료전지_원본!$A$4:$A$369,0),MATCH($BO$4,연료전지_원본!$A$4:$KY$4,0))</f>
        <v>0</v>
      </c>
      <c r="BP273" s="241">
        <f>INDEX(연료전지_원본!$A$4:$KY$369,MATCH($A273,연료전지_원본!$A$4:$A$369,0),MATCH($BP$4,연료전지_원본!$A$4:$KY$4,0))</f>
        <v>0</v>
      </c>
      <c r="BQ273" s="241">
        <f>INDEX(연료전지_원본!$A$4:$KY$369,MATCH($A273,연료전지_원본!$A$4:$A$369,0),MATCH($BQ$4,연료전지_원본!$A$4:$KY$4,0))</f>
        <v>0</v>
      </c>
      <c r="BR273" s="241">
        <f>INDEX(연료전지_원본!$A$4:$KY$369,MATCH($A273,연료전지_원본!$A$4:$A$369,0),MATCH($BR$4,연료전지_원본!$A$4:$KY$4,0))</f>
        <v>0</v>
      </c>
      <c r="BS273" s="241">
        <f>INDEX(연료전지_원본!$A$4:$KY$369,MATCH($A273,연료전지_원본!$A$4:$A$369,0),MATCH($BS$4,연료전지_원본!$A$4:$KY$4,0))</f>
        <v>0</v>
      </c>
      <c r="BT273" s="241">
        <f>INDEX(연료전지_원본!$A$4:$KY$369,MATCH($A273,연료전지_원본!$A$4:$A$369,0),MATCH($BT$4,연료전지_원본!$A$4:$KY$4,0))</f>
        <v>0</v>
      </c>
      <c r="BU273" s="241">
        <f>INDEX(연료전지_원본!$A$4:$KY$369,MATCH($A273,연료전지_원본!$A$4:$A$369,0),MATCH($BU$4,연료전지_원본!$A$4:$KY$4,0))</f>
        <v>0</v>
      </c>
      <c r="BV273" s="241">
        <f>INDEX(연료전지_원본!$A$4:$KY$369,MATCH($A273,연료전지_원본!$A$4:$A$369,0),MATCH($BV$4,연료전지_원본!$A$4:$KY$4,0))</f>
        <v>0</v>
      </c>
      <c r="BW273" s="241">
        <f>INDEX(연료전지_원본!$A$4:$KY$369,MATCH($A273,연료전지_원본!$A$4:$A$369,0),MATCH($BW$4,연료전지_원본!$A$4:$KY$4,0))</f>
        <v>0</v>
      </c>
      <c r="BX273" s="241">
        <f>INDEX(연료전지_원본!$A$4:$KY$369,MATCH($A273,연료전지_원본!$A$4:$A$369,0),MATCH($BX$4,연료전지_원본!$A$4:$KY$4,0))</f>
        <v>0</v>
      </c>
      <c r="BY273" s="241">
        <f>INDEX(연료전지_원본!$A$4:$KY$369,MATCH($A273,연료전지_원본!$A$4:$A$369,0),MATCH($BY$4,연료전지_원본!$A$4:$KY$4,0))</f>
        <v>0</v>
      </c>
      <c r="BZ273" s="241">
        <f>INDEX(연료전지_원본!$A$4:$KY$369,MATCH($A273,연료전지_원본!$A$4:$A$369,0),MATCH($BZ$4,연료전지_원본!$A$4:$KY$4,0))</f>
        <v>0</v>
      </c>
      <c r="CA273" s="241">
        <f>INDEX(연료전지_원본!$A$4:$KY$369,MATCH($A273,연료전지_원본!$A$4:$A$369,0),MATCH($CA$4,연료전지_원본!$A$4:$KY$4,0))</f>
        <v>0</v>
      </c>
      <c r="CB273" s="241">
        <f>INDEX(연료전지_원본!$A$4:$KY$369,MATCH($A273,연료전지_원본!$A$4:$A$369,0),MATCH($CB$4,연료전지_원본!$A$4:$KY$4,0))</f>
        <v>0</v>
      </c>
      <c r="CC273" s="242">
        <f>INDEX(연료전지_원본!$A$4:$KY$369,MATCH($A273,연료전지_원본!$A$4:$A$369,0),MATCH($CC$4,연료전지_원본!$A$4:$KY$4,0))</f>
        <v>0</v>
      </c>
      <c r="CD273" s="250">
        <f>INDEX(연료전지_원본!$KB$4:$KX$369,MATCH($A273,연료전지_원본!$KB$4:$KB$369,0), MATCH(CD$4,연료전지_원본!$KB$4:$KX$4,0))*1000</f>
        <v>0</v>
      </c>
      <c r="CE273" s="250">
        <f>INDEX(연료전지_원본!$KB$4:$KX$369,MATCH($A273,연료전지_원본!$KB$4:$KB$369,0), MATCH(CE$4,연료전지_원본!$KB$4:$KX$4,0))*1000</f>
        <v>0</v>
      </c>
      <c r="CF273" s="250">
        <f>INDEX(연료전지_원본!$KB$4:$KX$369,MATCH($A273,연료전지_원본!$KB$4:$KB$369,0), MATCH(CF$4,연료전지_원본!$KB$4:$KX$4,0))*1000</f>
        <v>0</v>
      </c>
      <c r="CG273" s="250">
        <f>INDEX(연료전지_원본!$KB$4:$KX$369,MATCH($A273,연료전지_원본!$KB$4:$KB$369,0), MATCH(CG$4,연료전지_원본!$KB$4:$KX$4,0))*1000</f>
        <v>0</v>
      </c>
      <c r="CH273" s="250">
        <f>INDEX(연료전지_원본!$KB$4:$KX$369,MATCH($A273,연료전지_원본!$KB$4:$KB$369,0), MATCH(CH$4,연료전지_원본!$KB$4:$KX$4,0))*1000</f>
        <v>0</v>
      </c>
      <c r="CI273" s="250">
        <f>INDEX(연료전지_원본!$KB$4:$KX$369,MATCH($A273,연료전지_원본!$KB$4:$KB$369,0), MATCH(CI$4,연료전지_원본!$KB$4:$KX$4,0))*1000</f>
        <v>0</v>
      </c>
      <c r="CJ273" s="250">
        <f>INDEX(연료전지_원본!$KB$4:$KX$369,MATCH($A273,연료전지_원본!$KB$4:$KB$369,0), MATCH(CJ$4,연료전지_원본!$KB$4:$KX$4,0))*1000</f>
        <v>0</v>
      </c>
      <c r="CK273" s="250">
        <f>INDEX(연료전지_원본!$KB$4:$KX$369,MATCH($A273,연료전지_원본!$KB$4:$KB$369,0), MATCH(CK$4,연료전지_원본!$KB$4:$KX$4,0))*1000</f>
        <v>0</v>
      </c>
      <c r="CL273" s="250">
        <f>INDEX(연료전지_원본!$KB$4:$KX$369,MATCH($A273,연료전지_원본!$KB$4:$KB$369,0), MATCH(CL$4,연료전지_원본!$KB$4:$KX$4,0))*1000</f>
        <v>0</v>
      </c>
      <c r="CM273" s="250">
        <f>INDEX(연료전지_원본!$KB$4:$KX$369,MATCH($A273,연료전지_원본!$KB$4:$KB$369,0), MATCH(CM$4,연료전지_원본!$KB$4:$KX$4,0))*1000</f>
        <v>0</v>
      </c>
      <c r="CN273" s="250">
        <f>INDEX(연료전지_원본!$KB$4:$KX$369,MATCH($A273,연료전지_원본!$KB$4:$KB$369,0), MATCH(CN$4,연료전지_원본!$KB$4:$KX$4,0))*1000</f>
        <v>0</v>
      </c>
      <c r="CO273" s="250">
        <f>INDEX(연료전지_원본!$KB$4:$KX$369,MATCH($A273,연료전지_원본!$KB$4:$KB$369,0), MATCH(CO$4,연료전지_원본!$KB$4:$KX$4,0))*1000</f>
        <v>0</v>
      </c>
      <c r="CP273" s="250">
        <f>INDEX(연료전지_원본!$KB$4:$KX$369,MATCH($A273,연료전지_원본!$KB$4:$KB$369,0), MATCH(CP$4,연료전지_원본!$KB$4:$KX$4,0))*1000</f>
        <v>0</v>
      </c>
      <c r="CQ273" s="250">
        <f>INDEX(연료전지_원본!$KB$4:$KX$369,MATCH($A273,연료전지_원본!$KB$4:$KB$369,0), MATCH(CQ$4,연료전지_원본!$KB$4:$KX$4,0))*1000</f>
        <v>0</v>
      </c>
      <c r="CR273" s="250">
        <f>INDEX(연료전지_원본!$KB$4:$KX$369,MATCH($A273,연료전지_원본!$KB$4:$KB$369,0), MATCH(CR$4,연료전지_원본!$KB$4:$KX$4,0))*1000</f>
        <v>0</v>
      </c>
      <c r="CS273" s="250">
        <f>INDEX(연료전지_원본!$KB$4:$KX$369,MATCH($A273,연료전지_원본!$KB$4:$KB$369,0), MATCH(CS$4,연료전지_원본!$KB$4:$KX$4,0))*1000</f>
        <v>0</v>
      </c>
      <c r="CT273" s="250">
        <f>INDEX(연료전지_원본!$KB$4:$KX$369,MATCH($A273,연료전지_원본!$KB$4:$KB$369,0), MATCH(CT$4,연료전지_원본!$KB$4:$KX$4,0))*1000</f>
        <v>0</v>
      </c>
      <c r="CU273" s="250">
        <f>INDEX(연료전지_원본!$KB$4:$KX$369,MATCH($A273,연료전지_원본!$KB$4:$KB$369,0), MATCH(CU$4,연료전지_원본!$KB$4:$KX$4,0))*1000</f>
        <v>0</v>
      </c>
      <c r="CV273" s="250">
        <f>INDEX(연료전지_원본!$KB$4:$KX$369,MATCH($A273,연료전지_원본!$KB$4:$KB$369,0), MATCH(CV$4,연료전지_원본!$KB$4:$KX$4,0))*1000</f>
        <v>0</v>
      </c>
      <c r="CW273" s="250">
        <f>INDEX(연료전지_원본!$KB$4:$KX$369,MATCH($A273,연료전지_원본!$KB$4:$KB$369,0), MATCH(CW$4,연료전지_원본!$KB$4:$KX$4,0))*1000</f>
        <v>0</v>
      </c>
      <c r="CX273" s="250">
        <f>INDEX(연료전지_원본!$KB$4:$KX$369,MATCH($A273,연료전지_원본!$KB$4:$KB$369,0), MATCH(CX$4,연료전지_원본!$KB$4:$KX$4,0))*1000</f>
        <v>0</v>
      </c>
      <c r="CY273" s="250">
        <f>INDEX(연료전지_원본!$KB$4:$KX$369,MATCH($A273,연료전지_원본!$KB$4:$KB$369,0), MATCH(CY$4,연료전지_원본!$KB$4:$KX$4,0))*1000</f>
        <v>0</v>
      </c>
      <c r="DV273" s="30">
        <f t="shared" si="1285"/>
        <v>0</v>
      </c>
    </row>
    <row r="274" spans="1:126">
      <c r="A274" s="6">
        <v>46291</v>
      </c>
      <c r="B274" s="15">
        <f>운전실적_원본!B274</f>
        <v>0</v>
      </c>
      <c r="C274" s="16" t="str">
        <f t="shared" si="1291"/>
        <v/>
      </c>
      <c r="D274" s="12">
        <f>운전실적_원본!C274</f>
        <v>0</v>
      </c>
      <c r="E274" s="12" t="str">
        <f t="shared" si="1292"/>
        <v/>
      </c>
      <c r="F274" s="12">
        <f>운전실적_원본!D274</f>
        <v>0</v>
      </c>
      <c r="G274" s="16" t="str">
        <f t="shared" si="1293"/>
        <v/>
      </c>
      <c r="H274" s="15">
        <f>운전실적_원본!E274</f>
        <v>0</v>
      </c>
      <c r="I274" s="16" t="str">
        <f t="shared" si="1294"/>
        <v/>
      </c>
      <c r="J274" s="15">
        <f>운전실적_원본!F274</f>
        <v>0</v>
      </c>
      <c r="K274" s="16" t="str">
        <f t="shared" si="1294"/>
        <v/>
      </c>
      <c r="L274" s="32">
        <f>운전실적_원본!G274</f>
        <v>0</v>
      </c>
      <c r="M274" s="31" t="str">
        <f t="shared" ref="M274" si="1511">IF(OR(LEN(L274)=0,L274=0),"",L274-L273)</f>
        <v/>
      </c>
      <c r="N274" s="15">
        <f>운전실적_원본!H274</f>
        <v>0</v>
      </c>
      <c r="O274" s="16" t="str">
        <f t="shared" ref="O274" si="1512">IF(OR(LEN(N274)=0,N274=0),"",N274-N273)</f>
        <v/>
      </c>
      <c r="P274" s="15">
        <f>운전실적_원본!I274</f>
        <v>0</v>
      </c>
      <c r="Q274" s="16" t="str">
        <f t="shared" ref="Q274" si="1513">IF(OR(LEN(P274)=0,P274=0),"",P274-P273)</f>
        <v/>
      </c>
      <c r="R274" s="18">
        <f>운전실적_원본!J274</f>
        <v>0</v>
      </c>
      <c r="S274" s="19" t="str">
        <f t="shared" ref="S274" si="1514">IF(OR(LEN(R274)=0,R274=0),"",R274-R273)</f>
        <v/>
      </c>
      <c r="T274" s="18">
        <f>운전실적_원본!K274</f>
        <v>0</v>
      </c>
      <c r="U274" s="19" t="str">
        <f t="shared" si="1299"/>
        <v/>
      </c>
      <c r="V274" s="12">
        <f>운전실적_원본!L274</f>
        <v>0</v>
      </c>
      <c r="W274" s="16" t="str">
        <f t="shared" ref="W274" si="1515">IF(OR(LEN(V274)=0,V274=0),"",V274-V273)</f>
        <v/>
      </c>
      <c r="X274" s="10">
        <f>운전실적_원본!M274</f>
        <v>0</v>
      </c>
      <c r="Y274" s="10">
        <f>운전실적_원본!N274</f>
        <v>0</v>
      </c>
      <c r="Z274" s="10">
        <f>운전실적_원본!O274</f>
        <v>0</v>
      </c>
      <c r="AA274" s="10">
        <f>운전실적_원본!P274</f>
        <v>0</v>
      </c>
      <c r="AB274" s="10">
        <f>운전실적_원본!Q274</f>
        <v>0</v>
      </c>
      <c r="AC274" s="20">
        <f>운전실적_원본!R274</f>
        <v>0</v>
      </c>
      <c r="AD274" s="109">
        <f>운전실적_원본!S274</f>
        <v>0</v>
      </c>
      <c r="AE274" s="110">
        <f>운전실적_원본!T274</f>
        <v>0</v>
      </c>
      <c r="AF274" s="110">
        <f>운전실적_원본!U274</f>
        <v>0</v>
      </c>
      <c r="AG274" s="110">
        <f>운전실적_원본!V274</f>
        <v>0</v>
      </c>
      <c r="AH274" s="109">
        <f t="shared" si="1453"/>
        <v>0</v>
      </c>
      <c r="AI274" s="110">
        <f t="shared" si="1460"/>
        <v>0</v>
      </c>
      <c r="AJ274" s="110">
        <f>운전실적_원본!Y274</f>
        <v>0</v>
      </c>
      <c r="AK274" s="110">
        <f>운전실적_원본!Z274</f>
        <v>0</v>
      </c>
      <c r="AL274" s="106"/>
      <c r="AM274" s="105"/>
      <c r="AN274" s="105"/>
      <c r="AO274" s="105"/>
      <c r="AP274" s="105"/>
      <c r="AQ274" s="108"/>
      <c r="AR274" s="105"/>
      <c r="AS274" s="105"/>
      <c r="AT274" s="102"/>
      <c r="AU274" s="102"/>
      <c r="AV274" s="102"/>
      <c r="AW274" s="102"/>
      <c r="AX274" s="32">
        <f>운전실적_원본!W274</f>
        <v>0</v>
      </c>
      <c r="AY274" s="11">
        <f>운전실적_원본!X274</f>
        <v>0</v>
      </c>
      <c r="AZ274" s="11">
        <f>운전실적_원본!Y274</f>
        <v>0</v>
      </c>
      <c r="BA274" s="11">
        <f>운전실적_원본!Z274</f>
        <v>0</v>
      </c>
      <c r="BB274" s="11">
        <f>운전실적_원본!AA274</f>
        <v>0</v>
      </c>
      <c r="BC274" s="11">
        <f>운전실적_원본!AB274</f>
        <v>0</v>
      </c>
      <c r="BD274" s="32" t="str">
        <f t="shared" si="1446"/>
        <v>-</v>
      </c>
      <c r="BE274" s="11" t="str">
        <f t="shared" si="1454"/>
        <v>-</v>
      </c>
      <c r="BF274" s="11">
        <f>운전실적_원본!AE274</f>
        <v>0</v>
      </c>
      <c r="BG274" s="31">
        <f t="shared" si="1447"/>
        <v>0</v>
      </c>
      <c r="BH274" s="241">
        <f>INDEX(연료전지_원본!$A$4:$KY$369,MATCH($A274,연료전지_원본!$A$4:$A$369,0),MATCH($BH$4,연료전지_원본!$A$4:$KY$4,0))</f>
        <v>0</v>
      </c>
      <c r="BI274" s="241">
        <f>INDEX(연료전지_원본!$A$4:$KY$369,MATCH($A274,연료전지_원본!$A$4:$A$369,0),MATCH($BI$4,연료전지_원본!$A$4:$KY$4,0))</f>
        <v>0</v>
      </c>
      <c r="BJ274" s="241">
        <f>INDEX(연료전지_원본!$A$4:$KY$369,MATCH($A274,연료전지_원본!$A$4:$A$369,0),MATCH($BJ$4,연료전지_원본!$A$4:$KY$4,0))</f>
        <v>0</v>
      </c>
      <c r="BK274" s="241">
        <f>INDEX(연료전지_원본!$A$4:$KY$369,MATCH($A274,연료전지_원본!$A$4:$A$369,0),MATCH($BK$4,연료전지_원본!$A$4:$KY$4,0))</f>
        <v>0</v>
      </c>
      <c r="BL274" s="241">
        <f>INDEX(연료전지_원본!$A$4:$KY$369,MATCH($A274,연료전지_원본!$A$4:$A$369,0),MATCH($BL$4,연료전지_원본!$A$4:$KY$4,0))</f>
        <v>0</v>
      </c>
      <c r="BM274" s="241">
        <f>INDEX(연료전지_원본!$A$4:$KY$369,MATCH($A274,연료전지_원본!$A$4:$A$369,0),MATCH($BM$4,연료전지_원본!$A$4:$KY$4,0))</f>
        <v>0</v>
      </c>
      <c r="BN274" s="241">
        <f>INDEX(연료전지_원본!$A$4:$KY$369,MATCH($A274,연료전지_원본!$A$4:$A$369,0),MATCH($BN$4,연료전지_원본!$A$4:$KY$4,0))</f>
        <v>0</v>
      </c>
      <c r="BO274" s="241">
        <f>INDEX(연료전지_원본!$A$4:$KY$369,MATCH($A274,연료전지_원본!$A$4:$A$369,0),MATCH($BO$4,연료전지_원본!$A$4:$KY$4,0))</f>
        <v>0</v>
      </c>
      <c r="BP274" s="241">
        <f>INDEX(연료전지_원본!$A$4:$KY$369,MATCH($A274,연료전지_원본!$A$4:$A$369,0),MATCH($BP$4,연료전지_원본!$A$4:$KY$4,0))</f>
        <v>0</v>
      </c>
      <c r="BQ274" s="241">
        <f>INDEX(연료전지_원본!$A$4:$KY$369,MATCH($A274,연료전지_원본!$A$4:$A$369,0),MATCH($BQ$4,연료전지_원본!$A$4:$KY$4,0))</f>
        <v>0</v>
      </c>
      <c r="BR274" s="241">
        <f>INDEX(연료전지_원본!$A$4:$KY$369,MATCH($A274,연료전지_원본!$A$4:$A$369,0),MATCH($BR$4,연료전지_원본!$A$4:$KY$4,0))</f>
        <v>0</v>
      </c>
      <c r="BS274" s="241">
        <f>INDEX(연료전지_원본!$A$4:$KY$369,MATCH($A274,연료전지_원본!$A$4:$A$369,0),MATCH($BS$4,연료전지_원본!$A$4:$KY$4,0))</f>
        <v>0</v>
      </c>
      <c r="BT274" s="241">
        <f>INDEX(연료전지_원본!$A$4:$KY$369,MATCH($A274,연료전지_원본!$A$4:$A$369,0),MATCH($BT$4,연료전지_원본!$A$4:$KY$4,0))</f>
        <v>0</v>
      </c>
      <c r="BU274" s="241">
        <f>INDEX(연료전지_원본!$A$4:$KY$369,MATCH($A274,연료전지_원본!$A$4:$A$369,0),MATCH($BU$4,연료전지_원본!$A$4:$KY$4,0))</f>
        <v>0</v>
      </c>
      <c r="BV274" s="241">
        <f>INDEX(연료전지_원본!$A$4:$KY$369,MATCH($A274,연료전지_원본!$A$4:$A$369,0),MATCH($BV$4,연료전지_원본!$A$4:$KY$4,0))</f>
        <v>0</v>
      </c>
      <c r="BW274" s="241">
        <f>INDEX(연료전지_원본!$A$4:$KY$369,MATCH($A274,연료전지_원본!$A$4:$A$369,0),MATCH($BW$4,연료전지_원본!$A$4:$KY$4,0))</f>
        <v>0</v>
      </c>
      <c r="BX274" s="241">
        <f>INDEX(연료전지_원본!$A$4:$KY$369,MATCH($A274,연료전지_원본!$A$4:$A$369,0),MATCH($BX$4,연료전지_원본!$A$4:$KY$4,0))</f>
        <v>0</v>
      </c>
      <c r="BY274" s="241">
        <f>INDEX(연료전지_원본!$A$4:$KY$369,MATCH($A274,연료전지_원본!$A$4:$A$369,0),MATCH($BY$4,연료전지_원본!$A$4:$KY$4,0))</f>
        <v>0</v>
      </c>
      <c r="BZ274" s="241">
        <f>INDEX(연료전지_원본!$A$4:$KY$369,MATCH($A274,연료전지_원본!$A$4:$A$369,0),MATCH($BZ$4,연료전지_원본!$A$4:$KY$4,0))</f>
        <v>0</v>
      </c>
      <c r="CA274" s="241">
        <f>INDEX(연료전지_원본!$A$4:$KY$369,MATCH($A274,연료전지_원본!$A$4:$A$369,0),MATCH($CA$4,연료전지_원본!$A$4:$KY$4,0))</f>
        <v>0</v>
      </c>
      <c r="CB274" s="241">
        <f>INDEX(연료전지_원본!$A$4:$KY$369,MATCH($A274,연료전지_원본!$A$4:$A$369,0),MATCH($CB$4,연료전지_원본!$A$4:$KY$4,0))</f>
        <v>0</v>
      </c>
      <c r="CC274" s="242">
        <f>INDEX(연료전지_원본!$A$4:$KY$369,MATCH($A274,연료전지_원본!$A$4:$A$369,0),MATCH($CC$4,연료전지_원본!$A$4:$KY$4,0))</f>
        <v>0</v>
      </c>
      <c r="CD274" s="250">
        <f>INDEX(연료전지_원본!$KB$4:$KX$369,MATCH($A274,연료전지_원본!$KB$4:$KB$369,0), MATCH(CD$4,연료전지_원본!$KB$4:$KX$4,0))*1000</f>
        <v>0</v>
      </c>
      <c r="CE274" s="250">
        <f>INDEX(연료전지_원본!$KB$4:$KX$369,MATCH($A274,연료전지_원본!$KB$4:$KB$369,0), MATCH(CE$4,연료전지_원본!$KB$4:$KX$4,0))*1000</f>
        <v>0</v>
      </c>
      <c r="CF274" s="250">
        <f>INDEX(연료전지_원본!$KB$4:$KX$369,MATCH($A274,연료전지_원본!$KB$4:$KB$369,0), MATCH(CF$4,연료전지_원본!$KB$4:$KX$4,0))*1000</f>
        <v>0</v>
      </c>
      <c r="CG274" s="250">
        <f>INDEX(연료전지_원본!$KB$4:$KX$369,MATCH($A274,연료전지_원본!$KB$4:$KB$369,0), MATCH(CG$4,연료전지_원본!$KB$4:$KX$4,0))*1000</f>
        <v>0</v>
      </c>
      <c r="CH274" s="250">
        <f>INDEX(연료전지_원본!$KB$4:$KX$369,MATCH($A274,연료전지_원본!$KB$4:$KB$369,0), MATCH(CH$4,연료전지_원본!$KB$4:$KX$4,0))*1000</f>
        <v>0</v>
      </c>
      <c r="CI274" s="250">
        <f>INDEX(연료전지_원본!$KB$4:$KX$369,MATCH($A274,연료전지_원본!$KB$4:$KB$369,0), MATCH(CI$4,연료전지_원본!$KB$4:$KX$4,0))*1000</f>
        <v>0</v>
      </c>
      <c r="CJ274" s="250">
        <f>INDEX(연료전지_원본!$KB$4:$KX$369,MATCH($A274,연료전지_원본!$KB$4:$KB$369,0), MATCH(CJ$4,연료전지_원본!$KB$4:$KX$4,0))*1000</f>
        <v>0</v>
      </c>
      <c r="CK274" s="250">
        <f>INDEX(연료전지_원본!$KB$4:$KX$369,MATCH($A274,연료전지_원본!$KB$4:$KB$369,0), MATCH(CK$4,연료전지_원본!$KB$4:$KX$4,0))*1000</f>
        <v>0</v>
      </c>
      <c r="CL274" s="250">
        <f>INDEX(연료전지_원본!$KB$4:$KX$369,MATCH($A274,연료전지_원본!$KB$4:$KB$369,0), MATCH(CL$4,연료전지_원본!$KB$4:$KX$4,0))*1000</f>
        <v>0</v>
      </c>
      <c r="CM274" s="250">
        <f>INDEX(연료전지_원본!$KB$4:$KX$369,MATCH($A274,연료전지_원본!$KB$4:$KB$369,0), MATCH(CM$4,연료전지_원본!$KB$4:$KX$4,0))*1000</f>
        <v>0</v>
      </c>
      <c r="CN274" s="250">
        <f>INDEX(연료전지_원본!$KB$4:$KX$369,MATCH($A274,연료전지_원본!$KB$4:$KB$369,0), MATCH(CN$4,연료전지_원본!$KB$4:$KX$4,0))*1000</f>
        <v>0</v>
      </c>
      <c r="CO274" s="250">
        <f>INDEX(연료전지_원본!$KB$4:$KX$369,MATCH($A274,연료전지_원본!$KB$4:$KB$369,0), MATCH(CO$4,연료전지_원본!$KB$4:$KX$4,0))*1000</f>
        <v>0</v>
      </c>
      <c r="CP274" s="250">
        <f>INDEX(연료전지_원본!$KB$4:$KX$369,MATCH($A274,연료전지_원본!$KB$4:$KB$369,0), MATCH(CP$4,연료전지_원본!$KB$4:$KX$4,0))*1000</f>
        <v>0</v>
      </c>
      <c r="CQ274" s="250">
        <f>INDEX(연료전지_원본!$KB$4:$KX$369,MATCH($A274,연료전지_원본!$KB$4:$KB$369,0), MATCH(CQ$4,연료전지_원본!$KB$4:$KX$4,0))*1000</f>
        <v>0</v>
      </c>
      <c r="CR274" s="250">
        <f>INDEX(연료전지_원본!$KB$4:$KX$369,MATCH($A274,연료전지_원본!$KB$4:$KB$369,0), MATCH(CR$4,연료전지_원본!$KB$4:$KX$4,0))*1000</f>
        <v>0</v>
      </c>
      <c r="CS274" s="250">
        <f>INDEX(연료전지_원본!$KB$4:$KX$369,MATCH($A274,연료전지_원본!$KB$4:$KB$369,0), MATCH(CS$4,연료전지_원본!$KB$4:$KX$4,0))*1000</f>
        <v>0</v>
      </c>
      <c r="CT274" s="250">
        <f>INDEX(연료전지_원본!$KB$4:$KX$369,MATCH($A274,연료전지_원본!$KB$4:$KB$369,0), MATCH(CT$4,연료전지_원본!$KB$4:$KX$4,0))*1000</f>
        <v>0</v>
      </c>
      <c r="CU274" s="250">
        <f>INDEX(연료전지_원본!$KB$4:$KX$369,MATCH($A274,연료전지_원본!$KB$4:$KB$369,0), MATCH(CU$4,연료전지_원본!$KB$4:$KX$4,0))*1000</f>
        <v>0</v>
      </c>
      <c r="CV274" s="250">
        <f>INDEX(연료전지_원본!$KB$4:$KX$369,MATCH($A274,연료전지_원본!$KB$4:$KB$369,0), MATCH(CV$4,연료전지_원본!$KB$4:$KX$4,0))*1000</f>
        <v>0</v>
      </c>
      <c r="CW274" s="250">
        <f>INDEX(연료전지_원본!$KB$4:$KX$369,MATCH($A274,연료전지_원본!$KB$4:$KB$369,0), MATCH(CW$4,연료전지_원본!$KB$4:$KX$4,0))*1000</f>
        <v>0</v>
      </c>
      <c r="CX274" s="250">
        <f>INDEX(연료전지_원본!$KB$4:$KX$369,MATCH($A274,연료전지_원본!$KB$4:$KB$369,0), MATCH(CX$4,연료전지_원본!$KB$4:$KX$4,0))*1000</f>
        <v>0</v>
      </c>
      <c r="CY274" s="250">
        <f>INDEX(연료전지_원본!$KB$4:$KX$369,MATCH($A274,연료전지_원본!$KB$4:$KB$369,0), MATCH(CY$4,연료전지_원본!$KB$4:$KX$4,0))*1000</f>
        <v>0</v>
      </c>
      <c r="DV274" s="30">
        <f t="shared" si="1285"/>
        <v>0</v>
      </c>
    </row>
    <row r="275" spans="1:126">
      <c r="A275" s="6">
        <v>46292</v>
      </c>
      <c r="B275" s="15">
        <f>운전실적_원본!B275</f>
        <v>0</v>
      </c>
      <c r="C275" s="16" t="str">
        <f t="shared" si="1291"/>
        <v/>
      </c>
      <c r="D275" s="12">
        <f>운전실적_원본!C275</f>
        <v>0</v>
      </c>
      <c r="E275" s="12" t="str">
        <f t="shared" si="1292"/>
        <v/>
      </c>
      <c r="F275" s="12">
        <f>운전실적_원본!D275</f>
        <v>0</v>
      </c>
      <c r="G275" s="16" t="str">
        <f t="shared" si="1293"/>
        <v/>
      </c>
      <c r="H275" s="15">
        <f>운전실적_원본!E275</f>
        <v>0</v>
      </c>
      <c r="I275" s="16" t="str">
        <f t="shared" si="1294"/>
        <v/>
      </c>
      <c r="J275" s="15">
        <f>운전실적_원본!F275</f>
        <v>0</v>
      </c>
      <c r="K275" s="16" t="str">
        <f t="shared" si="1294"/>
        <v/>
      </c>
      <c r="L275" s="32">
        <f>운전실적_원본!G275</f>
        <v>0</v>
      </c>
      <c r="M275" s="31" t="str">
        <f t="shared" ref="M275" si="1516">IF(OR(LEN(L275)=0,L275=0),"",L275-L274)</f>
        <v/>
      </c>
      <c r="N275" s="15">
        <f>운전실적_원본!H275</f>
        <v>0</v>
      </c>
      <c r="O275" s="16" t="str">
        <f t="shared" ref="O275" si="1517">IF(OR(LEN(N275)=0,N275=0),"",N275-N274)</f>
        <v/>
      </c>
      <c r="P275" s="15">
        <f>운전실적_원본!I275</f>
        <v>0</v>
      </c>
      <c r="Q275" s="16" t="str">
        <f t="shared" ref="Q275" si="1518">IF(OR(LEN(P275)=0,P275=0),"",P275-P274)</f>
        <v/>
      </c>
      <c r="R275" s="18">
        <f>운전실적_원본!J275</f>
        <v>0</v>
      </c>
      <c r="S275" s="19" t="str">
        <f t="shared" ref="S275" si="1519">IF(OR(LEN(R275)=0,R275=0),"",R275-R274)</f>
        <v/>
      </c>
      <c r="T275" s="18">
        <f>운전실적_원본!K275</f>
        <v>0</v>
      </c>
      <c r="U275" s="19" t="str">
        <f t="shared" si="1299"/>
        <v/>
      </c>
      <c r="V275" s="12">
        <f>운전실적_원본!L275</f>
        <v>0</v>
      </c>
      <c r="W275" s="16" t="str">
        <f t="shared" ref="W275" si="1520">IF(OR(LEN(V275)=0,V275=0),"",V275-V274)</f>
        <v/>
      </c>
      <c r="X275" s="10">
        <f>운전실적_원본!M275</f>
        <v>0</v>
      </c>
      <c r="Y275" s="10">
        <f>운전실적_원본!N275</f>
        <v>0</v>
      </c>
      <c r="Z275" s="10">
        <f>운전실적_원본!O275</f>
        <v>0</v>
      </c>
      <c r="AA275" s="10">
        <f>운전실적_원본!P275</f>
        <v>0</v>
      </c>
      <c r="AB275" s="10">
        <f>운전실적_원본!Q275</f>
        <v>0</v>
      </c>
      <c r="AC275" s="20">
        <f>운전실적_원본!R275</f>
        <v>0</v>
      </c>
      <c r="AD275" s="109">
        <f>운전실적_원본!S275</f>
        <v>0</v>
      </c>
      <c r="AE275" s="110">
        <f>운전실적_원본!T275</f>
        <v>0</v>
      </c>
      <c r="AF275" s="110">
        <f>운전실적_원본!U275</f>
        <v>0</v>
      </c>
      <c r="AG275" s="110">
        <f>운전실적_원본!V275</f>
        <v>0</v>
      </c>
      <c r="AH275" s="109">
        <f t="shared" si="1453"/>
        <v>0</v>
      </c>
      <c r="AI275" s="110">
        <f t="shared" si="1460"/>
        <v>0</v>
      </c>
      <c r="AJ275" s="110">
        <f>운전실적_원본!Y275</f>
        <v>0</v>
      </c>
      <c r="AK275" s="110">
        <f>운전실적_원본!Z275</f>
        <v>0</v>
      </c>
      <c r="AL275" s="106"/>
      <c r="AM275" s="105"/>
      <c r="AN275" s="105"/>
      <c r="AO275" s="105"/>
      <c r="AP275" s="105"/>
      <c r="AQ275" s="108"/>
      <c r="AR275" s="105"/>
      <c r="AS275" s="105"/>
      <c r="AT275" s="102"/>
      <c r="AU275" s="102"/>
      <c r="AV275" s="102"/>
      <c r="AW275" s="102"/>
      <c r="AX275" s="32">
        <f>운전실적_원본!W275</f>
        <v>0</v>
      </c>
      <c r="AY275" s="11">
        <f>운전실적_원본!X275</f>
        <v>0</v>
      </c>
      <c r="AZ275" s="11">
        <f>운전실적_원본!Y275</f>
        <v>0</v>
      </c>
      <c r="BA275" s="11">
        <f>운전실적_원본!Z275</f>
        <v>0</v>
      </c>
      <c r="BB275" s="11">
        <f>운전실적_원본!AA275</f>
        <v>0</v>
      </c>
      <c r="BC275" s="11">
        <f>운전실적_원본!AB275</f>
        <v>0</v>
      </c>
      <c r="BD275" s="32" t="str">
        <f t="shared" si="1446"/>
        <v>-</v>
      </c>
      <c r="BE275" s="11" t="str">
        <f t="shared" si="1454"/>
        <v>-</v>
      </c>
      <c r="BF275" s="11">
        <f>운전실적_원본!AE275</f>
        <v>0</v>
      </c>
      <c r="BG275" s="31">
        <f t="shared" si="1447"/>
        <v>0</v>
      </c>
      <c r="BH275" s="241">
        <f>INDEX(연료전지_원본!$A$4:$KY$369,MATCH($A275,연료전지_원본!$A$4:$A$369,0),MATCH($BH$4,연료전지_원본!$A$4:$KY$4,0))</f>
        <v>0</v>
      </c>
      <c r="BI275" s="241">
        <f>INDEX(연료전지_원본!$A$4:$KY$369,MATCH($A275,연료전지_원본!$A$4:$A$369,0),MATCH($BI$4,연료전지_원본!$A$4:$KY$4,0))</f>
        <v>0</v>
      </c>
      <c r="BJ275" s="241">
        <f>INDEX(연료전지_원본!$A$4:$KY$369,MATCH($A275,연료전지_원본!$A$4:$A$369,0),MATCH($BJ$4,연료전지_원본!$A$4:$KY$4,0))</f>
        <v>0</v>
      </c>
      <c r="BK275" s="241">
        <f>INDEX(연료전지_원본!$A$4:$KY$369,MATCH($A275,연료전지_원본!$A$4:$A$369,0),MATCH($BK$4,연료전지_원본!$A$4:$KY$4,0))</f>
        <v>0</v>
      </c>
      <c r="BL275" s="241">
        <f>INDEX(연료전지_원본!$A$4:$KY$369,MATCH($A275,연료전지_원본!$A$4:$A$369,0),MATCH($BL$4,연료전지_원본!$A$4:$KY$4,0))</f>
        <v>0</v>
      </c>
      <c r="BM275" s="241">
        <f>INDEX(연료전지_원본!$A$4:$KY$369,MATCH($A275,연료전지_원본!$A$4:$A$369,0),MATCH($BM$4,연료전지_원본!$A$4:$KY$4,0))</f>
        <v>0</v>
      </c>
      <c r="BN275" s="241">
        <f>INDEX(연료전지_원본!$A$4:$KY$369,MATCH($A275,연료전지_원본!$A$4:$A$369,0),MATCH($BN$4,연료전지_원본!$A$4:$KY$4,0))</f>
        <v>0</v>
      </c>
      <c r="BO275" s="241">
        <f>INDEX(연료전지_원본!$A$4:$KY$369,MATCH($A275,연료전지_원본!$A$4:$A$369,0),MATCH($BO$4,연료전지_원본!$A$4:$KY$4,0))</f>
        <v>0</v>
      </c>
      <c r="BP275" s="241">
        <f>INDEX(연료전지_원본!$A$4:$KY$369,MATCH($A275,연료전지_원본!$A$4:$A$369,0),MATCH($BP$4,연료전지_원본!$A$4:$KY$4,0))</f>
        <v>0</v>
      </c>
      <c r="BQ275" s="241">
        <f>INDEX(연료전지_원본!$A$4:$KY$369,MATCH($A275,연료전지_원본!$A$4:$A$369,0),MATCH($BQ$4,연료전지_원본!$A$4:$KY$4,0))</f>
        <v>0</v>
      </c>
      <c r="BR275" s="241">
        <f>INDEX(연료전지_원본!$A$4:$KY$369,MATCH($A275,연료전지_원본!$A$4:$A$369,0),MATCH($BR$4,연료전지_원본!$A$4:$KY$4,0))</f>
        <v>0</v>
      </c>
      <c r="BS275" s="241">
        <f>INDEX(연료전지_원본!$A$4:$KY$369,MATCH($A275,연료전지_원본!$A$4:$A$369,0),MATCH($BS$4,연료전지_원본!$A$4:$KY$4,0))</f>
        <v>0</v>
      </c>
      <c r="BT275" s="241">
        <f>INDEX(연료전지_원본!$A$4:$KY$369,MATCH($A275,연료전지_원본!$A$4:$A$369,0),MATCH($BT$4,연료전지_원본!$A$4:$KY$4,0))</f>
        <v>0</v>
      </c>
      <c r="BU275" s="241">
        <f>INDEX(연료전지_원본!$A$4:$KY$369,MATCH($A275,연료전지_원본!$A$4:$A$369,0),MATCH($BU$4,연료전지_원본!$A$4:$KY$4,0))</f>
        <v>0</v>
      </c>
      <c r="BV275" s="241">
        <f>INDEX(연료전지_원본!$A$4:$KY$369,MATCH($A275,연료전지_원본!$A$4:$A$369,0),MATCH($BV$4,연료전지_원본!$A$4:$KY$4,0))</f>
        <v>0</v>
      </c>
      <c r="BW275" s="241">
        <f>INDEX(연료전지_원본!$A$4:$KY$369,MATCH($A275,연료전지_원본!$A$4:$A$369,0),MATCH($BW$4,연료전지_원본!$A$4:$KY$4,0))</f>
        <v>0</v>
      </c>
      <c r="BX275" s="241">
        <f>INDEX(연료전지_원본!$A$4:$KY$369,MATCH($A275,연료전지_원본!$A$4:$A$369,0),MATCH($BX$4,연료전지_원본!$A$4:$KY$4,0))</f>
        <v>0</v>
      </c>
      <c r="BY275" s="241">
        <f>INDEX(연료전지_원본!$A$4:$KY$369,MATCH($A275,연료전지_원본!$A$4:$A$369,0),MATCH($BY$4,연료전지_원본!$A$4:$KY$4,0))</f>
        <v>0</v>
      </c>
      <c r="BZ275" s="241">
        <f>INDEX(연료전지_원본!$A$4:$KY$369,MATCH($A275,연료전지_원본!$A$4:$A$369,0),MATCH($BZ$4,연료전지_원본!$A$4:$KY$4,0))</f>
        <v>0</v>
      </c>
      <c r="CA275" s="241">
        <f>INDEX(연료전지_원본!$A$4:$KY$369,MATCH($A275,연료전지_원본!$A$4:$A$369,0),MATCH($CA$4,연료전지_원본!$A$4:$KY$4,0))</f>
        <v>0</v>
      </c>
      <c r="CB275" s="241">
        <f>INDEX(연료전지_원본!$A$4:$KY$369,MATCH($A275,연료전지_원본!$A$4:$A$369,0),MATCH($CB$4,연료전지_원본!$A$4:$KY$4,0))</f>
        <v>0</v>
      </c>
      <c r="CC275" s="242">
        <f>INDEX(연료전지_원본!$A$4:$KY$369,MATCH($A275,연료전지_원본!$A$4:$A$369,0),MATCH($CC$4,연료전지_원본!$A$4:$KY$4,0))</f>
        <v>0</v>
      </c>
      <c r="CD275" s="250">
        <f>INDEX(연료전지_원본!$KB$4:$KX$369,MATCH($A275,연료전지_원본!$KB$4:$KB$369,0), MATCH(CD$4,연료전지_원본!$KB$4:$KX$4,0))*1000</f>
        <v>0</v>
      </c>
      <c r="CE275" s="250">
        <f>INDEX(연료전지_원본!$KB$4:$KX$369,MATCH($A275,연료전지_원본!$KB$4:$KB$369,0), MATCH(CE$4,연료전지_원본!$KB$4:$KX$4,0))*1000</f>
        <v>0</v>
      </c>
      <c r="CF275" s="250">
        <f>INDEX(연료전지_원본!$KB$4:$KX$369,MATCH($A275,연료전지_원본!$KB$4:$KB$369,0), MATCH(CF$4,연료전지_원본!$KB$4:$KX$4,0))*1000</f>
        <v>0</v>
      </c>
      <c r="CG275" s="250">
        <f>INDEX(연료전지_원본!$KB$4:$KX$369,MATCH($A275,연료전지_원본!$KB$4:$KB$369,0), MATCH(CG$4,연료전지_원본!$KB$4:$KX$4,0))*1000</f>
        <v>0</v>
      </c>
      <c r="CH275" s="250">
        <f>INDEX(연료전지_원본!$KB$4:$KX$369,MATCH($A275,연료전지_원본!$KB$4:$KB$369,0), MATCH(CH$4,연료전지_원본!$KB$4:$KX$4,0))*1000</f>
        <v>0</v>
      </c>
      <c r="CI275" s="250">
        <f>INDEX(연료전지_원본!$KB$4:$KX$369,MATCH($A275,연료전지_원본!$KB$4:$KB$369,0), MATCH(CI$4,연료전지_원본!$KB$4:$KX$4,0))*1000</f>
        <v>0</v>
      </c>
      <c r="CJ275" s="250">
        <f>INDEX(연료전지_원본!$KB$4:$KX$369,MATCH($A275,연료전지_원본!$KB$4:$KB$369,0), MATCH(CJ$4,연료전지_원본!$KB$4:$KX$4,0))*1000</f>
        <v>0</v>
      </c>
      <c r="CK275" s="250">
        <f>INDEX(연료전지_원본!$KB$4:$KX$369,MATCH($A275,연료전지_원본!$KB$4:$KB$369,0), MATCH(CK$4,연료전지_원본!$KB$4:$KX$4,0))*1000</f>
        <v>0</v>
      </c>
      <c r="CL275" s="250">
        <f>INDEX(연료전지_원본!$KB$4:$KX$369,MATCH($A275,연료전지_원본!$KB$4:$KB$369,0), MATCH(CL$4,연료전지_원본!$KB$4:$KX$4,0))*1000</f>
        <v>0</v>
      </c>
      <c r="CM275" s="250">
        <f>INDEX(연료전지_원본!$KB$4:$KX$369,MATCH($A275,연료전지_원본!$KB$4:$KB$369,0), MATCH(CM$4,연료전지_원본!$KB$4:$KX$4,0))*1000</f>
        <v>0</v>
      </c>
      <c r="CN275" s="250">
        <f>INDEX(연료전지_원본!$KB$4:$KX$369,MATCH($A275,연료전지_원본!$KB$4:$KB$369,0), MATCH(CN$4,연료전지_원본!$KB$4:$KX$4,0))*1000</f>
        <v>0</v>
      </c>
      <c r="CO275" s="250">
        <f>INDEX(연료전지_원본!$KB$4:$KX$369,MATCH($A275,연료전지_원본!$KB$4:$KB$369,0), MATCH(CO$4,연료전지_원본!$KB$4:$KX$4,0))*1000</f>
        <v>0</v>
      </c>
      <c r="CP275" s="250">
        <f>INDEX(연료전지_원본!$KB$4:$KX$369,MATCH($A275,연료전지_원본!$KB$4:$KB$369,0), MATCH(CP$4,연료전지_원본!$KB$4:$KX$4,0))*1000</f>
        <v>0</v>
      </c>
      <c r="CQ275" s="250">
        <f>INDEX(연료전지_원본!$KB$4:$KX$369,MATCH($A275,연료전지_원본!$KB$4:$KB$369,0), MATCH(CQ$4,연료전지_원본!$KB$4:$KX$4,0))*1000</f>
        <v>0</v>
      </c>
      <c r="CR275" s="250">
        <f>INDEX(연료전지_원본!$KB$4:$KX$369,MATCH($A275,연료전지_원본!$KB$4:$KB$369,0), MATCH(CR$4,연료전지_원본!$KB$4:$KX$4,0))*1000</f>
        <v>0</v>
      </c>
      <c r="CS275" s="250">
        <f>INDEX(연료전지_원본!$KB$4:$KX$369,MATCH($A275,연료전지_원본!$KB$4:$KB$369,0), MATCH(CS$4,연료전지_원본!$KB$4:$KX$4,0))*1000</f>
        <v>0</v>
      </c>
      <c r="CT275" s="250">
        <f>INDEX(연료전지_원본!$KB$4:$KX$369,MATCH($A275,연료전지_원본!$KB$4:$KB$369,0), MATCH(CT$4,연료전지_원본!$KB$4:$KX$4,0))*1000</f>
        <v>0</v>
      </c>
      <c r="CU275" s="250">
        <f>INDEX(연료전지_원본!$KB$4:$KX$369,MATCH($A275,연료전지_원본!$KB$4:$KB$369,0), MATCH(CU$4,연료전지_원본!$KB$4:$KX$4,0))*1000</f>
        <v>0</v>
      </c>
      <c r="CV275" s="250">
        <f>INDEX(연료전지_원본!$KB$4:$KX$369,MATCH($A275,연료전지_원본!$KB$4:$KB$369,0), MATCH(CV$4,연료전지_원본!$KB$4:$KX$4,0))*1000</f>
        <v>0</v>
      </c>
      <c r="CW275" s="250">
        <f>INDEX(연료전지_원본!$KB$4:$KX$369,MATCH($A275,연료전지_원본!$KB$4:$KB$369,0), MATCH(CW$4,연료전지_원본!$KB$4:$KX$4,0))*1000</f>
        <v>0</v>
      </c>
      <c r="CX275" s="250">
        <f>INDEX(연료전지_원본!$KB$4:$KX$369,MATCH($A275,연료전지_원본!$KB$4:$KB$369,0), MATCH(CX$4,연료전지_원본!$KB$4:$KX$4,0))*1000</f>
        <v>0</v>
      </c>
      <c r="CY275" s="250">
        <f>INDEX(연료전지_원본!$KB$4:$KX$369,MATCH($A275,연료전지_원본!$KB$4:$KB$369,0), MATCH(CY$4,연료전지_원본!$KB$4:$KX$4,0))*1000</f>
        <v>0</v>
      </c>
      <c r="DV275" s="30">
        <f t="shared" si="1285"/>
        <v>0</v>
      </c>
    </row>
    <row r="276" spans="1:126">
      <c r="A276" s="6">
        <v>46293</v>
      </c>
      <c r="B276" s="15">
        <f>운전실적_원본!B276</f>
        <v>0</v>
      </c>
      <c r="C276" s="16" t="str">
        <f t="shared" si="1291"/>
        <v/>
      </c>
      <c r="D276" s="12">
        <f>운전실적_원본!C276</f>
        <v>0</v>
      </c>
      <c r="E276" s="12" t="str">
        <f t="shared" si="1292"/>
        <v/>
      </c>
      <c r="F276" s="12">
        <f>운전실적_원본!D276</f>
        <v>0</v>
      </c>
      <c r="G276" s="16" t="str">
        <f t="shared" si="1293"/>
        <v/>
      </c>
      <c r="H276" s="15">
        <f>운전실적_원본!E276</f>
        <v>0</v>
      </c>
      <c r="I276" s="16" t="str">
        <f t="shared" si="1294"/>
        <v/>
      </c>
      <c r="J276" s="15">
        <f>운전실적_원본!F276</f>
        <v>0</v>
      </c>
      <c r="K276" s="16" t="str">
        <f t="shared" si="1294"/>
        <v/>
      </c>
      <c r="L276" s="32">
        <f>운전실적_원본!G276</f>
        <v>0</v>
      </c>
      <c r="M276" s="31" t="str">
        <f t="shared" ref="M276" si="1521">IF(OR(LEN(L276)=0,L276=0),"",L276-L275)</f>
        <v/>
      </c>
      <c r="N276" s="15">
        <f>운전실적_원본!H276</f>
        <v>0</v>
      </c>
      <c r="O276" s="16" t="str">
        <f t="shared" ref="O276" si="1522">IF(OR(LEN(N276)=0,N276=0),"",N276-N275)</f>
        <v/>
      </c>
      <c r="P276" s="15">
        <f>운전실적_원본!I276</f>
        <v>0</v>
      </c>
      <c r="Q276" s="16" t="str">
        <f t="shared" ref="Q276" si="1523">IF(OR(LEN(P276)=0,P276=0),"",P276-P275)</f>
        <v/>
      </c>
      <c r="R276" s="18">
        <f>운전실적_원본!J276</f>
        <v>0</v>
      </c>
      <c r="S276" s="19" t="str">
        <f t="shared" ref="S276" si="1524">IF(OR(LEN(R276)=0,R276=0),"",R276-R275)</f>
        <v/>
      </c>
      <c r="T276" s="18">
        <f>운전실적_원본!K276</f>
        <v>0</v>
      </c>
      <c r="U276" s="19" t="str">
        <f t="shared" si="1299"/>
        <v/>
      </c>
      <c r="V276" s="12">
        <f>운전실적_원본!L276</f>
        <v>0</v>
      </c>
      <c r="W276" s="16" t="str">
        <f t="shared" ref="W276" si="1525">IF(OR(LEN(V276)=0,V276=0),"",V276-V275)</f>
        <v/>
      </c>
      <c r="X276" s="10">
        <f>운전실적_원본!M276</f>
        <v>0</v>
      </c>
      <c r="Y276" s="10">
        <f>운전실적_원본!N276</f>
        <v>0</v>
      </c>
      <c r="Z276" s="10">
        <f>운전실적_원본!O276</f>
        <v>0</v>
      </c>
      <c r="AA276" s="10">
        <f>운전실적_원본!P276</f>
        <v>0</v>
      </c>
      <c r="AB276" s="10">
        <f>운전실적_원본!Q276</f>
        <v>0</v>
      </c>
      <c r="AC276" s="20">
        <f>운전실적_원본!R276</f>
        <v>0</v>
      </c>
      <c r="AD276" s="109">
        <f>운전실적_원본!S276</f>
        <v>0</v>
      </c>
      <c r="AE276" s="110">
        <f>운전실적_원본!T276</f>
        <v>0</v>
      </c>
      <c r="AF276" s="110">
        <f>운전실적_원본!U276</f>
        <v>0</v>
      </c>
      <c r="AG276" s="110">
        <f>운전실적_원본!V276</f>
        <v>0</v>
      </c>
      <c r="AH276" s="109">
        <f t="shared" si="1453"/>
        <v>0</v>
      </c>
      <c r="AI276" s="110">
        <f t="shared" si="1460"/>
        <v>0</v>
      </c>
      <c r="AJ276" s="110">
        <f>운전실적_원본!Y276</f>
        <v>0</v>
      </c>
      <c r="AK276" s="110">
        <f>운전실적_원본!Z276</f>
        <v>0</v>
      </c>
      <c r="AL276" s="106"/>
      <c r="AM276" s="105"/>
      <c r="AN276" s="105"/>
      <c r="AO276" s="105"/>
      <c r="AP276" s="105"/>
      <c r="AQ276" s="108"/>
      <c r="AR276" s="105"/>
      <c r="AS276" s="105"/>
      <c r="AT276" s="102"/>
      <c r="AU276" s="102"/>
      <c r="AV276" s="102"/>
      <c r="AW276" s="102"/>
      <c r="AX276" s="32">
        <f>운전실적_원본!W276</f>
        <v>0</v>
      </c>
      <c r="AY276" s="11">
        <f>운전실적_원본!X276</f>
        <v>0</v>
      </c>
      <c r="AZ276" s="11">
        <f>운전실적_원본!Y276</f>
        <v>0</v>
      </c>
      <c r="BA276" s="11">
        <f>운전실적_원본!Z276</f>
        <v>0</v>
      </c>
      <c r="BB276" s="11">
        <f>운전실적_원본!AA276</f>
        <v>0</v>
      </c>
      <c r="BC276" s="11">
        <f>운전실적_원본!AB276</f>
        <v>0</v>
      </c>
      <c r="BD276" s="32" t="str">
        <f t="shared" si="1446"/>
        <v>-</v>
      </c>
      <c r="BE276" s="11" t="str">
        <f t="shared" si="1454"/>
        <v>-</v>
      </c>
      <c r="BF276" s="11">
        <f>운전실적_원본!AE276</f>
        <v>0</v>
      </c>
      <c r="BG276" s="31">
        <f t="shared" si="1447"/>
        <v>0</v>
      </c>
      <c r="BH276" s="241">
        <f>INDEX(연료전지_원본!$A$4:$KY$369,MATCH($A276,연료전지_원본!$A$4:$A$369,0),MATCH($BH$4,연료전지_원본!$A$4:$KY$4,0))</f>
        <v>0</v>
      </c>
      <c r="BI276" s="241">
        <f>INDEX(연료전지_원본!$A$4:$KY$369,MATCH($A276,연료전지_원본!$A$4:$A$369,0),MATCH($BI$4,연료전지_원본!$A$4:$KY$4,0))</f>
        <v>0</v>
      </c>
      <c r="BJ276" s="241">
        <f>INDEX(연료전지_원본!$A$4:$KY$369,MATCH($A276,연료전지_원본!$A$4:$A$369,0),MATCH($BJ$4,연료전지_원본!$A$4:$KY$4,0))</f>
        <v>0</v>
      </c>
      <c r="BK276" s="241">
        <f>INDEX(연료전지_원본!$A$4:$KY$369,MATCH($A276,연료전지_원본!$A$4:$A$369,0),MATCH($BK$4,연료전지_원본!$A$4:$KY$4,0))</f>
        <v>0</v>
      </c>
      <c r="BL276" s="241">
        <f>INDEX(연료전지_원본!$A$4:$KY$369,MATCH($A276,연료전지_원본!$A$4:$A$369,0),MATCH($BL$4,연료전지_원본!$A$4:$KY$4,0))</f>
        <v>0</v>
      </c>
      <c r="BM276" s="241">
        <f>INDEX(연료전지_원본!$A$4:$KY$369,MATCH($A276,연료전지_원본!$A$4:$A$369,0),MATCH($BM$4,연료전지_원본!$A$4:$KY$4,0))</f>
        <v>0</v>
      </c>
      <c r="BN276" s="241">
        <f>INDEX(연료전지_원본!$A$4:$KY$369,MATCH($A276,연료전지_원본!$A$4:$A$369,0),MATCH($BN$4,연료전지_원본!$A$4:$KY$4,0))</f>
        <v>0</v>
      </c>
      <c r="BO276" s="241">
        <f>INDEX(연료전지_원본!$A$4:$KY$369,MATCH($A276,연료전지_원본!$A$4:$A$369,0),MATCH($BO$4,연료전지_원본!$A$4:$KY$4,0))</f>
        <v>0</v>
      </c>
      <c r="BP276" s="241">
        <f>INDEX(연료전지_원본!$A$4:$KY$369,MATCH($A276,연료전지_원본!$A$4:$A$369,0),MATCH($BP$4,연료전지_원본!$A$4:$KY$4,0))</f>
        <v>0</v>
      </c>
      <c r="BQ276" s="241">
        <f>INDEX(연료전지_원본!$A$4:$KY$369,MATCH($A276,연료전지_원본!$A$4:$A$369,0),MATCH($BQ$4,연료전지_원본!$A$4:$KY$4,0))</f>
        <v>0</v>
      </c>
      <c r="BR276" s="241">
        <f>INDEX(연료전지_원본!$A$4:$KY$369,MATCH($A276,연료전지_원본!$A$4:$A$369,0),MATCH($BR$4,연료전지_원본!$A$4:$KY$4,0))</f>
        <v>0</v>
      </c>
      <c r="BS276" s="241">
        <f>INDEX(연료전지_원본!$A$4:$KY$369,MATCH($A276,연료전지_원본!$A$4:$A$369,0),MATCH($BS$4,연료전지_원본!$A$4:$KY$4,0))</f>
        <v>0</v>
      </c>
      <c r="BT276" s="241">
        <f>INDEX(연료전지_원본!$A$4:$KY$369,MATCH($A276,연료전지_원본!$A$4:$A$369,0),MATCH($BT$4,연료전지_원본!$A$4:$KY$4,0))</f>
        <v>0</v>
      </c>
      <c r="BU276" s="241">
        <f>INDEX(연료전지_원본!$A$4:$KY$369,MATCH($A276,연료전지_원본!$A$4:$A$369,0),MATCH($BU$4,연료전지_원본!$A$4:$KY$4,0))</f>
        <v>0</v>
      </c>
      <c r="BV276" s="241">
        <f>INDEX(연료전지_원본!$A$4:$KY$369,MATCH($A276,연료전지_원본!$A$4:$A$369,0),MATCH($BV$4,연료전지_원본!$A$4:$KY$4,0))</f>
        <v>0</v>
      </c>
      <c r="BW276" s="241">
        <f>INDEX(연료전지_원본!$A$4:$KY$369,MATCH($A276,연료전지_원본!$A$4:$A$369,0),MATCH($BW$4,연료전지_원본!$A$4:$KY$4,0))</f>
        <v>0</v>
      </c>
      <c r="BX276" s="241">
        <f>INDEX(연료전지_원본!$A$4:$KY$369,MATCH($A276,연료전지_원본!$A$4:$A$369,0),MATCH($BX$4,연료전지_원본!$A$4:$KY$4,0))</f>
        <v>0</v>
      </c>
      <c r="BY276" s="241">
        <f>INDEX(연료전지_원본!$A$4:$KY$369,MATCH($A276,연료전지_원본!$A$4:$A$369,0),MATCH($BY$4,연료전지_원본!$A$4:$KY$4,0))</f>
        <v>0</v>
      </c>
      <c r="BZ276" s="241">
        <f>INDEX(연료전지_원본!$A$4:$KY$369,MATCH($A276,연료전지_원본!$A$4:$A$369,0),MATCH($BZ$4,연료전지_원본!$A$4:$KY$4,0))</f>
        <v>0</v>
      </c>
      <c r="CA276" s="241">
        <f>INDEX(연료전지_원본!$A$4:$KY$369,MATCH($A276,연료전지_원본!$A$4:$A$369,0),MATCH($CA$4,연료전지_원본!$A$4:$KY$4,0))</f>
        <v>0</v>
      </c>
      <c r="CB276" s="241">
        <f>INDEX(연료전지_원본!$A$4:$KY$369,MATCH($A276,연료전지_원본!$A$4:$A$369,0),MATCH($CB$4,연료전지_원본!$A$4:$KY$4,0))</f>
        <v>0</v>
      </c>
      <c r="CC276" s="242">
        <f>INDEX(연료전지_원본!$A$4:$KY$369,MATCH($A276,연료전지_원본!$A$4:$A$369,0),MATCH($CC$4,연료전지_원본!$A$4:$KY$4,0))</f>
        <v>0</v>
      </c>
      <c r="CD276" s="250">
        <f>INDEX(연료전지_원본!$KB$4:$KX$369,MATCH($A276,연료전지_원본!$KB$4:$KB$369,0), MATCH(CD$4,연료전지_원본!$KB$4:$KX$4,0))*1000</f>
        <v>0</v>
      </c>
      <c r="CE276" s="250">
        <f>INDEX(연료전지_원본!$KB$4:$KX$369,MATCH($A276,연료전지_원본!$KB$4:$KB$369,0), MATCH(CE$4,연료전지_원본!$KB$4:$KX$4,0))*1000</f>
        <v>0</v>
      </c>
      <c r="CF276" s="250">
        <f>INDEX(연료전지_원본!$KB$4:$KX$369,MATCH($A276,연료전지_원본!$KB$4:$KB$369,0), MATCH(CF$4,연료전지_원본!$KB$4:$KX$4,0))*1000</f>
        <v>0</v>
      </c>
      <c r="CG276" s="250">
        <f>INDEX(연료전지_원본!$KB$4:$KX$369,MATCH($A276,연료전지_원본!$KB$4:$KB$369,0), MATCH(CG$4,연료전지_원본!$KB$4:$KX$4,0))*1000</f>
        <v>0</v>
      </c>
      <c r="CH276" s="250">
        <f>INDEX(연료전지_원본!$KB$4:$KX$369,MATCH($A276,연료전지_원본!$KB$4:$KB$369,0), MATCH(CH$4,연료전지_원본!$KB$4:$KX$4,0))*1000</f>
        <v>0</v>
      </c>
      <c r="CI276" s="250">
        <f>INDEX(연료전지_원본!$KB$4:$KX$369,MATCH($A276,연료전지_원본!$KB$4:$KB$369,0), MATCH(CI$4,연료전지_원본!$KB$4:$KX$4,0))*1000</f>
        <v>0</v>
      </c>
      <c r="CJ276" s="250">
        <f>INDEX(연료전지_원본!$KB$4:$KX$369,MATCH($A276,연료전지_원본!$KB$4:$KB$369,0), MATCH(CJ$4,연료전지_원본!$KB$4:$KX$4,0))*1000</f>
        <v>0</v>
      </c>
      <c r="CK276" s="250">
        <f>INDEX(연료전지_원본!$KB$4:$KX$369,MATCH($A276,연료전지_원본!$KB$4:$KB$369,0), MATCH(CK$4,연료전지_원본!$KB$4:$KX$4,0))*1000</f>
        <v>0</v>
      </c>
      <c r="CL276" s="250">
        <f>INDEX(연료전지_원본!$KB$4:$KX$369,MATCH($A276,연료전지_원본!$KB$4:$KB$369,0), MATCH(CL$4,연료전지_원본!$KB$4:$KX$4,0))*1000</f>
        <v>0</v>
      </c>
      <c r="CM276" s="250">
        <f>INDEX(연료전지_원본!$KB$4:$KX$369,MATCH($A276,연료전지_원본!$KB$4:$KB$369,0), MATCH(CM$4,연료전지_원본!$KB$4:$KX$4,0))*1000</f>
        <v>0</v>
      </c>
      <c r="CN276" s="250">
        <f>INDEX(연료전지_원본!$KB$4:$KX$369,MATCH($A276,연료전지_원본!$KB$4:$KB$369,0), MATCH(CN$4,연료전지_원본!$KB$4:$KX$4,0))*1000</f>
        <v>0</v>
      </c>
      <c r="CO276" s="250">
        <f>INDEX(연료전지_원본!$KB$4:$KX$369,MATCH($A276,연료전지_원본!$KB$4:$KB$369,0), MATCH(CO$4,연료전지_원본!$KB$4:$KX$4,0))*1000</f>
        <v>0</v>
      </c>
      <c r="CP276" s="250">
        <f>INDEX(연료전지_원본!$KB$4:$KX$369,MATCH($A276,연료전지_원본!$KB$4:$KB$369,0), MATCH(CP$4,연료전지_원본!$KB$4:$KX$4,0))*1000</f>
        <v>0</v>
      </c>
      <c r="CQ276" s="250">
        <f>INDEX(연료전지_원본!$KB$4:$KX$369,MATCH($A276,연료전지_원본!$KB$4:$KB$369,0), MATCH(CQ$4,연료전지_원본!$KB$4:$KX$4,0))*1000</f>
        <v>0</v>
      </c>
      <c r="CR276" s="250">
        <f>INDEX(연료전지_원본!$KB$4:$KX$369,MATCH($A276,연료전지_원본!$KB$4:$KB$369,0), MATCH(CR$4,연료전지_원본!$KB$4:$KX$4,0))*1000</f>
        <v>0</v>
      </c>
      <c r="CS276" s="250">
        <f>INDEX(연료전지_원본!$KB$4:$KX$369,MATCH($A276,연료전지_원본!$KB$4:$KB$369,0), MATCH(CS$4,연료전지_원본!$KB$4:$KX$4,0))*1000</f>
        <v>0</v>
      </c>
      <c r="CT276" s="250">
        <f>INDEX(연료전지_원본!$KB$4:$KX$369,MATCH($A276,연료전지_원본!$KB$4:$KB$369,0), MATCH(CT$4,연료전지_원본!$KB$4:$KX$4,0))*1000</f>
        <v>0</v>
      </c>
      <c r="CU276" s="250">
        <f>INDEX(연료전지_원본!$KB$4:$KX$369,MATCH($A276,연료전지_원본!$KB$4:$KB$369,0), MATCH(CU$4,연료전지_원본!$KB$4:$KX$4,0))*1000</f>
        <v>0</v>
      </c>
      <c r="CV276" s="250">
        <f>INDEX(연료전지_원본!$KB$4:$KX$369,MATCH($A276,연료전지_원본!$KB$4:$KB$369,0), MATCH(CV$4,연료전지_원본!$KB$4:$KX$4,0))*1000</f>
        <v>0</v>
      </c>
      <c r="CW276" s="250">
        <f>INDEX(연료전지_원본!$KB$4:$KX$369,MATCH($A276,연료전지_원본!$KB$4:$KB$369,0), MATCH(CW$4,연료전지_원본!$KB$4:$KX$4,0))*1000</f>
        <v>0</v>
      </c>
      <c r="CX276" s="250">
        <f>INDEX(연료전지_원본!$KB$4:$KX$369,MATCH($A276,연료전지_원본!$KB$4:$KB$369,0), MATCH(CX$4,연료전지_원본!$KB$4:$KX$4,0))*1000</f>
        <v>0</v>
      </c>
      <c r="CY276" s="250">
        <f>INDEX(연료전지_원본!$KB$4:$KX$369,MATCH($A276,연료전지_원본!$KB$4:$KB$369,0), MATCH(CY$4,연료전지_원본!$KB$4:$KX$4,0))*1000</f>
        <v>0</v>
      </c>
      <c r="DV276" s="30">
        <f t="shared" si="1285"/>
        <v>0</v>
      </c>
    </row>
    <row r="277" spans="1:126">
      <c r="A277" s="6">
        <v>46294</v>
      </c>
      <c r="B277" s="15">
        <f>운전실적_원본!B277</f>
        <v>0</v>
      </c>
      <c r="C277" s="16" t="str">
        <f t="shared" si="1291"/>
        <v/>
      </c>
      <c r="D277" s="12">
        <f>운전실적_원본!C277</f>
        <v>0</v>
      </c>
      <c r="E277" s="12" t="str">
        <f t="shared" si="1292"/>
        <v/>
      </c>
      <c r="F277" s="12">
        <f>운전실적_원본!D277</f>
        <v>0</v>
      </c>
      <c r="G277" s="16" t="str">
        <f t="shared" si="1293"/>
        <v/>
      </c>
      <c r="H277" s="15">
        <f>운전실적_원본!E277</f>
        <v>0</v>
      </c>
      <c r="I277" s="16" t="str">
        <f t="shared" si="1294"/>
        <v/>
      </c>
      <c r="J277" s="15">
        <f>운전실적_원본!F277</f>
        <v>0</v>
      </c>
      <c r="K277" s="16" t="str">
        <f t="shared" si="1294"/>
        <v/>
      </c>
      <c r="L277" s="32">
        <f>운전실적_원본!G277</f>
        <v>0</v>
      </c>
      <c r="M277" s="31" t="str">
        <f t="shared" ref="M277" si="1526">IF(OR(LEN(L277)=0,L277=0),"",L277-L276)</f>
        <v/>
      </c>
      <c r="N277" s="15">
        <f>운전실적_원본!H277</f>
        <v>0</v>
      </c>
      <c r="O277" s="16" t="str">
        <f t="shared" ref="O277" si="1527">IF(OR(LEN(N277)=0,N277=0),"",N277-N276)</f>
        <v/>
      </c>
      <c r="P277" s="15">
        <f>운전실적_원본!I277</f>
        <v>0</v>
      </c>
      <c r="Q277" s="16" t="str">
        <f t="shared" ref="Q277" si="1528">IF(OR(LEN(P277)=0,P277=0),"",P277-P276)</f>
        <v/>
      </c>
      <c r="R277" s="18">
        <f>운전실적_원본!J277</f>
        <v>0</v>
      </c>
      <c r="S277" s="19" t="str">
        <f t="shared" ref="S277" si="1529">IF(OR(LEN(R277)=0,R277=0),"",R277-R276)</f>
        <v/>
      </c>
      <c r="T277" s="18">
        <f>운전실적_원본!K277</f>
        <v>0</v>
      </c>
      <c r="U277" s="19" t="str">
        <f t="shared" si="1299"/>
        <v/>
      </c>
      <c r="V277" s="12">
        <f>운전실적_원본!L277</f>
        <v>0</v>
      </c>
      <c r="W277" s="16" t="str">
        <f t="shared" ref="W277" si="1530">IF(OR(LEN(V277)=0,V277=0),"",V277-V276)</f>
        <v/>
      </c>
      <c r="X277" s="10">
        <f>운전실적_원본!M277</f>
        <v>0</v>
      </c>
      <c r="Y277" s="10">
        <f>운전실적_원본!N277</f>
        <v>0</v>
      </c>
      <c r="Z277" s="10">
        <f>운전실적_원본!O277</f>
        <v>0</v>
      </c>
      <c r="AA277" s="10">
        <f>운전실적_원본!P277</f>
        <v>0</v>
      </c>
      <c r="AB277" s="10">
        <f>운전실적_원본!Q277</f>
        <v>0</v>
      </c>
      <c r="AC277" s="20">
        <f>운전실적_원본!R277</f>
        <v>0</v>
      </c>
      <c r="AD277" s="109">
        <f>운전실적_원본!S277</f>
        <v>0</v>
      </c>
      <c r="AE277" s="110">
        <f>운전실적_원본!T277</f>
        <v>0</v>
      </c>
      <c r="AF277" s="110">
        <f>운전실적_원본!U277</f>
        <v>0</v>
      </c>
      <c r="AG277" s="110">
        <f>운전실적_원본!V277</f>
        <v>0</v>
      </c>
      <c r="AH277" s="109">
        <f t="shared" si="1453"/>
        <v>0</v>
      </c>
      <c r="AI277" s="110">
        <f t="shared" si="1460"/>
        <v>0</v>
      </c>
      <c r="AJ277" s="110">
        <f>운전실적_원본!Y277</f>
        <v>0</v>
      </c>
      <c r="AK277" s="110">
        <f>운전실적_원본!Z277</f>
        <v>0</v>
      </c>
      <c r="AL277" s="106"/>
      <c r="AM277" s="105"/>
      <c r="AN277" s="105"/>
      <c r="AO277" s="105"/>
      <c r="AP277" s="105"/>
      <c r="AQ277" s="108"/>
      <c r="AR277" s="105"/>
      <c r="AS277" s="105"/>
      <c r="AT277" s="102"/>
      <c r="AU277" s="102"/>
      <c r="AV277" s="102"/>
      <c r="AW277" s="102"/>
      <c r="AX277" s="32">
        <f>운전실적_원본!W277</f>
        <v>0</v>
      </c>
      <c r="AY277" s="11">
        <f>운전실적_원본!X277</f>
        <v>0</v>
      </c>
      <c r="AZ277" s="11">
        <f>운전실적_원본!Y277</f>
        <v>0</v>
      </c>
      <c r="BA277" s="11">
        <f>운전실적_원본!Z277</f>
        <v>0</v>
      </c>
      <c r="BB277" s="11">
        <f>운전실적_원본!AA277</f>
        <v>0</v>
      </c>
      <c r="BC277" s="11">
        <f>운전실적_원본!AB277</f>
        <v>0</v>
      </c>
      <c r="BD277" s="32" t="str">
        <f t="shared" si="1446"/>
        <v>-</v>
      </c>
      <c r="BE277" s="11" t="str">
        <f t="shared" si="1454"/>
        <v>-</v>
      </c>
      <c r="BF277" s="11">
        <f>운전실적_원본!AE277</f>
        <v>0</v>
      </c>
      <c r="BG277" s="31">
        <f t="shared" si="1447"/>
        <v>0</v>
      </c>
      <c r="BH277" s="241">
        <f>INDEX(연료전지_원본!$A$4:$KY$369,MATCH($A277,연료전지_원본!$A$4:$A$369,0),MATCH($BH$4,연료전지_원본!$A$4:$KY$4,0))</f>
        <v>0</v>
      </c>
      <c r="BI277" s="241">
        <f>INDEX(연료전지_원본!$A$4:$KY$369,MATCH($A277,연료전지_원본!$A$4:$A$369,0),MATCH($BI$4,연료전지_원본!$A$4:$KY$4,0))</f>
        <v>0</v>
      </c>
      <c r="BJ277" s="241">
        <f>INDEX(연료전지_원본!$A$4:$KY$369,MATCH($A277,연료전지_원본!$A$4:$A$369,0),MATCH($BJ$4,연료전지_원본!$A$4:$KY$4,0))</f>
        <v>0</v>
      </c>
      <c r="BK277" s="241">
        <f>INDEX(연료전지_원본!$A$4:$KY$369,MATCH($A277,연료전지_원본!$A$4:$A$369,0),MATCH($BK$4,연료전지_원본!$A$4:$KY$4,0))</f>
        <v>0</v>
      </c>
      <c r="BL277" s="241">
        <f>INDEX(연료전지_원본!$A$4:$KY$369,MATCH($A277,연료전지_원본!$A$4:$A$369,0),MATCH($BL$4,연료전지_원본!$A$4:$KY$4,0))</f>
        <v>0</v>
      </c>
      <c r="BM277" s="241">
        <f>INDEX(연료전지_원본!$A$4:$KY$369,MATCH($A277,연료전지_원본!$A$4:$A$369,0),MATCH($BM$4,연료전지_원본!$A$4:$KY$4,0))</f>
        <v>0</v>
      </c>
      <c r="BN277" s="241">
        <f>INDEX(연료전지_원본!$A$4:$KY$369,MATCH($A277,연료전지_원본!$A$4:$A$369,0),MATCH($BN$4,연료전지_원본!$A$4:$KY$4,0))</f>
        <v>0</v>
      </c>
      <c r="BO277" s="241">
        <f>INDEX(연료전지_원본!$A$4:$KY$369,MATCH($A277,연료전지_원본!$A$4:$A$369,0),MATCH($BO$4,연료전지_원본!$A$4:$KY$4,0))</f>
        <v>0</v>
      </c>
      <c r="BP277" s="241">
        <f>INDEX(연료전지_원본!$A$4:$KY$369,MATCH($A277,연료전지_원본!$A$4:$A$369,0),MATCH($BP$4,연료전지_원본!$A$4:$KY$4,0))</f>
        <v>0</v>
      </c>
      <c r="BQ277" s="241">
        <f>INDEX(연료전지_원본!$A$4:$KY$369,MATCH($A277,연료전지_원본!$A$4:$A$369,0),MATCH($BQ$4,연료전지_원본!$A$4:$KY$4,0))</f>
        <v>0</v>
      </c>
      <c r="BR277" s="241">
        <f>INDEX(연료전지_원본!$A$4:$KY$369,MATCH($A277,연료전지_원본!$A$4:$A$369,0),MATCH($BR$4,연료전지_원본!$A$4:$KY$4,0))</f>
        <v>0</v>
      </c>
      <c r="BS277" s="241">
        <f>INDEX(연료전지_원본!$A$4:$KY$369,MATCH($A277,연료전지_원본!$A$4:$A$369,0),MATCH($BS$4,연료전지_원본!$A$4:$KY$4,0))</f>
        <v>0</v>
      </c>
      <c r="BT277" s="241">
        <f>INDEX(연료전지_원본!$A$4:$KY$369,MATCH($A277,연료전지_원본!$A$4:$A$369,0),MATCH($BT$4,연료전지_원본!$A$4:$KY$4,0))</f>
        <v>0</v>
      </c>
      <c r="BU277" s="241">
        <f>INDEX(연료전지_원본!$A$4:$KY$369,MATCH($A277,연료전지_원본!$A$4:$A$369,0),MATCH($BU$4,연료전지_원본!$A$4:$KY$4,0))</f>
        <v>0</v>
      </c>
      <c r="BV277" s="241">
        <f>INDEX(연료전지_원본!$A$4:$KY$369,MATCH($A277,연료전지_원본!$A$4:$A$369,0),MATCH($BV$4,연료전지_원본!$A$4:$KY$4,0))</f>
        <v>0</v>
      </c>
      <c r="BW277" s="241">
        <f>INDEX(연료전지_원본!$A$4:$KY$369,MATCH($A277,연료전지_원본!$A$4:$A$369,0),MATCH($BW$4,연료전지_원본!$A$4:$KY$4,0))</f>
        <v>0</v>
      </c>
      <c r="BX277" s="241">
        <f>INDEX(연료전지_원본!$A$4:$KY$369,MATCH($A277,연료전지_원본!$A$4:$A$369,0),MATCH($BX$4,연료전지_원본!$A$4:$KY$4,0))</f>
        <v>0</v>
      </c>
      <c r="BY277" s="241">
        <f>INDEX(연료전지_원본!$A$4:$KY$369,MATCH($A277,연료전지_원본!$A$4:$A$369,0),MATCH($BY$4,연료전지_원본!$A$4:$KY$4,0))</f>
        <v>0</v>
      </c>
      <c r="BZ277" s="241">
        <f>INDEX(연료전지_원본!$A$4:$KY$369,MATCH($A277,연료전지_원본!$A$4:$A$369,0),MATCH($BZ$4,연료전지_원본!$A$4:$KY$4,0))</f>
        <v>0</v>
      </c>
      <c r="CA277" s="241">
        <f>INDEX(연료전지_원본!$A$4:$KY$369,MATCH($A277,연료전지_원본!$A$4:$A$369,0),MATCH($CA$4,연료전지_원본!$A$4:$KY$4,0))</f>
        <v>0</v>
      </c>
      <c r="CB277" s="241">
        <f>INDEX(연료전지_원본!$A$4:$KY$369,MATCH($A277,연료전지_원본!$A$4:$A$369,0),MATCH($CB$4,연료전지_원본!$A$4:$KY$4,0))</f>
        <v>0</v>
      </c>
      <c r="CC277" s="242">
        <f>INDEX(연료전지_원본!$A$4:$KY$369,MATCH($A277,연료전지_원본!$A$4:$A$369,0),MATCH($CC$4,연료전지_원본!$A$4:$KY$4,0))</f>
        <v>0</v>
      </c>
      <c r="CD277" s="250">
        <f>INDEX(연료전지_원본!$KB$4:$KX$369,MATCH($A277,연료전지_원본!$KB$4:$KB$369,0), MATCH(CD$4,연료전지_원본!$KB$4:$KX$4,0))*1000</f>
        <v>0</v>
      </c>
      <c r="CE277" s="250">
        <f>INDEX(연료전지_원본!$KB$4:$KX$369,MATCH($A277,연료전지_원본!$KB$4:$KB$369,0), MATCH(CE$4,연료전지_원본!$KB$4:$KX$4,0))*1000</f>
        <v>0</v>
      </c>
      <c r="CF277" s="250">
        <f>INDEX(연료전지_원본!$KB$4:$KX$369,MATCH($A277,연료전지_원본!$KB$4:$KB$369,0), MATCH(CF$4,연료전지_원본!$KB$4:$KX$4,0))*1000</f>
        <v>0</v>
      </c>
      <c r="CG277" s="250">
        <f>INDEX(연료전지_원본!$KB$4:$KX$369,MATCH($A277,연료전지_원본!$KB$4:$KB$369,0), MATCH(CG$4,연료전지_원본!$KB$4:$KX$4,0))*1000</f>
        <v>0</v>
      </c>
      <c r="CH277" s="250">
        <f>INDEX(연료전지_원본!$KB$4:$KX$369,MATCH($A277,연료전지_원본!$KB$4:$KB$369,0), MATCH(CH$4,연료전지_원본!$KB$4:$KX$4,0))*1000</f>
        <v>0</v>
      </c>
      <c r="CI277" s="250">
        <f>INDEX(연료전지_원본!$KB$4:$KX$369,MATCH($A277,연료전지_원본!$KB$4:$KB$369,0), MATCH(CI$4,연료전지_원본!$KB$4:$KX$4,0))*1000</f>
        <v>0</v>
      </c>
      <c r="CJ277" s="250">
        <f>INDEX(연료전지_원본!$KB$4:$KX$369,MATCH($A277,연료전지_원본!$KB$4:$KB$369,0), MATCH(CJ$4,연료전지_원본!$KB$4:$KX$4,0))*1000</f>
        <v>0</v>
      </c>
      <c r="CK277" s="250">
        <f>INDEX(연료전지_원본!$KB$4:$KX$369,MATCH($A277,연료전지_원본!$KB$4:$KB$369,0), MATCH(CK$4,연료전지_원본!$KB$4:$KX$4,0))*1000</f>
        <v>0</v>
      </c>
      <c r="CL277" s="250">
        <f>INDEX(연료전지_원본!$KB$4:$KX$369,MATCH($A277,연료전지_원본!$KB$4:$KB$369,0), MATCH(CL$4,연료전지_원본!$KB$4:$KX$4,0))*1000</f>
        <v>0</v>
      </c>
      <c r="CM277" s="250">
        <f>INDEX(연료전지_원본!$KB$4:$KX$369,MATCH($A277,연료전지_원본!$KB$4:$KB$369,0), MATCH(CM$4,연료전지_원본!$KB$4:$KX$4,0))*1000</f>
        <v>0</v>
      </c>
      <c r="CN277" s="250">
        <f>INDEX(연료전지_원본!$KB$4:$KX$369,MATCH($A277,연료전지_원본!$KB$4:$KB$369,0), MATCH(CN$4,연료전지_원본!$KB$4:$KX$4,0))*1000</f>
        <v>0</v>
      </c>
      <c r="CO277" s="250">
        <f>INDEX(연료전지_원본!$KB$4:$KX$369,MATCH($A277,연료전지_원본!$KB$4:$KB$369,0), MATCH(CO$4,연료전지_원본!$KB$4:$KX$4,0))*1000</f>
        <v>0</v>
      </c>
      <c r="CP277" s="250">
        <f>INDEX(연료전지_원본!$KB$4:$KX$369,MATCH($A277,연료전지_원본!$KB$4:$KB$369,0), MATCH(CP$4,연료전지_원본!$KB$4:$KX$4,0))*1000</f>
        <v>0</v>
      </c>
      <c r="CQ277" s="250">
        <f>INDEX(연료전지_원본!$KB$4:$KX$369,MATCH($A277,연료전지_원본!$KB$4:$KB$369,0), MATCH(CQ$4,연료전지_원본!$KB$4:$KX$4,0))*1000</f>
        <v>0</v>
      </c>
      <c r="CR277" s="250">
        <f>INDEX(연료전지_원본!$KB$4:$KX$369,MATCH($A277,연료전지_원본!$KB$4:$KB$369,0), MATCH(CR$4,연료전지_원본!$KB$4:$KX$4,0))*1000</f>
        <v>0</v>
      </c>
      <c r="CS277" s="250">
        <f>INDEX(연료전지_원본!$KB$4:$KX$369,MATCH($A277,연료전지_원본!$KB$4:$KB$369,0), MATCH(CS$4,연료전지_원본!$KB$4:$KX$4,0))*1000</f>
        <v>0</v>
      </c>
      <c r="CT277" s="250">
        <f>INDEX(연료전지_원본!$KB$4:$KX$369,MATCH($A277,연료전지_원본!$KB$4:$KB$369,0), MATCH(CT$4,연료전지_원본!$KB$4:$KX$4,0))*1000</f>
        <v>0</v>
      </c>
      <c r="CU277" s="250">
        <f>INDEX(연료전지_원본!$KB$4:$KX$369,MATCH($A277,연료전지_원본!$KB$4:$KB$369,0), MATCH(CU$4,연료전지_원본!$KB$4:$KX$4,0))*1000</f>
        <v>0</v>
      </c>
      <c r="CV277" s="250">
        <f>INDEX(연료전지_원본!$KB$4:$KX$369,MATCH($A277,연료전지_원본!$KB$4:$KB$369,0), MATCH(CV$4,연료전지_원본!$KB$4:$KX$4,0))*1000</f>
        <v>0</v>
      </c>
      <c r="CW277" s="250">
        <f>INDEX(연료전지_원본!$KB$4:$KX$369,MATCH($A277,연료전지_원본!$KB$4:$KB$369,0), MATCH(CW$4,연료전지_원본!$KB$4:$KX$4,0))*1000</f>
        <v>0</v>
      </c>
      <c r="CX277" s="250">
        <f>INDEX(연료전지_원본!$KB$4:$KX$369,MATCH($A277,연료전지_원본!$KB$4:$KB$369,0), MATCH(CX$4,연료전지_원본!$KB$4:$KX$4,0))*1000</f>
        <v>0</v>
      </c>
      <c r="CY277" s="250">
        <f>INDEX(연료전지_원본!$KB$4:$KX$369,MATCH($A277,연료전지_원본!$KB$4:$KB$369,0), MATCH(CY$4,연료전지_원본!$KB$4:$KX$4,0))*1000</f>
        <v>0</v>
      </c>
      <c r="DV277" s="30">
        <f t="shared" si="1285"/>
        <v>0</v>
      </c>
    </row>
    <row r="278" spans="1:126">
      <c r="A278" s="158">
        <v>46295</v>
      </c>
      <c r="B278" s="27">
        <f>운전실적_원본!B278</f>
        <v>0</v>
      </c>
      <c r="C278" s="28" t="str">
        <f t="shared" si="1291"/>
        <v/>
      </c>
      <c r="D278" s="29">
        <f>운전실적_원본!C278</f>
        <v>0</v>
      </c>
      <c r="E278" s="29" t="str">
        <f t="shared" si="1292"/>
        <v/>
      </c>
      <c r="F278" s="29">
        <f>운전실적_원본!D278</f>
        <v>0</v>
      </c>
      <c r="G278" s="28" t="str">
        <f t="shared" si="1293"/>
        <v/>
      </c>
      <c r="H278" s="27">
        <f>운전실적_원본!E278</f>
        <v>0</v>
      </c>
      <c r="I278" s="28" t="str">
        <f t="shared" si="1294"/>
        <v/>
      </c>
      <c r="J278" s="27">
        <f>운전실적_원본!F278</f>
        <v>0</v>
      </c>
      <c r="K278" s="28" t="str">
        <f t="shared" si="1294"/>
        <v/>
      </c>
      <c r="L278" s="159">
        <f>운전실적_원본!G278</f>
        <v>0</v>
      </c>
      <c r="M278" s="157" t="str">
        <f t="shared" ref="M278" si="1531">IF(OR(LEN(L278)=0,L278=0),"",L278-L277)</f>
        <v/>
      </c>
      <c r="N278" s="27">
        <f>운전실적_원본!H278</f>
        <v>0</v>
      </c>
      <c r="O278" s="28" t="str">
        <f t="shared" ref="O278" si="1532">IF(OR(LEN(N278)=0,N278=0),"",N278-N277)</f>
        <v/>
      </c>
      <c r="P278" s="27">
        <f>운전실적_원본!I278</f>
        <v>0</v>
      </c>
      <c r="Q278" s="28" t="str">
        <f t="shared" ref="Q278" si="1533">IF(OR(LEN(P278)=0,P278=0),"",P278-P277)</f>
        <v/>
      </c>
      <c r="R278" s="160">
        <f>운전실적_원본!J278</f>
        <v>0</v>
      </c>
      <c r="S278" s="161" t="str">
        <f t="shared" ref="S278" si="1534">IF(OR(LEN(R278)=0,R278=0),"",R278-R277)</f>
        <v/>
      </c>
      <c r="T278" s="160">
        <f>운전실적_원본!K278</f>
        <v>0</v>
      </c>
      <c r="U278" s="161" t="str">
        <f t="shared" si="1299"/>
        <v/>
      </c>
      <c r="V278" s="29">
        <f>운전실적_원본!L278</f>
        <v>0</v>
      </c>
      <c r="W278" s="28" t="str">
        <f t="shared" ref="W278" si="1535">IF(OR(LEN(V278)=0,V278=0),"",V278-V277)</f>
        <v/>
      </c>
      <c r="X278" s="162">
        <f>운전실적_원본!M278</f>
        <v>0</v>
      </c>
      <c r="Y278" s="162">
        <f>운전실적_원본!N278</f>
        <v>0</v>
      </c>
      <c r="Z278" s="162">
        <f>운전실적_원본!O278</f>
        <v>0</v>
      </c>
      <c r="AA278" s="162">
        <f>운전실적_원본!P278</f>
        <v>0</v>
      </c>
      <c r="AB278" s="162">
        <f>운전실적_원본!Q278</f>
        <v>0</v>
      </c>
      <c r="AC278" s="162">
        <f>운전실적_원본!R278</f>
        <v>0</v>
      </c>
      <c r="AD278" s="163">
        <f>운전실적_원본!S278</f>
        <v>0</v>
      </c>
      <c r="AE278" s="164">
        <f>운전실적_원본!T278</f>
        <v>0</v>
      </c>
      <c r="AF278" s="164">
        <f>운전실적_원본!U278</f>
        <v>0</v>
      </c>
      <c r="AG278" s="164">
        <f>운전실적_원본!V278</f>
        <v>0</v>
      </c>
      <c r="AH278" s="163">
        <f t="shared" si="1453"/>
        <v>0</v>
      </c>
      <c r="AI278" s="164">
        <f t="shared" si="1460"/>
        <v>0</v>
      </c>
      <c r="AJ278" s="164">
        <f>운전실적_원본!Y278</f>
        <v>0</v>
      </c>
      <c r="AK278" s="164">
        <f>운전실적_원본!Z278</f>
        <v>0</v>
      </c>
      <c r="AL278" s="165"/>
      <c r="AM278" s="166"/>
      <c r="AN278" s="166"/>
      <c r="AO278" s="166"/>
      <c r="AP278" s="166"/>
      <c r="AQ278" s="167"/>
      <c r="AR278" s="166"/>
      <c r="AS278" s="166"/>
      <c r="AT278" s="168"/>
      <c r="AU278" s="168"/>
      <c r="AV278" s="168"/>
      <c r="AW278" s="168"/>
      <c r="AX278" s="159">
        <f>운전실적_원본!W278</f>
        <v>0</v>
      </c>
      <c r="AY278" s="169">
        <f>운전실적_원본!X278</f>
        <v>0</v>
      </c>
      <c r="AZ278" s="169">
        <f>운전실적_원본!Y278</f>
        <v>0</v>
      </c>
      <c r="BA278" s="169">
        <f>운전실적_원본!Z278</f>
        <v>0</v>
      </c>
      <c r="BB278" s="169">
        <f>운전실적_원본!AA278</f>
        <v>0</v>
      </c>
      <c r="BC278" s="169">
        <f>운전실적_원본!AB278</f>
        <v>0</v>
      </c>
      <c r="BD278" s="159" t="str">
        <f t="shared" si="1446"/>
        <v>-</v>
      </c>
      <c r="BE278" s="169" t="str">
        <f t="shared" si="1454"/>
        <v>-</v>
      </c>
      <c r="BF278" s="169">
        <f>운전실적_원본!AE278</f>
        <v>0</v>
      </c>
      <c r="BG278" s="157">
        <f t="shared" si="1447"/>
        <v>0</v>
      </c>
      <c r="BH278" s="244">
        <f>INDEX(연료전지_원본!$A$4:$KY$369,MATCH($A278,연료전지_원본!$A$4:$A$369,0),MATCH($BH$4,연료전지_원본!$A$4:$KY$4,0))</f>
        <v>0</v>
      </c>
      <c r="BI278" s="244">
        <f>INDEX(연료전지_원본!$A$4:$KY$369,MATCH($A278,연료전지_원본!$A$4:$A$369,0),MATCH($BI$4,연료전지_원본!$A$4:$KY$4,0))</f>
        <v>0</v>
      </c>
      <c r="BJ278" s="244">
        <f>INDEX(연료전지_원본!$A$4:$KY$369,MATCH($A278,연료전지_원본!$A$4:$A$369,0),MATCH($BJ$4,연료전지_원본!$A$4:$KY$4,0))</f>
        <v>0</v>
      </c>
      <c r="BK278" s="244">
        <f>INDEX(연료전지_원본!$A$4:$KY$369,MATCH($A278,연료전지_원본!$A$4:$A$369,0),MATCH($BK$4,연료전지_원본!$A$4:$KY$4,0))</f>
        <v>0</v>
      </c>
      <c r="BL278" s="244">
        <f>INDEX(연료전지_원본!$A$4:$KY$369,MATCH($A278,연료전지_원본!$A$4:$A$369,0),MATCH($BL$4,연료전지_원본!$A$4:$KY$4,0))</f>
        <v>0</v>
      </c>
      <c r="BM278" s="244">
        <f>INDEX(연료전지_원본!$A$4:$KY$369,MATCH($A278,연료전지_원본!$A$4:$A$369,0),MATCH($BM$4,연료전지_원본!$A$4:$KY$4,0))</f>
        <v>0</v>
      </c>
      <c r="BN278" s="244">
        <f>INDEX(연료전지_원본!$A$4:$KY$369,MATCH($A278,연료전지_원본!$A$4:$A$369,0),MATCH($BN$4,연료전지_원본!$A$4:$KY$4,0))</f>
        <v>0</v>
      </c>
      <c r="BO278" s="244">
        <f>INDEX(연료전지_원본!$A$4:$KY$369,MATCH($A278,연료전지_원본!$A$4:$A$369,0),MATCH($BO$4,연료전지_원본!$A$4:$KY$4,0))</f>
        <v>0</v>
      </c>
      <c r="BP278" s="244">
        <f>INDEX(연료전지_원본!$A$4:$KY$369,MATCH($A278,연료전지_원본!$A$4:$A$369,0),MATCH($BP$4,연료전지_원본!$A$4:$KY$4,0))</f>
        <v>0</v>
      </c>
      <c r="BQ278" s="244">
        <f>INDEX(연료전지_원본!$A$4:$KY$369,MATCH($A278,연료전지_원본!$A$4:$A$369,0),MATCH($BQ$4,연료전지_원본!$A$4:$KY$4,0))</f>
        <v>0</v>
      </c>
      <c r="BR278" s="244">
        <f>INDEX(연료전지_원본!$A$4:$KY$369,MATCH($A278,연료전지_원본!$A$4:$A$369,0),MATCH($BR$4,연료전지_원본!$A$4:$KY$4,0))</f>
        <v>0</v>
      </c>
      <c r="BS278" s="244">
        <f>INDEX(연료전지_원본!$A$4:$KY$369,MATCH($A278,연료전지_원본!$A$4:$A$369,0),MATCH($BS$4,연료전지_원본!$A$4:$KY$4,0))</f>
        <v>0</v>
      </c>
      <c r="BT278" s="244">
        <f>INDEX(연료전지_원본!$A$4:$KY$369,MATCH($A278,연료전지_원본!$A$4:$A$369,0),MATCH($BT$4,연료전지_원본!$A$4:$KY$4,0))</f>
        <v>0</v>
      </c>
      <c r="BU278" s="244">
        <f>INDEX(연료전지_원본!$A$4:$KY$369,MATCH($A278,연료전지_원본!$A$4:$A$369,0),MATCH($BU$4,연료전지_원본!$A$4:$KY$4,0))</f>
        <v>0</v>
      </c>
      <c r="BV278" s="244">
        <f>INDEX(연료전지_원본!$A$4:$KY$369,MATCH($A278,연료전지_원본!$A$4:$A$369,0),MATCH($BV$4,연료전지_원본!$A$4:$KY$4,0))</f>
        <v>0</v>
      </c>
      <c r="BW278" s="244">
        <f>INDEX(연료전지_원본!$A$4:$KY$369,MATCH($A278,연료전지_원본!$A$4:$A$369,0),MATCH($BW$4,연료전지_원본!$A$4:$KY$4,0))</f>
        <v>0</v>
      </c>
      <c r="BX278" s="244">
        <f>INDEX(연료전지_원본!$A$4:$KY$369,MATCH($A278,연료전지_원본!$A$4:$A$369,0),MATCH($BX$4,연료전지_원본!$A$4:$KY$4,0))</f>
        <v>0</v>
      </c>
      <c r="BY278" s="244">
        <f>INDEX(연료전지_원본!$A$4:$KY$369,MATCH($A278,연료전지_원본!$A$4:$A$369,0),MATCH($BY$4,연료전지_원본!$A$4:$KY$4,0))</f>
        <v>0</v>
      </c>
      <c r="BZ278" s="244">
        <f>INDEX(연료전지_원본!$A$4:$KY$369,MATCH($A278,연료전지_원본!$A$4:$A$369,0),MATCH($BZ$4,연료전지_원본!$A$4:$KY$4,0))</f>
        <v>0</v>
      </c>
      <c r="CA278" s="244">
        <f>INDEX(연료전지_원본!$A$4:$KY$369,MATCH($A278,연료전지_원본!$A$4:$A$369,0),MATCH($CA$4,연료전지_원본!$A$4:$KY$4,0))</f>
        <v>0</v>
      </c>
      <c r="CB278" s="244">
        <f>INDEX(연료전지_원본!$A$4:$KY$369,MATCH($A278,연료전지_원본!$A$4:$A$369,0),MATCH($CB$4,연료전지_원본!$A$4:$KY$4,0))</f>
        <v>0</v>
      </c>
      <c r="CC278" s="245">
        <f>INDEX(연료전지_원본!$A$4:$KY$369,MATCH($A278,연료전지_원본!$A$4:$A$369,0),MATCH($CC$4,연료전지_원본!$A$4:$KY$4,0))</f>
        <v>0</v>
      </c>
      <c r="CD278" s="257">
        <f>INDEX(연료전지_원본!$KB$4:$KX$369,MATCH($A278,연료전지_원본!$KB$4:$KB$369,0), MATCH(CD$4,연료전지_원본!$KB$4:$KX$4,0))*1000</f>
        <v>0</v>
      </c>
      <c r="CE278" s="257">
        <f>INDEX(연료전지_원본!$KB$4:$KX$369,MATCH($A278,연료전지_원본!$KB$4:$KB$369,0), MATCH(CE$4,연료전지_원본!$KB$4:$KX$4,0))*1000</f>
        <v>0</v>
      </c>
      <c r="CF278" s="257">
        <f>INDEX(연료전지_원본!$KB$4:$KX$369,MATCH($A278,연료전지_원본!$KB$4:$KB$369,0), MATCH(CF$4,연료전지_원본!$KB$4:$KX$4,0))*1000</f>
        <v>0</v>
      </c>
      <c r="CG278" s="257">
        <f>INDEX(연료전지_원본!$KB$4:$KX$369,MATCH($A278,연료전지_원본!$KB$4:$KB$369,0), MATCH(CG$4,연료전지_원본!$KB$4:$KX$4,0))*1000</f>
        <v>0</v>
      </c>
      <c r="CH278" s="257">
        <f>INDEX(연료전지_원본!$KB$4:$KX$369,MATCH($A278,연료전지_원본!$KB$4:$KB$369,0), MATCH(CH$4,연료전지_원본!$KB$4:$KX$4,0))*1000</f>
        <v>0</v>
      </c>
      <c r="CI278" s="257">
        <f>INDEX(연료전지_원본!$KB$4:$KX$369,MATCH($A278,연료전지_원본!$KB$4:$KB$369,0), MATCH(CI$4,연료전지_원본!$KB$4:$KX$4,0))*1000</f>
        <v>0</v>
      </c>
      <c r="CJ278" s="257">
        <f>INDEX(연료전지_원본!$KB$4:$KX$369,MATCH($A278,연료전지_원본!$KB$4:$KB$369,0), MATCH(CJ$4,연료전지_원본!$KB$4:$KX$4,0))*1000</f>
        <v>0</v>
      </c>
      <c r="CK278" s="257">
        <f>INDEX(연료전지_원본!$KB$4:$KX$369,MATCH($A278,연료전지_원본!$KB$4:$KB$369,0), MATCH(CK$4,연료전지_원본!$KB$4:$KX$4,0))*1000</f>
        <v>0</v>
      </c>
      <c r="CL278" s="257">
        <f>INDEX(연료전지_원본!$KB$4:$KX$369,MATCH($A278,연료전지_원본!$KB$4:$KB$369,0), MATCH(CL$4,연료전지_원본!$KB$4:$KX$4,0))*1000</f>
        <v>0</v>
      </c>
      <c r="CM278" s="257">
        <f>INDEX(연료전지_원본!$KB$4:$KX$369,MATCH($A278,연료전지_원본!$KB$4:$KB$369,0), MATCH(CM$4,연료전지_원본!$KB$4:$KX$4,0))*1000</f>
        <v>0</v>
      </c>
      <c r="CN278" s="257">
        <f>INDEX(연료전지_원본!$KB$4:$KX$369,MATCH($A278,연료전지_원본!$KB$4:$KB$369,0), MATCH(CN$4,연료전지_원본!$KB$4:$KX$4,0))*1000</f>
        <v>0</v>
      </c>
      <c r="CO278" s="257">
        <f>INDEX(연료전지_원본!$KB$4:$KX$369,MATCH($A278,연료전지_원본!$KB$4:$KB$369,0), MATCH(CO$4,연료전지_원본!$KB$4:$KX$4,0))*1000</f>
        <v>0</v>
      </c>
      <c r="CP278" s="257">
        <f>INDEX(연료전지_원본!$KB$4:$KX$369,MATCH($A278,연료전지_원본!$KB$4:$KB$369,0), MATCH(CP$4,연료전지_원본!$KB$4:$KX$4,0))*1000</f>
        <v>0</v>
      </c>
      <c r="CQ278" s="257">
        <f>INDEX(연료전지_원본!$KB$4:$KX$369,MATCH($A278,연료전지_원본!$KB$4:$KB$369,0), MATCH(CQ$4,연료전지_원본!$KB$4:$KX$4,0))*1000</f>
        <v>0</v>
      </c>
      <c r="CR278" s="257">
        <f>INDEX(연료전지_원본!$KB$4:$KX$369,MATCH($A278,연료전지_원본!$KB$4:$KB$369,0), MATCH(CR$4,연료전지_원본!$KB$4:$KX$4,0))*1000</f>
        <v>0</v>
      </c>
      <c r="CS278" s="257">
        <f>INDEX(연료전지_원본!$KB$4:$KX$369,MATCH($A278,연료전지_원본!$KB$4:$KB$369,0), MATCH(CS$4,연료전지_원본!$KB$4:$KX$4,0))*1000</f>
        <v>0</v>
      </c>
      <c r="CT278" s="257">
        <f>INDEX(연료전지_원본!$KB$4:$KX$369,MATCH($A278,연료전지_원본!$KB$4:$KB$369,0), MATCH(CT$4,연료전지_원본!$KB$4:$KX$4,0))*1000</f>
        <v>0</v>
      </c>
      <c r="CU278" s="257">
        <f>INDEX(연료전지_원본!$KB$4:$KX$369,MATCH($A278,연료전지_원본!$KB$4:$KB$369,0), MATCH(CU$4,연료전지_원본!$KB$4:$KX$4,0))*1000</f>
        <v>0</v>
      </c>
      <c r="CV278" s="257">
        <f>INDEX(연료전지_원본!$KB$4:$KX$369,MATCH($A278,연료전지_원본!$KB$4:$KB$369,0), MATCH(CV$4,연료전지_원본!$KB$4:$KX$4,0))*1000</f>
        <v>0</v>
      </c>
      <c r="CW278" s="257">
        <f>INDEX(연료전지_원본!$KB$4:$KX$369,MATCH($A278,연료전지_원본!$KB$4:$KB$369,0), MATCH(CW$4,연료전지_원본!$KB$4:$KX$4,0))*1000</f>
        <v>0</v>
      </c>
      <c r="CX278" s="257">
        <f>INDEX(연료전지_원본!$KB$4:$KX$369,MATCH($A278,연료전지_원본!$KB$4:$KB$369,0), MATCH(CX$4,연료전지_원본!$KB$4:$KX$4,0))*1000</f>
        <v>0</v>
      </c>
      <c r="CY278" s="257">
        <f>INDEX(연료전지_원본!$KB$4:$KX$369,MATCH($A278,연료전지_원본!$KB$4:$KB$369,0), MATCH(CY$4,연료전지_원본!$KB$4:$KX$4,0))*1000</f>
        <v>0</v>
      </c>
      <c r="CZ278" s="186"/>
      <c r="DA278" s="182"/>
      <c r="DB278" s="182"/>
      <c r="DC278" s="182"/>
      <c r="DD278" s="182"/>
      <c r="DE278" s="182"/>
      <c r="DF278" s="182"/>
      <c r="DG278" s="182"/>
      <c r="DH278" s="182"/>
      <c r="DI278" s="182"/>
      <c r="DJ278" s="182"/>
      <c r="DK278" s="182"/>
      <c r="DL278" s="182"/>
      <c r="DM278" s="182"/>
      <c r="DN278" s="182"/>
      <c r="DO278" s="182"/>
      <c r="DP278" s="182"/>
      <c r="DQ278" s="182"/>
      <c r="DR278" s="182"/>
      <c r="DS278" s="182"/>
      <c r="DT278" s="182"/>
      <c r="DU278" s="182"/>
      <c r="DV278" s="182">
        <f t="shared" si="1285"/>
        <v>0</v>
      </c>
    </row>
    <row r="279" spans="1:126">
      <c r="A279" s="6">
        <v>46296</v>
      </c>
      <c r="B279" s="15">
        <f>운전실적_원본!B279</f>
        <v>0</v>
      </c>
      <c r="C279" s="16" t="str">
        <f t="shared" si="1291"/>
        <v/>
      </c>
      <c r="D279" s="12">
        <f>운전실적_원본!C279</f>
        <v>0</v>
      </c>
      <c r="E279" s="12" t="str">
        <f t="shared" si="1292"/>
        <v/>
      </c>
      <c r="F279" s="12">
        <f>운전실적_원본!D279</f>
        <v>0</v>
      </c>
      <c r="G279" s="16" t="str">
        <f t="shared" si="1293"/>
        <v/>
      </c>
      <c r="H279" s="15">
        <f>운전실적_원본!E279</f>
        <v>0</v>
      </c>
      <c r="I279" s="16" t="str">
        <f t="shared" si="1294"/>
        <v/>
      </c>
      <c r="J279" s="15">
        <f>운전실적_원본!F279</f>
        <v>0</v>
      </c>
      <c r="K279" s="16" t="str">
        <f t="shared" si="1294"/>
        <v/>
      </c>
      <c r="L279" s="32">
        <f>운전실적_원본!G279</f>
        <v>0</v>
      </c>
      <c r="M279" s="31" t="str">
        <f t="shared" ref="M279" si="1536">IF(OR(LEN(L279)=0,L279=0),"",L279-L278)</f>
        <v/>
      </c>
      <c r="N279" s="15">
        <f>운전실적_원본!H279</f>
        <v>0</v>
      </c>
      <c r="O279" s="16" t="str">
        <f t="shared" ref="O279" si="1537">IF(OR(LEN(N279)=0,N279=0),"",N279-N278)</f>
        <v/>
      </c>
      <c r="P279" s="15">
        <f>운전실적_원본!I279</f>
        <v>0</v>
      </c>
      <c r="Q279" s="16" t="str">
        <f t="shared" ref="Q279" si="1538">IF(OR(LEN(P279)=0,P279=0),"",P279-P278)</f>
        <v/>
      </c>
      <c r="R279" s="18">
        <f>운전실적_원본!J279</f>
        <v>0</v>
      </c>
      <c r="S279" s="19" t="str">
        <f t="shared" ref="S279" si="1539">IF(OR(LEN(R279)=0,R279=0),"",R279-R278)</f>
        <v/>
      </c>
      <c r="T279" s="18">
        <f>운전실적_원본!K279</f>
        <v>0</v>
      </c>
      <c r="U279" s="19" t="str">
        <f t="shared" si="1299"/>
        <v/>
      </c>
      <c r="V279" s="12">
        <f>운전실적_원본!L279</f>
        <v>0</v>
      </c>
      <c r="W279" s="16" t="str">
        <f t="shared" ref="W279" si="1540">IF(OR(LEN(V279)=0,V279=0),"",V279-V278)</f>
        <v/>
      </c>
      <c r="X279" s="10">
        <f>운전실적_원본!M279</f>
        <v>0</v>
      </c>
      <c r="Y279" s="10">
        <f>운전실적_원본!N279</f>
        <v>0</v>
      </c>
      <c r="Z279" s="10">
        <f>운전실적_원본!O279</f>
        <v>0</v>
      </c>
      <c r="AA279" s="10">
        <f>운전실적_원본!P279</f>
        <v>0</v>
      </c>
      <c r="AB279" s="10">
        <f>운전실적_원본!Q279</f>
        <v>0</v>
      </c>
      <c r="AC279" s="20">
        <f>운전실적_원본!R279</f>
        <v>0</v>
      </c>
      <c r="AD279" s="109">
        <f>운전실적_원본!S279</f>
        <v>0</v>
      </c>
      <c r="AE279" s="110">
        <f>운전실적_원본!T279</f>
        <v>0</v>
      </c>
      <c r="AF279" s="110">
        <f>운전실적_원본!U279</f>
        <v>0</v>
      </c>
      <c r="AG279" s="110">
        <f>운전실적_원본!V279</f>
        <v>0</v>
      </c>
      <c r="AH279" s="109">
        <f t="shared" si="1453"/>
        <v>0</v>
      </c>
      <c r="AI279" s="110">
        <f t="shared" si="1460"/>
        <v>0</v>
      </c>
      <c r="AJ279" s="110">
        <f>운전실적_원본!Y279</f>
        <v>0</v>
      </c>
      <c r="AK279" s="110">
        <f>운전실적_원본!Z279</f>
        <v>0</v>
      </c>
      <c r="AL279" s="106"/>
      <c r="AM279" s="105"/>
      <c r="AN279" s="105"/>
      <c r="AO279" s="105"/>
      <c r="AP279" s="105"/>
      <c r="AQ279" s="108"/>
      <c r="AR279" s="105"/>
      <c r="AS279" s="105"/>
      <c r="AT279" s="102"/>
      <c r="AU279" s="102"/>
      <c r="AV279" s="102"/>
      <c r="AW279" s="102"/>
      <c r="AX279" s="32">
        <f>운전실적_원본!W279</f>
        <v>0</v>
      </c>
      <c r="AY279" s="11">
        <f>운전실적_원본!X279</f>
        <v>0</v>
      </c>
      <c r="AZ279" s="11">
        <f>운전실적_원본!Y279</f>
        <v>0</v>
      </c>
      <c r="BA279" s="11">
        <f>운전실적_원본!Z279</f>
        <v>0</v>
      </c>
      <c r="BB279" s="11">
        <f>운전실적_원본!AA279</f>
        <v>0</v>
      </c>
      <c r="BC279" s="11">
        <f>운전실적_원본!AB279</f>
        <v>0</v>
      </c>
      <c r="BD279" s="32" t="str">
        <f t="shared" si="1446"/>
        <v>-</v>
      </c>
      <c r="BE279" s="11" t="str">
        <f t="shared" si="1454"/>
        <v>-</v>
      </c>
      <c r="BF279" s="11">
        <f>운전실적_원본!AE279</f>
        <v>0</v>
      </c>
      <c r="BG279" s="31">
        <f t="shared" si="1447"/>
        <v>0</v>
      </c>
      <c r="BH279" s="241">
        <f>INDEX(연료전지_원본!$A$4:$KY$369,MATCH($A279,연료전지_원본!$A$4:$A$369,0),MATCH($BH$4,연료전지_원본!$A$4:$KY$4,0))</f>
        <v>0</v>
      </c>
      <c r="BI279" s="241">
        <f>INDEX(연료전지_원본!$A$4:$KY$369,MATCH($A279,연료전지_원본!$A$4:$A$369,0),MATCH($BI$4,연료전지_원본!$A$4:$KY$4,0))</f>
        <v>0</v>
      </c>
      <c r="BJ279" s="241">
        <f>INDEX(연료전지_원본!$A$4:$KY$369,MATCH($A279,연료전지_원본!$A$4:$A$369,0),MATCH($BJ$4,연료전지_원본!$A$4:$KY$4,0))</f>
        <v>0</v>
      </c>
      <c r="BK279" s="241">
        <f>INDEX(연료전지_원본!$A$4:$KY$369,MATCH($A279,연료전지_원본!$A$4:$A$369,0),MATCH($BK$4,연료전지_원본!$A$4:$KY$4,0))</f>
        <v>0</v>
      </c>
      <c r="BL279" s="241">
        <f>INDEX(연료전지_원본!$A$4:$KY$369,MATCH($A279,연료전지_원본!$A$4:$A$369,0),MATCH($BL$4,연료전지_원본!$A$4:$KY$4,0))</f>
        <v>0</v>
      </c>
      <c r="BM279" s="241">
        <f>INDEX(연료전지_원본!$A$4:$KY$369,MATCH($A279,연료전지_원본!$A$4:$A$369,0),MATCH($BM$4,연료전지_원본!$A$4:$KY$4,0))</f>
        <v>0</v>
      </c>
      <c r="BN279" s="241">
        <f>INDEX(연료전지_원본!$A$4:$KY$369,MATCH($A279,연료전지_원본!$A$4:$A$369,0),MATCH($BN$4,연료전지_원본!$A$4:$KY$4,0))</f>
        <v>0</v>
      </c>
      <c r="BO279" s="241">
        <f>INDEX(연료전지_원본!$A$4:$KY$369,MATCH($A279,연료전지_원본!$A$4:$A$369,0),MATCH($BO$4,연료전지_원본!$A$4:$KY$4,0))</f>
        <v>0</v>
      </c>
      <c r="BP279" s="241">
        <f>INDEX(연료전지_원본!$A$4:$KY$369,MATCH($A279,연료전지_원본!$A$4:$A$369,0),MATCH($BP$4,연료전지_원본!$A$4:$KY$4,0))</f>
        <v>0</v>
      </c>
      <c r="BQ279" s="241">
        <f>INDEX(연료전지_원본!$A$4:$KY$369,MATCH($A279,연료전지_원본!$A$4:$A$369,0),MATCH($BQ$4,연료전지_원본!$A$4:$KY$4,0))</f>
        <v>0</v>
      </c>
      <c r="BR279" s="241">
        <f>INDEX(연료전지_원본!$A$4:$KY$369,MATCH($A279,연료전지_원본!$A$4:$A$369,0),MATCH($BR$4,연료전지_원본!$A$4:$KY$4,0))</f>
        <v>0</v>
      </c>
      <c r="BS279" s="241">
        <f>INDEX(연료전지_원본!$A$4:$KY$369,MATCH($A279,연료전지_원본!$A$4:$A$369,0),MATCH($BS$4,연료전지_원본!$A$4:$KY$4,0))</f>
        <v>0</v>
      </c>
      <c r="BT279" s="241">
        <f>INDEX(연료전지_원본!$A$4:$KY$369,MATCH($A279,연료전지_원본!$A$4:$A$369,0),MATCH($BT$4,연료전지_원본!$A$4:$KY$4,0))</f>
        <v>0</v>
      </c>
      <c r="BU279" s="241">
        <f>INDEX(연료전지_원본!$A$4:$KY$369,MATCH($A279,연료전지_원본!$A$4:$A$369,0),MATCH($BU$4,연료전지_원본!$A$4:$KY$4,0))</f>
        <v>0</v>
      </c>
      <c r="BV279" s="241">
        <f>INDEX(연료전지_원본!$A$4:$KY$369,MATCH($A279,연료전지_원본!$A$4:$A$369,0),MATCH($BV$4,연료전지_원본!$A$4:$KY$4,0))</f>
        <v>0</v>
      </c>
      <c r="BW279" s="241">
        <f>INDEX(연료전지_원본!$A$4:$KY$369,MATCH($A279,연료전지_원본!$A$4:$A$369,0),MATCH($BW$4,연료전지_원본!$A$4:$KY$4,0))</f>
        <v>0</v>
      </c>
      <c r="BX279" s="241">
        <f>INDEX(연료전지_원본!$A$4:$KY$369,MATCH($A279,연료전지_원본!$A$4:$A$369,0),MATCH($BX$4,연료전지_원본!$A$4:$KY$4,0))</f>
        <v>0</v>
      </c>
      <c r="BY279" s="241">
        <f>INDEX(연료전지_원본!$A$4:$KY$369,MATCH($A279,연료전지_원본!$A$4:$A$369,0),MATCH($BY$4,연료전지_원본!$A$4:$KY$4,0))</f>
        <v>0</v>
      </c>
      <c r="BZ279" s="241">
        <f>INDEX(연료전지_원본!$A$4:$KY$369,MATCH($A279,연료전지_원본!$A$4:$A$369,0),MATCH($BZ$4,연료전지_원본!$A$4:$KY$4,0))</f>
        <v>0</v>
      </c>
      <c r="CA279" s="241">
        <f>INDEX(연료전지_원본!$A$4:$KY$369,MATCH($A279,연료전지_원본!$A$4:$A$369,0),MATCH($CA$4,연료전지_원본!$A$4:$KY$4,0))</f>
        <v>0</v>
      </c>
      <c r="CB279" s="241">
        <f>INDEX(연료전지_원본!$A$4:$KY$369,MATCH($A279,연료전지_원본!$A$4:$A$369,0),MATCH($CB$4,연료전지_원본!$A$4:$KY$4,0))</f>
        <v>0</v>
      </c>
      <c r="CC279" s="242">
        <f>INDEX(연료전지_원본!$A$4:$KY$369,MATCH($A279,연료전지_원본!$A$4:$A$369,0),MATCH($CC$4,연료전지_원본!$A$4:$KY$4,0))</f>
        <v>0</v>
      </c>
      <c r="CD279" s="250">
        <f>INDEX(연료전지_원본!$KB$4:$KX$369,MATCH($A279,연료전지_원본!$KB$4:$KB$369,0), MATCH(CD$4,연료전지_원본!$KB$4:$KX$4,0))*1000</f>
        <v>0</v>
      </c>
      <c r="CE279" s="250">
        <f>INDEX(연료전지_원본!$KB$4:$KX$369,MATCH($A279,연료전지_원본!$KB$4:$KB$369,0), MATCH(CE$4,연료전지_원본!$KB$4:$KX$4,0))*1000</f>
        <v>0</v>
      </c>
      <c r="CF279" s="250">
        <f>INDEX(연료전지_원본!$KB$4:$KX$369,MATCH($A279,연료전지_원본!$KB$4:$KB$369,0), MATCH(CF$4,연료전지_원본!$KB$4:$KX$4,0))*1000</f>
        <v>0</v>
      </c>
      <c r="CG279" s="250">
        <f>INDEX(연료전지_원본!$KB$4:$KX$369,MATCH($A279,연료전지_원본!$KB$4:$KB$369,0), MATCH(CG$4,연료전지_원본!$KB$4:$KX$4,0))*1000</f>
        <v>0</v>
      </c>
      <c r="CH279" s="250">
        <f>INDEX(연료전지_원본!$KB$4:$KX$369,MATCH($A279,연료전지_원본!$KB$4:$KB$369,0), MATCH(CH$4,연료전지_원본!$KB$4:$KX$4,0))*1000</f>
        <v>0</v>
      </c>
      <c r="CI279" s="250">
        <f>INDEX(연료전지_원본!$KB$4:$KX$369,MATCH($A279,연료전지_원본!$KB$4:$KB$369,0), MATCH(CI$4,연료전지_원본!$KB$4:$KX$4,0))*1000</f>
        <v>0</v>
      </c>
      <c r="CJ279" s="250">
        <f>INDEX(연료전지_원본!$KB$4:$KX$369,MATCH($A279,연료전지_원본!$KB$4:$KB$369,0), MATCH(CJ$4,연료전지_원본!$KB$4:$KX$4,0))*1000</f>
        <v>0</v>
      </c>
      <c r="CK279" s="250">
        <f>INDEX(연료전지_원본!$KB$4:$KX$369,MATCH($A279,연료전지_원본!$KB$4:$KB$369,0), MATCH(CK$4,연료전지_원본!$KB$4:$KX$4,0))*1000</f>
        <v>0</v>
      </c>
      <c r="CL279" s="250">
        <f>INDEX(연료전지_원본!$KB$4:$KX$369,MATCH($A279,연료전지_원본!$KB$4:$KB$369,0), MATCH(CL$4,연료전지_원본!$KB$4:$KX$4,0))*1000</f>
        <v>0</v>
      </c>
      <c r="CM279" s="250">
        <f>INDEX(연료전지_원본!$KB$4:$KX$369,MATCH($A279,연료전지_원본!$KB$4:$KB$369,0), MATCH(CM$4,연료전지_원본!$KB$4:$KX$4,0))*1000</f>
        <v>0</v>
      </c>
      <c r="CN279" s="250">
        <f>INDEX(연료전지_원본!$KB$4:$KX$369,MATCH($A279,연료전지_원본!$KB$4:$KB$369,0), MATCH(CN$4,연료전지_원본!$KB$4:$KX$4,0))*1000</f>
        <v>0</v>
      </c>
      <c r="CO279" s="250">
        <f>INDEX(연료전지_원본!$KB$4:$KX$369,MATCH($A279,연료전지_원본!$KB$4:$KB$369,0), MATCH(CO$4,연료전지_원본!$KB$4:$KX$4,0))*1000</f>
        <v>0</v>
      </c>
      <c r="CP279" s="250">
        <f>INDEX(연료전지_원본!$KB$4:$KX$369,MATCH($A279,연료전지_원본!$KB$4:$KB$369,0), MATCH(CP$4,연료전지_원본!$KB$4:$KX$4,0))*1000</f>
        <v>0</v>
      </c>
      <c r="CQ279" s="250">
        <f>INDEX(연료전지_원본!$KB$4:$KX$369,MATCH($A279,연료전지_원본!$KB$4:$KB$369,0), MATCH(CQ$4,연료전지_원본!$KB$4:$KX$4,0))*1000</f>
        <v>0</v>
      </c>
      <c r="CR279" s="250">
        <f>INDEX(연료전지_원본!$KB$4:$KX$369,MATCH($A279,연료전지_원본!$KB$4:$KB$369,0), MATCH(CR$4,연료전지_원본!$KB$4:$KX$4,0))*1000</f>
        <v>0</v>
      </c>
      <c r="CS279" s="250">
        <f>INDEX(연료전지_원본!$KB$4:$KX$369,MATCH($A279,연료전지_원본!$KB$4:$KB$369,0), MATCH(CS$4,연료전지_원본!$KB$4:$KX$4,0))*1000</f>
        <v>0</v>
      </c>
      <c r="CT279" s="250">
        <f>INDEX(연료전지_원본!$KB$4:$KX$369,MATCH($A279,연료전지_원본!$KB$4:$KB$369,0), MATCH(CT$4,연료전지_원본!$KB$4:$KX$4,0))*1000</f>
        <v>0</v>
      </c>
      <c r="CU279" s="250">
        <f>INDEX(연료전지_원본!$KB$4:$KX$369,MATCH($A279,연료전지_원본!$KB$4:$KB$369,0), MATCH(CU$4,연료전지_원본!$KB$4:$KX$4,0))*1000</f>
        <v>0</v>
      </c>
      <c r="CV279" s="250">
        <f>INDEX(연료전지_원본!$KB$4:$KX$369,MATCH($A279,연료전지_원본!$KB$4:$KB$369,0), MATCH(CV$4,연료전지_원본!$KB$4:$KX$4,0))*1000</f>
        <v>0</v>
      </c>
      <c r="CW279" s="250">
        <f>INDEX(연료전지_원본!$KB$4:$KX$369,MATCH($A279,연료전지_원본!$KB$4:$KB$369,0), MATCH(CW$4,연료전지_원본!$KB$4:$KX$4,0))*1000</f>
        <v>0</v>
      </c>
      <c r="CX279" s="250">
        <f>INDEX(연료전지_원본!$KB$4:$KX$369,MATCH($A279,연료전지_원본!$KB$4:$KB$369,0), MATCH(CX$4,연료전지_원본!$KB$4:$KX$4,0))*1000</f>
        <v>0</v>
      </c>
      <c r="CY279" s="250">
        <f>INDEX(연료전지_원본!$KB$4:$KX$369,MATCH($A279,연료전지_원본!$KB$4:$KB$369,0), MATCH(CY$4,연료전지_원본!$KB$4:$KX$4,0))*1000</f>
        <v>0</v>
      </c>
      <c r="DV279" s="30">
        <f t="shared" si="1285"/>
        <v>0</v>
      </c>
    </row>
    <row r="280" spans="1:126">
      <c r="A280" s="6">
        <v>46297</v>
      </c>
      <c r="B280" s="15">
        <f>운전실적_원본!B280</f>
        <v>0</v>
      </c>
      <c r="C280" s="16" t="str">
        <f t="shared" si="1291"/>
        <v/>
      </c>
      <c r="D280" s="12">
        <f>운전실적_원본!C280</f>
        <v>0</v>
      </c>
      <c r="E280" s="12" t="str">
        <f t="shared" si="1292"/>
        <v/>
      </c>
      <c r="F280" s="12">
        <f>운전실적_원본!D280</f>
        <v>0</v>
      </c>
      <c r="G280" s="16" t="str">
        <f t="shared" si="1293"/>
        <v/>
      </c>
      <c r="H280" s="15">
        <f>운전실적_원본!E280</f>
        <v>0</v>
      </c>
      <c r="I280" s="16" t="str">
        <f t="shared" si="1294"/>
        <v/>
      </c>
      <c r="J280" s="15">
        <f>운전실적_원본!F280</f>
        <v>0</v>
      </c>
      <c r="K280" s="16" t="str">
        <f t="shared" si="1294"/>
        <v/>
      </c>
      <c r="L280" s="32">
        <f>운전실적_원본!G280</f>
        <v>0</v>
      </c>
      <c r="M280" s="31" t="str">
        <f t="shared" ref="M280" si="1541">IF(OR(LEN(L280)=0,L280=0),"",L280-L279)</f>
        <v/>
      </c>
      <c r="N280" s="15">
        <f>운전실적_원본!H280</f>
        <v>0</v>
      </c>
      <c r="O280" s="16" t="str">
        <f t="shared" ref="O280" si="1542">IF(OR(LEN(N280)=0,N280=0),"",N280-N279)</f>
        <v/>
      </c>
      <c r="P280" s="15">
        <f>운전실적_원본!I280</f>
        <v>0</v>
      </c>
      <c r="Q280" s="16" t="str">
        <f t="shared" ref="Q280" si="1543">IF(OR(LEN(P280)=0,P280=0),"",P280-P279)</f>
        <v/>
      </c>
      <c r="R280" s="18">
        <f>운전실적_원본!J280</f>
        <v>0</v>
      </c>
      <c r="S280" s="19" t="str">
        <f t="shared" ref="S280" si="1544">IF(OR(LEN(R280)=0,R280=0),"",R280-R279)</f>
        <v/>
      </c>
      <c r="T280" s="18">
        <f>운전실적_원본!K280</f>
        <v>0</v>
      </c>
      <c r="U280" s="19" t="str">
        <f t="shared" si="1299"/>
        <v/>
      </c>
      <c r="V280" s="12">
        <f>운전실적_원본!L280</f>
        <v>0</v>
      </c>
      <c r="W280" s="16" t="str">
        <f t="shared" ref="W280" si="1545">IF(OR(LEN(V280)=0,V280=0),"",V280-V279)</f>
        <v/>
      </c>
      <c r="X280" s="10">
        <f>운전실적_원본!M280</f>
        <v>0</v>
      </c>
      <c r="Y280" s="10">
        <f>운전실적_원본!N280</f>
        <v>0</v>
      </c>
      <c r="Z280" s="10">
        <f>운전실적_원본!O280</f>
        <v>0</v>
      </c>
      <c r="AA280" s="10">
        <f>운전실적_원본!P280</f>
        <v>0</v>
      </c>
      <c r="AB280" s="10">
        <f>운전실적_원본!Q280</f>
        <v>0</v>
      </c>
      <c r="AC280" s="20">
        <f>운전실적_원본!R280</f>
        <v>0</v>
      </c>
      <c r="AD280" s="109">
        <f>운전실적_원본!S280</f>
        <v>0</v>
      </c>
      <c r="AE280" s="110">
        <f>운전실적_원본!T280</f>
        <v>0</v>
      </c>
      <c r="AF280" s="110">
        <f>운전실적_원본!U280</f>
        <v>0</v>
      </c>
      <c r="AG280" s="110">
        <f>운전실적_원본!V280</f>
        <v>0</v>
      </c>
      <c r="AH280" s="109">
        <f t="shared" si="1453"/>
        <v>0</v>
      </c>
      <c r="AI280" s="110">
        <f t="shared" si="1460"/>
        <v>0</v>
      </c>
      <c r="AJ280" s="110">
        <f>운전실적_원본!Y280</f>
        <v>0</v>
      </c>
      <c r="AK280" s="110">
        <f>운전실적_원본!Z280</f>
        <v>0</v>
      </c>
      <c r="AL280" s="106"/>
      <c r="AM280" s="105"/>
      <c r="AN280" s="105"/>
      <c r="AO280" s="105"/>
      <c r="AP280" s="105"/>
      <c r="AQ280" s="108"/>
      <c r="AR280" s="105"/>
      <c r="AS280" s="105"/>
      <c r="AT280" s="102"/>
      <c r="AU280" s="102"/>
      <c r="AV280" s="102"/>
      <c r="AW280" s="102"/>
      <c r="AX280" s="32">
        <f>운전실적_원본!W280</f>
        <v>0</v>
      </c>
      <c r="AY280" s="11">
        <f>운전실적_원본!X280</f>
        <v>0</v>
      </c>
      <c r="AZ280" s="11">
        <f>운전실적_원본!Y280</f>
        <v>0</v>
      </c>
      <c r="BA280" s="11">
        <f>운전실적_원본!Z280</f>
        <v>0</v>
      </c>
      <c r="BB280" s="11">
        <f>운전실적_원본!AA280</f>
        <v>0</v>
      </c>
      <c r="BC280" s="11">
        <f>운전실적_원본!AB280</f>
        <v>0</v>
      </c>
      <c r="BD280" s="32" t="str">
        <f t="shared" si="1446"/>
        <v>-</v>
      </c>
      <c r="BE280" s="11" t="str">
        <f t="shared" si="1454"/>
        <v>-</v>
      </c>
      <c r="BF280" s="11">
        <f>운전실적_원본!AE280</f>
        <v>0</v>
      </c>
      <c r="BG280" s="31">
        <f t="shared" si="1447"/>
        <v>0</v>
      </c>
      <c r="BH280" s="241">
        <f>INDEX(연료전지_원본!$A$4:$KY$369,MATCH($A280,연료전지_원본!$A$4:$A$369,0),MATCH($BH$4,연료전지_원본!$A$4:$KY$4,0))</f>
        <v>0</v>
      </c>
      <c r="BI280" s="241">
        <f>INDEX(연료전지_원본!$A$4:$KY$369,MATCH($A280,연료전지_원본!$A$4:$A$369,0),MATCH($BI$4,연료전지_원본!$A$4:$KY$4,0))</f>
        <v>0</v>
      </c>
      <c r="BJ280" s="241">
        <f>INDEX(연료전지_원본!$A$4:$KY$369,MATCH($A280,연료전지_원본!$A$4:$A$369,0),MATCH($BJ$4,연료전지_원본!$A$4:$KY$4,0))</f>
        <v>0</v>
      </c>
      <c r="BK280" s="241">
        <f>INDEX(연료전지_원본!$A$4:$KY$369,MATCH($A280,연료전지_원본!$A$4:$A$369,0),MATCH($BK$4,연료전지_원본!$A$4:$KY$4,0))</f>
        <v>0</v>
      </c>
      <c r="BL280" s="241">
        <f>INDEX(연료전지_원본!$A$4:$KY$369,MATCH($A280,연료전지_원본!$A$4:$A$369,0),MATCH($BL$4,연료전지_원본!$A$4:$KY$4,0))</f>
        <v>0</v>
      </c>
      <c r="BM280" s="241">
        <f>INDEX(연료전지_원본!$A$4:$KY$369,MATCH($A280,연료전지_원본!$A$4:$A$369,0),MATCH($BM$4,연료전지_원본!$A$4:$KY$4,0))</f>
        <v>0</v>
      </c>
      <c r="BN280" s="241">
        <f>INDEX(연료전지_원본!$A$4:$KY$369,MATCH($A280,연료전지_원본!$A$4:$A$369,0),MATCH($BN$4,연료전지_원본!$A$4:$KY$4,0))</f>
        <v>0</v>
      </c>
      <c r="BO280" s="241">
        <f>INDEX(연료전지_원본!$A$4:$KY$369,MATCH($A280,연료전지_원본!$A$4:$A$369,0),MATCH($BO$4,연료전지_원본!$A$4:$KY$4,0))</f>
        <v>0</v>
      </c>
      <c r="BP280" s="241">
        <f>INDEX(연료전지_원본!$A$4:$KY$369,MATCH($A280,연료전지_원본!$A$4:$A$369,0),MATCH($BP$4,연료전지_원본!$A$4:$KY$4,0))</f>
        <v>0</v>
      </c>
      <c r="BQ280" s="241">
        <f>INDEX(연료전지_원본!$A$4:$KY$369,MATCH($A280,연료전지_원본!$A$4:$A$369,0),MATCH($BQ$4,연료전지_원본!$A$4:$KY$4,0))</f>
        <v>0</v>
      </c>
      <c r="BR280" s="241">
        <f>INDEX(연료전지_원본!$A$4:$KY$369,MATCH($A280,연료전지_원본!$A$4:$A$369,0),MATCH($BR$4,연료전지_원본!$A$4:$KY$4,0))</f>
        <v>0</v>
      </c>
      <c r="BS280" s="241">
        <f>INDEX(연료전지_원본!$A$4:$KY$369,MATCH($A280,연료전지_원본!$A$4:$A$369,0),MATCH($BS$4,연료전지_원본!$A$4:$KY$4,0))</f>
        <v>0</v>
      </c>
      <c r="BT280" s="241">
        <f>INDEX(연료전지_원본!$A$4:$KY$369,MATCH($A280,연료전지_원본!$A$4:$A$369,0),MATCH($BT$4,연료전지_원본!$A$4:$KY$4,0))</f>
        <v>0</v>
      </c>
      <c r="BU280" s="241">
        <f>INDEX(연료전지_원본!$A$4:$KY$369,MATCH($A280,연료전지_원본!$A$4:$A$369,0),MATCH($BU$4,연료전지_원본!$A$4:$KY$4,0))</f>
        <v>0</v>
      </c>
      <c r="BV280" s="241">
        <f>INDEX(연료전지_원본!$A$4:$KY$369,MATCH($A280,연료전지_원본!$A$4:$A$369,0),MATCH($BV$4,연료전지_원본!$A$4:$KY$4,0))</f>
        <v>0</v>
      </c>
      <c r="BW280" s="241">
        <f>INDEX(연료전지_원본!$A$4:$KY$369,MATCH($A280,연료전지_원본!$A$4:$A$369,0),MATCH($BW$4,연료전지_원본!$A$4:$KY$4,0))</f>
        <v>0</v>
      </c>
      <c r="BX280" s="241">
        <f>INDEX(연료전지_원본!$A$4:$KY$369,MATCH($A280,연료전지_원본!$A$4:$A$369,0),MATCH($BX$4,연료전지_원본!$A$4:$KY$4,0))</f>
        <v>0</v>
      </c>
      <c r="BY280" s="241">
        <f>INDEX(연료전지_원본!$A$4:$KY$369,MATCH($A280,연료전지_원본!$A$4:$A$369,0),MATCH($BY$4,연료전지_원본!$A$4:$KY$4,0))</f>
        <v>0</v>
      </c>
      <c r="BZ280" s="241">
        <f>INDEX(연료전지_원본!$A$4:$KY$369,MATCH($A280,연료전지_원본!$A$4:$A$369,0),MATCH($BZ$4,연료전지_원본!$A$4:$KY$4,0))</f>
        <v>0</v>
      </c>
      <c r="CA280" s="241">
        <f>INDEX(연료전지_원본!$A$4:$KY$369,MATCH($A280,연료전지_원본!$A$4:$A$369,0),MATCH($CA$4,연료전지_원본!$A$4:$KY$4,0))</f>
        <v>0</v>
      </c>
      <c r="CB280" s="241">
        <f>INDEX(연료전지_원본!$A$4:$KY$369,MATCH($A280,연료전지_원본!$A$4:$A$369,0),MATCH($CB$4,연료전지_원본!$A$4:$KY$4,0))</f>
        <v>0</v>
      </c>
      <c r="CC280" s="242">
        <f>INDEX(연료전지_원본!$A$4:$KY$369,MATCH($A280,연료전지_원본!$A$4:$A$369,0),MATCH($CC$4,연료전지_원본!$A$4:$KY$4,0))</f>
        <v>0</v>
      </c>
      <c r="CD280" s="250">
        <f>INDEX(연료전지_원본!$KB$4:$KX$369,MATCH($A280,연료전지_원본!$KB$4:$KB$369,0), MATCH(CD$4,연료전지_원본!$KB$4:$KX$4,0))*1000</f>
        <v>0</v>
      </c>
      <c r="CE280" s="250">
        <f>INDEX(연료전지_원본!$KB$4:$KX$369,MATCH($A280,연료전지_원본!$KB$4:$KB$369,0), MATCH(CE$4,연료전지_원본!$KB$4:$KX$4,0))*1000</f>
        <v>0</v>
      </c>
      <c r="CF280" s="250">
        <f>INDEX(연료전지_원본!$KB$4:$KX$369,MATCH($A280,연료전지_원본!$KB$4:$KB$369,0), MATCH(CF$4,연료전지_원본!$KB$4:$KX$4,0))*1000</f>
        <v>0</v>
      </c>
      <c r="CG280" s="250">
        <f>INDEX(연료전지_원본!$KB$4:$KX$369,MATCH($A280,연료전지_원본!$KB$4:$KB$369,0), MATCH(CG$4,연료전지_원본!$KB$4:$KX$4,0))*1000</f>
        <v>0</v>
      </c>
      <c r="CH280" s="250">
        <f>INDEX(연료전지_원본!$KB$4:$KX$369,MATCH($A280,연료전지_원본!$KB$4:$KB$369,0), MATCH(CH$4,연료전지_원본!$KB$4:$KX$4,0))*1000</f>
        <v>0</v>
      </c>
      <c r="CI280" s="250">
        <f>INDEX(연료전지_원본!$KB$4:$KX$369,MATCH($A280,연료전지_원본!$KB$4:$KB$369,0), MATCH(CI$4,연료전지_원본!$KB$4:$KX$4,0))*1000</f>
        <v>0</v>
      </c>
      <c r="CJ280" s="250">
        <f>INDEX(연료전지_원본!$KB$4:$KX$369,MATCH($A280,연료전지_원본!$KB$4:$KB$369,0), MATCH(CJ$4,연료전지_원본!$KB$4:$KX$4,0))*1000</f>
        <v>0</v>
      </c>
      <c r="CK280" s="250">
        <f>INDEX(연료전지_원본!$KB$4:$KX$369,MATCH($A280,연료전지_원본!$KB$4:$KB$369,0), MATCH(CK$4,연료전지_원본!$KB$4:$KX$4,0))*1000</f>
        <v>0</v>
      </c>
      <c r="CL280" s="250">
        <f>INDEX(연료전지_원본!$KB$4:$KX$369,MATCH($A280,연료전지_원본!$KB$4:$KB$369,0), MATCH(CL$4,연료전지_원본!$KB$4:$KX$4,0))*1000</f>
        <v>0</v>
      </c>
      <c r="CM280" s="250">
        <f>INDEX(연료전지_원본!$KB$4:$KX$369,MATCH($A280,연료전지_원본!$KB$4:$KB$369,0), MATCH(CM$4,연료전지_원본!$KB$4:$KX$4,0))*1000</f>
        <v>0</v>
      </c>
      <c r="CN280" s="250">
        <f>INDEX(연료전지_원본!$KB$4:$KX$369,MATCH($A280,연료전지_원본!$KB$4:$KB$369,0), MATCH(CN$4,연료전지_원본!$KB$4:$KX$4,0))*1000</f>
        <v>0</v>
      </c>
      <c r="CO280" s="250">
        <f>INDEX(연료전지_원본!$KB$4:$KX$369,MATCH($A280,연료전지_원본!$KB$4:$KB$369,0), MATCH(CO$4,연료전지_원본!$KB$4:$KX$4,0))*1000</f>
        <v>0</v>
      </c>
      <c r="CP280" s="250">
        <f>INDEX(연료전지_원본!$KB$4:$KX$369,MATCH($A280,연료전지_원본!$KB$4:$KB$369,0), MATCH(CP$4,연료전지_원본!$KB$4:$KX$4,0))*1000</f>
        <v>0</v>
      </c>
      <c r="CQ280" s="250">
        <f>INDEX(연료전지_원본!$KB$4:$KX$369,MATCH($A280,연료전지_원본!$KB$4:$KB$369,0), MATCH(CQ$4,연료전지_원본!$KB$4:$KX$4,0))*1000</f>
        <v>0</v>
      </c>
      <c r="CR280" s="250">
        <f>INDEX(연료전지_원본!$KB$4:$KX$369,MATCH($A280,연료전지_원본!$KB$4:$KB$369,0), MATCH(CR$4,연료전지_원본!$KB$4:$KX$4,0))*1000</f>
        <v>0</v>
      </c>
      <c r="CS280" s="250">
        <f>INDEX(연료전지_원본!$KB$4:$KX$369,MATCH($A280,연료전지_원본!$KB$4:$KB$369,0), MATCH(CS$4,연료전지_원본!$KB$4:$KX$4,0))*1000</f>
        <v>0</v>
      </c>
      <c r="CT280" s="250">
        <f>INDEX(연료전지_원본!$KB$4:$KX$369,MATCH($A280,연료전지_원본!$KB$4:$KB$369,0), MATCH(CT$4,연료전지_원본!$KB$4:$KX$4,0))*1000</f>
        <v>0</v>
      </c>
      <c r="CU280" s="250">
        <f>INDEX(연료전지_원본!$KB$4:$KX$369,MATCH($A280,연료전지_원본!$KB$4:$KB$369,0), MATCH(CU$4,연료전지_원본!$KB$4:$KX$4,0))*1000</f>
        <v>0</v>
      </c>
      <c r="CV280" s="250">
        <f>INDEX(연료전지_원본!$KB$4:$KX$369,MATCH($A280,연료전지_원본!$KB$4:$KB$369,0), MATCH(CV$4,연료전지_원본!$KB$4:$KX$4,0))*1000</f>
        <v>0</v>
      </c>
      <c r="CW280" s="250">
        <f>INDEX(연료전지_원본!$KB$4:$KX$369,MATCH($A280,연료전지_원본!$KB$4:$KB$369,0), MATCH(CW$4,연료전지_원본!$KB$4:$KX$4,0))*1000</f>
        <v>0</v>
      </c>
      <c r="CX280" s="250">
        <f>INDEX(연료전지_원본!$KB$4:$KX$369,MATCH($A280,연료전지_원본!$KB$4:$KB$369,0), MATCH(CX$4,연료전지_원본!$KB$4:$KX$4,0))*1000</f>
        <v>0</v>
      </c>
      <c r="CY280" s="250">
        <f>INDEX(연료전지_원본!$KB$4:$KX$369,MATCH($A280,연료전지_원본!$KB$4:$KB$369,0), MATCH(CY$4,연료전지_원본!$KB$4:$KX$4,0))*1000</f>
        <v>0</v>
      </c>
      <c r="DV280" s="30">
        <f t="shared" si="1285"/>
        <v>0</v>
      </c>
    </row>
    <row r="281" spans="1:126">
      <c r="A281" s="6">
        <v>46298</v>
      </c>
      <c r="B281" s="15">
        <f>운전실적_원본!B281</f>
        <v>0</v>
      </c>
      <c r="C281" s="16" t="str">
        <f t="shared" si="1291"/>
        <v/>
      </c>
      <c r="D281" s="12">
        <f>운전실적_원본!C281</f>
        <v>0</v>
      </c>
      <c r="E281" s="12" t="str">
        <f t="shared" si="1292"/>
        <v/>
      </c>
      <c r="F281" s="12">
        <f>운전실적_원본!D281</f>
        <v>0</v>
      </c>
      <c r="G281" s="16" t="str">
        <f t="shared" si="1293"/>
        <v/>
      </c>
      <c r="H281" s="15">
        <f>운전실적_원본!E281</f>
        <v>0</v>
      </c>
      <c r="I281" s="16" t="str">
        <f t="shared" si="1294"/>
        <v/>
      </c>
      <c r="J281" s="15">
        <f>운전실적_원본!F281</f>
        <v>0</v>
      </c>
      <c r="K281" s="16" t="str">
        <f t="shared" si="1294"/>
        <v/>
      </c>
      <c r="L281" s="32">
        <f>운전실적_원본!G281</f>
        <v>0</v>
      </c>
      <c r="M281" s="31" t="str">
        <f t="shared" ref="M281" si="1546">IF(OR(LEN(L281)=0,L281=0),"",L281-L280)</f>
        <v/>
      </c>
      <c r="N281" s="15">
        <f>운전실적_원본!H281</f>
        <v>0</v>
      </c>
      <c r="O281" s="16" t="str">
        <f t="shared" ref="O281" si="1547">IF(OR(LEN(N281)=0,N281=0),"",N281-N280)</f>
        <v/>
      </c>
      <c r="P281" s="15">
        <f>운전실적_원본!I281</f>
        <v>0</v>
      </c>
      <c r="Q281" s="16" t="str">
        <f t="shared" ref="Q281" si="1548">IF(OR(LEN(P281)=0,P281=0),"",P281-P280)</f>
        <v/>
      </c>
      <c r="R281" s="18">
        <f>운전실적_원본!J281</f>
        <v>0</v>
      </c>
      <c r="S281" s="19" t="str">
        <f t="shared" ref="S281" si="1549">IF(OR(LEN(R281)=0,R281=0),"",R281-R280)</f>
        <v/>
      </c>
      <c r="T281" s="18">
        <f>운전실적_원본!K281</f>
        <v>0</v>
      </c>
      <c r="U281" s="19" t="str">
        <f t="shared" si="1299"/>
        <v/>
      </c>
      <c r="V281" s="12">
        <f>운전실적_원본!L281</f>
        <v>0</v>
      </c>
      <c r="W281" s="16" t="str">
        <f t="shared" ref="W281" si="1550">IF(OR(LEN(V281)=0,V281=0),"",V281-V280)</f>
        <v/>
      </c>
      <c r="X281" s="10">
        <f>운전실적_원본!M281</f>
        <v>0</v>
      </c>
      <c r="Y281" s="10">
        <f>운전실적_원본!N281</f>
        <v>0</v>
      </c>
      <c r="Z281" s="10">
        <f>운전실적_원본!O281</f>
        <v>0</v>
      </c>
      <c r="AA281" s="10">
        <f>운전실적_원본!P281</f>
        <v>0</v>
      </c>
      <c r="AB281" s="10">
        <f>운전실적_원본!Q281</f>
        <v>0</v>
      </c>
      <c r="AC281" s="20">
        <f>운전실적_원본!R281</f>
        <v>0</v>
      </c>
      <c r="AD281" s="109">
        <f>운전실적_원본!S281</f>
        <v>0</v>
      </c>
      <c r="AE281" s="110">
        <f>운전실적_원본!T281</f>
        <v>0</v>
      </c>
      <c r="AF281" s="110">
        <f>운전실적_원본!U281</f>
        <v>0</v>
      </c>
      <c r="AG281" s="110">
        <f>운전실적_원본!V281</f>
        <v>0</v>
      </c>
      <c r="AH281" s="109">
        <f t="shared" si="1453"/>
        <v>0</v>
      </c>
      <c r="AI281" s="110">
        <f t="shared" si="1460"/>
        <v>0</v>
      </c>
      <c r="AJ281" s="110">
        <f>운전실적_원본!Y281</f>
        <v>0</v>
      </c>
      <c r="AK281" s="110">
        <f>운전실적_원본!Z281</f>
        <v>0</v>
      </c>
      <c r="AL281" s="106"/>
      <c r="AM281" s="105"/>
      <c r="AN281" s="105"/>
      <c r="AO281" s="105"/>
      <c r="AP281" s="105"/>
      <c r="AQ281" s="108"/>
      <c r="AR281" s="105"/>
      <c r="AS281" s="105"/>
      <c r="AT281" s="102"/>
      <c r="AU281" s="102"/>
      <c r="AV281" s="102"/>
      <c r="AW281" s="102"/>
      <c r="AX281" s="32">
        <f>운전실적_원본!W281</f>
        <v>0</v>
      </c>
      <c r="AY281" s="11">
        <f>운전실적_원본!X281</f>
        <v>0</v>
      </c>
      <c r="AZ281" s="11">
        <f>운전실적_원본!Y281</f>
        <v>0</v>
      </c>
      <c r="BA281" s="11">
        <f>운전실적_원본!Z281</f>
        <v>0</v>
      </c>
      <c r="BB281" s="11">
        <f>운전실적_원본!AA281</f>
        <v>0</v>
      </c>
      <c r="BC281" s="11">
        <f>운전실적_원본!AB281</f>
        <v>0</v>
      </c>
      <c r="BD281" s="32" t="str">
        <f t="shared" si="1446"/>
        <v>-</v>
      </c>
      <c r="BE281" s="11" t="str">
        <f t="shared" si="1454"/>
        <v>-</v>
      </c>
      <c r="BF281" s="11">
        <f>운전실적_원본!AE281</f>
        <v>0</v>
      </c>
      <c r="BG281" s="31">
        <f t="shared" si="1447"/>
        <v>0</v>
      </c>
      <c r="BH281" s="241">
        <f>INDEX(연료전지_원본!$A$4:$KY$369,MATCH($A281,연료전지_원본!$A$4:$A$369,0),MATCH($BH$4,연료전지_원본!$A$4:$KY$4,0))</f>
        <v>0</v>
      </c>
      <c r="BI281" s="241">
        <f>INDEX(연료전지_원본!$A$4:$KY$369,MATCH($A281,연료전지_원본!$A$4:$A$369,0),MATCH($BI$4,연료전지_원본!$A$4:$KY$4,0))</f>
        <v>0</v>
      </c>
      <c r="BJ281" s="241">
        <f>INDEX(연료전지_원본!$A$4:$KY$369,MATCH($A281,연료전지_원본!$A$4:$A$369,0),MATCH($BJ$4,연료전지_원본!$A$4:$KY$4,0))</f>
        <v>0</v>
      </c>
      <c r="BK281" s="241">
        <f>INDEX(연료전지_원본!$A$4:$KY$369,MATCH($A281,연료전지_원본!$A$4:$A$369,0),MATCH($BK$4,연료전지_원본!$A$4:$KY$4,0))</f>
        <v>0</v>
      </c>
      <c r="BL281" s="241">
        <f>INDEX(연료전지_원본!$A$4:$KY$369,MATCH($A281,연료전지_원본!$A$4:$A$369,0),MATCH($BL$4,연료전지_원본!$A$4:$KY$4,0))</f>
        <v>0</v>
      </c>
      <c r="BM281" s="241">
        <f>INDEX(연료전지_원본!$A$4:$KY$369,MATCH($A281,연료전지_원본!$A$4:$A$369,0),MATCH($BM$4,연료전지_원본!$A$4:$KY$4,0))</f>
        <v>0</v>
      </c>
      <c r="BN281" s="241">
        <f>INDEX(연료전지_원본!$A$4:$KY$369,MATCH($A281,연료전지_원본!$A$4:$A$369,0),MATCH($BN$4,연료전지_원본!$A$4:$KY$4,0))</f>
        <v>0</v>
      </c>
      <c r="BO281" s="241">
        <f>INDEX(연료전지_원본!$A$4:$KY$369,MATCH($A281,연료전지_원본!$A$4:$A$369,0),MATCH($BO$4,연료전지_원본!$A$4:$KY$4,0))</f>
        <v>0</v>
      </c>
      <c r="BP281" s="241">
        <f>INDEX(연료전지_원본!$A$4:$KY$369,MATCH($A281,연료전지_원본!$A$4:$A$369,0),MATCH($BP$4,연료전지_원본!$A$4:$KY$4,0))</f>
        <v>0</v>
      </c>
      <c r="BQ281" s="241">
        <f>INDEX(연료전지_원본!$A$4:$KY$369,MATCH($A281,연료전지_원본!$A$4:$A$369,0),MATCH($BQ$4,연료전지_원본!$A$4:$KY$4,0))</f>
        <v>0</v>
      </c>
      <c r="BR281" s="241">
        <f>INDEX(연료전지_원본!$A$4:$KY$369,MATCH($A281,연료전지_원본!$A$4:$A$369,0),MATCH($BR$4,연료전지_원본!$A$4:$KY$4,0))</f>
        <v>0</v>
      </c>
      <c r="BS281" s="241">
        <f>INDEX(연료전지_원본!$A$4:$KY$369,MATCH($A281,연료전지_원본!$A$4:$A$369,0),MATCH($BS$4,연료전지_원본!$A$4:$KY$4,0))</f>
        <v>0</v>
      </c>
      <c r="BT281" s="241">
        <f>INDEX(연료전지_원본!$A$4:$KY$369,MATCH($A281,연료전지_원본!$A$4:$A$369,0),MATCH($BT$4,연료전지_원본!$A$4:$KY$4,0))</f>
        <v>0</v>
      </c>
      <c r="BU281" s="241">
        <f>INDEX(연료전지_원본!$A$4:$KY$369,MATCH($A281,연료전지_원본!$A$4:$A$369,0),MATCH($BU$4,연료전지_원본!$A$4:$KY$4,0))</f>
        <v>0</v>
      </c>
      <c r="BV281" s="241">
        <f>INDEX(연료전지_원본!$A$4:$KY$369,MATCH($A281,연료전지_원본!$A$4:$A$369,0),MATCH($BV$4,연료전지_원본!$A$4:$KY$4,0))</f>
        <v>0</v>
      </c>
      <c r="BW281" s="241">
        <f>INDEX(연료전지_원본!$A$4:$KY$369,MATCH($A281,연료전지_원본!$A$4:$A$369,0),MATCH($BW$4,연료전지_원본!$A$4:$KY$4,0))</f>
        <v>0</v>
      </c>
      <c r="BX281" s="241">
        <f>INDEX(연료전지_원본!$A$4:$KY$369,MATCH($A281,연료전지_원본!$A$4:$A$369,0),MATCH($BX$4,연료전지_원본!$A$4:$KY$4,0))</f>
        <v>0</v>
      </c>
      <c r="BY281" s="241">
        <f>INDEX(연료전지_원본!$A$4:$KY$369,MATCH($A281,연료전지_원본!$A$4:$A$369,0),MATCH($BY$4,연료전지_원본!$A$4:$KY$4,0))</f>
        <v>0</v>
      </c>
      <c r="BZ281" s="241">
        <f>INDEX(연료전지_원본!$A$4:$KY$369,MATCH($A281,연료전지_원본!$A$4:$A$369,0),MATCH($BZ$4,연료전지_원본!$A$4:$KY$4,0))</f>
        <v>0</v>
      </c>
      <c r="CA281" s="241">
        <f>INDEX(연료전지_원본!$A$4:$KY$369,MATCH($A281,연료전지_원본!$A$4:$A$369,0),MATCH($CA$4,연료전지_원본!$A$4:$KY$4,0))</f>
        <v>0</v>
      </c>
      <c r="CB281" s="241">
        <f>INDEX(연료전지_원본!$A$4:$KY$369,MATCH($A281,연료전지_원본!$A$4:$A$369,0),MATCH($CB$4,연료전지_원본!$A$4:$KY$4,0))</f>
        <v>0</v>
      </c>
      <c r="CC281" s="242">
        <f>INDEX(연료전지_원본!$A$4:$KY$369,MATCH($A281,연료전지_원본!$A$4:$A$369,0),MATCH($CC$4,연료전지_원본!$A$4:$KY$4,0))</f>
        <v>0</v>
      </c>
      <c r="CD281" s="250">
        <f>INDEX(연료전지_원본!$KB$4:$KX$369,MATCH($A281,연료전지_원본!$KB$4:$KB$369,0), MATCH(CD$4,연료전지_원본!$KB$4:$KX$4,0))*1000</f>
        <v>0</v>
      </c>
      <c r="CE281" s="250">
        <f>INDEX(연료전지_원본!$KB$4:$KX$369,MATCH($A281,연료전지_원본!$KB$4:$KB$369,0), MATCH(CE$4,연료전지_원본!$KB$4:$KX$4,0))*1000</f>
        <v>0</v>
      </c>
      <c r="CF281" s="250">
        <f>INDEX(연료전지_원본!$KB$4:$KX$369,MATCH($A281,연료전지_원본!$KB$4:$KB$369,0), MATCH(CF$4,연료전지_원본!$KB$4:$KX$4,0))*1000</f>
        <v>0</v>
      </c>
      <c r="CG281" s="250">
        <f>INDEX(연료전지_원본!$KB$4:$KX$369,MATCH($A281,연료전지_원본!$KB$4:$KB$369,0), MATCH(CG$4,연료전지_원본!$KB$4:$KX$4,0))*1000</f>
        <v>0</v>
      </c>
      <c r="CH281" s="250">
        <f>INDEX(연료전지_원본!$KB$4:$KX$369,MATCH($A281,연료전지_원본!$KB$4:$KB$369,0), MATCH(CH$4,연료전지_원본!$KB$4:$KX$4,0))*1000</f>
        <v>0</v>
      </c>
      <c r="CI281" s="250">
        <f>INDEX(연료전지_원본!$KB$4:$KX$369,MATCH($A281,연료전지_원본!$KB$4:$KB$369,0), MATCH(CI$4,연료전지_원본!$KB$4:$KX$4,0))*1000</f>
        <v>0</v>
      </c>
      <c r="CJ281" s="250">
        <f>INDEX(연료전지_원본!$KB$4:$KX$369,MATCH($A281,연료전지_원본!$KB$4:$KB$369,0), MATCH(CJ$4,연료전지_원본!$KB$4:$KX$4,0))*1000</f>
        <v>0</v>
      </c>
      <c r="CK281" s="250">
        <f>INDEX(연료전지_원본!$KB$4:$KX$369,MATCH($A281,연료전지_원본!$KB$4:$KB$369,0), MATCH(CK$4,연료전지_원본!$KB$4:$KX$4,0))*1000</f>
        <v>0</v>
      </c>
      <c r="CL281" s="250">
        <f>INDEX(연료전지_원본!$KB$4:$KX$369,MATCH($A281,연료전지_원본!$KB$4:$KB$369,0), MATCH(CL$4,연료전지_원본!$KB$4:$KX$4,0))*1000</f>
        <v>0</v>
      </c>
      <c r="CM281" s="250">
        <f>INDEX(연료전지_원본!$KB$4:$KX$369,MATCH($A281,연료전지_원본!$KB$4:$KB$369,0), MATCH(CM$4,연료전지_원본!$KB$4:$KX$4,0))*1000</f>
        <v>0</v>
      </c>
      <c r="CN281" s="250">
        <f>INDEX(연료전지_원본!$KB$4:$KX$369,MATCH($A281,연료전지_원본!$KB$4:$KB$369,0), MATCH(CN$4,연료전지_원본!$KB$4:$KX$4,0))*1000</f>
        <v>0</v>
      </c>
      <c r="CO281" s="250">
        <f>INDEX(연료전지_원본!$KB$4:$KX$369,MATCH($A281,연료전지_원본!$KB$4:$KB$369,0), MATCH(CO$4,연료전지_원본!$KB$4:$KX$4,0))*1000</f>
        <v>0</v>
      </c>
      <c r="CP281" s="250">
        <f>INDEX(연료전지_원본!$KB$4:$KX$369,MATCH($A281,연료전지_원본!$KB$4:$KB$369,0), MATCH(CP$4,연료전지_원본!$KB$4:$KX$4,0))*1000</f>
        <v>0</v>
      </c>
      <c r="CQ281" s="250">
        <f>INDEX(연료전지_원본!$KB$4:$KX$369,MATCH($A281,연료전지_원본!$KB$4:$KB$369,0), MATCH(CQ$4,연료전지_원본!$KB$4:$KX$4,0))*1000</f>
        <v>0</v>
      </c>
      <c r="CR281" s="250">
        <f>INDEX(연료전지_원본!$KB$4:$KX$369,MATCH($A281,연료전지_원본!$KB$4:$KB$369,0), MATCH(CR$4,연료전지_원본!$KB$4:$KX$4,0))*1000</f>
        <v>0</v>
      </c>
      <c r="CS281" s="250">
        <f>INDEX(연료전지_원본!$KB$4:$KX$369,MATCH($A281,연료전지_원본!$KB$4:$KB$369,0), MATCH(CS$4,연료전지_원본!$KB$4:$KX$4,0))*1000</f>
        <v>0</v>
      </c>
      <c r="CT281" s="250">
        <f>INDEX(연료전지_원본!$KB$4:$KX$369,MATCH($A281,연료전지_원본!$KB$4:$KB$369,0), MATCH(CT$4,연료전지_원본!$KB$4:$KX$4,0))*1000</f>
        <v>0</v>
      </c>
      <c r="CU281" s="250">
        <f>INDEX(연료전지_원본!$KB$4:$KX$369,MATCH($A281,연료전지_원본!$KB$4:$KB$369,0), MATCH(CU$4,연료전지_원본!$KB$4:$KX$4,0))*1000</f>
        <v>0</v>
      </c>
      <c r="CV281" s="250">
        <f>INDEX(연료전지_원본!$KB$4:$KX$369,MATCH($A281,연료전지_원본!$KB$4:$KB$369,0), MATCH(CV$4,연료전지_원본!$KB$4:$KX$4,0))*1000</f>
        <v>0</v>
      </c>
      <c r="CW281" s="250">
        <f>INDEX(연료전지_원본!$KB$4:$KX$369,MATCH($A281,연료전지_원본!$KB$4:$KB$369,0), MATCH(CW$4,연료전지_원본!$KB$4:$KX$4,0))*1000</f>
        <v>0</v>
      </c>
      <c r="CX281" s="250">
        <f>INDEX(연료전지_원본!$KB$4:$KX$369,MATCH($A281,연료전지_원본!$KB$4:$KB$369,0), MATCH(CX$4,연료전지_원본!$KB$4:$KX$4,0))*1000</f>
        <v>0</v>
      </c>
      <c r="CY281" s="250">
        <f>INDEX(연료전지_원본!$KB$4:$KX$369,MATCH($A281,연료전지_원본!$KB$4:$KB$369,0), MATCH(CY$4,연료전지_원본!$KB$4:$KX$4,0))*1000</f>
        <v>0</v>
      </c>
      <c r="DV281" s="30">
        <f t="shared" si="1285"/>
        <v>0</v>
      </c>
    </row>
    <row r="282" spans="1:126">
      <c r="A282" s="6">
        <v>46299</v>
      </c>
      <c r="B282" s="15">
        <f>운전실적_원본!B282</f>
        <v>0</v>
      </c>
      <c r="C282" s="16" t="str">
        <f t="shared" si="1291"/>
        <v/>
      </c>
      <c r="D282" s="12">
        <f>운전실적_원본!C282</f>
        <v>0</v>
      </c>
      <c r="E282" s="12" t="str">
        <f t="shared" si="1292"/>
        <v/>
      </c>
      <c r="F282" s="12">
        <f>운전실적_원본!D282</f>
        <v>0</v>
      </c>
      <c r="G282" s="16" t="str">
        <f t="shared" si="1293"/>
        <v/>
      </c>
      <c r="H282" s="15">
        <f>운전실적_원본!E282</f>
        <v>0</v>
      </c>
      <c r="I282" s="16" t="str">
        <f t="shared" si="1294"/>
        <v/>
      </c>
      <c r="J282" s="15">
        <f>운전실적_원본!F282</f>
        <v>0</v>
      </c>
      <c r="K282" s="16" t="str">
        <f t="shared" si="1294"/>
        <v/>
      </c>
      <c r="L282" s="32">
        <f>운전실적_원본!G282</f>
        <v>0</v>
      </c>
      <c r="M282" s="31" t="str">
        <f t="shared" ref="M282" si="1551">IF(OR(LEN(L282)=0,L282=0),"",L282-L281)</f>
        <v/>
      </c>
      <c r="N282" s="15">
        <f>운전실적_원본!H282</f>
        <v>0</v>
      </c>
      <c r="O282" s="16" t="str">
        <f t="shared" ref="O282" si="1552">IF(OR(LEN(N282)=0,N282=0),"",N282-N281)</f>
        <v/>
      </c>
      <c r="P282" s="15">
        <f>운전실적_원본!I282</f>
        <v>0</v>
      </c>
      <c r="Q282" s="16" t="str">
        <f t="shared" ref="Q282" si="1553">IF(OR(LEN(P282)=0,P282=0),"",P282-P281)</f>
        <v/>
      </c>
      <c r="R282" s="18">
        <f>운전실적_원본!J282</f>
        <v>0</v>
      </c>
      <c r="S282" s="19" t="str">
        <f t="shared" ref="S282" si="1554">IF(OR(LEN(R282)=0,R282=0),"",R282-R281)</f>
        <v/>
      </c>
      <c r="T282" s="18">
        <f>운전실적_원본!K282</f>
        <v>0</v>
      </c>
      <c r="U282" s="19" t="str">
        <f t="shared" si="1299"/>
        <v/>
      </c>
      <c r="V282" s="12">
        <f>운전실적_원본!L282</f>
        <v>0</v>
      </c>
      <c r="W282" s="16" t="str">
        <f t="shared" ref="W282" si="1555">IF(OR(LEN(V282)=0,V282=0),"",V282-V281)</f>
        <v/>
      </c>
      <c r="X282" s="10">
        <f>운전실적_원본!M282</f>
        <v>0</v>
      </c>
      <c r="Y282" s="10">
        <f>운전실적_원본!N282</f>
        <v>0</v>
      </c>
      <c r="Z282" s="10">
        <f>운전실적_원본!O282</f>
        <v>0</v>
      </c>
      <c r="AA282" s="10">
        <f>운전실적_원본!P282</f>
        <v>0</v>
      </c>
      <c r="AB282" s="10">
        <f>운전실적_원본!Q282</f>
        <v>0</v>
      </c>
      <c r="AC282" s="20">
        <f>운전실적_원본!R282</f>
        <v>0</v>
      </c>
      <c r="AD282" s="109">
        <f>운전실적_원본!S282</f>
        <v>0</v>
      </c>
      <c r="AE282" s="110">
        <f>운전실적_원본!T282</f>
        <v>0</v>
      </c>
      <c r="AF282" s="110">
        <f>운전실적_원본!U282</f>
        <v>0</v>
      </c>
      <c r="AG282" s="110">
        <f>운전실적_원본!V282</f>
        <v>0</v>
      </c>
      <c r="AH282" s="109">
        <f t="shared" si="1453"/>
        <v>0</v>
      </c>
      <c r="AI282" s="110">
        <f t="shared" si="1460"/>
        <v>0</v>
      </c>
      <c r="AJ282" s="110">
        <f>운전실적_원본!Y282</f>
        <v>0</v>
      </c>
      <c r="AK282" s="110">
        <f>운전실적_원본!Z282</f>
        <v>0</v>
      </c>
      <c r="AL282" s="106"/>
      <c r="AM282" s="105"/>
      <c r="AN282" s="105"/>
      <c r="AO282" s="105"/>
      <c r="AP282" s="105"/>
      <c r="AQ282" s="108"/>
      <c r="AR282" s="105"/>
      <c r="AS282" s="105"/>
      <c r="AT282" s="102"/>
      <c r="AU282" s="102"/>
      <c r="AV282" s="102"/>
      <c r="AW282" s="102"/>
      <c r="AX282" s="32">
        <f>운전실적_원본!W282</f>
        <v>0</v>
      </c>
      <c r="AY282" s="11">
        <f>운전실적_원본!X282</f>
        <v>0</v>
      </c>
      <c r="AZ282" s="11">
        <f>운전실적_원본!Y282</f>
        <v>0</v>
      </c>
      <c r="BA282" s="11">
        <f>운전실적_원본!Z282</f>
        <v>0</v>
      </c>
      <c r="BB282" s="11">
        <f>운전실적_원본!AA282</f>
        <v>0</v>
      </c>
      <c r="BC282" s="11">
        <f>운전실적_원본!AB282</f>
        <v>0</v>
      </c>
      <c r="BD282" s="32" t="str">
        <f t="shared" si="1446"/>
        <v>-</v>
      </c>
      <c r="BE282" s="11" t="str">
        <f t="shared" si="1454"/>
        <v>-</v>
      </c>
      <c r="BF282" s="11">
        <f>운전실적_원본!AE282</f>
        <v>0</v>
      </c>
      <c r="BG282" s="31">
        <f t="shared" si="1447"/>
        <v>0</v>
      </c>
      <c r="BH282" s="241">
        <f>INDEX(연료전지_원본!$A$4:$KY$369,MATCH($A282,연료전지_원본!$A$4:$A$369,0),MATCH($BH$4,연료전지_원본!$A$4:$KY$4,0))</f>
        <v>0</v>
      </c>
      <c r="BI282" s="241">
        <f>INDEX(연료전지_원본!$A$4:$KY$369,MATCH($A282,연료전지_원본!$A$4:$A$369,0),MATCH($BI$4,연료전지_원본!$A$4:$KY$4,0))</f>
        <v>0</v>
      </c>
      <c r="BJ282" s="241">
        <f>INDEX(연료전지_원본!$A$4:$KY$369,MATCH($A282,연료전지_원본!$A$4:$A$369,0),MATCH($BJ$4,연료전지_원본!$A$4:$KY$4,0))</f>
        <v>0</v>
      </c>
      <c r="BK282" s="241">
        <f>INDEX(연료전지_원본!$A$4:$KY$369,MATCH($A282,연료전지_원본!$A$4:$A$369,0),MATCH($BK$4,연료전지_원본!$A$4:$KY$4,0))</f>
        <v>0</v>
      </c>
      <c r="BL282" s="241">
        <f>INDEX(연료전지_원본!$A$4:$KY$369,MATCH($A282,연료전지_원본!$A$4:$A$369,0),MATCH($BL$4,연료전지_원본!$A$4:$KY$4,0))</f>
        <v>0</v>
      </c>
      <c r="BM282" s="241">
        <f>INDEX(연료전지_원본!$A$4:$KY$369,MATCH($A282,연료전지_원본!$A$4:$A$369,0),MATCH($BM$4,연료전지_원본!$A$4:$KY$4,0))</f>
        <v>0</v>
      </c>
      <c r="BN282" s="241">
        <f>INDEX(연료전지_원본!$A$4:$KY$369,MATCH($A282,연료전지_원본!$A$4:$A$369,0),MATCH($BN$4,연료전지_원본!$A$4:$KY$4,0))</f>
        <v>0</v>
      </c>
      <c r="BO282" s="241">
        <f>INDEX(연료전지_원본!$A$4:$KY$369,MATCH($A282,연료전지_원본!$A$4:$A$369,0),MATCH($BO$4,연료전지_원본!$A$4:$KY$4,0))</f>
        <v>0</v>
      </c>
      <c r="BP282" s="241">
        <f>INDEX(연료전지_원본!$A$4:$KY$369,MATCH($A282,연료전지_원본!$A$4:$A$369,0),MATCH($BP$4,연료전지_원본!$A$4:$KY$4,0))</f>
        <v>0</v>
      </c>
      <c r="BQ282" s="241">
        <f>INDEX(연료전지_원본!$A$4:$KY$369,MATCH($A282,연료전지_원본!$A$4:$A$369,0),MATCH($BQ$4,연료전지_원본!$A$4:$KY$4,0))</f>
        <v>0</v>
      </c>
      <c r="BR282" s="241">
        <f>INDEX(연료전지_원본!$A$4:$KY$369,MATCH($A282,연료전지_원본!$A$4:$A$369,0),MATCH($BR$4,연료전지_원본!$A$4:$KY$4,0))</f>
        <v>0</v>
      </c>
      <c r="BS282" s="241">
        <f>INDEX(연료전지_원본!$A$4:$KY$369,MATCH($A282,연료전지_원본!$A$4:$A$369,0),MATCH($BS$4,연료전지_원본!$A$4:$KY$4,0))</f>
        <v>0</v>
      </c>
      <c r="BT282" s="241">
        <f>INDEX(연료전지_원본!$A$4:$KY$369,MATCH($A282,연료전지_원본!$A$4:$A$369,0),MATCH($BT$4,연료전지_원본!$A$4:$KY$4,0))</f>
        <v>0</v>
      </c>
      <c r="BU282" s="241">
        <f>INDEX(연료전지_원본!$A$4:$KY$369,MATCH($A282,연료전지_원본!$A$4:$A$369,0),MATCH($BU$4,연료전지_원본!$A$4:$KY$4,0))</f>
        <v>0</v>
      </c>
      <c r="BV282" s="241">
        <f>INDEX(연료전지_원본!$A$4:$KY$369,MATCH($A282,연료전지_원본!$A$4:$A$369,0),MATCH($BV$4,연료전지_원본!$A$4:$KY$4,0))</f>
        <v>0</v>
      </c>
      <c r="BW282" s="241">
        <f>INDEX(연료전지_원본!$A$4:$KY$369,MATCH($A282,연료전지_원본!$A$4:$A$369,0),MATCH($BW$4,연료전지_원본!$A$4:$KY$4,0))</f>
        <v>0</v>
      </c>
      <c r="BX282" s="241">
        <f>INDEX(연료전지_원본!$A$4:$KY$369,MATCH($A282,연료전지_원본!$A$4:$A$369,0),MATCH($BX$4,연료전지_원본!$A$4:$KY$4,0))</f>
        <v>0</v>
      </c>
      <c r="BY282" s="241">
        <f>INDEX(연료전지_원본!$A$4:$KY$369,MATCH($A282,연료전지_원본!$A$4:$A$369,0),MATCH($BY$4,연료전지_원본!$A$4:$KY$4,0))</f>
        <v>0</v>
      </c>
      <c r="BZ282" s="241">
        <f>INDEX(연료전지_원본!$A$4:$KY$369,MATCH($A282,연료전지_원본!$A$4:$A$369,0),MATCH($BZ$4,연료전지_원본!$A$4:$KY$4,0))</f>
        <v>0</v>
      </c>
      <c r="CA282" s="241">
        <f>INDEX(연료전지_원본!$A$4:$KY$369,MATCH($A282,연료전지_원본!$A$4:$A$369,0),MATCH($CA$4,연료전지_원본!$A$4:$KY$4,0))</f>
        <v>0</v>
      </c>
      <c r="CB282" s="241">
        <f>INDEX(연료전지_원본!$A$4:$KY$369,MATCH($A282,연료전지_원본!$A$4:$A$369,0),MATCH($CB$4,연료전지_원본!$A$4:$KY$4,0))</f>
        <v>0</v>
      </c>
      <c r="CC282" s="242">
        <f>INDEX(연료전지_원본!$A$4:$KY$369,MATCH($A282,연료전지_원본!$A$4:$A$369,0),MATCH($CC$4,연료전지_원본!$A$4:$KY$4,0))</f>
        <v>0</v>
      </c>
      <c r="CD282" s="250">
        <f>INDEX(연료전지_원본!$KB$4:$KX$369,MATCH($A282,연료전지_원본!$KB$4:$KB$369,0), MATCH(CD$4,연료전지_원본!$KB$4:$KX$4,0))*1000</f>
        <v>0</v>
      </c>
      <c r="CE282" s="250">
        <f>INDEX(연료전지_원본!$KB$4:$KX$369,MATCH($A282,연료전지_원본!$KB$4:$KB$369,0), MATCH(CE$4,연료전지_원본!$KB$4:$KX$4,0))*1000</f>
        <v>0</v>
      </c>
      <c r="CF282" s="250">
        <f>INDEX(연료전지_원본!$KB$4:$KX$369,MATCH($A282,연료전지_원본!$KB$4:$KB$369,0), MATCH(CF$4,연료전지_원본!$KB$4:$KX$4,0))*1000</f>
        <v>0</v>
      </c>
      <c r="CG282" s="250">
        <f>INDEX(연료전지_원본!$KB$4:$KX$369,MATCH($A282,연료전지_원본!$KB$4:$KB$369,0), MATCH(CG$4,연료전지_원본!$KB$4:$KX$4,0))*1000</f>
        <v>0</v>
      </c>
      <c r="CH282" s="250">
        <f>INDEX(연료전지_원본!$KB$4:$KX$369,MATCH($A282,연료전지_원본!$KB$4:$KB$369,0), MATCH(CH$4,연료전지_원본!$KB$4:$KX$4,0))*1000</f>
        <v>0</v>
      </c>
      <c r="CI282" s="250">
        <f>INDEX(연료전지_원본!$KB$4:$KX$369,MATCH($A282,연료전지_원본!$KB$4:$KB$369,0), MATCH(CI$4,연료전지_원본!$KB$4:$KX$4,0))*1000</f>
        <v>0</v>
      </c>
      <c r="CJ282" s="250">
        <f>INDEX(연료전지_원본!$KB$4:$KX$369,MATCH($A282,연료전지_원본!$KB$4:$KB$369,0), MATCH(CJ$4,연료전지_원본!$KB$4:$KX$4,0))*1000</f>
        <v>0</v>
      </c>
      <c r="CK282" s="250">
        <f>INDEX(연료전지_원본!$KB$4:$KX$369,MATCH($A282,연료전지_원본!$KB$4:$KB$369,0), MATCH(CK$4,연료전지_원본!$KB$4:$KX$4,0))*1000</f>
        <v>0</v>
      </c>
      <c r="CL282" s="250">
        <f>INDEX(연료전지_원본!$KB$4:$KX$369,MATCH($A282,연료전지_원본!$KB$4:$KB$369,0), MATCH(CL$4,연료전지_원본!$KB$4:$KX$4,0))*1000</f>
        <v>0</v>
      </c>
      <c r="CM282" s="250">
        <f>INDEX(연료전지_원본!$KB$4:$KX$369,MATCH($A282,연료전지_원본!$KB$4:$KB$369,0), MATCH(CM$4,연료전지_원본!$KB$4:$KX$4,0))*1000</f>
        <v>0</v>
      </c>
      <c r="CN282" s="250">
        <f>INDEX(연료전지_원본!$KB$4:$KX$369,MATCH($A282,연료전지_원본!$KB$4:$KB$369,0), MATCH(CN$4,연료전지_원본!$KB$4:$KX$4,0))*1000</f>
        <v>0</v>
      </c>
      <c r="CO282" s="250">
        <f>INDEX(연료전지_원본!$KB$4:$KX$369,MATCH($A282,연료전지_원본!$KB$4:$KB$369,0), MATCH(CO$4,연료전지_원본!$KB$4:$KX$4,0))*1000</f>
        <v>0</v>
      </c>
      <c r="CP282" s="250">
        <f>INDEX(연료전지_원본!$KB$4:$KX$369,MATCH($A282,연료전지_원본!$KB$4:$KB$369,0), MATCH(CP$4,연료전지_원본!$KB$4:$KX$4,0))*1000</f>
        <v>0</v>
      </c>
      <c r="CQ282" s="250">
        <f>INDEX(연료전지_원본!$KB$4:$KX$369,MATCH($A282,연료전지_원본!$KB$4:$KB$369,0), MATCH(CQ$4,연료전지_원본!$KB$4:$KX$4,0))*1000</f>
        <v>0</v>
      </c>
      <c r="CR282" s="250">
        <f>INDEX(연료전지_원본!$KB$4:$KX$369,MATCH($A282,연료전지_원본!$KB$4:$KB$369,0), MATCH(CR$4,연료전지_원본!$KB$4:$KX$4,0))*1000</f>
        <v>0</v>
      </c>
      <c r="CS282" s="250">
        <f>INDEX(연료전지_원본!$KB$4:$KX$369,MATCH($A282,연료전지_원본!$KB$4:$KB$369,0), MATCH(CS$4,연료전지_원본!$KB$4:$KX$4,0))*1000</f>
        <v>0</v>
      </c>
      <c r="CT282" s="250">
        <f>INDEX(연료전지_원본!$KB$4:$KX$369,MATCH($A282,연료전지_원본!$KB$4:$KB$369,0), MATCH(CT$4,연료전지_원본!$KB$4:$KX$4,0))*1000</f>
        <v>0</v>
      </c>
      <c r="CU282" s="250">
        <f>INDEX(연료전지_원본!$KB$4:$KX$369,MATCH($A282,연료전지_원본!$KB$4:$KB$369,0), MATCH(CU$4,연료전지_원본!$KB$4:$KX$4,0))*1000</f>
        <v>0</v>
      </c>
      <c r="CV282" s="250">
        <f>INDEX(연료전지_원본!$KB$4:$KX$369,MATCH($A282,연료전지_원본!$KB$4:$KB$369,0), MATCH(CV$4,연료전지_원본!$KB$4:$KX$4,0))*1000</f>
        <v>0</v>
      </c>
      <c r="CW282" s="250">
        <f>INDEX(연료전지_원본!$KB$4:$KX$369,MATCH($A282,연료전지_원본!$KB$4:$KB$369,0), MATCH(CW$4,연료전지_원본!$KB$4:$KX$4,0))*1000</f>
        <v>0</v>
      </c>
      <c r="CX282" s="250">
        <f>INDEX(연료전지_원본!$KB$4:$KX$369,MATCH($A282,연료전지_원본!$KB$4:$KB$369,0), MATCH(CX$4,연료전지_원본!$KB$4:$KX$4,0))*1000</f>
        <v>0</v>
      </c>
      <c r="CY282" s="250">
        <f>INDEX(연료전지_원본!$KB$4:$KX$369,MATCH($A282,연료전지_원본!$KB$4:$KB$369,0), MATCH(CY$4,연료전지_원본!$KB$4:$KX$4,0))*1000</f>
        <v>0</v>
      </c>
      <c r="DV282" s="30">
        <f t="shared" si="1285"/>
        <v>0</v>
      </c>
    </row>
    <row r="283" spans="1:126">
      <c r="A283" s="6">
        <v>46300</v>
      </c>
      <c r="B283" s="15">
        <f>운전실적_원본!B283</f>
        <v>0</v>
      </c>
      <c r="C283" s="16" t="str">
        <f t="shared" si="1291"/>
        <v/>
      </c>
      <c r="D283" s="12">
        <f>운전실적_원본!C283</f>
        <v>0</v>
      </c>
      <c r="E283" s="12" t="str">
        <f t="shared" si="1292"/>
        <v/>
      </c>
      <c r="F283" s="12">
        <f>운전실적_원본!D283</f>
        <v>0</v>
      </c>
      <c r="G283" s="16" t="str">
        <f t="shared" si="1293"/>
        <v/>
      </c>
      <c r="H283" s="15">
        <f>운전실적_원본!E283</f>
        <v>0</v>
      </c>
      <c r="I283" s="16" t="str">
        <f t="shared" si="1294"/>
        <v/>
      </c>
      <c r="J283" s="15">
        <f>운전실적_원본!F283</f>
        <v>0</v>
      </c>
      <c r="K283" s="16" t="str">
        <f t="shared" si="1294"/>
        <v/>
      </c>
      <c r="L283" s="32">
        <f>운전실적_원본!G283</f>
        <v>0</v>
      </c>
      <c r="M283" s="31" t="str">
        <f t="shared" ref="M283" si="1556">IF(OR(LEN(L283)=0,L283=0),"",L283-L282)</f>
        <v/>
      </c>
      <c r="N283" s="15">
        <f>운전실적_원본!H283</f>
        <v>0</v>
      </c>
      <c r="O283" s="16" t="str">
        <f t="shared" ref="O283" si="1557">IF(OR(LEN(N283)=0,N283=0),"",N283-N282)</f>
        <v/>
      </c>
      <c r="P283" s="15">
        <f>운전실적_원본!I283</f>
        <v>0</v>
      </c>
      <c r="Q283" s="16" t="str">
        <f t="shared" ref="Q283" si="1558">IF(OR(LEN(P283)=0,P283=0),"",P283-P282)</f>
        <v/>
      </c>
      <c r="R283" s="18">
        <f>운전실적_원본!J283</f>
        <v>0</v>
      </c>
      <c r="S283" s="19" t="str">
        <f t="shared" ref="S283" si="1559">IF(OR(LEN(R283)=0,R283=0),"",R283-R282)</f>
        <v/>
      </c>
      <c r="T283" s="18">
        <f>운전실적_원본!K283</f>
        <v>0</v>
      </c>
      <c r="U283" s="19" t="str">
        <f t="shared" si="1299"/>
        <v/>
      </c>
      <c r="V283" s="12">
        <f>운전실적_원본!L283</f>
        <v>0</v>
      </c>
      <c r="W283" s="16" t="str">
        <f t="shared" ref="W283" si="1560">IF(OR(LEN(V283)=0,V283=0),"",V283-V282)</f>
        <v/>
      </c>
      <c r="X283" s="10">
        <f>운전실적_원본!M283</f>
        <v>0</v>
      </c>
      <c r="Y283" s="10">
        <f>운전실적_원본!N283</f>
        <v>0</v>
      </c>
      <c r="Z283" s="10">
        <f>운전실적_원본!O283</f>
        <v>0</v>
      </c>
      <c r="AA283" s="10">
        <f>운전실적_원본!P283</f>
        <v>0</v>
      </c>
      <c r="AB283" s="10">
        <f>운전실적_원본!Q283</f>
        <v>0</v>
      </c>
      <c r="AC283" s="20">
        <f>운전실적_원본!R283</f>
        <v>0</v>
      </c>
      <c r="AD283" s="109">
        <f>운전실적_원본!S283</f>
        <v>0</v>
      </c>
      <c r="AE283" s="110">
        <f>운전실적_원본!T283</f>
        <v>0</v>
      </c>
      <c r="AF283" s="110">
        <f>운전실적_원본!U283</f>
        <v>0</v>
      </c>
      <c r="AG283" s="110">
        <f>운전실적_원본!V283</f>
        <v>0</v>
      </c>
      <c r="AH283" s="109">
        <f t="shared" si="1453"/>
        <v>0</v>
      </c>
      <c r="AI283" s="110">
        <f t="shared" si="1460"/>
        <v>0</v>
      </c>
      <c r="AJ283" s="110">
        <f>운전실적_원본!Y283</f>
        <v>0</v>
      </c>
      <c r="AK283" s="110">
        <f>운전실적_원본!Z283</f>
        <v>0</v>
      </c>
      <c r="AL283" s="106"/>
      <c r="AM283" s="105"/>
      <c r="AN283" s="105"/>
      <c r="AO283" s="105"/>
      <c r="AP283" s="105"/>
      <c r="AQ283" s="108"/>
      <c r="AR283" s="105"/>
      <c r="AS283" s="105"/>
      <c r="AT283" s="102"/>
      <c r="AU283" s="102"/>
      <c r="AV283" s="102"/>
      <c r="AW283" s="102"/>
      <c r="AX283" s="32">
        <f>운전실적_원본!W283</f>
        <v>0</v>
      </c>
      <c r="AY283" s="11">
        <f>운전실적_원본!X283</f>
        <v>0</v>
      </c>
      <c r="AZ283" s="11">
        <f>운전실적_원본!Y283</f>
        <v>0</v>
      </c>
      <c r="BA283" s="11">
        <f>운전실적_원본!Z283</f>
        <v>0</v>
      </c>
      <c r="BB283" s="11">
        <f>운전실적_원본!AA283</f>
        <v>0</v>
      </c>
      <c r="BC283" s="11">
        <f>운전실적_원본!AB283</f>
        <v>0</v>
      </c>
      <c r="BD283" s="32" t="str">
        <f t="shared" si="1446"/>
        <v>-</v>
      </c>
      <c r="BE283" s="11" t="str">
        <f t="shared" si="1454"/>
        <v>-</v>
      </c>
      <c r="BF283" s="11">
        <f>운전실적_원본!AE283</f>
        <v>0</v>
      </c>
      <c r="BG283" s="31">
        <f t="shared" si="1447"/>
        <v>0</v>
      </c>
      <c r="BH283" s="241">
        <f>INDEX(연료전지_원본!$A$4:$KY$369,MATCH($A283,연료전지_원본!$A$4:$A$369,0),MATCH($BH$4,연료전지_원본!$A$4:$KY$4,0))</f>
        <v>0</v>
      </c>
      <c r="BI283" s="241">
        <f>INDEX(연료전지_원본!$A$4:$KY$369,MATCH($A283,연료전지_원본!$A$4:$A$369,0),MATCH($BI$4,연료전지_원본!$A$4:$KY$4,0))</f>
        <v>0</v>
      </c>
      <c r="BJ283" s="241">
        <f>INDEX(연료전지_원본!$A$4:$KY$369,MATCH($A283,연료전지_원본!$A$4:$A$369,0),MATCH($BJ$4,연료전지_원본!$A$4:$KY$4,0))</f>
        <v>0</v>
      </c>
      <c r="BK283" s="241">
        <f>INDEX(연료전지_원본!$A$4:$KY$369,MATCH($A283,연료전지_원본!$A$4:$A$369,0),MATCH($BK$4,연료전지_원본!$A$4:$KY$4,0))</f>
        <v>0</v>
      </c>
      <c r="BL283" s="241">
        <f>INDEX(연료전지_원본!$A$4:$KY$369,MATCH($A283,연료전지_원본!$A$4:$A$369,0),MATCH($BL$4,연료전지_원본!$A$4:$KY$4,0))</f>
        <v>0</v>
      </c>
      <c r="BM283" s="241">
        <f>INDEX(연료전지_원본!$A$4:$KY$369,MATCH($A283,연료전지_원본!$A$4:$A$369,0),MATCH($BM$4,연료전지_원본!$A$4:$KY$4,0))</f>
        <v>0</v>
      </c>
      <c r="BN283" s="241">
        <f>INDEX(연료전지_원본!$A$4:$KY$369,MATCH($A283,연료전지_원본!$A$4:$A$369,0),MATCH($BN$4,연료전지_원본!$A$4:$KY$4,0))</f>
        <v>0</v>
      </c>
      <c r="BO283" s="241">
        <f>INDEX(연료전지_원본!$A$4:$KY$369,MATCH($A283,연료전지_원본!$A$4:$A$369,0),MATCH($BO$4,연료전지_원본!$A$4:$KY$4,0))</f>
        <v>0</v>
      </c>
      <c r="BP283" s="241">
        <f>INDEX(연료전지_원본!$A$4:$KY$369,MATCH($A283,연료전지_원본!$A$4:$A$369,0),MATCH($BP$4,연료전지_원본!$A$4:$KY$4,0))</f>
        <v>0</v>
      </c>
      <c r="BQ283" s="241">
        <f>INDEX(연료전지_원본!$A$4:$KY$369,MATCH($A283,연료전지_원본!$A$4:$A$369,0),MATCH($BQ$4,연료전지_원본!$A$4:$KY$4,0))</f>
        <v>0</v>
      </c>
      <c r="BR283" s="241">
        <f>INDEX(연료전지_원본!$A$4:$KY$369,MATCH($A283,연료전지_원본!$A$4:$A$369,0),MATCH($BR$4,연료전지_원본!$A$4:$KY$4,0))</f>
        <v>0</v>
      </c>
      <c r="BS283" s="241">
        <f>INDEX(연료전지_원본!$A$4:$KY$369,MATCH($A283,연료전지_원본!$A$4:$A$369,0),MATCH($BS$4,연료전지_원본!$A$4:$KY$4,0))</f>
        <v>0</v>
      </c>
      <c r="BT283" s="241">
        <f>INDEX(연료전지_원본!$A$4:$KY$369,MATCH($A283,연료전지_원본!$A$4:$A$369,0),MATCH($BT$4,연료전지_원본!$A$4:$KY$4,0))</f>
        <v>0</v>
      </c>
      <c r="BU283" s="241">
        <f>INDEX(연료전지_원본!$A$4:$KY$369,MATCH($A283,연료전지_원본!$A$4:$A$369,0),MATCH($BU$4,연료전지_원본!$A$4:$KY$4,0))</f>
        <v>0</v>
      </c>
      <c r="BV283" s="241">
        <f>INDEX(연료전지_원본!$A$4:$KY$369,MATCH($A283,연료전지_원본!$A$4:$A$369,0),MATCH($BV$4,연료전지_원본!$A$4:$KY$4,0))</f>
        <v>0</v>
      </c>
      <c r="BW283" s="241">
        <f>INDEX(연료전지_원본!$A$4:$KY$369,MATCH($A283,연료전지_원본!$A$4:$A$369,0),MATCH($BW$4,연료전지_원본!$A$4:$KY$4,0))</f>
        <v>0</v>
      </c>
      <c r="BX283" s="241">
        <f>INDEX(연료전지_원본!$A$4:$KY$369,MATCH($A283,연료전지_원본!$A$4:$A$369,0),MATCH($BX$4,연료전지_원본!$A$4:$KY$4,0))</f>
        <v>0</v>
      </c>
      <c r="BY283" s="241">
        <f>INDEX(연료전지_원본!$A$4:$KY$369,MATCH($A283,연료전지_원본!$A$4:$A$369,0),MATCH($BY$4,연료전지_원본!$A$4:$KY$4,0))</f>
        <v>0</v>
      </c>
      <c r="BZ283" s="241">
        <f>INDEX(연료전지_원본!$A$4:$KY$369,MATCH($A283,연료전지_원본!$A$4:$A$369,0),MATCH($BZ$4,연료전지_원본!$A$4:$KY$4,0))</f>
        <v>0</v>
      </c>
      <c r="CA283" s="241">
        <f>INDEX(연료전지_원본!$A$4:$KY$369,MATCH($A283,연료전지_원본!$A$4:$A$369,0),MATCH($CA$4,연료전지_원본!$A$4:$KY$4,0))</f>
        <v>0</v>
      </c>
      <c r="CB283" s="241">
        <f>INDEX(연료전지_원본!$A$4:$KY$369,MATCH($A283,연료전지_원본!$A$4:$A$369,0),MATCH($CB$4,연료전지_원본!$A$4:$KY$4,0))</f>
        <v>0</v>
      </c>
      <c r="CC283" s="242">
        <f>INDEX(연료전지_원본!$A$4:$KY$369,MATCH($A283,연료전지_원본!$A$4:$A$369,0),MATCH($CC$4,연료전지_원본!$A$4:$KY$4,0))</f>
        <v>0</v>
      </c>
      <c r="CD283" s="250">
        <f>INDEX(연료전지_원본!$KB$4:$KX$369,MATCH($A283,연료전지_원본!$KB$4:$KB$369,0), MATCH(CD$4,연료전지_원본!$KB$4:$KX$4,0))*1000</f>
        <v>0</v>
      </c>
      <c r="CE283" s="250">
        <f>INDEX(연료전지_원본!$KB$4:$KX$369,MATCH($A283,연료전지_원본!$KB$4:$KB$369,0), MATCH(CE$4,연료전지_원본!$KB$4:$KX$4,0))*1000</f>
        <v>0</v>
      </c>
      <c r="CF283" s="250">
        <f>INDEX(연료전지_원본!$KB$4:$KX$369,MATCH($A283,연료전지_원본!$KB$4:$KB$369,0), MATCH(CF$4,연료전지_원본!$KB$4:$KX$4,0))*1000</f>
        <v>0</v>
      </c>
      <c r="CG283" s="250">
        <f>INDEX(연료전지_원본!$KB$4:$KX$369,MATCH($A283,연료전지_원본!$KB$4:$KB$369,0), MATCH(CG$4,연료전지_원본!$KB$4:$KX$4,0))*1000</f>
        <v>0</v>
      </c>
      <c r="CH283" s="250">
        <f>INDEX(연료전지_원본!$KB$4:$KX$369,MATCH($A283,연료전지_원본!$KB$4:$KB$369,0), MATCH(CH$4,연료전지_원본!$KB$4:$KX$4,0))*1000</f>
        <v>0</v>
      </c>
      <c r="CI283" s="250">
        <f>INDEX(연료전지_원본!$KB$4:$KX$369,MATCH($A283,연료전지_원본!$KB$4:$KB$369,0), MATCH(CI$4,연료전지_원본!$KB$4:$KX$4,0))*1000</f>
        <v>0</v>
      </c>
      <c r="CJ283" s="250">
        <f>INDEX(연료전지_원본!$KB$4:$KX$369,MATCH($A283,연료전지_원본!$KB$4:$KB$369,0), MATCH(CJ$4,연료전지_원본!$KB$4:$KX$4,0))*1000</f>
        <v>0</v>
      </c>
      <c r="CK283" s="250">
        <f>INDEX(연료전지_원본!$KB$4:$KX$369,MATCH($A283,연료전지_원본!$KB$4:$KB$369,0), MATCH(CK$4,연료전지_원본!$KB$4:$KX$4,0))*1000</f>
        <v>0</v>
      </c>
      <c r="CL283" s="250">
        <f>INDEX(연료전지_원본!$KB$4:$KX$369,MATCH($A283,연료전지_원본!$KB$4:$KB$369,0), MATCH(CL$4,연료전지_원본!$KB$4:$KX$4,0))*1000</f>
        <v>0</v>
      </c>
      <c r="CM283" s="250">
        <f>INDEX(연료전지_원본!$KB$4:$KX$369,MATCH($A283,연료전지_원본!$KB$4:$KB$369,0), MATCH(CM$4,연료전지_원본!$KB$4:$KX$4,0))*1000</f>
        <v>0</v>
      </c>
      <c r="CN283" s="250">
        <f>INDEX(연료전지_원본!$KB$4:$KX$369,MATCH($A283,연료전지_원본!$KB$4:$KB$369,0), MATCH(CN$4,연료전지_원본!$KB$4:$KX$4,0))*1000</f>
        <v>0</v>
      </c>
      <c r="CO283" s="250">
        <f>INDEX(연료전지_원본!$KB$4:$KX$369,MATCH($A283,연료전지_원본!$KB$4:$KB$369,0), MATCH(CO$4,연료전지_원본!$KB$4:$KX$4,0))*1000</f>
        <v>0</v>
      </c>
      <c r="CP283" s="250">
        <f>INDEX(연료전지_원본!$KB$4:$KX$369,MATCH($A283,연료전지_원본!$KB$4:$KB$369,0), MATCH(CP$4,연료전지_원본!$KB$4:$KX$4,0))*1000</f>
        <v>0</v>
      </c>
      <c r="CQ283" s="250">
        <f>INDEX(연료전지_원본!$KB$4:$KX$369,MATCH($A283,연료전지_원본!$KB$4:$KB$369,0), MATCH(CQ$4,연료전지_원본!$KB$4:$KX$4,0))*1000</f>
        <v>0</v>
      </c>
      <c r="CR283" s="250">
        <f>INDEX(연료전지_원본!$KB$4:$KX$369,MATCH($A283,연료전지_원본!$KB$4:$KB$369,0), MATCH(CR$4,연료전지_원본!$KB$4:$KX$4,0))*1000</f>
        <v>0</v>
      </c>
      <c r="CS283" s="250">
        <f>INDEX(연료전지_원본!$KB$4:$KX$369,MATCH($A283,연료전지_원본!$KB$4:$KB$369,0), MATCH(CS$4,연료전지_원본!$KB$4:$KX$4,0))*1000</f>
        <v>0</v>
      </c>
      <c r="CT283" s="250">
        <f>INDEX(연료전지_원본!$KB$4:$KX$369,MATCH($A283,연료전지_원본!$KB$4:$KB$369,0), MATCH(CT$4,연료전지_원본!$KB$4:$KX$4,0))*1000</f>
        <v>0</v>
      </c>
      <c r="CU283" s="250">
        <f>INDEX(연료전지_원본!$KB$4:$KX$369,MATCH($A283,연료전지_원본!$KB$4:$KB$369,0), MATCH(CU$4,연료전지_원본!$KB$4:$KX$4,0))*1000</f>
        <v>0</v>
      </c>
      <c r="CV283" s="250">
        <f>INDEX(연료전지_원본!$KB$4:$KX$369,MATCH($A283,연료전지_원본!$KB$4:$KB$369,0), MATCH(CV$4,연료전지_원본!$KB$4:$KX$4,0))*1000</f>
        <v>0</v>
      </c>
      <c r="CW283" s="250">
        <f>INDEX(연료전지_원본!$KB$4:$KX$369,MATCH($A283,연료전지_원본!$KB$4:$KB$369,0), MATCH(CW$4,연료전지_원본!$KB$4:$KX$4,0))*1000</f>
        <v>0</v>
      </c>
      <c r="CX283" s="250">
        <f>INDEX(연료전지_원본!$KB$4:$KX$369,MATCH($A283,연료전지_원본!$KB$4:$KB$369,0), MATCH(CX$4,연료전지_원본!$KB$4:$KX$4,0))*1000</f>
        <v>0</v>
      </c>
      <c r="CY283" s="250">
        <f>INDEX(연료전지_원본!$KB$4:$KX$369,MATCH($A283,연료전지_원본!$KB$4:$KB$369,0), MATCH(CY$4,연료전지_원본!$KB$4:$KX$4,0))*1000</f>
        <v>0</v>
      </c>
      <c r="DV283" s="30">
        <f t="shared" si="1285"/>
        <v>0</v>
      </c>
    </row>
    <row r="284" spans="1:126">
      <c r="A284" s="6">
        <v>46301</v>
      </c>
      <c r="B284" s="15">
        <f>운전실적_원본!B284</f>
        <v>0</v>
      </c>
      <c r="C284" s="16" t="str">
        <f t="shared" si="1291"/>
        <v/>
      </c>
      <c r="D284" s="12">
        <f>운전실적_원본!C284</f>
        <v>0</v>
      </c>
      <c r="E284" s="12" t="str">
        <f t="shared" si="1292"/>
        <v/>
      </c>
      <c r="F284" s="12">
        <f>운전실적_원본!D284</f>
        <v>0</v>
      </c>
      <c r="G284" s="16" t="str">
        <f t="shared" si="1293"/>
        <v/>
      </c>
      <c r="H284" s="15">
        <f>운전실적_원본!E284</f>
        <v>0</v>
      </c>
      <c r="I284" s="16" t="str">
        <f t="shared" si="1294"/>
        <v/>
      </c>
      <c r="J284" s="15">
        <f>운전실적_원본!F284</f>
        <v>0</v>
      </c>
      <c r="K284" s="16" t="str">
        <f t="shared" si="1294"/>
        <v/>
      </c>
      <c r="L284" s="32">
        <f>운전실적_원본!G284</f>
        <v>0</v>
      </c>
      <c r="M284" s="31" t="str">
        <f t="shared" ref="M284" si="1561">IF(OR(LEN(L284)=0,L284=0),"",L284-L283)</f>
        <v/>
      </c>
      <c r="N284" s="15">
        <f>운전실적_원본!H284</f>
        <v>0</v>
      </c>
      <c r="O284" s="16" t="str">
        <f t="shared" ref="O284" si="1562">IF(OR(LEN(N284)=0,N284=0),"",N284-N283)</f>
        <v/>
      </c>
      <c r="P284" s="15">
        <f>운전실적_원본!I284</f>
        <v>0</v>
      </c>
      <c r="Q284" s="16" t="str">
        <f t="shared" ref="Q284" si="1563">IF(OR(LEN(P284)=0,P284=0),"",P284-P283)</f>
        <v/>
      </c>
      <c r="R284" s="18">
        <f>운전실적_원본!J284</f>
        <v>0</v>
      </c>
      <c r="S284" s="19" t="str">
        <f t="shared" ref="S284" si="1564">IF(OR(LEN(R284)=0,R284=0),"",R284-R283)</f>
        <v/>
      </c>
      <c r="T284" s="18">
        <f>운전실적_원본!K284</f>
        <v>0</v>
      </c>
      <c r="U284" s="19" t="str">
        <f t="shared" si="1299"/>
        <v/>
      </c>
      <c r="V284" s="12">
        <f>운전실적_원본!L284</f>
        <v>0</v>
      </c>
      <c r="W284" s="16" t="str">
        <f t="shared" ref="W284" si="1565">IF(OR(LEN(V284)=0,V284=0),"",V284-V283)</f>
        <v/>
      </c>
      <c r="X284" s="10">
        <f>운전실적_원본!M284</f>
        <v>0</v>
      </c>
      <c r="Y284" s="10">
        <f>운전실적_원본!N284</f>
        <v>0</v>
      </c>
      <c r="Z284" s="10">
        <f>운전실적_원본!O284</f>
        <v>0</v>
      </c>
      <c r="AA284" s="10">
        <f>운전실적_원본!P284</f>
        <v>0</v>
      </c>
      <c r="AB284" s="10">
        <f>운전실적_원본!Q284</f>
        <v>0</v>
      </c>
      <c r="AC284" s="20">
        <f>운전실적_원본!R284</f>
        <v>0</v>
      </c>
      <c r="AD284" s="109">
        <f>운전실적_원본!S284</f>
        <v>0</v>
      </c>
      <c r="AE284" s="110">
        <f>운전실적_원본!T284</f>
        <v>0</v>
      </c>
      <c r="AF284" s="110">
        <f>운전실적_원본!U284</f>
        <v>0</v>
      </c>
      <c r="AG284" s="110">
        <f>운전실적_원본!V284</f>
        <v>0</v>
      </c>
      <c r="AH284" s="109">
        <f t="shared" si="1453"/>
        <v>0</v>
      </c>
      <c r="AI284" s="110">
        <f t="shared" si="1460"/>
        <v>0</v>
      </c>
      <c r="AJ284" s="110">
        <f>운전실적_원본!Y284</f>
        <v>0</v>
      </c>
      <c r="AK284" s="110">
        <f>운전실적_원본!Z284</f>
        <v>0</v>
      </c>
      <c r="AL284" s="106"/>
      <c r="AM284" s="105"/>
      <c r="AN284" s="105"/>
      <c r="AO284" s="105"/>
      <c r="AP284" s="105"/>
      <c r="AQ284" s="108"/>
      <c r="AR284" s="105"/>
      <c r="AS284" s="105"/>
      <c r="AT284" s="102"/>
      <c r="AU284" s="102"/>
      <c r="AV284" s="102"/>
      <c r="AW284" s="102"/>
      <c r="AX284" s="32">
        <f>운전실적_원본!W284</f>
        <v>0</v>
      </c>
      <c r="AY284" s="11">
        <f>운전실적_원본!X284</f>
        <v>0</v>
      </c>
      <c r="AZ284" s="11">
        <f>운전실적_원본!Y284</f>
        <v>0</v>
      </c>
      <c r="BA284" s="11">
        <f>운전실적_원본!Z284</f>
        <v>0</v>
      </c>
      <c r="BB284" s="11">
        <f>운전실적_원본!AA284</f>
        <v>0</v>
      </c>
      <c r="BC284" s="11">
        <f>운전실적_원본!AB284</f>
        <v>0</v>
      </c>
      <c r="BD284" s="32" t="str">
        <f t="shared" si="1446"/>
        <v>-</v>
      </c>
      <c r="BE284" s="11" t="str">
        <f t="shared" si="1454"/>
        <v>-</v>
      </c>
      <c r="BF284" s="11">
        <f>운전실적_원본!AE284</f>
        <v>0</v>
      </c>
      <c r="BG284" s="31">
        <f t="shared" si="1447"/>
        <v>0</v>
      </c>
      <c r="BH284" s="241">
        <f>INDEX(연료전지_원본!$A$4:$KY$369,MATCH($A284,연료전지_원본!$A$4:$A$369,0),MATCH($BH$4,연료전지_원본!$A$4:$KY$4,0))</f>
        <v>0</v>
      </c>
      <c r="BI284" s="241">
        <f>INDEX(연료전지_원본!$A$4:$KY$369,MATCH($A284,연료전지_원본!$A$4:$A$369,0),MATCH($BI$4,연료전지_원본!$A$4:$KY$4,0))</f>
        <v>0</v>
      </c>
      <c r="BJ284" s="241">
        <f>INDEX(연료전지_원본!$A$4:$KY$369,MATCH($A284,연료전지_원본!$A$4:$A$369,0),MATCH($BJ$4,연료전지_원본!$A$4:$KY$4,0))</f>
        <v>0</v>
      </c>
      <c r="BK284" s="241">
        <f>INDEX(연료전지_원본!$A$4:$KY$369,MATCH($A284,연료전지_원본!$A$4:$A$369,0),MATCH($BK$4,연료전지_원본!$A$4:$KY$4,0))</f>
        <v>0</v>
      </c>
      <c r="BL284" s="241">
        <f>INDEX(연료전지_원본!$A$4:$KY$369,MATCH($A284,연료전지_원본!$A$4:$A$369,0),MATCH($BL$4,연료전지_원본!$A$4:$KY$4,0))</f>
        <v>0</v>
      </c>
      <c r="BM284" s="241">
        <f>INDEX(연료전지_원본!$A$4:$KY$369,MATCH($A284,연료전지_원본!$A$4:$A$369,0),MATCH($BM$4,연료전지_원본!$A$4:$KY$4,0))</f>
        <v>0</v>
      </c>
      <c r="BN284" s="241">
        <f>INDEX(연료전지_원본!$A$4:$KY$369,MATCH($A284,연료전지_원본!$A$4:$A$369,0),MATCH($BN$4,연료전지_원본!$A$4:$KY$4,0))</f>
        <v>0</v>
      </c>
      <c r="BO284" s="241">
        <f>INDEX(연료전지_원본!$A$4:$KY$369,MATCH($A284,연료전지_원본!$A$4:$A$369,0),MATCH($BO$4,연료전지_원본!$A$4:$KY$4,0))</f>
        <v>0</v>
      </c>
      <c r="BP284" s="241">
        <f>INDEX(연료전지_원본!$A$4:$KY$369,MATCH($A284,연료전지_원본!$A$4:$A$369,0),MATCH($BP$4,연료전지_원본!$A$4:$KY$4,0))</f>
        <v>0</v>
      </c>
      <c r="BQ284" s="241">
        <f>INDEX(연료전지_원본!$A$4:$KY$369,MATCH($A284,연료전지_원본!$A$4:$A$369,0),MATCH($BQ$4,연료전지_원본!$A$4:$KY$4,0))</f>
        <v>0</v>
      </c>
      <c r="BR284" s="241">
        <f>INDEX(연료전지_원본!$A$4:$KY$369,MATCH($A284,연료전지_원본!$A$4:$A$369,0),MATCH($BR$4,연료전지_원본!$A$4:$KY$4,0))</f>
        <v>0</v>
      </c>
      <c r="BS284" s="241">
        <f>INDEX(연료전지_원본!$A$4:$KY$369,MATCH($A284,연료전지_원본!$A$4:$A$369,0),MATCH($BS$4,연료전지_원본!$A$4:$KY$4,0))</f>
        <v>0</v>
      </c>
      <c r="BT284" s="241">
        <f>INDEX(연료전지_원본!$A$4:$KY$369,MATCH($A284,연료전지_원본!$A$4:$A$369,0),MATCH($BT$4,연료전지_원본!$A$4:$KY$4,0))</f>
        <v>0</v>
      </c>
      <c r="BU284" s="241">
        <f>INDEX(연료전지_원본!$A$4:$KY$369,MATCH($A284,연료전지_원본!$A$4:$A$369,0),MATCH($BU$4,연료전지_원본!$A$4:$KY$4,0))</f>
        <v>0</v>
      </c>
      <c r="BV284" s="241">
        <f>INDEX(연료전지_원본!$A$4:$KY$369,MATCH($A284,연료전지_원본!$A$4:$A$369,0),MATCH($BV$4,연료전지_원본!$A$4:$KY$4,0))</f>
        <v>0</v>
      </c>
      <c r="BW284" s="241">
        <f>INDEX(연료전지_원본!$A$4:$KY$369,MATCH($A284,연료전지_원본!$A$4:$A$369,0),MATCH($BW$4,연료전지_원본!$A$4:$KY$4,0))</f>
        <v>0</v>
      </c>
      <c r="BX284" s="241">
        <f>INDEX(연료전지_원본!$A$4:$KY$369,MATCH($A284,연료전지_원본!$A$4:$A$369,0),MATCH($BX$4,연료전지_원본!$A$4:$KY$4,0))</f>
        <v>0</v>
      </c>
      <c r="BY284" s="241">
        <f>INDEX(연료전지_원본!$A$4:$KY$369,MATCH($A284,연료전지_원본!$A$4:$A$369,0),MATCH($BY$4,연료전지_원본!$A$4:$KY$4,0))</f>
        <v>0</v>
      </c>
      <c r="BZ284" s="241">
        <f>INDEX(연료전지_원본!$A$4:$KY$369,MATCH($A284,연료전지_원본!$A$4:$A$369,0),MATCH($BZ$4,연료전지_원본!$A$4:$KY$4,0))</f>
        <v>0</v>
      </c>
      <c r="CA284" s="241">
        <f>INDEX(연료전지_원본!$A$4:$KY$369,MATCH($A284,연료전지_원본!$A$4:$A$369,0),MATCH($CA$4,연료전지_원본!$A$4:$KY$4,0))</f>
        <v>0</v>
      </c>
      <c r="CB284" s="241">
        <f>INDEX(연료전지_원본!$A$4:$KY$369,MATCH($A284,연료전지_원본!$A$4:$A$369,0),MATCH($CB$4,연료전지_원본!$A$4:$KY$4,0))</f>
        <v>0</v>
      </c>
      <c r="CC284" s="242">
        <f>INDEX(연료전지_원본!$A$4:$KY$369,MATCH($A284,연료전지_원본!$A$4:$A$369,0),MATCH($CC$4,연료전지_원본!$A$4:$KY$4,0))</f>
        <v>0</v>
      </c>
      <c r="CD284" s="250">
        <f>INDEX(연료전지_원본!$KB$4:$KX$369,MATCH($A284,연료전지_원본!$KB$4:$KB$369,0), MATCH(CD$4,연료전지_원본!$KB$4:$KX$4,0))*1000</f>
        <v>0</v>
      </c>
      <c r="CE284" s="250">
        <f>INDEX(연료전지_원본!$KB$4:$KX$369,MATCH($A284,연료전지_원본!$KB$4:$KB$369,0), MATCH(CE$4,연료전지_원본!$KB$4:$KX$4,0))*1000</f>
        <v>0</v>
      </c>
      <c r="CF284" s="250">
        <f>INDEX(연료전지_원본!$KB$4:$KX$369,MATCH($A284,연료전지_원본!$KB$4:$KB$369,0), MATCH(CF$4,연료전지_원본!$KB$4:$KX$4,0))*1000</f>
        <v>0</v>
      </c>
      <c r="CG284" s="250">
        <f>INDEX(연료전지_원본!$KB$4:$KX$369,MATCH($A284,연료전지_원본!$KB$4:$KB$369,0), MATCH(CG$4,연료전지_원본!$KB$4:$KX$4,0))*1000</f>
        <v>0</v>
      </c>
      <c r="CH284" s="250">
        <f>INDEX(연료전지_원본!$KB$4:$KX$369,MATCH($A284,연료전지_원본!$KB$4:$KB$369,0), MATCH(CH$4,연료전지_원본!$KB$4:$KX$4,0))*1000</f>
        <v>0</v>
      </c>
      <c r="CI284" s="250">
        <f>INDEX(연료전지_원본!$KB$4:$KX$369,MATCH($A284,연료전지_원본!$KB$4:$KB$369,0), MATCH(CI$4,연료전지_원본!$KB$4:$KX$4,0))*1000</f>
        <v>0</v>
      </c>
      <c r="CJ284" s="250">
        <f>INDEX(연료전지_원본!$KB$4:$KX$369,MATCH($A284,연료전지_원본!$KB$4:$KB$369,0), MATCH(CJ$4,연료전지_원본!$KB$4:$KX$4,0))*1000</f>
        <v>0</v>
      </c>
      <c r="CK284" s="250">
        <f>INDEX(연료전지_원본!$KB$4:$KX$369,MATCH($A284,연료전지_원본!$KB$4:$KB$369,0), MATCH(CK$4,연료전지_원본!$KB$4:$KX$4,0))*1000</f>
        <v>0</v>
      </c>
      <c r="CL284" s="250">
        <f>INDEX(연료전지_원본!$KB$4:$KX$369,MATCH($A284,연료전지_원본!$KB$4:$KB$369,0), MATCH(CL$4,연료전지_원본!$KB$4:$KX$4,0))*1000</f>
        <v>0</v>
      </c>
      <c r="CM284" s="250">
        <f>INDEX(연료전지_원본!$KB$4:$KX$369,MATCH($A284,연료전지_원본!$KB$4:$KB$369,0), MATCH(CM$4,연료전지_원본!$KB$4:$KX$4,0))*1000</f>
        <v>0</v>
      </c>
      <c r="CN284" s="250">
        <f>INDEX(연료전지_원본!$KB$4:$KX$369,MATCH($A284,연료전지_원본!$KB$4:$KB$369,0), MATCH(CN$4,연료전지_원본!$KB$4:$KX$4,0))*1000</f>
        <v>0</v>
      </c>
      <c r="CO284" s="250">
        <f>INDEX(연료전지_원본!$KB$4:$KX$369,MATCH($A284,연료전지_원본!$KB$4:$KB$369,0), MATCH(CO$4,연료전지_원본!$KB$4:$KX$4,0))*1000</f>
        <v>0</v>
      </c>
      <c r="CP284" s="250">
        <f>INDEX(연료전지_원본!$KB$4:$KX$369,MATCH($A284,연료전지_원본!$KB$4:$KB$369,0), MATCH(CP$4,연료전지_원본!$KB$4:$KX$4,0))*1000</f>
        <v>0</v>
      </c>
      <c r="CQ284" s="250">
        <f>INDEX(연료전지_원본!$KB$4:$KX$369,MATCH($A284,연료전지_원본!$KB$4:$KB$369,0), MATCH(CQ$4,연료전지_원본!$KB$4:$KX$4,0))*1000</f>
        <v>0</v>
      </c>
      <c r="CR284" s="250">
        <f>INDEX(연료전지_원본!$KB$4:$KX$369,MATCH($A284,연료전지_원본!$KB$4:$KB$369,0), MATCH(CR$4,연료전지_원본!$KB$4:$KX$4,0))*1000</f>
        <v>0</v>
      </c>
      <c r="CS284" s="250">
        <f>INDEX(연료전지_원본!$KB$4:$KX$369,MATCH($A284,연료전지_원본!$KB$4:$KB$369,0), MATCH(CS$4,연료전지_원본!$KB$4:$KX$4,0))*1000</f>
        <v>0</v>
      </c>
      <c r="CT284" s="250">
        <f>INDEX(연료전지_원본!$KB$4:$KX$369,MATCH($A284,연료전지_원본!$KB$4:$KB$369,0), MATCH(CT$4,연료전지_원본!$KB$4:$KX$4,0))*1000</f>
        <v>0</v>
      </c>
      <c r="CU284" s="250">
        <f>INDEX(연료전지_원본!$KB$4:$KX$369,MATCH($A284,연료전지_원본!$KB$4:$KB$369,0), MATCH(CU$4,연료전지_원본!$KB$4:$KX$4,0))*1000</f>
        <v>0</v>
      </c>
      <c r="CV284" s="250">
        <f>INDEX(연료전지_원본!$KB$4:$KX$369,MATCH($A284,연료전지_원본!$KB$4:$KB$369,0), MATCH(CV$4,연료전지_원본!$KB$4:$KX$4,0))*1000</f>
        <v>0</v>
      </c>
      <c r="CW284" s="250">
        <f>INDEX(연료전지_원본!$KB$4:$KX$369,MATCH($A284,연료전지_원본!$KB$4:$KB$369,0), MATCH(CW$4,연료전지_원본!$KB$4:$KX$4,0))*1000</f>
        <v>0</v>
      </c>
      <c r="CX284" s="250">
        <f>INDEX(연료전지_원본!$KB$4:$KX$369,MATCH($A284,연료전지_원본!$KB$4:$KB$369,0), MATCH(CX$4,연료전지_원본!$KB$4:$KX$4,0))*1000</f>
        <v>0</v>
      </c>
      <c r="CY284" s="250">
        <f>INDEX(연료전지_원본!$KB$4:$KX$369,MATCH($A284,연료전지_원본!$KB$4:$KB$369,0), MATCH(CY$4,연료전지_원본!$KB$4:$KX$4,0))*1000</f>
        <v>0</v>
      </c>
      <c r="DV284" s="30">
        <f t="shared" si="1285"/>
        <v>0</v>
      </c>
    </row>
    <row r="285" spans="1:126">
      <c r="A285" s="6">
        <v>46302</v>
      </c>
      <c r="B285" s="15">
        <f>운전실적_원본!B285</f>
        <v>0</v>
      </c>
      <c r="C285" s="16" t="str">
        <f t="shared" si="1291"/>
        <v/>
      </c>
      <c r="D285" s="12">
        <f>운전실적_원본!C285</f>
        <v>0</v>
      </c>
      <c r="E285" s="12" t="str">
        <f t="shared" si="1292"/>
        <v/>
      </c>
      <c r="F285" s="12">
        <f>운전실적_원본!D285</f>
        <v>0</v>
      </c>
      <c r="G285" s="16" t="str">
        <f t="shared" si="1293"/>
        <v/>
      </c>
      <c r="H285" s="15">
        <f>운전실적_원본!E285</f>
        <v>0</v>
      </c>
      <c r="I285" s="16" t="str">
        <f t="shared" si="1294"/>
        <v/>
      </c>
      <c r="J285" s="15">
        <f>운전실적_원본!F285</f>
        <v>0</v>
      </c>
      <c r="K285" s="16" t="str">
        <f t="shared" si="1294"/>
        <v/>
      </c>
      <c r="L285" s="32">
        <f>운전실적_원본!G285</f>
        <v>0</v>
      </c>
      <c r="M285" s="31" t="str">
        <f t="shared" ref="M285" si="1566">IF(OR(LEN(L285)=0,L285=0),"",L285-L284)</f>
        <v/>
      </c>
      <c r="N285" s="15">
        <f>운전실적_원본!H285</f>
        <v>0</v>
      </c>
      <c r="O285" s="16" t="str">
        <f t="shared" ref="O285" si="1567">IF(OR(LEN(N285)=0,N285=0),"",N285-N284)</f>
        <v/>
      </c>
      <c r="P285" s="15">
        <f>운전실적_원본!I285</f>
        <v>0</v>
      </c>
      <c r="Q285" s="16" t="str">
        <f t="shared" ref="Q285" si="1568">IF(OR(LEN(P285)=0,P285=0),"",P285-P284)</f>
        <v/>
      </c>
      <c r="R285" s="18">
        <f>운전실적_원본!J285</f>
        <v>0</v>
      </c>
      <c r="S285" s="19" t="str">
        <f t="shared" ref="S285" si="1569">IF(OR(LEN(R285)=0,R285=0),"",R285-R284)</f>
        <v/>
      </c>
      <c r="T285" s="18">
        <f>운전실적_원본!K285</f>
        <v>0</v>
      </c>
      <c r="U285" s="19" t="str">
        <f t="shared" si="1299"/>
        <v/>
      </c>
      <c r="V285" s="12">
        <f>운전실적_원본!L285</f>
        <v>0</v>
      </c>
      <c r="W285" s="16" t="str">
        <f t="shared" ref="W285" si="1570">IF(OR(LEN(V285)=0,V285=0),"",V285-V284)</f>
        <v/>
      </c>
      <c r="X285" s="10">
        <f>운전실적_원본!M285</f>
        <v>0</v>
      </c>
      <c r="Y285" s="10">
        <f>운전실적_원본!N285</f>
        <v>0</v>
      </c>
      <c r="Z285" s="10">
        <f>운전실적_원본!O285</f>
        <v>0</v>
      </c>
      <c r="AA285" s="10">
        <f>운전실적_원본!P285</f>
        <v>0</v>
      </c>
      <c r="AB285" s="10">
        <f>운전실적_원본!Q285</f>
        <v>0</v>
      </c>
      <c r="AC285" s="20">
        <f>운전실적_원본!R285</f>
        <v>0</v>
      </c>
      <c r="AD285" s="109">
        <f>운전실적_원본!S285</f>
        <v>0</v>
      </c>
      <c r="AE285" s="110">
        <f>운전실적_원본!T285</f>
        <v>0</v>
      </c>
      <c r="AF285" s="110">
        <f>운전실적_원본!U285</f>
        <v>0</v>
      </c>
      <c r="AG285" s="110">
        <f>운전실적_원본!V285</f>
        <v>0</v>
      </c>
      <c r="AH285" s="109">
        <f t="shared" si="1453"/>
        <v>0</v>
      </c>
      <c r="AI285" s="110">
        <f t="shared" si="1460"/>
        <v>0</v>
      </c>
      <c r="AJ285" s="110">
        <f>운전실적_원본!Y285</f>
        <v>0</v>
      </c>
      <c r="AK285" s="110">
        <f>운전실적_원본!Z285</f>
        <v>0</v>
      </c>
      <c r="AL285" s="106"/>
      <c r="AM285" s="105"/>
      <c r="AN285" s="105"/>
      <c r="AO285" s="105"/>
      <c r="AP285" s="105"/>
      <c r="AQ285" s="108"/>
      <c r="AR285" s="105"/>
      <c r="AS285" s="105"/>
      <c r="AT285" s="102"/>
      <c r="AU285" s="102"/>
      <c r="AV285" s="102"/>
      <c r="AW285" s="102"/>
      <c r="AX285" s="32">
        <f>운전실적_원본!W285</f>
        <v>0</v>
      </c>
      <c r="AY285" s="11">
        <f>운전실적_원본!X285</f>
        <v>0</v>
      </c>
      <c r="AZ285" s="11">
        <f>운전실적_원본!Y285</f>
        <v>0</v>
      </c>
      <c r="BA285" s="11">
        <f>운전실적_원본!Z285</f>
        <v>0</v>
      </c>
      <c r="BB285" s="11">
        <f>운전실적_원본!AA285</f>
        <v>0</v>
      </c>
      <c r="BC285" s="11">
        <f>운전실적_원본!AB285</f>
        <v>0</v>
      </c>
      <c r="BD285" s="32" t="str">
        <f t="shared" si="1446"/>
        <v>-</v>
      </c>
      <c r="BE285" s="11" t="str">
        <f t="shared" si="1454"/>
        <v>-</v>
      </c>
      <c r="BF285" s="11">
        <f>운전실적_원본!AE285</f>
        <v>0</v>
      </c>
      <c r="BG285" s="31">
        <f t="shared" si="1447"/>
        <v>0</v>
      </c>
      <c r="BH285" s="241">
        <f>INDEX(연료전지_원본!$A$4:$KY$369,MATCH($A285,연료전지_원본!$A$4:$A$369,0),MATCH($BH$4,연료전지_원본!$A$4:$KY$4,0))</f>
        <v>0</v>
      </c>
      <c r="BI285" s="241">
        <f>INDEX(연료전지_원본!$A$4:$KY$369,MATCH($A285,연료전지_원본!$A$4:$A$369,0),MATCH($BI$4,연료전지_원본!$A$4:$KY$4,0))</f>
        <v>0</v>
      </c>
      <c r="BJ285" s="241">
        <f>INDEX(연료전지_원본!$A$4:$KY$369,MATCH($A285,연료전지_원본!$A$4:$A$369,0),MATCH($BJ$4,연료전지_원본!$A$4:$KY$4,0))</f>
        <v>0</v>
      </c>
      <c r="BK285" s="241">
        <f>INDEX(연료전지_원본!$A$4:$KY$369,MATCH($A285,연료전지_원본!$A$4:$A$369,0),MATCH($BK$4,연료전지_원본!$A$4:$KY$4,0))</f>
        <v>0</v>
      </c>
      <c r="BL285" s="241">
        <f>INDEX(연료전지_원본!$A$4:$KY$369,MATCH($A285,연료전지_원본!$A$4:$A$369,0),MATCH($BL$4,연료전지_원본!$A$4:$KY$4,0))</f>
        <v>0</v>
      </c>
      <c r="BM285" s="241">
        <f>INDEX(연료전지_원본!$A$4:$KY$369,MATCH($A285,연료전지_원본!$A$4:$A$369,0),MATCH($BM$4,연료전지_원본!$A$4:$KY$4,0))</f>
        <v>0</v>
      </c>
      <c r="BN285" s="241">
        <f>INDEX(연료전지_원본!$A$4:$KY$369,MATCH($A285,연료전지_원본!$A$4:$A$369,0),MATCH($BN$4,연료전지_원본!$A$4:$KY$4,0))</f>
        <v>0</v>
      </c>
      <c r="BO285" s="241">
        <f>INDEX(연료전지_원본!$A$4:$KY$369,MATCH($A285,연료전지_원본!$A$4:$A$369,0),MATCH($BO$4,연료전지_원본!$A$4:$KY$4,0))</f>
        <v>0</v>
      </c>
      <c r="BP285" s="241">
        <f>INDEX(연료전지_원본!$A$4:$KY$369,MATCH($A285,연료전지_원본!$A$4:$A$369,0),MATCH($BP$4,연료전지_원본!$A$4:$KY$4,0))</f>
        <v>0</v>
      </c>
      <c r="BQ285" s="241">
        <f>INDEX(연료전지_원본!$A$4:$KY$369,MATCH($A285,연료전지_원본!$A$4:$A$369,0),MATCH($BQ$4,연료전지_원본!$A$4:$KY$4,0))</f>
        <v>0</v>
      </c>
      <c r="BR285" s="241">
        <f>INDEX(연료전지_원본!$A$4:$KY$369,MATCH($A285,연료전지_원본!$A$4:$A$369,0),MATCH($BR$4,연료전지_원본!$A$4:$KY$4,0))</f>
        <v>0</v>
      </c>
      <c r="BS285" s="241">
        <f>INDEX(연료전지_원본!$A$4:$KY$369,MATCH($A285,연료전지_원본!$A$4:$A$369,0),MATCH($BS$4,연료전지_원본!$A$4:$KY$4,0))</f>
        <v>0</v>
      </c>
      <c r="BT285" s="241">
        <f>INDEX(연료전지_원본!$A$4:$KY$369,MATCH($A285,연료전지_원본!$A$4:$A$369,0),MATCH($BT$4,연료전지_원본!$A$4:$KY$4,0))</f>
        <v>0</v>
      </c>
      <c r="BU285" s="241">
        <f>INDEX(연료전지_원본!$A$4:$KY$369,MATCH($A285,연료전지_원본!$A$4:$A$369,0),MATCH($BU$4,연료전지_원본!$A$4:$KY$4,0))</f>
        <v>0</v>
      </c>
      <c r="BV285" s="241">
        <f>INDEX(연료전지_원본!$A$4:$KY$369,MATCH($A285,연료전지_원본!$A$4:$A$369,0),MATCH($BV$4,연료전지_원본!$A$4:$KY$4,0))</f>
        <v>0</v>
      </c>
      <c r="BW285" s="241">
        <f>INDEX(연료전지_원본!$A$4:$KY$369,MATCH($A285,연료전지_원본!$A$4:$A$369,0),MATCH($BW$4,연료전지_원본!$A$4:$KY$4,0))</f>
        <v>0</v>
      </c>
      <c r="BX285" s="241">
        <f>INDEX(연료전지_원본!$A$4:$KY$369,MATCH($A285,연료전지_원본!$A$4:$A$369,0),MATCH($BX$4,연료전지_원본!$A$4:$KY$4,0))</f>
        <v>0</v>
      </c>
      <c r="BY285" s="241">
        <f>INDEX(연료전지_원본!$A$4:$KY$369,MATCH($A285,연료전지_원본!$A$4:$A$369,0),MATCH($BY$4,연료전지_원본!$A$4:$KY$4,0))</f>
        <v>0</v>
      </c>
      <c r="BZ285" s="241">
        <f>INDEX(연료전지_원본!$A$4:$KY$369,MATCH($A285,연료전지_원본!$A$4:$A$369,0),MATCH($BZ$4,연료전지_원본!$A$4:$KY$4,0))</f>
        <v>0</v>
      </c>
      <c r="CA285" s="241">
        <f>INDEX(연료전지_원본!$A$4:$KY$369,MATCH($A285,연료전지_원본!$A$4:$A$369,0),MATCH($CA$4,연료전지_원본!$A$4:$KY$4,0))</f>
        <v>0</v>
      </c>
      <c r="CB285" s="241">
        <f>INDEX(연료전지_원본!$A$4:$KY$369,MATCH($A285,연료전지_원본!$A$4:$A$369,0),MATCH($CB$4,연료전지_원본!$A$4:$KY$4,0))</f>
        <v>0</v>
      </c>
      <c r="CC285" s="242">
        <f>INDEX(연료전지_원본!$A$4:$KY$369,MATCH($A285,연료전지_원본!$A$4:$A$369,0),MATCH($CC$4,연료전지_원본!$A$4:$KY$4,0))</f>
        <v>0</v>
      </c>
      <c r="CD285" s="250">
        <f>INDEX(연료전지_원본!$KB$4:$KX$369,MATCH($A285,연료전지_원본!$KB$4:$KB$369,0), MATCH(CD$4,연료전지_원본!$KB$4:$KX$4,0))*1000</f>
        <v>0</v>
      </c>
      <c r="CE285" s="250">
        <f>INDEX(연료전지_원본!$KB$4:$KX$369,MATCH($A285,연료전지_원본!$KB$4:$KB$369,0), MATCH(CE$4,연료전지_원본!$KB$4:$KX$4,0))*1000</f>
        <v>0</v>
      </c>
      <c r="CF285" s="250">
        <f>INDEX(연료전지_원본!$KB$4:$KX$369,MATCH($A285,연료전지_원본!$KB$4:$KB$369,0), MATCH(CF$4,연료전지_원본!$KB$4:$KX$4,0))*1000</f>
        <v>0</v>
      </c>
      <c r="CG285" s="250">
        <f>INDEX(연료전지_원본!$KB$4:$KX$369,MATCH($A285,연료전지_원본!$KB$4:$KB$369,0), MATCH(CG$4,연료전지_원본!$KB$4:$KX$4,0))*1000</f>
        <v>0</v>
      </c>
      <c r="CH285" s="250">
        <f>INDEX(연료전지_원본!$KB$4:$KX$369,MATCH($A285,연료전지_원본!$KB$4:$KB$369,0), MATCH(CH$4,연료전지_원본!$KB$4:$KX$4,0))*1000</f>
        <v>0</v>
      </c>
      <c r="CI285" s="250">
        <f>INDEX(연료전지_원본!$KB$4:$KX$369,MATCH($A285,연료전지_원본!$KB$4:$KB$369,0), MATCH(CI$4,연료전지_원본!$KB$4:$KX$4,0))*1000</f>
        <v>0</v>
      </c>
      <c r="CJ285" s="250">
        <f>INDEX(연료전지_원본!$KB$4:$KX$369,MATCH($A285,연료전지_원본!$KB$4:$KB$369,0), MATCH(CJ$4,연료전지_원본!$KB$4:$KX$4,0))*1000</f>
        <v>0</v>
      </c>
      <c r="CK285" s="250">
        <f>INDEX(연료전지_원본!$KB$4:$KX$369,MATCH($A285,연료전지_원본!$KB$4:$KB$369,0), MATCH(CK$4,연료전지_원본!$KB$4:$KX$4,0))*1000</f>
        <v>0</v>
      </c>
      <c r="CL285" s="250">
        <f>INDEX(연료전지_원본!$KB$4:$KX$369,MATCH($A285,연료전지_원본!$KB$4:$KB$369,0), MATCH(CL$4,연료전지_원본!$KB$4:$KX$4,0))*1000</f>
        <v>0</v>
      </c>
      <c r="CM285" s="250">
        <f>INDEX(연료전지_원본!$KB$4:$KX$369,MATCH($A285,연료전지_원본!$KB$4:$KB$369,0), MATCH(CM$4,연료전지_원본!$KB$4:$KX$4,0))*1000</f>
        <v>0</v>
      </c>
      <c r="CN285" s="250">
        <f>INDEX(연료전지_원본!$KB$4:$KX$369,MATCH($A285,연료전지_원본!$KB$4:$KB$369,0), MATCH(CN$4,연료전지_원본!$KB$4:$KX$4,0))*1000</f>
        <v>0</v>
      </c>
      <c r="CO285" s="250">
        <f>INDEX(연료전지_원본!$KB$4:$KX$369,MATCH($A285,연료전지_원본!$KB$4:$KB$369,0), MATCH(CO$4,연료전지_원본!$KB$4:$KX$4,0))*1000</f>
        <v>0</v>
      </c>
      <c r="CP285" s="250">
        <f>INDEX(연료전지_원본!$KB$4:$KX$369,MATCH($A285,연료전지_원본!$KB$4:$KB$369,0), MATCH(CP$4,연료전지_원본!$KB$4:$KX$4,0))*1000</f>
        <v>0</v>
      </c>
      <c r="CQ285" s="250">
        <f>INDEX(연료전지_원본!$KB$4:$KX$369,MATCH($A285,연료전지_원본!$KB$4:$KB$369,0), MATCH(CQ$4,연료전지_원본!$KB$4:$KX$4,0))*1000</f>
        <v>0</v>
      </c>
      <c r="CR285" s="250">
        <f>INDEX(연료전지_원본!$KB$4:$KX$369,MATCH($A285,연료전지_원본!$KB$4:$KB$369,0), MATCH(CR$4,연료전지_원본!$KB$4:$KX$4,0))*1000</f>
        <v>0</v>
      </c>
      <c r="CS285" s="250">
        <f>INDEX(연료전지_원본!$KB$4:$KX$369,MATCH($A285,연료전지_원본!$KB$4:$KB$369,0), MATCH(CS$4,연료전지_원본!$KB$4:$KX$4,0))*1000</f>
        <v>0</v>
      </c>
      <c r="CT285" s="250">
        <f>INDEX(연료전지_원본!$KB$4:$KX$369,MATCH($A285,연료전지_원본!$KB$4:$KB$369,0), MATCH(CT$4,연료전지_원본!$KB$4:$KX$4,0))*1000</f>
        <v>0</v>
      </c>
      <c r="CU285" s="250">
        <f>INDEX(연료전지_원본!$KB$4:$KX$369,MATCH($A285,연료전지_원본!$KB$4:$KB$369,0), MATCH(CU$4,연료전지_원본!$KB$4:$KX$4,0))*1000</f>
        <v>0</v>
      </c>
      <c r="CV285" s="250">
        <f>INDEX(연료전지_원본!$KB$4:$KX$369,MATCH($A285,연료전지_원본!$KB$4:$KB$369,0), MATCH(CV$4,연료전지_원본!$KB$4:$KX$4,0))*1000</f>
        <v>0</v>
      </c>
      <c r="CW285" s="250">
        <f>INDEX(연료전지_원본!$KB$4:$KX$369,MATCH($A285,연료전지_원본!$KB$4:$KB$369,0), MATCH(CW$4,연료전지_원본!$KB$4:$KX$4,0))*1000</f>
        <v>0</v>
      </c>
      <c r="CX285" s="250">
        <f>INDEX(연료전지_원본!$KB$4:$KX$369,MATCH($A285,연료전지_원본!$KB$4:$KB$369,0), MATCH(CX$4,연료전지_원본!$KB$4:$KX$4,0))*1000</f>
        <v>0</v>
      </c>
      <c r="CY285" s="250">
        <f>INDEX(연료전지_원본!$KB$4:$KX$369,MATCH($A285,연료전지_원본!$KB$4:$KB$369,0), MATCH(CY$4,연료전지_원본!$KB$4:$KX$4,0))*1000</f>
        <v>0</v>
      </c>
      <c r="DV285" s="30">
        <f t="shared" si="1285"/>
        <v>0</v>
      </c>
    </row>
    <row r="286" spans="1:126">
      <c r="A286" s="6">
        <v>46303</v>
      </c>
      <c r="B286" s="15">
        <f>운전실적_원본!B286</f>
        <v>0</v>
      </c>
      <c r="C286" s="16" t="str">
        <f t="shared" si="1291"/>
        <v/>
      </c>
      <c r="D286" s="12">
        <f>운전실적_원본!C286</f>
        <v>0</v>
      </c>
      <c r="E286" s="12" t="str">
        <f t="shared" si="1292"/>
        <v/>
      </c>
      <c r="F286" s="12">
        <f>운전실적_원본!D286</f>
        <v>0</v>
      </c>
      <c r="G286" s="16" t="str">
        <f t="shared" si="1293"/>
        <v/>
      </c>
      <c r="H286" s="15">
        <f>운전실적_원본!E286</f>
        <v>0</v>
      </c>
      <c r="I286" s="16" t="str">
        <f t="shared" si="1294"/>
        <v/>
      </c>
      <c r="J286" s="15">
        <f>운전실적_원본!F286</f>
        <v>0</v>
      </c>
      <c r="K286" s="16" t="str">
        <f t="shared" si="1294"/>
        <v/>
      </c>
      <c r="L286" s="32">
        <f>운전실적_원본!G286</f>
        <v>0</v>
      </c>
      <c r="M286" s="31" t="str">
        <f t="shared" ref="M286" si="1571">IF(OR(LEN(L286)=0,L286=0),"",L286-L285)</f>
        <v/>
      </c>
      <c r="N286" s="15">
        <f>운전실적_원본!H286</f>
        <v>0</v>
      </c>
      <c r="O286" s="16" t="str">
        <f t="shared" ref="O286" si="1572">IF(OR(LEN(N286)=0,N286=0),"",N286-N285)</f>
        <v/>
      </c>
      <c r="P286" s="15">
        <f>운전실적_원본!I286</f>
        <v>0</v>
      </c>
      <c r="Q286" s="16" t="str">
        <f t="shared" ref="Q286" si="1573">IF(OR(LEN(P286)=0,P286=0),"",P286-P285)</f>
        <v/>
      </c>
      <c r="R286" s="18">
        <f>운전실적_원본!J286</f>
        <v>0</v>
      </c>
      <c r="S286" s="19" t="str">
        <f t="shared" ref="S286" si="1574">IF(OR(LEN(R286)=0,R286=0),"",R286-R285)</f>
        <v/>
      </c>
      <c r="T286" s="18">
        <f>운전실적_원본!K286</f>
        <v>0</v>
      </c>
      <c r="U286" s="19" t="str">
        <f t="shared" si="1299"/>
        <v/>
      </c>
      <c r="V286" s="12">
        <f>운전실적_원본!L286</f>
        <v>0</v>
      </c>
      <c r="W286" s="16" t="str">
        <f t="shared" ref="W286" si="1575">IF(OR(LEN(V286)=0,V286=0),"",V286-V285)</f>
        <v/>
      </c>
      <c r="X286" s="10">
        <f>운전실적_원본!M286</f>
        <v>0</v>
      </c>
      <c r="Y286" s="10">
        <f>운전실적_원본!N286</f>
        <v>0</v>
      </c>
      <c r="Z286" s="10">
        <f>운전실적_원본!O286</f>
        <v>0</v>
      </c>
      <c r="AA286" s="10">
        <f>운전실적_원본!P286</f>
        <v>0</v>
      </c>
      <c r="AB286" s="10">
        <f>운전실적_원본!Q286</f>
        <v>0</v>
      </c>
      <c r="AC286" s="20">
        <f>운전실적_원본!R286</f>
        <v>0</v>
      </c>
      <c r="AD286" s="109">
        <f>운전실적_원본!S286</f>
        <v>0</v>
      </c>
      <c r="AE286" s="110">
        <f>운전실적_원본!T286</f>
        <v>0</v>
      </c>
      <c r="AF286" s="110">
        <f>운전실적_원본!U286</f>
        <v>0</v>
      </c>
      <c r="AG286" s="110">
        <f>운전실적_원본!V286</f>
        <v>0</v>
      </c>
      <c r="AH286" s="109">
        <f t="shared" si="1453"/>
        <v>0</v>
      </c>
      <c r="AI286" s="110">
        <f t="shared" si="1460"/>
        <v>0</v>
      </c>
      <c r="AJ286" s="110">
        <f>운전실적_원본!Y286</f>
        <v>0</v>
      </c>
      <c r="AK286" s="110">
        <f>운전실적_원본!Z286</f>
        <v>0</v>
      </c>
      <c r="AL286" s="106"/>
      <c r="AM286" s="105"/>
      <c r="AN286" s="105"/>
      <c r="AO286" s="105"/>
      <c r="AP286" s="105"/>
      <c r="AQ286" s="108"/>
      <c r="AR286" s="105"/>
      <c r="AS286" s="105"/>
      <c r="AT286" s="102"/>
      <c r="AU286" s="102"/>
      <c r="AV286" s="102"/>
      <c r="AW286" s="102"/>
      <c r="AX286" s="32">
        <f>운전실적_원본!W286</f>
        <v>0</v>
      </c>
      <c r="AY286" s="11">
        <f>운전실적_원본!X286</f>
        <v>0</v>
      </c>
      <c r="AZ286" s="11">
        <f>운전실적_원본!Y286</f>
        <v>0</v>
      </c>
      <c r="BA286" s="11">
        <f>운전실적_원본!Z286</f>
        <v>0</v>
      </c>
      <c r="BB286" s="11">
        <f>운전실적_원본!AA286</f>
        <v>0</v>
      </c>
      <c r="BC286" s="11">
        <f>운전실적_원본!AB286</f>
        <v>0</v>
      </c>
      <c r="BD286" s="32" t="str">
        <f t="shared" si="1446"/>
        <v>-</v>
      </c>
      <c r="BE286" s="11" t="str">
        <f t="shared" si="1454"/>
        <v>-</v>
      </c>
      <c r="BF286" s="11">
        <f>운전실적_원본!AE286</f>
        <v>0</v>
      </c>
      <c r="BG286" s="31">
        <f t="shared" si="1447"/>
        <v>0</v>
      </c>
      <c r="BH286" s="241">
        <f>INDEX(연료전지_원본!$A$4:$KY$369,MATCH($A286,연료전지_원본!$A$4:$A$369,0),MATCH($BH$4,연료전지_원본!$A$4:$KY$4,0))</f>
        <v>0</v>
      </c>
      <c r="BI286" s="241">
        <f>INDEX(연료전지_원본!$A$4:$KY$369,MATCH($A286,연료전지_원본!$A$4:$A$369,0),MATCH($BI$4,연료전지_원본!$A$4:$KY$4,0))</f>
        <v>0</v>
      </c>
      <c r="BJ286" s="241">
        <f>INDEX(연료전지_원본!$A$4:$KY$369,MATCH($A286,연료전지_원본!$A$4:$A$369,0),MATCH($BJ$4,연료전지_원본!$A$4:$KY$4,0))</f>
        <v>0</v>
      </c>
      <c r="BK286" s="241">
        <f>INDEX(연료전지_원본!$A$4:$KY$369,MATCH($A286,연료전지_원본!$A$4:$A$369,0),MATCH($BK$4,연료전지_원본!$A$4:$KY$4,0))</f>
        <v>0</v>
      </c>
      <c r="BL286" s="241">
        <f>INDEX(연료전지_원본!$A$4:$KY$369,MATCH($A286,연료전지_원본!$A$4:$A$369,0),MATCH($BL$4,연료전지_원본!$A$4:$KY$4,0))</f>
        <v>0</v>
      </c>
      <c r="BM286" s="241">
        <f>INDEX(연료전지_원본!$A$4:$KY$369,MATCH($A286,연료전지_원본!$A$4:$A$369,0),MATCH($BM$4,연료전지_원본!$A$4:$KY$4,0))</f>
        <v>0</v>
      </c>
      <c r="BN286" s="241">
        <f>INDEX(연료전지_원본!$A$4:$KY$369,MATCH($A286,연료전지_원본!$A$4:$A$369,0),MATCH($BN$4,연료전지_원본!$A$4:$KY$4,0))</f>
        <v>0</v>
      </c>
      <c r="BO286" s="241">
        <f>INDEX(연료전지_원본!$A$4:$KY$369,MATCH($A286,연료전지_원본!$A$4:$A$369,0),MATCH($BO$4,연료전지_원본!$A$4:$KY$4,0))</f>
        <v>0</v>
      </c>
      <c r="BP286" s="241">
        <f>INDEX(연료전지_원본!$A$4:$KY$369,MATCH($A286,연료전지_원본!$A$4:$A$369,0),MATCH($BP$4,연료전지_원본!$A$4:$KY$4,0))</f>
        <v>0</v>
      </c>
      <c r="BQ286" s="241">
        <f>INDEX(연료전지_원본!$A$4:$KY$369,MATCH($A286,연료전지_원본!$A$4:$A$369,0),MATCH($BQ$4,연료전지_원본!$A$4:$KY$4,0))</f>
        <v>0</v>
      </c>
      <c r="BR286" s="241">
        <f>INDEX(연료전지_원본!$A$4:$KY$369,MATCH($A286,연료전지_원본!$A$4:$A$369,0),MATCH($BR$4,연료전지_원본!$A$4:$KY$4,0))</f>
        <v>0</v>
      </c>
      <c r="BS286" s="241">
        <f>INDEX(연료전지_원본!$A$4:$KY$369,MATCH($A286,연료전지_원본!$A$4:$A$369,0),MATCH($BS$4,연료전지_원본!$A$4:$KY$4,0))</f>
        <v>0</v>
      </c>
      <c r="BT286" s="241">
        <f>INDEX(연료전지_원본!$A$4:$KY$369,MATCH($A286,연료전지_원본!$A$4:$A$369,0),MATCH($BT$4,연료전지_원본!$A$4:$KY$4,0))</f>
        <v>0</v>
      </c>
      <c r="BU286" s="241">
        <f>INDEX(연료전지_원본!$A$4:$KY$369,MATCH($A286,연료전지_원본!$A$4:$A$369,0),MATCH($BU$4,연료전지_원본!$A$4:$KY$4,0))</f>
        <v>0</v>
      </c>
      <c r="BV286" s="241">
        <f>INDEX(연료전지_원본!$A$4:$KY$369,MATCH($A286,연료전지_원본!$A$4:$A$369,0),MATCH($BV$4,연료전지_원본!$A$4:$KY$4,0))</f>
        <v>0</v>
      </c>
      <c r="BW286" s="241">
        <f>INDEX(연료전지_원본!$A$4:$KY$369,MATCH($A286,연료전지_원본!$A$4:$A$369,0),MATCH($BW$4,연료전지_원본!$A$4:$KY$4,0))</f>
        <v>0</v>
      </c>
      <c r="BX286" s="241">
        <f>INDEX(연료전지_원본!$A$4:$KY$369,MATCH($A286,연료전지_원본!$A$4:$A$369,0),MATCH($BX$4,연료전지_원본!$A$4:$KY$4,0))</f>
        <v>0</v>
      </c>
      <c r="BY286" s="241">
        <f>INDEX(연료전지_원본!$A$4:$KY$369,MATCH($A286,연료전지_원본!$A$4:$A$369,0),MATCH($BY$4,연료전지_원본!$A$4:$KY$4,0))</f>
        <v>0</v>
      </c>
      <c r="BZ286" s="241">
        <f>INDEX(연료전지_원본!$A$4:$KY$369,MATCH($A286,연료전지_원본!$A$4:$A$369,0),MATCH($BZ$4,연료전지_원본!$A$4:$KY$4,0))</f>
        <v>0</v>
      </c>
      <c r="CA286" s="241">
        <f>INDEX(연료전지_원본!$A$4:$KY$369,MATCH($A286,연료전지_원본!$A$4:$A$369,0),MATCH($CA$4,연료전지_원본!$A$4:$KY$4,0))</f>
        <v>0</v>
      </c>
      <c r="CB286" s="241">
        <f>INDEX(연료전지_원본!$A$4:$KY$369,MATCH($A286,연료전지_원본!$A$4:$A$369,0),MATCH($CB$4,연료전지_원본!$A$4:$KY$4,0))</f>
        <v>0</v>
      </c>
      <c r="CC286" s="242">
        <f>INDEX(연료전지_원본!$A$4:$KY$369,MATCH($A286,연료전지_원본!$A$4:$A$369,0),MATCH($CC$4,연료전지_원본!$A$4:$KY$4,0))</f>
        <v>0</v>
      </c>
      <c r="CD286" s="250">
        <f>INDEX(연료전지_원본!$KB$4:$KX$369,MATCH($A286,연료전지_원본!$KB$4:$KB$369,0), MATCH(CD$4,연료전지_원본!$KB$4:$KX$4,0))*1000</f>
        <v>0</v>
      </c>
      <c r="CE286" s="250">
        <f>INDEX(연료전지_원본!$KB$4:$KX$369,MATCH($A286,연료전지_원본!$KB$4:$KB$369,0), MATCH(CE$4,연료전지_원본!$KB$4:$KX$4,0))*1000</f>
        <v>0</v>
      </c>
      <c r="CF286" s="250">
        <f>INDEX(연료전지_원본!$KB$4:$KX$369,MATCH($A286,연료전지_원본!$KB$4:$KB$369,0), MATCH(CF$4,연료전지_원본!$KB$4:$KX$4,0))*1000</f>
        <v>0</v>
      </c>
      <c r="CG286" s="250">
        <f>INDEX(연료전지_원본!$KB$4:$KX$369,MATCH($A286,연료전지_원본!$KB$4:$KB$369,0), MATCH(CG$4,연료전지_원본!$KB$4:$KX$4,0))*1000</f>
        <v>0</v>
      </c>
      <c r="CH286" s="250">
        <f>INDEX(연료전지_원본!$KB$4:$KX$369,MATCH($A286,연료전지_원본!$KB$4:$KB$369,0), MATCH(CH$4,연료전지_원본!$KB$4:$KX$4,0))*1000</f>
        <v>0</v>
      </c>
      <c r="CI286" s="250">
        <f>INDEX(연료전지_원본!$KB$4:$KX$369,MATCH($A286,연료전지_원본!$KB$4:$KB$369,0), MATCH(CI$4,연료전지_원본!$KB$4:$KX$4,0))*1000</f>
        <v>0</v>
      </c>
      <c r="CJ286" s="250">
        <f>INDEX(연료전지_원본!$KB$4:$KX$369,MATCH($A286,연료전지_원본!$KB$4:$KB$369,0), MATCH(CJ$4,연료전지_원본!$KB$4:$KX$4,0))*1000</f>
        <v>0</v>
      </c>
      <c r="CK286" s="250">
        <f>INDEX(연료전지_원본!$KB$4:$KX$369,MATCH($A286,연료전지_원본!$KB$4:$KB$369,0), MATCH(CK$4,연료전지_원본!$KB$4:$KX$4,0))*1000</f>
        <v>0</v>
      </c>
      <c r="CL286" s="250">
        <f>INDEX(연료전지_원본!$KB$4:$KX$369,MATCH($A286,연료전지_원본!$KB$4:$KB$369,0), MATCH(CL$4,연료전지_원본!$KB$4:$KX$4,0))*1000</f>
        <v>0</v>
      </c>
      <c r="CM286" s="250">
        <f>INDEX(연료전지_원본!$KB$4:$KX$369,MATCH($A286,연료전지_원본!$KB$4:$KB$369,0), MATCH(CM$4,연료전지_원본!$KB$4:$KX$4,0))*1000</f>
        <v>0</v>
      </c>
      <c r="CN286" s="250">
        <f>INDEX(연료전지_원본!$KB$4:$KX$369,MATCH($A286,연료전지_원본!$KB$4:$KB$369,0), MATCH(CN$4,연료전지_원본!$KB$4:$KX$4,0))*1000</f>
        <v>0</v>
      </c>
      <c r="CO286" s="250">
        <f>INDEX(연료전지_원본!$KB$4:$KX$369,MATCH($A286,연료전지_원본!$KB$4:$KB$369,0), MATCH(CO$4,연료전지_원본!$KB$4:$KX$4,0))*1000</f>
        <v>0</v>
      </c>
      <c r="CP286" s="250">
        <f>INDEX(연료전지_원본!$KB$4:$KX$369,MATCH($A286,연료전지_원본!$KB$4:$KB$369,0), MATCH(CP$4,연료전지_원본!$KB$4:$KX$4,0))*1000</f>
        <v>0</v>
      </c>
      <c r="CQ286" s="250">
        <f>INDEX(연료전지_원본!$KB$4:$KX$369,MATCH($A286,연료전지_원본!$KB$4:$KB$369,0), MATCH(CQ$4,연료전지_원본!$KB$4:$KX$4,0))*1000</f>
        <v>0</v>
      </c>
      <c r="CR286" s="250">
        <f>INDEX(연료전지_원본!$KB$4:$KX$369,MATCH($A286,연료전지_원본!$KB$4:$KB$369,0), MATCH(CR$4,연료전지_원본!$KB$4:$KX$4,0))*1000</f>
        <v>0</v>
      </c>
      <c r="CS286" s="250">
        <f>INDEX(연료전지_원본!$KB$4:$KX$369,MATCH($A286,연료전지_원본!$KB$4:$KB$369,0), MATCH(CS$4,연료전지_원본!$KB$4:$KX$4,0))*1000</f>
        <v>0</v>
      </c>
      <c r="CT286" s="250">
        <f>INDEX(연료전지_원본!$KB$4:$KX$369,MATCH($A286,연료전지_원본!$KB$4:$KB$369,0), MATCH(CT$4,연료전지_원본!$KB$4:$KX$4,0))*1000</f>
        <v>0</v>
      </c>
      <c r="CU286" s="250">
        <f>INDEX(연료전지_원본!$KB$4:$KX$369,MATCH($A286,연료전지_원본!$KB$4:$KB$369,0), MATCH(CU$4,연료전지_원본!$KB$4:$KX$4,0))*1000</f>
        <v>0</v>
      </c>
      <c r="CV286" s="250">
        <f>INDEX(연료전지_원본!$KB$4:$KX$369,MATCH($A286,연료전지_원본!$KB$4:$KB$369,0), MATCH(CV$4,연료전지_원본!$KB$4:$KX$4,0))*1000</f>
        <v>0</v>
      </c>
      <c r="CW286" s="250">
        <f>INDEX(연료전지_원본!$KB$4:$KX$369,MATCH($A286,연료전지_원본!$KB$4:$KB$369,0), MATCH(CW$4,연료전지_원본!$KB$4:$KX$4,0))*1000</f>
        <v>0</v>
      </c>
      <c r="CX286" s="250">
        <f>INDEX(연료전지_원본!$KB$4:$KX$369,MATCH($A286,연료전지_원본!$KB$4:$KB$369,0), MATCH(CX$4,연료전지_원본!$KB$4:$KX$4,0))*1000</f>
        <v>0</v>
      </c>
      <c r="CY286" s="250">
        <f>INDEX(연료전지_원본!$KB$4:$KX$369,MATCH($A286,연료전지_원본!$KB$4:$KB$369,0), MATCH(CY$4,연료전지_원본!$KB$4:$KX$4,0))*1000</f>
        <v>0</v>
      </c>
      <c r="DV286" s="30">
        <f t="shared" si="1285"/>
        <v>0</v>
      </c>
    </row>
    <row r="287" spans="1:126">
      <c r="A287" s="6">
        <v>46304</v>
      </c>
      <c r="B287" s="15">
        <f>운전실적_원본!B287</f>
        <v>0</v>
      </c>
      <c r="C287" s="16" t="str">
        <f t="shared" si="1291"/>
        <v/>
      </c>
      <c r="D287" s="12">
        <f>운전실적_원본!C287</f>
        <v>0</v>
      </c>
      <c r="E287" s="12" t="str">
        <f t="shared" si="1292"/>
        <v/>
      </c>
      <c r="F287" s="12">
        <f>운전실적_원본!D287</f>
        <v>0</v>
      </c>
      <c r="G287" s="16" t="str">
        <f t="shared" si="1293"/>
        <v/>
      </c>
      <c r="H287" s="15">
        <f>운전실적_원본!E287</f>
        <v>0</v>
      </c>
      <c r="I287" s="16" t="str">
        <f t="shared" si="1294"/>
        <v/>
      </c>
      <c r="J287" s="15">
        <f>운전실적_원본!F287</f>
        <v>0</v>
      </c>
      <c r="K287" s="16" t="str">
        <f t="shared" si="1294"/>
        <v/>
      </c>
      <c r="L287" s="32">
        <f>운전실적_원본!G287</f>
        <v>0</v>
      </c>
      <c r="M287" s="31" t="str">
        <f t="shared" ref="M287" si="1576">IF(OR(LEN(L287)=0,L287=0),"",L287-L286)</f>
        <v/>
      </c>
      <c r="N287" s="15">
        <f>운전실적_원본!H287</f>
        <v>0</v>
      </c>
      <c r="O287" s="16" t="str">
        <f t="shared" ref="O287" si="1577">IF(OR(LEN(N287)=0,N287=0),"",N287-N286)</f>
        <v/>
      </c>
      <c r="P287" s="15">
        <f>운전실적_원본!I287</f>
        <v>0</v>
      </c>
      <c r="Q287" s="16" t="str">
        <f t="shared" ref="Q287" si="1578">IF(OR(LEN(P287)=0,P287=0),"",P287-P286)</f>
        <v/>
      </c>
      <c r="R287" s="18">
        <f>운전실적_원본!J287</f>
        <v>0</v>
      </c>
      <c r="S287" s="19" t="str">
        <f t="shared" ref="S287" si="1579">IF(OR(LEN(R287)=0,R287=0),"",R287-R286)</f>
        <v/>
      </c>
      <c r="T287" s="18">
        <f>운전실적_원본!K287</f>
        <v>0</v>
      </c>
      <c r="U287" s="19" t="str">
        <f t="shared" si="1299"/>
        <v/>
      </c>
      <c r="V287" s="12">
        <f>운전실적_원본!L287</f>
        <v>0</v>
      </c>
      <c r="W287" s="16" t="str">
        <f t="shared" ref="W287" si="1580">IF(OR(LEN(V287)=0,V287=0),"",V287-V286)</f>
        <v/>
      </c>
      <c r="X287" s="10">
        <f>운전실적_원본!M287</f>
        <v>0</v>
      </c>
      <c r="Y287" s="10">
        <f>운전실적_원본!N287</f>
        <v>0</v>
      </c>
      <c r="Z287" s="10">
        <f>운전실적_원본!O287</f>
        <v>0</v>
      </c>
      <c r="AA287" s="10">
        <f>운전실적_원본!P287</f>
        <v>0</v>
      </c>
      <c r="AB287" s="10">
        <f>운전실적_원본!Q287</f>
        <v>0</v>
      </c>
      <c r="AC287" s="20">
        <f>운전실적_원본!R287</f>
        <v>0</v>
      </c>
      <c r="AD287" s="109">
        <f>운전실적_원본!S287</f>
        <v>0</v>
      </c>
      <c r="AE287" s="110">
        <f>운전실적_원본!T287</f>
        <v>0</v>
      </c>
      <c r="AF287" s="110">
        <f>운전실적_원본!U287</f>
        <v>0</v>
      </c>
      <c r="AG287" s="110">
        <f>운전실적_원본!V287</f>
        <v>0</v>
      </c>
      <c r="AH287" s="109">
        <f t="shared" si="1453"/>
        <v>0</v>
      </c>
      <c r="AI287" s="110">
        <f t="shared" si="1460"/>
        <v>0</v>
      </c>
      <c r="AJ287" s="110">
        <f>운전실적_원본!Y287</f>
        <v>0</v>
      </c>
      <c r="AK287" s="110">
        <f>운전실적_원본!Z287</f>
        <v>0</v>
      </c>
      <c r="AL287" s="106"/>
      <c r="AM287" s="105"/>
      <c r="AN287" s="105"/>
      <c r="AO287" s="105"/>
      <c r="AP287" s="105"/>
      <c r="AQ287" s="108"/>
      <c r="AR287" s="105"/>
      <c r="AS287" s="105"/>
      <c r="AT287" s="102"/>
      <c r="AU287" s="102"/>
      <c r="AV287" s="102"/>
      <c r="AW287" s="102"/>
      <c r="AX287" s="32">
        <f>운전실적_원본!W287</f>
        <v>0</v>
      </c>
      <c r="AY287" s="11">
        <f>운전실적_원본!X287</f>
        <v>0</v>
      </c>
      <c r="AZ287" s="11">
        <f>운전실적_원본!Y287</f>
        <v>0</v>
      </c>
      <c r="BA287" s="11">
        <f>운전실적_원본!Z287</f>
        <v>0</v>
      </c>
      <c r="BB287" s="11">
        <f>운전실적_원본!AA287</f>
        <v>0</v>
      </c>
      <c r="BC287" s="11">
        <f>운전실적_원본!AB287</f>
        <v>0</v>
      </c>
      <c r="BD287" s="32" t="str">
        <f t="shared" si="1446"/>
        <v>-</v>
      </c>
      <c r="BE287" s="11" t="str">
        <f t="shared" si="1454"/>
        <v>-</v>
      </c>
      <c r="BF287" s="11">
        <f>운전실적_원본!AE287</f>
        <v>0</v>
      </c>
      <c r="BG287" s="31">
        <f t="shared" si="1447"/>
        <v>0</v>
      </c>
      <c r="BH287" s="241">
        <f>INDEX(연료전지_원본!$A$4:$KY$369,MATCH($A287,연료전지_원본!$A$4:$A$369,0),MATCH($BH$4,연료전지_원본!$A$4:$KY$4,0))</f>
        <v>0</v>
      </c>
      <c r="BI287" s="241">
        <f>INDEX(연료전지_원본!$A$4:$KY$369,MATCH($A287,연료전지_원본!$A$4:$A$369,0),MATCH($BI$4,연료전지_원본!$A$4:$KY$4,0))</f>
        <v>0</v>
      </c>
      <c r="BJ287" s="241">
        <f>INDEX(연료전지_원본!$A$4:$KY$369,MATCH($A287,연료전지_원본!$A$4:$A$369,0),MATCH($BJ$4,연료전지_원본!$A$4:$KY$4,0))</f>
        <v>0</v>
      </c>
      <c r="BK287" s="241">
        <f>INDEX(연료전지_원본!$A$4:$KY$369,MATCH($A287,연료전지_원본!$A$4:$A$369,0),MATCH($BK$4,연료전지_원본!$A$4:$KY$4,0))</f>
        <v>0</v>
      </c>
      <c r="BL287" s="241">
        <f>INDEX(연료전지_원본!$A$4:$KY$369,MATCH($A287,연료전지_원본!$A$4:$A$369,0),MATCH($BL$4,연료전지_원본!$A$4:$KY$4,0))</f>
        <v>0</v>
      </c>
      <c r="BM287" s="241">
        <f>INDEX(연료전지_원본!$A$4:$KY$369,MATCH($A287,연료전지_원본!$A$4:$A$369,0),MATCH($BM$4,연료전지_원본!$A$4:$KY$4,0))</f>
        <v>0</v>
      </c>
      <c r="BN287" s="241">
        <f>INDEX(연료전지_원본!$A$4:$KY$369,MATCH($A287,연료전지_원본!$A$4:$A$369,0),MATCH($BN$4,연료전지_원본!$A$4:$KY$4,0))</f>
        <v>0</v>
      </c>
      <c r="BO287" s="241">
        <f>INDEX(연료전지_원본!$A$4:$KY$369,MATCH($A287,연료전지_원본!$A$4:$A$369,0),MATCH($BO$4,연료전지_원본!$A$4:$KY$4,0))</f>
        <v>0</v>
      </c>
      <c r="BP287" s="241">
        <f>INDEX(연료전지_원본!$A$4:$KY$369,MATCH($A287,연료전지_원본!$A$4:$A$369,0),MATCH($BP$4,연료전지_원본!$A$4:$KY$4,0))</f>
        <v>0</v>
      </c>
      <c r="BQ287" s="241">
        <f>INDEX(연료전지_원본!$A$4:$KY$369,MATCH($A287,연료전지_원본!$A$4:$A$369,0),MATCH($BQ$4,연료전지_원본!$A$4:$KY$4,0))</f>
        <v>0</v>
      </c>
      <c r="BR287" s="241">
        <f>INDEX(연료전지_원본!$A$4:$KY$369,MATCH($A287,연료전지_원본!$A$4:$A$369,0),MATCH($BR$4,연료전지_원본!$A$4:$KY$4,0))</f>
        <v>0</v>
      </c>
      <c r="BS287" s="241">
        <f>INDEX(연료전지_원본!$A$4:$KY$369,MATCH($A287,연료전지_원본!$A$4:$A$369,0),MATCH($BS$4,연료전지_원본!$A$4:$KY$4,0))</f>
        <v>0</v>
      </c>
      <c r="BT287" s="241">
        <f>INDEX(연료전지_원본!$A$4:$KY$369,MATCH($A287,연료전지_원본!$A$4:$A$369,0),MATCH($BT$4,연료전지_원본!$A$4:$KY$4,0))</f>
        <v>0</v>
      </c>
      <c r="BU287" s="241">
        <f>INDEX(연료전지_원본!$A$4:$KY$369,MATCH($A287,연료전지_원본!$A$4:$A$369,0),MATCH($BU$4,연료전지_원본!$A$4:$KY$4,0))</f>
        <v>0</v>
      </c>
      <c r="BV287" s="241">
        <f>INDEX(연료전지_원본!$A$4:$KY$369,MATCH($A287,연료전지_원본!$A$4:$A$369,0),MATCH($BV$4,연료전지_원본!$A$4:$KY$4,0))</f>
        <v>0</v>
      </c>
      <c r="BW287" s="241">
        <f>INDEX(연료전지_원본!$A$4:$KY$369,MATCH($A287,연료전지_원본!$A$4:$A$369,0),MATCH($BW$4,연료전지_원본!$A$4:$KY$4,0))</f>
        <v>0</v>
      </c>
      <c r="BX287" s="241">
        <f>INDEX(연료전지_원본!$A$4:$KY$369,MATCH($A287,연료전지_원본!$A$4:$A$369,0),MATCH($BX$4,연료전지_원본!$A$4:$KY$4,0))</f>
        <v>0</v>
      </c>
      <c r="BY287" s="241">
        <f>INDEX(연료전지_원본!$A$4:$KY$369,MATCH($A287,연료전지_원본!$A$4:$A$369,0),MATCH($BY$4,연료전지_원본!$A$4:$KY$4,0))</f>
        <v>0</v>
      </c>
      <c r="BZ287" s="241">
        <f>INDEX(연료전지_원본!$A$4:$KY$369,MATCH($A287,연료전지_원본!$A$4:$A$369,0),MATCH($BZ$4,연료전지_원본!$A$4:$KY$4,0))</f>
        <v>0</v>
      </c>
      <c r="CA287" s="241">
        <f>INDEX(연료전지_원본!$A$4:$KY$369,MATCH($A287,연료전지_원본!$A$4:$A$369,0),MATCH($CA$4,연료전지_원본!$A$4:$KY$4,0))</f>
        <v>0</v>
      </c>
      <c r="CB287" s="241">
        <f>INDEX(연료전지_원본!$A$4:$KY$369,MATCH($A287,연료전지_원본!$A$4:$A$369,0),MATCH($CB$4,연료전지_원본!$A$4:$KY$4,0))</f>
        <v>0</v>
      </c>
      <c r="CC287" s="242">
        <f>INDEX(연료전지_원본!$A$4:$KY$369,MATCH($A287,연료전지_원본!$A$4:$A$369,0),MATCH($CC$4,연료전지_원본!$A$4:$KY$4,0))</f>
        <v>0</v>
      </c>
      <c r="CD287" s="250">
        <f>INDEX(연료전지_원본!$KB$4:$KX$369,MATCH($A287,연료전지_원본!$KB$4:$KB$369,0), MATCH(CD$4,연료전지_원본!$KB$4:$KX$4,0))*1000</f>
        <v>0</v>
      </c>
      <c r="CE287" s="250">
        <f>INDEX(연료전지_원본!$KB$4:$KX$369,MATCH($A287,연료전지_원본!$KB$4:$KB$369,0), MATCH(CE$4,연료전지_원본!$KB$4:$KX$4,0))*1000</f>
        <v>0</v>
      </c>
      <c r="CF287" s="250">
        <f>INDEX(연료전지_원본!$KB$4:$KX$369,MATCH($A287,연료전지_원본!$KB$4:$KB$369,0), MATCH(CF$4,연료전지_원본!$KB$4:$KX$4,0))*1000</f>
        <v>0</v>
      </c>
      <c r="CG287" s="250">
        <f>INDEX(연료전지_원본!$KB$4:$KX$369,MATCH($A287,연료전지_원본!$KB$4:$KB$369,0), MATCH(CG$4,연료전지_원본!$KB$4:$KX$4,0))*1000</f>
        <v>0</v>
      </c>
      <c r="CH287" s="250">
        <f>INDEX(연료전지_원본!$KB$4:$KX$369,MATCH($A287,연료전지_원본!$KB$4:$KB$369,0), MATCH(CH$4,연료전지_원본!$KB$4:$KX$4,0))*1000</f>
        <v>0</v>
      </c>
      <c r="CI287" s="250">
        <f>INDEX(연료전지_원본!$KB$4:$KX$369,MATCH($A287,연료전지_원본!$KB$4:$KB$369,0), MATCH(CI$4,연료전지_원본!$KB$4:$KX$4,0))*1000</f>
        <v>0</v>
      </c>
      <c r="CJ287" s="250">
        <f>INDEX(연료전지_원본!$KB$4:$KX$369,MATCH($A287,연료전지_원본!$KB$4:$KB$369,0), MATCH(CJ$4,연료전지_원본!$KB$4:$KX$4,0))*1000</f>
        <v>0</v>
      </c>
      <c r="CK287" s="250">
        <f>INDEX(연료전지_원본!$KB$4:$KX$369,MATCH($A287,연료전지_원본!$KB$4:$KB$369,0), MATCH(CK$4,연료전지_원본!$KB$4:$KX$4,0))*1000</f>
        <v>0</v>
      </c>
      <c r="CL287" s="250">
        <f>INDEX(연료전지_원본!$KB$4:$KX$369,MATCH($A287,연료전지_원본!$KB$4:$KB$369,0), MATCH(CL$4,연료전지_원본!$KB$4:$KX$4,0))*1000</f>
        <v>0</v>
      </c>
      <c r="CM287" s="250">
        <f>INDEX(연료전지_원본!$KB$4:$KX$369,MATCH($A287,연료전지_원본!$KB$4:$KB$369,0), MATCH(CM$4,연료전지_원본!$KB$4:$KX$4,0))*1000</f>
        <v>0</v>
      </c>
      <c r="CN287" s="250">
        <f>INDEX(연료전지_원본!$KB$4:$KX$369,MATCH($A287,연료전지_원본!$KB$4:$KB$369,0), MATCH(CN$4,연료전지_원본!$KB$4:$KX$4,0))*1000</f>
        <v>0</v>
      </c>
      <c r="CO287" s="250">
        <f>INDEX(연료전지_원본!$KB$4:$KX$369,MATCH($A287,연료전지_원본!$KB$4:$KB$369,0), MATCH(CO$4,연료전지_원본!$KB$4:$KX$4,0))*1000</f>
        <v>0</v>
      </c>
      <c r="CP287" s="250">
        <f>INDEX(연료전지_원본!$KB$4:$KX$369,MATCH($A287,연료전지_원본!$KB$4:$KB$369,0), MATCH(CP$4,연료전지_원본!$KB$4:$KX$4,0))*1000</f>
        <v>0</v>
      </c>
      <c r="CQ287" s="250">
        <f>INDEX(연료전지_원본!$KB$4:$KX$369,MATCH($A287,연료전지_원본!$KB$4:$KB$369,0), MATCH(CQ$4,연료전지_원본!$KB$4:$KX$4,0))*1000</f>
        <v>0</v>
      </c>
      <c r="CR287" s="250">
        <f>INDEX(연료전지_원본!$KB$4:$KX$369,MATCH($A287,연료전지_원본!$KB$4:$KB$369,0), MATCH(CR$4,연료전지_원본!$KB$4:$KX$4,0))*1000</f>
        <v>0</v>
      </c>
      <c r="CS287" s="250">
        <f>INDEX(연료전지_원본!$KB$4:$KX$369,MATCH($A287,연료전지_원본!$KB$4:$KB$369,0), MATCH(CS$4,연료전지_원본!$KB$4:$KX$4,0))*1000</f>
        <v>0</v>
      </c>
      <c r="CT287" s="250">
        <f>INDEX(연료전지_원본!$KB$4:$KX$369,MATCH($A287,연료전지_원본!$KB$4:$KB$369,0), MATCH(CT$4,연료전지_원본!$KB$4:$KX$4,0))*1000</f>
        <v>0</v>
      </c>
      <c r="CU287" s="250">
        <f>INDEX(연료전지_원본!$KB$4:$KX$369,MATCH($A287,연료전지_원본!$KB$4:$KB$369,0), MATCH(CU$4,연료전지_원본!$KB$4:$KX$4,0))*1000</f>
        <v>0</v>
      </c>
      <c r="CV287" s="250">
        <f>INDEX(연료전지_원본!$KB$4:$KX$369,MATCH($A287,연료전지_원본!$KB$4:$KB$369,0), MATCH(CV$4,연료전지_원본!$KB$4:$KX$4,0))*1000</f>
        <v>0</v>
      </c>
      <c r="CW287" s="250">
        <f>INDEX(연료전지_원본!$KB$4:$KX$369,MATCH($A287,연료전지_원본!$KB$4:$KB$369,0), MATCH(CW$4,연료전지_원본!$KB$4:$KX$4,0))*1000</f>
        <v>0</v>
      </c>
      <c r="CX287" s="250">
        <f>INDEX(연료전지_원본!$KB$4:$KX$369,MATCH($A287,연료전지_원본!$KB$4:$KB$369,0), MATCH(CX$4,연료전지_원본!$KB$4:$KX$4,0))*1000</f>
        <v>0</v>
      </c>
      <c r="CY287" s="250">
        <f>INDEX(연료전지_원본!$KB$4:$KX$369,MATCH($A287,연료전지_원본!$KB$4:$KB$369,0), MATCH(CY$4,연료전지_원본!$KB$4:$KX$4,0))*1000</f>
        <v>0</v>
      </c>
      <c r="DV287" s="30">
        <f t="shared" si="1285"/>
        <v>0</v>
      </c>
    </row>
    <row r="288" spans="1:126">
      <c r="A288" s="6">
        <v>46305</v>
      </c>
      <c r="B288" s="15">
        <f>운전실적_원본!B288</f>
        <v>0</v>
      </c>
      <c r="C288" s="16" t="str">
        <f t="shared" si="1291"/>
        <v/>
      </c>
      <c r="D288" s="12">
        <f>운전실적_원본!C288</f>
        <v>0</v>
      </c>
      <c r="E288" s="12" t="str">
        <f t="shared" si="1292"/>
        <v/>
      </c>
      <c r="F288" s="12">
        <f>운전실적_원본!D288</f>
        <v>0</v>
      </c>
      <c r="G288" s="16" t="str">
        <f t="shared" si="1293"/>
        <v/>
      </c>
      <c r="H288" s="15">
        <f>운전실적_원본!E288</f>
        <v>0</v>
      </c>
      <c r="I288" s="16" t="str">
        <f t="shared" si="1294"/>
        <v/>
      </c>
      <c r="J288" s="15">
        <f>운전실적_원본!F288</f>
        <v>0</v>
      </c>
      <c r="K288" s="16" t="str">
        <f t="shared" si="1294"/>
        <v/>
      </c>
      <c r="L288" s="32">
        <f>운전실적_원본!G288</f>
        <v>0</v>
      </c>
      <c r="M288" s="31" t="str">
        <f t="shared" ref="M288" si="1581">IF(OR(LEN(L288)=0,L288=0),"",L288-L287)</f>
        <v/>
      </c>
      <c r="N288" s="15">
        <f>운전실적_원본!H288</f>
        <v>0</v>
      </c>
      <c r="O288" s="16" t="str">
        <f t="shared" ref="O288" si="1582">IF(OR(LEN(N288)=0,N288=0),"",N288-N287)</f>
        <v/>
      </c>
      <c r="P288" s="15">
        <f>운전실적_원본!I288</f>
        <v>0</v>
      </c>
      <c r="Q288" s="16" t="str">
        <f t="shared" ref="Q288" si="1583">IF(OR(LEN(P288)=0,P288=0),"",P288-P287)</f>
        <v/>
      </c>
      <c r="R288" s="18">
        <f>운전실적_원본!J288</f>
        <v>0</v>
      </c>
      <c r="S288" s="19" t="str">
        <f t="shared" ref="S288" si="1584">IF(OR(LEN(R288)=0,R288=0),"",R288-R287)</f>
        <v/>
      </c>
      <c r="T288" s="18">
        <f>운전실적_원본!K288</f>
        <v>0</v>
      </c>
      <c r="U288" s="19" t="str">
        <f t="shared" si="1299"/>
        <v/>
      </c>
      <c r="V288" s="12">
        <f>운전실적_원본!L288</f>
        <v>0</v>
      </c>
      <c r="W288" s="16" t="str">
        <f t="shared" ref="W288" si="1585">IF(OR(LEN(V288)=0,V288=0),"",V288-V287)</f>
        <v/>
      </c>
      <c r="X288" s="10">
        <f>운전실적_원본!M288</f>
        <v>0</v>
      </c>
      <c r="Y288" s="10">
        <f>운전실적_원본!N288</f>
        <v>0</v>
      </c>
      <c r="Z288" s="10">
        <f>운전실적_원본!O288</f>
        <v>0</v>
      </c>
      <c r="AA288" s="10">
        <f>운전실적_원본!P288</f>
        <v>0</v>
      </c>
      <c r="AB288" s="10">
        <f>운전실적_원본!Q288</f>
        <v>0</v>
      </c>
      <c r="AC288" s="20">
        <f>운전실적_원본!R288</f>
        <v>0</v>
      </c>
      <c r="AD288" s="109">
        <f>운전실적_원본!S288</f>
        <v>0</v>
      </c>
      <c r="AE288" s="110">
        <f>운전실적_원본!T288</f>
        <v>0</v>
      </c>
      <c r="AF288" s="110">
        <f>운전실적_원본!U288</f>
        <v>0</v>
      </c>
      <c r="AG288" s="110">
        <f>운전실적_원본!V288</f>
        <v>0</v>
      </c>
      <c r="AH288" s="109">
        <f t="shared" si="1453"/>
        <v>0</v>
      </c>
      <c r="AI288" s="110">
        <f t="shared" si="1460"/>
        <v>0</v>
      </c>
      <c r="AJ288" s="110">
        <f>운전실적_원본!Y288</f>
        <v>0</v>
      </c>
      <c r="AK288" s="110">
        <f>운전실적_원본!Z288</f>
        <v>0</v>
      </c>
      <c r="AL288" s="106"/>
      <c r="AM288" s="105"/>
      <c r="AN288" s="105"/>
      <c r="AO288" s="105"/>
      <c r="AP288" s="105"/>
      <c r="AQ288" s="108"/>
      <c r="AR288" s="105"/>
      <c r="AS288" s="105"/>
      <c r="AT288" s="102"/>
      <c r="AU288" s="102"/>
      <c r="AV288" s="102"/>
      <c r="AW288" s="102"/>
      <c r="AX288" s="32">
        <f>운전실적_원본!W288</f>
        <v>0</v>
      </c>
      <c r="AY288" s="11">
        <f>운전실적_원본!X288</f>
        <v>0</v>
      </c>
      <c r="AZ288" s="11">
        <f>운전실적_원본!Y288</f>
        <v>0</v>
      </c>
      <c r="BA288" s="11">
        <f>운전실적_원본!Z288</f>
        <v>0</v>
      </c>
      <c r="BB288" s="11">
        <f>운전실적_원본!AA288</f>
        <v>0</v>
      </c>
      <c r="BC288" s="11">
        <f>운전실적_원본!AB288</f>
        <v>0</v>
      </c>
      <c r="BD288" s="32" t="str">
        <f t="shared" si="1446"/>
        <v>-</v>
      </c>
      <c r="BE288" s="11" t="str">
        <f t="shared" si="1454"/>
        <v>-</v>
      </c>
      <c r="BF288" s="11">
        <f>운전실적_원본!AE288</f>
        <v>0</v>
      </c>
      <c r="BG288" s="31">
        <f t="shared" si="1447"/>
        <v>0</v>
      </c>
      <c r="BH288" s="241">
        <f>INDEX(연료전지_원본!$A$4:$KY$369,MATCH($A288,연료전지_원본!$A$4:$A$369,0),MATCH($BH$4,연료전지_원본!$A$4:$KY$4,0))</f>
        <v>0</v>
      </c>
      <c r="BI288" s="241">
        <f>INDEX(연료전지_원본!$A$4:$KY$369,MATCH($A288,연료전지_원본!$A$4:$A$369,0),MATCH($BI$4,연료전지_원본!$A$4:$KY$4,0))</f>
        <v>0</v>
      </c>
      <c r="BJ288" s="241">
        <f>INDEX(연료전지_원본!$A$4:$KY$369,MATCH($A288,연료전지_원본!$A$4:$A$369,0),MATCH($BJ$4,연료전지_원본!$A$4:$KY$4,0))</f>
        <v>0</v>
      </c>
      <c r="BK288" s="241">
        <f>INDEX(연료전지_원본!$A$4:$KY$369,MATCH($A288,연료전지_원본!$A$4:$A$369,0),MATCH($BK$4,연료전지_원본!$A$4:$KY$4,0))</f>
        <v>0</v>
      </c>
      <c r="BL288" s="241">
        <f>INDEX(연료전지_원본!$A$4:$KY$369,MATCH($A288,연료전지_원본!$A$4:$A$369,0),MATCH($BL$4,연료전지_원본!$A$4:$KY$4,0))</f>
        <v>0</v>
      </c>
      <c r="BM288" s="241">
        <f>INDEX(연료전지_원본!$A$4:$KY$369,MATCH($A288,연료전지_원본!$A$4:$A$369,0),MATCH($BM$4,연료전지_원본!$A$4:$KY$4,0))</f>
        <v>0</v>
      </c>
      <c r="BN288" s="241">
        <f>INDEX(연료전지_원본!$A$4:$KY$369,MATCH($A288,연료전지_원본!$A$4:$A$369,0),MATCH($BN$4,연료전지_원본!$A$4:$KY$4,0))</f>
        <v>0</v>
      </c>
      <c r="BO288" s="241">
        <f>INDEX(연료전지_원본!$A$4:$KY$369,MATCH($A288,연료전지_원본!$A$4:$A$369,0),MATCH($BO$4,연료전지_원본!$A$4:$KY$4,0))</f>
        <v>0</v>
      </c>
      <c r="BP288" s="241">
        <f>INDEX(연료전지_원본!$A$4:$KY$369,MATCH($A288,연료전지_원본!$A$4:$A$369,0),MATCH($BP$4,연료전지_원본!$A$4:$KY$4,0))</f>
        <v>0</v>
      </c>
      <c r="BQ288" s="241">
        <f>INDEX(연료전지_원본!$A$4:$KY$369,MATCH($A288,연료전지_원본!$A$4:$A$369,0),MATCH($BQ$4,연료전지_원본!$A$4:$KY$4,0))</f>
        <v>0</v>
      </c>
      <c r="BR288" s="241">
        <f>INDEX(연료전지_원본!$A$4:$KY$369,MATCH($A288,연료전지_원본!$A$4:$A$369,0),MATCH($BR$4,연료전지_원본!$A$4:$KY$4,0))</f>
        <v>0</v>
      </c>
      <c r="BS288" s="241">
        <f>INDEX(연료전지_원본!$A$4:$KY$369,MATCH($A288,연료전지_원본!$A$4:$A$369,0),MATCH($BS$4,연료전지_원본!$A$4:$KY$4,0))</f>
        <v>0</v>
      </c>
      <c r="BT288" s="241">
        <f>INDEX(연료전지_원본!$A$4:$KY$369,MATCH($A288,연료전지_원본!$A$4:$A$369,0),MATCH($BT$4,연료전지_원본!$A$4:$KY$4,0))</f>
        <v>0</v>
      </c>
      <c r="BU288" s="241">
        <f>INDEX(연료전지_원본!$A$4:$KY$369,MATCH($A288,연료전지_원본!$A$4:$A$369,0),MATCH($BU$4,연료전지_원본!$A$4:$KY$4,0))</f>
        <v>0</v>
      </c>
      <c r="BV288" s="241">
        <f>INDEX(연료전지_원본!$A$4:$KY$369,MATCH($A288,연료전지_원본!$A$4:$A$369,0),MATCH($BV$4,연료전지_원본!$A$4:$KY$4,0))</f>
        <v>0</v>
      </c>
      <c r="BW288" s="241">
        <f>INDEX(연료전지_원본!$A$4:$KY$369,MATCH($A288,연료전지_원본!$A$4:$A$369,0),MATCH($BW$4,연료전지_원본!$A$4:$KY$4,0))</f>
        <v>0</v>
      </c>
      <c r="BX288" s="241">
        <f>INDEX(연료전지_원본!$A$4:$KY$369,MATCH($A288,연료전지_원본!$A$4:$A$369,0),MATCH($BX$4,연료전지_원본!$A$4:$KY$4,0))</f>
        <v>0</v>
      </c>
      <c r="BY288" s="241">
        <f>INDEX(연료전지_원본!$A$4:$KY$369,MATCH($A288,연료전지_원본!$A$4:$A$369,0),MATCH($BY$4,연료전지_원본!$A$4:$KY$4,0))</f>
        <v>0</v>
      </c>
      <c r="BZ288" s="241">
        <f>INDEX(연료전지_원본!$A$4:$KY$369,MATCH($A288,연료전지_원본!$A$4:$A$369,0),MATCH($BZ$4,연료전지_원본!$A$4:$KY$4,0))</f>
        <v>0</v>
      </c>
      <c r="CA288" s="241">
        <f>INDEX(연료전지_원본!$A$4:$KY$369,MATCH($A288,연료전지_원본!$A$4:$A$369,0),MATCH($CA$4,연료전지_원본!$A$4:$KY$4,0))</f>
        <v>0</v>
      </c>
      <c r="CB288" s="241">
        <f>INDEX(연료전지_원본!$A$4:$KY$369,MATCH($A288,연료전지_원본!$A$4:$A$369,0),MATCH($CB$4,연료전지_원본!$A$4:$KY$4,0))</f>
        <v>0</v>
      </c>
      <c r="CC288" s="242">
        <f>INDEX(연료전지_원본!$A$4:$KY$369,MATCH($A288,연료전지_원본!$A$4:$A$369,0),MATCH($CC$4,연료전지_원본!$A$4:$KY$4,0))</f>
        <v>0</v>
      </c>
      <c r="CD288" s="250">
        <f>INDEX(연료전지_원본!$KB$4:$KX$369,MATCH($A288,연료전지_원본!$KB$4:$KB$369,0), MATCH(CD$4,연료전지_원본!$KB$4:$KX$4,0))*1000</f>
        <v>0</v>
      </c>
      <c r="CE288" s="250">
        <f>INDEX(연료전지_원본!$KB$4:$KX$369,MATCH($A288,연료전지_원본!$KB$4:$KB$369,0), MATCH(CE$4,연료전지_원본!$KB$4:$KX$4,0))*1000</f>
        <v>0</v>
      </c>
      <c r="CF288" s="250">
        <f>INDEX(연료전지_원본!$KB$4:$KX$369,MATCH($A288,연료전지_원본!$KB$4:$KB$369,0), MATCH(CF$4,연료전지_원본!$KB$4:$KX$4,0))*1000</f>
        <v>0</v>
      </c>
      <c r="CG288" s="250">
        <f>INDEX(연료전지_원본!$KB$4:$KX$369,MATCH($A288,연료전지_원본!$KB$4:$KB$369,0), MATCH(CG$4,연료전지_원본!$KB$4:$KX$4,0))*1000</f>
        <v>0</v>
      </c>
      <c r="CH288" s="250">
        <f>INDEX(연료전지_원본!$KB$4:$KX$369,MATCH($A288,연료전지_원본!$KB$4:$KB$369,0), MATCH(CH$4,연료전지_원본!$KB$4:$KX$4,0))*1000</f>
        <v>0</v>
      </c>
      <c r="CI288" s="250">
        <f>INDEX(연료전지_원본!$KB$4:$KX$369,MATCH($A288,연료전지_원본!$KB$4:$KB$369,0), MATCH(CI$4,연료전지_원본!$KB$4:$KX$4,0))*1000</f>
        <v>0</v>
      </c>
      <c r="CJ288" s="250">
        <f>INDEX(연료전지_원본!$KB$4:$KX$369,MATCH($A288,연료전지_원본!$KB$4:$KB$369,0), MATCH(CJ$4,연료전지_원본!$KB$4:$KX$4,0))*1000</f>
        <v>0</v>
      </c>
      <c r="CK288" s="250">
        <f>INDEX(연료전지_원본!$KB$4:$KX$369,MATCH($A288,연료전지_원본!$KB$4:$KB$369,0), MATCH(CK$4,연료전지_원본!$KB$4:$KX$4,0))*1000</f>
        <v>0</v>
      </c>
      <c r="CL288" s="250">
        <f>INDEX(연료전지_원본!$KB$4:$KX$369,MATCH($A288,연료전지_원본!$KB$4:$KB$369,0), MATCH(CL$4,연료전지_원본!$KB$4:$KX$4,0))*1000</f>
        <v>0</v>
      </c>
      <c r="CM288" s="250">
        <f>INDEX(연료전지_원본!$KB$4:$KX$369,MATCH($A288,연료전지_원본!$KB$4:$KB$369,0), MATCH(CM$4,연료전지_원본!$KB$4:$KX$4,0))*1000</f>
        <v>0</v>
      </c>
      <c r="CN288" s="250">
        <f>INDEX(연료전지_원본!$KB$4:$KX$369,MATCH($A288,연료전지_원본!$KB$4:$KB$369,0), MATCH(CN$4,연료전지_원본!$KB$4:$KX$4,0))*1000</f>
        <v>0</v>
      </c>
      <c r="CO288" s="250">
        <f>INDEX(연료전지_원본!$KB$4:$KX$369,MATCH($A288,연료전지_원본!$KB$4:$KB$369,0), MATCH(CO$4,연료전지_원본!$KB$4:$KX$4,0))*1000</f>
        <v>0</v>
      </c>
      <c r="CP288" s="250">
        <f>INDEX(연료전지_원본!$KB$4:$KX$369,MATCH($A288,연료전지_원본!$KB$4:$KB$369,0), MATCH(CP$4,연료전지_원본!$KB$4:$KX$4,0))*1000</f>
        <v>0</v>
      </c>
      <c r="CQ288" s="250">
        <f>INDEX(연료전지_원본!$KB$4:$KX$369,MATCH($A288,연료전지_원본!$KB$4:$KB$369,0), MATCH(CQ$4,연료전지_원본!$KB$4:$KX$4,0))*1000</f>
        <v>0</v>
      </c>
      <c r="CR288" s="250">
        <f>INDEX(연료전지_원본!$KB$4:$KX$369,MATCH($A288,연료전지_원본!$KB$4:$KB$369,0), MATCH(CR$4,연료전지_원본!$KB$4:$KX$4,0))*1000</f>
        <v>0</v>
      </c>
      <c r="CS288" s="250">
        <f>INDEX(연료전지_원본!$KB$4:$KX$369,MATCH($A288,연료전지_원본!$KB$4:$KB$369,0), MATCH(CS$4,연료전지_원본!$KB$4:$KX$4,0))*1000</f>
        <v>0</v>
      </c>
      <c r="CT288" s="250">
        <f>INDEX(연료전지_원본!$KB$4:$KX$369,MATCH($A288,연료전지_원본!$KB$4:$KB$369,0), MATCH(CT$4,연료전지_원본!$KB$4:$KX$4,0))*1000</f>
        <v>0</v>
      </c>
      <c r="CU288" s="250">
        <f>INDEX(연료전지_원본!$KB$4:$KX$369,MATCH($A288,연료전지_원본!$KB$4:$KB$369,0), MATCH(CU$4,연료전지_원본!$KB$4:$KX$4,0))*1000</f>
        <v>0</v>
      </c>
      <c r="CV288" s="250">
        <f>INDEX(연료전지_원본!$KB$4:$KX$369,MATCH($A288,연료전지_원본!$KB$4:$KB$369,0), MATCH(CV$4,연료전지_원본!$KB$4:$KX$4,0))*1000</f>
        <v>0</v>
      </c>
      <c r="CW288" s="250">
        <f>INDEX(연료전지_원본!$KB$4:$KX$369,MATCH($A288,연료전지_원본!$KB$4:$KB$369,0), MATCH(CW$4,연료전지_원본!$KB$4:$KX$4,0))*1000</f>
        <v>0</v>
      </c>
      <c r="CX288" s="250">
        <f>INDEX(연료전지_원본!$KB$4:$KX$369,MATCH($A288,연료전지_원본!$KB$4:$KB$369,0), MATCH(CX$4,연료전지_원본!$KB$4:$KX$4,0))*1000</f>
        <v>0</v>
      </c>
      <c r="CY288" s="250">
        <f>INDEX(연료전지_원본!$KB$4:$KX$369,MATCH($A288,연료전지_원본!$KB$4:$KB$369,0), MATCH(CY$4,연료전지_원본!$KB$4:$KX$4,0))*1000</f>
        <v>0</v>
      </c>
      <c r="DV288" s="30">
        <f t="shared" si="1285"/>
        <v>0</v>
      </c>
    </row>
    <row r="289" spans="1:126">
      <c r="A289" s="6">
        <v>46306</v>
      </c>
      <c r="B289" s="15">
        <f>운전실적_원본!B289</f>
        <v>0</v>
      </c>
      <c r="C289" s="16" t="str">
        <f t="shared" si="1291"/>
        <v/>
      </c>
      <c r="D289" s="12">
        <f>운전실적_원본!C289</f>
        <v>0</v>
      </c>
      <c r="E289" s="12" t="str">
        <f t="shared" si="1292"/>
        <v/>
      </c>
      <c r="F289" s="12">
        <f>운전실적_원본!D289</f>
        <v>0</v>
      </c>
      <c r="G289" s="16" t="str">
        <f t="shared" si="1293"/>
        <v/>
      </c>
      <c r="H289" s="15">
        <f>운전실적_원본!E289</f>
        <v>0</v>
      </c>
      <c r="I289" s="16" t="str">
        <f t="shared" si="1294"/>
        <v/>
      </c>
      <c r="J289" s="15">
        <f>운전실적_원본!F289</f>
        <v>0</v>
      </c>
      <c r="K289" s="16" t="str">
        <f t="shared" si="1294"/>
        <v/>
      </c>
      <c r="L289" s="32">
        <f>운전실적_원본!G289</f>
        <v>0</v>
      </c>
      <c r="M289" s="31" t="str">
        <f t="shared" ref="M289" si="1586">IF(OR(LEN(L289)=0,L289=0),"",L289-L288)</f>
        <v/>
      </c>
      <c r="N289" s="15">
        <f>운전실적_원본!H289</f>
        <v>0</v>
      </c>
      <c r="O289" s="16" t="str">
        <f t="shared" ref="O289" si="1587">IF(OR(LEN(N289)=0,N289=0),"",N289-N288)</f>
        <v/>
      </c>
      <c r="P289" s="15">
        <f>운전실적_원본!I289</f>
        <v>0</v>
      </c>
      <c r="Q289" s="16" t="str">
        <f t="shared" ref="Q289" si="1588">IF(OR(LEN(P289)=0,P289=0),"",P289-P288)</f>
        <v/>
      </c>
      <c r="R289" s="18">
        <f>운전실적_원본!J289</f>
        <v>0</v>
      </c>
      <c r="S289" s="19" t="str">
        <f t="shared" ref="S289" si="1589">IF(OR(LEN(R289)=0,R289=0),"",R289-R288)</f>
        <v/>
      </c>
      <c r="T289" s="18">
        <f>운전실적_원본!K289</f>
        <v>0</v>
      </c>
      <c r="U289" s="19" t="str">
        <f t="shared" si="1299"/>
        <v/>
      </c>
      <c r="V289" s="12">
        <f>운전실적_원본!L289</f>
        <v>0</v>
      </c>
      <c r="W289" s="16" t="str">
        <f t="shared" ref="W289" si="1590">IF(OR(LEN(V289)=0,V289=0),"",V289-V288)</f>
        <v/>
      </c>
      <c r="X289" s="10">
        <f>운전실적_원본!M289</f>
        <v>0</v>
      </c>
      <c r="Y289" s="10">
        <f>운전실적_원본!N289</f>
        <v>0</v>
      </c>
      <c r="Z289" s="10">
        <f>운전실적_원본!O289</f>
        <v>0</v>
      </c>
      <c r="AA289" s="10">
        <f>운전실적_원본!P289</f>
        <v>0</v>
      </c>
      <c r="AB289" s="10">
        <f>운전실적_원본!Q289</f>
        <v>0</v>
      </c>
      <c r="AC289" s="20">
        <f>운전실적_원본!R289</f>
        <v>0</v>
      </c>
      <c r="AD289" s="109">
        <f>운전실적_원본!S289</f>
        <v>0</v>
      </c>
      <c r="AE289" s="110">
        <f>운전실적_원본!T289</f>
        <v>0</v>
      </c>
      <c r="AF289" s="110">
        <f>운전실적_원본!U289</f>
        <v>0</v>
      </c>
      <c r="AG289" s="110">
        <f>운전실적_원본!V289</f>
        <v>0</v>
      </c>
      <c r="AH289" s="109">
        <f t="shared" si="1453"/>
        <v>0</v>
      </c>
      <c r="AI289" s="110">
        <f t="shared" si="1460"/>
        <v>0</v>
      </c>
      <c r="AJ289" s="110">
        <f>운전실적_원본!Y289</f>
        <v>0</v>
      </c>
      <c r="AK289" s="110">
        <f>운전실적_원본!Z289</f>
        <v>0</v>
      </c>
      <c r="AL289" s="106"/>
      <c r="AM289" s="105"/>
      <c r="AN289" s="105"/>
      <c r="AO289" s="105"/>
      <c r="AP289" s="105"/>
      <c r="AQ289" s="108"/>
      <c r="AR289" s="105"/>
      <c r="AS289" s="105"/>
      <c r="AT289" s="102"/>
      <c r="AU289" s="102"/>
      <c r="AV289" s="102"/>
      <c r="AW289" s="102"/>
      <c r="AX289" s="32">
        <f>운전실적_원본!W289</f>
        <v>0</v>
      </c>
      <c r="AY289" s="11">
        <f>운전실적_원본!X289</f>
        <v>0</v>
      </c>
      <c r="AZ289" s="11">
        <f>운전실적_원본!Y289</f>
        <v>0</v>
      </c>
      <c r="BA289" s="11">
        <f>운전실적_원본!Z289</f>
        <v>0</v>
      </c>
      <c r="BB289" s="11">
        <f>운전실적_원본!AA289</f>
        <v>0</v>
      </c>
      <c r="BC289" s="11">
        <f>운전실적_원본!AB289</f>
        <v>0</v>
      </c>
      <c r="BD289" s="32" t="str">
        <f t="shared" si="1446"/>
        <v>-</v>
      </c>
      <c r="BE289" s="11" t="str">
        <f t="shared" si="1454"/>
        <v>-</v>
      </c>
      <c r="BF289" s="11">
        <f>운전실적_원본!AE289</f>
        <v>0</v>
      </c>
      <c r="BG289" s="31">
        <f t="shared" si="1447"/>
        <v>0</v>
      </c>
      <c r="BH289" s="241">
        <f>INDEX(연료전지_원본!$A$4:$KY$369,MATCH($A289,연료전지_원본!$A$4:$A$369,0),MATCH($BH$4,연료전지_원본!$A$4:$KY$4,0))</f>
        <v>0</v>
      </c>
      <c r="BI289" s="241">
        <f>INDEX(연료전지_원본!$A$4:$KY$369,MATCH($A289,연료전지_원본!$A$4:$A$369,0),MATCH($BI$4,연료전지_원본!$A$4:$KY$4,0))</f>
        <v>0</v>
      </c>
      <c r="BJ289" s="241">
        <f>INDEX(연료전지_원본!$A$4:$KY$369,MATCH($A289,연료전지_원본!$A$4:$A$369,0),MATCH($BJ$4,연료전지_원본!$A$4:$KY$4,0))</f>
        <v>0</v>
      </c>
      <c r="BK289" s="241">
        <f>INDEX(연료전지_원본!$A$4:$KY$369,MATCH($A289,연료전지_원본!$A$4:$A$369,0),MATCH($BK$4,연료전지_원본!$A$4:$KY$4,0))</f>
        <v>0</v>
      </c>
      <c r="BL289" s="241">
        <f>INDEX(연료전지_원본!$A$4:$KY$369,MATCH($A289,연료전지_원본!$A$4:$A$369,0),MATCH($BL$4,연료전지_원본!$A$4:$KY$4,0))</f>
        <v>0</v>
      </c>
      <c r="BM289" s="241">
        <f>INDEX(연료전지_원본!$A$4:$KY$369,MATCH($A289,연료전지_원본!$A$4:$A$369,0),MATCH($BM$4,연료전지_원본!$A$4:$KY$4,0))</f>
        <v>0</v>
      </c>
      <c r="BN289" s="241">
        <f>INDEX(연료전지_원본!$A$4:$KY$369,MATCH($A289,연료전지_원본!$A$4:$A$369,0),MATCH($BN$4,연료전지_원본!$A$4:$KY$4,0))</f>
        <v>0</v>
      </c>
      <c r="BO289" s="241">
        <f>INDEX(연료전지_원본!$A$4:$KY$369,MATCH($A289,연료전지_원본!$A$4:$A$369,0),MATCH($BO$4,연료전지_원본!$A$4:$KY$4,0))</f>
        <v>0</v>
      </c>
      <c r="BP289" s="241">
        <f>INDEX(연료전지_원본!$A$4:$KY$369,MATCH($A289,연료전지_원본!$A$4:$A$369,0),MATCH($BP$4,연료전지_원본!$A$4:$KY$4,0))</f>
        <v>0</v>
      </c>
      <c r="BQ289" s="241">
        <f>INDEX(연료전지_원본!$A$4:$KY$369,MATCH($A289,연료전지_원본!$A$4:$A$369,0),MATCH($BQ$4,연료전지_원본!$A$4:$KY$4,0))</f>
        <v>0</v>
      </c>
      <c r="BR289" s="241">
        <f>INDEX(연료전지_원본!$A$4:$KY$369,MATCH($A289,연료전지_원본!$A$4:$A$369,0),MATCH($BR$4,연료전지_원본!$A$4:$KY$4,0))</f>
        <v>0</v>
      </c>
      <c r="BS289" s="241">
        <f>INDEX(연료전지_원본!$A$4:$KY$369,MATCH($A289,연료전지_원본!$A$4:$A$369,0),MATCH($BS$4,연료전지_원본!$A$4:$KY$4,0))</f>
        <v>0</v>
      </c>
      <c r="BT289" s="241">
        <f>INDEX(연료전지_원본!$A$4:$KY$369,MATCH($A289,연료전지_원본!$A$4:$A$369,0),MATCH($BT$4,연료전지_원본!$A$4:$KY$4,0))</f>
        <v>0</v>
      </c>
      <c r="BU289" s="241">
        <f>INDEX(연료전지_원본!$A$4:$KY$369,MATCH($A289,연료전지_원본!$A$4:$A$369,0),MATCH($BU$4,연료전지_원본!$A$4:$KY$4,0))</f>
        <v>0</v>
      </c>
      <c r="BV289" s="241">
        <f>INDEX(연료전지_원본!$A$4:$KY$369,MATCH($A289,연료전지_원본!$A$4:$A$369,0),MATCH($BV$4,연료전지_원본!$A$4:$KY$4,0))</f>
        <v>0</v>
      </c>
      <c r="BW289" s="241">
        <f>INDEX(연료전지_원본!$A$4:$KY$369,MATCH($A289,연료전지_원본!$A$4:$A$369,0),MATCH($BW$4,연료전지_원본!$A$4:$KY$4,0))</f>
        <v>0</v>
      </c>
      <c r="BX289" s="241">
        <f>INDEX(연료전지_원본!$A$4:$KY$369,MATCH($A289,연료전지_원본!$A$4:$A$369,0),MATCH($BX$4,연료전지_원본!$A$4:$KY$4,0))</f>
        <v>0</v>
      </c>
      <c r="BY289" s="241">
        <f>INDEX(연료전지_원본!$A$4:$KY$369,MATCH($A289,연료전지_원본!$A$4:$A$369,0),MATCH($BY$4,연료전지_원본!$A$4:$KY$4,0))</f>
        <v>0</v>
      </c>
      <c r="BZ289" s="241">
        <f>INDEX(연료전지_원본!$A$4:$KY$369,MATCH($A289,연료전지_원본!$A$4:$A$369,0),MATCH($BZ$4,연료전지_원본!$A$4:$KY$4,0))</f>
        <v>0</v>
      </c>
      <c r="CA289" s="241">
        <f>INDEX(연료전지_원본!$A$4:$KY$369,MATCH($A289,연료전지_원본!$A$4:$A$369,0),MATCH($CA$4,연료전지_원본!$A$4:$KY$4,0))</f>
        <v>0</v>
      </c>
      <c r="CB289" s="241">
        <f>INDEX(연료전지_원본!$A$4:$KY$369,MATCH($A289,연료전지_원본!$A$4:$A$369,0),MATCH($CB$4,연료전지_원본!$A$4:$KY$4,0))</f>
        <v>0</v>
      </c>
      <c r="CC289" s="242">
        <f>INDEX(연료전지_원본!$A$4:$KY$369,MATCH($A289,연료전지_원본!$A$4:$A$369,0),MATCH($CC$4,연료전지_원본!$A$4:$KY$4,0))</f>
        <v>0</v>
      </c>
      <c r="CD289" s="250">
        <f>INDEX(연료전지_원본!$KB$4:$KX$369,MATCH($A289,연료전지_원본!$KB$4:$KB$369,0), MATCH(CD$4,연료전지_원본!$KB$4:$KX$4,0))*1000</f>
        <v>0</v>
      </c>
      <c r="CE289" s="250">
        <f>INDEX(연료전지_원본!$KB$4:$KX$369,MATCH($A289,연료전지_원본!$KB$4:$KB$369,0), MATCH(CE$4,연료전지_원본!$KB$4:$KX$4,0))*1000</f>
        <v>0</v>
      </c>
      <c r="CF289" s="250">
        <f>INDEX(연료전지_원본!$KB$4:$KX$369,MATCH($A289,연료전지_원본!$KB$4:$KB$369,0), MATCH(CF$4,연료전지_원본!$KB$4:$KX$4,0))*1000</f>
        <v>0</v>
      </c>
      <c r="CG289" s="250">
        <f>INDEX(연료전지_원본!$KB$4:$KX$369,MATCH($A289,연료전지_원본!$KB$4:$KB$369,0), MATCH(CG$4,연료전지_원본!$KB$4:$KX$4,0))*1000</f>
        <v>0</v>
      </c>
      <c r="CH289" s="250">
        <f>INDEX(연료전지_원본!$KB$4:$KX$369,MATCH($A289,연료전지_원본!$KB$4:$KB$369,0), MATCH(CH$4,연료전지_원본!$KB$4:$KX$4,0))*1000</f>
        <v>0</v>
      </c>
      <c r="CI289" s="250">
        <f>INDEX(연료전지_원본!$KB$4:$KX$369,MATCH($A289,연료전지_원본!$KB$4:$KB$369,0), MATCH(CI$4,연료전지_원본!$KB$4:$KX$4,0))*1000</f>
        <v>0</v>
      </c>
      <c r="CJ289" s="250">
        <f>INDEX(연료전지_원본!$KB$4:$KX$369,MATCH($A289,연료전지_원본!$KB$4:$KB$369,0), MATCH(CJ$4,연료전지_원본!$KB$4:$KX$4,0))*1000</f>
        <v>0</v>
      </c>
      <c r="CK289" s="250">
        <f>INDEX(연료전지_원본!$KB$4:$KX$369,MATCH($A289,연료전지_원본!$KB$4:$KB$369,0), MATCH(CK$4,연료전지_원본!$KB$4:$KX$4,0))*1000</f>
        <v>0</v>
      </c>
      <c r="CL289" s="250">
        <f>INDEX(연료전지_원본!$KB$4:$KX$369,MATCH($A289,연료전지_원본!$KB$4:$KB$369,0), MATCH(CL$4,연료전지_원본!$KB$4:$KX$4,0))*1000</f>
        <v>0</v>
      </c>
      <c r="CM289" s="250">
        <f>INDEX(연료전지_원본!$KB$4:$KX$369,MATCH($A289,연료전지_원본!$KB$4:$KB$369,0), MATCH(CM$4,연료전지_원본!$KB$4:$KX$4,0))*1000</f>
        <v>0</v>
      </c>
      <c r="CN289" s="250">
        <f>INDEX(연료전지_원본!$KB$4:$KX$369,MATCH($A289,연료전지_원본!$KB$4:$KB$369,0), MATCH(CN$4,연료전지_원본!$KB$4:$KX$4,0))*1000</f>
        <v>0</v>
      </c>
      <c r="CO289" s="250">
        <f>INDEX(연료전지_원본!$KB$4:$KX$369,MATCH($A289,연료전지_원본!$KB$4:$KB$369,0), MATCH(CO$4,연료전지_원본!$KB$4:$KX$4,0))*1000</f>
        <v>0</v>
      </c>
      <c r="CP289" s="250">
        <f>INDEX(연료전지_원본!$KB$4:$KX$369,MATCH($A289,연료전지_원본!$KB$4:$KB$369,0), MATCH(CP$4,연료전지_원본!$KB$4:$KX$4,0))*1000</f>
        <v>0</v>
      </c>
      <c r="CQ289" s="250">
        <f>INDEX(연료전지_원본!$KB$4:$KX$369,MATCH($A289,연료전지_원본!$KB$4:$KB$369,0), MATCH(CQ$4,연료전지_원본!$KB$4:$KX$4,0))*1000</f>
        <v>0</v>
      </c>
      <c r="CR289" s="250">
        <f>INDEX(연료전지_원본!$KB$4:$KX$369,MATCH($A289,연료전지_원본!$KB$4:$KB$369,0), MATCH(CR$4,연료전지_원본!$KB$4:$KX$4,0))*1000</f>
        <v>0</v>
      </c>
      <c r="CS289" s="250">
        <f>INDEX(연료전지_원본!$KB$4:$KX$369,MATCH($A289,연료전지_원본!$KB$4:$KB$369,0), MATCH(CS$4,연료전지_원본!$KB$4:$KX$4,0))*1000</f>
        <v>0</v>
      </c>
      <c r="CT289" s="250">
        <f>INDEX(연료전지_원본!$KB$4:$KX$369,MATCH($A289,연료전지_원본!$KB$4:$KB$369,0), MATCH(CT$4,연료전지_원본!$KB$4:$KX$4,0))*1000</f>
        <v>0</v>
      </c>
      <c r="CU289" s="250">
        <f>INDEX(연료전지_원본!$KB$4:$KX$369,MATCH($A289,연료전지_원본!$KB$4:$KB$369,0), MATCH(CU$4,연료전지_원본!$KB$4:$KX$4,0))*1000</f>
        <v>0</v>
      </c>
      <c r="CV289" s="250">
        <f>INDEX(연료전지_원본!$KB$4:$KX$369,MATCH($A289,연료전지_원본!$KB$4:$KB$369,0), MATCH(CV$4,연료전지_원본!$KB$4:$KX$4,0))*1000</f>
        <v>0</v>
      </c>
      <c r="CW289" s="250">
        <f>INDEX(연료전지_원본!$KB$4:$KX$369,MATCH($A289,연료전지_원본!$KB$4:$KB$369,0), MATCH(CW$4,연료전지_원본!$KB$4:$KX$4,0))*1000</f>
        <v>0</v>
      </c>
      <c r="CX289" s="250">
        <f>INDEX(연료전지_원본!$KB$4:$KX$369,MATCH($A289,연료전지_원본!$KB$4:$KB$369,0), MATCH(CX$4,연료전지_원본!$KB$4:$KX$4,0))*1000</f>
        <v>0</v>
      </c>
      <c r="CY289" s="250">
        <f>INDEX(연료전지_원본!$KB$4:$KX$369,MATCH($A289,연료전지_원본!$KB$4:$KB$369,0), MATCH(CY$4,연료전지_원본!$KB$4:$KX$4,0))*1000</f>
        <v>0</v>
      </c>
      <c r="DV289" s="30">
        <f t="shared" si="1285"/>
        <v>0</v>
      </c>
    </row>
    <row r="290" spans="1:126">
      <c r="A290" s="6">
        <v>46307</v>
      </c>
      <c r="B290" s="15">
        <f>운전실적_원본!B290</f>
        <v>0</v>
      </c>
      <c r="C290" s="16" t="str">
        <f t="shared" si="1291"/>
        <v/>
      </c>
      <c r="D290" s="12">
        <f>운전실적_원본!C290</f>
        <v>0</v>
      </c>
      <c r="E290" s="12" t="str">
        <f t="shared" si="1292"/>
        <v/>
      </c>
      <c r="F290" s="12">
        <f>운전실적_원본!D290</f>
        <v>0</v>
      </c>
      <c r="G290" s="16" t="str">
        <f t="shared" si="1293"/>
        <v/>
      </c>
      <c r="H290" s="15">
        <f>운전실적_원본!E290</f>
        <v>0</v>
      </c>
      <c r="I290" s="16" t="str">
        <f t="shared" si="1294"/>
        <v/>
      </c>
      <c r="J290" s="15">
        <f>운전실적_원본!F290</f>
        <v>0</v>
      </c>
      <c r="K290" s="16" t="str">
        <f t="shared" si="1294"/>
        <v/>
      </c>
      <c r="L290" s="32">
        <f>운전실적_원본!G290</f>
        <v>0</v>
      </c>
      <c r="M290" s="31" t="str">
        <f t="shared" ref="M290" si="1591">IF(OR(LEN(L290)=0,L290=0),"",L290-L289)</f>
        <v/>
      </c>
      <c r="N290" s="15">
        <f>운전실적_원본!H290</f>
        <v>0</v>
      </c>
      <c r="O290" s="16" t="str">
        <f t="shared" ref="O290" si="1592">IF(OR(LEN(N290)=0,N290=0),"",N290-N289)</f>
        <v/>
      </c>
      <c r="P290" s="15">
        <f>운전실적_원본!I290</f>
        <v>0</v>
      </c>
      <c r="Q290" s="16" t="str">
        <f t="shared" ref="Q290" si="1593">IF(OR(LEN(P290)=0,P290=0),"",P290-P289)</f>
        <v/>
      </c>
      <c r="R290" s="18">
        <f>운전실적_원본!J290</f>
        <v>0</v>
      </c>
      <c r="S290" s="19" t="str">
        <f t="shared" ref="S290" si="1594">IF(OR(LEN(R290)=0,R290=0),"",R290-R289)</f>
        <v/>
      </c>
      <c r="T290" s="18">
        <f>운전실적_원본!K290</f>
        <v>0</v>
      </c>
      <c r="U290" s="19" t="str">
        <f t="shared" si="1299"/>
        <v/>
      </c>
      <c r="V290" s="12">
        <f>운전실적_원본!L290</f>
        <v>0</v>
      </c>
      <c r="W290" s="16" t="str">
        <f t="shared" ref="W290" si="1595">IF(OR(LEN(V290)=0,V290=0),"",V290-V289)</f>
        <v/>
      </c>
      <c r="X290" s="10">
        <f>운전실적_원본!M290</f>
        <v>0</v>
      </c>
      <c r="Y290" s="10">
        <f>운전실적_원본!N290</f>
        <v>0</v>
      </c>
      <c r="Z290" s="10">
        <f>운전실적_원본!O290</f>
        <v>0</v>
      </c>
      <c r="AA290" s="10">
        <f>운전실적_원본!P290</f>
        <v>0</v>
      </c>
      <c r="AB290" s="10">
        <f>운전실적_원본!Q290</f>
        <v>0</v>
      </c>
      <c r="AC290" s="20">
        <f>운전실적_원본!R290</f>
        <v>0</v>
      </c>
      <c r="AD290" s="109">
        <f>운전실적_원본!S290</f>
        <v>0</v>
      </c>
      <c r="AE290" s="110">
        <f>운전실적_원본!T290</f>
        <v>0</v>
      </c>
      <c r="AF290" s="110">
        <f>운전실적_원본!U290</f>
        <v>0</v>
      </c>
      <c r="AG290" s="110">
        <f>운전실적_원본!V290</f>
        <v>0</v>
      </c>
      <c r="AH290" s="109">
        <f t="shared" si="1453"/>
        <v>0</v>
      </c>
      <c r="AI290" s="110">
        <f t="shared" si="1460"/>
        <v>0</v>
      </c>
      <c r="AJ290" s="110">
        <f>운전실적_원본!Y290</f>
        <v>0</v>
      </c>
      <c r="AK290" s="110">
        <f>운전실적_원본!Z290</f>
        <v>0</v>
      </c>
      <c r="AL290" s="106"/>
      <c r="AM290" s="105"/>
      <c r="AN290" s="105"/>
      <c r="AO290" s="105"/>
      <c r="AP290" s="105"/>
      <c r="AQ290" s="108"/>
      <c r="AR290" s="105"/>
      <c r="AS290" s="105"/>
      <c r="AT290" s="102"/>
      <c r="AU290" s="102"/>
      <c r="AV290" s="102"/>
      <c r="AW290" s="102"/>
      <c r="AX290" s="32">
        <f>운전실적_원본!W290</f>
        <v>0</v>
      </c>
      <c r="AY290" s="11">
        <f>운전실적_원본!X290</f>
        <v>0</v>
      </c>
      <c r="AZ290" s="11">
        <f>운전실적_원본!Y290</f>
        <v>0</v>
      </c>
      <c r="BA290" s="11">
        <f>운전실적_원본!Z290</f>
        <v>0</v>
      </c>
      <c r="BB290" s="11">
        <f>운전실적_원본!AA290</f>
        <v>0</v>
      </c>
      <c r="BC290" s="11">
        <f>운전실적_원본!AB290</f>
        <v>0</v>
      </c>
      <c r="BD290" s="32" t="str">
        <f t="shared" si="1446"/>
        <v>-</v>
      </c>
      <c r="BE290" s="11" t="str">
        <f t="shared" si="1454"/>
        <v>-</v>
      </c>
      <c r="BF290" s="11">
        <f>운전실적_원본!AE290</f>
        <v>0</v>
      </c>
      <c r="BG290" s="31">
        <f t="shared" si="1447"/>
        <v>0</v>
      </c>
      <c r="BH290" s="241">
        <f>INDEX(연료전지_원본!$A$4:$KY$369,MATCH($A290,연료전지_원본!$A$4:$A$369,0),MATCH($BH$4,연료전지_원본!$A$4:$KY$4,0))</f>
        <v>0</v>
      </c>
      <c r="BI290" s="241">
        <f>INDEX(연료전지_원본!$A$4:$KY$369,MATCH($A290,연료전지_원본!$A$4:$A$369,0),MATCH($BI$4,연료전지_원본!$A$4:$KY$4,0))</f>
        <v>0</v>
      </c>
      <c r="BJ290" s="241">
        <f>INDEX(연료전지_원본!$A$4:$KY$369,MATCH($A290,연료전지_원본!$A$4:$A$369,0),MATCH($BJ$4,연료전지_원본!$A$4:$KY$4,0))</f>
        <v>0</v>
      </c>
      <c r="BK290" s="241">
        <f>INDEX(연료전지_원본!$A$4:$KY$369,MATCH($A290,연료전지_원본!$A$4:$A$369,0),MATCH($BK$4,연료전지_원본!$A$4:$KY$4,0))</f>
        <v>0</v>
      </c>
      <c r="BL290" s="241">
        <f>INDEX(연료전지_원본!$A$4:$KY$369,MATCH($A290,연료전지_원본!$A$4:$A$369,0),MATCH($BL$4,연료전지_원본!$A$4:$KY$4,0))</f>
        <v>0</v>
      </c>
      <c r="BM290" s="241">
        <f>INDEX(연료전지_원본!$A$4:$KY$369,MATCH($A290,연료전지_원본!$A$4:$A$369,0),MATCH($BM$4,연료전지_원본!$A$4:$KY$4,0))</f>
        <v>0</v>
      </c>
      <c r="BN290" s="241">
        <f>INDEX(연료전지_원본!$A$4:$KY$369,MATCH($A290,연료전지_원본!$A$4:$A$369,0),MATCH($BN$4,연료전지_원본!$A$4:$KY$4,0))</f>
        <v>0</v>
      </c>
      <c r="BO290" s="241">
        <f>INDEX(연료전지_원본!$A$4:$KY$369,MATCH($A290,연료전지_원본!$A$4:$A$369,0),MATCH($BO$4,연료전지_원본!$A$4:$KY$4,0))</f>
        <v>0</v>
      </c>
      <c r="BP290" s="241">
        <f>INDEX(연료전지_원본!$A$4:$KY$369,MATCH($A290,연료전지_원본!$A$4:$A$369,0),MATCH($BP$4,연료전지_원본!$A$4:$KY$4,0))</f>
        <v>0</v>
      </c>
      <c r="BQ290" s="241">
        <f>INDEX(연료전지_원본!$A$4:$KY$369,MATCH($A290,연료전지_원본!$A$4:$A$369,0),MATCH($BQ$4,연료전지_원본!$A$4:$KY$4,0))</f>
        <v>0</v>
      </c>
      <c r="BR290" s="241">
        <f>INDEX(연료전지_원본!$A$4:$KY$369,MATCH($A290,연료전지_원본!$A$4:$A$369,0),MATCH($BR$4,연료전지_원본!$A$4:$KY$4,0))</f>
        <v>0</v>
      </c>
      <c r="BS290" s="241">
        <f>INDEX(연료전지_원본!$A$4:$KY$369,MATCH($A290,연료전지_원본!$A$4:$A$369,0),MATCH($BS$4,연료전지_원본!$A$4:$KY$4,0))</f>
        <v>0</v>
      </c>
      <c r="BT290" s="241">
        <f>INDEX(연료전지_원본!$A$4:$KY$369,MATCH($A290,연료전지_원본!$A$4:$A$369,0),MATCH($BT$4,연료전지_원본!$A$4:$KY$4,0))</f>
        <v>0</v>
      </c>
      <c r="BU290" s="241">
        <f>INDEX(연료전지_원본!$A$4:$KY$369,MATCH($A290,연료전지_원본!$A$4:$A$369,0),MATCH($BU$4,연료전지_원본!$A$4:$KY$4,0))</f>
        <v>0</v>
      </c>
      <c r="BV290" s="241">
        <f>INDEX(연료전지_원본!$A$4:$KY$369,MATCH($A290,연료전지_원본!$A$4:$A$369,0),MATCH($BV$4,연료전지_원본!$A$4:$KY$4,0))</f>
        <v>0</v>
      </c>
      <c r="BW290" s="241">
        <f>INDEX(연료전지_원본!$A$4:$KY$369,MATCH($A290,연료전지_원본!$A$4:$A$369,0),MATCH($BW$4,연료전지_원본!$A$4:$KY$4,0))</f>
        <v>0</v>
      </c>
      <c r="BX290" s="241">
        <f>INDEX(연료전지_원본!$A$4:$KY$369,MATCH($A290,연료전지_원본!$A$4:$A$369,0),MATCH($BX$4,연료전지_원본!$A$4:$KY$4,0))</f>
        <v>0</v>
      </c>
      <c r="BY290" s="241">
        <f>INDEX(연료전지_원본!$A$4:$KY$369,MATCH($A290,연료전지_원본!$A$4:$A$369,0),MATCH($BY$4,연료전지_원본!$A$4:$KY$4,0))</f>
        <v>0</v>
      </c>
      <c r="BZ290" s="241">
        <f>INDEX(연료전지_원본!$A$4:$KY$369,MATCH($A290,연료전지_원본!$A$4:$A$369,0),MATCH($BZ$4,연료전지_원본!$A$4:$KY$4,0))</f>
        <v>0</v>
      </c>
      <c r="CA290" s="241">
        <f>INDEX(연료전지_원본!$A$4:$KY$369,MATCH($A290,연료전지_원본!$A$4:$A$369,0),MATCH($CA$4,연료전지_원본!$A$4:$KY$4,0))</f>
        <v>0</v>
      </c>
      <c r="CB290" s="241">
        <f>INDEX(연료전지_원본!$A$4:$KY$369,MATCH($A290,연료전지_원본!$A$4:$A$369,0),MATCH($CB$4,연료전지_원본!$A$4:$KY$4,0))</f>
        <v>0</v>
      </c>
      <c r="CC290" s="242">
        <f>INDEX(연료전지_원본!$A$4:$KY$369,MATCH($A290,연료전지_원본!$A$4:$A$369,0),MATCH($CC$4,연료전지_원본!$A$4:$KY$4,0))</f>
        <v>0</v>
      </c>
      <c r="CD290" s="250">
        <f>INDEX(연료전지_원본!$KB$4:$KX$369,MATCH($A290,연료전지_원본!$KB$4:$KB$369,0), MATCH(CD$4,연료전지_원본!$KB$4:$KX$4,0))*1000</f>
        <v>0</v>
      </c>
      <c r="CE290" s="250">
        <f>INDEX(연료전지_원본!$KB$4:$KX$369,MATCH($A290,연료전지_원본!$KB$4:$KB$369,0), MATCH(CE$4,연료전지_원본!$KB$4:$KX$4,0))*1000</f>
        <v>0</v>
      </c>
      <c r="CF290" s="250">
        <f>INDEX(연료전지_원본!$KB$4:$KX$369,MATCH($A290,연료전지_원본!$KB$4:$KB$369,0), MATCH(CF$4,연료전지_원본!$KB$4:$KX$4,0))*1000</f>
        <v>0</v>
      </c>
      <c r="CG290" s="250">
        <f>INDEX(연료전지_원본!$KB$4:$KX$369,MATCH($A290,연료전지_원본!$KB$4:$KB$369,0), MATCH(CG$4,연료전지_원본!$KB$4:$KX$4,0))*1000</f>
        <v>0</v>
      </c>
      <c r="CH290" s="250">
        <f>INDEX(연료전지_원본!$KB$4:$KX$369,MATCH($A290,연료전지_원본!$KB$4:$KB$369,0), MATCH(CH$4,연료전지_원본!$KB$4:$KX$4,0))*1000</f>
        <v>0</v>
      </c>
      <c r="CI290" s="250">
        <f>INDEX(연료전지_원본!$KB$4:$KX$369,MATCH($A290,연료전지_원본!$KB$4:$KB$369,0), MATCH(CI$4,연료전지_원본!$KB$4:$KX$4,0))*1000</f>
        <v>0</v>
      </c>
      <c r="CJ290" s="250">
        <f>INDEX(연료전지_원본!$KB$4:$KX$369,MATCH($A290,연료전지_원본!$KB$4:$KB$369,0), MATCH(CJ$4,연료전지_원본!$KB$4:$KX$4,0))*1000</f>
        <v>0</v>
      </c>
      <c r="CK290" s="250">
        <f>INDEX(연료전지_원본!$KB$4:$KX$369,MATCH($A290,연료전지_원본!$KB$4:$KB$369,0), MATCH(CK$4,연료전지_원본!$KB$4:$KX$4,0))*1000</f>
        <v>0</v>
      </c>
      <c r="CL290" s="250">
        <f>INDEX(연료전지_원본!$KB$4:$KX$369,MATCH($A290,연료전지_원본!$KB$4:$KB$369,0), MATCH(CL$4,연료전지_원본!$KB$4:$KX$4,0))*1000</f>
        <v>0</v>
      </c>
      <c r="CM290" s="250">
        <f>INDEX(연료전지_원본!$KB$4:$KX$369,MATCH($A290,연료전지_원본!$KB$4:$KB$369,0), MATCH(CM$4,연료전지_원본!$KB$4:$KX$4,0))*1000</f>
        <v>0</v>
      </c>
      <c r="CN290" s="250">
        <f>INDEX(연료전지_원본!$KB$4:$KX$369,MATCH($A290,연료전지_원본!$KB$4:$KB$369,0), MATCH(CN$4,연료전지_원본!$KB$4:$KX$4,0))*1000</f>
        <v>0</v>
      </c>
      <c r="CO290" s="250">
        <f>INDEX(연료전지_원본!$KB$4:$KX$369,MATCH($A290,연료전지_원본!$KB$4:$KB$369,0), MATCH(CO$4,연료전지_원본!$KB$4:$KX$4,0))*1000</f>
        <v>0</v>
      </c>
      <c r="CP290" s="250">
        <f>INDEX(연료전지_원본!$KB$4:$KX$369,MATCH($A290,연료전지_원본!$KB$4:$KB$369,0), MATCH(CP$4,연료전지_원본!$KB$4:$KX$4,0))*1000</f>
        <v>0</v>
      </c>
      <c r="CQ290" s="250">
        <f>INDEX(연료전지_원본!$KB$4:$KX$369,MATCH($A290,연료전지_원본!$KB$4:$KB$369,0), MATCH(CQ$4,연료전지_원본!$KB$4:$KX$4,0))*1000</f>
        <v>0</v>
      </c>
      <c r="CR290" s="250">
        <f>INDEX(연료전지_원본!$KB$4:$KX$369,MATCH($A290,연료전지_원본!$KB$4:$KB$369,0), MATCH(CR$4,연료전지_원본!$KB$4:$KX$4,0))*1000</f>
        <v>0</v>
      </c>
      <c r="CS290" s="250">
        <f>INDEX(연료전지_원본!$KB$4:$KX$369,MATCH($A290,연료전지_원본!$KB$4:$KB$369,0), MATCH(CS$4,연료전지_원본!$KB$4:$KX$4,0))*1000</f>
        <v>0</v>
      </c>
      <c r="CT290" s="250">
        <f>INDEX(연료전지_원본!$KB$4:$KX$369,MATCH($A290,연료전지_원본!$KB$4:$KB$369,0), MATCH(CT$4,연료전지_원본!$KB$4:$KX$4,0))*1000</f>
        <v>0</v>
      </c>
      <c r="CU290" s="250">
        <f>INDEX(연료전지_원본!$KB$4:$KX$369,MATCH($A290,연료전지_원본!$KB$4:$KB$369,0), MATCH(CU$4,연료전지_원본!$KB$4:$KX$4,0))*1000</f>
        <v>0</v>
      </c>
      <c r="CV290" s="250">
        <f>INDEX(연료전지_원본!$KB$4:$KX$369,MATCH($A290,연료전지_원본!$KB$4:$KB$369,0), MATCH(CV$4,연료전지_원본!$KB$4:$KX$4,0))*1000</f>
        <v>0</v>
      </c>
      <c r="CW290" s="250">
        <f>INDEX(연료전지_원본!$KB$4:$KX$369,MATCH($A290,연료전지_원본!$KB$4:$KB$369,0), MATCH(CW$4,연료전지_원본!$KB$4:$KX$4,0))*1000</f>
        <v>0</v>
      </c>
      <c r="CX290" s="250">
        <f>INDEX(연료전지_원본!$KB$4:$KX$369,MATCH($A290,연료전지_원본!$KB$4:$KB$369,0), MATCH(CX$4,연료전지_원본!$KB$4:$KX$4,0))*1000</f>
        <v>0</v>
      </c>
      <c r="CY290" s="250">
        <f>INDEX(연료전지_원본!$KB$4:$KX$369,MATCH($A290,연료전지_원본!$KB$4:$KB$369,0), MATCH(CY$4,연료전지_원본!$KB$4:$KX$4,0))*1000</f>
        <v>0</v>
      </c>
      <c r="DV290" s="30">
        <f t="shared" si="1285"/>
        <v>0</v>
      </c>
    </row>
    <row r="291" spans="1:126">
      <c r="A291" s="6">
        <v>46308</v>
      </c>
      <c r="B291" s="15">
        <f>운전실적_원본!B291</f>
        <v>0</v>
      </c>
      <c r="C291" s="16" t="str">
        <f t="shared" si="1291"/>
        <v/>
      </c>
      <c r="D291" s="12">
        <f>운전실적_원본!C291</f>
        <v>0</v>
      </c>
      <c r="E291" s="12" t="str">
        <f t="shared" si="1292"/>
        <v/>
      </c>
      <c r="F291" s="12">
        <f>운전실적_원본!D291</f>
        <v>0</v>
      </c>
      <c r="G291" s="16" t="str">
        <f t="shared" si="1293"/>
        <v/>
      </c>
      <c r="H291" s="15">
        <f>운전실적_원본!E291</f>
        <v>0</v>
      </c>
      <c r="I291" s="16" t="str">
        <f t="shared" si="1294"/>
        <v/>
      </c>
      <c r="J291" s="15">
        <f>운전실적_원본!F291</f>
        <v>0</v>
      </c>
      <c r="K291" s="16" t="str">
        <f t="shared" si="1294"/>
        <v/>
      </c>
      <c r="L291" s="32">
        <f>운전실적_원본!G291</f>
        <v>0</v>
      </c>
      <c r="M291" s="31" t="str">
        <f t="shared" ref="M291" si="1596">IF(OR(LEN(L291)=0,L291=0),"",L291-L290)</f>
        <v/>
      </c>
      <c r="N291" s="15">
        <f>운전실적_원본!H291</f>
        <v>0</v>
      </c>
      <c r="O291" s="16" t="str">
        <f t="shared" ref="O291" si="1597">IF(OR(LEN(N291)=0,N291=0),"",N291-N290)</f>
        <v/>
      </c>
      <c r="P291" s="15">
        <f>운전실적_원본!I291</f>
        <v>0</v>
      </c>
      <c r="Q291" s="16" t="str">
        <f t="shared" ref="Q291" si="1598">IF(OR(LEN(P291)=0,P291=0),"",P291-P290)</f>
        <v/>
      </c>
      <c r="R291" s="18">
        <f>운전실적_원본!J291</f>
        <v>0</v>
      </c>
      <c r="S291" s="19" t="str">
        <f t="shared" ref="S291" si="1599">IF(OR(LEN(R291)=0,R291=0),"",R291-R290)</f>
        <v/>
      </c>
      <c r="T291" s="18">
        <f>운전실적_원본!K291</f>
        <v>0</v>
      </c>
      <c r="U291" s="19" t="str">
        <f t="shared" si="1299"/>
        <v/>
      </c>
      <c r="V291" s="12">
        <f>운전실적_원본!L291</f>
        <v>0</v>
      </c>
      <c r="W291" s="16" t="str">
        <f t="shared" ref="W291" si="1600">IF(OR(LEN(V291)=0,V291=0),"",V291-V290)</f>
        <v/>
      </c>
      <c r="X291" s="10">
        <f>운전실적_원본!M291</f>
        <v>0</v>
      </c>
      <c r="Y291" s="10">
        <f>운전실적_원본!N291</f>
        <v>0</v>
      </c>
      <c r="Z291" s="10">
        <f>운전실적_원본!O291</f>
        <v>0</v>
      </c>
      <c r="AA291" s="10">
        <f>운전실적_원본!P291</f>
        <v>0</v>
      </c>
      <c r="AB291" s="10">
        <f>운전실적_원본!Q291</f>
        <v>0</v>
      </c>
      <c r="AC291" s="20">
        <f>운전실적_원본!R291</f>
        <v>0</v>
      </c>
      <c r="AD291" s="109">
        <f>운전실적_원본!S291</f>
        <v>0</v>
      </c>
      <c r="AE291" s="110">
        <f>운전실적_원본!T291</f>
        <v>0</v>
      </c>
      <c r="AF291" s="110">
        <f>운전실적_원본!U291</f>
        <v>0</v>
      </c>
      <c r="AG291" s="110">
        <f>운전실적_원본!V291</f>
        <v>0</v>
      </c>
      <c r="AH291" s="109">
        <f t="shared" si="1453"/>
        <v>0</v>
      </c>
      <c r="AI291" s="110">
        <f t="shared" si="1460"/>
        <v>0</v>
      </c>
      <c r="AJ291" s="110">
        <f>운전실적_원본!Y291</f>
        <v>0</v>
      </c>
      <c r="AK291" s="110">
        <f>운전실적_원본!Z291</f>
        <v>0</v>
      </c>
      <c r="AL291" s="106"/>
      <c r="AM291" s="105"/>
      <c r="AN291" s="105"/>
      <c r="AO291" s="105"/>
      <c r="AP291" s="105"/>
      <c r="AQ291" s="108"/>
      <c r="AR291" s="105"/>
      <c r="AS291" s="105"/>
      <c r="AT291" s="102"/>
      <c r="AU291" s="102"/>
      <c r="AV291" s="102"/>
      <c r="AW291" s="102"/>
      <c r="AX291" s="32">
        <f>운전실적_원본!W291</f>
        <v>0</v>
      </c>
      <c r="AY291" s="11">
        <f>운전실적_원본!X291</f>
        <v>0</v>
      </c>
      <c r="AZ291" s="11">
        <f>운전실적_원본!Y291</f>
        <v>0</v>
      </c>
      <c r="BA291" s="11">
        <f>운전실적_원본!Z291</f>
        <v>0</v>
      </c>
      <c r="BB291" s="11">
        <f>운전실적_원본!AA291</f>
        <v>0</v>
      </c>
      <c r="BC291" s="11">
        <f>운전실적_원본!AB291</f>
        <v>0</v>
      </c>
      <c r="BD291" s="32" t="str">
        <f t="shared" si="1446"/>
        <v>-</v>
      </c>
      <c r="BE291" s="11" t="str">
        <f t="shared" si="1454"/>
        <v>-</v>
      </c>
      <c r="BF291" s="11">
        <f>운전실적_원본!AE291</f>
        <v>0</v>
      </c>
      <c r="BG291" s="31">
        <f t="shared" si="1447"/>
        <v>0</v>
      </c>
      <c r="BH291" s="241">
        <f>INDEX(연료전지_원본!$A$4:$KY$369,MATCH($A291,연료전지_원본!$A$4:$A$369,0),MATCH($BH$4,연료전지_원본!$A$4:$KY$4,0))</f>
        <v>0</v>
      </c>
      <c r="BI291" s="241">
        <f>INDEX(연료전지_원본!$A$4:$KY$369,MATCH($A291,연료전지_원본!$A$4:$A$369,0),MATCH($BI$4,연료전지_원본!$A$4:$KY$4,0))</f>
        <v>0</v>
      </c>
      <c r="BJ291" s="241">
        <f>INDEX(연료전지_원본!$A$4:$KY$369,MATCH($A291,연료전지_원본!$A$4:$A$369,0),MATCH($BJ$4,연료전지_원본!$A$4:$KY$4,0))</f>
        <v>0</v>
      </c>
      <c r="BK291" s="241">
        <f>INDEX(연료전지_원본!$A$4:$KY$369,MATCH($A291,연료전지_원본!$A$4:$A$369,0),MATCH($BK$4,연료전지_원본!$A$4:$KY$4,0))</f>
        <v>0</v>
      </c>
      <c r="BL291" s="241">
        <f>INDEX(연료전지_원본!$A$4:$KY$369,MATCH($A291,연료전지_원본!$A$4:$A$369,0),MATCH($BL$4,연료전지_원본!$A$4:$KY$4,0))</f>
        <v>0</v>
      </c>
      <c r="BM291" s="241">
        <f>INDEX(연료전지_원본!$A$4:$KY$369,MATCH($A291,연료전지_원본!$A$4:$A$369,0),MATCH($BM$4,연료전지_원본!$A$4:$KY$4,0))</f>
        <v>0</v>
      </c>
      <c r="BN291" s="241">
        <f>INDEX(연료전지_원본!$A$4:$KY$369,MATCH($A291,연료전지_원본!$A$4:$A$369,0),MATCH($BN$4,연료전지_원본!$A$4:$KY$4,0))</f>
        <v>0</v>
      </c>
      <c r="BO291" s="241">
        <f>INDEX(연료전지_원본!$A$4:$KY$369,MATCH($A291,연료전지_원본!$A$4:$A$369,0),MATCH($BO$4,연료전지_원본!$A$4:$KY$4,0))</f>
        <v>0</v>
      </c>
      <c r="BP291" s="241">
        <f>INDEX(연료전지_원본!$A$4:$KY$369,MATCH($A291,연료전지_원본!$A$4:$A$369,0),MATCH($BP$4,연료전지_원본!$A$4:$KY$4,0))</f>
        <v>0</v>
      </c>
      <c r="BQ291" s="241">
        <f>INDEX(연료전지_원본!$A$4:$KY$369,MATCH($A291,연료전지_원본!$A$4:$A$369,0),MATCH($BQ$4,연료전지_원본!$A$4:$KY$4,0))</f>
        <v>0</v>
      </c>
      <c r="BR291" s="241">
        <f>INDEX(연료전지_원본!$A$4:$KY$369,MATCH($A291,연료전지_원본!$A$4:$A$369,0),MATCH($BR$4,연료전지_원본!$A$4:$KY$4,0))</f>
        <v>0</v>
      </c>
      <c r="BS291" s="241">
        <f>INDEX(연료전지_원본!$A$4:$KY$369,MATCH($A291,연료전지_원본!$A$4:$A$369,0),MATCH($BS$4,연료전지_원본!$A$4:$KY$4,0))</f>
        <v>0</v>
      </c>
      <c r="BT291" s="241">
        <f>INDEX(연료전지_원본!$A$4:$KY$369,MATCH($A291,연료전지_원본!$A$4:$A$369,0),MATCH($BT$4,연료전지_원본!$A$4:$KY$4,0))</f>
        <v>0</v>
      </c>
      <c r="BU291" s="241">
        <f>INDEX(연료전지_원본!$A$4:$KY$369,MATCH($A291,연료전지_원본!$A$4:$A$369,0),MATCH($BU$4,연료전지_원본!$A$4:$KY$4,0))</f>
        <v>0</v>
      </c>
      <c r="BV291" s="241">
        <f>INDEX(연료전지_원본!$A$4:$KY$369,MATCH($A291,연료전지_원본!$A$4:$A$369,0),MATCH($BV$4,연료전지_원본!$A$4:$KY$4,0))</f>
        <v>0</v>
      </c>
      <c r="BW291" s="241">
        <f>INDEX(연료전지_원본!$A$4:$KY$369,MATCH($A291,연료전지_원본!$A$4:$A$369,0),MATCH($BW$4,연료전지_원본!$A$4:$KY$4,0))</f>
        <v>0</v>
      </c>
      <c r="BX291" s="241">
        <f>INDEX(연료전지_원본!$A$4:$KY$369,MATCH($A291,연료전지_원본!$A$4:$A$369,0),MATCH($BX$4,연료전지_원본!$A$4:$KY$4,0))</f>
        <v>0</v>
      </c>
      <c r="BY291" s="241">
        <f>INDEX(연료전지_원본!$A$4:$KY$369,MATCH($A291,연료전지_원본!$A$4:$A$369,0),MATCH($BY$4,연료전지_원본!$A$4:$KY$4,0))</f>
        <v>0</v>
      </c>
      <c r="BZ291" s="241">
        <f>INDEX(연료전지_원본!$A$4:$KY$369,MATCH($A291,연료전지_원본!$A$4:$A$369,0),MATCH($BZ$4,연료전지_원본!$A$4:$KY$4,0))</f>
        <v>0</v>
      </c>
      <c r="CA291" s="241">
        <f>INDEX(연료전지_원본!$A$4:$KY$369,MATCH($A291,연료전지_원본!$A$4:$A$369,0),MATCH($CA$4,연료전지_원본!$A$4:$KY$4,0))</f>
        <v>0</v>
      </c>
      <c r="CB291" s="241">
        <f>INDEX(연료전지_원본!$A$4:$KY$369,MATCH($A291,연료전지_원본!$A$4:$A$369,0),MATCH($CB$4,연료전지_원본!$A$4:$KY$4,0))</f>
        <v>0</v>
      </c>
      <c r="CC291" s="242">
        <f>INDEX(연료전지_원본!$A$4:$KY$369,MATCH($A291,연료전지_원본!$A$4:$A$369,0),MATCH($CC$4,연료전지_원본!$A$4:$KY$4,0))</f>
        <v>0</v>
      </c>
      <c r="CD291" s="250">
        <f>INDEX(연료전지_원본!$KB$4:$KX$369,MATCH($A291,연료전지_원본!$KB$4:$KB$369,0), MATCH(CD$4,연료전지_원본!$KB$4:$KX$4,0))*1000</f>
        <v>0</v>
      </c>
      <c r="CE291" s="250">
        <f>INDEX(연료전지_원본!$KB$4:$KX$369,MATCH($A291,연료전지_원본!$KB$4:$KB$369,0), MATCH(CE$4,연료전지_원본!$KB$4:$KX$4,0))*1000</f>
        <v>0</v>
      </c>
      <c r="CF291" s="250">
        <f>INDEX(연료전지_원본!$KB$4:$KX$369,MATCH($A291,연료전지_원본!$KB$4:$KB$369,0), MATCH(CF$4,연료전지_원본!$KB$4:$KX$4,0))*1000</f>
        <v>0</v>
      </c>
      <c r="CG291" s="250">
        <f>INDEX(연료전지_원본!$KB$4:$KX$369,MATCH($A291,연료전지_원본!$KB$4:$KB$369,0), MATCH(CG$4,연료전지_원본!$KB$4:$KX$4,0))*1000</f>
        <v>0</v>
      </c>
      <c r="CH291" s="250">
        <f>INDEX(연료전지_원본!$KB$4:$KX$369,MATCH($A291,연료전지_원본!$KB$4:$KB$369,0), MATCH(CH$4,연료전지_원본!$KB$4:$KX$4,0))*1000</f>
        <v>0</v>
      </c>
      <c r="CI291" s="250">
        <f>INDEX(연료전지_원본!$KB$4:$KX$369,MATCH($A291,연료전지_원본!$KB$4:$KB$369,0), MATCH(CI$4,연료전지_원본!$KB$4:$KX$4,0))*1000</f>
        <v>0</v>
      </c>
      <c r="CJ291" s="250">
        <f>INDEX(연료전지_원본!$KB$4:$KX$369,MATCH($A291,연료전지_원본!$KB$4:$KB$369,0), MATCH(CJ$4,연료전지_원본!$KB$4:$KX$4,0))*1000</f>
        <v>0</v>
      </c>
      <c r="CK291" s="250">
        <f>INDEX(연료전지_원본!$KB$4:$KX$369,MATCH($A291,연료전지_원본!$KB$4:$KB$369,0), MATCH(CK$4,연료전지_원본!$KB$4:$KX$4,0))*1000</f>
        <v>0</v>
      </c>
      <c r="CL291" s="250">
        <f>INDEX(연료전지_원본!$KB$4:$KX$369,MATCH($A291,연료전지_원본!$KB$4:$KB$369,0), MATCH(CL$4,연료전지_원본!$KB$4:$KX$4,0))*1000</f>
        <v>0</v>
      </c>
      <c r="CM291" s="250">
        <f>INDEX(연료전지_원본!$KB$4:$KX$369,MATCH($A291,연료전지_원본!$KB$4:$KB$369,0), MATCH(CM$4,연료전지_원본!$KB$4:$KX$4,0))*1000</f>
        <v>0</v>
      </c>
      <c r="CN291" s="250">
        <f>INDEX(연료전지_원본!$KB$4:$KX$369,MATCH($A291,연료전지_원본!$KB$4:$KB$369,0), MATCH(CN$4,연료전지_원본!$KB$4:$KX$4,0))*1000</f>
        <v>0</v>
      </c>
      <c r="CO291" s="250">
        <f>INDEX(연료전지_원본!$KB$4:$KX$369,MATCH($A291,연료전지_원본!$KB$4:$KB$369,0), MATCH(CO$4,연료전지_원본!$KB$4:$KX$4,0))*1000</f>
        <v>0</v>
      </c>
      <c r="CP291" s="250">
        <f>INDEX(연료전지_원본!$KB$4:$KX$369,MATCH($A291,연료전지_원본!$KB$4:$KB$369,0), MATCH(CP$4,연료전지_원본!$KB$4:$KX$4,0))*1000</f>
        <v>0</v>
      </c>
      <c r="CQ291" s="250">
        <f>INDEX(연료전지_원본!$KB$4:$KX$369,MATCH($A291,연료전지_원본!$KB$4:$KB$369,0), MATCH(CQ$4,연료전지_원본!$KB$4:$KX$4,0))*1000</f>
        <v>0</v>
      </c>
      <c r="CR291" s="250">
        <f>INDEX(연료전지_원본!$KB$4:$KX$369,MATCH($A291,연료전지_원본!$KB$4:$KB$369,0), MATCH(CR$4,연료전지_원본!$KB$4:$KX$4,0))*1000</f>
        <v>0</v>
      </c>
      <c r="CS291" s="250">
        <f>INDEX(연료전지_원본!$KB$4:$KX$369,MATCH($A291,연료전지_원본!$KB$4:$KB$369,0), MATCH(CS$4,연료전지_원본!$KB$4:$KX$4,0))*1000</f>
        <v>0</v>
      </c>
      <c r="CT291" s="250">
        <f>INDEX(연료전지_원본!$KB$4:$KX$369,MATCH($A291,연료전지_원본!$KB$4:$KB$369,0), MATCH(CT$4,연료전지_원본!$KB$4:$KX$4,0))*1000</f>
        <v>0</v>
      </c>
      <c r="CU291" s="250">
        <f>INDEX(연료전지_원본!$KB$4:$KX$369,MATCH($A291,연료전지_원본!$KB$4:$KB$369,0), MATCH(CU$4,연료전지_원본!$KB$4:$KX$4,0))*1000</f>
        <v>0</v>
      </c>
      <c r="CV291" s="250">
        <f>INDEX(연료전지_원본!$KB$4:$KX$369,MATCH($A291,연료전지_원본!$KB$4:$KB$369,0), MATCH(CV$4,연료전지_원본!$KB$4:$KX$4,0))*1000</f>
        <v>0</v>
      </c>
      <c r="CW291" s="250">
        <f>INDEX(연료전지_원본!$KB$4:$KX$369,MATCH($A291,연료전지_원본!$KB$4:$KB$369,0), MATCH(CW$4,연료전지_원본!$KB$4:$KX$4,0))*1000</f>
        <v>0</v>
      </c>
      <c r="CX291" s="250">
        <f>INDEX(연료전지_원본!$KB$4:$KX$369,MATCH($A291,연료전지_원본!$KB$4:$KB$369,0), MATCH(CX$4,연료전지_원본!$KB$4:$KX$4,0))*1000</f>
        <v>0</v>
      </c>
      <c r="CY291" s="250">
        <f>INDEX(연료전지_원본!$KB$4:$KX$369,MATCH($A291,연료전지_원본!$KB$4:$KB$369,0), MATCH(CY$4,연료전지_원본!$KB$4:$KX$4,0))*1000</f>
        <v>0</v>
      </c>
      <c r="DV291" s="30">
        <f t="shared" si="1285"/>
        <v>0</v>
      </c>
    </row>
    <row r="292" spans="1:126">
      <c r="A292" s="6">
        <v>46309</v>
      </c>
      <c r="B292" s="15">
        <f>운전실적_원본!B292</f>
        <v>0</v>
      </c>
      <c r="C292" s="16" t="str">
        <f t="shared" si="1291"/>
        <v/>
      </c>
      <c r="D292" s="12">
        <f>운전실적_원본!C292</f>
        <v>0</v>
      </c>
      <c r="E292" s="12" t="str">
        <f t="shared" si="1292"/>
        <v/>
      </c>
      <c r="F292" s="12">
        <f>운전실적_원본!D292</f>
        <v>0</v>
      </c>
      <c r="G292" s="16" t="str">
        <f t="shared" si="1293"/>
        <v/>
      </c>
      <c r="H292" s="15">
        <f>운전실적_원본!E292</f>
        <v>0</v>
      </c>
      <c r="I292" s="16" t="str">
        <f t="shared" si="1294"/>
        <v/>
      </c>
      <c r="J292" s="15">
        <f>운전실적_원본!F292</f>
        <v>0</v>
      </c>
      <c r="K292" s="16" t="str">
        <f t="shared" si="1294"/>
        <v/>
      </c>
      <c r="L292" s="32">
        <f>운전실적_원본!G292</f>
        <v>0</v>
      </c>
      <c r="M292" s="31" t="str">
        <f t="shared" ref="M292" si="1601">IF(OR(LEN(L292)=0,L292=0),"",L292-L291)</f>
        <v/>
      </c>
      <c r="N292" s="15">
        <f>운전실적_원본!H292</f>
        <v>0</v>
      </c>
      <c r="O292" s="16" t="str">
        <f t="shared" ref="O292" si="1602">IF(OR(LEN(N292)=0,N292=0),"",N292-N291)</f>
        <v/>
      </c>
      <c r="P292" s="15">
        <f>운전실적_원본!I292</f>
        <v>0</v>
      </c>
      <c r="Q292" s="16" t="str">
        <f t="shared" ref="Q292" si="1603">IF(OR(LEN(P292)=0,P292=0),"",P292-P291)</f>
        <v/>
      </c>
      <c r="R292" s="18">
        <f>운전실적_원본!J292</f>
        <v>0</v>
      </c>
      <c r="S292" s="19" t="str">
        <f t="shared" ref="S292" si="1604">IF(OR(LEN(R292)=0,R292=0),"",R292-R291)</f>
        <v/>
      </c>
      <c r="T292" s="18">
        <f>운전실적_원본!K292</f>
        <v>0</v>
      </c>
      <c r="U292" s="19" t="str">
        <f t="shared" si="1299"/>
        <v/>
      </c>
      <c r="V292" s="12">
        <f>운전실적_원본!L292</f>
        <v>0</v>
      </c>
      <c r="W292" s="16" t="str">
        <f t="shared" ref="W292" si="1605">IF(OR(LEN(V292)=0,V292=0),"",V292-V291)</f>
        <v/>
      </c>
      <c r="X292" s="10">
        <f>운전실적_원본!M292</f>
        <v>0</v>
      </c>
      <c r="Y292" s="10">
        <f>운전실적_원본!N292</f>
        <v>0</v>
      </c>
      <c r="Z292" s="10">
        <f>운전실적_원본!O292</f>
        <v>0</v>
      </c>
      <c r="AA292" s="10">
        <f>운전실적_원본!P292</f>
        <v>0</v>
      </c>
      <c r="AB292" s="10">
        <f>운전실적_원본!Q292</f>
        <v>0</v>
      </c>
      <c r="AC292" s="20">
        <f>운전실적_원본!R292</f>
        <v>0</v>
      </c>
      <c r="AD292" s="109">
        <f>운전실적_원본!S292</f>
        <v>0</v>
      </c>
      <c r="AE292" s="110">
        <f>운전실적_원본!T292</f>
        <v>0</v>
      </c>
      <c r="AF292" s="110">
        <f>운전실적_원본!U292</f>
        <v>0</v>
      </c>
      <c r="AG292" s="110">
        <f>운전실적_원본!V292</f>
        <v>0</v>
      </c>
      <c r="AH292" s="109">
        <f t="shared" si="1453"/>
        <v>0</v>
      </c>
      <c r="AI292" s="110">
        <f t="shared" si="1460"/>
        <v>0</v>
      </c>
      <c r="AJ292" s="110">
        <f>운전실적_원본!Y292</f>
        <v>0</v>
      </c>
      <c r="AK292" s="110">
        <f>운전실적_원본!Z292</f>
        <v>0</v>
      </c>
      <c r="AL292" s="106"/>
      <c r="AM292" s="105"/>
      <c r="AN292" s="105"/>
      <c r="AO292" s="105"/>
      <c r="AP292" s="105"/>
      <c r="AQ292" s="108"/>
      <c r="AR292" s="105"/>
      <c r="AS292" s="105"/>
      <c r="AT292" s="102"/>
      <c r="AU292" s="102"/>
      <c r="AV292" s="102"/>
      <c r="AW292" s="102"/>
      <c r="AX292" s="32">
        <f>운전실적_원본!W292</f>
        <v>0</v>
      </c>
      <c r="AY292" s="11">
        <f>운전실적_원본!X292</f>
        <v>0</v>
      </c>
      <c r="AZ292" s="11">
        <f>운전실적_원본!Y292</f>
        <v>0</v>
      </c>
      <c r="BA292" s="11">
        <f>운전실적_원본!Z292</f>
        <v>0</v>
      </c>
      <c r="BB292" s="11">
        <f>운전실적_원본!AA292</f>
        <v>0</v>
      </c>
      <c r="BC292" s="11">
        <f>운전실적_원본!AB292</f>
        <v>0</v>
      </c>
      <c r="BD292" s="32" t="str">
        <f t="shared" si="1446"/>
        <v>-</v>
      </c>
      <c r="BE292" s="11" t="str">
        <f t="shared" si="1454"/>
        <v>-</v>
      </c>
      <c r="BF292" s="11">
        <f>운전실적_원본!AE292</f>
        <v>0</v>
      </c>
      <c r="BG292" s="31">
        <f t="shared" si="1447"/>
        <v>0</v>
      </c>
      <c r="BH292" s="241">
        <f>INDEX(연료전지_원본!$A$4:$KY$369,MATCH($A292,연료전지_원본!$A$4:$A$369,0),MATCH($BH$4,연료전지_원본!$A$4:$KY$4,0))</f>
        <v>0</v>
      </c>
      <c r="BI292" s="241">
        <f>INDEX(연료전지_원본!$A$4:$KY$369,MATCH($A292,연료전지_원본!$A$4:$A$369,0),MATCH($BI$4,연료전지_원본!$A$4:$KY$4,0))</f>
        <v>0</v>
      </c>
      <c r="BJ292" s="241">
        <f>INDEX(연료전지_원본!$A$4:$KY$369,MATCH($A292,연료전지_원본!$A$4:$A$369,0),MATCH($BJ$4,연료전지_원본!$A$4:$KY$4,0))</f>
        <v>0</v>
      </c>
      <c r="BK292" s="241">
        <f>INDEX(연료전지_원본!$A$4:$KY$369,MATCH($A292,연료전지_원본!$A$4:$A$369,0),MATCH($BK$4,연료전지_원본!$A$4:$KY$4,0))</f>
        <v>0</v>
      </c>
      <c r="BL292" s="241">
        <f>INDEX(연료전지_원본!$A$4:$KY$369,MATCH($A292,연료전지_원본!$A$4:$A$369,0),MATCH($BL$4,연료전지_원본!$A$4:$KY$4,0))</f>
        <v>0</v>
      </c>
      <c r="BM292" s="241">
        <f>INDEX(연료전지_원본!$A$4:$KY$369,MATCH($A292,연료전지_원본!$A$4:$A$369,0),MATCH($BM$4,연료전지_원본!$A$4:$KY$4,0))</f>
        <v>0</v>
      </c>
      <c r="BN292" s="241">
        <f>INDEX(연료전지_원본!$A$4:$KY$369,MATCH($A292,연료전지_원본!$A$4:$A$369,0),MATCH($BN$4,연료전지_원본!$A$4:$KY$4,0))</f>
        <v>0</v>
      </c>
      <c r="BO292" s="241">
        <f>INDEX(연료전지_원본!$A$4:$KY$369,MATCH($A292,연료전지_원본!$A$4:$A$369,0),MATCH($BO$4,연료전지_원본!$A$4:$KY$4,0))</f>
        <v>0</v>
      </c>
      <c r="BP292" s="241">
        <f>INDEX(연료전지_원본!$A$4:$KY$369,MATCH($A292,연료전지_원본!$A$4:$A$369,0),MATCH($BP$4,연료전지_원본!$A$4:$KY$4,0))</f>
        <v>0</v>
      </c>
      <c r="BQ292" s="241">
        <f>INDEX(연료전지_원본!$A$4:$KY$369,MATCH($A292,연료전지_원본!$A$4:$A$369,0),MATCH($BQ$4,연료전지_원본!$A$4:$KY$4,0))</f>
        <v>0</v>
      </c>
      <c r="BR292" s="241">
        <f>INDEX(연료전지_원본!$A$4:$KY$369,MATCH($A292,연료전지_원본!$A$4:$A$369,0),MATCH($BR$4,연료전지_원본!$A$4:$KY$4,0))</f>
        <v>0</v>
      </c>
      <c r="BS292" s="241">
        <f>INDEX(연료전지_원본!$A$4:$KY$369,MATCH($A292,연료전지_원본!$A$4:$A$369,0),MATCH($BS$4,연료전지_원본!$A$4:$KY$4,0))</f>
        <v>0</v>
      </c>
      <c r="BT292" s="241">
        <f>INDEX(연료전지_원본!$A$4:$KY$369,MATCH($A292,연료전지_원본!$A$4:$A$369,0),MATCH($BT$4,연료전지_원본!$A$4:$KY$4,0))</f>
        <v>0</v>
      </c>
      <c r="BU292" s="241">
        <f>INDEX(연료전지_원본!$A$4:$KY$369,MATCH($A292,연료전지_원본!$A$4:$A$369,0),MATCH($BU$4,연료전지_원본!$A$4:$KY$4,0))</f>
        <v>0</v>
      </c>
      <c r="BV292" s="241">
        <f>INDEX(연료전지_원본!$A$4:$KY$369,MATCH($A292,연료전지_원본!$A$4:$A$369,0),MATCH($BV$4,연료전지_원본!$A$4:$KY$4,0))</f>
        <v>0</v>
      </c>
      <c r="BW292" s="241">
        <f>INDEX(연료전지_원본!$A$4:$KY$369,MATCH($A292,연료전지_원본!$A$4:$A$369,0),MATCH($BW$4,연료전지_원본!$A$4:$KY$4,0))</f>
        <v>0</v>
      </c>
      <c r="BX292" s="241">
        <f>INDEX(연료전지_원본!$A$4:$KY$369,MATCH($A292,연료전지_원본!$A$4:$A$369,0),MATCH($BX$4,연료전지_원본!$A$4:$KY$4,0))</f>
        <v>0</v>
      </c>
      <c r="BY292" s="241">
        <f>INDEX(연료전지_원본!$A$4:$KY$369,MATCH($A292,연료전지_원본!$A$4:$A$369,0),MATCH($BY$4,연료전지_원본!$A$4:$KY$4,0))</f>
        <v>0</v>
      </c>
      <c r="BZ292" s="241">
        <f>INDEX(연료전지_원본!$A$4:$KY$369,MATCH($A292,연료전지_원본!$A$4:$A$369,0),MATCH($BZ$4,연료전지_원본!$A$4:$KY$4,0))</f>
        <v>0</v>
      </c>
      <c r="CA292" s="241">
        <f>INDEX(연료전지_원본!$A$4:$KY$369,MATCH($A292,연료전지_원본!$A$4:$A$369,0),MATCH($CA$4,연료전지_원본!$A$4:$KY$4,0))</f>
        <v>0</v>
      </c>
      <c r="CB292" s="241">
        <f>INDEX(연료전지_원본!$A$4:$KY$369,MATCH($A292,연료전지_원본!$A$4:$A$369,0),MATCH($CB$4,연료전지_원본!$A$4:$KY$4,0))</f>
        <v>0</v>
      </c>
      <c r="CC292" s="242">
        <f>INDEX(연료전지_원본!$A$4:$KY$369,MATCH($A292,연료전지_원본!$A$4:$A$369,0),MATCH($CC$4,연료전지_원본!$A$4:$KY$4,0))</f>
        <v>0</v>
      </c>
      <c r="CD292" s="250">
        <f>INDEX(연료전지_원본!$KB$4:$KX$369,MATCH($A292,연료전지_원본!$KB$4:$KB$369,0), MATCH(CD$4,연료전지_원본!$KB$4:$KX$4,0))*1000</f>
        <v>0</v>
      </c>
      <c r="CE292" s="250">
        <f>INDEX(연료전지_원본!$KB$4:$KX$369,MATCH($A292,연료전지_원본!$KB$4:$KB$369,0), MATCH(CE$4,연료전지_원본!$KB$4:$KX$4,0))*1000</f>
        <v>0</v>
      </c>
      <c r="CF292" s="250">
        <f>INDEX(연료전지_원본!$KB$4:$KX$369,MATCH($A292,연료전지_원본!$KB$4:$KB$369,0), MATCH(CF$4,연료전지_원본!$KB$4:$KX$4,0))*1000</f>
        <v>0</v>
      </c>
      <c r="CG292" s="250">
        <f>INDEX(연료전지_원본!$KB$4:$KX$369,MATCH($A292,연료전지_원본!$KB$4:$KB$369,0), MATCH(CG$4,연료전지_원본!$KB$4:$KX$4,0))*1000</f>
        <v>0</v>
      </c>
      <c r="CH292" s="250">
        <f>INDEX(연료전지_원본!$KB$4:$KX$369,MATCH($A292,연료전지_원본!$KB$4:$KB$369,0), MATCH(CH$4,연료전지_원본!$KB$4:$KX$4,0))*1000</f>
        <v>0</v>
      </c>
      <c r="CI292" s="250">
        <f>INDEX(연료전지_원본!$KB$4:$KX$369,MATCH($A292,연료전지_원본!$KB$4:$KB$369,0), MATCH(CI$4,연료전지_원본!$KB$4:$KX$4,0))*1000</f>
        <v>0</v>
      </c>
      <c r="CJ292" s="250">
        <f>INDEX(연료전지_원본!$KB$4:$KX$369,MATCH($A292,연료전지_원본!$KB$4:$KB$369,0), MATCH(CJ$4,연료전지_원본!$KB$4:$KX$4,0))*1000</f>
        <v>0</v>
      </c>
      <c r="CK292" s="250">
        <f>INDEX(연료전지_원본!$KB$4:$KX$369,MATCH($A292,연료전지_원본!$KB$4:$KB$369,0), MATCH(CK$4,연료전지_원본!$KB$4:$KX$4,0))*1000</f>
        <v>0</v>
      </c>
      <c r="CL292" s="250">
        <f>INDEX(연료전지_원본!$KB$4:$KX$369,MATCH($A292,연료전지_원본!$KB$4:$KB$369,0), MATCH(CL$4,연료전지_원본!$KB$4:$KX$4,0))*1000</f>
        <v>0</v>
      </c>
      <c r="CM292" s="250">
        <f>INDEX(연료전지_원본!$KB$4:$KX$369,MATCH($A292,연료전지_원본!$KB$4:$KB$369,0), MATCH(CM$4,연료전지_원본!$KB$4:$KX$4,0))*1000</f>
        <v>0</v>
      </c>
      <c r="CN292" s="250">
        <f>INDEX(연료전지_원본!$KB$4:$KX$369,MATCH($A292,연료전지_원본!$KB$4:$KB$369,0), MATCH(CN$4,연료전지_원본!$KB$4:$KX$4,0))*1000</f>
        <v>0</v>
      </c>
      <c r="CO292" s="250">
        <f>INDEX(연료전지_원본!$KB$4:$KX$369,MATCH($A292,연료전지_원본!$KB$4:$KB$369,0), MATCH(CO$4,연료전지_원본!$KB$4:$KX$4,0))*1000</f>
        <v>0</v>
      </c>
      <c r="CP292" s="250">
        <f>INDEX(연료전지_원본!$KB$4:$KX$369,MATCH($A292,연료전지_원본!$KB$4:$KB$369,0), MATCH(CP$4,연료전지_원본!$KB$4:$KX$4,0))*1000</f>
        <v>0</v>
      </c>
      <c r="CQ292" s="250">
        <f>INDEX(연료전지_원본!$KB$4:$KX$369,MATCH($A292,연료전지_원본!$KB$4:$KB$369,0), MATCH(CQ$4,연료전지_원본!$KB$4:$KX$4,0))*1000</f>
        <v>0</v>
      </c>
      <c r="CR292" s="250">
        <f>INDEX(연료전지_원본!$KB$4:$KX$369,MATCH($A292,연료전지_원본!$KB$4:$KB$369,0), MATCH(CR$4,연료전지_원본!$KB$4:$KX$4,0))*1000</f>
        <v>0</v>
      </c>
      <c r="CS292" s="250">
        <f>INDEX(연료전지_원본!$KB$4:$KX$369,MATCH($A292,연료전지_원본!$KB$4:$KB$369,0), MATCH(CS$4,연료전지_원본!$KB$4:$KX$4,0))*1000</f>
        <v>0</v>
      </c>
      <c r="CT292" s="250">
        <f>INDEX(연료전지_원본!$KB$4:$KX$369,MATCH($A292,연료전지_원본!$KB$4:$KB$369,0), MATCH(CT$4,연료전지_원본!$KB$4:$KX$4,0))*1000</f>
        <v>0</v>
      </c>
      <c r="CU292" s="250">
        <f>INDEX(연료전지_원본!$KB$4:$KX$369,MATCH($A292,연료전지_원본!$KB$4:$KB$369,0), MATCH(CU$4,연료전지_원본!$KB$4:$KX$4,0))*1000</f>
        <v>0</v>
      </c>
      <c r="CV292" s="250">
        <f>INDEX(연료전지_원본!$KB$4:$KX$369,MATCH($A292,연료전지_원본!$KB$4:$KB$369,0), MATCH(CV$4,연료전지_원본!$KB$4:$KX$4,0))*1000</f>
        <v>0</v>
      </c>
      <c r="CW292" s="250">
        <f>INDEX(연료전지_원본!$KB$4:$KX$369,MATCH($A292,연료전지_원본!$KB$4:$KB$369,0), MATCH(CW$4,연료전지_원본!$KB$4:$KX$4,0))*1000</f>
        <v>0</v>
      </c>
      <c r="CX292" s="250">
        <f>INDEX(연료전지_원본!$KB$4:$KX$369,MATCH($A292,연료전지_원본!$KB$4:$KB$369,0), MATCH(CX$4,연료전지_원본!$KB$4:$KX$4,0))*1000</f>
        <v>0</v>
      </c>
      <c r="CY292" s="250">
        <f>INDEX(연료전지_원본!$KB$4:$KX$369,MATCH($A292,연료전지_원본!$KB$4:$KB$369,0), MATCH(CY$4,연료전지_원본!$KB$4:$KX$4,0))*1000</f>
        <v>0</v>
      </c>
      <c r="DV292" s="30">
        <f t="shared" si="1285"/>
        <v>0</v>
      </c>
    </row>
    <row r="293" spans="1:126">
      <c r="A293" s="6">
        <v>46310</v>
      </c>
      <c r="B293" s="15">
        <f>운전실적_원본!B293</f>
        <v>0</v>
      </c>
      <c r="C293" s="16" t="str">
        <f t="shared" si="1291"/>
        <v/>
      </c>
      <c r="D293" s="12">
        <f>운전실적_원본!C293</f>
        <v>0</v>
      </c>
      <c r="E293" s="12" t="str">
        <f t="shared" si="1292"/>
        <v/>
      </c>
      <c r="F293" s="12">
        <f>운전실적_원본!D293</f>
        <v>0</v>
      </c>
      <c r="G293" s="16" t="str">
        <f t="shared" si="1293"/>
        <v/>
      </c>
      <c r="H293" s="15">
        <f>운전실적_원본!E293</f>
        <v>0</v>
      </c>
      <c r="I293" s="16" t="str">
        <f t="shared" si="1294"/>
        <v/>
      </c>
      <c r="J293" s="15">
        <f>운전실적_원본!F293</f>
        <v>0</v>
      </c>
      <c r="K293" s="16" t="str">
        <f t="shared" si="1294"/>
        <v/>
      </c>
      <c r="L293" s="32">
        <f>운전실적_원본!G293</f>
        <v>0</v>
      </c>
      <c r="M293" s="31" t="str">
        <f t="shared" ref="M293" si="1606">IF(OR(LEN(L293)=0,L293=0),"",L293-L292)</f>
        <v/>
      </c>
      <c r="N293" s="15">
        <f>운전실적_원본!H293</f>
        <v>0</v>
      </c>
      <c r="O293" s="16" t="str">
        <f t="shared" ref="O293" si="1607">IF(OR(LEN(N293)=0,N293=0),"",N293-N292)</f>
        <v/>
      </c>
      <c r="P293" s="15">
        <f>운전실적_원본!I293</f>
        <v>0</v>
      </c>
      <c r="Q293" s="16" t="str">
        <f t="shared" ref="Q293" si="1608">IF(OR(LEN(P293)=0,P293=0),"",P293-P292)</f>
        <v/>
      </c>
      <c r="R293" s="18">
        <f>운전실적_원본!J293</f>
        <v>0</v>
      </c>
      <c r="S293" s="19" t="str">
        <f t="shared" ref="S293" si="1609">IF(OR(LEN(R293)=0,R293=0),"",R293-R292)</f>
        <v/>
      </c>
      <c r="T293" s="18">
        <f>운전실적_원본!K293</f>
        <v>0</v>
      </c>
      <c r="U293" s="19" t="str">
        <f t="shared" si="1299"/>
        <v/>
      </c>
      <c r="V293" s="12">
        <f>운전실적_원본!L293</f>
        <v>0</v>
      </c>
      <c r="W293" s="16" t="str">
        <f t="shared" ref="W293" si="1610">IF(OR(LEN(V293)=0,V293=0),"",V293-V292)</f>
        <v/>
      </c>
      <c r="X293" s="10">
        <f>운전실적_원본!M293</f>
        <v>0</v>
      </c>
      <c r="Y293" s="10">
        <f>운전실적_원본!N293</f>
        <v>0</v>
      </c>
      <c r="Z293" s="10">
        <f>운전실적_원본!O293</f>
        <v>0</v>
      </c>
      <c r="AA293" s="10">
        <f>운전실적_원본!P293</f>
        <v>0</v>
      </c>
      <c r="AB293" s="10">
        <f>운전실적_원본!Q293</f>
        <v>0</v>
      </c>
      <c r="AC293" s="20">
        <f>운전실적_원본!R293</f>
        <v>0</v>
      </c>
      <c r="AD293" s="109">
        <f>운전실적_원본!S293</f>
        <v>0</v>
      </c>
      <c r="AE293" s="110">
        <f>운전실적_원본!T293</f>
        <v>0</v>
      </c>
      <c r="AF293" s="110">
        <f>운전실적_원본!U293</f>
        <v>0</v>
      </c>
      <c r="AG293" s="110">
        <f>운전실적_원본!V293</f>
        <v>0</v>
      </c>
      <c r="AH293" s="109">
        <f t="shared" si="1453"/>
        <v>0</v>
      </c>
      <c r="AI293" s="110">
        <f t="shared" si="1460"/>
        <v>0</v>
      </c>
      <c r="AJ293" s="110">
        <f>운전실적_원본!Y293</f>
        <v>0</v>
      </c>
      <c r="AK293" s="110">
        <f>운전실적_원본!Z293</f>
        <v>0</v>
      </c>
      <c r="AL293" s="106"/>
      <c r="AM293" s="105"/>
      <c r="AN293" s="105"/>
      <c r="AO293" s="105"/>
      <c r="AP293" s="105"/>
      <c r="AQ293" s="108"/>
      <c r="AR293" s="105"/>
      <c r="AS293" s="105"/>
      <c r="AT293" s="102"/>
      <c r="AU293" s="102"/>
      <c r="AV293" s="102"/>
      <c r="AW293" s="102"/>
      <c r="AX293" s="32">
        <f>운전실적_원본!W293</f>
        <v>0</v>
      </c>
      <c r="AY293" s="11">
        <f>운전실적_원본!X293</f>
        <v>0</v>
      </c>
      <c r="AZ293" s="11">
        <f>운전실적_원본!Y293</f>
        <v>0</v>
      </c>
      <c r="BA293" s="11">
        <f>운전실적_원본!Z293</f>
        <v>0</v>
      </c>
      <c r="BB293" s="11">
        <f>운전실적_원본!AA293</f>
        <v>0</v>
      </c>
      <c r="BC293" s="11">
        <f>운전실적_원본!AB293</f>
        <v>0</v>
      </c>
      <c r="BD293" s="32" t="str">
        <f t="shared" si="1446"/>
        <v>-</v>
      </c>
      <c r="BE293" s="11" t="str">
        <f t="shared" si="1454"/>
        <v>-</v>
      </c>
      <c r="BF293" s="11">
        <f>운전실적_원본!AE293</f>
        <v>0</v>
      </c>
      <c r="BG293" s="31">
        <f t="shared" si="1447"/>
        <v>0</v>
      </c>
      <c r="BH293" s="241">
        <f>INDEX(연료전지_원본!$A$4:$KY$369,MATCH($A293,연료전지_원본!$A$4:$A$369,0),MATCH($BH$4,연료전지_원본!$A$4:$KY$4,0))</f>
        <v>0</v>
      </c>
      <c r="BI293" s="241">
        <f>INDEX(연료전지_원본!$A$4:$KY$369,MATCH($A293,연료전지_원본!$A$4:$A$369,0),MATCH($BI$4,연료전지_원본!$A$4:$KY$4,0))</f>
        <v>0</v>
      </c>
      <c r="BJ293" s="241">
        <f>INDEX(연료전지_원본!$A$4:$KY$369,MATCH($A293,연료전지_원본!$A$4:$A$369,0),MATCH($BJ$4,연료전지_원본!$A$4:$KY$4,0))</f>
        <v>0</v>
      </c>
      <c r="BK293" s="241">
        <f>INDEX(연료전지_원본!$A$4:$KY$369,MATCH($A293,연료전지_원본!$A$4:$A$369,0),MATCH($BK$4,연료전지_원본!$A$4:$KY$4,0))</f>
        <v>0</v>
      </c>
      <c r="BL293" s="241">
        <f>INDEX(연료전지_원본!$A$4:$KY$369,MATCH($A293,연료전지_원본!$A$4:$A$369,0),MATCH($BL$4,연료전지_원본!$A$4:$KY$4,0))</f>
        <v>0</v>
      </c>
      <c r="BM293" s="241">
        <f>INDEX(연료전지_원본!$A$4:$KY$369,MATCH($A293,연료전지_원본!$A$4:$A$369,0),MATCH($BM$4,연료전지_원본!$A$4:$KY$4,0))</f>
        <v>0</v>
      </c>
      <c r="BN293" s="241">
        <f>INDEX(연료전지_원본!$A$4:$KY$369,MATCH($A293,연료전지_원본!$A$4:$A$369,0),MATCH($BN$4,연료전지_원본!$A$4:$KY$4,0))</f>
        <v>0</v>
      </c>
      <c r="BO293" s="241">
        <f>INDEX(연료전지_원본!$A$4:$KY$369,MATCH($A293,연료전지_원본!$A$4:$A$369,0),MATCH($BO$4,연료전지_원본!$A$4:$KY$4,0))</f>
        <v>0</v>
      </c>
      <c r="BP293" s="241">
        <f>INDEX(연료전지_원본!$A$4:$KY$369,MATCH($A293,연료전지_원본!$A$4:$A$369,0),MATCH($BP$4,연료전지_원본!$A$4:$KY$4,0))</f>
        <v>0</v>
      </c>
      <c r="BQ293" s="241">
        <f>INDEX(연료전지_원본!$A$4:$KY$369,MATCH($A293,연료전지_원본!$A$4:$A$369,0),MATCH($BQ$4,연료전지_원본!$A$4:$KY$4,0))</f>
        <v>0</v>
      </c>
      <c r="BR293" s="241">
        <f>INDEX(연료전지_원본!$A$4:$KY$369,MATCH($A293,연료전지_원본!$A$4:$A$369,0),MATCH($BR$4,연료전지_원본!$A$4:$KY$4,0))</f>
        <v>0</v>
      </c>
      <c r="BS293" s="241">
        <f>INDEX(연료전지_원본!$A$4:$KY$369,MATCH($A293,연료전지_원본!$A$4:$A$369,0),MATCH($BS$4,연료전지_원본!$A$4:$KY$4,0))</f>
        <v>0</v>
      </c>
      <c r="BT293" s="241">
        <f>INDEX(연료전지_원본!$A$4:$KY$369,MATCH($A293,연료전지_원본!$A$4:$A$369,0),MATCH($BT$4,연료전지_원본!$A$4:$KY$4,0))</f>
        <v>0</v>
      </c>
      <c r="BU293" s="241">
        <f>INDEX(연료전지_원본!$A$4:$KY$369,MATCH($A293,연료전지_원본!$A$4:$A$369,0),MATCH($BU$4,연료전지_원본!$A$4:$KY$4,0))</f>
        <v>0</v>
      </c>
      <c r="BV293" s="241">
        <f>INDEX(연료전지_원본!$A$4:$KY$369,MATCH($A293,연료전지_원본!$A$4:$A$369,0),MATCH($BV$4,연료전지_원본!$A$4:$KY$4,0))</f>
        <v>0</v>
      </c>
      <c r="BW293" s="241">
        <f>INDEX(연료전지_원본!$A$4:$KY$369,MATCH($A293,연료전지_원본!$A$4:$A$369,0),MATCH($BW$4,연료전지_원본!$A$4:$KY$4,0))</f>
        <v>0</v>
      </c>
      <c r="BX293" s="241">
        <f>INDEX(연료전지_원본!$A$4:$KY$369,MATCH($A293,연료전지_원본!$A$4:$A$369,0),MATCH($BX$4,연료전지_원본!$A$4:$KY$4,0))</f>
        <v>0</v>
      </c>
      <c r="BY293" s="241">
        <f>INDEX(연료전지_원본!$A$4:$KY$369,MATCH($A293,연료전지_원본!$A$4:$A$369,0),MATCH($BY$4,연료전지_원본!$A$4:$KY$4,0))</f>
        <v>0</v>
      </c>
      <c r="BZ293" s="241">
        <f>INDEX(연료전지_원본!$A$4:$KY$369,MATCH($A293,연료전지_원본!$A$4:$A$369,0),MATCH($BZ$4,연료전지_원본!$A$4:$KY$4,0))</f>
        <v>0</v>
      </c>
      <c r="CA293" s="241">
        <f>INDEX(연료전지_원본!$A$4:$KY$369,MATCH($A293,연료전지_원본!$A$4:$A$369,0),MATCH($CA$4,연료전지_원본!$A$4:$KY$4,0))</f>
        <v>0</v>
      </c>
      <c r="CB293" s="241">
        <f>INDEX(연료전지_원본!$A$4:$KY$369,MATCH($A293,연료전지_원본!$A$4:$A$369,0),MATCH($CB$4,연료전지_원본!$A$4:$KY$4,0))</f>
        <v>0</v>
      </c>
      <c r="CC293" s="242">
        <f>INDEX(연료전지_원본!$A$4:$KY$369,MATCH($A293,연료전지_원본!$A$4:$A$369,0),MATCH($CC$4,연료전지_원본!$A$4:$KY$4,0))</f>
        <v>0</v>
      </c>
      <c r="CD293" s="250">
        <f>INDEX(연료전지_원본!$KB$4:$KX$369,MATCH($A293,연료전지_원본!$KB$4:$KB$369,0), MATCH(CD$4,연료전지_원본!$KB$4:$KX$4,0))*1000</f>
        <v>0</v>
      </c>
      <c r="CE293" s="250">
        <f>INDEX(연료전지_원본!$KB$4:$KX$369,MATCH($A293,연료전지_원본!$KB$4:$KB$369,0), MATCH(CE$4,연료전지_원본!$KB$4:$KX$4,0))*1000</f>
        <v>0</v>
      </c>
      <c r="CF293" s="250">
        <f>INDEX(연료전지_원본!$KB$4:$KX$369,MATCH($A293,연료전지_원본!$KB$4:$KB$369,0), MATCH(CF$4,연료전지_원본!$KB$4:$KX$4,0))*1000</f>
        <v>0</v>
      </c>
      <c r="CG293" s="250">
        <f>INDEX(연료전지_원본!$KB$4:$KX$369,MATCH($A293,연료전지_원본!$KB$4:$KB$369,0), MATCH(CG$4,연료전지_원본!$KB$4:$KX$4,0))*1000</f>
        <v>0</v>
      </c>
      <c r="CH293" s="250">
        <f>INDEX(연료전지_원본!$KB$4:$KX$369,MATCH($A293,연료전지_원본!$KB$4:$KB$369,0), MATCH(CH$4,연료전지_원본!$KB$4:$KX$4,0))*1000</f>
        <v>0</v>
      </c>
      <c r="CI293" s="250">
        <f>INDEX(연료전지_원본!$KB$4:$KX$369,MATCH($A293,연료전지_원본!$KB$4:$KB$369,0), MATCH(CI$4,연료전지_원본!$KB$4:$KX$4,0))*1000</f>
        <v>0</v>
      </c>
      <c r="CJ293" s="250">
        <f>INDEX(연료전지_원본!$KB$4:$KX$369,MATCH($A293,연료전지_원본!$KB$4:$KB$369,0), MATCH(CJ$4,연료전지_원본!$KB$4:$KX$4,0))*1000</f>
        <v>0</v>
      </c>
      <c r="CK293" s="250">
        <f>INDEX(연료전지_원본!$KB$4:$KX$369,MATCH($A293,연료전지_원본!$KB$4:$KB$369,0), MATCH(CK$4,연료전지_원본!$KB$4:$KX$4,0))*1000</f>
        <v>0</v>
      </c>
      <c r="CL293" s="250">
        <f>INDEX(연료전지_원본!$KB$4:$KX$369,MATCH($A293,연료전지_원본!$KB$4:$KB$369,0), MATCH(CL$4,연료전지_원본!$KB$4:$KX$4,0))*1000</f>
        <v>0</v>
      </c>
      <c r="CM293" s="250">
        <f>INDEX(연료전지_원본!$KB$4:$KX$369,MATCH($A293,연료전지_원본!$KB$4:$KB$369,0), MATCH(CM$4,연료전지_원본!$KB$4:$KX$4,0))*1000</f>
        <v>0</v>
      </c>
      <c r="CN293" s="250">
        <f>INDEX(연료전지_원본!$KB$4:$KX$369,MATCH($A293,연료전지_원본!$KB$4:$KB$369,0), MATCH(CN$4,연료전지_원본!$KB$4:$KX$4,0))*1000</f>
        <v>0</v>
      </c>
      <c r="CO293" s="250">
        <f>INDEX(연료전지_원본!$KB$4:$KX$369,MATCH($A293,연료전지_원본!$KB$4:$KB$369,0), MATCH(CO$4,연료전지_원본!$KB$4:$KX$4,0))*1000</f>
        <v>0</v>
      </c>
      <c r="CP293" s="250">
        <f>INDEX(연료전지_원본!$KB$4:$KX$369,MATCH($A293,연료전지_원본!$KB$4:$KB$369,0), MATCH(CP$4,연료전지_원본!$KB$4:$KX$4,0))*1000</f>
        <v>0</v>
      </c>
      <c r="CQ293" s="250">
        <f>INDEX(연료전지_원본!$KB$4:$KX$369,MATCH($A293,연료전지_원본!$KB$4:$KB$369,0), MATCH(CQ$4,연료전지_원본!$KB$4:$KX$4,0))*1000</f>
        <v>0</v>
      </c>
      <c r="CR293" s="250">
        <f>INDEX(연료전지_원본!$KB$4:$KX$369,MATCH($A293,연료전지_원본!$KB$4:$KB$369,0), MATCH(CR$4,연료전지_원본!$KB$4:$KX$4,0))*1000</f>
        <v>0</v>
      </c>
      <c r="CS293" s="250">
        <f>INDEX(연료전지_원본!$KB$4:$KX$369,MATCH($A293,연료전지_원본!$KB$4:$KB$369,0), MATCH(CS$4,연료전지_원본!$KB$4:$KX$4,0))*1000</f>
        <v>0</v>
      </c>
      <c r="CT293" s="250">
        <f>INDEX(연료전지_원본!$KB$4:$KX$369,MATCH($A293,연료전지_원본!$KB$4:$KB$369,0), MATCH(CT$4,연료전지_원본!$KB$4:$KX$4,0))*1000</f>
        <v>0</v>
      </c>
      <c r="CU293" s="250">
        <f>INDEX(연료전지_원본!$KB$4:$KX$369,MATCH($A293,연료전지_원본!$KB$4:$KB$369,0), MATCH(CU$4,연료전지_원본!$KB$4:$KX$4,0))*1000</f>
        <v>0</v>
      </c>
      <c r="CV293" s="250">
        <f>INDEX(연료전지_원본!$KB$4:$KX$369,MATCH($A293,연료전지_원본!$KB$4:$KB$369,0), MATCH(CV$4,연료전지_원본!$KB$4:$KX$4,0))*1000</f>
        <v>0</v>
      </c>
      <c r="CW293" s="250">
        <f>INDEX(연료전지_원본!$KB$4:$KX$369,MATCH($A293,연료전지_원본!$KB$4:$KB$369,0), MATCH(CW$4,연료전지_원본!$KB$4:$KX$4,0))*1000</f>
        <v>0</v>
      </c>
      <c r="CX293" s="250">
        <f>INDEX(연료전지_원본!$KB$4:$KX$369,MATCH($A293,연료전지_원본!$KB$4:$KB$369,0), MATCH(CX$4,연료전지_원본!$KB$4:$KX$4,0))*1000</f>
        <v>0</v>
      </c>
      <c r="CY293" s="250">
        <f>INDEX(연료전지_원본!$KB$4:$KX$369,MATCH($A293,연료전지_원본!$KB$4:$KB$369,0), MATCH(CY$4,연료전지_원본!$KB$4:$KX$4,0))*1000</f>
        <v>0</v>
      </c>
      <c r="DV293" s="30">
        <f t="shared" si="1285"/>
        <v>0</v>
      </c>
    </row>
    <row r="294" spans="1:126">
      <c r="A294" s="6">
        <v>46311</v>
      </c>
      <c r="B294" s="15">
        <f>운전실적_원본!B294</f>
        <v>0</v>
      </c>
      <c r="C294" s="16" t="str">
        <f t="shared" si="1291"/>
        <v/>
      </c>
      <c r="D294" s="12">
        <f>운전실적_원본!C294</f>
        <v>0</v>
      </c>
      <c r="E294" s="12" t="str">
        <f t="shared" si="1292"/>
        <v/>
      </c>
      <c r="F294" s="12">
        <f>운전실적_원본!D294</f>
        <v>0</v>
      </c>
      <c r="G294" s="16" t="str">
        <f t="shared" si="1293"/>
        <v/>
      </c>
      <c r="H294" s="15">
        <f>운전실적_원본!E294</f>
        <v>0</v>
      </c>
      <c r="I294" s="16" t="str">
        <f t="shared" si="1294"/>
        <v/>
      </c>
      <c r="J294" s="15">
        <f>운전실적_원본!F294</f>
        <v>0</v>
      </c>
      <c r="K294" s="16" t="str">
        <f t="shared" si="1294"/>
        <v/>
      </c>
      <c r="L294" s="32">
        <f>운전실적_원본!G294</f>
        <v>0</v>
      </c>
      <c r="M294" s="31" t="str">
        <f t="shared" ref="M294" si="1611">IF(OR(LEN(L294)=0,L294=0),"",L294-L293)</f>
        <v/>
      </c>
      <c r="N294" s="15">
        <f>운전실적_원본!H294</f>
        <v>0</v>
      </c>
      <c r="O294" s="16" t="str">
        <f t="shared" ref="O294" si="1612">IF(OR(LEN(N294)=0,N294=0),"",N294-N293)</f>
        <v/>
      </c>
      <c r="P294" s="15">
        <f>운전실적_원본!I294</f>
        <v>0</v>
      </c>
      <c r="Q294" s="16" t="str">
        <f t="shared" ref="Q294" si="1613">IF(OR(LEN(P294)=0,P294=0),"",P294-P293)</f>
        <v/>
      </c>
      <c r="R294" s="18">
        <f>운전실적_원본!J294</f>
        <v>0</v>
      </c>
      <c r="S294" s="19" t="str">
        <f t="shared" ref="S294" si="1614">IF(OR(LEN(R294)=0,R294=0),"",R294-R293)</f>
        <v/>
      </c>
      <c r="T294" s="18">
        <f>운전실적_원본!K294</f>
        <v>0</v>
      </c>
      <c r="U294" s="19" t="str">
        <f t="shared" si="1299"/>
        <v/>
      </c>
      <c r="V294" s="12">
        <f>운전실적_원본!L294</f>
        <v>0</v>
      </c>
      <c r="W294" s="16" t="str">
        <f t="shared" ref="W294" si="1615">IF(OR(LEN(V294)=0,V294=0),"",V294-V293)</f>
        <v/>
      </c>
      <c r="X294" s="10">
        <f>운전실적_원본!M294</f>
        <v>0</v>
      </c>
      <c r="Y294" s="10">
        <f>운전실적_원본!N294</f>
        <v>0</v>
      </c>
      <c r="Z294" s="10">
        <f>운전실적_원본!O294</f>
        <v>0</v>
      </c>
      <c r="AA294" s="10">
        <f>운전실적_원본!P294</f>
        <v>0</v>
      </c>
      <c r="AB294" s="10">
        <f>운전실적_원본!Q294</f>
        <v>0</v>
      </c>
      <c r="AC294" s="20">
        <f>운전실적_원본!R294</f>
        <v>0</v>
      </c>
      <c r="AD294" s="109">
        <f>운전실적_원본!S294</f>
        <v>0</v>
      </c>
      <c r="AE294" s="110">
        <f>운전실적_원본!T294</f>
        <v>0</v>
      </c>
      <c r="AF294" s="110">
        <f>운전실적_원본!U294</f>
        <v>0</v>
      </c>
      <c r="AG294" s="110">
        <f>운전실적_원본!V294</f>
        <v>0</v>
      </c>
      <c r="AH294" s="109">
        <f t="shared" si="1453"/>
        <v>0</v>
      </c>
      <c r="AI294" s="110">
        <f t="shared" si="1460"/>
        <v>0</v>
      </c>
      <c r="AJ294" s="110">
        <f>운전실적_원본!Y294</f>
        <v>0</v>
      </c>
      <c r="AK294" s="110">
        <f>운전실적_원본!Z294</f>
        <v>0</v>
      </c>
      <c r="AL294" s="106"/>
      <c r="AM294" s="105"/>
      <c r="AN294" s="105"/>
      <c r="AO294" s="105"/>
      <c r="AP294" s="105"/>
      <c r="AQ294" s="108"/>
      <c r="AR294" s="105"/>
      <c r="AS294" s="105"/>
      <c r="AT294" s="102"/>
      <c r="AU294" s="102"/>
      <c r="AV294" s="102"/>
      <c r="AW294" s="102"/>
      <c r="AX294" s="32">
        <f>운전실적_원본!W294</f>
        <v>0</v>
      </c>
      <c r="AY294" s="11">
        <f>운전실적_원본!X294</f>
        <v>0</v>
      </c>
      <c r="AZ294" s="11">
        <f>운전실적_원본!Y294</f>
        <v>0</v>
      </c>
      <c r="BA294" s="11">
        <f>운전실적_원본!Z294</f>
        <v>0</v>
      </c>
      <c r="BB294" s="11">
        <f>운전실적_원본!AA294</f>
        <v>0</v>
      </c>
      <c r="BC294" s="11">
        <f>운전실적_원본!AB294</f>
        <v>0</v>
      </c>
      <c r="BD294" s="32" t="str">
        <f t="shared" si="1446"/>
        <v>-</v>
      </c>
      <c r="BE294" s="11" t="str">
        <f t="shared" si="1454"/>
        <v>-</v>
      </c>
      <c r="BF294" s="11">
        <f>운전실적_원본!AE294</f>
        <v>0</v>
      </c>
      <c r="BG294" s="31">
        <f t="shared" si="1447"/>
        <v>0</v>
      </c>
      <c r="BH294" s="241">
        <f>INDEX(연료전지_원본!$A$4:$KY$369,MATCH($A294,연료전지_원본!$A$4:$A$369,0),MATCH($BH$4,연료전지_원본!$A$4:$KY$4,0))</f>
        <v>0</v>
      </c>
      <c r="BI294" s="241">
        <f>INDEX(연료전지_원본!$A$4:$KY$369,MATCH($A294,연료전지_원본!$A$4:$A$369,0),MATCH($BI$4,연료전지_원본!$A$4:$KY$4,0))</f>
        <v>0</v>
      </c>
      <c r="BJ294" s="241">
        <f>INDEX(연료전지_원본!$A$4:$KY$369,MATCH($A294,연료전지_원본!$A$4:$A$369,0),MATCH($BJ$4,연료전지_원본!$A$4:$KY$4,0))</f>
        <v>0</v>
      </c>
      <c r="BK294" s="241">
        <f>INDEX(연료전지_원본!$A$4:$KY$369,MATCH($A294,연료전지_원본!$A$4:$A$369,0),MATCH($BK$4,연료전지_원본!$A$4:$KY$4,0))</f>
        <v>0</v>
      </c>
      <c r="BL294" s="241">
        <f>INDEX(연료전지_원본!$A$4:$KY$369,MATCH($A294,연료전지_원본!$A$4:$A$369,0),MATCH($BL$4,연료전지_원본!$A$4:$KY$4,0))</f>
        <v>0</v>
      </c>
      <c r="BM294" s="241">
        <f>INDEX(연료전지_원본!$A$4:$KY$369,MATCH($A294,연료전지_원본!$A$4:$A$369,0),MATCH($BM$4,연료전지_원본!$A$4:$KY$4,0))</f>
        <v>0</v>
      </c>
      <c r="BN294" s="241">
        <f>INDEX(연료전지_원본!$A$4:$KY$369,MATCH($A294,연료전지_원본!$A$4:$A$369,0),MATCH($BN$4,연료전지_원본!$A$4:$KY$4,0))</f>
        <v>0</v>
      </c>
      <c r="BO294" s="241">
        <f>INDEX(연료전지_원본!$A$4:$KY$369,MATCH($A294,연료전지_원본!$A$4:$A$369,0),MATCH($BO$4,연료전지_원본!$A$4:$KY$4,0))</f>
        <v>0</v>
      </c>
      <c r="BP294" s="241">
        <f>INDEX(연료전지_원본!$A$4:$KY$369,MATCH($A294,연료전지_원본!$A$4:$A$369,0),MATCH($BP$4,연료전지_원본!$A$4:$KY$4,0))</f>
        <v>0</v>
      </c>
      <c r="BQ294" s="241">
        <f>INDEX(연료전지_원본!$A$4:$KY$369,MATCH($A294,연료전지_원본!$A$4:$A$369,0),MATCH($BQ$4,연료전지_원본!$A$4:$KY$4,0))</f>
        <v>0</v>
      </c>
      <c r="BR294" s="241">
        <f>INDEX(연료전지_원본!$A$4:$KY$369,MATCH($A294,연료전지_원본!$A$4:$A$369,0),MATCH($BR$4,연료전지_원본!$A$4:$KY$4,0))</f>
        <v>0</v>
      </c>
      <c r="BS294" s="241">
        <f>INDEX(연료전지_원본!$A$4:$KY$369,MATCH($A294,연료전지_원본!$A$4:$A$369,0),MATCH($BS$4,연료전지_원본!$A$4:$KY$4,0))</f>
        <v>0</v>
      </c>
      <c r="BT294" s="241">
        <f>INDEX(연료전지_원본!$A$4:$KY$369,MATCH($A294,연료전지_원본!$A$4:$A$369,0),MATCH($BT$4,연료전지_원본!$A$4:$KY$4,0))</f>
        <v>0</v>
      </c>
      <c r="BU294" s="241">
        <f>INDEX(연료전지_원본!$A$4:$KY$369,MATCH($A294,연료전지_원본!$A$4:$A$369,0),MATCH($BU$4,연료전지_원본!$A$4:$KY$4,0))</f>
        <v>0</v>
      </c>
      <c r="BV294" s="241">
        <f>INDEX(연료전지_원본!$A$4:$KY$369,MATCH($A294,연료전지_원본!$A$4:$A$369,0),MATCH($BV$4,연료전지_원본!$A$4:$KY$4,0))</f>
        <v>0</v>
      </c>
      <c r="BW294" s="241">
        <f>INDEX(연료전지_원본!$A$4:$KY$369,MATCH($A294,연료전지_원본!$A$4:$A$369,0),MATCH($BW$4,연료전지_원본!$A$4:$KY$4,0))</f>
        <v>0</v>
      </c>
      <c r="BX294" s="241">
        <f>INDEX(연료전지_원본!$A$4:$KY$369,MATCH($A294,연료전지_원본!$A$4:$A$369,0),MATCH($BX$4,연료전지_원본!$A$4:$KY$4,0))</f>
        <v>0</v>
      </c>
      <c r="BY294" s="241">
        <f>INDEX(연료전지_원본!$A$4:$KY$369,MATCH($A294,연료전지_원본!$A$4:$A$369,0),MATCH($BY$4,연료전지_원본!$A$4:$KY$4,0))</f>
        <v>0</v>
      </c>
      <c r="BZ294" s="241">
        <f>INDEX(연료전지_원본!$A$4:$KY$369,MATCH($A294,연료전지_원본!$A$4:$A$369,0),MATCH($BZ$4,연료전지_원본!$A$4:$KY$4,0))</f>
        <v>0</v>
      </c>
      <c r="CA294" s="241">
        <f>INDEX(연료전지_원본!$A$4:$KY$369,MATCH($A294,연료전지_원본!$A$4:$A$369,0),MATCH($CA$4,연료전지_원본!$A$4:$KY$4,0))</f>
        <v>0</v>
      </c>
      <c r="CB294" s="241">
        <f>INDEX(연료전지_원본!$A$4:$KY$369,MATCH($A294,연료전지_원본!$A$4:$A$369,0),MATCH($CB$4,연료전지_원본!$A$4:$KY$4,0))</f>
        <v>0</v>
      </c>
      <c r="CC294" s="242">
        <f>INDEX(연료전지_원본!$A$4:$KY$369,MATCH($A294,연료전지_원본!$A$4:$A$369,0),MATCH($CC$4,연료전지_원본!$A$4:$KY$4,0))</f>
        <v>0</v>
      </c>
      <c r="CD294" s="250">
        <f>INDEX(연료전지_원본!$KB$4:$KX$369,MATCH($A294,연료전지_원본!$KB$4:$KB$369,0), MATCH(CD$4,연료전지_원본!$KB$4:$KX$4,0))*1000</f>
        <v>0</v>
      </c>
      <c r="CE294" s="250">
        <f>INDEX(연료전지_원본!$KB$4:$KX$369,MATCH($A294,연료전지_원본!$KB$4:$KB$369,0), MATCH(CE$4,연료전지_원본!$KB$4:$KX$4,0))*1000</f>
        <v>0</v>
      </c>
      <c r="CF294" s="250">
        <f>INDEX(연료전지_원본!$KB$4:$KX$369,MATCH($A294,연료전지_원본!$KB$4:$KB$369,0), MATCH(CF$4,연료전지_원본!$KB$4:$KX$4,0))*1000</f>
        <v>0</v>
      </c>
      <c r="CG294" s="250">
        <f>INDEX(연료전지_원본!$KB$4:$KX$369,MATCH($A294,연료전지_원본!$KB$4:$KB$369,0), MATCH(CG$4,연료전지_원본!$KB$4:$KX$4,0))*1000</f>
        <v>0</v>
      </c>
      <c r="CH294" s="250">
        <f>INDEX(연료전지_원본!$KB$4:$KX$369,MATCH($A294,연료전지_원본!$KB$4:$KB$369,0), MATCH(CH$4,연료전지_원본!$KB$4:$KX$4,0))*1000</f>
        <v>0</v>
      </c>
      <c r="CI294" s="250">
        <f>INDEX(연료전지_원본!$KB$4:$KX$369,MATCH($A294,연료전지_원본!$KB$4:$KB$369,0), MATCH(CI$4,연료전지_원본!$KB$4:$KX$4,0))*1000</f>
        <v>0</v>
      </c>
      <c r="CJ294" s="250">
        <f>INDEX(연료전지_원본!$KB$4:$KX$369,MATCH($A294,연료전지_원본!$KB$4:$KB$369,0), MATCH(CJ$4,연료전지_원본!$KB$4:$KX$4,0))*1000</f>
        <v>0</v>
      </c>
      <c r="CK294" s="250">
        <f>INDEX(연료전지_원본!$KB$4:$KX$369,MATCH($A294,연료전지_원본!$KB$4:$KB$369,0), MATCH(CK$4,연료전지_원본!$KB$4:$KX$4,0))*1000</f>
        <v>0</v>
      </c>
      <c r="CL294" s="250">
        <f>INDEX(연료전지_원본!$KB$4:$KX$369,MATCH($A294,연료전지_원본!$KB$4:$KB$369,0), MATCH(CL$4,연료전지_원본!$KB$4:$KX$4,0))*1000</f>
        <v>0</v>
      </c>
      <c r="CM294" s="250">
        <f>INDEX(연료전지_원본!$KB$4:$KX$369,MATCH($A294,연료전지_원본!$KB$4:$KB$369,0), MATCH(CM$4,연료전지_원본!$KB$4:$KX$4,0))*1000</f>
        <v>0</v>
      </c>
      <c r="CN294" s="250">
        <f>INDEX(연료전지_원본!$KB$4:$KX$369,MATCH($A294,연료전지_원본!$KB$4:$KB$369,0), MATCH(CN$4,연료전지_원본!$KB$4:$KX$4,0))*1000</f>
        <v>0</v>
      </c>
      <c r="CO294" s="250">
        <f>INDEX(연료전지_원본!$KB$4:$KX$369,MATCH($A294,연료전지_원본!$KB$4:$KB$369,0), MATCH(CO$4,연료전지_원본!$KB$4:$KX$4,0))*1000</f>
        <v>0</v>
      </c>
      <c r="CP294" s="250">
        <f>INDEX(연료전지_원본!$KB$4:$KX$369,MATCH($A294,연료전지_원본!$KB$4:$KB$369,0), MATCH(CP$4,연료전지_원본!$KB$4:$KX$4,0))*1000</f>
        <v>0</v>
      </c>
      <c r="CQ294" s="250">
        <f>INDEX(연료전지_원본!$KB$4:$KX$369,MATCH($A294,연료전지_원본!$KB$4:$KB$369,0), MATCH(CQ$4,연료전지_원본!$KB$4:$KX$4,0))*1000</f>
        <v>0</v>
      </c>
      <c r="CR294" s="250">
        <f>INDEX(연료전지_원본!$KB$4:$KX$369,MATCH($A294,연료전지_원본!$KB$4:$KB$369,0), MATCH(CR$4,연료전지_원본!$KB$4:$KX$4,0))*1000</f>
        <v>0</v>
      </c>
      <c r="CS294" s="250">
        <f>INDEX(연료전지_원본!$KB$4:$KX$369,MATCH($A294,연료전지_원본!$KB$4:$KB$369,0), MATCH(CS$4,연료전지_원본!$KB$4:$KX$4,0))*1000</f>
        <v>0</v>
      </c>
      <c r="CT294" s="250">
        <f>INDEX(연료전지_원본!$KB$4:$KX$369,MATCH($A294,연료전지_원본!$KB$4:$KB$369,0), MATCH(CT$4,연료전지_원본!$KB$4:$KX$4,0))*1000</f>
        <v>0</v>
      </c>
      <c r="CU294" s="250">
        <f>INDEX(연료전지_원본!$KB$4:$KX$369,MATCH($A294,연료전지_원본!$KB$4:$KB$369,0), MATCH(CU$4,연료전지_원본!$KB$4:$KX$4,0))*1000</f>
        <v>0</v>
      </c>
      <c r="CV294" s="250">
        <f>INDEX(연료전지_원본!$KB$4:$KX$369,MATCH($A294,연료전지_원본!$KB$4:$KB$369,0), MATCH(CV$4,연료전지_원본!$KB$4:$KX$4,0))*1000</f>
        <v>0</v>
      </c>
      <c r="CW294" s="250">
        <f>INDEX(연료전지_원본!$KB$4:$KX$369,MATCH($A294,연료전지_원본!$KB$4:$KB$369,0), MATCH(CW$4,연료전지_원본!$KB$4:$KX$4,0))*1000</f>
        <v>0</v>
      </c>
      <c r="CX294" s="250">
        <f>INDEX(연료전지_원본!$KB$4:$KX$369,MATCH($A294,연료전지_원본!$KB$4:$KB$369,0), MATCH(CX$4,연료전지_원본!$KB$4:$KX$4,0))*1000</f>
        <v>0</v>
      </c>
      <c r="CY294" s="250">
        <f>INDEX(연료전지_원본!$KB$4:$KX$369,MATCH($A294,연료전지_원본!$KB$4:$KB$369,0), MATCH(CY$4,연료전지_원본!$KB$4:$KX$4,0))*1000</f>
        <v>0</v>
      </c>
      <c r="DV294" s="30">
        <f t="shared" ref="DV294:DV357" si="1616">SUM(CZ294:DU294)</f>
        <v>0</v>
      </c>
    </row>
    <row r="295" spans="1:126">
      <c r="A295" s="6">
        <v>46312</v>
      </c>
      <c r="B295" s="15">
        <f>운전실적_원본!B295</f>
        <v>0</v>
      </c>
      <c r="C295" s="16" t="str">
        <f t="shared" si="1291"/>
        <v/>
      </c>
      <c r="D295" s="12">
        <f>운전실적_원본!C295</f>
        <v>0</v>
      </c>
      <c r="E295" s="12" t="str">
        <f t="shared" si="1292"/>
        <v/>
      </c>
      <c r="F295" s="12">
        <f>운전실적_원본!D295</f>
        <v>0</v>
      </c>
      <c r="G295" s="16" t="str">
        <f t="shared" si="1293"/>
        <v/>
      </c>
      <c r="H295" s="15">
        <f>운전실적_원본!E295</f>
        <v>0</v>
      </c>
      <c r="I295" s="16" t="str">
        <f t="shared" si="1294"/>
        <v/>
      </c>
      <c r="J295" s="15">
        <f>운전실적_원본!F295</f>
        <v>0</v>
      </c>
      <c r="K295" s="16" t="str">
        <f t="shared" si="1294"/>
        <v/>
      </c>
      <c r="L295" s="32">
        <f>운전실적_원본!G295</f>
        <v>0</v>
      </c>
      <c r="M295" s="31" t="str">
        <f t="shared" ref="M295" si="1617">IF(OR(LEN(L295)=0,L295=0),"",L295-L294)</f>
        <v/>
      </c>
      <c r="N295" s="15">
        <f>운전실적_원본!H295</f>
        <v>0</v>
      </c>
      <c r="O295" s="16" t="str">
        <f t="shared" ref="O295" si="1618">IF(OR(LEN(N295)=0,N295=0),"",N295-N294)</f>
        <v/>
      </c>
      <c r="P295" s="15">
        <f>운전실적_원본!I295</f>
        <v>0</v>
      </c>
      <c r="Q295" s="16" t="str">
        <f t="shared" ref="Q295" si="1619">IF(OR(LEN(P295)=0,P295=0),"",P295-P294)</f>
        <v/>
      </c>
      <c r="R295" s="18">
        <f>운전실적_원본!J295</f>
        <v>0</v>
      </c>
      <c r="S295" s="19" t="str">
        <f t="shared" ref="S295" si="1620">IF(OR(LEN(R295)=0,R295=0),"",R295-R294)</f>
        <v/>
      </c>
      <c r="T295" s="18">
        <f>운전실적_원본!K295</f>
        <v>0</v>
      </c>
      <c r="U295" s="19" t="str">
        <f t="shared" si="1299"/>
        <v/>
      </c>
      <c r="V295" s="12">
        <f>운전실적_원본!L295</f>
        <v>0</v>
      </c>
      <c r="W295" s="16" t="str">
        <f t="shared" ref="W295" si="1621">IF(OR(LEN(V295)=0,V295=0),"",V295-V294)</f>
        <v/>
      </c>
      <c r="X295" s="10">
        <f>운전실적_원본!M295</f>
        <v>0</v>
      </c>
      <c r="Y295" s="10">
        <f>운전실적_원본!N295</f>
        <v>0</v>
      </c>
      <c r="Z295" s="10">
        <f>운전실적_원본!O295</f>
        <v>0</v>
      </c>
      <c r="AA295" s="10">
        <f>운전실적_원본!P295</f>
        <v>0</v>
      </c>
      <c r="AB295" s="10">
        <f>운전실적_원본!Q295</f>
        <v>0</v>
      </c>
      <c r="AC295" s="20">
        <f>운전실적_원본!R295</f>
        <v>0</v>
      </c>
      <c r="AD295" s="109">
        <f>운전실적_원본!S295</f>
        <v>0</v>
      </c>
      <c r="AE295" s="110">
        <f>운전실적_원본!T295</f>
        <v>0</v>
      </c>
      <c r="AF295" s="110">
        <f>운전실적_원본!U295</f>
        <v>0</v>
      </c>
      <c r="AG295" s="110">
        <f>운전실적_원본!V295</f>
        <v>0</v>
      </c>
      <c r="AH295" s="109">
        <f t="shared" si="1453"/>
        <v>0</v>
      </c>
      <c r="AI295" s="110">
        <f t="shared" si="1460"/>
        <v>0</v>
      </c>
      <c r="AJ295" s="110">
        <f>운전실적_원본!Y295</f>
        <v>0</v>
      </c>
      <c r="AK295" s="110">
        <f>운전실적_원본!Z295</f>
        <v>0</v>
      </c>
      <c r="AL295" s="106"/>
      <c r="AM295" s="105"/>
      <c r="AN295" s="105"/>
      <c r="AO295" s="105"/>
      <c r="AP295" s="105"/>
      <c r="AQ295" s="108"/>
      <c r="AR295" s="105"/>
      <c r="AS295" s="105"/>
      <c r="AT295" s="102"/>
      <c r="AU295" s="102"/>
      <c r="AV295" s="102"/>
      <c r="AW295" s="102"/>
      <c r="AX295" s="32">
        <f>운전실적_원본!W295</f>
        <v>0</v>
      </c>
      <c r="AY295" s="11">
        <f>운전실적_원본!X295</f>
        <v>0</v>
      </c>
      <c r="AZ295" s="11">
        <f>운전실적_원본!Y295</f>
        <v>0</v>
      </c>
      <c r="BA295" s="11">
        <f>운전실적_원본!Z295</f>
        <v>0</v>
      </c>
      <c r="BB295" s="11">
        <f>운전실적_원본!AA295</f>
        <v>0</v>
      </c>
      <c r="BC295" s="11">
        <f>운전실적_원본!AB295</f>
        <v>0</v>
      </c>
      <c r="BD295" s="32" t="str">
        <f t="shared" si="1446"/>
        <v>-</v>
      </c>
      <c r="BE295" s="11" t="str">
        <f t="shared" si="1454"/>
        <v>-</v>
      </c>
      <c r="BF295" s="11">
        <f>운전실적_원본!AE295</f>
        <v>0</v>
      </c>
      <c r="BG295" s="31">
        <f t="shared" si="1447"/>
        <v>0</v>
      </c>
      <c r="BH295" s="241">
        <f>INDEX(연료전지_원본!$A$4:$KY$369,MATCH($A295,연료전지_원본!$A$4:$A$369,0),MATCH($BH$4,연료전지_원본!$A$4:$KY$4,0))</f>
        <v>0</v>
      </c>
      <c r="BI295" s="241">
        <f>INDEX(연료전지_원본!$A$4:$KY$369,MATCH($A295,연료전지_원본!$A$4:$A$369,0),MATCH($BI$4,연료전지_원본!$A$4:$KY$4,0))</f>
        <v>0</v>
      </c>
      <c r="BJ295" s="241">
        <f>INDEX(연료전지_원본!$A$4:$KY$369,MATCH($A295,연료전지_원본!$A$4:$A$369,0),MATCH($BJ$4,연료전지_원본!$A$4:$KY$4,0))</f>
        <v>0</v>
      </c>
      <c r="BK295" s="241">
        <f>INDEX(연료전지_원본!$A$4:$KY$369,MATCH($A295,연료전지_원본!$A$4:$A$369,0),MATCH($BK$4,연료전지_원본!$A$4:$KY$4,0))</f>
        <v>0</v>
      </c>
      <c r="BL295" s="241">
        <f>INDEX(연료전지_원본!$A$4:$KY$369,MATCH($A295,연료전지_원본!$A$4:$A$369,0),MATCH($BL$4,연료전지_원본!$A$4:$KY$4,0))</f>
        <v>0</v>
      </c>
      <c r="BM295" s="241">
        <f>INDEX(연료전지_원본!$A$4:$KY$369,MATCH($A295,연료전지_원본!$A$4:$A$369,0),MATCH($BM$4,연료전지_원본!$A$4:$KY$4,0))</f>
        <v>0</v>
      </c>
      <c r="BN295" s="241">
        <f>INDEX(연료전지_원본!$A$4:$KY$369,MATCH($A295,연료전지_원본!$A$4:$A$369,0),MATCH($BN$4,연료전지_원본!$A$4:$KY$4,0))</f>
        <v>0</v>
      </c>
      <c r="BO295" s="241">
        <f>INDEX(연료전지_원본!$A$4:$KY$369,MATCH($A295,연료전지_원본!$A$4:$A$369,0),MATCH($BO$4,연료전지_원본!$A$4:$KY$4,0))</f>
        <v>0</v>
      </c>
      <c r="BP295" s="241">
        <f>INDEX(연료전지_원본!$A$4:$KY$369,MATCH($A295,연료전지_원본!$A$4:$A$369,0),MATCH($BP$4,연료전지_원본!$A$4:$KY$4,0))</f>
        <v>0</v>
      </c>
      <c r="BQ295" s="241">
        <f>INDEX(연료전지_원본!$A$4:$KY$369,MATCH($A295,연료전지_원본!$A$4:$A$369,0),MATCH($BQ$4,연료전지_원본!$A$4:$KY$4,0))</f>
        <v>0</v>
      </c>
      <c r="BR295" s="241">
        <f>INDEX(연료전지_원본!$A$4:$KY$369,MATCH($A295,연료전지_원본!$A$4:$A$369,0),MATCH($BR$4,연료전지_원본!$A$4:$KY$4,0))</f>
        <v>0</v>
      </c>
      <c r="BS295" s="241">
        <f>INDEX(연료전지_원본!$A$4:$KY$369,MATCH($A295,연료전지_원본!$A$4:$A$369,0),MATCH($BS$4,연료전지_원본!$A$4:$KY$4,0))</f>
        <v>0</v>
      </c>
      <c r="BT295" s="241">
        <f>INDEX(연료전지_원본!$A$4:$KY$369,MATCH($A295,연료전지_원본!$A$4:$A$369,0),MATCH($BT$4,연료전지_원본!$A$4:$KY$4,0))</f>
        <v>0</v>
      </c>
      <c r="BU295" s="241">
        <f>INDEX(연료전지_원본!$A$4:$KY$369,MATCH($A295,연료전지_원본!$A$4:$A$369,0),MATCH($BU$4,연료전지_원본!$A$4:$KY$4,0))</f>
        <v>0</v>
      </c>
      <c r="BV295" s="241">
        <f>INDEX(연료전지_원본!$A$4:$KY$369,MATCH($A295,연료전지_원본!$A$4:$A$369,0),MATCH($BV$4,연료전지_원본!$A$4:$KY$4,0))</f>
        <v>0</v>
      </c>
      <c r="BW295" s="241">
        <f>INDEX(연료전지_원본!$A$4:$KY$369,MATCH($A295,연료전지_원본!$A$4:$A$369,0),MATCH($BW$4,연료전지_원본!$A$4:$KY$4,0))</f>
        <v>0</v>
      </c>
      <c r="BX295" s="241">
        <f>INDEX(연료전지_원본!$A$4:$KY$369,MATCH($A295,연료전지_원본!$A$4:$A$369,0),MATCH($BX$4,연료전지_원본!$A$4:$KY$4,0))</f>
        <v>0</v>
      </c>
      <c r="BY295" s="241">
        <f>INDEX(연료전지_원본!$A$4:$KY$369,MATCH($A295,연료전지_원본!$A$4:$A$369,0),MATCH($BY$4,연료전지_원본!$A$4:$KY$4,0))</f>
        <v>0</v>
      </c>
      <c r="BZ295" s="241">
        <f>INDEX(연료전지_원본!$A$4:$KY$369,MATCH($A295,연료전지_원본!$A$4:$A$369,0),MATCH($BZ$4,연료전지_원본!$A$4:$KY$4,0))</f>
        <v>0</v>
      </c>
      <c r="CA295" s="241">
        <f>INDEX(연료전지_원본!$A$4:$KY$369,MATCH($A295,연료전지_원본!$A$4:$A$369,0),MATCH($CA$4,연료전지_원본!$A$4:$KY$4,0))</f>
        <v>0</v>
      </c>
      <c r="CB295" s="241">
        <f>INDEX(연료전지_원본!$A$4:$KY$369,MATCH($A295,연료전지_원본!$A$4:$A$369,0),MATCH($CB$4,연료전지_원본!$A$4:$KY$4,0))</f>
        <v>0</v>
      </c>
      <c r="CC295" s="242">
        <f>INDEX(연료전지_원본!$A$4:$KY$369,MATCH($A295,연료전지_원본!$A$4:$A$369,0),MATCH($CC$4,연료전지_원본!$A$4:$KY$4,0))</f>
        <v>0</v>
      </c>
      <c r="CD295" s="250">
        <f>INDEX(연료전지_원본!$KB$4:$KX$369,MATCH($A295,연료전지_원본!$KB$4:$KB$369,0), MATCH(CD$4,연료전지_원본!$KB$4:$KX$4,0))*1000</f>
        <v>0</v>
      </c>
      <c r="CE295" s="250">
        <f>INDEX(연료전지_원본!$KB$4:$KX$369,MATCH($A295,연료전지_원본!$KB$4:$KB$369,0), MATCH(CE$4,연료전지_원본!$KB$4:$KX$4,0))*1000</f>
        <v>0</v>
      </c>
      <c r="CF295" s="250">
        <f>INDEX(연료전지_원본!$KB$4:$KX$369,MATCH($A295,연료전지_원본!$KB$4:$KB$369,0), MATCH(CF$4,연료전지_원본!$KB$4:$KX$4,0))*1000</f>
        <v>0</v>
      </c>
      <c r="CG295" s="250">
        <f>INDEX(연료전지_원본!$KB$4:$KX$369,MATCH($A295,연료전지_원본!$KB$4:$KB$369,0), MATCH(CG$4,연료전지_원본!$KB$4:$KX$4,0))*1000</f>
        <v>0</v>
      </c>
      <c r="CH295" s="250">
        <f>INDEX(연료전지_원본!$KB$4:$KX$369,MATCH($A295,연료전지_원본!$KB$4:$KB$369,0), MATCH(CH$4,연료전지_원본!$KB$4:$KX$4,0))*1000</f>
        <v>0</v>
      </c>
      <c r="CI295" s="250">
        <f>INDEX(연료전지_원본!$KB$4:$KX$369,MATCH($A295,연료전지_원본!$KB$4:$KB$369,0), MATCH(CI$4,연료전지_원본!$KB$4:$KX$4,0))*1000</f>
        <v>0</v>
      </c>
      <c r="CJ295" s="250">
        <f>INDEX(연료전지_원본!$KB$4:$KX$369,MATCH($A295,연료전지_원본!$KB$4:$KB$369,0), MATCH(CJ$4,연료전지_원본!$KB$4:$KX$4,0))*1000</f>
        <v>0</v>
      </c>
      <c r="CK295" s="250">
        <f>INDEX(연료전지_원본!$KB$4:$KX$369,MATCH($A295,연료전지_원본!$KB$4:$KB$369,0), MATCH(CK$4,연료전지_원본!$KB$4:$KX$4,0))*1000</f>
        <v>0</v>
      </c>
      <c r="CL295" s="250">
        <f>INDEX(연료전지_원본!$KB$4:$KX$369,MATCH($A295,연료전지_원본!$KB$4:$KB$369,0), MATCH(CL$4,연료전지_원본!$KB$4:$KX$4,0))*1000</f>
        <v>0</v>
      </c>
      <c r="CM295" s="250">
        <f>INDEX(연료전지_원본!$KB$4:$KX$369,MATCH($A295,연료전지_원본!$KB$4:$KB$369,0), MATCH(CM$4,연료전지_원본!$KB$4:$KX$4,0))*1000</f>
        <v>0</v>
      </c>
      <c r="CN295" s="250">
        <f>INDEX(연료전지_원본!$KB$4:$KX$369,MATCH($A295,연료전지_원본!$KB$4:$KB$369,0), MATCH(CN$4,연료전지_원본!$KB$4:$KX$4,0))*1000</f>
        <v>0</v>
      </c>
      <c r="CO295" s="250">
        <f>INDEX(연료전지_원본!$KB$4:$KX$369,MATCH($A295,연료전지_원본!$KB$4:$KB$369,0), MATCH(CO$4,연료전지_원본!$KB$4:$KX$4,0))*1000</f>
        <v>0</v>
      </c>
      <c r="CP295" s="250">
        <f>INDEX(연료전지_원본!$KB$4:$KX$369,MATCH($A295,연료전지_원본!$KB$4:$KB$369,0), MATCH(CP$4,연료전지_원본!$KB$4:$KX$4,0))*1000</f>
        <v>0</v>
      </c>
      <c r="CQ295" s="250">
        <f>INDEX(연료전지_원본!$KB$4:$KX$369,MATCH($A295,연료전지_원본!$KB$4:$KB$369,0), MATCH(CQ$4,연료전지_원본!$KB$4:$KX$4,0))*1000</f>
        <v>0</v>
      </c>
      <c r="CR295" s="250">
        <f>INDEX(연료전지_원본!$KB$4:$KX$369,MATCH($A295,연료전지_원본!$KB$4:$KB$369,0), MATCH(CR$4,연료전지_원본!$KB$4:$KX$4,0))*1000</f>
        <v>0</v>
      </c>
      <c r="CS295" s="250">
        <f>INDEX(연료전지_원본!$KB$4:$KX$369,MATCH($A295,연료전지_원본!$KB$4:$KB$369,0), MATCH(CS$4,연료전지_원본!$KB$4:$KX$4,0))*1000</f>
        <v>0</v>
      </c>
      <c r="CT295" s="250">
        <f>INDEX(연료전지_원본!$KB$4:$KX$369,MATCH($A295,연료전지_원본!$KB$4:$KB$369,0), MATCH(CT$4,연료전지_원본!$KB$4:$KX$4,0))*1000</f>
        <v>0</v>
      </c>
      <c r="CU295" s="250">
        <f>INDEX(연료전지_원본!$KB$4:$KX$369,MATCH($A295,연료전지_원본!$KB$4:$KB$369,0), MATCH(CU$4,연료전지_원본!$KB$4:$KX$4,0))*1000</f>
        <v>0</v>
      </c>
      <c r="CV295" s="250">
        <f>INDEX(연료전지_원본!$KB$4:$KX$369,MATCH($A295,연료전지_원본!$KB$4:$KB$369,0), MATCH(CV$4,연료전지_원본!$KB$4:$KX$4,0))*1000</f>
        <v>0</v>
      </c>
      <c r="CW295" s="250">
        <f>INDEX(연료전지_원본!$KB$4:$KX$369,MATCH($A295,연료전지_원본!$KB$4:$KB$369,0), MATCH(CW$4,연료전지_원본!$KB$4:$KX$4,0))*1000</f>
        <v>0</v>
      </c>
      <c r="CX295" s="250">
        <f>INDEX(연료전지_원본!$KB$4:$KX$369,MATCH($A295,연료전지_원본!$KB$4:$KB$369,0), MATCH(CX$4,연료전지_원본!$KB$4:$KX$4,0))*1000</f>
        <v>0</v>
      </c>
      <c r="CY295" s="250">
        <f>INDEX(연료전지_원본!$KB$4:$KX$369,MATCH($A295,연료전지_원본!$KB$4:$KB$369,0), MATCH(CY$4,연료전지_원본!$KB$4:$KX$4,0))*1000</f>
        <v>0</v>
      </c>
      <c r="DV295" s="30">
        <f t="shared" si="1616"/>
        <v>0</v>
      </c>
    </row>
    <row r="296" spans="1:126">
      <c r="A296" s="6">
        <v>46313</v>
      </c>
      <c r="B296" s="15">
        <f>운전실적_원본!B296</f>
        <v>0</v>
      </c>
      <c r="C296" s="16" t="str">
        <f t="shared" ref="C296:C359" si="1622">IF(OR(LEN(B296)=0,B296=0),"",B296-B295)</f>
        <v/>
      </c>
      <c r="D296" s="12">
        <f>운전실적_원본!C296</f>
        <v>0</v>
      </c>
      <c r="E296" s="12" t="str">
        <f t="shared" ref="E296:E359" si="1623">IF(OR(LEN(D296)=0,D296=0),"",D296-D295)</f>
        <v/>
      </c>
      <c r="F296" s="12">
        <f>운전실적_원본!D296</f>
        <v>0</v>
      </c>
      <c r="G296" s="16" t="str">
        <f t="shared" ref="G296:G359" si="1624">IF(OR(LEN(F296)=0,F296=0),"",F296-F295)</f>
        <v/>
      </c>
      <c r="H296" s="15">
        <f>운전실적_원본!E296</f>
        <v>0</v>
      </c>
      <c r="I296" s="16" t="str">
        <f t="shared" ref="I296:K359" si="1625">IF(OR(LEN(H296)=0,H296=0),"",H296-H295)</f>
        <v/>
      </c>
      <c r="J296" s="15">
        <f>운전실적_원본!F296</f>
        <v>0</v>
      </c>
      <c r="K296" s="16" t="str">
        <f t="shared" si="1625"/>
        <v/>
      </c>
      <c r="L296" s="32">
        <f>운전실적_원본!G296</f>
        <v>0</v>
      </c>
      <c r="M296" s="31" t="str">
        <f t="shared" ref="M296" si="1626">IF(OR(LEN(L296)=0,L296=0),"",L296-L295)</f>
        <v/>
      </c>
      <c r="N296" s="15">
        <f>운전실적_원본!H296</f>
        <v>0</v>
      </c>
      <c r="O296" s="16" t="str">
        <f t="shared" ref="O296" si="1627">IF(OR(LEN(N296)=0,N296=0),"",N296-N295)</f>
        <v/>
      </c>
      <c r="P296" s="15">
        <f>운전실적_원본!I296</f>
        <v>0</v>
      </c>
      <c r="Q296" s="16" t="str">
        <f t="shared" ref="Q296" si="1628">IF(OR(LEN(P296)=0,P296=0),"",P296-P295)</f>
        <v/>
      </c>
      <c r="R296" s="18">
        <f>운전실적_원본!J296</f>
        <v>0</v>
      </c>
      <c r="S296" s="19" t="str">
        <f t="shared" ref="S296" si="1629">IF(OR(LEN(R296)=0,R296=0),"",R296-R295)</f>
        <v/>
      </c>
      <c r="T296" s="18">
        <f>운전실적_원본!K296</f>
        <v>0</v>
      </c>
      <c r="U296" s="19" t="str">
        <f t="shared" ref="U296:U359" si="1630">IF(OR(LEN(T296)=0,T296=0),"",T296-T295)</f>
        <v/>
      </c>
      <c r="V296" s="12">
        <f>운전실적_원본!L296</f>
        <v>0</v>
      </c>
      <c r="W296" s="16" t="str">
        <f t="shared" ref="W296" si="1631">IF(OR(LEN(V296)=0,V296=0),"",V296-V295)</f>
        <v/>
      </c>
      <c r="X296" s="10">
        <f>운전실적_원본!M296</f>
        <v>0</v>
      </c>
      <c r="Y296" s="10">
        <f>운전실적_원본!N296</f>
        <v>0</v>
      </c>
      <c r="Z296" s="10">
        <f>운전실적_원본!O296</f>
        <v>0</v>
      </c>
      <c r="AA296" s="10">
        <f>운전실적_원본!P296</f>
        <v>0</v>
      </c>
      <c r="AB296" s="10">
        <f>운전실적_원본!Q296</f>
        <v>0</v>
      </c>
      <c r="AC296" s="20">
        <f>운전실적_원본!R296</f>
        <v>0</v>
      </c>
      <c r="AD296" s="109">
        <f>운전실적_원본!S296</f>
        <v>0</v>
      </c>
      <c r="AE296" s="110">
        <f>운전실적_원본!T296</f>
        <v>0</v>
      </c>
      <c r="AF296" s="110">
        <f>운전실적_원본!U296</f>
        <v>0</v>
      </c>
      <c r="AG296" s="110">
        <f>운전실적_원본!V296</f>
        <v>0</v>
      </c>
      <c r="AH296" s="109">
        <f t="shared" si="1453"/>
        <v>0</v>
      </c>
      <c r="AI296" s="110">
        <f t="shared" si="1460"/>
        <v>0</v>
      </c>
      <c r="AJ296" s="110">
        <f>운전실적_원본!Y296</f>
        <v>0</v>
      </c>
      <c r="AK296" s="110">
        <f>운전실적_원본!Z296</f>
        <v>0</v>
      </c>
      <c r="AL296" s="106"/>
      <c r="AM296" s="105"/>
      <c r="AN296" s="105"/>
      <c r="AO296" s="105"/>
      <c r="AP296" s="105"/>
      <c r="AQ296" s="108"/>
      <c r="AR296" s="105"/>
      <c r="AS296" s="105"/>
      <c r="AT296" s="102"/>
      <c r="AU296" s="102"/>
      <c r="AV296" s="102"/>
      <c r="AW296" s="102"/>
      <c r="AX296" s="32">
        <f>운전실적_원본!W296</f>
        <v>0</v>
      </c>
      <c r="AY296" s="11">
        <f>운전실적_원본!X296</f>
        <v>0</v>
      </c>
      <c r="AZ296" s="11">
        <f>운전실적_원본!Y296</f>
        <v>0</v>
      </c>
      <c r="BA296" s="11">
        <f>운전실적_원본!Z296</f>
        <v>0</v>
      </c>
      <c r="BB296" s="11">
        <f>운전실적_원본!AA296</f>
        <v>0</v>
      </c>
      <c r="BC296" s="11">
        <f>운전실적_원본!AB296</f>
        <v>0</v>
      </c>
      <c r="BD296" s="32" t="str">
        <f t="shared" si="1446"/>
        <v>-</v>
      </c>
      <c r="BE296" s="11" t="str">
        <f t="shared" si="1454"/>
        <v>-</v>
      </c>
      <c r="BF296" s="11">
        <f>운전실적_원본!AE296</f>
        <v>0</v>
      </c>
      <c r="BG296" s="31">
        <f t="shared" si="1447"/>
        <v>0</v>
      </c>
      <c r="BH296" s="241">
        <f>INDEX(연료전지_원본!$A$4:$KY$369,MATCH($A296,연료전지_원본!$A$4:$A$369,0),MATCH($BH$4,연료전지_원본!$A$4:$KY$4,0))</f>
        <v>0</v>
      </c>
      <c r="BI296" s="241">
        <f>INDEX(연료전지_원본!$A$4:$KY$369,MATCH($A296,연료전지_원본!$A$4:$A$369,0),MATCH($BI$4,연료전지_원본!$A$4:$KY$4,0))</f>
        <v>0</v>
      </c>
      <c r="BJ296" s="241">
        <f>INDEX(연료전지_원본!$A$4:$KY$369,MATCH($A296,연료전지_원본!$A$4:$A$369,0),MATCH($BJ$4,연료전지_원본!$A$4:$KY$4,0))</f>
        <v>0</v>
      </c>
      <c r="BK296" s="241">
        <f>INDEX(연료전지_원본!$A$4:$KY$369,MATCH($A296,연료전지_원본!$A$4:$A$369,0),MATCH($BK$4,연료전지_원본!$A$4:$KY$4,0))</f>
        <v>0</v>
      </c>
      <c r="BL296" s="241">
        <f>INDEX(연료전지_원본!$A$4:$KY$369,MATCH($A296,연료전지_원본!$A$4:$A$369,0),MATCH($BL$4,연료전지_원본!$A$4:$KY$4,0))</f>
        <v>0</v>
      </c>
      <c r="BM296" s="241">
        <f>INDEX(연료전지_원본!$A$4:$KY$369,MATCH($A296,연료전지_원본!$A$4:$A$369,0),MATCH($BM$4,연료전지_원본!$A$4:$KY$4,0))</f>
        <v>0</v>
      </c>
      <c r="BN296" s="241">
        <f>INDEX(연료전지_원본!$A$4:$KY$369,MATCH($A296,연료전지_원본!$A$4:$A$369,0),MATCH($BN$4,연료전지_원본!$A$4:$KY$4,0))</f>
        <v>0</v>
      </c>
      <c r="BO296" s="241">
        <f>INDEX(연료전지_원본!$A$4:$KY$369,MATCH($A296,연료전지_원본!$A$4:$A$369,0),MATCH($BO$4,연료전지_원본!$A$4:$KY$4,0))</f>
        <v>0</v>
      </c>
      <c r="BP296" s="241">
        <f>INDEX(연료전지_원본!$A$4:$KY$369,MATCH($A296,연료전지_원본!$A$4:$A$369,0),MATCH($BP$4,연료전지_원본!$A$4:$KY$4,0))</f>
        <v>0</v>
      </c>
      <c r="BQ296" s="241">
        <f>INDEX(연료전지_원본!$A$4:$KY$369,MATCH($A296,연료전지_원본!$A$4:$A$369,0),MATCH($BQ$4,연료전지_원본!$A$4:$KY$4,0))</f>
        <v>0</v>
      </c>
      <c r="BR296" s="241">
        <f>INDEX(연료전지_원본!$A$4:$KY$369,MATCH($A296,연료전지_원본!$A$4:$A$369,0),MATCH($BR$4,연료전지_원본!$A$4:$KY$4,0))</f>
        <v>0</v>
      </c>
      <c r="BS296" s="241">
        <f>INDEX(연료전지_원본!$A$4:$KY$369,MATCH($A296,연료전지_원본!$A$4:$A$369,0),MATCH($BS$4,연료전지_원본!$A$4:$KY$4,0))</f>
        <v>0</v>
      </c>
      <c r="BT296" s="241">
        <f>INDEX(연료전지_원본!$A$4:$KY$369,MATCH($A296,연료전지_원본!$A$4:$A$369,0),MATCH($BT$4,연료전지_원본!$A$4:$KY$4,0))</f>
        <v>0</v>
      </c>
      <c r="BU296" s="241">
        <f>INDEX(연료전지_원본!$A$4:$KY$369,MATCH($A296,연료전지_원본!$A$4:$A$369,0),MATCH($BU$4,연료전지_원본!$A$4:$KY$4,0))</f>
        <v>0</v>
      </c>
      <c r="BV296" s="241">
        <f>INDEX(연료전지_원본!$A$4:$KY$369,MATCH($A296,연료전지_원본!$A$4:$A$369,0),MATCH($BV$4,연료전지_원본!$A$4:$KY$4,0))</f>
        <v>0</v>
      </c>
      <c r="BW296" s="241">
        <f>INDEX(연료전지_원본!$A$4:$KY$369,MATCH($A296,연료전지_원본!$A$4:$A$369,0),MATCH($BW$4,연료전지_원본!$A$4:$KY$4,0))</f>
        <v>0</v>
      </c>
      <c r="BX296" s="241">
        <f>INDEX(연료전지_원본!$A$4:$KY$369,MATCH($A296,연료전지_원본!$A$4:$A$369,0),MATCH($BX$4,연료전지_원본!$A$4:$KY$4,0))</f>
        <v>0</v>
      </c>
      <c r="BY296" s="241">
        <f>INDEX(연료전지_원본!$A$4:$KY$369,MATCH($A296,연료전지_원본!$A$4:$A$369,0),MATCH($BY$4,연료전지_원본!$A$4:$KY$4,0))</f>
        <v>0</v>
      </c>
      <c r="BZ296" s="241">
        <f>INDEX(연료전지_원본!$A$4:$KY$369,MATCH($A296,연료전지_원본!$A$4:$A$369,0),MATCH($BZ$4,연료전지_원본!$A$4:$KY$4,0))</f>
        <v>0</v>
      </c>
      <c r="CA296" s="241">
        <f>INDEX(연료전지_원본!$A$4:$KY$369,MATCH($A296,연료전지_원본!$A$4:$A$369,0),MATCH($CA$4,연료전지_원본!$A$4:$KY$4,0))</f>
        <v>0</v>
      </c>
      <c r="CB296" s="241">
        <f>INDEX(연료전지_원본!$A$4:$KY$369,MATCH($A296,연료전지_원본!$A$4:$A$369,0),MATCH($CB$4,연료전지_원본!$A$4:$KY$4,0))</f>
        <v>0</v>
      </c>
      <c r="CC296" s="242">
        <f>INDEX(연료전지_원본!$A$4:$KY$369,MATCH($A296,연료전지_원본!$A$4:$A$369,0),MATCH($CC$4,연료전지_원본!$A$4:$KY$4,0))</f>
        <v>0</v>
      </c>
      <c r="CD296" s="250">
        <f>INDEX(연료전지_원본!$KB$4:$KX$369,MATCH($A296,연료전지_원본!$KB$4:$KB$369,0), MATCH(CD$4,연료전지_원본!$KB$4:$KX$4,0))*1000</f>
        <v>0</v>
      </c>
      <c r="CE296" s="250">
        <f>INDEX(연료전지_원본!$KB$4:$KX$369,MATCH($A296,연료전지_원본!$KB$4:$KB$369,0), MATCH(CE$4,연료전지_원본!$KB$4:$KX$4,0))*1000</f>
        <v>0</v>
      </c>
      <c r="CF296" s="250">
        <f>INDEX(연료전지_원본!$KB$4:$KX$369,MATCH($A296,연료전지_원본!$KB$4:$KB$369,0), MATCH(CF$4,연료전지_원본!$KB$4:$KX$4,0))*1000</f>
        <v>0</v>
      </c>
      <c r="CG296" s="250">
        <f>INDEX(연료전지_원본!$KB$4:$KX$369,MATCH($A296,연료전지_원본!$KB$4:$KB$369,0), MATCH(CG$4,연료전지_원본!$KB$4:$KX$4,0))*1000</f>
        <v>0</v>
      </c>
      <c r="CH296" s="250">
        <f>INDEX(연료전지_원본!$KB$4:$KX$369,MATCH($A296,연료전지_원본!$KB$4:$KB$369,0), MATCH(CH$4,연료전지_원본!$KB$4:$KX$4,0))*1000</f>
        <v>0</v>
      </c>
      <c r="CI296" s="250">
        <f>INDEX(연료전지_원본!$KB$4:$KX$369,MATCH($A296,연료전지_원본!$KB$4:$KB$369,0), MATCH(CI$4,연료전지_원본!$KB$4:$KX$4,0))*1000</f>
        <v>0</v>
      </c>
      <c r="CJ296" s="250">
        <f>INDEX(연료전지_원본!$KB$4:$KX$369,MATCH($A296,연료전지_원본!$KB$4:$KB$369,0), MATCH(CJ$4,연료전지_원본!$KB$4:$KX$4,0))*1000</f>
        <v>0</v>
      </c>
      <c r="CK296" s="250">
        <f>INDEX(연료전지_원본!$KB$4:$KX$369,MATCH($A296,연료전지_원본!$KB$4:$KB$369,0), MATCH(CK$4,연료전지_원본!$KB$4:$KX$4,0))*1000</f>
        <v>0</v>
      </c>
      <c r="CL296" s="250">
        <f>INDEX(연료전지_원본!$KB$4:$KX$369,MATCH($A296,연료전지_원본!$KB$4:$KB$369,0), MATCH(CL$4,연료전지_원본!$KB$4:$KX$4,0))*1000</f>
        <v>0</v>
      </c>
      <c r="CM296" s="250">
        <f>INDEX(연료전지_원본!$KB$4:$KX$369,MATCH($A296,연료전지_원본!$KB$4:$KB$369,0), MATCH(CM$4,연료전지_원본!$KB$4:$KX$4,0))*1000</f>
        <v>0</v>
      </c>
      <c r="CN296" s="250">
        <f>INDEX(연료전지_원본!$KB$4:$KX$369,MATCH($A296,연료전지_원본!$KB$4:$KB$369,0), MATCH(CN$4,연료전지_원본!$KB$4:$KX$4,0))*1000</f>
        <v>0</v>
      </c>
      <c r="CO296" s="250">
        <f>INDEX(연료전지_원본!$KB$4:$KX$369,MATCH($A296,연료전지_원본!$KB$4:$KB$369,0), MATCH(CO$4,연료전지_원본!$KB$4:$KX$4,0))*1000</f>
        <v>0</v>
      </c>
      <c r="CP296" s="250">
        <f>INDEX(연료전지_원본!$KB$4:$KX$369,MATCH($A296,연료전지_원본!$KB$4:$KB$369,0), MATCH(CP$4,연료전지_원본!$KB$4:$KX$4,0))*1000</f>
        <v>0</v>
      </c>
      <c r="CQ296" s="250">
        <f>INDEX(연료전지_원본!$KB$4:$KX$369,MATCH($A296,연료전지_원본!$KB$4:$KB$369,0), MATCH(CQ$4,연료전지_원본!$KB$4:$KX$4,0))*1000</f>
        <v>0</v>
      </c>
      <c r="CR296" s="250">
        <f>INDEX(연료전지_원본!$KB$4:$KX$369,MATCH($A296,연료전지_원본!$KB$4:$KB$369,0), MATCH(CR$4,연료전지_원본!$KB$4:$KX$4,0))*1000</f>
        <v>0</v>
      </c>
      <c r="CS296" s="250">
        <f>INDEX(연료전지_원본!$KB$4:$KX$369,MATCH($A296,연료전지_원본!$KB$4:$KB$369,0), MATCH(CS$4,연료전지_원본!$KB$4:$KX$4,0))*1000</f>
        <v>0</v>
      </c>
      <c r="CT296" s="250">
        <f>INDEX(연료전지_원본!$KB$4:$KX$369,MATCH($A296,연료전지_원본!$KB$4:$KB$369,0), MATCH(CT$4,연료전지_원본!$KB$4:$KX$4,0))*1000</f>
        <v>0</v>
      </c>
      <c r="CU296" s="250">
        <f>INDEX(연료전지_원본!$KB$4:$KX$369,MATCH($A296,연료전지_원본!$KB$4:$KB$369,0), MATCH(CU$4,연료전지_원본!$KB$4:$KX$4,0))*1000</f>
        <v>0</v>
      </c>
      <c r="CV296" s="250">
        <f>INDEX(연료전지_원본!$KB$4:$KX$369,MATCH($A296,연료전지_원본!$KB$4:$KB$369,0), MATCH(CV$4,연료전지_원본!$KB$4:$KX$4,0))*1000</f>
        <v>0</v>
      </c>
      <c r="CW296" s="250">
        <f>INDEX(연료전지_원본!$KB$4:$KX$369,MATCH($A296,연료전지_원본!$KB$4:$KB$369,0), MATCH(CW$4,연료전지_원본!$KB$4:$KX$4,0))*1000</f>
        <v>0</v>
      </c>
      <c r="CX296" s="250">
        <f>INDEX(연료전지_원본!$KB$4:$KX$369,MATCH($A296,연료전지_원본!$KB$4:$KB$369,0), MATCH(CX$4,연료전지_원본!$KB$4:$KX$4,0))*1000</f>
        <v>0</v>
      </c>
      <c r="CY296" s="250">
        <f>INDEX(연료전지_원본!$KB$4:$KX$369,MATCH($A296,연료전지_원본!$KB$4:$KB$369,0), MATCH(CY$4,연료전지_원본!$KB$4:$KX$4,0))*1000</f>
        <v>0</v>
      </c>
      <c r="DV296" s="30">
        <f t="shared" si="1616"/>
        <v>0</v>
      </c>
    </row>
    <row r="297" spans="1:126">
      <c r="A297" s="6">
        <v>46314</v>
      </c>
      <c r="B297" s="15">
        <f>운전실적_원본!B297</f>
        <v>0</v>
      </c>
      <c r="C297" s="16" t="str">
        <f t="shared" si="1622"/>
        <v/>
      </c>
      <c r="D297" s="12">
        <f>운전실적_원본!C297</f>
        <v>0</v>
      </c>
      <c r="E297" s="12" t="str">
        <f t="shared" si="1623"/>
        <v/>
      </c>
      <c r="F297" s="12">
        <f>운전실적_원본!D297</f>
        <v>0</v>
      </c>
      <c r="G297" s="16" t="str">
        <f t="shared" si="1624"/>
        <v/>
      </c>
      <c r="H297" s="15">
        <f>운전실적_원본!E297</f>
        <v>0</v>
      </c>
      <c r="I297" s="16" t="str">
        <f t="shared" si="1625"/>
        <v/>
      </c>
      <c r="J297" s="15">
        <f>운전실적_원본!F297</f>
        <v>0</v>
      </c>
      <c r="K297" s="16" t="str">
        <f t="shared" si="1625"/>
        <v/>
      </c>
      <c r="L297" s="32">
        <f>운전실적_원본!G297</f>
        <v>0</v>
      </c>
      <c r="M297" s="31" t="str">
        <f t="shared" ref="M297" si="1632">IF(OR(LEN(L297)=0,L297=0),"",L297-L296)</f>
        <v/>
      </c>
      <c r="N297" s="15">
        <f>운전실적_원본!H297</f>
        <v>0</v>
      </c>
      <c r="O297" s="16" t="str">
        <f t="shared" ref="O297" si="1633">IF(OR(LEN(N297)=0,N297=0),"",N297-N296)</f>
        <v/>
      </c>
      <c r="P297" s="15">
        <f>운전실적_원본!I297</f>
        <v>0</v>
      </c>
      <c r="Q297" s="16" t="str">
        <f t="shared" ref="Q297" si="1634">IF(OR(LEN(P297)=0,P297=0),"",P297-P296)</f>
        <v/>
      </c>
      <c r="R297" s="18">
        <f>운전실적_원본!J297</f>
        <v>0</v>
      </c>
      <c r="S297" s="19" t="str">
        <f t="shared" ref="S297" si="1635">IF(OR(LEN(R297)=0,R297=0),"",R297-R296)</f>
        <v/>
      </c>
      <c r="T297" s="18">
        <f>운전실적_원본!K297</f>
        <v>0</v>
      </c>
      <c r="U297" s="19" t="str">
        <f t="shared" si="1630"/>
        <v/>
      </c>
      <c r="V297" s="12">
        <f>운전실적_원본!L297</f>
        <v>0</v>
      </c>
      <c r="W297" s="16" t="str">
        <f t="shared" ref="W297" si="1636">IF(OR(LEN(V297)=0,V297=0),"",V297-V296)</f>
        <v/>
      </c>
      <c r="X297" s="10">
        <f>운전실적_원본!M297</f>
        <v>0</v>
      </c>
      <c r="Y297" s="10">
        <f>운전실적_원본!N297</f>
        <v>0</v>
      </c>
      <c r="Z297" s="10">
        <f>운전실적_원본!O297</f>
        <v>0</v>
      </c>
      <c r="AA297" s="10">
        <f>운전실적_원본!P297</f>
        <v>0</v>
      </c>
      <c r="AB297" s="10">
        <f>운전실적_원본!Q297</f>
        <v>0</v>
      </c>
      <c r="AC297" s="20">
        <f>운전실적_원본!R297</f>
        <v>0</v>
      </c>
      <c r="AD297" s="109">
        <f>운전실적_원본!S297</f>
        <v>0</v>
      </c>
      <c r="AE297" s="110">
        <f>운전실적_원본!T297</f>
        <v>0</v>
      </c>
      <c r="AF297" s="110">
        <f>운전실적_원본!U297</f>
        <v>0</v>
      </c>
      <c r="AG297" s="110">
        <f>운전실적_원본!V297</f>
        <v>0</v>
      </c>
      <c r="AH297" s="109">
        <f t="shared" si="1453"/>
        <v>0</v>
      </c>
      <c r="AI297" s="110">
        <f t="shared" si="1460"/>
        <v>0</v>
      </c>
      <c r="AJ297" s="110">
        <f>운전실적_원본!Y297</f>
        <v>0</v>
      </c>
      <c r="AK297" s="110">
        <f>운전실적_원본!Z297</f>
        <v>0</v>
      </c>
      <c r="AL297" s="106"/>
      <c r="AM297" s="105"/>
      <c r="AN297" s="105"/>
      <c r="AO297" s="105"/>
      <c r="AP297" s="105"/>
      <c r="AQ297" s="108"/>
      <c r="AR297" s="105"/>
      <c r="AS297" s="105"/>
      <c r="AT297" s="102"/>
      <c r="AU297" s="102"/>
      <c r="AV297" s="102"/>
      <c r="AW297" s="102"/>
      <c r="AX297" s="32">
        <f>운전실적_원본!W297</f>
        <v>0</v>
      </c>
      <c r="AY297" s="11">
        <f>운전실적_원본!X297</f>
        <v>0</v>
      </c>
      <c r="AZ297" s="11">
        <f>운전실적_원본!Y297</f>
        <v>0</v>
      </c>
      <c r="BA297" s="11">
        <f>운전실적_원본!Z297</f>
        <v>0</v>
      </c>
      <c r="BB297" s="11">
        <f>운전실적_원본!AA297</f>
        <v>0</v>
      </c>
      <c r="BC297" s="11">
        <f>운전실적_원본!AB297</f>
        <v>0</v>
      </c>
      <c r="BD297" s="32" t="str">
        <f t="shared" si="1446"/>
        <v>-</v>
      </c>
      <c r="BE297" s="11" t="str">
        <f t="shared" si="1454"/>
        <v>-</v>
      </c>
      <c r="BF297" s="11">
        <f>운전실적_원본!AE297</f>
        <v>0</v>
      </c>
      <c r="BG297" s="31">
        <f t="shared" si="1447"/>
        <v>0</v>
      </c>
      <c r="BH297" s="241">
        <f>INDEX(연료전지_원본!$A$4:$KY$369,MATCH($A297,연료전지_원본!$A$4:$A$369,0),MATCH($BH$4,연료전지_원본!$A$4:$KY$4,0))</f>
        <v>0</v>
      </c>
      <c r="BI297" s="241">
        <f>INDEX(연료전지_원본!$A$4:$KY$369,MATCH($A297,연료전지_원본!$A$4:$A$369,0),MATCH($BI$4,연료전지_원본!$A$4:$KY$4,0))</f>
        <v>0</v>
      </c>
      <c r="BJ297" s="241">
        <f>INDEX(연료전지_원본!$A$4:$KY$369,MATCH($A297,연료전지_원본!$A$4:$A$369,0),MATCH($BJ$4,연료전지_원본!$A$4:$KY$4,0))</f>
        <v>0</v>
      </c>
      <c r="BK297" s="241">
        <f>INDEX(연료전지_원본!$A$4:$KY$369,MATCH($A297,연료전지_원본!$A$4:$A$369,0),MATCH($BK$4,연료전지_원본!$A$4:$KY$4,0))</f>
        <v>0</v>
      </c>
      <c r="BL297" s="241">
        <f>INDEX(연료전지_원본!$A$4:$KY$369,MATCH($A297,연료전지_원본!$A$4:$A$369,0),MATCH($BL$4,연료전지_원본!$A$4:$KY$4,0))</f>
        <v>0</v>
      </c>
      <c r="BM297" s="241">
        <f>INDEX(연료전지_원본!$A$4:$KY$369,MATCH($A297,연료전지_원본!$A$4:$A$369,0),MATCH($BM$4,연료전지_원본!$A$4:$KY$4,0))</f>
        <v>0</v>
      </c>
      <c r="BN297" s="241">
        <f>INDEX(연료전지_원본!$A$4:$KY$369,MATCH($A297,연료전지_원본!$A$4:$A$369,0),MATCH($BN$4,연료전지_원본!$A$4:$KY$4,0))</f>
        <v>0</v>
      </c>
      <c r="BO297" s="241">
        <f>INDEX(연료전지_원본!$A$4:$KY$369,MATCH($A297,연료전지_원본!$A$4:$A$369,0),MATCH($BO$4,연료전지_원본!$A$4:$KY$4,0))</f>
        <v>0</v>
      </c>
      <c r="BP297" s="241">
        <f>INDEX(연료전지_원본!$A$4:$KY$369,MATCH($A297,연료전지_원본!$A$4:$A$369,0),MATCH($BP$4,연료전지_원본!$A$4:$KY$4,0))</f>
        <v>0</v>
      </c>
      <c r="BQ297" s="241">
        <f>INDEX(연료전지_원본!$A$4:$KY$369,MATCH($A297,연료전지_원본!$A$4:$A$369,0),MATCH($BQ$4,연료전지_원본!$A$4:$KY$4,0))</f>
        <v>0</v>
      </c>
      <c r="BR297" s="241">
        <f>INDEX(연료전지_원본!$A$4:$KY$369,MATCH($A297,연료전지_원본!$A$4:$A$369,0),MATCH($BR$4,연료전지_원본!$A$4:$KY$4,0))</f>
        <v>0</v>
      </c>
      <c r="BS297" s="241">
        <f>INDEX(연료전지_원본!$A$4:$KY$369,MATCH($A297,연료전지_원본!$A$4:$A$369,0),MATCH($BS$4,연료전지_원본!$A$4:$KY$4,0))</f>
        <v>0</v>
      </c>
      <c r="BT297" s="241">
        <f>INDEX(연료전지_원본!$A$4:$KY$369,MATCH($A297,연료전지_원본!$A$4:$A$369,0),MATCH($BT$4,연료전지_원본!$A$4:$KY$4,0))</f>
        <v>0</v>
      </c>
      <c r="BU297" s="241">
        <f>INDEX(연료전지_원본!$A$4:$KY$369,MATCH($A297,연료전지_원본!$A$4:$A$369,0),MATCH($BU$4,연료전지_원본!$A$4:$KY$4,0))</f>
        <v>0</v>
      </c>
      <c r="BV297" s="241">
        <f>INDEX(연료전지_원본!$A$4:$KY$369,MATCH($A297,연료전지_원본!$A$4:$A$369,0),MATCH($BV$4,연료전지_원본!$A$4:$KY$4,0))</f>
        <v>0</v>
      </c>
      <c r="BW297" s="241">
        <f>INDEX(연료전지_원본!$A$4:$KY$369,MATCH($A297,연료전지_원본!$A$4:$A$369,0),MATCH($BW$4,연료전지_원본!$A$4:$KY$4,0))</f>
        <v>0</v>
      </c>
      <c r="BX297" s="241">
        <f>INDEX(연료전지_원본!$A$4:$KY$369,MATCH($A297,연료전지_원본!$A$4:$A$369,0),MATCH($BX$4,연료전지_원본!$A$4:$KY$4,0))</f>
        <v>0</v>
      </c>
      <c r="BY297" s="241">
        <f>INDEX(연료전지_원본!$A$4:$KY$369,MATCH($A297,연료전지_원본!$A$4:$A$369,0),MATCH($BY$4,연료전지_원본!$A$4:$KY$4,0))</f>
        <v>0</v>
      </c>
      <c r="BZ297" s="241">
        <f>INDEX(연료전지_원본!$A$4:$KY$369,MATCH($A297,연료전지_원본!$A$4:$A$369,0),MATCH($BZ$4,연료전지_원본!$A$4:$KY$4,0))</f>
        <v>0</v>
      </c>
      <c r="CA297" s="241">
        <f>INDEX(연료전지_원본!$A$4:$KY$369,MATCH($A297,연료전지_원본!$A$4:$A$369,0),MATCH($CA$4,연료전지_원본!$A$4:$KY$4,0))</f>
        <v>0</v>
      </c>
      <c r="CB297" s="241">
        <f>INDEX(연료전지_원본!$A$4:$KY$369,MATCH($A297,연료전지_원본!$A$4:$A$369,0),MATCH($CB$4,연료전지_원본!$A$4:$KY$4,0))</f>
        <v>0</v>
      </c>
      <c r="CC297" s="242">
        <f>INDEX(연료전지_원본!$A$4:$KY$369,MATCH($A297,연료전지_원본!$A$4:$A$369,0),MATCH($CC$4,연료전지_원본!$A$4:$KY$4,0))</f>
        <v>0</v>
      </c>
      <c r="CD297" s="250">
        <f>INDEX(연료전지_원본!$KB$4:$KX$369,MATCH($A297,연료전지_원본!$KB$4:$KB$369,0), MATCH(CD$4,연료전지_원본!$KB$4:$KX$4,0))*1000</f>
        <v>0</v>
      </c>
      <c r="CE297" s="250">
        <f>INDEX(연료전지_원본!$KB$4:$KX$369,MATCH($A297,연료전지_원본!$KB$4:$KB$369,0), MATCH(CE$4,연료전지_원본!$KB$4:$KX$4,0))*1000</f>
        <v>0</v>
      </c>
      <c r="CF297" s="250">
        <f>INDEX(연료전지_원본!$KB$4:$KX$369,MATCH($A297,연료전지_원본!$KB$4:$KB$369,0), MATCH(CF$4,연료전지_원본!$KB$4:$KX$4,0))*1000</f>
        <v>0</v>
      </c>
      <c r="CG297" s="250">
        <f>INDEX(연료전지_원본!$KB$4:$KX$369,MATCH($A297,연료전지_원본!$KB$4:$KB$369,0), MATCH(CG$4,연료전지_원본!$KB$4:$KX$4,0))*1000</f>
        <v>0</v>
      </c>
      <c r="CH297" s="250">
        <f>INDEX(연료전지_원본!$KB$4:$KX$369,MATCH($A297,연료전지_원본!$KB$4:$KB$369,0), MATCH(CH$4,연료전지_원본!$KB$4:$KX$4,0))*1000</f>
        <v>0</v>
      </c>
      <c r="CI297" s="250">
        <f>INDEX(연료전지_원본!$KB$4:$KX$369,MATCH($A297,연료전지_원본!$KB$4:$KB$369,0), MATCH(CI$4,연료전지_원본!$KB$4:$KX$4,0))*1000</f>
        <v>0</v>
      </c>
      <c r="CJ297" s="250">
        <f>INDEX(연료전지_원본!$KB$4:$KX$369,MATCH($A297,연료전지_원본!$KB$4:$KB$369,0), MATCH(CJ$4,연료전지_원본!$KB$4:$KX$4,0))*1000</f>
        <v>0</v>
      </c>
      <c r="CK297" s="250">
        <f>INDEX(연료전지_원본!$KB$4:$KX$369,MATCH($A297,연료전지_원본!$KB$4:$KB$369,0), MATCH(CK$4,연료전지_원본!$KB$4:$KX$4,0))*1000</f>
        <v>0</v>
      </c>
      <c r="CL297" s="250">
        <f>INDEX(연료전지_원본!$KB$4:$KX$369,MATCH($A297,연료전지_원본!$KB$4:$KB$369,0), MATCH(CL$4,연료전지_원본!$KB$4:$KX$4,0))*1000</f>
        <v>0</v>
      </c>
      <c r="CM297" s="250">
        <f>INDEX(연료전지_원본!$KB$4:$KX$369,MATCH($A297,연료전지_원본!$KB$4:$KB$369,0), MATCH(CM$4,연료전지_원본!$KB$4:$KX$4,0))*1000</f>
        <v>0</v>
      </c>
      <c r="CN297" s="250">
        <f>INDEX(연료전지_원본!$KB$4:$KX$369,MATCH($A297,연료전지_원본!$KB$4:$KB$369,0), MATCH(CN$4,연료전지_원본!$KB$4:$KX$4,0))*1000</f>
        <v>0</v>
      </c>
      <c r="CO297" s="250">
        <f>INDEX(연료전지_원본!$KB$4:$KX$369,MATCH($A297,연료전지_원본!$KB$4:$KB$369,0), MATCH(CO$4,연료전지_원본!$KB$4:$KX$4,0))*1000</f>
        <v>0</v>
      </c>
      <c r="CP297" s="250">
        <f>INDEX(연료전지_원본!$KB$4:$KX$369,MATCH($A297,연료전지_원본!$KB$4:$KB$369,0), MATCH(CP$4,연료전지_원본!$KB$4:$KX$4,0))*1000</f>
        <v>0</v>
      </c>
      <c r="CQ297" s="250">
        <f>INDEX(연료전지_원본!$KB$4:$KX$369,MATCH($A297,연료전지_원본!$KB$4:$KB$369,0), MATCH(CQ$4,연료전지_원본!$KB$4:$KX$4,0))*1000</f>
        <v>0</v>
      </c>
      <c r="CR297" s="250">
        <f>INDEX(연료전지_원본!$KB$4:$KX$369,MATCH($A297,연료전지_원본!$KB$4:$KB$369,0), MATCH(CR$4,연료전지_원본!$KB$4:$KX$4,0))*1000</f>
        <v>0</v>
      </c>
      <c r="CS297" s="250">
        <f>INDEX(연료전지_원본!$KB$4:$KX$369,MATCH($A297,연료전지_원본!$KB$4:$KB$369,0), MATCH(CS$4,연료전지_원본!$KB$4:$KX$4,0))*1000</f>
        <v>0</v>
      </c>
      <c r="CT297" s="250">
        <f>INDEX(연료전지_원본!$KB$4:$KX$369,MATCH($A297,연료전지_원본!$KB$4:$KB$369,0), MATCH(CT$4,연료전지_원본!$KB$4:$KX$4,0))*1000</f>
        <v>0</v>
      </c>
      <c r="CU297" s="250">
        <f>INDEX(연료전지_원본!$KB$4:$KX$369,MATCH($A297,연료전지_원본!$KB$4:$KB$369,0), MATCH(CU$4,연료전지_원본!$KB$4:$KX$4,0))*1000</f>
        <v>0</v>
      </c>
      <c r="CV297" s="250">
        <f>INDEX(연료전지_원본!$KB$4:$KX$369,MATCH($A297,연료전지_원본!$KB$4:$KB$369,0), MATCH(CV$4,연료전지_원본!$KB$4:$KX$4,0))*1000</f>
        <v>0</v>
      </c>
      <c r="CW297" s="250">
        <f>INDEX(연료전지_원본!$KB$4:$KX$369,MATCH($A297,연료전지_원본!$KB$4:$KB$369,0), MATCH(CW$4,연료전지_원본!$KB$4:$KX$4,0))*1000</f>
        <v>0</v>
      </c>
      <c r="CX297" s="250">
        <f>INDEX(연료전지_원본!$KB$4:$KX$369,MATCH($A297,연료전지_원본!$KB$4:$KB$369,0), MATCH(CX$4,연료전지_원본!$KB$4:$KX$4,0))*1000</f>
        <v>0</v>
      </c>
      <c r="CY297" s="250">
        <f>INDEX(연료전지_원본!$KB$4:$KX$369,MATCH($A297,연료전지_원본!$KB$4:$KB$369,0), MATCH(CY$4,연료전지_원본!$KB$4:$KX$4,0))*1000</f>
        <v>0</v>
      </c>
      <c r="DV297" s="30">
        <f t="shared" si="1616"/>
        <v>0</v>
      </c>
    </row>
    <row r="298" spans="1:126">
      <c r="A298" s="6">
        <v>46315</v>
      </c>
      <c r="B298" s="15">
        <f>운전실적_원본!B298</f>
        <v>0</v>
      </c>
      <c r="C298" s="16" t="str">
        <f t="shared" si="1622"/>
        <v/>
      </c>
      <c r="D298" s="12">
        <f>운전실적_원본!C298</f>
        <v>0</v>
      </c>
      <c r="E298" s="12" t="str">
        <f t="shared" si="1623"/>
        <v/>
      </c>
      <c r="F298" s="12">
        <f>운전실적_원본!D298</f>
        <v>0</v>
      </c>
      <c r="G298" s="16" t="str">
        <f t="shared" si="1624"/>
        <v/>
      </c>
      <c r="H298" s="15">
        <f>운전실적_원본!E298</f>
        <v>0</v>
      </c>
      <c r="I298" s="16" t="str">
        <f t="shared" si="1625"/>
        <v/>
      </c>
      <c r="J298" s="15">
        <f>운전실적_원본!F298</f>
        <v>0</v>
      </c>
      <c r="K298" s="16" t="str">
        <f t="shared" si="1625"/>
        <v/>
      </c>
      <c r="L298" s="32">
        <f>운전실적_원본!G298</f>
        <v>0</v>
      </c>
      <c r="M298" s="31" t="str">
        <f t="shared" ref="M298" si="1637">IF(OR(LEN(L298)=0,L298=0),"",L298-L297)</f>
        <v/>
      </c>
      <c r="N298" s="15">
        <f>운전실적_원본!H298</f>
        <v>0</v>
      </c>
      <c r="O298" s="16" t="str">
        <f t="shared" ref="O298" si="1638">IF(OR(LEN(N298)=0,N298=0),"",N298-N297)</f>
        <v/>
      </c>
      <c r="P298" s="15">
        <f>운전실적_원본!I298</f>
        <v>0</v>
      </c>
      <c r="Q298" s="16" t="str">
        <f t="shared" ref="Q298" si="1639">IF(OR(LEN(P298)=0,P298=0),"",P298-P297)</f>
        <v/>
      </c>
      <c r="R298" s="18">
        <f>운전실적_원본!J298</f>
        <v>0</v>
      </c>
      <c r="S298" s="19" t="str">
        <f t="shared" ref="S298" si="1640">IF(OR(LEN(R298)=0,R298=0),"",R298-R297)</f>
        <v/>
      </c>
      <c r="T298" s="18">
        <f>운전실적_원본!K298</f>
        <v>0</v>
      </c>
      <c r="U298" s="19" t="str">
        <f t="shared" si="1630"/>
        <v/>
      </c>
      <c r="V298" s="12">
        <f>운전실적_원본!L298</f>
        <v>0</v>
      </c>
      <c r="W298" s="16" t="str">
        <f t="shared" ref="W298" si="1641">IF(OR(LEN(V298)=0,V298=0),"",V298-V297)</f>
        <v/>
      </c>
      <c r="X298" s="10">
        <f>운전실적_원본!M298</f>
        <v>0</v>
      </c>
      <c r="Y298" s="10">
        <f>운전실적_원본!N298</f>
        <v>0</v>
      </c>
      <c r="Z298" s="10">
        <f>운전실적_원본!O298</f>
        <v>0</v>
      </c>
      <c r="AA298" s="10">
        <f>운전실적_원본!P298</f>
        <v>0</v>
      </c>
      <c r="AB298" s="10">
        <f>운전실적_원본!Q298</f>
        <v>0</v>
      </c>
      <c r="AC298" s="20">
        <f>운전실적_원본!R298</f>
        <v>0</v>
      </c>
      <c r="AD298" s="109">
        <f>운전실적_원본!S298</f>
        <v>0</v>
      </c>
      <c r="AE298" s="110">
        <f>운전실적_원본!T298</f>
        <v>0</v>
      </c>
      <c r="AF298" s="110">
        <f>운전실적_원본!U298</f>
        <v>0</v>
      </c>
      <c r="AG298" s="110">
        <f>운전실적_원본!V298</f>
        <v>0</v>
      </c>
      <c r="AH298" s="109">
        <f t="shared" si="1453"/>
        <v>0</v>
      </c>
      <c r="AI298" s="110">
        <f t="shared" si="1460"/>
        <v>0</v>
      </c>
      <c r="AJ298" s="110">
        <f>운전실적_원본!Y298</f>
        <v>0</v>
      </c>
      <c r="AK298" s="110">
        <f>운전실적_원본!Z298</f>
        <v>0</v>
      </c>
      <c r="AL298" s="106"/>
      <c r="AM298" s="105"/>
      <c r="AN298" s="105"/>
      <c r="AO298" s="105"/>
      <c r="AP298" s="105"/>
      <c r="AQ298" s="108"/>
      <c r="AR298" s="105"/>
      <c r="AS298" s="105"/>
      <c r="AT298" s="102"/>
      <c r="AU298" s="102"/>
      <c r="AV298" s="102"/>
      <c r="AW298" s="102"/>
      <c r="AX298" s="32">
        <f>운전실적_원본!W298</f>
        <v>0</v>
      </c>
      <c r="AY298" s="11">
        <f>운전실적_원본!X298</f>
        <v>0</v>
      </c>
      <c r="AZ298" s="11">
        <f>운전실적_원본!Y298</f>
        <v>0</v>
      </c>
      <c r="BA298" s="11">
        <f>운전실적_원본!Z298</f>
        <v>0</v>
      </c>
      <c r="BB298" s="11">
        <f>운전실적_원본!AA298</f>
        <v>0</v>
      </c>
      <c r="BC298" s="11">
        <f>운전실적_원본!AB298</f>
        <v>0</v>
      </c>
      <c r="BD298" s="32" t="str">
        <f t="shared" si="1446"/>
        <v>-</v>
      </c>
      <c r="BE298" s="11" t="str">
        <f t="shared" si="1454"/>
        <v>-</v>
      </c>
      <c r="BF298" s="11">
        <f>운전실적_원본!AE298</f>
        <v>0</v>
      </c>
      <c r="BG298" s="31">
        <f t="shared" si="1447"/>
        <v>0</v>
      </c>
      <c r="BH298" s="241">
        <f>INDEX(연료전지_원본!$A$4:$KY$369,MATCH($A298,연료전지_원본!$A$4:$A$369,0),MATCH($BH$4,연료전지_원본!$A$4:$KY$4,0))</f>
        <v>0</v>
      </c>
      <c r="BI298" s="241">
        <f>INDEX(연료전지_원본!$A$4:$KY$369,MATCH($A298,연료전지_원본!$A$4:$A$369,0),MATCH($BI$4,연료전지_원본!$A$4:$KY$4,0))</f>
        <v>0</v>
      </c>
      <c r="BJ298" s="241">
        <f>INDEX(연료전지_원본!$A$4:$KY$369,MATCH($A298,연료전지_원본!$A$4:$A$369,0),MATCH($BJ$4,연료전지_원본!$A$4:$KY$4,0))</f>
        <v>0</v>
      </c>
      <c r="BK298" s="241">
        <f>INDEX(연료전지_원본!$A$4:$KY$369,MATCH($A298,연료전지_원본!$A$4:$A$369,0),MATCH($BK$4,연료전지_원본!$A$4:$KY$4,0))</f>
        <v>0</v>
      </c>
      <c r="BL298" s="241">
        <f>INDEX(연료전지_원본!$A$4:$KY$369,MATCH($A298,연료전지_원본!$A$4:$A$369,0),MATCH($BL$4,연료전지_원본!$A$4:$KY$4,0))</f>
        <v>0</v>
      </c>
      <c r="BM298" s="241">
        <f>INDEX(연료전지_원본!$A$4:$KY$369,MATCH($A298,연료전지_원본!$A$4:$A$369,0),MATCH($BM$4,연료전지_원본!$A$4:$KY$4,0))</f>
        <v>0</v>
      </c>
      <c r="BN298" s="241">
        <f>INDEX(연료전지_원본!$A$4:$KY$369,MATCH($A298,연료전지_원본!$A$4:$A$369,0),MATCH($BN$4,연료전지_원본!$A$4:$KY$4,0))</f>
        <v>0</v>
      </c>
      <c r="BO298" s="241">
        <f>INDEX(연료전지_원본!$A$4:$KY$369,MATCH($A298,연료전지_원본!$A$4:$A$369,0),MATCH($BO$4,연료전지_원본!$A$4:$KY$4,0))</f>
        <v>0</v>
      </c>
      <c r="BP298" s="241">
        <f>INDEX(연료전지_원본!$A$4:$KY$369,MATCH($A298,연료전지_원본!$A$4:$A$369,0),MATCH($BP$4,연료전지_원본!$A$4:$KY$4,0))</f>
        <v>0</v>
      </c>
      <c r="BQ298" s="241">
        <f>INDEX(연료전지_원본!$A$4:$KY$369,MATCH($A298,연료전지_원본!$A$4:$A$369,0),MATCH($BQ$4,연료전지_원본!$A$4:$KY$4,0))</f>
        <v>0</v>
      </c>
      <c r="BR298" s="241">
        <f>INDEX(연료전지_원본!$A$4:$KY$369,MATCH($A298,연료전지_원본!$A$4:$A$369,0),MATCH($BR$4,연료전지_원본!$A$4:$KY$4,0))</f>
        <v>0</v>
      </c>
      <c r="BS298" s="241">
        <f>INDEX(연료전지_원본!$A$4:$KY$369,MATCH($A298,연료전지_원본!$A$4:$A$369,0),MATCH($BS$4,연료전지_원본!$A$4:$KY$4,0))</f>
        <v>0</v>
      </c>
      <c r="BT298" s="241">
        <f>INDEX(연료전지_원본!$A$4:$KY$369,MATCH($A298,연료전지_원본!$A$4:$A$369,0),MATCH($BT$4,연료전지_원본!$A$4:$KY$4,0))</f>
        <v>0</v>
      </c>
      <c r="BU298" s="241">
        <f>INDEX(연료전지_원본!$A$4:$KY$369,MATCH($A298,연료전지_원본!$A$4:$A$369,0),MATCH($BU$4,연료전지_원본!$A$4:$KY$4,0))</f>
        <v>0</v>
      </c>
      <c r="BV298" s="241">
        <f>INDEX(연료전지_원본!$A$4:$KY$369,MATCH($A298,연료전지_원본!$A$4:$A$369,0),MATCH($BV$4,연료전지_원본!$A$4:$KY$4,0))</f>
        <v>0</v>
      </c>
      <c r="BW298" s="241">
        <f>INDEX(연료전지_원본!$A$4:$KY$369,MATCH($A298,연료전지_원본!$A$4:$A$369,0),MATCH($BW$4,연료전지_원본!$A$4:$KY$4,0))</f>
        <v>0</v>
      </c>
      <c r="BX298" s="241">
        <f>INDEX(연료전지_원본!$A$4:$KY$369,MATCH($A298,연료전지_원본!$A$4:$A$369,0),MATCH($BX$4,연료전지_원본!$A$4:$KY$4,0))</f>
        <v>0</v>
      </c>
      <c r="BY298" s="241">
        <f>INDEX(연료전지_원본!$A$4:$KY$369,MATCH($A298,연료전지_원본!$A$4:$A$369,0),MATCH($BY$4,연료전지_원본!$A$4:$KY$4,0))</f>
        <v>0</v>
      </c>
      <c r="BZ298" s="241">
        <f>INDEX(연료전지_원본!$A$4:$KY$369,MATCH($A298,연료전지_원본!$A$4:$A$369,0),MATCH($BZ$4,연료전지_원본!$A$4:$KY$4,0))</f>
        <v>0</v>
      </c>
      <c r="CA298" s="241">
        <f>INDEX(연료전지_원본!$A$4:$KY$369,MATCH($A298,연료전지_원본!$A$4:$A$369,0),MATCH($CA$4,연료전지_원본!$A$4:$KY$4,0))</f>
        <v>0</v>
      </c>
      <c r="CB298" s="241">
        <f>INDEX(연료전지_원본!$A$4:$KY$369,MATCH($A298,연료전지_원본!$A$4:$A$369,0),MATCH($CB$4,연료전지_원본!$A$4:$KY$4,0))</f>
        <v>0</v>
      </c>
      <c r="CC298" s="242">
        <f>INDEX(연료전지_원본!$A$4:$KY$369,MATCH($A298,연료전지_원본!$A$4:$A$369,0),MATCH($CC$4,연료전지_원본!$A$4:$KY$4,0))</f>
        <v>0</v>
      </c>
      <c r="CD298" s="250">
        <f>INDEX(연료전지_원본!$KB$4:$KX$369,MATCH($A298,연료전지_원본!$KB$4:$KB$369,0), MATCH(CD$4,연료전지_원본!$KB$4:$KX$4,0))*1000</f>
        <v>0</v>
      </c>
      <c r="CE298" s="250">
        <f>INDEX(연료전지_원본!$KB$4:$KX$369,MATCH($A298,연료전지_원본!$KB$4:$KB$369,0), MATCH(CE$4,연료전지_원본!$KB$4:$KX$4,0))*1000</f>
        <v>0</v>
      </c>
      <c r="CF298" s="250">
        <f>INDEX(연료전지_원본!$KB$4:$KX$369,MATCH($A298,연료전지_원본!$KB$4:$KB$369,0), MATCH(CF$4,연료전지_원본!$KB$4:$KX$4,0))*1000</f>
        <v>0</v>
      </c>
      <c r="CG298" s="250">
        <f>INDEX(연료전지_원본!$KB$4:$KX$369,MATCH($A298,연료전지_원본!$KB$4:$KB$369,0), MATCH(CG$4,연료전지_원본!$KB$4:$KX$4,0))*1000</f>
        <v>0</v>
      </c>
      <c r="CH298" s="250">
        <f>INDEX(연료전지_원본!$KB$4:$KX$369,MATCH($A298,연료전지_원본!$KB$4:$KB$369,0), MATCH(CH$4,연료전지_원본!$KB$4:$KX$4,0))*1000</f>
        <v>0</v>
      </c>
      <c r="CI298" s="250">
        <f>INDEX(연료전지_원본!$KB$4:$KX$369,MATCH($A298,연료전지_원본!$KB$4:$KB$369,0), MATCH(CI$4,연료전지_원본!$KB$4:$KX$4,0))*1000</f>
        <v>0</v>
      </c>
      <c r="CJ298" s="250">
        <f>INDEX(연료전지_원본!$KB$4:$KX$369,MATCH($A298,연료전지_원본!$KB$4:$KB$369,0), MATCH(CJ$4,연료전지_원본!$KB$4:$KX$4,0))*1000</f>
        <v>0</v>
      </c>
      <c r="CK298" s="250">
        <f>INDEX(연료전지_원본!$KB$4:$KX$369,MATCH($A298,연료전지_원본!$KB$4:$KB$369,0), MATCH(CK$4,연료전지_원본!$KB$4:$KX$4,0))*1000</f>
        <v>0</v>
      </c>
      <c r="CL298" s="250">
        <f>INDEX(연료전지_원본!$KB$4:$KX$369,MATCH($A298,연료전지_원본!$KB$4:$KB$369,0), MATCH(CL$4,연료전지_원본!$KB$4:$KX$4,0))*1000</f>
        <v>0</v>
      </c>
      <c r="CM298" s="250">
        <f>INDEX(연료전지_원본!$KB$4:$KX$369,MATCH($A298,연료전지_원본!$KB$4:$KB$369,0), MATCH(CM$4,연료전지_원본!$KB$4:$KX$4,0))*1000</f>
        <v>0</v>
      </c>
      <c r="CN298" s="250">
        <f>INDEX(연료전지_원본!$KB$4:$KX$369,MATCH($A298,연료전지_원본!$KB$4:$KB$369,0), MATCH(CN$4,연료전지_원본!$KB$4:$KX$4,0))*1000</f>
        <v>0</v>
      </c>
      <c r="CO298" s="250">
        <f>INDEX(연료전지_원본!$KB$4:$KX$369,MATCH($A298,연료전지_원본!$KB$4:$KB$369,0), MATCH(CO$4,연료전지_원본!$KB$4:$KX$4,0))*1000</f>
        <v>0</v>
      </c>
      <c r="CP298" s="250">
        <f>INDEX(연료전지_원본!$KB$4:$KX$369,MATCH($A298,연료전지_원본!$KB$4:$KB$369,0), MATCH(CP$4,연료전지_원본!$KB$4:$KX$4,0))*1000</f>
        <v>0</v>
      </c>
      <c r="CQ298" s="250">
        <f>INDEX(연료전지_원본!$KB$4:$KX$369,MATCH($A298,연료전지_원본!$KB$4:$KB$369,0), MATCH(CQ$4,연료전지_원본!$KB$4:$KX$4,0))*1000</f>
        <v>0</v>
      </c>
      <c r="CR298" s="250">
        <f>INDEX(연료전지_원본!$KB$4:$KX$369,MATCH($A298,연료전지_원본!$KB$4:$KB$369,0), MATCH(CR$4,연료전지_원본!$KB$4:$KX$4,0))*1000</f>
        <v>0</v>
      </c>
      <c r="CS298" s="250">
        <f>INDEX(연료전지_원본!$KB$4:$KX$369,MATCH($A298,연료전지_원본!$KB$4:$KB$369,0), MATCH(CS$4,연료전지_원본!$KB$4:$KX$4,0))*1000</f>
        <v>0</v>
      </c>
      <c r="CT298" s="250">
        <f>INDEX(연료전지_원본!$KB$4:$KX$369,MATCH($A298,연료전지_원본!$KB$4:$KB$369,0), MATCH(CT$4,연료전지_원본!$KB$4:$KX$4,0))*1000</f>
        <v>0</v>
      </c>
      <c r="CU298" s="250">
        <f>INDEX(연료전지_원본!$KB$4:$KX$369,MATCH($A298,연료전지_원본!$KB$4:$KB$369,0), MATCH(CU$4,연료전지_원본!$KB$4:$KX$4,0))*1000</f>
        <v>0</v>
      </c>
      <c r="CV298" s="250">
        <f>INDEX(연료전지_원본!$KB$4:$KX$369,MATCH($A298,연료전지_원본!$KB$4:$KB$369,0), MATCH(CV$4,연료전지_원본!$KB$4:$KX$4,0))*1000</f>
        <v>0</v>
      </c>
      <c r="CW298" s="250">
        <f>INDEX(연료전지_원본!$KB$4:$KX$369,MATCH($A298,연료전지_원본!$KB$4:$KB$369,0), MATCH(CW$4,연료전지_원본!$KB$4:$KX$4,0))*1000</f>
        <v>0</v>
      </c>
      <c r="CX298" s="250">
        <f>INDEX(연료전지_원본!$KB$4:$KX$369,MATCH($A298,연료전지_원본!$KB$4:$KB$369,0), MATCH(CX$4,연료전지_원본!$KB$4:$KX$4,0))*1000</f>
        <v>0</v>
      </c>
      <c r="CY298" s="250">
        <f>INDEX(연료전지_원본!$KB$4:$KX$369,MATCH($A298,연료전지_원본!$KB$4:$KB$369,0), MATCH(CY$4,연료전지_원본!$KB$4:$KX$4,0))*1000</f>
        <v>0</v>
      </c>
      <c r="DV298" s="30">
        <f t="shared" si="1616"/>
        <v>0</v>
      </c>
    </row>
    <row r="299" spans="1:126">
      <c r="A299" s="6">
        <v>46316</v>
      </c>
      <c r="B299" s="15">
        <f>운전실적_원본!B299</f>
        <v>0</v>
      </c>
      <c r="C299" s="16" t="str">
        <f t="shared" si="1622"/>
        <v/>
      </c>
      <c r="D299" s="12">
        <f>운전실적_원본!C299</f>
        <v>0</v>
      </c>
      <c r="E299" s="12" t="str">
        <f t="shared" si="1623"/>
        <v/>
      </c>
      <c r="F299" s="12">
        <f>운전실적_원본!D299</f>
        <v>0</v>
      </c>
      <c r="G299" s="16" t="str">
        <f t="shared" si="1624"/>
        <v/>
      </c>
      <c r="H299" s="15">
        <f>운전실적_원본!E299</f>
        <v>0</v>
      </c>
      <c r="I299" s="16" t="str">
        <f t="shared" si="1625"/>
        <v/>
      </c>
      <c r="J299" s="15">
        <f>운전실적_원본!F299</f>
        <v>0</v>
      </c>
      <c r="K299" s="16" t="str">
        <f t="shared" si="1625"/>
        <v/>
      </c>
      <c r="L299" s="32">
        <f>운전실적_원본!G299</f>
        <v>0</v>
      </c>
      <c r="M299" s="31" t="str">
        <f t="shared" ref="M299" si="1642">IF(OR(LEN(L299)=0,L299=0),"",L299-L298)</f>
        <v/>
      </c>
      <c r="N299" s="15">
        <f>운전실적_원본!H299</f>
        <v>0</v>
      </c>
      <c r="O299" s="16" t="str">
        <f t="shared" ref="O299" si="1643">IF(OR(LEN(N299)=0,N299=0),"",N299-N298)</f>
        <v/>
      </c>
      <c r="P299" s="15">
        <f>운전실적_원본!I299</f>
        <v>0</v>
      </c>
      <c r="Q299" s="16" t="str">
        <f t="shared" ref="Q299" si="1644">IF(OR(LEN(P299)=0,P299=0),"",P299-P298)</f>
        <v/>
      </c>
      <c r="R299" s="18">
        <f>운전실적_원본!J299</f>
        <v>0</v>
      </c>
      <c r="S299" s="19" t="str">
        <f t="shared" ref="S299" si="1645">IF(OR(LEN(R299)=0,R299=0),"",R299-R298)</f>
        <v/>
      </c>
      <c r="T299" s="18">
        <f>운전실적_원본!K299</f>
        <v>0</v>
      </c>
      <c r="U299" s="19" t="str">
        <f t="shared" si="1630"/>
        <v/>
      </c>
      <c r="V299" s="12">
        <f>운전실적_원본!L299</f>
        <v>0</v>
      </c>
      <c r="W299" s="16" t="str">
        <f t="shared" ref="W299" si="1646">IF(OR(LEN(V299)=0,V299=0),"",V299-V298)</f>
        <v/>
      </c>
      <c r="X299" s="10">
        <f>운전실적_원본!M299</f>
        <v>0</v>
      </c>
      <c r="Y299" s="10">
        <f>운전실적_원본!N299</f>
        <v>0</v>
      </c>
      <c r="Z299" s="10">
        <f>운전실적_원본!O299</f>
        <v>0</v>
      </c>
      <c r="AA299" s="10">
        <f>운전실적_원본!P299</f>
        <v>0</v>
      </c>
      <c r="AB299" s="10">
        <f>운전실적_원본!Q299</f>
        <v>0</v>
      </c>
      <c r="AC299" s="20">
        <f>운전실적_원본!R299</f>
        <v>0</v>
      </c>
      <c r="AD299" s="109">
        <f>운전실적_원본!S299</f>
        <v>0</v>
      </c>
      <c r="AE299" s="110">
        <f>운전실적_원본!T299</f>
        <v>0</v>
      </c>
      <c r="AF299" s="110">
        <f>운전실적_원본!U299</f>
        <v>0</v>
      </c>
      <c r="AG299" s="110">
        <f>운전실적_원본!V299</f>
        <v>0</v>
      </c>
      <c r="AH299" s="109">
        <f t="shared" si="1453"/>
        <v>0</v>
      </c>
      <c r="AI299" s="110">
        <f t="shared" si="1460"/>
        <v>0</v>
      </c>
      <c r="AJ299" s="110">
        <f>운전실적_원본!Y299</f>
        <v>0</v>
      </c>
      <c r="AK299" s="110">
        <f>운전실적_원본!Z299</f>
        <v>0</v>
      </c>
      <c r="AL299" s="106"/>
      <c r="AM299" s="105"/>
      <c r="AN299" s="105"/>
      <c r="AO299" s="105"/>
      <c r="AP299" s="105"/>
      <c r="AQ299" s="108"/>
      <c r="AR299" s="105"/>
      <c r="AS299" s="105"/>
      <c r="AT299" s="102"/>
      <c r="AU299" s="102"/>
      <c r="AV299" s="102"/>
      <c r="AW299" s="102"/>
      <c r="AX299" s="32">
        <f>운전실적_원본!W299</f>
        <v>0</v>
      </c>
      <c r="AY299" s="11">
        <f>운전실적_원본!X299</f>
        <v>0</v>
      </c>
      <c r="AZ299" s="11">
        <f>운전실적_원본!Y299</f>
        <v>0</v>
      </c>
      <c r="BA299" s="11">
        <f>운전실적_원본!Z299</f>
        <v>0</v>
      </c>
      <c r="BB299" s="11">
        <f>운전실적_원본!AA299</f>
        <v>0</v>
      </c>
      <c r="BC299" s="11">
        <f>운전실적_원본!AB299</f>
        <v>0</v>
      </c>
      <c r="BD299" s="32" t="str">
        <f t="shared" si="1446"/>
        <v>-</v>
      </c>
      <c r="BE299" s="11" t="str">
        <f t="shared" si="1454"/>
        <v>-</v>
      </c>
      <c r="BF299" s="11">
        <f>운전실적_원본!AE299</f>
        <v>0</v>
      </c>
      <c r="BG299" s="31">
        <f t="shared" si="1447"/>
        <v>0</v>
      </c>
      <c r="BH299" s="241">
        <f>INDEX(연료전지_원본!$A$4:$KY$369,MATCH($A299,연료전지_원본!$A$4:$A$369,0),MATCH($BH$4,연료전지_원본!$A$4:$KY$4,0))</f>
        <v>0</v>
      </c>
      <c r="BI299" s="241">
        <f>INDEX(연료전지_원본!$A$4:$KY$369,MATCH($A299,연료전지_원본!$A$4:$A$369,0),MATCH($BI$4,연료전지_원본!$A$4:$KY$4,0))</f>
        <v>0</v>
      </c>
      <c r="BJ299" s="241">
        <f>INDEX(연료전지_원본!$A$4:$KY$369,MATCH($A299,연료전지_원본!$A$4:$A$369,0),MATCH($BJ$4,연료전지_원본!$A$4:$KY$4,0))</f>
        <v>0</v>
      </c>
      <c r="BK299" s="241">
        <f>INDEX(연료전지_원본!$A$4:$KY$369,MATCH($A299,연료전지_원본!$A$4:$A$369,0),MATCH($BK$4,연료전지_원본!$A$4:$KY$4,0))</f>
        <v>0</v>
      </c>
      <c r="BL299" s="241">
        <f>INDEX(연료전지_원본!$A$4:$KY$369,MATCH($A299,연료전지_원본!$A$4:$A$369,0),MATCH($BL$4,연료전지_원본!$A$4:$KY$4,0))</f>
        <v>0</v>
      </c>
      <c r="BM299" s="241">
        <f>INDEX(연료전지_원본!$A$4:$KY$369,MATCH($A299,연료전지_원본!$A$4:$A$369,0),MATCH($BM$4,연료전지_원본!$A$4:$KY$4,0))</f>
        <v>0</v>
      </c>
      <c r="BN299" s="241">
        <f>INDEX(연료전지_원본!$A$4:$KY$369,MATCH($A299,연료전지_원본!$A$4:$A$369,0),MATCH($BN$4,연료전지_원본!$A$4:$KY$4,0))</f>
        <v>0</v>
      </c>
      <c r="BO299" s="241">
        <f>INDEX(연료전지_원본!$A$4:$KY$369,MATCH($A299,연료전지_원본!$A$4:$A$369,0),MATCH($BO$4,연료전지_원본!$A$4:$KY$4,0))</f>
        <v>0</v>
      </c>
      <c r="BP299" s="241">
        <f>INDEX(연료전지_원본!$A$4:$KY$369,MATCH($A299,연료전지_원본!$A$4:$A$369,0),MATCH($BP$4,연료전지_원본!$A$4:$KY$4,0))</f>
        <v>0</v>
      </c>
      <c r="BQ299" s="241">
        <f>INDEX(연료전지_원본!$A$4:$KY$369,MATCH($A299,연료전지_원본!$A$4:$A$369,0),MATCH($BQ$4,연료전지_원본!$A$4:$KY$4,0))</f>
        <v>0</v>
      </c>
      <c r="BR299" s="241">
        <f>INDEX(연료전지_원본!$A$4:$KY$369,MATCH($A299,연료전지_원본!$A$4:$A$369,0),MATCH($BR$4,연료전지_원본!$A$4:$KY$4,0))</f>
        <v>0</v>
      </c>
      <c r="BS299" s="241">
        <f>INDEX(연료전지_원본!$A$4:$KY$369,MATCH($A299,연료전지_원본!$A$4:$A$369,0),MATCH($BS$4,연료전지_원본!$A$4:$KY$4,0))</f>
        <v>0</v>
      </c>
      <c r="BT299" s="241">
        <f>INDEX(연료전지_원본!$A$4:$KY$369,MATCH($A299,연료전지_원본!$A$4:$A$369,0),MATCH($BT$4,연료전지_원본!$A$4:$KY$4,0))</f>
        <v>0</v>
      </c>
      <c r="BU299" s="241">
        <f>INDEX(연료전지_원본!$A$4:$KY$369,MATCH($A299,연료전지_원본!$A$4:$A$369,0),MATCH($BU$4,연료전지_원본!$A$4:$KY$4,0))</f>
        <v>0</v>
      </c>
      <c r="BV299" s="241">
        <f>INDEX(연료전지_원본!$A$4:$KY$369,MATCH($A299,연료전지_원본!$A$4:$A$369,0),MATCH($BV$4,연료전지_원본!$A$4:$KY$4,0))</f>
        <v>0</v>
      </c>
      <c r="BW299" s="241">
        <f>INDEX(연료전지_원본!$A$4:$KY$369,MATCH($A299,연료전지_원본!$A$4:$A$369,0),MATCH($BW$4,연료전지_원본!$A$4:$KY$4,0))</f>
        <v>0</v>
      </c>
      <c r="BX299" s="241">
        <f>INDEX(연료전지_원본!$A$4:$KY$369,MATCH($A299,연료전지_원본!$A$4:$A$369,0),MATCH($BX$4,연료전지_원본!$A$4:$KY$4,0))</f>
        <v>0</v>
      </c>
      <c r="BY299" s="241">
        <f>INDEX(연료전지_원본!$A$4:$KY$369,MATCH($A299,연료전지_원본!$A$4:$A$369,0),MATCH($BY$4,연료전지_원본!$A$4:$KY$4,0))</f>
        <v>0</v>
      </c>
      <c r="BZ299" s="241">
        <f>INDEX(연료전지_원본!$A$4:$KY$369,MATCH($A299,연료전지_원본!$A$4:$A$369,0),MATCH($BZ$4,연료전지_원본!$A$4:$KY$4,0))</f>
        <v>0</v>
      </c>
      <c r="CA299" s="241">
        <f>INDEX(연료전지_원본!$A$4:$KY$369,MATCH($A299,연료전지_원본!$A$4:$A$369,0),MATCH($CA$4,연료전지_원본!$A$4:$KY$4,0))</f>
        <v>0</v>
      </c>
      <c r="CB299" s="241">
        <f>INDEX(연료전지_원본!$A$4:$KY$369,MATCH($A299,연료전지_원본!$A$4:$A$369,0),MATCH($CB$4,연료전지_원본!$A$4:$KY$4,0))</f>
        <v>0</v>
      </c>
      <c r="CC299" s="242">
        <f>INDEX(연료전지_원본!$A$4:$KY$369,MATCH($A299,연료전지_원본!$A$4:$A$369,0),MATCH($CC$4,연료전지_원본!$A$4:$KY$4,0))</f>
        <v>0</v>
      </c>
      <c r="CD299" s="250">
        <f>INDEX(연료전지_원본!$KB$4:$KX$369,MATCH($A299,연료전지_원본!$KB$4:$KB$369,0), MATCH(CD$4,연료전지_원본!$KB$4:$KX$4,0))*1000</f>
        <v>0</v>
      </c>
      <c r="CE299" s="250">
        <f>INDEX(연료전지_원본!$KB$4:$KX$369,MATCH($A299,연료전지_원본!$KB$4:$KB$369,0), MATCH(CE$4,연료전지_원본!$KB$4:$KX$4,0))*1000</f>
        <v>0</v>
      </c>
      <c r="CF299" s="250">
        <f>INDEX(연료전지_원본!$KB$4:$KX$369,MATCH($A299,연료전지_원본!$KB$4:$KB$369,0), MATCH(CF$4,연료전지_원본!$KB$4:$KX$4,0))*1000</f>
        <v>0</v>
      </c>
      <c r="CG299" s="250">
        <f>INDEX(연료전지_원본!$KB$4:$KX$369,MATCH($A299,연료전지_원본!$KB$4:$KB$369,0), MATCH(CG$4,연료전지_원본!$KB$4:$KX$4,0))*1000</f>
        <v>0</v>
      </c>
      <c r="CH299" s="250">
        <f>INDEX(연료전지_원본!$KB$4:$KX$369,MATCH($A299,연료전지_원본!$KB$4:$KB$369,0), MATCH(CH$4,연료전지_원본!$KB$4:$KX$4,0))*1000</f>
        <v>0</v>
      </c>
      <c r="CI299" s="250">
        <f>INDEX(연료전지_원본!$KB$4:$KX$369,MATCH($A299,연료전지_원본!$KB$4:$KB$369,0), MATCH(CI$4,연료전지_원본!$KB$4:$KX$4,0))*1000</f>
        <v>0</v>
      </c>
      <c r="CJ299" s="250">
        <f>INDEX(연료전지_원본!$KB$4:$KX$369,MATCH($A299,연료전지_원본!$KB$4:$KB$369,0), MATCH(CJ$4,연료전지_원본!$KB$4:$KX$4,0))*1000</f>
        <v>0</v>
      </c>
      <c r="CK299" s="250">
        <f>INDEX(연료전지_원본!$KB$4:$KX$369,MATCH($A299,연료전지_원본!$KB$4:$KB$369,0), MATCH(CK$4,연료전지_원본!$KB$4:$KX$4,0))*1000</f>
        <v>0</v>
      </c>
      <c r="CL299" s="250">
        <f>INDEX(연료전지_원본!$KB$4:$KX$369,MATCH($A299,연료전지_원본!$KB$4:$KB$369,0), MATCH(CL$4,연료전지_원본!$KB$4:$KX$4,0))*1000</f>
        <v>0</v>
      </c>
      <c r="CM299" s="250">
        <f>INDEX(연료전지_원본!$KB$4:$KX$369,MATCH($A299,연료전지_원본!$KB$4:$KB$369,0), MATCH(CM$4,연료전지_원본!$KB$4:$KX$4,0))*1000</f>
        <v>0</v>
      </c>
      <c r="CN299" s="250">
        <f>INDEX(연료전지_원본!$KB$4:$KX$369,MATCH($A299,연료전지_원본!$KB$4:$KB$369,0), MATCH(CN$4,연료전지_원본!$KB$4:$KX$4,0))*1000</f>
        <v>0</v>
      </c>
      <c r="CO299" s="250">
        <f>INDEX(연료전지_원본!$KB$4:$KX$369,MATCH($A299,연료전지_원본!$KB$4:$KB$369,0), MATCH(CO$4,연료전지_원본!$KB$4:$KX$4,0))*1000</f>
        <v>0</v>
      </c>
      <c r="CP299" s="250">
        <f>INDEX(연료전지_원본!$KB$4:$KX$369,MATCH($A299,연료전지_원본!$KB$4:$KB$369,0), MATCH(CP$4,연료전지_원본!$KB$4:$KX$4,0))*1000</f>
        <v>0</v>
      </c>
      <c r="CQ299" s="250">
        <f>INDEX(연료전지_원본!$KB$4:$KX$369,MATCH($A299,연료전지_원본!$KB$4:$KB$369,0), MATCH(CQ$4,연료전지_원본!$KB$4:$KX$4,0))*1000</f>
        <v>0</v>
      </c>
      <c r="CR299" s="250">
        <f>INDEX(연료전지_원본!$KB$4:$KX$369,MATCH($A299,연료전지_원본!$KB$4:$KB$369,0), MATCH(CR$4,연료전지_원본!$KB$4:$KX$4,0))*1000</f>
        <v>0</v>
      </c>
      <c r="CS299" s="250">
        <f>INDEX(연료전지_원본!$KB$4:$KX$369,MATCH($A299,연료전지_원본!$KB$4:$KB$369,0), MATCH(CS$4,연료전지_원본!$KB$4:$KX$4,0))*1000</f>
        <v>0</v>
      </c>
      <c r="CT299" s="250">
        <f>INDEX(연료전지_원본!$KB$4:$KX$369,MATCH($A299,연료전지_원본!$KB$4:$KB$369,0), MATCH(CT$4,연료전지_원본!$KB$4:$KX$4,0))*1000</f>
        <v>0</v>
      </c>
      <c r="CU299" s="250">
        <f>INDEX(연료전지_원본!$KB$4:$KX$369,MATCH($A299,연료전지_원본!$KB$4:$KB$369,0), MATCH(CU$4,연료전지_원본!$KB$4:$KX$4,0))*1000</f>
        <v>0</v>
      </c>
      <c r="CV299" s="250">
        <f>INDEX(연료전지_원본!$KB$4:$KX$369,MATCH($A299,연료전지_원본!$KB$4:$KB$369,0), MATCH(CV$4,연료전지_원본!$KB$4:$KX$4,0))*1000</f>
        <v>0</v>
      </c>
      <c r="CW299" s="250">
        <f>INDEX(연료전지_원본!$KB$4:$KX$369,MATCH($A299,연료전지_원본!$KB$4:$KB$369,0), MATCH(CW$4,연료전지_원본!$KB$4:$KX$4,0))*1000</f>
        <v>0</v>
      </c>
      <c r="CX299" s="250">
        <f>INDEX(연료전지_원본!$KB$4:$KX$369,MATCH($A299,연료전지_원본!$KB$4:$KB$369,0), MATCH(CX$4,연료전지_원본!$KB$4:$KX$4,0))*1000</f>
        <v>0</v>
      </c>
      <c r="CY299" s="250">
        <f>INDEX(연료전지_원본!$KB$4:$KX$369,MATCH($A299,연료전지_원본!$KB$4:$KB$369,0), MATCH(CY$4,연료전지_원본!$KB$4:$KX$4,0))*1000</f>
        <v>0</v>
      </c>
      <c r="DV299" s="30">
        <f t="shared" si="1616"/>
        <v>0</v>
      </c>
    </row>
    <row r="300" spans="1:126">
      <c r="A300" s="6">
        <v>46317</v>
      </c>
      <c r="B300" s="15">
        <f>운전실적_원본!B300</f>
        <v>0</v>
      </c>
      <c r="C300" s="16" t="str">
        <f t="shared" si="1622"/>
        <v/>
      </c>
      <c r="D300" s="12">
        <f>운전실적_원본!C300</f>
        <v>0</v>
      </c>
      <c r="E300" s="12" t="str">
        <f t="shared" si="1623"/>
        <v/>
      </c>
      <c r="F300" s="12">
        <f>운전실적_원본!D300</f>
        <v>0</v>
      </c>
      <c r="G300" s="16" t="str">
        <f t="shared" si="1624"/>
        <v/>
      </c>
      <c r="H300" s="15">
        <f>운전실적_원본!E300</f>
        <v>0</v>
      </c>
      <c r="I300" s="16" t="str">
        <f t="shared" si="1625"/>
        <v/>
      </c>
      <c r="J300" s="15">
        <f>운전실적_원본!F300</f>
        <v>0</v>
      </c>
      <c r="K300" s="16" t="str">
        <f t="shared" si="1625"/>
        <v/>
      </c>
      <c r="L300" s="32">
        <f>운전실적_원본!G300</f>
        <v>0</v>
      </c>
      <c r="M300" s="31" t="str">
        <f t="shared" ref="M300" si="1647">IF(OR(LEN(L300)=0,L300=0),"",L300-L299)</f>
        <v/>
      </c>
      <c r="N300" s="15">
        <f>운전실적_원본!H300</f>
        <v>0</v>
      </c>
      <c r="O300" s="16" t="str">
        <f t="shared" ref="O300" si="1648">IF(OR(LEN(N300)=0,N300=0),"",N300-N299)</f>
        <v/>
      </c>
      <c r="P300" s="15">
        <f>운전실적_원본!I300</f>
        <v>0</v>
      </c>
      <c r="Q300" s="16" t="str">
        <f t="shared" ref="Q300" si="1649">IF(OR(LEN(P300)=0,P300=0),"",P300-P299)</f>
        <v/>
      </c>
      <c r="R300" s="18">
        <f>운전실적_원본!J300</f>
        <v>0</v>
      </c>
      <c r="S300" s="19" t="str">
        <f t="shared" ref="S300" si="1650">IF(OR(LEN(R300)=0,R300=0),"",R300-R299)</f>
        <v/>
      </c>
      <c r="T300" s="18">
        <f>운전실적_원본!K300</f>
        <v>0</v>
      </c>
      <c r="U300" s="19" t="str">
        <f t="shared" si="1630"/>
        <v/>
      </c>
      <c r="V300" s="12">
        <f>운전실적_원본!L300</f>
        <v>0</v>
      </c>
      <c r="W300" s="16" t="str">
        <f t="shared" ref="W300" si="1651">IF(OR(LEN(V300)=0,V300=0),"",V300-V299)</f>
        <v/>
      </c>
      <c r="X300" s="10">
        <f>운전실적_원본!M300</f>
        <v>0</v>
      </c>
      <c r="Y300" s="10">
        <f>운전실적_원본!N300</f>
        <v>0</v>
      </c>
      <c r="Z300" s="10">
        <f>운전실적_원본!O300</f>
        <v>0</v>
      </c>
      <c r="AA300" s="10">
        <f>운전실적_원본!P300</f>
        <v>0</v>
      </c>
      <c r="AB300" s="10">
        <f>운전실적_원본!Q300</f>
        <v>0</v>
      </c>
      <c r="AC300" s="20">
        <f>운전실적_원본!R300</f>
        <v>0</v>
      </c>
      <c r="AD300" s="109">
        <f>운전실적_원본!S300</f>
        <v>0</v>
      </c>
      <c r="AE300" s="110">
        <f>운전실적_원본!T300</f>
        <v>0</v>
      </c>
      <c r="AF300" s="110">
        <f>운전실적_원본!U300</f>
        <v>0</v>
      </c>
      <c r="AG300" s="110">
        <f>운전실적_원본!V300</f>
        <v>0</v>
      </c>
      <c r="AH300" s="109">
        <f t="shared" si="1453"/>
        <v>0</v>
      </c>
      <c r="AI300" s="110">
        <f t="shared" si="1460"/>
        <v>0</v>
      </c>
      <c r="AJ300" s="110">
        <f>운전실적_원본!Y300</f>
        <v>0</v>
      </c>
      <c r="AK300" s="110">
        <f>운전실적_원본!Z300</f>
        <v>0</v>
      </c>
      <c r="AL300" s="106"/>
      <c r="AM300" s="105"/>
      <c r="AN300" s="105"/>
      <c r="AO300" s="105"/>
      <c r="AP300" s="105"/>
      <c r="AQ300" s="108"/>
      <c r="AR300" s="105"/>
      <c r="AS300" s="105"/>
      <c r="AT300" s="102"/>
      <c r="AU300" s="102"/>
      <c r="AV300" s="102"/>
      <c r="AW300" s="102"/>
      <c r="AX300" s="32">
        <f>운전실적_원본!W300</f>
        <v>0</v>
      </c>
      <c r="AY300" s="11">
        <f>운전실적_원본!X300</f>
        <v>0</v>
      </c>
      <c r="AZ300" s="11">
        <f>운전실적_원본!Y300</f>
        <v>0</v>
      </c>
      <c r="BA300" s="11">
        <f>운전실적_원본!Z300</f>
        <v>0</v>
      </c>
      <c r="BB300" s="11">
        <f>운전실적_원본!AA300</f>
        <v>0</v>
      </c>
      <c r="BC300" s="11">
        <f>운전실적_원본!AB300</f>
        <v>0</v>
      </c>
      <c r="BD300" s="32" t="str">
        <f t="shared" si="1446"/>
        <v>-</v>
      </c>
      <c r="BE300" s="11" t="str">
        <f t="shared" si="1454"/>
        <v>-</v>
      </c>
      <c r="BF300" s="11">
        <f>운전실적_원본!AE300</f>
        <v>0</v>
      </c>
      <c r="BG300" s="31">
        <f t="shared" si="1447"/>
        <v>0</v>
      </c>
      <c r="BH300" s="241">
        <f>INDEX(연료전지_원본!$A$4:$KY$369,MATCH($A300,연료전지_원본!$A$4:$A$369,0),MATCH($BH$4,연료전지_원본!$A$4:$KY$4,0))</f>
        <v>0</v>
      </c>
      <c r="BI300" s="241">
        <f>INDEX(연료전지_원본!$A$4:$KY$369,MATCH($A300,연료전지_원본!$A$4:$A$369,0),MATCH($BI$4,연료전지_원본!$A$4:$KY$4,0))</f>
        <v>0</v>
      </c>
      <c r="BJ300" s="241">
        <f>INDEX(연료전지_원본!$A$4:$KY$369,MATCH($A300,연료전지_원본!$A$4:$A$369,0),MATCH($BJ$4,연료전지_원본!$A$4:$KY$4,0))</f>
        <v>0</v>
      </c>
      <c r="BK300" s="241">
        <f>INDEX(연료전지_원본!$A$4:$KY$369,MATCH($A300,연료전지_원본!$A$4:$A$369,0),MATCH($BK$4,연료전지_원본!$A$4:$KY$4,0))</f>
        <v>0</v>
      </c>
      <c r="BL300" s="241">
        <f>INDEX(연료전지_원본!$A$4:$KY$369,MATCH($A300,연료전지_원본!$A$4:$A$369,0),MATCH($BL$4,연료전지_원본!$A$4:$KY$4,0))</f>
        <v>0</v>
      </c>
      <c r="BM300" s="241">
        <f>INDEX(연료전지_원본!$A$4:$KY$369,MATCH($A300,연료전지_원본!$A$4:$A$369,0),MATCH($BM$4,연료전지_원본!$A$4:$KY$4,0))</f>
        <v>0</v>
      </c>
      <c r="BN300" s="241">
        <f>INDEX(연료전지_원본!$A$4:$KY$369,MATCH($A300,연료전지_원본!$A$4:$A$369,0),MATCH($BN$4,연료전지_원본!$A$4:$KY$4,0))</f>
        <v>0</v>
      </c>
      <c r="BO300" s="241">
        <f>INDEX(연료전지_원본!$A$4:$KY$369,MATCH($A300,연료전지_원본!$A$4:$A$369,0),MATCH($BO$4,연료전지_원본!$A$4:$KY$4,0))</f>
        <v>0</v>
      </c>
      <c r="BP300" s="241">
        <f>INDEX(연료전지_원본!$A$4:$KY$369,MATCH($A300,연료전지_원본!$A$4:$A$369,0),MATCH($BP$4,연료전지_원본!$A$4:$KY$4,0))</f>
        <v>0</v>
      </c>
      <c r="BQ300" s="241">
        <f>INDEX(연료전지_원본!$A$4:$KY$369,MATCH($A300,연료전지_원본!$A$4:$A$369,0),MATCH($BQ$4,연료전지_원본!$A$4:$KY$4,0))</f>
        <v>0</v>
      </c>
      <c r="BR300" s="241">
        <f>INDEX(연료전지_원본!$A$4:$KY$369,MATCH($A300,연료전지_원본!$A$4:$A$369,0),MATCH($BR$4,연료전지_원본!$A$4:$KY$4,0))</f>
        <v>0</v>
      </c>
      <c r="BS300" s="241">
        <f>INDEX(연료전지_원본!$A$4:$KY$369,MATCH($A300,연료전지_원본!$A$4:$A$369,0),MATCH($BS$4,연료전지_원본!$A$4:$KY$4,0))</f>
        <v>0</v>
      </c>
      <c r="BT300" s="241">
        <f>INDEX(연료전지_원본!$A$4:$KY$369,MATCH($A300,연료전지_원본!$A$4:$A$369,0),MATCH($BT$4,연료전지_원본!$A$4:$KY$4,0))</f>
        <v>0</v>
      </c>
      <c r="BU300" s="241">
        <f>INDEX(연료전지_원본!$A$4:$KY$369,MATCH($A300,연료전지_원본!$A$4:$A$369,0),MATCH($BU$4,연료전지_원본!$A$4:$KY$4,0))</f>
        <v>0</v>
      </c>
      <c r="BV300" s="241">
        <f>INDEX(연료전지_원본!$A$4:$KY$369,MATCH($A300,연료전지_원본!$A$4:$A$369,0),MATCH($BV$4,연료전지_원본!$A$4:$KY$4,0))</f>
        <v>0</v>
      </c>
      <c r="BW300" s="241">
        <f>INDEX(연료전지_원본!$A$4:$KY$369,MATCH($A300,연료전지_원본!$A$4:$A$369,0),MATCH($BW$4,연료전지_원본!$A$4:$KY$4,0))</f>
        <v>0</v>
      </c>
      <c r="BX300" s="241">
        <f>INDEX(연료전지_원본!$A$4:$KY$369,MATCH($A300,연료전지_원본!$A$4:$A$369,0),MATCH($BX$4,연료전지_원본!$A$4:$KY$4,0))</f>
        <v>0</v>
      </c>
      <c r="BY300" s="241">
        <f>INDEX(연료전지_원본!$A$4:$KY$369,MATCH($A300,연료전지_원본!$A$4:$A$369,0),MATCH($BY$4,연료전지_원본!$A$4:$KY$4,0))</f>
        <v>0</v>
      </c>
      <c r="BZ300" s="241">
        <f>INDEX(연료전지_원본!$A$4:$KY$369,MATCH($A300,연료전지_원본!$A$4:$A$369,0),MATCH($BZ$4,연료전지_원본!$A$4:$KY$4,0))</f>
        <v>0</v>
      </c>
      <c r="CA300" s="241">
        <f>INDEX(연료전지_원본!$A$4:$KY$369,MATCH($A300,연료전지_원본!$A$4:$A$369,0),MATCH($CA$4,연료전지_원본!$A$4:$KY$4,0))</f>
        <v>0</v>
      </c>
      <c r="CB300" s="241">
        <f>INDEX(연료전지_원본!$A$4:$KY$369,MATCH($A300,연료전지_원본!$A$4:$A$369,0),MATCH($CB$4,연료전지_원본!$A$4:$KY$4,0))</f>
        <v>0</v>
      </c>
      <c r="CC300" s="242">
        <f>INDEX(연료전지_원본!$A$4:$KY$369,MATCH($A300,연료전지_원본!$A$4:$A$369,0),MATCH($CC$4,연료전지_원본!$A$4:$KY$4,0))</f>
        <v>0</v>
      </c>
      <c r="CD300" s="250">
        <f>INDEX(연료전지_원본!$KB$4:$KX$369,MATCH($A300,연료전지_원본!$KB$4:$KB$369,0), MATCH(CD$4,연료전지_원본!$KB$4:$KX$4,0))*1000</f>
        <v>0</v>
      </c>
      <c r="CE300" s="250">
        <f>INDEX(연료전지_원본!$KB$4:$KX$369,MATCH($A300,연료전지_원본!$KB$4:$KB$369,0), MATCH(CE$4,연료전지_원본!$KB$4:$KX$4,0))*1000</f>
        <v>0</v>
      </c>
      <c r="CF300" s="250">
        <f>INDEX(연료전지_원본!$KB$4:$KX$369,MATCH($A300,연료전지_원본!$KB$4:$KB$369,0), MATCH(CF$4,연료전지_원본!$KB$4:$KX$4,0))*1000</f>
        <v>0</v>
      </c>
      <c r="CG300" s="250">
        <f>INDEX(연료전지_원본!$KB$4:$KX$369,MATCH($A300,연료전지_원본!$KB$4:$KB$369,0), MATCH(CG$4,연료전지_원본!$KB$4:$KX$4,0))*1000</f>
        <v>0</v>
      </c>
      <c r="CH300" s="250">
        <f>INDEX(연료전지_원본!$KB$4:$KX$369,MATCH($A300,연료전지_원본!$KB$4:$KB$369,0), MATCH(CH$4,연료전지_원본!$KB$4:$KX$4,0))*1000</f>
        <v>0</v>
      </c>
      <c r="CI300" s="250">
        <f>INDEX(연료전지_원본!$KB$4:$KX$369,MATCH($A300,연료전지_원본!$KB$4:$KB$369,0), MATCH(CI$4,연료전지_원본!$KB$4:$KX$4,0))*1000</f>
        <v>0</v>
      </c>
      <c r="CJ300" s="250">
        <f>INDEX(연료전지_원본!$KB$4:$KX$369,MATCH($A300,연료전지_원본!$KB$4:$KB$369,0), MATCH(CJ$4,연료전지_원본!$KB$4:$KX$4,0))*1000</f>
        <v>0</v>
      </c>
      <c r="CK300" s="250">
        <f>INDEX(연료전지_원본!$KB$4:$KX$369,MATCH($A300,연료전지_원본!$KB$4:$KB$369,0), MATCH(CK$4,연료전지_원본!$KB$4:$KX$4,0))*1000</f>
        <v>0</v>
      </c>
      <c r="CL300" s="250">
        <f>INDEX(연료전지_원본!$KB$4:$KX$369,MATCH($A300,연료전지_원본!$KB$4:$KB$369,0), MATCH(CL$4,연료전지_원본!$KB$4:$KX$4,0))*1000</f>
        <v>0</v>
      </c>
      <c r="CM300" s="250">
        <f>INDEX(연료전지_원본!$KB$4:$KX$369,MATCH($A300,연료전지_원본!$KB$4:$KB$369,0), MATCH(CM$4,연료전지_원본!$KB$4:$KX$4,0))*1000</f>
        <v>0</v>
      </c>
      <c r="CN300" s="250">
        <f>INDEX(연료전지_원본!$KB$4:$KX$369,MATCH($A300,연료전지_원본!$KB$4:$KB$369,0), MATCH(CN$4,연료전지_원본!$KB$4:$KX$4,0))*1000</f>
        <v>0</v>
      </c>
      <c r="CO300" s="250">
        <f>INDEX(연료전지_원본!$KB$4:$KX$369,MATCH($A300,연료전지_원본!$KB$4:$KB$369,0), MATCH(CO$4,연료전지_원본!$KB$4:$KX$4,0))*1000</f>
        <v>0</v>
      </c>
      <c r="CP300" s="250">
        <f>INDEX(연료전지_원본!$KB$4:$KX$369,MATCH($A300,연료전지_원본!$KB$4:$KB$369,0), MATCH(CP$4,연료전지_원본!$KB$4:$KX$4,0))*1000</f>
        <v>0</v>
      </c>
      <c r="CQ300" s="250">
        <f>INDEX(연료전지_원본!$KB$4:$KX$369,MATCH($A300,연료전지_원본!$KB$4:$KB$369,0), MATCH(CQ$4,연료전지_원본!$KB$4:$KX$4,0))*1000</f>
        <v>0</v>
      </c>
      <c r="CR300" s="250">
        <f>INDEX(연료전지_원본!$KB$4:$KX$369,MATCH($A300,연료전지_원본!$KB$4:$KB$369,0), MATCH(CR$4,연료전지_원본!$KB$4:$KX$4,0))*1000</f>
        <v>0</v>
      </c>
      <c r="CS300" s="250">
        <f>INDEX(연료전지_원본!$KB$4:$KX$369,MATCH($A300,연료전지_원본!$KB$4:$KB$369,0), MATCH(CS$4,연료전지_원본!$KB$4:$KX$4,0))*1000</f>
        <v>0</v>
      </c>
      <c r="CT300" s="250">
        <f>INDEX(연료전지_원본!$KB$4:$KX$369,MATCH($A300,연료전지_원본!$KB$4:$KB$369,0), MATCH(CT$4,연료전지_원본!$KB$4:$KX$4,0))*1000</f>
        <v>0</v>
      </c>
      <c r="CU300" s="250">
        <f>INDEX(연료전지_원본!$KB$4:$KX$369,MATCH($A300,연료전지_원본!$KB$4:$KB$369,0), MATCH(CU$4,연료전지_원본!$KB$4:$KX$4,0))*1000</f>
        <v>0</v>
      </c>
      <c r="CV300" s="250">
        <f>INDEX(연료전지_원본!$KB$4:$KX$369,MATCH($A300,연료전지_원본!$KB$4:$KB$369,0), MATCH(CV$4,연료전지_원본!$KB$4:$KX$4,0))*1000</f>
        <v>0</v>
      </c>
      <c r="CW300" s="250">
        <f>INDEX(연료전지_원본!$KB$4:$KX$369,MATCH($A300,연료전지_원본!$KB$4:$KB$369,0), MATCH(CW$4,연료전지_원본!$KB$4:$KX$4,0))*1000</f>
        <v>0</v>
      </c>
      <c r="CX300" s="250">
        <f>INDEX(연료전지_원본!$KB$4:$KX$369,MATCH($A300,연료전지_원본!$KB$4:$KB$369,0), MATCH(CX$4,연료전지_원본!$KB$4:$KX$4,0))*1000</f>
        <v>0</v>
      </c>
      <c r="CY300" s="250">
        <f>INDEX(연료전지_원본!$KB$4:$KX$369,MATCH($A300,연료전지_원본!$KB$4:$KB$369,0), MATCH(CY$4,연료전지_원본!$KB$4:$KX$4,0))*1000</f>
        <v>0</v>
      </c>
      <c r="DV300" s="30">
        <f t="shared" si="1616"/>
        <v>0</v>
      </c>
    </row>
    <row r="301" spans="1:126">
      <c r="A301" s="6">
        <v>46318</v>
      </c>
      <c r="B301" s="15">
        <f>운전실적_원본!B301</f>
        <v>0</v>
      </c>
      <c r="C301" s="16" t="str">
        <f t="shared" si="1622"/>
        <v/>
      </c>
      <c r="D301" s="12">
        <f>운전실적_원본!C301</f>
        <v>0</v>
      </c>
      <c r="E301" s="12" t="str">
        <f t="shared" si="1623"/>
        <v/>
      </c>
      <c r="F301" s="12">
        <f>운전실적_원본!D301</f>
        <v>0</v>
      </c>
      <c r="G301" s="16" t="str">
        <f t="shared" si="1624"/>
        <v/>
      </c>
      <c r="H301" s="15">
        <f>운전실적_원본!E301</f>
        <v>0</v>
      </c>
      <c r="I301" s="16" t="str">
        <f t="shared" si="1625"/>
        <v/>
      </c>
      <c r="J301" s="15">
        <f>운전실적_원본!F301</f>
        <v>0</v>
      </c>
      <c r="K301" s="16" t="str">
        <f t="shared" si="1625"/>
        <v/>
      </c>
      <c r="L301" s="32">
        <f>운전실적_원본!G301</f>
        <v>0</v>
      </c>
      <c r="M301" s="31" t="str">
        <f t="shared" ref="M301" si="1652">IF(OR(LEN(L301)=0,L301=0),"",L301-L300)</f>
        <v/>
      </c>
      <c r="N301" s="15">
        <f>운전실적_원본!H301</f>
        <v>0</v>
      </c>
      <c r="O301" s="16" t="str">
        <f t="shared" ref="O301" si="1653">IF(OR(LEN(N301)=0,N301=0),"",N301-N300)</f>
        <v/>
      </c>
      <c r="P301" s="15">
        <f>운전실적_원본!I301</f>
        <v>0</v>
      </c>
      <c r="Q301" s="16" t="str">
        <f t="shared" ref="Q301" si="1654">IF(OR(LEN(P301)=0,P301=0),"",P301-P300)</f>
        <v/>
      </c>
      <c r="R301" s="18">
        <f>운전실적_원본!J301</f>
        <v>0</v>
      </c>
      <c r="S301" s="19" t="str">
        <f t="shared" ref="S301" si="1655">IF(OR(LEN(R301)=0,R301=0),"",R301-R300)</f>
        <v/>
      </c>
      <c r="T301" s="18">
        <f>운전실적_원본!K301</f>
        <v>0</v>
      </c>
      <c r="U301" s="19" t="str">
        <f t="shared" si="1630"/>
        <v/>
      </c>
      <c r="V301" s="12">
        <f>운전실적_원본!L301</f>
        <v>0</v>
      </c>
      <c r="W301" s="16" t="str">
        <f t="shared" ref="W301" si="1656">IF(OR(LEN(V301)=0,V301=0),"",V301-V300)</f>
        <v/>
      </c>
      <c r="X301" s="10">
        <f>운전실적_원본!M301</f>
        <v>0</v>
      </c>
      <c r="Y301" s="10">
        <f>운전실적_원본!N301</f>
        <v>0</v>
      </c>
      <c r="Z301" s="10">
        <f>운전실적_원본!O301</f>
        <v>0</v>
      </c>
      <c r="AA301" s="10">
        <f>운전실적_원본!P301</f>
        <v>0</v>
      </c>
      <c r="AB301" s="10">
        <f>운전실적_원본!Q301</f>
        <v>0</v>
      </c>
      <c r="AC301" s="20">
        <f>운전실적_원본!R301</f>
        <v>0</v>
      </c>
      <c r="AD301" s="109">
        <f>운전실적_원본!S301</f>
        <v>0</v>
      </c>
      <c r="AE301" s="110">
        <f>운전실적_원본!T301</f>
        <v>0</v>
      </c>
      <c r="AF301" s="110">
        <f>운전실적_원본!U301</f>
        <v>0</v>
      </c>
      <c r="AG301" s="110">
        <f>운전실적_원본!V301</f>
        <v>0</v>
      </c>
      <c r="AH301" s="109">
        <f t="shared" si="1453"/>
        <v>0</v>
      </c>
      <c r="AI301" s="110">
        <f t="shared" si="1460"/>
        <v>0</v>
      </c>
      <c r="AJ301" s="110">
        <f>운전실적_원본!Y301</f>
        <v>0</v>
      </c>
      <c r="AK301" s="110">
        <f>운전실적_원본!Z301</f>
        <v>0</v>
      </c>
      <c r="AL301" s="106"/>
      <c r="AM301" s="105"/>
      <c r="AN301" s="105"/>
      <c r="AO301" s="105"/>
      <c r="AP301" s="105"/>
      <c r="AQ301" s="108"/>
      <c r="AR301" s="105"/>
      <c r="AS301" s="105"/>
      <c r="AT301" s="102"/>
      <c r="AU301" s="102"/>
      <c r="AV301" s="102"/>
      <c r="AW301" s="102"/>
      <c r="AX301" s="32">
        <f>운전실적_원본!W301</f>
        <v>0</v>
      </c>
      <c r="AY301" s="11">
        <f>운전실적_원본!X301</f>
        <v>0</v>
      </c>
      <c r="AZ301" s="11">
        <f>운전실적_원본!Y301</f>
        <v>0</v>
      </c>
      <c r="BA301" s="11">
        <f>운전실적_원본!Z301</f>
        <v>0</v>
      </c>
      <c r="BB301" s="11">
        <f>운전실적_원본!AA301</f>
        <v>0</v>
      </c>
      <c r="BC301" s="11">
        <f>운전실적_원본!AB301</f>
        <v>0</v>
      </c>
      <c r="BD301" s="32" t="str">
        <f t="shared" si="1446"/>
        <v>-</v>
      </c>
      <c r="BE301" s="11" t="str">
        <f t="shared" si="1454"/>
        <v>-</v>
      </c>
      <c r="BF301" s="11">
        <f>운전실적_원본!AE301</f>
        <v>0</v>
      </c>
      <c r="BG301" s="31">
        <f t="shared" si="1447"/>
        <v>0</v>
      </c>
      <c r="BH301" s="241">
        <f>INDEX(연료전지_원본!$A$4:$KY$369,MATCH($A301,연료전지_원본!$A$4:$A$369,0),MATCH($BH$4,연료전지_원본!$A$4:$KY$4,0))</f>
        <v>0</v>
      </c>
      <c r="BI301" s="241">
        <f>INDEX(연료전지_원본!$A$4:$KY$369,MATCH($A301,연료전지_원본!$A$4:$A$369,0),MATCH($BI$4,연료전지_원본!$A$4:$KY$4,0))</f>
        <v>0</v>
      </c>
      <c r="BJ301" s="241">
        <f>INDEX(연료전지_원본!$A$4:$KY$369,MATCH($A301,연료전지_원본!$A$4:$A$369,0),MATCH($BJ$4,연료전지_원본!$A$4:$KY$4,0))</f>
        <v>0</v>
      </c>
      <c r="BK301" s="241">
        <f>INDEX(연료전지_원본!$A$4:$KY$369,MATCH($A301,연료전지_원본!$A$4:$A$369,0),MATCH($BK$4,연료전지_원본!$A$4:$KY$4,0))</f>
        <v>0</v>
      </c>
      <c r="BL301" s="241">
        <f>INDEX(연료전지_원본!$A$4:$KY$369,MATCH($A301,연료전지_원본!$A$4:$A$369,0),MATCH($BL$4,연료전지_원본!$A$4:$KY$4,0))</f>
        <v>0</v>
      </c>
      <c r="BM301" s="241">
        <f>INDEX(연료전지_원본!$A$4:$KY$369,MATCH($A301,연료전지_원본!$A$4:$A$369,0),MATCH($BM$4,연료전지_원본!$A$4:$KY$4,0))</f>
        <v>0</v>
      </c>
      <c r="BN301" s="241">
        <f>INDEX(연료전지_원본!$A$4:$KY$369,MATCH($A301,연료전지_원본!$A$4:$A$369,0),MATCH($BN$4,연료전지_원본!$A$4:$KY$4,0))</f>
        <v>0</v>
      </c>
      <c r="BO301" s="241">
        <f>INDEX(연료전지_원본!$A$4:$KY$369,MATCH($A301,연료전지_원본!$A$4:$A$369,0),MATCH($BO$4,연료전지_원본!$A$4:$KY$4,0))</f>
        <v>0</v>
      </c>
      <c r="BP301" s="241">
        <f>INDEX(연료전지_원본!$A$4:$KY$369,MATCH($A301,연료전지_원본!$A$4:$A$369,0),MATCH($BP$4,연료전지_원본!$A$4:$KY$4,0))</f>
        <v>0</v>
      </c>
      <c r="BQ301" s="241">
        <f>INDEX(연료전지_원본!$A$4:$KY$369,MATCH($A301,연료전지_원본!$A$4:$A$369,0),MATCH($BQ$4,연료전지_원본!$A$4:$KY$4,0))</f>
        <v>0</v>
      </c>
      <c r="BR301" s="241">
        <f>INDEX(연료전지_원본!$A$4:$KY$369,MATCH($A301,연료전지_원본!$A$4:$A$369,0),MATCH($BR$4,연료전지_원본!$A$4:$KY$4,0))</f>
        <v>0</v>
      </c>
      <c r="BS301" s="241">
        <f>INDEX(연료전지_원본!$A$4:$KY$369,MATCH($A301,연료전지_원본!$A$4:$A$369,0),MATCH($BS$4,연료전지_원본!$A$4:$KY$4,0))</f>
        <v>0</v>
      </c>
      <c r="BT301" s="241">
        <f>INDEX(연료전지_원본!$A$4:$KY$369,MATCH($A301,연료전지_원본!$A$4:$A$369,0),MATCH($BT$4,연료전지_원본!$A$4:$KY$4,0))</f>
        <v>0</v>
      </c>
      <c r="BU301" s="241">
        <f>INDEX(연료전지_원본!$A$4:$KY$369,MATCH($A301,연료전지_원본!$A$4:$A$369,0),MATCH($BU$4,연료전지_원본!$A$4:$KY$4,0))</f>
        <v>0</v>
      </c>
      <c r="BV301" s="241">
        <f>INDEX(연료전지_원본!$A$4:$KY$369,MATCH($A301,연료전지_원본!$A$4:$A$369,0),MATCH($BV$4,연료전지_원본!$A$4:$KY$4,0))</f>
        <v>0</v>
      </c>
      <c r="BW301" s="241">
        <f>INDEX(연료전지_원본!$A$4:$KY$369,MATCH($A301,연료전지_원본!$A$4:$A$369,0),MATCH($BW$4,연료전지_원본!$A$4:$KY$4,0))</f>
        <v>0</v>
      </c>
      <c r="BX301" s="241">
        <f>INDEX(연료전지_원본!$A$4:$KY$369,MATCH($A301,연료전지_원본!$A$4:$A$369,0),MATCH($BX$4,연료전지_원본!$A$4:$KY$4,0))</f>
        <v>0</v>
      </c>
      <c r="BY301" s="241">
        <f>INDEX(연료전지_원본!$A$4:$KY$369,MATCH($A301,연료전지_원본!$A$4:$A$369,0),MATCH($BY$4,연료전지_원본!$A$4:$KY$4,0))</f>
        <v>0</v>
      </c>
      <c r="BZ301" s="241">
        <f>INDEX(연료전지_원본!$A$4:$KY$369,MATCH($A301,연료전지_원본!$A$4:$A$369,0),MATCH($BZ$4,연료전지_원본!$A$4:$KY$4,0))</f>
        <v>0</v>
      </c>
      <c r="CA301" s="241">
        <f>INDEX(연료전지_원본!$A$4:$KY$369,MATCH($A301,연료전지_원본!$A$4:$A$369,0),MATCH($CA$4,연료전지_원본!$A$4:$KY$4,0))</f>
        <v>0</v>
      </c>
      <c r="CB301" s="241">
        <f>INDEX(연료전지_원본!$A$4:$KY$369,MATCH($A301,연료전지_원본!$A$4:$A$369,0),MATCH($CB$4,연료전지_원본!$A$4:$KY$4,0))</f>
        <v>0</v>
      </c>
      <c r="CC301" s="242">
        <f>INDEX(연료전지_원본!$A$4:$KY$369,MATCH($A301,연료전지_원본!$A$4:$A$369,0),MATCH($CC$4,연료전지_원본!$A$4:$KY$4,0))</f>
        <v>0</v>
      </c>
      <c r="CD301" s="250">
        <f>INDEX(연료전지_원본!$KB$4:$KX$369,MATCH($A301,연료전지_원본!$KB$4:$KB$369,0), MATCH(CD$4,연료전지_원본!$KB$4:$KX$4,0))*1000</f>
        <v>0</v>
      </c>
      <c r="CE301" s="250">
        <f>INDEX(연료전지_원본!$KB$4:$KX$369,MATCH($A301,연료전지_원본!$KB$4:$KB$369,0), MATCH(CE$4,연료전지_원본!$KB$4:$KX$4,0))*1000</f>
        <v>0</v>
      </c>
      <c r="CF301" s="250">
        <f>INDEX(연료전지_원본!$KB$4:$KX$369,MATCH($A301,연료전지_원본!$KB$4:$KB$369,0), MATCH(CF$4,연료전지_원본!$KB$4:$KX$4,0))*1000</f>
        <v>0</v>
      </c>
      <c r="CG301" s="250">
        <f>INDEX(연료전지_원본!$KB$4:$KX$369,MATCH($A301,연료전지_원본!$KB$4:$KB$369,0), MATCH(CG$4,연료전지_원본!$KB$4:$KX$4,0))*1000</f>
        <v>0</v>
      </c>
      <c r="CH301" s="250">
        <f>INDEX(연료전지_원본!$KB$4:$KX$369,MATCH($A301,연료전지_원본!$KB$4:$KB$369,0), MATCH(CH$4,연료전지_원본!$KB$4:$KX$4,0))*1000</f>
        <v>0</v>
      </c>
      <c r="CI301" s="250">
        <f>INDEX(연료전지_원본!$KB$4:$KX$369,MATCH($A301,연료전지_원본!$KB$4:$KB$369,0), MATCH(CI$4,연료전지_원본!$KB$4:$KX$4,0))*1000</f>
        <v>0</v>
      </c>
      <c r="CJ301" s="250">
        <f>INDEX(연료전지_원본!$KB$4:$KX$369,MATCH($A301,연료전지_원본!$KB$4:$KB$369,0), MATCH(CJ$4,연료전지_원본!$KB$4:$KX$4,0))*1000</f>
        <v>0</v>
      </c>
      <c r="CK301" s="250">
        <f>INDEX(연료전지_원본!$KB$4:$KX$369,MATCH($A301,연료전지_원본!$KB$4:$KB$369,0), MATCH(CK$4,연료전지_원본!$KB$4:$KX$4,0))*1000</f>
        <v>0</v>
      </c>
      <c r="CL301" s="250">
        <f>INDEX(연료전지_원본!$KB$4:$KX$369,MATCH($A301,연료전지_원본!$KB$4:$KB$369,0), MATCH(CL$4,연료전지_원본!$KB$4:$KX$4,0))*1000</f>
        <v>0</v>
      </c>
      <c r="CM301" s="250">
        <f>INDEX(연료전지_원본!$KB$4:$KX$369,MATCH($A301,연료전지_원본!$KB$4:$KB$369,0), MATCH(CM$4,연료전지_원본!$KB$4:$KX$4,0))*1000</f>
        <v>0</v>
      </c>
      <c r="CN301" s="250">
        <f>INDEX(연료전지_원본!$KB$4:$KX$369,MATCH($A301,연료전지_원본!$KB$4:$KB$369,0), MATCH(CN$4,연료전지_원본!$KB$4:$KX$4,0))*1000</f>
        <v>0</v>
      </c>
      <c r="CO301" s="250">
        <f>INDEX(연료전지_원본!$KB$4:$KX$369,MATCH($A301,연료전지_원본!$KB$4:$KB$369,0), MATCH(CO$4,연료전지_원본!$KB$4:$KX$4,0))*1000</f>
        <v>0</v>
      </c>
      <c r="CP301" s="250">
        <f>INDEX(연료전지_원본!$KB$4:$KX$369,MATCH($A301,연료전지_원본!$KB$4:$KB$369,0), MATCH(CP$4,연료전지_원본!$KB$4:$KX$4,0))*1000</f>
        <v>0</v>
      </c>
      <c r="CQ301" s="250">
        <f>INDEX(연료전지_원본!$KB$4:$KX$369,MATCH($A301,연료전지_원본!$KB$4:$KB$369,0), MATCH(CQ$4,연료전지_원본!$KB$4:$KX$4,0))*1000</f>
        <v>0</v>
      </c>
      <c r="CR301" s="250">
        <f>INDEX(연료전지_원본!$KB$4:$KX$369,MATCH($A301,연료전지_원본!$KB$4:$KB$369,0), MATCH(CR$4,연료전지_원본!$KB$4:$KX$4,0))*1000</f>
        <v>0</v>
      </c>
      <c r="CS301" s="250">
        <f>INDEX(연료전지_원본!$KB$4:$KX$369,MATCH($A301,연료전지_원본!$KB$4:$KB$369,0), MATCH(CS$4,연료전지_원본!$KB$4:$KX$4,0))*1000</f>
        <v>0</v>
      </c>
      <c r="CT301" s="250">
        <f>INDEX(연료전지_원본!$KB$4:$KX$369,MATCH($A301,연료전지_원본!$KB$4:$KB$369,0), MATCH(CT$4,연료전지_원본!$KB$4:$KX$4,0))*1000</f>
        <v>0</v>
      </c>
      <c r="CU301" s="250">
        <f>INDEX(연료전지_원본!$KB$4:$KX$369,MATCH($A301,연료전지_원본!$KB$4:$KB$369,0), MATCH(CU$4,연료전지_원본!$KB$4:$KX$4,0))*1000</f>
        <v>0</v>
      </c>
      <c r="CV301" s="250">
        <f>INDEX(연료전지_원본!$KB$4:$KX$369,MATCH($A301,연료전지_원본!$KB$4:$KB$369,0), MATCH(CV$4,연료전지_원본!$KB$4:$KX$4,0))*1000</f>
        <v>0</v>
      </c>
      <c r="CW301" s="250">
        <f>INDEX(연료전지_원본!$KB$4:$KX$369,MATCH($A301,연료전지_원본!$KB$4:$KB$369,0), MATCH(CW$4,연료전지_원본!$KB$4:$KX$4,0))*1000</f>
        <v>0</v>
      </c>
      <c r="CX301" s="250">
        <f>INDEX(연료전지_원본!$KB$4:$KX$369,MATCH($A301,연료전지_원본!$KB$4:$KB$369,0), MATCH(CX$4,연료전지_원본!$KB$4:$KX$4,0))*1000</f>
        <v>0</v>
      </c>
      <c r="CY301" s="250">
        <f>INDEX(연료전지_원본!$KB$4:$KX$369,MATCH($A301,연료전지_원본!$KB$4:$KB$369,0), MATCH(CY$4,연료전지_원본!$KB$4:$KX$4,0))*1000</f>
        <v>0</v>
      </c>
      <c r="DV301" s="30">
        <f t="shared" si="1616"/>
        <v>0</v>
      </c>
    </row>
    <row r="302" spans="1:126">
      <c r="A302" s="6">
        <v>46319</v>
      </c>
      <c r="B302" s="15">
        <f>운전실적_원본!B302</f>
        <v>0</v>
      </c>
      <c r="C302" s="16" t="str">
        <f t="shared" si="1622"/>
        <v/>
      </c>
      <c r="D302" s="12">
        <f>운전실적_원본!C302</f>
        <v>0</v>
      </c>
      <c r="E302" s="12" t="str">
        <f t="shared" si="1623"/>
        <v/>
      </c>
      <c r="F302" s="12">
        <f>운전실적_원본!D302</f>
        <v>0</v>
      </c>
      <c r="G302" s="16" t="str">
        <f t="shared" si="1624"/>
        <v/>
      </c>
      <c r="H302" s="15">
        <f>운전실적_원본!E302</f>
        <v>0</v>
      </c>
      <c r="I302" s="16" t="str">
        <f t="shared" si="1625"/>
        <v/>
      </c>
      <c r="J302" s="15">
        <f>운전실적_원본!F302</f>
        <v>0</v>
      </c>
      <c r="K302" s="16" t="str">
        <f t="shared" si="1625"/>
        <v/>
      </c>
      <c r="L302" s="32">
        <f>운전실적_원본!G302</f>
        <v>0</v>
      </c>
      <c r="M302" s="31" t="str">
        <f t="shared" ref="M302" si="1657">IF(OR(LEN(L302)=0,L302=0),"",L302-L301)</f>
        <v/>
      </c>
      <c r="N302" s="15">
        <f>운전실적_원본!H302</f>
        <v>0</v>
      </c>
      <c r="O302" s="16" t="str">
        <f t="shared" ref="O302" si="1658">IF(OR(LEN(N302)=0,N302=0),"",N302-N301)</f>
        <v/>
      </c>
      <c r="P302" s="15">
        <f>운전실적_원본!I302</f>
        <v>0</v>
      </c>
      <c r="Q302" s="16" t="str">
        <f t="shared" ref="Q302" si="1659">IF(OR(LEN(P302)=0,P302=0),"",P302-P301)</f>
        <v/>
      </c>
      <c r="R302" s="18">
        <f>운전실적_원본!J302</f>
        <v>0</v>
      </c>
      <c r="S302" s="19" t="str">
        <f t="shared" ref="S302" si="1660">IF(OR(LEN(R302)=0,R302=0),"",R302-R301)</f>
        <v/>
      </c>
      <c r="T302" s="18">
        <f>운전실적_원본!K302</f>
        <v>0</v>
      </c>
      <c r="U302" s="19" t="str">
        <f t="shared" si="1630"/>
        <v/>
      </c>
      <c r="V302" s="12">
        <f>운전실적_원본!L302</f>
        <v>0</v>
      </c>
      <c r="W302" s="16" t="str">
        <f t="shared" ref="W302" si="1661">IF(OR(LEN(V302)=0,V302=0),"",V302-V301)</f>
        <v/>
      </c>
      <c r="X302" s="10">
        <f>운전실적_원본!M302</f>
        <v>0</v>
      </c>
      <c r="Y302" s="10">
        <f>운전실적_원본!N302</f>
        <v>0</v>
      </c>
      <c r="Z302" s="10">
        <f>운전실적_원본!O302</f>
        <v>0</v>
      </c>
      <c r="AA302" s="10">
        <f>운전실적_원본!P302</f>
        <v>0</v>
      </c>
      <c r="AB302" s="10">
        <f>운전실적_원본!Q302</f>
        <v>0</v>
      </c>
      <c r="AC302" s="20">
        <f>운전실적_원본!R302</f>
        <v>0</v>
      </c>
      <c r="AD302" s="109">
        <f>운전실적_원본!S302</f>
        <v>0</v>
      </c>
      <c r="AE302" s="110">
        <f>운전실적_원본!T302</f>
        <v>0</v>
      </c>
      <c r="AF302" s="110">
        <f>운전실적_원본!U302</f>
        <v>0</v>
      </c>
      <c r="AG302" s="110">
        <f>운전실적_원본!V302</f>
        <v>0</v>
      </c>
      <c r="AH302" s="109">
        <f t="shared" si="1453"/>
        <v>0</v>
      </c>
      <c r="AI302" s="110">
        <f t="shared" si="1460"/>
        <v>0</v>
      </c>
      <c r="AJ302" s="110">
        <f>운전실적_원본!Y302</f>
        <v>0</v>
      </c>
      <c r="AK302" s="110">
        <f>운전실적_원본!Z302</f>
        <v>0</v>
      </c>
      <c r="AL302" s="106"/>
      <c r="AM302" s="105"/>
      <c r="AN302" s="105"/>
      <c r="AO302" s="105"/>
      <c r="AP302" s="105"/>
      <c r="AQ302" s="108"/>
      <c r="AR302" s="105"/>
      <c r="AS302" s="105"/>
      <c r="AT302" s="102"/>
      <c r="AU302" s="102"/>
      <c r="AV302" s="102"/>
      <c r="AW302" s="102"/>
      <c r="AX302" s="32">
        <f>운전실적_원본!W302</f>
        <v>0</v>
      </c>
      <c r="AY302" s="11">
        <f>운전실적_원본!X302</f>
        <v>0</v>
      </c>
      <c r="AZ302" s="11">
        <f>운전실적_원본!Y302</f>
        <v>0</v>
      </c>
      <c r="BA302" s="11">
        <f>운전실적_원본!Z302</f>
        <v>0</v>
      </c>
      <c r="BB302" s="11">
        <f>운전실적_원본!AA302</f>
        <v>0</v>
      </c>
      <c r="BC302" s="11">
        <f>운전실적_원본!AB302</f>
        <v>0</v>
      </c>
      <c r="BD302" s="32" t="str">
        <f t="shared" si="1446"/>
        <v>-</v>
      </c>
      <c r="BE302" s="11" t="str">
        <f t="shared" si="1454"/>
        <v>-</v>
      </c>
      <c r="BF302" s="11">
        <f>운전실적_원본!AE302</f>
        <v>0</v>
      </c>
      <c r="BG302" s="31">
        <f t="shared" si="1447"/>
        <v>0</v>
      </c>
      <c r="BH302" s="241">
        <f>INDEX(연료전지_원본!$A$4:$KY$369,MATCH($A302,연료전지_원본!$A$4:$A$369,0),MATCH($BH$4,연료전지_원본!$A$4:$KY$4,0))</f>
        <v>0</v>
      </c>
      <c r="BI302" s="241">
        <f>INDEX(연료전지_원본!$A$4:$KY$369,MATCH($A302,연료전지_원본!$A$4:$A$369,0),MATCH($BI$4,연료전지_원본!$A$4:$KY$4,0))</f>
        <v>0</v>
      </c>
      <c r="BJ302" s="241">
        <f>INDEX(연료전지_원본!$A$4:$KY$369,MATCH($A302,연료전지_원본!$A$4:$A$369,0),MATCH($BJ$4,연료전지_원본!$A$4:$KY$4,0))</f>
        <v>0</v>
      </c>
      <c r="BK302" s="241">
        <f>INDEX(연료전지_원본!$A$4:$KY$369,MATCH($A302,연료전지_원본!$A$4:$A$369,0),MATCH($BK$4,연료전지_원본!$A$4:$KY$4,0))</f>
        <v>0</v>
      </c>
      <c r="BL302" s="241">
        <f>INDEX(연료전지_원본!$A$4:$KY$369,MATCH($A302,연료전지_원본!$A$4:$A$369,0),MATCH($BL$4,연료전지_원본!$A$4:$KY$4,0))</f>
        <v>0</v>
      </c>
      <c r="BM302" s="241">
        <f>INDEX(연료전지_원본!$A$4:$KY$369,MATCH($A302,연료전지_원본!$A$4:$A$369,0),MATCH($BM$4,연료전지_원본!$A$4:$KY$4,0))</f>
        <v>0</v>
      </c>
      <c r="BN302" s="241">
        <f>INDEX(연료전지_원본!$A$4:$KY$369,MATCH($A302,연료전지_원본!$A$4:$A$369,0),MATCH($BN$4,연료전지_원본!$A$4:$KY$4,0))</f>
        <v>0</v>
      </c>
      <c r="BO302" s="241">
        <f>INDEX(연료전지_원본!$A$4:$KY$369,MATCH($A302,연료전지_원본!$A$4:$A$369,0),MATCH($BO$4,연료전지_원본!$A$4:$KY$4,0))</f>
        <v>0</v>
      </c>
      <c r="BP302" s="241">
        <f>INDEX(연료전지_원본!$A$4:$KY$369,MATCH($A302,연료전지_원본!$A$4:$A$369,0),MATCH($BP$4,연료전지_원본!$A$4:$KY$4,0))</f>
        <v>0</v>
      </c>
      <c r="BQ302" s="241">
        <f>INDEX(연료전지_원본!$A$4:$KY$369,MATCH($A302,연료전지_원본!$A$4:$A$369,0),MATCH($BQ$4,연료전지_원본!$A$4:$KY$4,0))</f>
        <v>0</v>
      </c>
      <c r="BR302" s="241">
        <f>INDEX(연료전지_원본!$A$4:$KY$369,MATCH($A302,연료전지_원본!$A$4:$A$369,0),MATCH($BR$4,연료전지_원본!$A$4:$KY$4,0))</f>
        <v>0</v>
      </c>
      <c r="BS302" s="241">
        <f>INDEX(연료전지_원본!$A$4:$KY$369,MATCH($A302,연료전지_원본!$A$4:$A$369,0),MATCH($BS$4,연료전지_원본!$A$4:$KY$4,0))</f>
        <v>0</v>
      </c>
      <c r="BT302" s="241">
        <f>INDEX(연료전지_원본!$A$4:$KY$369,MATCH($A302,연료전지_원본!$A$4:$A$369,0),MATCH($BT$4,연료전지_원본!$A$4:$KY$4,0))</f>
        <v>0</v>
      </c>
      <c r="BU302" s="241">
        <f>INDEX(연료전지_원본!$A$4:$KY$369,MATCH($A302,연료전지_원본!$A$4:$A$369,0),MATCH($BU$4,연료전지_원본!$A$4:$KY$4,0))</f>
        <v>0</v>
      </c>
      <c r="BV302" s="241">
        <f>INDEX(연료전지_원본!$A$4:$KY$369,MATCH($A302,연료전지_원본!$A$4:$A$369,0),MATCH($BV$4,연료전지_원본!$A$4:$KY$4,0))</f>
        <v>0</v>
      </c>
      <c r="BW302" s="241">
        <f>INDEX(연료전지_원본!$A$4:$KY$369,MATCH($A302,연료전지_원본!$A$4:$A$369,0),MATCH($BW$4,연료전지_원본!$A$4:$KY$4,0))</f>
        <v>0</v>
      </c>
      <c r="BX302" s="241">
        <f>INDEX(연료전지_원본!$A$4:$KY$369,MATCH($A302,연료전지_원본!$A$4:$A$369,0),MATCH($BX$4,연료전지_원본!$A$4:$KY$4,0))</f>
        <v>0</v>
      </c>
      <c r="BY302" s="241">
        <f>INDEX(연료전지_원본!$A$4:$KY$369,MATCH($A302,연료전지_원본!$A$4:$A$369,0),MATCH($BY$4,연료전지_원본!$A$4:$KY$4,0))</f>
        <v>0</v>
      </c>
      <c r="BZ302" s="241">
        <f>INDEX(연료전지_원본!$A$4:$KY$369,MATCH($A302,연료전지_원본!$A$4:$A$369,0),MATCH($BZ$4,연료전지_원본!$A$4:$KY$4,0))</f>
        <v>0</v>
      </c>
      <c r="CA302" s="241">
        <f>INDEX(연료전지_원본!$A$4:$KY$369,MATCH($A302,연료전지_원본!$A$4:$A$369,0),MATCH($CA$4,연료전지_원본!$A$4:$KY$4,0))</f>
        <v>0</v>
      </c>
      <c r="CB302" s="241">
        <f>INDEX(연료전지_원본!$A$4:$KY$369,MATCH($A302,연료전지_원본!$A$4:$A$369,0),MATCH($CB$4,연료전지_원본!$A$4:$KY$4,0))</f>
        <v>0</v>
      </c>
      <c r="CC302" s="242">
        <f>INDEX(연료전지_원본!$A$4:$KY$369,MATCH($A302,연료전지_원본!$A$4:$A$369,0),MATCH($CC$4,연료전지_원본!$A$4:$KY$4,0))</f>
        <v>0</v>
      </c>
      <c r="CD302" s="250">
        <f>INDEX(연료전지_원본!$KB$4:$KX$369,MATCH($A302,연료전지_원본!$KB$4:$KB$369,0), MATCH(CD$4,연료전지_원본!$KB$4:$KX$4,0))*1000</f>
        <v>0</v>
      </c>
      <c r="CE302" s="250">
        <f>INDEX(연료전지_원본!$KB$4:$KX$369,MATCH($A302,연료전지_원본!$KB$4:$KB$369,0), MATCH(CE$4,연료전지_원본!$KB$4:$KX$4,0))*1000</f>
        <v>0</v>
      </c>
      <c r="CF302" s="250">
        <f>INDEX(연료전지_원본!$KB$4:$KX$369,MATCH($A302,연료전지_원본!$KB$4:$KB$369,0), MATCH(CF$4,연료전지_원본!$KB$4:$KX$4,0))*1000</f>
        <v>0</v>
      </c>
      <c r="CG302" s="250">
        <f>INDEX(연료전지_원본!$KB$4:$KX$369,MATCH($A302,연료전지_원본!$KB$4:$KB$369,0), MATCH(CG$4,연료전지_원본!$KB$4:$KX$4,0))*1000</f>
        <v>0</v>
      </c>
      <c r="CH302" s="250">
        <f>INDEX(연료전지_원본!$KB$4:$KX$369,MATCH($A302,연료전지_원본!$KB$4:$KB$369,0), MATCH(CH$4,연료전지_원본!$KB$4:$KX$4,0))*1000</f>
        <v>0</v>
      </c>
      <c r="CI302" s="250">
        <f>INDEX(연료전지_원본!$KB$4:$KX$369,MATCH($A302,연료전지_원본!$KB$4:$KB$369,0), MATCH(CI$4,연료전지_원본!$KB$4:$KX$4,0))*1000</f>
        <v>0</v>
      </c>
      <c r="CJ302" s="250">
        <f>INDEX(연료전지_원본!$KB$4:$KX$369,MATCH($A302,연료전지_원본!$KB$4:$KB$369,0), MATCH(CJ$4,연료전지_원본!$KB$4:$KX$4,0))*1000</f>
        <v>0</v>
      </c>
      <c r="CK302" s="250">
        <f>INDEX(연료전지_원본!$KB$4:$KX$369,MATCH($A302,연료전지_원본!$KB$4:$KB$369,0), MATCH(CK$4,연료전지_원본!$KB$4:$KX$4,0))*1000</f>
        <v>0</v>
      </c>
      <c r="CL302" s="250">
        <f>INDEX(연료전지_원본!$KB$4:$KX$369,MATCH($A302,연료전지_원본!$KB$4:$KB$369,0), MATCH(CL$4,연료전지_원본!$KB$4:$KX$4,0))*1000</f>
        <v>0</v>
      </c>
      <c r="CM302" s="250">
        <f>INDEX(연료전지_원본!$KB$4:$KX$369,MATCH($A302,연료전지_원본!$KB$4:$KB$369,0), MATCH(CM$4,연료전지_원본!$KB$4:$KX$4,0))*1000</f>
        <v>0</v>
      </c>
      <c r="CN302" s="250">
        <f>INDEX(연료전지_원본!$KB$4:$KX$369,MATCH($A302,연료전지_원본!$KB$4:$KB$369,0), MATCH(CN$4,연료전지_원본!$KB$4:$KX$4,0))*1000</f>
        <v>0</v>
      </c>
      <c r="CO302" s="250">
        <f>INDEX(연료전지_원본!$KB$4:$KX$369,MATCH($A302,연료전지_원본!$KB$4:$KB$369,0), MATCH(CO$4,연료전지_원본!$KB$4:$KX$4,0))*1000</f>
        <v>0</v>
      </c>
      <c r="CP302" s="250">
        <f>INDEX(연료전지_원본!$KB$4:$KX$369,MATCH($A302,연료전지_원본!$KB$4:$KB$369,0), MATCH(CP$4,연료전지_원본!$KB$4:$KX$4,0))*1000</f>
        <v>0</v>
      </c>
      <c r="CQ302" s="250">
        <f>INDEX(연료전지_원본!$KB$4:$KX$369,MATCH($A302,연료전지_원본!$KB$4:$KB$369,0), MATCH(CQ$4,연료전지_원본!$KB$4:$KX$4,0))*1000</f>
        <v>0</v>
      </c>
      <c r="CR302" s="250">
        <f>INDEX(연료전지_원본!$KB$4:$KX$369,MATCH($A302,연료전지_원본!$KB$4:$KB$369,0), MATCH(CR$4,연료전지_원본!$KB$4:$KX$4,0))*1000</f>
        <v>0</v>
      </c>
      <c r="CS302" s="250">
        <f>INDEX(연료전지_원본!$KB$4:$KX$369,MATCH($A302,연료전지_원본!$KB$4:$KB$369,0), MATCH(CS$4,연료전지_원본!$KB$4:$KX$4,0))*1000</f>
        <v>0</v>
      </c>
      <c r="CT302" s="250">
        <f>INDEX(연료전지_원본!$KB$4:$KX$369,MATCH($A302,연료전지_원본!$KB$4:$KB$369,0), MATCH(CT$4,연료전지_원본!$KB$4:$KX$4,0))*1000</f>
        <v>0</v>
      </c>
      <c r="CU302" s="250">
        <f>INDEX(연료전지_원본!$KB$4:$KX$369,MATCH($A302,연료전지_원본!$KB$4:$KB$369,0), MATCH(CU$4,연료전지_원본!$KB$4:$KX$4,0))*1000</f>
        <v>0</v>
      </c>
      <c r="CV302" s="250">
        <f>INDEX(연료전지_원본!$KB$4:$KX$369,MATCH($A302,연료전지_원본!$KB$4:$KB$369,0), MATCH(CV$4,연료전지_원본!$KB$4:$KX$4,0))*1000</f>
        <v>0</v>
      </c>
      <c r="CW302" s="250">
        <f>INDEX(연료전지_원본!$KB$4:$KX$369,MATCH($A302,연료전지_원본!$KB$4:$KB$369,0), MATCH(CW$4,연료전지_원본!$KB$4:$KX$4,0))*1000</f>
        <v>0</v>
      </c>
      <c r="CX302" s="250">
        <f>INDEX(연료전지_원본!$KB$4:$KX$369,MATCH($A302,연료전지_원본!$KB$4:$KB$369,0), MATCH(CX$4,연료전지_원본!$KB$4:$KX$4,0))*1000</f>
        <v>0</v>
      </c>
      <c r="CY302" s="250">
        <f>INDEX(연료전지_원본!$KB$4:$KX$369,MATCH($A302,연료전지_원본!$KB$4:$KB$369,0), MATCH(CY$4,연료전지_원본!$KB$4:$KX$4,0))*1000</f>
        <v>0</v>
      </c>
      <c r="DV302" s="30">
        <f t="shared" si="1616"/>
        <v>0</v>
      </c>
    </row>
    <row r="303" spans="1:126">
      <c r="A303" s="6">
        <v>46320</v>
      </c>
      <c r="B303" s="15">
        <f>운전실적_원본!B303</f>
        <v>0</v>
      </c>
      <c r="C303" s="16" t="str">
        <f t="shared" si="1622"/>
        <v/>
      </c>
      <c r="D303" s="12">
        <f>운전실적_원본!C303</f>
        <v>0</v>
      </c>
      <c r="E303" s="12" t="str">
        <f t="shared" si="1623"/>
        <v/>
      </c>
      <c r="F303" s="12">
        <f>운전실적_원본!D303</f>
        <v>0</v>
      </c>
      <c r="G303" s="16" t="str">
        <f t="shared" si="1624"/>
        <v/>
      </c>
      <c r="H303" s="15">
        <f>운전실적_원본!E303</f>
        <v>0</v>
      </c>
      <c r="I303" s="16" t="str">
        <f t="shared" si="1625"/>
        <v/>
      </c>
      <c r="J303" s="15">
        <f>운전실적_원본!F303</f>
        <v>0</v>
      </c>
      <c r="K303" s="16" t="str">
        <f t="shared" si="1625"/>
        <v/>
      </c>
      <c r="L303" s="32">
        <f>운전실적_원본!G303</f>
        <v>0</v>
      </c>
      <c r="M303" s="31" t="str">
        <f t="shared" ref="M303" si="1662">IF(OR(LEN(L303)=0,L303=0),"",L303-L302)</f>
        <v/>
      </c>
      <c r="N303" s="15">
        <f>운전실적_원본!H303</f>
        <v>0</v>
      </c>
      <c r="O303" s="16" t="str">
        <f t="shared" ref="O303" si="1663">IF(OR(LEN(N303)=0,N303=0),"",N303-N302)</f>
        <v/>
      </c>
      <c r="P303" s="15">
        <f>운전실적_원본!I303</f>
        <v>0</v>
      </c>
      <c r="Q303" s="16" t="str">
        <f t="shared" ref="Q303" si="1664">IF(OR(LEN(P303)=0,P303=0),"",P303-P302)</f>
        <v/>
      </c>
      <c r="R303" s="18">
        <f>운전실적_원본!J303</f>
        <v>0</v>
      </c>
      <c r="S303" s="19" t="str">
        <f t="shared" ref="S303" si="1665">IF(OR(LEN(R303)=0,R303=0),"",R303-R302)</f>
        <v/>
      </c>
      <c r="T303" s="18">
        <f>운전실적_원본!K303</f>
        <v>0</v>
      </c>
      <c r="U303" s="19" t="str">
        <f t="shared" si="1630"/>
        <v/>
      </c>
      <c r="V303" s="12">
        <f>운전실적_원본!L303</f>
        <v>0</v>
      </c>
      <c r="W303" s="16" t="str">
        <f t="shared" ref="W303" si="1666">IF(OR(LEN(V303)=0,V303=0),"",V303-V302)</f>
        <v/>
      </c>
      <c r="X303" s="10">
        <f>운전실적_원본!M303</f>
        <v>0</v>
      </c>
      <c r="Y303" s="10">
        <f>운전실적_원본!N303</f>
        <v>0</v>
      </c>
      <c r="Z303" s="10">
        <f>운전실적_원본!O303</f>
        <v>0</v>
      </c>
      <c r="AA303" s="10">
        <f>운전실적_원본!P303</f>
        <v>0</v>
      </c>
      <c r="AB303" s="10">
        <f>운전실적_원본!Q303</f>
        <v>0</v>
      </c>
      <c r="AC303" s="20">
        <f>운전실적_원본!R303</f>
        <v>0</v>
      </c>
      <c r="AD303" s="109">
        <f>운전실적_원본!S303</f>
        <v>0</v>
      </c>
      <c r="AE303" s="110">
        <f>운전실적_원본!T303</f>
        <v>0</v>
      </c>
      <c r="AF303" s="110">
        <f>운전실적_원본!U303</f>
        <v>0</v>
      </c>
      <c r="AG303" s="110">
        <f>운전실적_원본!V303</f>
        <v>0</v>
      </c>
      <c r="AH303" s="109">
        <f t="shared" si="1453"/>
        <v>0</v>
      </c>
      <c r="AI303" s="110">
        <f t="shared" si="1460"/>
        <v>0</v>
      </c>
      <c r="AJ303" s="110">
        <f>운전실적_원본!Y303</f>
        <v>0</v>
      </c>
      <c r="AK303" s="110">
        <f>운전실적_원본!Z303</f>
        <v>0</v>
      </c>
      <c r="AL303" s="106"/>
      <c r="AM303" s="105"/>
      <c r="AN303" s="105"/>
      <c r="AO303" s="105"/>
      <c r="AP303" s="105"/>
      <c r="AQ303" s="108"/>
      <c r="AR303" s="105"/>
      <c r="AS303" s="105"/>
      <c r="AT303" s="102"/>
      <c r="AU303" s="102"/>
      <c r="AV303" s="102"/>
      <c r="AW303" s="102"/>
      <c r="AX303" s="32">
        <f>운전실적_원본!W303</f>
        <v>0</v>
      </c>
      <c r="AY303" s="11">
        <f>운전실적_원본!X303</f>
        <v>0</v>
      </c>
      <c r="AZ303" s="11">
        <f>운전실적_원본!Y303</f>
        <v>0</v>
      </c>
      <c r="BA303" s="11">
        <f>운전실적_원본!Z303</f>
        <v>0</v>
      </c>
      <c r="BB303" s="11">
        <f>운전실적_원본!AA303</f>
        <v>0</v>
      </c>
      <c r="BC303" s="11">
        <f>운전실적_원본!AB303</f>
        <v>0</v>
      </c>
      <c r="BD303" s="32" t="str">
        <f t="shared" si="1446"/>
        <v>-</v>
      </c>
      <c r="BE303" s="11" t="str">
        <f t="shared" si="1454"/>
        <v>-</v>
      </c>
      <c r="BF303" s="11">
        <f>운전실적_원본!AE303</f>
        <v>0</v>
      </c>
      <c r="BG303" s="31">
        <f t="shared" si="1447"/>
        <v>0</v>
      </c>
      <c r="BH303" s="241">
        <f>INDEX(연료전지_원본!$A$4:$KY$369,MATCH($A303,연료전지_원본!$A$4:$A$369,0),MATCH($BH$4,연료전지_원본!$A$4:$KY$4,0))</f>
        <v>0</v>
      </c>
      <c r="BI303" s="241">
        <f>INDEX(연료전지_원본!$A$4:$KY$369,MATCH($A303,연료전지_원본!$A$4:$A$369,0),MATCH($BI$4,연료전지_원본!$A$4:$KY$4,0))</f>
        <v>0</v>
      </c>
      <c r="BJ303" s="241">
        <f>INDEX(연료전지_원본!$A$4:$KY$369,MATCH($A303,연료전지_원본!$A$4:$A$369,0),MATCH($BJ$4,연료전지_원본!$A$4:$KY$4,0))</f>
        <v>0</v>
      </c>
      <c r="BK303" s="241">
        <f>INDEX(연료전지_원본!$A$4:$KY$369,MATCH($A303,연료전지_원본!$A$4:$A$369,0),MATCH($BK$4,연료전지_원본!$A$4:$KY$4,0))</f>
        <v>0</v>
      </c>
      <c r="BL303" s="241">
        <f>INDEX(연료전지_원본!$A$4:$KY$369,MATCH($A303,연료전지_원본!$A$4:$A$369,0),MATCH($BL$4,연료전지_원본!$A$4:$KY$4,0))</f>
        <v>0</v>
      </c>
      <c r="BM303" s="241">
        <f>INDEX(연료전지_원본!$A$4:$KY$369,MATCH($A303,연료전지_원본!$A$4:$A$369,0),MATCH($BM$4,연료전지_원본!$A$4:$KY$4,0))</f>
        <v>0</v>
      </c>
      <c r="BN303" s="241">
        <f>INDEX(연료전지_원본!$A$4:$KY$369,MATCH($A303,연료전지_원본!$A$4:$A$369,0),MATCH($BN$4,연료전지_원본!$A$4:$KY$4,0))</f>
        <v>0</v>
      </c>
      <c r="BO303" s="241">
        <f>INDEX(연료전지_원본!$A$4:$KY$369,MATCH($A303,연료전지_원본!$A$4:$A$369,0),MATCH($BO$4,연료전지_원본!$A$4:$KY$4,0))</f>
        <v>0</v>
      </c>
      <c r="BP303" s="241">
        <f>INDEX(연료전지_원본!$A$4:$KY$369,MATCH($A303,연료전지_원본!$A$4:$A$369,0),MATCH($BP$4,연료전지_원본!$A$4:$KY$4,0))</f>
        <v>0</v>
      </c>
      <c r="BQ303" s="241">
        <f>INDEX(연료전지_원본!$A$4:$KY$369,MATCH($A303,연료전지_원본!$A$4:$A$369,0),MATCH($BQ$4,연료전지_원본!$A$4:$KY$4,0))</f>
        <v>0</v>
      </c>
      <c r="BR303" s="241">
        <f>INDEX(연료전지_원본!$A$4:$KY$369,MATCH($A303,연료전지_원본!$A$4:$A$369,0),MATCH($BR$4,연료전지_원본!$A$4:$KY$4,0))</f>
        <v>0</v>
      </c>
      <c r="BS303" s="241">
        <f>INDEX(연료전지_원본!$A$4:$KY$369,MATCH($A303,연료전지_원본!$A$4:$A$369,0),MATCH($BS$4,연료전지_원본!$A$4:$KY$4,0))</f>
        <v>0</v>
      </c>
      <c r="BT303" s="241">
        <f>INDEX(연료전지_원본!$A$4:$KY$369,MATCH($A303,연료전지_원본!$A$4:$A$369,0),MATCH($BT$4,연료전지_원본!$A$4:$KY$4,0))</f>
        <v>0</v>
      </c>
      <c r="BU303" s="241">
        <f>INDEX(연료전지_원본!$A$4:$KY$369,MATCH($A303,연료전지_원본!$A$4:$A$369,0),MATCH($BU$4,연료전지_원본!$A$4:$KY$4,0))</f>
        <v>0</v>
      </c>
      <c r="BV303" s="241">
        <f>INDEX(연료전지_원본!$A$4:$KY$369,MATCH($A303,연료전지_원본!$A$4:$A$369,0),MATCH($BV$4,연료전지_원본!$A$4:$KY$4,0))</f>
        <v>0</v>
      </c>
      <c r="BW303" s="241">
        <f>INDEX(연료전지_원본!$A$4:$KY$369,MATCH($A303,연료전지_원본!$A$4:$A$369,0),MATCH($BW$4,연료전지_원본!$A$4:$KY$4,0))</f>
        <v>0</v>
      </c>
      <c r="BX303" s="241">
        <f>INDEX(연료전지_원본!$A$4:$KY$369,MATCH($A303,연료전지_원본!$A$4:$A$369,0),MATCH($BX$4,연료전지_원본!$A$4:$KY$4,0))</f>
        <v>0</v>
      </c>
      <c r="BY303" s="241">
        <f>INDEX(연료전지_원본!$A$4:$KY$369,MATCH($A303,연료전지_원본!$A$4:$A$369,0),MATCH($BY$4,연료전지_원본!$A$4:$KY$4,0))</f>
        <v>0</v>
      </c>
      <c r="BZ303" s="241">
        <f>INDEX(연료전지_원본!$A$4:$KY$369,MATCH($A303,연료전지_원본!$A$4:$A$369,0),MATCH($BZ$4,연료전지_원본!$A$4:$KY$4,0))</f>
        <v>0</v>
      </c>
      <c r="CA303" s="241">
        <f>INDEX(연료전지_원본!$A$4:$KY$369,MATCH($A303,연료전지_원본!$A$4:$A$369,0),MATCH($CA$4,연료전지_원본!$A$4:$KY$4,0))</f>
        <v>0</v>
      </c>
      <c r="CB303" s="241">
        <f>INDEX(연료전지_원본!$A$4:$KY$369,MATCH($A303,연료전지_원본!$A$4:$A$369,0),MATCH($CB$4,연료전지_원본!$A$4:$KY$4,0))</f>
        <v>0</v>
      </c>
      <c r="CC303" s="242">
        <f>INDEX(연료전지_원본!$A$4:$KY$369,MATCH($A303,연료전지_원본!$A$4:$A$369,0),MATCH($CC$4,연료전지_원본!$A$4:$KY$4,0))</f>
        <v>0</v>
      </c>
      <c r="CD303" s="250">
        <f>INDEX(연료전지_원본!$KB$4:$KX$369,MATCH($A303,연료전지_원본!$KB$4:$KB$369,0), MATCH(CD$4,연료전지_원본!$KB$4:$KX$4,0))*1000</f>
        <v>0</v>
      </c>
      <c r="CE303" s="250">
        <f>INDEX(연료전지_원본!$KB$4:$KX$369,MATCH($A303,연료전지_원본!$KB$4:$KB$369,0), MATCH(CE$4,연료전지_원본!$KB$4:$KX$4,0))*1000</f>
        <v>0</v>
      </c>
      <c r="CF303" s="250">
        <f>INDEX(연료전지_원본!$KB$4:$KX$369,MATCH($A303,연료전지_원본!$KB$4:$KB$369,0), MATCH(CF$4,연료전지_원본!$KB$4:$KX$4,0))*1000</f>
        <v>0</v>
      </c>
      <c r="CG303" s="250">
        <f>INDEX(연료전지_원본!$KB$4:$KX$369,MATCH($A303,연료전지_원본!$KB$4:$KB$369,0), MATCH(CG$4,연료전지_원본!$KB$4:$KX$4,0))*1000</f>
        <v>0</v>
      </c>
      <c r="CH303" s="250">
        <f>INDEX(연료전지_원본!$KB$4:$KX$369,MATCH($A303,연료전지_원본!$KB$4:$KB$369,0), MATCH(CH$4,연료전지_원본!$KB$4:$KX$4,0))*1000</f>
        <v>0</v>
      </c>
      <c r="CI303" s="250">
        <f>INDEX(연료전지_원본!$KB$4:$KX$369,MATCH($A303,연료전지_원본!$KB$4:$KB$369,0), MATCH(CI$4,연료전지_원본!$KB$4:$KX$4,0))*1000</f>
        <v>0</v>
      </c>
      <c r="CJ303" s="250">
        <f>INDEX(연료전지_원본!$KB$4:$KX$369,MATCH($A303,연료전지_원본!$KB$4:$KB$369,0), MATCH(CJ$4,연료전지_원본!$KB$4:$KX$4,0))*1000</f>
        <v>0</v>
      </c>
      <c r="CK303" s="250">
        <f>INDEX(연료전지_원본!$KB$4:$KX$369,MATCH($A303,연료전지_원본!$KB$4:$KB$369,0), MATCH(CK$4,연료전지_원본!$KB$4:$KX$4,0))*1000</f>
        <v>0</v>
      </c>
      <c r="CL303" s="250">
        <f>INDEX(연료전지_원본!$KB$4:$KX$369,MATCH($A303,연료전지_원본!$KB$4:$KB$369,0), MATCH(CL$4,연료전지_원본!$KB$4:$KX$4,0))*1000</f>
        <v>0</v>
      </c>
      <c r="CM303" s="250">
        <f>INDEX(연료전지_원본!$KB$4:$KX$369,MATCH($A303,연료전지_원본!$KB$4:$KB$369,0), MATCH(CM$4,연료전지_원본!$KB$4:$KX$4,0))*1000</f>
        <v>0</v>
      </c>
      <c r="CN303" s="250">
        <f>INDEX(연료전지_원본!$KB$4:$KX$369,MATCH($A303,연료전지_원본!$KB$4:$KB$369,0), MATCH(CN$4,연료전지_원본!$KB$4:$KX$4,0))*1000</f>
        <v>0</v>
      </c>
      <c r="CO303" s="250">
        <f>INDEX(연료전지_원본!$KB$4:$KX$369,MATCH($A303,연료전지_원본!$KB$4:$KB$369,0), MATCH(CO$4,연료전지_원본!$KB$4:$KX$4,0))*1000</f>
        <v>0</v>
      </c>
      <c r="CP303" s="250">
        <f>INDEX(연료전지_원본!$KB$4:$KX$369,MATCH($A303,연료전지_원본!$KB$4:$KB$369,0), MATCH(CP$4,연료전지_원본!$KB$4:$KX$4,0))*1000</f>
        <v>0</v>
      </c>
      <c r="CQ303" s="250">
        <f>INDEX(연료전지_원본!$KB$4:$KX$369,MATCH($A303,연료전지_원본!$KB$4:$KB$369,0), MATCH(CQ$4,연료전지_원본!$KB$4:$KX$4,0))*1000</f>
        <v>0</v>
      </c>
      <c r="CR303" s="250">
        <f>INDEX(연료전지_원본!$KB$4:$KX$369,MATCH($A303,연료전지_원본!$KB$4:$KB$369,0), MATCH(CR$4,연료전지_원본!$KB$4:$KX$4,0))*1000</f>
        <v>0</v>
      </c>
      <c r="CS303" s="250">
        <f>INDEX(연료전지_원본!$KB$4:$KX$369,MATCH($A303,연료전지_원본!$KB$4:$KB$369,0), MATCH(CS$4,연료전지_원본!$KB$4:$KX$4,0))*1000</f>
        <v>0</v>
      </c>
      <c r="CT303" s="250">
        <f>INDEX(연료전지_원본!$KB$4:$KX$369,MATCH($A303,연료전지_원본!$KB$4:$KB$369,0), MATCH(CT$4,연료전지_원본!$KB$4:$KX$4,0))*1000</f>
        <v>0</v>
      </c>
      <c r="CU303" s="250">
        <f>INDEX(연료전지_원본!$KB$4:$KX$369,MATCH($A303,연료전지_원본!$KB$4:$KB$369,0), MATCH(CU$4,연료전지_원본!$KB$4:$KX$4,0))*1000</f>
        <v>0</v>
      </c>
      <c r="CV303" s="250">
        <f>INDEX(연료전지_원본!$KB$4:$KX$369,MATCH($A303,연료전지_원본!$KB$4:$KB$369,0), MATCH(CV$4,연료전지_원본!$KB$4:$KX$4,0))*1000</f>
        <v>0</v>
      </c>
      <c r="CW303" s="250">
        <f>INDEX(연료전지_원본!$KB$4:$KX$369,MATCH($A303,연료전지_원본!$KB$4:$KB$369,0), MATCH(CW$4,연료전지_원본!$KB$4:$KX$4,0))*1000</f>
        <v>0</v>
      </c>
      <c r="CX303" s="250">
        <f>INDEX(연료전지_원본!$KB$4:$KX$369,MATCH($A303,연료전지_원본!$KB$4:$KB$369,0), MATCH(CX$4,연료전지_원본!$KB$4:$KX$4,0))*1000</f>
        <v>0</v>
      </c>
      <c r="CY303" s="250">
        <f>INDEX(연료전지_원본!$KB$4:$KX$369,MATCH($A303,연료전지_원본!$KB$4:$KB$369,0), MATCH(CY$4,연료전지_원본!$KB$4:$KX$4,0))*1000</f>
        <v>0</v>
      </c>
      <c r="DV303" s="30">
        <f t="shared" si="1616"/>
        <v>0</v>
      </c>
    </row>
    <row r="304" spans="1:126">
      <c r="A304" s="6">
        <v>46321</v>
      </c>
      <c r="B304" s="15">
        <f>운전실적_원본!B304</f>
        <v>0</v>
      </c>
      <c r="C304" s="16" t="str">
        <f t="shared" si="1622"/>
        <v/>
      </c>
      <c r="D304" s="12">
        <f>운전실적_원본!C304</f>
        <v>0</v>
      </c>
      <c r="E304" s="12" t="str">
        <f t="shared" si="1623"/>
        <v/>
      </c>
      <c r="F304" s="12">
        <f>운전실적_원본!D304</f>
        <v>0</v>
      </c>
      <c r="G304" s="16" t="str">
        <f t="shared" si="1624"/>
        <v/>
      </c>
      <c r="H304" s="15">
        <f>운전실적_원본!E304</f>
        <v>0</v>
      </c>
      <c r="I304" s="16" t="str">
        <f t="shared" si="1625"/>
        <v/>
      </c>
      <c r="J304" s="15">
        <f>운전실적_원본!F304</f>
        <v>0</v>
      </c>
      <c r="K304" s="16" t="str">
        <f t="shared" si="1625"/>
        <v/>
      </c>
      <c r="L304" s="32">
        <f>운전실적_원본!G304</f>
        <v>0</v>
      </c>
      <c r="M304" s="31" t="str">
        <f t="shared" ref="M304" si="1667">IF(OR(LEN(L304)=0,L304=0),"",L304-L303)</f>
        <v/>
      </c>
      <c r="N304" s="15">
        <f>운전실적_원본!H304</f>
        <v>0</v>
      </c>
      <c r="O304" s="16" t="str">
        <f t="shared" ref="O304" si="1668">IF(OR(LEN(N304)=0,N304=0),"",N304-N303)</f>
        <v/>
      </c>
      <c r="P304" s="15">
        <f>운전실적_원본!I304</f>
        <v>0</v>
      </c>
      <c r="Q304" s="16" t="str">
        <f t="shared" ref="Q304" si="1669">IF(OR(LEN(P304)=0,P304=0),"",P304-P303)</f>
        <v/>
      </c>
      <c r="R304" s="18">
        <f>운전실적_원본!J304</f>
        <v>0</v>
      </c>
      <c r="S304" s="19" t="str">
        <f t="shared" ref="S304" si="1670">IF(OR(LEN(R304)=0,R304=0),"",R304-R303)</f>
        <v/>
      </c>
      <c r="T304" s="18">
        <f>운전실적_원본!K304</f>
        <v>0</v>
      </c>
      <c r="U304" s="19" t="str">
        <f t="shared" si="1630"/>
        <v/>
      </c>
      <c r="V304" s="12">
        <f>운전실적_원본!L304</f>
        <v>0</v>
      </c>
      <c r="W304" s="16" t="str">
        <f t="shared" ref="W304" si="1671">IF(OR(LEN(V304)=0,V304=0),"",V304-V303)</f>
        <v/>
      </c>
      <c r="X304" s="10">
        <f>운전실적_원본!M304</f>
        <v>0</v>
      </c>
      <c r="Y304" s="10">
        <f>운전실적_원본!N304</f>
        <v>0</v>
      </c>
      <c r="Z304" s="10">
        <f>운전실적_원본!O304</f>
        <v>0</v>
      </c>
      <c r="AA304" s="10">
        <f>운전실적_원본!P304</f>
        <v>0</v>
      </c>
      <c r="AB304" s="10">
        <f>운전실적_원본!Q304</f>
        <v>0</v>
      </c>
      <c r="AC304" s="20">
        <f>운전실적_원본!R304</f>
        <v>0</v>
      </c>
      <c r="AD304" s="109">
        <f>운전실적_원본!S304</f>
        <v>0</v>
      </c>
      <c r="AE304" s="110">
        <f>운전실적_원본!T304</f>
        <v>0</v>
      </c>
      <c r="AF304" s="110">
        <f>운전실적_원본!U304</f>
        <v>0</v>
      </c>
      <c r="AG304" s="110">
        <f>운전실적_원본!V304</f>
        <v>0</v>
      </c>
      <c r="AH304" s="109">
        <f t="shared" si="1453"/>
        <v>0</v>
      </c>
      <c r="AI304" s="110">
        <f t="shared" si="1460"/>
        <v>0</v>
      </c>
      <c r="AJ304" s="110">
        <f>운전실적_원본!Y304</f>
        <v>0</v>
      </c>
      <c r="AK304" s="110">
        <f>운전실적_원본!Z304</f>
        <v>0</v>
      </c>
      <c r="AL304" s="106"/>
      <c r="AM304" s="105"/>
      <c r="AN304" s="105"/>
      <c r="AO304" s="105"/>
      <c r="AP304" s="105"/>
      <c r="AQ304" s="108"/>
      <c r="AR304" s="105"/>
      <c r="AS304" s="105"/>
      <c r="AT304" s="102"/>
      <c r="AU304" s="102"/>
      <c r="AV304" s="102"/>
      <c r="AW304" s="102"/>
      <c r="AX304" s="32">
        <f>운전실적_원본!W304</f>
        <v>0</v>
      </c>
      <c r="AY304" s="11">
        <f>운전실적_원본!X304</f>
        <v>0</v>
      </c>
      <c r="AZ304" s="11">
        <f>운전실적_원본!Y304</f>
        <v>0</v>
      </c>
      <c r="BA304" s="11">
        <f>운전실적_원본!Z304</f>
        <v>0</v>
      </c>
      <c r="BB304" s="11">
        <f>운전실적_원본!AA304</f>
        <v>0</v>
      </c>
      <c r="BC304" s="11">
        <f>운전실적_원본!AB304</f>
        <v>0</v>
      </c>
      <c r="BD304" s="32" t="str">
        <f t="shared" si="1446"/>
        <v>-</v>
      </c>
      <c r="BE304" s="11" t="str">
        <f t="shared" si="1454"/>
        <v>-</v>
      </c>
      <c r="BF304" s="11">
        <f>운전실적_원본!AE304</f>
        <v>0</v>
      </c>
      <c r="BG304" s="31">
        <f t="shared" si="1447"/>
        <v>0</v>
      </c>
      <c r="BH304" s="241">
        <f>INDEX(연료전지_원본!$A$4:$KY$369,MATCH($A304,연료전지_원본!$A$4:$A$369,0),MATCH($BH$4,연료전지_원본!$A$4:$KY$4,0))</f>
        <v>0</v>
      </c>
      <c r="BI304" s="241">
        <f>INDEX(연료전지_원본!$A$4:$KY$369,MATCH($A304,연료전지_원본!$A$4:$A$369,0),MATCH($BI$4,연료전지_원본!$A$4:$KY$4,0))</f>
        <v>0</v>
      </c>
      <c r="BJ304" s="241">
        <f>INDEX(연료전지_원본!$A$4:$KY$369,MATCH($A304,연료전지_원본!$A$4:$A$369,0),MATCH($BJ$4,연료전지_원본!$A$4:$KY$4,0))</f>
        <v>0</v>
      </c>
      <c r="BK304" s="241">
        <f>INDEX(연료전지_원본!$A$4:$KY$369,MATCH($A304,연료전지_원본!$A$4:$A$369,0),MATCH($BK$4,연료전지_원본!$A$4:$KY$4,0))</f>
        <v>0</v>
      </c>
      <c r="BL304" s="241">
        <f>INDEX(연료전지_원본!$A$4:$KY$369,MATCH($A304,연료전지_원본!$A$4:$A$369,0),MATCH($BL$4,연료전지_원본!$A$4:$KY$4,0))</f>
        <v>0</v>
      </c>
      <c r="BM304" s="241">
        <f>INDEX(연료전지_원본!$A$4:$KY$369,MATCH($A304,연료전지_원본!$A$4:$A$369,0),MATCH($BM$4,연료전지_원본!$A$4:$KY$4,0))</f>
        <v>0</v>
      </c>
      <c r="BN304" s="241">
        <f>INDEX(연료전지_원본!$A$4:$KY$369,MATCH($A304,연료전지_원본!$A$4:$A$369,0),MATCH($BN$4,연료전지_원본!$A$4:$KY$4,0))</f>
        <v>0</v>
      </c>
      <c r="BO304" s="241">
        <f>INDEX(연료전지_원본!$A$4:$KY$369,MATCH($A304,연료전지_원본!$A$4:$A$369,0),MATCH($BO$4,연료전지_원본!$A$4:$KY$4,0))</f>
        <v>0</v>
      </c>
      <c r="BP304" s="241">
        <f>INDEX(연료전지_원본!$A$4:$KY$369,MATCH($A304,연료전지_원본!$A$4:$A$369,0),MATCH($BP$4,연료전지_원본!$A$4:$KY$4,0))</f>
        <v>0</v>
      </c>
      <c r="BQ304" s="241">
        <f>INDEX(연료전지_원본!$A$4:$KY$369,MATCH($A304,연료전지_원본!$A$4:$A$369,0),MATCH($BQ$4,연료전지_원본!$A$4:$KY$4,0))</f>
        <v>0</v>
      </c>
      <c r="BR304" s="241">
        <f>INDEX(연료전지_원본!$A$4:$KY$369,MATCH($A304,연료전지_원본!$A$4:$A$369,0),MATCH($BR$4,연료전지_원본!$A$4:$KY$4,0))</f>
        <v>0</v>
      </c>
      <c r="BS304" s="241">
        <f>INDEX(연료전지_원본!$A$4:$KY$369,MATCH($A304,연료전지_원본!$A$4:$A$369,0),MATCH($BS$4,연료전지_원본!$A$4:$KY$4,0))</f>
        <v>0</v>
      </c>
      <c r="BT304" s="241">
        <f>INDEX(연료전지_원본!$A$4:$KY$369,MATCH($A304,연료전지_원본!$A$4:$A$369,0),MATCH($BT$4,연료전지_원본!$A$4:$KY$4,0))</f>
        <v>0</v>
      </c>
      <c r="BU304" s="241">
        <f>INDEX(연료전지_원본!$A$4:$KY$369,MATCH($A304,연료전지_원본!$A$4:$A$369,0),MATCH($BU$4,연료전지_원본!$A$4:$KY$4,0))</f>
        <v>0</v>
      </c>
      <c r="BV304" s="241">
        <f>INDEX(연료전지_원본!$A$4:$KY$369,MATCH($A304,연료전지_원본!$A$4:$A$369,0),MATCH($BV$4,연료전지_원본!$A$4:$KY$4,0))</f>
        <v>0</v>
      </c>
      <c r="BW304" s="241">
        <f>INDEX(연료전지_원본!$A$4:$KY$369,MATCH($A304,연료전지_원본!$A$4:$A$369,0),MATCH($BW$4,연료전지_원본!$A$4:$KY$4,0))</f>
        <v>0</v>
      </c>
      <c r="BX304" s="241">
        <f>INDEX(연료전지_원본!$A$4:$KY$369,MATCH($A304,연료전지_원본!$A$4:$A$369,0),MATCH($BX$4,연료전지_원본!$A$4:$KY$4,0))</f>
        <v>0</v>
      </c>
      <c r="BY304" s="241">
        <f>INDEX(연료전지_원본!$A$4:$KY$369,MATCH($A304,연료전지_원본!$A$4:$A$369,0),MATCH($BY$4,연료전지_원본!$A$4:$KY$4,0))</f>
        <v>0</v>
      </c>
      <c r="BZ304" s="241">
        <f>INDEX(연료전지_원본!$A$4:$KY$369,MATCH($A304,연료전지_원본!$A$4:$A$369,0),MATCH($BZ$4,연료전지_원본!$A$4:$KY$4,0))</f>
        <v>0</v>
      </c>
      <c r="CA304" s="241">
        <f>INDEX(연료전지_원본!$A$4:$KY$369,MATCH($A304,연료전지_원본!$A$4:$A$369,0),MATCH($CA$4,연료전지_원본!$A$4:$KY$4,0))</f>
        <v>0</v>
      </c>
      <c r="CB304" s="241">
        <f>INDEX(연료전지_원본!$A$4:$KY$369,MATCH($A304,연료전지_원본!$A$4:$A$369,0),MATCH($CB$4,연료전지_원본!$A$4:$KY$4,0))</f>
        <v>0</v>
      </c>
      <c r="CC304" s="242">
        <f>INDEX(연료전지_원본!$A$4:$KY$369,MATCH($A304,연료전지_원본!$A$4:$A$369,0),MATCH($CC$4,연료전지_원본!$A$4:$KY$4,0))</f>
        <v>0</v>
      </c>
      <c r="CD304" s="250">
        <f>INDEX(연료전지_원본!$KB$4:$KX$369,MATCH($A304,연료전지_원본!$KB$4:$KB$369,0), MATCH(CD$4,연료전지_원본!$KB$4:$KX$4,0))*1000</f>
        <v>0</v>
      </c>
      <c r="CE304" s="250">
        <f>INDEX(연료전지_원본!$KB$4:$KX$369,MATCH($A304,연료전지_원본!$KB$4:$KB$369,0), MATCH(CE$4,연료전지_원본!$KB$4:$KX$4,0))*1000</f>
        <v>0</v>
      </c>
      <c r="CF304" s="250">
        <f>INDEX(연료전지_원본!$KB$4:$KX$369,MATCH($A304,연료전지_원본!$KB$4:$KB$369,0), MATCH(CF$4,연료전지_원본!$KB$4:$KX$4,0))*1000</f>
        <v>0</v>
      </c>
      <c r="CG304" s="250">
        <f>INDEX(연료전지_원본!$KB$4:$KX$369,MATCH($A304,연료전지_원본!$KB$4:$KB$369,0), MATCH(CG$4,연료전지_원본!$KB$4:$KX$4,0))*1000</f>
        <v>0</v>
      </c>
      <c r="CH304" s="250">
        <f>INDEX(연료전지_원본!$KB$4:$KX$369,MATCH($A304,연료전지_원본!$KB$4:$KB$369,0), MATCH(CH$4,연료전지_원본!$KB$4:$KX$4,0))*1000</f>
        <v>0</v>
      </c>
      <c r="CI304" s="250">
        <f>INDEX(연료전지_원본!$KB$4:$KX$369,MATCH($A304,연료전지_원본!$KB$4:$KB$369,0), MATCH(CI$4,연료전지_원본!$KB$4:$KX$4,0))*1000</f>
        <v>0</v>
      </c>
      <c r="CJ304" s="250">
        <f>INDEX(연료전지_원본!$KB$4:$KX$369,MATCH($A304,연료전지_원본!$KB$4:$KB$369,0), MATCH(CJ$4,연료전지_원본!$KB$4:$KX$4,0))*1000</f>
        <v>0</v>
      </c>
      <c r="CK304" s="250">
        <f>INDEX(연료전지_원본!$KB$4:$KX$369,MATCH($A304,연료전지_원본!$KB$4:$KB$369,0), MATCH(CK$4,연료전지_원본!$KB$4:$KX$4,0))*1000</f>
        <v>0</v>
      </c>
      <c r="CL304" s="250">
        <f>INDEX(연료전지_원본!$KB$4:$KX$369,MATCH($A304,연료전지_원본!$KB$4:$KB$369,0), MATCH(CL$4,연료전지_원본!$KB$4:$KX$4,0))*1000</f>
        <v>0</v>
      </c>
      <c r="CM304" s="250">
        <f>INDEX(연료전지_원본!$KB$4:$KX$369,MATCH($A304,연료전지_원본!$KB$4:$KB$369,0), MATCH(CM$4,연료전지_원본!$KB$4:$KX$4,0))*1000</f>
        <v>0</v>
      </c>
      <c r="CN304" s="250">
        <f>INDEX(연료전지_원본!$KB$4:$KX$369,MATCH($A304,연료전지_원본!$KB$4:$KB$369,0), MATCH(CN$4,연료전지_원본!$KB$4:$KX$4,0))*1000</f>
        <v>0</v>
      </c>
      <c r="CO304" s="250">
        <f>INDEX(연료전지_원본!$KB$4:$KX$369,MATCH($A304,연료전지_원본!$KB$4:$KB$369,0), MATCH(CO$4,연료전지_원본!$KB$4:$KX$4,0))*1000</f>
        <v>0</v>
      </c>
      <c r="CP304" s="250">
        <f>INDEX(연료전지_원본!$KB$4:$KX$369,MATCH($A304,연료전지_원본!$KB$4:$KB$369,0), MATCH(CP$4,연료전지_원본!$KB$4:$KX$4,0))*1000</f>
        <v>0</v>
      </c>
      <c r="CQ304" s="250">
        <f>INDEX(연료전지_원본!$KB$4:$KX$369,MATCH($A304,연료전지_원본!$KB$4:$KB$369,0), MATCH(CQ$4,연료전지_원본!$KB$4:$KX$4,0))*1000</f>
        <v>0</v>
      </c>
      <c r="CR304" s="250">
        <f>INDEX(연료전지_원본!$KB$4:$KX$369,MATCH($A304,연료전지_원본!$KB$4:$KB$369,0), MATCH(CR$4,연료전지_원본!$KB$4:$KX$4,0))*1000</f>
        <v>0</v>
      </c>
      <c r="CS304" s="250">
        <f>INDEX(연료전지_원본!$KB$4:$KX$369,MATCH($A304,연료전지_원본!$KB$4:$KB$369,0), MATCH(CS$4,연료전지_원본!$KB$4:$KX$4,0))*1000</f>
        <v>0</v>
      </c>
      <c r="CT304" s="250">
        <f>INDEX(연료전지_원본!$KB$4:$KX$369,MATCH($A304,연료전지_원본!$KB$4:$KB$369,0), MATCH(CT$4,연료전지_원본!$KB$4:$KX$4,0))*1000</f>
        <v>0</v>
      </c>
      <c r="CU304" s="250">
        <f>INDEX(연료전지_원본!$KB$4:$KX$369,MATCH($A304,연료전지_원본!$KB$4:$KB$369,0), MATCH(CU$4,연료전지_원본!$KB$4:$KX$4,0))*1000</f>
        <v>0</v>
      </c>
      <c r="CV304" s="250">
        <f>INDEX(연료전지_원본!$KB$4:$KX$369,MATCH($A304,연료전지_원본!$KB$4:$KB$369,0), MATCH(CV$4,연료전지_원본!$KB$4:$KX$4,0))*1000</f>
        <v>0</v>
      </c>
      <c r="CW304" s="250">
        <f>INDEX(연료전지_원본!$KB$4:$KX$369,MATCH($A304,연료전지_원본!$KB$4:$KB$369,0), MATCH(CW$4,연료전지_원본!$KB$4:$KX$4,0))*1000</f>
        <v>0</v>
      </c>
      <c r="CX304" s="250">
        <f>INDEX(연료전지_원본!$KB$4:$KX$369,MATCH($A304,연료전지_원본!$KB$4:$KB$369,0), MATCH(CX$4,연료전지_원본!$KB$4:$KX$4,0))*1000</f>
        <v>0</v>
      </c>
      <c r="CY304" s="250">
        <f>INDEX(연료전지_원본!$KB$4:$KX$369,MATCH($A304,연료전지_원본!$KB$4:$KB$369,0), MATCH(CY$4,연료전지_원본!$KB$4:$KX$4,0))*1000</f>
        <v>0</v>
      </c>
      <c r="DV304" s="30">
        <f t="shared" si="1616"/>
        <v>0</v>
      </c>
    </row>
    <row r="305" spans="1:126">
      <c r="A305" s="6">
        <v>46322</v>
      </c>
      <c r="B305" s="15">
        <f>운전실적_원본!B305</f>
        <v>0</v>
      </c>
      <c r="C305" s="16" t="str">
        <f t="shared" si="1622"/>
        <v/>
      </c>
      <c r="D305" s="12">
        <f>운전실적_원본!C305</f>
        <v>0</v>
      </c>
      <c r="E305" s="12" t="str">
        <f t="shared" si="1623"/>
        <v/>
      </c>
      <c r="F305" s="12">
        <f>운전실적_원본!D305</f>
        <v>0</v>
      </c>
      <c r="G305" s="16" t="str">
        <f t="shared" si="1624"/>
        <v/>
      </c>
      <c r="H305" s="15">
        <f>운전실적_원본!E305</f>
        <v>0</v>
      </c>
      <c r="I305" s="16" t="str">
        <f t="shared" si="1625"/>
        <v/>
      </c>
      <c r="J305" s="15">
        <f>운전실적_원본!F305</f>
        <v>0</v>
      </c>
      <c r="K305" s="16" t="str">
        <f t="shared" si="1625"/>
        <v/>
      </c>
      <c r="L305" s="32">
        <f>운전실적_원본!G305</f>
        <v>0</v>
      </c>
      <c r="M305" s="31" t="str">
        <f t="shared" ref="M305" si="1672">IF(OR(LEN(L305)=0,L305=0),"",L305-L304)</f>
        <v/>
      </c>
      <c r="N305" s="15">
        <f>운전실적_원본!H305</f>
        <v>0</v>
      </c>
      <c r="O305" s="16" t="str">
        <f t="shared" ref="O305" si="1673">IF(OR(LEN(N305)=0,N305=0),"",N305-N304)</f>
        <v/>
      </c>
      <c r="P305" s="15">
        <f>운전실적_원본!I305</f>
        <v>0</v>
      </c>
      <c r="Q305" s="16" t="str">
        <f t="shared" ref="Q305" si="1674">IF(OR(LEN(P305)=0,P305=0),"",P305-P304)</f>
        <v/>
      </c>
      <c r="R305" s="18">
        <f>운전실적_원본!J305</f>
        <v>0</v>
      </c>
      <c r="S305" s="19" t="str">
        <f t="shared" ref="S305" si="1675">IF(OR(LEN(R305)=0,R305=0),"",R305-R304)</f>
        <v/>
      </c>
      <c r="T305" s="18">
        <f>운전실적_원본!K305</f>
        <v>0</v>
      </c>
      <c r="U305" s="19" t="str">
        <f t="shared" si="1630"/>
        <v/>
      </c>
      <c r="V305" s="12">
        <f>운전실적_원본!L305</f>
        <v>0</v>
      </c>
      <c r="W305" s="16" t="str">
        <f t="shared" ref="W305" si="1676">IF(OR(LEN(V305)=0,V305=0),"",V305-V304)</f>
        <v/>
      </c>
      <c r="X305" s="10">
        <f>운전실적_원본!M305</f>
        <v>0</v>
      </c>
      <c r="Y305" s="10">
        <f>운전실적_원본!N305</f>
        <v>0</v>
      </c>
      <c r="Z305" s="10">
        <f>운전실적_원본!O305</f>
        <v>0</v>
      </c>
      <c r="AA305" s="10">
        <f>운전실적_원본!P305</f>
        <v>0</v>
      </c>
      <c r="AB305" s="10">
        <f>운전실적_원본!Q305</f>
        <v>0</v>
      </c>
      <c r="AC305" s="20">
        <f>운전실적_원본!R305</f>
        <v>0</v>
      </c>
      <c r="AD305" s="109">
        <f>운전실적_원본!S305</f>
        <v>0</v>
      </c>
      <c r="AE305" s="110">
        <f>운전실적_원본!T305</f>
        <v>0</v>
      </c>
      <c r="AF305" s="110">
        <f>운전실적_원본!U305</f>
        <v>0</v>
      </c>
      <c r="AG305" s="110">
        <f>운전실적_원본!V305</f>
        <v>0</v>
      </c>
      <c r="AH305" s="109">
        <f t="shared" si="1453"/>
        <v>0</v>
      </c>
      <c r="AI305" s="110">
        <f t="shared" si="1460"/>
        <v>0</v>
      </c>
      <c r="AJ305" s="110">
        <f>운전실적_원본!Y305</f>
        <v>0</v>
      </c>
      <c r="AK305" s="110">
        <f>운전실적_원본!Z305</f>
        <v>0</v>
      </c>
      <c r="AL305" s="106"/>
      <c r="AM305" s="105"/>
      <c r="AN305" s="105"/>
      <c r="AO305" s="105"/>
      <c r="AP305" s="105"/>
      <c r="AQ305" s="108"/>
      <c r="AR305" s="105"/>
      <c r="AS305" s="105"/>
      <c r="AT305" s="102"/>
      <c r="AU305" s="102"/>
      <c r="AV305" s="102"/>
      <c r="AW305" s="102"/>
      <c r="AX305" s="32">
        <f>운전실적_원본!W305</f>
        <v>0</v>
      </c>
      <c r="AY305" s="11">
        <f>운전실적_원본!X305</f>
        <v>0</v>
      </c>
      <c r="AZ305" s="11">
        <f>운전실적_원본!Y305</f>
        <v>0</v>
      </c>
      <c r="BA305" s="11">
        <f>운전실적_원본!Z305</f>
        <v>0</v>
      </c>
      <c r="BB305" s="11">
        <f>운전실적_원본!AA305</f>
        <v>0</v>
      </c>
      <c r="BC305" s="11">
        <f>운전실적_원본!AB305</f>
        <v>0</v>
      </c>
      <c r="BD305" s="32" t="str">
        <f t="shared" si="1446"/>
        <v>-</v>
      </c>
      <c r="BE305" s="11" t="str">
        <f t="shared" si="1454"/>
        <v>-</v>
      </c>
      <c r="BF305" s="11">
        <f>운전실적_원본!AE305</f>
        <v>0</v>
      </c>
      <c r="BG305" s="31">
        <f t="shared" si="1447"/>
        <v>0</v>
      </c>
      <c r="BH305" s="241">
        <f>INDEX(연료전지_원본!$A$4:$KY$369,MATCH($A305,연료전지_원본!$A$4:$A$369,0),MATCH($BH$4,연료전지_원본!$A$4:$KY$4,0))</f>
        <v>0</v>
      </c>
      <c r="BI305" s="241">
        <f>INDEX(연료전지_원본!$A$4:$KY$369,MATCH($A305,연료전지_원본!$A$4:$A$369,0),MATCH($BI$4,연료전지_원본!$A$4:$KY$4,0))</f>
        <v>0</v>
      </c>
      <c r="BJ305" s="241">
        <f>INDEX(연료전지_원본!$A$4:$KY$369,MATCH($A305,연료전지_원본!$A$4:$A$369,0),MATCH($BJ$4,연료전지_원본!$A$4:$KY$4,0))</f>
        <v>0</v>
      </c>
      <c r="BK305" s="241">
        <f>INDEX(연료전지_원본!$A$4:$KY$369,MATCH($A305,연료전지_원본!$A$4:$A$369,0),MATCH($BK$4,연료전지_원본!$A$4:$KY$4,0))</f>
        <v>0</v>
      </c>
      <c r="BL305" s="241">
        <f>INDEX(연료전지_원본!$A$4:$KY$369,MATCH($A305,연료전지_원본!$A$4:$A$369,0),MATCH($BL$4,연료전지_원본!$A$4:$KY$4,0))</f>
        <v>0</v>
      </c>
      <c r="BM305" s="241">
        <f>INDEX(연료전지_원본!$A$4:$KY$369,MATCH($A305,연료전지_원본!$A$4:$A$369,0),MATCH($BM$4,연료전지_원본!$A$4:$KY$4,0))</f>
        <v>0</v>
      </c>
      <c r="BN305" s="241">
        <f>INDEX(연료전지_원본!$A$4:$KY$369,MATCH($A305,연료전지_원본!$A$4:$A$369,0),MATCH($BN$4,연료전지_원본!$A$4:$KY$4,0))</f>
        <v>0</v>
      </c>
      <c r="BO305" s="241">
        <f>INDEX(연료전지_원본!$A$4:$KY$369,MATCH($A305,연료전지_원본!$A$4:$A$369,0),MATCH($BO$4,연료전지_원본!$A$4:$KY$4,0))</f>
        <v>0</v>
      </c>
      <c r="BP305" s="241">
        <f>INDEX(연료전지_원본!$A$4:$KY$369,MATCH($A305,연료전지_원본!$A$4:$A$369,0),MATCH($BP$4,연료전지_원본!$A$4:$KY$4,0))</f>
        <v>0</v>
      </c>
      <c r="BQ305" s="241">
        <f>INDEX(연료전지_원본!$A$4:$KY$369,MATCH($A305,연료전지_원본!$A$4:$A$369,0),MATCH($BQ$4,연료전지_원본!$A$4:$KY$4,0))</f>
        <v>0</v>
      </c>
      <c r="BR305" s="241">
        <f>INDEX(연료전지_원본!$A$4:$KY$369,MATCH($A305,연료전지_원본!$A$4:$A$369,0),MATCH($BR$4,연료전지_원본!$A$4:$KY$4,0))</f>
        <v>0</v>
      </c>
      <c r="BS305" s="241">
        <f>INDEX(연료전지_원본!$A$4:$KY$369,MATCH($A305,연료전지_원본!$A$4:$A$369,0),MATCH($BS$4,연료전지_원본!$A$4:$KY$4,0))</f>
        <v>0</v>
      </c>
      <c r="BT305" s="241">
        <f>INDEX(연료전지_원본!$A$4:$KY$369,MATCH($A305,연료전지_원본!$A$4:$A$369,0),MATCH($BT$4,연료전지_원본!$A$4:$KY$4,0))</f>
        <v>0</v>
      </c>
      <c r="BU305" s="241">
        <f>INDEX(연료전지_원본!$A$4:$KY$369,MATCH($A305,연료전지_원본!$A$4:$A$369,0),MATCH($BU$4,연료전지_원본!$A$4:$KY$4,0))</f>
        <v>0</v>
      </c>
      <c r="BV305" s="241">
        <f>INDEX(연료전지_원본!$A$4:$KY$369,MATCH($A305,연료전지_원본!$A$4:$A$369,0),MATCH($BV$4,연료전지_원본!$A$4:$KY$4,0))</f>
        <v>0</v>
      </c>
      <c r="BW305" s="241">
        <f>INDEX(연료전지_원본!$A$4:$KY$369,MATCH($A305,연료전지_원본!$A$4:$A$369,0),MATCH($BW$4,연료전지_원본!$A$4:$KY$4,0))</f>
        <v>0</v>
      </c>
      <c r="BX305" s="241">
        <f>INDEX(연료전지_원본!$A$4:$KY$369,MATCH($A305,연료전지_원본!$A$4:$A$369,0),MATCH($BX$4,연료전지_원본!$A$4:$KY$4,0))</f>
        <v>0</v>
      </c>
      <c r="BY305" s="241">
        <f>INDEX(연료전지_원본!$A$4:$KY$369,MATCH($A305,연료전지_원본!$A$4:$A$369,0),MATCH($BY$4,연료전지_원본!$A$4:$KY$4,0))</f>
        <v>0</v>
      </c>
      <c r="BZ305" s="241">
        <f>INDEX(연료전지_원본!$A$4:$KY$369,MATCH($A305,연료전지_원본!$A$4:$A$369,0),MATCH($BZ$4,연료전지_원본!$A$4:$KY$4,0))</f>
        <v>0</v>
      </c>
      <c r="CA305" s="241">
        <f>INDEX(연료전지_원본!$A$4:$KY$369,MATCH($A305,연료전지_원본!$A$4:$A$369,0),MATCH($CA$4,연료전지_원본!$A$4:$KY$4,0))</f>
        <v>0</v>
      </c>
      <c r="CB305" s="241">
        <f>INDEX(연료전지_원본!$A$4:$KY$369,MATCH($A305,연료전지_원본!$A$4:$A$369,0),MATCH($CB$4,연료전지_원본!$A$4:$KY$4,0))</f>
        <v>0</v>
      </c>
      <c r="CC305" s="242">
        <f>INDEX(연료전지_원본!$A$4:$KY$369,MATCH($A305,연료전지_원본!$A$4:$A$369,0),MATCH($CC$4,연료전지_원본!$A$4:$KY$4,0))</f>
        <v>0</v>
      </c>
      <c r="CD305" s="250">
        <f>INDEX(연료전지_원본!$KB$4:$KX$369,MATCH($A305,연료전지_원본!$KB$4:$KB$369,0), MATCH(CD$4,연료전지_원본!$KB$4:$KX$4,0))*1000</f>
        <v>0</v>
      </c>
      <c r="CE305" s="250">
        <f>INDEX(연료전지_원본!$KB$4:$KX$369,MATCH($A305,연료전지_원본!$KB$4:$KB$369,0), MATCH(CE$4,연료전지_원본!$KB$4:$KX$4,0))*1000</f>
        <v>0</v>
      </c>
      <c r="CF305" s="250">
        <f>INDEX(연료전지_원본!$KB$4:$KX$369,MATCH($A305,연료전지_원본!$KB$4:$KB$369,0), MATCH(CF$4,연료전지_원본!$KB$4:$KX$4,0))*1000</f>
        <v>0</v>
      </c>
      <c r="CG305" s="250">
        <f>INDEX(연료전지_원본!$KB$4:$KX$369,MATCH($A305,연료전지_원본!$KB$4:$KB$369,0), MATCH(CG$4,연료전지_원본!$KB$4:$KX$4,0))*1000</f>
        <v>0</v>
      </c>
      <c r="CH305" s="250">
        <f>INDEX(연료전지_원본!$KB$4:$KX$369,MATCH($A305,연료전지_원본!$KB$4:$KB$369,0), MATCH(CH$4,연료전지_원본!$KB$4:$KX$4,0))*1000</f>
        <v>0</v>
      </c>
      <c r="CI305" s="250">
        <f>INDEX(연료전지_원본!$KB$4:$KX$369,MATCH($A305,연료전지_원본!$KB$4:$KB$369,0), MATCH(CI$4,연료전지_원본!$KB$4:$KX$4,0))*1000</f>
        <v>0</v>
      </c>
      <c r="CJ305" s="250">
        <f>INDEX(연료전지_원본!$KB$4:$KX$369,MATCH($A305,연료전지_원본!$KB$4:$KB$369,0), MATCH(CJ$4,연료전지_원본!$KB$4:$KX$4,0))*1000</f>
        <v>0</v>
      </c>
      <c r="CK305" s="250">
        <f>INDEX(연료전지_원본!$KB$4:$KX$369,MATCH($A305,연료전지_원본!$KB$4:$KB$369,0), MATCH(CK$4,연료전지_원본!$KB$4:$KX$4,0))*1000</f>
        <v>0</v>
      </c>
      <c r="CL305" s="250">
        <f>INDEX(연료전지_원본!$KB$4:$KX$369,MATCH($A305,연료전지_원본!$KB$4:$KB$369,0), MATCH(CL$4,연료전지_원본!$KB$4:$KX$4,0))*1000</f>
        <v>0</v>
      </c>
      <c r="CM305" s="250">
        <f>INDEX(연료전지_원본!$KB$4:$KX$369,MATCH($A305,연료전지_원본!$KB$4:$KB$369,0), MATCH(CM$4,연료전지_원본!$KB$4:$KX$4,0))*1000</f>
        <v>0</v>
      </c>
      <c r="CN305" s="250">
        <f>INDEX(연료전지_원본!$KB$4:$KX$369,MATCH($A305,연료전지_원본!$KB$4:$KB$369,0), MATCH(CN$4,연료전지_원본!$KB$4:$KX$4,0))*1000</f>
        <v>0</v>
      </c>
      <c r="CO305" s="250">
        <f>INDEX(연료전지_원본!$KB$4:$KX$369,MATCH($A305,연료전지_원본!$KB$4:$KB$369,0), MATCH(CO$4,연료전지_원본!$KB$4:$KX$4,0))*1000</f>
        <v>0</v>
      </c>
      <c r="CP305" s="250">
        <f>INDEX(연료전지_원본!$KB$4:$KX$369,MATCH($A305,연료전지_원본!$KB$4:$KB$369,0), MATCH(CP$4,연료전지_원본!$KB$4:$KX$4,0))*1000</f>
        <v>0</v>
      </c>
      <c r="CQ305" s="250">
        <f>INDEX(연료전지_원본!$KB$4:$KX$369,MATCH($A305,연료전지_원본!$KB$4:$KB$369,0), MATCH(CQ$4,연료전지_원본!$KB$4:$KX$4,0))*1000</f>
        <v>0</v>
      </c>
      <c r="CR305" s="250">
        <f>INDEX(연료전지_원본!$KB$4:$KX$369,MATCH($A305,연료전지_원본!$KB$4:$KB$369,0), MATCH(CR$4,연료전지_원본!$KB$4:$KX$4,0))*1000</f>
        <v>0</v>
      </c>
      <c r="CS305" s="250">
        <f>INDEX(연료전지_원본!$KB$4:$KX$369,MATCH($A305,연료전지_원본!$KB$4:$KB$369,0), MATCH(CS$4,연료전지_원본!$KB$4:$KX$4,0))*1000</f>
        <v>0</v>
      </c>
      <c r="CT305" s="250">
        <f>INDEX(연료전지_원본!$KB$4:$KX$369,MATCH($A305,연료전지_원본!$KB$4:$KB$369,0), MATCH(CT$4,연료전지_원본!$KB$4:$KX$4,0))*1000</f>
        <v>0</v>
      </c>
      <c r="CU305" s="250">
        <f>INDEX(연료전지_원본!$KB$4:$KX$369,MATCH($A305,연료전지_원본!$KB$4:$KB$369,0), MATCH(CU$4,연료전지_원본!$KB$4:$KX$4,0))*1000</f>
        <v>0</v>
      </c>
      <c r="CV305" s="250">
        <f>INDEX(연료전지_원본!$KB$4:$KX$369,MATCH($A305,연료전지_원본!$KB$4:$KB$369,0), MATCH(CV$4,연료전지_원본!$KB$4:$KX$4,0))*1000</f>
        <v>0</v>
      </c>
      <c r="CW305" s="250">
        <f>INDEX(연료전지_원본!$KB$4:$KX$369,MATCH($A305,연료전지_원본!$KB$4:$KB$369,0), MATCH(CW$4,연료전지_원본!$KB$4:$KX$4,0))*1000</f>
        <v>0</v>
      </c>
      <c r="CX305" s="250">
        <f>INDEX(연료전지_원본!$KB$4:$KX$369,MATCH($A305,연료전지_원본!$KB$4:$KB$369,0), MATCH(CX$4,연료전지_원본!$KB$4:$KX$4,0))*1000</f>
        <v>0</v>
      </c>
      <c r="CY305" s="250">
        <f>INDEX(연료전지_원본!$KB$4:$KX$369,MATCH($A305,연료전지_원본!$KB$4:$KB$369,0), MATCH(CY$4,연료전지_원본!$KB$4:$KX$4,0))*1000</f>
        <v>0</v>
      </c>
      <c r="DV305" s="30">
        <f t="shared" si="1616"/>
        <v>0</v>
      </c>
    </row>
    <row r="306" spans="1:126">
      <c r="A306" s="6">
        <v>46323</v>
      </c>
      <c r="B306" s="15">
        <f>운전실적_원본!B306</f>
        <v>0</v>
      </c>
      <c r="C306" s="16" t="str">
        <f t="shared" si="1622"/>
        <v/>
      </c>
      <c r="D306" s="12">
        <f>운전실적_원본!C306</f>
        <v>0</v>
      </c>
      <c r="E306" s="12" t="str">
        <f t="shared" si="1623"/>
        <v/>
      </c>
      <c r="F306" s="12">
        <f>운전실적_원본!D306</f>
        <v>0</v>
      </c>
      <c r="G306" s="16" t="str">
        <f t="shared" si="1624"/>
        <v/>
      </c>
      <c r="H306" s="15">
        <f>운전실적_원본!E306</f>
        <v>0</v>
      </c>
      <c r="I306" s="16" t="str">
        <f t="shared" si="1625"/>
        <v/>
      </c>
      <c r="J306" s="15">
        <f>운전실적_원본!F306</f>
        <v>0</v>
      </c>
      <c r="K306" s="16" t="str">
        <f t="shared" si="1625"/>
        <v/>
      </c>
      <c r="L306" s="32">
        <f>운전실적_원본!G306</f>
        <v>0</v>
      </c>
      <c r="M306" s="31" t="str">
        <f t="shared" ref="M306" si="1677">IF(OR(LEN(L306)=0,L306=0),"",L306-L305)</f>
        <v/>
      </c>
      <c r="N306" s="15">
        <f>운전실적_원본!H306</f>
        <v>0</v>
      </c>
      <c r="O306" s="16" t="str">
        <f t="shared" ref="O306" si="1678">IF(OR(LEN(N306)=0,N306=0),"",N306-N305)</f>
        <v/>
      </c>
      <c r="P306" s="15">
        <f>운전실적_원본!I306</f>
        <v>0</v>
      </c>
      <c r="Q306" s="16" t="str">
        <f t="shared" ref="Q306" si="1679">IF(OR(LEN(P306)=0,P306=0),"",P306-P305)</f>
        <v/>
      </c>
      <c r="R306" s="18">
        <f>운전실적_원본!J306</f>
        <v>0</v>
      </c>
      <c r="S306" s="19" t="str">
        <f t="shared" ref="S306" si="1680">IF(OR(LEN(R306)=0,R306=0),"",R306-R305)</f>
        <v/>
      </c>
      <c r="T306" s="18">
        <f>운전실적_원본!K306</f>
        <v>0</v>
      </c>
      <c r="U306" s="19" t="str">
        <f t="shared" si="1630"/>
        <v/>
      </c>
      <c r="V306" s="12">
        <f>운전실적_원본!L306</f>
        <v>0</v>
      </c>
      <c r="W306" s="16" t="str">
        <f t="shared" ref="W306" si="1681">IF(OR(LEN(V306)=0,V306=0),"",V306-V305)</f>
        <v/>
      </c>
      <c r="X306" s="10">
        <f>운전실적_원본!M306</f>
        <v>0</v>
      </c>
      <c r="Y306" s="10">
        <f>운전실적_원본!N306</f>
        <v>0</v>
      </c>
      <c r="Z306" s="10">
        <f>운전실적_원본!O306</f>
        <v>0</v>
      </c>
      <c r="AA306" s="10">
        <f>운전실적_원본!P306</f>
        <v>0</v>
      </c>
      <c r="AB306" s="10">
        <f>운전실적_원본!Q306</f>
        <v>0</v>
      </c>
      <c r="AC306" s="20">
        <f>운전실적_원본!R306</f>
        <v>0</v>
      </c>
      <c r="AD306" s="109">
        <f>운전실적_원본!S306</f>
        <v>0</v>
      </c>
      <c r="AE306" s="110">
        <f>운전실적_원본!T306</f>
        <v>0</v>
      </c>
      <c r="AF306" s="110">
        <f>운전실적_원본!U306</f>
        <v>0</v>
      </c>
      <c r="AG306" s="110">
        <f>운전실적_원본!V306</f>
        <v>0</v>
      </c>
      <c r="AH306" s="109">
        <f t="shared" si="1453"/>
        <v>0</v>
      </c>
      <c r="AI306" s="110">
        <f t="shared" si="1460"/>
        <v>0</v>
      </c>
      <c r="AJ306" s="110">
        <f>운전실적_원본!Y306</f>
        <v>0</v>
      </c>
      <c r="AK306" s="110">
        <f>운전실적_원본!Z306</f>
        <v>0</v>
      </c>
      <c r="AL306" s="106"/>
      <c r="AM306" s="105"/>
      <c r="AN306" s="105"/>
      <c r="AO306" s="105"/>
      <c r="AP306" s="105"/>
      <c r="AQ306" s="108"/>
      <c r="AR306" s="105"/>
      <c r="AS306" s="105"/>
      <c r="AT306" s="102"/>
      <c r="AU306" s="102"/>
      <c r="AV306" s="102"/>
      <c r="AW306" s="102"/>
      <c r="AX306" s="32">
        <f>운전실적_원본!W306</f>
        <v>0</v>
      </c>
      <c r="AY306" s="11">
        <f>운전실적_원본!X306</f>
        <v>0</v>
      </c>
      <c r="AZ306" s="11">
        <f>운전실적_원본!Y306</f>
        <v>0</v>
      </c>
      <c r="BA306" s="11">
        <f>운전실적_원본!Z306</f>
        <v>0</v>
      </c>
      <c r="BB306" s="11">
        <f>운전실적_원본!AA306</f>
        <v>0</v>
      </c>
      <c r="BC306" s="11">
        <f>운전실적_원본!AB306</f>
        <v>0</v>
      </c>
      <c r="BD306" s="32" t="str">
        <f t="shared" si="1446"/>
        <v>-</v>
      </c>
      <c r="BE306" s="11" t="str">
        <f t="shared" si="1454"/>
        <v>-</v>
      </c>
      <c r="BF306" s="11">
        <f>운전실적_원본!AE306</f>
        <v>0</v>
      </c>
      <c r="BG306" s="31">
        <f t="shared" si="1447"/>
        <v>0</v>
      </c>
      <c r="BH306" s="241">
        <f>INDEX(연료전지_원본!$A$4:$KY$369,MATCH($A306,연료전지_원본!$A$4:$A$369,0),MATCH($BH$4,연료전지_원본!$A$4:$KY$4,0))</f>
        <v>0</v>
      </c>
      <c r="BI306" s="241">
        <f>INDEX(연료전지_원본!$A$4:$KY$369,MATCH($A306,연료전지_원본!$A$4:$A$369,0),MATCH($BI$4,연료전지_원본!$A$4:$KY$4,0))</f>
        <v>0</v>
      </c>
      <c r="BJ306" s="241">
        <f>INDEX(연료전지_원본!$A$4:$KY$369,MATCH($A306,연료전지_원본!$A$4:$A$369,0),MATCH($BJ$4,연료전지_원본!$A$4:$KY$4,0))</f>
        <v>0</v>
      </c>
      <c r="BK306" s="241">
        <f>INDEX(연료전지_원본!$A$4:$KY$369,MATCH($A306,연료전지_원본!$A$4:$A$369,0),MATCH($BK$4,연료전지_원본!$A$4:$KY$4,0))</f>
        <v>0</v>
      </c>
      <c r="BL306" s="241">
        <f>INDEX(연료전지_원본!$A$4:$KY$369,MATCH($A306,연료전지_원본!$A$4:$A$369,0),MATCH($BL$4,연료전지_원본!$A$4:$KY$4,0))</f>
        <v>0</v>
      </c>
      <c r="BM306" s="241">
        <f>INDEX(연료전지_원본!$A$4:$KY$369,MATCH($A306,연료전지_원본!$A$4:$A$369,0),MATCH($BM$4,연료전지_원본!$A$4:$KY$4,0))</f>
        <v>0</v>
      </c>
      <c r="BN306" s="241">
        <f>INDEX(연료전지_원본!$A$4:$KY$369,MATCH($A306,연료전지_원본!$A$4:$A$369,0),MATCH($BN$4,연료전지_원본!$A$4:$KY$4,0))</f>
        <v>0</v>
      </c>
      <c r="BO306" s="241">
        <f>INDEX(연료전지_원본!$A$4:$KY$369,MATCH($A306,연료전지_원본!$A$4:$A$369,0),MATCH($BO$4,연료전지_원본!$A$4:$KY$4,0))</f>
        <v>0</v>
      </c>
      <c r="BP306" s="241">
        <f>INDEX(연료전지_원본!$A$4:$KY$369,MATCH($A306,연료전지_원본!$A$4:$A$369,0),MATCH($BP$4,연료전지_원본!$A$4:$KY$4,0))</f>
        <v>0</v>
      </c>
      <c r="BQ306" s="241">
        <f>INDEX(연료전지_원본!$A$4:$KY$369,MATCH($A306,연료전지_원본!$A$4:$A$369,0),MATCH($BQ$4,연료전지_원본!$A$4:$KY$4,0))</f>
        <v>0</v>
      </c>
      <c r="BR306" s="241">
        <f>INDEX(연료전지_원본!$A$4:$KY$369,MATCH($A306,연료전지_원본!$A$4:$A$369,0),MATCH($BR$4,연료전지_원본!$A$4:$KY$4,0))</f>
        <v>0</v>
      </c>
      <c r="BS306" s="241">
        <f>INDEX(연료전지_원본!$A$4:$KY$369,MATCH($A306,연료전지_원본!$A$4:$A$369,0),MATCH($BS$4,연료전지_원본!$A$4:$KY$4,0))</f>
        <v>0</v>
      </c>
      <c r="BT306" s="241">
        <f>INDEX(연료전지_원본!$A$4:$KY$369,MATCH($A306,연료전지_원본!$A$4:$A$369,0),MATCH($BT$4,연료전지_원본!$A$4:$KY$4,0))</f>
        <v>0</v>
      </c>
      <c r="BU306" s="241">
        <f>INDEX(연료전지_원본!$A$4:$KY$369,MATCH($A306,연료전지_원본!$A$4:$A$369,0),MATCH($BU$4,연료전지_원본!$A$4:$KY$4,0))</f>
        <v>0</v>
      </c>
      <c r="BV306" s="241">
        <f>INDEX(연료전지_원본!$A$4:$KY$369,MATCH($A306,연료전지_원본!$A$4:$A$369,0),MATCH($BV$4,연료전지_원본!$A$4:$KY$4,0))</f>
        <v>0</v>
      </c>
      <c r="BW306" s="241">
        <f>INDEX(연료전지_원본!$A$4:$KY$369,MATCH($A306,연료전지_원본!$A$4:$A$369,0),MATCH($BW$4,연료전지_원본!$A$4:$KY$4,0))</f>
        <v>0</v>
      </c>
      <c r="BX306" s="241">
        <f>INDEX(연료전지_원본!$A$4:$KY$369,MATCH($A306,연료전지_원본!$A$4:$A$369,0),MATCH($BX$4,연료전지_원본!$A$4:$KY$4,0))</f>
        <v>0</v>
      </c>
      <c r="BY306" s="241">
        <f>INDEX(연료전지_원본!$A$4:$KY$369,MATCH($A306,연료전지_원본!$A$4:$A$369,0),MATCH($BY$4,연료전지_원본!$A$4:$KY$4,0))</f>
        <v>0</v>
      </c>
      <c r="BZ306" s="241">
        <f>INDEX(연료전지_원본!$A$4:$KY$369,MATCH($A306,연료전지_원본!$A$4:$A$369,0),MATCH($BZ$4,연료전지_원본!$A$4:$KY$4,0))</f>
        <v>0</v>
      </c>
      <c r="CA306" s="241">
        <f>INDEX(연료전지_원본!$A$4:$KY$369,MATCH($A306,연료전지_원본!$A$4:$A$369,0),MATCH($CA$4,연료전지_원본!$A$4:$KY$4,0))</f>
        <v>0</v>
      </c>
      <c r="CB306" s="241">
        <f>INDEX(연료전지_원본!$A$4:$KY$369,MATCH($A306,연료전지_원본!$A$4:$A$369,0),MATCH($CB$4,연료전지_원본!$A$4:$KY$4,0))</f>
        <v>0</v>
      </c>
      <c r="CC306" s="242">
        <f>INDEX(연료전지_원본!$A$4:$KY$369,MATCH($A306,연료전지_원본!$A$4:$A$369,0),MATCH($CC$4,연료전지_원본!$A$4:$KY$4,0))</f>
        <v>0</v>
      </c>
      <c r="CD306" s="250">
        <f>INDEX(연료전지_원본!$KB$4:$KX$369,MATCH($A306,연료전지_원본!$KB$4:$KB$369,0), MATCH(CD$4,연료전지_원본!$KB$4:$KX$4,0))*1000</f>
        <v>0</v>
      </c>
      <c r="CE306" s="250">
        <f>INDEX(연료전지_원본!$KB$4:$KX$369,MATCH($A306,연료전지_원본!$KB$4:$KB$369,0), MATCH(CE$4,연료전지_원본!$KB$4:$KX$4,0))*1000</f>
        <v>0</v>
      </c>
      <c r="CF306" s="250">
        <f>INDEX(연료전지_원본!$KB$4:$KX$369,MATCH($A306,연료전지_원본!$KB$4:$KB$369,0), MATCH(CF$4,연료전지_원본!$KB$4:$KX$4,0))*1000</f>
        <v>0</v>
      </c>
      <c r="CG306" s="250">
        <f>INDEX(연료전지_원본!$KB$4:$KX$369,MATCH($A306,연료전지_원본!$KB$4:$KB$369,0), MATCH(CG$4,연료전지_원본!$KB$4:$KX$4,0))*1000</f>
        <v>0</v>
      </c>
      <c r="CH306" s="250">
        <f>INDEX(연료전지_원본!$KB$4:$KX$369,MATCH($A306,연료전지_원본!$KB$4:$KB$369,0), MATCH(CH$4,연료전지_원본!$KB$4:$KX$4,0))*1000</f>
        <v>0</v>
      </c>
      <c r="CI306" s="250">
        <f>INDEX(연료전지_원본!$KB$4:$KX$369,MATCH($A306,연료전지_원본!$KB$4:$KB$369,0), MATCH(CI$4,연료전지_원본!$KB$4:$KX$4,0))*1000</f>
        <v>0</v>
      </c>
      <c r="CJ306" s="250">
        <f>INDEX(연료전지_원본!$KB$4:$KX$369,MATCH($A306,연료전지_원본!$KB$4:$KB$369,0), MATCH(CJ$4,연료전지_원본!$KB$4:$KX$4,0))*1000</f>
        <v>0</v>
      </c>
      <c r="CK306" s="250">
        <f>INDEX(연료전지_원본!$KB$4:$KX$369,MATCH($A306,연료전지_원본!$KB$4:$KB$369,0), MATCH(CK$4,연료전지_원본!$KB$4:$KX$4,0))*1000</f>
        <v>0</v>
      </c>
      <c r="CL306" s="250">
        <f>INDEX(연료전지_원본!$KB$4:$KX$369,MATCH($A306,연료전지_원본!$KB$4:$KB$369,0), MATCH(CL$4,연료전지_원본!$KB$4:$KX$4,0))*1000</f>
        <v>0</v>
      </c>
      <c r="CM306" s="250">
        <f>INDEX(연료전지_원본!$KB$4:$KX$369,MATCH($A306,연료전지_원본!$KB$4:$KB$369,0), MATCH(CM$4,연료전지_원본!$KB$4:$KX$4,0))*1000</f>
        <v>0</v>
      </c>
      <c r="CN306" s="250">
        <f>INDEX(연료전지_원본!$KB$4:$KX$369,MATCH($A306,연료전지_원본!$KB$4:$KB$369,0), MATCH(CN$4,연료전지_원본!$KB$4:$KX$4,0))*1000</f>
        <v>0</v>
      </c>
      <c r="CO306" s="250">
        <f>INDEX(연료전지_원본!$KB$4:$KX$369,MATCH($A306,연료전지_원본!$KB$4:$KB$369,0), MATCH(CO$4,연료전지_원본!$KB$4:$KX$4,0))*1000</f>
        <v>0</v>
      </c>
      <c r="CP306" s="250">
        <f>INDEX(연료전지_원본!$KB$4:$KX$369,MATCH($A306,연료전지_원본!$KB$4:$KB$369,0), MATCH(CP$4,연료전지_원본!$KB$4:$KX$4,0))*1000</f>
        <v>0</v>
      </c>
      <c r="CQ306" s="250">
        <f>INDEX(연료전지_원본!$KB$4:$KX$369,MATCH($A306,연료전지_원본!$KB$4:$KB$369,0), MATCH(CQ$4,연료전지_원본!$KB$4:$KX$4,0))*1000</f>
        <v>0</v>
      </c>
      <c r="CR306" s="250">
        <f>INDEX(연료전지_원본!$KB$4:$KX$369,MATCH($A306,연료전지_원본!$KB$4:$KB$369,0), MATCH(CR$4,연료전지_원본!$KB$4:$KX$4,0))*1000</f>
        <v>0</v>
      </c>
      <c r="CS306" s="250">
        <f>INDEX(연료전지_원본!$KB$4:$KX$369,MATCH($A306,연료전지_원본!$KB$4:$KB$369,0), MATCH(CS$4,연료전지_원본!$KB$4:$KX$4,0))*1000</f>
        <v>0</v>
      </c>
      <c r="CT306" s="250">
        <f>INDEX(연료전지_원본!$KB$4:$KX$369,MATCH($A306,연료전지_원본!$KB$4:$KB$369,0), MATCH(CT$4,연료전지_원본!$KB$4:$KX$4,0))*1000</f>
        <v>0</v>
      </c>
      <c r="CU306" s="250">
        <f>INDEX(연료전지_원본!$KB$4:$KX$369,MATCH($A306,연료전지_원본!$KB$4:$KB$369,0), MATCH(CU$4,연료전지_원본!$KB$4:$KX$4,0))*1000</f>
        <v>0</v>
      </c>
      <c r="CV306" s="250">
        <f>INDEX(연료전지_원본!$KB$4:$KX$369,MATCH($A306,연료전지_원본!$KB$4:$KB$369,0), MATCH(CV$4,연료전지_원본!$KB$4:$KX$4,0))*1000</f>
        <v>0</v>
      </c>
      <c r="CW306" s="250">
        <f>INDEX(연료전지_원본!$KB$4:$KX$369,MATCH($A306,연료전지_원본!$KB$4:$KB$369,0), MATCH(CW$4,연료전지_원본!$KB$4:$KX$4,0))*1000</f>
        <v>0</v>
      </c>
      <c r="CX306" s="250">
        <f>INDEX(연료전지_원본!$KB$4:$KX$369,MATCH($A306,연료전지_원본!$KB$4:$KB$369,0), MATCH(CX$4,연료전지_원본!$KB$4:$KX$4,0))*1000</f>
        <v>0</v>
      </c>
      <c r="CY306" s="250">
        <f>INDEX(연료전지_원본!$KB$4:$KX$369,MATCH($A306,연료전지_원본!$KB$4:$KB$369,0), MATCH(CY$4,연료전지_원본!$KB$4:$KX$4,0))*1000</f>
        <v>0</v>
      </c>
      <c r="DV306" s="30">
        <f t="shared" si="1616"/>
        <v>0</v>
      </c>
    </row>
    <row r="307" spans="1:126">
      <c r="A307" s="6">
        <v>46324</v>
      </c>
      <c r="B307" s="15">
        <f>운전실적_원본!B307</f>
        <v>0</v>
      </c>
      <c r="C307" s="16" t="str">
        <f t="shared" si="1622"/>
        <v/>
      </c>
      <c r="D307" s="12">
        <f>운전실적_원본!C307</f>
        <v>0</v>
      </c>
      <c r="E307" s="12" t="str">
        <f t="shared" si="1623"/>
        <v/>
      </c>
      <c r="F307" s="12">
        <f>운전실적_원본!D307</f>
        <v>0</v>
      </c>
      <c r="G307" s="16" t="str">
        <f t="shared" si="1624"/>
        <v/>
      </c>
      <c r="H307" s="15">
        <f>운전실적_원본!E307</f>
        <v>0</v>
      </c>
      <c r="I307" s="16" t="str">
        <f t="shared" si="1625"/>
        <v/>
      </c>
      <c r="J307" s="15">
        <f>운전실적_원본!F307</f>
        <v>0</v>
      </c>
      <c r="K307" s="16" t="str">
        <f t="shared" si="1625"/>
        <v/>
      </c>
      <c r="L307" s="32">
        <f>운전실적_원본!G307</f>
        <v>0</v>
      </c>
      <c r="M307" s="31" t="str">
        <f t="shared" ref="M307" si="1682">IF(OR(LEN(L307)=0,L307=0),"",L307-L306)</f>
        <v/>
      </c>
      <c r="N307" s="15">
        <f>운전실적_원본!H307</f>
        <v>0</v>
      </c>
      <c r="O307" s="16" t="str">
        <f t="shared" ref="O307" si="1683">IF(OR(LEN(N307)=0,N307=0),"",N307-N306)</f>
        <v/>
      </c>
      <c r="P307" s="15">
        <f>운전실적_원본!I307</f>
        <v>0</v>
      </c>
      <c r="Q307" s="16" t="str">
        <f t="shared" ref="Q307" si="1684">IF(OR(LEN(P307)=0,P307=0),"",P307-P306)</f>
        <v/>
      </c>
      <c r="R307" s="18">
        <f>운전실적_원본!J307</f>
        <v>0</v>
      </c>
      <c r="S307" s="19" t="str">
        <f t="shared" ref="S307" si="1685">IF(OR(LEN(R307)=0,R307=0),"",R307-R306)</f>
        <v/>
      </c>
      <c r="T307" s="18">
        <f>운전실적_원본!K307</f>
        <v>0</v>
      </c>
      <c r="U307" s="19" t="str">
        <f t="shared" si="1630"/>
        <v/>
      </c>
      <c r="V307" s="12">
        <f>운전실적_원본!L307</f>
        <v>0</v>
      </c>
      <c r="W307" s="16" t="str">
        <f t="shared" ref="W307" si="1686">IF(OR(LEN(V307)=0,V307=0),"",V307-V306)</f>
        <v/>
      </c>
      <c r="X307" s="10">
        <f>운전실적_원본!M307</f>
        <v>0</v>
      </c>
      <c r="Y307" s="10">
        <f>운전실적_원본!N307</f>
        <v>0</v>
      </c>
      <c r="Z307" s="10">
        <f>운전실적_원본!O307</f>
        <v>0</v>
      </c>
      <c r="AA307" s="10">
        <f>운전실적_원본!P307</f>
        <v>0</v>
      </c>
      <c r="AB307" s="10">
        <f>운전실적_원본!Q307</f>
        <v>0</v>
      </c>
      <c r="AC307" s="20">
        <f>운전실적_원본!R307</f>
        <v>0</v>
      </c>
      <c r="AD307" s="109">
        <f>운전실적_원본!S307</f>
        <v>0</v>
      </c>
      <c r="AE307" s="110">
        <f>운전실적_원본!T307</f>
        <v>0</v>
      </c>
      <c r="AF307" s="110">
        <f>운전실적_원본!U307</f>
        <v>0</v>
      </c>
      <c r="AG307" s="110">
        <f>운전실적_원본!V307</f>
        <v>0</v>
      </c>
      <c r="AH307" s="109">
        <f t="shared" si="1453"/>
        <v>0</v>
      </c>
      <c r="AI307" s="110">
        <f t="shared" si="1460"/>
        <v>0</v>
      </c>
      <c r="AJ307" s="110">
        <f>운전실적_원본!Y307</f>
        <v>0</v>
      </c>
      <c r="AK307" s="110">
        <f>운전실적_원본!Z307</f>
        <v>0</v>
      </c>
      <c r="AL307" s="106"/>
      <c r="AM307" s="105"/>
      <c r="AN307" s="105"/>
      <c r="AO307" s="105"/>
      <c r="AP307" s="105"/>
      <c r="AQ307" s="108"/>
      <c r="AR307" s="105"/>
      <c r="AS307" s="105"/>
      <c r="AT307" s="102"/>
      <c r="AU307" s="102"/>
      <c r="AV307" s="102"/>
      <c r="AW307" s="102"/>
      <c r="AX307" s="32">
        <f>운전실적_원본!W307</f>
        <v>0</v>
      </c>
      <c r="AY307" s="11">
        <f>운전실적_원본!X307</f>
        <v>0</v>
      </c>
      <c r="AZ307" s="11">
        <f>운전실적_원본!Y307</f>
        <v>0</v>
      </c>
      <c r="BA307" s="11">
        <f>운전실적_원본!Z307</f>
        <v>0</v>
      </c>
      <c r="BB307" s="11">
        <f>운전실적_원본!AA307</f>
        <v>0</v>
      </c>
      <c r="BC307" s="11">
        <f>운전실적_원본!AB307</f>
        <v>0</v>
      </c>
      <c r="BD307" s="32" t="str">
        <f t="shared" si="1446"/>
        <v>-</v>
      </c>
      <c r="BE307" s="11" t="str">
        <f t="shared" si="1454"/>
        <v>-</v>
      </c>
      <c r="BF307" s="11">
        <f>운전실적_원본!AE307</f>
        <v>0</v>
      </c>
      <c r="BG307" s="31">
        <f t="shared" si="1447"/>
        <v>0</v>
      </c>
      <c r="BH307" s="241">
        <f>INDEX(연료전지_원본!$A$4:$KY$369,MATCH($A307,연료전지_원본!$A$4:$A$369,0),MATCH($BH$4,연료전지_원본!$A$4:$KY$4,0))</f>
        <v>0</v>
      </c>
      <c r="BI307" s="241">
        <f>INDEX(연료전지_원본!$A$4:$KY$369,MATCH($A307,연료전지_원본!$A$4:$A$369,0),MATCH($BI$4,연료전지_원본!$A$4:$KY$4,0))</f>
        <v>0</v>
      </c>
      <c r="BJ307" s="241">
        <f>INDEX(연료전지_원본!$A$4:$KY$369,MATCH($A307,연료전지_원본!$A$4:$A$369,0),MATCH($BJ$4,연료전지_원본!$A$4:$KY$4,0))</f>
        <v>0</v>
      </c>
      <c r="BK307" s="241">
        <f>INDEX(연료전지_원본!$A$4:$KY$369,MATCH($A307,연료전지_원본!$A$4:$A$369,0),MATCH($BK$4,연료전지_원본!$A$4:$KY$4,0))</f>
        <v>0</v>
      </c>
      <c r="BL307" s="241">
        <f>INDEX(연료전지_원본!$A$4:$KY$369,MATCH($A307,연료전지_원본!$A$4:$A$369,0),MATCH($BL$4,연료전지_원본!$A$4:$KY$4,0))</f>
        <v>0</v>
      </c>
      <c r="BM307" s="241">
        <f>INDEX(연료전지_원본!$A$4:$KY$369,MATCH($A307,연료전지_원본!$A$4:$A$369,0),MATCH($BM$4,연료전지_원본!$A$4:$KY$4,0))</f>
        <v>0</v>
      </c>
      <c r="BN307" s="241">
        <f>INDEX(연료전지_원본!$A$4:$KY$369,MATCH($A307,연료전지_원본!$A$4:$A$369,0),MATCH($BN$4,연료전지_원본!$A$4:$KY$4,0))</f>
        <v>0</v>
      </c>
      <c r="BO307" s="241">
        <f>INDEX(연료전지_원본!$A$4:$KY$369,MATCH($A307,연료전지_원본!$A$4:$A$369,0),MATCH($BO$4,연료전지_원본!$A$4:$KY$4,0))</f>
        <v>0</v>
      </c>
      <c r="BP307" s="241">
        <f>INDEX(연료전지_원본!$A$4:$KY$369,MATCH($A307,연료전지_원본!$A$4:$A$369,0),MATCH($BP$4,연료전지_원본!$A$4:$KY$4,0))</f>
        <v>0</v>
      </c>
      <c r="BQ307" s="241">
        <f>INDEX(연료전지_원본!$A$4:$KY$369,MATCH($A307,연료전지_원본!$A$4:$A$369,0),MATCH($BQ$4,연료전지_원본!$A$4:$KY$4,0))</f>
        <v>0</v>
      </c>
      <c r="BR307" s="241">
        <f>INDEX(연료전지_원본!$A$4:$KY$369,MATCH($A307,연료전지_원본!$A$4:$A$369,0),MATCH($BR$4,연료전지_원본!$A$4:$KY$4,0))</f>
        <v>0</v>
      </c>
      <c r="BS307" s="241">
        <f>INDEX(연료전지_원본!$A$4:$KY$369,MATCH($A307,연료전지_원본!$A$4:$A$369,0),MATCH($BS$4,연료전지_원본!$A$4:$KY$4,0))</f>
        <v>0</v>
      </c>
      <c r="BT307" s="241">
        <f>INDEX(연료전지_원본!$A$4:$KY$369,MATCH($A307,연료전지_원본!$A$4:$A$369,0),MATCH($BT$4,연료전지_원본!$A$4:$KY$4,0))</f>
        <v>0</v>
      </c>
      <c r="BU307" s="241">
        <f>INDEX(연료전지_원본!$A$4:$KY$369,MATCH($A307,연료전지_원본!$A$4:$A$369,0),MATCH($BU$4,연료전지_원본!$A$4:$KY$4,0))</f>
        <v>0</v>
      </c>
      <c r="BV307" s="241">
        <f>INDEX(연료전지_원본!$A$4:$KY$369,MATCH($A307,연료전지_원본!$A$4:$A$369,0),MATCH($BV$4,연료전지_원본!$A$4:$KY$4,0))</f>
        <v>0</v>
      </c>
      <c r="BW307" s="241">
        <f>INDEX(연료전지_원본!$A$4:$KY$369,MATCH($A307,연료전지_원본!$A$4:$A$369,0),MATCH($BW$4,연료전지_원본!$A$4:$KY$4,0))</f>
        <v>0</v>
      </c>
      <c r="BX307" s="241">
        <f>INDEX(연료전지_원본!$A$4:$KY$369,MATCH($A307,연료전지_원본!$A$4:$A$369,0),MATCH($BX$4,연료전지_원본!$A$4:$KY$4,0))</f>
        <v>0</v>
      </c>
      <c r="BY307" s="241">
        <f>INDEX(연료전지_원본!$A$4:$KY$369,MATCH($A307,연료전지_원본!$A$4:$A$369,0),MATCH($BY$4,연료전지_원본!$A$4:$KY$4,0))</f>
        <v>0</v>
      </c>
      <c r="BZ307" s="241">
        <f>INDEX(연료전지_원본!$A$4:$KY$369,MATCH($A307,연료전지_원본!$A$4:$A$369,0),MATCH($BZ$4,연료전지_원본!$A$4:$KY$4,0))</f>
        <v>0</v>
      </c>
      <c r="CA307" s="241">
        <f>INDEX(연료전지_원본!$A$4:$KY$369,MATCH($A307,연료전지_원본!$A$4:$A$369,0),MATCH($CA$4,연료전지_원본!$A$4:$KY$4,0))</f>
        <v>0</v>
      </c>
      <c r="CB307" s="241">
        <f>INDEX(연료전지_원본!$A$4:$KY$369,MATCH($A307,연료전지_원본!$A$4:$A$369,0),MATCH($CB$4,연료전지_원본!$A$4:$KY$4,0))</f>
        <v>0</v>
      </c>
      <c r="CC307" s="242">
        <f>INDEX(연료전지_원본!$A$4:$KY$369,MATCH($A307,연료전지_원본!$A$4:$A$369,0),MATCH($CC$4,연료전지_원본!$A$4:$KY$4,0))</f>
        <v>0</v>
      </c>
      <c r="CD307" s="250">
        <f>INDEX(연료전지_원본!$KB$4:$KX$369,MATCH($A307,연료전지_원본!$KB$4:$KB$369,0), MATCH(CD$4,연료전지_원본!$KB$4:$KX$4,0))*1000</f>
        <v>0</v>
      </c>
      <c r="CE307" s="250">
        <f>INDEX(연료전지_원본!$KB$4:$KX$369,MATCH($A307,연료전지_원본!$KB$4:$KB$369,0), MATCH(CE$4,연료전지_원본!$KB$4:$KX$4,0))*1000</f>
        <v>0</v>
      </c>
      <c r="CF307" s="250">
        <f>INDEX(연료전지_원본!$KB$4:$KX$369,MATCH($A307,연료전지_원본!$KB$4:$KB$369,0), MATCH(CF$4,연료전지_원본!$KB$4:$KX$4,0))*1000</f>
        <v>0</v>
      </c>
      <c r="CG307" s="250">
        <f>INDEX(연료전지_원본!$KB$4:$KX$369,MATCH($A307,연료전지_원본!$KB$4:$KB$369,0), MATCH(CG$4,연료전지_원본!$KB$4:$KX$4,0))*1000</f>
        <v>0</v>
      </c>
      <c r="CH307" s="250">
        <f>INDEX(연료전지_원본!$KB$4:$KX$369,MATCH($A307,연료전지_원본!$KB$4:$KB$369,0), MATCH(CH$4,연료전지_원본!$KB$4:$KX$4,0))*1000</f>
        <v>0</v>
      </c>
      <c r="CI307" s="250">
        <f>INDEX(연료전지_원본!$KB$4:$KX$369,MATCH($A307,연료전지_원본!$KB$4:$KB$369,0), MATCH(CI$4,연료전지_원본!$KB$4:$KX$4,0))*1000</f>
        <v>0</v>
      </c>
      <c r="CJ307" s="250">
        <f>INDEX(연료전지_원본!$KB$4:$KX$369,MATCH($A307,연료전지_원본!$KB$4:$KB$369,0), MATCH(CJ$4,연료전지_원본!$KB$4:$KX$4,0))*1000</f>
        <v>0</v>
      </c>
      <c r="CK307" s="250">
        <f>INDEX(연료전지_원본!$KB$4:$KX$369,MATCH($A307,연료전지_원본!$KB$4:$KB$369,0), MATCH(CK$4,연료전지_원본!$KB$4:$KX$4,0))*1000</f>
        <v>0</v>
      </c>
      <c r="CL307" s="250">
        <f>INDEX(연료전지_원본!$KB$4:$KX$369,MATCH($A307,연료전지_원본!$KB$4:$KB$369,0), MATCH(CL$4,연료전지_원본!$KB$4:$KX$4,0))*1000</f>
        <v>0</v>
      </c>
      <c r="CM307" s="250">
        <f>INDEX(연료전지_원본!$KB$4:$KX$369,MATCH($A307,연료전지_원본!$KB$4:$KB$369,0), MATCH(CM$4,연료전지_원본!$KB$4:$KX$4,0))*1000</f>
        <v>0</v>
      </c>
      <c r="CN307" s="250">
        <f>INDEX(연료전지_원본!$KB$4:$KX$369,MATCH($A307,연료전지_원본!$KB$4:$KB$369,0), MATCH(CN$4,연료전지_원본!$KB$4:$KX$4,0))*1000</f>
        <v>0</v>
      </c>
      <c r="CO307" s="250">
        <f>INDEX(연료전지_원본!$KB$4:$KX$369,MATCH($A307,연료전지_원본!$KB$4:$KB$369,0), MATCH(CO$4,연료전지_원본!$KB$4:$KX$4,0))*1000</f>
        <v>0</v>
      </c>
      <c r="CP307" s="250">
        <f>INDEX(연료전지_원본!$KB$4:$KX$369,MATCH($A307,연료전지_원본!$KB$4:$KB$369,0), MATCH(CP$4,연료전지_원본!$KB$4:$KX$4,0))*1000</f>
        <v>0</v>
      </c>
      <c r="CQ307" s="250">
        <f>INDEX(연료전지_원본!$KB$4:$KX$369,MATCH($A307,연료전지_원본!$KB$4:$KB$369,0), MATCH(CQ$4,연료전지_원본!$KB$4:$KX$4,0))*1000</f>
        <v>0</v>
      </c>
      <c r="CR307" s="250">
        <f>INDEX(연료전지_원본!$KB$4:$KX$369,MATCH($A307,연료전지_원본!$KB$4:$KB$369,0), MATCH(CR$4,연료전지_원본!$KB$4:$KX$4,0))*1000</f>
        <v>0</v>
      </c>
      <c r="CS307" s="250">
        <f>INDEX(연료전지_원본!$KB$4:$KX$369,MATCH($A307,연료전지_원본!$KB$4:$KB$369,0), MATCH(CS$4,연료전지_원본!$KB$4:$KX$4,0))*1000</f>
        <v>0</v>
      </c>
      <c r="CT307" s="250">
        <f>INDEX(연료전지_원본!$KB$4:$KX$369,MATCH($A307,연료전지_원본!$KB$4:$KB$369,0), MATCH(CT$4,연료전지_원본!$KB$4:$KX$4,0))*1000</f>
        <v>0</v>
      </c>
      <c r="CU307" s="250">
        <f>INDEX(연료전지_원본!$KB$4:$KX$369,MATCH($A307,연료전지_원본!$KB$4:$KB$369,0), MATCH(CU$4,연료전지_원본!$KB$4:$KX$4,0))*1000</f>
        <v>0</v>
      </c>
      <c r="CV307" s="250">
        <f>INDEX(연료전지_원본!$KB$4:$KX$369,MATCH($A307,연료전지_원본!$KB$4:$KB$369,0), MATCH(CV$4,연료전지_원본!$KB$4:$KX$4,0))*1000</f>
        <v>0</v>
      </c>
      <c r="CW307" s="250">
        <f>INDEX(연료전지_원본!$KB$4:$KX$369,MATCH($A307,연료전지_원본!$KB$4:$KB$369,0), MATCH(CW$4,연료전지_원본!$KB$4:$KX$4,0))*1000</f>
        <v>0</v>
      </c>
      <c r="CX307" s="250">
        <f>INDEX(연료전지_원본!$KB$4:$KX$369,MATCH($A307,연료전지_원본!$KB$4:$KB$369,0), MATCH(CX$4,연료전지_원본!$KB$4:$KX$4,0))*1000</f>
        <v>0</v>
      </c>
      <c r="CY307" s="250">
        <f>INDEX(연료전지_원본!$KB$4:$KX$369,MATCH($A307,연료전지_원본!$KB$4:$KB$369,0), MATCH(CY$4,연료전지_원본!$KB$4:$KX$4,0))*1000</f>
        <v>0</v>
      </c>
      <c r="DV307" s="30">
        <f t="shared" si="1616"/>
        <v>0</v>
      </c>
    </row>
    <row r="308" spans="1:126">
      <c r="A308" s="6">
        <v>46325</v>
      </c>
      <c r="B308" s="15">
        <f>운전실적_원본!B308</f>
        <v>0</v>
      </c>
      <c r="C308" s="16" t="str">
        <f t="shared" si="1622"/>
        <v/>
      </c>
      <c r="D308" s="12">
        <f>운전실적_원본!C308</f>
        <v>0</v>
      </c>
      <c r="E308" s="12" t="str">
        <f t="shared" si="1623"/>
        <v/>
      </c>
      <c r="F308" s="12">
        <f>운전실적_원본!D308</f>
        <v>0</v>
      </c>
      <c r="G308" s="16" t="str">
        <f t="shared" si="1624"/>
        <v/>
      </c>
      <c r="H308" s="15">
        <f>운전실적_원본!E308</f>
        <v>0</v>
      </c>
      <c r="I308" s="16" t="str">
        <f t="shared" si="1625"/>
        <v/>
      </c>
      <c r="J308" s="15">
        <f>운전실적_원본!F308</f>
        <v>0</v>
      </c>
      <c r="K308" s="16" t="str">
        <f t="shared" si="1625"/>
        <v/>
      </c>
      <c r="L308" s="32">
        <f>운전실적_원본!G308</f>
        <v>0</v>
      </c>
      <c r="M308" s="31" t="str">
        <f t="shared" ref="M308" si="1687">IF(OR(LEN(L308)=0,L308=0),"",L308-L307)</f>
        <v/>
      </c>
      <c r="N308" s="15">
        <f>운전실적_원본!H308</f>
        <v>0</v>
      </c>
      <c r="O308" s="16" t="str">
        <f t="shared" ref="O308" si="1688">IF(OR(LEN(N308)=0,N308=0),"",N308-N307)</f>
        <v/>
      </c>
      <c r="P308" s="15">
        <f>운전실적_원본!I308</f>
        <v>0</v>
      </c>
      <c r="Q308" s="16" t="str">
        <f t="shared" ref="Q308" si="1689">IF(OR(LEN(P308)=0,P308=0),"",P308-P307)</f>
        <v/>
      </c>
      <c r="R308" s="18">
        <f>운전실적_원본!J308</f>
        <v>0</v>
      </c>
      <c r="S308" s="19" t="str">
        <f t="shared" ref="S308" si="1690">IF(OR(LEN(R308)=0,R308=0),"",R308-R307)</f>
        <v/>
      </c>
      <c r="T308" s="18">
        <f>운전실적_원본!K308</f>
        <v>0</v>
      </c>
      <c r="U308" s="19" t="str">
        <f t="shared" si="1630"/>
        <v/>
      </c>
      <c r="V308" s="12">
        <f>운전실적_원본!L308</f>
        <v>0</v>
      </c>
      <c r="W308" s="16" t="str">
        <f t="shared" ref="W308" si="1691">IF(OR(LEN(V308)=0,V308=0),"",V308-V307)</f>
        <v/>
      </c>
      <c r="X308" s="10">
        <f>운전실적_원본!M308</f>
        <v>0</v>
      </c>
      <c r="Y308" s="10">
        <f>운전실적_원본!N308</f>
        <v>0</v>
      </c>
      <c r="Z308" s="10">
        <f>운전실적_원본!O308</f>
        <v>0</v>
      </c>
      <c r="AA308" s="10">
        <f>운전실적_원본!P308</f>
        <v>0</v>
      </c>
      <c r="AB308" s="10">
        <f>운전실적_원본!Q308</f>
        <v>0</v>
      </c>
      <c r="AC308" s="20">
        <f>운전실적_원본!R308</f>
        <v>0</v>
      </c>
      <c r="AD308" s="109">
        <f>운전실적_원본!S308</f>
        <v>0</v>
      </c>
      <c r="AE308" s="110">
        <f>운전실적_원본!T308</f>
        <v>0</v>
      </c>
      <c r="AF308" s="110">
        <f>운전실적_원본!U308</f>
        <v>0</v>
      </c>
      <c r="AG308" s="110">
        <f>운전실적_원본!V308</f>
        <v>0</v>
      </c>
      <c r="AH308" s="109">
        <f t="shared" si="1453"/>
        <v>0</v>
      </c>
      <c r="AI308" s="110">
        <f t="shared" si="1460"/>
        <v>0</v>
      </c>
      <c r="AJ308" s="110">
        <f>운전실적_원본!Y308</f>
        <v>0</v>
      </c>
      <c r="AK308" s="110">
        <f>운전실적_원본!Z308</f>
        <v>0</v>
      </c>
      <c r="AL308" s="106"/>
      <c r="AM308" s="105"/>
      <c r="AN308" s="105"/>
      <c r="AO308" s="105"/>
      <c r="AP308" s="105"/>
      <c r="AQ308" s="108"/>
      <c r="AR308" s="105"/>
      <c r="AS308" s="105"/>
      <c r="AT308" s="102"/>
      <c r="AU308" s="102"/>
      <c r="AV308" s="102"/>
      <c r="AW308" s="102"/>
      <c r="AX308" s="32">
        <f>운전실적_원본!W308</f>
        <v>0</v>
      </c>
      <c r="AY308" s="11">
        <f>운전실적_원본!X308</f>
        <v>0</v>
      </c>
      <c r="AZ308" s="11">
        <f>운전실적_원본!Y308</f>
        <v>0</v>
      </c>
      <c r="BA308" s="11">
        <f>운전실적_원본!Z308</f>
        <v>0</v>
      </c>
      <c r="BB308" s="11">
        <f>운전실적_원본!AA308</f>
        <v>0</v>
      </c>
      <c r="BC308" s="11">
        <f>운전실적_원본!AB308</f>
        <v>0</v>
      </c>
      <c r="BD308" s="32" t="str">
        <f t="shared" si="1446"/>
        <v>-</v>
      </c>
      <c r="BE308" s="11" t="str">
        <f t="shared" si="1454"/>
        <v>-</v>
      </c>
      <c r="BF308" s="11">
        <f>운전실적_원본!AE308</f>
        <v>0</v>
      </c>
      <c r="BG308" s="31">
        <f t="shared" si="1447"/>
        <v>0</v>
      </c>
      <c r="BH308" s="241">
        <f>INDEX(연료전지_원본!$A$4:$KY$369,MATCH($A308,연료전지_원본!$A$4:$A$369,0),MATCH($BH$4,연료전지_원본!$A$4:$KY$4,0))</f>
        <v>0</v>
      </c>
      <c r="BI308" s="241">
        <f>INDEX(연료전지_원본!$A$4:$KY$369,MATCH($A308,연료전지_원본!$A$4:$A$369,0),MATCH($BI$4,연료전지_원본!$A$4:$KY$4,0))</f>
        <v>0</v>
      </c>
      <c r="BJ308" s="241">
        <f>INDEX(연료전지_원본!$A$4:$KY$369,MATCH($A308,연료전지_원본!$A$4:$A$369,0),MATCH($BJ$4,연료전지_원본!$A$4:$KY$4,0))</f>
        <v>0</v>
      </c>
      <c r="BK308" s="241">
        <f>INDEX(연료전지_원본!$A$4:$KY$369,MATCH($A308,연료전지_원본!$A$4:$A$369,0),MATCH($BK$4,연료전지_원본!$A$4:$KY$4,0))</f>
        <v>0</v>
      </c>
      <c r="BL308" s="241">
        <f>INDEX(연료전지_원본!$A$4:$KY$369,MATCH($A308,연료전지_원본!$A$4:$A$369,0),MATCH($BL$4,연료전지_원본!$A$4:$KY$4,0))</f>
        <v>0</v>
      </c>
      <c r="BM308" s="241">
        <f>INDEX(연료전지_원본!$A$4:$KY$369,MATCH($A308,연료전지_원본!$A$4:$A$369,0),MATCH($BM$4,연료전지_원본!$A$4:$KY$4,0))</f>
        <v>0</v>
      </c>
      <c r="BN308" s="241">
        <f>INDEX(연료전지_원본!$A$4:$KY$369,MATCH($A308,연료전지_원본!$A$4:$A$369,0),MATCH($BN$4,연료전지_원본!$A$4:$KY$4,0))</f>
        <v>0</v>
      </c>
      <c r="BO308" s="241">
        <f>INDEX(연료전지_원본!$A$4:$KY$369,MATCH($A308,연료전지_원본!$A$4:$A$369,0),MATCH($BO$4,연료전지_원본!$A$4:$KY$4,0))</f>
        <v>0</v>
      </c>
      <c r="BP308" s="241">
        <f>INDEX(연료전지_원본!$A$4:$KY$369,MATCH($A308,연료전지_원본!$A$4:$A$369,0),MATCH($BP$4,연료전지_원본!$A$4:$KY$4,0))</f>
        <v>0</v>
      </c>
      <c r="BQ308" s="241">
        <f>INDEX(연료전지_원본!$A$4:$KY$369,MATCH($A308,연료전지_원본!$A$4:$A$369,0),MATCH($BQ$4,연료전지_원본!$A$4:$KY$4,0))</f>
        <v>0</v>
      </c>
      <c r="BR308" s="241">
        <f>INDEX(연료전지_원본!$A$4:$KY$369,MATCH($A308,연료전지_원본!$A$4:$A$369,0),MATCH($BR$4,연료전지_원본!$A$4:$KY$4,0))</f>
        <v>0</v>
      </c>
      <c r="BS308" s="241">
        <f>INDEX(연료전지_원본!$A$4:$KY$369,MATCH($A308,연료전지_원본!$A$4:$A$369,0),MATCH($BS$4,연료전지_원본!$A$4:$KY$4,0))</f>
        <v>0</v>
      </c>
      <c r="BT308" s="241">
        <f>INDEX(연료전지_원본!$A$4:$KY$369,MATCH($A308,연료전지_원본!$A$4:$A$369,0),MATCH($BT$4,연료전지_원본!$A$4:$KY$4,0))</f>
        <v>0</v>
      </c>
      <c r="BU308" s="241">
        <f>INDEX(연료전지_원본!$A$4:$KY$369,MATCH($A308,연료전지_원본!$A$4:$A$369,0),MATCH($BU$4,연료전지_원본!$A$4:$KY$4,0))</f>
        <v>0</v>
      </c>
      <c r="BV308" s="241">
        <f>INDEX(연료전지_원본!$A$4:$KY$369,MATCH($A308,연료전지_원본!$A$4:$A$369,0),MATCH($BV$4,연료전지_원본!$A$4:$KY$4,0))</f>
        <v>0</v>
      </c>
      <c r="BW308" s="241">
        <f>INDEX(연료전지_원본!$A$4:$KY$369,MATCH($A308,연료전지_원본!$A$4:$A$369,0),MATCH($BW$4,연료전지_원본!$A$4:$KY$4,0))</f>
        <v>0</v>
      </c>
      <c r="BX308" s="241">
        <f>INDEX(연료전지_원본!$A$4:$KY$369,MATCH($A308,연료전지_원본!$A$4:$A$369,0),MATCH($BX$4,연료전지_원본!$A$4:$KY$4,0))</f>
        <v>0</v>
      </c>
      <c r="BY308" s="241">
        <f>INDEX(연료전지_원본!$A$4:$KY$369,MATCH($A308,연료전지_원본!$A$4:$A$369,0),MATCH($BY$4,연료전지_원본!$A$4:$KY$4,0))</f>
        <v>0</v>
      </c>
      <c r="BZ308" s="241">
        <f>INDEX(연료전지_원본!$A$4:$KY$369,MATCH($A308,연료전지_원본!$A$4:$A$369,0),MATCH($BZ$4,연료전지_원본!$A$4:$KY$4,0))</f>
        <v>0</v>
      </c>
      <c r="CA308" s="241">
        <f>INDEX(연료전지_원본!$A$4:$KY$369,MATCH($A308,연료전지_원본!$A$4:$A$369,0),MATCH($CA$4,연료전지_원본!$A$4:$KY$4,0))</f>
        <v>0</v>
      </c>
      <c r="CB308" s="241">
        <f>INDEX(연료전지_원본!$A$4:$KY$369,MATCH($A308,연료전지_원본!$A$4:$A$369,0),MATCH($CB$4,연료전지_원본!$A$4:$KY$4,0))</f>
        <v>0</v>
      </c>
      <c r="CC308" s="242">
        <f>INDEX(연료전지_원본!$A$4:$KY$369,MATCH($A308,연료전지_원본!$A$4:$A$369,0),MATCH($CC$4,연료전지_원본!$A$4:$KY$4,0))</f>
        <v>0</v>
      </c>
      <c r="CD308" s="250">
        <f>INDEX(연료전지_원본!$KB$4:$KX$369,MATCH($A308,연료전지_원본!$KB$4:$KB$369,0), MATCH(CD$4,연료전지_원본!$KB$4:$KX$4,0))*1000</f>
        <v>0</v>
      </c>
      <c r="CE308" s="250">
        <f>INDEX(연료전지_원본!$KB$4:$KX$369,MATCH($A308,연료전지_원본!$KB$4:$KB$369,0), MATCH(CE$4,연료전지_원본!$KB$4:$KX$4,0))*1000</f>
        <v>0</v>
      </c>
      <c r="CF308" s="250">
        <f>INDEX(연료전지_원본!$KB$4:$KX$369,MATCH($A308,연료전지_원본!$KB$4:$KB$369,0), MATCH(CF$4,연료전지_원본!$KB$4:$KX$4,0))*1000</f>
        <v>0</v>
      </c>
      <c r="CG308" s="250">
        <f>INDEX(연료전지_원본!$KB$4:$KX$369,MATCH($A308,연료전지_원본!$KB$4:$KB$369,0), MATCH(CG$4,연료전지_원본!$KB$4:$KX$4,0))*1000</f>
        <v>0</v>
      </c>
      <c r="CH308" s="250">
        <f>INDEX(연료전지_원본!$KB$4:$KX$369,MATCH($A308,연료전지_원본!$KB$4:$KB$369,0), MATCH(CH$4,연료전지_원본!$KB$4:$KX$4,0))*1000</f>
        <v>0</v>
      </c>
      <c r="CI308" s="250">
        <f>INDEX(연료전지_원본!$KB$4:$KX$369,MATCH($A308,연료전지_원본!$KB$4:$KB$369,0), MATCH(CI$4,연료전지_원본!$KB$4:$KX$4,0))*1000</f>
        <v>0</v>
      </c>
      <c r="CJ308" s="250">
        <f>INDEX(연료전지_원본!$KB$4:$KX$369,MATCH($A308,연료전지_원본!$KB$4:$KB$369,0), MATCH(CJ$4,연료전지_원본!$KB$4:$KX$4,0))*1000</f>
        <v>0</v>
      </c>
      <c r="CK308" s="250">
        <f>INDEX(연료전지_원본!$KB$4:$KX$369,MATCH($A308,연료전지_원본!$KB$4:$KB$369,0), MATCH(CK$4,연료전지_원본!$KB$4:$KX$4,0))*1000</f>
        <v>0</v>
      </c>
      <c r="CL308" s="250">
        <f>INDEX(연료전지_원본!$KB$4:$KX$369,MATCH($A308,연료전지_원본!$KB$4:$KB$369,0), MATCH(CL$4,연료전지_원본!$KB$4:$KX$4,0))*1000</f>
        <v>0</v>
      </c>
      <c r="CM308" s="250">
        <f>INDEX(연료전지_원본!$KB$4:$KX$369,MATCH($A308,연료전지_원본!$KB$4:$KB$369,0), MATCH(CM$4,연료전지_원본!$KB$4:$KX$4,0))*1000</f>
        <v>0</v>
      </c>
      <c r="CN308" s="250">
        <f>INDEX(연료전지_원본!$KB$4:$KX$369,MATCH($A308,연료전지_원본!$KB$4:$KB$369,0), MATCH(CN$4,연료전지_원본!$KB$4:$KX$4,0))*1000</f>
        <v>0</v>
      </c>
      <c r="CO308" s="250">
        <f>INDEX(연료전지_원본!$KB$4:$KX$369,MATCH($A308,연료전지_원본!$KB$4:$KB$369,0), MATCH(CO$4,연료전지_원본!$KB$4:$KX$4,0))*1000</f>
        <v>0</v>
      </c>
      <c r="CP308" s="250">
        <f>INDEX(연료전지_원본!$KB$4:$KX$369,MATCH($A308,연료전지_원본!$KB$4:$KB$369,0), MATCH(CP$4,연료전지_원본!$KB$4:$KX$4,0))*1000</f>
        <v>0</v>
      </c>
      <c r="CQ308" s="250">
        <f>INDEX(연료전지_원본!$KB$4:$KX$369,MATCH($A308,연료전지_원본!$KB$4:$KB$369,0), MATCH(CQ$4,연료전지_원본!$KB$4:$KX$4,0))*1000</f>
        <v>0</v>
      </c>
      <c r="CR308" s="250">
        <f>INDEX(연료전지_원본!$KB$4:$KX$369,MATCH($A308,연료전지_원본!$KB$4:$KB$369,0), MATCH(CR$4,연료전지_원본!$KB$4:$KX$4,0))*1000</f>
        <v>0</v>
      </c>
      <c r="CS308" s="250">
        <f>INDEX(연료전지_원본!$KB$4:$KX$369,MATCH($A308,연료전지_원본!$KB$4:$KB$369,0), MATCH(CS$4,연료전지_원본!$KB$4:$KX$4,0))*1000</f>
        <v>0</v>
      </c>
      <c r="CT308" s="250">
        <f>INDEX(연료전지_원본!$KB$4:$KX$369,MATCH($A308,연료전지_원본!$KB$4:$KB$369,0), MATCH(CT$4,연료전지_원본!$KB$4:$KX$4,0))*1000</f>
        <v>0</v>
      </c>
      <c r="CU308" s="250">
        <f>INDEX(연료전지_원본!$KB$4:$KX$369,MATCH($A308,연료전지_원본!$KB$4:$KB$369,0), MATCH(CU$4,연료전지_원본!$KB$4:$KX$4,0))*1000</f>
        <v>0</v>
      </c>
      <c r="CV308" s="250">
        <f>INDEX(연료전지_원본!$KB$4:$KX$369,MATCH($A308,연료전지_원본!$KB$4:$KB$369,0), MATCH(CV$4,연료전지_원본!$KB$4:$KX$4,0))*1000</f>
        <v>0</v>
      </c>
      <c r="CW308" s="250">
        <f>INDEX(연료전지_원본!$KB$4:$KX$369,MATCH($A308,연료전지_원본!$KB$4:$KB$369,0), MATCH(CW$4,연료전지_원본!$KB$4:$KX$4,0))*1000</f>
        <v>0</v>
      </c>
      <c r="CX308" s="250">
        <f>INDEX(연료전지_원본!$KB$4:$KX$369,MATCH($A308,연료전지_원본!$KB$4:$KB$369,0), MATCH(CX$4,연료전지_원본!$KB$4:$KX$4,0))*1000</f>
        <v>0</v>
      </c>
      <c r="CY308" s="250">
        <f>INDEX(연료전지_원본!$KB$4:$KX$369,MATCH($A308,연료전지_원본!$KB$4:$KB$369,0), MATCH(CY$4,연료전지_원본!$KB$4:$KX$4,0))*1000</f>
        <v>0</v>
      </c>
      <c r="DV308" s="30">
        <f t="shared" si="1616"/>
        <v>0</v>
      </c>
    </row>
    <row r="309" spans="1:126">
      <c r="A309" s="158">
        <v>46326</v>
      </c>
      <c r="B309" s="27">
        <f>운전실적_원본!B309</f>
        <v>0</v>
      </c>
      <c r="C309" s="28" t="str">
        <f t="shared" si="1622"/>
        <v/>
      </c>
      <c r="D309" s="29">
        <f>운전실적_원본!C309</f>
        <v>0</v>
      </c>
      <c r="E309" s="29" t="str">
        <f t="shared" si="1623"/>
        <v/>
      </c>
      <c r="F309" s="29">
        <f>운전실적_원본!D309</f>
        <v>0</v>
      </c>
      <c r="G309" s="28" t="str">
        <f t="shared" si="1624"/>
        <v/>
      </c>
      <c r="H309" s="27">
        <f>운전실적_원본!E309</f>
        <v>0</v>
      </c>
      <c r="I309" s="28" t="str">
        <f t="shared" si="1625"/>
        <v/>
      </c>
      <c r="J309" s="27">
        <f>운전실적_원본!F309</f>
        <v>0</v>
      </c>
      <c r="K309" s="28" t="str">
        <f t="shared" si="1625"/>
        <v/>
      </c>
      <c r="L309" s="159">
        <f>운전실적_원본!G309</f>
        <v>0</v>
      </c>
      <c r="M309" s="157" t="str">
        <f t="shared" ref="M309" si="1692">IF(OR(LEN(L309)=0,L309=0),"",L309-L308)</f>
        <v/>
      </c>
      <c r="N309" s="27">
        <f>운전실적_원본!H309</f>
        <v>0</v>
      </c>
      <c r="O309" s="28" t="str">
        <f t="shared" ref="O309" si="1693">IF(OR(LEN(N309)=0,N309=0),"",N309-N308)</f>
        <v/>
      </c>
      <c r="P309" s="27">
        <f>운전실적_원본!I309</f>
        <v>0</v>
      </c>
      <c r="Q309" s="28" t="str">
        <f t="shared" ref="Q309" si="1694">IF(OR(LEN(P309)=0,P309=0),"",P309-P308)</f>
        <v/>
      </c>
      <c r="R309" s="160">
        <f>운전실적_원본!J309</f>
        <v>0</v>
      </c>
      <c r="S309" s="161" t="str">
        <f t="shared" ref="S309" si="1695">IF(OR(LEN(R309)=0,R309=0),"",R309-R308)</f>
        <v/>
      </c>
      <c r="T309" s="160">
        <f>운전실적_원본!K309</f>
        <v>0</v>
      </c>
      <c r="U309" s="161" t="str">
        <f t="shared" si="1630"/>
        <v/>
      </c>
      <c r="V309" s="29">
        <f>운전실적_원본!L309</f>
        <v>0</v>
      </c>
      <c r="W309" s="28" t="str">
        <f t="shared" ref="W309" si="1696">IF(OR(LEN(V309)=0,V309=0),"",V309-V308)</f>
        <v/>
      </c>
      <c r="X309" s="162">
        <f>운전실적_원본!M309</f>
        <v>0</v>
      </c>
      <c r="Y309" s="162">
        <f>운전실적_원본!N309</f>
        <v>0</v>
      </c>
      <c r="Z309" s="162">
        <f>운전실적_원본!O309</f>
        <v>0</v>
      </c>
      <c r="AA309" s="162">
        <f>운전실적_원본!P309</f>
        <v>0</v>
      </c>
      <c r="AB309" s="162">
        <f>운전실적_원본!Q309</f>
        <v>0</v>
      </c>
      <c r="AC309" s="162">
        <f>운전실적_원본!R309</f>
        <v>0</v>
      </c>
      <c r="AD309" s="163">
        <f>운전실적_원본!S309</f>
        <v>0</v>
      </c>
      <c r="AE309" s="164">
        <f>운전실적_원본!T309</f>
        <v>0</v>
      </c>
      <c r="AF309" s="164">
        <f>운전실적_원본!U309</f>
        <v>0</v>
      </c>
      <c r="AG309" s="164">
        <f>운전실적_원본!V309</f>
        <v>0</v>
      </c>
      <c r="AH309" s="163">
        <f t="shared" si="1453"/>
        <v>0</v>
      </c>
      <c r="AI309" s="164">
        <f t="shared" si="1460"/>
        <v>0</v>
      </c>
      <c r="AJ309" s="164">
        <f>운전실적_원본!Y309</f>
        <v>0</v>
      </c>
      <c r="AK309" s="164">
        <f>운전실적_원본!Z309</f>
        <v>0</v>
      </c>
      <c r="AL309" s="165"/>
      <c r="AM309" s="166"/>
      <c r="AN309" s="166"/>
      <c r="AO309" s="166"/>
      <c r="AP309" s="166"/>
      <c r="AQ309" s="167"/>
      <c r="AR309" s="166"/>
      <c r="AS309" s="166"/>
      <c r="AT309" s="168"/>
      <c r="AU309" s="168"/>
      <c r="AV309" s="168"/>
      <c r="AW309" s="168"/>
      <c r="AX309" s="159">
        <f>운전실적_원본!W309</f>
        <v>0</v>
      </c>
      <c r="AY309" s="169">
        <f>운전실적_원본!X309</f>
        <v>0</v>
      </c>
      <c r="AZ309" s="169">
        <f>운전실적_원본!Y309</f>
        <v>0</v>
      </c>
      <c r="BA309" s="169">
        <f>운전실적_원본!Z309</f>
        <v>0</v>
      </c>
      <c r="BB309" s="169">
        <f>운전실적_원본!AA309</f>
        <v>0</v>
      </c>
      <c r="BC309" s="169">
        <f>운전실적_원본!AB309</f>
        <v>0</v>
      </c>
      <c r="BD309" s="159" t="str">
        <f t="shared" si="1446"/>
        <v>-</v>
      </c>
      <c r="BE309" s="169" t="str">
        <f t="shared" si="1454"/>
        <v>-</v>
      </c>
      <c r="BF309" s="169">
        <f>운전실적_원본!AE309</f>
        <v>0</v>
      </c>
      <c r="BG309" s="157">
        <f t="shared" si="1447"/>
        <v>0</v>
      </c>
      <c r="BH309" s="244">
        <f>INDEX(연료전지_원본!$A$4:$KY$369,MATCH($A309,연료전지_원본!$A$4:$A$369,0),MATCH($BH$4,연료전지_원본!$A$4:$KY$4,0))</f>
        <v>0</v>
      </c>
      <c r="BI309" s="244">
        <f>INDEX(연료전지_원본!$A$4:$KY$369,MATCH($A309,연료전지_원본!$A$4:$A$369,0),MATCH($BI$4,연료전지_원본!$A$4:$KY$4,0))</f>
        <v>0</v>
      </c>
      <c r="BJ309" s="244">
        <f>INDEX(연료전지_원본!$A$4:$KY$369,MATCH($A309,연료전지_원본!$A$4:$A$369,0),MATCH($BJ$4,연료전지_원본!$A$4:$KY$4,0))</f>
        <v>0</v>
      </c>
      <c r="BK309" s="244">
        <f>INDEX(연료전지_원본!$A$4:$KY$369,MATCH($A309,연료전지_원본!$A$4:$A$369,0),MATCH($BK$4,연료전지_원본!$A$4:$KY$4,0))</f>
        <v>0</v>
      </c>
      <c r="BL309" s="244">
        <f>INDEX(연료전지_원본!$A$4:$KY$369,MATCH($A309,연료전지_원본!$A$4:$A$369,0),MATCH($BL$4,연료전지_원본!$A$4:$KY$4,0))</f>
        <v>0</v>
      </c>
      <c r="BM309" s="244">
        <f>INDEX(연료전지_원본!$A$4:$KY$369,MATCH($A309,연료전지_원본!$A$4:$A$369,0),MATCH($BM$4,연료전지_원본!$A$4:$KY$4,0))</f>
        <v>0</v>
      </c>
      <c r="BN309" s="244">
        <f>INDEX(연료전지_원본!$A$4:$KY$369,MATCH($A309,연료전지_원본!$A$4:$A$369,0),MATCH($BN$4,연료전지_원본!$A$4:$KY$4,0))</f>
        <v>0</v>
      </c>
      <c r="BO309" s="244">
        <f>INDEX(연료전지_원본!$A$4:$KY$369,MATCH($A309,연료전지_원본!$A$4:$A$369,0),MATCH($BO$4,연료전지_원본!$A$4:$KY$4,0))</f>
        <v>0</v>
      </c>
      <c r="BP309" s="244">
        <f>INDEX(연료전지_원본!$A$4:$KY$369,MATCH($A309,연료전지_원본!$A$4:$A$369,0),MATCH($BP$4,연료전지_원본!$A$4:$KY$4,0))</f>
        <v>0</v>
      </c>
      <c r="BQ309" s="244">
        <f>INDEX(연료전지_원본!$A$4:$KY$369,MATCH($A309,연료전지_원본!$A$4:$A$369,0),MATCH($BQ$4,연료전지_원본!$A$4:$KY$4,0))</f>
        <v>0</v>
      </c>
      <c r="BR309" s="244">
        <f>INDEX(연료전지_원본!$A$4:$KY$369,MATCH($A309,연료전지_원본!$A$4:$A$369,0),MATCH($BR$4,연료전지_원본!$A$4:$KY$4,0))</f>
        <v>0</v>
      </c>
      <c r="BS309" s="244">
        <f>INDEX(연료전지_원본!$A$4:$KY$369,MATCH($A309,연료전지_원본!$A$4:$A$369,0),MATCH($BS$4,연료전지_원본!$A$4:$KY$4,0))</f>
        <v>0</v>
      </c>
      <c r="BT309" s="244">
        <f>INDEX(연료전지_원본!$A$4:$KY$369,MATCH($A309,연료전지_원본!$A$4:$A$369,0),MATCH($BT$4,연료전지_원본!$A$4:$KY$4,0))</f>
        <v>0</v>
      </c>
      <c r="BU309" s="244">
        <f>INDEX(연료전지_원본!$A$4:$KY$369,MATCH($A309,연료전지_원본!$A$4:$A$369,0),MATCH($BU$4,연료전지_원본!$A$4:$KY$4,0))</f>
        <v>0</v>
      </c>
      <c r="BV309" s="244">
        <f>INDEX(연료전지_원본!$A$4:$KY$369,MATCH($A309,연료전지_원본!$A$4:$A$369,0),MATCH($BV$4,연료전지_원본!$A$4:$KY$4,0))</f>
        <v>0</v>
      </c>
      <c r="BW309" s="244">
        <f>INDEX(연료전지_원본!$A$4:$KY$369,MATCH($A309,연료전지_원본!$A$4:$A$369,0),MATCH($BW$4,연료전지_원본!$A$4:$KY$4,0))</f>
        <v>0</v>
      </c>
      <c r="BX309" s="244">
        <f>INDEX(연료전지_원본!$A$4:$KY$369,MATCH($A309,연료전지_원본!$A$4:$A$369,0),MATCH($BX$4,연료전지_원본!$A$4:$KY$4,0))</f>
        <v>0</v>
      </c>
      <c r="BY309" s="244">
        <f>INDEX(연료전지_원본!$A$4:$KY$369,MATCH($A309,연료전지_원본!$A$4:$A$369,0),MATCH($BY$4,연료전지_원본!$A$4:$KY$4,0))</f>
        <v>0</v>
      </c>
      <c r="BZ309" s="244">
        <f>INDEX(연료전지_원본!$A$4:$KY$369,MATCH($A309,연료전지_원본!$A$4:$A$369,0),MATCH($BZ$4,연료전지_원본!$A$4:$KY$4,0))</f>
        <v>0</v>
      </c>
      <c r="CA309" s="244">
        <f>INDEX(연료전지_원본!$A$4:$KY$369,MATCH($A309,연료전지_원본!$A$4:$A$369,0),MATCH($CA$4,연료전지_원본!$A$4:$KY$4,0))</f>
        <v>0</v>
      </c>
      <c r="CB309" s="244">
        <f>INDEX(연료전지_원본!$A$4:$KY$369,MATCH($A309,연료전지_원본!$A$4:$A$369,0),MATCH($CB$4,연료전지_원본!$A$4:$KY$4,0))</f>
        <v>0</v>
      </c>
      <c r="CC309" s="245">
        <f>INDEX(연료전지_원본!$A$4:$KY$369,MATCH($A309,연료전지_원본!$A$4:$A$369,0),MATCH($CC$4,연료전지_원본!$A$4:$KY$4,0))</f>
        <v>0</v>
      </c>
      <c r="CD309" s="257">
        <f>INDEX(연료전지_원본!$KB$4:$KX$369,MATCH($A309,연료전지_원본!$KB$4:$KB$369,0), MATCH(CD$4,연료전지_원본!$KB$4:$KX$4,0))*1000</f>
        <v>0</v>
      </c>
      <c r="CE309" s="257">
        <f>INDEX(연료전지_원본!$KB$4:$KX$369,MATCH($A309,연료전지_원본!$KB$4:$KB$369,0), MATCH(CE$4,연료전지_원본!$KB$4:$KX$4,0))*1000</f>
        <v>0</v>
      </c>
      <c r="CF309" s="257">
        <f>INDEX(연료전지_원본!$KB$4:$KX$369,MATCH($A309,연료전지_원본!$KB$4:$KB$369,0), MATCH(CF$4,연료전지_원본!$KB$4:$KX$4,0))*1000</f>
        <v>0</v>
      </c>
      <c r="CG309" s="257">
        <f>INDEX(연료전지_원본!$KB$4:$KX$369,MATCH($A309,연료전지_원본!$KB$4:$KB$369,0), MATCH(CG$4,연료전지_원본!$KB$4:$KX$4,0))*1000</f>
        <v>0</v>
      </c>
      <c r="CH309" s="257">
        <f>INDEX(연료전지_원본!$KB$4:$KX$369,MATCH($A309,연료전지_원본!$KB$4:$KB$369,0), MATCH(CH$4,연료전지_원본!$KB$4:$KX$4,0))*1000</f>
        <v>0</v>
      </c>
      <c r="CI309" s="257">
        <f>INDEX(연료전지_원본!$KB$4:$KX$369,MATCH($A309,연료전지_원본!$KB$4:$KB$369,0), MATCH(CI$4,연료전지_원본!$KB$4:$KX$4,0))*1000</f>
        <v>0</v>
      </c>
      <c r="CJ309" s="257">
        <f>INDEX(연료전지_원본!$KB$4:$KX$369,MATCH($A309,연료전지_원본!$KB$4:$KB$369,0), MATCH(CJ$4,연료전지_원본!$KB$4:$KX$4,0))*1000</f>
        <v>0</v>
      </c>
      <c r="CK309" s="257">
        <f>INDEX(연료전지_원본!$KB$4:$KX$369,MATCH($A309,연료전지_원본!$KB$4:$KB$369,0), MATCH(CK$4,연료전지_원본!$KB$4:$KX$4,0))*1000</f>
        <v>0</v>
      </c>
      <c r="CL309" s="257">
        <f>INDEX(연료전지_원본!$KB$4:$KX$369,MATCH($A309,연료전지_원본!$KB$4:$KB$369,0), MATCH(CL$4,연료전지_원본!$KB$4:$KX$4,0))*1000</f>
        <v>0</v>
      </c>
      <c r="CM309" s="257">
        <f>INDEX(연료전지_원본!$KB$4:$KX$369,MATCH($A309,연료전지_원본!$KB$4:$KB$369,0), MATCH(CM$4,연료전지_원본!$KB$4:$KX$4,0))*1000</f>
        <v>0</v>
      </c>
      <c r="CN309" s="257">
        <f>INDEX(연료전지_원본!$KB$4:$KX$369,MATCH($A309,연료전지_원본!$KB$4:$KB$369,0), MATCH(CN$4,연료전지_원본!$KB$4:$KX$4,0))*1000</f>
        <v>0</v>
      </c>
      <c r="CO309" s="257">
        <f>INDEX(연료전지_원본!$KB$4:$KX$369,MATCH($A309,연료전지_원본!$KB$4:$KB$369,0), MATCH(CO$4,연료전지_원본!$KB$4:$KX$4,0))*1000</f>
        <v>0</v>
      </c>
      <c r="CP309" s="257">
        <f>INDEX(연료전지_원본!$KB$4:$KX$369,MATCH($A309,연료전지_원본!$KB$4:$KB$369,0), MATCH(CP$4,연료전지_원본!$KB$4:$KX$4,0))*1000</f>
        <v>0</v>
      </c>
      <c r="CQ309" s="257">
        <f>INDEX(연료전지_원본!$KB$4:$KX$369,MATCH($A309,연료전지_원본!$KB$4:$KB$369,0), MATCH(CQ$4,연료전지_원본!$KB$4:$KX$4,0))*1000</f>
        <v>0</v>
      </c>
      <c r="CR309" s="257">
        <f>INDEX(연료전지_원본!$KB$4:$KX$369,MATCH($A309,연료전지_원본!$KB$4:$KB$369,0), MATCH(CR$4,연료전지_원본!$KB$4:$KX$4,0))*1000</f>
        <v>0</v>
      </c>
      <c r="CS309" s="257">
        <f>INDEX(연료전지_원본!$KB$4:$KX$369,MATCH($A309,연료전지_원본!$KB$4:$KB$369,0), MATCH(CS$4,연료전지_원본!$KB$4:$KX$4,0))*1000</f>
        <v>0</v>
      </c>
      <c r="CT309" s="257">
        <f>INDEX(연료전지_원본!$KB$4:$KX$369,MATCH($A309,연료전지_원본!$KB$4:$KB$369,0), MATCH(CT$4,연료전지_원본!$KB$4:$KX$4,0))*1000</f>
        <v>0</v>
      </c>
      <c r="CU309" s="257">
        <f>INDEX(연료전지_원본!$KB$4:$KX$369,MATCH($A309,연료전지_원본!$KB$4:$KB$369,0), MATCH(CU$4,연료전지_원본!$KB$4:$KX$4,0))*1000</f>
        <v>0</v>
      </c>
      <c r="CV309" s="257">
        <f>INDEX(연료전지_원본!$KB$4:$KX$369,MATCH($A309,연료전지_원본!$KB$4:$KB$369,0), MATCH(CV$4,연료전지_원본!$KB$4:$KX$4,0))*1000</f>
        <v>0</v>
      </c>
      <c r="CW309" s="257">
        <f>INDEX(연료전지_원본!$KB$4:$KX$369,MATCH($A309,연료전지_원본!$KB$4:$KB$369,0), MATCH(CW$4,연료전지_원본!$KB$4:$KX$4,0))*1000</f>
        <v>0</v>
      </c>
      <c r="CX309" s="257">
        <f>INDEX(연료전지_원본!$KB$4:$KX$369,MATCH($A309,연료전지_원본!$KB$4:$KB$369,0), MATCH(CX$4,연료전지_원본!$KB$4:$KX$4,0))*1000</f>
        <v>0</v>
      </c>
      <c r="CY309" s="257">
        <f>INDEX(연료전지_원본!$KB$4:$KX$369,MATCH($A309,연료전지_원본!$KB$4:$KB$369,0), MATCH(CY$4,연료전지_원본!$KB$4:$KX$4,0))*1000</f>
        <v>0</v>
      </c>
      <c r="CZ309" s="186"/>
      <c r="DA309" s="182"/>
      <c r="DB309" s="182"/>
      <c r="DC309" s="182"/>
      <c r="DD309" s="182"/>
      <c r="DE309" s="182"/>
      <c r="DF309" s="182"/>
      <c r="DG309" s="182"/>
      <c r="DH309" s="182"/>
      <c r="DI309" s="182"/>
      <c r="DJ309" s="182"/>
      <c r="DK309" s="182"/>
      <c r="DL309" s="182"/>
      <c r="DM309" s="182"/>
      <c r="DN309" s="182"/>
      <c r="DO309" s="182"/>
      <c r="DP309" s="182"/>
      <c r="DQ309" s="182"/>
      <c r="DR309" s="182"/>
      <c r="DS309" s="182"/>
      <c r="DT309" s="182"/>
      <c r="DU309" s="182"/>
      <c r="DV309" s="182">
        <f t="shared" si="1616"/>
        <v>0</v>
      </c>
    </row>
    <row r="310" spans="1:126">
      <c r="A310" s="6">
        <v>46327</v>
      </c>
      <c r="B310" s="15">
        <f>운전실적_원본!B310</f>
        <v>0</v>
      </c>
      <c r="C310" s="16" t="str">
        <f t="shared" si="1622"/>
        <v/>
      </c>
      <c r="D310" s="12">
        <f>운전실적_원본!C310</f>
        <v>0</v>
      </c>
      <c r="E310" s="12" t="str">
        <f t="shared" si="1623"/>
        <v/>
      </c>
      <c r="F310" s="12">
        <f>운전실적_원본!D310</f>
        <v>0</v>
      </c>
      <c r="G310" s="16" t="str">
        <f t="shared" si="1624"/>
        <v/>
      </c>
      <c r="H310" s="15">
        <f>운전실적_원본!E310</f>
        <v>0</v>
      </c>
      <c r="I310" s="16" t="str">
        <f t="shared" si="1625"/>
        <v/>
      </c>
      <c r="J310" s="15">
        <f>운전실적_원본!F310</f>
        <v>0</v>
      </c>
      <c r="K310" s="16" t="str">
        <f t="shared" si="1625"/>
        <v/>
      </c>
      <c r="L310" s="32">
        <f>운전실적_원본!G310</f>
        <v>0</v>
      </c>
      <c r="M310" s="31" t="str">
        <f t="shared" ref="M310" si="1697">IF(OR(LEN(L310)=0,L310=0),"",L310-L309)</f>
        <v/>
      </c>
      <c r="N310" s="15">
        <f>운전실적_원본!H310</f>
        <v>0</v>
      </c>
      <c r="O310" s="16" t="str">
        <f t="shared" ref="O310" si="1698">IF(OR(LEN(N310)=0,N310=0),"",N310-N309)</f>
        <v/>
      </c>
      <c r="P310" s="15">
        <f>운전실적_원본!I310</f>
        <v>0</v>
      </c>
      <c r="Q310" s="16" t="str">
        <f t="shared" ref="Q310" si="1699">IF(OR(LEN(P310)=0,P310=0),"",P310-P309)</f>
        <v/>
      </c>
      <c r="R310" s="18">
        <f>운전실적_원본!J310</f>
        <v>0</v>
      </c>
      <c r="S310" s="19" t="str">
        <f t="shared" ref="S310" si="1700">IF(OR(LEN(R310)=0,R310=0),"",R310-R309)</f>
        <v/>
      </c>
      <c r="T310" s="18">
        <f>운전실적_원본!K310</f>
        <v>0</v>
      </c>
      <c r="U310" s="19" t="str">
        <f t="shared" si="1630"/>
        <v/>
      </c>
      <c r="V310" s="12">
        <f>운전실적_원본!L310</f>
        <v>0</v>
      </c>
      <c r="W310" s="16" t="str">
        <f t="shared" ref="W310" si="1701">IF(OR(LEN(V310)=0,V310=0),"",V310-V309)</f>
        <v/>
      </c>
      <c r="X310" s="10">
        <f>운전실적_원본!M310</f>
        <v>0</v>
      </c>
      <c r="Y310" s="10">
        <f>운전실적_원본!N310</f>
        <v>0</v>
      </c>
      <c r="Z310" s="10">
        <f>운전실적_원본!O310</f>
        <v>0</v>
      </c>
      <c r="AA310" s="10">
        <f>운전실적_원본!P310</f>
        <v>0</v>
      </c>
      <c r="AB310" s="10">
        <f>운전실적_원본!Q310</f>
        <v>0</v>
      </c>
      <c r="AC310" s="20">
        <f>운전실적_원본!R310</f>
        <v>0</v>
      </c>
      <c r="AD310" s="109">
        <f>운전실적_원본!S310</f>
        <v>0</v>
      </c>
      <c r="AE310" s="110">
        <f>운전실적_원본!T310</f>
        <v>0</v>
      </c>
      <c r="AF310" s="110">
        <f>운전실적_원본!U310</f>
        <v>0</v>
      </c>
      <c r="AG310" s="110">
        <f>운전실적_원본!V310</f>
        <v>0</v>
      </c>
      <c r="AH310" s="109">
        <f t="shared" si="1453"/>
        <v>0</v>
      </c>
      <c r="AI310" s="110">
        <f t="shared" si="1460"/>
        <v>0</v>
      </c>
      <c r="AJ310" s="110">
        <f>운전실적_원본!Y310</f>
        <v>0</v>
      </c>
      <c r="AK310" s="110">
        <f>운전실적_원본!Z310</f>
        <v>0</v>
      </c>
      <c r="AL310" s="106"/>
      <c r="AM310" s="105"/>
      <c r="AN310" s="105"/>
      <c r="AO310" s="105"/>
      <c r="AP310" s="105"/>
      <c r="AQ310" s="108"/>
      <c r="AR310" s="105"/>
      <c r="AS310" s="105"/>
      <c r="AT310" s="102"/>
      <c r="AU310" s="102"/>
      <c r="AV310" s="102"/>
      <c r="AW310" s="102"/>
      <c r="AX310" s="32">
        <f>운전실적_원본!W310</f>
        <v>0</v>
      </c>
      <c r="AY310" s="11">
        <f>운전실적_원본!X310</f>
        <v>0</v>
      </c>
      <c r="AZ310" s="11">
        <f>운전실적_원본!Y310</f>
        <v>0</v>
      </c>
      <c r="BA310" s="11">
        <f>운전실적_원본!Z310</f>
        <v>0</v>
      </c>
      <c r="BB310" s="11">
        <f>운전실적_원본!AA310</f>
        <v>0</v>
      </c>
      <c r="BC310" s="11">
        <f>운전실적_원본!AB310</f>
        <v>0</v>
      </c>
      <c r="BD310" s="32" t="str">
        <f t="shared" si="1446"/>
        <v>-</v>
      </c>
      <c r="BE310" s="11" t="str">
        <f t="shared" si="1454"/>
        <v>-</v>
      </c>
      <c r="BF310" s="11">
        <f>운전실적_원본!AE310</f>
        <v>0</v>
      </c>
      <c r="BG310" s="31">
        <f t="shared" si="1447"/>
        <v>0</v>
      </c>
      <c r="BH310" s="241">
        <f>INDEX(연료전지_원본!$A$4:$KY$369,MATCH($A310,연료전지_원본!$A$4:$A$369,0),MATCH($BH$4,연료전지_원본!$A$4:$KY$4,0))</f>
        <v>0</v>
      </c>
      <c r="BI310" s="241">
        <f>INDEX(연료전지_원본!$A$4:$KY$369,MATCH($A310,연료전지_원본!$A$4:$A$369,0),MATCH($BI$4,연료전지_원본!$A$4:$KY$4,0))</f>
        <v>0</v>
      </c>
      <c r="BJ310" s="241">
        <f>INDEX(연료전지_원본!$A$4:$KY$369,MATCH($A310,연료전지_원본!$A$4:$A$369,0),MATCH($BJ$4,연료전지_원본!$A$4:$KY$4,0))</f>
        <v>0</v>
      </c>
      <c r="BK310" s="241">
        <f>INDEX(연료전지_원본!$A$4:$KY$369,MATCH($A310,연료전지_원본!$A$4:$A$369,0),MATCH($BK$4,연료전지_원본!$A$4:$KY$4,0))</f>
        <v>0</v>
      </c>
      <c r="BL310" s="241">
        <f>INDEX(연료전지_원본!$A$4:$KY$369,MATCH($A310,연료전지_원본!$A$4:$A$369,0),MATCH($BL$4,연료전지_원본!$A$4:$KY$4,0))</f>
        <v>0</v>
      </c>
      <c r="BM310" s="241">
        <f>INDEX(연료전지_원본!$A$4:$KY$369,MATCH($A310,연료전지_원본!$A$4:$A$369,0),MATCH($BM$4,연료전지_원본!$A$4:$KY$4,0))</f>
        <v>0</v>
      </c>
      <c r="BN310" s="241">
        <f>INDEX(연료전지_원본!$A$4:$KY$369,MATCH($A310,연료전지_원본!$A$4:$A$369,0),MATCH($BN$4,연료전지_원본!$A$4:$KY$4,0))</f>
        <v>0</v>
      </c>
      <c r="BO310" s="241">
        <f>INDEX(연료전지_원본!$A$4:$KY$369,MATCH($A310,연료전지_원본!$A$4:$A$369,0),MATCH($BO$4,연료전지_원본!$A$4:$KY$4,0))</f>
        <v>0</v>
      </c>
      <c r="BP310" s="241">
        <f>INDEX(연료전지_원본!$A$4:$KY$369,MATCH($A310,연료전지_원본!$A$4:$A$369,0),MATCH($BP$4,연료전지_원본!$A$4:$KY$4,0))</f>
        <v>0</v>
      </c>
      <c r="BQ310" s="241">
        <f>INDEX(연료전지_원본!$A$4:$KY$369,MATCH($A310,연료전지_원본!$A$4:$A$369,0),MATCH($BQ$4,연료전지_원본!$A$4:$KY$4,0))</f>
        <v>0</v>
      </c>
      <c r="BR310" s="241">
        <f>INDEX(연료전지_원본!$A$4:$KY$369,MATCH($A310,연료전지_원본!$A$4:$A$369,0),MATCH($BR$4,연료전지_원본!$A$4:$KY$4,0))</f>
        <v>0</v>
      </c>
      <c r="BS310" s="241">
        <f>INDEX(연료전지_원본!$A$4:$KY$369,MATCH($A310,연료전지_원본!$A$4:$A$369,0),MATCH($BS$4,연료전지_원본!$A$4:$KY$4,0))</f>
        <v>0</v>
      </c>
      <c r="BT310" s="241">
        <f>INDEX(연료전지_원본!$A$4:$KY$369,MATCH($A310,연료전지_원본!$A$4:$A$369,0),MATCH($BT$4,연료전지_원본!$A$4:$KY$4,0))</f>
        <v>0</v>
      </c>
      <c r="BU310" s="241">
        <f>INDEX(연료전지_원본!$A$4:$KY$369,MATCH($A310,연료전지_원본!$A$4:$A$369,0),MATCH($BU$4,연료전지_원본!$A$4:$KY$4,0))</f>
        <v>0</v>
      </c>
      <c r="BV310" s="241">
        <f>INDEX(연료전지_원본!$A$4:$KY$369,MATCH($A310,연료전지_원본!$A$4:$A$369,0),MATCH($BV$4,연료전지_원본!$A$4:$KY$4,0))</f>
        <v>0</v>
      </c>
      <c r="BW310" s="241">
        <f>INDEX(연료전지_원본!$A$4:$KY$369,MATCH($A310,연료전지_원본!$A$4:$A$369,0),MATCH($BW$4,연료전지_원본!$A$4:$KY$4,0))</f>
        <v>0</v>
      </c>
      <c r="BX310" s="241">
        <f>INDEX(연료전지_원본!$A$4:$KY$369,MATCH($A310,연료전지_원본!$A$4:$A$369,0),MATCH($BX$4,연료전지_원본!$A$4:$KY$4,0))</f>
        <v>0</v>
      </c>
      <c r="BY310" s="241">
        <f>INDEX(연료전지_원본!$A$4:$KY$369,MATCH($A310,연료전지_원본!$A$4:$A$369,0),MATCH($BY$4,연료전지_원본!$A$4:$KY$4,0))</f>
        <v>0</v>
      </c>
      <c r="BZ310" s="241">
        <f>INDEX(연료전지_원본!$A$4:$KY$369,MATCH($A310,연료전지_원본!$A$4:$A$369,0),MATCH($BZ$4,연료전지_원본!$A$4:$KY$4,0))</f>
        <v>0</v>
      </c>
      <c r="CA310" s="241">
        <f>INDEX(연료전지_원본!$A$4:$KY$369,MATCH($A310,연료전지_원본!$A$4:$A$369,0),MATCH($CA$4,연료전지_원본!$A$4:$KY$4,0))</f>
        <v>0</v>
      </c>
      <c r="CB310" s="241">
        <f>INDEX(연료전지_원본!$A$4:$KY$369,MATCH($A310,연료전지_원본!$A$4:$A$369,0),MATCH($CB$4,연료전지_원본!$A$4:$KY$4,0))</f>
        <v>0</v>
      </c>
      <c r="CC310" s="242">
        <f>INDEX(연료전지_원본!$A$4:$KY$369,MATCH($A310,연료전지_원본!$A$4:$A$369,0),MATCH($CC$4,연료전지_원본!$A$4:$KY$4,0))</f>
        <v>0</v>
      </c>
      <c r="CD310" s="250">
        <f>INDEX(연료전지_원본!$KB$4:$KX$369,MATCH($A310,연료전지_원본!$KB$4:$KB$369,0), MATCH(CD$4,연료전지_원본!$KB$4:$KX$4,0))*1000</f>
        <v>0</v>
      </c>
      <c r="CE310" s="250">
        <f>INDEX(연료전지_원본!$KB$4:$KX$369,MATCH($A310,연료전지_원본!$KB$4:$KB$369,0), MATCH(CE$4,연료전지_원본!$KB$4:$KX$4,0))*1000</f>
        <v>0</v>
      </c>
      <c r="CF310" s="250">
        <f>INDEX(연료전지_원본!$KB$4:$KX$369,MATCH($A310,연료전지_원본!$KB$4:$KB$369,0), MATCH(CF$4,연료전지_원본!$KB$4:$KX$4,0))*1000</f>
        <v>0</v>
      </c>
      <c r="CG310" s="250">
        <f>INDEX(연료전지_원본!$KB$4:$KX$369,MATCH($A310,연료전지_원본!$KB$4:$KB$369,0), MATCH(CG$4,연료전지_원본!$KB$4:$KX$4,0))*1000</f>
        <v>0</v>
      </c>
      <c r="CH310" s="250">
        <f>INDEX(연료전지_원본!$KB$4:$KX$369,MATCH($A310,연료전지_원본!$KB$4:$KB$369,0), MATCH(CH$4,연료전지_원본!$KB$4:$KX$4,0))*1000</f>
        <v>0</v>
      </c>
      <c r="CI310" s="250">
        <f>INDEX(연료전지_원본!$KB$4:$KX$369,MATCH($A310,연료전지_원본!$KB$4:$KB$369,0), MATCH(CI$4,연료전지_원본!$KB$4:$KX$4,0))*1000</f>
        <v>0</v>
      </c>
      <c r="CJ310" s="250">
        <f>INDEX(연료전지_원본!$KB$4:$KX$369,MATCH($A310,연료전지_원본!$KB$4:$KB$369,0), MATCH(CJ$4,연료전지_원본!$KB$4:$KX$4,0))*1000</f>
        <v>0</v>
      </c>
      <c r="CK310" s="250">
        <f>INDEX(연료전지_원본!$KB$4:$KX$369,MATCH($A310,연료전지_원본!$KB$4:$KB$369,0), MATCH(CK$4,연료전지_원본!$KB$4:$KX$4,0))*1000</f>
        <v>0</v>
      </c>
      <c r="CL310" s="250">
        <f>INDEX(연료전지_원본!$KB$4:$KX$369,MATCH($A310,연료전지_원본!$KB$4:$KB$369,0), MATCH(CL$4,연료전지_원본!$KB$4:$KX$4,0))*1000</f>
        <v>0</v>
      </c>
      <c r="CM310" s="250">
        <f>INDEX(연료전지_원본!$KB$4:$KX$369,MATCH($A310,연료전지_원본!$KB$4:$KB$369,0), MATCH(CM$4,연료전지_원본!$KB$4:$KX$4,0))*1000</f>
        <v>0</v>
      </c>
      <c r="CN310" s="250">
        <f>INDEX(연료전지_원본!$KB$4:$KX$369,MATCH($A310,연료전지_원본!$KB$4:$KB$369,0), MATCH(CN$4,연료전지_원본!$KB$4:$KX$4,0))*1000</f>
        <v>0</v>
      </c>
      <c r="CO310" s="250">
        <f>INDEX(연료전지_원본!$KB$4:$KX$369,MATCH($A310,연료전지_원본!$KB$4:$KB$369,0), MATCH(CO$4,연료전지_원본!$KB$4:$KX$4,0))*1000</f>
        <v>0</v>
      </c>
      <c r="CP310" s="250">
        <f>INDEX(연료전지_원본!$KB$4:$KX$369,MATCH($A310,연료전지_원본!$KB$4:$KB$369,0), MATCH(CP$4,연료전지_원본!$KB$4:$KX$4,0))*1000</f>
        <v>0</v>
      </c>
      <c r="CQ310" s="250">
        <f>INDEX(연료전지_원본!$KB$4:$KX$369,MATCH($A310,연료전지_원본!$KB$4:$KB$369,0), MATCH(CQ$4,연료전지_원본!$KB$4:$KX$4,0))*1000</f>
        <v>0</v>
      </c>
      <c r="CR310" s="250">
        <f>INDEX(연료전지_원본!$KB$4:$KX$369,MATCH($A310,연료전지_원본!$KB$4:$KB$369,0), MATCH(CR$4,연료전지_원본!$KB$4:$KX$4,0))*1000</f>
        <v>0</v>
      </c>
      <c r="CS310" s="250">
        <f>INDEX(연료전지_원본!$KB$4:$KX$369,MATCH($A310,연료전지_원본!$KB$4:$KB$369,0), MATCH(CS$4,연료전지_원본!$KB$4:$KX$4,0))*1000</f>
        <v>0</v>
      </c>
      <c r="CT310" s="250">
        <f>INDEX(연료전지_원본!$KB$4:$KX$369,MATCH($A310,연료전지_원본!$KB$4:$KB$369,0), MATCH(CT$4,연료전지_원본!$KB$4:$KX$4,0))*1000</f>
        <v>0</v>
      </c>
      <c r="CU310" s="250">
        <f>INDEX(연료전지_원본!$KB$4:$KX$369,MATCH($A310,연료전지_원본!$KB$4:$KB$369,0), MATCH(CU$4,연료전지_원본!$KB$4:$KX$4,0))*1000</f>
        <v>0</v>
      </c>
      <c r="CV310" s="250">
        <f>INDEX(연료전지_원본!$KB$4:$KX$369,MATCH($A310,연료전지_원본!$KB$4:$KB$369,0), MATCH(CV$4,연료전지_원본!$KB$4:$KX$4,0))*1000</f>
        <v>0</v>
      </c>
      <c r="CW310" s="250">
        <f>INDEX(연료전지_원본!$KB$4:$KX$369,MATCH($A310,연료전지_원본!$KB$4:$KB$369,0), MATCH(CW$4,연료전지_원본!$KB$4:$KX$4,0))*1000</f>
        <v>0</v>
      </c>
      <c r="CX310" s="250">
        <f>INDEX(연료전지_원본!$KB$4:$KX$369,MATCH($A310,연료전지_원본!$KB$4:$KB$369,0), MATCH(CX$4,연료전지_원본!$KB$4:$KX$4,0))*1000</f>
        <v>0</v>
      </c>
      <c r="CY310" s="250">
        <f>INDEX(연료전지_원본!$KB$4:$KX$369,MATCH($A310,연료전지_원본!$KB$4:$KB$369,0), MATCH(CY$4,연료전지_원본!$KB$4:$KX$4,0))*1000</f>
        <v>0</v>
      </c>
      <c r="DV310" s="30">
        <f t="shared" si="1616"/>
        <v>0</v>
      </c>
    </row>
    <row r="311" spans="1:126">
      <c r="A311" s="6">
        <v>46328</v>
      </c>
      <c r="B311" s="15">
        <f>운전실적_원본!B311</f>
        <v>0</v>
      </c>
      <c r="C311" s="16" t="str">
        <f t="shared" si="1622"/>
        <v/>
      </c>
      <c r="D311" s="12">
        <f>운전실적_원본!C311</f>
        <v>0</v>
      </c>
      <c r="E311" s="12" t="str">
        <f t="shared" si="1623"/>
        <v/>
      </c>
      <c r="F311" s="12">
        <f>운전실적_원본!D311</f>
        <v>0</v>
      </c>
      <c r="G311" s="16" t="str">
        <f t="shared" si="1624"/>
        <v/>
      </c>
      <c r="H311" s="15">
        <f>운전실적_원본!E311</f>
        <v>0</v>
      </c>
      <c r="I311" s="16" t="str">
        <f t="shared" si="1625"/>
        <v/>
      </c>
      <c r="J311" s="15">
        <f>운전실적_원본!F311</f>
        <v>0</v>
      </c>
      <c r="K311" s="16" t="str">
        <f t="shared" si="1625"/>
        <v/>
      </c>
      <c r="L311" s="32">
        <f>운전실적_원본!G311</f>
        <v>0</v>
      </c>
      <c r="M311" s="31" t="str">
        <f t="shared" ref="M311" si="1702">IF(OR(LEN(L311)=0,L311=0),"",L311-L310)</f>
        <v/>
      </c>
      <c r="N311" s="15">
        <f>운전실적_원본!H311</f>
        <v>0</v>
      </c>
      <c r="O311" s="16" t="str">
        <f t="shared" ref="O311" si="1703">IF(OR(LEN(N311)=0,N311=0),"",N311-N310)</f>
        <v/>
      </c>
      <c r="P311" s="15">
        <f>운전실적_원본!I311</f>
        <v>0</v>
      </c>
      <c r="Q311" s="16" t="str">
        <f t="shared" ref="Q311" si="1704">IF(OR(LEN(P311)=0,P311=0),"",P311-P310)</f>
        <v/>
      </c>
      <c r="R311" s="18">
        <f>운전실적_원본!J311</f>
        <v>0</v>
      </c>
      <c r="S311" s="19" t="str">
        <f t="shared" ref="S311" si="1705">IF(OR(LEN(R311)=0,R311=0),"",R311-R310)</f>
        <v/>
      </c>
      <c r="T311" s="18">
        <f>운전실적_원본!K311</f>
        <v>0</v>
      </c>
      <c r="U311" s="19" t="str">
        <f t="shared" si="1630"/>
        <v/>
      </c>
      <c r="V311" s="12">
        <f>운전실적_원본!L311</f>
        <v>0</v>
      </c>
      <c r="W311" s="16" t="str">
        <f t="shared" ref="W311" si="1706">IF(OR(LEN(V311)=0,V311=0),"",V311-V310)</f>
        <v/>
      </c>
      <c r="X311" s="10">
        <f>운전실적_원본!M311</f>
        <v>0</v>
      </c>
      <c r="Y311" s="10">
        <f>운전실적_원본!N311</f>
        <v>0</v>
      </c>
      <c r="Z311" s="10">
        <f>운전실적_원본!O311</f>
        <v>0</v>
      </c>
      <c r="AA311" s="10">
        <f>운전실적_원본!P311</f>
        <v>0</v>
      </c>
      <c r="AB311" s="10">
        <f>운전실적_원본!Q311</f>
        <v>0</v>
      </c>
      <c r="AC311" s="20">
        <f>운전실적_원본!R311</f>
        <v>0</v>
      </c>
      <c r="AD311" s="109">
        <f>운전실적_원본!S311</f>
        <v>0</v>
      </c>
      <c r="AE311" s="110">
        <f>운전실적_원본!T311</f>
        <v>0</v>
      </c>
      <c r="AF311" s="110">
        <f>운전실적_원본!U311</f>
        <v>0</v>
      </c>
      <c r="AG311" s="110">
        <f>운전실적_원본!V311</f>
        <v>0</v>
      </c>
      <c r="AH311" s="109">
        <f t="shared" si="1453"/>
        <v>0</v>
      </c>
      <c r="AI311" s="110">
        <f t="shared" si="1460"/>
        <v>0</v>
      </c>
      <c r="AJ311" s="110">
        <f>운전실적_원본!Y311</f>
        <v>0</v>
      </c>
      <c r="AK311" s="110">
        <f>운전실적_원본!Z311</f>
        <v>0</v>
      </c>
      <c r="AL311" s="106"/>
      <c r="AM311" s="105"/>
      <c r="AN311" s="105"/>
      <c r="AO311" s="105"/>
      <c r="AP311" s="105"/>
      <c r="AQ311" s="108"/>
      <c r="AR311" s="105"/>
      <c r="AS311" s="105"/>
      <c r="AT311" s="102"/>
      <c r="AU311" s="102"/>
      <c r="AV311" s="102"/>
      <c r="AW311" s="102"/>
      <c r="AX311" s="32">
        <f>운전실적_원본!W311</f>
        <v>0</v>
      </c>
      <c r="AY311" s="11">
        <f>운전실적_원본!X311</f>
        <v>0</v>
      </c>
      <c r="AZ311" s="11">
        <f>운전실적_원본!Y311</f>
        <v>0</v>
      </c>
      <c r="BA311" s="11">
        <f>운전실적_원본!Z311</f>
        <v>0</v>
      </c>
      <c r="BB311" s="11">
        <f>운전실적_원본!AA311</f>
        <v>0</v>
      </c>
      <c r="BC311" s="11">
        <f>운전실적_원본!AB311</f>
        <v>0</v>
      </c>
      <c r="BD311" s="32" t="str">
        <f t="shared" si="1446"/>
        <v>-</v>
      </c>
      <c r="BE311" s="11" t="str">
        <f t="shared" si="1454"/>
        <v>-</v>
      </c>
      <c r="BF311" s="11">
        <f>운전실적_원본!AE311</f>
        <v>0</v>
      </c>
      <c r="BG311" s="31">
        <f t="shared" si="1447"/>
        <v>0</v>
      </c>
      <c r="BH311" s="241">
        <f>INDEX(연료전지_원본!$A$4:$KY$369,MATCH($A311,연료전지_원본!$A$4:$A$369,0),MATCH($BH$4,연료전지_원본!$A$4:$KY$4,0))</f>
        <v>0</v>
      </c>
      <c r="BI311" s="241">
        <f>INDEX(연료전지_원본!$A$4:$KY$369,MATCH($A311,연료전지_원본!$A$4:$A$369,0),MATCH($BI$4,연료전지_원본!$A$4:$KY$4,0))</f>
        <v>0</v>
      </c>
      <c r="BJ311" s="241">
        <f>INDEX(연료전지_원본!$A$4:$KY$369,MATCH($A311,연료전지_원본!$A$4:$A$369,0),MATCH($BJ$4,연료전지_원본!$A$4:$KY$4,0))</f>
        <v>0</v>
      </c>
      <c r="BK311" s="241">
        <f>INDEX(연료전지_원본!$A$4:$KY$369,MATCH($A311,연료전지_원본!$A$4:$A$369,0),MATCH($BK$4,연료전지_원본!$A$4:$KY$4,0))</f>
        <v>0</v>
      </c>
      <c r="BL311" s="241">
        <f>INDEX(연료전지_원본!$A$4:$KY$369,MATCH($A311,연료전지_원본!$A$4:$A$369,0),MATCH($BL$4,연료전지_원본!$A$4:$KY$4,0))</f>
        <v>0</v>
      </c>
      <c r="BM311" s="241">
        <f>INDEX(연료전지_원본!$A$4:$KY$369,MATCH($A311,연료전지_원본!$A$4:$A$369,0),MATCH($BM$4,연료전지_원본!$A$4:$KY$4,0))</f>
        <v>0</v>
      </c>
      <c r="BN311" s="241">
        <f>INDEX(연료전지_원본!$A$4:$KY$369,MATCH($A311,연료전지_원본!$A$4:$A$369,0),MATCH($BN$4,연료전지_원본!$A$4:$KY$4,0))</f>
        <v>0</v>
      </c>
      <c r="BO311" s="241">
        <f>INDEX(연료전지_원본!$A$4:$KY$369,MATCH($A311,연료전지_원본!$A$4:$A$369,0),MATCH($BO$4,연료전지_원본!$A$4:$KY$4,0))</f>
        <v>0</v>
      </c>
      <c r="BP311" s="241">
        <f>INDEX(연료전지_원본!$A$4:$KY$369,MATCH($A311,연료전지_원본!$A$4:$A$369,0),MATCH($BP$4,연료전지_원본!$A$4:$KY$4,0))</f>
        <v>0</v>
      </c>
      <c r="BQ311" s="241">
        <f>INDEX(연료전지_원본!$A$4:$KY$369,MATCH($A311,연료전지_원본!$A$4:$A$369,0),MATCH($BQ$4,연료전지_원본!$A$4:$KY$4,0))</f>
        <v>0</v>
      </c>
      <c r="BR311" s="241">
        <f>INDEX(연료전지_원본!$A$4:$KY$369,MATCH($A311,연료전지_원본!$A$4:$A$369,0),MATCH($BR$4,연료전지_원본!$A$4:$KY$4,0))</f>
        <v>0</v>
      </c>
      <c r="BS311" s="241">
        <f>INDEX(연료전지_원본!$A$4:$KY$369,MATCH($A311,연료전지_원본!$A$4:$A$369,0),MATCH($BS$4,연료전지_원본!$A$4:$KY$4,0))</f>
        <v>0</v>
      </c>
      <c r="BT311" s="241">
        <f>INDEX(연료전지_원본!$A$4:$KY$369,MATCH($A311,연료전지_원본!$A$4:$A$369,0),MATCH($BT$4,연료전지_원본!$A$4:$KY$4,0))</f>
        <v>0</v>
      </c>
      <c r="BU311" s="241">
        <f>INDEX(연료전지_원본!$A$4:$KY$369,MATCH($A311,연료전지_원본!$A$4:$A$369,0),MATCH($BU$4,연료전지_원본!$A$4:$KY$4,0))</f>
        <v>0</v>
      </c>
      <c r="BV311" s="241">
        <f>INDEX(연료전지_원본!$A$4:$KY$369,MATCH($A311,연료전지_원본!$A$4:$A$369,0),MATCH($BV$4,연료전지_원본!$A$4:$KY$4,0))</f>
        <v>0</v>
      </c>
      <c r="BW311" s="241">
        <f>INDEX(연료전지_원본!$A$4:$KY$369,MATCH($A311,연료전지_원본!$A$4:$A$369,0),MATCH($BW$4,연료전지_원본!$A$4:$KY$4,0))</f>
        <v>0</v>
      </c>
      <c r="BX311" s="241">
        <f>INDEX(연료전지_원본!$A$4:$KY$369,MATCH($A311,연료전지_원본!$A$4:$A$369,0),MATCH($BX$4,연료전지_원본!$A$4:$KY$4,0))</f>
        <v>0</v>
      </c>
      <c r="BY311" s="241">
        <f>INDEX(연료전지_원본!$A$4:$KY$369,MATCH($A311,연료전지_원본!$A$4:$A$369,0),MATCH($BY$4,연료전지_원본!$A$4:$KY$4,0))</f>
        <v>0</v>
      </c>
      <c r="BZ311" s="241">
        <f>INDEX(연료전지_원본!$A$4:$KY$369,MATCH($A311,연료전지_원본!$A$4:$A$369,0),MATCH($BZ$4,연료전지_원본!$A$4:$KY$4,0))</f>
        <v>0</v>
      </c>
      <c r="CA311" s="241">
        <f>INDEX(연료전지_원본!$A$4:$KY$369,MATCH($A311,연료전지_원본!$A$4:$A$369,0),MATCH($CA$4,연료전지_원본!$A$4:$KY$4,0))</f>
        <v>0</v>
      </c>
      <c r="CB311" s="241">
        <f>INDEX(연료전지_원본!$A$4:$KY$369,MATCH($A311,연료전지_원본!$A$4:$A$369,0),MATCH($CB$4,연료전지_원본!$A$4:$KY$4,0))</f>
        <v>0</v>
      </c>
      <c r="CC311" s="242">
        <f>INDEX(연료전지_원본!$A$4:$KY$369,MATCH($A311,연료전지_원본!$A$4:$A$369,0),MATCH($CC$4,연료전지_원본!$A$4:$KY$4,0))</f>
        <v>0</v>
      </c>
      <c r="CD311" s="250">
        <f>INDEX(연료전지_원본!$KB$4:$KX$369,MATCH($A311,연료전지_원본!$KB$4:$KB$369,0), MATCH(CD$4,연료전지_원본!$KB$4:$KX$4,0))*1000</f>
        <v>0</v>
      </c>
      <c r="CE311" s="250">
        <f>INDEX(연료전지_원본!$KB$4:$KX$369,MATCH($A311,연료전지_원본!$KB$4:$KB$369,0), MATCH(CE$4,연료전지_원본!$KB$4:$KX$4,0))*1000</f>
        <v>0</v>
      </c>
      <c r="CF311" s="250">
        <f>INDEX(연료전지_원본!$KB$4:$KX$369,MATCH($A311,연료전지_원본!$KB$4:$KB$369,0), MATCH(CF$4,연료전지_원본!$KB$4:$KX$4,0))*1000</f>
        <v>0</v>
      </c>
      <c r="CG311" s="250">
        <f>INDEX(연료전지_원본!$KB$4:$KX$369,MATCH($A311,연료전지_원본!$KB$4:$KB$369,0), MATCH(CG$4,연료전지_원본!$KB$4:$KX$4,0))*1000</f>
        <v>0</v>
      </c>
      <c r="CH311" s="250">
        <f>INDEX(연료전지_원본!$KB$4:$KX$369,MATCH($A311,연료전지_원본!$KB$4:$KB$369,0), MATCH(CH$4,연료전지_원본!$KB$4:$KX$4,0))*1000</f>
        <v>0</v>
      </c>
      <c r="CI311" s="250">
        <f>INDEX(연료전지_원본!$KB$4:$KX$369,MATCH($A311,연료전지_원본!$KB$4:$KB$369,0), MATCH(CI$4,연료전지_원본!$KB$4:$KX$4,0))*1000</f>
        <v>0</v>
      </c>
      <c r="CJ311" s="250">
        <f>INDEX(연료전지_원본!$KB$4:$KX$369,MATCH($A311,연료전지_원본!$KB$4:$KB$369,0), MATCH(CJ$4,연료전지_원본!$KB$4:$KX$4,0))*1000</f>
        <v>0</v>
      </c>
      <c r="CK311" s="250">
        <f>INDEX(연료전지_원본!$KB$4:$KX$369,MATCH($A311,연료전지_원본!$KB$4:$KB$369,0), MATCH(CK$4,연료전지_원본!$KB$4:$KX$4,0))*1000</f>
        <v>0</v>
      </c>
      <c r="CL311" s="250">
        <f>INDEX(연료전지_원본!$KB$4:$KX$369,MATCH($A311,연료전지_원본!$KB$4:$KB$369,0), MATCH(CL$4,연료전지_원본!$KB$4:$KX$4,0))*1000</f>
        <v>0</v>
      </c>
      <c r="CM311" s="250">
        <f>INDEX(연료전지_원본!$KB$4:$KX$369,MATCH($A311,연료전지_원본!$KB$4:$KB$369,0), MATCH(CM$4,연료전지_원본!$KB$4:$KX$4,0))*1000</f>
        <v>0</v>
      </c>
      <c r="CN311" s="250">
        <f>INDEX(연료전지_원본!$KB$4:$KX$369,MATCH($A311,연료전지_원본!$KB$4:$KB$369,0), MATCH(CN$4,연료전지_원본!$KB$4:$KX$4,0))*1000</f>
        <v>0</v>
      </c>
      <c r="CO311" s="250">
        <f>INDEX(연료전지_원본!$KB$4:$KX$369,MATCH($A311,연료전지_원본!$KB$4:$KB$369,0), MATCH(CO$4,연료전지_원본!$KB$4:$KX$4,0))*1000</f>
        <v>0</v>
      </c>
      <c r="CP311" s="250">
        <f>INDEX(연료전지_원본!$KB$4:$KX$369,MATCH($A311,연료전지_원본!$KB$4:$KB$369,0), MATCH(CP$4,연료전지_원본!$KB$4:$KX$4,0))*1000</f>
        <v>0</v>
      </c>
      <c r="CQ311" s="250">
        <f>INDEX(연료전지_원본!$KB$4:$KX$369,MATCH($A311,연료전지_원본!$KB$4:$KB$369,0), MATCH(CQ$4,연료전지_원본!$KB$4:$KX$4,0))*1000</f>
        <v>0</v>
      </c>
      <c r="CR311" s="250">
        <f>INDEX(연료전지_원본!$KB$4:$KX$369,MATCH($A311,연료전지_원본!$KB$4:$KB$369,0), MATCH(CR$4,연료전지_원본!$KB$4:$KX$4,0))*1000</f>
        <v>0</v>
      </c>
      <c r="CS311" s="250">
        <f>INDEX(연료전지_원본!$KB$4:$KX$369,MATCH($A311,연료전지_원본!$KB$4:$KB$369,0), MATCH(CS$4,연료전지_원본!$KB$4:$KX$4,0))*1000</f>
        <v>0</v>
      </c>
      <c r="CT311" s="250">
        <f>INDEX(연료전지_원본!$KB$4:$KX$369,MATCH($A311,연료전지_원본!$KB$4:$KB$369,0), MATCH(CT$4,연료전지_원본!$KB$4:$KX$4,0))*1000</f>
        <v>0</v>
      </c>
      <c r="CU311" s="250">
        <f>INDEX(연료전지_원본!$KB$4:$KX$369,MATCH($A311,연료전지_원본!$KB$4:$KB$369,0), MATCH(CU$4,연료전지_원본!$KB$4:$KX$4,0))*1000</f>
        <v>0</v>
      </c>
      <c r="CV311" s="250">
        <f>INDEX(연료전지_원본!$KB$4:$KX$369,MATCH($A311,연료전지_원본!$KB$4:$KB$369,0), MATCH(CV$4,연료전지_원본!$KB$4:$KX$4,0))*1000</f>
        <v>0</v>
      </c>
      <c r="CW311" s="250">
        <f>INDEX(연료전지_원본!$KB$4:$KX$369,MATCH($A311,연료전지_원본!$KB$4:$KB$369,0), MATCH(CW$4,연료전지_원본!$KB$4:$KX$4,0))*1000</f>
        <v>0</v>
      </c>
      <c r="CX311" s="250">
        <f>INDEX(연료전지_원본!$KB$4:$KX$369,MATCH($A311,연료전지_원본!$KB$4:$KB$369,0), MATCH(CX$4,연료전지_원본!$KB$4:$KX$4,0))*1000</f>
        <v>0</v>
      </c>
      <c r="CY311" s="250">
        <f>INDEX(연료전지_원본!$KB$4:$KX$369,MATCH($A311,연료전지_원본!$KB$4:$KB$369,0), MATCH(CY$4,연료전지_원본!$KB$4:$KX$4,0))*1000</f>
        <v>0</v>
      </c>
      <c r="DV311" s="30">
        <f t="shared" si="1616"/>
        <v>0</v>
      </c>
    </row>
    <row r="312" spans="1:126">
      <c r="A312" s="6">
        <v>46329</v>
      </c>
      <c r="B312" s="15">
        <f>운전실적_원본!B312</f>
        <v>0</v>
      </c>
      <c r="C312" s="16" t="str">
        <f t="shared" si="1622"/>
        <v/>
      </c>
      <c r="D312" s="12">
        <f>운전실적_원본!C312</f>
        <v>0</v>
      </c>
      <c r="E312" s="12" t="str">
        <f t="shared" si="1623"/>
        <v/>
      </c>
      <c r="F312" s="12">
        <f>운전실적_원본!D312</f>
        <v>0</v>
      </c>
      <c r="G312" s="16" t="str">
        <f t="shared" si="1624"/>
        <v/>
      </c>
      <c r="H312" s="15">
        <f>운전실적_원본!E312</f>
        <v>0</v>
      </c>
      <c r="I312" s="16" t="str">
        <f t="shared" si="1625"/>
        <v/>
      </c>
      <c r="J312" s="15">
        <f>운전실적_원본!F312</f>
        <v>0</v>
      </c>
      <c r="K312" s="16" t="str">
        <f t="shared" si="1625"/>
        <v/>
      </c>
      <c r="L312" s="32">
        <f>운전실적_원본!G312</f>
        <v>0</v>
      </c>
      <c r="M312" s="31" t="str">
        <f t="shared" ref="M312" si="1707">IF(OR(LEN(L312)=0,L312=0),"",L312-L311)</f>
        <v/>
      </c>
      <c r="N312" s="15">
        <f>운전실적_원본!H312</f>
        <v>0</v>
      </c>
      <c r="O312" s="16" t="str">
        <f t="shared" ref="O312" si="1708">IF(OR(LEN(N312)=0,N312=0),"",N312-N311)</f>
        <v/>
      </c>
      <c r="P312" s="15">
        <f>운전실적_원본!I312</f>
        <v>0</v>
      </c>
      <c r="Q312" s="16" t="str">
        <f t="shared" ref="Q312" si="1709">IF(OR(LEN(P312)=0,P312=0),"",P312-P311)</f>
        <v/>
      </c>
      <c r="R312" s="18">
        <f>운전실적_원본!J312</f>
        <v>0</v>
      </c>
      <c r="S312" s="19" t="str">
        <f t="shared" ref="S312" si="1710">IF(OR(LEN(R312)=0,R312=0),"",R312-R311)</f>
        <v/>
      </c>
      <c r="T312" s="18">
        <f>운전실적_원본!K312</f>
        <v>0</v>
      </c>
      <c r="U312" s="19" t="str">
        <f t="shared" si="1630"/>
        <v/>
      </c>
      <c r="V312" s="12">
        <f>운전실적_원본!L312</f>
        <v>0</v>
      </c>
      <c r="W312" s="16" t="str">
        <f t="shared" ref="W312" si="1711">IF(OR(LEN(V312)=0,V312=0),"",V312-V311)</f>
        <v/>
      </c>
      <c r="X312" s="10">
        <f>운전실적_원본!M312</f>
        <v>0</v>
      </c>
      <c r="Y312" s="10">
        <f>운전실적_원본!N312</f>
        <v>0</v>
      </c>
      <c r="Z312" s="10">
        <f>운전실적_원본!O312</f>
        <v>0</v>
      </c>
      <c r="AA312" s="10">
        <f>운전실적_원본!P312</f>
        <v>0</v>
      </c>
      <c r="AB312" s="10">
        <f>운전실적_원본!Q312</f>
        <v>0</v>
      </c>
      <c r="AC312" s="20">
        <f>운전실적_원본!R312</f>
        <v>0</v>
      </c>
      <c r="AD312" s="109">
        <f>운전실적_원본!S312</f>
        <v>0</v>
      </c>
      <c r="AE312" s="110">
        <f>운전실적_원본!T312</f>
        <v>0</v>
      </c>
      <c r="AF312" s="110">
        <f>운전실적_원본!U312</f>
        <v>0</v>
      </c>
      <c r="AG312" s="110">
        <f>운전실적_원본!V312</f>
        <v>0</v>
      </c>
      <c r="AH312" s="109">
        <f t="shared" si="1453"/>
        <v>0</v>
      </c>
      <c r="AI312" s="110">
        <f t="shared" si="1460"/>
        <v>0</v>
      </c>
      <c r="AJ312" s="110">
        <f>운전실적_원본!Y312</f>
        <v>0</v>
      </c>
      <c r="AK312" s="110">
        <f>운전실적_원본!Z312</f>
        <v>0</v>
      </c>
      <c r="AL312" s="106"/>
      <c r="AM312" s="105"/>
      <c r="AN312" s="105"/>
      <c r="AO312" s="105"/>
      <c r="AP312" s="105"/>
      <c r="AQ312" s="108"/>
      <c r="AR312" s="105"/>
      <c r="AS312" s="105"/>
      <c r="AT312" s="102"/>
      <c r="AU312" s="102"/>
      <c r="AV312" s="102"/>
      <c r="AW312" s="102"/>
      <c r="AX312" s="32">
        <f>운전실적_원본!W312</f>
        <v>0</v>
      </c>
      <c r="AY312" s="11">
        <f>운전실적_원본!X312</f>
        <v>0</v>
      </c>
      <c r="AZ312" s="11">
        <f>운전실적_원본!Y312</f>
        <v>0</v>
      </c>
      <c r="BA312" s="11">
        <f>운전실적_원본!Z312</f>
        <v>0</v>
      </c>
      <c r="BB312" s="11">
        <f>운전실적_원본!AA312</f>
        <v>0</v>
      </c>
      <c r="BC312" s="11">
        <f>운전실적_원본!AB312</f>
        <v>0</v>
      </c>
      <c r="BD312" s="32" t="str">
        <f t="shared" si="1446"/>
        <v>-</v>
      </c>
      <c r="BE312" s="11" t="str">
        <f t="shared" si="1454"/>
        <v>-</v>
      </c>
      <c r="BF312" s="11">
        <f>운전실적_원본!AE312</f>
        <v>0</v>
      </c>
      <c r="BG312" s="31">
        <f t="shared" si="1447"/>
        <v>0</v>
      </c>
      <c r="BH312" s="241">
        <f>INDEX(연료전지_원본!$A$4:$KY$369,MATCH($A312,연료전지_원본!$A$4:$A$369,0),MATCH($BH$4,연료전지_원본!$A$4:$KY$4,0))</f>
        <v>0</v>
      </c>
      <c r="BI312" s="241">
        <f>INDEX(연료전지_원본!$A$4:$KY$369,MATCH($A312,연료전지_원본!$A$4:$A$369,0),MATCH($BI$4,연료전지_원본!$A$4:$KY$4,0))</f>
        <v>0</v>
      </c>
      <c r="BJ312" s="241">
        <f>INDEX(연료전지_원본!$A$4:$KY$369,MATCH($A312,연료전지_원본!$A$4:$A$369,0),MATCH($BJ$4,연료전지_원본!$A$4:$KY$4,0))</f>
        <v>0</v>
      </c>
      <c r="BK312" s="241">
        <f>INDEX(연료전지_원본!$A$4:$KY$369,MATCH($A312,연료전지_원본!$A$4:$A$369,0),MATCH($BK$4,연료전지_원본!$A$4:$KY$4,0))</f>
        <v>0</v>
      </c>
      <c r="BL312" s="241">
        <f>INDEX(연료전지_원본!$A$4:$KY$369,MATCH($A312,연료전지_원본!$A$4:$A$369,0),MATCH($BL$4,연료전지_원본!$A$4:$KY$4,0))</f>
        <v>0</v>
      </c>
      <c r="BM312" s="241">
        <f>INDEX(연료전지_원본!$A$4:$KY$369,MATCH($A312,연료전지_원본!$A$4:$A$369,0),MATCH($BM$4,연료전지_원본!$A$4:$KY$4,0))</f>
        <v>0</v>
      </c>
      <c r="BN312" s="241">
        <f>INDEX(연료전지_원본!$A$4:$KY$369,MATCH($A312,연료전지_원본!$A$4:$A$369,0),MATCH($BN$4,연료전지_원본!$A$4:$KY$4,0))</f>
        <v>0</v>
      </c>
      <c r="BO312" s="241">
        <f>INDEX(연료전지_원본!$A$4:$KY$369,MATCH($A312,연료전지_원본!$A$4:$A$369,0),MATCH($BO$4,연료전지_원본!$A$4:$KY$4,0))</f>
        <v>0</v>
      </c>
      <c r="BP312" s="241">
        <f>INDEX(연료전지_원본!$A$4:$KY$369,MATCH($A312,연료전지_원본!$A$4:$A$369,0),MATCH($BP$4,연료전지_원본!$A$4:$KY$4,0))</f>
        <v>0</v>
      </c>
      <c r="BQ312" s="241">
        <f>INDEX(연료전지_원본!$A$4:$KY$369,MATCH($A312,연료전지_원본!$A$4:$A$369,0),MATCH($BQ$4,연료전지_원본!$A$4:$KY$4,0))</f>
        <v>0</v>
      </c>
      <c r="BR312" s="241">
        <f>INDEX(연료전지_원본!$A$4:$KY$369,MATCH($A312,연료전지_원본!$A$4:$A$369,0),MATCH($BR$4,연료전지_원본!$A$4:$KY$4,0))</f>
        <v>0</v>
      </c>
      <c r="BS312" s="241">
        <f>INDEX(연료전지_원본!$A$4:$KY$369,MATCH($A312,연료전지_원본!$A$4:$A$369,0),MATCH($BS$4,연료전지_원본!$A$4:$KY$4,0))</f>
        <v>0</v>
      </c>
      <c r="BT312" s="241">
        <f>INDEX(연료전지_원본!$A$4:$KY$369,MATCH($A312,연료전지_원본!$A$4:$A$369,0),MATCH($BT$4,연료전지_원본!$A$4:$KY$4,0))</f>
        <v>0</v>
      </c>
      <c r="BU312" s="241">
        <f>INDEX(연료전지_원본!$A$4:$KY$369,MATCH($A312,연료전지_원본!$A$4:$A$369,0),MATCH($BU$4,연료전지_원본!$A$4:$KY$4,0))</f>
        <v>0</v>
      </c>
      <c r="BV312" s="241">
        <f>INDEX(연료전지_원본!$A$4:$KY$369,MATCH($A312,연료전지_원본!$A$4:$A$369,0),MATCH($BV$4,연료전지_원본!$A$4:$KY$4,0))</f>
        <v>0</v>
      </c>
      <c r="BW312" s="241">
        <f>INDEX(연료전지_원본!$A$4:$KY$369,MATCH($A312,연료전지_원본!$A$4:$A$369,0),MATCH($BW$4,연료전지_원본!$A$4:$KY$4,0))</f>
        <v>0</v>
      </c>
      <c r="BX312" s="241">
        <f>INDEX(연료전지_원본!$A$4:$KY$369,MATCH($A312,연료전지_원본!$A$4:$A$369,0),MATCH($BX$4,연료전지_원본!$A$4:$KY$4,0))</f>
        <v>0</v>
      </c>
      <c r="BY312" s="241">
        <f>INDEX(연료전지_원본!$A$4:$KY$369,MATCH($A312,연료전지_원본!$A$4:$A$369,0),MATCH($BY$4,연료전지_원본!$A$4:$KY$4,0))</f>
        <v>0</v>
      </c>
      <c r="BZ312" s="241">
        <f>INDEX(연료전지_원본!$A$4:$KY$369,MATCH($A312,연료전지_원본!$A$4:$A$369,0),MATCH($BZ$4,연료전지_원본!$A$4:$KY$4,0))</f>
        <v>0</v>
      </c>
      <c r="CA312" s="241">
        <f>INDEX(연료전지_원본!$A$4:$KY$369,MATCH($A312,연료전지_원본!$A$4:$A$369,0),MATCH($CA$4,연료전지_원본!$A$4:$KY$4,0))</f>
        <v>0</v>
      </c>
      <c r="CB312" s="241">
        <f>INDEX(연료전지_원본!$A$4:$KY$369,MATCH($A312,연료전지_원본!$A$4:$A$369,0),MATCH($CB$4,연료전지_원본!$A$4:$KY$4,0))</f>
        <v>0</v>
      </c>
      <c r="CC312" s="242">
        <f>INDEX(연료전지_원본!$A$4:$KY$369,MATCH($A312,연료전지_원본!$A$4:$A$369,0),MATCH($CC$4,연료전지_원본!$A$4:$KY$4,0))</f>
        <v>0</v>
      </c>
      <c r="CD312" s="250">
        <f>INDEX(연료전지_원본!$KB$4:$KX$369,MATCH($A312,연료전지_원본!$KB$4:$KB$369,0), MATCH(CD$4,연료전지_원본!$KB$4:$KX$4,0))*1000</f>
        <v>0</v>
      </c>
      <c r="CE312" s="250">
        <f>INDEX(연료전지_원본!$KB$4:$KX$369,MATCH($A312,연료전지_원본!$KB$4:$KB$369,0), MATCH(CE$4,연료전지_원본!$KB$4:$KX$4,0))*1000</f>
        <v>0</v>
      </c>
      <c r="CF312" s="250">
        <f>INDEX(연료전지_원본!$KB$4:$KX$369,MATCH($A312,연료전지_원본!$KB$4:$KB$369,0), MATCH(CF$4,연료전지_원본!$KB$4:$KX$4,0))*1000</f>
        <v>0</v>
      </c>
      <c r="CG312" s="250">
        <f>INDEX(연료전지_원본!$KB$4:$KX$369,MATCH($A312,연료전지_원본!$KB$4:$KB$369,0), MATCH(CG$4,연료전지_원본!$KB$4:$KX$4,0))*1000</f>
        <v>0</v>
      </c>
      <c r="CH312" s="250">
        <f>INDEX(연료전지_원본!$KB$4:$KX$369,MATCH($A312,연료전지_원본!$KB$4:$KB$369,0), MATCH(CH$4,연료전지_원본!$KB$4:$KX$4,0))*1000</f>
        <v>0</v>
      </c>
      <c r="CI312" s="250">
        <f>INDEX(연료전지_원본!$KB$4:$KX$369,MATCH($A312,연료전지_원본!$KB$4:$KB$369,0), MATCH(CI$4,연료전지_원본!$KB$4:$KX$4,0))*1000</f>
        <v>0</v>
      </c>
      <c r="CJ312" s="250">
        <f>INDEX(연료전지_원본!$KB$4:$KX$369,MATCH($A312,연료전지_원본!$KB$4:$KB$369,0), MATCH(CJ$4,연료전지_원본!$KB$4:$KX$4,0))*1000</f>
        <v>0</v>
      </c>
      <c r="CK312" s="250">
        <f>INDEX(연료전지_원본!$KB$4:$KX$369,MATCH($A312,연료전지_원본!$KB$4:$KB$369,0), MATCH(CK$4,연료전지_원본!$KB$4:$KX$4,0))*1000</f>
        <v>0</v>
      </c>
      <c r="CL312" s="250">
        <f>INDEX(연료전지_원본!$KB$4:$KX$369,MATCH($A312,연료전지_원본!$KB$4:$KB$369,0), MATCH(CL$4,연료전지_원본!$KB$4:$KX$4,0))*1000</f>
        <v>0</v>
      </c>
      <c r="CM312" s="250">
        <f>INDEX(연료전지_원본!$KB$4:$KX$369,MATCH($A312,연료전지_원본!$KB$4:$KB$369,0), MATCH(CM$4,연료전지_원본!$KB$4:$KX$4,0))*1000</f>
        <v>0</v>
      </c>
      <c r="CN312" s="250">
        <f>INDEX(연료전지_원본!$KB$4:$KX$369,MATCH($A312,연료전지_원본!$KB$4:$KB$369,0), MATCH(CN$4,연료전지_원본!$KB$4:$KX$4,0))*1000</f>
        <v>0</v>
      </c>
      <c r="CO312" s="250">
        <f>INDEX(연료전지_원본!$KB$4:$KX$369,MATCH($A312,연료전지_원본!$KB$4:$KB$369,0), MATCH(CO$4,연료전지_원본!$KB$4:$KX$4,0))*1000</f>
        <v>0</v>
      </c>
      <c r="CP312" s="250">
        <f>INDEX(연료전지_원본!$KB$4:$KX$369,MATCH($A312,연료전지_원본!$KB$4:$KB$369,0), MATCH(CP$4,연료전지_원본!$KB$4:$KX$4,0))*1000</f>
        <v>0</v>
      </c>
      <c r="CQ312" s="250">
        <f>INDEX(연료전지_원본!$KB$4:$KX$369,MATCH($A312,연료전지_원본!$KB$4:$KB$369,0), MATCH(CQ$4,연료전지_원본!$KB$4:$KX$4,0))*1000</f>
        <v>0</v>
      </c>
      <c r="CR312" s="250">
        <f>INDEX(연료전지_원본!$KB$4:$KX$369,MATCH($A312,연료전지_원본!$KB$4:$KB$369,0), MATCH(CR$4,연료전지_원본!$KB$4:$KX$4,0))*1000</f>
        <v>0</v>
      </c>
      <c r="CS312" s="250">
        <f>INDEX(연료전지_원본!$KB$4:$KX$369,MATCH($A312,연료전지_원본!$KB$4:$KB$369,0), MATCH(CS$4,연료전지_원본!$KB$4:$KX$4,0))*1000</f>
        <v>0</v>
      </c>
      <c r="CT312" s="250">
        <f>INDEX(연료전지_원본!$KB$4:$KX$369,MATCH($A312,연료전지_원본!$KB$4:$KB$369,0), MATCH(CT$4,연료전지_원본!$KB$4:$KX$4,0))*1000</f>
        <v>0</v>
      </c>
      <c r="CU312" s="250">
        <f>INDEX(연료전지_원본!$KB$4:$KX$369,MATCH($A312,연료전지_원본!$KB$4:$KB$369,0), MATCH(CU$4,연료전지_원본!$KB$4:$KX$4,0))*1000</f>
        <v>0</v>
      </c>
      <c r="CV312" s="250">
        <f>INDEX(연료전지_원본!$KB$4:$KX$369,MATCH($A312,연료전지_원본!$KB$4:$KB$369,0), MATCH(CV$4,연료전지_원본!$KB$4:$KX$4,0))*1000</f>
        <v>0</v>
      </c>
      <c r="CW312" s="250">
        <f>INDEX(연료전지_원본!$KB$4:$KX$369,MATCH($A312,연료전지_원본!$KB$4:$KB$369,0), MATCH(CW$4,연료전지_원본!$KB$4:$KX$4,0))*1000</f>
        <v>0</v>
      </c>
      <c r="CX312" s="250">
        <f>INDEX(연료전지_원본!$KB$4:$KX$369,MATCH($A312,연료전지_원본!$KB$4:$KB$369,0), MATCH(CX$4,연료전지_원본!$KB$4:$KX$4,0))*1000</f>
        <v>0</v>
      </c>
      <c r="CY312" s="250">
        <f>INDEX(연료전지_원본!$KB$4:$KX$369,MATCH($A312,연료전지_원본!$KB$4:$KB$369,0), MATCH(CY$4,연료전지_원본!$KB$4:$KX$4,0))*1000</f>
        <v>0</v>
      </c>
      <c r="DV312" s="30">
        <f t="shared" si="1616"/>
        <v>0</v>
      </c>
    </row>
    <row r="313" spans="1:126">
      <c r="A313" s="6">
        <v>46330</v>
      </c>
      <c r="B313" s="15">
        <f>운전실적_원본!B313</f>
        <v>0</v>
      </c>
      <c r="C313" s="16" t="str">
        <f t="shared" si="1622"/>
        <v/>
      </c>
      <c r="D313" s="12">
        <f>운전실적_원본!C313</f>
        <v>0</v>
      </c>
      <c r="E313" s="12" t="str">
        <f t="shared" si="1623"/>
        <v/>
      </c>
      <c r="F313" s="12">
        <f>운전실적_원본!D313</f>
        <v>0</v>
      </c>
      <c r="G313" s="16" t="str">
        <f t="shared" si="1624"/>
        <v/>
      </c>
      <c r="H313" s="15">
        <f>운전실적_원본!E313</f>
        <v>0</v>
      </c>
      <c r="I313" s="16" t="str">
        <f t="shared" si="1625"/>
        <v/>
      </c>
      <c r="J313" s="15">
        <f>운전실적_원본!F313</f>
        <v>0</v>
      </c>
      <c r="K313" s="16" t="str">
        <f t="shared" si="1625"/>
        <v/>
      </c>
      <c r="L313" s="32">
        <f>운전실적_원본!G313</f>
        <v>0</v>
      </c>
      <c r="M313" s="31" t="str">
        <f t="shared" ref="M313" si="1712">IF(OR(LEN(L313)=0,L313=0),"",L313-L312)</f>
        <v/>
      </c>
      <c r="N313" s="15">
        <f>운전실적_원본!H313</f>
        <v>0</v>
      </c>
      <c r="O313" s="16" t="str">
        <f t="shared" ref="O313" si="1713">IF(OR(LEN(N313)=0,N313=0),"",N313-N312)</f>
        <v/>
      </c>
      <c r="P313" s="15">
        <f>운전실적_원본!I313</f>
        <v>0</v>
      </c>
      <c r="Q313" s="16" t="str">
        <f t="shared" ref="Q313" si="1714">IF(OR(LEN(P313)=0,P313=0),"",P313-P312)</f>
        <v/>
      </c>
      <c r="R313" s="18">
        <f>운전실적_원본!J313</f>
        <v>0</v>
      </c>
      <c r="S313" s="19" t="str">
        <f t="shared" ref="S313" si="1715">IF(OR(LEN(R313)=0,R313=0),"",R313-R312)</f>
        <v/>
      </c>
      <c r="T313" s="18">
        <f>운전실적_원본!K313</f>
        <v>0</v>
      </c>
      <c r="U313" s="19" t="str">
        <f t="shared" si="1630"/>
        <v/>
      </c>
      <c r="V313" s="12">
        <f>운전실적_원본!L313</f>
        <v>0</v>
      </c>
      <c r="W313" s="16" t="str">
        <f t="shared" ref="W313" si="1716">IF(OR(LEN(V313)=0,V313=0),"",V313-V312)</f>
        <v/>
      </c>
      <c r="X313" s="10">
        <f>운전실적_원본!M313</f>
        <v>0</v>
      </c>
      <c r="Y313" s="10">
        <f>운전실적_원본!N313</f>
        <v>0</v>
      </c>
      <c r="Z313" s="10">
        <f>운전실적_원본!O313</f>
        <v>0</v>
      </c>
      <c r="AA313" s="10">
        <f>운전실적_원본!P313</f>
        <v>0</v>
      </c>
      <c r="AB313" s="10">
        <f>운전실적_원본!Q313</f>
        <v>0</v>
      </c>
      <c r="AC313" s="20">
        <f>운전실적_원본!R313</f>
        <v>0</v>
      </c>
      <c r="AD313" s="109">
        <f>운전실적_원본!S313</f>
        <v>0</v>
      </c>
      <c r="AE313" s="110">
        <f>운전실적_원본!T313</f>
        <v>0</v>
      </c>
      <c r="AF313" s="110">
        <f>운전실적_원본!U313</f>
        <v>0</v>
      </c>
      <c r="AG313" s="110">
        <f>운전실적_원본!V313</f>
        <v>0</v>
      </c>
      <c r="AH313" s="109">
        <f t="shared" si="1453"/>
        <v>0</v>
      </c>
      <c r="AI313" s="110">
        <f t="shared" si="1460"/>
        <v>0</v>
      </c>
      <c r="AJ313" s="110">
        <f>운전실적_원본!Y313</f>
        <v>0</v>
      </c>
      <c r="AK313" s="110">
        <f>운전실적_원본!Z313</f>
        <v>0</v>
      </c>
      <c r="AL313" s="106"/>
      <c r="AM313" s="105"/>
      <c r="AN313" s="105"/>
      <c r="AO313" s="105"/>
      <c r="AP313" s="105"/>
      <c r="AQ313" s="108"/>
      <c r="AR313" s="105"/>
      <c r="AS313" s="105"/>
      <c r="AT313" s="102"/>
      <c r="AU313" s="102"/>
      <c r="AV313" s="102"/>
      <c r="AW313" s="102"/>
      <c r="AX313" s="32">
        <f>운전실적_원본!W313</f>
        <v>0</v>
      </c>
      <c r="AY313" s="11">
        <f>운전실적_원본!X313</f>
        <v>0</v>
      </c>
      <c r="AZ313" s="11">
        <f>운전실적_원본!Y313</f>
        <v>0</v>
      </c>
      <c r="BA313" s="11">
        <f>운전실적_원본!Z313</f>
        <v>0</v>
      </c>
      <c r="BB313" s="11">
        <f>운전실적_원본!AA313</f>
        <v>0</v>
      </c>
      <c r="BC313" s="11">
        <f>운전실적_원본!AB313</f>
        <v>0</v>
      </c>
      <c r="BD313" s="32" t="str">
        <f t="shared" si="1446"/>
        <v>-</v>
      </c>
      <c r="BE313" s="11" t="str">
        <f t="shared" si="1454"/>
        <v>-</v>
      </c>
      <c r="BF313" s="11">
        <f>운전실적_원본!AE313</f>
        <v>0</v>
      </c>
      <c r="BG313" s="31">
        <f t="shared" si="1447"/>
        <v>0</v>
      </c>
      <c r="BH313" s="241">
        <f>INDEX(연료전지_원본!$A$4:$KY$369,MATCH($A313,연료전지_원본!$A$4:$A$369,0),MATCH($BH$4,연료전지_원본!$A$4:$KY$4,0))</f>
        <v>0</v>
      </c>
      <c r="BI313" s="241">
        <f>INDEX(연료전지_원본!$A$4:$KY$369,MATCH($A313,연료전지_원본!$A$4:$A$369,0),MATCH($BI$4,연료전지_원본!$A$4:$KY$4,0))</f>
        <v>0</v>
      </c>
      <c r="BJ313" s="241">
        <f>INDEX(연료전지_원본!$A$4:$KY$369,MATCH($A313,연료전지_원본!$A$4:$A$369,0),MATCH($BJ$4,연료전지_원본!$A$4:$KY$4,0))</f>
        <v>0</v>
      </c>
      <c r="BK313" s="241">
        <f>INDEX(연료전지_원본!$A$4:$KY$369,MATCH($A313,연료전지_원본!$A$4:$A$369,0),MATCH($BK$4,연료전지_원본!$A$4:$KY$4,0))</f>
        <v>0</v>
      </c>
      <c r="BL313" s="241">
        <f>INDEX(연료전지_원본!$A$4:$KY$369,MATCH($A313,연료전지_원본!$A$4:$A$369,0),MATCH($BL$4,연료전지_원본!$A$4:$KY$4,0))</f>
        <v>0</v>
      </c>
      <c r="BM313" s="241">
        <f>INDEX(연료전지_원본!$A$4:$KY$369,MATCH($A313,연료전지_원본!$A$4:$A$369,0),MATCH($BM$4,연료전지_원본!$A$4:$KY$4,0))</f>
        <v>0</v>
      </c>
      <c r="BN313" s="241">
        <f>INDEX(연료전지_원본!$A$4:$KY$369,MATCH($A313,연료전지_원본!$A$4:$A$369,0),MATCH($BN$4,연료전지_원본!$A$4:$KY$4,0))</f>
        <v>0</v>
      </c>
      <c r="BO313" s="241">
        <f>INDEX(연료전지_원본!$A$4:$KY$369,MATCH($A313,연료전지_원본!$A$4:$A$369,0),MATCH($BO$4,연료전지_원본!$A$4:$KY$4,0))</f>
        <v>0</v>
      </c>
      <c r="BP313" s="241">
        <f>INDEX(연료전지_원본!$A$4:$KY$369,MATCH($A313,연료전지_원본!$A$4:$A$369,0),MATCH($BP$4,연료전지_원본!$A$4:$KY$4,0))</f>
        <v>0</v>
      </c>
      <c r="BQ313" s="241">
        <f>INDEX(연료전지_원본!$A$4:$KY$369,MATCH($A313,연료전지_원본!$A$4:$A$369,0),MATCH($BQ$4,연료전지_원본!$A$4:$KY$4,0))</f>
        <v>0</v>
      </c>
      <c r="BR313" s="241">
        <f>INDEX(연료전지_원본!$A$4:$KY$369,MATCH($A313,연료전지_원본!$A$4:$A$369,0),MATCH($BR$4,연료전지_원본!$A$4:$KY$4,0))</f>
        <v>0</v>
      </c>
      <c r="BS313" s="241">
        <f>INDEX(연료전지_원본!$A$4:$KY$369,MATCH($A313,연료전지_원본!$A$4:$A$369,0),MATCH($BS$4,연료전지_원본!$A$4:$KY$4,0))</f>
        <v>0</v>
      </c>
      <c r="BT313" s="241">
        <f>INDEX(연료전지_원본!$A$4:$KY$369,MATCH($A313,연료전지_원본!$A$4:$A$369,0),MATCH($BT$4,연료전지_원본!$A$4:$KY$4,0))</f>
        <v>0</v>
      </c>
      <c r="BU313" s="241">
        <f>INDEX(연료전지_원본!$A$4:$KY$369,MATCH($A313,연료전지_원본!$A$4:$A$369,0),MATCH($BU$4,연료전지_원본!$A$4:$KY$4,0))</f>
        <v>0</v>
      </c>
      <c r="BV313" s="241">
        <f>INDEX(연료전지_원본!$A$4:$KY$369,MATCH($A313,연료전지_원본!$A$4:$A$369,0),MATCH($BV$4,연료전지_원본!$A$4:$KY$4,0))</f>
        <v>0</v>
      </c>
      <c r="BW313" s="241">
        <f>INDEX(연료전지_원본!$A$4:$KY$369,MATCH($A313,연료전지_원본!$A$4:$A$369,0),MATCH($BW$4,연료전지_원본!$A$4:$KY$4,0))</f>
        <v>0</v>
      </c>
      <c r="BX313" s="241">
        <f>INDEX(연료전지_원본!$A$4:$KY$369,MATCH($A313,연료전지_원본!$A$4:$A$369,0),MATCH($BX$4,연료전지_원본!$A$4:$KY$4,0))</f>
        <v>0</v>
      </c>
      <c r="BY313" s="241">
        <f>INDEX(연료전지_원본!$A$4:$KY$369,MATCH($A313,연료전지_원본!$A$4:$A$369,0),MATCH($BY$4,연료전지_원본!$A$4:$KY$4,0))</f>
        <v>0</v>
      </c>
      <c r="BZ313" s="241">
        <f>INDEX(연료전지_원본!$A$4:$KY$369,MATCH($A313,연료전지_원본!$A$4:$A$369,0),MATCH($BZ$4,연료전지_원본!$A$4:$KY$4,0))</f>
        <v>0</v>
      </c>
      <c r="CA313" s="241">
        <f>INDEX(연료전지_원본!$A$4:$KY$369,MATCH($A313,연료전지_원본!$A$4:$A$369,0),MATCH($CA$4,연료전지_원본!$A$4:$KY$4,0))</f>
        <v>0</v>
      </c>
      <c r="CB313" s="241">
        <f>INDEX(연료전지_원본!$A$4:$KY$369,MATCH($A313,연료전지_원본!$A$4:$A$369,0),MATCH($CB$4,연료전지_원본!$A$4:$KY$4,0))</f>
        <v>0</v>
      </c>
      <c r="CC313" s="242">
        <f>INDEX(연료전지_원본!$A$4:$KY$369,MATCH($A313,연료전지_원본!$A$4:$A$369,0),MATCH($CC$4,연료전지_원본!$A$4:$KY$4,0))</f>
        <v>0</v>
      </c>
      <c r="CD313" s="250">
        <f>INDEX(연료전지_원본!$KB$4:$KX$369,MATCH($A313,연료전지_원본!$KB$4:$KB$369,0), MATCH(CD$4,연료전지_원본!$KB$4:$KX$4,0))*1000</f>
        <v>0</v>
      </c>
      <c r="CE313" s="250">
        <f>INDEX(연료전지_원본!$KB$4:$KX$369,MATCH($A313,연료전지_원본!$KB$4:$KB$369,0), MATCH(CE$4,연료전지_원본!$KB$4:$KX$4,0))*1000</f>
        <v>0</v>
      </c>
      <c r="CF313" s="250">
        <f>INDEX(연료전지_원본!$KB$4:$KX$369,MATCH($A313,연료전지_원본!$KB$4:$KB$369,0), MATCH(CF$4,연료전지_원본!$KB$4:$KX$4,0))*1000</f>
        <v>0</v>
      </c>
      <c r="CG313" s="250">
        <f>INDEX(연료전지_원본!$KB$4:$KX$369,MATCH($A313,연료전지_원본!$KB$4:$KB$369,0), MATCH(CG$4,연료전지_원본!$KB$4:$KX$4,0))*1000</f>
        <v>0</v>
      </c>
      <c r="CH313" s="250">
        <f>INDEX(연료전지_원본!$KB$4:$KX$369,MATCH($A313,연료전지_원본!$KB$4:$KB$369,0), MATCH(CH$4,연료전지_원본!$KB$4:$KX$4,0))*1000</f>
        <v>0</v>
      </c>
      <c r="CI313" s="250">
        <f>INDEX(연료전지_원본!$KB$4:$KX$369,MATCH($A313,연료전지_원본!$KB$4:$KB$369,0), MATCH(CI$4,연료전지_원본!$KB$4:$KX$4,0))*1000</f>
        <v>0</v>
      </c>
      <c r="CJ313" s="250">
        <f>INDEX(연료전지_원본!$KB$4:$KX$369,MATCH($A313,연료전지_원본!$KB$4:$KB$369,0), MATCH(CJ$4,연료전지_원본!$KB$4:$KX$4,0))*1000</f>
        <v>0</v>
      </c>
      <c r="CK313" s="250">
        <f>INDEX(연료전지_원본!$KB$4:$KX$369,MATCH($A313,연료전지_원본!$KB$4:$KB$369,0), MATCH(CK$4,연료전지_원본!$KB$4:$KX$4,0))*1000</f>
        <v>0</v>
      </c>
      <c r="CL313" s="250">
        <f>INDEX(연료전지_원본!$KB$4:$KX$369,MATCH($A313,연료전지_원본!$KB$4:$KB$369,0), MATCH(CL$4,연료전지_원본!$KB$4:$KX$4,0))*1000</f>
        <v>0</v>
      </c>
      <c r="CM313" s="250">
        <f>INDEX(연료전지_원본!$KB$4:$KX$369,MATCH($A313,연료전지_원본!$KB$4:$KB$369,0), MATCH(CM$4,연료전지_원본!$KB$4:$KX$4,0))*1000</f>
        <v>0</v>
      </c>
      <c r="CN313" s="250">
        <f>INDEX(연료전지_원본!$KB$4:$KX$369,MATCH($A313,연료전지_원본!$KB$4:$KB$369,0), MATCH(CN$4,연료전지_원본!$KB$4:$KX$4,0))*1000</f>
        <v>0</v>
      </c>
      <c r="CO313" s="250">
        <f>INDEX(연료전지_원본!$KB$4:$KX$369,MATCH($A313,연료전지_원본!$KB$4:$KB$369,0), MATCH(CO$4,연료전지_원본!$KB$4:$KX$4,0))*1000</f>
        <v>0</v>
      </c>
      <c r="CP313" s="250">
        <f>INDEX(연료전지_원본!$KB$4:$KX$369,MATCH($A313,연료전지_원본!$KB$4:$KB$369,0), MATCH(CP$4,연료전지_원본!$KB$4:$KX$4,0))*1000</f>
        <v>0</v>
      </c>
      <c r="CQ313" s="250">
        <f>INDEX(연료전지_원본!$KB$4:$KX$369,MATCH($A313,연료전지_원본!$KB$4:$KB$369,0), MATCH(CQ$4,연료전지_원본!$KB$4:$KX$4,0))*1000</f>
        <v>0</v>
      </c>
      <c r="CR313" s="250">
        <f>INDEX(연료전지_원본!$KB$4:$KX$369,MATCH($A313,연료전지_원본!$KB$4:$KB$369,0), MATCH(CR$4,연료전지_원본!$KB$4:$KX$4,0))*1000</f>
        <v>0</v>
      </c>
      <c r="CS313" s="250">
        <f>INDEX(연료전지_원본!$KB$4:$KX$369,MATCH($A313,연료전지_원본!$KB$4:$KB$369,0), MATCH(CS$4,연료전지_원본!$KB$4:$KX$4,0))*1000</f>
        <v>0</v>
      </c>
      <c r="CT313" s="250">
        <f>INDEX(연료전지_원본!$KB$4:$KX$369,MATCH($A313,연료전지_원본!$KB$4:$KB$369,0), MATCH(CT$4,연료전지_원본!$KB$4:$KX$4,0))*1000</f>
        <v>0</v>
      </c>
      <c r="CU313" s="250">
        <f>INDEX(연료전지_원본!$KB$4:$KX$369,MATCH($A313,연료전지_원본!$KB$4:$KB$369,0), MATCH(CU$4,연료전지_원본!$KB$4:$KX$4,0))*1000</f>
        <v>0</v>
      </c>
      <c r="CV313" s="250">
        <f>INDEX(연료전지_원본!$KB$4:$KX$369,MATCH($A313,연료전지_원본!$KB$4:$KB$369,0), MATCH(CV$4,연료전지_원본!$KB$4:$KX$4,0))*1000</f>
        <v>0</v>
      </c>
      <c r="CW313" s="250">
        <f>INDEX(연료전지_원본!$KB$4:$KX$369,MATCH($A313,연료전지_원본!$KB$4:$KB$369,0), MATCH(CW$4,연료전지_원본!$KB$4:$KX$4,0))*1000</f>
        <v>0</v>
      </c>
      <c r="CX313" s="250">
        <f>INDEX(연료전지_원본!$KB$4:$KX$369,MATCH($A313,연료전지_원본!$KB$4:$KB$369,0), MATCH(CX$4,연료전지_원본!$KB$4:$KX$4,0))*1000</f>
        <v>0</v>
      </c>
      <c r="CY313" s="250">
        <f>INDEX(연료전지_원본!$KB$4:$KX$369,MATCH($A313,연료전지_원본!$KB$4:$KB$369,0), MATCH(CY$4,연료전지_원본!$KB$4:$KX$4,0))*1000</f>
        <v>0</v>
      </c>
      <c r="DV313" s="30">
        <f t="shared" si="1616"/>
        <v>0</v>
      </c>
    </row>
    <row r="314" spans="1:126">
      <c r="A314" s="6">
        <v>46331</v>
      </c>
      <c r="B314" s="15">
        <f>운전실적_원본!B314</f>
        <v>0</v>
      </c>
      <c r="C314" s="16" t="str">
        <f t="shared" si="1622"/>
        <v/>
      </c>
      <c r="D314" s="12">
        <f>운전실적_원본!C314</f>
        <v>0</v>
      </c>
      <c r="E314" s="12" t="str">
        <f t="shared" si="1623"/>
        <v/>
      </c>
      <c r="F314" s="12">
        <f>운전실적_원본!D314</f>
        <v>0</v>
      </c>
      <c r="G314" s="16" t="str">
        <f t="shared" si="1624"/>
        <v/>
      </c>
      <c r="H314" s="15">
        <f>운전실적_원본!E314</f>
        <v>0</v>
      </c>
      <c r="I314" s="16" t="str">
        <f t="shared" si="1625"/>
        <v/>
      </c>
      <c r="J314" s="15">
        <f>운전실적_원본!F314</f>
        <v>0</v>
      </c>
      <c r="K314" s="16" t="str">
        <f t="shared" si="1625"/>
        <v/>
      </c>
      <c r="L314" s="32">
        <f>운전실적_원본!G314</f>
        <v>0</v>
      </c>
      <c r="M314" s="31" t="str">
        <f t="shared" ref="M314" si="1717">IF(OR(LEN(L314)=0,L314=0),"",L314-L313)</f>
        <v/>
      </c>
      <c r="N314" s="15">
        <f>운전실적_원본!H314</f>
        <v>0</v>
      </c>
      <c r="O314" s="16" t="str">
        <f t="shared" ref="O314" si="1718">IF(OR(LEN(N314)=0,N314=0),"",N314-N313)</f>
        <v/>
      </c>
      <c r="P314" s="15">
        <f>운전실적_원본!I314</f>
        <v>0</v>
      </c>
      <c r="Q314" s="16" t="str">
        <f t="shared" ref="Q314" si="1719">IF(OR(LEN(P314)=0,P314=0),"",P314-P313)</f>
        <v/>
      </c>
      <c r="R314" s="18">
        <f>운전실적_원본!J314</f>
        <v>0</v>
      </c>
      <c r="S314" s="19" t="str">
        <f t="shared" ref="S314" si="1720">IF(OR(LEN(R314)=0,R314=0),"",R314-R313)</f>
        <v/>
      </c>
      <c r="T314" s="18">
        <f>운전실적_원본!K314</f>
        <v>0</v>
      </c>
      <c r="U314" s="19" t="str">
        <f t="shared" si="1630"/>
        <v/>
      </c>
      <c r="V314" s="12">
        <f>운전실적_원본!L314</f>
        <v>0</v>
      </c>
      <c r="W314" s="16" t="str">
        <f t="shared" ref="W314" si="1721">IF(OR(LEN(V314)=0,V314=0),"",V314-V313)</f>
        <v/>
      </c>
      <c r="X314" s="10">
        <f>운전실적_원본!M314</f>
        <v>0</v>
      </c>
      <c r="Y314" s="10">
        <f>운전실적_원본!N314</f>
        <v>0</v>
      </c>
      <c r="Z314" s="10">
        <f>운전실적_원본!O314</f>
        <v>0</v>
      </c>
      <c r="AA314" s="10">
        <f>운전실적_원본!P314</f>
        <v>0</v>
      </c>
      <c r="AB314" s="10">
        <f>운전실적_원본!Q314</f>
        <v>0</v>
      </c>
      <c r="AC314" s="20">
        <f>운전실적_원본!R314</f>
        <v>0</v>
      </c>
      <c r="AD314" s="109">
        <f>운전실적_원본!S314</f>
        <v>0</v>
      </c>
      <c r="AE314" s="110">
        <f>운전실적_원본!T314</f>
        <v>0</v>
      </c>
      <c r="AF314" s="110">
        <f>운전실적_원본!U314</f>
        <v>0</v>
      </c>
      <c r="AG314" s="110">
        <f>운전실적_원본!V314</f>
        <v>0</v>
      </c>
      <c r="AH314" s="109">
        <f t="shared" si="1453"/>
        <v>0</v>
      </c>
      <c r="AI314" s="110">
        <f t="shared" si="1460"/>
        <v>0</v>
      </c>
      <c r="AJ314" s="110">
        <f>운전실적_원본!Y314</f>
        <v>0</v>
      </c>
      <c r="AK314" s="110">
        <f>운전실적_원본!Z314</f>
        <v>0</v>
      </c>
      <c r="AL314" s="106"/>
      <c r="AM314" s="105"/>
      <c r="AN314" s="105"/>
      <c r="AO314" s="105"/>
      <c r="AP314" s="105"/>
      <c r="AQ314" s="108"/>
      <c r="AR314" s="105"/>
      <c r="AS314" s="105"/>
      <c r="AT314" s="102"/>
      <c r="AU314" s="102"/>
      <c r="AV314" s="102"/>
      <c r="AW314" s="102"/>
      <c r="AX314" s="32">
        <f>운전실적_원본!W314</f>
        <v>0</v>
      </c>
      <c r="AY314" s="11">
        <f>운전실적_원본!X314</f>
        <v>0</v>
      </c>
      <c r="AZ314" s="11">
        <f>운전실적_원본!Y314</f>
        <v>0</v>
      </c>
      <c r="BA314" s="11">
        <f>운전실적_원본!Z314</f>
        <v>0</v>
      </c>
      <c r="BB314" s="11">
        <f>운전실적_원본!AA314</f>
        <v>0</v>
      </c>
      <c r="BC314" s="11">
        <f>운전실적_원본!AB314</f>
        <v>0</v>
      </c>
      <c r="BD314" s="32" t="str">
        <f t="shared" si="1446"/>
        <v>-</v>
      </c>
      <c r="BE314" s="11" t="str">
        <f t="shared" si="1454"/>
        <v>-</v>
      </c>
      <c r="BF314" s="11">
        <f>운전실적_원본!AE314</f>
        <v>0</v>
      </c>
      <c r="BG314" s="31">
        <f t="shared" si="1447"/>
        <v>0</v>
      </c>
      <c r="BH314" s="241">
        <f>INDEX(연료전지_원본!$A$4:$KY$369,MATCH($A314,연료전지_원본!$A$4:$A$369,0),MATCH($BH$4,연료전지_원본!$A$4:$KY$4,0))</f>
        <v>0</v>
      </c>
      <c r="BI314" s="241">
        <f>INDEX(연료전지_원본!$A$4:$KY$369,MATCH($A314,연료전지_원본!$A$4:$A$369,0),MATCH($BI$4,연료전지_원본!$A$4:$KY$4,0))</f>
        <v>0</v>
      </c>
      <c r="BJ314" s="241">
        <f>INDEX(연료전지_원본!$A$4:$KY$369,MATCH($A314,연료전지_원본!$A$4:$A$369,0),MATCH($BJ$4,연료전지_원본!$A$4:$KY$4,0))</f>
        <v>0</v>
      </c>
      <c r="BK314" s="241">
        <f>INDEX(연료전지_원본!$A$4:$KY$369,MATCH($A314,연료전지_원본!$A$4:$A$369,0),MATCH($BK$4,연료전지_원본!$A$4:$KY$4,0))</f>
        <v>0</v>
      </c>
      <c r="BL314" s="241">
        <f>INDEX(연료전지_원본!$A$4:$KY$369,MATCH($A314,연료전지_원본!$A$4:$A$369,0),MATCH($BL$4,연료전지_원본!$A$4:$KY$4,0))</f>
        <v>0</v>
      </c>
      <c r="BM314" s="241">
        <f>INDEX(연료전지_원본!$A$4:$KY$369,MATCH($A314,연료전지_원본!$A$4:$A$369,0),MATCH($BM$4,연료전지_원본!$A$4:$KY$4,0))</f>
        <v>0</v>
      </c>
      <c r="BN314" s="241">
        <f>INDEX(연료전지_원본!$A$4:$KY$369,MATCH($A314,연료전지_원본!$A$4:$A$369,0),MATCH($BN$4,연료전지_원본!$A$4:$KY$4,0))</f>
        <v>0</v>
      </c>
      <c r="BO314" s="241">
        <f>INDEX(연료전지_원본!$A$4:$KY$369,MATCH($A314,연료전지_원본!$A$4:$A$369,0),MATCH($BO$4,연료전지_원본!$A$4:$KY$4,0))</f>
        <v>0</v>
      </c>
      <c r="BP314" s="241">
        <f>INDEX(연료전지_원본!$A$4:$KY$369,MATCH($A314,연료전지_원본!$A$4:$A$369,0),MATCH($BP$4,연료전지_원본!$A$4:$KY$4,0))</f>
        <v>0</v>
      </c>
      <c r="BQ314" s="241">
        <f>INDEX(연료전지_원본!$A$4:$KY$369,MATCH($A314,연료전지_원본!$A$4:$A$369,0),MATCH($BQ$4,연료전지_원본!$A$4:$KY$4,0))</f>
        <v>0</v>
      </c>
      <c r="BR314" s="241">
        <f>INDEX(연료전지_원본!$A$4:$KY$369,MATCH($A314,연료전지_원본!$A$4:$A$369,0),MATCH($BR$4,연료전지_원본!$A$4:$KY$4,0))</f>
        <v>0</v>
      </c>
      <c r="BS314" s="241">
        <f>INDEX(연료전지_원본!$A$4:$KY$369,MATCH($A314,연료전지_원본!$A$4:$A$369,0),MATCH($BS$4,연료전지_원본!$A$4:$KY$4,0))</f>
        <v>0</v>
      </c>
      <c r="BT314" s="241">
        <f>INDEX(연료전지_원본!$A$4:$KY$369,MATCH($A314,연료전지_원본!$A$4:$A$369,0),MATCH($BT$4,연료전지_원본!$A$4:$KY$4,0))</f>
        <v>0</v>
      </c>
      <c r="BU314" s="241">
        <f>INDEX(연료전지_원본!$A$4:$KY$369,MATCH($A314,연료전지_원본!$A$4:$A$369,0),MATCH($BU$4,연료전지_원본!$A$4:$KY$4,0))</f>
        <v>0</v>
      </c>
      <c r="BV314" s="241">
        <f>INDEX(연료전지_원본!$A$4:$KY$369,MATCH($A314,연료전지_원본!$A$4:$A$369,0),MATCH($BV$4,연료전지_원본!$A$4:$KY$4,0))</f>
        <v>0</v>
      </c>
      <c r="BW314" s="241">
        <f>INDEX(연료전지_원본!$A$4:$KY$369,MATCH($A314,연료전지_원본!$A$4:$A$369,0),MATCH($BW$4,연료전지_원본!$A$4:$KY$4,0))</f>
        <v>0</v>
      </c>
      <c r="BX314" s="241">
        <f>INDEX(연료전지_원본!$A$4:$KY$369,MATCH($A314,연료전지_원본!$A$4:$A$369,0),MATCH($BX$4,연료전지_원본!$A$4:$KY$4,0))</f>
        <v>0</v>
      </c>
      <c r="BY314" s="241">
        <f>INDEX(연료전지_원본!$A$4:$KY$369,MATCH($A314,연료전지_원본!$A$4:$A$369,0),MATCH($BY$4,연료전지_원본!$A$4:$KY$4,0))</f>
        <v>0</v>
      </c>
      <c r="BZ314" s="241">
        <f>INDEX(연료전지_원본!$A$4:$KY$369,MATCH($A314,연료전지_원본!$A$4:$A$369,0),MATCH($BZ$4,연료전지_원본!$A$4:$KY$4,0))</f>
        <v>0</v>
      </c>
      <c r="CA314" s="241">
        <f>INDEX(연료전지_원본!$A$4:$KY$369,MATCH($A314,연료전지_원본!$A$4:$A$369,0),MATCH($CA$4,연료전지_원본!$A$4:$KY$4,0))</f>
        <v>0</v>
      </c>
      <c r="CB314" s="241">
        <f>INDEX(연료전지_원본!$A$4:$KY$369,MATCH($A314,연료전지_원본!$A$4:$A$369,0),MATCH($CB$4,연료전지_원본!$A$4:$KY$4,0))</f>
        <v>0</v>
      </c>
      <c r="CC314" s="242">
        <f>INDEX(연료전지_원본!$A$4:$KY$369,MATCH($A314,연료전지_원본!$A$4:$A$369,0),MATCH($CC$4,연료전지_원본!$A$4:$KY$4,0))</f>
        <v>0</v>
      </c>
      <c r="CD314" s="250">
        <f>INDEX(연료전지_원본!$KB$4:$KX$369,MATCH($A314,연료전지_원본!$KB$4:$KB$369,0), MATCH(CD$4,연료전지_원본!$KB$4:$KX$4,0))*1000</f>
        <v>0</v>
      </c>
      <c r="CE314" s="250">
        <f>INDEX(연료전지_원본!$KB$4:$KX$369,MATCH($A314,연료전지_원본!$KB$4:$KB$369,0), MATCH(CE$4,연료전지_원본!$KB$4:$KX$4,0))*1000</f>
        <v>0</v>
      </c>
      <c r="CF314" s="250">
        <f>INDEX(연료전지_원본!$KB$4:$KX$369,MATCH($A314,연료전지_원본!$KB$4:$KB$369,0), MATCH(CF$4,연료전지_원본!$KB$4:$KX$4,0))*1000</f>
        <v>0</v>
      </c>
      <c r="CG314" s="250">
        <f>INDEX(연료전지_원본!$KB$4:$KX$369,MATCH($A314,연료전지_원본!$KB$4:$KB$369,0), MATCH(CG$4,연료전지_원본!$KB$4:$KX$4,0))*1000</f>
        <v>0</v>
      </c>
      <c r="CH314" s="250">
        <f>INDEX(연료전지_원본!$KB$4:$KX$369,MATCH($A314,연료전지_원본!$KB$4:$KB$369,0), MATCH(CH$4,연료전지_원본!$KB$4:$KX$4,0))*1000</f>
        <v>0</v>
      </c>
      <c r="CI314" s="250">
        <f>INDEX(연료전지_원본!$KB$4:$KX$369,MATCH($A314,연료전지_원본!$KB$4:$KB$369,0), MATCH(CI$4,연료전지_원본!$KB$4:$KX$4,0))*1000</f>
        <v>0</v>
      </c>
      <c r="CJ314" s="250">
        <f>INDEX(연료전지_원본!$KB$4:$KX$369,MATCH($A314,연료전지_원본!$KB$4:$KB$369,0), MATCH(CJ$4,연료전지_원본!$KB$4:$KX$4,0))*1000</f>
        <v>0</v>
      </c>
      <c r="CK314" s="250">
        <f>INDEX(연료전지_원본!$KB$4:$KX$369,MATCH($A314,연료전지_원본!$KB$4:$KB$369,0), MATCH(CK$4,연료전지_원본!$KB$4:$KX$4,0))*1000</f>
        <v>0</v>
      </c>
      <c r="CL314" s="250">
        <f>INDEX(연료전지_원본!$KB$4:$KX$369,MATCH($A314,연료전지_원본!$KB$4:$KB$369,0), MATCH(CL$4,연료전지_원본!$KB$4:$KX$4,0))*1000</f>
        <v>0</v>
      </c>
      <c r="CM314" s="250">
        <f>INDEX(연료전지_원본!$KB$4:$KX$369,MATCH($A314,연료전지_원본!$KB$4:$KB$369,0), MATCH(CM$4,연료전지_원본!$KB$4:$KX$4,0))*1000</f>
        <v>0</v>
      </c>
      <c r="CN314" s="250">
        <f>INDEX(연료전지_원본!$KB$4:$KX$369,MATCH($A314,연료전지_원본!$KB$4:$KB$369,0), MATCH(CN$4,연료전지_원본!$KB$4:$KX$4,0))*1000</f>
        <v>0</v>
      </c>
      <c r="CO314" s="250">
        <f>INDEX(연료전지_원본!$KB$4:$KX$369,MATCH($A314,연료전지_원본!$KB$4:$KB$369,0), MATCH(CO$4,연료전지_원본!$KB$4:$KX$4,0))*1000</f>
        <v>0</v>
      </c>
      <c r="CP314" s="250">
        <f>INDEX(연료전지_원본!$KB$4:$KX$369,MATCH($A314,연료전지_원본!$KB$4:$KB$369,0), MATCH(CP$4,연료전지_원본!$KB$4:$KX$4,0))*1000</f>
        <v>0</v>
      </c>
      <c r="CQ314" s="250">
        <f>INDEX(연료전지_원본!$KB$4:$KX$369,MATCH($A314,연료전지_원본!$KB$4:$KB$369,0), MATCH(CQ$4,연료전지_원본!$KB$4:$KX$4,0))*1000</f>
        <v>0</v>
      </c>
      <c r="CR314" s="250">
        <f>INDEX(연료전지_원본!$KB$4:$KX$369,MATCH($A314,연료전지_원본!$KB$4:$KB$369,0), MATCH(CR$4,연료전지_원본!$KB$4:$KX$4,0))*1000</f>
        <v>0</v>
      </c>
      <c r="CS314" s="250">
        <f>INDEX(연료전지_원본!$KB$4:$KX$369,MATCH($A314,연료전지_원본!$KB$4:$KB$369,0), MATCH(CS$4,연료전지_원본!$KB$4:$KX$4,0))*1000</f>
        <v>0</v>
      </c>
      <c r="CT314" s="250">
        <f>INDEX(연료전지_원본!$KB$4:$KX$369,MATCH($A314,연료전지_원본!$KB$4:$KB$369,0), MATCH(CT$4,연료전지_원본!$KB$4:$KX$4,0))*1000</f>
        <v>0</v>
      </c>
      <c r="CU314" s="250">
        <f>INDEX(연료전지_원본!$KB$4:$KX$369,MATCH($A314,연료전지_원본!$KB$4:$KB$369,0), MATCH(CU$4,연료전지_원본!$KB$4:$KX$4,0))*1000</f>
        <v>0</v>
      </c>
      <c r="CV314" s="250">
        <f>INDEX(연료전지_원본!$KB$4:$KX$369,MATCH($A314,연료전지_원본!$KB$4:$KB$369,0), MATCH(CV$4,연료전지_원본!$KB$4:$KX$4,0))*1000</f>
        <v>0</v>
      </c>
      <c r="CW314" s="250">
        <f>INDEX(연료전지_원본!$KB$4:$KX$369,MATCH($A314,연료전지_원본!$KB$4:$KB$369,0), MATCH(CW$4,연료전지_원본!$KB$4:$KX$4,0))*1000</f>
        <v>0</v>
      </c>
      <c r="CX314" s="250">
        <f>INDEX(연료전지_원본!$KB$4:$KX$369,MATCH($A314,연료전지_원본!$KB$4:$KB$369,0), MATCH(CX$4,연료전지_원본!$KB$4:$KX$4,0))*1000</f>
        <v>0</v>
      </c>
      <c r="CY314" s="250">
        <f>INDEX(연료전지_원본!$KB$4:$KX$369,MATCH($A314,연료전지_원본!$KB$4:$KB$369,0), MATCH(CY$4,연료전지_원본!$KB$4:$KX$4,0))*1000</f>
        <v>0</v>
      </c>
      <c r="DV314" s="30">
        <f t="shared" si="1616"/>
        <v>0</v>
      </c>
    </row>
    <row r="315" spans="1:126">
      <c r="A315" s="6">
        <v>46332</v>
      </c>
      <c r="B315" s="15">
        <f>운전실적_원본!B315</f>
        <v>0</v>
      </c>
      <c r="C315" s="16" t="str">
        <f t="shared" si="1622"/>
        <v/>
      </c>
      <c r="D315" s="12">
        <f>운전실적_원본!C315</f>
        <v>0</v>
      </c>
      <c r="E315" s="12" t="str">
        <f t="shared" si="1623"/>
        <v/>
      </c>
      <c r="F315" s="12">
        <f>운전실적_원본!D315</f>
        <v>0</v>
      </c>
      <c r="G315" s="16" t="str">
        <f t="shared" si="1624"/>
        <v/>
      </c>
      <c r="H315" s="15">
        <f>운전실적_원본!E315</f>
        <v>0</v>
      </c>
      <c r="I315" s="16" t="str">
        <f t="shared" si="1625"/>
        <v/>
      </c>
      <c r="J315" s="15">
        <f>운전실적_원본!F315</f>
        <v>0</v>
      </c>
      <c r="K315" s="16" t="str">
        <f t="shared" si="1625"/>
        <v/>
      </c>
      <c r="L315" s="32">
        <f>운전실적_원본!G315</f>
        <v>0</v>
      </c>
      <c r="M315" s="31" t="str">
        <f t="shared" ref="M315" si="1722">IF(OR(LEN(L315)=0,L315=0),"",L315-L314)</f>
        <v/>
      </c>
      <c r="N315" s="15">
        <f>운전실적_원본!H315</f>
        <v>0</v>
      </c>
      <c r="O315" s="16" t="str">
        <f t="shared" ref="O315" si="1723">IF(OR(LEN(N315)=0,N315=0),"",N315-N314)</f>
        <v/>
      </c>
      <c r="P315" s="15">
        <f>운전실적_원본!I315</f>
        <v>0</v>
      </c>
      <c r="Q315" s="16" t="str">
        <f t="shared" ref="Q315" si="1724">IF(OR(LEN(P315)=0,P315=0),"",P315-P314)</f>
        <v/>
      </c>
      <c r="R315" s="18">
        <f>운전실적_원본!J315</f>
        <v>0</v>
      </c>
      <c r="S315" s="19" t="str">
        <f t="shared" ref="S315" si="1725">IF(OR(LEN(R315)=0,R315=0),"",R315-R314)</f>
        <v/>
      </c>
      <c r="T315" s="18">
        <f>운전실적_원본!K315</f>
        <v>0</v>
      </c>
      <c r="U315" s="19" t="str">
        <f t="shared" si="1630"/>
        <v/>
      </c>
      <c r="V315" s="12">
        <f>운전실적_원본!L315</f>
        <v>0</v>
      </c>
      <c r="W315" s="16" t="str">
        <f t="shared" ref="W315" si="1726">IF(OR(LEN(V315)=0,V315=0),"",V315-V314)</f>
        <v/>
      </c>
      <c r="X315" s="10">
        <f>운전실적_원본!M315</f>
        <v>0</v>
      </c>
      <c r="Y315" s="10">
        <f>운전실적_원본!N315</f>
        <v>0</v>
      </c>
      <c r="Z315" s="10">
        <f>운전실적_원본!O315</f>
        <v>0</v>
      </c>
      <c r="AA315" s="10">
        <f>운전실적_원본!P315</f>
        <v>0</v>
      </c>
      <c r="AB315" s="10">
        <f>운전실적_원본!Q315</f>
        <v>0</v>
      </c>
      <c r="AC315" s="20">
        <f>운전실적_원본!R315</f>
        <v>0</v>
      </c>
      <c r="AD315" s="109">
        <f>운전실적_원본!S315</f>
        <v>0</v>
      </c>
      <c r="AE315" s="110">
        <f>운전실적_원본!T315</f>
        <v>0</v>
      </c>
      <c r="AF315" s="110">
        <f>운전실적_원본!U315</f>
        <v>0</v>
      </c>
      <c r="AG315" s="110">
        <f>운전실적_원본!V315</f>
        <v>0</v>
      </c>
      <c r="AH315" s="109">
        <f t="shared" si="1453"/>
        <v>0</v>
      </c>
      <c r="AI315" s="110">
        <f t="shared" si="1460"/>
        <v>0</v>
      </c>
      <c r="AJ315" s="110">
        <f>운전실적_원본!Y315</f>
        <v>0</v>
      </c>
      <c r="AK315" s="110">
        <f>운전실적_원본!Z315</f>
        <v>0</v>
      </c>
      <c r="AL315" s="106"/>
      <c r="AM315" s="105"/>
      <c r="AN315" s="105"/>
      <c r="AO315" s="105"/>
      <c r="AP315" s="105"/>
      <c r="AQ315" s="108"/>
      <c r="AR315" s="105"/>
      <c r="AS315" s="105"/>
      <c r="AT315" s="102"/>
      <c r="AU315" s="102"/>
      <c r="AV315" s="102"/>
      <c r="AW315" s="102"/>
      <c r="AX315" s="32">
        <f>운전실적_원본!W315</f>
        <v>0</v>
      </c>
      <c r="AY315" s="11">
        <f>운전실적_원본!X315</f>
        <v>0</v>
      </c>
      <c r="AZ315" s="11">
        <f>운전실적_원본!Y315</f>
        <v>0</v>
      </c>
      <c r="BA315" s="11">
        <f>운전실적_원본!Z315</f>
        <v>0</v>
      </c>
      <c r="BB315" s="11">
        <f>운전실적_원본!AA315</f>
        <v>0</v>
      </c>
      <c r="BC315" s="11">
        <f>운전실적_원본!AB315</f>
        <v>0</v>
      </c>
      <c r="BD315" s="32" t="str">
        <f t="shared" si="1446"/>
        <v>-</v>
      </c>
      <c r="BE315" s="11" t="str">
        <f t="shared" si="1454"/>
        <v>-</v>
      </c>
      <c r="BF315" s="11">
        <f>운전실적_원본!AE315</f>
        <v>0</v>
      </c>
      <c r="BG315" s="31">
        <f t="shared" si="1447"/>
        <v>0</v>
      </c>
      <c r="BH315" s="241">
        <f>INDEX(연료전지_원본!$A$4:$KY$369,MATCH($A315,연료전지_원본!$A$4:$A$369,0),MATCH($BH$4,연료전지_원본!$A$4:$KY$4,0))</f>
        <v>0</v>
      </c>
      <c r="BI315" s="241">
        <f>INDEX(연료전지_원본!$A$4:$KY$369,MATCH($A315,연료전지_원본!$A$4:$A$369,0),MATCH($BI$4,연료전지_원본!$A$4:$KY$4,0))</f>
        <v>0</v>
      </c>
      <c r="BJ315" s="241">
        <f>INDEX(연료전지_원본!$A$4:$KY$369,MATCH($A315,연료전지_원본!$A$4:$A$369,0),MATCH($BJ$4,연료전지_원본!$A$4:$KY$4,0))</f>
        <v>0</v>
      </c>
      <c r="BK315" s="241">
        <f>INDEX(연료전지_원본!$A$4:$KY$369,MATCH($A315,연료전지_원본!$A$4:$A$369,0),MATCH($BK$4,연료전지_원본!$A$4:$KY$4,0))</f>
        <v>0</v>
      </c>
      <c r="BL315" s="241">
        <f>INDEX(연료전지_원본!$A$4:$KY$369,MATCH($A315,연료전지_원본!$A$4:$A$369,0),MATCH($BL$4,연료전지_원본!$A$4:$KY$4,0))</f>
        <v>0</v>
      </c>
      <c r="BM315" s="241">
        <f>INDEX(연료전지_원본!$A$4:$KY$369,MATCH($A315,연료전지_원본!$A$4:$A$369,0),MATCH($BM$4,연료전지_원본!$A$4:$KY$4,0))</f>
        <v>0</v>
      </c>
      <c r="BN315" s="241">
        <f>INDEX(연료전지_원본!$A$4:$KY$369,MATCH($A315,연료전지_원본!$A$4:$A$369,0),MATCH($BN$4,연료전지_원본!$A$4:$KY$4,0))</f>
        <v>0</v>
      </c>
      <c r="BO315" s="241">
        <f>INDEX(연료전지_원본!$A$4:$KY$369,MATCH($A315,연료전지_원본!$A$4:$A$369,0),MATCH($BO$4,연료전지_원본!$A$4:$KY$4,0))</f>
        <v>0</v>
      </c>
      <c r="BP315" s="241">
        <f>INDEX(연료전지_원본!$A$4:$KY$369,MATCH($A315,연료전지_원본!$A$4:$A$369,0),MATCH($BP$4,연료전지_원본!$A$4:$KY$4,0))</f>
        <v>0</v>
      </c>
      <c r="BQ315" s="241">
        <f>INDEX(연료전지_원본!$A$4:$KY$369,MATCH($A315,연료전지_원본!$A$4:$A$369,0),MATCH($BQ$4,연료전지_원본!$A$4:$KY$4,0))</f>
        <v>0</v>
      </c>
      <c r="BR315" s="241">
        <f>INDEX(연료전지_원본!$A$4:$KY$369,MATCH($A315,연료전지_원본!$A$4:$A$369,0),MATCH($BR$4,연료전지_원본!$A$4:$KY$4,0))</f>
        <v>0</v>
      </c>
      <c r="BS315" s="241">
        <f>INDEX(연료전지_원본!$A$4:$KY$369,MATCH($A315,연료전지_원본!$A$4:$A$369,0),MATCH($BS$4,연료전지_원본!$A$4:$KY$4,0))</f>
        <v>0</v>
      </c>
      <c r="BT315" s="241">
        <f>INDEX(연료전지_원본!$A$4:$KY$369,MATCH($A315,연료전지_원본!$A$4:$A$369,0),MATCH($BT$4,연료전지_원본!$A$4:$KY$4,0))</f>
        <v>0</v>
      </c>
      <c r="BU315" s="241">
        <f>INDEX(연료전지_원본!$A$4:$KY$369,MATCH($A315,연료전지_원본!$A$4:$A$369,0),MATCH($BU$4,연료전지_원본!$A$4:$KY$4,0))</f>
        <v>0</v>
      </c>
      <c r="BV315" s="241">
        <f>INDEX(연료전지_원본!$A$4:$KY$369,MATCH($A315,연료전지_원본!$A$4:$A$369,0),MATCH($BV$4,연료전지_원본!$A$4:$KY$4,0))</f>
        <v>0</v>
      </c>
      <c r="BW315" s="241">
        <f>INDEX(연료전지_원본!$A$4:$KY$369,MATCH($A315,연료전지_원본!$A$4:$A$369,0),MATCH($BW$4,연료전지_원본!$A$4:$KY$4,0))</f>
        <v>0</v>
      </c>
      <c r="BX315" s="241">
        <f>INDEX(연료전지_원본!$A$4:$KY$369,MATCH($A315,연료전지_원본!$A$4:$A$369,0),MATCH($BX$4,연료전지_원본!$A$4:$KY$4,0))</f>
        <v>0</v>
      </c>
      <c r="BY315" s="241">
        <f>INDEX(연료전지_원본!$A$4:$KY$369,MATCH($A315,연료전지_원본!$A$4:$A$369,0),MATCH($BY$4,연료전지_원본!$A$4:$KY$4,0))</f>
        <v>0</v>
      </c>
      <c r="BZ315" s="241">
        <f>INDEX(연료전지_원본!$A$4:$KY$369,MATCH($A315,연료전지_원본!$A$4:$A$369,0),MATCH($BZ$4,연료전지_원본!$A$4:$KY$4,0))</f>
        <v>0</v>
      </c>
      <c r="CA315" s="241">
        <f>INDEX(연료전지_원본!$A$4:$KY$369,MATCH($A315,연료전지_원본!$A$4:$A$369,0),MATCH($CA$4,연료전지_원본!$A$4:$KY$4,0))</f>
        <v>0</v>
      </c>
      <c r="CB315" s="241">
        <f>INDEX(연료전지_원본!$A$4:$KY$369,MATCH($A315,연료전지_원본!$A$4:$A$369,0),MATCH($CB$4,연료전지_원본!$A$4:$KY$4,0))</f>
        <v>0</v>
      </c>
      <c r="CC315" s="242">
        <f>INDEX(연료전지_원본!$A$4:$KY$369,MATCH($A315,연료전지_원본!$A$4:$A$369,0),MATCH($CC$4,연료전지_원본!$A$4:$KY$4,0))</f>
        <v>0</v>
      </c>
      <c r="CD315" s="250">
        <f>INDEX(연료전지_원본!$KB$4:$KX$369,MATCH($A315,연료전지_원본!$KB$4:$KB$369,0), MATCH(CD$4,연료전지_원본!$KB$4:$KX$4,0))*1000</f>
        <v>0</v>
      </c>
      <c r="CE315" s="250">
        <f>INDEX(연료전지_원본!$KB$4:$KX$369,MATCH($A315,연료전지_원본!$KB$4:$KB$369,0), MATCH(CE$4,연료전지_원본!$KB$4:$KX$4,0))*1000</f>
        <v>0</v>
      </c>
      <c r="CF315" s="250">
        <f>INDEX(연료전지_원본!$KB$4:$KX$369,MATCH($A315,연료전지_원본!$KB$4:$KB$369,0), MATCH(CF$4,연료전지_원본!$KB$4:$KX$4,0))*1000</f>
        <v>0</v>
      </c>
      <c r="CG315" s="250">
        <f>INDEX(연료전지_원본!$KB$4:$KX$369,MATCH($A315,연료전지_원본!$KB$4:$KB$369,0), MATCH(CG$4,연료전지_원본!$KB$4:$KX$4,0))*1000</f>
        <v>0</v>
      </c>
      <c r="CH315" s="250">
        <f>INDEX(연료전지_원본!$KB$4:$KX$369,MATCH($A315,연료전지_원본!$KB$4:$KB$369,0), MATCH(CH$4,연료전지_원본!$KB$4:$KX$4,0))*1000</f>
        <v>0</v>
      </c>
      <c r="CI315" s="250">
        <f>INDEX(연료전지_원본!$KB$4:$KX$369,MATCH($A315,연료전지_원본!$KB$4:$KB$369,0), MATCH(CI$4,연료전지_원본!$KB$4:$KX$4,0))*1000</f>
        <v>0</v>
      </c>
      <c r="CJ315" s="250">
        <f>INDEX(연료전지_원본!$KB$4:$KX$369,MATCH($A315,연료전지_원본!$KB$4:$KB$369,0), MATCH(CJ$4,연료전지_원본!$KB$4:$KX$4,0))*1000</f>
        <v>0</v>
      </c>
      <c r="CK315" s="250">
        <f>INDEX(연료전지_원본!$KB$4:$KX$369,MATCH($A315,연료전지_원본!$KB$4:$KB$369,0), MATCH(CK$4,연료전지_원본!$KB$4:$KX$4,0))*1000</f>
        <v>0</v>
      </c>
      <c r="CL315" s="250">
        <f>INDEX(연료전지_원본!$KB$4:$KX$369,MATCH($A315,연료전지_원본!$KB$4:$KB$369,0), MATCH(CL$4,연료전지_원본!$KB$4:$KX$4,0))*1000</f>
        <v>0</v>
      </c>
      <c r="CM315" s="250">
        <f>INDEX(연료전지_원본!$KB$4:$KX$369,MATCH($A315,연료전지_원본!$KB$4:$KB$369,0), MATCH(CM$4,연료전지_원본!$KB$4:$KX$4,0))*1000</f>
        <v>0</v>
      </c>
      <c r="CN315" s="250">
        <f>INDEX(연료전지_원본!$KB$4:$KX$369,MATCH($A315,연료전지_원본!$KB$4:$KB$369,0), MATCH(CN$4,연료전지_원본!$KB$4:$KX$4,0))*1000</f>
        <v>0</v>
      </c>
      <c r="CO315" s="250">
        <f>INDEX(연료전지_원본!$KB$4:$KX$369,MATCH($A315,연료전지_원본!$KB$4:$KB$369,0), MATCH(CO$4,연료전지_원본!$KB$4:$KX$4,0))*1000</f>
        <v>0</v>
      </c>
      <c r="CP315" s="250">
        <f>INDEX(연료전지_원본!$KB$4:$KX$369,MATCH($A315,연료전지_원본!$KB$4:$KB$369,0), MATCH(CP$4,연료전지_원본!$KB$4:$KX$4,0))*1000</f>
        <v>0</v>
      </c>
      <c r="CQ315" s="250">
        <f>INDEX(연료전지_원본!$KB$4:$KX$369,MATCH($A315,연료전지_원본!$KB$4:$KB$369,0), MATCH(CQ$4,연료전지_원본!$KB$4:$KX$4,0))*1000</f>
        <v>0</v>
      </c>
      <c r="CR315" s="250">
        <f>INDEX(연료전지_원본!$KB$4:$KX$369,MATCH($A315,연료전지_원본!$KB$4:$KB$369,0), MATCH(CR$4,연료전지_원본!$KB$4:$KX$4,0))*1000</f>
        <v>0</v>
      </c>
      <c r="CS315" s="250">
        <f>INDEX(연료전지_원본!$KB$4:$KX$369,MATCH($A315,연료전지_원본!$KB$4:$KB$369,0), MATCH(CS$4,연료전지_원본!$KB$4:$KX$4,0))*1000</f>
        <v>0</v>
      </c>
      <c r="CT315" s="250">
        <f>INDEX(연료전지_원본!$KB$4:$KX$369,MATCH($A315,연료전지_원본!$KB$4:$KB$369,0), MATCH(CT$4,연료전지_원본!$KB$4:$KX$4,0))*1000</f>
        <v>0</v>
      </c>
      <c r="CU315" s="250">
        <f>INDEX(연료전지_원본!$KB$4:$KX$369,MATCH($A315,연료전지_원본!$KB$4:$KB$369,0), MATCH(CU$4,연료전지_원본!$KB$4:$KX$4,0))*1000</f>
        <v>0</v>
      </c>
      <c r="CV315" s="250">
        <f>INDEX(연료전지_원본!$KB$4:$KX$369,MATCH($A315,연료전지_원본!$KB$4:$KB$369,0), MATCH(CV$4,연료전지_원본!$KB$4:$KX$4,0))*1000</f>
        <v>0</v>
      </c>
      <c r="CW315" s="250">
        <f>INDEX(연료전지_원본!$KB$4:$KX$369,MATCH($A315,연료전지_원본!$KB$4:$KB$369,0), MATCH(CW$4,연료전지_원본!$KB$4:$KX$4,0))*1000</f>
        <v>0</v>
      </c>
      <c r="CX315" s="250">
        <f>INDEX(연료전지_원본!$KB$4:$KX$369,MATCH($A315,연료전지_원본!$KB$4:$KB$369,0), MATCH(CX$4,연료전지_원본!$KB$4:$KX$4,0))*1000</f>
        <v>0</v>
      </c>
      <c r="CY315" s="250">
        <f>INDEX(연료전지_원본!$KB$4:$KX$369,MATCH($A315,연료전지_원본!$KB$4:$KB$369,0), MATCH(CY$4,연료전지_원본!$KB$4:$KX$4,0))*1000</f>
        <v>0</v>
      </c>
      <c r="DV315" s="30">
        <f t="shared" si="1616"/>
        <v>0</v>
      </c>
    </row>
    <row r="316" spans="1:126">
      <c r="A316" s="6">
        <v>46333</v>
      </c>
      <c r="B316" s="15">
        <f>운전실적_원본!B316</f>
        <v>0</v>
      </c>
      <c r="C316" s="16" t="str">
        <f t="shared" si="1622"/>
        <v/>
      </c>
      <c r="D316" s="12">
        <f>운전실적_원본!C316</f>
        <v>0</v>
      </c>
      <c r="E316" s="12" t="str">
        <f t="shared" si="1623"/>
        <v/>
      </c>
      <c r="F316" s="12">
        <f>운전실적_원본!D316</f>
        <v>0</v>
      </c>
      <c r="G316" s="16" t="str">
        <f t="shared" si="1624"/>
        <v/>
      </c>
      <c r="H316" s="15">
        <f>운전실적_원본!E316</f>
        <v>0</v>
      </c>
      <c r="I316" s="16" t="str">
        <f t="shared" si="1625"/>
        <v/>
      </c>
      <c r="J316" s="15">
        <f>운전실적_원본!F316</f>
        <v>0</v>
      </c>
      <c r="K316" s="16" t="str">
        <f t="shared" si="1625"/>
        <v/>
      </c>
      <c r="L316" s="32">
        <f>운전실적_원본!G316</f>
        <v>0</v>
      </c>
      <c r="M316" s="31" t="str">
        <f t="shared" ref="M316" si="1727">IF(OR(LEN(L316)=0,L316=0),"",L316-L315)</f>
        <v/>
      </c>
      <c r="N316" s="15">
        <f>운전실적_원본!H316</f>
        <v>0</v>
      </c>
      <c r="O316" s="16" t="str">
        <f t="shared" ref="O316" si="1728">IF(OR(LEN(N316)=0,N316=0),"",N316-N315)</f>
        <v/>
      </c>
      <c r="P316" s="15">
        <f>운전실적_원본!I316</f>
        <v>0</v>
      </c>
      <c r="Q316" s="16" t="str">
        <f t="shared" ref="Q316" si="1729">IF(OR(LEN(P316)=0,P316=0),"",P316-P315)</f>
        <v/>
      </c>
      <c r="R316" s="18">
        <f>운전실적_원본!J316</f>
        <v>0</v>
      </c>
      <c r="S316" s="19" t="str">
        <f t="shared" ref="S316" si="1730">IF(OR(LEN(R316)=0,R316=0),"",R316-R315)</f>
        <v/>
      </c>
      <c r="T316" s="18">
        <f>운전실적_원본!K316</f>
        <v>0</v>
      </c>
      <c r="U316" s="19" t="str">
        <f t="shared" si="1630"/>
        <v/>
      </c>
      <c r="V316" s="12">
        <f>운전실적_원본!L316</f>
        <v>0</v>
      </c>
      <c r="W316" s="16" t="str">
        <f t="shared" ref="W316" si="1731">IF(OR(LEN(V316)=0,V316=0),"",V316-V315)</f>
        <v/>
      </c>
      <c r="X316" s="10">
        <f>운전실적_원본!M316</f>
        <v>0</v>
      </c>
      <c r="Y316" s="10">
        <f>운전실적_원본!N316</f>
        <v>0</v>
      </c>
      <c r="Z316" s="10">
        <f>운전실적_원본!O316</f>
        <v>0</v>
      </c>
      <c r="AA316" s="10">
        <f>운전실적_원본!P316</f>
        <v>0</v>
      </c>
      <c r="AB316" s="10">
        <f>운전실적_원본!Q316</f>
        <v>0</v>
      </c>
      <c r="AC316" s="20">
        <f>운전실적_원본!R316</f>
        <v>0</v>
      </c>
      <c r="AD316" s="109">
        <f>운전실적_원본!S316</f>
        <v>0</v>
      </c>
      <c r="AE316" s="110">
        <f>운전실적_원본!T316</f>
        <v>0</v>
      </c>
      <c r="AF316" s="110">
        <f>운전실적_원본!U316</f>
        <v>0</v>
      </c>
      <c r="AG316" s="110">
        <f>운전실적_원본!V316</f>
        <v>0</v>
      </c>
      <c r="AH316" s="109">
        <f t="shared" si="1453"/>
        <v>0</v>
      </c>
      <c r="AI316" s="110">
        <f t="shared" si="1460"/>
        <v>0</v>
      </c>
      <c r="AJ316" s="110">
        <f>운전실적_원본!Y316</f>
        <v>0</v>
      </c>
      <c r="AK316" s="110">
        <f>운전실적_원본!Z316</f>
        <v>0</v>
      </c>
      <c r="AL316" s="106"/>
      <c r="AM316" s="105"/>
      <c r="AN316" s="105"/>
      <c r="AO316" s="105"/>
      <c r="AP316" s="105"/>
      <c r="AQ316" s="108"/>
      <c r="AR316" s="105"/>
      <c r="AS316" s="105"/>
      <c r="AT316" s="102"/>
      <c r="AU316" s="102"/>
      <c r="AV316" s="102"/>
      <c r="AW316" s="102"/>
      <c r="AX316" s="32">
        <f>운전실적_원본!W316</f>
        <v>0</v>
      </c>
      <c r="AY316" s="11">
        <f>운전실적_원본!X316</f>
        <v>0</v>
      </c>
      <c r="AZ316" s="11">
        <f>운전실적_원본!Y316</f>
        <v>0</v>
      </c>
      <c r="BA316" s="11">
        <f>운전실적_원본!Z316</f>
        <v>0</v>
      </c>
      <c r="BB316" s="11">
        <f>운전실적_원본!AA316</f>
        <v>0</v>
      </c>
      <c r="BC316" s="11">
        <f>운전실적_원본!AB316</f>
        <v>0</v>
      </c>
      <c r="BD316" s="32" t="str">
        <f t="shared" si="1446"/>
        <v>-</v>
      </c>
      <c r="BE316" s="11" t="str">
        <f t="shared" si="1454"/>
        <v>-</v>
      </c>
      <c r="BF316" s="11">
        <f>운전실적_원본!AE316</f>
        <v>0</v>
      </c>
      <c r="BG316" s="31">
        <f t="shared" si="1447"/>
        <v>0</v>
      </c>
      <c r="BH316" s="241">
        <f>INDEX(연료전지_원본!$A$4:$KY$369,MATCH($A316,연료전지_원본!$A$4:$A$369,0),MATCH($BH$4,연료전지_원본!$A$4:$KY$4,0))</f>
        <v>0</v>
      </c>
      <c r="BI316" s="241">
        <f>INDEX(연료전지_원본!$A$4:$KY$369,MATCH($A316,연료전지_원본!$A$4:$A$369,0),MATCH($BI$4,연료전지_원본!$A$4:$KY$4,0))</f>
        <v>0</v>
      </c>
      <c r="BJ316" s="241">
        <f>INDEX(연료전지_원본!$A$4:$KY$369,MATCH($A316,연료전지_원본!$A$4:$A$369,0),MATCH($BJ$4,연료전지_원본!$A$4:$KY$4,0))</f>
        <v>0</v>
      </c>
      <c r="BK316" s="241">
        <f>INDEX(연료전지_원본!$A$4:$KY$369,MATCH($A316,연료전지_원본!$A$4:$A$369,0),MATCH($BK$4,연료전지_원본!$A$4:$KY$4,0))</f>
        <v>0</v>
      </c>
      <c r="BL316" s="241">
        <f>INDEX(연료전지_원본!$A$4:$KY$369,MATCH($A316,연료전지_원본!$A$4:$A$369,0),MATCH($BL$4,연료전지_원본!$A$4:$KY$4,0))</f>
        <v>0</v>
      </c>
      <c r="BM316" s="241">
        <f>INDEX(연료전지_원본!$A$4:$KY$369,MATCH($A316,연료전지_원본!$A$4:$A$369,0),MATCH($BM$4,연료전지_원본!$A$4:$KY$4,0))</f>
        <v>0</v>
      </c>
      <c r="BN316" s="241">
        <f>INDEX(연료전지_원본!$A$4:$KY$369,MATCH($A316,연료전지_원본!$A$4:$A$369,0),MATCH($BN$4,연료전지_원본!$A$4:$KY$4,0))</f>
        <v>0</v>
      </c>
      <c r="BO316" s="241">
        <f>INDEX(연료전지_원본!$A$4:$KY$369,MATCH($A316,연료전지_원본!$A$4:$A$369,0),MATCH($BO$4,연료전지_원본!$A$4:$KY$4,0))</f>
        <v>0</v>
      </c>
      <c r="BP316" s="241">
        <f>INDEX(연료전지_원본!$A$4:$KY$369,MATCH($A316,연료전지_원본!$A$4:$A$369,0),MATCH($BP$4,연료전지_원본!$A$4:$KY$4,0))</f>
        <v>0</v>
      </c>
      <c r="BQ316" s="241">
        <f>INDEX(연료전지_원본!$A$4:$KY$369,MATCH($A316,연료전지_원본!$A$4:$A$369,0),MATCH($BQ$4,연료전지_원본!$A$4:$KY$4,0))</f>
        <v>0</v>
      </c>
      <c r="BR316" s="241">
        <f>INDEX(연료전지_원본!$A$4:$KY$369,MATCH($A316,연료전지_원본!$A$4:$A$369,0),MATCH($BR$4,연료전지_원본!$A$4:$KY$4,0))</f>
        <v>0</v>
      </c>
      <c r="BS316" s="241">
        <f>INDEX(연료전지_원본!$A$4:$KY$369,MATCH($A316,연료전지_원본!$A$4:$A$369,0),MATCH($BS$4,연료전지_원본!$A$4:$KY$4,0))</f>
        <v>0</v>
      </c>
      <c r="BT316" s="241">
        <f>INDEX(연료전지_원본!$A$4:$KY$369,MATCH($A316,연료전지_원본!$A$4:$A$369,0),MATCH($BT$4,연료전지_원본!$A$4:$KY$4,0))</f>
        <v>0</v>
      </c>
      <c r="BU316" s="241">
        <f>INDEX(연료전지_원본!$A$4:$KY$369,MATCH($A316,연료전지_원본!$A$4:$A$369,0),MATCH($BU$4,연료전지_원본!$A$4:$KY$4,0))</f>
        <v>0</v>
      </c>
      <c r="BV316" s="241">
        <f>INDEX(연료전지_원본!$A$4:$KY$369,MATCH($A316,연료전지_원본!$A$4:$A$369,0),MATCH($BV$4,연료전지_원본!$A$4:$KY$4,0))</f>
        <v>0</v>
      </c>
      <c r="BW316" s="241">
        <f>INDEX(연료전지_원본!$A$4:$KY$369,MATCH($A316,연료전지_원본!$A$4:$A$369,0),MATCH($BW$4,연료전지_원본!$A$4:$KY$4,0))</f>
        <v>0</v>
      </c>
      <c r="BX316" s="241">
        <f>INDEX(연료전지_원본!$A$4:$KY$369,MATCH($A316,연료전지_원본!$A$4:$A$369,0),MATCH($BX$4,연료전지_원본!$A$4:$KY$4,0))</f>
        <v>0</v>
      </c>
      <c r="BY316" s="241">
        <f>INDEX(연료전지_원본!$A$4:$KY$369,MATCH($A316,연료전지_원본!$A$4:$A$369,0),MATCH($BY$4,연료전지_원본!$A$4:$KY$4,0))</f>
        <v>0</v>
      </c>
      <c r="BZ316" s="241">
        <f>INDEX(연료전지_원본!$A$4:$KY$369,MATCH($A316,연료전지_원본!$A$4:$A$369,0),MATCH($BZ$4,연료전지_원본!$A$4:$KY$4,0))</f>
        <v>0</v>
      </c>
      <c r="CA316" s="241">
        <f>INDEX(연료전지_원본!$A$4:$KY$369,MATCH($A316,연료전지_원본!$A$4:$A$369,0),MATCH($CA$4,연료전지_원본!$A$4:$KY$4,0))</f>
        <v>0</v>
      </c>
      <c r="CB316" s="241">
        <f>INDEX(연료전지_원본!$A$4:$KY$369,MATCH($A316,연료전지_원본!$A$4:$A$369,0),MATCH($CB$4,연료전지_원본!$A$4:$KY$4,0))</f>
        <v>0</v>
      </c>
      <c r="CC316" s="242">
        <f>INDEX(연료전지_원본!$A$4:$KY$369,MATCH($A316,연료전지_원본!$A$4:$A$369,0),MATCH($CC$4,연료전지_원본!$A$4:$KY$4,0))</f>
        <v>0</v>
      </c>
      <c r="CD316" s="250">
        <f>INDEX(연료전지_원본!$KB$4:$KX$369,MATCH($A316,연료전지_원본!$KB$4:$KB$369,0), MATCH(CD$4,연료전지_원본!$KB$4:$KX$4,0))*1000</f>
        <v>0</v>
      </c>
      <c r="CE316" s="250">
        <f>INDEX(연료전지_원본!$KB$4:$KX$369,MATCH($A316,연료전지_원본!$KB$4:$KB$369,0), MATCH(CE$4,연료전지_원본!$KB$4:$KX$4,0))*1000</f>
        <v>0</v>
      </c>
      <c r="CF316" s="250">
        <f>INDEX(연료전지_원본!$KB$4:$KX$369,MATCH($A316,연료전지_원본!$KB$4:$KB$369,0), MATCH(CF$4,연료전지_원본!$KB$4:$KX$4,0))*1000</f>
        <v>0</v>
      </c>
      <c r="CG316" s="250">
        <f>INDEX(연료전지_원본!$KB$4:$KX$369,MATCH($A316,연료전지_원본!$KB$4:$KB$369,0), MATCH(CG$4,연료전지_원본!$KB$4:$KX$4,0))*1000</f>
        <v>0</v>
      </c>
      <c r="CH316" s="250">
        <f>INDEX(연료전지_원본!$KB$4:$KX$369,MATCH($A316,연료전지_원본!$KB$4:$KB$369,0), MATCH(CH$4,연료전지_원본!$KB$4:$KX$4,0))*1000</f>
        <v>0</v>
      </c>
      <c r="CI316" s="250">
        <f>INDEX(연료전지_원본!$KB$4:$KX$369,MATCH($A316,연료전지_원본!$KB$4:$KB$369,0), MATCH(CI$4,연료전지_원본!$KB$4:$KX$4,0))*1000</f>
        <v>0</v>
      </c>
      <c r="CJ316" s="250">
        <f>INDEX(연료전지_원본!$KB$4:$KX$369,MATCH($A316,연료전지_원본!$KB$4:$KB$369,0), MATCH(CJ$4,연료전지_원본!$KB$4:$KX$4,0))*1000</f>
        <v>0</v>
      </c>
      <c r="CK316" s="250">
        <f>INDEX(연료전지_원본!$KB$4:$KX$369,MATCH($A316,연료전지_원본!$KB$4:$KB$369,0), MATCH(CK$4,연료전지_원본!$KB$4:$KX$4,0))*1000</f>
        <v>0</v>
      </c>
      <c r="CL316" s="250">
        <f>INDEX(연료전지_원본!$KB$4:$KX$369,MATCH($A316,연료전지_원본!$KB$4:$KB$369,0), MATCH(CL$4,연료전지_원본!$KB$4:$KX$4,0))*1000</f>
        <v>0</v>
      </c>
      <c r="CM316" s="250">
        <f>INDEX(연료전지_원본!$KB$4:$KX$369,MATCH($A316,연료전지_원본!$KB$4:$KB$369,0), MATCH(CM$4,연료전지_원본!$KB$4:$KX$4,0))*1000</f>
        <v>0</v>
      </c>
      <c r="CN316" s="250">
        <f>INDEX(연료전지_원본!$KB$4:$KX$369,MATCH($A316,연료전지_원본!$KB$4:$KB$369,0), MATCH(CN$4,연료전지_원본!$KB$4:$KX$4,0))*1000</f>
        <v>0</v>
      </c>
      <c r="CO316" s="250">
        <f>INDEX(연료전지_원본!$KB$4:$KX$369,MATCH($A316,연료전지_원본!$KB$4:$KB$369,0), MATCH(CO$4,연료전지_원본!$KB$4:$KX$4,0))*1000</f>
        <v>0</v>
      </c>
      <c r="CP316" s="250">
        <f>INDEX(연료전지_원본!$KB$4:$KX$369,MATCH($A316,연료전지_원본!$KB$4:$KB$369,0), MATCH(CP$4,연료전지_원본!$KB$4:$KX$4,0))*1000</f>
        <v>0</v>
      </c>
      <c r="CQ316" s="250">
        <f>INDEX(연료전지_원본!$KB$4:$KX$369,MATCH($A316,연료전지_원본!$KB$4:$KB$369,0), MATCH(CQ$4,연료전지_원본!$KB$4:$KX$4,0))*1000</f>
        <v>0</v>
      </c>
      <c r="CR316" s="250">
        <f>INDEX(연료전지_원본!$KB$4:$KX$369,MATCH($A316,연료전지_원본!$KB$4:$KB$369,0), MATCH(CR$4,연료전지_원본!$KB$4:$KX$4,0))*1000</f>
        <v>0</v>
      </c>
      <c r="CS316" s="250">
        <f>INDEX(연료전지_원본!$KB$4:$KX$369,MATCH($A316,연료전지_원본!$KB$4:$KB$369,0), MATCH(CS$4,연료전지_원본!$KB$4:$KX$4,0))*1000</f>
        <v>0</v>
      </c>
      <c r="CT316" s="250">
        <f>INDEX(연료전지_원본!$KB$4:$KX$369,MATCH($A316,연료전지_원본!$KB$4:$KB$369,0), MATCH(CT$4,연료전지_원본!$KB$4:$KX$4,0))*1000</f>
        <v>0</v>
      </c>
      <c r="CU316" s="250">
        <f>INDEX(연료전지_원본!$KB$4:$KX$369,MATCH($A316,연료전지_원본!$KB$4:$KB$369,0), MATCH(CU$4,연료전지_원본!$KB$4:$KX$4,0))*1000</f>
        <v>0</v>
      </c>
      <c r="CV316" s="250">
        <f>INDEX(연료전지_원본!$KB$4:$KX$369,MATCH($A316,연료전지_원본!$KB$4:$KB$369,0), MATCH(CV$4,연료전지_원본!$KB$4:$KX$4,0))*1000</f>
        <v>0</v>
      </c>
      <c r="CW316" s="250">
        <f>INDEX(연료전지_원본!$KB$4:$KX$369,MATCH($A316,연료전지_원본!$KB$4:$KB$369,0), MATCH(CW$4,연료전지_원본!$KB$4:$KX$4,0))*1000</f>
        <v>0</v>
      </c>
      <c r="CX316" s="250">
        <f>INDEX(연료전지_원본!$KB$4:$KX$369,MATCH($A316,연료전지_원본!$KB$4:$KB$369,0), MATCH(CX$4,연료전지_원본!$KB$4:$KX$4,0))*1000</f>
        <v>0</v>
      </c>
      <c r="CY316" s="250">
        <f>INDEX(연료전지_원본!$KB$4:$KX$369,MATCH($A316,연료전지_원본!$KB$4:$KB$369,0), MATCH(CY$4,연료전지_원본!$KB$4:$KX$4,0))*1000</f>
        <v>0</v>
      </c>
      <c r="DV316" s="30">
        <f t="shared" si="1616"/>
        <v>0</v>
      </c>
    </row>
    <row r="317" spans="1:126">
      <c r="A317" s="6">
        <v>46334</v>
      </c>
      <c r="B317" s="15">
        <f>운전실적_원본!B317</f>
        <v>0</v>
      </c>
      <c r="C317" s="16" t="str">
        <f t="shared" si="1622"/>
        <v/>
      </c>
      <c r="D317" s="12">
        <f>운전실적_원본!C317</f>
        <v>0</v>
      </c>
      <c r="E317" s="12" t="str">
        <f t="shared" si="1623"/>
        <v/>
      </c>
      <c r="F317" s="12">
        <f>운전실적_원본!D317</f>
        <v>0</v>
      </c>
      <c r="G317" s="16" t="str">
        <f t="shared" si="1624"/>
        <v/>
      </c>
      <c r="H317" s="15">
        <f>운전실적_원본!E317</f>
        <v>0</v>
      </c>
      <c r="I317" s="16" t="str">
        <f t="shared" si="1625"/>
        <v/>
      </c>
      <c r="J317" s="15">
        <f>운전실적_원본!F317</f>
        <v>0</v>
      </c>
      <c r="K317" s="16" t="str">
        <f t="shared" si="1625"/>
        <v/>
      </c>
      <c r="L317" s="32">
        <f>운전실적_원본!G317</f>
        <v>0</v>
      </c>
      <c r="M317" s="31" t="str">
        <f t="shared" ref="M317" si="1732">IF(OR(LEN(L317)=0,L317=0),"",L317-L316)</f>
        <v/>
      </c>
      <c r="N317" s="15">
        <f>운전실적_원본!H317</f>
        <v>0</v>
      </c>
      <c r="O317" s="16" t="str">
        <f t="shared" ref="O317" si="1733">IF(OR(LEN(N317)=0,N317=0),"",N317-N316)</f>
        <v/>
      </c>
      <c r="P317" s="15">
        <f>운전실적_원본!I317</f>
        <v>0</v>
      </c>
      <c r="Q317" s="16" t="str">
        <f t="shared" ref="Q317" si="1734">IF(OR(LEN(P317)=0,P317=0),"",P317-P316)</f>
        <v/>
      </c>
      <c r="R317" s="18">
        <f>운전실적_원본!J317</f>
        <v>0</v>
      </c>
      <c r="S317" s="19" t="str">
        <f t="shared" ref="S317" si="1735">IF(OR(LEN(R317)=0,R317=0),"",R317-R316)</f>
        <v/>
      </c>
      <c r="T317" s="18">
        <f>운전실적_원본!K317</f>
        <v>0</v>
      </c>
      <c r="U317" s="19" t="str">
        <f t="shared" si="1630"/>
        <v/>
      </c>
      <c r="V317" s="12">
        <f>운전실적_원본!L317</f>
        <v>0</v>
      </c>
      <c r="W317" s="16" t="str">
        <f t="shared" ref="W317" si="1736">IF(OR(LEN(V317)=0,V317=0),"",V317-V316)</f>
        <v/>
      </c>
      <c r="X317" s="10">
        <f>운전실적_원본!M317</f>
        <v>0</v>
      </c>
      <c r="Y317" s="10">
        <f>운전실적_원본!N317</f>
        <v>0</v>
      </c>
      <c r="Z317" s="10">
        <f>운전실적_원본!O317</f>
        <v>0</v>
      </c>
      <c r="AA317" s="10">
        <f>운전실적_원본!P317</f>
        <v>0</v>
      </c>
      <c r="AB317" s="10">
        <f>운전실적_원본!Q317</f>
        <v>0</v>
      </c>
      <c r="AC317" s="20">
        <f>운전실적_원본!R317</f>
        <v>0</v>
      </c>
      <c r="AD317" s="109">
        <f>운전실적_원본!S317</f>
        <v>0</v>
      </c>
      <c r="AE317" s="110">
        <f>운전실적_원본!T317</f>
        <v>0</v>
      </c>
      <c r="AF317" s="110">
        <f>운전실적_원본!U317</f>
        <v>0</v>
      </c>
      <c r="AG317" s="110">
        <f>운전실적_원본!V317</f>
        <v>0</v>
      </c>
      <c r="AH317" s="109">
        <f t="shared" si="1453"/>
        <v>0</v>
      </c>
      <c r="AI317" s="110">
        <f t="shared" si="1460"/>
        <v>0</v>
      </c>
      <c r="AJ317" s="110">
        <f>운전실적_원본!Y317</f>
        <v>0</v>
      </c>
      <c r="AK317" s="110">
        <f>운전실적_원본!Z317</f>
        <v>0</v>
      </c>
      <c r="AL317" s="106"/>
      <c r="AM317" s="105"/>
      <c r="AN317" s="105"/>
      <c r="AO317" s="105"/>
      <c r="AP317" s="105"/>
      <c r="AQ317" s="108"/>
      <c r="AR317" s="105"/>
      <c r="AS317" s="105"/>
      <c r="AT317" s="102"/>
      <c r="AU317" s="102"/>
      <c r="AV317" s="102"/>
      <c r="AW317" s="102"/>
      <c r="AX317" s="32">
        <f>운전실적_원본!W317</f>
        <v>0</v>
      </c>
      <c r="AY317" s="11">
        <f>운전실적_원본!X317</f>
        <v>0</v>
      </c>
      <c r="AZ317" s="11">
        <f>운전실적_원본!Y317</f>
        <v>0</v>
      </c>
      <c r="BA317" s="11">
        <f>운전실적_원본!Z317</f>
        <v>0</v>
      </c>
      <c r="BB317" s="11">
        <f>운전실적_원본!AA317</f>
        <v>0</v>
      </c>
      <c r="BC317" s="11">
        <f>운전실적_원본!AB317</f>
        <v>0</v>
      </c>
      <c r="BD317" s="32" t="str">
        <f t="shared" si="1446"/>
        <v>-</v>
      </c>
      <c r="BE317" s="11" t="str">
        <f t="shared" si="1454"/>
        <v>-</v>
      </c>
      <c r="BF317" s="11">
        <f>운전실적_원본!AE317</f>
        <v>0</v>
      </c>
      <c r="BG317" s="31">
        <f t="shared" si="1447"/>
        <v>0</v>
      </c>
      <c r="BH317" s="241">
        <f>INDEX(연료전지_원본!$A$4:$KY$369,MATCH($A317,연료전지_원본!$A$4:$A$369,0),MATCH($BH$4,연료전지_원본!$A$4:$KY$4,0))</f>
        <v>0</v>
      </c>
      <c r="BI317" s="241">
        <f>INDEX(연료전지_원본!$A$4:$KY$369,MATCH($A317,연료전지_원본!$A$4:$A$369,0),MATCH($BI$4,연료전지_원본!$A$4:$KY$4,0))</f>
        <v>0</v>
      </c>
      <c r="BJ317" s="241">
        <f>INDEX(연료전지_원본!$A$4:$KY$369,MATCH($A317,연료전지_원본!$A$4:$A$369,0),MATCH($BJ$4,연료전지_원본!$A$4:$KY$4,0))</f>
        <v>0</v>
      </c>
      <c r="BK317" s="241">
        <f>INDEX(연료전지_원본!$A$4:$KY$369,MATCH($A317,연료전지_원본!$A$4:$A$369,0),MATCH($BK$4,연료전지_원본!$A$4:$KY$4,0))</f>
        <v>0</v>
      </c>
      <c r="BL317" s="241">
        <f>INDEX(연료전지_원본!$A$4:$KY$369,MATCH($A317,연료전지_원본!$A$4:$A$369,0),MATCH($BL$4,연료전지_원본!$A$4:$KY$4,0))</f>
        <v>0</v>
      </c>
      <c r="BM317" s="241">
        <f>INDEX(연료전지_원본!$A$4:$KY$369,MATCH($A317,연료전지_원본!$A$4:$A$369,0),MATCH($BM$4,연료전지_원본!$A$4:$KY$4,0))</f>
        <v>0</v>
      </c>
      <c r="BN317" s="241">
        <f>INDEX(연료전지_원본!$A$4:$KY$369,MATCH($A317,연료전지_원본!$A$4:$A$369,0),MATCH($BN$4,연료전지_원본!$A$4:$KY$4,0))</f>
        <v>0</v>
      </c>
      <c r="BO317" s="241">
        <f>INDEX(연료전지_원본!$A$4:$KY$369,MATCH($A317,연료전지_원본!$A$4:$A$369,0),MATCH($BO$4,연료전지_원본!$A$4:$KY$4,0))</f>
        <v>0</v>
      </c>
      <c r="BP317" s="241">
        <f>INDEX(연료전지_원본!$A$4:$KY$369,MATCH($A317,연료전지_원본!$A$4:$A$369,0),MATCH($BP$4,연료전지_원본!$A$4:$KY$4,0))</f>
        <v>0</v>
      </c>
      <c r="BQ317" s="241">
        <f>INDEX(연료전지_원본!$A$4:$KY$369,MATCH($A317,연료전지_원본!$A$4:$A$369,0),MATCH($BQ$4,연료전지_원본!$A$4:$KY$4,0))</f>
        <v>0</v>
      </c>
      <c r="BR317" s="241">
        <f>INDEX(연료전지_원본!$A$4:$KY$369,MATCH($A317,연료전지_원본!$A$4:$A$369,0),MATCH($BR$4,연료전지_원본!$A$4:$KY$4,0))</f>
        <v>0</v>
      </c>
      <c r="BS317" s="241">
        <f>INDEX(연료전지_원본!$A$4:$KY$369,MATCH($A317,연료전지_원본!$A$4:$A$369,0),MATCH($BS$4,연료전지_원본!$A$4:$KY$4,0))</f>
        <v>0</v>
      </c>
      <c r="BT317" s="241">
        <f>INDEX(연료전지_원본!$A$4:$KY$369,MATCH($A317,연료전지_원본!$A$4:$A$369,0),MATCH($BT$4,연료전지_원본!$A$4:$KY$4,0))</f>
        <v>0</v>
      </c>
      <c r="BU317" s="241">
        <f>INDEX(연료전지_원본!$A$4:$KY$369,MATCH($A317,연료전지_원본!$A$4:$A$369,0),MATCH($BU$4,연료전지_원본!$A$4:$KY$4,0))</f>
        <v>0</v>
      </c>
      <c r="BV317" s="241">
        <f>INDEX(연료전지_원본!$A$4:$KY$369,MATCH($A317,연료전지_원본!$A$4:$A$369,0),MATCH($BV$4,연료전지_원본!$A$4:$KY$4,0))</f>
        <v>0</v>
      </c>
      <c r="BW317" s="241">
        <f>INDEX(연료전지_원본!$A$4:$KY$369,MATCH($A317,연료전지_원본!$A$4:$A$369,0),MATCH($BW$4,연료전지_원본!$A$4:$KY$4,0))</f>
        <v>0</v>
      </c>
      <c r="BX317" s="241">
        <f>INDEX(연료전지_원본!$A$4:$KY$369,MATCH($A317,연료전지_원본!$A$4:$A$369,0),MATCH($BX$4,연료전지_원본!$A$4:$KY$4,0))</f>
        <v>0</v>
      </c>
      <c r="BY317" s="241">
        <f>INDEX(연료전지_원본!$A$4:$KY$369,MATCH($A317,연료전지_원본!$A$4:$A$369,0),MATCH($BY$4,연료전지_원본!$A$4:$KY$4,0))</f>
        <v>0</v>
      </c>
      <c r="BZ317" s="241">
        <f>INDEX(연료전지_원본!$A$4:$KY$369,MATCH($A317,연료전지_원본!$A$4:$A$369,0),MATCH($BZ$4,연료전지_원본!$A$4:$KY$4,0))</f>
        <v>0</v>
      </c>
      <c r="CA317" s="241">
        <f>INDEX(연료전지_원본!$A$4:$KY$369,MATCH($A317,연료전지_원본!$A$4:$A$369,0),MATCH($CA$4,연료전지_원본!$A$4:$KY$4,0))</f>
        <v>0</v>
      </c>
      <c r="CB317" s="241">
        <f>INDEX(연료전지_원본!$A$4:$KY$369,MATCH($A317,연료전지_원본!$A$4:$A$369,0),MATCH($CB$4,연료전지_원본!$A$4:$KY$4,0))</f>
        <v>0</v>
      </c>
      <c r="CC317" s="242">
        <f>INDEX(연료전지_원본!$A$4:$KY$369,MATCH($A317,연료전지_원본!$A$4:$A$369,0),MATCH($CC$4,연료전지_원본!$A$4:$KY$4,0))</f>
        <v>0</v>
      </c>
      <c r="CD317" s="250">
        <f>INDEX(연료전지_원본!$KB$4:$KX$369,MATCH($A317,연료전지_원본!$KB$4:$KB$369,0), MATCH(CD$4,연료전지_원본!$KB$4:$KX$4,0))*1000</f>
        <v>0</v>
      </c>
      <c r="CE317" s="250">
        <f>INDEX(연료전지_원본!$KB$4:$KX$369,MATCH($A317,연료전지_원본!$KB$4:$KB$369,0), MATCH(CE$4,연료전지_원본!$KB$4:$KX$4,0))*1000</f>
        <v>0</v>
      </c>
      <c r="CF317" s="250">
        <f>INDEX(연료전지_원본!$KB$4:$KX$369,MATCH($A317,연료전지_원본!$KB$4:$KB$369,0), MATCH(CF$4,연료전지_원본!$KB$4:$KX$4,0))*1000</f>
        <v>0</v>
      </c>
      <c r="CG317" s="250">
        <f>INDEX(연료전지_원본!$KB$4:$KX$369,MATCH($A317,연료전지_원본!$KB$4:$KB$369,0), MATCH(CG$4,연료전지_원본!$KB$4:$KX$4,0))*1000</f>
        <v>0</v>
      </c>
      <c r="CH317" s="250">
        <f>INDEX(연료전지_원본!$KB$4:$KX$369,MATCH($A317,연료전지_원본!$KB$4:$KB$369,0), MATCH(CH$4,연료전지_원본!$KB$4:$KX$4,0))*1000</f>
        <v>0</v>
      </c>
      <c r="CI317" s="250">
        <f>INDEX(연료전지_원본!$KB$4:$KX$369,MATCH($A317,연료전지_원본!$KB$4:$KB$369,0), MATCH(CI$4,연료전지_원본!$KB$4:$KX$4,0))*1000</f>
        <v>0</v>
      </c>
      <c r="CJ317" s="250">
        <f>INDEX(연료전지_원본!$KB$4:$KX$369,MATCH($A317,연료전지_원본!$KB$4:$KB$369,0), MATCH(CJ$4,연료전지_원본!$KB$4:$KX$4,0))*1000</f>
        <v>0</v>
      </c>
      <c r="CK317" s="250">
        <f>INDEX(연료전지_원본!$KB$4:$KX$369,MATCH($A317,연료전지_원본!$KB$4:$KB$369,0), MATCH(CK$4,연료전지_원본!$KB$4:$KX$4,0))*1000</f>
        <v>0</v>
      </c>
      <c r="CL317" s="250">
        <f>INDEX(연료전지_원본!$KB$4:$KX$369,MATCH($A317,연료전지_원본!$KB$4:$KB$369,0), MATCH(CL$4,연료전지_원본!$KB$4:$KX$4,0))*1000</f>
        <v>0</v>
      </c>
      <c r="CM317" s="250">
        <f>INDEX(연료전지_원본!$KB$4:$KX$369,MATCH($A317,연료전지_원본!$KB$4:$KB$369,0), MATCH(CM$4,연료전지_원본!$KB$4:$KX$4,0))*1000</f>
        <v>0</v>
      </c>
      <c r="CN317" s="250">
        <f>INDEX(연료전지_원본!$KB$4:$KX$369,MATCH($A317,연료전지_원본!$KB$4:$KB$369,0), MATCH(CN$4,연료전지_원본!$KB$4:$KX$4,0))*1000</f>
        <v>0</v>
      </c>
      <c r="CO317" s="250">
        <f>INDEX(연료전지_원본!$KB$4:$KX$369,MATCH($A317,연료전지_원본!$KB$4:$KB$369,0), MATCH(CO$4,연료전지_원본!$KB$4:$KX$4,0))*1000</f>
        <v>0</v>
      </c>
      <c r="CP317" s="250">
        <f>INDEX(연료전지_원본!$KB$4:$KX$369,MATCH($A317,연료전지_원본!$KB$4:$KB$369,0), MATCH(CP$4,연료전지_원본!$KB$4:$KX$4,0))*1000</f>
        <v>0</v>
      </c>
      <c r="CQ317" s="250">
        <f>INDEX(연료전지_원본!$KB$4:$KX$369,MATCH($A317,연료전지_원본!$KB$4:$KB$369,0), MATCH(CQ$4,연료전지_원본!$KB$4:$KX$4,0))*1000</f>
        <v>0</v>
      </c>
      <c r="CR317" s="250">
        <f>INDEX(연료전지_원본!$KB$4:$KX$369,MATCH($A317,연료전지_원본!$KB$4:$KB$369,0), MATCH(CR$4,연료전지_원본!$KB$4:$KX$4,0))*1000</f>
        <v>0</v>
      </c>
      <c r="CS317" s="250">
        <f>INDEX(연료전지_원본!$KB$4:$KX$369,MATCH($A317,연료전지_원본!$KB$4:$KB$369,0), MATCH(CS$4,연료전지_원본!$KB$4:$KX$4,0))*1000</f>
        <v>0</v>
      </c>
      <c r="CT317" s="250">
        <f>INDEX(연료전지_원본!$KB$4:$KX$369,MATCH($A317,연료전지_원본!$KB$4:$KB$369,0), MATCH(CT$4,연료전지_원본!$KB$4:$KX$4,0))*1000</f>
        <v>0</v>
      </c>
      <c r="CU317" s="250">
        <f>INDEX(연료전지_원본!$KB$4:$KX$369,MATCH($A317,연료전지_원본!$KB$4:$KB$369,0), MATCH(CU$4,연료전지_원본!$KB$4:$KX$4,0))*1000</f>
        <v>0</v>
      </c>
      <c r="CV317" s="250">
        <f>INDEX(연료전지_원본!$KB$4:$KX$369,MATCH($A317,연료전지_원본!$KB$4:$KB$369,0), MATCH(CV$4,연료전지_원본!$KB$4:$KX$4,0))*1000</f>
        <v>0</v>
      </c>
      <c r="CW317" s="250">
        <f>INDEX(연료전지_원본!$KB$4:$KX$369,MATCH($A317,연료전지_원본!$KB$4:$KB$369,0), MATCH(CW$4,연료전지_원본!$KB$4:$KX$4,0))*1000</f>
        <v>0</v>
      </c>
      <c r="CX317" s="250">
        <f>INDEX(연료전지_원본!$KB$4:$KX$369,MATCH($A317,연료전지_원본!$KB$4:$KB$369,0), MATCH(CX$4,연료전지_원본!$KB$4:$KX$4,0))*1000</f>
        <v>0</v>
      </c>
      <c r="CY317" s="250">
        <f>INDEX(연료전지_원본!$KB$4:$KX$369,MATCH($A317,연료전지_원본!$KB$4:$KB$369,0), MATCH(CY$4,연료전지_원본!$KB$4:$KX$4,0))*1000</f>
        <v>0</v>
      </c>
      <c r="DV317" s="30">
        <f t="shared" si="1616"/>
        <v>0</v>
      </c>
    </row>
    <row r="318" spans="1:126">
      <c r="A318" s="6">
        <v>46335</v>
      </c>
      <c r="B318" s="15">
        <f>운전실적_원본!B318</f>
        <v>0</v>
      </c>
      <c r="C318" s="16" t="str">
        <f t="shared" si="1622"/>
        <v/>
      </c>
      <c r="D318" s="12">
        <f>운전실적_원본!C318</f>
        <v>0</v>
      </c>
      <c r="E318" s="12" t="str">
        <f t="shared" si="1623"/>
        <v/>
      </c>
      <c r="F318" s="12">
        <f>운전실적_원본!D318</f>
        <v>0</v>
      </c>
      <c r="G318" s="16" t="str">
        <f t="shared" si="1624"/>
        <v/>
      </c>
      <c r="H318" s="15">
        <f>운전실적_원본!E318</f>
        <v>0</v>
      </c>
      <c r="I318" s="16" t="str">
        <f t="shared" si="1625"/>
        <v/>
      </c>
      <c r="J318" s="15">
        <f>운전실적_원본!F318</f>
        <v>0</v>
      </c>
      <c r="K318" s="16" t="str">
        <f t="shared" si="1625"/>
        <v/>
      </c>
      <c r="L318" s="32">
        <f>운전실적_원본!G318</f>
        <v>0</v>
      </c>
      <c r="M318" s="31" t="str">
        <f t="shared" ref="M318" si="1737">IF(OR(LEN(L318)=0,L318=0),"",L318-L317)</f>
        <v/>
      </c>
      <c r="N318" s="15">
        <f>운전실적_원본!H318</f>
        <v>0</v>
      </c>
      <c r="O318" s="16" t="str">
        <f t="shared" ref="O318" si="1738">IF(OR(LEN(N318)=0,N318=0),"",N318-N317)</f>
        <v/>
      </c>
      <c r="P318" s="15">
        <f>운전실적_원본!I318</f>
        <v>0</v>
      </c>
      <c r="Q318" s="16" t="str">
        <f t="shared" ref="Q318" si="1739">IF(OR(LEN(P318)=0,P318=0),"",P318-P317)</f>
        <v/>
      </c>
      <c r="R318" s="18">
        <f>운전실적_원본!J318</f>
        <v>0</v>
      </c>
      <c r="S318" s="19" t="str">
        <f t="shared" ref="S318" si="1740">IF(OR(LEN(R318)=0,R318=0),"",R318-R317)</f>
        <v/>
      </c>
      <c r="T318" s="18">
        <f>운전실적_원본!K318</f>
        <v>0</v>
      </c>
      <c r="U318" s="19" t="str">
        <f t="shared" si="1630"/>
        <v/>
      </c>
      <c r="V318" s="12">
        <f>운전실적_원본!L318</f>
        <v>0</v>
      </c>
      <c r="W318" s="16" t="str">
        <f t="shared" ref="W318" si="1741">IF(OR(LEN(V318)=0,V318=0),"",V318-V317)</f>
        <v/>
      </c>
      <c r="X318" s="10">
        <f>운전실적_원본!M318</f>
        <v>0</v>
      </c>
      <c r="Y318" s="10">
        <f>운전실적_원본!N318</f>
        <v>0</v>
      </c>
      <c r="Z318" s="10">
        <f>운전실적_원본!O318</f>
        <v>0</v>
      </c>
      <c r="AA318" s="10">
        <f>운전실적_원본!P318</f>
        <v>0</v>
      </c>
      <c r="AB318" s="10">
        <f>운전실적_원본!Q318</f>
        <v>0</v>
      </c>
      <c r="AC318" s="20">
        <f>운전실적_원본!R318</f>
        <v>0</v>
      </c>
      <c r="AD318" s="109">
        <f>운전실적_원본!S318</f>
        <v>0</v>
      </c>
      <c r="AE318" s="110">
        <f>운전실적_원본!T318</f>
        <v>0</v>
      </c>
      <c r="AF318" s="110">
        <f>운전실적_원본!U318</f>
        <v>0</v>
      </c>
      <c r="AG318" s="110">
        <f>운전실적_원본!V318</f>
        <v>0</v>
      </c>
      <c r="AH318" s="109">
        <f t="shared" si="1453"/>
        <v>0</v>
      </c>
      <c r="AI318" s="110">
        <f t="shared" si="1460"/>
        <v>0</v>
      </c>
      <c r="AJ318" s="110">
        <f>운전실적_원본!Y318</f>
        <v>0</v>
      </c>
      <c r="AK318" s="110">
        <f>운전실적_원본!Z318</f>
        <v>0</v>
      </c>
      <c r="AL318" s="106"/>
      <c r="AM318" s="105"/>
      <c r="AN318" s="105"/>
      <c r="AO318" s="105"/>
      <c r="AP318" s="105"/>
      <c r="AQ318" s="108"/>
      <c r="AR318" s="105"/>
      <c r="AS318" s="105"/>
      <c r="AT318" s="102"/>
      <c r="AU318" s="102"/>
      <c r="AV318" s="102"/>
      <c r="AW318" s="102"/>
      <c r="AX318" s="32">
        <f>운전실적_원본!W318</f>
        <v>0</v>
      </c>
      <c r="AY318" s="11">
        <f>운전실적_원본!X318</f>
        <v>0</v>
      </c>
      <c r="AZ318" s="11">
        <f>운전실적_원본!Y318</f>
        <v>0</v>
      </c>
      <c r="BA318" s="11">
        <f>운전실적_원본!Z318</f>
        <v>0</v>
      </c>
      <c r="BB318" s="11">
        <f>운전실적_원본!AA318</f>
        <v>0</v>
      </c>
      <c r="BC318" s="11">
        <f>운전실적_원본!AB318</f>
        <v>0</v>
      </c>
      <c r="BD318" s="32" t="str">
        <f t="shared" si="1446"/>
        <v>-</v>
      </c>
      <c r="BE318" s="11" t="str">
        <f t="shared" si="1454"/>
        <v>-</v>
      </c>
      <c r="BF318" s="11">
        <f>운전실적_원본!AE318</f>
        <v>0</v>
      </c>
      <c r="BG318" s="31">
        <f t="shared" si="1447"/>
        <v>0</v>
      </c>
      <c r="BH318" s="241">
        <f>INDEX(연료전지_원본!$A$4:$KY$369,MATCH($A318,연료전지_원본!$A$4:$A$369,0),MATCH($BH$4,연료전지_원본!$A$4:$KY$4,0))</f>
        <v>0</v>
      </c>
      <c r="BI318" s="241">
        <f>INDEX(연료전지_원본!$A$4:$KY$369,MATCH($A318,연료전지_원본!$A$4:$A$369,0),MATCH($BI$4,연료전지_원본!$A$4:$KY$4,0))</f>
        <v>0</v>
      </c>
      <c r="BJ318" s="241">
        <f>INDEX(연료전지_원본!$A$4:$KY$369,MATCH($A318,연료전지_원본!$A$4:$A$369,0),MATCH($BJ$4,연료전지_원본!$A$4:$KY$4,0))</f>
        <v>0</v>
      </c>
      <c r="BK318" s="241">
        <f>INDEX(연료전지_원본!$A$4:$KY$369,MATCH($A318,연료전지_원본!$A$4:$A$369,0),MATCH($BK$4,연료전지_원본!$A$4:$KY$4,0))</f>
        <v>0</v>
      </c>
      <c r="BL318" s="241">
        <f>INDEX(연료전지_원본!$A$4:$KY$369,MATCH($A318,연료전지_원본!$A$4:$A$369,0),MATCH($BL$4,연료전지_원본!$A$4:$KY$4,0))</f>
        <v>0</v>
      </c>
      <c r="BM318" s="241">
        <f>INDEX(연료전지_원본!$A$4:$KY$369,MATCH($A318,연료전지_원본!$A$4:$A$369,0),MATCH($BM$4,연료전지_원본!$A$4:$KY$4,0))</f>
        <v>0</v>
      </c>
      <c r="BN318" s="241">
        <f>INDEX(연료전지_원본!$A$4:$KY$369,MATCH($A318,연료전지_원본!$A$4:$A$369,0),MATCH($BN$4,연료전지_원본!$A$4:$KY$4,0))</f>
        <v>0</v>
      </c>
      <c r="BO318" s="241">
        <f>INDEX(연료전지_원본!$A$4:$KY$369,MATCH($A318,연료전지_원본!$A$4:$A$369,0),MATCH($BO$4,연료전지_원본!$A$4:$KY$4,0))</f>
        <v>0</v>
      </c>
      <c r="BP318" s="241">
        <f>INDEX(연료전지_원본!$A$4:$KY$369,MATCH($A318,연료전지_원본!$A$4:$A$369,0),MATCH($BP$4,연료전지_원본!$A$4:$KY$4,0))</f>
        <v>0</v>
      </c>
      <c r="BQ318" s="241">
        <f>INDEX(연료전지_원본!$A$4:$KY$369,MATCH($A318,연료전지_원본!$A$4:$A$369,0),MATCH($BQ$4,연료전지_원본!$A$4:$KY$4,0))</f>
        <v>0</v>
      </c>
      <c r="BR318" s="241">
        <f>INDEX(연료전지_원본!$A$4:$KY$369,MATCH($A318,연료전지_원본!$A$4:$A$369,0),MATCH($BR$4,연료전지_원본!$A$4:$KY$4,0))</f>
        <v>0</v>
      </c>
      <c r="BS318" s="241">
        <f>INDEX(연료전지_원본!$A$4:$KY$369,MATCH($A318,연료전지_원본!$A$4:$A$369,0),MATCH($BS$4,연료전지_원본!$A$4:$KY$4,0))</f>
        <v>0</v>
      </c>
      <c r="BT318" s="241">
        <f>INDEX(연료전지_원본!$A$4:$KY$369,MATCH($A318,연료전지_원본!$A$4:$A$369,0),MATCH($BT$4,연료전지_원본!$A$4:$KY$4,0))</f>
        <v>0</v>
      </c>
      <c r="BU318" s="241">
        <f>INDEX(연료전지_원본!$A$4:$KY$369,MATCH($A318,연료전지_원본!$A$4:$A$369,0),MATCH($BU$4,연료전지_원본!$A$4:$KY$4,0))</f>
        <v>0</v>
      </c>
      <c r="BV318" s="241">
        <f>INDEX(연료전지_원본!$A$4:$KY$369,MATCH($A318,연료전지_원본!$A$4:$A$369,0),MATCH($BV$4,연료전지_원본!$A$4:$KY$4,0))</f>
        <v>0</v>
      </c>
      <c r="BW318" s="241">
        <f>INDEX(연료전지_원본!$A$4:$KY$369,MATCH($A318,연료전지_원본!$A$4:$A$369,0),MATCH($BW$4,연료전지_원본!$A$4:$KY$4,0))</f>
        <v>0</v>
      </c>
      <c r="BX318" s="241">
        <f>INDEX(연료전지_원본!$A$4:$KY$369,MATCH($A318,연료전지_원본!$A$4:$A$369,0),MATCH($BX$4,연료전지_원본!$A$4:$KY$4,0))</f>
        <v>0</v>
      </c>
      <c r="BY318" s="241">
        <f>INDEX(연료전지_원본!$A$4:$KY$369,MATCH($A318,연료전지_원본!$A$4:$A$369,0),MATCH($BY$4,연료전지_원본!$A$4:$KY$4,0))</f>
        <v>0</v>
      </c>
      <c r="BZ318" s="241">
        <f>INDEX(연료전지_원본!$A$4:$KY$369,MATCH($A318,연료전지_원본!$A$4:$A$369,0),MATCH($BZ$4,연료전지_원본!$A$4:$KY$4,0))</f>
        <v>0</v>
      </c>
      <c r="CA318" s="241">
        <f>INDEX(연료전지_원본!$A$4:$KY$369,MATCH($A318,연료전지_원본!$A$4:$A$369,0),MATCH($CA$4,연료전지_원본!$A$4:$KY$4,0))</f>
        <v>0</v>
      </c>
      <c r="CB318" s="241">
        <f>INDEX(연료전지_원본!$A$4:$KY$369,MATCH($A318,연료전지_원본!$A$4:$A$369,0),MATCH($CB$4,연료전지_원본!$A$4:$KY$4,0))</f>
        <v>0</v>
      </c>
      <c r="CC318" s="242">
        <f>INDEX(연료전지_원본!$A$4:$KY$369,MATCH($A318,연료전지_원본!$A$4:$A$369,0),MATCH($CC$4,연료전지_원본!$A$4:$KY$4,0))</f>
        <v>0</v>
      </c>
      <c r="CD318" s="250">
        <f>INDEX(연료전지_원본!$KB$4:$KX$369,MATCH($A318,연료전지_원본!$KB$4:$KB$369,0), MATCH(CD$4,연료전지_원본!$KB$4:$KX$4,0))*1000</f>
        <v>0</v>
      </c>
      <c r="CE318" s="250">
        <f>INDEX(연료전지_원본!$KB$4:$KX$369,MATCH($A318,연료전지_원본!$KB$4:$KB$369,0), MATCH(CE$4,연료전지_원본!$KB$4:$KX$4,0))*1000</f>
        <v>0</v>
      </c>
      <c r="CF318" s="250">
        <f>INDEX(연료전지_원본!$KB$4:$KX$369,MATCH($A318,연료전지_원본!$KB$4:$KB$369,0), MATCH(CF$4,연료전지_원본!$KB$4:$KX$4,0))*1000</f>
        <v>0</v>
      </c>
      <c r="CG318" s="250">
        <f>INDEX(연료전지_원본!$KB$4:$KX$369,MATCH($A318,연료전지_원본!$KB$4:$KB$369,0), MATCH(CG$4,연료전지_원본!$KB$4:$KX$4,0))*1000</f>
        <v>0</v>
      </c>
      <c r="CH318" s="250">
        <f>INDEX(연료전지_원본!$KB$4:$KX$369,MATCH($A318,연료전지_원본!$KB$4:$KB$369,0), MATCH(CH$4,연료전지_원본!$KB$4:$KX$4,0))*1000</f>
        <v>0</v>
      </c>
      <c r="CI318" s="250">
        <f>INDEX(연료전지_원본!$KB$4:$KX$369,MATCH($A318,연료전지_원본!$KB$4:$KB$369,0), MATCH(CI$4,연료전지_원본!$KB$4:$KX$4,0))*1000</f>
        <v>0</v>
      </c>
      <c r="CJ318" s="250">
        <f>INDEX(연료전지_원본!$KB$4:$KX$369,MATCH($A318,연료전지_원본!$KB$4:$KB$369,0), MATCH(CJ$4,연료전지_원본!$KB$4:$KX$4,0))*1000</f>
        <v>0</v>
      </c>
      <c r="CK318" s="250">
        <f>INDEX(연료전지_원본!$KB$4:$KX$369,MATCH($A318,연료전지_원본!$KB$4:$KB$369,0), MATCH(CK$4,연료전지_원본!$KB$4:$KX$4,0))*1000</f>
        <v>0</v>
      </c>
      <c r="CL318" s="250">
        <f>INDEX(연료전지_원본!$KB$4:$KX$369,MATCH($A318,연료전지_원본!$KB$4:$KB$369,0), MATCH(CL$4,연료전지_원본!$KB$4:$KX$4,0))*1000</f>
        <v>0</v>
      </c>
      <c r="CM318" s="250">
        <f>INDEX(연료전지_원본!$KB$4:$KX$369,MATCH($A318,연료전지_원본!$KB$4:$KB$369,0), MATCH(CM$4,연료전지_원본!$KB$4:$KX$4,0))*1000</f>
        <v>0</v>
      </c>
      <c r="CN318" s="250">
        <f>INDEX(연료전지_원본!$KB$4:$KX$369,MATCH($A318,연료전지_원본!$KB$4:$KB$369,0), MATCH(CN$4,연료전지_원본!$KB$4:$KX$4,0))*1000</f>
        <v>0</v>
      </c>
      <c r="CO318" s="250">
        <f>INDEX(연료전지_원본!$KB$4:$KX$369,MATCH($A318,연료전지_원본!$KB$4:$KB$369,0), MATCH(CO$4,연료전지_원본!$KB$4:$KX$4,0))*1000</f>
        <v>0</v>
      </c>
      <c r="CP318" s="250">
        <f>INDEX(연료전지_원본!$KB$4:$KX$369,MATCH($A318,연료전지_원본!$KB$4:$KB$369,0), MATCH(CP$4,연료전지_원본!$KB$4:$KX$4,0))*1000</f>
        <v>0</v>
      </c>
      <c r="CQ318" s="250">
        <f>INDEX(연료전지_원본!$KB$4:$KX$369,MATCH($A318,연료전지_원본!$KB$4:$KB$369,0), MATCH(CQ$4,연료전지_원본!$KB$4:$KX$4,0))*1000</f>
        <v>0</v>
      </c>
      <c r="CR318" s="250">
        <f>INDEX(연료전지_원본!$KB$4:$KX$369,MATCH($A318,연료전지_원본!$KB$4:$KB$369,0), MATCH(CR$4,연료전지_원본!$KB$4:$KX$4,0))*1000</f>
        <v>0</v>
      </c>
      <c r="CS318" s="250">
        <f>INDEX(연료전지_원본!$KB$4:$KX$369,MATCH($A318,연료전지_원본!$KB$4:$KB$369,0), MATCH(CS$4,연료전지_원본!$KB$4:$KX$4,0))*1000</f>
        <v>0</v>
      </c>
      <c r="CT318" s="250">
        <f>INDEX(연료전지_원본!$KB$4:$KX$369,MATCH($A318,연료전지_원본!$KB$4:$KB$369,0), MATCH(CT$4,연료전지_원본!$KB$4:$KX$4,0))*1000</f>
        <v>0</v>
      </c>
      <c r="CU318" s="250">
        <f>INDEX(연료전지_원본!$KB$4:$KX$369,MATCH($A318,연료전지_원본!$KB$4:$KB$369,0), MATCH(CU$4,연료전지_원본!$KB$4:$KX$4,0))*1000</f>
        <v>0</v>
      </c>
      <c r="CV318" s="250">
        <f>INDEX(연료전지_원본!$KB$4:$KX$369,MATCH($A318,연료전지_원본!$KB$4:$KB$369,0), MATCH(CV$4,연료전지_원본!$KB$4:$KX$4,0))*1000</f>
        <v>0</v>
      </c>
      <c r="CW318" s="250">
        <f>INDEX(연료전지_원본!$KB$4:$KX$369,MATCH($A318,연료전지_원본!$KB$4:$KB$369,0), MATCH(CW$4,연료전지_원본!$KB$4:$KX$4,0))*1000</f>
        <v>0</v>
      </c>
      <c r="CX318" s="250">
        <f>INDEX(연료전지_원본!$KB$4:$KX$369,MATCH($A318,연료전지_원본!$KB$4:$KB$369,0), MATCH(CX$4,연료전지_원본!$KB$4:$KX$4,0))*1000</f>
        <v>0</v>
      </c>
      <c r="CY318" s="250">
        <f>INDEX(연료전지_원본!$KB$4:$KX$369,MATCH($A318,연료전지_원본!$KB$4:$KB$369,0), MATCH(CY$4,연료전지_원본!$KB$4:$KX$4,0))*1000</f>
        <v>0</v>
      </c>
      <c r="DV318" s="30">
        <f t="shared" si="1616"/>
        <v>0</v>
      </c>
    </row>
    <row r="319" spans="1:126">
      <c r="A319" s="6">
        <v>46336</v>
      </c>
      <c r="B319" s="15">
        <f>운전실적_원본!B319</f>
        <v>0</v>
      </c>
      <c r="C319" s="16" t="str">
        <f t="shared" si="1622"/>
        <v/>
      </c>
      <c r="D319" s="12">
        <f>운전실적_원본!C319</f>
        <v>0</v>
      </c>
      <c r="E319" s="12" t="str">
        <f t="shared" si="1623"/>
        <v/>
      </c>
      <c r="F319" s="12">
        <f>운전실적_원본!D319</f>
        <v>0</v>
      </c>
      <c r="G319" s="16" t="str">
        <f t="shared" si="1624"/>
        <v/>
      </c>
      <c r="H319" s="15">
        <f>운전실적_원본!E319</f>
        <v>0</v>
      </c>
      <c r="I319" s="16" t="str">
        <f t="shared" si="1625"/>
        <v/>
      </c>
      <c r="J319" s="15">
        <f>운전실적_원본!F319</f>
        <v>0</v>
      </c>
      <c r="K319" s="16" t="str">
        <f t="shared" si="1625"/>
        <v/>
      </c>
      <c r="L319" s="32">
        <f>운전실적_원본!G319</f>
        <v>0</v>
      </c>
      <c r="M319" s="31" t="str">
        <f t="shared" ref="M319" si="1742">IF(OR(LEN(L319)=0,L319=0),"",L319-L318)</f>
        <v/>
      </c>
      <c r="N319" s="15">
        <f>운전실적_원본!H319</f>
        <v>0</v>
      </c>
      <c r="O319" s="16" t="str">
        <f t="shared" ref="O319" si="1743">IF(OR(LEN(N319)=0,N319=0),"",N319-N318)</f>
        <v/>
      </c>
      <c r="P319" s="15">
        <f>운전실적_원본!I319</f>
        <v>0</v>
      </c>
      <c r="Q319" s="16" t="str">
        <f t="shared" ref="Q319" si="1744">IF(OR(LEN(P319)=0,P319=0),"",P319-P318)</f>
        <v/>
      </c>
      <c r="R319" s="18">
        <f>운전실적_원본!J319</f>
        <v>0</v>
      </c>
      <c r="S319" s="19" t="str">
        <f t="shared" ref="S319" si="1745">IF(OR(LEN(R319)=0,R319=0),"",R319-R318)</f>
        <v/>
      </c>
      <c r="T319" s="18">
        <f>운전실적_원본!K319</f>
        <v>0</v>
      </c>
      <c r="U319" s="19" t="str">
        <f t="shared" si="1630"/>
        <v/>
      </c>
      <c r="V319" s="12">
        <f>운전실적_원본!L319</f>
        <v>0</v>
      </c>
      <c r="W319" s="16" t="str">
        <f t="shared" ref="W319" si="1746">IF(OR(LEN(V319)=0,V319=0),"",V319-V318)</f>
        <v/>
      </c>
      <c r="X319" s="10">
        <f>운전실적_원본!M319</f>
        <v>0</v>
      </c>
      <c r="Y319" s="10">
        <f>운전실적_원본!N319</f>
        <v>0</v>
      </c>
      <c r="Z319" s="10">
        <f>운전실적_원본!O319</f>
        <v>0</v>
      </c>
      <c r="AA319" s="10">
        <f>운전실적_원본!P319</f>
        <v>0</v>
      </c>
      <c r="AB319" s="10">
        <f>운전실적_원본!Q319</f>
        <v>0</v>
      </c>
      <c r="AC319" s="20">
        <f>운전실적_원본!R319</f>
        <v>0</v>
      </c>
      <c r="AD319" s="109">
        <f>운전실적_원본!S319</f>
        <v>0</v>
      </c>
      <c r="AE319" s="110">
        <f>운전실적_원본!T319</f>
        <v>0</v>
      </c>
      <c r="AF319" s="110">
        <f>운전실적_원본!U319</f>
        <v>0</v>
      </c>
      <c r="AG319" s="110">
        <f>운전실적_원본!V319</f>
        <v>0</v>
      </c>
      <c r="AH319" s="109">
        <f t="shared" si="1453"/>
        <v>0</v>
      </c>
      <c r="AI319" s="110">
        <f t="shared" si="1460"/>
        <v>0</v>
      </c>
      <c r="AJ319" s="110">
        <f>운전실적_원본!Y319</f>
        <v>0</v>
      </c>
      <c r="AK319" s="110">
        <f>운전실적_원본!Z319</f>
        <v>0</v>
      </c>
      <c r="AL319" s="106"/>
      <c r="AM319" s="105"/>
      <c r="AN319" s="105"/>
      <c r="AO319" s="105"/>
      <c r="AP319" s="105"/>
      <c r="AQ319" s="108"/>
      <c r="AR319" s="105"/>
      <c r="AS319" s="105"/>
      <c r="AT319" s="102"/>
      <c r="AU319" s="102"/>
      <c r="AV319" s="102"/>
      <c r="AW319" s="102"/>
      <c r="AX319" s="32">
        <f>운전실적_원본!W319</f>
        <v>0</v>
      </c>
      <c r="AY319" s="11">
        <f>운전실적_원본!X319</f>
        <v>0</v>
      </c>
      <c r="AZ319" s="11">
        <f>운전실적_원본!Y319</f>
        <v>0</v>
      </c>
      <c r="BA319" s="11">
        <f>운전실적_원본!Z319</f>
        <v>0</v>
      </c>
      <c r="BB319" s="11">
        <f>운전실적_원본!AA319</f>
        <v>0</v>
      </c>
      <c r="BC319" s="11">
        <f>운전실적_원본!AB319</f>
        <v>0</v>
      </c>
      <c r="BD319" s="32" t="str">
        <f t="shared" si="1446"/>
        <v>-</v>
      </c>
      <c r="BE319" s="11" t="str">
        <f t="shared" si="1454"/>
        <v>-</v>
      </c>
      <c r="BF319" s="11">
        <f>운전실적_원본!AE319</f>
        <v>0</v>
      </c>
      <c r="BG319" s="31">
        <f t="shared" si="1447"/>
        <v>0</v>
      </c>
      <c r="BH319" s="241">
        <f>INDEX(연료전지_원본!$A$4:$KY$369,MATCH($A319,연료전지_원본!$A$4:$A$369,0),MATCH($BH$4,연료전지_원본!$A$4:$KY$4,0))</f>
        <v>0</v>
      </c>
      <c r="BI319" s="241">
        <f>INDEX(연료전지_원본!$A$4:$KY$369,MATCH($A319,연료전지_원본!$A$4:$A$369,0),MATCH($BI$4,연료전지_원본!$A$4:$KY$4,0))</f>
        <v>0</v>
      </c>
      <c r="BJ319" s="241">
        <f>INDEX(연료전지_원본!$A$4:$KY$369,MATCH($A319,연료전지_원본!$A$4:$A$369,0),MATCH($BJ$4,연료전지_원본!$A$4:$KY$4,0))</f>
        <v>0</v>
      </c>
      <c r="BK319" s="241">
        <f>INDEX(연료전지_원본!$A$4:$KY$369,MATCH($A319,연료전지_원본!$A$4:$A$369,0),MATCH($BK$4,연료전지_원본!$A$4:$KY$4,0))</f>
        <v>0</v>
      </c>
      <c r="BL319" s="241">
        <f>INDEX(연료전지_원본!$A$4:$KY$369,MATCH($A319,연료전지_원본!$A$4:$A$369,0),MATCH($BL$4,연료전지_원본!$A$4:$KY$4,0))</f>
        <v>0</v>
      </c>
      <c r="BM319" s="241">
        <f>INDEX(연료전지_원본!$A$4:$KY$369,MATCH($A319,연료전지_원본!$A$4:$A$369,0),MATCH($BM$4,연료전지_원본!$A$4:$KY$4,0))</f>
        <v>0</v>
      </c>
      <c r="BN319" s="241">
        <f>INDEX(연료전지_원본!$A$4:$KY$369,MATCH($A319,연료전지_원본!$A$4:$A$369,0),MATCH($BN$4,연료전지_원본!$A$4:$KY$4,0))</f>
        <v>0</v>
      </c>
      <c r="BO319" s="241">
        <f>INDEX(연료전지_원본!$A$4:$KY$369,MATCH($A319,연료전지_원본!$A$4:$A$369,0),MATCH($BO$4,연료전지_원본!$A$4:$KY$4,0))</f>
        <v>0</v>
      </c>
      <c r="BP319" s="241">
        <f>INDEX(연료전지_원본!$A$4:$KY$369,MATCH($A319,연료전지_원본!$A$4:$A$369,0),MATCH($BP$4,연료전지_원본!$A$4:$KY$4,0))</f>
        <v>0</v>
      </c>
      <c r="BQ319" s="241">
        <f>INDEX(연료전지_원본!$A$4:$KY$369,MATCH($A319,연료전지_원본!$A$4:$A$369,0),MATCH($BQ$4,연료전지_원본!$A$4:$KY$4,0))</f>
        <v>0</v>
      </c>
      <c r="BR319" s="241">
        <f>INDEX(연료전지_원본!$A$4:$KY$369,MATCH($A319,연료전지_원본!$A$4:$A$369,0),MATCH($BR$4,연료전지_원본!$A$4:$KY$4,0))</f>
        <v>0</v>
      </c>
      <c r="BS319" s="241">
        <f>INDEX(연료전지_원본!$A$4:$KY$369,MATCH($A319,연료전지_원본!$A$4:$A$369,0),MATCH($BS$4,연료전지_원본!$A$4:$KY$4,0))</f>
        <v>0</v>
      </c>
      <c r="BT319" s="241">
        <f>INDEX(연료전지_원본!$A$4:$KY$369,MATCH($A319,연료전지_원본!$A$4:$A$369,0),MATCH($BT$4,연료전지_원본!$A$4:$KY$4,0))</f>
        <v>0</v>
      </c>
      <c r="BU319" s="241">
        <f>INDEX(연료전지_원본!$A$4:$KY$369,MATCH($A319,연료전지_원본!$A$4:$A$369,0),MATCH($BU$4,연료전지_원본!$A$4:$KY$4,0))</f>
        <v>0</v>
      </c>
      <c r="BV319" s="241">
        <f>INDEX(연료전지_원본!$A$4:$KY$369,MATCH($A319,연료전지_원본!$A$4:$A$369,0),MATCH($BV$4,연료전지_원본!$A$4:$KY$4,0))</f>
        <v>0</v>
      </c>
      <c r="BW319" s="241">
        <f>INDEX(연료전지_원본!$A$4:$KY$369,MATCH($A319,연료전지_원본!$A$4:$A$369,0),MATCH($BW$4,연료전지_원본!$A$4:$KY$4,0))</f>
        <v>0</v>
      </c>
      <c r="BX319" s="241">
        <f>INDEX(연료전지_원본!$A$4:$KY$369,MATCH($A319,연료전지_원본!$A$4:$A$369,0),MATCH($BX$4,연료전지_원본!$A$4:$KY$4,0))</f>
        <v>0</v>
      </c>
      <c r="BY319" s="241">
        <f>INDEX(연료전지_원본!$A$4:$KY$369,MATCH($A319,연료전지_원본!$A$4:$A$369,0),MATCH($BY$4,연료전지_원본!$A$4:$KY$4,0))</f>
        <v>0</v>
      </c>
      <c r="BZ319" s="241">
        <f>INDEX(연료전지_원본!$A$4:$KY$369,MATCH($A319,연료전지_원본!$A$4:$A$369,0),MATCH($BZ$4,연료전지_원본!$A$4:$KY$4,0))</f>
        <v>0</v>
      </c>
      <c r="CA319" s="241">
        <f>INDEX(연료전지_원본!$A$4:$KY$369,MATCH($A319,연료전지_원본!$A$4:$A$369,0),MATCH($CA$4,연료전지_원본!$A$4:$KY$4,0))</f>
        <v>0</v>
      </c>
      <c r="CB319" s="241">
        <f>INDEX(연료전지_원본!$A$4:$KY$369,MATCH($A319,연료전지_원본!$A$4:$A$369,0),MATCH($CB$4,연료전지_원본!$A$4:$KY$4,0))</f>
        <v>0</v>
      </c>
      <c r="CC319" s="242">
        <f>INDEX(연료전지_원본!$A$4:$KY$369,MATCH($A319,연료전지_원본!$A$4:$A$369,0),MATCH($CC$4,연료전지_원본!$A$4:$KY$4,0))</f>
        <v>0</v>
      </c>
      <c r="CD319" s="250">
        <f>INDEX(연료전지_원본!$KB$4:$KX$369,MATCH($A319,연료전지_원본!$KB$4:$KB$369,0), MATCH(CD$4,연료전지_원본!$KB$4:$KX$4,0))*1000</f>
        <v>0</v>
      </c>
      <c r="CE319" s="250">
        <f>INDEX(연료전지_원본!$KB$4:$KX$369,MATCH($A319,연료전지_원본!$KB$4:$KB$369,0), MATCH(CE$4,연료전지_원본!$KB$4:$KX$4,0))*1000</f>
        <v>0</v>
      </c>
      <c r="CF319" s="250">
        <f>INDEX(연료전지_원본!$KB$4:$KX$369,MATCH($A319,연료전지_원본!$KB$4:$KB$369,0), MATCH(CF$4,연료전지_원본!$KB$4:$KX$4,0))*1000</f>
        <v>0</v>
      </c>
      <c r="CG319" s="250">
        <f>INDEX(연료전지_원본!$KB$4:$KX$369,MATCH($A319,연료전지_원본!$KB$4:$KB$369,0), MATCH(CG$4,연료전지_원본!$KB$4:$KX$4,0))*1000</f>
        <v>0</v>
      </c>
      <c r="CH319" s="250">
        <f>INDEX(연료전지_원본!$KB$4:$KX$369,MATCH($A319,연료전지_원본!$KB$4:$KB$369,0), MATCH(CH$4,연료전지_원본!$KB$4:$KX$4,0))*1000</f>
        <v>0</v>
      </c>
      <c r="CI319" s="250">
        <f>INDEX(연료전지_원본!$KB$4:$KX$369,MATCH($A319,연료전지_원본!$KB$4:$KB$369,0), MATCH(CI$4,연료전지_원본!$KB$4:$KX$4,0))*1000</f>
        <v>0</v>
      </c>
      <c r="CJ319" s="250">
        <f>INDEX(연료전지_원본!$KB$4:$KX$369,MATCH($A319,연료전지_원본!$KB$4:$KB$369,0), MATCH(CJ$4,연료전지_원본!$KB$4:$KX$4,0))*1000</f>
        <v>0</v>
      </c>
      <c r="CK319" s="250">
        <f>INDEX(연료전지_원본!$KB$4:$KX$369,MATCH($A319,연료전지_원본!$KB$4:$KB$369,0), MATCH(CK$4,연료전지_원본!$KB$4:$KX$4,0))*1000</f>
        <v>0</v>
      </c>
      <c r="CL319" s="250">
        <f>INDEX(연료전지_원본!$KB$4:$KX$369,MATCH($A319,연료전지_원본!$KB$4:$KB$369,0), MATCH(CL$4,연료전지_원본!$KB$4:$KX$4,0))*1000</f>
        <v>0</v>
      </c>
      <c r="CM319" s="250">
        <f>INDEX(연료전지_원본!$KB$4:$KX$369,MATCH($A319,연료전지_원본!$KB$4:$KB$369,0), MATCH(CM$4,연료전지_원본!$KB$4:$KX$4,0))*1000</f>
        <v>0</v>
      </c>
      <c r="CN319" s="250">
        <f>INDEX(연료전지_원본!$KB$4:$KX$369,MATCH($A319,연료전지_원본!$KB$4:$KB$369,0), MATCH(CN$4,연료전지_원본!$KB$4:$KX$4,0))*1000</f>
        <v>0</v>
      </c>
      <c r="CO319" s="250">
        <f>INDEX(연료전지_원본!$KB$4:$KX$369,MATCH($A319,연료전지_원본!$KB$4:$KB$369,0), MATCH(CO$4,연료전지_원본!$KB$4:$KX$4,0))*1000</f>
        <v>0</v>
      </c>
      <c r="CP319" s="250">
        <f>INDEX(연료전지_원본!$KB$4:$KX$369,MATCH($A319,연료전지_원본!$KB$4:$KB$369,0), MATCH(CP$4,연료전지_원본!$KB$4:$KX$4,0))*1000</f>
        <v>0</v>
      </c>
      <c r="CQ319" s="250">
        <f>INDEX(연료전지_원본!$KB$4:$KX$369,MATCH($A319,연료전지_원본!$KB$4:$KB$369,0), MATCH(CQ$4,연료전지_원본!$KB$4:$KX$4,0))*1000</f>
        <v>0</v>
      </c>
      <c r="CR319" s="250">
        <f>INDEX(연료전지_원본!$KB$4:$KX$369,MATCH($A319,연료전지_원본!$KB$4:$KB$369,0), MATCH(CR$4,연료전지_원본!$KB$4:$KX$4,0))*1000</f>
        <v>0</v>
      </c>
      <c r="CS319" s="250">
        <f>INDEX(연료전지_원본!$KB$4:$KX$369,MATCH($A319,연료전지_원본!$KB$4:$KB$369,0), MATCH(CS$4,연료전지_원본!$KB$4:$KX$4,0))*1000</f>
        <v>0</v>
      </c>
      <c r="CT319" s="250">
        <f>INDEX(연료전지_원본!$KB$4:$KX$369,MATCH($A319,연료전지_원본!$KB$4:$KB$369,0), MATCH(CT$4,연료전지_원본!$KB$4:$KX$4,0))*1000</f>
        <v>0</v>
      </c>
      <c r="CU319" s="250">
        <f>INDEX(연료전지_원본!$KB$4:$KX$369,MATCH($A319,연료전지_원본!$KB$4:$KB$369,0), MATCH(CU$4,연료전지_원본!$KB$4:$KX$4,0))*1000</f>
        <v>0</v>
      </c>
      <c r="CV319" s="250">
        <f>INDEX(연료전지_원본!$KB$4:$KX$369,MATCH($A319,연료전지_원본!$KB$4:$KB$369,0), MATCH(CV$4,연료전지_원본!$KB$4:$KX$4,0))*1000</f>
        <v>0</v>
      </c>
      <c r="CW319" s="250">
        <f>INDEX(연료전지_원본!$KB$4:$KX$369,MATCH($A319,연료전지_원본!$KB$4:$KB$369,0), MATCH(CW$4,연료전지_원본!$KB$4:$KX$4,0))*1000</f>
        <v>0</v>
      </c>
      <c r="CX319" s="250">
        <f>INDEX(연료전지_원본!$KB$4:$KX$369,MATCH($A319,연료전지_원본!$KB$4:$KB$369,0), MATCH(CX$4,연료전지_원본!$KB$4:$KX$4,0))*1000</f>
        <v>0</v>
      </c>
      <c r="CY319" s="250">
        <f>INDEX(연료전지_원본!$KB$4:$KX$369,MATCH($A319,연료전지_원본!$KB$4:$KB$369,0), MATCH(CY$4,연료전지_원본!$KB$4:$KX$4,0))*1000</f>
        <v>0</v>
      </c>
      <c r="DV319" s="30">
        <f t="shared" si="1616"/>
        <v>0</v>
      </c>
    </row>
    <row r="320" spans="1:126">
      <c r="A320" s="6">
        <v>46337</v>
      </c>
      <c r="B320" s="15">
        <f>운전실적_원본!B320</f>
        <v>0</v>
      </c>
      <c r="C320" s="16" t="str">
        <f t="shared" si="1622"/>
        <v/>
      </c>
      <c r="D320" s="12">
        <f>운전실적_원본!C320</f>
        <v>0</v>
      </c>
      <c r="E320" s="12" t="str">
        <f t="shared" si="1623"/>
        <v/>
      </c>
      <c r="F320" s="12">
        <f>운전실적_원본!D320</f>
        <v>0</v>
      </c>
      <c r="G320" s="16" t="str">
        <f t="shared" si="1624"/>
        <v/>
      </c>
      <c r="H320" s="15">
        <f>운전실적_원본!E320</f>
        <v>0</v>
      </c>
      <c r="I320" s="16" t="str">
        <f t="shared" si="1625"/>
        <v/>
      </c>
      <c r="J320" s="15">
        <f>운전실적_원본!F320</f>
        <v>0</v>
      </c>
      <c r="K320" s="16" t="str">
        <f t="shared" si="1625"/>
        <v/>
      </c>
      <c r="L320" s="32">
        <f>운전실적_원본!G320</f>
        <v>0</v>
      </c>
      <c r="M320" s="31" t="str">
        <f t="shared" ref="M320" si="1747">IF(OR(LEN(L320)=0,L320=0),"",L320-L319)</f>
        <v/>
      </c>
      <c r="N320" s="15">
        <f>운전실적_원본!H320</f>
        <v>0</v>
      </c>
      <c r="O320" s="16" t="str">
        <f t="shared" ref="O320" si="1748">IF(OR(LEN(N320)=0,N320=0),"",N320-N319)</f>
        <v/>
      </c>
      <c r="P320" s="15">
        <f>운전실적_원본!I320</f>
        <v>0</v>
      </c>
      <c r="Q320" s="16" t="str">
        <f t="shared" ref="Q320" si="1749">IF(OR(LEN(P320)=0,P320=0),"",P320-P319)</f>
        <v/>
      </c>
      <c r="R320" s="18">
        <f>운전실적_원본!J320</f>
        <v>0</v>
      </c>
      <c r="S320" s="19" t="str">
        <f t="shared" ref="S320" si="1750">IF(OR(LEN(R320)=0,R320=0),"",R320-R319)</f>
        <v/>
      </c>
      <c r="T320" s="18">
        <f>운전실적_원본!K320</f>
        <v>0</v>
      </c>
      <c r="U320" s="19" t="str">
        <f t="shared" si="1630"/>
        <v/>
      </c>
      <c r="V320" s="12">
        <f>운전실적_원본!L320</f>
        <v>0</v>
      </c>
      <c r="W320" s="16" t="str">
        <f t="shared" ref="W320" si="1751">IF(OR(LEN(V320)=0,V320=0),"",V320-V319)</f>
        <v/>
      </c>
      <c r="X320" s="10">
        <f>운전실적_원본!M320</f>
        <v>0</v>
      </c>
      <c r="Y320" s="10">
        <f>운전실적_원본!N320</f>
        <v>0</v>
      </c>
      <c r="Z320" s="10">
        <f>운전실적_원본!O320</f>
        <v>0</v>
      </c>
      <c r="AA320" s="10">
        <f>운전실적_원본!P320</f>
        <v>0</v>
      </c>
      <c r="AB320" s="10">
        <f>운전실적_원본!Q320</f>
        <v>0</v>
      </c>
      <c r="AC320" s="20">
        <f>운전실적_원본!R320</f>
        <v>0</v>
      </c>
      <c r="AD320" s="109">
        <f>운전실적_원본!S320</f>
        <v>0</v>
      </c>
      <c r="AE320" s="110">
        <f>운전실적_원본!T320</f>
        <v>0</v>
      </c>
      <c r="AF320" s="110">
        <f>운전실적_원본!U320</f>
        <v>0</v>
      </c>
      <c r="AG320" s="110">
        <f>운전실적_원본!V320</f>
        <v>0</v>
      </c>
      <c r="AH320" s="109">
        <f t="shared" si="1453"/>
        <v>0</v>
      </c>
      <c r="AI320" s="110">
        <f t="shared" si="1460"/>
        <v>0</v>
      </c>
      <c r="AJ320" s="110">
        <f>운전실적_원본!Y320</f>
        <v>0</v>
      </c>
      <c r="AK320" s="110">
        <f>운전실적_원본!Z320</f>
        <v>0</v>
      </c>
      <c r="AL320" s="106"/>
      <c r="AM320" s="105"/>
      <c r="AN320" s="105"/>
      <c r="AO320" s="105"/>
      <c r="AP320" s="105"/>
      <c r="AQ320" s="108"/>
      <c r="AR320" s="105"/>
      <c r="AS320" s="105"/>
      <c r="AT320" s="102"/>
      <c r="AU320" s="102"/>
      <c r="AV320" s="102"/>
      <c r="AW320" s="102"/>
      <c r="AX320" s="32">
        <f>운전실적_원본!W320</f>
        <v>0</v>
      </c>
      <c r="AY320" s="11">
        <f>운전실적_원본!X320</f>
        <v>0</v>
      </c>
      <c r="AZ320" s="11">
        <f>운전실적_원본!Y320</f>
        <v>0</v>
      </c>
      <c r="BA320" s="11">
        <f>운전실적_원본!Z320</f>
        <v>0</v>
      </c>
      <c r="BB320" s="11">
        <f>운전실적_원본!AA320</f>
        <v>0</v>
      </c>
      <c r="BC320" s="11">
        <f>운전실적_원본!AB320</f>
        <v>0</v>
      </c>
      <c r="BD320" s="32" t="str">
        <f t="shared" si="1446"/>
        <v>-</v>
      </c>
      <c r="BE320" s="11" t="str">
        <f t="shared" si="1454"/>
        <v>-</v>
      </c>
      <c r="BF320" s="11">
        <f>운전실적_원본!AE320</f>
        <v>0</v>
      </c>
      <c r="BG320" s="31">
        <f t="shared" si="1447"/>
        <v>0</v>
      </c>
      <c r="BH320" s="241">
        <f>INDEX(연료전지_원본!$A$4:$KY$369,MATCH($A320,연료전지_원본!$A$4:$A$369,0),MATCH($BH$4,연료전지_원본!$A$4:$KY$4,0))</f>
        <v>0</v>
      </c>
      <c r="BI320" s="241">
        <f>INDEX(연료전지_원본!$A$4:$KY$369,MATCH($A320,연료전지_원본!$A$4:$A$369,0),MATCH($BI$4,연료전지_원본!$A$4:$KY$4,0))</f>
        <v>0</v>
      </c>
      <c r="BJ320" s="241">
        <f>INDEX(연료전지_원본!$A$4:$KY$369,MATCH($A320,연료전지_원본!$A$4:$A$369,0),MATCH($BJ$4,연료전지_원본!$A$4:$KY$4,0))</f>
        <v>0</v>
      </c>
      <c r="BK320" s="241">
        <f>INDEX(연료전지_원본!$A$4:$KY$369,MATCH($A320,연료전지_원본!$A$4:$A$369,0),MATCH($BK$4,연료전지_원본!$A$4:$KY$4,0))</f>
        <v>0</v>
      </c>
      <c r="BL320" s="241">
        <f>INDEX(연료전지_원본!$A$4:$KY$369,MATCH($A320,연료전지_원본!$A$4:$A$369,0),MATCH($BL$4,연료전지_원본!$A$4:$KY$4,0))</f>
        <v>0</v>
      </c>
      <c r="BM320" s="241">
        <f>INDEX(연료전지_원본!$A$4:$KY$369,MATCH($A320,연료전지_원본!$A$4:$A$369,0),MATCH($BM$4,연료전지_원본!$A$4:$KY$4,0))</f>
        <v>0</v>
      </c>
      <c r="BN320" s="241">
        <f>INDEX(연료전지_원본!$A$4:$KY$369,MATCH($A320,연료전지_원본!$A$4:$A$369,0),MATCH($BN$4,연료전지_원본!$A$4:$KY$4,0))</f>
        <v>0</v>
      </c>
      <c r="BO320" s="241">
        <f>INDEX(연료전지_원본!$A$4:$KY$369,MATCH($A320,연료전지_원본!$A$4:$A$369,0),MATCH($BO$4,연료전지_원본!$A$4:$KY$4,0))</f>
        <v>0</v>
      </c>
      <c r="BP320" s="241">
        <f>INDEX(연료전지_원본!$A$4:$KY$369,MATCH($A320,연료전지_원본!$A$4:$A$369,0),MATCH($BP$4,연료전지_원본!$A$4:$KY$4,0))</f>
        <v>0</v>
      </c>
      <c r="BQ320" s="241">
        <f>INDEX(연료전지_원본!$A$4:$KY$369,MATCH($A320,연료전지_원본!$A$4:$A$369,0),MATCH($BQ$4,연료전지_원본!$A$4:$KY$4,0))</f>
        <v>0</v>
      </c>
      <c r="BR320" s="241">
        <f>INDEX(연료전지_원본!$A$4:$KY$369,MATCH($A320,연료전지_원본!$A$4:$A$369,0),MATCH($BR$4,연료전지_원본!$A$4:$KY$4,0))</f>
        <v>0</v>
      </c>
      <c r="BS320" s="241">
        <f>INDEX(연료전지_원본!$A$4:$KY$369,MATCH($A320,연료전지_원본!$A$4:$A$369,0),MATCH($BS$4,연료전지_원본!$A$4:$KY$4,0))</f>
        <v>0</v>
      </c>
      <c r="BT320" s="241">
        <f>INDEX(연료전지_원본!$A$4:$KY$369,MATCH($A320,연료전지_원본!$A$4:$A$369,0),MATCH($BT$4,연료전지_원본!$A$4:$KY$4,0))</f>
        <v>0</v>
      </c>
      <c r="BU320" s="241">
        <f>INDEX(연료전지_원본!$A$4:$KY$369,MATCH($A320,연료전지_원본!$A$4:$A$369,0),MATCH($BU$4,연료전지_원본!$A$4:$KY$4,0))</f>
        <v>0</v>
      </c>
      <c r="BV320" s="241">
        <f>INDEX(연료전지_원본!$A$4:$KY$369,MATCH($A320,연료전지_원본!$A$4:$A$369,0),MATCH($BV$4,연료전지_원본!$A$4:$KY$4,0))</f>
        <v>0</v>
      </c>
      <c r="BW320" s="241">
        <f>INDEX(연료전지_원본!$A$4:$KY$369,MATCH($A320,연료전지_원본!$A$4:$A$369,0),MATCH($BW$4,연료전지_원본!$A$4:$KY$4,0))</f>
        <v>0</v>
      </c>
      <c r="BX320" s="241">
        <f>INDEX(연료전지_원본!$A$4:$KY$369,MATCH($A320,연료전지_원본!$A$4:$A$369,0),MATCH($BX$4,연료전지_원본!$A$4:$KY$4,0))</f>
        <v>0</v>
      </c>
      <c r="BY320" s="241">
        <f>INDEX(연료전지_원본!$A$4:$KY$369,MATCH($A320,연료전지_원본!$A$4:$A$369,0),MATCH($BY$4,연료전지_원본!$A$4:$KY$4,0))</f>
        <v>0</v>
      </c>
      <c r="BZ320" s="241">
        <f>INDEX(연료전지_원본!$A$4:$KY$369,MATCH($A320,연료전지_원본!$A$4:$A$369,0),MATCH($BZ$4,연료전지_원본!$A$4:$KY$4,0))</f>
        <v>0</v>
      </c>
      <c r="CA320" s="241">
        <f>INDEX(연료전지_원본!$A$4:$KY$369,MATCH($A320,연료전지_원본!$A$4:$A$369,0),MATCH($CA$4,연료전지_원본!$A$4:$KY$4,0))</f>
        <v>0</v>
      </c>
      <c r="CB320" s="241">
        <f>INDEX(연료전지_원본!$A$4:$KY$369,MATCH($A320,연료전지_원본!$A$4:$A$369,0),MATCH($CB$4,연료전지_원본!$A$4:$KY$4,0))</f>
        <v>0</v>
      </c>
      <c r="CC320" s="242">
        <f>INDEX(연료전지_원본!$A$4:$KY$369,MATCH($A320,연료전지_원본!$A$4:$A$369,0),MATCH($CC$4,연료전지_원본!$A$4:$KY$4,0))</f>
        <v>0</v>
      </c>
      <c r="CD320" s="250">
        <f>INDEX(연료전지_원본!$KB$4:$KX$369,MATCH($A320,연료전지_원본!$KB$4:$KB$369,0), MATCH(CD$4,연료전지_원본!$KB$4:$KX$4,0))*1000</f>
        <v>0</v>
      </c>
      <c r="CE320" s="250">
        <f>INDEX(연료전지_원본!$KB$4:$KX$369,MATCH($A320,연료전지_원본!$KB$4:$KB$369,0), MATCH(CE$4,연료전지_원본!$KB$4:$KX$4,0))*1000</f>
        <v>0</v>
      </c>
      <c r="CF320" s="250">
        <f>INDEX(연료전지_원본!$KB$4:$KX$369,MATCH($A320,연료전지_원본!$KB$4:$KB$369,0), MATCH(CF$4,연료전지_원본!$KB$4:$KX$4,0))*1000</f>
        <v>0</v>
      </c>
      <c r="CG320" s="250">
        <f>INDEX(연료전지_원본!$KB$4:$KX$369,MATCH($A320,연료전지_원본!$KB$4:$KB$369,0), MATCH(CG$4,연료전지_원본!$KB$4:$KX$4,0))*1000</f>
        <v>0</v>
      </c>
      <c r="CH320" s="250">
        <f>INDEX(연료전지_원본!$KB$4:$KX$369,MATCH($A320,연료전지_원본!$KB$4:$KB$369,0), MATCH(CH$4,연료전지_원본!$KB$4:$KX$4,0))*1000</f>
        <v>0</v>
      </c>
      <c r="CI320" s="250">
        <f>INDEX(연료전지_원본!$KB$4:$KX$369,MATCH($A320,연료전지_원본!$KB$4:$KB$369,0), MATCH(CI$4,연료전지_원본!$KB$4:$KX$4,0))*1000</f>
        <v>0</v>
      </c>
      <c r="CJ320" s="250">
        <f>INDEX(연료전지_원본!$KB$4:$KX$369,MATCH($A320,연료전지_원본!$KB$4:$KB$369,0), MATCH(CJ$4,연료전지_원본!$KB$4:$KX$4,0))*1000</f>
        <v>0</v>
      </c>
      <c r="CK320" s="250">
        <f>INDEX(연료전지_원본!$KB$4:$KX$369,MATCH($A320,연료전지_원본!$KB$4:$KB$369,0), MATCH(CK$4,연료전지_원본!$KB$4:$KX$4,0))*1000</f>
        <v>0</v>
      </c>
      <c r="CL320" s="250">
        <f>INDEX(연료전지_원본!$KB$4:$KX$369,MATCH($A320,연료전지_원본!$KB$4:$KB$369,0), MATCH(CL$4,연료전지_원본!$KB$4:$KX$4,0))*1000</f>
        <v>0</v>
      </c>
      <c r="CM320" s="250">
        <f>INDEX(연료전지_원본!$KB$4:$KX$369,MATCH($A320,연료전지_원본!$KB$4:$KB$369,0), MATCH(CM$4,연료전지_원본!$KB$4:$KX$4,0))*1000</f>
        <v>0</v>
      </c>
      <c r="CN320" s="250">
        <f>INDEX(연료전지_원본!$KB$4:$KX$369,MATCH($A320,연료전지_원본!$KB$4:$KB$369,0), MATCH(CN$4,연료전지_원본!$KB$4:$KX$4,0))*1000</f>
        <v>0</v>
      </c>
      <c r="CO320" s="250">
        <f>INDEX(연료전지_원본!$KB$4:$KX$369,MATCH($A320,연료전지_원본!$KB$4:$KB$369,0), MATCH(CO$4,연료전지_원본!$KB$4:$KX$4,0))*1000</f>
        <v>0</v>
      </c>
      <c r="CP320" s="250">
        <f>INDEX(연료전지_원본!$KB$4:$KX$369,MATCH($A320,연료전지_원본!$KB$4:$KB$369,0), MATCH(CP$4,연료전지_원본!$KB$4:$KX$4,0))*1000</f>
        <v>0</v>
      </c>
      <c r="CQ320" s="250">
        <f>INDEX(연료전지_원본!$KB$4:$KX$369,MATCH($A320,연료전지_원본!$KB$4:$KB$369,0), MATCH(CQ$4,연료전지_원본!$KB$4:$KX$4,0))*1000</f>
        <v>0</v>
      </c>
      <c r="CR320" s="250">
        <f>INDEX(연료전지_원본!$KB$4:$KX$369,MATCH($A320,연료전지_원본!$KB$4:$KB$369,0), MATCH(CR$4,연료전지_원본!$KB$4:$KX$4,0))*1000</f>
        <v>0</v>
      </c>
      <c r="CS320" s="250">
        <f>INDEX(연료전지_원본!$KB$4:$KX$369,MATCH($A320,연료전지_원본!$KB$4:$KB$369,0), MATCH(CS$4,연료전지_원본!$KB$4:$KX$4,0))*1000</f>
        <v>0</v>
      </c>
      <c r="CT320" s="250">
        <f>INDEX(연료전지_원본!$KB$4:$KX$369,MATCH($A320,연료전지_원본!$KB$4:$KB$369,0), MATCH(CT$4,연료전지_원본!$KB$4:$KX$4,0))*1000</f>
        <v>0</v>
      </c>
      <c r="CU320" s="250">
        <f>INDEX(연료전지_원본!$KB$4:$KX$369,MATCH($A320,연료전지_원본!$KB$4:$KB$369,0), MATCH(CU$4,연료전지_원본!$KB$4:$KX$4,0))*1000</f>
        <v>0</v>
      </c>
      <c r="CV320" s="250">
        <f>INDEX(연료전지_원본!$KB$4:$KX$369,MATCH($A320,연료전지_원본!$KB$4:$KB$369,0), MATCH(CV$4,연료전지_원본!$KB$4:$KX$4,0))*1000</f>
        <v>0</v>
      </c>
      <c r="CW320" s="250">
        <f>INDEX(연료전지_원본!$KB$4:$KX$369,MATCH($A320,연료전지_원본!$KB$4:$KB$369,0), MATCH(CW$4,연료전지_원본!$KB$4:$KX$4,0))*1000</f>
        <v>0</v>
      </c>
      <c r="CX320" s="250">
        <f>INDEX(연료전지_원본!$KB$4:$KX$369,MATCH($A320,연료전지_원본!$KB$4:$KB$369,0), MATCH(CX$4,연료전지_원본!$KB$4:$KX$4,0))*1000</f>
        <v>0</v>
      </c>
      <c r="CY320" s="250">
        <f>INDEX(연료전지_원본!$KB$4:$KX$369,MATCH($A320,연료전지_원본!$KB$4:$KB$369,0), MATCH(CY$4,연료전지_원본!$KB$4:$KX$4,0))*1000</f>
        <v>0</v>
      </c>
      <c r="DV320" s="30">
        <f t="shared" si="1616"/>
        <v>0</v>
      </c>
    </row>
    <row r="321" spans="1:126">
      <c r="A321" s="6">
        <v>46338</v>
      </c>
      <c r="B321" s="15">
        <f>운전실적_원본!B321</f>
        <v>0</v>
      </c>
      <c r="C321" s="16" t="str">
        <f t="shared" si="1622"/>
        <v/>
      </c>
      <c r="D321" s="12">
        <f>운전실적_원본!C321</f>
        <v>0</v>
      </c>
      <c r="E321" s="12" t="str">
        <f t="shared" si="1623"/>
        <v/>
      </c>
      <c r="F321" s="12">
        <f>운전실적_원본!D321</f>
        <v>0</v>
      </c>
      <c r="G321" s="16" t="str">
        <f t="shared" si="1624"/>
        <v/>
      </c>
      <c r="H321" s="15">
        <f>운전실적_원본!E321</f>
        <v>0</v>
      </c>
      <c r="I321" s="16" t="str">
        <f t="shared" si="1625"/>
        <v/>
      </c>
      <c r="J321" s="15">
        <f>운전실적_원본!F321</f>
        <v>0</v>
      </c>
      <c r="K321" s="16" t="str">
        <f t="shared" si="1625"/>
        <v/>
      </c>
      <c r="L321" s="32">
        <f>운전실적_원본!G321</f>
        <v>0</v>
      </c>
      <c r="M321" s="31" t="str">
        <f t="shared" ref="M321" si="1752">IF(OR(LEN(L321)=0,L321=0),"",L321-L320)</f>
        <v/>
      </c>
      <c r="N321" s="15">
        <f>운전실적_원본!H321</f>
        <v>0</v>
      </c>
      <c r="O321" s="16" t="str">
        <f t="shared" ref="O321" si="1753">IF(OR(LEN(N321)=0,N321=0),"",N321-N320)</f>
        <v/>
      </c>
      <c r="P321" s="15">
        <f>운전실적_원본!I321</f>
        <v>0</v>
      </c>
      <c r="Q321" s="16" t="str">
        <f t="shared" ref="Q321" si="1754">IF(OR(LEN(P321)=0,P321=0),"",P321-P320)</f>
        <v/>
      </c>
      <c r="R321" s="18">
        <f>운전실적_원본!J321</f>
        <v>0</v>
      </c>
      <c r="S321" s="19" t="str">
        <f t="shared" ref="S321" si="1755">IF(OR(LEN(R321)=0,R321=0),"",R321-R320)</f>
        <v/>
      </c>
      <c r="T321" s="18">
        <f>운전실적_원본!K321</f>
        <v>0</v>
      </c>
      <c r="U321" s="19" t="str">
        <f t="shared" si="1630"/>
        <v/>
      </c>
      <c r="V321" s="12">
        <f>운전실적_원본!L321</f>
        <v>0</v>
      </c>
      <c r="W321" s="16" t="str">
        <f t="shared" ref="W321" si="1756">IF(OR(LEN(V321)=0,V321=0),"",V321-V320)</f>
        <v/>
      </c>
      <c r="X321" s="10">
        <f>운전실적_원본!M321</f>
        <v>0</v>
      </c>
      <c r="Y321" s="10">
        <f>운전실적_원본!N321</f>
        <v>0</v>
      </c>
      <c r="Z321" s="10">
        <f>운전실적_원본!O321</f>
        <v>0</v>
      </c>
      <c r="AA321" s="10">
        <f>운전실적_원본!P321</f>
        <v>0</v>
      </c>
      <c r="AB321" s="10">
        <f>운전실적_원본!Q321</f>
        <v>0</v>
      </c>
      <c r="AC321" s="20">
        <f>운전실적_원본!R321</f>
        <v>0</v>
      </c>
      <c r="AD321" s="109">
        <f>운전실적_원본!S321</f>
        <v>0</v>
      </c>
      <c r="AE321" s="110">
        <f>운전실적_원본!T321</f>
        <v>0</v>
      </c>
      <c r="AF321" s="110">
        <f>운전실적_원본!U321</f>
        <v>0</v>
      </c>
      <c r="AG321" s="110">
        <f>운전실적_원본!V321</f>
        <v>0</v>
      </c>
      <c r="AH321" s="109">
        <f t="shared" si="1453"/>
        <v>0</v>
      </c>
      <c r="AI321" s="110">
        <f t="shared" si="1460"/>
        <v>0</v>
      </c>
      <c r="AJ321" s="110">
        <f>운전실적_원본!Y321</f>
        <v>0</v>
      </c>
      <c r="AK321" s="110">
        <f>운전실적_원본!Z321</f>
        <v>0</v>
      </c>
      <c r="AL321" s="106"/>
      <c r="AM321" s="105"/>
      <c r="AN321" s="105"/>
      <c r="AO321" s="105"/>
      <c r="AP321" s="105"/>
      <c r="AQ321" s="108"/>
      <c r="AR321" s="105"/>
      <c r="AS321" s="105"/>
      <c r="AT321" s="102"/>
      <c r="AU321" s="102"/>
      <c r="AV321" s="102"/>
      <c r="AW321" s="102"/>
      <c r="AX321" s="32">
        <f>운전실적_원본!W321</f>
        <v>0</v>
      </c>
      <c r="AY321" s="11">
        <f>운전실적_원본!X321</f>
        <v>0</v>
      </c>
      <c r="AZ321" s="11">
        <f>운전실적_원본!Y321</f>
        <v>0</v>
      </c>
      <c r="BA321" s="11">
        <f>운전실적_원본!Z321</f>
        <v>0</v>
      </c>
      <c r="BB321" s="11">
        <f>운전실적_원본!AA321</f>
        <v>0</v>
      </c>
      <c r="BC321" s="11">
        <f>운전실적_원본!AB321</f>
        <v>0</v>
      </c>
      <c r="BD321" s="32" t="str">
        <f t="shared" si="1446"/>
        <v>-</v>
      </c>
      <c r="BE321" s="11" t="str">
        <f t="shared" si="1454"/>
        <v>-</v>
      </c>
      <c r="BF321" s="11">
        <f>운전실적_원본!AE321</f>
        <v>0</v>
      </c>
      <c r="BG321" s="31">
        <f t="shared" si="1447"/>
        <v>0</v>
      </c>
      <c r="BH321" s="241">
        <f>INDEX(연료전지_원본!$A$4:$KY$369,MATCH($A321,연료전지_원본!$A$4:$A$369,0),MATCH($BH$4,연료전지_원본!$A$4:$KY$4,0))</f>
        <v>0</v>
      </c>
      <c r="BI321" s="241">
        <f>INDEX(연료전지_원본!$A$4:$KY$369,MATCH($A321,연료전지_원본!$A$4:$A$369,0),MATCH($BI$4,연료전지_원본!$A$4:$KY$4,0))</f>
        <v>0</v>
      </c>
      <c r="BJ321" s="241">
        <f>INDEX(연료전지_원본!$A$4:$KY$369,MATCH($A321,연료전지_원본!$A$4:$A$369,0),MATCH($BJ$4,연료전지_원본!$A$4:$KY$4,0))</f>
        <v>0</v>
      </c>
      <c r="BK321" s="241">
        <f>INDEX(연료전지_원본!$A$4:$KY$369,MATCH($A321,연료전지_원본!$A$4:$A$369,0),MATCH($BK$4,연료전지_원본!$A$4:$KY$4,0))</f>
        <v>0</v>
      </c>
      <c r="BL321" s="241">
        <f>INDEX(연료전지_원본!$A$4:$KY$369,MATCH($A321,연료전지_원본!$A$4:$A$369,0),MATCH($BL$4,연료전지_원본!$A$4:$KY$4,0))</f>
        <v>0</v>
      </c>
      <c r="BM321" s="241">
        <f>INDEX(연료전지_원본!$A$4:$KY$369,MATCH($A321,연료전지_원본!$A$4:$A$369,0),MATCH($BM$4,연료전지_원본!$A$4:$KY$4,0))</f>
        <v>0</v>
      </c>
      <c r="BN321" s="241">
        <f>INDEX(연료전지_원본!$A$4:$KY$369,MATCH($A321,연료전지_원본!$A$4:$A$369,0),MATCH($BN$4,연료전지_원본!$A$4:$KY$4,0))</f>
        <v>0</v>
      </c>
      <c r="BO321" s="241">
        <f>INDEX(연료전지_원본!$A$4:$KY$369,MATCH($A321,연료전지_원본!$A$4:$A$369,0),MATCH($BO$4,연료전지_원본!$A$4:$KY$4,0))</f>
        <v>0</v>
      </c>
      <c r="BP321" s="241">
        <f>INDEX(연료전지_원본!$A$4:$KY$369,MATCH($A321,연료전지_원본!$A$4:$A$369,0),MATCH($BP$4,연료전지_원본!$A$4:$KY$4,0))</f>
        <v>0</v>
      </c>
      <c r="BQ321" s="241">
        <f>INDEX(연료전지_원본!$A$4:$KY$369,MATCH($A321,연료전지_원본!$A$4:$A$369,0),MATCH($BQ$4,연료전지_원본!$A$4:$KY$4,0))</f>
        <v>0</v>
      </c>
      <c r="BR321" s="241">
        <f>INDEX(연료전지_원본!$A$4:$KY$369,MATCH($A321,연료전지_원본!$A$4:$A$369,0),MATCH($BR$4,연료전지_원본!$A$4:$KY$4,0))</f>
        <v>0</v>
      </c>
      <c r="BS321" s="241">
        <f>INDEX(연료전지_원본!$A$4:$KY$369,MATCH($A321,연료전지_원본!$A$4:$A$369,0),MATCH($BS$4,연료전지_원본!$A$4:$KY$4,0))</f>
        <v>0</v>
      </c>
      <c r="BT321" s="241">
        <f>INDEX(연료전지_원본!$A$4:$KY$369,MATCH($A321,연료전지_원본!$A$4:$A$369,0),MATCH($BT$4,연료전지_원본!$A$4:$KY$4,0))</f>
        <v>0</v>
      </c>
      <c r="BU321" s="241">
        <f>INDEX(연료전지_원본!$A$4:$KY$369,MATCH($A321,연료전지_원본!$A$4:$A$369,0),MATCH($BU$4,연료전지_원본!$A$4:$KY$4,0))</f>
        <v>0</v>
      </c>
      <c r="BV321" s="241">
        <f>INDEX(연료전지_원본!$A$4:$KY$369,MATCH($A321,연료전지_원본!$A$4:$A$369,0),MATCH($BV$4,연료전지_원본!$A$4:$KY$4,0))</f>
        <v>0</v>
      </c>
      <c r="BW321" s="241">
        <f>INDEX(연료전지_원본!$A$4:$KY$369,MATCH($A321,연료전지_원본!$A$4:$A$369,0),MATCH($BW$4,연료전지_원본!$A$4:$KY$4,0))</f>
        <v>0</v>
      </c>
      <c r="BX321" s="241">
        <f>INDEX(연료전지_원본!$A$4:$KY$369,MATCH($A321,연료전지_원본!$A$4:$A$369,0),MATCH($BX$4,연료전지_원본!$A$4:$KY$4,0))</f>
        <v>0</v>
      </c>
      <c r="BY321" s="241">
        <f>INDEX(연료전지_원본!$A$4:$KY$369,MATCH($A321,연료전지_원본!$A$4:$A$369,0),MATCH($BY$4,연료전지_원본!$A$4:$KY$4,0))</f>
        <v>0</v>
      </c>
      <c r="BZ321" s="241">
        <f>INDEX(연료전지_원본!$A$4:$KY$369,MATCH($A321,연료전지_원본!$A$4:$A$369,0),MATCH($BZ$4,연료전지_원본!$A$4:$KY$4,0))</f>
        <v>0</v>
      </c>
      <c r="CA321" s="241">
        <f>INDEX(연료전지_원본!$A$4:$KY$369,MATCH($A321,연료전지_원본!$A$4:$A$369,0),MATCH($CA$4,연료전지_원본!$A$4:$KY$4,0))</f>
        <v>0</v>
      </c>
      <c r="CB321" s="241">
        <f>INDEX(연료전지_원본!$A$4:$KY$369,MATCH($A321,연료전지_원본!$A$4:$A$369,0),MATCH($CB$4,연료전지_원본!$A$4:$KY$4,0))</f>
        <v>0</v>
      </c>
      <c r="CC321" s="242">
        <f>INDEX(연료전지_원본!$A$4:$KY$369,MATCH($A321,연료전지_원본!$A$4:$A$369,0),MATCH($CC$4,연료전지_원본!$A$4:$KY$4,0))</f>
        <v>0</v>
      </c>
      <c r="CD321" s="250">
        <f>INDEX(연료전지_원본!$KB$4:$KX$369,MATCH($A321,연료전지_원본!$KB$4:$KB$369,0), MATCH(CD$4,연료전지_원본!$KB$4:$KX$4,0))*1000</f>
        <v>0</v>
      </c>
      <c r="CE321" s="250">
        <f>INDEX(연료전지_원본!$KB$4:$KX$369,MATCH($A321,연료전지_원본!$KB$4:$KB$369,0), MATCH(CE$4,연료전지_원본!$KB$4:$KX$4,0))*1000</f>
        <v>0</v>
      </c>
      <c r="CF321" s="250">
        <f>INDEX(연료전지_원본!$KB$4:$KX$369,MATCH($A321,연료전지_원본!$KB$4:$KB$369,0), MATCH(CF$4,연료전지_원본!$KB$4:$KX$4,0))*1000</f>
        <v>0</v>
      </c>
      <c r="CG321" s="250">
        <f>INDEX(연료전지_원본!$KB$4:$KX$369,MATCH($A321,연료전지_원본!$KB$4:$KB$369,0), MATCH(CG$4,연료전지_원본!$KB$4:$KX$4,0))*1000</f>
        <v>0</v>
      </c>
      <c r="CH321" s="250">
        <f>INDEX(연료전지_원본!$KB$4:$KX$369,MATCH($A321,연료전지_원본!$KB$4:$KB$369,0), MATCH(CH$4,연료전지_원본!$KB$4:$KX$4,0))*1000</f>
        <v>0</v>
      </c>
      <c r="CI321" s="250">
        <f>INDEX(연료전지_원본!$KB$4:$KX$369,MATCH($A321,연료전지_원본!$KB$4:$KB$369,0), MATCH(CI$4,연료전지_원본!$KB$4:$KX$4,0))*1000</f>
        <v>0</v>
      </c>
      <c r="CJ321" s="250">
        <f>INDEX(연료전지_원본!$KB$4:$KX$369,MATCH($A321,연료전지_원본!$KB$4:$KB$369,0), MATCH(CJ$4,연료전지_원본!$KB$4:$KX$4,0))*1000</f>
        <v>0</v>
      </c>
      <c r="CK321" s="250">
        <f>INDEX(연료전지_원본!$KB$4:$KX$369,MATCH($A321,연료전지_원본!$KB$4:$KB$369,0), MATCH(CK$4,연료전지_원본!$KB$4:$KX$4,0))*1000</f>
        <v>0</v>
      </c>
      <c r="CL321" s="250">
        <f>INDEX(연료전지_원본!$KB$4:$KX$369,MATCH($A321,연료전지_원본!$KB$4:$KB$369,0), MATCH(CL$4,연료전지_원본!$KB$4:$KX$4,0))*1000</f>
        <v>0</v>
      </c>
      <c r="CM321" s="250">
        <f>INDEX(연료전지_원본!$KB$4:$KX$369,MATCH($A321,연료전지_원본!$KB$4:$KB$369,0), MATCH(CM$4,연료전지_원본!$KB$4:$KX$4,0))*1000</f>
        <v>0</v>
      </c>
      <c r="CN321" s="250">
        <f>INDEX(연료전지_원본!$KB$4:$KX$369,MATCH($A321,연료전지_원본!$KB$4:$KB$369,0), MATCH(CN$4,연료전지_원본!$KB$4:$KX$4,0))*1000</f>
        <v>0</v>
      </c>
      <c r="CO321" s="250">
        <f>INDEX(연료전지_원본!$KB$4:$KX$369,MATCH($A321,연료전지_원본!$KB$4:$KB$369,0), MATCH(CO$4,연료전지_원본!$KB$4:$KX$4,0))*1000</f>
        <v>0</v>
      </c>
      <c r="CP321" s="250">
        <f>INDEX(연료전지_원본!$KB$4:$KX$369,MATCH($A321,연료전지_원본!$KB$4:$KB$369,0), MATCH(CP$4,연료전지_원본!$KB$4:$KX$4,0))*1000</f>
        <v>0</v>
      </c>
      <c r="CQ321" s="250">
        <f>INDEX(연료전지_원본!$KB$4:$KX$369,MATCH($A321,연료전지_원본!$KB$4:$KB$369,0), MATCH(CQ$4,연료전지_원본!$KB$4:$KX$4,0))*1000</f>
        <v>0</v>
      </c>
      <c r="CR321" s="250">
        <f>INDEX(연료전지_원본!$KB$4:$KX$369,MATCH($A321,연료전지_원본!$KB$4:$KB$369,0), MATCH(CR$4,연료전지_원본!$KB$4:$KX$4,0))*1000</f>
        <v>0</v>
      </c>
      <c r="CS321" s="250">
        <f>INDEX(연료전지_원본!$KB$4:$KX$369,MATCH($A321,연료전지_원본!$KB$4:$KB$369,0), MATCH(CS$4,연료전지_원본!$KB$4:$KX$4,0))*1000</f>
        <v>0</v>
      </c>
      <c r="CT321" s="250">
        <f>INDEX(연료전지_원본!$KB$4:$KX$369,MATCH($A321,연료전지_원본!$KB$4:$KB$369,0), MATCH(CT$4,연료전지_원본!$KB$4:$KX$4,0))*1000</f>
        <v>0</v>
      </c>
      <c r="CU321" s="250">
        <f>INDEX(연료전지_원본!$KB$4:$KX$369,MATCH($A321,연료전지_원본!$KB$4:$KB$369,0), MATCH(CU$4,연료전지_원본!$KB$4:$KX$4,0))*1000</f>
        <v>0</v>
      </c>
      <c r="CV321" s="250">
        <f>INDEX(연료전지_원본!$KB$4:$KX$369,MATCH($A321,연료전지_원본!$KB$4:$KB$369,0), MATCH(CV$4,연료전지_원본!$KB$4:$KX$4,0))*1000</f>
        <v>0</v>
      </c>
      <c r="CW321" s="250">
        <f>INDEX(연료전지_원본!$KB$4:$KX$369,MATCH($A321,연료전지_원본!$KB$4:$KB$369,0), MATCH(CW$4,연료전지_원본!$KB$4:$KX$4,0))*1000</f>
        <v>0</v>
      </c>
      <c r="CX321" s="250">
        <f>INDEX(연료전지_원본!$KB$4:$KX$369,MATCH($A321,연료전지_원본!$KB$4:$KB$369,0), MATCH(CX$4,연료전지_원본!$KB$4:$KX$4,0))*1000</f>
        <v>0</v>
      </c>
      <c r="CY321" s="250">
        <f>INDEX(연료전지_원본!$KB$4:$KX$369,MATCH($A321,연료전지_원본!$KB$4:$KB$369,0), MATCH(CY$4,연료전지_원본!$KB$4:$KX$4,0))*1000</f>
        <v>0</v>
      </c>
      <c r="DV321" s="30">
        <f t="shared" si="1616"/>
        <v>0</v>
      </c>
    </row>
    <row r="322" spans="1:126">
      <c r="A322" s="6">
        <v>46339</v>
      </c>
      <c r="B322" s="15">
        <f>운전실적_원본!B322</f>
        <v>0</v>
      </c>
      <c r="C322" s="16" t="str">
        <f t="shared" si="1622"/>
        <v/>
      </c>
      <c r="D322" s="12">
        <f>운전실적_원본!C322</f>
        <v>0</v>
      </c>
      <c r="E322" s="12" t="str">
        <f t="shared" si="1623"/>
        <v/>
      </c>
      <c r="F322" s="12">
        <f>운전실적_원본!D322</f>
        <v>0</v>
      </c>
      <c r="G322" s="16" t="str">
        <f t="shared" si="1624"/>
        <v/>
      </c>
      <c r="H322" s="15">
        <f>운전실적_원본!E322</f>
        <v>0</v>
      </c>
      <c r="I322" s="16" t="str">
        <f t="shared" si="1625"/>
        <v/>
      </c>
      <c r="J322" s="15">
        <f>운전실적_원본!F322</f>
        <v>0</v>
      </c>
      <c r="K322" s="16" t="str">
        <f t="shared" si="1625"/>
        <v/>
      </c>
      <c r="L322" s="32">
        <f>운전실적_원본!G322</f>
        <v>0</v>
      </c>
      <c r="M322" s="31" t="str">
        <f t="shared" ref="M322" si="1757">IF(OR(LEN(L322)=0,L322=0),"",L322-L321)</f>
        <v/>
      </c>
      <c r="N322" s="15">
        <f>운전실적_원본!H322</f>
        <v>0</v>
      </c>
      <c r="O322" s="16" t="str">
        <f t="shared" ref="O322" si="1758">IF(OR(LEN(N322)=0,N322=0),"",N322-N321)</f>
        <v/>
      </c>
      <c r="P322" s="15">
        <f>운전실적_원본!I322</f>
        <v>0</v>
      </c>
      <c r="Q322" s="16" t="str">
        <f t="shared" ref="Q322" si="1759">IF(OR(LEN(P322)=0,P322=0),"",P322-P321)</f>
        <v/>
      </c>
      <c r="R322" s="18">
        <f>운전실적_원본!J322</f>
        <v>0</v>
      </c>
      <c r="S322" s="19" t="str">
        <f t="shared" ref="S322" si="1760">IF(OR(LEN(R322)=0,R322=0),"",R322-R321)</f>
        <v/>
      </c>
      <c r="T322" s="18">
        <f>운전실적_원본!K322</f>
        <v>0</v>
      </c>
      <c r="U322" s="19" t="str">
        <f t="shared" si="1630"/>
        <v/>
      </c>
      <c r="V322" s="12">
        <f>운전실적_원본!L322</f>
        <v>0</v>
      </c>
      <c r="W322" s="16" t="str">
        <f t="shared" ref="W322" si="1761">IF(OR(LEN(V322)=0,V322=0),"",V322-V321)</f>
        <v/>
      </c>
      <c r="X322" s="10">
        <f>운전실적_원본!M322</f>
        <v>0</v>
      </c>
      <c r="Y322" s="10">
        <f>운전실적_원본!N322</f>
        <v>0</v>
      </c>
      <c r="Z322" s="10">
        <f>운전실적_원본!O322</f>
        <v>0</v>
      </c>
      <c r="AA322" s="10">
        <f>운전실적_원본!P322</f>
        <v>0</v>
      </c>
      <c r="AB322" s="10">
        <f>운전실적_원본!Q322</f>
        <v>0</v>
      </c>
      <c r="AC322" s="20">
        <f>운전실적_원본!R322</f>
        <v>0</v>
      </c>
      <c r="AD322" s="109">
        <f>운전실적_원본!S322</f>
        <v>0</v>
      </c>
      <c r="AE322" s="110">
        <f>운전실적_원본!T322</f>
        <v>0</v>
      </c>
      <c r="AF322" s="110">
        <f>운전실적_원본!U322</f>
        <v>0</v>
      </c>
      <c r="AG322" s="110">
        <f>운전실적_원본!V322</f>
        <v>0</v>
      </c>
      <c r="AH322" s="109">
        <f t="shared" si="1453"/>
        <v>0</v>
      </c>
      <c r="AI322" s="110">
        <f t="shared" si="1460"/>
        <v>0</v>
      </c>
      <c r="AJ322" s="110">
        <f>운전실적_원본!Y322</f>
        <v>0</v>
      </c>
      <c r="AK322" s="110">
        <f>운전실적_원본!Z322</f>
        <v>0</v>
      </c>
      <c r="AL322" s="106"/>
      <c r="AM322" s="105"/>
      <c r="AN322" s="105"/>
      <c r="AO322" s="105"/>
      <c r="AP322" s="105"/>
      <c r="AQ322" s="108"/>
      <c r="AR322" s="105"/>
      <c r="AS322" s="105"/>
      <c r="AT322" s="102"/>
      <c r="AU322" s="102"/>
      <c r="AV322" s="102"/>
      <c r="AW322" s="102"/>
      <c r="AX322" s="32">
        <f>운전실적_원본!W322</f>
        <v>0</v>
      </c>
      <c r="AY322" s="11">
        <f>운전실적_원본!X322</f>
        <v>0</v>
      </c>
      <c r="AZ322" s="11">
        <f>운전실적_원본!Y322</f>
        <v>0</v>
      </c>
      <c r="BA322" s="11">
        <f>운전실적_원본!Z322</f>
        <v>0</v>
      </c>
      <c r="BB322" s="11">
        <f>운전실적_원본!AA322</f>
        <v>0</v>
      </c>
      <c r="BC322" s="11">
        <f>운전실적_원본!AB322</f>
        <v>0</v>
      </c>
      <c r="BD322" s="32" t="str">
        <f t="shared" si="1446"/>
        <v>-</v>
      </c>
      <c r="BE322" s="11" t="str">
        <f t="shared" si="1454"/>
        <v>-</v>
      </c>
      <c r="BF322" s="11">
        <f>운전실적_원본!AE322</f>
        <v>0</v>
      </c>
      <c r="BG322" s="31">
        <f t="shared" si="1447"/>
        <v>0</v>
      </c>
      <c r="BH322" s="241">
        <f>INDEX(연료전지_원본!$A$4:$KY$369,MATCH($A322,연료전지_원본!$A$4:$A$369,0),MATCH($BH$4,연료전지_원본!$A$4:$KY$4,0))</f>
        <v>0</v>
      </c>
      <c r="BI322" s="241">
        <f>INDEX(연료전지_원본!$A$4:$KY$369,MATCH($A322,연료전지_원본!$A$4:$A$369,0),MATCH($BI$4,연료전지_원본!$A$4:$KY$4,0))</f>
        <v>0</v>
      </c>
      <c r="BJ322" s="241">
        <f>INDEX(연료전지_원본!$A$4:$KY$369,MATCH($A322,연료전지_원본!$A$4:$A$369,0),MATCH($BJ$4,연료전지_원본!$A$4:$KY$4,0))</f>
        <v>0</v>
      </c>
      <c r="BK322" s="241">
        <f>INDEX(연료전지_원본!$A$4:$KY$369,MATCH($A322,연료전지_원본!$A$4:$A$369,0),MATCH($BK$4,연료전지_원본!$A$4:$KY$4,0))</f>
        <v>0</v>
      </c>
      <c r="BL322" s="241">
        <f>INDEX(연료전지_원본!$A$4:$KY$369,MATCH($A322,연료전지_원본!$A$4:$A$369,0),MATCH($BL$4,연료전지_원본!$A$4:$KY$4,0))</f>
        <v>0</v>
      </c>
      <c r="BM322" s="241">
        <f>INDEX(연료전지_원본!$A$4:$KY$369,MATCH($A322,연료전지_원본!$A$4:$A$369,0),MATCH($BM$4,연료전지_원본!$A$4:$KY$4,0))</f>
        <v>0</v>
      </c>
      <c r="BN322" s="241">
        <f>INDEX(연료전지_원본!$A$4:$KY$369,MATCH($A322,연료전지_원본!$A$4:$A$369,0),MATCH($BN$4,연료전지_원본!$A$4:$KY$4,0))</f>
        <v>0</v>
      </c>
      <c r="BO322" s="241">
        <f>INDEX(연료전지_원본!$A$4:$KY$369,MATCH($A322,연료전지_원본!$A$4:$A$369,0),MATCH($BO$4,연료전지_원본!$A$4:$KY$4,0))</f>
        <v>0</v>
      </c>
      <c r="BP322" s="241">
        <f>INDEX(연료전지_원본!$A$4:$KY$369,MATCH($A322,연료전지_원본!$A$4:$A$369,0),MATCH($BP$4,연료전지_원본!$A$4:$KY$4,0))</f>
        <v>0</v>
      </c>
      <c r="BQ322" s="241">
        <f>INDEX(연료전지_원본!$A$4:$KY$369,MATCH($A322,연료전지_원본!$A$4:$A$369,0),MATCH($BQ$4,연료전지_원본!$A$4:$KY$4,0))</f>
        <v>0</v>
      </c>
      <c r="BR322" s="241">
        <f>INDEX(연료전지_원본!$A$4:$KY$369,MATCH($A322,연료전지_원본!$A$4:$A$369,0),MATCH($BR$4,연료전지_원본!$A$4:$KY$4,0))</f>
        <v>0</v>
      </c>
      <c r="BS322" s="241">
        <f>INDEX(연료전지_원본!$A$4:$KY$369,MATCH($A322,연료전지_원본!$A$4:$A$369,0),MATCH($BS$4,연료전지_원본!$A$4:$KY$4,0))</f>
        <v>0</v>
      </c>
      <c r="BT322" s="241">
        <f>INDEX(연료전지_원본!$A$4:$KY$369,MATCH($A322,연료전지_원본!$A$4:$A$369,0),MATCH($BT$4,연료전지_원본!$A$4:$KY$4,0))</f>
        <v>0</v>
      </c>
      <c r="BU322" s="241">
        <f>INDEX(연료전지_원본!$A$4:$KY$369,MATCH($A322,연료전지_원본!$A$4:$A$369,0),MATCH($BU$4,연료전지_원본!$A$4:$KY$4,0))</f>
        <v>0</v>
      </c>
      <c r="BV322" s="241">
        <f>INDEX(연료전지_원본!$A$4:$KY$369,MATCH($A322,연료전지_원본!$A$4:$A$369,0),MATCH($BV$4,연료전지_원본!$A$4:$KY$4,0))</f>
        <v>0</v>
      </c>
      <c r="BW322" s="241">
        <f>INDEX(연료전지_원본!$A$4:$KY$369,MATCH($A322,연료전지_원본!$A$4:$A$369,0),MATCH($BW$4,연료전지_원본!$A$4:$KY$4,0))</f>
        <v>0</v>
      </c>
      <c r="BX322" s="241">
        <f>INDEX(연료전지_원본!$A$4:$KY$369,MATCH($A322,연료전지_원본!$A$4:$A$369,0),MATCH($BX$4,연료전지_원본!$A$4:$KY$4,0))</f>
        <v>0</v>
      </c>
      <c r="BY322" s="241">
        <f>INDEX(연료전지_원본!$A$4:$KY$369,MATCH($A322,연료전지_원본!$A$4:$A$369,0),MATCH($BY$4,연료전지_원본!$A$4:$KY$4,0))</f>
        <v>0</v>
      </c>
      <c r="BZ322" s="241">
        <f>INDEX(연료전지_원본!$A$4:$KY$369,MATCH($A322,연료전지_원본!$A$4:$A$369,0),MATCH($BZ$4,연료전지_원본!$A$4:$KY$4,0))</f>
        <v>0</v>
      </c>
      <c r="CA322" s="241">
        <f>INDEX(연료전지_원본!$A$4:$KY$369,MATCH($A322,연료전지_원본!$A$4:$A$369,0),MATCH($CA$4,연료전지_원본!$A$4:$KY$4,0))</f>
        <v>0</v>
      </c>
      <c r="CB322" s="241">
        <f>INDEX(연료전지_원본!$A$4:$KY$369,MATCH($A322,연료전지_원본!$A$4:$A$369,0),MATCH($CB$4,연료전지_원본!$A$4:$KY$4,0))</f>
        <v>0</v>
      </c>
      <c r="CC322" s="242">
        <f>INDEX(연료전지_원본!$A$4:$KY$369,MATCH($A322,연료전지_원본!$A$4:$A$369,0),MATCH($CC$4,연료전지_원본!$A$4:$KY$4,0))</f>
        <v>0</v>
      </c>
      <c r="CD322" s="250">
        <f>INDEX(연료전지_원본!$KB$4:$KX$369,MATCH($A322,연료전지_원본!$KB$4:$KB$369,0), MATCH(CD$4,연료전지_원본!$KB$4:$KX$4,0))*1000</f>
        <v>0</v>
      </c>
      <c r="CE322" s="250">
        <f>INDEX(연료전지_원본!$KB$4:$KX$369,MATCH($A322,연료전지_원본!$KB$4:$KB$369,0), MATCH(CE$4,연료전지_원본!$KB$4:$KX$4,0))*1000</f>
        <v>0</v>
      </c>
      <c r="CF322" s="250">
        <f>INDEX(연료전지_원본!$KB$4:$KX$369,MATCH($A322,연료전지_원본!$KB$4:$KB$369,0), MATCH(CF$4,연료전지_원본!$KB$4:$KX$4,0))*1000</f>
        <v>0</v>
      </c>
      <c r="CG322" s="250">
        <f>INDEX(연료전지_원본!$KB$4:$KX$369,MATCH($A322,연료전지_원본!$KB$4:$KB$369,0), MATCH(CG$4,연료전지_원본!$KB$4:$KX$4,0))*1000</f>
        <v>0</v>
      </c>
      <c r="CH322" s="250">
        <f>INDEX(연료전지_원본!$KB$4:$KX$369,MATCH($A322,연료전지_원본!$KB$4:$KB$369,0), MATCH(CH$4,연료전지_원본!$KB$4:$KX$4,0))*1000</f>
        <v>0</v>
      </c>
      <c r="CI322" s="250">
        <f>INDEX(연료전지_원본!$KB$4:$KX$369,MATCH($A322,연료전지_원본!$KB$4:$KB$369,0), MATCH(CI$4,연료전지_원본!$KB$4:$KX$4,0))*1000</f>
        <v>0</v>
      </c>
      <c r="CJ322" s="250">
        <f>INDEX(연료전지_원본!$KB$4:$KX$369,MATCH($A322,연료전지_원본!$KB$4:$KB$369,0), MATCH(CJ$4,연료전지_원본!$KB$4:$KX$4,0))*1000</f>
        <v>0</v>
      </c>
      <c r="CK322" s="250">
        <f>INDEX(연료전지_원본!$KB$4:$KX$369,MATCH($A322,연료전지_원본!$KB$4:$KB$369,0), MATCH(CK$4,연료전지_원본!$KB$4:$KX$4,0))*1000</f>
        <v>0</v>
      </c>
      <c r="CL322" s="250">
        <f>INDEX(연료전지_원본!$KB$4:$KX$369,MATCH($A322,연료전지_원본!$KB$4:$KB$369,0), MATCH(CL$4,연료전지_원본!$KB$4:$KX$4,0))*1000</f>
        <v>0</v>
      </c>
      <c r="CM322" s="250">
        <f>INDEX(연료전지_원본!$KB$4:$KX$369,MATCH($A322,연료전지_원본!$KB$4:$KB$369,0), MATCH(CM$4,연료전지_원본!$KB$4:$KX$4,0))*1000</f>
        <v>0</v>
      </c>
      <c r="CN322" s="250">
        <f>INDEX(연료전지_원본!$KB$4:$KX$369,MATCH($A322,연료전지_원본!$KB$4:$KB$369,0), MATCH(CN$4,연료전지_원본!$KB$4:$KX$4,0))*1000</f>
        <v>0</v>
      </c>
      <c r="CO322" s="250">
        <f>INDEX(연료전지_원본!$KB$4:$KX$369,MATCH($A322,연료전지_원본!$KB$4:$KB$369,0), MATCH(CO$4,연료전지_원본!$KB$4:$KX$4,0))*1000</f>
        <v>0</v>
      </c>
      <c r="CP322" s="250">
        <f>INDEX(연료전지_원본!$KB$4:$KX$369,MATCH($A322,연료전지_원본!$KB$4:$KB$369,0), MATCH(CP$4,연료전지_원본!$KB$4:$KX$4,0))*1000</f>
        <v>0</v>
      </c>
      <c r="CQ322" s="250">
        <f>INDEX(연료전지_원본!$KB$4:$KX$369,MATCH($A322,연료전지_원본!$KB$4:$KB$369,0), MATCH(CQ$4,연료전지_원본!$KB$4:$KX$4,0))*1000</f>
        <v>0</v>
      </c>
      <c r="CR322" s="250">
        <f>INDEX(연료전지_원본!$KB$4:$KX$369,MATCH($A322,연료전지_원본!$KB$4:$KB$369,0), MATCH(CR$4,연료전지_원본!$KB$4:$KX$4,0))*1000</f>
        <v>0</v>
      </c>
      <c r="CS322" s="250">
        <f>INDEX(연료전지_원본!$KB$4:$KX$369,MATCH($A322,연료전지_원본!$KB$4:$KB$369,0), MATCH(CS$4,연료전지_원본!$KB$4:$KX$4,0))*1000</f>
        <v>0</v>
      </c>
      <c r="CT322" s="250">
        <f>INDEX(연료전지_원본!$KB$4:$KX$369,MATCH($A322,연료전지_원본!$KB$4:$KB$369,0), MATCH(CT$4,연료전지_원본!$KB$4:$KX$4,0))*1000</f>
        <v>0</v>
      </c>
      <c r="CU322" s="250">
        <f>INDEX(연료전지_원본!$KB$4:$KX$369,MATCH($A322,연료전지_원본!$KB$4:$KB$369,0), MATCH(CU$4,연료전지_원본!$KB$4:$KX$4,0))*1000</f>
        <v>0</v>
      </c>
      <c r="CV322" s="250">
        <f>INDEX(연료전지_원본!$KB$4:$KX$369,MATCH($A322,연료전지_원본!$KB$4:$KB$369,0), MATCH(CV$4,연료전지_원본!$KB$4:$KX$4,0))*1000</f>
        <v>0</v>
      </c>
      <c r="CW322" s="250">
        <f>INDEX(연료전지_원본!$KB$4:$KX$369,MATCH($A322,연료전지_원본!$KB$4:$KB$369,0), MATCH(CW$4,연료전지_원본!$KB$4:$KX$4,0))*1000</f>
        <v>0</v>
      </c>
      <c r="CX322" s="250">
        <f>INDEX(연료전지_원본!$KB$4:$KX$369,MATCH($A322,연료전지_원본!$KB$4:$KB$369,0), MATCH(CX$4,연료전지_원본!$KB$4:$KX$4,0))*1000</f>
        <v>0</v>
      </c>
      <c r="CY322" s="250">
        <f>INDEX(연료전지_원본!$KB$4:$KX$369,MATCH($A322,연료전지_원본!$KB$4:$KB$369,0), MATCH(CY$4,연료전지_원본!$KB$4:$KX$4,0))*1000</f>
        <v>0</v>
      </c>
      <c r="DV322" s="30">
        <f t="shared" si="1616"/>
        <v>0</v>
      </c>
    </row>
    <row r="323" spans="1:126">
      <c r="A323" s="6">
        <v>46340</v>
      </c>
      <c r="B323" s="15">
        <f>운전실적_원본!B323</f>
        <v>0</v>
      </c>
      <c r="C323" s="16" t="str">
        <f t="shared" si="1622"/>
        <v/>
      </c>
      <c r="D323" s="12">
        <f>운전실적_원본!C323</f>
        <v>0</v>
      </c>
      <c r="E323" s="12" t="str">
        <f t="shared" si="1623"/>
        <v/>
      </c>
      <c r="F323" s="12">
        <f>운전실적_원본!D323</f>
        <v>0</v>
      </c>
      <c r="G323" s="16" t="str">
        <f t="shared" si="1624"/>
        <v/>
      </c>
      <c r="H323" s="15">
        <f>운전실적_원본!E323</f>
        <v>0</v>
      </c>
      <c r="I323" s="16" t="str">
        <f t="shared" si="1625"/>
        <v/>
      </c>
      <c r="J323" s="15">
        <f>운전실적_원본!F323</f>
        <v>0</v>
      </c>
      <c r="K323" s="16" t="str">
        <f t="shared" si="1625"/>
        <v/>
      </c>
      <c r="L323" s="32">
        <f>운전실적_원본!G323</f>
        <v>0</v>
      </c>
      <c r="M323" s="31" t="str">
        <f t="shared" ref="M323" si="1762">IF(OR(LEN(L323)=0,L323=0),"",L323-L322)</f>
        <v/>
      </c>
      <c r="N323" s="15">
        <f>운전실적_원본!H323</f>
        <v>0</v>
      </c>
      <c r="O323" s="16" t="str">
        <f t="shared" ref="O323" si="1763">IF(OR(LEN(N323)=0,N323=0),"",N323-N322)</f>
        <v/>
      </c>
      <c r="P323" s="15">
        <f>운전실적_원본!I323</f>
        <v>0</v>
      </c>
      <c r="Q323" s="16" t="str">
        <f t="shared" ref="Q323" si="1764">IF(OR(LEN(P323)=0,P323=0),"",P323-P322)</f>
        <v/>
      </c>
      <c r="R323" s="18">
        <f>운전실적_원본!J323</f>
        <v>0</v>
      </c>
      <c r="S323" s="19" t="str">
        <f t="shared" ref="S323" si="1765">IF(OR(LEN(R323)=0,R323=0),"",R323-R322)</f>
        <v/>
      </c>
      <c r="T323" s="18">
        <f>운전실적_원본!K323</f>
        <v>0</v>
      </c>
      <c r="U323" s="19" t="str">
        <f t="shared" si="1630"/>
        <v/>
      </c>
      <c r="V323" s="12">
        <f>운전실적_원본!L323</f>
        <v>0</v>
      </c>
      <c r="W323" s="16" t="str">
        <f t="shared" ref="W323" si="1766">IF(OR(LEN(V323)=0,V323=0),"",V323-V322)</f>
        <v/>
      </c>
      <c r="X323" s="10">
        <f>운전실적_원본!M323</f>
        <v>0</v>
      </c>
      <c r="Y323" s="10">
        <f>운전실적_원본!N323</f>
        <v>0</v>
      </c>
      <c r="Z323" s="10">
        <f>운전실적_원본!O323</f>
        <v>0</v>
      </c>
      <c r="AA323" s="10">
        <f>운전실적_원본!P323</f>
        <v>0</v>
      </c>
      <c r="AB323" s="10">
        <f>운전실적_원본!Q323</f>
        <v>0</v>
      </c>
      <c r="AC323" s="20">
        <f>운전실적_원본!R323</f>
        <v>0</v>
      </c>
      <c r="AD323" s="109">
        <f>운전실적_원본!S323</f>
        <v>0</v>
      </c>
      <c r="AE323" s="110">
        <f>운전실적_원본!T323</f>
        <v>0</v>
      </c>
      <c r="AF323" s="110">
        <f>운전실적_원본!U323</f>
        <v>0</v>
      </c>
      <c r="AG323" s="110">
        <f>운전실적_원본!V323</f>
        <v>0</v>
      </c>
      <c r="AH323" s="109">
        <f t="shared" si="1453"/>
        <v>0</v>
      </c>
      <c r="AI323" s="110">
        <f t="shared" si="1460"/>
        <v>0</v>
      </c>
      <c r="AJ323" s="110">
        <f>운전실적_원본!Y323</f>
        <v>0</v>
      </c>
      <c r="AK323" s="110">
        <f>운전실적_원본!Z323</f>
        <v>0</v>
      </c>
      <c r="AL323" s="106"/>
      <c r="AM323" s="105"/>
      <c r="AN323" s="105"/>
      <c r="AO323" s="105"/>
      <c r="AP323" s="105"/>
      <c r="AQ323" s="108"/>
      <c r="AR323" s="105"/>
      <c r="AS323" s="105"/>
      <c r="AT323" s="102"/>
      <c r="AU323" s="102"/>
      <c r="AV323" s="102"/>
      <c r="AW323" s="102"/>
      <c r="AX323" s="32">
        <f>운전실적_원본!W323</f>
        <v>0</v>
      </c>
      <c r="AY323" s="11">
        <f>운전실적_원본!X323</f>
        <v>0</v>
      </c>
      <c r="AZ323" s="11">
        <f>운전실적_원본!Y323</f>
        <v>0</v>
      </c>
      <c r="BA323" s="11">
        <f>운전실적_원본!Z323</f>
        <v>0</v>
      </c>
      <c r="BB323" s="11">
        <f>운전실적_원본!AA323</f>
        <v>0</v>
      </c>
      <c r="BC323" s="11">
        <f>운전실적_원본!AB323</f>
        <v>0</v>
      </c>
      <c r="BD323" s="32" t="str">
        <f t="shared" si="1446"/>
        <v>-</v>
      </c>
      <c r="BE323" s="11" t="str">
        <f t="shared" si="1454"/>
        <v>-</v>
      </c>
      <c r="BF323" s="11">
        <f>운전실적_원본!AE323</f>
        <v>0</v>
      </c>
      <c r="BG323" s="31">
        <f t="shared" si="1447"/>
        <v>0</v>
      </c>
      <c r="BH323" s="241">
        <f>INDEX(연료전지_원본!$A$4:$KY$369,MATCH($A323,연료전지_원본!$A$4:$A$369,0),MATCH($BH$4,연료전지_원본!$A$4:$KY$4,0))</f>
        <v>0</v>
      </c>
      <c r="BI323" s="241">
        <f>INDEX(연료전지_원본!$A$4:$KY$369,MATCH($A323,연료전지_원본!$A$4:$A$369,0),MATCH($BI$4,연료전지_원본!$A$4:$KY$4,0))</f>
        <v>0</v>
      </c>
      <c r="BJ323" s="241">
        <f>INDEX(연료전지_원본!$A$4:$KY$369,MATCH($A323,연료전지_원본!$A$4:$A$369,0),MATCH($BJ$4,연료전지_원본!$A$4:$KY$4,0))</f>
        <v>0</v>
      </c>
      <c r="BK323" s="241">
        <f>INDEX(연료전지_원본!$A$4:$KY$369,MATCH($A323,연료전지_원본!$A$4:$A$369,0),MATCH($BK$4,연료전지_원본!$A$4:$KY$4,0))</f>
        <v>0</v>
      </c>
      <c r="BL323" s="241">
        <f>INDEX(연료전지_원본!$A$4:$KY$369,MATCH($A323,연료전지_원본!$A$4:$A$369,0),MATCH($BL$4,연료전지_원본!$A$4:$KY$4,0))</f>
        <v>0</v>
      </c>
      <c r="BM323" s="241">
        <f>INDEX(연료전지_원본!$A$4:$KY$369,MATCH($A323,연료전지_원본!$A$4:$A$369,0),MATCH($BM$4,연료전지_원본!$A$4:$KY$4,0))</f>
        <v>0</v>
      </c>
      <c r="BN323" s="241">
        <f>INDEX(연료전지_원본!$A$4:$KY$369,MATCH($A323,연료전지_원본!$A$4:$A$369,0),MATCH($BN$4,연료전지_원본!$A$4:$KY$4,0))</f>
        <v>0</v>
      </c>
      <c r="BO323" s="241">
        <f>INDEX(연료전지_원본!$A$4:$KY$369,MATCH($A323,연료전지_원본!$A$4:$A$369,0),MATCH($BO$4,연료전지_원본!$A$4:$KY$4,0))</f>
        <v>0</v>
      </c>
      <c r="BP323" s="241">
        <f>INDEX(연료전지_원본!$A$4:$KY$369,MATCH($A323,연료전지_원본!$A$4:$A$369,0),MATCH($BP$4,연료전지_원본!$A$4:$KY$4,0))</f>
        <v>0</v>
      </c>
      <c r="BQ323" s="241">
        <f>INDEX(연료전지_원본!$A$4:$KY$369,MATCH($A323,연료전지_원본!$A$4:$A$369,0),MATCH($BQ$4,연료전지_원본!$A$4:$KY$4,0))</f>
        <v>0</v>
      </c>
      <c r="BR323" s="241">
        <f>INDEX(연료전지_원본!$A$4:$KY$369,MATCH($A323,연료전지_원본!$A$4:$A$369,0),MATCH($BR$4,연료전지_원본!$A$4:$KY$4,0))</f>
        <v>0</v>
      </c>
      <c r="BS323" s="241">
        <f>INDEX(연료전지_원본!$A$4:$KY$369,MATCH($A323,연료전지_원본!$A$4:$A$369,0),MATCH($BS$4,연료전지_원본!$A$4:$KY$4,0))</f>
        <v>0</v>
      </c>
      <c r="BT323" s="241">
        <f>INDEX(연료전지_원본!$A$4:$KY$369,MATCH($A323,연료전지_원본!$A$4:$A$369,0),MATCH($BT$4,연료전지_원본!$A$4:$KY$4,0))</f>
        <v>0</v>
      </c>
      <c r="BU323" s="241">
        <f>INDEX(연료전지_원본!$A$4:$KY$369,MATCH($A323,연료전지_원본!$A$4:$A$369,0),MATCH($BU$4,연료전지_원본!$A$4:$KY$4,0))</f>
        <v>0</v>
      </c>
      <c r="BV323" s="241">
        <f>INDEX(연료전지_원본!$A$4:$KY$369,MATCH($A323,연료전지_원본!$A$4:$A$369,0),MATCH($BV$4,연료전지_원본!$A$4:$KY$4,0))</f>
        <v>0</v>
      </c>
      <c r="BW323" s="241">
        <f>INDEX(연료전지_원본!$A$4:$KY$369,MATCH($A323,연료전지_원본!$A$4:$A$369,0),MATCH($BW$4,연료전지_원본!$A$4:$KY$4,0))</f>
        <v>0</v>
      </c>
      <c r="BX323" s="241">
        <f>INDEX(연료전지_원본!$A$4:$KY$369,MATCH($A323,연료전지_원본!$A$4:$A$369,0),MATCH($BX$4,연료전지_원본!$A$4:$KY$4,0))</f>
        <v>0</v>
      </c>
      <c r="BY323" s="241">
        <f>INDEX(연료전지_원본!$A$4:$KY$369,MATCH($A323,연료전지_원본!$A$4:$A$369,0),MATCH($BY$4,연료전지_원본!$A$4:$KY$4,0))</f>
        <v>0</v>
      </c>
      <c r="BZ323" s="241">
        <f>INDEX(연료전지_원본!$A$4:$KY$369,MATCH($A323,연료전지_원본!$A$4:$A$369,0),MATCH($BZ$4,연료전지_원본!$A$4:$KY$4,0))</f>
        <v>0</v>
      </c>
      <c r="CA323" s="241">
        <f>INDEX(연료전지_원본!$A$4:$KY$369,MATCH($A323,연료전지_원본!$A$4:$A$369,0),MATCH($CA$4,연료전지_원본!$A$4:$KY$4,0))</f>
        <v>0</v>
      </c>
      <c r="CB323" s="241">
        <f>INDEX(연료전지_원본!$A$4:$KY$369,MATCH($A323,연료전지_원본!$A$4:$A$369,0),MATCH($CB$4,연료전지_원본!$A$4:$KY$4,0))</f>
        <v>0</v>
      </c>
      <c r="CC323" s="242">
        <f>INDEX(연료전지_원본!$A$4:$KY$369,MATCH($A323,연료전지_원본!$A$4:$A$369,0),MATCH($CC$4,연료전지_원본!$A$4:$KY$4,0))</f>
        <v>0</v>
      </c>
      <c r="CD323" s="250">
        <f>INDEX(연료전지_원본!$KB$4:$KX$369,MATCH($A323,연료전지_원본!$KB$4:$KB$369,0), MATCH(CD$4,연료전지_원본!$KB$4:$KX$4,0))*1000</f>
        <v>0</v>
      </c>
      <c r="CE323" s="250">
        <f>INDEX(연료전지_원본!$KB$4:$KX$369,MATCH($A323,연료전지_원본!$KB$4:$KB$369,0), MATCH(CE$4,연료전지_원본!$KB$4:$KX$4,0))*1000</f>
        <v>0</v>
      </c>
      <c r="CF323" s="250">
        <f>INDEX(연료전지_원본!$KB$4:$KX$369,MATCH($A323,연료전지_원본!$KB$4:$KB$369,0), MATCH(CF$4,연료전지_원본!$KB$4:$KX$4,0))*1000</f>
        <v>0</v>
      </c>
      <c r="CG323" s="250">
        <f>INDEX(연료전지_원본!$KB$4:$KX$369,MATCH($A323,연료전지_원본!$KB$4:$KB$369,0), MATCH(CG$4,연료전지_원본!$KB$4:$KX$4,0))*1000</f>
        <v>0</v>
      </c>
      <c r="CH323" s="250">
        <f>INDEX(연료전지_원본!$KB$4:$KX$369,MATCH($A323,연료전지_원본!$KB$4:$KB$369,0), MATCH(CH$4,연료전지_원본!$KB$4:$KX$4,0))*1000</f>
        <v>0</v>
      </c>
      <c r="CI323" s="250">
        <f>INDEX(연료전지_원본!$KB$4:$KX$369,MATCH($A323,연료전지_원본!$KB$4:$KB$369,0), MATCH(CI$4,연료전지_원본!$KB$4:$KX$4,0))*1000</f>
        <v>0</v>
      </c>
      <c r="CJ323" s="250">
        <f>INDEX(연료전지_원본!$KB$4:$KX$369,MATCH($A323,연료전지_원본!$KB$4:$KB$369,0), MATCH(CJ$4,연료전지_원본!$KB$4:$KX$4,0))*1000</f>
        <v>0</v>
      </c>
      <c r="CK323" s="250">
        <f>INDEX(연료전지_원본!$KB$4:$KX$369,MATCH($A323,연료전지_원본!$KB$4:$KB$369,0), MATCH(CK$4,연료전지_원본!$KB$4:$KX$4,0))*1000</f>
        <v>0</v>
      </c>
      <c r="CL323" s="250">
        <f>INDEX(연료전지_원본!$KB$4:$KX$369,MATCH($A323,연료전지_원본!$KB$4:$KB$369,0), MATCH(CL$4,연료전지_원본!$KB$4:$KX$4,0))*1000</f>
        <v>0</v>
      </c>
      <c r="CM323" s="250">
        <f>INDEX(연료전지_원본!$KB$4:$KX$369,MATCH($A323,연료전지_원본!$KB$4:$KB$369,0), MATCH(CM$4,연료전지_원본!$KB$4:$KX$4,0))*1000</f>
        <v>0</v>
      </c>
      <c r="CN323" s="250">
        <f>INDEX(연료전지_원본!$KB$4:$KX$369,MATCH($A323,연료전지_원본!$KB$4:$KB$369,0), MATCH(CN$4,연료전지_원본!$KB$4:$KX$4,0))*1000</f>
        <v>0</v>
      </c>
      <c r="CO323" s="250">
        <f>INDEX(연료전지_원본!$KB$4:$KX$369,MATCH($A323,연료전지_원본!$KB$4:$KB$369,0), MATCH(CO$4,연료전지_원본!$KB$4:$KX$4,0))*1000</f>
        <v>0</v>
      </c>
      <c r="CP323" s="250">
        <f>INDEX(연료전지_원본!$KB$4:$KX$369,MATCH($A323,연료전지_원본!$KB$4:$KB$369,0), MATCH(CP$4,연료전지_원본!$KB$4:$KX$4,0))*1000</f>
        <v>0</v>
      </c>
      <c r="CQ323" s="250">
        <f>INDEX(연료전지_원본!$KB$4:$KX$369,MATCH($A323,연료전지_원본!$KB$4:$KB$369,0), MATCH(CQ$4,연료전지_원본!$KB$4:$KX$4,0))*1000</f>
        <v>0</v>
      </c>
      <c r="CR323" s="250">
        <f>INDEX(연료전지_원본!$KB$4:$KX$369,MATCH($A323,연료전지_원본!$KB$4:$KB$369,0), MATCH(CR$4,연료전지_원본!$KB$4:$KX$4,0))*1000</f>
        <v>0</v>
      </c>
      <c r="CS323" s="250">
        <f>INDEX(연료전지_원본!$KB$4:$KX$369,MATCH($A323,연료전지_원본!$KB$4:$KB$369,0), MATCH(CS$4,연료전지_원본!$KB$4:$KX$4,0))*1000</f>
        <v>0</v>
      </c>
      <c r="CT323" s="250">
        <f>INDEX(연료전지_원본!$KB$4:$KX$369,MATCH($A323,연료전지_원본!$KB$4:$KB$369,0), MATCH(CT$4,연료전지_원본!$KB$4:$KX$4,0))*1000</f>
        <v>0</v>
      </c>
      <c r="CU323" s="250">
        <f>INDEX(연료전지_원본!$KB$4:$KX$369,MATCH($A323,연료전지_원본!$KB$4:$KB$369,0), MATCH(CU$4,연료전지_원본!$KB$4:$KX$4,0))*1000</f>
        <v>0</v>
      </c>
      <c r="CV323" s="250">
        <f>INDEX(연료전지_원본!$KB$4:$KX$369,MATCH($A323,연료전지_원본!$KB$4:$KB$369,0), MATCH(CV$4,연료전지_원본!$KB$4:$KX$4,0))*1000</f>
        <v>0</v>
      </c>
      <c r="CW323" s="250">
        <f>INDEX(연료전지_원본!$KB$4:$KX$369,MATCH($A323,연료전지_원본!$KB$4:$KB$369,0), MATCH(CW$4,연료전지_원본!$KB$4:$KX$4,0))*1000</f>
        <v>0</v>
      </c>
      <c r="CX323" s="250">
        <f>INDEX(연료전지_원본!$KB$4:$KX$369,MATCH($A323,연료전지_원본!$KB$4:$KB$369,0), MATCH(CX$4,연료전지_원본!$KB$4:$KX$4,0))*1000</f>
        <v>0</v>
      </c>
      <c r="CY323" s="250">
        <f>INDEX(연료전지_원본!$KB$4:$KX$369,MATCH($A323,연료전지_원본!$KB$4:$KB$369,0), MATCH(CY$4,연료전지_원본!$KB$4:$KX$4,0))*1000</f>
        <v>0</v>
      </c>
      <c r="DV323" s="30">
        <f t="shared" si="1616"/>
        <v>0</v>
      </c>
    </row>
    <row r="324" spans="1:126">
      <c r="A324" s="6">
        <v>46341</v>
      </c>
      <c r="B324" s="15">
        <f>운전실적_원본!B324</f>
        <v>0</v>
      </c>
      <c r="C324" s="16" t="str">
        <f t="shared" si="1622"/>
        <v/>
      </c>
      <c r="D324" s="12">
        <f>운전실적_원본!C324</f>
        <v>0</v>
      </c>
      <c r="E324" s="12" t="str">
        <f t="shared" si="1623"/>
        <v/>
      </c>
      <c r="F324" s="12">
        <f>운전실적_원본!D324</f>
        <v>0</v>
      </c>
      <c r="G324" s="16" t="str">
        <f t="shared" si="1624"/>
        <v/>
      </c>
      <c r="H324" s="15">
        <f>운전실적_원본!E324</f>
        <v>0</v>
      </c>
      <c r="I324" s="16" t="str">
        <f t="shared" si="1625"/>
        <v/>
      </c>
      <c r="J324" s="15">
        <f>운전실적_원본!F324</f>
        <v>0</v>
      </c>
      <c r="K324" s="16" t="str">
        <f t="shared" si="1625"/>
        <v/>
      </c>
      <c r="L324" s="32">
        <f>운전실적_원본!G324</f>
        <v>0</v>
      </c>
      <c r="M324" s="31" t="str">
        <f t="shared" ref="M324" si="1767">IF(OR(LEN(L324)=0,L324=0),"",L324-L323)</f>
        <v/>
      </c>
      <c r="N324" s="15">
        <f>운전실적_원본!H324</f>
        <v>0</v>
      </c>
      <c r="O324" s="16" t="str">
        <f t="shared" ref="O324" si="1768">IF(OR(LEN(N324)=0,N324=0),"",N324-N323)</f>
        <v/>
      </c>
      <c r="P324" s="15">
        <f>운전실적_원본!I324</f>
        <v>0</v>
      </c>
      <c r="Q324" s="16" t="str">
        <f t="shared" ref="Q324" si="1769">IF(OR(LEN(P324)=0,P324=0),"",P324-P323)</f>
        <v/>
      </c>
      <c r="R324" s="18">
        <f>운전실적_원본!J324</f>
        <v>0</v>
      </c>
      <c r="S324" s="19" t="str">
        <f t="shared" ref="S324" si="1770">IF(OR(LEN(R324)=0,R324=0),"",R324-R323)</f>
        <v/>
      </c>
      <c r="T324" s="18">
        <f>운전실적_원본!K324</f>
        <v>0</v>
      </c>
      <c r="U324" s="19" t="str">
        <f t="shared" si="1630"/>
        <v/>
      </c>
      <c r="V324" s="12">
        <f>운전실적_원본!L324</f>
        <v>0</v>
      </c>
      <c r="W324" s="16" t="str">
        <f t="shared" ref="W324" si="1771">IF(OR(LEN(V324)=0,V324=0),"",V324-V323)</f>
        <v/>
      </c>
      <c r="X324" s="10">
        <f>운전실적_원본!M324</f>
        <v>0</v>
      </c>
      <c r="Y324" s="10">
        <f>운전실적_원본!N324</f>
        <v>0</v>
      </c>
      <c r="Z324" s="10">
        <f>운전실적_원본!O324</f>
        <v>0</v>
      </c>
      <c r="AA324" s="10">
        <f>운전실적_원본!P324</f>
        <v>0</v>
      </c>
      <c r="AB324" s="10">
        <f>운전실적_원본!Q324</f>
        <v>0</v>
      </c>
      <c r="AC324" s="20">
        <f>운전실적_원본!R324</f>
        <v>0</v>
      </c>
      <c r="AD324" s="109">
        <f>운전실적_원본!S324</f>
        <v>0</v>
      </c>
      <c r="AE324" s="110">
        <f>운전실적_원본!T324</f>
        <v>0</v>
      </c>
      <c r="AF324" s="110">
        <f>운전실적_원본!U324</f>
        <v>0</v>
      </c>
      <c r="AG324" s="110">
        <f>운전실적_원본!V324</f>
        <v>0</v>
      </c>
      <c r="AH324" s="109">
        <f t="shared" si="1453"/>
        <v>0</v>
      </c>
      <c r="AI324" s="110">
        <f t="shared" si="1460"/>
        <v>0</v>
      </c>
      <c r="AJ324" s="110">
        <f>운전실적_원본!Y324</f>
        <v>0</v>
      </c>
      <c r="AK324" s="110">
        <f>운전실적_원본!Z324</f>
        <v>0</v>
      </c>
      <c r="AL324" s="106"/>
      <c r="AM324" s="105"/>
      <c r="AN324" s="105"/>
      <c r="AO324" s="105"/>
      <c r="AP324" s="105"/>
      <c r="AQ324" s="108"/>
      <c r="AR324" s="105"/>
      <c r="AS324" s="105"/>
      <c r="AT324" s="102"/>
      <c r="AU324" s="102"/>
      <c r="AV324" s="102"/>
      <c r="AW324" s="102"/>
      <c r="AX324" s="32">
        <f>운전실적_원본!W324</f>
        <v>0</v>
      </c>
      <c r="AY324" s="11">
        <f>운전실적_원본!X324</f>
        <v>0</v>
      </c>
      <c r="AZ324" s="11">
        <f>운전실적_원본!Y324</f>
        <v>0</v>
      </c>
      <c r="BA324" s="11">
        <f>운전실적_원본!Z324</f>
        <v>0</v>
      </c>
      <c r="BB324" s="11">
        <f>운전실적_원본!AA324</f>
        <v>0</v>
      </c>
      <c r="BC324" s="11">
        <f>운전실적_원본!AB324</f>
        <v>0</v>
      </c>
      <c r="BD324" s="32" t="str">
        <f t="shared" si="1446"/>
        <v>-</v>
      </c>
      <c r="BE324" s="11" t="str">
        <f t="shared" si="1454"/>
        <v>-</v>
      </c>
      <c r="BF324" s="11">
        <f>운전실적_원본!AE324</f>
        <v>0</v>
      </c>
      <c r="BG324" s="31">
        <f t="shared" si="1447"/>
        <v>0</v>
      </c>
      <c r="BH324" s="241">
        <f>INDEX(연료전지_원본!$A$4:$KY$369,MATCH($A324,연료전지_원본!$A$4:$A$369,0),MATCH($BH$4,연료전지_원본!$A$4:$KY$4,0))</f>
        <v>0</v>
      </c>
      <c r="BI324" s="241">
        <f>INDEX(연료전지_원본!$A$4:$KY$369,MATCH($A324,연료전지_원본!$A$4:$A$369,0),MATCH($BI$4,연료전지_원본!$A$4:$KY$4,0))</f>
        <v>0</v>
      </c>
      <c r="BJ324" s="241">
        <f>INDEX(연료전지_원본!$A$4:$KY$369,MATCH($A324,연료전지_원본!$A$4:$A$369,0),MATCH($BJ$4,연료전지_원본!$A$4:$KY$4,0))</f>
        <v>0</v>
      </c>
      <c r="BK324" s="241">
        <f>INDEX(연료전지_원본!$A$4:$KY$369,MATCH($A324,연료전지_원본!$A$4:$A$369,0),MATCH($BK$4,연료전지_원본!$A$4:$KY$4,0))</f>
        <v>0</v>
      </c>
      <c r="BL324" s="241">
        <f>INDEX(연료전지_원본!$A$4:$KY$369,MATCH($A324,연료전지_원본!$A$4:$A$369,0),MATCH($BL$4,연료전지_원본!$A$4:$KY$4,0))</f>
        <v>0</v>
      </c>
      <c r="BM324" s="241">
        <f>INDEX(연료전지_원본!$A$4:$KY$369,MATCH($A324,연료전지_원본!$A$4:$A$369,0),MATCH($BM$4,연료전지_원본!$A$4:$KY$4,0))</f>
        <v>0</v>
      </c>
      <c r="BN324" s="241">
        <f>INDEX(연료전지_원본!$A$4:$KY$369,MATCH($A324,연료전지_원본!$A$4:$A$369,0),MATCH($BN$4,연료전지_원본!$A$4:$KY$4,0))</f>
        <v>0</v>
      </c>
      <c r="BO324" s="241">
        <f>INDEX(연료전지_원본!$A$4:$KY$369,MATCH($A324,연료전지_원본!$A$4:$A$369,0),MATCH($BO$4,연료전지_원본!$A$4:$KY$4,0))</f>
        <v>0</v>
      </c>
      <c r="BP324" s="241">
        <f>INDEX(연료전지_원본!$A$4:$KY$369,MATCH($A324,연료전지_원본!$A$4:$A$369,0),MATCH($BP$4,연료전지_원본!$A$4:$KY$4,0))</f>
        <v>0</v>
      </c>
      <c r="BQ324" s="241">
        <f>INDEX(연료전지_원본!$A$4:$KY$369,MATCH($A324,연료전지_원본!$A$4:$A$369,0),MATCH($BQ$4,연료전지_원본!$A$4:$KY$4,0))</f>
        <v>0</v>
      </c>
      <c r="BR324" s="241">
        <f>INDEX(연료전지_원본!$A$4:$KY$369,MATCH($A324,연료전지_원본!$A$4:$A$369,0),MATCH($BR$4,연료전지_원본!$A$4:$KY$4,0))</f>
        <v>0</v>
      </c>
      <c r="BS324" s="241">
        <f>INDEX(연료전지_원본!$A$4:$KY$369,MATCH($A324,연료전지_원본!$A$4:$A$369,0),MATCH($BS$4,연료전지_원본!$A$4:$KY$4,0))</f>
        <v>0</v>
      </c>
      <c r="BT324" s="241">
        <f>INDEX(연료전지_원본!$A$4:$KY$369,MATCH($A324,연료전지_원본!$A$4:$A$369,0),MATCH($BT$4,연료전지_원본!$A$4:$KY$4,0))</f>
        <v>0</v>
      </c>
      <c r="BU324" s="241">
        <f>INDEX(연료전지_원본!$A$4:$KY$369,MATCH($A324,연료전지_원본!$A$4:$A$369,0),MATCH($BU$4,연료전지_원본!$A$4:$KY$4,0))</f>
        <v>0</v>
      </c>
      <c r="BV324" s="241">
        <f>INDEX(연료전지_원본!$A$4:$KY$369,MATCH($A324,연료전지_원본!$A$4:$A$369,0),MATCH($BV$4,연료전지_원본!$A$4:$KY$4,0))</f>
        <v>0</v>
      </c>
      <c r="BW324" s="241">
        <f>INDEX(연료전지_원본!$A$4:$KY$369,MATCH($A324,연료전지_원본!$A$4:$A$369,0),MATCH($BW$4,연료전지_원본!$A$4:$KY$4,0))</f>
        <v>0</v>
      </c>
      <c r="BX324" s="241">
        <f>INDEX(연료전지_원본!$A$4:$KY$369,MATCH($A324,연료전지_원본!$A$4:$A$369,0),MATCH($BX$4,연료전지_원본!$A$4:$KY$4,0))</f>
        <v>0</v>
      </c>
      <c r="BY324" s="241">
        <f>INDEX(연료전지_원본!$A$4:$KY$369,MATCH($A324,연료전지_원본!$A$4:$A$369,0),MATCH($BY$4,연료전지_원본!$A$4:$KY$4,0))</f>
        <v>0</v>
      </c>
      <c r="BZ324" s="241">
        <f>INDEX(연료전지_원본!$A$4:$KY$369,MATCH($A324,연료전지_원본!$A$4:$A$369,0),MATCH($BZ$4,연료전지_원본!$A$4:$KY$4,0))</f>
        <v>0</v>
      </c>
      <c r="CA324" s="241">
        <f>INDEX(연료전지_원본!$A$4:$KY$369,MATCH($A324,연료전지_원본!$A$4:$A$369,0),MATCH($CA$4,연료전지_원본!$A$4:$KY$4,0))</f>
        <v>0</v>
      </c>
      <c r="CB324" s="241">
        <f>INDEX(연료전지_원본!$A$4:$KY$369,MATCH($A324,연료전지_원본!$A$4:$A$369,0),MATCH($CB$4,연료전지_원본!$A$4:$KY$4,0))</f>
        <v>0</v>
      </c>
      <c r="CC324" s="242">
        <f>INDEX(연료전지_원본!$A$4:$KY$369,MATCH($A324,연료전지_원본!$A$4:$A$369,0),MATCH($CC$4,연료전지_원본!$A$4:$KY$4,0))</f>
        <v>0</v>
      </c>
      <c r="CD324" s="250">
        <f>INDEX(연료전지_원본!$KB$4:$KX$369,MATCH($A324,연료전지_원본!$KB$4:$KB$369,0), MATCH(CD$4,연료전지_원본!$KB$4:$KX$4,0))*1000</f>
        <v>0</v>
      </c>
      <c r="CE324" s="250">
        <f>INDEX(연료전지_원본!$KB$4:$KX$369,MATCH($A324,연료전지_원본!$KB$4:$KB$369,0), MATCH(CE$4,연료전지_원본!$KB$4:$KX$4,0))*1000</f>
        <v>0</v>
      </c>
      <c r="CF324" s="250">
        <f>INDEX(연료전지_원본!$KB$4:$KX$369,MATCH($A324,연료전지_원본!$KB$4:$KB$369,0), MATCH(CF$4,연료전지_원본!$KB$4:$KX$4,0))*1000</f>
        <v>0</v>
      </c>
      <c r="CG324" s="250">
        <f>INDEX(연료전지_원본!$KB$4:$KX$369,MATCH($A324,연료전지_원본!$KB$4:$KB$369,0), MATCH(CG$4,연료전지_원본!$KB$4:$KX$4,0))*1000</f>
        <v>0</v>
      </c>
      <c r="CH324" s="250">
        <f>INDEX(연료전지_원본!$KB$4:$KX$369,MATCH($A324,연료전지_원본!$KB$4:$KB$369,0), MATCH(CH$4,연료전지_원본!$KB$4:$KX$4,0))*1000</f>
        <v>0</v>
      </c>
      <c r="CI324" s="250">
        <f>INDEX(연료전지_원본!$KB$4:$KX$369,MATCH($A324,연료전지_원본!$KB$4:$KB$369,0), MATCH(CI$4,연료전지_원본!$KB$4:$KX$4,0))*1000</f>
        <v>0</v>
      </c>
      <c r="CJ324" s="250">
        <f>INDEX(연료전지_원본!$KB$4:$KX$369,MATCH($A324,연료전지_원본!$KB$4:$KB$369,0), MATCH(CJ$4,연료전지_원본!$KB$4:$KX$4,0))*1000</f>
        <v>0</v>
      </c>
      <c r="CK324" s="250">
        <f>INDEX(연료전지_원본!$KB$4:$KX$369,MATCH($A324,연료전지_원본!$KB$4:$KB$369,0), MATCH(CK$4,연료전지_원본!$KB$4:$KX$4,0))*1000</f>
        <v>0</v>
      </c>
      <c r="CL324" s="250">
        <f>INDEX(연료전지_원본!$KB$4:$KX$369,MATCH($A324,연료전지_원본!$KB$4:$KB$369,0), MATCH(CL$4,연료전지_원본!$KB$4:$KX$4,0))*1000</f>
        <v>0</v>
      </c>
      <c r="CM324" s="250">
        <f>INDEX(연료전지_원본!$KB$4:$KX$369,MATCH($A324,연료전지_원본!$KB$4:$KB$369,0), MATCH(CM$4,연료전지_원본!$KB$4:$KX$4,0))*1000</f>
        <v>0</v>
      </c>
      <c r="CN324" s="250">
        <f>INDEX(연료전지_원본!$KB$4:$KX$369,MATCH($A324,연료전지_원본!$KB$4:$KB$369,0), MATCH(CN$4,연료전지_원본!$KB$4:$KX$4,0))*1000</f>
        <v>0</v>
      </c>
      <c r="CO324" s="250">
        <f>INDEX(연료전지_원본!$KB$4:$KX$369,MATCH($A324,연료전지_원본!$KB$4:$KB$369,0), MATCH(CO$4,연료전지_원본!$KB$4:$KX$4,0))*1000</f>
        <v>0</v>
      </c>
      <c r="CP324" s="250">
        <f>INDEX(연료전지_원본!$KB$4:$KX$369,MATCH($A324,연료전지_원본!$KB$4:$KB$369,0), MATCH(CP$4,연료전지_원본!$KB$4:$KX$4,0))*1000</f>
        <v>0</v>
      </c>
      <c r="CQ324" s="250">
        <f>INDEX(연료전지_원본!$KB$4:$KX$369,MATCH($A324,연료전지_원본!$KB$4:$KB$369,0), MATCH(CQ$4,연료전지_원본!$KB$4:$KX$4,0))*1000</f>
        <v>0</v>
      </c>
      <c r="CR324" s="250">
        <f>INDEX(연료전지_원본!$KB$4:$KX$369,MATCH($A324,연료전지_원본!$KB$4:$KB$369,0), MATCH(CR$4,연료전지_원본!$KB$4:$KX$4,0))*1000</f>
        <v>0</v>
      </c>
      <c r="CS324" s="250">
        <f>INDEX(연료전지_원본!$KB$4:$KX$369,MATCH($A324,연료전지_원본!$KB$4:$KB$369,0), MATCH(CS$4,연료전지_원본!$KB$4:$KX$4,0))*1000</f>
        <v>0</v>
      </c>
      <c r="CT324" s="250">
        <f>INDEX(연료전지_원본!$KB$4:$KX$369,MATCH($A324,연료전지_원본!$KB$4:$KB$369,0), MATCH(CT$4,연료전지_원본!$KB$4:$KX$4,0))*1000</f>
        <v>0</v>
      </c>
      <c r="CU324" s="250">
        <f>INDEX(연료전지_원본!$KB$4:$KX$369,MATCH($A324,연료전지_원본!$KB$4:$KB$369,0), MATCH(CU$4,연료전지_원본!$KB$4:$KX$4,0))*1000</f>
        <v>0</v>
      </c>
      <c r="CV324" s="250">
        <f>INDEX(연료전지_원본!$KB$4:$KX$369,MATCH($A324,연료전지_원본!$KB$4:$KB$369,0), MATCH(CV$4,연료전지_원본!$KB$4:$KX$4,0))*1000</f>
        <v>0</v>
      </c>
      <c r="CW324" s="250">
        <f>INDEX(연료전지_원본!$KB$4:$KX$369,MATCH($A324,연료전지_원본!$KB$4:$KB$369,0), MATCH(CW$4,연료전지_원본!$KB$4:$KX$4,0))*1000</f>
        <v>0</v>
      </c>
      <c r="CX324" s="250">
        <f>INDEX(연료전지_원본!$KB$4:$KX$369,MATCH($A324,연료전지_원본!$KB$4:$KB$369,0), MATCH(CX$4,연료전지_원본!$KB$4:$KX$4,0))*1000</f>
        <v>0</v>
      </c>
      <c r="CY324" s="250">
        <f>INDEX(연료전지_원본!$KB$4:$KX$369,MATCH($A324,연료전지_원본!$KB$4:$KB$369,0), MATCH(CY$4,연료전지_원본!$KB$4:$KX$4,0))*1000</f>
        <v>0</v>
      </c>
      <c r="DV324" s="30">
        <f t="shared" si="1616"/>
        <v>0</v>
      </c>
    </row>
    <row r="325" spans="1:126">
      <c r="A325" s="6">
        <v>46342</v>
      </c>
      <c r="B325" s="15">
        <f>운전실적_원본!B325</f>
        <v>0</v>
      </c>
      <c r="C325" s="16" t="str">
        <f t="shared" si="1622"/>
        <v/>
      </c>
      <c r="D325" s="12">
        <f>운전실적_원본!C325</f>
        <v>0</v>
      </c>
      <c r="E325" s="12" t="str">
        <f t="shared" si="1623"/>
        <v/>
      </c>
      <c r="F325" s="12">
        <f>운전실적_원본!D325</f>
        <v>0</v>
      </c>
      <c r="G325" s="16" t="str">
        <f t="shared" si="1624"/>
        <v/>
      </c>
      <c r="H325" s="15">
        <f>운전실적_원본!E325</f>
        <v>0</v>
      </c>
      <c r="I325" s="16" t="str">
        <f t="shared" si="1625"/>
        <v/>
      </c>
      <c r="J325" s="15">
        <f>운전실적_원본!F325</f>
        <v>0</v>
      </c>
      <c r="K325" s="16" t="str">
        <f t="shared" si="1625"/>
        <v/>
      </c>
      <c r="L325" s="32">
        <f>운전실적_원본!G325</f>
        <v>0</v>
      </c>
      <c r="M325" s="31" t="str">
        <f t="shared" ref="M325" si="1772">IF(OR(LEN(L325)=0,L325=0),"",L325-L324)</f>
        <v/>
      </c>
      <c r="N325" s="15">
        <f>운전실적_원본!H325</f>
        <v>0</v>
      </c>
      <c r="O325" s="16" t="str">
        <f t="shared" ref="O325" si="1773">IF(OR(LEN(N325)=0,N325=0),"",N325-N324)</f>
        <v/>
      </c>
      <c r="P325" s="15">
        <f>운전실적_원본!I325</f>
        <v>0</v>
      </c>
      <c r="Q325" s="16" t="str">
        <f t="shared" ref="Q325" si="1774">IF(OR(LEN(P325)=0,P325=0),"",P325-P324)</f>
        <v/>
      </c>
      <c r="R325" s="18">
        <f>운전실적_원본!J325</f>
        <v>0</v>
      </c>
      <c r="S325" s="19" t="str">
        <f t="shared" ref="S325" si="1775">IF(OR(LEN(R325)=0,R325=0),"",R325-R324)</f>
        <v/>
      </c>
      <c r="T325" s="18">
        <f>운전실적_원본!K325</f>
        <v>0</v>
      </c>
      <c r="U325" s="19" t="str">
        <f t="shared" si="1630"/>
        <v/>
      </c>
      <c r="V325" s="12">
        <f>운전실적_원본!L325</f>
        <v>0</v>
      </c>
      <c r="W325" s="16" t="str">
        <f t="shared" ref="W325" si="1776">IF(OR(LEN(V325)=0,V325=0),"",V325-V324)</f>
        <v/>
      </c>
      <c r="X325" s="10">
        <f>운전실적_원본!M325</f>
        <v>0</v>
      </c>
      <c r="Y325" s="10">
        <f>운전실적_원본!N325</f>
        <v>0</v>
      </c>
      <c r="Z325" s="10">
        <f>운전실적_원본!O325</f>
        <v>0</v>
      </c>
      <c r="AA325" s="10">
        <f>운전실적_원본!P325</f>
        <v>0</v>
      </c>
      <c r="AB325" s="10">
        <f>운전실적_원본!Q325</f>
        <v>0</v>
      </c>
      <c r="AC325" s="20">
        <f>운전실적_원본!R325</f>
        <v>0</v>
      </c>
      <c r="AD325" s="109">
        <f>운전실적_원본!S325</f>
        <v>0</v>
      </c>
      <c r="AE325" s="110">
        <f>운전실적_원본!T325</f>
        <v>0</v>
      </c>
      <c r="AF325" s="110">
        <f>운전실적_원본!U325</f>
        <v>0</v>
      </c>
      <c r="AG325" s="110">
        <f>운전실적_원본!V325</f>
        <v>0</v>
      </c>
      <c r="AH325" s="109">
        <f t="shared" si="1453"/>
        <v>0</v>
      </c>
      <c r="AI325" s="110">
        <f t="shared" si="1460"/>
        <v>0</v>
      </c>
      <c r="AJ325" s="110">
        <f>운전실적_원본!Y325</f>
        <v>0</v>
      </c>
      <c r="AK325" s="110">
        <f>운전실적_원본!Z325</f>
        <v>0</v>
      </c>
      <c r="AL325" s="106"/>
      <c r="AM325" s="105"/>
      <c r="AN325" s="105"/>
      <c r="AO325" s="105"/>
      <c r="AP325" s="105"/>
      <c r="AQ325" s="108"/>
      <c r="AR325" s="105"/>
      <c r="AS325" s="105"/>
      <c r="AT325" s="102"/>
      <c r="AU325" s="102"/>
      <c r="AV325" s="102"/>
      <c r="AW325" s="102"/>
      <c r="AX325" s="32">
        <f>운전실적_원본!W325</f>
        <v>0</v>
      </c>
      <c r="AY325" s="11">
        <f>운전실적_원본!X325</f>
        <v>0</v>
      </c>
      <c r="AZ325" s="11">
        <f>운전실적_원본!Y325</f>
        <v>0</v>
      </c>
      <c r="BA325" s="11">
        <f>운전실적_원본!Z325</f>
        <v>0</v>
      </c>
      <c r="BB325" s="11">
        <f>운전실적_원본!AA325</f>
        <v>0</v>
      </c>
      <c r="BC325" s="11">
        <f>운전실적_원본!AB325</f>
        <v>0</v>
      </c>
      <c r="BD325" s="32" t="str">
        <f t="shared" ref="BD325:BD370" si="1777">IFERROR(AX325/AD325,"-")</f>
        <v>-</v>
      </c>
      <c r="BE325" s="11" t="str">
        <f t="shared" si="1454"/>
        <v>-</v>
      </c>
      <c r="BF325" s="11">
        <f>운전실적_원본!AE325</f>
        <v>0</v>
      </c>
      <c r="BG325" s="31">
        <f t="shared" ref="BG325:BG370" si="1778">IFERROR(BF325/$BG$4,"-")</f>
        <v>0</v>
      </c>
      <c r="BH325" s="241">
        <f>INDEX(연료전지_원본!$A$4:$KY$369,MATCH($A325,연료전지_원본!$A$4:$A$369,0),MATCH($BH$4,연료전지_원본!$A$4:$KY$4,0))</f>
        <v>0</v>
      </c>
      <c r="BI325" s="241">
        <f>INDEX(연료전지_원본!$A$4:$KY$369,MATCH($A325,연료전지_원본!$A$4:$A$369,0),MATCH($BI$4,연료전지_원본!$A$4:$KY$4,0))</f>
        <v>0</v>
      </c>
      <c r="BJ325" s="241">
        <f>INDEX(연료전지_원본!$A$4:$KY$369,MATCH($A325,연료전지_원본!$A$4:$A$369,0),MATCH($BJ$4,연료전지_원본!$A$4:$KY$4,0))</f>
        <v>0</v>
      </c>
      <c r="BK325" s="241">
        <f>INDEX(연료전지_원본!$A$4:$KY$369,MATCH($A325,연료전지_원본!$A$4:$A$369,0),MATCH($BK$4,연료전지_원본!$A$4:$KY$4,0))</f>
        <v>0</v>
      </c>
      <c r="BL325" s="241">
        <f>INDEX(연료전지_원본!$A$4:$KY$369,MATCH($A325,연료전지_원본!$A$4:$A$369,0),MATCH($BL$4,연료전지_원본!$A$4:$KY$4,0))</f>
        <v>0</v>
      </c>
      <c r="BM325" s="241">
        <f>INDEX(연료전지_원본!$A$4:$KY$369,MATCH($A325,연료전지_원본!$A$4:$A$369,0),MATCH($BM$4,연료전지_원본!$A$4:$KY$4,0))</f>
        <v>0</v>
      </c>
      <c r="BN325" s="241">
        <f>INDEX(연료전지_원본!$A$4:$KY$369,MATCH($A325,연료전지_원본!$A$4:$A$369,0),MATCH($BN$4,연료전지_원본!$A$4:$KY$4,0))</f>
        <v>0</v>
      </c>
      <c r="BO325" s="241">
        <f>INDEX(연료전지_원본!$A$4:$KY$369,MATCH($A325,연료전지_원본!$A$4:$A$369,0),MATCH($BO$4,연료전지_원본!$A$4:$KY$4,0))</f>
        <v>0</v>
      </c>
      <c r="BP325" s="241">
        <f>INDEX(연료전지_원본!$A$4:$KY$369,MATCH($A325,연료전지_원본!$A$4:$A$369,0),MATCH($BP$4,연료전지_원본!$A$4:$KY$4,0))</f>
        <v>0</v>
      </c>
      <c r="BQ325" s="241">
        <f>INDEX(연료전지_원본!$A$4:$KY$369,MATCH($A325,연료전지_원본!$A$4:$A$369,0),MATCH($BQ$4,연료전지_원본!$A$4:$KY$4,0))</f>
        <v>0</v>
      </c>
      <c r="BR325" s="241">
        <f>INDEX(연료전지_원본!$A$4:$KY$369,MATCH($A325,연료전지_원본!$A$4:$A$369,0),MATCH($BR$4,연료전지_원본!$A$4:$KY$4,0))</f>
        <v>0</v>
      </c>
      <c r="BS325" s="241">
        <f>INDEX(연료전지_원본!$A$4:$KY$369,MATCH($A325,연료전지_원본!$A$4:$A$369,0),MATCH($BS$4,연료전지_원본!$A$4:$KY$4,0))</f>
        <v>0</v>
      </c>
      <c r="BT325" s="241">
        <f>INDEX(연료전지_원본!$A$4:$KY$369,MATCH($A325,연료전지_원본!$A$4:$A$369,0),MATCH($BT$4,연료전지_원본!$A$4:$KY$4,0))</f>
        <v>0</v>
      </c>
      <c r="BU325" s="241">
        <f>INDEX(연료전지_원본!$A$4:$KY$369,MATCH($A325,연료전지_원본!$A$4:$A$369,0),MATCH($BU$4,연료전지_원본!$A$4:$KY$4,0))</f>
        <v>0</v>
      </c>
      <c r="BV325" s="241">
        <f>INDEX(연료전지_원본!$A$4:$KY$369,MATCH($A325,연료전지_원본!$A$4:$A$369,0),MATCH($BV$4,연료전지_원본!$A$4:$KY$4,0))</f>
        <v>0</v>
      </c>
      <c r="BW325" s="241">
        <f>INDEX(연료전지_원본!$A$4:$KY$369,MATCH($A325,연료전지_원본!$A$4:$A$369,0),MATCH($BW$4,연료전지_원본!$A$4:$KY$4,0))</f>
        <v>0</v>
      </c>
      <c r="BX325" s="241">
        <f>INDEX(연료전지_원본!$A$4:$KY$369,MATCH($A325,연료전지_원본!$A$4:$A$369,0),MATCH($BX$4,연료전지_원본!$A$4:$KY$4,0))</f>
        <v>0</v>
      </c>
      <c r="BY325" s="241">
        <f>INDEX(연료전지_원본!$A$4:$KY$369,MATCH($A325,연료전지_원본!$A$4:$A$369,0),MATCH($BY$4,연료전지_원본!$A$4:$KY$4,0))</f>
        <v>0</v>
      </c>
      <c r="BZ325" s="241">
        <f>INDEX(연료전지_원본!$A$4:$KY$369,MATCH($A325,연료전지_원본!$A$4:$A$369,0),MATCH($BZ$4,연료전지_원본!$A$4:$KY$4,0))</f>
        <v>0</v>
      </c>
      <c r="CA325" s="241">
        <f>INDEX(연료전지_원본!$A$4:$KY$369,MATCH($A325,연료전지_원본!$A$4:$A$369,0),MATCH($CA$4,연료전지_원본!$A$4:$KY$4,0))</f>
        <v>0</v>
      </c>
      <c r="CB325" s="241">
        <f>INDEX(연료전지_원본!$A$4:$KY$369,MATCH($A325,연료전지_원본!$A$4:$A$369,0),MATCH($CB$4,연료전지_원본!$A$4:$KY$4,0))</f>
        <v>0</v>
      </c>
      <c r="CC325" s="242">
        <f>INDEX(연료전지_원본!$A$4:$KY$369,MATCH($A325,연료전지_원본!$A$4:$A$369,0),MATCH($CC$4,연료전지_원본!$A$4:$KY$4,0))</f>
        <v>0</v>
      </c>
      <c r="CD325" s="250">
        <f>INDEX(연료전지_원본!$KB$4:$KX$369,MATCH($A325,연료전지_원본!$KB$4:$KB$369,0), MATCH(CD$4,연료전지_원본!$KB$4:$KX$4,0))*1000</f>
        <v>0</v>
      </c>
      <c r="CE325" s="250">
        <f>INDEX(연료전지_원본!$KB$4:$KX$369,MATCH($A325,연료전지_원본!$KB$4:$KB$369,0), MATCH(CE$4,연료전지_원본!$KB$4:$KX$4,0))*1000</f>
        <v>0</v>
      </c>
      <c r="CF325" s="250">
        <f>INDEX(연료전지_원본!$KB$4:$KX$369,MATCH($A325,연료전지_원본!$KB$4:$KB$369,0), MATCH(CF$4,연료전지_원본!$KB$4:$KX$4,0))*1000</f>
        <v>0</v>
      </c>
      <c r="CG325" s="250">
        <f>INDEX(연료전지_원본!$KB$4:$KX$369,MATCH($A325,연료전지_원본!$KB$4:$KB$369,0), MATCH(CG$4,연료전지_원본!$KB$4:$KX$4,0))*1000</f>
        <v>0</v>
      </c>
      <c r="CH325" s="250">
        <f>INDEX(연료전지_원본!$KB$4:$KX$369,MATCH($A325,연료전지_원본!$KB$4:$KB$369,0), MATCH(CH$4,연료전지_원본!$KB$4:$KX$4,0))*1000</f>
        <v>0</v>
      </c>
      <c r="CI325" s="250">
        <f>INDEX(연료전지_원본!$KB$4:$KX$369,MATCH($A325,연료전지_원본!$KB$4:$KB$369,0), MATCH(CI$4,연료전지_원본!$KB$4:$KX$4,0))*1000</f>
        <v>0</v>
      </c>
      <c r="CJ325" s="250">
        <f>INDEX(연료전지_원본!$KB$4:$KX$369,MATCH($A325,연료전지_원본!$KB$4:$KB$369,0), MATCH(CJ$4,연료전지_원본!$KB$4:$KX$4,0))*1000</f>
        <v>0</v>
      </c>
      <c r="CK325" s="250">
        <f>INDEX(연료전지_원본!$KB$4:$KX$369,MATCH($A325,연료전지_원본!$KB$4:$KB$369,0), MATCH(CK$4,연료전지_원본!$KB$4:$KX$4,0))*1000</f>
        <v>0</v>
      </c>
      <c r="CL325" s="250">
        <f>INDEX(연료전지_원본!$KB$4:$KX$369,MATCH($A325,연료전지_원본!$KB$4:$KB$369,0), MATCH(CL$4,연료전지_원본!$KB$4:$KX$4,0))*1000</f>
        <v>0</v>
      </c>
      <c r="CM325" s="250">
        <f>INDEX(연료전지_원본!$KB$4:$KX$369,MATCH($A325,연료전지_원본!$KB$4:$KB$369,0), MATCH(CM$4,연료전지_원본!$KB$4:$KX$4,0))*1000</f>
        <v>0</v>
      </c>
      <c r="CN325" s="250">
        <f>INDEX(연료전지_원본!$KB$4:$KX$369,MATCH($A325,연료전지_원본!$KB$4:$KB$369,0), MATCH(CN$4,연료전지_원본!$KB$4:$KX$4,0))*1000</f>
        <v>0</v>
      </c>
      <c r="CO325" s="250">
        <f>INDEX(연료전지_원본!$KB$4:$KX$369,MATCH($A325,연료전지_원본!$KB$4:$KB$369,0), MATCH(CO$4,연료전지_원본!$KB$4:$KX$4,0))*1000</f>
        <v>0</v>
      </c>
      <c r="CP325" s="250">
        <f>INDEX(연료전지_원본!$KB$4:$KX$369,MATCH($A325,연료전지_원본!$KB$4:$KB$369,0), MATCH(CP$4,연료전지_원본!$KB$4:$KX$4,0))*1000</f>
        <v>0</v>
      </c>
      <c r="CQ325" s="250">
        <f>INDEX(연료전지_원본!$KB$4:$KX$369,MATCH($A325,연료전지_원본!$KB$4:$KB$369,0), MATCH(CQ$4,연료전지_원본!$KB$4:$KX$4,0))*1000</f>
        <v>0</v>
      </c>
      <c r="CR325" s="250">
        <f>INDEX(연료전지_원본!$KB$4:$KX$369,MATCH($A325,연료전지_원본!$KB$4:$KB$369,0), MATCH(CR$4,연료전지_원본!$KB$4:$KX$4,0))*1000</f>
        <v>0</v>
      </c>
      <c r="CS325" s="250">
        <f>INDEX(연료전지_원본!$KB$4:$KX$369,MATCH($A325,연료전지_원본!$KB$4:$KB$369,0), MATCH(CS$4,연료전지_원본!$KB$4:$KX$4,0))*1000</f>
        <v>0</v>
      </c>
      <c r="CT325" s="250">
        <f>INDEX(연료전지_원본!$KB$4:$KX$369,MATCH($A325,연료전지_원본!$KB$4:$KB$369,0), MATCH(CT$4,연료전지_원본!$KB$4:$KX$4,0))*1000</f>
        <v>0</v>
      </c>
      <c r="CU325" s="250">
        <f>INDEX(연료전지_원본!$KB$4:$KX$369,MATCH($A325,연료전지_원본!$KB$4:$KB$369,0), MATCH(CU$4,연료전지_원본!$KB$4:$KX$4,0))*1000</f>
        <v>0</v>
      </c>
      <c r="CV325" s="250">
        <f>INDEX(연료전지_원본!$KB$4:$KX$369,MATCH($A325,연료전지_원본!$KB$4:$KB$369,0), MATCH(CV$4,연료전지_원본!$KB$4:$KX$4,0))*1000</f>
        <v>0</v>
      </c>
      <c r="CW325" s="250">
        <f>INDEX(연료전지_원본!$KB$4:$KX$369,MATCH($A325,연료전지_원본!$KB$4:$KB$369,0), MATCH(CW$4,연료전지_원본!$KB$4:$KX$4,0))*1000</f>
        <v>0</v>
      </c>
      <c r="CX325" s="250">
        <f>INDEX(연료전지_원본!$KB$4:$KX$369,MATCH($A325,연료전지_원본!$KB$4:$KB$369,0), MATCH(CX$4,연료전지_원본!$KB$4:$KX$4,0))*1000</f>
        <v>0</v>
      </c>
      <c r="CY325" s="250">
        <f>INDEX(연료전지_원본!$KB$4:$KX$369,MATCH($A325,연료전지_원본!$KB$4:$KB$369,0), MATCH(CY$4,연료전지_원본!$KB$4:$KX$4,0))*1000</f>
        <v>0</v>
      </c>
      <c r="DV325" s="30">
        <f t="shared" si="1616"/>
        <v>0</v>
      </c>
    </row>
    <row r="326" spans="1:126">
      <c r="A326" s="6">
        <v>46343</v>
      </c>
      <c r="B326" s="15">
        <f>운전실적_원본!B326</f>
        <v>0</v>
      </c>
      <c r="C326" s="16" t="str">
        <f t="shared" si="1622"/>
        <v/>
      </c>
      <c r="D326" s="12">
        <f>운전실적_원본!C326</f>
        <v>0</v>
      </c>
      <c r="E326" s="12" t="str">
        <f t="shared" si="1623"/>
        <v/>
      </c>
      <c r="F326" s="12">
        <f>운전실적_원본!D326</f>
        <v>0</v>
      </c>
      <c r="G326" s="16" t="str">
        <f t="shared" si="1624"/>
        <v/>
      </c>
      <c r="H326" s="15">
        <f>운전실적_원본!E326</f>
        <v>0</v>
      </c>
      <c r="I326" s="16" t="str">
        <f t="shared" si="1625"/>
        <v/>
      </c>
      <c r="J326" s="15">
        <f>운전실적_원본!F326</f>
        <v>0</v>
      </c>
      <c r="K326" s="16" t="str">
        <f t="shared" si="1625"/>
        <v/>
      </c>
      <c r="L326" s="32">
        <f>운전실적_원본!G326</f>
        <v>0</v>
      </c>
      <c r="M326" s="31" t="str">
        <f t="shared" ref="M326" si="1779">IF(OR(LEN(L326)=0,L326=0),"",L326-L325)</f>
        <v/>
      </c>
      <c r="N326" s="15">
        <f>운전실적_원본!H326</f>
        <v>0</v>
      </c>
      <c r="O326" s="16" t="str">
        <f t="shared" ref="O326" si="1780">IF(OR(LEN(N326)=0,N326=0),"",N326-N325)</f>
        <v/>
      </c>
      <c r="P326" s="15">
        <f>운전실적_원본!I326</f>
        <v>0</v>
      </c>
      <c r="Q326" s="16" t="str">
        <f t="shared" ref="Q326" si="1781">IF(OR(LEN(P326)=0,P326=0),"",P326-P325)</f>
        <v/>
      </c>
      <c r="R326" s="18">
        <f>운전실적_원본!J326</f>
        <v>0</v>
      </c>
      <c r="S326" s="19" t="str">
        <f t="shared" ref="S326" si="1782">IF(OR(LEN(R326)=0,R326=0),"",R326-R325)</f>
        <v/>
      </c>
      <c r="T326" s="18">
        <f>운전실적_원본!K326</f>
        <v>0</v>
      </c>
      <c r="U326" s="19" t="str">
        <f t="shared" si="1630"/>
        <v/>
      </c>
      <c r="V326" s="12">
        <f>운전실적_원본!L326</f>
        <v>0</v>
      </c>
      <c r="W326" s="16" t="str">
        <f t="shared" ref="W326" si="1783">IF(OR(LEN(V326)=0,V326=0),"",V326-V325)</f>
        <v/>
      </c>
      <c r="X326" s="10">
        <f>운전실적_원본!M326</f>
        <v>0</v>
      </c>
      <c r="Y326" s="10">
        <f>운전실적_원본!N326</f>
        <v>0</v>
      </c>
      <c r="Z326" s="10">
        <f>운전실적_원본!O326</f>
        <v>0</v>
      </c>
      <c r="AA326" s="10">
        <f>운전실적_원본!P326</f>
        <v>0</v>
      </c>
      <c r="AB326" s="10">
        <f>운전실적_원본!Q326</f>
        <v>0</v>
      </c>
      <c r="AC326" s="20">
        <f>운전실적_원본!R326</f>
        <v>0</v>
      </c>
      <c r="AD326" s="109">
        <f>운전실적_원본!S326</f>
        <v>0</v>
      </c>
      <c r="AE326" s="110">
        <f>운전실적_원본!T326</f>
        <v>0</v>
      </c>
      <c r="AF326" s="110">
        <f>운전실적_원본!U326</f>
        <v>0</v>
      </c>
      <c r="AG326" s="110">
        <f>운전실적_원본!V326</f>
        <v>0</v>
      </c>
      <c r="AH326" s="109">
        <f t="shared" ref="AH326:AH370" si="1784">((AM326-AL326)+(AO326-AN326)+(AQ326-AP326))*24</f>
        <v>0</v>
      </c>
      <c r="AI326" s="110">
        <f t="shared" si="1460"/>
        <v>0</v>
      </c>
      <c r="AJ326" s="110">
        <f>운전실적_원본!Y326</f>
        <v>0</v>
      </c>
      <c r="AK326" s="110">
        <f>운전실적_원본!Z326</f>
        <v>0</v>
      </c>
      <c r="AL326" s="106"/>
      <c r="AM326" s="105"/>
      <c r="AN326" s="105"/>
      <c r="AO326" s="105"/>
      <c r="AP326" s="105"/>
      <c r="AQ326" s="108"/>
      <c r="AR326" s="105"/>
      <c r="AS326" s="105"/>
      <c r="AT326" s="102"/>
      <c r="AU326" s="102"/>
      <c r="AV326" s="102"/>
      <c r="AW326" s="102"/>
      <c r="AX326" s="32">
        <f>운전실적_원본!W326</f>
        <v>0</v>
      </c>
      <c r="AY326" s="11">
        <f>운전실적_원본!X326</f>
        <v>0</v>
      </c>
      <c r="AZ326" s="11">
        <f>운전실적_원본!Y326</f>
        <v>0</v>
      </c>
      <c r="BA326" s="11">
        <f>운전실적_원본!Z326</f>
        <v>0</v>
      </c>
      <c r="BB326" s="11">
        <f>운전실적_원본!AA326</f>
        <v>0</v>
      </c>
      <c r="BC326" s="11">
        <f>운전실적_원본!AB326</f>
        <v>0</v>
      </c>
      <c r="BD326" s="32" t="str">
        <f t="shared" si="1777"/>
        <v>-</v>
      </c>
      <c r="BE326" s="11" t="str">
        <f t="shared" ref="BE326:BE370" si="1785">IFERROR(BD326/$BE$4,"-")</f>
        <v>-</v>
      </c>
      <c r="BF326" s="11">
        <f>운전실적_원본!AE326</f>
        <v>0</v>
      </c>
      <c r="BG326" s="31">
        <f t="shared" si="1778"/>
        <v>0</v>
      </c>
      <c r="BH326" s="241">
        <f>INDEX(연료전지_원본!$A$4:$KY$369,MATCH($A326,연료전지_원본!$A$4:$A$369,0),MATCH($BH$4,연료전지_원본!$A$4:$KY$4,0))</f>
        <v>0</v>
      </c>
      <c r="BI326" s="241">
        <f>INDEX(연료전지_원본!$A$4:$KY$369,MATCH($A326,연료전지_원본!$A$4:$A$369,0),MATCH($BI$4,연료전지_원본!$A$4:$KY$4,0))</f>
        <v>0</v>
      </c>
      <c r="BJ326" s="241">
        <f>INDEX(연료전지_원본!$A$4:$KY$369,MATCH($A326,연료전지_원본!$A$4:$A$369,0),MATCH($BJ$4,연료전지_원본!$A$4:$KY$4,0))</f>
        <v>0</v>
      </c>
      <c r="BK326" s="241">
        <f>INDEX(연료전지_원본!$A$4:$KY$369,MATCH($A326,연료전지_원본!$A$4:$A$369,0),MATCH($BK$4,연료전지_원본!$A$4:$KY$4,0))</f>
        <v>0</v>
      </c>
      <c r="BL326" s="241">
        <f>INDEX(연료전지_원본!$A$4:$KY$369,MATCH($A326,연료전지_원본!$A$4:$A$369,0),MATCH($BL$4,연료전지_원본!$A$4:$KY$4,0))</f>
        <v>0</v>
      </c>
      <c r="BM326" s="241">
        <f>INDEX(연료전지_원본!$A$4:$KY$369,MATCH($A326,연료전지_원본!$A$4:$A$369,0),MATCH($BM$4,연료전지_원본!$A$4:$KY$4,0))</f>
        <v>0</v>
      </c>
      <c r="BN326" s="241">
        <f>INDEX(연료전지_원본!$A$4:$KY$369,MATCH($A326,연료전지_원본!$A$4:$A$369,0),MATCH($BN$4,연료전지_원본!$A$4:$KY$4,0))</f>
        <v>0</v>
      </c>
      <c r="BO326" s="241">
        <f>INDEX(연료전지_원본!$A$4:$KY$369,MATCH($A326,연료전지_원본!$A$4:$A$369,0),MATCH($BO$4,연료전지_원본!$A$4:$KY$4,0))</f>
        <v>0</v>
      </c>
      <c r="BP326" s="241">
        <f>INDEX(연료전지_원본!$A$4:$KY$369,MATCH($A326,연료전지_원본!$A$4:$A$369,0),MATCH($BP$4,연료전지_원본!$A$4:$KY$4,0))</f>
        <v>0</v>
      </c>
      <c r="BQ326" s="241">
        <f>INDEX(연료전지_원본!$A$4:$KY$369,MATCH($A326,연료전지_원본!$A$4:$A$369,0),MATCH($BQ$4,연료전지_원본!$A$4:$KY$4,0))</f>
        <v>0</v>
      </c>
      <c r="BR326" s="241">
        <f>INDEX(연료전지_원본!$A$4:$KY$369,MATCH($A326,연료전지_원본!$A$4:$A$369,0),MATCH($BR$4,연료전지_원본!$A$4:$KY$4,0))</f>
        <v>0</v>
      </c>
      <c r="BS326" s="241">
        <f>INDEX(연료전지_원본!$A$4:$KY$369,MATCH($A326,연료전지_원본!$A$4:$A$369,0),MATCH($BS$4,연료전지_원본!$A$4:$KY$4,0))</f>
        <v>0</v>
      </c>
      <c r="BT326" s="241">
        <f>INDEX(연료전지_원본!$A$4:$KY$369,MATCH($A326,연료전지_원본!$A$4:$A$369,0),MATCH($BT$4,연료전지_원본!$A$4:$KY$4,0))</f>
        <v>0</v>
      </c>
      <c r="BU326" s="241">
        <f>INDEX(연료전지_원본!$A$4:$KY$369,MATCH($A326,연료전지_원본!$A$4:$A$369,0),MATCH($BU$4,연료전지_원본!$A$4:$KY$4,0))</f>
        <v>0</v>
      </c>
      <c r="BV326" s="241">
        <f>INDEX(연료전지_원본!$A$4:$KY$369,MATCH($A326,연료전지_원본!$A$4:$A$369,0),MATCH($BV$4,연료전지_원본!$A$4:$KY$4,0))</f>
        <v>0</v>
      </c>
      <c r="BW326" s="241">
        <f>INDEX(연료전지_원본!$A$4:$KY$369,MATCH($A326,연료전지_원본!$A$4:$A$369,0),MATCH($BW$4,연료전지_원본!$A$4:$KY$4,0))</f>
        <v>0</v>
      </c>
      <c r="BX326" s="241">
        <f>INDEX(연료전지_원본!$A$4:$KY$369,MATCH($A326,연료전지_원본!$A$4:$A$369,0),MATCH($BX$4,연료전지_원본!$A$4:$KY$4,0))</f>
        <v>0</v>
      </c>
      <c r="BY326" s="241">
        <f>INDEX(연료전지_원본!$A$4:$KY$369,MATCH($A326,연료전지_원본!$A$4:$A$369,0),MATCH($BY$4,연료전지_원본!$A$4:$KY$4,0))</f>
        <v>0</v>
      </c>
      <c r="BZ326" s="241">
        <f>INDEX(연료전지_원본!$A$4:$KY$369,MATCH($A326,연료전지_원본!$A$4:$A$369,0),MATCH($BZ$4,연료전지_원본!$A$4:$KY$4,0))</f>
        <v>0</v>
      </c>
      <c r="CA326" s="241">
        <f>INDEX(연료전지_원본!$A$4:$KY$369,MATCH($A326,연료전지_원본!$A$4:$A$369,0),MATCH($CA$4,연료전지_원본!$A$4:$KY$4,0))</f>
        <v>0</v>
      </c>
      <c r="CB326" s="241">
        <f>INDEX(연료전지_원본!$A$4:$KY$369,MATCH($A326,연료전지_원본!$A$4:$A$369,0),MATCH($CB$4,연료전지_원본!$A$4:$KY$4,0))</f>
        <v>0</v>
      </c>
      <c r="CC326" s="242">
        <f>INDEX(연료전지_원본!$A$4:$KY$369,MATCH($A326,연료전지_원본!$A$4:$A$369,0),MATCH($CC$4,연료전지_원본!$A$4:$KY$4,0))</f>
        <v>0</v>
      </c>
      <c r="CD326" s="250">
        <f>INDEX(연료전지_원본!$KB$4:$KX$369,MATCH($A326,연료전지_원본!$KB$4:$KB$369,0), MATCH(CD$4,연료전지_원본!$KB$4:$KX$4,0))*1000</f>
        <v>0</v>
      </c>
      <c r="CE326" s="250">
        <f>INDEX(연료전지_원본!$KB$4:$KX$369,MATCH($A326,연료전지_원본!$KB$4:$KB$369,0), MATCH(CE$4,연료전지_원본!$KB$4:$KX$4,0))*1000</f>
        <v>0</v>
      </c>
      <c r="CF326" s="250">
        <f>INDEX(연료전지_원본!$KB$4:$KX$369,MATCH($A326,연료전지_원본!$KB$4:$KB$369,0), MATCH(CF$4,연료전지_원본!$KB$4:$KX$4,0))*1000</f>
        <v>0</v>
      </c>
      <c r="CG326" s="250">
        <f>INDEX(연료전지_원본!$KB$4:$KX$369,MATCH($A326,연료전지_원본!$KB$4:$KB$369,0), MATCH(CG$4,연료전지_원본!$KB$4:$KX$4,0))*1000</f>
        <v>0</v>
      </c>
      <c r="CH326" s="250">
        <f>INDEX(연료전지_원본!$KB$4:$KX$369,MATCH($A326,연료전지_원본!$KB$4:$KB$369,0), MATCH(CH$4,연료전지_원본!$KB$4:$KX$4,0))*1000</f>
        <v>0</v>
      </c>
      <c r="CI326" s="250">
        <f>INDEX(연료전지_원본!$KB$4:$KX$369,MATCH($A326,연료전지_원본!$KB$4:$KB$369,0), MATCH(CI$4,연료전지_원본!$KB$4:$KX$4,0))*1000</f>
        <v>0</v>
      </c>
      <c r="CJ326" s="250">
        <f>INDEX(연료전지_원본!$KB$4:$KX$369,MATCH($A326,연료전지_원본!$KB$4:$KB$369,0), MATCH(CJ$4,연료전지_원본!$KB$4:$KX$4,0))*1000</f>
        <v>0</v>
      </c>
      <c r="CK326" s="250">
        <f>INDEX(연료전지_원본!$KB$4:$KX$369,MATCH($A326,연료전지_원본!$KB$4:$KB$369,0), MATCH(CK$4,연료전지_원본!$KB$4:$KX$4,0))*1000</f>
        <v>0</v>
      </c>
      <c r="CL326" s="250">
        <f>INDEX(연료전지_원본!$KB$4:$KX$369,MATCH($A326,연료전지_원본!$KB$4:$KB$369,0), MATCH(CL$4,연료전지_원본!$KB$4:$KX$4,0))*1000</f>
        <v>0</v>
      </c>
      <c r="CM326" s="250">
        <f>INDEX(연료전지_원본!$KB$4:$KX$369,MATCH($A326,연료전지_원본!$KB$4:$KB$369,0), MATCH(CM$4,연료전지_원본!$KB$4:$KX$4,0))*1000</f>
        <v>0</v>
      </c>
      <c r="CN326" s="250">
        <f>INDEX(연료전지_원본!$KB$4:$KX$369,MATCH($A326,연료전지_원본!$KB$4:$KB$369,0), MATCH(CN$4,연료전지_원본!$KB$4:$KX$4,0))*1000</f>
        <v>0</v>
      </c>
      <c r="CO326" s="250">
        <f>INDEX(연료전지_원본!$KB$4:$KX$369,MATCH($A326,연료전지_원본!$KB$4:$KB$369,0), MATCH(CO$4,연료전지_원본!$KB$4:$KX$4,0))*1000</f>
        <v>0</v>
      </c>
      <c r="CP326" s="250">
        <f>INDEX(연료전지_원본!$KB$4:$KX$369,MATCH($A326,연료전지_원본!$KB$4:$KB$369,0), MATCH(CP$4,연료전지_원본!$KB$4:$KX$4,0))*1000</f>
        <v>0</v>
      </c>
      <c r="CQ326" s="250">
        <f>INDEX(연료전지_원본!$KB$4:$KX$369,MATCH($A326,연료전지_원본!$KB$4:$KB$369,0), MATCH(CQ$4,연료전지_원본!$KB$4:$KX$4,0))*1000</f>
        <v>0</v>
      </c>
      <c r="CR326" s="250">
        <f>INDEX(연료전지_원본!$KB$4:$KX$369,MATCH($A326,연료전지_원본!$KB$4:$KB$369,0), MATCH(CR$4,연료전지_원본!$KB$4:$KX$4,0))*1000</f>
        <v>0</v>
      </c>
      <c r="CS326" s="250">
        <f>INDEX(연료전지_원본!$KB$4:$KX$369,MATCH($A326,연료전지_원본!$KB$4:$KB$369,0), MATCH(CS$4,연료전지_원본!$KB$4:$KX$4,0))*1000</f>
        <v>0</v>
      </c>
      <c r="CT326" s="250">
        <f>INDEX(연료전지_원본!$KB$4:$KX$369,MATCH($A326,연료전지_원본!$KB$4:$KB$369,0), MATCH(CT$4,연료전지_원본!$KB$4:$KX$4,0))*1000</f>
        <v>0</v>
      </c>
      <c r="CU326" s="250">
        <f>INDEX(연료전지_원본!$KB$4:$KX$369,MATCH($A326,연료전지_원본!$KB$4:$KB$369,0), MATCH(CU$4,연료전지_원본!$KB$4:$KX$4,0))*1000</f>
        <v>0</v>
      </c>
      <c r="CV326" s="250">
        <f>INDEX(연료전지_원본!$KB$4:$KX$369,MATCH($A326,연료전지_원본!$KB$4:$KB$369,0), MATCH(CV$4,연료전지_원본!$KB$4:$KX$4,0))*1000</f>
        <v>0</v>
      </c>
      <c r="CW326" s="250">
        <f>INDEX(연료전지_원본!$KB$4:$KX$369,MATCH($A326,연료전지_원본!$KB$4:$KB$369,0), MATCH(CW$4,연료전지_원본!$KB$4:$KX$4,0))*1000</f>
        <v>0</v>
      </c>
      <c r="CX326" s="250">
        <f>INDEX(연료전지_원본!$KB$4:$KX$369,MATCH($A326,연료전지_원본!$KB$4:$KB$369,0), MATCH(CX$4,연료전지_원본!$KB$4:$KX$4,0))*1000</f>
        <v>0</v>
      </c>
      <c r="CY326" s="250">
        <f>INDEX(연료전지_원본!$KB$4:$KX$369,MATCH($A326,연료전지_원본!$KB$4:$KB$369,0), MATCH(CY$4,연료전지_원본!$KB$4:$KX$4,0))*1000</f>
        <v>0</v>
      </c>
      <c r="DV326" s="30">
        <f t="shared" si="1616"/>
        <v>0</v>
      </c>
    </row>
    <row r="327" spans="1:126">
      <c r="A327" s="6">
        <v>46344</v>
      </c>
      <c r="B327" s="15">
        <f>운전실적_원본!B327</f>
        <v>0</v>
      </c>
      <c r="C327" s="16" t="str">
        <f t="shared" si="1622"/>
        <v/>
      </c>
      <c r="D327" s="12">
        <f>운전실적_원본!C327</f>
        <v>0</v>
      </c>
      <c r="E327" s="12" t="str">
        <f t="shared" si="1623"/>
        <v/>
      </c>
      <c r="F327" s="12">
        <f>운전실적_원본!D327</f>
        <v>0</v>
      </c>
      <c r="G327" s="16" t="str">
        <f t="shared" si="1624"/>
        <v/>
      </c>
      <c r="H327" s="15">
        <f>운전실적_원본!E327</f>
        <v>0</v>
      </c>
      <c r="I327" s="16" t="str">
        <f t="shared" si="1625"/>
        <v/>
      </c>
      <c r="J327" s="15">
        <f>운전실적_원본!F327</f>
        <v>0</v>
      </c>
      <c r="K327" s="16" t="str">
        <f t="shared" si="1625"/>
        <v/>
      </c>
      <c r="L327" s="32">
        <f>운전실적_원본!G327</f>
        <v>0</v>
      </c>
      <c r="M327" s="31" t="str">
        <f t="shared" ref="M327" si="1786">IF(OR(LEN(L327)=0,L327=0),"",L327-L326)</f>
        <v/>
      </c>
      <c r="N327" s="15">
        <f>운전실적_원본!H327</f>
        <v>0</v>
      </c>
      <c r="O327" s="16" t="str">
        <f t="shared" ref="O327" si="1787">IF(OR(LEN(N327)=0,N327=0),"",N327-N326)</f>
        <v/>
      </c>
      <c r="P327" s="15">
        <f>운전실적_원본!I327</f>
        <v>0</v>
      </c>
      <c r="Q327" s="16" t="str">
        <f t="shared" ref="Q327" si="1788">IF(OR(LEN(P327)=0,P327=0),"",P327-P326)</f>
        <v/>
      </c>
      <c r="R327" s="18">
        <f>운전실적_원본!J327</f>
        <v>0</v>
      </c>
      <c r="S327" s="19" t="str">
        <f t="shared" ref="S327" si="1789">IF(OR(LEN(R327)=0,R327=0),"",R327-R326)</f>
        <v/>
      </c>
      <c r="T327" s="18">
        <f>운전실적_원본!K327</f>
        <v>0</v>
      </c>
      <c r="U327" s="19" t="str">
        <f t="shared" si="1630"/>
        <v/>
      </c>
      <c r="V327" s="12">
        <f>운전실적_원본!L327</f>
        <v>0</v>
      </c>
      <c r="W327" s="16" t="str">
        <f t="shared" ref="W327" si="1790">IF(OR(LEN(V327)=0,V327=0),"",V327-V326)</f>
        <v/>
      </c>
      <c r="X327" s="10">
        <f>운전실적_원본!M327</f>
        <v>0</v>
      </c>
      <c r="Y327" s="10">
        <f>운전실적_원본!N327</f>
        <v>0</v>
      </c>
      <c r="Z327" s="10">
        <f>운전실적_원본!O327</f>
        <v>0</v>
      </c>
      <c r="AA327" s="10">
        <f>운전실적_원본!P327</f>
        <v>0</v>
      </c>
      <c r="AB327" s="10">
        <f>운전실적_원본!Q327</f>
        <v>0</v>
      </c>
      <c r="AC327" s="20">
        <f>운전실적_원본!R327</f>
        <v>0</v>
      </c>
      <c r="AD327" s="109">
        <f>운전실적_원본!S327</f>
        <v>0</v>
      </c>
      <c r="AE327" s="110">
        <f>운전실적_원본!T327</f>
        <v>0</v>
      </c>
      <c r="AF327" s="110">
        <f>운전실적_원본!U327</f>
        <v>0</v>
      </c>
      <c r="AG327" s="110">
        <f>운전실적_원본!V327</f>
        <v>0</v>
      </c>
      <c r="AH327" s="109">
        <f t="shared" si="1784"/>
        <v>0</v>
      </c>
      <c r="AI327" s="110">
        <f t="shared" ref="AI327:AI370" si="1791">(AS327-AR327)*24</f>
        <v>0</v>
      </c>
      <c r="AJ327" s="110">
        <f>운전실적_원본!Y327</f>
        <v>0</v>
      </c>
      <c r="AK327" s="110">
        <f>운전실적_원본!Z327</f>
        <v>0</v>
      </c>
      <c r="AL327" s="106"/>
      <c r="AM327" s="105"/>
      <c r="AN327" s="105"/>
      <c r="AO327" s="105"/>
      <c r="AP327" s="105"/>
      <c r="AQ327" s="108"/>
      <c r="AR327" s="105"/>
      <c r="AS327" s="105"/>
      <c r="AT327" s="102"/>
      <c r="AU327" s="102"/>
      <c r="AV327" s="102"/>
      <c r="AW327" s="102"/>
      <c r="AX327" s="32">
        <f>운전실적_원본!W327</f>
        <v>0</v>
      </c>
      <c r="AY327" s="11">
        <f>운전실적_원본!X327</f>
        <v>0</v>
      </c>
      <c r="AZ327" s="11">
        <f>운전실적_원본!Y327</f>
        <v>0</v>
      </c>
      <c r="BA327" s="11">
        <f>운전실적_원본!Z327</f>
        <v>0</v>
      </c>
      <c r="BB327" s="11">
        <f>운전실적_원본!AA327</f>
        <v>0</v>
      </c>
      <c r="BC327" s="11">
        <f>운전실적_원본!AB327</f>
        <v>0</v>
      </c>
      <c r="BD327" s="32" t="str">
        <f t="shared" si="1777"/>
        <v>-</v>
      </c>
      <c r="BE327" s="11" t="str">
        <f t="shared" si="1785"/>
        <v>-</v>
      </c>
      <c r="BF327" s="11">
        <f>운전실적_원본!AE327</f>
        <v>0</v>
      </c>
      <c r="BG327" s="31">
        <f t="shared" si="1778"/>
        <v>0</v>
      </c>
      <c r="BH327" s="241">
        <f>INDEX(연료전지_원본!$A$4:$KY$369,MATCH($A327,연료전지_원본!$A$4:$A$369,0),MATCH($BH$4,연료전지_원본!$A$4:$KY$4,0))</f>
        <v>0</v>
      </c>
      <c r="BI327" s="241">
        <f>INDEX(연료전지_원본!$A$4:$KY$369,MATCH($A327,연료전지_원본!$A$4:$A$369,0),MATCH($BI$4,연료전지_원본!$A$4:$KY$4,0))</f>
        <v>0</v>
      </c>
      <c r="BJ327" s="241">
        <f>INDEX(연료전지_원본!$A$4:$KY$369,MATCH($A327,연료전지_원본!$A$4:$A$369,0),MATCH($BJ$4,연료전지_원본!$A$4:$KY$4,0))</f>
        <v>0</v>
      </c>
      <c r="BK327" s="241">
        <f>INDEX(연료전지_원본!$A$4:$KY$369,MATCH($A327,연료전지_원본!$A$4:$A$369,0),MATCH($BK$4,연료전지_원본!$A$4:$KY$4,0))</f>
        <v>0</v>
      </c>
      <c r="BL327" s="241">
        <f>INDEX(연료전지_원본!$A$4:$KY$369,MATCH($A327,연료전지_원본!$A$4:$A$369,0),MATCH($BL$4,연료전지_원본!$A$4:$KY$4,0))</f>
        <v>0</v>
      </c>
      <c r="BM327" s="241">
        <f>INDEX(연료전지_원본!$A$4:$KY$369,MATCH($A327,연료전지_원본!$A$4:$A$369,0),MATCH($BM$4,연료전지_원본!$A$4:$KY$4,0))</f>
        <v>0</v>
      </c>
      <c r="BN327" s="241">
        <f>INDEX(연료전지_원본!$A$4:$KY$369,MATCH($A327,연료전지_원본!$A$4:$A$369,0),MATCH($BN$4,연료전지_원본!$A$4:$KY$4,0))</f>
        <v>0</v>
      </c>
      <c r="BO327" s="241">
        <f>INDEX(연료전지_원본!$A$4:$KY$369,MATCH($A327,연료전지_원본!$A$4:$A$369,0),MATCH($BO$4,연료전지_원본!$A$4:$KY$4,0))</f>
        <v>0</v>
      </c>
      <c r="BP327" s="241">
        <f>INDEX(연료전지_원본!$A$4:$KY$369,MATCH($A327,연료전지_원본!$A$4:$A$369,0),MATCH($BP$4,연료전지_원본!$A$4:$KY$4,0))</f>
        <v>0</v>
      </c>
      <c r="BQ327" s="241">
        <f>INDEX(연료전지_원본!$A$4:$KY$369,MATCH($A327,연료전지_원본!$A$4:$A$369,0),MATCH($BQ$4,연료전지_원본!$A$4:$KY$4,0))</f>
        <v>0</v>
      </c>
      <c r="BR327" s="241">
        <f>INDEX(연료전지_원본!$A$4:$KY$369,MATCH($A327,연료전지_원본!$A$4:$A$369,0),MATCH($BR$4,연료전지_원본!$A$4:$KY$4,0))</f>
        <v>0</v>
      </c>
      <c r="BS327" s="241">
        <f>INDEX(연료전지_원본!$A$4:$KY$369,MATCH($A327,연료전지_원본!$A$4:$A$369,0),MATCH($BS$4,연료전지_원본!$A$4:$KY$4,0))</f>
        <v>0</v>
      </c>
      <c r="BT327" s="241">
        <f>INDEX(연료전지_원본!$A$4:$KY$369,MATCH($A327,연료전지_원본!$A$4:$A$369,0),MATCH($BT$4,연료전지_원본!$A$4:$KY$4,0))</f>
        <v>0</v>
      </c>
      <c r="BU327" s="241">
        <f>INDEX(연료전지_원본!$A$4:$KY$369,MATCH($A327,연료전지_원본!$A$4:$A$369,0),MATCH($BU$4,연료전지_원본!$A$4:$KY$4,0))</f>
        <v>0</v>
      </c>
      <c r="BV327" s="241">
        <f>INDEX(연료전지_원본!$A$4:$KY$369,MATCH($A327,연료전지_원본!$A$4:$A$369,0),MATCH($BV$4,연료전지_원본!$A$4:$KY$4,0))</f>
        <v>0</v>
      </c>
      <c r="BW327" s="241">
        <f>INDEX(연료전지_원본!$A$4:$KY$369,MATCH($A327,연료전지_원본!$A$4:$A$369,0),MATCH($BW$4,연료전지_원본!$A$4:$KY$4,0))</f>
        <v>0</v>
      </c>
      <c r="BX327" s="241">
        <f>INDEX(연료전지_원본!$A$4:$KY$369,MATCH($A327,연료전지_원본!$A$4:$A$369,0),MATCH($BX$4,연료전지_원본!$A$4:$KY$4,0))</f>
        <v>0</v>
      </c>
      <c r="BY327" s="241">
        <f>INDEX(연료전지_원본!$A$4:$KY$369,MATCH($A327,연료전지_원본!$A$4:$A$369,0),MATCH($BY$4,연료전지_원본!$A$4:$KY$4,0))</f>
        <v>0</v>
      </c>
      <c r="BZ327" s="241">
        <f>INDEX(연료전지_원본!$A$4:$KY$369,MATCH($A327,연료전지_원본!$A$4:$A$369,0),MATCH($BZ$4,연료전지_원본!$A$4:$KY$4,0))</f>
        <v>0</v>
      </c>
      <c r="CA327" s="241">
        <f>INDEX(연료전지_원본!$A$4:$KY$369,MATCH($A327,연료전지_원본!$A$4:$A$369,0),MATCH($CA$4,연료전지_원본!$A$4:$KY$4,0))</f>
        <v>0</v>
      </c>
      <c r="CB327" s="241">
        <f>INDEX(연료전지_원본!$A$4:$KY$369,MATCH($A327,연료전지_원본!$A$4:$A$369,0),MATCH($CB$4,연료전지_원본!$A$4:$KY$4,0))</f>
        <v>0</v>
      </c>
      <c r="CC327" s="242">
        <f>INDEX(연료전지_원본!$A$4:$KY$369,MATCH($A327,연료전지_원본!$A$4:$A$369,0),MATCH($CC$4,연료전지_원본!$A$4:$KY$4,0))</f>
        <v>0</v>
      </c>
      <c r="CD327" s="250">
        <f>INDEX(연료전지_원본!$KB$4:$KX$369,MATCH($A327,연료전지_원본!$KB$4:$KB$369,0), MATCH(CD$4,연료전지_원본!$KB$4:$KX$4,0))*1000</f>
        <v>0</v>
      </c>
      <c r="CE327" s="250">
        <f>INDEX(연료전지_원본!$KB$4:$KX$369,MATCH($A327,연료전지_원본!$KB$4:$KB$369,0), MATCH(CE$4,연료전지_원본!$KB$4:$KX$4,0))*1000</f>
        <v>0</v>
      </c>
      <c r="CF327" s="250">
        <f>INDEX(연료전지_원본!$KB$4:$KX$369,MATCH($A327,연료전지_원본!$KB$4:$KB$369,0), MATCH(CF$4,연료전지_원본!$KB$4:$KX$4,0))*1000</f>
        <v>0</v>
      </c>
      <c r="CG327" s="250">
        <f>INDEX(연료전지_원본!$KB$4:$KX$369,MATCH($A327,연료전지_원본!$KB$4:$KB$369,0), MATCH(CG$4,연료전지_원본!$KB$4:$KX$4,0))*1000</f>
        <v>0</v>
      </c>
      <c r="CH327" s="250">
        <f>INDEX(연료전지_원본!$KB$4:$KX$369,MATCH($A327,연료전지_원본!$KB$4:$KB$369,0), MATCH(CH$4,연료전지_원본!$KB$4:$KX$4,0))*1000</f>
        <v>0</v>
      </c>
      <c r="CI327" s="250">
        <f>INDEX(연료전지_원본!$KB$4:$KX$369,MATCH($A327,연료전지_원본!$KB$4:$KB$369,0), MATCH(CI$4,연료전지_원본!$KB$4:$KX$4,0))*1000</f>
        <v>0</v>
      </c>
      <c r="CJ327" s="250">
        <f>INDEX(연료전지_원본!$KB$4:$KX$369,MATCH($A327,연료전지_원본!$KB$4:$KB$369,0), MATCH(CJ$4,연료전지_원본!$KB$4:$KX$4,0))*1000</f>
        <v>0</v>
      </c>
      <c r="CK327" s="250">
        <f>INDEX(연료전지_원본!$KB$4:$KX$369,MATCH($A327,연료전지_원본!$KB$4:$KB$369,0), MATCH(CK$4,연료전지_원본!$KB$4:$KX$4,0))*1000</f>
        <v>0</v>
      </c>
      <c r="CL327" s="250">
        <f>INDEX(연료전지_원본!$KB$4:$KX$369,MATCH($A327,연료전지_원본!$KB$4:$KB$369,0), MATCH(CL$4,연료전지_원본!$KB$4:$KX$4,0))*1000</f>
        <v>0</v>
      </c>
      <c r="CM327" s="250">
        <f>INDEX(연료전지_원본!$KB$4:$KX$369,MATCH($A327,연료전지_원본!$KB$4:$KB$369,0), MATCH(CM$4,연료전지_원본!$KB$4:$KX$4,0))*1000</f>
        <v>0</v>
      </c>
      <c r="CN327" s="250">
        <f>INDEX(연료전지_원본!$KB$4:$KX$369,MATCH($A327,연료전지_원본!$KB$4:$KB$369,0), MATCH(CN$4,연료전지_원본!$KB$4:$KX$4,0))*1000</f>
        <v>0</v>
      </c>
      <c r="CO327" s="250">
        <f>INDEX(연료전지_원본!$KB$4:$KX$369,MATCH($A327,연료전지_원본!$KB$4:$KB$369,0), MATCH(CO$4,연료전지_원본!$KB$4:$KX$4,0))*1000</f>
        <v>0</v>
      </c>
      <c r="CP327" s="250">
        <f>INDEX(연료전지_원본!$KB$4:$KX$369,MATCH($A327,연료전지_원본!$KB$4:$KB$369,0), MATCH(CP$4,연료전지_원본!$KB$4:$KX$4,0))*1000</f>
        <v>0</v>
      </c>
      <c r="CQ327" s="250">
        <f>INDEX(연료전지_원본!$KB$4:$KX$369,MATCH($A327,연료전지_원본!$KB$4:$KB$369,0), MATCH(CQ$4,연료전지_원본!$KB$4:$KX$4,0))*1000</f>
        <v>0</v>
      </c>
      <c r="CR327" s="250">
        <f>INDEX(연료전지_원본!$KB$4:$KX$369,MATCH($A327,연료전지_원본!$KB$4:$KB$369,0), MATCH(CR$4,연료전지_원본!$KB$4:$KX$4,0))*1000</f>
        <v>0</v>
      </c>
      <c r="CS327" s="250">
        <f>INDEX(연료전지_원본!$KB$4:$KX$369,MATCH($A327,연료전지_원본!$KB$4:$KB$369,0), MATCH(CS$4,연료전지_원본!$KB$4:$KX$4,0))*1000</f>
        <v>0</v>
      </c>
      <c r="CT327" s="250">
        <f>INDEX(연료전지_원본!$KB$4:$KX$369,MATCH($A327,연료전지_원본!$KB$4:$KB$369,0), MATCH(CT$4,연료전지_원본!$KB$4:$KX$4,0))*1000</f>
        <v>0</v>
      </c>
      <c r="CU327" s="250">
        <f>INDEX(연료전지_원본!$KB$4:$KX$369,MATCH($A327,연료전지_원본!$KB$4:$KB$369,0), MATCH(CU$4,연료전지_원본!$KB$4:$KX$4,0))*1000</f>
        <v>0</v>
      </c>
      <c r="CV327" s="250">
        <f>INDEX(연료전지_원본!$KB$4:$KX$369,MATCH($A327,연료전지_원본!$KB$4:$KB$369,0), MATCH(CV$4,연료전지_원본!$KB$4:$KX$4,0))*1000</f>
        <v>0</v>
      </c>
      <c r="CW327" s="250">
        <f>INDEX(연료전지_원본!$KB$4:$KX$369,MATCH($A327,연료전지_원본!$KB$4:$KB$369,0), MATCH(CW$4,연료전지_원본!$KB$4:$KX$4,0))*1000</f>
        <v>0</v>
      </c>
      <c r="CX327" s="250">
        <f>INDEX(연료전지_원본!$KB$4:$KX$369,MATCH($A327,연료전지_원본!$KB$4:$KB$369,0), MATCH(CX$4,연료전지_원본!$KB$4:$KX$4,0))*1000</f>
        <v>0</v>
      </c>
      <c r="CY327" s="250">
        <f>INDEX(연료전지_원본!$KB$4:$KX$369,MATCH($A327,연료전지_원본!$KB$4:$KB$369,0), MATCH(CY$4,연료전지_원본!$KB$4:$KX$4,0))*1000</f>
        <v>0</v>
      </c>
      <c r="DV327" s="30">
        <f t="shared" si="1616"/>
        <v>0</v>
      </c>
    </row>
    <row r="328" spans="1:126">
      <c r="A328" s="6">
        <v>46345</v>
      </c>
      <c r="B328" s="15">
        <f>운전실적_원본!B328</f>
        <v>0</v>
      </c>
      <c r="C328" s="16" t="str">
        <f t="shared" si="1622"/>
        <v/>
      </c>
      <c r="D328" s="12">
        <f>운전실적_원본!C328</f>
        <v>0</v>
      </c>
      <c r="E328" s="12" t="str">
        <f t="shared" si="1623"/>
        <v/>
      </c>
      <c r="F328" s="12">
        <f>운전실적_원본!D328</f>
        <v>0</v>
      </c>
      <c r="G328" s="16" t="str">
        <f t="shared" si="1624"/>
        <v/>
      </c>
      <c r="H328" s="15">
        <f>운전실적_원본!E328</f>
        <v>0</v>
      </c>
      <c r="I328" s="16" t="str">
        <f t="shared" si="1625"/>
        <v/>
      </c>
      <c r="J328" s="15">
        <f>운전실적_원본!F328</f>
        <v>0</v>
      </c>
      <c r="K328" s="16" t="str">
        <f t="shared" si="1625"/>
        <v/>
      </c>
      <c r="L328" s="32">
        <f>운전실적_원본!G328</f>
        <v>0</v>
      </c>
      <c r="M328" s="31" t="str">
        <f t="shared" ref="M328" si="1792">IF(OR(LEN(L328)=0,L328=0),"",L328-L327)</f>
        <v/>
      </c>
      <c r="N328" s="15">
        <f>운전실적_원본!H328</f>
        <v>0</v>
      </c>
      <c r="O328" s="16" t="str">
        <f t="shared" ref="O328" si="1793">IF(OR(LEN(N328)=0,N328=0),"",N328-N327)</f>
        <v/>
      </c>
      <c r="P328" s="15">
        <f>운전실적_원본!I328</f>
        <v>0</v>
      </c>
      <c r="Q328" s="16" t="str">
        <f t="shared" ref="Q328" si="1794">IF(OR(LEN(P328)=0,P328=0),"",P328-P327)</f>
        <v/>
      </c>
      <c r="R328" s="18">
        <f>운전실적_원본!J328</f>
        <v>0</v>
      </c>
      <c r="S328" s="19" t="str">
        <f t="shared" ref="S328" si="1795">IF(OR(LEN(R328)=0,R328=0),"",R328-R327)</f>
        <v/>
      </c>
      <c r="T328" s="18">
        <f>운전실적_원본!K328</f>
        <v>0</v>
      </c>
      <c r="U328" s="19" t="str">
        <f t="shared" si="1630"/>
        <v/>
      </c>
      <c r="V328" s="12">
        <f>운전실적_원본!L328</f>
        <v>0</v>
      </c>
      <c r="W328" s="16" t="str">
        <f t="shared" ref="W328" si="1796">IF(OR(LEN(V328)=0,V328=0),"",V328-V327)</f>
        <v/>
      </c>
      <c r="X328" s="10">
        <f>운전실적_원본!M328</f>
        <v>0</v>
      </c>
      <c r="Y328" s="10">
        <f>운전실적_원본!N328</f>
        <v>0</v>
      </c>
      <c r="Z328" s="10">
        <f>운전실적_원본!O328</f>
        <v>0</v>
      </c>
      <c r="AA328" s="10">
        <f>운전실적_원본!P328</f>
        <v>0</v>
      </c>
      <c r="AB328" s="10">
        <f>운전실적_원본!Q328</f>
        <v>0</v>
      </c>
      <c r="AC328" s="20">
        <f>운전실적_원본!R328</f>
        <v>0</v>
      </c>
      <c r="AD328" s="109">
        <f>운전실적_원본!S328</f>
        <v>0</v>
      </c>
      <c r="AE328" s="110">
        <f>운전실적_원본!T328</f>
        <v>0</v>
      </c>
      <c r="AF328" s="110">
        <f>운전실적_원본!U328</f>
        <v>0</v>
      </c>
      <c r="AG328" s="110">
        <f>운전실적_원본!V328</f>
        <v>0</v>
      </c>
      <c r="AH328" s="109">
        <f t="shared" si="1784"/>
        <v>0</v>
      </c>
      <c r="AI328" s="110">
        <f t="shared" si="1791"/>
        <v>0</v>
      </c>
      <c r="AJ328" s="110">
        <f>운전실적_원본!Y328</f>
        <v>0</v>
      </c>
      <c r="AK328" s="110">
        <f>운전실적_원본!Z328</f>
        <v>0</v>
      </c>
      <c r="AL328" s="106"/>
      <c r="AM328" s="105"/>
      <c r="AN328" s="105"/>
      <c r="AO328" s="105"/>
      <c r="AP328" s="105"/>
      <c r="AQ328" s="108"/>
      <c r="AR328" s="105"/>
      <c r="AS328" s="105"/>
      <c r="AT328" s="102"/>
      <c r="AU328" s="102"/>
      <c r="AV328" s="102"/>
      <c r="AW328" s="102"/>
      <c r="AX328" s="32">
        <f>운전실적_원본!W328</f>
        <v>0</v>
      </c>
      <c r="AY328" s="11">
        <f>운전실적_원본!X328</f>
        <v>0</v>
      </c>
      <c r="AZ328" s="11">
        <f>운전실적_원본!Y328</f>
        <v>0</v>
      </c>
      <c r="BA328" s="11">
        <f>운전실적_원본!Z328</f>
        <v>0</v>
      </c>
      <c r="BB328" s="11">
        <f>운전실적_원본!AA328</f>
        <v>0</v>
      </c>
      <c r="BC328" s="11">
        <f>운전실적_원본!AB328</f>
        <v>0</v>
      </c>
      <c r="BD328" s="32" t="str">
        <f t="shared" si="1777"/>
        <v>-</v>
      </c>
      <c r="BE328" s="11" t="str">
        <f t="shared" si="1785"/>
        <v>-</v>
      </c>
      <c r="BF328" s="11">
        <f>운전실적_원본!AE328</f>
        <v>0</v>
      </c>
      <c r="BG328" s="31">
        <f t="shared" si="1778"/>
        <v>0</v>
      </c>
      <c r="BH328" s="241">
        <f>INDEX(연료전지_원본!$A$4:$KY$369,MATCH($A328,연료전지_원본!$A$4:$A$369,0),MATCH($BH$4,연료전지_원본!$A$4:$KY$4,0))</f>
        <v>0</v>
      </c>
      <c r="BI328" s="241">
        <f>INDEX(연료전지_원본!$A$4:$KY$369,MATCH($A328,연료전지_원본!$A$4:$A$369,0),MATCH($BI$4,연료전지_원본!$A$4:$KY$4,0))</f>
        <v>0</v>
      </c>
      <c r="BJ328" s="241">
        <f>INDEX(연료전지_원본!$A$4:$KY$369,MATCH($A328,연료전지_원본!$A$4:$A$369,0),MATCH($BJ$4,연료전지_원본!$A$4:$KY$4,0))</f>
        <v>0</v>
      </c>
      <c r="BK328" s="241">
        <f>INDEX(연료전지_원본!$A$4:$KY$369,MATCH($A328,연료전지_원본!$A$4:$A$369,0),MATCH($BK$4,연료전지_원본!$A$4:$KY$4,0))</f>
        <v>0</v>
      </c>
      <c r="BL328" s="241">
        <f>INDEX(연료전지_원본!$A$4:$KY$369,MATCH($A328,연료전지_원본!$A$4:$A$369,0),MATCH($BL$4,연료전지_원본!$A$4:$KY$4,0))</f>
        <v>0</v>
      </c>
      <c r="BM328" s="241">
        <f>INDEX(연료전지_원본!$A$4:$KY$369,MATCH($A328,연료전지_원본!$A$4:$A$369,0),MATCH($BM$4,연료전지_원본!$A$4:$KY$4,0))</f>
        <v>0</v>
      </c>
      <c r="BN328" s="241">
        <f>INDEX(연료전지_원본!$A$4:$KY$369,MATCH($A328,연료전지_원본!$A$4:$A$369,0),MATCH($BN$4,연료전지_원본!$A$4:$KY$4,0))</f>
        <v>0</v>
      </c>
      <c r="BO328" s="241">
        <f>INDEX(연료전지_원본!$A$4:$KY$369,MATCH($A328,연료전지_원본!$A$4:$A$369,0),MATCH($BO$4,연료전지_원본!$A$4:$KY$4,0))</f>
        <v>0</v>
      </c>
      <c r="BP328" s="241">
        <f>INDEX(연료전지_원본!$A$4:$KY$369,MATCH($A328,연료전지_원본!$A$4:$A$369,0),MATCH($BP$4,연료전지_원본!$A$4:$KY$4,0))</f>
        <v>0</v>
      </c>
      <c r="BQ328" s="241">
        <f>INDEX(연료전지_원본!$A$4:$KY$369,MATCH($A328,연료전지_원본!$A$4:$A$369,0),MATCH($BQ$4,연료전지_원본!$A$4:$KY$4,0))</f>
        <v>0</v>
      </c>
      <c r="BR328" s="241">
        <f>INDEX(연료전지_원본!$A$4:$KY$369,MATCH($A328,연료전지_원본!$A$4:$A$369,0),MATCH($BR$4,연료전지_원본!$A$4:$KY$4,0))</f>
        <v>0</v>
      </c>
      <c r="BS328" s="241">
        <f>INDEX(연료전지_원본!$A$4:$KY$369,MATCH($A328,연료전지_원본!$A$4:$A$369,0),MATCH($BS$4,연료전지_원본!$A$4:$KY$4,0))</f>
        <v>0</v>
      </c>
      <c r="BT328" s="241">
        <f>INDEX(연료전지_원본!$A$4:$KY$369,MATCH($A328,연료전지_원본!$A$4:$A$369,0),MATCH($BT$4,연료전지_원본!$A$4:$KY$4,0))</f>
        <v>0</v>
      </c>
      <c r="BU328" s="241">
        <f>INDEX(연료전지_원본!$A$4:$KY$369,MATCH($A328,연료전지_원본!$A$4:$A$369,0),MATCH($BU$4,연료전지_원본!$A$4:$KY$4,0))</f>
        <v>0</v>
      </c>
      <c r="BV328" s="241">
        <f>INDEX(연료전지_원본!$A$4:$KY$369,MATCH($A328,연료전지_원본!$A$4:$A$369,0),MATCH($BV$4,연료전지_원본!$A$4:$KY$4,0))</f>
        <v>0</v>
      </c>
      <c r="BW328" s="241">
        <f>INDEX(연료전지_원본!$A$4:$KY$369,MATCH($A328,연료전지_원본!$A$4:$A$369,0),MATCH($BW$4,연료전지_원본!$A$4:$KY$4,0))</f>
        <v>0</v>
      </c>
      <c r="BX328" s="241">
        <f>INDEX(연료전지_원본!$A$4:$KY$369,MATCH($A328,연료전지_원본!$A$4:$A$369,0),MATCH($BX$4,연료전지_원본!$A$4:$KY$4,0))</f>
        <v>0</v>
      </c>
      <c r="BY328" s="241">
        <f>INDEX(연료전지_원본!$A$4:$KY$369,MATCH($A328,연료전지_원본!$A$4:$A$369,0),MATCH($BY$4,연료전지_원본!$A$4:$KY$4,0))</f>
        <v>0</v>
      </c>
      <c r="BZ328" s="241">
        <f>INDEX(연료전지_원본!$A$4:$KY$369,MATCH($A328,연료전지_원본!$A$4:$A$369,0),MATCH($BZ$4,연료전지_원본!$A$4:$KY$4,0))</f>
        <v>0</v>
      </c>
      <c r="CA328" s="241">
        <f>INDEX(연료전지_원본!$A$4:$KY$369,MATCH($A328,연료전지_원본!$A$4:$A$369,0),MATCH($CA$4,연료전지_원본!$A$4:$KY$4,0))</f>
        <v>0</v>
      </c>
      <c r="CB328" s="241">
        <f>INDEX(연료전지_원본!$A$4:$KY$369,MATCH($A328,연료전지_원본!$A$4:$A$369,0),MATCH($CB$4,연료전지_원본!$A$4:$KY$4,0))</f>
        <v>0</v>
      </c>
      <c r="CC328" s="242">
        <f>INDEX(연료전지_원본!$A$4:$KY$369,MATCH($A328,연료전지_원본!$A$4:$A$369,0),MATCH($CC$4,연료전지_원본!$A$4:$KY$4,0))</f>
        <v>0</v>
      </c>
      <c r="CD328" s="250">
        <f>INDEX(연료전지_원본!$KB$4:$KX$369,MATCH($A328,연료전지_원본!$KB$4:$KB$369,0), MATCH(CD$4,연료전지_원본!$KB$4:$KX$4,0))*1000</f>
        <v>0</v>
      </c>
      <c r="CE328" s="250">
        <f>INDEX(연료전지_원본!$KB$4:$KX$369,MATCH($A328,연료전지_원본!$KB$4:$KB$369,0), MATCH(CE$4,연료전지_원본!$KB$4:$KX$4,0))*1000</f>
        <v>0</v>
      </c>
      <c r="CF328" s="250">
        <f>INDEX(연료전지_원본!$KB$4:$KX$369,MATCH($A328,연료전지_원본!$KB$4:$KB$369,0), MATCH(CF$4,연료전지_원본!$KB$4:$KX$4,0))*1000</f>
        <v>0</v>
      </c>
      <c r="CG328" s="250">
        <f>INDEX(연료전지_원본!$KB$4:$KX$369,MATCH($A328,연료전지_원본!$KB$4:$KB$369,0), MATCH(CG$4,연료전지_원본!$KB$4:$KX$4,0))*1000</f>
        <v>0</v>
      </c>
      <c r="CH328" s="250">
        <f>INDEX(연료전지_원본!$KB$4:$KX$369,MATCH($A328,연료전지_원본!$KB$4:$KB$369,0), MATCH(CH$4,연료전지_원본!$KB$4:$KX$4,0))*1000</f>
        <v>0</v>
      </c>
      <c r="CI328" s="250">
        <f>INDEX(연료전지_원본!$KB$4:$KX$369,MATCH($A328,연료전지_원본!$KB$4:$KB$369,0), MATCH(CI$4,연료전지_원본!$KB$4:$KX$4,0))*1000</f>
        <v>0</v>
      </c>
      <c r="CJ328" s="250">
        <f>INDEX(연료전지_원본!$KB$4:$KX$369,MATCH($A328,연료전지_원본!$KB$4:$KB$369,0), MATCH(CJ$4,연료전지_원본!$KB$4:$KX$4,0))*1000</f>
        <v>0</v>
      </c>
      <c r="CK328" s="250">
        <f>INDEX(연료전지_원본!$KB$4:$KX$369,MATCH($A328,연료전지_원본!$KB$4:$KB$369,0), MATCH(CK$4,연료전지_원본!$KB$4:$KX$4,0))*1000</f>
        <v>0</v>
      </c>
      <c r="CL328" s="250">
        <f>INDEX(연료전지_원본!$KB$4:$KX$369,MATCH($A328,연료전지_원본!$KB$4:$KB$369,0), MATCH(CL$4,연료전지_원본!$KB$4:$KX$4,0))*1000</f>
        <v>0</v>
      </c>
      <c r="CM328" s="250">
        <f>INDEX(연료전지_원본!$KB$4:$KX$369,MATCH($A328,연료전지_원본!$KB$4:$KB$369,0), MATCH(CM$4,연료전지_원본!$KB$4:$KX$4,0))*1000</f>
        <v>0</v>
      </c>
      <c r="CN328" s="250">
        <f>INDEX(연료전지_원본!$KB$4:$KX$369,MATCH($A328,연료전지_원본!$KB$4:$KB$369,0), MATCH(CN$4,연료전지_원본!$KB$4:$KX$4,0))*1000</f>
        <v>0</v>
      </c>
      <c r="CO328" s="250">
        <f>INDEX(연료전지_원본!$KB$4:$KX$369,MATCH($A328,연료전지_원본!$KB$4:$KB$369,0), MATCH(CO$4,연료전지_원본!$KB$4:$KX$4,0))*1000</f>
        <v>0</v>
      </c>
      <c r="CP328" s="250">
        <f>INDEX(연료전지_원본!$KB$4:$KX$369,MATCH($A328,연료전지_원본!$KB$4:$KB$369,0), MATCH(CP$4,연료전지_원본!$KB$4:$KX$4,0))*1000</f>
        <v>0</v>
      </c>
      <c r="CQ328" s="250">
        <f>INDEX(연료전지_원본!$KB$4:$KX$369,MATCH($A328,연료전지_원본!$KB$4:$KB$369,0), MATCH(CQ$4,연료전지_원본!$KB$4:$KX$4,0))*1000</f>
        <v>0</v>
      </c>
      <c r="CR328" s="250">
        <f>INDEX(연료전지_원본!$KB$4:$KX$369,MATCH($A328,연료전지_원본!$KB$4:$KB$369,0), MATCH(CR$4,연료전지_원본!$KB$4:$KX$4,0))*1000</f>
        <v>0</v>
      </c>
      <c r="CS328" s="250">
        <f>INDEX(연료전지_원본!$KB$4:$KX$369,MATCH($A328,연료전지_원본!$KB$4:$KB$369,0), MATCH(CS$4,연료전지_원본!$KB$4:$KX$4,0))*1000</f>
        <v>0</v>
      </c>
      <c r="CT328" s="250">
        <f>INDEX(연료전지_원본!$KB$4:$KX$369,MATCH($A328,연료전지_원본!$KB$4:$KB$369,0), MATCH(CT$4,연료전지_원본!$KB$4:$KX$4,0))*1000</f>
        <v>0</v>
      </c>
      <c r="CU328" s="250">
        <f>INDEX(연료전지_원본!$KB$4:$KX$369,MATCH($A328,연료전지_원본!$KB$4:$KB$369,0), MATCH(CU$4,연료전지_원본!$KB$4:$KX$4,0))*1000</f>
        <v>0</v>
      </c>
      <c r="CV328" s="250">
        <f>INDEX(연료전지_원본!$KB$4:$KX$369,MATCH($A328,연료전지_원본!$KB$4:$KB$369,0), MATCH(CV$4,연료전지_원본!$KB$4:$KX$4,0))*1000</f>
        <v>0</v>
      </c>
      <c r="CW328" s="250">
        <f>INDEX(연료전지_원본!$KB$4:$KX$369,MATCH($A328,연료전지_원본!$KB$4:$KB$369,0), MATCH(CW$4,연료전지_원본!$KB$4:$KX$4,0))*1000</f>
        <v>0</v>
      </c>
      <c r="CX328" s="250">
        <f>INDEX(연료전지_원본!$KB$4:$KX$369,MATCH($A328,연료전지_원본!$KB$4:$KB$369,0), MATCH(CX$4,연료전지_원본!$KB$4:$KX$4,0))*1000</f>
        <v>0</v>
      </c>
      <c r="CY328" s="250">
        <f>INDEX(연료전지_원본!$KB$4:$KX$369,MATCH($A328,연료전지_원본!$KB$4:$KB$369,0), MATCH(CY$4,연료전지_원본!$KB$4:$KX$4,0))*1000</f>
        <v>0</v>
      </c>
      <c r="DV328" s="30">
        <f t="shared" si="1616"/>
        <v>0</v>
      </c>
    </row>
    <row r="329" spans="1:126">
      <c r="A329" s="6">
        <v>46346</v>
      </c>
      <c r="B329" s="15">
        <f>운전실적_원본!B329</f>
        <v>0</v>
      </c>
      <c r="C329" s="16" t="str">
        <f t="shared" si="1622"/>
        <v/>
      </c>
      <c r="D329" s="12">
        <f>운전실적_원본!C329</f>
        <v>0</v>
      </c>
      <c r="E329" s="12" t="str">
        <f t="shared" si="1623"/>
        <v/>
      </c>
      <c r="F329" s="12">
        <f>운전실적_원본!D329</f>
        <v>0</v>
      </c>
      <c r="G329" s="16" t="str">
        <f t="shared" si="1624"/>
        <v/>
      </c>
      <c r="H329" s="15">
        <f>운전실적_원본!E329</f>
        <v>0</v>
      </c>
      <c r="I329" s="16" t="str">
        <f t="shared" si="1625"/>
        <v/>
      </c>
      <c r="J329" s="15">
        <f>운전실적_원본!F329</f>
        <v>0</v>
      </c>
      <c r="K329" s="16" t="str">
        <f t="shared" si="1625"/>
        <v/>
      </c>
      <c r="L329" s="32">
        <f>운전실적_원본!G329</f>
        <v>0</v>
      </c>
      <c r="M329" s="31" t="str">
        <f t="shared" ref="M329" si="1797">IF(OR(LEN(L329)=0,L329=0),"",L329-L328)</f>
        <v/>
      </c>
      <c r="N329" s="15">
        <f>운전실적_원본!H329</f>
        <v>0</v>
      </c>
      <c r="O329" s="16" t="str">
        <f t="shared" ref="O329" si="1798">IF(OR(LEN(N329)=0,N329=0),"",N329-N328)</f>
        <v/>
      </c>
      <c r="P329" s="15">
        <f>운전실적_원본!I329</f>
        <v>0</v>
      </c>
      <c r="Q329" s="16" t="str">
        <f t="shared" ref="Q329" si="1799">IF(OR(LEN(P329)=0,P329=0),"",P329-P328)</f>
        <v/>
      </c>
      <c r="R329" s="18">
        <f>운전실적_원본!J329</f>
        <v>0</v>
      </c>
      <c r="S329" s="19" t="str">
        <f t="shared" ref="S329" si="1800">IF(OR(LEN(R329)=0,R329=0),"",R329-R328)</f>
        <v/>
      </c>
      <c r="T329" s="18">
        <f>운전실적_원본!K329</f>
        <v>0</v>
      </c>
      <c r="U329" s="19" t="str">
        <f t="shared" si="1630"/>
        <v/>
      </c>
      <c r="V329" s="12">
        <f>운전실적_원본!L329</f>
        <v>0</v>
      </c>
      <c r="W329" s="16" t="str">
        <f t="shared" ref="W329" si="1801">IF(OR(LEN(V329)=0,V329=0),"",V329-V328)</f>
        <v/>
      </c>
      <c r="X329" s="10">
        <f>운전실적_원본!M329</f>
        <v>0</v>
      </c>
      <c r="Y329" s="10">
        <f>운전실적_원본!N329</f>
        <v>0</v>
      </c>
      <c r="Z329" s="10">
        <f>운전실적_원본!O329</f>
        <v>0</v>
      </c>
      <c r="AA329" s="10">
        <f>운전실적_원본!P329</f>
        <v>0</v>
      </c>
      <c r="AB329" s="10">
        <f>운전실적_원본!Q329</f>
        <v>0</v>
      </c>
      <c r="AC329" s="20">
        <f>운전실적_원본!R329</f>
        <v>0</v>
      </c>
      <c r="AD329" s="109">
        <f>운전실적_원본!S329</f>
        <v>0</v>
      </c>
      <c r="AE329" s="110">
        <f>운전실적_원본!T329</f>
        <v>0</v>
      </c>
      <c r="AF329" s="110">
        <f>운전실적_원본!U329</f>
        <v>0</v>
      </c>
      <c r="AG329" s="110">
        <f>운전실적_원본!V329</f>
        <v>0</v>
      </c>
      <c r="AH329" s="109">
        <f t="shared" si="1784"/>
        <v>0</v>
      </c>
      <c r="AI329" s="110">
        <f t="shared" si="1791"/>
        <v>0</v>
      </c>
      <c r="AJ329" s="110">
        <f>운전실적_원본!Y329</f>
        <v>0</v>
      </c>
      <c r="AK329" s="110">
        <f>운전실적_원본!Z329</f>
        <v>0</v>
      </c>
      <c r="AL329" s="106"/>
      <c r="AM329" s="105"/>
      <c r="AN329" s="105"/>
      <c r="AO329" s="105"/>
      <c r="AP329" s="105"/>
      <c r="AQ329" s="108"/>
      <c r="AR329" s="105"/>
      <c r="AS329" s="105"/>
      <c r="AT329" s="102"/>
      <c r="AU329" s="102"/>
      <c r="AV329" s="102"/>
      <c r="AW329" s="102"/>
      <c r="AX329" s="32">
        <f>운전실적_원본!W329</f>
        <v>0</v>
      </c>
      <c r="AY329" s="11">
        <f>운전실적_원본!X329</f>
        <v>0</v>
      </c>
      <c r="AZ329" s="11">
        <f>운전실적_원본!Y329</f>
        <v>0</v>
      </c>
      <c r="BA329" s="11">
        <f>운전실적_원본!Z329</f>
        <v>0</v>
      </c>
      <c r="BB329" s="11">
        <f>운전실적_원본!AA329</f>
        <v>0</v>
      </c>
      <c r="BC329" s="11">
        <f>운전실적_원본!AB329</f>
        <v>0</v>
      </c>
      <c r="BD329" s="32" t="str">
        <f t="shared" si="1777"/>
        <v>-</v>
      </c>
      <c r="BE329" s="11" t="str">
        <f t="shared" si="1785"/>
        <v>-</v>
      </c>
      <c r="BF329" s="11">
        <f>운전실적_원본!AE329</f>
        <v>0</v>
      </c>
      <c r="BG329" s="31">
        <f t="shared" si="1778"/>
        <v>0</v>
      </c>
      <c r="BH329" s="241">
        <f>INDEX(연료전지_원본!$A$4:$KY$369,MATCH($A329,연료전지_원본!$A$4:$A$369,0),MATCH($BH$4,연료전지_원본!$A$4:$KY$4,0))</f>
        <v>0</v>
      </c>
      <c r="BI329" s="241">
        <f>INDEX(연료전지_원본!$A$4:$KY$369,MATCH($A329,연료전지_원본!$A$4:$A$369,0),MATCH($BI$4,연료전지_원본!$A$4:$KY$4,0))</f>
        <v>0</v>
      </c>
      <c r="BJ329" s="241">
        <f>INDEX(연료전지_원본!$A$4:$KY$369,MATCH($A329,연료전지_원본!$A$4:$A$369,0),MATCH($BJ$4,연료전지_원본!$A$4:$KY$4,0))</f>
        <v>0</v>
      </c>
      <c r="BK329" s="241">
        <f>INDEX(연료전지_원본!$A$4:$KY$369,MATCH($A329,연료전지_원본!$A$4:$A$369,0),MATCH($BK$4,연료전지_원본!$A$4:$KY$4,0))</f>
        <v>0</v>
      </c>
      <c r="BL329" s="241">
        <f>INDEX(연료전지_원본!$A$4:$KY$369,MATCH($A329,연료전지_원본!$A$4:$A$369,0),MATCH($BL$4,연료전지_원본!$A$4:$KY$4,0))</f>
        <v>0</v>
      </c>
      <c r="BM329" s="241">
        <f>INDEX(연료전지_원본!$A$4:$KY$369,MATCH($A329,연료전지_원본!$A$4:$A$369,0),MATCH($BM$4,연료전지_원본!$A$4:$KY$4,0))</f>
        <v>0</v>
      </c>
      <c r="BN329" s="241">
        <f>INDEX(연료전지_원본!$A$4:$KY$369,MATCH($A329,연료전지_원본!$A$4:$A$369,0),MATCH($BN$4,연료전지_원본!$A$4:$KY$4,0))</f>
        <v>0</v>
      </c>
      <c r="BO329" s="241">
        <f>INDEX(연료전지_원본!$A$4:$KY$369,MATCH($A329,연료전지_원본!$A$4:$A$369,0),MATCH($BO$4,연료전지_원본!$A$4:$KY$4,0))</f>
        <v>0</v>
      </c>
      <c r="BP329" s="241">
        <f>INDEX(연료전지_원본!$A$4:$KY$369,MATCH($A329,연료전지_원본!$A$4:$A$369,0),MATCH($BP$4,연료전지_원본!$A$4:$KY$4,0))</f>
        <v>0</v>
      </c>
      <c r="BQ329" s="241">
        <f>INDEX(연료전지_원본!$A$4:$KY$369,MATCH($A329,연료전지_원본!$A$4:$A$369,0),MATCH($BQ$4,연료전지_원본!$A$4:$KY$4,0))</f>
        <v>0</v>
      </c>
      <c r="BR329" s="241">
        <f>INDEX(연료전지_원본!$A$4:$KY$369,MATCH($A329,연료전지_원본!$A$4:$A$369,0),MATCH($BR$4,연료전지_원본!$A$4:$KY$4,0))</f>
        <v>0</v>
      </c>
      <c r="BS329" s="241">
        <f>INDEX(연료전지_원본!$A$4:$KY$369,MATCH($A329,연료전지_원본!$A$4:$A$369,0),MATCH($BS$4,연료전지_원본!$A$4:$KY$4,0))</f>
        <v>0</v>
      </c>
      <c r="BT329" s="241">
        <f>INDEX(연료전지_원본!$A$4:$KY$369,MATCH($A329,연료전지_원본!$A$4:$A$369,0),MATCH($BT$4,연료전지_원본!$A$4:$KY$4,0))</f>
        <v>0</v>
      </c>
      <c r="BU329" s="241">
        <f>INDEX(연료전지_원본!$A$4:$KY$369,MATCH($A329,연료전지_원본!$A$4:$A$369,0),MATCH($BU$4,연료전지_원본!$A$4:$KY$4,0))</f>
        <v>0</v>
      </c>
      <c r="BV329" s="241">
        <f>INDEX(연료전지_원본!$A$4:$KY$369,MATCH($A329,연료전지_원본!$A$4:$A$369,0),MATCH($BV$4,연료전지_원본!$A$4:$KY$4,0))</f>
        <v>0</v>
      </c>
      <c r="BW329" s="241">
        <f>INDEX(연료전지_원본!$A$4:$KY$369,MATCH($A329,연료전지_원본!$A$4:$A$369,0),MATCH($BW$4,연료전지_원본!$A$4:$KY$4,0))</f>
        <v>0</v>
      </c>
      <c r="BX329" s="241">
        <f>INDEX(연료전지_원본!$A$4:$KY$369,MATCH($A329,연료전지_원본!$A$4:$A$369,0),MATCH($BX$4,연료전지_원본!$A$4:$KY$4,0))</f>
        <v>0</v>
      </c>
      <c r="BY329" s="241">
        <f>INDEX(연료전지_원본!$A$4:$KY$369,MATCH($A329,연료전지_원본!$A$4:$A$369,0),MATCH($BY$4,연료전지_원본!$A$4:$KY$4,0))</f>
        <v>0</v>
      </c>
      <c r="BZ329" s="241">
        <f>INDEX(연료전지_원본!$A$4:$KY$369,MATCH($A329,연료전지_원본!$A$4:$A$369,0),MATCH($BZ$4,연료전지_원본!$A$4:$KY$4,0))</f>
        <v>0</v>
      </c>
      <c r="CA329" s="241">
        <f>INDEX(연료전지_원본!$A$4:$KY$369,MATCH($A329,연료전지_원본!$A$4:$A$369,0),MATCH($CA$4,연료전지_원본!$A$4:$KY$4,0))</f>
        <v>0</v>
      </c>
      <c r="CB329" s="241">
        <f>INDEX(연료전지_원본!$A$4:$KY$369,MATCH($A329,연료전지_원본!$A$4:$A$369,0),MATCH($CB$4,연료전지_원본!$A$4:$KY$4,0))</f>
        <v>0</v>
      </c>
      <c r="CC329" s="242">
        <f>INDEX(연료전지_원본!$A$4:$KY$369,MATCH($A329,연료전지_원본!$A$4:$A$369,0),MATCH($CC$4,연료전지_원본!$A$4:$KY$4,0))</f>
        <v>0</v>
      </c>
      <c r="CD329" s="250">
        <f>INDEX(연료전지_원본!$KB$4:$KX$369,MATCH($A329,연료전지_원본!$KB$4:$KB$369,0), MATCH(CD$4,연료전지_원본!$KB$4:$KX$4,0))*1000</f>
        <v>0</v>
      </c>
      <c r="CE329" s="250">
        <f>INDEX(연료전지_원본!$KB$4:$KX$369,MATCH($A329,연료전지_원본!$KB$4:$KB$369,0), MATCH(CE$4,연료전지_원본!$KB$4:$KX$4,0))*1000</f>
        <v>0</v>
      </c>
      <c r="CF329" s="250">
        <f>INDEX(연료전지_원본!$KB$4:$KX$369,MATCH($A329,연료전지_원본!$KB$4:$KB$369,0), MATCH(CF$4,연료전지_원본!$KB$4:$KX$4,0))*1000</f>
        <v>0</v>
      </c>
      <c r="CG329" s="250">
        <f>INDEX(연료전지_원본!$KB$4:$KX$369,MATCH($A329,연료전지_원본!$KB$4:$KB$369,0), MATCH(CG$4,연료전지_원본!$KB$4:$KX$4,0))*1000</f>
        <v>0</v>
      </c>
      <c r="CH329" s="250">
        <f>INDEX(연료전지_원본!$KB$4:$KX$369,MATCH($A329,연료전지_원본!$KB$4:$KB$369,0), MATCH(CH$4,연료전지_원본!$KB$4:$KX$4,0))*1000</f>
        <v>0</v>
      </c>
      <c r="CI329" s="250">
        <f>INDEX(연료전지_원본!$KB$4:$KX$369,MATCH($A329,연료전지_원본!$KB$4:$KB$369,0), MATCH(CI$4,연료전지_원본!$KB$4:$KX$4,0))*1000</f>
        <v>0</v>
      </c>
      <c r="CJ329" s="250">
        <f>INDEX(연료전지_원본!$KB$4:$KX$369,MATCH($A329,연료전지_원본!$KB$4:$KB$369,0), MATCH(CJ$4,연료전지_원본!$KB$4:$KX$4,0))*1000</f>
        <v>0</v>
      </c>
      <c r="CK329" s="250">
        <f>INDEX(연료전지_원본!$KB$4:$KX$369,MATCH($A329,연료전지_원본!$KB$4:$KB$369,0), MATCH(CK$4,연료전지_원본!$KB$4:$KX$4,0))*1000</f>
        <v>0</v>
      </c>
      <c r="CL329" s="250">
        <f>INDEX(연료전지_원본!$KB$4:$KX$369,MATCH($A329,연료전지_원본!$KB$4:$KB$369,0), MATCH(CL$4,연료전지_원본!$KB$4:$KX$4,0))*1000</f>
        <v>0</v>
      </c>
      <c r="CM329" s="250">
        <f>INDEX(연료전지_원본!$KB$4:$KX$369,MATCH($A329,연료전지_원본!$KB$4:$KB$369,0), MATCH(CM$4,연료전지_원본!$KB$4:$KX$4,0))*1000</f>
        <v>0</v>
      </c>
      <c r="CN329" s="250">
        <f>INDEX(연료전지_원본!$KB$4:$KX$369,MATCH($A329,연료전지_원본!$KB$4:$KB$369,0), MATCH(CN$4,연료전지_원본!$KB$4:$KX$4,0))*1000</f>
        <v>0</v>
      </c>
      <c r="CO329" s="250">
        <f>INDEX(연료전지_원본!$KB$4:$KX$369,MATCH($A329,연료전지_원본!$KB$4:$KB$369,0), MATCH(CO$4,연료전지_원본!$KB$4:$KX$4,0))*1000</f>
        <v>0</v>
      </c>
      <c r="CP329" s="250">
        <f>INDEX(연료전지_원본!$KB$4:$KX$369,MATCH($A329,연료전지_원본!$KB$4:$KB$369,0), MATCH(CP$4,연료전지_원본!$KB$4:$KX$4,0))*1000</f>
        <v>0</v>
      </c>
      <c r="CQ329" s="250">
        <f>INDEX(연료전지_원본!$KB$4:$KX$369,MATCH($A329,연료전지_원본!$KB$4:$KB$369,0), MATCH(CQ$4,연료전지_원본!$KB$4:$KX$4,0))*1000</f>
        <v>0</v>
      </c>
      <c r="CR329" s="250">
        <f>INDEX(연료전지_원본!$KB$4:$KX$369,MATCH($A329,연료전지_원본!$KB$4:$KB$369,0), MATCH(CR$4,연료전지_원본!$KB$4:$KX$4,0))*1000</f>
        <v>0</v>
      </c>
      <c r="CS329" s="250">
        <f>INDEX(연료전지_원본!$KB$4:$KX$369,MATCH($A329,연료전지_원본!$KB$4:$KB$369,0), MATCH(CS$4,연료전지_원본!$KB$4:$KX$4,0))*1000</f>
        <v>0</v>
      </c>
      <c r="CT329" s="250">
        <f>INDEX(연료전지_원본!$KB$4:$KX$369,MATCH($A329,연료전지_원본!$KB$4:$KB$369,0), MATCH(CT$4,연료전지_원본!$KB$4:$KX$4,0))*1000</f>
        <v>0</v>
      </c>
      <c r="CU329" s="250">
        <f>INDEX(연료전지_원본!$KB$4:$KX$369,MATCH($A329,연료전지_원본!$KB$4:$KB$369,0), MATCH(CU$4,연료전지_원본!$KB$4:$KX$4,0))*1000</f>
        <v>0</v>
      </c>
      <c r="CV329" s="250">
        <f>INDEX(연료전지_원본!$KB$4:$KX$369,MATCH($A329,연료전지_원본!$KB$4:$KB$369,0), MATCH(CV$4,연료전지_원본!$KB$4:$KX$4,0))*1000</f>
        <v>0</v>
      </c>
      <c r="CW329" s="250">
        <f>INDEX(연료전지_원본!$KB$4:$KX$369,MATCH($A329,연료전지_원본!$KB$4:$KB$369,0), MATCH(CW$4,연료전지_원본!$KB$4:$KX$4,0))*1000</f>
        <v>0</v>
      </c>
      <c r="CX329" s="250">
        <f>INDEX(연료전지_원본!$KB$4:$KX$369,MATCH($A329,연료전지_원본!$KB$4:$KB$369,0), MATCH(CX$4,연료전지_원본!$KB$4:$KX$4,0))*1000</f>
        <v>0</v>
      </c>
      <c r="CY329" s="250">
        <f>INDEX(연료전지_원본!$KB$4:$KX$369,MATCH($A329,연료전지_원본!$KB$4:$KB$369,0), MATCH(CY$4,연료전지_원본!$KB$4:$KX$4,0))*1000</f>
        <v>0</v>
      </c>
      <c r="DV329" s="30">
        <f t="shared" si="1616"/>
        <v>0</v>
      </c>
    </row>
    <row r="330" spans="1:126">
      <c r="A330" s="6">
        <v>46347</v>
      </c>
      <c r="B330" s="15">
        <f>운전실적_원본!B330</f>
        <v>0</v>
      </c>
      <c r="C330" s="16" t="str">
        <f t="shared" si="1622"/>
        <v/>
      </c>
      <c r="D330" s="12">
        <f>운전실적_원본!C330</f>
        <v>0</v>
      </c>
      <c r="E330" s="12" t="str">
        <f t="shared" si="1623"/>
        <v/>
      </c>
      <c r="F330" s="12">
        <f>운전실적_원본!D330</f>
        <v>0</v>
      </c>
      <c r="G330" s="16" t="str">
        <f t="shared" si="1624"/>
        <v/>
      </c>
      <c r="H330" s="15">
        <f>운전실적_원본!E330</f>
        <v>0</v>
      </c>
      <c r="I330" s="16" t="str">
        <f t="shared" si="1625"/>
        <v/>
      </c>
      <c r="J330" s="15">
        <f>운전실적_원본!F330</f>
        <v>0</v>
      </c>
      <c r="K330" s="16" t="str">
        <f t="shared" si="1625"/>
        <v/>
      </c>
      <c r="L330" s="32">
        <f>운전실적_원본!G330</f>
        <v>0</v>
      </c>
      <c r="M330" s="31" t="str">
        <f t="shared" ref="M330" si="1802">IF(OR(LEN(L330)=0,L330=0),"",L330-L329)</f>
        <v/>
      </c>
      <c r="N330" s="15">
        <f>운전실적_원본!H330</f>
        <v>0</v>
      </c>
      <c r="O330" s="16" t="str">
        <f t="shared" ref="O330" si="1803">IF(OR(LEN(N330)=0,N330=0),"",N330-N329)</f>
        <v/>
      </c>
      <c r="P330" s="15">
        <f>운전실적_원본!I330</f>
        <v>0</v>
      </c>
      <c r="Q330" s="16" t="str">
        <f t="shared" ref="Q330" si="1804">IF(OR(LEN(P330)=0,P330=0),"",P330-P329)</f>
        <v/>
      </c>
      <c r="R330" s="18">
        <f>운전실적_원본!J330</f>
        <v>0</v>
      </c>
      <c r="S330" s="19" t="str">
        <f t="shared" ref="S330" si="1805">IF(OR(LEN(R330)=0,R330=0),"",R330-R329)</f>
        <v/>
      </c>
      <c r="T330" s="18">
        <f>운전실적_원본!K330</f>
        <v>0</v>
      </c>
      <c r="U330" s="19" t="str">
        <f t="shared" si="1630"/>
        <v/>
      </c>
      <c r="V330" s="12">
        <f>운전실적_원본!L330</f>
        <v>0</v>
      </c>
      <c r="W330" s="16" t="str">
        <f t="shared" ref="W330" si="1806">IF(OR(LEN(V330)=0,V330=0),"",V330-V329)</f>
        <v/>
      </c>
      <c r="X330" s="10">
        <f>운전실적_원본!M330</f>
        <v>0</v>
      </c>
      <c r="Y330" s="10">
        <f>운전실적_원본!N330</f>
        <v>0</v>
      </c>
      <c r="Z330" s="10">
        <f>운전실적_원본!O330</f>
        <v>0</v>
      </c>
      <c r="AA330" s="10">
        <f>운전실적_원본!P330</f>
        <v>0</v>
      </c>
      <c r="AB330" s="10">
        <f>운전실적_원본!Q330</f>
        <v>0</v>
      </c>
      <c r="AC330" s="20">
        <f>운전실적_원본!R330</f>
        <v>0</v>
      </c>
      <c r="AD330" s="109">
        <f>운전실적_원본!S330</f>
        <v>0</v>
      </c>
      <c r="AE330" s="110">
        <f>운전실적_원본!T330</f>
        <v>0</v>
      </c>
      <c r="AF330" s="110">
        <f>운전실적_원본!U330</f>
        <v>0</v>
      </c>
      <c r="AG330" s="110">
        <f>운전실적_원본!V330</f>
        <v>0</v>
      </c>
      <c r="AH330" s="109">
        <f t="shared" si="1784"/>
        <v>0</v>
      </c>
      <c r="AI330" s="110">
        <f t="shared" si="1791"/>
        <v>0</v>
      </c>
      <c r="AJ330" s="110">
        <f>운전실적_원본!Y330</f>
        <v>0</v>
      </c>
      <c r="AK330" s="110">
        <f>운전실적_원본!Z330</f>
        <v>0</v>
      </c>
      <c r="AL330" s="106"/>
      <c r="AM330" s="105"/>
      <c r="AN330" s="105"/>
      <c r="AO330" s="105"/>
      <c r="AP330" s="105"/>
      <c r="AQ330" s="108"/>
      <c r="AR330" s="105"/>
      <c r="AS330" s="105"/>
      <c r="AT330" s="102"/>
      <c r="AU330" s="102"/>
      <c r="AV330" s="102"/>
      <c r="AW330" s="102"/>
      <c r="AX330" s="32">
        <f>운전실적_원본!W330</f>
        <v>0</v>
      </c>
      <c r="AY330" s="11">
        <f>운전실적_원본!X330</f>
        <v>0</v>
      </c>
      <c r="AZ330" s="11">
        <f>운전실적_원본!Y330</f>
        <v>0</v>
      </c>
      <c r="BA330" s="11">
        <f>운전실적_원본!Z330</f>
        <v>0</v>
      </c>
      <c r="BB330" s="11">
        <f>운전실적_원본!AA330</f>
        <v>0</v>
      </c>
      <c r="BC330" s="11">
        <f>운전실적_원본!AB330</f>
        <v>0</v>
      </c>
      <c r="BD330" s="32" t="str">
        <f t="shared" si="1777"/>
        <v>-</v>
      </c>
      <c r="BE330" s="11" t="str">
        <f t="shared" si="1785"/>
        <v>-</v>
      </c>
      <c r="BF330" s="11">
        <f>운전실적_원본!AE330</f>
        <v>0</v>
      </c>
      <c r="BG330" s="31">
        <f t="shared" si="1778"/>
        <v>0</v>
      </c>
      <c r="BH330" s="241">
        <f>INDEX(연료전지_원본!$A$4:$KY$369,MATCH($A330,연료전지_원본!$A$4:$A$369,0),MATCH($BH$4,연료전지_원본!$A$4:$KY$4,0))</f>
        <v>0</v>
      </c>
      <c r="BI330" s="241">
        <f>INDEX(연료전지_원본!$A$4:$KY$369,MATCH($A330,연료전지_원본!$A$4:$A$369,0),MATCH($BI$4,연료전지_원본!$A$4:$KY$4,0))</f>
        <v>0</v>
      </c>
      <c r="BJ330" s="241">
        <f>INDEX(연료전지_원본!$A$4:$KY$369,MATCH($A330,연료전지_원본!$A$4:$A$369,0),MATCH($BJ$4,연료전지_원본!$A$4:$KY$4,0))</f>
        <v>0</v>
      </c>
      <c r="BK330" s="241">
        <f>INDEX(연료전지_원본!$A$4:$KY$369,MATCH($A330,연료전지_원본!$A$4:$A$369,0),MATCH($BK$4,연료전지_원본!$A$4:$KY$4,0))</f>
        <v>0</v>
      </c>
      <c r="BL330" s="241">
        <f>INDEX(연료전지_원본!$A$4:$KY$369,MATCH($A330,연료전지_원본!$A$4:$A$369,0),MATCH($BL$4,연료전지_원본!$A$4:$KY$4,0))</f>
        <v>0</v>
      </c>
      <c r="BM330" s="241">
        <f>INDEX(연료전지_원본!$A$4:$KY$369,MATCH($A330,연료전지_원본!$A$4:$A$369,0),MATCH($BM$4,연료전지_원본!$A$4:$KY$4,0))</f>
        <v>0</v>
      </c>
      <c r="BN330" s="241">
        <f>INDEX(연료전지_원본!$A$4:$KY$369,MATCH($A330,연료전지_원본!$A$4:$A$369,0),MATCH($BN$4,연료전지_원본!$A$4:$KY$4,0))</f>
        <v>0</v>
      </c>
      <c r="BO330" s="241">
        <f>INDEX(연료전지_원본!$A$4:$KY$369,MATCH($A330,연료전지_원본!$A$4:$A$369,0),MATCH($BO$4,연료전지_원본!$A$4:$KY$4,0))</f>
        <v>0</v>
      </c>
      <c r="BP330" s="241">
        <f>INDEX(연료전지_원본!$A$4:$KY$369,MATCH($A330,연료전지_원본!$A$4:$A$369,0),MATCH($BP$4,연료전지_원본!$A$4:$KY$4,0))</f>
        <v>0</v>
      </c>
      <c r="BQ330" s="241">
        <f>INDEX(연료전지_원본!$A$4:$KY$369,MATCH($A330,연료전지_원본!$A$4:$A$369,0),MATCH($BQ$4,연료전지_원본!$A$4:$KY$4,0))</f>
        <v>0</v>
      </c>
      <c r="BR330" s="241">
        <f>INDEX(연료전지_원본!$A$4:$KY$369,MATCH($A330,연료전지_원본!$A$4:$A$369,0),MATCH($BR$4,연료전지_원본!$A$4:$KY$4,0))</f>
        <v>0</v>
      </c>
      <c r="BS330" s="241">
        <f>INDEX(연료전지_원본!$A$4:$KY$369,MATCH($A330,연료전지_원본!$A$4:$A$369,0),MATCH($BS$4,연료전지_원본!$A$4:$KY$4,0))</f>
        <v>0</v>
      </c>
      <c r="BT330" s="241">
        <f>INDEX(연료전지_원본!$A$4:$KY$369,MATCH($A330,연료전지_원본!$A$4:$A$369,0),MATCH($BT$4,연료전지_원본!$A$4:$KY$4,0))</f>
        <v>0</v>
      </c>
      <c r="BU330" s="241">
        <f>INDEX(연료전지_원본!$A$4:$KY$369,MATCH($A330,연료전지_원본!$A$4:$A$369,0),MATCH($BU$4,연료전지_원본!$A$4:$KY$4,0))</f>
        <v>0</v>
      </c>
      <c r="BV330" s="241">
        <f>INDEX(연료전지_원본!$A$4:$KY$369,MATCH($A330,연료전지_원본!$A$4:$A$369,0),MATCH($BV$4,연료전지_원본!$A$4:$KY$4,0))</f>
        <v>0</v>
      </c>
      <c r="BW330" s="241">
        <f>INDEX(연료전지_원본!$A$4:$KY$369,MATCH($A330,연료전지_원본!$A$4:$A$369,0),MATCH($BW$4,연료전지_원본!$A$4:$KY$4,0))</f>
        <v>0</v>
      </c>
      <c r="BX330" s="241">
        <f>INDEX(연료전지_원본!$A$4:$KY$369,MATCH($A330,연료전지_원본!$A$4:$A$369,0),MATCH($BX$4,연료전지_원본!$A$4:$KY$4,0))</f>
        <v>0</v>
      </c>
      <c r="BY330" s="241">
        <f>INDEX(연료전지_원본!$A$4:$KY$369,MATCH($A330,연료전지_원본!$A$4:$A$369,0),MATCH($BY$4,연료전지_원본!$A$4:$KY$4,0))</f>
        <v>0</v>
      </c>
      <c r="BZ330" s="241">
        <f>INDEX(연료전지_원본!$A$4:$KY$369,MATCH($A330,연료전지_원본!$A$4:$A$369,0),MATCH($BZ$4,연료전지_원본!$A$4:$KY$4,0))</f>
        <v>0</v>
      </c>
      <c r="CA330" s="241">
        <f>INDEX(연료전지_원본!$A$4:$KY$369,MATCH($A330,연료전지_원본!$A$4:$A$369,0),MATCH($CA$4,연료전지_원본!$A$4:$KY$4,0))</f>
        <v>0</v>
      </c>
      <c r="CB330" s="241">
        <f>INDEX(연료전지_원본!$A$4:$KY$369,MATCH($A330,연료전지_원본!$A$4:$A$369,0),MATCH($CB$4,연료전지_원본!$A$4:$KY$4,0))</f>
        <v>0</v>
      </c>
      <c r="CC330" s="242">
        <f>INDEX(연료전지_원본!$A$4:$KY$369,MATCH($A330,연료전지_원본!$A$4:$A$369,0),MATCH($CC$4,연료전지_원본!$A$4:$KY$4,0))</f>
        <v>0</v>
      </c>
      <c r="CD330" s="250">
        <f>INDEX(연료전지_원본!$KB$4:$KX$369,MATCH($A330,연료전지_원본!$KB$4:$KB$369,0), MATCH(CD$4,연료전지_원본!$KB$4:$KX$4,0))*1000</f>
        <v>0</v>
      </c>
      <c r="CE330" s="250">
        <f>INDEX(연료전지_원본!$KB$4:$KX$369,MATCH($A330,연료전지_원본!$KB$4:$KB$369,0), MATCH(CE$4,연료전지_원본!$KB$4:$KX$4,0))*1000</f>
        <v>0</v>
      </c>
      <c r="CF330" s="250">
        <f>INDEX(연료전지_원본!$KB$4:$KX$369,MATCH($A330,연료전지_원본!$KB$4:$KB$369,0), MATCH(CF$4,연료전지_원본!$KB$4:$KX$4,0))*1000</f>
        <v>0</v>
      </c>
      <c r="CG330" s="250">
        <f>INDEX(연료전지_원본!$KB$4:$KX$369,MATCH($A330,연료전지_원본!$KB$4:$KB$369,0), MATCH(CG$4,연료전지_원본!$KB$4:$KX$4,0))*1000</f>
        <v>0</v>
      </c>
      <c r="CH330" s="250">
        <f>INDEX(연료전지_원본!$KB$4:$KX$369,MATCH($A330,연료전지_원본!$KB$4:$KB$369,0), MATCH(CH$4,연료전지_원본!$KB$4:$KX$4,0))*1000</f>
        <v>0</v>
      </c>
      <c r="CI330" s="250">
        <f>INDEX(연료전지_원본!$KB$4:$KX$369,MATCH($A330,연료전지_원본!$KB$4:$KB$369,0), MATCH(CI$4,연료전지_원본!$KB$4:$KX$4,0))*1000</f>
        <v>0</v>
      </c>
      <c r="CJ330" s="250">
        <f>INDEX(연료전지_원본!$KB$4:$KX$369,MATCH($A330,연료전지_원본!$KB$4:$KB$369,0), MATCH(CJ$4,연료전지_원본!$KB$4:$KX$4,0))*1000</f>
        <v>0</v>
      </c>
      <c r="CK330" s="250">
        <f>INDEX(연료전지_원본!$KB$4:$KX$369,MATCH($A330,연료전지_원본!$KB$4:$KB$369,0), MATCH(CK$4,연료전지_원본!$KB$4:$KX$4,0))*1000</f>
        <v>0</v>
      </c>
      <c r="CL330" s="250">
        <f>INDEX(연료전지_원본!$KB$4:$KX$369,MATCH($A330,연료전지_원본!$KB$4:$KB$369,0), MATCH(CL$4,연료전지_원본!$KB$4:$KX$4,0))*1000</f>
        <v>0</v>
      </c>
      <c r="CM330" s="250">
        <f>INDEX(연료전지_원본!$KB$4:$KX$369,MATCH($A330,연료전지_원본!$KB$4:$KB$369,0), MATCH(CM$4,연료전지_원본!$KB$4:$KX$4,0))*1000</f>
        <v>0</v>
      </c>
      <c r="CN330" s="250">
        <f>INDEX(연료전지_원본!$KB$4:$KX$369,MATCH($A330,연료전지_원본!$KB$4:$KB$369,0), MATCH(CN$4,연료전지_원본!$KB$4:$KX$4,0))*1000</f>
        <v>0</v>
      </c>
      <c r="CO330" s="250">
        <f>INDEX(연료전지_원본!$KB$4:$KX$369,MATCH($A330,연료전지_원본!$KB$4:$KB$369,0), MATCH(CO$4,연료전지_원본!$KB$4:$KX$4,0))*1000</f>
        <v>0</v>
      </c>
      <c r="CP330" s="250">
        <f>INDEX(연료전지_원본!$KB$4:$KX$369,MATCH($A330,연료전지_원본!$KB$4:$KB$369,0), MATCH(CP$4,연료전지_원본!$KB$4:$KX$4,0))*1000</f>
        <v>0</v>
      </c>
      <c r="CQ330" s="250">
        <f>INDEX(연료전지_원본!$KB$4:$KX$369,MATCH($A330,연료전지_원본!$KB$4:$KB$369,0), MATCH(CQ$4,연료전지_원본!$KB$4:$KX$4,0))*1000</f>
        <v>0</v>
      </c>
      <c r="CR330" s="250">
        <f>INDEX(연료전지_원본!$KB$4:$KX$369,MATCH($A330,연료전지_원본!$KB$4:$KB$369,0), MATCH(CR$4,연료전지_원본!$KB$4:$KX$4,0))*1000</f>
        <v>0</v>
      </c>
      <c r="CS330" s="250">
        <f>INDEX(연료전지_원본!$KB$4:$KX$369,MATCH($A330,연료전지_원본!$KB$4:$KB$369,0), MATCH(CS$4,연료전지_원본!$KB$4:$KX$4,0))*1000</f>
        <v>0</v>
      </c>
      <c r="CT330" s="250">
        <f>INDEX(연료전지_원본!$KB$4:$KX$369,MATCH($A330,연료전지_원본!$KB$4:$KB$369,0), MATCH(CT$4,연료전지_원본!$KB$4:$KX$4,0))*1000</f>
        <v>0</v>
      </c>
      <c r="CU330" s="250">
        <f>INDEX(연료전지_원본!$KB$4:$KX$369,MATCH($A330,연료전지_원본!$KB$4:$KB$369,0), MATCH(CU$4,연료전지_원본!$KB$4:$KX$4,0))*1000</f>
        <v>0</v>
      </c>
      <c r="CV330" s="250">
        <f>INDEX(연료전지_원본!$KB$4:$KX$369,MATCH($A330,연료전지_원본!$KB$4:$KB$369,0), MATCH(CV$4,연료전지_원본!$KB$4:$KX$4,0))*1000</f>
        <v>0</v>
      </c>
      <c r="CW330" s="250">
        <f>INDEX(연료전지_원본!$KB$4:$KX$369,MATCH($A330,연료전지_원본!$KB$4:$KB$369,0), MATCH(CW$4,연료전지_원본!$KB$4:$KX$4,0))*1000</f>
        <v>0</v>
      </c>
      <c r="CX330" s="250">
        <f>INDEX(연료전지_원본!$KB$4:$KX$369,MATCH($A330,연료전지_원본!$KB$4:$KB$369,0), MATCH(CX$4,연료전지_원본!$KB$4:$KX$4,0))*1000</f>
        <v>0</v>
      </c>
      <c r="CY330" s="250">
        <f>INDEX(연료전지_원본!$KB$4:$KX$369,MATCH($A330,연료전지_원본!$KB$4:$KB$369,0), MATCH(CY$4,연료전지_원본!$KB$4:$KX$4,0))*1000</f>
        <v>0</v>
      </c>
      <c r="DV330" s="30">
        <f t="shared" si="1616"/>
        <v>0</v>
      </c>
    </row>
    <row r="331" spans="1:126">
      <c r="A331" s="6">
        <v>46348</v>
      </c>
      <c r="B331" s="15">
        <f>운전실적_원본!B331</f>
        <v>0</v>
      </c>
      <c r="C331" s="16" t="str">
        <f t="shared" si="1622"/>
        <v/>
      </c>
      <c r="D331" s="12">
        <f>운전실적_원본!C331</f>
        <v>0</v>
      </c>
      <c r="E331" s="12" t="str">
        <f t="shared" si="1623"/>
        <v/>
      </c>
      <c r="F331" s="12">
        <f>운전실적_원본!D331</f>
        <v>0</v>
      </c>
      <c r="G331" s="16" t="str">
        <f t="shared" si="1624"/>
        <v/>
      </c>
      <c r="H331" s="15">
        <f>운전실적_원본!E331</f>
        <v>0</v>
      </c>
      <c r="I331" s="16" t="str">
        <f t="shared" si="1625"/>
        <v/>
      </c>
      <c r="J331" s="15">
        <f>운전실적_원본!F331</f>
        <v>0</v>
      </c>
      <c r="K331" s="16" t="str">
        <f t="shared" si="1625"/>
        <v/>
      </c>
      <c r="L331" s="32">
        <f>운전실적_원본!G331</f>
        <v>0</v>
      </c>
      <c r="M331" s="31" t="str">
        <f t="shared" ref="M331" si="1807">IF(OR(LEN(L331)=0,L331=0),"",L331-L330)</f>
        <v/>
      </c>
      <c r="N331" s="15">
        <f>운전실적_원본!H331</f>
        <v>0</v>
      </c>
      <c r="O331" s="16" t="str">
        <f t="shared" ref="O331" si="1808">IF(OR(LEN(N331)=0,N331=0),"",N331-N330)</f>
        <v/>
      </c>
      <c r="P331" s="15">
        <f>운전실적_원본!I331</f>
        <v>0</v>
      </c>
      <c r="Q331" s="16" t="str">
        <f t="shared" ref="Q331" si="1809">IF(OR(LEN(P331)=0,P331=0),"",P331-P330)</f>
        <v/>
      </c>
      <c r="R331" s="18">
        <f>운전실적_원본!J331</f>
        <v>0</v>
      </c>
      <c r="S331" s="19" t="str">
        <f t="shared" ref="S331" si="1810">IF(OR(LEN(R331)=0,R331=0),"",R331-R330)</f>
        <v/>
      </c>
      <c r="T331" s="18">
        <f>운전실적_원본!K331</f>
        <v>0</v>
      </c>
      <c r="U331" s="19" t="str">
        <f t="shared" si="1630"/>
        <v/>
      </c>
      <c r="V331" s="12">
        <f>운전실적_원본!L331</f>
        <v>0</v>
      </c>
      <c r="W331" s="16" t="str">
        <f t="shared" ref="W331" si="1811">IF(OR(LEN(V331)=0,V331=0),"",V331-V330)</f>
        <v/>
      </c>
      <c r="X331" s="10">
        <f>운전실적_원본!M331</f>
        <v>0</v>
      </c>
      <c r="Y331" s="10">
        <f>운전실적_원본!N331</f>
        <v>0</v>
      </c>
      <c r="Z331" s="10">
        <f>운전실적_원본!O331</f>
        <v>0</v>
      </c>
      <c r="AA331" s="10">
        <f>운전실적_원본!P331</f>
        <v>0</v>
      </c>
      <c r="AB331" s="10">
        <f>운전실적_원본!Q331</f>
        <v>0</v>
      </c>
      <c r="AC331" s="20">
        <f>운전실적_원본!R331</f>
        <v>0</v>
      </c>
      <c r="AD331" s="109">
        <f>운전실적_원본!S331</f>
        <v>0</v>
      </c>
      <c r="AE331" s="110">
        <f>운전실적_원본!T331</f>
        <v>0</v>
      </c>
      <c r="AF331" s="110">
        <f>운전실적_원본!U331</f>
        <v>0</v>
      </c>
      <c r="AG331" s="110">
        <f>운전실적_원본!V331</f>
        <v>0</v>
      </c>
      <c r="AH331" s="109">
        <f t="shared" si="1784"/>
        <v>0</v>
      </c>
      <c r="AI331" s="110">
        <f t="shared" si="1791"/>
        <v>0</v>
      </c>
      <c r="AJ331" s="110">
        <f>운전실적_원본!Y331</f>
        <v>0</v>
      </c>
      <c r="AK331" s="110">
        <f>운전실적_원본!Z331</f>
        <v>0</v>
      </c>
      <c r="AL331" s="106"/>
      <c r="AM331" s="105"/>
      <c r="AN331" s="105"/>
      <c r="AO331" s="105"/>
      <c r="AP331" s="105"/>
      <c r="AQ331" s="108"/>
      <c r="AR331" s="105"/>
      <c r="AS331" s="105"/>
      <c r="AT331" s="102"/>
      <c r="AU331" s="102"/>
      <c r="AV331" s="102"/>
      <c r="AW331" s="102"/>
      <c r="AX331" s="32">
        <f>운전실적_원본!W331</f>
        <v>0</v>
      </c>
      <c r="AY331" s="11">
        <f>운전실적_원본!X331</f>
        <v>0</v>
      </c>
      <c r="AZ331" s="11">
        <f>운전실적_원본!Y331</f>
        <v>0</v>
      </c>
      <c r="BA331" s="11">
        <f>운전실적_원본!Z331</f>
        <v>0</v>
      </c>
      <c r="BB331" s="11">
        <f>운전실적_원본!AA331</f>
        <v>0</v>
      </c>
      <c r="BC331" s="11">
        <f>운전실적_원본!AB331</f>
        <v>0</v>
      </c>
      <c r="BD331" s="32" t="str">
        <f t="shared" si="1777"/>
        <v>-</v>
      </c>
      <c r="BE331" s="11" t="str">
        <f t="shared" si="1785"/>
        <v>-</v>
      </c>
      <c r="BF331" s="11">
        <f>운전실적_원본!AE331</f>
        <v>0</v>
      </c>
      <c r="BG331" s="31">
        <f t="shared" si="1778"/>
        <v>0</v>
      </c>
      <c r="BH331" s="241">
        <f>INDEX(연료전지_원본!$A$4:$KY$369,MATCH($A331,연료전지_원본!$A$4:$A$369,0),MATCH($BH$4,연료전지_원본!$A$4:$KY$4,0))</f>
        <v>0</v>
      </c>
      <c r="BI331" s="241">
        <f>INDEX(연료전지_원본!$A$4:$KY$369,MATCH($A331,연료전지_원본!$A$4:$A$369,0),MATCH($BI$4,연료전지_원본!$A$4:$KY$4,0))</f>
        <v>0</v>
      </c>
      <c r="BJ331" s="241">
        <f>INDEX(연료전지_원본!$A$4:$KY$369,MATCH($A331,연료전지_원본!$A$4:$A$369,0),MATCH($BJ$4,연료전지_원본!$A$4:$KY$4,0))</f>
        <v>0</v>
      </c>
      <c r="BK331" s="241">
        <f>INDEX(연료전지_원본!$A$4:$KY$369,MATCH($A331,연료전지_원본!$A$4:$A$369,0),MATCH($BK$4,연료전지_원본!$A$4:$KY$4,0))</f>
        <v>0</v>
      </c>
      <c r="BL331" s="241">
        <f>INDEX(연료전지_원본!$A$4:$KY$369,MATCH($A331,연료전지_원본!$A$4:$A$369,0),MATCH($BL$4,연료전지_원본!$A$4:$KY$4,0))</f>
        <v>0</v>
      </c>
      <c r="BM331" s="241">
        <f>INDEX(연료전지_원본!$A$4:$KY$369,MATCH($A331,연료전지_원본!$A$4:$A$369,0),MATCH($BM$4,연료전지_원본!$A$4:$KY$4,0))</f>
        <v>0</v>
      </c>
      <c r="BN331" s="241">
        <f>INDEX(연료전지_원본!$A$4:$KY$369,MATCH($A331,연료전지_원본!$A$4:$A$369,0),MATCH($BN$4,연료전지_원본!$A$4:$KY$4,0))</f>
        <v>0</v>
      </c>
      <c r="BO331" s="241">
        <f>INDEX(연료전지_원본!$A$4:$KY$369,MATCH($A331,연료전지_원본!$A$4:$A$369,0),MATCH($BO$4,연료전지_원본!$A$4:$KY$4,0))</f>
        <v>0</v>
      </c>
      <c r="BP331" s="241">
        <f>INDEX(연료전지_원본!$A$4:$KY$369,MATCH($A331,연료전지_원본!$A$4:$A$369,0),MATCH($BP$4,연료전지_원본!$A$4:$KY$4,0))</f>
        <v>0</v>
      </c>
      <c r="BQ331" s="241">
        <f>INDEX(연료전지_원본!$A$4:$KY$369,MATCH($A331,연료전지_원본!$A$4:$A$369,0),MATCH($BQ$4,연료전지_원본!$A$4:$KY$4,0))</f>
        <v>0</v>
      </c>
      <c r="BR331" s="241">
        <f>INDEX(연료전지_원본!$A$4:$KY$369,MATCH($A331,연료전지_원본!$A$4:$A$369,0),MATCH($BR$4,연료전지_원본!$A$4:$KY$4,0))</f>
        <v>0</v>
      </c>
      <c r="BS331" s="241">
        <f>INDEX(연료전지_원본!$A$4:$KY$369,MATCH($A331,연료전지_원본!$A$4:$A$369,0),MATCH($BS$4,연료전지_원본!$A$4:$KY$4,0))</f>
        <v>0</v>
      </c>
      <c r="BT331" s="241">
        <f>INDEX(연료전지_원본!$A$4:$KY$369,MATCH($A331,연료전지_원본!$A$4:$A$369,0),MATCH($BT$4,연료전지_원본!$A$4:$KY$4,0))</f>
        <v>0</v>
      </c>
      <c r="BU331" s="241">
        <f>INDEX(연료전지_원본!$A$4:$KY$369,MATCH($A331,연료전지_원본!$A$4:$A$369,0),MATCH($BU$4,연료전지_원본!$A$4:$KY$4,0))</f>
        <v>0</v>
      </c>
      <c r="BV331" s="241">
        <f>INDEX(연료전지_원본!$A$4:$KY$369,MATCH($A331,연료전지_원본!$A$4:$A$369,0),MATCH($BV$4,연료전지_원본!$A$4:$KY$4,0))</f>
        <v>0</v>
      </c>
      <c r="BW331" s="241">
        <f>INDEX(연료전지_원본!$A$4:$KY$369,MATCH($A331,연료전지_원본!$A$4:$A$369,0),MATCH($BW$4,연료전지_원본!$A$4:$KY$4,0))</f>
        <v>0</v>
      </c>
      <c r="BX331" s="241">
        <f>INDEX(연료전지_원본!$A$4:$KY$369,MATCH($A331,연료전지_원본!$A$4:$A$369,0),MATCH($BX$4,연료전지_원본!$A$4:$KY$4,0))</f>
        <v>0</v>
      </c>
      <c r="BY331" s="241">
        <f>INDEX(연료전지_원본!$A$4:$KY$369,MATCH($A331,연료전지_원본!$A$4:$A$369,0),MATCH($BY$4,연료전지_원본!$A$4:$KY$4,0))</f>
        <v>0</v>
      </c>
      <c r="BZ331" s="241">
        <f>INDEX(연료전지_원본!$A$4:$KY$369,MATCH($A331,연료전지_원본!$A$4:$A$369,0),MATCH($BZ$4,연료전지_원본!$A$4:$KY$4,0))</f>
        <v>0</v>
      </c>
      <c r="CA331" s="241">
        <f>INDEX(연료전지_원본!$A$4:$KY$369,MATCH($A331,연료전지_원본!$A$4:$A$369,0),MATCH($CA$4,연료전지_원본!$A$4:$KY$4,0))</f>
        <v>0</v>
      </c>
      <c r="CB331" s="241">
        <f>INDEX(연료전지_원본!$A$4:$KY$369,MATCH($A331,연료전지_원본!$A$4:$A$369,0),MATCH($CB$4,연료전지_원본!$A$4:$KY$4,0))</f>
        <v>0</v>
      </c>
      <c r="CC331" s="242">
        <f>INDEX(연료전지_원본!$A$4:$KY$369,MATCH($A331,연료전지_원본!$A$4:$A$369,0),MATCH($CC$4,연료전지_원본!$A$4:$KY$4,0))</f>
        <v>0</v>
      </c>
      <c r="CD331" s="250">
        <f>INDEX(연료전지_원본!$KB$4:$KX$369,MATCH($A331,연료전지_원본!$KB$4:$KB$369,0), MATCH(CD$4,연료전지_원본!$KB$4:$KX$4,0))*1000</f>
        <v>0</v>
      </c>
      <c r="CE331" s="250">
        <f>INDEX(연료전지_원본!$KB$4:$KX$369,MATCH($A331,연료전지_원본!$KB$4:$KB$369,0), MATCH(CE$4,연료전지_원본!$KB$4:$KX$4,0))*1000</f>
        <v>0</v>
      </c>
      <c r="CF331" s="250">
        <f>INDEX(연료전지_원본!$KB$4:$KX$369,MATCH($A331,연료전지_원본!$KB$4:$KB$369,0), MATCH(CF$4,연료전지_원본!$KB$4:$KX$4,0))*1000</f>
        <v>0</v>
      </c>
      <c r="CG331" s="250">
        <f>INDEX(연료전지_원본!$KB$4:$KX$369,MATCH($A331,연료전지_원본!$KB$4:$KB$369,0), MATCH(CG$4,연료전지_원본!$KB$4:$KX$4,0))*1000</f>
        <v>0</v>
      </c>
      <c r="CH331" s="250">
        <f>INDEX(연료전지_원본!$KB$4:$KX$369,MATCH($A331,연료전지_원본!$KB$4:$KB$369,0), MATCH(CH$4,연료전지_원본!$KB$4:$KX$4,0))*1000</f>
        <v>0</v>
      </c>
      <c r="CI331" s="250">
        <f>INDEX(연료전지_원본!$KB$4:$KX$369,MATCH($A331,연료전지_원본!$KB$4:$KB$369,0), MATCH(CI$4,연료전지_원본!$KB$4:$KX$4,0))*1000</f>
        <v>0</v>
      </c>
      <c r="CJ331" s="250">
        <f>INDEX(연료전지_원본!$KB$4:$KX$369,MATCH($A331,연료전지_원본!$KB$4:$KB$369,0), MATCH(CJ$4,연료전지_원본!$KB$4:$KX$4,0))*1000</f>
        <v>0</v>
      </c>
      <c r="CK331" s="250">
        <f>INDEX(연료전지_원본!$KB$4:$KX$369,MATCH($A331,연료전지_원본!$KB$4:$KB$369,0), MATCH(CK$4,연료전지_원본!$KB$4:$KX$4,0))*1000</f>
        <v>0</v>
      </c>
      <c r="CL331" s="250">
        <f>INDEX(연료전지_원본!$KB$4:$KX$369,MATCH($A331,연료전지_원본!$KB$4:$KB$369,0), MATCH(CL$4,연료전지_원본!$KB$4:$KX$4,0))*1000</f>
        <v>0</v>
      </c>
      <c r="CM331" s="250">
        <f>INDEX(연료전지_원본!$KB$4:$KX$369,MATCH($A331,연료전지_원본!$KB$4:$KB$369,0), MATCH(CM$4,연료전지_원본!$KB$4:$KX$4,0))*1000</f>
        <v>0</v>
      </c>
      <c r="CN331" s="250">
        <f>INDEX(연료전지_원본!$KB$4:$KX$369,MATCH($A331,연료전지_원본!$KB$4:$KB$369,0), MATCH(CN$4,연료전지_원본!$KB$4:$KX$4,0))*1000</f>
        <v>0</v>
      </c>
      <c r="CO331" s="250">
        <f>INDEX(연료전지_원본!$KB$4:$KX$369,MATCH($A331,연료전지_원본!$KB$4:$KB$369,0), MATCH(CO$4,연료전지_원본!$KB$4:$KX$4,0))*1000</f>
        <v>0</v>
      </c>
      <c r="CP331" s="250">
        <f>INDEX(연료전지_원본!$KB$4:$KX$369,MATCH($A331,연료전지_원본!$KB$4:$KB$369,0), MATCH(CP$4,연료전지_원본!$KB$4:$KX$4,0))*1000</f>
        <v>0</v>
      </c>
      <c r="CQ331" s="250">
        <f>INDEX(연료전지_원본!$KB$4:$KX$369,MATCH($A331,연료전지_원본!$KB$4:$KB$369,0), MATCH(CQ$4,연료전지_원본!$KB$4:$KX$4,0))*1000</f>
        <v>0</v>
      </c>
      <c r="CR331" s="250">
        <f>INDEX(연료전지_원본!$KB$4:$KX$369,MATCH($A331,연료전지_원본!$KB$4:$KB$369,0), MATCH(CR$4,연료전지_원본!$KB$4:$KX$4,0))*1000</f>
        <v>0</v>
      </c>
      <c r="CS331" s="250">
        <f>INDEX(연료전지_원본!$KB$4:$KX$369,MATCH($A331,연료전지_원본!$KB$4:$KB$369,0), MATCH(CS$4,연료전지_원본!$KB$4:$KX$4,0))*1000</f>
        <v>0</v>
      </c>
      <c r="CT331" s="250">
        <f>INDEX(연료전지_원본!$KB$4:$KX$369,MATCH($A331,연료전지_원본!$KB$4:$KB$369,0), MATCH(CT$4,연료전지_원본!$KB$4:$KX$4,0))*1000</f>
        <v>0</v>
      </c>
      <c r="CU331" s="250">
        <f>INDEX(연료전지_원본!$KB$4:$KX$369,MATCH($A331,연료전지_원본!$KB$4:$KB$369,0), MATCH(CU$4,연료전지_원본!$KB$4:$KX$4,0))*1000</f>
        <v>0</v>
      </c>
      <c r="CV331" s="250">
        <f>INDEX(연료전지_원본!$KB$4:$KX$369,MATCH($A331,연료전지_원본!$KB$4:$KB$369,0), MATCH(CV$4,연료전지_원본!$KB$4:$KX$4,0))*1000</f>
        <v>0</v>
      </c>
      <c r="CW331" s="250">
        <f>INDEX(연료전지_원본!$KB$4:$KX$369,MATCH($A331,연료전지_원본!$KB$4:$KB$369,0), MATCH(CW$4,연료전지_원본!$KB$4:$KX$4,0))*1000</f>
        <v>0</v>
      </c>
      <c r="CX331" s="250">
        <f>INDEX(연료전지_원본!$KB$4:$KX$369,MATCH($A331,연료전지_원본!$KB$4:$KB$369,0), MATCH(CX$4,연료전지_원본!$KB$4:$KX$4,0))*1000</f>
        <v>0</v>
      </c>
      <c r="CY331" s="250">
        <f>INDEX(연료전지_원본!$KB$4:$KX$369,MATCH($A331,연료전지_원본!$KB$4:$KB$369,0), MATCH(CY$4,연료전지_원본!$KB$4:$KX$4,0))*1000</f>
        <v>0</v>
      </c>
      <c r="DV331" s="30">
        <f t="shared" si="1616"/>
        <v>0</v>
      </c>
    </row>
    <row r="332" spans="1:126">
      <c r="A332" s="6">
        <v>46349</v>
      </c>
      <c r="B332" s="15">
        <f>운전실적_원본!B332</f>
        <v>0</v>
      </c>
      <c r="C332" s="16" t="str">
        <f t="shared" si="1622"/>
        <v/>
      </c>
      <c r="D332" s="12">
        <f>운전실적_원본!C332</f>
        <v>0</v>
      </c>
      <c r="E332" s="12" t="str">
        <f t="shared" si="1623"/>
        <v/>
      </c>
      <c r="F332" s="12">
        <f>운전실적_원본!D332</f>
        <v>0</v>
      </c>
      <c r="G332" s="16" t="str">
        <f t="shared" si="1624"/>
        <v/>
      </c>
      <c r="H332" s="15">
        <f>운전실적_원본!E332</f>
        <v>0</v>
      </c>
      <c r="I332" s="16" t="str">
        <f t="shared" si="1625"/>
        <v/>
      </c>
      <c r="J332" s="15">
        <f>운전실적_원본!F332</f>
        <v>0</v>
      </c>
      <c r="K332" s="16" t="str">
        <f t="shared" si="1625"/>
        <v/>
      </c>
      <c r="L332" s="32">
        <f>운전실적_원본!G332</f>
        <v>0</v>
      </c>
      <c r="M332" s="31" t="str">
        <f t="shared" ref="M332" si="1812">IF(OR(LEN(L332)=0,L332=0),"",L332-L331)</f>
        <v/>
      </c>
      <c r="N332" s="15">
        <f>운전실적_원본!H332</f>
        <v>0</v>
      </c>
      <c r="O332" s="16" t="str">
        <f t="shared" ref="O332" si="1813">IF(OR(LEN(N332)=0,N332=0),"",N332-N331)</f>
        <v/>
      </c>
      <c r="P332" s="15">
        <f>운전실적_원본!I332</f>
        <v>0</v>
      </c>
      <c r="Q332" s="16" t="str">
        <f t="shared" ref="Q332" si="1814">IF(OR(LEN(P332)=0,P332=0),"",P332-P331)</f>
        <v/>
      </c>
      <c r="R332" s="18">
        <f>운전실적_원본!J332</f>
        <v>0</v>
      </c>
      <c r="S332" s="19" t="str">
        <f t="shared" ref="S332" si="1815">IF(OR(LEN(R332)=0,R332=0),"",R332-R331)</f>
        <v/>
      </c>
      <c r="T332" s="18">
        <f>운전실적_원본!K332</f>
        <v>0</v>
      </c>
      <c r="U332" s="19" t="str">
        <f t="shared" si="1630"/>
        <v/>
      </c>
      <c r="V332" s="12">
        <f>운전실적_원본!L332</f>
        <v>0</v>
      </c>
      <c r="W332" s="16" t="str">
        <f t="shared" ref="W332" si="1816">IF(OR(LEN(V332)=0,V332=0),"",V332-V331)</f>
        <v/>
      </c>
      <c r="X332" s="10">
        <f>운전실적_원본!M332</f>
        <v>0</v>
      </c>
      <c r="Y332" s="10">
        <f>운전실적_원본!N332</f>
        <v>0</v>
      </c>
      <c r="Z332" s="10">
        <f>운전실적_원본!O332</f>
        <v>0</v>
      </c>
      <c r="AA332" s="10">
        <f>운전실적_원본!P332</f>
        <v>0</v>
      </c>
      <c r="AB332" s="10">
        <f>운전실적_원본!Q332</f>
        <v>0</v>
      </c>
      <c r="AC332" s="20">
        <f>운전실적_원본!R332</f>
        <v>0</v>
      </c>
      <c r="AD332" s="109">
        <f>운전실적_원본!S332</f>
        <v>0</v>
      </c>
      <c r="AE332" s="110">
        <f>운전실적_원본!T332</f>
        <v>0</v>
      </c>
      <c r="AF332" s="110">
        <f>운전실적_원본!U332</f>
        <v>0</v>
      </c>
      <c r="AG332" s="110">
        <f>운전실적_원본!V332</f>
        <v>0</v>
      </c>
      <c r="AH332" s="109">
        <f t="shared" si="1784"/>
        <v>0</v>
      </c>
      <c r="AI332" s="110">
        <f t="shared" si="1791"/>
        <v>0</v>
      </c>
      <c r="AJ332" s="110">
        <f>운전실적_원본!Y332</f>
        <v>0</v>
      </c>
      <c r="AK332" s="110">
        <f>운전실적_원본!Z332</f>
        <v>0</v>
      </c>
      <c r="AL332" s="106"/>
      <c r="AM332" s="105"/>
      <c r="AN332" s="105"/>
      <c r="AO332" s="105"/>
      <c r="AP332" s="105"/>
      <c r="AQ332" s="108"/>
      <c r="AR332" s="105"/>
      <c r="AS332" s="105"/>
      <c r="AT332" s="102"/>
      <c r="AU332" s="102"/>
      <c r="AV332" s="102"/>
      <c r="AW332" s="102"/>
      <c r="AX332" s="32">
        <f>운전실적_원본!W332</f>
        <v>0</v>
      </c>
      <c r="AY332" s="11">
        <f>운전실적_원본!X332</f>
        <v>0</v>
      </c>
      <c r="AZ332" s="11">
        <f>운전실적_원본!Y332</f>
        <v>0</v>
      </c>
      <c r="BA332" s="11">
        <f>운전실적_원본!Z332</f>
        <v>0</v>
      </c>
      <c r="BB332" s="11">
        <f>운전실적_원본!AA332</f>
        <v>0</v>
      </c>
      <c r="BC332" s="11">
        <f>운전실적_원본!AB332</f>
        <v>0</v>
      </c>
      <c r="BD332" s="32" t="str">
        <f t="shared" si="1777"/>
        <v>-</v>
      </c>
      <c r="BE332" s="11" t="str">
        <f t="shared" si="1785"/>
        <v>-</v>
      </c>
      <c r="BF332" s="11">
        <f>운전실적_원본!AE332</f>
        <v>0</v>
      </c>
      <c r="BG332" s="31">
        <f t="shared" si="1778"/>
        <v>0</v>
      </c>
      <c r="BH332" s="241">
        <f>INDEX(연료전지_원본!$A$4:$KY$369,MATCH($A332,연료전지_원본!$A$4:$A$369,0),MATCH($BH$4,연료전지_원본!$A$4:$KY$4,0))</f>
        <v>0</v>
      </c>
      <c r="BI332" s="241">
        <f>INDEX(연료전지_원본!$A$4:$KY$369,MATCH($A332,연료전지_원본!$A$4:$A$369,0),MATCH($BI$4,연료전지_원본!$A$4:$KY$4,0))</f>
        <v>0</v>
      </c>
      <c r="BJ332" s="241">
        <f>INDEX(연료전지_원본!$A$4:$KY$369,MATCH($A332,연료전지_원본!$A$4:$A$369,0),MATCH($BJ$4,연료전지_원본!$A$4:$KY$4,0))</f>
        <v>0</v>
      </c>
      <c r="BK332" s="241">
        <f>INDEX(연료전지_원본!$A$4:$KY$369,MATCH($A332,연료전지_원본!$A$4:$A$369,0),MATCH($BK$4,연료전지_원본!$A$4:$KY$4,0))</f>
        <v>0</v>
      </c>
      <c r="BL332" s="241">
        <f>INDEX(연료전지_원본!$A$4:$KY$369,MATCH($A332,연료전지_원본!$A$4:$A$369,0),MATCH($BL$4,연료전지_원본!$A$4:$KY$4,0))</f>
        <v>0</v>
      </c>
      <c r="BM332" s="241">
        <f>INDEX(연료전지_원본!$A$4:$KY$369,MATCH($A332,연료전지_원본!$A$4:$A$369,0),MATCH($BM$4,연료전지_원본!$A$4:$KY$4,0))</f>
        <v>0</v>
      </c>
      <c r="BN332" s="241">
        <f>INDEX(연료전지_원본!$A$4:$KY$369,MATCH($A332,연료전지_원본!$A$4:$A$369,0),MATCH($BN$4,연료전지_원본!$A$4:$KY$4,0))</f>
        <v>0</v>
      </c>
      <c r="BO332" s="241">
        <f>INDEX(연료전지_원본!$A$4:$KY$369,MATCH($A332,연료전지_원본!$A$4:$A$369,0),MATCH($BO$4,연료전지_원본!$A$4:$KY$4,0))</f>
        <v>0</v>
      </c>
      <c r="BP332" s="241">
        <f>INDEX(연료전지_원본!$A$4:$KY$369,MATCH($A332,연료전지_원본!$A$4:$A$369,0),MATCH($BP$4,연료전지_원본!$A$4:$KY$4,0))</f>
        <v>0</v>
      </c>
      <c r="BQ332" s="241">
        <f>INDEX(연료전지_원본!$A$4:$KY$369,MATCH($A332,연료전지_원본!$A$4:$A$369,0),MATCH($BQ$4,연료전지_원본!$A$4:$KY$4,0))</f>
        <v>0</v>
      </c>
      <c r="BR332" s="241">
        <f>INDEX(연료전지_원본!$A$4:$KY$369,MATCH($A332,연료전지_원본!$A$4:$A$369,0),MATCH($BR$4,연료전지_원본!$A$4:$KY$4,0))</f>
        <v>0</v>
      </c>
      <c r="BS332" s="241">
        <f>INDEX(연료전지_원본!$A$4:$KY$369,MATCH($A332,연료전지_원본!$A$4:$A$369,0),MATCH($BS$4,연료전지_원본!$A$4:$KY$4,0))</f>
        <v>0</v>
      </c>
      <c r="BT332" s="241">
        <f>INDEX(연료전지_원본!$A$4:$KY$369,MATCH($A332,연료전지_원본!$A$4:$A$369,0),MATCH($BT$4,연료전지_원본!$A$4:$KY$4,0))</f>
        <v>0</v>
      </c>
      <c r="BU332" s="241">
        <f>INDEX(연료전지_원본!$A$4:$KY$369,MATCH($A332,연료전지_원본!$A$4:$A$369,0),MATCH($BU$4,연료전지_원본!$A$4:$KY$4,0))</f>
        <v>0</v>
      </c>
      <c r="BV332" s="241">
        <f>INDEX(연료전지_원본!$A$4:$KY$369,MATCH($A332,연료전지_원본!$A$4:$A$369,0),MATCH($BV$4,연료전지_원본!$A$4:$KY$4,0))</f>
        <v>0</v>
      </c>
      <c r="BW332" s="241">
        <f>INDEX(연료전지_원본!$A$4:$KY$369,MATCH($A332,연료전지_원본!$A$4:$A$369,0),MATCH($BW$4,연료전지_원본!$A$4:$KY$4,0))</f>
        <v>0</v>
      </c>
      <c r="BX332" s="241">
        <f>INDEX(연료전지_원본!$A$4:$KY$369,MATCH($A332,연료전지_원본!$A$4:$A$369,0),MATCH($BX$4,연료전지_원본!$A$4:$KY$4,0))</f>
        <v>0</v>
      </c>
      <c r="BY332" s="241">
        <f>INDEX(연료전지_원본!$A$4:$KY$369,MATCH($A332,연료전지_원본!$A$4:$A$369,0),MATCH($BY$4,연료전지_원본!$A$4:$KY$4,0))</f>
        <v>0</v>
      </c>
      <c r="BZ332" s="241">
        <f>INDEX(연료전지_원본!$A$4:$KY$369,MATCH($A332,연료전지_원본!$A$4:$A$369,0),MATCH($BZ$4,연료전지_원본!$A$4:$KY$4,0))</f>
        <v>0</v>
      </c>
      <c r="CA332" s="241">
        <f>INDEX(연료전지_원본!$A$4:$KY$369,MATCH($A332,연료전지_원본!$A$4:$A$369,0),MATCH($CA$4,연료전지_원본!$A$4:$KY$4,0))</f>
        <v>0</v>
      </c>
      <c r="CB332" s="241">
        <f>INDEX(연료전지_원본!$A$4:$KY$369,MATCH($A332,연료전지_원본!$A$4:$A$369,0),MATCH($CB$4,연료전지_원본!$A$4:$KY$4,0))</f>
        <v>0</v>
      </c>
      <c r="CC332" s="242">
        <f>INDEX(연료전지_원본!$A$4:$KY$369,MATCH($A332,연료전지_원본!$A$4:$A$369,0),MATCH($CC$4,연료전지_원본!$A$4:$KY$4,0))</f>
        <v>0</v>
      </c>
      <c r="CD332" s="250">
        <f>INDEX(연료전지_원본!$KB$4:$KX$369,MATCH($A332,연료전지_원본!$KB$4:$KB$369,0), MATCH(CD$4,연료전지_원본!$KB$4:$KX$4,0))*1000</f>
        <v>0</v>
      </c>
      <c r="CE332" s="250">
        <f>INDEX(연료전지_원본!$KB$4:$KX$369,MATCH($A332,연료전지_원본!$KB$4:$KB$369,0), MATCH(CE$4,연료전지_원본!$KB$4:$KX$4,0))*1000</f>
        <v>0</v>
      </c>
      <c r="CF332" s="250">
        <f>INDEX(연료전지_원본!$KB$4:$KX$369,MATCH($A332,연료전지_원본!$KB$4:$KB$369,0), MATCH(CF$4,연료전지_원본!$KB$4:$KX$4,0))*1000</f>
        <v>0</v>
      </c>
      <c r="CG332" s="250">
        <f>INDEX(연료전지_원본!$KB$4:$KX$369,MATCH($A332,연료전지_원본!$KB$4:$KB$369,0), MATCH(CG$4,연료전지_원본!$KB$4:$KX$4,0))*1000</f>
        <v>0</v>
      </c>
      <c r="CH332" s="250">
        <f>INDEX(연료전지_원본!$KB$4:$KX$369,MATCH($A332,연료전지_원본!$KB$4:$KB$369,0), MATCH(CH$4,연료전지_원본!$KB$4:$KX$4,0))*1000</f>
        <v>0</v>
      </c>
      <c r="CI332" s="250">
        <f>INDEX(연료전지_원본!$KB$4:$KX$369,MATCH($A332,연료전지_원본!$KB$4:$KB$369,0), MATCH(CI$4,연료전지_원본!$KB$4:$KX$4,0))*1000</f>
        <v>0</v>
      </c>
      <c r="CJ332" s="250">
        <f>INDEX(연료전지_원본!$KB$4:$KX$369,MATCH($A332,연료전지_원본!$KB$4:$KB$369,0), MATCH(CJ$4,연료전지_원본!$KB$4:$KX$4,0))*1000</f>
        <v>0</v>
      </c>
      <c r="CK332" s="250">
        <f>INDEX(연료전지_원본!$KB$4:$KX$369,MATCH($A332,연료전지_원본!$KB$4:$KB$369,0), MATCH(CK$4,연료전지_원본!$KB$4:$KX$4,0))*1000</f>
        <v>0</v>
      </c>
      <c r="CL332" s="250">
        <f>INDEX(연료전지_원본!$KB$4:$KX$369,MATCH($A332,연료전지_원본!$KB$4:$KB$369,0), MATCH(CL$4,연료전지_원본!$KB$4:$KX$4,0))*1000</f>
        <v>0</v>
      </c>
      <c r="CM332" s="250">
        <f>INDEX(연료전지_원본!$KB$4:$KX$369,MATCH($A332,연료전지_원본!$KB$4:$KB$369,0), MATCH(CM$4,연료전지_원본!$KB$4:$KX$4,0))*1000</f>
        <v>0</v>
      </c>
      <c r="CN332" s="250">
        <f>INDEX(연료전지_원본!$KB$4:$KX$369,MATCH($A332,연료전지_원본!$KB$4:$KB$369,0), MATCH(CN$4,연료전지_원본!$KB$4:$KX$4,0))*1000</f>
        <v>0</v>
      </c>
      <c r="CO332" s="250">
        <f>INDEX(연료전지_원본!$KB$4:$KX$369,MATCH($A332,연료전지_원본!$KB$4:$KB$369,0), MATCH(CO$4,연료전지_원본!$KB$4:$KX$4,0))*1000</f>
        <v>0</v>
      </c>
      <c r="CP332" s="250">
        <f>INDEX(연료전지_원본!$KB$4:$KX$369,MATCH($A332,연료전지_원본!$KB$4:$KB$369,0), MATCH(CP$4,연료전지_원본!$KB$4:$KX$4,0))*1000</f>
        <v>0</v>
      </c>
      <c r="CQ332" s="250">
        <f>INDEX(연료전지_원본!$KB$4:$KX$369,MATCH($A332,연료전지_원본!$KB$4:$KB$369,0), MATCH(CQ$4,연료전지_원본!$KB$4:$KX$4,0))*1000</f>
        <v>0</v>
      </c>
      <c r="CR332" s="250">
        <f>INDEX(연료전지_원본!$KB$4:$KX$369,MATCH($A332,연료전지_원본!$KB$4:$KB$369,0), MATCH(CR$4,연료전지_원본!$KB$4:$KX$4,0))*1000</f>
        <v>0</v>
      </c>
      <c r="CS332" s="250">
        <f>INDEX(연료전지_원본!$KB$4:$KX$369,MATCH($A332,연료전지_원본!$KB$4:$KB$369,0), MATCH(CS$4,연료전지_원본!$KB$4:$KX$4,0))*1000</f>
        <v>0</v>
      </c>
      <c r="CT332" s="250">
        <f>INDEX(연료전지_원본!$KB$4:$KX$369,MATCH($A332,연료전지_원본!$KB$4:$KB$369,0), MATCH(CT$4,연료전지_원본!$KB$4:$KX$4,0))*1000</f>
        <v>0</v>
      </c>
      <c r="CU332" s="250">
        <f>INDEX(연료전지_원본!$KB$4:$KX$369,MATCH($A332,연료전지_원본!$KB$4:$KB$369,0), MATCH(CU$4,연료전지_원본!$KB$4:$KX$4,0))*1000</f>
        <v>0</v>
      </c>
      <c r="CV332" s="250">
        <f>INDEX(연료전지_원본!$KB$4:$KX$369,MATCH($A332,연료전지_원본!$KB$4:$KB$369,0), MATCH(CV$4,연료전지_원본!$KB$4:$KX$4,0))*1000</f>
        <v>0</v>
      </c>
      <c r="CW332" s="250">
        <f>INDEX(연료전지_원본!$KB$4:$KX$369,MATCH($A332,연료전지_원본!$KB$4:$KB$369,0), MATCH(CW$4,연료전지_원본!$KB$4:$KX$4,0))*1000</f>
        <v>0</v>
      </c>
      <c r="CX332" s="250">
        <f>INDEX(연료전지_원본!$KB$4:$KX$369,MATCH($A332,연료전지_원본!$KB$4:$KB$369,0), MATCH(CX$4,연료전지_원본!$KB$4:$KX$4,0))*1000</f>
        <v>0</v>
      </c>
      <c r="CY332" s="250">
        <f>INDEX(연료전지_원본!$KB$4:$KX$369,MATCH($A332,연료전지_원본!$KB$4:$KB$369,0), MATCH(CY$4,연료전지_원본!$KB$4:$KX$4,0))*1000</f>
        <v>0</v>
      </c>
      <c r="DV332" s="30">
        <f t="shared" si="1616"/>
        <v>0</v>
      </c>
    </row>
    <row r="333" spans="1:126">
      <c r="A333" s="6">
        <v>46350</v>
      </c>
      <c r="B333" s="15">
        <f>운전실적_원본!B333</f>
        <v>0</v>
      </c>
      <c r="C333" s="16" t="str">
        <f t="shared" si="1622"/>
        <v/>
      </c>
      <c r="D333" s="12">
        <f>운전실적_원본!C333</f>
        <v>0</v>
      </c>
      <c r="E333" s="12" t="str">
        <f t="shared" si="1623"/>
        <v/>
      </c>
      <c r="F333" s="12">
        <f>운전실적_원본!D333</f>
        <v>0</v>
      </c>
      <c r="G333" s="16" t="str">
        <f t="shared" si="1624"/>
        <v/>
      </c>
      <c r="H333" s="15">
        <f>운전실적_원본!E333</f>
        <v>0</v>
      </c>
      <c r="I333" s="16" t="str">
        <f t="shared" si="1625"/>
        <v/>
      </c>
      <c r="J333" s="15">
        <f>운전실적_원본!F333</f>
        <v>0</v>
      </c>
      <c r="K333" s="16" t="str">
        <f t="shared" si="1625"/>
        <v/>
      </c>
      <c r="L333" s="32">
        <f>운전실적_원본!G333</f>
        <v>0</v>
      </c>
      <c r="M333" s="31" t="str">
        <f t="shared" ref="M333" si="1817">IF(OR(LEN(L333)=0,L333=0),"",L333-L332)</f>
        <v/>
      </c>
      <c r="N333" s="15">
        <f>운전실적_원본!H333</f>
        <v>0</v>
      </c>
      <c r="O333" s="16" t="str">
        <f t="shared" ref="O333" si="1818">IF(OR(LEN(N333)=0,N333=0),"",N333-N332)</f>
        <v/>
      </c>
      <c r="P333" s="15">
        <f>운전실적_원본!I333</f>
        <v>0</v>
      </c>
      <c r="Q333" s="16" t="str">
        <f t="shared" ref="Q333" si="1819">IF(OR(LEN(P333)=0,P333=0),"",P333-P332)</f>
        <v/>
      </c>
      <c r="R333" s="18">
        <f>운전실적_원본!J333</f>
        <v>0</v>
      </c>
      <c r="S333" s="19" t="str">
        <f t="shared" ref="S333" si="1820">IF(OR(LEN(R333)=0,R333=0),"",R333-R332)</f>
        <v/>
      </c>
      <c r="T333" s="18">
        <f>운전실적_원본!K333</f>
        <v>0</v>
      </c>
      <c r="U333" s="19" t="str">
        <f t="shared" si="1630"/>
        <v/>
      </c>
      <c r="V333" s="12">
        <f>운전실적_원본!L333</f>
        <v>0</v>
      </c>
      <c r="W333" s="16" t="str">
        <f t="shared" ref="W333" si="1821">IF(OR(LEN(V333)=0,V333=0),"",V333-V332)</f>
        <v/>
      </c>
      <c r="X333" s="10">
        <f>운전실적_원본!M333</f>
        <v>0</v>
      </c>
      <c r="Y333" s="10">
        <f>운전실적_원본!N333</f>
        <v>0</v>
      </c>
      <c r="Z333" s="10">
        <f>운전실적_원본!O333</f>
        <v>0</v>
      </c>
      <c r="AA333" s="10">
        <f>운전실적_원본!P333</f>
        <v>0</v>
      </c>
      <c r="AB333" s="10">
        <f>운전실적_원본!Q333</f>
        <v>0</v>
      </c>
      <c r="AC333" s="20">
        <f>운전실적_원본!R333</f>
        <v>0</v>
      </c>
      <c r="AD333" s="109">
        <f>운전실적_원본!S333</f>
        <v>0</v>
      </c>
      <c r="AE333" s="110">
        <f>운전실적_원본!T333</f>
        <v>0</v>
      </c>
      <c r="AF333" s="110">
        <f>운전실적_원본!U333</f>
        <v>0</v>
      </c>
      <c r="AG333" s="110">
        <f>운전실적_원본!V333</f>
        <v>0</v>
      </c>
      <c r="AH333" s="109">
        <f t="shared" si="1784"/>
        <v>0</v>
      </c>
      <c r="AI333" s="110">
        <f t="shared" si="1791"/>
        <v>0</v>
      </c>
      <c r="AJ333" s="110">
        <f>운전실적_원본!Y333</f>
        <v>0</v>
      </c>
      <c r="AK333" s="110">
        <f>운전실적_원본!Z333</f>
        <v>0</v>
      </c>
      <c r="AL333" s="106"/>
      <c r="AM333" s="105"/>
      <c r="AN333" s="105"/>
      <c r="AO333" s="105"/>
      <c r="AP333" s="105"/>
      <c r="AQ333" s="108"/>
      <c r="AR333" s="105"/>
      <c r="AS333" s="105"/>
      <c r="AT333" s="102"/>
      <c r="AU333" s="102"/>
      <c r="AV333" s="102"/>
      <c r="AW333" s="102"/>
      <c r="AX333" s="32">
        <f>운전실적_원본!W333</f>
        <v>0</v>
      </c>
      <c r="AY333" s="11">
        <f>운전실적_원본!X333</f>
        <v>0</v>
      </c>
      <c r="AZ333" s="11">
        <f>운전실적_원본!Y333</f>
        <v>0</v>
      </c>
      <c r="BA333" s="11">
        <f>운전실적_원본!Z333</f>
        <v>0</v>
      </c>
      <c r="BB333" s="11">
        <f>운전실적_원본!AA333</f>
        <v>0</v>
      </c>
      <c r="BC333" s="11">
        <f>운전실적_원본!AB333</f>
        <v>0</v>
      </c>
      <c r="BD333" s="32" t="str">
        <f t="shared" si="1777"/>
        <v>-</v>
      </c>
      <c r="BE333" s="11" t="str">
        <f t="shared" si="1785"/>
        <v>-</v>
      </c>
      <c r="BF333" s="11">
        <f>운전실적_원본!AE333</f>
        <v>0</v>
      </c>
      <c r="BG333" s="31">
        <f t="shared" si="1778"/>
        <v>0</v>
      </c>
      <c r="BH333" s="241">
        <f>INDEX(연료전지_원본!$A$4:$KY$369,MATCH($A333,연료전지_원본!$A$4:$A$369,0),MATCH($BH$4,연료전지_원본!$A$4:$KY$4,0))</f>
        <v>0</v>
      </c>
      <c r="BI333" s="241">
        <f>INDEX(연료전지_원본!$A$4:$KY$369,MATCH($A333,연료전지_원본!$A$4:$A$369,0),MATCH($BI$4,연료전지_원본!$A$4:$KY$4,0))</f>
        <v>0</v>
      </c>
      <c r="BJ333" s="241">
        <f>INDEX(연료전지_원본!$A$4:$KY$369,MATCH($A333,연료전지_원본!$A$4:$A$369,0),MATCH($BJ$4,연료전지_원본!$A$4:$KY$4,0))</f>
        <v>0</v>
      </c>
      <c r="BK333" s="241">
        <f>INDEX(연료전지_원본!$A$4:$KY$369,MATCH($A333,연료전지_원본!$A$4:$A$369,0),MATCH($BK$4,연료전지_원본!$A$4:$KY$4,0))</f>
        <v>0</v>
      </c>
      <c r="BL333" s="241">
        <f>INDEX(연료전지_원본!$A$4:$KY$369,MATCH($A333,연료전지_원본!$A$4:$A$369,0),MATCH($BL$4,연료전지_원본!$A$4:$KY$4,0))</f>
        <v>0</v>
      </c>
      <c r="BM333" s="241">
        <f>INDEX(연료전지_원본!$A$4:$KY$369,MATCH($A333,연료전지_원본!$A$4:$A$369,0),MATCH($BM$4,연료전지_원본!$A$4:$KY$4,0))</f>
        <v>0</v>
      </c>
      <c r="BN333" s="241">
        <f>INDEX(연료전지_원본!$A$4:$KY$369,MATCH($A333,연료전지_원본!$A$4:$A$369,0),MATCH($BN$4,연료전지_원본!$A$4:$KY$4,0))</f>
        <v>0</v>
      </c>
      <c r="BO333" s="241">
        <f>INDEX(연료전지_원본!$A$4:$KY$369,MATCH($A333,연료전지_원본!$A$4:$A$369,0),MATCH($BO$4,연료전지_원본!$A$4:$KY$4,0))</f>
        <v>0</v>
      </c>
      <c r="BP333" s="241">
        <f>INDEX(연료전지_원본!$A$4:$KY$369,MATCH($A333,연료전지_원본!$A$4:$A$369,0),MATCH($BP$4,연료전지_원본!$A$4:$KY$4,0))</f>
        <v>0</v>
      </c>
      <c r="BQ333" s="241">
        <f>INDEX(연료전지_원본!$A$4:$KY$369,MATCH($A333,연료전지_원본!$A$4:$A$369,0),MATCH($BQ$4,연료전지_원본!$A$4:$KY$4,0))</f>
        <v>0</v>
      </c>
      <c r="BR333" s="241">
        <f>INDEX(연료전지_원본!$A$4:$KY$369,MATCH($A333,연료전지_원본!$A$4:$A$369,0),MATCH($BR$4,연료전지_원본!$A$4:$KY$4,0))</f>
        <v>0</v>
      </c>
      <c r="BS333" s="241">
        <f>INDEX(연료전지_원본!$A$4:$KY$369,MATCH($A333,연료전지_원본!$A$4:$A$369,0),MATCH($BS$4,연료전지_원본!$A$4:$KY$4,0))</f>
        <v>0</v>
      </c>
      <c r="BT333" s="241">
        <f>INDEX(연료전지_원본!$A$4:$KY$369,MATCH($A333,연료전지_원본!$A$4:$A$369,0),MATCH($BT$4,연료전지_원본!$A$4:$KY$4,0))</f>
        <v>0</v>
      </c>
      <c r="BU333" s="241">
        <f>INDEX(연료전지_원본!$A$4:$KY$369,MATCH($A333,연료전지_원본!$A$4:$A$369,0),MATCH($BU$4,연료전지_원본!$A$4:$KY$4,0))</f>
        <v>0</v>
      </c>
      <c r="BV333" s="241">
        <f>INDEX(연료전지_원본!$A$4:$KY$369,MATCH($A333,연료전지_원본!$A$4:$A$369,0),MATCH($BV$4,연료전지_원본!$A$4:$KY$4,0))</f>
        <v>0</v>
      </c>
      <c r="BW333" s="241">
        <f>INDEX(연료전지_원본!$A$4:$KY$369,MATCH($A333,연료전지_원본!$A$4:$A$369,0),MATCH($BW$4,연료전지_원본!$A$4:$KY$4,0))</f>
        <v>0</v>
      </c>
      <c r="BX333" s="241">
        <f>INDEX(연료전지_원본!$A$4:$KY$369,MATCH($A333,연료전지_원본!$A$4:$A$369,0),MATCH($BX$4,연료전지_원본!$A$4:$KY$4,0))</f>
        <v>0</v>
      </c>
      <c r="BY333" s="241">
        <f>INDEX(연료전지_원본!$A$4:$KY$369,MATCH($A333,연료전지_원본!$A$4:$A$369,0),MATCH($BY$4,연료전지_원본!$A$4:$KY$4,0))</f>
        <v>0</v>
      </c>
      <c r="BZ333" s="241">
        <f>INDEX(연료전지_원본!$A$4:$KY$369,MATCH($A333,연료전지_원본!$A$4:$A$369,0),MATCH($BZ$4,연료전지_원본!$A$4:$KY$4,0))</f>
        <v>0</v>
      </c>
      <c r="CA333" s="241">
        <f>INDEX(연료전지_원본!$A$4:$KY$369,MATCH($A333,연료전지_원본!$A$4:$A$369,0),MATCH($CA$4,연료전지_원본!$A$4:$KY$4,0))</f>
        <v>0</v>
      </c>
      <c r="CB333" s="241">
        <f>INDEX(연료전지_원본!$A$4:$KY$369,MATCH($A333,연료전지_원본!$A$4:$A$369,0),MATCH($CB$4,연료전지_원본!$A$4:$KY$4,0))</f>
        <v>0</v>
      </c>
      <c r="CC333" s="242">
        <f>INDEX(연료전지_원본!$A$4:$KY$369,MATCH($A333,연료전지_원본!$A$4:$A$369,0),MATCH($CC$4,연료전지_원본!$A$4:$KY$4,0))</f>
        <v>0</v>
      </c>
      <c r="CD333" s="250">
        <f>INDEX(연료전지_원본!$KB$4:$KX$369,MATCH($A333,연료전지_원본!$KB$4:$KB$369,0), MATCH(CD$4,연료전지_원본!$KB$4:$KX$4,0))*1000</f>
        <v>0</v>
      </c>
      <c r="CE333" s="250">
        <f>INDEX(연료전지_원본!$KB$4:$KX$369,MATCH($A333,연료전지_원본!$KB$4:$KB$369,0), MATCH(CE$4,연료전지_원본!$KB$4:$KX$4,0))*1000</f>
        <v>0</v>
      </c>
      <c r="CF333" s="250">
        <f>INDEX(연료전지_원본!$KB$4:$KX$369,MATCH($A333,연료전지_원본!$KB$4:$KB$369,0), MATCH(CF$4,연료전지_원본!$KB$4:$KX$4,0))*1000</f>
        <v>0</v>
      </c>
      <c r="CG333" s="250">
        <f>INDEX(연료전지_원본!$KB$4:$KX$369,MATCH($A333,연료전지_원본!$KB$4:$KB$369,0), MATCH(CG$4,연료전지_원본!$KB$4:$KX$4,0))*1000</f>
        <v>0</v>
      </c>
      <c r="CH333" s="250">
        <f>INDEX(연료전지_원본!$KB$4:$KX$369,MATCH($A333,연료전지_원본!$KB$4:$KB$369,0), MATCH(CH$4,연료전지_원본!$KB$4:$KX$4,0))*1000</f>
        <v>0</v>
      </c>
      <c r="CI333" s="250">
        <f>INDEX(연료전지_원본!$KB$4:$KX$369,MATCH($A333,연료전지_원본!$KB$4:$KB$369,0), MATCH(CI$4,연료전지_원본!$KB$4:$KX$4,0))*1000</f>
        <v>0</v>
      </c>
      <c r="CJ333" s="250">
        <f>INDEX(연료전지_원본!$KB$4:$KX$369,MATCH($A333,연료전지_원본!$KB$4:$KB$369,0), MATCH(CJ$4,연료전지_원본!$KB$4:$KX$4,0))*1000</f>
        <v>0</v>
      </c>
      <c r="CK333" s="250">
        <f>INDEX(연료전지_원본!$KB$4:$KX$369,MATCH($A333,연료전지_원본!$KB$4:$KB$369,0), MATCH(CK$4,연료전지_원본!$KB$4:$KX$4,0))*1000</f>
        <v>0</v>
      </c>
      <c r="CL333" s="250">
        <f>INDEX(연료전지_원본!$KB$4:$KX$369,MATCH($A333,연료전지_원본!$KB$4:$KB$369,0), MATCH(CL$4,연료전지_원본!$KB$4:$KX$4,0))*1000</f>
        <v>0</v>
      </c>
      <c r="CM333" s="250">
        <f>INDEX(연료전지_원본!$KB$4:$KX$369,MATCH($A333,연료전지_원본!$KB$4:$KB$369,0), MATCH(CM$4,연료전지_원본!$KB$4:$KX$4,0))*1000</f>
        <v>0</v>
      </c>
      <c r="CN333" s="250">
        <f>INDEX(연료전지_원본!$KB$4:$KX$369,MATCH($A333,연료전지_원본!$KB$4:$KB$369,0), MATCH(CN$4,연료전지_원본!$KB$4:$KX$4,0))*1000</f>
        <v>0</v>
      </c>
      <c r="CO333" s="250">
        <f>INDEX(연료전지_원본!$KB$4:$KX$369,MATCH($A333,연료전지_원본!$KB$4:$KB$369,0), MATCH(CO$4,연료전지_원본!$KB$4:$KX$4,0))*1000</f>
        <v>0</v>
      </c>
      <c r="CP333" s="250">
        <f>INDEX(연료전지_원본!$KB$4:$KX$369,MATCH($A333,연료전지_원본!$KB$4:$KB$369,0), MATCH(CP$4,연료전지_원본!$KB$4:$KX$4,0))*1000</f>
        <v>0</v>
      </c>
      <c r="CQ333" s="250">
        <f>INDEX(연료전지_원본!$KB$4:$KX$369,MATCH($A333,연료전지_원본!$KB$4:$KB$369,0), MATCH(CQ$4,연료전지_원본!$KB$4:$KX$4,0))*1000</f>
        <v>0</v>
      </c>
      <c r="CR333" s="250">
        <f>INDEX(연료전지_원본!$KB$4:$KX$369,MATCH($A333,연료전지_원본!$KB$4:$KB$369,0), MATCH(CR$4,연료전지_원본!$KB$4:$KX$4,0))*1000</f>
        <v>0</v>
      </c>
      <c r="CS333" s="250">
        <f>INDEX(연료전지_원본!$KB$4:$KX$369,MATCH($A333,연료전지_원본!$KB$4:$KB$369,0), MATCH(CS$4,연료전지_원본!$KB$4:$KX$4,0))*1000</f>
        <v>0</v>
      </c>
      <c r="CT333" s="250">
        <f>INDEX(연료전지_원본!$KB$4:$KX$369,MATCH($A333,연료전지_원본!$KB$4:$KB$369,0), MATCH(CT$4,연료전지_원본!$KB$4:$KX$4,0))*1000</f>
        <v>0</v>
      </c>
      <c r="CU333" s="250">
        <f>INDEX(연료전지_원본!$KB$4:$KX$369,MATCH($A333,연료전지_원본!$KB$4:$KB$369,0), MATCH(CU$4,연료전지_원본!$KB$4:$KX$4,0))*1000</f>
        <v>0</v>
      </c>
      <c r="CV333" s="250">
        <f>INDEX(연료전지_원본!$KB$4:$KX$369,MATCH($A333,연료전지_원본!$KB$4:$KB$369,0), MATCH(CV$4,연료전지_원본!$KB$4:$KX$4,0))*1000</f>
        <v>0</v>
      </c>
      <c r="CW333" s="250">
        <f>INDEX(연료전지_원본!$KB$4:$KX$369,MATCH($A333,연료전지_원본!$KB$4:$KB$369,0), MATCH(CW$4,연료전지_원본!$KB$4:$KX$4,0))*1000</f>
        <v>0</v>
      </c>
      <c r="CX333" s="250">
        <f>INDEX(연료전지_원본!$KB$4:$KX$369,MATCH($A333,연료전지_원본!$KB$4:$KB$369,0), MATCH(CX$4,연료전지_원본!$KB$4:$KX$4,0))*1000</f>
        <v>0</v>
      </c>
      <c r="CY333" s="250">
        <f>INDEX(연료전지_원본!$KB$4:$KX$369,MATCH($A333,연료전지_원본!$KB$4:$KB$369,0), MATCH(CY$4,연료전지_원본!$KB$4:$KX$4,0))*1000</f>
        <v>0</v>
      </c>
      <c r="DV333" s="30">
        <f t="shared" si="1616"/>
        <v>0</v>
      </c>
    </row>
    <row r="334" spans="1:126">
      <c r="A334" s="6">
        <v>46351</v>
      </c>
      <c r="B334" s="15">
        <f>운전실적_원본!B334</f>
        <v>0</v>
      </c>
      <c r="C334" s="16" t="str">
        <f t="shared" si="1622"/>
        <v/>
      </c>
      <c r="D334" s="12">
        <f>운전실적_원본!C334</f>
        <v>0</v>
      </c>
      <c r="E334" s="12" t="str">
        <f t="shared" si="1623"/>
        <v/>
      </c>
      <c r="F334" s="12">
        <f>운전실적_원본!D334</f>
        <v>0</v>
      </c>
      <c r="G334" s="16" t="str">
        <f t="shared" si="1624"/>
        <v/>
      </c>
      <c r="H334" s="15">
        <f>운전실적_원본!E334</f>
        <v>0</v>
      </c>
      <c r="I334" s="16" t="str">
        <f t="shared" si="1625"/>
        <v/>
      </c>
      <c r="J334" s="15">
        <f>운전실적_원본!F334</f>
        <v>0</v>
      </c>
      <c r="K334" s="16" t="str">
        <f t="shared" si="1625"/>
        <v/>
      </c>
      <c r="L334" s="32">
        <f>운전실적_원본!G334</f>
        <v>0</v>
      </c>
      <c r="M334" s="31" t="str">
        <f t="shared" ref="M334" si="1822">IF(OR(LEN(L334)=0,L334=0),"",L334-L333)</f>
        <v/>
      </c>
      <c r="N334" s="15">
        <f>운전실적_원본!H334</f>
        <v>0</v>
      </c>
      <c r="O334" s="16" t="str">
        <f t="shared" ref="O334" si="1823">IF(OR(LEN(N334)=0,N334=0),"",N334-N333)</f>
        <v/>
      </c>
      <c r="P334" s="15">
        <f>운전실적_원본!I334</f>
        <v>0</v>
      </c>
      <c r="Q334" s="16" t="str">
        <f t="shared" ref="Q334" si="1824">IF(OR(LEN(P334)=0,P334=0),"",P334-P333)</f>
        <v/>
      </c>
      <c r="R334" s="18">
        <f>운전실적_원본!J334</f>
        <v>0</v>
      </c>
      <c r="S334" s="19" t="str">
        <f t="shared" ref="S334" si="1825">IF(OR(LEN(R334)=0,R334=0),"",R334-R333)</f>
        <v/>
      </c>
      <c r="T334" s="18">
        <f>운전실적_원본!K334</f>
        <v>0</v>
      </c>
      <c r="U334" s="19" t="str">
        <f t="shared" si="1630"/>
        <v/>
      </c>
      <c r="V334" s="12">
        <f>운전실적_원본!L334</f>
        <v>0</v>
      </c>
      <c r="W334" s="16" t="str">
        <f t="shared" ref="W334" si="1826">IF(OR(LEN(V334)=0,V334=0),"",V334-V333)</f>
        <v/>
      </c>
      <c r="X334" s="10">
        <f>운전실적_원본!M334</f>
        <v>0</v>
      </c>
      <c r="Y334" s="10">
        <f>운전실적_원본!N334</f>
        <v>0</v>
      </c>
      <c r="Z334" s="10">
        <f>운전실적_원본!O334</f>
        <v>0</v>
      </c>
      <c r="AA334" s="10">
        <f>운전실적_원본!P334</f>
        <v>0</v>
      </c>
      <c r="AB334" s="10">
        <f>운전실적_원본!Q334</f>
        <v>0</v>
      </c>
      <c r="AC334" s="20">
        <f>운전실적_원본!R334</f>
        <v>0</v>
      </c>
      <c r="AD334" s="109">
        <f>운전실적_원본!S334</f>
        <v>0</v>
      </c>
      <c r="AE334" s="110">
        <f>운전실적_원본!T334</f>
        <v>0</v>
      </c>
      <c r="AF334" s="110">
        <f>운전실적_원본!U334</f>
        <v>0</v>
      </c>
      <c r="AG334" s="110">
        <f>운전실적_원본!V334</f>
        <v>0</v>
      </c>
      <c r="AH334" s="109">
        <f t="shared" si="1784"/>
        <v>0</v>
      </c>
      <c r="AI334" s="110">
        <f t="shared" si="1791"/>
        <v>0</v>
      </c>
      <c r="AJ334" s="110">
        <f>운전실적_원본!Y334</f>
        <v>0</v>
      </c>
      <c r="AK334" s="110">
        <f>운전실적_원본!Z334</f>
        <v>0</v>
      </c>
      <c r="AL334" s="106"/>
      <c r="AM334" s="105"/>
      <c r="AN334" s="105"/>
      <c r="AO334" s="105"/>
      <c r="AP334" s="105"/>
      <c r="AQ334" s="108"/>
      <c r="AR334" s="105"/>
      <c r="AS334" s="105"/>
      <c r="AT334" s="102"/>
      <c r="AU334" s="102"/>
      <c r="AV334" s="102"/>
      <c r="AW334" s="102"/>
      <c r="AX334" s="32">
        <f>운전실적_원본!W334</f>
        <v>0</v>
      </c>
      <c r="AY334" s="11">
        <f>운전실적_원본!X334</f>
        <v>0</v>
      </c>
      <c r="AZ334" s="11">
        <f>운전실적_원본!Y334</f>
        <v>0</v>
      </c>
      <c r="BA334" s="11">
        <f>운전실적_원본!Z334</f>
        <v>0</v>
      </c>
      <c r="BB334" s="11">
        <f>운전실적_원본!AA334</f>
        <v>0</v>
      </c>
      <c r="BC334" s="11">
        <f>운전실적_원본!AB334</f>
        <v>0</v>
      </c>
      <c r="BD334" s="32" t="str">
        <f t="shared" si="1777"/>
        <v>-</v>
      </c>
      <c r="BE334" s="11" t="str">
        <f t="shared" si="1785"/>
        <v>-</v>
      </c>
      <c r="BF334" s="11">
        <f>운전실적_원본!AE334</f>
        <v>0</v>
      </c>
      <c r="BG334" s="31">
        <f t="shared" si="1778"/>
        <v>0</v>
      </c>
      <c r="BH334" s="241">
        <f>INDEX(연료전지_원본!$A$4:$KY$369,MATCH($A334,연료전지_원본!$A$4:$A$369,0),MATCH($BH$4,연료전지_원본!$A$4:$KY$4,0))</f>
        <v>0</v>
      </c>
      <c r="BI334" s="241">
        <f>INDEX(연료전지_원본!$A$4:$KY$369,MATCH($A334,연료전지_원본!$A$4:$A$369,0),MATCH($BI$4,연료전지_원본!$A$4:$KY$4,0))</f>
        <v>0</v>
      </c>
      <c r="BJ334" s="241">
        <f>INDEX(연료전지_원본!$A$4:$KY$369,MATCH($A334,연료전지_원본!$A$4:$A$369,0),MATCH($BJ$4,연료전지_원본!$A$4:$KY$4,0))</f>
        <v>0</v>
      </c>
      <c r="BK334" s="241">
        <f>INDEX(연료전지_원본!$A$4:$KY$369,MATCH($A334,연료전지_원본!$A$4:$A$369,0),MATCH($BK$4,연료전지_원본!$A$4:$KY$4,0))</f>
        <v>0</v>
      </c>
      <c r="BL334" s="241">
        <f>INDEX(연료전지_원본!$A$4:$KY$369,MATCH($A334,연료전지_원본!$A$4:$A$369,0),MATCH($BL$4,연료전지_원본!$A$4:$KY$4,0))</f>
        <v>0</v>
      </c>
      <c r="BM334" s="241">
        <f>INDEX(연료전지_원본!$A$4:$KY$369,MATCH($A334,연료전지_원본!$A$4:$A$369,0),MATCH($BM$4,연료전지_원본!$A$4:$KY$4,0))</f>
        <v>0</v>
      </c>
      <c r="BN334" s="241">
        <f>INDEX(연료전지_원본!$A$4:$KY$369,MATCH($A334,연료전지_원본!$A$4:$A$369,0),MATCH($BN$4,연료전지_원본!$A$4:$KY$4,0))</f>
        <v>0</v>
      </c>
      <c r="BO334" s="241">
        <f>INDEX(연료전지_원본!$A$4:$KY$369,MATCH($A334,연료전지_원본!$A$4:$A$369,0),MATCH($BO$4,연료전지_원본!$A$4:$KY$4,0))</f>
        <v>0</v>
      </c>
      <c r="BP334" s="241">
        <f>INDEX(연료전지_원본!$A$4:$KY$369,MATCH($A334,연료전지_원본!$A$4:$A$369,0),MATCH($BP$4,연료전지_원본!$A$4:$KY$4,0))</f>
        <v>0</v>
      </c>
      <c r="BQ334" s="241">
        <f>INDEX(연료전지_원본!$A$4:$KY$369,MATCH($A334,연료전지_원본!$A$4:$A$369,0),MATCH($BQ$4,연료전지_원본!$A$4:$KY$4,0))</f>
        <v>0</v>
      </c>
      <c r="BR334" s="241">
        <f>INDEX(연료전지_원본!$A$4:$KY$369,MATCH($A334,연료전지_원본!$A$4:$A$369,0),MATCH($BR$4,연료전지_원본!$A$4:$KY$4,0))</f>
        <v>0</v>
      </c>
      <c r="BS334" s="241">
        <f>INDEX(연료전지_원본!$A$4:$KY$369,MATCH($A334,연료전지_원본!$A$4:$A$369,0),MATCH($BS$4,연료전지_원본!$A$4:$KY$4,0))</f>
        <v>0</v>
      </c>
      <c r="BT334" s="241">
        <f>INDEX(연료전지_원본!$A$4:$KY$369,MATCH($A334,연료전지_원본!$A$4:$A$369,0),MATCH($BT$4,연료전지_원본!$A$4:$KY$4,0))</f>
        <v>0</v>
      </c>
      <c r="BU334" s="241">
        <f>INDEX(연료전지_원본!$A$4:$KY$369,MATCH($A334,연료전지_원본!$A$4:$A$369,0),MATCH($BU$4,연료전지_원본!$A$4:$KY$4,0))</f>
        <v>0</v>
      </c>
      <c r="BV334" s="241">
        <f>INDEX(연료전지_원본!$A$4:$KY$369,MATCH($A334,연료전지_원본!$A$4:$A$369,0),MATCH($BV$4,연료전지_원본!$A$4:$KY$4,0))</f>
        <v>0</v>
      </c>
      <c r="BW334" s="241">
        <f>INDEX(연료전지_원본!$A$4:$KY$369,MATCH($A334,연료전지_원본!$A$4:$A$369,0),MATCH($BW$4,연료전지_원본!$A$4:$KY$4,0))</f>
        <v>0</v>
      </c>
      <c r="BX334" s="241">
        <f>INDEX(연료전지_원본!$A$4:$KY$369,MATCH($A334,연료전지_원본!$A$4:$A$369,0),MATCH($BX$4,연료전지_원본!$A$4:$KY$4,0))</f>
        <v>0</v>
      </c>
      <c r="BY334" s="241">
        <f>INDEX(연료전지_원본!$A$4:$KY$369,MATCH($A334,연료전지_원본!$A$4:$A$369,0),MATCH($BY$4,연료전지_원본!$A$4:$KY$4,0))</f>
        <v>0</v>
      </c>
      <c r="BZ334" s="241">
        <f>INDEX(연료전지_원본!$A$4:$KY$369,MATCH($A334,연료전지_원본!$A$4:$A$369,0),MATCH($BZ$4,연료전지_원본!$A$4:$KY$4,0))</f>
        <v>0</v>
      </c>
      <c r="CA334" s="241">
        <f>INDEX(연료전지_원본!$A$4:$KY$369,MATCH($A334,연료전지_원본!$A$4:$A$369,0),MATCH($CA$4,연료전지_원본!$A$4:$KY$4,0))</f>
        <v>0</v>
      </c>
      <c r="CB334" s="241">
        <f>INDEX(연료전지_원본!$A$4:$KY$369,MATCH($A334,연료전지_원본!$A$4:$A$369,0),MATCH($CB$4,연료전지_원본!$A$4:$KY$4,0))</f>
        <v>0</v>
      </c>
      <c r="CC334" s="242">
        <f>INDEX(연료전지_원본!$A$4:$KY$369,MATCH($A334,연료전지_원본!$A$4:$A$369,0),MATCH($CC$4,연료전지_원본!$A$4:$KY$4,0))</f>
        <v>0</v>
      </c>
      <c r="CD334" s="250">
        <f>INDEX(연료전지_원본!$KB$4:$KX$369,MATCH($A334,연료전지_원본!$KB$4:$KB$369,0), MATCH(CD$4,연료전지_원본!$KB$4:$KX$4,0))*1000</f>
        <v>0</v>
      </c>
      <c r="CE334" s="250">
        <f>INDEX(연료전지_원본!$KB$4:$KX$369,MATCH($A334,연료전지_원본!$KB$4:$KB$369,0), MATCH(CE$4,연료전지_원본!$KB$4:$KX$4,0))*1000</f>
        <v>0</v>
      </c>
      <c r="CF334" s="250">
        <f>INDEX(연료전지_원본!$KB$4:$KX$369,MATCH($A334,연료전지_원본!$KB$4:$KB$369,0), MATCH(CF$4,연료전지_원본!$KB$4:$KX$4,0))*1000</f>
        <v>0</v>
      </c>
      <c r="CG334" s="250">
        <f>INDEX(연료전지_원본!$KB$4:$KX$369,MATCH($A334,연료전지_원본!$KB$4:$KB$369,0), MATCH(CG$4,연료전지_원본!$KB$4:$KX$4,0))*1000</f>
        <v>0</v>
      </c>
      <c r="CH334" s="250">
        <f>INDEX(연료전지_원본!$KB$4:$KX$369,MATCH($A334,연료전지_원본!$KB$4:$KB$369,0), MATCH(CH$4,연료전지_원본!$KB$4:$KX$4,0))*1000</f>
        <v>0</v>
      </c>
      <c r="CI334" s="250">
        <f>INDEX(연료전지_원본!$KB$4:$KX$369,MATCH($A334,연료전지_원본!$KB$4:$KB$369,0), MATCH(CI$4,연료전지_원본!$KB$4:$KX$4,0))*1000</f>
        <v>0</v>
      </c>
      <c r="CJ334" s="250">
        <f>INDEX(연료전지_원본!$KB$4:$KX$369,MATCH($A334,연료전지_원본!$KB$4:$KB$369,0), MATCH(CJ$4,연료전지_원본!$KB$4:$KX$4,0))*1000</f>
        <v>0</v>
      </c>
      <c r="CK334" s="250">
        <f>INDEX(연료전지_원본!$KB$4:$KX$369,MATCH($A334,연료전지_원본!$KB$4:$KB$369,0), MATCH(CK$4,연료전지_원본!$KB$4:$KX$4,0))*1000</f>
        <v>0</v>
      </c>
      <c r="CL334" s="250">
        <f>INDEX(연료전지_원본!$KB$4:$KX$369,MATCH($A334,연료전지_원본!$KB$4:$KB$369,0), MATCH(CL$4,연료전지_원본!$KB$4:$KX$4,0))*1000</f>
        <v>0</v>
      </c>
      <c r="CM334" s="250">
        <f>INDEX(연료전지_원본!$KB$4:$KX$369,MATCH($A334,연료전지_원본!$KB$4:$KB$369,0), MATCH(CM$4,연료전지_원본!$KB$4:$KX$4,0))*1000</f>
        <v>0</v>
      </c>
      <c r="CN334" s="250">
        <f>INDEX(연료전지_원본!$KB$4:$KX$369,MATCH($A334,연료전지_원본!$KB$4:$KB$369,0), MATCH(CN$4,연료전지_원본!$KB$4:$KX$4,0))*1000</f>
        <v>0</v>
      </c>
      <c r="CO334" s="250">
        <f>INDEX(연료전지_원본!$KB$4:$KX$369,MATCH($A334,연료전지_원본!$KB$4:$KB$369,0), MATCH(CO$4,연료전지_원본!$KB$4:$KX$4,0))*1000</f>
        <v>0</v>
      </c>
      <c r="CP334" s="250">
        <f>INDEX(연료전지_원본!$KB$4:$KX$369,MATCH($A334,연료전지_원본!$KB$4:$KB$369,0), MATCH(CP$4,연료전지_원본!$KB$4:$KX$4,0))*1000</f>
        <v>0</v>
      </c>
      <c r="CQ334" s="250">
        <f>INDEX(연료전지_원본!$KB$4:$KX$369,MATCH($A334,연료전지_원본!$KB$4:$KB$369,0), MATCH(CQ$4,연료전지_원본!$KB$4:$KX$4,0))*1000</f>
        <v>0</v>
      </c>
      <c r="CR334" s="250">
        <f>INDEX(연료전지_원본!$KB$4:$KX$369,MATCH($A334,연료전지_원본!$KB$4:$KB$369,0), MATCH(CR$4,연료전지_원본!$KB$4:$KX$4,0))*1000</f>
        <v>0</v>
      </c>
      <c r="CS334" s="250">
        <f>INDEX(연료전지_원본!$KB$4:$KX$369,MATCH($A334,연료전지_원본!$KB$4:$KB$369,0), MATCH(CS$4,연료전지_원본!$KB$4:$KX$4,0))*1000</f>
        <v>0</v>
      </c>
      <c r="CT334" s="250">
        <f>INDEX(연료전지_원본!$KB$4:$KX$369,MATCH($A334,연료전지_원본!$KB$4:$KB$369,0), MATCH(CT$4,연료전지_원본!$KB$4:$KX$4,0))*1000</f>
        <v>0</v>
      </c>
      <c r="CU334" s="250">
        <f>INDEX(연료전지_원본!$KB$4:$KX$369,MATCH($A334,연료전지_원본!$KB$4:$KB$369,0), MATCH(CU$4,연료전지_원본!$KB$4:$KX$4,0))*1000</f>
        <v>0</v>
      </c>
      <c r="CV334" s="250">
        <f>INDEX(연료전지_원본!$KB$4:$KX$369,MATCH($A334,연료전지_원본!$KB$4:$KB$369,0), MATCH(CV$4,연료전지_원본!$KB$4:$KX$4,0))*1000</f>
        <v>0</v>
      </c>
      <c r="CW334" s="250">
        <f>INDEX(연료전지_원본!$KB$4:$KX$369,MATCH($A334,연료전지_원본!$KB$4:$KB$369,0), MATCH(CW$4,연료전지_원본!$KB$4:$KX$4,0))*1000</f>
        <v>0</v>
      </c>
      <c r="CX334" s="250">
        <f>INDEX(연료전지_원본!$KB$4:$KX$369,MATCH($A334,연료전지_원본!$KB$4:$KB$369,0), MATCH(CX$4,연료전지_원본!$KB$4:$KX$4,0))*1000</f>
        <v>0</v>
      </c>
      <c r="CY334" s="250">
        <f>INDEX(연료전지_원본!$KB$4:$KX$369,MATCH($A334,연료전지_원본!$KB$4:$KB$369,0), MATCH(CY$4,연료전지_원본!$KB$4:$KX$4,0))*1000</f>
        <v>0</v>
      </c>
      <c r="DV334" s="30">
        <f t="shared" si="1616"/>
        <v>0</v>
      </c>
    </row>
    <row r="335" spans="1:126">
      <c r="A335" s="6">
        <v>46352</v>
      </c>
      <c r="B335" s="15">
        <f>운전실적_원본!B335</f>
        <v>0</v>
      </c>
      <c r="C335" s="16" t="str">
        <f t="shared" si="1622"/>
        <v/>
      </c>
      <c r="D335" s="12">
        <f>운전실적_원본!C335</f>
        <v>0</v>
      </c>
      <c r="E335" s="12" t="str">
        <f t="shared" si="1623"/>
        <v/>
      </c>
      <c r="F335" s="12">
        <f>운전실적_원본!D335</f>
        <v>0</v>
      </c>
      <c r="G335" s="16" t="str">
        <f t="shared" si="1624"/>
        <v/>
      </c>
      <c r="H335" s="15">
        <f>운전실적_원본!E335</f>
        <v>0</v>
      </c>
      <c r="I335" s="16" t="str">
        <f t="shared" si="1625"/>
        <v/>
      </c>
      <c r="J335" s="15">
        <f>운전실적_원본!F335</f>
        <v>0</v>
      </c>
      <c r="K335" s="16" t="str">
        <f t="shared" si="1625"/>
        <v/>
      </c>
      <c r="L335" s="32">
        <f>운전실적_원본!G335</f>
        <v>0</v>
      </c>
      <c r="M335" s="31" t="str">
        <f t="shared" ref="M335" si="1827">IF(OR(LEN(L335)=0,L335=0),"",L335-L334)</f>
        <v/>
      </c>
      <c r="N335" s="15">
        <f>운전실적_원본!H335</f>
        <v>0</v>
      </c>
      <c r="O335" s="16" t="str">
        <f t="shared" ref="O335" si="1828">IF(OR(LEN(N335)=0,N335=0),"",N335-N334)</f>
        <v/>
      </c>
      <c r="P335" s="15">
        <f>운전실적_원본!I335</f>
        <v>0</v>
      </c>
      <c r="Q335" s="16" t="str">
        <f t="shared" ref="Q335" si="1829">IF(OR(LEN(P335)=0,P335=0),"",P335-P334)</f>
        <v/>
      </c>
      <c r="R335" s="18">
        <f>운전실적_원본!J335</f>
        <v>0</v>
      </c>
      <c r="S335" s="19" t="str">
        <f t="shared" ref="S335" si="1830">IF(OR(LEN(R335)=0,R335=0),"",R335-R334)</f>
        <v/>
      </c>
      <c r="T335" s="18">
        <f>운전실적_원본!K335</f>
        <v>0</v>
      </c>
      <c r="U335" s="19" t="str">
        <f t="shared" si="1630"/>
        <v/>
      </c>
      <c r="V335" s="12">
        <f>운전실적_원본!L335</f>
        <v>0</v>
      </c>
      <c r="W335" s="16" t="str">
        <f t="shared" ref="W335" si="1831">IF(OR(LEN(V335)=0,V335=0),"",V335-V334)</f>
        <v/>
      </c>
      <c r="X335" s="10">
        <f>운전실적_원본!M335</f>
        <v>0</v>
      </c>
      <c r="Y335" s="10">
        <f>운전실적_원본!N335</f>
        <v>0</v>
      </c>
      <c r="Z335" s="10">
        <f>운전실적_원본!O335</f>
        <v>0</v>
      </c>
      <c r="AA335" s="10">
        <f>운전실적_원본!P335</f>
        <v>0</v>
      </c>
      <c r="AB335" s="10">
        <f>운전실적_원본!Q335</f>
        <v>0</v>
      </c>
      <c r="AC335" s="20">
        <f>운전실적_원본!R335</f>
        <v>0</v>
      </c>
      <c r="AD335" s="109">
        <f>운전실적_원본!S335</f>
        <v>0</v>
      </c>
      <c r="AE335" s="110">
        <f>운전실적_원본!T335</f>
        <v>0</v>
      </c>
      <c r="AF335" s="110">
        <f>운전실적_원본!U335</f>
        <v>0</v>
      </c>
      <c r="AG335" s="110">
        <f>운전실적_원본!V335</f>
        <v>0</v>
      </c>
      <c r="AH335" s="109">
        <f t="shared" si="1784"/>
        <v>0</v>
      </c>
      <c r="AI335" s="110">
        <f t="shared" si="1791"/>
        <v>0</v>
      </c>
      <c r="AJ335" s="110">
        <f>운전실적_원본!Y335</f>
        <v>0</v>
      </c>
      <c r="AK335" s="110">
        <f>운전실적_원본!Z335</f>
        <v>0</v>
      </c>
      <c r="AL335" s="106"/>
      <c r="AM335" s="105"/>
      <c r="AN335" s="105"/>
      <c r="AO335" s="105"/>
      <c r="AP335" s="105"/>
      <c r="AQ335" s="108"/>
      <c r="AR335" s="105"/>
      <c r="AS335" s="105"/>
      <c r="AT335" s="102"/>
      <c r="AU335" s="102"/>
      <c r="AV335" s="102"/>
      <c r="AW335" s="102"/>
      <c r="AX335" s="32">
        <f>운전실적_원본!W335</f>
        <v>0</v>
      </c>
      <c r="AY335" s="11">
        <f>운전실적_원본!X335</f>
        <v>0</v>
      </c>
      <c r="AZ335" s="11">
        <f>운전실적_원본!Y335</f>
        <v>0</v>
      </c>
      <c r="BA335" s="11">
        <f>운전실적_원본!Z335</f>
        <v>0</v>
      </c>
      <c r="BB335" s="11">
        <f>운전실적_원본!AA335</f>
        <v>0</v>
      </c>
      <c r="BC335" s="11">
        <f>운전실적_원본!AB335</f>
        <v>0</v>
      </c>
      <c r="BD335" s="32" t="str">
        <f t="shared" si="1777"/>
        <v>-</v>
      </c>
      <c r="BE335" s="11" t="str">
        <f t="shared" si="1785"/>
        <v>-</v>
      </c>
      <c r="BF335" s="11">
        <f>운전실적_원본!AE335</f>
        <v>0</v>
      </c>
      <c r="BG335" s="31">
        <f t="shared" si="1778"/>
        <v>0</v>
      </c>
      <c r="BH335" s="241">
        <f>INDEX(연료전지_원본!$A$4:$KY$369,MATCH($A335,연료전지_원본!$A$4:$A$369,0),MATCH($BH$4,연료전지_원본!$A$4:$KY$4,0))</f>
        <v>0</v>
      </c>
      <c r="BI335" s="241">
        <f>INDEX(연료전지_원본!$A$4:$KY$369,MATCH($A335,연료전지_원본!$A$4:$A$369,0),MATCH($BI$4,연료전지_원본!$A$4:$KY$4,0))</f>
        <v>0</v>
      </c>
      <c r="BJ335" s="241">
        <f>INDEX(연료전지_원본!$A$4:$KY$369,MATCH($A335,연료전지_원본!$A$4:$A$369,0),MATCH($BJ$4,연료전지_원본!$A$4:$KY$4,0))</f>
        <v>0</v>
      </c>
      <c r="BK335" s="241">
        <f>INDEX(연료전지_원본!$A$4:$KY$369,MATCH($A335,연료전지_원본!$A$4:$A$369,0),MATCH($BK$4,연료전지_원본!$A$4:$KY$4,0))</f>
        <v>0</v>
      </c>
      <c r="BL335" s="241">
        <f>INDEX(연료전지_원본!$A$4:$KY$369,MATCH($A335,연료전지_원본!$A$4:$A$369,0),MATCH($BL$4,연료전지_원본!$A$4:$KY$4,0))</f>
        <v>0</v>
      </c>
      <c r="BM335" s="241">
        <f>INDEX(연료전지_원본!$A$4:$KY$369,MATCH($A335,연료전지_원본!$A$4:$A$369,0),MATCH($BM$4,연료전지_원본!$A$4:$KY$4,0))</f>
        <v>0</v>
      </c>
      <c r="BN335" s="241">
        <f>INDEX(연료전지_원본!$A$4:$KY$369,MATCH($A335,연료전지_원본!$A$4:$A$369,0),MATCH($BN$4,연료전지_원본!$A$4:$KY$4,0))</f>
        <v>0</v>
      </c>
      <c r="BO335" s="241">
        <f>INDEX(연료전지_원본!$A$4:$KY$369,MATCH($A335,연료전지_원본!$A$4:$A$369,0),MATCH($BO$4,연료전지_원본!$A$4:$KY$4,0))</f>
        <v>0</v>
      </c>
      <c r="BP335" s="241">
        <f>INDEX(연료전지_원본!$A$4:$KY$369,MATCH($A335,연료전지_원본!$A$4:$A$369,0),MATCH($BP$4,연료전지_원본!$A$4:$KY$4,0))</f>
        <v>0</v>
      </c>
      <c r="BQ335" s="241">
        <f>INDEX(연료전지_원본!$A$4:$KY$369,MATCH($A335,연료전지_원본!$A$4:$A$369,0),MATCH($BQ$4,연료전지_원본!$A$4:$KY$4,0))</f>
        <v>0</v>
      </c>
      <c r="BR335" s="241">
        <f>INDEX(연료전지_원본!$A$4:$KY$369,MATCH($A335,연료전지_원본!$A$4:$A$369,0),MATCH($BR$4,연료전지_원본!$A$4:$KY$4,0))</f>
        <v>0</v>
      </c>
      <c r="BS335" s="241">
        <f>INDEX(연료전지_원본!$A$4:$KY$369,MATCH($A335,연료전지_원본!$A$4:$A$369,0),MATCH($BS$4,연료전지_원본!$A$4:$KY$4,0))</f>
        <v>0</v>
      </c>
      <c r="BT335" s="241">
        <f>INDEX(연료전지_원본!$A$4:$KY$369,MATCH($A335,연료전지_원본!$A$4:$A$369,0),MATCH($BT$4,연료전지_원본!$A$4:$KY$4,0))</f>
        <v>0</v>
      </c>
      <c r="BU335" s="241">
        <f>INDEX(연료전지_원본!$A$4:$KY$369,MATCH($A335,연료전지_원본!$A$4:$A$369,0),MATCH($BU$4,연료전지_원본!$A$4:$KY$4,0))</f>
        <v>0</v>
      </c>
      <c r="BV335" s="241">
        <f>INDEX(연료전지_원본!$A$4:$KY$369,MATCH($A335,연료전지_원본!$A$4:$A$369,0),MATCH($BV$4,연료전지_원본!$A$4:$KY$4,0))</f>
        <v>0</v>
      </c>
      <c r="BW335" s="241">
        <f>INDEX(연료전지_원본!$A$4:$KY$369,MATCH($A335,연료전지_원본!$A$4:$A$369,0),MATCH($BW$4,연료전지_원본!$A$4:$KY$4,0))</f>
        <v>0</v>
      </c>
      <c r="BX335" s="241">
        <f>INDEX(연료전지_원본!$A$4:$KY$369,MATCH($A335,연료전지_원본!$A$4:$A$369,0),MATCH($BX$4,연료전지_원본!$A$4:$KY$4,0))</f>
        <v>0</v>
      </c>
      <c r="BY335" s="241">
        <f>INDEX(연료전지_원본!$A$4:$KY$369,MATCH($A335,연료전지_원본!$A$4:$A$369,0),MATCH($BY$4,연료전지_원본!$A$4:$KY$4,0))</f>
        <v>0</v>
      </c>
      <c r="BZ335" s="241">
        <f>INDEX(연료전지_원본!$A$4:$KY$369,MATCH($A335,연료전지_원본!$A$4:$A$369,0),MATCH($BZ$4,연료전지_원본!$A$4:$KY$4,0))</f>
        <v>0</v>
      </c>
      <c r="CA335" s="241">
        <f>INDEX(연료전지_원본!$A$4:$KY$369,MATCH($A335,연료전지_원본!$A$4:$A$369,0),MATCH($CA$4,연료전지_원본!$A$4:$KY$4,0))</f>
        <v>0</v>
      </c>
      <c r="CB335" s="241">
        <f>INDEX(연료전지_원본!$A$4:$KY$369,MATCH($A335,연료전지_원본!$A$4:$A$369,0),MATCH($CB$4,연료전지_원본!$A$4:$KY$4,0))</f>
        <v>0</v>
      </c>
      <c r="CC335" s="242">
        <f>INDEX(연료전지_원본!$A$4:$KY$369,MATCH($A335,연료전지_원본!$A$4:$A$369,0),MATCH($CC$4,연료전지_원본!$A$4:$KY$4,0))</f>
        <v>0</v>
      </c>
      <c r="CD335" s="250">
        <f>INDEX(연료전지_원본!$KB$4:$KX$369,MATCH($A335,연료전지_원본!$KB$4:$KB$369,0), MATCH(CD$4,연료전지_원본!$KB$4:$KX$4,0))*1000</f>
        <v>0</v>
      </c>
      <c r="CE335" s="250">
        <f>INDEX(연료전지_원본!$KB$4:$KX$369,MATCH($A335,연료전지_원본!$KB$4:$KB$369,0), MATCH(CE$4,연료전지_원본!$KB$4:$KX$4,0))*1000</f>
        <v>0</v>
      </c>
      <c r="CF335" s="250">
        <f>INDEX(연료전지_원본!$KB$4:$KX$369,MATCH($A335,연료전지_원본!$KB$4:$KB$369,0), MATCH(CF$4,연료전지_원본!$KB$4:$KX$4,0))*1000</f>
        <v>0</v>
      </c>
      <c r="CG335" s="250">
        <f>INDEX(연료전지_원본!$KB$4:$KX$369,MATCH($A335,연료전지_원본!$KB$4:$KB$369,0), MATCH(CG$4,연료전지_원본!$KB$4:$KX$4,0))*1000</f>
        <v>0</v>
      </c>
      <c r="CH335" s="250">
        <f>INDEX(연료전지_원본!$KB$4:$KX$369,MATCH($A335,연료전지_원본!$KB$4:$KB$369,0), MATCH(CH$4,연료전지_원본!$KB$4:$KX$4,0))*1000</f>
        <v>0</v>
      </c>
      <c r="CI335" s="250">
        <f>INDEX(연료전지_원본!$KB$4:$KX$369,MATCH($A335,연료전지_원본!$KB$4:$KB$369,0), MATCH(CI$4,연료전지_원본!$KB$4:$KX$4,0))*1000</f>
        <v>0</v>
      </c>
      <c r="CJ335" s="250">
        <f>INDEX(연료전지_원본!$KB$4:$KX$369,MATCH($A335,연료전지_원본!$KB$4:$KB$369,0), MATCH(CJ$4,연료전지_원본!$KB$4:$KX$4,0))*1000</f>
        <v>0</v>
      </c>
      <c r="CK335" s="250">
        <f>INDEX(연료전지_원본!$KB$4:$KX$369,MATCH($A335,연료전지_원본!$KB$4:$KB$369,0), MATCH(CK$4,연료전지_원본!$KB$4:$KX$4,0))*1000</f>
        <v>0</v>
      </c>
      <c r="CL335" s="250">
        <f>INDEX(연료전지_원본!$KB$4:$KX$369,MATCH($A335,연료전지_원본!$KB$4:$KB$369,0), MATCH(CL$4,연료전지_원본!$KB$4:$KX$4,0))*1000</f>
        <v>0</v>
      </c>
      <c r="CM335" s="250">
        <f>INDEX(연료전지_원본!$KB$4:$KX$369,MATCH($A335,연료전지_원본!$KB$4:$KB$369,0), MATCH(CM$4,연료전지_원본!$KB$4:$KX$4,0))*1000</f>
        <v>0</v>
      </c>
      <c r="CN335" s="250">
        <f>INDEX(연료전지_원본!$KB$4:$KX$369,MATCH($A335,연료전지_원본!$KB$4:$KB$369,0), MATCH(CN$4,연료전지_원본!$KB$4:$KX$4,0))*1000</f>
        <v>0</v>
      </c>
      <c r="CO335" s="250">
        <f>INDEX(연료전지_원본!$KB$4:$KX$369,MATCH($A335,연료전지_원본!$KB$4:$KB$369,0), MATCH(CO$4,연료전지_원본!$KB$4:$KX$4,0))*1000</f>
        <v>0</v>
      </c>
      <c r="CP335" s="250">
        <f>INDEX(연료전지_원본!$KB$4:$KX$369,MATCH($A335,연료전지_원본!$KB$4:$KB$369,0), MATCH(CP$4,연료전지_원본!$KB$4:$KX$4,0))*1000</f>
        <v>0</v>
      </c>
      <c r="CQ335" s="250">
        <f>INDEX(연료전지_원본!$KB$4:$KX$369,MATCH($A335,연료전지_원본!$KB$4:$KB$369,0), MATCH(CQ$4,연료전지_원본!$KB$4:$KX$4,0))*1000</f>
        <v>0</v>
      </c>
      <c r="CR335" s="250">
        <f>INDEX(연료전지_원본!$KB$4:$KX$369,MATCH($A335,연료전지_원본!$KB$4:$KB$369,0), MATCH(CR$4,연료전지_원본!$KB$4:$KX$4,0))*1000</f>
        <v>0</v>
      </c>
      <c r="CS335" s="250">
        <f>INDEX(연료전지_원본!$KB$4:$KX$369,MATCH($A335,연료전지_원본!$KB$4:$KB$369,0), MATCH(CS$4,연료전지_원본!$KB$4:$KX$4,0))*1000</f>
        <v>0</v>
      </c>
      <c r="CT335" s="250">
        <f>INDEX(연료전지_원본!$KB$4:$KX$369,MATCH($A335,연료전지_원본!$KB$4:$KB$369,0), MATCH(CT$4,연료전지_원본!$KB$4:$KX$4,0))*1000</f>
        <v>0</v>
      </c>
      <c r="CU335" s="250">
        <f>INDEX(연료전지_원본!$KB$4:$KX$369,MATCH($A335,연료전지_원본!$KB$4:$KB$369,0), MATCH(CU$4,연료전지_원본!$KB$4:$KX$4,0))*1000</f>
        <v>0</v>
      </c>
      <c r="CV335" s="250">
        <f>INDEX(연료전지_원본!$KB$4:$KX$369,MATCH($A335,연료전지_원본!$KB$4:$KB$369,0), MATCH(CV$4,연료전지_원본!$KB$4:$KX$4,0))*1000</f>
        <v>0</v>
      </c>
      <c r="CW335" s="250">
        <f>INDEX(연료전지_원본!$KB$4:$KX$369,MATCH($A335,연료전지_원본!$KB$4:$KB$369,0), MATCH(CW$4,연료전지_원본!$KB$4:$KX$4,0))*1000</f>
        <v>0</v>
      </c>
      <c r="CX335" s="250">
        <f>INDEX(연료전지_원본!$KB$4:$KX$369,MATCH($A335,연료전지_원본!$KB$4:$KB$369,0), MATCH(CX$4,연료전지_원본!$KB$4:$KX$4,0))*1000</f>
        <v>0</v>
      </c>
      <c r="CY335" s="250">
        <f>INDEX(연료전지_원본!$KB$4:$KX$369,MATCH($A335,연료전지_원본!$KB$4:$KB$369,0), MATCH(CY$4,연료전지_원본!$KB$4:$KX$4,0))*1000</f>
        <v>0</v>
      </c>
      <c r="DV335" s="30">
        <f t="shared" si="1616"/>
        <v>0</v>
      </c>
    </row>
    <row r="336" spans="1:126">
      <c r="A336" s="6">
        <v>46353</v>
      </c>
      <c r="B336" s="15">
        <f>운전실적_원본!B336</f>
        <v>0</v>
      </c>
      <c r="C336" s="16" t="str">
        <f t="shared" si="1622"/>
        <v/>
      </c>
      <c r="D336" s="12">
        <f>운전실적_원본!C336</f>
        <v>0</v>
      </c>
      <c r="E336" s="12" t="str">
        <f t="shared" si="1623"/>
        <v/>
      </c>
      <c r="F336" s="12">
        <f>운전실적_원본!D336</f>
        <v>0</v>
      </c>
      <c r="G336" s="16" t="str">
        <f t="shared" si="1624"/>
        <v/>
      </c>
      <c r="H336" s="15">
        <f>운전실적_원본!E336</f>
        <v>0</v>
      </c>
      <c r="I336" s="16" t="str">
        <f t="shared" si="1625"/>
        <v/>
      </c>
      <c r="J336" s="15">
        <f>운전실적_원본!F336</f>
        <v>0</v>
      </c>
      <c r="K336" s="16" t="str">
        <f t="shared" si="1625"/>
        <v/>
      </c>
      <c r="L336" s="32">
        <f>운전실적_원본!G336</f>
        <v>0</v>
      </c>
      <c r="M336" s="31" t="str">
        <f t="shared" ref="M336" si="1832">IF(OR(LEN(L336)=0,L336=0),"",L336-L335)</f>
        <v/>
      </c>
      <c r="N336" s="15">
        <f>운전실적_원본!H336</f>
        <v>0</v>
      </c>
      <c r="O336" s="16" t="str">
        <f t="shared" ref="O336" si="1833">IF(OR(LEN(N336)=0,N336=0),"",N336-N335)</f>
        <v/>
      </c>
      <c r="P336" s="15">
        <f>운전실적_원본!I336</f>
        <v>0</v>
      </c>
      <c r="Q336" s="16" t="str">
        <f t="shared" ref="Q336" si="1834">IF(OR(LEN(P336)=0,P336=0),"",P336-P335)</f>
        <v/>
      </c>
      <c r="R336" s="18">
        <f>운전실적_원본!J336</f>
        <v>0</v>
      </c>
      <c r="S336" s="19" t="str">
        <f t="shared" ref="S336" si="1835">IF(OR(LEN(R336)=0,R336=0),"",R336-R335)</f>
        <v/>
      </c>
      <c r="T336" s="18">
        <f>운전실적_원본!K336</f>
        <v>0</v>
      </c>
      <c r="U336" s="19" t="str">
        <f t="shared" si="1630"/>
        <v/>
      </c>
      <c r="V336" s="12">
        <f>운전실적_원본!L336</f>
        <v>0</v>
      </c>
      <c r="W336" s="16" t="str">
        <f t="shared" ref="W336" si="1836">IF(OR(LEN(V336)=0,V336=0),"",V336-V335)</f>
        <v/>
      </c>
      <c r="X336" s="10">
        <f>운전실적_원본!M336</f>
        <v>0</v>
      </c>
      <c r="Y336" s="10">
        <f>운전실적_원본!N336</f>
        <v>0</v>
      </c>
      <c r="Z336" s="10">
        <f>운전실적_원본!O336</f>
        <v>0</v>
      </c>
      <c r="AA336" s="10">
        <f>운전실적_원본!P336</f>
        <v>0</v>
      </c>
      <c r="AB336" s="10">
        <f>운전실적_원본!Q336</f>
        <v>0</v>
      </c>
      <c r="AC336" s="20">
        <f>운전실적_원본!R336</f>
        <v>0</v>
      </c>
      <c r="AD336" s="109">
        <f>운전실적_원본!S336</f>
        <v>0</v>
      </c>
      <c r="AE336" s="110">
        <f>운전실적_원본!T336</f>
        <v>0</v>
      </c>
      <c r="AF336" s="110">
        <f>운전실적_원본!U336</f>
        <v>0</v>
      </c>
      <c r="AG336" s="110">
        <f>운전실적_원본!V336</f>
        <v>0</v>
      </c>
      <c r="AH336" s="109">
        <f t="shared" si="1784"/>
        <v>0</v>
      </c>
      <c r="AI336" s="110">
        <f t="shared" si="1791"/>
        <v>0</v>
      </c>
      <c r="AJ336" s="110">
        <f>운전실적_원본!Y336</f>
        <v>0</v>
      </c>
      <c r="AK336" s="110">
        <f>운전실적_원본!Z336</f>
        <v>0</v>
      </c>
      <c r="AL336" s="106"/>
      <c r="AM336" s="105"/>
      <c r="AN336" s="105"/>
      <c r="AO336" s="105"/>
      <c r="AP336" s="105"/>
      <c r="AQ336" s="108"/>
      <c r="AR336" s="105"/>
      <c r="AS336" s="105"/>
      <c r="AT336" s="102"/>
      <c r="AU336" s="102"/>
      <c r="AV336" s="102"/>
      <c r="AW336" s="102"/>
      <c r="AX336" s="32">
        <f>운전실적_원본!W336</f>
        <v>0</v>
      </c>
      <c r="AY336" s="11">
        <f>운전실적_원본!X336</f>
        <v>0</v>
      </c>
      <c r="AZ336" s="11">
        <f>운전실적_원본!Y336</f>
        <v>0</v>
      </c>
      <c r="BA336" s="11">
        <f>운전실적_원본!Z336</f>
        <v>0</v>
      </c>
      <c r="BB336" s="11">
        <f>운전실적_원본!AA336</f>
        <v>0</v>
      </c>
      <c r="BC336" s="11">
        <f>운전실적_원본!AB336</f>
        <v>0</v>
      </c>
      <c r="BD336" s="32" t="str">
        <f t="shared" si="1777"/>
        <v>-</v>
      </c>
      <c r="BE336" s="11" t="str">
        <f t="shared" si="1785"/>
        <v>-</v>
      </c>
      <c r="BF336" s="11">
        <f>운전실적_원본!AE336</f>
        <v>0</v>
      </c>
      <c r="BG336" s="31">
        <f t="shared" si="1778"/>
        <v>0</v>
      </c>
      <c r="BH336" s="241">
        <f>INDEX(연료전지_원본!$A$4:$KY$369,MATCH($A336,연료전지_원본!$A$4:$A$369,0),MATCH($BH$4,연료전지_원본!$A$4:$KY$4,0))</f>
        <v>0</v>
      </c>
      <c r="BI336" s="241">
        <f>INDEX(연료전지_원본!$A$4:$KY$369,MATCH($A336,연료전지_원본!$A$4:$A$369,0),MATCH($BI$4,연료전지_원본!$A$4:$KY$4,0))</f>
        <v>0</v>
      </c>
      <c r="BJ336" s="241">
        <f>INDEX(연료전지_원본!$A$4:$KY$369,MATCH($A336,연료전지_원본!$A$4:$A$369,0),MATCH($BJ$4,연료전지_원본!$A$4:$KY$4,0))</f>
        <v>0</v>
      </c>
      <c r="BK336" s="241">
        <f>INDEX(연료전지_원본!$A$4:$KY$369,MATCH($A336,연료전지_원본!$A$4:$A$369,0),MATCH($BK$4,연료전지_원본!$A$4:$KY$4,0))</f>
        <v>0</v>
      </c>
      <c r="BL336" s="241">
        <f>INDEX(연료전지_원본!$A$4:$KY$369,MATCH($A336,연료전지_원본!$A$4:$A$369,0),MATCH($BL$4,연료전지_원본!$A$4:$KY$4,0))</f>
        <v>0</v>
      </c>
      <c r="BM336" s="241">
        <f>INDEX(연료전지_원본!$A$4:$KY$369,MATCH($A336,연료전지_원본!$A$4:$A$369,0),MATCH($BM$4,연료전지_원본!$A$4:$KY$4,0))</f>
        <v>0</v>
      </c>
      <c r="BN336" s="241">
        <f>INDEX(연료전지_원본!$A$4:$KY$369,MATCH($A336,연료전지_원본!$A$4:$A$369,0),MATCH($BN$4,연료전지_원본!$A$4:$KY$4,0))</f>
        <v>0</v>
      </c>
      <c r="BO336" s="241">
        <f>INDEX(연료전지_원본!$A$4:$KY$369,MATCH($A336,연료전지_원본!$A$4:$A$369,0),MATCH($BO$4,연료전지_원본!$A$4:$KY$4,0))</f>
        <v>0</v>
      </c>
      <c r="BP336" s="241">
        <f>INDEX(연료전지_원본!$A$4:$KY$369,MATCH($A336,연료전지_원본!$A$4:$A$369,0),MATCH($BP$4,연료전지_원본!$A$4:$KY$4,0))</f>
        <v>0</v>
      </c>
      <c r="BQ336" s="241">
        <f>INDEX(연료전지_원본!$A$4:$KY$369,MATCH($A336,연료전지_원본!$A$4:$A$369,0),MATCH($BQ$4,연료전지_원본!$A$4:$KY$4,0))</f>
        <v>0</v>
      </c>
      <c r="BR336" s="241">
        <f>INDEX(연료전지_원본!$A$4:$KY$369,MATCH($A336,연료전지_원본!$A$4:$A$369,0),MATCH($BR$4,연료전지_원본!$A$4:$KY$4,0))</f>
        <v>0</v>
      </c>
      <c r="BS336" s="241">
        <f>INDEX(연료전지_원본!$A$4:$KY$369,MATCH($A336,연료전지_원본!$A$4:$A$369,0),MATCH($BS$4,연료전지_원본!$A$4:$KY$4,0))</f>
        <v>0</v>
      </c>
      <c r="BT336" s="241">
        <f>INDEX(연료전지_원본!$A$4:$KY$369,MATCH($A336,연료전지_원본!$A$4:$A$369,0),MATCH($BT$4,연료전지_원본!$A$4:$KY$4,0))</f>
        <v>0</v>
      </c>
      <c r="BU336" s="241">
        <f>INDEX(연료전지_원본!$A$4:$KY$369,MATCH($A336,연료전지_원본!$A$4:$A$369,0),MATCH($BU$4,연료전지_원본!$A$4:$KY$4,0))</f>
        <v>0</v>
      </c>
      <c r="BV336" s="241">
        <f>INDEX(연료전지_원본!$A$4:$KY$369,MATCH($A336,연료전지_원본!$A$4:$A$369,0),MATCH($BV$4,연료전지_원본!$A$4:$KY$4,0))</f>
        <v>0</v>
      </c>
      <c r="BW336" s="241">
        <f>INDEX(연료전지_원본!$A$4:$KY$369,MATCH($A336,연료전지_원본!$A$4:$A$369,0),MATCH($BW$4,연료전지_원본!$A$4:$KY$4,0))</f>
        <v>0</v>
      </c>
      <c r="BX336" s="241">
        <f>INDEX(연료전지_원본!$A$4:$KY$369,MATCH($A336,연료전지_원본!$A$4:$A$369,0),MATCH($BX$4,연료전지_원본!$A$4:$KY$4,0))</f>
        <v>0</v>
      </c>
      <c r="BY336" s="241">
        <f>INDEX(연료전지_원본!$A$4:$KY$369,MATCH($A336,연료전지_원본!$A$4:$A$369,0),MATCH($BY$4,연료전지_원본!$A$4:$KY$4,0))</f>
        <v>0</v>
      </c>
      <c r="BZ336" s="241">
        <f>INDEX(연료전지_원본!$A$4:$KY$369,MATCH($A336,연료전지_원본!$A$4:$A$369,0),MATCH($BZ$4,연료전지_원본!$A$4:$KY$4,0))</f>
        <v>0</v>
      </c>
      <c r="CA336" s="241">
        <f>INDEX(연료전지_원본!$A$4:$KY$369,MATCH($A336,연료전지_원본!$A$4:$A$369,0),MATCH($CA$4,연료전지_원본!$A$4:$KY$4,0))</f>
        <v>0</v>
      </c>
      <c r="CB336" s="241">
        <f>INDEX(연료전지_원본!$A$4:$KY$369,MATCH($A336,연료전지_원본!$A$4:$A$369,0),MATCH($CB$4,연료전지_원본!$A$4:$KY$4,0))</f>
        <v>0</v>
      </c>
      <c r="CC336" s="242">
        <f>INDEX(연료전지_원본!$A$4:$KY$369,MATCH($A336,연료전지_원본!$A$4:$A$369,0),MATCH($CC$4,연료전지_원본!$A$4:$KY$4,0))</f>
        <v>0</v>
      </c>
      <c r="CD336" s="250">
        <f>INDEX(연료전지_원본!$KB$4:$KX$369,MATCH($A336,연료전지_원본!$KB$4:$KB$369,0), MATCH(CD$4,연료전지_원본!$KB$4:$KX$4,0))*1000</f>
        <v>0</v>
      </c>
      <c r="CE336" s="250">
        <f>INDEX(연료전지_원본!$KB$4:$KX$369,MATCH($A336,연료전지_원본!$KB$4:$KB$369,0), MATCH(CE$4,연료전지_원본!$KB$4:$KX$4,0))*1000</f>
        <v>0</v>
      </c>
      <c r="CF336" s="250">
        <f>INDEX(연료전지_원본!$KB$4:$KX$369,MATCH($A336,연료전지_원본!$KB$4:$KB$369,0), MATCH(CF$4,연료전지_원본!$KB$4:$KX$4,0))*1000</f>
        <v>0</v>
      </c>
      <c r="CG336" s="250">
        <f>INDEX(연료전지_원본!$KB$4:$KX$369,MATCH($A336,연료전지_원본!$KB$4:$KB$369,0), MATCH(CG$4,연료전지_원본!$KB$4:$KX$4,0))*1000</f>
        <v>0</v>
      </c>
      <c r="CH336" s="250">
        <f>INDEX(연료전지_원본!$KB$4:$KX$369,MATCH($A336,연료전지_원본!$KB$4:$KB$369,0), MATCH(CH$4,연료전지_원본!$KB$4:$KX$4,0))*1000</f>
        <v>0</v>
      </c>
      <c r="CI336" s="250">
        <f>INDEX(연료전지_원본!$KB$4:$KX$369,MATCH($A336,연료전지_원본!$KB$4:$KB$369,0), MATCH(CI$4,연료전지_원본!$KB$4:$KX$4,0))*1000</f>
        <v>0</v>
      </c>
      <c r="CJ336" s="250">
        <f>INDEX(연료전지_원본!$KB$4:$KX$369,MATCH($A336,연료전지_원본!$KB$4:$KB$369,0), MATCH(CJ$4,연료전지_원본!$KB$4:$KX$4,0))*1000</f>
        <v>0</v>
      </c>
      <c r="CK336" s="250">
        <f>INDEX(연료전지_원본!$KB$4:$KX$369,MATCH($A336,연료전지_원본!$KB$4:$KB$369,0), MATCH(CK$4,연료전지_원본!$KB$4:$KX$4,0))*1000</f>
        <v>0</v>
      </c>
      <c r="CL336" s="250">
        <f>INDEX(연료전지_원본!$KB$4:$KX$369,MATCH($A336,연료전지_원본!$KB$4:$KB$369,0), MATCH(CL$4,연료전지_원본!$KB$4:$KX$4,0))*1000</f>
        <v>0</v>
      </c>
      <c r="CM336" s="250">
        <f>INDEX(연료전지_원본!$KB$4:$KX$369,MATCH($A336,연료전지_원본!$KB$4:$KB$369,0), MATCH(CM$4,연료전지_원본!$KB$4:$KX$4,0))*1000</f>
        <v>0</v>
      </c>
      <c r="CN336" s="250">
        <f>INDEX(연료전지_원본!$KB$4:$KX$369,MATCH($A336,연료전지_원본!$KB$4:$KB$369,0), MATCH(CN$4,연료전지_원본!$KB$4:$KX$4,0))*1000</f>
        <v>0</v>
      </c>
      <c r="CO336" s="250">
        <f>INDEX(연료전지_원본!$KB$4:$KX$369,MATCH($A336,연료전지_원본!$KB$4:$KB$369,0), MATCH(CO$4,연료전지_원본!$KB$4:$KX$4,0))*1000</f>
        <v>0</v>
      </c>
      <c r="CP336" s="250">
        <f>INDEX(연료전지_원본!$KB$4:$KX$369,MATCH($A336,연료전지_원본!$KB$4:$KB$369,0), MATCH(CP$4,연료전지_원본!$KB$4:$KX$4,0))*1000</f>
        <v>0</v>
      </c>
      <c r="CQ336" s="250">
        <f>INDEX(연료전지_원본!$KB$4:$KX$369,MATCH($A336,연료전지_원본!$KB$4:$KB$369,0), MATCH(CQ$4,연료전지_원본!$KB$4:$KX$4,0))*1000</f>
        <v>0</v>
      </c>
      <c r="CR336" s="250">
        <f>INDEX(연료전지_원본!$KB$4:$KX$369,MATCH($A336,연료전지_원본!$KB$4:$KB$369,0), MATCH(CR$4,연료전지_원본!$KB$4:$KX$4,0))*1000</f>
        <v>0</v>
      </c>
      <c r="CS336" s="250">
        <f>INDEX(연료전지_원본!$KB$4:$KX$369,MATCH($A336,연료전지_원본!$KB$4:$KB$369,0), MATCH(CS$4,연료전지_원본!$KB$4:$KX$4,0))*1000</f>
        <v>0</v>
      </c>
      <c r="CT336" s="250">
        <f>INDEX(연료전지_원본!$KB$4:$KX$369,MATCH($A336,연료전지_원본!$KB$4:$KB$369,0), MATCH(CT$4,연료전지_원본!$KB$4:$KX$4,0))*1000</f>
        <v>0</v>
      </c>
      <c r="CU336" s="250">
        <f>INDEX(연료전지_원본!$KB$4:$KX$369,MATCH($A336,연료전지_원본!$KB$4:$KB$369,0), MATCH(CU$4,연료전지_원본!$KB$4:$KX$4,0))*1000</f>
        <v>0</v>
      </c>
      <c r="CV336" s="250">
        <f>INDEX(연료전지_원본!$KB$4:$KX$369,MATCH($A336,연료전지_원본!$KB$4:$KB$369,0), MATCH(CV$4,연료전지_원본!$KB$4:$KX$4,0))*1000</f>
        <v>0</v>
      </c>
      <c r="CW336" s="250">
        <f>INDEX(연료전지_원본!$KB$4:$KX$369,MATCH($A336,연료전지_원본!$KB$4:$KB$369,0), MATCH(CW$4,연료전지_원본!$KB$4:$KX$4,0))*1000</f>
        <v>0</v>
      </c>
      <c r="CX336" s="250">
        <f>INDEX(연료전지_원본!$KB$4:$KX$369,MATCH($A336,연료전지_원본!$KB$4:$KB$369,0), MATCH(CX$4,연료전지_원본!$KB$4:$KX$4,0))*1000</f>
        <v>0</v>
      </c>
      <c r="CY336" s="250">
        <f>INDEX(연료전지_원본!$KB$4:$KX$369,MATCH($A336,연료전지_원본!$KB$4:$KB$369,0), MATCH(CY$4,연료전지_원본!$KB$4:$KX$4,0))*1000</f>
        <v>0</v>
      </c>
      <c r="DV336" s="30">
        <f t="shared" si="1616"/>
        <v>0</v>
      </c>
    </row>
    <row r="337" spans="1:126">
      <c r="A337" s="6">
        <v>46354</v>
      </c>
      <c r="B337" s="15">
        <f>운전실적_원본!B337</f>
        <v>0</v>
      </c>
      <c r="C337" s="16" t="str">
        <f t="shared" si="1622"/>
        <v/>
      </c>
      <c r="D337" s="12">
        <f>운전실적_원본!C337</f>
        <v>0</v>
      </c>
      <c r="E337" s="12" t="str">
        <f t="shared" si="1623"/>
        <v/>
      </c>
      <c r="F337" s="12">
        <f>운전실적_원본!D337</f>
        <v>0</v>
      </c>
      <c r="G337" s="16" t="str">
        <f t="shared" si="1624"/>
        <v/>
      </c>
      <c r="H337" s="15">
        <f>운전실적_원본!E337</f>
        <v>0</v>
      </c>
      <c r="I337" s="16" t="str">
        <f t="shared" si="1625"/>
        <v/>
      </c>
      <c r="J337" s="15">
        <f>운전실적_원본!F337</f>
        <v>0</v>
      </c>
      <c r="K337" s="16" t="str">
        <f t="shared" si="1625"/>
        <v/>
      </c>
      <c r="L337" s="32">
        <f>운전실적_원본!G337</f>
        <v>0</v>
      </c>
      <c r="M337" s="31" t="str">
        <f t="shared" ref="M337" si="1837">IF(OR(LEN(L337)=0,L337=0),"",L337-L336)</f>
        <v/>
      </c>
      <c r="N337" s="15">
        <f>운전실적_원본!H337</f>
        <v>0</v>
      </c>
      <c r="O337" s="16" t="str">
        <f t="shared" ref="O337" si="1838">IF(OR(LEN(N337)=0,N337=0),"",N337-N336)</f>
        <v/>
      </c>
      <c r="P337" s="15">
        <f>운전실적_원본!I337</f>
        <v>0</v>
      </c>
      <c r="Q337" s="16" t="str">
        <f t="shared" ref="Q337" si="1839">IF(OR(LEN(P337)=0,P337=0),"",P337-P336)</f>
        <v/>
      </c>
      <c r="R337" s="18">
        <f>운전실적_원본!J337</f>
        <v>0</v>
      </c>
      <c r="S337" s="19" t="str">
        <f t="shared" ref="S337" si="1840">IF(OR(LEN(R337)=0,R337=0),"",R337-R336)</f>
        <v/>
      </c>
      <c r="T337" s="18">
        <f>운전실적_원본!K337</f>
        <v>0</v>
      </c>
      <c r="U337" s="19" t="str">
        <f t="shared" si="1630"/>
        <v/>
      </c>
      <c r="V337" s="12">
        <f>운전실적_원본!L337</f>
        <v>0</v>
      </c>
      <c r="W337" s="16" t="str">
        <f t="shared" ref="W337" si="1841">IF(OR(LEN(V337)=0,V337=0),"",V337-V336)</f>
        <v/>
      </c>
      <c r="X337" s="10">
        <f>운전실적_원본!M337</f>
        <v>0</v>
      </c>
      <c r="Y337" s="10">
        <f>운전실적_원본!N337</f>
        <v>0</v>
      </c>
      <c r="Z337" s="10">
        <f>운전실적_원본!O337</f>
        <v>0</v>
      </c>
      <c r="AA337" s="10">
        <f>운전실적_원본!P337</f>
        <v>0</v>
      </c>
      <c r="AB337" s="10">
        <f>운전실적_원본!Q337</f>
        <v>0</v>
      </c>
      <c r="AC337" s="20">
        <f>운전실적_원본!R337</f>
        <v>0</v>
      </c>
      <c r="AD337" s="109">
        <f>운전실적_원본!S337</f>
        <v>0</v>
      </c>
      <c r="AE337" s="110">
        <f>운전실적_원본!T337</f>
        <v>0</v>
      </c>
      <c r="AF337" s="110">
        <f>운전실적_원본!U337</f>
        <v>0</v>
      </c>
      <c r="AG337" s="110">
        <f>운전실적_원본!V337</f>
        <v>0</v>
      </c>
      <c r="AH337" s="109">
        <f t="shared" si="1784"/>
        <v>0</v>
      </c>
      <c r="AI337" s="110">
        <f t="shared" si="1791"/>
        <v>0</v>
      </c>
      <c r="AJ337" s="110">
        <f>운전실적_원본!Y337</f>
        <v>0</v>
      </c>
      <c r="AK337" s="110">
        <f>운전실적_원본!Z337</f>
        <v>0</v>
      </c>
      <c r="AL337" s="106"/>
      <c r="AM337" s="105"/>
      <c r="AN337" s="105"/>
      <c r="AO337" s="105"/>
      <c r="AP337" s="105"/>
      <c r="AQ337" s="108"/>
      <c r="AR337" s="105"/>
      <c r="AS337" s="105"/>
      <c r="AT337" s="102"/>
      <c r="AU337" s="102"/>
      <c r="AV337" s="102"/>
      <c r="AW337" s="102"/>
      <c r="AX337" s="32">
        <f>운전실적_원본!W337</f>
        <v>0</v>
      </c>
      <c r="AY337" s="11">
        <f>운전실적_원본!X337</f>
        <v>0</v>
      </c>
      <c r="AZ337" s="11">
        <f>운전실적_원본!Y337</f>
        <v>0</v>
      </c>
      <c r="BA337" s="11">
        <f>운전실적_원본!Z337</f>
        <v>0</v>
      </c>
      <c r="BB337" s="11">
        <f>운전실적_원본!AA337</f>
        <v>0</v>
      </c>
      <c r="BC337" s="11">
        <f>운전실적_원본!AB337</f>
        <v>0</v>
      </c>
      <c r="BD337" s="32" t="str">
        <f t="shared" si="1777"/>
        <v>-</v>
      </c>
      <c r="BE337" s="11" t="str">
        <f t="shared" si="1785"/>
        <v>-</v>
      </c>
      <c r="BF337" s="11">
        <f>운전실적_원본!AE337</f>
        <v>0</v>
      </c>
      <c r="BG337" s="31">
        <f t="shared" si="1778"/>
        <v>0</v>
      </c>
      <c r="BH337" s="241">
        <f>INDEX(연료전지_원본!$A$4:$KY$369,MATCH($A337,연료전지_원본!$A$4:$A$369,0),MATCH($BH$4,연료전지_원본!$A$4:$KY$4,0))</f>
        <v>0</v>
      </c>
      <c r="BI337" s="241">
        <f>INDEX(연료전지_원본!$A$4:$KY$369,MATCH($A337,연료전지_원본!$A$4:$A$369,0),MATCH($BI$4,연료전지_원본!$A$4:$KY$4,0))</f>
        <v>0</v>
      </c>
      <c r="BJ337" s="241">
        <f>INDEX(연료전지_원본!$A$4:$KY$369,MATCH($A337,연료전지_원본!$A$4:$A$369,0),MATCH($BJ$4,연료전지_원본!$A$4:$KY$4,0))</f>
        <v>0</v>
      </c>
      <c r="BK337" s="241">
        <f>INDEX(연료전지_원본!$A$4:$KY$369,MATCH($A337,연료전지_원본!$A$4:$A$369,0),MATCH($BK$4,연료전지_원본!$A$4:$KY$4,0))</f>
        <v>0</v>
      </c>
      <c r="BL337" s="241">
        <f>INDEX(연료전지_원본!$A$4:$KY$369,MATCH($A337,연료전지_원본!$A$4:$A$369,0),MATCH($BL$4,연료전지_원본!$A$4:$KY$4,0))</f>
        <v>0</v>
      </c>
      <c r="BM337" s="241">
        <f>INDEX(연료전지_원본!$A$4:$KY$369,MATCH($A337,연료전지_원본!$A$4:$A$369,0),MATCH($BM$4,연료전지_원본!$A$4:$KY$4,0))</f>
        <v>0</v>
      </c>
      <c r="BN337" s="241">
        <f>INDEX(연료전지_원본!$A$4:$KY$369,MATCH($A337,연료전지_원본!$A$4:$A$369,0),MATCH($BN$4,연료전지_원본!$A$4:$KY$4,0))</f>
        <v>0</v>
      </c>
      <c r="BO337" s="241">
        <f>INDEX(연료전지_원본!$A$4:$KY$369,MATCH($A337,연료전지_원본!$A$4:$A$369,0),MATCH($BO$4,연료전지_원본!$A$4:$KY$4,0))</f>
        <v>0</v>
      </c>
      <c r="BP337" s="241">
        <f>INDEX(연료전지_원본!$A$4:$KY$369,MATCH($A337,연료전지_원본!$A$4:$A$369,0),MATCH($BP$4,연료전지_원본!$A$4:$KY$4,0))</f>
        <v>0</v>
      </c>
      <c r="BQ337" s="241">
        <f>INDEX(연료전지_원본!$A$4:$KY$369,MATCH($A337,연료전지_원본!$A$4:$A$369,0),MATCH($BQ$4,연료전지_원본!$A$4:$KY$4,0))</f>
        <v>0</v>
      </c>
      <c r="BR337" s="241">
        <f>INDEX(연료전지_원본!$A$4:$KY$369,MATCH($A337,연료전지_원본!$A$4:$A$369,0),MATCH($BR$4,연료전지_원본!$A$4:$KY$4,0))</f>
        <v>0</v>
      </c>
      <c r="BS337" s="241">
        <f>INDEX(연료전지_원본!$A$4:$KY$369,MATCH($A337,연료전지_원본!$A$4:$A$369,0),MATCH($BS$4,연료전지_원본!$A$4:$KY$4,0))</f>
        <v>0</v>
      </c>
      <c r="BT337" s="241">
        <f>INDEX(연료전지_원본!$A$4:$KY$369,MATCH($A337,연료전지_원본!$A$4:$A$369,0),MATCH($BT$4,연료전지_원본!$A$4:$KY$4,0))</f>
        <v>0</v>
      </c>
      <c r="BU337" s="241">
        <f>INDEX(연료전지_원본!$A$4:$KY$369,MATCH($A337,연료전지_원본!$A$4:$A$369,0),MATCH($BU$4,연료전지_원본!$A$4:$KY$4,0))</f>
        <v>0</v>
      </c>
      <c r="BV337" s="241">
        <f>INDEX(연료전지_원본!$A$4:$KY$369,MATCH($A337,연료전지_원본!$A$4:$A$369,0),MATCH($BV$4,연료전지_원본!$A$4:$KY$4,0))</f>
        <v>0</v>
      </c>
      <c r="BW337" s="241">
        <f>INDEX(연료전지_원본!$A$4:$KY$369,MATCH($A337,연료전지_원본!$A$4:$A$369,0),MATCH($BW$4,연료전지_원본!$A$4:$KY$4,0))</f>
        <v>0</v>
      </c>
      <c r="BX337" s="241">
        <f>INDEX(연료전지_원본!$A$4:$KY$369,MATCH($A337,연료전지_원본!$A$4:$A$369,0),MATCH($BX$4,연료전지_원본!$A$4:$KY$4,0))</f>
        <v>0</v>
      </c>
      <c r="BY337" s="241">
        <f>INDEX(연료전지_원본!$A$4:$KY$369,MATCH($A337,연료전지_원본!$A$4:$A$369,0),MATCH($BY$4,연료전지_원본!$A$4:$KY$4,0))</f>
        <v>0</v>
      </c>
      <c r="BZ337" s="241">
        <f>INDEX(연료전지_원본!$A$4:$KY$369,MATCH($A337,연료전지_원본!$A$4:$A$369,0),MATCH($BZ$4,연료전지_원본!$A$4:$KY$4,0))</f>
        <v>0</v>
      </c>
      <c r="CA337" s="241">
        <f>INDEX(연료전지_원본!$A$4:$KY$369,MATCH($A337,연료전지_원본!$A$4:$A$369,0),MATCH($CA$4,연료전지_원본!$A$4:$KY$4,0))</f>
        <v>0</v>
      </c>
      <c r="CB337" s="241">
        <f>INDEX(연료전지_원본!$A$4:$KY$369,MATCH($A337,연료전지_원본!$A$4:$A$369,0),MATCH($CB$4,연료전지_원본!$A$4:$KY$4,0))</f>
        <v>0</v>
      </c>
      <c r="CC337" s="242">
        <f>INDEX(연료전지_원본!$A$4:$KY$369,MATCH($A337,연료전지_원본!$A$4:$A$369,0),MATCH($CC$4,연료전지_원본!$A$4:$KY$4,0))</f>
        <v>0</v>
      </c>
      <c r="CD337" s="250">
        <f>INDEX(연료전지_원본!$KB$4:$KX$369,MATCH($A337,연료전지_원본!$KB$4:$KB$369,0), MATCH(CD$4,연료전지_원본!$KB$4:$KX$4,0))*1000</f>
        <v>0</v>
      </c>
      <c r="CE337" s="250">
        <f>INDEX(연료전지_원본!$KB$4:$KX$369,MATCH($A337,연료전지_원본!$KB$4:$KB$369,0), MATCH(CE$4,연료전지_원본!$KB$4:$KX$4,0))*1000</f>
        <v>0</v>
      </c>
      <c r="CF337" s="250">
        <f>INDEX(연료전지_원본!$KB$4:$KX$369,MATCH($A337,연료전지_원본!$KB$4:$KB$369,0), MATCH(CF$4,연료전지_원본!$KB$4:$KX$4,0))*1000</f>
        <v>0</v>
      </c>
      <c r="CG337" s="250">
        <f>INDEX(연료전지_원본!$KB$4:$KX$369,MATCH($A337,연료전지_원본!$KB$4:$KB$369,0), MATCH(CG$4,연료전지_원본!$KB$4:$KX$4,0))*1000</f>
        <v>0</v>
      </c>
      <c r="CH337" s="250">
        <f>INDEX(연료전지_원본!$KB$4:$KX$369,MATCH($A337,연료전지_원본!$KB$4:$KB$369,0), MATCH(CH$4,연료전지_원본!$KB$4:$KX$4,0))*1000</f>
        <v>0</v>
      </c>
      <c r="CI337" s="250">
        <f>INDEX(연료전지_원본!$KB$4:$KX$369,MATCH($A337,연료전지_원본!$KB$4:$KB$369,0), MATCH(CI$4,연료전지_원본!$KB$4:$KX$4,0))*1000</f>
        <v>0</v>
      </c>
      <c r="CJ337" s="250">
        <f>INDEX(연료전지_원본!$KB$4:$KX$369,MATCH($A337,연료전지_원본!$KB$4:$KB$369,0), MATCH(CJ$4,연료전지_원본!$KB$4:$KX$4,0))*1000</f>
        <v>0</v>
      </c>
      <c r="CK337" s="250">
        <f>INDEX(연료전지_원본!$KB$4:$KX$369,MATCH($A337,연료전지_원본!$KB$4:$KB$369,0), MATCH(CK$4,연료전지_원본!$KB$4:$KX$4,0))*1000</f>
        <v>0</v>
      </c>
      <c r="CL337" s="250">
        <f>INDEX(연료전지_원본!$KB$4:$KX$369,MATCH($A337,연료전지_원본!$KB$4:$KB$369,0), MATCH(CL$4,연료전지_원본!$KB$4:$KX$4,0))*1000</f>
        <v>0</v>
      </c>
      <c r="CM337" s="250">
        <f>INDEX(연료전지_원본!$KB$4:$KX$369,MATCH($A337,연료전지_원본!$KB$4:$KB$369,0), MATCH(CM$4,연료전지_원본!$KB$4:$KX$4,0))*1000</f>
        <v>0</v>
      </c>
      <c r="CN337" s="250">
        <f>INDEX(연료전지_원본!$KB$4:$KX$369,MATCH($A337,연료전지_원본!$KB$4:$KB$369,0), MATCH(CN$4,연료전지_원본!$KB$4:$KX$4,0))*1000</f>
        <v>0</v>
      </c>
      <c r="CO337" s="250">
        <f>INDEX(연료전지_원본!$KB$4:$KX$369,MATCH($A337,연료전지_원본!$KB$4:$KB$369,0), MATCH(CO$4,연료전지_원본!$KB$4:$KX$4,0))*1000</f>
        <v>0</v>
      </c>
      <c r="CP337" s="250">
        <f>INDEX(연료전지_원본!$KB$4:$KX$369,MATCH($A337,연료전지_원본!$KB$4:$KB$369,0), MATCH(CP$4,연료전지_원본!$KB$4:$KX$4,0))*1000</f>
        <v>0</v>
      </c>
      <c r="CQ337" s="250">
        <f>INDEX(연료전지_원본!$KB$4:$KX$369,MATCH($A337,연료전지_원본!$KB$4:$KB$369,0), MATCH(CQ$4,연료전지_원본!$KB$4:$KX$4,0))*1000</f>
        <v>0</v>
      </c>
      <c r="CR337" s="250">
        <f>INDEX(연료전지_원본!$KB$4:$KX$369,MATCH($A337,연료전지_원본!$KB$4:$KB$369,0), MATCH(CR$4,연료전지_원본!$KB$4:$KX$4,0))*1000</f>
        <v>0</v>
      </c>
      <c r="CS337" s="250">
        <f>INDEX(연료전지_원본!$KB$4:$KX$369,MATCH($A337,연료전지_원본!$KB$4:$KB$369,0), MATCH(CS$4,연료전지_원본!$KB$4:$KX$4,0))*1000</f>
        <v>0</v>
      </c>
      <c r="CT337" s="250">
        <f>INDEX(연료전지_원본!$KB$4:$KX$369,MATCH($A337,연료전지_원본!$KB$4:$KB$369,0), MATCH(CT$4,연료전지_원본!$KB$4:$KX$4,0))*1000</f>
        <v>0</v>
      </c>
      <c r="CU337" s="250">
        <f>INDEX(연료전지_원본!$KB$4:$KX$369,MATCH($A337,연료전지_원본!$KB$4:$KB$369,0), MATCH(CU$4,연료전지_원본!$KB$4:$KX$4,0))*1000</f>
        <v>0</v>
      </c>
      <c r="CV337" s="250">
        <f>INDEX(연료전지_원본!$KB$4:$KX$369,MATCH($A337,연료전지_원본!$KB$4:$KB$369,0), MATCH(CV$4,연료전지_원본!$KB$4:$KX$4,0))*1000</f>
        <v>0</v>
      </c>
      <c r="CW337" s="250">
        <f>INDEX(연료전지_원본!$KB$4:$KX$369,MATCH($A337,연료전지_원본!$KB$4:$KB$369,0), MATCH(CW$4,연료전지_원본!$KB$4:$KX$4,0))*1000</f>
        <v>0</v>
      </c>
      <c r="CX337" s="250">
        <f>INDEX(연료전지_원본!$KB$4:$KX$369,MATCH($A337,연료전지_원본!$KB$4:$KB$369,0), MATCH(CX$4,연료전지_원본!$KB$4:$KX$4,0))*1000</f>
        <v>0</v>
      </c>
      <c r="CY337" s="250">
        <f>INDEX(연료전지_원본!$KB$4:$KX$369,MATCH($A337,연료전지_원본!$KB$4:$KB$369,0), MATCH(CY$4,연료전지_원본!$KB$4:$KX$4,0))*1000</f>
        <v>0</v>
      </c>
      <c r="DV337" s="30">
        <f t="shared" si="1616"/>
        <v>0</v>
      </c>
    </row>
    <row r="338" spans="1:126">
      <c r="A338" s="6">
        <v>46355</v>
      </c>
      <c r="B338" s="15">
        <f>운전실적_원본!B338</f>
        <v>0</v>
      </c>
      <c r="C338" s="16" t="str">
        <f t="shared" si="1622"/>
        <v/>
      </c>
      <c r="D338" s="12">
        <f>운전실적_원본!C338</f>
        <v>0</v>
      </c>
      <c r="E338" s="12" t="str">
        <f t="shared" si="1623"/>
        <v/>
      </c>
      <c r="F338" s="12">
        <f>운전실적_원본!D338</f>
        <v>0</v>
      </c>
      <c r="G338" s="16" t="str">
        <f t="shared" si="1624"/>
        <v/>
      </c>
      <c r="H338" s="15">
        <f>운전실적_원본!E338</f>
        <v>0</v>
      </c>
      <c r="I338" s="16" t="str">
        <f t="shared" si="1625"/>
        <v/>
      </c>
      <c r="J338" s="15">
        <f>운전실적_원본!F338</f>
        <v>0</v>
      </c>
      <c r="K338" s="16" t="str">
        <f t="shared" si="1625"/>
        <v/>
      </c>
      <c r="L338" s="32">
        <f>운전실적_원본!G338</f>
        <v>0</v>
      </c>
      <c r="M338" s="31" t="str">
        <f t="shared" ref="M338" si="1842">IF(OR(LEN(L338)=0,L338=0),"",L338-L337)</f>
        <v/>
      </c>
      <c r="N338" s="15">
        <f>운전실적_원본!H338</f>
        <v>0</v>
      </c>
      <c r="O338" s="16" t="str">
        <f t="shared" ref="O338" si="1843">IF(OR(LEN(N338)=0,N338=0),"",N338-N337)</f>
        <v/>
      </c>
      <c r="P338" s="15">
        <f>운전실적_원본!I338</f>
        <v>0</v>
      </c>
      <c r="Q338" s="16" t="str">
        <f t="shared" ref="Q338" si="1844">IF(OR(LEN(P338)=0,P338=0),"",P338-P337)</f>
        <v/>
      </c>
      <c r="R338" s="18">
        <f>운전실적_원본!J338</f>
        <v>0</v>
      </c>
      <c r="S338" s="19" t="str">
        <f t="shared" ref="S338" si="1845">IF(OR(LEN(R338)=0,R338=0),"",R338-R337)</f>
        <v/>
      </c>
      <c r="T338" s="18">
        <f>운전실적_원본!K338</f>
        <v>0</v>
      </c>
      <c r="U338" s="19" t="str">
        <f t="shared" si="1630"/>
        <v/>
      </c>
      <c r="V338" s="12">
        <f>운전실적_원본!L338</f>
        <v>0</v>
      </c>
      <c r="W338" s="16" t="str">
        <f t="shared" ref="W338" si="1846">IF(OR(LEN(V338)=0,V338=0),"",V338-V337)</f>
        <v/>
      </c>
      <c r="X338" s="10">
        <f>운전실적_원본!M338</f>
        <v>0</v>
      </c>
      <c r="Y338" s="10">
        <f>운전실적_원본!N338</f>
        <v>0</v>
      </c>
      <c r="Z338" s="10">
        <f>운전실적_원본!O338</f>
        <v>0</v>
      </c>
      <c r="AA338" s="10">
        <f>운전실적_원본!P338</f>
        <v>0</v>
      </c>
      <c r="AB338" s="10">
        <f>운전실적_원본!Q338</f>
        <v>0</v>
      </c>
      <c r="AC338" s="20">
        <f>운전실적_원본!R338</f>
        <v>0</v>
      </c>
      <c r="AD338" s="109">
        <f>운전실적_원본!S338</f>
        <v>0</v>
      </c>
      <c r="AE338" s="110">
        <f>운전실적_원본!T338</f>
        <v>0</v>
      </c>
      <c r="AF338" s="110">
        <f>운전실적_원본!U338</f>
        <v>0</v>
      </c>
      <c r="AG338" s="110">
        <f>운전실적_원본!V338</f>
        <v>0</v>
      </c>
      <c r="AH338" s="109">
        <f t="shared" si="1784"/>
        <v>0</v>
      </c>
      <c r="AI338" s="110">
        <f t="shared" si="1791"/>
        <v>0</v>
      </c>
      <c r="AJ338" s="110">
        <f>운전실적_원본!Y338</f>
        <v>0</v>
      </c>
      <c r="AK338" s="110">
        <f>운전실적_원본!Z338</f>
        <v>0</v>
      </c>
      <c r="AL338" s="106"/>
      <c r="AM338" s="105"/>
      <c r="AN338" s="105"/>
      <c r="AO338" s="105"/>
      <c r="AP338" s="105"/>
      <c r="AQ338" s="108"/>
      <c r="AR338" s="105"/>
      <c r="AS338" s="105"/>
      <c r="AT338" s="102"/>
      <c r="AU338" s="102"/>
      <c r="AV338" s="102"/>
      <c r="AW338" s="102"/>
      <c r="AX338" s="32">
        <f>운전실적_원본!W338</f>
        <v>0</v>
      </c>
      <c r="AY338" s="11">
        <f>운전실적_원본!X338</f>
        <v>0</v>
      </c>
      <c r="AZ338" s="11">
        <f>운전실적_원본!Y338</f>
        <v>0</v>
      </c>
      <c r="BA338" s="11">
        <f>운전실적_원본!Z338</f>
        <v>0</v>
      </c>
      <c r="BB338" s="11">
        <f>운전실적_원본!AA338</f>
        <v>0</v>
      </c>
      <c r="BC338" s="11">
        <f>운전실적_원본!AB338</f>
        <v>0</v>
      </c>
      <c r="BD338" s="32" t="str">
        <f t="shared" si="1777"/>
        <v>-</v>
      </c>
      <c r="BE338" s="11" t="str">
        <f t="shared" si="1785"/>
        <v>-</v>
      </c>
      <c r="BF338" s="11">
        <f>운전실적_원본!AE338</f>
        <v>0</v>
      </c>
      <c r="BG338" s="31">
        <f t="shared" si="1778"/>
        <v>0</v>
      </c>
      <c r="BH338" s="241">
        <f>INDEX(연료전지_원본!$A$4:$KY$369,MATCH($A338,연료전지_원본!$A$4:$A$369,0),MATCH($BH$4,연료전지_원본!$A$4:$KY$4,0))</f>
        <v>0</v>
      </c>
      <c r="BI338" s="241">
        <f>INDEX(연료전지_원본!$A$4:$KY$369,MATCH($A338,연료전지_원본!$A$4:$A$369,0),MATCH($BI$4,연료전지_원본!$A$4:$KY$4,0))</f>
        <v>0</v>
      </c>
      <c r="BJ338" s="241">
        <f>INDEX(연료전지_원본!$A$4:$KY$369,MATCH($A338,연료전지_원본!$A$4:$A$369,0),MATCH($BJ$4,연료전지_원본!$A$4:$KY$4,0))</f>
        <v>0</v>
      </c>
      <c r="BK338" s="241">
        <f>INDEX(연료전지_원본!$A$4:$KY$369,MATCH($A338,연료전지_원본!$A$4:$A$369,0),MATCH($BK$4,연료전지_원본!$A$4:$KY$4,0))</f>
        <v>0</v>
      </c>
      <c r="BL338" s="241">
        <f>INDEX(연료전지_원본!$A$4:$KY$369,MATCH($A338,연료전지_원본!$A$4:$A$369,0),MATCH($BL$4,연료전지_원본!$A$4:$KY$4,0))</f>
        <v>0</v>
      </c>
      <c r="BM338" s="241">
        <f>INDEX(연료전지_원본!$A$4:$KY$369,MATCH($A338,연료전지_원본!$A$4:$A$369,0),MATCH($BM$4,연료전지_원본!$A$4:$KY$4,0))</f>
        <v>0</v>
      </c>
      <c r="BN338" s="241">
        <f>INDEX(연료전지_원본!$A$4:$KY$369,MATCH($A338,연료전지_원본!$A$4:$A$369,0),MATCH($BN$4,연료전지_원본!$A$4:$KY$4,0))</f>
        <v>0</v>
      </c>
      <c r="BO338" s="241">
        <f>INDEX(연료전지_원본!$A$4:$KY$369,MATCH($A338,연료전지_원본!$A$4:$A$369,0),MATCH($BO$4,연료전지_원본!$A$4:$KY$4,0))</f>
        <v>0</v>
      </c>
      <c r="BP338" s="241">
        <f>INDEX(연료전지_원본!$A$4:$KY$369,MATCH($A338,연료전지_원본!$A$4:$A$369,0),MATCH($BP$4,연료전지_원본!$A$4:$KY$4,0))</f>
        <v>0</v>
      </c>
      <c r="BQ338" s="241">
        <f>INDEX(연료전지_원본!$A$4:$KY$369,MATCH($A338,연료전지_원본!$A$4:$A$369,0),MATCH($BQ$4,연료전지_원본!$A$4:$KY$4,0))</f>
        <v>0</v>
      </c>
      <c r="BR338" s="241">
        <f>INDEX(연료전지_원본!$A$4:$KY$369,MATCH($A338,연료전지_원본!$A$4:$A$369,0),MATCH($BR$4,연료전지_원본!$A$4:$KY$4,0))</f>
        <v>0</v>
      </c>
      <c r="BS338" s="241">
        <f>INDEX(연료전지_원본!$A$4:$KY$369,MATCH($A338,연료전지_원본!$A$4:$A$369,0),MATCH($BS$4,연료전지_원본!$A$4:$KY$4,0))</f>
        <v>0</v>
      </c>
      <c r="BT338" s="241">
        <f>INDEX(연료전지_원본!$A$4:$KY$369,MATCH($A338,연료전지_원본!$A$4:$A$369,0),MATCH($BT$4,연료전지_원본!$A$4:$KY$4,0))</f>
        <v>0</v>
      </c>
      <c r="BU338" s="241">
        <f>INDEX(연료전지_원본!$A$4:$KY$369,MATCH($A338,연료전지_원본!$A$4:$A$369,0),MATCH($BU$4,연료전지_원본!$A$4:$KY$4,0))</f>
        <v>0</v>
      </c>
      <c r="BV338" s="241">
        <f>INDEX(연료전지_원본!$A$4:$KY$369,MATCH($A338,연료전지_원본!$A$4:$A$369,0),MATCH($BV$4,연료전지_원본!$A$4:$KY$4,0))</f>
        <v>0</v>
      </c>
      <c r="BW338" s="241">
        <f>INDEX(연료전지_원본!$A$4:$KY$369,MATCH($A338,연료전지_원본!$A$4:$A$369,0),MATCH($BW$4,연료전지_원본!$A$4:$KY$4,0))</f>
        <v>0</v>
      </c>
      <c r="BX338" s="241">
        <f>INDEX(연료전지_원본!$A$4:$KY$369,MATCH($A338,연료전지_원본!$A$4:$A$369,0),MATCH($BX$4,연료전지_원본!$A$4:$KY$4,0))</f>
        <v>0</v>
      </c>
      <c r="BY338" s="241">
        <f>INDEX(연료전지_원본!$A$4:$KY$369,MATCH($A338,연료전지_원본!$A$4:$A$369,0),MATCH($BY$4,연료전지_원본!$A$4:$KY$4,0))</f>
        <v>0</v>
      </c>
      <c r="BZ338" s="241">
        <f>INDEX(연료전지_원본!$A$4:$KY$369,MATCH($A338,연료전지_원본!$A$4:$A$369,0),MATCH($BZ$4,연료전지_원본!$A$4:$KY$4,0))</f>
        <v>0</v>
      </c>
      <c r="CA338" s="241">
        <f>INDEX(연료전지_원본!$A$4:$KY$369,MATCH($A338,연료전지_원본!$A$4:$A$369,0),MATCH($CA$4,연료전지_원본!$A$4:$KY$4,0))</f>
        <v>0</v>
      </c>
      <c r="CB338" s="241">
        <f>INDEX(연료전지_원본!$A$4:$KY$369,MATCH($A338,연료전지_원본!$A$4:$A$369,0),MATCH($CB$4,연료전지_원본!$A$4:$KY$4,0))</f>
        <v>0</v>
      </c>
      <c r="CC338" s="242">
        <f>INDEX(연료전지_원본!$A$4:$KY$369,MATCH($A338,연료전지_원본!$A$4:$A$369,0),MATCH($CC$4,연료전지_원본!$A$4:$KY$4,0))</f>
        <v>0</v>
      </c>
      <c r="CD338" s="250">
        <f>INDEX(연료전지_원본!$KB$4:$KX$369,MATCH($A338,연료전지_원본!$KB$4:$KB$369,0), MATCH(CD$4,연료전지_원본!$KB$4:$KX$4,0))*1000</f>
        <v>0</v>
      </c>
      <c r="CE338" s="250">
        <f>INDEX(연료전지_원본!$KB$4:$KX$369,MATCH($A338,연료전지_원본!$KB$4:$KB$369,0), MATCH(CE$4,연료전지_원본!$KB$4:$KX$4,0))*1000</f>
        <v>0</v>
      </c>
      <c r="CF338" s="250">
        <f>INDEX(연료전지_원본!$KB$4:$KX$369,MATCH($A338,연료전지_원본!$KB$4:$KB$369,0), MATCH(CF$4,연료전지_원본!$KB$4:$KX$4,0))*1000</f>
        <v>0</v>
      </c>
      <c r="CG338" s="250">
        <f>INDEX(연료전지_원본!$KB$4:$KX$369,MATCH($A338,연료전지_원본!$KB$4:$KB$369,0), MATCH(CG$4,연료전지_원본!$KB$4:$KX$4,0))*1000</f>
        <v>0</v>
      </c>
      <c r="CH338" s="250">
        <f>INDEX(연료전지_원본!$KB$4:$KX$369,MATCH($A338,연료전지_원본!$KB$4:$KB$369,0), MATCH(CH$4,연료전지_원본!$KB$4:$KX$4,0))*1000</f>
        <v>0</v>
      </c>
      <c r="CI338" s="250">
        <f>INDEX(연료전지_원본!$KB$4:$KX$369,MATCH($A338,연료전지_원본!$KB$4:$KB$369,0), MATCH(CI$4,연료전지_원본!$KB$4:$KX$4,0))*1000</f>
        <v>0</v>
      </c>
      <c r="CJ338" s="250">
        <f>INDEX(연료전지_원본!$KB$4:$KX$369,MATCH($A338,연료전지_원본!$KB$4:$KB$369,0), MATCH(CJ$4,연료전지_원본!$KB$4:$KX$4,0))*1000</f>
        <v>0</v>
      </c>
      <c r="CK338" s="250">
        <f>INDEX(연료전지_원본!$KB$4:$KX$369,MATCH($A338,연료전지_원본!$KB$4:$KB$369,0), MATCH(CK$4,연료전지_원본!$KB$4:$KX$4,0))*1000</f>
        <v>0</v>
      </c>
      <c r="CL338" s="250">
        <f>INDEX(연료전지_원본!$KB$4:$KX$369,MATCH($A338,연료전지_원본!$KB$4:$KB$369,0), MATCH(CL$4,연료전지_원본!$KB$4:$KX$4,0))*1000</f>
        <v>0</v>
      </c>
      <c r="CM338" s="250">
        <f>INDEX(연료전지_원본!$KB$4:$KX$369,MATCH($A338,연료전지_원본!$KB$4:$KB$369,0), MATCH(CM$4,연료전지_원본!$KB$4:$KX$4,0))*1000</f>
        <v>0</v>
      </c>
      <c r="CN338" s="250">
        <f>INDEX(연료전지_원본!$KB$4:$KX$369,MATCH($A338,연료전지_원본!$KB$4:$KB$369,0), MATCH(CN$4,연료전지_원본!$KB$4:$KX$4,0))*1000</f>
        <v>0</v>
      </c>
      <c r="CO338" s="250">
        <f>INDEX(연료전지_원본!$KB$4:$KX$369,MATCH($A338,연료전지_원본!$KB$4:$KB$369,0), MATCH(CO$4,연료전지_원본!$KB$4:$KX$4,0))*1000</f>
        <v>0</v>
      </c>
      <c r="CP338" s="250">
        <f>INDEX(연료전지_원본!$KB$4:$KX$369,MATCH($A338,연료전지_원본!$KB$4:$KB$369,0), MATCH(CP$4,연료전지_원본!$KB$4:$KX$4,0))*1000</f>
        <v>0</v>
      </c>
      <c r="CQ338" s="250">
        <f>INDEX(연료전지_원본!$KB$4:$KX$369,MATCH($A338,연료전지_원본!$KB$4:$KB$369,0), MATCH(CQ$4,연료전지_원본!$KB$4:$KX$4,0))*1000</f>
        <v>0</v>
      </c>
      <c r="CR338" s="250">
        <f>INDEX(연료전지_원본!$KB$4:$KX$369,MATCH($A338,연료전지_원본!$KB$4:$KB$369,0), MATCH(CR$4,연료전지_원본!$KB$4:$KX$4,0))*1000</f>
        <v>0</v>
      </c>
      <c r="CS338" s="250">
        <f>INDEX(연료전지_원본!$KB$4:$KX$369,MATCH($A338,연료전지_원본!$KB$4:$KB$369,0), MATCH(CS$4,연료전지_원본!$KB$4:$KX$4,0))*1000</f>
        <v>0</v>
      </c>
      <c r="CT338" s="250">
        <f>INDEX(연료전지_원본!$KB$4:$KX$369,MATCH($A338,연료전지_원본!$KB$4:$KB$369,0), MATCH(CT$4,연료전지_원본!$KB$4:$KX$4,0))*1000</f>
        <v>0</v>
      </c>
      <c r="CU338" s="250">
        <f>INDEX(연료전지_원본!$KB$4:$KX$369,MATCH($A338,연료전지_원본!$KB$4:$KB$369,0), MATCH(CU$4,연료전지_원본!$KB$4:$KX$4,0))*1000</f>
        <v>0</v>
      </c>
      <c r="CV338" s="250">
        <f>INDEX(연료전지_원본!$KB$4:$KX$369,MATCH($A338,연료전지_원본!$KB$4:$KB$369,0), MATCH(CV$4,연료전지_원본!$KB$4:$KX$4,0))*1000</f>
        <v>0</v>
      </c>
      <c r="CW338" s="250">
        <f>INDEX(연료전지_원본!$KB$4:$KX$369,MATCH($A338,연료전지_원본!$KB$4:$KB$369,0), MATCH(CW$4,연료전지_원본!$KB$4:$KX$4,0))*1000</f>
        <v>0</v>
      </c>
      <c r="CX338" s="250">
        <f>INDEX(연료전지_원본!$KB$4:$KX$369,MATCH($A338,연료전지_원본!$KB$4:$KB$369,0), MATCH(CX$4,연료전지_원본!$KB$4:$KX$4,0))*1000</f>
        <v>0</v>
      </c>
      <c r="CY338" s="250">
        <f>INDEX(연료전지_원본!$KB$4:$KX$369,MATCH($A338,연료전지_원본!$KB$4:$KB$369,0), MATCH(CY$4,연료전지_원본!$KB$4:$KX$4,0))*1000</f>
        <v>0</v>
      </c>
      <c r="DV338" s="30">
        <f t="shared" si="1616"/>
        <v>0</v>
      </c>
    </row>
    <row r="339" spans="1:126">
      <c r="A339" s="158">
        <v>46356</v>
      </c>
      <c r="B339" s="27">
        <f>운전실적_원본!B339</f>
        <v>0</v>
      </c>
      <c r="C339" s="28" t="str">
        <f t="shared" si="1622"/>
        <v/>
      </c>
      <c r="D339" s="29">
        <f>운전실적_원본!C339</f>
        <v>0</v>
      </c>
      <c r="E339" s="29" t="str">
        <f t="shared" si="1623"/>
        <v/>
      </c>
      <c r="F339" s="29">
        <f>운전실적_원본!D339</f>
        <v>0</v>
      </c>
      <c r="G339" s="28" t="str">
        <f t="shared" si="1624"/>
        <v/>
      </c>
      <c r="H339" s="27">
        <f>운전실적_원본!E339</f>
        <v>0</v>
      </c>
      <c r="I339" s="28" t="str">
        <f t="shared" si="1625"/>
        <v/>
      </c>
      <c r="J339" s="27">
        <f>운전실적_원본!F339</f>
        <v>0</v>
      </c>
      <c r="K339" s="28" t="str">
        <f t="shared" si="1625"/>
        <v/>
      </c>
      <c r="L339" s="159">
        <f>운전실적_원본!G339</f>
        <v>0</v>
      </c>
      <c r="M339" s="157" t="str">
        <f t="shared" ref="M339" si="1847">IF(OR(LEN(L339)=0,L339=0),"",L339-L338)</f>
        <v/>
      </c>
      <c r="N339" s="27">
        <f>운전실적_원본!H339</f>
        <v>0</v>
      </c>
      <c r="O339" s="28" t="str">
        <f t="shared" ref="O339" si="1848">IF(OR(LEN(N339)=0,N339=0),"",N339-N338)</f>
        <v/>
      </c>
      <c r="P339" s="27">
        <f>운전실적_원본!I339</f>
        <v>0</v>
      </c>
      <c r="Q339" s="28" t="str">
        <f t="shared" ref="Q339" si="1849">IF(OR(LEN(P339)=0,P339=0),"",P339-P338)</f>
        <v/>
      </c>
      <c r="R339" s="160">
        <f>운전실적_원본!J339</f>
        <v>0</v>
      </c>
      <c r="S339" s="161" t="str">
        <f t="shared" ref="S339" si="1850">IF(OR(LEN(R339)=0,R339=0),"",R339-R338)</f>
        <v/>
      </c>
      <c r="T339" s="160">
        <f>운전실적_원본!K339</f>
        <v>0</v>
      </c>
      <c r="U339" s="161" t="str">
        <f t="shared" si="1630"/>
        <v/>
      </c>
      <c r="V339" s="29">
        <f>운전실적_원본!L339</f>
        <v>0</v>
      </c>
      <c r="W339" s="28" t="str">
        <f t="shared" ref="W339" si="1851">IF(OR(LEN(V339)=0,V339=0),"",V339-V338)</f>
        <v/>
      </c>
      <c r="X339" s="162">
        <f>운전실적_원본!M339</f>
        <v>0</v>
      </c>
      <c r="Y339" s="162">
        <f>운전실적_원본!N339</f>
        <v>0</v>
      </c>
      <c r="Z339" s="162">
        <f>운전실적_원본!O339</f>
        <v>0</v>
      </c>
      <c r="AA339" s="162">
        <f>운전실적_원본!P339</f>
        <v>0</v>
      </c>
      <c r="AB339" s="162">
        <f>운전실적_원본!Q339</f>
        <v>0</v>
      </c>
      <c r="AC339" s="162">
        <f>운전실적_원본!R339</f>
        <v>0</v>
      </c>
      <c r="AD339" s="163">
        <f>운전실적_원본!S339</f>
        <v>0</v>
      </c>
      <c r="AE339" s="164">
        <f>운전실적_원본!T339</f>
        <v>0</v>
      </c>
      <c r="AF339" s="164">
        <f>운전실적_원본!U339</f>
        <v>0</v>
      </c>
      <c r="AG339" s="164">
        <f>운전실적_원본!V339</f>
        <v>0</v>
      </c>
      <c r="AH339" s="163">
        <f t="shared" si="1784"/>
        <v>0</v>
      </c>
      <c r="AI339" s="164">
        <f t="shared" si="1791"/>
        <v>0</v>
      </c>
      <c r="AJ339" s="164">
        <f>운전실적_원본!Y339</f>
        <v>0</v>
      </c>
      <c r="AK339" s="164">
        <f>운전실적_원본!Z339</f>
        <v>0</v>
      </c>
      <c r="AL339" s="165"/>
      <c r="AM339" s="166"/>
      <c r="AN339" s="166"/>
      <c r="AO339" s="166"/>
      <c r="AP339" s="166"/>
      <c r="AQ339" s="167"/>
      <c r="AR339" s="166"/>
      <c r="AS339" s="166"/>
      <c r="AT339" s="168"/>
      <c r="AU339" s="168"/>
      <c r="AV339" s="168"/>
      <c r="AW339" s="168"/>
      <c r="AX339" s="159">
        <f>운전실적_원본!W339</f>
        <v>0</v>
      </c>
      <c r="AY339" s="169">
        <f>운전실적_원본!X339</f>
        <v>0</v>
      </c>
      <c r="AZ339" s="169">
        <f>운전실적_원본!Y339</f>
        <v>0</v>
      </c>
      <c r="BA339" s="169">
        <f>운전실적_원본!Z339</f>
        <v>0</v>
      </c>
      <c r="BB339" s="169">
        <f>운전실적_원본!AA339</f>
        <v>0</v>
      </c>
      <c r="BC339" s="169">
        <f>운전실적_원본!AB339</f>
        <v>0</v>
      </c>
      <c r="BD339" s="159" t="str">
        <f t="shared" si="1777"/>
        <v>-</v>
      </c>
      <c r="BE339" s="169" t="str">
        <f t="shared" si="1785"/>
        <v>-</v>
      </c>
      <c r="BF339" s="169">
        <f>운전실적_원본!AE339</f>
        <v>0</v>
      </c>
      <c r="BG339" s="157">
        <f t="shared" si="1778"/>
        <v>0</v>
      </c>
      <c r="BH339" s="244">
        <f>INDEX(연료전지_원본!$A$4:$KY$369,MATCH($A339,연료전지_원본!$A$4:$A$369,0),MATCH($BH$4,연료전지_원본!$A$4:$KY$4,0))</f>
        <v>0</v>
      </c>
      <c r="BI339" s="244">
        <f>INDEX(연료전지_원본!$A$4:$KY$369,MATCH($A339,연료전지_원본!$A$4:$A$369,0),MATCH($BI$4,연료전지_원본!$A$4:$KY$4,0))</f>
        <v>0</v>
      </c>
      <c r="BJ339" s="244">
        <f>INDEX(연료전지_원본!$A$4:$KY$369,MATCH($A339,연료전지_원본!$A$4:$A$369,0),MATCH($BJ$4,연료전지_원본!$A$4:$KY$4,0))</f>
        <v>0</v>
      </c>
      <c r="BK339" s="244">
        <f>INDEX(연료전지_원본!$A$4:$KY$369,MATCH($A339,연료전지_원본!$A$4:$A$369,0),MATCH($BK$4,연료전지_원본!$A$4:$KY$4,0))</f>
        <v>0</v>
      </c>
      <c r="BL339" s="244">
        <f>INDEX(연료전지_원본!$A$4:$KY$369,MATCH($A339,연료전지_원본!$A$4:$A$369,0),MATCH($BL$4,연료전지_원본!$A$4:$KY$4,0))</f>
        <v>0</v>
      </c>
      <c r="BM339" s="244">
        <f>INDEX(연료전지_원본!$A$4:$KY$369,MATCH($A339,연료전지_원본!$A$4:$A$369,0),MATCH($BM$4,연료전지_원본!$A$4:$KY$4,0))</f>
        <v>0</v>
      </c>
      <c r="BN339" s="244">
        <f>INDEX(연료전지_원본!$A$4:$KY$369,MATCH($A339,연료전지_원본!$A$4:$A$369,0),MATCH($BN$4,연료전지_원본!$A$4:$KY$4,0))</f>
        <v>0</v>
      </c>
      <c r="BO339" s="244">
        <f>INDEX(연료전지_원본!$A$4:$KY$369,MATCH($A339,연료전지_원본!$A$4:$A$369,0),MATCH($BO$4,연료전지_원본!$A$4:$KY$4,0))</f>
        <v>0</v>
      </c>
      <c r="BP339" s="244">
        <f>INDEX(연료전지_원본!$A$4:$KY$369,MATCH($A339,연료전지_원본!$A$4:$A$369,0),MATCH($BP$4,연료전지_원본!$A$4:$KY$4,0))</f>
        <v>0</v>
      </c>
      <c r="BQ339" s="244">
        <f>INDEX(연료전지_원본!$A$4:$KY$369,MATCH($A339,연료전지_원본!$A$4:$A$369,0),MATCH($BQ$4,연료전지_원본!$A$4:$KY$4,0))</f>
        <v>0</v>
      </c>
      <c r="BR339" s="244">
        <f>INDEX(연료전지_원본!$A$4:$KY$369,MATCH($A339,연료전지_원본!$A$4:$A$369,0),MATCH($BR$4,연료전지_원본!$A$4:$KY$4,0))</f>
        <v>0</v>
      </c>
      <c r="BS339" s="244">
        <f>INDEX(연료전지_원본!$A$4:$KY$369,MATCH($A339,연료전지_원본!$A$4:$A$369,0),MATCH($BS$4,연료전지_원본!$A$4:$KY$4,0))</f>
        <v>0</v>
      </c>
      <c r="BT339" s="244">
        <f>INDEX(연료전지_원본!$A$4:$KY$369,MATCH($A339,연료전지_원본!$A$4:$A$369,0),MATCH($BT$4,연료전지_원본!$A$4:$KY$4,0))</f>
        <v>0</v>
      </c>
      <c r="BU339" s="244">
        <f>INDEX(연료전지_원본!$A$4:$KY$369,MATCH($A339,연료전지_원본!$A$4:$A$369,0),MATCH($BU$4,연료전지_원본!$A$4:$KY$4,0))</f>
        <v>0</v>
      </c>
      <c r="BV339" s="244">
        <f>INDEX(연료전지_원본!$A$4:$KY$369,MATCH($A339,연료전지_원본!$A$4:$A$369,0),MATCH($BV$4,연료전지_원본!$A$4:$KY$4,0))</f>
        <v>0</v>
      </c>
      <c r="BW339" s="244">
        <f>INDEX(연료전지_원본!$A$4:$KY$369,MATCH($A339,연료전지_원본!$A$4:$A$369,0),MATCH($BW$4,연료전지_원본!$A$4:$KY$4,0))</f>
        <v>0</v>
      </c>
      <c r="BX339" s="244">
        <f>INDEX(연료전지_원본!$A$4:$KY$369,MATCH($A339,연료전지_원본!$A$4:$A$369,0),MATCH($BX$4,연료전지_원본!$A$4:$KY$4,0))</f>
        <v>0</v>
      </c>
      <c r="BY339" s="244">
        <f>INDEX(연료전지_원본!$A$4:$KY$369,MATCH($A339,연료전지_원본!$A$4:$A$369,0),MATCH($BY$4,연료전지_원본!$A$4:$KY$4,0))</f>
        <v>0</v>
      </c>
      <c r="BZ339" s="244">
        <f>INDEX(연료전지_원본!$A$4:$KY$369,MATCH($A339,연료전지_원본!$A$4:$A$369,0),MATCH($BZ$4,연료전지_원본!$A$4:$KY$4,0))</f>
        <v>0</v>
      </c>
      <c r="CA339" s="244">
        <f>INDEX(연료전지_원본!$A$4:$KY$369,MATCH($A339,연료전지_원본!$A$4:$A$369,0),MATCH($CA$4,연료전지_원본!$A$4:$KY$4,0))</f>
        <v>0</v>
      </c>
      <c r="CB339" s="244">
        <f>INDEX(연료전지_원본!$A$4:$KY$369,MATCH($A339,연료전지_원본!$A$4:$A$369,0),MATCH($CB$4,연료전지_원본!$A$4:$KY$4,0))</f>
        <v>0</v>
      </c>
      <c r="CC339" s="245">
        <f>INDEX(연료전지_원본!$A$4:$KY$369,MATCH($A339,연료전지_원본!$A$4:$A$369,0),MATCH($CC$4,연료전지_원본!$A$4:$KY$4,0))</f>
        <v>0</v>
      </c>
      <c r="CD339" s="257">
        <f>INDEX(연료전지_원본!$KB$4:$KX$369,MATCH($A339,연료전지_원본!$KB$4:$KB$369,0), MATCH(CD$4,연료전지_원본!$KB$4:$KX$4,0))*1000</f>
        <v>0</v>
      </c>
      <c r="CE339" s="257">
        <f>INDEX(연료전지_원본!$KB$4:$KX$369,MATCH($A339,연료전지_원본!$KB$4:$KB$369,0), MATCH(CE$4,연료전지_원본!$KB$4:$KX$4,0))*1000</f>
        <v>0</v>
      </c>
      <c r="CF339" s="257">
        <f>INDEX(연료전지_원본!$KB$4:$KX$369,MATCH($A339,연료전지_원본!$KB$4:$KB$369,0), MATCH(CF$4,연료전지_원본!$KB$4:$KX$4,0))*1000</f>
        <v>0</v>
      </c>
      <c r="CG339" s="257">
        <f>INDEX(연료전지_원본!$KB$4:$KX$369,MATCH($A339,연료전지_원본!$KB$4:$KB$369,0), MATCH(CG$4,연료전지_원본!$KB$4:$KX$4,0))*1000</f>
        <v>0</v>
      </c>
      <c r="CH339" s="257">
        <f>INDEX(연료전지_원본!$KB$4:$KX$369,MATCH($A339,연료전지_원본!$KB$4:$KB$369,0), MATCH(CH$4,연료전지_원본!$KB$4:$KX$4,0))*1000</f>
        <v>0</v>
      </c>
      <c r="CI339" s="257">
        <f>INDEX(연료전지_원본!$KB$4:$KX$369,MATCH($A339,연료전지_원본!$KB$4:$KB$369,0), MATCH(CI$4,연료전지_원본!$KB$4:$KX$4,0))*1000</f>
        <v>0</v>
      </c>
      <c r="CJ339" s="257">
        <f>INDEX(연료전지_원본!$KB$4:$KX$369,MATCH($A339,연료전지_원본!$KB$4:$KB$369,0), MATCH(CJ$4,연료전지_원본!$KB$4:$KX$4,0))*1000</f>
        <v>0</v>
      </c>
      <c r="CK339" s="257">
        <f>INDEX(연료전지_원본!$KB$4:$KX$369,MATCH($A339,연료전지_원본!$KB$4:$KB$369,0), MATCH(CK$4,연료전지_원본!$KB$4:$KX$4,0))*1000</f>
        <v>0</v>
      </c>
      <c r="CL339" s="257">
        <f>INDEX(연료전지_원본!$KB$4:$KX$369,MATCH($A339,연료전지_원본!$KB$4:$KB$369,0), MATCH(CL$4,연료전지_원본!$KB$4:$KX$4,0))*1000</f>
        <v>0</v>
      </c>
      <c r="CM339" s="257">
        <f>INDEX(연료전지_원본!$KB$4:$KX$369,MATCH($A339,연료전지_원본!$KB$4:$KB$369,0), MATCH(CM$4,연료전지_원본!$KB$4:$KX$4,0))*1000</f>
        <v>0</v>
      </c>
      <c r="CN339" s="257">
        <f>INDEX(연료전지_원본!$KB$4:$KX$369,MATCH($A339,연료전지_원본!$KB$4:$KB$369,0), MATCH(CN$4,연료전지_원본!$KB$4:$KX$4,0))*1000</f>
        <v>0</v>
      </c>
      <c r="CO339" s="257">
        <f>INDEX(연료전지_원본!$KB$4:$KX$369,MATCH($A339,연료전지_원본!$KB$4:$KB$369,0), MATCH(CO$4,연료전지_원본!$KB$4:$KX$4,0))*1000</f>
        <v>0</v>
      </c>
      <c r="CP339" s="257">
        <f>INDEX(연료전지_원본!$KB$4:$KX$369,MATCH($A339,연료전지_원본!$KB$4:$KB$369,0), MATCH(CP$4,연료전지_원본!$KB$4:$KX$4,0))*1000</f>
        <v>0</v>
      </c>
      <c r="CQ339" s="257">
        <f>INDEX(연료전지_원본!$KB$4:$KX$369,MATCH($A339,연료전지_원본!$KB$4:$KB$369,0), MATCH(CQ$4,연료전지_원본!$KB$4:$KX$4,0))*1000</f>
        <v>0</v>
      </c>
      <c r="CR339" s="257">
        <f>INDEX(연료전지_원본!$KB$4:$KX$369,MATCH($A339,연료전지_원본!$KB$4:$KB$369,0), MATCH(CR$4,연료전지_원본!$KB$4:$KX$4,0))*1000</f>
        <v>0</v>
      </c>
      <c r="CS339" s="257">
        <f>INDEX(연료전지_원본!$KB$4:$KX$369,MATCH($A339,연료전지_원본!$KB$4:$KB$369,0), MATCH(CS$4,연료전지_원본!$KB$4:$KX$4,0))*1000</f>
        <v>0</v>
      </c>
      <c r="CT339" s="257">
        <f>INDEX(연료전지_원본!$KB$4:$KX$369,MATCH($A339,연료전지_원본!$KB$4:$KB$369,0), MATCH(CT$4,연료전지_원본!$KB$4:$KX$4,0))*1000</f>
        <v>0</v>
      </c>
      <c r="CU339" s="257">
        <f>INDEX(연료전지_원본!$KB$4:$KX$369,MATCH($A339,연료전지_원본!$KB$4:$KB$369,0), MATCH(CU$4,연료전지_원본!$KB$4:$KX$4,0))*1000</f>
        <v>0</v>
      </c>
      <c r="CV339" s="257">
        <f>INDEX(연료전지_원본!$KB$4:$KX$369,MATCH($A339,연료전지_원본!$KB$4:$KB$369,0), MATCH(CV$4,연료전지_원본!$KB$4:$KX$4,0))*1000</f>
        <v>0</v>
      </c>
      <c r="CW339" s="257">
        <f>INDEX(연료전지_원본!$KB$4:$KX$369,MATCH($A339,연료전지_원본!$KB$4:$KB$369,0), MATCH(CW$4,연료전지_원본!$KB$4:$KX$4,0))*1000</f>
        <v>0</v>
      </c>
      <c r="CX339" s="257">
        <f>INDEX(연료전지_원본!$KB$4:$KX$369,MATCH($A339,연료전지_원본!$KB$4:$KB$369,0), MATCH(CX$4,연료전지_원본!$KB$4:$KX$4,0))*1000</f>
        <v>0</v>
      </c>
      <c r="CY339" s="257">
        <f>INDEX(연료전지_원본!$KB$4:$KX$369,MATCH($A339,연료전지_원본!$KB$4:$KB$369,0), MATCH(CY$4,연료전지_원본!$KB$4:$KX$4,0))*1000</f>
        <v>0</v>
      </c>
      <c r="CZ339" s="186"/>
      <c r="DA339" s="182"/>
      <c r="DB339" s="182"/>
      <c r="DC339" s="182"/>
      <c r="DD339" s="182"/>
      <c r="DE339" s="182"/>
      <c r="DF339" s="182"/>
      <c r="DG339" s="182"/>
      <c r="DH339" s="182"/>
      <c r="DI339" s="182"/>
      <c r="DJ339" s="182"/>
      <c r="DK339" s="182"/>
      <c r="DL339" s="182"/>
      <c r="DM339" s="182"/>
      <c r="DN339" s="182"/>
      <c r="DO339" s="182"/>
      <c r="DP339" s="182"/>
      <c r="DQ339" s="182"/>
      <c r="DR339" s="182"/>
      <c r="DS339" s="182"/>
      <c r="DT339" s="182"/>
      <c r="DU339" s="182"/>
      <c r="DV339" s="182">
        <f t="shared" si="1616"/>
        <v>0</v>
      </c>
    </row>
    <row r="340" spans="1:126">
      <c r="A340" s="6">
        <v>46357</v>
      </c>
      <c r="B340" s="15">
        <f>운전실적_원본!B340</f>
        <v>0</v>
      </c>
      <c r="C340" s="16" t="str">
        <f t="shared" si="1622"/>
        <v/>
      </c>
      <c r="D340" s="12">
        <f>운전실적_원본!C340</f>
        <v>0</v>
      </c>
      <c r="E340" s="12" t="str">
        <f t="shared" si="1623"/>
        <v/>
      </c>
      <c r="F340" s="12">
        <f>운전실적_원본!D340</f>
        <v>0</v>
      </c>
      <c r="G340" s="16" t="str">
        <f t="shared" si="1624"/>
        <v/>
      </c>
      <c r="H340" s="15">
        <f>운전실적_원본!E340</f>
        <v>0</v>
      </c>
      <c r="I340" s="16" t="str">
        <f t="shared" si="1625"/>
        <v/>
      </c>
      <c r="J340" s="15">
        <f>운전실적_원본!F340</f>
        <v>0</v>
      </c>
      <c r="K340" s="16" t="str">
        <f t="shared" si="1625"/>
        <v/>
      </c>
      <c r="L340" s="32">
        <f>운전실적_원본!G340</f>
        <v>0</v>
      </c>
      <c r="M340" s="31" t="str">
        <f t="shared" ref="M340" si="1852">IF(OR(LEN(L340)=0,L340=0),"",L340-L339)</f>
        <v/>
      </c>
      <c r="N340" s="15">
        <f>운전실적_원본!H340</f>
        <v>0</v>
      </c>
      <c r="O340" s="16" t="str">
        <f t="shared" ref="O340" si="1853">IF(OR(LEN(N340)=0,N340=0),"",N340-N339)</f>
        <v/>
      </c>
      <c r="P340" s="15">
        <f>운전실적_원본!I340</f>
        <v>0</v>
      </c>
      <c r="Q340" s="16" t="str">
        <f t="shared" ref="Q340" si="1854">IF(OR(LEN(P340)=0,P340=0),"",P340-P339)</f>
        <v/>
      </c>
      <c r="R340" s="18">
        <f>운전실적_원본!J340</f>
        <v>0</v>
      </c>
      <c r="S340" s="19" t="str">
        <f t="shared" ref="S340" si="1855">IF(OR(LEN(R340)=0,R340=0),"",R340-R339)</f>
        <v/>
      </c>
      <c r="T340" s="18">
        <f>운전실적_원본!K340</f>
        <v>0</v>
      </c>
      <c r="U340" s="19" t="str">
        <f t="shared" si="1630"/>
        <v/>
      </c>
      <c r="V340" s="12">
        <f>운전실적_원본!L340</f>
        <v>0</v>
      </c>
      <c r="W340" s="16" t="str">
        <f t="shared" ref="W340" si="1856">IF(OR(LEN(V340)=0,V340=0),"",V340-V339)</f>
        <v/>
      </c>
      <c r="X340" s="10">
        <f>운전실적_원본!M340</f>
        <v>0</v>
      </c>
      <c r="Y340" s="10">
        <f>운전실적_원본!N340</f>
        <v>0</v>
      </c>
      <c r="Z340" s="10">
        <f>운전실적_원본!O340</f>
        <v>0</v>
      </c>
      <c r="AA340" s="10">
        <f>운전실적_원본!P340</f>
        <v>0</v>
      </c>
      <c r="AB340" s="10">
        <f>운전실적_원본!Q340</f>
        <v>0</v>
      </c>
      <c r="AC340" s="20">
        <f>운전실적_원본!R340</f>
        <v>0</v>
      </c>
      <c r="AD340" s="109">
        <f>운전실적_원본!S340</f>
        <v>0</v>
      </c>
      <c r="AE340" s="110">
        <f>운전실적_원본!T340</f>
        <v>0</v>
      </c>
      <c r="AF340" s="110">
        <f>운전실적_원본!U340</f>
        <v>0</v>
      </c>
      <c r="AG340" s="110">
        <f>운전실적_원본!V340</f>
        <v>0</v>
      </c>
      <c r="AH340" s="109">
        <f t="shared" si="1784"/>
        <v>0</v>
      </c>
      <c r="AI340" s="110">
        <f t="shared" si="1791"/>
        <v>0</v>
      </c>
      <c r="AJ340" s="110">
        <f>운전실적_원본!Y340</f>
        <v>0</v>
      </c>
      <c r="AK340" s="110">
        <f>운전실적_원본!Z340</f>
        <v>0</v>
      </c>
      <c r="AL340" s="106"/>
      <c r="AM340" s="105"/>
      <c r="AN340" s="105"/>
      <c r="AO340" s="105"/>
      <c r="AP340" s="105"/>
      <c r="AQ340" s="108"/>
      <c r="AR340" s="105"/>
      <c r="AS340" s="105"/>
      <c r="AT340" s="102"/>
      <c r="AU340" s="102"/>
      <c r="AV340" s="102"/>
      <c r="AW340" s="102"/>
      <c r="AX340" s="32">
        <f>운전실적_원본!W340</f>
        <v>0</v>
      </c>
      <c r="AY340" s="11">
        <f>운전실적_원본!X340</f>
        <v>0</v>
      </c>
      <c r="AZ340" s="11">
        <f>운전실적_원본!Y340</f>
        <v>0</v>
      </c>
      <c r="BA340" s="11">
        <f>운전실적_원본!Z340</f>
        <v>0</v>
      </c>
      <c r="BB340" s="11">
        <f>운전실적_원본!AA340</f>
        <v>0</v>
      </c>
      <c r="BC340" s="11">
        <f>운전실적_원본!AB340</f>
        <v>0</v>
      </c>
      <c r="BD340" s="32" t="str">
        <f t="shared" si="1777"/>
        <v>-</v>
      </c>
      <c r="BE340" s="11" t="str">
        <f t="shared" si="1785"/>
        <v>-</v>
      </c>
      <c r="BF340" s="11">
        <f>운전실적_원본!AE340</f>
        <v>0</v>
      </c>
      <c r="BG340" s="31">
        <f t="shared" si="1778"/>
        <v>0</v>
      </c>
      <c r="BH340" s="241">
        <f>INDEX(연료전지_원본!$A$4:$KY$369,MATCH($A340,연료전지_원본!$A$4:$A$369,0),MATCH($BH$4,연료전지_원본!$A$4:$KY$4,0))</f>
        <v>0</v>
      </c>
      <c r="BI340" s="241">
        <f>INDEX(연료전지_원본!$A$4:$KY$369,MATCH($A340,연료전지_원본!$A$4:$A$369,0),MATCH($BI$4,연료전지_원본!$A$4:$KY$4,0))</f>
        <v>0</v>
      </c>
      <c r="BJ340" s="241">
        <f>INDEX(연료전지_원본!$A$4:$KY$369,MATCH($A340,연료전지_원본!$A$4:$A$369,0),MATCH($BJ$4,연료전지_원본!$A$4:$KY$4,0))</f>
        <v>0</v>
      </c>
      <c r="BK340" s="241">
        <f>INDEX(연료전지_원본!$A$4:$KY$369,MATCH($A340,연료전지_원본!$A$4:$A$369,0),MATCH($BK$4,연료전지_원본!$A$4:$KY$4,0))</f>
        <v>0</v>
      </c>
      <c r="BL340" s="241">
        <f>INDEX(연료전지_원본!$A$4:$KY$369,MATCH($A340,연료전지_원본!$A$4:$A$369,0),MATCH($BL$4,연료전지_원본!$A$4:$KY$4,0))</f>
        <v>0</v>
      </c>
      <c r="BM340" s="241">
        <f>INDEX(연료전지_원본!$A$4:$KY$369,MATCH($A340,연료전지_원본!$A$4:$A$369,0),MATCH($BM$4,연료전지_원본!$A$4:$KY$4,0))</f>
        <v>0</v>
      </c>
      <c r="BN340" s="241">
        <f>INDEX(연료전지_원본!$A$4:$KY$369,MATCH($A340,연료전지_원본!$A$4:$A$369,0),MATCH($BN$4,연료전지_원본!$A$4:$KY$4,0))</f>
        <v>0</v>
      </c>
      <c r="BO340" s="241">
        <f>INDEX(연료전지_원본!$A$4:$KY$369,MATCH($A340,연료전지_원본!$A$4:$A$369,0),MATCH($BO$4,연료전지_원본!$A$4:$KY$4,0))</f>
        <v>0</v>
      </c>
      <c r="BP340" s="241">
        <f>INDEX(연료전지_원본!$A$4:$KY$369,MATCH($A340,연료전지_원본!$A$4:$A$369,0),MATCH($BP$4,연료전지_원본!$A$4:$KY$4,0))</f>
        <v>0</v>
      </c>
      <c r="BQ340" s="241">
        <f>INDEX(연료전지_원본!$A$4:$KY$369,MATCH($A340,연료전지_원본!$A$4:$A$369,0),MATCH($BQ$4,연료전지_원본!$A$4:$KY$4,0))</f>
        <v>0</v>
      </c>
      <c r="BR340" s="241">
        <f>INDEX(연료전지_원본!$A$4:$KY$369,MATCH($A340,연료전지_원본!$A$4:$A$369,0),MATCH($BR$4,연료전지_원본!$A$4:$KY$4,0))</f>
        <v>0</v>
      </c>
      <c r="BS340" s="241">
        <f>INDEX(연료전지_원본!$A$4:$KY$369,MATCH($A340,연료전지_원본!$A$4:$A$369,0),MATCH($BS$4,연료전지_원본!$A$4:$KY$4,0))</f>
        <v>0</v>
      </c>
      <c r="BT340" s="241">
        <f>INDEX(연료전지_원본!$A$4:$KY$369,MATCH($A340,연료전지_원본!$A$4:$A$369,0),MATCH($BT$4,연료전지_원본!$A$4:$KY$4,0))</f>
        <v>0</v>
      </c>
      <c r="BU340" s="241">
        <f>INDEX(연료전지_원본!$A$4:$KY$369,MATCH($A340,연료전지_원본!$A$4:$A$369,0),MATCH($BU$4,연료전지_원본!$A$4:$KY$4,0))</f>
        <v>0</v>
      </c>
      <c r="BV340" s="241">
        <f>INDEX(연료전지_원본!$A$4:$KY$369,MATCH($A340,연료전지_원본!$A$4:$A$369,0),MATCH($BV$4,연료전지_원본!$A$4:$KY$4,0))</f>
        <v>0</v>
      </c>
      <c r="BW340" s="241">
        <f>INDEX(연료전지_원본!$A$4:$KY$369,MATCH($A340,연료전지_원본!$A$4:$A$369,0),MATCH($BW$4,연료전지_원본!$A$4:$KY$4,0))</f>
        <v>0</v>
      </c>
      <c r="BX340" s="241">
        <f>INDEX(연료전지_원본!$A$4:$KY$369,MATCH($A340,연료전지_원본!$A$4:$A$369,0),MATCH($BX$4,연료전지_원본!$A$4:$KY$4,0))</f>
        <v>0</v>
      </c>
      <c r="BY340" s="241">
        <f>INDEX(연료전지_원본!$A$4:$KY$369,MATCH($A340,연료전지_원본!$A$4:$A$369,0),MATCH($BY$4,연료전지_원본!$A$4:$KY$4,0))</f>
        <v>0</v>
      </c>
      <c r="BZ340" s="241">
        <f>INDEX(연료전지_원본!$A$4:$KY$369,MATCH($A340,연료전지_원본!$A$4:$A$369,0),MATCH($BZ$4,연료전지_원본!$A$4:$KY$4,0))</f>
        <v>0</v>
      </c>
      <c r="CA340" s="241">
        <f>INDEX(연료전지_원본!$A$4:$KY$369,MATCH($A340,연료전지_원본!$A$4:$A$369,0),MATCH($CA$4,연료전지_원본!$A$4:$KY$4,0))</f>
        <v>0</v>
      </c>
      <c r="CB340" s="241">
        <f>INDEX(연료전지_원본!$A$4:$KY$369,MATCH($A340,연료전지_원본!$A$4:$A$369,0),MATCH($CB$4,연료전지_원본!$A$4:$KY$4,0))</f>
        <v>0</v>
      </c>
      <c r="CC340" s="242">
        <f>INDEX(연료전지_원본!$A$4:$KY$369,MATCH($A340,연료전지_원본!$A$4:$A$369,0),MATCH($CC$4,연료전지_원본!$A$4:$KY$4,0))</f>
        <v>0</v>
      </c>
      <c r="CD340" s="250">
        <f>INDEX(연료전지_원본!$KB$4:$KX$369,MATCH($A340,연료전지_원본!$KB$4:$KB$369,0), MATCH(CD$4,연료전지_원본!$KB$4:$KX$4,0))*1000</f>
        <v>0</v>
      </c>
      <c r="CE340" s="250">
        <f>INDEX(연료전지_원본!$KB$4:$KX$369,MATCH($A340,연료전지_원본!$KB$4:$KB$369,0), MATCH(CE$4,연료전지_원본!$KB$4:$KX$4,0))*1000</f>
        <v>0</v>
      </c>
      <c r="CF340" s="250">
        <f>INDEX(연료전지_원본!$KB$4:$KX$369,MATCH($A340,연료전지_원본!$KB$4:$KB$369,0), MATCH(CF$4,연료전지_원본!$KB$4:$KX$4,0))*1000</f>
        <v>0</v>
      </c>
      <c r="CG340" s="250">
        <f>INDEX(연료전지_원본!$KB$4:$KX$369,MATCH($A340,연료전지_원본!$KB$4:$KB$369,0), MATCH(CG$4,연료전지_원본!$KB$4:$KX$4,0))*1000</f>
        <v>0</v>
      </c>
      <c r="CH340" s="250">
        <f>INDEX(연료전지_원본!$KB$4:$KX$369,MATCH($A340,연료전지_원본!$KB$4:$KB$369,0), MATCH(CH$4,연료전지_원본!$KB$4:$KX$4,0))*1000</f>
        <v>0</v>
      </c>
      <c r="CI340" s="250">
        <f>INDEX(연료전지_원본!$KB$4:$KX$369,MATCH($A340,연료전지_원본!$KB$4:$KB$369,0), MATCH(CI$4,연료전지_원본!$KB$4:$KX$4,0))*1000</f>
        <v>0</v>
      </c>
      <c r="CJ340" s="250">
        <f>INDEX(연료전지_원본!$KB$4:$KX$369,MATCH($A340,연료전지_원본!$KB$4:$KB$369,0), MATCH(CJ$4,연료전지_원본!$KB$4:$KX$4,0))*1000</f>
        <v>0</v>
      </c>
      <c r="CK340" s="250">
        <f>INDEX(연료전지_원본!$KB$4:$KX$369,MATCH($A340,연료전지_원본!$KB$4:$KB$369,0), MATCH(CK$4,연료전지_원본!$KB$4:$KX$4,0))*1000</f>
        <v>0</v>
      </c>
      <c r="CL340" s="250">
        <f>INDEX(연료전지_원본!$KB$4:$KX$369,MATCH($A340,연료전지_원본!$KB$4:$KB$369,0), MATCH(CL$4,연료전지_원본!$KB$4:$KX$4,0))*1000</f>
        <v>0</v>
      </c>
      <c r="CM340" s="250">
        <f>INDEX(연료전지_원본!$KB$4:$KX$369,MATCH($A340,연료전지_원본!$KB$4:$KB$369,0), MATCH(CM$4,연료전지_원본!$KB$4:$KX$4,0))*1000</f>
        <v>0</v>
      </c>
      <c r="CN340" s="250">
        <f>INDEX(연료전지_원본!$KB$4:$KX$369,MATCH($A340,연료전지_원본!$KB$4:$KB$369,0), MATCH(CN$4,연료전지_원본!$KB$4:$KX$4,0))*1000</f>
        <v>0</v>
      </c>
      <c r="CO340" s="250">
        <f>INDEX(연료전지_원본!$KB$4:$KX$369,MATCH($A340,연료전지_원본!$KB$4:$KB$369,0), MATCH(CO$4,연료전지_원본!$KB$4:$KX$4,0))*1000</f>
        <v>0</v>
      </c>
      <c r="CP340" s="250">
        <f>INDEX(연료전지_원본!$KB$4:$KX$369,MATCH($A340,연료전지_원본!$KB$4:$KB$369,0), MATCH(CP$4,연료전지_원본!$KB$4:$KX$4,0))*1000</f>
        <v>0</v>
      </c>
      <c r="CQ340" s="250">
        <f>INDEX(연료전지_원본!$KB$4:$KX$369,MATCH($A340,연료전지_원본!$KB$4:$KB$369,0), MATCH(CQ$4,연료전지_원본!$KB$4:$KX$4,0))*1000</f>
        <v>0</v>
      </c>
      <c r="CR340" s="250">
        <f>INDEX(연료전지_원본!$KB$4:$KX$369,MATCH($A340,연료전지_원본!$KB$4:$KB$369,0), MATCH(CR$4,연료전지_원본!$KB$4:$KX$4,0))*1000</f>
        <v>0</v>
      </c>
      <c r="CS340" s="250">
        <f>INDEX(연료전지_원본!$KB$4:$KX$369,MATCH($A340,연료전지_원본!$KB$4:$KB$369,0), MATCH(CS$4,연료전지_원본!$KB$4:$KX$4,0))*1000</f>
        <v>0</v>
      </c>
      <c r="CT340" s="250">
        <f>INDEX(연료전지_원본!$KB$4:$KX$369,MATCH($A340,연료전지_원본!$KB$4:$KB$369,0), MATCH(CT$4,연료전지_원본!$KB$4:$KX$4,0))*1000</f>
        <v>0</v>
      </c>
      <c r="CU340" s="250">
        <f>INDEX(연료전지_원본!$KB$4:$KX$369,MATCH($A340,연료전지_원본!$KB$4:$KB$369,0), MATCH(CU$4,연료전지_원본!$KB$4:$KX$4,0))*1000</f>
        <v>0</v>
      </c>
      <c r="CV340" s="250">
        <f>INDEX(연료전지_원본!$KB$4:$KX$369,MATCH($A340,연료전지_원본!$KB$4:$KB$369,0), MATCH(CV$4,연료전지_원본!$KB$4:$KX$4,0))*1000</f>
        <v>0</v>
      </c>
      <c r="CW340" s="250">
        <f>INDEX(연료전지_원본!$KB$4:$KX$369,MATCH($A340,연료전지_원본!$KB$4:$KB$369,0), MATCH(CW$4,연료전지_원본!$KB$4:$KX$4,0))*1000</f>
        <v>0</v>
      </c>
      <c r="CX340" s="250">
        <f>INDEX(연료전지_원본!$KB$4:$KX$369,MATCH($A340,연료전지_원본!$KB$4:$KB$369,0), MATCH(CX$4,연료전지_원본!$KB$4:$KX$4,0))*1000</f>
        <v>0</v>
      </c>
      <c r="CY340" s="250">
        <f>INDEX(연료전지_원본!$KB$4:$KX$369,MATCH($A340,연료전지_원본!$KB$4:$KB$369,0), MATCH(CY$4,연료전지_원본!$KB$4:$KX$4,0))*1000</f>
        <v>0</v>
      </c>
      <c r="DV340" s="30">
        <f t="shared" si="1616"/>
        <v>0</v>
      </c>
    </row>
    <row r="341" spans="1:126">
      <c r="A341" s="6">
        <v>46358</v>
      </c>
      <c r="B341" s="15">
        <f>운전실적_원본!B341</f>
        <v>0</v>
      </c>
      <c r="C341" s="16" t="str">
        <f t="shared" si="1622"/>
        <v/>
      </c>
      <c r="D341" s="12">
        <f>운전실적_원본!C341</f>
        <v>0</v>
      </c>
      <c r="E341" s="12" t="str">
        <f t="shared" si="1623"/>
        <v/>
      </c>
      <c r="F341" s="12">
        <f>운전실적_원본!D341</f>
        <v>0</v>
      </c>
      <c r="G341" s="16" t="str">
        <f t="shared" si="1624"/>
        <v/>
      </c>
      <c r="H341" s="15">
        <f>운전실적_원본!E341</f>
        <v>0</v>
      </c>
      <c r="I341" s="16" t="str">
        <f t="shared" si="1625"/>
        <v/>
      </c>
      <c r="J341" s="15">
        <f>운전실적_원본!F341</f>
        <v>0</v>
      </c>
      <c r="K341" s="16" t="str">
        <f t="shared" si="1625"/>
        <v/>
      </c>
      <c r="L341" s="32">
        <f>운전실적_원본!G341</f>
        <v>0</v>
      </c>
      <c r="M341" s="31" t="str">
        <f t="shared" ref="M341" si="1857">IF(OR(LEN(L341)=0,L341=0),"",L341-L340)</f>
        <v/>
      </c>
      <c r="N341" s="15">
        <f>운전실적_원본!H341</f>
        <v>0</v>
      </c>
      <c r="O341" s="16" t="str">
        <f t="shared" ref="O341" si="1858">IF(OR(LEN(N341)=0,N341=0),"",N341-N340)</f>
        <v/>
      </c>
      <c r="P341" s="15">
        <f>운전실적_원본!I341</f>
        <v>0</v>
      </c>
      <c r="Q341" s="16" t="str">
        <f t="shared" ref="Q341" si="1859">IF(OR(LEN(P341)=0,P341=0),"",P341-P340)</f>
        <v/>
      </c>
      <c r="R341" s="18">
        <f>운전실적_원본!J341</f>
        <v>0</v>
      </c>
      <c r="S341" s="19" t="str">
        <f t="shared" ref="S341" si="1860">IF(OR(LEN(R341)=0,R341=0),"",R341-R340)</f>
        <v/>
      </c>
      <c r="T341" s="18">
        <f>운전실적_원본!K341</f>
        <v>0</v>
      </c>
      <c r="U341" s="19" t="str">
        <f t="shared" si="1630"/>
        <v/>
      </c>
      <c r="V341" s="12">
        <f>운전실적_원본!L341</f>
        <v>0</v>
      </c>
      <c r="W341" s="16" t="str">
        <f t="shared" ref="W341" si="1861">IF(OR(LEN(V341)=0,V341=0),"",V341-V340)</f>
        <v/>
      </c>
      <c r="X341" s="10">
        <f>운전실적_원본!M341</f>
        <v>0</v>
      </c>
      <c r="Y341" s="10">
        <f>운전실적_원본!N341</f>
        <v>0</v>
      </c>
      <c r="Z341" s="10">
        <f>운전실적_원본!O341</f>
        <v>0</v>
      </c>
      <c r="AA341" s="10">
        <f>운전실적_원본!P341</f>
        <v>0</v>
      </c>
      <c r="AB341" s="10">
        <f>운전실적_원본!Q341</f>
        <v>0</v>
      </c>
      <c r="AC341" s="20">
        <f>운전실적_원본!R341</f>
        <v>0</v>
      </c>
      <c r="AD341" s="109">
        <f>운전실적_원본!S341</f>
        <v>0</v>
      </c>
      <c r="AE341" s="110">
        <f>운전실적_원본!T341</f>
        <v>0</v>
      </c>
      <c r="AF341" s="110">
        <f>운전실적_원본!U341</f>
        <v>0</v>
      </c>
      <c r="AG341" s="110">
        <f>운전실적_원본!V341</f>
        <v>0</v>
      </c>
      <c r="AH341" s="109">
        <f t="shared" si="1784"/>
        <v>0</v>
      </c>
      <c r="AI341" s="110">
        <f t="shared" si="1791"/>
        <v>0</v>
      </c>
      <c r="AJ341" s="110">
        <f>운전실적_원본!Y341</f>
        <v>0</v>
      </c>
      <c r="AK341" s="110">
        <f>운전실적_원본!Z341</f>
        <v>0</v>
      </c>
      <c r="AL341" s="106"/>
      <c r="AM341" s="105"/>
      <c r="AN341" s="105"/>
      <c r="AO341" s="105"/>
      <c r="AP341" s="105"/>
      <c r="AQ341" s="108"/>
      <c r="AR341" s="105"/>
      <c r="AS341" s="105"/>
      <c r="AT341" s="102"/>
      <c r="AU341" s="102"/>
      <c r="AV341" s="102"/>
      <c r="AW341" s="102"/>
      <c r="AX341" s="32">
        <f>운전실적_원본!W341</f>
        <v>0</v>
      </c>
      <c r="AY341" s="11">
        <f>운전실적_원본!X341</f>
        <v>0</v>
      </c>
      <c r="AZ341" s="11">
        <f>운전실적_원본!Y341</f>
        <v>0</v>
      </c>
      <c r="BA341" s="11">
        <f>운전실적_원본!Z341</f>
        <v>0</v>
      </c>
      <c r="BB341" s="11">
        <f>운전실적_원본!AA341</f>
        <v>0</v>
      </c>
      <c r="BC341" s="11">
        <f>운전실적_원본!AB341</f>
        <v>0</v>
      </c>
      <c r="BD341" s="32" t="str">
        <f t="shared" si="1777"/>
        <v>-</v>
      </c>
      <c r="BE341" s="11" t="str">
        <f t="shared" si="1785"/>
        <v>-</v>
      </c>
      <c r="BF341" s="11">
        <f>운전실적_원본!AE341</f>
        <v>0</v>
      </c>
      <c r="BG341" s="31">
        <f t="shared" si="1778"/>
        <v>0</v>
      </c>
      <c r="BH341" s="241">
        <f>INDEX(연료전지_원본!$A$4:$KY$369,MATCH($A341,연료전지_원본!$A$4:$A$369,0),MATCH($BH$4,연료전지_원본!$A$4:$KY$4,0))</f>
        <v>0</v>
      </c>
      <c r="BI341" s="241">
        <f>INDEX(연료전지_원본!$A$4:$KY$369,MATCH($A341,연료전지_원본!$A$4:$A$369,0),MATCH($BI$4,연료전지_원본!$A$4:$KY$4,0))</f>
        <v>0</v>
      </c>
      <c r="BJ341" s="241">
        <f>INDEX(연료전지_원본!$A$4:$KY$369,MATCH($A341,연료전지_원본!$A$4:$A$369,0),MATCH($BJ$4,연료전지_원본!$A$4:$KY$4,0))</f>
        <v>0</v>
      </c>
      <c r="BK341" s="241">
        <f>INDEX(연료전지_원본!$A$4:$KY$369,MATCH($A341,연료전지_원본!$A$4:$A$369,0),MATCH($BK$4,연료전지_원본!$A$4:$KY$4,0))</f>
        <v>0</v>
      </c>
      <c r="BL341" s="241">
        <f>INDEX(연료전지_원본!$A$4:$KY$369,MATCH($A341,연료전지_원본!$A$4:$A$369,0),MATCH($BL$4,연료전지_원본!$A$4:$KY$4,0))</f>
        <v>0</v>
      </c>
      <c r="BM341" s="241">
        <f>INDEX(연료전지_원본!$A$4:$KY$369,MATCH($A341,연료전지_원본!$A$4:$A$369,0),MATCH($BM$4,연료전지_원본!$A$4:$KY$4,0))</f>
        <v>0</v>
      </c>
      <c r="BN341" s="241">
        <f>INDEX(연료전지_원본!$A$4:$KY$369,MATCH($A341,연료전지_원본!$A$4:$A$369,0),MATCH($BN$4,연료전지_원본!$A$4:$KY$4,0))</f>
        <v>0</v>
      </c>
      <c r="BO341" s="241">
        <f>INDEX(연료전지_원본!$A$4:$KY$369,MATCH($A341,연료전지_원본!$A$4:$A$369,0),MATCH($BO$4,연료전지_원본!$A$4:$KY$4,0))</f>
        <v>0</v>
      </c>
      <c r="BP341" s="241">
        <f>INDEX(연료전지_원본!$A$4:$KY$369,MATCH($A341,연료전지_원본!$A$4:$A$369,0),MATCH($BP$4,연료전지_원본!$A$4:$KY$4,0))</f>
        <v>0</v>
      </c>
      <c r="BQ341" s="241">
        <f>INDEX(연료전지_원본!$A$4:$KY$369,MATCH($A341,연료전지_원본!$A$4:$A$369,0),MATCH($BQ$4,연료전지_원본!$A$4:$KY$4,0))</f>
        <v>0</v>
      </c>
      <c r="BR341" s="241">
        <f>INDEX(연료전지_원본!$A$4:$KY$369,MATCH($A341,연료전지_원본!$A$4:$A$369,0),MATCH($BR$4,연료전지_원본!$A$4:$KY$4,0))</f>
        <v>0</v>
      </c>
      <c r="BS341" s="241">
        <f>INDEX(연료전지_원본!$A$4:$KY$369,MATCH($A341,연료전지_원본!$A$4:$A$369,0),MATCH($BS$4,연료전지_원본!$A$4:$KY$4,0))</f>
        <v>0</v>
      </c>
      <c r="BT341" s="241">
        <f>INDEX(연료전지_원본!$A$4:$KY$369,MATCH($A341,연료전지_원본!$A$4:$A$369,0),MATCH($BT$4,연료전지_원본!$A$4:$KY$4,0))</f>
        <v>0</v>
      </c>
      <c r="BU341" s="241">
        <f>INDEX(연료전지_원본!$A$4:$KY$369,MATCH($A341,연료전지_원본!$A$4:$A$369,0),MATCH($BU$4,연료전지_원본!$A$4:$KY$4,0))</f>
        <v>0</v>
      </c>
      <c r="BV341" s="241">
        <f>INDEX(연료전지_원본!$A$4:$KY$369,MATCH($A341,연료전지_원본!$A$4:$A$369,0),MATCH($BV$4,연료전지_원본!$A$4:$KY$4,0))</f>
        <v>0</v>
      </c>
      <c r="BW341" s="241">
        <f>INDEX(연료전지_원본!$A$4:$KY$369,MATCH($A341,연료전지_원본!$A$4:$A$369,0),MATCH($BW$4,연료전지_원본!$A$4:$KY$4,0))</f>
        <v>0</v>
      </c>
      <c r="BX341" s="241">
        <f>INDEX(연료전지_원본!$A$4:$KY$369,MATCH($A341,연료전지_원본!$A$4:$A$369,0),MATCH($BX$4,연료전지_원본!$A$4:$KY$4,0))</f>
        <v>0</v>
      </c>
      <c r="BY341" s="241">
        <f>INDEX(연료전지_원본!$A$4:$KY$369,MATCH($A341,연료전지_원본!$A$4:$A$369,0),MATCH($BY$4,연료전지_원본!$A$4:$KY$4,0))</f>
        <v>0</v>
      </c>
      <c r="BZ341" s="241">
        <f>INDEX(연료전지_원본!$A$4:$KY$369,MATCH($A341,연료전지_원본!$A$4:$A$369,0),MATCH($BZ$4,연료전지_원본!$A$4:$KY$4,0))</f>
        <v>0</v>
      </c>
      <c r="CA341" s="241">
        <f>INDEX(연료전지_원본!$A$4:$KY$369,MATCH($A341,연료전지_원본!$A$4:$A$369,0),MATCH($CA$4,연료전지_원본!$A$4:$KY$4,0))</f>
        <v>0</v>
      </c>
      <c r="CB341" s="241">
        <f>INDEX(연료전지_원본!$A$4:$KY$369,MATCH($A341,연료전지_원본!$A$4:$A$369,0),MATCH($CB$4,연료전지_원본!$A$4:$KY$4,0))</f>
        <v>0</v>
      </c>
      <c r="CC341" s="242">
        <f>INDEX(연료전지_원본!$A$4:$KY$369,MATCH($A341,연료전지_원본!$A$4:$A$369,0),MATCH($CC$4,연료전지_원본!$A$4:$KY$4,0))</f>
        <v>0</v>
      </c>
      <c r="CD341" s="250">
        <f>INDEX(연료전지_원본!$KB$4:$KX$369,MATCH($A341,연료전지_원본!$KB$4:$KB$369,0), MATCH(CD$4,연료전지_원본!$KB$4:$KX$4,0))*1000</f>
        <v>0</v>
      </c>
      <c r="CE341" s="250">
        <f>INDEX(연료전지_원본!$KB$4:$KX$369,MATCH($A341,연료전지_원본!$KB$4:$KB$369,0), MATCH(CE$4,연료전지_원본!$KB$4:$KX$4,0))*1000</f>
        <v>0</v>
      </c>
      <c r="CF341" s="250">
        <f>INDEX(연료전지_원본!$KB$4:$KX$369,MATCH($A341,연료전지_원본!$KB$4:$KB$369,0), MATCH(CF$4,연료전지_원본!$KB$4:$KX$4,0))*1000</f>
        <v>0</v>
      </c>
      <c r="CG341" s="250">
        <f>INDEX(연료전지_원본!$KB$4:$KX$369,MATCH($A341,연료전지_원본!$KB$4:$KB$369,0), MATCH(CG$4,연료전지_원본!$KB$4:$KX$4,0))*1000</f>
        <v>0</v>
      </c>
      <c r="CH341" s="250">
        <f>INDEX(연료전지_원본!$KB$4:$KX$369,MATCH($A341,연료전지_원본!$KB$4:$KB$369,0), MATCH(CH$4,연료전지_원본!$KB$4:$KX$4,0))*1000</f>
        <v>0</v>
      </c>
      <c r="CI341" s="250">
        <f>INDEX(연료전지_원본!$KB$4:$KX$369,MATCH($A341,연료전지_원본!$KB$4:$KB$369,0), MATCH(CI$4,연료전지_원본!$KB$4:$KX$4,0))*1000</f>
        <v>0</v>
      </c>
      <c r="CJ341" s="250">
        <f>INDEX(연료전지_원본!$KB$4:$KX$369,MATCH($A341,연료전지_원본!$KB$4:$KB$369,0), MATCH(CJ$4,연료전지_원본!$KB$4:$KX$4,0))*1000</f>
        <v>0</v>
      </c>
      <c r="CK341" s="250">
        <f>INDEX(연료전지_원본!$KB$4:$KX$369,MATCH($A341,연료전지_원본!$KB$4:$KB$369,0), MATCH(CK$4,연료전지_원본!$KB$4:$KX$4,0))*1000</f>
        <v>0</v>
      </c>
      <c r="CL341" s="250">
        <f>INDEX(연료전지_원본!$KB$4:$KX$369,MATCH($A341,연료전지_원본!$KB$4:$KB$369,0), MATCH(CL$4,연료전지_원본!$KB$4:$KX$4,0))*1000</f>
        <v>0</v>
      </c>
      <c r="CM341" s="250">
        <f>INDEX(연료전지_원본!$KB$4:$KX$369,MATCH($A341,연료전지_원본!$KB$4:$KB$369,0), MATCH(CM$4,연료전지_원본!$KB$4:$KX$4,0))*1000</f>
        <v>0</v>
      </c>
      <c r="CN341" s="250">
        <f>INDEX(연료전지_원본!$KB$4:$KX$369,MATCH($A341,연료전지_원본!$KB$4:$KB$369,0), MATCH(CN$4,연료전지_원본!$KB$4:$KX$4,0))*1000</f>
        <v>0</v>
      </c>
      <c r="CO341" s="250">
        <f>INDEX(연료전지_원본!$KB$4:$KX$369,MATCH($A341,연료전지_원본!$KB$4:$KB$369,0), MATCH(CO$4,연료전지_원본!$KB$4:$KX$4,0))*1000</f>
        <v>0</v>
      </c>
      <c r="CP341" s="250">
        <f>INDEX(연료전지_원본!$KB$4:$KX$369,MATCH($A341,연료전지_원본!$KB$4:$KB$369,0), MATCH(CP$4,연료전지_원본!$KB$4:$KX$4,0))*1000</f>
        <v>0</v>
      </c>
      <c r="CQ341" s="250">
        <f>INDEX(연료전지_원본!$KB$4:$KX$369,MATCH($A341,연료전지_원본!$KB$4:$KB$369,0), MATCH(CQ$4,연료전지_원본!$KB$4:$KX$4,0))*1000</f>
        <v>0</v>
      </c>
      <c r="CR341" s="250">
        <f>INDEX(연료전지_원본!$KB$4:$KX$369,MATCH($A341,연료전지_원본!$KB$4:$KB$369,0), MATCH(CR$4,연료전지_원본!$KB$4:$KX$4,0))*1000</f>
        <v>0</v>
      </c>
      <c r="CS341" s="250">
        <f>INDEX(연료전지_원본!$KB$4:$KX$369,MATCH($A341,연료전지_원본!$KB$4:$KB$369,0), MATCH(CS$4,연료전지_원본!$KB$4:$KX$4,0))*1000</f>
        <v>0</v>
      </c>
      <c r="CT341" s="250">
        <f>INDEX(연료전지_원본!$KB$4:$KX$369,MATCH($A341,연료전지_원본!$KB$4:$KB$369,0), MATCH(CT$4,연료전지_원본!$KB$4:$KX$4,0))*1000</f>
        <v>0</v>
      </c>
      <c r="CU341" s="250">
        <f>INDEX(연료전지_원본!$KB$4:$KX$369,MATCH($A341,연료전지_원본!$KB$4:$KB$369,0), MATCH(CU$4,연료전지_원본!$KB$4:$KX$4,0))*1000</f>
        <v>0</v>
      </c>
      <c r="CV341" s="250">
        <f>INDEX(연료전지_원본!$KB$4:$KX$369,MATCH($A341,연료전지_원본!$KB$4:$KB$369,0), MATCH(CV$4,연료전지_원본!$KB$4:$KX$4,0))*1000</f>
        <v>0</v>
      </c>
      <c r="CW341" s="250">
        <f>INDEX(연료전지_원본!$KB$4:$KX$369,MATCH($A341,연료전지_원본!$KB$4:$KB$369,0), MATCH(CW$4,연료전지_원본!$KB$4:$KX$4,0))*1000</f>
        <v>0</v>
      </c>
      <c r="CX341" s="250">
        <f>INDEX(연료전지_원본!$KB$4:$KX$369,MATCH($A341,연료전지_원본!$KB$4:$KB$369,0), MATCH(CX$4,연료전지_원본!$KB$4:$KX$4,0))*1000</f>
        <v>0</v>
      </c>
      <c r="CY341" s="250">
        <f>INDEX(연료전지_원본!$KB$4:$KX$369,MATCH($A341,연료전지_원본!$KB$4:$KB$369,0), MATCH(CY$4,연료전지_원본!$KB$4:$KX$4,0))*1000</f>
        <v>0</v>
      </c>
      <c r="DV341" s="30">
        <f t="shared" si="1616"/>
        <v>0</v>
      </c>
    </row>
    <row r="342" spans="1:126">
      <c r="A342" s="6">
        <v>46359</v>
      </c>
      <c r="B342" s="15">
        <f>운전실적_원본!B342</f>
        <v>0</v>
      </c>
      <c r="C342" s="16" t="str">
        <f t="shared" si="1622"/>
        <v/>
      </c>
      <c r="D342" s="12">
        <f>운전실적_원본!C342</f>
        <v>0</v>
      </c>
      <c r="E342" s="12" t="str">
        <f t="shared" si="1623"/>
        <v/>
      </c>
      <c r="F342" s="12">
        <f>운전실적_원본!D342</f>
        <v>0</v>
      </c>
      <c r="G342" s="16" t="str">
        <f t="shared" si="1624"/>
        <v/>
      </c>
      <c r="H342" s="15">
        <f>운전실적_원본!E342</f>
        <v>0</v>
      </c>
      <c r="I342" s="16" t="str">
        <f t="shared" si="1625"/>
        <v/>
      </c>
      <c r="J342" s="15">
        <f>운전실적_원본!F342</f>
        <v>0</v>
      </c>
      <c r="K342" s="16" t="str">
        <f t="shared" si="1625"/>
        <v/>
      </c>
      <c r="L342" s="32">
        <f>운전실적_원본!G342</f>
        <v>0</v>
      </c>
      <c r="M342" s="31" t="str">
        <f t="shared" ref="M342" si="1862">IF(OR(LEN(L342)=0,L342=0),"",L342-L341)</f>
        <v/>
      </c>
      <c r="N342" s="15">
        <f>운전실적_원본!H342</f>
        <v>0</v>
      </c>
      <c r="O342" s="16" t="str">
        <f t="shared" ref="O342" si="1863">IF(OR(LEN(N342)=0,N342=0),"",N342-N341)</f>
        <v/>
      </c>
      <c r="P342" s="15">
        <f>운전실적_원본!I342</f>
        <v>0</v>
      </c>
      <c r="Q342" s="16" t="str">
        <f t="shared" ref="Q342" si="1864">IF(OR(LEN(P342)=0,P342=0),"",P342-P341)</f>
        <v/>
      </c>
      <c r="R342" s="18">
        <f>운전실적_원본!J342</f>
        <v>0</v>
      </c>
      <c r="S342" s="19" t="str">
        <f t="shared" ref="S342" si="1865">IF(OR(LEN(R342)=0,R342=0),"",R342-R341)</f>
        <v/>
      </c>
      <c r="T342" s="18">
        <f>운전실적_원본!K342</f>
        <v>0</v>
      </c>
      <c r="U342" s="19" t="str">
        <f t="shared" si="1630"/>
        <v/>
      </c>
      <c r="V342" s="12">
        <f>운전실적_원본!L342</f>
        <v>0</v>
      </c>
      <c r="W342" s="16" t="str">
        <f t="shared" ref="W342" si="1866">IF(OR(LEN(V342)=0,V342=0),"",V342-V341)</f>
        <v/>
      </c>
      <c r="X342" s="10">
        <f>운전실적_원본!M342</f>
        <v>0</v>
      </c>
      <c r="Y342" s="10">
        <f>운전실적_원본!N342</f>
        <v>0</v>
      </c>
      <c r="Z342" s="10">
        <f>운전실적_원본!O342</f>
        <v>0</v>
      </c>
      <c r="AA342" s="10">
        <f>운전실적_원본!P342</f>
        <v>0</v>
      </c>
      <c r="AB342" s="10">
        <f>운전실적_원본!Q342</f>
        <v>0</v>
      </c>
      <c r="AC342" s="20">
        <f>운전실적_원본!R342</f>
        <v>0</v>
      </c>
      <c r="AD342" s="109">
        <f>운전실적_원본!S342</f>
        <v>0</v>
      </c>
      <c r="AE342" s="110">
        <f>운전실적_원본!T342</f>
        <v>0</v>
      </c>
      <c r="AF342" s="110">
        <f>운전실적_원본!U342</f>
        <v>0</v>
      </c>
      <c r="AG342" s="110">
        <f>운전실적_원본!V342</f>
        <v>0</v>
      </c>
      <c r="AH342" s="109">
        <f t="shared" si="1784"/>
        <v>0</v>
      </c>
      <c r="AI342" s="110">
        <f t="shared" si="1791"/>
        <v>0</v>
      </c>
      <c r="AJ342" s="110">
        <f>운전실적_원본!Y342</f>
        <v>0</v>
      </c>
      <c r="AK342" s="110">
        <f>운전실적_원본!Z342</f>
        <v>0</v>
      </c>
      <c r="AL342" s="106"/>
      <c r="AM342" s="105"/>
      <c r="AN342" s="105"/>
      <c r="AO342" s="105"/>
      <c r="AP342" s="105"/>
      <c r="AQ342" s="108"/>
      <c r="AR342" s="105"/>
      <c r="AS342" s="105"/>
      <c r="AT342" s="102"/>
      <c r="AU342" s="102"/>
      <c r="AV342" s="102"/>
      <c r="AW342" s="102"/>
      <c r="AX342" s="32">
        <f>운전실적_원본!W342</f>
        <v>0</v>
      </c>
      <c r="AY342" s="11">
        <f>운전실적_원본!X342</f>
        <v>0</v>
      </c>
      <c r="AZ342" s="11">
        <f>운전실적_원본!Y342</f>
        <v>0</v>
      </c>
      <c r="BA342" s="11">
        <f>운전실적_원본!Z342</f>
        <v>0</v>
      </c>
      <c r="BB342" s="11">
        <f>운전실적_원본!AA342</f>
        <v>0</v>
      </c>
      <c r="BC342" s="11">
        <f>운전실적_원본!AB342</f>
        <v>0</v>
      </c>
      <c r="BD342" s="32" t="str">
        <f t="shared" si="1777"/>
        <v>-</v>
      </c>
      <c r="BE342" s="11" t="str">
        <f t="shared" si="1785"/>
        <v>-</v>
      </c>
      <c r="BF342" s="11">
        <f>운전실적_원본!AE342</f>
        <v>0</v>
      </c>
      <c r="BG342" s="31">
        <f t="shared" si="1778"/>
        <v>0</v>
      </c>
      <c r="BH342" s="241">
        <f>INDEX(연료전지_원본!$A$4:$KY$369,MATCH($A342,연료전지_원본!$A$4:$A$369,0),MATCH($BH$4,연료전지_원본!$A$4:$KY$4,0))</f>
        <v>0</v>
      </c>
      <c r="BI342" s="241">
        <f>INDEX(연료전지_원본!$A$4:$KY$369,MATCH($A342,연료전지_원본!$A$4:$A$369,0),MATCH($BI$4,연료전지_원본!$A$4:$KY$4,0))</f>
        <v>0</v>
      </c>
      <c r="BJ342" s="241">
        <f>INDEX(연료전지_원본!$A$4:$KY$369,MATCH($A342,연료전지_원본!$A$4:$A$369,0),MATCH($BJ$4,연료전지_원본!$A$4:$KY$4,0))</f>
        <v>0</v>
      </c>
      <c r="BK342" s="241">
        <f>INDEX(연료전지_원본!$A$4:$KY$369,MATCH($A342,연료전지_원본!$A$4:$A$369,0),MATCH($BK$4,연료전지_원본!$A$4:$KY$4,0))</f>
        <v>0</v>
      </c>
      <c r="BL342" s="241">
        <f>INDEX(연료전지_원본!$A$4:$KY$369,MATCH($A342,연료전지_원본!$A$4:$A$369,0),MATCH($BL$4,연료전지_원본!$A$4:$KY$4,0))</f>
        <v>0</v>
      </c>
      <c r="BM342" s="241">
        <f>INDEX(연료전지_원본!$A$4:$KY$369,MATCH($A342,연료전지_원본!$A$4:$A$369,0),MATCH($BM$4,연료전지_원본!$A$4:$KY$4,0))</f>
        <v>0</v>
      </c>
      <c r="BN342" s="241">
        <f>INDEX(연료전지_원본!$A$4:$KY$369,MATCH($A342,연료전지_원본!$A$4:$A$369,0),MATCH($BN$4,연료전지_원본!$A$4:$KY$4,0))</f>
        <v>0</v>
      </c>
      <c r="BO342" s="241">
        <f>INDEX(연료전지_원본!$A$4:$KY$369,MATCH($A342,연료전지_원본!$A$4:$A$369,0),MATCH($BO$4,연료전지_원본!$A$4:$KY$4,0))</f>
        <v>0</v>
      </c>
      <c r="BP342" s="241">
        <f>INDEX(연료전지_원본!$A$4:$KY$369,MATCH($A342,연료전지_원본!$A$4:$A$369,0),MATCH($BP$4,연료전지_원본!$A$4:$KY$4,0))</f>
        <v>0</v>
      </c>
      <c r="BQ342" s="241">
        <f>INDEX(연료전지_원본!$A$4:$KY$369,MATCH($A342,연료전지_원본!$A$4:$A$369,0),MATCH($BQ$4,연료전지_원본!$A$4:$KY$4,0))</f>
        <v>0</v>
      </c>
      <c r="BR342" s="241">
        <f>INDEX(연료전지_원본!$A$4:$KY$369,MATCH($A342,연료전지_원본!$A$4:$A$369,0),MATCH($BR$4,연료전지_원본!$A$4:$KY$4,0))</f>
        <v>0</v>
      </c>
      <c r="BS342" s="241">
        <f>INDEX(연료전지_원본!$A$4:$KY$369,MATCH($A342,연료전지_원본!$A$4:$A$369,0),MATCH($BS$4,연료전지_원본!$A$4:$KY$4,0))</f>
        <v>0</v>
      </c>
      <c r="BT342" s="241">
        <f>INDEX(연료전지_원본!$A$4:$KY$369,MATCH($A342,연료전지_원본!$A$4:$A$369,0),MATCH($BT$4,연료전지_원본!$A$4:$KY$4,0))</f>
        <v>0</v>
      </c>
      <c r="BU342" s="241">
        <f>INDEX(연료전지_원본!$A$4:$KY$369,MATCH($A342,연료전지_원본!$A$4:$A$369,0),MATCH($BU$4,연료전지_원본!$A$4:$KY$4,0))</f>
        <v>0</v>
      </c>
      <c r="BV342" s="241">
        <f>INDEX(연료전지_원본!$A$4:$KY$369,MATCH($A342,연료전지_원본!$A$4:$A$369,0),MATCH($BV$4,연료전지_원본!$A$4:$KY$4,0))</f>
        <v>0</v>
      </c>
      <c r="BW342" s="241">
        <f>INDEX(연료전지_원본!$A$4:$KY$369,MATCH($A342,연료전지_원본!$A$4:$A$369,0),MATCH($BW$4,연료전지_원본!$A$4:$KY$4,0))</f>
        <v>0</v>
      </c>
      <c r="BX342" s="241">
        <f>INDEX(연료전지_원본!$A$4:$KY$369,MATCH($A342,연료전지_원본!$A$4:$A$369,0),MATCH($BX$4,연료전지_원본!$A$4:$KY$4,0))</f>
        <v>0</v>
      </c>
      <c r="BY342" s="241">
        <f>INDEX(연료전지_원본!$A$4:$KY$369,MATCH($A342,연료전지_원본!$A$4:$A$369,0),MATCH($BY$4,연료전지_원본!$A$4:$KY$4,0))</f>
        <v>0</v>
      </c>
      <c r="BZ342" s="241">
        <f>INDEX(연료전지_원본!$A$4:$KY$369,MATCH($A342,연료전지_원본!$A$4:$A$369,0),MATCH($BZ$4,연료전지_원본!$A$4:$KY$4,0))</f>
        <v>0</v>
      </c>
      <c r="CA342" s="241">
        <f>INDEX(연료전지_원본!$A$4:$KY$369,MATCH($A342,연료전지_원본!$A$4:$A$369,0),MATCH($CA$4,연료전지_원본!$A$4:$KY$4,0))</f>
        <v>0</v>
      </c>
      <c r="CB342" s="241">
        <f>INDEX(연료전지_원본!$A$4:$KY$369,MATCH($A342,연료전지_원본!$A$4:$A$369,0),MATCH($CB$4,연료전지_원본!$A$4:$KY$4,0))</f>
        <v>0</v>
      </c>
      <c r="CC342" s="242">
        <f>INDEX(연료전지_원본!$A$4:$KY$369,MATCH($A342,연료전지_원본!$A$4:$A$369,0),MATCH($CC$4,연료전지_원본!$A$4:$KY$4,0))</f>
        <v>0</v>
      </c>
      <c r="CD342" s="250">
        <f>INDEX(연료전지_원본!$KB$4:$KX$369,MATCH($A342,연료전지_원본!$KB$4:$KB$369,0), MATCH(CD$4,연료전지_원본!$KB$4:$KX$4,0))*1000</f>
        <v>0</v>
      </c>
      <c r="CE342" s="250">
        <f>INDEX(연료전지_원본!$KB$4:$KX$369,MATCH($A342,연료전지_원본!$KB$4:$KB$369,0), MATCH(CE$4,연료전지_원본!$KB$4:$KX$4,0))*1000</f>
        <v>0</v>
      </c>
      <c r="CF342" s="250">
        <f>INDEX(연료전지_원본!$KB$4:$KX$369,MATCH($A342,연료전지_원본!$KB$4:$KB$369,0), MATCH(CF$4,연료전지_원본!$KB$4:$KX$4,0))*1000</f>
        <v>0</v>
      </c>
      <c r="CG342" s="250">
        <f>INDEX(연료전지_원본!$KB$4:$KX$369,MATCH($A342,연료전지_원본!$KB$4:$KB$369,0), MATCH(CG$4,연료전지_원본!$KB$4:$KX$4,0))*1000</f>
        <v>0</v>
      </c>
      <c r="CH342" s="250">
        <f>INDEX(연료전지_원본!$KB$4:$KX$369,MATCH($A342,연료전지_원본!$KB$4:$KB$369,0), MATCH(CH$4,연료전지_원본!$KB$4:$KX$4,0))*1000</f>
        <v>0</v>
      </c>
      <c r="CI342" s="250">
        <f>INDEX(연료전지_원본!$KB$4:$KX$369,MATCH($A342,연료전지_원본!$KB$4:$KB$369,0), MATCH(CI$4,연료전지_원본!$KB$4:$KX$4,0))*1000</f>
        <v>0</v>
      </c>
      <c r="CJ342" s="250">
        <f>INDEX(연료전지_원본!$KB$4:$KX$369,MATCH($A342,연료전지_원본!$KB$4:$KB$369,0), MATCH(CJ$4,연료전지_원본!$KB$4:$KX$4,0))*1000</f>
        <v>0</v>
      </c>
      <c r="CK342" s="250">
        <f>INDEX(연료전지_원본!$KB$4:$KX$369,MATCH($A342,연료전지_원본!$KB$4:$KB$369,0), MATCH(CK$4,연료전지_원본!$KB$4:$KX$4,0))*1000</f>
        <v>0</v>
      </c>
      <c r="CL342" s="250">
        <f>INDEX(연료전지_원본!$KB$4:$KX$369,MATCH($A342,연료전지_원본!$KB$4:$KB$369,0), MATCH(CL$4,연료전지_원본!$KB$4:$KX$4,0))*1000</f>
        <v>0</v>
      </c>
      <c r="CM342" s="250">
        <f>INDEX(연료전지_원본!$KB$4:$KX$369,MATCH($A342,연료전지_원본!$KB$4:$KB$369,0), MATCH(CM$4,연료전지_원본!$KB$4:$KX$4,0))*1000</f>
        <v>0</v>
      </c>
      <c r="CN342" s="250">
        <f>INDEX(연료전지_원본!$KB$4:$KX$369,MATCH($A342,연료전지_원본!$KB$4:$KB$369,0), MATCH(CN$4,연료전지_원본!$KB$4:$KX$4,0))*1000</f>
        <v>0</v>
      </c>
      <c r="CO342" s="250">
        <f>INDEX(연료전지_원본!$KB$4:$KX$369,MATCH($A342,연료전지_원본!$KB$4:$KB$369,0), MATCH(CO$4,연료전지_원본!$KB$4:$KX$4,0))*1000</f>
        <v>0</v>
      </c>
      <c r="CP342" s="250">
        <f>INDEX(연료전지_원본!$KB$4:$KX$369,MATCH($A342,연료전지_원본!$KB$4:$KB$369,0), MATCH(CP$4,연료전지_원본!$KB$4:$KX$4,0))*1000</f>
        <v>0</v>
      </c>
      <c r="CQ342" s="250">
        <f>INDEX(연료전지_원본!$KB$4:$KX$369,MATCH($A342,연료전지_원본!$KB$4:$KB$369,0), MATCH(CQ$4,연료전지_원본!$KB$4:$KX$4,0))*1000</f>
        <v>0</v>
      </c>
      <c r="CR342" s="250">
        <f>INDEX(연료전지_원본!$KB$4:$KX$369,MATCH($A342,연료전지_원본!$KB$4:$KB$369,0), MATCH(CR$4,연료전지_원본!$KB$4:$KX$4,0))*1000</f>
        <v>0</v>
      </c>
      <c r="CS342" s="250">
        <f>INDEX(연료전지_원본!$KB$4:$KX$369,MATCH($A342,연료전지_원본!$KB$4:$KB$369,0), MATCH(CS$4,연료전지_원본!$KB$4:$KX$4,0))*1000</f>
        <v>0</v>
      </c>
      <c r="CT342" s="250">
        <f>INDEX(연료전지_원본!$KB$4:$KX$369,MATCH($A342,연료전지_원본!$KB$4:$KB$369,0), MATCH(CT$4,연료전지_원본!$KB$4:$KX$4,0))*1000</f>
        <v>0</v>
      </c>
      <c r="CU342" s="250">
        <f>INDEX(연료전지_원본!$KB$4:$KX$369,MATCH($A342,연료전지_원본!$KB$4:$KB$369,0), MATCH(CU$4,연료전지_원본!$KB$4:$KX$4,0))*1000</f>
        <v>0</v>
      </c>
      <c r="CV342" s="250">
        <f>INDEX(연료전지_원본!$KB$4:$KX$369,MATCH($A342,연료전지_원본!$KB$4:$KB$369,0), MATCH(CV$4,연료전지_원본!$KB$4:$KX$4,0))*1000</f>
        <v>0</v>
      </c>
      <c r="CW342" s="250">
        <f>INDEX(연료전지_원본!$KB$4:$KX$369,MATCH($A342,연료전지_원본!$KB$4:$KB$369,0), MATCH(CW$4,연료전지_원본!$KB$4:$KX$4,0))*1000</f>
        <v>0</v>
      </c>
      <c r="CX342" s="250">
        <f>INDEX(연료전지_원본!$KB$4:$KX$369,MATCH($A342,연료전지_원본!$KB$4:$KB$369,0), MATCH(CX$4,연료전지_원본!$KB$4:$KX$4,0))*1000</f>
        <v>0</v>
      </c>
      <c r="CY342" s="250">
        <f>INDEX(연료전지_원본!$KB$4:$KX$369,MATCH($A342,연료전지_원본!$KB$4:$KB$369,0), MATCH(CY$4,연료전지_원본!$KB$4:$KX$4,0))*1000</f>
        <v>0</v>
      </c>
      <c r="DV342" s="30">
        <f t="shared" si="1616"/>
        <v>0</v>
      </c>
    </row>
    <row r="343" spans="1:126">
      <c r="A343" s="6">
        <v>46360</v>
      </c>
      <c r="B343" s="15">
        <f>운전실적_원본!B343</f>
        <v>0</v>
      </c>
      <c r="C343" s="16" t="str">
        <f t="shared" si="1622"/>
        <v/>
      </c>
      <c r="D343" s="12">
        <f>운전실적_원본!C343</f>
        <v>0</v>
      </c>
      <c r="E343" s="12" t="str">
        <f t="shared" si="1623"/>
        <v/>
      </c>
      <c r="F343" s="12">
        <f>운전실적_원본!D343</f>
        <v>0</v>
      </c>
      <c r="G343" s="16" t="str">
        <f t="shared" si="1624"/>
        <v/>
      </c>
      <c r="H343" s="15">
        <f>운전실적_원본!E343</f>
        <v>0</v>
      </c>
      <c r="I343" s="16" t="str">
        <f t="shared" si="1625"/>
        <v/>
      </c>
      <c r="J343" s="15">
        <f>운전실적_원본!F343</f>
        <v>0</v>
      </c>
      <c r="K343" s="16" t="str">
        <f t="shared" si="1625"/>
        <v/>
      </c>
      <c r="L343" s="32">
        <f>운전실적_원본!G343</f>
        <v>0</v>
      </c>
      <c r="M343" s="31" t="str">
        <f t="shared" ref="M343" si="1867">IF(OR(LEN(L343)=0,L343=0),"",L343-L342)</f>
        <v/>
      </c>
      <c r="N343" s="15">
        <f>운전실적_원본!H343</f>
        <v>0</v>
      </c>
      <c r="O343" s="16" t="str">
        <f t="shared" ref="O343" si="1868">IF(OR(LEN(N343)=0,N343=0),"",N343-N342)</f>
        <v/>
      </c>
      <c r="P343" s="15">
        <f>운전실적_원본!I343</f>
        <v>0</v>
      </c>
      <c r="Q343" s="16" t="str">
        <f t="shared" ref="Q343" si="1869">IF(OR(LEN(P343)=0,P343=0),"",P343-P342)</f>
        <v/>
      </c>
      <c r="R343" s="18">
        <f>운전실적_원본!J343</f>
        <v>0</v>
      </c>
      <c r="S343" s="19" t="str">
        <f t="shared" ref="S343" si="1870">IF(OR(LEN(R343)=0,R343=0),"",R343-R342)</f>
        <v/>
      </c>
      <c r="T343" s="18">
        <f>운전실적_원본!K343</f>
        <v>0</v>
      </c>
      <c r="U343" s="19" t="str">
        <f t="shared" si="1630"/>
        <v/>
      </c>
      <c r="V343" s="12">
        <f>운전실적_원본!L343</f>
        <v>0</v>
      </c>
      <c r="W343" s="16" t="str">
        <f t="shared" ref="W343" si="1871">IF(OR(LEN(V343)=0,V343=0),"",V343-V342)</f>
        <v/>
      </c>
      <c r="X343" s="10">
        <f>운전실적_원본!M343</f>
        <v>0</v>
      </c>
      <c r="Y343" s="10">
        <f>운전실적_원본!N343</f>
        <v>0</v>
      </c>
      <c r="Z343" s="10">
        <f>운전실적_원본!O343</f>
        <v>0</v>
      </c>
      <c r="AA343" s="10">
        <f>운전실적_원본!P343</f>
        <v>0</v>
      </c>
      <c r="AB343" s="10">
        <f>운전실적_원본!Q343</f>
        <v>0</v>
      </c>
      <c r="AC343" s="20">
        <f>운전실적_원본!R343</f>
        <v>0</v>
      </c>
      <c r="AD343" s="109">
        <f>운전실적_원본!S343</f>
        <v>0</v>
      </c>
      <c r="AE343" s="110">
        <f>운전실적_원본!T343</f>
        <v>0</v>
      </c>
      <c r="AF343" s="110">
        <f>운전실적_원본!U343</f>
        <v>0</v>
      </c>
      <c r="AG343" s="110">
        <f>운전실적_원본!V343</f>
        <v>0</v>
      </c>
      <c r="AH343" s="109">
        <f t="shared" si="1784"/>
        <v>0</v>
      </c>
      <c r="AI343" s="110">
        <f t="shared" si="1791"/>
        <v>0</v>
      </c>
      <c r="AJ343" s="110">
        <f>운전실적_원본!Y343</f>
        <v>0</v>
      </c>
      <c r="AK343" s="110">
        <f>운전실적_원본!Z343</f>
        <v>0</v>
      </c>
      <c r="AL343" s="106"/>
      <c r="AM343" s="105"/>
      <c r="AN343" s="105"/>
      <c r="AO343" s="105"/>
      <c r="AP343" s="105"/>
      <c r="AQ343" s="108"/>
      <c r="AR343" s="105"/>
      <c r="AS343" s="105"/>
      <c r="AT343" s="102"/>
      <c r="AU343" s="102"/>
      <c r="AV343" s="102"/>
      <c r="AW343" s="102"/>
      <c r="AX343" s="32">
        <f>운전실적_원본!W343</f>
        <v>0</v>
      </c>
      <c r="AY343" s="11">
        <f>운전실적_원본!X343</f>
        <v>0</v>
      </c>
      <c r="AZ343" s="11">
        <f>운전실적_원본!Y343</f>
        <v>0</v>
      </c>
      <c r="BA343" s="11">
        <f>운전실적_원본!Z343</f>
        <v>0</v>
      </c>
      <c r="BB343" s="11">
        <f>운전실적_원본!AA343</f>
        <v>0</v>
      </c>
      <c r="BC343" s="11">
        <f>운전실적_원본!AB343</f>
        <v>0</v>
      </c>
      <c r="BD343" s="32" t="str">
        <f t="shared" si="1777"/>
        <v>-</v>
      </c>
      <c r="BE343" s="11" t="str">
        <f t="shared" si="1785"/>
        <v>-</v>
      </c>
      <c r="BF343" s="11">
        <f>운전실적_원본!AE343</f>
        <v>0</v>
      </c>
      <c r="BG343" s="31">
        <f t="shared" si="1778"/>
        <v>0</v>
      </c>
      <c r="BH343" s="241">
        <f>INDEX(연료전지_원본!$A$4:$KY$369,MATCH($A343,연료전지_원본!$A$4:$A$369,0),MATCH($BH$4,연료전지_원본!$A$4:$KY$4,0))</f>
        <v>0</v>
      </c>
      <c r="BI343" s="241">
        <f>INDEX(연료전지_원본!$A$4:$KY$369,MATCH($A343,연료전지_원본!$A$4:$A$369,0),MATCH($BI$4,연료전지_원본!$A$4:$KY$4,0))</f>
        <v>0</v>
      </c>
      <c r="BJ343" s="241">
        <f>INDEX(연료전지_원본!$A$4:$KY$369,MATCH($A343,연료전지_원본!$A$4:$A$369,0),MATCH($BJ$4,연료전지_원본!$A$4:$KY$4,0))</f>
        <v>0</v>
      </c>
      <c r="BK343" s="241">
        <f>INDEX(연료전지_원본!$A$4:$KY$369,MATCH($A343,연료전지_원본!$A$4:$A$369,0),MATCH($BK$4,연료전지_원본!$A$4:$KY$4,0))</f>
        <v>0</v>
      </c>
      <c r="BL343" s="241">
        <f>INDEX(연료전지_원본!$A$4:$KY$369,MATCH($A343,연료전지_원본!$A$4:$A$369,0),MATCH($BL$4,연료전지_원본!$A$4:$KY$4,0))</f>
        <v>0</v>
      </c>
      <c r="BM343" s="241">
        <f>INDEX(연료전지_원본!$A$4:$KY$369,MATCH($A343,연료전지_원본!$A$4:$A$369,0),MATCH($BM$4,연료전지_원본!$A$4:$KY$4,0))</f>
        <v>0</v>
      </c>
      <c r="BN343" s="241">
        <f>INDEX(연료전지_원본!$A$4:$KY$369,MATCH($A343,연료전지_원본!$A$4:$A$369,0),MATCH($BN$4,연료전지_원본!$A$4:$KY$4,0))</f>
        <v>0</v>
      </c>
      <c r="BO343" s="241">
        <f>INDEX(연료전지_원본!$A$4:$KY$369,MATCH($A343,연료전지_원본!$A$4:$A$369,0),MATCH($BO$4,연료전지_원본!$A$4:$KY$4,0))</f>
        <v>0</v>
      </c>
      <c r="BP343" s="241">
        <f>INDEX(연료전지_원본!$A$4:$KY$369,MATCH($A343,연료전지_원본!$A$4:$A$369,0),MATCH($BP$4,연료전지_원본!$A$4:$KY$4,0))</f>
        <v>0</v>
      </c>
      <c r="BQ343" s="241">
        <f>INDEX(연료전지_원본!$A$4:$KY$369,MATCH($A343,연료전지_원본!$A$4:$A$369,0),MATCH($BQ$4,연료전지_원본!$A$4:$KY$4,0))</f>
        <v>0</v>
      </c>
      <c r="BR343" s="241">
        <f>INDEX(연료전지_원본!$A$4:$KY$369,MATCH($A343,연료전지_원본!$A$4:$A$369,0),MATCH($BR$4,연료전지_원본!$A$4:$KY$4,0))</f>
        <v>0</v>
      </c>
      <c r="BS343" s="241">
        <f>INDEX(연료전지_원본!$A$4:$KY$369,MATCH($A343,연료전지_원본!$A$4:$A$369,0),MATCH($BS$4,연료전지_원본!$A$4:$KY$4,0))</f>
        <v>0</v>
      </c>
      <c r="BT343" s="241">
        <f>INDEX(연료전지_원본!$A$4:$KY$369,MATCH($A343,연료전지_원본!$A$4:$A$369,0),MATCH($BT$4,연료전지_원본!$A$4:$KY$4,0))</f>
        <v>0</v>
      </c>
      <c r="BU343" s="241">
        <f>INDEX(연료전지_원본!$A$4:$KY$369,MATCH($A343,연료전지_원본!$A$4:$A$369,0),MATCH($BU$4,연료전지_원본!$A$4:$KY$4,0))</f>
        <v>0</v>
      </c>
      <c r="BV343" s="241">
        <f>INDEX(연료전지_원본!$A$4:$KY$369,MATCH($A343,연료전지_원본!$A$4:$A$369,0),MATCH($BV$4,연료전지_원본!$A$4:$KY$4,0))</f>
        <v>0</v>
      </c>
      <c r="BW343" s="241">
        <f>INDEX(연료전지_원본!$A$4:$KY$369,MATCH($A343,연료전지_원본!$A$4:$A$369,0),MATCH($BW$4,연료전지_원본!$A$4:$KY$4,0))</f>
        <v>0</v>
      </c>
      <c r="BX343" s="241">
        <f>INDEX(연료전지_원본!$A$4:$KY$369,MATCH($A343,연료전지_원본!$A$4:$A$369,0),MATCH($BX$4,연료전지_원본!$A$4:$KY$4,0))</f>
        <v>0</v>
      </c>
      <c r="BY343" s="241">
        <f>INDEX(연료전지_원본!$A$4:$KY$369,MATCH($A343,연료전지_원본!$A$4:$A$369,0),MATCH($BY$4,연료전지_원본!$A$4:$KY$4,0))</f>
        <v>0</v>
      </c>
      <c r="BZ343" s="241">
        <f>INDEX(연료전지_원본!$A$4:$KY$369,MATCH($A343,연료전지_원본!$A$4:$A$369,0),MATCH($BZ$4,연료전지_원본!$A$4:$KY$4,0))</f>
        <v>0</v>
      </c>
      <c r="CA343" s="241">
        <f>INDEX(연료전지_원본!$A$4:$KY$369,MATCH($A343,연료전지_원본!$A$4:$A$369,0),MATCH($CA$4,연료전지_원본!$A$4:$KY$4,0))</f>
        <v>0</v>
      </c>
      <c r="CB343" s="241">
        <f>INDEX(연료전지_원본!$A$4:$KY$369,MATCH($A343,연료전지_원본!$A$4:$A$369,0),MATCH($CB$4,연료전지_원본!$A$4:$KY$4,0))</f>
        <v>0</v>
      </c>
      <c r="CC343" s="242">
        <f>INDEX(연료전지_원본!$A$4:$KY$369,MATCH($A343,연료전지_원본!$A$4:$A$369,0),MATCH($CC$4,연료전지_원본!$A$4:$KY$4,0))</f>
        <v>0</v>
      </c>
      <c r="CD343" s="250">
        <f>INDEX(연료전지_원본!$KB$4:$KX$369,MATCH($A343,연료전지_원본!$KB$4:$KB$369,0), MATCH(CD$4,연료전지_원본!$KB$4:$KX$4,0))*1000</f>
        <v>0</v>
      </c>
      <c r="CE343" s="250">
        <f>INDEX(연료전지_원본!$KB$4:$KX$369,MATCH($A343,연료전지_원본!$KB$4:$KB$369,0), MATCH(CE$4,연료전지_원본!$KB$4:$KX$4,0))*1000</f>
        <v>0</v>
      </c>
      <c r="CF343" s="250">
        <f>INDEX(연료전지_원본!$KB$4:$KX$369,MATCH($A343,연료전지_원본!$KB$4:$KB$369,0), MATCH(CF$4,연료전지_원본!$KB$4:$KX$4,0))*1000</f>
        <v>0</v>
      </c>
      <c r="CG343" s="250">
        <f>INDEX(연료전지_원본!$KB$4:$KX$369,MATCH($A343,연료전지_원본!$KB$4:$KB$369,0), MATCH(CG$4,연료전지_원본!$KB$4:$KX$4,0))*1000</f>
        <v>0</v>
      </c>
      <c r="CH343" s="250">
        <f>INDEX(연료전지_원본!$KB$4:$KX$369,MATCH($A343,연료전지_원본!$KB$4:$KB$369,0), MATCH(CH$4,연료전지_원본!$KB$4:$KX$4,0))*1000</f>
        <v>0</v>
      </c>
      <c r="CI343" s="250">
        <f>INDEX(연료전지_원본!$KB$4:$KX$369,MATCH($A343,연료전지_원본!$KB$4:$KB$369,0), MATCH(CI$4,연료전지_원본!$KB$4:$KX$4,0))*1000</f>
        <v>0</v>
      </c>
      <c r="CJ343" s="250">
        <f>INDEX(연료전지_원본!$KB$4:$KX$369,MATCH($A343,연료전지_원본!$KB$4:$KB$369,0), MATCH(CJ$4,연료전지_원본!$KB$4:$KX$4,0))*1000</f>
        <v>0</v>
      </c>
      <c r="CK343" s="250">
        <f>INDEX(연료전지_원본!$KB$4:$KX$369,MATCH($A343,연료전지_원본!$KB$4:$KB$369,0), MATCH(CK$4,연료전지_원본!$KB$4:$KX$4,0))*1000</f>
        <v>0</v>
      </c>
      <c r="CL343" s="250">
        <f>INDEX(연료전지_원본!$KB$4:$KX$369,MATCH($A343,연료전지_원본!$KB$4:$KB$369,0), MATCH(CL$4,연료전지_원본!$KB$4:$KX$4,0))*1000</f>
        <v>0</v>
      </c>
      <c r="CM343" s="250">
        <f>INDEX(연료전지_원본!$KB$4:$KX$369,MATCH($A343,연료전지_원본!$KB$4:$KB$369,0), MATCH(CM$4,연료전지_원본!$KB$4:$KX$4,0))*1000</f>
        <v>0</v>
      </c>
      <c r="CN343" s="250">
        <f>INDEX(연료전지_원본!$KB$4:$KX$369,MATCH($A343,연료전지_원본!$KB$4:$KB$369,0), MATCH(CN$4,연료전지_원본!$KB$4:$KX$4,0))*1000</f>
        <v>0</v>
      </c>
      <c r="CO343" s="250">
        <f>INDEX(연료전지_원본!$KB$4:$KX$369,MATCH($A343,연료전지_원본!$KB$4:$KB$369,0), MATCH(CO$4,연료전지_원본!$KB$4:$KX$4,0))*1000</f>
        <v>0</v>
      </c>
      <c r="CP343" s="250">
        <f>INDEX(연료전지_원본!$KB$4:$KX$369,MATCH($A343,연료전지_원본!$KB$4:$KB$369,0), MATCH(CP$4,연료전지_원본!$KB$4:$KX$4,0))*1000</f>
        <v>0</v>
      </c>
      <c r="CQ343" s="250">
        <f>INDEX(연료전지_원본!$KB$4:$KX$369,MATCH($A343,연료전지_원본!$KB$4:$KB$369,0), MATCH(CQ$4,연료전지_원본!$KB$4:$KX$4,0))*1000</f>
        <v>0</v>
      </c>
      <c r="CR343" s="250">
        <f>INDEX(연료전지_원본!$KB$4:$KX$369,MATCH($A343,연료전지_원본!$KB$4:$KB$369,0), MATCH(CR$4,연료전지_원본!$KB$4:$KX$4,0))*1000</f>
        <v>0</v>
      </c>
      <c r="CS343" s="250">
        <f>INDEX(연료전지_원본!$KB$4:$KX$369,MATCH($A343,연료전지_원본!$KB$4:$KB$369,0), MATCH(CS$4,연료전지_원본!$KB$4:$KX$4,0))*1000</f>
        <v>0</v>
      </c>
      <c r="CT343" s="250">
        <f>INDEX(연료전지_원본!$KB$4:$KX$369,MATCH($A343,연료전지_원본!$KB$4:$KB$369,0), MATCH(CT$4,연료전지_원본!$KB$4:$KX$4,0))*1000</f>
        <v>0</v>
      </c>
      <c r="CU343" s="250">
        <f>INDEX(연료전지_원본!$KB$4:$KX$369,MATCH($A343,연료전지_원본!$KB$4:$KB$369,0), MATCH(CU$4,연료전지_원본!$KB$4:$KX$4,0))*1000</f>
        <v>0</v>
      </c>
      <c r="CV343" s="250">
        <f>INDEX(연료전지_원본!$KB$4:$KX$369,MATCH($A343,연료전지_원본!$KB$4:$KB$369,0), MATCH(CV$4,연료전지_원본!$KB$4:$KX$4,0))*1000</f>
        <v>0</v>
      </c>
      <c r="CW343" s="250">
        <f>INDEX(연료전지_원본!$KB$4:$KX$369,MATCH($A343,연료전지_원본!$KB$4:$KB$369,0), MATCH(CW$4,연료전지_원본!$KB$4:$KX$4,0))*1000</f>
        <v>0</v>
      </c>
      <c r="CX343" s="250">
        <f>INDEX(연료전지_원본!$KB$4:$KX$369,MATCH($A343,연료전지_원본!$KB$4:$KB$369,0), MATCH(CX$4,연료전지_원본!$KB$4:$KX$4,0))*1000</f>
        <v>0</v>
      </c>
      <c r="CY343" s="250">
        <f>INDEX(연료전지_원본!$KB$4:$KX$369,MATCH($A343,연료전지_원본!$KB$4:$KB$369,0), MATCH(CY$4,연료전지_원본!$KB$4:$KX$4,0))*1000</f>
        <v>0</v>
      </c>
      <c r="DV343" s="30">
        <f t="shared" si="1616"/>
        <v>0</v>
      </c>
    </row>
    <row r="344" spans="1:126">
      <c r="A344" s="6">
        <v>46361</v>
      </c>
      <c r="B344" s="15">
        <f>운전실적_원본!B344</f>
        <v>0</v>
      </c>
      <c r="C344" s="16" t="str">
        <f t="shared" si="1622"/>
        <v/>
      </c>
      <c r="D344" s="12">
        <f>운전실적_원본!C344</f>
        <v>0</v>
      </c>
      <c r="E344" s="12" t="str">
        <f t="shared" si="1623"/>
        <v/>
      </c>
      <c r="F344" s="12">
        <f>운전실적_원본!D344</f>
        <v>0</v>
      </c>
      <c r="G344" s="16" t="str">
        <f t="shared" si="1624"/>
        <v/>
      </c>
      <c r="H344" s="15">
        <f>운전실적_원본!E344</f>
        <v>0</v>
      </c>
      <c r="I344" s="16" t="str">
        <f t="shared" si="1625"/>
        <v/>
      </c>
      <c r="J344" s="15">
        <f>운전실적_원본!F344</f>
        <v>0</v>
      </c>
      <c r="K344" s="16" t="str">
        <f t="shared" si="1625"/>
        <v/>
      </c>
      <c r="L344" s="32">
        <f>운전실적_원본!G344</f>
        <v>0</v>
      </c>
      <c r="M344" s="31" t="str">
        <f t="shared" ref="M344" si="1872">IF(OR(LEN(L344)=0,L344=0),"",L344-L343)</f>
        <v/>
      </c>
      <c r="N344" s="15">
        <f>운전실적_원본!H344</f>
        <v>0</v>
      </c>
      <c r="O344" s="16" t="str">
        <f t="shared" ref="O344" si="1873">IF(OR(LEN(N344)=0,N344=0),"",N344-N343)</f>
        <v/>
      </c>
      <c r="P344" s="15">
        <f>운전실적_원본!I344</f>
        <v>0</v>
      </c>
      <c r="Q344" s="16" t="str">
        <f t="shared" ref="Q344" si="1874">IF(OR(LEN(P344)=0,P344=0),"",P344-P343)</f>
        <v/>
      </c>
      <c r="R344" s="18">
        <f>운전실적_원본!J344</f>
        <v>0</v>
      </c>
      <c r="S344" s="19" t="str">
        <f t="shared" ref="S344" si="1875">IF(OR(LEN(R344)=0,R344=0),"",R344-R343)</f>
        <v/>
      </c>
      <c r="T344" s="18">
        <f>운전실적_원본!K344</f>
        <v>0</v>
      </c>
      <c r="U344" s="19" t="str">
        <f t="shared" si="1630"/>
        <v/>
      </c>
      <c r="V344" s="12">
        <f>운전실적_원본!L344</f>
        <v>0</v>
      </c>
      <c r="W344" s="16" t="str">
        <f t="shared" ref="W344" si="1876">IF(OR(LEN(V344)=0,V344=0),"",V344-V343)</f>
        <v/>
      </c>
      <c r="X344" s="10">
        <f>운전실적_원본!M344</f>
        <v>0</v>
      </c>
      <c r="Y344" s="10">
        <f>운전실적_원본!N344</f>
        <v>0</v>
      </c>
      <c r="Z344" s="10">
        <f>운전실적_원본!O344</f>
        <v>0</v>
      </c>
      <c r="AA344" s="10">
        <f>운전실적_원본!P344</f>
        <v>0</v>
      </c>
      <c r="AB344" s="10">
        <f>운전실적_원본!Q344</f>
        <v>0</v>
      </c>
      <c r="AC344" s="20">
        <f>운전실적_원본!R344</f>
        <v>0</v>
      </c>
      <c r="AD344" s="109">
        <f>운전실적_원본!S344</f>
        <v>0</v>
      </c>
      <c r="AE344" s="110">
        <f>운전실적_원본!T344</f>
        <v>0</v>
      </c>
      <c r="AF344" s="110">
        <f>운전실적_원본!U344</f>
        <v>0</v>
      </c>
      <c r="AG344" s="110">
        <f>운전실적_원본!V344</f>
        <v>0</v>
      </c>
      <c r="AH344" s="109">
        <f t="shared" si="1784"/>
        <v>0</v>
      </c>
      <c r="AI344" s="110">
        <f t="shared" si="1791"/>
        <v>0</v>
      </c>
      <c r="AJ344" s="110">
        <f>운전실적_원본!Y344</f>
        <v>0</v>
      </c>
      <c r="AK344" s="110">
        <f>운전실적_원본!Z344</f>
        <v>0</v>
      </c>
      <c r="AL344" s="106"/>
      <c r="AM344" s="105"/>
      <c r="AN344" s="105"/>
      <c r="AO344" s="105"/>
      <c r="AP344" s="105"/>
      <c r="AQ344" s="108"/>
      <c r="AR344" s="105"/>
      <c r="AS344" s="105"/>
      <c r="AT344" s="102"/>
      <c r="AU344" s="102"/>
      <c r="AV344" s="102"/>
      <c r="AW344" s="102"/>
      <c r="AX344" s="32">
        <f>운전실적_원본!W344</f>
        <v>0</v>
      </c>
      <c r="AY344" s="11">
        <f>운전실적_원본!X344</f>
        <v>0</v>
      </c>
      <c r="AZ344" s="11">
        <f>운전실적_원본!Y344</f>
        <v>0</v>
      </c>
      <c r="BA344" s="11">
        <f>운전실적_원본!Z344</f>
        <v>0</v>
      </c>
      <c r="BB344" s="11">
        <f>운전실적_원본!AA344</f>
        <v>0</v>
      </c>
      <c r="BC344" s="11">
        <f>운전실적_원본!AB344</f>
        <v>0</v>
      </c>
      <c r="BD344" s="32" t="str">
        <f t="shared" si="1777"/>
        <v>-</v>
      </c>
      <c r="BE344" s="11" t="str">
        <f t="shared" si="1785"/>
        <v>-</v>
      </c>
      <c r="BF344" s="11">
        <f>운전실적_원본!AE344</f>
        <v>0</v>
      </c>
      <c r="BG344" s="31">
        <f t="shared" si="1778"/>
        <v>0</v>
      </c>
      <c r="BH344" s="241">
        <f>INDEX(연료전지_원본!$A$4:$KY$369,MATCH($A344,연료전지_원본!$A$4:$A$369,0),MATCH($BH$4,연료전지_원본!$A$4:$KY$4,0))</f>
        <v>0</v>
      </c>
      <c r="BI344" s="241">
        <f>INDEX(연료전지_원본!$A$4:$KY$369,MATCH($A344,연료전지_원본!$A$4:$A$369,0),MATCH($BI$4,연료전지_원본!$A$4:$KY$4,0))</f>
        <v>0</v>
      </c>
      <c r="BJ344" s="241">
        <f>INDEX(연료전지_원본!$A$4:$KY$369,MATCH($A344,연료전지_원본!$A$4:$A$369,0),MATCH($BJ$4,연료전지_원본!$A$4:$KY$4,0))</f>
        <v>0</v>
      </c>
      <c r="BK344" s="241">
        <f>INDEX(연료전지_원본!$A$4:$KY$369,MATCH($A344,연료전지_원본!$A$4:$A$369,0),MATCH($BK$4,연료전지_원본!$A$4:$KY$4,0))</f>
        <v>0</v>
      </c>
      <c r="BL344" s="241">
        <f>INDEX(연료전지_원본!$A$4:$KY$369,MATCH($A344,연료전지_원본!$A$4:$A$369,0),MATCH($BL$4,연료전지_원본!$A$4:$KY$4,0))</f>
        <v>0</v>
      </c>
      <c r="BM344" s="241">
        <f>INDEX(연료전지_원본!$A$4:$KY$369,MATCH($A344,연료전지_원본!$A$4:$A$369,0),MATCH($BM$4,연료전지_원본!$A$4:$KY$4,0))</f>
        <v>0</v>
      </c>
      <c r="BN344" s="241">
        <f>INDEX(연료전지_원본!$A$4:$KY$369,MATCH($A344,연료전지_원본!$A$4:$A$369,0),MATCH($BN$4,연료전지_원본!$A$4:$KY$4,0))</f>
        <v>0</v>
      </c>
      <c r="BO344" s="241">
        <f>INDEX(연료전지_원본!$A$4:$KY$369,MATCH($A344,연료전지_원본!$A$4:$A$369,0),MATCH($BO$4,연료전지_원본!$A$4:$KY$4,0))</f>
        <v>0</v>
      </c>
      <c r="BP344" s="241">
        <f>INDEX(연료전지_원본!$A$4:$KY$369,MATCH($A344,연료전지_원본!$A$4:$A$369,0),MATCH($BP$4,연료전지_원본!$A$4:$KY$4,0))</f>
        <v>0</v>
      </c>
      <c r="BQ344" s="241">
        <f>INDEX(연료전지_원본!$A$4:$KY$369,MATCH($A344,연료전지_원본!$A$4:$A$369,0),MATCH($BQ$4,연료전지_원본!$A$4:$KY$4,0))</f>
        <v>0</v>
      </c>
      <c r="BR344" s="241">
        <f>INDEX(연료전지_원본!$A$4:$KY$369,MATCH($A344,연료전지_원본!$A$4:$A$369,0),MATCH($BR$4,연료전지_원본!$A$4:$KY$4,0))</f>
        <v>0</v>
      </c>
      <c r="BS344" s="241">
        <f>INDEX(연료전지_원본!$A$4:$KY$369,MATCH($A344,연료전지_원본!$A$4:$A$369,0),MATCH($BS$4,연료전지_원본!$A$4:$KY$4,0))</f>
        <v>0</v>
      </c>
      <c r="BT344" s="241">
        <f>INDEX(연료전지_원본!$A$4:$KY$369,MATCH($A344,연료전지_원본!$A$4:$A$369,0),MATCH($BT$4,연료전지_원본!$A$4:$KY$4,0))</f>
        <v>0</v>
      </c>
      <c r="BU344" s="241">
        <f>INDEX(연료전지_원본!$A$4:$KY$369,MATCH($A344,연료전지_원본!$A$4:$A$369,0),MATCH($BU$4,연료전지_원본!$A$4:$KY$4,0))</f>
        <v>0</v>
      </c>
      <c r="BV344" s="241">
        <f>INDEX(연료전지_원본!$A$4:$KY$369,MATCH($A344,연료전지_원본!$A$4:$A$369,0),MATCH($BV$4,연료전지_원본!$A$4:$KY$4,0))</f>
        <v>0</v>
      </c>
      <c r="BW344" s="241">
        <f>INDEX(연료전지_원본!$A$4:$KY$369,MATCH($A344,연료전지_원본!$A$4:$A$369,0),MATCH($BW$4,연료전지_원본!$A$4:$KY$4,0))</f>
        <v>0</v>
      </c>
      <c r="BX344" s="241">
        <f>INDEX(연료전지_원본!$A$4:$KY$369,MATCH($A344,연료전지_원본!$A$4:$A$369,0),MATCH($BX$4,연료전지_원본!$A$4:$KY$4,0))</f>
        <v>0</v>
      </c>
      <c r="BY344" s="241">
        <f>INDEX(연료전지_원본!$A$4:$KY$369,MATCH($A344,연료전지_원본!$A$4:$A$369,0),MATCH($BY$4,연료전지_원본!$A$4:$KY$4,0))</f>
        <v>0</v>
      </c>
      <c r="BZ344" s="241">
        <f>INDEX(연료전지_원본!$A$4:$KY$369,MATCH($A344,연료전지_원본!$A$4:$A$369,0),MATCH($BZ$4,연료전지_원본!$A$4:$KY$4,0))</f>
        <v>0</v>
      </c>
      <c r="CA344" s="241">
        <f>INDEX(연료전지_원본!$A$4:$KY$369,MATCH($A344,연료전지_원본!$A$4:$A$369,0),MATCH($CA$4,연료전지_원본!$A$4:$KY$4,0))</f>
        <v>0</v>
      </c>
      <c r="CB344" s="241">
        <f>INDEX(연료전지_원본!$A$4:$KY$369,MATCH($A344,연료전지_원본!$A$4:$A$369,0),MATCH($CB$4,연료전지_원본!$A$4:$KY$4,0))</f>
        <v>0</v>
      </c>
      <c r="CC344" s="242">
        <f>INDEX(연료전지_원본!$A$4:$KY$369,MATCH($A344,연료전지_원본!$A$4:$A$369,0),MATCH($CC$4,연료전지_원본!$A$4:$KY$4,0))</f>
        <v>0</v>
      </c>
      <c r="CD344" s="250">
        <f>INDEX(연료전지_원본!$KB$4:$KX$369,MATCH($A344,연료전지_원본!$KB$4:$KB$369,0), MATCH(CD$4,연료전지_원본!$KB$4:$KX$4,0))*1000</f>
        <v>0</v>
      </c>
      <c r="CE344" s="250">
        <f>INDEX(연료전지_원본!$KB$4:$KX$369,MATCH($A344,연료전지_원본!$KB$4:$KB$369,0), MATCH(CE$4,연료전지_원본!$KB$4:$KX$4,0))*1000</f>
        <v>0</v>
      </c>
      <c r="CF344" s="250">
        <f>INDEX(연료전지_원본!$KB$4:$KX$369,MATCH($A344,연료전지_원본!$KB$4:$KB$369,0), MATCH(CF$4,연료전지_원본!$KB$4:$KX$4,0))*1000</f>
        <v>0</v>
      </c>
      <c r="CG344" s="250">
        <f>INDEX(연료전지_원본!$KB$4:$KX$369,MATCH($A344,연료전지_원본!$KB$4:$KB$369,0), MATCH(CG$4,연료전지_원본!$KB$4:$KX$4,0))*1000</f>
        <v>0</v>
      </c>
      <c r="CH344" s="250">
        <f>INDEX(연료전지_원본!$KB$4:$KX$369,MATCH($A344,연료전지_원본!$KB$4:$KB$369,0), MATCH(CH$4,연료전지_원본!$KB$4:$KX$4,0))*1000</f>
        <v>0</v>
      </c>
      <c r="CI344" s="250">
        <f>INDEX(연료전지_원본!$KB$4:$KX$369,MATCH($A344,연료전지_원본!$KB$4:$KB$369,0), MATCH(CI$4,연료전지_원본!$KB$4:$KX$4,0))*1000</f>
        <v>0</v>
      </c>
      <c r="CJ344" s="250">
        <f>INDEX(연료전지_원본!$KB$4:$KX$369,MATCH($A344,연료전지_원본!$KB$4:$KB$369,0), MATCH(CJ$4,연료전지_원본!$KB$4:$KX$4,0))*1000</f>
        <v>0</v>
      </c>
      <c r="CK344" s="250">
        <f>INDEX(연료전지_원본!$KB$4:$KX$369,MATCH($A344,연료전지_원본!$KB$4:$KB$369,0), MATCH(CK$4,연료전지_원본!$KB$4:$KX$4,0))*1000</f>
        <v>0</v>
      </c>
      <c r="CL344" s="250">
        <f>INDEX(연료전지_원본!$KB$4:$KX$369,MATCH($A344,연료전지_원본!$KB$4:$KB$369,0), MATCH(CL$4,연료전지_원본!$KB$4:$KX$4,0))*1000</f>
        <v>0</v>
      </c>
      <c r="CM344" s="250">
        <f>INDEX(연료전지_원본!$KB$4:$KX$369,MATCH($A344,연료전지_원본!$KB$4:$KB$369,0), MATCH(CM$4,연료전지_원본!$KB$4:$KX$4,0))*1000</f>
        <v>0</v>
      </c>
      <c r="CN344" s="250">
        <f>INDEX(연료전지_원본!$KB$4:$KX$369,MATCH($A344,연료전지_원본!$KB$4:$KB$369,0), MATCH(CN$4,연료전지_원본!$KB$4:$KX$4,0))*1000</f>
        <v>0</v>
      </c>
      <c r="CO344" s="250">
        <f>INDEX(연료전지_원본!$KB$4:$KX$369,MATCH($A344,연료전지_원본!$KB$4:$KB$369,0), MATCH(CO$4,연료전지_원본!$KB$4:$KX$4,0))*1000</f>
        <v>0</v>
      </c>
      <c r="CP344" s="250">
        <f>INDEX(연료전지_원본!$KB$4:$KX$369,MATCH($A344,연료전지_원본!$KB$4:$KB$369,0), MATCH(CP$4,연료전지_원본!$KB$4:$KX$4,0))*1000</f>
        <v>0</v>
      </c>
      <c r="CQ344" s="250">
        <f>INDEX(연료전지_원본!$KB$4:$KX$369,MATCH($A344,연료전지_원본!$KB$4:$KB$369,0), MATCH(CQ$4,연료전지_원본!$KB$4:$KX$4,0))*1000</f>
        <v>0</v>
      </c>
      <c r="CR344" s="250">
        <f>INDEX(연료전지_원본!$KB$4:$KX$369,MATCH($A344,연료전지_원본!$KB$4:$KB$369,0), MATCH(CR$4,연료전지_원본!$KB$4:$KX$4,0))*1000</f>
        <v>0</v>
      </c>
      <c r="CS344" s="250">
        <f>INDEX(연료전지_원본!$KB$4:$KX$369,MATCH($A344,연료전지_원본!$KB$4:$KB$369,0), MATCH(CS$4,연료전지_원본!$KB$4:$KX$4,0))*1000</f>
        <v>0</v>
      </c>
      <c r="CT344" s="250">
        <f>INDEX(연료전지_원본!$KB$4:$KX$369,MATCH($A344,연료전지_원본!$KB$4:$KB$369,0), MATCH(CT$4,연료전지_원본!$KB$4:$KX$4,0))*1000</f>
        <v>0</v>
      </c>
      <c r="CU344" s="250">
        <f>INDEX(연료전지_원본!$KB$4:$KX$369,MATCH($A344,연료전지_원본!$KB$4:$KB$369,0), MATCH(CU$4,연료전지_원본!$KB$4:$KX$4,0))*1000</f>
        <v>0</v>
      </c>
      <c r="CV344" s="250">
        <f>INDEX(연료전지_원본!$KB$4:$KX$369,MATCH($A344,연료전지_원본!$KB$4:$KB$369,0), MATCH(CV$4,연료전지_원본!$KB$4:$KX$4,0))*1000</f>
        <v>0</v>
      </c>
      <c r="CW344" s="250">
        <f>INDEX(연료전지_원본!$KB$4:$KX$369,MATCH($A344,연료전지_원본!$KB$4:$KB$369,0), MATCH(CW$4,연료전지_원본!$KB$4:$KX$4,0))*1000</f>
        <v>0</v>
      </c>
      <c r="CX344" s="250">
        <f>INDEX(연료전지_원본!$KB$4:$KX$369,MATCH($A344,연료전지_원본!$KB$4:$KB$369,0), MATCH(CX$4,연료전지_원본!$KB$4:$KX$4,0))*1000</f>
        <v>0</v>
      </c>
      <c r="CY344" s="250">
        <f>INDEX(연료전지_원본!$KB$4:$KX$369,MATCH($A344,연료전지_원본!$KB$4:$KB$369,0), MATCH(CY$4,연료전지_원본!$KB$4:$KX$4,0))*1000</f>
        <v>0</v>
      </c>
      <c r="DV344" s="30">
        <f t="shared" si="1616"/>
        <v>0</v>
      </c>
    </row>
    <row r="345" spans="1:126">
      <c r="A345" s="6">
        <v>46362</v>
      </c>
      <c r="B345" s="15">
        <f>운전실적_원본!B345</f>
        <v>0</v>
      </c>
      <c r="C345" s="16" t="str">
        <f t="shared" si="1622"/>
        <v/>
      </c>
      <c r="D345" s="12">
        <f>운전실적_원본!C345</f>
        <v>0</v>
      </c>
      <c r="E345" s="12" t="str">
        <f t="shared" si="1623"/>
        <v/>
      </c>
      <c r="F345" s="12">
        <f>운전실적_원본!D345</f>
        <v>0</v>
      </c>
      <c r="G345" s="16" t="str">
        <f t="shared" si="1624"/>
        <v/>
      </c>
      <c r="H345" s="15">
        <f>운전실적_원본!E345</f>
        <v>0</v>
      </c>
      <c r="I345" s="16" t="str">
        <f t="shared" si="1625"/>
        <v/>
      </c>
      <c r="J345" s="15">
        <f>운전실적_원본!F345</f>
        <v>0</v>
      </c>
      <c r="K345" s="16" t="str">
        <f t="shared" si="1625"/>
        <v/>
      </c>
      <c r="L345" s="32">
        <f>운전실적_원본!G345</f>
        <v>0</v>
      </c>
      <c r="M345" s="31" t="str">
        <f t="shared" ref="M345" si="1877">IF(OR(LEN(L345)=0,L345=0),"",L345-L344)</f>
        <v/>
      </c>
      <c r="N345" s="15">
        <f>운전실적_원본!H345</f>
        <v>0</v>
      </c>
      <c r="O345" s="16" t="str">
        <f t="shared" ref="O345" si="1878">IF(OR(LEN(N345)=0,N345=0),"",N345-N344)</f>
        <v/>
      </c>
      <c r="P345" s="15">
        <f>운전실적_원본!I345</f>
        <v>0</v>
      </c>
      <c r="Q345" s="16" t="str">
        <f t="shared" ref="Q345" si="1879">IF(OR(LEN(P345)=0,P345=0),"",P345-P344)</f>
        <v/>
      </c>
      <c r="R345" s="18">
        <f>운전실적_원본!J345</f>
        <v>0</v>
      </c>
      <c r="S345" s="19" t="str">
        <f t="shared" ref="S345" si="1880">IF(OR(LEN(R345)=0,R345=0),"",R345-R344)</f>
        <v/>
      </c>
      <c r="T345" s="18">
        <f>운전실적_원본!K345</f>
        <v>0</v>
      </c>
      <c r="U345" s="19" t="str">
        <f t="shared" si="1630"/>
        <v/>
      </c>
      <c r="V345" s="12">
        <f>운전실적_원본!L345</f>
        <v>0</v>
      </c>
      <c r="W345" s="16" t="str">
        <f t="shared" ref="W345" si="1881">IF(OR(LEN(V345)=0,V345=0),"",V345-V344)</f>
        <v/>
      </c>
      <c r="X345" s="10">
        <f>운전실적_원본!M345</f>
        <v>0</v>
      </c>
      <c r="Y345" s="10">
        <f>운전실적_원본!N345</f>
        <v>0</v>
      </c>
      <c r="Z345" s="10">
        <f>운전실적_원본!O345</f>
        <v>0</v>
      </c>
      <c r="AA345" s="10">
        <f>운전실적_원본!P345</f>
        <v>0</v>
      </c>
      <c r="AB345" s="10">
        <f>운전실적_원본!Q345</f>
        <v>0</v>
      </c>
      <c r="AC345" s="20">
        <f>운전실적_원본!R345</f>
        <v>0</v>
      </c>
      <c r="AD345" s="109">
        <f>운전실적_원본!S345</f>
        <v>0</v>
      </c>
      <c r="AE345" s="110">
        <f>운전실적_원본!T345</f>
        <v>0</v>
      </c>
      <c r="AF345" s="110">
        <f>운전실적_원본!U345</f>
        <v>0</v>
      </c>
      <c r="AG345" s="110">
        <f>운전실적_원본!V345</f>
        <v>0</v>
      </c>
      <c r="AH345" s="109">
        <f t="shared" si="1784"/>
        <v>0</v>
      </c>
      <c r="AI345" s="110">
        <f t="shared" si="1791"/>
        <v>0</v>
      </c>
      <c r="AJ345" s="110">
        <f>운전실적_원본!Y345</f>
        <v>0</v>
      </c>
      <c r="AK345" s="110">
        <f>운전실적_원본!Z345</f>
        <v>0</v>
      </c>
      <c r="AL345" s="106"/>
      <c r="AM345" s="105"/>
      <c r="AN345" s="105"/>
      <c r="AO345" s="105"/>
      <c r="AP345" s="105"/>
      <c r="AQ345" s="108"/>
      <c r="AR345" s="105"/>
      <c r="AS345" s="105"/>
      <c r="AT345" s="102"/>
      <c r="AU345" s="102"/>
      <c r="AV345" s="102"/>
      <c r="AW345" s="102"/>
      <c r="AX345" s="32">
        <f>운전실적_원본!W345</f>
        <v>0</v>
      </c>
      <c r="AY345" s="11">
        <f>운전실적_원본!X345</f>
        <v>0</v>
      </c>
      <c r="AZ345" s="11">
        <f>운전실적_원본!Y345</f>
        <v>0</v>
      </c>
      <c r="BA345" s="11">
        <f>운전실적_원본!Z345</f>
        <v>0</v>
      </c>
      <c r="BB345" s="11">
        <f>운전실적_원본!AA345</f>
        <v>0</v>
      </c>
      <c r="BC345" s="11">
        <f>운전실적_원본!AB345</f>
        <v>0</v>
      </c>
      <c r="BD345" s="32" t="str">
        <f t="shared" si="1777"/>
        <v>-</v>
      </c>
      <c r="BE345" s="11" t="str">
        <f t="shared" si="1785"/>
        <v>-</v>
      </c>
      <c r="BF345" s="11">
        <f>운전실적_원본!AE345</f>
        <v>0</v>
      </c>
      <c r="BG345" s="31">
        <f t="shared" si="1778"/>
        <v>0</v>
      </c>
      <c r="BH345" s="241">
        <f>INDEX(연료전지_원본!$A$4:$KY$369,MATCH($A345,연료전지_원본!$A$4:$A$369,0),MATCH($BH$4,연료전지_원본!$A$4:$KY$4,0))</f>
        <v>0</v>
      </c>
      <c r="BI345" s="241">
        <f>INDEX(연료전지_원본!$A$4:$KY$369,MATCH($A345,연료전지_원본!$A$4:$A$369,0),MATCH($BI$4,연료전지_원본!$A$4:$KY$4,0))</f>
        <v>0</v>
      </c>
      <c r="BJ345" s="241">
        <f>INDEX(연료전지_원본!$A$4:$KY$369,MATCH($A345,연료전지_원본!$A$4:$A$369,0),MATCH($BJ$4,연료전지_원본!$A$4:$KY$4,0))</f>
        <v>0</v>
      </c>
      <c r="BK345" s="241">
        <f>INDEX(연료전지_원본!$A$4:$KY$369,MATCH($A345,연료전지_원본!$A$4:$A$369,0),MATCH($BK$4,연료전지_원본!$A$4:$KY$4,0))</f>
        <v>0</v>
      </c>
      <c r="BL345" s="241">
        <f>INDEX(연료전지_원본!$A$4:$KY$369,MATCH($A345,연료전지_원본!$A$4:$A$369,0),MATCH($BL$4,연료전지_원본!$A$4:$KY$4,0))</f>
        <v>0</v>
      </c>
      <c r="BM345" s="241">
        <f>INDEX(연료전지_원본!$A$4:$KY$369,MATCH($A345,연료전지_원본!$A$4:$A$369,0),MATCH($BM$4,연료전지_원본!$A$4:$KY$4,0))</f>
        <v>0</v>
      </c>
      <c r="BN345" s="241">
        <f>INDEX(연료전지_원본!$A$4:$KY$369,MATCH($A345,연료전지_원본!$A$4:$A$369,0),MATCH($BN$4,연료전지_원본!$A$4:$KY$4,0))</f>
        <v>0</v>
      </c>
      <c r="BO345" s="241">
        <f>INDEX(연료전지_원본!$A$4:$KY$369,MATCH($A345,연료전지_원본!$A$4:$A$369,0),MATCH($BO$4,연료전지_원본!$A$4:$KY$4,0))</f>
        <v>0</v>
      </c>
      <c r="BP345" s="241">
        <f>INDEX(연료전지_원본!$A$4:$KY$369,MATCH($A345,연료전지_원본!$A$4:$A$369,0),MATCH($BP$4,연료전지_원본!$A$4:$KY$4,0))</f>
        <v>0</v>
      </c>
      <c r="BQ345" s="241">
        <f>INDEX(연료전지_원본!$A$4:$KY$369,MATCH($A345,연료전지_원본!$A$4:$A$369,0),MATCH($BQ$4,연료전지_원본!$A$4:$KY$4,0))</f>
        <v>0</v>
      </c>
      <c r="BR345" s="241">
        <f>INDEX(연료전지_원본!$A$4:$KY$369,MATCH($A345,연료전지_원본!$A$4:$A$369,0),MATCH($BR$4,연료전지_원본!$A$4:$KY$4,0))</f>
        <v>0</v>
      </c>
      <c r="BS345" s="241">
        <f>INDEX(연료전지_원본!$A$4:$KY$369,MATCH($A345,연료전지_원본!$A$4:$A$369,0),MATCH($BS$4,연료전지_원본!$A$4:$KY$4,0))</f>
        <v>0</v>
      </c>
      <c r="BT345" s="241">
        <f>INDEX(연료전지_원본!$A$4:$KY$369,MATCH($A345,연료전지_원본!$A$4:$A$369,0),MATCH($BT$4,연료전지_원본!$A$4:$KY$4,0))</f>
        <v>0</v>
      </c>
      <c r="BU345" s="241">
        <f>INDEX(연료전지_원본!$A$4:$KY$369,MATCH($A345,연료전지_원본!$A$4:$A$369,0),MATCH($BU$4,연료전지_원본!$A$4:$KY$4,0))</f>
        <v>0</v>
      </c>
      <c r="BV345" s="241">
        <f>INDEX(연료전지_원본!$A$4:$KY$369,MATCH($A345,연료전지_원본!$A$4:$A$369,0),MATCH($BV$4,연료전지_원본!$A$4:$KY$4,0))</f>
        <v>0</v>
      </c>
      <c r="BW345" s="241">
        <f>INDEX(연료전지_원본!$A$4:$KY$369,MATCH($A345,연료전지_원본!$A$4:$A$369,0),MATCH($BW$4,연료전지_원본!$A$4:$KY$4,0))</f>
        <v>0</v>
      </c>
      <c r="BX345" s="241">
        <f>INDEX(연료전지_원본!$A$4:$KY$369,MATCH($A345,연료전지_원본!$A$4:$A$369,0),MATCH($BX$4,연료전지_원본!$A$4:$KY$4,0))</f>
        <v>0</v>
      </c>
      <c r="BY345" s="241">
        <f>INDEX(연료전지_원본!$A$4:$KY$369,MATCH($A345,연료전지_원본!$A$4:$A$369,0),MATCH($BY$4,연료전지_원본!$A$4:$KY$4,0))</f>
        <v>0</v>
      </c>
      <c r="BZ345" s="241">
        <f>INDEX(연료전지_원본!$A$4:$KY$369,MATCH($A345,연료전지_원본!$A$4:$A$369,0),MATCH($BZ$4,연료전지_원본!$A$4:$KY$4,0))</f>
        <v>0</v>
      </c>
      <c r="CA345" s="241">
        <f>INDEX(연료전지_원본!$A$4:$KY$369,MATCH($A345,연료전지_원본!$A$4:$A$369,0),MATCH($CA$4,연료전지_원본!$A$4:$KY$4,0))</f>
        <v>0</v>
      </c>
      <c r="CB345" s="241">
        <f>INDEX(연료전지_원본!$A$4:$KY$369,MATCH($A345,연료전지_원본!$A$4:$A$369,0),MATCH($CB$4,연료전지_원본!$A$4:$KY$4,0))</f>
        <v>0</v>
      </c>
      <c r="CC345" s="242">
        <f>INDEX(연료전지_원본!$A$4:$KY$369,MATCH($A345,연료전지_원본!$A$4:$A$369,0),MATCH($CC$4,연료전지_원본!$A$4:$KY$4,0))</f>
        <v>0</v>
      </c>
      <c r="CD345" s="250">
        <f>INDEX(연료전지_원본!$KB$4:$KX$369,MATCH($A345,연료전지_원본!$KB$4:$KB$369,0), MATCH(CD$4,연료전지_원본!$KB$4:$KX$4,0))*1000</f>
        <v>0</v>
      </c>
      <c r="CE345" s="250">
        <f>INDEX(연료전지_원본!$KB$4:$KX$369,MATCH($A345,연료전지_원본!$KB$4:$KB$369,0), MATCH(CE$4,연료전지_원본!$KB$4:$KX$4,0))*1000</f>
        <v>0</v>
      </c>
      <c r="CF345" s="250">
        <f>INDEX(연료전지_원본!$KB$4:$KX$369,MATCH($A345,연료전지_원본!$KB$4:$KB$369,0), MATCH(CF$4,연료전지_원본!$KB$4:$KX$4,0))*1000</f>
        <v>0</v>
      </c>
      <c r="CG345" s="250">
        <f>INDEX(연료전지_원본!$KB$4:$KX$369,MATCH($A345,연료전지_원본!$KB$4:$KB$369,0), MATCH(CG$4,연료전지_원본!$KB$4:$KX$4,0))*1000</f>
        <v>0</v>
      </c>
      <c r="CH345" s="250">
        <f>INDEX(연료전지_원본!$KB$4:$KX$369,MATCH($A345,연료전지_원본!$KB$4:$KB$369,0), MATCH(CH$4,연료전지_원본!$KB$4:$KX$4,0))*1000</f>
        <v>0</v>
      </c>
      <c r="CI345" s="250">
        <f>INDEX(연료전지_원본!$KB$4:$KX$369,MATCH($A345,연료전지_원본!$KB$4:$KB$369,0), MATCH(CI$4,연료전지_원본!$KB$4:$KX$4,0))*1000</f>
        <v>0</v>
      </c>
      <c r="CJ345" s="250">
        <f>INDEX(연료전지_원본!$KB$4:$KX$369,MATCH($A345,연료전지_원본!$KB$4:$KB$369,0), MATCH(CJ$4,연료전지_원본!$KB$4:$KX$4,0))*1000</f>
        <v>0</v>
      </c>
      <c r="CK345" s="250">
        <f>INDEX(연료전지_원본!$KB$4:$KX$369,MATCH($A345,연료전지_원본!$KB$4:$KB$369,0), MATCH(CK$4,연료전지_원본!$KB$4:$KX$4,0))*1000</f>
        <v>0</v>
      </c>
      <c r="CL345" s="250">
        <f>INDEX(연료전지_원본!$KB$4:$KX$369,MATCH($A345,연료전지_원본!$KB$4:$KB$369,0), MATCH(CL$4,연료전지_원본!$KB$4:$KX$4,0))*1000</f>
        <v>0</v>
      </c>
      <c r="CM345" s="250">
        <f>INDEX(연료전지_원본!$KB$4:$KX$369,MATCH($A345,연료전지_원본!$KB$4:$KB$369,0), MATCH(CM$4,연료전지_원본!$KB$4:$KX$4,0))*1000</f>
        <v>0</v>
      </c>
      <c r="CN345" s="250">
        <f>INDEX(연료전지_원본!$KB$4:$KX$369,MATCH($A345,연료전지_원본!$KB$4:$KB$369,0), MATCH(CN$4,연료전지_원본!$KB$4:$KX$4,0))*1000</f>
        <v>0</v>
      </c>
      <c r="CO345" s="250">
        <f>INDEX(연료전지_원본!$KB$4:$KX$369,MATCH($A345,연료전지_원본!$KB$4:$KB$369,0), MATCH(CO$4,연료전지_원본!$KB$4:$KX$4,0))*1000</f>
        <v>0</v>
      </c>
      <c r="CP345" s="250">
        <f>INDEX(연료전지_원본!$KB$4:$KX$369,MATCH($A345,연료전지_원본!$KB$4:$KB$369,0), MATCH(CP$4,연료전지_원본!$KB$4:$KX$4,0))*1000</f>
        <v>0</v>
      </c>
      <c r="CQ345" s="250">
        <f>INDEX(연료전지_원본!$KB$4:$KX$369,MATCH($A345,연료전지_원본!$KB$4:$KB$369,0), MATCH(CQ$4,연료전지_원본!$KB$4:$KX$4,0))*1000</f>
        <v>0</v>
      </c>
      <c r="CR345" s="250">
        <f>INDEX(연료전지_원본!$KB$4:$KX$369,MATCH($A345,연료전지_원본!$KB$4:$KB$369,0), MATCH(CR$4,연료전지_원본!$KB$4:$KX$4,0))*1000</f>
        <v>0</v>
      </c>
      <c r="CS345" s="250">
        <f>INDEX(연료전지_원본!$KB$4:$KX$369,MATCH($A345,연료전지_원본!$KB$4:$KB$369,0), MATCH(CS$4,연료전지_원본!$KB$4:$KX$4,0))*1000</f>
        <v>0</v>
      </c>
      <c r="CT345" s="250">
        <f>INDEX(연료전지_원본!$KB$4:$KX$369,MATCH($A345,연료전지_원본!$KB$4:$KB$369,0), MATCH(CT$4,연료전지_원본!$KB$4:$KX$4,0))*1000</f>
        <v>0</v>
      </c>
      <c r="CU345" s="250">
        <f>INDEX(연료전지_원본!$KB$4:$KX$369,MATCH($A345,연료전지_원본!$KB$4:$KB$369,0), MATCH(CU$4,연료전지_원본!$KB$4:$KX$4,0))*1000</f>
        <v>0</v>
      </c>
      <c r="CV345" s="250">
        <f>INDEX(연료전지_원본!$KB$4:$KX$369,MATCH($A345,연료전지_원본!$KB$4:$KB$369,0), MATCH(CV$4,연료전지_원본!$KB$4:$KX$4,0))*1000</f>
        <v>0</v>
      </c>
      <c r="CW345" s="250">
        <f>INDEX(연료전지_원본!$KB$4:$KX$369,MATCH($A345,연료전지_원본!$KB$4:$KB$369,0), MATCH(CW$4,연료전지_원본!$KB$4:$KX$4,0))*1000</f>
        <v>0</v>
      </c>
      <c r="CX345" s="250">
        <f>INDEX(연료전지_원본!$KB$4:$KX$369,MATCH($A345,연료전지_원본!$KB$4:$KB$369,0), MATCH(CX$4,연료전지_원본!$KB$4:$KX$4,0))*1000</f>
        <v>0</v>
      </c>
      <c r="CY345" s="250">
        <f>INDEX(연료전지_원본!$KB$4:$KX$369,MATCH($A345,연료전지_원본!$KB$4:$KB$369,0), MATCH(CY$4,연료전지_원본!$KB$4:$KX$4,0))*1000</f>
        <v>0</v>
      </c>
      <c r="DV345" s="30">
        <f t="shared" si="1616"/>
        <v>0</v>
      </c>
    </row>
    <row r="346" spans="1:126">
      <c r="A346" s="6">
        <v>46363</v>
      </c>
      <c r="B346" s="15">
        <f>운전실적_원본!B346</f>
        <v>0</v>
      </c>
      <c r="C346" s="16" t="str">
        <f t="shared" si="1622"/>
        <v/>
      </c>
      <c r="D346" s="12">
        <f>운전실적_원본!C346</f>
        <v>0</v>
      </c>
      <c r="E346" s="12" t="str">
        <f t="shared" si="1623"/>
        <v/>
      </c>
      <c r="F346" s="12">
        <f>운전실적_원본!D346</f>
        <v>0</v>
      </c>
      <c r="G346" s="16" t="str">
        <f t="shared" si="1624"/>
        <v/>
      </c>
      <c r="H346" s="15">
        <f>운전실적_원본!E346</f>
        <v>0</v>
      </c>
      <c r="I346" s="16" t="str">
        <f t="shared" si="1625"/>
        <v/>
      </c>
      <c r="J346" s="15">
        <f>운전실적_원본!F346</f>
        <v>0</v>
      </c>
      <c r="K346" s="16" t="str">
        <f t="shared" si="1625"/>
        <v/>
      </c>
      <c r="L346" s="32">
        <f>운전실적_원본!G346</f>
        <v>0</v>
      </c>
      <c r="M346" s="31" t="str">
        <f t="shared" ref="M346" si="1882">IF(OR(LEN(L346)=0,L346=0),"",L346-L345)</f>
        <v/>
      </c>
      <c r="N346" s="15">
        <f>운전실적_원본!H346</f>
        <v>0</v>
      </c>
      <c r="O346" s="16" t="str">
        <f t="shared" ref="O346" si="1883">IF(OR(LEN(N346)=0,N346=0),"",N346-N345)</f>
        <v/>
      </c>
      <c r="P346" s="15">
        <f>운전실적_원본!I346</f>
        <v>0</v>
      </c>
      <c r="Q346" s="16" t="str">
        <f t="shared" ref="Q346" si="1884">IF(OR(LEN(P346)=0,P346=0),"",P346-P345)</f>
        <v/>
      </c>
      <c r="R346" s="18">
        <f>운전실적_원본!J346</f>
        <v>0</v>
      </c>
      <c r="S346" s="19" t="str">
        <f t="shared" ref="S346" si="1885">IF(OR(LEN(R346)=0,R346=0),"",R346-R345)</f>
        <v/>
      </c>
      <c r="T346" s="18">
        <f>운전실적_원본!K346</f>
        <v>0</v>
      </c>
      <c r="U346" s="19" t="str">
        <f t="shared" si="1630"/>
        <v/>
      </c>
      <c r="V346" s="12">
        <f>운전실적_원본!L346</f>
        <v>0</v>
      </c>
      <c r="W346" s="16" t="str">
        <f t="shared" ref="W346" si="1886">IF(OR(LEN(V346)=0,V346=0),"",V346-V345)</f>
        <v/>
      </c>
      <c r="X346" s="10">
        <f>운전실적_원본!M346</f>
        <v>0</v>
      </c>
      <c r="Y346" s="10">
        <f>운전실적_원본!N346</f>
        <v>0</v>
      </c>
      <c r="Z346" s="10">
        <f>운전실적_원본!O346</f>
        <v>0</v>
      </c>
      <c r="AA346" s="10">
        <f>운전실적_원본!P346</f>
        <v>0</v>
      </c>
      <c r="AB346" s="10">
        <f>운전실적_원본!Q346</f>
        <v>0</v>
      </c>
      <c r="AC346" s="20">
        <f>운전실적_원본!R346</f>
        <v>0</v>
      </c>
      <c r="AD346" s="109">
        <f>운전실적_원본!S346</f>
        <v>0</v>
      </c>
      <c r="AE346" s="110">
        <f>운전실적_원본!T346</f>
        <v>0</v>
      </c>
      <c r="AF346" s="110">
        <f>운전실적_원본!U346</f>
        <v>0</v>
      </c>
      <c r="AG346" s="110">
        <f>운전실적_원본!V346</f>
        <v>0</v>
      </c>
      <c r="AH346" s="109">
        <f t="shared" si="1784"/>
        <v>0</v>
      </c>
      <c r="AI346" s="110">
        <f t="shared" si="1791"/>
        <v>0</v>
      </c>
      <c r="AJ346" s="110">
        <f>운전실적_원본!Y346</f>
        <v>0</v>
      </c>
      <c r="AK346" s="110">
        <f>운전실적_원본!Z346</f>
        <v>0</v>
      </c>
      <c r="AL346" s="106"/>
      <c r="AM346" s="105"/>
      <c r="AN346" s="105"/>
      <c r="AO346" s="105"/>
      <c r="AP346" s="105"/>
      <c r="AQ346" s="108"/>
      <c r="AR346" s="105"/>
      <c r="AS346" s="105"/>
      <c r="AT346" s="102"/>
      <c r="AU346" s="102"/>
      <c r="AV346" s="102"/>
      <c r="AW346" s="102"/>
      <c r="AX346" s="32">
        <f>운전실적_원본!W346</f>
        <v>0</v>
      </c>
      <c r="AY346" s="11">
        <f>운전실적_원본!X346</f>
        <v>0</v>
      </c>
      <c r="AZ346" s="11">
        <f>운전실적_원본!Y346</f>
        <v>0</v>
      </c>
      <c r="BA346" s="11">
        <f>운전실적_원본!Z346</f>
        <v>0</v>
      </c>
      <c r="BB346" s="11">
        <f>운전실적_원본!AA346</f>
        <v>0</v>
      </c>
      <c r="BC346" s="11">
        <f>운전실적_원본!AB346</f>
        <v>0</v>
      </c>
      <c r="BD346" s="32" t="str">
        <f t="shared" si="1777"/>
        <v>-</v>
      </c>
      <c r="BE346" s="11" t="str">
        <f t="shared" si="1785"/>
        <v>-</v>
      </c>
      <c r="BF346" s="11">
        <f>운전실적_원본!AE346</f>
        <v>0</v>
      </c>
      <c r="BG346" s="31">
        <f t="shared" si="1778"/>
        <v>0</v>
      </c>
      <c r="BH346" s="241">
        <f>INDEX(연료전지_원본!$A$4:$KY$369,MATCH($A346,연료전지_원본!$A$4:$A$369,0),MATCH($BH$4,연료전지_원본!$A$4:$KY$4,0))</f>
        <v>0</v>
      </c>
      <c r="BI346" s="241">
        <f>INDEX(연료전지_원본!$A$4:$KY$369,MATCH($A346,연료전지_원본!$A$4:$A$369,0),MATCH($BI$4,연료전지_원본!$A$4:$KY$4,0))</f>
        <v>0</v>
      </c>
      <c r="BJ346" s="241">
        <f>INDEX(연료전지_원본!$A$4:$KY$369,MATCH($A346,연료전지_원본!$A$4:$A$369,0),MATCH($BJ$4,연료전지_원본!$A$4:$KY$4,0))</f>
        <v>0</v>
      </c>
      <c r="BK346" s="241">
        <f>INDEX(연료전지_원본!$A$4:$KY$369,MATCH($A346,연료전지_원본!$A$4:$A$369,0),MATCH($BK$4,연료전지_원본!$A$4:$KY$4,0))</f>
        <v>0</v>
      </c>
      <c r="BL346" s="241">
        <f>INDEX(연료전지_원본!$A$4:$KY$369,MATCH($A346,연료전지_원본!$A$4:$A$369,0),MATCH($BL$4,연료전지_원본!$A$4:$KY$4,0))</f>
        <v>0</v>
      </c>
      <c r="BM346" s="241">
        <f>INDEX(연료전지_원본!$A$4:$KY$369,MATCH($A346,연료전지_원본!$A$4:$A$369,0),MATCH($BM$4,연료전지_원본!$A$4:$KY$4,0))</f>
        <v>0</v>
      </c>
      <c r="BN346" s="241">
        <f>INDEX(연료전지_원본!$A$4:$KY$369,MATCH($A346,연료전지_원본!$A$4:$A$369,0),MATCH($BN$4,연료전지_원본!$A$4:$KY$4,0))</f>
        <v>0</v>
      </c>
      <c r="BO346" s="241">
        <f>INDEX(연료전지_원본!$A$4:$KY$369,MATCH($A346,연료전지_원본!$A$4:$A$369,0),MATCH($BO$4,연료전지_원본!$A$4:$KY$4,0))</f>
        <v>0</v>
      </c>
      <c r="BP346" s="241">
        <f>INDEX(연료전지_원본!$A$4:$KY$369,MATCH($A346,연료전지_원본!$A$4:$A$369,0),MATCH($BP$4,연료전지_원본!$A$4:$KY$4,0))</f>
        <v>0</v>
      </c>
      <c r="BQ346" s="241">
        <f>INDEX(연료전지_원본!$A$4:$KY$369,MATCH($A346,연료전지_원본!$A$4:$A$369,0),MATCH($BQ$4,연료전지_원본!$A$4:$KY$4,0))</f>
        <v>0</v>
      </c>
      <c r="BR346" s="241">
        <f>INDEX(연료전지_원본!$A$4:$KY$369,MATCH($A346,연료전지_원본!$A$4:$A$369,0),MATCH($BR$4,연료전지_원본!$A$4:$KY$4,0))</f>
        <v>0</v>
      </c>
      <c r="BS346" s="241">
        <f>INDEX(연료전지_원본!$A$4:$KY$369,MATCH($A346,연료전지_원본!$A$4:$A$369,0),MATCH($BS$4,연료전지_원본!$A$4:$KY$4,0))</f>
        <v>0</v>
      </c>
      <c r="BT346" s="241">
        <f>INDEX(연료전지_원본!$A$4:$KY$369,MATCH($A346,연료전지_원본!$A$4:$A$369,0),MATCH($BT$4,연료전지_원본!$A$4:$KY$4,0))</f>
        <v>0</v>
      </c>
      <c r="BU346" s="241">
        <f>INDEX(연료전지_원본!$A$4:$KY$369,MATCH($A346,연료전지_원본!$A$4:$A$369,0),MATCH($BU$4,연료전지_원본!$A$4:$KY$4,0))</f>
        <v>0</v>
      </c>
      <c r="BV346" s="241">
        <f>INDEX(연료전지_원본!$A$4:$KY$369,MATCH($A346,연료전지_원본!$A$4:$A$369,0),MATCH($BV$4,연료전지_원본!$A$4:$KY$4,0))</f>
        <v>0</v>
      </c>
      <c r="BW346" s="241">
        <f>INDEX(연료전지_원본!$A$4:$KY$369,MATCH($A346,연료전지_원본!$A$4:$A$369,0),MATCH($BW$4,연료전지_원본!$A$4:$KY$4,0))</f>
        <v>0</v>
      </c>
      <c r="BX346" s="241">
        <f>INDEX(연료전지_원본!$A$4:$KY$369,MATCH($A346,연료전지_원본!$A$4:$A$369,0),MATCH($BX$4,연료전지_원본!$A$4:$KY$4,0))</f>
        <v>0</v>
      </c>
      <c r="BY346" s="241">
        <f>INDEX(연료전지_원본!$A$4:$KY$369,MATCH($A346,연료전지_원본!$A$4:$A$369,0),MATCH($BY$4,연료전지_원본!$A$4:$KY$4,0))</f>
        <v>0</v>
      </c>
      <c r="BZ346" s="241">
        <f>INDEX(연료전지_원본!$A$4:$KY$369,MATCH($A346,연료전지_원본!$A$4:$A$369,0),MATCH($BZ$4,연료전지_원본!$A$4:$KY$4,0))</f>
        <v>0</v>
      </c>
      <c r="CA346" s="241">
        <f>INDEX(연료전지_원본!$A$4:$KY$369,MATCH($A346,연료전지_원본!$A$4:$A$369,0),MATCH($CA$4,연료전지_원본!$A$4:$KY$4,0))</f>
        <v>0</v>
      </c>
      <c r="CB346" s="241">
        <f>INDEX(연료전지_원본!$A$4:$KY$369,MATCH($A346,연료전지_원본!$A$4:$A$369,0),MATCH($CB$4,연료전지_원본!$A$4:$KY$4,0))</f>
        <v>0</v>
      </c>
      <c r="CC346" s="242">
        <f>INDEX(연료전지_원본!$A$4:$KY$369,MATCH($A346,연료전지_원본!$A$4:$A$369,0),MATCH($CC$4,연료전지_원본!$A$4:$KY$4,0))</f>
        <v>0</v>
      </c>
      <c r="CD346" s="250">
        <f>INDEX(연료전지_원본!$KB$4:$KX$369,MATCH($A346,연료전지_원본!$KB$4:$KB$369,0), MATCH(CD$4,연료전지_원본!$KB$4:$KX$4,0))*1000</f>
        <v>0</v>
      </c>
      <c r="CE346" s="250">
        <f>INDEX(연료전지_원본!$KB$4:$KX$369,MATCH($A346,연료전지_원본!$KB$4:$KB$369,0), MATCH(CE$4,연료전지_원본!$KB$4:$KX$4,0))*1000</f>
        <v>0</v>
      </c>
      <c r="CF346" s="250">
        <f>INDEX(연료전지_원본!$KB$4:$KX$369,MATCH($A346,연료전지_원본!$KB$4:$KB$369,0), MATCH(CF$4,연료전지_원본!$KB$4:$KX$4,0))*1000</f>
        <v>0</v>
      </c>
      <c r="CG346" s="250">
        <f>INDEX(연료전지_원본!$KB$4:$KX$369,MATCH($A346,연료전지_원본!$KB$4:$KB$369,0), MATCH(CG$4,연료전지_원본!$KB$4:$KX$4,0))*1000</f>
        <v>0</v>
      </c>
      <c r="CH346" s="250">
        <f>INDEX(연료전지_원본!$KB$4:$KX$369,MATCH($A346,연료전지_원본!$KB$4:$KB$369,0), MATCH(CH$4,연료전지_원본!$KB$4:$KX$4,0))*1000</f>
        <v>0</v>
      </c>
      <c r="CI346" s="250">
        <f>INDEX(연료전지_원본!$KB$4:$KX$369,MATCH($A346,연료전지_원본!$KB$4:$KB$369,0), MATCH(CI$4,연료전지_원본!$KB$4:$KX$4,0))*1000</f>
        <v>0</v>
      </c>
      <c r="CJ346" s="250">
        <f>INDEX(연료전지_원본!$KB$4:$KX$369,MATCH($A346,연료전지_원본!$KB$4:$KB$369,0), MATCH(CJ$4,연료전지_원본!$KB$4:$KX$4,0))*1000</f>
        <v>0</v>
      </c>
      <c r="CK346" s="250">
        <f>INDEX(연료전지_원본!$KB$4:$KX$369,MATCH($A346,연료전지_원본!$KB$4:$KB$369,0), MATCH(CK$4,연료전지_원본!$KB$4:$KX$4,0))*1000</f>
        <v>0</v>
      </c>
      <c r="CL346" s="250">
        <f>INDEX(연료전지_원본!$KB$4:$KX$369,MATCH($A346,연료전지_원본!$KB$4:$KB$369,0), MATCH(CL$4,연료전지_원본!$KB$4:$KX$4,0))*1000</f>
        <v>0</v>
      </c>
      <c r="CM346" s="250">
        <f>INDEX(연료전지_원본!$KB$4:$KX$369,MATCH($A346,연료전지_원본!$KB$4:$KB$369,0), MATCH(CM$4,연료전지_원본!$KB$4:$KX$4,0))*1000</f>
        <v>0</v>
      </c>
      <c r="CN346" s="250">
        <f>INDEX(연료전지_원본!$KB$4:$KX$369,MATCH($A346,연료전지_원본!$KB$4:$KB$369,0), MATCH(CN$4,연료전지_원본!$KB$4:$KX$4,0))*1000</f>
        <v>0</v>
      </c>
      <c r="CO346" s="250">
        <f>INDEX(연료전지_원본!$KB$4:$KX$369,MATCH($A346,연료전지_원본!$KB$4:$KB$369,0), MATCH(CO$4,연료전지_원본!$KB$4:$KX$4,0))*1000</f>
        <v>0</v>
      </c>
      <c r="CP346" s="250">
        <f>INDEX(연료전지_원본!$KB$4:$KX$369,MATCH($A346,연료전지_원본!$KB$4:$KB$369,0), MATCH(CP$4,연료전지_원본!$KB$4:$KX$4,0))*1000</f>
        <v>0</v>
      </c>
      <c r="CQ346" s="250">
        <f>INDEX(연료전지_원본!$KB$4:$KX$369,MATCH($A346,연료전지_원본!$KB$4:$KB$369,0), MATCH(CQ$4,연료전지_원본!$KB$4:$KX$4,0))*1000</f>
        <v>0</v>
      </c>
      <c r="CR346" s="250">
        <f>INDEX(연료전지_원본!$KB$4:$KX$369,MATCH($A346,연료전지_원본!$KB$4:$KB$369,0), MATCH(CR$4,연료전지_원본!$KB$4:$KX$4,0))*1000</f>
        <v>0</v>
      </c>
      <c r="CS346" s="250">
        <f>INDEX(연료전지_원본!$KB$4:$KX$369,MATCH($A346,연료전지_원본!$KB$4:$KB$369,0), MATCH(CS$4,연료전지_원본!$KB$4:$KX$4,0))*1000</f>
        <v>0</v>
      </c>
      <c r="CT346" s="250">
        <f>INDEX(연료전지_원본!$KB$4:$KX$369,MATCH($A346,연료전지_원본!$KB$4:$KB$369,0), MATCH(CT$4,연료전지_원본!$KB$4:$KX$4,0))*1000</f>
        <v>0</v>
      </c>
      <c r="CU346" s="250">
        <f>INDEX(연료전지_원본!$KB$4:$KX$369,MATCH($A346,연료전지_원본!$KB$4:$KB$369,0), MATCH(CU$4,연료전지_원본!$KB$4:$KX$4,0))*1000</f>
        <v>0</v>
      </c>
      <c r="CV346" s="250">
        <f>INDEX(연료전지_원본!$KB$4:$KX$369,MATCH($A346,연료전지_원본!$KB$4:$KB$369,0), MATCH(CV$4,연료전지_원본!$KB$4:$KX$4,0))*1000</f>
        <v>0</v>
      </c>
      <c r="CW346" s="250">
        <f>INDEX(연료전지_원본!$KB$4:$KX$369,MATCH($A346,연료전지_원본!$KB$4:$KB$369,0), MATCH(CW$4,연료전지_원본!$KB$4:$KX$4,0))*1000</f>
        <v>0</v>
      </c>
      <c r="CX346" s="250">
        <f>INDEX(연료전지_원본!$KB$4:$KX$369,MATCH($A346,연료전지_원본!$KB$4:$KB$369,0), MATCH(CX$4,연료전지_원본!$KB$4:$KX$4,0))*1000</f>
        <v>0</v>
      </c>
      <c r="CY346" s="250">
        <f>INDEX(연료전지_원본!$KB$4:$KX$369,MATCH($A346,연료전지_원본!$KB$4:$KB$369,0), MATCH(CY$4,연료전지_원본!$KB$4:$KX$4,0))*1000</f>
        <v>0</v>
      </c>
      <c r="DV346" s="30">
        <f t="shared" si="1616"/>
        <v>0</v>
      </c>
    </row>
    <row r="347" spans="1:126">
      <c r="A347" s="6">
        <v>46364</v>
      </c>
      <c r="B347" s="15">
        <f>운전실적_원본!B347</f>
        <v>0</v>
      </c>
      <c r="C347" s="16" t="str">
        <f t="shared" si="1622"/>
        <v/>
      </c>
      <c r="D347" s="12">
        <f>운전실적_원본!C347</f>
        <v>0</v>
      </c>
      <c r="E347" s="12" t="str">
        <f t="shared" si="1623"/>
        <v/>
      </c>
      <c r="F347" s="12">
        <f>운전실적_원본!D347</f>
        <v>0</v>
      </c>
      <c r="G347" s="16" t="str">
        <f t="shared" si="1624"/>
        <v/>
      </c>
      <c r="H347" s="15">
        <f>운전실적_원본!E347</f>
        <v>0</v>
      </c>
      <c r="I347" s="16" t="str">
        <f t="shared" si="1625"/>
        <v/>
      </c>
      <c r="J347" s="15">
        <f>운전실적_원본!F347</f>
        <v>0</v>
      </c>
      <c r="K347" s="16" t="str">
        <f t="shared" si="1625"/>
        <v/>
      </c>
      <c r="L347" s="32">
        <f>운전실적_원본!G347</f>
        <v>0</v>
      </c>
      <c r="M347" s="31" t="str">
        <f t="shared" ref="M347" si="1887">IF(OR(LEN(L347)=0,L347=0),"",L347-L346)</f>
        <v/>
      </c>
      <c r="N347" s="15">
        <f>운전실적_원본!H347</f>
        <v>0</v>
      </c>
      <c r="O347" s="16" t="str">
        <f t="shared" ref="O347" si="1888">IF(OR(LEN(N347)=0,N347=0),"",N347-N346)</f>
        <v/>
      </c>
      <c r="P347" s="15">
        <f>운전실적_원본!I347</f>
        <v>0</v>
      </c>
      <c r="Q347" s="16" t="str">
        <f t="shared" ref="Q347" si="1889">IF(OR(LEN(P347)=0,P347=0),"",P347-P346)</f>
        <v/>
      </c>
      <c r="R347" s="18">
        <f>운전실적_원본!J347</f>
        <v>0</v>
      </c>
      <c r="S347" s="19" t="str">
        <f t="shared" ref="S347" si="1890">IF(OR(LEN(R347)=0,R347=0),"",R347-R346)</f>
        <v/>
      </c>
      <c r="T347" s="18">
        <f>운전실적_원본!K347</f>
        <v>0</v>
      </c>
      <c r="U347" s="19" t="str">
        <f t="shared" si="1630"/>
        <v/>
      </c>
      <c r="V347" s="12">
        <f>운전실적_원본!L347</f>
        <v>0</v>
      </c>
      <c r="W347" s="16" t="str">
        <f t="shared" ref="W347" si="1891">IF(OR(LEN(V347)=0,V347=0),"",V347-V346)</f>
        <v/>
      </c>
      <c r="X347" s="10">
        <f>운전실적_원본!M347</f>
        <v>0</v>
      </c>
      <c r="Y347" s="10">
        <f>운전실적_원본!N347</f>
        <v>0</v>
      </c>
      <c r="Z347" s="10">
        <f>운전실적_원본!O347</f>
        <v>0</v>
      </c>
      <c r="AA347" s="10">
        <f>운전실적_원본!P347</f>
        <v>0</v>
      </c>
      <c r="AB347" s="10">
        <f>운전실적_원본!Q347</f>
        <v>0</v>
      </c>
      <c r="AC347" s="20">
        <f>운전실적_원본!R347</f>
        <v>0</v>
      </c>
      <c r="AD347" s="109">
        <f>운전실적_원본!S347</f>
        <v>0</v>
      </c>
      <c r="AE347" s="110">
        <f>운전실적_원본!T347</f>
        <v>0</v>
      </c>
      <c r="AF347" s="110">
        <f>운전실적_원본!U347</f>
        <v>0</v>
      </c>
      <c r="AG347" s="110">
        <f>운전실적_원본!V347</f>
        <v>0</v>
      </c>
      <c r="AH347" s="109">
        <f t="shared" si="1784"/>
        <v>0</v>
      </c>
      <c r="AI347" s="110">
        <f t="shared" si="1791"/>
        <v>0</v>
      </c>
      <c r="AJ347" s="110">
        <f>운전실적_원본!Y347</f>
        <v>0</v>
      </c>
      <c r="AK347" s="110">
        <f>운전실적_원본!Z347</f>
        <v>0</v>
      </c>
      <c r="AL347" s="106"/>
      <c r="AM347" s="105"/>
      <c r="AN347" s="105"/>
      <c r="AO347" s="105"/>
      <c r="AP347" s="105"/>
      <c r="AQ347" s="108"/>
      <c r="AR347" s="105"/>
      <c r="AS347" s="105"/>
      <c r="AT347" s="102"/>
      <c r="AU347" s="102"/>
      <c r="AV347" s="102"/>
      <c r="AW347" s="102"/>
      <c r="AX347" s="32">
        <f>운전실적_원본!W347</f>
        <v>0</v>
      </c>
      <c r="AY347" s="11">
        <f>운전실적_원본!X347</f>
        <v>0</v>
      </c>
      <c r="AZ347" s="11">
        <f>운전실적_원본!Y347</f>
        <v>0</v>
      </c>
      <c r="BA347" s="11">
        <f>운전실적_원본!Z347</f>
        <v>0</v>
      </c>
      <c r="BB347" s="11">
        <f>운전실적_원본!AA347</f>
        <v>0</v>
      </c>
      <c r="BC347" s="11">
        <f>운전실적_원본!AB347</f>
        <v>0</v>
      </c>
      <c r="BD347" s="32" t="str">
        <f t="shared" si="1777"/>
        <v>-</v>
      </c>
      <c r="BE347" s="11" t="str">
        <f t="shared" si="1785"/>
        <v>-</v>
      </c>
      <c r="BF347" s="11">
        <f>운전실적_원본!AE347</f>
        <v>0</v>
      </c>
      <c r="BG347" s="31">
        <f t="shared" si="1778"/>
        <v>0</v>
      </c>
      <c r="BH347" s="241">
        <f>INDEX(연료전지_원본!$A$4:$KY$369,MATCH($A347,연료전지_원본!$A$4:$A$369,0),MATCH($BH$4,연료전지_원본!$A$4:$KY$4,0))</f>
        <v>0</v>
      </c>
      <c r="BI347" s="241">
        <f>INDEX(연료전지_원본!$A$4:$KY$369,MATCH($A347,연료전지_원본!$A$4:$A$369,0),MATCH($BI$4,연료전지_원본!$A$4:$KY$4,0))</f>
        <v>0</v>
      </c>
      <c r="BJ347" s="241">
        <f>INDEX(연료전지_원본!$A$4:$KY$369,MATCH($A347,연료전지_원본!$A$4:$A$369,0),MATCH($BJ$4,연료전지_원본!$A$4:$KY$4,0))</f>
        <v>0</v>
      </c>
      <c r="BK347" s="241">
        <f>INDEX(연료전지_원본!$A$4:$KY$369,MATCH($A347,연료전지_원본!$A$4:$A$369,0),MATCH($BK$4,연료전지_원본!$A$4:$KY$4,0))</f>
        <v>0</v>
      </c>
      <c r="BL347" s="241">
        <f>INDEX(연료전지_원본!$A$4:$KY$369,MATCH($A347,연료전지_원본!$A$4:$A$369,0),MATCH($BL$4,연료전지_원본!$A$4:$KY$4,0))</f>
        <v>0</v>
      </c>
      <c r="BM347" s="241">
        <f>INDEX(연료전지_원본!$A$4:$KY$369,MATCH($A347,연료전지_원본!$A$4:$A$369,0),MATCH($BM$4,연료전지_원본!$A$4:$KY$4,0))</f>
        <v>0</v>
      </c>
      <c r="BN347" s="241">
        <f>INDEX(연료전지_원본!$A$4:$KY$369,MATCH($A347,연료전지_원본!$A$4:$A$369,0),MATCH($BN$4,연료전지_원본!$A$4:$KY$4,0))</f>
        <v>0</v>
      </c>
      <c r="BO347" s="241">
        <f>INDEX(연료전지_원본!$A$4:$KY$369,MATCH($A347,연료전지_원본!$A$4:$A$369,0),MATCH($BO$4,연료전지_원본!$A$4:$KY$4,0))</f>
        <v>0</v>
      </c>
      <c r="BP347" s="241">
        <f>INDEX(연료전지_원본!$A$4:$KY$369,MATCH($A347,연료전지_원본!$A$4:$A$369,0),MATCH($BP$4,연료전지_원본!$A$4:$KY$4,0))</f>
        <v>0</v>
      </c>
      <c r="BQ347" s="241">
        <f>INDEX(연료전지_원본!$A$4:$KY$369,MATCH($A347,연료전지_원본!$A$4:$A$369,0),MATCH($BQ$4,연료전지_원본!$A$4:$KY$4,0))</f>
        <v>0</v>
      </c>
      <c r="BR347" s="241">
        <f>INDEX(연료전지_원본!$A$4:$KY$369,MATCH($A347,연료전지_원본!$A$4:$A$369,0),MATCH($BR$4,연료전지_원본!$A$4:$KY$4,0))</f>
        <v>0</v>
      </c>
      <c r="BS347" s="241">
        <f>INDEX(연료전지_원본!$A$4:$KY$369,MATCH($A347,연료전지_원본!$A$4:$A$369,0),MATCH($BS$4,연료전지_원본!$A$4:$KY$4,0))</f>
        <v>0</v>
      </c>
      <c r="BT347" s="241">
        <f>INDEX(연료전지_원본!$A$4:$KY$369,MATCH($A347,연료전지_원본!$A$4:$A$369,0),MATCH($BT$4,연료전지_원본!$A$4:$KY$4,0))</f>
        <v>0</v>
      </c>
      <c r="BU347" s="241">
        <f>INDEX(연료전지_원본!$A$4:$KY$369,MATCH($A347,연료전지_원본!$A$4:$A$369,0),MATCH($BU$4,연료전지_원본!$A$4:$KY$4,0))</f>
        <v>0</v>
      </c>
      <c r="BV347" s="241">
        <f>INDEX(연료전지_원본!$A$4:$KY$369,MATCH($A347,연료전지_원본!$A$4:$A$369,0),MATCH($BV$4,연료전지_원본!$A$4:$KY$4,0))</f>
        <v>0</v>
      </c>
      <c r="BW347" s="241">
        <f>INDEX(연료전지_원본!$A$4:$KY$369,MATCH($A347,연료전지_원본!$A$4:$A$369,0),MATCH($BW$4,연료전지_원본!$A$4:$KY$4,0))</f>
        <v>0</v>
      </c>
      <c r="BX347" s="241">
        <f>INDEX(연료전지_원본!$A$4:$KY$369,MATCH($A347,연료전지_원본!$A$4:$A$369,0),MATCH($BX$4,연료전지_원본!$A$4:$KY$4,0))</f>
        <v>0</v>
      </c>
      <c r="BY347" s="241">
        <f>INDEX(연료전지_원본!$A$4:$KY$369,MATCH($A347,연료전지_원본!$A$4:$A$369,0),MATCH($BY$4,연료전지_원본!$A$4:$KY$4,0))</f>
        <v>0</v>
      </c>
      <c r="BZ347" s="241">
        <f>INDEX(연료전지_원본!$A$4:$KY$369,MATCH($A347,연료전지_원본!$A$4:$A$369,0),MATCH($BZ$4,연료전지_원본!$A$4:$KY$4,0))</f>
        <v>0</v>
      </c>
      <c r="CA347" s="241">
        <f>INDEX(연료전지_원본!$A$4:$KY$369,MATCH($A347,연료전지_원본!$A$4:$A$369,0),MATCH($CA$4,연료전지_원본!$A$4:$KY$4,0))</f>
        <v>0</v>
      </c>
      <c r="CB347" s="241">
        <f>INDEX(연료전지_원본!$A$4:$KY$369,MATCH($A347,연료전지_원본!$A$4:$A$369,0),MATCH($CB$4,연료전지_원본!$A$4:$KY$4,0))</f>
        <v>0</v>
      </c>
      <c r="CC347" s="242">
        <f>INDEX(연료전지_원본!$A$4:$KY$369,MATCH($A347,연료전지_원본!$A$4:$A$369,0),MATCH($CC$4,연료전지_원본!$A$4:$KY$4,0))</f>
        <v>0</v>
      </c>
      <c r="CD347" s="250">
        <f>INDEX(연료전지_원본!$KB$4:$KX$369,MATCH($A347,연료전지_원본!$KB$4:$KB$369,0), MATCH(CD$4,연료전지_원본!$KB$4:$KX$4,0))*1000</f>
        <v>0</v>
      </c>
      <c r="CE347" s="250">
        <f>INDEX(연료전지_원본!$KB$4:$KX$369,MATCH($A347,연료전지_원본!$KB$4:$KB$369,0), MATCH(CE$4,연료전지_원본!$KB$4:$KX$4,0))*1000</f>
        <v>0</v>
      </c>
      <c r="CF347" s="250">
        <f>INDEX(연료전지_원본!$KB$4:$KX$369,MATCH($A347,연료전지_원본!$KB$4:$KB$369,0), MATCH(CF$4,연료전지_원본!$KB$4:$KX$4,0))*1000</f>
        <v>0</v>
      </c>
      <c r="CG347" s="250">
        <f>INDEX(연료전지_원본!$KB$4:$KX$369,MATCH($A347,연료전지_원본!$KB$4:$KB$369,0), MATCH(CG$4,연료전지_원본!$KB$4:$KX$4,0))*1000</f>
        <v>0</v>
      </c>
      <c r="CH347" s="250">
        <f>INDEX(연료전지_원본!$KB$4:$KX$369,MATCH($A347,연료전지_원본!$KB$4:$KB$369,0), MATCH(CH$4,연료전지_원본!$KB$4:$KX$4,0))*1000</f>
        <v>0</v>
      </c>
      <c r="CI347" s="250">
        <f>INDEX(연료전지_원본!$KB$4:$KX$369,MATCH($A347,연료전지_원본!$KB$4:$KB$369,0), MATCH(CI$4,연료전지_원본!$KB$4:$KX$4,0))*1000</f>
        <v>0</v>
      </c>
      <c r="CJ347" s="250">
        <f>INDEX(연료전지_원본!$KB$4:$KX$369,MATCH($A347,연료전지_원본!$KB$4:$KB$369,0), MATCH(CJ$4,연료전지_원본!$KB$4:$KX$4,0))*1000</f>
        <v>0</v>
      </c>
      <c r="CK347" s="250">
        <f>INDEX(연료전지_원본!$KB$4:$KX$369,MATCH($A347,연료전지_원본!$KB$4:$KB$369,0), MATCH(CK$4,연료전지_원본!$KB$4:$KX$4,0))*1000</f>
        <v>0</v>
      </c>
      <c r="CL347" s="250">
        <f>INDEX(연료전지_원본!$KB$4:$KX$369,MATCH($A347,연료전지_원본!$KB$4:$KB$369,0), MATCH(CL$4,연료전지_원본!$KB$4:$KX$4,0))*1000</f>
        <v>0</v>
      </c>
      <c r="CM347" s="250">
        <f>INDEX(연료전지_원본!$KB$4:$KX$369,MATCH($A347,연료전지_원본!$KB$4:$KB$369,0), MATCH(CM$4,연료전지_원본!$KB$4:$KX$4,0))*1000</f>
        <v>0</v>
      </c>
      <c r="CN347" s="250">
        <f>INDEX(연료전지_원본!$KB$4:$KX$369,MATCH($A347,연료전지_원본!$KB$4:$KB$369,0), MATCH(CN$4,연료전지_원본!$KB$4:$KX$4,0))*1000</f>
        <v>0</v>
      </c>
      <c r="CO347" s="250">
        <f>INDEX(연료전지_원본!$KB$4:$KX$369,MATCH($A347,연료전지_원본!$KB$4:$KB$369,0), MATCH(CO$4,연료전지_원본!$KB$4:$KX$4,0))*1000</f>
        <v>0</v>
      </c>
      <c r="CP347" s="250">
        <f>INDEX(연료전지_원본!$KB$4:$KX$369,MATCH($A347,연료전지_원본!$KB$4:$KB$369,0), MATCH(CP$4,연료전지_원본!$KB$4:$KX$4,0))*1000</f>
        <v>0</v>
      </c>
      <c r="CQ347" s="250">
        <f>INDEX(연료전지_원본!$KB$4:$KX$369,MATCH($A347,연료전지_원본!$KB$4:$KB$369,0), MATCH(CQ$4,연료전지_원본!$KB$4:$KX$4,0))*1000</f>
        <v>0</v>
      </c>
      <c r="CR347" s="250">
        <f>INDEX(연료전지_원본!$KB$4:$KX$369,MATCH($A347,연료전지_원본!$KB$4:$KB$369,0), MATCH(CR$4,연료전지_원본!$KB$4:$KX$4,0))*1000</f>
        <v>0</v>
      </c>
      <c r="CS347" s="250">
        <f>INDEX(연료전지_원본!$KB$4:$KX$369,MATCH($A347,연료전지_원본!$KB$4:$KB$369,0), MATCH(CS$4,연료전지_원본!$KB$4:$KX$4,0))*1000</f>
        <v>0</v>
      </c>
      <c r="CT347" s="250">
        <f>INDEX(연료전지_원본!$KB$4:$KX$369,MATCH($A347,연료전지_원본!$KB$4:$KB$369,0), MATCH(CT$4,연료전지_원본!$KB$4:$KX$4,0))*1000</f>
        <v>0</v>
      </c>
      <c r="CU347" s="250">
        <f>INDEX(연료전지_원본!$KB$4:$KX$369,MATCH($A347,연료전지_원본!$KB$4:$KB$369,0), MATCH(CU$4,연료전지_원본!$KB$4:$KX$4,0))*1000</f>
        <v>0</v>
      </c>
      <c r="CV347" s="250">
        <f>INDEX(연료전지_원본!$KB$4:$KX$369,MATCH($A347,연료전지_원본!$KB$4:$KB$369,0), MATCH(CV$4,연료전지_원본!$KB$4:$KX$4,0))*1000</f>
        <v>0</v>
      </c>
      <c r="CW347" s="250">
        <f>INDEX(연료전지_원본!$KB$4:$KX$369,MATCH($A347,연료전지_원본!$KB$4:$KB$369,0), MATCH(CW$4,연료전지_원본!$KB$4:$KX$4,0))*1000</f>
        <v>0</v>
      </c>
      <c r="CX347" s="250">
        <f>INDEX(연료전지_원본!$KB$4:$KX$369,MATCH($A347,연료전지_원본!$KB$4:$KB$369,0), MATCH(CX$4,연료전지_원본!$KB$4:$KX$4,0))*1000</f>
        <v>0</v>
      </c>
      <c r="CY347" s="250">
        <f>INDEX(연료전지_원본!$KB$4:$KX$369,MATCH($A347,연료전지_원본!$KB$4:$KB$369,0), MATCH(CY$4,연료전지_원본!$KB$4:$KX$4,0))*1000</f>
        <v>0</v>
      </c>
      <c r="DV347" s="30">
        <f t="shared" si="1616"/>
        <v>0</v>
      </c>
    </row>
    <row r="348" spans="1:126">
      <c r="A348" s="6">
        <v>46365</v>
      </c>
      <c r="B348" s="15">
        <f>운전실적_원본!B348</f>
        <v>0</v>
      </c>
      <c r="C348" s="16" t="str">
        <f t="shared" si="1622"/>
        <v/>
      </c>
      <c r="D348" s="12">
        <f>운전실적_원본!C348</f>
        <v>0</v>
      </c>
      <c r="E348" s="12" t="str">
        <f t="shared" si="1623"/>
        <v/>
      </c>
      <c r="F348" s="12">
        <f>운전실적_원본!D348</f>
        <v>0</v>
      </c>
      <c r="G348" s="16" t="str">
        <f t="shared" si="1624"/>
        <v/>
      </c>
      <c r="H348" s="15">
        <f>운전실적_원본!E348</f>
        <v>0</v>
      </c>
      <c r="I348" s="16" t="str">
        <f t="shared" si="1625"/>
        <v/>
      </c>
      <c r="J348" s="15">
        <f>운전실적_원본!F348</f>
        <v>0</v>
      </c>
      <c r="K348" s="16" t="str">
        <f t="shared" si="1625"/>
        <v/>
      </c>
      <c r="L348" s="32">
        <f>운전실적_원본!G348</f>
        <v>0</v>
      </c>
      <c r="M348" s="31" t="str">
        <f t="shared" ref="M348" si="1892">IF(OR(LEN(L348)=0,L348=0),"",L348-L347)</f>
        <v/>
      </c>
      <c r="N348" s="15">
        <f>운전실적_원본!H348</f>
        <v>0</v>
      </c>
      <c r="O348" s="16" t="str">
        <f t="shared" ref="O348" si="1893">IF(OR(LEN(N348)=0,N348=0),"",N348-N347)</f>
        <v/>
      </c>
      <c r="P348" s="15">
        <f>운전실적_원본!I348</f>
        <v>0</v>
      </c>
      <c r="Q348" s="16" t="str">
        <f t="shared" ref="Q348" si="1894">IF(OR(LEN(P348)=0,P348=0),"",P348-P347)</f>
        <v/>
      </c>
      <c r="R348" s="18">
        <f>운전실적_원본!J348</f>
        <v>0</v>
      </c>
      <c r="S348" s="19" t="str">
        <f t="shared" ref="S348" si="1895">IF(OR(LEN(R348)=0,R348=0),"",R348-R347)</f>
        <v/>
      </c>
      <c r="T348" s="18">
        <f>운전실적_원본!K348</f>
        <v>0</v>
      </c>
      <c r="U348" s="19" t="str">
        <f t="shared" si="1630"/>
        <v/>
      </c>
      <c r="V348" s="12">
        <f>운전실적_원본!L348</f>
        <v>0</v>
      </c>
      <c r="W348" s="16" t="str">
        <f t="shared" ref="W348" si="1896">IF(OR(LEN(V348)=0,V348=0),"",V348-V347)</f>
        <v/>
      </c>
      <c r="X348" s="10">
        <f>운전실적_원본!M348</f>
        <v>0</v>
      </c>
      <c r="Y348" s="10">
        <f>운전실적_원본!N348</f>
        <v>0</v>
      </c>
      <c r="Z348" s="10">
        <f>운전실적_원본!O348</f>
        <v>0</v>
      </c>
      <c r="AA348" s="10">
        <f>운전실적_원본!P348</f>
        <v>0</v>
      </c>
      <c r="AB348" s="10">
        <f>운전실적_원본!Q348</f>
        <v>0</v>
      </c>
      <c r="AC348" s="20">
        <f>운전실적_원본!R348</f>
        <v>0</v>
      </c>
      <c r="AD348" s="109">
        <f>운전실적_원본!S348</f>
        <v>0</v>
      </c>
      <c r="AE348" s="110">
        <f>운전실적_원본!T348</f>
        <v>0</v>
      </c>
      <c r="AF348" s="110">
        <f>운전실적_원본!U348</f>
        <v>0</v>
      </c>
      <c r="AG348" s="110">
        <f>운전실적_원본!V348</f>
        <v>0</v>
      </c>
      <c r="AH348" s="109">
        <f t="shared" si="1784"/>
        <v>0</v>
      </c>
      <c r="AI348" s="110">
        <f t="shared" si="1791"/>
        <v>0</v>
      </c>
      <c r="AJ348" s="110">
        <f>운전실적_원본!Y348</f>
        <v>0</v>
      </c>
      <c r="AK348" s="110">
        <f>운전실적_원본!Z348</f>
        <v>0</v>
      </c>
      <c r="AL348" s="106"/>
      <c r="AM348" s="105"/>
      <c r="AN348" s="105"/>
      <c r="AO348" s="105"/>
      <c r="AP348" s="105"/>
      <c r="AQ348" s="108"/>
      <c r="AR348" s="105"/>
      <c r="AS348" s="105"/>
      <c r="AT348" s="102"/>
      <c r="AU348" s="102"/>
      <c r="AV348" s="102"/>
      <c r="AW348" s="102"/>
      <c r="AX348" s="32">
        <f>운전실적_원본!W348</f>
        <v>0</v>
      </c>
      <c r="AY348" s="11">
        <f>운전실적_원본!X348</f>
        <v>0</v>
      </c>
      <c r="AZ348" s="11">
        <f>운전실적_원본!Y348</f>
        <v>0</v>
      </c>
      <c r="BA348" s="11">
        <f>운전실적_원본!Z348</f>
        <v>0</v>
      </c>
      <c r="BB348" s="11">
        <f>운전실적_원본!AA348</f>
        <v>0</v>
      </c>
      <c r="BC348" s="11">
        <f>운전실적_원본!AB348</f>
        <v>0</v>
      </c>
      <c r="BD348" s="32" t="str">
        <f t="shared" si="1777"/>
        <v>-</v>
      </c>
      <c r="BE348" s="11" t="str">
        <f t="shared" si="1785"/>
        <v>-</v>
      </c>
      <c r="BF348" s="11">
        <f>운전실적_원본!AE348</f>
        <v>0</v>
      </c>
      <c r="BG348" s="31">
        <f t="shared" si="1778"/>
        <v>0</v>
      </c>
      <c r="BH348" s="241">
        <f>INDEX(연료전지_원본!$A$4:$KY$369,MATCH($A348,연료전지_원본!$A$4:$A$369,0),MATCH($BH$4,연료전지_원본!$A$4:$KY$4,0))</f>
        <v>0</v>
      </c>
      <c r="BI348" s="241">
        <f>INDEX(연료전지_원본!$A$4:$KY$369,MATCH($A348,연료전지_원본!$A$4:$A$369,0),MATCH($BI$4,연료전지_원본!$A$4:$KY$4,0))</f>
        <v>0</v>
      </c>
      <c r="BJ348" s="241">
        <f>INDEX(연료전지_원본!$A$4:$KY$369,MATCH($A348,연료전지_원본!$A$4:$A$369,0),MATCH($BJ$4,연료전지_원본!$A$4:$KY$4,0))</f>
        <v>0</v>
      </c>
      <c r="BK348" s="241">
        <f>INDEX(연료전지_원본!$A$4:$KY$369,MATCH($A348,연료전지_원본!$A$4:$A$369,0),MATCH($BK$4,연료전지_원본!$A$4:$KY$4,0))</f>
        <v>0</v>
      </c>
      <c r="BL348" s="241">
        <f>INDEX(연료전지_원본!$A$4:$KY$369,MATCH($A348,연료전지_원본!$A$4:$A$369,0),MATCH($BL$4,연료전지_원본!$A$4:$KY$4,0))</f>
        <v>0</v>
      </c>
      <c r="BM348" s="241">
        <f>INDEX(연료전지_원본!$A$4:$KY$369,MATCH($A348,연료전지_원본!$A$4:$A$369,0),MATCH($BM$4,연료전지_원본!$A$4:$KY$4,0))</f>
        <v>0</v>
      </c>
      <c r="BN348" s="241">
        <f>INDEX(연료전지_원본!$A$4:$KY$369,MATCH($A348,연료전지_원본!$A$4:$A$369,0),MATCH($BN$4,연료전지_원본!$A$4:$KY$4,0))</f>
        <v>0</v>
      </c>
      <c r="BO348" s="241">
        <f>INDEX(연료전지_원본!$A$4:$KY$369,MATCH($A348,연료전지_원본!$A$4:$A$369,0),MATCH($BO$4,연료전지_원본!$A$4:$KY$4,0))</f>
        <v>0</v>
      </c>
      <c r="BP348" s="241">
        <f>INDEX(연료전지_원본!$A$4:$KY$369,MATCH($A348,연료전지_원본!$A$4:$A$369,0),MATCH($BP$4,연료전지_원본!$A$4:$KY$4,0))</f>
        <v>0</v>
      </c>
      <c r="BQ348" s="241">
        <f>INDEX(연료전지_원본!$A$4:$KY$369,MATCH($A348,연료전지_원본!$A$4:$A$369,0),MATCH($BQ$4,연료전지_원본!$A$4:$KY$4,0))</f>
        <v>0</v>
      </c>
      <c r="BR348" s="241">
        <f>INDEX(연료전지_원본!$A$4:$KY$369,MATCH($A348,연료전지_원본!$A$4:$A$369,0),MATCH($BR$4,연료전지_원본!$A$4:$KY$4,0))</f>
        <v>0</v>
      </c>
      <c r="BS348" s="241">
        <f>INDEX(연료전지_원본!$A$4:$KY$369,MATCH($A348,연료전지_원본!$A$4:$A$369,0),MATCH($BS$4,연료전지_원본!$A$4:$KY$4,0))</f>
        <v>0</v>
      </c>
      <c r="BT348" s="241">
        <f>INDEX(연료전지_원본!$A$4:$KY$369,MATCH($A348,연료전지_원본!$A$4:$A$369,0),MATCH($BT$4,연료전지_원본!$A$4:$KY$4,0))</f>
        <v>0</v>
      </c>
      <c r="BU348" s="241">
        <f>INDEX(연료전지_원본!$A$4:$KY$369,MATCH($A348,연료전지_원본!$A$4:$A$369,0),MATCH($BU$4,연료전지_원본!$A$4:$KY$4,0))</f>
        <v>0</v>
      </c>
      <c r="BV348" s="241">
        <f>INDEX(연료전지_원본!$A$4:$KY$369,MATCH($A348,연료전지_원본!$A$4:$A$369,0),MATCH($BV$4,연료전지_원본!$A$4:$KY$4,0))</f>
        <v>0</v>
      </c>
      <c r="BW348" s="241">
        <f>INDEX(연료전지_원본!$A$4:$KY$369,MATCH($A348,연료전지_원본!$A$4:$A$369,0),MATCH($BW$4,연료전지_원본!$A$4:$KY$4,0))</f>
        <v>0</v>
      </c>
      <c r="BX348" s="241">
        <f>INDEX(연료전지_원본!$A$4:$KY$369,MATCH($A348,연료전지_원본!$A$4:$A$369,0),MATCH($BX$4,연료전지_원본!$A$4:$KY$4,0))</f>
        <v>0</v>
      </c>
      <c r="BY348" s="241">
        <f>INDEX(연료전지_원본!$A$4:$KY$369,MATCH($A348,연료전지_원본!$A$4:$A$369,0),MATCH($BY$4,연료전지_원본!$A$4:$KY$4,0))</f>
        <v>0</v>
      </c>
      <c r="BZ348" s="241">
        <f>INDEX(연료전지_원본!$A$4:$KY$369,MATCH($A348,연료전지_원본!$A$4:$A$369,0),MATCH($BZ$4,연료전지_원본!$A$4:$KY$4,0))</f>
        <v>0</v>
      </c>
      <c r="CA348" s="241">
        <f>INDEX(연료전지_원본!$A$4:$KY$369,MATCH($A348,연료전지_원본!$A$4:$A$369,0),MATCH($CA$4,연료전지_원본!$A$4:$KY$4,0))</f>
        <v>0</v>
      </c>
      <c r="CB348" s="241">
        <f>INDEX(연료전지_원본!$A$4:$KY$369,MATCH($A348,연료전지_원본!$A$4:$A$369,0),MATCH($CB$4,연료전지_원본!$A$4:$KY$4,0))</f>
        <v>0</v>
      </c>
      <c r="CC348" s="242">
        <f>INDEX(연료전지_원본!$A$4:$KY$369,MATCH($A348,연료전지_원본!$A$4:$A$369,0),MATCH($CC$4,연료전지_원본!$A$4:$KY$4,0))</f>
        <v>0</v>
      </c>
      <c r="CD348" s="250">
        <f>INDEX(연료전지_원본!$KB$4:$KX$369,MATCH($A348,연료전지_원본!$KB$4:$KB$369,0), MATCH(CD$4,연료전지_원본!$KB$4:$KX$4,0))*1000</f>
        <v>0</v>
      </c>
      <c r="CE348" s="250">
        <f>INDEX(연료전지_원본!$KB$4:$KX$369,MATCH($A348,연료전지_원본!$KB$4:$KB$369,0), MATCH(CE$4,연료전지_원본!$KB$4:$KX$4,0))*1000</f>
        <v>0</v>
      </c>
      <c r="CF348" s="250">
        <f>INDEX(연료전지_원본!$KB$4:$KX$369,MATCH($A348,연료전지_원본!$KB$4:$KB$369,0), MATCH(CF$4,연료전지_원본!$KB$4:$KX$4,0))*1000</f>
        <v>0</v>
      </c>
      <c r="CG348" s="250">
        <f>INDEX(연료전지_원본!$KB$4:$KX$369,MATCH($A348,연료전지_원본!$KB$4:$KB$369,0), MATCH(CG$4,연료전지_원본!$KB$4:$KX$4,0))*1000</f>
        <v>0</v>
      </c>
      <c r="CH348" s="250">
        <f>INDEX(연료전지_원본!$KB$4:$KX$369,MATCH($A348,연료전지_원본!$KB$4:$KB$369,0), MATCH(CH$4,연료전지_원본!$KB$4:$KX$4,0))*1000</f>
        <v>0</v>
      </c>
      <c r="CI348" s="250">
        <f>INDEX(연료전지_원본!$KB$4:$KX$369,MATCH($A348,연료전지_원본!$KB$4:$KB$369,0), MATCH(CI$4,연료전지_원본!$KB$4:$KX$4,0))*1000</f>
        <v>0</v>
      </c>
      <c r="CJ348" s="250">
        <f>INDEX(연료전지_원본!$KB$4:$KX$369,MATCH($A348,연료전지_원본!$KB$4:$KB$369,0), MATCH(CJ$4,연료전지_원본!$KB$4:$KX$4,0))*1000</f>
        <v>0</v>
      </c>
      <c r="CK348" s="250">
        <f>INDEX(연료전지_원본!$KB$4:$KX$369,MATCH($A348,연료전지_원본!$KB$4:$KB$369,0), MATCH(CK$4,연료전지_원본!$KB$4:$KX$4,0))*1000</f>
        <v>0</v>
      </c>
      <c r="CL348" s="250">
        <f>INDEX(연료전지_원본!$KB$4:$KX$369,MATCH($A348,연료전지_원본!$KB$4:$KB$369,0), MATCH(CL$4,연료전지_원본!$KB$4:$KX$4,0))*1000</f>
        <v>0</v>
      </c>
      <c r="CM348" s="250">
        <f>INDEX(연료전지_원본!$KB$4:$KX$369,MATCH($A348,연료전지_원본!$KB$4:$KB$369,0), MATCH(CM$4,연료전지_원본!$KB$4:$KX$4,0))*1000</f>
        <v>0</v>
      </c>
      <c r="CN348" s="250">
        <f>INDEX(연료전지_원본!$KB$4:$KX$369,MATCH($A348,연료전지_원본!$KB$4:$KB$369,0), MATCH(CN$4,연료전지_원본!$KB$4:$KX$4,0))*1000</f>
        <v>0</v>
      </c>
      <c r="CO348" s="250">
        <f>INDEX(연료전지_원본!$KB$4:$KX$369,MATCH($A348,연료전지_원본!$KB$4:$KB$369,0), MATCH(CO$4,연료전지_원본!$KB$4:$KX$4,0))*1000</f>
        <v>0</v>
      </c>
      <c r="CP348" s="250">
        <f>INDEX(연료전지_원본!$KB$4:$KX$369,MATCH($A348,연료전지_원본!$KB$4:$KB$369,0), MATCH(CP$4,연료전지_원본!$KB$4:$KX$4,0))*1000</f>
        <v>0</v>
      </c>
      <c r="CQ348" s="250">
        <f>INDEX(연료전지_원본!$KB$4:$KX$369,MATCH($A348,연료전지_원본!$KB$4:$KB$369,0), MATCH(CQ$4,연료전지_원본!$KB$4:$KX$4,0))*1000</f>
        <v>0</v>
      </c>
      <c r="CR348" s="250">
        <f>INDEX(연료전지_원본!$KB$4:$KX$369,MATCH($A348,연료전지_원본!$KB$4:$KB$369,0), MATCH(CR$4,연료전지_원본!$KB$4:$KX$4,0))*1000</f>
        <v>0</v>
      </c>
      <c r="CS348" s="250">
        <f>INDEX(연료전지_원본!$KB$4:$KX$369,MATCH($A348,연료전지_원본!$KB$4:$KB$369,0), MATCH(CS$4,연료전지_원본!$KB$4:$KX$4,0))*1000</f>
        <v>0</v>
      </c>
      <c r="CT348" s="250">
        <f>INDEX(연료전지_원본!$KB$4:$KX$369,MATCH($A348,연료전지_원본!$KB$4:$KB$369,0), MATCH(CT$4,연료전지_원본!$KB$4:$KX$4,0))*1000</f>
        <v>0</v>
      </c>
      <c r="CU348" s="250">
        <f>INDEX(연료전지_원본!$KB$4:$KX$369,MATCH($A348,연료전지_원본!$KB$4:$KB$369,0), MATCH(CU$4,연료전지_원본!$KB$4:$KX$4,0))*1000</f>
        <v>0</v>
      </c>
      <c r="CV348" s="250">
        <f>INDEX(연료전지_원본!$KB$4:$KX$369,MATCH($A348,연료전지_원본!$KB$4:$KB$369,0), MATCH(CV$4,연료전지_원본!$KB$4:$KX$4,0))*1000</f>
        <v>0</v>
      </c>
      <c r="CW348" s="250">
        <f>INDEX(연료전지_원본!$KB$4:$KX$369,MATCH($A348,연료전지_원본!$KB$4:$KB$369,0), MATCH(CW$4,연료전지_원본!$KB$4:$KX$4,0))*1000</f>
        <v>0</v>
      </c>
      <c r="CX348" s="250">
        <f>INDEX(연료전지_원본!$KB$4:$KX$369,MATCH($A348,연료전지_원본!$KB$4:$KB$369,0), MATCH(CX$4,연료전지_원본!$KB$4:$KX$4,0))*1000</f>
        <v>0</v>
      </c>
      <c r="CY348" s="250">
        <f>INDEX(연료전지_원본!$KB$4:$KX$369,MATCH($A348,연료전지_원본!$KB$4:$KB$369,0), MATCH(CY$4,연료전지_원본!$KB$4:$KX$4,0))*1000</f>
        <v>0</v>
      </c>
      <c r="DV348" s="30">
        <f t="shared" si="1616"/>
        <v>0</v>
      </c>
    </row>
    <row r="349" spans="1:126">
      <c r="A349" s="6">
        <v>46366</v>
      </c>
      <c r="B349" s="15">
        <f>운전실적_원본!B349</f>
        <v>0</v>
      </c>
      <c r="C349" s="16" t="str">
        <f t="shared" si="1622"/>
        <v/>
      </c>
      <c r="D349" s="12">
        <f>운전실적_원본!C349</f>
        <v>0</v>
      </c>
      <c r="E349" s="12" t="str">
        <f t="shared" si="1623"/>
        <v/>
      </c>
      <c r="F349" s="12">
        <f>운전실적_원본!D349</f>
        <v>0</v>
      </c>
      <c r="G349" s="16" t="str">
        <f t="shared" si="1624"/>
        <v/>
      </c>
      <c r="H349" s="15">
        <f>운전실적_원본!E349</f>
        <v>0</v>
      </c>
      <c r="I349" s="16" t="str">
        <f t="shared" si="1625"/>
        <v/>
      </c>
      <c r="J349" s="15">
        <f>운전실적_원본!F349</f>
        <v>0</v>
      </c>
      <c r="K349" s="16" t="str">
        <f t="shared" si="1625"/>
        <v/>
      </c>
      <c r="L349" s="32">
        <f>운전실적_원본!G349</f>
        <v>0</v>
      </c>
      <c r="M349" s="31" t="str">
        <f t="shared" ref="M349" si="1897">IF(OR(LEN(L349)=0,L349=0),"",L349-L348)</f>
        <v/>
      </c>
      <c r="N349" s="15">
        <f>운전실적_원본!H349</f>
        <v>0</v>
      </c>
      <c r="O349" s="16" t="str">
        <f t="shared" ref="O349" si="1898">IF(OR(LEN(N349)=0,N349=0),"",N349-N348)</f>
        <v/>
      </c>
      <c r="P349" s="15">
        <f>운전실적_원본!I349</f>
        <v>0</v>
      </c>
      <c r="Q349" s="16" t="str">
        <f t="shared" ref="Q349" si="1899">IF(OR(LEN(P349)=0,P349=0),"",P349-P348)</f>
        <v/>
      </c>
      <c r="R349" s="18">
        <f>운전실적_원본!J349</f>
        <v>0</v>
      </c>
      <c r="S349" s="19" t="str">
        <f t="shared" ref="S349" si="1900">IF(OR(LEN(R349)=0,R349=0),"",R349-R348)</f>
        <v/>
      </c>
      <c r="T349" s="18">
        <f>운전실적_원본!K349</f>
        <v>0</v>
      </c>
      <c r="U349" s="19" t="str">
        <f t="shared" si="1630"/>
        <v/>
      </c>
      <c r="V349" s="12">
        <f>운전실적_원본!L349</f>
        <v>0</v>
      </c>
      <c r="W349" s="16" t="str">
        <f t="shared" ref="W349" si="1901">IF(OR(LEN(V349)=0,V349=0),"",V349-V348)</f>
        <v/>
      </c>
      <c r="X349" s="10">
        <f>운전실적_원본!M349</f>
        <v>0</v>
      </c>
      <c r="Y349" s="10">
        <f>운전실적_원본!N349</f>
        <v>0</v>
      </c>
      <c r="Z349" s="10">
        <f>운전실적_원본!O349</f>
        <v>0</v>
      </c>
      <c r="AA349" s="10">
        <f>운전실적_원본!P349</f>
        <v>0</v>
      </c>
      <c r="AB349" s="10">
        <f>운전실적_원본!Q349</f>
        <v>0</v>
      </c>
      <c r="AC349" s="20">
        <f>운전실적_원본!R349</f>
        <v>0</v>
      </c>
      <c r="AD349" s="109">
        <f>운전실적_원본!S349</f>
        <v>0</v>
      </c>
      <c r="AE349" s="110">
        <f>운전실적_원본!T349</f>
        <v>0</v>
      </c>
      <c r="AF349" s="110">
        <f>운전실적_원본!U349</f>
        <v>0</v>
      </c>
      <c r="AG349" s="110">
        <f>운전실적_원본!V349</f>
        <v>0</v>
      </c>
      <c r="AH349" s="109">
        <f t="shared" si="1784"/>
        <v>0</v>
      </c>
      <c r="AI349" s="110">
        <f t="shared" si="1791"/>
        <v>0</v>
      </c>
      <c r="AJ349" s="110">
        <f>운전실적_원본!Y349</f>
        <v>0</v>
      </c>
      <c r="AK349" s="110">
        <f>운전실적_원본!Z349</f>
        <v>0</v>
      </c>
      <c r="AL349" s="106"/>
      <c r="AM349" s="105"/>
      <c r="AN349" s="105"/>
      <c r="AO349" s="105"/>
      <c r="AP349" s="105"/>
      <c r="AQ349" s="108"/>
      <c r="AR349" s="105"/>
      <c r="AS349" s="105"/>
      <c r="AT349" s="102"/>
      <c r="AU349" s="102"/>
      <c r="AV349" s="102"/>
      <c r="AW349" s="102"/>
      <c r="AX349" s="32">
        <f>운전실적_원본!W349</f>
        <v>0</v>
      </c>
      <c r="AY349" s="11">
        <f>운전실적_원본!X349</f>
        <v>0</v>
      </c>
      <c r="AZ349" s="11">
        <f>운전실적_원본!Y349</f>
        <v>0</v>
      </c>
      <c r="BA349" s="11">
        <f>운전실적_원본!Z349</f>
        <v>0</v>
      </c>
      <c r="BB349" s="11">
        <f>운전실적_원본!AA349</f>
        <v>0</v>
      </c>
      <c r="BC349" s="11">
        <f>운전실적_원본!AB349</f>
        <v>0</v>
      </c>
      <c r="BD349" s="32" t="str">
        <f t="shared" si="1777"/>
        <v>-</v>
      </c>
      <c r="BE349" s="11" t="str">
        <f t="shared" si="1785"/>
        <v>-</v>
      </c>
      <c r="BF349" s="11">
        <f>운전실적_원본!AE349</f>
        <v>0</v>
      </c>
      <c r="BG349" s="31">
        <f t="shared" si="1778"/>
        <v>0</v>
      </c>
      <c r="BH349" s="241">
        <f>INDEX(연료전지_원본!$A$4:$KY$369,MATCH($A349,연료전지_원본!$A$4:$A$369,0),MATCH($BH$4,연료전지_원본!$A$4:$KY$4,0))</f>
        <v>0</v>
      </c>
      <c r="BI349" s="241">
        <f>INDEX(연료전지_원본!$A$4:$KY$369,MATCH($A349,연료전지_원본!$A$4:$A$369,0),MATCH($BI$4,연료전지_원본!$A$4:$KY$4,0))</f>
        <v>0</v>
      </c>
      <c r="BJ349" s="241">
        <f>INDEX(연료전지_원본!$A$4:$KY$369,MATCH($A349,연료전지_원본!$A$4:$A$369,0),MATCH($BJ$4,연료전지_원본!$A$4:$KY$4,0))</f>
        <v>0</v>
      </c>
      <c r="BK349" s="241">
        <f>INDEX(연료전지_원본!$A$4:$KY$369,MATCH($A349,연료전지_원본!$A$4:$A$369,0),MATCH($BK$4,연료전지_원본!$A$4:$KY$4,0))</f>
        <v>0</v>
      </c>
      <c r="BL349" s="241">
        <f>INDEX(연료전지_원본!$A$4:$KY$369,MATCH($A349,연료전지_원본!$A$4:$A$369,0),MATCH($BL$4,연료전지_원본!$A$4:$KY$4,0))</f>
        <v>0</v>
      </c>
      <c r="BM349" s="241">
        <f>INDEX(연료전지_원본!$A$4:$KY$369,MATCH($A349,연료전지_원본!$A$4:$A$369,0),MATCH($BM$4,연료전지_원본!$A$4:$KY$4,0))</f>
        <v>0</v>
      </c>
      <c r="BN349" s="241">
        <f>INDEX(연료전지_원본!$A$4:$KY$369,MATCH($A349,연료전지_원본!$A$4:$A$369,0),MATCH($BN$4,연료전지_원본!$A$4:$KY$4,0))</f>
        <v>0</v>
      </c>
      <c r="BO349" s="241">
        <f>INDEX(연료전지_원본!$A$4:$KY$369,MATCH($A349,연료전지_원본!$A$4:$A$369,0),MATCH($BO$4,연료전지_원본!$A$4:$KY$4,0))</f>
        <v>0</v>
      </c>
      <c r="BP349" s="241">
        <f>INDEX(연료전지_원본!$A$4:$KY$369,MATCH($A349,연료전지_원본!$A$4:$A$369,0),MATCH($BP$4,연료전지_원본!$A$4:$KY$4,0))</f>
        <v>0</v>
      </c>
      <c r="BQ349" s="241">
        <f>INDEX(연료전지_원본!$A$4:$KY$369,MATCH($A349,연료전지_원본!$A$4:$A$369,0),MATCH($BQ$4,연료전지_원본!$A$4:$KY$4,0))</f>
        <v>0</v>
      </c>
      <c r="BR349" s="241">
        <f>INDEX(연료전지_원본!$A$4:$KY$369,MATCH($A349,연료전지_원본!$A$4:$A$369,0),MATCH($BR$4,연료전지_원본!$A$4:$KY$4,0))</f>
        <v>0</v>
      </c>
      <c r="BS349" s="241">
        <f>INDEX(연료전지_원본!$A$4:$KY$369,MATCH($A349,연료전지_원본!$A$4:$A$369,0),MATCH($BS$4,연료전지_원본!$A$4:$KY$4,0))</f>
        <v>0</v>
      </c>
      <c r="BT349" s="241">
        <f>INDEX(연료전지_원본!$A$4:$KY$369,MATCH($A349,연료전지_원본!$A$4:$A$369,0),MATCH($BT$4,연료전지_원본!$A$4:$KY$4,0))</f>
        <v>0</v>
      </c>
      <c r="BU349" s="241">
        <f>INDEX(연료전지_원본!$A$4:$KY$369,MATCH($A349,연료전지_원본!$A$4:$A$369,0),MATCH($BU$4,연료전지_원본!$A$4:$KY$4,0))</f>
        <v>0</v>
      </c>
      <c r="BV349" s="241">
        <f>INDEX(연료전지_원본!$A$4:$KY$369,MATCH($A349,연료전지_원본!$A$4:$A$369,0),MATCH($BV$4,연료전지_원본!$A$4:$KY$4,0))</f>
        <v>0</v>
      </c>
      <c r="BW349" s="241">
        <f>INDEX(연료전지_원본!$A$4:$KY$369,MATCH($A349,연료전지_원본!$A$4:$A$369,0),MATCH($BW$4,연료전지_원본!$A$4:$KY$4,0))</f>
        <v>0</v>
      </c>
      <c r="BX349" s="241">
        <f>INDEX(연료전지_원본!$A$4:$KY$369,MATCH($A349,연료전지_원본!$A$4:$A$369,0),MATCH($BX$4,연료전지_원본!$A$4:$KY$4,0))</f>
        <v>0</v>
      </c>
      <c r="BY349" s="241">
        <f>INDEX(연료전지_원본!$A$4:$KY$369,MATCH($A349,연료전지_원본!$A$4:$A$369,0),MATCH($BY$4,연료전지_원본!$A$4:$KY$4,0))</f>
        <v>0</v>
      </c>
      <c r="BZ349" s="241">
        <f>INDEX(연료전지_원본!$A$4:$KY$369,MATCH($A349,연료전지_원본!$A$4:$A$369,0),MATCH($BZ$4,연료전지_원본!$A$4:$KY$4,0))</f>
        <v>0</v>
      </c>
      <c r="CA349" s="241">
        <f>INDEX(연료전지_원본!$A$4:$KY$369,MATCH($A349,연료전지_원본!$A$4:$A$369,0),MATCH($CA$4,연료전지_원본!$A$4:$KY$4,0))</f>
        <v>0</v>
      </c>
      <c r="CB349" s="241">
        <f>INDEX(연료전지_원본!$A$4:$KY$369,MATCH($A349,연료전지_원본!$A$4:$A$369,0),MATCH($CB$4,연료전지_원본!$A$4:$KY$4,0))</f>
        <v>0</v>
      </c>
      <c r="CC349" s="242">
        <f>INDEX(연료전지_원본!$A$4:$KY$369,MATCH($A349,연료전지_원본!$A$4:$A$369,0),MATCH($CC$4,연료전지_원본!$A$4:$KY$4,0))</f>
        <v>0</v>
      </c>
      <c r="CD349" s="250">
        <f>INDEX(연료전지_원본!$KB$4:$KX$369,MATCH($A349,연료전지_원본!$KB$4:$KB$369,0), MATCH(CD$4,연료전지_원본!$KB$4:$KX$4,0))*1000</f>
        <v>0</v>
      </c>
      <c r="CE349" s="250">
        <f>INDEX(연료전지_원본!$KB$4:$KX$369,MATCH($A349,연료전지_원본!$KB$4:$KB$369,0), MATCH(CE$4,연료전지_원본!$KB$4:$KX$4,0))*1000</f>
        <v>0</v>
      </c>
      <c r="CF349" s="250">
        <f>INDEX(연료전지_원본!$KB$4:$KX$369,MATCH($A349,연료전지_원본!$KB$4:$KB$369,0), MATCH(CF$4,연료전지_원본!$KB$4:$KX$4,0))*1000</f>
        <v>0</v>
      </c>
      <c r="CG349" s="250">
        <f>INDEX(연료전지_원본!$KB$4:$KX$369,MATCH($A349,연료전지_원본!$KB$4:$KB$369,0), MATCH(CG$4,연료전지_원본!$KB$4:$KX$4,0))*1000</f>
        <v>0</v>
      </c>
      <c r="CH349" s="250">
        <f>INDEX(연료전지_원본!$KB$4:$KX$369,MATCH($A349,연료전지_원본!$KB$4:$KB$369,0), MATCH(CH$4,연료전지_원본!$KB$4:$KX$4,0))*1000</f>
        <v>0</v>
      </c>
      <c r="CI349" s="250">
        <f>INDEX(연료전지_원본!$KB$4:$KX$369,MATCH($A349,연료전지_원본!$KB$4:$KB$369,0), MATCH(CI$4,연료전지_원본!$KB$4:$KX$4,0))*1000</f>
        <v>0</v>
      </c>
      <c r="CJ349" s="250">
        <f>INDEX(연료전지_원본!$KB$4:$KX$369,MATCH($A349,연료전지_원본!$KB$4:$KB$369,0), MATCH(CJ$4,연료전지_원본!$KB$4:$KX$4,0))*1000</f>
        <v>0</v>
      </c>
      <c r="CK349" s="250">
        <f>INDEX(연료전지_원본!$KB$4:$KX$369,MATCH($A349,연료전지_원본!$KB$4:$KB$369,0), MATCH(CK$4,연료전지_원본!$KB$4:$KX$4,0))*1000</f>
        <v>0</v>
      </c>
      <c r="CL349" s="250">
        <f>INDEX(연료전지_원본!$KB$4:$KX$369,MATCH($A349,연료전지_원본!$KB$4:$KB$369,0), MATCH(CL$4,연료전지_원본!$KB$4:$KX$4,0))*1000</f>
        <v>0</v>
      </c>
      <c r="CM349" s="250">
        <f>INDEX(연료전지_원본!$KB$4:$KX$369,MATCH($A349,연료전지_원본!$KB$4:$KB$369,0), MATCH(CM$4,연료전지_원본!$KB$4:$KX$4,0))*1000</f>
        <v>0</v>
      </c>
      <c r="CN349" s="250">
        <f>INDEX(연료전지_원본!$KB$4:$KX$369,MATCH($A349,연료전지_원본!$KB$4:$KB$369,0), MATCH(CN$4,연료전지_원본!$KB$4:$KX$4,0))*1000</f>
        <v>0</v>
      </c>
      <c r="CO349" s="250">
        <f>INDEX(연료전지_원본!$KB$4:$KX$369,MATCH($A349,연료전지_원본!$KB$4:$KB$369,0), MATCH(CO$4,연료전지_원본!$KB$4:$KX$4,0))*1000</f>
        <v>0</v>
      </c>
      <c r="CP349" s="250">
        <f>INDEX(연료전지_원본!$KB$4:$KX$369,MATCH($A349,연료전지_원본!$KB$4:$KB$369,0), MATCH(CP$4,연료전지_원본!$KB$4:$KX$4,0))*1000</f>
        <v>0</v>
      </c>
      <c r="CQ349" s="250">
        <f>INDEX(연료전지_원본!$KB$4:$KX$369,MATCH($A349,연료전지_원본!$KB$4:$KB$369,0), MATCH(CQ$4,연료전지_원본!$KB$4:$KX$4,0))*1000</f>
        <v>0</v>
      </c>
      <c r="CR349" s="250">
        <f>INDEX(연료전지_원본!$KB$4:$KX$369,MATCH($A349,연료전지_원본!$KB$4:$KB$369,0), MATCH(CR$4,연료전지_원본!$KB$4:$KX$4,0))*1000</f>
        <v>0</v>
      </c>
      <c r="CS349" s="250">
        <f>INDEX(연료전지_원본!$KB$4:$KX$369,MATCH($A349,연료전지_원본!$KB$4:$KB$369,0), MATCH(CS$4,연료전지_원본!$KB$4:$KX$4,0))*1000</f>
        <v>0</v>
      </c>
      <c r="CT349" s="250">
        <f>INDEX(연료전지_원본!$KB$4:$KX$369,MATCH($A349,연료전지_원본!$KB$4:$KB$369,0), MATCH(CT$4,연료전지_원본!$KB$4:$KX$4,0))*1000</f>
        <v>0</v>
      </c>
      <c r="CU349" s="250">
        <f>INDEX(연료전지_원본!$KB$4:$KX$369,MATCH($A349,연료전지_원본!$KB$4:$KB$369,0), MATCH(CU$4,연료전지_원본!$KB$4:$KX$4,0))*1000</f>
        <v>0</v>
      </c>
      <c r="CV349" s="250">
        <f>INDEX(연료전지_원본!$KB$4:$KX$369,MATCH($A349,연료전지_원본!$KB$4:$KB$369,0), MATCH(CV$4,연료전지_원본!$KB$4:$KX$4,0))*1000</f>
        <v>0</v>
      </c>
      <c r="CW349" s="250">
        <f>INDEX(연료전지_원본!$KB$4:$KX$369,MATCH($A349,연료전지_원본!$KB$4:$KB$369,0), MATCH(CW$4,연료전지_원본!$KB$4:$KX$4,0))*1000</f>
        <v>0</v>
      </c>
      <c r="CX349" s="250">
        <f>INDEX(연료전지_원본!$KB$4:$KX$369,MATCH($A349,연료전지_원본!$KB$4:$KB$369,0), MATCH(CX$4,연료전지_원본!$KB$4:$KX$4,0))*1000</f>
        <v>0</v>
      </c>
      <c r="CY349" s="250">
        <f>INDEX(연료전지_원본!$KB$4:$KX$369,MATCH($A349,연료전지_원본!$KB$4:$KB$369,0), MATCH(CY$4,연료전지_원본!$KB$4:$KX$4,0))*1000</f>
        <v>0</v>
      </c>
      <c r="DV349" s="30">
        <f t="shared" si="1616"/>
        <v>0</v>
      </c>
    </row>
    <row r="350" spans="1:126">
      <c r="A350" s="6">
        <v>46367</v>
      </c>
      <c r="B350" s="15">
        <f>운전실적_원본!B350</f>
        <v>0</v>
      </c>
      <c r="C350" s="16" t="str">
        <f t="shared" si="1622"/>
        <v/>
      </c>
      <c r="D350" s="12">
        <f>운전실적_원본!C350</f>
        <v>0</v>
      </c>
      <c r="E350" s="12" t="str">
        <f t="shared" si="1623"/>
        <v/>
      </c>
      <c r="F350" s="12">
        <f>운전실적_원본!D350</f>
        <v>0</v>
      </c>
      <c r="G350" s="16" t="str">
        <f t="shared" si="1624"/>
        <v/>
      </c>
      <c r="H350" s="15">
        <f>운전실적_원본!E350</f>
        <v>0</v>
      </c>
      <c r="I350" s="16" t="str">
        <f t="shared" si="1625"/>
        <v/>
      </c>
      <c r="J350" s="15">
        <f>운전실적_원본!F350</f>
        <v>0</v>
      </c>
      <c r="K350" s="16" t="str">
        <f t="shared" si="1625"/>
        <v/>
      </c>
      <c r="L350" s="32">
        <f>운전실적_원본!G350</f>
        <v>0</v>
      </c>
      <c r="M350" s="31" t="str">
        <f t="shared" ref="M350" si="1902">IF(OR(LEN(L350)=0,L350=0),"",L350-L349)</f>
        <v/>
      </c>
      <c r="N350" s="15">
        <f>운전실적_원본!H350</f>
        <v>0</v>
      </c>
      <c r="O350" s="16" t="str">
        <f t="shared" ref="O350" si="1903">IF(OR(LEN(N350)=0,N350=0),"",N350-N349)</f>
        <v/>
      </c>
      <c r="P350" s="15">
        <f>운전실적_원본!I350</f>
        <v>0</v>
      </c>
      <c r="Q350" s="16" t="str">
        <f t="shared" ref="Q350" si="1904">IF(OR(LEN(P350)=0,P350=0),"",P350-P349)</f>
        <v/>
      </c>
      <c r="R350" s="18">
        <f>운전실적_원본!J350</f>
        <v>0</v>
      </c>
      <c r="S350" s="19" t="str">
        <f t="shared" ref="S350" si="1905">IF(OR(LEN(R350)=0,R350=0),"",R350-R349)</f>
        <v/>
      </c>
      <c r="T350" s="18">
        <f>운전실적_원본!K350</f>
        <v>0</v>
      </c>
      <c r="U350" s="19" t="str">
        <f t="shared" si="1630"/>
        <v/>
      </c>
      <c r="V350" s="12">
        <f>운전실적_원본!L350</f>
        <v>0</v>
      </c>
      <c r="W350" s="16" t="str">
        <f t="shared" ref="W350" si="1906">IF(OR(LEN(V350)=0,V350=0),"",V350-V349)</f>
        <v/>
      </c>
      <c r="X350" s="10">
        <f>운전실적_원본!M350</f>
        <v>0</v>
      </c>
      <c r="Y350" s="10">
        <f>운전실적_원본!N350</f>
        <v>0</v>
      </c>
      <c r="Z350" s="10">
        <f>운전실적_원본!O350</f>
        <v>0</v>
      </c>
      <c r="AA350" s="10">
        <f>운전실적_원본!P350</f>
        <v>0</v>
      </c>
      <c r="AB350" s="10">
        <f>운전실적_원본!Q350</f>
        <v>0</v>
      </c>
      <c r="AC350" s="20">
        <f>운전실적_원본!R350</f>
        <v>0</v>
      </c>
      <c r="AD350" s="109">
        <f>운전실적_원본!S350</f>
        <v>0</v>
      </c>
      <c r="AE350" s="110">
        <f>운전실적_원본!T350</f>
        <v>0</v>
      </c>
      <c r="AF350" s="110">
        <f>운전실적_원본!U350</f>
        <v>0</v>
      </c>
      <c r="AG350" s="110">
        <f>운전실적_원본!V350</f>
        <v>0</v>
      </c>
      <c r="AH350" s="109">
        <f t="shared" si="1784"/>
        <v>0</v>
      </c>
      <c r="AI350" s="110">
        <f t="shared" si="1791"/>
        <v>0</v>
      </c>
      <c r="AJ350" s="110">
        <f>운전실적_원본!Y350</f>
        <v>0</v>
      </c>
      <c r="AK350" s="110">
        <f>운전실적_원본!Z350</f>
        <v>0</v>
      </c>
      <c r="AL350" s="106"/>
      <c r="AM350" s="105"/>
      <c r="AN350" s="105"/>
      <c r="AO350" s="105"/>
      <c r="AP350" s="105"/>
      <c r="AQ350" s="108"/>
      <c r="AR350" s="105"/>
      <c r="AS350" s="105"/>
      <c r="AT350" s="102"/>
      <c r="AU350" s="102"/>
      <c r="AV350" s="102"/>
      <c r="AW350" s="102"/>
      <c r="AX350" s="32">
        <f>운전실적_원본!W350</f>
        <v>0</v>
      </c>
      <c r="AY350" s="11">
        <f>운전실적_원본!X350</f>
        <v>0</v>
      </c>
      <c r="AZ350" s="11">
        <f>운전실적_원본!Y350</f>
        <v>0</v>
      </c>
      <c r="BA350" s="11">
        <f>운전실적_원본!Z350</f>
        <v>0</v>
      </c>
      <c r="BB350" s="11">
        <f>운전실적_원본!AA350</f>
        <v>0</v>
      </c>
      <c r="BC350" s="11">
        <f>운전실적_원본!AB350</f>
        <v>0</v>
      </c>
      <c r="BD350" s="32" t="str">
        <f t="shared" si="1777"/>
        <v>-</v>
      </c>
      <c r="BE350" s="11" t="str">
        <f t="shared" si="1785"/>
        <v>-</v>
      </c>
      <c r="BF350" s="11">
        <f>운전실적_원본!AE350</f>
        <v>0</v>
      </c>
      <c r="BG350" s="31">
        <f t="shared" si="1778"/>
        <v>0</v>
      </c>
      <c r="BH350" s="241">
        <f>INDEX(연료전지_원본!$A$4:$KY$369,MATCH($A350,연료전지_원본!$A$4:$A$369,0),MATCH($BH$4,연료전지_원본!$A$4:$KY$4,0))</f>
        <v>0</v>
      </c>
      <c r="BI350" s="241">
        <f>INDEX(연료전지_원본!$A$4:$KY$369,MATCH($A350,연료전지_원본!$A$4:$A$369,0),MATCH($BI$4,연료전지_원본!$A$4:$KY$4,0))</f>
        <v>0</v>
      </c>
      <c r="BJ350" s="241">
        <f>INDEX(연료전지_원본!$A$4:$KY$369,MATCH($A350,연료전지_원본!$A$4:$A$369,0),MATCH($BJ$4,연료전지_원본!$A$4:$KY$4,0))</f>
        <v>0</v>
      </c>
      <c r="BK350" s="241">
        <f>INDEX(연료전지_원본!$A$4:$KY$369,MATCH($A350,연료전지_원본!$A$4:$A$369,0),MATCH($BK$4,연료전지_원본!$A$4:$KY$4,0))</f>
        <v>0</v>
      </c>
      <c r="BL350" s="241">
        <f>INDEX(연료전지_원본!$A$4:$KY$369,MATCH($A350,연료전지_원본!$A$4:$A$369,0),MATCH($BL$4,연료전지_원본!$A$4:$KY$4,0))</f>
        <v>0</v>
      </c>
      <c r="BM350" s="241">
        <f>INDEX(연료전지_원본!$A$4:$KY$369,MATCH($A350,연료전지_원본!$A$4:$A$369,0),MATCH($BM$4,연료전지_원본!$A$4:$KY$4,0))</f>
        <v>0</v>
      </c>
      <c r="BN350" s="241">
        <f>INDEX(연료전지_원본!$A$4:$KY$369,MATCH($A350,연료전지_원본!$A$4:$A$369,0),MATCH($BN$4,연료전지_원본!$A$4:$KY$4,0))</f>
        <v>0</v>
      </c>
      <c r="BO350" s="241">
        <f>INDEX(연료전지_원본!$A$4:$KY$369,MATCH($A350,연료전지_원본!$A$4:$A$369,0),MATCH($BO$4,연료전지_원본!$A$4:$KY$4,0))</f>
        <v>0</v>
      </c>
      <c r="BP350" s="241">
        <f>INDEX(연료전지_원본!$A$4:$KY$369,MATCH($A350,연료전지_원본!$A$4:$A$369,0),MATCH($BP$4,연료전지_원본!$A$4:$KY$4,0))</f>
        <v>0</v>
      </c>
      <c r="BQ350" s="241">
        <f>INDEX(연료전지_원본!$A$4:$KY$369,MATCH($A350,연료전지_원본!$A$4:$A$369,0),MATCH($BQ$4,연료전지_원본!$A$4:$KY$4,0))</f>
        <v>0</v>
      </c>
      <c r="BR350" s="241">
        <f>INDEX(연료전지_원본!$A$4:$KY$369,MATCH($A350,연료전지_원본!$A$4:$A$369,0),MATCH($BR$4,연료전지_원본!$A$4:$KY$4,0))</f>
        <v>0</v>
      </c>
      <c r="BS350" s="241">
        <f>INDEX(연료전지_원본!$A$4:$KY$369,MATCH($A350,연료전지_원본!$A$4:$A$369,0),MATCH($BS$4,연료전지_원본!$A$4:$KY$4,0))</f>
        <v>0</v>
      </c>
      <c r="BT350" s="241">
        <f>INDEX(연료전지_원본!$A$4:$KY$369,MATCH($A350,연료전지_원본!$A$4:$A$369,0),MATCH($BT$4,연료전지_원본!$A$4:$KY$4,0))</f>
        <v>0</v>
      </c>
      <c r="BU350" s="241">
        <f>INDEX(연료전지_원본!$A$4:$KY$369,MATCH($A350,연료전지_원본!$A$4:$A$369,0),MATCH($BU$4,연료전지_원본!$A$4:$KY$4,0))</f>
        <v>0</v>
      </c>
      <c r="BV350" s="241">
        <f>INDEX(연료전지_원본!$A$4:$KY$369,MATCH($A350,연료전지_원본!$A$4:$A$369,0),MATCH($BV$4,연료전지_원본!$A$4:$KY$4,0))</f>
        <v>0</v>
      </c>
      <c r="BW350" s="241">
        <f>INDEX(연료전지_원본!$A$4:$KY$369,MATCH($A350,연료전지_원본!$A$4:$A$369,0),MATCH($BW$4,연료전지_원본!$A$4:$KY$4,0))</f>
        <v>0</v>
      </c>
      <c r="BX350" s="241">
        <f>INDEX(연료전지_원본!$A$4:$KY$369,MATCH($A350,연료전지_원본!$A$4:$A$369,0),MATCH($BX$4,연료전지_원본!$A$4:$KY$4,0))</f>
        <v>0</v>
      </c>
      <c r="BY350" s="241">
        <f>INDEX(연료전지_원본!$A$4:$KY$369,MATCH($A350,연료전지_원본!$A$4:$A$369,0),MATCH($BY$4,연료전지_원본!$A$4:$KY$4,0))</f>
        <v>0</v>
      </c>
      <c r="BZ350" s="241">
        <f>INDEX(연료전지_원본!$A$4:$KY$369,MATCH($A350,연료전지_원본!$A$4:$A$369,0),MATCH($BZ$4,연료전지_원본!$A$4:$KY$4,0))</f>
        <v>0</v>
      </c>
      <c r="CA350" s="241">
        <f>INDEX(연료전지_원본!$A$4:$KY$369,MATCH($A350,연료전지_원본!$A$4:$A$369,0),MATCH($CA$4,연료전지_원본!$A$4:$KY$4,0))</f>
        <v>0</v>
      </c>
      <c r="CB350" s="241">
        <f>INDEX(연료전지_원본!$A$4:$KY$369,MATCH($A350,연료전지_원본!$A$4:$A$369,0),MATCH($CB$4,연료전지_원본!$A$4:$KY$4,0))</f>
        <v>0</v>
      </c>
      <c r="CC350" s="242">
        <f>INDEX(연료전지_원본!$A$4:$KY$369,MATCH($A350,연료전지_원본!$A$4:$A$369,0),MATCH($CC$4,연료전지_원본!$A$4:$KY$4,0))</f>
        <v>0</v>
      </c>
      <c r="CD350" s="250">
        <f>INDEX(연료전지_원본!$KB$4:$KX$369,MATCH($A350,연료전지_원본!$KB$4:$KB$369,0), MATCH(CD$4,연료전지_원본!$KB$4:$KX$4,0))*1000</f>
        <v>0</v>
      </c>
      <c r="CE350" s="250">
        <f>INDEX(연료전지_원본!$KB$4:$KX$369,MATCH($A350,연료전지_원본!$KB$4:$KB$369,0), MATCH(CE$4,연료전지_원본!$KB$4:$KX$4,0))*1000</f>
        <v>0</v>
      </c>
      <c r="CF350" s="250">
        <f>INDEX(연료전지_원본!$KB$4:$KX$369,MATCH($A350,연료전지_원본!$KB$4:$KB$369,0), MATCH(CF$4,연료전지_원본!$KB$4:$KX$4,0))*1000</f>
        <v>0</v>
      </c>
      <c r="CG350" s="250">
        <f>INDEX(연료전지_원본!$KB$4:$KX$369,MATCH($A350,연료전지_원본!$KB$4:$KB$369,0), MATCH(CG$4,연료전지_원본!$KB$4:$KX$4,0))*1000</f>
        <v>0</v>
      </c>
      <c r="CH350" s="250">
        <f>INDEX(연료전지_원본!$KB$4:$KX$369,MATCH($A350,연료전지_원본!$KB$4:$KB$369,0), MATCH(CH$4,연료전지_원본!$KB$4:$KX$4,0))*1000</f>
        <v>0</v>
      </c>
      <c r="CI350" s="250">
        <f>INDEX(연료전지_원본!$KB$4:$KX$369,MATCH($A350,연료전지_원본!$KB$4:$KB$369,0), MATCH(CI$4,연료전지_원본!$KB$4:$KX$4,0))*1000</f>
        <v>0</v>
      </c>
      <c r="CJ350" s="250">
        <f>INDEX(연료전지_원본!$KB$4:$KX$369,MATCH($A350,연료전지_원본!$KB$4:$KB$369,0), MATCH(CJ$4,연료전지_원본!$KB$4:$KX$4,0))*1000</f>
        <v>0</v>
      </c>
      <c r="CK350" s="250">
        <f>INDEX(연료전지_원본!$KB$4:$KX$369,MATCH($A350,연료전지_원본!$KB$4:$KB$369,0), MATCH(CK$4,연료전지_원본!$KB$4:$KX$4,0))*1000</f>
        <v>0</v>
      </c>
      <c r="CL350" s="250">
        <f>INDEX(연료전지_원본!$KB$4:$KX$369,MATCH($A350,연료전지_원본!$KB$4:$KB$369,0), MATCH(CL$4,연료전지_원본!$KB$4:$KX$4,0))*1000</f>
        <v>0</v>
      </c>
      <c r="CM350" s="250">
        <f>INDEX(연료전지_원본!$KB$4:$KX$369,MATCH($A350,연료전지_원본!$KB$4:$KB$369,0), MATCH(CM$4,연료전지_원본!$KB$4:$KX$4,0))*1000</f>
        <v>0</v>
      </c>
      <c r="CN350" s="250">
        <f>INDEX(연료전지_원본!$KB$4:$KX$369,MATCH($A350,연료전지_원본!$KB$4:$KB$369,0), MATCH(CN$4,연료전지_원본!$KB$4:$KX$4,0))*1000</f>
        <v>0</v>
      </c>
      <c r="CO350" s="250">
        <f>INDEX(연료전지_원본!$KB$4:$KX$369,MATCH($A350,연료전지_원본!$KB$4:$KB$369,0), MATCH(CO$4,연료전지_원본!$KB$4:$KX$4,0))*1000</f>
        <v>0</v>
      </c>
      <c r="CP350" s="250">
        <f>INDEX(연료전지_원본!$KB$4:$KX$369,MATCH($A350,연료전지_원본!$KB$4:$KB$369,0), MATCH(CP$4,연료전지_원본!$KB$4:$KX$4,0))*1000</f>
        <v>0</v>
      </c>
      <c r="CQ350" s="250">
        <f>INDEX(연료전지_원본!$KB$4:$KX$369,MATCH($A350,연료전지_원본!$KB$4:$KB$369,0), MATCH(CQ$4,연료전지_원본!$KB$4:$KX$4,0))*1000</f>
        <v>0</v>
      </c>
      <c r="CR350" s="250">
        <f>INDEX(연료전지_원본!$KB$4:$KX$369,MATCH($A350,연료전지_원본!$KB$4:$KB$369,0), MATCH(CR$4,연료전지_원본!$KB$4:$KX$4,0))*1000</f>
        <v>0</v>
      </c>
      <c r="CS350" s="250">
        <f>INDEX(연료전지_원본!$KB$4:$KX$369,MATCH($A350,연료전지_원본!$KB$4:$KB$369,0), MATCH(CS$4,연료전지_원본!$KB$4:$KX$4,0))*1000</f>
        <v>0</v>
      </c>
      <c r="CT350" s="250">
        <f>INDEX(연료전지_원본!$KB$4:$KX$369,MATCH($A350,연료전지_원본!$KB$4:$KB$369,0), MATCH(CT$4,연료전지_원본!$KB$4:$KX$4,0))*1000</f>
        <v>0</v>
      </c>
      <c r="CU350" s="250">
        <f>INDEX(연료전지_원본!$KB$4:$KX$369,MATCH($A350,연료전지_원본!$KB$4:$KB$369,0), MATCH(CU$4,연료전지_원본!$KB$4:$KX$4,0))*1000</f>
        <v>0</v>
      </c>
      <c r="CV350" s="250">
        <f>INDEX(연료전지_원본!$KB$4:$KX$369,MATCH($A350,연료전지_원본!$KB$4:$KB$369,0), MATCH(CV$4,연료전지_원본!$KB$4:$KX$4,0))*1000</f>
        <v>0</v>
      </c>
      <c r="CW350" s="250">
        <f>INDEX(연료전지_원본!$KB$4:$KX$369,MATCH($A350,연료전지_원본!$KB$4:$KB$369,0), MATCH(CW$4,연료전지_원본!$KB$4:$KX$4,0))*1000</f>
        <v>0</v>
      </c>
      <c r="CX350" s="250">
        <f>INDEX(연료전지_원본!$KB$4:$KX$369,MATCH($A350,연료전지_원본!$KB$4:$KB$369,0), MATCH(CX$4,연료전지_원본!$KB$4:$KX$4,0))*1000</f>
        <v>0</v>
      </c>
      <c r="CY350" s="250">
        <f>INDEX(연료전지_원본!$KB$4:$KX$369,MATCH($A350,연료전지_원본!$KB$4:$KB$369,0), MATCH(CY$4,연료전지_원본!$KB$4:$KX$4,0))*1000</f>
        <v>0</v>
      </c>
      <c r="DV350" s="30">
        <f t="shared" si="1616"/>
        <v>0</v>
      </c>
    </row>
    <row r="351" spans="1:126">
      <c r="A351" s="6">
        <v>46368</v>
      </c>
      <c r="B351" s="15">
        <f>운전실적_원본!B351</f>
        <v>0</v>
      </c>
      <c r="C351" s="16" t="str">
        <f t="shared" si="1622"/>
        <v/>
      </c>
      <c r="D351" s="12">
        <f>운전실적_원본!C351</f>
        <v>0</v>
      </c>
      <c r="E351" s="12" t="str">
        <f t="shared" si="1623"/>
        <v/>
      </c>
      <c r="F351" s="12">
        <f>운전실적_원본!D351</f>
        <v>0</v>
      </c>
      <c r="G351" s="16" t="str">
        <f t="shared" si="1624"/>
        <v/>
      </c>
      <c r="H351" s="15">
        <f>운전실적_원본!E351</f>
        <v>0</v>
      </c>
      <c r="I351" s="16" t="str">
        <f t="shared" si="1625"/>
        <v/>
      </c>
      <c r="J351" s="15">
        <f>운전실적_원본!F351</f>
        <v>0</v>
      </c>
      <c r="K351" s="16" t="str">
        <f t="shared" si="1625"/>
        <v/>
      </c>
      <c r="L351" s="32">
        <f>운전실적_원본!G351</f>
        <v>0</v>
      </c>
      <c r="M351" s="31" t="str">
        <f t="shared" ref="M351" si="1907">IF(OR(LEN(L351)=0,L351=0),"",L351-L350)</f>
        <v/>
      </c>
      <c r="N351" s="15">
        <f>운전실적_원본!H351</f>
        <v>0</v>
      </c>
      <c r="O351" s="16" t="str">
        <f t="shared" ref="O351" si="1908">IF(OR(LEN(N351)=0,N351=0),"",N351-N350)</f>
        <v/>
      </c>
      <c r="P351" s="15">
        <f>운전실적_원본!I351</f>
        <v>0</v>
      </c>
      <c r="Q351" s="16" t="str">
        <f t="shared" ref="Q351" si="1909">IF(OR(LEN(P351)=0,P351=0),"",P351-P350)</f>
        <v/>
      </c>
      <c r="R351" s="18">
        <f>운전실적_원본!J351</f>
        <v>0</v>
      </c>
      <c r="S351" s="19" t="str">
        <f t="shared" ref="S351" si="1910">IF(OR(LEN(R351)=0,R351=0),"",R351-R350)</f>
        <v/>
      </c>
      <c r="T351" s="18">
        <f>운전실적_원본!K351</f>
        <v>0</v>
      </c>
      <c r="U351" s="19" t="str">
        <f t="shared" si="1630"/>
        <v/>
      </c>
      <c r="V351" s="12">
        <f>운전실적_원본!L351</f>
        <v>0</v>
      </c>
      <c r="W351" s="16" t="str">
        <f t="shared" ref="W351" si="1911">IF(OR(LEN(V351)=0,V351=0),"",V351-V350)</f>
        <v/>
      </c>
      <c r="X351" s="10">
        <f>운전실적_원본!M351</f>
        <v>0</v>
      </c>
      <c r="Y351" s="10">
        <f>운전실적_원본!N351</f>
        <v>0</v>
      </c>
      <c r="Z351" s="10">
        <f>운전실적_원본!O351</f>
        <v>0</v>
      </c>
      <c r="AA351" s="10">
        <f>운전실적_원본!P351</f>
        <v>0</v>
      </c>
      <c r="AB351" s="10">
        <f>운전실적_원본!Q351</f>
        <v>0</v>
      </c>
      <c r="AC351" s="20">
        <f>운전실적_원본!R351</f>
        <v>0</v>
      </c>
      <c r="AD351" s="109">
        <f>운전실적_원본!S351</f>
        <v>0</v>
      </c>
      <c r="AE351" s="110">
        <f>운전실적_원본!T351</f>
        <v>0</v>
      </c>
      <c r="AF351" s="110">
        <f>운전실적_원본!U351</f>
        <v>0</v>
      </c>
      <c r="AG351" s="110">
        <f>운전실적_원본!V351</f>
        <v>0</v>
      </c>
      <c r="AH351" s="109">
        <f t="shared" si="1784"/>
        <v>0</v>
      </c>
      <c r="AI351" s="110">
        <f t="shared" si="1791"/>
        <v>0</v>
      </c>
      <c r="AJ351" s="110">
        <f>운전실적_원본!Y351</f>
        <v>0</v>
      </c>
      <c r="AK351" s="110">
        <f>운전실적_원본!Z351</f>
        <v>0</v>
      </c>
      <c r="AL351" s="106"/>
      <c r="AM351" s="105"/>
      <c r="AN351" s="105"/>
      <c r="AO351" s="105"/>
      <c r="AP351" s="105"/>
      <c r="AQ351" s="108"/>
      <c r="AR351" s="105"/>
      <c r="AS351" s="105"/>
      <c r="AT351" s="102"/>
      <c r="AU351" s="102"/>
      <c r="AV351" s="102"/>
      <c r="AW351" s="102"/>
      <c r="AX351" s="32">
        <f>운전실적_원본!W351</f>
        <v>0</v>
      </c>
      <c r="AY351" s="11">
        <f>운전실적_원본!X351</f>
        <v>0</v>
      </c>
      <c r="AZ351" s="11">
        <f>운전실적_원본!Y351</f>
        <v>0</v>
      </c>
      <c r="BA351" s="11">
        <f>운전실적_원본!Z351</f>
        <v>0</v>
      </c>
      <c r="BB351" s="11">
        <f>운전실적_원본!AA351</f>
        <v>0</v>
      </c>
      <c r="BC351" s="11">
        <f>운전실적_원본!AB351</f>
        <v>0</v>
      </c>
      <c r="BD351" s="32" t="str">
        <f t="shared" si="1777"/>
        <v>-</v>
      </c>
      <c r="BE351" s="11" t="str">
        <f t="shared" si="1785"/>
        <v>-</v>
      </c>
      <c r="BF351" s="11">
        <f>운전실적_원본!AE351</f>
        <v>0</v>
      </c>
      <c r="BG351" s="31">
        <f t="shared" si="1778"/>
        <v>0</v>
      </c>
      <c r="BH351" s="241">
        <f>INDEX(연료전지_원본!$A$4:$KY$369,MATCH($A351,연료전지_원본!$A$4:$A$369,0),MATCH($BH$4,연료전지_원본!$A$4:$KY$4,0))</f>
        <v>0</v>
      </c>
      <c r="BI351" s="241">
        <f>INDEX(연료전지_원본!$A$4:$KY$369,MATCH($A351,연료전지_원본!$A$4:$A$369,0),MATCH($BI$4,연료전지_원본!$A$4:$KY$4,0))</f>
        <v>0</v>
      </c>
      <c r="BJ351" s="241">
        <f>INDEX(연료전지_원본!$A$4:$KY$369,MATCH($A351,연료전지_원본!$A$4:$A$369,0),MATCH($BJ$4,연료전지_원본!$A$4:$KY$4,0))</f>
        <v>0</v>
      </c>
      <c r="BK351" s="241">
        <f>INDEX(연료전지_원본!$A$4:$KY$369,MATCH($A351,연료전지_원본!$A$4:$A$369,0),MATCH($BK$4,연료전지_원본!$A$4:$KY$4,0))</f>
        <v>0</v>
      </c>
      <c r="BL351" s="241">
        <f>INDEX(연료전지_원본!$A$4:$KY$369,MATCH($A351,연료전지_원본!$A$4:$A$369,0),MATCH($BL$4,연료전지_원본!$A$4:$KY$4,0))</f>
        <v>0</v>
      </c>
      <c r="BM351" s="241">
        <f>INDEX(연료전지_원본!$A$4:$KY$369,MATCH($A351,연료전지_원본!$A$4:$A$369,0),MATCH($BM$4,연료전지_원본!$A$4:$KY$4,0))</f>
        <v>0</v>
      </c>
      <c r="BN351" s="241">
        <f>INDEX(연료전지_원본!$A$4:$KY$369,MATCH($A351,연료전지_원본!$A$4:$A$369,0),MATCH($BN$4,연료전지_원본!$A$4:$KY$4,0))</f>
        <v>0</v>
      </c>
      <c r="BO351" s="241">
        <f>INDEX(연료전지_원본!$A$4:$KY$369,MATCH($A351,연료전지_원본!$A$4:$A$369,0),MATCH($BO$4,연료전지_원본!$A$4:$KY$4,0))</f>
        <v>0</v>
      </c>
      <c r="BP351" s="241">
        <f>INDEX(연료전지_원본!$A$4:$KY$369,MATCH($A351,연료전지_원본!$A$4:$A$369,0),MATCH($BP$4,연료전지_원본!$A$4:$KY$4,0))</f>
        <v>0</v>
      </c>
      <c r="BQ351" s="241">
        <f>INDEX(연료전지_원본!$A$4:$KY$369,MATCH($A351,연료전지_원본!$A$4:$A$369,0),MATCH($BQ$4,연료전지_원본!$A$4:$KY$4,0))</f>
        <v>0</v>
      </c>
      <c r="BR351" s="241">
        <f>INDEX(연료전지_원본!$A$4:$KY$369,MATCH($A351,연료전지_원본!$A$4:$A$369,0),MATCH($BR$4,연료전지_원본!$A$4:$KY$4,0))</f>
        <v>0</v>
      </c>
      <c r="BS351" s="241">
        <f>INDEX(연료전지_원본!$A$4:$KY$369,MATCH($A351,연료전지_원본!$A$4:$A$369,0),MATCH($BS$4,연료전지_원본!$A$4:$KY$4,0))</f>
        <v>0</v>
      </c>
      <c r="BT351" s="241">
        <f>INDEX(연료전지_원본!$A$4:$KY$369,MATCH($A351,연료전지_원본!$A$4:$A$369,0),MATCH($BT$4,연료전지_원본!$A$4:$KY$4,0))</f>
        <v>0</v>
      </c>
      <c r="BU351" s="241">
        <f>INDEX(연료전지_원본!$A$4:$KY$369,MATCH($A351,연료전지_원본!$A$4:$A$369,0),MATCH($BU$4,연료전지_원본!$A$4:$KY$4,0))</f>
        <v>0</v>
      </c>
      <c r="BV351" s="241">
        <f>INDEX(연료전지_원본!$A$4:$KY$369,MATCH($A351,연료전지_원본!$A$4:$A$369,0),MATCH($BV$4,연료전지_원본!$A$4:$KY$4,0))</f>
        <v>0</v>
      </c>
      <c r="BW351" s="241">
        <f>INDEX(연료전지_원본!$A$4:$KY$369,MATCH($A351,연료전지_원본!$A$4:$A$369,0),MATCH($BW$4,연료전지_원본!$A$4:$KY$4,0))</f>
        <v>0</v>
      </c>
      <c r="BX351" s="241">
        <f>INDEX(연료전지_원본!$A$4:$KY$369,MATCH($A351,연료전지_원본!$A$4:$A$369,0),MATCH($BX$4,연료전지_원본!$A$4:$KY$4,0))</f>
        <v>0</v>
      </c>
      <c r="BY351" s="241">
        <f>INDEX(연료전지_원본!$A$4:$KY$369,MATCH($A351,연료전지_원본!$A$4:$A$369,0),MATCH($BY$4,연료전지_원본!$A$4:$KY$4,0))</f>
        <v>0</v>
      </c>
      <c r="BZ351" s="241">
        <f>INDEX(연료전지_원본!$A$4:$KY$369,MATCH($A351,연료전지_원본!$A$4:$A$369,0),MATCH($BZ$4,연료전지_원본!$A$4:$KY$4,0))</f>
        <v>0</v>
      </c>
      <c r="CA351" s="241">
        <f>INDEX(연료전지_원본!$A$4:$KY$369,MATCH($A351,연료전지_원본!$A$4:$A$369,0),MATCH($CA$4,연료전지_원본!$A$4:$KY$4,0))</f>
        <v>0</v>
      </c>
      <c r="CB351" s="241">
        <f>INDEX(연료전지_원본!$A$4:$KY$369,MATCH($A351,연료전지_원본!$A$4:$A$369,0),MATCH($CB$4,연료전지_원본!$A$4:$KY$4,0))</f>
        <v>0</v>
      </c>
      <c r="CC351" s="242">
        <f>INDEX(연료전지_원본!$A$4:$KY$369,MATCH($A351,연료전지_원본!$A$4:$A$369,0),MATCH($CC$4,연료전지_원본!$A$4:$KY$4,0))</f>
        <v>0</v>
      </c>
      <c r="CD351" s="250">
        <f>INDEX(연료전지_원본!$KB$4:$KX$369,MATCH($A351,연료전지_원본!$KB$4:$KB$369,0), MATCH(CD$4,연료전지_원본!$KB$4:$KX$4,0))*1000</f>
        <v>0</v>
      </c>
      <c r="CE351" s="250">
        <f>INDEX(연료전지_원본!$KB$4:$KX$369,MATCH($A351,연료전지_원본!$KB$4:$KB$369,0), MATCH(CE$4,연료전지_원본!$KB$4:$KX$4,0))*1000</f>
        <v>0</v>
      </c>
      <c r="CF351" s="250">
        <f>INDEX(연료전지_원본!$KB$4:$KX$369,MATCH($A351,연료전지_원본!$KB$4:$KB$369,0), MATCH(CF$4,연료전지_원본!$KB$4:$KX$4,0))*1000</f>
        <v>0</v>
      </c>
      <c r="CG351" s="250">
        <f>INDEX(연료전지_원본!$KB$4:$KX$369,MATCH($A351,연료전지_원본!$KB$4:$KB$369,0), MATCH(CG$4,연료전지_원본!$KB$4:$KX$4,0))*1000</f>
        <v>0</v>
      </c>
      <c r="CH351" s="250">
        <f>INDEX(연료전지_원본!$KB$4:$KX$369,MATCH($A351,연료전지_원본!$KB$4:$KB$369,0), MATCH(CH$4,연료전지_원본!$KB$4:$KX$4,0))*1000</f>
        <v>0</v>
      </c>
      <c r="CI351" s="250">
        <f>INDEX(연료전지_원본!$KB$4:$KX$369,MATCH($A351,연료전지_원본!$KB$4:$KB$369,0), MATCH(CI$4,연료전지_원본!$KB$4:$KX$4,0))*1000</f>
        <v>0</v>
      </c>
      <c r="CJ351" s="250">
        <f>INDEX(연료전지_원본!$KB$4:$KX$369,MATCH($A351,연료전지_원본!$KB$4:$KB$369,0), MATCH(CJ$4,연료전지_원본!$KB$4:$KX$4,0))*1000</f>
        <v>0</v>
      </c>
      <c r="CK351" s="250">
        <f>INDEX(연료전지_원본!$KB$4:$KX$369,MATCH($A351,연료전지_원본!$KB$4:$KB$369,0), MATCH(CK$4,연료전지_원본!$KB$4:$KX$4,0))*1000</f>
        <v>0</v>
      </c>
      <c r="CL351" s="250">
        <f>INDEX(연료전지_원본!$KB$4:$KX$369,MATCH($A351,연료전지_원본!$KB$4:$KB$369,0), MATCH(CL$4,연료전지_원본!$KB$4:$KX$4,0))*1000</f>
        <v>0</v>
      </c>
      <c r="CM351" s="250">
        <f>INDEX(연료전지_원본!$KB$4:$KX$369,MATCH($A351,연료전지_원본!$KB$4:$KB$369,0), MATCH(CM$4,연료전지_원본!$KB$4:$KX$4,0))*1000</f>
        <v>0</v>
      </c>
      <c r="CN351" s="250">
        <f>INDEX(연료전지_원본!$KB$4:$KX$369,MATCH($A351,연료전지_원본!$KB$4:$KB$369,0), MATCH(CN$4,연료전지_원본!$KB$4:$KX$4,0))*1000</f>
        <v>0</v>
      </c>
      <c r="CO351" s="250">
        <f>INDEX(연료전지_원본!$KB$4:$KX$369,MATCH($A351,연료전지_원본!$KB$4:$KB$369,0), MATCH(CO$4,연료전지_원본!$KB$4:$KX$4,0))*1000</f>
        <v>0</v>
      </c>
      <c r="CP351" s="250">
        <f>INDEX(연료전지_원본!$KB$4:$KX$369,MATCH($A351,연료전지_원본!$KB$4:$KB$369,0), MATCH(CP$4,연료전지_원본!$KB$4:$KX$4,0))*1000</f>
        <v>0</v>
      </c>
      <c r="CQ351" s="250">
        <f>INDEX(연료전지_원본!$KB$4:$KX$369,MATCH($A351,연료전지_원본!$KB$4:$KB$369,0), MATCH(CQ$4,연료전지_원본!$KB$4:$KX$4,0))*1000</f>
        <v>0</v>
      </c>
      <c r="CR351" s="250">
        <f>INDEX(연료전지_원본!$KB$4:$KX$369,MATCH($A351,연료전지_원본!$KB$4:$KB$369,0), MATCH(CR$4,연료전지_원본!$KB$4:$KX$4,0))*1000</f>
        <v>0</v>
      </c>
      <c r="CS351" s="250">
        <f>INDEX(연료전지_원본!$KB$4:$KX$369,MATCH($A351,연료전지_원본!$KB$4:$KB$369,0), MATCH(CS$4,연료전지_원본!$KB$4:$KX$4,0))*1000</f>
        <v>0</v>
      </c>
      <c r="CT351" s="250">
        <f>INDEX(연료전지_원본!$KB$4:$KX$369,MATCH($A351,연료전지_원본!$KB$4:$KB$369,0), MATCH(CT$4,연료전지_원본!$KB$4:$KX$4,0))*1000</f>
        <v>0</v>
      </c>
      <c r="CU351" s="250">
        <f>INDEX(연료전지_원본!$KB$4:$KX$369,MATCH($A351,연료전지_원본!$KB$4:$KB$369,0), MATCH(CU$4,연료전지_원본!$KB$4:$KX$4,0))*1000</f>
        <v>0</v>
      </c>
      <c r="CV351" s="250">
        <f>INDEX(연료전지_원본!$KB$4:$KX$369,MATCH($A351,연료전지_원본!$KB$4:$KB$369,0), MATCH(CV$4,연료전지_원본!$KB$4:$KX$4,0))*1000</f>
        <v>0</v>
      </c>
      <c r="CW351" s="250">
        <f>INDEX(연료전지_원본!$KB$4:$KX$369,MATCH($A351,연료전지_원본!$KB$4:$KB$369,0), MATCH(CW$4,연료전지_원본!$KB$4:$KX$4,0))*1000</f>
        <v>0</v>
      </c>
      <c r="CX351" s="250">
        <f>INDEX(연료전지_원본!$KB$4:$KX$369,MATCH($A351,연료전지_원본!$KB$4:$KB$369,0), MATCH(CX$4,연료전지_원본!$KB$4:$KX$4,0))*1000</f>
        <v>0</v>
      </c>
      <c r="CY351" s="250">
        <f>INDEX(연료전지_원본!$KB$4:$KX$369,MATCH($A351,연료전지_원본!$KB$4:$KB$369,0), MATCH(CY$4,연료전지_원본!$KB$4:$KX$4,0))*1000</f>
        <v>0</v>
      </c>
      <c r="DV351" s="30">
        <f t="shared" si="1616"/>
        <v>0</v>
      </c>
    </row>
    <row r="352" spans="1:126">
      <c r="A352" s="6">
        <v>46369</v>
      </c>
      <c r="B352" s="15">
        <f>운전실적_원본!B352</f>
        <v>0</v>
      </c>
      <c r="C352" s="16" t="str">
        <f t="shared" si="1622"/>
        <v/>
      </c>
      <c r="D352" s="12">
        <f>운전실적_원본!C352</f>
        <v>0</v>
      </c>
      <c r="E352" s="12" t="str">
        <f t="shared" si="1623"/>
        <v/>
      </c>
      <c r="F352" s="12">
        <f>운전실적_원본!D352</f>
        <v>0</v>
      </c>
      <c r="G352" s="16" t="str">
        <f t="shared" si="1624"/>
        <v/>
      </c>
      <c r="H352" s="15">
        <f>운전실적_원본!E352</f>
        <v>0</v>
      </c>
      <c r="I352" s="16" t="str">
        <f t="shared" si="1625"/>
        <v/>
      </c>
      <c r="J352" s="15">
        <f>운전실적_원본!F352</f>
        <v>0</v>
      </c>
      <c r="K352" s="16" t="str">
        <f t="shared" si="1625"/>
        <v/>
      </c>
      <c r="L352" s="32">
        <f>운전실적_원본!G352</f>
        <v>0</v>
      </c>
      <c r="M352" s="31" t="str">
        <f t="shared" ref="M352" si="1912">IF(OR(LEN(L352)=0,L352=0),"",L352-L351)</f>
        <v/>
      </c>
      <c r="N352" s="15">
        <f>운전실적_원본!H352</f>
        <v>0</v>
      </c>
      <c r="O352" s="16" t="str">
        <f t="shared" ref="O352" si="1913">IF(OR(LEN(N352)=0,N352=0),"",N352-N351)</f>
        <v/>
      </c>
      <c r="P352" s="15">
        <f>운전실적_원본!I352</f>
        <v>0</v>
      </c>
      <c r="Q352" s="16" t="str">
        <f t="shared" ref="Q352" si="1914">IF(OR(LEN(P352)=0,P352=0),"",P352-P351)</f>
        <v/>
      </c>
      <c r="R352" s="18">
        <f>운전실적_원본!J352</f>
        <v>0</v>
      </c>
      <c r="S352" s="19" t="str">
        <f t="shared" ref="S352" si="1915">IF(OR(LEN(R352)=0,R352=0),"",R352-R351)</f>
        <v/>
      </c>
      <c r="T352" s="18">
        <f>운전실적_원본!K352</f>
        <v>0</v>
      </c>
      <c r="U352" s="19" t="str">
        <f t="shared" si="1630"/>
        <v/>
      </c>
      <c r="V352" s="12">
        <f>운전실적_원본!L352</f>
        <v>0</v>
      </c>
      <c r="W352" s="16" t="str">
        <f t="shared" ref="W352" si="1916">IF(OR(LEN(V352)=0,V352=0),"",V352-V351)</f>
        <v/>
      </c>
      <c r="X352" s="10">
        <f>운전실적_원본!M352</f>
        <v>0</v>
      </c>
      <c r="Y352" s="10">
        <f>운전실적_원본!N352</f>
        <v>0</v>
      </c>
      <c r="Z352" s="10">
        <f>운전실적_원본!O352</f>
        <v>0</v>
      </c>
      <c r="AA352" s="10">
        <f>운전실적_원본!P352</f>
        <v>0</v>
      </c>
      <c r="AB352" s="10">
        <f>운전실적_원본!Q352</f>
        <v>0</v>
      </c>
      <c r="AC352" s="20">
        <f>운전실적_원본!R352</f>
        <v>0</v>
      </c>
      <c r="AD352" s="109">
        <f>운전실적_원본!S352</f>
        <v>0</v>
      </c>
      <c r="AE352" s="110">
        <f>운전실적_원본!T352</f>
        <v>0</v>
      </c>
      <c r="AF352" s="110">
        <f>운전실적_원본!U352</f>
        <v>0</v>
      </c>
      <c r="AG352" s="110">
        <f>운전실적_원본!V352</f>
        <v>0</v>
      </c>
      <c r="AH352" s="109">
        <f t="shared" si="1784"/>
        <v>0</v>
      </c>
      <c r="AI352" s="110">
        <f t="shared" si="1791"/>
        <v>0</v>
      </c>
      <c r="AJ352" s="110">
        <f>운전실적_원본!Y352</f>
        <v>0</v>
      </c>
      <c r="AK352" s="110">
        <f>운전실적_원본!Z352</f>
        <v>0</v>
      </c>
      <c r="AL352" s="106"/>
      <c r="AM352" s="105"/>
      <c r="AN352" s="105"/>
      <c r="AO352" s="105"/>
      <c r="AP352" s="105"/>
      <c r="AQ352" s="108"/>
      <c r="AR352" s="105"/>
      <c r="AS352" s="105"/>
      <c r="AT352" s="102"/>
      <c r="AU352" s="102"/>
      <c r="AV352" s="102"/>
      <c r="AW352" s="102"/>
      <c r="AX352" s="32">
        <f>운전실적_원본!W352</f>
        <v>0</v>
      </c>
      <c r="AY352" s="11">
        <f>운전실적_원본!X352</f>
        <v>0</v>
      </c>
      <c r="AZ352" s="11">
        <f>운전실적_원본!Y352</f>
        <v>0</v>
      </c>
      <c r="BA352" s="11">
        <f>운전실적_원본!Z352</f>
        <v>0</v>
      </c>
      <c r="BB352" s="11">
        <f>운전실적_원본!AA352</f>
        <v>0</v>
      </c>
      <c r="BC352" s="11">
        <f>운전실적_원본!AB352</f>
        <v>0</v>
      </c>
      <c r="BD352" s="32" t="str">
        <f t="shared" si="1777"/>
        <v>-</v>
      </c>
      <c r="BE352" s="11" t="str">
        <f t="shared" si="1785"/>
        <v>-</v>
      </c>
      <c r="BF352" s="11">
        <f>운전실적_원본!AE352</f>
        <v>0</v>
      </c>
      <c r="BG352" s="31">
        <f t="shared" si="1778"/>
        <v>0</v>
      </c>
      <c r="BH352" s="241">
        <f>INDEX(연료전지_원본!$A$4:$KY$369,MATCH($A352,연료전지_원본!$A$4:$A$369,0),MATCH($BH$4,연료전지_원본!$A$4:$KY$4,0))</f>
        <v>0</v>
      </c>
      <c r="BI352" s="241">
        <f>INDEX(연료전지_원본!$A$4:$KY$369,MATCH($A352,연료전지_원본!$A$4:$A$369,0),MATCH($BI$4,연료전지_원본!$A$4:$KY$4,0))</f>
        <v>0</v>
      </c>
      <c r="BJ352" s="241">
        <f>INDEX(연료전지_원본!$A$4:$KY$369,MATCH($A352,연료전지_원본!$A$4:$A$369,0),MATCH($BJ$4,연료전지_원본!$A$4:$KY$4,0))</f>
        <v>0</v>
      </c>
      <c r="BK352" s="241">
        <f>INDEX(연료전지_원본!$A$4:$KY$369,MATCH($A352,연료전지_원본!$A$4:$A$369,0),MATCH($BK$4,연료전지_원본!$A$4:$KY$4,0))</f>
        <v>0</v>
      </c>
      <c r="BL352" s="241">
        <f>INDEX(연료전지_원본!$A$4:$KY$369,MATCH($A352,연료전지_원본!$A$4:$A$369,0),MATCH($BL$4,연료전지_원본!$A$4:$KY$4,0))</f>
        <v>0</v>
      </c>
      <c r="BM352" s="241">
        <f>INDEX(연료전지_원본!$A$4:$KY$369,MATCH($A352,연료전지_원본!$A$4:$A$369,0),MATCH($BM$4,연료전지_원본!$A$4:$KY$4,0))</f>
        <v>0</v>
      </c>
      <c r="BN352" s="241">
        <f>INDEX(연료전지_원본!$A$4:$KY$369,MATCH($A352,연료전지_원본!$A$4:$A$369,0),MATCH($BN$4,연료전지_원본!$A$4:$KY$4,0))</f>
        <v>0</v>
      </c>
      <c r="BO352" s="241">
        <f>INDEX(연료전지_원본!$A$4:$KY$369,MATCH($A352,연료전지_원본!$A$4:$A$369,0),MATCH($BO$4,연료전지_원본!$A$4:$KY$4,0))</f>
        <v>0</v>
      </c>
      <c r="BP352" s="241">
        <f>INDEX(연료전지_원본!$A$4:$KY$369,MATCH($A352,연료전지_원본!$A$4:$A$369,0),MATCH($BP$4,연료전지_원본!$A$4:$KY$4,0))</f>
        <v>0</v>
      </c>
      <c r="BQ352" s="241">
        <f>INDEX(연료전지_원본!$A$4:$KY$369,MATCH($A352,연료전지_원본!$A$4:$A$369,0),MATCH($BQ$4,연료전지_원본!$A$4:$KY$4,0))</f>
        <v>0</v>
      </c>
      <c r="BR352" s="241">
        <f>INDEX(연료전지_원본!$A$4:$KY$369,MATCH($A352,연료전지_원본!$A$4:$A$369,0),MATCH($BR$4,연료전지_원본!$A$4:$KY$4,0))</f>
        <v>0</v>
      </c>
      <c r="BS352" s="241">
        <f>INDEX(연료전지_원본!$A$4:$KY$369,MATCH($A352,연료전지_원본!$A$4:$A$369,0),MATCH($BS$4,연료전지_원본!$A$4:$KY$4,0))</f>
        <v>0</v>
      </c>
      <c r="BT352" s="241">
        <f>INDEX(연료전지_원본!$A$4:$KY$369,MATCH($A352,연료전지_원본!$A$4:$A$369,0),MATCH($BT$4,연료전지_원본!$A$4:$KY$4,0))</f>
        <v>0</v>
      </c>
      <c r="BU352" s="241">
        <f>INDEX(연료전지_원본!$A$4:$KY$369,MATCH($A352,연료전지_원본!$A$4:$A$369,0),MATCH($BU$4,연료전지_원본!$A$4:$KY$4,0))</f>
        <v>0</v>
      </c>
      <c r="BV352" s="241">
        <f>INDEX(연료전지_원본!$A$4:$KY$369,MATCH($A352,연료전지_원본!$A$4:$A$369,0),MATCH($BV$4,연료전지_원본!$A$4:$KY$4,0))</f>
        <v>0</v>
      </c>
      <c r="BW352" s="241">
        <f>INDEX(연료전지_원본!$A$4:$KY$369,MATCH($A352,연료전지_원본!$A$4:$A$369,0),MATCH($BW$4,연료전지_원본!$A$4:$KY$4,0))</f>
        <v>0</v>
      </c>
      <c r="BX352" s="241">
        <f>INDEX(연료전지_원본!$A$4:$KY$369,MATCH($A352,연료전지_원본!$A$4:$A$369,0),MATCH($BX$4,연료전지_원본!$A$4:$KY$4,0))</f>
        <v>0</v>
      </c>
      <c r="BY352" s="241">
        <f>INDEX(연료전지_원본!$A$4:$KY$369,MATCH($A352,연료전지_원본!$A$4:$A$369,0),MATCH($BY$4,연료전지_원본!$A$4:$KY$4,0))</f>
        <v>0</v>
      </c>
      <c r="BZ352" s="241">
        <f>INDEX(연료전지_원본!$A$4:$KY$369,MATCH($A352,연료전지_원본!$A$4:$A$369,0),MATCH($BZ$4,연료전지_원본!$A$4:$KY$4,0))</f>
        <v>0</v>
      </c>
      <c r="CA352" s="241">
        <f>INDEX(연료전지_원본!$A$4:$KY$369,MATCH($A352,연료전지_원본!$A$4:$A$369,0),MATCH($CA$4,연료전지_원본!$A$4:$KY$4,0))</f>
        <v>0</v>
      </c>
      <c r="CB352" s="241">
        <f>INDEX(연료전지_원본!$A$4:$KY$369,MATCH($A352,연료전지_원본!$A$4:$A$369,0),MATCH($CB$4,연료전지_원본!$A$4:$KY$4,0))</f>
        <v>0</v>
      </c>
      <c r="CC352" s="242">
        <f>INDEX(연료전지_원본!$A$4:$KY$369,MATCH($A352,연료전지_원본!$A$4:$A$369,0),MATCH($CC$4,연료전지_원본!$A$4:$KY$4,0))</f>
        <v>0</v>
      </c>
      <c r="CD352" s="250">
        <f>INDEX(연료전지_원본!$KB$4:$KX$369,MATCH($A352,연료전지_원본!$KB$4:$KB$369,0), MATCH(CD$4,연료전지_원본!$KB$4:$KX$4,0))*1000</f>
        <v>0</v>
      </c>
      <c r="CE352" s="250">
        <f>INDEX(연료전지_원본!$KB$4:$KX$369,MATCH($A352,연료전지_원본!$KB$4:$KB$369,0), MATCH(CE$4,연료전지_원본!$KB$4:$KX$4,0))*1000</f>
        <v>0</v>
      </c>
      <c r="CF352" s="250">
        <f>INDEX(연료전지_원본!$KB$4:$KX$369,MATCH($A352,연료전지_원본!$KB$4:$KB$369,0), MATCH(CF$4,연료전지_원본!$KB$4:$KX$4,0))*1000</f>
        <v>0</v>
      </c>
      <c r="CG352" s="250">
        <f>INDEX(연료전지_원본!$KB$4:$KX$369,MATCH($A352,연료전지_원본!$KB$4:$KB$369,0), MATCH(CG$4,연료전지_원본!$KB$4:$KX$4,0))*1000</f>
        <v>0</v>
      </c>
      <c r="CH352" s="250">
        <f>INDEX(연료전지_원본!$KB$4:$KX$369,MATCH($A352,연료전지_원본!$KB$4:$KB$369,0), MATCH(CH$4,연료전지_원본!$KB$4:$KX$4,0))*1000</f>
        <v>0</v>
      </c>
      <c r="CI352" s="250">
        <f>INDEX(연료전지_원본!$KB$4:$KX$369,MATCH($A352,연료전지_원본!$KB$4:$KB$369,0), MATCH(CI$4,연료전지_원본!$KB$4:$KX$4,0))*1000</f>
        <v>0</v>
      </c>
      <c r="CJ352" s="250">
        <f>INDEX(연료전지_원본!$KB$4:$KX$369,MATCH($A352,연료전지_원본!$KB$4:$KB$369,0), MATCH(CJ$4,연료전지_원본!$KB$4:$KX$4,0))*1000</f>
        <v>0</v>
      </c>
      <c r="CK352" s="250">
        <f>INDEX(연료전지_원본!$KB$4:$KX$369,MATCH($A352,연료전지_원본!$KB$4:$KB$369,0), MATCH(CK$4,연료전지_원본!$KB$4:$KX$4,0))*1000</f>
        <v>0</v>
      </c>
      <c r="CL352" s="250">
        <f>INDEX(연료전지_원본!$KB$4:$KX$369,MATCH($A352,연료전지_원본!$KB$4:$KB$369,0), MATCH(CL$4,연료전지_원본!$KB$4:$KX$4,0))*1000</f>
        <v>0</v>
      </c>
      <c r="CM352" s="250">
        <f>INDEX(연료전지_원본!$KB$4:$KX$369,MATCH($A352,연료전지_원본!$KB$4:$KB$369,0), MATCH(CM$4,연료전지_원본!$KB$4:$KX$4,0))*1000</f>
        <v>0</v>
      </c>
      <c r="CN352" s="250">
        <f>INDEX(연료전지_원본!$KB$4:$KX$369,MATCH($A352,연료전지_원본!$KB$4:$KB$369,0), MATCH(CN$4,연료전지_원본!$KB$4:$KX$4,0))*1000</f>
        <v>0</v>
      </c>
      <c r="CO352" s="250">
        <f>INDEX(연료전지_원본!$KB$4:$KX$369,MATCH($A352,연료전지_원본!$KB$4:$KB$369,0), MATCH(CO$4,연료전지_원본!$KB$4:$KX$4,0))*1000</f>
        <v>0</v>
      </c>
      <c r="CP352" s="250">
        <f>INDEX(연료전지_원본!$KB$4:$KX$369,MATCH($A352,연료전지_원본!$KB$4:$KB$369,0), MATCH(CP$4,연료전지_원본!$KB$4:$KX$4,0))*1000</f>
        <v>0</v>
      </c>
      <c r="CQ352" s="250">
        <f>INDEX(연료전지_원본!$KB$4:$KX$369,MATCH($A352,연료전지_원본!$KB$4:$KB$369,0), MATCH(CQ$4,연료전지_원본!$KB$4:$KX$4,0))*1000</f>
        <v>0</v>
      </c>
      <c r="CR352" s="250">
        <f>INDEX(연료전지_원본!$KB$4:$KX$369,MATCH($A352,연료전지_원본!$KB$4:$KB$369,0), MATCH(CR$4,연료전지_원본!$KB$4:$KX$4,0))*1000</f>
        <v>0</v>
      </c>
      <c r="CS352" s="250">
        <f>INDEX(연료전지_원본!$KB$4:$KX$369,MATCH($A352,연료전지_원본!$KB$4:$KB$369,0), MATCH(CS$4,연료전지_원본!$KB$4:$KX$4,0))*1000</f>
        <v>0</v>
      </c>
      <c r="CT352" s="250">
        <f>INDEX(연료전지_원본!$KB$4:$KX$369,MATCH($A352,연료전지_원본!$KB$4:$KB$369,0), MATCH(CT$4,연료전지_원본!$KB$4:$KX$4,0))*1000</f>
        <v>0</v>
      </c>
      <c r="CU352" s="250">
        <f>INDEX(연료전지_원본!$KB$4:$KX$369,MATCH($A352,연료전지_원본!$KB$4:$KB$369,0), MATCH(CU$4,연료전지_원본!$KB$4:$KX$4,0))*1000</f>
        <v>0</v>
      </c>
      <c r="CV352" s="250">
        <f>INDEX(연료전지_원본!$KB$4:$KX$369,MATCH($A352,연료전지_원본!$KB$4:$KB$369,0), MATCH(CV$4,연료전지_원본!$KB$4:$KX$4,0))*1000</f>
        <v>0</v>
      </c>
      <c r="CW352" s="250">
        <f>INDEX(연료전지_원본!$KB$4:$KX$369,MATCH($A352,연료전지_원본!$KB$4:$KB$369,0), MATCH(CW$4,연료전지_원본!$KB$4:$KX$4,0))*1000</f>
        <v>0</v>
      </c>
      <c r="CX352" s="250">
        <f>INDEX(연료전지_원본!$KB$4:$KX$369,MATCH($A352,연료전지_원본!$KB$4:$KB$369,0), MATCH(CX$4,연료전지_원본!$KB$4:$KX$4,0))*1000</f>
        <v>0</v>
      </c>
      <c r="CY352" s="250">
        <f>INDEX(연료전지_원본!$KB$4:$KX$369,MATCH($A352,연료전지_원본!$KB$4:$KB$369,0), MATCH(CY$4,연료전지_원본!$KB$4:$KX$4,0))*1000</f>
        <v>0</v>
      </c>
      <c r="DV352" s="30">
        <f t="shared" si="1616"/>
        <v>0</v>
      </c>
    </row>
    <row r="353" spans="1:126">
      <c r="A353" s="6">
        <v>46370</v>
      </c>
      <c r="B353" s="15">
        <f>운전실적_원본!B353</f>
        <v>0</v>
      </c>
      <c r="C353" s="16" t="str">
        <f t="shared" si="1622"/>
        <v/>
      </c>
      <c r="D353" s="12">
        <f>운전실적_원본!C353</f>
        <v>0</v>
      </c>
      <c r="E353" s="12" t="str">
        <f t="shared" si="1623"/>
        <v/>
      </c>
      <c r="F353" s="12">
        <f>운전실적_원본!D353</f>
        <v>0</v>
      </c>
      <c r="G353" s="16" t="str">
        <f t="shared" si="1624"/>
        <v/>
      </c>
      <c r="H353" s="15">
        <f>운전실적_원본!E353</f>
        <v>0</v>
      </c>
      <c r="I353" s="16" t="str">
        <f t="shared" si="1625"/>
        <v/>
      </c>
      <c r="J353" s="15">
        <f>운전실적_원본!F353</f>
        <v>0</v>
      </c>
      <c r="K353" s="16" t="str">
        <f t="shared" si="1625"/>
        <v/>
      </c>
      <c r="L353" s="32">
        <f>운전실적_원본!G353</f>
        <v>0</v>
      </c>
      <c r="M353" s="31" t="str">
        <f t="shared" ref="M353" si="1917">IF(OR(LEN(L353)=0,L353=0),"",L353-L352)</f>
        <v/>
      </c>
      <c r="N353" s="15">
        <f>운전실적_원본!H353</f>
        <v>0</v>
      </c>
      <c r="O353" s="16" t="str">
        <f t="shared" ref="O353" si="1918">IF(OR(LEN(N353)=0,N353=0),"",N353-N352)</f>
        <v/>
      </c>
      <c r="P353" s="15">
        <f>운전실적_원본!I353</f>
        <v>0</v>
      </c>
      <c r="Q353" s="16" t="str">
        <f t="shared" ref="Q353" si="1919">IF(OR(LEN(P353)=0,P353=0),"",P353-P352)</f>
        <v/>
      </c>
      <c r="R353" s="18">
        <f>운전실적_원본!J353</f>
        <v>0</v>
      </c>
      <c r="S353" s="19" t="str">
        <f t="shared" ref="S353" si="1920">IF(OR(LEN(R353)=0,R353=0),"",R353-R352)</f>
        <v/>
      </c>
      <c r="T353" s="18">
        <f>운전실적_원본!K353</f>
        <v>0</v>
      </c>
      <c r="U353" s="19" t="str">
        <f t="shared" si="1630"/>
        <v/>
      </c>
      <c r="V353" s="12">
        <f>운전실적_원본!L353</f>
        <v>0</v>
      </c>
      <c r="W353" s="16" t="str">
        <f t="shared" ref="W353" si="1921">IF(OR(LEN(V353)=0,V353=0),"",V353-V352)</f>
        <v/>
      </c>
      <c r="X353" s="10">
        <f>운전실적_원본!M353</f>
        <v>0</v>
      </c>
      <c r="Y353" s="10">
        <f>운전실적_원본!N353</f>
        <v>0</v>
      </c>
      <c r="Z353" s="10">
        <f>운전실적_원본!O353</f>
        <v>0</v>
      </c>
      <c r="AA353" s="10">
        <f>운전실적_원본!P353</f>
        <v>0</v>
      </c>
      <c r="AB353" s="10">
        <f>운전실적_원본!Q353</f>
        <v>0</v>
      </c>
      <c r="AC353" s="20">
        <f>운전실적_원본!R353</f>
        <v>0</v>
      </c>
      <c r="AD353" s="109">
        <f>운전실적_원본!S353</f>
        <v>0</v>
      </c>
      <c r="AE353" s="110">
        <f>운전실적_원본!T353</f>
        <v>0</v>
      </c>
      <c r="AF353" s="110">
        <f>운전실적_원본!U353</f>
        <v>0</v>
      </c>
      <c r="AG353" s="110">
        <f>운전실적_원본!V353</f>
        <v>0</v>
      </c>
      <c r="AH353" s="109">
        <f t="shared" si="1784"/>
        <v>0</v>
      </c>
      <c r="AI353" s="110">
        <f t="shared" si="1791"/>
        <v>0</v>
      </c>
      <c r="AJ353" s="110">
        <f>운전실적_원본!Y353</f>
        <v>0</v>
      </c>
      <c r="AK353" s="110">
        <f>운전실적_원본!Z353</f>
        <v>0</v>
      </c>
      <c r="AL353" s="106"/>
      <c r="AM353" s="105"/>
      <c r="AN353" s="105"/>
      <c r="AO353" s="105"/>
      <c r="AP353" s="105"/>
      <c r="AQ353" s="108"/>
      <c r="AR353" s="105"/>
      <c r="AS353" s="105"/>
      <c r="AT353" s="102"/>
      <c r="AU353" s="102"/>
      <c r="AV353" s="102"/>
      <c r="AW353" s="102"/>
      <c r="AX353" s="32">
        <f>운전실적_원본!W353</f>
        <v>0</v>
      </c>
      <c r="AY353" s="11">
        <f>운전실적_원본!X353</f>
        <v>0</v>
      </c>
      <c r="AZ353" s="11">
        <f>운전실적_원본!Y353</f>
        <v>0</v>
      </c>
      <c r="BA353" s="11">
        <f>운전실적_원본!Z353</f>
        <v>0</v>
      </c>
      <c r="BB353" s="11">
        <f>운전실적_원본!AA353</f>
        <v>0</v>
      </c>
      <c r="BC353" s="11">
        <f>운전실적_원본!AB353</f>
        <v>0</v>
      </c>
      <c r="BD353" s="32" t="str">
        <f t="shared" si="1777"/>
        <v>-</v>
      </c>
      <c r="BE353" s="11" t="str">
        <f t="shared" si="1785"/>
        <v>-</v>
      </c>
      <c r="BF353" s="11">
        <f>운전실적_원본!AE353</f>
        <v>0</v>
      </c>
      <c r="BG353" s="31">
        <f t="shared" si="1778"/>
        <v>0</v>
      </c>
      <c r="BH353" s="241">
        <f>INDEX(연료전지_원본!$A$4:$KY$369,MATCH($A353,연료전지_원본!$A$4:$A$369,0),MATCH($BH$4,연료전지_원본!$A$4:$KY$4,0))</f>
        <v>0</v>
      </c>
      <c r="BI353" s="241">
        <f>INDEX(연료전지_원본!$A$4:$KY$369,MATCH($A353,연료전지_원본!$A$4:$A$369,0),MATCH($BI$4,연료전지_원본!$A$4:$KY$4,0))</f>
        <v>0</v>
      </c>
      <c r="BJ353" s="241">
        <f>INDEX(연료전지_원본!$A$4:$KY$369,MATCH($A353,연료전지_원본!$A$4:$A$369,0),MATCH($BJ$4,연료전지_원본!$A$4:$KY$4,0))</f>
        <v>0</v>
      </c>
      <c r="BK353" s="241">
        <f>INDEX(연료전지_원본!$A$4:$KY$369,MATCH($A353,연료전지_원본!$A$4:$A$369,0),MATCH($BK$4,연료전지_원본!$A$4:$KY$4,0))</f>
        <v>0</v>
      </c>
      <c r="BL353" s="241">
        <f>INDEX(연료전지_원본!$A$4:$KY$369,MATCH($A353,연료전지_원본!$A$4:$A$369,0),MATCH($BL$4,연료전지_원본!$A$4:$KY$4,0))</f>
        <v>0</v>
      </c>
      <c r="BM353" s="241">
        <f>INDEX(연료전지_원본!$A$4:$KY$369,MATCH($A353,연료전지_원본!$A$4:$A$369,0),MATCH($BM$4,연료전지_원본!$A$4:$KY$4,0))</f>
        <v>0</v>
      </c>
      <c r="BN353" s="241">
        <f>INDEX(연료전지_원본!$A$4:$KY$369,MATCH($A353,연료전지_원본!$A$4:$A$369,0),MATCH($BN$4,연료전지_원본!$A$4:$KY$4,0))</f>
        <v>0</v>
      </c>
      <c r="BO353" s="241">
        <f>INDEX(연료전지_원본!$A$4:$KY$369,MATCH($A353,연료전지_원본!$A$4:$A$369,0),MATCH($BO$4,연료전지_원본!$A$4:$KY$4,0))</f>
        <v>0</v>
      </c>
      <c r="BP353" s="241">
        <f>INDEX(연료전지_원본!$A$4:$KY$369,MATCH($A353,연료전지_원본!$A$4:$A$369,0),MATCH($BP$4,연료전지_원본!$A$4:$KY$4,0))</f>
        <v>0</v>
      </c>
      <c r="BQ353" s="241">
        <f>INDEX(연료전지_원본!$A$4:$KY$369,MATCH($A353,연료전지_원본!$A$4:$A$369,0),MATCH($BQ$4,연료전지_원본!$A$4:$KY$4,0))</f>
        <v>0</v>
      </c>
      <c r="BR353" s="241">
        <f>INDEX(연료전지_원본!$A$4:$KY$369,MATCH($A353,연료전지_원본!$A$4:$A$369,0),MATCH($BR$4,연료전지_원본!$A$4:$KY$4,0))</f>
        <v>0</v>
      </c>
      <c r="BS353" s="241">
        <f>INDEX(연료전지_원본!$A$4:$KY$369,MATCH($A353,연료전지_원본!$A$4:$A$369,0),MATCH($BS$4,연료전지_원본!$A$4:$KY$4,0))</f>
        <v>0</v>
      </c>
      <c r="BT353" s="241">
        <f>INDEX(연료전지_원본!$A$4:$KY$369,MATCH($A353,연료전지_원본!$A$4:$A$369,0),MATCH($BT$4,연료전지_원본!$A$4:$KY$4,0))</f>
        <v>0</v>
      </c>
      <c r="BU353" s="241">
        <f>INDEX(연료전지_원본!$A$4:$KY$369,MATCH($A353,연료전지_원본!$A$4:$A$369,0),MATCH($BU$4,연료전지_원본!$A$4:$KY$4,0))</f>
        <v>0</v>
      </c>
      <c r="BV353" s="241">
        <f>INDEX(연료전지_원본!$A$4:$KY$369,MATCH($A353,연료전지_원본!$A$4:$A$369,0),MATCH($BV$4,연료전지_원본!$A$4:$KY$4,0))</f>
        <v>0</v>
      </c>
      <c r="BW353" s="241">
        <f>INDEX(연료전지_원본!$A$4:$KY$369,MATCH($A353,연료전지_원본!$A$4:$A$369,0),MATCH($BW$4,연료전지_원본!$A$4:$KY$4,0))</f>
        <v>0</v>
      </c>
      <c r="BX353" s="241">
        <f>INDEX(연료전지_원본!$A$4:$KY$369,MATCH($A353,연료전지_원본!$A$4:$A$369,0),MATCH($BX$4,연료전지_원본!$A$4:$KY$4,0))</f>
        <v>0</v>
      </c>
      <c r="BY353" s="241">
        <f>INDEX(연료전지_원본!$A$4:$KY$369,MATCH($A353,연료전지_원본!$A$4:$A$369,0),MATCH($BY$4,연료전지_원본!$A$4:$KY$4,0))</f>
        <v>0</v>
      </c>
      <c r="BZ353" s="241">
        <f>INDEX(연료전지_원본!$A$4:$KY$369,MATCH($A353,연료전지_원본!$A$4:$A$369,0),MATCH($BZ$4,연료전지_원본!$A$4:$KY$4,0))</f>
        <v>0</v>
      </c>
      <c r="CA353" s="241">
        <f>INDEX(연료전지_원본!$A$4:$KY$369,MATCH($A353,연료전지_원본!$A$4:$A$369,0),MATCH($CA$4,연료전지_원본!$A$4:$KY$4,0))</f>
        <v>0</v>
      </c>
      <c r="CB353" s="241">
        <f>INDEX(연료전지_원본!$A$4:$KY$369,MATCH($A353,연료전지_원본!$A$4:$A$369,0),MATCH($CB$4,연료전지_원본!$A$4:$KY$4,0))</f>
        <v>0</v>
      </c>
      <c r="CC353" s="242">
        <f>INDEX(연료전지_원본!$A$4:$KY$369,MATCH($A353,연료전지_원본!$A$4:$A$369,0),MATCH($CC$4,연료전지_원본!$A$4:$KY$4,0))</f>
        <v>0</v>
      </c>
      <c r="CD353" s="250">
        <f>INDEX(연료전지_원본!$KB$4:$KX$369,MATCH($A353,연료전지_원본!$KB$4:$KB$369,0), MATCH(CD$4,연료전지_원본!$KB$4:$KX$4,0))*1000</f>
        <v>0</v>
      </c>
      <c r="CE353" s="250">
        <f>INDEX(연료전지_원본!$KB$4:$KX$369,MATCH($A353,연료전지_원본!$KB$4:$KB$369,0), MATCH(CE$4,연료전지_원본!$KB$4:$KX$4,0))*1000</f>
        <v>0</v>
      </c>
      <c r="CF353" s="250">
        <f>INDEX(연료전지_원본!$KB$4:$KX$369,MATCH($A353,연료전지_원본!$KB$4:$KB$369,0), MATCH(CF$4,연료전지_원본!$KB$4:$KX$4,0))*1000</f>
        <v>0</v>
      </c>
      <c r="CG353" s="250">
        <f>INDEX(연료전지_원본!$KB$4:$KX$369,MATCH($A353,연료전지_원본!$KB$4:$KB$369,0), MATCH(CG$4,연료전지_원본!$KB$4:$KX$4,0))*1000</f>
        <v>0</v>
      </c>
      <c r="CH353" s="250">
        <f>INDEX(연료전지_원본!$KB$4:$KX$369,MATCH($A353,연료전지_원본!$KB$4:$KB$369,0), MATCH(CH$4,연료전지_원본!$KB$4:$KX$4,0))*1000</f>
        <v>0</v>
      </c>
      <c r="CI353" s="250">
        <f>INDEX(연료전지_원본!$KB$4:$KX$369,MATCH($A353,연료전지_원본!$KB$4:$KB$369,0), MATCH(CI$4,연료전지_원본!$KB$4:$KX$4,0))*1000</f>
        <v>0</v>
      </c>
      <c r="CJ353" s="250">
        <f>INDEX(연료전지_원본!$KB$4:$KX$369,MATCH($A353,연료전지_원본!$KB$4:$KB$369,0), MATCH(CJ$4,연료전지_원본!$KB$4:$KX$4,0))*1000</f>
        <v>0</v>
      </c>
      <c r="CK353" s="250">
        <f>INDEX(연료전지_원본!$KB$4:$KX$369,MATCH($A353,연료전지_원본!$KB$4:$KB$369,0), MATCH(CK$4,연료전지_원본!$KB$4:$KX$4,0))*1000</f>
        <v>0</v>
      </c>
      <c r="CL353" s="250">
        <f>INDEX(연료전지_원본!$KB$4:$KX$369,MATCH($A353,연료전지_원본!$KB$4:$KB$369,0), MATCH(CL$4,연료전지_원본!$KB$4:$KX$4,0))*1000</f>
        <v>0</v>
      </c>
      <c r="CM353" s="250">
        <f>INDEX(연료전지_원본!$KB$4:$KX$369,MATCH($A353,연료전지_원본!$KB$4:$KB$369,0), MATCH(CM$4,연료전지_원본!$KB$4:$KX$4,0))*1000</f>
        <v>0</v>
      </c>
      <c r="CN353" s="250">
        <f>INDEX(연료전지_원본!$KB$4:$KX$369,MATCH($A353,연료전지_원본!$KB$4:$KB$369,0), MATCH(CN$4,연료전지_원본!$KB$4:$KX$4,0))*1000</f>
        <v>0</v>
      </c>
      <c r="CO353" s="250">
        <f>INDEX(연료전지_원본!$KB$4:$KX$369,MATCH($A353,연료전지_원본!$KB$4:$KB$369,0), MATCH(CO$4,연료전지_원본!$KB$4:$KX$4,0))*1000</f>
        <v>0</v>
      </c>
      <c r="CP353" s="250">
        <f>INDEX(연료전지_원본!$KB$4:$KX$369,MATCH($A353,연료전지_원본!$KB$4:$KB$369,0), MATCH(CP$4,연료전지_원본!$KB$4:$KX$4,0))*1000</f>
        <v>0</v>
      </c>
      <c r="CQ353" s="250">
        <f>INDEX(연료전지_원본!$KB$4:$KX$369,MATCH($A353,연료전지_원본!$KB$4:$KB$369,0), MATCH(CQ$4,연료전지_원본!$KB$4:$KX$4,0))*1000</f>
        <v>0</v>
      </c>
      <c r="CR353" s="250">
        <f>INDEX(연료전지_원본!$KB$4:$KX$369,MATCH($A353,연료전지_원본!$KB$4:$KB$369,0), MATCH(CR$4,연료전지_원본!$KB$4:$KX$4,0))*1000</f>
        <v>0</v>
      </c>
      <c r="CS353" s="250">
        <f>INDEX(연료전지_원본!$KB$4:$KX$369,MATCH($A353,연료전지_원본!$KB$4:$KB$369,0), MATCH(CS$4,연료전지_원본!$KB$4:$KX$4,0))*1000</f>
        <v>0</v>
      </c>
      <c r="CT353" s="250">
        <f>INDEX(연료전지_원본!$KB$4:$KX$369,MATCH($A353,연료전지_원본!$KB$4:$KB$369,0), MATCH(CT$4,연료전지_원본!$KB$4:$KX$4,0))*1000</f>
        <v>0</v>
      </c>
      <c r="CU353" s="250">
        <f>INDEX(연료전지_원본!$KB$4:$KX$369,MATCH($A353,연료전지_원본!$KB$4:$KB$369,0), MATCH(CU$4,연료전지_원본!$KB$4:$KX$4,0))*1000</f>
        <v>0</v>
      </c>
      <c r="CV353" s="250">
        <f>INDEX(연료전지_원본!$KB$4:$KX$369,MATCH($A353,연료전지_원본!$KB$4:$KB$369,0), MATCH(CV$4,연료전지_원본!$KB$4:$KX$4,0))*1000</f>
        <v>0</v>
      </c>
      <c r="CW353" s="250">
        <f>INDEX(연료전지_원본!$KB$4:$KX$369,MATCH($A353,연료전지_원본!$KB$4:$KB$369,0), MATCH(CW$4,연료전지_원본!$KB$4:$KX$4,0))*1000</f>
        <v>0</v>
      </c>
      <c r="CX353" s="250">
        <f>INDEX(연료전지_원본!$KB$4:$KX$369,MATCH($A353,연료전지_원본!$KB$4:$KB$369,0), MATCH(CX$4,연료전지_원본!$KB$4:$KX$4,0))*1000</f>
        <v>0</v>
      </c>
      <c r="CY353" s="250">
        <f>INDEX(연료전지_원본!$KB$4:$KX$369,MATCH($A353,연료전지_원본!$KB$4:$KB$369,0), MATCH(CY$4,연료전지_원본!$KB$4:$KX$4,0))*1000</f>
        <v>0</v>
      </c>
      <c r="DV353" s="30">
        <f t="shared" si="1616"/>
        <v>0</v>
      </c>
    </row>
    <row r="354" spans="1:126">
      <c r="A354" s="6">
        <v>46371</v>
      </c>
      <c r="B354" s="15">
        <f>운전실적_원본!B354</f>
        <v>0</v>
      </c>
      <c r="C354" s="16" t="str">
        <f t="shared" si="1622"/>
        <v/>
      </c>
      <c r="D354" s="12">
        <f>운전실적_원본!C354</f>
        <v>0</v>
      </c>
      <c r="E354" s="12" t="str">
        <f t="shared" si="1623"/>
        <v/>
      </c>
      <c r="F354" s="12">
        <f>운전실적_원본!D354</f>
        <v>0</v>
      </c>
      <c r="G354" s="16" t="str">
        <f t="shared" si="1624"/>
        <v/>
      </c>
      <c r="H354" s="15">
        <f>운전실적_원본!E354</f>
        <v>0</v>
      </c>
      <c r="I354" s="16" t="str">
        <f t="shared" si="1625"/>
        <v/>
      </c>
      <c r="J354" s="15">
        <f>운전실적_원본!F354</f>
        <v>0</v>
      </c>
      <c r="K354" s="16" t="str">
        <f t="shared" si="1625"/>
        <v/>
      </c>
      <c r="L354" s="32">
        <f>운전실적_원본!G354</f>
        <v>0</v>
      </c>
      <c r="M354" s="31" t="str">
        <f t="shared" ref="M354" si="1922">IF(OR(LEN(L354)=0,L354=0),"",L354-L353)</f>
        <v/>
      </c>
      <c r="N354" s="15">
        <f>운전실적_원본!H354</f>
        <v>0</v>
      </c>
      <c r="O354" s="16" t="str">
        <f t="shared" ref="O354" si="1923">IF(OR(LEN(N354)=0,N354=0),"",N354-N353)</f>
        <v/>
      </c>
      <c r="P354" s="15">
        <f>운전실적_원본!I354</f>
        <v>0</v>
      </c>
      <c r="Q354" s="16" t="str">
        <f t="shared" ref="Q354" si="1924">IF(OR(LEN(P354)=0,P354=0),"",P354-P353)</f>
        <v/>
      </c>
      <c r="R354" s="18">
        <f>운전실적_원본!J354</f>
        <v>0</v>
      </c>
      <c r="S354" s="19" t="str">
        <f t="shared" ref="S354" si="1925">IF(OR(LEN(R354)=0,R354=0),"",R354-R353)</f>
        <v/>
      </c>
      <c r="T354" s="18">
        <f>운전실적_원본!K354</f>
        <v>0</v>
      </c>
      <c r="U354" s="19" t="str">
        <f t="shared" si="1630"/>
        <v/>
      </c>
      <c r="V354" s="12">
        <f>운전실적_원본!L354</f>
        <v>0</v>
      </c>
      <c r="W354" s="16" t="str">
        <f t="shared" ref="W354" si="1926">IF(OR(LEN(V354)=0,V354=0),"",V354-V353)</f>
        <v/>
      </c>
      <c r="X354" s="10">
        <f>운전실적_원본!M354</f>
        <v>0</v>
      </c>
      <c r="Y354" s="10">
        <f>운전실적_원본!N354</f>
        <v>0</v>
      </c>
      <c r="Z354" s="10">
        <f>운전실적_원본!O354</f>
        <v>0</v>
      </c>
      <c r="AA354" s="10">
        <f>운전실적_원본!P354</f>
        <v>0</v>
      </c>
      <c r="AB354" s="10">
        <f>운전실적_원본!Q354</f>
        <v>0</v>
      </c>
      <c r="AC354" s="20">
        <f>운전실적_원본!R354</f>
        <v>0</v>
      </c>
      <c r="AD354" s="109">
        <f>운전실적_원본!S354</f>
        <v>0</v>
      </c>
      <c r="AE354" s="110">
        <f>운전실적_원본!T354</f>
        <v>0</v>
      </c>
      <c r="AF354" s="110">
        <f>운전실적_원본!U354</f>
        <v>0</v>
      </c>
      <c r="AG354" s="110">
        <f>운전실적_원본!V354</f>
        <v>0</v>
      </c>
      <c r="AH354" s="109">
        <f t="shared" si="1784"/>
        <v>0</v>
      </c>
      <c r="AI354" s="110">
        <f t="shared" si="1791"/>
        <v>0</v>
      </c>
      <c r="AJ354" s="110">
        <f>운전실적_원본!Y354</f>
        <v>0</v>
      </c>
      <c r="AK354" s="110">
        <f>운전실적_원본!Z354</f>
        <v>0</v>
      </c>
      <c r="AL354" s="106"/>
      <c r="AM354" s="105"/>
      <c r="AN354" s="105"/>
      <c r="AO354" s="105"/>
      <c r="AP354" s="105"/>
      <c r="AQ354" s="108"/>
      <c r="AR354" s="105"/>
      <c r="AS354" s="105"/>
      <c r="AT354" s="102"/>
      <c r="AU354" s="102"/>
      <c r="AV354" s="102"/>
      <c r="AW354" s="102"/>
      <c r="AX354" s="32">
        <f>운전실적_원본!W354</f>
        <v>0</v>
      </c>
      <c r="AY354" s="11">
        <f>운전실적_원본!X354</f>
        <v>0</v>
      </c>
      <c r="AZ354" s="11">
        <f>운전실적_원본!Y354</f>
        <v>0</v>
      </c>
      <c r="BA354" s="11">
        <f>운전실적_원본!Z354</f>
        <v>0</v>
      </c>
      <c r="BB354" s="11">
        <f>운전실적_원본!AA354</f>
        <v>0</v>
      </c>
      <c r="BC354" s="11">
        <f>운전실적_원본!AB354</f>
        <v>0</v>
      </c>
      <c r="BD354" s="32" t="str">
        <f t="shared" si="1777"/>
        <v>-</v>
      </c>
      <c r="BE354" s="11" t="str">
        <f t="shared" si="1785"/>
        <v>-</v>
      </c>
      <c r="BF354" s="11">
        <f>운전실적_원본!AE354</f>
        <v>0</v>
      </c>
      <c r="BG354" s="31">
        <f t="shared" si="1778"/>
        <v>0</v>
      </c>
      <c r="BH354" s="241">
        <f>INDEX(연료전지_원본!$A$4:$KY$369,MATCH($A354,연료전지_원본!$A$4:$A$369,0),MATCH($BH$4,연료전지_원본!$A$4:$KY$4,0))</f>
        <v>0</v>
      </c>
      <c r="BI354" s="241">
        <f>INDEX(연료전지_원본!$A$4:$KY$369,MATCH($A354,연료전지_원본!$A$4:$A$369,0),MATCH($BI$4,연료전지_원본!$A$4:$KY$4,0))</f>
        <v>0</v>
      </c>
      <c r="BJ354" s="241">
        <f>INDEX(연료전지_원본!$A$4:$KY$369,MATCH($A354,연료전지_원본!$A$4:$A$369,0),MATCH($BJ$4,연료전지_원본!$A$4:$KY$4,0))</f>
        <v>0</v>
      </c>
      <c r="BK354" s="241">
        <f>INDEX(연료전지_원본!$A$4:$KY$369,MATCH($A354,연료전지_원본!$A$4:$A$369,0),MATCH($BK$4,연료전지_원본!$A$4:$KY$4,0))</f>
        <v>0</v>
      </c>
      <c r="BL354" s="241">
        <f>INDEX(연료전지_원본!$A$4:$KY$369,MATCH($A354,연료전지_원본!$A$4:$A$369,0),MATCH($BL$4,연료전지_원본!$A$4:$KY$4,0))</f>
        <v>0</v>
      </c>
      <c r="BM354" s="241">
        <f>INDEX(연료전지_원본!$A$4:$KY$369,MATCH($A354,연료전지_원본!$A$4:$A$369,0),MATCH($BM$4,연료전지_원본!$A$4:$KY$4,0))</f>
        <v>0</v>
      </c>
      <c r="BN354" s="241">
        <f>INDEX(연료전지_원본!$A$4:$KY$369,MATCH($A354,연료전지_원본!$A$4:$A$369,0),MATCH($BN$4,연료전지_원본!$A$4:$KY$4,0))</f>
        <v>0</v>
      </c>
      <c r="BO354" s="241">
        <f>INDEX(연료전지_원본!$A$4:$KY$369,MATCH($A354,연료전지_원본!$A$4:$A$369,0),MATCH($BO$4,연료전지_원본!$A$4:$KY$4,0))</f>
        <v>0</v>
      </c>
      <c r="BP354" s="241">
        <f>INDEX(연료전지_원본!$A$4:$KY$369,MATCH($A354,연료전지_원본!$A$4:$A$369,0),MATCH($BP$4,연료전지_원본!$A$4:$KY$4,0))</f>
        <v>0</v>
      </c>
      <c r="BQ354" s="241">
        <f>INDEX(연료전지_원본!$A$4:$KY$369,MATCH($A354,연료전지_원본!$A$4:$A$369,0),MATCH($BQ$4,연료전지_원본!$A$4:$KY$4,0))</f>
        <v>0</v>
      </c>
      <c r="BR354" s="241">
        <f>INDEX(연료전지_원본!$A$4:$KY$369,MATCH($A354,연료전지_원본!$A$4:$A$369,0),MATCH($BR$4,연료전지_원본!$A$4:$KY$4,0))</f>
        <v>0</v>
      </c>
      <c r="BS354" s="241">
        <f>INDEX(연료전지_원본!$A$4:$KY$369,MATCH($A354,연료전지_원본!$A$4:$A$369,0),MATCH($BS$4,연료전지_원본!$A$4:$KY$4,0))</f>
        <v>0</v>
      </c>
      <c r="BT354" s="241">
        <f>INDEX(연료전지_원본!$A$4:$KY$369,MATCH($A354,연료전지_원본!$A$4:$A$369,0),MATCH($BT$4,연료전지_원본!$A$4:$KY$4,0))</f>
        <v>0</v>
      </c>
      <c r="BU354" s="241">
        <f>INDEX(연료전지_원본!$A$4:$KY$369,MATCH($A354,연료전지_원본!$A$4:$A$369,0),MATCH($BU$4,연료전지_원본!$A$4:$KY$4,0))</f>
        <v>0</v>
      </c>
      <c r="BV354" s="241">
        <f>INDEX(연료전지_원본!$A$4:$KY$369,MATCH($A354,연료전지_원본!$A$4:$A$369,0),MATCH($BV$4,연료전지_원본!$A$4:$KY$4,0))</f>
        <v>0</v>
      </c>
      <c r="BW354" s="241">
        <f>INDEX(연료전지_원본!$A$4:$KY$369,MATCH($A354,연료전지_원본!$A$4:$A$369,0),MATCH($BW$4,연료전지_원본!$A$4:$KY$4,0))</f>
        <v>0</v>
      </c>
      <c r="BX354" s="241">
        <f>INDEX(연료전지_원본!$A$4:$KY$369,MATCH($A354,연료전지_원본!$A$4:$A$369,0),MATCH($BX$4,연료전지_원본!$A$4:$KY$4,0))</f>
        <v>0</v>
      </c>
      <c r="BY354" s="241">
        <f>INDEX(연료전지_원본!$A$4:$KY$369,MATCH($A354,연료전지_원본!$A$4:$A$369,0),MATCH($BY$4,연료전지_원본!$A$4:$KY$4,0))</f>
        <v>0</v>
      </c>
      <c r="BZ354" s="241">
        <f>INDEX(연료전지_원본!$A$4:$KY$369,MATCH($A354,연료전지_원본!$A$4:$A$369,0),MATCH($BZ$4,연료전지_원본!$A$4:$KY$4,0))</f>
        <v>0</v>
      </c>
      <c r="CA354" s="241">
        <f>INDEX(연료전지_원본!$A$4:$KY$369,MATCH($A354,연료전지_원본!$A$4:$A$369,0),MATCH($CA$4,연료전지_원본!$A$4:$KY$4,0))</f>
        <v>0</v>
      </c>
      <c r="CB354" s="241">
        <f>INDEX(연료전지_원본!$A$4:$KY$369,MATCH($A354,연료전지_원본!$A$4:$A$369,0),MATCH($CB$4,연료전지_원본!$A$4:$KY$4,0))</f>
        <v>0</v>
      </c>
      <c r="CC354" s="242">
        <f>INDEX(연료전지_원본!$A$4:$KY$369,MATCH($A354,연료전지_원본!$A$4:$A$369,0),MATCH($CC$4,연료전지_원본!$A$4:$KY$4,0))</f>
        <v>0</v>
      </c>
      <c r="CD354" s="250">
        <f>INDEX(연료전지_원본!$KB$4:$KX$369,MATCH($A354,연료전지_원본!$KB$4:$KB$369,0), MATCH(CD$4,연료전지_원본!$KB$4:$KX$4,0))*1000</f>
        <v>0</v>
      </c>
      <c r="CE354" s="250">
        <f>INDEX(연료전지_원본!$KB$4:$KX$369,MATCH($A354,연료전지_원본!$KB$4:$KB$369,0), MATCH(CE$4,연료전지_원본!$KB$4:$KX$4,0))*1000</f>
        <v>0</v>
      </c>
      <c r="CF354" s="250">
        <f>INDEX(연료전지_원본!$KB$4:$KX$369,MATCH($A354,연료전지_원본!$KB$4:$KB$369,0), MATCH(CF$4,연료전지_원본!$KB$4:$KX$4,0))*1000</f>
        <v>0</v>
      </c>
      <c r="CG354" s="250">
        <f>INDEX(연료전지_원본!$KB$4:$KX$369,MATCH($A354,연료전지_원본!$KB$4:$KB$369,0), MATCH(CG$4,연료전지_원본!$KB$4:$KX$4,0))*1000</f>
        <v>0</v>
      </c>
      <c r="CH354" s="250">
        <f>INDEX(연료전지_원본!$KB$4:$KX$369,MATCH($A354,연료전지_원본!$KB$4:$KB$369,0), MATCH(CH$4,연료전지_원본!$KB$4:$KX$4,0))*1000</f>
        <v>0</v>
      </c>
      <c r="CI354" s="250">
        <f>INDEX(연료전지_원본!$KB$4:$KX$369,MATCH($A354,연료전지_원본!$KB$4:$KB$369,0), MATCH(CI$4,연료전지_원본!$KB$4:$KX$4,0))*1000</f>
        <v>0</v>
      </c>
      <c r="CJ354" s="250">
        <f>INDEX(연료전지_원본!$KB$4:$KX$369,MATCH($A354,연료전지_원본!$KB$4:$KB$369,0), MATCH(CJ$4,연료전지_원본!$KB$4:$KX$4,0))*1000</f>
        <v>0</v>
      </c>
      <c r="CK354" s="250">
        <f>INDEX(연료전지_원본!$KB$4:$KX$369,MATCH($A354,연료전지_원본!$KB$4:$KB$369,0), MATCH(CK$4,연료전지_원본!$KB$4:$KX$4,0))*1000</f>
        <v>0</v>
      </c>
      <c r="CL354" s="250">
        <f>INDEX(연료전지_원본!$KB$4:$KX$369,MATCH($A354,연료전지_원본!$KB$4:$KB$369,0), MATCH(CL$4,연료전지_원본!$KB$4:$KX$4,0))*1000</f>
        <v>0</v>
      </c>
      <c r="CM354" s="250">
        <f>INDEX(연료전지_원본!$KB$4:$KX$369,MATCH($A354,연료전지_원본!$KB$4:$KB$369,0), MATCH(CM$4,연료전지_원본!$KB$4:$KX$4,0))*1000</f>
        <v>0</v>
      </c>
      <c r="CN354" s="250">
        <f>INDEX(연료전지_원본!$KB$4:$KX$369,MATCH($A354,연료전지_원본!$KB$4:$KB$369,0), MATCH(CN$4,연료전지_원본!$KB$4:$KX$4,0))*1000</f>
        <v>0</v>
      </c>
      <c r="CO354" s="250">
        <f>INDEX(연료전지_원본!$KB$4:$KX$369,MATCH($A354,연료전지_원본!$KB$4:$KB$369,0), MATCH(CO$4,연료전지_원본!$KB$4:$KX$4,0))*1000</f>
        <v>0</v>
      </c>
      <c r="CP354" s="250">
        <f>INDEX(연료전지_원본!$KB$4:$KX$369,MATCH($A354,연료전지_원본!$KB$4:$KB$369,0), MATCH(CP$4,연료전지_원본!$KB$4:$KX$4,0))*1000</f>
        <v>0</v>
      </c>
      <c r="CQ354" s="250">
        <f>INDEX(연료전지_원본!$KB$4:$KX$369,MATCH($A354,연료전지_원본!$KB$4:$KB$369,0), MATCH(CQ$4,연료전지_원본!$KB$4:$KX$4,0))*1000</f>
        <v>0</v>
      </c>
      <c r="CR354" s="250">
        <f>INDEX(연료전지_원본!$KB$4:$KX$369,MATCH($A354,연료전지_원본!$KB$4:$KB$369,0), MATCH(CR$4,연료전지_원본!$KB$4:$KX$4,0))*1000</f>
        <v>0</v>
      </c>
      <c r="CS354" s="250">
        <f>INDEX(연료전지_원본!$KB$4:$KX$369,MATCH($A354,연료전지_원본!$KB$4:$KB$369,0), MATCH(CS$4,연료전지_원본!$KB$4:$KX$4,0))*1000</f>
        <v>0</v>
      </c>
      <c r="CT354" s="250">
        <f>INDEX(연료전지_원본!$KB$4:$KX$369,MATCH($A354,연료전지_원본!$KB$4:$KB$369,0), MATCH(CT$4,연료전지_원본!$KB$4:$KX$4,0))*1000</f>
        <v>0</v>
      </c>
      <c r="CU354" s="250">
        <f>INDEX(연료전지_원본!$KB$4:$KX$369,MATCH($A354,연료전지_원본!$KB$4:$KB$369,0), MATCH(CU$4,연료전지_원본!$KB$4:$KX$4,0))*1000</f>
        <v>0</v>
      </c>
      <c r="CV354" s="250">
        <f>INDEX(연료전지_원본!$KB$4:$KX$369,MATCH($A354,연료전지_원본!$KB$4:$KB$369,0), MATCH(CV$4,연료전지_원본!$KB$4:$KX$4,0))*1000</f>
        <v>0</v>
      </c>
      <c r="CW354" s="250">
        <f>INDEX(연료전지_원본!$KB$4:$KX$369,MATCH($A354,연료전지_원본!$KB$4:$KB$369,0), MATCH(CW$4,연료전지_원본!$KB$4:$KX$4,0))*1000</f>
        <v>0</v>
      </c>
      <c r="CX354" s="250">
        <f>INDEX(연료전지_원본!$KB$4:$KX$369,MATCH($A354,연료전지_원본!$KB$4:$KB$369,0), MATCH(CX$4,연료전지_원본!$KB$4:$KX$4,0))*1000</f>
        <v>0</v>
      </c>
      <c r="CY354" s="250">
        <f>INDEX(연료전지_원본!$KB$4:$KX$369,MATCH($A354,연료전지_원본!$KB$4:$KB$369,0), MATCH(CY$4,연료전지_원본!$KB$4:$KX$4,0))*1000</f>
        <v>0</v>
      </c>
      <c r="DV354" s="30">
        <f t="shared" si="1616"/>
        <v>0</v>
      </c>
    </row>
    <row r="355" spans="1:126">
      <c r="A355" s="6">
        <v>46372</v>
      </c>
      <c r="B355" s="15">
        <f>운전실적_원본!B355</f>
        <v>0</v>
      </c>
      <c r="C355" s="16" t="str">
        <f t="shared" si="1622"/>
        <v/>
      </c>
      <c r="D355" s="12">
        <f>운전실적_원본!C355</f>
        <v>0</v>
      </c>
      <c r="E355" s="12" t="str">
        <f t="shared" si="1623"/>
        <v/>
      </c>
      <c r="F355" s="12">
        <f>운전실적_원본!D355</f>
        <v>0</v>
      </c>
      <c r="G355" s="16" t="str">
        <f t="shared" si="1624"/>
        <v/>
      </c>
      <c r="H355" s="15">
        <f>운전실적_원본!E355</f>
        <v>0</v>
      </c>
      <c r="I355" s="16" t="str">
        <f t="shared" si="1625"/>
        <v/>
      </c>
      <c r="J355" s="15">
        <f>운전실적_원본!F355</f>
        <v>0</v>
      </c>
      <c r="K355" s="16" t="str">
        <f t="shared" si="1625"/>
        <v/>
      </c>
      <c r="L355" s="32">
        <f>운전실적_원본!G355</f>
        <v>0</v>
      </c>
      <c r="M355" s="31" t="str">
        <f t="shared" ref="M355" si="1927">IF(OR(LEN(L355)=0,L355=0),"",L355-L354)</f>
        <v/>
      </c>
      <c r="N355" s="15">
        <f>운전실적_원본!H355</f>
        <v>0</v>
      </c>
      <c r="O355" s="16" t="str">
        <f t="shared" ref="O355" si="1928">IF(OR(LEN(N355)=0,N355=0),"",N355-N354)</f>
        <v/>
      </c>
      <c r="P355" s="15">
        <f>운전실적_원본!I355</f>
        <v>0</v>
      </c>
      <c r="Q355" s="16" t="str">
        <f t="shared" ref="Q355" si="1929">IF(OR(LEN(P355)=0,P355=0),"",P355-P354)</f>
        <v/>
      </c>
      <c r="R355" s="18">
        <f>운전실적_원본!J355</f>
        <v>0</v>
      </c>
      <c r="S355" s="19" t="str">
        <f t="shared" ref="S355" si="1930">IF(OR(LEN(R355)=0,R355=0),"",R355-R354)</f>
        <v/>
      </c>
      <c r="T355" s="18">
        <f>운전실적_원본!K355</f>
        <v>0</v>
      </c>
      <c r="U355" s="19" t="str">
        <f t="shared" si="1630"/>
        <v/>
      </c>
      <c r="V355" s="12">
        <f>운전실적_원본!L355</f>
        <v>0</v>
      </c>
      <c r="W355" s="16" t="str">
        <f t="shared" ref="W355" si="1931">IF(OR(LEN(V355)=0,V355=0),"",V355-V354)</f>
        <v/>
      </c>
      <c r="X355" s="10">
        <f>운전실적_원본!M355</f>
        <v>0</v>
      </c>
      <c r="Y355" s="10">
        <f>운전실적_원본!N355</f>
        <v>0</v>
      </c>
      <c r="Z355" s="10">
        <f>운전실적_원본!O355</f>
        <v>0</v>
      </c>
      <c r="AA355" s="10">
        <f>운전실적_원본!P355</f>
        <v>0</v>
      </c>
      <c r="AB355" s="10">
        <f>운전실적_원본!Q355</f>
        <v>0</v>
      </c>
      <c r="AC355" s="20">
        <f>운전실적_원본!R355</f>
        <v>0</v>
      </c>
      <c r="AD355" s="109">
        <f>운전실적_원본!S355</f>
        <v>0</v>
      </c>
      <c r="AE355" s="110">
        <f>운전실적_원본!T355</f>
        <v>0</v>
      </c>
      <c r="AF355" s="110">
        <f>운전실적_원본!U355</f>
        <v>0</v>
      </c>
      <c r="AG355" s="110">
        <f>운전실적_원본!V355</f>
        <v>0</v>
      </c>
      <c r="AH355" s="109">
        <f t="shared" si="1784"/>
        <v>0</v>
      </c>
      <c r="AI355" s="110">
        <f t="shared" si="1791"/>
        <v>0</v>
      </c>
      <c r="AJ355" s="110">
        <f>운전실적_원본!Y355</f>
        <v>0</v>
      </c>
      <c r="AK355" s="110">
        <f>운전실적_원본!Z355</f>
        <v>0</v>
      </c>
      <c r="AL355" s="106"/>
      <c r="AM355" s="105"/>
      <c r="AN355" s="105"/>
      <c r="AO355" s="105"/>
      <c r="AP355" s="105"/>
      <c r="AQ355" s="108"/>
      <c r="AR355" s="105"/>
      <c r="AS355" s="105"/>
      <c r="AT355" s="102"/>
      <c r="AU355" s="102"/>
      <c r="AV355" s="102"/>
      <c r="AW355" s="102"/>
      <c r="AX355" s="32">
        <f>운전실적_원본!W355</f>
        <v>0</v>
      </c>
      <c r="AY355" s="11">
        <f>운전실적_원본!X355</f>
        <v>0</v>
      </c>
      <c r="AZ355" s="11">
        <f>운전실적_원본!Y355</f>
        <v>0</v>
      </c>
      <c r="BA355" s="11">
        <f>운전실적_원본!Z355</f>
        <v>0</v>
      </c>
      <c r="BB355" s="11">
        <f>운전실적_원본!AA355</f>
        <v>0</v>
      </c>
      <c r="BC355" s="11">
        <f>운전실적_원본!AB355</f>
        <v>0</v>
      </c>
      <c r="BD355" s="32" t="str">
        <f t="shared" si="1777"/>
        <v>-</v>
      </c>
      <c r="BE355" s="11" t="str">
        <f t="shared" si="1785"/>
        <v>-</v>
      </c>
      <c r="BF355" s="11">
        <f>운전실적_원본!AE355</f>
        <v>0</v>
      </c>
      <c r="BG355" s="31">
        <f t="shared" si="1778"/>
        <v>0</v>
      </c>
      <c r="BH355" s="241">
        <f>INDEX(연료전지_원본!$A$4:$KY$369,MATCH($A355,연료전지_원본!$A$4:$A$369,0),MATCH($BH$4,연료전지_원본!$A$4:$KY$4,0))</f>
        <v>0</v>
      </c>
      <c r="BI355" s="241">
        <f>INDEX(연료전지_원본!$A$4:$KY$369,MATCH($A355,연료전지_원본!$A$4:$A$369,0),MATCH($BI$4,연료전지_원본!$A$4:$KY$4,0))</f>
        <v>0</v>
      </c>
      <c r="BJ355" s="241">
        <f>INDEX(연료전지_원본!$A$4:$KY$369,MATCH($A355,연료전지_원본!$A$4:$A$369,0),MATCH($BJ$4,연료전지_원본!$A$4:$KY$4,0))</f>
        <v>0</v>
      </c>
      <c r="BK355" s="241">
        <f>INDEX(연료전지_원본!$A$4:$KY$369,MATCH($A355,연료전지_원본!$A$4:$A$369,0),MATCH($BK$4,연료전지_원본!$A$4:$KY$4,0))</f>
        <v>0</v>
      </c>
      <c r="BL355" s="241">
        <f>INDEX(연료전지_원본!$A$4:$KY$369,MATCH($A355,연료전지_원본!$A$4:$A$369,0),MATCH($BL$4,연료전지_원본!$A$4:$KY$4,0))</f>
        <v>0</v>
      </c>
      <c r="BM355" s="241">
        <f>INDEX(연료전지_원본!$A$4:$KY$369,MATCH($A355,연료전지_원본!$A$4:$A$369,0),MATCH($BM$4,연료전지_원본!$A$4:$KY$4,0))</f>
        <v>0</v>
      </c>
      <c r="BN355" s="241">
        <f>INDEX(연료전지_원본!$A$4:$KY$369,MATCH($A355,연료전지_원본!$A$4:$A$369,0),MATCH($BN$4,연료전지_원본!$A$4:$KY$4,0))</f>
        <v>0</v>
      </c>
      <c r="BO355" s="241">
        <f>INDEX(연료전지_원본!$A$4:$KY$369,MATCH($A355,연료전지_원본!$A$4:$A$369,0),MATCH($BO$4,연료전지_원본!$A$4:$KY$4,0))</f>
        <v>0</v>
      </c>
      <c r="BP355" s="241">
        <f>INDEX(연료전지_원본!$A$4:$KY$369,MATCH($A355,연료전지_원본!$A$4:$A$369,0),MATCH($BP$4,연료전지_원본!$A$4:$KY$4,0))</f>
        <v>0</v>
      </c>
      <c r="BQ355" s="241">
        <f>INDEX(연료전지_원본!$A$4:$KY$369,MATCH($A355,연료전지_원본!$A$4:$A$369,0),MATCH($BQ$4,연료전지_원본!$A$4:$KY$4,0))</f>
        <v>0</v>
      </c>
      <c r="BR355" s="241">
        <f>INDEX(연료전지_원본!$A$4:$KY$369,MATCH($A355,연료전지_원본!$A$4:$A$369,0),MATCH($BR$4,연료전지_원본!$A$4:$KY$4,0))</f>
        <v>0</v>
      </c>
      <c r="BS355" s="241">
        <f>INDEX(연료전지_원본!$A$4:$KY$369,MATCH($A355,연료전지_원본!$A$4:$A$369,0),MATCH($BS$4,연료전지_원본!$A$4:$KY$4,0))</f>
        <v>0</v>
      </c>
      <c r="BT355" s="241">
        <f>INDEX(연료전지_원본!$A$4:$KY$369,MATCH($A355,연료전지_원본!$A$4:$A$369,0),MATCH($BT$4,연료전지_원본!$A$4:$KY$4,0))</f>
        <v>0</v>
      </c>
      <c r="BU355" s="241">
        <f>INDEX(연료전지_원본!$A$4:$KY$369,MATCH($A355,연료전지_원본!$A$4:$A$369,0),MATCH($BU$4,연료전지_원본!$A$4:$KY$4,0))</f>
        <v>0</v>
      </c>
      <c r="BV355" s="241">
        <f>INDEX(연료전지_원본!$A$4:$KY$369,MATCH($A355,연료전지_원본!$A$4:$A$369,0),MATCH($BV$4,연료전지_원본!$A$4:$KY$4,0))</f>
        <v>0</v>
      </c>
      <c r="BW355" s="241">
        <f>INDEX(연료전지_원본!$A$4:$KY$369,MATCH($A355,연료전지_원본!$A$4:$A$369,0),MATCH($BW$4,연료전지_원본!$A$4:$KY$4,0))</f>
        <v>0</v>
      </c>
      <c r="BX355" s="241">
        <f>INDEX(연료전지_원본!$A$4:$KY$369,MATCH($A355,연료전지_원본!$A$4:$A$369,0),MATCH($BX$4,연료전지_원본!$A$4:$KY$4,0))</f>
        <v>0</v>
      </c>
      <c r="BY355" s="241">
        <f>INDEX(연료전지_원본!$A$4:$KY$369,MATCH($A355,연료전지_원본!$A$4:$A$369,0),MATCH($BY$4,연료전지_원본!$A$4:$KY$4,0))</f>
        <v>0</v>
      </c>
      <c r="BZ355" s="241">
        <f>INDEX(연료전지_원본!$A$4:$KY$369,MATCH($A355,연료전지_원본!$A$4:$A$369,0),MATCH($BZ$4,연료전지_원본!$A$4:$KY$4,0))</f>
        <v>0</v>
      </c>
      <c r="CA355" s="241">
        <f>INDEX(연료전지_원본!$A$4:$KY$369,MATCH($A355,연료전지_원본!$A$4:$A$369,0),MATCH($CA$4,연료전지_원본!$A$4:$KY$4,0))</f>
        <v>0</v>
      </c>
      <c r="CB355" s="241">
        <f>INDEX(연료전지_원본!$A$4:$KY$369,MATCH($A355,연료전지_원본!$A$4:$A$369,0),MATCH($CB$4,연료전지_원본!$A$4:$KY$4,0))</f>
        <v>0</v>
      </c>
      <c r="CC355" s="242">
        <f>INDEX(연료전지_원본!$A$4:$KY$369,MATCH($A355,연료전지_원본!$A$4:$A$369,0),MATCH($CC$4,연료전지_원본!$A$4:$KY$4,0))</f>
        <v>0</v>
      </c>
      <c r="CD355" s="250">
        <f>INDEX(연료전지_원본!$KB$4:$KX$369,MATCH($A355,연료전지_원본!$KB$4:$KB$369,0), MATCH(CD$4,연료전지_원본!$KB$4:$KX$4,0))*1000</f>
        <v>0</v>
      </c>
      <c r="CE355" s="250">
        <f>INDEX(연료전지_원본!$KB$4:$KX$369,MATCH($A355,연료전지_원본!$KB$4:$KB$369,0), MATCH(CE$4,연료전지_원본!$KB$4:$KX$4,0))*1000</f>
        <v>0</v>
      </c>
      <c r="CF355" s="250">
        <f>INDEX(연료전지_원본!$KB$4:$KX$369,MATCH($A355,연료전지_원본!$KB$4:$KB$369,0), MATCH(CF$4,연료전지_원본!$KB$4:$KX$4,0))*1000</f>
        <v>0</v>
      </c>
      <c r="CG355" s="250">
        <f>INDEX(연료전지_원본!$KB$4:$KX$369,MATCH($A355,연료전지_원본!$KB$4:$KB$369,0), MATCH(CG$4,연료전지_원본!$KB$4:$KX$4,0))*1000</f>
        <v>0</v>
      </c>
      <c r="CH355" s="250">
        <f>INDEX(연료전지_원본!$KB$4:$KX$369,MATCH($A355,연료전지_원본!$KB$4:$KB$369,0), MATCH(CH$4,연료전지_원본!$KB$4:$KX$4,0))*1000</f>
        <v>0</v>
      </c>
      <c r="CI355" s="250">
        <f>INDEX(연료전지_원본!$KB$4:$KX$369,MATCH($A355,연료전지_원본!$KB$4:$KB$369,0), MATCH(CI$4,연료전지_원본!$KB$4:$KX$4,0))*1000</f>
        <v>0</v>
      </c>
      <c r="CJ355" s="250">
        <f>INDEX(연료전지_원본!$KB$4:$KX$369,MATCH($A355,연료전지_원본!$KB$4:$KB$369,0), MATCH(CJ$4,연료전지_원본!$KB$4:$KX$4,0))*1000</f>
        <v>0</v>
      </c>
      <c r="CK355" s="250">
        <f>INDEX(연료전지_원본!$KB$4:$KX$369,MATCH($A355,연료전지_원본!$KB$4:$KB$369,0), MATCH(CK$4,연료전지_원본!$KB$4:$KX$4,0))*1000</f>
        <v>0</v>
      </c>
      <c r="CL355" s="250">
        <f>INDEX(연료전지_원본!$KB$4:$KX$369,MATCH($A355,연료전지_원본!$KB$4:$KB$369,0), MATCH(CL$4,연료전지_원본!$KB$4:$KX$4,0))*1000</f>
        <v>0</v>
      </c>
      <c r="CM355" s="250">
        <f>INDEX(연료전지_원본!$KB$4:$KX$369,MATCH($A355,연료전지_원본!$KB$4:$KB$369,0), MATCH(CM$4,연료전지_원본!$KB$4:$KX$4,0))*1000</f>
        <v>0</v>
      </c>
      <c r="CN355" s="250">
        <f>INDEX(연료전지_원본!$KB$4:$KX$369,MATCH($A355,연료전지_원본!$KB$4:$KB$369,0), MATCH(CN$4,연료전지_원본!$KB$4:$KX$4,0))*1000</f>
        <v>0</v>
      </c>
      <c r="CO355" s="250">
        <f>INDEX(연료전지_원본!$KB$4:$KX$369,MATCH($A355,연료전지_원본!$KB$4:$KB$369,0), MATCH(CO$4,연료전지_원본!$KB$4:$KX$4,0))*1000</f>
        <v>0</v>
      </c>
      <c r="CP355" s="250">
        <f>INDEX(연료전지_원본!$KB$4:$KX$369,MATCH($A355,연료전지_원본!$KB$4:$KB$369,0), MATCH(CP$4,연료전지_원본!$KB$4:$KX$4,0))*1000</f>
        <v>0</v>
      </c>
      <c r="CQ355" s="250">
        <f>INDEX(연료전지_원본!$KB$4:$KX$369,MATCH($A355,연료전지_원본!$KB$4:$KB$369,0), MATCH(CQ$4,연료전지_원본!$KB$4:$KX$4,0))*1000</f>
        <v>0</v>
      </c>
      <c r="CR355" s="250">
        <f>INDEX(연료전지_원본!$KB$4:$KX$369,MATCH($A355,연료전지_원본!$KB$4:$KB$369,0), MATCH(CR$4,연료전지_원본!$KB$4:$KX$4,0))*1000</f>
        <v>0</v>
      </c>
      <c r="CS355" s="250">
        <f>INDEX(연료전지_원본!$KB$4:$KX$369,MATCH($A355,연료전지_원본!$KB$4:$KB$369,0), MATCH(CS$4,연료전지_원본!$KB$4:$KX$4,0))*1000</f>
        <v>0</v>
      </c>
      <c r="CT355" s="250">
        <f>INDEX(연료전지_원본!$KB$4:$KX$369,MATCH($A355,연료전지_원본!$KB$4:$KB$369,0), MATCH(CT$4,연료전지_원본!$KB$4:$KX$4,0))*1000</f>
        <v>0</v>
      </c>
      <c r="CU355" s="250">
        <f>INDEX(연료전지_원본!$KB$4:$KX$369,MATCH($A355,연료전지_원본!$KB$4:$KB$369,0), MATCH(CU$4,연료전지_원본!$KB$4:$KX$4,0))*1000</f>
        <v>0</v>
      </c>
      <c r="CV355" s="250">
        <f>INDEX(연료전지_원본!$KB$4:$KX$369,MATCH($A355,연료전지_원본!$KB$4:$KB$369,0), MATCH(CV$4,연료전지_원본!$KB$4:$KX$4,0))*1000</f>
        <v>0</v>
      </c>
      <c r="CW355" s="250">
        <f>INDEX(연료전지_원본!$KB$4:$KX$369,MATCH($A355,연료전지_원본!$KB$4:$KB$369,0), MATCH(CW$4,연료전지_원본!$KB$4:$KX$4,0))*1000</f>
        <v>0</v>
      </c>
      <c r="CX355" s="250">
        <f>INDEX(연료전지_원본!$KB$4:$KX$369,MATCH($A355,연료전지_원본!$KB$4:$KB$369,0), MATCH(CX$4,연료전지_원본!$KB$4:$KX$4,0))*1000</f>
        <v>0</v>
      </c>
      <c r="CY355" s="250">
        <f>INDEX(연료전지_원본!$KB$4:$KX$369,MATCH($A355,연료전지_원본!$KB$4:$KB$369,0), MATCH(CY$4,연료전지_원본!$KB$4:$KX$4,0))*1000</f>
        <v>0</v>
      </c>
      <c r="DV355" s="30">
        <f t="shared" si="1616"/>
        <v>0</v>
      </c>
    </row>
    <row r="356" spans="1:126">
      <c r="A356" s="6">
        <v>46373</v>
      </c>
      <c r="B356" s="15">
        <f>운전실적_원본!B356</f>
        <v>0</v>
      </c>
      <c r="C356" s="16" t="str">
        <f t="shared" si="1622"/>
        <v/>
      </c>
      <c r="D356" s="12">
        <f>운전실적_원본!C356</f>
        <v>0</v>
      </c>
      <c r="E356" s="12" t="str">
        <f t="shared" si="1623"/>
        <v/>
      </c>
      <c r="F356" s="12">
        <f>운전실적_원본!D356</f>
        <v>0</v>
      </c>
      <c r="G356" s="16" t="str">
        <f t="shared" si="1624"/>
        <v/>
      </c>
      <c r="H356" s="15">
        <f>운전실적_원본!E356</f>
        <v>0</v>
      </c>
      <c r="I356" s="16" t="str">
        <f t="shared" si="1625"/>
        <v/>
      </c>
      <c r="J356" s="15">
        <f>운전실적_원본!F356</f>
        <v>0</v>
      </c>
      <c r="K356" s="16" t="str">
        <f t="shared" si="1625"/>
        <v/>
      </c>
      <c r="L356" s="32">
        <f>운전실적_원본!G356</f>
        <v>0</v>
      </c>
      <c r="M356" s="31" t="str">
        <f t="shared" ref="M356" si="1932">IF(OR(LEN(L356)=0,L356=0),"",L356-L355)</f>
        <v/>
      </c>
      <c r="N356" s="15">
        <f>운전실적_원본!H356</f>
        <v>0</v>
      </c>
      <c r="O356" s="16" t="str">
        <f t="shared" ref="O356" si="1933">IF(OR(LEN(N356)=0,N356=0),"",N356-N355)</f>
        <v/>
      </c>
      <c r="P356" s="15">
        <f>운전실적_원본!I356</f>
        <v>0</v>
      </c>
      <c r="Q356" s="16" t="str">
        <f t="shared" ref="Q356" si="1934">IF(OR(LEN(P356)=0,P356=0),"",P356-P355)</f>
        <v/>
      </c>
      <c r="R356" s="18">
        <f>운전실적_원본!J356</f>
        <v>0</v>
      </c>
      <c r="S356" s="19" t="str">
        <f t="shared" ref="S356" si="1935">IF(OR(LEN(R356)=0,R356=0),"",R356-R355)</f>
        <v/>
      </c>
      <c r="T356" s="18">
        <f>운전실적_원본!K356</f>
        <v>0</v>
      </c>
      <c r="U356" s="19" t="str">
        <f t="shared" si="1630"/>
        <v/>
      </c>
      <c r="V356" s="12">
        <f>운전실적_원본!L356</f>
        <v>0</v>
      </c>
      <c r="W356" s="16" t="str">
        <f t="shared" ref="W356" si="1936">IF(OR(LEN(V356)=0,V356=0),"",V356-V355)</f>
        <v/>
      </c>
      <c r="X356" s="10">
        <f>운전실적_원본!M356</f>
        <v>0</v>
      </c>
      <c r="Y356" s="10">
        <f>운전실적_원본!N356</f>
        <v>0</v>
      </c>
      <c r="Z356" s="10">
        <f>운전실적_원본!O356</f>
        <v>0</v>
      </c>
      <c r="AA356" s="10">
        <f>운전실적_원본!P356</f>
        <v>0</v>
      </c>
      <c r="AB356" s="10">
        <f>운전실적_원본!Q356</f>
        <v>0</v>
      </c>
      <c r="AC356" s="20">
        <f>운전실적_원본!R356</f>
        <v>0</v>
      </c>
      <c r="AD356" s="109">
        <f>운전실적_원본!S356</f>
        <v>0</v>
      </c>
      <c r="AE356" s="110">
        <f>운전실적_원본!T356</f>
        <v>0</v>
      </c>
      <c r="AF356" s="110">
        <f>운전실적_원본!U356</f>
        <v>0</v>
      </c>
      <c r="AG356" s="110">
        <f>운전실적_원본!V356</f>
        <v>0</v>
      </c>
      <c r="AH356" s="109">
        <f t="shared" si="1784"/>
        <v>0</v>
      </c>
      <c r="AI356" s="110">
        <f t="shared" si="1791"/>
        <v>0</v>
      </c>
      <c r="AJ356" s="110">
        <f>운전실적_원본!Y356</f>
        <v>0</v>
      </c>
      <c r="AK356" s="110">
        <f>운전실적_원본!Z356</f>
        <v>0</v>
      </c>
      <c r="AL356" s="106"/>
      <c r="AM356" s="105"/>
      <c r="AN356" s="105"/>
      <c r="AO356" s="105"/>
      <c r="AP356" s="105"/>
      <c r="AQ356" s="108"/>
      <c r="AR356" s="105"/>
      <c r="AS356" s="105"/>
      <c r="AT356" s="102"/>
      <c r="AU356" s="102"/>
      <c r="AV356" s="102"/>
      <c r="AW356" s="102"/>
      <c r="AX356" s="32">
        <f>운전실적_원본!W356</f>
        <v>0</v>
      </c>
      <c r="AY356" s="11">
        <f>운전실적_원본!X356</f>
        <v>0</v>
      </c>
      <c r="AZ356" s="11">
        <f>운전실적_원본!Y356</f>
        <v>0</v>
      </c>
      <c r="BA356" s="11">
        <f>운전실적_원본!Z356</f>
        <v>0</v>
      </c>
      <c r="BB356" s="11">
        <f>운전실적_원본!AA356</f>
        <v>0</v>
      </c>
      <c r="BC356" s="11">
        <f>운전실적_원본!AB356</f>
        <v>0</v>
      </c>
      <c r="BD356" s="32" t="str">
        <f t="shared" si="1777"/>
        <v>-</v>
      </c>
      <c r="BE356" s="11" t="str">
        <f t="shared" si="1785"/>
        <v>-</v>
      </c>
      <c r="BF356" s="11">
        <f>운전실적_원본!AE356</f>
        <v>0</v>
      </c>
      <c r="BG356" s="31">
        <f t="shared" si="1778"/>
        <v>0</v>
      </c>
      <c r="BH356" s="241">
        <f>INDEX(연료전지_원본!$A$4:$KY$369,MATCH($A356,연료전지_원본!$A$4:$A$369,0),MATCH($BH$4,연료전지_원본!$A$4:$KY$4,0))</f>
        <v>0</v>
      </c>
      <c r="BI356" s="241">
        <f>INDEX(연료전지_원본!$A$4:$KY$369,MATCH($A356,연료전지_원본!$A$4:$A$369,0),MATCH($BI$4,연료전지_원본!$A$4:$KY$4,0))</f>
        <v>0</v>
      </c>
      <c r="BJ356" s="241">
        <f>INDEX(연료전지_원본!$A$4:$KY$369,MATCH($A356,연료전지_원본!$A$4:$A$369,0),MATCH($BJ$4,연료전지_원본!$A$4:$KY$4,0))</f>
        <v>0</v>
      </c>
      <c r="BK356" s="241">
        <f>INDEX(연료전지_원본!$A$4:$KY$369,MATCH($A356,연료전지_원본!$A$4:$A$369,0),MATCH($BK$4,연료전지_원본!$A$4:$KY$4,0))</f>
        <v>0</v>
      </c>
      <c r="BL356" s="241">
        <f>INDEX(연료전지_원본!$A$4:$KY$369,MATCH($A356,연료전지_원본!$A$4:$A$369,0),MATCH($BL$4,연료전지_원본!$A$4:$KY$4,0))</f>
        <v>0</v>
      </c>
      <c r="BM356" s="241">
        <f>INDEX(연료전지_원본!$A$4:$KY$369,MATCH($A356,연료전지_원본!$A$4:$A$369,0),MATCH($BM$4,연료전지_원본!$A$4:$KY$4,0))</f>
        <v>0</v>
      </c>
      <c r="BN356" s="241">
        <f>INDEX(연료전지_원본!$A$4:$KY$369,MATCH($A356,연료전지_원본!$A$4:$A$369,0),MATCH($BN$4,연료전지_원본!$A$4:$KY$4,0))</f>
        <v>0</v>
      </c>
      <c r="BO356" s="241">
        <f>INDEX(연료전지_원본!$A$4:$KY$369,MATCH($A356,연료전지_원본!$A$4:$A$369,0),MATCH($BO$4,연료전지_원본!$A$4:$KY$4,0))</f>
        <v>0</v>
      </c>
      <c r="BP356" s="241">
        <f>INDEX(연료전지_원본!$A$4:$KY$369,MATCH($A356,연료전지_원본!$A$4:$A$369,0),MATCH($BP$4,연료전지_원본!$A$4:$KY$4,0))</f>
        <v>0</v>
      </c>
      <c r="BQ356" s="241">
        <f>INDEX(연료전지_원본!$A$4:$KY$369,MATCH($A356,연료전지_원본!$A$4:$A$369,0),MATCH($BQ$4,연료전지_원본!$A$4:$KY$4,0))</f>
        <v>0</v>
      </c>
      <c r="BR356" s="241">
        <f>INDEX(연료전지_원본!$A$4:$KY$369,MATCH($A356,연료전지_원본!$A$4:$A$369,0),MATCH($BR$4,연료전지_원본!$A$4:$KY$4,0))</f>
        <v>0</v>
      </c>
      <c r="BS356" s="241">
        <f>INDEX(연료전지_원본!$A$4:$KY$369,MATCH($A356,연료전지_원본!$A$4:$A$369,0),MATCH($BS$4,연료전지_원본!$A$4:$KY$4,0))</f>
        <v>0</v>
      </c>
      <c r="BT356" s="241">
        <f>INDEX(연료전지_원본!$A$4:$KY$369,MATCH($A356,연료전지_원본!$A$4:$A$369,0),MATCH($BT$4,연료전지_원본!$A$4:$KY$4,0))</f>
        <v>0</v>
      </c>
      <c r="BU356" s="241">
        <f>INDEX(연료전지_원본!$A$4:$KY$369,MATCH($A356,연료전지_원본!$A$4:$A$369,0),MATCH($BU$4,연료전지_원본!$A$4:$KY$4,0))</f>
        <v>0</v>
      </c>
      <c r="BV356" s="241">
        <f>INDEX(연료전지_원본!$A$4:$KY$369,MATCH($A356,연료전지_원본!$A$4:$A$369,0),MATCH($BV$4,연료전지_원본!$A$4:$KY$4,0))</f>
        <v>0</v>
      </c>
      <c r="BW356" s="241">
        <f>INDEX(연료전지_원본!$A$4:$KY$369,MATCH($A356,연료전지_원본!$A$4:$A$369,0),MATCH($BW$4,연료전지_원본!$A$4:$KY$4,0))</f>
        <v>0</v>
      </c>
      <c r="BX356" s="241">
        <f>INDEX(연료전지_원본!$A$4:$KY$369,MATCH($A356,연료전지_원본!$A$4:$A$369,0),MATCH($BX$4,연료전지_원본!$A$4:$KY$4,0))</f>
        <v>0</v>
      </c>
      <c r="BY356" s="241">
        <f>INDEX(연료전지_원본!$A$4:$KY$369,MATCH($A356,연료전지_원본!$A$4:$A$369,0),MATCH($BY$4,연료전지_원본!$A$4:$KY$4,0))</f>
        <v>0</v>
      </c>
      <c r="BZ356" s="241">
        <f>INDEX(연료전지_원본!$A$4:$KY$369,MATCH($A356,연료전지_원본!$A$4:$A$369,0),MATCH($BZ$4,연료전지_원본!$A$4:$KY$4,0))</f>
        <v>0</v>
      </c>
      <c r="CA356" s="241">
        <f>INDEX(연료전지_원본!$A$4:$KY$369,MATCH($A356,연료전지_원본!$A$4:$A$369,0),MATCH($CA$4,연료전지_원본!$A$4:$KY$4,0))</f>
        <v>0</v>
      </c>
      <c r="CB356" s="241">
        <f>INDEX(연료전지_원본!$A$4:$KY$369,MATCH($A356,연료전지_원본!$A$4:$A$369,0),MATCH($CB$4,연료전지_원본!$A$4:$KY$4,0))</f>
        <v>0</v>
      </c>
      <c r="CC356" s="242">
        <f>INDEX(연료전지_원본!$A$4:$KY$369,MATCH($A356,연료전지_원본!$A$4:$A$369,0),MATCH($CC$4,연료전지_원본!$A$4:$KY$4,0))</f>
        <v>0</v>
      </c>
      <c r="CD356" s="250">
        <f>INDEX(연료전지_원본!$KB$4:$KX$369,MATCH($A356,연료전지_원본!$KB$4:$KB$369,0), MATCH(CD$4,연료전지_원본!$KB$4:$KX$4,0))*1000</f>
        <v>0</v>
      </c>
      <c r="CE356" s="250">
        <f>INDEX(연료전지_원본!$KB$4:$KX$369,MATCH($A356,연료전지_원본!$KB$4:$KB$369,0), MATCH(CE$4,연료전지_원본!$KB$4:$KX$4,0))*1000</f>
        <v>0</v>
      </c>
      <c r="CF356" s="250">
        <f>INDEX(연료전지_원본!$KB$4:$KX$369,MATCH($A356,연료전지_원본!$KB$4:$KB$369,0), MATCH(CF$4,연료전지_원본!$KB$4:$KX$4,0))*1000</f>
        <v>0</v>
      </c>
      <c r="CG356" s="250">
        <f>INDEX(연료전지_원본!$KB$4:$KX$369,MATCH($A356,연료전지_원본!$KB$4:$KB$369,0), MATCH(CG$4,연료전지_원본!$KB$4:$KX$4,0))*1000</f>
        <v>0</v>
      </c>
      <c r="CH356" s="250">
        <f>INDEX(연료전지_원본!$KB$4:$KX$369,MATCH($A356,연료전지_원본!$KB$4:$KB$369,0), MATCH(CH$4,연료전지_원본!$KB$4:$KX$4,0))*1000</f>
        <v>0</v>
      </c>
      <c r="CI356" s="250">
        <f>INDEX(연료전지_원본!$KB$4:$KX$369,MATCH($A356,연료전지_원본!$KB$4:$KB$369,0), MATCH(CI$4,연료전지_원본!$KB$4:$KX$4,0))*1000</f>
        <v>0</v>
      </c>
      <c r="CJ356" s="250">
        <f>INDEX(연료전지_원본!$KB$4:$KX$369,MATCH($A356,연료전지_원본!$KB$4:$KB$369,0), MATCH(CJ$4,연료전지_원본!$KB$4:$KX$4,0))*1000</f>
        <v>0</v>
      </c>
      <c r="CK356" s="250">
        <f>INDEX(연료전지_원본!$KB$4:$KX$369,MATCH($A356,연료전지_원본!$KB$4:$KB$369,0), MATCH(CK$4,연료전지_원본!$KB$4:$KX$4,0))*1000</f>
        <v>0</v>
      </c>
      <c r="CL356" s="250">
        <f>INDEX(연료전지_원본!$KB$4:$KX$369,MATCH($A356,연료전지_원본!$KB$4:$KB$369,0), MATCH(CL$4,연료전지_원본!$KB$4:$KX$4,0))*1000</f>
        <v>0</v>
      </c>
      <c r="CM356" s="250">
        <f>INDEX(연료전지_원본!$KB$4:$KX$369,MATCH($A356,연료전지_원본!$KB$4:$KB$369,0), MATCH(CM$4,연료전지_원본!$KB$4:$KX$4,0))*1000</f>
        <v>0</v>
      </c>
      <c r="CN356" s="250">
        <f>INDEX(연료전지_원본!$KB$4:$KX$369,MATCH($A356,연료전지_원본!$KB$4:$KB$369,0), MATCH(CN$4,연료전지_원본!$KB$4:$KX$4,0))*1000</f>
        <v>0</v>
      </c>
      <c r="CO356" s="250">
        <f>INDEX(연료전지_원본!$KB$4:$KX$369,MATCH($A356,연료전지_원본!$KB$4:$KB$369,0), MATCH(CO$4,연료전지_원본!$KB$4:$KX$4,0))*1000</f>
        <v>0</v>
      </c>
      <c r="CP356" s="250">
        <f>INDEX(연료전지_원본!$KB$4:$KX$369,MATCH($A356,연료전지_원본!$KB$4:$KB$369,0), MATCH(CP$4,연료전지_원본!$KB$4:$KX$4,0))*1000</f>
        <v>0</v>
      </c>
      <c r="CQ356" s="250">
        <f>INDEX(연료전지_원본!$KB$4:$KX$369,MATCH($A356,연료전지_원본!$KB$4:$KB$369,0), MATCH(CQ$4,연료전지_원본!$KB$4:$KX$4,0))*1000</f>
        <v>0</v>
      </c>
      <c r="CR356" s="250">
        <f>INDEX(연료전지_원본!$KB$4:$KX$369,MATCH($A356,연료전지_원본!$KB$4:$KB$369,0), MATCH(CR$4,연료전지_원본!$KB$4:$KX$4,0))*1000</f>
        <v>0</v>
      </c>
      <c r="CS356" s="250">
        <f>INDEX(연료전지_원본!$KB$4:$KX$369,MATCH($A356,연료전지_원본!$KB$4:$KB$369,0), MATCH(CS$4,연료전지_원본!$KB$4:$KX$4,0))*1000</f>
        <v>0</v>
      </c>
      <c r="CT356" s="250">
        <f>INDEX(연료전지_원본!$KB$4:$KX$369,MATCH($A356,연료전지_원본!$KB$4:$KB$369,0), MATCH(CT$4,연료전지_원본!$KB$4:$KX$4,0))*1000</f>
        <v>0</v>
      </c>
      <c r="CU356" s="250">
        <f>INDEX(연료전지_원본!$KB$4:$KX$369,MATCH($A356,연료전지_원본!$KB$4:$KB$369,0), MATCH(CU$4,연료전지_원본!$KB$4:$KX$4,0))*1000</f>
        <v>0</v>
      </c>
      <c r="CV356" s="250">
        <f>INDEX(연료전지_원본!$KB$4:$KX$369,MATCH($A356,연료전지_원본!$KB$4:$KB$369,0), MATCH(CV$4,연료전지_원본!$KB$4:$KX$4,0))*1000</f>
        <v>0</v>
      </c>
      <c r="CW356" s="250">
        <f>INDEX(연료전지_원본!$KB$4:$KX$369,MATCH($A356,연료전지_원본!$KB$4:$KB$369,0), MATCH(CW$4,연료전지_원본!$KB$4:$KX$4,0))*1000</f>
        <v>0</v>
      </c>
      <c r="CX356" s="250">
        <f>INDEX(연료전지_원본!$KB$4:$KX$369,MATCH($A356,연료전지_원본!$KB$4:$KB$369,0), MATCH(CX$4,연료전지_원본!$KB$4:$KX$4,0))*1000</f>
        <v>0</v>
      </c>
      <c r="CY356" s="250">
        <f>INDEX(연료전지_원본!$KB$4:$KX$369,MATCH($A356,연료전지_원본!$KB$4:$KB$369,0), MATCH(CY$4,연료전지_원본!$KB$4:$KX$4,0))*1000</f>
        <v>0</v>
      </c>
      <c r="DV356" s="30">
        <f t="shared" si="1616"/>
        <v>0</v>
      </c>
    </row>
    <row r="357" spans="1:126">
      <c r="A357" s="6">
        <v>46374</v>
      </c>
      <c r="B357" s="15">
        <f>운전실적_원본!B357</f>
        <v>0</v>
      </c>
      <c r="C357" s="16" t="str">
        <f t="shared" si="1622"/>
        <v/>
      </c>
      <c r="D357" s="12">
        <f>운전실적_원본!C357</f>
        <v>0</v>
      </c>
      <c r="E357" s="12" t="str">
        <f t="shared" si="1623"/>
        <v/>
      </c>
      <c r="F357" s="12">
        <f>운전실적_원본!D357</f>
        <v>0</v>
      </c>
      <c r="G357" s="16" t="str">
        <f t="shared" si="1624"/>
        <v/>
      </c>
      <c r="H357" s="15">
        <f>운전실적_원본!E357</f>
        <v>0</v>
      </c>
      <c r="I357" s="16" t="str">
        <f t="shared" si="1625"/>
        <v/>
      </c>
      <c r="J357" s="15">
        <f>운전실적_원본!F357</f>
        <v>0</v>
      </c>
      <c r="K357" s="16" t="str">
        <f t="shared" si="1625"/>
        <v/>
      </c>
      <c r="L357" s="32">
        <f>운전실적_원본!G357</f>
        <v>0</v>
      </c>
      <c r="M357" s="31" t="str">
        <f t="shared" ref="M357" si="1937">IF(OR(LEN(L357)=0,L357=0),"",L357-L356)</f>
        <v/>
      </c>
      <c r="N357" s="15">
        <f>운전실적_원본!H357</f>
        <v>0</v>
      </c>
      <c r="O357" s="16" t="str">
        <f t="shared" ref="O357" si="1938">IF(OR(LEN(N357)=0,N357=0),"",N357-N356)</f>
        <v/>
      </c>
      <c r="P357" s="15">
        <f>운전실적_원본!I357</f>
        <v>0</v>
      </c>
      <c r="Q357" s="16" t="str">
        <f t="shared" ref="Q357" si="1939">IF(OR(LEN(P357)=0,P357=0),"",P357-P356)</f>
        <v/>
      </c>
      <c r="R357" s="18">
        <f>운전실적_원본!J357</f>
        <v>0</v>
      </c>
      <c r="S357" s="19" t="str">
        <f t="shared" ref="S357" si="1940">IF(OR(LEN(R357)=0,R357=0),"",R357-R356)</f>
        <v/>
      </c>
      <c r="T357" s="18">
        <f>운전실적_원본!K357</f>
        <v>0</v>
      </c>
      <c r="U357" s="19" t="str">
        <f t="shared" si="1630"/>
        <v/>
      </c>
      <c r="V357" s="12">
        <f>운전실적_원본!L357</f>
        <v>0</v>
      </c>
      <c r="W357" s="16" t="str">
        <f t="shared" ref="W357" si="1941">IF(OR(LEN(V357)=0,V357=0),"",V357-V356)</f>
        <v/>
      </c>
      <c r="X357" s="10">
        <f>운전실적_원본!M357</f>
        <v>0</v>
      </c>
      <c r="Y357" s="10">
        <f>운전실적_원본!N357</f>
        <v>0</v>
      </c>
      <c r="Z357" s="10">
        <f>운전실적_원본!O357</f>
        <v>0</v>
      </c>
      <c r="AA357" s="10">
        <f>운전실적_원본!P357</f>
        <v>0</v>
      </c>
      <c r="AB357" s="10">
        <f>운전실적_원본!Q357</f>
        <v>0</v>
      </c>
      <c r="AC357" s="20">
        <f>운전실적_원본!R357</f>
        <v>0</v>
      </c>
      <c r="AD357" s="109">
        <f>운전실적_원본!S357</f>
        <v>0</v>
      </c>
      <c r="AE357" s="110">
        <f>운전실적_원본!T357</f>
        <v>0</v>
      </c>
      <c r="AF357" s="110">
        <f>운전실적_원본!U357</f>
        <v>0</v>
      </c>
      <c r="AG357" s="110">
        <f>운전실적_원본!V357</f>
        <v>0</v>
      </c>
      <c r="AH357" s="109">
        <f t="shared" si="1784"/>
        <v>0</v>
      </c>
      <c r="AI357" s="110">
        <f t="shared" si="1791"/>
        <v>0</v>
      </c>
      <c r="AJ357" s="110">
        <f>운전실적_원본!Y357</f>
        <v>0</v>
      </c>
      <c r="AK357" s="110">
        <f>운전실적_원본!Z357</f>
        <v>0</v>
      </c>
      <c r="AL357" s="106"/>
      <c r="AM357" s="105"/>
      <c r="AN357" s="105"/>
      <c r="AO357" s="105"/>
      <c r="AP357" s="105"/>
      <c r="AQ357" s="108"/>
      <c r="AR357" s="105"/>
      <c r="AS357" s="105"/>
      <c r="AT357" s="102"/>
      <c r="AU357" s="102"/>
      <c r="AV357" s="102"/>
      <c r="AW357" s="102"/>
      <c r="AX357" s="32">
        <f>운전실적_원본!W357</f>
        <v>0</v>
      </c>
      <c r="AY357" s="11">
        <f>운전실적_원본!X357</f>
        <v>0</v>
      </c>
      <c r="AZ357" s="11">
        <f>운전실적_원본!Y357</f>
        <v>0</v>
      </c>
      <c r="BA357" s="11">
        <f>운전실적_원본!Z357</f>
        <v>0</v>
      </c>
      <c r="BB357" s="11">
        <f>운전실적_원본!AA357</f>
        <v>0</v>
      </c>
      <c r="BC357" s="11">
        <f>운전실적_원본!AB357</f>
        <v>0</v>
      </c>
      <c r="BD357" s="32" t="str">
        <f t="shared" si="1777"/>
        <v>-</v>
      </c>
      <c r="BE357" s="11" t="str">
        <f t="shared" si="1785"/>
        <v>-</v>
      </c>
      <c r="BF357" s="11">
        <f>운전실적_원본!AE357</f>
        <v>0</v>
      </c>
      <c r="BG357" s="31">
        <f t="shared" si="1778"/>
        <v>0</v>
      </c>
      <c r="BH357" s="241">
        <f>INDEX(연료전지_원본!$A$4:$KY$369,MATCH($A357,연료전지_원본!$A$4:$A$369,0),MATCH($BH$4,연료전지_원본!$A$4:$KY$4,0))</f>
        <v>0</v>
      </c>
      <c r="BI357" s="241">
        <f>INDEX(연료전지_원본!$A$4:$KY$369,MATCH($A357,연료전지_원본!$A$4:$A$369,0),MATCH($BI$4,연료전지_원본!$A$4:$KY$4,0))</f>
        <v>0</v>
      </c>
      <c r="BJ357" s="241">
        <f>INDEX(연료전지_원본!$A$4:$KY$369,MATCH($A357,연료전지_원본!$A$4:$A$369,0),MATCH($BJ$4,연료전지_원본!$A$4:$KY$4,0))</f>
        <v>0</v>
      </c>
      <c r="BK357" s="241">
        <f>INDEX(연료전지_원본!$A$4:$KY$369,MATCH($A357,연료전지_원본!$A$4:$A$369,0),MATCH($BK$4,연료전지_원본!$A$4:$KY$4,0))</f>
        <v>0</v>
      </c>
      <c r="BL357" s="241">
        <f>INDEX(연료전지_원본!$A$4:$KY$369,MATCH($A357,연료전지_원본!$A$4:$A$369,0),MATCH($BL$4,연료전지_원본!$A$4:$KY$4,0))</f>
        <v>0</v>
      </c>
      <c r="BM357" s="241">
        <f>INDEX(연료전지_원본!$A$4:$KY$369,MATCH($A357,연료전지_원본!$A$4:$A$369,0),MATCH($BM$4,연료전지_원본!$A$4:$KY$4,0))</f>
        <v>0</v>
      </c>
      <c r="BN357" s="241">
        <f>INDEX(연료전지_원본!$A$4:$KY$369,MATCH($A357,연료전지_원본!$A$4:$A$369,0),MATCH($BN$4,연료전지_원본!$A$4:$KY$4,0))</f>
        <v>0</v>
      </c>
      <c r="BO357" s="241">
        <f>INDEX(연료전지_원본!$A$4:$KY$369,MATCH($A357,연료전지_원본!$A$4:$A$369,0),MATCH($BO$4,연료전지_원본!$A$4:$KY$4,0))</f>
        <v>0</v>
      </c>
      <c r="BP357" s="241">
        <f>INDEX(연료전지_원본!$A$4:$KY$369,MATCH($A357,연료전지_원본!$A$4:$A$369,0),MATCH($BP$4,연료전지_원본!$A$4:$KY$4,0))</f>
        <v>0</v>
      </c>
      <c r="BQ357" s="241">
        <f>INDEX(연료전지_원본!$A$4:$KY$369,MATCH($A357,연료전지_원본!$A$4:$A$369,0),MATCH($BQ$4,연료전지_원본!$A$4:$KY$4,0))</f>
        <v>0</v>
      </c>
      <c r="BR357" s="241">
        <f>INDEX(연료전지_원본!$A$4:$KY$369,MATCH($A357,연료전지_원본!$A$4:$A$369,0),MATCH($BR$4,연료전지_원본!$A$4:$KY$4,0))</f>
        <v>0</v>
      </c>
      <c r="BS357" s="241">
        <f>INDEX(연료전지_원본!$A$4:$KY$369,MATCH($A357,연료전지_원본!$A$4:$A$369,0),MATCH($BS$4,연료전지_원본!$A$4:$KY$4,0))</f>
        <v>0</v>
      </c>
      <c r="BT357" s="241">
        <f>INDEX(연료전지_원본!$A$4:$KY$369,MATCH($A357,연료전지_원본!$A$4:$A$369,0),MATCH($BT$4,연료전지_원본!$A$4:$KY$4,0))</f>
        <v>0</v>
      </c>
      <c r="BU357" s="241">
        <f>INDEX(연료전지_원본!$A$4:$KY$369,MATCH($A357,연료전지_원본!$A$4:$A$369,0),MATCH($BU$4,연료전지_원본!$A$4:$KY$4,0))</f>
        <v>0</v>
      </c>
      <c r="BV357" s="241">
        <f>INDEX(연료전지_원본!$A$4:$KY$369,MATCH($A357,연료전지_원본!$A$4:$A$369,0),MATCH($BV$4,연료전지_원본!$A$4:$KY$4,0))</f>
        <v>0</v>
      </c>
      <c r="BW357" s="241">
        <f>INDEX(연료전지_원본!$A$4:$KY$369,MATCH($A357,연료전지_원본!$A$4:$A$369,0),MATCH($BW$4,연료전지_원본!$A$4:$KY$4,0))</f>
        <v>0</v>
      </c>
      <c r="BX357" s="241">
        <f>INDEX(연료전지_원본!$A$4:$KY$369,MATCH($A357,연료전지_원본!$A$4:$A$369,0),MATCH($BX$4,연료전지_원본!$A$4:$KY$4,0))</f>
        <v>0</v>
      </c>
      <c r="BY357" s="241">
        <f>INDEX(연료전지_원본!$A$4:$KY$369,MATCH($A357,연료전지_원본!$A$4:$A$369,0),MATCH($BY$4,연료전지_원본!$A$4:$KY$4,0))</f>
        <v>0</v>
      </c>
      <c r="BZ357" s="241">
        <f>INDEX(연료전지_원본!$A$4:$KY$369,MATCH($A357,연료전지_원본!$A$4:$A$369,0),MATCH($BZ$4,연료전지_원본!$A$4:$KY$4,0))</f>
        <v>0</v>
      </c>
      <c r="CA357" s="241">
        <f>INDEX(연료전지_원본!$A$4:$KY$369,MATCH($A357,연료전지_원본!$A$4:$A$369,0),MATCH($CA$4,연료전지_원본!$A$4:$KY$4,0))</f>
        <v>0</v>
      </c>
      <c r="CB357" s="241">
        <f>INDEX(연료전지_원본!$A$4:$KY$369,MATCH($A357,연료전지_원본!$A$4:$A$369,0),MATCH($CB$4,연료전지_원본!$A$4:$KY$4,0))</f>
        <v>0</v>
      </c>
      <c r="CC357" s="242">
        <f>INDEX(연료전지_원본!$A$4:$KY$369,MATCH($A357,연료전지_원본!$A$4:$A$369,0),MATCH($CC$4,연료전지_원본!$A$4:$KY$4,0))</f>
        <v>0</v>
      </c>
      <c r="CD357" s="250">
        <f>INDEX(연료전지_원본!$KB$4:$KX$369,MATCH($A357,연료전지_원본!$KB$4:$KB$369,0), MATCH(CD$4,연료전지_원본!$KB$4:$KX$4,0))*1000</f>
        <v>0</v>
      </c>
      <c r="CE357" s="250">
        <f>INDEX(연료전지_원본!$KB$4:$KX$369,MATCH($A357,연료전지_원본!$KB$4:$KB$369,0), MATCH(CE$4,연료전지_원본!$KB$4:$KX$4,0))*1000</f>
        <v>0</v>
      </c>
      <c r="CF357" s="250">
        <f>INDEX(연료전지_원본!$KB$4:$KX$369,MATCH($A357,연료전지_원본!$KB$4:$KB$369,0), MATCH(CF$4,연료전지_원본!$KB$4:$KX$4,0))*1000</f>
        <v>0</v>
      </c>
      <c r="CG357" s="250">
        <f>INDEX(연료전지_원본!$KB$4:$KX$369,MATCH($A357,연료전지_원본!$KB$4:$KB$369,0), MATCH(CG$4,연료전지_원본!$KB$4:$KX$4,0))*1000</f>
        <v>0</v>
      </c>
      <c r="CH357" s="250">
        <f>INDEX(연료전지_원본!$KB$4:$KX$369,MATCH($A357,연료전지_원본!$KB$4:$KB$369,0), MATCH(CH$4,연료전지_원본!$KB$4:$KX$4,0))*1000</f>
        <v>0</v>
      </c>
      <c r="CI357" s="250">
        <f>INDEX(연료전지_원본!$KB$4:$KX$369,MATCH($A357,연료전지_원본!$KB$4:$KB$369,0), MATCH(CI$4,연료전지_원본!$KB$4:$KX$4,0))*1000</f>
        <v>0</v>
      </c>
      <c r="CJ357" s="250">
        <f>INDEX(연료전지_원본!$KB$4:$KX$369,MATCH($A357,연료전지_원본!$KB$4:$KB$369,0), MATCH(CJ$4,연료전지_원본!$KB$4:$KX$4,0))*1000</f>
        <v>0</v>
      </c>
      <c r="CK357" s="250">
        <f>INDEX(연료전지_원본!$KB$4:$KX$369,MATCH($A357,연료전지_원본!$KB$4:$KB$369,0), MATCH(CK$4,연료전지_원본!$KB$4:$KX$4,0))*1000</f>
        <v>0</v>
      </c>
      <c r="CL357" s="250">
        <f>INDEX(연료전지_원본!$KB$4:$KX$369,MATCH($A357,연료전지_원본!$KB$4:$KB$369,0), MATCH(CL$4,연료전지_원본!$KB$4:$KX$4,0))*1000</f>
        <v>0</v>
      </c>
      <c r="CM357" s="250">
        <f>INDEX(연료전지_원본!$KB$4:$KX$369,MATCH($A357,연료전지_원본!$KB$4:$KB$369,0), MATCH(CM$4,연료전지_원본!$KB$4:$KX$4,0))*1000</f>
        <v>0</v>
      </c>
      <c r="CN357" s="250">
        <f>INDEX(연료전지_원본!$KB$4:$KX$369,MATCH($A357,연료전지_원본!$KB$4:$KB$369,0), MATCH(CN$4,연료전지_원본!$KB$4:$KX$4,0))*1000</f>
        <v>0</v>
      </c>
      <c r="CO357" s="250">
        <f>INDEX(연료전지_원본!$KB$4:$KX$369,MATCH($A357,연료전지_원본!$KB$4:$KB$369,0), MATCH(CO$4,연료전지_원본!$KB$4:$KX$4,0))*1000</f>
        <v>0</v>
      </c>
      <c r="CP357" s="250">
        <f>INDEX(연료전지_원본!$KB$4:$KX$369,MATCH($A357,연료전지_원본!$KB$4:$KB$369,0), MATCH(CP$4,연료전지_원본!$KB$4:$KX$4,0))*1000</f>
        <v>0</v>
      </c>
      <c r="CQ357" s="250">
        <f>INDEX(연료전지_원본!$KB$4:$KX$369,MATCH($A357,연료전지_원본!$KB$4:$KB$369,0), MATCH(CQ$4,연료전지_원본!$KB$4:$KX$4,0))*1000</f>
        <v>0</v>
      </c>
      <c r="CR357" s="250">
        <f>INDEX(연료전지_원본!$KB$4:$KX$369,MATCH($A357,연료전지_원본!$KB$4:$KB$369,0), MATCH(CR$4,연료전지_원본!$KB$4:$KX$4,0))*1000</f>
        <v>0</v>
      </c>
      <c r="CS357" s="250">
        <f>INDEX(연료전지_원본!$KB$4:$KX$369,MATCH($A357,연료전지_원본!$KB$4:$KB$369,0), MATCH(CS$4,연료전지_원본!$KB$4:$KX$4,0))*1000</f>
        <v>0</v>
      </c>
      <c r="CT357" s="250">
        <f>INDEX(연료전지_원본!$KB$4:$KX$369,MATCH($A357,연료전지_원본!$KB$4:$KB$369,0), MATCH(CT$4,연료전지_원본!$KB$4:$KX$4,0))*1000</f>
        <v>0</v>
      </c>
      <c r="CU357" s="250">
        <f>INDEX(연료전지_원본!$KB$4:$KX$369,MATCH($A357,연료전지_원본!$KB$4:$KB$369,0), MATCH(CU$4,연료전지_원본!$KB$4:$KX$4,0))*1000</f>
        <v>0</v>
      </c>
      <c r="CV357" s="250">
        <f>INDEX(연료전지_원본!$KB$4:$KX$369,MATCH($A357,연료전지_원본!$KB$4:$KB$369,0), MATCH(CV$4,연료전지_원본!$KB$4:$KX$4,0))*1000</f>
        <v>0</v>
      </c>
      <c r="CW357" s="250">
        <f>INDEX(연료전지_원본!$KB$4:$KX$369,MATCH($A357,연료전지_원본!$KB$4:$KB$369,0), MATCH(CW$4,연료전지_원본!$KB$4:$KX$4,0))*1000</f>
        <v>0</v>
      </c>
      <c r="CX357" s="250">
        <f>INDEX(연료전지_원본!$KB$4:$KX$369,MATCH($A357,연료전지_원본!$KB$4:$KB$369,0), MATCH(CX$4,연료전지_원본!$KB$4:$KX$4,0))*1000</f>
        <v>0</v>
      </c>
      <c r="CY357" s="250">
        <f>INDEX(연료전지_원본!$KB$4:$KX$369,MATCH($A357,연료전지_원본!$KB$4:$KB$369,0), MATCH(CY$4,연료전지_원본!$KB$4:$KX$4,0))*1000</f>
        <v>0</v>
      </c>
      <c r="DV357" s="30">
        <f t="shared" si="1616"/>
        <v>0</v>
      </c>
    </row>
    <row r="358" spans="1:126">
      <c r="A358" s="6">
        <v>46375</v>
      </c>
      <c r="B358" s="15">
        <f>운전실적_원본!B358</f>
        <v>0</v>
      </c>
      <c r="C358" s="16" t="str">
        <f t="shared" si="1622"/>
        <v/>
      </c>
      <c r="D358" s="12">
        <f>운전실적_원본!C358</f>
        <v>0</v>
      </c>
      <c r="E358" s="12" t="str">
        <f t="shared" si="1623"/>
        <v/>
      </c>
      <c r="F358" s="12">
        <f>운전실적_원본!D358</f>
        <v>0</v>
      </c>
      <c r="G358" s="16" t="str">
        <f t="shared" si="1624"/>
        <v/>
      </c>
      <c r="H358" s="15">
        <f>운전실적_원본!E358</f>
        <v>0</v>
      </c>
      <c r="I358" s="16" t="str">
        <f t="shared" si="1625"/>
        <v/>
      </c>
      <c r="J358" s="15">
        <f>운전실적_원본!F358</f>
        <v>0</v>
      </c>
      <c r="K358" s="16" t="str">
        <f t="shared" si="1625"/>
        <v/>
      </c>
      <c r="L358" s="32">
        <f>운전실적_원본!G358</f>
        <v>0</v>
      </c>
      <c r="M358" s="31" t="str">
        <f t="shared" ref="M358" si="1942">IF(OR(LEN(L358)=0,L358=0),"",L358-L357)</f>
        <v/>
      </c>
      <c r="N358" s="15">
        <f>운전실적_원본!H358</f>
        <v>0</v>
      </c>
      <c r="O358" s="16" t="str">
        <f t="shared" ref="O358" si="1943">IF(OR(LEN(N358)=0,N358=0),"",N358-N357)</f>
        <v/>
      </c>
      <c r="P358" s="15">
        <f>운전실적_원본!I358</f>
        <v>0</v>
      </c>
      <c r="Q358" s="16" t="str">
        <f t="shared" ref="Q358" si="1944">IF(OR(LEN(P358)=0,P358=0),"",P358-P357)</f>
        <v/>
      </c>
      <c r="R358" s="18">
        <f>운전실적_원본!J358</f>
        <v>0</v>
      </c>
      <c r="S358" s="19" t="str">
        <f t="shared" ref="S358" si="1945">IF(OR(LEN(R358)=0,R358=0),"",R358-R357)</f>
        <v/>
      </c>
      <c r="T358" s="18">
        <f>운전실적_원본!K358</f>
        <v>0</v>
      </c>
      <c r="U358" s="19" t="str">
        <f t="shared" si="1630"/>
        <v/>
      </c>
      <c r="V358" s="12">
        <f>운전실적_원본!L358</f>
        <v>0</v>
      </c>
      <c r="W358" s="16" t="str">
        <f t="shared" ref="W358" si="1946">IF(OR(LEN(V358)=0,V358=0),"",V358-V357)</f>
        <v/>
      </c>
      <c r="X358" s="10">
        <f>운전실적_원본!M358</f>
        <v>0</v>
      </c>
      <c r="Y358" s="10">
        <f>운전실적_원본!N358</f>
        <v>0</v>
      </c>
      <c r="Z358" s="10">
        <f>운전실적_원본!O358</f>
        <v>0</v>
      </c>
      <c r="AA358" s="10">
        <f>운전실적_원본!P358</f>
        <v>0</v>
      </c>
      <c r="AB358" s="10">
        <f>운전실적_원본!Q358</f>
        <v>0</v>
      </c>
      <c r="AC358" s="20">
        <f>운전실적_원본!R358</f>
        <v>0</v>
      </c>
      <c r="AD358" s="109">
        <f>운전실적_원본!S358</f>
        <v>0</v>
      </c>
      <c r="AE358" s="110">
        <f>운전실적_원본!T358</f>
        <v>0</v>
      </c>
      <c r="AF358" s="110">
        <f>운전실적_원본!U358</f>
        <v>0</v>
      </c>
      <c r="AG358" s="110">
        <f>운전실적_원본!V358</f>
        <v>0</v>
      </c>
      <c r="AH358" s="109">
        <f t="shared" si="1784"/>
        <v>0</v>
      </c>
      <c r="AI358" s="110">
        <f t="shared" si="1791"/>
        <v>0</v>
      </c>
      <c r="AJ358" s="110">
        <f>운전실적_원본!Y358</f>
        <v>0</v>
      </c>
      <c r="AK358" s="110">
        <f>운전실적_원본!Z358</f>
        <v>0</v>
      </c>
      <c r="AL358" s="106"/>
      <c r="AM358" s="105"/>
      <c r="AN358" s="105"/>
      <c r="AO358" s="105"/>
      <c r="AP358" s="105"/>
      <c r="AQ358" s="108"/>
      <c r="AR358" s="105"/>
      <c r="AS358" s="105"/>
      <c r="AT358" s="102"/>
      <c r="AU358" s="102"/>
      <c r="AV358" s="102"/>
      <c r="AW358" s="102"/>
      <c r="AX358" s="32">
        <f>운전실적_원본!W358</f>
        <v>0</v>
      </c>
      <c r="AY358" s="11">
        <f>운전실적_원본!X358</f>
        <v>0</v>
      </c>
      <c r="AZ358" s="11">
        <f>운전실적_원본!Y358</f>
        <v>0</v>
      </c>
      <c r="BA358" s="11">
        <f>운전실적_원본!Z358</f>
        <v>0</v>
      </c>
      <c r="BB358" s="11">
        <f>운전실적_원본!AA358</f>
        <v>0</v>
      </c>
      <c r="BC358" s="11">
        <f>운전실적_원본!AB358</f>
        <v>0</v>
      </c>
      <c r="BD358" s="32" t="str">
        <f t="shared" si="1777"/>
        <v>-</v>
      </c>
      <c r="BE358" s="11" t="str">
        <f t="shared" si="1785"/>
        <v>-</v>
      </c>
      <c r="BF358" s="11">
        <f>운전실적_원본!AE358</f>
        <v>0</v>
      </c>
      <c r="BG358" s="31">
        <f t="shared" si="1778"/>
        <v>0</v>
      </c>
      <c r="BH358" s="241">
        <f>INDEX(연료전지_원본!$A$4:$KY$369,MATCH($A358,연료전지_원본!$A$4:$A$369,0),MATCH($BH$4,연료전지_원본!$A$4:$KY$4,0))</f>
        <v>0</v>
      </c>
      <c r="BI358" s="241">
        <f>INDEX(연료전지_원본!$A$4:$KY$369,MATCH($A358,연료전지_원본!$A$4:$A$369,0),MATCH($BI$4,연료전지_원본!$A$4:$KY$4,0))</f>
        <v>0</v>
      </c>
      <c r="BJ358" s="241">
        <f>INDEX(연료전지_원본!$A$4:$KY$369,MATCH($A358,연료전지_원본!$A$4:$A$369,0),MATCH($BJ$4,연료전지_원본!$A$4:$KY$4,0))</f>
        <v>0</v>
      </c>
      <c r="BK358" s="241">
        <f>INDEX(연료전지_원본!$A$4:$KY$369,MATCH($A358,연료전지_원본!$A$4:$A$369,0),MATCH($BK$4,연료전지_원본!$A$4:$KY$4,0))</f>
        <v>0</v>
      </c>
      <c r="BL358" s="241">
        <f>INDEX(연료전지_원본!$A$4:$KY$369,MATCH($A358,연료전지_원본!$A$4:$A$369,0),MATCH($BL$4,연료전지_원본!$A$4:$KY$4,0))</f>
        <v>0</v>
      </c>
      <c r="BM358" s="241">
        <f>INDEX(연료전지_원본!$A$4:$KY$369,MATCH($A358,연료전지_원본!$A$4:$A$369,0),MATCH($BM$4,연료전지_원본!$A$4:$KY$4,0))</f>
        <v>0</v>
      </c>
      <c r="BN358" s="241">
        <f>INDEX(연료전지_원본!$A$4:$KY$369,MATCH($A358,연료전지_원본!$A$4:$A$369,0),MATCH($BN$4,연료전지_원본!$A$4:$KY$4,0))</f>
        <v>0</v>
      </c>
      <c r="BO358" s="241">
        <f>INDEX(연료전지_원본!$A$4:$KY$369,MATCH($A358,연료전지_원본!$A$4:$A$369,0),MATCH($BO$4,연료전지_원본!$A$4:$KY$4,0))</f>
        <v>0</v>
      </c>
      <c r="BP358" s="241">
        <f>INDEX(연료전지_원본!$A$4:$KY$369,MATCH($A358,연료전지_원본!$A$4:$A$369,0),MATCH($BP$4,연료전지_원본!$A$4:$KY$4,0))</f>
        <v>0</v>
      </c>
      <c r="BQ358" s="241">
        <f>INDEX(연료전지_원본!$A$4:$KY$369,MATCH($A358,연료전지_원본!$A$4:$A$369,0),MATCH($BQ$4,연료전지_원본!$A$4:$KY$4,0))</f>
        <v>0</v>
      </c>
      <c r="BR358" s="241">
        <f>INDEX(연료전지_원본!$A$4:$KY$369,MATCH($A358,연료전지_원본!$A$4:$A$369,0),MATCH($BR$4,연료전지_원본!$A$4:$KY$4,0))</f>
        <v>0</v>
      </c>
      <c r="BS358" s="241">
        <f>INDEX(연료전지_원본!$A$4:$KY$369,MATCH($A358,연료전지_원본!$A$4:$A$369,0),MATCH($BS$4,연료전지_원본!$A$4:$KY$4,0))</f>
        <v>0</v>
      </c>
      <c r="BT358" s="241">
        <f>INDEX(연료전지_원본!$A$4:$KY$369,MATCH($A358,연료전지_원본!$A$4:$A$369,0),MATCH($BT$4,연료전지_원본!$A$4:$KY$4,0))</f>
        <v>0</v>
      </c>
      <c r="BU358" s="241">
        <f>INDEX(연료전지_원본!$A$4:$KY$369,MATCH($A358,연료전지_원본!$A$4:$A$369,0),MATCH($BU$4,연료전지_원본!$A$4:$KY$4,0))</f>
        <v>0</v>
      </c>
      <c r="BV358" s="241">
        <f>INDEX(연료전지_원본!$A$4:$KY$369,MATCH($A358,연료전지_원본!$A$4:$A$369,0),MATCH($BV$4,연료전지_원본!$A$4:$KY$4,0))</f>
        <v>0</v>
      </c>
      <c r="BW358" s="241">
        <f>INDEX(연료전지_원본!$A$4:$KY$369,MATCH($A358,연료전지_원본!$A$4:$A$369,0),MATCH($BW$4,연료전지_원본!$A$4:$KY$4,0))</f>
        <v>0</v>
      </c>
      <c r="BX358" s="241">
        <f>INDEX(연료전지_원본!$A$4:$KY$369,MATCH($A358,연료전지_원본!$A$4:$A$369,0),MATCH($BX$4,연료전지_원본!$A$4:$KY$4,0))</f>
        <v>0</v>
      </c>
      <c r="BY358" s="241">
        <f>INDEX(연료전지_원본!$A$4:$KY$369,MATCH($A358,연료전지_원본!$A$4:$A$369,0),MATCH($BY$4,연료전지_원본!$A$4:$KY$4,0))</f>
        <v>0</v>
      </c>
      <c r="BZ358" s="241">
        <f>INDEX(연료전지_원본!$A$4:$KY$369,MATCH($A358,연료전지_원본!$A$4:$A$369,0),MATCH($BZ$4,연료전지_원본!$A$4:$KY$4,0))</f>
        <v>0</v>
      </c>
      <c r="CA358" s="241">
        <f>INDEX(연료전지_원본!$A$4:$KY$369,MATCH($A358,연료전지_원본!$A$4:$A$369,0),MATCH($CA$4,연료전지_원본!$A$4:$KY$4,0))</f>
        <v>0</v>
      </c>
      <c r="CB358" s="241">
        <f>INDEX(연료전지_원본!$A$4:$KY$369,MATCH($A358,연료전지_원본!$A$4:$A$369,0),MATCH($CB$4,연료전지_원본!$A$4:$KY$4,0))</f>
        <v>0</v>
      </c>
      <c r="CC358" s="242">
        <f>INDEX(연료전지_원본!$A$4:$KY$369,MATCH($A358,연료전지_원본!$A$4:$A$369,0),MATCH($CC$4,연료전지_원본!$A$4:$KY$4,0))</f>
        <v>0</v>
      </c>
      <c r="CD358" s="250">
        <f>INDEX(연료전지_원본!$KB$4:$KX$369,MATCH($A358,연료전지_원본!$KB$4:$KB$369,0), MATCH(CD$4,연료전지_원본!$KB$4:$KX$4,0))*1000</f>
        <v>0</v>
      </c>
      <c r="CE358" s="250">
        <f>INDEX(연료전지_원본!$KB$4:$KX$369,MATCH($A358,연료전지_원본!$KB$4:$KB$369,0), MATCH(CE$4,연료전지_원본!$KB$4:$KX$4,0))*1000</f>
        <v>0</v>
      </c>
      <c r="CF358" s="250">
        <f>INDEX(연료전지_원본!$KB$4:$KX$369,MATCH($A358,연료전지_원본!$KB$4:$KB$369,0), MATCH(CF$4,연료전지_원본!$KB$4:$KX$4,0))*1000</f>
        <v>0</v>
      </c>
      <c r="CG358" s="250">
        <f>INDEX(연료전지_원본!$KB$4:$KX$369,MATCH($A358,연료전지_원본!$KB$4:$KB$369,0), MATCH(CG$4,연료전지_원본!$KB$4:$KX$4,0))*1000</f>
        <v>0</v>
      </c>
      <c r="CH358" s="250">
        <f>INDEX(연료전지_원본!$KB$4:$KX$369,MATCH($A358,연료전지_원본!$KB$4:$KB$369,0), MATCH(CH$4,연료전지_원본!$KB$4:$KX$4,0))*1000</f>
        <v>0</v>
      </c>
      <c r="CI358" s="250">
        <f>INDEX(연료전지_원본!$KB$4:$KX$369,MATCH($A358,연료전지_원본!$KB$4:$KB$369,0), MATCH(CI$4,연료전지_원본!$KB$4:$KX$4,0))*1000</f>
        <v>0</v>
      </c>
      <c r="CJ358" s="250">
        <f>INDEX(연료전지_원본!$KB$4:$KX$369,MATCH($A358,연료전지_원본!$KB$4:$KB$369,0), MATCH(CJ$4,연료전지_원본!$KB$4:$KX$4,0))*1000</f>
        <v>0</v>
      </c>
      <c r="CK358" s="250">
        <f>INDEX(연료전지_원본!$KB$4:$KX$369,MATCH($A358,연료전지_원본!$KB$4:$KB$369,0), MATCH(CK$4,연료전지_원본!$KB$4:$KX$4,0))*1000</f>
        <v>0</v>
      </c>
      <c r="CL358" s="250">
        <f>INDEX(연료전지_원본!$KB$4:$KX$369,MATCH($A358,연료전지_원본!$KB$4:$KB$369,0), MATCH(CL$4,연료전지_원본!$KB$4:$KX$4,0))*1000</f>
        <v>0</v>
      </c>
      <c r="CM358" s="250">
        <f>INDEX(연료전지_원본!$KB$4:$KX$369,MATCH($A358,연료전지_원본!$KB$4:$KB$369,0), MATCH(CM$4,연료전지_원본!$KB$4:$KX$4,0))*1000</f>
        <v>0</v>
      </c>
      <c r="CN358" s="250">
        <f>INDEX(연료전지_원본!$KB$4:$KX$369,MATCH($A358,연료전지_원본!$KB$4:$KB$369,0), MATCH(CN$4,연료전지_원본!$KB$4:$KX$4,0))*1000</f>
        <v>0</v>
      </c>
      <c r="CO358" s="250">
        <f>INDEX(연료전지_원본!$KB$4:$KX$369,MATCH($A358,연료전지_원본!$KB$4:$KB$369,0), MATCH(CO$4,연료전지_원본!$KB$4:$KX$4,0))*1000</f>
        <v>0</v>
      </c>
      <c r="CP358" s="250">
        <f>INDEX(연료전지_원본!$KB$4:$KX$369,MATCH($A358,연료전지_원본!$KB$4:$KB$369,0), MATCH(CP$4,연료전지_원본!$KB$4:$KX$4,0))*1000</f>
        <v>0</v>
      </c>
      <c r="CQ358" s="250">
        <f>INDEX(연료전지_원본!$KB$4:$KX$369,MATCH($A358,연료전지_원본!$KB$4:$KB$369,0), MATCH(CQ$4,연료전지_원본!$KB$4:$KX$4,0))*1000</f>
        <v>0</v>
      </c>
      <c r="CR358" s="250">
        <f>INDEX(연료전지_원본!$KB$4:$KX$369,MATCH($A358,연료전지_원본!$KB$4:$KB$369,0), MATCH(CR$4,연료전지_원본!$KB$4:$KX$4,0))*1000</f>
        <v>0</v>
      </c>
      <c r="CS358" s="250">
        <f>INDEX(연료전지_원본!$KB$4:$KX$369,MATCH($A358,연료전지_원본!$KB$4:$KB$369,0), MATCH(CS$4,연료전지_원본!$KB$4:$KX$4,0))*1000</f>
        <v>0</v>
      </c>
      <c r="CT358" s="250">
        <f>INDEX(연료전지_원본!$KB$4:$KX$369,MATCH($A358,연료전지_원본!$KB$4:$KB$369,0), MATCH(CT$4,연료전지_원본!$KB$4:$KX$4,0))*1000</f>
        <v>0</v>
      </c>
      <c r="CU358" s="250">
        <f>INDEX(연료전지_원본!$KB$4:$KX$369,MATCH($A358,연료전지_원본!$KB$4:$KB$369,0), MATCH(CU$4,연료전지_원본!$KB$4:$KX$4,0))*1000</f>
        <v>0</v>
      </c>
      <c r="CV358" s="250">
        <f>INDEX(연료전지_원본!$KB$4:$KX$369,MATCH($A358,연료전지_원본!$KB$4:$KB$369,0), MATCH(CV$4,연료전지_원본!$KB$4:$KX$4,0))*1000</f>
        <v>0</v>
      </c>
      <c r="CW358" s="250">
        <f>INDEX(연료전지_원본!$KB$4:$KX$369,MATCH($A358,연료전지_원본!$KB$4:$KB$369,0), MATCH(CW$4,연료전지_원본!$KB$4:$KX$4,0))*1000</f>
        <v>0</v>
      </c>
      <c r="CX358" s="250">
        <f>INDEX(연료전지_원본!$KB$4:$KX$369,MATCH($A358,연료전지_원본!$KB$4:$KB$369,0), MATCH(CX$4,연료전지_원본!$KB$4:$KX$4,0))*1000</f>
        <v>0</v>
      </c>
      <c r="CY358" s="250">
        <f>INDEX(연료전지_원본!$KB$4:$KX$369,MATCH($A358,연료전지_원본!$KB$4:$KB$369,0), MATCH(CY$4,연료전지_원본!$KB$4:$KX$4,0))*1000</f>
        <v>0</v>
      </c>
      <c r="DV358" s="30">
        <f t="shared" ref="DV358:DV370" si="1947">SUM(CZ358:DU358)</f>
        <v>0</v>
      </c>
    </row>
    <row r="359" spans="1:126">
      <c r="A359" s="6">
        <v>46376</v>
      </c>
      <c r="B359" s="15">
        <f>운전실적_원본!B359</f>
        <v>0</v>
      </c>
      <c r="C359" s="16" t="str">
        <f t="shared" si="1622"/>
        <v/>
      </c>
      <c r="D359" s="12">
        <f>운전실적_원본!C359</f>
        <v>0</v>
      </c>
      <c r="E359" s="12" t="str">
        <f t="shared" si="1623"/>
        <v/>
      </c>
      <c r="F359" s="12">
        <f>운전실적_원본!D359</f>
        <v>0</v>
      </c>
      <c r="G359" s="16" t="str">
        <f t="shared" si="1624"/>
        <v/>
      </c>
      <c r="H359" s="15">
        <f>운전실적_원본!E359</f>
        <v>0</v>
      </c>
      <c r="I359" s="16" t="str">
        <f t="shared" si="1625"/>
        <v/>
      </c>
      <c r="J359" s="15">
        <f>운전실적_원본!F359</f>
        <v>0</v>
      </c>
      <c r="K359" s="16" t="str">
        <f t="shared" si="1625"/>
        <v/>
      </c>
      <c r="L359" s="32">
        <f>운전실적_원본!G359</f>
        <v>0</v>
      </c>
      <c r="M359" s="31" t="str">
        <f t="shared" ref="M359" si="1948">IF(OR(LEN(L359)=0,L359=0),"",L359-L358)</f>
        <v/>
      </c>
      <c r="N359" s="15">
        <f>운전실적_원본!H359</f>
        <v>0</v>
      </c>
      <c r="O359" s="16" t="str">
        <f t="shared" ref="O359" si="1949">IF(OR(LEN(N359)=0,N359=0),"",N359-N358)</f>
        <v/>
      </c>
      <c r="P359" s="15">
        <f>운전실적_원본!I359</f>
        <v>0</v>
      </c>
      <c r="Q359" s="16" t="str">
        <f t="shared" ref="Q359" si="1950">IF(OR(LEN(P359)=0,P359=0),"",P359-P358)</f>
        <v/>
      </c>
      <c r="R359" s="18">
        <f>운전실적_원본!J359</f>
        <v>0</v>
      </c>
      <c r="S359" s="19" t="str">
        <f t="shared" ref="S359" si="1951">IF(OR(LEN(R359)=0,R359=0),"",R359-R358)</f>
        <v/>
      </c>
      <c r="T359" s="18">
        <f>운전실적_원본!K359</f>
        <v>0</v>
      </c>
      <c r="U359" s="19" t="str">
        <f t="shared" si="1630"/>
        <v/>
      </c>
      <c r="V359" s="12">
        <f>운전실적_원본!L359</f>
        <v>0</v>
      </c>
      <c r="W359" s="16" t="str">
        <f t="shared" ref="W359" si="1952">IF(OR(LEN(V359)=0,V359=0),"",V359-V358)</f>
        <v/>
      </c>
      <c r="X359" s="10">
        <f>운전실적_원본!M359</f>
        <v>0</v>
      </c>
      <c r="Y359" s="10">
        <f>운전실적_원본!N359</f>
        <v>0</v>
      </c>
      <c r="Z359" s="10">
        <f>운전실적_원본!O359</f>
        <v>0</v>
      </c>
      <c r="AA359" s="10">
        <f>운전실적_원본!P359</f>
        <v>0</v>
      </c>
      <c r="AB359" s="10">
        <f>운전실적_원본!Q359</f>
        <v>0</v>
      </c>
      <c r="AC359" s="20">
        <f>운전실적_원본!R359</f>
        <v>0</v>
      </c>
      <c r="AD359" s="109">
        <f>운전실적_원본!S359</f>
        <v>0</v>
      </c>
      <c r="AE359" s="110">
        <f>운전실적_원본!T359</f>
        <v>0</v>
      </c>
      <c r="AF359" s="110">
        <f>운전실적_원본!U359</f>
        <v>0</v>
      </c>
      <c r="AG359" s="110">
        <f>운전실적_원본!V359</f>
        <v>0</v>
      </c>
      <c r="AH359" s="109">
        <f t="shared" si="1784"/>
        <v>0</v>
      </c>
      <c r="AI359" s="110">
        <f t="shared" si="1791"/>
        <v>0</v>
      </c>
      <c r="AJ359" s="110">
        <f>운전실적_원본!Y359</f>
        <v>0</v>
      </c>
      <c r="AK359" s="110">
        <f>운전실적_원본!Z359</f>
        <v>0</v>
      </c>
      <c r="AL359" s="106"/>
      <c r="AM359" s="105"/>
      <c r="AN359" s="105"/>
      <c r="AO359" s="105"/>
      <c r="AP359" s="105"/>
      <c r="AQ359" s="108"/>
      <c r="AR359" s="105"/>
      <c r="AS359" s="105"/>
      <c r="AT359" s="102"/>
      <c r="AU359" s="102"/>
      <c r="AV359" s="102"/>
      <c r="AW359" s="102"/>
      <c r="AX359" s="32">
        <f>운전실적_원본!W359</f>
        <v>0</v>
      </c>
      <c r="AY359" s="11">
        <f>운전실적_원본!X359</f>
        <v>0</v>
      </c>
      <c r="AZ359" s="11">
        <f>운전실적_원본!Y359</f>
        <v>0</v>
      </c>
      <c r="BA359" s="11">
        <f>운전실적_원본!Z359</f>
        <v>0</v>
      </c>
      <c r="BB359" s="11">
        <f>운전실적_원본!AA359</f>
        <v>0</v>
      </c>
      <c r="BC359" s="11">
        <f>운전실적_원본!AB359</f>
        <v>0</v>
      </c>
      <c r="BD359" s="32" t="str">
        <f t="shared" si="1777"/>
        <v>-</v>
      </c>
      <c r="BE359" s="11" t="str">
        <f t="shared" si="1785"/>
        <v>-</v>
      </c>
      <c r="BF359" s="11">
        <f>운전실적_원본!AE359</f>
        <v>0</v>
      </c>
      <c r="BG359" s="31">
        <f t="shared" si="1778"/>
        <v>0</v>
      </c>
      <c r="BH359" s="241">
        <f>INDEX(연료전지_원본!$A$4:$KY$369,MATCH($A359,연료전지_원본!$A$4:$A$369,0),MATCH($BH$4,연료전지_원본!$A$4:$KY$4,0))</f>
        <v>0</v>
      </c>
      <c r="BI359" s="241">
        <f>INDEX(연료전지_원본!$A$4:$KY$369,MATCH($A359,연료전지_원본!$A$4:$A$369,0),MATCH($BI$4,연료전지_원본!$A$4:$KY$4,0))</f>
        <v>0</v>
      </c>
      <c r="BJ359" s="241">
        <f>INDEX(연료전지_원본!$A$4:$KY$369,MATCH($A359,연료전지_원본!$A$4:$A$369,0),MATCH($BJ$4,연료전지_원본!$A$4:$KY$4,0))</f>
        <v>0</v>
      </c>
      <c r="BK359" s="241">
        <f>INDEX(연료전지_원본!$A$4:$KY$369,MATCH($A359,연료전지_원본!$A$4:$A$369,0),MATCH($BK$4,연료전지_원본!$A$4:$KY$4,0))</f>
        <v>0</v>
      </c>
      <c r="BL359" s="241">
        <f>INDEX(연료전지_원본!$A$4:$KY$369,MATCH($A359,연료전지_원본!$A$4:$A$369,0),MATCH($BL$4,연료전지_원본!$A$4:$KY$4,0))</f>
        <v>0</v>
      </c>
      <c r="BM359" s="241">
        <f>INDEX(연료전지_원본!$A$4:$KY$369,MATCH($A359,연료전지_원본!$A$4:$A$369,0),MATCH($BM$4,연료전지_원본!$A$4:$KY$4,0))</f>
        <v>0</v>
      </c>
      <c r="BN359" s="241">
        <f>INDEX(연료전지_원본!$A$4:$KY$369,MATCH($A359,연료전지_원본!$A$4:$A$369,0),MATCH($BN$4,연료전지_원본!$A$4:$KY$4,0))</f>
        <v>0</v>
      </c>
      <c r="BO359" s="241">
        <f>INDEX(연료전지_원본!$A$4:$KY$369,MATCH($A359,연료전지_원본!$A$4:$A$369,0),MATCH($BO$4,연료전지_원본!$A$4:$KY$4,0))</f>
        <v>0</v>
      </c>
      <c r="BP359" s="241">
        <f>INDEX(연료전지_원본!$A$4:$KY$369,MATCH($A359,연료전지_원본!$A$4:$A$369,0),MATCH($BP$4,연료전지_원본!$A$4:$KY$4,0))</f>
        <v>0</v>
      </c>
      <c r="BQ359" s="241">
        <f>INDEX(연료전지_원본!$A$4:$KY$369,MATCH($A359,연료전지_원본!$A$4:$A$369,0),MATCH($BQ$4,연료전지_원본!$A$4:$KY$4,0))</f>
        <v>0</v>
      </c>
      <c r="BR359" s="241">
        <f>INDEX(연료전지_원본!$A$4:$KY$369,MATCH($A359,연료전지_원본!$A$4:$A$369,0),MATCH($BR$4,연료전지_원본!$A$4:$KY$4,0))</f>
        <v>0</v>
      </c>
      <c r="BS359" s="241">
        <f>INDEX(연료전지_원본!$A$4:$KY$369,MATCH($A359,연료전지_원본!$A$4:$A$369,0),MATCH($BS$4,연료전지_원본!$A$4:$KY$4,0))</f>
        <v>0</v>
      </c>
      <c r="BT359" s="241">
        <f>INDEX(연료전지_원본!$A$4:$KY$369,MATCH($A359,연료전지_원본!$A$4:$A$369,0),MATCH($BT$4,연료전지_원본!$A$4:$KY$4,0))</f>
        <v>0</v>
      </c>
      <c r="BU359" s="241">
        <f>INDEX(연료전지_원본!$A$4:$KY$369,MATCH($A359,연료전지_원본!$A$4:$A$369,0),MATCH($BU$4,연료전지_원본!$A$4:$KY$4,0))</f>
        <v>0</v>
      </c>
      <c r="BV359" s="241">
        <f>INDEX(연료전지_원본!$A$4:$KY$369,MATCH($A359,연료전지_원본!$A$4:$A$369,0),MATCH($BV$4,연료전지_원본!$A$4:$KY$4,0))</f>
        <v>0</v>
      </c>
      <c r="BW359" s="241">
        <f>INDEX(연료전지_원본!$A$4:$KY$369,MATCH($A359,연료전지_원본!$A$4:$A$369,0),MATCH($BW$4,연료전지_원본!$A$4:$KY$4,0))</f>
        <v>0</v>
      </c>
      <c r="BX359" s="241">
        <f>INDEX(연료전지_원본!$A$4:$KY$369,MATCH($A359,연료전지_원본!$A$4:$A$369,0),MATCH($BX$4,연료전지_원본!$A$4:$KY$4,0))</f>
        <v>0</v>
      </c>
      <c r="BY359" s="241">
        <f>INDEX(연료전지_원본!$A$4:$KY$369,MATCH($A359,연료전지_원본!$A$4:$A$369,0),MATCH($BY$4,연료전지_원본!$A$4:$KY$4,0))</f>
        <v>0</v>
      </c>
      <c r="BZ359" s="241">
        <f>INDEX(연료전지_원본!$A$4:$KY$369,MATCH($A359,연료전지_원본!$A$4:$A$369,0),MATCH($BZ$4,연료전지_원본!$A$4:$KY$4,0))</f>
        <v>0</v>
      </c>
      <c r="CA359" s="241">
        <f>INDEX(연료전지_원본!$A$4:$KY$369,MATCH($A359,연료전지_원본!$A$4:$A$369,0),MATCH($CA$4,연료전지_원본!$A$4:$KY$4,0))</f>
        <v>0</v>
      </c>
      <c r="CB359" s="241">
        <f>INDEX(연료전지_원본!$A$4:$KY$369,MATCH($A359,연료전지_원본!$A$4:$A$369,0),MATCH($CB$4,연료전지_원본!$A$4:$KY$4,0))</f>
        <v>0</v>
      </c>
      <c r="CC359" s="242">
        <f>INDEX(연료전지_원본!$A$4:$KY$369,MATCH($A359,연료전지_원본!$A$4:$A$369,0),MATCH($CC$4,연료전지_원본!$A$4:$KY$4,0))</f>
        <v>0</v>
      </c>
      <c r="CD359" s="250">
        <f>INDEX(연료전지_원본!$KB$4:$KX$369,MATCH($A359,연료전지_원본!$KB$4:$KB$369,0), MATCH(CD$4,연료전지_원본!$KB$4:$KX$4,0))*1000</f>
        <v>0</v>
      </c>
      <c r="CE359" s="250">
        <f>INDEX(연료전지_원본!$KB$4:$KX$369,MATCH($A359,연료전지_원본!$KB$4:$KB$369,0), MATCH(CE$4,연료전지_원본!$KB$4:$KX$4,0))*1000</f>
        <v>0</v>
      </c>
      <c r="CF359" s="250">
        <f>INDEX(연료전지_원본!$KB$4:$KX$369,MATCH($A359,연료전지_원본!$KB$4:$KB$369,0), MATCH(CF$4,연료전지_원본!$KB$4:$KX$4,0))*1000</f>
        <v>0</v>
      </c>
      <c r="CG359" s="250">
        <f>INDEX(연료전지_원본!$KB$4:$KX$369,MATCH($A359,연료전지_원본!$KB$4:$KB$369,0), MATCH(CG$4,연료전지_원본!$KB$4:$KX$4,0))*1000</f>
        <v>0</v>
      </c>
      <c r="CH359" s="250">
        <f>INDEX(연료전지_원본!$KB$4:$KX$369,MATCH($A359,연료전지_원본!$KB$4:$KB$369,0), MATCH(CH$4,연료전지_원본!$KB$4:$KX$4,0))*1000</f>
        <v>0</v>
      </c>
      <c r="CI359" s="250">
        <f>INDEX(연료전지_원본!$KB$4:$KX$369,MATCH($A359,연료전지_원본!$KB$4:$KB$369,0), MATCH(CI$4,연료전지_원본!$KB$4:$KX$4,0))*1000</f>
        <v>0</v>
      </c>
      <c r="CJ359" s="250">
        <f>INDEX(연료전지_원본!$KB$4:$KX$369,MATCH($A359,연료전지_원본!$KB$4:$KB$369,0), MATCH(CJ$4,연료전지_원본!$KB$4:$KX$4,0))*1000</f>
        <v>0</v>
      </c>
      <c r="CK359" s="250">
        <f>INDEX(연료전지_원본!$KB$4:$KX$369,MATCH($A359,연료전지_원본!$KB$4:$KB$369,0), MATCH(CK$4,연료전지_원본!$KB$4:$KX$4,0))*1000</f>
        <v>0</v>
      </c>
      <c r="CL359" s="250">
        <f>INDEX(연료전지_원본!$KB$4:$KX$369,MATCH($A359,연료전지_원본!$KB$4:$KB$369,0), MATCH(CL$4,연료전지_원본!$KB$4:$KX$4,0))*1000</f>
        <v>0</v>
      </c>
      <c r="CM359" s="250">
        <f>INDEX(연료전지_원본!$KB$4:$KX$369,MATCH($A359,연료전지_원본!$KB$4:$KB$369,0), MATCH(CM$4,연료전지_원본!$KB$4:$KX$4,0))*1000</f>
        <v>0</v>
      </c>
      <c r="CN359" s="250">
        <f>INDEX(연료전지_원본!$KB$4:$KX$369,MATCH($A359,연료전지_원본!$KB$4:$KB$369,0), MATCH(CN$4,연료전지_원본!$KB$4:$KX$4,0))*1000</f>
        <v>0</v>
      </c>
      <c r="CO359" s="250">
        <f>INDEX(연료전지_원본!$KB$4:$KX$369,MATCH($A359,연료전지_원본!$KB$4:$KB$369,0), MATCH(CO$4,연료전지_원본!$KB$4:$KX$4,0))*1000</f>
        <v>0</v>
      </c>
      <c r="CP359" s="250">
        <f>INDEX(연료전지_원본!$KB$4:$KX$369,MATCH($A359,연료전지_원본!$KB$4:$KB$369,0), MATCH(CP$4,연료전지_원본!$KB$4:$KX$4,0))*1000</f>
        <v>0</v>
      </c>
      <c r="CQ359" s="250">
        <f>INDEX(연료전지_원본!$KB$4:$KX$369,MATCH($A359,연료전지_원본!$KB$4:$KB$369,0), MATCH(CQ$4,연료전지_원본!$KB$4:$KX$4,0))*1000</f>
        <v>0</v>
      </c>
      <c r="CR359" s="250">
        <f>INDEX(연료전지_원본!$KB$4:$KX$369,MATCH($A359,연료전지_원본!$KB$4:$KB$369,0), MATCH(CR$4,연료전지_원본!$KB$4:$KX$4,0))*1000</f>
        <v>0</v>
      </c>
      <c r="CS359" s="250">
        <f>INDEX(연료전지_원본!$KB$4:$KX$369,MATCH($A359,연료전지_원본!$KB$4:$KB$369,0), MATCH(CS$4,연료전지_원본!$KB$4:$KX$4,0))*1000</f>
        <v>0</v>
      </c>
      <c r="CT359" s="250">
        <f>INDEX(연료전지_원본!$KB$4:$KX$369,MATCH($A359,연료전지_원본!$KB$4:$KB$369,0), MATCH(CT$4,연료전지_원본!$KB$4:$KX$4,0))*1000</f>
        <v>0</v>
      </c>
      <c r="CU359" s="250">
        <f>INDEX(연료전지_원본!$KB$4:$KX$369,MATCH($A359,연료전지_원본!$KB$4:$KB$369,0), MATCH(CU$4,연료전지_원본!$KB$4:$KX$4,0))*1000</f>
        <v>0</v>
      </c>
      <c r="CV359" s="250">
        <f>INDEX(연료전지_원본!$KB$4:$KX$369,MATCH($A359,연료전지_원본!$KB$4:$KB$369,0), MATCH(CV$4,연료전지_원본!$KB$4:$KX$4,0))*1000</f>
        <v>0</v>
      </c>
      <c r="CW359" s="250">
        <f>INDEX(연료전지_원본!$KB$4:$KX$369,MATCH($A359,연료전지_원본!$KB$4:$KB$369,0), MATCH(CW$4,연료전지_원본!$KB$4:$KX$4,0))*1000</f>
        <v>0</v>
      </c>
      <c r="CX359" s="250">
        <f>INDEX(연료전지_원본!$KB$4:$KX$369,MATCH($A359,연료전지_원본!$KB$4:$KB$369,0), MATCH(CX$4,연료전지_원본!$KB$4:$KX$4,0))*1000</f>
        <v>0</v>
      </c>
      <c r="CY359" s="250">
        <f>INDEX(연료전지_원본!$KB$4:$KX$369,MATCH($A359,연료전지_원본!$KB$4:$KB$369,0), MATCH(CY$4,연료전지_원본!$KB$4:$KX$4,0))*1000</f>
        <v>0</v>
      </c>
      <c r="DV359" s="30">
        <f t="shared" si="1947"/>
        <v>0</v>
      </c>
    </row>
    <row r="360" spans="1:126">
      <c r="A360" s="6">
        <v>46377</v>
      </c>
      <c r="B360" s="15">
        <f>운전실적_원본!B360</f>
        <v>0</v>
      </c>
      <c r="C360" s="16" t="str">
        <f t="shared" ref="C360:C370" si="1953">IF(OR(LEN(B360)=0,B360=0),"",B360-B359)</f>
        <v/>
      </c>
      <c r="D360" s="12">
        <f>운전실적_원본!C360</f>
        <v>0</v>
      </c>
      <c r="E360" s="12" t="str">
        <f t="shared" ref="E360:E370" si="1954">IF(OR(LEN(D360)=0,D360=0),"",D360-D359)</f>
        <v/>
      </c>
      <c r="F360" s="12">
        <f>운전실적_원본!D360</f>
        <v>0</v>
      </c>
      <c r="G360" s="16" t="str">
        <f t="shared" ref="G360:G370" si="1955">IF(OR(LEN(F360)=0,F360=0),"",F360-F359)</f>
        <v/>
      </c>
      <c r="H360" s="15">
        <f>운전실적_원본!E360</f>
        <v>0</v>
      </c>
      <c r="I360" s="16" t="str">
        <f t="shared" ref="I360:K370" si="1956">IF(OR(LEN(H360)=0,H360=0),"",H360-H359)</f>
        <v/>
      </c>
      <c r="J360" s="15">
        <f>운전실적_원본!F360</f>
        <v>0</v>
      </c>
      <c r="K360" s="16" t="str">
        <f t="shared" si="1956"/>
        <v/>
      </c>
      <c r="L360" s="32">
        <f>운전실적_원본!G360</f>
        <v>0</v>
      </c>
      <c r="M360" s="31" t="str">
        <f t="shared" ref="M360" si="1957">IF(OR(LEN(L360)=0,L360=0),"",L360-L359)</f>
        <v/>
      </c>
      <c r="N360" s="15">
        <f>운전실적_원본!H360</f>
        <v>0</v>
      </c>
      <c r="O360" s="16" t="str">
        <f t="shared" ref="O360" si="1958">IF(OR(LEN(N360)=0,N360=0),"",N360-N359)</f>
        <v/>
      </c>
      <c r="P360" s="15">
        <f>운전실적_원본!I360</f>
        <v>0</v>
      </c>
      <c r="Q360" s="16" t="str">
        <f t="shared" ref="Q360" si="1959">IF(OR(LEN(P360)=0,P360=0),"",P360-P359)</f>
        <v/>
      </c>
      <c r="R360" s="18">
        <f>운전실적_원본!J360</f>
        <v>0</v>
      </c>
      <c r="S360" s="19" t="str">
        <f t="shared" ref="S360" si="1960">IF(OR(LEN(R360)=0,R360=0),"",R360-R359)</f>
        <v/>
      </c>
      <c r="T360" s="18">
        <f>운전실적_원본!K360</f>
        <v>0</v>
      </c>
      <c r="U360" s="19" t="str">
        <f t="shared" ref="U360:U370" si="1961">IF(OR(LEN(T360)=0,T360=0),"",T360-T359)</f>
        <v/>
      </c>
      <c r="V360" s="12">
        <f>운전실적_원본!L360</f>
        <v>0</v>
      </c>
      <c r="W360" s="16" t="str">
        <f t="shared" ref="W360" si="1962">IF(OR(LEN(V360)=0,V360=0),"",V360-V359)</f>
        <v/>
      </c>
      <c r="X360" s="10">
        <f>운전실적_원본!M360</f>
        <v>0</v>
      </c>
      <c r="Y360" s="10">
        <f>운전실적_원본!N360</f>
        <v>0</v>
      </c>
      <c r="Z360" s="10">
        <f>운전실적_원본!O360</f>
        <v>0</v>
      </c>
      <c r="AA360" s="10">
        <f>운전실적_원본!P360</f>
        <v>0</v>
      </c>
      <c r="AB360" s="10">
        <f>운전실적_원본!Q360</f>
        <v>0</v>
      </c>
      <c r="AC360" s="20">
        <f>운전실적_원본!R360</f>
        <v>0</v>
      </c>
      <c r="AD360" s="109">
        <f>운전실적_원본!S360</f>
        <v>0</v>
      </c>
      <c r="AE360" s="110">
        <f>운전실적_원본!T360</f>
        <v>0</v>
      </c>
      <c r="AF360" s="110">
        <f>운전실적_원본!U360</f>
        <v>0</v>
      </c>
      <c r="AG360" s="110">
        <f>운전실적_원본!V360</f>
        <v>0</v>
      </c>
      <c r="AH360" s="109">
        <f t="shared" si="1784"/>
        <v>0</v>
      </c>
      <c r="AI360" s="110">
        <f t="shared" si="1791"/>
        <v>0</v>
      </c>
      <c r="AJ360" s="110">
        <f>운전실적_원본!Y360</f>
        <v>0</v>
      </c>
      <c r="AK360" s="110">
        <f>운전실적_원본!Z360</f>
        <v>0</v>
      </c>
      <c r="AL360" s="106"/>
      <c r="AM360" s="105"/>
      <c r="AN360" s="105"/>
      <c r="AO360" s="105"/>
      <c r="AP360" s="105"/>
      <c r="AQ360" s="108"/>
      <c r="AR360" s="105"/>
      <c r="AS360" s="105"/>
      <c r="AT360" s="102"/>
      <c r="AU360" s="102"/>
      <c r="AV360" s="102"/>
      <c r="AW360" s="102"/>
      <c r="AX360" s="32">
        <f>운전실적_원본!W360</f>
        <v>0</v>
      </c>
      <c r="AY360" s="11">
        <f>운전실적_원본!X360</f>
        <v>0</v>
      </c>
      <c r="AZ360" s="11">
        <f>운전실적_원본!Y360</f>
        <v>0</v>
      </c>
      <c r="BA360" s="11">
        <f>운전실적_원본!Z360</f>
        <v>0</v>
      </c>
      <c r="BB360" s="11">
        <f>운전실적_원본!AA360</f>
        <v>0</v>
      </c>
      <c r="BC360" s="11">
        <f>운전실적_원본!AB360</f>
        <v>0</v>
      </c>
      <c r="BD360" s="32" t="str">
        <f t="shared" si="1777"/>
        <v>-</v>
      </c>
      <c r="BE360" s="11" t="str">
        <f t="shared" si="1785"/>
        <v>-</v>
      </c>
      <c r="BF360" s="11">
        <f>운전실적_원본!AE360</f>
        <v>0</v>
      </c>
      <c r="BG360" s="31">
        <f t="shared" si="1778"/>
        <v>0</v>
      </c>
      <c r="BH360" s="241">
        <f>INDEX(연료전지_원본!$A$4:$KY$369,MATCH($A360,연료전지_원본!$A$4:$A$369,0),MATCH($BH$4,연료전지_원본!$A$4:$KY$4,0))</f>
        <v>0</v>
      </c>
      <c r="BI360" s="241">
        <f>INDEX(연료전지_원본!$A$4:$KY$369,MATCH($A360,연료전지_원본!$A$4:$A$369,0),MATCH($BI$4,연료전지_원본!$A$4:$KY$4,0))</f>
        <v>0</v>
      </c>
      <c r="BJ360" s="241">
        <f>INDEX(연료전지_원본!$A$4:$KY$369,MATCH($A360,연료전지_원본!$A$4:$A$369,0),MATCH($BJ$4,연료전지_원본!$A$4:$KY$4,0))</f>
        <v>0</v>
      </c>
      <c r="BK360" s="241">
        <f>INDEX(연료전지_원본!$A$4:$KY$369,MATCH($A360,연료전지_원본!$A$4:$A$369,0),MATCH($BK$4,연료전지_원본!$A$4:$KY$4,0))</f>
        <v>0</v>
      </c>
      <c r="BL360" s="241">
        <f>INDEX(연료전지_원본!$A$4:$KY$369,MATCH($A360,연료전지_원본!$A$4:$A$369,0),MATCH($BL$4,연료전지_원본!$A$4:$KY$4,0))</f>
        <v>0</v>
      </c>
      <c r="BM360" s="241">
        <f>INDEX(연료전지_원본!$A$4:$KY$369,MATCH($A360,연료전지_원본!$A$4:$A$369,0),MATCH($BM$4,연료전지_원본!$A$4:$KY$4,0))</f>
        <v>0</v>
      </c>
      <c r="BN360" s="241">
        <f>INDEX(연료전지_원본!$A$4:$KY$369,MATCH($A360,연료전지_원본!$A$4:$A$369,0),MATCH($BN$4,연료전지_원본!$A$4:$KY$4,0))</f>
        <v>0</v>
      </c>
      <c r="BO360" s="241">
        <f>INDEX(연료전지_원본!$A$4:$KY$369,MATCH($A360,연료전지_원본!$A$4:$A$369,0),MATCH($BO$4,연료전지_원본!$A$4:$KY$4,0))</f>
        <v>0</v>
      </c>
      <c r="BP360" s="241">
        <f>INDEX(연료전지_원본!$A$4:$KY$369,MATCH($A360,연료전지_원본!$A$4:$A$369,0),MATCH($BP$4,연료전지_원본!$A$4:$KY$4,0))</f>
        <v>0</v>
      </c>
      <c r="BQ360" s="241">
        <f>INDEX(연료전지_원본!$A$4:$KY$369,MATCH($A360,연료전지_원본!$A$4:$A$369,0),MATCH($BQ$4,연료전지_원본!$A$4:$KY$4,0))</f>
        <v>0</v>
      </c>
      <c r="BR360" s="241">
        <f>INDEX(연료전지_원본!$A$4:$KY$369,MATCH($A360,연료전지_원본!$A$4:$A$369,0),MATCH($BR$4,연료전지_원본!$A$4:$KY$4,0))</f>
        <v>0</v>
      </c>
      <c r="BS360" s="241">
        <f>INDEX(연료전지_원본!$A$4:$KY$369,MATCH($A360,연료전지_원본!$A$4:$A$369,0),MATCH($BS$4,연료전지_원본!$A$4:$KY$4,0))</f>
        <v>0</v>
      </c>
      <c r="BT360" s="241">
        <f>INDEX(연료전지_원본!$A$4:$KY$369,MATCH($A360,연료전지_원본!$A$4:$A$369,0),MATCH($BT$4,연료전지_원본!$A$4:$KY$4,0))</f>
        <v>0</v>
      </c>
      <c r="BU360" s="241">
        <f>INDEX(연료전지_원본!$A$4:$KY$369,MATCH($A360,연료전지_원본!$A$4:$A$369,0),MATCH($BU$4,연료전지_원본!$A$4:$KY$4,0))</f>
        <v>0</v>
      </c>
      <c r="BV360" s="241">
        <f>INDEX(연료전지_원본!$A$4:$KY$369,MATCH($A360,연료전지_원본!$A$4:$A$369,0),MATCH($BV$4,연료전지_원본!$A$4:$KY$4,0))</f>
        <v>0</v>
      </c>
      <c r="BW360" s="241">
        <f>INDEX(연료전지_원본!$A$4:$KY$369,MATCH($A360,연료전지_원본!$A$4:$A$369,0),MATCH($BW$4,연료전지_원본!$A$4:$KY$4,0))</f>
        <v>0</v>
      </c>
      <c r="BX360" s="241">
        <f>INDEX(연료전지_원본!$A$4:$KY$369,MATCH($A360,연료전지_원본!$A$4:$A$369,0),MATCH($BX$4,연료전지_원본!$A$4:$KY$4,0))</f>
        <v>0</v>
      </c>
      <c r="BY360" s="241">
        <f>INDEX(연료전지_원본!$A$4:$KY$369,MATCH($A360,연료전지_원본!$A$4:$A$369,0),MATCH($BY$4,연료전지_원본!$A$4:$KY$4,0))</f>
        <v>0</v>
      </c>
      <c r="BZ360" s="241">
        <f>INDEX(연료전지_원본!$A$4:$KY$369,MATCH($A360,연료전지_원본!$A$4:$A$369,0),MATCH($BZ$4,연료전지_원본!$A$4:$KY$4,0))</f>
        <v>0</v>
      </c>
      <c r="CA360" s="241">
        <f>INDEX(연료전지_원본!$A$4:$KY$369,MATCH($A360,연료전지_원본!$A$4:$A$369,0),MATCH($CA$4,연료전지_원본!$A$4:$KY$4,0))</f>
        <v>0</v>
      </c>
      <c r="CB360" s="241">
        <f>INDEX(연료전지_원본!$A$4:$KY$369,MATCH($A360,연료전지_원본!$A$4:$A$369,0),MATCH($CB$4,연료전지_원본!$A$4:$KY$4,0))</f>
        <v>0</v>
      </c>
      <c r="CC360" s="242">
        <f>INDEX(연료전지_원본!$A$4:$KY$369,MATCH($A360,연료전지_원본!$A$4:$A$369,0),MATCH($CC$4,연료전지_원본!$A$4:$KY$4,0))</f>
        <v>0</v>
      </c>
      <c r="CD360" s="250">
        <f>INDEX(연료전지_원본!$KB$4:$KX$369,MATCH($A360,연료전지_원본!$KB$4:$KB$369,0), MATCH(CD$4,연료전지_원본!$KB$4:$KX$4,0))*1000</f>
        <v>0</v>
      </c>
      <c r="CE360" s="250">
        <f>INDEX(연료전지_원본!$KB$4:$KX$369,MATCH($A360,연료전지_원본!$KB$4:$KB$369,0), MATCH(CE$4,연료전지_원본!$KB$4:$KX$4,0))*1000</f>
        <v>0</v>
      </c>
      <c r="CF360" s="250">
        <f>INDEX(연료전지_원본!$KB$4:$KX$369,MATCH($A360,연료전지_원본!$KB$4:$KB$369,0), MATCH(CF$4,연료전지_원본!$KB$4:$KX$4,0))*1000</f>
        <v>0</v>
      </c>
      <c r="CG360" s="250">
        <f>INDEX(연료전지_원본!$KB$4:$KX$369,MATCH($A360,연료전지_원본!$KB$4:$KB$369,0), MATCH(CG$4,연료전지_원본!$KB$4:$KX$4,0))*1000</f>
        <v>0</v>
      </c>
      <c r="CH360" s="250">
        <f>INDEX(연료전지_원본!$KB$4:$KX$369,MATCH($A360,연료전지_원본!$KB$4:$KB$369,0), MATCH(CH$4,연료전지_원본!$KB$4:$KX$4,0))*1000</f>
        <v>0</v>
      </c>
      <c r="CI360" s="250">
        <f>INDEX(연료전지_원본!$KB$4:$KX$369,MATCH($A360,연료전지_원본!$KB$4:$KB$369,0), MATCH(CI$4,연료전지_원본!$KB$4:$KX$4,0))*1000</f>
        <v>0</v>
      </c>
      <c r="CJ360" s="250">
        <f>INDEX(연료전지_원본!$KB$4:$KX$369,MATCH($A360,연료전지_원본!$KB$4:$KB$369,0), MATCH(CJ$4,연료전지_원본!$KB$4:$KX$4,0))*1000</f>
        <v>0</v>
      </c>
      <c r="CK360" s="250">
        <f>INDEX(연료전지_원본!$KB$4:$KX$369,MATCH($A360,연료전지_원본!$KB$4:$KB$369,0), MATCH(CK$4,연료전지_원본!$KB$4:$KX$4,0))*1000</f>
        <v>0</v>
      </c>
      <c r="CL360" s="250">
        <f>INDEX(연료전지_원본!$KB$4:$KX$369,MATCH($A360,연료전지_원본!$KB$4:$KB$369,0), MATCH(CL$4,연료전지_원본!$KB$4:$KX$4,0))*1000</f>
        <v>0</v>
      </c>
      <c r="CM360" s="250">
        <f>INDEX(연료전지_원본!$KB$4:$KX$369,MATCH($A360,연료전지_원본!$KB$4:$KB$369,0), MATCH(CM$4,연료전지_원본!$KB$4:$KX$4,0))*1000</f>
        <v>0</v>
      </c>
      <c r="CN360" s="250">
        <f>INDEX(연료전지_원본!$KB$4:$KX$369,MATCH($A360,연료전지_원본!$KB$4:$KB$369,0), MATCH(CN$4,연료전지_원본!$KB$4:$KX$4,0))*1000</f>
        <v>0</v>
      </c>
      <c r="CO360" s="250">
        <f>INDEX(연료전지_원본!$KB$4:$KX$369,MATCH($A360,연료전지_원본!$KB$4:$KB$369,0), MATCH(CO$4,연료전지_원본!$KB$4:$KX$4,0))*1000</f>
        <v>0</v>
      </c>
      <c r="CP360" s="250">
        <f>INDEX(연료전지_원본!$KB$4:$KX$369,MATCH($A360,연료전지_원본!$KB$4:$KB$369,0), MATCH(CP$4,연료전지_원본!$KB$4:$KX$4,0))*1000</f>
        <v>0</v>
      </c>
      <c r="CQ360" s="250">
        <f>INDEX(연료전지_원본!$KB$4:$KX$369,MATCH($A360,연료전지_원본!$KB$4:$KB$369,0), MATCH(CQ$4,연료전지_원본!$KB$4:$KX$4,0))*1000</f>
        <v>0</v>
      </c>
      <c r="CR360" s="250">
        <f>INDEX(연료전지_원본!$KB$4:$KX$369,MATCH($A360,연료전지_원본!$KB$4:$KB$369,0), MATCH(CR$4,연료전지_원본!$KB$4:$KX$4,0))*1000</f>
        <v>0</v>
      </c>
      <c r="CS360" s="250">
        <f>INDEX(연료전지_원본!$KB$4:$KX$369,MATCH($A360,연료전지_원본!$KB$4:$KB$369,0), MATCH(CS$4,연료전지_원본!$KB$4:$KX$4,0))*1000</f>
        <v>0</v>
      </c>
      <c r="CT360" s="250">
        <f>INDEX(연료전지_원본!$KB$4:$KX$369,MATCH($A360,연료전지_원본!$KB$4:$KB$369,0), MATCH(CT$4,연료전지_원본!$KB$4:$KX$4,0))*1000</f>
        <v>0</v>
      </c>
      <c r="CU360" s="250">
        <f>INDEX(연료전지_원본!$KB$4:$KX$369,MATCH($A360,연료전지_원본!$KB$4:$KB$369,0), MATCH(CU$4,연료전지_원본!$KB$4:$KX$4,0))*1000</f>
        <v>0</v>
      </c>
      <c r="CV360" s="250">
        <f>INDEX(연료전지_원본!$KB$4:$KX$369,MATCH($A360,연료전지_원본!$KB$4:$KB$369,0), MATCH(CV$4,연료전지_원본!$KB$4:$KX$4,0))*1000</f>
        <v>0</v>
      </c>
      <c r="CW360" s="250">
        <f>INDEX(연료전지_원본!$KB$4:$KX$369,MATCH($A360,연료전지_원본!$KB$4:$KB$369,0), MATCH(CW$4,연료전지_원본!$KB$4:$KX$4,0))*1000</f>
        <v>0</v>
      </c>
      <c r="CX360" s="250">
        <f>INDEX(연료전지_원본!$KB$4:$KX$369,MATCH($A360,연료전지_원본!$KB$4:$KB$369,0), MATCH(CX$4,연료전지_원본!$KB$4:$KX$4,0))*1000</f>
        <v>0</v>
      </c>
      <c r="CY360" s="250">
        <f>INDEX(연료전지_원본!$KB$4:$KX$369,MATCH($A360,연료전지_원본!$KB$4:$KB$369,0), MATCH(CY$4,연료전지_원본!$KB$4:$KX$4,0))*1000</f>
        <v>0</v>
      </c>
      <c r="DV360" s="30">
        <f t="shared" si="1947"/>
        <v>0</v>
      </c>
    </row>
    <row r="361" spans="1:126">
      <c r="A361" s="6">
        <v>46378</v>
      </c>
      <c r="B361" s="15">
        <f>운전실적_원본!B361</f>
        <v>0</v>
      </c>
      <c r="C361" s="16" t="str">
        <f t="shared" si="1953"/>
        <v/>
      </c>
      <c r="D361" s="12">
        <f>운전실적_원본!C361</f>
        <v>0</v>
      </c>
      <c r="E361" s="12" t="str">
        <f t="shared" si="1954"/>
        <v/>
      </c>
      <c r="F361" s="12">
        <f>운전실적_원본!D361</f>
        <v>0</v>
      </c>
      <c r="G361" s="16" t="str">
        <f t="shared" si="1955"/>
        <v/>
      </c>
      <c r="H361" s="15">
        <f>운전실적_원본!E361</f>
        <v>0</v>
      </c>
      <c r="I361" s="16" t="str">
        <f t="shared" si="1956"/>
        <v/>
      </c>
      <c r="J361" s="15">
        <f>운전실적_원본!F361</f>
        <v>0</v>
      </c>
      <c r="K361" s="16" t="str">
        <f t="shared" si="1956"/>
        <v/>
      </c>
      <c r="L361" s="32">
        <f>운전실적_원본!G361</f>
        <v>0</v>
      </c>
      <c r="M361" s="31" t="str">
        <f t="shared" ref="M361" si="1963">IF(OR(LEN(L361)=0,L361=0),"",L361-L360)</f>
        <v/>
      </c>
      <c r="N361" s="15">
        <f>운전실적_원본!H361</f>
        <v>0</v>
      </c>
      <c r="O361" s="16" t="str">
        <f t="shared" ref="O361" si="1964">IF(OR(LEN(N361)=0,N361=0),"",N361-N360)</f>
        <v/>
      </c>
      <c r="P361" s="15">
        <f>운전실적_원본!I361</f>
        <v>0</v>
      </c>
      <c r="Q361" s="16" t="str">
        <f t="shared" ref="Q361" si="1965">IF(OR(LEN(P361)=0,P361=0),"",P361-P360)</f>
        <v/>
      </c>
      <c r="R361" s="18">
        <f>운전실적_원본!J361</f>
        <v>0</v>
      </c>
      <c r="S361" s="19" t="str">
        <f t="shared" ref="S361" si="1966">IF(OR(LEN(R361)=0,R361=0),"",R361-R360)</f>
        <v/>
      </c>
      <c r="T361" s="18">
        <f>운전실적_원본!K361</f>
        <v>0</v>
      </c>
      <c r="U361" s="19" t="str">
        <f t="shared" si="1961"/>
        <v/>
      </c>
      <c r="V361" s="12">
        <f>운전실적_원본!L361</f>
        <v>0</v>
      </c>
      <c r="W361" s="16" t="str">
        <f t="shared" ref="W361" si="1967">IF(OR(LEN(V361)=0,V361=0),"",V361-V360)</f>
        <v/>
      </c>
      <c r="X361" s="10">
        <f>운전실적_원본!M361</f>
        <v>0</v>
      </c>
      <c r="Y361" s="10">
        <f>운전실적_원본!N361</f>
        <v>0</v>
      </c>
      <c r="Z361" s="10">
        <f>운전실적_원본!O361</f>
        <v>0</v>
      </c>
      <c r="AA361" s="10">
        <f>운전실적_원본!P361</f>
        <v>0</v>
      </c>
      <c r="AB361" s="10">
        <f>운전실적_원본!Q361</f>
        <v>0</v>
      </c>
      <c r="AC361" s="20">
        <f>운전실적_원본!R361</f>
        <v>0</v>
      </c>
      <c r="AD361" s="109">
        <f>운전실적_원본!S361</f>
        <v>0</v>
      </c>
      <c r="AE361" s="110">
        <f>운전실적_원본!T361</f>
        <v>0</v>
      </c>
      <c r="AF361" s="110">
        <f>운전실적_원본!U361</f>
        <v>0</v>
      </c>
      <c r="AG361" s="110">
        <f>운전실적_원본!V361</f>
        <v>0</v>
      </c>
      <c r="AH361" s="109">
        <f t="shared" si="1784"/>
        <v>0</v>
      </c>
      <c r="AI361" s="110">
        <f t="shared" si="1791"/>
        <v>0</v>
      </c>
      <c r="AJ361" s="110">
        <f>운전실적_원본!Y361</f>
        <v>0</v>
      </c>
      <c r="AK361" s="110">
        <f>운전실적_원본!Z361</f>
        <v>0</v>
      </c>
      <c r="AL361" s="106"/>
      <c r="AM361" s="105"/>
      <c r="AN361" s="105"/>
      <c r="AO361" s="105"/>
      <c r="AP361" s="105"/>
      <c r="AQ361" s="108"/>
      <c r="AR361" s="105"/>
      <c r="AS361" s="105"/>
      <c r="AT361" s="102"/>
      <c r="AU361" s="102"/>
      <c r="AV361" s="102"/>
      <c r="AW361" s="102"/>
      <c r="AX361" s="32">
        <f>운전실적_원본!W361</f>
        <v>0</v>
      </c>
      <c r="AY361" s="11">
        <f>운전실적_원본!X361</f>
        <v>0</v>
      </c>
      <c r="AZ361" s="11">
        <f>운전실적_원본!Y361</f>
        <v>0</v>
      </c>
      <c r="BA361" s="11">
        <f>운전실적_원본!Z361</f>
        <v>0</v>
      </c>
      <c r="BB361" s="11">
        <f>운전실적_원본!AA361</f>
        <v>0</v>
      </c>
      <c r="BC361" s="11">
        <f>운전실적_원본!AB361</f>
        <v>0</v>
      </c>
      <c r="BD361" s="32" t="str">
        <f t="shared" si="1777"/>
        <v>-</v>
      </c>
      <c r="BE361" s="11" t="str">
        <f t="shared" si="1785"/>
        <v>-</v>
      </c>
      <c r="BF361" s="11">
        <f>운전실적_원본!AE361</f>
        <v>0</v>
      </c>
      <c r="BG361" s="31">
        <f t="shared" si="1778"/>
        <v>0</v>
      </c>
      <c r="BH361" s="241">
        <f>INDEX(연료전지_원본!$A$4:$KY$369,MATCH($A361,연료전지_원본!$A$4:$A$369,0),MATCH($BH$4,연료전지_원본!$A$4:$KY$4,0))</f>
        <v>0</v>
      </c>
      <c r="BI361" s="241">
        <f>INDEX(연료전지_원본!$A$4:$KY$369,MATCH($A361,연료전지_원본!$A$4:$A$369,0),MATCH($BI$4,연료전지_원본!$A$4:$KY$4,0))</f>
        <v>0</v>
      </c>
      <c r="BJ361" s="241">
        <f>INDEX(연료전지_원본!$A$4:$KY$369,MATCH($A361,연료전지_원본!$A$4:$A$369,0),MATCH($BJ$4,연료전지_원본!$A$4:$KY$4,0))</f>
        <v>0</v>
      </c>
      <c r="BK361" s="241">
        <f>INDEX(연료전지_원본!$A$4:$KY$369,MATCH($A361,연료전지_원본!$A$4:$A$369,0),MATCH($BK$4,연료전지_원본!$A$4:$KY$4,0))</f>
        <v>0</v>
      </c>
      <c r="BL361" s="241">
        <f>INDEX(연료전지_원본!$A$4:$KY$369,MATCH($A361,연료전지_원본!$A$4:$A$369,0),MATCH($BL$4,연료전지_원본!$A$4:$KY$4,0))</f>
        <v>0</v>
      </c>
      <c r="BM361" s="241">
        <f>INDEX(연료전지_원본!$A$4:$KY$369,MATCH($A361,연료전지_원본!$A$4:$A$369,0),MATCH($BM$4,연료전지_원본!$A$4:$KY$4,0))</f>
        <v>0</v>
      </c>
      <c r="BN361" s="241">
        <f>INDEX(연료전지_원본!$A$4:$KY$369,MATCH($A361,연료전지_원본!$A$4:$A$369,0),MATCH($BN$4,연료전지_원본!$A$4:$KY$4,0))</f>
        <v>0</v>
      </c>
      <c r="BO361" s="241">
        <f>INDEX(연료전지_원본!$A$4:$KY$369,MATCH($A361,연료전지_원본!$A$4:$A$369,0),MATCH($BO$4,연료전지_원본!$A$4:$KY$4,0))</f>
        <v>0</v>
      </c>
      <c r="BP361" s="241">
        <f>INDEX(연료전지_원본!$A$4:$KY$369,MATCH($A361,연료전지_원본!$A$4:$A$369,0),MATCH($BP$4,연료전지_원본!$A$4:$KY$4,0))</f>
        <v>0</v>
      </c>
      <c r="BQ361" s="241">
        <f>INDEX(연료전지_원본!$A$4:$KY$369,MATCH($A361,연료전지_원본!$A$4:$A$369,0),MATCH($BQ$4,연료전지_원본!$A$4:$KY$4,0))</f>
        <v>0</v>
      </c>
      <c r="BR361" s="241">
        <f>INDEX(연료전지_원본!$A$4:$KY$369,MATCH($A361,연료전지_원본!$A$4:$A$369,0),MATCH($BR$4,연료전지_원본!$A$4:$KY$4,0))</f>
        <v>0</v>
      </c>
      <c r="BS361" s="241">
        <f>INDEX(연료전지_원본!$A$4:$KY$369,MATCH($A361,연료전지_원본!$A$4:$A$369,0),MATCH($BS$4,연료전지_원본!$A$4:$KY$4,0))</f>
        <v>0</v>
      </c>
      <c r="BT361" s="241">
        <f>INDEX(연료전지_원본!$A$4:$KY$369,MATCH($A361,연료전지_원본!$A$4:$A$369,0),MATCH($BT$4,연료전지_원본!$A$4:$KY$4,0))</f>
        <v>0</v>
      </c>
      <c r="BU361" s="241">
        <f>INDEX(연료전지_원본!$A$4:$KY$369,MATCH($A361,연료전지_원본!$A$4:$A$369,0),MATCH($BU$4,연료전지_원본!$A$4:$KY$4,0))</f>
        <v>0</v>
      </c>
      <c r="BV361" s="241">
        <f>INDEX(연료전지_원본!$A$4:$KY$369,MATCH($A361,연료전지_원본!$A$4:$A$369,0),MATCH($BV$4,연료전지_원본!$A$4:$KY$4,0))</f>
        <v>0</v>
      </c>
      <c r="BW361" s="241">
        <f>INDEX(연료전지_원본!$A$4:$KY$369,MATCH($A361,연료전지_원본!$A$4:$A$369,0),MATCH($BW$4,연료전지_원본!$A$4:$KY$4,0))</f>
        <v>0</v>
      </c>
      <c r="BX361" s="241">
        <f>INDEX(연료전지_원본!$A$4:$KY$369,MATCH($A361,연료전지_원본!$A$4:$A$369,0),MATCH($BX$4,연료전지_원본!$A$4:$KY$4,0))</f>
        <v>0</v>
      </c>
      <c r="BY361" s="241">
        <f>INDEX(연료전지_원본!$A$4:$KY$369,MATCH($A361,연료전지_원본!$A$4:$A$369,0),MATCH($BY$4,연료전지_원본!$A$4:$KY$4,0))</f>
        <v>0</v>
      </c>
      <c r="BZ361" s="241">
        <f>INDEX(연료전지_원본!$A$4:$KY$369,MATCH($A361,연료전지_원본!$A$4:$A$369,0),MATCH($BZ$4,연료전지_원본!$A$4:$KY$4,0))</f>
        <v>0</v>
      </c>
      <c r="CA361" s="241">
        <f>INDEX(연료전지_원본!$A$4:$KY$369,MATCH($A361,연료전지_원본!$A$4:$A$369,0),MATCH($CA$4,연료전지_원본!$A$4:$KY$4,0))</f>
        <v>0</v>
      </c>
      <c r="CB361" s="241">
        <f>INDEX(연료전지_원본!$A$4:$KY$369,MATCH($A361,연료전지_원본!$A$4:$A$369,0),MATCH($CB$4,연료전지_원본!$A$4:$KY$4,0))</f>
        <v>0</v>
      </c>
      <c r="CC361" s="242">
        <f>INDEX(연료전지_원본!$A$4:$KY$369,MATCH($A361,연료전지_원본!$A$4:$A$369,0),MATCH($CC$4,연료전지_원본!$A$4:$KY$4,0))</f>
        <v>0</v>
      </c>
      <c r="CD361" s="250">
        <f>INDEX(연료전지_원본!$KB$4:$KX$369,MATCH($A361,연료전지_원본!$KB$4:$KB$369,0), MATCH(CD$4,연료전지_원본!$KB$4:$KX$4,0))*1000</f>
        <v>0</v>
      </c>
      <c r="CE361" s="250">
        <f>INDEX(연료전지_원본!$KB$4:$KX$369,MATCH($A361,연료전지_원본!$KB$4:$KB$369,0), MATCH(CE$4,연료전지_원본!$KB$4:$KX$4,0))*1000</f>
        <v>0</v>
      </c>
      <c r="CF361" s="250">
        <f>INDEX(연료전지_원본!$KB$4:$KX$369,MATCH($A361,연료전지_원본!$KB$4:$KB$369,0), MATCH(CF$4,연료전지_원본!$KB$4:$KX$4,0))*1000</f>
        <v>0</v>
      </c>
      <c r="CG361" s="250">
        <f>INDEX(연료전지_원본!$KB$4:$KX$369,MATCH($A361,연료전지_원본!$KB$4:$KB$369,0), MATCH(CG$4,연료전지_원본!$KB$4:$KX$4,0))*1000</f>
        <v>0</v>
      </c>
      <c r="CH361" s="250">
        <f>INDEX(연료전지_원본!$KB$4:$KX$369,MATCH($A361,연료전지_원본!$KB$4:$KB$369,0), MATCH(CH$4,연료전지_원본!$KB$4:$KX$4,0))*1000</f>
        <v>0</v>
      </c>
      <c r="CI361" s="250">
        <f>INDEX(연료전지_원본!$KB$4:$KX$369,MATCH($A361,연료전지_원본!$KB$4:$KB$369,0), MATCH(CI$4,연료전지_원본!$KB$4:$KX$4,0))*1000</f>
        <v>0</v>
      </c>
      <c r="CJ361" s="250">
        <f>INDEX(연료전지_원본!$KB$4:$KX$369,MATCH($A361,연료전지_원본!$KB$4:$KB$369,0), MATCH(CJ$4,연료전지_원본!$KB$4:$KX$4,0))*1000</f>
        <v>0</v>
      </c>
      <c r="CK361" s="250">
        <f>INDEX(연료전지_원본!$KB$4:$KX$369,MATCH($A361,연료전지_원본!$KB$4:$KB$369,0), MATCH(CK$4,연료전지_원본!$KB$4:$KX$4,0))*1000</f>
        <v>0</v>
      </c>
      <c r="CL361" s="250">
        <f>INDEX(연료전지_원본!$KB$4:$KX$369,MATCH($A361,연료전지_원본!$KB$4:$KB$369,0), MATCH(CL$4,연료전지_원본!$KB$4:$KX$4,0))*1000</f>
        <v>0</v>
      </c>
      <c r="CM361" s="250">
        <f>INDEX(연료전지_원본!$KB$4:$KX$369,MATCH($A361,연료전지_원본!$KB$4:$KB$369,0), MATCH(CM$4,연료전지_원본!$KB$4:$KX$4,0))*1000</f>
        <v>0</v>
      </c>
      <c r="CN361" s="250">
        <f>INDEX(연료전지_원본!$KB$4:$KX$369,MATCH($A361,연료전지_원본!$KB$4:$KB$369,0), MATCH(CN$4,연료전지_원본!$KB$4:$KX$4,0))*1000</f>
        <v>0</v>
      </c>
      <c r="CO361" s="250">
        <f>INDEX(연료전지_원본!$KB$4:$KX$369,MATCH($A361,연료전지_원본!$KB$4:$KB$369,0), MATCH(CO$4,연료전지_원본!$KB$4:$KX$4,0))*1000</f>
        <v>0</v>
      </c>
      <c r="CP361" s="250">
        <f>INDEX(연료전지_원본!$KB$4:$KX$369,MATCH($A361,연료전지_원본!$KB$4:$KB$369,0), MATCH(CP$4,연료전지_원본!$KB$4:$KX$4,0))*1000</f>
        <v>0</v>
      </c>
      <c r="CQ361" s="250">
        <f>INDEX(연료전지_원본!$KB$4:$KX$369,MATCH($A361,연료전지_원본!$KB$4:$KB$369,0), MATCH(CQ$4,연료전지_원본!$KB$4:$KX$4,0))*1000</f>
        <v>0</v>
      </c>
      <c r="CR361" s="250">
        <f>INDEX(연료전지_원본!$KB$4:$KX$369,MATCH($A361,연료전지_원본!$KB$4:$KB$369,0), MATCH(CR$4,연료전지_원본!$KB$4:$KX$4,0))*1000</f>
        <v>0</v>
      </c>
      <c r="CS361" s="250">
        <f>INDEX(연료전지_원본!$KB$4:$KX$369,MATCH($A361,연료전지_원본!$KB$4:$KB$369,0), MATCH(CS$4,연료전지_원본!$KB$4:$KX$4,0))*1000</f>
        <v>0</v>
      </c>
      <c r="CT361" s="250">
        <f>INDEX(연료전지_원본!$KB$4:$KX$369,MATCH($A361,연료전지_원본!$KB$4:$KB$369,0), MATCH(CT$4,연료전지_원본!$KB$4:$KX$4,0))*1000</f>
        <v>0</v>
      </c>
      <c r="CU361" s="250">
        <f>INDEX(연료전지_원본!$KB$4:$KX$369,MATCH($A361,연료전지_원본!$KB$4:$KB$369,0), MATCH(CU$4,연료전지_원본!$KB$4:$KX$4,0))*1000</f>
        <v>0</v>
      </c>
      <c r="CV361" s="250">
        <f>INDEX(연료전지_원본!$KB$4:$KX$369,MATCH($A361,연료전지_원본!$KB$4:$KB$369,0), MATCH(CV$4,연료전지_원본!$KB$4:$KX$4,0))*1000</f>
        <v>0</v>
      </c>
      <c r="CW361" s="250">
        <f>INDEX(연료전지_원본!$KB$4:$KX$369,MATCH($A361,연료전지_원본!$KB$4:$KB$369,0), MATCH(CW$4,연료전지_원본!$KB$4:$KX$4,0))*1000</f>
        <v>0</v>
      </c>
      <c r="CX361" s="250">
        <f>INDEX(연료전지_원본!$KB$4:$KX$369,MATCH($A361,연료전지_원본!$KB$4:$KB$369,0), MATCH(CX$4,연료전지_원본!$KB$4:$KX$4,0))*1000</f>
        <v>0</v>
      </c>
      <c r="CY361" s="250">
        <f>INDEX(연료전지_원본!$KB$4:$KX$369,MATCH($A361,연료전지_원본!$KB$4:$KB$369,0), MATCH(CY$4,연료전지_원본!$KB$4:$KX$4,0))*1000</f>
        <v>0</v>
      </c>
      <c r="DV361" s="30">
        <f t="shared" si="1947"/>
        <v>0</v>
      </c>
    </row>
    <row r="362" spans="1:126">
      <c r="A362" s="6">
        <v>46379</v>
      </c>
      <c r="B362" s="15">
        <f>운전실적_원본!B362</f>
        <v>0</v>
      </c>
      <c r="C362" s="16" t="str">
        <f t="shared" si="1953"/>
        <v/>
      </c>
      <c r="D362" s="12">
        <f>운전실적_원본!C362</f>
        <v>0</v>
      </c>
      <c r="E362" s="12" t="str">
        <f t="shared" si="1954"/>
        <v/>
      </c>
      <c r="F362" s="12">
        <f>운전실적_원본!D362</f>
        <v>0</v>
      </c>
      <c r="G362" s="16" t="str">
        <f t="shared" si="1955"/>
        <v/>
      </c>
      <c r="H362" s="15">
        <f>운전실적_원본!E362</f>
        <v>0</v>
      </c>
      <c r="I362" s="16" t="str">
        <f t="shared" si="1956"/>
        <v/>
      </c>
      <c r="J362" s="15">
        <f>운전실적_원본!F362</f>
        <v>0</v>
      </c>
      <c r="K362" s="16" t="str">
        <f t="shared" si="1956"/>
        <v/>
      </c>
      <c r="L362" s="32">
        <f>운전실적_원본!G362</f>
        <v>0</v>
      </c>
      <c r="M362" s="31" t="str">
        <f t="shared" ref="M362" si="1968">IF(OR(LEN(L362)=0,L362=0),"",L362-L361)</f>
        <v/>
      </c>
      <c r="N362" s="15">
        <f>운전실적_원본!H362</f>
        <v>0</v>
      </c>
      <c r="O362" s="16" t="str">
        <f t="shared" ref="O362" si="1969">IF(OR(LEN(N362)=0,N362=0),"",N362-N361)</f>
        <v/>
      </c>
      <c r="P362" s="15">
        <f>운전실적_원본!I362</f>
        <v>0</v>
      </c>
      <c r="Q362" s="16" t="str">
        <f t="shared" ref="Q362" si="1970">IF(OR(LEN(P362)=0,P362=0),"",P362-P361)</f>
        <v/>
      </c>
      <c r="R362" s="18">
        <f>운전실적_원본!J362</f>
        <v>0</v>
      </c>
      <c r="S362" s="19" t="str">
        <f t="shared" ref="S362" si="1971">IF(OR(LEN(R362)=0,R362=0),"",R362-R361)</f>
        <v/>
      </c>
      <c r="T362" s="18">
        <f>운전실적_원본!K362</f>
        <v>0</v>
      </c>
      <c r="U362" s="19" t="str">
        <f t="shared" si="1961"/>
        <v/>
      </c>
      <c r="V362" s="12">
        <f>운전실적_원본!L362</f>
        <v>0</v>
      </c>
      <c r="W362" s="16" t="str">
        <f t="shared" ref="W362" si="1972">IF(OR(LEN(V362)=0,V362=0),"",V362-V361)</f>
        <v/>
      </c>
      <c r="X362" s="10">
        <f>운전실적_원본!M362</f>
        <v>0</v>
      </c>
      <c r="Y362" s="10">
        <f>운전실적_원본!N362</f>
        <v>0</v>
      </c>
      <c r="Z362" s="10">
        <f>운전실적_원본!O362</f>
        <v>0</v>
      </c>
      <c r="AA362" s="10">
        <f>운전실적_원본!P362</f>
        <v>0</v>
      </c>
      <c r="AB362" s="10">
        <f>운전실적_원본!Q362</f>
        <v>0</v>
      </c>
      <c r="AC362" s="20">
        <f>운전실적_원본!R362</f>
        <v>0</v>
      </c>
      <c r="AD362" s="109">
        <f>운전실적_원본!S362</f>
        <v>0</v>
      </c>
      <c r="AE362" s="110">
        <f>운전실적_원본!T362</f>
        <v>0</v>
      </c>
      <c r="AF362" s="110">
        <f>운전실적_원본!U362</f>
        <v>0</v>
      </c>
      <c r="AG362" s="110">
        <f>운전실적_원본!V362</f>
        <v>0</v>
      </c>
      <c r="AH362" s="109">
        <f t="shared" si="1784"/>
        <v>0</v>
      </c>
      <c r="AI362" s="110">
        <f t="shared" si="1791"/>
        <v>0</v>
      </c>
      <c r="AJ362" s="110">
        <f>운전실적_원본!Y362</f>
        <v>0</v>
      </c>
      <c r="AK362" s="110">
        <f>운전실적_원본!Z362</f>
        <v>0</v>
      </c>
      <c r="AL362" s="106"/>
      <c r="AM362" s="105"/>
      <c r="AN362" s="105"/>
      <c r="AO362" s="105"/>
      <c r="AP362" s="105"/>
      <c r="AQ362" s="108"/>
      <c r="AR362" s="105"/>
      <c r="AS362" s="105"/>
      <c r="AT362" s="102"/>
      <c r="AU362" s="102"/>
      <c r="AV362" s="102"/>
      <c r="AW362" s="102"/>
      <c r="AX362" s="32">
        <f>운전실적_원본!W362</f>
        <v>0</v>
      </c>
      <c r="AY362" s="11">
        <f>운전실적_원본!X362</f>
        <v>0</v>
      </c>
      <c r="AZ362" s="11">
        <f>운전실적_원본!Y362</f>
        <v>0</v>
      </c>
      <c r="BA362" s="11">
        <f>운전실적_원본!Z362</f>
        <v>0</v>
      </c>
      <c r="BB362" s="11">
        <f>운전실적_원본!AA362</f>
        <v>0</v>
      </c>
      <c r="BC362" s="11">
        <f>운전실적_원본!AB362</f>
        <v>0</v>
      </c>
      <c r="BD362" s="32" t="str">
        <f t="shared" si="1777"/>
        <v>-</v>
      </c>
      <c r="BE362" s="11" t="str">
        <f t="shared" si="1785"/>
        <v>-</v>
      </c>
      <c r="BF362" s="11">
        <f>운전실적_원본!AE362</f>
        <v>0</v>
      </c>
      <c r="BG362" s="31">
        <f t="shared" si="1778"/>
        <v>0</v>
      </c>
      <c r="BH362" s="241">
        <f>INDEX(연료전지_원본!$A$4:$KY$369,MATCH($A362,연료전지_원본!$A$4:$A$369,0),MATCH($BH$4,연료전지_원본!$A$4:$KY$4,0))</f>
        <v>0</v>
      </c>
      <c r="BI362" s="241">
        <f>INDEX(연료전지_원본!$A$4:$KY$369,MATCH($A362,연료전지_원본!$A$4:$A$369,0),MATCH($BI$4,연료전지_원본!$A$4:$KY$4,0))</f>
        <v>0</v>
      </c>
      <c r="BJ362" s="241">
        <f>INDEX(연료전지_원본!$A$4:$KY$369,MATCH($A362,연료전지_원본!$A$4:$A$369,0),MATCH($BJ$4,연료전지_원본!$A$4:$KY$4,0))</f>
        <v>0</v>
      </c>
      <c r="BK362" s="241">
        <f>INDEX(연료전지_원본!$A$4:$KY$369,MATCH($A362,연료전지_원본!$A$4:$A$369,0),MATCH($BK$4,연료전지_원본!$A$4:$KY$4,0))</f>
        <v>0</v>
      </c>
      <c r="BL362" s="241">
        <f>INDEX(연료전지_원본!$A$4:$KY$369,MATCH($A362,연료전지_원본!$A$4:$A$369,0),MATCH($BL$4,연료전지_원본!$A$4:$KY$4,0))</f>
        <v>0</v>
      </c>
      <c r="BM362" s="241">
        <f>INDEX(연료전지_원본!$A$4:$KY$369,MATCH($A362,연료전지_원본!$A$4:$A$369,0),MATCH($BM$4,연료전지_원본!$A$4:$KY$4,0))</f>
        <v>0</v>
      </c>
      <c r="BN362" s="241">
        <f>INDEX(연료전지_원본!$A$4:$KY$369,MATCH($A362,연료전지_원본!$A$4:$A$369,0),MATCH($BN$4,연료전지_원본!$A$4:$KY$4,0))</f>
        <v>0</v>
      </c>
      <c r="BO362" s="241">
        <f>INDEX(연료전지_원본!$A$4:$KY$369,MATCH($A362,연료전지_원본!$A$4:$A$369,0),MATCH($BO$4,연료전지_원본!$A$4:$KY$4,0))</f>
        <v>0</v>
      </c>
      <c r="BP362" s="241">
        <f>INDEX(연료전지_원본!$A$4:$KY$369,MATCH($A362,연료전지_원본!$A$4:$A$369,0),MATCH($BP$4,연료전지_원본!$A$4:$KY$4,0))</f>
        <v>0</v>
      </c>
      <c r="BQ362" s="241">
        <f>INDEX(연료전지_원본!$A$4:$KY$369,MATCH($A362,연료전지_원본!$A$4:$A$369,0),MATCH($BQ$4,연료전지_원본!$A$4:$KY$4,0))</f>
        <v>0</v>
      </c>
      <c r="BR362" s="241">
        <f>INDEX(연료전지_원본!$A$4:$KY$369,MATCH($A362,연료전지_원본!$A$4:$A$369,0),MATCH($BR$4,연료전지_원본!$A$4:$KY$4,0))</f>
        <v>0</v>
      </c>
      <c r="BS362" s="241">
        <f>INDEX(연료전지_원본!$A$4:$KY$369,MATCH($A362,연료전지_원본!$A$4:$A$369,0),MATCH($BS$4,연료전지_원본!$A$4:$KY$4,0))</f>
        <v>0</v>
      </c>
      <c r="BT362" s="241">
        <f>INDEX(연료전지_원본!$A$4:$KY$369,MATCH($A362,연료전지_원본!$A$4:$A$369,0),MATCH($BT$4,연료전지_원본!$A$4:$KY$4,0))</f>
        <v>0</v>
      </c>
      <c r="BU362" s="241">
        <f>INDEX(연료전지_원본!$A$4:$KY$369,MATCH($A362,연료전지_원본!$A$4:$A$369,0),MATCH($BU$4,연료전지_원본!$A$4:$KY$4,0))</f>
        <v>0</v>
      </c>
      <c r="BV362" s="241">
        <f>INDEX(연료전지_원본!$A$4:$KY$369,MATCH($A362,연료전지_원본!$A$4:$A$369,0),MATCH($BV$4,연료전지_원본!$A$4:$KY$4,0))</f>
        <v>0</v>
      </c>
      <c r="BW362" s="241">
        <f>INDEX(연료전지_원본!$A$4:$KY$369,MATCH($A362,연료전지_원본!$A$4:$A$369,0),MATCH($BW$4,연료전지_원본!$A$4:$KY$4,0))</f>
        <v>0</v>
      </c>
      <c r="BX362" s="241">
        <f>INDEX(연료전지_원본!$A$4:$KY$369,MATCH($A362,연료전지_원본!$A$4:$A$369,0),MATCH($BX$4,연료전지_원본!$A$4:$KY$4,0))</f>
        <v>0</v>
      </c>
      <c r="BY362" s="241">
        <f>INDEX(연료전지_원본!$A$4:$KY$369,MATCH($A362,연료전지_원본!$A$4:$A$369,0),MATCH($BY$4,연료전지_원본!$A$4:$KY$4,0))</f>
        <v>0</v>
      </c>
      <c r="BZ362" s="241">
        <f>INDEX(연료전지_원본!$A$4:$KY$369,MATCH($A362,연료전지_원본!$A$4:$A$369,0),MATCH($BZ$4,연료전지_원본!$A$4:$KY$4,0))</f>
        <v>0</v>
      </c>
      <c r="CA362" s="241">
        <f>INDEX(연료전지_원본!$A$4:$KY$369,MATCH($A362,연료전지_원본!$A$4:$A$369,0),MATCH($CA$4,연료전지_원본!$A$4:$KY$4,0))</f>
        <v>0</v>
      </c>
      <c r="CB362" s="241">
        <f>INDEX(연료전지_원본!$A$4:$KY$369,MATCH($A362,연료전지_원본!$A$4:$A$369,0),MATCH($CB$4,연료전지_원본!$A$4:$KY$4,0))</f>
        <v>0</v>
      </c>
      <c r="CC362" s="242">
        <f>INDEX(연료전지_원본!$A$4:$KY$369,MATCH($A362,연료전지_원본!$A$4:$A$369,0),MATCH($CC$4,연료전지_원본!$A$4:$KY$4,0))</f>
        <v>0</v>
      </c>
      <c r="CD362" s="250">
        <f>INDEX(연료전지_원본!$KB$4:$KX$369,MATCH($A362,연료전지_원본!$KB$4:$KB$369,0), MATCH(CD$4,연료전지_원본!$KB$4:$KX$4,0))*1000</f>
        <v>0</v>
      </c>
      <c r="CE362" s="250">
        <f>INDEX(연료전지_원본!$KB$4:$KX$369,MATCH($A362,연료전지_원본!$KB$4:$KB$369,0), MATCH(CE$4,연료전지_원본!$KB$4:$KX$4,0))*1000</f>
        <v>0</v>
      </c>
      <c r="CF362" s="250">
        <f>INDEX(연료전지_원본!$KB$4:$KX$369,MATCH($A362,연료전지_원본!$KB$4:$KB$369,0), MATCH(CF$4,연료전지_원본!$KB$4:$KX$4,0))*1000</f>
        <v>0</v>
      </c>
      <c r="CG362" s="250">
        <f>INDEX(연료전지_원본!$KB$4:$KX$369,MATCH($A362,연료전지_원본!$KB$4:$KB$369,0), MATCH(CG$4,연료전지_원본!$KB$4:$KX$4,0))*1000</f>
        <v>0</v>
      </c>
      <c r="CH362" s="250">
        <f>INDEX(연료전지_원본!$KB$4:$KX$369,MATCH($A362,연료전지_원본!$KB$4:$KB$369,0), MATCH(CH$4,연료전지_원본!$KB$4:$KX$4,0))*1000</f>
        <v>0</v>
      </c>
      <c r="CI362" s="250">
        <f>INDEX(연료전지_원본!$KB$4:$KX$369,MATCH($A362,연료전지_원본!$KB$4:$KB$369,0), MATCH(CI$4,연료전지_원본!$KB$4:$KX$4,0))*1000</f>
        <v>0</v>
      </c>
      <c r="CJ362" s="250">
        <f>INDEX(연료전지_원본!$KB$4:$KX$369,MATCH($A362,연료전지_원본!$KB$4:$KB$369,0), MATCH(CJ$4,연료전지_원본!$KB$4:$KX$4,0))*1000</f>
        <v>0</v>
      </c>
      <c r="CK362" s="250">
        <f>INDEX(연료전지_원본!$KB$4:$KX$369,MATCH($A362,연료전지_원본!$KB$4:$KB$369,0), MATCH(CK$4,연료전지_원본!$KB$4:$KX$4,0))*1000</f>
        <v>0</v>
      </c>
      <c r="CL362" s="250">
        <f>INDEX(연료전지_원본!$KB$4:$KX$369,MATCH($A362,연료전지_원본!$KB$4:$KB$369,0), MATCH(CL$4,연료전지_원본!$KB$4:$KX$4,0))*1000</f>
        <v>0</v>
      </c>
      <c r="CM362" s="250">
        <f>INDEX(연료전지_원본!$KB$4:$KX$369,MATCH($A362,연료전지_원본!$KB$4:$KB$369,0), MATCH(CM$4,연료전지_원본!$KB$4:$KX$4,0))*1000</f>
        <v>0</v>
      </c>
      <c r="CN362" s="250">
        <f>INDEX(연료전지_원본!$KB$4:$KX$369,MATCH($A362,연료전지_원본!$KB$4:$KB$369,0), MATCH(CN$4,연료전지_원본!$KB$4:$KX$4,0))*1000</f>
        <v>0</v>
      </c>
      <c r="CO362" s="250">
        <f>INDEX(연료전지_원본!$KB$4:$KX$369,MATCH($A362,연료전지_원본!$KB$4:$KB$369,0), MATCH(CO$4,연료전지_원본!$KB$4:$KX$4,0))*1000</f>
        <v>0</v>
      </c>
      <c r="CP362" s="250">
        <f>INDEX(연료전지_원본!$KB$4:$KX$369,MATCH($A362,연료전지_원본!$KB$4:$KB$369,0), MATCH(CP$4,연료전지_원본!$KB$4:$KX$4,0))*1000</f>
        <v>0</v>
      </c>
      <c r="CQ362" s="250">
        <f>INDEX(연료전지_원본!$KB$4:$KX$369,MATCH($A362,연료전지_원본!$KB$4:$KB$369,0), MATCH(CQ$4,연료전지_원본!$KB$4:$KX$4,0))*1000</f>
        <v>0</v>
      </c>
      <c r="CR362" s="250">
        <f>INDEX(연료전지_원본!$KB$4:$KX$369,MATCH($A362,연료전지_원본!$KB$4:$KB$369,0), MATCH(CR$4,연료전지_원본!$KB$4:$KX$4,0))*1000</f>
        <v>0</v>
      </c>
      <c r="CS362" s="250">
        <f>INDEX(연료전지_원본!$KB$4:$KX$369,MATCH($A362,연료전지_원본!$KB$4:$KB$369,0), MATCH(CS$4,연료전지_원본!$KB$4:$KX$4,0))*1000</f>
        <v>0</v>
      </c>
      <c r="CT362" s="250">
        <f>INDEX(연료전지_원본!$KB$4:$KX$369,MATCH($A362,연료전지_원본!$KB$4:$KB$369,0), MATCH(CT$4,연료전지_원본!$KB$4:$KX$4,0))*1000</f>
        <v>0</v>
      </c>
      <c r="CU362" s="250">
        <f>INDEX(연료전지_원본!$KB$4:$KX$369,MATCH($A362,연료전지_원본!$KB$4:$KB$369,0), MATCH(CU$4,연료전지_원본!$KB$4:$KX$4,0))*1000</f>
        <v>0</v>
      </c>
      <c r="CV362" s="250">
        <f>INDEX(연료전지_원본!$KB$4:$KX$369,MATCH($A362,연료전지_원본!$KB$4:$KB$369,0), MATCH(CV$4,연료전지_원본!$KB$4:$KX$4,0))*1000</f>
        <v>0</v>
      </c>
      <c r="CW362" s="250">
        <f>INDEX(연료전지_원본!$KB$4:$KX$369,MATCH($A362,연료전지_원본!$KB$4:$KB$369,0), MATCH(CW$4,연료전지_원본!$KB$4:$KX$4,0))*1000</f>
        <v>0</v>
      </c>
      <c r="CX362" s="250">
        <f>INDEX(연료전지_원본!$KB$4:$KX$369,MATCH($A362,연료전지_원본!$KB$4:$KB$369,0), MATCH(CX$4,연료전지_원본!$KB$4:$KX$4,0))*1000</f>
        <v>0</v>
      </c>
      <c r="CY362" s="250">
        <f>INDEX(연료전지_원본!$KB$4:$KX$369,MATCH($A362,연료전지_원본!$KB$4:$KB$369,0), MATCH(CY$4,연료전지_원본!$KB$4:$KX$4,0))*1000</f>
        <v>0</v>
      </c>
      <c r="DV362" s="30">
        <f t="shared" si="1947"/>
        <v>0</v>
      </c>
    </row>
    <row r="363" spans="1:126">
      <c r="A363" s="6">
        <v>46380</v>
      </c>
      <c r="B363" s="15">
        <f>운전실적_원본!B363</f>
        <v>0</v>
      </c>
      <c r="C363" s="16" t="str">
        <f t="shared" si="1953"/>
        <v/>
      </c>
      <c r="D363" s="12">
        <f>운전실적_원본!C363</f>
        <v>0</v>
      </c>
      <c r="E363" s="12" t="str">
        <f t="shared" si="1954"/>
        <v/>
      </c>
      <c r="F363" s="12">
        <f>운전실적_원본!D363</f>
        <v>0</v>
      </c>
      <c r="G363" s="16" t="str">
        <f t="shared" si="1955"/>
        <v/>
      </c>
      <c r="H363" s="15">
        <f>운전실적_원본!E363</f>
        <v>0</v>
      </c>
      <c r="I363" s="16" t="str">
        <f t="shared" si="1956"/>
        <v/>
      </c>
      <c r="J363" s="15">
        <f>운전실적_원본!F363</f>
        <v>0</v>
      </c>
      <c r="K363" s="16" t="str">
        <f t="shared" si="1956"/>
        <v/>
      </c>
      <c r="L363" s="32">
        <f>운전실적_원본!G363</f>
        <v>0</v>
      </c>
      <c r="M363" s="31" t="str">
        <f t="shared" ref="M363" si="1973">IF(OR(LEN(L363)=0,L363=0),"",L363-L362)</f>
        <v/>
      </c>
      <c r="N363" s="15">
        <f>운전실적_원본!H363</f>
        <v>0</v>
      </c>
      <c r="O363" s="16" t="str">
        <f t="shared" ref="O363" si="1974">IF(OR(LEN(N363)=0,N363=0),"",N363-N362)</f>
        <v/>
      </c>
      <c r="P363" s="15">
        <f>운전실적_원본!I363</f>
        <v>0</v>
      </c>
      <c r="Q363" s="16" t="str">
        <f t="shared" ref="Q363" si="1975">IF(OR(LEN(P363)=0,P363=0),"",P363-P362)</f>
        <v/>
      </c>
      <c r="R363" s="18">
        <f>운전실적_원본!J363</f>
        <v>0</v>
      </c>
      <c r="S363" s="19" t="str">
        <f t="shared" ref="S363" si="1976">IF(OR(LEN(R363)=0,R363=0),"",R363-R362)</f>
        <v/>
      </c>
      <c r="T363" s="18">
        <f>운전실적_원본!K363</f>
        <v>0</v>
      </c>
      <c r="U363" s="19" t="str">
        <f t="shared" si="1961"/>
        <v/>
      </c>
      <c r="V363" s="12">
        <f>운전실적_원본!L363</f>
        <v>0</v>
      </c>
      <c r="W363" s="16" t="str">
        <f t="shared" ref="W363" si="1977">IF(OR(LEN(V363)=0,V363=0),"",V363-V362)</f>
        <v/>
      </c>
      <c r="X363" s="10">
        <f>운전실적_원본!M363</f>
        <v>0</v>
      </c>
      <c r="Y363" s="10">
        <f>운전실적_원본!N363</f>
        <v>0</v>
      </c>
      <c r="Z363" s="10">
        <f>운전실적_원본!O363</f>
        <v>0</v>
      </c>
      <c r="AA363" s="10">
        <f>운전실적_원본!P363</f>
        <v>0</v>
      </c>
      <c r="AB363" s="10">
        <f>운전실적_원본!Q363</f>
        <v>0</v>
      </c>
      <c r="AC363" s="20">
        <f>운전실적_원본!R363</f>
        <v>0</v>
      </c>
      <c r="AD363" s="109">
        <f>운전실적_원본!S363</f>
        <v>0</v>
      </c>
      <c r="AE363" s="110">
        <f>운전실적_원본!T363</f>
        <v>0</v>
      </c>
      <c r="AF363" s="110">
        <f>운전실적_원본!U363</f>
        <v>0</v>
      </c>
      <c r="AG363" s="110">
        <f>운전실적_원본!V363</f>
        <v>0</v>
      </c>
      <c r="AH363" s="109">
        <f t="shared" si="1784"/>
        <v>0</v>
      </c>
      <c r="AI363" s="110">
        <f t="shared" si="1791"/>
        <v>0</v>
      </c>
      <c r="AJ363" s="110">
        <f>운전실적_원본!Y363</f>
        <v>0</v>
      </c>
      <c r="AK363" s="110">
        <f>운전실적_원본!Z363</f>
        <v>0</v>
      </c>
      <c r="AL363" s="106"/>
      <c r="AM363" s="105"/>
      <c r="AN363" s="105"/>
      <c r="AO363" s="105"/>
      <c r="AP363" s="105"/>
      <c r="AQ363" s="108"/>
      <c r="AR363" s="105"/>
      <c r="AS363" s="105"/>
      <c r="AT363" s="102"/>
      <c r="AU363" s="102"/>
      <c r="AV363" s="102"/>
      <c r="AW363" s="102"/>
      <c r="AX363" s="32">
        <f>운전실적_원본!W363</f>
        <v>0</v>
      </c>
      <c r="AY363" s="11">
        <f>운전실적_원본!X363</f>
        <v>0</v>
      </c>
      <c r="AZ363" s="11">
        <f>운전실적_원본!Y363</f>
        <v>0</v>
      </c>
      <c r="BA363" s="11">
        <f>운전실적_원본!Z363</f>
        <v>0</v>
      </c>
      <c r="BB363" s="11">
        <f>운전실적_원본!AA363</f>
        <v>0</v>
      </c>
      <c r="BC363" s="11">
        <f>운전실적_원본!AB363</f>
        <v>0</v>
      </c>
      <c r="BD363" s="32" t="str">
        <f t="shared" si="1777"/>
        <v>-</v>
      </c>
      <c r="BE363" s="11" t="str">
        <f t="shared" si="1785"/>
        <v>-</v>
      </c>
      <c r="BF363" s="11">
        <f>운전실적_원본!AE363</f>
        <v>0</v>
      </c>
      <c r="BG363" s="31">
        <f t="shared" si="1778"/>
        <v>0</v>
      </c>
      <c r="BH363" s="241">
        <f>INDEX(연료전지_원본!$A$4:$KY$369,MATCH($A363,연료전지_원본!$A$4:$A$369,0),MATCH($BH$4,연료전지_원본!$A$4:$KY$4,0))</f>
        <v>0</v>
      </c>
      <c r="BI363" s="241">
        <f>INDEX(연료전지_원본!$A$4:$KY$369,MATCH($A363,연료전지_원본!$A$4:$A$369,0),MATCH($BI$4,연료전지_원본!$A$4:$KY$4,0))</f>
        <v>0</v>
      </c>
      <c r="BJ363" s="241">
        <f>INDEX(연료전지_원본!$A$4:$KY$369,MATCH($A363,연료전지_원본!$A$4:$A$369,0),MATCH($BJ$4,연료전지_원본!$A$4:$KY$4,0))</f>
        <v>0</v>
      </c>
      <c r="BK363" s="241">
        <f>INDEX(연료전지_원본!$A$4:$KY$369,MATCH($A363,연료전지_원본!$A$4:$A$369,0),MATCH($BK$4,연료전지_원본!$A$4:$KY$4,0))</f>
        <v>0</v>
      </c>
      <c r="BL363" s="241">
        <f>INDEX(연료전지_원본!$A$4:$KY$369,MATCH($A363,연료전지_원본!$A$4:$A$369,0),MATCH($BL$4,연료전지_원본!$A$4:$KY$4,0))</f>
        <v>0</v>
      </c>
      <c r="BM363" s="241">
        <f>INDEX(연료전지_원본!$A$4:$KY$369,MATCH($A363,연료전지_원본!$A$4:$A$369,0),MATCH($BM$4,연료전지_원본!$A$4:$KY$4,0))</f>
        <v>0</v>
      </c>
      <c r="BN363" s="241">
        <f>INDEX(연료전지_원본!$A$4:$KY$369,MATCH($A363,연료전지_원본!$A$4:$A$369,0),MATCH($BN$4,연료전지_원본!$A$4:$KY$4,0))</f>
        <v>0</v>
      </c>
      <c r="BO363" s="241">
        <f>INDEX(연료전지_원본!$A$4:$KY$369,MATCH($A363,연료전지_원본!$A$4:$A$369,0),MATCH($BO$4,연료전지_원본!$A$4:$KY$4,0))</f>
        <v>0</v>
      </c>
      <c r="BP363" s="241">
        <f>INDEX(연료전지_원본!$A$4:$KY$369,MATCH($A363,연료전지_원본!$A$4:$A$369,0),MATCH($BP$4,연료전지_원본!$A$4:$KY$4,0))</f>
        <v>0</v>
      </c>
      <c r="BQ363" s="241">
        <f>INDEX(연료전지_원본!$A$4:$KY$369,MATCH($A363,연료전지_원본!$A$4:$A$369,0),MATCH($BQ$4,연료전지_원본!$A$4:$KY$4,0))</f>
        <v>0</v>
      </c>
      <c r="BR363" s="241">
        <f>INDEX(연료전지_원본!$A$4:$KY$369,MATCH($A363,연료전지_원본!$A$4:$A$369,0),MATCH($BR$4,연료전지_원본!$A$4:$KY$4,0))</f>
        <v>0</v>
      </c>
      <c r="BS363" s="241">
        <f>INDEX(연료전지_원본!$A$4:$KY$369,MATCH($A363,연료전지_원본!$A$4:$A$369,0),MATCH($BS$4,연료전지_원본!$A$4:$KY$4,0))</f>
        <v>0</v>
      </c>
      <c r="BT363" s="241">
        <f>INDEX(연료전지_원본!$A$4:$KY$369,MATCH($A363,연료전지_원본!$A$4:$A$369,0),MATCH($BT$4,연료전지_원본!$A$4:$KY$4,0))</f>
        <v>0</v>
      </c>
      <c r="BU363" s="241">
        <f>INDEX(연료전지_원본!$A$4:$KY$369,MATCH($A363,연료전지_원본!$A$4:$A$369,0),MATCH($BU$4,연료전지_원본!$A$4:$KY$4,0))</f>
        <v>0</v>
      </c>
      <c r="BV363" s="241">
        <f>INDEX(연료전지_원본!$A$4:$KY$369,MATCH($A363,연료전지_원본!$A$4:$A$369,0),MATCH($BV$4,연료전지_원본!$A$4:$KY$4,0))</f>
        <v>0</v>
      </c>
      <c r="BW363" s="241">
        <f>INDEX(연료전지_원본!$A$4:$KY$369,MATCH($A363,연료전지_원본!$A$4:$A$369,0),MATCH($BW$4,연료전지_원본!$A$4:$KY$4,0))</f>
        <v>0</v>
      </c>
      <c r="BX363" s="241">
        <f>INDEX(연료전지_원본!$A$4:$KY$369,MATCH($A363,연료전지_원본!$A$4:$A$369,0),MATCH($BX$4,연료전지_원본!$A$4:$KY$4,0))</f>
        <v>0</v>
      </c>
      <c r="BY363" s="241">
        <f>INDEX(연료전지_원본!$A$4:$KY$369,MATCH($A363,연료전지_원본!$A$4:$A$369,0),MATCH($BY$4,연료전지_원본!$A$4:$KY$4,0))</f>
        <v>0</v>
      </c>
      <c r="BZ363" s="241">
        <f>INDEX(연료전지_원본!$A$4:$KY$369,MATCH($A363,연료전지_원본!$A$4:$A$369,0),MATCH($BZ$4,연료전지_원본!$A$4:$KY$4,0))</f>
        <v>0</v>
      </c>
      <c r="CA363" s="241">
        <f>INDEX(연료전지_원본!$A$4:$KY$369,MATCH($A363,연료전지_원본!$A$4:$A$369,0),MATCH($CA$4,연료전지_원본!$A$4:$KY$4,0))</f>
        <v>0</v>
      </c>
      <c r="CB363" s="241">
        <f>INDEX(연료전지_원본!$A$4:$KY$369,MATCH($A363,연료전지_원본!$A$4:$A$369,0),MATCH($CB$4,연료전지_원본!$A$4:$KY$4,0))</f>
        <v>0</v>
      </c>
      <c r="CC363" s="242">
        <f>INDEX(연료전지_원본!$A$4:$KY$369,MATCH($A363,연료전지_원본!$A$4:$A$369,0),MATCH($CC$4,연료전지_원본!$A$4:$KY$4,0))</f>
        <v>0</v>
      </c>
      <c r="CD363" s="250">
        <f>INDEX(연료전지_원본!$KB$4:$KX$369,MATCH($A363,연료전지_원본!$KB$4:$KB$369,0), MATCH(CD$4,연료전지_원본!$KB$4:$KX$4,0))*1000</f>
        <v>0</v>
      </c>
      <c r="CE363" s="250">
        <f>INDEX(연료전지_원본!$KB$4:$KX$369,MATCH($A363,연료전지_원본!$KB$4:$KB$369,0), MATCH(CE$4,연료전지_원본!$KB$4:$KX$4,0))*1000</f>
        <v>0</v>
      </c>
      <c r="CF363" s="250">
        <f>INDEX(연료전지_원본!$KB$4:$KX$369,MATCH($A363,연료전지_원본!$KB$4:$KB$369,0), MATCH(CF$4,연료전지_원본!$KB$4:$KX$4,0))*1000</f>
        <v>0</v>
      </c>
      <c r="CG363" s="250">
        <f>INDEX(연료전지_원본!$KB$4:$KX$369,MATCH($A363,연료전지_원본!$KB$4:$KB$369,0), MATCH(CG$4,연료전지_원본!$KB$4:$KX$4,0))*1000</f>
        <v>0</v>
      </c>
      <c r="CH363" s="250">
        <f>INDEX(연료전지_원본!$KB$4:$KX$369,MATCH($A363,연료전지_원본!$KB$4:$KB$369,0), MATCH(CH$4,연료전지_원본!$KB$4:$KX$4,0))*1000</f>
        <v>0</v>
      </c>
      <c r="CI363" s="250">
        <f>INDEX(연료전지_원본!$KB$4:$KX$369,MATCH($A363,연료전지_원본!$KB$4:$KB$369,0), MATCH(CI$4,연료전지_원본!$KB$4:$KX$4,0))*1000</f>
        <v>0</v>
      </c>
      <c r="CJ363" s="250">
        <f>INDEX(연료전지_원본!$KB$4:$KX$369,MATCH($A363,연료전지_원본!$KB$4:$KB$369,0), MATCH(CJ$4,연료전지_원본!$KB$4:$KX$4,0))*1000</f>
        <v>0</v>
      </c>
      <c r="CK363" s="250">
        <f>INDEX(연료전지_원본!$KB$4:$KX$369,MATCH($A363,연료전지_원본!$KB$4:$KB$369,0), MATCH(CK$4,연료전지_원본!$KB$4:$KX$4,0))*1000</f>
        <v>0</v>
      </c>
      <c r="CL363" s="250">
        <f>INDEX(연료전지_원본!$KB$4:$KX$369,MATCH($A363,연료전지_원본!$KB$4:$KB$369,0), MATCH(CL$4,연료전지_원본!$KB$4:$KX$4,0))*1000</f>
        <v>0</v>
      </c>
      <c r="CM363" s="250">
        <f>INDEX(연료전지_원본!$KB$4:$KX$369,MATCH($A363,연료전지_원본!$KB$4:$KB$369,0), MATCH(CM$4,연료전지_원본!$KB$4:$KX$4,0))*1000</f>
        <v>0</v>
      </c>
      <c r="CN363" s="250">
        <f>INDEX(연료전지_원본!$KB$4:$KX$369,MATCH($A363,연료전지_원본!$KB$4:$KB$369,0), MATCH(CN$4,연료전지_원본!$KB$4:$KX$4,0))*1000</f>
        <v>0</v>
      </c>
      <c r="CO363" s="250">
        <f>INDEX(연료전지_원본!$KB$4:$KX$369,MATCH($A363,연료전지_원본!$KB$4:$KB$369,0), MATCH(CO$4,연료전지_원본!$KB$4:$KX$4,0))*1000</f>
        <v>0</v>
      </c>
      <c r="CP363" s="250">
        <f>INDEX(연료전지_원본!$KB$4:$KX$369,MATCH($A363,연료전지_원본!$KB$4:$KB$369,0), MATCH(CP$4,연료전지_원본!$KB$4:$KX$4,0))*1000</f>
        <v>0</v>
      </c>
      <c r="CQ363" s="250">
        <f>INDEX(연료전지_원본!$KB$4:$KX$369,MATCH($A363,연료전지_원본!$KB$4:$KB$369,0), MATCH(CQ$4,연료전지_원본!$KB$4:$KX$4,0))*1000</f>
        <v>0</v>
      </c>
      <c r="CR363" s="250">
        <f>INDEX(연료전지_원본!$KB$4:$KX$369,MATCH($A363,연료전지_원본!$KB$4:$KB$369,0), MATCH(CR$4,연료전지_원본!$KB$4:$KX$4,0))*1000</f>
        <v>0</v>
      </c>
      <c r="CS363" s="250">
        <f>INDEX(연료전지_원본!$KB$4:$KX$369,MATCH($A363,연료전지_원본!$KB$4:$KB$369,0), MATCH(CS$4,연료전지_원본!$KB$4:$KX$4,0))*1000</f>
        <v>0</v>
      </c>
      <c r="CT363" s="250">
        <f>INDEX(연료전지_원본!$KB$4:$KX$369,MATCH($A363,연료전지_원본!$KB$4:$KB$369,0), MATCH(CT$4,연료전지_원본!$KB$4:$KX$4,0))*1000</f>
        <v>0</v>
      </c>
      <c r="CU363" s="250">
        <f>INDEX(연료전지_원본!$KB$4:$KX$369,MATCH($A363,연료전지_원본!$KB$4:$KB$369,0), MATCH(CU$4,연료전지_원본!$KB$4:$KX$4,0))*1000</f>
        <v>0</v>
      </c>
      <c r="CV363" s="250">
        <f>INDEX(연료전지_원본!$KB$4:$KX$369,MATCH($A363,연료전지_원본!$KB$4:$KB$369,0), MATCH(CV$4,연료전지_원본!$KB$4:$KX$4,0))*1000</f>
        <v>0</v>
      </c>
      <c r="CW363" s="250">
        <f>INDEX(연료전지_원본!$KB$4:$KX$369,MATCH($A363,연료전지_원본!$KB$4:$KB$369,0), MATCH(CW$4,연료전지_원본!$KB$4:$KX$4,0))*1000</f>
        <v>0</v>
      </c>
      <c r="CX363" s="250">
        <f>INDEX(연료전지_원본!$KB$4:$KX$369,MATCH($A363,연료전지_원본!$KB$4:$KB$369,0), MATCH(CX$4,연료전지_원본!$KB$4:$KX$4,0))*1000</f>
        <v>0</v>
      </c>
      <c r="CY363" s="250">
        <f>INDEX(연료전지_원본!$KB$4:$KX$369,MATCH($A363,연료전지_원본!$KB$4:$KB$369,0), MATCH(CY$4,연료전지_원본!$KB$4:$KX$4,0))*1000</f>
        <v>0</v>
      </c>
      <c r="DV363" s="30">
        <f t="shared" si="1947"/>
        <v>0</v>
      </c>
    </row>
    <row r="364" spans="1:126">
      <c r="A364" s="6">
        <v>46381</v>
      </c>
      <c r="B364" s="15">
        <f>운전실적_원본!B364</f>
        <v>0</v>
      </c>
      <c r="C364" s="16" t="str">
        <f t="shared" si="1953"/>
        <v/>
      </c>
      <c r="D364" s="12">
        <f>운전실적_원본!C364</f>
        <v>0</v>
      </c>
      <c r="E364" s="12" t="str">
        <f t="shared" si="1954"/>
        <v/>
      </c>
      <c r="F364" s="12">
        <f>운전실적_원본!D364</f>
        <v>0</v>
      </c>
      <c r="G364" s="16" t="str">
        <f t="shared" si="1955"/>
        <v/>
      </c>
      <c r="H364" s="15">
        <f>운전실적_원본!E364</f>
        <v>0</v>
      </c>
      <c r="I364" s="16" t="str">
        <f t="shared" si="1956"/>
        <v/>
      </c>
      <c r="J364" s="15">
        <f>운전실적_원본!F364</f>
        <v>0</v>
      </c>
      <c r="K364" s="16" t="str">
        <f t="shared" si="1956"/>
        <v/>
      </c>
      <c r="L364" s="32">
        <f>운전실적_원본!G364</f>
        <v>0</v>
      </c>
      <c r="M364" s="31" t="str">
        <f t="shared" ref="M364" si="1978">IF(OR(LEN(L364)=0,L364=0),"",L364-L363)</f>
        <v/>
      </c>
      <c r="N364" s="15">
        <f>운전실적_원본!H364</f>
        <v>0</v>
      </c>
      <c r="O364" s="16" t="str">
        <f t="shared" ref="O364" si="1979">IF(OR(LEN(N364)=0,N364=0),"",N364-N363)</f>
        <v/>
      </c>
      <c r="P364" s="15">
        <f>운전실적_원본!I364</f>
        <v>0</v>
      </c>
      <c r="Q364" s="16" t="str">
        <f t="shared" ref="Q364" si="1980">IF(OR(LEN(P364)=0,P364=0),"",P364-P363)</f>
        <v/>
      </c>
      <c r="R364" s="18">
        <f>운전실적_원본!J364</f>
        <v>0</v>
      </c>
      <c r="S364" s="19" t="str">
        <f t="shared" ref="S364" si="1981">IF(OR(LEN(R364)=0,R364=0),"",R364-R363)</f>
        <v/>
      </c>
      <c r="T364" s="18">
        <f>운전실적_원본!K364</f>
        <v>0</v>
      </c>
      <c r="U364" s="19" t="str">
        <f t="shared" si="1961"/>
        <v/>
      </c>
      <c r="V364" s="12">
        <f>운전실적_원본!L364</f>
        <v>0</v>
      </c>
      <c r="W364" s="16" t="str">
        <f t="shared" ref="W364" si="1982">IF(OR(LEN(V364)=0,V364=0),"",V364-V363)</f>
        <v/>
      </c>
      <c r="X364" s="10">
        <f>운전실적_원본!M364</f>
        <v>0</v>
      </c>
      <c r="Y364" s="10">
        <f>운전실적_원본!N364</f>
        <v>0</v>
      </c>
      <c r="Z364" s="10">
        <f>운전실적_원본!O364</f>
        <v>0</v>
      </c>
      <c r="AA364" s="10">
        <f>운전실적_원본!P364</f>
        <v>0</v>
      </c>
      <c r="AB364" s="10">
        <f>운전실적_원본!Q364</f>
        <v>0</v>
      </c>
      <c r="AC364" s="20">
        <f>운전실적_원본!R364</f>
        <v>0</v>
      </c>
      <c r="AD364" s="109">
        <f>운전실적_원본!S364</f>
        <v>0</v>
      </c>
      <c r="AE364" s="110">
        <f>운전실적_원본!T364</f>
        <v>0</v>
      </c>
      <c r="AF364" s="110">
        <f>운전실적_원본!U364</f>
        <v>0</v>
      </c>
      <c r="AG364" s="110">
        <f>운전실적_원본!V364</f>
        <v>0</v>
      </c>
      <c r="AH364" s="109">
        <f t="shared" si="1784"/>
        <v>0</v>
      </c>
      <c r="AI364" s="110">
        <f t="shared" si="1791"/>
        <v>0</v>
      </c>
      <c r="AJ364" s="110">
        <f>운전실적_원본!Y364</f>
        <v>0</v>
      </c>
      <c r="AK364" s="110">
        <f>운전실적_원본!Z364</f>
        <v>0</v>
      </c>
      <c r="AL364" s="106"/>
      <c r="AM364" s="105"/>
      <c r="AN364" s="105"/>
      <c r="AO364" s="105"/>
      <c r="AP364" s="105"/>
      <c r="AQ364" s="108"/>
      <c r="AR364" s="105"/>
      <c r="AS364" s="105"/>
      <c r="AT364" s="102"/>
      <c r="AU364" s="102"/>
      <c r="AV364" s="102"/>
      <c r="AW364" s="102"/>
      <c r="AX364" s="32">
        <f>운전실적_원본!W364</f>
        <v>0</v>
      </c>
      <c r="AY364" s="11">
        <f>운전실적_원본!X364</f>
        <v>0</v>
      </c>
      <c r="AZ364" s="11">
        <f>운전실적_원본!Y364</f>
        <v>0</v>
      </c>
      <c r="BA364" s="11">
        <f>운전실적_원본!Z364</f>
        <v>0</v>
      </c>
      <c r="BB364" s="11">
        <f>운전실적_원본!AA364</f>
        <v>0</v>
      </c>
      <c r="BC364" s="11">
        <f>운전실적_원본!AB364</f>
        <v>0</v>
      </c>
      <c r="BD364" s="32" t="str">
        <f t="shared" si="1777"/>
        <v>-</v>
      </c>
      <c r="BE364" s="11" t="str">
        <f t="shared" si="1785"/>
        <v>-</v>
      </c>
      <c r="BF364" s="11">
        <f>운전실적_원본!AE364</f>
        <v>0</v>
      </c>
      <c r="BG364" s="31">
        <f t="shared" si="1778"/>
        <v>0</v>
      </c>
      <c r="BH364" s="241">
        <f>INDEX(연료전지_원본!$A$4:$KY$369,MATCH($A364,연료전지_원본!$A$4:$A$369,0),MATCH($BH$4,연료전지_원본!$A$4:$KY$4,0))</f>
        <v>0</v>
      </c>
      <c r="BI364" s="241">
        <f>INDEX(연료전지_원본!$A$4:$KY$369,MATCH($A364,연료전지_원본!$A$4:$A$369,0),MATCH($BI$4,연료전지_원본!$A$4:$KY$4,0))</f>
        <v>0</v>
      </c>
      <c r="BJ364" s="241">
        <f>INDEX(연료전지_원본!$A$4:$KY$369,MATCH($A364,연료전지_원본!$A$4:$A$369,0),MATCH($BJ$4,연료전지_원본!$A$4:$KY$4,0))</f>
        <v>0</v>
      </c>
      <c r="BK364" s="241">
        <f>INDEX(연료전지_원본!$A$4:$KY$369,MATCH($A364,연료전지_원본!$A$4:$A$369,0),MATCH($BK$4,연료전지_원본!$A$4:$KY$4,0))</f>
        <v>0</v>
      </c>
      <c r="BL364" s="241">
        <f>INDEX(연료전지_원본!$A$4:$KY$369,MATCH($A364,연료전지_원본!$A$4:$A$369,0),MATCH($BL$4,연료전지_원본!$A$4:$KY$4,0))</f>
        <v>0</v>
      </c>
      <c r="BM364" s="241">
        <f>INDEX(연료전지_원본!$A$4:$KY$369,MATCH($A364,연료전지_원본!$A$4:$A$369,0),MATCH($BM$4,연료전지_원본!$A$4:$KY$4,0))</f>
        <v>0</v>
      </c>
      <c r="BN364" s="241">
        <f>INDEX(연료전지_원본!$A$4:$KY$369,MATCH($A364,연료전지_원본!$A$4:$A$369,0),MATCH($BN$4,연료전지_원본!$A$4:$KY$4,0))</f>
        <v>0</v>
      </c>
      <c r="BO364" s="241">
        <f>INDEX(연료전지_원본!$A$4:$KY$369,MATCH($A364,연료전지_원본!$A$4:$A$369,0),MATCH($BO$4,연료전지_원본!$A$4:$KY$4,0))</f>
        <v>0</v>
      </c>
      <c r="BP364" s="241">
        <f>INDEX(연료전지_원본!$A$4:$KY$369,MATCH($A364,연료전지_원본!$A$4:$A$369,0),MATCH($BP$4,연료전지_원본!$A$4:$KY$4,0))</f>
        <v>0</v>
      </c>
      <c r="BQ364" s="241">
        <f>INDEX(연료전지_원본!$A$4:$KY$369,MATCH($A364,연료전지_원본!$A$4:$A$369,0),MATCH($BQ$4,연료전지_원본!$A$4:$KY$4,0))</f>
        <v>0</v>
      </c>
      <c r="BR364" s="241">
        <f>INDEX(연료전지_원본!$A$4:$KY$369,MATCH($A364,연료전지_원본!$A$4:$A$369,0),MATCH($BR$4,연료전지_원본!$A$4:$KY$4,0))</f>
        <v>0</v>
      </c>
      <c r="BS364" s="241">
        <f>INDEX(연료전지_원본!$A$4:$KY$369,MATCH($A364,연료전지_원본!$A$4:$A$369,0),MATCH($BS$4,연료전지_원본!$A$4:$KY$4,0))</f>
        <v>0</v>
      </c>
      <c r="BT364" s="241">
        <f>INDEX(연료전지_원본!$A$4:$KY$369,MATCH($A364,연료전지_원본!$A$4:$A$369,0),MATCH($BT$4,연료전지_원본!$A$4:$KY$4,0))</f>
        <v>0</v>
      </c>
      <c r="BU364" s="241">
        <f>INDEX(연료전지_원본!$A$4:$KY$369,MATCH($A364,연료전지_원본!$A$4:$A$369,0),MATCH($BU$4,연료전지_원본!$A$4:$KY$4,0))</f>
        <v>0</v>
      </c>
      <c r="BV364" s="241">
        <f>INDEX(연료전지_원본!$A$4:$KY$369,MATCH($A364,연료전지_원본!$A$4:$A$369,0),MATCH($BV$4,연료전지_원본!$A$4:$KY$4,0))</f>
        <v>0</v>
      </c>
      <c r="BW364" s="241">
        <f>INDEX(연료전지_원본!$A$4:$KY$369,MATCH($A364,연료전지_원본!$A$4:$A$369,0),MATCH($BW$4,연료전지_원본!$A$4:$KY$4,0))</f>
        <v>0</v>
      </c>
      <c r="BX364" s="241">
        <f>INDEX(연료전지_원본!$A$4:$KY$369,MATCH($A364,연료전지_원본!$A$4:$A$369,0),MATCH($BX$4,연료전지_원본!$A$4:$KY$4,0))</f>
        <v>0</v>
      </c>
      <c r="BY364" s="241">
        <f>INDEX(연료전지_원본!$A$4:$KY$369,MATCH($A364,연료전지_원본!$A$4:$A$369,0),MATCH($BY$4,연료전지_원본!$A$4:$KY$4,0))</f>
        <v>0</v>
      </c>
      <c r="BZ364" s="241">
        <f>INDEX(연료전지_원본!$A$4:$KY$369,MATCH($A364,연료전지_원본!$A$4:$A$369,0),MATCH($BZ$4,연료전지_원본!$A$4:$KY$4,0))</f>
        <v>0</v>
      </c>
      <c r="CA364" s="241">
        <f>INDEX(연료전지_원본!$A$4:$KY$369,MATCH($A364,연료전지_원본!$A$4:$A$369,0),MATCH($CA$4,연료전지_원본!$A$4:$KY$4,0))</f>
        <v>0</v>
      </c>
      <c r="CB364" s="241">
        <f>INDEX(연료전지_원본!$A$4:$KY$369,MATCH($A364,연료전지_원본!$A$4:$A$369,0),MATCH($CB$4,연료전지_원본!$A$4:$KY$4,0))</f>
        <v>0</v>
      </c>
      <c r="CC364" s="242">
        <f>INDEX(연료전지_원본!$A$4:$KY$369,MATCH($A364,연료전지_원본!$A$4:$A$369,0),MATCH($CC$4,연료전지_원본!$A$4:$KY$4,0))</f>
        <v>0</v>
      </c>
      <c r="CD364" s="250">
        <f>INDEX(연료전지_원본!$KB$4:$KX$369,MATCH($A364,연료전지_원본!$KB$4:$KB$369,0), MATCH(CD$4,연료전지_원본!$KB$4:$KX$4,0))*1000</f>
        <v>0</v>
      </c>
      <c r="CE364" s="250">
        <f>INDEX(연료전지_원본!$KB$4:$KX$369,MATCH($A364,연료전지_원본!$KB$4:$KB$369,0), MATCH(CE$4,연료전지_원본!$KB$4:$KX$4,0))*1000</f>
        <v>0</v>
      </c>
      <c r="CF364" s="250">
        <f>INDEX(연료전지_원본!$KB$4:$KX$369,MATCH($A364,연료전지_원본!$KB$4:$KB$369,0), MATCH(CF$4,연료전지_원본!$KB$4:$KX$4,0))*1000</f>
        <v>0</v>
      </c>
      <c r="CG364" s="250">
        <f>INDEX(연료전지_원본!$KB$4:$KX$369,MATCH($A364,연료전지_원본!$KB$4:$KB$369,0), MATCH(CG$4,연료전지_원본!$KB$4:$KX$4,0))*1000</f>
        <v>0</v>
      </c>
      <c r="CH364" s="250">
        <f>INDEX(연료전지_원본!$KB$4:$KX$369,MATCH($A364,연료전지_원본!$KB$4:$KB$369,0), MATCH(CH$4,연료전지_원본!$KB$4:$KX$4,0))*1000</f>
        <v>0</v>
      </c>
      <c r="CI364" s="250">
        <f>INDEX(연료전지_원본!$KB$4:$KX$369,MATCH($A364,연료전지_원본!$KB$4:$KB$369,0), MATCH(CI$4,연료전지_원본!$KB$4:$KX$4,0))*1000</f>
        <v>0</v>
      </c>
      <c r="CJ364" s="250">
        <f>INDEX(연료전지_원본!$KB$4:$KX$369,MATCH($A364,연료전지_원본!$KB$4:$KB$369,0), MATCH(CJ$4,연료전지_원본!$KB$4:$KX$4,0))*1000</f>
        <v>0</v>
      </c>
      <c r="CK364" s="250">
        <f>INDEX(연료전지_원본!$KB$4:$KX$369,MATCH($A364,연료전지_원본!$KB$4:$KB$369,0), MATCH(CK$4,연료전지_원본!$KB$4:$KX$4,0))*1000</f>
        <v>0</v>
      </c>
      <c r="CL364" s="250">
        <f>INDEX(연료전지_원본!$KB$4:$KX$369,MATCH($A364,연료전지_원본!$KB$4:$KB$369,0), MATCH(CL$4,연료전지_원본!$KB$4:$KX$4,0))*1000</f>
        <v>0</v>
      </c>
      <c r="CM364" s="250">
        <f>INDEX(연료전지_원본!$KB$4:$KX$369,MATCH($A364,연료전지_원본!$KB$4:$KB$369,0), MATCH(CM$4,연료전지_원본!$KB$4:$KX$4,0))*1000</f>
        <v>0</v>
      </c>
      <c r="CN364" s="250">
        <f>INDEX(연료전지_원본!$KB$4:$KX$369,MATCH($A364,연료전지_원본!$KB$4:$KB$369,0), MATCH(CN$4,연료전지_원본!$KB$4:$KX$4,0))*1000</f>
        <v>0</v>
      </c>
      <c r="CO364" s="250">
        <f>INDEX(연료전지_원본!$KB$4:$KX$369,MATCH($A364,연료전지_원본!$KB$4:$KB$369,0), MATCH(CO$4,연료전지_원본!$KB$4:$KX$4,0))*1000</f>
        <v>0</v>
      </c>
      <c r="CP364" s="250">
        <f>INDEX(연료전지_원본!$KB$4:$KX$369,MATCH($A364,연료전지_원본!$KB$4:$KB$369,0), MATCH(CP$4,연료전지_원본!$KB$4:$KX$4,0))*1000</f>
        <v>0</v>
      </c>
      <c r="CQ364" s="250">
        <f>INDEX(연료전지_원본!$KB$4:$KX$369,MATCH($A364,연료전지_원본!$KB$4:$KB$369,0), MATCH(CQ$4,연료전지_원본!$KB$4:$KX$4,0))*1000</f>
        <v>0</v>
      </c>
      <c r="CR364" s="250">
        <f>INDEX(연료전지_원본!$KB$4:$KX$369,MATCH($A364,연료전지_원본!$KB$4:$KB$369,0), MATCH(CR$4,연료전지_원본!$KB$4:$KX$4,0))*1000</f>
        <v>0</v>
      </c>
      <c r="CS364" s="250">
        <f>INDEX(연료전지_원본!$KB$4:$KX$369,MATCH($A364,연료전지_원본!$KB$4:$KB$369,0), MATCH(CS$4,연료전지_원본!$KB$4:$KX$4,0))*1000</f>
        <v>0</v>
      </c>
      <c r="CT364" s="250">
        <f>INDEX(연료전지_원본!$KB$4:$KX$369,MATCH($A364,연료전지_원본!$KB$4:$KB$369,0), MATCH(CT$4,연료전지_원본!$KB$4:$KX$4,0))*1000</f>
        <v>0</v>
      </c>
      <c r="CU364" s="250">
        <f>INDEX(연료전지_원본!$KB$4:$KX$369,MATCH($A364,연료전지_원본!$KB$4:$KB$369,0), MATCH(CU$4,연료전지_원본!$KB$4:$KX$4,0))*1000</f>
        <v>0</v>
      </c>
      <c r="CV364" s="250">
        <f>INDEX(연료전지_원본!$KB$4:$KX$369,MATCH($A364,연료전지_원본!$KB$4:$KB$369,0), MATCH(CV$4,연료전지_원본!$KB$4:$KX$4,0))*1000</f>
        <v>0</v>
      </c>
      <c r="CW364" s="250">
        <f>INDEX(연료전지_원본!$KB$4:$KX$369,MATCH($A364,연료전지_원본!$KB$4:$KB$369,0), MATCH(CW$4,연료전지_원본!$KB$4:$KX$4,0))*1000</f>
        <v>0</v>
      </c>
      <c r="CX364" s="250">
        <f>INDEX(연료전지_원본!$KB$4:$KX$369,MATCH($A364,연료전지_원본!$KB$4:$KB$369,0), MATCH(CX$4,연료전지_원본!$KB$4:$KX$4,0))*1000</f>
        <v>0</v>
      </c>
      <c r="CY364" s="250">
        <f>INDEX(연료전지_원본!$KB$4:$KX$369,MATCH($A364,연료전지_원본!$KB$4:$KB$369,0), MATCH(CY$4,연료전지_원본!$KB$4:$KX$4,0))*1000</f>
        <v>0</v>
      </c>
      <c r="DV364" s="30">
        <f t="shared" si="1947"/>
        <v>0</v>
      </c>
    </row>
    <row r="365" spans="1:126">
      <c r="A365" s="6">
        <v>46382</v>
      </c>
      <c r="B365" s="15">
        <f>운전실적_원본!B365</f>
        <v>0</v>
      </c>
      <c r="C365" s="16" t="str">
        <f t="shared" si="1953"/>
        <v/>
      </c>
      <c r="D365" s="12">
        <f>운전실적_원본!C365</f>
        <v>0</v>
      </c>
      <c r="E365" s="12" t="str">
        <f t="shared" si="1954"/>
        <v/>
      </c>
      <c r="F365" s="12">
        <f>운전실적_원본!D365</f>
        <v>0</v>
      </c>
      <c r="G365" s="16" t="str">
        <f t="shared" si="1955"/>
        <v/>
      </c>
      <c r="H365" s="15">
        <f>운전실적_원본!E365</f>
        <v>0</v>
      </c>
      <c r="I365" s="16" t="str">
        <f t="shared" si="1956"/>
        <v/>
      </c>
      <c r="J365" s="15">
        <f>운전실적_원본!F365</f>
        <v>0</v>
      </c>
      <c r="K365" s="16" t="str">
        <f t="shared" si="1956"/>
        <v/>
      </c>
      <c r="L365" s="32">
        <f>운전실적_원본!G365</f>
        <v>0</v>
      </c>
      <c r="M365" s="31" t="str">
        <f t="shared" ref="M365" si="1983">IF(OR(LEN(L365)=0,L365=0),"",L365-L364)</f>
        <v/>
      </c>
      <c r="N365" s="15">
        <f>운전실적_원본!H365</f>
        <v>0</v>
      </c>
      <c r="O365" s="16" t="str">
        <f t="shared" ref="O365" si="1984">IF(OR(LEN(N365)=0,N365=0),"",N365-N364)</f>
        <v/>
      </c>
      <c r="P365" s="15">
        <f>운전실적_원본!I365</f>
        <v>0</v>
      </c>
      <c r="Q365" s="16" t="str">
        <f t="shared" ref="Q365" si="1985">IF(OR(LEN(P365)=0,P365=0),"",P365-P364)</f>
        <v/>
      </c>
      <c r="R365" s="18">
        <f>운전실적_원본!J365</f>
        <v>0</v>
      </c>
      <c r="S365" s="19" t="str">
        <f t="shared" ref="S365" si="1986">IF(OR(LEN(R365)=0,R365=0),"",R365-R364)</f>
        <v/>
      </c>
      <c r="T365" s="18">
        <f>운전실적_원본!K365</f>
        <v>0</v>
      </c>
      <c r="U365" s="19" t="str">
        <f t="shared" si="1961"/>
        <v/>
      </c>
      <c r="V365" s="12">
        <f>운전실적_원본!L365</f>
        <v>0</v>
      </c>
      <c r="W365" s="16" t="str">
        <f t="shared" ref="W365" si="1987">IF(OR(LEN(V365)=0,V365=0),"",V365-V364)</f>
        <v/>
      </c>
      <c r="X365" s="10">
        <f>운전실적_원본!M365</f>
        <v>0</v>
      </c>
      <c r="Y365" s="10">
        <f>운전실적_원본!N365</f>
        <v>0</v>
      </c>
      <c r="Z365" s="10">
        <f>운전실적_원본!O365</f>
        <v>0</v>
      </c>
      <c r="AA365" s="10">
        <f>운전실적_원본!P365</f>
        <v>0</v>
      </c>
      <c r="AB365" s="10">
        <f>운전실적_원본!Q365</f>
        <v>0</v>
      </c>
      <c r="AC365" s="20">
        <f>운전실적_원본!R365</f>
        <v>0</v>
      </c>
      <c r="AD365" s="109">
        <f>운전실적_원본!S365</f>
        <v>0</v>
      </c>
      <c r="AE365" s="110">
        <f>운전실적_원본!T365</f>
        <v>0</v>
      </c>
      <c r="AF365" s="110">
        <f>운전실적_원본!U365</f>
        <v>0</v>
      </c>
      <c r="AG365" s="110">
        <f>운전실적_원본!V365</f>
        <v>0</v>
      </c>
      <c r="AH365" s="109">
        <f t="shared" si="1784"/>
        <v>0</v>
      </c>
      <c r="AI365" s="110">
        <f t="shared" si="1791"/>
        <v>0</v>
      </c>
      <c r="AJ365" s="110">
        <f>운전실적_원본!Y365</f>
        <v>0</v>
      </c>
      <c r="AK365" s="110">
        <f>운전실적_원본!Z365</f>
        <v>0</v>
      </c>
      <c r="AL365" s="106"/>
      <c r="AM365" s="105"/>
      <c r="AN365" s="105"/>
      <c r="AO365" s="105"/>
      <c r="AP365" s="105"/>
      <c r="AQ365" s="108"/>
      <c r="AR365" s="105"/>
      <c r="AS365" s="105"/>
      <c r="AT365" s="102"/>
      <c r="AU365" s="102"/>
      <c r="AV365" s="102"/>
      <c r="AW365" s="102"/>
      <c r="AX365" s="32">
        <f>운전실적_원본!W365</f>
        <v>0</v>
      </c>
      <c r="AY365" s="11">
        <f>운전실적_원본!X365</f>
        <v>0</v>
      </c>
      <c r="AZ365" s="11">
        <f>운전실적_원본!Y365</f>
        <v>0</v>
      </c>
      <c r="BA365" s="11">
        <f>운전실적_원본!Z365</f>
        <v>0</v>
      </c>
      <c r="BB365" s="11">
        <f>운전실적_원본!AA365</f>
        <v>0</v>
      </c>
      <c r="BC365" s="11">
        <f>운전실적_원본!AB365</f>
        <v>0</v>
      </c>
      <c r="BD365" s="32" t="str">
        <f t="shared" si="1777"/>
        <v>-</v>
      </c>
      <c r="BE365" s="11" t="str">
        <f t="shared" si="1785"/>
        <v>-</v>
      </c>
      <c r="BF365" s="11">
        <f>운전실적_원본!AE365</f>
        <v>0</v>
      </c>
      <c r="BG365" s="31">
        <f t="shared" si="1778"/>
        <v>0</v>
      </c>
      <c r="BH365" s="241">
        <f>INDEX(연료전지_원본!$A$4:$KY$369,MATCH($A365,연료전지_원본!$A$4:$A$369,0),MATCH($BH$4,연료전지_원본!$A$4:$KY$4,0))</f>
        <v>0</v>
      </c>
      <c r="BI365" s="241">
        <f>INDEX(연료전지_원본!$A$4:$KY$369,MATCH($A365,연료전지_원본!$A$4:$A$369,0),MATCH($BI$4,연료전지_원본!$A$4:$KY$4,0))</f>
        <v>0</v>
      </c>
      <c r="BJ365" s="241">
        <f>INDEX(연료전지_원본!$A$4:$KY$369,MATCH($A365,연료전지_원본!$A$4:$A$369,0),MATCH($BJ$4,연료전지_원본!$A$4:$KY$4,0))</f>
        <v>0</v>
      </c>
      <c r="BK365" s="241">
        <f>INDEX(연료전지_원본!$A$4:$KY$369,MATCH($A365,연료전지_원본!$A$4:$A$369,0),MATCH($BK$4,연료전지_원본!$A$4:$KY$4,0))</f>
        <v>0</v>
      </c>
      <c r="BL365" s="241">
        <f>INDEX(연료전지_원본!$A$4:$KY$369,MATCH($A365,연료전지_원본!$A$4:$A$369,0),MATCH($BL$4,연료전지_원본!$A$4:$KY$4,0))</f>
        <v>0</v>
      </c>
      <c r="BM365" s="241">
        <f>INDEX(연료전지_원본!$A$4:$KY$369,MATCH($A365,연료전지_원본!$A$4:$A$369,0),MATCH($BM$4,연료전지_원본!$A$4:$KY$4,0))</f>
        <v>0</v>
      </c>
      <c r="BN365" s="241">
        <f>INDEX(연료전지_원본!$A$4:$KY$369,MATCH($A365,연료전지_원본!$A$4:$A$369,0),MATCH($BN$4,연료전지_원본!$A$4:$KY$4,0))</f>
        <v>0</v>
      </c>
      <c r="BO365" s="241">
        <f>INDEX(연료전지_원본!$A$4:$KY$369,MATCH($A365,연료전지_원본!$A$4:$A$369,0),MATCH($BO$4,연료전지_원본!$A$4:$KY$4,0))</f>
        <v>0</v>
      </c>
      <c r="BP365" s="241">
        <f>INDEX(연료전지_원본!$A$4:$KY$369,MATCH($A365,연료전지_원본!$A$4:$A$369,0),MATCH($BP$4,연료전지_원본!$A$4:$KY$4,0))</f>
        <v>0</v>
      </c>
      <c r="BQ365" s="241">
        <f>INDEX(연료전지_원본!$A$4:$KY$369,MATCH($A365,연료전지_원본!$A$4:$A$369,0),MATCH($BQ$4,연료전지_원본!$A$4:$KY$4,0))</f>
        <v>0</v>
      </c>
      <c r="BR365" s="241">
        <f>INDEX(연료전지_원본!$A$4:$KY$369,MATCH($A365,연료전지_원본!$A$4:$A$369,0),MATCH($BR$4,연료전지_원본!$A$4:$KY$4,0))</f>
        <v>0</v>
      </c>
      <c r="BS365" s="241">
        <f>INDEX(연료전지_원본!$A$4:$KY$369,MATCH($A365,연료전지_원본!$A$4:$A$369,0),MATCH($BS$4,연료전지_원본!$A$4:$KY$4,0))</f>
        <v>0</v>
      </c>
      <c r="BT365" s="241">
        <f>INDEX(연료전지_원본!$A$4:$KY$369,MATCH($A365,연료전지_원본!$A$4:$A$369,0),MATCH($BT$4,연료전지_원본!$A$4:$KY$4,0))</f>
        <v>0</v>
      </c>
      <c r="BU365" s="241">
        <f>INDEX(연료전지_원본!$A$4:$KY$369,MATCH($A365,연료전지_원본!$A$4:$A$369,0),MATCH($BU$4,연료전지_원본!$A$4:$KY$4,0))</f>
        <v>0</v>
      </c>
      <c r="BV365" s="241">
        <f>INDEX(연료전지_원본!$A$4:$KY$369,MATCH($A365,연료전지_원본!$A$4:$A$369,0),MATCH($BV$4,연료전지_원본!$A$4:$KY$4,0))</f>
        <v>0</v>
      </c>
      <c r="BW365" s="241">
        <f>INDEX(연료전지_원본!$A$4:$KY$369,MATCH($A365,연료전지_원본!$A$4:$A$369,0),MATCH($BW$4,연료전지_원본!$A$4:$KY$4,0))</f>
        <v>0</v>
      </c>
      <c r="BX365" s="241">
        <f>INDEX(연료전지_원본!$A$4:$KY$369,MATCH($A365,연료전지_원본!$A$4:$A$369,0),MATCH($BX$4,연료전지_원본!$A$4:$KY$4,0))</f>
        <v>0</v>
      </c>
      <c r="BY365" s="241">
        <f>INDEX(연료전지_원본!$A$4:$KY$369,MATCH($A365,연료전지_원본!$A$4:$A$369,0),MATCH($BY$4,연료전지_원본!$A$4:$KY$4,0))</f>
        <v>0</v>
      </c>
      <c r="BZ365" s="241">
        <f>INDEX(연료전지_원본!$A$4:$KY$369,MATCH($A365,연료전지_원본!$A$4:$A$369,0),MATCH($BZ$4,연료전지_원본!$A$4:$KY$4,0))</f>
        <v>0</v>
      </c>
      <c r="CA365" s="241">
        <f>INDEX(연료전지_원본!$A$4:$KY$369,MATCH($A365,연료전지_원본!$A$4:$A$369,0),MATCH($CA$4,연료전지_원본!$A$4:$KY$4,0))</f>
        <v>0</v>
      </c>
      <c r="CB365" s="241">
        <f>INDEX(연료전지_원본!$A$4:$KY$369,MATCH($A365,연료전지_원본!$A$4:$A$369,0),MATCH($CB$4,연료전지_원본!$A$4:$KY$4,0))</f>
        <v>0</v>
      </c>
      <c r="CC365" s="242">
        <f>INDEX(연료전지_원본!$A$4:$KY$369,MATCH($A365,연료전지_원본!$A$4:$A$369,0),MATCH($CC$4,연료전지_원본!$A$4:$KY$4,0))</f>
        <v>0</v>
      </c>
      <c r="CD365" s="250">
        <f>INDEX(연료전지_원본!$KB$4:$KX$369,MATCH($A365,연료전지_원본!$KB$4:$KB$369,0), MATCH(CD$4,연료전지_원본!$KB$4:$KX$4,0))*1000</f>
        <v>0</v>
      </c>
      <c r="CE365" s="250">
        <f>INDEX(연료전지_원본!$KB$4:$KX$369,MATCH($A365,연료전지_원본!$KB$4:$KB$369,0), MATCH(CE$4,연료전지_원본!$KB$4:$KX$4,0))*1000</f>
        <v>0</v>
      </c>
      <c r="CF365" s="250">
        <f>INDEX(연료전지_원본!$KB$4:$KX$369,MATCH($A365,연료전지_원본!$KB$4:$KB$369,0), MATCH(CF$4,연료전지_원본!$KB$4:$KX$4,0))*1000</f>
        <v>0</v>
      </c>
      <c r="CG365" s="250">
        <f>INDEX(연료전지_원본!$KB$4:$KX$369,MATCH($A365,연료전지_원본!$KB$4:$KB$369,0), MATCH(CG$4,연료전지_원본!$KB$4:$KX$4,0))*1000</f>
        <v>0</v>
      </c>
      <c r="CH365" s="250">
        <f>INDEX(연료전지_원본!$KB$4:$KX$369,MATCH($A365,연료전지_원본!$KB$4:$KB$369,0), MATCH(CH$4,연료전지_원본!$KB$4:$KX$4,0))*1000</f>
        <v>0</v>
      </c>
      <c r="CI365" s="250">
        <f>INDEX(연료전지_원본!$KB$4:$KX$369,MATCH($A365,연료전지_원본!$KB$4:$KB$369,0), MATCH(CI$4,연료전지_원본!$KB$4:$KX$4,0))*1000</f>
        <v>0</v>
      </c>
      <c r="CJ365" s="250">
        <f>INDEX(연료전지_원본!$KB$4:$KX$369,MATCH($A365,연료전지_원본!$KB$4:$KB$369,0), MATCH(CJ$4,연료전지_원본!$KB$4:$KX$4,0))*1000</f>
        <v>0</v>
      </c>
      <c r="CK365" s="250">
        <f>INDEX(연료전지_원본!$KB$4:$KX$369,MATCH($A365,연료전지_원본!$KB$4:$KB$369,0), MATCH(CK$4,연료전지_원본!$KB$4:$KX$4,0))*1000</f>
        <v>0</v>
      </c>
      <c r="CL365" s="250">
        <f>INDEX(연료전지_원본!$KB$4:$KX$369,MATCH($A365,연료전지_원본!$KB$4:$KB$369,0), MATCH(CL$4,연료전지_원본!$KB$4:$KX$4,0))*1000</f>
        <v>0</v>
      </c>
      <c r="CM365" s="250">
        <f>INDEX(연료전지_원본!$KB$4:$KX$369,MATCH($A365,연료전지_원본!$KB$4:$KB$369,0), MATCH(CM$4,연료전지_원본!$KB$4:$KX$4,0))*1000</f>
        <v>0</v>
      </c>
      <c r="CN365" s="250">
        <f>INDEX(연료전지_원본!$KB$4:$KX$369,MATCH($A365,연료전지_원본!$KB$4:$KB$369,0), MATCH(CN$4,연료전지_원본!$KB$4:$KX$4,0))*1000</f>
        <v>0</v>
      </c>
      <c r="CO365" s="250">
        <f>INDEX(연료전지_원본!$KB$4:$KX$369,MATCH($A365,연료전지_원본!$KB$4:$KB$369,0), MATCH(CO$4,연료전지_원본!$KB$4:$KX$4,0))*1000</f>
        <v>0</v>
      </c>
      <c r="CP365" s="250">
        <f>INDEX(연료전지_원본!$KB$4:$KX$369,MATCH($A365,연료전지_원본!$KB$4:$KB$369,0), MATCH(CP$4,연료전지_원본!$KB$4:$KX$4,0))*1000</f>
        <v>0</v>
      </c>
      <c r="CQ365" s="250">
        <f>INDEX(연료전지_원본!$KB$4:$KX$369,MATCH($A365,연료전지_원본!$KB$4:$KB$369,0), MATCH(CQ$4,연료전지_원본!$KB$4:$KX$4,0))*1000</f>
        <v>0</v>
      </c>
      <c r="CR365" s="250">
        <f>INDEX(연료전지_원본!$KB$4:$KX$369,MATCH($A365,연료전지_원본!$KB$4:$KB$369,0), MATCH(CR$4,연료전지_원본!$KB$4:$KX$4,0))*1000</f>
        <v>0</v>
      </c>
      <c r="CS365" s="250">
        <f>INDEX(연료전지_원본!$KB$4:$KX$369,MATCH($A365,연료전지_원본!$KB$4:$KB$369,0), MATCH(CS$4,연료전지_원본!$KB$4:$KX$4,0))*1000</f>
        <v>0</v>
      </c>
      <c r="CT365" s="250">
        <f>INDEX(연료전지_원본!$KB$4:$KX$369,MATCH($A365,연료전지_원본!$KB$4:$KB$369,0), MATCH(CT$4,연료전지_원본!$KB$4:$KX$4,0))*1000</f>
        <v>0</v>
      </c>
      <c r="CU365" s="250">
        <f>INDEX(연료전지_원본!$KB$4:$KX$369,MATCH($A365,연료전지_원본!$KB$4:$KB$369,0), MATCH(CU$4,연료전지_원본!$KB$4:$KX$4,0))*1000</f>
        <v>0</v>
      </c>
      <c r="CV365" s="250">
        <f>INDEX(연료전지_원본!$KB$4:$KX$369,MATCH($A365,연료전지_원본!$KB$4:$KB$369,0), MATCH(CV$4,연료전지_원본!$KB$4:$KX$4,0))*1000</f>
        <v>0</v>
      </c>
      <c r="CW365" s="250">
        <f>INDEX(연료전지_원본!$KB$4:$KX$369,MATCH($A365,연료전지_원본!$KB$4:$KB$369,0), MATCH(CW$4,연료전지_원본!$KB$4:$KX$4,0))*1000</f>
        <v>0</v>
      </c>
      <c r="CX365" s="250">
        <f>INDEX(연료전지_원본!$KB$4:$KX$369,MATCH($A365,연료전지_원본!$KB$4:$KB$369,0), MATCH(CX$4,연료전지_원본!$KB$4:$KX$4,0))*1000</f>
        <v>0</v>
      </c>
      <c r="CY365" s="250">
        <f>INDEX(연료전지_원본!$KB$4:$KX$369,MATCH($A365,연료전지_원본!$KB$4:$KB$369,0), MATCH(CY$4,연료전지_원본!$KB$4:$KX$4,0))*1000</f>
        <v>0</v>
      </c>
      <c r="DV365" s="30">
        <f t="shared" si="1947"/>
        <v>0</v>
      </c>
    </row>
    <row r="366" spans="1:126">
      <c r="A366" s="6">
        <v>46383</v>
      </c>
      <c r="B366" s="15">
        <f>운전실적_원본!B366</f>
        <v>0</v>
      </c>
      <c r="C366" s="16" t="str">
        <f t="shared" si="1953"/>
        <v/>
      </c>
      <c r="D366" s="12">
        <f>운전실적_원본!C366</f>
        <v>0</v>
      </c>
      <c r="E366" s="12" t="str">
        <f t="shared" si="1954"/>
        <v/>
      </c>
      <c r="F366" s="12">
        <f>운전실적_원본!D366</f>
        <v>0</v>
      </c>
      <c r="G366" s="16" t="str">
        <f t="shared" si="1955"/>
        <v/>
      </c>
      <c r="H366" s="15">
        <f>운전실적_원본!E366</f>
        <v>0</v>
      </c>
      <c r="I366" s="16" t="str">
        <f t="shared" si="1956"/>
        <v/>
      </c>
      <c r="J366" s="15">
        <f>운전실적_원본!F366</f>
        <v>0</v>
      </c>
      <c r="K366" s="16" t="str">
        <f t="shared" si="1956"/>
        <v/>
      </c>
      <c r="L366" s="32">
        <f>운전실적_원본!G366</f>
        <v>0</v>
      </c>
      <c r="M366" s="31" t="str">
        <f t="shared" ref="M366" si="1988">IF(OR(LEN(L366)=0,L366=0),"",L366-L365)</f>
        <v/>
      </c>
      <c r="N366" s="15">
        <f>운전실적_원본!H366</f>
        <v>0</v>
      </c>
      <c r="O366" s="16" t="str">
        <f t="shared" ref="O366" si="1989">IF(OR(LEN(N366)=0,N366=0),"",N366-N365)</f>
        <v/>
      </c>
      <c r="P366" s="15">
        <f>운전실적_원본!I366</f>
        <v>0</v>
      </c>
      <c r="Q366" s="16" t="str">
        <f t="shared" ref="Q366" si="1990">IF(OR(LEN(P366)=0,P366=0),"",P366-P365)</f>
        <v/>
      </c>
      <c r="R366" s="18">
        <f>운전실적_원본!J366</f>
        <v>0</v>
      </c>
      <c r="S366" s="19" t="str">
        <f t="shared" ref="S366" si="1991">IF(OR(LEN(R366)=0,R366=0),"",R366-R365)</f>
        <v/>
      </c>
      <c r="T366" s="18">
        <f>운전실적_원본!K366</f>
        <v>0</v>
      </c>
      <c r="U366" s="19" t="str">
        <f t="shared" si="1961"/>
        <v/>
      </c>
      <c r="V366" s="12">
        <f>운전실적_원본!L366</f>
        <v>0</v>
      </c>
      <c r="W366" s="16" t="str">
        <f t="shared" ref="W366" si="1992">IF(OR(LEN(V366)=0,V366=0),"",V366-V365)</f>
        <v/>
      </c>
      <c r="X366" s="10">
        <f>운전실적_원본!M366</f>
        <v>0</v>
      </c>
      <c r="Y366" s="10">
        <f>운전실적_원본!N366</f>
        <v>0</v>
      </c>
      <c r="Z366" s="10">
        <f>운전실적_원본!O366</f>
        <v>0</v>
      </c>
      <c r="AA366" s="10">
        <f>운전실적_원본!P366</f>
        <v>0</v>
      </c>
      <c r="AB366" s="10">
        <f>운전실적_원본!Q366</f>
        <v>0</v>
      </c>
      <c r="AC366" s="20">
        <f>운전실적_원본!R366</f>
        <v>0</v>
      </c>
      <c r="AD366" s="109">
        <f>운전실적_원본!S366</f>
        <v>0</v>
      </c>
      <c r="AE366" s="110">
        <f>운전실적_원본!T366</f>
        <v>0</v>
      </c>
      <c r="AF366" s="110">
        <f>운전실적_원본!U366</f>
        <v>0</v>
      </c>
      <c r="AG366" s="110">
        <f>운전실적_원본!V366</f>
        <v>0</v>
      </c>
      <c r="AH366" s="109">
        <f t="shared" si="1784"/>
        <v>0</v>
      </c>
      <c r="AI366" s="110">
        <f t="shared" si="1791"/>
        <v>0</v>
      </c>
      <c r="AJ366" s="110">
        <f>운전실적_원본!Y366</f>
        <v>0</v>
      </c>
      <c r="AK366" s="110">
        <f>운전실적_원본!Z366</f>
        <v>0</v>
      </c>
      <c r="AL366" s="106"/>
      <c r="AM366" s="105"/>
      <c r="AN366" s="105"/>
      <c r="AO366" s="105"/>
      <c r="AP366" s="105"/>
      <c r="AQ366" s="108"/>
      <c r="AR366" s="105"/>
      <c r="AS366" s="105"/>
      <c r="AT366" s="102"/>
      <c r="AU366" s="102"/>
      <c r="AV366" s="102"/>
      <c r="AW366" s="102"/>
      <c r="AX366" s="32">
        <f>운전실적_원본!W366</f>
        <v>0</v>
      </c>
      <c r="AY366" s="11">
        <f>운전실적_원본!X366</f>
        <v>0</v>
      </c>
      <c r="AZ366" s="11">
        <f>운전실적_원본!Y366</f>
        <v>0</v>
      </c>
      <c r="BA366" s="11">
        <f>운전실적_원본!Z366</f>
        <v>0</v>
      </c>
      <c r="BB366" s="11">
        <f>운전실적_원본!AA366</f>
        <v>0</v>
      </c>
      <c r="BC366" s="11">
        <f>운전실적_원본!AB366</f>
        <v>0</v>
      </c>
      <c r="BD366" s="32" t="str">
        <f t="shared" si="1777"/>
        <v>-</v>
      </c>
      <c r="BE366" s="11" t="str">
        <f t="shared" si="1785"/>
        <v>-</v>
      </c>
      <c r="BF366" s="11">
        <f>운전실적_원본!AE366</f>
        <v>0</v>
      </c>
      <c r="BG366" s="31">
        <f t="shared" si="1778"/>
        <v>0</v>
      </c>
      <c r="BH366" s="241">
        <f>INDEX(연료전지_원본!$A$4:$KY$369,MATCH($A366,연료전지_원본!$A$4:$A$369,0),MATCH($BH$4,연료전지_원본!$A$4:$KY$4,0))</f>
        <v>0</v>
      </c>
      <c r="BI366" s="241">
        <f>INDEX(연료전지_원본!$A$4:$KY$369,MATCH($A366,연료전지_원본!$A$4:$A$369,0),MATCH($BI$4,연료전지_원본!$A$4:$KY$4,0))</f>
        <v>0</v>
      </c>
      <c r="BJ366" s="241">
        <f>INDEX(연료전지_원본!$A$4:$KY$369,MATCH($A366,연료전지_원본!$A$4:$A$369,0),MATCH($BJ$4,연료전지_원본!$A$4:$KY$4,0))</f>
        <v>0</v>
      </c>
      <c r="BK366" s="241">
        <f>INDEX(연료전지_원본!$A$4:$KY$369,MATCH($A366,연료전지_원본!$A$4:$A$369,0),MATCH($BK$4,연료전지_원본!$A$4:$KY$4,0))</f>
        <v>0</v>
      </c>
      <c r="BL366" s="241">
        <f>INDEX(연료전지_원본!$A$4:$KY$369,MATCH($A366,연료전지_원본!$A$4:$A$369,0),MATCH($BL$4,연료전지_원본!$A$4:$KY$4,0))</f>
        <v>0</v>
      </c>
      <c r="BM366" s="241">
        <f>INDEX(연료전지_원본!$A$4:$KY$369,MATCH($A366,연료전지_원본!$A$4:$A$369,0),MATCH($BM$4,연료전지_원본!$A$4:$KY$4,0))</f>
        <v>0</v>
      </c>
      <c r="BN366" s="241">
        <f>INDEX(연료전지_원본!$A$4:$KY$369,MATCH($A366,연료전지_원본!$A$4:$A$369,0),MATCH($BN$4,연료전지_원본!$A$4:$KY$4,0))</f>
        <v>0</v>
      </c>
      <c r="BO366" s="241">
        <f>INDEX(연료전지_원본!$A$4:$KY$369,MATCH($A366,연료전지_원본!$A$4:$A$369,0),MATCH($BO$4,연료전지_원본!$A$4:$KY$4,0))</f>
        <v>0</v>
      </c>
      <c r="BP366" s="241">
        <f>INDEX(연료전지_원본!$A$4:$KY$369,MATCH($A366,연료전지_원본!$A$4:$A$369,0),MATCH($BP$4,연료전지_원본!$A$4:$KY$4,0))</f>
        <v>0</v>
      </c>
      <c r="BQ366" s="241">
        <f>INDEX(연료전지_원본!$A$4:$KY$369,MATCH($A366,연료전지_원본!$A$4:$A$369,0),MATCH($BQ$4,연료전지_원본!$A$4:$KY$4,0))</f>
        <v>0</v>
      </c>
      <c r="BR366" s="241">
        <f>INDEX(연료전지_원본!$A$4:$KY$369,MATCH($A366,연료전지_원본!$A$4:$A$369,0),MATCH($BR$4,연료전지_원본!$A$4:$KY$4,0))</f>
        <v>0</v>
      </c>
      <c r="BS366" s="241">
        <f>INDEX(연료전지_원본!$A$4:$KY$369,MATCH($A366,연료전지_원본!$A$4:$A$369,0),MATCH($BS$4,연료전지_원본!$A$4:$KY$4,0))</f>
        <v>0</v>
      </c>
      <c r="BT366" s="241">
        <f>INDEX(연료전지_원본!$A$4:$KY$369,MATCH($A366,연료전지_원본!$A$4:$A$369,0),MATCH($BT$4,연료전지_원본!$A$4:$KY$4,0))</f>
        <v>0</v>
      </c>
      <c r="BU366" s="241">
        <f>INDEX(연료전지_원본!$A$4:$KY$369,MATCH($A366,연료전지_원본!$A$4:$A$369,0),MATCH($BU$4,연료전지_원본!$A$4:$KY$4,0))</f>
        <v>0</v>
      </c>
      <c r="BV366" s="241">
        <f>INDEX(연료전지_원본!$A$4:$KY$369,MATCH($A366,연료전지_원본!$A$4:$A$369,0),MATCH($BV$4,연료전지_원본!$A$4:$KY$4,0))</f>
        <v>0</v>
      </c>
      <c r="BW366" s="241">
        <f>INDEX(연료전지_원본!$A$4:$KY$369,MATCH($A366,연료전지_원본!$A$4:$A$369,0),MATCH($BW$4,연료전지_원본!$A$4:$KY$4,0))</f>
        <v>0</v>
      </c>
      <c r="BX366" s="241">
        <f>INDEX(연료전지_원본!$A$4:$KY$369,MATCH($A366,연료전지_원본!$A$4:$A$369,0),MATCH($BX$4,연료전지_원본!$A$4:$KY$4,0))</f>
        <v>0</v>
      </c>
      <c r="BY366" s="241">
        <f>INDEX(연료전지_원본!$A$4:$KY$369,MATCH($A366,연료전지_원본!$A$4:$A$369,0),MATCH($BY$4,연료전지_원본!$A$4:$KY$4,0))</f>
        <v>0</v>
      </c>
      <c r="BZ366" s="241">
        <f>INDEX(연료전지_원본!$A$4:$KY$369,MATCH($A366,연료전지_원본!$A$4:$A$369,0),MATCH($BZ$4,연료전지_원본!$A$4:$KY$4,0))</f>
        <v>0</v>
      </c>
      <c r="CA366" s="241">
        <f>INDEX(연료전지_원본!$A$4:$KY$369,MATCH($A366,연료전지_원본!$A$4:$A$369,0),MATCH($CA$4,연료전지_원본!$A$4:$KY$4,0))</f>
        <v>0</v>
      </c>
      <c r="CB366" s="241">
        <f>INDEX(연료전지_원본!$A$4:$KY$369,MATCH($A366,연료전지_원본!$A$4:$A$369,0),MATCH($CB$4,연료전지_원본!$A$4:$KY$4,0))</f>
        <v>0</v>
      </c>
      <c r="CC366" s="242">
        <f>INDEX(연료전지_원본!$A$4:$KY$369,MATCH($A366,연료전지_원본!$A$4:$A$369,0),MATCH($CC$4,연료전지_원본!$A$4:$KY$4,0))</f>
        <v>0</v>
      </c>
      <c r="CD366" s="250">
        <f>INDEX(연료전지_원본!$KB$4:$KX$369,MATCH($A366,연료전지_원본!$KB$4:$KB$369,0), MATCH(CD$4,연료전지_원본!$KB$4:$KX$4,0))*1000</f>
        <v>0</v>
      </c>
      <c r="CE366" s="250">
        <f>INDEX(연료전지_원본!$KB$4:$KX$369,MATCH($A366,연료전지_원본!$KB$4:$KB$369,0), MATCH(CE$4,연료전지_원본!$KB$4:$KX$4,0))*1000</f>
        <v>0</v>
      </c>
      <c r="CF366" s="250">
        <f>INDEX(연료전지_원본!$KB$4:$KX$369,MATCH($A366,연료전지_원본!$KB$4:$KB$369,0), MATCH(CF$4,연료전지_원본!$KB$4:$KX$4,0))*1000</f>
        <v>0</v>
      </c>
      <c r="CG366" s="250">
        <f>INDEX(연료전지_원본!$KB$4:$KX$369,MATCH($A366,연료전지_원본!$KB$4:$KB$369,0), MATCH(CG$4,연료전지_원본!$KB$4:$KX$4,0))*1000</f>
        <v>0</v>
      </c>
      <c r="CH366" s="250">
        <f>INDEX(연료전지_원본!$KB$4:$KX$369,MATCH($A366,연료전지_원본!$KB$4:$KB$369,0), MATCH(CH$4,연료전지_원본!$KB$4:$KX$4,0))*1000</f>
        <v>0</v>
      </c>
      <c r="CI366" s="250">
        <f>INDEX(연료전지_원본!$KB$4:$KX$369,MATCH($A366,연료전지_원본!$KB$4:$KB$369,0), MATCH(CI$4,연료전지_원본!$KB$4:$KX$4,0))*1000</f>
        <v>0</v>
      </c>
      <c r="CJ366" s="250">
        <f>INDEX(연료전지_원본!$KB$4:$KX$369,MATCH($A366,연료전지_원본!$KB$4:$KB$369,0), MATCH(CJ$4,연료전지_원본!$KB$4:$KX$4,0))*1000</f>
        <v>0</v>
      </c>
      <c r="CK366" s="250">
        <f>INDEX(연료전지_원본!$KB$4:$KX$369,MATCH($A366,연료전지_원본!$KB$4:$KB$369,0), MATCH(CK$4,연료전지_원본!$KB$4:$KX$4,0))*1000</f>
        <v>0</v>
      </c>
      <c r="CL366" s="250">
        <f>INDEX(연료전지_원본!$KB$4:$KX$369,MATCH($A366,연료전지_원본!$KB$4:$KB$369,0), MATCH(CL$4,연료전지_원본!$KB$4:$KX$4,0))*1000</f>
        <v>0</v>
      </c>
      <c r="CM366" s="250">
        <f>INDEX(연료전지_원본!$KB$4:$KX$369,MATCH($A366,연료전지_원본!$KB$4:$KB$369,0), MATCH(CM$4,연료전지_원본!$KB$4:$KX$4,0))*1000</f>
        <v>0</v>
      </c>
      <c r="CN366" s="250">
        <f>INDEX(연료전지_원본!$KB$4:$KX$369,MATCH($A366,연료전지_원본!$KB$4:$KB$369,0), MATCH(CN$4,연료전지_원본!$KB$4:$KX$4,0))*1000</f>
        <v>0</v>
      </c>
      <c r="CO366" s="250">
        <f>INDEX(연료전지_원본!$KB$4:$KX$369,MATCH($A366,연료전지_원본!$KB$4:$KB$369,0), MATCH(CO$4,연료전지_원본!$KB$4:$KX$4,0))*1000</f>
        <v>0</v>
      </c>
      <c r="CP366" s="250">
        <f>INDEX(연료전지_원본!$KB$4:$KX$369,MATCH($A366,연료전지_원본!$KB$4:$KB$369,0), MATCH(CP$4,연료전지_원본!$KB$4:$KX$4,0))*1000</f>
        <v>0</v>
      </c>
      <c r="CQ366" s="250">
        <f>INDEX(연료전지_원본!$KB$4:$KX$369,MATCH($A366,연료전지_원본!$KB$4:$KB$369,0), MATCH(CQ$4,연료전지_원본!$KB$4:$KX$4,0))*1000</f>
        <v>0</v>
      </c>
      <c r="CR366" s="250">
        <f>INDEX(연료전지_원본!$KB$4:$KX$369,MATCH($A366,연료전지_원본!$KB$4:$KB$369,0), MATCH(CR$4,연료전지_원본!$KB$4:$KX$4,0))*1000</f>
        <v>0</v>
      </c>
      <c r="CS366" s="250">
        <f>INDEX(연료전지_원본!$KB$4:$KX$369,MATCH($A366,연료전지_원본!$KB$4:$KB$369,0), MATCH(CS$4,연료전지_원본!$KB$4:$KX$4,0))*1000</f>
        <v>0</v>
      </c>
      <c r="CT366" s="250">
        <f>INDEX(연료전지_원본!$KB$4:$KX$369,MATCH($A366,연료전지_원본!$KB$4:$KB$369,0), MATCH(CT$4,연료전지_원본!$KB$4:$KX$4,0))*1000</f>
        <v>0</v>
      </c>
      <c r="CU366" s="250">
        <f>INDEX(연료전지_원본!$KB$4:$KX$369,MATCH($A366,연료전지_원본!$KB$4:$KB$369,0), MATCH(CU$4,연료전지_원본!$KB$4:$KX$4,0))*1000</f>
        <v>0</v>
      </c>
      <c r="CV366" s="250">
        <f>INDEX(연료전지_원본!$KB$4:$KX$369,MATCH($A366,연료전지_원본!$KB$4:$KB$369,0), MATCH(CV$4,연료전지_원본!$KB$4:$KX$4,0))*1000</f>
        <v>0</v>
      </c>
      <c r="CW366" s="250">
        <f>INDEX(연료전지_원본!$KB$4:$KX$369,MATCH($A366,연료전지_원본!$KB$4:$KB$369,0), MATCH(CW$4,연료전지_원본!$KB$4:$KX$4,0))*1000</f>
        <v>0</v>
      </c>
      <c r="CX366" s="250">
        <f>INDEX(연료전지_원본!$KB$4:$KX$369,MATCH($A366,연료전지_원본!$KB$4:$KB$369,0), MATCH(CX$4,연료전지_원본!$KB$4:$KX$4,0))*1000</f>
        <v>0</v>
      </c>
      <c r="CY366" s="250">
        <f>INDEX(연료전지_원본!$KB$4:$KX$369,MATCH($A366,연료전지_원본!$KB$4:$KB$369,0), MATCH(CY$4,연료전지_원본!$KB$4:$KX$4,0))*1000</f>
        <v>0</v>
      </c>
      <c r="DV366" s="30">
        <f t="shared" si="1947"/>
        <v>0</v>
      </c>
    </row>
    <row r="367" spans="1:126">
      <c r="A367" s="6">
        <v>46384</v>
      </c>
      <c r="B367" s="15">
        <f>운전실적_원본!B367</f>
        <v>0</v>
      </c>
      <c r="C367" s="16" t="str">
        <f t="shared" si="1953"/>
        <v/>
      </c>
      <c r="D367" s="12">
        <f>운전실적_원본!C367</f>
        <v>0</v>
      </c>
      <c r="E367" s="12" t="str">
        <f t="shared" si="1954"/>
        <v/>
      </c>
      <c r="F367" s="12">
        <f>운전실적_원본!D367</f>
        <v>0</v>
      </c>
      <c r="G367" s="16" t="str">
        <f t="shared" si="1955"/>
        <v/>
      </c>
      <c r="H367" s="15">
        <f>운전실적_원본!E367</f>
        <v>0</v>
      </c>
      <c r="I367" s="16" t="str">
        <f t="shared" si="1956"/>
        <v/>
      </c>
      <c r="J367" s="15">
        <f>운전실적_원본!F367</f>
        <v>0</v>
      </c>
      <c r="K367" s="16" t="str">
        <f t="shared" si="1956"/>
        <v/>
      </c>
      <c r="L367" s="32">
        <f>운전실적_원본!G367</f>
        <v>0</v>
      </c>
      <c r="M367" s="31" t="str">
        <f t="shared" ref="M367" si="1993">IF(OR(LEN(L367)=0,L367=0),"",L367-L366)</f>
        <v/>
      </c>
      <c r="N367" s="15">
        <f>운전실적_원본!H367</f>
        <v>0</v>
      </c>
      <c r="O367" s="16" t="str">
        <f t="shared" ref="O367" si="1994">IF(OR(LEN(N367)=0,N367=0),"",N367-N366)</f>
        <v/>
      </c>
      <c r="P367" s="15">
        <f>운전실적_원본!I367</f>
        <v>0</v>
      </c>
      <c r="Q367" s="16" t="str">
        <f t="shared" ref="Q367" si="1995">IF(OR(LEN(P367)=0,P367=0),"",P367-P366)</f>
        <v/>
      </c>
      <c r="R367" s="18">
        <f>운전실적_원본!J367</f>
        <v>0</v>
      </c>
      <c r="S367" s="19" t="str">
        <f t="shared" ref="S367" si="1996">IF(OR(LEN(R367)=0,R367=0),"",R367-R366)</f>
        <v/>
      </c>
      <c r="T367" s="18">
        <f>운전실적_원본!K367</f>
        <v>0</v>
      </c>
      <c r="U367" s="19" t="str">
        <f t="shared" si="1961"/>
        <v/>
      </c>
      <c r="V367" s="12">
        <f>운전실적_원본!L367</f>
        <v>0</v>
      </c>
      <c r="W367" s="16" t="str">
        <f t="shared" ref="W367" si="1997">IF(OR(LEN(V367)=0,V367=0),"",V367-V366)</f>
        <v/>
      </c>
      <c r="X367" s="10">
        <f>운전실적_원본!M367</f>
        <v>0</v>
      </c>
      <c r="Y367" s="10">
        <f>운전실적_원본!N367</f>
        <v>0</v>
      </c>
      <c r="Z367" s="10">
        <f>운전실적_원본!O367</f>
        <v>0</v>
      </c>
      <c r="AA367" s="10">
        <f>운전실적_원본!P367</f>
        <v>0</v>
      </c>
      <c r="AB367" s="10">
        <f>운전실적_원본!Q367</f>
        <v>0</v>
      </c>
      <c r="AC367" s="20">
        <f>운전실적_원본!R367</f>
        <v>0</v>
      </c>
      <c r="AD367" s="109">
        <f>운전실적_원본!S367</f>
        <v>0</v>
      </c>
      <c r="AE367" s="110">
        <f>운전실적_원본!T367</f>
        <v>0</v>
      </c>
      <c r="AF367" s="110">
        <f>운전실적_원본!U367</f>
        <v>0</v>
      </c>
      <c r="AG367" s="110">
        <f>운전실적_원본!V367</f>
        <v>0</v>
      </c>
      <c r="AH367" s="109">
        <f t="shared" si="1784"/>
        <v>0</v>
      </c>
      <c r="AI367" s="110">
        <f t="shared" si="1791"/>
        <v>0</v>
      </c>
      <c r="AJ367" s="110">
        <f>운전실적_원본!Y367</f>
        <v>0</v>
      </c>
      <c r="AK367" s="110">
        <f>운전실적_원본!Z367</f>
        <v>0</v>
      </c>
      <c r="AL367" s="106"/>
      <c r="AM367" s="105"/>
      <c r="AN367" s="105"/>
      <c r="AO367" s="105"/>
      <c r="AP367" s="105"/>
      <c r="AQ367" s="108"/>
      <c r="AR367" s="105"/>
      <c r="AS367" s="105"/>
      <c r="AT367" s="102"/>
      <c r="AU367" s="102"/>
      <c r="AV367" s="102"/>
      <c r="AW367" s="102"/>
      <c r="AX367" s="32">
        <f>운전실적_원본!W367</f>
        <v>0</v>
      </c>
      <c r="AY367" s="11">
        <f>운전실적_원본!X367</f>
        <v>0</v>
      </c>
      <c r="AZ367" s="11">
        <f>운전실적_원본!Y367</f>
        <v>0</v>
      </c>
      <c r="BA367" s="11">
        <f>운전실적_원본!Z367</f>
        <v>0</v>
      </c>
      <c r="BB367" s="11">
        <f>운전실적_원본!AA367</f>
        <v>0</v>
      </c>
      <c r="BC367" s="11">
        <f>운전실적_원본!AB367</f>
        <v>0</v>
      </c>
      <c r="BD367" s="32" t="str">
        <f t="shared" si="1777"/>
        <v>-</v>
      </c>
      <c r="BE367" s="11" t="str">
        <f t="shared" si="1785"/>
        <v>-</v>
      </c>
      <c r="BF367" s="11">
        <f>운전실적_원본!AE367</f>
        <v>0</v>
      </c>
      <c r="BG367" s="31">
        <f t="shared" si="1778"/>
        <v>0</v>
      </c>
      <c r="BH367" s="241">
        <f>INDEX(연료전지_원본!$A$4:$KY$369,MATCH($A367,연료전지_원본!$A$4:$A$369,0),MATCH($BH$4,연료전지_원본!$A$4:$KY$4,0))</f>
        <v>0</v>
      </c>
      <c r="BI367" s="241">
        <f>INDEX(연료전지_원본!$A$4:$KY$369,MATCH($A367,연료전지_원본!$A$4:$A$369,0),MATCH($BI$4,연료전지_원본!$A$4:$KY$4,0))</f>
        <v>0</v>
      </c>
      <c r="BJ367" s="241">
        <f>INDEX(연료전지_원본!$A$4:$KY$369,MATCH($A367,연료전지_원본!$A$4:$A$369,0),MATCH($BJ$4,연료전지_원본!$A$4:$KY$4,0))</f>
        <v>0</v>
      </c>
      <c r="BK367" s="241">
        <f>INDEX(연료전지_원본!$A$4:$KY$369,MATCH($A367,연료전지_원본!$A$4:$A$369,0),MATCH($BK$4,연료전지_원본!$A$4:$KY$4,0))</f>
        <v>0</v>
      </c>
      <c r="BL367" s="241">
        <f>INDEX(연료전지_원본!$A$4:$KY$369,MATCH($A367,연료전지_원본!$A$4:$A$369,0),MATCH($BL$4,연료전지_원본!$A$4:$KY$4,0))</f>
        <v>0</v>
      </c>
      <c r="BM367" s="241">
        <f>INDEX(연료전지_원본!$A$4:$KY$369,MATCH($A367,연료전지_원본!$A$4:$A$369,0),MATCH($BM$4,연료전지_원본!$A$4:$KY$4,0))</f>
        <v>0</v>
      </c>
      <c r="BN367" s="241">
        <f>INDEX(연료전지_원본!$A$4:$KY$369,MATCH($A367,연료전지_원본!$A$4:$A$369,0),MATCH($BN$4,연료전지_원본!$A$4:$KY$4,0))</f>
        <v>0</v>
      </c>
      <c r="BO367" s="241">
        <f>INDEX(연료전지_원본!$A$4:$KY$369,MATCH($A367,연료전지_원본!$A$4:$A$369,0),MATCH($BO$4,연료전지_원본!$A$4:$KY$4,0))</f>
        <v>0</v>
      </c>
      <c r="BP367" s="241">
        <f>INDEX(연료전지_원본!$A$4:$KY$369,MATCH($A367,연료전지_원본!$A$4:$A$369,0),MATCH($BP$4,연료전지_원본!$A$4:$KY$4,0))</f>
        <v>0</v>
      </c>
      <c r="BQ367" s="241">
        <f>INDEX(연료전지_원본!$A$4:$KY$369,MATCH($A367,연료전지_원본!$A$4:$A$369,0),MATCH($BQ$4,연료전지_원본!$A$4:$KY$4,0))</f>
        <v>0</v>
      </c>
      <c r="BR367" s="241">
        <f>INDEX(연료전지_원본!$A$4:$KY$369,MATCH($A367,연료전지_원본!$A$4:$A$369,0),MATCH($BR$4,연료전지_원본!$A$4:$KY$4,0))</f>
        <v>0</v>
      </c>
      <c r="BS367" s="241">
        <f>INDEX(연료전지_원본!$A$4:$KY$369,MATCH($A367,연료전지_원본!$A$4:$A$369,0),MATCH($BS$4,연료전지_원본!$A$4:$KY$4,0))</f>
        <v>0</v>
      </c>
      <c r="BT367" s="241">
        <f>INDEX(연료전지_원본!$A$4:$KY$369,MATCH($A367,연료전지_원본!$A$4:$A$369,0),MATCH($BT$4,연료전지_원본!$A$4:$KY$4,0))</f>
        <v>0</v>
      </c>
      <c r="BU367" s="241">
        <f>INDEX(연료전지_원본!$A$4:$KY$369,MATCH($A367,연료전지_원본!$A$4:$A$369,0),MATCH($BU$4,연료전지_원본!$A$4:$KY$4,0))</f>
        <v>0</v>
      </c>
      <c r="BV367" s="241">
        <f>INDEX(연료전지_원본!$A$4:$KY$369,MATCH($A367,연료전지_원본!$A$4:$A$369,0),MATCH($BV$4,연료전지_원본!$A$4:$KY$4,0))</f>
        <v>0</v>
      </c>
      <c r="BW367" s="241">
        <f>INDEX(연료전지_원본!$A$4:$KY$369,MATCH($A367,연료전지_원본!$A$4:$A$369,0),MATCH($BW$4,연료전지_원본!$A$4:$KY$4,0))</f>
        <v>0</v>
      </c>
      <c r="BX367" s="241">
        <f>INDEX(연료전지_원본!$A$4:$KY$369,MATCH($A367,연료전지_원본!$A$4:$A$369,0),MATCH($BX$4,연료전지_원본!$A$4:$KY$4,0))</f>
        <v>0</v>
      </c>
      <c r="BY367" s="241">
        <f>INDEX(연료전지_원본!$A$4:$KY$369,MATCH($A367,연료전지_원본!$A$4:$A$369,0),MATCH($BY$4,연료전지_원본!$A$4:$KY$4,0))</f>
        <v>0</v>
      </c>
      <c r="BZ367" s="241">
        <f>INDEX(연료전지_원본!$A$4:$KY$369,MATCH($A367,연료전지_원본!$A$4:$A$369,0),MATCH($BZ$4,연료전지_원본!$A$4:$KY$4,0))</f>
        <v>0</v>
      </c>
      <c r="CA367" s="241">
        <f>INDEX(연료전지_원본!$A$4:$KY$369,MATCH($A367,연료전지_원본!$A$4:$A$369,0),MATCH($CA$4,연료전지_원본!$A$4:$KY$4,0))</f>
        <v>0</v>
      </c>
      <c r="CB367" s="241">
        <f>INDEX(연료전지_원본!$A$4:$KY$369,MATCH($A367,연료전지_원본!$A$4:$A$369,0),MATCH($CB$4,연료전지_원본!$A$4:$KY$4,0))</f>
        <v>0</v>
      </c>
      <c r="CC367" s="242">
        <f>INDEX(연료전지_원본!$A$4:$KY$369,MATCH($A367,연료전지_원본!$A$4:$A$369,0),MATCH($CC$4,연료전지_원본!$A$4:$KY$4,0))</f>
        <v>0</v>
      </c>
      <c r="CD367" s="250">
        <f>INDEX(연료전지_원본!$KB$4:$KX$369,MATCH($A367,연료전지_원본!$KB$4:$KB$369,0), MATCH(CD$4,연료전지_원본!$KB$4:$KX$4,0))*1000</f>
        <v>0</v>
      </c>
      <c r="CE367" s="250">
        <f>INDEX(연료전지_원본!$KB$4:$KX$369,MATCH($A367,연료전지_원본!$KB$4:$KB$369,0), MATCH(CE$4,연료전지_원본!$KB$4:$KX$4,0))*1000</f>
        <v>0</v>
      </c>
      <c r="CF367" s="250">
        <f>INDEX(연료전지_원본!$KB$4:$KX$369,MATCH($A367,연료전지_원본!$KB$4:$KB$369,0), MATCH(CF$4,연료전지_원본!$KB$4:$KX$4,0))*1000</f>
        <v>0</v>
      </c>
      <c r="CG367" s="250">
        <f>INDEX(연료전지_원본!$KB$4:$KX$369,MATCH($A367,연료전지_원본!$KB$4:$KB$369,0), MATCH(CG$4,연료전지_원본!$KB$4:$KX$4,0))*1000</f>
        <v>0</v>
      </c>
      <c r="CH367" s="250">
        <f>INDEX(연료전지_원본!$KB$4:$KX$369,MATCH($A367,연료전지_원본!$KB$4:$KB$369,0), MATCH(CH$4,연료전지_원본!$KB$4:$KX$4,0))*1000</f>
        <v>0</v>
      </c>
      <c r="CI367" s="250">
        <f>INDEX(연료전지_원본!$KB$4:$KX$369,MATCH($A367,연료전지_원본!$KB$4:$KB$369,0), MATCH(CI$4,연료전지_원본!$KB$4:$KX$4,0))*1000</f>
        <v>0</v>
      </c>
      <c r="CJ367" s="250">
        <f>INDEX(연료전지_원본!$KB$4:$KX$369,MATCH($A367,연료전지_원본!$KB$4:$KB$369,0), MATCH(CJ$4,연료전지_원본!$KB$4:$KX$4,0))*1000</f>
        <v>0</v>
      </c>
      <c r="CK367" s="250">
        <f>INDEX(연료전지_원본!$KB$4:$KX$369,MATCH($A367,연료전지_원본!$KB$4:$KB$369,0), MATCH(CK$4,연료전지_원본!$KB$4:$KX$4,0))*1000</f>
        <v>0</v>
      </c>
      <c r="CL367" s="250">
        <f>INDEX(연료전지_원본!$KB$4:$KX$369,MATCH($A367,연료전지_원본!$KB$4:$KB$369,0), MATCH(CL$4,연료전지_원본!$KB$4:$KX$4,0))*1000</f>
        <v>0</v>
      </c>
      <c r="CM367" s="250">
        <f>INDEX(연료전지_원본!$KB$4:$KX$369,MATCH($A367,연료전지_원본!$KB$4:$KB$369,0), MATCH(CM$4,연료전지_원본!$KB$4:$KX$4,0))*1000</f>
        <v>0</v>
      </c>
      <c r="CN367" s="250">
        <f>INDEX(연료전지_원본!$KB$4:$KX$369,MATCH($A367,연료전지_원본!$KB$4:$KB$369,0), MATCH(CN$4,연료전지_원본!$KB$4:$KX$4,0))*1000</f>
        <v>0</v>
      </c>
      <c r="CO367" s="250">
        <f>INDEX(연료전지_원본!$KB$4:$KX$369,MATCH($A367,연료전지_원본!$KB$4:$KB$369,0), MATCH(CO$4,연료전지_원본!$KB$4:$KX$4,0))*1000</f>
        <v>0</v>
      </c>
      <c r="CP367" s="250">
        <f>INDEX(연료전지_원본!$KB$4:$KX$369,MATCH($A367,연료전지_원본!$KB$4:$KB$369,0), MATCH(CP$4,연료전지_원본!$KB$4:$KX$4,0))*1000</f>
        <v>0</v>
      </c>
      <c r="CQ367" s="250">
        <f>INDEX(연료전지_원본!$KB$4:$KX$369,MATCH($A367,연료전지_원본!$KB$4:$KB$369,0), MATCH(CQ$4,연료전지_원본!$KB$4:$KX$4,0))*1000</f>
        <v>0</v>
      </c>
      <c r="CR367" s="250">
        <f>INDEX(연료전지_원본!$KB$4:$KX$369,MATCH($A367,연료전지_원본!$KB$4:$KB$369,0), MATCH(CR$4,연료전지_원본!$KB$4:$KX$4,0))*1000</f>
        <v>0</v>
      </c>
      <c r="CS367" s="250">
        <f>INDEX(연료전지_원본!$KB$4:$KX$369,MATCH($A367,연료전지_원본!$KB$4:$KB$369,0), MATCH(CS$4,연료전지_원본!$KB$4:$KX$4,0))*1000</f>
        <v>0</v>
      </c>
      <c r="CT367" s="250">
        <f>INDEX(연료전지_원본!$KB$4:$KX$369,MATCH($A367,연료전지_원본!$KB$4:$KB$369,0), MATCH(CT$4,연료전지_원본!$KB$4:$KX$4,0))*1000</f>
        <v>0</v>
      </c>
      <c r="CU367" s="250">
        <f>INDEX(연료전지_원본!$KB$4:$KX$369,MATCH($A367,연료전지_원본!$KB$4:$KB$369,0), MATCH(CU$4,연료전지_원본!$KB$4:$KX$4,0))*1000</f>
        <v>0</v>
      </c>
      <c r="CV367" s="250">
        <f>INDEX(연료전지_원본!$KB$4:$KX$369,MATCH($A367,연료전지_원본!$KB$4:$KB$369,0), MATCH(CV$4,연료전지_원본!$KB$4:$KX$4,0))*1000</f>
        <v>0</v>
      </c>
      <c r="CW367" s="250">
        <f>INDEX(연료전지_원본!$KB$4:$KX$369,MATCH($A367,연료전지_원본!$KB$4:$KB$369,0), MATCH(CW$4,연료전지_원본!$KB$4:$KX$4,0))*1000</f>
        <v>0</v>
      </c>
      <c r="CX367" s="250">
        <f>INDEX(연료전지_원본!$KB$4:$KX$369,MATCH($A367,연료전지_원본!$KB$4:$KB$369,0), MATCH(CX$4,연료전지_원본!$KB$4:$KX$4,0))*1000</f>
        <v>0</v>
      </c>
      <c r="CY367" s="250">
        <f>INDEX(연료전지_원본!$KB$4:$KX$369,MATCH($A367,연료전지_원본!$KB$4:$KB$369,0), MATCH(CY$4,연료전지_원본!$KB$4:$KX$4,0))*1000</f>
        <v>0</v>
      </c>
      <c r="DV367" s="30">
        <f t="shared" si="1947"/>
        <v>0</v>
      </c>
    </row>
    <row r="368" spans="1:126">
      <c r="A368" s="6">
        <v>46385</v>
      </c>
      <c r="B368" s="15">
        <f>운전실적_원본!B368</f>
        <v>0</v>
      </c>
      <c r="C368" s="16" t="str">
        <f t="shared" si="1953"/>
        <v/>
      </c>
      <c r="D368" s="12">
        <f>운전실적_원본!C368</f>
        <v>0</v>
      </c>
      <c r="E368" s="12" t="str">
        <f t="shared" si="1954"/>
        <v/>
      </c>
      <c r="F368" s="12">
        <f>운전실적_원본!D368</f>
        <v>0</v>
      </c>
      <c r="G368" s="16" t="str">
        <f t="shared" si="1955"/>
        <v/>
      </c>
      <c r="H368" s="15">
        <f>운전실적_원본!E368</f>
        <v>0</v>
      </c>
      <c r="I368" s="16" t="str">
        <f t="shared" si="1956"/>
        <v/>
      </c>
      <c r="J368" s="15">
        <f>운전실적_원본!F368</f>
        <v>0</v>
      </c>
      <c r="K368" s="16" t="str">
        <f t="shared" si="1956"/>
        <v/>
      </c>
      <c r="L368" s="32">
        <f>운전실적_원본!G368</f>
        <v>0</v>
      </c>
      <c r="M368" s="31" t="str">
        <f t="shared" ref="M368" si="1998">IF(OR(LEN(L368)=0,L368=0),"",L368-L367)</f>
        <v/>
      </c>
      <c r="N368" s="15">
        <f>운전실적_원본!H368</f>
        <v>0</v>
      </c>
      <c r="O368" s="16" t="str">
        <f t="shared" ref="O368" si="1999">IF(OR(LEN(N368)=0,N368=0),"",N368-N367)</f>
        <v/>
      </c>
      <c r="P368" s="15">
        <f>운전실적_원본!I368</f>
        <v>0</v>
      </c>
      <c r="Q368" s="16" t="str">
        <f t="shared" ref="Q368" si="2000">IF(OR(LEN(P368)=0,P368=0),"",P368-P367)</f>
        <v/>
      </c>
      <c r="R368" s="18">
        <f>운전실적_원본!J368</f>
        <v>0</v>
      </c>
      <c r="S368" s="19" t="str">
        <f t="shared" ref="S368" si="2001">IF(OR(LEN(R368)=0,R368=0),"",R368-R367)</f>
        <v/>
      </c>
      <c r="T368" s="18">
        <f>운전실적_원본!K368</f>
        <v>0</v>
      </c>
      <c r="U368" s="19" t="str">
        <f t="shared" si="1961"/>
        <v/>
      </c>
      <c r="V368" s="12">
        <f>운전실적_원본!L368</f>
        <v>0</v>
      </c>
      <c r="W368" s="16" t="str">
        <f t="shared" ref="W368" si="2002">IF(OR(LEN(V368)=0,V368=0),"",V368-V367)</f>
        <v/>
      </c>
      <c r="X368" s="10">
        <f>운전실적_원본!M368</f>
        <v>0</v>
      </c>
      <c r="Y368" s="10">
        <f>운전실적_원본!N368</f>
        <v>0</v>
      </c>
      <c r="Z368" s="10">
        <f>운전실적_원본!O368</f>
        <v>0</v>
      </c>
      <c r="AA368" s="10">
        <f>운전실적_원본!P368</f>
        <v>0</v>
      </c>
      <c r="AB368" s="10">
        <f>운전실적_원본!Q368</f>
        <v>0</v>
      </c>
      <c r="AC368" s="20">
        <f>운전실적_원본!R368</f>
        <v>0</v>
      </c>
      <c r="AD368" s="109">
        <f>운전실적_원본!S368</f>
        <v>0</v>
      </c>
      <c r="AE368" s="110">
        <f>운전실적_원본!T368</f>
        <v>0</v>
      </c>
      <c r="AF368" s="110">
        <f>운전실적_원본!U368</f>
        <v>0</v>
      </c>
      <c r="AG368" s="110">
        <f>운전실적_원본!V368</f>
        <v>0</v>
      </c>
      <c r="AH368" s="109">
        <f t="shared" si="1784"/>
        <v>0</v>
      </c>
      <c r="AI368" s="110">
        <f t="shared" si="1791"/>
        <v>0</v>
      </c>
      <c r="AJ368" s="110">
        <f>운전실적_원본!Y368</f>
        <v>0</v>
      </c>
      <c r="AK368" s="110">
        <f>운전실적_원본!Z368</f>
        <v>0</v>
      </c>
      <c r="AL368" s="106"/>
      <c r="AM368" s="105"/>
      <c r="AN368" s="105"/>
      <c r="AO368" s="105"/>
      <c r="AP368" s="105"/>
      <c r="AQ368" s="108"/>
      <c r="AR368" s="105"/>
      <c r="AS368" s="105"/>
      <c r="AT368" s="102"/>
      <c r="AU368" s="102"/>
      <c r="AV368" s="102"/>
      <c r="AW368" s="102"/>
      <c r="AX368" s="32">
        <f>운전실적_원본!W368</f>
        <v>0</v>
      </c>
      <c r="AY368" s="11">
        <f>운전실적_원본!X368</f>
        <v>0</v>
      </c>
      <c r="AZ368" s="11">
        <f>운전실적_원본!Y368</f>
        <v>0</v>
      </c>
      <c r="BA368" s="11">
        <f>운전실적_원본!Z368</f>
        <v>0</v>
      </c>
      <c r="BB368" s="11">
        <f>운전실적_원본!AA368</f>
        <v>0</v>
      </c>
      <c r="BC368" s="11">
        <f>운전실적_원본!AB368</f>
        <v>0</v>
      </c>
      <c r="BD368" s="32" t="str">
        <f t="shared" si="1777"/>
        <v>-</v>
      </c>
      <c r="BE368" s="11" t="str">
        <f t="shared" si="1785"/>
        <v>-</v>
      </c>
      <c r="BF368" s="11">
        <f>운전실적_원본!AE368</f>
        <v>0</v>
      </c>
      <c r="BG368" s="31">
        <f t="shared" si="1778"/>
        <v>0</v>
      </c>
      <c r="BH368" s="241">
        <f>INDEX(연료전지_원본!$A$4:$KY$369,MATCH($A368,연료전지_원본!$A$4:$A$369,0),MATCH($BH$4,연료전지_원본!$A$4:$KY$4,0))</f>
        <v>0</v>
      </c>
      <c r="BI368" s="241">
        <f>INDEX(연료전지_원본!$A$4:$KY$369,MATCH($A368,연료전지_원본!$A$4:$A$369,0),MATCH($BI$4,연료전지_원본!$A$4:$KY$4,0))</f>
        <v>0</v>
      </c>
      <c r="BJ368" s="241">
        <f>INDEX(연료전지_원본!$A$4:$KY$369,MATCH($A368,연료전지_원본!$A$4:$A$369,0),MATCH($BJ$4,연료전지_원본!$A$4:$KY$4,0))</f>
        <v>0</v>
      </c>
      <c r="BK368" s="241">
        <f>INDEX(연료전지_원본!$A$4:$KY$369,MATCH($A368,연료전지_원본!$A$4:$A$369,0),MATCH($BK$4,연료전지_원본!$A$4:$KY$4,0))</f>
        <v>0</v>
      </c>
      <c r="BL368" s="241">
        <f>INDEX(연료전지_원본!$A$4:$KY$369,MATCH($A368,연료전지_원본!$A$4:$A$369,0),MATCH($BL$4,연료전지_원본!$A$4:$KY$4,0))</f>
        <v>0</v>
      </c>
      <c r="BM368" s="241">
        <f>INDEX(연료전지_원본!$A$4:$KY$369,MATCH($A368,연료전지_원본!$A$4:$A$369,0),MATCH($BM$4,연료전지_원본!$A$4:$KY$4,0))</f>
        <v>0</v>
      </c>
      <c r="BN368" s="241">
        <f>INDEX(연료전지_원본!$A$4:$KY$369,MATCH($A368,연료전지_원본!$A$4:$A$369,0),MATCH($BN$4,연료전지_원본!$A$4:$KY$4,0))</f>
        <v>0</v>
      </c>
      <c r="BO368" s="241">
        <f>INDEX(연료전지_원본!$A$4:$KY$369,MATCH($A368,연료전지_원본!$A$4:$A$369,0),MATCH($BO$4,연료전지_원본!$A$4:$KY$4,0))</f>
        <v>0</v>
      </c>
      <c r="BP368" s="241">
        <f>INDEX(연료전지_원본!$A$4:$KY$369,MATCH($A368,연료전지_원본!$A$4:$A$369,0),MATCH($BP$4,연료전지_원본!$A$4:$KY$4,0))</f>
        <v>0</v>
      </c>
      <c r="BQ368" s="241">
        <f>INDEX(연료전지_원본!$A$4:$KY$369,MATCH($A368,연료전지_원본!$A$4:$A$369,0),MATCH($BQ$4,연료전지_원본!$A$4:$KY$4,0))</f>
        <v>0</v>
      </c>
      <c r="BR368" s="241">
        <f>INDEX(연료전지_원본!$A$4:$KY$369,MATCH($A368,연료전지_원본!$A$4:$A$369,0),MATCH($BR$4,연료전지_원본!$A$4:$KY$4,0))</f>
        <v>0</v>
      </c>
      <c r="BS368" s="241">
        <f>INDEX(연료전지_원본!$A$4:$KY$369,MATCH($A368,연료전지_원본!$A$4:$A$369,0),MATCH($BS$4,연료전지_원본!$A$4:$KY$4,0))</f>
        <v>0</v>
      </c>
      <c r="BT368" s="241">
        <f>INDEX(연료전지_원본!$A$4:$KY$369,MATCH($A368,연료전지_원본!$A$4:$A$369,0),MATCH($BT$4,연료전지_원본!$A$4:$KY$4,0))</f>
        <v>0</v>
      </c>
      <c r="BU368" s="241">
        <f>INDEX(연료전지_원본!$A$4:$KY$369,MATCH($A368,연료전지_원본!$A$4:$A$369,0),MATCH($BU$4,연료전지_원본!$A$4:$KY$4,0))</f>
        <v>0</v>
      </c>
      <c r="BV368" s="241">
        <f>INDEX(연료전지_원본!$A$4:$KY$369,MATCH($A368,연료전지_원본!$A$4:$A$369,0),MATCH($BV$4,연료전지_원본!$A$4:$KY$4,0))</f>
        <v>0</v>
      </c>
      <c r="BW368" s="241">
        <f>INDEX(연료전지_원본!$A$4:$KY$369,MATCH($A368,연료전지_원본!$A$4:$A$369,0),MATCH($BW$4,연료전지_원본!$A$4:$KY$4,0))</f>
        <v>0</v>
      </c>
      <c r="BX368" s="241">
        <f>INDEX(연료전지_원본!$A$4:$KY$369,MATCH($A368,연료전지_원본!$A$4:$A$369,0),MATCH($BX$4,연료전지_원본!$A$4:$KY$4,0))</f>
        <v>0</v>
      </c>
      <c r="BY368" s="241">
        <f>INDEX(연료전지_원본!$A$4:$KY$369,MATCH($A368,연료전지_원본!$A$4:$A$369,0),MATCH($BY$4,연료전지_원본!$A$4:$KY$4,0))</f>
        <v>0</v>
      </c>
      <c r="BZ368" s="241">
        <f>INDEX(연료전지_원본!$A$4:$KY$369,MATCH($A368,연료전지_원본!$A$4:$A$369,0),MATCH($BZ$4,연료전지_원본!$A$4:$KY$4,0))</f>
        <v>0</v>
      </c>
      <c r="CA368" s="241">
        <f>INDEX(연료전지_원본!$A$4:$KY$369,MATCH($A368,연료전지_원본!$A$4:$A$369,0),MATCH($CA$4,연료전지_원본!$A$4:$KY$4,0))</f>
        <v>0</v>
      </c>
      <c r="CB368" s="241">
        <f>INDEX(연료전지_원본!$A$4:$KY$369,MATCH($A368,연료전지_원본!$A$4:$A$369,0),MATCH($CB$4,연료전지_원본!$A$4:$KY$4,0))</f>
        <v>0</v>
      </c>
      <c r="CC368" s="242">
        <f>INDEX(연료전지_원본!$A$4:$KY$369,MATCH($A368,연료전지_원본!$A$4:$A$369,0),MATCH($CC$4,연료전지_원본!$A$4:$KY$4,0))</f>
        <v>0</v>
      </c>
      <c r="CD368" s="250">
        <f>INDEX(연료전지_원본!$KB$4:$KX$369,MATCH($A368,연료전지_원본!$KB$4:$KB$369,0), MATCH(CD$4,연료전지_원본!$KB$4:$KX$4,0))*1000</f>
        <v>0</v>
      </c>
      <c r="CE368" s="250">
        <f>INDEX(연료전지_원본!$KB$4:$KX$369,MATCH($A368,연료전지_원본!$KB$4:$KB$369,0), MATCH(CE$4,연료전지_원본!$KB$4:$KX$4,0))*1000</f>
        <v>0</v>
      </c>
      <c r="CF368" s="250">
        <f>INDEX(연료전지_원본!$KB$4:$KX$369,MATCH($A368,연료전지_원본!$KB$4:$KB$369,0), MATCH(CF$4,연료전지_원본!$KB$4:$KX$4,0))*1000</f>
        <v>0</v>
      </c>
      <c r="CG368" s="250">
        <f>INDEX(연료전지_원본!$KB$4:$KX$369,MATCH($A368,연료전지_원본!$KB$4:$KB$369,0), MATCH(CG$4,연료전지_원본!$KB$4:$KX$4,0))*1000</f>
        <v>0</v>
      </c>
      <c r="CH368" s="250">
        <f>INDEX(연료전지_원본!$KB$4:$KX$369,MATCH($A368,연료전지_원본!$KB$4:$KB$369,0), MATCH(CH$4,연료전지_원본!$KB$4:$KX$4,0))*1000</f>
        <v>0</v>
      </c>
      <c r="CI368" s="250">
        <f>INDEX(연료전지_원본!$KB$4:$KX$369,MATCH($A368,연료전지_원본!$KB$4:$KB$369,0), MATCH(CI$4,연료전지_원본!$KB$4:$KX$4,0))*1000</f>
        <v>0</v>
      </c>
      <c r="CJ368" s="250">
        <f>INDEX(연료전지_원본!$KB$4:$KX$369,MATCH($A368,연료전지_원본!$KB$4:$KB$369,0), MATCH(CJ$4,연료전지_원본!$KB$4:$KX$4,0))*1000</f>
        <v>0</v>
      </c>
      <c r="CK368" s="250">
        <f>INDEX(연료전지_원본!$KB$4:$KX$369,MATCH($A368,연료전지_원본!$KB$4:$KB$369,0), MATCH(CK$4,연료전지_원본!$KB$4:$KX$4,0))*1000</f>
        <v>0</v>
      </c>
      <c r="CL368" s="250">
        <f>INDEX(연료전지_원본!$KB$4:$KX$369,MATCH($A368,연료전지_원본!$KB$4:$KB$369,0), MATCH(CL$4,연료전지_원본!$KB$4:$KX$4,0))*1000</f>
        <v>0</v>
      </c>
      <c r="CM368" s="250">
        <f>INDEX(연료전지_원본!$KB$4:$KX$369,MATCH($A368,연료전지_원본!$KB$4:$KB$369,0), MATCH(CM$4,연료전지_원본!$KB$4:$KX$4,0))*1000</f>
        <v>0</v>
      </c>
      <c r="CN368" s="250">
        <f>INDEX(연료전지_원본!$KB$4:$KX$369,MATCH($A368,연료전지_원본!$KB$4:$KB$369,0), MATCH(CN$4,연료전지_원본!$KB$4:$KX$4,0))*1000</f>
        <v>0</v>
      </c>
      <c r="CO368" s="250">
        <f>INDEX(연료전지_원본!$KB$4:$KX$369,MATCH($A368,연료전지_원본!$KB$4:$KB$369,0), MATCH(CO$4,연료전지_원본!$KB$4:$KX$4,0))*1000</f>
        <v>0</v>
      </c>
      <c r="CP368" s="250">
        <f>INDEX(연료전지_원본!$KB$4:$KX$369,MATCH($A368,연료전지_원본!$KB$4:$KB$369,0), MATCH(CP$4,연료전지_원본!$KB$4:$KX$4,0))*1000</f>
        <v>0</v>
      </c>
      <c r="CQ368" s="250">
        <f>INDEX(연료전지_원본!$KB$4:$KX$369,MATCH($A368,연료전지_원본!$KB$4:$KB$369,0), MATCH(CQ$4,연료전지_원본!$KB$4:$KX$4,0))*1000</f>
        <v>0</v>
      </c>
      <c r="CR368" s="250">
        <f>INDEX(연료전지_원본!$KB$4:$KX$369,MATCH($A368,연료전지_원본!$KB$4:$KB$369,0), MATCH(CR$4,연료전지_원본!$KB$4:$KX$4,0))*1000</f>
        <v>0</v>
      </c>
      <c r="CS368" s="250">
        <f>INDEX(연료전지_원본!$KB$4:$KX$369,MATCH($A368,연료전지_원본!$KB$4:$KB$369,0), MATCH(CS$4,연료전지_원본!$KB$4:$KX$4,0))*1000</f>
        <v>0</v>
      </c>
      <c r="CT368" s="250">
        <f>INDEX(연료전지_원본!$KB$4:$KX$369,MATCH($A368,연료전지_원본!$KB$4:$KB$369,0), MATCH(CT$4,연료전지_원본!$KB$4:$KX$4,0))*1000</f>
        <v>0</v>
      </c>
      <c r="CU368" s="250">
        <f>INDEX(연료전지_원본!$KB$4:$KX$369,MATCH($A368,연료전지_원본!$KB$4:$KB$369,0), MATCH(CU$4,연료전지_원본!$KB$4:$KX$4,0))*1000</f>
        <v>0</v>
      </c>
      <c r="CV368" s="250">
        <f>INDEX(연료전지_원본!$KB$4:$KX$369,MATCH($A368,연료전지_원본!$KB$4:$KB$369,0), MATCH(CV$4,연료전지_원본!$KB$4:$KX$4,0))*1000</f>
        <v>0</v>
      </c>
      <c r="CW368" s="250">
        <f>INDEX(연료전지_원본!$KB$4:$KX$369,MATCH($A368,연료전지_원본!$KB$4:$KB$369,0), MATCH(CW$4,연료전지_원본!$KB$4:$KX$4,0))*1000</f>
        <v>0</v>
      </c>
      <c r="CX368" s="250">
        <f>INDEX(연료전지_원본!$KB$4:$KX$369,MATCH($A368,연료전지_원본!$KB$4:$KB$369,0), MATCH(CX$4,연료전지_원본!$KB$4:$KX$4,0))*1000</f>
        <v>0</v>
      </c>
      <c r="CY368" s="250">
        <f>INDEX(연료전지_원본!$KB$4:$KX$369,MATCH($A368,연료전지_원본!$KB$4:$KB$369,0), MATCH(CY$4,연료전지_원본!$KB$4:$KX$4,0))*1000</f>
        <v>0</v>
      </c>
      <c r="DV368" s="30">
        <f t="shared" si="1947"/>
        <v>0</v>
      </c>
    </row>
    <row r="369" spans="1:126">
      <c r="A369" s="6">
        <v>46386</v>
      </c>
      <c r="B369" s="15">
        <f>운전실적_원본!B369</f>
        <v>0</v>
      </c>
      <c r="C369" s="16" t="str">
        <f t="shared" si="1953"/>
        <v/>
      </c>
      <c r="D369" s="12">
        <f>운전실적_원본!C369</f>
        <v>0</v>
      </c>
      <c r="E369" s="12" t="str">
        <f t="shared" si="1954"/>
        <v/>
      </c>
      <c r="F369" s="12">
        <f>운전실적_원본!D369</f>
        <v>0</v>
      </c>
      <c r="G369" s="16" t="str">
        <f t="shared" si="1955"/>
        <v/>
      </c>
      <c r="H369" s="15">
        <f>운전실적_원본!E369</f>
        <v>0</v>
      </c>
      <c r="I369" s="16" t="str">
        <f t="shared" si="1956"/>
        <v/>
      </c>
      <c r="J369" s="15">
        <f>운전실적_원본!F369</f>
        <v>0</v>
      </c>
      <c r="K369" s="16" t="str">
        <f t="shared" si="1956"/>
        <v/>
      </c>
      <c r="L369" s="32">
        <f>운전실적_원본!G369</f>
        <v>0</v>
      </c>
      <c r="M369" s="31" t="str">
        <f t="shared" ref="M369" si="2003">IF(OR(LEN(L369)=0,L369=0),"",L369-L368)</f>
        <v/>
      </c>
      <c r="N369" s="15">
        <f>운전실적_원본!H369</f>
        <v>0</v>
      </c>
      <c r="O369" s="16" t="str">
        <f t="shared" ref="O369" si="2004">IF(OR(LEN(N369)=0,N369=0),"",N369-N368)</f>
        <v/>
      </c>
      <c r="P369" s="15">
        <f>운전실적_원본!I369</f>
        <v>0</v>
      </c>
      <c r="Q369" s="16" t="str">
        <f t="shared" ref="Q369" si="2005">IF(OR(LEN(P369)=0,P369=0),"",P369-P368)</f>
        <v/>
      </c>
      <c r="R369" s="18">
        <f>운전실적_원본!J369</f>
        <v>0</v>
      </c>
      <c r="S369" s="19" t="str">
        <f t="shared" ref="S369" si="2006">IF(OR(LEN(R369)=0,R369=0),"",R369-R368)</f>
        <v/>
      </c>
      <c r="T369" s="18">
        <f>운전실적_원본!K369</f>
        <v>0</v>
      </c>
      <c r="U369" s="19" t="str">
        <f t="shared" si="1961"/>
        <v/>
      </c>
      <c r="V369" s="12">
        <f>운전실적_원본!L369</f>
        <v>0</v>
      </c>
      <c r="W369" s="16" t="str">
        <f t="shared" ref="W369" si="2007">IF(OR(LEN(V369)=0,V369=0),"",V369-V368)</f>
        <v/>
      </c>
      <c r="X369" s="10">
        <f>운전실적_원본!M369</f>
        <v>0</v>
      </c>
      <c r="Y369" s="10">
        <f>운전실적_원본!N369</f>
        <v>0</v>
      </c>
      <c r="Z369" s="10">
        <f>운전실적_원본!O369</f>
        <v>0</v>
      </c>
      <c r="AA369" s="10">
        <f>운전실적_원본!P369</f>
        <v>0</v>
      </c>
      <c r="AB369" s="10">
        <f>운전실적_원본!Q369</f>
        <v>0</v>
      </c>
      <c r="AC369" s="20">
        <f>운전실적_원본!R369</f>
        <v>0</v>
      </c>
      <c r="AD369" s="109">
        <f>운전실적_원본!S369</f>
        <v>0</v>
      </c>
      <c r="AE369" s="110">
        <f>운전실적_원본!T369</f>
        <v>0</v>
      </c>
      <c r="AF369" s="110">
        <f>운전실적_원본!U369</f>
        <v>0</v>
      </c>
      <c r="AG369" s="110">
        <f>운전실적_원본!V369</f>
        <v>0</v>
      </c>
      <c r="AH369" s="109">
        <f t="shared" si="1784"/>
        <v>0</v>
      </c>
      <c r="AI369" s="110">
        <f t="shared" si="1791"/>
        <v>0</v>
      </c>
      <c r="AJ369" s="110">
        <f>운전실적_원본!Y369</f>
        <v>0</v>
      </c>
      <c r="AK369" s="110">
        <f>운전실적_원본!Z369</f>
        <v>0</v>
      </c>
      <c r="AL369" s="106"/>
      <c r="AM369" s="105"/>
      <c r="AN369" s="105"/>
      <c r="AO369" s="105"/>
      <c r="AP369" s="105"/>
      <c r="AQ369" s="108"/>
      <c r="AR369" s="105"/>
      <c r="AS369" s="105"/>
      <c r="AT369" s="102"/>
      <c r="AU369" s="102"/>
      <c r="AV369" s="102"/>
      <c r="AW369" s="102"/>
      <c r="AX369" s="32">
        <f>운전실적_원본!W369</f>
        <v>0</v>
      </c>
      <c r="AY369" s="11">
        <f>운전실적_원본!X369</f>
        <v>0</v>
      </c>
      <c r="AZ369" s="11">
        <f>운전실적_원본!Y369</f>
        <v>0</v>
      </c>
      <c r="BA369" s="11">
        <f>운전실적_원본!Z369</f>
        <v>0</v>
      </c>
      <c r="BB369" s="11">
        <f>운전실적_원본!AA369</f>
        <v>0</v>
      </c>
      <c r="BC369" s="11">
        <f>운전실적_원본!AB369</f>
        <v>0</v>
      </c>
      <c r="BD369" s="32" t="str">
        <f t="shared" si="1777"/>
        <v>-</v>
      </c>
      <c r="BE369" s="11" t="str">
        <f t="shared" si="1785"/>
        <v>-</v>
      </c>
      <c r="BF369" s="11">
        <f>운전실적_원본!AE369</f>
        <v>0</v>
      </c>
      <c r="BG369" s="31">
        <f t="shared" si="1778"/>
        <v>0</v>
      </c>
      <c r="BH369" s="241">
        <f>INDEX(연료전지_원본!$A$4:$KY$369,MATCH($A369,연료전지_원본!$A$4:$A$369,0),MATCH($BH$4,연료전지_원본!$A$4:$KY$4,0))</f>
        <v>0</v>
      </c>
      <c r="BI369" s="241">
        <f>INDEX(연료전지_원본!$A$4:$KY$369,MATCH($A369,연료전지_원본!$A$4:$A$369,0),MATCH($BI$4,연료전지_원본!$A$4:$KY$4,0))</f>
        <v>0</v>
      </c>
      <c r="BJ369" s="241">
        <f>INDEX(연료전지_원본!$A$4:$KY$369,MATCH($A369,연료전지_원본!$A$4:$A$369,0),MATCH($BJ$4,연료전지_원본!$A$4:$KY$4,0))</f>
        <v>0</v>
      </c>
      <c r="BK369" s="241">
        <f>INDEX(연료전지_원본!$A$4:$KY$369,MATCH($A369,연료전지_원본!$A$4:$A$369,0),MATCH($BK$4,연료전지_원본!$A$4:$KY$4,0))</f>
        <v>0</v>
      </c>
      <c r="BL369" s="241">
        <f>INDEX(연료전지_원본!$A$4:$KY$369,MATCH($A369,연료전지_원본!$A$4:$A$369,0),MATCH($BL$4,연료전지_원본!$A$4:$KY$4,0))</f>
        <v>0</v>
      </c>
      <c r="BM369" s="241">
        <f>INDEX(연료전지_원본!$A$4:$KY$369,MATCH($A369,연료전지_원본!$A$4:$A$369,0),MATCH($BM$4,연료전지_원본!$A$4:$KY$4,0))</f>
        <v>0</v>
      </c>
      <c r="BN369" s="241">
        <f>INDEX(연료전지_원본!$A$4:$KY$369,MATCH($A369,연료전지_원본!$A$4:$A$369,0),MATCH($BN$4,연료전지_원본!$A$4:$KY$4,0))</f>
        <v>0</v>
      </c>
      <c r="BO369" s="241">
        <f>INDEX(연료전지_원본!$A$4:$KY$369,MATCH($A369,연료전지_원본!$A$4:$A$369,0),MATCH($BO$4,연료전지_원본!$A$4:$KY$4,0))</f>
        <v>0</v>
      </c>
      <c r="BP369" s="241">
        <f>INDEX(연료전지_원본!$A$4:$KY$369,MATCH($A369,연료전지_원본!$A$4:$A$369,0),MATCH($BP$4,연료전지_원본!$A$4:$KY$4,0))</f>
        <v>0</v>
      </c>
      <c r="BQ369" s="241">
        <f>INDEX(연료전지_원본!$A$4:$KY$369,MATCH($A369,연료전지_원본!$A$4:$A$369,0),MATCH($BQ$4,연료전지_원본!$A$4:$KY$4,0))</f>
        <v>0</v>
      </c>
      <c r="BR369" s="241">
        <f>INDEX(연료전지_원본!$A$4:$KY$369,MATCH($A369,연료전지_원본!$A$4:$A$369,0),MATCH($BR$4,연료전지_원본!$A$4:$KY$4,0))</f>
        <v>0</v>
      </c>
      <c r="BS369" s="241">
        <f>INDEX(연료전지_원본!$A$4:$KY$369,MATCH($A369,연료전지_원본!$A$4:$A$369,0),MATCH($BS$4,연료전지_원본!$A$4:$KY$4,0))</f>
        <v>0</v>
      </c>
      <c r="BT369" s="241">
        <f>INDEX(연료전지_원본!$A$4:$KY$369,MATCH($A369,연료전지_원본!$A$4:$A$369,0),MATCH($BT$4,연료전지_원본!$A$4:$KY$4,0))</f>
        <v>0</v>
      </c>
      <c r="BU369" s="241">
        <f>INDEX(연료전지_원본!$A$4:$KY$369,MATCH($A369,연료전지_원본!$A$4:$A$369,0),MATCH($BU$4,연료전지_원본!$A$4:$KY$4,0))</f>
        <v>0</v>
      </c>
      <c r="BV369" s="241">
        <f>INDEX(연료전지_원본!$A$4:$KY$369,MATCH($A369,연료전지_원본!$A$4:$A$369,0),MATCH($BV$4,연료전지_원본!$A$4:$KY$4,0))</f>
        <v>0</v>
      </c>
      <c r="BW369" s="241">
        <f>INDEX(연료전지_원본!$A$4:$KY$369,MATCH($A369,연료전지_원본!$A$4:$A$369,0),MATCH($BW$4,연료전지_원본!$A$4:$KY$4,0))</f>
        <v>0</v>
      </c>
      <c r="BX369" s="241">
        <f>INDEX(연료전지_원본!$A$4:$KY$369,MATCH($A369,연료전지_원본!$A$4:$A$369,0),MATCH($BX$4,연료전지_원본!$A$4:$KY$4,0))</f>
        <v>0</v>
      </c>
      <c r="BY369" s="241">
        <f>INDEX(연료전지_원본!$A$4:$KY$369,MATCH($A369,연료전지_원본!$A$4:$A$369,0),MATCH($BY$4,연료전지_원본!$A$4:$KY$4,0))</f>
        <v>0</v>
      </c>
      <c r="BZ369" s="241">
        <f>INDEX(연료전지_원본!$A$4:$KY$369,MATCH($A369,연료전지_원본!$A$4:$A$369,0),MATCH($BZ$4,연료전지_원본!$A$4:$KY$4,0))</f>
        <v>0</v>
      </c>
      <c r="CA369" s="241">
        <f>INDEX(연료전지_원본!$A$4:$KY$369,MATCH($A369,연료전지_원본!$A$4:$A$369,0),MATCH($CA$4,연료전지_원본!$A$4:$KY$4,0))</f>
        <v>0</v>
      </c>
      <c r="CB369" s="241">
        <f>INDEX(연료전지_원본!$A$4:$KY$369,MATCH($A369,연료전지_원본!$A$4:$A$369,0),MATCH($CB$4,연료전지_원본!$A$4:$KY$4,0))</f>
        <v>0</v>
      </c>
      <c r="CC369" s="242">
        <f>INDEX(연료전지_원본!$A$4:$KY$369,MATCH($A369,연료전지_원본!$A$4:$A$369,0),MATCH($CC$4,연료전지_원본!$A$4:$KY$4,0))</f>
        <v>0</v>
      </c>
      <c r="CD369" s="250">
        <f>INDEX(연료전지_원본!$KB$4:$KX$369,MATCH($A369,연료전지_원본!$KB$4:$KB$369,0), MATCH(CD$4,연료전지_원본!$KB$4:$KX$4,0))*1000</f>
        <v>0</v>
      </c>
      <c r="CE369" s="250">
        <f>INDEX(연료전지_원본!$KB$4:$KX$369,MATCH($A369,연료전지_원본!$KB$4:$KB$369,0), MATCH(CE$4,연료전지_원본!$KB$4:$KX$4,0))*1000</f>
        <v>0</v>
      </c>
      <c r="CF369" s="250">
        <f>INDEX(연료전지_원본!$KB$4:$KX$369,MATCH($A369,연료전지_원본!$KB$4:$KB$369,0), MATCH(CF$4,연료전지_원본!$KB$4:$KX$4,0))*1000</f>
        <v>0</v>
      </c>
      <c r="CG369" s="250">
        <f>INDEX(연료전지_원본!$KB$4:$KX$369,MATCH($A369,연료전지_원본!$KB$4:$KB$369,0), MATCH(CG$4,연료전지_원본!$KB$4:$KX$4,0))*1000</f>
        <v>0</v>
      </c>
      <c r="CH369" s="250">
        <f>INDEX(연료전지_원본!$KB$4:$KX$369,MATCH($A369,연료전지_원본!$KB$4:$KB$369,0), MATCH(CH$4,연료전지_원본!$KB$4:$KX$4,0))*1000</f>
        <v>0</v>
      </c>
      <c r="CI369" s="250">
        <f>INDEX(연료전지_원본!$KB$4:$KX$369,MATCH($A369,연료전지_원본!$KB$4:$KB$369,0), MATCH(CI$4,연료전지_원본!$KB$4:$KX$4,0))*1000</f>
        <v>0</v>
      </c>
      <c r="CJ369" s="250">
        <f>INDEX(연료전지_원본!$KB$4:$KX$369,MATCH($A369,연료전지_원본!$KB$4:$KB$369,0), MATCH(CJ$4,연료전지_원본!$KB$4:$KX$4,0))*1000</f>
        <v>0</v>
      </c>
      <c r="CK369" s="250">
        <f>INDEX(연료전지_원본!$KB$4:$KX$369,MATCH($A369,연료전지_원본!$KB$4:$KB$369,0), MATCH(CK$4,연료전지_원본!$KB$4:$KX$4,0))*1000</f>
        <v>0</v>
      </c>
      <c r="CL369" s="250">
        <f>INDEX(연료전지_원본!$KB$4:$KX$369,MATCH($A369,연료전지_원본!$KB$4:$KB$369,0), MATCH(CL$4,연료전지_원본!$KB$4:$KX$4,0))*1000</f>
        <v>0</v>
      </c>
      <c r="CM369" s="250">
        <f>INDEX(연료전지_원본!$KB$4:$KX$369,MATCH($A369,연료전지_원본!$KB$4:$KB$369,0), MATCH(CM$4,연료전지_원본!$KB$4:$KX$4,0))*1000</f>
        <v>0</v>
      </c>
      <c r="CN369" s="250">
        <f>INDEX(연료전지_원본!$KB$4:$KX$369,MATCH($A369,연료전지_원본!$KB$4:$KB$369,0), MATCH(CN$4,연료전지_원본!$KB$4:$KX$4,0))*1000</f>
        <v>0</v>
      </c>
      <c r="CO369" s="250">
        <f>INDEX(연료전지_원본!$KB$4:$KX$369,MATCH($A369,연료전지_원본!$KB$4:$KB$369,0), MATCH(CO$4,연료전지_원본!$KB$4:$KX$4,0))*1000</f>
        <v>0</v>
      </c>
      <c r="CP369" s="250">
        <f>INDEX(연료전지_원본!$KB$4:$KX$369,MATCH($A369,연료전지_원본!$KB$4:$KB$369,0), MATCH(CP$4,연료전지_원본!$KB$4:$KX$4,0))*1000</f>
        <v>0</v>
      </c>
      <c r="CQ369" s="250">
        <f>INDEX(연료전지_원본!$KB$4:$KX$369,MATCH($A369,연료전지_원본!$KB$4:$KB$369,0), MATCH(CQ$4,연료전지_원본!$KB$4:$KX$4,0))*1000</f>
        <v>0</v>
      </c>
      <c r="CR369" s="250">
        <f>INDEX(연료전지_원본!$KB$4:$KX$369,MATCH($A369,연료전지_원본!$KB$4:$KB$369,0), MATCH(CR$4,연료전지_원본!$KB$4:$KX$4,0))*1000</f>
        <v>0</v>
      </c>
      <c r="CS369" s="250">
        <f>INDEX(연료전지_원본!$KB$4:$KX$369,MATCH($A369,연료전지_원본!$KB$4:$KB$369,0), MATCH(CS$4,연료전지_원본!$KB$4:$KX$4,0))*1000</f>
        <v>0</v>
      </c>
      <c r="CT369" s="250">
        <f>INDEX(연료전지_원본!$KB$4:$KX$369,MATCH($A369,연료전지_원본!$KB$4:$KB$369,0), MATCH(CT$4,연료전지_원본!$KB$4:$KX$4,0))*1000</f>
        <v>0</v>
      </c>
      <c r="CU369" s="250">
        <f>INDEX(연료전지_원본!$KB$4:$KX$369,MATCH($A369,연료전지_원본!$KB$4:$KB$369,0), MATCH(CU$4,연료전지_원본!$KB$4:$KX$4,0))*1000</f>
        <v>0</v>
      </c>
      <c r="CV369" s="250">
        <f>INDEX(연료전지_원본!$KB$4:$KX$369,MATCH($A369,연료전지_원본!$KB$4:$KB$369,0), MATCH(CV$4,연료전지_원본!$KB$4:$KX$4,0))*1000</f>
        <v>0</v>
      </c>
      <c r="CW369" s="250">
        <f>INDEX(연료전지_원본!$KB$4:$KX$369,MATCH($A369,연료전지_원본!$KB$4:$KB$369,0), MATCH(CW$4,연료전지_원본!$KB$4:$KX$4,0))*1000</f>
        <v>0</v>
      </c>
      <c r="CX369" s="250">
        <f>INDEX(연료전지_원본!$KB$4:$KX$369,MATCH($A369,연료전지_원본!$KB$4:$KB$369,0), MATCH(CX$4,연료전지_원본!$KB$4:$KX$4,0))*1000</f>
        <v>0</v>
      </c>
      <c r="CY369" s="250">
        <f>INDEX(연료전지_원본!$KB$4:$KX$369,MATCH($A369,연료전지_원본!$KB$4:$KB$369,0), MATCH(CY$4,연료전지_원본!$KB$4:$KX$4,0))*1000</f>
        <v>0</v>
      </c>
      <c r="DV369" s="30">
        <f t="shared" si="1947"/>
        <v>0</v>
      </c>
    </row>
    <row r="370" spans="1:126">
      <c r="A370" s="158">
        <v>46387</v>
      </c>
      <c r="B370" s="27">
        <f>운전실적_원본!B370</f>
        <v>0</v>
      </c>
      <c r="C370" s="28" t="str">
        <f t="shared" si="1953"/>
        <v/>
      </c>
      <c r="D370" s="29">
        <f>운전실적_원본!C370</f>
        <v>0</v>
      </c>
      <c r="E370" s="29" t="str">
        <f t="shared" si="1954"/>
        <v/>
      </c>
      <c r="F370" s="29">
        <f>운전실적_원본!D370</f>
        <v>0</v>
      </c>
      <c r="G370" s="28" t="str">
        <f t="shared" si="1955"/>
        <v/>
      </c>
      <c r="H370" s="27">
        <f>운전실적_원본!E370</f>
        <v>0</v>
      </c>
      <c r="I370" s="28" t="str">
        <f t="shared" si="1956"/>
        <v/>
      </c>
      <c r="J370" s="27">
        <f>운전실적_원본!F370</f>
        <v>0</v>
      </c>
      <c r="K370" s="28" t="str">
        <f t="shared" si="1956"/>
        <v/>
      </c>
      <c r="L370" s="159">
        <f>운전실적_원본!G370</f>
        <v>0</v>
      </c>
      <c r="M370" s="157" t="str">
        <f t="shared" ref="M370" si="2008">IF(OR(LEN(L370)=0,L370=0),"",L370-L369)</f>
        <v/>
      </c>
      <c r="N370" s="27">
        <f>운전실적_원본!H370</f>
        <v>0</v>
      </c>
      <c r="O370" s="28" t="str">
        <f t="shared" ref="O370" si="2009">IF(OR(LEN(N370)=0,N370=0),"",N370-N369)</f>
        <v/>
      </c>
      <c r="P370" s="27">
        <f>운전실적_원본!I370</f>
        <v>0</v>
      </c>
      <c r="Q370" s="28" t="str">
        <f t="shared" ref="Q370" si="2010">IF(OR(LEN(P370)=0,P370=0),"",P370-P369)</f>
        <v/>
      </c>
      <c r="R370" s="160">
        <f>운전실적_원본!J370</f>
        <v>0</v>
      </c>
      <c r="S370" s="161" t="str">
        <f t="shared" ref="S370" si="2011">IF(OR(LEN(R370)=0,R370=0),"",R370-R369)</f>
        <v/>
      </c>
      <c r="T370" s="160">
        <f>운전실적_원본!K370</f>
        <v>0</v>
      </c>
      <c r="U370" s="161" t="str">
        <f t="shared" si="1961"/>
        <v/>
      </c>
      <c r="V370" s="29">
        <f>운전실적_원본!L370</f>
        <v>0</v>
      </c>
      <c r="W370" s="28" t="str">
        <f t="shared" ref="W370" si="2012">IF(OR(LEN(V370)=0,V370=0),"",V370-V369)</f>
        <v/>
      </c>
      <c r="X370" s="162">
        <f>운전실적_원본!M370</f>
        <v>0</v>
      </c>
      <c r="Y370" s="162">
        <f>운전실적_원본!N370</f>
        <v>0</v>
      </c>
      <c r="Z370" s="162">
        <f>운전실적_원본!O370</f>
        <v>0</v>
      </c>
      <c r="AA370" s="162">
        <f>운전실적_원본!P370</f>
        <v>0</v>
      </c>
      <c r="AB370" s="162">
        <f>운전실적_원본!Q370</f>
        <v>0</v>
      </c>
      <c r="AC370" s="162">
        <f>운전실적_원본!R370</f>
        <v>0</v>
      </c>
      <c r="AD370" s="163">
        <f>운전실적_원본!S370</f>
        <v>0</v>
      </c>
      <c r="AE370" s="164">
        <f>운전실적_원본!T370</f>
        <v>0</v>
      </c>
      <c r="AF370" s="164">
        <f>운전실적_원본!U370</f>
        <v>0</v>
      </c>
      <c r="AG370" s="164">
        <f>운전실적_원본!V370</f>
        <v>0</v>
      </c>
      <c r="AH370" s="163">
        <f t="shared" si="1784"/>
        <v>0</v>
      </c>
      <c r="AI370" s="164">
        <f t="shared" si="1791"/>
        <v>0</v>
      </c>
      <c r="AJ370" s="164">
        <f>운전실적_원본!Y370</f>
        <v>0</v>
      </c>
      <c r="AK370" s="164">
        <f>운전실적_원본!Z370</f>
        <v>0</v>
      </c>
      <c r="AL370" s="165"/>
      <c r="AM370" s="166"/>
      <c r="AN370" s="166"/>
      <c r="AO370" s="166"/>
      <c r="AP370" s="166"/>
      <c r="AQ370" s="166"/>
      <c r="AR370" s="166"/>
      <c r="AS370" s="166"/>
      <c r="AT370" s="168"/>
      <c r="AU370" s="168"/>
      <c r="AV370" s="168"/>
      <c r="AW370" s="168"/>
      <c r="AX370" s="159">
        <f>운전실적_원본!W370</f>
        <v>0</v>
      </c>
      <c r="AY370" s="169">
        <f>운전실적_원본!X370</f>
        <v>0</v>
      </c>
      <c r="AZ370" s="169">
        <f>운전실적_원본!Y370</f>
        <v>0</v>
      </c>
      <c r="BA370" s="169">
        <f>운전실적_원본!Z370</f>
        <v>0</v>
      </c>
      <c r="BB370" s="169">
        <f>운전실적_원본!AA370</f>
        <v>0</v>
      </c>
      <c r="BC370" s="169">
        <f>운전실적_원본!AB370</f>
        <v>0</v>
      </c>
      <c r="BD370" s="159" t="str">
        <f t="shared" si="1777"/>
        <v>-</v>
      </c>
      <c r="BE370" s="169" t="str">
        <f t="shared" si="1785"/>
        <v>-</v>
      </c>
      <c r="BF370" s="169">
        <f>운전실적_원본!AE370</f>
        <v>0</v>
      </c>
      <c r="BG370" s="157">
        <f t="shared" si="1778"/>
        <v>0</v>
      </c>
      <c r="BH370" s="244">
        <f>INDEX(연료전지_원본!$A$4:$KY$369,MATCH($A370,연료전지_원본!$A$4:$A$369,0),MATCH($BH$4,연료전지_원본!$A$4:$KY$4,0))</f>
        <v>0</v>
      </c>
      <c r="BI370" s="244">
        <f>INDEX(연료전지_원본!$A$4:$KY$369,MATCH($A370,연료전지_원본!$A$4:$A$369,0),MATCH($BI$4,연료전지_원본!$A$4:$KY$4,0))</f>
        <v>0</v>
      </c>
      <c r="BJ370" s="244">
        <f>INDEX(연료전지_원본!$A$4:$KY$369,MATCH($A370,연료전지_원본!$A$4:$A$369,0),MATCH($BJ$4,연료전지_원본!$A$4:$KY$4,0))</f>
        <v>0</v>
      </c>
      <c r="BK370" s="244">
        <f>INDEX(연료전지_원본!$A$4:$KY$369,MATCH($A370,연료전지_원본!$A$4:$A$369,0),MATCH($BK$4,연료전지_원본!$A$4:$KY$4,0))</f>
        <v>0</v>
      </c>
      <c r="BL370" s="244">
        <f>INDEX(연료전지_원본!$A$4:$KY$369,MATCH($A370,연료전지_원본!$A$4:$A$369,0),MATCH($BL$4,연료전지_원본!$A$4:$KY$4,0))</f>
        <v>0</v>
      </c>
      <c r="BM370" s="244">
        <f>INDEX(연료전지_원본!$A$4:$KY$369,MATCH($A370,연료전지_원본!$A$4:$A$369,0),MATCH($BM$4,연료전지_원본!$A$4:$KY$4,0))</f>
        <v>0</v>
      </c>
      <c r="BN370" s="244">
        <f>INDEX(연료전지_원본!$A$4:$KY$369,MATCH($A370,연료전지_원본!$A$4:$A$369,0),MATCH($BN$4,연료전지_원본!$A$4:$KY$4,0))</f>
        <v>0</v>
      </c>
      <c r="BO370" s="244">
        <f>INDEX(연료전지_원본!$A$4:$KY$369,MATCH($A370,연료전지_원본!$A$4:$A$369,0),MATCH($BO$4,연료전지_원본!$A$4:$KY$4,0))</f>
        <v>0</v>
      </c>
      <c r="BP370" s="244">
        <f>INDEX(연료전지_원본!$A$4:$KY$369,MATCH($A370,연료전지_원본!$A$4:$A$369,0),MATCH($BP$4,연료전지_원본!$A$4:$KY$4,0))</f>
        <v>0</v>
      </c>
      <c r="BQ370" s="244">
        <f>INDEX(연료전지_원본!$A$4:$KY$369,MATCH($A370,연료전지_원본!$A$4:$A$369,0),MATCH($BQ$4,연료전지_원본!$A$4:$KY$4,0))</f>
        <v>0</v>
      </c>
      <c r="BR370" s="244">
        <f>INDEX(연료전지_원본!$A$4:$KY$369,MATCH($A370,연료전지_원본!$A$4:$A$369,0),MATCH($BR$4,연료전지_원본!$A$4:$KY$4,0))</f>
        <v>0</v>
      </c>
      <c r="BS370" s="244">
        <f>INDEX(연료전지_원본!$A$4:$KY$369,MATCH($A370,연료전지_원본!$A$4:$A$369,0),MATCH($BS$4,연료전지_원본!$A$4:$KY$4,0))</f>
        <v>0</v>
      </c>
      <c r="BT370" s="244">
        <f>INDEX(연료전지_원본!$A$4:$KY$369,MATCH($A370,연료전지_원본!$A$4:$A$369,0),MATCH($BT$4,연료전지_원본!$A$4:$KY$4,0))</f>
        <v>0</v>
      </c>
      <c r="BU370" s="244">
        <f>INDEX(연료전지_원본!$A$4:$KY$369,MATCH($A370,연료전지_원본!$A$4:$A$369,0),MATCH($BU$4,연료전지_원본!$A$4:$KY$4,0))</f>
        <v>0</v>
      </c>
      <c r="BV370" s="244">
        <f>INDEX(연료전지_원본!$A$4:$KY$369,MATCH($A370,연료전지_원본!$A$4:$A$369,0),MATCH($BV$4,연료전지_원본!$A$4:$KY$4,0))</f>
        <v>0</v>
      </c>
      <c r="BW370" s="244">
        <f>INDEX(연료전지_원본!$A$4:$KY$369,MATCH($A370,연료전지_원본!$A$4:$A$369,0),MATCH($BW$4,연료전지_원본!$A$4:$KY$4,0))</f>
        <v>0</v>
      </c>
      <c r="BX370" s="244">
        <f>INDEX(연료전지_원본!$A$4:$KY$369,MATCH($A370,연료전지_원본!$A$4:$A$369,0),MATCH($BX$4,연료전지_원본!$A$4:$KY$4,0))</f>
        <v>0</v>
      </c>
      <c r="BY370" s="244">
        <f>INDEX(연료전지_원본!$A$4:$KY$369,MATCH($A370,연료전지_원본!$A$4:$A$369,0),MATCH($BY$4,연료전지_원본!$A$4:$KY$4,0))</f>
        <v>0</v>
      </c>
      <c r="BZ370" s="244">
        <f>INDEX(연료전지_원본!$A$4:$KY$369,MATCH($A370,연료전지_원본!$A$4:$A$369,0),MATCH($BZ$4,연료전지_원본!$A$4:$KY$4,0))</f>
        <v>0</v>
      </c>
      <c r="CA370" s="244">
        <f>INDEX(연료전지_원본!$A$4:$KY$369,MATCH($A370,연료전지_원본!$A$4:$A$369,0),MATCH($CA$4,연료전지_원본!$A$4:$KY$4,0))</f>
        <v>0</v>
      </c>
      <c r="CB370" s="244">
        <f>INDEX(연료전지_원본!$A$4:$KY$369,MATCH($A370,연료전지_원본!$A$4:$A$369,0),MATCH($CB$4,연료전지_원본!$A$4:$KY$4,0))</f>
        <v>0</v>
      </c>
      <c r="CC370" s="245">
        <f>INDEX(연료전지_원본!$A$4:$KY$369,MATCH($A370,연료전지_원본!$A$4:$A$369,0),MATCH($CC$4,연료전지_원본!$A$4:$KY$4,0))</f>
        <v>0</v>
      </c>
      <c r="CD370" s="257">
        <f>INDEX(연료전지_원본!$KB$4:$KX$369,MATCH($A370,연료전지_원본!$KB$4:$KB$369,0), MATCH(CD$4,연료전지_원본!$KB$4:$KX$4,0))*1000</f>
        <v>0</v>
      </c>
      <c r="CE370" s="257">
        <f>INDEX(연료전지_원본!$KB$4:$KX$369,MATCH($A370,연료전지_원본!$KB$4:$KB$369,0), MATCH(CE$4,연료전지_원본!$KB$4:$KX$4,0))*1000</f>
        <v>0</v>
      </c>
      <c r="CF370" s="257">
        <f>INDEX(연료전지_원본!$KB$4:$KX$369,MATCH($A370,연료전지_원본!$KB$4:$KB$369,0), MATCH(CF$4,연료전지_원본!$KB$4:$KX$4,0))*1000</f>
        <v>0</v>
      </c>
      <c r="CG370" s="257">
        <f>INDEX(연료전지_원본!$KB$4:$KX$369,MATCH($A370,연료전지_원본!$KB$4:$KB$369,0), MATCH(CG$4,연료전지_원본!$KB$4:$KX$4,0))*1000</f>
        <v>0</v>
      </c>
      <c r="CH370" s="257">
        <f>INDEX(연료전지_원본!$KB$4:$KX$369,MATCH($A370,연료전지_원본!$KB$4:$KB$369,0), MATCH(CH$4,연료전지_원본!$KB$4:$KX$4,0))*1000</f>
        <v>0</v>
      </c>
      <c r="CI370" s="257">
        <f>INDEX(연료전지_원본!$KB$4:$KX$369,MATCH($A370,연료전지_원본!$KB$4:$KB$369,0), MATCH(CI$4,연료전지_원본!$KB$4:$KX$4,0))*1000</f>
        <v>0</v>
      </c>
      <c r="CJ370" s="257">
        <f>INDEX(연료전지_원본!$KB$4:$KX$369,MATCH($A370,연료전지_원본!$KB$4:$KB$369,0), MATCH(CJ$4,연료전지_원본!$KB$4:$KX$4,0))*1000</f>
        <v>0</v>
      </c>
      <c r="CK370" s="257">
        <f>INDEX(연료전지_원본!$KB$4:$KX$369,MATCH($A370,연료전지_원본!$KB$4:$KB$369,0), MATCH(CK$4,연료전지_원본!$KB$4:$KX$4,0))*1000</f>
        <v>0</v>
      </c>
      <c r="CL370" s="257">
        <f>INDEX(연료전지_원본!$KB$4:$KX$369,MATCH($A370,연료전지_원본!$KB$4:$KB$369,0), MATCH(CL$4,연료전지_원본!$KB$4:$KX$4,0))*1000</f>
        <v>0</v>
      </c>
      <c r="CM370" s="257">
        <f>INDEX(연료전지_원본!$KB$4:$KX$369,MATCH($A370,연료전지_원본!$KB$4:$KB$369,0), MATCH(CM$4,연료전지_원본!$KB$4:$KX$4,0))*1000</f>
        <v>0</v>
      </c>
      <c r="CN370" s="257">
        <f>INDEX(연료전지_원본!$KB$4:$KX$369,MATCH($A370,연료전지_원본!$KB$4:$KB$369,0), MATCH(CN$4,연료전지_원본!$KB$4:$KX$4,0))*1000</f>
        <v>0</v>
      </c>
      <c r="CO370" s="257">
        <f>INDEX(연료전지_원본!$KB$4:$KX$369,MATCH($A370,연료전지_원본!$KB$4:$KB$369,0), MATCH(CO$4,연료전지_원본!$KB$4:$KX$4,0))*1000</f>
        <v>0</v>
      </c>
      <c r="CP370" s="257">
        <f>INDEX(연료전지_원본!$KB$4:$KX$369,MATCH($A370,연료전지_원본!$KB$4:$KB$369,0), MATCH(CP$4,연료전지_원본!$KB$4:$KX$4,0))*1000</f>
        <v>0</v>
      </c>
      <c r="CQ370" s="257">
        <f>INDEX(연료전지_원본!$KB$4:$KX$369,MATCH($A370,연료전지_원본!$KB$4:$KB$369,0), MATCH(CQ$4,연료전지_원본!$KB$4:$KX$4,0))*1000</f>
        <v>0</v>
      </c>
      <c r="CR370" s="257">
        <f>INDEX(연료전지_원본!$KB$4:$KX$369,MATCH($A370,연료전지_원본!$KB$4:$KB$369,0), MATCH(CR$4,연료전지_원본!$KB$4:$KX$4,0))*1000</f>
        <v>0</v>
      </c>
      <c r="CS370" s="257">
        <f>INDEX(연료전지_원본!$KB$4:$KX$369,MATCH($A370,연료전지_원본!$KB$4:$KB$369,0), MATCH(CS$4,연료전지_원본!$KB$4:$KX$4,0))*1000</f>
        <v>0</v>
      </c>
      <c r="CT370" s="257">
        <f>INDEX(연료전지_원본!$KB$4:$KX$369,MATCH($A370,연료전지_원본!$KB$4:$KB$369,0), MATCH(CT$4,연료전지_원본!$KB$4:$KX$4,0))*1000</f>
        <v>0</v>
      </c>
      <c r="CU370" s="257">
        <f>INDEX(연료전지_원본!$KB$4:$KX$369,MATCH($A370,연료전지_원본!$KB$4:$KB$369,0), MATCH(CU$4,연료전지_원본!$KB$4:$KX$4,0))*1000</f>
        <v>0</v>
      </c>
      <c r="CV370" s="257">
        <f>INDEX(연료전지_원본!$KB$4:$KX$369,MATCH($A370,연료전지_원본!$KB$4:$KB$369,0), MATCH(CV$4,연료전지_원본!$KB$4:$KX$4,0))*1000</f>
        <v>0</v>
      </c>
      <c r="CW370" s="257">
        <f>INDEX(연료전지_원본!$KB$4:$KX$369,MATCH($A370,연료전지_원본!$KB$4:$KB$369,0), MATCH(CW$4,연료전지_원본!$KB$4:$KX$4,0))*1000</f>
        <v>0</v>
      </c>
      <c r="CX370" s="257">
        <f>INDEX(연료전지_원본!$KB$4:$KX$369,MATCH($A370,연료전지_원본!$KB$4:$KB$369,0), MATCH(CX$4,연료전지_원본!$KB$4:$KX$4,0))*1000</f>
        <v>0</v>
      </c>
      <c r="CY370" s="257">
        <f>INDEX(연료전지_원본!$KB$4:$KX$369,MATCH($A370,연료전지_원본!$KB$4:$KB$369,0), MATCH(CY$4,연료전지_원본!$KB$4:$KX$4,0))*1000</f>
        <v>0</v>
      </c>
      <c r="CZ370" s="186"/>
      <c r="DA370" s="182"/>
      <c r="DB370" s="182"/>
      <c r="DC370" s="182"/>
      <c r="DD370" s="182"/>
      <c r="DE370" s="182"/>
      <c r="DF370" s="182"/>
      <c r="DG370" s="182"/>
      <c r="DH370" s="182"/>
      <c r="DI370" s="182"/>
      <c r="DJ370" s="182"/>
      <c r="DK370" s="182"/>
      <c r="DL370" s="182"/>
      <c r="DM370" s="182"/>
      <c r="DN370" s="182"/>
      <c r="DO370" s="182"/>
      <c r="DP370" s="182"/>
      <c r="DQ370" s="182"/>
      <c r="DR370" s="182"/>
      <c r="DS370" s="182"/>
      <c r="DT370" s="182"/>
      <c r="DU370" s="182"/>
      <c r="DV370" s="182">
        <f t="shared" si="1947"/>
        <v>0</v>
      </c>
    </row>
  </sheetData>
  <mergeCells count="2">
    <mergeCell ref="CZ3:DU3"/>
    <mergeCell ref="CD3:CY3"/>
  </mergeCells>
  <phoneticPr fontId="3" type="noConversion"/>
  <conditionalFormatting sqref="AD6:AD370">
    <cfRule type="expression" dxfId="17" priority="32">
      <formula>ROUND(AD6,2)=ROUND($AH5,2)</formula>
    </cfRule>
  </conditionalFormatting>
  <conditionalFormatting sqref="AE6:AE370">
    <cfRule type="expression" dxfId="16" priority="34">
      <formula>ROUND(AE6,2)=ROUND($AI5,2)</formula>
    </cfRule>
  </conditionalFormatting>
  <conditionalFormatting sqref="AF6:AF370">
    <cfRule type="expression" dxfId="15" priority="36">
      <formula>ROUND(AF6,2)=ROUND($AJ5,2)</formula>
    </cfRule>
  </conditionalFormatting>
  <conditionalFormatting sqref="AG6:AG370">
    <cfRule type="expression" dxfId="14" priority="38">
      <formula>ROUND(AG6,2)=ROUND($AK5,2)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55E3-6A16-4E52-9408-2AF5C8681B23}">
  <dimension ref="A1:KY369"/>
  <sheetViews>
    <sheetView showGridLines="0" zoomScale="70" zoomScaleNormal="70" workbookViewId="0">
      <pane xSplit="1" ySplit="4" topLeftCell="HF56" activePane="bottomRight" state="frozen"/>
      <selection pane="topRight" activeCell="B1" sqref="B1"/>
      <selection pane="bottomLeft" activeCell="A5" sqref="A5"/>
      <selection pane="bottomRight" activeCell="HR53" sqref="HR53"/>
    </sheetView>
  </sheetViews>
  <sheetFormatPr defaultColWidth="8.58203125" defaultRowHeight="17"/>
  <cols>
    <col min="1" max="1" width="9.83203125" style="8" bestFit="1" customWidth="1"/>
    <col min="2" max="221" width="8.58203125" style="8" customWidth="1"/>
    <col min="222" max="287" width="8.58203125" style="8"/>
    <col min="288" max="288" width="10.58203125" style="249" bestFit="1" customWidth="1"/>
    <col min="289" max="16384" width="8.58203125" style="8"/>
  </cols>
  <sheetData>
    <row r="1" spans="1:311">
      <c r="KB1" s="246"/>
    </row>
    <row r="2" spans="1:311" ht="17.5" thickBot="1">
      <c r="A2" s="226" t="s">
        <v>163</v>
      </c>
      <c r="HN2" s="8" t="s">
        <v>164</v>
      </c>
      <c r="KB2" s="246"/>
    </row>
    <row r="3" spans="1:311" ht="17.5" thickBot="1">
      <c r="A3" s="190"/>
      <c r="B3" s="332" t="s">
        <v>165</v>
      </c>
      <c r="C3" s="332"/>
      <c r="D3" s="332"/>
      <c r="E3" s="332"/>
      <c r="F3" s="332"/>
      <c r="G3" s="332"/>
      <c r="H3" s="332"/>
      <c r="I3" s="332"/>
      <c r="J3" s="332"/>
      <c r="K3" s="333"/>
      <c r="L3" s="332" t="s">
        <v>120</v>
      </c>
      <c r="M3" s="332"/>
      <c r="N3" s="332"/>
      <c r="O3" s="332"/>
      <c r="P3" s="332"/>
      <c r="Q3" s="332"/>
      <c r="R3" s="332"/>
      <c r="S3" s="332"/>
      <c r="T3" s="332"/>
      <c r="U3" s="333"/>
      <c r="V3" s="332" t="s">
        <v>121</v>
      </c>
      <c r="W3" s="332"/>
      <c r="X3" s="332"/>
      <c r="Y3" s="332"/>
      <c r="Z3" s="332"/>
      <c r="AA3" s="332"/>
      <c r="AB3" s="332"/>
      <c r="AC3" s="332"/>
      <c r="AD3" s="332"/>
      <c r="AE3" s="333"/>
      <c r="AF3" s="332" t="s">
        <v>122</v>
      </c>
      <c r="AG3" s="332"/>
      <c r="AH3" s="332"/>
      <c r="AI3" s="332"/>
      <c r="AJ3" s="332"/>
      <c r="AK3" s="332"/>
      <c r="AL3" s="332"/>
      <c r="AM3" s="332"/>
      <c r="AN3" s="332"/>
      <c r="AO3" s="333"/>
      <c r="AP3" s="332" t="s">
        <v>123</v>
      </c>
      <c r="AQ3" s="332"/>
      <c r="AR3" s="332"/>
      <c r="AS3" s="332"/>
      <c r="AT3" s="332"/>
      <c r="AU3" s="332"/>
      <c r="AV3" s="332"/>
      <c r="AW3" s="332"/>
      <c r="AX3" s="332"/>
      <c r="AY3" s="333"/>
      <c r="AZ3" s="332" t="s">
        <v>124</v>
      </c>
      <c r="BA3" s="332"/>
      <c r="BB3" s="332"/>
      <c r="BC3" s="332"/>
      <c r="BD3" s="332"/>
      <c r="BE3" s="332"/>
      <c r="BF3" s="332"/>
      <c r="BG3" s="332"/>
      <c r="BH3" s="332"/>
      <c r="BI3" s="333"/>
      <c r="BJ3" s="332" t="s">
        <v>125</v>
      </c>
      <c r="BK3" s="332"/>
      <c r="BL3" s="332"/>
      <c r="BM3" s="332"/>
      <c r="BN3" s="332"/>
      <c r="BO3" s="332"/>
      <c r="BP3" s="332"/>
      <c r="BQ3" s="332"/>
      <c r="BR3" s="332"/>
      <c r="BS3" s="333"/>
      <c r="BT3" s="332" t="s">
        <v>126</v>
      </c>
      <c r="BU3" s="332"/>
      <c r="BV3" s="332"/>
      <c r="BW3" s="332"/>
      <c r="BX3" s="332"/>
      <c r="BY3" s="332"/>
      <c r="BZ3" s="332"/>
      <c r="CA3" s="332"/>
      <c r="CB3" s="332"/>
      <c r="CC3" s="333"/>
      <c r="CD3" s="332" t="s">
        <v>127</v>
      </c>
      <c r="CE3" s="332"/>
      <c r="CF3" s="332"/>
      <c r="CG3" s="332"/>
      <c r="CH3" s="332"/>
      <c r="CI3" s="332"/>
      <c r="CJ3" s="332"/>
      <c r="CK3" s="332"/>
      <c r="CL3" s="332"/>
      <c r="CM3" s="333"/>
      <c r="CN3" s="332" t="s">
        <v>128</v>
      </c>
      <c r="CO3" s="332"/>
      <c r="CP3" s="332"/>
      <c r="CQ3" s="332"/>
      <c r="CR3" s="332"/>
      <c r="CS3" s="332"/>
      <c r="CT3" s="332"/>
      <c r="CU3" s="332"/>
      <c r="CV3" s="332"/>
      <c r="CW3" s="333"/>
      <c r="CX3" s="332" t="s">
        <v>129</v>
      </c>
      <c r="CY3" s="332"/>
      <c r="CZ3" s="332"/>
      <c r="DA3" s="332"/>
      <c r="DB3" s="332"/>
      <c r="DC3" s="332"/>
      <c r="DD3" s="332"/>
      <c r="DE3" s="332"/>
      <c r="DF3" s="332"/>
      <c r="DG3" s="333"/>
      <c r="DH3" s="332" t="s">
        <v>130</v>
      </c>
      <c r="DI3" s="332"/>
      <c r="DJ3" s="332"/>
      <c r="DK3" s="332"/>
      <c r="DL3" s="332"/>
      <c r="DM3" s="332"/>
      <c r="DN3" s="332"/>
      <c r="DO3" s="332"/>
      <c r="DP3" s="332"/>
      <c r="DQ3" s="333"/>
      <c r="DR3" s="332" t="s">
        <v>131</v>
      </c>
      <c r="DS3" s="332"/>
      <c r="DT3" s="332"/>
      <c r="DU3" s="332"/>
      <c r="DV3" s="332"/>
      <c r="DW3" s="332"/>
      <c r="DX3" s="332"/>
      <c r="DY3" s="332"/>
      <c r="DZ3" s="332"/>
      <c r="EA3" s="333"/>
      <c r="EB3" s="332" t="s">
        <v>132</v>
      </c>
      <c r="EC3" s="332"/>
      <c r="ED3" s="332"/>
      <c r="EE3" s="332"/>
      <c r="EF3" s="332"/>
      <c r="EG3" s="332"/>
      <c r="EH3" s="332"/>
      <c r="EI3" s="332"/>
      <c r="EJ3" s="332"/>
      <c r="EK3" s="333"/>
      <c r="EL3" s="332" t="s">
        <v>133</v>
      </c>
      <c r="EM3" s="332"/>
      <c r="EN3" s="332"/>
      <c r="EO3" s="332"/>
      <c r="EP3" s="332"/>
      <c r="EQ3" s="332"/>
      <c r="ER3" s="332"/>
      <c r="ES3" s="332"/>
      <c r="ET3" s="332"/>
      <c r="EU3" s="333"/>
      <c r="EV3" s="332" t="s">
        <v>134</v>
      </c>
      <c r="EW3" s="332"/>
      <c r="EX3" s="332"/>
      <c r="EY3" s="332"/>
      <c r="EZ3" s="332"/>
      <c r="FA3" s="332"/>
      <c r="FB3" s="332"/>
      <c r="FC3" s="332"/>
      <c r="FD3" s="332"/>
      <c r="FE3" s="333"/>
      <c r="FF3" s="332" t="s">
        <v>135</v>
      </c>
      <c r="FG3" s="332"/>
      <c r="FH3" s="332"/>
      <c r="FI3" s="332"/>
      <c r="FJ3" s="332"/>
      <c r="FK3" s="332"/>
      <c r="FL3" s="332"/>
      <c r="FM3" s="332"/>
      <c r="FN3" s="332"/>
      <c r="FO3" s="333"/>
      <c r="FP3" s="332" t="s">
        <v>136</v>
      </c>
      <c r="FQ3" s="332"/>
      <c r="FR3" s="332"/>
      <c r="FS3" s="332"/>
      <c r="FT3" s="332"/>
      <c r="FU3" s="332"/>
      <c r="FV3" s="332"/>
      <c r="FW3" s="332"/>
      <c r="FX3" s="332"/>
      <c r="FY3" s="333"/>
      <c r="FZ3" s="332" t="s">
        <v>137</v>
      </c>
      <c r="GA3" s="332"/>
      <c r="GB3" s="332"/>
      <c r="GC3" s="332"/>
      <c r="GD3" s="332"/>
      <c r="GE3" s="332"/>
      <c r="GF3" s="332"/>
      <c r="GG3" s="332"/>
      <c r="GH3" s="332"/>
      <c r="GI3" s="333"/>
      <c r="GJ3" s="332" t="s">
        <v>138</v>
      </c>
      <c r="GK3" s="332"/>
      <c r="GL3" s="332"/>
      <c r="GM3" s="332"/>
      <c r="GN3" s="332"/>
      <c r="GO3" s="332"/>
      <c r="GP3" s="332"/>
      <c r="GQ3" s="332"/>
      <c r="GR3" s="332"/>
      <c r="GS3" s="333"/>
      <c r="GT3" s="332" t="s">
        <v>166</v>
      </c>
      <c r="GU3" s="332"/>
      <c r="GV3" s="332"/>
      <c r="GW3" s="332"/>
      <c r="GX3" s="332"/>
      <c r="GY3" s="332"/>
      <c r="GZ3" s="332"/>
      <c r="HA3" s="332"/>
      <c r="HB3" s="332"/>
      <c r="HC3" s="333"/>
      <c r="HD3" s="332" t="s">
        <v>167</v>
      </c>
      <c r="HE3" s="332"/>
      <c r="HF3" s="332"/>
      <c r="HG3" s="332"/>
      <c r="HH3" s="332"/>
      <c r="HI3" s="332"/>
      <c r="HJ3" s="332"/>
      <c r="HK3" s="332"/>
      <c r="HL3" s="332"/>
      <c r="HM3" s="333"/>
      <c r="HN3" s="227" t="s">
        <v>165</v>
      </c>
      <c r="HO3" s="228"/>
      <c r="HP3" s="227" t="s">
        <v>168</v>
      </c>
      <c r="HQ3" s="228"/>
      <c r="HR3" s="227" t="s">
        <v>121</v>
      </c>
      <c r="HS3" s="228"/>
      <c r="HT3" s="227" t="s">
        <v>122</v>
      </c>
      <c r="HU3" s="228"/>
      <c r="HV3" s="227" t="s">
        <v>123</v>
      </c>
      <c r="HW3" s="228"/>
      <c r="HX3" s="227" t="s">
        <v>124</v>
      </c>
      <c r="HY3" s="228"/>
      <c r="HZ3" s="227" t="s">
        <v>125</v>
      </c>
      <c r="IA3" s="228"/>
      <c r="IB3" s="227" t="s">
        <v>126</v>
      </c>
      <c r="IC3" s="228"/>
      <c r="ID3" s="227" t="s">
        <v>127</v>
      </c>
      <c r="IE3" s="228"/>
      <c r="IF3" s="227" t="s">
        <v>128</v>
      </c>
      <c r="IG3" s="228"/>
      <c r="IH3" s="227" t="s">
        <v>129</v>
      </c>
      <c r="II3" s="228"/>
      <c r="IJ3" s="227" t="s">
        <v>130</v>
      </c>
      <c r="IK3" s="228"/>
      <c r="IL3" s="227" t="s">
        <v>131</v>
      </c>
      <c r="IM3" s="228"/>
      <c r="IN3" s="227" t="s">
        <v>132</v>
      </c>
      <c r="IO3" s="228"/>
      <c r="IP3" s="227" t="s">
        <v>133</v>
      </c>
      <c r="IQ3" s="228"/>
      <c r="IR3" s="227" t="s">
        <v>134</v>
      </c>
      <c r="IS3" s="228"/>
      <c r="IT3" s="227" t="s">
        <v>135</v>
      </c>
      <c r="IU3" s="228"/>
      <c r="IV3" s="227" t="s">
        <v>136</v>
      </c>
      <c r="IW3" s="228"/>
      <c r="IX3" s="227" t="s">
        <v>137</v>
      </c>
      <c r="IY3" s="228"/>
      <c r="IZ3" s="227" t="s">
        <v>138</v>
      </c>
      <c r="JA3" s="228"/>
      <c r="JB3" s="227" t="s">
        <v>139</v>
      </c>
      <c r="JC3" s="228"/>
      <c r="JD3" s="227" t="s">
        <v>140</v>
      </c>
      <c r="JE3" s="231"/>
      <c r="JF3" s="327" t="s">
        <v>169</v>
      </c>
      <c r="JG3" s="328"/>
      <c r="JH3" s="328"/>
      <c r="JI3" s="328"/>
      <c r="JJ3" s="328"/>
      <c r="JK3" s="328"/>
      <c r="JL3" s="328"/>
      <c r="JM3" s="328"/>
      <c r="JN3" s="328"/>
      <c r="JO3" s="328"/>
      <c r="JP3" s="328"/>
      <c r="JQ3" s="328"/>
      <c r="JR3" s="328"/>
      <c r="JS3" s="328"/>
      <c r="JT3" s="328"/>
      <c r="JU3" s="328"/>
      <c r="JV3" s="328"/>
      <c r="JW3" s="328"/>
      <c r="JX3" s="328"/>
      <c r="JY3" s="328"/>
      <c r="JZ3" s="328"/>
      <c r="KA3" s="329"/>
      <c r="KB3" s="330" t="s">
        <v>170</v>
      </c>
      <c r="KC3" s="330"/>
      <c r="KD3" s="330"/>
      <c r="KE3" s="330"/>
      <c r="KF3" s="330"/>
      <c r="KG3" s="330"/>
      <c r="KH3" s="330"/>
      <c r="KI3" s="330"/>
      <c r="KJ3" s="330"/>
      <c r="KK3" s="330"/>
      <c r="KL3" s="330"/>
      <c r="KM3" s="330"/>
      <c r="KN3" s="330"/>
      <c r="KO3" s="330"/>
      <c r="KP3" s="330"/>
      <c r="KQ3" s="330"/>
      <c r="KR3" s="330"/>
      <c r="KS3" s="330"/>
      <c r="KT3" s="330"/>
      <c r="KU3" s="330"/>
      <c r="KV3" s="330"/>
      <c r="KW3" s="330"/>
      <c r="KX3" s="330"/>
      <c r="KY3" s="331"/>
    </row>
    <row r="4" spans="1:311" ht="18" thickTop="1" thickBot="1">
      <c r="A4" s="190" t="s">
        <v>171</v>
      </c>
      <c r="B4" s="191" t="s">
        <v>172</v>
      </c>
      <c r="C4" s="191" t="s">
        <v>173</v>
      </c>
      <c r="D4" s="191" t="s">
        <v>172</v>
      </c>
      <c r="E4" s="191" t="s">
        <v>173</v>
      </c>
      <c r="F4" s="191" t="s">
        <v>172</v>
      </c>
      <c r="G4" s="191" t="s">
        <v>173</v>
      </c>
      <c r="H4" s="191" t="s">
        <v>174</v>
      </c>
      <c r="I4" s="191" t="s">
        <v>175</v>
      </c>
      <c r="J4" s="192" t="s">
        <v>176</v>
      </c>
      <c r="K4" s="193" t="s">
        <v>177</v>
      </c>
      <c r="L4" s="191" t="s">
        <v>172</v>
      </c>
      <c r="M4" s="191" t="s">
        <v>173</v>
      </c>
      <c r="N4" s="191" t="s">
        <v>172</v>
      </c>
      <c r="O4" s="191" t="s">
        <v>173</v>
      </c>
      <c r="P4" s="191" t="s">
        <v>172</v>
      </c>
      <c r="Q4" s="191" t="s">
        <v>173</v>
      </c>
      <c r="R4" s="191" t="s">
        <v>174</v>
      </c>
      <c r="S4" s="191" t="s">
        <v>175</v>
      </c>
      <c r="T4" s="192" t="s">
        <v>176</v>
      </c>
      <c r="U4" s="193" t="s">
        <v>177</v>
      </c>
      <c r="V4" s="191" t="s">
        <v>172</v>
      </c>
      <c r="W4" s="191" t="s">
        <v>173</v>
      </c>
      <c r="X4" s="191" t="s">
        <v>172</v>
      </c>
      <c r="Y4" s="191" t="s">
        <v>173</v>
      </c>
      <c r="Z4" s="191" t="s">
        <v>172</v>
      </c>
      <c r="AA4" s="191" t="s">
        <v>173</v>
      </c>
      <c r="AB4" s="191" t="s">
        <v>174</v>
      </c>
      <c r="AC4" s="191" t="s">
        <v>175</v>
      </c>
      <c r="AD4" s="192" t="s">
        <v>176</v>
      </c>
      <c r="AE4" s="193" t="s">
        <v>177</v>
      </c>
      <c r="AF4" s="191" t="s">
        <v>172</v>
      </c>
      <c r="AG4" s="191" t="s">
        <v>173</v>
      </c>
      <c r="AH4" s="191" t="s">
        <v>172</v>
      </c>
      <c r="AI4" s="191" t="s">
        <v>173</v>
      </c>
      <c r="AJ4" s="191" t="s">
        <v>172</v>
      </c>
      <c r="AK4" s="191" t="s">
        <v>173</v>
      </c>
      <c r="AL4" s="191" t="s">
        <v>174</v>
      </c>
      <c r="AM4" s="191" t="s">
        <v>175</v>
      </c>
      <c r="AN4" s="192" t="s">
        <v>176</v>
      </c>
      <c r="AO4" s="193" t="s">
        <v>177</v>
      </c>
      <c r="AP4" s="191" t="s">
        <v>172</v>
      </c>
      <c r="AQ4" s="191" t="s">
        <v>173</v>
      </c>
      <c r="AR4" s="191" t="s">
        <v>172</v>
      </c>
      <c r="AS4" s="191" t="s">
        <v>173</v>
      </c>
      <c r="AT4" s="191" t="s">
        <v>172</v>
      </c>
      <c r="AU4" s="191" t="s">
        <v>173</v>
      </c>
      <c r="AV4" s="191" t="s">
        <v>174</v>
      </c>
      <c r="AW4" s="191" t="s">
        <v>175</v>
      </c>
      <c r="AX4" s="192" t="s">
        <v>176</v>
      </c>
      <c r="AY4" s="193" t="s">
        <v>177</v>
      </c>
      <c r="AZ4" s="191" t="s">
        <v>172</v>
      </c>
      <c r="BA4" s="191" t="s">
        <v>173</v>
      </c>
      <c r="BB4" s="191" t="s">
        <v>172</v>
      </c>
      <c r="BC4" s="191" t="s">
        <v>173</v>
      </c>
      <c r="BD4" s="191" t="s">
        <v>172</v>
      </c>
      <c r="BE4" s="191" t="s">
        <v>173</v>
      </c>
      <c r="BF4" s="191" t="s">
        <v>174</v>
      </c>
      <c r="BG4" s="191" t="s">
        <v>175</v>
      </c>
      <c r="BH4" s="192" t="s">
        <v>176</v>
      </c>
      <c r="BI4" s="193" t="s">
        <v>177</v>
      </c>
      <c r="BJ4" s="191" t="s">
        <v>172</v>
      </c>
      <c r="BK4" s="191" t="s">
        <v>173</v>
      </c>
      <c r="BL4" s="191" t="s">
        <v>172</v>
      </c>
      <c r="BM4" s="191" t="s">
        <v>173</v>
      </c>
      <c r="BN4" s="191" t="s">
        <v>172</v>
      </c>
      <c r="BO4" s="191" t="s">
        <v>173</v>
      </c>
      <c r="BP4" s="191" t="s">
        <v>174</v>
      </c>
      <c r="BQ4" s="191" t="s">
        <v>175</v>
      </c>
      <c r="BR4" s="192" t="s">
        <v>176</v>
      </c>
      <c r="BS4" s="193" t="s">
        <v>177</v>
      </c>
      <c r="BT4" s="191" t="s">
        <v>172</v>
      </c>
      <c r="BU4" s="191" t="s">
        <v>173</v>
      </c>
      <c r="BV4" s="191" t="s">
        <v>172</v>
      </c>
      <c r="BW4" s="191" t="s">
        <v>173</v>
      </c>
      <c r="BX4" s="191" t="s">
        <v>172</v>
      </c>
      <c r="BY4" s="191" t="s">
        <v>173</v>
      </c>
      <c r="BZ4" s="191" t="s">
        <v>174</v>
      </c>
      <c r="CA4" s="191" t="s">
        <v>175</v>
      </c>
      <c r="CB4" s="192" t="s">
        <v>176</v>
      </c>
      <c r="CC4" s="193" t="s">
        <v>177</v>
      </c>
      <c r="CD4" s="191" t="s">
        <v>172</v>
      </c>
      <c r="CE4" s="191" t="s">
        <v>173</v>
      </c>
      <c r="CF4" s="191" t="s">
        <v>172</v>
      </c>
      <c r="CG4" s="191" t="s">
        <v>173</v>
      </c>
      <c r="CH4" s="191" t="s">
        <v>172</v>
      </c>
      <c r="CI4" s="191" t="s">
        <v>173</v>
      </c>
      <c r="CJ4" s="191" t="s">
        <v>174</v>
      </c>
      <c r="CK4" s="191" t="s">
        <v>175</v>
      </c>
      <c r="CL4" s="192" t="s">
        <v>176</v>
      </c>
      <c r="CM4" s="193" t="s">
        <v>177</v>
      </c>
      <c r="CN4" s="191" t="s">
        <v>172</v>
      </c>
      <c r="CO4" s="191" t="s">
        <v>173</v>
      </c>
      <c r="CP4" s="191" t="s">
        <v>172</v>
      </c>
      <c r="CQ4" s="191" t="s">
        <v>173</v>
      </c>
      <c r="CR4" s="191" t="s">
        <v>172</v>
      </c>
      <c r="CS4" s="191" t="s">
        <v>173</v>
      </c>
      <c r="CT4" s="191" t="s">
        <v>174</v>
      </c>
      <c r="CU4" s="191" t="s">
        <v>175</v>
      </c>
      <c r="CV4" s="192" t="s">
        <v>176</v>
      </c>
      <c r="CW4" s="193" t="s">
        <v>177</v>
      </c>
      <c r="CX4" s="191" t="s">
        <v>172</v>
      </c>
      <c r="CY4" s="191" t="s">
        <v>173</v>
      </c>
      <c r="CZ4" s="191" t="s">
        <v>172</v>
      </c>
      <c r="DA4" s="191" t="s">
        <v>173</v>
      </c>
      <c r="DB4" s="191" t="s">
        <v>172</v>
      </c>
      <c r="DC4" s="191" t="s">
        <v>173</v>
      </c>
      <c r="DD4" s="191" t="s">
        <v>174</v>
      </c>
      <c r="DE4" s="191" t="s">
        <v>175</v>
      </c>
      <c r="DF4" s="192" t="s">
        <v>176</v>
      </c>
      <c r="DG4" s="193" t="s">
        <v>177</v>
      </c>
      <c r="DH4" s="191" t="s">
        <v>172</v>
      </c>
      <c r="DI4" s="191" t="s">
        <v>173</v>
      </c>
      <c r="DJ4" s="191" t="s">
        <v>172</v>
      </c>
      <c r="DK4" s="191" t="s">
        <v>173</v>
      </c>
      <c r="DL4" s="191" t="s">
        <v>172</v>
      </c>
      <c r="DM4" s="191" t="s">
        <v>173</v>
      </c>
      <c r="DN4" s="191" t="s">
        <v>174</v>
      </c>
      <c r="DO4" s="191" t="s">
        <v>175</v>
      </c>
      <c r="DP4" s="192" t="s">
        <v>176</v>
      </c>
      <c r="DQ4" s="193" t="s">
        <v>177</v>
      </c>
      <c r="DR4" s="191" t="s">
        <v>172</v>
      </c>
      <c r="DS4" s="191" t="s">
        <v>173</v>
      </c>
      <c r="DT4" s="191" t="s">
        <v>172</v>
      </c>
      <c r="DU4" s="191" t="s">
        <v>173</v>
      </c>
      <c r="DV4" s="191" t="s">
        <v>172</v>
      </c>
      <c r="DW4" s="191" t="s">
        <v>173</v>
      </c>
      <c r="DX4" s="191" t="s">
        <v>174</v>
      </c>
      <c r="DY4" s="191" t="s">
        <v>175</v>
      </c>
      <c r="DZ4" s="192" t="s">
        <v>176</v>
      </c>
      <c r="EA4" s="193" t="s">
        <v>177</v>
      </c>
      <c r="EB4" s="191" t="s">
        <v>172</v>
      </c>
      <c r="EC4" s="191" t="s">
        <v>173</v>
      </c>
      <c r="ED4" s="191" t="s">
        <v>172</v>
      </c>
      <c r="EE4" s="191" t="s">
        <v>173</v>
      </c>
      <c r="EF4" s="191" t="s">
        <v>172</v>
      </c>
      <c r="EG4" s="191" t="s">
        <v>173</v>
      </c>
      <c r="EH4" s="191" t="s">
        <v>174</v>
      </c>
      <c r="EI4" s="191" t="s">
        <v>175</v>
      </c>
      <c r="EJ4" s="192" t="s">
        <v>176</v>
      </c>
      <c r="EK4" s="193" t="s">
        <v>177</v>
      </c>
      <c r="EL4" s="191" t="s">
        <v>172</v>
      </c>
      <c r="EM4" s="191" t="s">
        <v>173</v>
      </c>
      <c r="EN4" s="191" t="s">
        <v>172</v>
      </c>
      <c r="EO4" s="191" t="s">
        <v>173</v>
      </c>
      <c r="EP4" s="191" t="s">
        <v>172</v>
      </c>
      <c r="EQ4" s="191" t="s">
        <v>173</v>
      </c>
      <c r="ER4" s="191" t="s">
        <v>174</v>
      </c>
      <c r="ES4" s="191" t="s">
        <v>175</v>
      </c>
      <c r="ET4" s="192" t="s">
        <v>176</v>
      </c>
      <c r="EU4" s="193" t="s">
        <v>177</v>
      </c>
      <c r="EV4" s="191" t="s">
        <v>172</v>
      </c>
      <c r="EW4" s="191" t="s">
        <v>173</v>
      </c>
      <c r="EX4" s="191" t="s">
        <v>172</v>
      </c>
      <c r="EY4" s="191" t="s">
        <v>173</v>
      </c>
      <c r="EZ4" s="191" t="s">
        <v>172</v>
      </c>
      <c r="FA4" s="191" t="s">
        <v>173</v>
      </c>
      <c r="FB4" s="191" t="s">
        <v>174</v>
      </c>
      <c r="FC4" s="191" t="s">
        <v>175</v>
      </c>
      <c r="FD4" s="192" t="s">
        <v>176</v>
      </c>
      <c r="FE4" s="193" t="s">
        <v>177</v>
      </c>
      <c r="FF4" s="191" t="s">
        <v>172</v>
      </c>
      <c r="FG4" s="191" t="s">
        <v>173</v>
      </c>
      <c r="FH4" s="191" t="s">
        <v>172</v>
      </c>
      <c r="FI4" s="191" t="s">
        <v>173</v>
      </c>
      <c r="FJ4" s="191" t="s">
        <v>172</v>
      </c>
      <c r="FK4" s="191" t="s">
        <v>173</v>
      </c>
      <c r="FL4" s="191" t="s">
        <v>174</v>
      </c>
      <c r="FM4" s="191" t="s">
        <v>175</v>
      </c>
      <c r="FN4" s="192" t="s">
        <v>176</v>
      </c>
      <c r="FO4" s="193" t="s">
        <v>177</v>
      </c>
      <c r="FP4" s="191" t="s">
        <v>172</v>
      </c>
      <c r="FQ4" s="191" t="s">
        <v>173</v>
      </c>
      <c r="FR4" s="191" t="s">
        <v>172</v>
      </c>
      <c r="FS4" s="191" t="s">
        <v>173</v>
      </c>
      <c r="FT4" s="191" t="s">
        <v>172</v>
      </c>
      <c r="FU4" s="191" t="s">
        <v>173</v>
      </c>
      <c r="FV4" s="191" t="s">
        <v>174</v>
      </c>
      <c r="FW4" s="191" t="s">
        <v>175</v>
      </c>
      <c r="FX4" s="192" t="s">
        <v>176</v>
      </c>
      <c r="FY4" s="193" t="s">
        <v>177</v>
      </c>
      <c r="FZ4" s="191" t="s">
        <v>172</v>
      </c>
      <c r="GA4" s="191" t="s">
        <v>173</v>
      </c>
      <c r="GB4" s="191" t="s">
        <v>172</v>
      </c>
      <c r="GC4" s="191" t="s">
        <v>173</v>
      </c>
      <c r="GD4" s="191" t="s">
        <v>172</v>
      </c>
      <c r="GE4" s="191" t="s">
        <v>173</v>
      </c>
      <c r="GF4" s="191" t="s">
        <v>174</v>
      </c>
      <c r="GG4" s="191" t="s">
        <v>175</v>
      </c>
      <c r="GH4" s="192" t="s">
        <v>176</v>
      </c>
      <c r="GI4" s="193" t="s">
        <v>177</v>
      </c>
      <c r="GJ4" s="191" t="s">
        <v>172</v>
      </c>
      <c r="GK4" s="191" t="s">
        <v>173</v>
      </c>
      <c r="GL4" s="191" t="s">
        <v>172</v>
      </c>
      <c r="GM4" s="191" t="s">
        <v>173</v>
      </c>
      <c r="GN4" s="191" t="s">
        <v>172</v>
      </c>
      <c r="GO4" s="191" t="s">
        <v>173</v>
      </c>
      <c r="GP4" s="191" t="s">
        <v>174</v>
      </c>
      <c r="GQ4" s="191" t="s">
        <v>175</v>
      </c>
      <c r="GR4" s="192" t="s">
        <v>176</v>
      </c>
      <c r="GS4" s="193" t="s">
        <v>177</v>
      </c>
      <c r="GT4" s="191" t="s">
        <v>172</v>
      </c>
      <c r="GU4" s="191" t="s">
        <v>173</v>
      </c>
      <c r="GV4" s="191" t="s">
        <v>172</v>
      </c>
      <c r="GW4" s="191" t="s">
        <v>173</v>
      </c>
      <c r="GX4" s="191" t="s">
        <v>172</v>
      </c>
      <c r="GY4" s="191" t="s">
        <v>173</v>
      </c>
      <c r="GZ4" s="191" t="s">
        <v>174</v>
      </c>
      <c r="HA4" s="191" t="s">
        <v>175</v>
      </c>
      <c r="HB4" s="192" t="s">
        <v>176</v>
      </c>
      <c r="HC4" s="193" t="s">
        <v>177</v>
      </c>
      <c r="HD4" s="191" t="s">
        <v>172</v>
      </c>
      <c r="HE4" s="191" t="s">
        <v>173</v>
      </c>
      <c r="HF4" s="191" t="s">
        <v>172</v>
      </c>
      <c r="HG4" s="191" t="s">
        <v>173</v>
      </c>
      <c r="HH4" s="191" t="s">
        <v>172</v>
      </c>
      <c r="HI4" s="191" t="s">
        <v>173</v>
      </c>
      <c r="HJ4" s="191" t="s">
        <v>174</v>
      </c>
      <c r="HK4" s="191" t="s">
        <v>175</v>
      </c>
      <c r="HL4" s="192" t="s">
        <v>176</v>
      </c>
      <c r="HM4" s="193" t="s">
        <v>177</v>
      </c>
      <c r="HN4" s="222" t="s">
        <v>174</v>
      </c>
      <c r="HO4" s="223" t="s">
        <v>177</v>
      </c>
      <c r="HP4" s="222" t="s">
        <v>174</v>
      </c>
      <c r="HQ4" s="223" t="s">
        <v>177</v>
      </c>
      <c r="HR4" s="222" t="s">
        <v>174</v>
      </c>
      <c r="HS4" s="223" t="s">
        <v>177</v>
      </c>
      <c r="HT4" s="222" t="s">
        <v>174</v>
      </c>
      <c r="HU4" s="223" t="s">
        <v>177</v>
      </c>
      <c r="HV4" s="222" t="s">
        <v>174</v>
      </c>
      <c r="HW4" s="223" t="s">
        <v>177</v>
      </c>
      <c r="HX4" s="222" t="s">
        <v>174</v>
      </c>
      <c r="HY4" s="223" t="s">
        <v>177</v>
      </c>
      <c r="HZ4" s="222" t="s">
        <v>174</v>
      </c>
      <c r="IA4" s="223" t="s">
        <v>177</v>
      </c>
      <c r="IB4" s="222" t="s">
        <v>174</v>
      </c>
      <c r="IC4" s="223" t="s">
        <v>177</v>
      </c>
      <c r="ID4" s="222" t="s">
        <v>174</v>
      </c>
      <c r="IE4" s="223" t="s">
        <v>177</v>
      </c>
      <c r="IF4" s="222" t="s">
        <v>174</v>
      </c>
      <c r="IG4" s="223" t="s">
        <v>177</v>
      </c>
      <c r="IH4" s="222" t="s">
        <v>174</v>
      </c>
      <c r="II4" s="223" t="s">
        <v>177</v>
      </c>
      <c r="IJ4" s="222" t="s">
        <v>174</v>
      </c>
      <c r="IK4" s="223" t="s">
        <v>177</v>
      </c>
      <c r="IL4" s="222" t="s">
        <v>174</v>
      </c>
      <c r="IM4" s="223" t="s">
        <v>177</v>
      </c>
      <c r="IN4" s="222" t="s">
        <v>174</v>
      </c>
      <c r="IO4" s="223" t="s">
        <v>177</v>
      </c>
      <c r="IP4" s="222" t="s">
        <v>174</v>
      </c>
      <c r="IQ4" s="223" t="s">
        <v>177</v>
      </c>
      <c r="IR4" s="222" t="s">
        <v>174</v>
      </c>
      <c r="IS4" s="223" t="s">
        <v>177</v>
      </c>
      <c r="IT4" s="222" t="s">
        <v>174</v>
      </c>
      <c r="IU4" s="223" t="s">
        <v>177</v>
      </c>
      <c r="IV4" s="222" t="s">
        <v>174</v>
      </c>
      <c r="IW4" s="223" t="s">
        <v>177</v>
      </c>
      <c r="IX4" s="222" t="s">
        <v>174</v>
      </c>
      <c r="IY4" s="223" t="s">
        <v>177</v>
      </c>
      <c r="IZ4" s="222" t="s">
        <v>174</v>
      </c>
      <c r="JA4" s="223" t="s">
        <v>177</v>
      </c>
      <c r="JB4" s="222" t="s">
        <v>174</v>
      </c>
      <c r="JC4" s="223" t="s">
        <v>177</v>
      </c>
      <c r="JD4" s="222" t="s">
        <v>174</v>
      </c>
      <c r="JE4" s="232" t="s">
        <v>177</v>
      </c>
      <c r="JF4" s="221" t="s">
        <v>165</v>
      </c>
      <c r="JG4" s="221" t="s">
        <v>120</v>
      </c>
      <c r="JH4" s="221" t="s">
        <v>121</v>
      </c>
      <c r="JI4" s="221" t="s">
        <v>122</v>
      </c>
      <c r="JJ4" s="221" t="s">
        <v>123</v>
      </c>
      <c r="JK4" s="221" t="s">
        <v>124</v>
      </c>
      <c r="JL4" s="221" t="s">
        <v>125</v>
      </c>
      <c r="JM4" s="221" t="s">
        <v>126</v>
      </c>
      <c r="JN4" s="221" t="s">
        <v>127</v>
      </c>
      <c r="JO4" s="221" t="s">
        <v>128</v>
      </c>
      <c r="JP4" s="221" t="s">
        <v>129</v>
      </c>
      <c r="JQ4" s="221" t="s">
        <v>130</v>
      </c>
      <c r="JR4" s="221" t="s">
        <v>131</v>
      </c>
      <c r="JS4" s="221" t="s">
        <v>132</v>
      </c>
      <c r="JT4" s="221" t="s">
        <v>133</v>
      </c>
      <c r="JU4" s="221" t="s">
        <v>134</v>
      </c>
      <c r="JV4" s="221" t="s">
        <v>135</v>
      </c>
      <c r="JW4" s="221" t="s">
        <v>136</v>
      </c>
      <c r="JX4" s="221" t="s">
        <v>137</v>
      </c>
      <c r="JY4" s="221" t="s">
        <v>138</v>
      </c>
      <c r="JZ4" s="221" t="s">
        <v>139</v>
      </c>
      <c r="KA4" s="221" t="s">
        <v>140</v>
      </c>
      <c r="KB4" s="247" t="s">
        <v>178</v>
      </c>
      <c r="KC4" s="224" t="s">
        <v>141</v>
      </c>
      <c r="KD4" s="224" t="s">
        <v>142</v>
      </c>
      <c r="KE4" s="224" t="s">
        <v>143</v>
      </c>
      <c r="KF4" s="224" t="s">
        <v>144</v>
      </c>
      <c r="KG4" s="224" t="s">
        <v>145</v>
      </c>
      <c r="KH4" s="224" t="s">
        <v>146</v>
      </c>
      <c r="KI4" s="224" t="s">
        <v>147</v>
      </c>
      <c r="KJ4" s="224" t="s">
        <v>148</v>
      </c>
      <c r="KK4" s="224" t="s">
        <v>149</v>
      </c>
      <c r="KL4" s="224" t="s">
        <v>150</v>
      </c>
      <c r="KM4" s="224" t="s">
        <v>151</v>
      </c>
      <c r="KN4" s="224" t="s">
        <v>152</v>
      </c>
      <c r="KO4" s="224" t="s">
        <v>153</v>
      </c>
      <c r="KP4" s="224" t="s">
        <v>154</v>
      </c>
      <c r="KQ4" s="224" t="s">
        <v>155</v>
      </c>
      <c r="KR4" s="224" t="s">
        <v>156</v>
      </c>
      <c r="KS4" s="224" t="s">
        <v>157</v>
      </c>
      <c r="KT4" s="224" t="s">
        <v>158</v>
      </c>
      <c r="KU4" s="224" t="s">
        <v>159</v>
      </c>
      <c r="KV4" s="224" t="s">
        <v>160</v>
      </c>
      <c r="KW4" s="224" t="s">
        <v>161</v>
      </c>
      <c r="KX4" s="224" t="s">
        <v>162</v>
      </c>
      <c r="KY4" s="225" t="s">
        <v>179</v>
      </c>
    </row>
    <row r="5" spans="1:311" ht="17.5" thickTop="1">
      <c r="A5" s="194">
        <v>46023</v>
      </c>
      <c r="B5" s="195"/>
      <c r="C5" s="196"/>
      <c r="D5" s="196"/>
      <c r="E5" s="196"/>
      <c r="F5" s="196"/>
      <c r="G5" s="196"/>
      <c r="H5" s="197">
        <v>0</v>
      </c>
      <c r="I5" s="198">
        <v>0</v>
      </c>
      <c r="J5" s="198">
        <v>0</v>
      </c>
      <c r="K5" s="199">
        <v>0</v>
      </c>
      <c r="L5" s="195"/>
      <c r="M5" s="196"/>
      <c r="N5" s="196"/>
      <c r="O5" s="196"/>
      <c r="P5" s="196"/>
      <c r="Q5" s="196"/>
      <c r="R5" s="200">
        <v>0</v>
      </c>
      <c r="S5" s="198">
        <v>0</v>
      </c>
      <c r="T5" s="198">
        <v>0</v>
      </c>
      <c r="U5" s="199">
        <v>0</v>
      </c>
      <c r="V5" s="195"/>
      <c r="W5" s="196"/>
      <c r="X5" s="196"/>
      <c r="Y5" s="196"/>
      <c r="Z5" s="196"/>
      <c r="AA5" s="196"/>
      <c r="AB5" s="200">
        <v>0</v>
      </c>
      <c r="AC5" s="198">
        <v>0</v>
      </c>
      <c r="AD5" s="198">
        <v>0</v>
      </c>
      <c r="AE5" s="199">
        <v>0</v>
      </c>
      <c r="AF5" s="195"/>
      <c r="AG5" s="196"/>
      <c r="AH5" s="196"/>
      <c r="AI5" s="196"/>
      <c r="AJ5" s="196"/>
      <c r="AK5" s="196"/>
      <c r="AL5" s="200">
        <v>0</v>
      </c>
      <c r="AM5" s="198">
        <v>0</v>
      </c>
      <c r="AN5" s="198">
        <v>0</v>
      </c>
      <c r="AO5" s="199">
        <v>0</v>
      </c>
      <c r="AP5" s="195"/>
      <c r="AQ5" s="196"/>
      <c r="AR5" s="196"/>
      <c r="AS5" s="196"/>
      <c r="AT5" s="196"/>
      <c r="AU5" s="196"/>
      <c r="AV5" s="200">
        <v>0</v>
      </c>
      <c r="AW5" s="198">
        <v>0</v>
      </c>
      <c r="AX5" s="198">
        <v>0</v>
      </c>
      <c r="AY5" s="199">
        <v>0</v>
      </c>
      <c r="AZ5" s="195"/>
      <c r="BA5" s="196"/>
      <c r="BB5" s="196"/>
      <c r="BC5" s="196"/>
      <c r="BD5" s="196"/>
      <c r="BE5" s="196"/>
      <c r="BF5" s="200">
        <v>0</v>
      </c>
      <c r="BG5" s="198">
        <v>0</v>
      </c>
      <c r="BH5" s="198">
        <v>0</v>
      </c>
      <c r="BI5" s="199">
        <v>0</v>
      </c>
      <c r="BJ5" s="195"/>
      <c r="BK5" s="196"/>
      <c r="BL5" s="196"/>
      <c r="BM5" s="196"/>
      <c r="BN5" s="196"/>
      <c r="BO5" s="196"/>
      <c r="BP5" s="200">
        <v>0</v>
      </c>
      <c r="BQ5" s="198">
        <v>0</v>
      </c>
      <c r="BR5" s="198">
        <v>0</v>
      </c>
      <c r="BS5" s="199">
        <v>0</v>
      </c>
      <c r="BT5" s="195"/>
      <c r="BU5" s="196"/>
      <c r="BV5" s="196"/>
      <c r="BW5" s="196"/>
      <c r="BX5" s="196"/>
      <c r="BY5" s="196"/>
      <c r="BZ5" s="200">
        <v>0</v>
      </c>
      <c r="CA5" s="198">
        <v>0</v>
      </c>
      <c r="CB5" s="198">
        <v>0</v>
      </c>
      <c r="CC5" s="199">
        <v>0</v>
      </c>
      <c r="CD5" s="195"/>
      <c r="CE5" s="196"/>
      <c r="CF5" s="196"/>
      <c r="CG5" s="196"/>
      <c r="CH5" s="196"/>
      <c r="CI5" s="196"/>
      <c r="CJ5" s="200">
        <v>0</v>
      </c>
      <c r="CK5" s="198">
        <v>0</v>
      </c>
      <c r="CL5" s="198">
        <v>0</v>
      </c>
      <c r="CM5" s="199">
        <v>0</v>
      </c>
      <c r="CN5" s="195"/>
      <c r="CO5" s="196"/>
      <c r="CP5" s="196"/>
      <c r="CQ5" s="196"/>
      <c r="CR5" s="196"/>
      <c r="CS5" s="196"/>
      <c r="CT5" s="200">
        <v>0</v>
      </c>
      <c r="CU5" s="198">
        <v>0</v>
      </c>
      <c r="CV5" s="198">
        <v>0</v>
      </c>
      <c r="CW5" s="199">
        <v>0</v>
      </c>
      <c r="CX5" s="195"/>
      <c r="CY5" s="196"/>
      <c r="CZ5" s="196"/>
      <c r="DA5" s="196"/>
      <c r="DB5" s="196"/>
      <c r="DC5" s="196"/>
      <c r="DD5" s="200">
        <v>0</v>
      </c>
      <c r="DE5" s="198">
        <v>0</v>
      </c>
      <c r="DF5" s="198">
        <v>0</v>
      </c>
      <c r="DG5" s="199">
        <v>0</v>
      </c>
      <c r="DH5" s="195"/>
      <c r="DI5" s="196"/>
      <c r="DJ5" s="196"/>
      <c r="DK5" s="196"/>
      <c r="DL5" s="196"/>
      <c r="DM5" s="196"/>
      <c r="DN5" s="200">
        <v>0</v>
      </c>
      <c r="DO5" s="198">
        <v>0</v>
      </c>
      <c r="DP5" s="198">
        <v>0</v>
      </c>
      <c r="DQ5" s="199">
        <v>0</v>
      </c>
      <c r="DR5" s="195"/>
      <c r="DS5" s="196"/>
      <c r="DT5" s="196"/>
      <c r="DU5" s="196"/>
      <c r="DV5" s="196"/>
      <c r="DW5" s="196"/>
      <c r="DX5" s="200">
        <v>0</v>
      </c>
      <c r="DY5" s="198">
        <v>0</v>
      </c>
      <c r="DZ5" s="198">
        <v>0</v>
      </c>
      <c r="EA5" s="199">
        <v>0</v>
      </c>
      <c r="EB5" s="195"/>
      <c r="EC5" s="196"/>
      <c r="ED5" s="196"/>
      <c r="EE5" s="196"/>
      <c r="EF5" s="196"/>
      <c r="EG5" s="196"/>
      <c r="EH5" s="200">
        <v>0</v>
      </c>
      <c r="EI5" s="198">
        <v>0</v>
      </c>
      <c r="EJ5" s="198">
        <v>0</v>
      </c>
      <c r="EK5" s="199">
        <v>0</v>
      </c>
      <c r="EL5" s="195"/>
      <c r="EM5" s="196"/>
      <c r="EN5" s="196"/>
      <c r="EO5" s="196"/>
      <c r="EP5" s="196"/>
      <c r="EQ5" s="196"/>
      <c r="ER5" s="200">
        <v>0</v>
      </c>
      <c r="ES5" s="198">
        <v>0</v>
      </c>
      <c r="ET5" s="198">
        <v>0</v>
      </c>
      <c r="EU5" s="199">
        <v>0</v>
      </c>
      <c r="EV5" s="195"/>
      <c r="EW5" s="196"/>
      <c r="EX5" s="196"/>
      <c r="EY5" s="196"/>
      <c r="EZ5" s="196"/>
      <c r="FA5" s="196"/>
      <c r="FB5" s="200">
        <v>0</v>
      </c>
      <c r="FC5" s="198">
        <v>0</v>
      </c>
      <c r="FD5" s="198">
        <v>0</v>
      </c>
      <c r="FE5" s="199">
        <v>0</v>
      </c>
      <c r="FF5" s="195"/>
      <c r="FG5" s="196"/>
      <c r="FH5" s="196"/>
      <c r="FI5" s="196"/>
      <c r="FJ5" s="196"/>
      <c r="FK5" s="196"/>
      <c r="FL5" s="200">
        <v>0</v>
      </c>
      <c r="FM5" s="198">
        <v>0</v>
      </c>
      <c r="FN5" s="198">
        <v>0</v>
      </c>
      <c r="FO5" s="199">
        <v>0</v>
      </c>
      <c r="FP5" s="195"/>
      <c r="FQ5" s="196"/>
      <c r="FR5" s="196"/>
      <c r="FS5" s="196"/>
      <c r="FT5" s="196"/>
      <c r="FU5" s="196"/>
      <c r="FV5" s="200">
        <v>0</v>
      </c>
      <c r="FW5" s="198">
        <v>0</v>
      </c>
      <c r="FX5" s="198">
        <v>0</v>
      </c>
      <c r="FY5" s="199">
        <v>0</v>
      </c>
      <c r="FZ5" s="195"/>
      <c r="GA5" s="196"/>
      <c r="GB5" s="196"/>
      <c r="GC5" s="196"/>
      <c r="GD5" s="196"/>
      <c r="GE5" s="196"/>
      <c r="GF5" s="200">
        <v>0</v>
      </c>
      <c r="GG5" s="198">
        <v>0</v>
      </c>
      <c r="GH5" s="198">
        <v>0</v>
      </c>
      <c r="GI5" s="199">
        <v>0</v>
      </c>
      <c r="GJ5" s="195"/>
      <c r="GK5" s="196"/>
      <c r="GL5" s="196"/>
      <c r="GM5" s="196"/>
      <c r="GN5" s="196"/>
      <c r="GO5" s="196"/>
      <c r="GP5" s="200">
        <v>0</v>
      </c>
      <c r="GQ5" s="198">
        <v>0</v>
      </c>
      <c r="GR5" s="198">
        <v>0</v>
      </c>
      <c r="GS5" s="199">
        <v>0</v>
      </c>
      <c r="GT5" s="195"/>
      <c r="GU5" s="196"/>
      <c r="GV5" s="196"/>
      <c r="GW5" s="196"/>
      <c r="GX5" s="196"/>
      <c r="GY5" s="196"/>
      <c r="GZ5" s="200">
        <v>0</v>
      </c>
      <c r="HA5" s="198">
        <v>0</v>
      </c>
      <c r="HB5" s="198">
        <v>0</v>
      </c>
      <c r="HC5" s="199">
        <v>0</v>
      </c>
      <c r="HD5" s="195"/>
      <c r="HE5" s="196"/>
      <c r="HF5" s="196"/>
      <c r="HG5" s="196"/>
      <c r="HH5" s="196"/>
      <c r="HI5" s="196"/>
      <c r="HJ5" s="200">
        <v>0</v>
      </c>
      <c r="HK5" s="198">
        <v>0</v>
      </c>
      <c r="HL5" s="198">
        <v>0</v>
      </c>
      <c r="HM5" s="199">
        <v>0</v>
      </c>
      <c r="HN5" s="204">
        <v>0</v>
      </c>
      <c r="HO5" s="205">
        <v>0</v>
      </c>
      <c r="HP5" s="204">
        <v>0</v>
      </c>
      <c r="HQ5" s="205">
        <v>0</v>
      </c>
      <c r="HR5" s="204">
        <v>0</v>
      </c>
      <c r="HS5" s="205">
        <v>0</v>
      </c>
      <c r="HT5" s="204">
        <v>0</v>
      </c>
      <c r="HU5" s="205">
        <v>0</v>
      </c>
      <c r="HV5" s="204">
        <v>0</v>
      </c>
      <c r="HW5" s="205">
        <v>0</v>
      </c>
      <c r="HX5" s="204">
        <v>0</v>
      </c>
      <c r="HY5" s="205">
        <v>0</v>
      </c>
      <c r="HZ5" s="204">
        <v>0</v>
      </c>
      <c r="IA5" s="205">
        <v>0</v>
      </c>
      <c r="IB5" s="204">
        <v>0</v>
      </c>
      <c r="IC5" s="205">
        <v>0</v>
      </c>
      <c r="ID5" s="204">
        <v>0</v>
      </c>
      <c r="IE5" s="205">
        <v>0</v>
      </c>
      <c r="IF5" s="204">
        <v>0</v>
      </c>
      <c r="IG5" s="205">
        <v>0</v>
      </c>
      <c r="IH5" s="204">
        <v>0</v>
      </c>
      <c r="II5" s="205">
        <v>0</v>
      </c>
      <c r="IJ5" s="204">
        <v>0</v>
      </c>
      <c r="IK5" s="205">
        <v>0</v>
      </c>
      <c r="IL5" s="204">
        <v>0</v>
      </c>
      <c r="IM5" s="205">
        <v>0</v>
      </c>
      <c r="IN5" s="204">
        <v>0</v>
      </c>
      <c r="IO5" s="205">
        <v>0</v>
      </c>
      <c r="IP5" s="204">
        <v>0</v>
      </c>
      <c r="IQ5" s="205">
        <v>0</v>
      </c>
      <c r="IR5" s="204">
        <v>0</v>
      </c>
      <c r="IS5" s="205">
        <v>0</v>
      </c>
      <c r="IT5" s="204">
        <v>0</v>
      </c>
      <c r="IU5" s="205">
        <v>0</v>
      </c>
      <c r="IV5" s="204">
        <v>0</v>
      </c>
      <c r="IW5" s="205">
        <v>0</v>
      </c>
      <c r="IX5" s="204">
        <v>0</v>
      </c>
      <c r="IY5" s="205">
        <v>0</v>
      </c>
      <c r="IZ5" s="204">
        <v>0</v>
      </c>
      <c r="JA5" s="205">
        <v>0</v>
      </c>
      <c r="JB5" s="204">
        <v>0</v>
      </c>
      <c r="JC5" s="205">
        <v>0</v>
      </c>
      <c r="JD5" s="204">
        <v>0</v>
      </c>
      <c r="JE5" s="233">
        <v>0</v>
      </c>
      <c r="JF5" s="236">
        <f>HN5*24</f>
        <v>0</v>
      </c>
      <c r="JG5" s="235">
        <f>HP5*24</f>
        <v>0</v>
      </c>
      <c r="JH5" s="235">
        <f>HR5*24</f>
        <v>0</v>
      </c>
      <c r="JI5" s="235">
        <f>HT5*24</f>
        <v>0</v>
      </c>
      <c r="JJ5" s="235">
        <f>HV5*24</f>
        <v>0</v>
      </c>
      <c r="JK5" s="235">
        <f>HX5*24</f>
        <v>0</v>
      </c>
      <c r="JL5" s="235">
        <f>HZ5*24</f>
        <v>0</v>
      </c>
      <c r="JM5" s="235">
        <f>IB5*24</f>
        <v>0</v>
      </c>
      <c r="JN5" s="235">
        <f>ID5*24</f>
        <v>0</v>
      </c>
      <c r="JO5" s="235">
        <f>IF5*24</f>
        <v>0</v>
      </c>
      <c r="JP5" s="235">
        <f>IH5*24</f>
        <v>0</v>
      </c>
      <c r="JQ5" s="235">
        <f>IJ5*24</f>
        <v>0</v>
      </c>
      <c r="JR5" s="235">
        <f>IL5*24</f>
        <v>0</v>
      </c>
      <c r="JS5" s="235">
        <f>IN5*24</f>
        <v>0</v>
      </c>
      <c r="JT5" s="235">
        <f>IP5*24</f>
        <v>0</v>
      </c>
      <c r="JU5" s="235">
        <f>IR5*24</f>
        <v>0</v>
      </c>
      <c r="JV5" s="235">
        <f>IT5*24</f>
        <v>0</v>
      </c>
      <c r="JW5" s="235">
        <f>IV5*24</f>
        <v>0</v>
      </c>
      <c r="JX5" s="235">
        <f>IX5*24</f>
        <v>0</v>
      </c>
      <c r="JY5" s="235">
        <f>IZ5*24</f>
        <v>0</v>
      </c>
      <c r="JZ5" s="235">
        <f>JB5*24</f>
        <v>0</v>
      </c>
      <c r="KA5" s="237">
        <f>JD5*24</f>
        <v>0</v>
      </c>
      <c r="KB5" s="248">
        <v>46023</v>
      </c>
      <c r="KC5" s="201">
        <v>0</v>
      </c>
      <c r="KD5" s="201">
        <v>0</v>
      </c>
      <c r="KE5" s="201">
        <v>0</v>
      </c>
      <c r="KF5" s="201">
        <v>0</v>
      </c>
      <c r="KG5" s="201">
        <v>0</v>
      </c>
      <c r="KH5" s="201">
        <v>0</v>
      </c>
      <c r="KI5" s="201">
        <v>0</v>
      </c>
      <c r="KJ5" s="201">
        <v>0</v>
      </c>
      <c r="KK5" s="201">
        <v>0</v>
      </c>
      <c r="KL5" s="201">
        <v>0</v>
      </c>
      <c r="KM5" s="201">
        <v>0</v>
      </c>
      <c r="KN5" s="202">
        <v>0</v>
      </c>
      <c r="KO5" s="202">
        <v>0</v>
      </c>
      <c r="KP5" s="202">
        <v>0</v>
      </c>
      <c r="KQ5" s="202">
        <v>0</v>
      </c>
      <c r="KR5" s="202">
        <v>0</v>
      </c>
      <c r="KS5" s="202">
        <v>0</v>
      </c>
      <c r="KT5" s="202">
        <v>0</v>
      </c>
      <c r="KU5" s="202">
        <v>0</v>
      </c>
      <c r="KV5" s="202">
        <v>0</v>
      </c>
      <c r="KW5" s="202">
        <v>0</v>
      </c>
      <c r="KX5" s="202">
        <v>0</v>
      </c>
      <c r="KY5" s="203">
        <v>0</v>
      </c>
    </row>
    <row r="6" spans="1:311">
      <c r="A6" s="194">
        <v>46024</v>
      </c>
      <c r="B6" s="195"/>
      <c r="C6" s="196"/>
      <c r="D6" s="196"/>
      <c r="E6" s="196"/>
      <c r="F6" s="196"/>
      <c r="G6" s="196"/>
      <c r="H6" s="197">
        <v>0</v>
      </c>
      <c r="I6" s="198">
        <v>0</v>
      </c>
      <c r="J6" s="198">
        <v>0</v>
      </c>
      <c r="K6" s="199">
        <v>0</v>
      </c>
      <c r="L6" s="195"/>
      <c r="M6" s="196"/>
      <c r="N6" s="196"/>
      <c r="O6" s="196"/>
      <c r="P6" s="196"/>
      <c r="Q6" s="196"/>
      <c r="R6" s="200">
        <v>0</v>
      </c>
      <c r="S6" s="198">
        <v>0</v>
      </c>
      <c r="T6" s="198">
        <v>0</v>
      </c>
      <c r="U6" s="199">
        <v>0</v>
      </c>
      <c r="V6" s="195"/>
      <c r="W6" s="196"/>
      <c r="X6" s="196"/>
      <c r="Y6" s="196"/>
      <c r="Z6" s="196"/>
      <c r="AA6" s="196"/>
      <c r="AB6" s="200">
        <v>0</v>
      </c>
      <c r="AC6" s="198">
        <v>0</v>
      </c>
      <c r="AD6" s="198">
        <v>0</v>
      </c>
      <c r="AE6" s="199">
        <v>0</v>
      </c>
      <c r="AF6" s="195"/>
      <c r="AG6" s="196"/>
      <c r="AH6" s="196"/>
      <c r="AI6" s="196"/>
      <c r="AJ6" s="196"/>
      <c r="AK6" s="196"/>
      <c r="AL6" s="200">
        <v>0</v>
      </c>
      <c r="AM6" s="198">
        <v>0</v>
      </c>
      <c r="AN6" s="198">
        <v>0</v>
      </c>
      <c r="AO6" s="199">
        <v>0</v>
      </c>
      <c r="AP6" s="195"/>
      <c r="AQ6" s="196"/>
      <c r="AR6" s="196"/>
      <c r="AS6" s="196"/>
      <c r="AT6" s="196"/>
      <c r="AU6" s="196"/>
      <c r="AV6" s="200">
        <v>0</v>
      </c>
      <c r="AW6" s="198">
        <v>0</v>
      </c>
      <c r="AX6" s="198">
        <v>0</v>
      </c>
      <c r="AY6" s="199">
        <v>0</v>
      </c>
      <c r="AZ6" s="195"/>
      <c r="BA6" s="196"/>
      <c r="BB6" s="196"/>
      <c r="BC6" s="196"/>
      <c r="BD6" s="196"/>
      <c r="BE6" s="196"/>
      <c r="BF6" s="200">
        <v>0</v>
      </c>
      <c r="BG6" s="198">
        <v>0</v>
      </c>
      <c r="BH6" s="198">
        <v>0</v>
      </c>
      <c r="BI6" s="199">
        <v>0</v>
      </c>
      <c r="BJ6" s="195"/>
      <c r="BK6" s="196"/>
      <c r="BL6" s="196"/>
      <c r="BM6" s="196"/>
      <c r="BN6" s="196"/>
      <c r="BO6" s="196"/>
      <c r="BP6" s="200">
        <v>0</v>
      </c>
      <c r="BQ6" s="198">
        <v>0</v>
      </c>
      <c r="BR6" s="198">
        <v>0</v>
      </c>
      <c r="BS6" s="199">
        <v>0</v>
      </c>
      <c r="BT6" s="195"/>
      <c r="BU6" s="196"/>
      <c r="BV6" s="196"/>
      <c r="BW6" s="196"/>
      <c r="BX6" s="196"/>
      <c r="BY6" s="196"/>
      <c r="BZ6" s="200">
        <v>0</v>
      </c>
      <c r="CA6" s="198">
        <v>0</v>
      </c>
      <c r="CB6" s="198">
        <v>0</v>
      </c>
      <c r="CC6" s="199">
        <v>0</v>
      </c>
      <c r="CD6" s="195"/>
      <c r="CE6" s="196"/>
      <c r="CF6" s="196"/>
      <c r="CG6" s="196"/>
      <c r="CH6" s="196"/>
      <c r="CI6" s="196"/>
      <c r="CJ6" s="200">
        <v>0</v>
      </c>
      <c r="CK6" s="198">
        <v>0</v>
      </c>
      <c r="CL6" s="198">
        <v>0</v>
      </c>
      <c r="CM6" s="199">
        <v>0</v>
      </c>
      <c r="CN6" s="195"/>
      <c r="CO6" s="196"/>
      <c r="CP6" s="196"/>
      <c r="CQ6" s="196"/>
      <c r="CR6" s="196"/>
      <c r="CS6" s="196"/>
      <c r="CT6" s="200">
        <v>0</v>
      </c>
      <c r="CU6" s="198">
        <v>0</v>
      </c>
      <c r="CV6" s="198">
        <v>0</v>
      </c>
      <c r="CW6" s="199">
        <v>0</v>
      </c>
      <c r="CX6" s="195"/>
      <c r="CY6" s="196"/>
      <c r="CZ6" s="196"/>
      <c r="DA6" s="196"/>
      <c r="DB6" s="196"/>
      <c r="DC6" s="196"/>
      <c r="DD6" s="200">
        <v>0</v>
      </c>
      <c r="DE6" s="198">
        <v>0</v>
      </c>
      <c r="DF6" s="198">
        <v>0</v>
      </c>
      <c r="DG6" s="199">
        <v>0</v>
      </c>
      <c r="DH6" s="195"/>
      <c r="DI6" s="196"/>
      <c r="DJ6" s="196"/>
      <c r="DK6" s="196"/>
      <c r="DL6" s="196"/>
      <c r="DM6" s="196"/>
      <c r="DN6" s="200">
        <v>0</v>
      </c>
      <c r="DO6" s="198">
        <v>0</v>
      </c>
      <c r="DP6" s="198">
        <v>0</v>
      </c>
      <c r="DQ6" s="199">
        <v>0</v>
      </c>
      <c r="DR6" s="195"/>
      <c r="DS6" s="196"/>
      <c r="DT6" s="196"/>
      <c r="DU6" s="196"/>
      <c r="DV6" s="196"/>
      <c r="DW6" s="196"/>
      <c r="DX6" s="200">
        <v>0</v>
      </c>
      <c r="DY6" s="198">
        <v>0</v>
      </c>
      <c r="DZ6" s="198">
        <v>0</v>
      </c>
      <c r="EA6" s="199">
        <v>0</v>
      </c>
      <c r="EB6" s="195"/>
      <c r="EC6" s="196"/>
      <c r="ED6" s="196"/>
      <c r="EE6" s="196"/>
      <c r="EF6" s="196"/>
      <c r="EG6" s="196"/>
      <c r="EH6" s="200">
        <v>0</v>
      </c>
      <c r="EI6" s="198">
        <v>0</v>
      </c>
      <c r="EJ6" s="198">
        <v>0</v>
      </c>
      <c r="EK6" s="199">
        <v>0</v>
      </c>
      <c r="EL6" s="195"/>
      <c r="EM6" s="196"/>
      <c r="EN6" s="196"/>
      <c r="EO6" s="196"/>
      <c r="EP6" s="196"/>
      <c r="EQ6" s="196"/>
      <c r="ER6" s="200">
        <v>0</v>
      </c>
      <c r="ES6" s="198">
        <v>0</v>
      </c>
      <c r="ET6" s="198">
        <v>0</v>
      </c>
      <c r="EU6" s="199">
        <v>0</v>
      </c>
      <c r="EV6" s="195"/>
      <c r="EW6" s="196"/>
      <c r="EX6" s="196"/>
      <c r="EY6" s="196"/>
      <c r="EZ6" s="196"/>
      <c r="FA6" s="196"/>
      <c r="FB6" s="200">
        <v>0</v>
      </c>
      <c r="FC6" s="198">
        <v>0</v>
      </c>
      <c r="FD6" s="198">
        <v>0</v>
      </c>
      <c r="FE6" s="199">
        <v>0</v>
      </c>
      <c r="FF6" s="195"/>
      <c r="FG6" s="196"/>
      <c r="FH6" s="196"/>
      <c r="FI6" s="196"/>
      <c r="FJ6" s="196"/>
      <c r="FK6" s="196"/>
      <c r="FL6" s="200">
        <v>0</v>
      </c>
      <c r="FM6" s="198">
        <v>0</v>
      </c>
      <c r="FN6" s="198">
        <v>0</v>
      </c>
      <c r="FO6" s="199">
        <v>0</v>
      </c>
      <c r="FP6" s="195"/>
      <c r="FQ6" s="196"/>
      <c r="FR6" s="196"/>
      <c r="FS6" s="196"/>
      <c r="FT6" s="196"/>
      <c r="FU6" s="196"/>
      <c r="FV6" s="200">
        <v>0</v>
      </c>
      <c r="FW6" s="198">
        <v>0</v>
      </c>
      <c r="FX6" s="198">
        <v>0</v>
      </c>
      <c r="FY6" s="199">
        <v>0</v>
      </c>
      <c r="FZ6" s="195"/>
      <c r="GA6" s="196"/>
      <c r="GB6" s="196"/>
      <c r="GC6" s="196"/>
      <c r="GD6" s="196"/>
      <c r="GE6" s="196"/>
      <c r="GF6" s="200">
        <v>0</v>
      </c>
      <c r="GG6" s="198">
        <v>0</v>
      </c>
      <c r="GH6" s="198">
        <v>0</v>
      </c>
      <c r="GI6" s="199">
        <v>0</v>
      </c>
      <c r="GJ6" s="195"/>
      <c r="GK6" s="196"/>
      <c r="GL6" s="196"/>
      <c r="GM6" s="196"/>
      <c r="GN6" s="196"/>
      <c r="GO6" s="196"/>
      <c r="GP6" s="200">
        <v>0</v>
      </c>
      <c r="GQ6" s="198">
        <v>0</v>
      </c>
      <c r="GR6" s="198">
        <v>0</v>
      </c>
      <c r="GS6" s="199">
        <v>0</v>
      </c>
      <c r="GT6" s="195"/>
      <c r="GU6" s="196"/>
      <c r="GV6" s="196"/>
      <c r="GW6" s="196"/>
      <c r="GX6" s="196"/>
      <c r="GY6" s="196"/>
      <c r="GZ6" s="200">
        <v>0</v>
      </c>
      <c r="HA6" s="198">
        <v>0</v>
      </c>
      <c r="HB6" s="198">
        <v>0</v>
      </c>
      <c r="HC6" s="199">
        <v>0</v>
      </c>
      <c r="HD6" s="195"/>
      <c r="HE6" s="196"/>
      <c r="HF6" s="196"/>
      <c r="HG6" s="196"/>
      <c r="HH6" s="196"/>
      <c r="HI6" s="196"/>
      <c r="HJ6" s="200">
        <v>0</v>
      </c>
      <c r="HK6" s="198">
        <v>0</v>
      </c>
      <c r="HL6" s="198">
        <v>0</v>
      </c>
      <c r="HM6" s="199">
        <v>0</v>
      </c>
      <c r="HN6" s="204">
        <v>0</v>
      </c>
      <c r="HO6" s="205">
        <v>0</v>
      </c>
      <c r="HP6" s="204">
        <v>0</v>
      </c>
      <c r="HQ6" s="205">
        <v>0</v>
      </c>
      <c r="HR6" s="204">
        <v>0</v>
      </c>
      <c r="HS6" s="205">
        <v>0</v>
      </c>
      <c r="HT6" s="204">
        <v>0</v>
      </c>
      <c r="HU6" s="205">
        <v>0</v>
      </c>
      <c r="HV6" s="204">
        <v>0</v>
      </c>
      <c r="HW6" s="205">
        <v>0</v>
      </c>
      <c r="HX6" s="204">
        <v>0</v>
      </c>
      <c r="HY6" s="205">
        <v>0</v>
      </c>
      <c r="HZ6" s="204">
        <v>0</v>
      </c>
      <c r="IA6" s="205">
        <v>0</v>
      </c>
      <c r="IB6" s="204">
        <v>0</v>
      </c>
      <c r="IC6" s="205">
        <v>0</v>
      </c>
      <c r="ID6" s="204">
        <v>0</v>
      </c>
      <c r="IE6" s="205">
        <v>0</v>
      </c>
      <c r="IF6" s="204">
        <v>0</v>
      </c>
      <c r="IG6" s="205">
        <v>0</v>
      </c>
      <c r="IH6" s="204">
        <v>0</v>
      </c>
      <c r="II6" s="205">
        <v>0</v>
      </c>
      <c r="IJ6" s="204">
        <v>0</v>
      </c>
      <c r="IK6" s="205">
        <v>0</v>
      </c>
      <c r="IL6" s="204">
        <v>0</v>
      </c>
      <c r="IM6" s="205">
        <v>0</v>
      </c>
      <c r="IN6" s="204">
        <v>0</v>
      </c>
      <c r="IO6" s="205">
        <v>0</v>
      </c>
      <c r="IP6" s="204">
        <v>0</v>
      </c>
      <c r="IQ6" s="205">
        <v>0</v>
      </c>
      <c r="IR6" s="204">
        <v>0</v>
      </c>
      <c r="IS6" s="205">
        <v>0</v>
      </c>
      <c r="IT6" s="204">
        <v>0</v>
      </c>
      <c r="IU6" s="205">
        <v>0</v>
      </c>
      <c r="IV6" s="204">
        <v>0</v>
      </c>
      <c r="IW6" s="205">
        <v>0</v>
      </c>
      <c r="IX6" s="204">
        <v>0</v>
      </c>
      <c r="IY6" s="205">
        <v>0</v>
      </c>
      <c r="IZ6" s="204">
        <v>0</v>
      </c>
      <c r="JA6" s="205">
        <v>0</v>
      </c>
      <c r="JB6" s="204">
        <v>0</v>
      </c>
      <c r="JC6" s="205">
        <v>0</v>
      </c>
      <c r="JD6" s="204">
        <v>0</v>
      </c>
      <c r="JE6" s="233">
        <v>0</v>
      </c>
      <c r="JF6" s="236">
        <f t="shared" ref="JF6:JF63" si="0">HN6*24</f>
        <v>0</v>
      </c>
      <c r="JG6" s="235">
        <f t="shared" ref="JG6:JG63" si="1">HP6*24</f>
        <v>0</v>
      </c>
      <c r="JH6" s="235">
        <f t="shared" ref="JH6:JH63" si="2">HR6*24</f>
        <v>0</v>
      </c>
      <c r="JI6" s="235">
        <f t="shared" ref="JI6:JI63" si="3">HT6*24</f>
        <v>0</v>
      </c>
      <c r="JJ6" s="235">
        <f t="shared" ref="JJ6:JJ63" si="4">HV6*24</f>
        <v>0</v>
      </c>
      <c r="JK6" s="235">
        <f t="shared" ref="JK6:JK63" si="5">HX6*24</f>
        <v>0</v>
      </c>
      <c r="JL6" s="235">
        <f t="shared" ref="JL6:JL63" si="6">HZ6*24</f>
        <v>0</v>
      </c>
      <c r="JM6" s="235">
        <f t="shared" ref="JM6:JM63" si="7">IB6*24</f>
        <v>0</v>
      </c>
      <c r="JN6" s="235">
        <f t="shared" ref="JN6:JN63" si="8">ID6*24</f>
        <v>0</v>
      </c>
      <c r="JO6" s="235">
        <f t="shared" ref="JO6:JO63" si="9">IF6*24</f>
        <v>0</v>
      </c>
      <c r="JP6" s="235">
        <f t="shared" ref="JP6:JP63" si="10">IH6*24</f>
        <v>0</v>
      </c>
      <c r="JQ6" s="235">
        <f t="shared" ref="JQ6:JQ63" si="11">IJ6*24</f>
        <v>0</v>
      </c>
      <c r="JR6" s="235">
        <f t="shared" ref="JR6:JR63" si="12">IL6*24</f>
        <v>0</v>
      </c>
      <c r="JS6" s="235">
        <f t="shared" ref="JS6:JS63" si="13">IN6*24</f>
        <v>0</v>
      </c>
      <c r="JT6" s="235">
        <f t="shared" ref="JT6:JT63" si="14">IP6*24</f>
        <v>0</v>
      </c>
      <c r="JU6" s="235">
        <f t="shared" ref="JU6:JU63" si="15">IR6*24</f>
        <v>0</v>
      </c>
      <c r="JV6" s="235">
        <f t="shared" ref="JV6:JV63" si="16">IT6*24</f>
        <v>0</v>
      </c>
      <c r="JW6" s="235">
        <f t="shared" ref="JW6:JW63" si="17">IV6*24</f>
        <v>0</v>
      </c>
      <c r="JX6" s="235">
        <f t="shared" ref="JX6:JX63" si="18">IX6*24</f>
        <v>0</v>
      </c>
      <c r="JY6" s="235">
        <f t="shared" ref="JY6:JY63" si="19">IZ6*24</f>
        <v>0</v>
      </c>
      <c r="JZ6" s="235">
        <f t="shared" ref="JZ6:JZ63" si="20">JB6*24</f>
        <v>0</v>
      </c>
      <c r="KA6" s="237">
        <f t="shared" ref="KA6:KA63" si="21">JD6*24</f>
        <v>0</v>
      </c>
      <c r="KB6" s="248">
        <v>46024</v>
      </c>
      <c r="KC6" s="201">
        <v>0</v>
      </c>
      <c r="KD6" s="201">
        <v>0</v>
      </c>
      <c r="KE6" s="201">
        <v>0</v>
      </c>
      <c r="KF6" s="201">
        <v>0</v>
      </c>
      <c r="KG6" s="201">
        <v>0</v>
      </c>
      <c r="KH6" s="201">
        <v>0</v>
      </c>
      <c r="KI6" s="201">
        <v>0</v>
      </c>
      <c r="KJ6" s="201">
        <v>0</v>
      </c>
      <c r="KK6" s="201">
        <v>0</v>
      </c>
      <c r="KL6" s="201">
        <v>0</v>
      </c>
      <c r="KM6" s="201">
        <v>0</v>
      </c>
      <c r="KN6" s="202">
        <v>0</v>
      </c>
      <c r="KO6" s="202">
        <v>0</v>
      </c>
      <c r="KP6" s="202">
        <v>0</v>
      </c>
      <c r="KQ6" s="202">
        <v>0</v>
      </c>
      <c r="KR6" s="202">
        <v>0</v>
      </c>
      <c r="KS6" s="202">
        <v>0</v>
      </c>
      <c r="KT6" s="202">
        <v>0</v>
      </c>
      <c r="KU6" s="202">
        <v>0</v>
      </c>
      <c r="KV6" s="202">
        <v>0</v>
      </c>
      <c r="KW6" s="202">
        <v>0</v>
      </c>
      <c r="KX6" s="202">
        <v>0</v>
      </c>
      <c r="KY6" s="203">
        <v>0</v>
      </c>
    </row>
    <row r="7" spans="1:311">
      <c r="A7" s="194">
        <v>46025</v>
      </c>
      <c r="B7" s="195"/>
      <c r="C7" s="196"/>
      <c r="D7" s="196"/>
      <c r="E7" s="196"/>
      <c r="F7" s="196"/>
      <c r="G7" s="196"/>
      <c r="H7" s="197">
        <v>0</v>
      </c>
      <c r="I7" s="198">
        <v>0</v>
      </c>
      <c r="J7" s="198">
        <v>0</v>
      </c>
      <c r="K7" s="199">
        <v>0</v>
      </c>
      <c r="L7" s="195"/>
      <c r="M7" s="196"/>
      <c r="N7" s="196"/>
      <c r="O7" s="196"/>
      <c r="P7" s="196"/>
      <c r="Q7" s="196"/>
      <c r="R7" s="200">
        <v>0</v>
      </c>
      <c r="S7" s="198">
        <v>0</v>
      </c>
      <c r="T7" s="198">
        <v>0</v>
      </c>
      <c r="U7" s="199">
        <v>0</v>
      </c>
      <c r="V7" s="195"/>
      <c r="W7" s="196"/>
      <c r="X7" s="196"/>
      <c r="Y7" s="196"/>
      <c r="Z7" s="196"/>
      <c r="AA7" s="196"/>
      <c r="AB7" s="200">
        <v>0</v>
      </c>
      <c r="AC7" s="198">
        <v>0</v>
      </c>
      <c r="AD7" s="198">
        <v>0</v>
      </c>
      <c r="AE7" s="199">
        <v>0</v>
      </c>
      <c r="AF7" s="195"/>
      <c r="AG7" s="196"/>
      <c r="AH7" s="196"/>
      <c r="AI7" s="196"/>
      <c r="AJ7" s="196"/>
      <c r="AK7" s="196"/>
      <c r="AL7" s="200">
        <v>0</v>
      </c>
      <c r="AM7" s="198">
        <v>0</v>
      </c>
      <c r="AN7" s="198">
        <v>0</v>
      </c>
      <c r="AO7" s="199">
        <v>0</v>
      </c>
      <c r="AP7" s="195"/>
      <c r="AQ7" s="196"/>
      <c r="AR7" s="196"/>
      <c r="AS7" s="196"/>
      <c r="AT7" s="196"/>
      <c r="AU7" s="196"/>
      <c r="AV7" s="200">
        <v>0</v>
      </c>
      <c r="AW7" s="198">
        <v>0</v>
      </c>
      <c r="AX7" s="198">
        <v>0</v>
      </c>
      <c r="AY7" s="199">
        <v>0</v>
      </c>
      <c r="AZ7" s="195"/>
      <c r="BA7" s="196"/>
      <c r="BB7" s="196"/>
      <c r="BC7" s="196"/>
      <c r="BD7" s="196"/>
      <c r="BE7" s="196"/>
      <c r="BF7" s="200">
        <v>0</v>
      </c>
      <c r="BG7" s="198">
        <v>0</v>
      </c>
      <c r="BH7" s="198">
        <v>0</v>
      </c>
      <c r="BI7" s="199">
        <v>0</v>
      </c>
      <c r="BJ7" s="195"/>
      <c r="BK7" s="196"/>
      <c r="BL7" s="196"/>
      <c r="BM7" s="196"/>
      <c r="BN7" s="196"/>
      <c r="BO7" s="196"/>
      <c r="BP7" s="200">
        <v>0</v>
      </c>
      <c r="BQ7" s="198">
        <v>0</v>
      </c>
      <c r="BR7" s="198">
        <v>0</v>
      </c>
      <c r="BS7" s="199">
        <v>0</v>
      </c>
      <c r="BT7" s="195"/>
      <c r="BU7" s="196"/>
      <c r="BV7" s="196"/>
      <c r="BW7" s="196"/>
      <c r="BX7" s="196"/>
      <c r="BY7" s="196"/>
      <c r="BZ7" s="200">
        <v>0</v>
      </c>
      <c r="CA7" s="198">
        <v>0</v>
      </c>
      <c r="CB7" s="198">
        <v>0</v>
      </c>
      <c r="CC7" s="199">
        <v>0</v>
      </c>
      <c r="CD7" s="195"/>
      <c r="CE7" s="196"/>
      <c r="CF7" s="196"/>
      <c r="CG7" s="196"/>
      <c r="CH7" s="196"/>
      <c r="CI7" s="196"/>
      <c r="CJ7" s="200">
        <v>0</v>
      </c>
      <c r="CK7" s="198">
        <v>0</v>
      </c>
      <c r="CL7" s="198">
        <v>0</v>
      </c>
      <c r="CM7" s="199">
        <v>0</v>
      </c>
      <c r="CN7" s="195"/>
      <c r="CO7" s="196"/>
      <c r="CP7" s="196"/>
      <c r="CQ7" s="196"/>
      <c r="CR7" s="196"/>
      <c r="CS7" s="196"/>
      <c r="CT7" s="200">
        <v>0</v>
      </c>
      <c r="CU7" s="198">
        <v>0</v>
      </c>
      <c r="CV7" s="198">
        <v>0</v>
      </c>
      <c r="CW7" s="199">
        <v>0</v>
      </c>
      <c r="CX7" s="195"/>
      <c r="CY7" s="196"/>
      <c r="CZ7" s="196"/>
      <c r="DA7" s="196"/>
      <c r="DB7" s="196"/>
      <c r="DC7" s="196"/>
      <c r="DD7" s="200">
        <v>0</v>
      </c>
      <c r="DE7" s="198">
        <v>0</v>
      </c>
      <c r="DF7" s="198">
        <v>0</v>
      </c>
      <c r="DG7" s="199">
        <v>0</v>
      </c>
      <c r="DH7" s="195"/>
      <c r="DI7" s="196"/>
      <c r="DJ7" s="196"/>
      <c r="DK7" s="196"/>
      <c r="DL7" s="196"/>
      <c r="DM7" s="196"/>
      <c r="DN7" s="200">
        <v>0</v>
      </c>
      <c r="DO7" s="198">
        <v>0</v>
      </c>
      <c r="DP7" s="198">
        <v>0</v>
      </c>
      <c r="DQ7" s="199">
        <v>0</v>
      </c>
      <c r="DR7" s="195"/>
      <c r="DS7" s="196"/>
      <c r="DT7" s="196"/>
      <c r="DU7" s="196"/>
      <c r="DV7" s="196"/>
      <c r="DW7" s="196"/>
      <c r="DX7" s="200">
        <v>0</v>
      </c>
      <c r="DY7" s="198">
        <v>0</v>
      </c>
      <c r="DZ7" s="198">
        <v>0</v>
      </c>
      <c r="EA7" s="199">
        <v>0</v>
      </c>
      <c r="EB7" s="195"/>
      <c r="EC7" s="196"/>
      <c r="ED7" s="196"/>
      <c r="EE7" s="196"/>
      <c r="EF7" s="196"/>
      <c r="EG7" s="196"/>
      <c r="EH7" s="200">
        <v>0</v>
      </c>
      <c r="EI7" s="198">
        <v>0</v>
      </c>
      <c r="EJ7" s="198">
        <v>0</v>
      </c>
      <c r="EK7" s="199">
        <v>0</v>
      </c>
      <c r="EL7" s="195"/>
      <c r="EM7" s="196"/>
      <c r="EN7" s="196"/>
      <c r="EO7" s="196"/>
      <c r="EP7" s="196"/>
      <c r="EQ7" s="196"/>
      <c r="ER7" s="200">
        <v>0</v>
      </c>
      <c r="ES7" s="198">
        <v>0</v>
      </c>
      <c r="ET7" s="198">
        <v>0</v>
      </c>
      <c r="EU7" s="199">
        <v>0</v>
      </c>
      <c r="EV7" s="195"/>
      <c r="EW7" s="196"/>
      <c r="EX7" s="196"/>
      <c r="EY7" s="196"/>
      <c r="EZ7" s="196"/>
      <c r="FA7" s="196"/>
      <c r="FB7" s="200">
        <v>0</v>
      </c>
      <c r="FC7" s="198">
        <v>0</v>
      </c>
      <c r="FD7" s="198">
        <v>0</v>
      </c>
      <c r="FE7" s="199">
        <v>0</v>
      </c>
      <c r="FF7" s="195"/>
      <c r="FG7" s="196"/>
      <c r="FH7" s="196"/>
      <c r="FI7" s="196"/>
      <c r="FJ7" s="196"/>
      <c r="FK7" s="196"/>
      <c r="FL7" s="200">
        <v>0</v>
      </c>
      <c r="FM7" s="198">
        <v>0</v>
      </c>
      <c r="FN7" s="198">
        <v>0</v>
      </c>
      <c r="FO7" s="199">
        <v>0</v>
      </c>
      <c r="FP7" s="195"/>
      <c r="FQ7" s="196"/>
      <c r="FR7" s="196"/>
      <c r="FS7" s="196"/>
      <c r="FT7" s="196"/>
      <c r="FU7" s="196"/>
      <c r="FV7" s="200">
        <v>0</v>
      </c>
      <c r="FW7" s="198">
        <v>0</v>
      </c>
      <c r="FX7" s="198">
        <v>0</v>
      </c>
      <c r="FY7" s="199">
        <v>0</v>
      </c>
      <c r="FZ7" s="195"/>
      <c r="GA7" s="196"/>
      <c r="GB7" s="196"/>
      <c r="GC7" s="196"/>
      <c r="GD7" s="196"/>
      <c r="GE7" s="196"/>
      <c r="GF7" s="200">
        <v>0</v>
      </c>
      <c r="GG7" s="198">
        <v>0</v>
      </c>
      <c r="GH7" s="198">
        <v>0</v>
      </c>
      <c r="GI7" s="199">
        <v>0</v>
      </c>
      <c r="GJ7" s="195"/>
      <c r="GK7" s="196"/>
      <c r="GL7" s="196"/>
      <c r="GM7" s="196"/>
      <c r="GN7" s="196"/>
      <c r="GO7" s="196"/>
      <c r="GP7" s="200">
        <v>0</v>
      </c>
      <c r="GQ7" s="198">
        <v>0</v>
      </c>
      <c r="GR7" s="198">
        <v>0</v>
      </c>
      <c r="GS7" s="199">
        <v>0</v>
      </c>
      <c r="GT7" s="195"/>
      <c r="GU7" s="196"/>
      <c r="GV7" s="196"/>
      <c r="GW7" s="196"/>
      <c r="GX7" s="196"/>
      <c r="GY7" s="196"/>
      <c r="GZ7" s="200">
        <v>0</v>
      </c>
      <c r="HA7" s="198">
        <v>0</v>
      </c>
      <c r="HB7" s="198">
        <v>0</v>
      </c>
      <c r="HC7" s="199">
        <v>0</v>
      </c>
      <c r="HD7" s="195"/>
      <c r="HE7" s="196"/>
      <c r="HF7" s="196"/>
      <c r="HG7" s="196"/>
      <c r="HH7" s="196"/>
      <c r="HI7" s="196"/>
      <c r="HJ7" s="200">
        <v>0</v>
      </c>
      <c r="HK7" s="198">
        <v>0</v>
      </c>
      <c r="HL7" s="198">
        <v>0</v>
      </c>
      <c r="HM7" s="199">
        <v>0</v>
      </c>
      <c r="HN7" s="204">
        <v>0</v>
      </c>
      <c r="HO7" s="205">
        <v>0</v>
      </c>
      <c r="HP7" s="204">
        <v>0</v>
      </c>
      <c r="HQ7" s="205">
        <v>0</v>
      </c>
      <c r="HR7" s="204">
        <v>0</v>
      </c>
      <c r="HS7" s="205">
        <v>0</v>
      </c>
      <c r="HT7" s="204">
        <v>0</v>
      </c>
      <c r="HU7" s="205">
        <v>0</v>
      </c>
      <c r="HV7" s="204">
        <v>0</v>
      </c>
      <c r="HW7" s="205">
        <v>0</v>
      </c>
      <c r="HX7" s="204">
        <v>0</v>
      </c>
      <c r="HY7" s="205">
        <v>0</v>
      </c>
      <c r="HZ7" s="204">
        <v>0</v>
      </c>
      <c r="IA7" s="205">
        <v>0</v>
      </c>
      <c r="IB7" s="204">
        <v>0</v>
      </c>
      <c r="IC7" s="205">
        <v>0</v>
      </c>
      <c r="ID7" s="204">
        <v>0</v>
      </c>
      <c r="IE7" s="205">
        <v>0</v>
      </c>
      <c r="IF7" s="204">
        <v>0</v>
      </c>
      <c r="IG7" s="205">
        <v>0</v>
      </c>
      <c r="IH7" s="204">
        <v>0</v>
      </c>
      <c r="II7" s="205">
        <v>0</v>
      </c>
      <c r="IJ7" s="204">
        <v>0</v>
      </c>
      <c r="IK7" s="205">
        <v>0</v>
      </c>
      <c r="IL7" s="204">
        <v>0</v>
      </c>
      <c r="IM7" s="205">
        <v>0</v>
      </c>
      <c r="IN7" s="204">
        <v>0</v>
      </c>
      <c r="IO7" s="205">
        <v>0</v>
      </c>
      <c r="IP7" s="204">
        <v>0</v>
      </c>
      <c r="IQ7" s="205">
        <v>0</v>
      </c>
      <c r="IR7" s="204">
        <v>0</v>
      </c>
      <c r="IS7" s="205">
        <v>0</v>
      </c>
      <c r="IT7" s="204">
        <v>0</v>
      </c>
      <c r="IU7" s="205">
        <v>0</v>
      </c>
      <c r="IV7" s="204">
        <v>0</v>
      </c>
      <c r="IW7" s="205">
        <v>0</v>
      </c>
      <c r="IX7" s="204">
        <v>0</v>
      </c>
      <c r="IY7" s="205">
        <v>0</v>
      </c>
      <c r="IZ7" s="204">
        <v>0</v>
      </c>
      <c r="JA7" s="205">
        <v>0</v>
      </c>
      <c r="JB7" s="204">
        <v>0</v>
      </c>
      <c r="JC7" s="205">
        <v>0</v>
      </c>
      <c r="JD7" s="204">
        <v>0</v>
      </c>
      <c r="JE7" s="233">
        <v>0</v>
      </c>
      <c r="JF7" s="236">
        <f t="shared" si="0"/>
        <v>0</v>
      </c>
      <c r="JG7" s="235">
        <f t="shared" si="1"/>
        <v>0</v>
      </c>
      <c r="JH7" s="235">
        <f t="shared" si="2"/>
        <v>0</v>
      </c>
      <c r="JI7" s="235">
        <f t="shared" si="3"/>
        <v>0</v>
      </c>
      <c r="JJ7" s="235">
        <f t="shared" si="4"/>
        <v>0</v>
      </c>
      <c r="JK7" s="235">
        <f t="shared" si="5"/>
        <v>0</v>
      </c>
      <c r="JL7" s="235">
        <f t="shared" si="6"/>
        <v>0</v>
      </c>
      <c r="JM7" s="235">
        <f t="shared" si="7"/>
        <v>0</v>
      </c>
      <c r="JN7" s="235">
        <f t="shared" si="8"/>
        <v>0</v>
      </c>
      <c r="JO7" s="235">
        <f t="shared" si="9"/>
        <v>0</v>
      </c>
      <c r="JP7" s="235">
        <f t="shared" si="10"/>
        <v>0</v>
      </c>
      <c r="JQ7" s="235">
        <f t="shared" si="11"/>
        <v>0</v>
      </c>
      <c r="JR7" s="235">
        <f t="shared" si="12"/>
        <v>0</v>
      </c>
      <c r="JS7" s="235">
        <f t="shared" si="13"/>
        <v>0</v>
      </c>
      <c r="JT7" s="235">
        <f t="shared" si="14"/>
        <v>0</v>
      </c>
      <c r="JU7" s="235">
        <f t="shared" si="15"/>
        <v>0</v>
      </c>
      <c r="JV7" s="235">
        <f t="shared" si="16"/>
        <v>0</v>
      </c>
      <c r="JW7" s="235">
        <f t="shared" si="17"/>
        <v>0</v>
      </c>
      <c r="JX7" s="235">
        <f t="shared" si="18"/>
        <v>0</v>
      </c>
      <c r="JY7" s="235">
        <f t="shared" si="19"/>
        <v>0</v>
      </c>
      <c r="JZ7" s="235">
        <f t="shared" si="20"/>
        <v>0</v>
      </c>
      <c r="KA7" s="237">
        <f t="shared" si="21"/>
        <v>0</v>
      </c>
      <c r="KB7" s="248">
        <v>46025</v>
      </c>
      <c r="KC7" s="201">
        <v>0</v>
      </c>
      <c r="KD7" s="201">
        <v>0</v>
      </c>
      <c r="KE7" s="201">
        <v>0</v>
      </c>
      <c r="KF7" s="201">
        <v>0</v>
      </c>
      <c r="KG7" s="201">
        <v>0</v>
      </c>
      <c r="KH7" s="201">
        <v>0</v>
      </c>
      <c r="KI7" s="201">
        <v>0</v>
      </c>
      <c r="KJ7" s="201">
        <v>0</v>
      </c>
      <c r="KK7" s="201">
        <v>0</v>
      </c>
      <c r="KL7" s="201">
        <v>0</v>
      </c>
      <c r="KM7" s="201">
        <v>0</v>
      </c>
      <c r="KN7" s="202">
        <v>0</v>
      </c>
      <c r="KO7" s="202">
        <v>0</v>
      </c>
      <c r="KP7" s="202">
        <v>0</v>
      </c>
      <c r="KQ7" s="202">
        <v>0</v>
      </c>
      <c r="KR7" s="202">
        <v>0</v>
      </c>
      <c r="KS7" s="202">
        <v>0</v>
      </c>
      <c r="KT7" s="202">
        <v>0</v>
      </c>
      <c r="KU7" s="202">
        <v>0</v>
      </c>
      <c r="KV7" s="202">
        <v>0</v>
      </c>
      <c r="KW7" s="202">
        <v>0</v>
      </c>
      <c r="KX7" s="202">
        <v>0</v>
      </c>
      <c r="KY7" s="203">
        <v>0</v>
      </c>
    </row>
    <row r="8" spans="1:311">
      <c r="A8" s="194">
        <v>46026</v>
      </c>
      <c r="B8" s="195"/>
      <c r="C8" s="196"/>
      <c r="D8" s="196"/>
      <c r="E8" s="196"/>
      <c r="F8" s="196"/>
      <c r="G8" s="196"/>
      <c r="H8" s="197">
        <v>0</v>
      </c>
      <c r="I8" s="198">
        <v>0</v>
      </c>
      <c r="J8" s="198">
        <v>0</v>
      </c>
      <c r="K8" s="199">
        <v>0</v>
      </c>
      <c r="L8" s="195"/>
      <c r="M8" s="196"/>
      <c r="N8" s="196"/>
      <c r="O8" s="196"/>
      <c r="P8" s="196"/>
      <c r="Q8" s="196"/>
      <c r="R8" s="200">
        <v>0</v>
      </c>
      <c r="S8" s="198">
        <v>0</v>
      </c>
      <c r="T8" s="198">
        <v>0</v>
      </c>
      <c r="U8" s="199">
        <v>0</v>
      </c>
      <c r="V8" s="195"/>
      <c r="W8" s="196"/>
      <c r="X8" s="196"/>
      <c r="Y8" s="196"/>
      <c r="Z8" s="196"/>
      <c r="AA8" s="196"/>
      <c r="AB8" s="200">
        <v>0</v>
      </c>
      <c r="AC8" s="198">
        <v>0</v>
      </c>
      <c r="AD8" s="198">
        <v>0</v>
      </c>
      <c r="AE8" s="199">
        <v>0</v>
      </c>
      <c r="AF8" s="195"/>
      <c r="AG8" s="196"/>
      <c r="AH8" s="196"/>
      <c r="AI8" s="196"/>
      <c r="AJ8" s="196"/>
      <c r="AK8" s="196"/>
      <c r="AL8" s="200">
        <v>0</v>
      </c>
      <c r="AM8" s="198">
        <v>0</v>
      </c>
      <c r="AN8" s="198">
        <v>0</v>
      </c>
      <c r="AO8" s="199">
        <v>0</v>
      </c>
      <c r="AP8" s="195"/>
      <c r="AQ8" s="196"/>
      <c r="AR8" s="196"/>
      <c r="AS8" s="196"/>
      <c r="AT8" s="196"/>
      <c r="AU8" s="196"/>
      <c r="AV8" s="200">
        <v>0</v>
      </c>
      <c r="AW8" s="198">
        <v>0</v>
      </c>
      <c r="AX8" s="198">
        <v>0</v>
      </c>
      <c r="AY8" s="199">
        <v>0</v>
      </c>
      <c r="AZ8" s="195"/>
      <c r="BA8" s="196"/>
      <c r="BB8" s="196"/>
      <c r="BC8" s="196"/>
      <c r="BD8" s="196"/>
      <c r="BE8" s="196"/>
      <c r="BF8" s="200">
        <v>0</v>
      </c>
      <c r="BG8" s="198">
        <v>0</v>
      </c>
      <c r="BH8" s="198">
        <v>0</v>
      </c>
      <c r="BI8" s="199">
        <v>0</v>
      </c>
      <c r="BJ8" s="195"/>
      <c r="BK8" s="196"/>
      <c r="BL8" s="196"/>
      <c r="BM8" s="196"/>
      <c r="BN8" s="196"/>
      <c r="BO8" s="196"/>
      <c r="BP8" s="200">
        <v>0</v>
      </c>
      <c r="BQ8" s="198">
        <v>0</v>
      </c>
      <c r="BR8" s="198">
        <v>0</v>
      </c>
      <c r="BS8" s="199">
        <v>0</v>
      </c>
      <c r="BT8" s="195"/>
      <c r="BU8" s="196"/>
      <c r="BV8" s="196"/>
      <c r="BW8" s="196"/>
      <c r="BX8" s="196"/>
      <c r="BY8" s="196"/>
      <c r="BZ8" s="200">
        <v>0</v>
      </c>
      <c r="CA8" s="198">
        <v>0</v>
      </c>
      <c r="CB8" s="198">
        <v>0</v>
      </c>
      <c r="CC8" s="199">
        <v>0</v>
      </c>
      <c r="CD8" s="195"/>
      <c r="CE8" s="196"/>
      <c r="CF8" s="196"/>
      <c r="CG8" s="196"/>
      <c r="CH8" s="196"/>
      <c r="CI8" s="196"/>
      <c r="CJ8" s="200">
        <v>0</v>
      </c>
      <c r="CK8" s="198">
        <v>0</v>
      </c>
      <c r="CL8" s="198">
        <v>0</v>
      </c>
      <c r="CM8" s="199">
        <v>0</v>
      </c>
      <c r="CN8" s="195"/>
      <c r="CO8" s="196"/>
      <c r="CP8" s="196"/>
      <c r="CQ8" s="196"/>
      <c r="CR8" s="196"/>
      <c r="CS8" s="196"/>
      <c r="CT8" s="200">
        <v>0</v>
      </c>
      <c r="CU8" s="198">
        <v>0</v>
      </c>
      <c r="CV8" s="198">
        <v>0</v>
      </c>
      <c r="CW8" s="199">
        <v>0</v>
      </c>
      <c r="CX8" s="195"/>
      <c r="CY8" s="196"/>
      <c r="CZ8" s="196"/>
      <c r="DA8" s="196"/>
      <c r="DB8" s="196"/>
      <c r="DC8" s="196"/>
      <c r="DD8" s="200">
        <v>0</v>
      </c>
      <c r="DE8" s="198">
        <v>0</v>
      </c>
      <c r="DF8" s="198">
        <v>0</v>
      </c>
      <c r="DG8" s="199">
        <v>0</v>
      </c>
      <c r="DH8" s="195"/>
      <c r="DI8" s="196"/>
      <c r="DJ8" s="196"/>
      <c r="DK8" s="196"/>
      <c r="DL8" s="196"/>
      <c r="DM8" s="196"/>
      <c r="DN8" s="200">
        <v>0</v>
      </c>
      <c r="DO8" s="198">
        <v>0</v>
      </c>
      <c r="DP8" s="198">
        <v>0</v>
      </c>
      <c r="DQ8" s="199">
        <v>0</v>
      </c>
      <c r="DR8" s="195"/>
      <c r="DS8" s="196"/>
      <c r="DT8" s="196"/>
      <c r="DU8" s="196"/>
      <c r="DV8" s="196"/>
      <c r="DW8" s="196"/>
      <c r="DX8" s="200">
        <v>0</v>
      </c>
      <c r="DY8" s="198">
        <v>0</v>
      </c>
      <c r="DZ8" s="198">
        <v>0</v>
      </c>
      <c r="EA8" s="199">
        <v>0</v>
      </c>
      <c r="EB8" s="195"/>
      <c r="EC8" s="196"/>
      <c r="ED8" s="196"/>
      <c r="EE8" s="196"/>
      <c r="EF8" s="196"/>
      <c r="EG8" s="196"/>
      <c r="EH8" s="200">
        <v>0</v>
      </c>
      <c r="EI8" s="198">
        <v>0</v>
      </c>
      <c r="EJ8" s="198">
        <v>0</v>
      </c>
      <c r="EK8" s="199">
        <v>0</v>
      </c>
      <c r="EL8" s="195"/>
      <c r="EM8" s="196"/>
      <c r="EN8" s="196"/>
      <c r="EO8" s="196"/>
      <c r="EP8" s="196"/>
      <c r="EQ8" s="196"/>
      <c r="ER8" s="200">
        <v>0</v>
      </c>
      <c r="ES8" s="198">
        <v>0</v>
      </c>
      <c r="ET8" s="198">
        <v>0</v>
      </c>
      <c r="EU8" s="199">
        <v>0</v>
      </c>
      <c r="EV8" s="195"/>
      <c r="EW8" s="196"/>
      <c r="EX8" s="196"/>
      <c r="EY8" s="196"/>
      <c r="EZ8" s="196"/>
      <c r="FA8" s="196"/>
      <c r="FB8" s="200">
        <v>0</v>
      </c>
      <c r="FC8" s="198">
        <v>0</v>
      </c>
      <c r="FD8" s="198">
        <v>0</v>
      </c>
      <c r="FE8" s="199">
        <v>0</v>
      </c>
      <c r="FF8" s="195"/>
      <c r="FG8" s="196"/>
      <c r="FH8" s="196"/>
      <c r="FI8" s="196"/>
      <c r="FJ8" s="196"/>
      <c r="FK8" s="196"/>
      <c r="FL8" s="200">
        <v>0</v>
      </c>
      <c r="FM8" s="198">
        <v>0</v>
      </c>
      <c r="FN8" s="198">
        <v>0</v>
      </c>
      <c r="FO8" s="199">
        <v>0</v>
      </c>
      <c r="FP8" s="195"/>
      <c r="FQ8" s="196"/>
      <c r="FR8" s="196"/>
      <c r="FS8" s="196"/>
      <c r="FT8" s="196"/>
      <c r="FU8" s="196"/>
      <c r="FV8" s="200">
        <v>0</v>
      </c>
      <c r="FW8" s="198">
        <v>0</v>
      </c>
      <c r="FX8" s="198">
        <v>0</v>
      </c>
      <c r="FY8" s="199">
        <v>0</v>
      </c>
      <c r="FZ8" s="195"/>
      <c r="GA8" s="196"/>
      <c r="GB8" s="196"/>
      <c r="GC8" s="196"/>
      <c r="GD8" s="196"/>
      <c r="GE8" s="196"/>
      <c r="GF8" s="200">
        <v>0</v>
      </c>
      <c r="GG8" s="198">
        <v>0</v>
      </c>
      <c r="GH8" s="198">
        <v>0</v>
      </c>
      <c r="GI8" s="199">
        <v>0</v>
      </c>
      <c r="GJ8" s="195"/>
      <c r="GK8" s="196"/>
      <c r="GL8" s="196"/>
      <c r="GM8" s="196"/>
      <c r="GN8" s="196"/>
      <c r="GO8" s="196"/>
      <c r="GP8" s="200">
        <v>0</v>
      </c>
      <c r="GQ8" s="198">
        <v>0</v>
      </c>
      <c r="GR8" s="198">
        <v>0</v>
      </c>
      <c r="GS8" s="199">
        <v>0</v>
      </c>
      <c r="GT8" s="195"/>
      <c r="GU8" s="196"/>
      <c r="GV8" s="196"/>
      <c r="GW8" s="196"/>
      <c r="GX8" s="196"/>
      <c r="GY8" s="196"/>
      <c r="GZ8" s="200">
        <v>0</v>
      </c>
      <c r="HA8" s="198">
        <v>0</v>
      </c>
      <c r="HB8" s="198">
        <v>0</v>
      </c>
      <c r="HC8" s="199">
        <v>0</v>
      </c>
      <c r="HD8" s="195"/>
      <c r="HE8" s="196"/>
      <c r="HF8" s="196"/>
      <c r="HG8" s="196"/>
      <c r="HH8" s="196"/>
      <c r="HI8" s="196"/>
      <c r="HJ8" s="200">
        <v>0</v>
      </c>
      <c r="HK8" s="198">
        <v>0</v>
      </c>
      <c r="HL8" s="198">
        <v>0</v>
      </c>
      <c r="HM8" s="199">
        <v>0</v>
      </c>
      <c r="HN8" s="204">
        <v>0</v>
      </c>
      <c r="HO8" s="205">
        <v>0</v>
      </c>
      <c r="HP8" s="204">
        <v>0</v>
      </c>
      <c r="HQ8" s="205">
        <v>0</v>
      </c>
      <c r="HR8" s="204">
        <v>0</v>
      </c>
      <c r="HS8" s="205">
        <v>0</v>
      </c>
      <c r="HT8" s="204">
        <v>0</v>
      </c>
      <c r="HU8" s="205">
        <v>0</v>
      </c>
      <c r="HV8" s="204">
        <v>0</v>
      </c>
      <c r="HW8" s="205">
        <v>0</v>
      </c>
      <c r="HX8" s="204">
        <v>0</v>
      </c>
      <c r="HY8" s="205">
        <v>0</v>
      </c>
      <c r="HZ8" s="204">
        <v>0</v>
      </c>
      <c r="IA8" s="205">
        <v>0</v>
      </c>
      <c r="IB8" s="204">
        <v>0</v>
      </c>
      <c r="IC8" s="205">
        <v>0</v>
      </c>
      <c r="ID8" s="204">
        <v>0</v>
      </c>
      <c r="IE8" s="205">
        <v>0</v>
      </c>
      <c r="IF8" s="204">
        <v>0</v>
      </c>
      <c r="IG8" s="205">
        <v>0</v>
      </c>
      <c r="IH8" s="204">
        <v>0</v>
      </c>
      <c r="II8" s="205">
        <v>0</v>
      </c>
      <c r="IJ8" s="204">
        <v>0</v>
      </c>
      <c r="IK8" s="205">
        <v>0</v>
      </c>
      <c r="IL8" s="204">
        <v>0</v>
      </c>
      <c r="IM8" s="205">
        <v>0</v>
      </c>
      <c r="IN8" s="204">
        <v>0</v>
      </c>
      <c r="IO8" s="205">
        <v>0</v>
      </c>
      <c r="IP8" s="204">
        <v>0</v>
      </c>
      <c r="IQ8" s="205">
        <v>0</v>
      </c>
      <c r="IR8" s="204">
        <v>0</v>
      </c>
      <c r="IS8" s="205">
        <v>0</v>
      </c>
      <c r="IT8" s="204">
        <v>0</v>
      </c>
      <c r="IU8" s="205">
        <v>0</v>
      </c>
      <c r="IV8" s="204">
        <v>0</v>
      </c>
      <c r="IW8" s="205">
        <v>0</v>
      </c>
      <c r="IX8" s="204">
        <v>0</v>
      </c>
      <c r="IY8" s="205">
        <v>0</v>
      </c>
      <c r="IZ8" s="204">
        <v>0</v>
      </c>
      <c r="JA8" s="205">
        <v>0</v>
      </c>
      <c r="JB8" s="204">
        <v>0</v>
      </c>
      <c r="JC8" s="205">
        <v>0</v>
      </c>
      <c r="JD8" s="204">
        <v>0</v>
      </c>
      <c r="JE8" s="233">
        <v>0</v>
      </c>
      <c r="JF8" s="236">
        <f t="shared" si="0"/>
        <v>0</v>
      </c>
      <c r="JG8" s="235">
        <f t="shared" si="1"/>
        <v>0</v>
      </c>
      <c r="JH8" s="235">
        <f t="shared" si="2"/>
        <v>0</v>
      </c>
      <c r="JI8" s="235">
        <f t="shared" si="3"/>
        <v>0</v>
      </c>
      <c r="JJ8" s="235">
        <f t="shared" si="4"/>
        <v>0</v>
      </c>
      <c r="JK8" s="235">
        <f t="shared" si="5"/>
        <v>0</v>
      </c>
      <c r="JL8" s="235">
        <f t="shared" si="6"/>
        <v>0</v>
      </c>
      <c r="JM8" s="235">
        <f t="shared" si="7"/>
        <v>0</v>
      </c>
      <c r="JN8" s="235">
        <f t="shared" si="8"/>
        <v>0</v>
      </c>
      <c r="JO8" s="235">
        <f t="shared" si="9"/>
        <v>0</v>
      </c>
      <c r="JP8" s="235">
        <f t="shared" si="10"/>
        <v>0</v>
      </c>
      <c r="JQ8" s="235">
        <f t="shared" si="11"/>
        <v>0</v>
      </c>
      <c r="JR8" s="235">
        <f t="shared" si="12"/>
        <v>0</v>
      </c>
      <c r="JS8" s="235">
        <f t="shared" si="13"/>
        <v>0</v>
      </c>
      <c r="JT8" s="235">
        <f t="shared" si="14"/>
        <v>0</v>
      </c>
      <c r="JU8" s="235">
        <f t="shared" si="15"/>
        <v>0</v>
      </c>
      <c r="JV8" s="235">
        <f t="shared" si="16"/>
        <v>0</v>
      </c>
      <c r="JW8" s="235">
        <f t="shared" si="17"/>
        <v>0</v>
      </c>
      <c r="JX8" s="235">
        <f t="shared" si="18"/>
        <v>0</v>
      </c>
      <c r="JY8" s="235">
        <f t="shared" si="19"/>
        <v>0</v>
      </c>
      <c r="JZ8" s="235">
        <f t="shared" si="20"/>
        <v>0</v>
      </c>
      <c r="KA8" s="237">
        <f t="shared" si="21"/>
        <v>0</v>
      </c>
      <c r="KB8" s="248">
        <v>46026</v>
      </c>
      <c r="KC8" s="201">
        <v>0</v>
      </c>
      <c r="KD8" s="201">
        <v>0</v>
      </c>
      <c r="KE8" s="201">
        <v>0</v>
      </c>
      <c r="KF8" s="201">
        <v>0</v>
      </c>
      <c r="KG8" s="201">
        <v>0</v>
      </c>
      <c r="KH8" s="201">
        <v>0</v>
      </c>
      <c r="KI8" s="201">
        <v>0</v>
      </c>
      <c r="KJ8" s="201">
        <v>0</v>
      </c>
      <c r="KK8" s="201">
        <v>0</v>
      </c>
      <c r="KL8" s="201">
        <v>0</v>
      </c>
      <c r="KM8" s="201">
        <v>0</v>
      </c>
      <c r="KN8" s="202">
        <v>0</v>
      </c>
      <c r="KO8" s="202">
        <v>0</v>
      </c>
      <c r="KP8" s="202">
        <v>0</v>
      </c>
      <c r="KQ8" s="202">
        <v>0</v>
      </c>
      <c r="KR8" s="202">
        <v>0</v>
      </c>
      <c r="KS8" s="202">
        <v>0</v>
      </c>
      <c r="KT8" s="202">
        <v>0</v>
      </c>
      <c r="KU8" s="202">
        <v>0</v>
      </c>
      <c r="KV8" s="202">
        <v>0</v>
      </c>
      <c r="KW8" s="202">
        <v>0</v>
      </c>
      <c r="KX8" s="202">
        <v>0</v>
      </c>
      <c r="KY8" s="203">
        <v>0</v>
      </c>
    </row>
    <row r="9" spans="1:311">
      <c r="A9" s="194">
        <v>46027</v>
      </c>
      <c r="B9" s="195"/>
      <c r="C9" s="196"/>
      <c r="D9" s="196"/>
      <c r="E9" s="196"/>
      <c r="F9" s="196"/>
      <c r="G9" s="196"/>
      <c r="H9" s="197">
        <v>0</v>
      </c>
      <c r="I9" s="198">
        <v>0</v>
      </c>
      <c r="J9" s="198">
        <v>0</v>
      </c>
      <c r="K9" s="199">
        <v>0</v>
      </c>
      <c r="L9" s="195"/>
      <c r="M9" s="196"/>
      <c r="N9" s="196"/>
      <c r="O9" s="196"/>
      <c r="P9" s="196"/>
      <c r="Q9" s="196"/>
      <c r="R9" s="200">
        <v>0</v>
      </c>
      <c r="S9" s="198">
        <v>0</v>
      </c>
      <c r="T9" s="198">
        <v>0</v>
      </c>
      <c r="U9" s="199">
        <v>0</v>
      </c>
      <c r="V9" s="195"/>
      <c r="W9" s="196"/>
      <c r="X9" s="196"/>
      <c r="Y9" s="196"/>
      <c r="Z9" s="196"/>
      <c r="AA9" s="196"/>
      <c r="AB9" s="200">
        <v>0</v>
      </c>
      <c r="AC9" s="198">
        <v>0</v>
      </c>
      <c r="AD9" s="198">
        <v>0</v>
      </c>
      <c r="AE9" s="199">
        <v>0</v>
      </c>
      <c r="AF9" s="195"/>
      <c r="AG9" s="196"/>
      <c r="AH9" s="196"/>
      <c r="AI9" s="196"/>
      <c r="AJ9" s="196"/>
      <c r="AK9" s="196"/>
      <c r="AL9" s="200">
        <v>0</v>
      </c>
      <c r="AM9" s="198">
        <v>0</v>
      </c>
      <c r="AN9" s="198">
        <v>0</v>
      </c>
      <c r="AO9" s="199">
        <v>0</v>
      </c>
      <c r="AP9" s="195"/>
      <c r="AQ9" s="196"/>
      <c r="AR9" s="196"/>
      <c r="AS9" s="196"/>
      <c r="AT9" s="196"/>
      <c r="AU9" s="196"/>
      <c r="AV9" s="200">
        <v>0</v>
      </c>
      <c r="AW9" s="198">
        <v>0</v>
      </c>
      <c r="AX9" s="198">
        <v>0</v>
      </c>
      <c r="AY9" s="199">
        <v>0</v>
      </c>
      <c r="AZ9" s="195"/>
      <c r="BA9" s="196"/>
      <c r="BB9" s="196"/>
      <c r="BC9" s="196"/>
      <c r="BD9" s="196"/>
      <c r="BE9" s="196"/>
      <c r="BF9" s="200">
        <v>0</v>
      </c>
      <c r="BG9" s="198">
        <v>0</v>
      </c>
      <c r="BH9" s="198">
        <v>0</v>
      </c>
      <c r="BI9" s="199">
        <v>0</v>
      </c>
      <c r="BJ9" s="195"/>
      <c r="BK9" s="196"/>
      <c r="BL9" s="196"/>
      <c r="BM9" s="196"/>
      <c r="BN9" s="196"/>
      <c r="BO9" s="196"/>
      <c r="BP9" s="200">
        <v>0</v>
      </c>
      <c r="BQ9" s="198">
        <v>0</v>
      </c>
      <c r="BR9" s="198">
        <v>0</v>
      </c>
      <c r="BS9" s="199">
        <v>0</v>
      </c>
      <c r="BT9" s="195"/>
      <c r="BU9" s="196"/>
      <c r="BV9" s="196"/>
      <c r="BW9" s="196"/>
      <c r="BX9" s="196"/>
      <c r="BY9" s="196"/>
      <c r="BZ9" s="200">
        <v>0</v>
      </c>
      <c r="CA9" s="198">
        <v>0</v>
      </c>
      <c r="CB9" s="198">
        <v>0</v>
      </c>
      <c r="CC9" s="199">
        <v>0</v>
      </c>
      <c r="CD9" s="195"/>
      <c r="CE9" s="196"/>
      <c r="CF9" s="196"/>
      <c r="CG9" s="196"/>
      <c r="CH9" s="196"/>
      <c r="CI9" s="196"/>
      <c r="CJ9" s="200">
        <v>0</v>
      </c>
      <c r="CK9" s="198">
        <v>0</v>
      </c>
      <c r="CL9" s="198">
        <v>0</v>
      </c>
      <c r="CM9" s="199">
        <v>0</v>
      </c>
      <c r="CN9" s="195"/>
      <c r="CO9" s="196"/>
      <c r="CP9" s="196"/>
      <c r="CQ9" s="196"/>
      <c r="CR9" s="196"/>
      <c r="CS9" s="196"/>
      <c r="CT9" s="200">
        <v>0</v>
      </c>
      <c r="CU9" s="198">
        <v>0</v>
      </c>
      <c r="CV9" s="198">
        <v>0</v>
      </c>
      <c r="CW9" s="199">
        <v>0</v>
      </c>
      <c r="CX9" s="195"/>
      <c r="CY9" s="196"/>
      <c r="CZ9" s="196"/>
      <c r="DA9" s="196"/>
      <c r="DB9" s="196"/>
      <c r="DC9" s="196"/>
      <c r="DD9" s="200">
        <v>0</v>
      </c>
      <c r="DE9" s="198">
        <v>0</v>
      </c>
      <c r="DF9" s="198">
        <v>0</v>
      </c>
      <c r="DG9" s="199">
        <v>0</v>
      </c>
      <c r="DH9" s="195"/>
      <c r="DI9" s="196"/>
      <c r="DJ9" s="196"/>
      <c r="DK9" s="196"/>
      <c r="DL9" s="196"/>
      <c r="DM9" s="196"/>
      <c r="DN9" s="200">
        <v>0</v>
      </c>
      <c r="DO9" s="198">
        <v>0</v>
      </c>
      <c r="DP9" s="198">
        <v>0</v>
      </c>
      <c r="DQ9" s="199">
        <v>0</v>
      </c>
      <c r="DR9" s="195"/>
      <c r="DS9" s="196"/>
      <c r="DT9" s="196"/>
      <c r="DU9" s="196"/>
      <c r="DV9" s="196"/>
      <c r="DW9" s="196"/>
      <c r="DX9" s="200">
        <v>0</v>
      </c>
      <c r="DY9" s="198">
        <v>0</v>
      </c>
      <c r="DZ9" s="198">
        <v>0</v>
      </c>
      <c r="EA9" s="199">
        <v>0</v>
      </c>
      <c r="EB9" s="195"/>
      <c r="EC9" s="196"/>
      <c r="ED9" s="196"/>
      <c r="EE9" s="196"/>
      <c r="EF9" s="196"/>
      <c r="EG9" s="196"/>
      <c r="EH9" s="200">
        <v>0</v>
      </c>
      <c r="EI9" s="198">
        <v>0</v>
      </c>
      <c r="EJ9" s="198">
        <v>0</v>
      </c>
      <c r="EK9" s="199">
        <v>0</v>
      </c>
      <c r="EL9" s="195"/>
      <c r="EM9" s="196"/>
      <c r="EN9" s="196"/>
      <c r="EO9" s="196"/>
      <c r="EP9" s="196"/>
      <c r="EQ9" s="196"/>
      <c r="ER9" s="200">
        <v>0</v>
      </c>
      <c r="ES9" s="198">
        <v>0</v>
      </c>
      <c r="ET9" s="198">
        <v>0</v>
      </c>
      <c r="EU9" s="199">
        <v>0</v>
      </c>
      <c r="EV9" s="195"/>
      <c r="EW9" s="196"/>
      <c r="EX9" s="196"/>
      <c r="EY9" s="196"/>
      <c r="EZ9" s="196"/>
      <c r="FA9" s="196"/>
      <c r="FB9" s="200">
        <v>0</v>
      </c>
      <c r="FC9" s="198">
        <v>0</v>
      </c>
      <c r="FD9" s="198">
        <v>0</v>
      </c>
      <c r="FE9" s="199">
        <v>0</v>
      </c>
      <c r="FF9" s="195"/>
      <c r="FG9" s="196"/>
      <c r="FH9" s="196"/>
      <c r="FI9" s="196"/>
      <c r="FJ9" s="196"/>
      <c r="FK9" s="196"/>
      <c r="FL9" s="200">
        <v>0</v>
      </c>
      <c r="FM9" s="198">
        <v>0</v>
      </c>
      <c r="FN9" s="198">
        <v>0</v>
      </c>
      <c r="FO9" s="199">
        <v>0</v>
      </c>
      <c r="FP9" s="195"/>
      <c r="FQ9" s="196"/>
      <c r="FR9" s="196"/>
      <c r="FS9" s="196"/>
      <c r="FT9" s="196"/>
      <c r="FU9" s="196"/>
      <c r="FV9" s="200">
        <v>0</v>
      </c>
      <c r="FW9" s="198">
        <v>0</v>
      </c>
      <c r="FX9" s="198">
        <v>0</v>
      </c>
      <c r="FY9" s="199">
        <v>0</v>
      </c>
      <c r="FZ9" s="195"/>
      <c r="GA9" s="196"/>
      <c r="GB9" s="196"/>
      <c r="GC9" s="196"/>
      <c r="GD9" s="196"/>
      <c r="GE9" s="196"/>
      <c r="GF9" s="200">
        <v>0</v>
      </c>
      <c r="GG9" s="198">
        <v>0</v>
      </c>
      <c r="GH9" s="198">
        <v>0</v>
      </c>
      <c r="GI9" s="199">
        <v>0</v>
      </c>
      <c r="GJ9" s="195"/>
      <c r="GK9" s="196"/>
      <c r="GL9" s="196"/>
      <c r="GM9" s="196"/>
      <c r="GN9" s="196"/>
      <c r="GO9" s="196"/>
      <c r="GP9" s="200">
        <v>0</v>
      </c>
      <c r="GQ9" s="198">
        <v>0</v>
      </c>
      <c r="GR9" s="198">
        <v>0</v>
      </c>
      <c r="GS9" s="199">
        <v>0</v>
      </c>
      <c r="GT9" s="195"/>
      <c r="GU9" s="196"/>
      <c r="GV9" s="196"/>
      <c r="GW9" s="196"/>
      <c r="GX9" s="196"/>
      <c r="GY9" s="196"/>
      <c r="GZ9" s="200">
        <v>0</v>
      </c>
      <c r="HA9" s="198">
        <v>0</v>
      </c>
      <c r="HB9" s="198">
        <v>0</v>
      </c>
      <c r="HC9" s="199">
        <v>0</v>
      </c>
      <c r="HD9" s="195"/>
      <c r="HE9" s="196"/>
      <c r="HF9" s="196"/>
      <c r="HG9" s="196"/>
      <c r="HH9" s="196"/>
      <c r="HI9" s="196"/>
      <c r="HJ9" s="200">
        <v>0</v>
      </c>
      <c r="HK9" s="198">
        <v>0</v>
      </c>
      <c r="HL9" s="198">
        <v>0</v>
      </c>
      <c r="HM9" s="199">
        <v>0</v>
      </c>
      <c r="HN9" s="204">
        <v>0</v>
      </c>
      <c r="HO9" s="205">
        <v>0</v>
      </c>
      <c r="HP9" s="204">
        <v>0</v>
      </c>
      <c r="HQ9" s="205">
        <v>0</v>
      </c>
      <c r="HR9" s="204">
        <v>0</v>
      </c>
      <c r="HS9" s="205">
        <v>0</v>
      </c>
      <c r="HT9" s="204">
        <v>0</v>
      </c>
      <c r="HU9" s="205">
        <v>0</v>
      </c>
      <c r="HV9" s="204">
        <v>0</v>
      </c>
      <c r="HW9" s="205">
        <v>0</v>
      </c>
      <c r="HX9" s="204">
        <v>0</v>
      </c>
      <c r="HY9" s="205">
        <v>0</v>
      </c>
      <c r="HZ9" s="204">
        <v>0</v>
      </c>
      <c r="IA9" s="205">
        <v>0</v>
      </c>
      <c r="IB9" s="204">
        <v>0</v>
      </c>
      <c r="IC9" s="205">
        <v>0</v>
      </c>
      <c r="ID9" s="204">
        <v>0</v>
      </c>
      <c r="IE9" s="205">
        <v>0</v>
      </c>
      <c r="IF9" s="204">
        <v>0</v>
      </c>
      <c r="IG9" s="205">
        <v>0</v>
      </c>
      <c r="IH9" s="204">
        <v>0</v>
      </c>
      <c r="II9" s="205">
        <v>0</v>
      </c>
      <c r="IJ9" s="204">
        <v>0</v>
      </c>
      <c r="IK9" s="205">
        <v>0</v>
      </c>
      <c r="IL9" s="204">
        <v>0</v>
      </c>
      <c r="IM9" s="205">
        <v>0</v>
      </c>
      <c r="IN9" s="204">
        <v>0</v>
      </c>
      <c r="IO9" s="205">
        <v>0</v>
      </c>
      <c r="IP9" s="204">
        <v>0</v>
      </c>
      <c r="IQ9" s="205">
        <v>0</v>
      </c>
      <c r="IR9" s="204">
        <v>0</v>
      </c>
      <c r="IS9" s="205">
        <v>0</v>
      </c>
      <c r="IT9" s="204">
        <v>0</v>
      </c>
      <c r="IU9" s="205">
        <v>0</v>
      </c>
      <c r="IV9" s="204">
        <v>0</v>
      </c>
      <c r="IW9" s="205">
        <v>0</v>
      </c>
      <c r="IX9" s="204">
        <v>0</v>
      </c>
      <c r="IY9" s="205">
        <v>0</v>
      </c>
      <c r="IZ9" s="204">
        <v>0</v>
      </c>
      <c r="JA9" s="205">
        <v>0</v>
      </c>
      <c r="JB9" s="204">
        <v>0</v>
      </c>
      <c r="JC9" s="205">
        <v>0</v>
      </c>
      <c r="JD9" s="204">
        <v>0</v>
      </c>
      <c r="JE9" s="233">
        <v>0</v>
      </c>
      <c r="JF9" s="236">
        <f t="shared" si="0"/>
        <v>0</v>
      </c>
      <c r="JG9" s="235">
        <f t="shared" si="1"/>
        <v>0</v>
      </c>
      <c r="JH9" s="235">
        <f t="shared" si="2"/>
        <v>0</v>
      </c>
      <c r="JI9" s="235">
        <f t="shared" si="3"/>
        <v>0</v>
      </c>
      <c r="JJ9" s="235">
        <f t="shared" si="4"/>
        <v>0</v>
      </c>
      <c r="JK9" s="235">
        <f t="shared" si="5"/>
        <v>0</v>
      </c>
      <c r="JL9" s="235">
        <f t="shared" si="6"/>
        <v>0</v>
      </c>
      <c r="JM9" s="235">
        <f t="shared" si="7"/>
        <v>0</v>
      </c>
      <c r="JN9" s="235">
        <f t="shared" si="8"/>
        <v>0</v>
      </c>
      <c r="JO9" s="235">
        <f t="shared" si="9"/>
        <v>0</v>
      </c>
      <c r="JP9" s="235">
        <f t="shared" si="10"/>
        <v>0</v>
      </c>
      <c r="JQ9" s="235">
        <f t="shared" si="11"/>
        <v>0</v>
      </c>
      <c r="JR9" s="235">
        <f t="shared" si="12"/>
        <v>0</v>
      </c>
      <c r="JS9" s="235">
        <f t="shared" si="13"/>
        <v>0</v>
      </c>
      <c r="JT9" s="235">
        <f t="shared" si="14"/>
        <v>0</v>
      </c>
      <c r="JU9" s="235">
        <f t="shared" si="15"/>
        <v>0</v>
      </c>
      <c r="JV9" s="235">
        <f t="shared" si="16"/>
        <v>0</v>
      </c>
      <c r="JW9" s="235">
        <f t="shared" si="17"/>
        <v>0</v>
      </c>
      <c r="JX9" s="235">
        <f t="shared" si="18"/>
        <v>0</v>
      </c>
      <c r="JY9" s="235">
        <f t="shared" si="19"/>
        <v>0</v>
      </c>
      <c r="JZ9" s="235">
        <f t="shared" si="20"/>
        <v>0</v>
      </c>
      <c r="KA9" s="237">
        <f t="shared" si="21"/>
        <v>0</v>
      </c>
      <c r="KB9" s="248">
        <v>46027</v>
      </c>
      <c r="KC9" s="201">
        <v>0</v>
      </c>
      <c r="KD9" s="201">
        <v>0</v>
      </c>
      <c r="KE9" s="201">
        <v>0</v>
      </c>
      <c r="KF9" s="201">
        <v>0</v>
      </c>
      <c r="KG9" s="201">
        <v>0</v>
      </c>
      <c r="KH9" s="201">
        <v>0</v>
      </c>
      <c r="KI9" s="201">
        <v>0</v>
      </c>
      <c r="KJ9" s="201">
        <v>0</v>
      </c>
      <c r="KK9" s="201">
        <v>0</v>
      </c>
      <c r="KL9" s="201">
        <v>0</v>
      </c>
      <c r="KM9" s="201">
        <v>0</v>
      </c>
      <c r="KN9" s="202">
        <v>0</v>
      </c>
      <c r="KO9" s="202">
        <v>0</v>
      </c>
      <c r="KP9" s="202">
        <v>0</v>
      </c>
      <c r="KQ9" s="202">
        <v>0</v>
      </c>
      <c r="KR9" s="202">
        <v>0</v>
      </c>
      <c r="KS9" s="202">
        <v>0</v>
      </c>
      <c r="KT9" s="202">
        <v>0</v>
      </c>
      <c r="KU9" s="202">
        <v>0</v>
      </c>
      <c r="KV9" s="202">
        <v>0</v>
      </c>
      <c r="KW9" s="202">
        <v>0</v>
      </c>
      <c r="KX9" s="202">
        <v>0</v>
      </c>
      <c r="KY9" s="203">
        <v>0</v>
      </c>
    </row>
    <row r="10" spans="1:311">
      <c r="A10" s="194">
        <v>46028</v>
      </c>
      <c r="B10" s="195"/>
      <c r="C10" s="196"/>
      <c r="D10" s="196"/>
      <c r="E10" s="196"/>
      <c r="F10" s="196"/>
      <c r="G10" s="196"/>
      <c r="H10" s="197">
        <v>0</v>
      </c>
      <c r="I10" s="198">
        <v>0</v>
      </c>
      <c r="J10" s="198">
        <v>0</v>
      </c>
      <c r="K10" s="199">
        <v>0</v>
      </c>
      <c r="L10" s="195"/>
      <c r="M10" s="196"/>
      <c r="N10" s="196"/>
      <c r="O10" s="196"/>
      <c r="P10" s="196"/>
      <c r="Q10" s="196"/>
      <c r="R10" s="200">
        <v>0</v>
      </c>
      <c r="S10" s="198">
        <v>0</v>
      </c>
      <c r="T10" s="198">
        <v>0</v>
      </c>
      <c r="U10" s="199">
        <v>0</v>
      </c>
      <c r="V10" s="195"/>
      <c r="W10" s="196"/>
      <c r="X10" s="196"/>
      <c r="Y10" s="196"/>
      <c r="Z10" s="196"/>
      <c r="AA10" s="196"/>
      <c r="AB10" s="200">
        <v>0</v>
      </c>
      <c r="AC10" s="198">
        <v>0</v>
      </c>
      <c r="AD10" s="198">
        <v>0</v>
      </c>
      <c r="AE10" s="199">
        <v>0</v>
      </c>
      <c r="AF10" s="195"/>
      <c r="AG10" s="196"/>
      <c r="AH10" s="196"/>
      <c r="AI10" s="196"/>
      <c r="AJ10" s="196"/>
      <c r="AK10" s="196"/>
      <c r="AL10" s="200">
        <v>0</v>
      </c>
      <c r="AM10" s="198">
        <v>0</v>
      </c>
      <c r="AN10" s="198">
        <v>0</v>
      </c>
      <c r="AO10" s="199">
        <v>0</v>
      </c>
      <c r="AP10" s="195"/>
      <c r="AQ10" s="196"/>
      <c r="AR10" s="196"/>
      <c r="AS10" s="196"/>
      <c r="AT10" s="196"/>
      <c r="AU10" s="196"/>
      <c r="AV10" s="200">
        <v>0</v>
      </c>
      <c r="AW10" s="198">
        <v>0</v>
      </c>
      <c r="AX10" s="198">
        <v>0</v>
      </c>
      <c r="AY10" s="199">
        <v>0</v>
      </c>
      <c r="AZ10" s="195"/>
      <c r="BA10" s="196"/>
      <c r="BB10" s="196"/>
      <c r="BC10" s="196"/>
      <c r="BD10" s="196"/>
      <c r="BE10" s="196"/>
      <c r="BF10" s="200">
        <v>0</v>
      </c>
      <c r="BG10" s="198">
        <v>0</v>
      </c>
      <c r="BH10" s="198">
        <v>0</v>
      </c>
      <c r="BI10" s="199">
        <v>0</v>
      </c>
      <c r="BJ10" s="195"/>
      <c r="BK10" s="196"/>
      <c r="BL10" s="196"/>
      <c r="BM10" s="196"/>
      <c r="BN10" s="196"/>
      <c r="BO10" s="196"/>
      <c r="BP10" s="200">
        <v>0</v>
      </c>
      <c r="BQ10" s="198">
        <v>0</v>
      </c>
      <c r="BR10" s="198">
        <v>0</v>
      </c>
      <c r="BS10" s="199">
        <v>0</v>
      </c>
      <c r="BT10" s="195"/>
      <c r="BU10" s="196"/>
      <c r="BV10" s="196"/>
      <c r="BW10" s="196"/>
      <c r="BX10" s="196"/>
      <c r="BY10" s="196"/>
      <c r="BZ10" s="200">
        <v>0</v>
      </c>
      <c r="CA10" s="198">
        <v>0</v>
      </c>
      <c r="CB10" s="198">
        <v>0</v>
      </c>
      <c r="CC10" s="199">
        <v>0</v>
      </c>
      <c r="CD10" s="195"/>
      <c r="CE10" s="196"/>
      <c r="CF10" s="196"/>
      <c r="CG10" s="196"/>
      <c r="CH10" s="196"/>
      <c r="CI10" s="196"/>
      <c r="CJ10" s="200">
        <v>0</v>
      </c>
      <c r="CK10" s="198">
        <v>0</v>
      </c>
      <c r="CL10" s="198">
        <v>0</v>
      </c>
      <c r="CM10" s="199">
        <v>0</v>
      </c>
      <c r="CN10" s="195"/>
      <c r="CO10" s="196"/>
      <c r="CP10" s="196"/>
      <c r="CQ10" s="196"/>
      <c r="CR10" s="196"/>
      <c r="CS10" s="196"/>
      <c r="CT10" s="200">
        <v>0</v>
      </c>
      <c r="CU10" s="198">
        <v>0</v>
      </c>
      <c r="CV10" s="198">
        <v>0</v>
      </c>
      <c r="CW10" s="199">
        <v>0</v>
      </c>
      <c r="CX10" s="195"/>
      <c r="CY10" s="196"/>
      <c r="CZ10" s="196"/>
      <c r="DA10" s="196"/>
      <c r="DB10" s="196"/>
      <c r="DC10" s="196"/>
      <c r="DD10" s="200">
        <v>0</v>
      </c>
      <c r="DE10" s="198">
        <v>0</v>
      </c>
      <c r="DF10" s="198">
        <v>0</v>
      </c>
      <c r="DG10" s="199">
        <v>0</v>
      </c>
      <c r="DH10" s="195"/>
      <c r="DI10" s="196"/>
      <c r="DJ10" s="196"/>
      <c r="DK10" s="196"/>
      <c r="DL10" s="196"/>
      <c r="DM10" s="196"/>
      <c r="DN10" s="200">
        <v>0</v>
      </c>
      <c r="DO10" s="198">
        <v>0</v>
      </c>
      <c r="DP10" s="198">
        <v>0</v>
      </c>
      <c r="DQ10" s="199">
        <v>0</v>
      </c>
      <c r="DR10" s="195"/>
      <c r="DS10" s="196"/>
      <c r="DT10" s="196"/>
      <c r="DU10" s="196"/>
      <c r="DV10" s="196"/>
      <c r="DW10" s="196"/>
      <c r="DX10" s="200">
        <v>0</v>
      </c>
      <c r="DY10" s="198">
        <v>0</v>
      </c>
      <c r="DZ10" s="198">
        <v>0</v>
      </c>
      <c r="EA10" s="199">
        <v>0</v>
      </c>
      <c r="EB10" s="195"/>
      <c r="EC10" s="196"/>
      <c r="ED10" s="196"/>
      <c r="EE10" s="196"/>
      <c r="EF10" s="196"/>
      <c r="EG10" s="196"/>
      <c r="EH10" s="200">
        <v>0</v>
      </c>
      <c r="EI10" s="198">
        <v>0</v>
      </c>
      <c r="EJ10" s="198">
        <v>0</v>
      </c>
      <c r="EK10" s="199">
        <v>0</v>
      </c>
      <c r="EL10" s="195"/>
      <c r="EM10" s="196"/>
      <c r="EN10" s="196"/>
      <c r="EO10" s="196"/>
      <c r="EP10" s="196"/>
      <c r="EQ10" s="196"/>
      <c r="ER10" s="200">
        <v>0</v>
      </c>
      <c r="ES10" s="198">
        <v>0</v>
      </c>
      <c r="ET10" s="198">
        <v>0</v>
      </c>
      <c r="EU10" s="199">
        <v>0</v>
      </c>
      <c r="EV10" s="195"/>
      <c r="EW10" s="196"/>
      <c r="EX10" s="196"/>
      <c r="EY10" s="196"/>
      <c r="EZ10" s="196"/>
      <c r="FA10" s="196"/>
      <c r="FB10" s="200">
        <v>0</v>
      </c>
      <c r="FC10" s="198">
        <v>0</v>
      </c>
      <c r="FD10" s="198">
        <v>0</v>
      </c>
      <c r="FE10" s="199">
        <v>0</v>
      </c>
      <c r="FF10" s="195"/>
      <c r="FG10" s="196"/>
      <c r="FH10" s="196"/>
      <c r="FI10" s="196"/>
      <c r="FJ10" s="196"/>
      <c r="FK10" s="196"/>
      <c r="FL10" s="200">
        <v>0</v>
      </c>
      <c r="FM10" s="198">
        <v>0</v>
      </c>
      <c r="FN10" s="198">
        <v>0</v>
      </c>
      <c r="FO10" s="199">
        <v>0</v>
      </c>
      <c r="FP10" s="195"/>
      <c r="FQ10" s="196"/>
      <c r="FR10" s="196"/>
      <c r="FS10" s="196"/>
      <c r="FT10" s="196"/>
      <c r="FU10" s="196"/>
      <c r="FV10" s="200">
        <v>0</v>
      </c>
      <c r="FW10" s="198">
        <v>0</v>
      </c>
      <c r="FX10" s="198">
        <v>0</v>
      </c>
      <c r="FY10" s="199">
        <v>0</v>
      </c>
      <c r="FZ10" s="195"/>
      <c r="GA10" s="196"/>
      <c r="GB10" s="196"/>
      <c r="GC10" s="196"/>
      <c r="GD10" s="196"/>
      <c r="GE10" s="196"/>
      <c r="GF10" s="200">
        <v>0</v>
      </c>
      <c r="GG10" s="198">
        <v>0</v>
      </c>
      <c r="GH10" s="198">
        <v>0</v>
      </c>
      <c r="GI10" s="199">
        <v>0</v>
      </c>
      <c r="GJ10" s="195"/>
      <c r="GK10" s="196"/>
      <c r="GL10" s="196"/>
      <c r="GM10" s="196"/>
      <c r="GN10" s="196"/>
      <c r="GO10" s="196"/>
      <c r="GP10" s="200">
        <v>0</v>
      </c>
      <c r="GQ10" s="198">
        <v>0</v>
      </c>
      <c r="GR10" s="198">
        <v>0</v>
      </c>
      <c r="GS10" s="199">
        <v>0</v>
      </c>
      <c r="GT10" s="195"/>
      <c r="GU10" s="196"/>
      <c r="GV10" s="196"/>
      <c r="GW10" s="196"/>
      <c r="GX10" s="196"/>
      <c r="GY10" s="196"/>
      <c r="GZ10" s="200">
        <v>0</v>
      </c>
      <c r="HA10" s="198">
        <v>0</v>
      </c>
      <c r="HB10" s="198">
        <v>0</v>
      </c>
      <c r="HC10" s="199">
        <v>0</v>
      </c>
      <c r="HD10" s="195"/>
      <c r="HE10" s="196"/>
      <c r="HF10" s="196"/>
      <c r="HG10" s="196"/>
      <c r="HH10" s="196"/>
      <c r="HI10" s="196"/>
      <c r="HJ10" s="200">
        <v>0</v>
      </c>
      <c r="HK10" s="198">
        <v>0</v>
      </c>
      <c r="HL10" s="198">
        <v>0</v>
      </c>
      <c r="HM10" s="199">
        <v>0</v>
      </c>
      <c r="HN10" s="204">
        <v>0</v>
      </c>
      <c r="HO10" s="205">
        <v>0</v>
      </c>
      <c r="HP10" s="204">
        <v>0</v>
      </c>
      <c r="HQ10" s="205">
        <v>0</v>
      </c>
      <c r="HR10" s="204">
        <v>0</v>
      </c>
      <c r="HS10" s="205">
        <v>0</v>
      </c>
      <c r="HT10" s="204">
        <v>0</v>
      </c>
      <c r="HU10" s="205">
        <v>0</v>
      </c>
      <c r="HV10" s="204">
        <v>0</v>
      </c>
      <c r="HW10" s="205">
        <v>0</v>
      </c>
      <c r="HX10" s="204">
        <v>0</v>
      </c>
      <c r="HY10" s="205">
        <v>0</v>
      </c>
      <c r="HZ10" s="204">
        <v>0</v>
      </c>
      <c r="IA10" s="205">
        <v>0</v>
      </c>
      <c r="IB10" s="204">
        <v>0</v>
      </c>
      <c r="IC10" s="205">
        <v>0</v>
      </c>
      <c r="ID10" s="204">
        <v>0</v>
      </c>
      <c r="IE10" s="205">
        <v>0</v>
      </c>
      <c r="IF10" s="204">
        <v>0</v>
      </c>
      <c r="IG10" s="205">
        <v>0</v>
      </c>
      <c r="IH10" s="204">
        <v>0</v>
      </c>
      <c r="II10" s="205">
        <v>0</v>
      </c>
      <c r="IJ10" s="204">
        <v>0</v>
      </c>
      <c r="IK10" s="205">
        <v>0</v>
      </c>
      <c r="IL10" s="204">
        <v>0</v>
      </c>
      <c r="IM10" s="205">
        <v>0</v>
      </c>
      <c r="IN10" s="204">
        <v>0</v>
      </c>
      <c r="IO10" s="205">
        <v>0</v>
      </c>
      <c r="IP10" s="204">
        <v>0</v>
      </c>
      <c r="IQ10" s="205">
        <v>0</v>
      </c>
      <c r="IR10" s="204">
        <v>0</v>
      </c>
      <c r="IS10" s="205">
        <v>0</v>
      </c>
      <c r="IT10" s="204">
        <v>0</v>
      </c>
      <c r="IU10" s="205">
        <v>0</v>
      </c>
      <c r="IV10" s="204">
        <v>0</v>
      </c>
      <c r="IW10" s="205">
        <v>0</v>
      </c>
      <c r="IX10" s="204">
        <v>0</v>
      </c>
      <c r="IY10" s="205">
        <v>0</v>
      </c>
      <c r="IZ10" s="204">
        <v>0</v>
      </c>
      <c r="JA10" s="205">
        <v>0</v>
      </c>
      <c r="JB10" s="204">
        <v>0</v>
      </c>
      <c r="JC10" s="205">
        <v>0</v>
      </c>
      <c r="JD10" s="204">
        <v>0</v>
      </c>
      <c r="JE10" s="233">
        <v>0</v>
      </c>
      <c r="JF10" s="236">
        <f t="shared" si="0"/>
        <v>0</v>
      </c>
      <c r="JG10" s="235">
        <f t="shared" si="1"/>
        <v>0</v>
      </c>
      <c r="JH10" s="235">
        <f t="shared" si="2"/>
        <v>0</v>
      </c>
      <c r="JI10" s="235">
        <f t="shared" si="3"/>
        <v>0</v>
      </c>
      <c r="JJ10" s="235">
        <f t="shared" si="4"/>
        <v>0</v>
      </c>
      <c r="JK10" s="235">
        <f t="shared" si="5"/>
        <v>0</v>
      </c>
      <c r="JL10" s="235">
        <f t="shared" si="6"/>
        <v>0</v>
      </c>
      <c r="JM10" s="235">
        <f t="shared" si="7"/>
        <v>0</v>
      </c>
      <c r="JN10" s="235">
        <f t="shared" si="8"/>
        <v>0</v>
      </c>
      <c r="JO10" s="235">
        <f t="shared" si="9"/>
        <v>0</v>
      </c>
      <c r="JP10" s="235">
        <f t="shared" si="10"/>
        <v>0</v>
      </c>
      <c r="JQ10" s="235">
        <f t="shared" si="11"/>
        <v>0</v>
      </c>
      <c r="JR10" s="235">
        <f t="shared" si="12"/>
        <v>0</v>
      </c>
      <c r="JS10" s="235">
        <f t="shared" si="13"/>
        <v>0</v>
      </c>
      <c r="JT10" s="235">
        <f t="shared" si="14"/>
        <v>0</v>
      </c>
      <c r="JU10" s="235">
        <f t="shared" si="15"/>
        <v>0</v>
      </c>
      <c r="JV10" s="235">
        <f t="shared" si="16"/>
        <v>0</v>
      </c>
      <c r="JW10" s="235">
        <f t="shared" si="17"/>
        <v>0</v>
      </c>
      <c r="JX10" s="235">
        <f t="shared" si="18"/>
        <v>0</v>
      </c>
      <c r="JY10" s="235">
        <f t="shared" si="19"/>
        <v>0</v>
      </c>
      <c r="JZ10" s="235">
        <f t="shared" si="20"/>
        <v>0</v>
      </c>
      <c r="KA10" s="237">
        <f t="shared" si="21"/>
        <v>0</v>
      </c>
      <c r="KB10" s="248">
        <v>46028</v>
      </c>
      <c r="KC10" s="201">
        <v>0</v>
      </c>
      <c r="KD10" s="201">
        <v>0</v>
      </c>
      <c r="KE10" s="201">
        <v>0</v>
      </c>
      <c r="KF10" s="201">
        <v>0</v>
      </c>
      <c r="KG10" s="201">
        <v>0</v>
      </c>
      <c r="KH10" s="201">
        <v>0</v>
      </c>
      <c r="KI10" s="201">
        <v>0</v>
      </c>
      <c r="KJ10" s="201">
        <v>0</v>
      </c>
      <c r="KK10" s="201">
        <v>0</v>
      </c>
      <c r="KL10" s="201">
        <v>0</v>
      </c>
      <c r="KM10" s="201">
        <v>0</v>
      </c>
      <c r="KN10" s="202">
        <v>0</v>
      </c>
      <c r="KO10" s="202">
        <v>0</v>
      </c>
      <c r="KP10" s="202">
        <v>0</v>
      </c>
      <c r="KQ10" s="202">
        <v>0</v>
      </c>
      <c r="KR10" s="202">
        <v>0</v>
      </c>
      <c r="KS10" s="202">
        <v>0</v>
      </c>
      <c r="KT10" s="202">
        <v>0</v>
      </c>
      <c r="KU10" s="202">
        <v>0</v>
      </c>
      <c r="KV10" s="202">
        <v>0</v>
      </c>
      <c r="KW10" s="202">
        <v>0</v>
      </c>
      <c r="KX10" s="202">
        <v>0</v>
      </c>
      <c r="KY10" s="203">
        <v>0</v>
      </c>
    </row>
    <row r="11" spans="1:311">
      <c r="A11" s="194">
        <v>46029</v>
      </c>
      <c r="B11" s="195"/>
      <c r="C11" s="196"/>
      <c r="D11" s="196"/>
      <c r="E11" s="196"/>
      <c r="F11" s="196"/>
      <c r="G11" s="196"/>
      <c r="H11" s="197">
        <v>0</v>
      </c>
      <c r="I11" s="198">
        <v>0</v>
      </c>
      <c r="J11" s="198">
        <v>0</v>
      </c>
      <c r="K11" s="199">
        <v>0</v>
      </c>
      <c r="L11" s="195"/>
      <c r="M11" s="196"/>
      <c r="N11" s="196"/>
      <c r="O11" s="196"/>
      <c r="P11" s="196"/>
      <c r="Q11" s="196"/>
      <c r="R11" s="200">
        <v>0</v>
      </c>
      <c r="S11" s="198">
        <v>0</v>
      </c>
      <c r="T11" s="198">
        <v>0</v>
      </c>
      <c r="U11" s="199">
        <v>0</v>
      </c>
      <c r="V11" s="195"/>
      <c r="W11" s="196"/>
      <c r="X11" s="196"/>
      <c r="Y11" s="196"/>
      <c r="Z11" s="196"/>
      <c r="AA11" s="196"/>
      <c r="AB11" s="200">
        <v>0</v>
      </c>
      <c r="AC11" s="198">
        <v>0</v>
      </c>
      <c r="AD11" s="198">
        <v>0</v>
      </c>
      <c r="AE11" s="199">
        <v>0</v>
      </c>
      <c r="AF11" s="195"/>
      <c r="AG11" s="196"/>
      <c r="AH11" s="196"/>
      <c r="AI11" s="196"/>
      <c r="AJ11" s="196"/>
      <c r="AK11" s="196"/>
      <c r="AL11" s="200">
        <v>0</v>
      </c>
      <c r="AM11" s="198">
        <v>0</v>
      </c>
      <c r="AN11" s="198">
        <v>0</v>
      </c>
      <c r="AO11" s="199">
        <v>0</v>
      </c>
      <c r="AP11" s="195"/>
      <c r="AQ11" s="196"/>
      <c r="AR11" s="196"/>
      <c r="AS11" s="196"/>
      <c r="AT11" s="196"/>
      <c r="AU11" s="196"/>
      <c r="AV11" s="200">
        <v>0</v>
      </c>
      <c r="AW11" s="198">
        <v>0</v>
      </c>
      <c r="AX11" s="198">
        <v>0</v>
      </c>
      <c r="AY11" s="199">
        <v>0</v>
      </c>
      <c r="AZ11" s="195"/>
      <c r="BA11" s="196"/>
      <c r="BB11" s="196"/>
      <c r="BC11" s="196"/>
      <c r="BD11" s="196"/>
      <c r="BE11" s="196"/>
      <c r="BF11" s="200">
        <v>0</v>
      </c>
      <c r="BG11" s="198">
        <v>0</v>
      </c>
      <c r="BH11" s="198">
        <v>0</v>
      </c>
      <c r="BI11" s="199">
        <v>0</v>
      </c>
      <c r="BJ11" s="195"/>
      <c r="BK11" s="196"/>
      <c r="BL11" s="196"/>
      <c r="BM11" s="196"/>
      <c r="BN11" s="196"/>
      <c r="BO11" s="196"/>
      <c r="BP11" s="200">
        <v>0</v>
      </c>
      <c r="BQ11" s="198">
        <v>0</v>
      </c>
      <c r="BR11" s="198">
        <v>0</v>
      </c>
      <c r="BS11" s="199">
        <v>0</v>
      </c>
      <c r="BT11" s="195"/>
      <c r="BU11" s="196"/>
      <c r="BV11" s="196"/>
      <c r="BW11" s="196"/>
      <c r="BX11" s="196"/>
      <c r="BY11" s="196"/>
      <c r="BZ11" s="200">
        <v>0</v>
      </c>
      <c r="CA11" s="198">
        <v>0</v>
      </c>
      <c r="CB11" s="198">
        <v>0</v>
      </c>
      <c r="CC11" s="199">
        <v>0</v>
      </c>
      <c r="CD11" s="195"/>
      <c r="CE11" s="196"/>
      <c r="CF11" s="196"/>
      <c r="CG11" s="196"/>
      <c r="CH11" s="196"/>
      <c r="CI11" s="196"/>
      <c r="CJ11" s="200">
        <v>0</v>
      </c>
      <c r="CK11" s="198">
        <v>0</v>
      </c>
      <c r="CL11" s="198">
        <v>0</v>
      </c>
      <c r="CM11" s="199">
        <v>0</v>
      </c>
      <c r="CN11" s="195"/>
      <c r="CO11" s="196"/>
      <c r="CP11" s="196"/>
      <c r="CQ11" s="196"/>
      <c r="CR11" s="196"/>
      <c r="CS11" s="196"/>
      <c r="CT11" s="200">
        <v>0</v>
      </c>
      <c r="CU11" s="198">
        <v>0</v>
      </c>
      <c r="CV11" s="198">
        <v>0</v>
      </c>
      <c r="CW11" s="199">
        <v>0</v>
      </c>
      <c r="CX11" s="195"/>
      <c r="CY11" s="196"/>
      <c r="CZ11" s="196"/>
      <c r="DA11" s="196"/>
      <c r="DB11" s="196"/>
      <c r="DC11" s="196"/>
      <c r="DD11" s="200">
        <v>0</v>
      </c>
      <c r="DE11" s="198">
        <v>0</v>
      </c>
      <c r="DF11" s="198">
        <v>0</v>
      </c>
      <c r="DG11" s="199">
        <v>0</v>
      </c>
      <c r="DH11" s="195"/>
      <c r="DI11" s="196"/>
      <c r="DJ11" s="196"/>
      <c r="DK11" s="196"/>
      <c r="DL11" s="196"/>
      <c r="DM11" s="196"/>
      <c r="DN11" s="200">
        <v>0</v>
      </c>
      <c r="DO11" s="198">
        <v>0</v>
      </c>
      <c r="DP11" s="198">
        <v>0</v>
      </c>
      <c r="DQ11" s="199">
        <v>0</v>
      </c>
      <c r="DR11" s="195"/>
      <c r="DS11" s="196"/>
      <c r="DT11" s="196"/>
      <c r="DU11" s="196"/>
      <c r="DV11" s="196"/>
      <c r="DW11" s="196"/>
      <c r="DX11" s="200">
        <v>0</v>
      </c>
      <c r="DY11" s="198">
        <v>0</v>
      </c>
      <c r="DZ11" s="198">
        <v>0</v>
      </c>
      <c r="EA11" s="199">
        <v>0</v>
      </c>
      <c r="EB11" s="195"/>
      <c r="EC11" s="196"/>
      <c r="ED11" s="196"/>
      <c r="EE11" s="196"/>
      <c r="EF11" s="196"/>
      <c r="EG11" s="196"/>
      <c r="EH11" s="200">
        <v>0</v>
      </c>
      <c r="EI11" s="198">
        <v>0</v>
      </c>
      <c r="EJ11" s="198">
        <v>0</v>
      </c>
      <c r="EK11" s="199">
        <v>0</v>
      </c>
      <c r="EL11" s="195"/>
      <c r="EM11" s="196"/>
      <c r="EN11" s="196"/>
      <c r="EO11" s="196"/>
      <c r="EP11" s="196"/>
      <c r="EQ11" s="196"/>
      <c r="ER11" s="200">
        <v>0</v>
      </c>
      <c r="ES11" s="198">
        <v>0</v>
      </c>
      <c r="ET11" s="198">
        <v>0</v>
      </c>
      <c r="EU11" s="199">
        <v>0</v>
      </c>
      <c r="EV11" s="195"/>
      <c r="EW11" s="196"/>
      <c r="EX11" s="196"/>
      <c r="EY11" s="196"/>
      <c r="EZ11" s="196"/>
      <c r="FA11" s="196"/>
      <c r="FB11" s="200">
        <v>0</v>
      </c>
      <c r="FC11" s="198">
        <v>0</v>
      </c>
      <c r="FD11" s="198">
        <v>0</v>
      </c>
      <c r="FE11" s="199">
        <v>0</v>
      </c>
      <c r="FF11" s="195"/>
      <c r="FG11" s="196"/>
      <c r="FH11" s="196"/>
      <c r="FI11" s="196"/>
      <c r="FJ11" s="196"/>
      <c r="FK11" s="196"/>
      <c r="FL11" s="200">
        <v>0</v>
      </c>
      <c r="FM11" s="198">
        <v>0</v>
      </c>
      <c r="FN11" s="198">
        <v>0</v>
      </c>
      <c r="FO11" s="199">
        <v>0</v>
      </c>
      <c r="FP11" s="195"/>
      <c r="FQ11" s="196"/>
      <c r="FR11" s="196"/>
      <c r="FS11" s="196"/>
      <c r="FT11" s="196"/>
      <c r="FU11" s="196"/>
      <c r="FV11" s="200">
        <v>0</v>
      </c>
      <c r="FW11" s="198">
        <v>0</v>
      </c>
      <c r="FX11" s="198">
        <v>0</v>
      </c>
      <c r="FY11" s="199">
        <v>0</v>
      </c>
      <c r="FZ11" s="195"/>
      <c r="GA11" s="196"/>
      <c r="GB11" s="196"/>
      <c r="GC11" s="196"/>
      <c r="GD11" s="196"/>
      <c r="GE11" s="196"/>
      <c r="GF11" s="200">
        <v>0</v>
      </c>
      <c r="GG11" s="198">
        <v>0</v>
      </c>
      <c r="GH11" s="198">
        <v>0</v>
      </c>
      <c r="GI11" s="199">
        <v>0</v>
      </c>
      <c r="GJ11" s="195"/>
      <c r="GK11" s="196"/>
      <c r="GL11" s="196"/>
      <c r="GM11" s="196"/>
      <c r="GN11" s="196"/>
      <c r="GO11" s="196"/>
      <c r="GP11" s="200">
        <v>0</v>
      </c>
      <c r="GQ11" s="198">
        <v>0</v>
      </c>
      <c r="GR11" s="198">
        <v>0</v>
      </c>
      <c r="GS11" s="199">
        <v>0</v>
      </c>
      <c r="GT11" s="195"/>
      <c r="GU11" s="196"/>
      <c r="GV11" s="196"/>
      <c r="GW11" s="196"/>
      <c r="GX11" s="196"/>
      <c r="GY11" s="196"/>
      <c r="GZ11" s="200">
        <v>0</v>
      </c>
      <c r="HA11" s="198">
        <v>0</v>
      </c>
      <c r="HB11" s="198">
        <v>0</v>
      </c>
      <c r="HC11" s="199">
        <v>0</v>
      </c>
      <c r="HD11" s="195"/>
      <c r="HE11" s="196"/>
      <c r="HF11" s="196"/>
      <c r="HG11" s="196"/>
      <c r="HH11" s="196"/>
      <c r="HI11" s="196"/>
      <c r="HJ11" s="200">
        <v>0</v>
      </c>
      <c r="HK11" s="198">
        <v>0</v>
      </c>
      <c r="HL11" s="198">
        <v>0</v>
      </c>
      <c r="HM11" s="199">
        <v>0</v>
      </c>
      <c r="HN11" s="204">
        <v>0</v>
      </c>
      <c r="HO11" s="205">
        <v>0</v>
      </c>
      <c r="HP11" s="204">
        <v>0</v>
      </c>
      <c r="HQ11" s="205">
        <v>0</v>
      </c>
      <c r="HR11" s="204">
        <v>0</v>
      </c>
      <c r="HS11" s="205">
        <v>0</v>
      </c>
      <c r="HT11" s="204">
        <v>0</v>
      </c>
      <c r="HU11" s="205">
        <v>0</v>
      </c>
      <c r="HV11" s="204">
        <v>0</v>
      </c>
      <c r="HW11" s="205">
        <v>0</v>
      </c>
      <c r="HX11" s="204">
        <v>0</v>
      </c>
      <c r="HY11" s="205">
        <v>0</v>
      </c>
      <c r="HZ11" s="204">
        <v>0</v>
      </c>
      <c r="IA11" s="205">
        <v>0</v>
      </c>
      <c r="IB11" s="204">
        <v>0</v>
      </c>
      <c r="IC11" s="205">
        <v>0</v>
      </c>
      <c r="ID11" s="204">
        <v>0</v>
      </c>
      <c r="IE11" s="205">
        <v>0</v>
      </c>
      <c r="IF11" s="204">
        <v>0</v>
      </c>
      <c r="IG11" s="205">
        <v>0</v>
      </c>
      <c r="IH11" s="204">
        <v>0</v>
      </c>
      <c r="II11" s="205">
        <v>0</v>
      </c>
      <c r="IJ11" s="204">
        <v>0</v>
      </c>
      <c r="IK11" s="205">
        <v>0</v>
      </c>
      <c r="IL11" s="204">
        <v>0</v>
      </c>
      <c r="IM11" s="205">
        <v>0</v>
      </c>
      <c r="IN11" s="204">
        <v>0</v>
      </c>
      <c r="IO11" s="205">
        <v>0</v>
      </c>
      <c r="IP11" s="204">
        <v>0</v>
      </c>
      <c r="IQ11" s="205">
        <v>0</v>
      </c>
      <c r="IR11" s="204">
        <v>0</v>
      </c>
      <c r="IS11" s="205">
        <v>0</v>
      </c>
      <c r="IT11" s="204">
        <v>0</v>
      </c>
      <c r="IU11" s="205">
        <v>0</v>
      </c>
      <c r="IV11" s="204">
        <v>0</v>
      </c>
      <c r="IW11" s="205">
        <v>0</v>
      </c>
      <c r="IX11" s="204">
        <v>0</v>
      </c>
      <c r="IY11" s="205">
        <v>0</v>
      </c>
      <c r="IZ11" s="204">
        <v>0</v>
      </c>
      <c r="JA11" s="205">
        <v>0</v>
      </c>
      <c r="JB11" s="204">
        <v>0</v>
      </c>
      <c r="JC11" s="205">
        <v>0</v>
      </c>
      <c r="JD11" s="204">
        <v>0</v>
      </c>
      <c r="JE11" s="233">
        <v>0</v>
      </c>
      <c r="JF11" s="236">
        <f t="shared" si="0"/>
        <v>0</v>
      </c>
      <c r="JG11" s="235">
        <f t="shared" si="1"/>
        <v>0</v>
      </c>
      <c r="JH11" s="235">
        <f t="shared" si="2"/>
        <v>0</v>
      </c>
      <c r="JI11" s="235">
        <f t="shared" si="3"/>
        <v>0</v>
      </c>
      <c r="JJ11" s="235">
        <f t="shared" si="4"/>
        <v>0</v>
      </c>
      <c r="JK11" s="235">
        <f t="shared" si="5"/>
        <v>0</v>
      </c>
      <c r="JL11" s="235">
        <f t="shared" si="6"/>
        <v>0</v>
      </c>
      <c r="JM11" s="235">
        <f t="shared" si="7"/>
        <v>0</v>
      </c>
      <c r="JN11" s="235">
        <f t="shared" si="8"/>
        <v>0</v>
      </c>
      <c r="JO11" s="235">
        <f t="shared" si="9"/>
        <v>0</v>
      </c>
      <c r="JP11" s="235">
        <f t="shared" si="10"/>
        <v>0</v>
      </c>
      <c r="JQ11" s="235">
        <f t="shared" si="11"/>
        <v>0</v>
      </c>
      <c r="JR11" s="235">
        <f t="shared" si="12"/>
        <v>0</v>
      </c>
      <c r="JS11" s="235">
        <f t="shared" si="13"/>
        <v>0</v>
      </c>
      <c r="JT11" s="235">
        <f t="shared" si="14"/>
        <v>0</v>
      </c>
      <c r="JU11" s="235">
        <f t="shared" si="15"/>
        <v>0</v>
      </c>
      <c r="JV11" s="235">
        <f t="shared" si="16"/>
        <v>0</v>
      </c>
      <c r="JW11" s="235">
        <f t="shared" si="17"/>
        <v>0</v>
      </c>
      <c r="JX11" s="235">
        <f t="shared" si="18"/>
        <v>0</v>
      </c>
      <c r="JY11" s="235">
        <f t="shared" si="19"/>
        <v>0</v>
      </c>
      <c r="JZ11" s="235">
        <f t="shared" si="20"/>
        <v>0</v>
      </c>
      <c r="KA11" s="237">
        <f t="shared" si="21"/>
        <v>0</v>
      </c>
      <c r="KB11" s="248">
        <v>46029</v>
      </c>
      <c r="KC11" s="201">
        <v>0</v>
      </c>
      <c r="KD11" s="201">
        <v>0</v>
      </c>
      <c r="KE11" s="201">
        <v>0</v>
      </c>
      <c r="KF11" s="201">
        <v>0</v>
      </c>
      <c r="KG11" s="201">
        <v>0</v>
      </c>
      <c r="KH11" s="201">
        <v>0</v>
      </c>
      <c r="KI11" s="201">
        <v>0</v>
      </c>
      <c r="KJ11" s="201">
        <v>0</v>
      </c>
      <c r="KK11" s="201">
        <v>0</v>
      </c>
      <c r="KL11" s="201">
        <v>0</v>
      </c>
      <c r="KM11" s="201">
        <v>0</v>
      </c>
      <c r="KN11" s="202">
        <v>0</v>
      </c>
      <c r="KO11" s="202">
        <v>0</v>
      </c>
      <c r="KP11" s="202">
        <v>0</v>
      </c>
      <c r="KQ11" s="202">
        <v>0</v>
      </c>
      <c r="KR11" s="202">
        <v>0</v>
      </c>
      <c r="KS11" s="202">
        <v>0</v>
      </c>
      <c r="KT11" s="202">
        <v>0</v>
      </c>
      <c r="KU11" s="202">
        <v>0</v>
      </c>
      <c r="KV11" s="202">
        <v>0</v>
      </c>
      <c r="KW11" s="202">
        <v>0</v>
      </c>
      <c r="KX11" s="202">
        <v>0</v>
      </c>
      <c r="KY11" s="203">
        <v>0</v>
      </c>
    </row>
    <row r="12" spans="1:311">
      <c r="A12" s="194">
        <v>46030</v>
      </c>
      <c r="B12" s="195"/>
      <c r="C12" s="196"/>
      <c r="D12" s="196"/>
      <c r="E12" s="196"/>
      <c r="F12" s="196"/>
      <c r="G12" s="196"/>
      <c r="H12" s="197">
        <v>0</v>
      </c>
      <c r="I12" s="198">
        <v>0</v>
      </c>
      <c r="J12" s="198">
        <v>0</v>
      </c>
      <c r="K12" s="199">
        <v>0</v>
      </c>
      <c r="L12" s="195"/>
      <c r="M12" s="196"/>
      <c r="N12" s="196"/>
      <c r="O12" s="196"/>
      <c r="P12" s="196"/>
      <c r="Q12" s="196"/>
      <c r="R12" s="200">
        <v>0</v>
      </c>
      <c r="S12" s="198">
        <v>0</v>
      </c>
      <c r="T12" s="198">
        <v>0</v>
      </c>
      <c r="U12" s="199">
        <v>0</v>
      </c>
      <c r="V12" s="195"/>
      <c r="W12" s="196"/>
      <c r="X12" s="196"/>
      <c r="Y12" s="196"/>
      <c r="Z12" s="196"/>
      <c r="AA12" s="196"/>
      <c r="AB12" s="200">
        <v>0</v>
      </c>
      <c r="AC12" s="198">
        <v>0</v>
      </c>
      <c r="AD12" s="198">
        <v>0</v>
      </c>
      <c r="AE12" s="199">
        <v>0</v>
      </c>
      <c r="AF12" s="195"/>
      <c r="AG12" s="196"/>
      <c r="AH12" s="196"/>
      <c r="AI12" s="196"/>
      <c r="AJ12" s="196"/>
      <c r="AK12" s="196"/>
      <c r="AL12" s="200">
        <v>0</v>
      </c>
      <c r="AM12" s="198">
        <v>0</v>
      </c>
      <c r="AN12" s="198">
        <v>0</v>
      </c>
      <c r="AO12" s="199">
        <v>0</v>
      </c>
      <c r="AP12" s="195"/>
      <c r="AQ12" s="196"/>
      <c r="AR12" s="196"/>
      <c r="AS12" s="196"/>
      <c r="AT12" s="196"/>
      <c r="AU12" s="196"/>
      <c r="AV12" s="200">
        <v>0</v>
      </c>
      <c r="AW12" s="198">
        <v>0</v>
      </c>
      <c r="AX12" s="198">
        <v>0</v>
      </c>
      <c r="AY12" s="199">
        <v>0</v>
      </c>
      <c r="AZ12" s="195"/>
      <c r="BA12" s="196"/>
      <c r="BB12" s="196"/>
      <c r="BC12" s="196"/>
      <c r="BD12" s="196"/>
      <c r="BE12" s="196"/>
      <c r="BF12" s="200">
        <v>0</v>
      </c>
      <c r="BG12" s="198">
        <v>0</v>
      </c>
      <c r="BH12" s="198">
        <v>0</v>
      </c>
      <c r="BI12" s="199">
        <v>0</v>
      </c>
      <c r="BJ12" s="195"/>
      <c r="BK12" s="196"/>
      <c r="BL12" s="196"/>
      <c r="BM12" s="196"/>
      <c r="BN12" s="196"/>
      <c r="BO12" s="196"/>
      <c r="BP12" s="200">
        <v>0</v>
      </c>
      <c r="BQ12" s="198">
        <v>0</v>
      </c>
      <c r="BR12" s="198">
        <v>0</v>
      </c>
      <c r="BS12" s="199">
        <v>0</v>
      </c>
      <c r="BT12" s="195"/>
      <c r="BU12" s="196"/>
      <c r="BV12" s="196"/>
      <c r="BW12" s="196"/>
      <c r="BX12" s="196"/>
      <c r="BY12" s="196"/>
      <c r="BZ12" s="200">
        <v>0</v>
      </c>
      <c r="CA12" s="198">
        <v>0</v>
      </c>
      <c r="CB12" s="198">
        <v>0</v>
      </c>
      <c r="CC12" s="199">
        <v>0</v>
      </c>
      <c r="CD12" s="195"/>
      <c r="CE12" s="196"/>
      <c r="CF12" s="196"/>
      <c r="CG12" s="196"/>
      <c r="CH12" s="196"/>
      <c r="CI12" s="196"/>
      <c r="CJ12" s="200">
        <v>0</v>
      </c>
      <c r="CK12" s="198">
        <v>0</v>
      </c>
      <c r="CL12" s="198">
        <v>0</v>
      </c>
      <c r="CM12" s="199">
        <v>0</v>
      </c>
      <c r="CN12" s="195"/>
      <c r="CO12" s="196"/>
      <c r="CP12" s="196"/>
      <c r="CQ12" s="196"/>
      <c r="CR12" s="196"/>
      <c r="CS12" s="196"/>
      <c r="CT12" s="200">
        <v>0</v>
      </c>
      <c r="CU12" s="198">
        <v>0</v>
      </c>
      <c r="CV12" s="198">
        <v>0</v>
      </c>
      <c r="CW12" s="199">
        <v>0</v>
      </c>
      <c r="CX12" s="195"/>
      <c r="CY12" s="196"/>
      <c r="CZ12" s="196"/>
      <c r="DA12" s="196"/>
      <c r="DB12" s="196"/>
      <c r="DC12" s="196"/>
      <c r="DD12" s="200">
        <v>0</v>
      </c>
      <c r="DE12" s="198">
        <v>0</v>
      </c>
      <c r="DF12" s="198">
        <v>0</v>
      </c>
      <c r="DG12" s="199">
        <v>0</v>
      </c>
      <c r="DH12" s="195"/>
      <c r="DI12" s="196"/>
      <c r="DJ12" s="196"/>
      <c r="DK12" s="196"/>
      <c r="DL12" s="196"/>
      <c r="DM12" s="196"/>
      <c r="DN12" s="200">
        <v>0</v>
      </c>
      <c r="DO12" s="198">
        <v>0</v>
      </c>
      <c r="DP12" s="198">
        <v>0</v>
      </c>
      <c r="DQ12" s="199">
        <v>0</v>
      </c>
      <c r="DR12" s="195"/>
      <c r="DS12" s="196"/>
      <c r="DT12" s="196"/>
      <c r="DU12" s="196"/>
      <c r="DV12" s="196"/>
      <c r="DW12" s="196"/>
      <c r="DX12" s="200">
        <v>0</v>
      </c>
      <c r="DY12" s="198">
        <v>0</v>
      </c>
      <c r="DZ12" s="198">
        <v>0</v>
      </c>
      <c r="EA12" s="199">
        <v>0</v>
      </c>
      <c r="EB12" s="195"/>
      <c r="EC12" s="196"/>
      <c r="ED12" s="196"/>
      <c r="EE12" s="196"/>
      <c r="EF12" s="196"/>
      <c r="EG12" s="196"/>
      <c r="EH12" s="200">
        <v>0</v>
      </c>
      <c r="EI12" s="198">
        <v>0</v>
      </c>
      <c r="EJ12" s="198">
        <v>0</v>
      </c>
      <c r="EK12" s="199">
        <v>0</v>
      </c>
      <c r="EL12" s="195"/>
      <c r="EM12" s="196"/>
      <c r="EN12" s="196"/>
      <c r="EO12" s="196"/>
      <c r="EP12" s="196"/>
      <c r="EQ12" s="196"/>
      <c r="ER12" s="200">
        <v>0</v>
      </c>
      <c r="ES12" s="198">
        <v>0</v>
      </c>
      <c r="ET12" s="198">
        <v>0</v>
      </c>
      <c r="EU12" s="199">
        <v>0</v>
      </c>
      <c r="EV12" s="195"/>
      <c r="EW12" s="196"/>
      <c r="EX12" s="196"/>
      <c r="EY12" s="196"/>
      <c r="EZ12" s="196"/>
      <c r="FA12" s="196"/>
      <c r="FB12" s="200">
        <v>0</v>
      </c>
      <c r="FC12" s="198">
        <v>0</v>
      </c>
      <c r="FD12" s="198">
        <v>0</v>
      </c>
      <c r="FE12" s="199">
        <v>0</v>
      </c>
      <c r="FF12" s="195"/>
      <c r="FG12" s="196"/>
      <c r="FH12" s="196"/>
      <c r="FI12" s="196"/>
      <c r="FJ12" s="196"/>
      <c r="FK12" s="196"/>
      <c r="FL12" s="200">
        <v>0</v>
      </c>
      <c r="FM12" s="198">
        <v>0</v>
      </c>
      <c r="FN12" s="198">
        <v>0</v>
      </c>
      <c r="FO12" s="199">
        <v>0</v>
      </c>
      <c r="FP12" s="195"/>
      <c r="FQ12" s="196"/>
      <c r="FR12" s="196"/>
      <c r="FS12" s="196"/>
      <c r="FT12" s="196"/>
      <c r="FU12" s="196"/>
      <c r="FV12" s="200">
        <v>0</v>
      </c>
      <c r="FW12" s="198">
        <v>0</v>
      </c>
      <c r="FX12" s="198">
        <v>0</v>
      </c>
      <c r="FY12" s="199">
        <v>0</v>
      </c>
      <c r="FZ12" s="195"/>
      <c r="GA12" s="196"/>
      <c r="GB12" s="196"/>
      <c r="GC12" s="196"/>
      <c r="GD12" s="196"/>
      <c r="GE12" s="196"/>
      <c r="GF12" s="200">
        <v>0</v>
      </c>
      <c r="GG12" s="198">
        <v>0</v>
      </c>
      <c r="GH12" s="198">
        <v>0</v>
      </c>
      <c r="GI12" s="199">
        <v>0</v>
      </c>
      <c r="GJ12" s="195"/>
      <c r="GK12" s="196"/>
      <c r="GL12" s="196"/>
      <c r="GM12" s="196"/>
      <c r="GN12" s="196"/>
      <c r="GO12" s="196"/>
      <c r="GP12" s="200">
        <v>0</v>
      </c>
      <c r="GQ12" s="198">
        <v>0</v>
      </c>
      <c r="GR12" s="198">
        <v>0</v>
      </c>
      <c r="GS12" s="199">
        <v>0</v>
      </c>
      <c r="GT12" s="195"/>
      <c r="GU12" s="196"/>
      <c r="GV12" s="196"/>
      <c r="GW12" s="196"/>
      <c r="GX12" s="196"/>
      <c r="GY12" s="196"/>
      <c r="GZ12" s="200">
        <v>0</v>
      </c>
      <c r="HA12" s="198">
        <v>0</v>
      </c>
      <c r="HB12" s="198">
        <v>0</v>
      </c>
      <c r="HC12" s="199">
        <v>0</v>
      </c>
      <c r="HD12" s="195"/>
      <c r="HE12" s="196"/>
      <c r="HF12" s="196"/>
      <c r="HG12" s="196"/>
      <c r="HH12" s="196"/>
      <c r="HI12" s="196"/>
      <c r="HJ12" s="200">
        <v>0</v>
      </c>
      <c r="HK12" s="198">
        <v>0</v>
      </c>
      <c r="HL12" s="198">
        <v>0</v>
      </c>
      <c r="HM12" s="199">
        <v>0</v>
      </c>
      <c r="HN12" s="204">
        <v>0</v>
      </c>
      <c r="HO12" s="205">
        <v>0</v>
      </c>
      <c r="HP12" s="204">
        <v>0</v>
      </c>
      <c r="HQ12" s="205">
        <v>0</v>
      </c>
      <c r="HR12" s="204">
        <v>0</v>
      </c>
      <c r="HS12" s="205">
        <v>0</v>
      </c>
      <c r="HT12" s="204">
        <v>0</v>
      </c>
      <c r="HU12" s="205">
        <v>0</v>
      </c>
      <c r="HV12" s="204">
        <v>0</v>
      </c>
      <c r="HW12" s="205">
        <v>0</v>
      </c>
      <c r="HX12" s="204">
        <v>0</v>
      </c>
      <c r="HY12" s="205">
        <v>0</v>
      </c>
      <c r="HZ12" s="204">
        <v>0</v>
      </c>
      <c r="IA12" s="205">
        <v>0</v>
      </c>
      <c r="IB12" s="204">
        <v>0</v>
      </c>
      <c r="IC12" s="205">
        <v>0</v>
      </c>
      <c r="ID12" s="204">
        <v>0</v>
      </c>
      <c r="IE12" s="205">
        <v>0</v>
      </c>
      <c r="IF12" s="204">
        <v>0</v>
      </c>
      <c r="IG12" s="205">
        <v>0</v>
      </c>
      <c r="IH12" s="204">
        <v>0</v>
      </c>
      <c r="II12" s="205">
        <v>0</v>
      </c>
      <c r="IJ12" s="204">
        <v>0</v>
      </c>
      <c r="IK12" s="205">
        <v>0</v>
      </c>
      <c r="IL12" s="204">
        <v>0</v>
      </c>
      <c r="IM12" s="205">
        <v>0</v>
      </c>
      <c r="IN12" s="204">
        <v>0</v>
      </c>
      <c r="IO12" s="205">
        <v>0</v>
      </c>
      <c r="IP12" s="204">
        <v>0</v>
      </c>
      <c r="IQ12" s="205">
        <v>0</v>
      </c>
      <c r="IR12" s="204">
        <v>0</v>
      </c>
      <c r="IS12" s="205">
        <v>0</v>
      </c>
      <c r="IT12" s="204">
        <v>0</v>
      </c>
      <c r="IU12" s="205">
        <v>0</v>
      </c>
      <c r="IV12" s="204">
        <v>0</v>
      </c>
      <c r="IW12" s="205">
        <v>0</v>
      </c>
      <c r="IX12" s="204">
        <v>0</v>
      </c>
      <c r="IY12" s="205">
        <v>0</v>
      </c>
      <c r="IZ12" s="204">
        <v>0</v>
      </c>
      <c r="JA12" s="205">
        <v>0</v>
      </c>
      <c r="JB12" s="204">
        <v>0</v>
      </c>
      <c r="JC12" s="205">
        <v>0</v>
      </c>
      <c r="JD12" s="204">
        <v>0</v>
      </c>
      <c r="JE12" s="233">
        <v>0</v>
      </c>
      <c r="JF12" s="236">
        <f t="shared" si="0"/>
        <v>0</v>
      </c>
      <c r="JG12" s="235">
        <f t="shared" si="1"/>
        <v>0</v>
      </c>
      <c r="JH12" s="235">
        <f t="shared" si="2"/>
        <v>0</v>
      </c>
      <c r="JI12" s="235">
        <f t="shared" si="3"/>
        <v>0</v>
      </c>
      <c r="JJ12" s="235">
        <f t="shared" si="4"/>
        <v>0</v>
      </c>
      <c r="JK12" s="235">
        <f t="shared" si="5"/>
        <v>0</v>
      </c>
      <c r="JL12" s="235">
        <f t="shared" si="6"/>
        <v>0</v>
      </c>
      <c r="JM12" s="235">
        <f t="shared" si="7"/>
        <v>0</v>
      </c>
      <c r="JN12" s="235">
        <f t="shared" si="8"/>
        <v>0</v>
      </c>
      <c r="JO12" s="235">
        <f t="shared" si="9"/>
        <v>0</v>
      </c>
      <c r="JP12" s="235">
        <f t="shared" si="10"/>
        <v>0</v>
      </c>
      <c r="JQ12" s="235">
        <f t="shared" si="11"/>
        <v>0</v>
      </c>
      <c r="JR12" s="235">
        <f t="shared" si="12"/>
        <v>0</v>
      </c>
      <c r="JS12" s="235">
        <f t="shared" si="13"/>
        <v>0</v>
      </c>
      <c r="JT12" s="235">
        <f t="shared" si="14"/>
        <v>0</v>
      </c>
      <c r="JU12" s="235">
        <f t="shared" si="15"/>
        <v>0</v>
      </c>
      <c r="JV12" s="235">
        <f t="shared" si="16"/>
        <v>0</v>
      </c>
      <c r="JW12" s="235">
        <f t="shared" si="17"/>
        <v>0</v>
      </c>
      <c r="JX12" s="235">
        <f t="shared" si="18"/>
        <v>0</v>
      </c>
      <c r="JY12" s="235">
        <f t="shared" si="19"/>
        <v>0</v>
      </c>
      <c r="JZ12" s="235">
        <f t="shared" si="20"/>
        <v>0</v>
      </c>
      <c r="KA12" s="237">
        <f t="shared" si="21"/>
        <v>0</v>
      </c>
      <c r="KB12" s="248">
        <v>46030</v>
      </c>
      <c r="KC12" s="201">
        <v>0</v>
      </c>
      <c r="KD12" s="201">
        <v>0</v>
      </c>
      <c r="KE12" s="201">
        <v>0</v>
      </c>
      <c r="KF12" s="201">
        <v>0</v>
      </c>
      <c r="KG12" s="201">
        <v>0</v>
      </c>
      <c r="KH12" s="201">
        <v>0</v>
      </c>
      <c r="KI12" s="201">
        <v>0</v>
      </c>
      <c r="KJ12" s="201">
        <v>0</v>
      </c>
      <c r="KK12" s="201">
        <v>0</v>
      </c>
      <c r="KL12" s="201">
        <v>0</v>
      </c>
      <c r="KM12" s="201">
        <v>0</v>
      </c>
      <c r="KN12" s="202">
        <v>0</v>
      </c>
      <c r="KO12" s="202">
        <v>0</v>
      </c>
      <c r="KP12" s="202">
        <v>0</v>
      </c>
      <c r="KQ12" s="202">
        <v>0</v>
      </c>
      <c r="KR12" s="202">
        <v>0</v>
      </c>
      <c r="KS12" s="202">
        <v>0</v>
      </c>
      <c r="KT12" s="202">
        <v>0</v>
      </c>
      <c r="KU12" s="202">
        <v>0</v>
      </c>
      <c r="KV12" s="202">
        <v>0</v>
      </c>
      <c r="KW12" s="202">
        <v>0</v>
      </c>
      <c r="KX12" s="202">
        <v>0</v>
      </c>
      <c r="KY12" s="203">
        <v>0</v>
      </c>
    </row>
    <row r="13" spans="1:311">
      <c r="A13" s="194">
        <v>46031</v>
      </c>
      <c r="B13" s="195"/>
      <c r="C13" s="196"/>
      <c r="D13" s="196"/>
      <c r="E13" s="196"/>
      <c r="F13" s="196"/>
      <c r="G13" s="196"/>
      <c r="H13" s="197">
        <v>0</v>
      </c>
      <c r="I13" s="198">
        <v>0</v>
      </c>
      <c r="J13" s="198">
        <v>0</v>
      </c>
      <c r="K13" s="199">
        <v>0</v>
      </c>
      <c r="L13" s="195"/>
      <c r="M13" s="196"/>
      <c r="N13" s="196"/>
      <c r="O13" s="196"/>
      <c r="P13" s="196"/>
      <c r="Q13" s="196"/>
      <c r="R13" s="200">
        <v>0</v>
      </c>
      <c r="S13" s="198">
        <v>0</v>
      </c>
      <c r="T13" s="198">
        <v>0</v>
      </c>
      <c r="U13" s="199">
        <v>0</v>
      </c>
      <c r="V13" s="195"/>
      <c r="W13" s="196"/>
      <c r="X13" s="196"/>
      <c r="Y13" s="196"/>
      <c r="Z13" s="196"/>
      <c r="AA13" s="196"/>
      <c r="AB13" s="200">
        <v>0</v>
      </c>
      <c r="AC13" s="198">
        <v>0</v>
      </c>
      <c r="AD13" s="198">
        <v>0</v>
      </c>
      <c r="AE13" s="199">
        <v>0</v>
      </c>
      <c r="AF13" s="195"/>
      <c r="AG13" s="196"/>
      <c r="AH13" s="196"/>
      <c r="AI13" s="196"/>
      <c r="AJ13" s="196"/>
      <c r="AK13" s="196"/>
      <c r="AL13" s="200">
        <v>0</v>
      </c>
      <c r="AM13" s="198">
        <v>0</v>
      </c>
      <c r="AN13" s="198">
        <v>0</v>
      </c>
      <c r="AO13" s="199">
        <v>0</v>
      </c>
      <c r="AP13" s="195"/>
      <c r="AQ13" s="196"/>
      <c r="AR13" s="196"/>
      <c r="AS13" s="196"/>
      <c r="AT13" s="196"/>
      <c r="AU13" s="196"/>
      <c r="AV13" s="200">
        <v>0</v>
      </c>
      <c r="AW13" s="198">
        <v>0</v>
      </c>
      <c r="AX13" s="198">
        <v>0</v>
      </c>
      <c r="AY13" s="199">
        <v>0</v>
      </c>
      <c r="AZ13" s="195"/>
      <c r="BA13" s="196"/>
      <c r="BB13" s="196"/>
      <c r="BC13" s="196"/>
      <c r="BD13" s="196"/>
      <c r="BE13" s="196"/>
      <c r="BF13" s="200">
        <v>0</v>
      </c>
      <c r="BG13" s="198">
        <v>0</v>
      </c>
      <c r="BH13" s="198">
        <v>0</v>
      </c>
      <c r="BI13" s="199">
        <v>0</v>
      </c>
      <c r="BJ13" s="195"/>
      <c r="BK13" s="196"/>
      <c r="BL13" s="196"/>
      <c r="BM13" s="196"/>
      <c r="BN13" s="196"/>
      <c r="BO13" s="196"/>
      <c r="BP13" s="200">
        <v>0</v>
      </c>
      <c r="BQ13" s="198">
        <v>0</v>
      </c>
      <c r="BR13" s="198">
        <v>0</v>
      </c>
      <c r="BS13" s="199">
        <v>0</v>
      </c>
      <c r="BT13" s="195"/>
      <c r="BU13" s="196"/>
      <c r="BV13" s="196"/>
      <c r="BW13" s="196"/>
      <c r="BX13" s="196"/>
      <c r="BY13" s="196"/>
      <c r="BZ13" s="200">
        <v>0</v>
      </c>
      <c r="CA13" s="198">
        <v>0</v>
      </c>
      <c r="CB13" s="198">
        <v>0</v>
      </c>
      <c r="CC13" s="199">
        <v>0</v>
      </c>
      <c r="CD13" s="195"/>
      <c r="CE13" s="196"/>
      <c r="CF13" s="196"/>
      <c r="CG13" s="196"/>
      <c r="CH13" s="196"/>
      <c r="CI13" s="196"/>
      <c r="CJ13" s="200">
        <v>0</v>
      </c>
      <c r="CK13" s="198">
        <v>0</v>
      </c>
      <c r="CL13" s="198">
        <v>0</v>
      </c>
      <c r="CM13" s="199">
        <v>0</v>
      </c>
      <c r="CN13" s="195"/>
      <c r="CO13" s="196"/>
      <c r="CP13" s="196"/>
      <c r="CQ13" s="196"/>
      <c r="CR13" s="196"/>
      <c r="CS13" s="196"/>
      <c r="CT13" s="200">
        <v>0</v>
      </c>
      <c r="CU13" s="198">
        <v>0</v>
      </c>
      <c r="CV13" s="198">
        <v>0</v>
      </c>
      <c r="CW13" s="199">
        <v>0</v>
      </c>
      <c r="CX13" s="195"/>
      <c r="CY13" s="196"/>
      <c r="CZ13" s="196"/>
      <c r="DA13" s="196"/>
      <c r="DB13" s="196"/>
      <c r="DC13" s="196"/>
      <c r="DD13" s="200">
        <v>0</v>
      </c>
      <c r="DE13" s="198">
        <v>0</v>
      </c>
      <c r="DF13" s="198">
        <v>0</v>
      </c>
      <c r="DG13" s="199">
        <v>0</v>
      </c>
      <c r="DH13" s="195"/>
      <c r="DI13" s="196"/>
      <c r="DJ13" s="196"/>
      <c r="DK13" s="196"/>
      <c r="DL13" s="196"/>
      <c r="DM13" s="196"/>
      <c r="DN13" s="200">
        <v>0</v>
      </c>
      <c r="DO13" s="198">
        <v>0</v>
      </c>
      <c r="DP13" s="198">
        <v>0</v>
      </c>
      <c r="DQ13" s="199">
        <v>0</v>
      </c>
      <c r="DR13" s="195"/>
      <c r="DS13" s="196"/>
      <c r="DT13" s="196"/>
      <c r="DU13" s="196"/>
      <c r="DV13" s="196"/>
      <c r="DW13" s="196"/>
      <c r="DX13" s="200">
        <v>0</v>
      </c>
      <c r="DY13" s="198">
        <v>0</v>
      </c>
      <c r="DZ13" s="198">
        <v>0</v>
      </c>
      <c r="EA13" s="199">
        <v>0</v>
      </c>
      <c r="EB13" s="195"/>
      <c r="EC13" s="196"/>
      <c r="ED13" s="196"/>
      <c r="EE13" s="196"/>
      <c r="EF13" s="196"/>
      <c r="EG13" s="196"/>
      <c r="EH13" s="200">
        <v>0</v>
      </c>
      <c r="EI13" s="198">
        <v>0</v>
      </c>
      <c r="EJ13" s="198">
        <v>0</v>
      </c>
      <c r="EK13" s="199">
        <v>0</v>
      </c>
      <c r="EL13" s="195"/>
      <c r="EM13" s="196"/>
      <c r="EN13" s="196"/>
      <c r="EO13" s="196"/>
      <c r="EP13" s="196"/>
      <c r="EQ13" s="196"/>
      <c r="ER13" s="200">
        <v>0</v>
      </c>
      <c r="ES13" s="198">
        <v>0</v>
      </c>
      <c r="ET13" s="198">
        <v>0</v>
      </c>
      <c r="EU13" s="199">
        <v>0</v>
      </c>
      <c r="EV13" s="195"/>
      <c r="EW13" s="196"/>
      <c r="EX13" s="196"/>
      <c r="EY13" s="196"/>
      <c r="EZ13" s="196"/>
      <c r="FA13" s="196"/>
      <c r="FB13" s="200">
        <v>0</v>
      </c>
      <c r="FC13" s="198">
        <v>0</v>
      </c>
      <c r="FD13" s="198">
        <v>0</v>
      </c>
      <c r="FE13" s="199">
        <v>0</v>
      </c>
      <c r="FF13" s="195"/>
      <c r="FG13" s="196"/>
      <c r="FH13" s="196"/>
      <c r="FI13" s="196"/>
      <c r="FJ13" s="196"/>
      <c r="FK13" s="196"/>
      <c r="FL13" s="200">
        <v>0</v>
      </c>
      <c r="FM13" s="198">
        <v>0</v>
      </c>
      <c r="FN13" s="198">
        <v>0</v>
      </c>
      <c r="FO13" s="199">
        <v>0</v>
      </c>
      <c r="FP13" s="195"/>
      <c r="FQ13" s="196"/>
      <c r="FR13" s="196"/>
      <c r="FS13" s="196"/>
      <c r="FT13" s="196"/>
      <c r="FU13" s="196"/>
      <c r="FV13" s="200">
        <v>0</v>
      </c>
      <c r="FW13" s="198">
        <v>0</v>
      </c>
      <c r="FX13" s="198">
        <v>0</v>
      </c>
      <c r="FY13" s="199">
        <v>0</v>
      </c>
      <c r="FZ13" s="195"/>
      <c r="GA13" s="196"/>
      <c r="GB13" s="196"/>
      <c r="GC13" s="196"/>
      <c r="GD13" s="196"/>
      <c r="GE13" s="196"/>
      <c r="GF13" s="200">
        <v>0</v>
      </c>
      <c r="GG13" s="198">
        <v>0</v>
      </c>
      <c r="GH13" s="198">
        <v>0</v>
      </c>
      <c r="GI13" s="199">
        <v>0</v>
      </c>
      <c r="GJ13" s="195"/>
      <c r="GK13" s="196"/>
      <c r="GL13" s="196"/>
      <c r="GM13" s="196"/>
      <c r="GN13" s="196"/>
      <c r="GO13" s="196"/>
      <c r="GP13" s="200">
        <v>0</v>
      </c>
      <c r="GQ13" s="198">
        <v>0</v>
      </c>
      <c r="GR13" s="198">
        <v>0</v>
      </c>
      <c r="GS13" s="199">
        <v>0</v>
      </c>
      <c r="GT13" s="195"/>
      <c r="GU13" s="196"/>
      <c r="GV13" s="196"/>
      <c r="GW13" s="196"/>
      <c r="GX13" s="196"/>
      <c r="GY13" s="196"/>
      <c r="GZ13" s="200">
        <v>0</v>
      </c>
      <c r="HA13" s="198">
        <v>0</v>
      </c>
      <c r="HB13" s="198">
        <v>0</v>
      </c>
      <c r="HC13" s="199">
        <v>0</v>
      </c>
      <c r="HD13" s="195"/>
      <c r="HE13" s="196"/>
      <c r="HF13" s="196"/>
      <c r="HG13" s="196"/>
      <c r="HH13" s="196"/>
      <c r="HI13" s="196"/>
      <c r="HJ13" s="200">
        <v>0</v>
      </c>
      <c r="HK13" s="198">
        <v>0</v>
      </c>
      <c r="HL13" s="198">
        <v>0</v>
      </c>
      <c r="HM13" s="199">
        <v>0</v>
      </c>
      <c r="HN13" s="204">
        <v>0</v>
      </c>
      <c r="HO13" s="205">
        <v>0</v>
      </c>
      <c r="HP13" s="204">
        <v>0</v>
      </c>
      <c r="HQ13" s="205">
        <v>0</v>
      </c>
      <c r="HR13" s="204">
        <v>0</v>
      </c>
      <c r="HS13" s="205">
        <v>0</v>
      </c>
      <c r="HT13" s="204">
        <v>0</v>
      </c>
      <c r="HU13" s="205">
        <v>0</v>
      </c>
      <c r="HV13" s="204">
        <v>0</v>
      </c>
      <c r="HW13" s="205">
        <v>0</v>
      </c>
      <c r="HX13" s="204">
        <v>0</v>
      </c>
      <c r="HY13" s="205">
        <v>0</v>
      </c>
      <c r="HZ13" s="204">
        <v>0</v>
      </c>
      <c r="IA13" s="205">
        <v>0</v>
      </c>
      <c r="IB13" s="204">
        <v>0</v>
      </c>
      <c r="IC13" s="205">
        <v>0</v>
      </c>
      <c r="ID13" s="204">
        <v>0</v>
      </c>
      <c r="IE13" s="205">
        <v>0</v>
      </c>
      <c r="IF13" s="204">
        <v>0</v>
      </c>
      <c r="IG13" s="205">
        <v>0</v>
      </c>
      <c r="IH13" s="204">
        <v>0</v>
      </c>
      <c r="II13" s="205">
        <v>0</v>
      </c>
      <c r="IJ13" s="204">
        <v>0</v>
      </c>
      <c r="IK13" s="205">
        <v>0</v>
      </c>
      <c r="IL13" s="204">
        <v>0</v>
      </c>
      <c r="IM13" s="205">
        <v>0</v>
      </c>
      <c r="IN13" s="204">
        <v>0</v>
      </c>
      <c r="IO13" s="205">
        <v>0</v>
      </c>
      <c r="IP13" s="204">
        <v>0</v>
      </c>
      <c r="IQ13" s="205">
        <v>0</v>
      </c>
      <c r="IR13" s="204">
        <v>0</v>
      </c>
      <c r="IS13" s="205">
        <v>0</v>
      </c>
      <c r="IT13" s="204">
        <v>0</v>
      </c>
      <c r="IU13" s="205">
        <v>0</v>
      </c>
      <c r="IV13" s="204">
        <v>0</v>
      </c>
      <c r="IW13" s="205">
        <v>0</v>
      </c>
      <c r="IX13" s="204">
        <v>0</v>
      </c>
      <c r="IY13" s="205">
        <v>0</v>
      </c>
      <c r="IZ13" s="204">
        <v>0</v>
      </c>
      <c r="JA13" s="205">
        <v>0</v>
      </c>
      <c r="JB13" s="204">
        <v>0</v>
      </c>
      <c r="JC13" s="205">
        <v>0</v>
      </c>
      <c r="JD13" s="204">
        <v>0</v>
      </c>
      <c r="JE13" s="233">
        <v>0</v>
      </c>
      <c r="JF13" s="236">
        <f t="shared" si="0"/>
        <v>0</v>
      </c>
      <c r="JG13" s="235">
        <f t="shared" si="1"/>
        <v>0</v>
      </c>
      <c r="JH13" s="235">
        <f t="shared" si="2"/>
        <v>0</v>
      </c>
      <c r="JI13" s="235">
        <f t="shared" si="3"/>
        <v>0</v>
      </c>
      <c r="JJ13" s="235">
        <f t="shared" si="4"/>
        <v>0</v>
      </c>
      <c r="JK13" s="235">
        <f t="shared" si="5"/>
        <v>0</v>
      </c>
      <c r="JL13" s="235">
        <f t="shared" si="6"/>
        <v>0</v>
      </c>
      <c r="JM13" s="235">
        <f t="shared" si="7"/>
        <v>0</v>
      </c>
      <c r="JN13" s="235">
        <f t="shared" si="8"/>
        <v>0</v>
      </c>
      <c r="JO13" s="235">
        <f t="shared" si="9"/>
        <v>0</v>
      </c>
      <c r="JP13" s="235">
        <f t="shared" si="10"/>
        <v>0</v>
      </c>
      <c r="JQ13" s="235">
        <f t="shared" si="11"/>
        <v>0</v>
      </c>
      <c r="JR13" s="235">
        <f t="shared" si="12"/>
        <v>0</v>
      </c>
      <c r="JS13" s="235">
        <f t="shared" si="13"/>
        <v>0</v>
      </c>
      <c r="JT13" s="235">
        <f t="shared" si="14"/>
        <v>0</v>
      </c>
      <c r="JU13" s="235">
        <f t="shared" si="15"/>
        <v>0</v>
      </c>
      <c r="JV13" s="235">
        <f t="shared" si="16"/>
        <v>0</v>
      </c>
      <c r="JW13" s="235">
        <f t="shared" si="17"/>
        <v>0</v>
      </c>
      <c r="JX13" s="235">
        <f t="shared" si="18"/>
        <v>0</v>
      </c>
      <c r="JY13" s="235">
        <f t="shared" si="19"/>
        <v>0</v>
      </c>
      <c r="JZ13" s="235">
        <f t="shared" si="20"/>
        <v>0</v>
      </c>
      <c r="KA13" s="237">
        <f t="shared" si="21"/>
        <v>0</v>
      </c>
      <c r="KB13" s="248">
        <v>46031</v>
      </c>
      <c r="KC13" s="201">
        <v>0</v>
      </c>
      <c r="KD13" s="201">
        <v>0</v>
      </c>
      <c r="KE13" s="201">
        <v>0</v>
      </c>
      <c r="KF13" s="201">
        <v>0</v>
      </c>
      <c r="KG13" s="201">
        <v>0</v>
      </c>
      <c r="KH13" s="201">
        <v>0</v>
      </c>
      <c r="KI13" s="201">
        <v>0</v>
      </c>
      <c r="KJ13" s="201">
        <v>0</v>
      </c>
      <c r="KK13" s="201">
        <v>0</v>
      </c>
      <c r="KL13" s="201">
        <v>0</v>
      </c>
      <c r="KM13" s="201">
        <v>0</v>
      </c>
      <c r="KN13" s="202">
        <v>0</v>
      </c>
      <c r="KO13" s="202">
        <v>0</v>
      </c>
      <c r="KP13" s="202">
        <v>0</v>
      </c>
      <c r="KQ13" s="202">
        <v>0</v>
      </c>
      <c r="KR13" s="202">
        <v>0</v>
      </c>
      <c r="KS13" s="202">
        <v>0</v>
      </c>
      <c r="KT13" s="202">
        <v>0</v>
      </c>
      <c r="KU13" s="202">
        <v>0</v>
      </c>
      <c r="KV13" s="202">
        <v>0</v>
      </c>
      <c r="KW13" s="202">
        <v>0</v>
      </c>
      <c r="KX13" s="202">
        <v>0</v>
      </c>
      <c r="KY13" s="203">
        <v>0</v>
      </c>
    </row>
    <row r="14" spans="1:311">
      <c r="A14" s="194">
        <v>46032</v>
      </c>
      <c r="B14" s="195"/>
      <c r="C14" s="196"/>
      <c r="D14" s="196"/>
      <c r="E14" s="196"/>
      <c r="F14" s="196"/>
      <c r="G14" s="196"/>
      <c r="H14" s="197">
        <v>0</v>
      </c>
      <c r="I14" s="198">
        <v>0</v>
      </c>
      <c r="J14" s="198">
        <v>0</v>
      </c>
      <c r="K14" s="199">
        <v>0</v>
      </c>
      <c r="L14" s="195"/>
      <c r="M14" s="196"/>
      <c r="N14" s="196"/>
      <c r="O14" s="196"/>
      <c r="P14" s="196"/>
      <c r="Q14" s="196"/>
      <c r="R14" s="200">
        <v>0</v>
      </c>
      <c r="S14" s="198">
        <v>0</v>
      </c>
      <c r="T14" s="198">
        <v>0</v>
      </c>
      <c r="U14" s="199">
        <v>0</v>
      </c>
      <c r="V14" s="195"/>
      <c r="W14" s="196"/>
      <c r="X14" s="196"/>
      <c r="Y14" s="196"/>
      <c r="Z14" s="196"/>
      <c r="AA14" s="196"/>
      <c r="AB14" s="200">
        <v>0</v>
      </c>
      <c r="AC14" s="198">
        <v>0</v>
      </c>
      <c r="AD14" s="198">
        <v>0</v>
      </c>
      <c r="AE14" s="199">
        <v>0</v>
      </c>
      <c r="AF14" s="195"/>
      <c r="AG14" s="196"/>
      <c r="AH14" s="196"/>
      <c r="AI14" s="196"/>
      <c r="AJ14" s="196"/>
      <c r="AK14" s="196"/>
      <c r="AL14" s="200">
        <v>0</v>
      </c>
      <c r="AM14" s="198">
        <v>0</v>
      </c>
      <c r="AN14" s="198">
        <v>0</v>
      </c>
      <c r="AO14" s="199">
        <v>0</v>
      </c>
      <c r="AP14" s="195"/>
      <c r="AQ14" s="196"/>
      <c r="AR14" s="196"/>
      <c r="AS14" s="196"/>
      <c r="AT14" s="196"/>
      <c r="AU14" s="196"/>
      <c r="AV14" s="200">
        <v>0</v>
      </c>
      <c r="AW14" s="198">
        <v>0</v>
      </c>
      <c r="AX14" s="198">
        <v>0</v>
      </c>
      <c r="AY14" s="199">
        <v>0</v>
      </c>
      <c r="AZ14" s="195"/>
      <c r="BA14" s="196"/>
      <c r="BB14" s="196"/>
      <c r="BC14" s="196"/>
      <c r="BD14" s="196"/>
      <c r="BE14" s="196"/>
      <c r="BF14" s="200">
        <v>0</v>
      </c>
      <c r="BG14" s="198">
        <v>0</v>
      </c>
      <c r="BH14" s="198">
        <v>0</v>
      </c>
      <c r="BI14" s="199">
        <v>0</v>
      </c>
      <c r="BJ14" s="195"/>
      <c r="BK14" s="196"/>
      <c r="BL14" s="196"/>
      <c r="BM14" s="196"/>
      <c r="BN14" s="196"/>
      <c r="BO14" s="196"/>
      <c r="BP14" s="200">
        <v>0</v>
      </c>
      <c r="BQ14" s="198">
        <v>0</v>
      </c>
      <c r="BR14" s="198">
        <v>0</v>
      </c>
      <c r="BS14" s="199">
        <v>0</v>
      </c>
      <c r="BT14" s="195"/>
      <c r="BU14" s="196"/>
      <c r="BV14" s="196"/>
      <c r="BW14" s="196"/>
      <c r="BX14" s="196"/>
      <c r="BY14" s="196"/>
      <c r="BZ14" s="200">
        <v>0</v>
      </c>
      <c r="CA14" s="198">
        <v>0</v>
      </c>
      <c r="CB14" s="198">
        <v>0</v>
      </c>
      <c r="CC14" s="199">
        <v>0</v>
      </c>
      <c r="CD14" s="195"/>
      <c r="CE14" s="196"/>
      <c r="CF14" s="196"/>
      <c r="CG14" s="196"/>
      <c r="CH14" s="196"/>
      <c r="CI14" s="196"/>
      <c r="CJ14" s="200">
        <v>0</v>
      </c>
      <c r="CK14" s="198">
        <v>0</v>
      </c>
      <c r="CL14" s="198">
        <v>0</v>
      </c>
      <c r="CM14" s="199">
        <v>0</v>
      </c>
      <c r="CN14" s="195"/>
      <c r="CO14" s="196"/>
      <c r="CP14" s="196"/>
      <c r="CQ14" s="196"/>
      <c r="CR14" s="196"/>
      <c r="CS14" s="196"/>
      <c r="CT14" s="200">
        <v>0</v>
      </c>
      <c r="CU14" s="198">
        <v>0</v>
      </c>
      <c r="CV14" s="198">
        <v>0</v>
      </c>
      <c r="CW14" s="199">
        <v>0</v>
      </c>
      <c r="CX14" s="195"/>
      <c r="CY14" s="196"/>
      <c r="CZ14" s="196"/>
      <c r="DA14" s="196"/>
      <c r="DB14" s="196"/>
      <c r="DC14" s="196"/>
      <c r="DD14" s="200">
        <v>0</v>
      </c>
      <c r="DE14" s="198">
        <v>0</v>
      </c>
      <c r="DF14" s="198">
        <v>0</v>
      </c>
      <c r="DG14" s="199">
        <v>0</v>
      </c>
      <c r="DH14" s="195"/>
      <c r="DI14" s="196"/>
      <c r="DJ14" s="196"/>
      <c r="DK14" s="196"/>
      <c r="DL14" s="196"/>
      <c r="DM14" s="196"/>
      <c r="DN14" s="200">
        <v>0</v>
      </c>
      <c r="DO14" s="198">
        <v>0</v>
      </c>
      <c r="DP14" s="198">
        <v>0</v>
      </c>
      <c r="DQ14" s="199">
        <v>0</v>
      </c>
      <c r="DR14" s="195"/>
      <c r="DS14" s="196"/>
      <c r="DT14" s="196"/>
      <c r="DU14" s="196"/>
      <c r="DV14" s="196"/>
      <c r="DW14" s="196"/>
      <c r="DX14" s="200">
        <v>0</v>
      </c>
      <c r="DY14" s="198">
        <v>0</v>
      </c>
      <c r="DZ14" s="198">
        <v>0</v>
      </c>
      <c r="EA14" s="199">
        <v>0</v>
      </c>
      <c r="EB14" s="195"/>
      <c r="EC14" s="196"/>
      <c r="ED14" s="196"/>
      <c r="EE14" s="196"/>
      <c r="EF14" s="196"/>
      <c r="EG14" s="196"/>
      <c r="EH14" s="200">
        <v>0</v>
      </c>
      <c r="EI14" s="198">
        <v>0</v>
      </c>
      <c r="EJ14" s="198">
        <v>0</v>
      </c>
      <c r="EK14" s="199">
        <v>0</v>
      </c>
      <c r="EL14" s="195"/>
      <c r="EM14" s="196"/>
      <c r="EN14" s="196"/>
      <c r="EO14" s="196"/>
      <c r="EP14" s="196"/>
      <c r="EQ14" s="196"/>
      <c r="ER14" s="200">
        <v>0</v>
      </c>
      <c r="ES14" s="198">
        <v>0</v>
      </c>
      <c r="ET14" s="198">
        <v>0</v>
      </c>
      <c r="EU14" s="199">
        <v>0</v>
      </c>
      <c r="EV14" s="195"/>
      <c r="EW14" s="196"/>
      <c r="EX14" s="196"/>
      <c r="EY14" s="196"/>
      <c r="EZ14" s="196"/>
      <c r="FA14" s="196"/>
      <c r="FB14" s="200">
        <v>0</v>
      </c>
      <c r="FC14" s="198">
        <v>0</v>
      </c>
      <c r="FD14" s="198">
        <v>0</v>
      </c>
      <c r="FE14" s="199">
        <v>0</v>
      </c>
      <c r="FF14" s="195"/>
      <c r="FG14" s="196"/>
      <c r="FH14" s="196"/>
      <c r="FI14" s="196"/>
      <c r="FJ14" s="196"/>
      <c r="FK14" s="196"/>
      <c r="FL14" s="200">
        <v>0</v>
      </c>
      <c r="FM14" s="198">
        <v>0</v>
      </c>
      <c r="FN14" s="198">
        <v>0</v>
      </c>
      <c r="FO14" s="199">
        <v>0</v>
      </c>
      <c r="FP14" s="195"/>
      <c r="FQ14" s="196"/>
      <c r="FR14" s="196"/>
      <c r="FS14" s="196"/>
      <c r="FT14" s="196"/>
      <c r="FU14" s="196"/>
      <c r="FV14" s="200">
        <v>0</v>
      </c>
      <c r="FW14" s="198">
        <v>0</v>
      </c>
      <c r="FX14" s="198">
        <v>0</v>
      </c>
      <c r="FY14" s="199">
        <v>0</v>
      </c>
      <c r="FZ14" s="195"/>
      <c r="GA14" s="196"/>
      <c r="GB14" s="196"/>
      <c r="GC14" s="196"/>
      <c r="GD14" s="196"/>
      <c r="GE14" s="196"/>
      <c r="GF14" s="200">
        <v>0</v>
      </c>
      <c r="GG14" s="198">
        <v>0</v>
      </c>
      <c r="GH14" s="198">
        <v>0</v>
      </c>
      <c r="GI14" s="199">
        <v>0</v>
      </c>
      <c r="GJ14" s="195"/>
      <c r="GK14" s="196"/>
      <c r="GL14" s="196"/>
      <c r="GM14" s="196"/>
      <c r="GN14" s="196"/>
      <c r="GO14" s="196"/>
      <c r="GP14" s="200">
        <v>0</v>
      </c>
      <c r="GQ14" s="198">
        <v>0</v>
      </c>
      <c r="GR14" s="198">
        <v>0</v>
      </c>
      <c r="GS14" s="199">
        <v>0</v>
      </c>
      <c r="GT14" s="195"/>
      <c r="GU14" s="196"/>
      <c r="GV14" s="196"/>
      <c r="GW14" s="196"/>
      <c r="GX14" s="196"/>
      <c r="GY14" s="196"/>
      <c r="GZ14" s="200">
        <v>0</v>
      </c>
      <c r="HA14" s="198">
        <v>0</v>
      </c>
      <c r="HB14" s="198">
        <v>0</v>
      </c>
      <c r="HC14" s="199">
        <v>0</v>
      </c>
      <c r="HD14" s="195"/>
      <c r="HE14" s="196"/>
      <c r="HF14" s="196"/>
      <c r="HG14" s="196"/>
      <c r="HH14" s="196"/>
      <c r="HI14" s="196"/>
      <c r="HJ14" s="200">
        <v>0</v>
      </c>
      <c r="HK14" s="198">
        <v>0</v>
      </c>
      <c r="HL14" s="198">
        <v>0</v>
      </c>
      <c r="HM14" s="199">
        <v>0</v>
      </c>
      <c r="HN14" s="204">
        <v>0</v>
      </c>
      <c r="HO14" s="205">
        <v>0</v>
      </c>
      <c r="HP14" s="204">
        <v>0</v>
      </c>
      <c r="HQ14" s="205">
        <v>0</v>
      </c>
      <c r="HR14" s="204">
        <v>0</v>
      </c>
      <c r="HS14" s="205">
        <v>0</v>
      </c>
      <c r="HT14" s="204">
        <v>0</v>
      </c>
      <c r="HU14" s="205">
        <v>0</v>
      </c>
      <c r="HV14" s="204">
        <v>0</v>
      </c>
      <c r="HW14" s="205">
        <v>0</v>
      </c>
      <c r="HX14" s="204">
        <v>0</v>
      </c>
      <c r="HY14" s="205">
        <v>0</v>
      </c>
      <c r="HZ14" s="204">
        <v>0</v>
      </c>
      <c r="IA14" s="205">
        <v>0</v>
      </c>
      <c r="IB14" s="204">
        <v>0</v>
      </c>
      <c r="IC14" s="205">
        <v>0</v>
      </c>
      <c r="ID14" s="204">
        <v>0</v>
      </c>
      <c r="IE14" s="205">
        <v>0</v>
      </c>
      <c r="IF14" s="204">
        <v>0</v>
      </c>
      <c r="IG14" s="205">
        <v>0</v>
      </c>
      <c r="IH14" s="204">
        <v>0</v>
      </c>
      <c r="II14" s="205">
        <v>0</v>
      </c>
      <c r="IJ14" s="204">
        <v>0</v>
      </c>
      <c r="IK14" s="205">
        <v>0</v>
      </c>
      <c r="IL14" s="204">
        <v>0</v>
      </c>
      <c r="IM14" s="205">
        <v>0</v>
      </c>
      <c r="IN14" s="204">
        <v>0</v>
      </c>
      <c r="IO14" s="205">
        <v>0</v>
      </c>
      <c r="IP14" s="204">
        <v>0</v>
      </c>
      <c r="IQ14" s="205">
        <v>0</v>
      </c>
      <c r="IR14" s="204">
        <v>0</v>
      </c>
      <c r="IS14" s="205">
        <v>0</v>
      </c>
      <c r="IT14" s="204">
        <v>0</v>
      </c>
      <c r="IU14" s="205">
        <v>0</v>
      </c>
      <c r="IV14" s="204">
        <v>0</v>
      </c>
      <c r="IW14" s="205">
        <v>0</v>
      </c>
      <c r="IX14" s="204">
        <v>0</v>
      </c>
      <c r="IY14" s="205">
        <v>0</v>
      </c>
      <c r="IZ14" s="204">
        <v>0</v>
      </c>
      <c r="JA14" s="205">
        <v>0</v>
      </c>
      <c r="JB14" s="204">
        <v>0</v>
      </c>
      <c r="JC14" s="205">
        <v>0</v>
      </c>
      <c r="JD14" s="204">
        <v>0</v>
      </c>
      <c r="JE14" s="233">
        <v>0</v>
      </c>
      <c r="JF14" s="236">
        <f t="shared" si="0"/>
        <v>0</v>
      </c>
      <c r="JG14" s="235">
        <f t="shared" si="1"/>
        <v>0</v>
      </c>
      <c r="JH14" s="235">
        <f t="shared" si="2"/>
        <v>0</v>
      </c>
      <c r="JI14" s="235">
        <f t="shared" si="3"/>
        <v>0</v>
      </c>
      <c r="JJ14" s="235">
        <f t="shared" si="4"/>
        <v>0</v>
      </c>
      <c r="JK14" s="235">
        <f t="shared" si="5"/>
        <v>0</v>
      </c>
      <c r="JL14" s="235">
        <f t="shared" si="6"/>
        <v>0</v>
      </c>
      <c r="JM14" s="235">
        <f t="shared" si="7"/>
        <v>0</v>
      </c>
      <c r="JN14" s="235">
        <f t="shared" si="8"/>
        <v>0</v>
      </c>
      <c r="JO14" s="235">
        <f t="shared" si="9"/>
        <v>0</v>
      </c>
      <c r="JP14" s="235">
        <f t="shared" si="10"/>
        <v>0</v>
      </c>
      <c r="JQ14" s="235">
        <f t="shared" si="11"/>
        <v>0</v>
      </c>
      <c r="JR14" s="235">
        <f t="shared" si="12"/>
        <v>0</v>
      </c>
      <c r="JS14" s="235">
        <f t="shared" si="13"/>
        <v>0</v>
      </c>
      <c r="JT14" s="235">
        <f t="shared" si="14"/>
        <v>0</v>
      </c>
      <c r="JU14" s="235">
        <f t="shared" si="15"/>
        <v>0</v>
      </c>
      <c r="JV14" s="235">
        <f t="shared" si="16"/>
        <v>0</v>
      </c>
      <c r="JW14" s="235">
        <f t="shared" si="17"/>
        <v>0</v>
      </c>
      <c r="JX14" s="235">
        <f t="shared" si="18"/>
        <v>0</v>
      </c>
      <c r="JY14" s="235">
        <f t="shared" si="19"/>
        <v>0</v>
      </c>
      <c r="JZ14" s="235">
        <f t="shared" si="20"/>
        <v>0</v>
      </c>
      <c r="KA14" s="237">
        <f t="shared" si="21"/>
        <v>0</v>
      </c>
      <c r="KB14" s="248">
        <v>46032</v>
      </c>
      <c r="KC14" s="201">
        <v>0</v>
      </c>
      <c r="KD14" s="201">
        <v>0</v>
      </c>
      <c r="KE14" s="201">
        <v>0</v>
      </c>
      <c r="KF14" s="201">
        <v>0</v>
      </c>
      <c r="KG14" s="201">
        <v>0</v>
      </c>
      <c r="KH14" s="201">
        <v>0</v>
      </c>
      <c r="KI14" s="201">
        <v>0</v>
      </c>
      <c r="KJ14" s="201">
        <v>0</v>
      </c>
      <c r="KK14" s="201">
        <v>0</v>
      </c>
      <c r="KL14" s="201">
        <v>0</v>
      </c>
      <c r="KM14" s="201">
        <v>0</v>
      </c>
      <c r="KN14" s="202">
        <v>0</v>
      </c>
      <c r="KO14" s="202">
        <v>0</v>
      </c>
      <c r="KP14" s="202">
        <v>0</v>
      </c>
      <c r="KQ14" s="202">
        <v>0</v>
      </c>
      <c r="KR14" s="202">
        <v>0</v>
      </c>
      <c r="KS14" s="202">
        <v>0</v>
      </c>
      <c r="KT14" s="202">
        <v>0</v>
      </c>
      <c r="KU14" s="202">
        <v>0</v>
      </c>
      <c r="KV14" s="202">
        <v>0</v>
      </c>
      <c r="KW14" s="202">
        <v>0</v>
      </c>
      <c r="KX14" s="202">
        <v>0</v>
      </c>
      <c r="KY14" s="203">
        <v>0</v>
      </c>
    </row>
    <row r="15" spans="1:311">
      <c r="A15" s="194">
        <v>46033</v>
      </c>
      <c r="B15" s="195"/>
      <c r="C15" s="196"/>
      <c r="D15" s="196"/>
      <c r="E15" s="196"/>
      <c r="F15" s="196"/>
      <c r="G15" s="196"/>
      <c r="H15" s="197">
        <v>0</v>
      </c>
      <c r="I15" s="198">
        <v>0</v>
      </c>
      <c r="J15" s="198">
        <v>0</v>
      </c>
      <c r="K15" s="199">
        <v>0</v>
      </c>
      <c r="L15" s="195"/>
      <c r="M15" s="196"/>
      <c r="N15" s="196"/>
      <c r="O15" s="196"/>
      <c r="P15" s="196"/>
      <c r="Q15" s="196"/>
      <c r="R15" s="200">
        <v>0</v>
      </c>
      <c r="S15" s="198">
        <v>0</v>
      </c>
      <c r="T15" s="198">
        <v>0</v>
      </c>
      <c r="U15" s="199">
        <v>0</v>
      </c>
      <c r="V15" s="195"/>
      <c r="W15" s="196"/>
      <c r="X15" s="196"/>
      <c r="Y15" s="196"/>
      <c r="Z15" s="196"/>
      <c r="AA15" s="196"/>
      <c r="AB15" s="200">
        <v>0</v>
      </c>
      <c r="AC15" s="198">
        <v>0</v>
      </c>
      <c r="AD15" s="198">
        <v>0</v>
      </c>
      <c r="AE15" s="199">
        <v>0</v>
      </c>
      <c r="AF15" s="195"/>
      <c r="AG15" s="196"/>
      <c r="AH15" s="196"/>
      <c r="AI15" s="196"/>
      <c r="AJ15" s="196"/>
      <c r="AK15" s="196"/>
      <c r="AL15" s="200">
        <v>0</v>
      </c>
      <c r="AM15" s="198">
        <v>0</v>
      </c>
      <c r="AN15" s="198">
        <v>0</v>
      </c>
      <c r="AO15" s="199">
        <v>0</v>
      </c>
      <c r="AP15" s="195"/>
      <c r="AQ15" s="196"/>
      <c r="AR15" s="196"/>
      <c r="AS15" s="196"/>
      <c r="AT15" s="196"/>
      <c r="AU15" s="196"/>
      <c r="AV15" s="200">
        <v>0</v>
      </c>
      <c r="AW15" s="198">
        <v>0</v>
      </c>
      <c r="AX15" s="198">
        <v>0</v>
      </c>
      <c r="AY15" s="199">
        <v>0</v>
      </c>
      <c r="AZ15" s="195"/>
      <c r="BA15" s="196"/>
      <c r="BB15" s="196"/>
      <c r="BC15" s="196"/>
      <c r="BD15" s="196"/>
      <c r="BE15" s="196"/>
      <c r="BF15" s="200">
        <v>0</v>
      </c>
      <c r="BG15" s="198">
        <v>0</v>
      </c>
      <c r="BH15" s="198">
        <v>0</v>
      </c>
      <c r="BI15" s="199">
        <v>0</v>
      </c>
      <c r="BJ15" s="195"/>
      <c r="BK15" s="196"/>
      <c r="BL15" s="196"/>
      <c r="BM15" s="196"/>
      <c r="BN15" s="196"/>
      <c r="BO15" s="196"/>
      <c r="BP15" s="200">
        <v>0</v>
      </c>
      <c r="BQ15" s="198">
        <v>0</v>
      </c>
      <c r="BR15" s="198">
        <v>0</v>
      </c>
      <c r="BS15" s="199">
        <v>0</v>
      </c>
      <c r="BT15" s="195"/>
      <c r="BU15" s="196"/>
      <c r="BV15" s="196"/>
      <c r="BW15" s="196"/>
      <c r="BX15" s="196"/>
      <c r="BY15" s="196"/>
      <c r="BZ15" s="200">
        <v>0</v>
      </c>
      <c r="CA15" s="198">
        <v>0</v>
      </c>
      <c r="CB15" s="198">
        <v>0</v>
      </c>
      <c r="CC15" s="199">
        <v>0</v>
      </c>
      <c r="CD15" s="195"/>
      <c r="CE15" s="196"/>
      <c r="CF15" s="196"/>
      <c r="CG15" s="196"/>
      <c r="CH15" s="196"/>
      <c r="CI15" s="196"/>
      <c r="CJ15" s="200">
        <v>0</v>
      </c>
      <c r="CK15" s="198">
        <v>0</v>
      </c>
      <c r="CL15" s="198">
        <v>0</v>
      </c>
      <c r="CM15" s="199">
        <v>0</v>
      </c>
      <c r="CN15" s="195"/>
      <c r="CO15" s="196"/>
      <c r="CP15" s="196"/>
      <c r="CQ15" s="196"/>
      <c r="CR15" s="196"/>
      <c r="CS15" s="196"/>
      <c r="CT15" s="200">
        <v>0</v>
      </c>
      <c r="CU15" s="198">
        <v>0</v>
      </c>
      <c r="CV15" s="198">
        <v>0</v>
      </c>
      <c r="CW15" s="199">
        <v>0</v>
      </c>
      <c r="CX15" s="195"/>
      <c r="CY15" s="196"/>
      <c r="CZ15" s="196"/>
      <c r="DA15" s="196"/>
      <c r="DB15" s="196"/>
      <c r="DC15" s="196"/>
      <c r="DD15" s="200">
        <v>0</v>
      </c>
      <c r="DE15" s="198">
        <v>0</v>
      </c>
      <c r="DF15" s="198">
        <v>0</v>
      </c>
      <c r="DG15" s="199">
        <v>0</v>
      </c>
      <c r="DH15" s="195"/>
      <c r="DI15" s="196"/>
      <c r="DJ15" s="196"/>
      <c r="DK15" s="196"/>
      <c r="DL15" s="196"/>
      <c r="DM15" s="196"/>
      <c r="DN15" s="200">
        <v>0</v>
      </c>
      <c r="DO15" s="198">
        <v>0</v>
      </c>
      <c r="DP15" s="198">
        <v>0</v>
      </c>
      <c r="DQ15" s="199">
        <v>0</v>
      </c>
      <c r="DR15" s="195"/>
      <c r="DS15" s="196"/>
      <c r="DT15" s="196"/>
      <c r="DU15" s="196"/>
      <c r="DV15" s="196"/>
      <c r="DW15" s="196"/>
      <c r="DX15" s="200">
        <v>0</v>
      </c>
      <c r="DY15" s="198">
        <v>0</v>
      </c>
      <c r="DZ15" s="198">
        <v>0</v>
      </c>
      <c r="EA15" s="199">
        <v>0</v>
      </c>
      <c r="EB15" s="195"/>
      <c r="EC15" s="196"/>
      <c r="ED15" s="196"/>
      <c r="EE15" s="196"/>
      <c r="EF15" s="196"/>
      <c r="EG15" s="196"/>
      <c r="EH15" s="200">
        <v>0</v>
      </c>
      <c r="EI15" s="198">
        <v>0</v>
      </c>
      <c r="EJ15" s="198">
        <v>0</v>
      </c>
      <c r="EK15" s="199">
        <v>0</v>
      </c>
      <c r="EL15" s="195"/>
      <c r="EM15" s="196"/>
      <c r="EN15" s="196"/>
      <c r="EO15" s="196"/>
      <c r="EP15" s="196"/>
      <c r="EQ15" s="196"/>
      <c r="ER15" s="200">
        <v>0</v>
      </c>
      <c r="ES15" s="198">
        <v>0</v>
      </c>
      <c r="ET15" s="198">
        <v>0</v>
      </c>
      <c r="EU15" s="199">
        <v>0</v>
      </c>
      <c r="EV15" s="195"/>
      <c r="EW15" s="196"/>
      <c r="EX15" s="196"/>
      <c r="EY15" s="196"/>
      <c r="EZ15" s="196"/>
      <c r="FA15" s="196"/>
      <c r="FB15" s="200">
        <v>0</v>
      </c>
      <c r="FC15" s="198">
        <v>0</v>
      </c>
      <c r="FD15" s="198">
        <v>0</v>
      </c>
      <c r="FE15" s="199">
        <v>0</v>
      </c>
      <c r="FF15" s="195"/>
      <c r="FG15" s="196"/>
      <c r="FH15" s="196"/>
      <c r="FI15" s="196"/>
      <c r="FJ15" s="196"/>
      <c r="FK15" s="196"/>
      <c r="FL15" s="200">
        <v>0</v>
      </c>
      <c r="FM15" s="198">
        <v>0</v>
      </c>
      <c r="FN15" s="198">
        <v>0</v>
      </c>
      <c r="FO15" s="199">
        <v>0</v>
      </c>
      <c r="FP15" s="195"/>
      <c r="FQ15" s="196"/>
      <c r="FR15" s="196"/>
      <c r="FS15" s="196"/>
      <c r="FT15" s="196"/>
      <c r="FU15" s="196"/>
      <c r="FV15" s="200">
        <v>0</v>
      </c>
      <c r="FW15" s="198">
        <v>0</v>
      </c>
      <c r="FX15" s="198">
        <v>0</v>
      </c>
      <c r="FY15" s="199">
        <v>0</v>
      </c>
      <c r="FZ15" s="195"/>
      <c r="GA15" s="196"/>
      <c r="GB15" s="196"/>
      <c r="GC15" s="196"/>
      <c r="GD15" s="196"/>
      <c r="GE15" s="196"/>
      <c r="GF15" s="200">
        <v>0</v>
      </c>
      <c r="GG15" s="198">
        <v>0</v>
      </c>
      <c r="GH15" s="198">
        <v>0</v>
      </c>
      <c r="GI15" s="199">
        <v>0</v>
      </c>
      <c r="GJ15" s="195"/>
      <c r="GK15" s="196"/>
      <c r="GL15" s="196"/>
      <c r="GM15" s="196"/>
      <c r="GN15" s="196"/>
      <c r="GO15" s="196"/>
      <c r="GP15" s="200">
        <v>0</v>
      </c>
      <c r="GQ15" s="198">
        <v>0</v>
      </c>
      <c r="GR15" s="198">
        <v>0</v>
      </c>
      <c r="GS15" s="199">
        <v>0</v>
      </c>
      <c r="GT15" s="195"/>
      <c r="GU15" s="196"/>
      <c r="GV15" s="196"/>
      <c r="GW15" s="196"/>
      <c r="GX15" s="196"/>
      <c r="GY15" s="196"/>
      <c r="GZ15" s="200">
        <v>0</v>
      </c>
      <c r="HA15" s="198">
        <v>0</v>
      </c>
      <c r="HB15" s="198">
        <v>0</v>
      </c>
      <c r="HC15" s="199">
        <v>0</v>
      </c>
      <c r="HD15" s="195"/>
      <c r="HE15" s="196"/>
      <c r="HF15" s="196"/>
      <c r="HG15" s="196"/>
      <c r="HH15" s="196"/>
      <c r="HI15" s="196"/>
      <c r="HJ15" s="200">
        <v>0</v>
      </c>
      <c r="HK15" s="198">
        <v>0</v>
      </c>
      <c r="HL15" s="198">
        <v>0</v>
      </c>
      <c r="HM15" s="199">
        <v>0</v>
      </c>
      <c r="HN15" s="204">
        <v>0</v>
      </c>
      <c r="HO15" s="205">
        <v>0</v>
      </c>
      <c r="HP15" s="204">
        <v>0</v>
      </c>
      <c r="HQ15" s="205">
        <v>0</v>
      </c>
      <c r="HR15" s="204">
        <v>0</v>
      </c>
      <c r="HS15" s="205">
        <v>0</v>
      </c>
      <c r="HT15" s="204">
        <v>0</v>
      </c>
      <c r="HU15" s="205">
        <v>0</v>
      </c>
      <c r="HV15" s="204">
        <v>0</v>
      </c>
      <c r="HW15" s="205">
        <v>0</v>
      </c>
      <c r="HX15" s="204">
        <v>0</v>
      </c>
      <c r="HY15" s="205">
        <v>0</v>
      </c>
      <c r="HZ15" s="204">
        <v>0</v>
      </c>
      <c r="IA15" s="205">
        <v>0</v>
      </c>
      <c r="IB15" s="204">
        <v>0</v>
      </c>
      <c r="IC15" s="205">
        <v>0</v>
      </c>
      <c r="ID15" s="204">
        <v>0</v>
      </c>
      <c r="IE15" s="205">
        <v>0</v>
      </c>
      <c r="IF15" s="204">
        <v>0</v>
      </c>
      <c r="IG15" s="205">
        <v>0</v>
      </c>
      <c r="IH15" s="204">
        <v>0</v>
      </c>
      <c r="II15" s="205">
        <v>0</v>
      </c>
      <c r="IJ15" s="204">
        <v>0</v>
      </c>
      <c r="IK15" s="205">
        <v>0</v>
      </c>
      <c r="IL15" s="204">
        <v>0</v>
      </c>
      <c r="IM15" s="205">
        <v>0</v>
      </c>
      <c r="IN15" s="204">
        <v>0</v>
      </c>
      <c r="IO15" s="205">
        <v>0</v>
      </c>
      <c r="IP15" s="204">
        <v>0</v>
      </c>
      <c r="IQ15" s="205">
        <v>0</v>
      </c>
      <c r="IR15" s="204">
        <v>0</v>
      </c>
      <c r="IS15" s="205">
        <v>0</v>
      </c>
      <c r="IT15" s="204">
        <v>0</v>
      </c>
      <c r="IU15" s="205">
        <v>0</v>
      </c>
      <c r="IV15" s="204">
        <v>0</v>
      </c>
      <c r="IW15" s="205">
        <v>0</v>
      </c>
      <c r="IX15" s="204">
        <v>0</v>
      </c>
      <c r="IY15" s="205">
        <v>0</v>
      </c>
      <c r="IZ15" s="204">
        <v>0</v>
      </c>
      <c r="JA15" s="205">
        <v>0</v>
      </c>
      <c r="JB15" s="204">
        <v>0</v>
      </c>
      <c r="JC15" s="205">
        <v>0</v>
      </c>
      <c r="JD15" s="204">
        <v>0</v>
      </c>
      <c r="JE15" s="233">
        <v>0</v>
      </c>
      <c r="JF15" s="236">
        <f t="shared" si="0"/>
        <v>0</v>
      </c>
      <c r="JG15" s="235">
        <f t="shared" si="1"/>
        <v>0</v>
      </c>
      <c r="JH15" s="235">
        <f t="shared" si="2"/>
        <v>0</v>
      </c>
      <c r="JI15" s="235">
        <f t="shared" si="3"/>
        <v>0</v>
      </c>
      <c r="JJ15" s="235">
        <f t="shared" si="4"/>
        <v>0</v>
      </c>
      <c r="JK15" s="235">
        <f t="shared" si="5"/>
        <v>0</v>
      </c>
      <c r="JL15" s="235">
        <f t="shared" si="6"/>
        <v>0</v>
      </c>
      <c r="JM15" s="235">
        <f t="shared" si="7"/>
        <v>0</v>
      </c>
      <c r="JN15" s="235">
        <f t="shared" si="8"/>
        <v>0</v>
      </c>
      <c r="JO15" s="235">
        <f t="shared" si="9"/>
        <v>0</v>
      </c>
      <c r="JP15" s="235">
        <f t="shared" si="10"/>
        <v>0</v>
      </c>
      <c r="JQ15" s="235">
        <f t="shared" si="11"/>
        <v>0</v>
      </c>
      <c r="JR15" s="235">
        <f t="shared" si="12"/>
        <v>0</v>
      </c>
      <c r="JS15" s="235">
        <f t="shared" si="13"/>
        <v>0</v>
      </c>
      <c r="JT15" s="235">
        <f t="shared" si="14"/>
        <v>0</v>
      </c>
      <c r="JU15" s="235">
        <f t="shared" si="15"/>
        <v>0</v>
      </c>
      <c r="JV15" s="235">
        <f t="shared" si="16"/>
        <v>0</v>
      </c>
      <c r="JW15" s="235">
        <f t="shared" si="17"/>
        <v>0</v>
      </c>
      <c r="JX15" s="235">
        <f t="shared" si="18"/>
        <v>0</v>
      </c>
      <c r="JY15" s="235">
        <f t="shared" si="19"/>
        <v>0</v>
      </c>
      <c r="JZ15" s="235">
        <f t="shared" si="20"/>
        <v>0</v>
      </c>
      <c r="KA15" s="237">
        <f t="shared" si="21"/>
        <v>0</v>
      </c>
      <c r="KB15" s="248">
        <v>46033</v>
      </c>
      <c r="KC15" s="201">
        <v>0</v>
      </c>
      <c r="KD15" s="201">
        <v>0</v>
      </c>
      <c r="KE15" s="201">
        <v>0</v>
      </c>
      <c r="KF15" s="201">
        <v>0</v>
      </c>
      <c r="KG15" s="201">
        <v>0</v>
      </c>
      <c r="KH15" s="201">
        <v>0</v>
      </c>
      <c r="KI15" s="201">
        <v>0</v>
      </c>
      <c r="KJ15" s="201">
        <v>0</v>
      </c>
      <c r="KK15" s="201">
        <v>0</v>
      </c>
      <c r="KL15" s="201">
        <v>0</v>
      </c>
      <c r="KM15" s="201">
        <v>0</v>
      </c>
      <c r="KN15" s="202">
        <v>0</v>
      </c>
      <c r="KO15" s="202">
        <v>0</v>
      </c>
      <c r="KP15" s="202">
        <v>0</v>
      </c>
      <c r="KQ15" s="202">
        <v>0</v>
      </c>
      <c r="KR15" s="202">
        <v>0</v>
      </c>
      <c r="KS15" s="202">
        <v>0</v>
      </c>
      <c r="KT15" s="202">
        <v>0</v>
      </c>
      <c r="KU15" s="202">
        <v>0</v>
      </c>
      <c r="KV15" s="202">
        <v>0</v>
      </c>
      <c r="KW15" s="202">
        <v>0</v>
      </c>
      <c r="KX15" s="202">
        <v>0</v>
      </c>
      <c r="KY15" s="203">
        <v>0</v>
      </c>
    </row>
    <row r="16" spans="1:311">
      <c r="A16" s="194">
        <v>46034</v>
      </c>
      <c r="B16" s="195"/>
      <c r="C16" s="196"/>
      <c r="D16" s="196"/>
      <c r="E16" s="196"/>
      <c r="F16" s="196"/>
      <c r="G16" s="196"/>
      <c r="H16" s="197">
        <v>0</v>
      </c>
      <c r="I16" s="198">
        <v>0</v>
      </c>
      <c r="J16" s="198">
        <v>0</v>
      </c>
      <c r="K16" s="199">
        <v>0</v>
      </c>
      <c r="L16" s="195"/>
      <c r="M16" s="196"/>
      <c r="N16" s="196"/>
      <c r="O16" s="196"/>
      <c r="P16" s="196"/>
      <c r="Q16" s="196"/>
      <c r="R16" s="200">
        <v>0</v>
      </c>
      <c r="S16" s="198">
        <v>0</v>
      </c>
      <c r="T16" s="198">
        <v>0</v>
      </c>
      <c r="U16" s="199">
        <v>0</v>
      </c>
      <c r="V16" s="195"/>
      <c r="W16" s="196"/>
      <c r="X16" s="196"/>
      <c r="Y16" s="196"/>
      <c r="Z16" s="196"/>
      <c r="AA16" s="196"/>
      <c r="AB16" s="200">
        <v>0</v>
      </c>
      <c r="AC16" s="198">
        <v>0</v>
      </c>
      <c r="AD16" s="198">
        <v>0</v>
      </c>
      <c r="AE16" s="199">
        <v>0</v>
      </c>
      <c r="AF16" s="195"/>
      <c r="AG16" s="196"/>
      <c r="AH16" s="196"/>
      <c r="AI16" s="196"/>
      <c r="AJ16" s="196"/>
      <c r="AK16" s="196"/>
      <c r="AL16" s="200">
        <v>0</v>
      </c>
      <c r="AM16" s="198">
        <v>0</v>
      </c>
      <c r="AN16" s="198">
        <v>0</v>
      </c>
      <c r="AO16" s="199">
        <v>0</v>
      </c>
      <c r="AP16" s="195"/>
      <c r="AQ16" s="196"/>
      <c r="AR16" s="196"/>
      <c r="AS16" s="196"/>
      <c r="AT16" s="196"/>
      <c r="AU16" s="196"/>
      <c r="AV16" s="200">
        <v>0</v>
      </c>
      <c r="AW16" s="198">
        <v>0</v>
      </c>
      <c r="AX16" s="198">
        <v>0</v>
      </c>
      <c r="AY16" s="199">
        <v>0</v>
      </c>
      <c r="AZ16" s="195"/>
      <c r="BA16" s="196"/>
      <c r="BB16" s="196"/>
      <c r="BC16" s="196"/>
      <c r="BD16" s="196"/>
      <c r="BE16" s="196"/>
      <c r="BF16" s="200">
        <v>0</v>
      </c>
      <c r="BG16" s="198">
        <v>0</v>
      </c>
      <c r="BH16" s="198">
        <v>0</v>
      </c>
      <c r="BI16" s="199">
        <v>0</v>
      </c>
      <c r="BJ16" s="195"/>
      <c r="BK16" s="196"/>
      <c r="BL16" s="196"/>
      <c r="BM16" s="196"/>
      <c r="BN16" s="196"/>
      <c r="BO16" s="196"/>
      <c r="BP16" s="200">
        <v>0</v>
      </c>
      <c r="BQ16" s="198">
        <v>0</v>
      </c>
      <c r="BR16" s="198">
        <v>0</v>
      </c>
      <c r="BS16" s="199">
        <v>0</v>
      </c>
      <c r="BT16" s="195"/>
      <c r="BU16" s="196"/>
      <c r="BV16" s="196"/>
      <c r="BW16" s="196"/>
      <c r="BX16" s="196"/>
      <c r="BY16" s="196"/>
      <c r="BZ16" s="200">
        <v>0</v>
      </c>
      <c r="CA16" s="198">
        <v>0</v>
      </c>
      <c r="CB16" s="198">
        <v>0</v>
      </c>
      <c r="CC16" s="199">
        <v>0</v>
      </c>
      <c r="CD16" s="195"/>
      <c r="CE16" s="196"/>
      <c r="CF16" s="196"/>
      <c r="CG16" s="196"/>
      <c r="CH16" s="196"/>
      <c r="CI16" s="196"/>
      <c r="CJ16" s="200">
        <v>0</v>
      </c>
      <c r="CK16" s="198">
        <v>0</v>
      </c>
      <c r="CL16" s="198">
        <v>0</v>
      </c>
      <c r="CM16" s="199">
        <v>0</v>
      </c>
      <c r="CN16" s="195"/>
      <c r="CO16" s="196"/>
      <c r="CP16" s="196"/>
      <c r="CQ16" s="196"/>
      <c r="CR16" s="196"/>
      <c r="CS16" s="196"/>
      <c r="CT16" s="200">
        <v>0</v>
      </c>
      <c r="CU16" s="198">
        <v>0</v>
      </c>
      <c r="CV16" s="198">
        <v>0</v>
      </c>
      <c r="CW16" s="199">
        <v>0</v>
      </c>
      <c r="CX16" s="195"/>
      <c r="CY16" s="196"/>
      <c r="CZ16" s="196"/>
      <c r="DA16" s="196"/>
      <c r="DB16" s="196"/>
      <c r="DC16" s="196"/>
      <c r="DD16" s="200">
        <v>0</v>
      </c>
      <c r="DE16" s="198">
        <v>0</v>
      </c>
      <c r="DF16" s="198">
        <v>0</v>
      </c>
      <c r="DG16" s="199">
        <v>0</v>
      </c>
      <c r="DH16" s="195"/>
      <c r="DI16" s="196"/>
      <c r="DJ16" s="196"/>
      <c r="DK16" s="196"/>
      <c r="DL16" s="196"/>
      <c r="DM16" s="196"/>
      <c r="DN16" s="200">
        <v>0</v>
      </c>
      <c r="DO16" s="198">
        <v>0</v>
      </c>
      <c r="DP16" s="198">
        <v>0</v>
      </c>
      <c r="DQ16" s="199">
        <v>0</v>
      </c>
      <c r="DR16" s="195"/>
      <c r="DS16" s="196"/>
      <c r="DT16" s="196"/>
      <c r="DU16" s="196"/>
      <c r="DV16" s="196"/>
      <c r="DW16" s="196"/>
      <c r="DX16" s="200">
        <v>0</v>
      </c>
      <c r="DY16" s="198">
        <v>0</v>
      </c>
      <c r="DZ16" s="198">
        <v>0</v>
      </c>
      <c r="EA16" s="199">
        <v>0</v>
      </c>
      <c r="EB16" s="195"/>
      <c r="EC16" s="196"/>
      <c r="ED16" s="196"/>
      <c r="EE16" s="196"/>
      <c r="EF16" s="196"/>
      <c r="EG16" s="196"/>
      <c r="EH16" s="200">
        <v>0</v>
      </c>
      <c r="EI16" s="198">
        <v>0</v>
      </c>
      <c r="EJ16" s="198">
        <v>0</v>
      </c>
      <c r="EK16" s="199">
        <v>0</v>
      </c>
      <c r="EL16" s="195"/>
      <c r="EM16" s="196"/>
      <c r="EN16" s="196"/>
      <c r="EO16" s="196"/>
      <c r="EP16" s="196"/>
      <c r="EQ16" s="196"/>
      <c r="ER16" s="200">
        <v>0</v>
      </c>
      <c r="ES16" s="198">
        <v>0</v>
      </c>
      <c r="ET16" s="198">
        <v>0</v>
      </c>
      <c r="EU16" s="199">
        <v>0</v>
      </c>
      <c r="EV16" s="195"/>
      <c r="EW16" s="196"/>
      <c r="EX16" s="196"/>
      <c r="EY16" s="196"/>
      <c r="EZ16" s="196"/>
      <c r="FA16" s="196"/>
      <c r="FB16" s="200">
        <v>0</v>
      </c>
      <c r="FC16" s="198">
        <v>0</v>
      </c>
      <c r="FD16" s="198">
        <v>0</v>
      </c>
      <c r="FE16" s="199">
        <v>0</v>
      </c>
      <c r="FF16" s="195"/>
      <c r="FG16" s="196"/>
      <c r="FH16" s="196"/>
      <c r="FI16" s="196"/>
      <c r="FJ16" s="196"/>
      <c r="FK16" s="196"/>
      <c r="FL16" s="200">
        <v>0</v>
      </c>
      <c r="FM16" s="198">
        <v>0</v>
      </c>
      <c r="FN16" s="198">
        <v>0</v>
      </c>
      <c r="FO16" s="199">
        <v>0</v>
      </c>
      <c r="FP16" s="195"/>
      <c r="FQ16" s="196"/>
      <c r="FR16" s="196"/>
      <c r="FS16" s="196"/>
      <c r="FT16" s="196"/>
      <c r="FU16" s="196"/>
      <c r="FV16" s="200">
        <v>0</v>
      </c>
      <c r="FW16" s="198">
        <v>0</v>
      </c>
      <c r="FX16" s="198">
        <v>0</v>
      </c>
      <c r="FY16" s="199">
        <v>0</v>
      </c>
      <c r="FZ16" s="195"/>
      <c r="GA16" s="196"/>
      <c r="GB16" s="196"/>
      <c r="GC16" s="196"/>
      <c r="GD16" s="196"/>
      <c r="GE16" s="196"/>
      <c r="GF16" s="200">
        <v>0</v>
      </c>
      <c r="GG16" s="198">
        <v>0</v>
      </c>
      <c r="GH16" s="198">
        <v>0</v>
      </c>
      <c r="GI16" s="199">
        <v>0</v>
      </c>
      <c r="GJ16" s="195"/>
      <c r="GK16" s="196"/>
      <c r="GL16" s="196"/>
      <c r="GM16" s="196"/>
      <c r="GN16" s="196"/>
      <c r="GO16" s="196"/>
      <c r="GP16" s="200">
        <v>0</v>
      </c>
      <c r="GQ16" s="198">
        <v>0</v>
      </c>
      <c r="GR16" s="198">
        <v>0</v>
      </c>
      <c r="GS16" s="199">
        <v>0</v>
      </c>
      <c r="GT16" s="195"/>
      <c r="GU16" s="196"/>
      <c r="GV16" s="196"/>
      <c r="GW16" s="196"/>
      <c r="GX16" s="196"/>
      <c r="GY16" s="196"/>
      <c r="GZ16" s="200">
        <v>0</v>
      </c>
      <c r="HA16" s="198">
        <v>0</v>
      </c>
      <c r="HB16" s="198">
        <v>0</v>
      </c>
      <c r="HC16" s="199">
        <v>0</v>
      </c>
      <c r="HD16" s="195"/>
      <c r="HE16" s="196"/>
      <c r="HF16" s="196"/>
      <c r="HG16" s="196"/>
      <c r="HH16" s="196"/>
      <c r="HI16" s="196"/>
      <c r="HJ16" s="200">
        <v>0</v>
      </c>
      <c r="HK16" s="198">
        <v>0</v>
      </c>
      <c r="HL16" s="198">
        <v>0</v>
      </c>
      <c r="HM16" s="199">
        <v>0</v>
      </c>
      <c r="HN16" s="204">
        <v>0</v>
      </c>
      <c r="HO16" s="205">
        <v>0</v>
      </c>
      <c r="HP16" s="204">
        <v>0</v>
      </c>
      <c r="HQ16" s="205">
        <v>0</v>
      </c>
      <c r="HR16" s="204">
        <v>0</v>
      </c>
      <c r="HS16" s="205">
        <v>0</v>
      </c>
      <c r="HT16" s="204">
        <v>0</v>
      </c>
      <c r="HU16" s="205">
        <v>0</v>
      </c>
      <c r="HV16" s="204">
        <v>0</v>
      </c>
      <c r="HW16" s="205">
        <v>0</v>
      </c>
      <c r="HX16" s="204">
        <v>0</v>
      </c>
      <c r="HY16" s="205">
        <v>0</v>
      </c>
      <c r="HZ16" s="204">
        <v>0</v>
      </c>
      <c r="IA16" s="205">
        <v>0</v>
      </c>
      <c r="IB16" s="204">
        <v>0</v>
      </c>
      <c r="IC16" s="205">
        <v>0</v>
      </c>
      <c r="ID16" s="204">
        <v>0</v>
      </c>
      <c r="IE16" s="205">
        <v>0</v>
      </c>
      <c r="IF16" s="204">
        <v>0</v>
      </c>
      <c r="IG16" s="205">
        <v>0</v>
      </c>
      <c r="IH16" s="204">
        <v>0</v>
      </c>
      <c r="II16" s="205">
        <v>0</v>
      </c>
      <c r="IJ16" s="204">
        <v>0</v>
      </c>
      <c r="IK16" s="205">
        <v>0</v>
      </c>
      <c r="IL16" s="204">
        <v>0</v>
      </c>
      <c r="IM16" s="205">
        <v>0</v>
      </c>
      <c r="IN16" s="204">
        <v>0</v>
      </c>
      <c r="IO16" s="205">
        <v>0</v>
      </c>
      <c r="IP16" s="204">
        <v>0</v>
      </c>
      <c r="IQ16" s="205">
        <v>0</v>
      </c>
      <c r="IR16" s="204">
        <v>0</v>
      </c>
      <c r="IS16" s="205">
        <v>0</v>
      </c>
      <c r="IT16" s="204">
        <v>0</v>
      </c>
      <c r="IU16" s="205">
        <v>0</v>
      </c>
      <c r="IV16" s="204">
        <v>0</v>
      </c>
      <c r="IW16" s="205">
        <v>0</v>
      </c>
      <c r="IX16" s="204">
        <v>0</v>
      </c>
      <c r="IY16" s="205">
        <v>0</v>
      </c>
      <c r="IZ16" s="204">
        <v>0</v>
      </c>
      <c r="JA16" s="205">
        <v>0</v>
      </c>
      <c r="JB16" s="204">
        <v>0</v>
      </c>
      <c r="JC16" s="205">
        <v>0</v>
      </c>
      <c r="JD16" s="204">
        <v>0</v>
      </c>
      <c r="JE16" s="233">
        <v>0</v>
      </c>
      <c r="JF16" s="236">
        <f t="shared" si="0"/>
        <v>0</v>
      </c>
      <c r="JG16" s="235">
        <f t="shared" si="1"/>
        <v>0</v>
      </c>
      <c r="JH16" s="235">
        <f t="shared" si="2"/>
        <v>0</v>
      </c>
      <c r="JI16" s="235">
        <f t="shared" si="3"/>
        <v>0</v>
      </c>
      <c r="JJ16" s="235">
        <f t="shared" si="4"/>
        <v>0</v>
      </c>
      <c r="JK16" s="235">
        <f t="shared" si="5"/>
        <v>0</v>
      </c>
      <c r="JL16" s="235">
        <f t="shared" si="6"/>
        <v>0</v>
      </c>
      <c r="JM16" s="235">
        <f t="shared" si="7"/>
        <v>0</v>
      </c>
      <c r="JN16" s="235">
        <f t="shared" si="8"/>
        <v>0</v>
      </c>
      <c r="JO16" s="235">
        <f t="shared" si="9"/>
        <v>0</v>
      </c>
      <c r="JP16" s="235">
        <f t="shared" si="10"/>
        <v>0</v>
      </c>
      <c r="JQ16" s="235">
        <f t="shared" si="11"/>
        <v>0</v>
      </c>
      <c r="JR16" s="235">
        <f t="shared" si="12"/>
        <v>0</v>
      </c>
      <c r="JS16" s="235">
        <f t="shared" si="13"/>
        <v>0</v>
      </c>
      <c r="JT16" s="235">
        <f t="shared" si="14"/>
        <v>0</v>
      </c>
      <c r="JU16" s="235">
        <f t="shared" si="15"/>
        <v>0</v>
      </c>
      <c r="JV16" s="235">
        <f t="shared" si="16"/>
        <v>0</v>
      </c>
      <c r="JW16" s="235">
        <f t="shared" si="17"/>
        <v>0</v>
      </c>
      <c r="JX16" s="235">
        <f t="shared" si="18"/>
        <v>0</v>
      </c>
      <c r="JY16" s="235">
        <f t="shared" si="19"/>
        <v>0</v>
      </c>
      <c r="JZ16" s="235">
        <f t="shared" si="20"/>
        <v>0</v>
      </c>
      <c r="KA16" s="237">
        <f t="shared" si="21"/>
        <v>0</v>
      </c>
      <c r="KB16" s="248">
        <v>46034</v>
      </c>
      <c r="KC16" s="201">
        <v>0</v>
      </c>
      <c r="KD16" s="201">
        <v>0</v>
      </c>
      <c r="KE16" s="201">
        <v>0</v>
      </c>
      <c r="KF16" s="201">
        <v>0</v>
      </c>
      <c r="KG16" s="201">
        <v>0</v>
      </c>
      <c r="KH16" s="201">
        <v>0</v>
      </c>
      <c r="KI16" s="201">
        <v>0</v>
      </c>
      <c r="KJ16" s="201">
        <v>0</v>
      </c>
      <c r="KK16" s="201">
        <v>0</v>
      </c>
      <c r="KL16" s="201">
        <v>0</v>
      </c>
      <c r="KM16" s="201">
        <v>0</v>
      </c>
      <c r="KN16" s="202">
        <v>0</v>
      </c>
      <c r="KO16" s="202">
        <v>0</v>
      </c>
      <c r="KP16" s="202">
        <v>0</v>
      </c>
      <c r="KQ16" s="202">
        <v>0</v>
      </c>
      <c r="KR16" s="202">
        <v>0</v>
      </c>
      <c r="KS16" s="202">
        <v>0</v>
      </c>
      <c r="KT16" s="202">
        <v>0</v>
      </c>
      <c r="KU16" s="202">
        <v>0</v>
      </c>
      <c r="KV16" s="202">
        <v>0</v>
      </c>
      <c r="KW16" s="202">
        <v>0</v>
      </c>
      <c r="KX16" s="202">
        <v>0</v>
      </c>
      <c r="KY16" s="203">
        <v>0</v>
      </c>
    </row>
    <row r="17" spans="1:311">
      <c r="A17" s="194">
        <v>46035</v>
      </c>
      <c r="B17" s="195">
        <v>0.25</v>
      </c>
      <c r="C17" s="196"/>
      <c r="D17" s="196"/>
      <c r="E17" s="196"/>
      <c r="F17" s="196"/>
      <c r="G17" s="196"/>
      <c r="H17" s="200">
        <v>0.75</v>
      </c>
      <c r="I17" s="198">
        <v>18</v>
      </c>
      <c r="J17" s="198">
        <v>0</v>
      </c>
      <c r="K17" s="199">
        <v>1</v>
      </c>
      <c r="L17" s="195">
        <v>0.25</v>
      </c>
      <c r="M17" s="196"/>
      <c r="N17" s="196"/>
      <c r="O17" s="196"/>
      <c r="P17" s="196"/>
      <c r="Q17" s="196"/>
      <c r="R17" s="200">
        <v>0.75</v>
      </c>
      <c r="S17" s="198">
        <v>18</v>
      </c>
      <c r="T17" s="198">
        <v>0</v>
      </c>
      <c r="U17" s="199">
        <v>1</v>
      </c>
      <c r="V17" s="195">
        <v>0.25</v>
      </c>
      <c r="W17" s="196"/>
      <c r="X17" s="196"/>
      <c r="Y17" s="196"/>
      <c r="Z17" s="196"/>
      <c r="AA17" s="196"/>
      <c r="AB17" s="200">
        <v>0.75</v>
      </c>
      <c r="AC17" s="198">
        <v>18</v>
      </c>
      <c r="AD17" s="198">
        <v>0</v>
      </c>
      <c r="AE17" s="199">
        <v>1</v>
      </c>
      <c r="AF17" s="195">
        <v>0.25</v>
      </c>
      <c r="AG17" s="196"/>
      <c r="AH17" s="196"/>
      <c r="AI17" s="196"/>
      <c r="AJ17" s="196"/>
      <c r="AK17" s="196"/>
      <c r="AL17" s="200">
        <v>0.75</v>
      </c>
      <c r="AM17" s="198">
        <v>18</v>
      </c>
      <c r="AN17" s="198">
        <v>0</v>
      </c>
      <c r="AO17" s="199">
        <v>1</v>
      </c>
      <c r="AP17" s="195">
        <v>0.25</v>
      </c>
      <c r="AQ17" s="196"/>
      <c r="AR17" s="196"/>
      <c r="AS17" s="196"/>
      <c r="AT17" s="196"/>
      <c r="AU17" s="196"/>
      <c r="AV17" s="200">
        <v>0.75</v>
      </c>
      <c r="AW17" s="198">
        <v>18</v>
      </c>
      <c r="AX17" s="198">
        <v>0</v>
      </c>
      <c r="AY17" s="199">
        <v>1</v>
      </c>
      <c r="AZ17" s="195">
        <v>0.25</v>
      </c>
      <c r="BA17" s="196"/>
      <c r="BB17" s="196"/>
      <c r="BC17" s="196"/>
      <c r="BD17" s="196"/>
      <c r="BE17" s="196"/>
      <c r="BF17" s="200">
        <v>0.75</v>
      </c>
      <c r="BG17" s="198">
        <v>18</v>
      </c>
      <c r="BH17" s="198">
        <v>0</v>
      </c>
      <c r="BI17" s="199">
        <v>1</v>
      </c>
      <c r="BJ17" s="195">
        <v>0.25</v>
      </c>
      <c r="BK17" s="196"/>
      <c r="BL17" s="196"/>
      <c r="BM17" s="196"/>
      <c r="BN17" s="196"/>
      <c r="BO17" s="196"/>
      <c r="BP17" s="200">
        <v>0.75</v>
      </c>
      <c r="BQ17" s="198">
        <v>18</v>
      </c>
      <c r="BR17" s="198">
        <v>0</v>
      </c>
      <c r="BS17" s="199">
        <v>1</v>
      </c>
      <c r="BT17" s="195">
        <v>0.25</v>
      </c>
      <c r="BU17" s="196"/>
      <c r="BV17" s="196"/>
      <c r="BW17" s="196"/>
      <c r="BX17" s="196"/>
      <c r="BY17" s="196"/>
      <c r="BZ17" s="200">
        <v>0.75</v>
      </c>
      <c r="CA17" s="198">
        <v>18</v>
      </c>
      <c r="CB17" s="198">
        <v>0</v>
      </c>
      <c r="CC17" s="199">
        <v>1</v>
      </c>
      <c r="CD17" s="195">
        <v>0.25</v>
      </c>
      <c r="CE17" s="196"/>
      <c r="CF17" s="196"/>
      <c r="CG17" s="196"/>
      <c r="CH17" s="196"/>
      <c r="CI17" s="196"/>
      <c r="CJ17" s="200">
        <v>0.75</v>
      </c>
      <c r="CK17" s="198">
        <v>18</v>
      </c>
      <c r="CL17" s="198">
        <v>0</v>
      </c>
      <c r="CM17" s="199">
        <v>1</v>
      </c>
      <c r="CN17" s="195">
        <v>0.25</v>
      </c>
      <c r="CO17" s="196"/>
      <c r="CP17" s="196"/>
      <c r="CQ17" s="196"/>
      <c r="CR17" s="196"/>
      <c r="CS17" s="196"/>
      <c r="CT17" s="200">
        <v>0.75</v>
      </c>
      <c r="CU17" s="198">
        <v>18</v>
      </c>
      <c r="CV17" s="198">
        <v>0</v>
      </c>
      <c r="CW17" s="199">
        <v>1</v>
      </c>
      <c r="CX17" s="195"/>
      <c r="CY17" s="196"/>
      <c r="CZ17" s="196"/>
      <c r="DA17" s="196"/>
      <c r="DB17" s="196"/>
      <c r="DC17" s="196"/>
      <c r="DD17" s="200">
        <v>0</v>
      </c>
      <c r="DE17" s="198">
        <v>0</v>
      </c>
      <c r="DF17" s="198">
        <v>0</v>
      </c>
      <c r="DG17" s="199">
        <v>0</v>
      </c>
      <c r="DH17" s="195"/>
      <c r="DI17" s="196"/>
      <c r="DJ17" s="196"/>
      <c r="DK17" s="196"/>
      <c r="DL17" s="196"/>
      <c r="DM17" s="196"/>
      <c r="DN17" s="200">
        <v>0</v>
      </c>
      <c r="DO17" s="198">
        <v>0</v>
      </c>
      <c r="DP17" s="198">
        <v>0</v>
      </c>
      <c r="DQ17" s="199">
        <v>0</v>
      </c>
      <c r="DR17" s="195"/>
      <c r="DS17" s="196"/>
      <c r="DT17" s="196"/>
      <c r="DU17" s="196"/>
      <c r="DV17" s="196"/>
      <c r="DW17" s="196"/>
      <c r="DX17" s="200">
        <v>0</v>
      </c>
      <c r="DY17" s="198">
        <v>0</v>
      </c>
      <c r="DZ17" s="198">
        <v>0</v>
      </c>
      <c r="EA17" s="199">
        <v>0</v>
      </c>
      <c r="EB17" s="195"/>
      <c r="EC17" s="196"/>
      <c r="ED17" s="196"/>
      <c r="EE17" s="196"/>
      <c r="EF17" s="196"/>
      <c r="EG17" s="196"/>
      <c r="EH17" s="200">
        <v>0</v>
      </c>
      <c r="EI17" s="198">
        <v>0</v>
      </c>
      <c r="EJ17" s="198">
        <v>0</v>
      </c>
      <c r="EK17" s="199">
        <v>0</v>
      </c>
      <c r="EL17" s="195"/>
      <c r="EM17" s="196"/>
      <c r="EN17" s="196"/>
      <c r="EO17" s="196"/>
      <c r="EP17" s="196"/>
      <c r="EQ17" s="196"/>
      <c r="ER17" s="200">
        <v>0</v>
      </c>
      <c r="ES17" s="198">
        <v>0</v>
      </c>
      <c r="ET17" s="198">
        <v>0</v>
      </c>
      <c r="EU17" s="199">
        <v>0</v>
      </c>
      <c r="EV17" s="195"/>
      <c r="EW17" s="196"/>
      <c r="EX17" s="196"/>
      <c r="EY17" s="196"/>
      <c r="EZ17" s="196"/>
      <c r="FA17" s="196"/>
      <c r="FB17" s="200">
        <v>0</v>
      </c>
      <c r="FC17" s="198">
        <v>0</v>
      </c>
      <c r="FD17" s="198">
        <v>0</v>
      </c>
      <c r="FE17" s="199">
        <v>0</v>
      </c>
      <c r="FF17" s="195"/>
      <c r="FG17" s="196"/>
      <c r="FH17" s="196"/>
      <c r="FI17" s="196"/>
      <c r="FJ17" s="196"/>
      <c r="FK17" s="196"/>
      <c r="FL17" s="200">
        <v>0</v>
      </c>
      <c r="FM17" s="198">
        <v>0</v>
      </c>
      <c r="FN17" s="198">
        <v>0</v>
      </c>
      <c r="FO17" s="199">
        <v>0</v>
      </c>
      <c r="FP17" s="195"/>
      <c r="FQ17" s="196"/>
      <c r="FR17" s="196"/>
      <c r="FS17" s="196"/>
      <c r="FT17" s="196"/>
      <c r="FU17" s="196"/>
      <c r="FV17" s="200">
        <v>0</v>
      </c>
      <c r="FW17" s="198">
        <v>0</v>
      </c>
      <c r="FX17" s="198">
        <v>0</v>
      </c>
      <c r="FY17" s="199">
        <v>0</v>
      </c>
      <c r="FZ17" s="195"/>
      <c r="GA17" s="196"/>
      <c r="GB17" s="196"/>
      <c r="GC17" s="196"/>
      <c r="GD17" s="196"/>
      <c r="GE17" s="196"/>
      <c r="GF17" s="200">
        <v>0</v>
      </c>
      <c r="GG17" s="198">
        <v>0</v>
      </c>
      <c r="GH17" s="198">
        <v>0</v>
      </c>
      <c r="GI17" s="199">
        <v>0</v>
      </c>
      <c r="GJ17" s="195"/>
      <c r="GK17" s="196"/>
      <c r="GL17" s="196"/>
      <c r="GM17" s="196"/>
      <c r="GN17" s="196"/>
      <c r="GO17" s="196"/>
      <c r="GP17" s="200">
        <v>0</v>
      </c>
      <c r="GQ17" s="198">
        <v>0</v>
      </c>
      <c r="GR17" s="198">
        <v>0</v>
      </c>
      <c r="GS17" s="199">
        <v>0</v>
      </c>
      <c r="GT17" s="195"/>
      <c r="GU17" s="196"/>
      <c r="GV17" s="196"/>
      <c r="GW17" s="196"/>
      <c r="GX17" s="196"/>
      <c r="GY17" s="196"/>
      <c r="GZ17" s="200">
        <v>0</v>
      </c>
      <c r="HA17" s="198">
        <v>0</v>
      </c>
      <c r="HB17" s="198">
        <v>0</v>
      </c>
      <c r="HC17" s="199">
        <v>0</v>
      </c>
      <c r="HD17" s="195"/>
      <c r="HE17" s="196"/>
      <c r="HF17" s="196"/>
      <c r="HG17" s="196"/>
      <c r="HH17" s="196"/>
      <c r="HI17" s="196"/>
      <c r="HJ17" s="200">
        <v>0</v>
      </c>
      <c r="HK17" s="198">
        <v>0</v>
      </c>
      <c r="HL17" s="198">
        <v>0</v>
      </c>
      <c r="HM17" s="199">
        <v>0</v>
      </c>
      <c r="HN17" s="204">
        <v>0.75</v>
      </c>
      <c r="HO17" s="205">
        <v>1</v>
      </c>
      <c r="HP17" s="204">
        <v>0.75</v>
      </c>
      <c r="HQ17" s="205">
        <v>1</v>
      </c>
      <c r="HR17" s="204">
        <v>0.75</v>
      </c>
      <c r="HS17" s="205">
        <v>1</v>
      </c>
      <c r="HT17" s="204">
        <v>0.75</v>
      </c>
      <c r="HU17" s="205">
        <v>1</v>
      </c>
      <c r="HV17" s="204">
        <v>0.75</v>
      </c>
      <c r="HW17" s="205">
        <v>1</v>
      </c>
      <c r="HX17" s="204">
        <v>0.75</v>
      </c>
      <c r="HY17" s="205">
        <v>1</v>
      </c>
      <c r="HZ17" s="204">
        <v>0.75</v>
      </c>
      <c r="IA17" s="205">
        <v>1</v>
      </c>
      <c r="IB17" s="204">
        <v>0.75</v>
      </c>
      <c r="IC17" s="205">
        <v>1</v>
      </c>
      <c r="ID17" s="204">
        <v>0.75</v>
      </c>
      <c r="IE17" s="205">
        <v>1</v>
      </c>
      <c r="IF17" s="204">
        <v>0.75</v>
      </c>
      <c r="IG17" s="205">
        <v>1</v>
      </c>
      <c r="IH17" s="204">
        <v>0</v>
      </c>
      <c r="II17" s="205">
        <v>0</v>
      </c>
      <c r="IJ17" s="204">
        <v>0</v>
      </c>
      <c r="IK17" s="205">
        <v>0</v>
      </c>
      <c r="IL17" s="204">
        <v>0</v>
      </c>
      <c r="IM17" s="205">
        <v>0</v>
      </c>
      <c r="IN17" s="204">
        <v>0</v>
      </c>
      <c r="IO17" s="205">
        <v>0</v>
      </c>
      <c r="IP17" s="204">
        <v>0</v>
      </c>
      <c r="IQ17" s="205">
        <v>0</v>
      </c>
      <c r="IR17" s="204">
        <v>0</v>
      </c>
      <c r="IS17" s="205">
        <v>0</v>
      </c>
      <c r="IT17" s="204">
        <v>0</v>
      </c>
      <c r="IU17" s="205">
        <v>0</v>
      </c>
      <c r="IV17" s="204">
        <v>0</v>
      </c>
      <c r="IW17" s="205">
        <v>0</v>
      </c>
      <c r="IX17" s="204">
        <v>0</v>
      </c>
      <c r="IY17" s="205">
        <v>0</v>
      </c>
      <c r="IZ17" s="204">
        <v>0</v>
      </c>
      <c r="JA17" s="205">
        <v>0</v>
      </c>
      <c r="JB17" s="204">
        <v>0</v>
      </c>
      <c r="JC17" s="205">
        <v>0</v>
      </c>
      <c r="JD17" s="204">
        <v>0</v>
      </c>
      <c r="JE17" s="233">
        <v>0</v>
      </c>
      <c r="JF17" s="236">
        <f t="shared" si="0"/>
        <v>18</v>
      </c>
      <c r="JG17" s="235">
        <f t="shared" si="1"/>
        <v>18</v>
      </c>
      <c r="JH17" s="235">
        <f t="shared" si="2"/>
        <v>18</v>
      </c>
      <c r="JI17" s="235">
        <f t="shared" si="3"/>
        <v>18</v>
      </c>
      <c r="JJ17" s="235">
        <f t="shared" si="4"/>
        <v>18</v>
      </c>
      <c r="JK17" s="235">
        <f t="shared" si="5"/>
        <v>18</v>
      </c>
      <c r="JL17" s="235">
        <f t="shared" si="6"/>
        <v>18</v>
      </c>
      <c r="JM17" s="235">
        <f t="shared" si="7"/>
        <v>18</v>
      </c>
      <c r="JN17" s="235">
        <f t="shared" si="8"/>
        <v>18</v>
      </c>
      <c r="JO17" s="235">
        <f t="shared" si="9"/>
        <v>18</v>
      </c>
      <c r="JP17" s="235">
        <f t="shared" si="10"/>
        <v>0</v>
      </c>
      <c r="JQ17" s="235">
        <f t="shared" si="11"/>
        <v>0</v>
      </c>
      <c r="JR17" s="235">
        <f t="shared" si="12"/>
        <v>0</v>
      </c>
      <c r="JS17" s="235">
        <f t="shared" si="13"/>
        <v>0</v>
      </c>
      <c r="JT17" s="235">
        <f t="shared" si="14"/>
        <v>0</v>
      </c>
      <c r="JU17" s="235">
        <f t="shared" si="15"/>
        <v>0</v>
      </c>
      <c r="JV17" s="235">
        <f t="shared" si="16"/>
        <v>0</v>
      </c>
      <c r="JW17" s="235">
        <f t="shared" si="17"/>
        <v>0</v>
      </c>
      <c r="JX17" s="235">
        <f t="shared" si="18"/>
        <v>0</v>
      </c>
      <c r="JY17" s="235">
        <f t="shared" si="19"/>
        <v>0</v>
      </c>
      <c r="JZ17" s="235">
        <f t="shared" si="20"/>
        <v>0</v>
      </c>
      <c r="KA17" s="237">
        <f t="shared" si="21"/>
        <v>0</v>
      </c>
      <c r="KB17" s="248">
        <v>46035</v>
      </c>
      <c r="KC17" s="201">
        <v>1.5782</v>
      </c>
      <c r="KD17" s="201">
        <v>1.5782</v>
      </c>
      <c r="KE17" s="201">
        <v>1.5782</v>
      </c>
      <c r="KF17" s="201">
        <v>1.5782</v>
      </c>
      <c r="KG17" s="201">
        <v>1.5782</v>
      </c>
      <c r="KH17" s="201">
        <v>1.5782</v>
      </c>
      <c r="KI17" s="201">
        <v>1.5782</v>
      </c>
      <c r="KJ17" s="201">
        <v>1.5782</v>
      </c>
      <c r="KK17" s="201">
        <v>1.5782</v>
      </c>
      <c r="KL17" s="201">
        <v>1.5782</v>
      </c>
      <c r="KM17" s="201">
        <v>0</v>
      </c>
      <c r="KN17" s="202">
        <v>0</v>
      </c>
      <c r="KO17" s="202">
        <v>0</v>
      </c>
      <c r="KP17" s="202">
        <v>0</v>
      </c>
      <c r="KQ17" s="202">
        <v>0</v>
      </c>
      <c r="KR17" s="202">
        <v>0</v>
      </c>
      <c r="KS17" s="202">
        <v>0</v>
      </c>
      <c r="KT17" s="202">
        <v>0</v>
      </c>
      <c r="KU17" s="202">
        <v>0</v>
      </c>
      <c r="KV17" s="202">
        <v>0</v>
      </c>
      <c r="KW17" s="202">
        <v>0</v>
      </c>
      <c r="KX17" s="202">
        <v>0</v>
      </c>
      <c r="KY17" s="203">
        <v>15.782000000000004</v>
      </c>
    </row>
    <row r="18" spans="1:311">
      <c r="A18" s="194">
        <v>46036</v>
      </c>
      <c r="B18" s="195"/>
      <c r="C18" s="196"/>
      <c r="D18" s="196"/>
      <c r="E18" s="196"/>
      <c r="F18" s="196"/>
      <c r="G18" s="196"/>
      <c r="H18" s="206">
        <v>1</v>
      </c>
      <c r="I18" s="198">
        <v>0</v>
      </c>
      <c r="J18" s="198">
        <v>0</v>
      </c>
      <c r="K18" s="199">
        <v>0</v>
      </c>
      <c r="L18" s="195"/>
      <c r="M18" s="196"/>
      <c r="N18" s="196"/>
      <c r="O18" s="196"/>
      <c r="P18" s="196"/>
      <c r="Q18" s="196"/>
      <c r="R18" s="206">
        <v>1</v>
      </c>
      <c r="S18" s="198">
        <v>0</v>
      </c>
      <c r="T18" s="198">
        <v>0</v>
      </c>
      <c r="U18" s="199">
        <v>0</v>
      </c>
      <c r="V18" s="195"/>
      <c r="W18" s="196"/>
      <c r="X18" s="196"/>
      <c r="Y18" s="196"/>
      <c r="Z18" s="196"/>
      <c r="AA18" s="196"/>
      <c r="AB18" s="206">
        <v>1</v>
      </c>
      <c r="AC18" s="198">
        <v>0</v>
      </c>
      <c r="AD18" s="198">
        <v>0</v>
      </c>
      <c r="AE18" s="199">
        <v>0</v>
      </c>
      <c r="AF18" s="195"/>
      <c r="AG18" s="196"/>
      <c r="AH18" s="196"/>
      <c r="AI18" s="196"/>
      <c r="AJ18" s="196"/>
      <c r="AK18" s="196"/>
      <c r="AL18" s="206">
        <v>1</v>
      </c>
      <c r="AM18" s="198">
        <v>0</v>
      </c>
      <c r="AN18" s="198">
        <v>0</v>
      </c>
      <c r="AO18" s="199">
        <v>0</v>
      </c>
      <c r="AP18" s="195"/>
      <c r="AQ18" s="196"/>
      <c r="AR18" s="196"/>
      <c r="AS18" s="196"/>
      <c r="AT18" s="196"/>
      <c r="AU18" s="196"/>
      <c r="AV18" s="206">
        <v>1</v>
      </c>
      <c r="AW18" s="198">
        <v>0</v>
      </c>
      <c r="AX18" s="198">
        <v>0</v>
      </c>
      <c r="AY18" s="199">
        <v>0</v>
      </c>
      <c r="AZ18" s="195"/>
      <c r="BA18" s="196"/>
      <c r="BB18" s="196"/>
      <c r="BC18" s="196"/>
      <c r="BD18" s="196"/>
      <c r="BE18" s="196"/>
      <c r="BF18" s="206">
        <v>1</v>
      </c>
      <c r="BG18" s="198">
        <v>0</v>
      </c>
      <c r="BH18" s="198">
        <v>0</v>
      </c>
      <c r="BI18" s="199">
        <v>0</v>
      </c>
      <c r="BJ18" s="195"/>
      <c r="BK18" s="196"/>
      <c r="BL18" s="196"/>
      <c r="BM18" s="196"/>
      <c r="BN18" s="196"/>
      <c r="BO18" s="196"/>
      <c r="BP18" s="206">
        <v>1</v>
      </c>
      <c r="BQ18" s="198">
        <v>0</v>
      </c>
      <c r="BR18" s="198">
        <v>0</v>
      </c>
      <c r="BS18" s="199">
        <v>0</v>
      </c>
      <c r="BT18" s="195"/>
      <c r="BU18" s="196"/>
      <c r="BV18" s="196"/>
      <c r="BW18" s="196"/>
      <c r="BX18" s="196"/>
      <c r="BY18" s="196"/>
      <c r="BZ18" s="206">
        <v>1</v>
      </c>
      <c r="CA18" s="198">
        <v>0</v>
      </c>
      <c r="CB18" s="198">
        <v>0</v>
      </c>
      <c r="CC18" s="199">
        <v>0</v>
      </c>
      <c r="CD18" s="195"/>
      <c r="CE18" s="196"/>
      <c r="CF18" s="196"/>
      <c r="CG18" s="196"/>
      <c r="CH18" s="196"/>
      <c r="CI18" s="196"/>
      <c r="CJ18" s="206">
        <v>1</v>
      </c>
      <c r="CK18" s="198">
        <v>0</v>
      </c>
      <c r="CL18" s="198">
        <v>0</v>
      </c>
      <c r="CM18" s="199">
        <v>0</v>
      </c>
      <c r="CN18" s="195"/>
      <c r="CO18" s="196"/>
      <c r="CP18" s="196"/>
      <c r="CQ18" s="196"/>
      <c r="CR18" s="196"/>
      <c r="CS18" s="196"/>
      <c r="CT18" s="206">
        <v>1</v>
      </c>
      <c r="CU18" s="198">
        <v>0</v>
      </c>
      <c r="CV18" s="198">
        <v>0</v>
      </c>
      <c r="CW18" s="199">
        <v>0</v>
      </c>
      <c r="CX18" s="195">
        <v>0.25</v>
      </c>
      <c r="CY18" s="196"/>
      <c r="CZ18" s="196"/>
      <c r="DA18" s="196"/>
      <c r="DB18" s="196"/>
      <c r="DC18" s="196"/>
      <c r="DD18" s="200">
        <v>0.75</v>
      </c>
      <c r="DE18" s="198">
        <v>18</v>
      </c>
      <c r="DF18" s="198">
        <v>0</v>
      </c>
      <c r="DG18" s="199">
        <v>1</v>
      </c>
      <c r="DH18" s="195">
        <v>0.25</v>
      </c>
      <c r="DI18" s="196"/>
      <c r="DJ18" s="196"/>
      <c r="DK18" s="196"/>
      <c r="DL18" s="196"/>
      <c r="DM18" s="196"/>
      <c r="DN18" s="200">
        <v>0.75</v>
      </c>
      <c r="DO18" s="198">
        <v>18</v>
      </c>
      <c r="DP18" s="198">
        <v>0</v>
      </c>
      <c r="DQ18" s="199">
        <v>1</v>
      </c>
      <c r="DR18" s="195">
        <v>0.25</v>
      </c>
      <c r="DS18" s="196"/>
      <c r="DT18" s="196"/>
      <c r="DU18" s="196"/>
      <c r="DV18" s="196"/>
      <c r="DW18" s="196"/>
      <c r="DX18" s="200">
        <v>0.75</v>
      </c>
      <c r="DY18" s="198">
        <v>18</v>
      </c>
      <c r="DZ18" s="198">
        <v>0</v>
      </c>
      <c r="EA18" s="199">
        <v>1</v>
      </c>
      <c r="EB18" s="195"/>
      <c r="EC18" s="196"/>
      <c r="ED18" s="196"/>
      <c r="EE18" s="196"/>
      <c r="EF18" s="196"/>
      <c r="EG18" s="196"/>
      <c r="EH18" s="200">
        <v>0</v>
      </c>
      <c r="EI18" s="198">
        <v>0</v>
      </c>
      <c r="EJ18" s="198">
        <v>0</v>
      </c>
      <c r="EK18" s="199">
        <v>0</v>
      </c>
      <c r="EL18" s="195"/>
      <c r="EM18" s="196"/>
      <c r="EN18" s="196"/>
      <c r="EO18" s="196"/>
      <c r="EP18" s="196"/>
      <c r="EQ18" s="196"/>
      <c r="ER18" s="200">
        <v>0</v>
      </c>
      <c r="ES18" s="198">
        <v>0</v>
      </c>
      <c r="ET18" s="198">
        <v>0</v>
      </c>
      <c r="EU18" s="199">
        <v>0</v>
      </c>
      <c r="EV18" s="195"/>
      <c r="EW18" s="196"/>
      <c r="EX18" s="196"/>
      <c r="EY18" s="196"/>
      <c r="EZ18" s="196"/>
      <c r="FA18" s="196"/>
      <c r="FB18" s="200">
        <v>0</v>
      </c>
      <c r="FC18" s="198">
        <v>0</v>
      </c>
      <c r="FD18" s="198">
        <v>0</v>
      </c>
      <c r="FE18" s="199">
        <v>0</v>
      </c>
      <c r="FF18" s="195"/>
      <c r="FG18" s="196"/>
      <c r="FH18" s="196"/>
      <c r="FI18" s="196"/>
      <c r="FJ18" s="196"/>
      <c r="FK18" s="196"/>
      <c r="FL18" s="200">
        <v>0</v>
      </c>
      <c r="FM18" s="198">
        <v>0</v>
      </c>
      <c r="FN18" s="198">
        <v>0</v>
      </c>
      <c r="FO18" s="199">
        <v>0</v>
      </c>
      <c r="FP18" s="195"/>
      <c r="FQ18" s="196"/>
      <c r="FR18" s="196"/>
      <c r="FS18" s="196"/>
      <c r="FT18" s="196"/>
      <c r="FU18" s="196"/>
      <c r="FV18" s="200">
        <v>0</v>
      </c>
      <c r="FW18" s="198">
        <v>0</v>
      </c>
      <c r="FX18" s="198">
        <v>0</v>
      </c>
      <c r="FY18" s="199">
        <v>0</v>
      </c>
      <c r="FZ18" s="195"/>
      <c r="GA18" s="196"/>
      <c r="GB18" s="196"/>
      <c r="GC18" s="196"/>
      <c r="GD18" s="196"/>
      <c r="GE18" s="196"/>
      <c r="GF18" s="200">
        <v>0</v>
      </c>
      <c r="GG18" s="198">
        <v>0</v>
      </c>
      <c r="GH18" s="198">
        <v>0</v>
      </c>
      <c r="GI18" s="199">
        <v>0</v>
      </c>
      <c r="GJ18" s="195"/>
      <c r="GK18" s="196"/>
      <c r="GL18" s="196"/>
      <c r="GM18" s="196"/>
      <c r="GN18" s="196"/>
      <c r="GO18" s="196"/>
      <c r="GP18" s="200">
        <v>0</v>
      </c>
      <c r="GQ18" s="198">
        <v>0</v>
      </c>
      <c r="GR18" s="198">
        <v>0</v>
      </c>
      <c r="GS18" s="199">
        <v>0</v>
      </c>
      <c r="GT18" s="195"/>
      <c r="GU18" s="196"/>
      <c r="GV18" s="196"/>
      <c r="GW18" s="196"/>
      <c r="GX18" s="196"/>
      <c r="GY18" s="196"/>
      <c r="GZ18" s="200">
        <v>0</v>
      </c>
      <c r="HA18" s="198">
        <v>0</v>
      </c>
      <c r="HB18" s="198">
        <v>0</v>
      </c>
      <c r="HC18" s="199">
        <v>0</v>
      </c>
      <c r="HD18" s="195"/>
      <c r="HE18" s="196"/>
      <c r="HF18" s="196"/>
      <c r="HG18" s="196"/>
      <c r="HH18" s="196"/>
      <c r="HI18" s="196"/>
      <c r="HJ18" s="200">
        <v>0</v>
      </c>
      <c r="HK18" s="198">
        <v>0</v>
      </c>
      <c r="HL18" s="198">
        <v>0</v>
      </c>
      <c r="HM18" s="199">
        <v>0</v>
      </c>
      <c r="HN18" s="204">
        <v>1</v>
      </c>
      <c r="HO18" s="205">
        <v>0</v>
      </c>
      <c r="HP18" s="204">
        <v>1</v>
      </c>
      <c r="HQ18" s="205">
        <v>0</v>
      </c>
      <c r="HR18" s="204">
        <v>1</v>
      </c>
      <c r="HS18" s="205">
        <v>0</v>
      </c>
      <c r="HT18" s="204">
        <v>1</v>
      </c>
      <c r="HU18" s="205">
        <v>0</v>
      </c>
      <c r="HV18" s="204">
        <v>1</v>
      </c>
      <c r="HW18" s="205">
        <v>0</v>
      </c>
      <c r="HX18" s="204">
        <v>1</v>
      </c>
      <c r="HY18" s="205">
        <v>0</v>
      </c>
      <c r="HZ18" s="204">
        <v>1</v>
      </c>
      <c r="IA18" s="205">
        <v>0</v>
      </c>
      <c r="IB18" s="204">
        <v>1</v>
      </c>
      <c r="IC18" s="205">
        <v>0</v>
      </c>
      <c r="ID18" s="204">
        <v>1</v>
      </c>
      <c r="IE18" s="205">
        <v>0</v>
      </c>
      <c r="IF18" s="204">
        <v>1</v>
      </c>
      <c r="IG18" s="205">
        <v>0</v>
      </c>
      <c r="IH18" s="204">
        <v>0.75</v>
      </c>
      <c r="II18" s="205">
        <v>1</v>
      </c>
      <c r="IJ18" s="204">
        <v>0.75</v>
      </c>
      <c r="IK18" s="205">
        <v>1</v>
      </c>
      <c r="IL18" s="204">
        <v>0.75</v>
      </c>
      <c r="IM18" s="205">
        <v>1</v>
      </c>
      <c r="IN18" s="204">
        <v>0</v>
      </c>
      <c r="IO18" s="205">
        <v>0</v>
      </c>
      <c r="IP18" s="204">
        <v>0</v>
      </c>
      <c r="IQ18" s="205">
        <v>0</v>
      </c>
      <c r="IR18" s="204">
        <v>0</v>
      </c>
      <c r="IS18" s="205">
        <v>0</v>
      </c>
      <c r="IT18" s="204">
        <v>0</v>
      </c>
      <c r="IU18" s="205">
        <v>0</v>
      </c>
      <c r="IV18" s="204">
        <v>0</v>
      </c>
      <c r="IW18" s="205">
        <v>0</v>
      </c>
      <c r="IX18" s="204">
        <v>0</v>
      </c>
      <c r="IY18" s="205">
        <v>0</v>
      </c>
      <c r="IZ18" s="204">
        <v>0</v>
      </c>
      <c r="JA18" s="205">
        <v>0</v>
      </c>
      <c r="JB18" s="204">
        <v>0</v>
      </c>
      <c r="JC18" s="205">
        <v>0</v>
      </c>
      <c r="JD18" s="204">
        <v>0</v>
      </c>
      <c r="JE18" s="233">
        <v>0</v>
      </c>
      <c r="JF18" s="236">
        <f t="shared" si="0"/>
        <v>24</v>
      </c>
      <c r="JG18" s="235">
        <f t="shared" si="1"/>
        <v>24</v>
      </c>
      <c r="JH18" s="235">
        <f t="shared" si="2"/>
        <v>24</v>
      </c>
      <c r="JI18" s="235">
        <f t="shared" si="3"/>
        <v>24</v>
      </c>
      <c r="JJ18" s="235">
        <f t="shared" si="4"/>
        <v>24</v>
      </c>
      <c r="JK18" s="235">
        <f t="shared" si="5"/>
        <v>24</v>
      </c>
      <c r="JL18" s="235">
        <f t="shared" si="6"/>
        <v>24</v>
      </c>
      <c r="JM18" s="235">
        <f t="shared" si="7"/>
        <v>24</v>
      </c>
      <c r="JN18" s="235">
        <f t="shared" si="8"/>
        <v>24</v>
      </c>
      <c r="JO18" s="235">
        <f t="shared" si="9"/>
        <v>24</v>
      </c>
      <c r="JP18" s="235">
        <f t="shared" si="10"/>
        <v>18</v>
      </c>
      <c r="JQ18" s="235">
        <f t="shared" si="11"/>
        <v>18</v>
      </c>
      <c r="JR18" s="235">
        <f t="shared" si="12"/>
        <v>18</v>
      </c>
      <c r="JS18" s="235">
        <f t="shared" si="13"/>
        <v>0</v>
      </c>
      <c r="JT18" s="235">
        <f t="shared" si="14"/>
        <v>0</v>
      </c>
      <c r="JU18" s="235">
        <f t="shared" si="15"/>
        <v>0</v>
      </c>
      <c r="JV18" s="235">
        <f t="shared" si="16"/>
        <v>0</v>
      </c>
      <c r="JW18" s="235">
        <f t="shared" si="17"/>
        <v>0</v>
      </c>
      <c r="JX18" s="235">
        <f t="shared" si="18"/>
        <v>0</v>
      </c>
      <c r="JY18" s="235">
        <f t="shared" si="19"/>
        <v>0</v>
      </c>
      <c r="JZ18" s="235">
        <f t="shared" si="20"/>
        <v>0</v>
      </c>
      <c r="KA18" s="237">
        <f t="shared" si="21"/>
        <v>0</v>
      </c>
      <c r="KB18" s="248">
        <v>46036</v>
      </c>
      <c r="KC18" s="201">
        <v>1.018041</v>
      </c>
      <c r="KD18" s="201">
        <v>1.018041</v>
      </c>
      <c r="KE18" s="201">
        <v>1.018041</v>
      </c>
      <c r="KF18" s="201">
        <v>1.018041</v>
      </c>
      <c r="KG18" s="201">
        <v>1.018041</v>
      </c>
      <c r="KH18" s="201">
        <v>1.018041</v>
      </c>
      <c r="KI18" s="201">
        <v>1.018041</v>
      </c>
      <c r="KJ18" s="201">
        <v>1.018041</v>
      </c>
      <c r="KK18" s="201">
        <v>1.018041</v>
      </c>
      <c r="KL18" s="201">
        <v>1.018041</v>
      </c>
      <c r="KM18" s="201">
        <v>0.76352999999999993</v>
      </c>
      <c r="KN18" s="201">
        <v>0.76352999999999993</v>
      </c>
      <c r="KO18" s="201">
        <v>0.76352999999999993</v>
      </c>
      <c r="KP18" s="202">
        <v>0</v>
      </c>
      <c r="KQ18" s="202">
        <v>0</v>
      </c>
      <c r="KR18" s="202">
        <v>0</v>
      </c>
      <c r="KS18" s="202">
        <v>0</v>
      </c>
      <c r="KT18" s="202">
        <v>0</v>
      </c>
      <c r="KU18" s="202">
        <v>0</v>
      </c>
      <c r="KV18" s="202">
        <v>0</v>
      </c>
      <c r="KW18" s="202">
        <v>0</v>
      </c>
      <c r="KX18" s="202">
        <v>0</v>
      </c>
      <c r="KY18" s="203">
        <v>12.470999999999998</v>
      </c>
    </row>
    <row r="19" spans="1:311">
      <c r="A19" s="194">
        <v>46037</v>
      </c>
      <c r="B19" s="195"/>
      <c r="C19" s="196"/>
      <c r="D19" s="196"/>
      <c r="E19" s="196"/>
      <c r="F19" s="196"/>
      <c r="G19" s="196"/>
      <c r="H19" s="206">
        <v>1</v>
      </c>
      <c r="I19" s="198">
        <v>0</v>
      </c>
      <c r="J19" s="198">
        <v>0</v>
      </c>
      <c r="K19" s="199">
        <v>0</v>
      </c>
      <c r="L19" s="195"/>
      <c r="M19" s="196"/>
      <c r="N19" s="196"/>
      <c r="O19" s="196"/>
      <c r="P19" s="196"/>
      <c r="Q19" s="196"/>
      <c r="R19" s="206">
        <v>1</v>
      </c>
      <c r="S19" s="198">
        <v>0</v>
      </c>
      <c r="T19" s="198">
        <v>0</v>
      </c>
      <c r="U19" s="199">
        <v>0</v>
      </c>
      <c r="V19" s="195"/>
      <c r="W19" s="196"/>
      <c r="X19" s="196"/>
      <c r="Y19" s="196"/>
      <c r="Z19" s="196"/>
      <c r="AA19" s="196"/>
      <c r="AB19" s="206">
        <v>1</v>
      </c>
      <c r="AC19" s="198">
        <v>0</v>
      </c>
      <c r="AD19" s="198">
        <v>0</v>
      </c>
      <c r="AE19" s="199">
        <v>0</v>
      </c>
      <c r="AF19" s="195"/>
      <c r="AG19" s="196"/>
      <c r="AH19" s="196"/>
      <c r="AI19" s="196"/>
      <c r="AJ19" s="196"/>
      <c r="AK19" s="196"/>
      <c r="AL19" s="206">
        <v>1</v>
      </c>
      <c r="AM19" s="198">
        <v>0</v>
      </c>
      <c r="AN19" s="198">
        <v>0</v>
      </c>
      <c r="AO19" s="199">
        <v>0</v>
      </c>
      <c r="AP19" s="195"/>
      <c r="AQ19" s="196"/>
      <c r="AR19" s="196"/>
      <c r="AS19" s="196"/>
      <c r="AT19" s="196"/>
      <c r="AU19" s="196"/>
      <c r="AV19" s="206">
        <v>1</v>
      </c>
      <c r="AW19" s="198">
        <v>0</v>
      </c>
      <c r="AX19" s="198">
        <v>0</v>
      </c>
      <c r="AY19" s="199">
        <v>0</v>
      </c>
      <c r="AZ19" s="195"/>
      <c r="BA19" s="196"/>
      <c r="BB19" s="196"/>
      <c r="BC19" s="196"/>
      <c r="BD19" s="196"/>
      <c r="BE19" s="196"/>
      <c r="BF19" s="206">
        <v>1</v>
      </c>
      <c r="BG19" s="198">
        <v>0</v>
      </c>
      <c r="BH19" s="198">
        <v>0</v>
      </c>
      <c r="BI19" s="199">
        <v>0</v>
      </c>
      <c r="BJ19" s="195"/>
      <c r="BK19" s="196"/>
      <c r="BL19" s="196"/>
      <c r="BM19" s="196"/>
      <c r="BN19" s="196"/>
      <c r="BO19" s="196"/>
      <c r="BP19" s="206">
        <v>1</v>
      </c>
      <c r="BQ19" s="198">
        <v>0</v>
      </c>
      <c r="BR19" s="198">
        <v>0</v>
      </c>
      <c r="BS19" s="199">
        <v>0</v>
      </c>
      <c r="BT19" s="195"/>
      <c r="BU19" s="196"/>
      <c r="BV19" s="196"/>
      <c r="BW19" s="196"/>
      <c r="BX19" s="196"/>
      <c r="BY19" s="196"/>
      <c r="BZ19" s="206">
        <v>1</v>
      </c>
      <c r="CA19" s="198">
        <v>0</v>
      </c>
      <c r="CB19" s="198">
        <v>0</v>
      </c>
      <c r="CC19" s="199">
        <v>0</v>
      </c>
      <c r="CD19" s="195"/>
      <c r="CE19" s="196"/>
      <c r="CF19" s="196"/>
      <c r="CG19" s="196"/>
      <c r="CH19" s="196"/>
      <c r="CI19" s="196"/>
      <c r="CJ19" s="206">
        <v>1</v>
      </c>
      <c r="CK19" s="198">
        <v>0</v>
      </c>
      <c r="CL19" s="198">
        <v>0</v>
      </c>
      <c r="CM19" s="199">
        <v>0</v>
      </c>
      <c r="CN19" s="195"/>
      <c r="CO19" s="196"/>
      <c r="CP19" s="196"/>
      <c r="CQ19" s="196"/>
      <c r="CR19" s="196"/>
      <c r="CS19" s="196"/>
      <c r="CT19" s="206">
        <v>1</v>
      </c>
      <c r="CU19" s="198">
        <v>0</v>
      </c>
      <c r="CV19" s="198">
        <v>0</v>
      </c>
      <c r="CW19" s="199">
        <v>0</v>
      </c>
      <c r="CX19" s="195"/>
      <c r="CY19" s="196"/>
      <c r="CZ19" s="196"/>
      <c r="DA19" s="196"/>
      <c r="DB19" s="196"/>
      <c r="DC19" s="196"/>
      <c r="DD19" s="206">
        <v>1</v>
      </c>
      <c r="DE19" s="198">
        <v>0</v>
      </c>
      <c r="DF19" s="198">
        <v>0</v>
      </c>
      <c r="DG19" s="199">
        <v>0</v>
      </c>
      <c r="DH19" s="195"/>
      <c r="DI19" s="196"/>
      <c r="DJ19" s="196"/>
      <c r="DK19" s="196"/>
      <c r="DL19" s="196"/>
      <c r="DM19" s="196"/>
      <c r="DN19" s="206">
        <v>1</v>
      </c>
      <c r="DO19" s="198">
        <v>0</v>
      </c>
      <c r="DP19" s="198">
        <v>0</v>
      </c>
      <c r="DQ19" s="199">
        <v>0</v>
      </c>
      <c r="DR19" s="195"/>
      <c r="DS19" s="196"/>
      <c r="DT19" s="196"/>
      <c r="DU19" s="196"/>
      <c r="DV19" s="196"/>
      <c r="DW19" s="196"/>
      <c r="DX19" s="206">
        <v>1</v>
      </c>
      <c r="DY19" s="198">
        <v>0</v>
      </c>
      <c r="DZ19" s="198">
        <v>0</v>
      </c>
      <c r="EA19" s="199">
        <v>0</v>
      </c>
      <c r="EB19" s="195">
        <v>0.25</v>
      </c>
      <c r="EC19" s="196"/>
      <c r="ED19" s="196"/>
      <c r="EE19" s="196"/>
      <c r="EF19" s="196"/>
      <c r="EG19" s="196"/>
      <c r="EH19" s="200">
        <v>0.75</v>
      </c>
      <c r="EI19" s="198">
        <v>18</v>
      </c>
      <c r="EJ19" s="198">
        <v>0</v>
      </c>
      <c r="EK19" s="199">
        <v>1</v>
      </c>
      <c r="EL19" s="195">
        <v>0.25</v>
      </c>
      <c r="EM19" s="196"/>
      <c r="EN19" s="196"/>
      <c r="EO19" s="196"/>
      <c r="EP19" s="196"/>
      <c r="EQ19" s="196"/>
      <c r="ER19" s="200">
        <v>0.75</v>
      </c>
      <c r="ES19" s="198">
        <v>18</v>
      </c>
      <c r="ET19" s="198">
        <v>0</v>
      </c>
      <c r="EU19" s="199">
        <v>1</v>
      </c>
      <c r="EV19" s="195">
        <v>0.25</v>
      </c>
      <c r="EW19" s="196"/>
      <c r="EX19" s="196"/>
      <c r="EY19" s="196"/>
      <c r="EZ19" s="196"/>
      <c r="FA19" s="196"/>
      <c r="FB19" s="200">
        <v>0.75</v>
      </c>
      <c r="FC19" s="198">
        <v>18</v>
      </c>
      <c r="FD19" s="198">
        <v>0</v>
      </c>
      <c r="FE19" s="199">
        <v>1</v>
      </c>
      <c r="FF19" s="195"/>
      <c r="FG19" s="196"/>
      <c r="FH19" s="196"/>
      <c r="FI19" s="196"/>
      <c r="FJ19" s="196"/>
      <c r="FK19" s="196"/>
      <c r="FL19" s="200">
        <v>0</v>
      </c>
      <c r="FM19" s="198">
        <v>0</v>
      </c>
      <c r="FN19" s="198">
        <v>0</v>
      </c>
      <c r="FO19" s="199">
        <v>0</v>
      </c>
      <c r="FP19" s="195"/>
      <c r="FQ19" s="196"/>
      <c r="FR19" s="196"/>
      <c r="FS19" s="196"/>
      <c r="FT19" s="196"/>
      <c r="FU19" s="196"/>
      <c r="FV19" s="200">
        <v>0</v>
      </c>
      <c r="FW19" s="198">
        <v>0</v>
      </c>
      <c r="FX19" s="198">
        <v>0</v>
      </c>
      <c r="FY19" s="199">
        <v>0</v>
      </c>
      <c r="FZ19" s="195"/>
      <c r="GA19" s="196"/>
      <c r="GB19" s="196"/>
      <c r="GC19" s="196"/>
      <c r="GD19" s="196"/>
      <c r="GE19" s="196"/>
      <c r="GF19" s="200">
        <v>0</v>
      </c>
      <c r="GG19" s="198">
        <v>0</v>
      </c>
      <c r="GH19" s="198">
        <v>0</v>
      </c>
      <c r="GI19" s="199">
        <v>0</v>
      </c>
      <c r="GJ19" s="195"/>
      <c r="GK19" s="196"/>
      <c r="GL19" s="196"/>
      <c r="GM19" s="196"/>
      <c r="GN19" s="196"/>
      <c r="GO19" s="196"/>
      <c r="GP19" s="200">
        <v>0</v>
      </c>
      <c r="GQ19" s="198">
        <v>0</v>
      </c>
      <c r="GR19" s="198">
        <v>0</v>
      </c>
      <c r="GS19" s="199">
        <v>0</v>
      </c>
      <c r="GT19" s="195"/>
      <c r="GU19" s="196"/>
      <c r="GV19" s="196"/>
      <c r="GW19" s="196"/>
      <c r="GX19" s="196"/>
      <c r="GY19" s="196"/>
      <c r="GZ19" s="200">
        <v>0</v>
      </c>
      <c r="HA19" s="198">
        <v>0</v>
      </c>
      <c r="HB19" s="198">
        <v>0</v>
      </c>
      <c r="HC19" s="199">
        <v>0</v>
      </c>
      <c r="HD19" s="195"/>
      <c r="HE19" s="196"/>
      <c r="HF19" s="196"/>
      <c r="HG19" s="196"/>
      <c r="HH19" s="196"/>
      <c r="HI19" s="196"/>
      <c r="HJ19" s="200">
        <v>0</v>
      </c>
      <c r="HK19" s="198">
        <v>0</v>
      </c>
      <c r="HL19" s="198">
        <v>0</v>
      </c>
      <c r="HM19" s="199">
        <v>0</v>
      </c>
      <c r="HN19" s="204">
        <v>1</v>
      </c>
      <c r="HO19" s="205">
        <v>0</v>
      </c>
      <c r="HP19" s="204">
        <v>1</v>
      </c>
      <c r="HQ19" s="205">
        <v>0</v>
      </c>
      <c r="HR19" s="204">
        <v>1</v>
      </c>
      <c r="HS19" s="205">
        <v>0</v>
      </c>
      <c r="HT19" s="204">
        <v>1</v>
      </c>
      <c r="HU19" s="205">
        <v>0</v>
      </c>
      <c r="HV19" s="204">
        <v>1</v>
      </c>
      <c r="HW19" s="205">
        <v>0</v>
      </c>
      <c r="HX19" s="204">
        <v>1</v>
      </c>
      <c r="HY19" s="205">
        <v>0</v>
      </c>
      <c r="HZ19" s="204">
        <v>1</v>
      </c>
      <c r="IA19" s="205">
        <v>0</v>
      </c>
      <c r="IB19" s="204">
        <v>1</v>
      </c>
      <c r="IC19" s="205">
        <v>0</v>
      </c>
      <c r="ID19" s="204">
        <v>1</v>
      </c>
      <c r="IE19" s="205">
        <v>0</v>
      </c>
      <c r="IF19" s="204">
        <v>1</v>
      </c>
      <c r="IG19" s="205">
        <v>0</v>
      </c>
      <c r="IH19" s="204">
        <v>1</v>
      </c>
      <c r="II19" s="205">
        <v>0</v>
      </c>
      <c r="IJ19" s="204">
        <v>1</v>
      </c>
      <c r="IK19" s="205">
        <v>0</v>
      </c>
      <c r="IL19" s="204">
        <v>1</v>
      </c>
      <c r="IM19" s="205">
        <v>0</v>
      </c>
      <c r="IN19" s="204">
        <v>0.75</v>
      </c>
      <c r="IO19" s="205">
        <v>1</v>
      </c>
      <c r="IP19" s="204">
        <v>0.75</v>
      </c>
      <c r="IQ19" s="205">
        <v>1</v>
      </c>
      <c r="IR19" s="204">
        <v>0.75</v>
      </c>
      <c r="IS19" s="205">
        <v>1</v>
      </c>
      <c r="IT19" s="204">
        <v>0</v>
      </c>
      <c r="IU19" s="205">
        <v>0</v>
      </c>
      <c r="IV19" s="204">
        <v>0</v>
      </c>
      <c r="IW19" s="205">
        <v>0</v>
      </c>
      <c r="IX19" s="204">
        <v>0</v>
      </c>
      <c r="IY19" s="205">
        <v>0</v>
      </c>
      <c r="IZ19" s="204">
        <v>0</v>
      </c>
      <c r="JA19" s="205">
        <v>0</v>
      </c>
      <c r="JB19" s="204">
        <v>0</v>
      </c>
      <c r="JC19" s="205">
        <v>0</v>
      </c>
      <c r="JD19" s="204">
        <v>0</v>
      </c>
      <c r="JE19" s="233">
        <v>0</v>
      </c>
      <c r="JF19" s="236">
        <f t="shared" si="0"/>
        <v>24</v>
      </c>
      <c r="JG19" s="235">
        <f t="shared" si="1"/>
        <v>24</v>
      </c>
      <c r="JH19" s="235">
        <f t="shared" si="2"/>
        <v>24</v>
      </c>
      <c r="JI19" s="235">
        <f t="shared" si="3"/>
        <v>24</v>
      </c>
      <c r="JJ19" s="235">
        <f t="shared" si="4"/>
        <v>24</v>
      </c>
      <c r="JK19" s="235">
        <f t="shared" si="5"/>
        <v>24</v>
      </c>
      <c r="JL19" s="235">
        <f t="shared" si="6"/>
        <v>24</v>
      </c>
      <c r="JM19" s="235">
        <f t="shared" si="7"/>
        <v>24</v>
      </c>
      <c r="JN19" s="235">
        <f t="shared" si="8"/>
        <v>24</v>
      </c>
      <c r="JO19" s="235">
        <f t="shared" si="9"/>
        <v>24</v>
      </c>
      <c r="JP19" s="235">
        <f t="shared" si="10"/>
        <v>24</v>
      </c>
      <c r="JQ19" s="235">
        <f t="shared" si="11"/>
        <v>24</v>
      </c>
      <c r="JR19" s="235">
        <f t="shared" si="12"/>
        <v>24</v>
      </c>
      <c r="JS19" s="235">
        <f t="shared" si="13"/>
        <v>18</v>
      </c>
      <c r="JT19" s="235">
        <f t="shared" si="14"/>
        <v>18</v>
      </c>
      <c r="JU19" s="235">
        <f t="shared" si="15"/>
        <v>18</v>
      </c>
      <c r="JV19" s="235">
        <f t="shared" si="16"/>
        <v>0</v>
      </c>
      <c r="JW19" s="235">
        <f t="shared" si="17"/>
        <v>0</v>
      </c>
      <c r="JX19" s="235">
        <f t="shared" si="18"/>
        <v>0</v>
      </c>
      <c r="JY19" s="235">
        <f t="shared" si="19"/>
        <v>0</v>
      </c>
      <c r="JZ19" s="235">
        <f t="shared" si="20"/>
        <v>0</v>
      </c>
      <c r="KA19" s="237">
        <f t="shared" si="21"/>
        <v>0</v>
      </c>
      <c r="KB19" s="248">
        <v>46037</v>
      </c>
      <c r="KC19" s="201">
        <v>0.9466230769230769</v>
      </c>
      <c r="KD19" s="201">
        <v>0.9466230769230769</v>
      </c>
      <c r="KE19" s="201">
        <v>0.9466230769230769</v>
      </c>
      <c r="KF19" s="201">
        <v>0.9466230769230769</v>
      </c>
      <c r="KG19" s="201">
        <v>0.9466230769230769</v>
      </c>
      <c r="KH19" s="201">
        <v>0.9466230769230769</v>
      </c>
      <c r="KI19" s="201">
        <v>0.9466230769230769</v>
      </c>
      <c r="KJ19" s="201">
        <v>0.9466230769230769</v>
      </c>
      <c r="KK19" s="201">
        <v>0.9466230769230769</v>
      </c>
      <c r="KL19" s="201">
        <v>0.9466230769230769</v>
      </c>
      <c r="KM19" s="201">
        <v>0.9466230769230769</v>
      </c>
      <c r="KN19" s="201">
        <v>0.9466230769230769</v>
      </c>
      <c r="KO19" s="201">
        <v>0.9466230769230769</v>
      </c>
      <c r="KP19" s="201">
        <v>0.70986666666666665</v>
      </c>
      <c r="KQ19" s="201">
        <v>0.70986666666666665</v>
      </c>
      <c r="KR19" s="201">
        <v>0.70986666666666665</v>
      </c>
      <c r="KS19" s="202">
        <v>0</v>
      </c>
      <c r="KT19" s="202">
        <v>0</v>
      </c>
      <c r="KU19" s="202">
        <v>0</v>
      </c>
      <c r="KV19" s="202">
        <v>0</v>
      </c>
      <c r="KW19" s="202">
        <v>0</v>
      </c>
      <c r="KX19" s="202">
        <v>0</v>
      </c>
      <c r="KY19" s="203">
        <v>14.435699999999997</v>
      </c>
    </row>
    <row r="20" spans="1:311">
      <c r="A20" s="194">
        <v>46038</v>
      </c>
      <c r="B20" s="195"/>
      <c r="C20" s="196"/>
      <c r="D20" s="196"/>
      <c r="E20" s="196"/>
      <c r="F20" s="196"/>
      <c r="G20" s="196"/>
      <c r="H20" s="206">
        <v>1</v>
      </c>
      <c r="I20" s="198">
        <v>0</v>
      </c>
      <c r="J20" s="198">
        <v>0</v>
      </c>
      <c r="K20" s="199">
        <v>0</v>
      </c>
      <c r="L20" s="195"/>
      <c r="M20" s="196"/>
      <c r="N20" s="196"/>
      <c r="O20" s="196"/>
      <c r="P20" s="196"/>
      <c r="Q20" s="196"/>
      <c r="R20" s="206">
        <v>1</v>
      </c>
      <c r="S20" s="198">
        <v>0</v>
      </c>
      <c r="T20" s="198">
        <v>0</v>
      </c>
      <c r="U20" s="199">
        <v>0</v>
      </c>
      <c r="V20" s="195"/>
      <c r="W20" s="196"/>
      <c r="X20" s="196"/>
      <c r="Y20" s="196"/>
      <c r="Z20" s="196"/>
      <c r="AA20" s="196"/>
      <c r="AB20" s="206">
        <v>1</v>
      </c>
      <c r="AC20" s="198">
        <v>0</v>
      </c>
      <c r="AD20" s="198">
        <v>0</v>
      </c>
      <c r="AE20" s="199">
        <v>0</v>
      </c>
      <c r="AF20" s="195"/>
      <c r="AG20" s="196"/>
      <c r="AH20" s="196"/>
      <c r="AI20" s="196"/>
      <c r="AJ20" s="196"/>
      <c r="AK20" s="196"/>
      <c r="AL20" s="206">
        <v>1</v>
      </c>
      <c r="AM20" s="198">
        <v>0</v>
      </c>
      <c r="AN20" s="198">
        <v>0</v>
      </c>
      <c r="AO20" s="199">
        <v>0</v>
      </c>
      <c r="AP20" s="195"/>
      <c r="AQ20" s="196"/>
      <c r="AR20" s="196"/>
      <c r="AS20" s="196"/>
      <c r="AT20" s="196"/>
      <c r="AU20" s="196"/>
      <c r="AV20" s="206">
        <v>1</v>
      </c>
      <c r="AW20" s="198">
        <v>0</v>
      </c>
      <c r="AX20" s="198">
        <v>0</v>
      </c>
      <c r="AY20" s="199">
        <v>0</v>
      </c>
      <c r="AZ20" s="195"/>
      <c r="BA20" s="196"/>
      <c r="BB20" s="196"/>
      <c r="BC20" s="196"/>
      <c r="BD20" s="196"/>
      <c r="BE20" s="196"/>
      <c r="BF20" s="206">
        <v>1</v>
      </c>
      <c r="BG20" s="198">
        <v>0</v>
      </c>
      <c r="BH20" s="198">
        <v>0</v>
      </c>
      <c r="BI20" s="199">
        <v>0</v>
      </c>
      <c r="BJ20" s="195"/>
      <c r="BK20" s="196"/>
      <c r="BL20" s="196"/>
      <c r="BM20" s="196"/>
      <c r="BN20" s="196"/>
      <c r="BO20" s="196"/>
      <c r="BP20" s="206">
        <v>1</v>
      </c>
      <c r="BQ20" s="198">
        <v>0</v>
      </c>
      <c r="BR20" s="198">
        <v>0</v>
      </c>
      <c r="BS20" s="199">
        <v>0</v>
      </c>
      <c r="BT20" s="195"/>
      <c r="BU20" s="196"/>
      <c r="BV20" s="196"/>
      <c r="BW20" s="196"/>
      <c r="BX20" s="196"/>
      <c r="BY20" s="196"/>
      <c r="BZ20" s="206">
        <v>1</v>
      </c>
      <c r="CA20" s="198">
        <v>0</v>
      </c>
      <c r="CB20" s="198">
        <v>0</v>
      </c>
      <c r="CC20" s="199">
        <v>0</v>
      </c>
      <c r="CD20" s="195"/>
      <c r="CE20" s="196"/>
      <c r="CF20" s="196"/>
      <c r="CG20" s="196"/>
      <c r="CH20" s="196"/>
      <c r="CI20" s="196"/>
      <c r="CJ20" s="206">
        <v>1</v>
      </c>
      <c r="CK20" s="198">
        <v>0</v>
      </c>
      <c r="CL20" s="198">
        <v>0</v>
      </c>
      <c r="CM20" s="199">
        <v>0</v>
      </c>
      <c r="CN20" s="195"/>
      <c r="CO20" s="196"/>
      <c r="CP20" s="196"/>
      <c r="CQ20" s="196"/>
      <c r="CR20" s="196"/>
      <c r="CS20" s="196"/>
      <c r="CT20" s="206">
        <v>1</v>
      </c>
      <c r="CU20" s="198">
        <v>0</v>
      </c>
      <c r="CV20" s="198">
        <v>0</v>
      </c>
      <c r="CW20" s="199">
        <v>0</v>
      </c>
      <c r="CX20" s="195"/>
      <c r="CY20" s="196"/>
      <c r="CZ20" s="196"/>
      <c r="DA20" s="196"/>
      <c r="DB20" s="196"/>
      <c r="DC20" s="196"/>
      <c r="DD20" s="206">
        <v>1</v>
      </c>
      <c r="DE20" s="198">
        <v>0</v>
      </c>
      <c r="DF20" s="198">
        <v>0</v>
      </c>
      <c r="DG20" s="199">
        <v>0</v>
      </c>
      <c r="DH20" s="195"/>
      <c r="DI20" s="196"/>
      <c r="DJ20" s="196"/>
      <c r="DK20" s="196"/>
      <c r="DL20" s="196"/>
      <c r="DM20" s="196"/>
      <c r="DN20" s="206">
        <v>1</v>
      </c>
      <c r="DO20" s="198">
        <v>0</v>
      </c>
      <c r="DP20" s="198">
        <v>0</v>
      </c>
      <c r="DQ20" s="199">
        <v>0</v>
      </c>
      <c r="DR20" s="195"/>
      <c r="DS20" s="196"/>
      <c r="DT20" s="196"/>
      <c r="DU20" s="196"/>
      <c r="DV20" s="196"/>
      <c r="DW20" s="196"/>
      <c r="DX20" s="206">
        <v>1</v>
      </c>
      <c r="DY20" s="198">
        <v>0</v>
      </c>
      <c r="DZ20" s="198">
        <v>0</v>
      </c>
      <c r="EA20" s="199">
        <v>0</v>
      </c>
      <c r="EB20" s="195"/>
      <c r="EC20" s="196"/>
      <c r="ED20" s="196"/>
      <c r="EE20" s="196"/>
      <c r="EF20" s="196"/>
      <c r="EG20" s="196"/>
      <c r="EH20" s="206">
        <v>1</v>
      </c>
      <c r="EI20" s="198">
        <v>0</v>
      </c>
      <c r="EJ20" s="198">
        <v>0</v>
      </c>
      <c r="EK20" s="199">
        <v>0</v>
      </c>
      <c r="EL20" s="195"/>
      <c r="EM20" s="196"/>
      <c r="EN20" s="196"/>
      <c r="EO20" s="196"/>
      <c r="EP20" s="196"/>
      <c r="EQ20" s="196"/>
      <c r="ER20" s="206">
        <v>1</v>
      </c>
      <c r="ES20" s="198">
        <v>0</v>
      </c>
      <c r="ET20" s="198">
        <v>0</v>
      </c>
      <c r="EU20" s="199">
        <v>0</v>
      </c>
      <c r="EV20" s="195"/>
      <c r="EW20" s="196"/>
      <c r="EX20" s="196"/>
      <c r="EY20" s="196"/>
      <c r="EZ20" s="196"/>
      <c r="FA20" s="196"/>
      <c r="FB20" s="206">
        <v>1</v>
      </c>
      <c r="FC20" s="198">
        <v>0</v>
      </c>
      <c r="FD20" s="198">
        <v>0</v>
      </c>
      <c r="FE20" s="199">
        <v>0</v>
      </c>
      <c r="FF20" s="195"/>
      <c r="FG20" s="196"/>
      <c r="FH20" s="196"/>
      <c r="FI20" s="196"/>
      <c r="FJ20" s="196"/>
      <c r="FK20" s="196"/>
      <c r="FL20" s="200">
        <v>0</v>
      </c>
      <c r="FM20" s="198">
        <v>0</v>
      </c>
      <c r="FN20" s="198">
        <v>0</v>
      </c>
      <c r="FO20" s="199">
        <v>0</v>
      </c>
      <c r="FP20" s="195"/>
      <c r="FQ20" s="196"/>
      <c r="FR20" s="196"/>
      <c r="FS20" s="196"/>
      <c r="FT20" s="196"/>
      <c r="FU20" s="196"/>
      <c r="FV20" s="200">
        <v>0</v>
      </c>
      <c r="FW20" s="198">
        <v>0</v>
      </c>
      <c r="FX20" s="198">
        <v>0</v>
      </c>
      <c r="FY20" s="199">
        <v>0</v>
      </c>
      <c r="FZ20" s="195"/>
      <c r="GA20" s="196"/>
      <c r="GB20" s="196"/>
      <c r="GC20" s="196"/>
      <c r="GD20" s="196"/>
      <c r="GE20" s="196"/>
      <c r="GF20" s="200">
        <v>0</v>
      </c>
      <c r="GG20" s="198">
        <v>0</v>
      </c>
      <c r="GH20" s="198">
        <v>0</v>
      </c>
      <c r="GI20" s="199">
        <v>0</v>
      </c>
      <c r="GJ20" s="195"/>
      <c r="GK20" s="196"/>
      <c r="GL20" s="196"/>
      <c r="GM20" s="196"/>
      <c r="GN20" s="196"/>
      <c r="GO20" s="196"/>
      <c r="GP20" s="200">
        <v>0</v>
      </c>
      <c r="GQ20" s="198">
        <v>0</v>
      </c>
      <c r="GR20" s="198">
        <v>0</v>
      </c>
      <c r="GS20" s="199">
        <v>0</v>
      </c>
      <c r="GT20" s="195"/>
      <c r="GU20" s="196"/>
      <c r="GV20" s="196"/>
      <c r="GW20" s="196"/>
      <c r="GX20" s="196"/>
      <c r="GY20" s="196"/>
      <c r="GZ20" s="200">
        <v>0</v>
      </c>
      <c r="HA20" s="198">
        <v>0</v>
      </c>
      <c r="HB20" s="198">
        <v>0</v>
      </c>
      <c r="HC20" s="199">
        <v>0</v>
      </c>
      <c r="HD20" s="195"/>
      <c r="HE20" s="196"/>
      <c r="HF20" s="196"/>
      <c r="HG20" s="196"/>
      <c r="HH20" s="196"/>
      <c r="HI20" s="196"/>
      <c r="HJ20" s="200">
        <v>0</v>
      </c>
      <c r="HK20" s="198">
        <v>0</v>
      </c>
      <c r="HL20" s="198">
        <v>0</v>
      </c>
      <c r="HM20" s="199">
        <v>0</v>
      </c>
      <c r="HN20" s="204">
        <v>1</v>
      </c>
      <c r="HO20" s="205">
        <v>0</v>
      </c>
      <c r="HP20" s="204">
        <v>1</v>
      </c>
      <c r="HQ20" s="205">
        <v>0</v>
      </c>
      <c r="HR20" s="204">
        <v>1</v>
      </c>
      <c r="HS20" s="205">
        <v>0</v>
      </c>
      <c r="HT20" s="204">
        <v>1</v>
      </c>
      <c r="HU20" s="205">
        <v>0</v>
      </c>
      <c r="HV20" s="204">
        <v>1</v>
      </c>
      <c r="HW20" s="205">
        <v>0</v>
      </c>
      <c r="HX20" s="204">
        <v>1</v>
      </c>
      <c r="HY20" s="205">
        <v>0</v>
      </c>
      <c r="HZ20" s="204">
        <v>1</v>
      </c>
      <c r="IA20" s="205">
        <v>0</v>
      </c>
      <c r="IB20" s="204">
        <v>1</v>
      </c>
      <c r="IC20" s="205">
        <v>0</v>
      </c>
      <c r="ID20" s="204">
        <v>1</v>
      </c>
      <c r="IE20" s="205">
        <v>0</v>
      </c>
      <c r="IF20" s="204">
        <v>1</v>
      </c>
      <c r="IG20" s="205">
        <v>0</v>
      </c>
      <c r="IH20" s="204">
        <v>1</v>
      </c>
      <c r="II20" s="205">
        <v>0</v>
      </c>
      <c r="IJ20" s="204">
        <v>1</v>
      </c>
      <c r="IK20" s="205">
        <v>0</v>
      </c>
      <c r="IL20" s="204">
        <v>1</v>
      </c>
      <c r="IM20" s="205">
        <v>0</v>
      </c>
      <c r="IN20" s="204">
        <v>1</v>
      </c>
      <c r="IO20" s="205">
        <v>0</v>
      </c>
      <c r="IP20" s="204">
        <v>1</v>
      </c>
      <c r="IQ20" s="205">
        <v>0</v>
      </c>
      <c r="IR20" s="204">
        <v>1</v>
      </c>
      <c r="IS20" s="205">
        <v>0</v>
      </c>
      <c r="IT20" s="204">
        <v>0</v>
      </c>
      <c r="IU20" s="205">
        <v>0</v>
      </c>
      <c r="IV20" s="204">
        <v>0</v>
      </c>
      <c r="IW20" s="205">
        <v>0</v>
      </c>
      <c r="IX20" s="204">
        <v>0</v>
      </c>
      <c r="IY20" s="205">
        <v>0</v>
      </c>
      <c r="IZ20" s="204">
        <v>0</v>
      </c>
      <c r="JA20" s="205">
        <v>0</v>
      </c>
      <c r="JB20" s="204">
        <v>0</v>
      </c>
      <c r="JC20" s="205">
        <v>0</v>
      </c>
      <c r="JD20" s="204">
        <v>0</v>
      </c>
      <c r="JE20" s="233">
        <v>0</v>
      </c>
      <c r="JF20" s="236">
        <f t="shared" si="0"/>
        <v>24</v>
      </c>
      <c r="JG20" s="235">
        <f t="shared" si="1"/>
        <v>24</v>
      </c>
      <c r="JH20" s="235">
        <f t="shared" si="2"/>
        <v>24</v>
      </c>
      <c r="JI20" s="235">
        <f t="shared" si="3"/>
        <v>24</v>
      </c>
      <c r="JJ20" s="235">
        <f t="shared" si="4"/>
        <v>24</v>
      </c>
      <c r="JK20" s="235">
        <f t="shared" si="5"/>
        <v>24</v>
      </c>
      <c r="JL20" s="235">
        <f t="shared" si="6"/>
        <v>24</v>
      </c>
      <c r="JM20" s="235">
        <f t="shared" si="7"/>
        <v>24</v>
      </c>
      <c r="JN20" s="235">
        <f t="shared" si="8"/>
        <v>24</v>
      </c>
      <c r="JO20" s="235">
        <f t="shared" si="9"/>
        <v>24</v>
      </c>
      <c r="JP20" s="235">
        <f t="shared" si="10"/>
        <v>24</v>
      </c>
      <c r="JQ20" s="235">
        <f t="shared" si="11"/>
        <v>24</v>
      </c>
      <c r="JR20" s="235">
        <f t="shared" si="12"/>
        <v>24</v>
      </c>
      <c r="JS20" s="235">
        <f t="shared" si="13"/>
        <v>24</v>
      </c>
      <c r="JT20" s="235">
        <f t="shared" si="14"/>
        <v>24</v>
      </c>
      <c r="JU20" s="235">
        <f t="shared" si="15"/>
        <v>24</v>
      </c>
      <c r="JV20" s="235">
        <f t="shared" si="16"/>
        <v>0</v>
      </c>
      <c r="JW20" s="235">
        <f t="shared" si="17"/>
        <v>0</v>
      </c>
      <c r="JX20" s="235">
        <f t="shared" si="18"/>
        <v>0</v>
      </c>
      <c r="JY20" s="235">
        <f t="shared" si="19"/>
        <v>0</v>
      </c>
      <c r="JZ20" s="235">
        <f t="shared" si="20"/>
        <v>0</v>
      </c>
      <c r="KA20" s="237">
        <f t="shared" si="21"/>
        <v>0</v>
      </c>
      <c r="KB20" s="248">
        <v>46038</v>
      </c>
      <c r="KC20" s="201">
        <v>1.2473749999999999</v>
      </c>
      <c r="KD20" s="201">
        <v>1.2473749999999999</v>
      </c>
      <c r="KE20" s="201">
        <v>1.2473749999999999</v>
      </c>
      <c r="KF20" s="201">
        <v>1.2473749999999999</v>
      </c>
      <c r="KG20" s="201">
        <v>1.2473749999999999</v>
      </c>
      <c r="KH20" s="201">
        <v>1.2473749999999999</v>
      </c>
      <c r="KI20" s="201">
        <v>1.2473749999999999</v>
      </c>
      <c r="KJ20" s="201">
        <v>1.2473749999999999</v>
      </c>
      <c r="KK20" s="201">
        <v>1.2473749999999999</v>
      </c>
      <c r="KL20" s="201">
        <v>1.2473749999999999</v>
      </c>
      <c r="KM20" s="201">
        <v>1.2473749999999999</v>
      </c>
      <c r="KN20" s="201">
        <v>1.2473749999999999</v>
      </c>
      <c r="KO20" s="201">
        <v>1.2473749999999999</v>
      </c>
      <c r="KP20" s="201">
        <v>1.2473749999999999</v>
      </c>
      <c r="KQ20" s="201">
        <v>1.2473749999999999</v>
      </c>
      <c r="KR20" s="201">
        <v>1.2473749999999999</v>
      </c>
      <c r="KS20" s="202">
        <v>0</v>
      </c>
      <c r="KT20" s="202">
        <v>0</v>
      </c>
      <c r="KU20" s="202">
        <v>0</v>
      </c>
      <c r="KV20" s="202">
        <v>0</v>
      </c>
      <c r="KW20" s="202">
        <v>0</v>
      </c>
      <c r="KX20" s="202">
        <v>0</v>
      </c>
      <c r="KY20" s="203">
        <v>19.957999999999991</v>
      </c>
    </row>
    <row r="21" spans="1:311">
      <c r="A21" s="194">
        <v>46039</v>
      </c>
      <c r="B21" s="195"/>
      <c r="C21" s="196"/>
      <c r="D21" s="196"/>
      <c r="E21" s="196"/>
      <c r="F21" s="196"/>
      <c r="G21" s="196"/>
      <c r="H21" s="206">
        <v>1</v>
      </c>
      <c r="I21" s="198">
        <v>0</v>
      </c>
      <c r="J21" s="198">
        <v>0</v>
      </c>
      <c r="K21" s="199">
        <v>0</v>
      </c>
      <c r="L21" s="195"/>
      <c r="M21" s="196"/>
      <c r="N21" s="196"/>
      <c r="O21" s="196"/>
      <c r="P21" s="196"/>
      <c r="Q21" s="196"/>
      <c r="R21" s="206">
        <v>1</v>
      </c>
      <c r="S21" s="198">
        <v>0</v>
      </c>
      <c r="T21" s="198">
        <v>0</v>
      </c>
      <c r="U21" s="199">
        <v>0</v>
      </c>
      <c r="V21" s="195"/>
      <c r="W21" s="196"/>
      <c r="X21" s="196"/>
      <c r="Y21" s="196"/>
      <c r="Z21" s="196"/>
      <c r="AA21" s="196"/>
      <c r="AB21" s="206">
        <v>1</v>
      </c>
      <c r="AC21" s="198">
        <v>0</v>
      </c>
      <c r="AD21" s="198">
        <v>0</v>
      </c>
      <c r="AE21" s="199">
        <v>0</v>
      </c>
      <c r="AF21" s="195"/>
      <c r="AG21" s="196"/>
      <c r="AH21" s="196"/>
      <c r="AI21" s="196"/>
      <c r="AJ21" s="196"/>
      <c r="AK21" s="196"/>
      <c r="AL21" s="206">
        <v>1</v>
      </c>
      <c r="AM21" s="198">
        <v>0</v>
      </c>
      <c r="AN21" s="198">
        <v>0</v>
      </c>
      <c r="AO21" s="199">
        <v>0</v>
      </c>
      <c r="AP21" s="195"/>
      <c r="AQ21" s="196"/>
      <c r="AR21" s="196"/>
      <c r="AS21" s="196"/>
      <c r="AT21" s="196"/>
      <c r="AU21" s="196"/>
      <c r="AV21" s="206">
        <v>1</v>
      </c>
      <c r="AW21" s="198">
        <v>0</v>
      </c>
      <c r="AX21" s="198">
        <v>0</v>
      </c>
      <c r="AY21" s="199">
        <v>0</v>
      </c>
      <c r="AZ21" s="195"/>
      <c r="BA21" s="196"/>
      <c r="BB21" s="196"/>
      <c r="BC21" s="196"/>
      <c r="BD21" s="196"/>
      <c r="BE21" s="196"/>
      <c r="BF21" s="206">
        <v>1</v>
      </c>
      <c r="BG21" s="198">
        <v>0</v>
      </c>
      <c r="BH21" s="198">
        <v>0</v>
      </c>
      <c r="BI21" s="199">
        <v>0</v>
      </c>
      <c r="BJ21" s="195"/>
      <c r="BK21" s="196"/>
      <c r="BL21" s="196"/>
      <c r="BM21" s="196"/>
      <c r="BN21" s="196"/>
      <c r="BO21" s="196"/>
      <c r="BP21" s="206">
        <v>1</v>
      </c>
      <c r="BQ21" s="198">
        <v>0</v>
      </c>
      <c r="BR21" s="198">
        <v>0</v>
      </c>
      <c r="BS21" s="199">
        <v>0</v>
      </c>
      <c r="BT21" s="195"/>
      <c r="BU21" s="196"/>
      <c r="BV21" s="196"/>
      <c r="BW21" s="196"/>
      <c r="BX21" s="196"/>
      <c r="BY21" s="196"/>
      <c r="BZ21" s="206">
        <v>1</v>
      </c>
      <c r="CA21" s="198">
        <v>0</v>
      </c>
      <c r="CB21" s="198">
        <v>0</v>
      </c>
      <c r="CC21" s="199">
        <v>0</v>
      </c>
      <c r="CD21" s="195"/>
      <c r="CE21" s="196"/>
      <c r="CF21" s="196"/>
      <c r="CG21" s="196"/>
      <c r="CH21" s="196"/>
      <c r="CI21" s="196"/>
      <c r="CJ21" s="206">
        <v>1</v>
      </c>
      <c r="CK21" s="198">
        <v>0</v>
      </c>
      <c r="CL21" s="198">
        <v>0</v>
      </c>
      <c r="CM21" s="199">
        <v>0</v>
      </c>
      <c r="CN21" s="195"/>
      <c r="CO21" s="196"/>
      <c r="CP21" s="196"/>
      <c r="CQ21" s="196"/>
      <c r="CR21" s="196"/>
      <c r="CS21" s="196"/>
      <c r="CT21" s="206">
        <v>1</v>
      </c>
      <c r="CU21" s="198">
        <v>0</v>
      </c>
      <c r="CV21" s="198">
        <v>0</v>
      </c>
      <c r="CW21" s="199">
        <v>0</v>
      </c>
      <c r="CX21" s="195"/>
      <c r="CY21" s="196"/>
      <c r="CZ21" s="196"/>
      <c r="DA21" s="196"/>
      <c r="DB21" s="196"/>
      <c r="DC21" s="196"/>
      <c r="DD21" s="206">
        <v>1</v>
      </c>
      <c r="DE21" s="198">
        <v>0</v>
      </c>
      <c r="DF21" s="198">
        <v>0</v>
      </c>
      <c r="DG21" s="199">
        <v>0</v>
      </c>
      <c r="DH21" s="195"/>
      <c r="DI21" s="196"/>
      <c r="DJ21" s="196"/>
      <c r="DK21" s="196"/>
      <c r="DL21" s="196"/>
      <c r="DM21" s="196"/>
      <c r="DN21" s="206">
        <v>1</v>
      </c>
      <c r="DO21" s="198">
        <v>0</v>
      </c>
      <c r="DP21" s="198">
        <v>0</v>
      </c>
      <c r="DQ21" s="199">
        <v>0</v>
      </c>
      <c r="DR21" s="195"/>
      <c r="DS21" s="196"/>
      <c r="DT21" s="196"/>
      <c r="DU21" s="196"/>
      <c r="DV21" s="196"/>
      <c r="DW21" s="196"/>
      <c r="DX21" s="206">
        <v>1</v>
      </c>
      <c r="DY21" s="198">
        <v>0</v>
      </c>
      <c r="DZ21" s="198">
        <v>0</v>
      </c>
      <c r="EA21" s="199">
        <v>0</v>
      </c>
      <c r="EB21" s="195"/>
      <c r="EC21" s="196"/>
      <c r="ED21" s="196"/>
      <c r="EE21" s="196"/>
      <c r="EF21" s="196"/>
      <c r="EG21" s="196"/>
      <c r="EH21" s="206">
        <v>1</v>
      </c>
      <c r="EI21" s="198">
        <v>0</v>
      </c>
      <c r="EJ21" s="198">
        <v>0</v>
      </c>
      <c r="EK21" s="199">
        <v>0</v>
      </c>
      <c r="EL21" s="195"/>
      <c r="EM21" s="196"/>
      <c r="EN21" s="196"/>
      <c r="EO21" s="196"/>
      <c r="EP21" s="196"/>
      <c r="EQ21" s="196"/>
      <c r="ER21" s="206">
        <v>1</v>
      </c>
      <c r="ES21" s="198">
        <v>0</v>
      </c>
      <c r="ET21" s="198">
        <v>0</v>
      </c>
      <c r="EU21" s="199">
        <v>0</v>
      </c>
      <c r="EV21" s="195"/>
      <c r="EW21" s="196"/>
      <c r="EX21" s="196"/>
      <c r="EY21" s="196"/>
      <c r="EZ21" s="196"/>
      <c r="FA21" s="196"/>
      <c r="FB21" s="206">
        <v>1</v>
      </c>
      <c r="FC21" s="198">
        <v>0</v>
      </c>
      <c r="FD21" s="198">
        <v>0</v>
      </c>
      <c r="FE21" s="199">
        <v>0</v>
      </c>
      <c r="FF21" s="195"/>
      <c r="FG21" s="196"/>
      <c r="FH21" s="196"/>
      <c r="FI21" s="196"/>
      <c r="FJ21" s="196"/>
      <c r="FK21" s="196"/>
      <c r="FL21" s="200">
        <v>0</v>
      </c>
      <c r="FM21" s="198">
        <v>0</v>
      </c>
      <c r="FN21" s="198">
        <v>0</v>
      </c>
      <c r="FO21" s="199">
        <v>0</v>
      </c>
      <c r="FP21" s="195"/>
      <c r="FQ21" s="196"/>
      <c r="FR21" s="196"/>
      <c r="FS21" s="196"/>
      <c r="FT21" s="196"/>
      <c r="FU21" s="196"/>
      <c r="FV21" s="200">
        <v>0</v>
      </c>
      <c r="FW21" s="198">
        <v>0</v>
      </c>
      <c r="FX21" s="198">
        <v>0</v>
      </c>
      <c r="FY21" s="199">
        <v>0</v>
      </c>
      <c r="FZ21" s="195"/>
      <c r="GA21" s="196"/>
      <c r="GB21" s="196"/>
      <c r="GC21" s="196"/>
      <c r="GD21" s="196"/>
      <c r="GE21" s="196"/>
      <c r="GF21" s="200">
        <v>0</v>
      </c>
      <c r="GG21" s="198">
        <v>0</v>
      </c>
      <c r="GH21" s="198">
        <v>0</v>
      </c>
      <c r="GI21" s="199">
        <v>0</v>
      </c>
      <c r="GJ21" s="195"/>
      <c r="GK21" s="196"/>
      <c r="GL21" s="196"/>
      <c r="GM21" s="196"/>
      <c r="GN21" s="196"/>
      <c r="GO21" s="196"/>
      <c r="GP21" s="200">
        <v>0</v>
      </c>
      <c r="GQ21" s="198">
        <v>0</v>
      </c>
      <c r="GR21" s="198">
        <v>0</v>
      </c>
      <c r="GS21" s="199">
        <v>0</v>
      </c>
      <c r="GT21" s="195"/>
      <c r="GU21" s="196"/>
      <c r="GV21" s="196"/>
      <c r="GW21" s="196"/>
      <c r="GX21" s="196"/>
      <c r="GY21" s="196"/>
      <c r="GZ21" s="200">
        <v>0</v>
      </c>
      <c r="HA21" s="198">
        <v>0</v>
      </c>
      <c r="HB21" s="198">
        <v>0</v>
      </c>
      <c r="HC21" s="199">
        <v>0</v>
      </c>
      <c r="HD21" s="195"/>
      <c r="HE21" s="196"/>
      <c r="HF21" s="196"/>
      <c r="HG21" s="196"/>
      <c r="HH21" s="196"/>
      <c r="HI21" s="196"/>
      <c r="HJ21" s="200">
        <v>0</v>
      </c>
      <c r="HK21" s="198">
        <v>0</v>
      </c>
      <c r="HL21" s="198">
        <v>0</v>
      </c>
      <c r="HM21" s="199">
        <v>0</v>
      </c>
      <c r="HN21" s="204">
        <v>1</v>
      </c>
      <c r="HO21" s="205">
        <v>0</v>
      </c>
      <c r="HP21" s="204">
        <v>1</v>
      </c>
      <c r="HQ21" s="205">
        <v>0</v>
      </c>
      <c r="HR21" s="204">
        <v>1</v>
      </c>
      <c r="HS21" s="205">
        <v>0</v>
      </c>
      <c r="HT21" s="204">
        <v>1</v>
      </c>
      <c r="HU21" s="205">
        <v>0</v>
      </c>
      <c r="HV21" s="204">
        <v>1</v>
      </c>
      <c r="HW21" s="205">
        <v>0</v>
      </c>
      <c r="HX21" s="204">
        <v>1</v>
      </c>
      <c r="HY21" s="205">
        <v>0</v>
      </c>
      <c r="HZ21" s="204">
        <v>1</v>
      </c>
      <c r="IA21" s="205">
        <v>0</v>
      </c>
      <c r="IB21" s="204">
        <v>1</v>
      </c>
      <c r="IC21" s="205">
        <v>0</v>
      </c>
      <c r="ID21" s="204">
        <v>1</v>
      </c>
      <c r="IE21" s="205">
        <v>0</v>
      </c>
      <c r="IF21" s="204">
        <v>1</v>
      </c>
      <c r="IG21" s="205">
        <v>0</v>
      </c>
      <c r="IH21" s="204">
        <v>1</v>
      </c>
      <c r="II21" s="205">
        <v>0</v>
      </c>
      <c r="IJ21" s="204">
        <v>1</v>
      </c>
      <c r="IK21" s="205">
        <v>0</v>
      </c>
      <c r="IL21" s="204">
        <v>1</v>
      </c>
      <c r="IM21" s="205">
        <v>0</v>
      </c>
      <c r="IN21" s="204">
        <v>1</v>
      </c>
      <c r="IO21" s="205">
        <v>0</v>
      </c>
      <c r="IP21" s="204">
        <v>1</v>
      </c>
      <c r="IQ21" s="205">
        <v>0</v>
      </c>
      <c r="IR21" s="204">
        <v>1</v>
      </c>
      <c r="IS21" s="205">
        <v>0</v>
      </c>
      <c r="IT21" s="204">
        <v>0</v>
      </c>
      <c r="IU21" s="205">
        <v>0</v>
      </c>
      <c r="IV21" s="204">
        <v>0</v>
      </c>
      <c r="IW21" s="205">
        <v>0</v>
      </c>
      <c r="IX21" s="204">
        <v>0</v>
      </c>
      <c r="IY21" s="205">
        <v>0</v>
      </c>
      <c r="IZ21" s="204">
        <v>0</v>
      </c>
      <c r="JA21" s="205">
        <v>0</v>
      </c>
      <c r="JB21" s="204">
        <v>0</v>
      </c>
      <c r="JC21" s="205">
        <v>0</v>
      </c>
      <c r="JD21" s="204">
        <v>0</v>
      </c>
      <c r="JE21" s="233">
        <v>0</v>
      </c>
      <c r="JF21" s="236">
        <f t="shared" si="0"/>
        <v>24</v>
      </c>
      <c r="JG21" s="235">
        <f t="shared" si="1"/>
        <v>24</v>
      </c>
      <c r="JH21" s="235">
        <f t="shared" si="2"/>
        <v>24</v>
      </c>
      <c r="JI21" s="235">
        <f t="shared" si="3"/>
        <v>24</v>
      </c>
      <c r="JJ21" s="235">
        <f t="shared" si="4"/>
        <v>24</v>
      </c>
      <c r="JK21" s="235">
        <f t="shared" si="5"/>
        <v>24</v>
      </c>
      <c r="JL21" s="235">
        <f t="shared" si="6"/>
        <v>24</v>
      </c>
      <c r="JM21" s="235">
        <f t="shared" si="7"/>
        <v>24</v>
      </c>
      <c r="JN21" s="235">
        <f t="shared" si="8"/>
        <v>24</v>
      </c>
      <c r="JO21" s="235">
        <f t="shared" si="9"/>
        <v>24</v>
      </c>
      <c r="JP21" s="235">
        <f t="shared" si="10"/>
        <v>24</v>
      </c>
      <c r="JQ21" s="235">
        <f t="shared" si="11"/>
        <v>24</v>
      </c>
      <c r="JR21" s="235">
        <f t="shared" si="12"/>
        <v>24</v>
      </c>
      <c r="JS21" s="235">
        <f t="shared" si="13"/>
        <v>24</v>
      </c>
      <c r="JT21" s="235">
        <f t="shared" si="14"/>
        <v>24</v>
      </c>
      <c r="JU21" s="235">
        <f t="shared" si="15"/>
        <v>24</v>
      </c>
      <c r="JV21" s="235">
        <f t="shared" si="16"/>
        <v>0</v>
      </c>
      <c r="JW21" s="235">
        <f t="shared" si="17"/>
        <v>0</v>
      </c>
      <c r="JX21" s="235">
        <f t="shared" si="18"/>
        <v>0</v>
      </c>
      <c r="JY21" s="235">
        <f t="shared" si="19"/>
        <v>0</v>
      </c>
      <c r="JZ21" s="235">
        <f t="shared" si="20"/>
        <v>0</v>
      </c>
      <c r="KA21" s="237">
        <f t="shared" si="21"/>
        <v>0</v>
      </c>
      <c r="KB21" s="248">
        <v>46039</v>
      </c>
      <c r="KC21" s="201">
        <v>1.2244375000000001</v>
      </c>
      <c r="KD21" s="201">
        <v>1.2244375000000001</v>
      </c>
      <c r="KE21" s="201">
        <v>1.2244375000000001</v>
      </c>
      <c r="KF21" s="201">
        <v>1.2244375000000001</v>
      </c>
      <c r="KG21" s="201">
        <v>1.2244375000000001</v>
      </c>
      <c r="KH21" s="201">
        <v>1.2244375000000001</v>
      </c>
      <c r="KI21" s="201">
        <v>1.2244375000000001</v>
      </c>
      <c r="KJ21" s="201">
        <v>1.2244375000000001</v>
      </c>
      <c r="KK21" s="201">
        <v>1.2244375000000001</v>
      </c>
      <c r="KL21" s="201">
        <v>1.2244375000000001</v>
      </c>
      <c r="KM21" s="201">
        <v>1.2244375000000001</v>
      </c>
      <c r="KN21" s="201">
        <v>1.2244375000000001</v>
      </c>
      <c r="KO21" s="201">
        <v>1.2244375000000001</v>
      </c>
      <c r="KP21" s="201">
        <v>1.2244375000000001</v>
      </c>
      <c r="KQ21" s="201">
        <v>1.2244375000000001</v>
      </c>
      <c r="KR21" s="201">
        <v>1.2244375000000001</v>
      </c>
      <c r="KS21" s="202">
        <v>0</v>
      </c>
      <c r="KT21" s="202">
        <v>0</v>
      </c>
      <c r="KU21" s="202">
        <v>0</v>
      </c>
      <c r="KV21" s="202">
        <v>0</v>
      </c>
      <c r="KW21" s="202">
        <v>0</v>
      </c>
      <c r="KX21" s="202">
        <v>0</v>
      </c>
      <c r="KY21" s="203">
        <v>19.591000000000005</v>
      </c>
    </row>
    <row r="22" spans="1:311">
      <c r="A22" s="194">
        <v>46040</v>
      </c>
      <c r="B22" s="195"/>
      <c r="C22" s="196"/>
      <c r="D22" s="196"/>
      <c r="E22" s="196"/>
      <c r="F22" s="196"/>
      <c r="G22" s="196"/>
      <c r="H22" s="206">
        <v>1</v>
      </c>
      <c r="I22" s="198">
        <v>0</v>
      </c>
      <c r="J22" s="198">
        <v>0</v>
      </c>
      <c r="K22" s="199">
        <v>0</v>
      </c>
      <c r="L22" s="195"/>
      <c r="M22" s="196"/>
      <c r="N22" s="196"/>
      <c r="O22" s="196"/>
      <c r="P22" s="196"/>
      <c r="Q22" s="196"/>
      <c r="R22" s="206">
        <v>1</v>
      </c>
      <c r="S22" s="198">
        <v>0</v>
      </c>
      <c r="T22" s="198">
        <v>0</v>
      </c>
      <c r="U22" s="199">
        <v>0</v>
      </c>
      <c r="V22" s="195"/>
      <c r="W22" s="196"/>
      <c r="X22" s="196"/>
      <c r="Y22" s="196"/>
      <c r="Z22" s="196"/>
      <c r="AA22" s="196"/>
      <c r="AB22" s="206">
        <v>1</v>
      </c>
      <c r="AC22" s="198">
        <v>0</v>
      </c>
      <c r="AD22" s="198">
        <v>0</v>
      </c>
      <c r="AE22" s="199">
        <v>0</v>
      </c>
      <c r="AF22" s="195"/>
      <c r="AG22" s="196"/>
      <c r="AH22" s="196"/>
      <c r="AI22" s="196"/>
      <c r="AJ22" s="196"/>
      <c r="AK22" s="196"/>
      <c r="AL22" s="206">
        <v>1</v>
      </c>
      <c r="AM22" s="198">
        <v>0</v>
      </c>
      <c r="AN22" s="198">
        <v>0</v>
      </c>
      <c r="AO22" s="199">
        <v>0</v>
      </c>
      <c r="AP22" s="195"/>
      <c r="AQ22" s="196"/>
      <c r="AR22" s="196"/>
      <c r="AS22" s="196"/>
      <c r="AT22" s="196"/>
      <c r="AU22" s="196"/>
      <c r="AV22" s="206">
        <v>1</v>
      </c>
      <c r="AW22" s="198">
        <v>0</v>
      </c>
      <c r="AX22" s="198">
        <v>0</v>
      </c>
      <c r="AY22" s="199">
        <v>0</v>
      </c>
      <c r="AZ22" s="195"/>
      <c r="BA22" s="196"/>
      <c r="BB22" s="196"/>
      <c r="BC22" s="196"/>
      <c r="BD22" s="196"/>
      <c r="BE22" s="196"/>
      <c r="BF22" s="206">
        <v>1</v>
      </c>
      <c r="BG22" s="198">
        <v>0</v>
      </c>
      <c r="BH22" s="198">
        <v>0</v>
      </c>
      <c r="BI22" s="199">
        <v>0</v>
      </c>
      <c r="BJ22" s="195"/>
      <c r="BK22" s="196"/>
      <c r="BL22" s="196"/>
      <c r="BM22" s="196"/>
      <c r="BN22" s="196"/>
      <c r="BO22" s="196"/>
      <c r="BP22" s="206">
        <v>1</v>
      </c>
      <c r="BQ22" s="198">
        <v>0</v>
      </c>
      <c r="BR22" s="198">
        <v>0</v>
      </c>
      <c r="BS22" s="199">
        <v>0</v>
      </c>
      <c r="BT22" s="195"/>
      <c r="BU22" s="196"/>
      <c r="BV22" s="196"/>
      <c r="BW22" s="196"/>
      <c r="BX22" s="196"/>
      <c r="BY22" s="196"/>
      <c r="BZ22" s="206">
        <v>1</v>
      </c>
      <c r="CA22" s="198">
        <v>0</v>
      </c>
      <c r="CB22" s="198">
        <v>0</v>
      </c>
      <c r="CC22" s="199">
        <v>0</v>
      </c>
      <c r="CD22" s="195"/>
      <c r="CE22" s="196"/>
      <c r="CF22" s="196"/>
      <c r="CG22" s="196"/>
      <c r="CH22" s="196"/>
      <c r="CI22" s="196"/>
      <c r="CJ22" s="206">
        <v>1</v>
      </c>
      <c r="CK22" s="198">
        <v>0</v>
      </c>
      <c r="CL22" s="198">
        <v>0</v>
      </c>
      <c r="CM22" s="199">
        <v>0</v>
      </c>
      <c r="CN22" s="195"/>
      <c r="CO22" s="196"/>
      <c r="CP22" s="196"/>
      <c r="CQ22" s="196"/>
      <c r="CR22" s="196"/>
      <c r="CS22" s="196"/>
      <c r="CT22" s="206">
        <v>1</v>
      </c>
      <c r="CU22" s="198">
        <v>0</v>
      </c>
      <c r="CV22" s="198">
        <v>0</v>
      </c>
      <c r="CW22" s="199">
        <v>0</v>
      </c>
      <c r="CX22" s="195"/>
      <c r="CY22" s="196"/>
      <c r="CZ22" s="196"/>
      <c r="DA22" s="196"/>
      <c r="DB22" s="196"/>
      <c r="DC22" s="196"/>
      <c r="DD22" s="206">
        <v>1</v>
      </c>
      <c r="DE22" s="198">
        <v>0</v>
      </c>
      <c r="DF22" s="198">
        <v>0</v>
      </c>
      <c r="DG22" s="199">
        <v>0</v>
      </c>
      <c r="DH22" s="195"/>
      <c r="DI22" s="196"/>
      <c r="DJ22" s="196"/>
      <c r="DK22" s="196"/>
      <c r="DL22" s="196"/>
      <c r="DM22" s="196"/>
      <c r="DN22" s="206">
        <v>1</v>
      </c>
      <c r="DO22" s="198">
        <v>0</v>
      </c>
      <c r="DP22" s="198">
        <v>0</v>
      </c>
      <c r="DQ22" s="199">
        <v>0</v>
      </c>
      <c r="DR22" s="195"/>
      <c r="DS22" s="196"/>
      <c r="DT22" s="196"/>
      <c r="DU22" s="196"/>
      <c r="DV22" s="196"/>
      <c r="DW22" s="196"/>
      <c r="DX22" s="206">
        <v>1</v>
      </c>
      <c r="DY22" s="198">
        <v>0</v>
      </c>
      <c r="DZ22" s="198">
        <v>0</v>
      </c>
      <c r="EA22" s="199">
        <v>0</v>
      </c>
      <c r="EB22" s="195"/>
      <c r="EC22" s="196"/>
      <c r="ED22" s="196"/>
      <c r="EE22" s="196"/>
      <c r="EF22" s="196"/>
      <c r="EG22" s="196"/>
      <c r="EH22" s="206">
        <v>1</v>
      </c>
      <c r="EI22" s="198">
        <v>0</v>
      </c>
      <c r="EJ22" s="198">
        <v>0</v>
      </c>
      <c r="EK22" s="199">
        <v>0</v>
      </c>
      <c r="EL22" s="195"/>
      <c r="EM22" s="196"/>
      <c r="EN22" s="196"/>
      <c r="EO22" s="196"/>
      <c r="EP22" s="196"/>
      <c r="EQ22" s="196"/>
      <c r="ER22" s="206">
        <v>1</v>
      </c>
      <c r="ES22" s="198">
        <v>0</v>
      </c>
      <c r="ET22" s="198">
        <v>0</v>
      </c>
      <c r="EU22" s="199">
        <v>0</v>
      </c>
      <c r="EV22" s="195"/>
      <c r="EW22" s="196"/>
      <c r="EX22" s="196"/>
      <c r="EY22" s="196"/>
      <c r="EZ22" s="196"/>
      <c r="FA22" s="196"/>
      <c r="FB22" s="206">
        <v>1</v>
      </c>
      <c r="FC22" s="198">
        <v>0</v>
      </c>
      <c r="FD22" s="198">
        <v>0</v>
      </c>
      <c r="FE22" s="199">
        <v>0</v>
      </c>
      <c r="FF22" s="195"/>
      <c r="FG22" s="196"/>
      <c r="FH22" s="196"/>
      <c r="FI22" s="196"/>
      <c r="FJ22" s="196"/>
      <c r="FK22" s="196"/>
      <c r="FL22" s="200">
        <v>0</v>
      </c>
      <c r="FM22" s="198">
        <v>0</v>
      </c>
      <c r="FN22" s="198">
        <v>0</v>
      </c>
      <c r="FO22" s="199">
        <v>0</v>
      </c>
      <c r="FP22" s="195"/>
      <c r="FQ22" s="196"/>
      <c r="FR22" s="196"/>
      <c r="FS22" s="196"/>
      <c r="FT22" s="196"/>
      <c r="FU22" s="196"/>
      <c r="FV22" s="200">
        <v>0</v>
      </c>
      <c r="FW22" s="198">
        <v>0</v>
      </c>
      <c r="FX22" s="198">
        <v>0</v>
      </c>
      <c r="FY22" s="199">
        <v>0</v>
      </c>
      <c r="FZ22" s="195"/>
      <c r="GA22" s="196"/>
      <c r="GB22" s="196"/>
      <c r="GC22" s="196"/>
      <c r="GD22" s="196"/>
      <c r="GE22" s="196"/>
      <c r="GF22" s="200">
        <v>0</v>
      </c>
      <c r="GG22" s="198">
        <v>0</v>
      </c>
      <c r="GH22" s="198">
        <v>0</v>
      </c>
      <c r="GI22" s="199">
        <v>0</v>
      </c>
      <c r="GJ22" s="195"/>
      <c r="GK22" s="196"/>
      <c r="GL22" s="196"/>
      <c r="GM22" s="196"/>
      <c r="GN22" s="196"/>
      <c r="GO22" s="196"/>
      <c r="GP22" s="200">
        <v>0</v>
      </c>
      <c r="GQ22" s="198">
        <v>0</v>
      </c>
      <c r="GR22" s="198">
        <v>0</v>
      </c>
      <c r="GS22" s="199">
        <v>0</v>
      </c>
      <c r="GT22" s="195"/>
      <c r="GU22" s="196"/>
      <c r="GV22" s="196"/>
      <c r="GW22" s="196"/>
      <c r="GX22" s="196"/>
      <c r="GY22" s="196"/>
      <c r="GZ22" s="200">
        <v>0</v>
      </c>
      <c r="HA22" s="198">
        <v>0</v>
      </c>
      <c r="HB22" s="198">
        <v>0</v>
      </c>
      <c r="HC22" s="199">
        <v>0</v>
      </c>
      <c r="HD22" s="195"/>
      <c r="HE22" s="196"/>
      <c r="HF22" s="196"/>
      <c r="HG22" s="196"/>
      <c r="HH22" s="196"/>
      <c r="HI22" s="196"/>
      <c r="HJ22" s="200">
        <v>0</v>
      </c>
      <c r="HK22" s="198">
        <v>0</v>
      </c>
      <c r="HL22" s="198">
        <v>0</v>
      </c>
      <c r="HM22" s="199">
        <v>0</v>
      </c>
      <c r="HN22" s="204">
        <v>1</v>
      </c>
      <c r="HO22" s="205">
        <v>0</v>
      </c>
      <c r="HP22" s="204">
        <v>1</v>
      </c>
      <c r="HQ22" s="205">
        <v>0</v>
      </c>
      <c r="HR22" s="204">
        <v>1</v>
      </c>
      <c r="HS22" s="205">
        <v>0</v>
      </c>
      <c r="HT22" s="204">
        <v>1</v>
      </c>
      <c r="HU22" s="205">
        <v>0</v>
      </c>
      <c r="HV22" s="204">
        <v>1</v>
      </c>
      <c r="HW22" s="205">
        <v>0</v>
      </c>
      <c r="HX22" s="204">
        <v>1</v>
      </c>
      <c r="HY22" s="205">
        <v>0</v>
      </c>
      <c r="HZ22" s="204">
        <v>1</v>
      </c>
      <c r="IA22" s="205">
        <v>0</v>
      </c>
      <c r="IB22" s="204">
        <v>1</v>
      </c>
      <c r="IC22" s="205">
        <v>0</v>
      </c>
      <c r="ID22" s="204">
        <v>1</v>
      </c>
      <c r="IE22" s="205">
        <v>0</v>
      </c>
      <c r="IF22" s="204">
        <v>1</v>
      </c>
      <c r="IG22" s="205">
        <v>0</v>
      </c>
      <c r="IH22" s="204">
        <v>1</v>
      </c>
      <c r="II22" s="205">
        <v>0</v>
      </c>
      <c r="IJ22" s="204">
        <v>1</v>
      </c>
      <c r="IK22" s="205">
        <v>0</v>
      </c>
      <c r="IL22" s="204">
        <v>1</v>
      </c>
      <c r="IM22" s="205">
        <v>0</v>
      </c>
      <c r="IN22" s="204">
        <v>1</v>
      </c>
      <c r="IO22" s="205">
        <v>0</v>
      </c>
      <c r="IP22" s="204">
        <v>1</v>
      </c>
      <c r="IQ22" s="205">
        <v>0</v>
      </c>
      <c r="IR22" s="204">
        <v>1</v>
      </c>
      <c r="IS22" s="205">
        <v>0</v>
      </c>
      <c r="IT22" s="204">
        <v>0</v>
      </c>
      <c r="IU22" s="205">
        <v>0</v>
      </c>
      <c r="IV22" s="204">
        <v>0</v>
      </c>
      <c r="IW22" s="205">
        <v>0</v>
      </c>
      <c r="IX22" s="204">
        <v>0</v>
      </c>
      <c r="IY22" s="205">
        <v>0</v>
      </c>
      <c r="IZ22" s="204">
        <v>0</v>
      </c>
      <c r="JA22" s="205">
        <v>0</v>
      </c>
      <c r="JB22" s="204">
        <v>0</v>
      </c>
      <c r="JC22" s="205">
        <v>0</v>
      </c>
      <c r="JD22" s="204">
        <v>0</v>
      </c>
      <c r="JE22" s="233">
        <v>0</v>
      </c>
      <c r="JF22" s="236">
        <f t="shared" si="0"/>
        <v>24</v>
      </c>
      <c r="JG22" s="235">
        <f t="shared" si="1"/>
        <v>24</v>
      </c>
      <c r="JH22" s="235">
        <f t="shared" si="2"/>
        <v>24</v>
      </c>
      <c r="JI22" s="235">
        <f t="shared" si="3"/>
        <v>24</v>
      </c>
      <c r="JJ22" s="235">
        <f t="shared" si="4"/>
        <v>24</v>
      </c>
      <c r="JK22" s="235">
        <f t="shared" si="5"/>
        <v>24</v>
      </c>
      <c r="JL22" s="235">
        <f t="shared" si="6"/>
        <v>24</v>
      </c>
      <c r="JM22" s="235">
        <f t="shared" si="7"/>
        <v>24</v>
      </c>
      <c r="JN22" s="235">
        <f t="shared" si="8"/>
        <v>24</v>
      </c>
      <c r="JO22" s="235">
        <f t="shared" si="9"/>
        <v>24</v>
      </c>
      <c r="JP22" s="235">
        <f t="shared" si="10"/>
        <v>24</v>
      </c>
      <c r="JQ22" s="235">
        <f t="shared" si="11"/>
        <v>24</v>
      </c>
      <c r="JR22" s="235">
        <f t="shared" si="12"/>
        <v>24</v>
      </c>
      <c r="JS22" s="235">
        <f t="shared" si="13"/>
        <v>24</v>
      </c>
      <c r="JT22" s="235">
        <f t="shared" si="14"/>
        <v>24</v>
      </c>
      <c r="JU22" s="235">
        <f t="shared" si="15"/>
        <v>24</v>
      </c>
      <c r="JV22" s="235">
        <f t="shared" si="16"/>
        <v>0</v>
      </c>
      <c r="JW22" s="235">
        <f t="shared" si="17"/>
        <v>0</v>
      </c>
      <c r="JX22" s="235">
        <f t="shared" si="18"/>
        <v>0</v>
      </c>
      <c r="JY22" s="235">
        <f t="shared" si="19"/>
        <v>0</v>
      </c>
      <c r="JZ22" s="235">
        <f t="shared" si="20"/>
        <v>0</v>
      </c>
      <c r="KA22" s="237">
        <f t="shared" si="21"/>
        <v>0</v>
      </c>
      <c r="KB22" s="248">
        <v>46040</v>
      </c>
      <c r="KC22" s="201">
        <v>1.1593125</v>
      </c>
      <c r="KD22" s="201">
        <v>1.1593125</v>
      </c>
      <c r="KE22" s="201">
        <v>1.1593125</v>
      </c>
      <c r="KF22" s="201">
        <v>1.1593125</v>
      </c>
      <c r="KG22" s="201">
        <v>1.1593125</v>
      </c>
      <c r="KH22" s="201">
        <v>1.1593125</v>
      </c>
      <c r="KI22" s="201">
        <v>1.1593125</v>
      </c>
      <c r="KJ22" s="201">
        <v>1.1593125</v>
      </c>
      <c r="KK22" s="201">
        <v>1.1593125</v>
      </c>
      <c r="KL22" s="201">
        <v>1.1593125</v>
      </c>
      <c r="KM22" s="201">
        <v>1.1593125</v>
      </c>
      <c r="KN22" s="201">
        <v>1.1593125</v>
      </c>
      <c r="KO22" s="201">
        <v>1.1593125</v>
      </c>
      <c r="KP22" s="201">
        <v>1.1593125</v>
      </c>
      <c r="KQ22" s="201">
        <v>1.1593125</v>
      </c>
      <c r="KR22" s="201">
        <v>1.1593125</v>
      </c>
      <c r="KS22" s="202">
        <v>0</v>
      </c>
      <c r="KT22" s="202">
        <v>0</v>
      </c>
      <c r="KU22" s="202">
        <v>0</v>
      </c>
      <c r="KV22" s="202">
        <v>0</v>
      </c>
      <c r="KW22" s="202">
        <v>0</v>
      </c>
      <c r="KX22" s="202">
        <v>0</v>
      </c>
      <c r="KY22" s="203">
        <v>18.548999999999999</v>
      </c>
    </row>
    <row r="23" spans="1:311">
      <c r="A23" s="194">
        <v>46041</v>
      </c>
      <c r="B23" s="195"/>
      <c r="C23" s="196"/>
      <c r="D23" s="196"/>
      <c r="E23" s="196"/>
      <c r="F23" s="196"/>
      <c r="G23" s="196"/>
      <c r="H23" s="206">
        <v>1</v>
      </c>
      <c r="I23" s="198">
        <v>0</v>
      </c>
      <c r="J23" s="198">
        <v>0</v>
      </c>
      <c r="K23" s="199">
        <v>0</v>
      </c>
      <c r="L23" s="195"/>
      <c r="M23" s="196"/>
      <c r="N23" s="196"/>
      <c r="O23" s="196"/>
      <c r="P23" s="196"/>
      <c r="Q23" s="196"/>
      <c r="R23" s="206">
        <v>1</v>
      </c>
      <c r="S23" s="198">
        <v>0</v>
      </c>
      <c r="T23" s="198">
        <v>0</v>
      </c>
      <c r="U23" s="199">
        <v>0</v>
      </c>
      <c r="V23" s="195"/>
      <c r="W23" s="196"/>
      <c r="X23" s="196"/>
      <c r="Y23" s="196"/>
      <c r="Z23" s="196"/>
      <c r="AA23" s="196"/>
      <c r="AB23" s="206">
        <v>1</v>
      </c>
      <c r="AC23" s="198">
        <v>0</v>
      </c>
      <c r="AD23" s="198">
        <v>0</v>
      </c>
      <c r="AE23" s="199">
        <v>0</v>
      </c>
      <c r="AF23" s="195"/>
      <c r="AG23" s="196"/>
      <c r="AH23" s="196"/>
      <c r="AI23" s="196"/>
      <c r="AJ23" s="196"/>
      <c r="AK23" s="196"/>
      <c r="AL23" s="206">
        <v>1</v>
      </c>
      <c r="AM23" s="198">
        <v>0</v>
      </c>
      <c r="AN23" s="198">
        <v>0</v>
      </c>
      <c r="AO23" s="199">
        <v>0</v>
      </c>
      <c r="AP23" s="195"/>
      <c r="AQ23" s="196"/>
      <c r="AR23" s="196"/>
      <c r="AS23" s="196"/>
      <c r="AT23" s="196"/>
      <c r="AU23" s="196"/>
      <c r="AV23" s="206">
        <v>1</v>
      </c>
      <c r="AW23" s="198">
        <v>0</v>
      </c>
      <c r="AX23" s="198">
        <v>0</v>
      </c>
      <c r="AY23" s="199">
        <v>0</v>
      </c>
      <c r="AZ23" s="195"/>
      <c r="BA23" s="196"/>
      <c r="BB23" s="196"/>
      <c r="BC23" s="196"/>
      <c r="BD23" s="196"/>
      <c r="BE23" s="196"/>
      <c r="BF23" s="206">
        <v>1</v>
      </c>
      <c r="BG23" s="198">
        <v>0</v>
      </c>
      <c r="BH23" s="198">
        <v>0</v>
      </c>
      <c r="BI23" s="199">
        <v>0</v>
      </c>
      <c r="BJ23" s="195"/>
      <c r="BK23" s="196"/>
      <c r="BL23" s="196"/>
      <c r="BM23" s="196"/>
      <c r="BN23" s="196"/>
      <c r="BO23" s="196"/>
      <c r="BP23" s="206">
        <v>1</v>
      </c>
      <c r="BQ23" s="198">
        <v>0</v>
      </c>
      <c r="BR23" s="198">
        <v>0</v>
      </c>
      <c r="BS23" s="199">
        <v>0</v>
      </c>
      <c r="BT23" s="195"/>
      <c r="BU23" s="196"/>
      <c r="BV23" s="196"/>
      <c r="BW23" s="196"/>
      <c r="BX23" s="196"/>
      <c r="BY23" s="196"/>
      <c r="BZ23" s="206">
        <v>1</v>
      </c>
      <c r="CA23" s="198">
        <v>0</v>
      </c>
      <c r="CB23" s="198">
        <v>0</v>
      </c>
      <c r="CC23" s="199">
        <v>0</v>
      </c>
      <c r="CD23" s="195"/>
      <c r="CE23" s="196"/>
      <c r="CF23" s="196"/>
      <c r="CG23" s="196"/>
      <c r="CH23" s="196"/>
      <c r="CI23" s="196"/>
      <c r="CJ23" s="206">
        <v>1</v>
      </c>
      <c r="CK23" s="198">
        <v>0</v>
      </c>
      <c r="CL23" s="198">
        <v>0</v>
      </c>
      <c r="CM23" s="199">
        <v>0</v>
      </c>
      <c r="CN23" s="195"/>
      <c r="CO23" s="196"/>
      <c r="CP23" s="196"/>
      <c r="CQ23" s="196"/>
      <c r="CR23" s="196"/>
      <c r="CS23" s="196"/>
      <c r="CT23" s="206">
        <v>1</v>
      </c>
      <c r="CU23" s="198">
        <v>0</v>
      </c>
      <c r="CV23" s="198">
        <v>0</v>
      </c>
      <c r="CW23" s="199">
        <v>0</v>
      </c>
      <c r="CX23" s="195"/>
      <c r="CY23" s="196"/>
      <c r="CZ23" s="196"/>
      <c r="DA23" s="196"/>
      <c r="DB23" s="196"/>
      <c r="DC23" s="196"/>
      <c r="DD23" s="206">
        <v>1</v>
      </c>
      <c r="DE23" s="198">
        <v>0</v>
      </c>
      <c r="DF23" s="198">
        <v>0</v>
      </c>
      <c r="DG23" s="199">
        <v>0</v>
      </c>
      <c r="DH23" s="195"/>
      <c r="DI23" s="196"/>
      <c r="DJ23" s="196"/>
      <c r="DK23" s="196"/>
      <c r="DL23" s="196"/>
      <c r="DM23" s="196"/>
      <c r="DN23" s="206">
        <v>1</v>
      </c>
      <c r="DO23" s="198">
        <v>0</v>
      </c>
      <c r="DP23" s="198">
        <v>0</v>
      </c>
      <c r="DQ23" s="199">
        <v>0</v>
      </c>
      <c r="DR23" s="195"/>
      <c r="DS23" s="196"/>
      <c r="DT23" s="196"/>
      <c r="DU23" s="196"/>
      <c r="DV23" s="196"/>
      <c r="DW23" s="196"/>
      <c r="DX23" s="206">
        <v>1</v>
      </c>
      <c r="DY23" s="198">
        <v>0</v>
      </c>
      <c r="DZ23" s="198">
        <v>0</v>
      </c>
      <c r="EA23" s="199">
        <v>0</v>
      </c>
      <c r="EB23" s="195"/>
      <c r="EC23" s="196"/>
      <c r="ED23" s="196"/>
      <c r="EE23" s="196"/>
      <c r="EF23" s="196"/>
      <c r="EG23" s="196"/>
      <c r="EH23" s="206">
        <v>1</v>
      </c>
      <c r="EI23" s="198">
        <v>0</v>
      </c>
      <c r="EJ23" s="198">
        <v>0</v>
      </c>
      <c r="EK23" s="199">
        <v>0</v>
      </c>
      <c r="EL23" s="195"/>
      <c r="EM23" s="196"/>
      <c r="EN23" s="196"/>
      <c r="EO23" s="196"/>
      <c r="EP23" s="196"/>
      <c r="EQ23" s="196"/>
      <c r="ER23" s="206">
        <v>1</v>
      </c>
      <c r="ES23" s="198">
        <v>0</v>
      </c>
      <c r="ET23" s="198">
        <v>0</v>
      </c>
      <c r="EU23" s="199">
        <v>0</v>
      </c>
      <c r="EV23" s="195"/>
      <c r="EW23" s="196"/>
      <c r="EX23" s="196"/>
      <c r="EY23" s="196"/>
      <c r="EZ23" s="196"/>
      <c r="FA23" s="196"/>
      <c r="FB23" s="206">
        <v>1</v>
      </c>
      <c r="FC23" s="198">
        <v>0</v>
      </c>
      <c r="FD23" s="198">
        <v>0</v>
      </c>
      <c r="FE23" s="199">
        <v>0</v>
      </c>
      <c r="FF23" s="195"/>
      <c r="FG23" s="196"/>
      <c r="FH23" s="196"/>
      <c r="FI23" s="196"/>
      <c r="FJ23" s="196"/>
      <c r="FK23" s="196"/>
      <c r="FL23" s="200">
        <v>0</v>
      </c>
      <c r="FM23" s="198">
        <v>0</v>
      </c>
      <c r="FN23" s="198">
        <v>0</v>
      </c>
      <c r="FO23" s="199">
        <v>0</v>
      </c>
      <c r="FP23" s="195"/>
      <c r="FQ23" s="196"/>
      <c r="FR23" s="196"/>
      <c r="FS23" s="196"/>
      <c r="FT23" s="196"/>
      <c r="FU23" s="196"/>
      <c r="FV23" s="200">
        <v>0</v>
      </c>
      <c r="FW23" s="198">
        <v>0</v>
      </c>
      <c r="FX23" s="198">
        <v>0</v>
      </c>
      <c r="FY23" s="199">
        <v>0</v>
      </c>
      <c r="FZ23" s="195"/>
      <c r="GA23" s="196"/>
      <c r="GB23" s="196"/>
      <c r="GC23" s="196"/>
      <c r="GD23" s="196"/>
      <c r="GE23" s="196"/>
      <c r="GF23" s="200">
        <v>0</v>
      </c>
      <c r="GG23" s="198">
        <v>0</v>
      </c>
      <c r="GH23" s="198">
        <v>0</v>
      </c>
      <c r="GI23" s="199">
        <v>0</v>
      </c>
      <c r="GJ23" s="195"/>
      <c r="GK23" s="196"/>
      <c r="GL23" s="196"/>
      <c r="GM23" s="196"/>
      <c r="GN23" s="196"/>
      <c r="GO23" s="196"/>
      <c r="GP23" s="200">
        <v>0</v>
      </c>
      <c r="GQ23" s="198">
        <v>0</v>
      </c>
      <c r="GR23" s="198">
        <v>0</v>
      </c>
      <c r="GS23" s="199">
        <v>0</v>
      </c>
      <c r="GT23" s="195"/>
      <c r="GU23" s="196"/>
      <c r="GV23" s="196"/>
      <c r="GW23" s="196"/>
      <c r="GX23" s="196"/>
      <c r="GY23" s="196"/>
      <c r="GZ23" s="200">
        <v>0</v>
      </c>
      <c r="HA23" s="198">
        <v>0</v>
      </c>
      <c r="HB23" s="198">
        <v>0</v>
      </c>
      <c r="HC23" s="199">
        <v>0</v>
      </c>
      <c r="HD23" s="195"/>
      <c r="HE23" s="196"/>
      <c r="HF23" s="196"/>
      <c r="HG23" s="196"/>
      <c r="HH23" s="196"/>
      <c r="HI23" s="196"/>
      <c r="HJ23" s="200">
        <v>0</v>
      </c>
      <c r="HK23" s="198">
        <v>0</v>
      </c>
      <c r="HL23" s="198">
        <v>0</v>
      </c>
      <c r="HM23" s="199">
        <v>0</v>
      </c>
      <c r="HN23" s="204">
        <v>1</v>
      </c>
      <c r="HO23" s="205">
        <v>0</v>
      </c>
      <c r="HP23" s="204">
        <v>1</v>
      </c>
      <c r="HQ23" s="205">
        <v>0</v>
      </c>
      <c r="HR23" s="204">
        <v>1</v>
      </c>
      <c r="HS23" s="205">
        <v>0</v>
      </c>
      <c r="HT23" s="204">
        <v>1</v>
      </c>
      <c r="HU23" s="205">
        <v>0</v>
      </c>
      <c r="HV23" s="204">
        <v>1</v>
      </c>
      <c r="HW23" s="205">
        <v>0</v>
      </c>
      <c r="HX23" s="204">
        <v>1</v>
      </c>
      <c r="HY23" s="205">
        <v>0</v>
      </c>
      <c r="HZ23" s="204">
        <v>1</v>
      </c>
      <c r="IA23" s="205">
        <v>0</v>
      </c>
      <c r="IB23" s="204">
        <v>1</v>
      </c>
      <c r="IC23" s="205">
        <v>0</v>
      </c>
      <c r="ID23" s="204">
        <v>1</v>
      </c>
      <c r="IE23" s="205">
        <v>0</v>
      </c>
      <c r="IF23" s="204">
        <v>1</v>
      </c>
      <c r="IG23" s="205">
        <v>0</v>
      </c>
      <c r="IH23" s="204">
        <v>1</v>
      </c>
      <c r="II23" s="205">
        <v>0</v>
      </c>
      <c r="IJ23" s="204">
        <v>1</v>
      </c>
      <c r="IK23" s="205">
        <v>0</v>
      </c>
      <c r="IL23" s="204">
        <v>1</v>
      </c>
      <c r="IM23" s="205">
        <v>0</v>
      </c>
      <c r="IN23" s="204">
        <v>1</v>
      </c>
      <c r="IO23" s="205">
        <v>0</v>
      </c>
      <c r="IP23" s="204">
        <v>1</v>
      </c>
      <c r="IQ23" s="205">
        <v>0</v>
      </c>
      <c r="IR23" s="204">
        <v>1</v>
      </c>
      <c r="IS23" s="205">
        <v>0</v>
      </c>
      <c r="IT23" s="204">
        <v>0</v>
      </c>
      <c r="IU23" s="205">
        <v>0</v>
      </c>
      <c r="IV23" s="204">
        <v>0</v>
      </c>
      <c r="IW23" s="205">
        <v>0</v>
      </c>
      <c r="IX23" s="204">
        <v>0</v>
      </c>
      <c r="IY23" s="205">
        <v>0</v>
      </c>
      <c r="IZ23" s="204">
        <v>0</v>
      </c>
      <c r="JA23" s="205">
        <v>0</v>
      </c>
      <c r="JB23" s="204">
        <v>0</v>
      </c>
      <c r="JC23" s="205">
        <v>0</v>
      </c>
      <c r="JD23" s="204">
        <v>0</v>
      </c>
      <c r="JE23" s="233">
        <v>0</v>
      </c>
      <c r="JF23" s="236">
        <f t="shared" si="0"/>
        <v>24</v>
      </c>
      <c r="JG23" s="235">
        <f t="shared" si="1"/>
        <v>24</v>
      </c>
      <c r="JH23" s="235">
        <f t="shared" si="2"/>
        <v>24</v>
      </c>
      <c r="JI23" s="235">
        <f t="shared" si="3"/>
        <v>24</v>
      </c>
      <c r="JJ23" s="235">
        <f t="shared" si="4"/>
        <v>24</v>
      </c>
      <c r="JK23" s="235">
        <f t="shared" si="5"/>
        <v>24</v>
      </c>
      <c r="JL23" s="235">
        <f t="shared" si="6"/>
        <v>24</v>
      </c>
      <c r="JM23" s="235">
        <f t="shared" si="7"/>
        <v>24</v>
      </c>
      <c r="JN23" s="235">
        <f t="shared" si="8"/>
        <v>24</v>
      </c>
      <c r="JO23" s="235">
        <f t="shared" si="9"/>
        <v>24</v>
      </c>
      <c r="JP23" s="235">
        <f t="shared" si="10"/>
        <v>24</v>
      </c>
      <c r="JQ23" s="235">
        <f t="shared" si="11"/>
        <v>24</v>
      </c>
      <c r="JR23" s="235">
        <f t="shared" si="12"/>
        <v>24</v>
      </c>
      <c r="JS23" s="235">
        <f t="shared" si="13"/>
        <v>24</v>
      </c>
      <c r="JT23" s="235">
        <f t="shared" si="14"/>
        <v>24</v>
      </c>
      <c r="JU23" s="235">
        <f t="shared" si="15"/>
        <v>24</v>
      </c>
      <c r="JV23" s="235">
        <f t="shared" si="16"/>
        <v>0</v>
      </c>
      <c r="JW23" s="235">
        <f t="shared" si="17"/>
        <v>0</v>
      </c>
      <c r="JX23" s="235">
        <f t="shared" si="18"/>
        <v>0</v>
      </c>
      <c r="JY23" s="235">
        <f t="shared" si="19"/>
        <v>0</v>
      </c>
      <c r="JZ23" s="235">
        <f t="shared" si="20"/>
        <v>0</v>
      </c>
      <c r="KA23" s="237">
        <f t="shared" si="21"/>
        <v>0</v>
      </c>
      <c r="KB23" s="248">
        <v>46041</v>
      </c>
      <c r="KC23" s="201">
        <v>1.4404375</v>
      </c>
      <c r="KD23" s="201">
        <v>1.4404375</v>
      </c>
      <c r="KE23" s="201">
        <v>1.4404375</v>
      </c>
      <c r="KF23" s="201">
        <v>1.4404375</v>
      </c>
      <c r="KG23" s="201">
        <v>1.4404375</v>
      </c>
      <c r="KH23" s="201">
        <v>1.4404375</v>
      </c>
      <c r="KI23" s="201">
        <v>1.4404375</v>
      </c>
      <c r="KJ23" s="201">
        <v>1.4404375</v>
      </c>
      <c r="KK23" s="201">
        <v>1.4404375</v>
      </c>
      <c r="KL23" s="201">
        <v>1.4404375</v>
      </c>
      <c r="KM23" s="201">
        <v>1.4404375</v>
      </c>
      <c r="KN23" s="201">
        <v>1.4404375</v>
      </c>
      <c r="KO23" s="201">
        <v>1.4404375</v>
      </c>
      <c r="KP23" s="201">
        <v>1.4404375</v>
      </c>
      <c r="KQ23" s="201">
        <v>1.4404375</v>
      </c>
      <c r="KR23" s="201">
        <v>1.4404375</v>
      </c>
      <c r="KS23" s="202">
        <v>0</v>
      </c>
      <c r="KT23" s="202">
        <v>0</v>
      </c>
      <c r="KU23" s="202">
        <v>0</v>
      </c>
      <c r="KV23" s="202">
        <v>0</v>
      </c>
      <c r="KW23" s="202">
        <v>0</v>
      </c>
      <c r="KX23" s="202">
        <v>0</v>
      </c>
      <c r="KY23" s="203">
        <v>23.047000000000008</v>
      </c>
    </row>
    <row r="24" spans="1:311">
      <c r="A24" s="194">
        <v>46042</v>
      </c>
      <c r="B24" s="195"/>
      <c r="C24" s="196"/>
      <c r="D24" s="196"/>
      <c r="E24" s="196"/>
      <c r="F24" s="196"/>
      <c r="G24" s="196"/>
      <c r="H24" s="206">
        <v>1</v>
      </c>
      <c r="I24" s="198">
        <v>0</v>
      </c>
      <c r="J24" s="198">
        <v>0</v>
      </c>
      <c r="K24" s="199">
        <v>0</v>
      </c>
      <c r="L24" s="195"/>
      <c r="M24" s="196"/>
      <c r="N24" s="196"/>
      <c r="O24" s="196"/>
      <c r="P24" s="196"/>
      <c r="Q24" s="196"/>
      <c r="R24" s="206">
        <v>1</v>
      </c>
      <c r="S24" s="198">
        <v>0</v>
      </c>
      <c r="T24" s="198">
        <v>0</v>
      </c>
      <c r="U24" s="199">
        <v>0</v>
      </c>
      <c r="V24" s="195"/>
      <c r="W24" s="196"/>
      <c r="X24" s="196"/>
      <c r="Y24" s="196"/>
      <c r="Z24" s="196"/>
      <c r="AA24" s="196"/>
      <c r="AB24" s="206">
        <v>1</v>
      </c>
      <c r="AC24" s="198">
        <v>0</v>
      </c>
      <c r="AD24" s="198">
        <v>0</v>
      </c>
      <c r="AE24" s="199">
        <v>0</v>
      </c>
      <c r="AF24" s="195"/>
      <c r="AG24" s="196"/>
      <c r="AH24" s="196"/>
      <c r="AI24" s="196"/>
      <c r="AJ24" s="196"/>
      <c r="AK24" s="196"/>
      <c r="AL24" s="206">
        <v>1</v>
      </c>
      <c r="AM24" s="198">
        <v>0</v>
      </c>
      <c r="AN24" s="198">
        <v>0</v>
      </c>
      <c r="AO24" s="199">
        <v>0</v>
      </c>
      <c r="AP24" s="195"/>
      <c r="AQ24" s="196"/>
      <c r="AR24" s="196"/>
      <c r="AS24" s="196"/>
      <c r="AT24" s="196"/>
      <c r="AU24" s="196"/>
      <c r="AV24" s="206">
        <v>1</v>
      </c>
      <c r="AW24" s="198">
        <v>0</v>
      </c>
      <c r="AX24" s="198">
        <v>0</v>
      </c>
      <c r="AY24" s="199">
        <v>0</v>
      </c>
      <c r="AZ24" s="195"/>
      <c r="BA24" s="196"/>
      <c r="BB24" s="196"/>
      <c r="BC24" s="196"/>
      <c r="BD24" s="196"/>
      <c r="BE24" s="196"/>
      <c r="BF24" s="206">
        <v>1</v>
      </c>
      <c r="BG24" s="198">
        <v>0</v>
      </c>
      <c r="BH24" s="198">
        <v>0</v>
      </c>
      <c r="BI24" s="199">
        <v>0</v>
      </c>
      <c r="BJ24" s="195"/>
      <c r="BK24" s="196"/>
      <c r="BL24" s="196"/>
      <c r="BM24" s="196"/>
      <c r="BN24" s="196"/>
      <c r="BO24" s="196"/>
      <c r="BP24" s="206">
        <v>1</v>
      </c>
      <c r="BQ24" s="198">
        <v>0</v>
      </c>
      <c r="BR24" s="198">
        <v>0</v>
      </c>
      <c r="BS24" s="199">
        <v>0</v>
      </c>
      <c r="BT24" s="195"/>
      <c r="BU24" s="196"/>
      <c r="BV24" s="196"/>
      <c r="BW24" s="196"/>
      <c r="BX24" s="196"/>
      <c r="BY24" s="196"/>
      <c r="BZ24" s="206">
        <v>1</v>
      </c>
      <c r="CA24" s="198">
        <v>0</v>
      </c>
      <c r="CB24" s="198">
        <v>0</v>
      </c>
      <c r="CC24" s="199">
        <v>0</v>
      </c>
      <c r="CD24" s="195"/>
      <c r="CE24" s="196"/>
      <c r="CF24" s="196"/>
      <c r="CG24" s="196"/>
      <c r="CH24" s="196"/>
      <c r="CI24" s="196"/>
      <c r="CJ24" s="206">
        <v>1</v>
      </c>
      <c r="CK24" s="198">
        <v>0</v>
      </c>
      <c r="CL24" s="198">
        <v>0</v>
      </c>
      <c r="CM24" s="199">
        <v>0</v>
      </c>
      <c r="CN24" s="195"/>
      <c r="CO24" s="196"/>
      <c r="CP24" s="196"/>
      <c r="CQ24" s="196"/>
      <c r="CR24" s="196"/>
      <c r="CS24" s="196"/>
      <c r="CT24" s="206">
        <v>1</v>
      </c>
      <c r="CU24" s="198">
        <v>0</v>
      </c>
      <c r="CV24" s="198">
        <v>0</v>
      </c>
      <c r="CW24" s="199">
        <v>0</v>
      </c>
      <c r="CX24" s="195"/>
      <c r="CY24" s="196"/>
      <c r="CZ24" s="196"/>
      <c r="DA24" s="196"/>
      <c r="DB24" s="196"/>
      <c r="DC24" s="196"/>
      <c r="DD24" s="206">
        <v>1</v>
      </c>
      <c r="DE24" s="198">
        <v>0</v>
      </c>
      <c r="DF24" s="198">
        <v>0</v>
      </c>
      <c r="DG24" s="199">
        <v>0</v>
      </c>
      <c r="DH24" s="195"/>
      <c r="DI24" s="196"/>
      <c r="DJ24" s="196"/>
      <c r="DK24" s="196"/>
      <c r="DL24" s="196"/>
      <c r="DM24" s="196"/>
      <c r="DN24" s="206">
        <v>1</v>
      </c>
      <c r="DO24" s="198">
        <v>0</v>
      </c>
      <c r="DP24" s="198">
        <v>0</v>
      </c>
      <c r="DQ24" s="199">
        <v>0</v>
      </c>
      <c r="DR24" s="195"/>
      <c r="DS24" s="196"/>
      <c r="DT24" s="196"/>
      <c r="DU24" s="196"/>
      <c r="DV24" s="196"/>
      <c r="DW24" s="196"/>
      <c r="DX24" s="206">
        <v>1</v>
      </c>
      <c r="DY24" s="198">
        <v>0</v>
      </c>
      <c r="DZ24" s="198">
        <v>0</v>
      </c>
      <c r="EA24" s="199">
        <v>0</v>
      </c>
      <c r="EB24" s="195"/>
      <c r="EC24" s="196"/>
      <c r="ED24" s="196"/>
      <c r="EE24" s="196"/>
      <c r="EF24" s="196"/>
      <c r="EG24" s="196"/>
      <c r="EH24" s="206">
        <v>1</v>
      </c>
      <c r="EI24" s="198">
        <v>0</v>
      </c>
      <c r="EJ24" s="198">
        <v>0</v>
      </c>
      <c r="EK24" s="199">
        <v>0</v>
      </c>
      <c r="EL24" s="195"/>
      <c r="EM24" s="196"/>
      <c r="EN24" s="196"/>
      <c r="EO24" s="196"/>
      <c r="EP24" s="196"/>
      <c r="EQ24" s="196"/>
      <c r="ER24" s="206">
        <v>1</v>
      </c>
      <c r="ES24" s="198">
        <v>0</v>
      </c>
      <c r="ET24" s="198">
        <v>0</v>
      </c>
      <c r="EU24" s="199">
        <v>0</v>
      </c>
      <c r="EV24" s="195"/>
      <c r="EW24" s="196"/>
      <c r="EX24" s="196"/>
      <c r="EY24" s="196"/>
      <c r="EZ24" s="196"/>
      <c r="FA24" s="196"/>
      <c r="FB24" s="206">
        <v>1</v>
      </c>
      <c r="FC24" s="198">
        <v>0</v>
      </c>
      <c r="FD24" s="198">
        <v>0</v>
      </c>
      <c r="FE24" s="199">
        <v>0</v>
      </c>
      <c r="FF24" s="195">
        <v>0.25</v>
      </c>
      <c r="FG24" s="196"/>
      <c r="FH24" s="196"/>
      <c r="FI24" s="196"/>
      <c r="FJ24" s="196"/>
      <c r="FK24" s="196"/>
      <c r="FL24" s="200">
        <v>0.75</v>
      </c>
      <c r="FM24" s="198">
        <v>18</v>
      </c>
      <c r="FN24" s="198">
        <v>0</v>
      </c>
      <c r="FO24" s="199">
        <v>1</v>
      </c>
      <c r="FP24" s="195">
        <v>0.25</v>
      </c>
      <c r="FQ24" s="196"/>
      <c r="FR24" s="196"/>
      <c r="FS24" s="196"/>
      <c r="FT24" s="196"/>
      <c r="FU24" s="196"/>
      <c r="FV24" s="200">
        <v>0.75</v>
      </c>
      <c r="FW24" s="198">
        <v>18</v>
      </c>
      <c r="FX24" s="198">
        <v>0</v>
      </c>
      <c r="FY24" s="199">
        <v>1</v>
      </c>
      <c r="FZ24" s="195">
        <v>0.25</v>
      </c>
      <c r="GA24" s="196"/>
      <c r="GB24" s="196"/>
      <c r="GC24" s="196"/>
      <c r="GD24" s="196"/>
      <c r="GE24" s="196"/>
      <c r="GF24" s="200">
        <v>0.75</v>
      </c>
      <c r="GG24" s="198">
        <v>18</v>
      </c>
      <c r="GH24" s="198">
        <v>0</v>
      </c>
      <c r="GI24" s="199">
        <v>1</v>
      </c>
      <c r="GJ24" s="195"/>
      <c r="GK24" s="196"/>
      <c r="GL24" s="196"/>
      <c r="GM24" s="196"/>
      <c r="GN24" s="196"/>
      <c r="GO24" s="196"/>
      <c r="GP24" s="200">
        <v>0</v>
      </c>
      <c r="GQ24" s="198">
        <v>0</v>
      </c>
      <c r="GR24" s="198">
        <v>0</v>
      </c>
      <c r="GS24" s="199">
        <v>0</v>
      </c>
      <c r="GT24" s="195"/>
      <c r="GU24" s="196"/>
      <c r="GV24" s="196"/>
      <c r="GW24" s="196"/>
      <c r="GX24" s="196"/>
      <c r="GY24" s="196"/>
      <c r="GZ24" s="200">
        <v>0</v>
      </c>
      <c r="HA24" s="198">
        <v>0</v>
      </c>
      <c r="HB24" s="198">
        <v>0</v>
      </c>
      <c r="HC24" s="199">
        <v>0</v>
      </c>
      <c r="HD24" s="195"/>
      <c r="HE24" s="196"/>
      <c r="HF24" s="196"/>
      <c r="HG24" s="196"/>
      <c r="HH24" s="196"/>
      <c r="HI24" s="196"/>
      <c r="HJ24" s="200">
        <v>0</v>
      </c>
      <c r="HK24" s="198">
        <v>0</v>
      </c>
      <c r="HL24" s="198">
        <v>0</v>
      </c>
      <c r="HM24" s="199">
        <v>0</v>
      </c>
      <c r="HN24" s="204">
        <v>1</v>
      </c>
      <c r="HO24" s="205">
        <v>0</v>
      </c>
      <c r="HP24" s="204">
        <v>1</v>
      </c>
      <c r="HQ24" s="205">
        <v>0</v>
      </c>
      <c r="HR24" s="204">
        <v>1</v>
      </c>
      <c r="HS24" s="205">
        <v>0</v>
      </c>
      <c r="HT24" s="204">
        <v>1</v>
      </c>
      <c r="HU24" s="205">
        <v>0</v>
      </c>
      <c r="HV24" s="204">
        <v>1</v>
      </c>
      <c r="HW24" s="205">
        <v>0</v>
      </c>
      <c r="HX24" s="204">
        <v>1</v>
      </c>
      <c r="HY24" s="205">
        <v>0</v>
      </c>
      <c r="HZ24" s="204">
        <v>1</v>
      </c>
      <c r="IA24" s="205">
        <v>0</v>
      </c>
      <c r="IB24" s="204">
        <v>1</v>
      </c>
      <c r="IC24" s="205">
        <v>0</v>
      </c>
      <c r="ID24" s="204">
        <v>1</v>
      </c>
      <c r="IE24" s="205">
        <v>0</v>
      </c>
      <c r="IF24" s="204">
        <v>1</v>
      </c>
      <c r="IG24" s="205">
        <v>0</v>
      </c>
      <c r="IH24" s="204">
        <v>1</v>
      </c>
      <c r="II24" s="205">
        <v>0</v>
      </c>
      <c r="IJ24" s="204">
        <v>1</v>
      </c>
      <c r="IK24" s="205">
        <v>0</v>
      </c>
      <c r="IL24" s="204">
        <v>1</v>
      </c>
      <c r="IM24" s="205">
        <v>0</v>
      </c>
      <c r="IN24" s="204">
        <v>1</v>
      </c>
      <c r="IO24" s="205">
        <v>0</v>
      </c>
      <c r="IP24" s="204">
        <v>1</v>
      </c>
      <c r="IQ24" s="205">
        <v>0</v>
      </c>
      <c r="IR24" s="204">
        <v>1</v>
      </c>
      <c r="IS24" s="205">
        <v>0</v>
      </c>
      <c r="IT24" s="204">
        <v>0.75</v>
      </c>
      <c r="IU24" s="205">
        <v>1</v>
      </c>
      <c r="IV24" s="204">
        <v>0.75</v>
      </c>
      <c r="IW24" s="205">
        <v>1</v>
      </c>
      <c r="IX24" s="204">
        <v>0.75</v>
      </c>
      <c r="IY24" s="205">
        <v>1</v>
      </c>
      <c r="IZ24" s="204">
        <v>0</v>
      </c>
      <c r="JA24" s="205">
        <v>0</v>
      </c>
      <c r="JB24" s="204">
        <v>0</v>
      </c>
      <c r="JC24" s="205">
        <v>0</v>
      </c>
      <c r="JD24" s="204">
        <v>0</v>
      </c>
      <c r="JE24" s="233">
        <v>0</v>
      </c>
      <c r="JF24" s="236">
        <f t="shared" si="0"/>
        <v>24</v>
      </c>
      <c r="JG24" s="235">
        <f t="shared" si="1"/>
        <v>24</v>
      </c>
      <c r="JH24" s="235">
        <f t="shared" si="2"/>
        <v>24</v>
      </c>
      <c r="JI24" s="235">
        <f t="shared" si="3"/>
        <v>24</v>
      </c>
      <c r="JJ24" s="235">
        <f t="shared" si="4"/>
        <v>24</v>
      </c>
      <c r="JK24" s="235">
        <f t="shared" si="5"/>
        <v>24</v>
      </c>
      <c r="JL24" s="235">
        <f t="shared" si="6"/>
        <v>24</v>
      </c>
      <c r="JM24" s="235">
        <f t="shared" si="7"/>
        <v>24</v>
      </c>
      <c r="JN24" s="235">
        <f t="shared" si="8"/>
        <v>24</v>
      </c>
      <c r="JO24" s="235">
        <f t="shared" si="9"/>
        <v>24</v>
      </c>
      <c r="JP24" s="235">
        <f t="shared" si="10"/>
        <v>24</v>
      </c>
      <c r="JQ24" s="235">
        <f t="shared" si="11"/>
        <v>24</v>
      </c>
      <c r="JR24" s="235">
        <f t="shared" si="12"/>
        <v>24</v>
      </c>
      <c r="JS24" s="235">
        <f t="shared" si="13"/>
        <v>24</v>
      </c>
      <c r="JT24" s="235">
        <f t="shared" si="14"/>
        <v>24</v>
      </c>
      <c r="JU24" s="235">
        <f t="shared" si="15"/>
        <v>24</v>
      </c>
      <c r="JV24" s="235">
        <f t="shared" si="16"/>
        <v>18</v>
      </c>
      <c r="JW24" s="235">
        <f t="shared" si="17"/>
        <v>18</v>
      </c>
      <c r="JX24" s="235">
        <f t="shared" si="18"/>
        <v>18</v>
      </c>
      <c r="JY24" s="235">
        <f t="shared" si="19"/>
        <v>0</v>
      </c>
      <c r="JZ24" s="235">
        <f t="shared" si="20"/>
        <v>0</v>
      </c>
      <c r="KA24" s="237">
        <f t="shared" si="21"/>
        <v>0</v>
      </c>
      <c r="KB24" s="248">
        <v>46042</v>
      </c>
      <c r="KC24" s="201">
        <v>1.5856056249999999</v>
      </c>
      <c r="KD24" s="201">
        <v>1.5856056249999999</v>
      </c>
      <c r="KE24" s="201">
        <v>1.5856056249999999</v>
      </c>
      <c r="KF24" s="201">
        <v>1.5856056249999999</v>
      </c>
      <c r="KG24" s="201">
        <v>1.5856056249999999</v>
      </c>
      <c r="KH24" s="201">
        <v>1.5856056249999999</v>
      </c>
      <c r="KI24" s="201">
        <v>1.5856056249999999</v>
      </c>
      <c r="KJ24" s="201">
        <v>1.5856056249999999</v>
      </c>
      <c r="KK24" s="201">
        <v>1.5856056249999999</v>
      </c>
      <c r="KL24" s="201">
        <v>1.5856056249999999</v>
      </c>
      <c r="KM24" s="201">
        <v>1.5856056249999999</v>
      </c>
      <c r="KN24" s="201">
        <v>1.5856056249999999</v>
      </c>
      <c r="KO24" s="201">
        <v>1.5856056249999999</v>
      </c>
      <c r="KP24" s="201">
        <v>1.5856056249999999</v>
      </c>
      <c r="KQ24" s="201">
        <v>1.5856056249999999</v>
      </c>
      <c r="KR24" s="201">
        <v>1.5856056249999999</v>
      </c>
      <c r="KS24" s="201">
        <v>1.1961033333333335</v>
      </c>
      <c r="KT24" s="201">
        <v>1.1961033333333335</v>
      </c>
      <c r="KU24" s="201">
        <v>1.1961033333333335</v>
      </c>
      <c r="KV24" s="202">
        <v>0</v>
      </c>
      <c r="KW24" s="202">
        <v>0</v>
      </c>
      <c r="KX24" s="202">
        <v>0</v>
      </c>
      <c r="KY24" s="203">
        <v>28.957999999999995</v>
      </c>
    </row>
    <row r="25" spans="1:311">
      <c r="A25" s="194">
        <v>46043</v>
      </c>
      <c r="B25" s="195"/>
      <c r="C25" s="196"/>
      <c r="D25" s="196"/>
      <c r="E25" s="196"/>
      <c r="F25" s="196"/>
      <c r="G25" s="196"/>
      <c r="H25" s="206">
        <v>1</v>
      </c>
      <c r="I25" s="198">
        <v>0</v>
      </c>
      <c r="J25" s="198">
        <v>0</v>
      </c>
      <c r="K25" s="199">
        <v>0</v>
      </c>
      <c r="L25" s="195"/>
      <c r="M25" s="196"/>
      <c r="N25" s="196"/>
      <c r="O25" s="196"/>
      <c r="P25" s="196"/>
      <c r="Q25" s="196"/>
      <c r="R25" s="206">
        <v>1</v>
      </c>
      <c r="S25" s="198">
        <v>0</v>
      </c>
      <c r="T25" s="198">
        <v>0</v>
      </c>
      <c r="U25" s="199">
        <v>0</v>
      </c>
      <c r="V25" s="195"/>
      <c r="W25" s="196"/>
      <c r="X25" s="196"/>
      <c r="Y25" s="196"/>
      <c r="Z25" s="196"/>
      <c r="AA25" s="196"/>
      <c r="AB25" s="206">
        <v>1</v>
      </c>
      <c r="AC25" s="198">
        <v>0</v>
      </c>
      <c r="AD25" s="198">
        <v>0</v>
      </c>
      <c r="AE25" s="199">
        <v>0</v>
      </c>
      <c r="AF25" s="195"/>
      <c r="AG25" s="196"/>
      <c r="AH25" s="196"/>
      <c r="AI25" s="196"/>
      <c r="AJ25" s="196"/>
      <c r="AK25" s="196"/>
      <c r="AL25" s="206">
        <v>1</v>
      </c>
      <c r="AM25" s="198">
        <v>0</v>
      </c>
      <c r="AN25" s="198">
        <v>0</v>
      </c>
      <c r="AO25" s="199">
        <v>0</v>
      </c>
      <c r="AP25" s="195"/>
      <c r="AQ25" s="196"/>
      <c r="AR25" s="196"/>
      <c r="AS25" s="196"/>
      <c r="AT25" s="196"/>
      <c r="AU25" s="196"/>
      <c r="AV25" s="206">
        <v>1</v>
      </c>
      <c r="AW25" s="198">
        <v>0</v>
      </c>
      <c r="AX25" s="198">
        <v>0</v>
      </c>
      <c r="AY25" s="199">
        <v>0</v>
      </c>
      <c r="AZ25" s="195"/>
      <c r="BA25" s="196"/>
      <c r="BB25" s="196"/>
      <c r="BC25" s="196"/>
      <c r="BD25" s="196"/>
      <c r="BE25" s="196"/>
      <c r="BF25" s="206">
        <v>1</v>
      </c>
      <c r="BG25" s="198">
        <v>0</v>
      </c>
      <c r="BH25" s="198">
        <v>0</v>
      </c>
      <c r="BI25" s="199">
        <v>0</v>
      </c>
      <c r="BJ25" s="195"/>
      <c r="BK25" s="196"/>
      <c r="BL25" s="196"/>
      <c r="BM25" s="196"/>
      <c r="BN25" s="196"/>
      <c r="BO25" s="196"/>
      <c r="BP25" s="206">
        <v>1</v>
      </c>
      <c r="BQ25" s="198">
        <v>0</v>
      </c>
      <c r="BR25" s="198">
        <v>0</v>
      </c>
      <c r="BS25" s="199">
        <v>0</v>
      </c>
      <c r="BT25" s="195"/>
      <c r="BU25" s="196"/>
      <c r="BV25" s="196"/>
      <c r="BW25" s="196"/>
      <c r="BX25" s="196"/>
      <c r="BY25" s="196"/>
      <c r="BZ25" s="206">
        <v>1</v>
      </c>
      <c r="CA25" s="198">
        <v>0</v>
      </c>
      <c r="CB25" s="198">
        <v>0</v>
      </c>
      <c r="CC25" s="199">
        <v>0</v>
      </c>
      <c r="CD25" s="195"/>
      <c r="CE25" s="196"/>
      <c r="CF25" s="196"/>
      <c r="CG25" s="196"/>
      <c r="CH25" s="196"/>
      <c r="CI25" s="196"/>
      <c r="CJ25" s="206">
        <v>1</v>
      </c>
      <c r="CK25" s="198">
        <v>0</v>
      </c>
      <c r="CL25" s="198">
        <v>0</v>
      </c>
      <c r="CM25" s="199">
        <v>0</v>
      </c>
      <c r="CN25" s="195"/>
      <c r="CO25" s="196"/>
      <c r="CP25" s="196"/>
      <c r="CQ25" s="196"/>
      <c r="CR25" s="196"/>
      <c r="CS25" s="196"/>
      <c r="CT25" s="206">
        <v>1</v>
      </c>
      <c r="CU25" s="198">
        <v>0</v>
      </c>
      <c r="CV25" s="198">
        <v>0</v>
      </c>
      <c r="CW25" s="199">
        <v>0</v>
      </c>
      <c r="CX25" s="195"/>
      <c r="CY25" s="196"/>
      <c r="CZ25" s="196"/>
      <c r="DA25" s="196"/>
      <c r="DB25" s="196"/>
      <c r="DC25" s="196"/>
      <c r="DD25" s="206">
        <v>1</v>
      </c>
      <c r="DE25" s="198">
        <v>0</v>
      </c>
      <c r="DF25" s="198">
        <v>0</v>
      </c>
      <c r="DG25" s="199">
        <v>0</v>
      </c>
      <c r="DH25" s="195"/>
      <c r="DI25" s="196"/>
      <c r="DJ25" s="196"/>
      <c r="DK25" s="196"/>
      <c r="DL25" s="196"/>
      <c r="DM25" s="196"/>
      <c r="DN25" s="206">
        <v>1</v>
      </c>
      <c r="DO25" s="198">
        <v>0</v>
      </c>
      <c r="DP25" s="198">
        <v>0</v>
      </c>
      <c r="DQ25" s="199">
        <v>0</v>
      </c>
      <c r="DR25" s="195"/>
      <c r="DS25" s="196"/>
      <c r="DT25" s="196"/>
      <c r="DU25" s="196"/>
      <c r="DV25" s="196"/>
      <c r="DW25" s="196"/>
      <c r="DX25" s="206">
        <v>1</v>
      </c>
      <c r="DY25" s="198">
        <v>0</v>
      </c>
      <c r="DZ25" s="198">
        <v>0</v>
      </c>
      <c r="EA25" s="199">
        <v>0</v>
      </c>
      <c r="EB25" s="195"/>
      <c r="EC25" s="196"/>
      <c r="ED25" s="196"/>
      <c r="EE25" s="196"/>
      <c r="EF25" s="196"/>
      <c r="EG25" s="196"/>
      <c r="EH25" s="206">
        <v>1</v>
      </c>
      <c r="EI25" s="198">
        <v>0</v>
      </c>
      <c r="EJ25" s="198">
        <v>0</v>
      </c>
      <c r="EK25" s="199">
        <v>0</v>
      </c>
      <c r="EL25" s="195"/>
      <c r="EM25" s="196"/>
      <c r="EN25" s="196"/>
      <c r="EO25" s="196"/>
      <c r="EP25" s="196"/>
      <c r="EQ25" s="196"/>
      <c r="ER25" s="206">
        <v>1</v>
      </c>
      <c r="ES25" s="198">
        <v>0</v>
      </c>
      <c r="ET25" s="198">
        <v>0</v>
      </c>
      <c r="EU25" s="199">
        <v>0</v>
      </c>
      <c r="EV25" s="195"/>
      <c r="EW25" s="196"/>
      <c r="EX25" s="196"/>
      <c r="EY25" s="196"/>
      <c r="EZ25" s="196"/>
      <c r="FA25" s="196"/>
      <c r="FB25" s="206">
        <v>1</v>
      </c>
      <c r="FC25" s="198">
        <v>0</v>
      </c>
      <c r="FD25" s="198">
        <v>0</v>
      </c>
      <c r="FE25" s="199">
        <v>0</v>
      </c>
      <c r="FF25" s="195"/>
      <c r="FG25" s="196"/>
      <c r="FH25" s="196"/>
      <c r="FI25" s="196"/>
      <c r="FJ25" s="196"/>
      <c r="FK25" s="196"/>
      <c r="FL25" s="206">
        <v>1</v>
      </c>
      <c r="FM25" s="198">
        <v>0</v>
      </c>
      <c r="FN25" s="198">
        <v>0</v>
      </c>
      <c r="FO25" s="199">
        <v>0</v>
      </c>
      <c r="FP25" s="195"/>
      <c r="FQ25" s="196"/>
      <c r="FR25" s="196"/>
      <c r="FS25" s="196"/>
      <c r="FT25" s="196"/>
      <c r="FU25" s="196"/>
      <c r="FV25" s="206">
        <v>1</v>
      </c>
      <c r="FW25" s="198">
        <v>0</v>
      </c>
      <c r="FX25" s="198">
        <v>0</v>
      </c>
      <c r="FY25" s="199">
        <v>0</v>
      </c>
      <c r="FZ25" s="195"/>
      <c r="GA25" s="196"/>
      <c r="GB25" s="196"/>
      <c r="GC25" s="196"/>
      <c r="GD25" s="196"/>
      <c r="GE25" s="196"/>
      <c r="GF25" s="206">
        <v>1</v>
      </c>
      <c r="GG25" s="198">
        <v>0</v>
      </c>
      <c r="GH25" s="198">
        <v>0</v>
      </c>
      <c r="GI25" s="199">
        <v>0</v>
      </c>
      <c r="GJ25" s="195"/>
      <c r="GK25" s="196"/>
      <c r="GL25" s="196"/>
      <c r="GM25" s="196"/>
      <c r="GN25" s="196"/>
      <c r="GO25" s="196"/>
      <c r="GP25" s="200">
        <v>0</v>
      </c>
      <c r="GQ25" s="198">
        <v>0</v>
      </c>
      <c r="GR25" s="198">
        <v>0</v>
      </c>
      <c r="GS25" s="199">
        <v>0</v>
      </c>
      <c r="GT25" s="195"/>
      <c r="GU25" s="196"/>
      <c r="GV25" s="196"/>
      <c r="GW25" s="196"/>
      <c r="GX25" s="196"/>
      <c r="GY25" s="196"/>
      <c r="GZ25" s="200">
        <v>0</v>
      </c>
      <c r="HA25" s="198">
        <v>0</v>
      </c>
      <c r="HB25" s="198">
        <v>0</v>
      </c>
      <c r="HC25" s="199">
        <v>0</v>
      </c>
      <c r="HD25" s="195"/>
      <c r="HE25" s="196"/>
      <c r="HF25" s="196"/>
      <c r="HG25" s="196"/>
      <c r="HH25" s="196"/>
      <c r="HI25" s="196"/>
      <c r="HJ25" s="200">
        <v>0</v>
      </c>
      <c r="HK25" s="198">
        <v>0</v>
      </c>
      <c r="HL25" s="198">
        <v>0</v>
      </c>
      <c r="HM25" s="199">
        <v>0</v>
      </c>
      <c r="HN25" s="204">
        <v>1</v>
      </c>
      <c r="HO25" s="205">
        <v>0</v>
      </c>
      <c r="HP25" s="204">
        <v>1</v>
      </c>
      <c r="HQ25" s="205">
        <v>0</v>
      </c>
      <c r="HR25" s="204">
        <v>1</v>
      </c>
      <c r="HS25" s="205">
        <v>0</v>
      </c>
      <c r="HT25" s="204">
        <v>1</v>
      </c>
      <c r="HU25" s="205">
        <v>0</v>
      </c>
      <c r="HV25" s="204">
        <v>1</v>
      </c>
      <c r="HW25" s="205">
        <v>0</v>
      </c>
      <c r="HX25" s="204">
        <v>1</v>
      </c>
      <c r="HY25" s="205">
        <v>0</v>
      </c>
      <c r="HZ25" s="204">
        <v>1</v>
      </c>
      <c r="IA25" s="205">
        <v>0</v>
      </c>
      <c r="IB25" s="204">
        <v>1</v>
      </c>
      <c r="IC25" s="205">
        <v>0</v>
      </c>
      <c r="ID25" s="204">
        <v>1</v>
      </c>
      <c r="IE25" s="205">
        <v>0</v>
      </c>
      <c r="IF25" s="204">
        <v>1</v>
      </c>
      <c r="IG25" s="205">
        <v>0</v>
      </c>
      <c r="IH25" s="204">
        <v>1</v>
      </c>
      <c r="II25" s="205">
        <v>0</v>
      </c>
      <c r="IJ25" s="204">
        <v>1</v>
      </c>
      <c r="IK25" s="205">
        <v>0</v>
      </c>
      <c r="IL25" s="204">
        <v>1</v>
      </c>
      <c r="IM25" s="205">
        <v>0</v>
      </c>
      <c r="IN25" s="204">
        <v>1</v>
      </c>
      <c r="IO25" s="205">
        <v>0</v>
      </c>
      <c r="IP25" s="204">
        <v>1</v>
      </c>
      <c r="IQ25" s="205">
        <v>0</v>
      </c>
      <c r="IR25" s="204">
        <v>1</v>
      </c>
      <c r="IS25" s="205">
        <v>0</v>
      </c>
      <c r="IT25" s="204">
        <v>1</v>
      </c>
      <c r="IU25" s="205">
        <v>0</v>
      </c>
      <c r="IV25" s="204">
        <v>1</v>
      </c>
      <c r="IW25" s="205">
        <v>0</v>
      </c>
      <c r="IX25" s="204">
        <v>1</v>
      </c>
      <c r="IY25" s="205">
        <v>0</v>
      </c>
      <c r="IZ25" s="204">
        <v>0</v>
      </c>
      <c r="JA25" s="205">
        <v>0</v>
      </c>
      <c r="JB25" s="204">
        <v>0</v>
      </c>
      <c r="JC25" s="205">
        <v>0</v>
      </c>
      <c r="JD25" s="204">
        <v>0</v>
      </c>
      <c r="JE25" s="233">
        <v>0</v>
      </c>
      <c r="JF25" s="236">
        <f t="shared" si="0"/>
        <v>24</v>
      </c>
      <c r="JG25" s="235">
        <f t="shared" si="1"/>
        <v>24</v>
      </c>
      <c r="JH25" s="235">
        <f t="shared" si="2"/>
        <v>24</v>
      </c>
      <c r="JI25" s="235">
        <f t="shared" si="3"/>
        <v>24</v>
      </c>
      <c r="JJ25" s="235">
        <f t="shared" si="4"/>
        <v>24</v>
      </c>
      <c r="JK25" s="235">
        <f t="shared" si="5"/>
        <v>24</v>
      </c>
      <c r="JL25" s="235">
        <f t="shared" si="6"/>
        <v>24</v>
      </c>
      <c r="JM25" s="235">
        <f t="shared" si="7"/>
        <v>24</v>
      </c>
      <c r="JN25" s="235">
        <f t="shared" si="8"/>
        <v>24</v>
      </c>
      <c r="JO25" s="235">
        <f t="shared" si="9"/>
        <v>24</v>
      </c>
      <c r="JP25" s="235">
        <f t="shared" si="10"/>
        <v>24</v>
      </c>
      <c r="JQ25" s="235">
        <f t="shared" si="11"/>
        <v>24</v>
      </c>
      <c r="JR25" s="235">
        <f t="shared" si="12"/>
        <v>24</v>
      </c>
      <c r="JS25" s="235">
        <f t="shared" si="13"/>
        <v>24</v>
      </c>
      <c r="JT25" s="235">
        <f t="shared" si="14"/>
        <v>24</v>
      </c>
      <c r="JU25" s="235">
        <f t="shared" si="15"/>
        <v>24</v>
      </c>
      <c r="JV25" s="235">
        <f t="shared" si="16"/>
        <v>24</v>
      </c>
      <c r="JW25" s="235">
        <f t="shared" si="17"/>
        <v>24</v>
      </c>
      <c r="JX25" s="235">
        <f t="shared" si="18"/>
        <v>24</v>
      </c>
      <c r="JY25" s="235">
        <f t="shared" si="19"/>
        <v>0</v>
      </c>
      <c r="JZ25" s="235">
        <f t="shared" si="20"/>
        <v>0</v>
      </c>
      <c r="KA25" s="237">
        <f t="shared" si="21"/>
        <v>0</v>
      </c>
      <c r="KB25" s="248">
        <v>46043</v>
      </c>
      <c r="KC25" s="201">
        <v>1.5916315789473683</v>
      </c>
      <c r="KD25" s="201">
        <v>1.5916315789473683</v>
      </c>
      <c r="KE25" s="201">
        <v>1.5916315789473683</v>
      </c>
      <c r="KF25" s="201">
        <v>1.5916315789473683</v>
      </c>
      <c r="KG25" s="201">
        <v>1.5916315789473683</v>
      </c>
      <c r="KH25" s="201">
        <v>1.5916315789473683</v>
      </c>
      <c r="KI25" s="201">
        <v>1.5916315789473683</v>
      </c>
      <c r="KJ25" s="201">
        <v>1.5916315789473683</v>
      </c>
      <c r="KK25" s="201">
        <v>1.5916315789473683</v>
      </c>
      <c r="KL25" s="201">
        <v>1.5916315789473683</v>
      </c>
      <c r="KM25" s="201">
        <v>1.5916315789473683</v>
      </c>
      <c r="KN25" s="201">
        <v>1.5916315789473683</v>
      </c>
      <c r="KO25" s="201">
        <v>1.5916315789473683</v>
      </c>
      <c r="KP25" s="201">
        <v>1.5916315789473683</v>
      </c>
      <c r="KQ25" s="201">
        <v>1.5916315789473683</v>
      </c>
      <c r="KR25" s="201">
        <v>1.5916315789473683</v>
      </c>
      <c r="KS25" s="201">
        <v>1.5916315789473683</v>
      </c>
      <c r="KT25" s="201">
        <v>1.5916315789473683</v>
      </c>
      <c r="KU25" s="201">
        <v>1.5916315789473683</v>
      </c>
      <c r="KV25" s="202">
        <v>0</v>
      </c>
      <c r="KW25" s="202">
        <v>0</v>
      </c>
      <c r="KX25" s="202">
        <v>0</v>
      </c>
      <c r="KY25" s="203">
        <v>30.240999999999993</v>
      </c>
    </row>
    <row r="26" spans="1:311">
      <c r="A26" s="194">
        <v>46044</v>
      </c>
      <c r="B26" s="195"/>
      <c r="C26" s="196"/>
      <c r="D26" s="196"/>
      <c r="E26" s="196"/>
      <c r="F26" s="196"/>
      <c r="G26" s="196"/>
      <c r="H26" s="206">
        <v>1</v>
      </c>
      <c r="I26" s="198">
        <v>0</v>
      </c>
      <c r="J26" s="198">
        <v>0</v>
      </c>
      <c r="K26" s="199">
        <v>0</v>
      </c>
      <c r="L26" s="195"/>
      <c r="M26" s="196"/>
      <c r="N26" s="196"/>
      <c r="O26" s="196"/>
      <c r="P26" s="196"/>
      <c r="Q26" s="196"/>
      <c r="R26" s="206">
        <v>1</v>
      </c>
      <c r="S26" s="198">
        <v>0</v>
      </c>
      <c r="T26" s="198">
        <v>0</v>
      </c>
      <c r="U26" s="199">
        <v>0</v>
      </c>
      <c r="V26" s="195"/>
      <c r="W26" s="196"/>
      <c r="X26" s="196"/>
      <c r="Y26" s="196"/>
      <c r="Z26" s="196"/>
      <c r="AA26" s="196"/>
      <c r="AB26" s="206">
        <v>1</v>
      </c>
      <c r="AC26" s="198">
        <v>0</v>
      </c>
      <c r="AD26" s="198">
        <v>0</v>
      </c>
      <c r="AE26" s="199">
        <v>0</v>
      </c>
      <c r="AF26" s="195"/>
      <c r="AG26" s="196"/>
      <c r="AH26" s="196"/>
      <c r="AI26" s="196"/>
      <c r="AJ26" s="196"/>
      <c r="AK26" s="196"/>
      <c r="AL26" s="206">
        <v>1</v>
      </c>
      <c r="AM26" s="198">
        <v>0</v>
      </c>
      <c r="AN26" s="198">
        <v>0</v>
      </c>
      <c r="AO26" s="199">
        <v>0</v>
      </c>
      <c r="AP26" s="195"/>
      <c r="AQ26" s="196"/>
      <c r="AR26" s="196"/>
      <c r="AS26" s="196"/>
      <c r="AT26" s="196"/>
      <c r="AU26" s="196"/>
      <c r="AV26" s="206">
        <v>1</v>
      </c>
      <c r="AW26" s="198">
        <v>0</v>
      </c>
      <c r="AX26" s="198">
        <v>0</v>
      </c>
      <c r="AY26" s="199">
        <v>0</v>
      </c>
      <c r="AZ26" s="195"/>
      <c r="BA26" s="196"/>
      <c r="BB26" s="196"/>
      <c r="BC26" s="196"/>
      <c r="BD26" s="196"/>
      <c r="BE26" s="196"/>
      <c r="BF26" s="206">
        <v>1</v>
      </c>
      <c r="BG26" s="198">
        <v>0</v>
      </c>
      <c r="BH26" s="198">
        <v>0</v>
      </c>
      <c r="BI26" s="199">
        <v>0</v>
      </c>
      <c r="BJ26" s="195"/>
      <c r="BK26" s="196"/>
      <c r="BL26" s="196"/>
      <c r="BM26" s="196"/>
      <c r="BN26" s="196"/>
      <c r="BO26" s="196"/>
      <c r="BP26" s="206">
        <v>1</v>
      </c>
      <c r="BQ26" s="198">
        <v>0</v>
      </c>
      <c r="BR26" s="198">
        <v>0</v>
      </c>
      <c r="BS26" s="199">
        <v>0</v>
      </c>
      <c r="BT26" s="195"/>
      <c r="BU26" s="196"/>
      <c r="BV26" s="196"/>
      <c r="BW26" s="196"/>
      <c r="BX26" s="196"/>
      <c r="BY26" s="196"/>
      <c r="BZ26" s="206">
        <v>1</v>
      </c>
      <c r="CA26" s="198">
        <v>0</v>
      </c>
      <c r="CB26" s="198">
        <v>0</v>
      </c>
      <c r="CC26" s="199">
        <v>0</v>
      </c>
      <c r="CD26" s="195"/>
      <c r="CE26" s="196"/>
      <c r="CF26" s="196"/>
      <c r="CG26" s="196"/>
      <c r="CH26" s="196"/>
      <c r="CI26" s="196"/>
      <c r="CJ26" s="206">
        <v>1</v>
      </c>
      <c r="CK26" s="198">
        <v>0</v>
      </c>
      <c r="CL26" s="198">
        <v>0</v>
      </c>
      <c r="CM26" s="199">
        <v>0</v>
      </c>
      <c r="CN26" s="195"/>
      <c r="CO26" s="196"/>
      <c r="CP26" s="196"/>
      <c r="CQ26" s="196"/>
      <c r="CR26" s="196"/>
      <c r="CS26" s="196"/>
      <c r="CT26" s="206">
        <v>1</v>
      </c>
      <c r="CU26" s="198">
        <v>0</v>
      </c>
      <c r="CV26" s="198">
        <v>0</v>
      </c>
      <c r="CW26" s="199">
        <v>0</v>
      </c>
      <c r="CX26" s="195"/>
      <c r="CY26" s="196"/>
      <c r="CZ26" s="196"/>
      <c r="DA26" s="196"/>
      <c r="DB26" s="196"/>
      <c r="DC26" s="196"/>
      <c r="DD26" s="206">
        <v>1</v>
      </c>
      <c r="DE26" s="198">
        <v>0</v>
      </c>
      <c r="DF26" s="198">
        <v>0</v>
      </c>
      <c r="DG26" s="199">
        <v>0</v>
      </c>
      <c r="DH26" s="195"/>
      <c r="DI26" s="196"/>
      <c r="DJ26" s="196"/>
      <c r="DK26" s="196"/>
      <c r="DL26" s="196"/>
      <c r="DM26" s="196"/>
      <c r="DN26" s="206">
        <v>1</v>
      </c>
      <c r="DO26" s="198">
        <v>0</v>
      </c>
      <c r="DP26" s="198">
        <v>0</v>
      </c>
      <c r="DQ26" s="199">
        <v>0</v>
      </c>
      <c r="DR26" s="195"/>
      <c r="DS26" s="196"/>
      <c r="DT26" s="196"/>
      <c r="DU26" s="196"/>
      <c r="DV26" s="196"/>
      <c r="DW26" s="196"/>
      <c r="DX26" s="206">
        <v>1</v>
      </c>
      <c r="DY26" s="198">
        <v>0</v>
      </c>
      <c r="DZ26" s="198">
        <v>0</v>
      </c>
      <c r="EA26" s="199">
        <v>0</v>
      </c>
      <c r="EB26" s="195"/>
      <c r="EC26" s="196"/>
      <c r="ED26" s="196"/>
      <c r="EE26" s="196"/>
      <c r="EF26" s="196"/>
      <c r="EG26" s="196"/>
      <c r="EH26" s="206">
        <v>1</v>
      </c>
      <c r="EI26" s="198">
        <v>0</v>
      </c>
      <c r="EJ26" s="198">
        <v>0</v>
      </c>
      <c r="EK26" s="199">
        <v>0</v>
      </c>
      <c r="EL26" s="195"/>
      <c r="EM26" s="196"/>
      <c r="EN26" s="196"/>
      <c r="EO26" s="196"/>
      <c r="EP26" s="196"/>
      <c r="EQ26" s="196"/>
      <c r="ER26" s="206">
        <v>1</v>
      </c>
      <c r="ES26" s="198">
        <v>0</v>
      </c>
      <c r="ET26" s="198">
        <v>0</v>
      </c>
      <c r="EU26" s="199">
        <v>0</v>
      </c>
      <c r="EV26" s="195"/>
      <c r="EW26" s="196"/>
      <c r="EX26" s="196"/>
      <c r="EY26" s="196"/>
      <c r="EZ26" s="196"/>
      <c r="FA26" s="196"/>
      <c r="FB26" s="206">
        <v>1</v>
      </c>
      <c r="FC26" s="198">
        <v>0</v>
      </c>
      <c r="FD26" s="198">
        <v>0</v>
      </c>
      <c r="FE26" s="199">
        <v>0</v>
      </c>
      <c r="FF26" s="195"/>
      <c r="FG26" s="196"/>
      <c r="FH26" s="196"/>
      <c r="FI26" s="196"/>
      <c r="FJ26" s="196"/>
      <c r="FK26" s="196"/>
      <c r="FL26" s="206">
        <v>1</v>
      </c>
      <c r="FM26" s="198">
        <v>0</v>
      </c>
      <c r="FN26" s="198">
        <v>0</v>
      </c>
      <c r="FO26" s="199">
        <v>0</v>
      </c>
      <c r="FP26" s="195"/>
      <c r="FQ26" s="196"/>
      <c r="FR26" s="196"/>
      <c r="FS26" s="196"/>
      <c r="FT26" s="196"/>
      <c r="FU26" s="196"/>
      <c r="FV26" s="206">
        <v>1</v>
      </c>
      <c r="FW26" s="198">
        <v>0</v>
      </c>
      <c r="FX26" s="198">
        <v>0</v>
      </c>
      <c r="FY26" s="199">
        <v>0</v>
      </c>
      <c r="FZ26" s="195"/>
      <c r="GA26" s="196"/>
      <c r="GB26" s="196"/>
      <c r="GC26" s="196"/>
      <c r="GD26" s="196"/>
      <c r="GE26" s="196"/>
      <c r="GF26" s="206">
        <v>1</v>
      </c>
      <c r="GG26" s="198">
        <v>0</v>
      </c>
      <c r="GH26" s="198">
        <v>0</v>
      </c>
      <c r="GI26" s="199">
        <v>0</v>
      </c>
      <c r="GJ26" s="195">
        <v>0.25</v>
      </c>
      <c r="GK26" s="196"/>
      <c r="GL26" s="196"/>
      <c r="GM26" s="196"/>
      <c r="GN26" s="196"/>
      <c r="GO26" s="196"/>
      <c r="GP26" s="200">
        <v>0.75</v>
      </c>
      <c r="GQ26" s="198">
        <v>18</v>
      </c>
      <c r="GR26" s="198">
        <v>0</v>
      </c>
      <c r="GS26" s="199">
        <v>1</v>
      </c>
      <c r="GT26" s="195">
        <v>0.25</v>
      </c>
      <c r="GU26" s="196"/>
      <c r="GV26" s="196"/>
      <c r="GW26" s="196"/>
      <c r="GX26" s="196"/>
      <c r="GY26" s="196"/>
      <c r="GZ26" s="200">
        <v>0.75</v>
      </c>
      <c r="HA26" s="198">
        <v>18</v>
      </c>
      <c r="HB26" s="198">
        <v>0</v>
      </c>
      <c r="HC26" s="199">
        <v>1</v>
      </c>
      <c r="HD26" s="195">
        <v>0.25</v>
      </c>
      <c r="HE26" s="196"/>
      <c r="HF26" s="196"/>
      <c r="HG26" s="196"/>
      <c r="HH26" s="196"/>
      <c r="HI26" s="196"/>
      <c r="HJ26" s="200">
        <v>0.75</v>
      </c>
      <c r="HK26" s="198">
        <v>18</v>
      </c>
      <c r="HL26" s="198">
        <v>0</v>
      </c>
      <c r="HM26" s="199">
        <v>1</v>
      </c>
      <c r="HN26" s="204">
        <v>1</v>
      </c>
      <c r="HO26" s="205">
        <v>0</v>
      </c>
      <c r="HP26" s="204">
        <v>1</v>
      </c>
      <c r="HQ26" s="205">
        <v>0</v>
      </c>
      <c r="HR26" s="204">
        <v>1</v>
      </c>
      <c r="HS26" s="205">
        <v>0</v>
      </c>
      <c r="HT26" s="204">
        <v>1</v>
      </c>
      <c r="HU26" s="205">
        <v>0</v>
      </c>
      <c r="HV26" s="204">
        <v>1</v>
      </c>
      <c r="HW26" s="205">
        <v>0</v>
      </c>
      <c r="HX26" s="204">
        <v>1</v>
      </c>
      <c r="HY26" s="205">
        <v>0</v>
      </c>
      <c r="HZ26" s="204">
        <v>1</v>
      </c>
      <c r="IA26" s="205">
        <v>0</v>
      </c>
      <c r="IB26" s="204">
        <v>1</v>
      </c>
      <c r="IC26" s="205">
        <v>0</v>
      </c>
      <c r="ID26" s="204">
        <v>1</v>
      </c>
      <c r="IE26" s="205">
        <v>0</v>
      </c>
      <c r="IF26" s="204">
        <v>1</v>
      </c>
      <c r="IG26" s="205">
        <v>0</v>
      </c>
      <c r="IH26" s="204">
        <v>1</v>
      </c>
      <c r="II26" s="205">
        <v>0</v>
      </c>
      <c r="IJ26" s="204">
        <v>1</v>
      </c>
      <c r="IK26" s="205">
        <v>0</v>
      </c>
      <c r="IL26" s="204">
        <v>1</v>
      </c>
      <c r="IM26" s="205">
        <v>0</v>
      </c>
      <c r="IN26" s="204">
        <v>1</v>
      </c>
      <c r="IO26" s="205">
        <v>0</v>
      </c>
      <c r="IP26" s="204">
        <v>1</v>
      </c>
      <c r="IQ26" s="205">
        <v>0</v>
      </c>
      <c r="IR26" s="204">
        <v>1</v>
      </c>
      <c r="IS26" s="205">
        <v>0</v>
      </c>
      <c r="IT26" s="204">
        <v>1</v>
      </c>
      <c r="IU26" s="205">
        <v>0</v>
      </c>
      <c r="IV26" s="204">
        <v>1</v>
      </c>
      <c r="IW26" s="205">
        <v>0</v>
      </c>
      <c r="IX26" s="204">
        <v>1</v>
      </c>
      <c r="IY26" s="205">
        <v>0</v>
      </c>
      <c r="IZ26" s="204">
        <v>0.75</v>
      </c>
      <c r="JA26" s="205">
        <v>1</v>
      </c>
      <c r="JB26" s="204">
        <v>0.75</v>
      </c>
      <c r="JC26" s="205">
        <v>1</v>
      </c>
      <c r="JD26" s="204">
        <v>0.75</v>
      </c>
      <c r="JE26" s="233">
        <v>1</v>
      </c>
      <c r="JF26" s="236">
        <f t="shared" si="0"/>
        <v>24</v>
      </c>
      <c r="JG26" s="235">
        <f t="shared" si="1"/>
        <v>24</v>
      </c>
      <c r="JH26" s="235">
        <f t="shared" si="2"/>
        <v>24</v>
      </c>
      <c r="JI26" s="235">
        <f t="shared" si="3"/>
        <v>24</v>
      </c>
      <c r="JJ26" s="235">
        <f t="shared" si="4"/>
        <v>24</v>
      </c>
      <c r="JK26" s="235">
        <f t="shared" si="5"/>
        <v>24</v>
      </c>
      <c r="JL26" s="235">
        <f t="shared" si="6"/>
        <v>24</v>
      </c>
      <c r="JM26" s="235">
        <f t="shared" si="7"/>
        <v>24</v>
      </c>
      <c r="JN26" s="235">
        <f t="shared" si="8"/>
        <v>24</v>
      </c>
      <c r="JO26" s="235">
        <f t="shared" si="9"/>
        <v>24</v>
      </c>
      <c r="JP26" s="235">
        <f t="shared" si="10"/>
        <v>24</v>
      </c>
      <c r="JQ26" s="235">
        <f t="shared" si="11"/>
        <v>24</v>
      </c>
      <c r="JR26" s="235">
        <f t="shared" si="12"/>
        <v>24</v>
      </c>
      <c r="JS26" s="235">
        <f t="shared" si="13"/>
        <v>24</v>
      </c>
      <c r="JT26" s="235">
        <f t="shared" si="14"/>
        <v>24</v>
      </c>
      <c r="JU26" s="235">
        <f t="shared" si="15"/>
        <v>24</v>
      </c>
      <c r="JV26" s="235">
        <f t="shared" si="16"/>
        <v>24</v>
      </c>
      <c r="JW26" s="235">
        <f t="shared" si="17"/>
        <v>24</v>
      </c>
      <c r="JX26" s="235">
        <f t="shared" si="18"/>
        <v>24</v>
      </c>
      <c r="JY26" s="235">
        <f t="shared" si="19"/>
        <v>18</v>
      </c>
      <c r="JZ26" s="235">
        <f t="shared" si="20"/>
        <v>18</v>
      </c>
      <c r="KA26" s="237">
        <f t="shared" si="21"/>
        <v>18</v>
      </c>
      <c r="KB26" s="248">
        <v>46044</v>
      </c>
      <c r="KC26" s="201">
        <v>1.445661052631579</v>
      </c>
      <c r="KD26" s="201">
        <v>1.445661052631579</v>
      </c>
      <c r="KE26" s="201">
        <v>1.445661052631579</v>
      </c>
      <c r="KF26" s="201">
        <v>1.445661052631579</v>
      </c>
      <c r="KG26" s="201">
        <v>1.445661052631579</v>
      </c>
      <c r="KH26" s="201">
        <v>1.445661052631579</v>
      </c>
      <c r="KI26" s="201">
        <v>1.445661052631579</v>
      </c>
      <c r="KJ26" s="201">
        <v>1.445661052631579</v>
      </c>
      <c r="KK26" s="201">
        <v>1.445661052631579</v>
      </c>
      <c r="KL26" s="201">
        <v>1.445661052631579</v>
      </c>
      <c r="KM26" s="201">
        <v>1.445661052631579</v>
      </c>
      <c r="KN26" s="201">
        <v>1.445661052631579</v>
      </c>
      <c r="KO26" s="201">
        <v>1.445661052631579</v>
      </c>
      <c r="KP26" s="201">
        <v>1.445661052631579</v>
      </c>
      <c r="KQ26" s="201">
        <v>1.445661052631579</v>
      </c>
      <c r="KR26" s="201">
        <v>1.445661052631579</v>
      </c>
      <c r="KS26" s="201">
        <v>1.445661052631579</v>
      </c>
      <c r="KT26" s="201">
        <v>1.445661052631579</v>
      </c>
      <c r="KU26" s="201">
        <v>1.445661052631579</v>
      </c>
      <c r="KV26" s="201">
        <v>1.0911466666666667</v>
      </c>
      <c r="KW26" s="201">
        <v>1.0911466666666667</v>
      </c>
      <c r="KX26" s="201">
        <v>1.0911466666666667</v>
      </c>
      <c r="KY26" s="203">
        <v>30.740999999999996</v>
      </c>
    </row>
    <row r="27" spans="1:311">
      <c r="A27" s="194">
        <v>46045</v>
      </c>
      <c r="B27" s="195"/>
      <c r="C27" s="196"/>
      <c r="D27" s="196"/>
      <c r="E27" s="196"/>
      <c r="F27" s="196"/>
      <c r="G27" s="196"/>
      <c r="H27" s="206">
        <v>1</v>
      </c>
      <c r="I27" s="198">
        <v>0</v>
      </c>
      <c r="J27" s="198">
        <v>0</v>
      </c>
      <c r="K27" s="199">
        <v>0</v>
      </c>
      <c r="L27" s="195"/>
      <c r="M27" s="196"/>
      <c r="N27" s="196"/>
      <c r="O27" s="196"/>
      <c r="P27" s="196"/>
      <c r="Q27" s="196"/>
      <c r="R27" s="206">
        <v>1</v>
      </c>
      <c r="S27" s="198">
        <v>0</v>
      </c>
      <c r="T27" s="198">
        <v>0</v>
      </c>
      <c r="U27" s="199">
        <v>0</v>
      </c>
      <c r="V27" s="195"/>
      <c r="W27" s="196"/>
      <c r="X27" s="196"/>
      <c r="Y27" s="196"/>
      <c r="Z27" s="196"/>
      <c r="AA27" s="196"/>
      <c r="AB27" s="206">
        <v>1</v>
      </c>
      <c r="AC27" s="198">
        <v>0</v>
      </c>
      <c r="AD27" s="198">
        <v>0</v>
      </c>
      <c r="AE27" s="199">
        <v>0</v>
      </c>
      <c r="AF27" s="195"/>
      <c r="AG27" s="196"/>
      <c r="AH27" s="196"/>
      <c r="AI27" s="196"/>
      <c r="AJ27" s="196"/>
      <c r="AK27" s="196"/>
      <c r="AL27" s="206">
        <v>1</v>
      </c>
      <c r="AM27" s="198">
        <v>0</v>
      </c>
      <c r="AN27" s="198">
        <v>0</v>
      </c>
      <c r="AO27" s="199">
        <v>0</v>
      </c>
      <c r="AP27" s="195"/>
      <c r="AQ27" s="196"/>
      <c r="AR27" s="196"/>
      <c r="AS27" s="196"/>
      <c r="AT27" s="196"/>
      <c r="AU27" s="196"/>
      <c r="AV27" s="206">
        <v>1</v>
      </c>
      <c r="AW27" s="198">
        <v>0</v>
      </c>
      <c r="AX27" s="198">
        <v>0</v>
      </c>
      <c r="AY27" s="199">
        <v>0</v>
      </c>
      <c r="AZ27" s="195"/>
      <c r="BA27" s="196"/>
      <c r="BB27" s="196"/>
      <c r="BC27" s="196"/>
      <c r="BD27" s="196"/>
      <c r="BE27" s="196"/>
      <c r="BF27" s="206">
        <v>1</v>
      </c>
      <c r="BG27" s="198">
        <v>0</v>
      </c>
      <c r="BH27" s="198">
        <v>0</v>
      </c>
      <c r="BI27" s="199">
        <v>0</v>
      </c>
      <c r="BJ27" s="195"/>
      <c r="BK27" s="196"/>
      <c r="BL27" s="196"/>
      <c r="BM27" s="196"/>
      <c r="BN27" s="196"/>
      <c r="BO27" s="196"/>
      <c r="BP27" s="206">
        <v>1</v>
      </c>
      <c r="BQ27" s="198">
        <v>0</v>
      </c>
      <c r="BR27" s="198">
        <v>0</v>
      </c>
      <c r="BS27" s="199">
        <v>0</v>
      </c>
      <c r="BT27" s="195"/>
      <c r="BU27" s="196"/>
      <c r="BV27" s="196"/>
      <c r="BW27" s="196"/>
      <c r="BX27" s="196"/>
      <c r="BY27" s="196"/>
      <c r="BZ27" s="206">
        <v>1</v>
      </c>
      <c r="CA27" s="198">
        <v>0</v>
      </c>
      <c r="CB27" s="198">
        <v>0</v>
      </c>
      <c r="CC27" s="199">
        <v>0</v>
      </c>
      <c r="CD27" s="195"/>
      <c r="CE27" s="196"/>
      <c r="CF27" s="196"/>
      <c r="CG27" s="196"/>
      <c r="CH27" s="196"/>
      <c r="CI27" s="196"/>
      <c r="CJ27" s="206">
        <v>1</v>
      </c>
      <c r="CK27" s="198">
        <v>0</v>
      </c>
      <c r="CL27" s="198">
        <v>0</v>
      </c>
      <c r="CM27" s="199">
        <v>0</v>
      </c>
      <c r="CN27" s="195"/>
      <c r="CO27" s="196"/>
      <c r="CP27" s="196"/>
      <c r="CQ27" s="196"/>
      <c r="CR27" s="196"/>
      <c r="CS27" s="196"/>
      <c r="CT27" s="206">
        <v>1</v>
      </c>
      <c r="CU27" s="198">
        <v>0</v>
      </c>
      <c r="CV27" s="198">
        <v>0</v>
      </c>
      <c r="CW27" s="199">
        <v>0</v>
      </c>
      <c r="CX27" s="195"/>
      <c r="CY27" s="196"/>
      <c r="CZ27" s="196"/>
      <c r="DA27" s="196"/>
      <c r="DB27" s="196"/>
      <c r="DC27" s="196"/>
      <c r="DD27" s="206">
        <v>1</v>
      </c>
      <c r="DE27" s="198">
        <v>0</v>
      </c>
      <c r="DF27" s="198">
        <v>0</v>
      </c>
      <c r="DG27" s="199">
        <v>0</v>
      </c>
      <c r="DH27" s="195"/>
      <c r="DI27" s="196"/>
      <c r="DJ27" s="196"/>
      <c r="DK27" s="196"/>
      <c r="DL27" s="196"/>
      <c r="DM27" s="196"/>
      <c r="DN27" s="206">
        <v>1</v>
      </c>
      <c r="DO27" s="198">
        <v>0</v>
      </c>
      <c r="DP27" s="198">
        <v>0</v>
      </c>
      <c r="DQ27" s="199">
        <v>0</v>
      </c>
      <c r="DR27" s="195"/>
      <c r="DS27" s="196"/>
      <c r="DT27" s="196"/>
      <c r="DU27" s="196"/>
      <c r="DV27" s="196"/>
      <c r="DW27" s="196"/>
      <c r="DX27" s="206">
        <v>1</v>
      </c>
      <c r="DY27" s="198">
        <v>0</v>
      </c>
      <c r="DZ27" s="198">
        <v>0</v>
      </c>
      <c r="EA27" s="199">
        <v>0</v>
      </c>
      <c r="EB27" s="195"/>
      <c r="EC27" s="196"/>
      <c r="ED27" s="196"/>
      <c r="EE27" s="196"/>
      <c r="EF27" s="196"/>
      <c r="EG27" s="196"/>
      <c r="EH27" s="206">
        <v>1</v>
      </c>
      <c r="EI27" s="198">
        <v>0</v>
      </c>
      <c r="EJ27" s="198">
        <v>0</v>
      </c>
      <c r="EK27" s="199">
        <v>0</v>
      </c>
      <c r="EL27" s="195"/>
      <c r="EM27" s="196"/>
      <c r="EN27" s="196"/>
      <c r="EO27" s="196"/>
      <c r="EP27" s="196"/>
      <c r="EQ27" s="196"/>
      <c r="ER27" s="206">
        <v>1</v>
      </c>
      <c r="ES27" s="198">
        <v>0</v>
      </c>
      <c r="ET27" s="198">
        <v>0</v>
      </c>
      <c r="EU27" s="199">
        <v>0</v>
      </c>
      <c r="EV27" s="195"/>
      <c r="EW27" s="196"/>
      <c r="EX27" s="196"/>
      <c r="EY27" s="196"/>
      <c r="EZ27" s="196"/>
      <c r="FA27" s="196"/>
      <c r="FB27" s="206">
        <v>1</v>
      </c>
      <c r="FC27" s="198">
        <v>0</v>
      </c>
      <c r="FD27" s="198">
        <v>0</v>
      </c>
      <c r="FE27" s="199">
        <v>0</v>
      </c>
      <c r="FF27" s="195"/>
      <c r="FG27" s="196"/>
      <c r="FH27" s="196"/>
      <c r="FI27" s="196"/>
      <c r="FJ27" s="196"/>
      <c r="FK27" s="196"/>
      <c r="FL27" s="206">
        <v>1</v>
      </c>
      <c r="FM27" s="198">
        <v>0</v>
      </c>
      <c r="FN27" s="198">
        <v>0</v>
      </c>
      <c r="FO27" s="199">
        <v>0</v>
      </c>
      <c r="FP27" s="195"/>
      <c r="FQ27" s="196"/>
      <c r="FR27" s="196"/>
      <c r="FS27" s="196"/>
      <c r="FT27" s="196"/>
      <c r="FU27" s="196"/>
      <c r="FV27" s="206">
        <v>1</v>
      </c>
      <c r="FW27" s="198">
        <v>0</v>
      </c>
      <c r="FX27" s="198">
        <v>0</v>
      </c>
      <c r="FY27" s="199">
        <v>0</v>
      </c>
      <c r="FZ27" s="195"/>
      <c r="GA27" s="196"/>
      <c r="GB27" s="196"/>
      <c r="GC27" s="196"/>
      <c r="GD27" s="196"/>
      <c r="GE27" s="196"/>
      <c r="GF27" s="206">
        <v>1</v>
      </c>
      <c r="GG27" s="198">
        <v>0</v>
      </c>
      <c r="GH27" s="198">
        <v>0</v>
      </c>
      <c r="GI27" s="199">
        <v>0</v>
      </c>
      <c r="GJ27" s="195"/>
      <c r="GK27" s="196"/>
      <c r="GL27" s="196"/>
      <c r="GM27" s="196"/>
      <c r="GN27" s="196"/>
      <c r="GO27" s="196"/>
      <c r="GP27" s="206">
        <v>1</v>
      </c>
      <c r="GQ27" s="198">
        <v>0</v>
      </c>
      <c r="GR27" s="198">
        <v>0</v>
      </c>
      <c r="GS27" s="199">
        <v>0</v>
      </c>
      <c r="GT27" s="195"/>
      <c r="GU27" s="196"/>
      <c r="GV27" s="196"/>
      <c r="GW27" s="196"/>
      <c r="GX27" s="196"/>
      <c r="GY27" s="196"/>
      <c r="GZ27" s="206">
        <v>1</v>
      </c>
      <c r="HA27" s="198">
        <v>0</v>
      </c>
      <c r="HB27" s="198">
        <v>0</v>
      </c>
      <c r="HC27" s="199">
        <v>0</v>
      </c>
      <c r="HD27" s="195"/>
      <c r="HE27" s="196"/>
      <c r="HF27" s="196"/>
      <c r="HG27" s="196"/>
      <c r="HH27" s="196"/>
      <c r="HI27" s="196"/>
      <c r="HJ27" s="206">
        <v>1</v>
      </c>
      <c r="HK27" s="198">
        <v>0</v>
      </c>
      <c r="HL27" s="198">
        <v>0</v>
      </c>
      <c r="HM27" s="199">
        <v>0</v>
      </c>
      <c r="HN27" s="204">
        <v>1</v>
      </c>
      <c r="HO27" s="205">
        <v>0</v>
      </c>
      <c r="HP27" s="204">
        <v>1</v>
      </c>
      <c r="HQ27" s="205">
        <v>0</v>
      </c>
      <c r="HR27" s="204">
        <v>1</v>
      </c>
      <c r="HS27" s="205">
        <v>0</v>
      </c>
      <c r="HT27" s="204">
        <v>1</v>
      </c>
      <c r="HU27" s="205">
        <v>0</v>
      </c>
      <c r="HV27" s="204">
        <v>1</v>
      </c>
      <c r="HW27" s="205">
        <v>0</v>
      </c>
      <c r="HX27" s="204">
        <v>1</v>
      </c>
      <c r="HY27" s="205">
        <v>0</v>
      </c>
      <c r="HZ27" s="204">
        <v>1</v>
      </c>
      <c r="IA27" s="205">
        <v>0</v>
      </c>
      <c r="IB27" s="204">
        <v>1</v>
      </c>
      <c r="IC27" s="205">
        <v>0</v>
      </c>
      <c r="ID27" s="204">
        <v>1</v>
      </c>
      <c r="IE27" s="205">
        <v>0</v>
      </c>
      <c r="IF27" s="204">
        <v>1</v>
      </c>
      <c r="IG27" s="205">
        <v>0</v>
      </c>
      <c r="IH27" s="204">
        <v>1</v>
      </c>
      <c r="II27" s="205">
        <v>0</v>
      </c>
      <c r="IJ27" s="204">
        <v>1</v>
      </c>
      <c r="IK27" s="205">
        <v>0</v>
      </c>
      <c r="IL27" s="204">
        <v>1</v>
      </c>
      <c r="IM27" s="205">
        <v>0</v>
      </c>
      <c r="IN27" s="204">
        <v>1</v>
      </c>
      <c r="IO27" s="205">
        <v>0</v>
      </c>
      <c r="IP27" s="204">
        <v>1</v>
      </c>
      <c r="IQ27" s="205">
        <v>0</v>
      </c>
      <c r="IR27" s="204">
        <v>1</v>
      </c>
      <c r="IS27" s="205">
        <v>0</v>
      </c>
      <c r="IT27" s="204">
        <v>1</v>
      </c>
      <c r="IU27" s="205">
        <v>0</v>
      </c>
      <c r="IV27" s="204">
        <v>1</v>
      </c>
      <c r="IW27" s="205">
        <v>0</v>
      </c>
      <c r="IX27" s="204">
        <v>1</v>
      </c>
      <c r="IY27" s="205">
        <v>0</v>
      </c>
      <c r="IZ27" s="204">
        <v>1</v>
      </c>
      <c r="JA27" s="205">
        <v>0</v>
      </c>
      <c r="JB27" s="204">
        <v>1</v>
      </c>
      <c r="JC27" s="205">
        <v>0</v>
      </c>
      <c r="JD27" s="204">
        <v>1</v>
      </c>
      <c r="JE27" s="233">
        <v>0</v>
      </c>
      <c r="JF27" s="236">
        <f t="shared" si="0"/>
        <v>24</v>
      </c>
      <c r="JG27" s="235">
        <f t="shared" si="1"/>
        <v>24</v>
      </c>
      <c r="JH27" s="235">
        <f t="shared" si="2"/>
        <v>24</v>
      </c>
      <c r="JI27" s="235">
        <f t="shared" si="3"/>
        <v>24</v>
      </c>
      <c r="JJ27" s="235">
        <f t="shared" si="4"/>
        <v>24</v>
      </c>
      <c r="JK27" s="235">
        <f t="shared" si="5"/>
        <v>24</v>
      </c>
      <c r="JL27" s="235">
        <f t="shared" si="6"/>
        <v>24</v>
      </c>
      <c r="JM27" s="235">
        <f t="shared" si="7"/>
        <v>24</v>
      </c>
      <c r="JN27" s="235">
        <f t="shared" si="8"/>
        <v>24</v>
      </c>
      <c r="JO27" s="235">
        <f t="shared" si="9"/>
        <v>24</v>
      </c>
      <c r="JP27" s="235">
        <f t="shared" si="10"/>
        <v>24</v>
      </c>
      <c r="JQ27" s="235">
        <f t="shared" si="11"/>
        <v>24</v>
      </c>
      <c r="JR27" s="235">
        <f t="shared" si="12"/>
        <v>24</v>
      </c>
      <c r="JS27" s="235">
        <f t="shared" si="13"/>
        <v>24</v>
      </c>
      <c r="JT27" s="235">
        <f t="shared" si="14"/>
        <v>24</v>
      </c>
      <c r="JU27" s="235">
        <f t="shared" si="15"/>
        <v>24</v>
      </c>
      <c r="JV27" s="235">
        <f t="shared" si="16"/>
        <v>24</v>
      </c>
      <c r="JW27" s="235">
        <f t="shared" si="17"/>
        <v>24</v>
      </c>
      <c r="JX27" s="235">
        <f t="shared" si="18"/>
        <v>24</v>
      </c>
      <c r="JY27" s="235">
        <f t="shared" si="19"/>
        <v>24</v>
      </c>
      <c r="JZ27" s="235">
        <f t="shared" si="20"/>
        <v>24</v>
      </c>
      <c r="KA27" s="237">
        <f t="shared" si="21"/>
        <v>24</v>
      </c>
      <c r="KB27" s="248">
        <v>46045</v>
      </c>
      <c r="KC27" s="201">
        <v>1.5754999999999999</v>
      </c>
      <c r="KD27" s="201">
        <v>1.5754999999999999</v>
      </c>
      <c r="KE27" s="201">
        <v>1.5754999999999999</v>
      </c>
      <c r="KF27" s="201">
        <v>1.5754999999999999</v>
      </c>
      <c r="KG27" s="201">
        <v>1.5754999999999999</v>
      </c>
      <c r="KH27" s="201">
        <v>1.5754999999999999</v>
      </c>
      <c r="KI27" s="201">
        <v>1.5754999999999999</v>
      </c>
      <c r="KJ27" s="201">
        <v>1.5754999999999999</v>
      </c>
      <c r="KK27" s="201">
        <v>1.5754999999999999</v>
      </c>
      <c r="KL27" s="201">
        <v>1.5754999999999999</v>
      </c>
      <c r="KM27" s="201">
        <v>1.5754999999999999</v>
      </c>
      <c r="KN27" s="201">
        <v>1.5754999999999999</v>
      </c>
      <c r="KO27" s="201">
        <v>1.5754999999999999</v>
      </c>
      <c r="KP27" s="201">
        <v>1.5754999999999999</v>
      </c>
      <c r="KQ27" s="201">
        <v>1.5754999999999999</v>
      </c>
      <c r="KR27" s="201">
        <v>1.5754999999999999</v>
      </c>
      <c r="KS27" s="201">
        <v>1.5754999999999999</v>
      </c>
      <c r="KT27" s="201">
        <v>1.5754999999999999</v>
      </c>
      <c r="KU27" s="201">
        <v>1.5754999999999999</v>
      </c>
      <c r="KV27" s="201">
        <v>1.5754999999999999</v>
      </c>
      <c r="KW27" s="201">
        <v>1.5754999999999999</v>
      </c>
      <c r="KX27" s="201">
        <v>1.5754999999999999</v>
      </c>
      <c r="KY27" s="203">
        <v>34.66099999999998</v>
      </c>
    </row>
    <row r="28" spans="1:311">
      <c r="A28" s="194">
        <v>46046</v>
      </c>
      <c r="B28" s="195"/>
      <c r="C28" s="196"/>
      <c r="D28" s="196"/>
      <c r="E28" s="196"/>
      <c r="F28" s="196"/>
      <c r="G28" s="196"/>
      <c r="H28" s="206">
        <v>1</v>
      </c>
      <c r="I28" s="198">
        <v>0</v>
      </c>
      <c r="J28" s="198">
        <v>0</v>
      </c>
      <c r="K28" s="199">
        <v>0</v>
      </c>
      <c r="L28" s="195"/>
      <c r="M28" s="196"/>
      <c r="N28" s="196"/>
      <c r="O28" s="196"/>
      <c r="P28" s="196"/>
      <c r="Q28" s="196"/>
      <c r="R28" s="206">
        <v>1</v>
      </c>
      <c r="S28" s="198">
        <v>0</v>
      </c>
      <c r="T28" s="198">
        <v>0</v>
      </c>
      <c r="U28" s="199">
        <v>0</v>
      </c>
      <c r="V28" s="195"/>
      <c r="W28" s="196"/>
      <c r="X28" s="196"/>
      <c r="Y28" s="196"/>
      <c r="Z28" s="196"/>
      <c r="AA28" s="196"/>
      <c r="AB28" s="206">
        <v>1</v>
      </c>
      <c r="AC28" s="198">
        <v>0</v>
      </c>
      <c r="AD28" s="198">
        <v>0</v>
      </c>
      <c r="AE28" s="199">
        <v>0</v>
      </c>
      <c r="AF28" s="195"/>
      <c r="AG28" s="196"/>
      <c r="AH28" s="196"/>
      <c r="AI28" s="196"/>
      <c r="AJ28" s="196"/>
      <c r="AK28" s="196"/>
      <c r="AL28" s="206">
        <v>1</v>
      </c>
      <c r="AM28" s="198">
        <v>0</v>
      </c>
      <c r="AN28" s="198">
        <v>0</v>
      </c>
      <c r="AO28" s="199">
        <v>0</v>
      </c>
      <c r="AP28" s="195"/>
      <c r="AQ28" s="196"/>
      <c r="AR28" s="196"/>
      <c r="AS28" s="196"/>
      <c r="AT28" s="196"/>
      <c r="AU28" s="196"/>
      <c r="AV28" s="206">
        <v>1</v>
      </c>
      <c r="AW28" s="198">
        <v>0</v>
      </c>
      <c r="AX28" s="198">
        <v>0</v>
      </c>
      <c r="AY28" s="199">
        <v>0</v>
      </c>
      <c r="AZ28" s="195"/>
      <c r="BA28" s="196"/>
      <c r="BB28" s="196"/>
      <c r="BC28" s="196"/>
      <c r="BD28" s="196"/>
      <c r="BE28" s="196"/>
      <c r="BF28" s="206">
        <v>1</v>
      </c>
      <c r="BG28" s="198">
        <v>0</v>
      </c>
      <c r="BH28" s="198">
        <v>0</v>
      </c>
      <c r="BI28" s="199">
        <v>0</v>
      </c>
      <c r="BJ28" s="195"/>
      <c r="BK28" s="196"/>
      <c r="BL28" s="196"/>
      <c r="BM28" s="196"/>
      <c r="BN28" s="196"/>
      <c r="BO28" s="196"/>
      <c r="BP28" s="206">
        <v>1</v>
      </c>
      <c r="BQ28" s="198">
        <v>0</v>
      </c>
      <c r="BR28" s="198">
        <v>0</v>
      </c>
      <c r="BS28" s="199">
        <v>0</v>
      </c>
      <c r="BT28" s="195"/>
      <c r="BU28" s="196"/>
      <c r="BV28" s="196"/>
      <c r="BW28" s="196"/>
      <c r="BX28" s="196"/>
      <c r="BY28" s="196"/>
      <c r="BZ28" s="206">
        <v>1</v>
      </c>
      <c r="CA28" s="198">
        <v>0</v>
      </c>
      <c r="CB28" s="198">
        <v>0</v>
      </c>
      <c r="CC28" s="199">
        <v>0</v>
      </c>
      <c r="CD28" s="195"/>
      <c r="CE28" s="196"/>
      <c r="CF28" s="196"/>
      <c r="CG28" s="196"/>
      <c r="CH28" s="196"/>
      <c r="CI28" s="196"/>
      <c r="CJ28" s="206">
        <v>1</v>
      </c>
      <c r="CK28" s="198">
        <v>0</v>
      </c>
      <c r="CL28" s="198">
        <v>0</v>
      </c>
      <c r="CM28" s="199">
        <v>0</v>
      </c>
      <c r="CN28" s="195"/>
      <c r="CO28" s="196"/>
      <c r="CP28" s="196"/>
      <c r="CQ28" s="196"/>
      <c r="CR28" s="196"/>
      <c r="CS28" s="196"/>
      <c r="CT28" s="206">
        <v>1</v>
      </c>
      <c r="CU28" s="198">
        <v>0</v>
      </c>
      <c r="CV28" s="198">
        <v>0</v>
      </c>
      <c r="CW28" s="199">
        <v>0</v>
      </c>
      <c r="CX28" s="195"/>
      <c r="CY28" s="196"/>
      <c r="CZ28" s="196"/>
      <c r="DA28" s="196"/>
      <c r="DB28" s="196"/>
      <c r="DC28" s="196"/>
      <c r="DD28" s="206">
        <v>1</v>
      </c>
      <c r="DE28" s="198">
        <v>0</v>
      </c>
      <c r="DF28" s="198">
        <v>0</v>
      </c>
      <c r="DG28" s="199">
        <v>0</v>
      </c>
      <c r="DH28" s="195"/>
      <c r="DI28" s="196"/>
      <c r="DJ28" s="196"/>
      <c r="DK28" s="196"/>
      <c r="DL28" s="196"/>
      <c r="DM28" s="196"/>
      <c r="DN28" s="206">
        <v>1</v>
      </c>
      <c r="DO28" s="198">
        <v>0</v>
      </c>
      <c r="DP28" s="198">
        <v>0</v>
      </c>
      <c r="DQ28" s="199">
        <v>0</v>
      </c>
      <c r="DR28" s="195"/>
      <c r="DS28" s="196"/>
      <c r="DT28" s="196"/>
      <c r="DU28" s="196"/>
      <c r="DV28" s="196"/>
      <c r="DW28" s="196"/>
      <c r="DX28" s="206">
        <v>1</v>
      </c>
      <c r="DY28" s="198">
        <v>0</v>
      </c>
      <c r="DZ28" s="198">
        <v>0</v>
      </c>
      <c r="EA28" s="199">
        <v>0</v>
      </c>
      <c r="EB28" s="195"/>
      <c r="EC28" s="196"/>
      <c r="ED28" s="196"/>
      <c r="EE28" s="196"/>
      <c r="EF28" s="196"/>
      <c r="EG28" s="196"/>
      <c r="EH28" s="206">
        <v>1</v>
      </c>
      <c r="EI28" s="198">
        <v>0</v>
      </c>
      <c r="EJ28" s="198">
        <v>0</v>
      </c>
      <c r="EK28" s="199">
        <v>0</v>
      </c>
      <c r="EL28" s="195"/>
      <c r="EM28" s="196"/>
      <c r="EN28" s="196"/>
      <c r="EO28" s="196"/>
      <c r="EP28" s="196"/>
      <c r="EQ28" s="196"/>
      <c r="ER28" s="206">
        <v>1</v>
      </c>
      <c r="ES28" s="198">
        <v>0</v>
      </c>
      <c r="ET28" s="198">
        <v>0</v>
      </c>
      <c r="EU28" s="199">
        <v>0</v>
      </c>
      <c r="EV28" s="195"/>
      <c r="EW28" s="196"/>
      <c r="EX28" s="196"/>
      <c r="EY28" s="196"/>
      <c r="EZ28" s="196"/>
      <c r="FA28" s="196"/>
      <c r="FB28" s="206">
        <v>1</v>
      </c>
      <c r="FC28" s="198">
        <v>0</v>
      </c>
      <c r="FD28" s="198">
        <v>0</v>
      </c>
      <c r="FE28" s="199">
        <v>0</v>
      </c>
      <c r="FF28" s="195"/>
      <c r="FG28" s="196"/>
      <c r="FH28" s="196"/>
      <c r="FI28" s="196"/>
      <c r="FJ28" s="196"/>
      <c r="FK28" s="196"/>
      <c r="FL28" s="206">
        <v>1</v>
      </c>
      <c r="FM28" s="198">
        <v>0</v>
      </c>
      <c r="FN28" s="198">
        <v>0</v>
      </c>
      <c r="FO28" s="199">
        <v>0</v>
      </c>
      <c r="FP28" s="195"/>
      <c r="FQ28" s="196"/>
      <c r="FR28" s="196"/>
      <c r="FS28" s="196"/>
      <c r="FT28" s="196"/>
      <c r="FU28" s="196"/>
      <c r="FV28" s="206">
        <v>1</v>
      </c>
      <c r="FW28" s="198">
        <v>0</v>
      </c>
      <c r="FX28" s="198">
        <v>0</v>
      </c>
      <c r="FY28" s="199">
        <v>0</v>
      </c>
      <c r="FZ28" s="195"/>
      <c r="GA28" s="196"/>
      <c r="GB28" s="196"/>
      <c r="GC28" s="196"/>
      <c r="GD28" s="196"/>
      <c r="GE28" s="196"/>
      <c r="GF28" s="206">
        <v>1</v>
      </c>
      <c r="GG28" s="198">
        <v>0</v>
      </c>
      <c r="GH28" s="198">
        <v>0</v>
      </c>
      <c r="GI28" s="199">
        <v>0</v>
      </c>
      <c r="GJ28" s="195"/>
      <c r="GK28" s="196"/>
      <c r="GL28" s="196"/>
      <c r="GM28" s="196"/>
      <c r="GN28" s="196"/>
      <c r="GO28" s="196"/>
      <c r="GP28" s="206">
        <v>1</v>
      </c>
      <c r="GQ28" s="198">
        <v>0</v>
      </c>
      <c r="GR28" s="198">
        <v>0</v>
      </c>
      <c r="GS28" s="199">
        <v>0</v>
      </c>
      <c r="GT28" s="195"/>
      <c r="GU28" s="196"/>
      <c r="GV28" s="196"/>
      <c r="GW28" s="196"/>
      <c r="GX28" s="196"/>
      <c r="GY28" s="196"/>
      <c r="GZ28" s="206">
        <v>1</v>
      </c>
      <c r="HA28" s="198">
        <v>0</v>
      </c>
      <c r="HB28" s="198">
        <v>0</v>
      </c>
      <c r="HC28" s="199">
        <v>0</v>
      </c>
      <c r="HD28" s="195"/>
      <c r="HE28" s="196"/>
      <c r="HF28" s="196"/>
      <c r="HG28" s="196"/>
      <c r="HH28" s="196"/>
      <c r="HI28" s="196"/>
      <c r="HJ28" s="206">
        <v>1</v>
      </c>
      <c r="HK28" s="198">
        <v>0</v>
      </c>
      <c r="HL28" s="198">
        <v>0</v>
      </c>
      <c r="HM28" s="199">
        <v>0</v>
      </c>
      <c r="HN28" s="204">
        <v>1</v>
      </c>
      <c r="HO28" s="205">
        <v>0</v>
      </c>
      <c r="HP28" s="204">
        <v>1</v>
      </c>
      <c r="HQ28" s="205">
        <v>0</v>
      </c>
      <c r="HR28" s="204">
        <v>1</v>
      </c>
      <c r="HS28" s="205">
        <v>0</v>
      </c>
      <c r="HT28" s="204">
        <v>1</v>
      </c>
      <c r="HU28" s="205">
        <v>0</v>
      </c>
      <c r="HV28" s="204">
        <v>1</v>
      </c>
      <c r="HW28" s="205">
        <v>0</v>
      </c>
      <c r="HX28" s="204">
        <v>1</v>
      </c>
      <c r="HY28" s="205">
        <v>0</v>
      </c>
      <c r="HZ28" s="204">
        <v>1</v>
      </c>
      <c r="IA28" s="205">
        <v>0</v>
      </c>
      <c r="IB28" s="204">
        <v>1</v>
      </c>
      <c r="IC28" s="205">
        <v>0</v>
      </c>
      <c r="ID28" s="204">
        <v>1</v>
      </c>
      <c r="IE28" s="205">
        <v>0</v>
      </c>
      <c r="IF28" s="204">
        <v>1</v>
      </c>
      <c r="IG28" s="205">
        <v>0</v>
      </c>
      <c r="IH28" s="204">
        <v>1</v>
      </c>
      <c r="II28" s="205">
        <v>0</v>
      </c>
      <c r="IJ28" s="204">
        <v>1</v>
      </c>
      <c r="IK28" s="205">
        <v>0</v>
      </c>
      <c r="IL28" s="204">
        <v>1</v>
      </c>
      <c r="IM28" s="205">
        <v>0</v>
      </c>
      <c r="IN28" s="204">
        <v>1</v>
      </c>
      <c r="IO28" s="205">
        <v>0</v>
      </c>
      <c r="IP28" s="204">
        <v>1</v>
      </c>
      <c r="IQ28" s="205">
        <v>0</v>
      </c>
      <c r="IR28" s="204">
        <v>1</v>
      </c>
      <c r="IS28" s="205">
        <v>0</v>
      </c>
      <c r="IT28" s="204">
        <v>1</v>
      </c>
      <c r="IU28" s="205">
        <v>0</v>
      </c>
      <c r="IV28" s="204">
        <v>1</v>
      </c>
      <c r="IW28" s="205">
        <v>0</v>
      </c>
      <c r="IX28" s="204">
        <v>1</v>
      </c>
      <c r="IY28" s="205">
        <v>0</v>
      </c>
      <c r="IZ28" s="204">
        <v>1</v>
      </c>
      <c r="JA28" s="205">
        <v>0</v>
      </c>
      <c r="JB28" s="204">
        <v>1</v>
      </c>
      <c r="JC28" s="205">
        <v>0</v>
      </c>
      <c r="JD28" s="204">
        <v>1</v>
      </c>
      <c r="JE28" s="233">
        <v>0</v>
      </c>
      <c r="JF28" s="236">
        <f t="shared" si="0"/>
        <v>24</v>
      </c>
      <c r="JG28" s="235">
        <f t="shared" si="1"/>
        <v>24</v>
      </c>
      <c r="JH28" s="235">
        <f t="shared" si="2"/>
        <v>24</v>
      </c>
      <c r="JI28" s="235">
        <f t="shared" si="3"/>
        <v>24</v>
      </c>
      <c r="JJ28" s="235">
        <f t="shared" si="4"/>
        <v>24</v>
      </c>
      <c r="JK28" s="235">
        <f t="shared" si="5"/>
        <v>24</v>
      </c>
      <c r="JL28" s="235">
        <f t="shared" si="6"/>
        <v>24</v>
      </c>
      <c r="JM28" s="235">
        <f t="shared" si="7"/>
        <v>24</v>
      </c>
      <c r="JN28" s="235">
        <f t="shared" si="8"/>
        <v>24</v>
      </c>
      <c r="JO28" s="235">
        <f t="shared" si="9"/>
        <v>24</v>
      </c>
      <c r="JP28" s="235">
        <f t="shared" si="10"/>
        <v>24</v>
      </c>
      <c r="JQ28" s="235">
        <f t="shared" si="11"/>
        <v>24</v>
      </c>
      <c r="JR28" s="235">
        <f t="shared" si="12"/>
        <v>24</v>
      </c>
      <c r="JS28" s="235">
        <f t="shared" si="13"/>
        <v>24</v>
      </c>
      <c r="JT28" s="235">
        <f t="shared" si="14"/>
        <v>24</v>
      </c>
      <c r="JU28" s="235">
        <f t="shared" si="15"/>
        <v>24</v>
      </c>
      <c r="JV28" s="235">
        <f t="shared" si="16"/>
        <v>24</v>
      </c>
      <c r="JW28" s="235">
        <f t="shared" si="17"/>
        <v>24</v>
      </c>
      <c r="JX28" s="235">
        <f t="shared" si="18"/>
        <v>24</v>
      </c>
      <c r="JY28" s="235">
        <f t="shared" si="19"/>
        <v>24</v>
      </c>
      <c r="JZ28" s="235">
        <f t="shared" si="20"/>
        <v>24</v>
      </c>
      <c r="KA28" s="237">
        <f t="shared" si="21"/>
        <v>24</v>
      </c>
      <c r="KB28" s="248">
        <v>46046</v>
      </c>
      <c r="KC28" s="201">
        <v>1.6213181818181817</v>
      </c>
      <c r="KD28" s="201">
        <v>1.6213181818181817</v>
      </c>
      <c r="KE28" s="201">
        <v>1.6213181818181817</v>
      </c>
      <c r="KF28" s="201">
        <v>1.6213181818181817</v>
      </c>
      <c r="KG28" s="201">
        <v>1.6213181818181817</v>
      </c>
      <c r="KH28" s="201">
        <v>1.6213181818181817</v>
      </c>
      <c r="KI28" s="201">
        <v>1.6213181818181817</v>
      </c>
      <c r="KJ28" s="201">
        <v>1.6213181818181817</v>
      </c>
      <c r="KK28" s="201">
        <v>1.6213181818181817</v>
      </c>
      <c r="KL28" s="201">
        <v>1.6213181818181817</v>
      </c>
      <c r="KM28" s="201">
        <v>1.6213181818181817</v>
      </c>
      <c r="KN28" s="201">
        <v>1.6213181818181817</v>
      </c>
      <c r="KO28" s="201">
        <v>1.6213181818181817</v>
      </c>
      <c r="KP28" s="201">
        <v>1.6213181818181817</v>
      </c>
      <c r="KQ28" s="201">
        <v>1.6213181818181817</v>
      </c>
      <c r="KR28" s="201">
        <v>1.6213181818181817</v>
      </c>
      <c r="KS28" s="201">
        <v>1.6213181818181817</v>
      </c>
      <c r="KT28" s="201">
        <v>1.6213181818181817</v>
      </c>
      <c r="KU28" s="201">
        <v>1.6213181818181817</v>
      </c>
      <c r="KV28" s="201">
        <v>1.6213181818181817</v>
      </c>
      <c r="KW28" s="201">
        <v>1.6213181818181817</v>
      </c>
      <c r="KX28" s="201">
        <v>1.6213181818181817</v>
      </c>
      <c r="KY28" s="203">
        <v>35.669000000000004</v>
      </c>
    </row>
    <row r="29" spans="1:311">
      <c r="A29" s="194">
        <v>46047</v>
      </c>
      <c r="B29" s="195"/>
      <c r="C29" s="196"/>
      <c r="D29" s="196"/>
      <c r="E29" s="196"/>
      <c r="F29" s="196"/>
      <c r="G29" s="196"/>
      <c r="H29" s="206">
        <v>1</v>
      </c>
      <c r="I29" s="198">
        <v>0</v>
      </c>
      <c r="J29" s="198">
        <v>0</v>
      </c>
      <c r="K29" s="199">
        <v>0</v>
      </c>
      <c r="L29" s="195"/>
      <c r="M29" s="196"/>
      <c r="N29" s="196"/>
      <c r="O29" s="196"/>
      <c r="P29" s="196"/>
      <c r="Q29" s="196"/>
      <c r="R29" s="206">
        <v>1</v>
      </c>
      <c r="S29" s="198">
        <v>0</v>
      </c>
      <c r="T29" s="198">
        <v>0</v>
      </c>
      <c r="U29" s="199">
        <v>0</v>
      </c>
      <c r="V29" s="195"/>
      <c r="W29" s="196"/>
      <c r="X29" s="196"/>
      <c r="Y29" s="196"/>
      <c r="Z29" s="196"/>
      <c r="AA29" s="196"/>
      <c r="AB29" s="206">
        <v>1</v>
      </c>
      <c r="AC29" s="198">
        <v>0</v>
      </c>
      <c r="AD29" s="198">
        <v>0</v>
      </c>
      <c r="AE29" s="199">
        <v>0</v>
      </c>
      <c r="AF29" s="195"/>
      <c r="AG29" s="196"/>
      <c r="AH29" s="196"/>
      <c r="AI29" s="196"/>
      <c r="AJ29" s="196"/>
      <c r="AK29" s="196"/>
      <c r="AL29" s="206">
        <v>1</v>
      </c>
      <c r="AM29" s="198">
        <v>0</v>
      </c>
      <c r="AN29" s="198">
        <v>0</v>
      </c>
      <c r="AO29" s="199">
        <v>0</v>
      </c>
      <c r="AP29" s="195"/>
      <c r="AQ29" s="196"/>
      <c r="AR29" s="196"/>
      <c r="AS29" s="196"/>
      <c r="AT29" s="196"/>
      <c r="AU29" s="196"/>
      <c r="AV29" s="206">
        <v>1</v>
      </c>
      <c r="AW29" s="198">
        <v>0</v>
      </c>
      <c r="AX29" s="198">
        <v>0</v>
      </c>
      <c r="AY29" s="199">
        <v>0</v>
      </c>
      <c r="AZ29" s="195"/>
      <c r="BA29" s="196"/>
      <c r="BB29" s="196"/>
      <c r="BC29" s="196"/>
      <c r="BD29" s="196"/>
      <c r="BE29" s="196"/>
      <c r="BF29" s="206">
        <v>1</v>
      </c>
      <c r="BG29" s="198">
        <v>0</v>
      </c>
      <c r="BH29" s="198">
        <v>0</v>
      </c>
      <c r="BI29" s="199">
        <v>0</v>
      </c>
      <c r="BJ29" s="195"/>
      <c r="BK29" s="196"/>
      <c r="BL29" s="196"/>
      <c r="BM29" s="196"/>
      <c r="BN29" s="196"/>
      <c r="BO29" s="196"/>
      <c r="BP29" s="206">
        <v>1</v>
      </c>
      <c r="BQ29" s="198">
        <v>0</v>
      </c>
      <c r="BR29" s="198">
        <v>0</v>
      </c>
      <c r="BS29" s="199">
        <v>0</v>
      </c>
      <c r="BT29" s="195"/>
      <c r="BU29" s="196"/>
      <c r="BV29" s="196"/>
      <c r="BW29" s="196"/>
      <c r="BX29" s="196"/>
      <c r="BY29" s="196"/>
      <c r="BZ29" s="206">
        <v>1</v>
      </c>
      <c r="CA29" s="198">
        <v>0</v>
      </c>
      <c r="CB29" s="198">
        <v>0</v>
      </c>
      <c r="CC29" s="199">
        <v>0</v>
      </c>
      <c r="CD29" s="195"/>
      <c r="CE29" s="196"/>
      <c r="CF29" s="196"/>
      <c r="CG29" s="196"/>
      <c r="CH29" s="196"/>
      <c r="CI29" s="196"/>
      <c r="CJ29" s="206">
        <v>1</v>
      </c>
      <c r="CK29" s="198">
        <v>0</v>
      </c>
      <c r="CL29" s="198">
        <v>0</v>
      </c>
      <c r="CM29" s="199">
        <v>0</v>
      </c>
      <c r="CN29" s="195"/>
      <c r="CO29" s="196"/>
      <c r="CP29" s="196"/>
      <c r="CQ29" s="196"/>
      <c r="CR29" s="196"/>
      <c r="CS29" s="196"/>
      <c r="CT29" s="206">
        <v>1</v>
      </c>
      <c r="CU29" s="198">
        <v>0</v>
      </c>
      <c r="CV29" s="198">
        <v>0</v>
      </c>
      <c r="CW29" s="199">
        <v>0</v>
      </c>
      <c r="CX29" s="195"/>
      <c r="CY29" s="196"/>
      <c r="CZ29" s="196"/>
      <c r="DA29" s="196"/>
      <c r="DB29" s="196"/>
      <c r="DC29" s="196"/>
      <c r="DD29" s="206">
        <v>1</v>
      </c>
      <c r="DE29" s="198">
        <v>0</v>
      </c>
      <c r="DF29" s="198">
        <v>0</v>
      </c>
      <c r="DG29" s="199">
        <v>0</v>
      </c>
      <c r="DH29" s="195"/>
      <c r="DI29" s="196"/>
      <c r="DJ29" s="196"/>
      <c r="DK29" s="196"/>
      <c r="DL29" s="196"/>
      <c r="DM29" s="196"/>
      <c r="DN29" s="206">
        <v>1</v>
      </c>
      <c r="DO29" s="198">
        <v>0</v>
      </c>
      <c r="DP29" s="198">
        <v>0</v>
      </c>
      <c r="DQ29" s="199">
        <v>0</v>
      </c>
      <c r="DR29" s="195"/>
      <c r="DS29" s="196"/>
      <c r="DT29" s="196"/>
      <c r="DU29" s="196"/>
      <c r="DV29" s="196"/>
      <c r="DW29" s="196"/>
      <c r="DX29" s="206">
        <v>1</v>
      </c>
      <c r="DY29" s="198">
        <v>0</v>
      </c>
      <c r="DZ29" s="198">
        <v>0</v>
      </c>
      <c r="EA29" s="199">
        <v>0</v>
      </c>
      <c r="EB29" s="195"/>
      <c r="EC29" s="196"/>
      <c r="ED29" s="196"/>
      <c r="EE29" s="196"/>
      <c r="EF29" s="196"/>
      <c r="EG29" s="196"/>
      <c r="EH29" s="206">
        <v>1</v>
      </c>
      <c r="EI29" s="198">
        <v>0</v>
      </c>
      <c r="EJ29" s="198">
        <v>0</v>
      </c>
      <c r="EK29" s="199">
        <v>0</v>
      </c>
      <c r="EL29" s="195"/>
      <c r="EM29" s="196"/>
      <c r="EN29" s="196"/>
      <c r="EO29" s="196"/>
      <c r="EP29" s="196"/>
      <c r="EQ29" s="196"/>
      <c r="ER29" s="206">
        <v>1</v>
      </c>
      <c r="ES29" s="198">
        <v>0</v>
      </c>
      <c r="ET29" s="198">
        <v>0</v>
      </c>
      <c r="EU29" s="199">
        <v>0</v>
      </c>
      <c r="EV29" s="195"/>
      <c r="EW29" s="196"/>
      <c r="EX29" s="196"/>
      <c r="EY29" s="196"/>
      <c r="EZ29" s="196"/>
      <c r="FA29" s="196"/>
      <c r="FB29" s="206">
        <v>1</v>
      </c>
      <c r="FC29" s="198">
        <v>0</v>
      </c>
      <c r="FD29" s="198">
        <v>0</v>
      </c>
      <c r="FE29" s="199">
        <v>0</v>
      </c>
      <c r="FF29" s="195"/>
      <c r="FG29" s="196"/>
      <c r="FH29" s="196"/>
      <c r="FI29" s="196"/>
      <c r="FJ29" s="196"/>
      <c r="FK29" s="196"/>
      <c r="FL29" s="206">
        <v>1</v>
      </c>
      <c r="FM29" s="198">
        <v>0</v>
      </c>
      <c r="FN29" s="198">
        <v>0</v>
      </c>
      <c r="FO29" s="199">
        <v>0</v>
      </c>
      <c r="FP29" s="195"/>
      <c r="FQ29" s="196"/>
      <c r="FR29" s="196"/>
      <c r="FS29" s="196"/>
      <c r="FT29" s="196"/>
      <c r="FU29" s="196"/>
      <c r="FV29" s="206">
        <v>1</v>
      </c>
      <c r="FW29" s="198">
        <v>0</v>
      </c>
      <c r="FX29" s="198">
        <v>0</v>
      </c>
      <c r="FY29" s="199">
        <v>0</v>
      </c>
      <c r="FZ29" s="195"/>
      <c r="GA29" s="196"/>
      <c r="GB29" s="196"/>
      <c r="GC29" s="196"/>
      <c r="GD29" s="196"/>
      <c r="GE29" s="196"/>
      <c r="GF29" s="206">
        <v>1</v>
      </c>
      <c r="GG29" s="198">
        <v>0</v>
      </c>
      <c r="GH29" s="198">
        <v>0</v>
      </c>
      <c r="GI29" s="199">
        <v>0</v>
      </c>
      <c r="GJ29" s="195"/>
      <c r="GK29" s="196"/>
      <c r="GL29" s="196"/>
      <c r="GM29" s="196"/>
      <c r="GN29" s="196"/>
      <c r="GO29" s="196"/>
      <c r="GP29" s="206">
        <v>1</v>
      </c>
      <c r="GQ29" s="198">
        <v>0</v>
      </c>
      <c r="GR29" s="198">
        <v>0</v>
      </c>
      <c r="GS29" s="199">
        <v>0</v>
      </c>
      <c r="GT29" s="195"/>
      <c r="GU29" s="196"/>
      <c r="GV29" s="196"/>
      <c r="GW29" s="196"/>
      <c r="GX29" s="196"/>
      <c r="GY29" s="196"/>
      <c r="GZ29" s="206">
        <v>1</v>
      </c>
      <c r="HA29" s="198">
        <v>0</v>
      </c>
      <c r="HB29" s="198">
        <v>0</v>
      </c>
      <c r="HC29" s="199">
        <v>0</v>
      </c>
      <c r="HD29" s="195"/>
      <c r="HE29" s="196"/>
      <c r="HF29" s="196"/>
      <c r="HG29" s="196"/>
      <c r="HH29" s="196"/>
      <c r="HI29" s="196"/>
      <c r="HJ29" s="206">
        <v>1</v>
      </c>
      <c r="HK29" s="198">
        <v>0</v>
      </c>
      <c r="HL29" s="198">
        <v>0</v>
      </c>
      <c r="HM29" s="199">
        <v>0</v>
      </c>
      <c r="HN29" s="204">
        <v>1</v>
      </c>
      <c r="HO29" s="205">
        <v>0</v>
      </c>
      <c r="HP29" s="204">
        <v>1</v>
      </c>
      <c r="HQ29" s="205">
        <v>0</v>
      </c>
      <c r="HR29" s="204">
        <v>1</v>
      </c>
      <c r="HS29" s="205">
        <v>0</v>
      </c>
      <c r="HT29" s="204">
        <v>1</v>
      </c>
      <c r="HU29" s="205">
        <v>0</v>
      </c>
      <c r="HV29" s="204">
        <v>1</v>
      </c>
      <c r="HW29" s="205">
        <v>0</v>
      </c>
      <c r="HX29" s="204">
        <v>1</v>
      </c>
      <c r="HY29" s="205">
        <v>0</v>
      </c>
      <c r="HZ29" s="204">
        <v>1</v>
      </c>
      <c r="IA29" s="205">
        <v>0</v>
      </c>
      <c r="IB29" s="204">
        <v>1</v>
      </c>
      <c r="IC29" s="205">
        <v>0</v>
      </c>
      <c r="ID29" s="204">
        <v>1</v>
      </c>
      <c r="IE29" s="205">
        <v>0</v>
      </c>
      <c r="IF29" s="204">
        <v>1</v>
      </c>
      <c r="IG29" s="205">
        <v>0</v>
      </c>
      <c r="IH29" s="204">
        <v>1</v>
      </c>
      <c r="II29" s="205">
        <v>0</v>
      </c>
      <c r="IJ29" s="204">
        <v>1</v>
      </c>
      <c r="IK29" s="205">
        <v>0</v>
      </c>
      <c r="IL29" s="204">
        <v>1</v>
      </c>
      <c r="IM29" s="205">
        <v>0</v>
      </c>
      <c r="IN29" s="204">
        <v>1</v>
      </c>
      <c r="IO29" s="205">
        <v>0</v>
      </c>
      <c r="IP29" s="204">
        <v>1</v>
      </c>
      <c r="IQ29" s="205">
        <v>0</v>
      </c>
      <c r="IR29" s="204">
        <v>1</v>
      </c>
      <c r="IS29" s="205">
        <v>0</v>
      </c>
      <c r="IT29" s="204">
        <v>1</v>
      </c>
      <c r="IU29" s="205">
        <v>0</v>
      </c>
      <c r="IV29" s="204">
        <v>1</v>
      </c>
      <c r="IW29" s="205">
        <v>0</v>
      </c>
      <c r="IX29" s="204">
        <v>1</v>
      </c>
      <c r="IY29" s="205">
        <v>0</v>
      </c>
      <c r="IZ29" s="204">
        <v>1</v>
      </c>
      <c r="JA29" s="205">
        <v>0</v>
      </c>
      <c r="JB29" s="204">
        <v>1</v>
      </c>
      <c r="JC29" s="205">
        <v>0</v>
      </c>
      <c r="JD29" s="204">
        <v>1</v>
      </c>
      <c r="JE29" s="233">
        <v>0</v>
      </c>
      <c r="JF29" s="236">
        <f t="shared" si="0"/>
        <v>24</v>
      </c>
      <c r="JG29" s="235">
        <f t="shared" si="1"/>
        <v>24</v>
      </c>
      <c r="JH29" s="235">
        <f t="shared" si="2"/>
        <v>24</v>
      </c>
      <c r="JI29" s="235">
        <f t="shared" si="3"/>
        <v>24</v>
      </c>
      <c r="JJ29" s="235">
        <f t="shared" si="4"/>
        <v>24</v>
      </c>
      <c r="JK29" s="235">
        <f t="shared" si="5"/>
        <v>24</v>
      </c>
      <c r="JL29" s="235">
        <f t="shared" si="6"/>
        <v>24</v>
      </c>
      <c r="JM29" s="235">
        <f t="shared" si="7"/>
        <v>24</v>
      </c>
      <c r="JN29" s="235">
        <f t="shared" si="8"/>
        <v>24</v>
      </c>
      <c r="JO29" s="235">
        <f t="shared" si="9"/>
        <v>24</v>
      </c>
      <c r="JP29" s="235">
        <f t="shared" si="10"/>
        <v>24</v>
      </c>
      <c r="JQ29" s="235">
        <f t="shared" si="11"/>
        <v>24</v>
      </c>
      <c r="JR29" s="235">
        <f t="shared" si="12"/>
        <v>24</v>
      </c>
      <c r="JS29" s="235">
        <f t="shared" si="13"/>
        <v>24</v>
      </c>
      <c r="JT29" s="235">
        <f t="shared" si="14"/>
        <v>24</v>
      </c>
      <c r="JU29" s="235">
        <f t="shared" si="15"/>
        <v>24</v>
      </c>
      <c r="JV29" s="235">
        <f t="shared" si="16"/>
        <v>24</v>
      </c>
      <c r="JW29" s="235">
        <f t="shared" si="17"/>
        <v>24</v>
      </c>
      <c r="JX29" s="235">
        <f t="shared" si="18"/>
        <v>24</v>
      </c>
      <c r="JY29" s="235">
        <f t="shared" si="19"/>
        <v>24</v>
      </c>
      <c r="JZ29" s="235">
        <f t="shared" si="20"/>
        <v>24</v>
      </c>
      <c r="KA29" s="237">
        <f t="shared" si="21"/>
        <v>24</v>
      </c>
      <c r="KB29" s="248">
        <v>46047</v>
      </c>
      <c r="KC29" s="201">
        <v>1.591</v>
      </c>
      <c r="KD29" s="201">
        <v>1.591</v>
      </c>
      <c r="KE29" s="201">
        <v>1.591</v>
      </c>
      <c r="KF29" s="201">
        <v>1.591</v>
      </c>
      <c r="KG29" s="201">
        <v>1.591</v>
      </c>
      <c r="KH29" s="201">
        <v>1.591</v>
      </c>
      <c r="KI29" s="201">
        <v>1.591</v>
      </c>
      <c r="KJ29" s="201">
        <v>1.591</v>
      </c>
      <c r="KK29" s="201">
        <v>1.591</v>
      </c>
      <c r="KL29" s="201">
        <v>1.591</v>
      </c>
      <c r="KM29" s="201">
        <v>1.591</v>
      </c>
      <c r="KN29" s="201">
        <v>1.591</v>
      </c>
      <c r="KO29" s="201">
        <v>1.591</v>
      </c>
      <c r="KP29" s="201">
        <v>1.591</v>
      </c>
      <c r="KQ29" s="201">
        <v>1.591</v>
      </c>
      <c r="KR29" s="201">
        <v>1.591</v>
      </c>
      <c r="KS29" s="201">
        <v>1.591</v>
      </c>
      <c r="KT29" s="201">
        <v>1.591</v>
      </c>
      <c r="KU29" s="201">
        <v>1.591</v>
      </c>
      <c r="KV29" s="201">
        <v>1.591</v>
      </c>
      <c r="KW29" s="201">
        <v>1.591</v>
      </c>
      <c r="KX29" s="201">
        <v>1.591</v>
      </c>
      <c r="KY29" s="203">
        <v>35.00200000000001</v>
      </c>
    </row>
    <row r="30" spans="1:311">
      <c r="A30" s="194">
        <v>46048</v>
      </c>
      <c r="B30" s="195"/>
      <c r="C30" s="196"/>
      <c r="D30" s="196"/>
      <c r="E30" s="196"/>
      <c r="F30" s="196"/>
      <c r="G30" s="196"/>
      <c r="H30" s="206">
        <v>1</v>
      </c>
      <c r="I30" s="198">
        <v>0</v>
      </c>
      <c r="J30" s="198">
        <v>0</v>
      </c>
      <c r="K30" s="199">
        <v>0</v>
      </c>
      <c r="L30" s="195"/>
      <c r="M30" s="196"/>
      <c r="N30" s="196"/>
      <c r="O30" s="196"/>
      <c r="P30" s="196"/>
      <c r="Q30" s="196"/>
      <c r="R30" s="206">
        <v>1</v>
      </c>
      <c r="S30" s="198">
        <v>0</v>
      </c>
      <c r="T30" s="198">
        <v>0</v>
      </c>
      <c r="U30" s="199">
        <v>0</v>
      </c>
      <c r="V30" s="195"/>
      <c r="W30" s="196"/>
      <c r="X30" s="196"/>
      <c r="Y30" s="196"/>
      <c r="Z30" s="196"/>
      <c r="AA30" s="196"/>
      <c r="AB30" s="206">
        <v>1</v>
      </c>
      <c r="AC30" s="198">
        <v>0</v>
      </c>
      <c r="AD30" s="198">
        <v>0</v>
      </c>
      <c r="AE30" s="199">
        <v>0</v>
      </c>
      <c r="AF30" s="195"/>
      <c r="AG30" s="196"/>
      <c r="AH30" s="196"/>
      <c r="AI30" s="196"/>
      <c r="AJ30" s="196"/>
      <c r="AK30" s="196"/>
      <c r="AL30" s="206">
        <v>1</v>
      </c>
      <c r="AM30" s="198">
        <v>0</v>
      </c>
      <c r="AN30" s="198">
        <v>0</v>
      </c>
      <c r="AO30" s="199">
        <v>0</v>
      </c>
      <c r="AP30" s="195"/>
      <c r="AQ30" s="196"/>
      <c r="AR30" s="196"/>
      <c r="AS30" s="196"/>
      <c r="AT30" s="196"/>
      <c r="AU30" s="196"/>
      <c r="AV30" s="206">
        <v>1</v>
      </c>
      <c r="AW30" s="198">
        <v>0</v>
      </c>
      <c r="AX30" s="198">
        <v>0</v>
      </c>
      <c r="AY30" s="199">
        <v>0</v>
      </c>
      <c r="AZ30" s="195"/>
      <c r="BA30" s="196"/>
      <c r="BB30" s="196"/>
      <c r="BC30" s="196"/>
      <c r="BD30" s="196"/>
      <c r="BE30" s="196"/>
      <c r="BF30" s="206">
        <v>1</v>
      </c>
      <c r="BG30" s="198">
        <v>0</v>
      </c>
      <c r="BH30" s="198">
        <v>0</v>
      </c>
      <c r="BI30" s="199">
        <v>0</v>
      </c>
      <c r="BJ30" s="195"/>
      <c r="BK30" s="196"/>
      <c r="BL30" s="196"/>
      <c r="BM30" s="196"/>
      <c r="BN30" s="196"/>
      <c r="BO30" s="196"/>
      <c r="BP30" s="206">
        <v>1</v>
      </c>
      <c r="BQ30" s="198">
        <v>0</v>
      </c>
      <c r="BR30" s="198">
        <v>0</v>
      </c>
      <c r="BS30" s="199">
        <v>0</v>
      </c>
      <c r="BT30" s="195"/>
      <c r="BU30" s="196"/>
      <c r="BV30" s="196"/>
      <c r="BW30" s="196"/>
      <c r="BX30" s="196"/>
      <c r="BY30" s="196"/>
      <c r="BZ30" s="206">
        <v>1</v>
      </c>
      <c r="CA30" s="198">
        <v>0</v>
      </c>
      <c r="CB30" s="198">
        <v>0</v>
      </c>
      <c r="CC30" s="199">
        <v>0</v>
      </c>
      <c r="CD30" s="195"/>
      <c r="CE30" s="196"/>
      <c r="CF30" s="196"/>
      <c r="CG30" s="196"/>
      <c r="CH30" s="196"/>
      <c r="CI30" s="196"/>
      <c r="CJ30" s="206">
        <v>1</v>
      </c>
      <c r="CK30" s="198">
        <v>0</v>
      </c>
      <c r="CL30" s="198">
        <v>0</v>
      </c>
      <c r="CM30" s="199">
        <v>0</v>
      </c>
      <c r="CN30" s="195"/>
      <c r="CO30" s="196"/>
      <c r="CP30" s="196"/>
      <c r="CQ30" s="196"/>
      <c r="CR30" s="196"/>
      <c r="CS30" s="196"/>
      <c r="CT30" s="206">
        <v>1</v>
      </c>
      <c r="CU30" s="198">
        <v>0</v>
      </c>
      <c r="CV30" s="198">
        <v>0</v>
      </c>
      <c r="CW30" s="199">
        <v>0</v>
      </c>
      <c r="CX30" s="195"/>
      <c r="CY30" s="196"/>
      <c r="CZ30" s="196"/>
      <c r="DA30" s="196"/>
      <c r="DB30" s="196"/>
      <c r="DC30" s="196"/>
      <c r="DD30" s="206">
        <v>1</v>
      </c>
      <c r="DE30" s="198">
        <v>0</v>
      </c>
      <c r="DF30" s="198">
        <v>0</v>
      </c>
      <c r="DG30" s="199">
        <v>0</v>
      </c>
      <c r="DH30" s="195"/>
      <c r="DI30" s="196"/>
      <c r="DJ30" s="196"/>
      <c r="DK30" s="196"/>
      <c r="DL30" s="196"/>
      <c r="DM30" s="196"/>
      <c r="DN30" s="206">
        <v>1</v>
      </c>
      <c r="DO30" s="198">
        <v>0</v>
      </c>
      <c r="DP30" s="198">
        <v>0</v>
      </c>
      <c r="DQ30" s="199">
        <v>0</v>
      </c>
      <c r="DR30" s="195"/>
      <c r="DS30" s="196"/>
      <c r="DT30" s="196"/>
      <c r="DU30" s="196"/>
      <c r="DV30" s="196"/>
      <c r="DW30" s="196"/>
      <c r="DX30" s="206">
        <v>1</v>
      </c>
      <c r="DY30" s="198">
        <v>0</v>
      </c>
      <c r="DZ30" s="198">
        <v>0</v>
      </c>
      <c r="EA30" s="199">
        <v>0</v>
      </c>
      <c r="EB30" s="195"/>
      <c r="EC30" s="196"/>
      <c r="ED30" s="196"/>
      <c r="EE30" s="196"/>
      <c r="EF30" s="196"/>
      <c r="EG30" s="196"/>
      <c r="EH30" s="206">
        <v>1</v>
      </c>
      <c r="EI30" s="198">
        <v>0</v>
      </c>
      <c r="EJ30" s="198">
        <v>0</v>
      </c>
      <c r="EK30" s="199">
        <v>0</v>
      </c>
      <c r="EL30" s="195"/>
      <c r="EM30" s="196"/>
      <c r="EN30" s="196"/>
      <c r="EO30" s="196"/>
      <c r="EP30" s="196"/>
      <c r="EQ30" s="196"/>
      <c r="ER30" s="206">
        <v>1</v>
      </c>
      <c r="ES30" s="198">
        <v>0</v>
      </c>
      <c r="ET30" s="198">
        <v>0</v>
      </c>
      <c r="EU30" s="199">
        <v>0</v>
      </c>
      <c r="EV30" s="195"/>
      <c r="EW30" s="196"/>
      <c r="EX30" s="196"/>
      <c r="EY30" s="196"/>
      <c r="EZ30" s="196"/>
      <c r="FA30" s="196"/>
      <c r="FB30" s="206">
        <v>1</v>
      </c>
      <c r="FC30" s="198">
        <v>0</v>
      </c>
      <c r="FD30" s="198">
        <v>0</v>
      </c>
      <c r="FE30" s="199">
        <v>0</v>
      </c>
      <c r="FF30" s="195"/>
      <c r="FG30" s="196"/>
      <c r="FH30" s="196"/>
      <c r="FI30" s="196"/>
      <c r="FJ30" s="196"/>
      <c r="FK30" s="196"/>
      <c r="FL30" s="206">
        <v>1</v>
      </c>
      <c r="FM30" s="198">
        <v>0</v>
      </c>
      <c r="FN30" s="198">
        <v>0</v>
      </c>
      <c r="FO30" s="199">
        <v>0</v>
      </c>
      <c r="FP30" s="195"/>
      <c r="FQ30" s="196"/>
      <c r="FR30" s="196"/>
      <c r="FS30" s="196"/>
      <c r="FT30" s="196"/>
      <c r="FU30" s="196"/>
      <c r="FV30" s="206">
        <v>1</v>
      </c>
      <c r="FW30" s="198">
        <v>0</v>
      </c>
      <c r="FX30" s="198">
        <v>0</v>
      </c>
      <c r="FY30" s="199">
        <v>0</v>
      </c>
      <c r="FZ30" s="195"/>
      <c r="GA30" s="196"/>
      <c r="GB30" s="196"/>
      <c r="GC30" s="196"/>
      <c r="GD30" s="196"/>
      <c r="GE30" s="196"/>
      <c r="GF30" s="206">
        <v>1</v>
      </c>
      <c r="GG30" s="198">
        <v>0</v>
      </c>
      <c r="GH30" s="198">
        <v>0</v>
      </c>
      <c r="GI30" s="199">
        <v>0</v>
      </c>
      <c r="GJ30" s="195"/>
      <c r="GK30" s="196"/>
      <c r="GL30" s="196"/>
      <c r="GM30" s="196"/>
      <c r="GN30" s="196"/>
      <c r="GO30" s="196"/>
      <c r="GP30" s="206">
        <v>1</v>
      </c>
      <c r="GQ30" s="198">
        <v>0</v>
      </c>
      <c r="GR30" s="198">
        <v>0</v>
      </c>
      <c r="GS30" s="199">
        <v>0</v>
      </c>
      <c r="GT30" s="195"/>
      <c r="GU30" s="196"/>
      <c r="GV30" s="196"/>
      <c r="GW30" s="196"/>
      <c r="GX30" s="196"/>
      <c r="GY30" s="196"/>
      <c r="GZ30" s="206">
        <v>1</v>
      </c>
      <c r="HA30" s="198">
        <v>0</v>
      </c>
      <c r="HB30" s="198">
        <v>0</v>
      </c>
      <c r="HC30" s="199">
        <v>0</v>
      </c>
      <c r="HD30" s="195"/>
      <c r="HE30" s="196"/>
      <c r="HF30" s="196"/>
      <c r="HG30" s="196"/>
      <c r="HH30" s="196"/>
      <c r="HI30" s="196"/>
      <c r="HJ30" s="206">
        <v>1</v>
      </c>
      <c r="HK30" s="198">
        <v>0</v>
      </c>
      <c r="HL30" s="198">
        <v>0</v>
      </c>
      <c r="HM30" s="199">
        <v>0</v>
      </c>
      <c r="HN30" s="204">
        <v>1</v>
      </c>
      <c r="HO30" s="205">
        <v>0</v>
      </c>
      <c r="HP30" s="204">
        <v>1</v>
      </c>
      <c r="HQ30" s="205">
        <v>0</v>
      </c>
      <c r="HR30" s="204">
        <v>1</v>
      </c>
      <c r="HS30" s="205">
        <v>0</v>
      </c>
      <c r="HT30" s="204">
        <v>1</v>
      </c>
      <c r="HU30" s="205">
        <v>0</v>
      </c>
      <c r="HV30" s="204">
        <v>1</v>
      </c>
      <c r="HW30" s="205">
        <v>0</v>
      </c>
      <c r="HX30" s="204">
        <v>1</v>
      </c>
      <c r="HY30" s="205">
        <v>0</v>
      </c>
      <c r="HZ30" s="204">
        <v>1</v>
      </c>
      <c r="IA30" s="205">
        <v>0</v>
      </c>
      <c r="IB30" s="204">
        <v>1</v>
      </c>
      <c r="IC30" s="205">
        <v>0</v>
      </c>
      <c r="ID30" s="204">
        <v>1</v>
      </c>
      <c r="IE30" s="205">
        <v>0</v>
      </c>
      <c r="IF30" s="204">
        <v>1</v>
      </c>
      <c r="IG30" s="205">
        <v>0</v>
      </c>
      <c r="IH30" s="204">
        <v>1</v>
      </c>
      <c r="II30" s="205">
        <v>0</v>
      </c>
      <c r="IJ30" s="204">
        <v>1</v>
      </c>
      <c r="IK30" s="205">
        <v>0</v>
      </c>
      <c r="IL30" s="204">
        <v>1</v>
      </c>
      <c r="IM30" s="205">
        <v>0</v>
      </c>
      <c r="IN30" s="204">
        <v>1</v>
      </c>
      <c r="IO30" s="205">
        <v>0</v>
      </c>
      <c r="IP30" s="204">
        <v>1</v>
      </c>
      <c r="IQ30" s="205">
        <v>0</v>
      </c>
      <c r="IR30" s="204">
        <v>1</v>
      </c>
      <c r="IS30" s="205">
        <v>0</v>
      </c>
      <c r="IT30" s="204">
        <v>1</v>
      </c>
      <c r="IU30" s="205">
        <v>0</v>
      </c>
      <c r="IV30" s="204">
        <v>1</v>
      </c>
      <c r="IW30" s="205">
        <v>0</v>
      </c>
      <c r="IX30" s="204">
        <v>1</v>
      </c>
      <c r="IY30" s="205">
        <v>0</v>
      </c>
      <c r="IZ30" s="204">
        <v>1</v>
      </c>
      <c r="JA30" s="205">
        <v>0</v>
      </c>
      <c r="JB30" s="204">
        <v>1</v>
      </c>
      <c r="JC30" s="205">
        <v>0</v>
      </c>
      <c r="JD30" s="204">
        <v>1</v>
      </c>
      <c r="JE30" s="233">
        <v>0</v>
      </c>
      <c r="JF30" s="236">
        <f t="shared" si="0"/>
        <v>24</v>
      </c>
      <c r="JG30" s="235">
        <f t="shared" si="1"/>
        <v>24</v>
      </c>
      <c r="JH30" s="235">
        <f t="shared" si="2"/>
        <v>24</v>
      </c>
      <c r="JI30" s="235">
        <f t="shared" si="3"/>
        <v>24</v>
      </c>
      <c r="JJ30" s="235">
        <f t="shared" si="4"/>
        <v>24</v>
      </c>
      <c r="JK30" s="235">
        <f t="shared" si="5"/>
        <v>24</v>
      </c>
      <c r="JL30" s="235">
        <f t="shared" si="6"/>
        <v>24</v>
      </c>
      <c r="JM30" s="235">
        <f t="shared" si="7"/>
        <v>24</v>
      </c>
      <c r="JN30" s="235">
        <f t="shared" si="8"/>
        <v>24</v>
      </c>
      <c r="JO30" s="235">
        <f t="shared" si="9"/>
        <v>24</v>
      </c>
      <c r="JP30" s="235">
        <f t="shared" si="10"/>
        <v>24</v>
      </c>
      <c r="JQ30" s="235">
        <f t="shared" si="11"/>
        <v>24</v>
      </c>
      <c r="JR30" s="235">
        <f t="shared" si="12"/>
        <v>24</v>
      </c>
      <c r="JS30" s="235">
        <f t="shared" si="13"/>
        <v>24</v>
      </c>
      <c r="JT30" s="235">
        <f t="shared" si="14"/>
        <v>24</v>
      </c>
      <c r="JU30" s="235">
        <f t="shared" si="15"/>
        <v>24</v>
      </c>
      <c r="JV30" s="235">
        <f t="shared" si="16"/>
        <v>24</v>
      </c>
      <c r="JW30" s="235">
        <f t="shared" si="17"/>
        <v>24</v>
      </c>
      <c r="JX30" s="235">
        <f t="shared" si="18"/>
        <v>24</v>
      </c>
      <c r="JY30" s="235">
        <f t="shared" si="19"/>
        <v>24</v>
      </c>
      <c r="JZ30" s="235">
        <f t="shared" si="20"/>
        <v>24</v>
      </c>
      <c r="KA30" s="237">
        <f t="shared" si="21"/>
        <v>24</v>
      </c>
      <c r="KB30" s="248">
        <v>46048</v>
      </c>
      <c r="KC30" s="201">
        <v>1.6155909090909091</v>
      </c>
      <c r="KD30" s="201">
        <v>1.6155909090909091</v>
      </c>
      <c r="KE30" s="201">
        <v>1.6155909090909091</v>
      </c>
      <c r="KF30" s="201">
        <v>1.6155909090909091</v>
      </c>
      <c r="KG30" s="201">
        <v>1.6155909090909091</v>
      </c>
      <c r="KH30" s="201">
        <v>1.6155909090909091</v>
      </c>
      <c r="KI30" s="201">
        <v>1.6155909090909091</v>
      </c>
      <c r="KJ30" s="201">
        <v>1.6155909090909091</v>
      </c>
      <c r="KK30" s="201">
        <v>1.6155909090909091</v>
      </c>
      <c r="KL30" s="201">
        <v>1.6155909090909091</v>
      </c>
      <c r="KM30" s="201">
        <v>1.6155909090909091</v>
      </c>
      <c r="KN30" s="201">
        <v>1.6155909090909091</v>
      </c>
      <c r="KO30" s="201">
        <v>1.6155909090909091</v>
      </c>
      <c r="KP30" s="201">
        <v>1.6155909090909091</v>
      </c>
      <c r="KQ30" s="201">
        <v>1.6155909090909091</v>
      </c>
      <c r="KR30" s="201">
        <v>1.6155909090909091</v>
      </c>
      <c r="KS30" s="201">
        <v>1.6155909090909091</v>
      </c>
      <c r="KT30" s="201">
        <v>1.6155909090909091</v>
      </c>
      <c r="KU30" s="201">
        <v>1.6155909090909091</v>
      </c>
      <c r="KV30" s="201">
        <v>1.6155909090909091</v>
      </c>
      <c r="KW30" s="201">
        <v>1.6155909090909091</v>
      </c>
      <c r="KX30" s="201">
        <v>1.6155909090909091</v>
      </c>
      <c r="KY30" s="203">
        <v>35.542999999999999</v>
      </c>
    </row>
    <row r="31" spans="1:311">
      <c r="A31" s="194">
        <v>46049</v>
      </c>
      <c r="B31" s="195"/>
      <c r="C31" s="196"/>
      <c r="D31" s="196"/>
      <c r="E31" s="196"/>
      <c r="F31" s="196"/>
      <c r="G31" s="196"/>
      <c r="H31" s="206">
        <v>1</v>
      </c>
      <c r="I31" s="198">
        <v>0</v>
      </c>
      <c r="J31" s="198">
        <v>0</v>
      </c>
      <c r="K31" s="199">
        <v>0</v>
      </c>
      <c r="L31" s="195"/>
      <c r="M31" s="196"/>
      <c r="N31" s="196"/>
      <c r="O31" s="196"/>
      <c r="P31" s="196"/>
      <c r="Q31" s="196"/>
      <c r="R31" s="206">
        <v>1</v>
      </c>
      <c r="S31" s="198">
        <v>0</v>
      </c>
      <c r="T31" s="198">
        <v>0</v>
      </c>
      <c r="U31" s="199">
        <v>0</v>
      </c>
      <c r="V31" s="195"/>
      <c r="W31" s="196"/>
      <c r="X31" s="196"/>
      <c r="Y31" s="196"/>
      <c r="Z31" s="196"/>
      <c r="AA31" s="196"/>
      <c r="AB31" s="206">
        <v>1</v>
      </c>
      <c r="AC31" s="198">
        <v>0</v>
      </c>
      <c r="AD31" s="198">
        <v>0</v>
      </c>
      <c r="AE31" s="199">
        <v>0</v>
      </c>
      <c r="AF31" s="195"/>
      <c r="AG31" s="196"/>
      <c r="AH31" s="196"/>
      <c r="AI31" s="196"/>
      <c r="AJ31" s="196"/>
      <c r="AK31" s="196"/>
      <c r="AL31" s="206">
        <v>1</v>
      </c>
      <c r="AM31" s="198">
        <v>0</v>
      </c>
      <c r="AN31" s="198">
        <v>0</v>
      </c>
      <c r="AO31" s="199">
        <v>0</v>
      </c>
      <c r="AP31" s="195"/>
      <c r="AQ31" s="196"/>
      <c r="AR31" s="196"/>
      <c r="AS31" s="196"/>
      <c r="AT31" s="196"/>
      <c r="AU31" s="196"/>
      <c r="AV31" s="206">
        <v>1</v>
      </c>
      <c r="AW31" s="198">
        <v>0</v>
      </c>
      <c r="AX31" s="198">
        <v>0</v>
      </c>
      <c r="AY31" s="199">
        <v>0</v>
      </c>
      <c r="AZ31" s="195"/>
      <c r="BA31" s="196"/>
      <c r="BB31" s="196"/>
      <c r="BC31" s="196"/>
      <c r="BD31" s="196"/>
      <c r="BE31" s="196"/>
      <c r="BF31" s="206">
        <v>1</v>
      </c>
      <c r="BG31" s="198">
        <v>0</v>
      </c>
      <c r="BH31" s="198">
        <v>0</v>
      </c>
      <c r="BI31" s="199">
        <v>0</v>
      </c>
      <c r="BJ31" s="195"/>
      <c r="BK31" s="196"/>
      <c r="BL31" s="196"/>
      <c r="BM31" s="196"/>
      <c r="BN31" s="196"/>
      <c r="BO31" s="196"/>
      <c r="BP31" s="206">
        <v>1</v>
      </c>
      <c r="BQ31" s="198">
        <v>0</v>
      </c>
      <c r="BR31" s="198">
        <v>0</v>
      </c>
      <c r="BS31" s="199">
        <v>0</v>
      </c>
      <c r="BT31" s="195"/>
      <c r="BU31" s="196"/>
      <c r="BV31" s="196"/>
      <c r="BW31" s="196"/>
      <c r="BX31" s="196"/>
      <c r="BY31" s="196"/>
      <c r="BZ31" s="206">
        <v>1</v>
      </c>
      <c r="CA31" s="198">
        <v>0</v>
      </c>
      <c r="CB31" s="198">
        <v>0</v>
      </c>
      <c r="CC31" s="199">
        <v>0</v>
      </c>
      <c r="CD31" s="195"/>
      <c r="CE31" s="196"/>
      <c r="CF31" s="196"/>
      <c r="CG31" s="196"/>
      <c r="CH31" s="196"/>
      <c r="CI31" s="196"/>
      <c r="CJ31" s="206">
        <v>1</v>
      </c>
      <c r="CK31" s="198">
        <v>0</v>
      </c>
      <c r="CL31" s="198">
        <v>0</v>
      </c>
      <c r="CM31" s="199">
        <v>0</v>
      </c>
      <c r="CN31" s="195"/>
      <c r="CO31" s="196"/>
      <c r="CP31" s="196"/>
      <c r="CQ31" s="196"/>
      <c r="CR31" s="196"/>
      <c r="CS31" s="196"/>
      <c r="CT31" s="206">
        <v>1</v>
      </c>
      <c r="CU31" s="198">
        <v>0</v>
      </c>
      <c r="CV31" s="198">
        <v>0</v>
      </c>
      <c r="CW31" s="199">
        <v>0</v>
      </c>
      <c r="CX31" s="195"/>
      <c r="CY31" s="196"/>
      <c r="CZ31" s="196"/>
      <c r="DA31" s="196"/>
      <c r="DB31" s="196"/>
      <c r="DC31" s="196"/>
      <c r="DD31" s="206">
        <v>1</v>
      </c>
      <c r="DE31" s="198">
        <v>0</v>
      </c>
      <c r="DF31" s="198">
        <v>0</v>
      </c>
      <c r="DG31" s="199">
        <v>0</v>
      </c>
      <c r="DH31" s="195"/>
      <c r="DI31" s="196"/>
      <c r="DJ31" s="196"/>
      <c r="DK31" s="196"/>
      <c r="DL31" s="196"/>
      <c r="DM31" s="196"/>
      <c r="DN31" s="206">
        <v>1</v>
      </c>
      <c r="DO31" s="198">
        <v>0</v>
      </c>
      <c r="DP31" s="198">
        <v>0</v>
      </c>
      <c r="DQ31" s="199">
        <v>0</v>
      </c>
      <c r="DR31" s="195"/>
      <c r="DS31" s="196"/>
      <c r="DT31" s="196"/>
      <c r="DU31" s="196"/>
      <c r="DV31" s="196"/>
      <c r="DW31" s="196"/>
      <c r="DX31" s="206">
        <v>1</v>
      </c>
      <c r="DY31" s="198">
        <v>0</v>
      </c>
      <c r="DZ31" s="198">
        <v>0</v>
      </c>
      <c r="EA31" s="199">
        <v>0</v>
      </c>
      <c r="EB31" s="195"/>
      <c r="EC31" s="196"/>
      <c r="ED31" s="196"/>
      <c r="EE31" s="196"/>
      <c r="EF31" s="196"/>
      <c r="EG31" s="196"/>
      <c r="EH31" s="206">
        <v>1</v>
      </c>
      <c r="EI31" s="198">
        <v>0</v>
      </c>
      <c r="EJ31" s="198">
        <v>0</v>
      </c>
      <c r="EK31" s="199">
        <v>0</v>
      </c>
      <c r="EL31" s="195"/>
      <c r="EM31" s="196"/>
      <c r="EN31" s="196"/>
      <c r="EO31" s="196"/>
      <c r="EP31" s="196"/>
      <c r="EQ31" s="196"/>
      <c r="ER31" s="206">
        <v>1</v>
      </c>
      <c r="ES31" s="198">
        <v>0</v>
      </c>
      <c r="ET31" s="198">
        <v>0</v>
      </c>
      <c r="EU31" s="199">
        <v>0</v>
      </c>
      <c r="EV31" s="195"/>
      <c r="EW31" s="196"/>
      <c r="EX31" s="196"/>
      <c r="EY31" s="196"/>
      <c r="EZ31" s="196"/>
      <c r="FA31" s="196"/>
      <c r="FB31" s="206">
        <v>1</v>
      </c>
      <c r="FC31" s="198">
        <v>0</v>
      </c>
      <c r="FD31" s="198">
        <v>0</v>
      </c>
      <c r="FE31" s="199">
        <v>0</v>
      </c>
      <c r="FF31" s="195"/>
      <c r="FG31" s="196"/>
      <c r="FH31" s="196"/>
      <c r="FI31" s="196"/>
      <c r="FJ31" s="196"/>
      <c r="FK31" s="196"/>
      <c r="FL31" s="206">
        <v>1</v>
      </c>
      <c r="FM31" s="198">
        <v>0</v>
      </c>
      <c r="FN31" s="198">
        <v>0</v>
      </c>
      <c r="FO31" s="199">
        <v>0</v>
      </c>
      <c r="FP31" s="195"/>
      <c r="FQ31" s="196"/>
      <c r="FR31" s="196"/>
      <c r="FS31" s="196"/>
      <c r="FT31" s="196"/>
      <c r="FU31" s="196"/>
      <c r="FV31" s="206">
        <v>1</v>
      </c>
      <c r="FW31" s="198">
        <v>0</v>
      </c>
      <c r="FX31" s="198">
        <v>0</v>
      </c>
      <c r="FY31" s="199">
        <v>0</v>
      </c>
      <c r="FZ31" s="195"/>
      <c r="GA31" s="196"/>
      <c r="GB31" s="196"/>
      <c r="GC31" s="196"/>
      <c r="GD31" s="196"/>
      <c r="GE31" s="196"/>
      <c r="GF31" s="206">
        <v>1</v>
      </c>
      <c r="GG31" s="198">
        <v>0</v>
      </c>
      <c r="GH31" s="198">
        <v>0</v>
      </c>
      <c r="GI31" s="199">
        <v>0</v>
      </c>
      <c r="GJ31" s="195"/>
      <c r="GK31" s="196"/>
      <c r="GL31" s="196"/>
      <c r="GM31" s="196"/>
      <c r="GN31" s="196"/>
      <c r="GO31" s="196"/>
      <c r="GP31" s="206">
        <v>1</v>
      </c>
      <c r="GQ31" s="198">
        <v>0</v>
      </c>
      <c r="GR31" s="198">
        <v>0</v>
      </c>
      <c r="GS31" s="199">
        <v>0</v>
      </c>
      <c r="GT31" s="195"/>
      <c r="GU31" s="196"/>
      <c r="GV31" s="196"/>
      <c r="GW31" s="196"/>
      <c r="GX31" s="196"/>
      <c r="GY31" s="196"/>
      <c r="GZ31" s="206">
        <v>1</v>
      </c>
      <c r="HA31" s="198">
        <v>0</v>
      </c>
      <c r="HB31" s="198">
        <v>0</v>
      </c>
      <c r="HC31" s="199">
        <v>0</v>
      </c>
      <c r="HD31" s="195"/>
      <c r="HE31" s="196"/>
      <c r="HF31" s="196"/>
      <c r="HG31" s="196"/>
      <c r="HH31" s="196"/>
      <c r="HI31" s="196"/>
      <c r="HJ31" s="206">
        <v>1</v>
      </c>
      <c r="HK31" s="198">
        <v>0</v>
      </c>
      <c r="HL31" s="198">
        <v>0</v>
      </c>
      <c r="HM31" s="199">
        <v>0</v>
      </c>
      <c r="HN31" s="204">
        <v>1</v>
      </c>
      <c r="HO31" s="205">
        <v>0</v>
      </c>
      <c r="HP31" s="204">
        <v>1</v>
      </c>
      <c r="HQ31" s="205">
        <v>0</v>
      </c>
      <c r="HR31" s="204">
        <v>1</v>
      </c>
      <c r="HS31" s="205">
        <v>0</v>
      </c>
      <c r="HT31" s="204">
        <v>1</v>
      </c>
      <c r="HU31" s="205">
        <v>0</v>
      </c>
      <c r="HV31" s="204">
        <v>1</v>
      </c>
      <c r="HW31" s="205">
        <v>0</v>
      </c>
      <c r="HX31" s="204">
        <v>1</v>
      </c>
      <c r="HY31" s="205">
        <v>0</v>
      </c>
      <c r="HZ31" s="204">
        <v>1</v>
      </c>
      <c r="IA31" s="205">
        <v>0</v>
      </c>
      <c r="IB31" s="204">
        <v>1</v>
      </c>
      <c r="IC31" s="205">
        <v>0</v>
      </c>
      <c r="ID31" s="204">
        <v>1</v>
      </c>
      <c r="IE31" s="205">
        <v>0</v>
      </c>
      <c r="IF31" s="204">
        <v>1</v>
      </c>
      <c r="IG31" s="205">
        <v>0</v>
      </c>
      <c r="IH31" s="204">
        <v>1</v>
      </c>
      <c r="II31" s="205">
        <v>0</v>
      </c>
      <c r="IJ31" s="204">
        <v>1</v>
      </c>
      <c r="IK31" s="205">
        <v>0</v>
      </c>
      <c r="IL31" s="204">
        <v>1</v>
      </c>
      <c r="IM31" s="205">
        <v>0</v>
      </c>
      <c r="IN31" s="204">
        <v>1</v>
      </c>
      <c r="IO31" s="205">
        <v>0</v>
      </c>
      <c r="IP31" s="204">
        <v>1</v>
      </c>
      <c r="IQ31" s="205">
        <v>0</v>
      </c>
      <c r="IR31" s="204">
        <v>1</v>
      </c>
      <c r="IS31" s="205">
        <v>0</v>
      </c>
      <c r="IT31" s="204">
        <v>1</v>
      </c>
      <c r="IU31" s="205">
        <v>0</v>
      </c>
      <c r="IV31" s="204">
        <v>1</v>
      </c>
      <c r="IW31" s="205">
        <v>0</v>
      </c>
      <c r="IX31" s="204">
        <v>1</v>
      </c>
      <c r="IY31" s="205">
        <v>0</v>
      </c>
      <c r="IZ31" s="204">
        <v>1</v>
      </c>
      <c r="JA31" s="205">
        <v>0</v>
      </c>
      <c r="JB31" s="204">
        <v>1</v>
      </c>
      <c r="JC31" s="205">
        <v>0</v>
      </c>
      <c r="JD31" s="204">
        <v>1</v>
      </c>
      <c r="JE31" s="233">
        <v>0</v>
      </c>
      <c r="JF31" s="236">
        <f t="shared" si="0"/>
        <v>24</v>
      </c>
      <c r="JG31" s="235">
        <f t="shared" si="1"/>
        <v>24</v>
      </c>
      <c r="JH31" s="235">
        <f t="shared" si="2"/>
        <v>24</v>
      </c>
      <c r="JI31" s="235">
        <f t="shared" si="3"/>
        <v>24</v>
      </c>
      <c r="JJ31" s="235">
        <f t="shared" si="4"/>
        <v>24</v>
      </c>
      <c r="JK31" s="235">
        <f t="shared" si="5"/>
        <v>24</v>
      </c>
      <c r="JL31" s="235">
        <f t="shared" si="6"/>
        <v>24</v>
      </c>
      <c r="JM31" s="235">
        <f t="shared" si="7"/>
        <v>24</v>
      </c>
      <c r="JN31" s="235">
        <f t="shared" si="8"/>
        <v>24</v>
      </c>
      <c r="JO31" s="235">
        <f t="shared" si="9"/>
        <v>24</v>
      </c>
      <c r="JP31" s="235">
        <f t="shared" si="10"/>
        <v>24</v>
      </c>
      <c r="JQ31" s="235">
        <f t="shared" si="11"/>
        <v>24</v>
      </c>
      <c r="JR31" s="235">
        <f t="shared" si="12"/>
        <v>24</v>
      </c>
      <c r="JS31" s="235">
        <f t="shared" si="13"/>
        <v>24</v>
      </c>
      <c r="JT31" s="235">
        <f t="shared" si="14"/>
        <v>24</v>
      </c>
      <c r="JU31" s="235">
        <f t="shared" si="15"/>
        <v>24</v>
      </c>
      <c r="JV31" s="235">
        <f t="shared" si="16"/>
        <v>24</v>
      </c>
      <c r="JW31" s="235">
        <f t="shared" si="17"/>
        <v>24</v>
      </c>
      <c r="JX31" s="235">
        <f t="shared" si="18"/>
        <v>24</v>
      </c>
      <c r="JY31" s="235">
        <f t="shared" si="19"/>
        <v>24</v>
      </c>
      <c r="JZ31" s="235">
        <f t="shared" si="20"/>
        <v>24</v>
      </c>
      <c r="KA31" s="237">
        <f t="shared" si="21"/>
        <v>24</v>
      </c>
      <c r="KB31" s="248">
        <v>46049</v>
      </c>
      <c r="KC31" s="201">
        <v>1.5880454545454545</v>
      </c>
      <c r="KD31" s="201">
        <v>1.5880454545454545</v>
      </c>
      <c r="KE31" s="201">
        <v>1.5880454545454545</v>
      </c>
      <c r="KF31" s="201">
        <v>1.5880454545454545</v>
      </c>
      <c r="KG31" s="201">
        <v>1.5880454545454545</v>
      </c>
      <c r="KH31" s="201">
        <v>1.5880454545454545</v>
      </c>
      <c r="KI31" s="201">
        <v>1.5880454545454545</v>
      </c>
      <c r="KJ31" s="201">
        <v>1.5880454545454545</v>
      </c>
      <c r="KK31" s="201">
        <v>1.5880454545454545</v>
      </c>
      <c r="KL31" s="201">
        <v>1.5880454545454545</v>
      </c>
      <c r="KM31" s="201">
        <v>1.5880454545454545</v>
      </c>
      <c r="KN31" s="201">
        <v>1.5880454545454545</v>
      </c>
      <c r="KO31" s="201">
        <v>1.5880454545454545</v>
      </c>
      <c r="KP31" s="201">
        <v>1.5880454545454545</v>
      </c>
      <c r="KQ31" s="201">
        <v>1.5880454545454545</v>
      </c>
      <c r="KR31" s="201">
        <v>1.5880454545454545</v>
      </c>
      <c r="KS31" s="201">
        <v>1.5880454545454545</v>
      </c>
      <c r="KT31" s="201">
        <v>1.5880454545454545</v>
      </c>
      <c r="KU31" s="201">
        <v>1.5880454545454545</v>
      </c>
      <c r="KV31" s="201">
        <v>1.5880454545454545</v>
      </c>
      <c r="KW31" s="201">
        <v>1.5880454545454545</v>
      </c>
      <c r="KX31" s="201">
        <v>1.5880454545454545</v>
      </c>
      <c r="KY31" s="203">
        <v>34.936999999999998</v>
      </c>
    </row>
    <row r="32" spans="1:311">
      <c r="A32" s="194">
        <v>46050</v>
      </c>
      <c r="B32" s="195"/>
      <c r="C32" s="196"/>
      <c r="D32" s="196"/>
      <c r="E32" s="196"/>
      <c r="F32" s="196"/>
      <c r="G32" s="196"/>
      <c r="H32" s="206">
        <v>1</v>
      </c>
      <c r="I32" s="198">
        <v>0</v>
      </c>
      <c r="J32" s="198">
        <v>0</v>
      </c>
      <c r="K32" s="199">
        <v>0</v>
      </c>
      <c r="L32" s="195"/>
      <c r="M32" s="196"/>
      <c r="N32" s="196"/>
      <c r="O32" s="196"/>
      <c r="P32" s="196"/>
      <c r="Q32" s="196"/>
      <c r="R32" s="206">
        <v>1</v>
      </c>
      <c r="S32" s="198">
        <v>0</v>
      </c>
      <c r="T32" s="198">
        <v>0</v>
      </c>
      <c r="U32" s="199">
        <v>0</v>
      </c>
      <c r="V32" s="195"/>
      <c r="W32" s="196"/>
      <c r="X32" s="196"/>
      <c r="Y32" s="196"/>
      <c r="Z32" s="196"/>
      <c r="AA32" s="196"/>
      <c r="AB32" s="206">
        <v>1</v>
      </c>
      <c r="AC32" s="198">
        <v>0</v>
      </c>
      <c r="AD32" s="198">
        <v>0</v>
      </c>
      <c r="AE32" s="199">
        <v>0</v>
      </c>
      <c r="AF32" s="195"/>
      <c r="AG32" s="196"/>
      <c r="AH32" s="196"/>
      <c r="AI32" s="196"/>
      <c r="AJ32" s="196"/>
      <c r="AK32" s="196"/>
      <c r="AL32" s="206">
        <v>1</v>
      </c>
      <c r="AM32" s="198">
        <v>0</v>
      </c>
      <c r="AN32" s="198">
        <v>0</v>
      </c>
      <c r="AO32" s="199">
        <v>0</v>
      </c>
      <c r="AP32" s="195"/>
      <c r="AQ32" s="196"/>
      <c r="AR32" s="196"/>
      <c r="AS32" s="196"/>
      <c r="AT32" s="196"/>
      <c r="AU32" s="196"/>
      <c r="AV32" s="206">
        <v>1</v>
      </c>
      <c r="AW32" s="198">
        <v>0</v>
      </c>
      <c r="AX32" s="198">
        <v>0</v>
      </c>
      <c r="AY32" s="199">
        <v>0</v>
      </c>
      <c r="AZ32" s="195"/>
      <c r="BA32" s="196"/>
      <c r="BB32" s="196"/>
      <c r="BC32" s="196"/>
      <c r="BD32" s="196"/>
      <c r="BE32" s="196"/>
      <c r="BF32" s="206">
        <v>1</v>
      </c>
      <c r="BG32" s="198">
        <v>0</v>
      </c>
      <c r="BH32" s="198">
        <v>0</v>
      </c>
      <c r="BI32" s="199">
        <v>0</v>
      </c>
      <c r="BJ32" s="195"/>
      <c r="BK32" s="196"/>
      <c r="BL32" s="196"/>
      <c r="BM32" s="196"/>
      <c r="BN32" s="196"/>
      <c r="BO32" s="196"/>
      <c r="BP32" s="206">
        <v>1</v>
      </c>
      <c r="BQ32" s="198">
        <v>0</v>
      </c>
      <c r="BR32" s="198">
        <v>0</v>
      </c>
      <c r="BS32" s="199">
        <v>0</v>
      </c>
      <c r="BT32" s="195"/>
      <c r="BU32" s="196"/>
      <c r="BV32" s="196"/>
      <c r="BW32" s="196"/>
      <c r="BX32" s="196"/>
      <c r="BY32" s="196"/>
      <c r="BZ32" s="206">
        <v>1</v>
      </c>
      <c r="CA32" s="198">
        <v>0</v>
      </c>
      <c r="CB32" s="198">
        <v>0</v>
      </c>
      <c r="CC32" s="199">
        <v>0</v>
      </c>
      <c r="CD32" s="195"/>
      <c r="CE32" s="196"/>
      <c r="CF32" s="196"/>
      <c r="CG32" s="196"/>
      <c r="CH32" s="196"/>
      <c r="CI32" s="196"/>
      <c r="CJ32" s="206">
        <v>1</v>
      </c>
      <c r="CK32" s="198">
        <v>0</v>
      </c>
      <c r="CL32" s="198">
        <v>0</v>
      </c>
      <c r="CM32" s="199">
        <v>0</v>
      </c>
      <c r="CN32" s="195"/>
      <c r="CO32" s="196"/>
      <c r="CP32" s="196"/>
      <c r="CQ32" s="196"/>
      <c r="CR32" s="196"/>
      <c r="CS32" s="196"/>
      <c r="CT32" s="206">
        <v>1</v>
      </c>
      <c r="CU32" s="198">
        <v>0</v>
      </c>
      <c r="CV32" s="198">
        <v>0</v>
      </c>
      <c r="CW32" s="199">
        <v>0</v>
      </c>
      <c r="CX32" s="195"/>
      <c r="CY32" s="196"/>
      <c r="CZ32" s="196"/>
      <c r="DA32" s="196"/>
      <c r="DB32" s="196"/>
      <c r="DC32" s="196"/>
      <c r="DD32" s="206">
        <v>1</v>
      </c>
      <c r="DE32" s="198">
        <v>0</v>
      </c>
      <c r="DF32" s="198">
        <v>0</v>
      </c>
      <c r="DG32" s="199">
        <v>0</v>
      </c>
      <c r="DH32" s="195"/>
      <c r="DI32" s="196"/>
      <c r="DJ32" s="196"/>
      <c r="DK32" s="196"/>
      <c r="DL32" s="196"/>
      <c r="DM32" s="196"/>
      <c r="DN32" s="206">
        <v>1</v>
      </c>
      <c r="DO32" s="198">
        <v>0</v>
      </c>
      <c r="DP32" s="198">
        <v>0</v>
      </c>
      <c r="DQ32" s="199">
        <v>0</v>
      </c>
      <c r="DR32" s="195"/>
      <c r="DS32" s="196"/>
      <c r="DT32" s="196"/>
      <c r="DU32" s="196"/>
      <c r="DV32" s="196"/>
      <c r="DW32" s="196"/>
      <c r="DX32" s="206">
        <v>1</v>
      </c>
      <c r="DY32" s="198">
        <v>0</v>
      </c>
      <c r="DZ32" s="198">
        <v>0</v>
      </c>
      <c r="EA32" s="199">
        <v>0</v>
      </c>
      <c r="EB32" s="195"/>
      <c r="EC32" s="196"/>
      <c r="ED32" s="196"/>
      <c r="EE32" s="196"/>
      <c r="EF32" s="196"/>
      <c r="EG32" s="196"/>
      <c r="EH32" s="206">
        <v>1</v>
      </c>
      <c r="EI32" s="198">
        <v>0</v>
      </c>
      <c r="EJ32" s="198">
        <v>0</v>
      </c>
      <c r="EK32" s="199">
        <v>0</v>
      </c>
      <c r="EL32" s="195"/>
      <c r="EM32" s="196"/>
      <c r="EN32" s="196"/>
      <c r="EO32" s="196"/>
      <c r="EP32" s="196"/>
      <c r="EQ32" s="196"/>
      <c r="ER32" s="206">
        <v>1</v>
      </c>
      <c r="ES32" s="198">
        <v>0</v>
      </c>
      <c r="ET32" s="198">
        <v>0</v>
      </c>
      <c r="EU32" s="199">
        <v>0</v>
      </c>
      <c r="EV32" s="195"/>
      <c r="EW32" s="196"/>
      <c r="EX32" s="196"/>
      <c r="EY32" s="196"/>
      <c r="EZ32" s="196"/>
      <c r="FA32" s="196"/>
      <c r="FB32" s="206">
        <v>1</v>
      </c>
      <c r="FC32" s="198">
        <v>0</v>
      </c>
      <c r="FD32" s="198">
        <v>0</v>
      </c>
      <c r="FE32" s="199">
        <v>0</v>
      </c>
      <c r="FF32" s="195"/>
      <c r="FG32" s="196"/>
      <c r="FH32" s="196"/>
      <c r="FI32" s="196"/>
      <c r="FJ32" s="196"/>
      <c r="FK32" s="196"/>
      <c r="FL32" s="206">
        <v>1</v>
      </c>
      <c r="FM32" s="198">
        <v>0</v>
      </c>
      <c r="FN32" s="198">
        <v>0</v>
      </c>
      <c r="FO32" s="199">
        <v>0</v>
      </c>
      <c r="FP32" s="195"/>
      <c r="FQ32" s="196"/>
      <c r="FR32" s="196"/>
      <c r="FS32" s="196"/>
      <c r="FT32" s="196"/>
      <c r="FU32" s="196"/>
      <c r="FV32" s="206">
        <v>1</v>
      </c>
      <c r="FW32" s="198">
        <v>0</v>
      </c>
      <c r="FX32" s="198">
        <v>0</v>
      </c>
      <c r="FY32" s="199">
        <v>0</v>
      </c>
      <c r="FZ32" s="195"/>
      <c r="GA32" s="196"/>
      <c r="GB32" s="196"/>
      <c r="GC32" s="196"/>
      <c r="GD32" s="196"/>
      <c r="GE32" s="196"/>
      <c r="GF32" s="206">
        <v>1</v>
      </c>
      <c r="GG32" s="198">
        <v>0</v>
      </c>
      <c r="GH32" s="198">
        <v>0</v>
      </c>
      <c r="GI32" s="199">
        <v>0</v>
      </c>
      <c r="GJ32" s="195"/>
      <c r="GK32" s="196"/>
      <c r="GL32" s="196"/>
      <c r="GM32" s="196"/>
      <c r="GN32" s="196"/>
      <c r="GO32" s="196"/>
      <c r="GP32" s="206">
        <v>1</v>
      </c>
      <c r="GQ32" s="198">
        <v>0</v>
      </c>
      <c r="GR32" s="198">
        <v>0</v>
      </c>
      <c r="GS32" s="199">
        <v>0</v>
      </c>
      <c r="GT32" s="195"/>
      <c r="GU32" s="196"/>
      <c r="GV32" s="196"/>
      <c r="GW32" s="196"/>
      <c r="GX32" s="196"/>
      <c r="GY32" s="196"/>
      <c r="GZ32" s="206">
        <v>1</v>
      </c>
      <c r="HA32" s="198">
        <v>0</v>
      </c>
      <c r="HB32" s="198">
        <v>0</v>
      </c>
      <c r="HC32" s="199">
        <v>0</v>
      </c>
      <c r="HD32" s="195"/>
      <c r="HE32" s="196"/>
      <c r="HF32" s="196"/>
      <c r="HG32" s="196"/>
      <c r="HH32" s="196"/>
      <c r="HI32" s="196"/>
      <c r="HJ32" s="206">
        <v>1</v>
      </c>
      <c r="HK32" s="198">
        <v>0</v>
      </c>
      <c r="HL32" s="198">
        <v>0</v>
      </c>
      <c r="HM32" s="199">
        <v>0</v>
      </c>
      <c r="HN32" s="204">
        <v>1</v>
      </c>
      <c r="HO32" s="205">
        <v>0</v>
      </c>
      <c r="HP32" s="204">
        <v>1</v>
      </c>
      <c r="HQ32" s="205">
        <v>0</v>
      </c>
      <c r="HR32" s="204">
        <v>1</v>
      </c>
      <c r="HS32" s="205">
        <v>0</v>
      </c>
      <c r="HT32" s="204">
        <v>1</v>
      </c>
      <c r="HU32" s="205">
        <v>0</v>
      </c>
      <c r="HV32" s="204">
        <v>1</v>
      </c>
      <c r="HW32" s="205">
        <v>0</v>
      </c>
      <c r="HX32" s="204">
        <v>1</v>
      </c>
      <c r="HY32" s="205">
        <v>0</v>
      </c>
      <c r="HZ32" s="204">
        <v>1</v>
      </c>
      <c r="IA32" s="205">
        <v>0</v>
      </c>
      <c r="IB32" s="204">
        <v>1</v>
      </c>
      <c r="IC32" s="205">
        <v>0</v>
      </c>
      <c r="ID32" s="204">
        <v>1</v>
      </c>
      <c r="IE32" s="205">
        <v>0</v>
      </c>
      <c r="IF32" s="204">
        <v>1</v>
      </c>
      <c r="IG32" s="205">
        <v>0</v>
      </c>
      <c r="IH32" s="204">
        <v>1</v>
      </c>
      <c r="II32" s="205">
        <v>0</v>
      </c>
      <c r="IJ32" s="204">
        <v>1</v>
      </c>
      <c r="IK32" s="205">
        <v>0</v>
      </c>
      <c r="IL32" s="204">
        <v>1</v>
      </c>
      <c r="IM32" s="205">
        <v>0</v>
      </c>
      <c r="IN32" s="204">
        <v>1</v>
      </c>
      <c r="IO32" s="205">
        <v>0</v>
      </c>
      <c r="IP32" s="204">
        <v>1</v>
      </c>
      <c r="IQ32" s="205">
        <v>0</v>
      </c>
      <c r="IR32" s="204">
        <v>1</v>
      </c>
      <c r="IS32" s="205">
        <v>0</v>
      </c>
      <c r="IT32" s="204">
        <v>1</v>
      </c>
      <c r="IU32" s="205">
        <v>0</v>
      </c>
      <c r="IV32" s="204">
        <v>1</v>
      </c>
      <c r="IW32" s="205">
        <v>0</v>
      </c>
      <c r="IX32" s="204">
        <v>1</v>
      </c>
      <c r="IY32" s="205">
        <v>0</v>
      </c>
      <c r="IZ32" s="204">
        <v>1</v>
      </c>
      <c r="JA32" s="205">
        <v>0</v>
      </c>
      <c r="JB32" s="204">
        <v>1</v>
      </c>
      <c r="JC32" s="205">
        <v>0</v>
      </c>
      <c r="JD32" s="204">
        <v>1</v>
      </c>
      <c r="JE32" s="233">
        <v>0</v>
      </c>
      <c r="JF32" s="236">
        <f t="shared" si="0"/>
        <v>24</v>
      </c>
      <c r="JG32" s="235">
        <f t="shared" si="1"/>
        <v>24</v>
      </c>
      <c r="JH32" s="235">
        <f t="shared" si="2"/>
        <v>24</v>
      </c>
      <c r="JI32" s="235">
        <f t="shared" si="3"/>
        <v>24</v>
      </c>
      <c r="JJ32" s="235">
        <f t="shared" si="4"/>
        <v>24</v>
      </c>
      <c r="JK32" s="235">
        <f t="shared" si="5"/>
        <v>24</v>
      </c>
      <c r="JL32" s="235">
        <f t="shared" si="6"/>
        <v>24</v>
      </c>
      <c r="JM32" s="235">
        <f t="shared" si="7"/>
        <v>24</v>
      </c>
      <c r="JN32" s="235">
        <f t="shared" si="8"/>
        <v>24</v>
      </c>
      <c r="JO32" s="235">
        <f t="shared" si="9"/>
        <v>24</v>
      </c>
      <c r="JP32" s="235">
        <f t="shared" si="10"/>
        <v>24</v>
      </c>
      <c r="JQ32" s="235">
        <f t="shared" si="11"/>
        <v>24</v>
      </c>
      <c r="JR32" s="235">
        <f t="shared" si="12"/>
        <v>24</v>
      </c>
      <c r="JS32" s="235">
        <f t="shared" si="13"/>
        <v>24</v>
      </c>
      <c r="JT32" s="235">
        <f t="shared" si="14"/>
        <v>24</v>
      </c>
      <c r="JU32" s="235">
        <f t="shared" si="15"/>
        <v>24</v>
      </c>
      <c r="JV32" s="235">
        <f t="shared" si="16"/>
        <v>24</v>
      </c>
      <c r="JW32" s="235">
        <f t="shared" si="17"/>
        <v>24</v>
      </c>
      <c r="JX32" s="235">
        <f t="shared" si="18"/>
        <v>24</v>
      </c>
      <c r="JY32" s="235">
        <f t="shared" si="19"/>
        <v>24</v>
      </c>
      <c r="JZ32" s="235">
        <f t="shared" si="20"/>
        <v>24</v>
      </c>
      <c r="KA32" s="237">
        <f t="shared" si="21"/>
        <v>24</v>
      </c>
      <c r="KB32" s="248">
        <v>46050</v>
      </c>
      <c r="KC32" s="201">
        <v>1.5543181818181817</v>
      </c>
      <c r="KD32" s="201">
        <v>1.5543181818181817</v>
      </c>
      <c r="KE32" s="201">
        <v>1.5543181818181817</v>
      </c>
      <c r="KF32" s="201">
        <v>1.5543181818181817</v>
      </c>
      <c r="KG32" s="201">
        <v>1.5543181818181817</v>
      </c>
      <c r="KH32" s="201">
        <v>1.5543181818181817</v>
      </c>
      <c r="KI32" s="201">
        <v>1.5543181818181817</v>
      </c>
      <c r="KJ32" s="201">
        <v>1.5543181818181817</v>
      </c>
      <c r="KK32" s="201">
        <v>1.5543181818181817</v>
      </c>
      <c r="KL32" s="201">
        <v>1.5543181818181817</v>
      </c>
      <c r="KM32" s="201">
        <v>1.5543181818181817</v>
      </c>
      <c r="KN32" s="201">
        <v>1.5543181818181817</v>
      </c>
      <c r="KO32" s="201">
        <v>1.5543181818181817</v>
      </c>
      <c r="KP32" s="201">
        <v>1.5543181818181817</v>
      </c>
      <c r="KQ32" s="201">
        <v>1.5543181818181817</v>
      </c>
      <c r="KR32" s="201">
        <v>1.5543181818181817</v>
      </c>
      <c r="KS32" s="201">
        <v>1.5543181818181817</v>
      </c>
      <c r="KT32" s="201">
        <v>1.5543181818181817</v>
      </c>
      <c r="KU32" s="201">
        <v>1.5543181818181817</v>
      </c>
      <c r="KV32" s="201">
        <v>1.5543181818181817</v>
      </c>
      <c r="KW32" s="201">
        <v>1.5543181818181817</v>
      </c>
      <c r="KX32" s="201">
        <v>1.5543181818181817</v>
      </c>
      <c r="KY32" s="203">
        <v>34.195</v>
      </c>
    </row>
    <row r="33" spans="1:311">
      <c r="A33" s="194">
        <v>46051</v>
      </c>
      <c r="B33" s="195"/>
      <c r="C33" s="196"/>
      <c r="D33" s="196"/>
      <c r="E33" s="196"/>
      <c r="F33" s="196"/>
      <c r="G33" s="196"/>
      <c r="H33" s="206">
        <v>1</v>
      </c>
      <c r="I33" s="198">
        <v>0</v>
      </c>
      <c r="J33" s="198">
        <v>0</v>
      </c>
      <c r="K33" s="199">
        <v>0</v>
      </c>
      <c r="L33" s="195"/>
      <c r="M33" s="196"/>
      <c r="N33" s="196"/>
      <c r="O33" s="196"/>
      <c r="P33" s="196"/>
      <c r="Q33" s="196"/>
      <c r="R33" s="206">
        <v>1</v>
      </c>
      <c r="S33" s="198">
        <v>0</v>
      </c>
      <c r="T33" s="198">
        <v>0</v>
      </c>
      <c r="U33" s="199">
        <v>0</v>
      </c>
      <c r="V33" s="195"/>
      <c r="W33" s="196"/>
      <c r="X33" s="196"/>
      <c r="Y33" s="196"/>
      <c r="Z33" s="196"/>
      <c r="AA33" s="196"/>
      <c r="AB33" s="206">
        <v>1</v>
      </c>
      <c r="AC33" s="198">
        <v>0</v>
      </c>
      <c r="AD33" s="198">
        <v>0</v>
      </c>
      <c r="AE33" s="199">
        <v>0</v>
      </c>
      <c r="AF33" s="195"/>
      <c r="AG33" s="196"/>
      <c r="AH33" s="196"/>
      <c r="AI33" s="196"/>
      <c r="AJ33" s="196"/>
      <c r="AK33" s="196"/>
      <c r="AL33" s="206">
        <v>1</v>
      </c>
      <c r="AM33" s="198">
        <v>0</v>
      </c>
      <c r="AN33" s="198">
        <v>0</v>
      </c>
      <c r="AO33" s="199">
        <v>0</v>
      </c>
      <c r="AP33" s="195"/>
      <c r="AQ33" s="196"/>
      <c r="AR33" s="196"/>
      <c r="AS33" s="196"/>
      <c r="AT33" s="196"/>
      <c r="AU33" s="196"/>
      <c r="AV33" s="206">
        <v>1</v>
      </c>
      <c r="AW33" s="198">
        <v>0</v>
      </c>
      <c r="AX33" s="198">
        <v>0</v>
      </c>
      <c r="AY33" s="199">
        <v>0</v>
      </c>
      <c r="AZ33" s="195"/>
      <c r="BA33" s="196"/>
      <c r="BB33" s="196"/>
      <c r="BC33" s="196"/>
      <c r="BD33" s="196"/>
      <c r="BE33" s="196"/>
      <c r="BF33" s="206">
        <v>1</v>
      </c>
      <c r="BG33" s="198">
        <v>0</v>
      </c>
      <c r="BH33" s="198">
        <v>0</v>
      </c>
      <c r="BI33" s="199">
        <v>0</v>
      </c>
      <c r="BJ33" s="195"/>
      <c r="BK33" s="196"/>
      <c r="BL33" s="196"/>
      <c r="BM33" s="196"/>
      <c r="BN33" s="196"/>
      <c r="BO33" s="196"/>
      <c r="BP33" s="206">
        <v>1</v>
      </c>
      <c r="BQ33" s="198">
        <v>0</v>
      </c>
      <c r="BR33" s="198">
        <v>0</v>
      </c>
      <c r="BS33" s="199">
        <v>0</v>
      </c>
      <c r="BT33" s="195"/>
      <c r="BU33" s="196"/>
      <c r="BV33" s="196"/>
      <c r="BW33" s="196"/>
      <c r="BX33" s="196"/>
      <c r="BY33" s="196"/>
      <c r="BZ33" s="206">
        <v>1</v>
      </c>
      <c r="CA33" s="198">
        <v>0</v>
      </c>
      <c r="CB33" s="198">
        <v>0</v>
      </c>
      <c r="CC33" s="199">
        <v>0</v>
      </c>
      <c r="CD33" s="195"/>
      <c r="CE33" s="196"/>
      <c r="CF33" s="196"/>
      <c r="CG33" s="196"/>
      <c r="CH33" s="196"/>
      <c r="CI33" s="196"/>
      <c r="CJ33" s="206">
        <v>1</v>
      </c>
      <c r="CK33" s="198">
        <v>0</v>
      </c>
      <c r="CL33" s="198">
        <v>0</v>
      </c>
      <c r="CM33" s="199">
        <v>0</v>
      </c>
      <c r="CN33" s="195"/>
      <c r="CO33" s="196"/>
      <c r="CP33" s="196"/>
      <c r="CQ33" s="196"/>
      <c r="CR33" s="196"/>
      <c r="CS33" s="196"/>
      <c r="CT33" s="206">
        <v>1</v>
      </c>
      <c r="CU33" s="198">
        <v>0</v>
      </c>
      <c r="CV33" s="198">
        <v>0</v>
      </c>
      <c r="CW33" s="199">
        <v>0</v>
      </c>
      <c r="CX33" s="195"/>
      <c r="CY33" s="196"/>
      <c r="CZ33" s="196"/>
      <c r="DA33" s="196"/>
      <c r="DB33" s="196"/>
      <c r="DC33" s="196"/>
      <c r="DD33" s="206">
        <v>1</v>
      </c>
      <c r="DE33" s="198">
        <v>0</v>
      </c>
      <c r="DF33" s="198">
        <v>0</v>
      </c>
      <c r="DG33" s="199">
        <v>0</v>
      </c>
      <c r="DH33" s="195"/>
      <c r="DI33" s="196"/>
      <c r="DJ33" s="196"/>
      <c r="DK33" s="196"/>
      <c r="DL33" s="196"/>
      <c r="DM33" s="196"/>
      <c r="DN33" s="206">
        <v>1</v>
      </c>
      <c r="DO33" s="198">
        <v>0</v>
      </c>
      <c r="DP33" s="198">
        <v>0</v>
      </c>
      <c r="DQ33" s="199">
        <v>0</v>
      </c>
      <c r="DR33" s="195"/>
      <c r="DS33" s="196"/>
      <c r="DT33" s="196"/>
      <c r="DU33" s="196"/>
      <c r="DV33" s="196"/>
      <c r="DW33" s="196"/>
      <c r="DX33" s="206">
        <v>1</v>
      </c>
      <c r="DY33" s="198">
        <v>0</v>
      </c>
      <c r="DZ33" s="198">
        <v>0</v>
      </c>
      <c r="EA33" s="199">
        <v>0</v>
      </c>
      <c r="EB33" s="195"/>
      <c r="EC33" s="196"/>
      <c r="ED33" s="196"/>
      <c r="EE33" s="196"/>
      <c r="EF33" s="196"/>
      <c r="EG33" s="196"/>
      <c r="EH33" s="206">
        <v>1</v>
      </c>
      <c r="EI33" s="198">
        <v>0</v>
      </c>
      <c r="EJ33" s="198">
        <v>0</v>
      </c>
      <c r="EK33" s="199">
        <v>0</v>
      </c>
      <c r="EL33" s="195"/>
      <c r="EM33" s="196"/>
      <c r="EN33" s="196"/>
      <c r="EO33" s="196"/>
      <c r="EP33" s="196"/>
      <c r="EQ33" s="196"/>
      <c r="ER33" s="206">
        <v>1</v>
      </c>
      <c r="ES33" s="198">
        <v>0</v>
      </c>
      <c r="ET33" s="198">
        <v>0</v>
      </c>
      <c r="EU33" s="199">
        <v>0</v>
      </c>
      <c r="EV33" s="195"/>
      <c r="EW33" s="196"/>
      <c r="EX33" s="196"/>
      <c r="EY33" s="196"/>
      <c r="EZ33" s="196"/>
      <c r="FA33" s="196"/>
      <c r="FB33" s="206">
        <v>1</v>
      </c>
      <c r="FC33" s="198">
        <v>0</v>
      </c>
      <c r="FD33" s="198">
        <v>0</v>
      </c>
      <c r="FE33" s="199">
        <v>0</v>
      </c>
      <c r="FF33" s="195"/>
      <c r="FG33" s="196"/>
      <c r="FH33" s="196"/>
      <c r="FI33" s="196"/>
      <c r="FJ33" s="196"/>
      <c r="FK33" s="196"/>
      <c r="FL33" s="206">
        <v>1</v>
      </c>
      <c r="FM33" s="198">
        <v>0</v>
      </c>
      <c r="FN33" s="198">
        <v>0</v>
      </c>
      <c r="FO33" s="199">
        <v>0</v>
      </c>
      <c r="FP33" s="195"/>
      <c r="FQ33" s="196"/>
      <c r="FR33" s="196"/>
      <c r="FS33" s="196"/>
      <c r="FT33" s="196"/>
      <c r="FU33" s="196"/>
      <c r="FV33" s="206">
        <v>1</v>
      </c>
      <c r="FW33" s="198">
        <v>0</v>
      </c>
      <c r="FX33" s="198">
        <v>0</v>
      </c>
      <c r="FY33" s="199">
        <v>0</v>
      </c>
      <c r="FZ33" s="195"/>
      <c r="GA33" s="196"/>
      <c r="GB33" s="196"/>
      <c r="GC33" s="196"/>
      <c r="GD33" s="196"/>
      <c r="GE33" s="196"/>
      <c r="GF33" s="206">
        <v>1</v>
      </c>
      <c r="GG33" s="198">
        <v>0</v>
      </c>
      <c r="GH33" s="198">
        <v>0</v>
      </c>
      <c r="GI33" s="199">
        <v>0</v>
      </c>
      <c r="GJ33" s="195"/>
      <c r="GK33" s="196"/>
      <c r="GL33" s="196"/>
      <c r="GM33" s="196"/>
      <c r="GN33" s="196"/>
      <c r="GO33" s="196"/>
      <c r="GP33" s="206">
        <v>1</v>
      </c>
      <c r="GQ33" s="198">
        <v>0</v>
      </c>
      <c r="GR33" s="198">
        <v>0</v>
      </c>
      <c r="GS33" s="199">
        <v>0</v>
      </c>
      <c r="GT33" s="195"/>
      <c r="GU33" s="196"/>
      <c r="GV33" s="196"/>
      <c r="GW33" s="196"/>
      <c r="GX33" s="196"/>
      <c r="GY33" s="196"/>
      <c r="GZ33" s="206">
        <v>1</v>
      </c>
      <c r="HA33" s="198">
        <v>0</v>
      </c>
      <c r="HB33" s="198">
        <v>0</v>
      </c>
      <c r="HC33" s="199">
        <v>0</v>
      </c>
      <c r="HD33" s="195"/>
      <c r="HE33" s="196"/>
      <c r="HF33" s="196"/>
      <c r="HG33" s="196"/>
      <c r="HH33" s="196"/>
      <c r="HI33" s="196"/>
      <c r="HJ33" s="206">
        <v>1</v>
      </c>
      <c r="HK33" s="198">
        <v>0</v>
      </c>
      <c r="HL33" s="198">
        <v>0</v>
      </c>
      <c r="HM33" s="199">
        <v>0</v>
      </c>
      <c r="HN33" s="204">
        <v>1</v>
      </c>
      <c r="HO33" s="205">
        <v>0</v>
      </c>
      <c r="HP33" s="204">
        <v>1</v>
      </c>
      <c r="HQ33" s="205">
        <v>0</v>
      </c>
      <c r="HR33" s="204">
        <v>1</v>
      </c>
      <c r="HS33" s="205">
        <v>0</v>
      </c>
      <c r="HT33" s="204">
        <v>1</v>
      </c>
      <c r="HU33" s="205">
        <v>0</v>
      </c>
      <c r="HV33" s="204">
        <v>1</v>
      </c>
      <c r="HW33" s="205">
        <v>0</v>
      </c>
      <c r="HX33" s="204">
        <v>1</v>
      </c>
      <c r="HY33" s="205">
        <v>0</v>
      </c>
      <c r="HZ33" s="204">
        <v>1</v>
      </c>
      <c r="IA33" s="205">
        <v>0</v>
      </c>
      <c r="IB33" s="204">
        <v>1</v>
      </c>
      <c r="IC33" s="205">
        <v>0</v>
      </c>
      <c r="ID33" s="204">
        <v>1</v>
      </c>
      <c r="IE33" s="205">
        <v>0</v>
      </c>
      <c r="IF33" s="204">
        <v>1</v>
      </c>
      <c r="IG33" s="205">
        <v>0</v>
      </c>
      <c r="IH33" s="204">
        <v>1</v>
      </c>
      <c r="II33" s="205">
        <v>0</v>
      </c>
      <c r="IJ33" s="204">
        <v>1</v>
      </c>
      <c r="IK33" s="205">
        <v>0</v>
      </c>
      <c r="IL33" s="204">
        <v>1</v>
      </c>
      <c r="IM33" s="205">
        <v>0</v>
      </c>
      <c r="IN33" s="204">
        <v>1</v>
      </c>
      <c r="IO33" s="205">
        <v>0</v>
      </c>
      <c r="IP33" s="204">
        <v>1</v>
      </c>
      <c r="IQ33" s="205">
        <v>0</v>
      </c>
      <c r="IR33" s="204">
        <v>1</v>
      </c>
      <c r="IS33" s="205">
        <v>0</v>
      </c>
      <c r="IT33" s="204">
        <v>1</v>
      </c>
      <c r="IU33" s="205">
        <v>0</v>
      </c>
      <c r="IV33" s="204">
        <v>1</v>
      </c>
      <c r="IW33" s="205">
        <v>0</v>
      </c>
      <c r="IX33" s="204">
        <v>1</v>
      </c>
      <c r="IY33" s="205">
        <v>0</v>
      </c>
      <c r="IZ33" s="204">
        <v>1</v>
      </c>
      <c r="JA33" s="205">
        <v>0</v>
      </c>
      <c r="JB33" s="204">
        <v>1</v>
      </c>
      <c r="JC33" s="205">
        <v>0</v>
      </c>
      <c r="JD33" s="204">
        <v>1</v>
      </c>
      <c r="JE33" s="233">
        <v>0</v>
      </c>
      <c r="JF33" s="236">
        <f t="shared" si="0"/>
        <v>24</v>
      </c>
      <c r="JG33" s="235">
        <f t="shared" si="1"/>
        <v>24</v>
      </c>
      <c r="JH33" s="235">
        <f t="shared" si="2"/>
        <v>24</v>
      </c>
      <c r="JI33" s="235">
        <f t="shared" si="3"/>
        <v>24</v>
      </c>
      <c r="JJ33" s="235">
        <f t="shared" si="4"/>
        <v>24</v>
      </c>
      <c r="JK33" s="235">
        <f t="shared" si="5"/>
        <v>24</v>
      </c>
      <c r="JL33" s="235">
        <f t="shared" si="6"/>
        <v>24</v>
      </c>
      <c r="JM33" s="235">
        <f t="shared" si="7"/>
        <v>24</v>
      </c>
      <c r="JN33" s="235">
        <f t="shared" si="8"/>
        <v>24</v>
      </c>
      <c r="JO33" s="235">
        <f t="shared" si="9"/>
        <v>24</v>
      </c>
      <c r="JP33" s="235">
        <f t="shared" si="10"/>
        <v>24</v>
      </c>
      <c r="JQ33" s="235">
        <f t="shared" si="11"/>
        <v>24</v>
      </c>
      <c r="JR33" s="235">
        <f t="shared" si="12"/>
        <v>24</v>
      </c>
      <c r="JS33" s="235">
        <f t="shared" si="13"/>
        <v>24</v>
      </c>
      <c r="JT33" s="235">
        <f t="shared" si="14"/>
        <v>24</v>
      </c>
      <c r="JU33" s="235">
        <f t="shared" si="15"/>
        <v>24</v>
      </c>
      <c r="JV33" s="235">
        <f t="shared" si="16"/>
        <v>24</v>
      </c>
      <c r="JW33" s="235">
        <f t="shared" si="17"/>
        <v>24</v>
      </c>
      <c r="JX33" s="235">
        <f t="shared" si="18"/>
        <v>24</v>
      </c>
      <c r="JY33" s="235">
        <f t="shared" si="19"/>
        <v>24</v>
      </c>
      <c r="JZ33" s="235">
        <f t="shared" si="20"/>
        <v>24</v>
      </c>
      <c r="KA33" s="237">
        <f t="shared" si="21"/>
        <v>24</v>
      </c>
      <c r="KB33" s="248">
        <v>46051</v>
      </c>
      <c r="KC33" s="201">
        <v>1.5209999999999999</v>
      </c>
      <c r="KD33" s="201">
        <v>1.5209999999999999</v>
      </c>
      <c r="KE33" s="201">
        <v>1.5209999999999999</v>
      </c>
      <c r="KF33" s="201">
        <v>1.5209999999999999</v>
      </c>
      <c r="KG33" s="201">
        <v>1.5209999999999999</v>
      </c>
      <c r="KH33" s="201">
        <v>1.5209999999999999</v>
      </c>
      <c r="KI33" s="201">
        <v>1.5209999999999999</v>
      </c>
      <c r="KJ33" s="201">
        <v>1.5209999999999999</v>
      </c>
      <c r="KK33" s="201">
        <v>1.5209999999999999</v>
      </c>
      <c r="KL33" s="201">
        <v>1.5209999999999999</v>
      </c>
      <c r="KM33" s="201">
        <v>1.5209999999999999</v>
      </c>
      <c r="KN33" s="201">
        <v>1.5209999999999999</v>
      </c>
      <c r="KO33" s="201">
        <v>1.5209999999999999</v>
      </c>
      <c r="KP33" s="201">
        <v>1.5209999999999999</v>
      </c>
      <c r="KQ33" s="201">
        <v>1.5209999999999999</v>
      </c>
      <c r="KR33" s="201">
        <v>1.5209999999999999</v>
      </c>
      <c r="KS33" s="201">
        <v>1.5209999999999999</v>
      </c>
      <c r="KT33" s="201">
        <v>1.5209999999999999</v>
      </c>
      <c r="KU33" s="201">
        <v>1.5209999999999999</v>
      </c>
      <c r="KV33" s="201">
        <v>1.5209999999999999</v>
      </c>
      <c r="KW33" s="201">
        <v>1.5209999999999999</v>
      </c>
      <c r="KX33" s="201">
        <v>1.5209999999999999</v>
      </c>
      <c r="KY33" s="203">
        <v>33.46200000000001</v>
      </c>
    </row>
    <row r="34" spans="1:311">
      <c r="A34" s="194">
        <v>46052</v>
      </c>
      <c r="B34" s="195"/>
      <c r="C34" s="196"/>
      <c r="D34" s="196"/>
      <c r="E34" s="196"/>
      <c r="F34" s="196"/>
      <c r="G34" s="196"/>
      <c r="H34" s="206">
        <v>1</v>
      </c>
      <c r="I34" s="198">
        <v>0</v>
      </c>
      <c r="J34" s="198">
        <v>0</v>
      </c>
      <c r="K34" s="199">
        <v>0</v>
      </c>
      <c r="L34" s="195"/>
      <c r="M34" s="196"/>
      <c r="N34" s="196"/>
      <c r="O34" s="196"/>
      <c r="P34" s="196"/>
      <c r="Q34" s="196"/>
      <c r="R34" s="206">
        <v>1</v>
      </c>
      <c r="S34" s="198">
        <v>0</v>
      </c>
      <c r="T34" s="198">
        <v>0</v>
      </c>
      <c r="U34" s="199">
        <v>0</v>
      </c>
      <c r="V34" s="195"/>
      <c r="W34" s="196"/>
      <c r="X34" s="196"/>
      <c r="Y34" s="196"/>
      <c r="Z34" s="196"/>
      <c r="AA34" s="196"/>
      <c r="AB34" s="206">
        <v>1</v>
      </c>
      <c r="AC34" s="198">
        <v>0</v>
      </c>
      <c r="AD34" s="198">
        <v>0</v>
      </c>
      <c r="AE34" s="199">
        <v>0</v>
      </c>
      <c r="AF34" s="195"/>
      <c r="AG34" s="196"/>
      <c r="AH34" s="196"/>
      <c r="AI34" s="196"/>
      <c r="AJ34" s="196"/>
      <c r="AK34" s="196"/>
      <c r="AL34" s="206">
        <v>1</v>
      </c>
      <c r="AM34" s="198">
        <v>0</v>
      </c>
      <c r="AN34" s="198">
        <v>0</v>
      </c>
      <c r="AO34" s="199">
        <v>0</v>
      </c>
      <c r="AP34" s="195"/>
      <c r="AQ34" s="196"/>
      <c r="AR34" s="196"/>
      <c r="AS34" s="196"/>
      <c r="AT34" s="196"/>
      <c r="AU34" s="196"/>
      <c r="AV34" s="206">
        <v>1</v>
      </c>
      <c r="AW34" s="198">
        <v>0</v>
      </c>
      <c r="AX34" s="198">
        <v>0</v>
      </c>
      <c r="AY34" s="199">
        <v>0</v>
      </c>
      <c r="AZ34" s="195"/>
      <c r="BA34" s="196"/>
      <c r="BB34" s="196"/>
      <c r="BC34" s="196"/>
      <c r="BD34" s="196"/>
      <c r="BE34" s="196"/>
      <c r="BF34" s="206">
        <v>1</v>
      </c>
      <c r="BG34" s="198">
        <v>0</v>
      </c>
      <c r="BH34" s="198">
        <v>0</v>
      </c>
      <c r="BI34" s="199">
        <v>0</v>
      </c>
      <c r="BJ34" s="195"/>
      <c r="BK34" s="196"/>
      <c r="BL34" s="196"/>
      <c r="BM34" s="196"/>
      <c r="BN34" s="196"/>
      <c r="BO34" s="196"/>
      <c r="BP34" s="206">
        <v>1</v>
      </c>
      <c r="BQ34" s="198">
        <v>0</v>
      </c>
      <c r="BR34" s="198">
        <v>0</v>
      </c>
      <c r="BS34" s="199">
        <v>0</v>
      </c>
      <c r="BT34" s="195"/>
      <c r="BU34" s="196"/>
      <c r="BV34" s="196"/>
      <c r="BW34" s="196"/>
      <c r="BX34" s="196"/>
      <c r="BY34" s="196"/>
      <c r="BZ34" s="206">
        <v>1</v>
      </c>
      <c r="CA34" s="198">
        <v>0</v>
      </c>
      <c r="CB34" s="198">
        <v>0</v>
      </c>
      <c r="CC34" s="199">
        <v>0</v>
      </c>
      <c r="CD34" s="195"/>
      <c r="CE34" s="196"/>
      <c r="CF34" s="196"/>
      <c r="CG34" s="196"/>
      <c r="CH34" s="196"/>
      <c r="CI34" s="196"/>
      <c r="CJ34" s="206">
        <v>1</v>
      </c>
      <c r="CK34" s="198">
        <v>0</v>
      </c>
      <c r="CL34" s="198">
        <v>0</v>
      </c>
      <c r="CM34" s="199">
        <v>0</v>
      </c>
      <c r="CN34" s="195"/>
      <c r="CO34" s="196"/>
      <c r="CP34" s="196"/>
      <c r="CQ34" s="196"/>
      <c r="CR34" s="196"/>
      <c r="CS34" s="196"/>
      <c r="CT34" s="206">
        <v>1</v>
      </c>
      <c r="CU34" s="198">
        <v>0</v>
      </c>
      <c r="CV34" s="198">
        <v>0</v>
      </c>
      <c r="CW34" s="199">
        <v>0</v>
      </c>
      <c r="CX34" s="195"/>
      <c r="CY34" s="196"/>
      <c r="CZ34" s="196"/>
      <c r="DA34" s="196"/>
      <c r="DB34" s="196"/>
      <c r="DC34" s="196"/>
      <c r="DD34" s="206">
        <v>1</v>
      </c>
      <c r="DE34" s="198">
        <v>0</v>
      </c>
      <c r="DF34" s="198">
        <v>0</v>
      </c>
      <c r="DG34" s="199">
        <v>0</v>
      </c>
      <c r="DH34" s="195"/>
      <c r="DI34" s="196"/>
      <c r="DJ34" s="196"/>
      <c r="DK34" s="196"/>
      <c r="DL34" s="196"/>
      <c r="DM34" s="196"/>
      <c r="DN34" s="206">
        <v>1</v>
      </c>
      <c r="DO34" s="198">
        <v>0</v>
      </c>
      <c r="DP34" s="198">
        <v>0</v>
      </c>
      <c r="DQ34" s="199">
        <v>0</v>
      </c>
      <c r="DR34" s="195"/>
      <c r="DS34" s="196"/>
      <c r="DT34" s="196"/>
      <c r="DU34" s="196"/>
      <c r="DV34" s="196"/>
      <c r="DW34" s="196"/>
      <c r="DX34" s="206">
        <v>1</v>
      </c>
      <c r="DY34" s="198">
        <v>0</v>
      </c>
      <c r="DZ34" s="198">
        <v>0</v>
      </c>
      <c r="EA34" s="199">
        <v>0</v>
      </c>
      <c r="EB34" s="195"/>
      <c r="EC34" s="196"/>
      <c r="ED34" s="196"/>
      <c r="EE34" s="196"/>
      <c r="EF34" s="196"/>
      <c r="EG34" s="196"/>
      <c r="EH34" s="206">
        <v>1</v>
      </c>
      <c r="EI34" s="198">
        <v>0</v>
      </c>
      <c r="EJ34" s="198">
        <v>0</v>
      </c>
      <c r="EK34" s="199">
        <v>0</v>
      </c>
      <c r="EL34" s="195"/>
      <c r="EM34" s="196"/>
      <c r="EN34" s="196"/>
      <c r="EO34" s="196"/>
      <c r="EP34" s="196"/>
      <c r="EQ34" s="196"/>
      <c r="ER34" s="206">
        <v>1</v>
      </c>
      <c r="ES34" s="198">
        <v>0</v>
      </c>
      <c r="ET34" s="198">
        <v>0</v>
      </c>
      <c r="EU34" s="199">
        <v>0</v>
      </c>
      <c r="EV34" s="195"/>
      <c r="EW34" s="196"/>
      <c r="EX34" s="196"/>
      <c r="EY34" s="196"/>
      <c r="EZ34" s="196"/>
      <c r="FA34" s="196"/>
      <c r="FB34" s="206">
        <v>1</v>
      </c>
      <c r="FC34" s="198">
        <v>0</v>
      </c>
      <c r="FD34" s="198">
        <v>0</v>
      </c>
      <c r="FE34" s="199">
        <v>0</v>
      </c>
      <c r="FF34" s="195"/>
      <c r="FG34" s="196"/>
      <c r="FH34" s="196"/>
      <c r="FI34" s="196"/>
      <c r="FJ34" s="196"/>
      <c r="FK34" s="196"/>
      <c r="FL34" s="206">
        <v>1</v>
      </c>
      <c r="FM34" s="198">
        <v>0</v>
      </c>
      <c r="FN34" s="198">
        <v>0</v>
      </c>
      <c r="FO34" s="199">
        <v>0</v>
      </c>
      <c r="FP34" s="195"/>
      <c r="FQ34" s="196"/>
      <c r="FR34" s="196"/>
      <c r="FS34" s="196"/>
      <c r="FT34" s="196"/>
      <c r="FU34" s="196"/>
      <c r="FV34" s="206">
        <v>1</v>
      </c>
      <c r="FW34" s="198">
        <v>0</v>
      </c>
      <c r="FX34" s="198">
        <v>0</v>
      </c>
      <c r="FY34" s="199">
        <v>0</v>
      </c>
      <c r="FZ34" s="195"/>
      <c r="GA34" s="196"/>
      <c r="GB34" s="196"/>
      <c r="GC34" s="196"/>
      <c r="GD34" s="196"/>
      <c r="GE34" s="196"/>
      <c r="GF34" s="206">
        <v>1</v>
      </c>
      <c r="GG34" s="198">
        <v>0</v>
      </c>
      <c r="GH34" s="198">
        <v>0</v>
      </c>
      <c r="GI34" s="199">
        <v>0</v>
      </c>
      <c r="GJ34" s="195"/>
      <c r="GK34" s="196"/>
      <c r="GL34" s="196"/>
      <c r="GM34" s="196"/>
      <c r="GN34" s="196"/>
      <c r="GO34" s="196"/>
      <c r="GP34" s="206">
        <v>1</v>
      </c>
      <c r="GQ34" s="198">
        <v>0</v>
      </c>
      <c r="GR34" s="198">
        <v>0</v>
      </c>
      <c r="GS34" s="199">
        <v>0</v>
      </c>
      <c r="GT34" s="195"/>
      <c r="GU34" s="196"/>
      <c r="GV34" s="196"/>
      <c r="GW34" s="196"/>
      <c r="GX34" s="196"/>
      <c r="GY34" s="196"/>
      <c r="GZ34" s="206">
        <v>1</v>
      </c>
      <c r="HA34" s="198">
        <v>0</v>
      </c>
      <c r="HB34" s="198">
        <v>0</v>
      </c>
      <c r="HC34" s="199">
        <v>0</v>
      </c>
      <c r="HD34" s="195"/>
      <c r="HE34" s="196"/>
      <c r="HF34" s="196"/>
      <c r="HG34" s="196"/>
      <c r="HH34" s="196"/>
      <c r="HI34" s="196"/>
      <c r="HJ34" s="206">
        <v>1</v>
      </c>
      <c r="HK34" s="198">
        <v>0</v>
      </c>
      <c r="HL34" s="198">
        <v>0</v>
      </c>
      <c r="HM34" s="199">
        <v>0</v>
      </c>
      <c r="HN34" s="204">
        <v>1</v>
      </c>
      <c r="HO34" s="205">
        <v>0</v>
      </c>
      <c r="HP34" s="204">
        <v>1</v>
      </c>
      <c r="HQ34" s="205">
        <v>0</v>
      </c>
      <c r="HR34" s="204">
        <v>1</v>
      </c>
      <c r="HS34" s="205">
        <v>0</v>
      </c>
      <c r="HT34" s="204">
        <v>1</v>
      </c>
      <c r="HU34" s="205">
        <v>0</v>
      </c>
      <c r="HV34" s="204">
        <v>1</v>
      </c>
      <c r="HW34" s="205">
        <v>0</v>
      </c>
      <c r="HX34" s="204">
        <v>1</v>
      </c>
      <c r="HY34" s="205">
        <v>0</v>
      </c>
      <c r="HZ34" s="204">
        <v>1</v>
      </c>
      <c r="IA34" s="205">
        <v>0</v>
      </c>
      <c r="IB34" s="204">
        <v>1</v>
      </c>
      <c r="IC34" s="205">
        <v>0</v>
      </c>
      <c r="ID34" s="204">
        <v>1</v>
      </c>
      <c r="IE34" s="205">
        <v>0</v>
      </c>
      <c r="IF34" s="204">
        <v>1</v>
      </c>
      <c r="IG34" s="205">
        <v>0</v>
      </c>
      <c r="IH34" s="204">
        <v>1</v>
      </c>
      <c r="II34" s="205">
        <v>0</v>
      </c>
      <c r="IJ34" s="204">
        <v>1</v>
      </c>
      <c r="IK34" s="205">
        <v>0</v>
      </c>
      <c r="IL34" s="204">
        <v>1</v>
      </c>
      <c r="IM34" s="205">
        <v>0</v>
      </c>
      <c r="IN34" s="204">
        <v>1</v>
      </c>
      <c r="IO34" s="205">
        <v>0</v>
      </c>
      <c r="IP34" s="204">
        <v>1</v>
      </c>
      <c r="IQ34" s="205">
        <v>0</v>
      </c>
      <c r="IR34" s="204">
        <v>1</v>
      </c>
      <c r="IS34" s="205">
        <v>0</v>
      </c>
      <c r="IT34" s="204">
        <v>1</v>
      </c>
      <c r="IU34" s="205">
        <v>0</v>
      </c>
      <c r="IV34" s="204">
        <v>1</v>
      </c>
      <c r="IW34" s="205">
        <v>0</v>
      </c>
      <c r="IX34" s="204">
        <v>1</v>
      </c>
      <c r="IY34" s="205">
        <v>0</v>
      </c>
      <c r="IZ34" s="204">
        <v>1</v>
      </c>
      <c r="JA34" s="205">
        <v>0</v>
      </c>
      <c r="JB34" s="204">
        <v>1</v>
      </c>
      <c r="JC34" s="205">
        <v>0</v>
      </c>
      <c r="JD34" s="204">
        <v>1</v>
      </c>
      <c r="JE34" s="233">
        <v>0</v>
      </c>
      <c r="JF34" s="236">
        <f t="shared" si="0"/>
        <v>24</v>
      </c>
      <c r="JG34" s="235">
        <f t="shared" si="1"/>
        <v>24</v>
      </c>
      <c r="JH34" s="235">
        <f t="shared" si="2"/>
        <v>24</v>
      </c>
      <c r="JI34" s="235">
        <f t="shared" si="3"/>
        <v>24</v>
      </c>
      <c r="JJ34" s="235">
        <f t="shared" si="4"/>
        <v>24</v>
      </c>
      <c r="JK34" s="235">
        <f t="shared" si="5"/>
        <v>24</v>
      </c>
      <c r="JL34" s="235">
        <f t="shared" si="6"/>
        <v>24</v>
      </c>
      <c r="JM34" s="235">
        <f t="shared" si="7"/>
        <v>24</v>
      </c>
      <c r="JN34" s="235">
        <f t="shared" si="8"/>
        <v>24</v>
      </c>
      <c r="JO34" s="235">
        <f t="shared" si="9"/>
        <v>24</v>
      </c>
      <c r="JP34" s="235">
        <f t="shared" si="10"/>
        <v>24</v>
      </c>
      <c r="JQ34" s="235">
        <f t="shared" si="11"/>
        <v>24</v>
      </c>
      <c r="JR34" s="235">
        <f t="shared" si="12"/>
        <v>24</v>
      </c>
      <c r="JS34" s="235">
        <f t="shared" si="13"/>
        <v>24</v>
      </c>
      <c r="JT34" s="235">
        <f t="shared" si="14"/>
        <v>24</v>
      </c>
      <c r="JU34" s="235">
        <f t="shared" si="15"/>
        <v>24</v>
      </c>
      <c r="JV34" s="235">
        <f t="shared" si="16"/>
        <v>24</v>
      </c>
      <c r="JW34" s="235">
        <f t="shared" si="17"/>
        <v>24</v>
      </c>
      <c r="JX34" s="235">
        <f t="shared" si="18"/>
        <v>24</v>
      </c>
      <c r="JY34" s="235">
        <f t="shared" si="19"/>
        <v>24</v>
      </c>
      <c r="JZ34" s="235">
        <f t="shared" si="20"/>
        <v>24</v>
      </c>
      <c r="KA34" s="237">
        <f t="shared" si="21"/>
        <v>24</v>
      </c>
      <c r="KB34" s="248">
        <v>46052</v>
      </c>
      <c r="KC34" s="201">
        <v>1.7078181818181817</v>
      </c>
      <c r="KD34" s="201">
        <v>1.7078181818181817</v>
      </c>
      <c r="KE34" s="201">
        <v>1.7078181818181817</v>
      </c>
      <c r="KF34" s="201">
        <v>1.7078181818181817</v>
      </c>
      <c r="KG34" s="201">
        <v>1.7078181818181817</v>
      </c>
      <c r="KH34" s="201">
        <v>1.7078181818181817</v>
      </c>
      <c r="KI34" s="201">
        <v>1.7078181818181817</v>
      </c>
      <c r="KJ34" s="201">
        <v>1.7078181818181817</v>
      </c>
      <c r="KK34" s="201">
        <v>1.7078181818181817</v>
      </c>
      <c r="KL34" s="201">
        <v>1.7078181818181817</v>
      </c>
      <c r="KM34" s="201">
        <v>1.7078181818181817</v>
      </c>
      <c r="KN34" s="201">
        <v>1.7078181818181817</v>
      </c>
      <c r="KO34" s="201">
        <v>1.7078181818181817</v>
      </c>
      <c r="KP34" s="201">
        <v>1.7078181818181817</v>
      </c>
      <c r="KQ34" s="201">
        <v>1.7078181818181817</v>
      </c>
      <c r="KR34" s="201">
        <v>1.7078181818181817</v>
      </c>
      <c r="KS34" s="201">
        <v>1.7078181818181817</v>
      </c>
      <c r="KT34" s="201">
        <v>1.7078181818181817</v>
      </c>
      <c r="KU34" s="201">
        <v>1.7078181818181817</v>
      </c>
      <c r="KV34" s="201">
        <v>1.7078181818181817</v>
      </c>
      <c r="KW34" s="201">
        <v>1.7078181818181817</v>
      </c>
      <c r="KX34" s="201">
        <v>1.7078181818181817</v>
      </c>
      <c r="KY34" s="203">
        <v>37.572000000000017</v>
      </c>
    </row>
    <row r="35" spans="1:311">
      <c r="A35" s="207">
        <v>46053</v>
      </c>
      <c r="B35" s="208"/>
      <c r="C35" s="209"/>
      <c r="D35" s="209"/>
      <c r="E35" s="209"/>
      <c r="F35" s="209"/>
      <c r="G35" s="209"/>
      <c r="H35" s="210">
        <v>1</v>
      </c>
      <c r="I35" s="211">
        <v>0</v>
      </c>
      <c r="J35" s="211">
        <v>0</v>
      </c>
      <c r="K35" s="212">
        <v>0</v>
      </c>
      <c r="L35" s="208"/>
      <c r="M35" s="209"/>
      <c r="N35" s="209"/>
      <c r="O35" s="209"/>
      <c r="P35" s="209"/>
      <c r="Q35" s="209"/>
      <c r="R35" s="210">
        <v>1</v>
      </c>
      <c r="S35" s="211">
        <v>0</v>
      </c>
      <c r="T35" s="211">
        <v>0</v>
      </c>
      <c r="U35" s="212">
        <v>0</v>
      </c>
      <c r="V35" s="208"/>
      <c r="W35" s="209"/>
      <c r="X35" s="209"/>
      <c r="Y35" s="209"/>
      <c r="Z35" s="209"/>
      <c r="AA35" s="209"/>
      <c r="AB35" s="210">
        <v>1</v>
      </c>
      <c r="AC35" s="211">
        <v>0</v>
      </c>
      <c r="AD35" s="211">
        <v>0</v>
      </c>
      <c r="AE35" s="212">
        <v>0</v>
      </c>
      <c r="AF35" s="208"/>
      <c r="AG35" s="209"/>
      <c r="AH35" s="209"/>
      <c r="AI35" s="209"/>
      <c r="AJ35" s="209"/>
      <c r="AK35" s="209"/>
      <c r="AL35" s="210">
        <v>1</v>
      </c>
      <c r="AM35" s="211">
        <v>0</v>
      </c>
      <c r="AN35" s="211">
        <v>0</v>
      </c>
      <c r="AO35" s="212">
        <v>0</v>
      </c>
      <c r="AP35" s="208"/>
      <c r="AQ35" s="209"/>
      <c r="AR35" s="209"/>
      <c r="AS35" s="209"/>
      <c r="AT35" s="209"/>
      <c r="AU35" s="209"/>
      <c r="AV35" s="210">
        <v>1</v>
      </c>
      <c r="AW35" s="211">
        <v>0</v>
      </c>
      <c r="AX35" s="211">
        <v>0</v>
      </c>
      <c r="AY35" s="212">
        <v>0</v>
      </c>
      <c r="AZ35" s="208"/>
      <c r="BA35" s="209"/>
      <c r="BB35" s="209"/>
      <c r="BC35" s="209"/>
      <c r="BD35" s="209"/>
      <c r="BE35" s="209"/>
      <c r="BF35" s="210">
        <v>1</v>
      </c>
      <c r="BG35" s="211">
        <v>0</v>
      </c>
      <c r="BH35" s="211">
        <v>0</v>
      </c>
      <c r="BI35" s="212">
        <v>0</v>
      </c>
      <c r="BJ35" s="208"/>
      <c r="BK35" s="209"/>
      <c r="BL35" s="209"/>
      <c r="BM35" s="209"/>
      <c r="BN35" s="209"/>
      <c r="BO35" s="209"/>
      <c r="BP35" s="210">
        <v>1</v>
      </c>
      <c r="BQ35" s="211">
        <v>0</v>
      </c>
      <c r="BR35" s="211">
        <v>0</v>
      </c>
      <c r="BS35" s="212">
        <v>0</v>
      </c>
      <c r="BT35" s="208"/>
      <c r="BU35" s="209"/>
      <c r="BV35" s="209"/>
      <c r="BW35" s="209"/>
      <c r="BX35" s="209"/>
      <c r="BY35" s="209"/>
      <c r="BZ35" s="210">
        <v>1</v>
      </c>
      <c r="CA35" s="211">
        <v>0</v>
      </c>
      <c r="CB35" s="211">
        <v>0</v>
      </c>
      <c r="CC35" s="212">
        <v>0</v>
      </c>
      <c r="CD35" s="208"/>
      <c r="CE35" s="209"/>
      <c r="CF35" s="209"/>
      <c r="CG35" s="209"/>
      <c r="CH35" s="209"/>
      <c r="CI35" s="209"/>
      <c r="CJ35" s="210">
        <v>1</v>
      </c>
      <c r="CK35" s="211">
        <v>0</v>
      </c>
      <c r="CL35" s="211">
        <v>0</v>
      </c>
      <c r="CM35" s="212">
        <v>0</v>
      </c>
      <c r="CN35" s="208"/>
      <c r="CO35" s="209"/>
      <c r="CP35" s="209"/>
      <c r="CQ35" s="209"/>
      <c r="CR35" s="209"/>
      <c r="CS35" s="209"/>
      <c r="CT35" s="210">
        <v>1</v>
      </c>
      <c r="CU35" s="211">
        <v>0</v>
      </c>
      <c r="CV35" s="211">
        <v>0</v>
      </c>
      <c r="CW35" s="212">
        <v>0</v>
      </c>
      <c r="CX35" s="208"/>
      <c r="CY35" s="209"/>
      <c r="CZ35" s="209"/>
      <c r="DA35" s="209"/>
      <c r="DB35" s="209"/>
      <c r="DC35" s="209"/>
      <c r="DD35" s="210">
        <v>1</v>
      </c>
      <c r="DE35" s="211">
        <v>0</v>
      </c>
      <c r="DF35" s="211">
        <v>0</v>
      </c>
      <c r="DG35" s="212">
        <v>0</v>
      </c>
      <c r="DH35" s="208"/>
      <c r="DI35" s="209"/>
      <c r="DJ35" s="209"/>
      <c r="DK35" s="209"/>
      <c r="DL35" s="209"/>
      <c r="DM35" s="209"/>
      <c r="DN35" s="210">
        <v>1</v>
      </c>
      <c r="DO35" s="211">
        <v>0</v>
      </c>
      <c r="DP35" s="211">
        <v>0</v>
      </c>
      <c r="DQ35" s="212">
        <v>0</v>
      </c>
      <c r="DR35" s="208"/>
      <c r="DS35" s="209"/>
      <c r="DT35" s="209"/>
      <c r="DU35" s="209"/>
      <c r="DV35" s="209"/>
      <c r="DW35" s="209"/>
      <c r="DX35" s="210">
        <v>1</v>
      </c>
      <c r="DY35" s="211">
        <v>0</v>
      </c>
      <c r="DZ35" s="211">
        <v>0</v>
      </c>
      <c r="EA35" s="212">
        <v>0</v>
      </c>
      <c r="EB35" s="208"/>
      <c r="EC35" s="209"/>
      <c r="ED35" s="209"/>
      <c r="EE35" s="209"/>
      <c r="EF35" s="209"/>
      <c r="EG35" s="209"/>
      <c r="EH35" s="210">
        <v>1</v>
      </c>
      <c r="EI35" s="211">
        <v>0</v>
      </c>
      <c r="EJ35" s="211">
        <v>0</v>
      </c>
      <c r="EK35" s="212">
        <v>0</v>
      </c>
      <c r="EL35" s="208"/>
      <c r="EM35" s="209"/>
      <c r="EN35" s="209"/>
      <c r="EO35" s="209"/>
      <c r="EP35" s="209"/>
      <c r="EQ35" s="209"/>
      <c r="ER35" s="210">
        <v>1</v>
      </c>
      <c r="ES35" s="211">
        <v>0</v>
      </c>
      <c r="ET35" s="211">
        <v>0</v>
      </c>
      <c r="EU35" s="212">
        <v>0</v>
      </c>
      <c r="EV35" s="208"/>
      <c r="EW35" s="209"/>
      <c r="EX35" s="209"/>
      <c r="EY35" s="209"/>
      <c r="EZ35" s="209"/>
      <c r="FA35" s="209"/>
      <c r="FB35" s="210">
        <v>1</v>
      </c>
      <c r="FC35" s="211">
        <v>0</v>
      </c>
      <c r="FD35" s="211">
        <v>0</v>
      </c>
      <c r="FE35" s="212">
        <v>0</v>
      </c>
      <c r="FF35" s="208"/>
      <c r="FG35" s="209"/>
      <c r="FH35" s="209"/>
      <c r="FI35" s="209"/>
      <c r="FJ35" s="209"/>
      <c r="FK35" s="209"/>
      <c r="FL35" s="210">
        <v>1</v>
      </c>
      <c r="FM35" s="211">
        <v>0</v>
      </c>
      <c r="FN35" s="211">
        <v>0</v>
      </c>
      <c r="FO35" s="212">
        <v>0</v>
      </c>
      <c r="FP35" s="208"/>
      <c r="FQ35" s="209"/>
      <c r="FR35" s="209"/>
      <c r="FS35" s="209"/>
      <c r="FT35" s="209"/>
      <c r="FU35" s="209"/>
      <c r="FV35" s="210">
        <v>1</v>
      </c>
      <c r="FW35" s="211">
        <v>0</v>
      </c>
      <c r="FX35" s="211">
        <v>0</v>
      </c>
      <c r="FY35" s="212">
        <v>0</v>
      </c>
      <c r="FZ35" s="208"/>
      <c r="GA35" s="209"/>
      <c r="GB35" s="209"/>
      <c r="GC35" s="209"/>
      <c r="GD35" s="209"/>
      <c r="GE35" s="209"/>
      <c r="GF35" s="210">
        <v>1</v>
      </c>
      <c r="GG35" s="211">
        <v>0</v>
      </c>
      <c r="GH35" s="211">
        <v>0</v>
      </c>
      <c r="GI35" s="212">
        <v>0</v>
      </c>
      <c r="GJ35" s="208"/>
      <c r="GK35" s="209"/>
      <c r="GL35" s="209"/>
      <c r="GM35" s="209"/>
      <c r="GN35" s="209"/>
      <c r="GO35" s="209"/>
      <c r="GP35" s="210">
        <v>1</v>
      </c>
      <c r="GQ35" s="211">
        <v>0</v>
      </c>
      <c r="GR35" s="211">
        <v>0</v>
      </c>
      <c r="GS35" s="212">
        <v>0</v>
      </c>
      <c r="GT35" s="208"/>
      <c r="GU35" s="209"/>
      <c r="GV35" s="209"/>
      <c r="GW35" s="209"/>
      <c r="GX35" s="209"/>
      <c r="GY35" s="209"/>
      <c r="GZ35" s="210">
        <v>1</v>
      </c>
      <c r="HA35" s="211">
        <v>0</v>
      </c>
      <c r="HB35" s="211">
        <v>0</v>
      </c>
      <c r="HC35" s="212">
        <v>0</v>
      </c>
      <c r="HD35" s="208"/>
      <c r="HE35" s="209"/>
      <c r="HF35" s="209"/>
      <c r="HG35" s="209"/>
      <c r="HH35" s="209"/>
      <c r="HI35" s="209"/>
      <c r="HJ35" s="210">
        <v>1</v>
      </c>
      <c r="HK35" s="211">
        <v>0</v>
      </c>
      <c r="HL35" s="211">
        <v>0</v>
      </c>
      <c r="HM35" s="212">
        <v>0</v>
      </c>
      <c r="HN35" s="215">
        <v>1</v>
      </c>
      <c r="HO35" s="216">
        <v>0</v>
      </c>
      <c r="HP35" s="215">
        <v>1</v>
      </c>
      <c r="HQ35" s="216">
        <v>0</v>
      </c>
      <c r="HR35" s="215">
        <v>1</v>
      </c>
      <c r="HS35" s="216">
        <v>0</v>
      </c>
      <c r="HT35" s="215">
        <v>1</v>
      </c>
      <c r="HU35" s="216">
        <v>0</v>
      </c>
      <c r="HV35" s="215">
        <v>1</v>
      </c>
      <c r="HW35" s="216">
        <v>0</v>
      </c>
      <c r="HX35" s="215">
        <v>1</v>
      </c>
      <c r="HY35" s="216">
        <v>0</v>
      </c>
      <c r="HZ35" s="215">
        <v>1</v>
      </c>
      <c r="IA35" s="216">
        <v>0</v>
      </c>
      <c r="IB35" s="215">
        <v>1</v>
      </c>
      <c r="IC35" s="216">
        <v>0</v>
      </c>
      <c r="ID35" s="215">
        <v>1</v>
      </c>
      <c r="IE35" s="216">
        <v>0</v>
      </c>
      <c r="IF35" s="215">
        <v>1</v>
      </c>
      <c r="IG35" s="216">
        <v>0</v>
      </c>
      <c r="IH35" s="215">
        <v>1</v>
      </c>
      <c r="II35" s="216">
        <v>0</v>
      </c>
      <c r="IJ35" s="215">
        <v>1</v>
      </c>
      <c r="IK35" s="216">
        <v>0</v>
      </c>
      <c r="IL35" s="215">
        <v>1</v>
      </c>
      <c r="IM35" s="216">
        <v>0</v>
      </c>
      <c r="IN35" s="215">
        <v>1</v>
      </c>
      <c r="IO35" s="216">
        <v>0</v>
      </c>
      <c r="IP35" s="215">
        <v>1</v>
      </c>
      <c r="IQ35" s="216">
        <v>0</v>
      </c>
      <c r="IR35" s="215">
        <v>1</v>
      </c>
      <c r="IS35" s="216">
        <v>0</v>
      </c>
      <c r="IT35" s="215">
        <v>1</v>
      </c>
      <c r="IU35" s="216">
        <v>0</v>
      </c>
      <c r="IV35" s="215">
        <v>1</v>
      </c>
      <c r="IW35" s="216">
        <v>0</v>
      </c>
      <c r="IX35" s="215">
        <v>1</v>
      </c>
      <c r="IY35" s="216">
        <v>0</v>
      </c>
      <c r="IZ35" s="215">
        <v>1</v>
      </c>
      <c r="JA35" s="216">
        <v>0</v>
      </c>
      <c r="JB35" s="215">
        <v>1</v>
      </c>
      <c r="JC35" s="216">
        <v>0</v>
      </c>
      <c r="JD35" s="215">
        <v>1</v>
      </c>
      <c r="JE35" s="234">
        <v>0</v>
      </c>
      <c r="JF35" s="229">
        <f t="shared" si="0"/>
        <v>24</v>
      </c>
      <c r="JG35" s="230">
        <f t="shared" si="1"/>
        <v>24</v>
      </c>
      <c r="JH35" s="230">
        <f t="shared" si="2"/>
        <v>24</v>
      </c>
      <c r="JI35" s="230">
        <f t="shared" si="3"/>
        <v>24</v>
      </c>
      <c r="JJ35" s="230">
        <f t="shared" si="4"/>
        <v>24</v>
      </c>
      <c r="JK35" s="230">
        <f t="shared" si="5"/>
        <v>24</v>
      </c>
      <c r="JL35" s="230">
        <f t="shared" si="6"/>
        <v>24</v>
      </c>
      <c r="JM35" s="230">
        <f t="shared" si="7"/>
        <v>24</v>
      </c>
      <c r="JN35" s="230">
        <f t="shared" si="8"/>
        <v>24</v>
      </c>
      <c r="JO35" s="230">
        <f t="shared" si="9"/>
        <v>24</v>
      </c>
      <c r="JP35" s="230">
        <f t="shared" si="10"/>
        <v>24</v>
      </c>
      <c r="JQ35" s="230">
        <f t="shared" si="11"/>
        <v>24</v>
      </c>
      <c r="JR35" s="230">
        <f t="shared" si="12"/>
        <v>24</v>
      </c>
      <c r="JS35" s="230">
        <f t="shared" si="13"/>
        <v>24</v>
      </c>
      <c r="JT35" s="230">
        <f t="shared" si="14"/>
        <v>24</v>
      </c>
      <c r="JU35" s="230">
        <f t="shared" si="15"/>
        <v>24</v>
      </c>
      <c r="JV35" s="230">
        <f t="shared" si="16"/>
        <v>24</v>
      </c>
      <c r="JW35" s="230">
        <f t="shared" si="17"/>
        <v>24</v>
      </c>
      <c r="JX35" s="230">
        <f t="shared" si="18"/>
        <v>24</v>
      </c>
      <c r="JY35" s="230">
        <f t="shared" si="19"/>
        <v>24</v>
      </c>
      <c r="JZ35" s="230">
        <f t="shared" si="20"/>
        <v>24</v>
      </c>
      <c r="KA35" s="238">
        <f t="shared" si="21"/>
        <v>24</v>
      </c>
      <c r="KB35" s="248">
        <v>46053</v>
      </c>
      <c r="KC35" s="213">
        <v>1.6916363636363638</v>
      </c>
      <c r="KD35" s="213">
        <v>1.6916363636363638</v>
      </c>
      <c r="KE35" s="213">
        <v>1.6916363636363638</v>
      </c>
      <c r="KF35" s="213">
        <v>1.6916363636363638</v>
      </c>
      <c r="KG35" s="213">
        <v>1.6916363636363638</v>
      </c>
      <c r="KH35" s="213">
        <v>1.6916363636363638</v>
      </c>
      <c r="KI35" s="213">
        <v>1.6916363636363638</v>
      </c>
      <c r="KJ35" s="213">
        <v>1.6916363636363638</v>
      </c>
      <c r="KK35" s="213">
        <v>1.6916363636363638</v>
      </c>
      <c r="KL35" s="213">
        <v>1.6916363636363638</v>
      </c>
      <c r="KM35" s="213">
        <v>1.6916363636363638</v>
      </c>
      <c r="KN35" s="213">
        <v>1.6916363636363638</v>
      </c>
      <c r="KO35" s="213">
        <v>1.6916363636363638</v>
      </c>
      <c r="KP35" s="213">
        <v>1.6916363636363638</v>
      </c>
      <c r="KQ35" s="213">
        <v>1.6916363636363638</v>
      </c>
      <c r="KR35" s="213">
        <v>1.6916363636363638</v>
      </c>
      <c r="KS35" s="213">
        <v>1.6916363636363638</v>
      </c>
      <c r="KT35" s="213">
        <v>1.6916363636363638</v>
      </c>
      <c r="KU35" s="213">
        <v>1.6916363636363638</v>
      </c>
      <c r="KV35" s="213">
        <v>1.6916363636363638</v>
      </c>
      <c r="KW35" s="213">
        <v>1.6916363636363638</v>
      </c>
      <c r="KX35" s="213">
        <v>1.6916363636363638</v>
      </c>
      <c r="KY35" s="214">
        <v>37.215999999999994</v>
      </c>
    </row>
    <row r="36" spans="1:311">
      <c r="A36" s="217">
        <v>46054</v>
      </c>
      <c r="B36" s="195"/>
      <c r="C36" s="196"/>
      <c r="D36" s="196"/>
      <c r="E36" s="196"/>
      <c r="F36" s="196"/>
      <c r="G36" s="196"/>
      <c r="H36" s="206">
        <v>1</v>
      </c>
      <c r="I36" s="198">
        <v>0</v>
      </c>
      <c r="J36" s="198">
        <v>0</v>
      </c>
      <c r="K36" s="199">
        <v>0</v>
      </c>
      <c r="L36" s="195"/>
      <c r="M36" s="196"/>
      <c r="N36" s="196"/>
      <c r="O36" s="196"/>
      <c r="P36" s="196"/>
      <c r="Q36" s="196"/>
      <c r="R36" s="206">
        <v>1</v>
      </c>
      <c r="S36" s="198">
        <v>0</v>
      </c>
      <c r="T36" s="198">
        <v>0</v>
      </c>
      <c r="U36" s="199">
        <v>0</v>
      </c>
      <c r="V36" s="195"/>
      <c r="W36" s="196"/>
      <c r="X36" s="196"/>
      <c r="Y36" s="196"/>
      <c r="Z36" s="196"/>
      <c r="AA36" s="196"/>
      <c r="AB36" s="206">
        <v>1</v>
      </c>
      <c r="AC36" s="198">
        <v>0</v>
      </c>
      <c r="AD36" s="198">
        <v>0</v>
      </c>
      <c r="AE36" s="199">
        <v>0</v>
      </c>
      <c r="AF36" s="195"/>
      <c r="AG36" s="196"/>
      <c r="AH36" s="196"/>
      <c r="AI36" s="196"/>
      <c r="AJ36" s="196"/>
      <c r="AK36" s="196"/>
      <c r="AL36" s="206">
        <v>1</v>
      </c>
      <c r="AM36" s="198">
        <v>0</v>
      </c>
      <c r="AN36" s="198">
        <v>0</v>
      </c>
      <c r="AO36" s="199">
        <v>0</v>
      </c>
      <c r="AP36" s="195"/>
      <c r="AQ36" s="196"/>
      <c r="AR36" s="196"/>
      <c r="AS36" s="196"/>
      <c r="AT36" s="196"/>
      <c r="AU36" s="196"/>
      <c r="AV36" s="206">
        <v>1</v>
      </c>
      <c r="AW36" s="198">
        <v>0</v>
      </c>
      <c r="AX36" s="198">
        <v>0</v>
      </c>
      <c r="AY36" s="199">
        <v>0</v>
      </c>
      <c r="AZ36" s="195"/>
      <c r="BA36" s="196"/>
      <c r="BB36" s="196"/>
      <c r="BC36" s="196"/>
      <c r="BD36" s="196"/>
      <c r="BE36" s="196"/>
      <c r="BF36" s="206">
        <v>1</v>
      </c>
      <c r="BG36" s="198">
        <v>0</v>
      </c>
      <c r="BH36" s="198">
        <v>0</v>
      </c>
      <c r="BI36" s="199">
        <v>0</v>
      </c>
      <c r="BJ36" s="195"/>
      <c r="BK36" s="196"/>
      <c r="BL36" s="196"/>
      <c r="BM36" s="196"/>
      <c r="BN36" s="196"/>
      <c r="BO36" s="196"/>
      <c r="BP36" s="206">
        <v>1</v>
      </c>
      <c r="BQ36" s="198">
        <v>0</v>
      </c>
      <c r="BR36" s="198">
        <v>0</v>
      </c>
      <c r="BS36" s="199">
        <v>0</v>
      </c>
      <c r="BT36" s="195"/>
      <c r="BU36" s="196"/>
      <c r="BV36" s="196"/>
      <c r="BW36" s="196"/>
      <c r="BX36" s="196"/>
      <c r="BY36" s="196"/>
      <c r="BZ36" s="206">
        <v>1</v>
      </c>
      <c r="CA36" s="198">
        <v>0</v>
      </c>
      <c r="CB36" s="198">
        <v>0</v>
      </c>
      <c r="CC36" s="199">
        <v>0</v>
      </c>
      <c r="CD36" s="195"/>
      <c r="CE36" s="196">
        <v>0.69444444444444442</v>
      </c>
      <c r="CF36" s="196"/>
      <c r="CG36" s="196"/>
      <c r="CH36" s="196"/>
      <c r="CI36" s="196"/>
      <c r="CJ36" s="200">
        <v>0.69444444444444442</v>
      </c>
      <c r="CK36" s="198">
        <v>16</v>
      </c>
      <c r="CL36" s="198">
        <v>40</v>
      </c>
      <c r="CM36" s="199">
        <v>0</v>
      </c>
      <c r="CN36" s="195"/>
      <c r="CO36" s="196"/>
      <c r="CP36" s="196"/>
      <c r="CQ36" s="196"/>
      <c r="CR36" s="196"/>
      <c r="CS36" s="196"/>
      <c r="CT36" s="206">
        <v>1</v>
      </c>
      <c r="CU36" s="198">
        <v>0</v>
      </c>
      <c r="CV36" s="198">
        <v>0</v>
      </c>
      <c r="CW36" s="199">
        <v>0</v>
      </c>
      <c r="CX36" s="195"/>
      <c r="CY36" s="196"/>
      <c r="CZ36" s="196"/>
      <c r="DA36" s="196"/>
      <c r="DB36" s="196"/>
      <c r="DC36" s="196"/>
      <c r="DD36" s="200">
        <v>0</v>
      </c>
      <c r="DE36" s="198">
        <v>0</v>
      </c>
      <c r="DF36" s="198">
        <v>0</v>
      </c>
      <c r="DG36" s="199">
        <v>0</v>
      </c>
      <c r="DH36" s="195"/>
      <c r="DI36" s="196"/>
      <c r="DJ36" s="196"/>
      <c r="DK36" s="196"/>
      <c r="DL36" s="196"/>
      <c r="DM36" s="196"/>
      <c r="DN36" s="206">
        <v>1</v>
      </c>
      <c r="DO36" s="198">
        <v>0</v>
      </c>
      <c r="DP36" s="198">
        <v>0</v>
      </c>
      <c r="DQ36" s="199">
        <v>0</v>
      </c>
      <c r="DR36" s="195"/>
      <c r="DS36" s="196"/>
      <c r="DT36" s="196"/>
      <c r="DU36" s="196"/>
      <c r="DV36" s="196"/>
      <c r="DW36" s="196"/>
      <c r="DX36" s="206">
        <v>1</v>
      </c>
      <c r="DY36" s="198">
        <v>0</v>
      </c>
      <c r="DZ36" s="198">
        <v>0</v>
      </c>
      <c r="EA36" s="199">
        <v>0</v>
      </c>
      <c r="EB36" s="195"/>
      <c r="EC36" s="196"/>
      <c r="ED36" s="196"/>
      <c r="EE36" s="196"/>
      <c r="EF36" s="196"/>
      <c r="EG36" s="196"/>
      <c r="EH36" s="206">
        <v>1</v>
      </c>
      <c r="EI36" s="198">
        <v>0</v>
      </c>
      <c r="EJ36" s="198">
        <v>0</v>
      </c>
      <c r="EK36" s="199">
        <v>0</v>
      </c>
      <c r="EL36" s="195"/>
      <c r="EM36" s="196"/>
      <c r="EN36" s="196"/>
      <c r="EO36" s="196"/>
      <c r="EP36" s="196"/>
      <c r="EQ36" s="196"/>
      <c r="ER36" s="206">
        <v>1</v>
      </c>
      <c r="ES36" s="198">
        <v>0</v>
      </c>
      <c r="ET36" s="198">
        <v>0</v>
      </c>
      <c r="EU36" s="199">
        <v>0</v>
      </c>
      <c r="EV36" s="195"/>
      <c r="EW36" s="196"/>
      <c r="EX36" s="196"/>
      <c r="EY36" s="196"/>
      <c r="EZ36" s="196"/>
      <c r="FA36" s="196"/>
      <c r="FB36" s="206">
        <v>1</v>
      </c>
      <c r="FC36" s="198">
        <v>0</v>
      </c>
      <c r="FD36" s="198">
        <v>0</v>
      </c>
      <c r="FE36" s="199">
        <v>0</v>
      </c>
      <c r="FF36" s="195"/>
      <c r="FG36" s="196"/>
      <c r="FH36" s="196"/>
      <c r="FI36" s="196"/>
      <c r="FJ36" s="196"/>
      <c r="FK36" s="196"/>
      <c r="FL36" s="206">
        <v>1</v>
      </c>
      <c r="FM36" s="198">
        <v>0</v>
      </c>
      <c r="FN36" s="198">
        <v>0</v>
      </c>
      <c r="FO36" s="199">
        <v>0</v>
      </c>
      <c r="FP36" s="195"/>
      <c r="FQ36" s="196"/>
      <c r="FR36" s="196"/>
      <c r="FS36" s="196"/>
      <c r="FT36" s="196"/>
      <c r="FU36" s="196"/>
      <c r="FV36" s="206">
        <v>1</v>
      </c>
      <c r="FW36" s="198">
        <v>0</v>
      </c>
      <c r="FX36" s="198">
        <v>0</v>
      </c>
      <c r="FY36" s="199">
        <v>0</v>
      </c>
      <c r="FZ36" s="195"/>
      <c r="GA36" s="196"/>
      <c r="GB36" s="196"/>
      <c r="GC36" s="196"/>
      <c r="GD36" s="196"/>
      <c r="GE36" s="196"/>
      <c r="GF36" s="206">
        <v>1</v>
      </c>
      <c r="GG36" s="198">
        <v>0</v>
      </c>
      <c r="GH36" s="198">
        <v>0</v>
      </c>
      <c r="GI36" s="199">
        <v>0</v>
      </c>
      <c r="GJ36" s="195"/>
      <c r="GK36" s="196"/>
      <c r="GL36" s="196"/>
      <c r="GM36" s="196"/>
      <c r="GN36" s="196"/>
      <c r="GO36" s="196"/>
      <c r="GP36" s="206">
        <v>1</v>
      </c>
      <c r="GQ36" s="198">
        <v>0</v>
      </c>
      <c r="GR36" s="198">
        <v>0</v>
      </c>
      <c r="GS36" s="199">
        <v>0</v>
      </c>
      <c r="GT36" s="195"/>
      <c r="GU36" s="196"/>
      <c r="GV36" s="196"/>
      <c r="GW36" s="196"/>
      <c r="GX36" s="196"/>
      <c r="GY36" s="196"/>
      <c r="GZ36" s="206">
        <v>1</v>
      </c>
      <c r="HA36" s="198">
        <v>0</v>
      </c>
      <c r="HB36" s="198">
        <v>0</v>
      </c>
      <c r="HC36" s="199">
        <v>0</v>
      </c>
      <c r="HD36" s="195"/>
      <c r="HE36" s="196"/>
      <c r="HF36" s="196"/>
      <c r="HG36" s="196"/>
      <c r="HH36" s="196"/>
      <c r="HI36" s="196"/>
      <c r="HJ36" s="200">
        <v>0</v>
      </c>
      <c r="HK36" s="198">
        <v>0</v>
      </c>
      <c r="HL36" s="198">
        <v>0</v>
      </c>
      <c r="HM36" s="199">
        <v>0</v>
      </c>
      <c r="HN36" s="204">
        <v>1</v>
      </c>
      <c r="HO36" s="205">
        <v>0</v>
      </c>
      <c r="HP36" s="204">
        <v>1</v>
      </c>
      <c r="HQ36" s="205">
        <v>0</v>
      </c>
      <c r="HR36" s="204">
        <v>1</v>
      </c>
      <c r="HS36" s="205">
        <v>0</v>
      </c>
      <c r="HT36" s="204">
        <v>1</v>
      </c>
      <c r="HU36" s="205">
        <v>0</v>
      </c>
      <c r="HV36" s="204">
        <v>1</v>
      </c>
      <c r="HW36" s="205">
        <v>0</v>
      </c>
      <c r="HX36" s="204">
        <v>1</v>
      </c>
      <c r="HY36" s="205">
        <v>0</v>
      </c>
      <c r="HZ36" s="204">
        <v>1</v>
      </c>
      <c r="IA36" s="205">
        <v>0</v>
      </c>
      <c r="IB36" s="204">
        <v>1</v>
      </c>
      <c r="IC36" s="205">
        <v>0</v>
      </c>
      <c r="ID36" s="204">
        <v>0.69444444444444442</v>
      </c>
      <c r="IE36" s="205">
        <v>0</v>
      </c>
      <c r="IF36" s="204">
        <v>1</v>
      </c>
      <c r="IG36" s="205">
        <v>0</v>
      </c>
      <c r="IH36" s="204">
        <v>0</v>
      </c>
      <c r="II36" s="205">
        <v>0</v>
      </c>
      <c r="IJ36" s="204">
        <v>1</v>
      </c>
      <c r="IK36" s="205">
        <v>0</v>
      </c>
      <c r="IL36" s="204">
        <v>1</v>
      </c>
      <c r="IM36" s="205">
        <v>0</v>
      </c>
      <c r="IN36" s="204">
        <v>1</v>
      </c>
      <c r="IO36" s="205">
        <v>0</v>
      </c>
      <c r="IP36" s="204">
        <v>1</v>
      </c>
      <c r="IQ36" s="205">
        <v>0</v>
      </c>
      <c r="IR36" s="204">
        <v>1</v>
      </c>
      <c r="IS36" s="205">
        <v>0</v>
      </c>
      <c r="IT36" s="204">
        <v>1</v>
      </c>
      <c r="IU36" s="205">
        <v>0</v>
      </c>
      <c r="IV36" s="204">
        <v>1</v>
      </c>
      <c r="IW36" s="205">
        <v>0</v>
      </c>
      <c r="IX36" s="204">
        <v>1</v>
      </c>
      <c r="IY36" s="205">
        <v>0</v>
      </c>
      <c r="IZ36" s="204">
        <v>1</v>
      </c>
      <c r="JA36" s="205">
        <v>0</v>
      </c>
      <c r="JB36" s="204">
        <v>1</v>
      </c>
      <c r="JC36" s="205">
        <v>0</v>
      </c>
      <c r="JD36" s="204">
        <v>0</v>
      </c>
      <c r="JE36" s="233">
        <v>0</v>
      </c>
      <c r="JF36" s="236">
        <f t="shared" si="0"/>
        <v>24</v>
      </c>
      <c r="JG36" s="235">
        <f t="shared" si="1"/>
        <v>24</v>
      </c>
      <c r="JH36" s="235">
        <f t="shared" si="2"/>
        <v>24</v>
      </c>
      <c r="JI36" s="235">
        <f t="shared" si="3"/>
        <v>24</v>
      </c>
      <c r="JJ36" s="235">
        <f t="shared" si="4"/>
        <v>24</v>
      </c>
      <c r="JK36" s="235">
        <f t="shared" si="5"/>
        <v>24</v>
      </c>
      <c r="JL36" s="235">
        <f t="shared" si="6"/>
        <v>24</v>
      </c>
      <c r="JM36" s="235">
        <f t="shared" si="7"/>
        <v>24</v>
      </c>
      <c r="JN36" s="235">
        <f t="shared" si="8"/>
        <v>16.666666666666664</v>
      </c>
      <c r="JO36" s="235">
        <f t="shared" si="9"/>
        <v>24</v>
      </c>
      <c r="JP36" s="235">
        <f t="shared" si="10"/>
        <v>0</v>
      </c>
      <c r="JQ36" s="235">
        <f t="shared" si="11"/>
        <v>24</v>
      </c>
      <c r="JR36" s="235">
        <f t="shared" si="12"/>
        <v>24</v>
      </c>
      <c r="JS36" s="235">
        <f t="shared" si="13"/>
        <v>24</v>
      </c>
      <c r="JT36" s="235">
        <f t="shared" si="14"/>
        <v>24</v>
      </c>
      <c r="JU36" s="235">
        <f t="shared" si="15"/>
        <v>24</v>
      </c>
      <c r="JV36" s="235">
        <f t="shared" si="16"/>
        <v>24</v>
      </c>
      <c r="JW36" s="235">
        <f t="shared" si="17"/>
        <v>24</v>
      </c>
      <c r="JX36" s="235">
        <f t="shared" si="18"/>
        <v>24</v>
      </c>
      <c r="JY36" s="235">
        <f t="shared" si="19"/>
        <v>24</v>
      </c>
      <c r="JZ36" s="235">
        <f t="shared" si="20"/>
        <v>24</v>
      </c>
      <c r="KA36" s="237">
        <f t="shared" si="21"/>
        <v>0</v>
      </c>
      <c r="KB36" s="248">
        <v>46054</v>
      </c>
      <c r="KC36" s="218">
        <v>2.0150000000000001</v>
      </c>
      <c r="KD36" s="218">
        <v>2.0139999999999998</v>
      </c>
      <c r="KE36" s="218">
        <v>2.0150000000000001</v>
      </c>
      <c r="KF36" s="218">
        <v>2.0150000000000001</v>
      </c>
      <c r="KG36" s="218">
        <v>2.0150000000000001</v>
      </c>
      <c r="KH36" s="218">
        <v>2.0150000000000001</v>
      </c>
      <c r="KI36" s="218">
        <v>2.0139999999999998</v>
      </c>
      <c r="KJ36" s="218">
        <v>2.0139999999999998</v>
      </c>
      <c r="KK36" s="218">
        <v>1.397</v>
      </c>
      <c r="KL36" s="218">
        <v>1.137</v>
      </c>
      <c r="KM36" s="218">
        <v>0</v>
      </c>
      <c r="KN36" s="219">
        <v>2.0169999999999999</v>
      </c>
      <c r="KO36" s="219">
        <v>2.0129999999999999</v>
      </c>
      <c r="KP36" s="219">
        <v>2.0139999999999998</v>
      </c>
      <c r="KQ36" s="219">
        <v>2.0150000000000001</v>
      </c>
      <c r="KR36" s="219">
        <v>1.5109999999999999</v>
      </c>
      <c r="KS36" s="219">
        <v>1.51</v>
      </c>
      <c r="KT36" s="219">
        <v>1.51</v>
      </c>
      <c r="KU36" s="219">
        <v>1.51</v>
      </c>
      <c r="KV36" s="219">
        <v>1.5109999999999999</v>
      </c>
      <c r="KW36" s="219">
        <v>2.2149999999999999</v>
      </c>
      <c r="KX36" s="219">
        <v>0</v>
      </c>
      <c r="KY36" s="203">
        <v>36.477000000000004</v>
      </c>
    </row>
    <row r="37" spans="1:311">
      <c r="A37" s="194">
        <v>46055</v>
      </c>
      <c r="B37" s="195"/>
      <c r="C37" s="196"/>
      <c r="D37" s="196"/>
      <c r="E37" s="196"/>
      <c r="F37" s="196"/>
      <c r="G37" s="196"/>
      <c r="H37" s="206">
        <v>1</v>
      </c>
      <c r="I37" s="198">
        <v>0</v>
      </c>
      <c r="J37" s="198">
        <v>0</v>
      </c>
      <c r="K37" s="199">
        <v>0</v>
      </c>
      <c r="L37" s="195"/>
      <c r="M37" s="196"/>
      <c r="N37" s="196"/>
      <c r="O37" s="196"/>
      <c r="P37" s="196"/>
      <c r="Q37" s="196"/>
      <c r="R37" s="206">
        <v>1</v>
      </c>
      <c r="S37" s="198">
        <v>0</v>
      </c>
      <c r="T37" s="198">
        <v>0</v>
      </c>
      <c r="U37" s="199">
        <v>0</v>
      </c>
      <c r="V37" s="195"/>
      <c r="W37" s="196"/>
      <c r="X37" s="196"/>
      <c r="Y37" s="196"/>
      <c r="Z37" s="196"/>
      <c r="AA37" s="196"/>
      <c r="AB37" s="206">
        <v>1</v>
      </c>
      <c r="AC37" s="198">
        <v>0</v>
      </c>
      <c r="AD37" s="198">
        <v>0</v>
      </c>
      <c r="AE37" s="199">
        <v>0</v>
      </c>
      <c r="AF37" s="195"/>
      <c r="AG37" s="196"/>
      <c r="AH37" s="196"/>
      <c r="AI37" s="196"/>
      <c r="AJ37" s="196"/>
      <c r="AK37" s="196"/>
      <c r="AL37" s="206">
        <v>1</v>
      </c>
      <c r="AM37" s="198">
        <v>0</v>
      </c>
      <c r="AN37" s="198">
        <v>0</v>
      </c>
      <c r="AO37" s="199">
        <v>0</v>
      </c>
      <c r="AP37" s="195"/>
      <c r="AQ37" s="196"/>
      <c r="AR37" s="196"/>
      <c r="AS37" s="196"/>
      <c r="AT37" s="196"/>
      <c r="AU37" s="196"/>
      <c r="AV37" s="206">
        <v>1</v>
      </c>
      <c r="AW37" s="198">
        <v>0</v>
      </c>
      <c r="AX37" s="198">
        <v>0</v>
      </c>
      <c r="AY37" s="199">
        <v>0</v>
      </c>
      <c r="AZ37" s="195"/>
      <c r="BA37" s="196"/>
      <c r="BB37" s="196"/>
      <c r="BC37" s="196"/>
      <c r="BD37" s="196"/>
      <c r="BE37" s="196"/>
      <c r="BF37" s="206">
        <v>1</v>
      </c>
      <c r="BG37" s="198">
        <v>0</v>
      </c>
      <c r="BH37" s="198">
        <v>0</v>
      </c>
      <c r="BI37" s="199">
        <v>0</v>
      </c>
      <c r="BJ37" s="195"/>
      <c r="BK37" s="196"/>
      <c r="BL37" s="196"/>
      <c r="BM37" s="196"/>
      <c r="BN37" s="196"/>
      <c r="BO37" s="196"/>
      <c r="BP37" s="206">
        <v>1</v>
      </c>
      <c r="BQ37" s="198">
        <v>0</v>
      </c>
      <c r="BR37" s="198">
        <v>0</v>
      </c>
      <c r="BS37" s="199">
        <v>0</v>
      </c>
      <c r="BT37" s="195"/>
      <c r="BU37" s="196"/>
      <c r="BV37" s="196"/>
      <c r="BW37" s="196"/>
      <c r="BX37" s="196"/>
      <c r="BY37" s="196"/>
      <c r="BZ37" s="206">
        <v>1</v>
      </c>
      <c r="CA37" s="198">
        <v>0</v>
      </c>
      <c r="CB37" s="198">
        <v>0</v>
      </c>
      <c r="CC37" s="199">
        <v>0</v>
      </c>
      <c r="CD37" s="195"/>
      <c r="CE37" s="196"/>
      <c r="CF37" s="196"/>
      <c r="CG37" s="196"/>
      <c r="CH37" s="196"/>
      <c r="CI37" s="196"/>
      <c r="CJ37" s="200">
        <v>0</v>
      </c>
      <c r="CK37" s="198">
        <v>0</v>
      </c>
      <c r="CL37" s="198">
        <v>0</v>
      </c>
      <c r="CM37" s="199">
        <v>0</v>
      </c>
      <c r="CN37" s="195"/>
      <c r="CO37" s="196"/>
      <c r="CP37" s="196"/>
      <c r="CQ37" s="196"/>
      <c r="CR37" s="196"/>
      <c r="CS37" s="196"/>
      <c r="CT37" s="206">
        <v>1</v>
      </c>
      <c r="CU37" s="198">
        <v>0</v>
      </c>
      <c r="CV37" s="198">
        <v>0</v>
      </c>
      <c r="CW37" s="199">
        <v>0</v>
      </c>
      <c r="CX37" s="195">
        <v>0.79861111111111116</v>
      </c>
      <c r="CY37" s="196"/>
      <c r="CZ37" s="196"/>
      <c r="DA37" s="196"/>
      <c r="DB37" s="196"/>
      <c r="DC37" s="196"/>
      <c r="DD37" s="200">
        <v>0.20138888888888884</v>
      </c>
      <c r="DE37" s="198">
        <v>4</v>
      </c>
      <c r="DF37" s="198">
        <v>50</v>
      </c>
      <c r="DG37" s="199">
        <v>1</v>
      </c>
      <c r="DH37" s="195"/>
      <c r="DI37" s="196"/>
      <c r="DJ37" s="196"/>
      <c r="DK37" s="196"/>
      <c r="DL37" s="196"/>
      <c r="DM37" s="196"/>
      <c r="DN37" s="206">
        <v>1</v>
      </c>
      <c r="DO37" s="198">
        <v>0</v>
      </c>
      <c r="DP37" s="198">
        <v>0</v>
      </c>
      <c r="DQ37" s="199">
        <v>0</v>
      </c>
      <c r="DR37" s="195"/>
      <c r="DS37" s="196"/>
      <c r="DT37" s="196"/>
      <c r="DU37" s="196"/>
      <c r="DV37" s="196"/>
      <c r="DW37" s="196"/>
      <c r="DX37" s="206">
        <v>1</v>
      </c>
      <c r="DY37" s="198">
        <v>0</v>
      </c>
      <c r="DZ37" s="198">
        <v>0</v>
      </c>
      <c r="EA37" s="199">
        <v>0</v>
      </c>
      <c r="EB37" s="195"/>
      <c r="EC37" s="196"/>
      <c r="ED37" s="196"/>
      <c r="EE37" s="196"/>
      <c r="EF37" s="196"/>
      <c r="EG37" s="196"/>
      <c r="EH37" s="206">
        <v>1</v>
      </c>
      <c r="EI37" s="198">
        <v>0</v>
      </c>
      <c r="EJ37" s="198">
        <v>0</v>
      </c>
      <c r="EK37" s="199">
        <v>0</v>
      </c>
      <c r="EL37" s="195"/>
      <c r="EM37" s="196"/>
      <c r="EN37" s="196"/>
      <c r="EO37" s="196"/>
      <c r="EP37" s="196"/>
      <c r="EQ37" s="196"/>
      <c r="ER37" s="206">
        <v>1</v>
      </c>
      <c r="ES37" s="198">
        <v>0</v>
      </c>
      <c r="ET37" s="198">
        <v>0</v>
      </c>
      <c r="EU37" s="199">
        <v>0</v>
      </c>
      <c r="EV37" s="195"/>
      <c r="EW37" s="196"/>
      <c r="EX37" s="196"/>
      <c r="EY37" s="196"/>
      <c r="EZ37" s="196"/>
      <c r="FA37" s="196"/>
      <c r="FB37" s="206">
        <v>1</v>
      </c>
      <c r="FC37" s="198">
        <v>0</v>
      </c>
      <c r="FD37" s="198">
        <v>0</v>
      </c>
      <c r="FE37" s="199">
        <v>0</v>
      </c>
      <c r="FF37" s="195"/>
      <c r="FG37" s="196"/>
      <c r="FH37" s="196"/>
      <c r="FI37" s="196"/>
      <c r="FJ37" s="196"/>
      <c r="FK37" s="196"/>
      <c r="FL37" s="206">
        <v>1</v>
      </c>
      <c r="FM37" s="198">
        <v>0</v>
      </c>
      <c r="FN37" s="198">
        <v>0</v>
      </c>
      <c r="FO37" s="199">
        <v>0</v>
      </c>
      <c r="FP37" s="195"/>
      <c r="FQ37" s="196"/>
      <c r="FR37" s="196"/>
      <c r="FS37" s="196"/>
      <c r="FT37" s="196"/>
      <c r="FU37" s="196"/>
      <c r="FV37" s="206">
        <v>1</v>
      </c>
      <c r="FW37" s="198">
        <v>0</v>
      </c>
      <c r="FX37" s="198">
        <v>0</v>
      </c>
      <c r="FY37" s="199">
        <v>0</v>
      </c>
      <c r="FZ37" s="195"/>
      <c r="GA37" s="196"/>
      <c r="GB37" s="196"/>
      <c r="GC37" s="196"/>
      <c r="GD37" s="196"/>
      <c r="GE37" s="196"/>
      <c r="GF37" s="206">
        <v>1</v>
      </c>
      <c r="GG37" s="198">
        <v>0</v>
      </c>
      <c r="GH37" s="198">
        <v>0</v>
      </c>
      <c r="GI37" s="199">
        <v>0</v>
      </c>
      <c r="GJ37" s="195"/>
      <c r="GK37" s="196"/>
      <c r="GL37" s="196"/>
      <c r="GM37" s="196"/>
      <c r="GN37" s="196"/>
      <c r="GO37" s="196"/>
      <c r="GP37" s="206">
        <v>1</v>
      </c>
      <c r="GQ37" s="198">
        <v>0</v>
      </c>
      <c r="GR37" s="198">
        <v>0</v>
      </c>
      <c r="GS37" s="199">
        <v>0</v>
      </c>
      <c r="GT37" s="195"/>
      <c r="GU37" s="196"/>
      <c r="GV37" s="196"/>
      <c r="GW37" s="196"/>
      <c r="GX37" s="196"/>
      <c r="GY37" s="196"/>
      <c r="GZ37" s="206">
        <v>1</v>
      </c>
      <c r="HA37" s="198">
        <v>0</v>
      </c>
      <c r="HB37" s="198">
        <v>0</v>
      </c>
      <c r="HC37" s="199">
        <v>0</v>
      </c>
      <c r="HD37" s="195">
        <v>0.67361111111111116</v>
      </c>
      <c r="HE37" s="196"/>
      <c r="HF37" s="196"/>
      <c r="HG37" s="196"/>
      <c r="HH37" s="196"/>
      <c r="HI37" s="196"/>
      <c r="HJ37" s="200">
        <v>0.32638888888888884</v>
      </c>
      <c r="HK37" s="198">
        <v>7</v>
      </c>
      <c r="HL37" s="198">
        <v>50</v>
      </c>
      <c r="HM37" s="199">
        <v>1</v>
      </c>
      <c r="HN37" s="204">
        <v>1</v>
      </c>
      <c r="HO37" s="205">
        <v>0</v>
      </c>
      <c r="HP37" s="204">
        <v>1</v>
      </c>
      <c r="HQ37" s="205">
        <v>0</v>
      </c>
      <c r="HR37" s="204">
        <v>1</v>
      </c>
      <c r="HS37" s="205">
        <v>0</v>
      </c>
      <c r="HT37" s="204">
        <v>1</v>
      </c>
      <c r="HU37" s="205">
        <v>0</v>
      </c>
      <c r="HV37" s="204">
        <v>1</v>
      </c>
      <c r="HW37" s="205">
        <v>0</v>
      </c>
      <c r="HX37" s="204">
        <v>1</v>
      </c>
      <c r="HY37" s="205">
        <v>0</v>
      </c>
      <c r="HZ37" s="204">
        <v>1</v>
      </c>
      <c r="IA37" s="205">
        <v>0</v>
      </c>
      <c r="IB37" s="204">
        <v>1</v>
      </c>
      <c r="IC37" s="205">
        <v>0</v>
      </c>
      <c r="ID37" s="204">
        <v>0</v>
      </c>
      <c r="IE37" s="205">
        <v>0</v>
      </c>
      <c r="IF37" s="204">
        <v>1</v>
      </c>
      <c r="IG37" s="205">
        <v>0</v>
      </c>
      <c r="IH37" s="204">
        <v>0.20138888888888884</v>
      </c>
      <c r="II37" s="205">
        <v>1</v>
      </c>
      <c r="IJ37" s="204">
        <v>1</v>
      </c>
      <c r="IK37" s="205">
        <v>0</v>
      </c>
      <c r="IL37" s="204">
        <v>1</v>
      </c>
      <c r="IM37" s="205">
        <v>0</v>
      </c>
      <c r="IN37" s="204">
        <v>1</v>
      </c>
      <c r="IO37" s="205">
        <v>0</v>
      </c>
      <c r="IP37" s="204">
        <v>1</v>
      </c>
      <c r="IQ37" s="205">
        <v>0</v>
      </c>
      <c r="IR37" s="204">
        <v>1</v>
      </c>
      <c r="IS37" s="205">
        <v>0</v>
      </c>
      <c r="IT37" s="204">
        <v>1</v>
      </c>
      <c r="IU37" s="205">
        <v>0</v>
      </c>
      <c r="IV37" s="204">
        <v>1</v>
      </c>
      <c r="IW37" s="205">
        <v>0</v>
      </c>
      <c r="IX37" s="204">
        <v>1</v>
      </c>
      <c r="IY37" s="205">
        <v>0</v>
      </c>
      <c r="IZ37" s="204">
        <v>1</v>
      </c>
      <c r="JA37" s="205">
        <v>0</v>
      </c>
      <c r="JB37" s="204">
        <v>1</v>
      </c>
      <c r="JC37" s="205">
        <v>0</v>
      </c>
      <c r="JD37" s="204">
        <v>0.32638888888888884</v>
      </c>
      <c r="JE37" s="233">
        <v>1</v>
      </c>
      <c r="JF37" s="236">
        <f t="shared" si="0"/>
        <v>24</v>
      </c>
      <c r="JG37" s="235">
        <f t="shared" si="1"/>
        <v>24</v>
      </c>
      <c r="JH37" s="235">
        <f t="shared" si="2"/>
        <v>24</v>
      </c>
      <c r="JI37" s="235">
        <f t="shared" si="3"/>
        <v>24</v>
      </c>
      <c r="JJ37" s="235">
        <f t="shared" si="4"/>
        <v>24</v>
      </c>
      <c r="JK37" s="235">
        <f t="shared" si="5"/>
        <v>24</v>
      </c>
      <c r="JL37" s="235">
        <f t="shared" si="6"/>
        <v>24</v>
      </c>
      <c r="JM37" s="235">
        <f t="shared" si="7"/>
        <v>24</v>
      </c>
      <c r="JN37" s="235">
        <f t="shared" si="8"/>
        <v>0</v>
      </c>
      <c r="JO37" s="235">
        <f t="shared" si="9"/>
        <v>24</v>
      </c>
      <c r="JP37" s="235">
        <f t="shared" si="10"/>
        <v>4.8333333333333321</v>
      </c>
      <c r="JQ37" s="235">
        <f t="shared" si="11"/>
        <v>24</v>
      </c>
      <c r="JR37" s="235">
        <f t="shared" si="12"/>
        <v>24</v>
      </c>
      <c r="JS37" s="235">
        <f t="shared" si="13"/>
        <v>24</v>
      </c>
      <c r="JT37" s="235">
        <f t="shared" si="14"/>
        <v>24</v>
      </c>
      <c r="JU37" s="235">
        <f t="shared" si="15"/>
        <v>24</v>
      </c>
      <c r="JV37" s="235">
        <f t="shared" si="16"/>
        <v>24</v>
      </c>
      <c r="JW37" s="235">
        <f t="shared" si="17"/>
        <v>24</v>
      </c>
      <c r="JX37" s="235">
        <f t="shared" si="18"/>
        <v>24</v>
      </c>
      <c r="JY37" s="235">
        <f t="shared" si="19"/>
        <v>24</v>
      </c>
      <c r="JZ37" s="235">
        <f t="shared" si="20"/>
        <v>24</v>
      </c>
      <c r="KA37" s="237">
        <f t="shared" si="21"/>
        <v>7.8333333333333321</v>
      </c>
      <c r="KB37" s="248">
        <v>46055</v>
      </c>
      <c r="KC37" s="201">
        <v>2.0259999999999998</v>
      </c>
      <c r="KD37" s="201">
        <v>2.0249999999999999</v>
      </c>
      <c r="KE37" s="201">
        <v>2.0259999999999998</v>
      </c>
      <c r="KF37" s="201">
        <v>2.0259999999999998</v>
      </c>
      <c r="KG37" s="201">
        <v>2.0259999999999998</v>
      </c>
      <c r="KH37" s="201">
        <v>2.0270000000000001</v>
      </c>
      <c r="KI37" s="201">
        <v>2.0259999999999998</v>
      </c>
      <c r="KJ37" s="201">
        <v>2.0259999999999998</v>
      </c>
      <c r="KK37" s="201">
        <v>0</v>
      </c>
      <c r="KL37" s="201">
        <v>1.1399999999999999</v>
      </c>
      <c r="KM37" s="201">
        <v>0.36299999999999999</v>
      </c>
      <c r="KN37" s="202">
        <v>2.0299999999999998</v>
      </c>
      <c r="KO37" s="202">
        <v>2.0249999999999999</v>
      </c>
      <c r="KP37" s="202">
        <v>2.024</v>
      </c>
      <c r="KQ37" s="202">
        <v>1.998</v>
      </c>
      <c r="KR37" s="202">
        <v>1.52</v>
      </c>
      <c r="KS37" s="202">
        <v>1.52</v>
      </c>
      <c r="KT37" s="202">
        <v>1.52</v>
      </c>
      <c r="KU37" s="202">
        <v>1.5189999999999999</v>
      </c>
      <c r="KV37" s="202">
        <v>1.52</v>
      </c>
      <c r="KW37" s="202">
        <v>2.2290000000000001</v>
      </c>
      <c r="KX37" s="202">
        <v>0.36599999999999999</v>
      </c>
      <c r="KY37" s="203">
        <v>35.981999999999999</v>
      </c>
    </row>
    <row r="38" spans="1:311">
      <c r="A38" s="194">
        <v>46056</v>
      </c>
      <c r="B38" s="195"/>
      <c r="C38" s="196"/>
      <c r="D38" s="196"/>
      <c r="E38" s="196"/>
      <c r="F38" s="196"/>
      <c r="G38" s="196"/>
      <c r="H38" s="206">
        <v>1</v>
      </c>
      <c r="I38" s="198">
        <v>0</v>
      </c>
      <c r="J38" s="198">
        <v>0</v>
      </c>
      <c r="K38" s="199">
        <v>0</v>
      </c>
      <c r="L38" s="195"/>
      <c r="M38" s="196"/>
      <c r="N38" s="196"/>
      <c r="O38" s="196"/>
      <c r="P38" s="196"/>
      <c r="Q38" s="196"/>
      <c r="R38" s="206">
        <v>1</v>
      </c>
      <c r="S38" s="198">
        <v>0</v>
      </c>
      <c r="T38" s="198">
        <v>0</v>
      </c>
      <c r="U38" s="199">
        <v>0</v>
      </c>
      <c r="V38" s="195"/>
      <c r="W38" s="196"/>
      <c r="X38" s="196"/>
      <c r="Y38" s="196"/>
      <c r="Z38" s="196"/>
      <c r="AA38" s="196"/>
      <c r="AB38" s="206">
        <v>1</v>
      </c>
      <c r="AC38" s="198">
        <v>0</v>
      </c>
      <c r="AD38" s="198">
        <v>0</v>
      </c>
      <c r="AE38" s="199">
        <v>0</v>
      </c>
      <c r="AF38" s="195"/>
      <c r="AG38" s="196"/>
      <c r="AH38" s="196"/>
      <c r="AI38" s="196"/>
      <c r="AJ38" s="196"/>
      <c r="AK38" s="196"/>
      <c r="AL38" s="206">
        <v>1</v>
      </c>
      <c r="AM38" s="198">
        <v>0</v>
      </c>
      <c r="AN38" s="198">
        <v>0</v>
      </c>
      <c r="AO38" s="199">
        <v>0</v>
      </c>
      <c r="AP38" s="195"/>
      <c r="AQ38" s="196"/>
      <c r="AR38" s="196"/>
      <c r="AS38" s="196"/>
      <c r="AT38" s="196"/>
      <c r="AU38" s="196"/>
      <c r="AV38" s="206">
        <v>1</v>
      </c>
      <c r="AW38" s="198">
        <v>0</v>
      </c>
      <c r="AX38" s="198">
        <v>0</v>
      </c>
      <c r="AY38" s="199">
        <v>0</v>
      </c>
      <c r="AZ38" s="195"/>
      <c r="BA38" s="196"/>
      <c r="BB38" s="196"/>
      <c r="BC38" s="196"/>
      <c r="BD38" s="196"/>
      <c r="BE38" s="196"/>
      <c r="BF38" s="206">
        <v>1</v>
      </c>
      <c r="BG38" s="198">
        <v>0</v>
      </c>
      <c r="BH38" s="198">
        <v>0</v>
      </c>
      <c r="BI38" s="199">
        <v>0</v>
      </c>
      <c r="BJ38" s="195"/>
      <c r="BK38" s="196"/>
      <c r="BL38" s="196"/>
      <c r="BM38" s="196"/>
      <c r="BN38" s="196"/>
      <c r="BO38" s="196"/>
      <c r="BP38" s="206">
        <v>1</v>
      </c>
      <c r="BQ38" s="198">
        <v>0</v>
      </c>
      <c r="BR38" s="198">
        <v>0</v>
      </c>
      <c r="BS38" s="199">
        <v>0</v>
      </c>
      <c r="BT38" s="195"/>
      <c r="BU38" s="196"/>
      <c r="BV38" s="196"/>
      <c r="BW38" s="196"/>
      <c r="BX38" s="196"/>
      <c r="BY38" s="196"/>
      <c r="BZ38" s="206">
        <v>1</v>
      </c>
      <c r="CA38" s="198">
        <v>0</v>
      </c>
      <c r="CB38" s="198">
        <v>0</v>
      </c>
      <c r="CC38" s="199">
        <v>0</v>
      </c>
      <c r="CD38" s="195">
        <v>0.77777777777777779</v>
      </c>
      <c r="CE38" s="196"/>
      <c r="CF38" s="196"/>
      <c r="CG38" s="196"/>
      <c r="CH38" s="196"/>
      <c r="CI38" s="196"/>
      <c r="CJ38" s="200">
        <v>0.22222222222222221</v>
      </c>
      <c r="CK38" s="198">
        <v>5</v>
      </c>
      <c r="CL38" s="198">
        <v>20</v>
      </c>
      <c r="CM38" s="199">
        <v>1</v>
      </c>
      <c r="CN38" s="195"/>
      <c r="CO38" s="196"/>
      <c r="CP38" s="196"/>
      <c r="CQ38" s="196"/>
      <c r="CR38" s="196"/>
      <c r="CS38" s="196"/>
      <c r="CT38" s="206">
        <v>1</v>
      </c>
      <c r="CU38" s="198">
        <v>0</v>
      </c>
      <c r="CV38" s="198">
        <v>0</v>
      </c>
      <c r="CW38" s="199">
        <v>0</v>
      </c>
      <c r="CX38" s="195"/>
      <c r="CY38" s="196"/>
      <c r="CZ38" s="196"/>
      <c r="DA38" s="196"/>
      <c r="DB38" s="196"/>
      <c r="DC38" s="196"/>
      <c r="DD38" s="206">
        <v>1</v>
      </c>
      <c r="DE38" s="198">
        <v>0</v>
      </c>
      <c r="DF38" s="198">
        <v>0</v>
      </c>
      <c r="DG38" s="199">
        <v>0</v>
      </c>
      <c r="DH38" s="195"/>
      <c r="DI38" s="196"/>
      <c r="DJ38" s="196"/>
      <c r="DK38" s="196"/>
      <c r="DL38" s="196"/>
      <c r="DM38" s="196"/>
      <c r="DN38" s="206">
        <v>1</v>
      </c>
      <c r="DO38" s="198">
        <v>0</v>
      </c>
      <c r="DP38" s="198">
        <v>0</v>
      </c>
      <c r="DQ38" s="199">
        <v>0</v>
      </c>
      <c r="DR38" s="195"/>
      <c r="DS38" s="196"/>
      <c r="DT38" s="196"/>
      <c r="DU38" s="196"/>
      <c r="DV38" s="196"/>
      <c r="DW38" s="196"/>
      <c r="DX38" s="206">
        <v>1</v>
      </c>
      <c r="DY38" s="198">
        <v>0</v>
      </c>
      <c r="DZ38" s="198">
        <v>0</v>
      </c>
      <c r="EA38" s="199">
        <v>0</v>
      </c>
      <c r="EB38" s="195"/>
      <c r="EC38" s="196"/>
      <c r="ED38" s="196"/>
      <c r="EE38" s="196"/>
      <c r="EF38" s="196"/>
      <c r="EG38" s="196"/>
      <c r="EH38" s="206">
        <v>1</v>
      </c>
      <c r="EI38" s="198">
        <v>0</v>
      </c>
      <c r="EJ38" s="198">
        <v>0</v>
      </c>
      <c r="EK38" s="199">
        <v>0</v>
      </c>
      <c r="EL38" s="195"/>
      <c r="EM38" s="196"/>
      <c r="EN38" s="196"/>
      <c r="EO38" s="196"/>
      <c r="EP38" s="196"/>
      <c r="EQ38" s="196"/>
      <c r="ER38" s="206">
        <v>1</v>
      </c>
      <c r="ES38" s="198">
        <v>0</v>
      </c>
      <c r="ET38" s="198">
        <v>0</v>
      </c>
      <c r="EU38" s="199">
        <v>0</v>
      </c>
      <c r="EV38" s="195"/>
      <c r="EW38" s="196"/>
      <c r="EX38" s="196"/>
      <c r="EY38" s="196"/>
      <c r="EZ38" s="196"/>
      <c r="FA38" s="196"/>
      <c r="FB38" s="206">
        <v>1</v>
      </c>
      <c r="FC38" s="198">
        <v>0</v>
      </c>
      <c r="FD38" s="198">
        <v>0</v>
      </c>
      <c r="FE38" s="199">
        <v>0</v>
      </c>
      <c r="FF38" s="195"/>
      <c r="FG38" s="196"/>
      <c r="FH38" s="196"/>
      <c r="FI38" s="196"/>
      <c r="FJ38" s="196"/>
      <c r="FK38" s="196"/>
      <c r="FL38" s="206">
        <v>1</v>
      </c>
      <c r="FM38" s="198">
        <v>0</v>
      </c>
      <c r="FN38" s="198">
        <v>0</v>
      </c>
      <c r="FO38" s="199">
        <v>0</v>
      </c>
      <c r="FP38" s="195"/>
      <c r="FQ38" s="196"/>
      <c r="FR38" s="196"/>
      <c r="FS38" s="196"/>
      <c r="FT38" s="196"/>
      <c r="FU38" s="196"/>
      <c r="FV38" s="206">
        <v>1</v>
      </c>
      <c r="FW38" s="198">
        <v>0</v>
      </c>
      <c r="FX38" s="198">
        <v>0</v>
      </c>
      <c r="FY38" s="199">
        <v>0</v>
      </c>
      <c r="FZ38" s="195"/>
      <c r="GA38" s="196"/>
      <c r="GB38" s="196"/>
      <c r="GC38" s="196"/>
      <c r="GD38" s="196"/>
      <c r="GE38" s="196"/>
      <c r="GF38" s="206">
        <v>1</v>
      </c>
      <c r="GG38" s="198">
        <v>0</v>
      </c>
      <c r="GH38" s="198">
        <v>0</v>
      </c>
      <c r="GI38" s="199">
        <v>0</v>
      </c>
      <c r="GJ38" s="195"/>
      <c r="GK38" s="196"/>
      <c r="GL38" s="196"/>
      <c r="GM38" s="196"/>
      <c r="GN38" s="196"/>
      <c r="GO38" s="196"/>
      <c r="GP38" s="206">
        <v>1</v>
      </c>
      <c r="GQ38" s="198">
        <v>0</v>
      </c>
      <c r="GR38" s="198">
        <v>0</v>
      </c>
      <c r="GS38" s="199">
        <v>0</v>
      </c>
      <c r="GT38" s="195"/>
      <c r="GU38" s="196"/>
      <c r="GV38" s="196"/>
      <c r="GW38" s="196"/>
      <c r="GX38" s="196"/>
      <c r="GY38" s="196"/>
      <c r="GZ38" s="206">
        <v>1</v>
      </c>
      <c r="HA38" s="198">
        <v>0</v>
      </c>
      <c r="HB38" s="198">
        <v>0</v>
      </c>
      <c r="HC38" s="199">
        <v>0</v>
      </c>
      <c r="HD38" s="195"/>
      <c r="HE38" s="196"/>
      <c r="HF38" s="196"/>
      <c r="HG38" s="196"/>
      <c r="HH38" s="196"/>
      <c r="HI38" s="196"/>
      <c r="HJ38" s="206">
        <v>1</v>
      </c>
      <c r="HK38" s="198">
        <v>0</v>
      </c>
      <c r="HL38" s="198">
        <v>0</v>
      </c>
      <c r="HM38" s="199">
        <v>0</v>
      </c>
      <c r="HN38" s="204">
        <v>1</v>
      </c>
      <c r="HO38" s="205">
        <v>0</v>
      </c>
      <c r="HP38" s="204">
        <v>1</v>
      </c>
      <c r="HQ38" s="205">
        <v>0</v>
      </c>
      <c r="HR38" s="204">
        <v>1</v>
      </c>
      <c r="HS38" s="205">
        <v>0</v>
      </c>
      <c r="HT38" s="204">
        <v>1</v>
      </c>
      <c r="HU38" s="205">
        <v>0</v>
      </c>
      <c r="HV38" s="204">
        <v>1</v>
      </c>
      <c r="HW38" s="205">
        <v>0</v>
      </c>
      <c r="HX38" s="204">
        <v>1</v>
      </c>
      <c r="HY38" s="205">
        <v>0</v>
      </c>
      <c r="HZ38" s="204">
        <v>1</v>
      </c>
      <c r="IA38" s="205">
        <v>0</v>
      </c>
      <c r="IB38" s="204">
        <v>1</v>
      </c>
      <c r="IC38" s="205">
        <v>0</v>
      </c>
      <c r="ID38" s="204">
        <v>0.22222222222222221</v>
      </c>
      <c r="IE38" s="205">
        <v>1</v>
      </c>
      <c r="IF38" s="204">
        <v>1</v>
      </c>
      <c r="IG38" s="205">
        <v>0</v>
      </c>
      <c r="IH38" s="204">
        <v>1</v>
      </c>
      <c r="II38" s="205">
        <v>0</v>
      </c>
      <c r="IJ38" s="204">
        <v>1</v>
      </c>
      <c r="IK38" s="205">
        <v>0</v>
      </c>
      <c r="IL38" s="204">
        <v>1</v>
      </c>
      <c r="IM38" s="205">
        <v>0</v>
      </c>
      <c r="IN38" s="204">
        <v>1</v>
      </c>
      <c r="IO38" s="205">
        <v>0</v>
      </c>
      <c r="IP38" s="204">
        <v>1</v>
      </c>
      <c r="IQ38" s="205">
        <v>0</v>
      </c>
      <c r="IR38" s="204">
        <v>1</v>
      </c>
      <c r="IS38" s="205">
        <v>0</v>
      </c>
      <c r="IT38" s="204">
        <v>1</v>
      </c>
      <c r="IU38" s="205">
        <v>0</v>
      </c>
      <c r="IV38" s="204">
        <v>1</v>
      </c>
      <c r="IW38" s="205">
        <v>0</v>
      </c>
      <c r="IX38" s="204">
        <v>1</v>
      </c>
      <c r="IY38" s="205">
        <v>0</v>
      </c>
      <c r="IZ38" s="204">
        <v>1</v>
      </c>
      <c r="JA38" s="205">
        <v>0</v>
      </c>
      <c r="JB38" s="204">
        <v>1</v>
      </c>
      <c r="JC38" s="205">
        <v>0</v>
      </c>
      <c r="JD38" s="204">
        <v>1</v>
      </c>
      <c r="JE38" s="233">
        <v>0</v>
      </c>
      <c r="JF38" s="236">
        <f t="shared" si="0"/>
        <v>24</v>
      </c>
      <c r="JG38" s="235">
        <f t="shared" si="1"/>
        <v>24</v>
      </c>
      <c r="JH38" s="235">
        <f t="shared" si="2"/>
        <v>24</v>
      </c>
      <c r="JI38" s="235">
        <f t="shared" si="3"/>
        <v>24</v>
      </c>
      <c r="JJ38" s="235">
        <f t="shared" si="4"/>
        <v>24</v>
      </c>
      <c r="JK38" s="235">
        <f t="shared" si="5"/>
        <v>24</v>
      </c>
      <c r="JL38" s="235">
        <f t="shared" si="6"/>
        <v>24</v>
      </c>
      <c r="JM38" s="235">
        <f t="shared" si="7"/>
        <v>24</v>
      </c>
      <c r="JN38" s="235">
        <f t="shared" si="8"/>
        <v>5.333333333333333</v>
      </c>
      <c r="JO38" s="235">
        <f t="shared" si="9"/>
        <v>24</v>
      </c>
      <c r="JP38" s="235">
        <f t="shared" si="10"/>
        <v>24</v>
      </c>
      <c r="JQ38" s="235">
        <f t="shared" si="11"/>
        <v>24</v>
      </c>
      <c r="JR38" s="235">
        <f t="shared" si="12"/>
        <v>24</v>
      </c>
      <c r="JS38" s="235">
        <f t="shared" si="13"/>
        <v>24</v>
      </c>
      <c r="JT38" s="235">
        <f t="shared" si="14"/>
        <v>24</v>
      </c>
      <c r="JU38" s="235">
        <f t="shared" si="15"/>
        <v>24</v>
      </c>
      <c r="JV38" s="235">
        <f t="shared" si="16"/>
        <v>24</v>
      </c>
      <c r="JW38" s="235">
        <f t="shared" si="17"/>
        <v>24</v>
      </c>
      <c r="JX38" s="235">
        <f t="shared" si="18"/>
        <v>24</v>
      </c>
      <c r="JY38" s="235">
        <f t="shared" si="19"/>
        <v>24</v>
      </c>
      <c r="JZ38" s="235">
        <f t="shared" si="20"/>
        <v>24</v>
      </c>
      <c r="KA38" s="237">
        <f t="shared" si="21"/>
        <v>24</v>
      </c>
      <c r="KB38" s="248">
        <v>46056</v>
      </c>
      <c r="KC38" s="201">
        <v>2.1429999999999998</v>
      </c>
      <c r="KD38" s="201">
        <v>2.0470000000000002</v>
      </c>
      <c r="KE38" s="201">
        <v>2.048</v>
      </c>
      <c r="KF38" s="201">
        <v>2.048</v>
      </c>
      <c r="KG38" s="201">
        <v>2.0489999999999999</v>
      </c>
      <c r="KH38" s="201">
        <v>2.0459999999999998</v>
      </c>
      <c r="KI38" s="201">
        <v>2.0470000000000002</v>
      </c>
      <c r="KJ38" s="201">
        <v>2.0449999999999999</v>
      </c>
      <c r="KK38" s="201">
        <v>0.432</v>
      </c>
      <c r="KL38" s="201">
        <v>1.589</v>
      </c>
      <c r="KM38" s="201">
        <v>2.0649999999999999</v>
      </c>
      <c r="KN38" s="202">
        <v>2.145</v>
      </c>
      <c r="KO38" s="202">
        <v>2.137</v>
      </c>
      <c r="KP38" s="202">
        <v>2.0470000000000002</v>
      </c>
      <c r="KQ38" s="202">
        <v>1.9219999999999999</v>
      </c>
      <c r="KR38" s="202">
        <v>2.0329999999999999</v>
      </c>
      <c r="KS38" s="202">
        <v>2.0310000000000001</v>
      </c>
      <c r="KT38" s="202">
        <v>1.7010000000000001</v>
      </c>
      <c r="KU38" s="202">
        <v>1.7</v>
      </c>
      <c r="KV38" s="202">
        <v>2.032</v>
      </c>
      <c r="KW38" s="202">
        <v>2.181</v>
      </c>
      <c r="KX38" s="202">
        <v>1.9530000000000001</v>
      </c>
      <c r="KY38" s="203">
        <v>42.441000000000003</v>
      </c>
    </row>
    <row r="39" spans="1:311">
      <c r="A39" s="194">
        <v>46057</v>
      </c>
      <c r="B39" s="195"/>
      <c r="C39" s="196"/>
      <c r="D39" s="196"/>
      <c r="E39" s="196"/>
      <c r="F39" s="196"/>
      <c r="G39" s="196"/>
      <c r="H39" s="206">
        <v>1</v>
      </c>
      <c r="I39" s="198">
        <v>0</v>
      </c>
      <c r="J39" s="198">
        <v>0</v>
      </c>
      <c r="K39" s="199">
        <v>0</v>
      </c>
      <c r="L39" s="195"/>
      <c r="M39" s="196"/>
      <c r="N39" s="196"/>
      <c r="O39" s="196"/>
      <c r="P39" s="196"/>
      <c r="Q39" s="196"/>
      <c r="R39" s="206">
        <v>1</v>
      </c>
      <c r="S39" s="198">
        <v>0</v>
      </c>
      <c r="T39" s="198">
        <v>0</v>
      </c>
      <c r="U39" s="199">
        <v>0</v>
      </c>
      <c r="V39" s="195"/>
      <c r="W39" s="196"/>
      <c r="X39" s="196"/>
      <c r="Y39" s="196"/>
      <c r="Z39" s="196"/>
      <c r="AA39" s="196"/>
      <c r="AB39" s="206">
        <v>1</v>
      </c>
      <c r="AC39" s="198">
        <v>0</v>
      </c>
      <c r="AD39" s="198">
        <v>0</v>
      </c>
      <c r="AE39" s="199">
        <v>0</v>
      </c>
      <c r="AF39" s="195"/>
      <c r="AG39" s="196"/>
      <c r="AH39" s="196"/>
      <c r="AI39" s="196"/>
      <c r="AJ39" s="196"/>
      <c r="AK39" s="196"/>
      <c r="AL39" s="206">
        <v>1</v>
      </c>
      <c r="AM39" s="198">
        <v>0</v>
      </c>
      <c r="AN39" s="198">
        <v>0</v>
      </c>
      <c r="AO39" s="199">
        <v>0</v>
      </c>
      <c r="AP39" s="195"/>
      <c r="AQ39" s="196"/>
      <c r="AR39" s="196"/>
      <c r="AS39" s="196"/>
      <c r="AT39" s="196"/>
      <c r="AU39" s="196"/>
      <c r="AV39" s="206">
        <v>1</v>
      </c>
      <c r="AW39" s="198">
        <v>0</v>
      </c>
      <c r="AX39" s="198">
        <v>0</v>
      </c>
      <c r="AY39" s="199">
        <v>0</v>
      </c>
      <c r="AZ39" s="195"/>
      <c r="BA39" s="196"/>
      <c r="BB39" s="196"/>
      <c r="BC39" s="196"/>
      <c r="BD39" s="196"/>
      <c r="BE39" s="196"/>
      <c r="BF39" s="206">
        <v>1</v>
      </c>
      <c r="BG39" s="198">
        <v>0</v>
      </c>
      <c r="BH39" s="198">
        <v>0</v>
      </c>
      <c r="BI39" s="199">
        <v>0</v>
      </c>
      <c r="BJ39" s="195"/>
      <c r="BK39" s="196"/>
      <c r="BL39" s="196"/>
      <c r="BM39" s="196"/>
      <c r="BN39" s="196"/>
      <c r="BO39" s="196"/>
      <c r="BP39" s="206">
        <v>1</v>
      </c>
      <c r="BQ39" s="198">
        <v>0</v>
      </c>
      <c r="BR39" s="198">
        <v>0</v>
      </c>
      <c r="BS39" s="199">
        <v>0</v>
      </c>
      <c r="BT39" s="195"/>
      <c r="BU39" s="196"/>
      <c r="BV39" s="196"/>
      <c r="BW39" s="196"/>
      <c r="BX39" s="196"/>
      <c r="BY39" s="196"/>
      <c r="BZ39" s="206">
        <v>1</v>
      </c>
      <c r="CA39" s="198">
        <v>0</v>
      </c>
      <c r="CB39" s="198">
        <v>0</v>
      </c>
      <c r="CC39" s="199">
        <v>0</v>
      </c>
      <c r="CD39" s="195"/>
      <c r="CE39" s="196"/>
      <c r="CF39" s="196"/>
      <c r="CG39" s="196"/>
      <c r="CH39" s="196"/>
      <c r="CI39" s="196"/>
      <c r="CJ39" s="206">
        <v>1</v>
      </c>
      <c r="CK39" s="198">
        <v>0</v>
      </c>
      <c r="CL39" s="198">
        <v>0</v>
      </c>
      <c r="CM39" s="199">
        <v>0</v>
      </c>
      <c r="CN39" s="195"/>
      <c r="CO39" s="196"/>
      <c r="CP39" s="196"/>
      <c r="CQ39" s="196"/>
      <c r="CR39" s="196"/>
      <c r="CS39" s="196"/>
      <c r="CT39" s="206">
        <v>1</v>
      </c>
      <c r="CU39" s="198">
        <v>0</v>
      </c>
      <c r="CV39" s="198">
        <v>0</v>
      </c>
      <c r="CW39" s="199">
        <v>0</v>
      </c>
      <c r="CX39" s="195"/>
      <c r="CY39" s="196"/>
      <c r="CZ39" s="196"/>
      <c r="DA39" s="196"/>
      <c r="DB39" s="196"/>
      <c r="DC39" s="196"/>
      <c r="DD39" s="206">
        <v>1</v>
      </c>
      <c r="DE39" s="198">
        <v>0</v>
      </c>
      <c r="DF39" s="198">
        <v>0</v>
      </c>
      <c r="DG39" s="199">
        <v>0</v>
      </c>
      <c r="DH39" s="195"/>
      <c r="DI39" s="196"/>
      <c r="DJ39" s="196"/>
      <c r="DK39" s="196"/>
      <c r="DL39" s="196"/>
      <c r="DM39" s="196"/>
      <c r="DN39" s="206">
        <v>1</v>
      </c>
      <c r="DO39" s="198">
        <v>0</v>
      </c>
      <c r="DP39" s="198">
        <v>0</v>
      </c>
      <c r="DQ39" s="199">
        <v>0</v>
      </c>
      <c r="DR39" s="195"/>
      <c r="DS39" s="196"/>
      <c r="DT39" s="196"/>
      <c r="DU39" s="196"/>
      <c r="DV39" s="196"/>
      <c r="DW39" s="196"/>
      <c r="DX39" s="206">
        <v>1</v>
      </c>
      <c r="DY39" s="198">
        <v>0</v>
      </c>
      <c r="DZ39" s="198">
        <v>0</v>
      </c>
      <c r="EA39" s="199">
        <v>0</v>
      </c>
      <c r="EB39" s="195"/>
      <c r="EC39" s="196"/>
      <c r="ED39" s="196"/>
      <c r="EE39" s="196"/>
      <c r="EF39" s="196"/>
      <c r="EG39" s="196"/>
      <c r="EH39" s="206">
        <v>1</v>
      </c>
      <c r="EI39" s="198">
        <v>0</v>
      </c>
      <c r="EJ39" s="198">
        <v>0</v>
      </c>
      <c r="EK39" s="199">
        <v>0</v>
      </c>
      <c r="EL39" s="195"/>
      <c r="EM39" s="196">
        <v>0.39583333333333331</v>
      </c>
      <c r="EN39" s="196">
        <v>0.79166666666666663</v>
      </c>
      <c r="EO39" s="196"/>
      <c r="EP39" s="196"/>
      <c r="EQ39" s="196"/>
      <c r="ER39" s="200">
        <v>0.60416666666666674</v>
      </c>
      <c r="ES39" s="198">
        <v>14</v>
      </c>
      <c r="ET39" s="198">
        <v>30</v>
      </c>
      <c r="EU39" s="199">
        <v>1</v>
      </c>
      <c r="EV39" s="195"/>
      <c r="EW39" s="196"/>
      <c r="EX39" s="196"/>
      <c r="EY39" s="196"/>
      <c r="EZ39" s="196"/>
      <c r="FA39" s="196"/>
      <c r="FB39" s="206">
        <v>1</v>
      </c>
      <c r="FC39" s="198">
        <v>0</v>
      </c>
      <c r="FD39" s="198">
        <v>0</v>
      </c>
      <c r="FE39" s="199">
        <v>0</v>
      </c>
      <c r="FF39" s="195"/>
      <c r="FG39" s="196"/>
      <c r="FH39" s="196"/>
      <c r="FI39" s="196"/>
      <c r="FJ39" s="196"/>
      <c r="FK39" s="196"/>
      <c r="FL39" s="206">
        <v>1</v>
      </c>
      <c r="FM39" s="198">
        <v>0</v>
      </c>
      <c r="FN39" s="198">
        <v>0</v>
      </c>
      <c r="FO39" s="199">
        <v>0</v>
      </c>
      <c r="FP39" s="195"/>
      <c r="FQ39" s="196"/>
      <c r="FR39" s="196"/>
      <c r="FS39" s="196"/>
      <c r="FT39" s="196"/>
      <c r="FU39" s="196"/>
      <c r="FV39" s="206">
        <v>1</v>
      </c>
      <c r="FW39" s="198">
        <v>0</v>
      </c>
      <c r="FX39" s="198">
        <v>0</v>
      </c>
      <c r="FY39" s="199">
        <v>0</v>
      </c>
      <c r="FZ39" s="195"/>
      <c r="GA39" s="196"/>
      <c r="GB39" s="196"/>
      <c r="GC39" s="196"/>
      <c r="GD39" s="196"/>
      <c r="GE39" s="196"/>
      <c r="GF39" s="206">
        <v>1</v>
      </c>
      <c r="GG39" s="198">
        <v>0</v>
      </c>
      <c r="GH39" s="198">
        <v>0</v>
      </c>
      <c r="GI39" s="199">
        <v>0</v>
      </c>
      <c r="GJ39" s="195"/>
      <c r="GK39" s="196"/>
      <c r="GL39" s="196"/>
      <c r="GM39" s="196"/>
      <c r="GN39" s="196"/>
      <c r="GO39" s="196"/>
      <c r="GP39" s="206">
        <v>1</v>
      </c>
      <c r="GQ39" s="198">
        <v>0</v>
      </c>
      <c r="GR39" s="198">
        <v>0</v>
      </c>
      <c r="GS39" s="199">
        <v>0</v>
      </c>
      <c r="GT39" s="195"/>
      <c r="GU39" s="196"/>
      <c r="GV39" s="196"/>
      <c r="GW39" s="196"/>
      <c r="GX39" s="196"/>
      <c r="GY39" s="196"/>
      <c r="GZ39" s="206">
        <v>1</v>
      </c>
      <c r="HA39" s="198">
        <v>0</v>
      </c>
      <c r="HB39" s="198">
        <v>0</v>
      </c>
      <c r="HC39" s="199">
        <v>0</v>
      </c>
      <c r="HD39" s="195"/>
      <c r="HE39" s="196"/>
      <c r="HF39" s="196"/>
      <c r="HG39" s="196"/>
      <c r="HH39" s="196"/>
      <c r="HI39" s="196"/>
      <c r="HJ39" s="206">
        <v>1</v>
      </c>
      <c r="HK39" s="198">
        <v>0</v>
      </c>
      <c r="HL39" s="198">
        <v>0</v>
      </c>
      <c r="HM39" s="199">
        <v>0</v>
      </c>
      <c r="HN39" s="204">
        <v>1</v>
      </c>
      <c r="HO39" s="205">
        <v>0</v>
      </c>
      <c r="HP39" s="204">
        <v>1</v>
      </c>
      <c r="HQ39" s="205">
        <v>0</v>
      </c>
      <c r="HR39" s="204">
        <v>1</v>
      </c>
      <c r="HS39" s="205">
        <v>0</v>
      </c>
      <c r="HT39" s="204">
        <v>1</v>
      </c>
      <c r="HU39" s="205">
        <v>0</v>
      </c>
      <c r="HV39" s="204">
        <v>1</v>
      </c>
      <c r="HW39" s="205">
        <v>0</v>
      </c>
      <c r="HX39" s="204">
        <v>1</v>
      </c>
      <c r="HY39" s="205">
        <v>0</v>
      </c>
      <c r="HZ39" s="204">
        <v>1</v>
      </c>
      <c r="IA39" s="205">
        <v>0</v>
      </c>
      <c r="IB39" s="204">
        <v>1</v>
      </c>
      <c r="IC39" s="205">
        <v>0</v>
      </c>
      <c r="ID39" s="204">
        <v>1</v>
      </c>
      <c r="IE39" s="205">
        <v>0</v>
      </c>
      <c r="IF39" s="204">
        <v>1</v>
      </c>
      <c r="IG39" s="205">
        <v>0</v>
      </c>
      <c r="IH39" s="204">
        <v>1</v>
      </c>
      <c r="II39" s="205">
        <v>0</v>
      </c>
      <c r="IJ39" s="204">
        <v>1</v>
      </c>
      <c r="IK39" s="205">
        <v>0</v>
      </c>
      <c r="IL39" s="204">
        <v>1</v>
      </c>
      <c r="IM39" s="205">
        <v>0</v>
      </c>
      <c r="IN39" s="204">
        <v>1</v>
      </c>
      <c r="IO39" s="205">
        <v>0</v>
      </c>
      <c r="IP39" s="204">
        <v>0.60416666666666674</v>
      </c>
      <c r="IQ39" s="205">
        <v>1</v>
      </c>
      <c r="IR39" s="204">
        <v>1</v>
      </c>
      <c r="IS39" s="205">
        <v>0</v>
      </c>
      <c r="IT39" s="204">
        <v>1</v>
      </c>
      <c r="IU39" s="205">
        <v>0</v>
      </c>
      <c r="IV39" s="204">
        <v>1</v>
      </c>
      <c r="IW39" s="205">
        <v>0</v>
      </c>
      <c r="IX39" s="204">
        <v>1</v>
      </c>
      <c r="IY39" s="205">
        <v>0</v>
      </c>
      <c r="IZ39" s="204">
        <v>1</v>
      </c>
      <c r="JA39" s="205">
        <v>0</v>
      </c>
      <c r="JB39" s="204">
        <v>1</v>
      </c>
      <c r="JC39" s="205">
        <v>0</v>
      </c>
      <c r="JD39" s="204">
        <v>1</v>
      </c>
      <c r="JE39" s="233">
        <v>0</v>
      </c>
      <c r="JF39" s="236">
        <f t="shared" si="0"/>
        <v>24</v>
      </c>
      <c r="JG39" s="235">
        <f t="shared" si="1"/>
        <v>24</v>
      </c>
      <c r="JH39" s="235">
        <f t="shared" si="2"/>
        <v>24</v>
      </c>
      <c r="JI39" s="235">
        <f t="shared" si="3"/>
        <v>24</v>
      </c>
      <c r="JJ39" s="235">
        <f t="shared" si="4"/>
        <v>24</v>
      </c>
      <c r="JK39" s="235">
        <f t="shared" si="5"/>
        <v>24</v>
      </c>
      <c r="JL39" s="235">
        <f t="shared" si="6"/>
        <v>24</v>
      </c>
      <c r="JM39" s="235">
        <f t="shared" si="7"/>
        <v>24</v>
      </c>
      <c r="JN39" s="235">
        <f t="shared" si="8"/>
        <v>24</v>
      </c>
      <c r="JO39" s="235">
        <f t="shared" si="9"/>
        <v>24</v>
      </c>
      <c r="JP39" s="235">
        <f t="shared" si="10"/>
        <v>24</v>
      </c>
      <c r="JQ39" s="235">
        <f t="shared" si="11"/>
        <v>24</v>
      </c>
      <c r="JR39" s="235">
        <f t="shared" si="12"/>
        <v>24</v>
      </c>
      <c r="JS39" s="235">
        <f t="shared" si="13"/>
        <v>24</v>
      </c>
      <c r="JT39" s="235">
        <f t="shared" si="14"/>
        <v>14.500000000000002</v>
      </c>
      <c r="JU39" s="235">
        <f t="shared" si="15"/>
        <v>24</v>
      </c>
      <c r="JV39" s="235">
        <f t="shared" si="16"/>
        <v>24</v>
      </c>
      <c r="JW39" s="235">
        <f t="shared" si="17"/>
        <v>24</v>
      </c>
      <c r="JX39" s="235">
        <f t="shared" si="18"/>
        <v>24</v>
      </c>
      <c r="JY39" s="235">
        <f t="shared" si="19"/>
        <v>24</v>
      </c>
      <c r="JZ39" s="235">
        <f t="shared" si="20"/>
        <v>24</v>
      </c>
      <c r="KA39" s="237">
        <f t="shared" si="21"/>
        <v>24</v>
      </c>
      <c r="KB39" s="248">
        <v>46057</v>
      </c>
      <c r="KC39" s="201">
        <v>2</v>
      </c>
      <c r="KD39" s="201">
        <v>1.9990000000000001</v>
      </c>
      <c r="KE39" s="201">
        <v>2</v>
      </c>
      <c r="KF39" s="201">
        <v>2</v>
      </c>
      <c r="KG39" s="201">
        <v>2.0009999999999999</v>
      </c>
      <c r="KH39" s="201">
        <v>2</v>
      </c>
      <c r="KI39" s="201">
        <v>1.9970000000000001</v>
      </c>
      <c r="KJ39" s="201">
        <v>1.9990000000000001</v>
      </c>
      <c r="KK39" s="201">
        <v>2.0489999999999999</v>
      </c>
      <c r="KL39" s="201">
        <v>2</v>
      </c>
      <c r="KM39" s="201">
        <v>2.0390000000000001</v>
      </c>
      <c r="KN39" s="202">
        <v>2.0019999999999998</v>
      </c>
      <c r="KO39" s="202">
        <v>1.998</v>
      </c>
      <c r="KP39" s="202">
        <v>2</v>
      </c>
      <c r="KQ39" s="202">
        <v>1.1160000000000001</v>
      </c>
      <c r="KR39" s="202">
        <v>2.0390000000000001</v>
      </c>
      <c r="KS39" s="202">
        <v>2.0390000000000001</v>
      </c>
      <c r="KT39" s="202">
        <v>2.0379999999999998</v>
      </c>
      <c r="KU39" s="202">
        <v>2.0379999999999998</v>
      </c>
      <c r="KV39" s="202">
        <v>2.0390000000000001</v>
      </c>
      <c r="KW39" s="202">
        <v>2.0379999999999998</v>
      </c>
      <c r="KX39" s="202">
        <v>2.0390000000000001</v>
      </c>
      <c r="KY39" s="203">
        <v>43.47</v>
      </c>
    </row>
    <row r="40" spans="1:311">
      <c r="A40" s="194">
        <v>46058</v>
      </c>
      <c r="B40" s="195"/>
      <c r="C40" s="196"/>
      <c r="D40" s="196"/>
      <c r="E40" s="196"/>
      <c r="F40" s="196"/>
      <c r="G40" s="196"/>
      <c r="H40" s="206">
        <v>1</v>
      </c>
      <c r="I40" s="198">
        <v>0</v>
      </c>
      <c r="J40" s="198">
        <v>0</v>
      </c>
      <c r="K40" s="199">
        <v>0</v>
      </c>
      <c r="L40" s="195"/>
      <c r="M40" s="196">
        <v>0.5</v>
      </c>
      <c r="N40" s="196">
        <v>0.85416666666666663</v>
      </c>
      <c r="O40" s="196"/>
      <c r="P40" s="196"/>
      <c r="Q40" s="196"/>
      <c r="R40" s="200">
        <v>0.64583333333333337</v>
      </c>
      <c r="S40" s="198">
        <v>15</v>
      </c>
      <c r="T40" s="198">
        <v>30</v>
      </c>
      <c r="U40" s="199">
        <v>1</v>
      </c>
      <c r="V40" s="195"/>
      <c r="W40" s="196"/>
      <c r="X40" s="196"/>
      <c r="Y40" s="196"/>
      <c r="Z40" s="196"/>
      <c r="AA40" s="196"/>
      <c r="AB40" s="206">
        <v>1</v>
      </c>
      <c r="AC40" s="198">
        <v>0</v>
      </c>
      <c r="AD40" s="198">
        <v>0</v>
      </c>
      <c r="AE40" s="199">
        <v>0</v>
      </c>
      <c r="AF40" s="195"/>
      <c r="AG40" s="196"/>
      <c r="AH40" s="196"/>
      <c r="AI40" s="196"/>
      <c r="AJ40" s="196"/>
      <c r="AK40" s="196"/>
      <c r="AL40" s="206">
        <v>1</v>
      </c>
      <c r="AM40" s="198">
        <v>0</v>
      </c>
      <c r="AN40" s="198">
        <v>0</v>
      </c>
      <c r="AO40" s="199">
        <v>0</v>
      </c>
      <c r="AP40" s="195"/>
      <c r="AQ40" s="196"/>
      <c r="AR40" s="196"/>
      <c r="AS40" s="196"/>
      <c r="AT40" s="196"/>
      <c r="AU40" s="196"/>
      <c r="AV40" s="206">
        <v>1</v>
      </c>
      <c r="AW40" s="198">
        <v>0</v>
      </c>
      <c r="AX40" s="198">
        <v>0</v>
      </c>
      <c r="AY40" s="199">
        <v>0</v>
      </c>
      <c r="AZ40" s="195"/>
      <c r="BA40" s="196"/>
      <c r="BB40" s="196"/>
      <c r="BC40" s="196"/>
      <c r="BD40" s="196"/>
      <c r="BE40" s="196"/>
      <c r="BF40" s="206">
        <v>1</v>
      </c>
      <c r="BG40" s="198">
        <v>0</v>
      </c>
      <c r="BH40" s="198">
        <v>0</v>
      </c>
      <c r="BI40" s="199">
        <v>0</v>
      </c>
      <c r="BJ40" s="195"/>
      <c r="BK40" s="196"/>
      <c r="BL40" s="196"/>
      <c r="BM40" s="196"/>
      <c r="BN40" s="196"/>
      <c r="BO40" s="196"/>
      <c r="BP40" s="206">
        <v>1</v>
      </c>
      <c r="BQ40" s="198">
        <v>0</v>
      </c>
      <c r="BR40" s="198">
        <v>0</v>
      </c>
      <c r="BS40" s="199">
        <v>0</v>
      </c>
      <c r="BT40" s="195"/>
      <c r="BU40" s="196"/>
      <c r="BV40" s="196"/>
      <c r="BW40" s="196"/>
      <c r="BX40" s="196"/>
      <c r="BY40" s="196"/>
      <c r="BZ40" s="206">
        <v>1</v>
      </c>
      <c r="CA40" s="198">
        <v>0</v>
      </c>
      <c r="CB40" s="198">
        <v>0</v>
      </c>
      <c r="CC40" s="199">
        <v>0</v>
      </c>
      <c r="CD40" s="195"/>
      <c r="CE40" s="196"/>
      <c r="CF40" s="196"/>
      <c r="CG40" s="196"/>
      <c r="CH40" s="196"/>
      <c r="CI40" s="196"/>
      <c r="CJ40" s="206">
        <v>1</v>
      </c>
      <c r="CK40" s="198">
        <v>0</v>
      </c>
      <c r="CL40" s="198">
        <v>0</v>
      </c>
      <c r="CM40" s="199">
        <v>0</v>
      </c>
      <c r="CN40" s="195"/>
      <c r="CO40" s="196"/>
      <c r="CP40" s="196"/>
      <c r="CQ40" s="196"/>
      <c r="CR40" s="196"/>
      <c r="CS40" s="196"/>
      <c r="CT40" s="206">
        <v>1</v>
      </c>
      <c r="CU40" s="198">
        <v>0</v>
      </c>
      <c r="CV40" s="198">
        <v>0</v>
      </c>
      <c r="CW40" s="199">
        <v>0</v>
      </c>
      <c r="CX40" s="195"/>
      <c r="CY40" s="196"/>
      <c r="CZ40" s="196"/>
      <c r="DA40" s="196"/>
      <c r="DB40" s="196"/>
      <c r="DC40" s="196"/>
      <c r="DD40" s="206">
        <v>1</v>
      </c>
      <c r="DE40" s="198">
        <v>0</v>
      </c>
      <c r="DF40" s="198">
        <v>0</v>
      </c>
      <c r="DG40" s="199">
        <v>0</v>
      </c>
      <c r="DH40" s="195"/>
      <c r="DI40" s="196"/>
      <c r="DJ40" s="196"/>
      <c r="DK40" s="196"/>
      <c r="DL40" s="196"/>
      <c r="DM40" s="196"/>
      <c r="DN40" s="206">
        <v>1</v>
      </c>
      <c r="DO40" s="198">
        <v>0</v>
      </c>
      <c r="DP40" s="198">
        <v>0</v>
      </c>
      <c r="DQ40" s="199">
        <v>0</v>
      </c>
      <c r="DR40" s="195"/>
      <c r="DS40" s="196"/>
      <c r="DT40" s="196"/>
      <c r="DU40" s="196"/>
      <c r="DV40" s="196"/>
      <c r="DW40" s="196"/>
      <c r="DX40" s="206">
        <v>1</v>
      </c>
      <c r="DY40" s="198">
        <v>0</v>
      </c>
      <c r="DZ40" s="198">
        <v>0</v>
      </c>
      <c r="EA40" s="199">
        <v>0</v>
      </c>
      <c r="EB40" s="195"/>
      <c r="EC40" s="196"/>
      <c r="ED40" s="196"/>
      <c r="EE40" s="196"/>
      <c r="EF40" s="196"/>
      <c r="EG40" s="196"/>
      <c r="EH40" s="206">
        <v>1</v>
      </c>
      <c r="EI40" s="198">
        <v>0</v>
      </c>
      <c r="EJ40" s="198">
        <v>0</v>
      </c>
      <c r="EK40" s="199">
        <v>0</v>
      </c>
      <c r="EL40" s="195"/>
      <c r="EM40" s="196"/>
      <c r="EN40" s="196"/>
      <c r="EO40" s="196"/>
      <c r="EP40" s="196"/>
      <c r="EQ40" s="196"/>
      <c r="ER40" s="206">
        <v>1</v>
      </c>
      <c r="ES40" s="198">
        <v>0</v>
      </c>
      <c r="ET40" s="198">
        <v>0</v>
      </c>
      <c r="EU40" s="199">
        <v>0</v>
      </c>
      <c r="EV40" s="195"/>
      <c r="EW40" s="196"/>
      <c r="EX40" s="196"/>
      <c r="EY40" s="196"/>
      <c r="EZ40" s="196"/>
      <c r="FA40" s="196"/>
      <c r="FB40" s="206">
        <v>1</v>
      </c>
      <c r="FC40" s="198">
        <v>0</v>
      </c>
      <c r="FD40" s="198">
        <v>0</v>
      </c>
      <c r="FE40" s="199">
        <v>0</v>
      </c>
      <c r="FF40" s="195"/>
      <c r="FG40" s="196"/>
      <c r="FH40" s="196"/>
      <c r="FI40" s="196"/>
      <c r="FJ40" s="196"/>
      <c r="FK40" s="196"/>
      <c r="FL40" s="206">
        <v>1</v>
      </c>
      <c r="FM40" s="198">
        <v>0</v>
      </c>
      <c r="FN40" s="198">
        <v>0</v>
      </c>
      <c r="FO40" s="199">
        <v>0</v>
      </c>
      <c r="FP40" s="195"/>
      <c r="FQ40" s="196">
        <v>0.47222222222222221</v>
      </c>
      <c r="FR40" s="196">
        <v>0.84722222222222221</v>
      </c>
      <c r="FS40" s="196"/>
      <c r="FT40" s="196"/>
      <c r="FU40" s="196"/>
      <c r="FV40" s="200">
        <v>0.625</v>
      </c>
      <c r="FW40" s="198">
        <v>15</v>
      </c>
      <c r="FX40" s="198">
        <v>0</v>
      </c>
      <c r="FY40" s="199">
        <v>1</v>
      </c>
      <c r="FZ40" s="195"/>
      <c r="GA40" s="196">
        <v>0.47222222222222221</v>
      </c>
      <c r="GB40" s="196">
        <v>0.84027777777777779</v>
      </c>
      <c r="GC40" s="196"/>
      <c r="GD40" s="196"/>
      <c r="GE40" s="196"/>
      <c r="GF40" s="200">
        <v>0.63194444444444442</v>
      </c>
      <c r="GG40" s="198">
        <v>15</v>
      </c>
      <c r="GH40" s="198">
        <v>10</v>
      </c>
      <c r="GI40" s="199">
        <v>1</v>
      </c>
      <c r="GJ40" s="195"/>
      <c r="GK40" s="196"/>
      <c r="GL40" s="196"/>
      <c r="GM40" s="196"/>
      <c r="GN40" s="196"/>
      <c r="GO40" s="196"/>
      <c r="GP40" s="206">
        <v>1</v>
      </c>
      <c r="GQ40" s="198">
        <v>0</v>
      </c>
      <c r="GR40" s="198">
        <v>0</v>
      </c>
      <c r="GS40" s="199">
        <v>0</v>
      </c>
      <c r="GT40" s="195"/>
      <c r="GU40" s="196"/>
      <c r="GV40" s="196"/>
      <c r="GW40" s="196"/>
      <c r="GX40" s="196"/>
      <c r="GY40" s="196"/>
      <c r="GZ40" s="206">
        <v>1</v>
      </c>
      <c r="HA40" s="198">
        <v>0</v>
      </c>
      <c r="HB40" s="198">
        <v>0</v>
      </c>
      <c r="HC40" s="199">
        <v>0</v>
      </c>
      <c r="HD40" s="195"/>
      <c r="HE40" s="196"/>
      <c r="HF40" s="196"/>
      <c r="HG40" s="196"/>
      <c r="HH40" s="196"/>
      <c r="HI40" s="196"/>
      <c r="HJ40" s="206">
        <v>1</v>
      </c>
      <c r="HK40" s="198">
        <v>0</v>
      </c>
      <c r="HL40" s="198">
        <v>0</v>
      </c>
      <c r="HM40" s="199">
        <v>0</v>
      </c>
      <c r="HN40" s="204">
        <v>1</v>
      </c>
      <c r="HO40" s="205">
        <v>0</v>
      </c>
      <c r="HP40" s="204">
        <v>0.64583333333333337</v>
      </c>
      <c r="HQ40" s="205">
        <v>1</v>
      </c>
      <c r="HR40" s="204">
        <v>1</v>
      </c>
      <c r="HS40" s="205">
        <v>0</v>
      </c>
      <c r="HT40" s="204">
        <v>1</v>
      </c>
      <c r="HU40" s="205">
        <v>0</v>
      </c>
      <c r="HV40" s="204">
        <v>1</v>
      </c>
      <c r="HW40" s="205">
        <v>0</v>
      </c>
      <c r="HX40" s="204">
        <v>1</v>
      </c>
      <c r="HY40" s="205">
        <v>0</v>
      </c>
      <c r="HZ40" s="204">
        <v>1</v>
      </c>
      <c r="IA40" s="205">
        <v>0</v>
      </c>
      <c r="IB40" s="204">
        <v>1</v>
      </c>
      <c r="IC40" s="205">
        <v>0</v>
      </c>
      <c r="ID40" s="204">
        <v>1</v>
      </c>
      <c r="IE40" s="205">
        <v>0</v>
      </c>
      <c r="IF40" s="204">
        <v>1</v>
      </c>
      <c r="IG40" s="205">
        <v>0</v>
      </c>
      <c r="IH40" s="204">
        <v>1</v>
      </c>
      <c r="II40" s="205">
        <v>0</v>
      </c>
      <c r="IJ40" s="204">
        <v>1</v>
      </c>
      <c r="IK40" s="205">
        <v>0</v>
      </c>
      <c r="IL40" s="204">
        <v>1</v>
      </c>
      <c r="IM40" s="205">
        <v>0</v>
      </c>
      <c r="IN40" s="204">
        <v>1</v>
      </c>
      <c r="IO40" s="205">
        <v>0</v>
      </c>
      <c r="IP40" s="204">
        <v>1</v>
      </c>
      <c r="IQ40" s="205">
        <v>0</v>
      </c>
      <c r="IR40" s="204">
        <v>1</v>
      </c>
      <c r="IS40" s="205">
        <v>0</v>
      </c>
      <c r="IT40" s="204">
        <v>1</v>
      </c>
      <c r="IU40" s="205">
        <v>0</v>
      </c>
      <c r="IV40" s="204">
        <v>0.625</v>
      </c>
      <c r="IW40" s="205">
        <v>1</v>
      </c>
      <c r="IX40" s="204">
        <v>0.63194444444444442</v>
      </c>
      <c r="IY40" s="205">
        <v>1</v>
      </c>
      <c r="IZ40" s="204">
        <v>1</v>
      </c>
      <c r="JA40" s="205">
        <v>0</v>
      </c>
      <c r="JB40" s="204">
        <v>1</v>
      </c>
      <c r="JC40" s="205">
        <v>0</v>
      </c>
      <c r="JD40" s="204">
        <v>1</v>
      </c>
      <c r="JE40" s="233">
        <v>0</v>
      </c>
      <c r="JF40" s="236">
        <f t="shared" si="0"/>
        <v>24</v>
      </c>
      <c r="JG40" s="235">
        <f t="shared" si="1"/>
        <v>15.5</v>
      </c>
      <c r="JH40" s="235">
        <f t="shared" si="2"/>
        <v>24</v>
      </c>
      <c r="JI40" s="235">
        <f t="shared" si="3"/>
        <v>24</v>
      </c>
      <c r="JJ40" s="235">
        <f t="shared" si="4"/>
        <v>24</v>
      </c>
      <c r="JK40" s="235">
        <f t="shared" si="5"/>
        <v>24</v>
      </c>
      <c r="JL40" s="235">
        <f t="shared" si="6"/>
        <v>24</v>
      </c>
      <c r="JM40" s="235">
        <f t="shared" si="7"/>
        <v>24</v>
      </c>
      <c r="JN40" s="235">
        <f t="shared" si="8"/>
        <v>24</v>
      </c>
      <c r="JO40" s="235">
        <f t="shared" si="9"/>
        <v>24</v>
      </c>
      <c r="JP40" s="235">
        <f t="shared" si="10"/>
        <v>24</v>
      </c>
      <c r="JQ40" s="235">
        <f t="shared" si="11"/>
        <v>24</v>
      </c>
      <c r="JR40" s="235">
        <f t="shared" si="12"/>
        <v>24</v>
      </c>
      <c r="JS40" s="235">
        <f t="shared" si="13"/>
        <v>24</v>
      </c>
      <c r="JT40" s="235">
        <f t="shared" si="14"/>
        <v>24</v>
      </c>
      <c r="JU40" s="235">
        <f t="shared" si="15"/>
        <v>24</v>
      </c>
      <c r="JV40" s="235">
        <f t="shared" si="16"/>
        <v>24</v>
      </c>
      <c r="JW40" s="235">
        <f t="shared" si="17"/>
        <v>15</v>
      </c>
      <c r="JX40" s="235">
        <f t="shared" si="18"/>
        <v>15.166666666666666</v>
      </c>
      <c r="JY40" s="235">
        <f t="shared" si="19"/>
        <v>24</v>
      </c>
      <c r="JZ40" s="235">
        <f t="shared" si="20"/>
        <v>24</v>
      </c>
      <c r="KA40" s="237">
        <f t="shared" si="21"/>
        <v>24</v>
      </c>
      <c r="KB40" s="248">
        <v>46058</v>
      </c>
      <c r="KC40" s="201">
        <v>2.0499999999999998</v>
      </c>
      <c r="KD40" s="201">
        <v>1.2589999999999999</v>
      </c>
      <c r="KE40" s="201">
        <v>2.0499999999999998</v>
      </c>
      <c r="KF40" s="201">
        <v>2.0499999999999998</v>
      </c>
      <c r="KG40" s="201">
        <v>2.0499999999999998</v>
      </c>
      <c r="KH40" s="201">
        <v>2.0510000000000002</v>
      </c>
      <c r="KI40" s="201">
        <v>2.0489999999999999</v>
      </c>
      <c r="KJ40" s="201">
        <v>2.0489999999999999</v>
      </c>
      <c r="KK40" s="201">
        <v>2.0499999999999998</v>
      </c>
      <c r="KL40" s="201">
        <v>2.0489999999999999</v>
      </c>
      <c r="KM40" s="201">
        <v>1.9259999999999999</v>
      </c>
      <c r="KN40" s="202">
        <v>2.0489999999999999</v>
      </c>
      <c r="KO40" s="202">
        <v>2.0470000000000002</v>
      </c>
      <c r="KP40" s="202">
        <v>2.0489999999999999</v>
      </c>
      <c r="KQ40" s="202">
        <v>2.1080000000000001</v>
      </c>
      <c r="KR40" s="202">
        <v>1.925</v>
      </c>
      <c r="KS40" s="202">
        <v>1.9590000000000001</v>
      </c>
      <c r="KT40" s="202">
        <v>1.222</v>
      </c>
      <c r="KU40" s="202">
        <v>1.2709999999999999</v>
      </c>
      <c r="KV40" s="202">
        <v>1.9850000000000001</v>
      </c>
      <c r="KW40" s="202">
        <v>1.905</v>
      </c>
      <c r="KX40" s="202">
        <v>1.905</v>
      </c>
      <c r="KY40" s="203">
        <v>42.058</v>
      </c>
    </row>
    <row r="41" spans="1:311">
      <c r="A41" s="194">
        <v>46059</v>
      </c>
      <c r="B41" s="195"/>
      <c r="C41" s="196"/>
      <c r="D41" s="196"/>
      <c r="E41" s="196"/>
      <c r="F41" s="196"/>
      <c r="G41" s="196"/>
      <c r="H41" s="206">
        <v>1</v>
      </c>
      <c r="I41" s="198">
        <v>0</v>
      </c>
      <c r="J41" s="198">
        <v>0</v>
      </c>
      <c r="K41" s="199">
        <v>0</v>
      </c>
      <c r="L41" s="195"/>
      <c r="M41" s="196">
        <v>0.18055555555555555</v>
      </c>
      <c r="N41" s="196"/>
      <c r="O41" s="196"/>
      <c r="P41" s="196"/>
      <c r="Q41" s="196"/>
      <c r="R41" s="200">
        <v>0.18055555555555555</v>
      </c>
      <c r="S41" s="198">
        <v>4</v>
      </c>
      <c r="T41" s="198">
        <v>20</v>
      </c>
      <c r="U41" s="199">
        <v>0</v>
      </c>
      <c r="V41" s="195"/>
      <c r="W41" s="196"/>
      <c r="X41" s="196"/>
      <c r="Y41" s="196"/>
      <c r="Z41" s="196"/>
      <c r="AA41" s="196"/>
      <c r="AB41" s="206">
        <v>1</v>
      </c>
      <c r="AC41" s="198">
        <v>0</v>
      </c>
      <c r="AD41" s="198">
        <v>0</v>
      </c>
      <c r="AE41" s="199">
        <v>0</v>
      </c>
      <c r="AF41" s="195"/>
      <c r="AG41" s="196"/>
      <c r="AH41" s="196"/>
      <c r="AI41" s="196"/>
      <c r="AJ41" s="196"/>
      <c r="AK41" s="196"/>
      <c r="AL41" s="206">
        <v>1</v>
      </c>
      <c r="AM41" s="198">
        <v>0</v>
      </c>
      <c r="AN41" s="198">
        <v>0</v>
      </c>
      <c r="AO41" s="199">
        <v>0</v>
      </c>
      <c r="AP41" s="195"/>
      <c r="AQ41" s="196"/>
      <c r="AR41" s="196"/>
      <c r="AS41" s="196"/>
      <c r="AT41" s="196"/>
      <c r="AU41" s="196"/>
      <c r="AV41" s="206">
        <v>1</v>
      </c>
      <c r="AW41" s="198">
        <v>0</v>
      </c>
      <c r="AX41" s="198">
        <v>0</v>
      </c>
      <c r="AY41" s="199">
        <v>0</v>
      </c>
      <c r="AZ41" s="195"/>
      <c r="BA41" s="196"/>
      <c r="BB41" s="196"/>
      <c r="BC41" s="196"/>
      <c r="BD41" s="196"/>
      <c r="BE41" s="196"/>
      <c r="BF41" s="206">
        <v>1</v>
      </c>
      <c r="BG41" s="198">
        <v>0</v>
      </c>
      <c r="BH41" s="198">
        <v>0</v>
      </c>
      <c r="BI41" s="199">
        <v>0</v>
      </c>
      <c r="BJ41" s="195"/>
      <c r="BK41" s="196"/>
      <c r="BL41" s="196"/>
      <c r="BM41" s="196"/>
      <c r="BN41" s="196"/>
      <c r="BO41" s="196"/>
      <c r="BP41" s="206">
        <v>1</v>
      </c>
      <c r="BQ41" s="198">
        <v>0</v>
      </c>
      <c r="BR41" s="198">
        <v>0</v>
      </c>
      <c r="BS41" s="199">
        <v>0</v>
      </c>
      <c r="BT41" s="195"/>
      <c r="BU41" s="196"/>
      <c r="BV41" s="196"/>
      <c r="BW41" s="196"/>
      <c r="BX41" s="196"/>
      <c r="BY41" s="196"/>
      <c r="BZ41" s="206">
        <v>1</v>
      </c>
      <c r="CA41" s="198">
        <v>0</v>
      </c>
      <c r="CB41" s="198">
        <v>0</v>
      </c>
      <c r="CC41" s="199">
        <v>0</v>
      </c>
      <c r="CD41" s="195"/>
      <c r="CE41" s="196"/>
      <c r="CF41" s="196"/>
      <c r="CG41" s="196"/>
      <c r="CH41" s="196"/>
      <c r="CI41" s="196"/>
      <c r="CJ41" s="206">
        <v>1</v>
      </c>
      <c r="CK41" s="198">
        <v>0</v>
      </c>
      <c r="CL41" s="198">
        <v>0</v>
      </c>
      <c r="CM41" s="199">
        <v>0</v>
      </c>
      <c r="CN41" s="195"/>
      <c r="CO41" s="196"/>
      <c r="CP41" s="196"/>
      <c r="CQ41" s="196"/>
      <c r="CR41" s="196"/>
      <c r="CS41" s="196"/>
      <c r="CT41" s="206">
        <v>1</v>
      </c>
      <c r="CU41" s="198">
        <v>0</v>
      </c>
      <c r="CV41" s="198">
        <v>0</v>
      </c>
      <c r="CW41" s="199">
        <v>0</v>
      </c>
      <c r="CX41" s="195"/>
      <c r="CY41" s="196"/>
      <c r="CZ41" s="196"/>
      <c r="DA41" s="196"/>
      <c r="DB41" s="196"/>
      <c r="DC41" s="196"/>
      <c r="DD41" s="206">
        <v>1</v>
      </c>
      <c r="DE41" s="198">
        <v>0</v>
      </c>
      <c r="DF41" s="198">
        <v>0</v>
      </c>
      <c r="DG41" s="199">
        <v>0</v>
      </c>
      <c r="DH41" s="195"/>
      <c r="DI41" s="196"/>
      <c r="DJ41" s="196"/>
      <c r="DK41" s="196"/>
      <c r="DL41" s="196"/>
      <c r="DM41" s="196"/>
      <c r="DN41" s="206">
        <v>1</v>
      </c>
      <c r="DO41" s="198">
        <v>0</v>
      </c>
      <c r="DP41" s="198">
        <v>0</v>
      </c>
      <c r="DQ41" s="199">
        <v>0</v>
      </c>
      <c r="DR41" s="195"/>
      <c r="DS41" s="196"/>
      <c r="DT41" s="196"/>
      <c r="DU41" s="196"/>
      <c r="DV41" s="196"/>
      <c r="DW41" s="196"/>
      <c r="DX41" s="206">
        <v>1</v>
      </c>
      <c r="DY41" s="198">
        <v>0</v>
      </c>
      <c r="DZ41" s="198">
        <v>0</v>
      </c>
      <c r="EA41" s="199">
        <v>0</v>
      </c>
      <c r="EB41" s="195"/>
      <c r="EC41" s="196"/>
      <c r="ED41" s="196"/>
      <c r="EE41" s="196"/>
      <c r="EF41" s="196"/>
      <c r="EG41" s="196"/>
      <c r="EH41" s="206">
        <v>1</v>
      </c>
      <c r="EI41" s="198">
        <v>0</v>
      </c>
      <c r="EJ41" s="198">
        <v>0</v>
      </c>
      <c r="EK41" s="199">
        <v>0</v>
      </c>
      <c r="EL41" s="195"/>
      <c r="EM41" s="196"/>
      <c r="EN41" s="196"/>
      <c r="EO41" s="196"/>
      <c r="EP41" s="196"/>
      <c r="EQ41" s="196"/>
      <c r="ER41" s="206">
        <v>1</v>
      </c>
      <c r="ES41" s="198">
        <v>0</v>
      </c>
      <c r="ET41" s="198">
        <v>0</v>
      </c>
      <c r="EU41" s="199">
        <v>0</v>
      </c>
      <c r="EV41" s="195"/>
      <c r="EW41" s="196"/>
      <c r="EX41" s="196"/>
      <c r="EY41" s="196"/>
      <c r="EZ41" s="196"/>
      <c r="FA41" s="196"/>
      <c r="FB41" s="206">
        <v>1</v>
      </c>
      <c r="FC41" s="198">
        <v>0</v>
      </c>
      <c r="FD41" s="198">
        <v>0</v>
      </c>
      <c r="FE41" s="199">
        <v>0</v>
      </c>
      <c r="FF41" s="195"/>
      <c r="FG41" s="196"/>
      <c r="FH41" s="196"/>
      <c r="FI41" s="196"/>
      <c r="FJ41" s="196"/>
      <c r="FK41" s="196"/>
      <c r="FL41" s="206">
        <v>1</v>
      </c>
      <c r="FM41" s="198">
        <v>0</v>
      </c>
      <c r="FN41" s="198">
        <v>0</v>
      </c>
      <c r="FO41" s="199">
        <v>0</v>
      </c>
      <c r="FP41" s="195"/>
      <c r="FQ41" s="196"/>
      <c r="FR41" s="196"/>
      <c r="FS41" s="196"/>
      <c r="FT41" s="196"/>
      <c r="FU41" s="196"/>
      <c r="FV41" s="206">
        <v>1</v>
      </c>
      <c r="FW41" s="198">
        <v>0</v>
      </c>
      <c r="FX41" s="198">
        <v>0</v>
      </c>
      <c r="FY41" s="199">
        <v>0</v>
      </c>
      <c r="FZ41" s="195"/>
      <c r="GA41" s="196"/>
      <c r="GB41" s="196"/>
      <c r="GC41" s="196"/>
      <c r="GD41" s="196"/>
      <c r="GE41" s="196"/>
      <c r="GF41" s="206">
        <v>1</v>
      </c>
      <c r="GG41" s="198">
        <v>0</v>
      </c>
      <c r="GH41" s="198">
        <v>0</v>
      </c>
      <c r="GI41" s="199">
        <v>0</v>
      </c>
      <c r="GJ41" s="195"/>
      <c r="GK41" s="196"/>
      <c r="GL41" s="196"/>
      <c r="GM41" s="196"/>
      <c r="GN41" s="196"/>
      <c r="GO41" s="196"/>
      <c r="GP41" s="206">
        <v>1</v>
      </c>
      <c r="GQ41" s="198">
        <v>0</v>
      </c>
      <c r="GR41" s="198">
        <v>0</v>
      </c>
      <c r="GS41" s="199">
        <v>0</v>
      </c>
      <c r="GT41" s="195"/>
      <c r="GU41" s="196"/>
      <c r="GV41" s="196"/>
      <c r="GW41" s="196"/>
      <c r="GX41" s="196"/>
      <c r="GY41" s="196"/>
      <c r="GZ41" s="206">
        <v>1</v>
      </c>
      <c r="HA41" s="198">
        <v>0</v>
      </c>
      <c r="HB41" s="198">
        <v>0</v>
      </c>
      <c r="HC41" s="199">
        <v>0</v>
      </c>
      <c r="HD41" s="195"/>
      <c r="HE41" s="196"/>
      <c r="HF41" s="196"/>
      <c r="HG41" s="196"/>
      <c r="HH41" s="196"/>
      <c r="HI41" s="196"/>
      <c r="HJ41" s="206">
        <v>1</v>
      </c>
      <c r="HK41" s="198">
        <v>0</v>
      </c>
      <c r="HL41" s="198">
        <v>0</v>
      </c>
      <c r="HM41" s="199">
        <v>0</v>
      </c>
      <c r="HN41" s="204">
        <v>1</v>
      </c>
      <c r="HO41" s="205">
        <v>0</v>
      </c>
      <c r="HP41" s="204">
        <v>0.18055555555555555</v>
      </c>
      <c r="HQ41" s="205">
        <v>0</v>
      </c>
      <c r="HR41" s="204">
        <v>1</v>
      </c>
      <c r="HS41" s="205">
        <v>0</v>
      </c>
      <c r="HT41" s="204">
        <v>1</v>
      </c>
      <c r="HU41" s="205">
        <v>0</v>
      </c>
      <c r="HV41" s="204">
        <v>1</v>
      </c>
      <c r="HW41" s="205">
        <v>0</v>
      </c>
      <c r="HX41" s="204">
        <v>1</v>
      </c>
      <c r="HY41" s="205">
        <v>0</v>
      </c>
      <c r="HZ41" s="204">
        <v>1</v>
      </c>
      <c r="IA41" s="205">
        <v>0</v>
      </c>
      <c r="IB41" s="204">
        <v>1</v>
      </c>
      <c r="IC41" s="205">
        <v>0</v>
      </c>
      <c r="ID41" s="204">
        <v>1</v>
      </c>
      <c r="IE41" s="205">
        <v>0</v>
      </c>
      <c r="IF41" s="204">
        <v>1</v>
      </c>
      <c r="IG41" s="205">
        <v>0</v>
      </c>
      <c r="IH41" s="204">
        <v>1</v>
      </c>
      <c r="II41" s="205">
        <v>0</v>
      </c>
      <c r="IJ41" s="204">
        <v>1</v>
      </c>
      <c r="IK41" s="205">
        <v>0</v>
      </c>
      <c r="IL41" s="204">
        <v>1</v>
      </c>
      <c r="IM41" s="205">
        <v>0</v>
      </c>
      <c r="IN41" s="204">
        <v>1</v>
      </c>
      <c r="IO41" s="205">
        <v>0</v>
      </c>
      <c r="IP41" s="204">
        <v>1</v>
      </c>
      <c r="IQ41" s="205">
        <v>0</v>
      </c>
      <c r="IR41" s="204">
        <v>1</v>
      </c>
      <c r="IS41" s="205">
        <v>0</v>
      </c>
      <c r="IT41" s="204">
        <v>1</v>
      </c>
      <c r="IU41" s="205">
        <v>0</v>
      </c>
      <c r="IV41" s="204">
        <v>1</v>
      </c>
      <c r="IW41" s="205">
        <v>0</v>
      </c>
      <c r="IX41" s="204">
        <v>1</v>
      </c>
      <c r="IY41" s="205">
        <v>0</v>
      </c>
      <c r="IZ41" s="204">
        <v>1</v>
      </c>
      <c r="JA41" s="205">
        <v>0</v>
      </c>
      <c r="JB41" s="204">
        <v>1</v>
      </c>
      <c r="JC41" s="205">
        <v>0</v>
      </c>
      <c r="JD41" s="204">
        <v>1</v>
      </c>
      <c r="JE41" s="233">
        <v>0</v>
      </c>
      <c r="JF41" s="236">
        <f t="shared" si="0"/>
        <v>24</v>
      </c>
      <c r="JG41" s="235">
        <f t="shared" si="1"/>
        <v>4.333333333333333</v>
      </c>
      <c r="JH41" s="235">
        <f t="shared" si="2"/>
        <v>24</v>
      </c>
      <c r="JI41" s="235">
        <f t="shared" si="3"/>
        <v>24</v>
      </c>
      <c r="JJ41" s="235">
        <f t="shared" si="4"/>
        <v>24</v>
      </c>
      <c r="JK41" s="235">
        <f t="shared" si="5"/>
        <v>24</v>
      </c>
      <c r="JL41" s="235">
        <f t="shared" si="6"/>
        <v>24</v>
      </c>
      <c r="JM41" s="235">
        <f t="shared" si="7"/>
        <v>24</v>
      </c>
      <c r="JN41" s="235">
        <f t="shared" si="8"/>
        <v>24</v>
      </c>
      <c r="JO41" s="235">
        <f t="shared" si="9"/>
        <v>24</v>
      </c>
      <c r="JP41" s="235">
        <f t="shared" si="10"/>
        <v>24</v>
      </c>
      <c r="JQ41" s="235">
        <f t="shared" si="11"/>
        <v>24</v>
      </c>
      <c r="JR41" s="235">
        <f t="shared" si="12"/>
        <v>24</v>
      </c>
      <c r="JS41" s="235">
        <f t="shared" si="13"/>
        <v>24</v>
      </c>
      <c r="JT41" s="235">
        <f t="shared" si="14"/>
        <v>24</v>
      </c>
      <c r="JU41" s="235">
        <f t="shared" si="15"/>
        <v>24</v>
      </c>
      <c r="JV41" s="235">
        <f t="shared" si="16"/>
        <v>24</v>
      </c>
      <c r="JW41" s="235">
        <f t="shared" si="17"/>
        <v>24</v>
      </c>
      <c r="JX41" s="235">
        <f t="shared" si="18"/>
        <v>24</v>
      </c>
      <c r="JY41" s="235">
        <f t="shared" si="19"/>
        <v>24</v>
      </c>
      <c r="JZ41" s="235">
        <f t="shared" si="20"/>
        <v>24</v>
      </c>
      <c r="KA41" s="237">
        <f t="shared" si="21"/>
        <v>24</v>
      </c>
      <c r="KB41" s="248">
        <v>46059</v>
      </c>
      <c r="KC41" s="201">
        <v>2.028</v>
      </c>
      <c r="KD41" s="201">
        <v>0.36499999999999999</v>
      </c>
      <c r="KE41" s="201">
        <v>2.028</v>
      </c>
      <c r="KF41" s="201">
        <v>2.028</v>
      </c>
      <c r="KG41" s="201">
        <v>2.028</v>
      </c>
      <c r="KH41" s="201">
        <v>2.0270000000000001</v>
      </c>
      <c r="KI41" s="201">
        <v>2.028</v>
      </c>
      <c r="KJ41" s="201">
        <v>2.0270000000000001</v>
      </c>
      <c r="KK41" s="201">
        <v>2.0289999999999999</v>
      </c>
      <c r="KL41" s="201">
        <v>2.0270000000000001</v>
      </c>
      <c r="KM41" s="201">
        <v>2.028</v>
      </c>
      <c r="KN41" s="202">
        <v>2.0310000000000001</v>
      </c>
      <c r="KO41" s="202">
        <v>1.9179999999999999</v>
      </c>
      <c r="KP41" s="202">
        <v>2.028</v>
      </c>
      <c r="KQ41" s="202">
        <v>2.0289999999999999</v>
      </c>
      <c r="KR41" s="202">
        <v>2.028</v>
      </c>
      <c r="KS41" s="202">
        <v>2.0270000000000001</v>
      </c>
      <c r="KT41" s="202">
        <v>2.0270000000000001</v>
      </c>
      <c r="KU41" s="202">
        <v>2.0270000000000001</v>
      </c>
      <c r="KV41" s="202">
        <v>2.0289999999999999</v>
      </c>
      <c r="KW41" s="202">
        <v>2.0259999999999998</v>
      </c>
      <c r="KX41" s="202">
        <v>2.0270000000000001</v>
      </c>
      <c r="KY41" s="203">
        <v>42.839999999999989</v>
      </c>
    </row>
    <row r="42" spans="1:311">
      <c r="A42" s="194">
        <v>46060</v>
      </c>
      <c r="B42" s="195"/>
      <c r="C42" s="196"/>
      <c r="D42" s="196"/>
      <c r="E42" s="196"/>
      <c r="F42" s="196"/>
      <c r="G42" s="196"/>
      <c r="H42" s="206">
        <v>1</v>
      </c>
      <c r="I42" s="198">
        <v>0</v>
      </c>
      <c r="J42" s="198">
        <v>0</v>
      </c>
      <c r="K42" s="199">
        <v>0</v>
      </c>
      <c r="L42" s="195"/>
      <c r="M42" s="196"/>
      <c r="N42" s="196"/>
      <c r="O42" s="196"/>
      <c r="P42" s="196"/>
      <c r="Q42" s="196"/>
      <c r="R42" s="200">
        <v>0</v>
      </c>
      <c r="S42" s="198">
        <v>0</v>
      </c>
      <c r="T42" s="198">
        <v>0</v>
      </c>
      <c r="U42" s="199">
        <v>0</v>
      </c>
      <c r="V42" s="195"/>
      <c r="W42" s="196"/>
      <c r="X42" s="196"/>
      <c r="Y42" s="196"/>
      <c r="Z42" s="196"/>
      <c r="AA42" s="196"/>
      <c r="AB42" s="206">
        <v>1</v>
      </c>
      <c r="AC42" s="198">
        <v>0</v>
      </c>
      <c r="AD42" s="198">
        <v>0</v>
      </c>
      <c r="AE42" s="199">
        <v>0</v>
      </c>
      <c r="AF42" s="195"/>
      <c r="AG42" s="196"/>
      <c r="AH42" s="196"/>
      <c r="AI42" s="196"/>
      <c r="AJ42" s="196"/>
      <c r="AK42" s="196"/>
      <c r="AL42" s="206">
        <v>1</v>
      </c>
      <c r="AM42" s="198">
        <v>0</v>
      </c>
      <c r="AN42" s="198">
        <v>0</v>
      </c>
      <c r="AO42" s="199">
        <v>0</v>
      </c>
      <c r="AP42" s="195"/>
      <c r="AQ42" s="196"/>
      <c r="AR42" s="196"/>
      <c r="AS42" s="196"/>
      <c r="AT42" s="196"/>
      <c r="AU42" s="196"/>
      <c r="AV42" s="206">
        <v>1</v>
      </c>
      <c r="AW42" s="198">
        <v>0</v>
      </c>
      <c r="AX42" s="198">
        <v>0</v>
      </c>
      <c r="AY42" s="199">
        <v>0</v>
      </c>
      <c r="AZ42" s="195"/>
      <c r="BA42" s="196"/>
      <c r="BB42" s="196"/>
      <c r="BC42" s="196"/>
      <c r="BD42" s="196"/>
      <c r="BE42" s="196"/>
      <c r="BF42" s="206">
        <v>1</v>
      </c>
      <c r="BG42" s="198">
        <v>0</v>
      </c>
      <c r="BH42" s="198">
        <v>0</v>
      </c>
      <c r="BI42" s="199">
        <v>0</v>
      </c>
      <c r="BJ42" s="195"/>
      <c r="BK42" s="196"/>
      <c r="BL42" s="196"/>
      <c r="BM42" s="196"/>
      <c r="BN42" s="196"/>
      <c r="BO42" s="196"/>
      <c r="BP42" s="206">
        <v>1</v>
      </c>
      <c r="BQ42" s="198">
        <v>0</v>
      </c>
      <c r="BR42" s="198">
        <v>0</v>
      </c>
      <c r="BS42" s="199">
        <v>0</v>
      </c>
      <c r="BT42" s="195"/>
      <c r="BU42" s="196"/>
      <c r="BV42" s="196"/>
      <c r="BW42" s="196"/>
      <c r="BX42" s="196"/>
      <c r="BY42" s="196"/>
      <c r="BZ42" s="206">
        <v>1</v>
      </c>
      <c r="CA42" s="198">
        <v>0</v>
      </c>
      <c r="CB42" s="198">
        <v>0</v>
      </c>
      <c r="CC42" s="199">
        <v>0</v>
      </c>
      <c r="CD42" s="195"/>
      <c r="CE42" s="196"/>
      <c r="CF42" s="196"/>
      <c r="CG42" s="196"/>
      <c r="CH42" s="196"/>
      <c r="CI42" s="196"/>
      <c r="CJ42" s="206">
        <v>1</v>
      </c>
      <c r="CK42" s="198">
        <v>0</v>
      </c>
      <c r="CL42" s="198">
        <v>0</v>
      </c>
      <c r="CM42" s="199">
        <v>0</v>
      </c>
      <c r="CN42" s="195"/>
      <c r="CO42" s="196"/>
      <c r="CP42" s="196"/>
      <c r="CQ42" s="196"/>
      <c r="CR42" s="196"/>
      <c r="CS42" s="196"/>
      <c r="CT42" s="206">
        <v>1</v>
      </c>
      <c r="CU42" s="198">
        <v>0</v>
      </c>
      <c r="CV42" s="198">
        <v>0</v>
      </c>
      <c r="CW42" s="199">
        <v>0</v>
      </c>
      <c r="CX42" s="195"/>
      <c r="CY42" s="196"/>
      <c r="CZ42" s="196"/>
      <c r="DA42" s="196"/>
      <c r="DB42" s="196"/>
      <c r="DC42" s="196"/>
      <c r="DD42" s="206">
        <v>1</v>
      </c>
      <c r="DE42" s="198">
        <v>0</v>
      </c>
      <c r="DF42" s="198">
        <v>0</v>
      </c>
      <c r="DG42" s="199">
        <v>0</v>
      </c>
      <c r="DH42" s="195"/>
      <c r="DI42" s="196"/>
      <c r="DJ42" s="196"/>
      <c r="DK42" s="196"/>
      <c r="DL42" s="196"/>
      <c r="DM42" s="196"/>
      <c r="DN42" s="206">
        <v>1</v>
      </c>
      <c r="DO42" s="198">
        <v>0</v>
      </c>
      <c r="DP42" s="198">
        <v>0</v>
      </c>
      <c r="DQ42" s="199">
        <v>0</v>
      </c>
      <c r="DR42" s="195"/>
      <c r="DS42" s="196"/>
      <c r="DT42" s="196"/>
      <c r="DU42" s="196"/>
      <c r="DV42" s="196"/>
      <c r="DW42" s="196"/>
      <c r="DX42" s="206">
        <v>1</v>
      </c>
      <c r="DY42" s="198">
        <v>0</v>
      </c>
      <c r="DZ42" s="198">
        <v>0</v>
      </c>
      <c r="EA42" s="199">
        <v>0</v>
      </c>
      <c r="EB42" s="195"/>
      <c r="EC42" s="196"/>
      <c r="ED42" s="196"/>
      <c r="EE42" s="196"/>
      <c r="EF42" s="196"/>
      <c r="EG42" s="196"/>
      <c r="EH42" s="206">
        <v>1</v>
      </c>
      <c r="EI42" s="198">
        <v>0</v>
      </c>
      <c r="EJ42" s="198">
        <v>0</v>
      </c>
      <c r="EK42" s="199">
        <v>0</v>
      </c>
      <c r="EL42" s="195"/>
      <c r="EM42" s="196"/>
      <c r="EN42" s="196"/>
      <c r="EO42" s="196"/>
      <c r="EP42" s="196"/>
      <c r="EQ42" s="196"/>
      <c r="ER42" s="206">
        <v>1</v>
      </c>
      <c r="ES42" s="198">
        <v>0</v>
      </c>
      <c r="ET42" s="198">
        <v>0</v>
      </c>
      <c r="EU42" s="199">
        <v>0</v>
      </c>
      <c r="EV42" s="195"/>
      <c r="EW42" s="196"/>
      <c r="EX42" s="196"/>
      <c r="EY42" s="196"/>
      <c r="EZ42" s="196"/>
      <c r="FA42" s="196"/>
      <c r="FB42" s="206">
        <v>1</v>
      </c>
      <c r="FC42" s="198">
        <v>0</v>
      </c>
      <c r="FD42" s="198">
        <v>0</v>
      </c>
      <c r="FE42" s="199">
        <v>0</v>
      </c>
      <c r="FF42" s="195"/>
      <c r="FG42" s="196"/>
      <c r="FH42" s="196"/>
      <c r="FI42" s="196"/>
      <c r="FJ42" s="196"/>
      <c r="FK42" s="196"/>
      <c r="FL42" s="206">
        <v>1</v>
      </c>
      <c r="FM42" s="198">
        <v>0</v>
      </c>
      <c r="FN42" s="198">
        <v>0</v>
      </c>
      <c r="FO42" s="199">
        <v>0</v>
      </c>
      <c r="FP42" s="195"/>
      <c r="FQ42" s="196"/>
      <c r="FR42" s="196"/>
      <c r="FS42" s="196"/>
      <c r="FT42" s="196"/>
      <c r="FU42" s="196"/>
      <c r="FV42" s="206">
        <v>1</v>
      </c>
      <c r="FW42" s="198">
        <v>0</v>
      </c>
      <c r="FX42" s="198">
        <v>0</v>
      </c>
      <c r="FY42" s="199">
        <v>0</v>
      </c>
      <c r="FZ42" s="195"/>
      <c r="GA42" s="196"/>
      <c r="GB42" s="196"/>
      <c r="GC42" s="196"/>
      <c r="GD42" s="196"/>
      <c r="GE42" s="196"/>
      <c r="GF42" s="206">
        <v>1</v>
      </c>
      <c r="GG42" s="198">
        <v>0</v>
      </c>
      <c r="GH42" s="198">
        <v>0</v>
      </c>
      <c r="GI42" s="199">
        <v>0</v>
      </c>
      <c r="GJ42" s="195"/>
      <c r="GK42" s="196"/>
      <c r="GL42" s="196"/>
      <c r="GM42" s="196"/>
      <c r="GN42" s="196"/>
      <c r="GO42" s="196"/>
      <c r="GP42" s="206">
        <v>1</v>
      </c>
      <c r="GQ42" s="198">
        <v>0</v>
      </c>
      <c r="GR42" s="198">
        <v>0</v>
      </c>
      <c r="GS42" s="199">
        <v>0</v>
      </c>
      <c r="GT42" s="195"/>
      <c r="GU42" s="196"/>
      <c r="GV42" s="196"/>
      <c r="GW42" s="196"/>
      <c r="GX42" s="196"/>
      <c r="GY42" s="196"/>
      <c r="GZ42" s="206">
        <v>1</v>
      </c>
      <c r="HA42" s="198">
        <v>0</v>
      </c>
      <c r="HB42" s="198">
        <v>0</v>
      </c>
      <c r="HC42" s="199">
        <v>0</v>
      </c>
      <c r="HD42" s="195"/>
      <c r="HE42" s="196"/>
      <c r="HF42" s="196"/>
      <c r="HG42" s="196"/>
      <c r="HH42" s="196"/>
      <c r="HI42" s="196"/>
      <c r="HJ42" s="206">
        <v>1</v>
      </c>
      <c r="HK42" s="198">
        <v>0</v>
      </c>
      <c r="HL42" s="198">
        <v>0</v>
      </c>
      <c r="HM42" s="199">
        <v>0</v>
      </c>
      <c r="HN42" s="204">
        <v>1</v>
      </c>
      <c r="HO42" s="205">
        <v>0</v>
      </c>
      <c r="HP42" s="204">
        <v>0</v>
      </c>
      <c r="HQ42" s="205">
        <v>0</v>
      </c>
      <c r="HR42" s="204">
        <v>1</v>
      </c>
      <c r="HS42" s="205">
        <v>0</v>
      </c>
      <c r="HT42" s="204">
        <v>1</v>
      </c>
      <c r="HU42" s="205">
        <v>0</v>
      </c>
      <c r="HV42" s="204">
        <v>1</v>
      </c>
      <c r="HW42" s="205">
        <v>0</v>
      </c>
      <c r="HX42" s="204">
        <v>1</v>
      </c>
      <c r="HY42" s="205">
        <v>0</v>
      </c>
      <c r="HZ42" s="204">
        <v>1</v>
      </c>
      <c r="IA42" s="205">
        <v>0</v>
      </c>
      <c r="IB42" s="204">
        <v>1</v>
      </c>
      <c r="IC42" s="205">
        <v>0</v>
      </c>
      <c r="ID42" s="204">
        <v>1</v>
      </c>
      <c r="IE42" s="205">
        <v>0</v>
      </c>
      <c r="IF42" s="204">
        <v>1</v>
      </c>
      <c r="IG42" s="205">
        <v>0</v>
      </c>
      <c r="IH42" s="204">
        <v>1</v>
      </c>
      <c r="II42" s="205">
        <v>0</v>
      </c>
      <c r="IJ42" s="204">
        <v>1</v>
      </c>
      <c r="IK42" s="205">
        <v>0</v>
      </c>
      <c r="IL42" s="204">
        <v>1</v>
      </c>
      <c r="IM42" s="205">
        <v>0</v>
      </c>
      <c r="IN42" s="204">
        <v>1</v>
      </c>
      <c r="IO42" s="205">
        <v>0</v>
      </c>
      <c r="IP42" s="204">
        <v>1</v>
      </c>
      <c r="IQ42" s="205">
        <v>0</v>
      </c>
      <c r="IR42" s="204">
        <v>1</v>
      </c>
      <c r="IS42" s="205">
        <v>0</v>
      </c>
      <c r="IT42" s="204">
        <v>1</v>
      </c>
      <c r="IU42" s="205">
        <v>0</v>
      </c>
      <c r="IV42" s="204">
        <v>1</v>
      </c>
      <c r="IW42" s="205">
        <v>0</v>
      </c>
      <c r="IX42" s="204">
        <v>1</v>
      </c>
      <c r="IY42" s="205">
        <v>0</v>
      </c>
      <c r="IZ42" s="204">
        <v>1</v>
      </c>
      <c r="JA42" s="205">
        <v>0</v>
      </c>
      <c r="JB42" s="204">
        <v>1</v>
      </c>
      <c r="JC42" s="205">
        <v>0</v>
      </c>
      <c r="JD42" s="204">
        <v>1</v>
      </c>
      <c r="JE42" s="233">
        <v>0</v>
      </c>
      <c r="JF42" s="236">
        <f t="shared" si="0"/>
        <v>24</v>
      </c>
      <c r="JG42" s="235">
        <f t="shared" si="1"/>
        <v>0</v>
      </c>
      <c r="JH42" s="235">
        <f t="shared" si="2"/>
        <v>24</v>
      </c>
      <c r="JI42" s="235">
        <f t="shared" si="3"/>
        <v>24</v>
      </c>
      <c r="JJ42" s="235">
        <f t="shared" si="4"/>
        <v>24</v>
      </c>
      <c r="JK42" s="235">
        <f t="shared" si="5"/>
        <v>24</v>
      </c>
      <c r="JL42" s="235">
        <f t="shared" si="6"/>
        <v>24</v>
      </c>
      <c r="JM42" s="235">
        <f t="shared" si="7"/>
        <v>24</v>
      </c>
      <c r="JN42" s="235">
        <f t="shared" si="8"/>
        <v>24</v>
      </c>
      <c r="JO42" s="235">
        <f t="shared" si="9"/>
        <v>24</v>
      </c>
      <c r="JP42" s="235">
        <f t="shared" si="10"/>
        <v>24</v>
      </c>
      <c r="JQ42" s="235">
        <f t="shared" si="11"/>
        <v>24</v>
      </c>
      <c r="JR42" s="235">
        <f t="shared" si="12"/>
        <v>24</v>
      </c>
      <c r="JS42" s="235">
        <f t="shared" si="13"/>
        <v>24</v>
      </c>
      <c r="JT42" s="235">
        <f t="shared" si="14"/>
        <v>24</v>
      </c>
      <c r="JU42" s="235">
        <f t="shared" si="15"/>
        <v>24</v>
      </c>
      <c r="JV42" s="235">
        <f t="shared" si="16"/>
        <v>24</v>
      </c>
      <c r="JW42" s="235">
        <f t="shared" si="17"/>
        <v>24</v>
      </c>
      <c r="JX42" s="235">
        <f t="shared" si="18"/>
        <v>24</v>
      </c>
      <c r="JY42" s="235">
        <f t="shared" si="19"/>
        <v>24</v>
      </c>
      <c r="JZ42" s="235">
        <f t="shared" si="20"/>
        <v>24</v>
      </c>
      <c r="KA42" s="237">
        <f t="shared" si="21"/>
        <v>24</v>
      </c>
      <c r="KB42" s="248">
        <v>46060</v>
      </c>
      <c r="KC42" s="201">
        <v>2.0350000000000001</v>
      </c>
      <c r="KD42" s="201">
        <v>0</v>
      </c>
      <c r="KE42" s="201">
        <v>2.0350000000000001</v>
      </c>
      <c r="KF42" s="201">
        <v>2.0350000000000001</v>
      </c>
      <c r="KG42" s="201">
        <v>2.036</v>
      </c>
      <c r="KH42" s="201">
        <v>2.0350000000000001</v>
      </c>
      <c r="KI42" s="201">
        <v>2.0339999999999998</v>
      </c>
      <c r="KJ42" s="201">
        <v>2.0339999999999998</v>
      </c>
      <c r="KK42" s="201">
        <v>2.036</v>
      </c>
      <c r="KL42" s="201">
        <v>2.0350000000000001</v>
      </c>
      <c r="KM42" s="201">
        <v>2.0350000000000001</v>
      </c>
      <c r="KN42" s="202">
        <v>2.0379999999999998</v>
      </c>
      <c r="KO42" s="202">
        <v>2.032</v>
      </c>
      <c r="KP42" s="202">
        <v>2.0339999999999998</v>
      </c>
      <c r="KQ42" s="202">
        <v>2.0350000000000001</v>
      </c>
      <c r="KR42" s="202">
        <v>2.0350000000000001</v>
      </c>
      <c r="KS42" s="202">
        <v>2.0339999999999998</v>
      </c>
      <c r="KT42" s="202">
        <v>2.0339999999999998</v>
      </c>
      <c r="KU42" s="202">
        <v>2.0339999999999998</v>
      </c>
      <c r="KV42" s="202">
        <v>2.0350000000000001</v>
      </c>
      <c r="KW42" s="202">
        <v>2.0339999999999998</v>
      </c>
      <c r="KX42" s="202">
        <v>2.0339999999999998</v>
      </c>
      <c r="KY42" s="203">
        <v>42.728999999999999</v>
      </c>
    </row>
    <row r="43" spans="1:311">
      <c r="A43" s="194">
        <v>46061</v>
      </c>
      <c r="B43" s="195"/>
      <c r="C43" s="196"/>
      <c r="D43" s="196"/>
      <c r="E43" s="196"/>
      <c r="F43" s="196"/>
      <c r="G43" s="196"/>
      <c r="H43" s="206">
        <v>1</v>
      </c>
      <c r="I43" s="198">
        <v>0</v>
      </c>
      <c r="J43" s="198">
        <v>0</v>
      </c>
      <c r="K43" s="199">
        <v>0</v>
      </c>
      <c r="L43" s="195"/>
      <c r="M43" s="196"/>
      <c r="N43" s="196"/>
      <c r="O43" s="196"/>
      <c r="P43" s="196"/>
      <c r="Q43" s="196"/>
      <c r="R43" s="200">
        <v>0</v>
      </c>
      <c r="S43" s="198">
        <v>0</v>
      </c>
      <c r="T43" s="198">
        <v>0</v>
      </c>
      <c r="U43" s="199">
        <v>0</v>
      </c>
      <c r="V43" s="195"/>
      <c r="W43" s="196"/>
      <c r="X43" s="196"/>
      <c r="Y43" s="196"/>
      <c r="Z43" s="196"/>
      <c r="AA43" s="196"/>
      <c r="AB43" s="206">
        <v>1</v>
      </c>
      <c r="AC43" s="198">
        <v>0</v>
      </c>
      <c r="AD43" s="198">
        <v>0</v>
      </c>
      <c r="AE43" s="199">
        <v>0</v>
      </c>
      <c r="AF43" s="195"/>
      <c r="AG43" s="196"/>
      <c r="AH43" s="196"/>
      <c r="AI43" s="196"/>
      <c r="AJ43" s="196"/>
      <c r="AK43" s="196"/>
      <c r="AL43" s="206">
        <v>1</v>
      </c>
      <c r="AM43" s="198">
        <v>0</v>
      </c>
      <c r="AN43" s="198">
        <v>0</v>
      </c>
      <c r="AO43" s="199">
        <v>0</v>
      </c>
      <c r="AP43" s="195"/>
      <c r="AQ43" s="196"/>
      <c r="AR43" s="196"/>
      <c r="AS43" s="196"/>
      <c r="AT43" s="196"/>
      <c r="AU43" s="196"/>
      <c r="AV43" s="206">
        <v>1</v>
      </c>
      <c r="AW43" s="198">
        <v>0</v>
      </c>
      <c r="AX43" s="198">
        <v>0</v>
      </c>
      <c r="AY43" s="199">
        <v>0</v>
      </c>
      <c r="AZ43" s="195"/>
      <c r="BA43" s="196"/>
      <c r="BB43" s="196"/>
      <c r="BC43" s="196"/>
      <c r="BD43" s="196"/>
      <c r="BE43" s="196"/>
      <c r="BF43" s="206">
        <v>1</v>
      </c>
      <c r="BG43" s="198">
        <v>0</v>
      </c>
      <c r="BH43" s="198">
        <v>0</v>
      </c>
      <c r="BI43" s="199">
        <v>0</v>
      </c>
      <c r="BJ43" s="195"/>
      <c r="BK43" s="196"/>
      <c r="BL43" s="196"/>
      <c r="BM43" s="196"/>
      <c r="BN43" s="196"/>
      <c r="BO43" s="196"/>
      <c r="BP43" s="206">
        <v>1</v>
      </c>
      <c r="BQ43" s="198">
        <v>0</v>
      </c>
      <c r="BR43" s="198">
        <v>0</v>
      </c>
      <c r="BS43" s="199">
        <v>0</v>
      </c>
      <c r="BT43" s="195"/>
      <c r="BU43" s="196"/>
      <c r="BV43" s="196"/>
      <c r="BW43" s="196"/>
      <c r="BX43" s="196"/>
      <c r="BY43" s="196"/>
      <c r="BZ43" s="206">
        <v>1</v>
      </c>
      <c r="CA43" s="198">
        <v>0</v>
      </c>
      <c r="CB43" s="198">
        <v>0</v>
      </c>
      <c r="CC43" s="199">
        <v>0</v>
      </c>
      <c r="CD43" s="195"/>
      <c r="CE43" s="196"/>
      <c r="CF43" s="196"/>
      <c r="CG43" s="196"/>
      <c r="CH43" s="196"/>
      <c r="CI43" s="196"/>
      <c r="CJ43" s="206">
        <v>1</v>
      </c>
      <c r="CK43" s="198">
        <v>0</v>
      </c>
      <c r="CL43" s="198">
        <v>0</v>
      </c>
      <c r="CM43" s="199">
        <v>0</v>
      </c>
      <c r="CN43" s="195"/>
      <c r="CO43" s="196"/>
      <c r="CP43" s="196"/>
      <c r="CQ43" s="196"/>
      <c r="CR43" s="196"/>
      <c r="CS43" s="196"/>
      <c r="CT43" s="206">
        <v>1</v>
      </c>
      <c r="CU43" s="198">
        <v>0</v>
      </c>
      <c r="CV43" s="198">
        <v>0</v>
      </c>
      <c r="CW43" s="199">
        <v>0</v>
      </c>
      <c r="CX43" s="195"/>
      <c r="CY43" s="196"/>
      <c r="CZ43" s="196"/>
      <c r="DA43" s="196"/>
      <c r="DB43" s="196"/>
      <c r="DC43" s="196"/>
      <c r="DD43" s="206">
        <v>1</v>
      </c>
      <c r="DE43" s="198">
        <v>0</v>
      </c>
      <c r="DF43" s="198">
        <v>0</v>
      </c>
      <c r="DG43" s="199">
        <v>0</v>
      </c>
      <c r="DH43" s="195"/>
      <c r="DI43" s="196"/>
      <c r="DJ43" s="196"/>
      <c r="DK43" s="196"/>
      <c r="DL43" s="196"/>
      <c r="DM43" s="196"/>
      <c r="DN43" s="206">
        <v>1</v>
      </c>
      <c r="DO43" s="198">
        <v>0</v>
      </c>
      <c r="DP43" s="198">
        <v>0</v>
      </c>
      <c r="DQ43" s="199">
        <v>0</v>
      </c>
      <c r="DR43" s="195"/>
      <c r="DS43" s="196"/>
      <c r="DT43" s="196"/>
      <c r="DU43" s="196"/>
      <c r="DV43" s="196"/>
      <c r="DW43" s="196"/>
      <c r="DX43" s="206">
        <v>1</v>
      </c>
      <c r="DY43" s="198">
        <v>0</v>
      </c>
      <c r="DZ43" s="198">
        <v>0</v>
      </c>
      <c r="EA43" s="199">
        <v>0</v>
      </c>
      <c r="EB43" s="195"/>
      <c r="EC43" s="196"/>
      <c r="ED43" s="196"/>
      <c r="EE43" s="196"/>
      <c r="EF43" s="196"/>
      <c r="EG43" s="196"/>
      <c r="EH43" s="206">
        <v>1</v>
      </c>
      <c r="EI43" s="198">
        <v>0</v>
      </c>
      <c r="EJ43" s="198">
        <v>0</v>
      </c>
      <c r="EK43" s="199">
        <v>0</v>
      </c>
      <c r="EL43" s="195"/>
      <c r="EM43" s="196"/>
      <c r="EN43" s="196"/>
      <c r="EO43" s="196"/>
      <c r="EP43" s="196"/>
      <c r="EQ43" s="196"/>
      <c r="ER43" s="206">
        <v>1</v>
      </c>
      <c r="ES43" s="198">
        <v>0</v>
      </c>
      <c r="ET43" s="198">
        <v>0</v>
      </c>
      <c r="EU43" s="199">
        <v>0</v>
      </c>
      <c r="EV43" s="195"/>
      <c r="EW43" s="196"/>
      <c r="EX43" s="196"/>
      <c r="EY43" s="196"/>
      <c r="EZ43" s="196"/>
      <c r="FA43" s="196"/>
      <c r="FB43" s="206">
        <v>1</v>
      </c>
      <c r="FC43" s="198">
        <v>0</v>
      </c>
      <c r="FD43" s="198">
        <v>0</v>
      </c>
      <c r="FE43" s="199">
        <v>0</v>
      </c>
      <c r="FF43" s="195"/>
      <c r="FG43" s="196"/>
      <c r="FH43" s="196"/>
      <c r="FI43" s="196"/>
      <c r="FJ43" s="196"/>
      <c r="FK43" s="196"/>
      <c r="FL43" s="206">
        <v>1</v>
      </c>
      <c r="FM43" s="198">
        <v>0</v>
      </c>
      <c r="FN43" s="198">
        <v>0</v>
      </c>
      <c r="FO43" s="199">
        <v>0</v>
      </c>
      <c r="FP43" s="195"/>
      <c r="FQ43" s="196"/>
      <c r="FR43" s="196"/>
      <c r="FS43" s="196"/>
      <c r="FT43" s="196"/>
      <c r="FU43" s="196"/>
      <c r="FV43" s="206">
        <v>1</v>
      </c>
      <c r="FW43" s="198">
        <v>0</v>
      </c>
      <c r="FX43" s="198">
        <v>0</v>
      </c>
      <c r="FY43" s="199">
        <v>0</v>
      </c>
      <c r="FZ43" s="195"/>
      <c r="GA43" s="196"/>
      <c r="GB43" s="196"/>
      <c r="GC43" s="196"/>
      <c r="GD43" s="196"/>
      <c r="GE43" s="196"/>
      <c r="GF43" s="206">
        <v>1</v>
      </c>
      <c r="GG43" s="198">
        <v>0</v>
      </c>
      <c r="GH43" s="198">
        <v>0</v>
      </c>
      <c r="GI43" s="199">
        <v>0</v>
      </c>
      <c r="GJ43" s="195"/>
      <c r="GK43" s="196"/>
      <c r="GL43" s="196"/>
      <c r="GM43" s="196"/>
      <c r="GN43" s="196"/>
      <c r="GO43" s="196"/>
      <c r="GP43" s="206">
        <v>1</v>
      </c>
      <c r="GQ43" s="198">
        <v>0</v>
      </c>
      <c r="GR43" s="198">
        <v>0</v>
      </c>
      <c r="GS43" s="199">
        <v>0</v>
      </c>
      <c r="GT43" s="195"/>
      <c r="GU43" s="196"/>
      <c r="GV43" s="196"/>
      <c r="GW43" s="196"/>
      <c r="GX43" s="196"/>
      <c r="GY43" s="196"/>
      <c r="GZ43" s="206">
        <v>1</v>
      </c>
      <c r="HA43" s="198">
        <v>0</v>
      </c>
      <c r="HB43" s="198">
        <v>0</v>
      </c>
      <c r="HC43" s="199">
        <v>0</v>
      </c>
      <c r="HD43" s="195"/>
      <c r="HE43" s="196"/>
      <c r="HF43" s="196"/>
      <c r="HG43" s="196"/>
      <c r="HH43" s="196"/>
      <c r="HI43" s="196"/>
      <c r="HJ43" s="206">
        <v>1</v>
      </c>
      <c r="HK43" s="198">
        <v>0</v>
      </c>
      <c r="HL43" s="198">
        <v>0</v>
      </c>
      <c r="HM43" s="199">
        <v>0</v>
      </c>
      <c r="HN43" s="204">
        <v>1</v>
      </c>
      <c r="HO43" s="205">
        <v>0</v>
      </c>
      <c r="HP43" s="204">
        <v>0</v>
      </c>
      <c r="HQ43" s="205">
        <v>0</v>
      </c>
      <c r="HR43" s="204">
        <v>1</v>
      </c>
      <c r="HS43" s="205">
        <v>0</v>
      </c>
      <c r="HT43" s="204">
        <v>1</v>
      </c>
      <c r="HU43" s="205">
        <v>0</v>
      </c>
      <c r="HV43" s="204">
        <v>1</v>
      </c>
      <c r="HW43" s="205">
        <v>0</v>
      </c>
      <c r="HX43" s="204">
        <v>1</v>
      </c>
      <c r="HY43" s="205">
        <v>0</v>
      </c>
      <c r="HZ43" s="204">
        <v>1</v>
      </c>
      <c r="IA43" s="205">
        <v>0</v>
      </c>
      <c r="IB43" s="204">
        <v>1</v>
      </c>
      <c r="IC43" s="205">
        <v>0</v>
      </c>
      <c r="ID43" s="204">
        <v>1</v>
      </c>
      <c r="IE43" s="205">
        <v>0</v>
      </c>
      <c r="IF43" s="204">
        <v>1</v>
      </c>
      <c r="IG43" s="205">
        <v>0</v>
      </c>
      <c r="IH43" s="204">
        <v>1</v>
      </c>
      <c r="II43" s="205">
        <v>0</v>
      </c>
      <c r="IJ43" s="204">
        <v>1</v>
      </c>
      <c r="IK43" s="205">
        <v>0</v>
      </c>
      <c r="IL43" s="204">
        <v>1</v>
      </c>
      <c r="IM43" s="205">
        <v>0</v>
      </c>
      <c r="IN43" s="204">
        <v>1</v>
      </c>
      <c r="IO43" s="205">
        <v>0</v>
      </c>
      <c r="IP43" s="204">
        <v>1</v>
      </c>
      <c r="IQ43" s="205">
        <v>0</v>
      </c>
      <c r="IR43" s="204">
        <v>1</v>
      </c>
      <c r="IS43" s="205">
        <v>0</v>
      </c>
      <c r="IT43" s="204">
        <v>1</v>
      </c>
      <c r="IU43" s="205">
        <v>0</v>
      </c>
      <c r="IV43" s="204">
        <v>1</v>
      </c>
      <c r="IW43" s="205">
        <v>0</v>
      </c>
      <c r="IX43" s="204">
        <v>1</v>
      </c>
      <c r="IY43" s="205">
        <v>0</v>
      </c>
      <c r="IZ43" s="204">
        <v>1</v>
      </c>
      <c r="JA43" s="205">
        <v>0</v>
      </c>
      <c r="JB43" s="204">
        <v>1</v>
      </c>
      <c r="JC43" s="205">
        <v>0</v>
      </c>
      <c r="JD43" s="204">
        <v>1</v>
      </c>
      <c r="JE43" s="233">
        <v>0</v>
      </c>
      <c r="JF43" s="236">
        <f t="shared" si="0"/>
        <v>24</v>
      </c>
      <c r="JG43" s="235">
        <f t="shared" si="1"/>
        <v>0</v>
      </c>
      <c r="JH43" s="235">
        <f t="shared" si="2"/>
        <v>24</v>
      </c>
      <c r="JI43" s="235">
        <f t="shared" si="3"/>
        <v>24</v>
      </c>
      <c r="JJ43" s="235">
        <f t="shared" si="4"/>
        <v>24</v>
      </c>
      <c r="JK43" s="235">
        <f t="shared" si="5"/>
        <v>24</v>
      </c>
      <c r="JL43" s="235">
        <f t="shared" si="6"/>
        <v>24</v>
      </c>
      <c r="JM43" s="235">
        <f t="shared" si="7"/>
        <v>24</v>
      </c>
      <c r="JN43" s="235">
        <f t="shared" si="8"/>
        <v>24</v>
      </c>
      <c r="JO43" s="235">
        <f t="shared" si="9"/>
        <v>24</v>
      </c>
      <c r="JP43" s="235">
        <f t="shared" si="10"/>
        <v>24</v>
      </c>
      <c r="JQ43" s="235">
        <f t="shared" si="11"/>
        <v>24</v>
      </c>
      <c r="JR43" s="235">
        <f t="shared" si="12"/>
        <v>24</v>
      </c>
      <c r="JS43" s="235">
        <f t="shared" si="13"/>
        <v>24</v>
      </c>
      <c r="JT43" s="235">
        <f t="shared" si="14"/>
        <v>24</v>
      </c>
      <c r="JU43" s="235">
        <f t="shared" si="15"/>
        <v>24</v>
      </c>
      <c r="JV43" s="235">
        <f t="shared" si="16"/>
        <v>24</v>
      </c>
      <c r="JW43" s="235">
        <f t="shared" si="17"/>
        <v>24</v>
      </c>
      <c r="JX43" s="235">
        <f t="shared" si="18"/>
        <v>24</v>
      </c>
      <c r="JY43" s="235">
        <f t="shared" si="19"/>
        <v>24</v>
      </c>
      <c r="JZ43" s="235">
        <f t="shared" si="20"/>
        <v>24</v>
      </c>
      <c r="KA43" s="237">
        <f t="shared" si="21"/>
        <v>24</v>
      </c>
      <c r="KB43" s="248">
        <v>46061</v>
      </c>
      <c r="KC43" s="201">
        <v>1.966</v>
      </c>
      <c r="KD43" s="201">
        <v>0</v>
      </c>
      <c r="KE43" s="201">
        <v>1.9650000000000001</v>
      </c>
      <c r="KF43" s="201">
        <v>1.966</v>
      </c>
      <c r="KG43" s="201">
        <v>1.966</v>
      </c>
      <c r="KH43" s="201">
        <v>1.966</v>
      </c>
      <c r="KI43" s="201">
        <v>1.964</v>
      </c>
      <c r="KJ43" s="201">
        <v>1.9650000000000001</v>
      </c>
      <c r="KK43" s="201">
        <v>1.966</v>
      </c>
      <c r="KL43" s="201">
        <v>1.966</v>
      </c>
      <c r="KM43" s="201">
        <v>1.966</v>
      </c>
      <c r="KN43" s="202">
        <v>1.968</v>
      </c>
      <c r="KO43" s="202">
        <v>1.9630000000000001</v>
      </c>
      <c r="KP43" s="202">
        <v>1.9650000000000001</v>
      </c>
      <c r="KQ43" s="202">
        <v>1.9650000000000001</v>
      </c>
      <c r="KR43" s="202">
        <v>1.966</v>
      </c>
      <c r="KS43" s="202">
        <v>1.9650000000000001</v>
      </c>
      <c r="KT43" s="202">
        <v>1.9650000000000001</v>
      </c>
      <c r="KU43" s="202">
        <v>1.964</v>
      </c>
      <c r="KV43" s="202">
        <v>1.9650000000000001</v>
      </c>
      <c r="KW43" s="202">
        <v>1.964</v>
      </c>
      <c r="KX43" s="202">
        <v>1.964</v>
      </c>
      <c r="KY43" s="203">
        <v>41.27</v>
      </c>
    </row>
    <row r="44" spans="1:311">
      <c r="A44" s="194">
        <v>46062</v>
      </c>
      <c r="B44" s="195"/>
      <c r="C44" s="196"/>
      <c r="D44" s="196"/>
      <c r="E44" s="196"/>
      <c r="F44" s="196"/>
      <c r="G44" s="196"/>
      <c r="H44" s="206">
        <v>1</v>
      </c>
      <c r="I44" s="198">
        <v>0</v>
      </c>
      <c r="J44" s="198">
        <v>0</v>
      </c>
      <c r="K44" s="199">
        <v>0</v>
      </c>
      <c r="L44" s="195">
        <v>0.59722222222222221</v>
      </c>
      <c r="M44" s="196"/>
      <c r="N44" s="196"/>
      <c r="O44" s="196"/>
      <c r="P44" s="196"/>
      <c r="Q44" s="196"/>
      <c r="R44" s="200">
        <v>0.40277777777777779</v>
      </c>
      <c r="S44" s="198">
        <v>9</v>
      </c>
      <c r="T44" s="198">
        <v>40</v>
      </c>
      <c r="U44" s="199">
        <v>1</v>
      </c>
      <c r="V44" s="195"/>
      <c r="W44" s="196"/>
      <c r="X44" s="196"/>
      <c r="Y44" s="196"/>
      <c r="Z44" s="196"/>
      <c r="AA44" s="196"/>
      <c r="AB44" s="206">
        <v>1</v>
      </c>
      <c r="AC44" s="198">
        <v>0</v>
      </c>
      <c r="AD44" s="198">
        <v>0</v>
      </c>
      <c r="AE44" s="199">
        <v>0</v>
      </c>
      <c r="AF44" s="195"/>
      <c r="AG44" s="196"/>
      <c r="AH44" s="196"/>
      <c r="AI44" s="196"/>
      <c r="AJ44" s="196"/>
      <c r="AK44" s="196"/>
      <c r="AL44" s="206">
        <v>1</v>
      </c>
      <c r="AM44" s="198">
        <v>0</v>
      </c>
      <c r="AN44" s="198">
        <v>0</v>
      </c>
      <c r="AO44" s="199">
        <v>0</v>
      </c>
      <c r="AP44" s="195"/>
      <c r="AQ44" s="196"/>
      <c r="AR44" s="196"/>
      <c r="AS44" s="196"/>
      <c r="AT44" s="196"/>
      <c r="AU44" s="196"/>
      <c r="AV44" s="206">
        <v>1</v>
      </c>
      <c r="AW44" s="198">
        <v>0</v>
      </c>
      <c r="AX44" s="198">
        <v>0</v>
      </c>
      <c r="AY44" s="199">
        <v>0</v>
      </c>
      <c r="AZ44" s="195"/>
      <c r="BA44" s="196"/>
      <c r="BB44" s="196"/>
      <c r="BC44" s="196"/>
      <c r="BD44" s="196"/>
      <c r="BE44" s="196"/>
      <c r="BF44" s="206">
        <v>1</v>
      </c>
      <c r="BG44" s="198">
        <v>0</v>
      </c>
      <c r="BH44" s="198">
        <v>0</v>
      </c>
      <c r="BI44" s="199">
        <v>0</v>
      </c>
      <c r="BJ44" s="195"/>
      <c r="BK44" s="196"/>
      <c r="BL44" s="196"/>
      <c r="BM44" s="196"/>
      <c r="BN44" s="196"/>
      <c r="BO44" s="196"/>
      <c r="BP44" s="206">
        <v>1</v>
      </c>
      <c r="BQ44" s="198">
        <v>0</v>
      </c>
      <c r="BR44" s="198">
        <v>0</v>
      </c>
      <c r="BS44" s="199">
        <v>0</v>
      </c>
      <c r="BT44" s="195"/>
      <c r="BU44" s="196"/>
      <c r="BV44" s="196"/>
      <c r="BW44" s="196"/>
      <c r="BX44" s="196"/>
      <c r="BY44" s="196"/>
      <c r="BZ44" s="206">
        <v>1</v>
      </c>
      <c r="CA44" s="198">
        <v>0</v>
      </c>
      <c r="CB44" s="198">
        <v>0</v>
      </c>
      <c r="CC44" s="199">
        <v>0</v>
      </c>
      <c r="CD44" s="195"/>
      <c r="CE44" s="196"/>
      <c r="CF44" s="196"/>
      <c r="CG44" s="196"/>
      <c r="CH44" s="196"/>
      <c r="CI44" s="196"/>
      <c r="CJ44" s="206">
        <v>1</v>
      </c>
      <c r="CK44" s="198">
        <v>0</v>
      </c>
      <c r="CL44" s="198">
        <v>0</v>
      </c>
      <c r="CM44" s="199">
        <v>0</v>
      </c>
      <c r="CN44" s="195"/>
      <c r="CO44" s="196"/>
      <c r="CP44" s="196"/>
      <c r="CQ44" s="196"/>
      <c r="CR44" s="196"/>
      <c r="CS44" s="196"/>
      <c r="CT44" s="206">
        <v>1</v>
      </c>
      <c r="CU44" s="198">
        <v>0</v>
      </c>
      <c r="CV44" s="198">
        <v>0</v>
      </c>
      <c r="CW44" s="199">
        <v>0</v>
      </c>
      <c r="CX44" s="195"/>
      <c r="CY44" s="196"/>
      <c r="CZ44" s="196"/>
      <c r="DA44" s="196"/>
      <c r="DB44" s="196"/>
      <c r="DC44" s="196"/>
      <c r="DD44" s="206">
        <v>1</v>
      </c>
      <c r="DE44" s="198">
        <v>0</v>
      </c>
      <c r="DF44" s="198">
        <v>0</v>
      </c>
      <c r="DG44" s="199">
        <v>0</v>
      </c>
      <c r="DH44" s="195"/>
      <c r="DI44" s="196"/>
      <c r="DJ44" s="196"/>
      <c r="DK44" s="196"/>
      <c r="DL44" s="196"/>
      <c r="DM44" s="196"/>
      <c r="DN44" s="206">
        <v>1</v>
      </c>
      <c r="DO44" s="198">
        <v>0</v>
      </c>
      <c r="DP44" s="198">
        <v>0</v>
      </c>
      <c r="DQ44" s="199">
        <v>0</v>
      </c>
      <c r="DR44" s="195"/>
      <c r="DS44" s="196">
        <v>0.41666666666666669</v>
      </c>
      <c r="DT44" s="196">
        <v>0.79861111111111116</v>
      </c>
      <c r="DU44" s="196"/>
      <c r="DV44" s="196"/>
      <c r="DW44" s="196"/>
      <c r="DX44" s="200">
        <v>0.61805555555555558</v>
      </c>
      <c r="DY44" s="198">
        <v>14</v>
      </c>
      <c r="DZ44" s="198">
        <v>50</v>
      </c>
      <c r="EA44" s="199">
        <v>1</v>
      </c>
      <c r="EB44" s="195"/>
      <c r="EC44" s="196"/>
      <c r="ED44" s="196"/>
      <c r="EE44" s="196"/>
      <c r="EF44" s="196"/>
      <c r="EG44" s="196"/>
      <c r="EH44" s="206">
        <v>1</v>
      </c>
      <c r="EI44" s="198">
        <v>0</v>
      </c>
      <c r="EJ44" s="198">
        <v>0</v>
      </c>
      <c r="EK44" s="199">
        <v>0</v>
      </c>
      <c r="EL44" s="195"/>
      <c r="EM44" s="196"/>
      <c r="EN44" s="196"/>
      <c r="EO44" s="196"/>
      <c r="EP44" s="196"/>
      <c r="EQ44" s="196"/>
      <c r="ER44" s="206">
        <v>1</v>
      </c>
      <c r="ES44" s="198">
        <v>0</v>
      </c>
      <c r="ET44" s="198">
        <v>0</v>
      </c>
      <c r="EU44" s="199">
        <v>0</v>
      </c>
      <c r="EV44" s="195"/>
      <c r="EW44" s="196"/>
      <c r="EX44" s="196"/>
      <c r="EY44" s="196"/>
      <c r="EZ44" s="196"/>
      <c r="FA44" s="196"/>
      <c r="FB44" s="206">
        <v>1</v>
      </c>
      <c r="FC44" s="198">
        <v>0</v>
      </c>
      <c r="FD44" s="198">
        <v>0</v>
      </c>
      <c r="FE44" s="199">
        <v>0</v>
      </c>
      <c r="FF44" s="195"/>
      <c r="FG44" s="196"/>
      <c r="FH44" s="196"/>
      <c r="FI44" s="196"/>
      <c r="FJ44" s="196"/>
      <c r="FK44" s="196"/>
      <c r="FL44" s="206">
        <v>1</v>
      </c>
      <c r="FM44" s="198">
        <v>0</v>
      </c>
      <c r="FN44" s="198">
        <v>0</v>
      </c>
      <c r="FO44" s="199">
        <v>0</v>
      </c>
      <c r="FP44" s="195"/>
      <c r="FQ44" s="196"/>
      <c r="FR44" s="196"/>
      <c r="FS44" s="196"/>
      <c r="FT44" s="196"/>
      <c r="FU44" s="196"/>
      <c r="FV44" s="206">
        <v>1</v>
      </c>
      <c r="FW44" s="198">
        <v>0</v>
      </c>
      <c r="FX44" s="198">
        <v>0</v>
      </c>
      <c r="FY44" s="199">
        <v>0</v>
      </c>
      <c r="FZ44" s="195"/>
      <c r="GA44" s="196"/>
      <c r="GB44" s="196"/>
      <c r="GC44" s="196"/>
      <c r="GD44" s="196"/>
      <c r="GE44" s="196"/>
      <c r="GF44" s="206">
        <v>1</v>
      </c>
      <c r="GG44" s="198">
        <v>0</v>
      </c>
      <c r="GH44" s="198">
        <v>0</v>
      </c>
      <c r="GI44" s="199">
        <v>0</v>
      </c>
      <c r="GJ44" s="195"/>
      <c r="GK44" s="196"/>
      <c r="GL44" s="196"/>
      <c r="GM44" s="196"/>
      <c r="GN44" s="196"/>
      <c r="GO44" s="196"/>
      <c r="GP44" s="206">
        <v>1</v>
      </c>
      <c r="GQ44" s="198">
        <v>0</v>
      </c>
      <c r="GR44" s="198">
        <v>0</v>
      </c>
      <c r="GS44" s="199">
        <v>0</v>
      </c>
      <c r="GT44" s="195"/>
      <c r="GU44" s="196"/>
      <c r="GV44" s="196"/>
      <c r="GW44" s="196"/>
      <c r="GX44" s="196"/>
      <c r="GY44" s="196"/>
      <c r="GZ44" s="206">
        <v>1</v>
      </c>
      <c r="HA44" s="198">
        <v>0</v>
      </c>
      <c r="HB44" s="198">
        <v>0</v>
      </c>
      <c r="HC44" s="199">
        <v>0</v>
      </c>
      <c r="HD44" s="195"/>
      <c r="HE44" s="196"/>
      <c r="HF44" s="196"/>
      <c r="HG44" s="196"/>
      <c r="HH44" s="196"/>
      <c r="HI44" s="196"/>
      <c r="HJ44" s="206">
        <v>1</v>
      </c>
      <c r="HK44" s="198">
        <v>0</v>
      </c>
      <c r="HL44" s="198">
        <v>0</v>
      </c>
      <c r="HM44" s="199">
        <v>0</v>
      </c>
      <c r="HN44" s="204">
        <v>1</v>
      </c>
      <c r="HO44" s="205">
        <v>0</v>
      </c>
      <c r="HP44" s="204">
        <v>0.40277777777777779</v>
      </c>
      <c r="HQ44" s="205">
        <v>1</v>
      </c>
      <c r="HR44" s="204">
        <v>1</v>
      </c>
      <c r="HS44" s="205">
        <v>0</v>
      </c>
      <c r="HT44" s="204">
        <v>1</v>
      </c>
      <c r="HU44" s="205">
        <v>0</v>
      </c>
      <c r="HV44" s="204">
        <v>1</v>
      </c>
      <c r="HW44" s="205">
        <v>0</v>
      </c>
      <c r="HX44" s="204">
        <v>1</v>
      </c>
      <c r="HY44" s="205">
        <v>0</v>
      </c>
      <c r="HZ44" s="204">
        <v>1</v>
      </c>
      <c r="IA44" s="205">
        <v>0</v>
      </c>
      <c r="IB44" s="204">
        <v>1</v>
      </c>
      <c r="IC44" s="205">
        <v>0</v>
      </c>
      <c r="ID44" s="204">
        <v>1</v>
      </c>
      <c r="IE44" s="205">
        <v>0</v>
      </c>
      <c r="IF44" s="204">
        <v>1</v>
      </c>
      <c r="IG44" s="205">
        <v>0</v>
      </c>
      <c r="IH44" s="204">
        <v>1</v>
      </c>
      <c r="II44" s="205">
        <v>0</v>
      </c>
      <c r="IJ44" s="204">
        <v>1</v>
      </c>
      <c r="IK44" s="205">
        <v>0</v>
      </c>
      <c r="IL44" s="204">
        <v>0.61805555555555558</v>
      </c>
      <c r="IM44" s="205">
        <v>1</v>
      </c>
      <c r="IN44" s="204">
        <v>1</v>
      </c>
      <c r="IO44" s="205">
        <v>0</v>
      </c>
      <c r="IP44" s="204">
        <v>1</v>
      </c>
      <c r="IQ44" s="205">
        <v>0</v>
      </c>
      <c r="IR44" s="204">
        <v>1</v>
      </c>
      <c r="IS44" s="205">
        <v>0</v>
      </c>
      <c r="IT44" s="204">
        <v>1</v>
      </c>
      <c r="IU44" s="205">
        <v>0</v>
      </c>
      <c r="IV44" s="204">
        <v>1</v>
      </c>
      <c r="IW44" s="205">
        <v>0</v>
      </c>
      <c r="IX44" s="204">
        <v>1</v>
      </c>
      <c r="IY44" s="205">
        <v>0</v>
      </c>
      <c r="IZ44" s="204">
        <v>1</v>
      </c>
      <c r="JA44" s="205">
        <v>0</v>
      </c>
      <c r="JB44" s="204">
        <v>1</v>
      </c>
      <c r="JC44" s="205">
        <v>0</v>
      </c>
      <c r="JD44" s="204">
        <v>1</v>
      </c>
      <c r="JE44" s="233">
        <v>0</v>
      </c>
      <c r="JF44" s="236">
        <f t="shared" si="0"/>
        <v>24</v>
      </c>
      <c r="JG44" s="235">
        <f t="shared" si="1"/>
        <v>9.6666666666666679</v>
      </c>
      <c r="JH44" s="235">
        <f t="shared" si="2"/>
        <v>24</v>
      </c>
      <c r="JI44" s="235">
        <f t="shared" si="3"/>
        <v>24</v>
      </c>
      <c r="JJ44" s="235">
        <f t="shared" si="4"/>
        <v>24</v>
      </c>
      <c r="JK44" s="235">
        <f t="shared" si="5"/>
        <v>24</v>
      </c>
      <c r="JL44" s="235">
        <f t="shared" si="6"/>
        <v>24</v>
      </c>
      <c r="JM44" s="235">
        <f t="shared" si="7"/>
        <v>24</v>
      </c>
      <c r="JN44" s="235">
        <f t="shared" si="8"/>
        <v>24</v>
      </c>
      <c r="JO44" s="235">
        <f t="shared" si="9"/>
        <v>24</v>
      </c>
      <c r="JP44" s="235">
        <f t="shared" si="10"/>
        <v>24</v>
      </c>
      <c r="JQ44" s="235">
        <f t="shared" si="11"/>
        <v>24</v>
      </c>
      <c r="JR44" s="235">
        <f t="shared" si="12"/>
        <v>14.833333333333334</v>
      </c>
      <c r="JS44" s="235">
        <f t="shared" si="13"/>
        <v>24</v>
      </c>
      <c r="JT44" s="235">
        <f t="shared" si="14"/>
        <v>24</v>
      </c>
      <c r="JU44" s="235">
        <f t="shared" si="15"/>
        <v>24</v>
      </c>
      <c r="JV44" s="235">
        <f t="shared" si="16"/>
        <v>24</v>
      </c>
      <c r="JW44" s="235">
        <f t="shared" si="17"/>
        <v>24</v>
      </c>
      <c r="JX44" s="235">
        <f t="shared" si="18"/>
        <v>24</v>
      </c>
      <c r="JY44" s="235">
        <f t="shared" si="19"/>
        <v>24</v>
      </c>
      <c r="JZ44" s="235">
        <f t="shared" si="20"/>
        <v>24</v>
      </c>
      <c r="KA44" s="237">
        <f t="shared" si="21"/>
        <v>24</v>
      </c>
      <c r="KB44" s="248">
        <v>46062</v>
      </c>
      <c r="KC44" s="201">
        <v>1.9570000000000001</v>
      </c>
      <c r="KD44" s="201">
        <v>0.78300000000000003</v>
      </c>
      <c r="KE44" s="201">
        <v>2.0009999999999999</v>
      </c>
      <c r="KF44" s="201">
        <v>2.004</v>
      </c>
      <c r="KG44" s="201">
        <v>2.0049999999999999</v>
      </c>
      <c r="KH44" s="201">
        <v>2.004</v>
      </c>
      <c r="KI44" s="201">
        <v>2.0009999999999999</v>
      </c>
      <c r="KJ44" s="201">
        <v>2.0030000000000001</v>
      </c>
      <c r="KK44" s="201">
        <v>2.0049999999999999</v>
      </c>
      <c r="KL44" s="201">
        <v>2.004</v>
      </c>
      <c r="KM44" s="201">
        <v>2.004</v>
      </c>
      <c r="KN44" s="202">
        <v>2.0070000000000001</v>
      </c>
      <c r="KO44" s="202">
        <v>1.196</v>
      </c>
      <c r="KP44" s="202">
        <v>2.0030000000000001</v>
      </c>
      <c r="KQ44" s="202">
        <v>2.004</v>
      </c>
      <c r="KR44" s="202">
        <v>2.004</v>
      </c>
      <c r="KS44" s="202">
        <v>2.0030000000000001</v>
      </c>
      <c r="KT44" s="202">
        <v>2.0030000000000001</v>
      </c>
      <c r="KU44" s="202">
        <v>2.0030000000000001</v>
      </c>
      <c r="KV44" s="202">
        <v>2.004</v>
      </c>
      <c r="KW44" s="202">
        <v>2.0030000000000001</v>
      </c>
      <c r="KX44" s="202">
        <v>2.0030000000000001</v>
      </c>
      <c r="KY44" s="203">
        <v>42.004000000000005</v>
      </c>
    </row>
    <row r="45" spans="1:311">
      <c r="A45" s="194">
        <v>46063</v>
      </c>
      <c r="B45" s="195"/>
      <c r="C45" s="196"/>
      <c r="D45" s="196"/>
      <c r="E45" s="196"/>
      <c r="F45" s="196"/>
      <c r="G45" s="196"/>
      <c r="H45" s="206">
        <v>1</v>
      </c>
      <c r="I45" s="198">
        <v>0</v>
      </c>
      <c r="J45" s="198">
        <v>0</v>
      </c>
      <c r="K45" s="199">
        <v>0</v>
      </c>
      <c r="L45" s="195"/>
      <c r="M45" s="196"/>
      <c r="N45" s="196"/>
      <c r="O45" s="196"/>
      <c r="P45" s="196"/>
      <c r="Q45" s="196"/>
      <c r="R45" s="206">
        <v>1</v>
      </c>
      <c r="S45" s="198">
        <v>0</v>
      </c>
      <c r="T45" s="198">
        <v>0</v>
      </c>
      <c r="U45" s="199">
        <v>0</v>
      </c>
      <c r="V45" s="195"/>
      <c r="W45" s="196"/>
      <c r="X45" s="196"/>
      <c r="Y45" s="196"/>
      <c r="Z45" s="196"/>
      <c r="AA45" s="196"/>
      <c r="AB45" s="206">
        <v>1</v>
      </c>
      <c r="AC45" s="198">
        <v>0</v>
      </c>
      <c r="AD45" s="198">
        <v>0</v>
      </c>
      <c r="AE45" s="199">
        <v>0</v>
      </c>
      <c r="AF45" s="195"/>
      <c r="AG45" s="196"/>
      <c r="AH45" s="196"/>
      <c r="AI45" s="196"/>
      <c r="AJ45" s="196"/>
      <c r="AK45" s="196"/>
      <c r="AL45" s="206">
        <v>1</v>
      </c>
      <c r="AM45" s="198">
        <v>0</v>
      </c>
      <c r="AN45" s="198">
        <v>0</v>
      </c>
      <c r="AO45" s="199">
        <v>0</v>
      </c>
      <c r="AP45" s="195"/>
      <c r="AQ45" s="196"/>
      <c r="AR45" s="196"/>
      <c r="AS45" s="196"/>
      <c r="AT45" s="196"/>
      <c r="AU45" s="196"/>
      <c r="AV45" s="206">
        <v>1</v>
      </c>
      <c r="AW45" s="198">
        <v>0</v>
      </c>
      <c r="AX45" s="198">
        <v>0</v>
      </c>
      <c r="AY45" s="199">
        <v>0</v>
      </c>
      <c r="AZ45" s="195"/>
      <c r="BA45" s="196"/>
      <c r="BB45" s="196"/>
      <c r="BC45" s="196"/>
      <c r="BD45" s="196"/>
      <c r="BE45" s="196"/>
      <c r="BF45" s="206">
        <v>1</v>
      </c>
      <c r="BG45" s="198">
        <v>0</v>
      </c>
      <c r="BH45" s="198">
        <v>0</v>
      </c>
      <c r="BI45" s="199">
        <v>0</v>
      </c>
      <c r="BJ45" s="195"/>
      <c r="BK45" s="196"/>
      <c r="BL45" s="196"/>
      <c r="BM45" s="196"/>
      <c r="BN45" s="196"/>
      <c r="BO45" s="196"/>
      <c r="BP45" s="206">
        <v>1</v>
      </c>
      <c r="BQ45" s="198">
        <v>0</v>
      </c>
      <c r="BR45" s="198">
        <v>0</v>
      </c>
      <c r="BS45" s="199">
        <v>0</v>
      </c>
      <c r="BT45" s="195"/>
      <c r="BU45" s="196"/>
      <c r="BV45" s="196"/>
      <c r="BW45" s="196"/>
      <c r="BX45" s="196"/>
      <c r="BY45" s="196"/>
      <c r="BZ45" s="206">
        <v>1</v>
      </c>
      <c r="CA45" s="198">
        <v>0</v>
      </c>
      <c r="CB45" s="198">
        <v>0</v>
      </c>
      <c r="CC45" s="199">
        <v>0</v>
      </c>
      <c r="CD45" s="195"/>
      <c r="CE45" s="196"/>
      <c r="CF45" s="196"/>
      <c r="CG45" s="196"/>
      <c r="CH45" s="196"/>
      <c r="CI45" s="196"/>
      <c r="CJ45" s="206">
        <v>1</v>
      </c>
      <c r="CK45" s="198">
        <v>0</v>
      </c>
      <c r="CL45" s="198">
        <v>0</v>
      </c>
      <c r="CM45" s="199">
        <v>0</v>
      </c>
      <c r="CN45" s="195"/>
      <c r="CO45" s="196"/>
      <c r="CP45" s="196"/>
      <c r="CQ45" s="196"/>
      <c r="CR45" s="196"/>
      <c r="CS45" s="196"/>
      <c r="CT45" s="206">
        <v>1</v>
      </c>
      <c r="CU45" s="198">
        <v>0</v>
      </c>
      <c r="CV45" s="198">
        <v>0</v>
      </c>
      <c r="CW45" s="199">
        <v>0</v>
      </c>
      <c r="CX45" s="195"/>
      <c r="CY45" s="196"/>
      <c r="CZ45" s="196"/>
      <c r="DA45" s="196"/>
      <c r="DB45" s="196"/>
      <c r="DC45" s="196"/>
      <c r="DD45" s="206">
        <v>1</v>
      </c>
      <c r="DE45" s="198">
        <v>0</v>
      </c>
      <c r="DF45" s="198">
        <v>0</v>
      </c>
      <c r="DG45" s="199">
        <v>0</v>
      </c>
      <c r="DH45" s="195"/>
      <c r="DI45" s="196"/>
      <c r="DJ45" s="196"/>
      <c r="DK45" s="196"/>
      <c r="DL45" s="196"/>
      <c r="DM45" s="196"/>
      <c r="DN45" s="206">
        <v>1</v>
      </c>
      <c r="DO45" s="198">
        <v>0</v>
      </c>
      <c r="DP45" s="198">
        <v>0</v>
      </c>
      <c r="DQ45" s="199">
        <v>0</v>
      </c>
      <c r="DR45" s="195"/>
      <c r="DS45" s="196"/>
      <c r="DT45" s="196"/>
      <c r="DU45" s="196"/>
      <c r="DV45" s="196"/>
      <c r="DW45" s="196"/>
      <c r="DX45" s="206">
        <v>1</v>
      </c>
      <c r="DY45" s="198">
        <v>0</v>
      </c>
      <c r="DZ45" s="198">
        <v>0</v>
      </c>
      <c r="EA45" s="199">
        <v>0</v>
      </c>
      <c r="EB45" s="195"/>
      <c r="EC45" s="196"/>
      <c r="ED45" s="196"/>
      <c r="EE45" s="196"/>
      <c r="EF45" s="196"/>
      <c r="EG45" s="196"/>
      <c r="EH45" s="206">
        <v>1</v>
      </c>
      <c r="EI45" s="198">
        <v>0</v>
      </c>
      <c r="EJ45" s="198">
        <v>0</v>
      </c>
      <c r="EK45" s="199">
        <v>0</v>
      </c>
      <c r="EL45" s="195"/>
      <c r="EM45" s="196"/>
      <c r="EN45" s="196"/>
      <c r="EO45" s="196"/>
      <c r="EP45" s="196"/>
      <c r="EQ45" s="196"/>
      <c r="ER45" s="206">
        <v>1</v>
      </c>
      <c r="ES45" s="198">
        <v>0</v>
      </c>
      <c r="ET45" s="198">
        <v>0</v>
      </c>
      <c r="EU45" s="199">
        <v>0</v>
      </c>
      <c r="EV45" s="195"/>
      <c r="EW45" s="196"/>
      <c r="EX45" s="196"/>
      <c r="EY45" s="196"/>
      <c r="EZ45" s="196"/>
      <c r="FA45" s="196"/>
      <c r="FB45" s="206">
        <v>1</v>
      </c>
      <c r="FC45" s="198">
        <v>0</v>
      </c>
      <c r="FD45" s="198">
        <v>0</v>
      </c>
      <c r="FE45" s="199">
        <v>0</v>
      </c>
      <c r="FF45" s="195"/>
      <c r="FG45" s="196"/>
      <c r="FH45" s="196"/>
      <c r="FI45" s="196"/>
      <c r="FJ45" s="196"/>
      <c r="FK45" s="196"/>
      <c r="FL45" s="206">
        <v>1</v>
      </c>
      <c r="FM45" s="198">
        <v>0</v>
      </c>
      <c r="FN45" s="198">
        <v>0</v>
      </c>
      <c r="FO45" s="199">
        <v>0</v>
      </c>
      <c r="FP45" s="195"/>
      <c r="FQ45" s="196"/>
      <c r="FR45" s="196"/>
      <c r="FS45" s="196"/>
      <c r="FT45" s="196"/>
      <c r="FU45" s="196"/>
      <c r="FV45" s="206">
        <v>1</v>
      </c>
      <c r="FW45" s="198">
        <v>0</v>
      </c>
      <c r="FX45" s="198">
        <v>0</v>
      </c>
      <c r="FY45" s="199">
        <v>0</v>
      </c>
      <c r="FZ45" s="195"/>
      <c r="GA45" s="196"/>
      <c r="GB45" s="196"/>
      <c r="GC45" s="196"/>
      <c r="GD45" s="196"/>
      <c r="GE45" s="196"/>
      <c r="GF45" s="206">
        <v>1</v>
      </c>
      <c r="GG45" s="198">
        <v>0</v>
      </c>
      <c r="GH45" s="198">
        <v>0</v>
      </c>
      <c r="GI45" s="199">
        <v>0</v>
      </c>
      <c r="GJ45" s="195"/>
      <c r="GK45" s="196"/>
      <c r="GL45" s="196"/>
      <c r="GM45" s="196"/>
      <c r="GN45" s="196"/>
      <c r="GO45" s="196"/>
      <c r="GP45" s="206">
        <v>1</v>
      </c>
      <c r="GQ45" s="198">
        <v>0</v>
      </c>
      <c r="GR45" s="198">
        <v>0</v>
      </c>
      <c r="GS45" s="199">
        <v>0</v>
      </c>
      <c r="GT45" s="195"/>
      <c r="GU45" s="196"/>
      <c r="GV45" s="196"/>
      <c r="GW45" s="196"/>
      <c r="GX45" s="196"/>
      <c r="GY45" s="196"/>
      <c r="GZ45" s="206">
        <v>1</v>
      </c>
      <c r="HA45" s="198">
        <v>0</v>
      </c>
      <c r="HB45" s="198">
        <v>0</v>
      </c>
      <c r="HC45" s="199">
        <v>0</v>
      </c>
      <c r="HD45" s="195"/>
      <c r="HE45" s="196">
        <v>0.3888888888888889</v>
      </c>
      <c r="HF45" s="196">
        <v>0.66666666666666663</v>
      </c>
      <c r="HG45" s="196"/>
      <c r="HH45" s="196"/>
      <c r="HI45" s="196"/>
      <c r="HJ45" s="200">
        <v>0.72222222222222232</v>
      </c>
      <c r="HK45" s="198">
        <v>17</v>
      </c>
      <c r="HL45" s="198">
        <v>20</v>
      </c>
      <c r="HM45" s="199">
        <v>1</v>
      </c>
      <c r="HN45" s="204">
        <v>1</v>
      </c>
      <c r="HO45" s="205">
        <v>0</v>
      </c>
      <c r="HP45" s="204">
        <v>1</v>
      </c>
      <c r="HQ45" s="205">
        <v>0</v>
      </c>
      <c r="HR45" s="204">
        <v>1</v>
      </c>
      <c r="HS45" s="205">
        <v>0</v>
      </c>
      <c r="HT45" s="204">
        <v>1</v>
      </c>
      <c r="HU45" s="205">
        <v>0</v>
      </c>
      <c r="HV45" s="204">
        <v>1</v>
      </c>
      <c r="HW45" s="205">
        <v>0</v>
      </c>
      <c r="HX45" s="204">
        <v>1</v>
      </c>
      <c r="HY45" s="205">
        <v>0</v>
      </c>
      <c r="HZ45" s="204">
        <v>1</v>
      </c>
      <c r="IA45" s="205">
        <v>0</v>
      </c>
      <c r="IB45" s="204">
        <v>1</v>
      </c>
      <c r="IC45" s="205">
        <v>0</v>
      </c>
      <c r="ID45" s="204">
        <v>1</v>
      </c>
      <c r="IE45" s="205">
        <v>0</v>
      </c>
      <c r="IF45" s="204">
        <v>1</v>
      </c>
      <c r="IG45" s="205">
        <v>0</v>
      </c>
      <c r="IH45" s="204">
        <v>1</v>
      </c>
      <c r="II45" s="205">
        <v>0</v>
      </c>
      <c r="IJ45" s="204">
        <v>1</v>
      </c>
      <c r="IK45" s="205">
        <v>0</v>
      </c>
      <c r="IL45" s="204">
        <v>1</v>
      </c>
      <c r="IM45" s="205">
        <v>0</v>
      </c>
      <c r="IN45" s="204">
        <v>1</v>
      </c>
      <c r="IO45" s="205">
        <v>0</v>
      </c>
      <c r="IP45" s="204">
        <v>1</v>
      </c>
      <c r="IQ45" s="205">
        <v>0</v>
      </c>
      <c r="IR45" s="204">
        <v>1</v>
      </c>
      <c r="IS45" s="205">
        <v>0</v>
      </c>
      <c r="IT45" s="204">
        <v>1</v>
      </c>
      <c r="IU45" s="205">
        <v>0</v>
      </c>
      <c r="IV45" s="204">
        <v>1</v>
      </c>
      <c r="IW45" s="205">
        <v>0</v>
      </c>
      <c r="IX45" s="204">
        <v>1</v>
      </c>
      <c r="IY45" s="205">
        <v>0</v>
      </c>
      <c r="IZ45" s="204">
        <v>1</v>
      </c>
      <c r="JA45" s="205">
        <v>0</v>
      </c>
      <c r="JB45" s="204">
        <v>1</v>
      </c>
      <c r="JC45" s="205">
        <v>0</v>
      </c>
      <c r="JD45" s="204">
        <v>0.72222222222222232</v>
      </c>
      <c r="JE45" s="233">
        <v>1</v>
      </c>
      <c r="JF45" s="236">
        <f t="shared" si="0"/>
        <v>24</v>
      </c>
      <c r="JG45" s="235">
        <f t="shared" si="1"/>
        <v>24</v>
      </c>
      <c r="JH45" s="235">
        <f t="shared" si="2"/>
        <v>24</v>
      </c>
      <c r="JI45" s="235">
        <f t="shared" si="3"/>
        <v>24</v>
      </c>
      <c r="JJ45" s="235">
        <f t="shared" si="4"/>
        <v>24</v>
      </c>
      <c r="JK45" s="235">
        <f t="shared" si="5"/>
        <v>24</v>
      </c>
      <c r="JL45" s="235">
        <f t="shared" si="6"/>
        <v>24</v>
      </c>
      <c r="JM45" s="235">
        <f t="shared" si="7"/>
        <v>24</v>
      </c>
      <c r="JN45" s="235">
        <f t="shared" si="8"/>
        <v>24</v>
      </c>
      <c r="JO45" s="235">
        <f t="shared" si="9"/>
        <v>24</v>
      </c>
      <c r="JP45" s="235">
        <f t="shared" si="10"/>
        <v>24</v>
      </c>
      <c r="JQ45" s="235">
        <f t="shared" si="11"/>
        <v>24</v>
      </c>
      <c r="JR45" s="235">
        <f t="shared" si="12"/>
        <v>24</v>
      </c>
      <c r="JS45" s="235">
        <f t="shared" si="13"/>
        <v>24</v>
      </c>
      <c r="JT45" s="235">
        <f t="shared" si="14"/>
        <v>24</v>
      </c>
      <c r="JU45" s="235">
        <f t="shared" si="15"/>
        <v>24</v>
      </c>
      <c r="JV45" s="235">
        <f t="shared" si="16"/>
        <v>24</v>
      </c>
      <c r="JW45" s="235">
        <f t="shared" si="17"/>
        <v>24</v>
      </c>
      <c r="JX45" s="235">
        <f t="shared" si="18"/>
        <v>24</v>
      </c>
      <c r="JY45" s="235">
        <f t="shared" si="19"/>
        <v>24</v>
      </c>
      <c r="JZ45" s="235">
        <f t="shared" si="20"/>
        <v>24</v>
      </c>
      <c r="KA45" s="237">
        <f t="shared" si="21"/>
        <v>17.333333333333336</v>
      </c>
      <c r="KB45" s="248">
        <v>46063</v>
      </c>
      <c r="KC45" s="201">
        <v>2.101</v>
      </c>
      <c r="KD45" s="201">
        <v>2.1</v>
      </c>
      <c r="KE45" s="201">
        <v>2.101</v>
      </c>
      <c r="KF45" s="201">
        <v>2.101</v>
      </c>
      <c r="KG45" s="201">
        <v>2.101</v>
      </c>
      <c r="KH45" s="201">
        <v>2.101</v>
      </c>
      <c r="KI45" s="201">
        <v>2.1</v>
      </c>
      <c r="KJ45" s="201">
        <v>2.1</v>
      </c>
      <c r="KK45" s="201">
        <v>2.1019999999999999</v>
      </c>
      <c r="KL45" s="201">
        <v>2.101</v>
      </c>
      <c r="KM45" s="201">
        <v>2.101</v>
      </c>
      <c r="KN45" s="202">
        <v>2.1</v>
      </c>
      <c r="KO45" s="202">
        <v>2.0960000000000001</v>
      </c>
      <c r="KP45" s="202">
        <v>2.1</v>
      </c>
      <c r="KQ45" s="202">
        <v>2.101</v>
      </c>
      <c r="KR45" s="202">
        <v>2.101</v>
      </c>
      <c r="KS45" s="202">
        <v>2.1</v>
      </c>
      <c r="KT45" s="202">
        <v>2.097</v>
      </c>
      <c r="KU45" s="202">
        <v>2.0960000000000001</v>
      </c>
      <c r="KV45" s="202">
        <v>2.0979999999999999</v>
      </c>
      <c r="KW45" s="202">
        <v>2.1</v>
      </c>
      <c r="KX45" s="202">
        <v>1.506</v>
      </c>
      <c r="KY45" s="203">
        <v>45.604000000000006</v>
      </c>
    </row>
    <row r="46" spans="1:311">
      <c r="A46" s="194">
        <v>46064</v>
      </c>
      <c r="B46" s="195"/>
      <c r="C46" s="196"/>
      <c r="D46" s="196"/>
      <c r="E46" s="196"/>
      <c r="F46" s="196"/>
      <c r="G46" s="196"/>
      <c r="H46" s="206">
        <v>1</v>
      </c>
      <c r="I46" s="198">
        <v>0</v>
      </c>
      <c r="J46" s="198">
        <v>0</v>
      </c>
      <c r="K46" s="199">
        <v>0</v>
      </c>
      <c r="L46" s="195"/>
      <c r="M46" s="196"/>
      <c r="N46" s="196"/>
      <c r="O46" s="196"/>
      <c r="P46" s="196"/>
      <c r="Q46" s="196"/>
      <c r="R46" s="206">
        <v>1</v>
      </c>
      <c r="S46" s="198">
        <v>0</v>
      </c>
      <c r="T46" s="198">
        <v>0</v>
      </c>
      <c r="U46" s="199">
        <v>0</v>
      </c>
      <c r="V46" s="195"/>
      <c r="W46" s="196"/>
      <c r="X46" s="196"/>
      <c r="Y46" s="196"/>
      <c r="Z46" s="196"/>
      <c r="AA46" s="196"/>
      <c r="AB46" s="206">
        <v>1</v>
      </c>
      <c r="AC46" s="198">
        <v>0</v>
      </c>
      <c r="AD46" s="198">
        <v>0</v>
      </c>
      <c r="AE46" s="199">
        <v>0</v>
      </c>
      <c r="AF46" s="195"/>
      <c r="AG46" s="196"/>
      <c r="AH46" s="196"/>
      <c r="AI46" s="196"/>
      <c r="AJ46" s="196"/>
      <c r="AK46" s="196"/>
      <c r="AL46" s="206">
        <v>1</v>
      </c>
      <c r="AM46" s="198">
        <v>0</v>
      </c>
      <c r="AN46" s="198">
        <v>0</v>
      </c>
      <c r="AO46" s="199">
        <v>0</v>
      </c>
      <c r="AP46" s="195"/>
      <c r="AQ46" s="196"/>
      <c r="AR46" s="196"/>
      <c r="AS46" s="196"/>
      <c r="AT46" s="196"/>
      <c r="AU46" s="196"/>
      <c r="AV46" s="206">
        <v>1</v>
      </c>
      <c r="AW46" s="198">
        <v>0</v>
      </c>
      <c r="AX46" s="198">
        <v>0</v>
      </c>
      <c r="AY46" s="199">
        <v>0</v>
      </c>
      <c r="AZ46" s="195"/>
      <c r="BA46" s="196"/>
      <c r="BB46" s="196"/>
      <c r="BC46" s="196"/>
      <c r="BD46" s="196"/>
      <c r="BE46" s="196"/>
      <c r="BF46" s="206">
        <v>1</v>
      </c>
      <c r="BG46" s="198">
        <v>0</v>
      </c>
      <c r="BH46" s="198">
        <v>0</v>
      </c>
      <c r="BI46" s="199">
        <v>0</v>
      </c>
      <c r="BJ46" s="195"/>
      <c r="BK46" s="196"/>
      <c r="BL46" s="196"/>
      <c r="BM46" s="196"/>
      <c r="BN46" s="196"/>
      <c r="BO46" s="196"/>
      <c r="BP46" s="206">
        <v>1</v>
      </c>
      <c r="BQ46" s="198">
        <v>0</v>
      </c>
      <c r="BR46" s="198">
        <v>0</v>
      </c>
      <c r="BS46" s="199">
        <v>0</v>
      </c>
      <c r="BT46" s="195"/>
      <c r="BU46" s="196"/>
      <c r="BV46" s="196"/>
      <c r="BW46" s="196"/>
      <c r="BX46" s="196"/>
      <c r="BY46" s="196"/>
      <c r="BZ46" s="206">
        <v>1</v>
      </c>
      <c r="CA46" s="198">
        <v>0</v>
      </c>
      <c r="CB46" s="198">
        <v>0</v>
      </c>
      <c r="CC46" s="199">
        <v>0</v>
      </c>
      <c r="CD46" s="195"/>
      <c r="CE46" s="196"/>
      <c r="CF46" s="196"/>
      <c r="CG46" s="196"/>
      <c r="CH46" s="196"/>
      <c r="CI46" s="196"/>
      <c r="CJ46" s="206">
        <v>1</v>
      </c>
      <c r="CK46" s="198">
        <v>0</v>
      </c>
      <c r="CL46" s="198">
        <v>0</v>
      </c>
      <c r="CM46" s="199">
        <v>0</v>
      </c>
      <c r="CN46" s="195"/>
      <c r="CO46" s="196"/>
      <c r="CP46" s="196"/>
      <c r="CQ46" s="196"/>
      <c r="CR46" s="196"/>
      <c r="CS46" s="196"/>
      <c r="CT46" s="206">
        <v>1</v>
      </c>
      <c r="CU46" s="198">
        <v>0</v>
      </c>
      <c r="CV46" s="198">
        <v>0</v>
      </c>
      <c r="CW46" s="199">
        <v>0</v>
      </c>
      <c r="CX46" s="195"/>
      <c r="CY46" s="196"/>
      <c r="CZ46" s="196"/>
      <c r="DA46" s="196"/>
      <c r="DB46" s="196"/>
      <c r="DC46" s="196"/>
      <c r="DD46" s="206">
        <v>1</v>
      </c>
      <c r="DE46" s="198">
        <v>0</v>
      </c>
      <c r="DF46" s="198">
        <v>0</v>
      </c>
      <c r="DG46" s="199">
        <v>0</v>
      </c>
      <c r="DH46" s="195"/>
      <c r="DI46" s="196"/>
      <c r="DJ46" s="196"/>
      <c r="DK46" s="196"/>
      <c r="DL46" s="196"/>
      <c r="DM46" s="196"/>
      <c r="DN46" s="206">
        <v>1</v>
      </c>
      <c r="DO46" s="198">
        <v>0</v>
      </c>
      <c r="DP46" s="198">
        <v>0</v>
      </c>
      <c r="DQ46" s="199">
        <v>0</v>
      </c>
      <c r="DR46" s="195"/>
      <c r="DS46" s="196"/>
      <c r="DT46" s="196"/>
      <c r="DU46" s="196"/>
      <c r="DV46" s="196"/>
      <c r="DW46" s="196"/>
      <c r="DX46" s="206">
        <v>1</v>
      </c>
      <c r="DY46" s="198">
        <v>0</v>
      </c>
      <c r="DZ46" s="198">
        <v>0</v>
      </c>
      <c r="EA46" s="199">
        <v>0</v>
      </c>
      <c r="EB46" s="195"/>
      <c r="EC46" s="196"/>
      <c r="ED46" s="196"/>
      <c r="EE46" s="196"/>
      <c r="EF46" s="196"/>
      <c r="EG46" s="196"/>
      <c r="EH46" s="206">
        <v>1</v>
      </c>
      <c r="EI46" s="198">
        <v>0</v>
      </c>
      <c r="EJ46" s="198">
        <v>0</v>
      </c>
      <c r="EK46" s="199">
        <v>0</v>
      </c>
      <c r="EL46" s="195"/>
      <c r="EM46" s="196"/>
      <c r="EN46" s="196"/>
      <c r="EO46" s="196"/>
      <c r="EP46" s="196"/>
      <c r="EQ46" s="196"/>
      <c r="ER46" s="206">
        <v>1</v>
      </c>
      <c r="ES46" s="198">
        <v>0</v>
      </c>
      <c r="ET46" s="198">
        <v>0</v>
      </c>
      <c r="EU46" s="199">
        <v>0</v>
      </c>
      <c r="EV46" s="195"/>
      <c r="EW46" s="196"/>
      <c r="EX46" s="196"/>
      <c r="EY46" s="196"/>
      <c r="EZ46" s="196"/>
      <c r="FA46" s="196"/>
      <c r="FB46" s="206">
        <v>1</v>
      </c>
      <c r="FC46" s="198">
        <v>0</v>
      </c>
      <c r="FD46" s="198">
        <v>0</v>
      </c>
      <c r="FE46" s="199">
        <v>0</v>
      </c>
      <c r="FF46" s="195"/>
      <c r="FG46" s="196"/>
      <c r="FH46" s="196"/>
      <c r="FI46" s="196"/>
      <c r="FJ46" s="196"/>
      <c r="FK46" s="196"/>
      <c r="FL46" s="206">
        <v>1</v>
      </c>
      <c r="FM46" s="198">
        <v>0</v>
      </c>
      <c r="FN46" s="198">
        <v>0</v>
      </c>
      <c r="FO46" s="199">
        <v>0</v>
      </c>
      <c r="FP46" s="195"/>
      <c r="FQ46" s="196"/>
      <c r="FR46" s="196"/>
      <c r="FS46" s="196"/>
      <c r="FT46" s="196"/>
      <c r="FU46" s="196"/>
      <c r="FV46" s="206">
        <v>1</v>
      </c>
      <c r="FW46" s="198">
        <v>0</v>
      </c>
      <c r="FX46" s="198">
        <v>0</v>
      </c>
      <c r="FY46" s="199">
        <v>0</v>
      </c>
      <c r="FZ46" s="195"/>
      <c r="GA46" s="196"/>
      <c r="GB46" s="196"/>
      <c r="GC46" s="196"/>
      <c r="GD46" s="196"/>
      <c r="GE46" s="196"/>
      <c r="GF46" s="206">
        <v>1</v>
      </c>
      <c r="GG46" s="198">
        <v>0</v>
      </c>
      <c r="GH46" s="198">
        <v>0</v>
      </c>
      <c r="GI46" s="199">
        <v>0</v>
      </c>
      <c r="GJ46" s="195"/>
      <c r="GK46" s="196"/>
      <c r="GL46" s="196"/>
      <c r="GM46" s="196"/>
      <c r="GN46" s="196"/>
      <c r="GO46" s="196"/>
      <c r="GP46" s="206">
        <v>1</v>
      </c>
      <c r="GQ46" s="198">
        <v>0</v>
      </c>
      <c r="GR46" s="198">
        <v>0</v>
      </c>
      <c r="GS46" s="199">
        <v>0</v>
      </c>
      <c r="GT46" s="195"/>
      <c r="GU46" s="196"/>
      <c r="GV46" s="196"/>
      <c r="GW46" s="196"/>
      <c r="GX46" s="196"/>
      <c r="GY46" s="196"/>
      <c r="GZ46" s="206">
        <v>1</v>
      </c>
      <c r="HA46" s="198">
        <v>0</v>
      </c>
      <c r="HB46" s="198">
        <v>0</v>
      </c>
      <c r="HC46" s="199">
        <v>0</v>
      </c>
      <c r="HD46" s="195"/>
      <c r="HE46" s="196"/>
      <c r="HF46" s="196"/>
      <c r="HG46" s="196"/>
      <c r="HH46" s="196"/>
      <c r="HI46" s="196"/>
      <c r="HJ46" s="206">
        <v>1</v>
      </c>
      <c r="HK46" s="198">
        <v>0</v>
      </c>
      <c r="HL46" s="198">
        <v>0</v>
      </c>
      <c r="HM46" s="199">
        <v>0</v>
      </c>
      <c r="HN46" s="204">
        <v>1</v>
      </c>
      <c r="HO46" s="205">
        <v>0</v>
      </c>
      <c r="HP46" s="204">
        <v>1</v>
      </c>
      <c r="HQ46" s="205">
        <v>0</v>
      </c>
      <c r="HR46" s="204">
        <v>1</v>
      </c>
      <c r="HS46" s="205">
        <v>0</v>
      </c>
      <c r="HT46" s="204">
        <v>1</v>
      </c>
      <c r="HU46" s="205">
        <v>0</v>
      </c>
      <c r="HV46" s="204">
        <v>1</v>
      </c>
      <c r="HW46" s="205">
        <v>0</v>
      </c>
      <c r="HX46" s="204">
        <v>1</v>
      </c>
      <c r="HY46" s="205">
        <v>0</v>
      </c>
      <c r="HZ46" s="204">
        <v>1</v>
      </c>
      <c r="IA46" s="205">
        <v>0</v>
      </c>
      <c r="IB46" s="204">
        <v>1</v>
      </c>
      <c r="IC46" s="205">
        <v>0</v>
      </c>
      <c r="ID46" s="204">
        <v>1</v>
      </c>
      <c r="IE46" s="205">
        <v>0</v>
      </c>
      <c r="IF46" s="204">
        <v>1</v>
      </c>
      <c r="IG46" s="205">
        <v>0</v>
      </c>
      <c r="IH46" s="204">
        <v>1</v>
      </c>
      <c r="II46" s="205">
        <v>0</v>
      </c>
      <c r="IJ46" s="204">
        <v>1</v>
      </c>
      <c r="IK46" s="205">
        <v>0</v>
      </c>
      <c r="IL46" s="204">
        <v>1</v>
      </c>
      <c r="IM46" s="205">
        <v>0</v>
      </c>
      <c r="IN46" s="204">
        <v>1</v>
      </c>
      <c r="IO46" s="205">
        <v>0</v>
      </c>
      <c r="IP46" s="204">
        <v>1</v>
      </c>
      <c r="IQ46" s="205">
        <v>0</v>
      </c>
      <c r="IR46" s="204">
        <v>1</v>
      </c>
      <c r="IS46" s="205">
        <v>0</v>
      </c>
      <c r="IT46" s="204">
        <v>1</v>
      </c>
      <c r="IU46" s="205">
        <v>0</v>
      </c>
      <c r="IV46" s="204">
        <v>1</v>
      </c>
      <c r="IW46" s="205">
        <v>0</v>
      </c>
      <c r="IX46" s="204">
        <v>1</v>
      </c>
      <c r="IY46" s="205">
        <v>0</v>
      </c>
      <c r="IZ46" s="204">
        <v>1</v>
      </c>
      <c r="JA46" s="205">
        <v>0</v>
      </c>
      <c r="JB46" s="204">
        <v>1</v>
      </c>
      <c r="JC46" s="205">
        <v>0</v>
      </c>
      <c r="JD46" s="204">
        <v>1</v>
      </c>
      <c r="JE46" s="233">
        <v>0</v>
      </c>
      <c r="JF46" s="236">
        <f t="shared" si="0"/>
        <v>24</v>
      </c>
      <c r="JG46" s="235">
        <f t="shared" si="1"/>
        <v>24</v>
      </c>
      <c r="JH46" s="235">
        <f t="shared" si="2"/>
        <v>24</v>
      </c>
      <c r="JI46" s="235">
        <f t="shared" si="3"/>
        <v>24</v>
      </c>
      <c r="JJ46" s="235">
        <f t="shared" si="4"/>
        <v>24</v>
      </c>
      <c r="JK46" s="235">
        <f t="shared" si="5"/>
        <v>24</v>
      </c>
      <c r="JL46" s="235">
        <f t="shared" si="6"/>
        <v>24</v>
      </c>
      <c r="JM46" s="235">
        <f t="shared" si="7"/>
        <v>24</v>
      </c>
      <c r="JN46" s="235">
        <f t="shared" si="8"/>
        <v>24</v>
      </c>
      <c r="JO46" s="235">
        <f t="shared" si="9"/>
        <v>24</v>
      </c>
      <c r="JP46" s="235">
        <f t="shared" si="10"/>
        <v>24</v>
      </c>
      <c r="JQ46" s="235">
        <f t="shared" si="11"/>
        <v>24</v>
      </c>
      <c r="JR46" s="235">
        <f t="shared" si="12"/>
        <v>24</v>
      </c>
      <c r="JS46" s="235">
        <f t="shared" si="13"/>
        <v>24</v>
      </c>
      <c r="JT46" s="235">
        <f t="shared" si="14"/>
        <v>24</v>
      </c>
      <c r="JU46" s="235">
        <f t="shared" si="15"/>
        <v>24</v>
      </c>
      <c r="JV46" s="235">
        <f t="shared" si="16"/>
        <v>24</v>
      </c>
      <c r="JW46" s="235">
        <f t="shared" si="17"/>
        <v>24</v>
      </c>
      <c r="JX46" s="235">
        <f t="shared" si="18"/>
        <v>24</v>
      </c>
      <c r="JY46" s="235">
        <f t="shared" si="19"/>
        <v>24</v>
      </c>
      <c r="JZ46" s="235">
        <f t="shared" si="20"/>
        <v>24</v>
      </c>
      <c r="KA46" s="237">
        <f t="shared" si="21"/>
        <v>24</v>
      </c>
      <c r="KB46" s="248">
        <v>46064</v>
      </c>
      <c r="KC46" s="201">
        <v>2.2709999999999999</v>
      </c>
      <c r="KD46" s="201">
        <v>2.2690000000000001</v>
      </c>
      <c r="KE46" s="201">
        <v>2.2730000000000001</v>
      </c>
      <c r="KF46" s="201">
        <v>2.2709999999999999</v>
      </c>
      <c r="KG46" s="201">
        <v>2.2709999999999999</v>
      </c>
      <c r="KH46" s="201">
        <v>2.27</v>
      </c>
      <c r="KI46" s="201">
        <v>2.2719999999999998</v>
      </c>
      <c r="KJ46" s="201">
        <v>2.2719999999999998</v>
      </c>
      <c r="KK46" s="201">
        <v>2.2709999999999999</v>
      </c>
      <c r="KL46" s="201">
        <v>2.27</v>
      </c>
      <c r="KM46" s="201">
        <v>2.27</v>
      </c>
      <c r="KN46" s="202">
        <v>2.2759999999999998</v>
      </c>
      <c r="KO46" s="202">
        <v>2.2709999999999999</v>
      </c>
      <c r="KP46" s="202">
        <v>2.2690000000000001</v>
      </c>
      <c r="KQ46" s="202">
        <v>2.2709999999999999</v>
      </c>
      <c r="KR46" s="202">
        <v>2.27</v>
      </c>
      <c r="KS46" s="202">
        <v>2.2719999999999998</v>
      </c>
      <c r="KT46" s="202">
        <v>2.2719999999999998</v>
      </c>
      <c r="KU46" s="202">
        <v>2.2709999999999999</v>
      </c>
      <c r="KV46" s="202">
        <v>1.901</v>
      </c>
      <c r="KW46" s="202">
        <v>2.2690000000000001</v>
      </c>
      <c r="KX46" s="202">
        <v>2.2719999999999998</v>
      </c>
      <c r="KY46" s="203">
        <v>49.594000000000001</v>
      </c>
    </row>
    <row r="47" spans="1:311">
      <c r="A47" s="194">
        <v>46065</v>
      </c>
      <c r="B47" s="195"/>
      <c r="C47" s="196"/>
      <c r="D47" s="196"/>
      <c r="E47" s="196"/>
      <c r="F47" s="196"/>
      <c r="G47" s="196"/>
      <c r="H47" s="206">
        <v>1</v>
      </c>
      <c r="I47" s="198">
        <v>0</v>
      </c>
      <c r="J47" s="198">
        <v>0</v>
      </c>
      <c r="K47" s="199">
        <v>0</v>
      </c>
      <c r="L47" s="195"/>
      <c r="M47" s="196"/>
      <c r="N47" s="196"/>
      <c r="O47" s="196"/>
      <c r="P47" s="196"/>
      <c r="Q47" s="196"/>
      <c r="R47" s="206">
        <v>1</v>
      </c>
      <c r="S47" s="198">
        <v>0</v>
      </c>
      <c r="T47" s="198">
        <v>0</v>
      </c>
      <c r="U47" s="199">
        <v>0</v>
      </c>
      <c r="V47" s="195"/>
      <c r="W47" s="196"/>
      <c r="X47" s="196"/>
      <c r="Y47" s="196"/>
      <c r="Z47" s="196"/>
      <c r="AA47" s="196"/>
      <c r="AB47" s="206">
        <v>1</v>
      </c>
      <c r="AC47" s="198">
        <v>0</v>
      </c>
      <c r="AD47" s="198">
        <v>0</v>
      </c>
      <c r="AE47" s="199">
        <v>0</v>
      </c>
      <c r="AF47" s="195"/>
      <c r="AG47" s="196"/>
      <c r="AH47" s="196"/>
      <c r="AI47" s="196"/>
      <c r="AJ47" s="196"/>
      <c r="AK47" s="196"/>
      <c r="AL47" s="206">
        <v>1</v>
      </c>
      <c r="AM47" s="198">
        <v>0</v>
      </c>
      <c r="AN47" s="198">
        <v>0</v>
      </c>
      <c r="AO47" s="199">
        <v>0</v>
      </c>
      <c r="AP47" s="195"/>
      <c r="AQ47" s="196"/>
      <c r="AR47" s="196"/>
      <c r="AS47" s="196"/>
      <c r="AT47" s="196"/>
      <c r="AU47" s="196"/>
      <c r="AV47" s="206">
        <v>1</v>
      </c>
      <c r="AW47" s="198">
        <v>0</v>
      </c>
      <c r="AX47" s="198">
        <v>0</v>
      </c>
      <c r="AY47" s="199">
        <v>0</v>
      </c>
      <c r="AZ47" s="195"/>
      <c r="BA47" s="196"/>
      <c r="BB47" s="196"/>
      <c r="BC47" s="196"/>
      <c r="BD47" s="196"/>
      <c r="BE47" s="196"/>
      <c r="BF47" s="206">
        <v>1</v>
      </c>
      <c r="BG47" s="198">
        <v>0</v>
      </c>
      <c r="BH47" s="198">
        <v>0</v>
      </c>
      <c r="BI47" s="199">
        <v>0</v>
      </c>
      <c r="BJ47" s="195"/>
      <c r="BK47" s="196"/>
      <c r="BL47" s="196"/>
      <c r="BM47" s="196"/>
      <c r="BN47" s="196"/>
      <c r="BO47" s="196"/>
      <c r="BP47" s="206">
        <v>1</v>
      </c>
      <c r="BQ47" s="198">
        <v>0</v>
      </c>
      <c r="BR47" s="198">
        <v>0</v>
      </c>
      <c r="BS47" s="199">
        <v>0</v>
      </c>
      <c r="BT47" s="195"/>
      <c r="BU47" s="196"/>
      <c r="BV47" s="196"/>
      <c r="BW47" s="196"/>
      <c r="BX47" s="196"/>
      <c r="BY47" s="196"/>
      <c r="BZ47" s="206">
        <v>1</v>
      </c>
      <c r="CA47" s="198">
        <v>0</v>
      </c>
      <c r="CB47" s="198">
        <v>0</v>
      </c>
      <c r="CC47" s="199">
        <v>0</v>
      </c>
      <c r="CD47" s="195"/>
      <c r="CE47" s="196"/>
      <c r="CF47" s="196"/>
      <c r="CG47" s="196"/>
      <c r="CH47" s="196"/>
      <c r="CI47" s="196"/>
      <c r="CJ47" s="206">
        <v>1</v>
      </c>
      <c r="CK47" s="198">
        <v>0</v>
      </c>
      <c r="CL47" s="198">
        <v>0</v>
      </c>
      <c r="CM47" s="199">
        <v>0</v>
      </c>
      <c r="CN47" s="195"/>
      <c r="CO47" s="196"/>
      <c r="CP47" s="196"/>
      <c r="CQ47" s="196"/>
      <c r="CR47" s="196"/>
      <c r="CS47" s="196"/>
      <c r="CT47" s="206">
        <v>1</v>
      </c>
      <c r="CU47" s="198">
        <v>0</v>
      </c>
      <c r="CV47" s="198">
        <v>0</v>
      </c>
      <c r="CW47" s="199">
        <v>0</v>
      </c>
      <c r="CX47" s="195"/>
      <c r="CY47" s="196"/>
      <c r="CZ47" s="196"/>
      <c r="DA47" s="196"/>
      <c r="DB47" s="196"/>
      <c r="DC47" s="196"/>
      <c r="DD47" s="206">
        <v>1</v>
      </c>
      <c r="DE47" s="198">
        <v>0</v>
      </c>
      <c r="DF47" s="198">
        <v>0</v>
      </c>
      <c r="DG47" s="199">
        <v>0</v>
      </c>
      <c r="DH47" s="195"/>
      <c r="DI47" s="196"/>
      <c r="DJ47" s="196"/>
      <c r="DK47" s="196"/>
      <c r="DL47" s="196"/>
      <c r="DM47" s="196"/>
      <c r="DN47" s="206">
        <v>1</v>
      </c>
      <c r="DO47" s="198">
        <v>0</v>
      </c>
      <c r="DP47" s="198">
        <v>0</v>
      </c>
      <c r="DQ47" s="199">
        <v>0</v>
      </c>
      <c r="DR47" s="195"/>
      <c r="DS47" s="196"/>
      <c r="DT47" s="196"/>
      <c r="DU47" s="196"/>
      <c r="DV47" s="196"/>
      <c r="DW47" s="196"/>
      <c r="DX47" s="206">
        <v>1</v>
      </c>
      <c r="DY47" s="198">
        <v>0</v>
      </c>
      <c r="DZ47" s="198">
        <v>0</v>
      </c>
      <c r="EA47" s="199">
        <v>0</v>
      </c>
      <c r="EB47" s="195"/>
      <c r="EC47" s="196"/>
      <c r="ED47" s="196"/>
      <c r="EE47" s="196"/>
      <c r="EF47" s="196"/>
      <c r="EG47" s="196"/>
      <c r="EH47" s="206">
        <v>1</v>
      </c>
      <c r="EI47" s="198">
        <v>0</v>
      </c>
      <c r="EJ47" s="198">
        <v>0</v>
      </c>
      <c r="EK47" s="199">
        <v>0</v>
      </c>
      <c r="EL47" s="195"/>
      <c r="EM47" s="196"/>
      <c r="EN47" s="196"/>
      <c r="EO47" s="196"/>
      <c r="EP47" s="196"/>
      <c r="EQ47" s="196"/>
      <c r="ER47" s="206">
        <v>1</v>
      </c>
      <c r="ES47" s="198">
        <v>0</v>
      </c>
      <c r="ET47" s="198">
        <v>0</v>
      </c>
      <c r="EU47" s="199">
        <v>0</v>
      </c>
      <c r="EV47" s="195"/>
      <c r="EW47" s="196"/>
      <c r="EX47" s="196"/>
      <c r="EY47" s="196"/>
      <c r="EZ47" s="196"/>
      <c r="FA47" s="196"/>
      <c r="FB47" s="206">
        <v>1</v>
      </c>
      <c r="FC47" s="198">
        <v>0</v>
      </c>
      <c r="FD47" s="198">
        <v>0</v>
      </c>
      <c r="FE47" s="199">
        <v>0</v>
      </c>
      <c r="FF47" s="195"/>
      <c r="FG47" s="196"/>
      <c r="FH47" s="196"/>
      <c r="FI47" s="196"/>
      <c r="FJ47" s="196"/>
      <c r="FK47" s="196"/>
      <c r="FL47" s="206">
        <v>1</v>
      </c>
      <c r="FM47" s="198">
        <v>0</v>
      </c>
      <c r="FN47" s="198">
        <v>0</v>
      </c>
      <c r="FO47" s="199">
        <v>0</v>
      </c>
      <c r="FP47" s="195"/>
      <c r="FQ47" s="196"/>
      <c r="FR47" s="196"/>
      <c r="FS47" s="196"/>
      <c r="FT47" s="196"/>
      <c r="FU47" s="196"/>
      <c r="FV47" s="206">
        <v>1</v>
      </c>
      <c r="FW47" s="198">
        <v>0</v>
      </c>
      <c r="FX47" s="198">
        <v>0</v>
      </c>
      <c r="FY47" s="199">
        <v>0</v>
      </c>
      <c r="FZ47" s="195"/>
      <c r="GA47" s="196"/>
      <c r="GB47" s="196"/>
      <c r="GC47" s="196"/>
      <c r="GD47" s="196"/>
      <c r="GE47" s="196"/>
      <c r="GF47" s="206">
        <v>1</v>
      </c>
      <c r="GG47" s="198">
        <v>0</v>
      </c>
      <c r="GH47" s="198">
        <v>0</v>
      </c>
      <c r="GI47" s="199">
        <v>0</v>
      </c>
      <c r="GJ47" s="195"/>
      <c r="GK47" s="196"/>
      <c r="GL47" s="196"/>
      <c r="GM47" s="196"/>
      <c r="GN47" s="196"/>
      <c r="GO47" s="196"/>
      <c r="GP47" s="206">
        <v>1</v>
      </c>
      <c r="GQ47" s="198">
        <v>0</v>
      </c>
      <c r="GR47" s="198">
        <v>0</v>
      </c>
      <c r="GS47" s="199">
        <v>0</v>
      </c>
      <c r="GT47" s="195"/>
      <c r="GU47" s="196"/>
      <c r="GV47" s="196"/>
      <c r="GW47" s="196"/>
      <c r="GX47" s="196"/>
      <c r="GY47" s="196"/>
      <c r="GZ47" s="206">
        <v>1</v>
      </c>
      <c r="HA47" s="198">
        <v>0</v>
      </c>
      <c r="HB47" s="198">
        <v>0</v>
      </c>
      <c r="HC47" s="199">
        <v>0</v>
      </c>
      <c r="HD47" s="195"/>
      <c r="HE47" s="196"/>
      <c r="HF47" s="196"/>
      <c r="HG47" s="196"/>
      <c r="HH47" s="196"/>
      <c r="HI47" s="196"/>
      <c r="HJ47" s="206">
        <v>1</v>
      </c>
      <c r="HK47" s="198">
        <v>0</v>
      </c>
      <c r="HL47" s="198">
        <v>0</v>
      </c>
      <c r="HM47" s="199">
        <v>0</v>
      </c>
      <c r="HN47" s="204">
        <v>1</v>
      </c>
      <c r="HO47" s="205">
        <v>0</v>
      </c>
      <c r="HP47" s="204">
        <v>1</v>
      </c>
      <c r="HQ47" s="205">
        <v>0</v>
      </c>
      <c r="HR47" s="204">
        <v>1</v>
      </c>
      <c r="HS47" s="205">
        <v>0</v>
      </c>
      <c r="HT47" s="204">
        <v>1</v>
      </c>
      <c r="HU47" s="205">
        <v>0</v>
      </c>
      <c r="HV47" s="204">
        <v>1</v>
      </c>
      <c r="HW47" s="205">
        <v>0</v>
      </c>
      <c r="HX47" s="204">
        <v>1</v>
      </c>
      <c r="HY47" s="205">
        <v>0</v>
      </c>
      <c r="HZ47" s="204">
        <v>1</v>
      </c>
      <c r="IA47" s="205">
        <v>0</v>
      </c>
      <c r="IB47" s="204">
        <v>1</v>
      </c>
      <c r="IC47" s="205">
        <v>0</v>
      </c>
      <c r="ID47" s="204">
        <v>1</v>
      </c>
      <c r="IE47" s="205">
        <v>0</v>
      </c>
      <c r="IF47" s="204">
        <v>1</v>
      </c>
      <c r="IG47" s="205">
        <v>0</v>
      </c>
      <c r="IH47" s="204">
        <v>1</v>
      </c>
      <c r="II47" s="205">
        <v>0</v>
      </c>
      <c r="IJ47" s="204">
        <v>1</v>
      </c>
      <c r="IK47" s="205">
        <v>0</v>
      </c>
      <c r="IL47" s="204">
        <v>1</v>
      </c>
      <c r="IM47" s="205">
        <v>0</v>
      </c>
      <c r="IN47" s="204">
        <v>1</v>
      </c>
      <c r="IO47" s="205">
        <v>0</v>
      </c>
      <c r="IP47" s="204">
        <v>1</v>
      </c>
      <c r="IQ47" s="205">
        <v>0</v>
      </c>
      <c r="IR47" s="204">
        <v>1</v>
      </c>
      <c r="IS47" s="205">
        <v>0</v>
      </c>
      <c r="IT47" s="204">
        <v>1</v>
      </c>
      <c r="IU47" s="205">
        <v>0</v>
      </c>
      <c r="IV47" s="204">
        <v>1</v>
      </c>
      <c r="IW47" s="205">
        <v>0</v>
      </c>
      <c r="IX47" s="204">
        <v>1</v>
      </c>
      <c r="IY47" s="205">
        <v>0</v>
      </c>
      <c r="IZ47" s="204">
        <v>1</v>
      </c>
      <c r="JA47" s="205">
        <v>0</v>
      </c>
      <c r="JB47" s="204">
        <v>1</v>
      </c>
      <c r="JC47" s="205">
        <v>0</v>
      </c>
      <c r="JD47" s="204">
        <v>1</v>
      </c>
      <c r="JE47" s="233">
        <v>0</v>
      </c>
      <c r="JF47" s="236">
        <f t="shared" si="0"/>
        <v>24</v>
      </c>
      <c r="JG47" s="235">
        <f t="shared" si="1"/>
        <v>24</v>
      </c>
      <c r="JH47" s="235">
        <f t="shared" si="2"/>
        <v>24</v>
      </c>
      <c r="JI47" s="235">
        <f t="shared" si="3"/>
        <v>24</v>
      </c>
      <c r="JJ47" s="235">
        <f t="shared" si="4"/>
        <v>24</v>
      </c>
      <c r="JK47" s="235">
        <f t="shared" si="5"/>
        <v>24</v>
      </c>
      <c r="JL47" s="235">
        <f t="shared" si="6"/>
        <v>24</v>
      </c>
      <c r="JM47" s="235">
        <f t="shared" si="7"/>
        <v>24</v>
      </c>
      <c r="JN47" s="235">
        <f t="shared" si="8"/>
        <v>24</v>
      </c>
      <c r="JO47" s="235">
        <f t="shared" si="9"/>
        <v>24</v>
      </c>
      <c r="JP47" s="235">
        <f t="shared" si="10"/>
        <v>24</v>
      </c>
      <c r="JQ47" s="235">
        <f t="shared" si="11"/>
        <v>24</v>
      </c>
      <c r="JR47" s="235">
        <f t="shared" si="12"/>
        <v>24</v>
      </c>
      <c r="JS47" s="235">
        <f t="shared" si="13"/>
        <v>24</v>
      </c>
      <c r="JT47" s="235">
        <f t="shared" si="14"/>
        <v>24</v>
      </c>
      <c r="JU47" s="235">
        <f t="shared" si="15"/>
        <v>24</v>
      </c>
      <c r="JV47" s="235">
        <f t="shared" si="16"/>
        <v>24</v>
      </c>
      <c r="JW47" s="235">
        <f t="shared" si="17"/>
        <v>24</v>
      </c>
      <c r="JX47" s="235">
        <f t="shared" si="18"/>
        <v>24</v>
      </c>
      <c r="JY47" s="235">
        <f t="shared" si="19"/>
        <v>24</v>
      </c>
      <c r="JZ47" s="235">
        <f t="shared" si="20"/>
        <v>24</v>
      </c>
      <c r="KA47" s="237">
        <f t="shared" si="21"/>
        <v>24</v>
      </c>
      <c r="KB47" s="248">
        <v>46065</v>
      </c>
      <c r="KC47" s="201">
        <v>2.2519999999999998</v>
      </c>
      <c r="KD47" s="201">
        <v>2.2509999999999999</v>
      </c>
      <c r="KE47" s="201">
        <v>2.2490000000000001</v>
      </c>
      <c r="KF47" s="201">
        <v>2.2519999999999998</v>
      </c>
      <c r="KG47" s="201">
        <v>2.2530000000000001</v>
      </c>
      <c r="KH47" s="201">
        <v>2.2519999999999998</v>
      </c>
      <c r="KI47" s="201">
        <v>2.2509999999999999</v>
      </c>
      <c r="KJ47" s="201">
        <v>2.2480000000000002</v>
      </c>
      <c r="KK47" s="201">
        <v>2.2530000000000001</v>
      </c>
      <c r="KL47" s="201">
        <v>2.2509999999999999</v>
      </c>
      <c r="KM47" s="201">
        <v>2.2519999999999998</v>
      </c>
      <c r="KN47" s="202">
        <v>2.254</v>
      </c>
      <c r="KO47" s="202">
        <v>2.25</v>
      </c>
      <c r="KP47" s="202">
        <v>2.2509999999999999</v>
      </c>
      <c r="KQ47" s="202">
        <v>2.2519999999999998</v>
      </c>
      <c r="KR47" s="202">
        <v>2.2519999999999998</v>
      </c>
      <c r="KS47" s="202">
        <v>2.2480000000000002</v>
      </c>
      <c r="KT47" s="202">
        <v>2.2389999999999999</v>
      </c>
      <c r="KU47" s="202">
        <v>2.25</v>
      </c>
      <c r="KV47" s="202">
        <v>2.2440000000000002</v>
      </c>
      <c r="KW47" s="202">
        <v>2.2509999999999999</v>
      </c>
      <c r="KX47" s="202">
        <v>2.2480000000000002</v>
      </c>
      <c r="KY47" s="203">
        <v>49.502999999999993</v>
      </c>
    </row>
    <row r="48" spans="1:311">
      <c r="A48" s="194">
        <v>46066</v>
      </c>
      <c r="B48" s="195"/>
      <c r="C48" s="196"/>
      <c r="D48" s="196"/>
      <c r="E48" s="196"/>
      <c r="F48" s="196"/>
      <c r="G48" s="196"/>
      <c r="H48" s="206">
        <v>1</v>
      </c>
      <c r="I48" s="198">
        <v>0</v>
      </c>
      <c r="J48" s="198">
        <v>0</v>
      </c>
      <c r="K48" s="199">
        <v>0</v>
      </c>
      <c r="L48" s="195"/>
      <c r="M48" s="196"/>
      <c r="N48" s="196"/>
      <c r="O48" s="196"/>
      <c r="P48" s="196"/>
      <c r="Q48" s="196"/>
      <c r="R48" s="206">
        <v>1</v>
      </c>
      <c r="S48" s="198">
        <v>0</v>
      </c>
      <c r="T48" s="198">
        <v>0</v>
      </c>
      <c r="U48" s="199">
        <v>0</v>
      </c>
      <c r="V48" s="195"/>
      <c r="W48" s="196"/>
      <c r="X48" s="196"/>
      <c r="Y48" s="196"/>
      <c r="Z48" s="196"/>
      <c r="AA48" s="196"/>
      <c r="AB48" s="206">
        <v>1</v>
      </c>
      <c r="AC48" s="198">
        <v>0</v>
      </c>
      <c r="AD48" s="198">
        <v>0</v>
      </c>
      <c r="AE48" s="199">
        <v>0</v>
      </c>
      <c r="AF48" s="195"/>
      <c r="AG48" s="196"/>
      <c r="AH48" s="196"/>
      <c r="AI48" s="196"/>
      <c r="AJ48" s="196"/>
      <c r="AK48" s="196"/>
      <c r="AL48" s="206">
        <v>1</v>
      </c>
      <c r="AM48" s="198">
        <v>0</v>
      </c>
      <c r="AN48" s="198">
        <v>0</v>
      </c>
      <c r="AO48" s="199">
        <v>0</v>
      </c>
      <c r="AP48" s="195"/>
      <c r="AQ48" s="196"/>
      <c r="AR48" s="196"/>
      <c r="AS48" s="196"/>
      <c r="AT48" s="196"/>
      <c r="AU48" s="196"/>
      <c r="AV48" s="206">
        <v>1</v>
      </c>
      <c r="AW48" s="198">
        <v>0</v>
      </c>
      <c r="AX48" s="198">
        <v>0</v>
      </c>
      <c r="AY48" s="199">
        <v>0</v>
      </c>
      <c r="AZ48" s="195"/>
      <c r="BA48" s="196"/>
      <c r="BB48" s="196"/>
      <c r="BC48" s="196"/>
      <c r="BD48" s="196"/>
      <c r="BE48" s="196"/>
      <c r="BF48" s="206">
        <v>1</v>
      </c>
      <c r="BG48" s="198">
        <v>0</v>
      </c>
      <c r="BH48" s="198">
        <v>0</v>
      </c>
      <c r="BI48" s="199">
        <v>0</v>
      </c>
      <c r="BJ48" s="195"/>
      <c r="BK48" s="196"/>
      <c r="BL48" s="196"/>
      <c r="BM48" s="196"/>
      <c r="BN48" s="196"/>
      <c r="BO48" s="196"/>
      <c r="BP48" s="206">
        <v>1</v>
      </c>
      <c r="BQ48" s="198">
        <v>0</v>
      </c>
      <c r="BR48" s="198">
        <v>0</v>
      </c>
      <c r="BS48" s="199">
        <v>0</v>
      </c>
      <c r="BT48" s="195"/>
      <c r="BU48" s="196"/>
      <c r="BV48" s="196"/>
      <c r="BW48" s="196"/>
      <c r="BX48" s="196"/>
      <c r="BY48" s="196"/>
      <c r="BZ48" s="206">
        <v>1</v>
      </c>
      <c r="CA48" s="198">
        <v>0</v>
      </c>
      <c r="CB48" s="198">
        <v>0</v>
      </c>
      <c r="CC48" s="199">
        <v>0</v>
      </c>
      <c r="CD48" s="195"/>
      <c r="CE48" s="196"/>
      <c r="CF48" s="196"/>
      <c r="CG48" s="196"/>
      <c r="CH48" s="196"/>
      <c r="CI48" s="196"/>
      <c r="CJ48" s="206">
        <v>1</v>
      </c>
      <c r="CK48" s="198">
        <v>0</v>
      </c>
      <c r="CL48" s="198">
        <v>0</v>
      </c>
      <c r="CM48" s="199">
        <v>0</v>
      </c>
      <c r="CN48" s="195"/>
      <c r="CO48" s="196"/>
      <c r="CP48" s="196"/>
      <c r="CQ48" s="196"/>
      <c r="CR48" s="196"/>
      <c r="CS48" s="196"/>
      <c r="CT48" s="206">
        <v>1</v>
      </c>
      <c r="CU48" s="198">
        <v>0</v>
      </c>
      <c r="CV48" s="198">
        <v>0</v>
      </c>
      <c r="CW48" s="199">
        <v>0</v>
      </c>
      <c r="CX48" s="195"/>
      <c r="CY48" s="196"/>
      <c r="CZ48" s="196"/>
      <c r="DA48" s="196"/>
      <c r="DB48" s="196"/>
      <c r="DC48" s="196"/>
      <c r="DD48" s="206">
        <v>1</v>
      </c>
      <c r="DE48" s="198">
        <v>0</v>
      </c>
      <c r="DF48" s="198">
        <v>0</v>
      </c>
      <c r="DG48" s="199">
        <v>0</v>
      </c>
      <c r="DH48" s="195"/>
      <c r="DI48" s="196"/>
      <c r="DJ48" s="196"/>
      <c r="DK48" s="196"/>
      <c r="DL48" s="196"/>
      <c r="DM48" s="196"/>
      <c r="DN48" s="206">
        <v>1</v>
      </c>
      <c r="DO48" s="198">
        <v>0</v>
      </c>
      <c r="DP48" s="198">
        <v>0</v>
      </c>
      <c r="DQ48" s="199">
        <v>0</v>
      </c>
      <c r="DR48" s="195"/>
      <c r="DS48" s="196"/>
      <c r="DT48" s="196"/>
      <c r="DU48" s="196"/>
      <c r="DV48" s="196"/>
      <c r="DW48" s="196"/>
      <c r="DX48" s="206">
        <v>1</v>
      </c>
      <c r="DY48" s="198">
        <v>0</v>
      </c>
      <c r="DZ48" s="198">
        <v>0</v>
      </c>
      <c r="EA48" s="199">
        <v>0</v>
      </c>
      <c r="EB48" s="195"/>
      <c r="EC48" s="196"/>
      <c r="ED48" s="196"/>
      <c r="EE48" s="196"/>
      <c r="EF48" s="196"/>
      <c r="EG48" s="196"/>
      <c r="EH48" s="206">
        <v>1</v>
      </c>
      <c r="EI48" s="198">
        <v>0</v>
      </c>
      <c r="EJ48" s="198">
        <v>0</v>
      </c>
      <c r="EK48" s="199">
        <v>0</v>
      </c>
      <c r="EL48" s="195"/>
      <c r="EM48" s="196"/>
      <c r="EN48" s="196"/>
      <c r="EO48" s="196"/>
      <c r="EP48" s="196"/>
      <c r="EQ48" s="196"/>
      <c r="ER48" s="206">
        <v>1</v>
      </c>
      <c r="ES48" s="198">
        <v>0</v>
      </c>
      <c r="ET48" s="198">
        <v>0</v>
      </c>
      <c r="EU48" s="199">
        <v>0</v>
      </c>
      <c r="EV48" s="195"/>
      <c r="EW48" s="196"/>
      <c r="EX48" s="196"/>
      <c r="EY48" s="196"/>
      <c r="EZ48" s="196"/>
      <c r="FA48" s="196"/>
      <c r="FB48" s="206">
        <v>1</v>
      </c>
      <c r="FC48" s="198">
        <v>0</v>
      </c>
      <c r="FD48" s="198">
        <v>0</v>
      </c>
      <c r="FE48" s="199">
        <v>0</v>
      </c>
      <c r="FF48" s="195"/>
      <c r="FG48" s="196"/>
      <c r="FH48" s="196"/>
      <c r="FI48" s="196"/>
      <c r="FJ48" s="196"/>
      <c r="FK48" s="196"/>
      <c r="FL48" s="206">
        <v>1</v>
      </c>
      <c r="FM48" s="198">
        <v>0</v>
      </c>
      <c r="FN48" s="198">
        <v>0</v>
      </c>
      <c r="FO48" s="199">
        <v>0</v>
      </c>
      <c r="FP48" s="195"/>
      <c r="FQ48" s="196"/>
      <c r="FR48" s="196"/>
      <c r="FS48" s="196"/>
      <c r="FT48" s="196"/>
      <c r="FU48" s="196"/>
      <c r="FV48" s="206">
        <v>1</v>
      </c>
      <c r="FW48" s="198">
        <v>0</v>
      </c>
      <c r="FX48" s="198">
        <v>0</v>
      </c>
      <c r="FY48" s="199">
        <v>0</v>
      </c>
      <c r="FZ48" s="195"/>
      <c r="GA48" s="196"/>
      <c r="GB48" s="196"/>
      <c r="GC48" s="196"/>
      <c r="GD48" s="196"/>
      <c r="GE48" s="196"/>
      <c r="GF48" s="206">
        <v>1</v>
      </c>
      <c r="GG48" s="198">
        <v>0</v>
      </c>
      <c r="GH48" s="198">
        <v>0</v>
      </c>
      <c r="GI48" s="199">
        <v>0</v>
      </c>
      <c r="GJ48" s="195"/>
      <c r="GK48" s="196"/>
      <c r="GL48" s="196"/>
      <c r="GM48" s="196"/>
      <c r="GN48" s="196"/>
      <c r="GO48" s="196"/>
      <c r="GP48" s="206">
        <v>1</v>
      </c>
      <c r="GQ48" s="198">
        <v>0</v>
      </c>
      <c r="GR48" s="198">
        <v>0</v>
      </c>
      <c r="GS48" s="199">
        <v>0</v>
      </c>
      <c r="GT48" s="195"/>
      <c r="GU48" s="196"/>
      <c r="GV48" s="196"/>
      <c r="GW48" s="196"/>
      <c r="GX48" s="196"/>
      <c r="GY48" s="196"/>
      <c r="GZ48" s="206">
        <v>1</v>
      </c>
      <c r="HA48" s="198">
        <v>0</v>
      </c>
      <c r="HB48" s="198">
        <v>0</v>
      </c>
      <c r="HC48" s="199">
        <v>0</v>
      </c>
      <c r="HD48" s="195"/>
      <c r="HE48" s="196"/>
      <c r="HF48" s="196"/>
      <c r="HG48" s="196"/>
      <c r="HH48" s="196"/>
      <c r="HI48" s="196"/>
      <c r="HJ48" s="206">
        <v>1</v>
      </c>
      <c r="HK48" s="198">
        <v>0</v>
      </c>
      <c r="HL48" s="198">
        <v>0</v>
      </c>
      <c r="HM48" s="199">
        <v>0</v>
      </c>
      <c r="HN48" s="204">
        <v>1</v>
      </c>
      <c r="HO48" s="205">
        <v>0</v>
      </c>
      <c r="HP48" s="204">
        <v>1</v>
      </c>
      <c r="HQ48" s="205">
        <v>0</v>
      </c>
      <c r="HR48" s="204">
        <v>1</v>
      </c>
      <c r="HS48" s="205">
        <v>0</v>
      </c>
      <c r="HT48" s="204">
        <v>1</v>
      </c>
      <c r="HU48" s="205">
        <v>0</v>
      </c>
      <c r="HV48" s="204">
        <v>1</v>
      </c>
      <c r="HW48" s="205">
        <v>0</v>
      </c>
      <c r="HX48" s="204">
        <v>1</v>
      </c>
      <c r="HY48" s="205">
        <v>0</v>
      </c>
      <c r="HZ48" s="204">
        <v>1</v>
      </c>
      <c r="IA48" s="205">
        <v>0</v>
      </c>
      <c r="IB48" s="204">
        <v>1</v>
      </c>
      <c r="IC48" s="205">
        <v>0</v>
      </c>
      <c r="ID48" s="204">
        <v>1</v>
      </c>
      <c r="IE48" s="205">
        <v>0</v>
      </c>
      <c r="IF48" s="204">
        <v>1</v>
      </c>
      <c r="IG48" s="205">
        <v>0</v>
      </c>
      <c r="IH48" s="204">
        <v>1</v>
      </c>
      <c r="II48" s="205">
        <v>0</v>
      </c>
      <c r="IJ48" s="204">
        <v>1</v>
      </c>
      <c r="IK48" s="205">
        <v>0</v>
      </c>
      <c r="IL48" s="204">
        <v>1</v>
      </c>
      <c r="IM48" s="205">
        <v>0</v>
      </c>
      <c r="IN48" s="204">
        <v>1</v>
      </c>
      <c r="IO48" s="205">
        <v>0</v>
      </c>
      <c r="IP48" s="204">
        <v>1</v>
      </c>
      <c r="IQ48" s="205">
        <v>0</v>
      </c>
      <c r="IR48" s="204">
        <v>1</v>
      </c>
      <c r="IS48" s="205">
        <v>0</v>
      </c>
      <c r="IT48" s="204">
        <v>1</v>
      </c>
      <c r="IU48" s="205">
        <v>0</v>
      </c>
      <c r="IV48" s="204">
        <v>1</v>
      </c>
      <c r="IW48" s="205">
        <v>0</v>
      </c>
      <c r="IX48" s="204">
        <v>1</v>
      </c>
      <c r="IY48" s="205">
        <v>0</v>
      </c>
      <c r="IZ48" s="204">
        <v>1</v>
      </c>
      <c r="JA48" s="205">
        <v>0</v>
      </c>
      <c r="JB48" s="204">
        <v>1</v>
      </c>
      <c r="JC48" s="205">
        <v>0</v>
      </c>
      <c r="JD48" s="204">
        <v>1</v>
      </c>
      <c r="JE48" s="233">
        <v>0</v>
      </c>
      <c r="JF48" s="236">
        <f t="shared" si="0"/>
        <v>24</v>
      </c>
      <c r="JG48" s="235">
        <f t="shared" si="1"/>
        <v>24</v>
      </c>
      <c r="JH48" s="235">
        <f t="shared" si="2"/>
        <v>24</v>
      </c>
      <c r="JI48" s="235">
        <f t="shared" si="3"/>
        <v>24</v>
      </c>
      <c r="JJ48" s="235">
        <f t="shared" si="4"/>
        <v>24</v>
      </c>
      <c r="JK48" s="235">
        <f t="shared" si="5"/>
        <v>24</v>
      </c>
      <c r="JL48" s="235">
        <f t="shared" si="6"/>
        <v>24</v>
      </c>
      <c r="JM48" s="235">
        <f t="shared" si="7"/>
        <v>24</v>
      </c>
      <c r="JN48" s="235">
        <f t="shared" si="8"/>
        <v>24</v>
      </c>
      <c r="JO48" s="235">
        <f t="shared" si="9"/>
        <v>24</v>
      </c>
      <c r="JP48" s="235">
        <f t="shared" si="10"/>
        <v>24</v>
      </c>
      <c r="JQ48" s="235">
        <f t="shared" si="11"/>
        <v>24</v>
      </c>
      <c r="JR48" s="235">
        <f t="shared" si="12"/>
        <v>24</v>
      </c>
      <c r="JS48" s="235">
        <f t="shared" si="13"/>
        <v>24</v>
      </c>
      <c r="JT48" s="235">
        <f t="shared" si="14"/>
        <v>24</v>
      </c>
      <c r="JU48" s="235">
        <f t="shared" si="15"/>
        <v>24</v>
      </c>
      <c r="JV48" s="235">
        <f t="shared" si="16"/>
        <v>24</v>
      </c>
      <c r="JW48" s="235">
        <f t="shared" si="17"/>
        <v>24</v>
      </c>
      <c r="JX48" s="235">
        <f t="shared" si="18"/>
        <v>24</v>
      </c>
      <c r="JY48" s="235">
        <f t="shared" si="19"/>
        <v>24</v>
      </c>
      <c r="JZ48" s="235">
        <f t="shared" si="20"/>
        <v>24</v>
      </c>
      <c r="KA48" s="237">
        <f t="shared" si="21"/>
        <v>24</v>
      </c>
      <c r="KB48" s="248">
        <v>46066</v>
      </c>
      <c r="KC48" s="201">
        <v>2.2210000000000001</v>
      </c>
      <c r="KD48" s="201">
        <v>2.2189999999999999</v>
      </c>
      <c r="KE48" s="201">
        <v>2.2200000000000002</v>
      </c>
      <c r="KF48" s="201">
        <v>2.218</v>
      </c>
      <c r="KG48" s="201">
        <v>2.222</v>
      </c>
      <c r="KH48" s="201">
        <v>2.222</v>
      </c>
      <c r="KI48" s="201">
        <v>2.2170000000000001</v>
      </c>
      <c r="KJ48" s="201">
        <v>2.2200000000000002</v>
      </c>
      <c r="KK48" s="201">
        <v>2.2229999999999999</v>
      </c>
      <c r="KL48" s="201">
        <v>2.222</v>
      </c>
      <c r="KM48" s="201">
        <v>2.2210000000000001</v>
      </c>
      <c r="KN48" s="202">
        <v>2.2210000000000001</v>
      </c>
      <c r="KO48" s="202">
        <v>2.2170000000000001</v>
      </c>
      <c r="KP48" s="202">
        <v>2.2210000000000001</v>
      </c>
      <c r="KQ48" s="202">
        <v>2.2210000000000001</v>
      </c>
      <c r="KR48" s="202">
        <v>2.2210000000000001</v>
      </c>
      <c r="KS48" s="202">
        <v>2.2200000000000002</v>
      </c>
      <c r="KT48" s="202">
        <v>2.1989999999999998</v>
      </c>
      <c r="KU48" s="202">
        <v>2.2170000000000001</v>
      </c>
      <c r="KV48" s="202">
        <v>2.2440000000000002</v>
      </c>
      <c r="KW48" s="202">
        <v>2.2200000000000002</v>
      </c>
      <c r="KX48" s="202">
        <v>2.222</v>
      </c>
      <c r="KY48" s="203">
        <v>48.847999999999992</v>
      </c>
    </row>
    <row r="49" spans="1:311">
      <c r="A49" s="194">
        <v>46067</v>
      </c>
      <c r="B49" s="195"/>
      <c r="C49" s="196"/>
      <c r="D49" s="196"/>
      <c r="E49" s="196"/>
      <c r="F49" s="196"/>
      <c r="G49" s="196"/>
      <c r="H49" s="206">
        <v>1</v>
      </c>
      <c r="I49" s="198">
        <v>0</v>
      </c>
      <c r="J49" s="198">
        <v>0</v>
      </c>
      <c r="K49" s="199">
        <v>0</v>
      </c>
      <c r="L49" s="195"/>
      <c r="M49" s="196"/>
      <c r="N49" s="196"/>
      <c r="O49" s="196"/>
      <c r="P49" s="196"/>
      <c r="Q49" s="196"/>
      <c r="R49" s="206">
        <v>1</v>
      </c>
      <c r="S49" s="198">
        <v>0</v>
      </c>
      <c r="T49" s="198">
        <v>0</v>
      </c>
      <c r="U49" s="199">
        <v>0</v>
      </c>
      <c r="V49" s="195"/>
      <c r="W49" s="196"/>
      <c r="X49" s="196"/>
      <c r="Y49" s="196"/>
      <c r="Z49" s="196"/>
      <c r="AA49" s="196"/>
      <c r="AB49" s="206">
        <v>1</v>
      </c>
      <c r="AC49" s="198">
        <v>0</v>
      </c>
      <c r="AD49" s="198">
        <v>0</v>
      </c>
      <c r="AE49" s="199">
        <v>0</v>
      </c>
      <c r="AF49" s="195"/>
      <c r="AG49" s="196"/>
      <c r="AH49" s="196"/>
      <c r="AI49" s="196"/>
      <c r="AJ49" s="196"/>
      <c r="AK49" s="196"/>
      <c r="AL49" s="206">
        <v>1</v>
      </c>
      <c r="AM49" s="198">
        <v>0</v>
      </c>
      <c r="AN49" s="198">
        <v>0</v>
      </c>
      <c r="AO49" s="199">
        <v>0</v>
      </c>
      <c r="AP49" s="195"/>
      <c r="AQ49" s="196"/>
      <c r="AR49" s="196"/>
      <c r="AS49" s="196"/>
      <c r="AT49" s="196"/>
      <c r="AU49" s="196"/>
      <c r="AV49" s="206">
        <v>1</v>
      </c>
      <c r="AW49" s="198">
        <v>0</v>
      </c>
      <c r="AX49" s="198">
        <v>0</v>
      </c>
      <c r="AY49" s="199">
        <v>0</v>
      </c>
      <c r="AZ49" s="195"/>
      <c r="BA49" s="196"/>
      <c r="BB49" s="196"/>
      <c r="BC49" s="196"/>
      <c r="BD49" s="196"/>
      <c r="BE49" s="196"/>
      <c r="BF49" s="206">
        <v>1</v>
      </c>
      <c r="BG49" s="198">
        <v>0</v>
      </c>
      <c r="BH49" s="198">
        <v>0</v>
      </c>
      <c r="BI49" s="199">
        <v>0</v>
      </c>
      <c r="BJ49" s="195"/>
      <c r="BK49" s="196"/>
      <c r="BL49" s="196"/>
      <c r="BM49" s="196"/>
      <c r="BN49" s="196"/>
      <c r="BO49" s="196"/>
      <c r="BP49" s="206">
        <v>1</v>
      </c>
      <c r="BQ49" s="198">
        <v>0</v>
      </c>
      <c r="BR49" s="198">
        <v>0</v>
      </c>
      <c r="BS49" s="199">
        <v>0</v>
      </c>
      <c r="BT49" s="195"/>
      <c r="BU49" s="196"/>
      <c r="BV49" s="196"/>
      <c r="BW49" s="196"/>
      <c r="BX49" s="196"/>
      <c r="BY49" s="196"/>
      <c r="BZ49" s="206">
        <v>1</v>
      </c>
      <c r="CA49" s="198">
        <v>0</v>
      </c>
      <c r="CB49" s="198">
        <v>0</v>
      </c>
      <c r="CC49" s="199">
        <v>0</v>
      </c>
      <c r="CD49" s="195"/>
      <c r="CE49" s="196"/>
      <c r="CF49" s="196"/>
      <c r="CG49" s="196"/>
      <c r="CH49" s="196"/>
      <c r="CI49" s="196"/>
      <c r="CJ49" s="206">
        <v>1</v>
      </c>
      <c r="CK49" s="198">
        <v>0</v>
      </c>
      <c r="CL49" s="198">
        <v>0</v>
      </c>
      <c r="CM49" s="199">
        <v>0</v>
      </c>
      <c r="CN49" s="195"/>
      <c r="CO49" s="196"/>
      <c r="CP49" s="196"/>
      <c r="CQ49" s="196"/>
      <c r="CR49" s="196"/>
      <c r="CS49" s="196"/>
      <c r="CT49" s="206">
        <v>1</v>
      </c>
      <c r="CU49" s="198">
        <v>0</v>
      </c>
      <c r="CV49" s="198">
        <v>0</v>
      </c>
      <c r="CW49" s="199">
        <v>0</v>
      </c>
      <c r="CX49" s="195"/>
      <c r="CY49" s="196"/>
      <c r="CZ49" s="196"/>
      <c r="DA49" s="196"/>
      <c r="DB49" s="196"/>
      <c r="DC49" s="196"/>
      <c r="DD49" s="206">
        <v>1</v>
      </c>
      <c r="DE49" s="198">
        <v>0</v>
      </c>
      <c r="DF49" s="198">
        <v>0</v>
      </c>
      <c r="DG49" s="199">
        <v>0</v>
      </c>
      <c r="DH49" s="195"/>
      <c r="DI49" s="196"/>
      <c r="DJ49" s="196"/>
      <c r="DK49" s="196"/>
      <c r="DL49" s="196"/>
      <c r="DM49" s="196"/>
      <c r="DN49" s="206">
        <v>1</v>
      </c>
      <c r="DO49" s="198">
        <v>0</v>
      </c>
      <c r="DP49" s="198">
        <v>0</v>
      </c>
      <c r="DQ49" s="199">
        <v>0</v>
      </c>
      <c r="DR49" s="195"/>
      <c r="DS49" s="196"/>
      <c r="DT49" s="196"/>
      <c r="DU49" s="196"/>
      <c r="DV49" s="196"/>
      <c r="DW49" s="196"/>
      <c r="DX49" s="206">
        <v>1</v>
      </c>
      <c r="DY49" s="198">
        <v>0</v>
      </c>
      <c r="DZ49" s="198">
        <v>0</v>
      </c>
      <c r="EA49" s="199">
        <v>0</v>
      </c>
      <c r="EB49" s="195"/>
      <c r="EC49" s="196"/>
      <c r="ED49" s="196"/>
      <c r="EE49" s="196"/>
      <c r="EF49" s="196"/>
      <c r="EG49" s="196"/>
      <c r="EH49" s="206">
        <v>1</v>
      </c>
      <c r="EI49" s="198">
        <v>0</v>
      </c>
      <c r="EJ49" s="198">
        <v>0</v>
      </c>
      <c r="EK49" s="199">
        <v>0</v>
      </c>
      <c r="EL49" s="195"/>
      <c r="EM49" s="196"/>
      <c r="EN49" s="196"/>
      <c r="EO49" s="196"/>
      <c r="EP49" s="196"/>
      <c r="EQ49" s="196"/>
      <c r="ER49" s="206">
        <v>1</v>
      </c>
      <c r="ES49" s="198">
        <v>0</v>
      </c>
      <c r="ET49" s="198">
        <v>0</v>
      </c>
      <c r="EU49" s="199">
        <v>0</v>
      </c>
      <c r="EV49" s="195"/>
      <c r="EW49" s="196"/>
      <c r="EX49" s="196"/>
      <c r="EY49" s="196"/>
      <c r="EZ49" s="196"/>
      <c r="FA49" s="196"/>
      <c r="FB49" s="206">
        <v>1</v>
      </c>
      <c r="FC49" s="198">
        <v>0</v>
      </c>
      <c r="FD49" s="198">
        <v>0</v>
      </c>
      <c r="FE49" s="199">
        <v>0</v>
      </c>
      <c r="FF49" s="195"/>
      <c r="FG49" s="196"/>
      <c r="FH49" s="196"/>
      <c r="FI49" s="196"/>
      <c r="FJ49" s="196"/>
      <c r="FK49" s="196"/>
      <c r="FL49" s="206">
        <v>1</v>
      </c>
      <c r="FM49" s="198">
        <v>0</v>
      </c>
      <c r="FN49" s="198">
        <v>0</v>
      </c>
      <c r="FO49" s="199">
        <v>0</v>
      </c>
      <c r="FP49" s="195"/>
      <c r="FQ49" s="196"/>
      <c r="FR49" s="196"/>
      <c r="FS49" s="196"/>
      <c r="FT49" s="196"/>
      <c r="FU49" s="196"/>
      <c r="FV49" s="206">
        <v>1</v>
      </c>
      <c r="FW49" s="198">
        <v>0</v>
      </c>
      <c r="FX49" s="198">
        <v>0</v>
      </c>
      <c r="FY49" s="199">
        <v>0</v>
      </c>
      <c r="FZ49" s="195"/>
      <c r="GA49" s="196"/>
      <c r="GB49" s="196"/>
      <c r="GC49" s="196"/>
      <c r="GD49" s="196"/>
      <c r="GE49" s="196"/>
      <c r="GF49" s="206">
        <v>1</v>
      </c>
      <c r="GG49" s="198">
        <v>0</v>
      </c>
      <c r="GH49" s="198">
        <v>0</v>
      </c>
      <c r="GI49" s="199">
        <v>0</v>
      </c>
      <c r="GJ49" s="195"/>
      <c r="GK49" s="196"/>
      <c r="GL49" s="196"/>
      <c r="GM49" s="196"/>
      <c r="GN49" s="196"/>
      <c r="GO49" s="196"/>
      <c r="GP49" s="206">
        <v>1</v>
      </c>
      <c r="GQ49" s="198">
        <v>0</v>
      </c>
      <c r="GR49" s="198">
        <v>0</v>
      </c>
      <c r="GS49" s="199">
        <v>0</v>
      </c>
      <c r="GT49" s="195"/>
      <c r="GU49" s="196"/>
      <c r="GV49" s="196"/>
      <c r="GW49" s="196"/>
      <c r="GX49" s="196"/>
      <c r="GY49" s="196"/>
      <c r="GZ49" s="206">
        <v>1</v>
      </c>
      <c r="HA49" s="198">
        <v>0</v>
      </c>
      <c r="HB49" s="198">
        <v>0</v>
      </c>
      <c r="HC49" s="199">
        <v>0</v>
      </c>
      <c r="HD49" s="195"/>
      <c r="HE49" s="196"/>
      <c r="HF49" s="196"/>
      <c r="HG49" s="196"/>
      <c r="HH49" s="196"/>
      <c r="HI49" s="196"/>
      <c r="HJ49" s="206">
        <v>1</v>
      </c>
      <c r="HK49" s="198">
        <v>0</v>
      </c>
      <c r="HL49" s="198">
        <v>0</v>
      </c>
      <c r="HM49" s="199">
        <v>0</v>
      </c>
      <c r="HN49" s="204">
        <v>1</v>
      </c>
      <c r="HO49" s="205">
        <v>0</v>
      </c>
      <c r="HP49" s="204">
        <v>1</v>
      </c>
      <c r="HQ49" s="205">
        <v>0</v>
      </c>
      <c r="HR49" s="204">
        <v>1</v>
      </c>
      <c r="HS49" s="205">
        <v>0</v>
      </c>
      <c r="HT49" s="204">
        <v>1</v>
      </c>
      <c r="HU49" s="205">
        <v>0</v>
      </c>
      <c r="HV49" s="204">
        <v>1</v>
      </c>
      <c r="HW49" s="205">
        <v>0</v>
      </c>
      <c r="HX49" s="204">
        <v>1</v>
      </c>
      <c r="HY49" s="205">
        <v>0</v>
      </c>
      <c r="HZ49" s="204">
        <v>1</v>
      </c>
      <c r="IA49" s="205">
        <v>0</v>
      </c>
      <c r="IB49" s="204">
        <v>1</v>
      </c>
      <c r="IC49" s="205">
        <v>0</v>
      </c>
      <c r="ID49" s="204">
        <v>1</v>
      </c>
      <c r="IE49" s="205">
        <v>0</v>
      </c>
      <c r="IF49" s="204">
        <v>1</v>
      </c>
      <c r="IG49" s="205">
        <v>0</v>
      </c>
      <c r="IH49" s="204">
        <v>1</v>
      </c>
      <c r="II49" s="205">
        <v>0</v>
      </c>
      <c r="IJ49" s="204">
        <v>1</v>
      </c>
      <c r="IK49" s="205">
        <v>0</v>
      </c>
      <c r="IL49" s="204">
        <v>1</v>
      </c>
      <c r="IM49" s="205">
        <v>0</v>
      </c>
      <c r="IN49" s="204">
        <v>1</v>
      </c>
      <c r="IO49" s="205">
        <v>0</v>
      </c>
      <c r="IP49" s="204">
        <v>1</v>
      </c>
      <c r="IQ49" s="205">
        <v>0</v>
      </c>
      <c r="IR49" s="204">
        <v>1</v>
      </c>
      <c r="IS49" s="205">
        <v>0</v>
      </c>
      <c r="IT49" s="204">
        <v>1</v>
      </c>
      <c r="IU49" s="205">
        <v>0</v>
      </c>
      <c r="IV49" s="204">
        <v>1</v>
      </c>
      <c r="IW49" s="205">
        <v>0</v>
      </c>
      <c r="IX49" s="204">
        <v>1</v>
      </c>
      <c r="IY49" s="205">
        <v>0</v>
      </c>
      <c r="IZ49" s="204">
        <v>1</v>
      </c>
      <c r="JA49" s="205">
        <v>0</v>
      </c>
      <c r="JB49" s="204">
        <v>1</v>
      </c>
      <c r="JC49" s="205">
        <v>0</v>
      </c>
      <c r="JD49" s="204">
        <v>1</v>
      </c>
      <c r="JE49" s="233">
        <v>0</v>
      </c>
      <c r="JF49" s="236">
        <f t="shared" si="0"/>
        <v>24</v>
      </c>
      <c r="JG49" s="235">
        <f t="shared" si="1"/>
        <v>24</v>
      </c>
      <c r="JH49" s="235">
        <f t="shared" si="2"/>
        <v>24</v>
      </c>
      <c r="JI49" s="235">
        <f t="shared" si="3"/>
        <v>24</v>
      </c>
      <c r="JJ49" s="235">
        <f t="shared" si="4"/>
        <v>24</v>
      </c>
      <c r="JK49" s="235">
        <f t="shared" si="5"/>
        <v>24</v>
      </c>
      <c r="JL49" s="235">
        <f t="shared" si="6"/>
        <v>24</v>
      </c>
      <c r="JM49" s="235">
        <f t="shared" si="7"/>
        <v>24</v>
      </c>
      <c r="JN49" s="235">
        <f t="shared" si="8"/>
        <v>24</v>
      </c>
      <c r="JO49" s="235">
        <f t="shared" si="9"/>
        <v>24</v>
      </c>
      <c r="JP49" s="235">
        <f t="shared" si="10"/>
        <v>24</v>
      </c>
      <c r="JQ49" s="235">
        <f t="shared" si="11"/>
        <v>24</v>
      </c>
      <c r="JR49" s="235">
        <f t="shared" si="12"/>
        <v>24</v>
      </c>
      <c r="JS49" s="235">
        <f t="shared" si="13"/>
        <v>24</v>
      </c>
      <c r="JT49" s="235">
        <f t="shared" si="14"/>
        <v>24</v>
      </c>
      <c r="JU49" s="235">
        <f t="shared" si="15"/>
        <v>24</v>
      </c>
      <c r="JV49" s="235">
        <f t="shared" si="16"/>
        <v>24</v>
      </c>
      <c r="JW49" s="235">
        <f t="shared" si="17"/>
        <v>24</v>
      </c>
      <c r="JX49" s="235">
        <f t="shared" si="18"/>
        <v>24</v>
      </c>
      <c r="JY49" s="235">
        <f t="shared" si="19"/>
        <v>24</v>
      </c>
      <c r="JZ49" s="235">
        <f t="shared" si="20"/>
        <v>24</v>
      </c>
      <c r="KA49" s="237">
        <f t="shared" si="21"/>
        <v>24</v>
      </c>
      <c r="KB49" s="248">
        <v>46067</v>
      </c>
      <c r="KC49" s="201">
        <v>2.1269999999999998</v>
      </c>
      <c r="KD49" s="201">
        <v>2.12</v>
      </c>
      <c r="KE49" s="201">
        <v>2.121</v>
      </c>
      <c r="KF49" s="201">
        <v>2.125</v>
      </c>
      <c r="KG49" s="201">
        <v>2.1280000000000001</v>
      </c>
      <c r="KH49" s="201">
        <v>2.1280000000000001</v>
      </c>
      <c r="KI49" s="201">
        <v>2.1240000000000001</v>
      </c>
      <c r="KJ49" s="201">
        <v>2.125</v>
      </c>
      <c r="KK49" s="201">
        <v>2.1269999999999998</v>
      </c>
      <c r="KL49" s="201">
        <v>2.1280000000000001</v>
      </c>
      <c r="KM49" s="201">
        <v>2.1269999999999998</v>
      </c>
      <c r="KN49" s="202">
        <v>2.129</v>
      </c>
      <c r="KO49" s="202">
        <v>2.129</v>
      </c>
      <c r="KP49" s="202">
        <v>2.125</v>
      </c>
      <c r="KQ49" s="202">
        <v>2.1259999999999999</v>
      </c>
      <c r="KR49" s="202">
        <v>2.1280000000000001</v>
      </c>
      <c r="KS49" s="202">
        <v>2.1240000000000001</v>
      </c>
      <c r="KT49" s="202">
        <v>2.1320000000000001</v>
      </c>
      <c r="KU49" s="202">
        <v>2.13</v>
      </c>
      <c r="KV49" s="202">
        <v>2.1640000000000001</v>
      </c>
      <c r="KW49" s="202">
        <v>2.1259999999999999</v>
      </c>
      <c r="KX49" s="202">
        <v>2.1320000000000001</v>
      </c>
      <c r="KY49" s="203">
        <v>46.825000000000003</v>
      </c>
    </row>
    <row r="50" spans="1:311">
      <c r="A50" s="194">
        <v>46068</v>
      </c>
      <c r="B50" s="195"/>
      <c r="C50" s="196"/>
      <c r="D50" s="196"/>
      <c r="E50" s="196"/>
      <c r="F50" s="196"/>
      <c r="G50" s="196"/>
      <c r="H50" s="206">
        <v>1</v>
      </c>
      <c r="I50" s="198">
        <v>0</v>
      </c>
      <c r="J50" s="198">
        <v>0</v>
      </c>
      <c r="K50" s="199">
        <v>0</v>
      </c>
      <c r="L50" s="195"/>
      <c r="M50" s="196"/>
      <c r="N50" s="196"/>
      <c r="O50" s="196"/>
      <c r="P50" s="196"/>
      <c r="Q50" s="196"/>
      <c r="R50" s="206">
        <v>1</v>
      </c>
      <c r="S50" s="198">
        <v>0</v>
      </c>
      <c r="T50" s="198">
        <v>0</v>
      </c>
      <c r="U50" s="199">
        <v>0</v>
      </c>
      <c r="V50" s="195"/>
      <c r="W50" s="196"/>
      <c r="X50" s="196"/>
      <c r="Y50" s="196"/>
      <c r="Z50" s="196"/>
      <c r="AA50" s="196"/>
      <c r="AB50" s="206">
        <v>1</v>
      </c>
      <c r="AC50" s="198">
        <v>0</v>
      </c>
      <c r="AD50" s="198">
        <v>0</v>
      </c>
      <c r="AE50" s="199">
        <v>0</v>
      </c>
      <c r="AF50" s="195"/>
      <c r="AG50" s="196"/>
      <c r="AH50" s="196"/>
      <c r="AI50" s="196"/>
      <c r="AJ50" s="196"/>
      <c r="AK50" s="196"/>
      <c r="AL50" s="206">
        <v>1</v>
      </c>
      <c r="AM50" s="198">
        <v>0</v>
      </c>
      <c r="AN50" s="198">
        <v>0</v>
      </c>
      <c r="AO50" s="199">
        <v>0</v>
      </c>
      <c r="AP50" s="195"/>
      <c r="AQ50" s="196"/>
      <c r="AR50" s="196"/>
      <c r="AS50" s="196"/>
      <c r="AT50" s="196"/>
      <c r="AU50" s="196"/>
      <c r="AV50" s="206">
        <v>1</v>
      </c>
      <c r="AW50" s="198">
        <v>0</v>
      </c>
      <c r="AX50" s="198">
        <v>0</v>
      </c>
      <c r="AY50" s="199">
        <v>0</v>
      </c>
      <c r="AZ50" s="195"/>
      <c r="BA50" s="196"/>
      <c r="BB50" s="196"/>
      <c r="BC50" s="196"/>
      <c r="BD50" s="196"/>
      <c r="BE50" s="196"/>
      <c r="BF50" s="206">
        <v>1</v>
      </c>
      <c r="BG50" s="198">
        <v>0</v>
      </c>
      <c r="BH50" s="198">
        <v>0</v>
      </c>
      <c r="BI50" s="199">
        <v>0</v>
      </c>
      <c r="BJ50" s="195"/>
      <c r="BK50" s="196"/>
      <c r="BL50" s="196"/>
      <c r="BM50" s="196"/>
      <c r="BN50" s="196"/>
      <c r="BO50" s="196"/>
      <c r="BP50" s="206">
        <v>1</v>
      </c>
      <c r="BQ50" s="198">
        <v>0</v>
      </c>
      <c r="BR50" s="198">
        <v>0</v>
      </c>
      <c r="BS50" s="199">
        <v>0</v>
      </c>
      <c r="BT50" s="195"/>
      <c r="BU50" s="196"/>
      <c r="BV50" s="196"/>
      <c r="BW50" s="196"/>
      <c r="BX50" s="196"/>
      <c r="BY50" s="196"/>
      <c r="BZ50" s="206">
        <v>1</v>
      </c>
      <c r="CA50" s="198">
        <v>0</v>
      </c>
      <c r="CB50" s="198">
        <v>0</v>
      </c>
      <c r="CC50" s="199">
        <v>0</v>
      </c>
      <c r="CD50" s="195"/>
      <c r="CE50" s="196"/>
      <c r="CF50" s="196"/>
      <c r="CG50" s="196"/>
      <c r="CH50" s="196"/>
      <c r="CI50" s="196"/>
      <c r="CJ50" s="206">
        <v>1</v>
      </c>
      <c r="CK50" s="198">
        <v>0</v>
      </c>
      <c r="CL50" s="198">
        <v>0</v>
      </c>
      <c r="CM50" s="199">
        <v>0</v>
      </c>
      <c r="CN50" s="195"/>
      <c r="CO50" s="196"/>
      <c r="CP50" s="196"/>
      <c r="CQ50" s="196"/>
      <c r="CR50" s="196"/>
      <c r="CS50" s="196"/>
      <c r="CT50" s="206">
        <v>1</v>
      </c>
      <c r="CU50" s="198">
        <v>0</v>
      </c>
      <c r="CV50" s="198">
        <v>0</v>
      </c>
      <c r="CW50" s="199">
        <v>0</v>
      </c>
      <c r="CX50" s="195"/>
      <c r="CY50" s="196"/>
      <c r="CZ50" s="196"/>
      <c r="DA50" s="196"/>
      <c r="DB50" s="196"/>
      <c r="DC50" s="196"/>
      <c r="DD50" s="206">
        <v>1</v>
      </c>
      <c r="DE50" s="198">
        <v>0</v>
      </c>
      <c r="DF50" s="198">
        <v>0</v>
      </c>
      <c r="DG50" s="199">
        <v>0</v>
      </c>
      <c r="DH50" s="195"/>
      <c r="DI50" s="196"/>
      <c r="DJ50" s="196"/>
      <c r="DK50" s="196"/>
      <c r="DL50" s="196"/>
      <c r="DM50" s="196"/>
      <c r="DN50" s="206">
        <v>1</v>
      </c>
      <c r="DO50" s="198">
        <v>0</v>
      </c>
      <c r="DP50" s="198">
        <v>0</v>
      </c>
      <c r="DQ50" s="199">
        <v>0</v>
      </c>
      <c r="DR50" s="195"/>
      <c r="DS50" s="196"/>
      <c r="DT50" s="196"/>
      <c r="DU50" s="196"/>
      <c r="DV50" s="196"/>
      <c r="DW50" s="196"/>
      <c r="DX50" s="206">
        <v>1</v>
      </c>
      <c r="DY50" s="198">
        <v>0</v>
      </c>
      <c r="DZ50" s="198">
        <v>0</v>
      </c>
      <c r="EA50" s="199">
        <v>0</v>
      </c>
      <c r="EB50" s="195"/>
      <c r="EC50" s="196"/>
      <c r="ED50" s="196"/>
      <c r="EE50" s="196"/>
      <c r="EF50" s="196"/>
      <c r="EG50" s="196"/>
      <c r="EH50" s="206">
        <v>1</v>
      </c>
      <c r="EI50" s="198">
        <v>0</v>
      </c>
      <c r="EJ50" s="198">
        <v>0</v>
      </c>
      <c r="EK50" s="199">
        <v>0</v>
      </c>
      <c r="EL50" s="195"/>
      <c r="EM50" s="196"/>
      <c r="EN50" s="196"/>
      <c r="EO50" s="196"/>
      <c r="EP50" s="196"/>
      <c r="EQ50" s="196"/>
      <c r="ER50" s="206">
        <v>1</v>
      </c>
      <c r="ES50" s="198">
        <v>0</v>
      </c>
      <c r="ET50" s="198">
        <v>0</v>
      </c>
      <c r="EU50" s="199">
        <v>0</v>
      </c>
      <c r="EV50" s="195"/>
      <c r="EW50" s="196"/>
      <c r="EX50" s="196"/>
      <c r="EY50" s="196"/>
      <c r="EZ50" s="196"/>
      <c r="FA50" s="196"/>
      <c r="FB50" s="206">
        <v>1</v>
      </c>
      <c r="FC50" s="198">
        <v>0</v>
      </c>
      <c r="FD50" s="198">
        <v>0</v>
      </c>
      <c r="FE50" s="199">
        <v>0</v>
      </c>
      <c r="FF50" s="195"/>
      <c r="FG50" s="196"/>
      <c r="FH50" s="196"/>
      <c r="FI50" s="196"/>
      <c r="FJ50" s="196"/>
      <c r="FK50" s="196"/>
      <c r="FL50" s="206">
        <v>1</v>
      </c>
      <c r="FM50" s="198">
        <v>0</v>
      </c>
      <c r="FN50" s="198">
        <v>0</v>
      </c>
      <c r="FO50" s="199">
        <v>0</v>
      </c>
      <c r="FP50" s="195"/>
      <c r="FQ50" s="196"/>
      <c r="FR50" s="196"/>
      <c r="FS50" s="196"/>
      <c r="FT50" s="196"/>
      <c r="FU50" s="196"/>
      <c r="FV50" s="206">
        <v>1</v>
      </c>
      <c r="FW50" s="198">
        <v>0</v>
      </c>
      <c r="FX50" s="198">
        <v>0</v>
      </c>
      <c r="FY50" s="199">
        <v>0</v>
      </c>
      <c r="FZ50" s="195"/>
      <c r="GA50" s="196"/>
      <c r="GB50" s="196"/>
      <c r="GC50" s="196"/>
      <c r="GD50" s="196"/>
      <c r="GE50" s="196"/>
      <c r="GF50" s="206">
        <v>1</v>
      </c>
      <c r="GG50" s="198">
        <v>0</v>
      </c>
      <c r="GH50" s="198">
        <v>0</v>
      </c>
      <c r="GI50" s="199">
        <v>0</v>
      </c>
      <c r="GJ50" s="195"/>
      <c r="GK50" s="196"/>
      <c r="GL50" s="196"/>
      <c r="GM50" s="196"/>
      <c r="GN50" s="196"/>
      <c r="GO50" s="196"/>
      <c r="GP50" s="206">
        <v>1</v>
      </c>
      <c r="GQ50" s="198">
        <v>0</v>
      </c>
      <c r="GR50" s="198">
        <v>0</v>
      </c>
      <c r="GS50" s="199">
        <v>0</v>
      </c>
      <c r="GT50" s="195"/>
      <c r="GU50" s="196"/>
      <c r="GV50" s="196"/>
      <c r="GW50" s="196"/>
      <c r="GX50" s="196"/>
      <c r="GY50" s="196"/>
      <c r="GZ50" s="206">
        <v>1</v>
      </c>
      <c r="HA50" s="198">
        <v>0</v>
      </c>
      <c r="HB50" s="198">
        <v>0</v>
      </c>
      <c r="HC50" s="199">
        <v>0</v>
      </c>
      <c r="HD50" s="195"/>
      <c r="HE50" s="196"/>
      <c r="HF50" s="196"/>
      <c r="HG50" s="196"/>
      <c r="HH50" s="196"/>
      <c r="HI50" s="196"/>
      <c r="HJ50" s="206">
        <v>1</v>
      </c>
      <c r="HK50" s="198">
        <v>0</v>
      </c>
      <c r="HL50" s="198">
        <v>0</v>
      </c>
      <c r="HM50" s="199">
        <v>0</v>
      </c>
      <c r="HN50" s="204">
        <v>1</v>
      </c>
      <c r="HO50" s="205">
        <v>0</v>
      </c>
      <c r="HP50" s="204">
        <v>1</v>
      </c>
      <c r="HQ50" s="205">
        <v>0</v>
      </c>
      <c r="HR50" s="204">
        <v>1</v>
      </c>
      <c r="HS50" s="205">
        <v>0</v>
      </c>
      <c r="HT50" s="204">
        <v>1</v>
      </c>
      <c r="HU50" s="205">
        <v>0</v>
      </c>
      <c r="HV50" s="204">
        <v>1</v>
      </c>
      <c r="HW50" s="205">
        <v>0</v>
      </c>
      <c r="HX50" s="204">
        <v>1</v>
      </c>
      <c r="HY50" s="205">
        <v>0</v>
      </c>
      <c r="HZ50" s="204">
        <v>1</v>
      </c>
      <c r="IA50" s="205">
        <v>0</v>
      </c>
      <c r="IB50" s="204">
        <v>1</v>
      </c>
      <c r="IC50" s="205">
        <v>0</v>
      </c>
      <c r="ID50" s="204">
        <v>1</v>
      </c>
      <c r="IE50" s="205">
        <v>0</v>
      </c>
      <c r="IF50" s="204">
        <v>1</v>
      </c>
      <c r="IG50" s="205">
        <v>0</v>
      </c>
      <c r="IH50" s="204">
        <v>1</v>
      </c>
      <c r="II50" s="205">
        <v>0</v>
      </c>
      <c r="IJ50" s="204">
        <v>1</v>
      </c>
      <c r="IK50" s="205">
        <v>0</v>
      </c>
      <c r="IL50" s="204">
        <v>1</v>
      </c>
      <c r="IM50" s="205">
        <v>0</v>
      </c>
      <c r="IN50" s="204">
        <v>1</v>
      </c>
      <c r="IO50" s="205">
        <v>0</v>
      </c>
      <c r="IP50" s="204">
        <v>1</v>
      </c>
      <c r="IQ50" s="205">
        <v>0</v>
      </c>
      <c r="IR50" s="204">
        <v>1</v>
      </c>
      <c r="IS50" s="205">
        <v>0</v>
      </c>
      <c r="IT50" s="204">
        <v>1</v>
      </c>
      <c r="IU50" s="205">
        <v>0</v>
      </c>
      <c r="IV50" s="204">
        <v>1</v>
      </c>
      <c r="IW50" s="205">
        <v>0</v>
      </c>
      <c r="IX50" s="204">
        <v>1</v>
      </c>
      <c r="IY50" s="205">
        <v>0</v>
      </c>
      <c r="IZ50" s="204">
        <v>1</v>
      </c>
      <c r="JA50" s="205">
        <v>0</v>
      </c>
      <c r="JB50" s="204">
        <v>1</v>
      </c>
      <c r="JC50" s="205">
        <v>0</v>
      </c>
      <c r="JD50" s="204">
        <v>1</v>
      </c>
      <c r="JE50" s="233">
        <v>0</v>
      </c>
      <c r="JF50" s="236">
        <f t="shared" si="0"/>
        <v>24</v>
      </c>
      <c r="JG50" s="235">
        <f t="shared" si="1"/>
        <v>24</v>
      </c>
      <c r="JH50" s="235">
        <f t="shared" si="2"/>
        <v>24</v>
      </c>
      <c r="JI50" s="235">
        <f t="shared" si="3"/>
        <v>24</v>
      </c>
      <c r="JJ50" s="235">
        <f t="shared" si="4"/>
        <v>24</v>
      </c>
      <c r="JK50" s="235">
        <f t="shared" si="5"/>
        <v>24</v>
      </c>
      <c r="JL50" s="235">
        <f t="shared" si="6"/>
        <v>24</v>
      </c>
      <c r="JM50" s="235">
        <f t="shared" si="7"/>
        <v>24</v>
      </c>
      <c r="JN50" s="235">
        <f t="shared" si="8"/>
        <v>24</v>
      </c>
      <c r="JO50" s="235">
        <f t="shared" si="9"/>
        <v>24</v>
      </c>
      <c r="JP50" s="235">
        <f t="shared" si="10"/>
        <v>24</v>
      </c>
      <c r="JQ50" s="235">
        <f t="shared" si="11"/>
        <v>24</v>
      </c>
      <c r="JR50" s="235">
        <f t="shared" si="12"/>
        <v>24</v>
      </c>
      <c r="JS50" s="235">
        <f t="shared" si="13"/>
        <v>24</v>
      </c>
      <c r="JT50" s="235">
        <f t="shared" si="14"/>
        <v>24</v>
      </c>
      <c r="JU50" s="235">
        <f t="shared" si="15"/>
        <v>24</v>
      </c>
      <c r="JV50" s="235">
        <f t="shared" si="16"/>
        <v>24</v>
      </c>
      <c r="JW50" s="235">
        <f t="shared" si="17"/>
        <v>24</v>
      </c>
      <c r="JX50" s="235">
        <f t="shared" si="18"/>
        <v>24</v>
      </c>
      <c r="JY50" s="235">
        <f t="shared" si="19"/>
        <v>24</v>
      </c>
      <c r="JZ50" s="235">
        <f t="shared" si="20"/>
        <v>24</v>
      </c>
      <c r="KA50" s="237">
        <f t="shared" si="21"/>
        <v>24</v>
      </c>
      <c r="KB50" s="248">
        <v>46068</v>
      </c>
      <c r="KC50" s="201">
        <v>2.1459999999999999</v>
      </c>
      <c r="KD50" s="201">
        <v>2.1389999999999998</v>
      </c>
      <c r="KE50" s="201">
        <v>2.137</v>
      </c>
      <c r="KF50" s="201">
        <v>2.141</v>
      </c>
      <c r="KG50" s="201">
        <v>2.1469999999999998</v>
      </c>
      <c r="KH50" s="201">
        <v>2.1469999999999998</v>
      </c>
      <c r="KI50" s="201">
        <v>2.1389999999999998</v>
      </c>
      <c r="KJ50" s="201">
        <v>2.1379999999999999</v>
      </c>
      <c r="KK50" s="201">
        <v>2.1469999999999998</v>
      </c>
      <c r="KL50" s="201">
        <v>2.1469999999999998</v>
      </c>
      <c r="KM50" s="201">
        <v>2.1469999999999998</v>
      </c>
      <c r="KN50" s="202">
        <v>2.1459999999999999</v>
      </c>
      <c r="KO50" s="202">
        <v>2.145</v>
      </c>
      <c r="KP50" s="202">
        <v>2.1429999999999998</v>
      </c>
      <c r="KQ50" s="202">
        <v>2.145</v>
      </c>
      <c r="KR50" s="202">
        <v>2.1459999999999999</v>
      </c>
      <c r="KS50" s="202">
        <v>2.137</v>
      </c>
      <c r="KT50" s="202">
        <v>2.149</v>
      </c>
      <c r="KU50" s="202">
        <v>2.1459999999999999</v>
      </c>
      <c r="KV50" s="202">
        <v>2.1389999999999998</v>
      </c>
      <c r="KW50" s="202">
        <v>2.14</v>
      </c>
      <c r="KX50" s="202">
        <v>2.15</v>
      </c>
      <c r="KY50" s="203">
        <v>47.161000000000001</v>
      </c>
    </row>
    <row r="51" spans="1:311">
      <c r="A51" s="194">
        <v>46069</v>
      </c>
      <c r="B51" s="195"/>
      <c r="C51" s="196"/>
      <c r="D51" s="196"/>
      <c r="E51" s="196"/>
      <c r="F51" s="196"/>
      <c r="G51" s="196"/>
      <c r="H51" s="206">
        <v>1</v>
      </c>
      <c r="I51" s="198">
        <v>0</v>
      </c>
      <c r="J51" s="198">
        <v>0</v>
      </c>
      <c r="K51" s="199">
        <v>0</v>
      </c>
      <c r="L51" s="195"/>
      <c r="M51" s="196"/>
      <c r="N51" s="196"/>
      <c r="O51" s="196"/>
      <c r="P51" s="196"/>
      <c r="Q51" s="196"/>
      <c r="R51" s="206">
        <v>1</v>
      </c>
      <c r="S51" s="198">
        <v>0</v>
      </c>
      <c r="T51" s="198">
        <v>0</v>
      </c>
      <c r="U51" s="199">
        <v>0</v>
      </c>
      <c r="V51" s="195"/>
      <c r="W51" s="196"/>
      <c r="X51" s="196"/>
      <c r="Y51" s="196"/>
      <c r="Z51" s="196"/>
      <c r="AA51" s="196"/>
      <c r="AB51" s="206">
        <v>1</v>
      </c>
      <c r="AC51" s="198">
        <v>0</v>
      </c>
      <c r="AD51" s="198">
        <v>0</v>
      </c>
      <c r="AE51" s="199">
        <v>0</v>
      </c>
      <c r="AF51" s="195"/>
      <c r="AG51" s="196"/>
      <c r="AH51" s="196"/>
      <c r="AI51" s="196"/>
      <c r="AJ51" s="196"/>
      <c r="AK51" s="196"/>
      <c r="AL51" s="206">
        <v>1</v>
      </c>
      <c r="AM51" s="198">
        <v>0</v>
      </c>
      <c r="AN51" s="198">
        <v>0</v>
      </c>
      <c r="AO51" s="199">
        <v>0</v>
      </c>
      <c r="AP51" s="195"/>
      <c r="AQ51" s="196"/>
      <c r="AR51" s="196"/>
      <c r="AS51" s="196"/>
      <c r="AT51" s="196"/>
      <c r="AU51" s="196"/>
      <c r="AV51" s="206">
        <v>1</v>
      </c>
      <c r="AW51" s="198">
        <v>0</v>
      </c>
      <c r="AX51" s="198">
        <v>0</v>
      </c>
      <c r="AY51" s="199">
        <v>0</v>
      </c>
      <c r="AZ51" s="195"/>
      <c r="BA51" s="196"/>
      <c r="BB51" s="196"/>
      <c r="BC51" s="196"/>
      <c r="BD51" s="196"/>
      <c r="BE51" s="196"/>
      <c r="BF51" s="206">
        <v>1</v>
      </c>
      <c r="BG51" s="198">
        <v>0</v>
      </c>
      <c r="BH51" s="198">
        <v>0</v>
      </c>
      <c r="BI51" s="199">
        <v>0</v>
      </c>
      <c r="BJ51" s="195"/>
      <c r="BK51" s="196"/>
      <c r="BL51" s="196"/>
      <c r="BM51" s="196"/>
      <c r="BN51" s="196"/>
      <c r="BO51" s="196"/>
      <c r="BP51" s="206">
        <v>1</v>
      </c>
      <c r="BQ51" s="198">
        <v>0</v>
      </c>
      <c r="BR51" s="198">
        <v>0</v>
      </c>
      <c r="BS51" s="199">
        <v>0</v>
      </c>
      <c r="BT51" s="195"/>
      <c r="BU51" s="196"/>
      <c r="BV51" s="196"/>
      <c r="BW51" s="196"/>
      <c r="BX51" s="196"/>
      <c r="BY51" s="196"/>
      <c r="BZ51" s="206">
        <v>1</v>
      </c>
      <c r="CA51" s="198">
        <v>0</v>
      </c>
      <c r="CB51" s="198">
        <v>0</v>
      </c>
      <c r="CC51" s="199">
        <v>0</v>
      </c>
      <c r="CD51" s="195"/>
      <c r="CE51" s="196"/>
      <c r="CF51" s="196"/>
      <c r="CG51" s="196"/>
      <c r="CH51" s="196"/>
      <c r="CI51" s="196"/>
      <c r="CJ51" s="206">
        <v>1</v>
      </c>
      <c r="CK51" s="198">
        <v>0</v>
      </c>
      <c r="CL51" s="198">
        <v>0</v>
      </c>
      <c r="CM51" s="199">
        <v>0</v>
      </c>
      <c r="CN51" s="195"/>
      <c r="CO51" s="196"/>
      <c r="CP51" s="196"/>
      <c r="CQ51" s="196"/>
      <c r="CR51" s="196"/>
      <c r="CS51" s="196"/>
      <c r="CT51" s="206">
        <v>1</v>
      </c>
      <c r="CU51" s="198">
        <v>0</v>
      </c>
      <c r="CV51" s="198">
        <v>0</v>
      </c>
      <c r="CW51" s="199">
        <v>0</v>
      </c>
      <c r="CX51" s="195"/>
      <c r="CY51" s="196"/>
      <c r="CZ51" s="196"/>
      <c r="DA51" s="196"/>
      <c r="DB51" s="196"/>
      <c r="DC51" s="196"/>
      <c r="DD51" s="206">
        <v>1</v>
      </c>
      <c r="DE51" s="198">
        <v>0</v>
      </c>
      <c r="DF51" s="198">
        <v>0</v>
      </c>
      <c r="DG51" s="199">
        <v>0</v>
      </c>
      <c r="DH51" s="195"/>
      <c r="DI51" s="196"/>
      <c r="DJ51" s="196"/>
      <c r="DK51" s="196"/>
      <c r="DL51" s="196"/>
      <c r="DM51" s="196"/>
      <c r="DN51" s="206">
        <v>1</v>
      </c>
      <c r="DO51" s="198">
        <v>0</v>
      </c>
      <c r="DP51" s="198">
        <v>0</v>
      </c>
      <c r="DQ51" s="199">
        <v>0</v>
      </c>
      <c r="DR51" s="195"/>
      <c r="DS51" s="196"/>
      <c r="DT51" s="196"/>
      <c r="DU51" s="196"/>
      <c r="DV51" s="196"/>
      <c r="DW51" s="196"/>
      <c r="DX51" s="206">
        <v>1</v>
      </c>
      <c r="DY51" s="198">
        <v>0</v>
      </c>
      <c r="DZ51" s="198">
        <v>0</v>
      </c>
      <c r="EA51" s="199">
        <v>0</v>
      </c>
      <c r="EB51" s="195"/>
      <c r="EC51" s="196"/>
      <c r="ED51" s="196"/>
      <c r="EE51" s="196"/>
      <c r="EF51" s="196"/>
      <c r="EG51" s="196"/>
      <c r="EH51" s="206">
        <v>1</v>
      </c>
      <c r="EI51" s="198">
        <v>0</v>
      </c>
      <c r="EJ51" s="198">
        <v>0</v>
      </c>
      <c r="EK51" s="199">
        <v>0</v>
      </c>
      <c r="EL51" s="195"/>
      <c r="EM51" s="196"/>
      <c r="EN51" s="196"/>
      <c r="EO51" s="196"/>
      <c r="EP51" s="196"/>
      <c r="EQ51" s="196"/>
      <c r="ER51" s="206">
        <v>1</v>
      </c>
      <c r="ES51" s="198">
        <v>0</v>
      </c>
      <c r="ET51" s="198">
        <v>0</v>
      </c>
      <c r="EU51" s="199">
        <v>0</v>
      </c>
      <c r="EV51" s="195"/>
      <c r="EW51" s="196"/>
      <c r="EX51" s="196"/>
      <c r="EY51" s="196"/>
      <c r="EZ51" s="196"/>
      <c r="FA51" s="196"/>
      <c r="FB51" s="206">
        <v>1</v>
      </c>
      <c r="FC51" s="198">
        <v>0</v>
      </c>
      <c r="FD51" s="198">
        <v>0</v>
      </c>
      <c r="FE51" s="199">
        <v>0</v>
      </c>
      <c r="FF51" s="195"/>
      <c r="FG51" s="196"/>
      <c r="FH51" s="196"/>
      <c r="FI51" s="196"/>
      <c r="FJ51" s="196"/>
      <c r="FK51" s="196"/>
      <c r="FL51" s="206">
        <v>1</v>
      </c>
      <c r="FM51" s="198">
        <v>0</v>
      </c>
      <c r="FN51" s="198">
        <v>0</v>
      </c>
      <c r="FO51" s="199">
        <v>0</v>
      </c>
      <c r="FP51" s="195"/>
      <c r="FQ51" s="196"/>
      <c r="FR51" s="196"/>
      <c r="FS51" s="196"/>
      <c r="FT51" s="196"/>
      <c r="FU51" s="196"/>
      <c r="FV51" s="206">
        <v>1</v>
      </c>
      <c r="FW51" s="198">
        <v>0</v>
      </c>
      <c r="FX51" s="198">
        <v>0</v>
      </c>
      <c r="FY51" s="199">
        <v>0</v>
      </c>
      <c r="FZ51" s="195"/>
      <c r="GA51" s="196"/>
      <c r="GB51" s="196"/>
      <c r="GC51" s="196"/>
      <c r="GD51" s="196"/>
      <c r="GE51" s="196"/>
      <c r="GF51" s="206">
        <v>1</v>
      </c>
      <c r="GG51" s="198">
        <v>0</v>
      </c>
      <c r="GH51" s="198">
        <v>0</v>
      </c>
      <c r="GI51" s="199">
        <v>0</v>
      </c>
      <c r="GJ51" s="195"/>
      <c r="GK51" s="196"/>
      <c r="GL51" s="196"/>
      <c r="GM51" s="196"/>
      <c r="GN51" s="196"/>
      <c r="GO51" s="196"/>
      <c r="GP51" s="206">
        <v>1</v>
      </c>
      <c r="GQ51" s="198">
        <v>0</v>
      </c>
      <c r="GR51" s="198">
        <v>0</v>
      </c>
      <c r="GS51" s="199">
        <v>0</v>
      </c>
      <c r="GT51" s="195"/>
      <c r="GU51" s="196"/>
      <c r="GV51" s="196"/>
      <c r="GW51" s="196"/>
      <c r="GX51" s="196"/>
      <c r="GY51" s="196"/>
      <c r="GZ51" s="206">
        <v>1</v>
      </c>
      <c r="HA51" s="198">
        <v>0</v>
      </c>
      <c r="HB51" s="198">
        <v>0</v>
      </c>
      <c r="HC51" s="199">
        <v>0</v>
      </c>
      <c r="HD51" s="195"/>
      <c r="HE51" s="196"/>
      <c r="HF51" s="196"/>
      <c r="HG51" s="196"/>
      <c r="HH51" s="196"/>
      <c r="HI51" s="196"/>
      <c r="HJ51" s="206">
        <v>1</v>
      </c>
      <c r="HK51" s="198">
        <v>0</v>
      </c>
      <c r="HL51" s="198">
        <v>0</v>
      </c>
      <c r="HM51" s="199">
        <v>0</v>
      </c>
      <c r="HN51" s="204">
        <v>1</v>
      </c>
      <c r="HO51" s="205">
        <v>0</v>
      </c>
      <c r="HP51" s="204">
        <v>1</v>
      </c>
      <c r="HQ51" s="205">
        <v>0</v>
      </c>
      <c r="HR51" s="204">
        <v>1</v>
      </c>
      <c r="HS51" s="205">
        <v>0</v>
      </c>
      <c r="HT51" s="204">
        <v>1</v>
      </c>
      <c r="HU51" s="205">
        <v>0</v>
      </c>
      <c r="HV51" s="204">
        <v>1</v>
      </c>
      <c r="HW51" s="205">
        <v>0</v>
      </c>
      <c r="HX51" s="204">
        <v>1</v>
      </c>
      <c r="HY51" s="205">
        <v>0</v>
      </c>
      <c r="HZ51" s="204">
        <v>1</v>
      </c>
      <c r="IA51" s="205">
        <v>0</v>
      </c>
      <c r="IB51" s="204">
        <v>1</v>
      </c>
      <c r="IC51" s="205">
        <v>0</v>
      </c>
      <c r="ID51" s="204">
        <v>1</v>
      </c>
      <c r="IE51" s="205">
        <v>0</v>
      </c>
      <c r="IF51" s="204">
        <v>1</v>
      </c>
      <c r="IG51" s="205">
        <v>0</v>
      </c>
      <c r="IH51" s="204">
        <v>1</v>
      </c>
      <c r="II51" s="205">
        <v>0</v>
      </c>
      <c r="IJ51" s="204">
        <v>1</v>
      </c>
      <c r="IK51" s="205">
        <v>0</v>
      </c>
      <c r="IL51" s="204">
        <v>1</v>
      </c>
      <c r="IM51" s="205">
        <v>0</v>
      </c>
      <c r="IN51" s="204">
        <v>1</v>
      </c>
      <c r="IO51" s="205">
        <v>0</v>
      </c>
      <c r="IP51" s="204">
        <v>1</v>
      </c>
      <c r="IQ51" s="205">
        <v>0</v>
      </c>
      <c r="IR51" s="204">
        <v>1</v>
      </c>
      <c r="IS51" s="205">
        <v>0</v>
      </c>
      <c r="IT51" s="204">
        <v>1</v>
      </c>
      <c r="IU51" s="205">
        <v>0</v>
      </c>
      <c r="IV51" s="204">
        <v>1</v>
      </c>
      <c r="IW51" s="205">
        <v>0</v>
      </c>
      <c r="IX51" s="204">
        <v>1</v>
      </c>
      <c r="IY51" s="205">
        <v>0</v>
      </c>
      <c r="IZ51" s="204">
        <v>1</v>
      </c>
      <c r="JA51" s="205">
        <v>0</v>
      </c>
      <c r="JB51" s="204">
        <v>1</v>
      </c>
      <c r="JC51" s="205">
        <v>0</v>
      </c>
      <c r="JD51" s="204">
        <v>1</v>
      </c>
      <c r="JE51" s="233">
        <v>0</v>
      </c>
      <c r="JF51" s="236">
        <f t="shared" si="0"/>
        <v>24</v>
      </c>
      <c r="JG51" s="235">
        <f t="shared" si="1"/>
        <v>24</v>
      </c>
      <c r="JH51" s="235">
        <f t="shared" si="2"/>
        <v>24</v>
      </c>
      <c r="JI51" s="235">
        <f t="shared" si="3"/>
        <v>24</v>
      </c>
      <c r="JJ51" s="235">
        <f t="shared" si="4"/>
        <v>24</v>
      </c>
      <c r="JK51" s="235">
        <f t="shared" si="5"/>
        <v>24</v>
      </c>
      <c r="JL51" s="235">
        <f t="shared" si="6"/>
        <v>24</v>
      </c>
      <c r="JM51" s="235">
        <f t="shared" si="7"/>
        <v>24</v>
      </c>
      <c r="JN51" s="235">
        <f t="shared" si="8"/>
        <v>24</v>
      </c>
      <c r="JO51" s="235">
        <f t="shared" si="9"/>
        <v>24</v>
      </c>
      <c r="JP51" s="235">
        <f t="shared" si="10"/>
        <v>24</v>
      </c>
      <c r="JQ51" s="235">
        <f t="shared" si="11"/>
        <v>24</v>
      </c>
      <c r="JR51" s="235">
        <f t="shared" si="12"/>
        <v>24</v>
      </c>
      <c r="JS51" s="235">
        <f t="shared" si="13"/>
        <v>24</v>
      </c>
      <c r="JT51" s="235">
        <f t="shared" si="14"/>
        <v>24</v>
      </c>
      <c r="JU51" s="235">
        <f t="shared" si="15"/>
        <v>24</v>
      </c>
      <c r="JV51" s="235">
        <f t="shared" si="16"/>
        <v>24</v>
      </c>
      <c r="JW51" s="235">
        <f t="shared" si="17"/>
        <v>24</v>
      </c>
      <c r="JX51" s="235">
        <f t="shared" si="18"/>
        <v>24</v>
      </c>
      <c r="JY51" s="235">
        <f t="shared" si="19"/>
        <v>24</v>
      </c>
      <c r="JZ51" s="235">
        <f t="shared" si="20"/>
        <v>24</v>
      </c>
      <c r="KA51" s="237">
        <f t="shared" si="21"/>
        <v>24</v>
      </c>
      <c r="KB51" s="248">
        <v>46069</v>
      </c>
      <c r="KC51" s="201">
        <v>2.113</v>
      </c>
      <c r="KD51" s="201">
        <v>2.1070000000000002</v>
      </c>
      <c r="KE51" s="201">
        <v>2.105</v>
      </c>
      <c r="KF51" s="201">
        <v>2.1080000000000001</v>
      </c>
      <c r="KG51" s="201">
        <v>2.1139999999999999</v>
      </c>
      <c r="KH51" s="201">
        <v>2.1139999999999999</v>
      </c>
      <c r="KI51" s="201">
        <v>2.1070000000000002</v>
      </c>
      <c r="KJ51" s="201">
        <v>2.1070000000000002</v>
      </c>
      <c r="KK51" s="201">
        <v>2.1150000000000002</v>
      </c>
      <c r="KL51" s="201">
        <v>2.113</v>
      </c>
      <c r="KM51" s="201">
        <v>2.1150000000000002</v>
      </c>
      <c r="KN51" s="202">
        <v>2.1150000000000002</v>
      </c>
      <c r="KO51" s="202">
        <v>2.1120000000000001</v>
      </c>
      <c r="KP51" s="202">
        <v>2.11</v>
      </c>
      <c r="KQ51" s="202">
        <v>2.1120000000000001</v>
      </c>
      <c r="KR51" s="202">
        <v>2.113</v>
      </c>
      <c r="KS51" s="202">
        <v>2.1080000000000001</v>
      </c>
      <c r="KT51" s="202">
        <v>2.1120000000000001</v>
      </c>
      <c r="KU51" s="202">
        <v>2.113</v>
      </c>
      <c r="KV51" s="202">
        <v>2.11</v>
      </c>
      <c r="KW51" s="202">
        <v>2.1120000000000001</v>
      </c>
      <c r="KX51" s="202">
        <v>2.1190000000000002</v>
      </c>
      <c r="KY51" s="203">
        <v>46.454000000000008</v>
      </c>
    </row>
    <row r="52" spans="1:311">
      <c r="A52" s="194">
        <v>46070</v>
      </c>
      <c r="B52" s="195"/>
      <c r="C52" s="196"/>
      <c r="D52" s="196"/>
      <c r="E52" s="196"/>
      <c r="F52" s="196"/>
      <c r="G52" s="196"/>
      <c r="H52" s="206">
        <v>1</v>
      </c>
      <c r="I52" s="198">
        <v>0</v>
      </c>
      <c r="J52" s="198">
        <v>0</v>
      </c>
      <c r="K52" s="199">
        <v>0</v>
      </c>
      <c r="L52" s="195"/>
      <c r="M52" s="196"/>
      <c r="N52" s="196"/>
      <c r="O52" s="196"/>
      <c r="P52" s="196"/>
      <c r="Q52" s="196"/>
      <c r="R52" s="206">
        <v>1</v>
      </c>
      <c r="S52" s="198">
        <v>0</v>
      </c>
      <c r="T52" s="198">
        <v>0</v>
      </c>
      <c r="U52" s="199">
        <v>0</v>
      </c>
      <c r="V52" s="195"/>
      <c r="W52" s="196"/>
      <c r="X52" s="196"/>
      <c r="Y52" s="196"/>
      <c r="Z52" s="196"/>
      <c r="AA52" s="196"/>
      <c r="AB52" s="206">
        <v>1</v>
      </c>
      <c r="AC52" s="198">
        <v>0</v>
      </c>
      <c r="AD52" s="198">
        <v>0</v>
      </c>
      <c r="AE52" s="199">
        <v>0</v>
      </c>
      <c r="AF52" s="195"/>
      <c r="AG52" s="196"/>
      <c r="AH52" s="196"/>
      <c r="AI52" s="196"/>
      <c r="AJ52" s="196"/>
      <c r="AK52" s="196"/>
      <c r="AL52" s="206">
        <v>1</v>
      </c>
      <c r="AM52" s="198">
        <v>0</v>
      </c>
      <c r="AN52" s="198">
        <v>0</v>
      </c>
      <c r="AO52" s="199">
        <v>0</v>
      </c>
      <c r="AP52" s="195"/>
      <c r="AQ52" s="196"/>
      <c r="AR52" s="196"/>
      <c r="AS52" s="196"/>
      <c r="AT52" s="196"/>
      <c r="AU52" s="196"/>
      <c r="AV52" s="206">
        <v>1</v>
      </c>
      <c r="AW52" s="198">
        <v>0</v>
      </c>
      <c r="AX52" s="198">
        <v>0</v>
      </c>
      <c r="AY52" s="199">
        <v>0</v>
      </c>
      <c r="AZ52" s="195"/>
      <c r="BA52" s="196"/>
      <c r="BB52" s="196"/>
      <c r="BC52" s="196"/>
      <c r="BD52" s="196"/>
      <c r="BE52" s="196"/>
      <c r="BF52" s="206">
        <v>1</v>
      </c>
      <c r="BG52" s="198">
        <v>0</v>
      </c>
      <c r="BH52" s="198">
        <v>0</v>
      </c>
      <c r="BI52" s="199">
        <v>0</v>
      </c>
      <c r="BJ52" s="195"/>
      <c r="BK52" s="196"/>
      <c r="BL52" s="196"/>
      <c r="BM52" s="196"/>
      <c r="BN52" s="196"/>
      <c r="BO52" s="196"/>
      <c r="BP52" s="206">
        <v>1</v>
      </c>
      <c r="BQ52" s="198">
        <v>0</v>
      </c>
      <c r="BR52" s="198">
        <v>0</v>
      </c>
      <c r="BS52" s="199">
        <v>0</v>
      </c>
      <c r="BT52" s="195"/>
      <c r="BU52" s="196"/>
      <c r="BV52" s="196"/>
      <c r="BW52" s="196"/>
      <c r="BX52" s="196"/>
      <c r="BY52" s="196"/>
      <c r="BZ52" s="206">
        <v>1</v>
      </c>
      <c r="CA52" s="198">
        <v>0</v>
      </c>
      <c r="CB52" s="198">
        <v>0</v>
      </c>
      <c r="CC52" s="199">
        <v>0</v>
      </c>
      <c r="CD52" s="195"/>
      <c r="CE52" s="196"/>
      <c r="CF52" s="196"/>
      <c r="CG52" s="196"/>
      <c r="CH52" s="196"/>
      <c r="CI52" s="196"/>
      <c r="CJ52" s="206">
        <v>1</v>
      </c>
      <c r="CK52" s="198">
        <v>0</v>
      </c>
      <c r="CL52" s="198">
        <v>0</v>
      </c>
      <c r="CM52" s="199">
        <v>0</v>
      </c>
      <c r="CN52" s="195"/>
      <c r="CO52" s="196"/>
      <c r="CP52" s="196"/>
      <c r="CQ52" s="196"/>
      <c r="CR52" s="196"/>
      <c r="CS52" s="196"/>
      <c r="CT52" s="206">
        <v>1</v>
      </c>
      <c r="CU52" s="198">
        <v>0</v>
      </c>
      <c r="CV52" s="198">
        <v>0</v>
      </c>
      <c r="CW52" s="199">
        <v>0</v>
      </c>
      <c r="CX52" s="195"/>
      <c r="CY52" s="196"/>
      <c r="CZ52" s="196"/>
      <c r="DA52" s="196"/>
      <c r="DB52" s="196"/>
      <c r="DC52" s="196"/>
      <c r="DD52" s="206">
        <v>1</v>
      </c>
      <c r="DE52" s="198">
        <v>0</v>
      </c>
      <c r="DF52" s="198">
        <v>0</v>
      </c>
      <c r="DG52" s="199">
        <v>0</v>
      </c>
      <c r="DH52" s="195"/>
      <c r="DI52" s="196"/>
      <c r="DJ52" s="196"/>
      <c r="DK52" s="196"/>
      <c r="DL52" s="196"/>
      <c r="DM52" s="196"/>
      <c r="DN52" s="206">
        <v>1</v>
      </c>
      <c r="DO52" s="198">
        <v>0</v>
      </c>
      <c r="DP52" s="198">
        <v>0</v>
      </c>
      <c r="DQ52" s="199">
        <v>0</v>
      </c>
      <c r="DR52" s="195"/>
      <c r="DS52" s="196"/>
      <c r="DT52" s="196"/>
      <c r="DU52" s="196"/>
      <c r="DV52" s="196"/>
      <c r="DW52" s="196"/>
      <c r="DX52" s="206">
        <v>1</v>
      </c>
      <c r="DY52" s="198">
        <v>0</v>
      </c>
      <c r="DZ52" s="198">
        <v>0</v>
      </c>
      <c r="EA52" s="199">
        <v>0</v>
      </c>
      <c r="EB52" s="195"/>
      <c r="EC52" s="196"/>
      <c r="ED52" s="196"/>
      <c r="EE52" s="196"/>
      <c r="EF52" s="196"/>
      <c r="EG52" s="196"/>
      <c r="EH52" s="206">
        <v>1</v>
      </c>
      <c r="EI52" s="198">
        <v>0</v>
      </c>
      <c r="EJ52" s="198">
        <v>0</v>
      </c>
      <c r="EK52" s="199">
        <v>0</v>
      </c>
      <c r="EL52" s="195"/>
      <c r="EM52" s="196"/>
      <c r="EN52" s="196"/>
      <c r="EO52" s="196"/>
      <c r="EP52" s="196"/>
      <c r="EQ52" s="196"/>
      <c r="ER52" s="206">
        <v>1</v>
      </c>
      <c r="ES52" s="198">
        <v>0</v>
      </c>
      <c r="ET52" s="198">
        <v>0</v>
      </c>
      <c r="EU52" s="199">
        <v>0</v>
      </c>
      <c r="EV52" s="195"/>
      <c r="EW52" s="196"/>
      <c r="EX52" s="196"/>
      <c r="EY52" s="196"/>
      <c r="EZ52" s="196"/>
      <c r="FA52" s="196"/>
      <c r="FB52" s="206">
        <v>1</v>
      </c>
      <c r="FC52" s="198">
        <v>0</v>
      </c>
      <c r="FD52" s="198">
        <v>0</v>
      </c>
      <c r="FE52" s="199">
        <v>0</v>
      </c>
      <c r="FF52" s="195"/>
      <c r="FG52" s="196"/>
      <c r="FH52" s="196"/>
      <c r="FI52" s="196"/>
      <c r="FJ52" s="196"/>
      <c r="FK52" s="196"/>
      <c r="FL52" s="206">
        <v>1</v>
      </c>
      <c r="FM52" s="198">
        <v>0</v>
      </c>
      <c r="FN52" s="198">
        <v>0</v>
      </c>
      <c r="FO52" s="199">
        <v>0</v>
      </c>
      <c r="FP52" s="195"/>
      <c r="FQ52" s="196"/>
      <c r="FR52" s="196"/>
      <c r="FS52" s="196"/>
      <c r="FT52" s="196"/>
      <c r="FU52" s="196"/>
      <c r="FV52" s="206">
        <v>1</v>
      </c>
      <c r="FW52" s="198">
        <v>0</v>
      </c>
      <c r="FX52" s="198">
        <v>0</v>
      </c>
      <c r="FY52" s="199">
        <v>0</v>
      </c>
      <c r="FZ52" s="195"/>
      <c r="GA52" s="196"/>
      <c r="GB52" s="196"/>
      <c r="GC52" s="196"/>
      <c r="GD52" s="196"/>
      <c r="GE52" s="196"/>
      <c r="GF52" s="206">
        <v>1</v>
      </c>
      <c r="GG52" s="198">
        <v>0</v>
      </c>
      <c r="GH52" s="198">
        <v>0</v>
      </c>
      <c r="GI52" s="199">
        <v>0</v>
      </c>
      <c r="GJ52" s="195"/>
      <c r="GK52" s="196"/>
      <c r="GL52" s="196"/>
      <c r="GM52" s="196"/>
      <c r="GN52" s="196"/>
      <c r="GO52" s="196"/>
      <c r="GP52" s="206">
        <v>1</v>
      </c>
      <c r="GQ52" s="198">
        <v>0</v>
      </c>
      <c r="GR52" s="198">
        <v>0</v>
      </c>
      <c r="GS52" s="199">
        <v>0</v>
      </c>
      <c r="GT52" s="195"/>
      <c r="GU52" s="196"/>
      <c r="GV52" s="196"/>
      <c r="GW52" s="196"/>
      <c r="GX52" s="196"/>
      <c r="GY52" s="196"/>
      <c r="GZ52" s="206">
        <v>1</v>
      </c>
      <c r="HA52" s="198">
        <v>0</v>
      </c>
      <c r="HB52" s="198">
        <v>0</v>
      </c>
      <c r="HC52" s="199">
        <v>0</v>
      </c>
      <c r="HD52" s="195"/>
      <c r="HE52" s="196"/>
      <c r="HF52" s="196"/>
      <c r="HG52" s="196"/>
      <c r="HH52" s="196"/>
      <c r="HI52" s="196"/>
      <c r="HJ52" s="206">
        <v>1</v>
      </c>
      <c r="HK52" s="198">
        <v>0</v>
      </c>
      <c r="HL52" s="198">
        <v>0</v>
      </c>
      <c r="HM52" s="199">
        <v>0</v>
      </c>
      <c r="HN52" s="204">
        <v>1</v>
      </c>
      <c r="HO52" s="205">
        <v>0</v>
      </c>
      <c r="HP52" s="204">
        <v>1</v>
      </c>
      <c r="HQ52" s="205">
        <v>0</v>
      </c>
      <c r="HR52" s="204">
        <v>1</v>
      </c>
      <c r="HS52" s="205">
        <v>0</v>
      </c>
      <c r="HT52" s="204">
        <v>1</v>
      </c>
      <c r="HU52" s="205">
        <v>0</v>
      </c>
      <c r="HV52" s="204">
        <v>1</v>
      </c>
      <c r="HW52" s="205">
        <v>0</v>
      </c>
      <c r="HX52" s="204">
        <v>1</v>
      </c>
      <c r="HY52" s="205">
        <v>0</v>
      </c>
      <c r="HZ52" s="204">
        <v>1</v>
      </c>
      <c r="IA52" s="205">
        <v>0</v>
      </c>
      <c r="IB52" s="204">
        <v>1</v>
      </c>
      <c r="IC52" s="205">
        <v>0</v>
      </c>
      <c r="ID52" s="204">
        <v>1</v>
      </c>
      <c r="IE52" s="205">
        <v>0</v>
      </c>
      <c r="IF52" s="204">
        <v>1</v>
      </c>
      <c r="IG52" s="205">
        <v>0</v>
      </c>
      <c r="IH52" s="204">
        <v>1</v>
      </c>
      <c r="II52" s="205">
        <v>0</v>
      </c>
      <c r="IJ52" s="204">
        <v>1</v>
      </c>
      <c r="IK52" s="205">
        <v>0</v>
      </c>
      <c r="IL52" s="204">
        <v>1</v>
      </c>
      <c r="IM52" s="205">
        <v>0</v>
      </c>
      <c r="IN52" s="204">
        <v>1</v>
      </c>
      <c r="IO52" s="205">
        <v>0</v>
      </c>
      <c r="IP52" s="204">
        <v>1</v>
      </c>
      <c r="IQ52" s="205">
        <v>0</v>
      </c>
      <c r="IR52" s="204">
        <v>1</v>
      </c>
      <c r="IS52" s="205">
        <v>0</v>
      </c>
      <c r="IT52" s="204">
        <v>1</v>
      </c>
      <c r="IU52" s="205">
        <v>0</v>
      </c>
      <c r="IV52" s="204">
        <v>1</v>
      </c>
      <c r="IW52" s="205">
        <v>0</v>
      </c>
      <c r="IX52" s="204">
        <v>1</v>
      </c>
      <c r="IY52" s="205">
        <v>0</v>
      </c>
      <c r="IZ52" s="204">
        <v>1</v>
      </c>
      <c r="JA52" s="205">
        <v>0</v>
      </c>
      <c r="JB52" s="204">
        <v>1</v>
      </c>
      <c r="JC52" s="205">
        <v>0</v>
      </c>
      <c r="JD52" s="204">
        <v>1</v>
      </c>
      <c r="JE52" s="233">
        <v>0</v>
      </c>
      <c r="JF52" s="236">
        <f t="shared" si="0"/>
        <v>24</v>
      </c>
      <c r="JG52" s="235">
        <f t="shared" si="1"/>
        <v>24</v>
      </c>
      <c r="JH52" s="235">
        <f t="shared" si="2"/>
        <v>24</v>
      </c>
      <c r="JI52" s="235">
        <f t="shared" si="3"/>
        <v>24</v>
      </c>
      <c r="JJ52" s="235">
        <f t="shared" si="4"/>
        <v>24</v>
      </c>
      <c r="JK52" s="235">
        <f t="shared" si="5"/>
        <v>24</v>
      </c>
      <c r="JL52" s="235">
        <f t="shared" si="6"/>
        <v>24</v>
      </c>
      <c r="JM52" s="235">
        <f t="shared" si="7"/>
        <v>24</v>
      </c>
      <c r="JN52" s="235">
        <f t="shared" si="8"/>
        <v>24</v>
      </c>
      <c r="JO52" s="235">
        <f t="shared" si="9"/>
        <v>24</v>
      </c>
      <c r="JP52" s="235">
        <f t="shared" si="10"/>
        <v>24</v>
      </c>
      <c r="JQ52" s="235">
        <f t="shared" si="11"/>
        <v>24</v>
      </c>
      <c r="JR52" s="235">
        <f t="shared" si="12"/>
        <v>24</v>
      </c>
      <c r="JS52" s="235">
        <f t="shared" si="13"/>
        <v>24</v>
      </c>
      <c r="JT52" s="235">
        <f t="shared" si="14"/>
        <v>24</v>
      </c>
      <c r="JU52" s="235">
        <f t="shared" si="15"/>
        <v>24</v>
      </c>
      <c r="JV52" s="235">
        <f t="shared" si="16"/>
        <v>24</v>
      </c>
      <c r="JW52" s="235">
        <f t="shared" si="17"/>
        <v>24</v>
      </c>
      <c r="JX52" s="235">
        <f t="shared" si="18"/>
        <v>24</v>
      </c>
      <c r="JY52" s="235">
        <f t="shared" si="19"/>
        <v>24</v>
      </c>
      <c r="JZ52" s="235">
        <f t="shared" si="20"/>
        <v>24</v>
      </c>
      <c r="KA52" s="237">
        <f t="shared" si="21"/>
        <v>24</v>
      </c>
      <c r="KB52" s="248">
        <v>46070</v>
      </c>
      <c r="KC52" s="201">
        <v>2.157</v>
      </c>
      <c r="KD52" s="201">
        <v>2.153</v>
      </c>
      <c r="KE52" s="201">
        <v>2.149</v>
      </c>
      <c r="KF52" s="201">
        <v>2.153</v>
      </c>
      <c r="KG52" s="201">
        <v>2.1589999999999998</v>
      </c>
      <c r="KH52" s="201">
        <v>2.16</v>
      </c>
      <c r="KI52" s="201">
        <v>2.1520000000000001</v>
      </c>
      <c r="KJ52" s="201">
        <v>2.1520000000000001</v>
      </c>
      <c r="KK52" s="201">
        <v>2.161</v>
      </c>
      <c r="KL52" s="201">
        <v>2.1579999999999999</v>
      </c>
      <c r="KM52" s="201">
        <v>2.161</v>
      </c>
      <c r="KN52" s="202">
        <v>2.16</v>
      </c>
      <c r="KO52" s="202">
        <v>2.1579999999999999</v>
      </c>
      <c r="KP52" s="202">
        <v>2.1560000000000001</v>
      </c>
      <c r="KQ52" s="202">
        <v>2.157</v>
      </c>
      <c r="KR52" s="202">
        <v>2.1579999999999999</v>
      </c>
      <c r="KS52" s="202">
        <v>2.153</v>
      </c>
      <c r="KT52" s="202">
        <v>2.1560000000000001</v>
      </c>
      <c r="KU52" s="202">
        <v>2.1579999999999999</v>
      </c>
      <c r="KV52" s="202">
        <v>2.1549999999999998</v>
      </c>
      <c r="KW52" s="202">
        <v>2.157</v>
      </c>
      <c r="KX52" s="202">
        <v>2.1629999999999998</v>
      </c>
      <c r="KY52" s="203">
        <v>47.445999999999998</v>
      </c>
    </row>
    <row r="53" spans="1:311">
      <c r="A53" s="194">
        <v>46071</v>
      </c>
      <c r="B53" s="195"/>
      <c r="C53" s="196"/>
      <c r="D53" s="196"/>
      <c r="E53" s="196"/>
      <c r="F53" s="196"/>
      <c r="G53" s="196"/>
      <c r="H53" s="206">
        <v>1</v>
      </c>
      <c r="I53" s="198">
        <v>0</v>
      </c>
      <c r="J53" s="198">
        <v>0</v>
      </c>
      <c r="K53" s="199">
        <v>0</v>
      </c>
      <c r="L53" s="195"/>
      <c r="M53" s="196"/>
      <c r="N53" s="196"/>
      <c r="O53" s="196"/>
      <c r="P53" s="196"/>
      <c r="Q53" s="196"/>
      <c r="R53" s="206">
        <v>1</v>
      </c>
      <c r="S53" s="198">
        <v>0</v>
      </c>
      <c r="T53" s="198">
        <v>0</v>
      </c>
      <c r="U53" s="199">
        <v>0</v>
      </c>
      <c r="V53" s="195"/>
      <c r="W53" s="196"/>
      <c r="X53" s="196"/>
      <c r="Y53" s="196"/>
      <c r="Z53" s="196"/>
      <c r="AA53" s="196"/>
      <c r="AB53" s="206">
        <v>1</v>
      </c>
      <c r="AC53" s="198">
        <v>0</v>
      </c>
      <c r="AD53" s="198">
        <v>0</v>
      </c>
      <c r="AE53" s="199">
        <v>0</v>
      </c>
      <c r="AF53" s="195"/>
      <c r="AG53" s="196"/>
      <c r="AH53" s="196"/>
      <c r="AI53" s="196"/>
      <c r="AJ53" s="196"/>
      <c r="AK53" s="196"/>
      <c r="AL53" s="206">
        <v>1</v>
      </c>
      <c r="AM53" s="198">
        <v>0</v>
      </c>
      <c r="AN53" s="198">
        <v>0</v>
      </c>
      <c r="AO53" s="199">
        <v>0</v>
      </c>
      <c r="AP53" s="195"/>
      <c r="AQ53" s="196"/>
      <c r="AR53" s="196"/>
      <c r="AS53" s="196"/>
      <c r="AT53" s="196"/>
      <c r="AU53" s="196"/>
      <c r="AV53" s="206">
        <v>1</v>
      </c>
      <c r="AW53" s="198">
        <v>0</v>
      </c>
      <c r="AX53" s="198">
        <v>0</v>
      </c>
      <c r="AY53" s="199">
        <v>0</v>
      </c>
      <c r="AZ53" s="195"/>
      <c r="BA53" s="196"/>
      <c r="BB53" s="196"/>
      <c r="BC53" s="196"/>
      <c r="BD53" s="196"/>
      <c r="BE53" s="196"/>
      <c r="BF53" s="206">
        <v>1</v>
      </c>
      <c r="BG53" s="198">
        <v>0</v>
      </c>
      <c r="BH53" s="198">
        <v>0</v>
      </c>
      <c r="BI53" s="199">
        <v>0</v>
      </c>
      <c r="BJ53" s="195"/>
      <c r="BK53" s="196"/>
      <c r="BL53" s="196"/>
      <c r="BM53" s="196"/>
      <c r="BN53" s="196"/>
      <c r="BO53" s="196"/>
      <c r="BP53" s="206">
        <v>1</v>
      </c>
      <c r="BQ53" s="198">
        <v>0</v>
      </c>
      <c r="BR53" s="198">
        <v>0</v>
      </c>
      <c r="BS53" s="199">
        <v>0</v>
      </c>
      <c r="BT53" s="195"/>
      <c r="BU53" s="196"/>
      <c r="BV53" s="196"/>
      <c r="BW53" s="196"/>
      <c r="BX53" s="196"/>
      <c r="BY53" s="196"/>
      <c r="BZ53" s="206">
        <v>1</v>
      </c>
      <c r="CA53" s="198">
        <v>0</v>
      </c>
      <c r="CB53" s="198">
        <v>0</v>
      </c>
      <c r="CC53" s="199">
        <v>0</v>
      </c>
      <c r="CD53" s="195"/>
      <c r="CE53" s="196"/>
      <c r="CF53" s="196"/>
      <c r="CG53" s="196"/>
      <c r="CH53" s="196"/>
      <c r="CI53" s="196"/>
      <c r="CJ53" s="206">
        <v>1</v>
      </c>
      <c r="CK53" s="198">
        <v>0</v>
      </c>
      <c r="CL53" s="198">
        <v>0</v>
      </c>
      <c r="CM53" s="199">
        <v>0</v>
      </c>
      <c r="CN53" s="195"/>
      <c r="CO53" s="196"/>
      <c r="CP53" s="196"/>
      <c r="CQ53" s="196"/>
      <c r="CR53" s="196"/>
      <c r="CS53" s="196"/>
      <c r="CT53" s="206">
        <v>1</v>
      </c>
      <c r="CU53" s="198">
        <v>0</v>
      </c>
      <c r="CV53" s="198">
        <v>0</v>
      </c>
      <c r="CW53" s="199">
        <v>0</v>
      </c>
      <c r="CX53" s="195"/>
      <c r="CY53" s="196"/>
      <c r="CZ53" s="196"/>
      <c r="DA53" s="196"/>
      <c r="DB53" s="196"/>
      <c r="DC53" s="196"/>
      <c r="DD53" s="206">
        <v>1</v>
      </c>
      <c r="DE53" s="198">
        <v>0</v>
      </c>
      <c r="DF53" s="198">
        <v>0</v>
      </c>
      <c r="DG53" s="199">
        <v>0</v>
      </c>
      <c r="DH53" s="195"/>
      <c r="DI53" s="196"/>
      <c r="DJ53" s="196"/>
      <c r="DK53" s="196"/>
      <c r="DL53" s="196"/>
      <c r="DM53" s="196"/>
      <c r="DN53" s="206">
        <v>1</v>
      </c>
      <c r="DO53" s="198">
        <v>0</v>
      </c>
      <c r="DP53" s="198">
        <v>0</v>
      </c>
      <c r="DQ53" s="199">
        <v>0</v>
      </c>
      <c r="DR53" s="195"/>
      <c r="DS53" s="196"/>
      <c r="DT53" s="196"/>
      <c r="DU53" s="196"/>
      <c r="DV53" s="196"/>
      <c r="DW53" s="196"/>
      <c r="DX53" s="206">
        <v>1</v>
      </c>
      <c r="DY53" s="198">
        <v>0</v>
      </c>
      <c r="DZ53" s="198">
        <v>0</v>
      </c>
      <c r="EA53" s="199">
        <v>0</v>
      </c>
      <c r="EB53" s="195"/>
      <c r="EC53" s="196"/>
      <c r="ED53" s="196"/>
      <c r="EE53" s="196"/>
      <c r="EF53" s="196"/>
      <c r="EG53" s="196"/>
      <c r="EH53" s="206">
        <v>1</v>
      </c>
      <c r="EI53" s="198">
        <v>0</v>
      </c>
      <c r="EJ53" s="198">
        <v>0</v>
      </c>
      <c r="EK53" s="199">
        <v>0</v>
      </c>
      <c r="EL53" s="195"/>
      <c r="EM53" s="196"/>
      <c r="EN53" s="196"/>
      <c r="EO53" s="196"/>
      <c r="EP53" s="196"/>
      <c r="EQ53" s="196"/>
      <c r="ER53" s="206">
        <v>1</v>
      </c>
      <c r="ES53" s="198">
        <v>0</v>
      </c>
      <c r="ET53" s="198">
        <v>0</v>
      </c>
      <c r="EU53" s="199">
        <v>0</v>
      </c>
      <c r="EV53" s="195"/>
      <c r="EW53" s="196"/>
      <c r="EX53" s="196"/>
      <c r="EY53" s="196"/>
      <c r="EZ53" s="196"/>
      <c r="FA53" s="196"/>
      <c r="FB53" s="206">
        <v>1</v>
      </c>
      <c r="FC53" s="198">
        <v>0</v>
      </c>
      <c r="FD53" s="198">
        <v>0</v>
      </c>
      <c r="FE53" s="199">
        <v>0</v>
      </c>
      <c r="FF53" s="195"/>
      <c r="FG53" s="196"/>
      <c r="FH53" s="196"/>
      <c r="FI53" s="196"/>
      <c r="FJ53" s="196"/>
      <c r="FK53" s="196"/>
      <c r="FL53" s="206">
        <v>1</v>
      </c>
      <c r="FM53" s="198">
        <v>0</v>
      </c>
      <c r="FN53" s="198">
        <v>0</v>
      </c>
      <c r="FO53" s="199">
        <v>0</v>
      </c>
      <c r="FP53" s="195"/>
      <c r="FQ53" s="196"/>
      <c r="FR53" s="196"/>
      <c r="FS53" s="196"/>
      <c r="FT53" s="196"/>
      <c r="FU53" s="196"/>
      <c r="FV53" s="206">
        <v>1</v>
      </c>
      <c r="FW53" s="198">
        <v>0</v>
      </c>
      <c r="FX53" s="198">
        <v>0</v>
      </c>
      <c r="FY53" s="199">
        <v>0</v>
      </c>
      <c r="FZ53" s="195"/>
      <c r="GA53" s="196"/>
      <c r="GB53" s="196"/>
      <c r="GC53" s="196"/>
      <c r="GD53" s="196"/>
      <c r="GE53" s="196"/>
      <c r="GF53" s="206">
        <v>1</v>
      </c>
      <c r="GG53" s="198">
        <v>0</v>
      </c>
      <c r="GH53" s="198">
        <v>0</v>
      </c>
      <c r="GI53" s="199">
        <v>0</v>
      </c>
      <c r="GJ53" s="195"/>
      <c r="GK53" s="196">
        <v>0.30555555555555558</v>
      </c>
      <c r="GL53" s="196"/>
      <c r="GM53" s="196"/>
      <c r="GN53" s="196"/>
      <c r="GO53" s="196"/>
      <c r="GP53" s="200">
        <v>0.30555555555555558</v>
      </c>
      <c r="GQ53" s="198">
        <v>7</v>
      </c>
      <c r="GR53" s="198">
        <v>20</v>
      </c>
      <c r="GS53" s="199">
        <v>0</v>
      </c>
      <c r="GT53" s="195"/>
      <c r="GU53" s="196"/>
      <c r="GV53" s="196"/>
      <c r="GW53" s="196"/>
      <c r="GX53" s="196"/>
      <c r="GY53" s="196"/>
      <c r="GZ53" s="206">
        <v>1</v>
      </c>
      <c r="HA53" s="198">
        <v>0</v>
      </c>
      <c r="HB53" s="198">
        <v>0</v>
      </c>
      <c r="HC53" s="199">
        <v>0</v>
      </c>
      <c r="HD53" s="195"/>
      <c r="HE53" s="196"/>
      <c r="HF53" s="196"/>
      <c r="HG53" s="196"/>
      <c r="HH53" s="196"/>
      <c r="HI53" s="196"/>
      <c r="HJ53" s="206">
        <v>1</v>
      </c>
      <c r="HK53" s="198">
        <v>0</v>
      </c>
      <c r="HL53" s="198">
        <v>0</v>
      </c>
      <c r="HM53" s="199">
        <v>0</v>
      </c>
      <c r="HN53" s="204">
        <v>1</v>
      </c>
      <c r="HO53" s="205">
        <v>0</v>
      </c>
      <c r="HP53" s="204">
        <v>1</v>
      </c>
      <c r="HQ53" s="205">
        <v>0</v>
      </c>
      <c r="HR53" s="204">
        <v>1</v>
      </c>
      <c r="HS53" s="205">
        <v>0</v>
      </c>
      <c r="HT53" s="204">
        <v>1</v>
      </c>
      <c r="HU53" s="205">
        <v>0</v>
      </c>
      <c r="HV53" s="204">
        <v>1</v>
      </c>
      <c r="HW53" s="205">
        <v>0</v>
      </c>
      <c r="HX53" s="204">
        <v>1</v>
      </c>
      <c r="HY53" s="205">
        <v>0</v>
      </c>
      <c r="HZ53" s="204">
        <v>1</v>
      </c>
      <c r="IA53" s="205">
        <v>0</v>
      </c>
      <c r="IB53" s="204">
        <v>1</v>
      </c>
      <c r="IC53" s="205">
        <v>0</v>
      </c>
      <c r="ID53" s="204">
        <v>1</v>
      </c>
      <c r="IE53" s="205">
        <v>0</v>
      </c>
      <c r="IF53" s="204">
        <v>1</v>
      </c>
      <c r="IG53" s="205">
        <v>0</v>
      </c>
      <c r="IH53" s="204">
        <v>1</v>
      </c>
      <c r="II53" s="205">
        <v>0</v>
      </c>
      <c r="IJ53" s="204">
        <v>1</v>
      </c>
      <c r="IK53" s="205">
        <v>0</v>
      </c>
      <c r="IL53" s="204">
        <v>1</v>
      </c>
      <c r="IM53" s="205">
        <v>0</v>
      </c>
      <c r="IN53" s="204">
        <v>1</v>
      </c>
      <c r="IO53" s="205">
        <v>0</v>
      </c>
      <c r="IP53" s="204">
        <v>1</v>
      </c>
      <c r="IQ53" s="205">
        <v>0</v>
      </c>
      <c r="IR53" s="204">
        <v>1</v>
      </c>
      <c r="IS53" s="205">
        <v>0</v>
      </c>
      <c r="IT53" s="204">
        <v>1</v>
      </c>
      <c r="IU53" s="205">
        <v>0</v>
      </c>
      <c r="IV53" s="204">
        <v>1</v>
      </c>
      <c r="IW53" s="205">
        <v>0</v>
      </c>
      <c r="IX53" s="204">
        <v>1</v>
      </c>
      <c r="IY53" s="205">
        <v>0</v>
      </c>
      <c r="IZ53" s="204">
        <v>0.30555555555555558</v>
      </c>
      <c r="JA53" s="205">
        <v>0</v>
      </c>
      <c r="JB53" s="204">
        <v>1</v>
      </c>
      <c r="JC53" s="205">
        <v>0</v>
      </c>
      <c r="JD53" s="204">
        <v>1</v>
      </c>
      <c r="JE53" s="233">
        <v>0</v>
      </c>
      <c r="JF53" s="236">
        <f t="shared" si="0"/>
        <v>24</v>
      </c>
      <c r="JG53" s="235">
        <f t="shared" si="1"/>
        <v>24</v>
      </c>
      <c r="JH53" s="235">
        <f t="shared" si="2"/>
        <v>24</v>
      </c>
      <c r="JI53" s="235">
        <f t="shared" si="3"/>
        <v>24</v>
      </c>
      <c r="JJ53" s="235">
        <f t="shared" si="4"/>
        <v>24</v>
      </c>
      <c r="JK53" s="235">
        <f t="shared" si="5"/>
        <v>24</v>
      </c>
      <c r="JL53" s="235">
        <f t="shared" si="6"/>
        <v>24</v>
      </c>
      <c r="JM53" s="235">
        <f t="shared" si="7"/>
        <v>24</v>
      </c>
      <c r="JN53" s="235">
        <f t="shared" si="8"/>
        <v>24</v>
      </c>
      <c r="JO53" s="235">
        <f t="shared" si="9"/>
        <v>24</v>
      </c>
      <c r="JP53" s="235">
        <f t="shared" si="10"/>
        <v>24</v>
      </c>
      <c r="JQ53" s="235">
        <f t="shared" si="11"/>
        <v>24</v>
      </c>
      <c r="JR53" s="235">
        <f t="shared" si="12"/>
        <v>24</v>
      </c>
      <c r="JS53" s="235">
        <f t="shared" si="13"/>
        <v>24</v>
      </c>
      <c r="JT53" s="235">
        <f t="shared" si="14"/>
        <v>24</v>
      </c>
      <c r="JU53" s="235">
        <f t="shared" si="15"/>
        <v>24</v>
      </c>
      <c r="JV53" s="235">
        <f t="shared" si="16"/>
        <v>24</v>
      </c>
      <c r="JW53" s="235">
        <f t="shared" si="17"/>
        <v>24</v>
      </c>
      <c r="JX53" s="235">
        <f t="shared" si="18"/>
        <v>24</v>
      </c>
      <c r="JY53" s="235">
        <f t="shared" si="19"/>
        <v>7.3333333333333339</v>
      </c>
      <c r="JZ53" s="235">
        <f t="shared" si="20"/>
        <v>24</v>
      </c>
      <c r="KA53" s="237">
        <f t="shared" si="21"/>
        <v>24</v>
      </c>
      <c r="KB53" s="248">
        <v>46071</v>
      </c>
      <c r="KC53" s="201">
        <v>2.1059999999999999</v>
      </c>
      <c r="KD53" s="201">
        <v>2.1030000000000002</v>
      </c>
      <c r="KE53" s="201">
        <v>2.0990000000000002</v>
      </c>
      <c r="KF53" s="201">
        <v>2.1019999999999999</v>
      </c>
      <c r="KG53" s="201">
        <v>2.1080000000000001</v>
      </c>
      <c r="KH53" s="201">
        <v>2.109</v>
      </c>
      <c r="KI53" s="201">
        <v>2.101</v>
      </c>
      <c r="KJ53" s="201">
        <v>2.101</v>
      </c>
      <c r="KK53" s="201">
        <v>2.11</v>
      </c>
      <c r="KL53" s="201">
        <v>2.1070000000000002</v>
      </c>
      <c r="KM53" s="201">
        <v>2.11</v>
      </c>
      <c r="KN53" s="202">
        <v>2.109</v>
      </c>
      <c r="KO53" s="202">
        <v>2.1070000000000002</v>
      </c>
      <c r="KP53" s="202">
        <v>2.1040000000000001</v>
      </c>
      <c r="KQ53" s="202">
        <v>2.1059999999999999</v>
      </c>
      <c r="KR53" s="202">
        <v>2.1070000000000002</v>
      </c>
      <c r="KS53" s="202">
        <v>2.1030000000000002</v>
      </c>
      <c r="KT53" s="202">
        <v>2.1059999999999999</v>
      </c>
      <c r="KU53" s="202">
        <v>2.1070000000000002</v>
      </c>
      <c r="KV53" s="202">
        <v>0.65300000000000002</v>
      </c>
      <c r="KW53" s="202">
        <v>2.1059999999999999</v>
      </c>
      <c r="KX53" s="202">
        <v>2.0699999999999998</v>
      </c>
      <c r="KY53" s="203">
        <v>44.834000000000003</v>
      </c>
    </row>
    <row r="54" spans="1:311">
      <c r="A54" s="194">
        <v>46072</v>
      </c>
      <c r="B54" s="195"/>
      <c r="C54" s="196"/>
      <c r="D54" s="196"/>
      <c r="E54" s="196"/>
      <c r="F54" s="196"/>
      <c r="G54" s="196"/>
      <c r="H54" s="206">
        <v>1</v>
      </c>
      <c r="I54" s="198">
        <v>0</v>
      </c>
      <c r="J54" s="198">
        <v>0</v>
      </c>
      <c r="K54" s="199">
        <v>0</v>
      </c>
      <c r="L54" s="195"/>
      <c r="M54" s="196"/>
      <c r="N54" s="196"/>
      <c r="O54" s="196"/>
      <c r="P54" s="196"/>
      <c r="Q54" s="196"/>
      <c r="R54" s="206">
        <v>1</v>
      </c>
      <c r="S54" s="198">
        <v>0</v>
      </c>
      <c r="T54" s="198">
        <v>0</v>
      </c>
      <c r="U54" s="199">
        <v>0</v>
      </c>
      <c r="V54" s="195"/>
      <c r="W54" s="196"/>
      <c r="X54" s="196"/>
      <c r="Y54" s="196"/>
      <c r="Z54" s="196"/>
      <c r="AA54" s="196"/>
      <c r="AB54" s="206">
        <v>1</v>
      </c>
      <c r="AC54" s="198">
        <v>0</v>
      </c>
      <c r="AD54" s="198">
        <v>0</v>
      </c>
      <c r="AE54" s="199">
        <v>0</v>
      </c>
      <c r="AF54" s="195"/>
      <c r="AG54" s="196"/>
      <c r="AH54" s="196"/>
      <c r="AI54" s="196"/>
      <c r="AJ54" s="196"/>
      <c r="AK54" s="196"/>
      <c r="AL54" s="206">
        <v>1</v>
      </c>
      <c r="AM54" s="198">
        <v>0</v>
      </c>
      <c r="AN54" s="198">
        <v>0</v>
      </c>
      <c r="AO54" s="199">
        <v>0</v>
      </c>
      <c r="AP54" s="195"/>
      <c r="AQ54" s="196"/>
      <c r="AR54" s="196"/>
      <c r="AS54" s="196"/>
      <c r="AT54" s="196"/>
      <c r="AU54" s="196"/>
      <c r="AV54" s="206">
        <v>1</v>
      </c>
      <c r="AW54" s="198">
        <v>0</v>
      </c>
      <c r="AX54" s="198">
        <v>0</v>
      </c>
      <c r="AY54" s="199">
        <v>0</v>
      </c>
      <c r="AZ54" s="195"/>
      <c r="BA54" s="196"/>
      <c r="BB54" s="196"/>
      <c r="BC54" s="196"/>
      <c r="BD54" s="196"/>
      <c r="BE54" s="196"/>
      <c r="BF54" s="206">
        <v>1</v>
      </c>
      <c r="BG54" s="198">
        <v>0</v>
      </c>
      <c r="BH54" s="198">
        <v>0</v>
      </c>
      <c r="BI54" s="199">
        <v>0</v>
      </c>
      <c r="BJ54" s="195"/>
      <c r="BK54" s="196"/>
      <c r="BL54" s="196"/>
      <c r="BM54" s="196"/>
      <c r="BN54" s="196"/>
      <c r="BO54" s="196"/>
      <c r="BP54" s="206">
        <v>1</v>
      </c>
      <c r="BQ54" s="198">
        <v>0</v>
      </c>
      <c r="BR54" s="198">
        <v>0</v>
      </c>
      <c r="BS54" s="199">
        <v>0</v>
      </c>
      <c r="BT54" s="195"/>
      <c r="BU54" s="196"/>
      <c r="BV54" s="196"/>
      <c r="BW54" s="196"/>
      <c r="BX54" s="196"/>
      <c r="BY54" s="196"/>
      <c r="BZ54" s="206">
        <v>1</v>
      </c>
      <c r="CA54" s="198">
        <v>0</v>
      </c>
      <c r="CB54" s="198">
        <v>0</v>
      </c>
      <c r="CC54" s="199">
        <v>0</v>
      </c>
      <c r="CD54" s="195"/>
      <c r="CE54" s="196"/>
      <c r="CF54" s="196"/>
      <c r="CG54" s="196"/>
      <c r="CH54" s="196"/>
      <c r="CI54" s="196"/>
      <c r="CJ54" s="206">
        <v>1</v>
      </c>
      <c r="CK54" s="198">
        <v>0</v>
      </c>
      <c r="CL54" s="198">
        <v>0</v>
      </c>
      <c r="CM54" s="199">
        <v>0</v>
      </c>
      <c r="CN54" s="195"/>
      <c r="CO54" s="196"/>
      <c r="CP54" s="196"/>
      <c r="CQ54" s="196"/>
      <c r="CR54" s="196"/>
      <c r="CS54" s="196"/>
      <c r="CT54" s="206">
        <v>1</v>
      </c>
      <c r="CU54" s="198">
        <v>0</v>
      </c>
      <c r="CV54" s="198">
        <v>0</v>
      </c>
      <c r="CW54" s="199">
        <v>0</v>
      </c>
      <c r="CX54" s="195"/>
      <c r="CY54" s="196"/>
      <c r="CZ54" s="196"/>
      <c r="DA54" s="196"/>
      <c r="DB54" s="196"/>
      <c r="DC54" s="196"/>
      <c r="DD54" s="206">
        <v>1</v>
      </c>
      <c r="DE54" s="198">
        <v>0</v>
      </c>
      <c r="DF54" s="198">
        <v>0</v>
      </c>
      <c r="DG54" s="199">
        <v>0</v>
      </c>
      <c r="DH54" s="195"/>
      <c r="DI54" s="196"/>
      <c r="DJ54" s="196"/>
      <c r="DK54" s="196"/>
      <c r="DL54" s="196"/>
      <c r="DM54" s="196"/>
      <c r="DN54" s="206">
        <v>1</v>
      </c>
      <c r="DO54" s="198">
        <v>0</v>
      </c>
      <c r="DP54" s="198">
        <v>0</v>
      </c>
      <c r="DQ54" s="199">
        <v>0</v>
      </c>
      <c r="DR54" s="195"/>
      <c r="DS54" s="196"/>
      <c r="DT54" s="196"/>
      <c r="DU54" s="196"/>
      <c r="DV54" s="196"/>
      <c r="DW54" s="196"/>
      <c r="DX54" s="206">
        <v>1</v>
      </c>
      <c r="DY54" s="198">
        <v>0</v>
      </c>
      <c r="DZ54" s="198">
        <v>0</v>
      </c>
      <c r="EA54" s="199">
        <v>0</v>
      </c>
      <c r="EB54" s="195"/>
      <c r="EC54" s="196"/>
      <c r="ED54" s="196"/>
      <c r="EE54" s="196"/>
      <c r="EF54" s="196"/>
      <c r="EG54" s="196"/>
      <c r="EH54" s="206">
        <v>1</v>
      </c>
      <c r="EI54" s="198">
        <v>0</v>
      </c>
      <c r="EJ54" s="198">
        <v>0</v>
      </c>
      <c r="EK54" s="199">
        <v>0</v>
      </c>
      <c r="EL54" s="195"/>
      <c r="EM54" s="196"/>
      <c r="EN54" s="196"/>
      <c r="EO54" s="196"/>
      <c r="EP54" s="196"/>
      <c r="EQ54" s="196"/>
      <c r="ER54" s="206">
        <v>1</v>
      </c>
      <c r="ES54" s="198">
        <v>0</v>
      </c>
      <c r="ET54" s="198">
        <v>0</v>
      </c>
      <c r="EU54" s="199">
        <v>0</v>
      </c>
      <c r="EV54" s="195"/>
      <c r="EW54" s="196"/>
      <c r="EX54" s="196"/>
      <c r="EY54" s="196"/>
      <c r="EZ54" s="196"/>
      <c r="FA54" s="196"/>
      <c r="FB54" s="206">
        <v>1</v>
      </c>
      <c r="FC54" s="198">
        <v>0</v>
      </c>
      <c r="FD54" s="198">
        <v>0</v>
      </c>
      <c r="FE54" s="199">
        <v>0</v>
      </c>
      <c r="FF54" s="195"/>
      <c r="FG54" s="196"/>
      <c r="FH54" s="196"/>
      <c r="FI54" s="196"/>
      <c r="FJ54" s="196"/>
      <c r="FK54" s="196"/>
      <c r="FL54" s="206">
        <v>1</v>
      </c>
      <c r="FM54" s="198">
        <v>0</v>
      </c>
      <c r="FN54" s="198">
        <v>0</v>
      </c>
      <c r="FO54" s="199">
        <v>0</v>
      </c>
      <c r="FP54" s="195"/>
      <c r="FQ54" s="196">
        <v>0.375</v>
      </c>
      <c r="FR54" s="196">
        <v>0.90277777777777779</v>
      </c>
      <c r="FS54" s="196"/>
      <c r="FT54" s="196"/>
      <c r="FU54" s="196"/>
      <c r="FV54" s="200">
        <v>0.47222222222222221</v>
      </c>
      <c r="FW54" s="198">
        <v>11</v>
      </c>
      <c r="FX54" s="198">
        <v>20</v>
      </c>
      <c r="FY54" s="199">
        <v>1</v>
      </c>
      <c r="FZ54" s="195"/>
      <c r="GA54" s="196"/>
      <c r="GB54" s="196"/>
      <c r="GC54" s="196"/>
      <c r="GD54" s="196"/>
      <c r="GE54" s="196"/>
      <c r="GF54" s="206">
        <v>1</v>
      </c>
      <c r="GG54" s="198">
        <v>0</v>
      </c>
      <c r="GH54" s="198">
        <v>0</v>
      </c>
      <c r="GI54" s="199">
        <v>0</v>
      </c>
      <c r="GJ54" s="195">
        <v>0.84722222222222221</v>
      </c>
      <c r="GK54" s="196">
        <v>0.86111111111111116</v>
      </c>
      <c r="GL54" s="196"/>
      <c r="GM54" s="196"/>
      <c r="GN54" s="196"/>
      <c r="GO54" s="196"/>
      <c r="GP54" s="200">
        <v>1.3888888888888951E-2</v>
      </c>
      <c r="GQ54" s="198">
        <v>0</v>
      </c>
      <c r="GR54" s="198">
        <v>20</v>
      </c>
      <c r="GS54" s="199">
        <v>1</v>
      </c>
      <c r="GT54" s="195"/>
      <c r="GU54" s="196"/>
      <c r="GV54" s="196"/>
      <c r="GW54" s="196"/>
      <c r="GX54" s="196"/>
      <c r="GY54" s="196"/>
      <c r="GZ54" s="206">
        <v>1</v>
      </c>
      <c r="HA54" s="198">
        <v>0</v>
      </c>
      <c r="HB54" s="198">
        <v>0</v>
      </c>
      <c r="HC54" s="199">
        <v>0</v>
      </c>
      <c r="HD54" s="195"/>
      <c r="HE54" s="196"/>
      <c r="HF54" s="196"/>
      <c r="HG54" s="196"/>
      <c r="HH54" s="196"/>
      <c r="HI54" s="196"/>
      <c r="HJ54" s="206">
        <v>1</v>
      </c>
      <c r="HK54" s="198">
        <v>0</v>
      </c>
      <c r="HL54" s="198">
        <v>0</v>
      </c>
      <c r="HM54" s="199">
        <v>0</v>
      </c>
      <c r="HN54" s="204">
        <v>1</v>
      </c>
      <c r="HO54" s="205">
        <v>0</v>
      </c>
      <c r="HP54" s="204">
        <v>1</v>
      </c>
      <c r="HQ54" s="205">
        <v>0</v>
      </c>
      <c r="HR54" s="204">
        <v>1</v>
      </c>
      <c r="HS54" s="205">
        <v>0</v>
      </c>
      <c r="HT54" s="204">
        <v>1</v>
      </c>
      <c r="HU54" s="205">
        <v>0</v>
      </c>
      <c r="HV54" s="204">
        <v>1</v>
      </c>
      <c r="HW54" s="205">
        <v>0</v>
      </c>
      <c r="HX54" s="204">
        <v>1</v>
      </c>
      <c r="HY54" s="205">
        <v>0</v>
      </c>
      <c r="HZ54" s="204">
        <v>1</v>
      </c>
      <c r="IA54" s="205">
        <v>0</v>
      </c>
      <c r="IB54" s="204">
        <v>1</v>
      </c>
      <c r="IC54" s="205">
        <v>0</v>
      </c>
      <c r="ID54" s="204">
        <v>1</v>
      </c>
      <c r="IE54" s="205">
        <v>0</v>
      </c>
      <c r="IF54" s="204">
        <v>1</v>
      </c>
      <c r="IG54" s="205">
        <v>0</v>
      </c>
      <c r="IH54" s="204">
        <v>1</v>
      </c>
      <c r="II54" s="205">
        <v>0</v>
      </c>
      <c r="IJ54" s="204">
        <v>1</v>
      </c>
      <c r="IK54" s="205">
        <v>0</v>
      </c>
      <c r="IL54" s="204">
        <v>1</v>
      </c>
      <c r="IM54" s="205">
        <v>0</v>
      </c>
      <c r="IN54" s="204">
        <v>1</v>
      </c>
      <c r="IO54" s="205">
        <v>0</v>
      </c>
      <c r="IP54" s="204">
        <v>1</v>
      </c>
      <c r="IQ54" s="205">
        <v>0</v>
      </c>
      <c r="IR54" s="204">
        <v>1</v>
      </c>
      <c r="IS54" s="205">
        <v>0</v>
      </c>
      <c r="IT54" s="204">
        <v>1</v>
      </c>
      <c r="IU54" s="205">
        <v>0</v>
      </c>
      <c r="IV54" s="204">
        <v>0.47222222222222221</v>
      </c>
      <c r="IW54" s="205">
        <v>1</v>
      </c>
      <c r="IX54" s="204">
        <v>1</v>
      </c>
      <c r="IY54" s="205">
        <v>0</v>
      </c>
      <c r="IZ54" s="204">
        <v>1.3888888888888951E-2</v>
      </c>
      <c r="JA54" s="205">
        <v>1</v>
      </c>
      <c r="JB54" s="204">
        <v>1</v>
      </c>
      <c r="JC54" s="205">
        <v>0</v>
      </c>
      <c r="JD54" s="204">
        <v>1</v>
      </c>
      <c r="JE54" s="233">
        <v>0</v>
      </c>
      <c r="JF54" s="236">
        <f t="shared" si="0"/>
        <v>24</v>
      </c>
      <c r="JG54" s="235">
        <f t="shared" si="1"/>
        <v>24</v>
      </c>
      <c r="JH54" s="235">
        <f t="shared" si="2"/>
        <v>24</v>
      </c>
      <c r="JI54" s="235">
        <f t="shared" si="3"/>
        <v>24</v>
      </c>
      <c r="JJ54" s="235">
        <f t="shared" si="4"/>
        <v>24</v>
      </c>
      <c r="JK54" s="235">
        <f t="shared" si="5"/>
        <v>24</v>
      </c>
      <c r="JL54" s="235">
        <f t="shared" si="6"/>
        <v>24</v>
      </c>
      <c r="JM54" s="235">
        <f t="shared" si="7"/>
        <v>24</v>
      </c>
      <c r="JN54" s="235">
        <f t="shared" si="8"/>
        <v>24</v>
      </c>
      <c r="JO54" s="235">
        <f t="shared" si="9"/>
        <v>24</v>
      </c>
      <c r="JP54" s="235">
        <f t="shared" si="10"/>
        <v>24</v>
      </c>
      <c r="JQ54" s="235">
        <f t="shared" si="11"/>
        <v>24</v>
      </c>
      <c r="JR54" s="235">
        <f t="shared" si="12"/>
        <v>24</v>
      </c>
      <c r="JS54" s="235">
        <f t="shared" si="13"/>
        <v>24</v>
      </c>
      <c r="JT54" s="235">
        <f t="shared" si="14"/>
        <v>24</v>
      </c>
      <c r="JU54" s="235">
        <f t="shared" si="15"/>
        <v>24</v>
      </c>
      <c r="JV54" s="235">
        <f t="shared" si="16"/>
        <v>24</v>
      </c>
      <c r="JW54" s="235">
        <f t="shared" si="17"/>
        <v>11.333333333333332</v>
      </c>
      <c r="JX54" s="235">
        <f t="shared" si="18"/>
        <v>24</v>
      </c>
      <c r="JY54" s="235">
        <f t="shared" si="19"/>
        <v>0.33333333333333481</v>
      </c>
      <c r="JZ54" s="235">
        <f t="shared" si="20"/>
        <v>24</v>
      </c>
      <c r="KA54" s="237">
        <f t="shared" si="21"/>
        <v>24</v>
      </c>
      <c r="KB54" s="248">
        <v>46072</v>
      </c>
      <c r="KC54" s="201">
        <v>2.1429999999999998</v>
      </c>
      <c r="KD54" s="201">
        <v>2.14</v>
      </c>
      <c r="KE54" s="201">
        <v>2.1349999999999998</v>
      </c>
      <c r="KF54" s="201">
        <v>2.1379999999999999</v>
      </c>
      <c r="KG54" s="201">
        <v>2.1440000000000001</v>
      </c>
      <c r="KH54" s="201">
        <v>2.1440000000000001</v>
      </c>
      <c r="KI54" s="201">
        <v>2.137</v>
      </c>
      <c r="KJ54" s="201">
        <v>2.137</v>
      </c>
      <c r="KK54" s="201">
        <v>2.1469999999999998</v>
      </c>
      <c r="KL54" s="201">
        <v>2.1429999999999998</v>
      </c>
      <c r="KM54" s="201">
        <v>2.1459999999999999</v>
      </c>
      <c r="KN54" s="202">
        <v>2.145</v>
      </c>
      <c r="KO54" s="202">
        <v>2.1429999999999998</v>
      </c>
      <c r="KP54" s="202">
        <v>2.141</v>
      </c>
      <c r="KQ54" s="202">
        <v>2.1429999999999998</v>
      </c>
      <c r="KR54" s="202">
        <v>2.1440000000000001</v>
      </c>
      <c r="KS54" s="202">
        <v>2.14</v>
      </c>
      <c r="KT54" s="202">
        <v>0.997</v>
      </c>
      <c r="KU54" s="202">
        <v>2.1440000000000001</v>
      </c>
      <c r="KV54" s="202">
        <v>0</v>
      </c>
      <c r="KW54" s="202">
        <v>2.1429999999999998</v>
      </c>
      <c r="KX54" s="202">
        <v>2.1509999999999998</v>
      </c>
      <c r="KY54" s="203">
        <v>43.844999999999999</v>
      </c>
    </row>
    <row r="55" spans="1:311">
      <c r="A55" s="194">
        <v>46073</v>
      </c>
      <c r="B55" s="195"/>
      <c r="C55" s="196"/>
      <c r="D55" s="196"/>
      <c r="E55" s="196"/>
      <c r="F55" s="196"/>
      <c r="G55" s="196"/>
      <c r="H55" s="206">
        <v>1</v>
      </c>
      <c r="I55" s="198">
        <v>0</v>
      </c>
      <c r="J55" s="198">
        <v>0</v>
      </c>
      <c r="K55" s="199">
        <v>0</v>
      </c>
      <c r="L55" s="195"/>
      <c r="M55" s="196"/>
      <c r="N55" s="196"/>
      <c r="O55" s="196"/>
      <c r="P55" s="196"/>
      <c r="Q55" s="196"/>
      <c r="R55" s="206">
        <v>1</v>
      </c>
      <c r="S55" s="198">
        <v>0</v>
      </c>
      <c r="T55" s="198">
        <v>0</v>
      </c>
      <c r="U55" s="199">
        <v>0</v>
      </c>
      <c r="V55" s="195"/>
      <c r="W55" s="196"/>
      <c r="X55" s="196"/>
      <c r="Y55" s="196"/>
      <c r="Z55" s="196"/>
      <c r="AA55" s="196"/>
      <c r="AB55" s="206">
        <v>1</v>
      </c>
      <c r="AC55" s="198">
        <v>0</v>
      </c>
      <c r="AD55" s="198">
        <v>0</v>
      </c>
      <c r="AE55" s="199">
        <v>0</v>
      </c>
      <c r="AF55" s="195"/>
      <c r="AG55" s="196"/>
      <c r="AH55" s="196"/>
      <c r="AI55" s="196"/>
      <c r="AJ55" s="196"/>
      <c r="AK55" s="196"/>
      <c r="AL55" s="206">
        <v>1</v>
      </c>
      <c r="AM55" s="198">
        <v>0</v>
      </c>
      <c r="AN55" s="198">
        <v>0</v>
      </c>
      <c r="AO55" s="199">
        <v>0</v>
      </c>
      <c r="AP55" s="195"/>
      <c r="AQ55" s="196"/>
      <c r="AR55" s="196"/>
      <c r="AS55" s="196"/>
      <c r="AT55" s="196"/>
      <c r="AU55" s="196"/>
      <c r="AV55" s="206">
        <v>1</v>
      </c>
      <c r="AW55" s="198">
        <v>0</v>
      </c>
      <c r="AX55" s="198">
        <v>0</v>
      </c>
      <c r="AY55" s="199">
        <v>0</v>
      </c>
      <c r="AZ55" s="195"/>
      <c r="BA55" s="196"/>
      <c r="BB55" s="196"/>
      <c r="BC55" s="196"/>
      <c r="BD55" s="196"/>
      <c r="BE55" s="196"/>
      <c r="BF55" s="206">
        <v>1</v>
      </c>
      <c r="BG55" s="198">
        <v>0</v>
      </c>
      <c r="BH55" s="198">
        <v>0</v>
      </c>
      <c r="BI55" s="199">
        <v>0</v>
      </c>
      <c r="BJ55" s="195"/>
      <c r="BK55" s="196"/>
      <c r="BL55" s="196"/>
      <c r="BM55" s="196"/>
      <c r="BN55" s="196"/>
      <c r="BO55" s="196"/>
      <c r="BP55" s="206">
        <v>1</v>
      </c>
      <c r="BQ55" s="198">
        <v>0</v>
      </c>
      <c r="BR55" s="198">
        <v>0</v>
      </c>
      <c r="BS55" s="199">
        <v>0</v>
      </c>
      <c r="BT55" s="195"/>
      <c r="BU55" s="196"/>
      <c r="BV55" s="196"/>
      <c r="BW55" s="196"/>
      <c r="BX55" s="196"/>
      <c r="BY55" s="196"/>
      <c r="BZ55" s="206">
        <v>1</v>
      </c>
      <c r="CA55" s="198">
        <v>0</v>
      </c>
      <c r="CB55" s="198">
        <v>0</v>
      </c>
      <c r="CC55" s="199">
        <v>0</v>
      </c>
      <c r="CD55" s="195"/>
      <c r="CE55" s="196"/>
      <c r="CF55" s="196"/>
      <c r="CG55" s="196"/>
      <c r="CH55" s="196"/>
      <c r="CI55" s="196"/>
      <c r="CJ55" s="206">
        <v>1</v>
      </c>
      <c r="CK55" s="198">
        <v>0</v>
      </c>
      <c r="CL55" s="198">
        <v>0</v>
      </c>
      <c r="CM55" s="199">
        <v>0</v>
      </c>
      <c r="CN55" s="195"/>
      <c r="CO55" s="196"/>
      <c r="CP55" s="196"/>
      <c r="CQ55" s="196"/>
      <c r="CR55" s="196"/>
      <c r="CS55" s="196"/>
      <c r="CT55" s="206">
        <v>1</v>
      </c>
      <c r="CU55" s="198">
        <v>0</v>
      </c>
      <c r="CV55" s="198">
        <v>0</v>
      </c>
      <c r="CW55" s="199">
        <v>0</v>
      </c>
      <c r="CX55" s="195"/>
      <c r="CY55" s="196"/>
      <c r="CZ55" s="196"/>
      <c r="DA55" s="196"/>
      <c r="DB55" s="196"/>
      <c r="DC55" s="196"/>
      <c r="DD55" s="206">
        <v>1</v>
      </c>
      <c r="DE55" s="198">
        <v>0</v>
      </c>
      <c r="DF55" s="198">
        <v>0</v>
      </c>
      <c r="DG55" s="199">
        <v>0</v>
      </c>
      <c r="DH55" s="195"/>
      <c r="DI55" s="196"/>
      <c r="DJ55" s="196"/>
      <c r="DK55" s="196"/>
      <c r="DL55" s="196"/>
      <c r="DM55" s="196"/>
      <c r="DN55" s="206">
        <v>1</v>
      </c>
      <c r="DO55" s="198">
        <v>0</v>
      </c>
      <c r="DP55" s="198">
        <v>0</v>
      </c>
      <c r="DQ55" s="199">
        <v>0</v>
      </c>
      <c r="DR55" s="195"/>
      <c r="DS55" s="196"/>
      <c r="DT55" s="196"/>
      <c r="DU55" s="196"/>
      <c r="DV55" s="196"/>
      <c r="DW55" s="196"/>
      <c r="DX55" s="206">
        <v>1</v>
      </c>
      <c r="DY55" s="198">
        <v>0</v>
      </c>
      <c r="DZ55" s="198">
        <v>0</v>
      </c>
      <c r="EA55" s="199">
        <v>0</v>
      </c>
      <c r="EB55" s="195"/>
      <c r="EC55" s="196"/>
      <c r="ED55" s="196"/>
      <c r="EE55" s="196"/>
      <c r="EF55" s="196"/>
      <c r="EG55" s="196"/>
      <c r="EH55" s="206">
        <v>1</v>
      </c>
      <c r="EI55" s="198">
        <v>0</v>
      </c>
      <c r="EJ55" s="198">
        <v>0</v>
      </c>
      <c r="EK55" s="199">
        <v>0</v>
      </c>
      <c r="EL55" s="195"/>
      <c r="EM55" s="196"/>
      <c r="EN55" s="196"/>
      <c r="EO55" s="196"/>
      <c r="EP55" s="196"/>
      <c r="EQ55" s="196"/>
      <c r="ER55" s="206">
        <v>1</v>
      </c>
      <c r="ES55" s="198">
        <v>0</v>
      </c>
      <c r="ET55" s="198">
        <v>0</v>
      </c>
      <c r="EU55" s="199">
        <v>0</v>
      </c>
      <c r="EV55" s="195"/>
      <c r="EW55" s="196"/>
      <c r="EX55" s="196"/>
      <c r="EY55" s="196"/>
      <c r="EZ55" s="196"/>
      <c r="FA55" s="196"/>
      <c r="FB55" s="206">
        <v>1</v>
      </c>
      <c r="FC55" s="198">
        <v>0</v>
      </c>
      <c r="FD55" s="198">
        <v>0</v>
      </c>
      <c r="FE55" s="199">
        <v>0</v>
      </c>
      <c r="FF55" s="195"/>
      <c r="FG55" s="196"/>
      <c r="FH55" s="196"/>
      <c r="FI55" s="196"/>
      <c r="FJ55" s="196"/>
      <c r="FK55" s="196"/>
      <c r="FL55" s="206">
        <v>1</v>
      </c>
      <c r="FM55" s="198">
        <v>0</v>
      </c>
      <c r="FN55" s="198">
        <v>0</v>
      </c>
      <c r="FO55" s="199">
        <v>0</v>
      </c>
      <c r="FP55" s="195"/>
      <c r="FQ55" s="196"/>
      <c r="FR55" s="196"/>
      <c r="FS55" s="196"/>
      <c r="FT55" s="196"/>
      <c r="FU55" s="196"/>
      <c r="FV55" s="206">
        <v>1</v>
      </c>
      <c r="FW55" s="198">
        <v>0</v>
      </c>
      <c r="FX55" s="198">
        <v>0</v>
      </c>
      <c r="FY55" s="199">
        <v>0</v>
      </c>
      <c r="FZ55" s="195"/>
      <c r="GA55" s="196"/>
      <c r="GB55" s="196"/>
      <c r="GC55" s="196"/>
      <c r="GD55" s="196"/>
      <c r="GE55" s="196"/>
      <c r="GF55" s="206">
        <v>1</v>
      </c>
      <c r="GG55" s="198">
        <v>0</v>
      </c>
      <c r="GH55" s="198">
        <v>0</v>
      </c>
      <c r="GI55" s="199">
        <v>0</v>
      </c>
      <c r="GJ55" s="195"/>
      <c r="GK55" s="196"/>
      <c r="GL55" s="196"/>
      <c r="GM55" s="196"/>
      <c r="GN55" s="196"/>
      <c r="GO55" s="196"/>
      <c r="GP55" s="200">
        <v>0</v>
      </c>
      <c r="GQ55" s="198">
        <v>0</v>
      </c>
      <c r="GR55" s="198">
        <v>0</v>
      </c>
      <c r="GS55" s="199">
        <v>0</v>
      </c>
      <c r="GT55" s="195"/>
      <c r="GU55" s="196"/>
      <c r="GV55" s="196"/>
      <c r="GW55" s="196"/>
      <c r="GX55" s="196"/>
      <c r="GY55" s="196"/>
      <c r="GZ55" s="206">
        <v>1</v>
      </c>
      <c r="HA55" s="198">
        <v>0</v>
      </c>
      <c r="HB55" s="198">
        <v>0</v>
      </c>
      <c r="HC55" s="199">
        <v>0</v>
      </c>
      <c r="HD55" s="195"/>
      <c r="HE55" s="196"/>
      <c r="HF55" s="196"/>
      <c r="HG55" s="196"/>
      <c r="HH55" s="196"/>
      <c r="HI55" s="196"/>
      <c r="HJ55" s="206">
        <v>1</v>
      </c>
      <c r="HK55" s="198">
        <v>0</v>
      </c>
      <c r="HL55" s="198">
        <v>0</v>
      </c>
      <c r="HM55" s="199">
        <v>0</v>
      </c>
      <c r="HN55" s="204">
        <v>1</v>
      </c>
      <c r="HO55" s="205">
        <v>0</v>
      </c>
      <c r="HP55" s="204">
        <v>1</v>
      </c>
      <c r="HQ55" s="205">
        <v>0</v>
      </c>
      <c r="HR55" s="204">
        <v>1</v>
      </c>
      <c r="HS55" s="205">
        <v>0</v>
      </c>
      <c r="HT55" s="204">
        <v>1</v>
      </c>
      <c r="HU55" s="205">
        <v>0</v>
      </c>
      <c r="HV55" s="204">
        <v>1</v>
      </c>
      <c r="HW55" s="205">
        <v>0</v>
      </c>
      <c r="HX55" s="204">
        <v>1</v>
      </c>
      <c r="HY55" s="205">
        <v>0</v>
      </c>
      <c r="HZ55" s="204">
        <v>1</v>
      </c>
      <c r="IA55" s="205">
        <v>0</v>
      </c>
      <c r="IB55" s="204">
        <v>1</v>
      </c>
      <c r="IC55" s="205">
        <v>0</v>
      </c>
      <c r="ID55" s="204">
        <v>1</v>
      </c>
      <c r="IE55" s="205">
        <v>0</v>
      </c>
      <c r="IF55" s="204">
        <v>1</v>
      </c>
      <c r="IG55" s="205">
        <v>0</v>
      </c>
      <c r="IH55" s="204">
        <v>1</v>
      </c>
      <c r="II55" s="205">
        <v>0</v>
      </c>
      <c r="IJ55" s="204">
        <v>1</v>
      </c>
      <c r="IK55" s="205">
        <v>0</v>
      </c>
      <c r="IL55" s="204">
        <v>1</v>
      </c>
      <c r="IM55" s="205">
        <v>0</v>
      </c>
      <c r="IN55" s="204">
        <v>1</v>
      </c>
      <c r="IO55" s="205">
        <v>0</v>
      </c>
      <c r="IP55" s="204">
        <v>1</v>
      </c>
      <c r="IQ55" s="205">
        <v>0</v>
      </c>
      <c r="IR55" s="204">
        <v>1</v>
      </c>
      <c r="IS55" s="205">
        <v>0</v>
      </c>
      <c r="IT55" s="204">
        <v>1</v>
      </c>
      <c r="IU55" s="205">
        <v>0</v>
      </c>
      <c r="IV55" s="204">
        <v>1</v>
      </c>
      <c r="IW55" s="205">
        <v>0</v>
      </c>
      <c r="IX55" s="204">
        <v>1</v>
      </c>
      <c r="IY55" s="205">
        <v>0</v>
      </c>
      <c r="IZ55" s="204">
        <v>0</v>
      </c>
      <c r="JA55" s="205">
        <v>0</v>
      </c>
      <c r="JB55" s="204">
        <v>1</v>
      </c>
      <c r="JC55" s="205">
        <v>0</v>
      </c>
      <c r="JD55" s="204">
        <v>1</v>
      </c>
      <c r="JE55" s="233">
        <v>0</v>
      </c>
      <c r="JF55" s="236">
        <f t="shared" si="0"/>
        <v>24</v>
      </c>
      <c r="JG55" s="235">
        <f t="shared" si="1"/>
        <v>24</v>
      </c>
      <c r="JH55" s="235">
        <f t="shared" si="2"/>
        <v>24</v>
      </c>
      <c r="JI55" s="235">
        <f t="shared" si="3"/>
        <v>24</v>
      </c>
      <c r="JJ55" s="235">
        <f t="shared" si="4"/>
        <v>24</v>
      </c>
      <c r="JK55" s="235">
        <f t="shared" si="5"/>
        <v>24</v>
      </c>
      <c r="JL55" s="235">
        <f t="shared" si="6"/>
        <v>24</v>
      </c>
      <c r="JM55" s="235">
        <f t="shared" si="7"/>
        <v>24</v>
      </c>
      <c r="JN55" s="235">
        <f t="shared" si="8"/>
        <v>24</v>
      </c>
      <c r="JO55" s="235">
        <f t="shared" si="9"/>
        <v>24</v>
      </c>
      <c r="JP55" s="235">
        <f t="shared" si="10"/>
        <v>24</v>
      </c>
      <c r="JQ55" s="235">
        <f t="shared" si="11"/>
        <v>24</v>
      </c>
      <c r="JR55" s="235">
        <f t="shared" si="12"/>
        <v>24</v>
      </c>
      <c r="JS55" s="235">
        <f t="shared" si="13"/>
        <v>24</v>
      </c>
      <c r="JT55" s="235">
        <f t="shared" si="14"/>
        <v>24</v>
      </c>
      <c r="JU55" s="235">
        <f t="shared" si="15"/>
        <v>24</v>
      </c>
      <c r="JV55" s="235">
        <f t="shared" si="16"/>
        <v>24</v>
      </c>
      <c r="JW55" s="235">
        <f t="shared" si="17"/>
        <v>24</v>
      </c>
      <c r="JX55" s="235">
        <f t="shared" si="18"/>
        <v>24</v>
      </c>
      <c r="JY55" s="235">
        <f t="shared" si="19"/>
        <v>0</v>
      </c>
      <c r="JZ55" s="235">
        <f t="shared" si="20"/>
        <v>24</v>
      </c>
      <c r="KA55" s="237">
        <f t="shared" si="21"/>
        <v>24</v>
      </c>
      <c r="KB55" s="248">
        <v>46073</v>
      </c>
      <c r="KC55" s="201">
        <v>2.141</v>
      </c>
      <c r="KD55" s="201">
        <v>2.1379999999999999</v>
      </c>
      <c r="KE55" s="201">
        <v>2.1320000000000001</v>
      </c>
      <c r="KF55" s="201">
        <v>2.1360000000000001</v>
      </c>
      <c r="KG55" s="201">
        <v>2.1419999999999999</v>
      </c>
      <c r="KH55" s="201">
        <v>2.141</v>
      </c>
      <c r="KI55" s="201">
        <v>2.1259999999999999</v>
      </c>
      <c r="KJ55" s="201">
        <v>2.1349999999999998</v>
      </c>
      <c r="KK55" s="201">
        <v>2.1429999999999998</v>
      </c>
      <c r="KL55" s="201">
        <v>2.141</v>
      </c>
      <c r="KM55" s="201">
        <v>2.1429999999999998</v>
      </c>
      <c r="KN55" s="202">
        <v>2.1419999999999999</v>
      </c>
      <c r="KO55" s="202">
        <v>2.141</v>
      </c>
      <c r="KP55" s="202">
        <v>2.1389999999999998</v>
      </c>
      <c r="KQ55" s="202">
        <v>2.141</v>
      </c>
      <c r="KR55" s="202">
        <v>2.1419999999999999</v>
      </c>
      <c r="KS55" s="202">
        <v>2.1379999999999999</v>
      </c>
      <c r="KT55" s="202">
        <v>2.1339999999999999</v>
      </c>
      <c r="KU55" s="202">
        <v>2.1419999999999999</v>
      </c>
      <c r="KV55" s="202">
        <v>3.0000000000000001E-3</v>
      </c>
      <c r="KW55" s="202">
        <v>2.141</v>
      </c>
      <c r="KX55" s="202">
        <v>2.1480000000000001</v>
      </c>
      <c r="KY55" s="203">
        <v>44.929000000000009</v>
      </c>
    </row>
    <row r="56" spans="1:311">
      <c r="A56" s="194">
        <v>46074</v>
      </c>
      <c r="B56" s="195"/>
      <c r="C56" s="196"/>
      <c r="D56" s="196"/>
      <c r="E56" s="196"/>
      <c r="F56" s="196"/>
      <c r="G56" s="196"/>
      <c r="H56" s="206">
        <v>1</v>
      </c>
      <c r="I56" s="198">
        <v>0</v>
      </c>
      <c r="J56" s="198">
        <v>0</v>
      </c>
      <c r="K56" s="199">
        <v>0</v>
      </c>
      <c r="L56" s="195"/>
      <c r="M56" s="196"/>
      <c r="N56" s="196"/>
      <c r="O56" s="196"/>
      <c r="P56" s="196"/>
      <c r="Q56" s="196"/>
      <c r="R56" s="206">
        <v>1</v>
      </c>
      <c r="S56" s="198">
        <v>0</v>
      </c>
      <c r="T56" s="198">
        <v>0</v>
      </c>
      <c r="U56" s="199">
        <v>0</v>
      </c>
      <c r="V56" s="195"/>
      <c r="W56" s="196"/>
      <c r="X56" s="196"/>
      <c r="Y56" s="196"/>
      <c r="Z56" s="196"/>
      <c r="AA56" s="196"/>
      <c r="AB56" s="206">
        <v>1</v>
      </c>
      <c r="AC56" s="198">
        <v>0</v>
      </c>
      <c r="AD56" s="198">
        <v>0</v>
      </c>
      <c r="AE56" s="199">
        <v>0</v>
      </c>
      <c r="AF56" s="195"/>
      <c r="AG56" s="196"/>
      <c r="AH56" s="196"/>
      <c r="AI56" s="196"/>
      <c r="AJ56" s="196"/>
      <c r="AK56" s="196"/>
      <c r="AL56" s="206">
        <v>1</v>
      </c>
      <c r="AM56" s="198">
        <v>0</v>
      </c>
      <c r="AN56" s="198">
        <v>0</v>
      </c>
      <c r="AO56" s="199">
        <v>0</v>
      </c>
      <c r="AP56" s="195"/>
      <c r="AQ56" s="196"/>
      <c r="AR56" s="196"/>
      <c r="AS56" s="196"/>
      <c r="AT56" s="196"/>
      <c r="AU56" s="196"/>
      <c r="AV56" s="206">
        <v>1</v>
      </c>
      <c r="AW56" s="198">
        <v>0</v>
      </c>
      <c r="AX56" s="198">
        <v>0</v>
      </c>
      <c r="AY56" s="199">
        <v>0</v>
      </c>
      <c r="AZ56" s="195"/>
      <c r="BA56" s="196"/>
      <c r="BB56" s="196"/>
      <c r="BC56" s="196"/>
      <c r="BD56" s="196"/>
      <c r="BE56" s="196"/>
      <c r="BF56" s="206">
        <v>1</v>
      </c>
      <c r="BG56" s="198">
        <v>0</v>
      </c>
      <c r="BH56" s="198">
        <v>0</v>
      </c>
      <c r="BI56" s="199">
        <v>0</v>
      </c>
      <c r="BJ56" s="195"/>
      <c r="BK56" s="196"/>
      <c r="BL56" s="196"/>
      <c r="BM56" s="196"/>
      <c r="BN56" s="196"/>
      <c r="BO56" s="196"/>
      <c r="BP56" s="206">
        <v>1</v>
      </c>
      <c r="BQ56" s="198">
        <v>0</v>
      </c>
      <c r="BR56" s="198">
        <v>0</v>
      </c>
      <c r="BS56" s="199">
        <v>0</v>
      </c>
      <c r="BT56" s="195"/>
      <c r="BU56" s="196"/>
      <c r="BV56" s="196"/>
      <c r="BW56" s="196"/>
      <c r="BX56" s="196"/>
      <c r="BY56" s="196"/>
      <c r="BZ56" s="206">
        <v>1</v>
      </c>
      <c r="CA56" s="198">
        <v>0</v>
      </c>
      <c r="CB56" s="198">
        <v>0</v>
      </c>
      <c r="CC56" s="199">
        <v>0</v>
      </c>
      <c r="CD56" s="195"/>
      <c r="CE56" s="196"/>
      <c r="CF56" s="196"/>
      <c r="CG56" s="196"/>
      <c r="CH56" s="196"/>
      <c r="CI56" s="196"/>
      <c r="CJ56" s="206">
        <v>1</v>
      </c>
      <c r="CK56" s="198">
        <v>0</v>
      </c>
      <c r="CL56" s="198">
        <v>0</v>
      </c>
      <c r="CM56" s="199">
        <v>0</v>
      </c>
      <c r="CN56" s="195"/>
      <c r="CO56" s="196"/>
      <c r="CP56" s="196"/>
      <c r="CQ56" s="196"/>
      <c r="CR56" s="196"/>
      <c r="CS56" s="196"/>
      <c r="CT56" s="206">
        <v>1</v>
      </c>
      <c r="CU56" s="198">
        <v>0</v>
      </c>
      <c r="CV56" s="198">
        <v>0</v>
      </c>
      <c r="CW56" s="199">
        <v>0</v>
      </c>
      <c r="CX56" s="195"/>
      <c r="CY56" s="196"/>
      <c r="CZ56" s="196"/>
      <c r="DA56" s="196"/>
      <c r="DB56" s="196"/>
      <c r="DC56" s="196"/>
      <c r="DD56" s="206">
        <v>1</v>
      </c>
      <c r="DE56" s="198">
        <v>0</v>
      </c>
      <c r="DF56" s="198">
        <v>0</v>
      </c>
      <c r="DG56" s="199">
        <v>0</v>
      </c>
      <c r="DH56" s="195"/>
      <c r="DI56" s="196"/>
      <c r="DJ56" s="196"/>
      <c r="DK56" s="196"/>
      <c r="DL56" s="196"/>
      <c r="DM56" s="196"/>
      <c r="DN56" s="206">
        <v>1</v>
      </c>
      <c r="DO56" s="198">
        <v>0</v>
      </c>
      <c r="DP56" s="198">
        <v>0</v>
      </c>
      <c r="DQ56" s="199">
        <v>0</v>
      </c>
      <c r="DR56" s="195"/>
      <c r="DS56" s="196"/>
      <c r="DT56" s="196"/>
      <c r="DU56" s="196"/>
      <c r="DV56" s="196"/>
      <c r="DW56" s="196"/>
      <c r="DX56" s="206">
        <v>1</v>
      </c>
      <c r="DY56" s="198">
        <v>0</v>
      </c>
      <c r="DZ56" s="198">
        <v>0</v>
      </c>
      <c r="EA56" s="199">
        <v>0</v>
      </c>
      <c r="EB56" s="195"/>
      <c r="EC56" s="196"/>
      <c r="ED56" s="196"/>
      <c r="EE56" s="196"/>
      <c r="EF56" s="196"/>
      <c r="EG56" s="196"/>
      <c r="EH56" s="206">
        <v>1</v>
      </c>
      <c r="EI56" s="198">
        <v>0</v>
      </c>
      <c r="EJ56" s="198">
        <v>0</v>
      </c>
      <c r="EK56" s="199">
        <v>0</v>
      </c>
      <c r="EL56" s="195"/>
      <c r="EM56" s="196"/>
      <c r="EN56" s="196"/>
      <c r="EO56" s="196"/>
      <c r="EP56" s="196"/>
      <c r="EQ56" s="196"/>
      <c r="ER56" s="206">
        <v>1</v>
      </c>
      <c r="ES56" s="198">
        <v>0</v>
      </c>
      <c r="ET56" s="198">
        <v>0</v>
      </c>
      <c r="EU56" s="199">
        <v>0</v>
      </c>
      <c r="EV56" s="195"/>
      <c r="EW56" s="196"/>
      <c r="EX56" s="196"/>
      <c r="EY56" s="196"/>
      <c r="EZ56" s="196"/>
      <c r="FA56" s="196"/>
      <c r="FB56" s="206">
        <v>1</v>
      </c>
      <c r="FC56" s="198">
        <v>0</v>
      </c>
      <c r="FD56" s="198">
        <v>0</v>
      </c>
      <c r="FE56" s="199">
        <v>0</v>
      </c>
      <c r="FF56" s="195"/>
      <c r="FG56" s="196"/>
      <c r="FH56" s="196"/>
      <c r="FI56" s="196"/>
      <c r="FJ56" s="196"/>
      <c r="FK56" s="196"/>
      <c r="FL56" s="206">
        <v>1</v>
      </c>
      <c r="FM56" s="198">
        <v>0</v>
      </c>
      <c r="FN56" s="198">
        <v>0</v>
      </c>
      <c r="FO56" s="199">
        <v>0</v>
      </c>
      <c r="FP56" s="195"/>
      <c r="FQ56" s="196"/>
      <c r="FR56" s="196"/>
      <c r="FS56" s="196"/>
      <c r="FT56" s="196"/>
      <c r="FU56" s="196"/>
      <c r="FV56" s="206">
        <v>1</v>
      </c>
      <c r="FW56" s="198">
        <v>0</v>
      </c>
      <c r="FX56" s="198">
        <v>0</v>
      </c>
      <c r="FY56" s="199">
        <v>0</v>
      </c>
      <c r="FZ56" s="195"/>
      <c r="GA56" s="196"/>
      <c r="GB56" s="196"/>
      <c r="GC56" s="196"/>
      <c r="GD56" s="196"/>
      <c r="GE56" s="196"/>
      <c r="GF56" s="206">
        <v>1</v>
      </c>
      <c r="GG56" s="198">
        <v>0</v>
      </c>
      <c r="GH56" s="198">
        <v>0</v>
      </c>
      <c r="GI56" s="199">
        <v>0</v>
      </c>
      <c r="GJ56" s="195"/>
      <c r="GK56" s="196"/>
      <c r="GL56" s="196"/>
      <c r="GM56" s="196"/>
      <c r="GN56" s="196"/>
      <c r="GO56" s="196"/>
      <c r="GP56" s="200">
        <v>0</v>
      </c>
      <c r="GQ56" s="198">
        <v>0</v>
      </c>
      <c r="GR56" s="198">
        <v>0</v>
      </c>
      <c r="GS56" s="199">
        <v>0</v>
      </c>
      <c r="GT56" s="195"/>
      <c r="GU56" s="196"/>
      <c r="GV56" s="196"/>
      <c r="GW56" s="196"/>
      <c r="GX56" s="196"/>
      <c r="GY56" s="196"/>
      <c r="GZ56" s="206">
        <v>1</v>
      </c>
      <c r="HA56" s="198">
        <v>0</v>
      </c>
      <c r="HB56" s="198">
        <v>0</v>
      </c>
      <c r="HC56" s="199">
        <v>0</v>
      </c>
      <c r="HD56" s="195"/>
      <c r="HE56" s="196"/>
      <c r="HF56" s="196"/>
      <c r="HG56" s="196"/>
      <c r="HH56" s="196"/>
      <c r="HI56" s="196"/>
      <c r="HJ56" s="206">
        <v>1</v>
      </c>
      <c r="HK56" s="198">
        <v>0</v>
      </c>
      <c r="HL56" s="198">
        <v>0</v>
      </c>
      <c r="HM56" s="199">
        <v>0</v>
      </c>
      <c r="HN56" s="204">
        <v>1</v>
      </c>
      <c r="HO56" s="205">
        <v>0</v>
      </c>
      <c r="HP56" s="204">
        <v>1</v>
      </c>
      <c r="HQ56" s="205">
        <v>0</v>
      </c>
      <c r="HR56" s="204">
        <v>1</v>
      </c>
      <c r="HS56" s="205">
        <v>0</v>
      </c>
      <c r="HT56" s="204">
        <v>1</v>
      </c>
      <c r="HU56" s="205">
        <v>0</v>
      </c>
      <c r="HV56" s="204">
        <v>1</v>
      </c>
      <c r="HW56" s="205">
        <v>0</v>
      </c>
      <c r="HX56" s="204">
        <v>1</v>
      </c>
      <c r="HY56" s="205">
        <v>0</v>
      </c>
      <c r="HZ56" s="204">
        <v>1</v>
      </c>
      <c r="IA56" s="205">
        <v>0</v>
      </c>
      <c r="IB56" s="204">
        <v>1</v>
      </c>
      <c r="IC56" s="205">
        <v>0</v>
      </c>
      <c r="ID56" s="204">
        <v>1</v>
      </c>
      <c r="IE56" s="205">
        <v>0</v>
      </c>
      <c r="IF56" s="204">
        <v>1</v>
      </c>
      <c r="IG56" s="205">
        <v>0</v>
      </c>
      <c r="IH56" s="204">
        <v>1</v>
      </c>
      <c r="II56" s="205">
        <v>0</v>
      </c>
      <c r="IJ56" s="204">
        <v>1</v>
      </c>
      <c r="IK56" s="205">
        <v>0</v>
      </c>
      <c r="IL56" s="204">
        <v>1</v>
      </c>
      <c r="IM56" s="205">
        <v>0</v>
      </c>
      <c r="IN56" s="204">
        <v>1</v>
      </c>
      <c r="IO56" s="205">
        <v>0</v>
      </c>
      <c r="IP56" s="204">
        <v>1</v>
      </c>
      <c r="IQ56" s="205">
        <v>0</v>
      </c>
      <c r="IR56" s="204">
        <v>1</v>
      </c>
      <c r="IS56" s="205">
        <v>0</v>
      </c>
      <c r="IT56" s="204">
        <v>1</v>
      </c>
      <c r="IU56" s="205">
        <v>0</v>
      </c>
      <c r="IV56" s="204">
        <v>1</v>
      </c>
      <c r="IW56" s="205">
        <v>0</v>
      </c>
      <c r="IX56" s="204">
        <v>1</v>
      </c>
      <c r="IY56" s="205">
        <v>0</v>
      </c>
      <c r="IZ56" s="204">
        <v>0</v>
      </c>
      <c r="JA56" s="205">
        <v>0</v>
      </c>
      <c r="JB56" s="204">
        <v>1</v>
      </c>
      <c r="JC56" s="205">
        <v>0</v>
      </c>
      <c r="JD56" s="204">
        <v>1</v>
      </c>
      <c r="JE56" s="233">
        <v>0</v>
      </c>
      <c r="JF56" s="236">
        <f t="shared" si="0"/>
        <v>24</v>
      </c>
      <c r="JG56" s="235">
        <f t="shared" si="1"/>
        <v>24</v>
      </c>
      <c r="JH56" s="235">
        <f t="shared" si="2"/>
        <v>24</v>
      </c>
      <c r="JI56" s="235">
        <f t="shared" si="3"/>
        <v>24</v>
      </c>
      <c r="JJ56" s="235">
        <f t="shared" si="4"/>
        <v>24</v>
      </c>
      <c r="JK56" s="235">
        <f t="shared" si="5"/>
        <v>24</v>
      </c>
      <c r="JL56" s="235">
        <f t="shared" si="6"/>
        <v>24</v>
      </c>
      <c r="JM56" s="235">
        <f t="shared" si="7"/>
        <v>24</v>
      </c>
      <c r="JN56" s="235">
        <f t="shared" si="8"/>
        <v>24</v>
      </c>
      <c r="JO56" s="235">
        <f t="shared" si="9"/>
        <v>24</v>
      </c>
      <c r="JP56" s="235">
        <f t="shared" si="10"/>
        <v>24</v>
      </c>
      <c r="JQ56" s="235">
        <f t="shared" si="11"/>
        <v>24</v>
      </c>
      <c r="JR56" s="235">
        <f t="shared" si="12"/>
        <v>24</v>
      </c>
      <c r="JS56" s="235">
        <f t="shared" si="13"/>
        <v>24</v>
      </c>
      <c r="JT56" s="235">
        <f t="shared" si="14"/>
        <v>24</v>
      </c>
      <c r="JU56" s="235">
        <f t="shared" si="15"/>
        <v>24</v>
      </c>
      <c r="JV56" s="235">
        <f t="shared" si="16"/>
        <v>24</v>
      </c>
      <c r="JW56" s="235">
        <f t="shared" si="17"/>
        <v>24</v>
      </c>
      <c r="JX56" s="235">
        <f t="shared" si="18"/>
        <v>24</v>
      </c>
      <c r="JY56" s="235">
        <f t="shared" si="19"/>
        <v>0</v>
      </c>
      <c r="JZ56" s="235">
        <f t="shared" si="20"/>
        <v>24</v>
      </c>
      <c r="KA56" s="237">
        <f t="shared" si="21"/>
        <v>24</v>
      </c>
      <c r="KB56" s="248">
        <v>46074</v>
      </c>
      <c r="KC56" s="201">
        <v>2.1509999999999998</v>
      </c>
      <c r="KD56" s="201">
        <v>2.1469999999999998</v>
      </c>
      <c r="KE56" s="201">
        <v>2.1389999999999998</v>
      </c>
      <c r="KF56" s="201">
        <v>2.145</v>
      </c>
      <c r="KG56" s="201">
        <v>2.1509999999999998</v>
      </c>
      <c r="KH56" s="201">
        <v>2.15</v>
      </c>
      <c r="KI56" s="201">
        <v>2.0920000000000001</v>
      </c>
      <c r="KJ56" s="201">
        <v>2.1429999999999998</v>
      </c>
      <c r="KK56" s="201">
        <v>2.1509999999999998</v>
      </c>
      <c r="KL56" s="201">
        <v>2.1509999999999998</v>
      </c>
      <c r="KM56" s="201">
        <v>2.1509999999999998</v>
      </c>
      <c r="KN56" s="202">
        <v>2.1469999999999998</v>
      </c>
      <c r="KO56" s="202">
        <v>2.1459999999999999</v>
      </c>
      <c r="KP56" s="202">
        <v>2.1469999999999998</v>
      </c>
      <c r="KQ56" s="202">
        <v>2.1509999999999998</v>
      </c>
      <c r="KR56" s="202">
        <v>2.153</v>
      </c>
      <c r="KS56" s="202">
        <v>2.1469999999999998</v>
      </c>
      <c r="KT56" s="202">
        <v>2.1469999999999998</v>
      </c>
      <c r="KU56" s="202">
        <v>2.149</v>
      </c>
      <c r="KV56" s="202">
        <v>0</v>
      </c>
      <c r="KW56" s="202">
        <v>2.15</v>
      </c>
      <c r="KX56" s="202">
        <v>2.1579999999999999</v>
      </c>
      <c r="KY56" s="203">
        <v>45.065999999999988</v>
      </c>
    </row>
    <row r="57" spans="1:311">
      <c r="A57" s="194">
        <v>46075</v>
      </c>
      <c r="B57" s="195"/>
      <c r="C57" s="196"/>
      <c r="D57" s="196"/>
      <c r="E57" s="196"/>
      <c r="F57" s="196"/>
      <c r="G57" s="196"/>
      <c r="H57" s="206">
        <v>1</v>
      </c>
      <c r="I57" s="198">
        <v>0</v>
      </c>
      <c r="J57" s="198">
        <v>0</v>
      </c>
      <c r="K57" s="199">
        <v>0</v>
      </c>
      <c r="L57" s="195"/>
      <c r="M57" s="196"/>
      <c r="N57" s="196"/>
      <c r="O57" s="196"/>
      <c r="P57" s="196"/>
      <c r="Q57" s="196"/>
      <c r="R57" s="206">
        <v>1</v>
      </c>
      <c r="S57" s="198">
        <v>0</v>
      </c>
      <c r="T57" s="198">
        <v>0</v>
      </c>
      <c r="U57" s="199">
        <v>0</v>
      </c>
      <c r="V57" s="195"/>
      <c r="W57" s="196"/>
      <c r="X57" s="196"/>
      <c r="Y57" s="196"/>
      <c r="Z57" s="196"/>
      <c r="AA57" s="196"/>
      <c r="AB57" s="206">
        <v>1</v>
      </c>
      <c r="AC57" s="198">
        <v>0</v>
      </c>
      <c r="AD57" s="198">
        <v>0</v>
      </c>
      <c r="AE57" s="199">
        <v>0</v>
      </c>
      <c r="AF57" s="195"/>
      <c r="AG57" s="196"/>
      <c r="AH57" s="196"/>
      <c r="AI57" s="196"/>
      <c r="AJ57" s="196"/>
      <c r="AK57" s="196"/>
      <c r="AL57" s="206">
        <v>1</v>
      </c>
      <c r="AM57" s="198">
        <v>0</v>
      </c>
      <c r="AN57" s="198">
        <v>0</v>
      </c>
      <c r="AO57" s="199">
        <v>0</v>
      </c>
      <c r="AP57" s="195"/>
      <c r="AQ57" s="196"/>
      <c r="AR57" s="196"/>
      <c r="AS57" s="196"/>
      <c r="AT57" s="196"/>
      <c r="AU57" s="196"/>
      <c r="AV57" s="206">
        <v>1</v>
      </c>
      <c r="AW57" s="198">
        <v>0</v>
      </c>
      <c r="AX57" s="198">
        <v>0</v>
      </c>
      <c r="AY57" s="199">
        <v>0</v>
      </c>
      <c r="AZ57" s="195"/>
      <c r="BA57" s="196"/>
      <c r="BB57" s="196"/>
      <c r="BC57" s="196"/>
      <c r="BD57" s="196"/>
      <c r="BE57" s="196"/>
      <c r="BF57" s="206">
        <v>1</v>
      </c>
      <c r="BG57" s="198">
        <v>0</v>
      </c>
      <c r="BH57" s="198">
        <v>0</v>
      </c>
      <c r="BI57" s="199">
        <v>0</v>
      </c>
      <c r="BJ57" s="195"/>
      <c r="BK57" s="196"/>
      <c r="BL57" s="196"/>
      <c r="BM57" s="196"/>
      <c r="BN57" s="196"/>
      <c r="BO57" s="196"/>
      <c r="BP57" s="206">
        <v>1</v>
      </c>
      <c r="BQ57" s="198">
        <v>0</v>
      </c>
      <c r="BR57" s="198">
        <v>0</v>
      </c>
      <c r="BS57" s="199">
        <v>0</v>
      </c>
      <c r="BT57" s="195"/>
      <c r="BU57" s="196"/>
      <c r="BV57" s="196"/>
      <c r="BW57" s="196"/>
      <c r="BX57" s="196"/>
      <c r="BY57" s="196"/>
      <c r="BZ57" s="206">
        <v>1</v>
      </c>
      <c r="CA57" s="198">
        <v>0</v>
      </c>
      <c r="CB57" s="198">
        <v>0</v>
      </c>
      <c r="CC57" s="199">
        <v>0</v>
      </c>
      <c r="CD57" s="195"/>
      <c r="CE57" s="196"/>
      <c r="CF57" s="196"/>
      <c r="CG57" s="196"/>
      <c r="CH57" s="196"/>
      <c r="CI57" s="196"/>
      <c r="CJ57" s="206">
        <v>1</v>
      </c>
      <c r="CK57" s="198">
        <v>0</v>
      </c>
      <c r="CL57" s="198">
        <v>0</v>
      </c>
      <c r="CM57" s="199">
        <v>0</v>
      </c>
      <c r="CN57" s="195"/>
      <c r="CO57" s="196"/>
      <c r="CP57" s="196"/>
      <c r="CQ57" s="196"/>
      <c r="CR57" s="196"/>
      <c r="CS57" s="196"/>
      <c r="CT57" s="206">
        <v>1</v>
      </c>
      <c r="CU57" s="198">
        <v>0</v>
      </c>
      <c r="CV57" s="198">
        <v>0</v>
      </c>
      <c r="CW57" s="199">
        <v>0</v>
      </c>
      <c r="CX57" s="195"/>
      <c r="CY57" s="196"/>
      <c r="CZ57" s="196"/>
      <c r="DA57" s="196"/>
      <c r="DB57" s="196"/>
      <c r="DC57" s="196"/>
      <c r="DD57" s="206">
        <v>1</v>
      </c>
      <c r="DE57" s="198">
        <v>0</v>
      </c>
      <c r="DF57" s="198">
        <v>0</v>
      </c>
      <c r="DG57" s="199">
        <v>0</v>
      </c>
      <c r="DH57" s="195"/>
      <c r="DI57" s="196"/>
      <c r="DJ57" s="196"/>
      <c r="DK57" s="196"/>
      <c r="DL57" s="196"/>
      <c r="DM57" s="196"/>
      <c r="DN57" s="206">
        <v>1</v>
      </c>
      <c r="DO57" s="198">
        <v>0</v>
      </c>
      <c r="DP57" s="198">
        <v>0</v>
      </c>
      <c r="DQ57" s="199">
        <v>0</v>
      </c>
      <c r="DR57" s="195"/>
      <c r="DS57" s="196"/>
      <c r="DT57" s="196"/>
      <c r="DU57" s="196"/>
      <c r="DV57" s="196"/>
      <c r="DW57" s="196"/>
      <c r="DX57" s="206">
        <v>1</v>
      </c>
      <c r="DY57" s="198">
        <v>0</v>
      </c>
      <c r="DZ57" s="198">
        <v>0</v>
      </c>
      <c r="EA57" s="199">
        <v>0</v>
      </c>
      <c r="EB57" s="195"/>
      <c r="EC57" s="196"/>
      <c r="ED57" s="196"/>
      <c r="EE57" s="196"/>
      <c r="EF57" s="196"/>
      <c r="EG57" s="196"/>
      <c r="EH57" s="206">
        <v>1</v>
      </c>
      <c r="EI57" s="198">
        <v>0</v>
      </c>
      <c r="EJ57" s="198">
        <v>0</v>
      </c>
      <c r="EK57" s="199">
        <v>0</v>
      </c>
      <c r="EL57" s="195"/>
      <c r="EM57" s="196"/>
      <c r="EN57" s="196"/>
      <c r="EO57" s="196"/>
      <c r="EP57" s="196"/>
      <c r="EQ57" s="196"/>
      <c r="ER57" s="206">
        <v>1</v>
      </c>
      <c r="ES57" s="198">
        <v>0</v>
      </c>
      <c r="ET57" s="198">
        <v>0</v>
      </c>
      <c r="EU57" s="199">
        <v>0</v>
      </c>
      <c r="EV57" s="195"/>
      <c r="EW57" s="196"/>
      <c r="EX57" s="196"/>
      <c r="EY57" s="196"/>
      <c r="EZ57" s="196"/>
      <c r="FA57" s="196"/>
      <c r="FB57" s="206">
        <v>1</v>
      </c>
      <c r="FC57" s="198">
        <v>0</v>
      </c>
      <c r="FD57" s="198">
        <v>0</v>
      </c>
      <c r="FE57" s="199">
        <v>0</v>
      </c>
      <c r="FF57" s="195"/>
      <c r="FG57" s="196"/>
      <c r="FH57" s="196"/>
      <c r="FI57" s="196"/>
      <c r="FJ57" s="196"/>
      <c r="FK57" s="196"/>
      <c r="FL57" s="206">
        <v>1</v>
      </c>
      <c r="FM57" s="198">
        <v>0</v>
      </c>
      <c r="FN57" s="198">
        <v>0</v>
      </c>
      <c r="FO57" s="199">
        <v>0</v>
      </c>
      <c r="FP57" s="195"/>
      <c r="FQ57" s="196"/>
      <c r="FR57" s="196"/>
      <c r="FS57" s="196"/>
      <c r="FT57" s="196"/>
      <c r="FU57" s="196"/>
      <c r="FV57" s="206">
        <v>1</v>
      </c>
      <c r="FW57" s="198">
        <v>0</v>
      </c>
      <c r="FX57" s="198">
        <v>0</v>
      </c>
      <c r="FY57" s="199">
        <v>0</v>
      </c>
      <c r="FZ57" s="195"/>
      <c r="GA57" s="196"/>
      <c r="GB57" s="196"/>
      <c r="GC57" s="196"/>
      <c r="GD57" s="196"/>
      <c r="GE57" s="196"/>
      <c r="GF57" s="206">
        <v>1</v>
      </c>
      <c r="GG57" s="198">
        <v>0</v>
      </c>
      <c r="GH57" s="198">
        <v>0</v>
      </c>
      <c r="GI57" s="199">
        <v>0</v>
      </c>
      <c r="GJ57" s="195"/>
      <c r="GK57" s="196"/>
      <c r="GL57" s="196"/>
      <c r="GM57" s="196"/>
      <c r="GN57" s="196"/>
      <c r="GO57" s="196"/>
      <c r="GP57" s="200">
        <v>0</v>
      </c>
      <c r="GQ57" s="198">
        <v>0</v>
      </c>
      <c r="GR57" s="198">
        <v>0</v>
      </c>
      <c r="GS57" s="199">
        <v>0</v>
      </c>
      <c r="GT57" s="195"/>
      <c r="GU57" s="196"/>
      <c r="GV57" s="196"/>
      <c r="GW57" s="196"/>
      <c r="GX57" s="196"/>
      <c r="GY57" s="196"/>
      <c r="GZ57" s="206">
        <v>1</v>
      </c>
      <c r="HA57" s="198">
        <v>0</v>
      </c>
      <c r="HB57" s="198">
        <v>0</v>
      </c>
      <c r="HC57" s="199">
        <v>0</v>
      </c>
      <c r="HD57" s="195"/>
      <c r="HE57" s="196"/>
      <c r="HF57" s="196"/>
      <c r="HG57" s="196"/>
      <c r="HH57" s="196"/>
      <c r="HI57" s="196"/>
      <c r="HJ57" s="206">
        <v>1</v>
      </c>
      <c r="HK57" s="198">
        <v>0</v>
      </c>
      <c r="HL57" s="198">
        <v>0</v>
      </c>
      <c r="HM57" s="199">
        <v>0</v>
      </c>
      <c r="HN57" s="204">
        <v>1</v>
      </c>
      <c r="HO57" s="205">
        <v>0</v>
      </c>
      <c r="HP57" s="204">
        <v>1</v>
      </c>
      <c r="HQ57" s="205">
        <v>0</v>
      </c>
      <c r="HR57" s="204">
        <v>1</v>
      </c>
      <c r="HS57" s="205">
        <v>0</v>
      </c>
      <c r="HT57" s="204">
        <v>1</v>
      </c>
      <c r="HU57" s="205">
        <v>0</v>
      </c>
      <c r="HV57" s="204">
        <v>1</v>
      </c>
      <c r="HW57" s="205">
        <v>0</v>
      </c>
      <c r="HX57" s="204">
        <v>1</v>
      </c>
      <c r="HY57" s="205">
        <v>0</v>
      </c>
      <c r="HZ57" s="204">
        <v>1</v>
      </c>
      <c r="IA57" s="205">
        <v>0</v>
      </c>
      <c r="IB57" s="204">
        <v>1</v>
      </c>
      <c r="IC57" s="205">
        <v>0</v>
      </c>
      <c r="ID57" s="204">
        <v>1</v>
      </c>
      <c r="IE57" s="205">
        <v>0</v>
      </c>
      <c r="IF57" s="204">
        <v>1</v>
      </c>
      <c r="IG57" s="205">
        <v>0</v>
      </c>
      <c r="IH57" s="204">
        <v>1</v>
      </c>
      <c r="II57" s="205">
        <v>0</v>
      </c>
      <c r="IJ57" s="204">
        <v>1</v>
      </c>
      <c r="IK57" s="205">
        <v>0</v>
      </c>
      <c r="IL57" s="204">
        <v>1</v>
      </c>
      <c r="IM57" s="205">
        <v>0</v>
      </c>
      <c r="IN57" s="204">
        <v>1</v>
      </c>
      <c r="IO57" s="205">
        <v>0</v>
      </c>
      <c r="IP57" s="204">
        <v>1</v>
      </c>
      <c r="IQ57" s="205">
        <v>0</v>
      </c>
      <c r="IR57" s="204">
        <v>1</v>
      </c>
      <c r="IS57" s="205">
        <v>0</v>
      </c>
      <c r="IT57" s="204">
        <v>1</v>
      </c>
      <c r="IU57" s="205">
        <v>0</v>
      </c>
      <c r="IV57" s="204">
        <v>1</v>
      </c>
      <c r="IW57" s="205">
        <v>0</v>
      </c>
      <c r="IX57" s="204">
        <v>1</v>
      </c>
      <c r="IY57" s="205">
        <v>0</v>
      </c>
      <c r="IZ57" s="204">
        <v>0</v>
      </c>
      <c r="JA57" s="205">
        <v>0</v>
      </c>
      <c r="JB57" s="204">
        <v>1</v>
      </c>
      <c r="JC57" s="205">
        <v>0</v>
      </c>
      <c r="JD57" s="204">
        <v>1</v>
      </c>
      <c r="JE57" s="233">
        <v>0</v>
      </c>
      <c r="JF57" s="236">
        <f t="shared" si="0"/>
        <v>24</v>
      </c>
      <c r="JG57" s="235">
        <f t="shared" si="1"/>
        <v>24</v>
      </c>
      <c r="JH57" s="235">
        <f t="shared" si="2"/>
        <v>24</v>
      </c>
      <c r="JI57" s="235">
        <f t="shared" si="3"/>
        <v>24</v>
      </c>
      <c r="JJ57" s="235">
        <f t="shared" si="4"/>
        <v>24</v>
      </c>
      <c r="JK57" s="235">
        <f t="shared" si="5"/>
        <v>24</v>
      </c>
      <c r="JL57" s="235">
        <f t="shared" si="6"/>
        <v>24</v>
      </c>
      <c r="JM57" s="235">
        <f t="shared" si="7"/>
        <v>24</v>
      </c>
      <c r="JN57" s="235">
        <f t="shared" si="8"/>
        <v>24</v>
      </c>
      <c r="JO57" s="235">
        <f t="shared" si="9"/>
        <v>24</v>
      </c>
      <c r="JP57" s="235">
        <f t="shared" si="10"/>
        <v>24</v>
      </c>
      <c r="JQ57" s="235">
        <f t="shared" si="11"/>
        <v>24</v>
      </c>
      <c r="JR57" s="235">
        <f t="shared" si="12"/>
        <v>24</v>
      </c>
      <c r="JS57" s="235">
        <f t="shared" si="13"/>
        <v>24</v>
      </c>
      <c r="JT57" s="235">
        <f t="shared" si="14"/>
        <v>24</v>
      </c>
      <c r="JU57" s="235">
        <f t="shared" si="15"/>
        <v>24</v>
      </c>
      <c r="JV57" s="235">
        <f t="shared" si="16"/>
        <v>24</v>
      </c>
      <c r="JW57" s="235">
        <f t="shared" si="17"/>
        <v>24</v>
      </c>
      <c r="JX57" s="235">
        <f t="shared" si="18"/>
        <v>24</v>
      </c>
      <c r="JY57" s="235">
        <f t="shared" si="19"/>
        <v>0</v>
      </c>
      <c r="JZ57" s="235">
        <f t="shared" si="20"/>
        <v>24</v>
      </c>
      <c r="KA57" s="237">
        <f t="shared" si="21"/>
        <v>24</v>
      </c>
      <c r="KB57" s="248">
        <v>46075</v>
      </c>
      <c r="KC57" s="201">
        <v>2.1030000000000002</v>
      </c>
      <c r="KD57" s="201">
        <v>2.101</v>
      </c>
      <c r="KE57" s="201">
        <v>2.097</v>
      </c>
      <c r="KF57" s="201">
        <v>2.097</v>
      </c>
      <c r="KG57" s="201">
        <v>2.1059999999999999</v>
      </c>
      <c r="KH57" s="201">
        <v>2.1059999999999999</v>
      </c>
      <c r="KI57" s="201">
        <v>2.0950000000000002</v>
      </c>
      <c r="KJ57" s="201">
        <v>2.097</v>
      </c>
      <c r="KK57" s="201">
        <v>2.1070000000000002</v>
      </c>
      <c r="KL57" s="201">
        <v>2.1040000000000001</v>
      </c>
      <c r="KM57" s="201">
        <v>2.1070000000000002</v>
      </c>
      <c r="KN57" s="202">
        <v>2.105</v>
      </c>
      <c r="KO57" s="202">
        <v>2.105</v>
      </c>
      <c r="KP57" s="202">
        <v>2.0990000000000002</v>
      </c>
      <c r="KQ57" s="202">
        <v>2.1040000000000001</v>
      </c>
      <c r="KR57" s="202">
        <v>2.105</v>
      </c>
      <c r="KS57" s="202">
        <v>2.1019999999999999</v>
      </c>
      <c r="KT57" s="202">
        <v>2.1</v>
      </c>
      <c r="KU57" s="202">
        <v>2.1070000000000002</v>
      </c>
      <c r="KV57" s="202">
        <v>0</v>
      </c>
      <c r="KW57" s="202">
        <v>2.105</v>
      </c>
      <c r="KX57" s="202">
        <v>2.113</v>
      </c>
      <c r="KY57" s="203">
        <v>44.164999999999992</v>
      </c>
    </row>
    <row r="58" spans="1:311">
      <c r="A58" s="194">
        <v>46076</v>
      </c>
      <c r="B58" s="195"/>
      <c r="C58" s="196"/>
      <c r="D58" s="196"/>
      <c r="E58" s="196"/>
      <c r="F58" s="196"/>
      <c r="G58" s="196"/>
      <c r="H58" s="206">
        <v>1</v>
      </c>
      <c r="I58" s="198">
        <v>0</v>
      </c>
      <c r="J58" s="198">
        <v>0</v>
      </c>
      <c r="K58" s="199">
        <v>0</v>
      </c>
      <c r="L58" s="195"/>
      <c r="M58" s="196"/>
      <c r="N58" s="196"/>
      <c r="O58" s="196"/>
      <c r="P58" s="196"/>
      <c r="Q58" s="196"/>
      <c r="R58" s="206">
        <v>1</v>
      </c>
      <c r="S58" s="198">
        <v>0</v>
      </c>
      <c r="T58" s="198">
        <v>0</v>
      </c>
      <c r="U58" s="199">
        <v>0</v>
      </c>
      <c r="V58" s="195"/>
      <c r="W58" s="196"/>
      <c r="X58" s="196"/>
      <c r="Y58" s="196"/>
      <c r="Z58" s="196"/>
      <c r="AA58" s="196"/>
      <c r="AB58" s="206">
        <v>1</v>
      </c>
      <c r="AC58" s="198">
        <v>0</v>
      </c>
      <c r="AD58" s="198">
        <v>0</v>
      </c>
      <c r="AE58" s="199">
        <v>0</v>
      </c>
      <c r="AF58" s="195"/>
      <c r="AG58" s="196"/>
      <c r="AH58" s="196"/>
      <c r="AI58" s="196"/>
      <c r="AJ58" s="196"/>
      <c r="AK58" s="196"/>
      <c r="AL58" s="206">
        <v>1</v>
      </c>
      <c r="AM58" s="198">
        <v>0</v>
      </c>
      <c r="AN58" s="198">
        <v>0</v>
      </c>
      <c r="AO58" s="199">
        <v>0</v>
      </c>
      <c r="AP58" s="195"/>
      <c r="AQ58" s="196"/>
      <c r="AR58" s="196"/>
      <c r="AS58" s="196"/>
      <c r="AT58" s="196"/>
      <c r="AU58" s="196"/>
      <c r="AV58" s="206">
        <v>1</v>
      </c>
      <c r="AW58" s="198">
        <v>0</v>
      </c>
      <c r="AX58" s="198">
        <v>0</v>
      </c>
      <c r="AY58" s="199">
        <v>0</v>
      </c>
      <c r="AZ58" s="195"/>
      <c r="BA58" s="196"/>
      <c r="BB58" s="196"/>
      <c r="BC58" s="196"/>
      <c r="BD58" s="196"/>
      <c r="BE58" s="196"/>
      <c r="BF58" s="206">
        <v>1</v>
      </c>
      <c r="BG58" s="198">
        <v>0</v>
      </c>
      <c r="BH58" s="198">
        <v>0</v>
      </c>
      <c r="BI58" s="199">
        <v>0</v>
      </c>
      <c r="BJ58" s="195"/>
      <c r="BK58" s="196"/>
      <c r="BL58" s="196"/>
      <c r="BM58" s="196"/>
      <c r="BN58" s="196"/>
      <c r="BO58" s="196"/>
      <c r="BP58" s="206">
        <v>1</v>
      </c>
      <c r="BQ58" s="198">
        <v>0</v>
      </c>
      <c r="BR58" s="198">
        <v>0</v>
      </c>
      <c r="BS58" s="199">
        <v>0</v>
      </c>
      <c r="BT58" s="195"/>
      <c r="BU58" s="196"/>
      <c r="BV58" s="196"/>
      <c r="BW58" s="196"/>
      <c r="BX58" s="196"/>
      <c r="BY58" s="196"/>
      <c r="BZ58" s="206">
        <v>1</v>
      </c>
      <c r="CA58" s="198">
        <v>0</v>
      </c>
      <c r="CB58" s="198">
        <v>0</v>
      </c>
      <c r="CC58" s="199">
        <v>0</v>
      </c>
      <c r="CD58" s="195"/>
      <c r="CE58" s="196"/>
      <c r="CF58" s="196"/>
      <c r="CG58" s="196"/>
      <c r="CH58" s="196"/>
      <c r="CI58" s="196"/>
      <c r="CJ58" s="206">
        <v>1</v>
      </c>
      <c r="CK58" s="198">
        <v>0</v>
      </c>
      <c r="CL58" s="198">
        <v>0</v>
      </c>
      <c r="CM58" s="199">
        <v>0</v>
      </c>
      <c r="CN58" s="195"/>
      <c r="CO58" s="196"/>
      <c r="CP58" s="196"/>
      <c r="CQ58" s="196"/>
      <c r="CR58" s="196"/>
      <c r="CS58" s="196"/>
      <c r="CT58" s="206">
        <v>1</v>
      </c>
      <c r="CU58" s="198">
        <v>0</v>
      </c>
      <c r="CV58" s="198">
        <v>0</v>
      </c>
      <c r="CW58" s="199">
        <v>0</v>
      </c>
      <c r="CX58" s="195"/>
      <c r="CY58" s="196"/>
      <c r="CZ58" s="196"/>
      <c r="DA58" s="196"/>
      <c r="DB58" s="196"/>
      <c r="DC58" s="196"/>
      <c r="DD58" s="206">
        <v>1</v>
      </c>
      <c r="DE58" s="198">
        <v>0</v>
      </c>
      <c r="DF58" s="198">
        <v>0</v>
      </c>
      <c r="DG58" s="199">
        <v>0</v>
      </c>
      <c r="DH58" s="195"/>
      <c r="DI58" s="196"/>
      <c r="DJ58" s="196"/>
      <c r="DK58" s="196"/>
      <c r="DL58" s="196"/>
      <c r="DM58" s="196"/>
      <c r="DN58" s="206">
        <v>1</v>
      </c>
      <c r="DO58" s="198">
        <v>0</v>
      </c>
      <c r="DP58" s="198">
        <v>0</v>
      </c>
      <c r="DQ58" s="199">
        <v>0</v>
      </c>
      <c r="DR58" s="195"/>
      <c r="DS58" s="196"/>
      <c r="DT58" s="196"/>
      <c r="DU58" s="196"/>
      <c r="DV58" s="196"/>
      <c r="DW58" s="196"/>
      <c r="DX58" s="206">
        <v>1</v>
      </c>
      <c r="DY58" s="198">
        <v>0</v>
      </c>
      <c r="DZ58" s="198">
        <v>0</v>
      </c>
      <c r="EA58" s="199">
        <v>0</v>
      </c>
      <c r="EB58" s="195"/>
      <c r="EC58" s="196"/>
      <c r="ED58" s="196"/>
      <c r="EE58" s="196"/>
      <c r="EF58" s="196"/>
      <c r="EG58" s="196"/>
      <c r="EH58" s="206">
        <v>1</v>
      </c>
      <c r="EI58" s="198">
        <v>0</v>
      </c>
      <c r="EJ58" s="198">
        <v>0</v>
      </c>
      <c r="EK58" s="199">
        <v>0</v>
      </c>
      <c r="EL58" s="195"/>
      <c r="EM58" s="196"/>
      <c r="EN58" s="196"/>
      <c r="EO58" s="196"/>
      <c r="EP58" s="196"/>
      <c r="EQ58" s="196"/>
      <c r="ER58" s="206">
        <v>1</v>
      </c>
      <c r="ES58" s="198">
        <v>0</v>
      </c>
      <c r="ET58" s="198">
        <v>0</v>
      </c>
      <c r="EU58" s="199">
        <v>0</v>
      </c>
      <c r="EV58" s="195"/>
      <c r="EW58" s="196"/>
      <c r="EX58" s="196"/>
      <c r="EY58" s="196"/>
      <c r="EZ58" s="196"/>
      <c r="FA58" s="196"/>
      <c r="FB58" s="206">
        <v>1</v>
      </c>
      <c r="FC58" s="198">
        <v>0</v>
      </c>
      <c r="FD58" s="198">
        <v>0</v>
      </c>
      <c r="FE58" s="199">
        <v>0</v>
      </c>
      <c r="FF58" s="195"/>
      <c r="FG58" s="196"/>
      <c r="FH58" s="196"/>
      <c r="FI58" s="196"/>
      <c r="FJ58" s="196"/>
      <c r="FK58" s="196"/>
      <c r="FL58" s="206">
        <v>1</v>
      </c>
      <c r="FM58" s="198">
        <v>0</v>
      </c>
      <c r="FN58" s="198">
        <v>0</v>
      </c>
      <c r="FO58" s="199">
        <v>0</v>
      </c>
      <c r="FP58" s="195"/>
      <c r="FQ58" s="196"/>
      <c r="FR58" s="196"/>
      <c r="FS58" s="196"/>
      <c r="FT58" s="196"/>
      <c r="FU58" s="196"/>
      <c r="FV58" s="206">
        <v>1</v>
      </c>
      <c r="FW58" s="198">
        <v>0</v>
      </c>
      <c r="FX58" s="198">
        <v>0</v>
      </c>
      <c r="FY58" s="199">
        <v>0</v>
      </c>
      <c r="FZ58" s="195"/>
      <c r="GA58" s="196"/>
      <c r="GB58" s="196"/>
      <c r="GC58" s="196"/>
      <c r="GD58" s="196"/>
      <c r="GE58" s="196"/>
      <c r="GF58" s="206">
        <v>1</v>
      </c>
      <c r="GG58" s="198">
        <v>0</v>
      </c>
      <c r="GH58" s="198">
        <v>0</v>
      </c>
      <c r="GI58" s="199">
        <v>0</v>
      </c>
      <c r="GJ58" s="195"/>
      <c r="GK58" s="196"/>
      <c r="GL58" s="196"/>
      <c r="GM58" s="196"/>
      <c r="GN58" s="196"/>
      <c r="GO58" s="196"/>
      <c r="GP58" s="200">
        <v>0</v>
      </c>
      <c r="GQ58" s="198">
        <v>0</v>
      </c>
      <c r="GR58" s="198">
        <v>0</v>
      </c>
      <c r="GS58" s="199">
        <v>0</v>
      </c>
      <c r="GT58" s="195"/>
      <c r="GU58" s="196"/>
      <c r="GV58" s="196"/>
      <c r="GW58" s="196"/>
      <c r="GX58" s="196"/>
      <c r="GY58" s="196"/>
      <c r="GZ58" s="206">
        <v>1</v>
      </c>
      <c r="HA58" s="198">
        <v>0</v>
      </c>
      <c r="HB58" s="198">
        <v>0</v>
      </c>
      <c r="HC58" s="199">
        <v>0</v>
      </c>
      <c r="HD58" s="195"/>
      <c r="HE58" s="196"/>
      <c r="HF58" s="196"/>
      <c r="HG58" s="196"/>
      <c r="HH58" s="196"/>
      <c r="HI58" s="196"/>
      <c r="HJ58" s="206">
        <v>1</v>
      </c>
      <c r="HK58" s="198">
        <v>0</v>
      </c>
      <c r="HL58" s="198">
        <v>0</v>
      </c>
      <c r="HM58" s="199">
        <v>0</v>
      </c>
      <c r="HN58" s="204">
        <v>1</v>
      </c>
      <c r="HO58" s="205">
        <v>0</v>
      </c>
      <c r="HP58" s="204">
        <v>1</v>
      </c>
      <c r="HQ58" s="205">
        <v>0</v>
      </c>
      <c r="HR58" s="204">
        <v>1</v>
      </c>
      <c r="HS58" s="205">
        <v>0</v>
      </c>
      <c r="HT58" s="204">
        <v>1</v>
      </c>
      <c r="HU58" s="205">
        <v>0</v>
      </c>
      <c r="HV58" s="204">
        <v>1</v>
      </c>
      <c r="HW58" s="205">
        <v>0</v>
      </c>
      <c r="HX58" s="204">
        <v>1</v>
      </c>
      <c r="HY58" s="205">
        <v>0</v>
      </c>
      <c r="HZ58" s="204">
        <v>1</v>
      </c>
      <c r="IA58" s="205">
        <v>0</v>
      </c>
      <c r="IB58" s="204">
        <v>1</v>
      </c>
      <c r="IC58" s="205">
        <v>0</v>
      </c>
      <c r="ID58" s="204">
        <v>1</v>
      </c>
      <c r="IE58" s="205">
        <v>0</v>
      </c>
      <c r="IF58" s="204">
        <v>1</v>
      </c>
      <c r="IG58" s="205">
        <v>0</v>
      </c>
      <c r="IH58" s="204">
        <v>1</v>
      </c>
      <c r="II58" s="205">
        <v>0</v>
      </c>
      <c r="IJ58" s="204">
        <v>1</v>
      </c>
      <c r="IK58" s="205">
        <v>0</v>
      </c>
      <c r="IL58" s="204">
        <v>1</v>
      </c>
      <c r="IM58" s="205">
        <v>0</v>
      </c>
      <c r="IN58" s="204">
        <v>1</v>
      </c>
      <c r="IO58" s="205">
        <v>0</v>
      </c>
      <c r="IP58" s="204">
        <v>1</v>
      </c>
      <c r="IQ58" s="205">
        <v>0</v>
      </c>
      <c r="IR58" s="204">
        <v>1</v>
      </c>
      <c r="IS58" s="205">
        <v>0</v>
      </c>
      <c r="IT58" s="204">
        <v>1</v>
      </c>
      <c r="IU58" s="205">
        <v>0</v>
      </c>
      <c r="IV58" s="204">
        <v>1</v>
      </c>
      <c r="IW58" s="205">
        <v>0</v>
      </c>
      <c r="IX58" s="204">
        <v>1</v>
      </c>
      <c r="IY58" s="205">
        <v>0</v>
      </c>
      <c r="IZ58" s="204">
        <v>0</v>
      </c>
      <c r="JA58" s="205">
        <v>0</v>
      </c>
      <c r="JB58" s="204">
        <v>1</v>
      </c>
      <c r="JC58" s="205">
        <v>0</v>
      </c>
      <c r="JD58" s="204">
        <v>1</v>
      </c>
      <c r="JE58" s="233">
        <v>0</v>
      </c>
      <c r="JF58" s="236">
        <f t="shared" si="0"/>
        <v>24</v>
      </c>
      <c r="JG58" s="235">
        <f t="shared" si="1"/>
        <v>24</v>
      </c>
      <c r="JH58" s="235">
        <f t="shared" si="2"/>
        <v>24</v>
      </c>
      <c r="JI58" s="235">
        <f t="shared" si="3"/>
        <v>24</v>
      </c>
      <c r="JJ58" s="235">
        <f t="shared" si="4"/>
        <v>24</v>
      </c>
      <c r="JK58" s="235">
        <f t="shared" si="5"/>
        <v>24</v>
      </c>
      <c r="JL58" s="235">
        <f t="shared" si="6"/>
        <v>24</v>
      </c>
      <c r="JM58" s="235">
        <f t="shared" si="7"/>
        <v>24</v>
      </c>
      <c r="JN58" s="235">
        <f t="shared" si="8"/>
        <v>24</v>
      </c>
      <c r="JO58" s="235">
        <f t="shared" si="9"/>
        <v>24</v>
      </c>
      <c r="JP58" s="235">
        <f t="shared" si="10"/>
        <v>24</v>
      </c>
      <c r="JQ58" s="235">
        <f t="shared" si="11"/>
        <v>24</v>
      </c>
      <c r="JR58" s="235">
        <f t="shared" si="12"/>
        <v>24</v>
      </c>
      <c r="JS58" s="235">
        <f t="shared" si="13"/>
        <v>24</v>
      </c>
      <c r="JT58" s="235">
        <f t="shared" si="14"/>
        <v>24</v>
      </c>
      <c r="JU58" s="235">
        <f t="shared" si="15"/>
        <v>24</v>
      </c>
      <c r="JV58" s="235">
        <f t="shared" si="16"/>
        <v>24</v>
      </c>
      <c r="JW58" s="235">
        <f t="shared" si="17"/>
        <v>24</v>
      </c>
      <c r="JX58" s="235">
        <f t="shared" si="18"/>
        <v>24</v>
      </c>
      <c r="JY58" s="235">
        <f t="shared" si="19"/>
        <v>0</v>
      </c>
      <c r="JZ58" s="235">
        <f t="shared" si="20"/>
        <v>24</v>
      </c>
      <c r="KA58" s="237">
        <f t="shared" si="21"/>
        <v>24</v>
      </c>
      <c r="KB58" s="248">
        <v>46076</v>
      </c>
      <c r="KC58" s="201">
        <v>2.1589999999999998</v>
      </c>
      <c r="KD58" s="201">
        <v>2.1560000000000001</v>
      </c>
      <c r="KE58" s="201">
        <v>2.1509999999999998</v>
      </c>
      <c r="KF58" s="201">
        <v>2.153</v>
      </c>
      <c r="KG58" s="201">
        <v>2.157</v>
      </c>
      <c r="KH58" s="201">
        <v>2.157</v>
      </c>
      <c r="KI58" s="201">
        <v>2.15</v>
      </c>
      <c r="KJ58" s="201">
        <v>2.15</v>
      </c>
      <c r="KK58" s="201">
        <v>2.1659999999999999</v>
      </c>
      <c r="KL58" s="201">
        <v>2.1579999999999999</v>
      </c>
      <c r="KM58" s="201">
        <v>2.16</v>
      </c>
      <c r="KN58" s="202">
        <v>2.161</v>
      </c>
      <c r="KO58" s="202">
        <v>2.1579999999999999</v>
      </c>
      <c r="KP58" s="202">
        <v>2.157</v>
      </c>
      <c r="KQ58" s="202">
        <v>2.1579999999999999</v>
      </c>
      <c r="KR58" s="202">
        <v>2.16</v>
      </c>
      <c r="KS58" s="202">
        <v>2.153</v>
      </c>
      <c r="KT58" s="202">
        <v>2.1459999999999999</v>
      </c>
      <c r="KU58" s="202">
        <v>2.16</v>
      </c>
      <c r="KV58" s="202">
        <v>0</v>
      </c>
      <c r="KW58" s="202">
        <v>2.157</v>
      </c>
      <c r="KX58" s="202">
        <v>2.1680000000000001</v>
      </c>
      <c r="KY58" s="203">
        <v>45.295000000000009</v>
      </c>
    </row>
    <row r="59" spans="1:311">
      <c r="A59" s="194">
        <v>46077</v>
      </c>
      <c r="B59" s="195"/>
      <c r="C59" s="196"/>
      <c r="D59" s="196"/>
      <c r="E59" s="196"/>
      <c r="F59" s="196"/>
      <c r="G59" s="196"/>
      <c r="H59" s="206">
        <v>1</v>
      </c>
      <c r="I59" s="198">
        <v>0</v>
      </c>
      <c r="J59" s="198">
        <v>0</v>
      </c>
      <c r="K59" s="199">
        <v>0</v>
      </c>
      <c r="L59" s="195"/>
      <c r="M59" s="196"/>
      <c r="N59" s="196"/>
      <c r="O59" s="196"/>
      <c r="P59" s="196"/>
      <c r="Q59" s="196"/>
      <c r="R59" s="206">
        <v>1</v>
      </c>
      <c r="S59" s="198">
        <v>0</v>
      </c>
      <c r="T59" s="198">
        <v>0</v>
      </c>
      <c r="U59" s="199">
        <v>0</v>
      </c>
      <c r="V59" s="195"/>
      <c r="W59" s="196"/>
      <c r="X59" s="196"/>
      <c r="Y59" s="196"/>
      <c r="Z59" s="196"/>
      <c r="AA59" s="196"/>
      <c r="AB59" s="206">
        <v>1</v>
      </c>
      <c r="AC59" s="198">
        <v>0</v>
      </c>
      <c r="AD59" s="198">
        <v>0</v>
      </c>
      <c r="AE59" s="199">
        <v>0</v>
      </c>
      <c r="AF59" s="195"/>
      <c r="AG59" s="196"/>
      <c r="AH59" s="196"/>
      <c r="AI59" s="196"/>
      <c r="AJ59" s="196"/>
      <c r="AK59" s="196"/>
      <c r="AL59" s="206">
        <v>1</v>
      </c>
      <c r="AM59" s="198">
        <v>0</v>
      </c>
      <c r="AN59" s="198">
        <v>0</v>
      </c>
      <c r="AO59" s="199">
        <v>0</v>
      </c>
      <c r="AP59" s="195"/>
      <c r="AQ59" s="196"/>
      <c r="AR59" s="196"/>
      <c r="AS59" s="196"/>
      <c r="AT59" s="196"/>
      <c r="AU59" s="196"/>
      <c r="AV59" s="206">
        <v>1</v>
      </c>
      <c r="AW59" s="198">
        <v>0</v>
      </c>
      <c r="AX59" s="198">
        <v>0</v>
      </c>
      <c r="AY59" s="199">
        <v>0</v>
      </c>
      <c r="AZ59" s="195"/>
      <c r="BA59" s="196"/>
      <c r="BB59" s="196"/>
      <c r="BC59" s="196"/>
      <c r="BD59" s="196"/>
      <c r="BE59" s="196"/>
      <c r="BF59" s="206">
        <v>1</v>
      </c>
      <c r="BG59" s="198">
        <v>0</v>
      </c>
      <c r="BH59" s="198">
        <v>0</v>
      </c>
      <c r="BI59" s="199">
        <v>0</v>
      </c>
      <c r="BJ59" s="195"/>
      <c r="BK59" s="196"/>
      <c r="BL59" s="196"/>
      <c r="BM59" s="196"/>
      <c r="BN59" s="196"/>
      <c r="BO59" s="196"/>
      <c r="BP59" s="206">
        <v>1</v>
      </c>
      <c r="BQ59" s="198">
        <v>0</v>
      </c>
      <c r="BR59" s="198">
        <v>0</v>
      </c>
      <c r="BS59" s="199">
        <v>0</v>
      </c>
      <c r="BT59" s="195"/>
      <c r="BU59" s="196"/>
      <c r="BV59" s="196"/>
      <c r="BW59" s="196"/>
      <c r="BX59" s="196"/>
      <c r="BY59" s="196"/>
      <c r="BZ59" s="206">
        <v>1</v>
      </c>
      <c r="CA59" s="198">
        <v>0</v>
      </c>
      <c r="CB59" s="198">
        <v>0</v>
      </c>
      <c r="CC59" s="199">
        <v>0</v>
      </c>
      <c r="CD59" s="195"/>
      <c r="CE59" s="196"/>
      <c r="CF59" s="196"/>
      <c r="CG59" s="196"/>
      <c r="CH59" s="196"/>
      <c r="CI59" s="196"/>
      <c r="CJ59" s="206">
        <v>1</v>
      </c>
      <c r="CK59" s="198">
        <v>0</v>
      </c>
      <c r="CL59" s="198">
        <v>0</v>
      </c>
      <c r="CM59" s="199">
        <v>0</v>
      </c>
      <c r="CN59" s="195"/>
      <c r="CO59" s="196"/>
      <c r="CP59" s="196"/>
      <c r="CQ59" s="196"/>
      <c r="CR59" s="196"/>
      <c r="CS59" s="196"/>
      <c r="CT59" s="206">
        <v>1</v>
      </c>
      <c r="CU59" s="198">
        <v>0</v>
      </c>
      <c r="CV59" s="198">
        <v>0</v>
      </c>
      <c r="CW59" s="199">
        <v>0</v>
      </c>
      <c r="CX59" s="195"/>
      <c r="CY59" s="196"/>
      <c r="CZ59" s="196"/>
      <c r="DA59" s="196"/>
      <c r="DB59" s="196"/>
      <c r="DC59" s="196"/>
      <c r="DD59" s="206">
        <v>1</v>
      </c>
      <c r="DE59" s="198">
        <v>0</v>
      </c>
      <c r="DF59" s="198">
        <v>0</v>
      </c>
      <c r="DG59" s="199">
        <v>0</v>
      </c>
      <c r="DH59" s="195"/>
      <c r="DI59" s="196"/>
      <c r="DJ59" s="196"/>
      <c r="DK59" s="196"/>
      <c r="DL59" s="196"/>
      <c r="DM59" s="196"/>
      <c r="DN59" s="206">
        <v>1</v>
      </c>
      <c r="DO59" s="198">
        <v>0</v>
      </c>
      <c r="DP59" s="198">
        <v>0</v>
      </c>
      <c r="DQ59" s="199">
        <v>0</v>
      </c>
      <c r="DR59" s="195"/>
      <c r="DS59" s="196"/>
      <c r="DT59" s="196"/>
      <c r="DU59" s="196"/>
      <c r="DV59" s="196"/>
      <c r="DW59" s="196"/>
      <c r="DX59" s="206">
        <v>1</v>
      </c>
      <c r="DY59" s="198">
        <v>0</v>
      </c>
      <c r="DZ59" s="198">
        <v>0</v>
      </c>
      <c r="EA59" s="199">
        <v>0</v>
      </c>
      <c r="EB59" s="195"/>
      <c r="EC59" s="196"/>
      <c r="ED59" s="196"/>
      <c r="EE59" s="196"/>
      <c r="EF59" s="196"/>
      <c r="EG59" s="196"/>
      <c r="EH59" s="206">
        <v>1</v>
      </c>
      <c r="EI59" s="198">
        <v>0</v>
      </c>
      <c r="EJ59" s="198">
        <v>0</v>
      </c>
      <c r="EK59" s="199">
        <v>0</v>
      </c>
      <c r="EL59" s="195"/>
      <c r="EM59" s="196"/>
      <c r="EN59" s="196"/>
      <c r="EO59" s="196"/>
      <c r="EP59" s="196"/>
      <c r="EQ59" s="196"/>
      <c r="ER59" s="206">
        <v>1</v>
      </c>
      <c r="ES59" s="198">
        <v>0</v>
      </c>
      <c r="ET59" s="198">
        <v>0</v>
      </c>
      <c r="EU59" s="199">
        <v>0</v>
      </c>
      <c r="EV59" s="195"/>
      <c r="EW59" s="196"/>
      <c r="EX59" s="196"/>
      <c r="EY59" s="196"/>
      <c r="EZ59" s="196"/>
      <c r="FA59" s="196"/>
      <c r="FB59" s="206">
        <v>1</v>
      </c>
      <c r="FC59" s="198">
        <v>0</v>
      </c>
      <c r="FD59" s="198">
        <v>0</v>
      </c>
      <c r="FE59" s="199">
        <v>0</v>
      </c>
      <c r="FF59" s="195"/>
      <c r="FG59" s="196"/>
      <c r="FH59" s="196"/>
      <c r="FI59" s="196"/>
      <c r="FJ59" s="196"/>
      <c r="FK59" s="196"/>
      <c r="FL59" s="206">
        <v>1</v>
      </c>
      <c r="FM59" s="198">
        <v>0</v>
      </c>
      <c r="FN59" s="198">
        <v>0</v>
      </c>
      <c r="FO59" s="199">
        <v>0</v>
      </c>
      <c r="FP59" s="195"/>
      <c r="FQ59" s="196"/>
      <c r="FR59" s="196"/>
      <c r="FS59" s="196"/>
      <c r="FT59" s="196"/>
      <c r="FU59" s="196"/>
      <c r="FV59" s="206">
        <v>1</v>
      </c>
      <c r="FW59" s="198">
        <v>0</v>
      </c>
      <c r="FX59" s="198">
        <v>0</v>
      </c>
      <c r="FY59" s="199">
        <v>0</v>
      </c>
      <c r="FZ59" s="195"/>
      <c r="GA59" s="196"/>
      <c r="GB59" s="196"/>
      <c r="GC59" s="196"/>
      <c r="GD59" s="196"/>
      <c r="GE59" s="196"/>
      <c r="GF59" s="206">
        <v>1</v>
      </c>
      <c r="GG59" s="198">
        <v>0</v>
      </c>
      <c r="GH59" s="198">
        <v>0</v>
      </c>
      <c r="GI59" s="199">
        <v>0</v>
      </c>
      <c r="GJ59" s="195"/>
      <c r="GK59" s="196"/>
      <c r="GL59" s="196"/>
      <c r="GM59" s="196"/>
      <c r="GN59" s="196"/>
      <c r="GO59" s="196"/>
      <c r="GP59" s="200">
        <v>0</v>
      </c>
      <c r="GQ59" s="198">
        <v>0</v>
      </c>
      <c r="GR59" s="198">
        <v>0</v>
      </c>
      <c r="GS59" s="199">
        <v>0</v>
      </c>
      <c r="GT59" s="195"/>
      <c r="GU59" s="196"/>
      <c r="GV59" s="196"/>
      <c r="GW59" s="196"/>
      <c r="GX59" s="196"/>
      <c r="GY59" s="196"/>
      <c r="GZ59" s="206">
        <v>1</v>
      </c>
      <c r="HA59" s="198">
        <v>0</v>
      </c>
      <c r="HB59" s="198">
        <v>0</v>
      </c>
      <c r="HC59" s="199">
        <v>0</v>
      </c>
      <c r="HD59" s="195"/>
      <c r="HE59" s="196"/>
      <c r="HF59" s="196"/>
      <c r="HG59" s="196"/>
      <c r="HH59" s="196"/>
      <c r="HI59" s="196"/>
      <c r="HJ59" s="206">
        <v>1</v>
      </c>
      <c r="HK59" s="198">
        <v>0</v>
      </c>
      <c r="HL59" s="198">
        <v>0</v>
      </c>
      <c r="HM59" s="199">
        <v>0</v>
      </c>
      <c r="HN59" s="204">
        <v>1</v>
      </c>
      <c r="HO59" s="205">
        <v>0</v>
      </c>
      <c r="HP59" s="204">
        <v>1</v>
      </c>
      <c r="HQ59" s="205">
        <v>0</v>
      </c>
      <c r="HR59" s="204">
        <v>1</v>
      </c>
      <c r="HS59" s="205">
        <v>0</v>
      </c>
      <c r="HT59" s="204">
        <v>1</v>
      </c>
      <c r="HU59" s="205">
        <v>0</v>
      </c>
      <c r="HV59" s="204">
        <v>1</v>
      </c>
      <c r="HW59" s="205">
        <v>0</v>
      </c>
      <c r="HX59" s="204">
        <v>1</v>
      </c>
      <c r="HY59" s="205">
        <v>0</v>
      </c>
      <c r="HZ59" s="204">
        <v>1</v>
      </c>
      <c r="IA59" s="205">
        <v>0</v>
      </c>
      <c r="IB59" s="204">
        <v>1</v>
      </c>
      <c r="IC59" s="205">
        <v>0</v>
      </c>
      <c r="ID59" s="204">
        <v>1</v>
      </c>
      <c r="IE59" s="205">
        <v>0</v>
      </c>
      <c r="IF59" s="204">
        <v>1</v>
      </c>
      <c r="IG59" s="205">
        <v>0</v>
      </c>
      <c r="IH59" s="204">
        <v>1</v>
      </c>
      <c r="II59" s="205">
        <v>0</v>
      </c>
      <c r="IJ59" s="204">
        <v>1</v>
      </c>
      <c r="IK59" s="205">
        <v>0</v>
      </c>
      <c r="IL59" s="204">
        <v>1</v>
      </c>
      <c r="IM59" s="205">
        <v>0</v>
      </c>
      <c r="IN59" s="204">
        <v>1</v>
      </c>
      <c r="IO59" s="205">
        <v>0</v>
      </c>
      <c r="IP59" s="204">
        <v>1</v>
      </c>
      <c r="IQ59" s="205">
        <v>0</v>
      </c>
      <c r="IR59" s="204">
        <v>1</v>
      </c>
      <c r="IS59" s="205">
        <v>0</v>
      </c>
      <c r="IT59" s="204">
        <v>1</v>
      </c>
      <c r="IU59" s="205">
        <v>0</v>
      </c>
      <c r="IV59" s="204">
        <v>1</v>
      </c>
      <c r="IW59" s="205">
        <v>0</v>
      </c>
      <c r="IX59" s="204">
        <v>1</v>
      </c>
      <c r="IY59" s="205">
        <v>0</v>
      </c>
      <c r="IZ59" s="204">
        <v>0</v>
      </c>
      <c r="JA59" s="205">
        <v>0</v>
      </c>
      <c r="JB59" s="204">
        <v>1</v>
      </c>
      <c r="JC59" s="205">
        <v>0</v>
      </c>
      <c r="JD59" s="204">
        <v>1</v>
      </c>
      <c r="JE59" s="233">
        <v>0</v>
      </c>
      <c r="JF59" s="236">
        <f t="shared" si="0"/>
        <v>24</v>
      </c>
      <c r="JG59" s="235">
        <f t="shared" si="1"/>
        <v>24</v>
      </c>
      <c r="JH59" s="235">
        <f t="shared" si="2"/>
        <v>24</v>
      </c>
      <c r="JI59" s="235">
        <f t="shared" si="3"/>
        <v>24</v>
      </c>
      <c r="JJ59" s="235">
        <f t="shared" si="4"/>
        <v>24</v>
      </c>
      <c r="JK59" s="235">
        <f t="shared" si="5"/>
        <v>24</v>
      </c>
      <c r="JL59" s="235">
        <f t="shared" si="6"/>
        <v>24</v>
      </c>
      <c r="JM59" s="235">
        <f t="shared" si="7"/>
        <v>24</v>
      </c>
      <c r="JN59" s="235">
        <f t="shared" si="8"/>
        <v>24</v>
      </c>
      <c r="JO59" s="235">
        <f t="shared" si="9"/>
        <v>24</v>
      </c>
      <c r="JP59" s="235">
        <f t="shared" si="10"/>
        <v>24</v>
      </c>
      <c r="JQ59" s="235">
        <f t="shared" si="11"/>
        <v>24</v>
      </c>
      <c r="JR59" s="235">
        <f t="shared" si="12"/>
        <v>24</v>
      </c>
      <c r="JS59" s="235">
        <f t="shared" si="13"/>
        <v>24</v>
      </c>
      <c r="JT59" s="235">
        <f t="shared" si="14"/>
        <v>24</v>
      </c>
      <c r="JU59" s="235">
        <f t="shared" si="15"/>
        <v>24</v>
      </c>
      <c r="JV59" s="235">
        <f t="shared" si="16"/>
        <v>24</v>
      </c>
      <c r="JW59" s="235">
        <f t="shared" si="17"/>
        <v>24</v>
      </c>
      <c r="JX59" s="235">
        <f t="shared" si="18"/>
        <v>24</v>
      </c>
      <c r="JY59" s="235">
        <f t="shared" si="19"/>
        <v>0</v>
      </c>
      <c r="JZ59" s="235">
        <f t="shared" si="20"/>
        <v>24</v>
      </c>
      <c r="KA59" s="237">
        <f t="shared" si="21"/>
        <v>24</v>
      </c>
      <c r="KB59" s="248">
        <v>46077</v>
      </c>
      <c r="KC59" s="201">
        <v>2.0920000000000001</v>
      </c>
      <c r="KD59" s="201">
        <v>2.09</v>
      </c>
      <c r="KE59" s="201">
        <v>2.0840000000000001</v>
      </c>
      <c r="KF59" s="201">
        <v>2.0859999999999999</v>
      </c>
      <c r="KG59" s="201">
        <v>2.0920000000000001</v>
      </c>
      <c r="KH59" s="201">
        <v>2.0920000000000001</v>
      </c>
      <c r="KI59" s="201">
        <v>2.081</v>
      </c>
      <c r="KJ59" s="201">
        <v>2.0870000000000002</v>
      </c>
      <c r="KK59" s="201">
        <v>2.0979999999999999</v>
      </c>
      <c r="KL59" s="201">
        <v>2.0920000000000001</v>
      </c>
      <c r="KM59" s="201">
        <v>2.0960000000000001</v>
      </c>
      <c r="KN59" s="202">
        <v>2.0939999999999999</v>
      </c>
      <c r="KO59" s="202">
        <v>1.98</v>
      </c>
      <c r="KP59" s="202">
        <v>2.089</v>
      </c>
      <c r="KQ59" s="202">
        <v>2.0910000000000002</v>
      </c>
      <c r="KR59" s="202">
        <v>2.093</v>
      </c>
      <c r="KS59" s="202">
        <v>2.09</v>
      </c>
      <c r="KT59" s="202">
        <v>2.0790000000000002</v>
      </c>
      <c r="KU59" s="202">
        <v>2.0920000000000001</v>
      </c>
      <c r="KV59" s="202">
        <v>0</v>
      </c>
      <c r="KW59" s="202">
        <v>2.093</v>
      </c>
      <c r="KX59" s="202">
        <v>2.101</v>
      </c>
      <c r="KY59" s="203">
        <v>43.792000000000002</v>
      </c>
    </row>
    <row r="60" spans="1:311">
      <c r="A60" s="194">
        <v>46078</v>
      </c>
      <c r="B60" s="195"/>
      <c r="C60" s="196"/>
      <c r="D60" s="196"/>
      <c r="E60" s="196"/>
      <c r="F60" s="196"/>
      <c r="G60" s="196"/>
      <c r="H60" s="206">
        <v>1</v>
      </c>
      <c r="I60" s="198">
        <v>0</v>
      </c>
      <c r="J60" s="198">
        <v>0</v>
      </c>
      <c r="K60" s="199">
        <v>0</v>
      </c>
      <c r="L60" s="195"/>
      <c r="M60" s="196"/>
      <c r="N60" s="196"/>
      <c r="O60" s="196"/>
      <c r="P60" s="196"/>
      <c r="Q60" s="196"/>
      <c r="R60" s="206">
        <v>1</v>
      </c>
      <c r="S60" s="198">
        <v>0</v>
      </c>
      <c r="T60" s="198">
        <v>0</v>
      </c>
      <c r="U60" s="199">
        <v>0</v>
      </c>
      <c r="V60" s="195"/>
      <c r="W60" s="196"/>
      <c r="X60" s="196"/>
      <c r="Y60" s="196"/>
      <c r="Z60" s="196"/>
      <c r="AA60" s="196"/>
      <c r="AB60" s="206">
        <v>1</v>
      </c>
      <c r="AC60" s="198">
        <v>0</v>
      </c>
      <c r="AD60" s="198">
        <v>0</v>
      </c>
      <c r="AE60" s="199">
        <v>0</v>
      </c>
      <c r="AF60" s="195"/>
      <c r="AG60" s="196"/>
      <c r="AH60" s="196"/>
      <c r="AI60" s="196"/>
      <c r="AJ60" s="196"/>
      <c r="AK60" s="196"/>
      <c r="AL60" s="206">
        <v>1</v>
      </c>
      <c r="AM60" s="198">
        <v>0</v>
      </c>
      <c r="AN60" s="198">
        <v>0</v>
      </c>
      <c r="AO60" s="199">
        <v>0</v>
      </c>
      <c r="AP60" s="195"/>
      <c r="AQ60" s="196"/>
      <c r="AR60" s="196"/>
      <c r="AS60" s="196"/>
      <c r="AT60" s="196"/>
      <c r="AU60" s="196"/>
      <c r="AV60" s="206">
        <v>1</v>
      </c>
      <c r="AW60" s="198">
        <v>0</v>
      </c>
      <c r="AX60" s="198">
        <v>0</v>
      </c>
      <c r="AY60" s="199">
        <v>0</v>
      </c>
      <c r="AZ60" s="195"/>
      <c r="BA60" s="196"/>
      <c r="BB60" s="196"/>
      <c r="BC60" s="196"/>
      <c r="BD60" s="196"/>
      <c r="BE60" s="196"/>
      <c r="BF60" s="206">
        <v>1</v>
      </c>
      <c r="BG60" s="198">
        <v>0</v>
      </c>
      <c r="BH60" s="198">
        <v>0</v>
      </c>
      <c r="BI60" s="199">
        <v>0</v>
      </c>
      <c r="BJ60" s="195"/>
      <c r="BK60" s="196"/>
      <c r="BL60" s="196"/>
      <c r="BM60" s="196"/>
      <c r="BN60" s="196"/>
      <c r="BO60" s="196"/>
      <c r="BP60" s="206">
        <v>1</v>
      </c>
      <c r="BQ60" s="198">
        <v>0</v>
      </c>
      <c r="BR60" s="198">
        <v>0</v>
      </c>
      <c r="BS60" s="199">
        <v>0</v>
      </c>
      <c r="BT60" s="195"/>
      <c r="BU60" s="196"/>
      <c r="BV60" s="196"/>
      <c r="BW60" s="196"/>
      <c r="BX60" s="196"/>
      <c r="BY60" s="196"/>
      <c r="BZ60" s="206">
        <v>1</v>
      </c>
      <c r="CA60" s="198">
        <v>0</v>
      </c>
      <c r="CB60" s="198">
        <v>0</v>
      </c>
      <c r="CC60" s="199">
        <v>0</v>
      </c>
      <c r="CD60" s="195"/>
      <c r="CE60" s="196"/>
      <c r="CF60" s="196"/>
      <c r="CG60" s="196"/>
      <c r="CH60" s="196"/>
      <c r="CI60" s="196"/>
      <c r="CJ60" s="206">
        <v>1</v>
      </c>
      <c r="CK60" s="198">
        <v>0</v>
      </c>
      <c r="CL60" s="198">
        <v>0</v>
      </c>
      <c r="CM60" s="199">
        <v>0</v>
      </c>
      <c r="CN60" s="195"/>
      <c r="CO60" s="196"/>
      <c r="CP60" s="196"/>
      <c r="CQ60" s="196"/>
      <c r="CR60" s="196"/>
      <c r="CS60" s="196"/>
      <c r="CT60" s="206">
        <v>1</v>
      </c>
      <c r="CU60" s="198">
        <v>0</v>
      </c>
      <c r="CV60" s="198">
        <v>0</v>
      </c>
      <c r="CW60" s="199">
        <v>0</v>
      </c>
      <c r="CX60" s="195"/>
      <c r="CY60" s="196"/>
      <c r="CZ60" s="196"/>
      <c r="DA60" s="196"/>
      <c r="DB60" s="196"/>
      <c r="DC60" s="196"/>
      <c r="DD60" s="206">
        <v>1</v>
      </c>
      <c r="DE60" s="198">
        <v>0</v>
      </c>
      <c r="DF60" s="198">
        <v>0</v>
      </c>
      <c r="DG60" s="199">
        <v>0</v>
      </c>
      <c r="DH60" s="195"/>
      <c r="DI60" s="196"/>
      <c r="DJ60" s="196"/>
      <c r="DK60" s="196"/>
      <c r="DL60" s="196"/>
      <c r="DM60" s="196"/>
      <c r="DN60" s="206">
        <v>1</v>
      </c>
      <c r="DO60" s="198">
        <v>0</v>
      </c>
      <c r="DP60" s="198">
        <v>0</v>
      </c>
      <c r="DQ60" s="199">
        <v>0</v>
      </c>
      <c r="DR60" s="195"/>
      <c r="DS60" s="196"/>
      <c r="DT60" s="196"/>
      <c r="DU60" s="196"/>
      <c r="DV60" s="196"/>
      <c r="DW60" s="196"/>
      <c r="DX60" s="206">
        <v>1</v>
      </c>
      <c r="DY60" s="198">
        <v>0</v>
      </c>
      <c r="DZ60" s="198">
        <v>0</v>
      </c>
      <c r="EA60" s="199">
        <v>0</v>
      </c>
      <c r="EB60" s="195"/>
      <c r="EC60" s="196"/>
      <c r="ED60" s="196"/>
      <c r="EE60" s="196"/>
      <c r="EF60" s="196"/>
      <c r="EG60" s="196"/>
      <c r="EH60" s="206">
        <v>1</v>
      </c>
      <c r="EI60" s="198">
        <v>0</v>
      </c>
      <c r="EJ60" s="198">
        <v>0</v>
      </c>
      <c r="EK60" s="199">
        <v>0</v>
      </c>
      <c r="EL60" s="195"/>
      <c r="EM60" s="196"/>
      <c r="EN60" s="196"/>
      <c r="EO60" s="196"/>
      <c r="EP60" s="196"/>
      <c r="EQ60" s="196"/>
      <c r="ER60" s="206">
        <v>1</v>
      </c>
      <c r="ES60" s="198">
        <v>0</v>
      </c>
      <c r="ET60" s="198">
        <v>0</v>
      </c>
      <c r="EU60" s="199">
        <v>0</v>
      </c>
      <c r="EV60" s="195"/>
      <c r="EW60" s="196"/>
      <c r="EX60" s="196"/>
      <c r="EY60" s="196"/>
      <c r="EZ60" s="196"/>
      <c r="FA60" s="196"/>
      <c r="FB60" s="206">
        <v>1</v>
      </c>
      <c r="FC60" s="198">
        <v>0</v>
      </c>
      <c r="FD60" s="198">
        <v>0</v>
      </c>
      <c r="FE60" s="199">
        <v>0</v>
      </c>
      <c r="FF60" s="195"/>
      <c r="FG60" s="196"/>
      <c r="FH60" s="196"/>
      <c r="FI60" s="196"/>
      <c r="FJ60" s="196"/>
      <c r="FK60" s="196"/>
      <c r="FL60" s="206">
        <v>1</v>
      </c>
      <c r="FM60" s="198">
        <v>0</v>
      </c>
      <c r="FN60" s="198">
        <v>0</v>
      </c>
      <c r="FO60" s="199">
        <v>0</v>
      </c>
      <c r="FP60" s="195"/>
      <c r="FQ60" s="196"/>
      <c r="FR60" s="196"/>
      <c r="FS60" s="196"/>
      <c r="FT60" s="196"/>
      <c r="FU60" s="196"/>
      <c r="FV60" s="206">
        <v>1</v>
      </c>
      <c r="FW60" s="198">
        <v>0</v>
      </c>
      <c r="FX60" s="198">
        <v>0</v>
      </c>
      <c r="FY60" s="199">
        <v>0</v>
      </c>
      <c r="FZ60" s="195"/>
      <c r="GA60" s="196"/>
      <c r="GB60" s="196"/>
      <c r="GC60" s="196"/>
      <c r="GD60" s="196"/>
      <c r="GE60" s="196"/>
      <c r="GF60" s="206">
        <v>1</v>
      </c>
      <c r="GG60" s="198">
        <v>0</v>
      </c>
      <c r="GH60" s="198">
        <v>0</v>
      </c>
      <c r="GI60" s="199">
        <v>0</v>
      </c>
      <c r="GJ60" s="195">
        <v>0.54861111111111116</v>
      </c>
      <c r="GK60" s="196"/>
      <c r="GL60" s="196"/>
      <c r="GM60" s="196"/>
      <c r="GN60" s="196"/>
      <c r="GO60" s="196"/>
      <c r="GP60" s="200">
        <v>0.45138888888888884</v>
      </c>
      <c r="GQ60" s="198">
        <v>10</v>
      </c>
      <c r="GR60" s="198">
        <v>50</v>
      </c>
      <c r="GS60" s="199">
        <v>1</v>
      </c>
      <c r="GT60" s="195"/>
      <c r="GU60" s="196"/>
      <c r="GV60" s="196"/>
      <c r="GW60" s="196"/>
      <c r="GX60" s="196"/>
      <c r="GY60" s="196"/>
      <c r="GZ60" s="206">
        <v>1</v>
      </c>
      <c r="HA60" s="198">
        <v>0</v>
      </c>
      <c r="HB60" s="198">
        <v>0</v>
      </c>
      <c r="HC60" s="199">
        <v>0</v>
      </c>
      <c r="HD60" s="195"/>
      <c r="HE60" s="196"/>
      <c r="HF60" s="196"/>
      <c r="HG60" s="196"/>
      <c r="HH60" s="196"/>
      <c r="HI60" s="196"/>
      <c r="HJ60" s="206">
        <v>1</v>
      </c>
      <c r="HK60" s="198">
        <v>0</v>
      </c>
      <c r="HL60" s="198">
        <v>0</v>
      </c>
      <c r="HM60" s="199">
        <v>0</v>
      </c>
      <c r="HN60" s="204">
        <v>1</v>
      </c>
      <c r="HO60" s="205">
        <v>0</v>
      </c>
      <c r="HP60" s="204">
        <v>1</v>
      </c>
      <c r="HQ60" s="205">
        <v>0</v>
      </c>
      <c r="HR60" s="204">
        <v>1</v>
      </c>
      <c r="HS60" s="205">
        <v>0</v>
      </c>
      <c r="HT60" s="204">
        <v>1</v>
      </c>
      <c r="HU60" s="205">
        <v>0</v>
      </c>
      <c r="HV60" s="204">
        <v>1</v>
      </c>
      <c r="HW60" s="205">
        <v>0</v>
      </c>
      <c r="HX60" s="204">
        <v>1</v>
      </c>
      <c r="HY60" s="205">
        <v>0</v>
      </c>
      <c r="HZ60" s="204">
        <v>1</v>
      </c>
      <c r="IA60" s="205">
        <v>0</v>
      </c>
      <c r="IB60" s="204">
        <v>1</v>
      </c>
      <c r="IC60" s="205">
        <v>0</v>
      </c>
      <c r="ID60" s="204">
        <v>1</v>
      </c>
      <c r="IE60" s="205">
        <v>0</v>
      </c>
      <c r="IF60" s="204">
        <v>1</v>
      </c>
      <c r="IG60" s="205">
        <v>0</v>
      </c>
      <c r="IH60" s="204">
        <v>1</v>
      </c>
      <c r="II60" s="205">
        <v>0</v>
      </c>
      <c r="IJ60" s="204">
        <v>1</v>
      </c>
      <c r="IK60" s="205">
        <v>0</v>
      </c>
      <c r="IL60" s="204">
        <v>1</v>
      </c>
      <c r="IM60" s="205">
        <v>0</v>
      </c>
      <c r="IN60" s="204">
        <v>1</v>
      </c>
      <c r="IO60" s="205">
        <v>0</v>
      </c>
      <c r="IP60" s="204">
        <v>1</v>
      </c>
      <c r="IQ60" s="205">
        <v>0</v>
      </c>
      <c r="IR60" s="204">
        <v>1</v>
      </c>
      <c r="IS60" s="205">
        <v>0</v>
      </c>
      <c r="IT60" s="204">
        <v>1</v>
      </c>
      <c r="IU60" s="205">
        <v>0</v>
      </c>
      <c r="IV60" s="204">
        <v>1</v>
      </c>
      <c r="IW60" s="205">
        <v>0</v>
      </c>
      <c r="IX60" s="204">
        <v>1</v>
      </c>
      <c r="IY60" s="205">
        <v>0</v>
      </c>
      <c r="IZ60" s="204">
        <v>0.45138888888888884</v>
      </c>
      <c r="JA60" s="205">
        <v>1</v>
      </c>
      <c r="JB60" s="204">
        <v>1</v>
      </c>
      <c r="JC60" s="205">
        <v>0</v>
      </c>
      <c r="JD60" s="204">
        <v>1</v>
      </c>
      <c r="JE60" s="233">
        <v>0</v>
      </c>
      <c r="JF60" s="236">
        <f t="shared" si="0"/>
        <v>24</v>
      </c>
      <c r="JG60" s="235">
        <f t="shared" si="1"/>
        <v>24</v>
      </c>
      <c r="JH60" s="235">
        <f t="shared" si="2"/>
        <v>24</v>
      </c>
      <c r="JI60" s="235">
        <f t="shared" si="3"/>
        <v>24</v>
      </c>
      <c r="JJ60" s="235">
        <f t="shared" si="4"/>
        <v>24</v>
      </c>
      <c r="JK60" s="235">
        <f t="shared" si="5"/>
        <v>24</v>
      </c>
      <c r="JL60" s="235">
        <f t="shared" si="6"/>
        <v>24</v>
      </c>
      <c r="JM60" s="235">
        <f t="shared" si="7"/>
        <v>24</v>
      </c>
      <c r="JN60" s="235">
        <f t="shared" si="8"/>
        <v>24</v>
      </c>
      <c r="JO60" s="235">
        <f t="shared" si="9"/>
        <v>24</v>
      </c>
      <c r="JP60" s="235">
        <f t="shared" si="10"/>
        <v>24</v>
      </c>
      <c r="JQ60" s="235">
        <f t="shared" si="11"/>
        <v>24</v>
      </c>
      <c r="JR60" s="235">
        <f t="shared" si="12"/>
        <v>24</v>
      </c>
      <c r="JS60" s="235">
        <f t="shared" si="13"/>
        <v>24</v>
      </c>
      <c r="JT60" s="235">
        <f t="shared" si="14"/>
        <v>24</v>
      </c>
      <c r="JU60" s="235">
        <f t="shared" si="15"/>
        <v>24</v>
      </c>
      <c r="JV60" s="235">
        <f t="shared" si="16"/>
        <v>24</v>
      </c>
      <c r="JW60" s="235">
        <f t="shared" si="17"/>
        <v>24</v>
      </c>
      <c r="JX60" s="235">
        <f t="shared" si="18"/>
        <v>24</v>
      </c>
      <c r="JY60" s="235">
        <f t="shared" si="19"/>
        <v>10.833333333333332</v>
      </c>
      <c r="JZ60" s="235">
        <f t="shared" si="20"/>
        <v>24</v>
      </c>
      <c r="KA60" s="237">
        <f t="shared" si="21"/>
        <v>24</v>
      </c>
      <c r="KB60" s="248">
        <v>46078</v>
      </c>
      <c r="KC60" s="201">
        <v>2.1419999999999999</v>
      </c>
      <c r="KD60" s="201">
        <v>2.14</v>
      </c>
      <c r="KE60" s="201">
        <v>2.1339999999999999</v>
      </c>
      <c r="KF60" s="201">
        <v>2.1360000000000001</v>
      </c>
      <c r="KG60" s="201">
        <v>2.141</v>
      </c>
      <c r="KH60" s="201">
        <v>2.141</v>
      </c>
      <c r="KI60" s="201">
        <v>2.1309999999999998</v>
      </c>
      <c r="KJ60" s="201">
        <v>2.1349999999999998</v>
      </c>
      <c r="KK60" s="201">
        <v>2.1469999999999998</v>
      </c>
      <c r="KL60" s="201">
        <v>2.1419999999999999</v>
      </c>
      <c r="KM60" s="201">
        <v>2.1440000000000001</v>
      </c>
      <c r="KN60" s="202">
        <v>2.1429999999999998</v>
      </c>
      <c r="KO60" s="202">
        <v>2.1389999999999998</v>
      </c>
      <c r="KP60" s="202">
        <v>2.1389999999999998</v>
      </c>
      <c r="KQ60" s="202">
        <v>2.141</v>
      </c>
      <c r="KR60" s="202">
        <v>2.1429999999999998</v>
      </c>
      <c r="KS60" s="202">
        <v>2.1389999999999998</v>
      </c>
      <c r="KT60" s="202">
        <v>2.1280000000000001</v>
      </c>
      <c r="KU60" s="202">
        <v>2.1419999999999999</v>
      </c>
      <c r="KV60" s="202">
        <v>0.93700000000000006</v>
      </c>
      <c r="KW60" s="202">
        <v>2.1419999999999999</v>
      </c>
      <c r="KX60" s="202">
        <v>2.1480000000000001</v>
      </c>
      <c r="KY60" s="203">
        <v>45.874000000000009</v>
      </c>
    </row>
    <row r="61" spans="1:311">
      <c r="A61" s="194">
        <v>46079</v>
      </c>
      <c r="B61" s="195"/>
      <c r="C61" s="196"/>
      <c r="D61" s="196"/>
      <c r="E61" s="196"/>
      <c r="F61" s="196"/>
      <c r="G61" s="196"/>
      <c r="H61" s="206">
        <v>1</v>
      </c>
      <c r="I61" s="198">
        <v>0</v>
      </c>
      <c r="J61" s="198">
        <v>0</v>
      </c>
      <c r="K61" s="199">
        <v>0</v>
      </c>
      <c r="L61" s="195"/>
      <c r="M61" s="196"/>
      <c r="N61" s="196"/>
      <c r="O61" s="196"/>
      <c r="P61" s="196"/>
      <c r="Q61" s="196"/>
      <c r="R61" s="206">
        <v>1</v>
      </c>
      <c r="S61" s="198">
        <v>0</v>
      </c>
      <c r="T61" s="198">
        <v>0</v>
      </c>
      <c r="U61" s="199">
        <v>0</v>
      </c>
      <c r="V61" s="195"/>
      <c r="W61" s="196"/>
      <c r="X61" s="196"/>
      <c r="Y61" s="196"/>
      <c r="Z61" s="196"/>
      <c r="AA61" s="196"/>
      <c r="AB61" s="206">
        <v>1</v>
      </c>
      <c r="AC61" s="198">
        <v>0</v>
      </c>
      <c r="AD61" s="198">
        <v>0</v>
      </c>
      <c r="AE61" s="199">
        <v>0</v>
      </c>
      <c r="AF61" s="195"/>
      <c r="AG61" s="196"/>
      <c r="AH61" s="196"/>
      <c r="AI61" s="196"/>
      <c r="AJ61" s="196"/>
      <c r="AK61" s="196"/>
      <c r="AL61" s="206">
        <v>1</v>
      </c>
      <c r="AM61" s="198">
        <v>0</v>
      </c>
      <c r="AN61" s="198">
        <v>0</v>
      </c>
      <c r="AO61" s="199">
        <v>0</v>
      </c>
      <c r="AP61" s="195"/>
      <c r="AQ61" s="196"/>
      <c r="AR61" s="196"/>
      <c r="AS61" s="196"/>
      <c r="AT61" s="196"/>
      <c r="AU61" s="196"/>
      <c r="AV61" s="206">
        <v>1</v>
      </c>
      <c r="AW61" s="198">
        <v>0</v>
      </c>
      <c r="AX61" s="198">
        <v>0</v>
      </c>
      <c r="AY61" s="199">
        <v>0</v>
      </c>
      <c r="AZ61" s="195"/>
      <c r="BA61" s="196"/>
      <c r="BB61" s="196"/>
      <c r="BC61" s="196"/>
      <c r="BD61" s="196"/>
      <c r="BE61" s="196"/>
      <c r="BF61" s="206">
        <v>1</v>
      </c>
      <c r="BG61" s="198">
        <v>0</v>
      </c>
      <c r="BH61" s="198">
        <v>0</v>
      </c>
      <c r="BI61" s="199">
        <v>0</v>
      </c>
      <c r="BJ61" s="195"/>
      <c r="BK61" s="196"/>
      <c r="BL61" s="196"/>
      <c r="BM61" s="196"/>
      <c r="BN61" s="196"/>
      <c r="BO61" s="196"/>
      <c r="BP61" s="206">
        <v>1</v>
      </c>
      <c r="BQ61" s="198">
        <v>0</v>
      </c>
      <c r="BR61" s="198">
        <v>0</v>
      </c>
      <c r="BS61" s="199">
        <v>0</v>
      </c>
      <c r="BT61" s="195"/>
      <c r="BU61" s="196"/>
      <c r="BV61" s="196"/>
      <c r="BW61" s="196"/>
      <c r="BX61" s="196"/>
      <c r="BY61" s="196"/>
      <c r="BZ61" s="206">
        <v>1</v>
      </c>
      <c r="CA61" s="198">
        <v>0</v>
      </c>
      <c r="CB61" s="198">
        <v>0</v>
      </c>
      <c r="CC61" s="199">
        <v>0</v>
      </c>
      <c r="CD61" s="195"/>
      <c r="CE61" s="196"/>
      <c r="CF61" s="196"/>
      <c r="CG61" s="196"/>
      <c r="CH61" s="196"/>
      <c r="CI61" s="196"/>
      <c r="CJ61" s="206">
        <v>1</v>
      </c>
      <c r="CK61" s="198">
        <v>0</v>
      </c>
      <c r="CL61" s="198">
        <v>0</v>
      </c>
      <c r="CM61" s="199">
        <v>0</v>
      </c>
      <c r="CN61" s="195"/>
      <c r="CO61" s="196"/>
      <c r="CP61" s="196"/>
      <c r="CQ61" s="196"/>
      <c r="CR61" s="196"/>
      <c r="CS61" s="196"/>
      <c r="CT61" s="206">
        <v>1</v>
      </c>
      <c r="CU61" s="198">
        <v>0</v>
      </c>
      <c r="CV61" s="198">
        <v>0</v>
      </c>
      <c r="CW61" s="199">
        <v>0</v>
      </c>
      <c r="CX61" s="195"/>
      <c r="CY61" s="196"/>
      <c r="CZ61" s="196"/>
      <c r="DA61" s="196"/>
      <c r="DB61" s="196"/>
      <c r="DC61" s="196"/>
      <c r="DD61" s="206">
        <v>1</v>
      </c>
      <c r="DE61" s="198">
        <v>0</v>
      </c>
      <c r="DF61" s="198">
        <v>0</v>
      </c>
      <c r="DG61" s="199">
        <v>0</v>
      </c>
      <c r="DH61" s="195"/>
      <c r="DI61" s="196"/>
      <c r="DJ61" s="196"/>
      <c r="DK61" s="196"/>
      <c r="DL61" s="196"/>
      <c r="DM61" s="196"/>
      <c r="DN61" s="206">
        <v>1</v>
      </c>
      <c r="DO61" s="198">
        <v>0</v>
      </c>
      <c r="DP61" s="198">
        <v>0</v>
      </c>
      <c r="DQ61" s="199">
        <v>0</v>
      </c>
      <c r="DR61" s="195"/>
      <c r="DS61" s="196"/>
      <c r="DT61" s="196"/>
      <c r="DU61" s="196"/>
      <c r="DV61" s="196"/>
      <c r="DW61" s="196"/>
      <c r="DX61" s="206">
        <v>1</v>
      </c>
      <c r="DY61" s="198">
        <v>0</v>
      </c>
      <c r="DZ61" s="198">
        <v>0</v>
      </c>
      <c r="EA61" s="199">
        <v>0</v>
      </c>
      <c r="EB61" s="195"/>
      <c r="EC61" s="196"/>
      <c r="ED61" s="196"/>
      <c r="EE61" s="196"/>
      <c r="EF61" s="196"/>
      <c r="EG61" s="196"/>
      <c r="EH61" s="206">
        <v>1</v>
      </c>
      <c r="EI61" s="198">
        <v>0</v>
      </c>
      <c r="EJ61" s="198">
        <v>0</v>
      </c>
      <c r="EK61" s="199">
        <v>0</v>
      </c>
      <c r="EL61" s="195"/>
      <c r="EM61" s="196"/>
      <c r="EN61" s="196"/>
      <c r="EO61" s="196"/>
      <c r="EP61" s="196"/>
      <c r="EQ61" s="196"/>
      <c r="ER61" s="206">
        <v>1</v>
      </c>
      <c r="ES61" s="198">
        <v>0</v>
      </c>
      <c r="ET61" s="198">
        <v>0</v>
      </c>
      <c r="EU61" s="199">
        <v>0</v>
      </c>
      <c r="EV61" s="195"/>
      <c r="EW61" s="196"/>
      <c r="EX61" s="196"/>
      <c r="EY61" s="196"/>
      <c r="EZ61" s="196"/>
      <c r="FA61" s="196"/>
      <c r="FB61" s="206">
        <v>1</v>
      </c>
      <c r="FC61" s="198">
        <v>0</v>
      </c>
      <c r="FD61" s="198">
        <v>0</v>
      </c>
      <c r="FE61" s="199">
        <v>0</v>
      </c>
      <c r="FF61" s="195"/>
      <c r="FG61" s="196"/>
      <c r="FH61" s="196"/>
      <c r="FI61" s="196"/>
      <c r="FJ61" s="196"/>
      <c r="FK61" s="196"/>
      <c r="FL61" s="206">
        <v>1</v>
      </c>
      <c r="FM61" s="198">
        <v>0</v>
      </c>
      <c r="FN61" s="198">
        <v>0</v>
      </c>
      <c r="FO61" s="199">
        <v>0</v>
      </c>
      <c r="FP61" s="195"/>
      <c r="FQ61" s="196"/>
      <c r="FR61" s="196"/>
      <c r="FS61" s="196"/>
      <c r="FT61" s="196"/>
      <c r="FU61" s="196"/>
      <c r="FV61" s="206">
        <v>1</v>
      </c>
      <c r="FW61" s="198">
        <v>0</v>
      </c>
      <c r="FX61" s="198">
        <v>0</v>
      </c>
      <c r="FY61" s="199">
        <v>0</v>
      </c>
      <c r="FZ61" s="195"/>
      <c r="GA61" s="196"/>
      <c r="GB61" s="196"/>
      <c r="GC61" s="196"/>
      <c r="GD61" s="196"/>
      <c r="GE61" s="196"/>
      <c r="GF61" s="206">
        <v>1</v>
      </c>
      <c r="GG61" s="198">
        <v>0</v>
      </c>
      <c r="GH61" s="198">
        <v>0</v>
      </c>
      <c r="GI61" s="199">
        <v>0</v>
      </c>
      <c r="GJ61" s="195"/>
      <c r="GK61" s="196"/>
      <c r="GL61" s="196"/>
      <c r="GM61" s="196"/>
      <c r="GN61" s="196"/>
      <c r="GO61" s="196"/>
      <c r="GP61" s="206">
        <v>1</v>
      </c>
      <c r="GQ61" s="198">
        <v>0</v>
      </c>
      <c r="GR61" s="198">
        <v>0</v>
      </c>
      <c r="GS61" s="199">
        <v>0</v>
      </c>
      <c r="GT61" s="195"/>
      <c r="GU61" s="196"/>
      <c r="GV61" s="196"/>
      <c r="GW61" s="196"/>
      <c r="GX61" s="196"/>
      <c r="GY61" s="196"/>
      <c r="GZ61" s="206">
        <v>1</v>
      </c>
      <c r="HA61" s="198">
        <v>0</v>
      </c>
      <c r="HB61" s="198">
        <v>0</v>
      </c>
      <c r="HC61" s="199">
        <v>0</v>
      </c>
      <c r="HD61" s="195"/>
      <c r="HE61" s="196"/>
      <c r="HF61" s="196"/>
      <c r="HG61" s="196"/>
      <c r="HH61" s="196"/>
      <c r="HI61" s="196"/>
      <c r="HJ61" s="206">
        <v>1</v>
      </c>
      <c r="HK61" s="198">
        <v>0</v>
      </c>
      <c r="HL61" s="198">
        <v>0</v>
      </c>
      <c r="HM61" s="199">
        <v>0</v>
      </c>
      <c r="HN61" s="204">
        <v>1</v>
      </c>
      <c r="HO61" s="205">
        <v>0</v>
      </c>
      <c r="HP61" s="204">
        <v>1</v>
      </c>
      <c r="HQ61" s="205">
        <v>0</v>
      </c>
      <c r="HR61" s="204">
        <v>1</v>
      </c>
      <c r="HS61" s="205">
        <v>0</v>
      </c>
      <c r="HT61" s="204">
        <v>1</v>
      </c>
      <c r="HU61" s="205">
        <v>0</v>
      </c>
      <c r="HV61" s="204">
        <v>1</v>
      </c>
      <c r="HW61" s="205">
        <v>0</v>
      </c>
      <c r="HX61" s="204">
        <v>1</v>
      </c>
      <c r="HY61" s="205">
        <v>0</v>
      </c>
      <c r="HZ61" s="204">
        <v>1</v>
      </c>
      <c r="IA61" s="205">
        <v>0</v>
      </c>
      <c r="IB61" s="204">
        <v>1</v>
      </c>
      <c r="IC61" s="205">
        <v>0</v>
      </c>
      <c r="ID61" s="204">
        <v>1</v>
      </c>
      <c r="IE61" s="205">
        <v>0</v>
      </c>
      <c r="IF61" s="204">
        <v>1</v>
      </c>
      <c r="IG61" s="205">
        <v>0</v>
      </c>
      <c r="IH61" s="204">
        <v>1</v>
      </c>
      <c r="II61" s="205">
        <v>0</v>
      </c>
      <c r="IJ61" s="204">
        <v>1</v>
      </c>
      <c r="IK61" s="205">
        <v>0</v>
      </c>
      <c r="IL61" s="204">
        <v>1</v>
      </c>
      <c r="IM61" s="205">
        <v>0</v>
      </c>
      <c r="IN61" s="204">
        <v>1</v>
      </c>
      <c r="IO61" s="205">
        <v>0</v>
      </c>
      <c r="IP61" s="204">
        <v>1</v>
      </c>
      <c r="IQ61" s="205">
        <v>0</v>
      </c>
      <c r="IR61" s="204">
        <v>1</v>
      </c>
      <c r="IS61" s="205">
        <v>0</v>
      </c>
      <c r="IT61" s="204">
        <v>1</v>
      </c>
      <c r="IU61" s="205">
        <v>0</v>
      </c>
      <c r="IV61" s="204">
        <v>1</v>
      </c>
      <c r="IW61" s="205">
        <v>0</v>
      </c>
      <c r="IX61" s="204">
        <v>1</v>
      </c>
      <c r="IY61" s="205">
        <v>0</v>
      </c>
      <c r="IZ61" s="204">
        <v>1</v>
      </c>
      <c r="JA61" s="205">
        <v>0</v>
      </c>
      <c r="JB61" s="204">
        <v>1</v>
      </c>
      <c r="JC61" s="205">
        <v>0</v>
      </c>
      <c r="JD61" s="204">
        <v>1</v>
      </c>
      <c r="JE61" s="233">
        <v>0</v>
      </c>
      <c r="JF61" s="236">
        <f t="shared" si="0"/>
        <v>24</v>
      </c>
      <c r="JG61" s="235">
        <f t="shared" si="1"/>
        <v>24</v>
      </c>
      <c r="JH61" s="235">
        <f t="shared" si="2"/>
        <v>24</v>
      </c>
      <c r="JI61" s="235">
        <f t="shared" si="3"/>
        <v>24</v>
      </c>
      <c r="JJ61" s="235">
        <f t="shared" si="4"/>
        <v>24</v>
      </c>
      <c r="JK61" s="235">
        <f t="shared" si="5"/>
        <v>24</v>
      </c>
      <c r="JL61" s="235">
        <f t="shared" si="6"/>
        <v>24</v>
      </c>
      <c r="JM61" s="235">
        <f t="shared" si="7"/>
        <v>24</v>
      </c>
      <c r="JN61" s="235">
        <f t="shared" si="8"/>
        <v>24</v>
      </c>
      <c r="JO61" s="235">
        <f t="shared" si="9"/>
        <v>24</v>
      </c>
      <c r="JP61" s="235">
        <f t="shared" si="10"/>
        <v>24</v>
      </c>
      <c r="JQ61" s="235">
        <f t="shared" si="11"/>
        <v>24</v>
      </c>
      <c r="JR61" s="235">
        <f t="shared" si="12"/>
        <v>24</v>
      </c>
      <c r="JS61" s="235">
        <f t="shared" si="13"/>
        <v>24</v>
      </c>
      <c r="JT61" s="235">
        <f t="shared" si="14"/>
        <v>24</v>
      </c>
      <c r="JU61" s="235">
        <f t="shared" si="15"/>
        <v>24</v>
      </c>
      <c r="JV61" s="235">
        <f t="shared" si="16"/>
        <v>24</v>
      </c>
      <c r="JW61" s="235">
        <f t="shared" si="17"/>
        <v>24</v>
      </c>
      <c r="JX61" s="235">
        <f t="shared" si="18"/>
        <v>24</v>
      </c>
      <c r="JY61" s="235">
        <f t="shared" si="19"/>
        <v>24</v>
      </c>
      <c r="JZ61" s="235">
        <f t="shared" si="20"/>
        <v>24</v>
      </c>
      <c r="KA61" s="237">
        <f t="shared" si="21"/>
        <v>24</v>
      </c>
      <c r="KB61" s="248">
        <v>46079</v>
      </c>
      <c r="KC61" s="201">
        <v>2.1179999999999999</v>
      </c>
      <c r="KD61" s="201">
        <v>2.1160000000000001</v>
      </c>
      <c r="KE61" s="201">
        <v>2.109</v>
      </c>
      <c r="KF61" s="201">
        <v>2.1120000000000001</v>
      </c>
      <c r="KG61" s="201">
        <v>2.1150000000000002</v>
      </c>
      <c r="KH61" s="201">
        <v>2.1179999999999999</v>
      </c>
      <c r="KI61" s="201">
        <v>2.1070000000000002</v>
      </c>
      <c r="KJ61" s="201">
        <v>2.1120000000000001</v>
      </c>
      <c r="KK61" s="201">
        <v>2.1230000000000002</v>
      </c>
      <c r="KL61" s="201">
        <v>2.117</v>
      </c>
      <c r="KM61" s="201">
        <v>2.121</v>
      </c>
      <c r="KN61" s="202">
        <v>2.1190000000000002</v>
      </c>
      <c r="KO61" s="202">
        <v>2.1150000000000002</v>
      </c>
      <c r="KP61" s="202">
        <v>2.1150000000000002</v>
      </c>
      <c r="KQ61" s="202">
        <v>2.117</v>
      </c>
      <c r="KR61" s="202">
        <v>2.12</v>
      </c>
      <c r="KS61" s="202">
        <v>2.1160000000000001</v>
      </c>
      <c r="KT61" s="202">
        <v>2.109</v>
      </c>
      <c r="KU61" s="202">
        <v>2.1190000000000002</v>
      </c>
      <c r="KV61" s="202">
        <v>2.1040000000000001</v>
      </c>
      <c r="KW61" s="202">
        <v>2.1190000000000002</v>
      </c>
      <c r="KX61" s="202">
        <v>2.1280000000000001</v>
      </c>
      <c r="KY61" s="203">
        <v>46.549000000000007</v>
      </c>
    </row>
    <row r="62" spans="1:311">
      <c r="A62" s="194">
        <v>46080</v>
      </c>
      <c r="B62" s="195"/>
      <c r="C62" s="196"/>
      <c r="D62" s="196"/>
      <c r="E62" s="196"/>
      <c r="F62" s="196"/>
      <c r="G62" s="196"/>
      <c r="H62" s="206">
        <v>1</v>
      </c>
      <c r="I62" s="198">
        <v>0</v>
      </c>
      <c r="J62" s="198">
        <v>0</v>
      </c>
      <c r="K62" s="199">
        <v>0</v>
      </c>
      <c r="L62" s="195"/>
      <c r="M62" s="196"/>
      <c r="N62" s="196"/>
      <c r="O62" s="196"/>
      <c r="P62" s="196"/>
      <c r="Q62" s="196"/>
      <c r="R62" s="206">
        <v>1</v>
      </c>
      <c r="S62" s="198">
        <v>0</v>
      </c>
      <c r="T62" s="198">
        <v>0</v>
      </c>
      <c r="U62" s="199">
        <v>0</v>
      </c>
      <c r="V62" s="195"/>
      <c r="W62" s="196"/>
      <c r="X62" s="196"/>
      <c r="Y62" s="196"/>
      <c r="Z62" s="196"/>
      <c r="AA62" s="196"/>
      <c r="AB62" s="206">
        <v>1</v>
      </c>
      <c r="AC62" s="198">
        <v>0</v>
      </c>
      <c r="AD62" s="198">
        <v>0</v>
      </c>
      <c r="AE62" s="199">
        <v>0</v>
      </c>
      <c r="AF62" s="195"/>
      <c r="AG62" s="196"/>
      <c r="AH62" s="196"/>
      <c r="AI62" s="196"/>
      <c r="AJ62" s="196"/>
      <c r="AK62" s="196"/>
      <c r="AL62" s="206">
        <v>1</v>
      </c>
      <c r="AM62" s="198">
        <v>0</v>
      </c>
      <c r="AN62" s="198">
        <v>0</v>
      </c>
      <c r="AO62" s="199">
        <v>0</v>
      </c>
      <c r="AP62" s="195"/>
      <c r="AQ62" s="196"/>
      <c r="AR62" s="196"/>
      <c r="AS62" s="196"/>
      <c r="AT62" s="196"/>
      <c r="AU62" s="196"/>
      <c r="AV62" s="206">
        <v>1</v>
      </c>
      <c r="AW62" s="198">
        <v>0</v>
      </c>
      <c r="AX62" s="198">
        <v>0</v>
      </c>
      <c r="AY62" s="199">
        <v>0</v>
      </c>
      <c r="AZ62" s="195"/>
      <c r="BA62" s="196"/>
      <c r="BB62" s="196"/>
      <c r="BC62" s="196"/>
      <c r="BD62" s="196"/>
      <c r="BE62" s="196"/>
      <c r="BF62" s="206">
        <v>1</v>
      </c>
      <c r="BG62" s="198">
        <v>0</v>
      </c>
      <c r="BH62" s="198">
        <v>0</v>
      </c>
      <c r="BI62" s="199">
        <v>0</v>
      </c>
      <c r="BJ62" s="195"/>
      <c r="BK62" s="196"/>
      <c r="BL62" s="196"/>
      <c r="BM62" s="196"/>
      <c r="BN62" s="196"/>
      <c r="BO62" s="196"/>
      <c r="BP62" s="206">
        <v>1</v>
      </c>
      <c r="BQ62" s="198">
        <v>0</v>
      </c>
      <c r="BR62" s="198">
        <v>0</v>
      </c>
      <c r="BS62" s="199">
        <v>0</v>
      </c>
      <c r="BT62" s="195"/>
      <c r="BU62" s="196"/>
      <c r="BV62" s="196"/>
      <c r="BW62" s="196"/>
      <c r="BX62" s="196"/>
      <c r="BY62" s="196"/>
      <c r="BZ62" s="206">
        <v>1</v>
      </c>
      <c r="CA62" s="198">
        <v>0</v>
      </c>
      <c r="CB62" s="198">
        <v>0</v>
      </c>
      <c r="CC62" s="199">
        <v>0</v>
      </c>
      <c r="CD62" s="195"/>
      <c r="CE62" s="196"/>
      <c r="CF62" s="196"/>
      <c r="CG62" s="196"/>
      <c r="CH62" s="196"/>
      <c r="CI62" s="196"/>
      <c r="CJ62" s="206">
        <v>1</v>
      </c>
      <c r="CK62" s="198">
        <v>0</v>
      </c>
      <c r="CL62" s="198">
        <v>0</v>
      </c>
      <c r="CM62" s="199">
        <v>0</v>
      </c>
      <c r="CN62" s="195"/>
      <c r="CO62" s="196"/>
      <c r="CP62" s="196"/>
      <c r="CQ62" s="196"/>
      <c r="CR62" s="196"/>
      <c r="CS62" s="196"/>
      <c r="CT62" s="206">
        <v>1</v>
      </c>
      <c r="CU62" s="198">
        <v>0</v>
      </c>
      <c r="CV62" s="198">
        <v>0</v>
      </c>
      <c r="CW62" s="199">
        <v>0</v>
      </c>
      <c r="CX62" s="195"/>
      <c r="CY62" s="196"/>
      <c r="CZ62" s="196"/>
      <c r="DA62" s="196"/>
      <c r="DB62" s="196"/>
      <c r="DC62" s="196"/>
      <c r="DD62" s="206">
        <v>1</v>
      </c>
      <c r="DE62" s="198">
        <v>0</v>
      </c>
      <c r="DF62" s="198">
        <v>0</v>
      </c>
      <c r="DG62" s="199">
        <v>0</v>
      </c>
      <c r="DH62" s="195"/>
      <c r="DI62" s="196"/>
      <c r="DJ62" s="196"/>
      <c r="DK62" s="196"/>
      <c r="DL62" s="196"/>
      <c r="DM62" s="196"/>
      <c r="DN62" s="206">
        <v>1</v>
      </c>
      <c r="DO62" s="198">
        <v>0</v>
      </c>
      <c r="DP62" s="198">
        <v>0</v>
      </c>
      <c r="DQ62" s="199">
        <v>0</v>
      </c>
      <c r="DR62" s="195"/>
      <c r="DS62" s="196"/>
      <c r="DT62" s="196"/>
      <c r="DU62" s="196"/>
      <c r="DV62" s="196"/>
      <c r="DW62" s="196"/>
      <c r="DX62" s="206">
        <v>1</v>
      </c>
      <c r="DY62" s="198">
        <v>0</v>
      </c>
      <c r="DZ62" s="198">
        <v>0</v>
      </c>
      <c r="EA62" s="199">
        <v>0</v>
      </c>
      <c r="EB62" s="195"/>
      <c r="EC62" s="196"/>
      <c r="ED62" s="196"/>
      <c r="EE62" s="196"/>
      <c r="EF62" s="196"/>
      <c r="EG62" s="196"/>
      <c r="EH62" s="206">
        <v>1</v>
      </c>
      <c r="EI62" s="198">
        <v>0</v>
      </c>
      <c r="EJ62" s="198">
        <v>0</v>
      </c>
      <c r="EK62" s="199">
        <v>0</v>
      </c>
      <c r="EL62" s="195"/>
      <c r="EM62" s="196"/>
      <c r="EN62" s="196"/>
      <c r="EO62" s="196"/>
      <c r="EP62" s="196"/>
      <c r="EQ62" s="196"/>
      <c r="ER62" s="206">
        <v>1</v>
      </c>
      <c r="ES62" s="198">
        <v>0</v>
      </c>
      <c r="ET62" s="198">
        <v>0</v>
      </c>
      <c r="EU62" s="199">
        <v>0</v>
      </c>
      <c r="EV62" s="195"/>
      <c r="EW62" s="196"/>
      <c r="EX62" s="196"/>
      <c r="EY62" s="196"/>
      <c r="EZ62" s="196"/>
      <c r="FA62" s="196"/>
      <c r="FB62" s="206">
        <v>1</v>
      </c>
      <c r="FC62" s="198">
        <v>0</v>
      </c>
      <c r="FD62" s="198">
        <v>0</v>
      </c>
      <c r="FE62" s="199">
        <v>0</v>
      </c>
      <c r="FF62" s="195"/>
      <c r="FG62" s="196"/>
      <c r="FH62" s="196"/>
      <c r="FI62" s="196"/>
      <c r="FJ62" s="196"/>
      <c r="FK62" s="196"/>
      <c r="FL62" s="206">
        <v>1</v>
      </c>
      <c r="FM62" s="198">
        <v>0</v>
      </c>
      <c r="FN62" s="198">
        <v>0</v>
      </c>
      <c r="FO62" s="199">
        <v>0</v>
      </c>
      <c r="FP62" s="195"/>
      <c r="FQ62" s="196"/>
      <c r="FR62" s="196"/>
      <c r="FS62" s="196"/>
      <c r="FT62" s="196"/>
      <c r="FU62" s="196"/>
      <c r="FV62" s="206">
        <v>1</v>
      </c>
      <c r="FW62" s="198">
        <v>0</v>
      </c>
      <c r="FX62" s="198">
        <v>0</v>
      </c>
      <c r="FY62" s="199">
        <v>0</v>
      </c>
      <c r="FZ62" s="195"/>
      <c r="GA62" s="196"/>
      <c r="GB62" s="196"/>
      <c r="GC62" s="196"/>
      <c r="GD62" s="196"/>
      <c r="GE62" s="196"/>
      <c r="GF62" s="206">
        <v>1</v>
      </c>
      <c r="GG62" s="198">
        <v>0</v>
      </c>
      <c r="GH62" s="198">
        <v>0</v>
      </c>
      <c r="GI62" s="199">
        <v>0</v>
      </c>
      <c r="GJ62" s="195"/>
      <c r="GK62" s="196"/>
      <c r="GL62" s="196"/>
      <c r="GM62" s="196"/>
      <c r="GN62" s="196"/>
      <c r="GO62" s="196"/>
      <c r="GP62" s="206">
        <v>1</v>
      </c>
      <c r="GQ62" s="198">
        <v>0</v>
      </c>
      <c r="GR62" s="198">
        <v>0</v>
      </c>
      <c r="GS62" s="199">
        <v>0</v>
      </c>
      <c r="GT62" s="195"/>
      <c r="GU62" s="196"/>
      <c r="GV62" s="196"/>
      <c r="GW62" s="196"/>
      <c r="GX62" s="196"/>
      <c r="GY62" s="196"/>
      <c r="GZ62" s="206">
        <v>1</v>
      </c>
      <c r="HA62" s="198">
        <v>0</v>
      </c>
      <c r="HB62" s="198">
        <v>0</v>
      </c>
      <c r="HC62" s="199">
        <v>0</v>
      </c>
      <c r="HD62" s="195"/>
      <c r="HE62" s="196"/>
      <c r="HF62" s="196"/>
      <c r="HG62" s="196"/>
      <c r="HH62" s="196"/>
      <c r="HI62" s="196"/>
      <c r="HJ62" s="206">
        <v>1</v>
      </c>
      <c r="HK62" s="198">
        <v>0</v>
      </c>
      <c r="HL62" s="198">
        <v>0</v>
      </c>
      <c r="HM62" s="199">
        <v>0</v>
      </c>
      <c r="HN62" s="204">
        <v>1</v>
      </c>
      <c r="HO62" s="205">
        <v>0</v>
      </c>
      <c r="HP62" s="204">
        <v>1</v>
      </c>
      <c r="HQ62" s="205">
        <v>0</v>
      </c>
      <c r="HR62" s="204">
        <v>1</v>
      </c>
      <c r="HS62" s="205">
        <v>0</v>
      </c>
      <c r="HT62" s="204">
        <v>1</v>
      </c>
      <c r="HU62" s="205">
        <v>0</v>
      </c>
      <c r="HV62" s="204">
        <v>1</v>
      </c>
      <c r="HW62" s="205">
        <v>0</v>
      </c>
      <c r="HX62" s="204">
        <v>1</v>
      </c>
      <c r="HY62" s="205">
        <v>0</v>
      </c>
      <c r="HZ62" s="204">
        <v>1</v>
      </c>
      <c r="IA62" s="205">
        <v>0</v>
      </c>
      <c r="IB62" s="204">
        <v>1</v>
      </c>
      <c r="IC62" s="205">
        <v>0</v>
      </c>
      <c r="ID62" s="204">
        <v>1</v>
      </c>
      <c r="IE62" s="205">
        <v>0</v>
      </c>
      <c r="IF62" s="204">
        <v>1</v>
      </c>
      <c r="IG62" s="205">
        <v>0</v>
      </c>
      <c r="IH62" s="204">
        <v>1</v>
      </c>
      <c r="II62" s="205">
        <v>0</v>
      </c>
      <c r="IJ62" s="204">
        <v>1</v>
      </c>
      <c r="IK62" s="205">
        <v>0</v>
      </c>
      <c r="IL62" s="204">
        <v>1</v>
      </c>
      <c r="IM62" s="205">
        <v>0</v>
      </c>
      <c r="IN62" s="204">
        <v>1</v>
      </c>
      <c r="IO62" s="205">
        <v>0</v>
      </c>
      <c r="IP62" s="204">
        <v>1</v>
      </c>
      <c r="IQ62" s="205">
        <v>0</v>
      </c>
      <c r="IR62" s="204">
        <v>1</v>
      </c>
      <c r="IS62" s="205">
        <v>0</v>
      </c>
      <c r="IT62" s="204">
        <v>1</v>
      </c>
      <c r="IU62" s="205">
        <v>0</v>
      </c>
      <c r="IV62" s="204">
        <v>1</v>
      </c>
      <c r="IW62" s="205">
        <v>0</v>
      </c>
      <c r="IX62" s="204">
        <v>1</v>
      </c>
      <c r="IY62" s="205">
        <v>0</v>
      </c>
      <c r="IZ62" s="204">
        <v>1</v>
      </c>
      <c r="JA62" s="205">
        <v>0</v>
      </c>
      <c r="JB62" s="204">
        <v>1</v>
      </c>
      <c r="JC62" s="205">
        <v>0</v>
      </c>
      <c r="JD62" s="204">
        <v>1</v>
      </c>
      <c r="JE62" s="233">
        <v>0</v>
      </c>
      <c r="JF62" s="236">
        <f t="shared" si="0"/>
        <v>24</v>
      </c>
      <c r="JG62" s="235">
        <f t="shared" si="1"/>
        <v>24</v>
      </c>
      <c r="JH62" s="235">
        <f t="shared" si="2"/>
        <v>24</v>
      </c>
      <c r="JI62" s="235">
        <f t="shared" si="3"/>
        <v>24</v>
      </c>
      <c r="JJ62" s="235">
        <f t="shared" si="4"/>
        <v>24</v>
      </c>
      <c r="JK62" s="235">
        <f t="shared" si="5"/>
        <v>24</v>
      </c>
      <c r="JL62" s="235">
        <f t="shared" si="6"/>
        <v>24</v>
      </c>
      <c r="JM62" s="235">
        <f t="shared" si="7"/>
        <v>24</v>
      </c>
      <c r="JN62" s="235">
        <f t="shared" si="8"/>
        <v>24</v>
      </c>
      <c r="JO62" s="235">
        <f t="shared" si="9"/>
        <v>24</v>
      </c>
      <c r="JP62" s="235">
        <f t="shared" si="10"/>
        <v>24</v>
      </c>
      <c r="JQ62" s="235">
        <f t="shared" si="11"/>
        <v>24</v>
      </c>
      <c r="JR62" s="235">
        <f t="shared" si="12"/>
        <v>24</v>
      </c>
      <c r="JS62" s="235">
        <f t="shared" si="13"/>
        <v>24</v>
      </c>
      <c r="JT62" s="235">
        <f t="shared" si="14"/>
        <v>24</v>
      </c>
      <c r="JU62" s="235">
        <f t="shared" si="15"/>
        <v>24</v>
      </c>
      <c r="JV62" s="235">
        <f t="shared" si="16"/>
        <v>24</v>
      </c>
      <c r="JW62" s="235">
        <f t="shared" si="17"/>
        <v>24</v>
      </c>
      <c r="JX62" s="235">
        <f t="shared" si="18"/>
        <v>24</v>
      </c>
      <c r="JY62" s="235">
        <f t="shared" si="19"/>
        <v>24</v>
      </c>
      <c r="JZ62" s="235">
        <f t="shared" si="20"/>
        <v>24</v>
      </c>
      <c r="KA62" s="237">
        <f t="shared" si="21"/>
        <v>24</v>
      </c>
      <c r="KB62" s="248">
        <v>46080</v>
      </c>
      <c r="KC62" s="201">
        <v>2.109</v>
      </c>
      <c r="KD62" s="201">
        <v>2.1059999999999999</v>
      </c>
      <c r="KE62" s="201">
        <v>2.1</v>
      </c>
      <c r="KF62" s="201">
        <v>2.1019999999999999</v>
      </c>
      <c r="KG62" s="201">
        <v>2.1070000000000002</v>
      </c>
      <c r="KH62" s="201">
        <v>2.1070000000000002</v>
      </c>
      <c r="KI62" s="201">
        <v>2.0960000000000001</v>
      </c>
      <c r="KJ62" s="201">
        <v>2.1030000000000002</v>
      </c>
      <c r="KK62" s="201">
        <v>2.1120000000000001</v>
      </c>
      <c r="KL62" s="201">
        <v>2.1080000000000001</v>
      </c>
      <c r="KM62" s="201">
        <v>2.1110000000000002</v>
      </c>
      <c r="KN62" s="202">
        <v>2.1080000000000001</v>
      </c>
      <c r="KO62" s="202">
        <v>2.105</v>
      </c>
      <c r="KP62" s="202">
        <v>2.1040000000000001</v>
      </c>
      <c r="KQ62" s="202">
        <v>2.1070000000000002</v>
      </c>
      <c r="KR62" s="202">
        <v>2.11</v>
      </c>
      <c r="KS62" s="202">
        <v>2.1059999999999999</v>
      </c>
      <c r="KT62" s="202">
        <v>2.1</v>
      </c>
      <c r="KU62" s="202">
        <v>2.11</v>
      </c>
      <c r="KV62" s="202">
        <v>2.097</v>
      </c>
      <c r="KW62" s="202">
        <v>2.11</v>
      </c>
      <c r="KX62" s="202">
        <v>2.1190000000000002</v>
      </c>
      <c r="KY62" s="203">
        <v>46.337000000000003</v>
      </c>
    </row>
    <row r="63" spans="1:311">
      <c r="A63" s="207">
        <v>46081</v>
      </c>
      <c r="B63" s="208"/>
      <c r="C63" s="209"/>
      <c r="D63" s="209"/>
      <c r="E63" s="209"/>
      <c r="F63" s="209"/>
      <c r="G63" s="209"/>
      <c r="H63" s="210">
        <v>1</v>
      </c>
      <c r="I63" s="211">
        <v>0</v>
      </c>
      <c r="J63" s="211">
        <v>0</v>
      </c>
      <c r="K63" s="212">
        <v>0</v>
      </c>
      <c r="L63" s="208"/>
      <c r="M63" s="209"/>
      <c r="N63" s="209"/>
      <c r="O63" s="209"/>
      <c r="P63" s="209"/>
      <c r="Q63" s="209"/>
      <c r="R63" s="210">
        <v>1</v>
      </c>
      <c r="S63" s="211">
        <v>0</v>
      </c>
      <c r="T63" s="211">
        <v>0</v>
      </c>
      <c r="U63" s="212">
        <v>0</v>
      </c>
      <c r="V63" s="208"/>
      <c r="W63" s="209"/>
      <c r="X63" s="209"/>
      <c r="Y63" s="209"/>
      <c r="Z63" s="209"/>
      <c r="AA63" s="209"/>
      <c r="AB63" s="210">
        <v>1</v>
      </c>
      <c r="AC63" s="211">
        <v>0</v>
      </c>
      <c r="AD63" s="211">
        <v>0</v>
      </c>
      <c r="AE63" s="212">
        <v>0</v>
      </c>
      <c r="AF63" s="208"/>
      <c r="AG63" s="209"/>
      <c r="AH63" s="209"/>
      <c r="AI63" s="209"/>
      <c r="AJ63" s="209"/>
      <c r="AK63" s="209"/>
      <c r="AL63" s="210">
        <v>1</v>
      </c>
      <c r="AM63" s="211">
        <v>0</v>
      </c>
      <c r="AN63" s="211">
        <v>0</v>
      </c>
      <c r="AO63" s="212">
        <v>0</v>
      </c>
      <c r="AP63" s="208"/>
      <c r="AQ63" s="209"/>
      <c r="AR63" s="209"/>
      <c r="AS63" s="209"/>
      <c r="AT63" s="209"/>
      <c r="AU63" s="209"/>
      <c r="AV63" s="210">
        <v>1</v>
      </c>
      <c r="AW63" s="276">
        <v>0</v>
      </c>
      <c r="AX63" s="276">
        <v>0</v>
      </c>
      <c r="AY63" s="212">
        <v>0</v>
      </c>
      <c r="AZ63" s="208"/>
      <c r="BA63" s="209"/>
      <c r="BB63" s="209"/>
      <c r="BC63" s="209"/>
      <c r="BD63" s="209"/>
      <c r="BE63" s="209"/>
      <c r="BF63" s="210">
        <v>1</v>
      </c>
      <c r="BG63" s="211">
        <v>0</v>
      </c>
      <c r="BH63" s="211">
        <v>0</v>
      </c>
      <c r="BI63" s="212">
        <v>0</v>
      </c>
      <c r="BJ63" s="208"/>
      <c r="BK63" s="209"/>
      <c r="BL63" s="209"/>
      <c r="BM63" s="209"/>
      <c r="BN63" s="209"/>
      <c r="BO63" s="209"/>
      <c r="BP63" s="210">
        <v>1</v>
      </c>
      <c r="BQ63" s="211">
        <v>0</v>
      </c>
      <c r="BR63" s="211">
        <v>0</v>
      </c>
      <c r="BS63" s="212">
        <v>0</v>
      </c>
      <c r="BT63" s="208"/>
      <c r="BU63" s="209"/>
      <c r="BV63" s="209"/>
      <c r="BW63" s="209"/>
      <c r="BX63" s="209"/>
      <c r="BY63" s="209"/>
      <c r="BZ63" s="210">
        <v>1</v>
      </c>
      <c r="CA63" s="211">
        <v>0</v>
      </c>
      <c r="CB63" s="211">
        <v>0</v>
      </c>
      <c r="CC63" s="212">
        <v>0</v>
      </c>
      <c r="CD63" s="208"/>
      <c r="CE63" s="209"/>
      <c r="CF63" s="209"/>
      <c r="CG63" s="209"/>
      <c r="CH63" s="209"/>
      <c r="CI63" s="209"/>
      <c r="CJ63" s="210">
        <v>1</v>
      </c>
      <c r="CK63" s="211">
        <v>0</v>
      </c>
      <c r="CL63" s="211">
        <v>0</v>
      </c>
      <c r="CM63" s="212">
        <v>0</v>
      </c>
      <c r="CN63" s="208"/>
      <c r="CO63" s="209"/>
      <c r="CP63" s="209"/>
      <c r="CQ63" s="209"/>
      <c r="CR63" s="209"/>
      <c r="CS63" s="209"/>
      <c r="CT63" s="210">
        <v>1</v>
      </c>
      <c r="CU63" s="211">
        <v>0</v>
      </c>
      <c r="CV63" s="211">
        <v>0</v>
      </c>
      <c r="CW63" s="212">
        <v>0</v>
      </c>
      <c r="CX63" s="208"/>
      <c r="CY63" s="209"/>
      <c r="CZ63" s="209"/>
      <c r="DA63" s="209"/>
      <c r="DB63" s="209"/>
      <c r="DC63" s="209"/>
      <c r="DD63" s="210">
        <v>1</v>
      </c>
      <c r="DE63" s="211">
        <v>0</v>
      </c>
      <c r="DF63" s="211">
        <v>0</v>
      </c>
      <c r="DG63" s="212">
        <v>0</v>
      </c>
      <c r="DH63" s="208"/>
      <c r="DI63" s="209"/>
      <c r="DJ63" s="209"/>
      <c r="DK63" s="209"/>
      <c r="DL63" s="209"/>
      <c r="DM63" s="209"/>
      <c r="DN63" s="210">
        <v>1</v>
      </c>
      <c r="DO63" s="211">
        <v>0</v>
      </c>
      <c r="DP63" s="211">
        <v>0</v>
      </c>
      <c r="DQ63" s="212">
        <v>0</v>
      </c>
      <c r="DR63" s="208"/>
      <c r="DS63" s="209"/>
      <c r="DT63" s="209"/>
      <c r="DU63" s="209"/>
      <c r="DV63" s="209"/>
      <c r="DW63" s="209"/>
      <c r="DX63" s="210">
        <v>1</v>
      </c>
      <c r="DY63" s="211">
        <v>0</v>
      </c>
      <c r="DZ63" s="211">
        <v>0</v>
      </c>
      <c r="EA63" s="212">
        <v>0</v>
      </c>
      <c r="EB63" s="208"/>
      <c r="EC63" s="209"/>
      <c r="ED63" s="209"/>
      <c r="EE63" s="209"/>
      <c r="EF63" s="209"/>
      <c r="EG63" s="209"/>
      <c r="EH63" s="210">
        <v>1</v>
      </c>
      <c r="EI63" s="211">
        <v>0</v>
      </c>
      <c r="EJ63" s="211">
        <v>0</v>
      </c>
      <c r="EK63" s="212">
        <v>0</v>
      </c>
      <c r="EL63" s="208"/>
      <c r="EM63" s="209"/>
      <c r="EN63" s="209"/>
      <c r="EO63" s="209"/>
      <c r="EP63" s="209"/>
      <c r="EQ63" s="209"/>
      <c r="ER63" s="210">
        <v>1</v>
      </c>
      <c r="ES63" s="211">
        <v>0</v>
      </c>
      <c r="ET63" s="211">
        <v>0</v>
      </c>
      <c r="EU63" s="212">
        <v>0</v>
      </c>
      <c r="EV63" s="208"/>
      <c r="EW63" s="209"/>
      <c r="EX63" s="209"/>
      <c r="EY63" s="209"/>
      <c r="EZ63" s="209"/>
      <c r="FA63" s="209"/>
      <c r="FB63" s="210">
        <v>1</v>
      </c>
      <c r="FC63" s="211">
        <v>0</v>
      </c>
      <c r="FD63" s="211">
        <v>0</v>
      </c>
      <c r="FE63" s="212">
        <v>0</v>
      </c>
      <c r="FF63" s="208"/>
      <c r="FG63" s="209"/>
      <c r="FH63" s="209"/>
      <c r="FI63" s="209"/>
      <c r="FJ63" s="209"/>
      <c r="FK63" s="209"/>
      <c r="FL63" s="210">
        <v>1</v>
      </c>
      <c r="FM63" s="211">
        <v>0</v>
      </c>
      <c r="FN63" s="211">
        <v>0</v>
      </c>
      <c r="FO63" s="212">
        <v>0</v>
      </c>
      <c r="FP63" s="208"/>
      <c r="FQ63" s="209"/>
      <c r="FR63" s="209"/>
      <c r="FS63" s="209"/>
      <c r="FT63" s="209"/>
      <c r="FU63" s="209"/>
      <c r="FV63" s="210">
        <v>1</v>
      </c>
      <c r="FW63" s="211">
        <v>0</v>
      </c>
      <c r="FX63" s="211">
        <v>0</v>
      </c>
      <c r="FY63" s="212">
        <v>0</v>
      </c>
      <c r="FZ63" s="208"/>
      <c r="GA63" s="209"/>
      <c r="GB63" s="209"/>
      <c r="GC63" s="209"/>
      <c r="GD63" s="209"/>
      <c r="GE63" s="209"/>
      <c r="GF63" s="210">
        <v>1</v>
      </c>
      <c r="GG63" s="211">
        <v>0</v>
      </c>
      <c r="GH63" s="211">
        <v>0</v>
      </c>
      <c r="GI63" s="212">
        <v>0</v>
      </c>
      <c r="GJ63" s="208"/>
      <c r="GK63" s="209"/>
      <c r="GL63" s="209"/>
      <c r="GM63" s="209"/>
      <c r="GN63" s="209"/>
      <c r="GO63" s="209"/>
      <c r="GP63" s="210">
        <v>1</v>
      </c>
      <c r="GQ63" s="211">
        <v>0</v>
      </c>
      <c r="GR63" s="211">
        <v>0</v>
      </c>
      <c r="GS63" s="212">
        <v>0</v>
      </c>
      <c r="GT63" s="208"/>
      <c r="GU63" s="209"/>
      <c r="GV63" s="209"/>
      <c r="GW63" s="209"/>
      <c r="GX63" s="209"/>
      <c r="GY63" s="209"/>
      <c r="GZ63" s="210">
        <v>1</v>
      </c>
      <c r="HA63" s="211">
        <v>0</v>
      </c>
      <c r="HB63" s="211">
        <v>0</v>
      </c>
      <c r="HC63" s="212">
        <v>0</v>
      </c>
      <c r="HD63" s="208"/>
      <c r="HE63" s="209"/>
      <c r="HF63" s="209"/>
      <c r="HG63" s="209"/>
      <c r="HH63" s="209"/>
      <c r="HI63" s="209"/>
      <c r="HJ63" s="210">
        <v>1</v>
      </c>
      <c r="HK63" s="211">
        <v>0</v>
      </c>
      <c r="HL63" s="211">
        <v>0</v>
      </c>
      <c r="HM63" s="212">
        <v>0</v>
      </c>
      <c r="HN63" s="204">
        <v>1</v>
      </c>
      <c r="HO63" s="205">
        <v>0</v>
      </c>
      <c r="HP63" s="204">
        <v>1</v>
      </c>
      <c r="HQ63" s="205">
        <v>0</v>
      </c>
      <c r="HR63" s="204">
        <v>1</v>
      </c>
      <c r="HS63" s="205">
        <v>0</v>
      </c>
      <c r="HT63" s="204">
        <v>1</v>
      </c>
      <c r="HU63" s="205">
        <v>0</v>
      </c>
      <c r="HV63" s="204">
        <v>1</v>
      </c>
      <c r="HW63" s="205">
        <v>0</v>
      </c>
      <c r="HX63" s="204">
        <v>1</v>
      </c>
      <c r="HY63" s="205">
        <v>0</v>
      </c>
      <c r="HZ63" s="204">
        <v>1</v>
      </c>
      <c r="IA63" s="205">
        <v>0</v>
      </c>
      <c r="IB63" s="204">
        <v>1</v>
      </c>
      <c r="IC63" s="205">
        <v>0</v>
      </c>
      <c r="ID63" s="204">
        <v>1</v>
      </c>
      <c r="IE63" s="205">
        <v>0</v>
      </c>
      <c r="IF63" s="204">
        <v>1</v>
      </c>
      <c r="IG63" s="205">
        <v>0</v>
      </c>
      <c r="IH63" s="204">
        <v>1</v>
      </c>
      <c r="II63" s="205">
        <v>0</v>
      </c>
      <c r="IJ63" s="204">
        <v>1</v>
      </c>
      <c r="IK63" s="205">
        <v>0</v>
      </c>
      <c r="IL63" s="204">
        <v>1</v>
      </c>
      <c r="IM63" s="205">
        <v>0</v>
      </c>
      <c r="IN63" s="204">
        <v>1</v>
      </c>
      <c r="IO63" s="205">
        <v>0</v>
      </c>
      <c r="IP63" s="204">
        <v>1</v>
      </c>
      <c r="IQ63" s="205">
        <v>0</v>
      </c>
      <c r="IR63" s="204">
        <v>1</v>
      </c>
      <c r="IS63" s="205">
        <v>0</v>
      </c>
      <c r="IT63" s="204">
        <v>1</v>
      </c>
      <c r="IU63" s="205">
        <v>0</v>
      </c>
      <c r="IV63" s="204">
        <v>1</v>
      </c>
      <c r="IW63" s="205">
        <v>0</v>
      </c>
      <c r="IX63" s="204">
        <v>1</v>
      </c>
      <c r="IY63" s="205">
        <v>0</v>
      </c>
      <c r="IZ63" s="204">
        <v>1</v>
      </c>
      <c r="JA63" s="205">
        <v>0</v>
      </c>
      <c r="JB63" s="204">
        <v>1</v>
      </c>
      <c r="JC63" s="205">
        <v>0</v>
      </c>
      <c r="JD63" s="204">
        <v>1</v>
      </c>
      <c r="JE63" s="233">
        <v>0</v>
      </c>
      <c r="JF63" s="229">
        <f t="shared" si="0"/>
        <v>24</v>
      </c>
      <c r="JG63" s="230">
        <f t="shared" si="1"/>
        <v>24</v>
      </c>
      <c r="JH63" s="230">
        <f t="shared" si="2"/>
        <v>24</v>
      </c>
      <c r="JI63" s="230">
        <f t="shared" si="3"/>
        <v>24</v>
      </c>
      <c r="JJ63" s="230">
        <f t="shared" si="4"/>
        <v>24</v>
      </c>
      <c r="JK63" s="230">
        <f t="shared" si="5"/>
        <v>24</v>
      </c>
      <c r="JL63" s="230">
        <f t="shared" si="6"/>
        <v>24</v>
      </c>
      <c r="JM63" s="230">
        <f t="shared" si="7"/>
        <v>24</v>
      </c>
      <c r="JN63" s="230">
        <f t="shared" si="8"/>
        <v>24</v>
      </c>
      <c r="JO63" s="230">
        <f t="shared" si="9"/>
        <v>24</v>
      </c>
      <c r="JP63" s="230">
        <f t="shared" si="10"/>
        <v>24</v>
      </c>
      <c r="JQ63" s="230">
        <f t="shared" si="11"/>
        <v>24</v>
      </c>
      <c r="JR63" s="230">
        <f t="shared" si="12"/>
        <v>24</v>
      </c>
      <c r="JS63" s="230">
        <f t="shared" si="13"/>
        <v>24</v>
      </c>
      <c r="JT63" s="230">
        <f t="shared" si="14"/>
        <v>24</v>
      </c>
      <c r="JU63" s="230">
        <f t="shared" si="15"/>
        <v>24</v>
      </c>
      <c r="JV63" s="230">
        <f t="shared" si="16"/>
        <v>24</v>
      </c>
      <c r="JW63" s="230">
        <f t="shared" si="17"/>
        <v>24</v>
      </c>
      <c r="JX63" s="230">
        <f t="shared" si="18"/>
        <v>24</v>
      </c>
      <c r="JY63" s="230">
        <f t="shared" si="19"/>
        <v>24</v>
      </c>
      <c r="JZ63" s="230">
        <f t="shared" si="20"/>
        <v>24</v>
      </c>
      <c r="KA63" s="238">
        <f t="shared" si="21"/>
        <v>24</v>
      </c>
      <c r="KB63" s="248">
        <v>46081</v>
      </c>
      <c r="KC63" s="213">
        <v>2.1480000000000001</v>
      </c>
      <c r="KD63" s="213">
        <v>2.1459999999999999</v>
      </c>
      <c r="KE63" s="213">
        <v>2.1389999999999998</v>
      </c>
      <c r="KF63" s="213">
        <v>2.1419999999999999</v>
      </c>
      <c r="KG63" s="213">
        <v>2.1469999999999998</v>
      </c>
      <c r="KH63" s="213">
        <v>2.1469999999999998</v>
      </c>
      <c r="KI63" s="213">
        <v>2.1360000000000001</v>
      </c>
      <c r="KJ63" s="213">
        <v>2.1419999999999999</v>
      </c>
      <c r="KK63" s="213">
        <v>2.153</v>
      </c>
      <c r="KL63" s="213">
        <v>2.1480000000000001</v>
      </c>
      <c r="KM63" s="213">
        <v>2.1509999999999998</v>
      </c>
      <c r="KN63" s="220">
        <v>2.1480000000000001</v>
      </c>
      <c r="KO63" s="220">
        <v>2.1440000000000001</v>
      </c>
      <c r="KP63" s="220">
        <v>2.1320000000000001</v>
      </c>
      <c r="KQ63" s="220">
        <v>2.1469999999999998</v>
      </c>
      <c r="KR63" s="220">
        <v>2.15</v>
      </c>
      <c r="KS63" s="220">
        <v>2.1459999999999999</v>
      </c>
      <c r="KT63" s="220">
        <v>2.1379999999999999</v>
      </c>
      <c r="KU63" s="220">
        <v>2.149</v>
      </c>
      <c r="KV63" s="220">
        <v>2.1339999999999999</v>
      </c>
      <c r="KW63" s="220">
        <v>2.149</v>
      </c>
      <c r="KX63" s="220">
        <v>2.1629999999999998</v>
      </c>
      <c r="KY63" s="214">
        <v>47.198999999999998</v>
      </c>
    </row>
    <row r="64" spans="1:311">
      <c r="A64" s="207">
        <v>46082</v>
      </c>
      <c r="B64" s="270"/>
      <c r="C64" s="271"/>
      <c r="D64" s="271"/>
      <c r="E64" s="271"/>
      <c r="F64" s="271"/>
      <c r="G64" s="271"/>
      <c r="H64" s="272">
        <v>1</v>
      </c>
      <c r="I64" s="275">
        <f t="shared" ref="I64:I94" si="22">HOUR(H64)</f>
        <v>0</v>
      </c>
      <c r="J64" s="275">
        <f t="shared" ref="J64:J94" si="23">MINUTE(H64)</f>
        <v>0</v>
      </c>
      <c r="K64" s="273">
        <f t="shared" ref="K64:K94" si="24">IF(B64&gt;0,1,0)+IF(D64&gt;0,1,0)+IF(F64&gt;0,1,0)</f>
        <v>0</v>
      </c>
      <c r="L64" s="270"/>
      <c r="M64" s="271"/>
      <c r="N64" s="271"/>
      <c r="O64" s="271"/>
      <c r="P64" s="271"/>
      <c r="Q64" s="271"/>
      <c r="R64" s="272">
        <v>1</v>
      </c>
      <c r="S64" s="275">
        <f t="shared" ref="S64:S94" si="25">HOUR(R64)</f>
        <v>0</v>
      </c>
      <c r="T64" s="275">
        <f t="shared" ref="T64:T94" si="26">MINUTE(R64)</f>
        <v>0</v>
      </c>
      <c r="U64" s="273">
        <f t="shared" ref="U64:U94" si="27">IF(L64&gt;0,1,0)+IF(N64&gt;0,1,0)+IF(P64&gt;0,1,0)</f>
        <v>0</v>
      </c>
      <c r="V64" s="270"/>
      <c r="W64" s="271"/>
      <c r="X64" s="271"/>
      <c r="Y64" s="271"/>
      <c r="Z64" s="271"/>
      <c r="AA64" s="271"/>
      <c r="AB64" s="272">
        <v>1</v>
      </c>
      <c r="AC64" s="275">
        <f t="shared" ref="AC64:AC94" si="28">HOUR(AB64)</f>
        <v>0</v>
      </c>
      <c r="AD64" s="275">
        <f t="shared" ref="AD64:AD94" si="29">MINUTE(AB64)</f>
        <v>0</v>
      </c>
      <c r="AE64" s="273">
        <f t="shared" ref="AE64:AE94" si="30">IF(V64&gt;0,1,0)+IF(X64&gt;0,1,0)+IF(Z64&gt;0,1,0)</f>
        <v>0</v>
      </c>
      <c r="AF64" s="270"/>
      <c r="AG64" s="271"/>
      <c r="AH64" s="271"/>
      <c r="AI64" s="271"/>
      <c r="AJ64" s="271"/>
      <c r="AK64" s="271"/>
      <c r="AL64" s="272">
        <v>1</v>
      </c>
      <c r="AM64" s="275">
        <f t="shared" ref="AM64:AM94" si="31">HOUR(AL64)</f>
        <v>0</v>
      </c>
      <c r="AN64" s="275">
        <f t="shared" ref="AN64:AN94" si="32">MINUTE(AL64)</f>
        <v>0</v>
      </c>
      <c r="AO64" s="273">
        <f t="shared" ref="AO64:AO94" si="33">IF(AF64&gt;0,1,0)+IF(AH64&gt;0,1,0)+IF(AJ64&gt;0,1,0)</f>
        <v>0</v>
      </c>
      <c r="AP64" s="270"/>
      <c r="AQ64" s="271"/>
      <c r="AR64" s="271"/>
      <c r="AS64" s="271"/>
      <c r="AT64" s="271"/>
      <c r="AU64" s="271"/>
      <c r="AV64" s="272">
        <v>1</v>
      </c>
      <c r="AW64" s="275">
        <f t="shared" ref="AW64:AW94" si="34">HOUR(AV64)</f>
        <v>0</v>
      </c>
      <c r="AX64" s="275">
        <f t="shared" ref="AX64:AX94" si="35">MINUTE(AV64)</f>
        <v>0</v>
      </c>
      <c r="AY64" s="273">
        <f t="shared" ref="AY64:AY94" si="36">IF(AP64&gt;0,1,0)+IF(AR64&gt;0,1,0)+IF(AT64&gt;0,1,0)</f>
        <v>0</v>
      </c>
      <c r="AZ64" s="270"/>
      <c r="BA64" s="271"/>
      <c r="BB64" s="271"/>
      <c r="BC64" s="271"/>
      <c r="BD64" s="271"/>
      <c r="BE64" s="271"/>
      <c r="BF64" s="272">
        <v>1</v>
      </c>
      <c r="BG64" s="275">
        <f t="shared" ref="BG64:BG94" si="37">HOUR(BF64)</f>
        <v>0</v>
      </c>
      <c r="BH64" s="275">
        <f t="shared" ref="BH64:BH94" si="38">MINUTE(BF64)</f>
        <v>0</v>
      </c>
      <c r="BI64" s="273">
        <f t="shared" ref="BI64:BI94" si="39">IF(AZ64&gt;0,1,0)+IF(BB64&gt;0,1,0)+IF(BD64&gt;0,1,0)</f>
        <v>0</v>
      </c>
      <c r="BJ64" s="270"/>
      <c r="BK64" s="271"/>
      <c r="BL64" s="271"/>
      <c r="BM64" s="271"/>
      <c r="BN64" s="271"/>
      <c r="BO64" s="271"/>
      <c r="BP64" s="272">
        <v>1</v>
      </c>
      <c r="BQ64" s="275">
        <f t="shared" ref="BQ64:BQ94" si="40">HOUR(BP64)</f>
        <v>0</v>
      </c>
      <c r="BR64" s="275">
        <f t="shared" ref="BR64:BR94" si="41">MINUTE(BP64)</f>
        <v>0</v>
      </c>
      <c r="BS64" s="273">
        <f t="shared" ref="BS64:BS94" si="42">IF(BJ64&gt;0,1,0)+IF(BL64&gt;0,1,0)+IF(BN64&gt;0,1,0)</f>
        <v>0</v>
      </c>
      <c r="BT64" s="270"/>
      <c r="BU64" s="271"/>
      <c r="BV64" s="271"/>
      <c r="BW64" s="271"/>
      <c r="BX64" s="271"/>
      <c r="BY64" s="271"/>
      <c r="BZ64" s="272">
        <v>1</v>
      </c>
      <c r="CA64" s="275">
        <f t="shared" ref="CA64:CA94" si="43">HOUR(BZ64)</f>
        <v>0</v>
      </c>
      <c r="CB64" s="275">
        <f t="shared" ref="CB64:CB94" si="44">MINUTE(BZ64)</f>
        <v>0</v>
      </c>
      <c r="CC64" s="273">
        <f t="shared" ref="CC64:CC94" si="45">IF(BT64&gt;0,1,0)+IF(BV64&gt;0,1,0)+IF(BX64&gt;0,1,0)</f>
        <v>0</v>
      </c>
      <c r="CD64" s="270"/>
      <c r="CE64" s="271"/>
      <c r="CF64" s="271"/>
      <c r="CG64" s="271"/>
      <c r="CH64" s="271"/>
      <c r="CI64" s="271"/>
      <c r="CJ64" s="272">
        <v>1</v>
      </c>
      <c r="CK64" s="275">
        <f t="shared" ref="CK64:CK94" si="46">HOUR(CJ64)</f>
        <v>0</v>
      </c>
      <c r="CL64" s="275">
        <f t="shared" ref="CL64:CL94" si="47">MINUTE(CJ64)</f>
        <v>0</v>
      </c>
      <c r="CM64" s="273">
        <f t="shared" ref="CM64:CM94" si="48">IF(CD64&gt;0,1,0)+IF(CF64&gt;0,1,0)+IF(CH64&gt;0,1,0)</f>
        <v>0</v>
      </c>
      <c r="CN64" s="270"/>
      <c r="CO64" s="271"/>
      <c r="CP64" s="271"/>
      <c r="CQ64" s="271"/>
      <c r="CR64" s="271"/>
      <c r="CS64" s="271"/>
      <c r="CT64" s="272">
        <v>1</v>
      </c>
      <c r="CU64" s="275">
        <f t="shared" ref="CU64:CU94" si="49">HOUR(CT64)</f>
        <v>0</v>
      </c>
      <c r="CV64" s="275">
        <f t="shared" ref="CV64:CV94" si="50">MINUTE(CT64)</f>
        <v>0</v>
      </c>
      <c r="CW64" s="273">
        <f t="shared" ref="CW64:CW94" si="51">IF(CN64&gt;0,1,0)+IF(CP64&gt;0,1,0)+IF(CR64&gt;0,1,0)</f>
        <v>0</v>
      </c>
      <c r="CX64" s="270"/>
      <c r="CY64" s="271"/>
      <c r="CZ64" s="271"/>
      <c r="DA64" s="271"/>
      <c r="DB64" s="271"/>
      <c r="DC64" s="271"/>
      <c r="DD64" s="272">
        <v>1</v>
      </c>
      <c r="DE64" s="275">
        <f t="shared" ref="DE64:DE94" si="52">HOUR(DD64)</f>
        <v>0</v>
      </c>
      <c r="DF64" s="275">
        <f t="shared" ref="DF64:DF94" si="53">MINUTE(DD64)</f>
        <v>0</v>
      </c>
      <c r="DG64" s="273">
        <f t="shared" ref="DG64:DG94" si="54">IF(CX64&gt;0,1,0)+IF(CZ64&gt;0,1,0)+IF(DB64&gt;0,1,0)</f>
        <v>0</v>
      </c>
      <c r="DH64" s="270"/>
      <c r="DI64" s="271"/>
      <c r="DJ64" s="271"/>
      <c r="DK64" s="271"/>
      <c r="DL64" s="271"/>
      <c r="DM64" s="271"/>
      <c r="DN64" s="272">
        <v>1</v>
      </c>
      <c r="DO64" s="275">
        <f t="shared" ref="DO64:DO94" si="55">HOUR(DN64)</f>
        <v>0</v>
      </c>
      <c r="DP64" s="275">
        <f t="shared" ref="DP64:DP94" si="56">MINUTE(DN64)</f>
        <v>0</v>
      </c>
      <c r="DQ64" s="273">
        <f t="shared" ref="DQ64:DQ94" si="57">IF(DH64&gt;0,1,0)+IF(DJ64&gt;0,1,0)+IF(DL64&gt;0,1,0)</f>
        <v>0</v>
      </c>
      <c r="DR64" s="270"/>
      <c r="DS64" s="271"/>
      <c r="DT64" s="271"/>
      <c r="DU64" s="271"/>
      <c r="DV64" s="271"/>
      <c r="DW64" s="271"/>
      <c r="DX64" s="272">
        <v>1</v>
      </c>
      <c r="DY64" s="275">
        <f t="shared" ref="DY64:DY94" si="58">HOUR(DX64)</f>
        <v>0</v>
      </c>
      <c r="DZ64" s="275">
        <f t="shared" ref="DZ64:DZ94" si="59">MINUTE(DX64)</f>
        <v>0</v>
      </c>
      <c r="EA64" s="273">
        <f t="shared" ref="EA64:EA94" si="60">IF(DR64&gt;0,1,0)+IF(DT64&gt;0,1,0)+IF(DV64&gt;0,1,0)</f>
        <v>0</v>
      </c>
      <c r="EB64" s="270"/>
      <c r="EC64" s="271"/>
      <c r="ED64" s="271"/>
      <c r="EE64" s="271"/>
      <c r="EF64" s="271"/>
      <c r="EG64" s="271"/>
      <c r="EH64" s="272">
        <v>1</v>
      </c>
      <c r="EI64" s="275">
        <f t="shared" ref="EI64:EI94" si="61">HOUR(EH64)</f>
        <v>0</v>
      </c>
      <c r="EJ64" s="275">
        <f t="shared" ref="EJ64:EJ94" si="62">MINUTE(EH64)</f>
        <v>0</v>
      </c>
      <c r="EK64" s="273">
        <f t="shared" ref="EK64:EK94" si="63">IF(EB64&gt;0,1,0)+IF(ED64&gt;0,1,0)+IF(EF64&gt;0,1,0)</f>
        <v>0</v>
      </c>
      <c r="EL64" s="270"/>
      <c r="EM64" s="271"/>
      <c r="EN64" s="271"/>
      <c r="EO64" s="271"/>
      <c r="EP64" s="271"/>
      <c r="EQ64" s="271"/>
      <c r="ER64" s="272">
        <v>1</v>
      </c>
      <c r="ES64" s="275">
        <f t="shared" ref="ES64:ES94" si="64">HOUR(ER64)</f>
        <v>0</v>
      </c>
      <c r="ET64" s="275">
        <f t="shared" ref="ET64:ET94" si="65">MINUTE(ER64)</f>
        <v>0</v>
      </c>
      <c r="EU64" s="273">
        <f t="shared" ref="EU64:EU94" si="66">IF(EL64&gt;0,1,0)+IF(EN64&gt;0,1,0)+IF(EP64&gt;0,1,0)</f>
        <v>0</v>
      </c>
      <c r="EV64" s="270"/>
      <c r="EW64" s="271">
        <v>0.20833333333333334</v>
      </c>
      <c r="EX64" s="271"/>
      <c r="EY64" s="271"/>
      <c r="EZ64" s="271"/>
      <c r="FA64" s="271"/>
      <c r="FB64" s="274">
        <f>MOD(EW64-EV64,1)+MOD(EY64-EX64,1)+MOD(FA64-EZ64,1)</f>
        <v>0.20833333333333334</v>
      </c>
      <c r="FC64" s="275">
        <f t="shared" ref="FC64:FC94" si="67">HOUR(FB64)</f>
        <v>5</v>
      </c>
      <c r="FD64" s="275">
        <f t="shared" ref="FD64:FD94" si="68">MINUTE(FB64)</f>
        <v>0</v>
      </c>
      <c r="FE64" s="273">
        <f t="shared" ref="FE64:FE94" si="69">IF(EV64&gt;0,1,0)+IF(EX64&gt;0,1,0)+IF(EZ64&gt;0,1,0)</f>
        <v>0</v>
      </c>
      <c r="FF64" s="270"/>
      <c r="FG64" s="271"/>
      <c r="FH64" s="271"/>
      <c r="FI64" s="271"/>
      <c r="FJ64" s="271"/>
      <c r="FK64" s="271"/>
      <c r="FL64" s="272">
        <v>1</v>
      </c>
      <c r="FM64" s="275">
        <f t="shared" ref="FM64:FM94" si="70">HOUR(FL64)</f>
        <v>0</v>
      </c>
      <c r="FN64" s="275">
        <f t="shared" ref="FN64:FN94" si="71">MINUTE(FL64)</f>
        <v>0</v>
      </c>
      <c r="FO64" s="273">
        <f t="shared" ref="FO64:FO94" si="72">IF(FF64&gt;0,1,0)+IF(FH64&gt;0,1,0)+IF(FJ64&gt;0,1,0)</f>
        <v>0</v>
      </c>
      <c r="FP64" s="270"/>
      <c r="FQ64" s="271"/>
      <c r="FR64" s="271"/>
      <c r="FS64" s="271"/>
      <c r="FT64" s="271"/>
      <c r="FU64" s="271"/>
      <c r="FV64" s="272">
        <v>1</v>
      </c>
      <c r="FW64" s="275">
        <f t="shared" ref="FW64:FW94" si="73">HOUR(FV64)</f>
        <v>0</v>
      </c>
      <c r="FX64" s="275">
        <f t="shared" ref="FX64:FX94" si="74">MINUTE(FV64)</f>
        <v>0</v>
      </c>
      <c r="FY64" s="273">
        <f t="shared" ref="FY64:FY94" si="75">IF(FP64&gt;0,1,0)+IF(FR64&gt;0,1,0)+IF(FT64&gt;0,1,0)</f>
        <v>0</v>
      </c>
      <c r="FZ64" s="270"/>
      <c r="GA64" s="271"/>
      <c r="GB64" s="271"/>
      <c r="GC64" s="271"/>
      <c r="GD64" s="271"/>
      <c r="GE64" s="271"/>
      <c r="GF64" s="272">
        <v>1</v>
      </c>
      <c r="GG64" s="275">
        <f t="shared" ref="GG64:GG94" si="76">HOUR(GF64)</f>
        <v>0</v>
      </c>
      <c r="GH64" s="275">
        <f t="shared" ref="GH64:GH94" si="77">MINUTE(GF64)</f>
        <v>0</v>
      </c>
      <c r="GI64" s="273">
        <f t="shared" ref="GI64:GI94" si="78">IF(FZ64&gt;0,1,0)+IF(GB64&gt;0,1,0)+IF(GD64&gt;0,1,0)</f>
        <v>0</v>
      </c>
      <c r="GJ64" s="270"/>
      <c r="GK64" s="271"/>
      <c r="GL64" s="271"/>
      <c r="GM64" s="271"/>
      <c r="GN64" s="271"/>
      <c r="GO64" s="271"/>
      <c r="GP64" s="272">
        <v>1</v>
      </c>
      <c r="GQ64" s="275">
        <f t="shared" ref="GQ64:GQ94" si="79">HOUR(GP64)</f>
        <v>0</v>
      </c>
      <c r="GR64" s="275">
        <f t="shared" ref="GR64:GR94" si="80">MINUTE(GP64)</f>
        <v>0</v>
      </c>
      <c r="GS64" s="273">
        <f t="shared" ref="GS64:GS94" si="81">IF(GJ64&gt;0,1,0)+IF(GL64&gt;0,1,0)+IF(GN64&gt;0,1,0)</f>
        <v>0</v>
      </c>
      <c r="GT64" s="270"/>
      <c r="GU64" s="271"/>
      <c r="GV64" s="271"/>
      <c r="GW64" s="271"/>
      <c r="GX64" s="271"/>
      <c r="GY64" s="271"/>
      <c r="GZ64" s="272">
        <v>1</v>
      </c>
      <c r="HA64" s="275">
        <f t="shared" ref="HA64:HA94" si="82">HOUR(GZ64)</f>
        <v>0</v>
      </c>
      <c r="HB64" s="275">
        <f t="shared" ref="HB64:HB94" si="83">MINUTE(GZ64)</f>
        <v>0</v>
      </c>
      <c r="HC64" s="273">
        <f t="shared" ref="HC64:HC94" si="84">IF(GT64&gt;0,1,0)+IF(GV64&gt;0,1,0)+IF(GX64&gt;0,1,0)</f>
        <v>0</v>
      </c>
      <c r="HD64" s="270"/>
      <c r="HE64" s="271"/>
      <c r="HF64" s="271"/>
      <c r="HG64" s="271"/>
      <c r="HH64" s="271"/>
      <c r="HI64" s="271"/>
      <c r="HJ64" s="272">
        <v>1</v>
      </c>
      <c r="HK64" s="275">
        <f t="shared" ref="HK64:HK94" si="85">HOUR(HJ64)</f>
        <v>0</v>
      </c>
      <c r="HL64" s="275">
        <f t="shared" ref="HL64:HL94" si="86">MINUTE(HJ64)</f>
        <v>0</v>
      </c>
      <c r="HM64" s="273">
        <f t="shared" ref="HM64:HM94" si="87">IF(HD64&gt;0,1,0)+IF(HF64&gt;0,1,0)+IF(HH64&gt;0,1,0)</f>
        <v>0</v>
      </c>
      <c r="HN64" s="277">
        <v>1</v>
      </c>
      <c r="HO64" s="278">
        <v>0</v>
      </c>
      <c r="HP64" s="277">
        <v>1</v>
      </c>
      <c r="HQ64" s="278">
        <v>0</v>
      </c>
      <c r="HR64" s="277">
        <v>1</v>
      </c>
      <c r="HS64" s="278">
        <v>0</v>
      </c>
      <c r="HT64" s="277">
        <v>1</v>
      </c>
      <c r="HU64" s="278">
        <v>0</v>
      </c>
      <c r="HV64" s="277">
        <v>1</v>
      </c>
      <c r="HW64" s="278">
        <v>0</v>
      </c>
      <c r="HX64" s="277">
        <v>1</v>
      </c>
      <c r="HY64" s="278">
        <v>0</v>
      </c>
      <c r="HZ64" s="277">
        <v>1</v>
      </c>
      <c r="IA64" s="278">
        <v>0</v>
      </c>
      <c r="IB64" s="277">
        <v>1</v>
      </c>
      <c r="IC64" s="278">
        <v>0</v>
      </c>
      <c r="ID64" s="277">
        <v>1</v>
      </c>
      <c r="IE64" s="278">
        <v>0</v>
      </c>
      <c r="IF64" s="277">
        <v>1</v>
      </c>
      <c r="IG64" s="278">
        <v>0</v>
      </c>
      <c r="IH64" s="277">
        <v>1</v>
      </c>
      <c r="II64" s="278">
        <v>0</v>
      </c>
      <c r="IJ64" s="277">
        <v>1</v>
      </c>
      <c r="IK64" s="278">
        <v>0</v>
      </c>
      <c r="IL64" s="277">
        <v>1</v>
      </c>
      <c r="IM64" s="278">
        <v>0</v>
      </c>
      <c r="IN64" s="277">
        <v>1</v>
      </c>
      <c r="IO64" s="278">
        <v>0</v>
      </c>
      <c r="IP64" s="277">
        <v>1</v>
      </c>
      <c r="IQ64" s="278">
        <v>0</v>
      </c>
      <c r="IR64" s="277">
        <v>0.20833333333333334</v>
      </c>
      <c r="IS64" s="278">
        <v>0</v>
      </c>
      <c r="IT64" s="277">
        <v>1</v>
      </c>
      <c r="IU64" s="278">
        <v>0</v>
      </c>
      <c r="IV64" s="277">
        <v>1</v>
      </c>
      <c r="IW64" s="278">
        <v>0</v>
      </c>
      <c r="IX64" s="277">
        <v>1</v>
      </c>
      <c r="IY64" s="278">
        <v>0</v>
      </c>
      <c r="IZ64" s="277">
        <v>1</v>
      </c>
      <c r="JA64" s="278">
        <v>0</v>
      </c>
      <c r="JB64" s="277">
        <v>1</v>
      </c>
      <c r="JC64" s="278">
        <v>0</v>
      </c>
      <c r="JD64" s="277">
        <v>1</v>
      </c>
      <c r="JE64" s="278">
        <v>0</v>
      </c>
      <c r="KB64" s="8"/>
    </row>
    <row r="65" spans="1:288">
      <c r="A65" s="207">
        <v>46083</v>
      </c>
      <c r="B65" s="270"/>
      <c r="C65" s="271"/>
      <c r="D65" s="271"/>
      <c r="E65" s="271"/>
      <c r="F65" s="271"/>
      <c r="G65" s="271"/>
      <c r="H65" s="272">
        <v>1</v>
      </c>
      <c r="I65" s="275">
        <f t="shared" si="22"/>
        <v>0</v>
      </c>
      <c r="J65" s="275">
        <f t="shared" si="23"/>
        <v>0</v>
      </c>
      <c r="K65" s="273">
        <f t="shared" si="24"/>
        <v>0</v>
      </c>
      <c r="L65" s="270"/>
      <c r="M65" s="271"/>
      <c r="N65" s="271"/>
      <c r="O65" s="271"/>
      <c r="P65" s="271"/>
      <c r="Q65" s="271"/>
      <c r="R65" s="272">
        <v>1</v>
      </c>
      <c r="S65" s="275">
        <f t="shared" si="25"/>
        <v>0</v>
      </c>
      <c r="T65" s="275">
        <f t="shared" si="26"/>
        <v>0</v>
      </c>
      <c r="U65" s="273">
        <f t="shared" si="27"/>
        <v>0</v>
      </c>
      <c r="V65" s="270"/>
      <c r="W65" s="271"/>
      <c r="X65" s="271"/>
      <c r="Y65" s="271"/>
      <c r="Z65" s="271"/>
      <c r="AA65" s="271"/>
      <c r="AB65" s="272">
        <v>1</v>
      </c>
      <c r="AC65" s="275">
        <f t="shared" si="28"/>
        <v>0</v>
      </c>
      <c r="AD65" s="275">
        <f t="shared" si="29"/>
        <v>0</v>
      </c>
      <c r="AE65" s="273">
        <f t="shared" si="30"/>
        <v>0</v>
      </c>
      <c r="AF65" s="270"/>
      <c r="AG65" s="271"/>
      <c r="AH65" s="271"/>
      <c r="AI65" s="271"/>
      <c r="AJ65" s="271"/>
      <c r="AK65" s="271"/>
      <c r="AL65" s="272">
        <v>1</v>
      </c>
      <c r="AM65" s="275">
        <f t="shared" si="31"/>
        <v>0</v>
      </c>
      <c r="AN65" s="275">
        <f t="shared" si="32"/>
        <v>0</v>
      </c>
      <c r="AO65" s="273">
        <f t="shared" si="33"/>
        <v>0</v>
      </c>
      <c r="AP65" s="270"/>
      <c r="AQ65" s="271"/>
      <c r="AR65" s="271"/>
      <c r="AS65" s="271"/>
      <c r="AT65" s="271"/>
      <c r="AU65" s="271"/>
      <c r="AV65" s="272">
        <v>1</v>
      </c>
      <c r="AW65" s="275">
        <f t="shared" si="34"/>
        <v>0</v>
      </c>
      <c r="AX65" s="275">
        <f t="shared" si="35"/>
        <v>0</v>
      </c>
      <c r="AY65" s="273">
        <f t="shared" si="36"/>
        <v>0</v>
      </c>
      <c r="AZ65" s="270"/>
      <c r="BA65" s="271"/>
      <c r="BB65" s="271"/>
      <c r="BC65" s="271"/>
      <c r="BD65" s="271"/>
      <c r="BE65" s="271"/>
      <c r="BF65" s="272">
        <v>1</v>
      </c>
      <c r="BG65" s="275">
        <f t="shared" si="37"/>
        <v>0</v>
      </c>
      <c r="BH65" s="275">
        <f t="shared" si="38"/>
        <v>0</v>
      </c>
      <c r="BI65" s="273">
        <f t="shared" si="39"/>
        <v>0</v>
      </c>
      <c r="BJ65" s="270"/>
      <c r="BK65" s="271"/>
      <c r="BL65" s="271"/>
      <c r="BM65" s="271"/>
      <c r="BN65" s="271"/>
      <c r="BO65" s="271"/>
      <c r="BP65" s="272">
        <v>1</v>
      </c>
      <c r="BQ65" s="275">
        <f t="shared" si="40"/>
        <v>0</v>
      </c>
      <c r="BR65" s="275">
        <f t="shared" si="41"/>
        <v>0</v>
      </c>
      <c r="BS65" s="273">
        <f t="shared" si="42"/>
        <v>0</v>
      </c>
      <c r="BT65" s="270"/>
      <c r="BU65" s="271"/>
      <c r="BV65" s="271"/>
      <c r="BW65" s="271"/>
      <c r="BX65" s="271"/>
      <c r="BY65" s="271"/>
      <c r="BZ65" s="272">
        <v>1</v>
      </c>
      <c r="CA65" s="275">
        <f t="shared" si="43"/>
        <v>0</v>
      </c>
      <c r="CB65" s="275">
        <f t="shared" si="44"/>
        <v>0</v>
      </c>
      <c r="CC65" s="273">
        <f t="shared" si="45"/>
        <v>0</v>
      </c>
      <c r="CD65" s="270"/>
      <c r="CE65" s="271"/>
      <c r="CF65" s="271"/>
      <c r="CG65" s="271"/>
      <c r="CH65" s="271"/>
      <c r="CI65" s="271"/>
      <c r="CJ65" s="272">
        <v>1</v>
      </c>
      <c r="CK65" s="275">
        <f t="shared" si="46"/>
        <v>0</v>
      </c>
      <c r="CL65" s="275">
        <f t="shared" si="47"/>
        <v>0</v>
      </c>
      <c r="CM65" s="273">
        <f t="shared" si="48"/>
        <v>0</v>
      </c>
      <c r="CN65" s="270"/>
      <c r="CO65" s="271"/>
      <c r="CP65" s="271"/>
      <c r="CQ65" s="271"/>
      <c r="CR65" s="271"/>
      <c r="CS65" s="271"/>
      <c r="CT65" s="272">
        <v>1</v>
      </c>
      <c r="CU65" s="275">
        <f t="shared" si="49"/>
        <v>0</v>
      </c>
      <c r="CV65" s="275">
        <f t="shared" si="50"/>
        <v>0</v>
      </c>
      <c r="CW65" s="273">
        <f t="shared" si="51"/>
        <v>0</v>
      </c>
      <c r="CX65" s="270"/>
      <c r="CY65" s="271"/>
      <c r="CZ65" s="271"/>
      <c r="DA65" s="271"/>
      <c r="DB65" s="271"/>
      <c r="DC65" s="271"/>
      <c r="DD65" s="272">
        <v>1</v>
      </c>
      <c r="DE65" s="275">
        <f t="shared" si="52"/>
        <v>0</v>
      </c>
      <c r="DF65" s="275">
        <f t="shared" si="53"/>
        <v>0</v>
      </c>
      <c r="DG65" s="273">
        <f t="shared" si="54"/>
        <v>0</v>
      </c>
      <c r="DH65" s="270"/>
      <c r="DI65" s="271"/>
      <c r="DJ65" s="271"/>
      <c r="DK65" s="271"/>
      <c r="DL65" s="271"/>
      <c r="DM65" s="271"/>
      <c r="DN65" s="272">
        <v>1</v>
      </c>
      <c r="DO65" s="275">
        <f t="shared" si="55"/>
        <v>0</v>
      </c>
      <c r="DP65" s="275">
        <f t="shared" si="56"/>
        <v>0</v>
      </c>
      <c r="DQ65" s="273">
        <f t="shared" si="57"/>
        <v>0</v>
      </c>
      <c r="DR65" s="270"/>
      <c r="DS65" s="271"/>
      <c r="DT65" s="271"/>
      <c r="DU65" s="271"/>
      <c r="DV65" s="271"/>
      <c r="DW65" s="271"/>
      <c r="DX65" s="272">
        <v>1</v>
      </c>
      <c r="DY65" s="275">
        <f t="shared" si="58"/>
        <v>0</v>
      </c>
      <c r="DZ65" s="275">
        <f t="shared" si="59"/>
        <v>0</v>
      </c>
      <c r="EA65" s="273">
        <f t="shared" si="60"/>
        <v>0</v>
      </c>
      <c r="EB65" s="270"/>
      <c r="EC65" s="271"/>
      <c r="ED65" s="271"/>
      <c r="EE65" s="271"/>
      <c r="EF65" s="271"/>
      <c r="EG65" s="271"/>
      <c r="EH65" s="272">
        <v>1</v>
      </c>
      <c r="EI65" s="275">
        <f t="shared" si="61"/>
        <v>0</v>
      </c>
      <c r="EJ65" s="275">
        <f t="shared" si="62"/>
        <v>0</v>
      </c>
      <c r="EK65" s="273">
        <f t="shared" si="63"/>
        <v>0</v>
      </c>
      <c r="EL65" s="270"/>
      <c r="EM65" s="271"/>
      <c r="EN65" s="271"/>
      <c r="EO65" s="271"/>
      <c r="EP65" s="271"/>
      <c r="EQ65" s="271"/>
      <c r="ER65" s="272">
        <v>1</v>
      </c>
      <c r="ES65" s="275">
        <f t="shared" si="64"/>
        <v>0</v>
      </c>
      <c r="ET65" s="275">
        <f t="shared" si="65"/>
        <v>0</v>
      </c>
      <c r="EU65" s="273">
        <f t="shared" si="66"/>
        <v>0</v>
      </c>
      <c r="EV65" s="270"/>
      <c r="EW65" s="271"/>
      <c r="EX65" s="271"/>
      <c r="EY65" s="271"/>
      <c r="EZ65" s="271"/>
      <c r="FA65" s="271"/>
      <c r="FB65" s="272">
        <v>0</v>
      </c>
      <c r="FC65" s="275">
        <f t="shared" si="67"/>
        <v>0</v>
      </c>
      <c r="FD65" s="275">
        <f t="shared" si="68"/>
        <v>0</v>
      </c>
      <c r="FE65" s="273">
        <f t="shared" si="69"/>
        <v>0</v>
      </c>
      <c r="FF65" s="270"/>
      <c r="FG65" s="271"/>
      <c r="FH65" s="271"/>
      <c r="FI65" s="271"/>
      <c r="FJ65" s="271"/>
      <c r="FK65" s="271"/>
      <c r="FL65" s="272">
        <v>1</v>
      </c>
      <c r="FM65" s="275">
        <f t="shared" si="70"/>
        <v>0</v>
      </c>
      <c r="FN65" s="275">
        <f t="shared" si="71"/>
        <v>0</v>
      </c>
      <c r="FO65" s="273">
        <f t="shared" si="72"/>
        <v>0</v>
      </c>
      <c r="FP65" s="270"/>
      <c r="FQ65" s="271"/>
      <c r="FR65" s="271"/>
      <c r="FS65" s="271"/>
      <c r="FT65" s="271"/>
      <c r="FU65" s="271"/>
      <c r="FV65" s="272">
        <v>1</v>
      </c>
      <c r="FW65" s="275">
        <f t="shared" si="73"/>
        <v>0</v>
      </c>
      <c r="FX65" s="275">
        <f t="shared" si="74"/>
        <v>0</v>
      </c>
      <c r="FY65" s="273">
        <f t="shared" si="75"/>
        <v>0</v>
      </c>
      <c r="FZ65" s="270"/>
      <c r="GA65" s="271"/>
      <c r="GB65" s="271"/>
      <c r="GC65" s="271"/>
      <c r="GD65" s="271"/>
      <c r="GE65" s="271"/>
      <c r="GF65" s="272">
        <v>1</v>
      </c>
      <c r="GG65" s="275">
        <f t="shared" si="76"/>
        <v>0</v>
      </c>
      <c r="GH65" s="275">
        <f t="shared" si="77"/>
        <v>0</v>
      </c>
      <c r="GI65" s="273">
        <f t="shared" si="78"/>
        <v>0</v>
      </c>
      <c r="GJ65" s="270"/>
      <c r="GK65" s="271"/>
      <c r="GL65" s="271"/>
      <c r="GM65" s="271"/>
      <c r="GN65" s="271"/>
      <c r="GO65" s="271"/>
      <c r="GP65" s="272">
        <v>1</v>
      </c>
      <c r="GQ65" s="275">
        <f t="shared" si="79"/>
        <v>0</v>
      </c>
      <c r="GR65" s="275">
        <f t="shared" si="80"/>
        <v>0</v>
      </c>
      <c r="GS65" s="273">
        <f t="shared" si="81"/>
        <v>0</v>
      </c>
      <c r="GT65" s="270"/>
      <c r="GU65" s="271"/>
      <c r="GV65" s="271"/>
      <c r="GW65" s="271"/>
      <c r="GX65" s="271"/>
      <c r="GY65" s="271"/>
      <c r="GZ65" s="272">
        <v>1</v>
      </c>
      <c r="HA65" s="275">
        <f t="shared" si="82"/>
        <v>0</v>
      </c>
      <c r="HB65" s="275">
        <f t="shared" si="83"/>
        <v>0</v>
      </c>
      <c r="HC65" s="273">
        <f t="shared" si="84"/>
        <v>0</v>
      </c>
      <c r="HD65" s="270"/>
      <c r="HE65" s="271"/>
      <c r="HF65" s="271"/>
      <c r="HG65" s="271"/>
      <c r="HH65" s="271"/>
      <c r="HI65" s="271"/>
      <c r="HJ65" s="272">
        <v>1</v>
      </c>
      <c r="HK65" s="275">
        <f t="shared" si="85"/>
        <v>0</v>
      </c>
      <c r="HL65" s="275">
        <f t="shared" si="86"/>
        <v>0</v>
      </c>
      <c r="HM65" s="273">
        <f t="shared" si="87"/>
        <v>0</v>
      </c>
      <c r="HN65" s="277">
        <v>1</v>
      </c>
      <c r="HO65" s="278">
        <v>0</v>
      </c>
      <c r="HP65" s="277">
        <v>1</v>
      </c>
      <c r="HQ65" s="278">
        <v>0</v>
      </c>
      <c r="HR65" s="277">
        <v>1</v>
      </c>
      <c r="HS65" s="278">
        <v>0</v>
      </c>
      <c r="HT65" s="277">
        <v>1</v>
      </c>
      <c r="HU65" s="278">
        <v>0</v>
      </c>
      <c r="HV65" s="277">
        <v>1</v>
      </c>
      <c r="HW65" s="278">
        <v>0</v>
      </c>
      <c r="HX65" s="277">
        <v>1</v>
      </c>
      <c r="HY65" s="278">
        <v>0</v>
      </c>
      <c r="HZ65" s="277">
        <v>1</v>
      </c>
      <c r="IA65" s="278">
        <v>0</v>
      </c>
      <c r="IB65" s="277">
        <v>1</v>
      </c>
      <c r="IC65" s="278">
        <v>0</v>
      </c>
      <c r="ID65" s="277">
        <v>1</v>
      </c>
      <c r="IE65" s="278">
        <v>0</v>
      </c>
      <c r="IF65" s="277">
        <v>1</v>
      </c>
      <c r="IG65" s="278">
        <v>0</v>
      </c>
      <c r="IH65" s="277">
        <v>1</v>
      </c>
      <c r="II65" s="278">
        <v>0</v>
      </c>
      <c r="IJ65" s="277">
        <v>1</v>
      </c>
      <c r="IK65" s="278">
        <v>0</v>
      </c>
      <c r="IL65" s="277">
        <v>1</v>
      </c>
      <c r="IM65" s="278">
        <v>0</v>
      </c>
      <c r="IN65" s="277">
        <v>1</v>
      </c>
      <c r="IO65" s="278">
        <v>0</v>
      </c>
      <c r="IP65" s="277">
        <v>1</v>
      </c>
      <c r="IQ65" s="278">
        <v>0</v>
      </c>
      <c r="IR65" s="277">
        <v>0</v>
      </c>
      <c r="IS65" s="278">
        <v>0</v>
      </c>
      <c r="IT65" s="277">
        <v>1</v>
      </c>
      <c r="IU65" s="278">
        <v>0</v>
      </c>
      <c r="IV65" s="277">
        <v>1</v>
      </c>
      <c r="IW65" s="278">
        <v>0</v>
      </c>
      <c r="IX65" s="277">
        <v>1</v>
      </c>
      <c r="IY65" s="278">
        <v>0</v>
      </c>
      <c r="IZ65" s="277">
        <v>1</v>
      </c>
      <c r="JA65" s="278">
        <v>0</v>
      </c>
      <c r="JB65" s="277">
        <v>1</v>
      </c>
      <c r="JC65" s="278">
        <v>0</v>
      </c>
      <c r="JD65" s="277">
        <v>1</v>
      </c>
      <c r="JE65" s="278">
        <v>0</v>
      </c>
      <c r="KB65" s="8"/>
    </row>
    <row r="66" spans="1:288">
      <c r="A66" s="207">
        <v>46084</v>
      </c>
      <c r="B66" s="270"/>
      <c r="C66" s="271"/>
      <c r="D66" s="271"/>
      <c r="E66" s="271"/>
      <c r="F66" s="271"/>
      <c r="G66" s="271"/>
      <c r="H66" s="272">
        <v>1</v>
      </c>
      <c r="I66" s="275">
        <f t="shared" si="22"/>
        <v>0</v>
      </c>
      <c r="J66" s="275">
        <f t="shared" si="23"/>
        <v>0</v>
      </c>
      <c r="K66" s="273">
        <f t="shared" si="24"/>
        <v>0</v>
      </c>
      <c r="L66" s="270"/>
      <c r="M66" s="271"/>
      <c r="N66" s="271"/>
      <c r="O66" s="271"/>
      <c r="P66" s="271"/>
      <c r="Q66" s="271"/>
      <c r="R66" s="272">
        <v>1</v>
      </c>
      <c r="S66" s="275">
        <f t="shared" si="25"/>
        <v>0</v>
      </c>
      <c r="T66" s="275">
        <f t="shared" si="26"/>
        <v>0</v>
      </c>
      <c r="U66" s="273">
        <f t="shared" si="27"/>
        <v>0</v>
      </c>
      <c r="V66" s="270"/>
      <c r="W66" s="271"/>
      <c r="X66" s="271"/>
      <c r="Y66" s="271"/>
      <c r="Z66" s="271"/>
      <c r="AA66" s="271"/>
      <c r="AB66" s="272">
        <v>1</v>
      </c>
      <c r="AC66" s="275">
        <f t="shared" si="28"/>
        <v>0</v>
      </c>
      <c r="AD66" s="275">
        <f t="shared" si="29"/>
        <v>0</v>
      </c>
      <c r="AE66" s="273">
        <f t="shared" si="30"/>
        <v>0</v>
      </c>
      <c r="AF66" s="270"/>
      <c r="AG66" s="271"/>
      <c r="AH66" s="271"/>
      <c r="AI66" s="271"/>
      <c r="AJ66" s="271"/>
      <c r="AK66" s="271"/>
      <c r="AL66" s="272">
        <v>1</v>
      </c>
      <c r="AM66" s="275">
        <f t="shared" si="31"/>
        <v>0</v>
      </c>
      <c r="AN66" s="275">
        <f t="shared" si="32"/>
        <v>0</v>
      </c>
      <c r="AO66" s="273">
        <f t="shared" si="33"/>
        <v>0</v>
      </c>
      <c r="AP66" s="270"/>
      <c r="AQ66" s="271"/>
      <c r="AR66" s="271"/>
      <c r="AS66" s="271"/>
      <c r="AT66" s="271"/>
      <c r="AU66" s="271"/>
      <c r="AV66" s="272">
        <v>1</v>
      </c>
      <c r="AW66" s="275">
        <f t="shared" si="34"/>
        <v>0</v>
      </c>
      <c r="AX66" s="275">
        <f t="shared" si="35"/>
        <v>0</v>
      </c>
      <c r="AY66" s="273">
        <f t="shared" si="36"/>
        <v>0</v>
      </c>
      <c r="AZ66" s="270"/>
      <c r="BA66" s="271"/>
      <c r="BB66" s="271"/>
      <c r="BC66" s="271"/>
      <c r="BD66" s="271"/>
      <c r="BE66" s="271"/>
      <c r="BF66" s="272">
        <v>1</v>
      </c>
      <c r="BG66" s="275">
        <f t="shared" si="37"/>
        <v>0</v>
      </c>
      <c r="BH66" s="275">
        <f t="shared" si="38"/>
        <v>0</v>
      </c>
      <c r="BI66" s="273">
        <f t="shared" si="39"/>
        <v>0</v>
      </c>
      <c r="BJ66" s="270"/>
      <c r="BK66" s="271"/>
      <c r="BL66" s="271"/>
      <c r="BM66" s="271"/>
      <c r="BN66" s="271"/>
      <c r="BO66" s="271"/>
      <c r="BP66" s="272">
        <v>1</v>
      </c>
      <c r="BQ66" s="275">
        <f t="shared" si="40"/>
        <v>0</v>
      </c>
      <c r="BR66" s="275">
        <f t="shared" si="41"/>
        <v>0</v>
      </c>
      <c r="BS66" s="273">
        <f t="shared" si="42"/>
        <v>0</v>
      </c>
      <c r="BT66" s="270"/>
      <c r="BU66" s="271"/>
      <c r="BV66" s="271"/>
      <c r="BW66" s="271"/>
      <c r="BX66" s="271"/>
      <c r="BY66" s="271"/>
      <c r="BZ66" s="272">
        <v>1</v>
      </c>
      <c r="CA66" s="275">
        <f t="shared" si="43"/>
        <v>0</v>
      </c>
      <c r="CB66" s="275">
        <f t="shared" si="44"/>
        <v>0</v>
      </c>
      <c r="CC66" s="273">
        <f t="shared" si="45"/>
        <v>0</v>
      </c>
      <c r="CD66" s="270"/>
      <c r="CE66" s="271"/>
      <c r="CF66" s="271"/>
      <c r="CG66" s="271"/>
      <c r="CH66" s="271"/>
      <c r="CI66" s="271"/>
      <c r="CJ66" s="272">
        <v>1</v>
      </c>
      <c r="CK66" s="275">
        <f t="shared" si="46"/>
        <v>0</v>
      </c>
      <c r="CL66" s="275">
        <f t="shared" si="47"/>
        <v>0</v>
      </c>
      <c r="CM66" s="273">
        <f t="shared" si="48"/>
        <v>0</v>
      </c>
      <c r="CN66" s="270"/>
      <c r="CO66" s="271"/>
      <c r="CP66" s="271"/>
      <c r="CQ66" s="271"/>
      <c r="CR66" s="271"/>
      <c r="CS66" s="271"/>
      <c r="CT66" s="272">
        <v>1</v>
      </c>
      <c r="CU66" s="275">
        <f t="shared" si="49"/>
        <v>0</v>
      </c>
      <c r="CV66" s="275">
        <f t="shared" si="50"/>
        <v>0</v>
      </c>
      <c r="CW66" s="273">
        <f t="shared" si="51"/>
        <v>0</v>
      </c>
      <c r="CX66" s="270"/>
      <c r="CY66" s="271"/>
      <c r="CZ66" s="271"/>
      <c r="DA66" s="271"/>
      <c r="DB66" s="271"/>
      <c r="DC66" s="271"/>
      <c r="DD66" s="272">
        <v>1</v>
      </c>
      <c r="DE66" s="275">
        <f t="shared" si="52"/>
        <v>0</v>
      </c>
      <c r="DF66" s="275">
        <f t="shared" si="53"/>
        <v>0</v>
      </c>
      <c r="DG66" s="273">
        <f t="shared" si="54"/>
        <v>0</v>
      </c>
      <c r="DH66" s="270"/>
      <c r="DI66" s="271"/>
      <c r="DJ66" s="271"/>
      <c r="DK66" s="271"/>
      <c r="DL66" s="271"/>
      <c r="DM66" s="271"/>
      <c r="DN66" s="272">
        <v>1</v>
      </c>
      <c r="DO66" s="275">
        <f t="shared" si="55"/>
        <v>0</v>
      </c>
      <c r="DP66" s="275">
        <f t="shared" si="56"/>
        <v>0</v>
      </c>
      <c r="DQ66" s="273">
        <f t="shared" si="57"/>
        <v>0</v>
      </c>
      <c r="DR66" s="270"/>
      <c r="DS66" s="271"/>
      <c r="DT66" s="271"/>
      <c r="DU66" s="271"/>
      <c r="DV66" s="271"/>
      <c r="DW66" s="271"/>
      <c r="DX66" s="272">
        <v>1</v>
      </c>
      <c r="DY66" s="275">
        <f t="shared" si="58"/>
        <v>0</v>
      </c>
      <c r="DZ66" s="275">
        <f t="shared" si="59"/>
        <v>0</v>
      </c>
      <c r="EA66" s="273">
        <f t="shared" si="60"/>
        <v>0</v>
      </c>
      <c r="EB66" s="270"/>
      <c r="EC66" s="271"/>
      <c r="ED66" s="271"/>
      <c r="EE66" s="271"/>
      <c r="EF66" s="271"/>
      <c r="EG66" s="271"/>
      <c r="EH66" s="272">
        <v>1</v>
      </c>
      <c r="EI66" s="275">
        <f t="shared" si="61"/>
        <v>0</v>
      </c>
      <c r="EJ66" s="275">
        <f t="shared" si="62"/>
        <v>0</v>
      </c>
      <c r="EK66" s="273">
        <f t="shared" si="63"/>
        <v>0</v>
      </c>
      <c r="EL66" s="270"/>
      <c r="EM66" s="271"/>
      <c r="EN66" s="271"/>
      <c r="EO66" s="271"/>
      <c r="EP66" s="271"/>
      <c r="EQ66" s="271"/>
      <c r="ER66" s="272">
        <v>1</v>
      </c>
      <c r="ES66" s="275">
        <f t="shared" si="64"/>
        <v>0</v>
      </c>
      <c r="ET66" s="275">
        <f t="shared" si="65"/>
        <v>0</v>
      </c>
      <c r="EU66" s="273">
        <f t="shared" si="66"/>
        <v>0</v>
      </c>
      <c r="EV66" s="270"/>
      <c r="EW66" s="271"/>
      <c r="EX66" s="271"/>
      <c r="EY66" s="271"/>
      <c r="EZ66" s="271"/>
      <c r="FA66" s="271"/>
      <c r="FB66" s="272">
        <v>0</v>
      </c>
      <c r="FC66" s="275">
        <f t="shared" si="67"/>
        <v>0</v>
      </c>
      <c r="FD66" s="275">
        <f t="shared" si="68"/>
        <v>0</v>
      </c>
      <c r="FE66" s="273">
        <f t="shared" si="69"/>
        <v>0</v>
      </c>
      <c r="FF66" s="270"/>
      <c r="FG66" s="271"/>
      <c r="FH66" s="271"/>
      <c r="FI66" s="271"/>
      <c r="FJ66" s="271"/>
      <c r="FK66" s="271"/>
      <c r="FL66" s="272">
        <v>1</v>
      </c>
      <c r="FM66" s="275">
        <f t="shared" si="70"/>
        <v>0</v>
      </c>
      <c r="FN66" s="275">
        <f t="shared" si="71"/>
        <v>0</v>
      </c>
      <c r="FO66" s="273">
        <f t="shared" si="72"/>
        <v>0</v>
      </c>
      <c r="FP66" s="270"/>
      <c r="FQ66" s="271"/>
      <c r="FR66" s="271"/>
      <c r="FS66" s="271"/>
      <c r="FT66" s="271"/>
      <c r="FU66" s="271"/>
      <c r="FV66" s="272">
        <v>1</v>
      </c>
      <c r="FW66" s="275">
        <f t="shared" si="73"/>
        <v>0</v>
      </c>
      <c r="FX66" s="275">
        <f t="shared" si="74"/>
        <v>0</v>
      </c>
      <c r="FY66" s="273">
        <f t="shared" si="75"/>
        <v>0</v>
      </c>
      <c r="FZ66" s="270"/>
      <c r="GA66" s="271"/>
      <c r="GB66" s="271"/>
      <c r="GC66" s="271"/>
      <c r="GD66" s="271"/>
      <c r="GE66" s="271"/>
      <c r="GF66" s="272">
        <v>1</v>
      </c>
      <c r="GG66" s="275">
        <f t="shared" si="76"/>
        <v>0</v>
      </c>
      <c r="GH66" s="275">
        <f t="shared" si="77"/>
        <v>0</v>
      </c>
      <c r="GI66" s="273">
        <f t="shared" si="78"/>
        <v>0</v>
      </c>
      <c r="GJ66" s="270"/>
      <c r="GK66" s="271"/>
      <c r="GL66" s="271"/>
      <c r="GM66" s="271"/>
      <c r="GN66" s="271"/>
      <c r="GO66" s="271"/>
      <c r="GP66" s="272">
        <v>1</v>
      </c>
      <c r="GQ66" s="275">
        <f t="shared" si="79"/>
        <v>0</v>
      </c>
      <c r="GR66" s="275">
        <f t="shared" si="80"/>
        <v>0</v>
      </c>
      <c r="GS66" s="273">
        <f t="shared" si="81"/>
        <v>0</v>
      </c>
      <c r="GT66" s="270"/>
      <c r="GU66" s="271"/>
      <c r="GV66" s="271"/>
      <c r="GW66" s="271"/>
      <c r="GX66" s="271"/>
      <c r="GY66" s="271"/>
      <c r="GZ66" s="272">
        <v>1</v>
      </c>
      <c r="HA66" s="275">
        <f t="shared" si="82"/>
        <v>0</v>
      </c>
      <c r="HB66" s="275">
        <f t="shared" si="83"/>
        <v>0</v>
      </c>
      <c r="HC66" s="273">
        <f t="shared" si="84"/>
        <v>0</v>
      </c>
      <c r="HD66" s="270"/>
      <c r="HE66" s="271"/>
      <c r="HF66" s="271"/>
      <c r="HG66" s="271"/>
      <c r="HH66" s="271"/>
      <c r="HI66" s="271"/>
      <c r="HJ66" s="272">
        <v>1</v>
      </c>
      <c r="HK66" s="275">
        <f t="shared" si="85"/>
        <v>0</v>
      </c>
      <c r="HL66" s="275">
        <f t="shared" si="86"/>
        <v>0</v>
      </c>
      <c r="HM66" s="273">
        <f t="shared" si="87"/>
        <v>0</v>
      </c>
      <c r="HN66" s="277">
        <v>1</v>
      </c>
      <c r="HO66" s="278">
        <v>0</v>
      </c>
      <c r="HP66" s="277">
        <v>1</v>
      </c>
      <c r="HQ66" s="278">
        <v>0</v>
      </c>
      <c r="HR66" s="277">
        <v>1</v>
      </c>
      <c r="HS66" s="278">
        <v>0</v>
      </c>
      <c r="HT66" s="277">
        <v>1</v>
      </c>
      <c r="HU66" s="278">
        <v>0</v>
      </c>
      <c r="HV66" s="277">
        <v>1</v>
      </c>
      <c r="HW66" s="278">
        <v>0</v>
      </c>
      <c r="HX66" s="277">
        <v>1</v>
      </c>
      <c r="HY66" s="278">
        <v>0</v>
      </c>
      <c r="HZ66" s="277">
        <v>1</v>
      </c>
      <c r="IA66" s="278">
        <v>0</v>
      </c>
      <c r="IB66" s="277">
        <v>1</v>
      </c>
      <c r="IC66" s="278">
        <v>0</v>
      </c>
      <c r="ID66" s="277">
        <v>1</v>
      </c>
      <c r="IE66" s="278">
        <v>0</v>
      </c>
      <c r="IF66" s="277">
        <v>1</v>
      </c>
      <c r="IG66" s="278">
        <v>0</v>
      </c>
      <c r="IH66" s="277">
        <v>1</v>
      </c>
      <c r="II66" s="278">
        <v>0</v>
      </c>
      <c r="IJ66" s="277">
        <v>1</v>
      </c>
      <c r="IK66" s="278">
        <v>0</v>
      </c>
      <c r="IL66" s="277">
        <v>1</v>
      </c>
      <c r="IM66" s="278">
        <v>0</v>
      </c>
      <c r="IN66" s="277">
        <v>1</v>
      </c>
      <c r="IO66" s="278">
        <v>0</v>
      </c>
      <c r="IP66" s="277">
        <v>1</v>
      </c>
      <c r="IQ66" s="278">
        <v>0</v>
      </c>
      <c r="IR66" s="277">
        <v>0</v>
      </c>
      <c r="IS66" s="278">
        <v>0</v>
      </c>
      <c r="IT66" s="277">
        <v>1</v>
      </c>
      <c r="IU66" s="278">
        <v>0</v>
      </c>
      <c r="IV66" s="277">
        <v>1</v>
      </c>
      <c r="IW66" s="278">
        <v>0</v>
      </c>
      <c r="IX66" s="277">
        <v>1</v>
      </c>
      <c r="IY66" s="278">
        <v>0</v>
      </c>
      <c r="IZ66" s="277">
        <v>1</v>
      </c>
      <c r="JA66" s="278">
        <v>0</v>
      </c>
      <c r="JB66" s="277">
        <v>1</v>
      </c>
      <c r="JC66" s="278">
        <v>0</v>
      </c>
      <c r="JD66" s="277">
        <v>1</v>
      </c>
      <c r="JE66" s="278">
        <v>0</v>
      </c>
      <c r="KB66" s="8"/>
    </row>
    <row r="67" spans="1:288">
      <c r="A67" s="207">
        <v>46085</v>
      </c>
      <c r="B67" s="270"/>
      <c r="C67" s="271"/>
      <c r="D67" s="271"/>
      <c r="E67" s="271"/>
      <c r="F67" s="271"/>
      <c r="G67" s="271"/>
      <c r="H67" s="272">
        <v>1</v>
      </c>
      <c r="I67" s="275">
        <f t="shared" si="22"/>
        <v>0</v>
      </c>
      <c r="J67" s="275">
        <f t="shared" si="23"/>
        <v>0</v>
      </c>
      <c r="K67" s="273">
        <f t="shared" si="24"/>
        <v>0</v>
      </c>
      <c r="L67" s="270"/>
      <c r="M67" s="271"/>
      <c r="N67" s="271"/>
      <c r="O67" s="271"/>
      <c r="P67" s="271"/>
      <c r="Q67" s="271"/>
      <c r="R67" s="272">
        <v>1</v>
      </c>
      <c r="S67" s="275">
        <f t="shared" si="25"/>
        <v>0</v>
      </c>
      <c r="T67" s="275">
        <f t="shared" si="26"/>
        <v>0</v>
      </c>
      <c r="U67" s="273">
        <f t="shared" si="27"/>
        <v>0</v>
      </c>
      <c r="V67" s="270"/>
      <c r="W67" s="271"/>
      <c r="X67" s="271"/>
      <c r="Y67" s="271"/>
      <c r="Z67" s="271"/>
      <c r="AA67" s="271"/>
      <c r="AB67" s="272">
        <v>1</v>
      </c>
      <c r="AC67" s="275">
        <f t="shared" si="28"/>
        <v>0</v>
      </c>
      <c r="AD67" s="275">
        <f t="shared" si="29"/>
        <v>0</v>
      </c>
      <c r="AE67" s="273">
        <f t="shared" si="30"/>
        <v>0</v>
      </c>
      <c r="AF67" s="270"/>
      <c r="AG67" s="271"/>
      <c r="AH67" s="271"/>
      <c r="AI67" s="271"/>
      <c r="AJ67" s="271"/>
      <c r="AK67" s="271"/>
      <c r="AL67" s="272">
        <v>1</v>
      </c>
      <c r="AM67" s="275">
        <f t="shared" si="31"/>
        <v>0</v>
      </c>
      <c r="AN67" s="275">
        <f t="shared" si="32"/>
        <v>0</v>
      </c>
      <c r="AO67" s="273">
        <f t="shared" si="33"/>
        <v>0</v>
      </c>
      <c r="AP67" s="270"/>
      <c r="AQ67" s="271"/>
      <c r="AR67" s="271"/>
      <c r="AS67" s="271"/>
      <c r="AT67" s="271"/>
      <c r="AU67" s="271"/>
      <c r="AV67" s="272">
        <v>1</v>
      </c>
      <c r="AW67" s="275">
        <f t="shared" si="34"/>
        <v>0</v>
      </c>
      <c r="AX67" s="275">
        <f t="shared" si="35"/>
        <v>0</v>
      </c>
      <c r="AY67" s="273">
        <f t="shared" si="36"/>
        <v>0</v>
      </c>
      <c r="AZ67" s="270"/>
      <c r="BA67" s="271"/>
      <c r="BB67" s="271"/>
      <c r="BC67" s="271"/>
      <c r="BD67" s="271"/>
      <c r="BE67" s="271"/>
      <c r="BF67" s="272">
        <v>1</v>
      </c>
      <c r="BG67" s="275">
        <f t="shared" si="37"/>
        <v>0</v>
      </c>
      <c r="BH67" s="275">
        <f t="shared" si="38"/>
        <v>0</v>
      </c>
      <c r="BI67" s="273">
        <f t="shared" si="39"/>
        <v>0</v>
      </c>
      <c r="BJ67" s="270"/>
      <c r="BK67" s="271"/>
      <c r="BL67" s="271"/>
      <c r="BM67" s="271"/>
      <c r="BN67" s="271"/>
      <c r="BO67" s="271"/>
      <c r="BP67" s="272">
        <v>1</v>
      </c>
      <c r="BQ67" s="275">
        <f t="shared" si="40"/>
        <v>0</v>
      </c>
      <c r="BR67" s="275">
        <f t="shared" si="41"/>
        <v>0</v>
      </c>
      <c r="BS67" s="273">
        <f t="shared" si="42"/>
        <v>0</v>
      </c>
      <c r="BT67" s="270"/>
      <c r="BU67" s="271"/>
      <c r="BV67" s="271"/>
      <c r="BW67" s="271"/>
      <c r="BX67" s="271"/>
      <c r="BY67" s="271"/>
      <c r="BZ67" s="272">
        <v>1</v>
      </c>
      <c r="CA67" s="275">
        <f t="shared" si="43"/>
        <v>0</v>
      </c>
      <c r="CB67" s="275">
        <f t="shared" si="44"/>
        <v>0</v>
      </c>
      <c r="CC67" s="273">
        <f t="shared" si="45"/>
        <v>0</v>
      </c>
      <c r="CD67" s="270"/>
      <c r="CE67" s="271"/>
      <c r="CF67" s="271"/>
      <c r="CG67" s="271"/>
      <c r="CH67" s="271"/>
      <c r="CI67" s="271"/>
      <c r="CJ67" s="272">
        <v>1</v>
      </c>
      <c r="CK67" s="275">
        <f t="shared" si="46"/>
        <v>0</v>
      </c>
      <c r="CL67" s="275">
        <f t="shared" si="47"/>
        <v>0</v>
      </c>
      <c r="CM67" s="273">
        <f t="shared" si="48"/>
        <v>0</v>
      </c>
      <c r="CN67" s="270"/>
      <c r="CO67" s="271"/>
      <c r="CP67" s="271"/>
      <c r="CQ67" s="271"/>
      <c r="CR67" s="271"/>
      <c r="CS67" s="271"/>
      <c r="CT67" s="272">
        <v>1</v>
      </c>
      <c r="CU67" s="275">
        <f t="shared" si="49"/>
        <v>0</v>
      </c>
      <c r="CV67" s="275">
        <f t="shared" si="50"/>
        <v>0</v>
      </c>
      <c r="CW67" s="273">
        <f t="shared" si="51"/>
        <v>0</v>
      </c>
      <c r="CX67" s="270"/>
      <c r="CY67" s="271"/>
      <c r="CZ67" s="271"/>
      <c r="DA67" s="271"/>
      <c r="DB67" s="271"/>
      <c r="DC67" s="271"/>
      <c r="DD67" s="272">
        <v>1</v>
      </c>
      <c r="DE67" s="275">
        <f t="shared" si="52"/>
        <v>0</v>
      </c>
      <c r="DF67" s="275">
        <f t="shared" si="53"/>
        <v>0</v>
      </c>
      <c r="DG67" s="273">
        <f t="shared" si="54"/>
        <v>0</v>
      </c>
      <c r="DH67" s="270"/>
      <c r="DI67" s="271"/>
      <c r="DJ67" s="271"/>
      <c r="DK67" s="271"/>
      <c r="DL67" s="271"/>
      <c r="DM67" s="271"/>
      <c r="DN67" s="272">
        <v>1</v>
      </c>
      <c r="DO67" s="275">
        <f t="shared" si="55"/>
        <v>0</v>
      </c>
      <c r="DP67" s="275">
        <f t="shared" si="56"/>
        <v>0</v>
      </c>
      <c r="DQ67" s="273">
        <f t="shared" si="57"/>
        <v>0</v>
      </c>
      <c r="DR67" s="270"/>
      <c r="DS67" s="271"/>
      <c r="DT67" s="271"/>
      <c r="DU67" s="271"/>
      <c r="DV67" s="271"/>
      <c r="DW67" s="271"/>
      <c r="DX67" s="272">
        <v>1</v>
      </c>
      <c r="DY67" s="275">
        <f t="shared" si="58"/>
        <v>0</v>
      </c>
      <c r="DZ67" s="275">
        <f t="shared" si="59"/>
        <v>0</v>
      </c>
      <c r="EA67" s="273">
        <f t="shared" si="60"/>
        <v>0</v>
      </c>
      <c r="EB67" s="270"/>
      <c r="EC67" s="271"/>
      <c r="ED67" s="271"/>
      <c r="EE67" s="271"/>
      <c r="EF67" s="271"/>
      <c r="EG67" s="271"/>
      <c r="EH67" s="272">
        <v>1</v>
      </c>
      <c r="EI67" s="275">
        <f t="shared" si="61"/>
        <v>0</v>
      </c>
      <c r="EJ67" s="275">
        <f t="shared" si="62"/>
        <v>0</v>
      </c>
      <c r="EK67" s="273">
        <f t="shared" si="63"/>
        <v>0</v>
      </c>
      <c r="EL67" s="270"/>
      <c r="EM67" s="271"/>
      <c r="EN67" s="271"/>
      <c r="EO67" s="271"/>
      <c r="EP67" s="271"/>
      <c r="EQ67" s="271"/>
      <c r="ER67" s="272">
        <v>1</v>
      </c>
      <c r="ES67" s="275">
        <f t="shared" si="64"/>
        <v>0</v>
      </c>
      <c r="ET67" s="275">
        <f t="shared" si="65"/>
        <v>0</v>
      </c>
      <c r="EU67" s="273">
        <f t="shared" si="66"/>
        <v>0</v>
      </c>
      <c r="EV67" s="270">
        <v>0.85416666666666663</v>
      </c>
      <c r="EW67" s="271"/>
      <c r="EX67" s="271"/>
      <c r="EY67" s="271"/>
      <c r="EZ67" s="271"/>
      <c r="FA67" s="271"/>
      <c r="FB67" s="274">
        <f>MOD(EW67-EV67,1)+MOD(EY67-EX67,1)+MOD(FA67-EZ67,1)</f>
        <v>0.14583333333333337</v>
      </c>
      <c r="FC67" s="275">
        <f t="shared" si="67"/>
        <v>3</v>
      </c>
      <c r="FD67" s="275">
        <f t="shared" si="68"/>
        <v>30</v>
      </c>
      <c r="FE67" s="273">
        <f t="shared" si="69"/>
        <v>1</v>
      </c>
      <c r="FF67" s="270"/>
      <c r="FG67" s="271"/>
      <c r="FH67" s="271"/>
      <c r="FI67" s="271"/>
      <c r="FJ67" s="271"/>
      <c r="FK67" s="271"/>
      <c r="FL67" s="272">
        <v>1</v>
      </c>
      <c r="FM67" s="275">
        <f t="shared" si="70"/>
        <v>0</v>
      </c>
      <c r="FN67" s="275">
        <f t="shared" si="71"/>
        <v>0</v>
      </c>
      <c r="FO67" s="273">
        <f t="shared" si="72"/>
        <v>0</v>
      </c>
      <c r="FP67" s="270"/>
      <c r="FQ67" s="271"/>
      <c r="FR67" s="271"/>
      <c r="FS67" s="271"/>
      <c r="FT67" s="271"/>
      <c r="FU67" s="271"/>
      <c r="FV67" s="272">
        <v>1</v>
      </c>
      <c r="FW67" s="275">
        <f t="shared" si="73"/>
        <v>0</v>
      </c>
      <c r="FX67" s="275">
        <f t="shared" si="74"/>
        <v>0</v>
      </c>
      <c r="FY67" s="273">
        <f t="shared" si="75"/>
        <v>0</v>
      </c>
      <c r="FZ67" s="270"/>
      <c r="GA67" s="271"/>
      <c r="GB67" s="271"/>
      <c r="GC67" s="271"/>
      <c r="GD67" s="271"/>
      <c r="GE67" s="271"/>
      <c r="GF67" s="272">
        <v>1</v>
      </c>
      <c r="GG67" s="275">
        <f t="shared" si="76"/>
        <v>0</v>
      </c>
      <c r="GH67" s="275">
        <f t="shared" si="77"/>
        <v>0</v>
      </c>
      <c r="GI67" s="273">
        <f t="shared" si="78"/>
        <v>0</v>
      </c>
      <c r="GJ67" s="270"/>
      <c r="GK67" s="271"/>
      <c r="GL67" s="271"/>
      <c r="GM67" s="271"/>
      <c r="GN67" s="271"/>
      <c r="GO67" s="271"/>
      <c r="GP67" s="272">
        <v>1</v>
      </c>
      <c r="GQ67" s="275">
        <f t="shared" si="79"/>
        <v>0</v>
      </c>
      <c r="GR67" s="275">
        <f t="shared" si="80"/>
        <v>0</v>
      </c>
      <c r="GS67" s="273">
        <f t="shared" si="81"/>
        <v>0</v>
      </c>
      <c r="GT67" s="270"/>
      <c r="GU67" s="271"/>
      <c r="GV67" s="271"/>
      <c r="GW67" s="271"/>
      <c r="GX67" s="271"/>
      <c r="GY67" s="271"/>
      <c r="GZ67" s="272">
        <v>1</v>
      </c>
      <c r="HA67" s="275">
        <f t="shared" si="82"/>
        <v>0</v>
      </c>
      <c r="HB67" s="275">
        <f t="shared" si="83"/>
        <v>0</v>
      </c>
      <c r="HC67" s="273">
        <f t="shared" si="84"/>
        <v>0</v>
      </c>
      <c r="HD67" s="270"/>
      <c r="HE67" s="271"/>
      <c r="HF67" s="271"/>
      <c r="HG67" s="271"/>
      <c r="HH67" s="271"/>
      <c r="HI67" s="271"/>
      <c r="HJ67" s="272">
        <v>1</v>
      </c>
      <c r="HK67" s="275">
        <f t="shared" si="85"/>
        <v>0</v>
      </c>
      <c r="HL67" s="275">
        <f t="shared" si="86"/>
        <v>0</v>
      </c>
      <c r="HM67" s="273">
        <f t="shared" si="87"/>
        <v>0</v>
      </c>
      <c r="HN67" s="277">
        <v>1</v>
      </c>
      <c r="HO67" s="278">
        <v>0</v>
      </c>
      <c r="HP67" s="277">
        <v>1</v>
      </c>
      <c r="HQ67" s="278">
        <v>0</v>
      </c>
      <c r="HR67" s="277">
        <v>1</v>
      </c>
      <c r="HS67" s="278">
        <v>0</v>
      </c>
      <c r="HT67" s="277">
        <v>1</v>
      </c>
      <c r="HU67" s="278">
        <v>0</v>
      </c>
      <c r="HV67" s="277">
        <v>1</v>
      </c>
      <c r="HW67" s="278">
        <v>0</v>
      </c>
      <c r="HX67" s="277">
        <v>1</v>
      </c>
      <c r="HY67" s="278">
        <v>0</v>
      </c>
      <c r="HZ67" s="277">
        <v>1</v>
      </c>
      <c r="IA67" s="278">
        <v>0</v>
      </c>
      <c r="IB67" s="277">
        <v>1</v>
      </c>
      <c r="IC67" s="278">
        <v>0</v>
      </c>
      <c r="ID67" s="277">
        <v>1</v>
      </c>
      <c r="IE67" s="278">
        <v>0</v>
      </c>
      <c r="IF67" s="277">
        <v>1</v>
      </c>
      <c r="IG67" s="278">
        <v>0</v>
      </c>
      <c r="IH67" s="277">
        <v>1</v>
      </c>
      <c r="II67" s="278">
        <v>0</v>
      </c>
      <c r="IJ67" s="277">
        <v>1</v>
      </c>
      <c r="IK67" s="278">
        <v>0</v>
      </c>
      <c r="IL67" s="277">
        <v>1</v>
      </c>
      <c r="IM67" s="278">
        <v>0</v>
      </c>
      <c r="IN67" s="277">
        <v>1</v>
      </c>
      <c r="IO67" s="278">
        <v>0</v>
      </c>
      <c r="IP67" s="277">
        <v>1</v>
      </c>
      <c r="IQ67" s="278">
        <v>0</v>
      </c>
      <c r="IR67" s="277">
        <v>0.14583333333333337</v>
      </c>
      <c r="IS67" s="278">
        <v>1</v>
      </c>
      <c r="IT67" s="277">
        <v>1</v>
      </c>
      <c r="IU67" s="278">
        <v>0</v>
      </c>
      <c r="IV67" s="277">
        <v>1</v>
      </c>
      <c r="IW67" s="278">
        <v>0</v>
      </c>
      <c r="IX67" s="277">
        <v>1</v>
      </c>
      <c r="IY67" s="278">
        <v>0</v>
      </c>
      <c r="IZ67" s="277">
        <v>1</v>
      </c>
      <c r="JA67" s="278">
        <v>0</v>
      </c>
      <c r="JB67" s="277">
        <v>1</v>
      </c>
      <c r="JC67" s="278">
        <v>0</v>
      </c>
      <c r="JD67" s="277">
        <v>1</v>
      </c>
      <c r="JE67" s="278">
        <v>0</v>
      </c>
      <c r="KB67" s="8"/>
    </row>
    <row r="68" spans="1:288">
      <c r="A68" s="207">
        <v>46086</v>
      </c>
      <c r="B68" s="270"/>
      <c r="C68" s="271"/>
      <c r="D68" s="271"/>
      <c r="E68" s="271"/>
      <c r="F68" s="271"/>
      <c r="G68" s="271"/>
      <c r="H68" s="272">
        <v>1</v>
      </c>
      <c r="I68" s="275">
        <f t="shared" si="22"/>
        <v>0</v>
      </c>
      <c r="J68" s="275">
        <f t="shared" si="23"/>
        <v>0</v>
      </c>
      <c r="K68" s="273">
        <f t="shared" si="24"/>
        <v>0</v>
      </c>
      <c r="L68" s="270"/>
      <c r="M68" s="271"/>
      <c r="N68" s="271"/>
      <c r="O68" s="271"/>
      <c r="P68" s="271"/>
      <c r="Q68" s="271"/>
      <c r="R68" s="272">
        <v>1</v>
      </c>
      <c r="S68" s="275">
        <f t="shared" si="25"/>
        <v>0</v>
      </c>
      <c r="T68" s="275">
        <f t="shared" si="26"/>
        <v>0</v>
      </c>
      <c r="U68" s="273">
        <f t="shared" si="27"/>
        <v>0</v>
      </c>
      <c r="V68" s="270"/>
      <c r="W68" s="271"/>
      <c r="X68" s="271"/>
      <c r="Y68" s="271"/>
      <c r="Z68" s="271"/>
      <c r="AA68" s="271"/>
      <c r="AB68" s="272">
        <v>1</v>
      </c>
      <c r="AC68" s="275">
        <f t="shared" si="28"/>
        <v>0</v>
      </c>
      <c r="AD68" s="275">
        <f t="shared" si="29"/>
        <v>0</v>
      </c>
      <c r="AE68" s="273">
        <f t="shared" si="30"/>
        <v>0</v>
      </c>
      <c r="AF68" s="270"/>
      <c r="AG68" s="271"/>
      <c r="AH68" s="271"/>
      <c r="AI68" s="271"/>
      <c r="AJ68" s="271"/>
      <c r="AK68" s="271"/>
      <c r="AL68" s="272">
        <v>1</v>
      </c>
      <c r="AM68" s="275">
        <f t="shared" si="31"/>
        <v>0</v>
      </c>
      <c r="AN68" s="275">
        <f t="shared" si="32"/>
        <v>0</v>
      </c>
      <c r="AO68" s="273">
        <f t="shared" si="33"/>
        <v>0</v>
      </c>
      <c r="AP68" s="270"/>
      <c r="AQ68" s="271"/>
      <c r="AR68" s="271"/>
      <c r="AS68" s="271"/>
      <c r="AT68" s="271"/>
      <c r="AU68" s="271"/>
      <c r="AV68" s="272">
        <v>1</v>
      </c>
      <c r="AW68" s="275">
        <f t="shared" si="34"/>
        <v>0</v>
      </c>
      <c r="AX68" s="275">
        <f t="shared" si="35"/>
        <v>0</v>
      </c>
      <c r="AY68" s="273">
        <f t="shared" si="36"/>
        <v>0</v>
      </c>
      <c r="AZ68" s="270"/>
      <c r="BA68" s="271"/>
      <c r="BB68" s="271"/>
      <c r="BC68" s="271"/>
      <c r="BD68" s="271"/>
      <c r="BE68" s="271"/>
      <c r="BF68" s="272">
        <v>1</v>
      </c>
      <c r="BG68" s="275">
        <f t="shared" si="37"/>
        <v>0</v>
      </c>
      <c r="BH68" s="275">
        <f t="shared" si="38"/>
        <v>0</v>
      </c>
      <c r="BI68" s="273">
        <f t="shared" si="39"/>
        <v>0</v>
      </c>
      <c r="BJ68" s="270"/>
      <c r="BK68" s="271"/>
      <c r="BL68" s="271"/>
      <c r="BM68" s="271"/>
      <c r="BN68" s="271"/>
      <c r="BO68" s="271"/>
      <c r="BP68" s="272">
        <v>1</v>
      </c>
      <c r="BQ68" s="275">
        <f t="shared" si="40"/>
        <v>0</v>
      </c>
      <c r="BR68" s="275">
        <f t="shared" si="41"/>
        <v>0</v>
      </c>
      <c r="BS68" s="273">
        <f t="shared" si="42"/>
        <v>0</v>
      </c>
      <c r="BT68" s="270"/>
      <c r="BU68" s="271"/>
      <c r="BV68" s="271"/>
      <c r="BW68" s="271"/>
      <c r="BX68" s="271"/>
      <c r="BY68" s="271"/>
      <c r="BZ68" s="272">
        <v>1</v>
      </c>
      <c r="CA68" s="275">
        <f t="shared" si="43"/>
        <v>0</v>
      </c>
      <c r="CB68" s="275">
        <f t="shared" si="44"/>
        <v>0</v>
      </c>
      <c r="CC68" s="273">
        <f t="shared" si="45"/>
        <v>0</v>
      </c>
      <c r="CD68" s="270"/>
      <c r="CE68" s="271"/>
      <c r="CF68" s="271"/>
      <c r="CG68" s="271"/>
      <c r="CH68" s="271"/>
      <c r="CI68" s="271"/>
      <c r="CJ68" s="272">
        <v>1</v>
      </c>
      <c r="CK68" s="275">
        <f t="shared" si="46"/>
        <v>0</v>
      </c>
      <c r="CL68" s="275">
        <f t="shared" si="47"/>
        <v>0</v>
      </c>
      <c r="CM68" s="273">
        <f t="shared" si="48"/>
        <v>0</v>
      </c>
      <c r="CN68" s="270"/>
      <c r="CO68" s="271"/>
      <c r="CP68" s="271"/>
      <c r="CQ68" s="271"/>
      <c r="CR68" s="271"/>
      <c r="CS68" s="271"/>
      <c r="CT68" s="272">
        <v>1</v>
      </c>
      <c r="CU68" s="275">
        <f t="shared" si="49"/>
        <v>0</v>
      </c>
      <c r="CV68" s="275">
        <f t="shared" si="50"/>
        <v>0</v>
      </c>
      <c r="CW68" s="273">
        <f t="shared" si="51"/>
        <v>0</v>
      </c>
      <c r="CX68" s="270"/>
      <c r="CY68" s="271"/>
      <c r="CZ68" s="271"/>
      <c r="DA68" s="271"/>
      <c r="DB68" s="271"/>
      <c r="DC68" s="271"/>
      <c r="DD68" s="272">
        <v>1</v>
      </c>
      <c r="DE68" s="275">
        <f t="shared" si="52"/>
        <v>0</v>
      </c>
      <c r="DF68" s="275">
        <f t="shared" si="53"/>
        <v>0</v>
      </c>
      <c r="DG68" s="273">
        <f t="shared" si="54"/>
        <v>0</v>
      </c>
      <c r="DH68" s="270"/>
      <c r="DI68" s="271"/>
      <c r="DJ68" s="271"/>
      <c r="DK68" s="271"/>
      <c r="DL68" s="271"/>
      <c r="DM68" s="271"/>
      <c r="DN68" s="272">
        <v>1</v>
      </c>
      <c r="DO68" s="275">
        <f t="shared" si="55"/>
        <v>0</v>
      </c>
      <c r="DP68" s="275">
        <f t="shared" si="56"/>
        <v>0</v>
      </c>
      <c r="DQ68" s="273">
        <f t="shared" si="57"/>
        <v>0</v>
      </c>
      <c r="DR68" s="270"/>
      <c r="DS68" s="271"/>
      <c r="DT68" s="271"/>
      <c r="DU68" s="271"/>
      <c r="DV68" s="271"/>
      <c r="DW68" s="271"/>
      <c r="DX68" s="272">
        <v>1</v>
      </c>
      <c r="DY68" s="275">
        <f t="shared" si="58"/>
        <v>0</v>
      </c>
      <c r="DZ68" s="275">
        <f t="shared" si="59"/>
        <v>0</v>
      </c>
      <c r="EA68" s="273">
        <f t="shared" si="60"/>
        <v>0</v>
      </c>
      <c r="EB68" s="270"/>
      <c r="EC68" s="271"/>
      <c r="ED68" s="271"/>
      <c r="EE68" s="271"/>
      <c r="EF68" s="271"/>
      <c r="EG68" s="271"/>
      <c r="EH68" s="272">
        <v>1</v>
      </c>
      <c r="EI68" s="275">
        <f t="shared" si="61"/>
        <v>0</v>
      </c>
      <c r="EJ68" s="275">
        <f t="shared" si="62"/>
        <v>0</v>
      </c>
      <c r="EK68" s="273">
        <f t="shared" si="63"/>
        <v>0</v>
      </c>
      <c r="EL68" s="270"/>
      <c r="EM68" s="271"/>
      <c r="EN68" s="271"/>
      <c r="EO68" s="271"/>
      <c r="EP68" s="271"/>
      <c r="EQ68" s="271"/>
      <c r="ER68" s="272">
        <v>1</v>
      </c>
      <c r="ES68" s="275">
        <f t="shared" si="64"/>
        <v>0</v>
      </c>
      <c r="ET68" s="275">
        <f t="shared" si="65"/>
        <v>0</v>
      </c>
      <c r="EU68" s="273">
        <f t="shared" si="66"/>
        <v>0</v>
      </c>
      <c r="EV68" s="270"/>
      <c r="EW68" s="271"/>
      <c r="EX68" s="271"/>
      <c r="EY68" s="271"/>
      <c r="EZ68" s="271"/>
      <c r="FA68" s="271"/>
      <c r="FB68" s="272">
        <v>1</v>
      </c>
      <c r="FC68" s="275">
        <f t="shared" si="67"/>
        <v>0</v>
      </c>
      <c r="FD68" s="275">
        <f t="shared" si="68"/>
        <v>0</v>
      </c>
      <c r="FE68" s="273">
        <f t="shared" si="69"/>
        <v>0</v>
      </c>
      <c r="FF68" s="270"/>
      <c r="FG68" s="271"/>
      <c r="FH68" s="271"/>
      <c r="FI68" s="271"/>
      <c r="FJ68" s="271"/>
      <c r="FK68" s="271"/>
      <c r="FL68" s="272">
        <v>1</v>
      </c>
      <c r="FM68" s="275">
        <f t="shared" si="70"/>
        <v>0</v>
      </c>
      <c r="FN68" s="275">
        <f t="shared" si="71"/>
        <v>0</v>
      </c>
      <c r="FO68" s="273">
        <f t="shared" si="72"/>
        <v>0</v>
      </c>
      <c r="FP68" s="270"/>
      <c r="FQ68" s="271"/>
      <c r="FR68" s="271"/>
      <c r="FS68" s="271"/>
      <c r="FT68" s="271"/>
      <c r="FU68" s="271"/>
      <c r="FV68" s="272">
        <v>1</v>
      </c>
      <c r="FW68" s="275">
        <f t="shared" si="73"/>
        <v>0</v>
      </c>
      <c r="FX68" s="275">
        <f t="shared" si="74"/>
        <v>0</v>
      </c>
      <c r="FY68" s="273">
        <f t="shared" si="75"/>
        <v>0</v>
      </c>
      <c r="FZ68" s="270"/>
      <c r="GA68" s="271"/>
      <c r="GB68" s="271"/>
      <c r="GC68" s="271"/>
      <c r="GD68" s="271"/>
      <c r="GE68" s="271"/>
      <c r="GF68" s="272">
        <v>1</v>
      </c>
      <c r="GG68" s="275">
        <f t="shared" si="76"/>
        <v>0</v>
      </c>
      <c r="GH68" s="275">
        <f t="shared" si="77"/>
        <v>0</v>
      </c>
      <c r="GI68" s="273">
        <f t="shared" si="78"/>
        <v>0</v>
      </c>
      <c r="GJ68" s="270"/>
      <c r="GK68" s="271"/>
      <c r="GL68" s="271"/>
      <c r="GM68" s="271"/>
      <c r="GN68" s="271"/>
      <c r="GO68" s="271"/>
      <c r="GP68" s="272">
        <v>1</v>
      </c>
      <c r="GQ68" s="275">
        <f t="shared" si="79"/>
        <v>0</v>
      </c>
      <c r="GR68" s="275">
        <f t="shared" si="80"/>
        <v>0</v>
      </c>
      <c r="GS68" s="273">
        <f t="shared" si="81"/>
        <v>0</v>
      </c>
      <c r="GT68" s="270"/>
      <c r="GU68" s="271"/>
      <c r="GV68" s="271"/>
      <c r="GW68" s="271"/>
      <c r="GX68" s="271"/>
      <c r="GY68" s="271"/>
      <c r="GZ68" s="272">
        <v>1</v>
      </c>
      <c r="HA68" s="275">
        <f t="shared" si="82"/>
        <v>0</v>
      </c>
      <c r="HB68" s="275">
        <f t="shared" si="83"/>
        <v>0</v>
      </c>
      <c r="HC68" s="273">
        <f t="shared" si="84"/>
        <v>0</v>
      </c>
      <c r="HD68" s="270"/>
      <c r="HE68" s="271"/>
      <c r="HF68" s="271"/>
      <c r="HG68" s="271"/>
      <c r="HH68" s="271"/>
      <c r="HI68" s="271"/>
      <c r="HJ68" s="272">
        <v>1</v>
      </c>
      <c r="HK68" s="275">
        <f t="shared" si="85"/>
        <v>0</v>
      </c>
      <c r="HL68" s="275">
        <f t="shared" si="86"/>
        <v>0</v>
      </c>
      <c r="HM68" s="273">
        <f t="shared" si="87"/>
        <v>0</v>
      </c>
      <c r="HN68" s="277">
        <v>1</v>
      </c>
      <c r="HO68" s="278">
        <v>0</v>
      </c>
      <c r="HP68" s="277">
        <v>1</v>
      </c>
      <c r="HQ68" s="278">
        <v>0</v>
      </c>
      <c r="HR68" s="277">
        <v>1</v>
      </c>
      <c r="HS68" s="278">
        <v>0</v>
      </c>
      <c r="HT68" s="277">
        <v>1</v>
      </c>
      <c r="HU68" s="278">
        <v>0</v>
      </c>
      <c r="HV68" s="277">
        <v>1</v>
      </c>
      <c r="HW68" s="278">
        <v>0</v>
      </c>
      <c r="HX68" s="277">
        <v>1</v>
      </c>
      <c r="HY68" s="278">
        <v>0</v>
      </c>
      <c r="HZ68" s="277">
        <v>1</v>
      </c>
      <c r="IA68" s="278">
        <v>0</v>
      </c>
      <c r="IB68" s="277">
        <v>1</v>
      </c>
      <c r="IC68" s="278">
        <v>0</v>
      </c>
      <c r="ID68" s="277">
        <v>1</v>
      </c>
      <c r="IE68" s="278">
        <v>0</v>
      </c>
      <c r="IF68" s="277">
        <v>1</v>
      </c>
      <c r="IG68" s="278">
        <v>0</v>
      </c>
      <c r="IH68" s="277">
        <v>1</v>
      </c>
      <c r="II68" s="278">
        <v>0</v>
      </c>
      <c r="IJ68" s="277">
        <v>1</v>
      </c>
      <c r="IK68" s="278">
        <v>0</v>
      </c>
      <c r="IL68" s="277">
        <v>1</v>
      </c>
      <c r="IM68" s="278">
        <v>0</v>
      </c>
      <c r="IN68" s="277">
        <v>1</v>
      </c>
      <c r="IO68" s="278">
        <v>0</v>
      </c>
      <c r="IP68" s="277">
        <v>1</v>
      </c>
      <c r="IQ68" s="278">
        <v>0</v>
      </c>
      <c r="IR68" s="277">
        <v>1</v>
      </c>
      <c r="IS68" s="278">
        <v>0</v>
      </c>
      <c r="IT68" s="277">
        <v>1</v>
      </c>
      <c r="IU68" s="278">
        <v>0</v>
      </c>
      <c r="IV68" s="277">
        <v>1</v>
      </c>
      <c r="IW68" s="278">
        <v>0</v>
      </c>
      <c r="IX68" s="277">
        <v>1</v>
      </c>
      <c r="IY68" s="278">
        <v>0</v>
      </c>
      <c r="IZ68" s="277">
        <v>1</v>
      </c>
      <c r="JA68" s="278">
        <v>0</v>
      </c>
      <c r="JB68" s="277">
        <v>1</v>
      </c>
      <c r="JC68" s="278">
        <v>0</v>
      </c>
      <c r="JD68" s="277">
        <v>1</v>
      </c>
      <c r="JE68" s="278">
        <v>0</v>
      </c>
      <c r="KB68" s="8"/>
    </row>
    <row r="69" spans="1:288">
      <c r="A69" s="207">
        <v>46087</v>
      </c>
      <c r="B69" s="270"/>
      <c r="C69" s="271"/>
      <c r="D69" s="271"/>
      <c r="E69" s="271"/>
      <c r="F69" s="271"/>
      <c r="G69" s="271"/>
      <c r="H69" s="272">
        <v>1</v>
      </c>
      <c r="I69" s="275">
        <f t="shared" si="22"/>
        <v>0</v>
      </c>
      <c r="J69" s="275">
        <f t="shared" si="23"/>
        <v>0</v>
      </c>
      <c r="K69" s="273">
        <f t="shared" si="24"/>
        <v>0</v>
      </c>
      <c r="L69" s="270"/>
      <c r="M69" s="271"/>
      <c r="N69" s="271"/>
      <c r="O69" s="271"/>
      <c r="P69" s="271"/>
      <c r="Q69" s="271"/>
      <c r="R69" s="272">
        <v>1</v>
      </c>
      <c r="S69" s="275">
        <f t="shared" si="25"/>
        <v>0</v>
      </c>
      <c r="T69" s="275">
        <f t="shared" si="26"/>
        <v>0</v>
      </c>
      <c r="U69" s="273">
        <f t="shared" si="27"/>
        <v>0</v>
      </c>
      <c r="V69" s="270"/>
      <c r="W69" s="271"/>
      <c r="X69" s="271"/>
      <c r="Y69" s="271"/>
      <c r="Z69" s="271"/>
      <c r="AA69" s="271"/>
      <c r="AB69" s="272">
        <v>1</v>
      </c>
      <c r="AC69" s="275">
        <f t="shared" si="28"/>
        <v>0</v>
      </c>
      <c r="AD69" s="275">
        <f t="shared" si="29"/>
        <v>0</v>
      </c>
      <c r="AE69" s="273">
        <f t="shared" si="30"/>
        <v>0</v>
      </c>
      <c r="AF69" s="270"/>
      <c r="AG69" s="271"/>
      <c r="AH69" s="271"/>
      <c r="AI69" s="271"/>
      <c r="AJ69" s="271"/>
      <c r="AK69" s="271"/>
      <c r="AL69" s="272">
        <v>1</v>
      </c>
      <c r="AM69" s="275">
        <f t="shared" si="31"/>
        <v>0</v>
      </c>
      <c r="AN69" s="275">
        <f t="shared" si="32"/>
        <v>0</v>
      </c>
      <c r="AO69" s="273">
        <f t="shared" si="33"/>
        <v>0</v>
      </c>
      <c r="AP69" s="270"/>
      <c r="AQ69" s="271"/>
      <c r="AR69" s="271"/>
      <c r="AS69" s="271"/>
      <c r="AT69" s="271"/>
      <c r="AU69" s="271"/>
      <c r="AV69" s="272">
        <v>1</v>
      </c>
      <c r="AW69" s="275">
        <f t="shared" si="34"/>
        <v>0</v>
      </c>
      <c r="AX69" s="275">
        <f t="shared" si="35"/>
        <v>0</v>
      </c>
      <c r="AY69" s="273">
        <f t="shared" si="36"/>
        <v>0</v>
      </c>
      <c r="AZ69" s="270"/>
      <c r="BA69" s="271"/>
      <c r="BB69" s="271"/>
      <c r="BC69" s="271"/>
      <c r="BD69" s="271"/>
      <c r="BE69" s="271"/>
      <c r="BF69" s="272">
        <v>1</v>
      </c>
      <c r="BG69" s="275">
        <f t="shared" si="37"/>
        <v>0</v>
      </c>
      <c r="BH69" s="275">
        <f t="shared" si="38"/>
        <v>0</v>
      </c>
      <c r="BI69" s="273">
        <f t="shared" si="39"/>
        <v>0</v>
      </c>
      <c r="BJ69" s="270"/>
      <c r="BK69" s="271"/>
      <c r="BL69" s="271"/>
      <c r="BM69" s="271"/>
      <c r="BN69" s="271"/>
      <c r="BO69" s="271"/>
      <c r="BP69" s="272">
        <v>1</v>
      </c>
      <c r="BQ69" s="275">
        <f t="shared" si="40"/>
        <v>0</v>
      </c>
      <c r="BR69" s="275">
        <f t="shared" si="41"/>
        <v>0</v>
      </c>
      <c r="BS69" s="273">
        <f t="shared" si="42"/>
        <v>0</v>
      </c>
      <c r="BT69" s="270"/>
      <c r="BU69" s="271"/>
      <c r="BV69" s="271"/>
      <c r="BW69" s="271"/>
      <c r="BX69" s="271"/>
      <c r="BY69" s="271"/>
      <c r="BZ69" s="272">
        <v>1</v>
      </c>
      <c r="CA69" s="275">
        <f t="shared" si="43"/>
        <v>0</v>
      </c>
      <c r="CB69" s="275">
        <f t="shared" si="44"/>
        <v>0</v>
      </c>
      <c r="CC69" s="273">
        <f t="shared" si="45"/>
        <v>0</v>
      </c>
      <c r="CD69" s="270"/>
      <c r="CE69" s="271"/>
      <c r="CF69" s="271"/>
      <c r="CG69" s="271"/>
      <c r="CH69" s="271"/>
      <c r="CI69" s="271"/>
      <c r="CJ69" s="272">
        <v>1</v>
      </c>
      <c r="CK69" s="275">
        <f t="shared" si="46"/>
        <v>0</v>
      </c>
      <c r="CL69" s="275">
        <f t="shared" si="47"/>
        <v>0</v>
      </c>
      <c r="CM69" s="273">
        <f t="shared" si="48"/>
        <v>0</v>
      </c>
      <c r="CN69" s="270"/>
      <c r="CO69" s="271"/>
      <c r="CP69" s="271"/>
      <c r="CQ69" s="271"/>
      <c r="CR69" s="271"/>
      <c r="CS69" s="271"/>
      <c r="CT69" s="272">
        <v>1</v>
      </c>
      <c r="CU69" s="275">
        <f t="shared" si="49"/>
        <v>0</v>
      </c>
      <c r="CV69" s="275">
        <f t="shared" si="50"/>
        <v>0</v>
      </c>
      <c r="CW69" s="273">
        <f t="shared" si="51"/>
        <v>0</v>
      </c>
      <c r="CX69" s="270"/>
      <c r="CY69" s="271"/>
      <c r="CZ69" s="271"/>
      <c r="DA69" s="271"/>
      <c r="DB69" s="271"/>
      <c r="DC69" s="271"/>
      <c r="DD69" s="272">
        <v>1</v>
      </c>
      <c r="DE69" s="275">
        <f t="shared" si="52"/>
        <v>0</v>
      </c>
      <c r="DF69" s="275">
        <f t="shared" si="53"/>
        <v>0</v>
      </c>
      <c r="DG69" s="273">
        <f t="shared" si="54"/>
        <v>0</v>
      </c>
      <c r="DH69" s="270"/>
      <c r="DI69" s="271"/>
      <c r="DJ69" s="271"/>
      <c r="DK69" s="271"/>
      <c r="DL69" s="271"/>
      <c r="DM69" s="271"/>
      <c r="DN69" s="272">
        <v>1</v>
      </c>
      <c r="DO69" s="275">
        <f t="shared" si="55"/>
        <v>0</v>
      </c>
      <c r="DP69" s="275">
        <f t="shared" si="56"/>
        <v>0</v>
      </c>
      <c r="DQ69" s="273">
        <f t="shared" si="57"/>
        <v>0</v>
      </c>
      <c r="DR69" s="270"/>
      <c r="DS69" s="271"/>
      <c r="DT69" s="271"/>
      <c r="DU69" s="271"/>
      <c r="DV69" s="271"/>
      <c r="DW69" s="271"/>
      <c r="DX69" s="272">
        <v>1</v>
      </c>
      <c r="DY69" s="275">
        <f t="shared" si="58"/>
        <v>0</v>
      </c>
      <c r="DZ69" s="275">
        <f t="shared" si="59"/>
        <v>0</v>
      </c>
      <c r="EA69" s="273">
        <f t="shared" si="60"/>
        <v>0</v>
      </c>
      <c r="EB69" s="270">
        <v>0.375</v>
      </c>
      <c r="EC69" s="271">
        <v>0.83333333333333337</v>
      </c>
      <c r="ED69" s="271"/>
      <c r="EE69" s="271"/>
      <c r="EF69" s="271"/>
      <c r="EG69" s="271"/>
      <c r="EH69" s="274">
        <f>MOD(EC69-EB69,1)+MOD(EE69-ED69,1)+MOD(EG69-EF69,1)</f>
        <v>0.45833333333333337</v>
      </c>
      <c r="EI69" s="275">
        <f t="shared" si="61"/>
        <v>11</v>
      </c>
      <c r="EJ69" s="275">
        <f t="shared" si="62"/>
        <v>0</v>
      </c>
      <c r="EK69" s="273">
        <f t="shared" si="63"/>
        <v>1</v>
      </c>
      <c r="EL69" s="270"/>
      <c r="EM69" s="271"/>
      <c r="EN69" s="271"/>
      <c r="EO69" s="271"/>
      <c r="EP69" s="271"/>
      <c r="EQ69" s="271"/>
      <c r="ER69" s="272">
        <v>1</v>
      </c>
      <c r="ES69" s="275">
        <f t="shared" si="64"/>
        <v>0</v>
      </c>
      <c r="ET69" s="275">
        <f t="shared" si="65"/>
        <v>0</v>
      </c>
      <c r="EU69" s="273">
        <f t="shared" si="66"/>
        <v>0</v>
      </c>
      <c r="EV69" s="270"/>
      <c r="EW69" s="271"/>
      <c r="EX69" s="271"/>
      <c r="EY69" s="271"/>
      <c r="EZ69" s="271"/>
      <c r="FA69" s="271"/>
      <c r="FB69" s="272">
        <v>1</v>
      </c>
      <c r="FC69" s="275">
        <f t="shared" si="67"/>
        <v>0</v>
      </c>
      <c r="FD69" s="275">
        <f t="shared" si="68"/>
        <v>0</v>
      </c>
      <c r="FE69" s="273">
        <f t="shared" si="69"/>
        <v>0</v>
      </c>
      <c r="FF69" s="270"/>
      <c r="FG69" s="271"/>
      <c r="FH69" s="271"/>
      <c r="FI69" s="271"/>
      <c r="FJ69" s="271"/>
      <c r="FK69" s="271"/>
      <c r="FL69" s="272">
        <v>1</v>
      </c>
      <c r="FM69" s="275">
        <f t="shared" si="70"/>
        <v>0</v>
      </c>
      <c r="FN69" s="275">
        <f t="shared" si="71"/>
        <v>0</v>
      </c>
      <c r="FO69" s="273">
        <f t="shared" si="72"/>
        <v>0</v>
      </c>
      <c r="FP69" s="270"/>
      <c r="FQ69" s="271"/>
      <c r="FR69" s="271"/>
      <c r="FS69" s="271"/>
      <c r="FT69" s="271"/>
      <c r="FU69" s="271"/>
      <c r="FV69" s="272">
        <v>1</v>
      </c>
      <c r="FW69" s="275">
        <f t="shared" si="73"/>
        <v>0</v>
      </c>
      <c r="FX69" s="275">
        <f t="shared" si="74"/>
        <v>0</v>
      </c>
      <c r="FY69" s="273">
        <f t="shared" si="75"/>
        <v>0</v>
      </c>
      <c r="FZ69" s="270"/>
      <c r="GA69" s="271"/>
      <c r="GB69" s="271"/>
      <c r="GC69" s="271"/>
      <c r="GD69" s="271"/>
      <c r="GE69" s="271"/>
      <c r="GF69" s="272">
        <v>1</v>
      </c>
      <c r="GG69" s="275">
        <f t="shared" si="76"/>
        <v>0</v>
      </c>
      <c r="GH69" s="275">
        <f t="shared" si="77"/>
        <v>0</v>
      </c>
      <c r="GI69" s="273">
        <f t="shared" si="78"/>
        <v>0</v>
      </c>
      <c r="GJ69" s="270"/>
      <c r="GK69" s="271"/>
      <c r="GL69" s="271"/>
      <c r="GM69" s="271"/>
      <c r="GN69" s="271"/>
      <c r="GO69" s="271"/>
      <c r="GP69" s="272">
        <v>1</v>
      </c>
      <c r="GQ69" s="275">
        <f t="shared" si="79"/>
        <v>0</v>
      </c>
      <c r="GR69" s="275">
        <f t="shared" si="80"/>
        <v>0</v>
      </c>
      <c r="GS69" s="273">
        <f t="shared" si="81"/>
        <v>0</v>
      </c>
      <c r="GT69" s="270"/>
      <c r="GU69" s="271"/>
      <c r="GV69" s="271"/>
      <c r="GW69" s="271"/>
      <c r="GX69" s="271"/>
      <c r="GY69" s="271"/>
      <c r="GZ69" s="272">
        <v>1</v>
      </c>
      <c r="HA69" s="275">
        <f t="shared" si="82"/>
        <v>0</v>
      </c>
      <c r="HB69" s="275">
        <f t="shared" si="83"/>
        <v>0</v>
      </c>
      <c r="HC69" s="273">
        <f t="shared" si="84"/>
        <v>0</v>
      </c>
      <c r="HD69" s="270"/>
      <c r="HE69" s="271"/>
      <c r="HF69" s="271"/>
      <c r="HG69" s="271"/>
      <c r="HH69" s="271"/>
      <c r="HI69" s="271"/>
      <c r="HJ69" s="272">
        <v>1</v>
      </c>
      <c r="HK69" s="275">
        <f t="shared" si="85"/>
        <v>0</v>
      </c>
      <c r="HL69" s="275">
        <f t="shared" si="86"/>
        <v>0</v>
      </c>
      <c r="HM69" s="273">
        <f t="shared" si="87"/>
        <v>0</v>
      </c>
      <c r="HN69" s="277">
        <v>1</v>
      </c>
      <c r="HO69" s="278">
        <v>0</v>
      </c>
      <c r="HP69" s="277">
        <v>1</v>
      </c>
      <c r="HQ69" s="278">
        <v>0</v>
      </c>
      <c r="HR69" s="277">
        <v>1</v>
      </c>
      <c r="HS69" s="278">
        <v>0</v>
      </c>
      <c r="HT69" s="277">
        <v>1</v>
      </c>
      <c r="HU69" s="278">
        <v>0</v>
      </c>
      <c r="HV69" s="277">
        <v>1</v>
      </c>
      <c r="HW69" s="278">
        <v>0</v>
      </c>
      <c r="HX69" s="277">
        <v>1</v>
      </c>
      <c r="HY69" s="278">
        <v>0</v>
      </c>
      <c r="HZ69" s="277">
        <v>1</v>
      </c>
      <c r="IA69" s="278">
        <v>0</v>
      </c>
      <c r="IB69" s="277">
        <v>1</v>
      </c>
      <c r="IC69" s="278">
        <v>0</v>
      </c>
      <c r="ID69" s="277">
        <v>1</v>
      </c>
      <c r="IE69" s="278">
        <v>0</v>
      </c>
      <c r="IF69" s="277">
        <v>1</v>
      </c>
      <c r="IG69" s="278">
        <v>0</v>
      </c>
      <c r="IH69" s="277">
        <v>1</v>
      </c>
      <c r="II69" s="278">
        <v>0</v>
      </c>
      <c r="IJ69" s="277">
        <v>1</v>
      </c>
      <c r="IK69" s="278">
        <v>0</v>
      </c>
      <c r="IL69" s="277">
        <v>1</v>
      </c>
      <c r="IM69" s="278">
        <v>0</v>
      </c>
      <c r="IN69" s="277">
        <v>0.45833333333333337</v>
      </c>
      <c r="IO69" s="278">
        <v>1</v>
      </c>
      <c r="IP69" s="277">
        <v>1</v>
      </c>
      <c r="IQ69" s="278">
        <v>0</v>
      </c>
      <c r="IR69" s="277">
        <v>1</v>
      </c>
      <c r="IS69" s="278">
        <v>0</v>
      </c>
      <c r="IT69" s="277">
        <v>1</v>
      </c>
      <c r="IU69" s="278">
        <v>0</v>
      </c>
      <c r="IV69" s="277">
        <v>1</v>
      </c>
      <c r="IW69" s="278">
        <v>0</v>
      </c>
      <c r="IX69" s="277">
        <v>1</v>
      </c>
      <c r="IY69" s="278">
        <v>0</v>
      </c>
      <c r="IZ69" s="277">
        <v>1</v>
      </c>
      <c r="JA69" s="278">
        <v>0</v>
      </c>
      <c r="JB69" s="277">
        <v>1</v>
      </c>
      <c r="JC69" s="278">
        <v>0</v>
      </c>
      <c r="JD69" s="277">
        <v>1</v>
      </c>
      <c r="JE69" s="278">
        <v>0</v>
      </c>
      <c r="KB69" s="8"/>
    </row>
    <row r="70" spans="1:288">
      <c r="A70" s="207">
        <v>46088</v>
      </c>
      <c r="B70" s="270"/>
      <c r="C70" s="271"/>
      <c r="D70" s="271"/>
      <c r="E70" s="271"/>
      <c r="F70" s="271"/>
      <c r="G70" s="271"/>
      <c r="H70" s="272">
        <v>1</v>
      </c>
      <c r="I70" s="275">
        <f t="shared" si="22"/>
        <v>0</v>
      </c>
      <c r="J70" s="275">
        <f t="shared" si="23"/>
        <v>0</v>
      </c>
      <c r="K70" s="273">
        <f t="shared" si="24"/>
        <v>0</v>
      </c>
      <c r="L70" s="270"/>
      <c r="M70" s="271"/>
      <c r="N70" s="271"/>
      <c r="O70" s="271"/>
      <c r="P70" s="271"/>
      <c r="Q70" s="271"/>
      <c r="R70" s="272">
        <v>1</v>
      </c>
      <c r="S70" s="275">
        <f t="shared" si="25"/>
        <v>0</v>
      </c>
      <c r="T70" s="275">
        <f t="shared" si="26"/>
        <v>0</v>
      </c>
      <c r="U70" s="273">
        <f t="shared" si="27"/>
        <v>0</v>
      </c>
      <c r="V70" s="270"/>
      <c r="W70" s="271"/>
      <c r="X70" s="271"/>
      <c r="Y70" s="271"/>
      <c r="Z70" s="271"/>
      <c r="AA70" s="271"/>
      <c r="AB70" s="272">
        <v>1</v>
      </c>
      <c r="AC70" s="275">
        <f t="shared" si="28"/>
        <v>0</v>
      </c>
      <c r="AD70" s="275">
        <f t="shared" si="29"/>
        <v>0</v>
      </c>
      <c r="AE70" s="273">
        <f t="shared" si="30"/>
        <v>0</v>
      </c>
      <c r="AF70" s="270"/>
      <c r="AG70" s="271"/>
      <c r="AH70" s="271"/>
      <c r="AI70" s="271"/>
      <c r="AJ70" s="271"/>
      <c r="AK70" s="271"/>
      <c r="AL70" s="272">
        <v>1</v>
      </c>
      <c r="AM70" s="275">
        <f t="shared" si="31"/>
        <v>0</v>
      </c>
      <c r="AN70" s="275">
        <f t="shared" si="32"/>
        <v>0</v>
      </c>
      <c r="AO70" s="273">
        <f t="shared" si="33"/>
        <v>0</v>
      </c>
      <c r="AP70" s="270"/>
      <c r="AQ70" s="271"/>
      <c r="AR70" s="271"/>
      <c r="AS70" s="271"/>
      <c r="AT70" s="271"/>
      <c r="AU70" s="271"/>
      <c r="AV70" s="272">
        <v>1</v>
      </c>
      <c r="AW70" s="275">
        <f t="shared" si="34"/>
        <v>0</v>
      </c>
      <c r="AX70" s="275">
        <f t="shared" si="35"/>
        <v>0</v>
      </c>
      <c r="AY70" s="273">
        <f t="shared" si="36"/>
        <v>0</v>
      </c>
      <c r="AZ70" s="270"/>
      <c r="BA70" s="271"/>
      <c r="BB70" s="271"/>
      <c r="BC70" s="271"/>
      <c r="BD70" s="271"/>
      <c r="BE70" s="271"/>
      <c r="BF70" s="272">
        <v>1</v>
      </c>
      <c r="BG70" s="275">
        <f t="shared" si="37"/>
        <v>0</v>
      </c>
      <c r="BH70" s="275">
        <f t="shared" si="38"/>
        <v>0</v>
      </c>
      <c r="BI70" s="273">
        <f t="shared" si="39"/>
        <v>0</v>
      </c>
      <c r="BJ70" s="270"/>
      <c r="BK70" s="271"/>
      <c r="BL70" s="271"/>
      <c r="BM70" s="271"/>
      <c r="BN70" s="271"/>
      <c r="BO70" s="271"/>
      <c r="BP70" s="272">
        <v>1</v>
      </c>
      <c r="BQ70" s="275">
        <f t="shared" si="40"/>
        <v>0</v>
      </c>
      <c r="BR70" s="275">
        <f t="shared" si="41"/>
        <v>0</v>
      </c>
      <c r="BS70" s="273">
        <f t="shared" si="42"/>
        <v>0</v>
      </c>
      <c r="BT70" s="270"/>
      <c r="BU70" s="271"/>
      <c r="BV70" s="271"/>
      <c r="BW70" s="271"/>
      <c r="BX70" s="271"/>
      <c r="BY70" s="271"/>
      <c r="BZ70" s="272">
        <v>1</v>
      </c>
      <c r="CA70" s="275">
        <f t="shared" si="43"/>
        <v>0</v>
      </c>
      <c r="CB70" s="275">
        <f t="shared" si="44"/>
        <v>0</v>
      </c>
      <c r="CC70" s="273">
        <f t="shared" si="45"/>
        <v>0</v>
      </c>
      <c r="CD70" s="270"/>
      <c r="CE70" s="271"/>
      <c r="CF70" s="271"/>
      <c r="CG70" s="271"/>
      <c r="CH70" s="271"/>
      <c r="CI70" s="271"/>
      <c r="CJ70" s="272">
        <v>1</v>
      </c>
      <c r="CK70" s="275">
        <f t="shared" si="46"/>
        <v>0</v>
      </c>
      <c r="CL70" s="275">
        <f t="shared" si="47"/>
        <v>0</v>
      </c>
      <c r="CM70" s="273">
        <f t="shared" si="48"/>
        <v>0</v>
      </c>
      <c r="CN70" s="270"/>
      <c r="CO70" s="271"/>
      <c r="CP70" s="271"/>
      <c r="CQ70" s="271"/>
      <c r="CR70" s="271"/>
      <c r="CS70" s="271"/>
      <c r="CT70" s="272">
        <v>1</v>
      </c>
      <c r="CU70" s="275">
        <f t="shared" si="49"/>
        <v>0</v>
      </c>
      <c r="CV70" s="275">
        <f t="shared" si="50"/>
        <v>0</v>
      </c>
      <c r="CW70" s="273">
        <f t="shared" si="51"/>
        <v>0</v>
      </c>
      <c r="CX70" s="270"/>
      <c r="CY70" s="271"/>
      <c r="CZ70" s="271"/>
      <c r="DA70" s="271"/>
      <c r="DB70" s="271"/>
      <c r="DC70" s="271"/>
      <c r="DD70" s="272">
        <v>1</v>
      </c>
      <c r="DE70" s="275">
        <f t="shared" si="52"/>
        <v>0</v>
      </c>
      <c r="DF70" s="275">
        <f t="shared" si="53"/>
        <v>0</v>
      </c>
      <c r="DG70" s="273">
        <f t="shared" si="54"/>
        <v>0</v>
      </c>
      <c r="DH70" s="270"/>
      <c r="DI70" s="271"/>
      <c r="DJ70" s="271"/>
      <c r="DK70" s="271"/>
      <c r="DL70" s="271"/>
      <c r="DM70" s="271"/>
      <c r="DN70" s="272">
        <v>1</v>
      </c>
      <c r="DO70" s="275">
        <f t="shared" si="55"/>
        <v>0</v>
      </c>
      <c r="DP70" s="275">
        <f t="shared" si="56"/>
        <v>0</v>
      </c>
      <c r="DQ70" s="273">
        <f t="shared" si="57"/>
        <v>0</v>
      </c>
      <c r="DR70" s="270"/>
      <c r="DS70" s="271"/>
      <c r="DT70" s="271"/>
      <c r="DU70" s="271"/>
      <c r="DV70" s="271"/>
      <c r="DW70" s="271"/>
      <c r="DX70" s="272">
        <v>1</v>
      </c>
      <c r="DY70" s="275">
        <f t="shared" si="58"/>
        <v>0</v>
      </c>
      <c r="DZ70" s="275">
        <f t="shared" si="59"/>
        <v>0</v>
      </c>
      <c r="EA70" s="273">
        <f t="shared" si="60"/>
        <v>0</v>
      </c>
      <c r="EB70" s="270"/>
      <c r="EC70" s="271"/>
      <c r="ED70" s="271"/>
      <c r="EE70" s="271"/>
      <c r="EF70" s="271"/>
      <c r="EG70" s="271"/>
      <c r="EH70" s="272">
        <v>1</v>
      </c>
      <c r="EI70" s="275">
        <f t="shared" si="61"/>
        <v>0</v>
      </c>
      <c r="EJ70" s="275">
        <f t="shared" si="62"/>
        <v>0</v>
      </c>
      <c r="EK70" s="273">
        <f t="shared" si="63"/>
        <v>0</v>
      </c>
      <c r="EL70" s="270"/>
      <c r="EM70" s="271"/>
      <c r="EN70" s="271"/>
      <c r="EO70" s="271"/>
      <c r="EP70" s="271"/>
      <c r="EQ70" s="271"/>
      <c r="ER70" s="272">
        <v>1</v>
      </c>
      <c r="ES70" s="275">
        <f t="shared" si="64"/>
        <v>0</v>
      </c>
      <c r="ET70" s="275">
        <f t="shared" si="65"/>
        <v>0</v>
      </c>
      <c r="EU70" s="273">
        <f t="shared" si="66"/>
        <v>0</v>
      </c>
      <c r="EV70" s="270"/>
      <c r="EW70" s="271"/>
      <c r="EX70" s="271"/>
      <c r="EY70" s="271"/>
      <c r="EZ70" s="271"/>
      <c r="FA70" s="271"/>
      <c r="FB70" s="272">
        <v>1</v>
      </c>
      <c r="FC70" s="275">
        <f t="shared" si="67"/>
        <v>0</v>
      </c>
      <c r="FD70" s="275">
        <f t="shared" si="68"/>
        <v>0</v>
      </c>
      <c r="FE70" s="273">
        <f t="shared" si="69"/>
        <v>0</v>
      </c>
      <c r="FF70" s="270"/>
      <c r="FG70" s="271"/>
      <c r="FH70" s="271"/>
      <c r="FI70" s="271"/>
      <c r="FJ70" s="271"/>
      <c r="FK70" s="271"/>
      <c r="FL70" s="272">
        <v>1</v>
      </c>
      <c r="FM70" s="275">
        <f t="shared" si="70"/>
        <v>0</v>
      </c>
      <c r="FN70" s="275">
        <f t="shared" si="71"/>
        <v>0</v>
      </c>
      <c r="FO70" s="273">
        <f t="shared" si="72"/>
        <v>0</v>
      </c>
      <c r="FP70" s="270"/>
      <c r="FQ70" s="271"/>
      <c r="FR70" s="271"/>
      <c r="FS70" s="271"/>
      <c r="FT70" s="271"/>
      <c r="FU70" s="271"/>
      <c r="FV70" s="272">
        <v>1</v>
      </c>
      <c r="FW70" s="275">
        <f t="shared" si="73"/>
        <v>0</v>
      </c>
      <c r="FX70" s="275">
        <f t="shared" si="74"/>
        <v>0</v>
      </c>
      <c r="FY70" s="273">
        <f t="shared" si="75"/>
        <v>0</v>
      </c>
      <c r="FZ70" s="270"/>
      <c r="GA70" s="271"/>
      <c r="GB70" s="271"/>
      <c r="GC70" s="271"/>
      <c r="GD70" s="271"/>
      <c r="GE70" s="271"/>
      <c r="GF70" s="272">
        <v>1</v>
      </c>
      <c r="GG70" s="275">
        <f t="shared" si="76"/>
        <v>0</v>
      </c>
      <c r="GH70" s="275">
        <f t="shared" si="77"/>
        <v>0</v>
      </c>
      <c r="GI70" s="273">
        <f t="shared" si="78"/>
        <v>0</v>
      </c>
      <c r="GJ70" s="270"/>
      <c r="GK70" s="271"/>
      <c r="GL70" s="271"/>
      <c r="GM70" s="271"/>
      <c r="GN70" s="271"/>
      <c r="GO70" s="271"/>
      <c r="GP70" s="272">
        <v>1</v>
      </c>
      <c r="GQ70" s="275">
        <f t="shared" si="79"/>
        <v>0</v>
      </c>
      <c r="GR70" s="275">
        <f t="shared" si="80"/>
        <v>0</v>
      </c>
      <c r="GS70" s="273">
        <f t="shared" si="81"/>
        <v>0</v>
      </c>
      <c r="GT70" s="270"/>
      <c r="GU70" s="271"/>
      <c r="GV70" s="271"/>
      <c r="GW70" s="271"/>
      <c r="GX70" s="271"/>
      <c r="GY70" s="271"/>
      <c r="GZ70" s="272">
        <v>1</v>
      </c>
      <c r="HA70" s="275">
        <f t="shared" si="82"/>
        <v>0</v>
      </c>
      <c r="HB70" s="275">
        <f t="shared" si="83"/>
        <v>0</v>
      </c>
      <c r="HC70" s="273">
        <f t="shared" si="84"/>
        <v>0</v>
      </c>
      <c r="HD70" s="270"/>
      <c r="HE70" s="271"/>
      <c r="HF70" s="271"/>
      <c r="HG70" s="271"/>
      <c r="HH70" s="271"/>
      <c r="HI70" s="271"/>
      <c r="HJ70" s="272">
        <v>1</v>
      </c>
      <c r="HK70" s="275">
        <f t="shared" si="85"/>
        <v>0</v>
      </c>
      <c r="HL70" s="275">
        <f t="shared" si="86"/>
        <v>0</v>
      </c>
      <c r="HM70" s="273">
        <f t="shared" si="87"/>
        <v>0</v>
      </c>
      <c r="HN70" s="277">
        <v>1</v>
      </c>
      <c r="HO70" s="278">
        <v>0</v>
      </c>
      <c r="HP70" s="277">
        <v>1</v>
      </c>
      <c r="HQ70" s="278">
        <v>0</v>
      </c>
      <c r="HR70" s="277">
        <v>1</v>
      </c>
      <c r="HS70" s="278">
        <v>0</v>
      </c>
      <c r="HT70" s="277">
        <v>1</v>
      </c>
      <c r="HU70" s="278">
        <v>0</v>
      </c>
      <c r="HV70" s="277">
        <v>1</v>
      </c>
      <c r="HW70" s="278">
        <v>0</v>
      </c>
      <c r="HX70" s="277">
        <v>1</v>
      </c>
      <c r="HY70" s="278">
        <v>0</v>
      </c>
      <c r="HZ70" s="277">
        <v>1</v>
      </c>
      <c r="IA70" s="278">
        <v>0</v>
      </c>
      <c r="IB70" s="277">
        <v>1</v>
      </c>
      <c r="IC70" s="278">
        <v>0</v>
      </c>
      <c r="ID70" s="277">
        <v>1</v>
      </c>
      <c r="IE70" s="278">
        <v>0</v>
      </c>
      <c r="IF70" s="277">
        <v>1</v>
      </c>
      <c r="IG70" s="278">
        <v>0</v>
      </c>
      <c r="IH70" s="277">
        <v>1</v>
      </c>
      <c r="II70" s="278">
        <v>0</v>
      </c>
      <c r="IJ70" s="277">
        <v>1</v>
      </c>
      <c r="IK70" s="278">
        <v>0</v>
      </c>
      <c r="IL70" s="277">
        <v>1</v>
      </c>
      <c r="IM70" s="278">
        <v>0</v>
      </c>
      <c r="IN70" s="277">
        <v>1</v>
      </c>
      <c r="IO70" s="278">
        <v>0</v>
      </c>
      <c r="IP70" s="277">
        <v>1</v>
      </c>
      <c r="IQ70" s="278">
        <v>0</v>
      </c>
      <c r="IR70" s="277">
        <v>1</v>
      </c>
      <c r="IS70" s="278">
        <v>0</v>
      </c>
      <c r="IT70" s="277">
        <v>1</v>
      </c>
      <c r="IU70" s="278">
        <v>0</v>
      </c>
      <c r="IV70" s="277">
        <v>1</v>
      </c>
      <c r="IW70" s="278">
        <v>0</v>
      </c>
      <c r="IX70" s="277">
        <v>1</v>
      </c>
      <c r="IY70" s="278">
        <v>0</v>
      </c>
      <c r="IZ70" s="277">
        <v>1</v>
      </c>
      <c r="JA70" s="278">
        <v>0</v>
      </c>
      <c r="JB70" s="277">
        <v>1</v>
      </c>
      <c r="JC70" s="278">
        <v>0</v>
      </c>
      <c r="JD70" s="277">
        <v>1</v>
      </c>
      <c r="JE70" s="278">
        <v>0</v>
      </c>
      <c r="KB70" s="8"/>
    </row>
    <row r="71" spans="1:288">
      <c r="A71" s="207">
        <v>46089</v>
      </c>
      <c r="B71" s="270"/>
      <c r="C71" s="271"/>
      <c r="D71" s="271"/>
      <c r="E71" s="271"/>
      <c r="F71" s="271"/>
      <c r="G71" s="271"/>
      <c r="H71" s="272">
        <v>1</v>
      </c>
      <c r="I71" s="275">
        <f t="shared" si="22"/>
        <v>0</v>
      </c>
      <c r="J71" s="275">
        <f t="shared" si="23"/>
        <v>0</v>
      </c>
      <c r="K71" s="273">
        <f t="shared" si="24"/>
        <v>0</v>
      </c>
      <c r="L71" s="270"/>
      <c r="M71" s="271"/>
      <c r="N71" s="271"/>
      <c r="O71" s="271"/>
      <c r="P71" s="271"/>
      <c r="Q71" s="271"/>
      <c r="R71" s="272">
        <v>1</v>
      </c>
      <c r="S71" s="275">
        <f t="shared" si="25"/>
        <v>0</v>
      </c>
      <c r="T71" s="275">
        <f t="shared" si="26"/>
        <v>0</v>
      </c>
      <c r="U71" s="273">
        <f t="shared" si="27"/>
        <v>0</v>
      </c>
      <c r="V71" s="270"/>
      <c r="W71" s="271"/>
      <c r="X71" s="271"/>
      <c r="Y71" s="271"/>
      <c r="Z71" s="271"/>
      <c r="AA71" s="271"/>
      <c r="AB71" s="272">
        <v>1</v>
      </c>
      <c r="AC71" s="275">
        <f t="shared" si="28"/>
        <v>0</v>
      </c>
      <c r="AD71" s="275">
        <f t="shared" si="29"/>
        <v>0</v>
      </c>
      <c r="AE71" s="273">
        <f t="shared" si="30"/>
        <v>0</v>
      </c>
      <c r="AF71" s="270"/>
      <c r="AG71" s="271"/>
      <c r="AH71" s="271"/>
      <c r="AI71" s="271"/>
      <c r="AJ71" s="271"/>
      <c r="AK71" s="271"/>
      <c r="AL71" s="272">
        <v>1</v>
      </c>
      <c r="AM71" s="275">
        <f t="shared" si="31"/>
        <v>0</v>
      </c>
      <c r="AN71" s="275">
        <f t="shared" si="32"/>
        <v>0</v>
      </c>
      <c r="AO71" s="273">
        <f t="shared" si="33"/>
        <v>0</v>
      </c>
      <c r="AP71" s="270"/>
      <c r="AQ71" s="271"/>
      <c r="AR71" s="271"/>
      <c r="AS71" s="271"/>
      <c r="AT71" s="271"/>
      <c r="AU71" s="271"/>
      <c r="AV71" s="272">
        <v>1</v>
      </c>
      <c r="AW71" s="275">
        <f t="shared" si="34"/>
        <v>0</v>
      </c>
      <c r="AX71" s="275">
        <f t="shared" si="35"/>
        <v>0</v>
      </c>
      <c r="AY71" s="273">
        <f t="shared" si="36"/>
        <v>0</v>
      </c>
      <c r="AZ71" s="270"/>
      <c r="BA71" s="271"/>
      <c r="BB71" s="271"/>
      <c r="BC71" s="271"/>
      <c r="BD71" s="271"/>
      <c r="BE71" s="271"/>
      <c r="BF71" s="272">
        <v>1</v>
      </c>
      <c r="BG71" s="275">
        <f t="shared" si="37"/>
        <v>0</v>
      </c>
      <c r="BH71" s="275">
        <f t="shared" si="38"/>
        <v>0</v>
      </c>
      <c r="BI71" s="273">
        <f t="shared" si="39"/>
        <v>0</v>
      </c>
      <c r="BJ71" s="270"/>
      <c r="BK71" s="271"/>
      <c r="BL71" s="271"/>
      <c r="BM71" s="271"/>
      <c r="BN71" s="271"/>
      <c r="BO71" s="271"/>
      <c r="BP71" s="272">
        <v>1</v>
      </c>
      <c r="BQ71" s="275">
        <f t="shared" si="40"/>
        <v>0</v>
      </c>
      <c r="BR71" s="275">
        <f t="shared" si="41"/>
        <v>0</v>
      </c>
      <c r="BS71" s="273">
        <f t="shared" si="42"/>
        <v>0</v>
      </c>
      <c r="BT71" s="270"/>
      <c r="BU71" s="271"/>
      <c r="BV71" s="271"/>
      <c r="BW71" s="271"/>
      <c r="BX71" s="271"/>
      <c r="BY71" s="271"/>
      <c r="BZ71" s="272">
        <v>1</v>
      </c>
      <c r="CA71" s="275">
        <f t="shared" si="43"/>
        <v>0</v>
      </c>
      <c r="CB71" s="275">
        <f t="shared" si="44"/>
        <v>0</v>
      </c>
      <c r="CC71" s="273">
        <f t="shared" si="45"/>
        <v>0</v>
      </c>
      <c r="CD71" s="270"/>
      <c r="CE71" s="271"/>
      <c r="CF71" s="271"/>
      <c r="CG71" s="271"/>
      <c r="CH71" s="271"/>
      <c r="CI71" s="271"/>
      <c r="CJ71" s="272">
        <v>1</v>
      </c>
      <c r="CK71" s="275">
        <f t="shared" si="46"/>
        <v>0</v>
      </c>
      <c r="CL71" s="275">
        <f t="shared" si="47"/>
        <v>0</v>
      </c>
      <c r="CM71" s="273">
        <f t="shared" si="48"/>
        <v>0</v>
      </c>
      <c r="CN71" s="270"/>
      <c r="CO71" s="271"/>
      <c r="CP71" s="271"/>
      <c r="CQ71" s="271"/>
      <c r="CR71" s="271"/>
      <c r="CS71" s="271"/>
      <c r="CT71" s="272">
        <v>1</v>
      </c>
      <c r="CU71" s="275">
        <f t="shared" si="49"/>
        <v>0</v>
      </c>
      <c r="CV71" s="275">
        <f t="shared" si="50"/>
        <v>0</v>
      </c>
      <c r="CW71" s="273">
        <f t="shared" si="51"/>
        <v>0</v>
      </c>
      <c r="CX71" s="270"/>
      <c r="CY71" s="271"/>
      <c r="CZ71" s="271"/>
      <c r="DA71" s="271"/>
      <c r="DB71" s="271"/>
      <c r="DC71" s="271"/>
      <c r="DD71" s="272">
        <v>1</v>
      </c>
      <c r="DE71" s="275">
        <f t="shared" si="52"/>
        <v>0</v>
      </c>
      <c r="DF71" s="275">
        <f t="shared" si="53"/>
        <v>0</v>
      </c>
      <c r="DG71" s="273">
        <f t="shared" si="54"/>
        <v>0</v>
      </c>
      <c r="DH71" s="270"/>
      <c r="DI71" s="271"/>
      <c r="DJ71" s="271"/>
      <c r="DK71" s="271"/>
      <c r="DL71" s="271"/>
      <c r="DM71" s="271"/>
      <c r="DN71" s="272">
        <v>1</v>
      </c>
      <c r="DO71" s="275">
        <f t="shared" si="55"/>
        <v>0</v>
      </c>
      <c r="DP71" s="275">
        <f t="shared" si="56"/>
        <v>0</v>
      </c>
      <c r="DQ71" s="273">
        <f t="shared" si="57"/>
        <v>0</v>
      </c>
      <c r="DR71" s="270"/>
      <c r="DS71" s="271"/>
      <c r="DT71" s="271"/>
      <c r="DU71" s="271"/>
      <c r="DV71" s="271"/>
      <c r="DW71" s="271"/>
      <c r="DX71" s="272">
        <v>1</v>
      </c>
      <c r="DY71" s="275">
        <f t="shared" si="58"/>
        <v>0</v>
      </c>
      <c r="DZ71" s="275">
        <f t="shared" si="59"/>
        <v>0</v>
      </c>
      <c r="EA71" s="273">
        <f t="shared" si="60"/>
        <v>0</v>
      </c>
      <c r="EB71" s="270"/>
      <c r="EC71" s="271"/>
      <c r="ED71" s="271"/>
      <c r="EE71" s="271"/>
      <c r="EF71" s="271"/>
      <c r="EG71" s="271"/>
      <c r="EH71" s="272">
        <v>1</v>
      </c>
      <c r="EI71" s="275">
        <f t="shared" si="61"/>
        <v>0</v>
      </c>
      <c r="EJ71" s="275">
        <f t="shared" si="62"/>
        <v>0</v>
      </c>
      <c r="EK71" s="273">
        <f t="shared" si="63"/>
        <v>0</v>
      </c>
      <c r="EL71" s="270"/>
      <c r="EM71" s="271"/>
      <c r="EN71" s="271"/>
      <c r="EO71" s="271"/>
      <c r="EP71" s="271"/>
      <c r="EQ71" s="271"/>
      <c r="ER71" s="272">
        <v>1</v>
      </c>
      <c r="ES71" s="275">
        <f t="shared" si="64"/>
        <v>0</v>
      </c>
      <c r="ET71" s="275">
        <f t="shared" si="65"/>
        <v>0</v>
      </c>
      <c r="EU71" s="273">
        <f t="shared" si="66"/>
        <v>0</v>
      </c>
      <c r="EV71" s="270"/>
      <c r="EW71" s="271"/>
      <c r="EX71" s="271"/>
      <c r="EY71" s="271"/>
      <c r="EZ71" s="271"/>
      <c r="FA71" s="271"/>
      <c r="FB71" s="272">
        <v>1</v>
      </c>
      <c r="FC71" s="275">
        <f t="shared" si="67"/>
        <v>0</v>
      </c>
      <c r="FD71" s="275">
        <f t="shared" si="68"/>
        <v>0</v>
      </c>
      <c r="FE71" s="273">
        <f t="shared" si="69"/>
        <v>0</v>
      </c>
      <c r="FF71" s="270"/>
      <c r="FG71" s="271"/>
      <c r="FH71" s="271"/>
      <c r="FI71" s="271"/>
      <c r="FJ71" s="271"/>
      <c r="FK71" s="271"/>
      <c r="FL71" s="272">
        <v>1</v>
      </c>
      <c r="FM71" s="275">
        <f t="shared" si="70"/>
        <v>0</v>
      </c>
      <c r="FN71" s="275">
        <f t="shared" si="71"/>
        <v>0</v>
      </c>
      <c r="FO71" s="273">
        <f t="shared" si="72"/>
        <v>0</v>
      </c>
      <c r="FP71" s="270"/>
      <c r="FQ71" s="271"/>
      <c r="FR71" s="271"/>
      <c r="FS71" s="271"/>
      <c r="FT71" s="271"/>
      <c r="FU71" s="271"/>
      <c r="FV71" s="272">
        <v>1</v>
      </c>
      <c r="FW71" s="275">
        <f t="shared" si="73"/>
        <v>0</v>
      </c>
      <c r="FX71" s="275">
        <f t="shared" si="74"/>
        <v>0</v>
      </c>
      <c r="FY71" s="273">
        <f t="shared" si="75"/>
        <v>0</v>
      </c>
      <c r="FZ71" s="270"/>
      <c r="GA71" s="271"/>
      <c r="GB71" s="271"/>
      <c r="GC71" s="271"/>
      <c r="GD71" s="271"/>
      <c r="GE71" s="271"/>
      <c r="GF71" s="272">
        <v>1</v>
      </c>
      <c r="GG71" s="275">
        <f t="shared" si="76"/>
        <v>0</v>
      </c>
      <c r="GH71" s="275">
        <f t="shared" si="77"/>
        <v>0</v>
      </c>
      <c r="GI71" s="273">
        <f t="shared" si="78"/>
        <v>0</v>
      </c>
      <c r="GJ71" s="270"/>
      <c r="GK71" s="271"/>
      <c r="GL71" s="271"/>
      <c r="GM71" s="271"/>
      <c r="GN71" s="271"/>
      <c r="GO71" s="271"/>
      <c r="GP71" s="272">
        <v>1</v>
      </c>
      <c r="GQ71" s="275">
        <f t="shared" si="79"/>
        <v>0</v>
      </c>
      <c r="GR71" s="275">
        <f t="shared" si="80"/>
        <v>0</v>
      </c>
      <c r="GS71" s="273">
        <f t="shared" si="81"/>
        <v>0</v>
      </c>
      <c r="GT71" s="270"/>
      <c r="GU71" s="271"/>
      <c r="GV71" s="271"/>
      <c r="GW71" s="271"/>
      <c r="GX71" s="271"/>
      <c r="GY71" s="271"/>
      <c r="GZ71" s="272">
        <v>1</v>
      </c>
      <c r="HA71" s="275">
        <f t="shared" si="82"/>
        <v>0</v>
      </c>
      <c r="HB71" s="275">
        <f t="shared" si="83"/>
        <v>0</v>
      </c>
      <c r="HC71" s="273">
        <f t="shared" si="84"/>
        <v>0</v>
      </c>
      <c r="HD71" s="270"/>
      <c r="HE71" s="271"/>
      <c r="HF71" s="271"/>
      <c r="HG71" s="271"/>
      <c r="HH71" s="271"/>
      <c r="HI71" s="271"/>
      <c r="HJ71" s="272">
        <v>1</v>
      </c>
      <c r="HK71" s="275">
        <f t="shared" si="85"/>
        <v>0</v>
      </c>
      <c r="HL71" s="275">
        <f t="shared" si="86"/>
        <v>0</v>
      </c>
      <c r="HM71" s="273">
        <f t="shared" si="87"/>
        <v>0</v>
      </c>
      <c r="HN71" s="277">
        <v>1</v>
      </c>
      <c r="HO71" s="278">
        <v>0</v>
      </c>
      <c r="HP71" s="277">
        <v>1</v>
      </c>
      <c r="HQ71" s="278">
        <v>0</v>
      </c>
      <c r="HR71" s="277">
        <v>1</v>
      </c>
      <c r="HS71" s="278">
        <v>0</v>
      </c>
      <c r="HT71" s="277">
        <v>1</v>
      </c>
      <c r="HU71" s="278">
        <v>0</v>
      </c>
      <c r="HV71" s="277">
        <v>1</v>
      </c>
      <c r="HW71" s="278">
        <v>0</v>
      </c>
      <c r="HX71" s="277">
        <v>1</v>
      </c>
      <c r="HY71" s="278">
        <v>0</v>
      </c>
      <c r="HZ71" s="277">
        <v>1</v>
      </c>
      <c r="IA71" s="278">
        <v>0</v>
      </c>
      <c r="IB71" s="277">
        <v>1</v>
      </c>
      <c r="IC71" s="278">
        <v>0</v>
      </c>
      <c r="ID71" s="277">
        <v>1</v>
      </c>
      <c r="IE71" s="278">
        <v>0</v>
      </c>
      <c r="IF71" s="277">
        <v>1</v>
      </c>
      <c r="IG71" s="278">
        <v>0</v>
      </c>
      <c r="IH71" s="277">
        <v>1</v>
      </c>
      <c r="II71" s="278">
        <v>0</v>
      </c>
      <c r="IJ71" s="277">
        <v>1</v>
      </c>
      <c r="IK71" s="278">
        <v>0</v>
      </c>
      <c r="IL71" s="277">
        <v>1</v>
      </c>
      <c r="IM71" s="278">
        <v>0</v>
      </c>
      <c r="IN71" s="277">
        <v>1</v>
      </c>
      <c r="IO71" s="278">
        <v>0</v>
      </c>
      <c r="IP71" s="277">
        <v>1</v>
      </c>
      <c r="IQ71" s="278">
        <v>0</v>
      </c>
      <c r="IR71" s="277">
        <v>1</v>
      </c>
      <c r="IS71" s="278">
        <v>0</v>
      </c>
      <c r="IT71" s="277">
        <v>1</v>
      </c>
      <c r="IU71" s="278">
        <v>0</v>
      </c>
      <c r="IV71" s="277">
        <v>1</v>
      </c>
      <c r="IW71" s="278">
        <v>0</v>
      </c>
      <c r="IX71" s="277">
        <v>1</v>
      </c>
      <c r="IY71" s="278">
        <v>0</v>
      </c>
      <c r="IZ71" s="277">
        <v>1</v>
      </c>
      <c r="JA71" s="278">
        <v>0</v>
      </c>
      <c r="JB71" s="277">
        <v>1</v>
      </c>
      <c r="JC71" s="278">
        <v>0</v>
      </c>
      <c r="JD71" s="277">
        <v>1</v>
      </c>
      <c r="JE71" s="278">
        <v>0</v>
      </c>
      <c r="KB71" s="8"/>
    </row>
    <row r="72" spans="1:288">
      <c r="A72" s="207">
        <v>46090</v>
      </c>
      <c r="B72" s="270"/>
      <c r="C72" s="271"/>
      <c r="D72" s="271"/>
      <c r="E72" s="271"/>
      <c r="F72" s="271"/>
      <c r="G72" s="271"/>
      <c r="H72" s="272">
        <v>1</v>
      </c>
      <c r="I72" s="275">
        <f t="shared" si="22"/>
        <v>0</v>
      </c>
      <c r="J72" s="275">
        <f t="shared" si="23"/>
        <v>0</v>
      </c>
      <c r="K72" s="273">
        <f t="shared" si="24"/>
        <v>0</v>
      </c>
      <c r="L72" s="270"/>
      <c r="M72" s="271"/>
      <c r="N72" s="271"/>
      <c r="O72" s="271"/>
      <c r="P72" s="271"/>
      <c r="Q72" s="271"/>
      <c r="R72" s="272">
        <v>1</v>
      </c>
      <c r="S72" s="275">
        <f t="shared" si="25"/>
        <v>0</v>
      </c>
      <c r="T72" s="275">
        <f t="shared" si="26"/>
        <v>0</v>
      </c>
      <c r="U72" s="273">
        <f t="shared" si="27"/>
        <v>0</v>
      </c>
      <c r="V72" s="270"/>
      <c r="W72" s="271"/>
      <c r="X72" s="271"/>
      <c r="Y72" s="271"/>
      <c r="Z72" s="271"/>
      <c r="AA72" s="271"/>
      <c r="AB72" s="272">
        <v>1</v>
      </c>
      <c r="AC72" s="275">
        <f t="shared" si="28"/>
        <v>0</v>
      </c>
      <c r="AD72" s="275">
        <f t="shared" si="29"/>
        <v>0</v>
      </c>
      <c r="AE72" s="273">
        <f t="shared" si="30"/>
        <v>0</v>
      </c>
      <c r="AF72" s="270"/>
      <c r="AG72" s="271"/>
      <c r="AH72" s="271"/>
      <c r="AI72" s="271"/>
      <c r="AJ72" s="271"/>
      <c r="AK72" s="271"/>
      <c r="AL72" s="272">
        <v>1</v>
      </c>
      <c r="AM72" s="275">
        <f t="shared" si="31"/>
        <v>0</v>
      </c>
      <c r="AN72" s="275">
        <f t="shared" si="32"/>
        <v>0</v>
      </c>
      <c r="AO72" s="273">
        <f t="shared" si="33"/>
        <v>0</v>
      </c>
      <c r="AP72" s="270"/>
      <c r="AQ72" s="271"/>
      <c r="AR72" s="271"/>
      <c r="AS72" s="271"/>
      <c r="AT72" s="271"/>
      <c r="AU72" s="271"/>
      <c r="AV72" s="272">
        <v>1</v>
      </c>
      <c r="AW72" s="275">
        <f t="shared" si="34"/>
        <v>0</v>
      </c>
      <c r="AX72" s="275">
        <f t="shared" si="35"/>
        <v>0</v>
      </c>
      <c r="AY72" s="273">
        <f t="shared" si="36"/>
        <v>0</v>
      </c>
      <c r="AZ72" s="270"/>
      <c r="BA72" s="271"/>
      <c r="BB72" s="271"/>
      <c r="BC72" s="271"/>
      <c r="BD72" s="271"/>
      <c r="BE72" s="271"/>
      <c r="BF72" s="272">
        <v>1</v>
      </c>
      <c r="BG72" s="275">
        <f t="shared" si="37"/>
        <v>0</v>
      </c>
      <c r="BH72" s="275">
        <f t="shared" si="38"/>
        <v>0</v>
      </c>
      <c r="BI72" s="273">
        <f t="shared" si="39"/>
        <v>0</v>
      </c>
      <c r="BJ72" s="270"/>
      <c r="BK72" s="271"/>
      <c r="BL72" s="271"/>
      <c r="BM72" s="271"/>
      <c r="BN72" s="271"/>
      <c r="BO72" s="271"/>
      <c r="BP72" s="272">
        <v>1</v>
      </c>
      <c r="BQ72" s="275">
        <f t="shared" si="40"/>
        <v>0</v>
      </c>
      <c r="BR72" s="275">
        <f t="shared" si="41"/>
        <v>0</v>
      </c>
      <c r="BS72" s="273">
        <f t="shared" si="42"/>
        <v>0</v>
      </c>
      <c r="BT72" s="270"/>
      <c r="BU72" s="271"/>
      <c r="BV72" s="271"/>
      <c r="BW72" s="271"/>
      <c r="BX72" s="271"/>
      <c r="BY72" s="271"/>
      <c r="BZ72" s="272">
        <v>1</v>
      </c>
      <c r="CA72" s="275">
        <f t="shared" si="43"/>
        <v>0</v>
      </c>
      <c r="CB72" s="275">
        <f t="shared" si="44"/>
        <v>0</v>
      </c>
      <c r="CC72" s="273">
        <f t="shared" si="45"/>
        <v>0</v>
      </c>
      <c r="CD72" s="270"/>
      <c r="CE72" s="271"/>
      <c r="CF72" s="271"/>
      <c r="CG72" s="271"/>
      <c r="CH72" s="271"/>
      <c r="CI72" s="271"/>
      <c r="CJ72" s="272">
        <v>1</v>
      </c>
      <c r="CK72" s="275">
        <f t="shared" si="46"/>
        <v>0</v>
      </c>
      <c r="CL72" s="275">
        <f t="shared" si="47"/>
        <v>0</v>
      </c>
      <c r="CM72" s="273">
        <f t="shared" si="48"/>
        <v>0</v>
      </c>
      <c r="CN72" s="270"/>
      <c r="CO72" s="271"/>
      <c r="CP72" s="271"/>
      <c r="CQ72" s="271"/>
      <c r="CR72" s="271"/>
      <c r="CS72" s="271"/>
      <c r="CT72" s="272">
        <v>1</v>
      </c>
      <c r="CU72" s="275">
        <f t="shared" si="49"/>
        <v>0</v>
      </c>
      <c r="CV72" s="275">
        <f t="shared" si="50"/>
        <v>0</v>
      </c>
      <c r="CW72" s="273">
        <f t="shared" si="51"/>
        <v>0</v>
      </c>
      <c r="CX72" s="270"/>
      <c r="CY72" s="271"/>
      <c r="CZ72" s="271"/>
      <c r="DA72" s="271"/>
      <c r="DB72" s="271"/>
      <c r="DC72" s="271"/>
      <c r="DD72" s="272">
        <v>1</v>
      </c>
      <c r="DE72" s="275">
        <f t="shared" si="52"/>
        <v>0</v>
      </c>
      <c r="DF72" s="275">
        <f t="shared" si="53"/>
        <v>0</v>
      </c>
      <c r="DG72" s="273">
        <f t="shared" si="54"/>
        <v>0</v>
      </c>
      <c r="DH72" s="270"/>
      <c r="DI72" s="271"/>
      <c r="DJ72" s="271"/>
      <c r="DK72" s="271"/>
      <c r="DL72" s="271"/>
      <c r="DM72" s="271"/>
      <c r="DN72" s="272">
        <v>1</v>
      </c>
      <c r="DO72" s="275">
        <f t="shared" si="55"/>
        <v>0</v>
      </c>
      <c r="DP72" s="275">
        <f t="shared" si="56"/>
        <v>0</v>
      </c>
      <c r="DQ72" s="273">
        <f t="shared" si="57"/>
        <v>0</v>
      </c>
      <c r="DR72" s="270"/>
      <c r="DS72" s="271"/>
      <c r="DT72" s="271"/>
      <c r="DU72" s="271"/>
      <c r="DV72" s="271"/>
      <c r="DW72" s="271"/>
      <c r="DX72" s="272">
        <v>1</v>
      </c>
      <c r="DY72" s="275">
        <f t="shared" si="58"/>
        <v>0</v>
      </c>
      <c r="DZ72" s="275">
        <f t="shared" si="59"/>
        <v>0</v>
      </c>
      <c r="EA72" s="273">
        <f t="shared" si="60"/>
        <v>0</v>
      </c>
      <c r="EB72" s="270"/>
      <c r="EC72" s="271"/>
      <c r="ED72" s="271"/>
      <c r="EE72" s="271"/>
      <c r="EF72" s="271"/>
      <c r="EG72" s="271"/>
      <c r="EH72" s="272">
        <v>1</v>
      </c>
      <c r="EI72" s="275">
        <f t="shared" si="61"/>
        <v>0</v>
      </c>
      <c r="EJ72" s="275">
        <f t="shared" si="62"/>
        <v>0</v>
      </c>
      <c r="EK72" s="273">
        <f t="shared" si="63"/>
        <v>0</v>
      </c>
      <c r="EL72" s="270"/>
      <c r="EM72" s="271"/>
      <c r="EN72" s="271"/>
      <c r="EO72" s="271"/>
      <c r="EP72" s="271"/>
      <c r="EQ72" s="271"/>
      <c r="ER72" s="272">
        <v>1</v>
      </c>
      <c r="ES72" s="275">
        <f t="shared" si="64"/>
        <v>0</v>
      </c>
      <c r="ET72" s="275">
        <f t="shared" si="65"/>
        <v>0</v>
      </c>
      <c r="EU72" s="273">
        <f t="shared" si="66"/>
        <v>0</v>
      </c>
      <c r="EV72" s="270"/>
      <c r="EW72" s="271"/>
      <c r="EX72" s="271"/>
      <c r="EY72" s="271"/>
      <c r="EZ72" s="271"/>
      <c r="FA72" s="271"/>
      <c r="FB72" s="272">
        <v>1</v>
      </c>
      <c r="FC72" s="275">
        <f t="shared" si="67"/>
        <v>0</v>
      </c>
      <c r="FD72" s="275">
        <f t="shared" si="68"/>
        <v>0</v>
      </c>
      <c r="FE72" s="273">
        <f t="shared" si="69"/>
        <v>0</v>
      </c>
      <c r="FF72" s="270"/>
      <c r="FG72" s="271"/>
      <c r="FH72" s="271"/>
      <c r="FI72" s="271"/>
      <c r="FJ72" s="271"/>
      <c r="FK72" s="271"/>
      <c r="FL72" s="272">
        <v>1</v>
      </c>
      <c r="FM72" s="275">
        <f t="shared" si="70"/>
        <v>0</v>
      </c>
      <c r="FN72" s="275">
        <f t="shared" si="71"/>
        <v>0</v>
      </c>
      <c r="FO72" s="273">
        <f t="shared" si="72"/>
        <v>0</v>
      </c>
      <c r="FP72" s="270"/>
      <c r="FQ72" s="271"/>
      <c r="FR72" s="271"/>
      <c r="FS72" s="271"/>
      <c r="FT72" s="271"/>
      <c r="FU72" s="271"/>
      <c r="FV72" s="272">
        <v>1</v>
      </c>
      <c r="FW72" s="275">
        <f t="shared" si="73"/>
        <v>0</v>
      </c>
      <c r="FX72" s="275">
        <f t="shared" si="74"/>
        <v>0</v>
      </c>
      <c r="FY72" s="273">
        <f t="shared" si="75"/>
        <v>0</v>
      </c>
      <c r="FZ72" s="270"/>
      <c r="GA72" s="271"/>
      <c r="GB72" s="271"/>
      <c r="GC72" s="271"/>
      <c r="GD72" s="271"/>
      <c r="GE72" s="271"/>
      <c r="GF72" s="272">
        <v>1</v>
      </c>
      <c r="GG72" s="275">
        <f t="shared" si="76"/>
        <v>0</v>
      </c>
      <c r="GH72" s="275">
        <f t="shared" si="77"/>
        <v>0</v>
      </c>
      <c r="GI72" s="273">
        <f t="shared" si="78"/>
        <v>0</v>
      </c>
      <c r="GJ72" s="270"/>
      <c r="GK72" s="271"/>
      <c r="GL72" s="271"/>
      <c r="GM72" s="271"/>
      <c r="GN72" s="271"/>
      <c r="GO72" s="271"/>
      <c r="GP72" s="272">
        <v>1</v>
      </c>
      <c r="GQ72" s="275">
        <f t="shared" si="79"/>
        <v>0</v>
      </c>
      <c r="GR72" s="275">
        <f t="shared" si="80"/>
        <v>0</v>
      </c>
      <c r="GS72" s="273">
        <f t="shared" si="81"/>
        <v>0</v>
      </c>
      <c r="GT72" s="270"/>
      <c r="GU72" s="271"/>
      <c r="GV72" s="271"/>
      <c r="GW72" s="271"/>
      <c r="GX72" s="271"/>
      <c r="GY72" s="271"/>
      <c r="GZ72" s="272">
        <v>1</v>
      </c>
      <c r="HA72" s="275">
        <f t="shared" si="82"/>
        <v>0</v>
      </c>
      <c r="HB72" s="275">
        <f t="shared" si="83"/>
        <v>0</v>
      </c>
      <c r="HC72" s="273">
        <f t="shared" si="84"/>
        <v>0</v>
      </c>
      <c r="HD72" s="270"/>
      <c r="HE72" s="271"/>
      <c r="HF72" s="271"/>
      <c r="HG72" s="271"/>
      <c r="HH72" s="271"/>
      <c r="HI72" s="271"/>
      <c r="HJ72" s="272">
        <v>1</v>
      </c>
      <c r="HK72" s="275">
        <f t="shared" si="85"/>
        <v>0</v>
      </c>
      <c r="HL72" s="275">
        <f t="shared" si="86"/>
        <v>0</v>
      </c>
      <c r="HM72" s="273">
        <f t="shared" si="87"/>
        <v>0</v>
      </c>
      <c r="HN72" s="277">
        <v>1</v>
      </c>
      <c r="HO72" s="278">
        <v>0</v>
      </c>
      <c r="HP72" s="277">
        <v>1</v>
      </c>
      <c r="HQ72" s="278">
        <v>0</v>
      </c>
      <c r="HR72" s="277">
        <v>1</v>
      </c>
      <c r="HS72" s="278">
        <v>0</v>
      </c>
      <c r="HT72" s="277">
        <v>1</v>
      </c>
      <c r="HU72" s="278">
        <v>0</v>
      </c>
      <c r="HV72" s="277">
        <v>1</v>
      </c>
      <c r="HW72" s="278">
        <v>0</v>
      </c>
      <c r="HX72" s="277">
        <v>1</v>
      </c>
      <c r="HY72" s="278">
        <v>0</v>
      </c>
      <c r="HZ72" s="277">
        <v>1</v>
      </c>
      <c r="IA72" s="278">
        <v>0</v>
      </c>
      <c r="IB72" s="277">
        <v>1</v>
      </c>
      <c r="IC72" s="278">
        <v>0</v>
      </c>
      <c r="ID72" s="277">
        <v>1</v>
      </c>
      <c r="IE72" s="278">
        <v>0</v>
      </c>
      <c r="IF72" s="277">
        <v>1</v>
      </c>
      <c r="IG72" s="278">
        <v>0</v>
      </c>
      <c r="IH72" s="277">
        <v>1</v>
      </c>
      <c r="II72" s="278">
        <v>0</v>
      </c>
      <c r="IJ72" s="277">
        <v>1</v>
      </c>
      <c r="IK72" s="278">
        <v>0</v>
      </c>
      <c r="IL72" s="277">
        <v>1</v>
      </c>
      <c r="IM72" s="278">
        <v>0</v>
      </c>
      <c r="IN72" s="277">
        <v>1</v>
      </c>
      <c r="IO72" s="278">
        <v>0</v>
      </c>
      <c r="IP72" s="277">
        <v>1</v>
      </c>
      <c r="IQ72" s="278">
        <v>0</v>
      </c>
      <c r="IR72" s="277">
        <v>1</v>
      </c>
      <c r="IS72" s="278">
        <v>0</v>
      </c>
      <c r="IT72" s="277">
        <v>1</v>
      </c>
      <c r="IU72" s="278">
        <v>0</v>
      </c>
      <c r="IV72" s="277">
        <v>1</v>
      </c>
      <c r="IW72" s="278">
        <v>0</v>
      </c>
      <c r="IX72" s="277">
        <v>1</v>
      </c>
      <c r="IY72" s="278">
        <v>0</v>
      </c>
      <c r="IZ72" s="277">
        <v>1</v>
      </c>
      <c r="JA72" s="278">
        <v>0</v>
      </c>
      <c r="JB72" s="277">
        <v>1</v>
      </c>
      <c r="JC72" s="278">
        <v>0</v>
      </c>
      <c r="JD72" s="277">
        <v>1</v>
      </c>
      <c r="JE72" s="278">
        <v>0</v>
      </c>
      <c r="KB72" s="8"/>
    </row>
    <row r="73" spans="1:288">
      <c r="A73" s="207">
        <v>46091</v>
      </c>
      <c r="B73" s="270"/>
      <c r="C73" s="271"/>
      <c r="D73" s="271"/>
      <c r="E73" s="271"/>
      <c r="F73" s="271"/>
      <c r="G73" s="271"/>
      <c r="H73" s="272">
        <v>1</v>
      </c>
      <c r="I73" s="275">
        <f t="shared" si="22"/>
        <v>0</v>
      </c>
      <c r="J73" s="275">
        <f t="shared" si="23"/>
        <v>0</v>
      </c>
      <c r="K73" s="273">
        <f t="shared" si="24"/>
        <v>0</v>
      </c>
      <c r="L73" s="270"/>
      <c r="M73" s="271"/>
      <c r="N73" s="271"/>
      <c r="O73" s="271"/>
      <c r="P73" s="271"/>
      <c r="Q73" s="271"/>
      <c r="R73" s="272">
        <v>1</v>
      </c>
      <c r="S73" s="275">
        <f t="shared" si="25"/>
        <v>0</v>
      </c>
      <c r="T73" s="275">
        <f t="shared" si="26"/>
        <v>0</v>
      </c>
      <c r="U73" s="273">
        <f t="shared" si="27"/>
        <v>0</v>
      </c>
      <c r="V73" s="270"/>
      <c r="W73" s="271"/>
      <c r="X73" s="271"/>
      <c r="Y73" s="271"/>
      <c r="Z73" s="271"/>
      <c r="AA73" s="271"/>
      <c r="AB73" s="272">
        <v>1</v>
      </c>
      <c r="AC73" s="275">
        <f t="shared" si="28"/>
        <v>0</v>
      </c>
      <c r="AD73" s="275">
        <f t="shared" si="29"/>
        <v>0</v>
      </c>
      <c r="AE73" s="273">
        <f t="shared" si="30"/>
        <v>0</v>
      </c>
      <c r="AF73" s="270"/>
      <c r="AG73" s="271"/>
      <c r="AH73" s="271"/>
      <c r="AI73" s="271"/>
      <c r="AJ73" s="271"/>
      <c r="AK73" s="271"/>
      <c r="AL73" s="272">
        <v>1</v>
      </c>
      <c r="AM73" s="275">
        <f t="shared" si="31"/>
        <v>0</v>
      </c>
      <c r="AN73" s="275">
        <f t="shared" si="32"/>
        <v>0</v>
      </c>
      <c r="AO73" s="273">
        <f t="shared" si="33"/>
        <v>0</v>
      </c>
      <c r="AP73" s="270"/>
      <c r="AQ73" s="271"/>
      <c r="AR73" s="271"/>
      <c r="AS73" s="271"/>
      <c r="AT73" s="271"/>
      <c r="AU73" s="271"/>
      <c r="AV73" s="272">
        <v>1</v>
      </c>
      <c r="AW73" s="275">
        <f t="shared" si="34"/>
        <v>0</v>
      </c>
      <c r="AX73" s="275">
        <f t="shared" si="35"/>
        <v>0</v>
      </c>
      <c r="AY73" s="273">
        <f t="shared" si="36"/>
        <v>0</v>
      </c>
      <c r="AZ73" s="270"/>
      <c r="BA73" s="271"/>
      <c r="BB73" s="271"/>
      <c r="BC73" s="271"/>
      <c r="BD73" s="271"/>
      <c r="BE73" s="271"/>
      <c r="BF73" s="272">
        <v>1</v>
      </c>
      <c r="BG73" s="275">
        <f t="shared" si="37"/>
        <v>0</v>
      </c>
      <c r="BH73" s="275">
        <f t="shared" si="38"/>
        <v>0</v>
      </c>
      <c r="BI73" s="273">
        <f t="shared" si="39"/>
        <v>0</v>
      </c>
      <c r="BJ73" s="270"/>
      <c r="BK73" s="271"/>
      <c r="BL73" s="271"/>
      <c r="BM73" s="271"/>
      <c r="BN73" s="271"/>
      <c r="BO73" s="271"/>
      <c r="BP73" s="272">
        <v>1</v>
      </c>
      <c r="BQ73" s="275">
        <f t="shared" si="40"/>
        <v>0</v>
      </c>
      <c r="BR73" s="275">
        <f t="shared" si="41"/>
        <v>0</v>
      </c>
      <c r="BS73" s="273">
        <f t="shared" si="42"/>
        <v>0</v>
      </c>
      <c r="BT73" s="270"/>
      <c r="BU73" s="271"/>
      <c r="BV73" s="271"/>
      <c r="BW73" s="271"/>
      <c r="BX73" s="271"/>
      <c r="BY73" s="271"/>
      <c r="BZ73" s="272">
        <v>1</v>
      </c>
      <c r="CA73" s="275">
        <f t="shared" si="43"/>
        <v>0</v>
      </c>
      <c r="CB73" s="275">
        <f t="shared" si="44"/>
        <v>0</v>
      </c>
      <c r="CC73" s="273">
        <f t="shared" si="45"/>
        <v>0</v>
      </c>
      <c r="CD73" s="270"/>
      <c r="CE73" s="271"/>
      <c r="CF73" s="271"/>
      <c r="CG73" s="271"/>
      <c r="CH73" s="271"/>
      <c r="CI73" s="271"/>
      <c r="CJ73" s="272">
        <v>1</v>
      </c>
      <c r="CK73" s="275">
        <f t="shared" si="46"/>
        <v>0</v>
      </c>
      <c r="CL73" s="275">
        <f t="shared" si="47"/>
        <v>0</v>
      </c>
      <c r="CM73" s="273">
        <f t="shared" si="48"/>
        <v>0</v>
      </c>
      <c r="CN73" s="270"/>
      <c r="CO73" s="271"/>
      <c r="CP73" s="271"/>
      <c r="CQ73" s="271"/>
      <c r="CR73" s="271"/>
      <c r="CS73" s="271"/>
      <c r="CT73" s="272">
        <v>1</v>
      </c>
      <c r="CU73" s="275">
        <f t="shared" si="49"/>
        <v>0</v>
      </c>
      <c r="CV73" s="275">
        <f t="shared" si="50"/>
        <v>0</v>
      </c>
      <c r="CW73" s="273">
        <f t="shared" si="51"/>
        <v>0</v>
      </c>
      <c r="CX73" s="270"/>
      <c r="CY73" s="271"/>
      <c r="CZ73" s="271"/>
      <c r="DA73" s="271"/>
      <c r="DB73" s="271"/>
      <c r="DC73" s="271"/>
      <c r="DD73" s="272">
        <v>1</v>
      </c>
      <c r="DE73" s="275">
        <f t="shared" si="52"/>
        <v>0</v>
      </c>
      <c r="DF73" s="275">
        <f t="shared" si="53"/>
        <v>0</v>
      </c>
      <c r="DG73" s="273">
        <f t="shared" si="54"/>
        <v>0</v>
      </c>
      <c r="DH73" s="270"/>
      <c r="DI73" s="271"/>
      <c r="DJ73" s="271"/>
      <c r="DK73" s="271"/>
      <c r="DL73" s="271"/>
      <c r="DM73" s="271"/>
      <c r="DN73" s="272">
        <v>1</v>
      </c>
      <c r="DO73" s="275">
        <f t="shared" si="55"/>
        <v>0</v>
      </c>
      <c r="DP73" s="275">
        <f t="shared" si="56"/>
        <v>0</v>
      </c>
      <c r="DQ73" s="273">
        <f t="shared" si="57"/>
        <v>0</v>
      </c>
      <c r="DR73" s="270"/>
      <c r="DS73" s="271"/>
      <c r="DT73" s="271"/>
      <c r="DU73" s="271"/>
      <c r="DV73" s="271"/>
      <c r="DW73" s="271"/>
      <c r="DX73" s="272">
        <v>1</v>
      </c>
      <c r="DY73" s="275">
        <f t="shared" si="58"/>
        <v>0</v>
      </c>
      <c r="DZ73" s="275">
        <f t="shared" si="59"/>
        <v>0</v>
      </c>
      <c r="EA73" s="273">
        <f t="shared" si="60"/>
        <v>0</v>
      </c>
      <c r="EB73" s="270"/>
      <c r="EC73" s="271"/>
      <c r="ED73" s="271"/>
      <c r="EE73" s="271"/>
      <c r="EF73" s="271"/>
      <c r="EG73" s="271"/>
      <c r="EH73" s="272">
        <v>1</v>
      </c>
      <c r="EI73" s="275">
        <f t="shared" si="61"/>
        <v>0</v>
      </c>
      <c r="EJ73" s="275">
        <f t="shared" si="62"/>
        <v>0</v>
      </c>
      <c r="EK73" s="273">
        <f t="shared" si="63"/>
        <v>0</v>
      </c>
      <c r="EL73" s="270"/>
      <c r="EM73" s="271"/>
      <c r="EN73" s="271"/>
      <c r="EO73" s="271"/>
      <c r="EP73" s="271"/>
      <c r="EQ73" s="271"/>
      <c r="ER73" s="272">
        <v>1</v>
      </c>
      <c r="ES73" s="275">
        <f t="shared" si="64"/>
        <v>0</v>
      </c>
      <c r="ET73" s="275">
        <f t="shared" si="65"/>
        <v>0</v>
      </c>
      <c r="EU73" s="273">
        <f t="shared" si="66"/>
        <v>0</v>
      </c>
      <c r="EV73" s="270"/>
      <c r="EW73" s="271"/>
      <c r="EX73" s="271"/>
      <c r="EY73" s="271"/>
      <c r="EZ73" s="271"/>
      <c r="FA73" s="271"/>
      <c r="FB73" s="272">
        <v>1</v>
      </c>
      <c r="FC73" s="275">
        <f t="shared" si="67"/>
        <v>0</v>
      </c>
      <c r="FD73" s="275">
        <f t="shared" si="68"/>
        <v>0</v>
      </c>
      <c r="FE73" s="273">
        <f t="shared" si="69"/>
        <v>0</v>
      </c>
      <c r="FF73" s="270"/>
      <c r="FG73" s="271"/>
      <c r="FH73" s="271"/>
      <c r="FI73" s="271"/>
      <c r="FJ73" s="271"/>
      <c r="FK73" s="271"/>
      <c r="FL73" s="272">
        <v>1</v>
      </c>
      <c r="FM73" s="275">
        <f t="shared" si="70"/>
        <v>0</v>
      </c>
      <c r="FN73" s="275">
        <f t="shared" si="71"/>
        <v>0</v>
      </c>
      <c r="FO73" s="273">
        <f t="shared" si="72"/>
        <v>0</v>
      </c>
      <c r="FP73" s="270"/>
      <c r="FQ73" s="271"/>
      <c r="FR73" s="271"/>
      <c r="FS73" s="271"/>
      <c r="FT73" s="271"/>
      <c r="FU73" s="271"/>
      <c r="FV73" s="272">
        <v>1</v>
      </c>
      <c r="FW73" s="275">
        <f t="shared" si="73"/>
        <v>0</v>
      </c>
      <c r="FX73" s="275">
        <f t="shared" si="74"/>
        <v>0</v>
      </c>
      <c r="FY73" s="273">
        <f t="shared" si="75"/>
        <v>0</v>
      </c>
      <c r="FZ73" s="270"/>
      <c r="GA73" s="271"/>
      <c r="GB73" s="271"/>
      <c r="GC73" s="271"/>
      <c r="GD73" s="271"/>
      <c r="GE73" s="271"/>
      <c r="GF73" s="272">
        <v>1</v>
      </c>
      <c r="GG73" s="275">
        <f t="shared" si="76"/>
        <v>0</v>
      </c>
      <c r="GH73" s="275">
        <f t="shared" si="77"/>
        <v>0</v>
      </c>
      <c r="GI73" s="273">
        <f t="shared" si="78"/>
        <v>0</v>
      </c>
      <c r="GJ73" s="270"/>
      <c r="GK73" s="271"/>
      <c r="GL73" s="271"/>
      <c r="GM73" s="271"/>
      <c r="GN73" s="271"/>
      <c r="GO73" s="271"/>
      <c r="GP73" s="272">
        <v>1</v>
      </c>
      <c r="GQ73" s="275">
        <f t="shared" si="79"/>
        <v>0</v>
      </c>
      <c r="GR73" s="275">
        <f t="shared" si="80"/>
        <v>0</v>
      </c>
      <c r="GS73" s="273">
        <f t="shared" si="81"/>
        <v>0</v>
      </c>
      <c r="GT73" s="270"/>
      <c r="GU73" s="271"/>
      <c r="GV73" s="271"/>
      <c r="GW73" s="271"/>
      <c r="GX73" s="271"/>
      <c r="GY73" s="271"/>
      <c r="GZ73" s="272">
        <v>1</v>
      </c>
      <c r="HA73" s="275">
        <f t="shared" si="82"/>
        <v>0</v>
      </c>
      <c r="HB73" s="275">
        <f t="shared" si="83"/>
        <v>0</v>
      </c>
      <c r="HC73" s="273">
        <f t="shared" si="84"/>
        <v>0</v>
      </c>
      <c r="HD73" s="270"/>
      <c r="HE73" s="271"/>
      <c r="HF73" s="271"/>
      <c r="HG73" s="271"/>
      <c r="HH73" s="271"/>
      <c r="HI73" s="271"/>
      <c r="HJ73" s="272">
        <v>1</v>
      </c>
      <c r="HK73" s="275">
        <f t="shared" si="85"/>
        <v>0</v>
      </c>
      <c r="HL73" s="275">
        <f t="shared" si="86"/>
        <v>0</v>
      </c>
      <c r="HM73" s="273">
        <f t="shared" si="87"/>
        <v>0</v>
      </c>
      <c r="HN73" s="277">
        <v>1</v>
      </c>
      <c r="HO73" s="278">
        <v>0</v>
      </c>
      <c r="HP73" s="277">
        <v>1</v>
      </c>
      <c r="HQ73" s="278">
        <v>0</v>
      </c>
      <c r="HR73" s="277">
        <v>1</v>
      </c>
      <c r="HS73" s="278">
        <v>0</v>
      </c>
      <c r="HT73" s="277">
        <v>1</v>
      </c>
      <c r="HU73" s="278">
        <v>0</v>
      </c>
      <c r="HV73" s="277">
        <v>1</v>
      </c>
      <c r="HW73" s="278">
        <v>0</v>
      </c>
      <c r="HX73" s="277">
        <v>1</v>
      </c>
      <c r="HY73" s="278">
        <v>0</v>
      </c>
      <c r="HZ73" s="277">
        <v>1</v>
      </c>
      <c r="IA73" s="278">
        <v>0</v>
      </c>
      <c r="IB73" s="277">
        <v>1</v>
      </c>
      <c r="IC73" s="278">
        <v>0</v>
      </c>
      <c r="ID73" s="277">
        <v>1</v>
      </c>
      <c r="IE73" s="278">
        <v>0</v>
      </c>
      <c r="IF73" s="277">
        <v>1</v>
      </c>
      <c r="IG73" s="278">
        <v>0</v>
      </c>
      <c r="IH73" s="277">
        <v>1</v>
      </c>
      <c r="II73" s="278">
        <v>0</v>
      </c>
      <c r="IJ73" s="277">
        <v>1</v>
      </c>
      <c r="IK73" s="278">
        <v>0</v>
      </c>
      <c r="IL73" s="277">
        <v>1</v>
      </c>
      <c r="IM73" s="278">
        <v>0</v>
      </c>
      <c r="IN73" s="277">
        <v>1</v>
      </c>
      <c r="IO73" s="278">
        <v>0</v>
      </c>
      <c r="IP73" s="277">
        <v>1</v>
      </c>
      <c r="IQ73" s="278">
        <v>0</v>
      </c>
      <c r="IR73" s="277">
        <v>1</v>
      </c>
      <c r="IS73" s="278">
        <v>0</v>
      </c>
      <c r="IT73" s="277">
        <v>1</v>
      </c>
      <c r="IU73" s="278">
        <v>0</v>
      </c>
      <c r="IV73" s="277">
        <v>1</v>
      </c>
      <c r="IW73" s="278">
        <v>0</v>
      </c>
      <c r="IX73" s="277">
        <v>1</v>
      </c>
      <c r="IY73" s="278">
        <v>0</v>
      </c>
      <c r="IZ73" s="277">
        <v>1</v>
      </c>
      <c r="JA73" s="278">
        <v>0</v>
      </c>
      <c r="JB73" s="277">
        <v>1</v>
      </c>
      <c r="JC73" s="278">
        <v>0</v>
      </c>
      <c r="JD73" s="277">
        <v>1</v>
      </c>
      <c r="JE73" s="278">
        <v>0</v>
      </c>
      <c r="KB73" s="8"/>
    </row>
    <row r="74" spans="1:288">
      <c r="A74" s="207">
        <v>46092</v>
      </c>
      <c r="B74" s="270"/>
      <c r="C74" s="271"/>
      <c r="D74" s="271"/>
      <c r="E74" s="271"/>
      <c r="F74" s="271"/>
      <c r="G74" s="271"/>
      <c r="H74" s="272">
        <v>1</v>
      </c>
      <c r="I74" s="275">
        <f t="shared" si="22"/>
        <v>0</v>
      </c>
      <c r="J74" s="275">
        <f t="shared" si="23"/>
        <v>0</v>
      </c>
      <c r="K74" s="273">
        <f t="shared" si="24"/>
        <v>0</v>
      </c>
      <c r="L74" s="270"/>
      <c r="M74" s="271"/>
      <c r="N74" s="271"/>
      <c r="O74" s="271"/>
      <c r="P74" s="271"/>
      <c r="Q74" s="271"/>
      <c r="R74" s="272">
        <v>1</v>
      </c>
      <c r="S74" s="275">
        <f t="shared" si="25"/>
        <v>0</v>
      </c>
      <c r="T74" s="275">
        <f t="shared" si="26"/>
        <v>0</v>
      </c>
      <c r="U74" s="273">
        <f t="shared" si="27"/>
        <v>0</v>
      </c>
      <c r="V74" s="270"/>
      <c r="W74" s="271"/>
      <c r="X74" s="271"/>
      <c r="Y74" s="271"/>
      <c r="Z74" s="271"/>
      <c r="AA74" s="271"/>
      <c r="AB74" s="272">
        <v>1</v>
      </c>
      <c r="AC74" s="275">
        <f t="shared" si="28"/>
        <v>0</v>
      </c>
      <c r="AD74" s="275">
        <f t="shared" si="29"/>
        <v>0</v>
      </c>
      <c r="AE74" s="273">
        <f t="shared" si="30"/>
        <v>0</v>
      </c>
      <c r="AF74" s="270"/>
      <c r="AG74" s="271"/>
      <c r="AH74" s="271"/>
      <c r="AI74" s="271"/>
      <c r="AJ74" s="271"/>
      <c r="AK74" s="271"/>
      <c r="AL74" s="272">
        <v>1</v>
      </c>
      <c r="AM74" s="275">
        <f t="shared" si="31"/>
        <v>0</v>
      </c>
      <c r="AN74" s="275">
        <f t="shared" si="32"/>
        <v>0</v>
      </c>
      <c r="AO74" s="273">
        <f t="shared" si="33"/>
        <v>0</v>
      </c>
      <c r="AP74" s="270"/>
      <c r="AQ74" s="271"/>
      <c r="AR74" s="271"/>
      <c r="AS74" s="271"/>
      <c r="AT74" s="271"/>
      <c r="AU74" s="271"/>
      <c r="AV74" s="272">
        <v>1</v>
      </c>
      <c r="AW74" s="275">
        <f t="shared" si="34"/>
        <v>0</v>
      </c>
      <c r="AX74" s="275">
        <f t="shared" si="35"/>
        <v>0</v>
      </c>
      <c r="AY74" s="273">
        <f t="shared" si="36"/>
        <v>0</v>
      </c>
      <c r="AZ74" s="270"/>
      <c r="BA74" s="271"/>
      <c r="BB74" s="271"/>
      <c r="BC74" s="271"/>
      <c r="BD74" s="271"/>
      <c r="BE74" s="271"/>
      <c r="BF74" s="272">
        <v>1</v>
      </c>
      <c r="BG74" s="275">
        <f t="shared" si="37"/>
        <v>0</v>
      </c>
      <c r="BH74" s="275">
        <f t="shared" si="38"/>
        <v>0</v>
      </c>
      <c r="BI74" s="273">
        <f t="shared" si="39"/>
        <v>0</v>
      </c>
      <c r="BJ74" s="270"/>
      <c r="BK74" s="271"/>
      <c r="BL74" s="271"/>
      <c r="BM74" s="271"/>
      <c r="BN74" s="271"/>
      <c r="BO74" s="271"/>
      <c r="BP74" s="272">
        <v>1</v>
      </c>
      <c r="BQ74" s="275">
        <f t="shared" si="40"/>
        <v>0</v>
      </c>
      <c r="BR74" s="275">
        <f t="shared" si="41"/>
        <v>0</v>
      </c>
      <c r="BS74" s="273">
        <f t="shared" si="42"/>
        <v>0</v>
      </c>
      <c r="BT74" s="270"/>
      <c r="BU74" s="271"/>
      <c r="BV74" s="271"/>
      <c r="BW74" s="271"/>
      <c r="BX74" s="271"/>
      <c r="BY74" s="271"/>
      <c r="BZ74" s="272">
        <v>1</v>
      </c>
      <c r="CA74" s="275">
        <f t="shared" si="43"/>
        <v>0</v>
      </c>
      <c r="CB74" s="275">
        <f t="shared" si="44"/>
        <v>0</v>
      </c>
      <c r="CC74" s="273">
        <f t="shared" si="45"/>
        <v>0</v>
      </c>
      <c r="CD74" s="270"/>
      <c r="CE74" s="271"/>
      <c r="CF74" s="271"/>
      <c r="CG74" s="271"/>
      <c r="CH74" s="271"/>
      <c r="CI74" s="271"/>
      <c r="CJ74" s="272">
        <v>1</v>
      </c>
      <c r="CK74" s="275">
        <f t="shared" si="46"/>
        <v>0</v>
      </c>
      <c r="CL74" s="275">
        <f t="shared" si="47"/>
        <v>0</v>
      </c>
      <c r="CM74" s="273">
        <f t="shared" si="48"/>
        <v>0</v>
      </c>
      <c r="CN74" s="270"/>
      <c r="CO74" s="271"/>
      <c r="CP74" s="271"/>
      <c r="CQ74" s="271"/>
      <c r="CR74" s="271"/>
      <c r="CS74" s="271"/>
      <c r="CT74" s="272">
        <v>1</v>
      </c>
      <c r="CU74" s="275">
        <f t="shared" si="49"/>
        <v>0</v>
      </c>
      <c r="CV74" s="275">
        <f t="shared" si="50"/>
        <v>0</v>
      </c>
      <c r="CW74" s="273">
        <f t="shared" si="51"/>
        <v>0</v>
      </c>
      <c r="CX74" s="270"/>
      <c r="CY74" s="271"/>
      <c r="CZ74" s="271"/>
      <c r="DA74" s="271"/>
      <c r="DB74" s="271"/>
      <c r="DC74" s="271"/>
      <c r="DD74" s="272">
        <v>1</v>
      </c>
      <c r="DE74" s="275">
        <f t="shared" si="52"/>
        <v>0</v>
      </c>
      <c r="DF74" s="275">
        <f t="shared" si="53"/>
        <v>0</v>
      </c>
      <c r="DG74" s="273">
        <f t="shared" si="54"/>
        <v>0</v>
      </c>
      <c r="DH74" s="270"/>
      <c r="DI74" s="271"/>
      <c r="DJ74" s="271"/>
      <c r="DK74" s="271"/>
      <c r="DL74" s="271"/>
      <c r="DM74" s="271"/>
      <c r="DN74" s="272">
        <v>1</v>
      </c>
      <c r="DO74" s="275">
        <f t="shared" si="55"/>
        <v>0</v>
      </c>
      <c r="DP74" s="275">
        <f t="shared" si="56"/>
        <v>0</v>
      </c>
      <c r="DQ74" s="273">
        <f t="shared" si="57"/>
        <v>0</v>
      </c>
      <c r="DR74" s="270"/>
      <c r="DS74" s="271"/>
      <c r="DT74" s="271"/>
      <c r="DU74" s="271"/>
      <c r="DV74" s="271"/>
      <c r="DW74" s="271"/>
      <c r="DX74" s="272">
        <v>1</v>
      </c>
      <c r="DY74" s="275">
        <f t="shared" si="58"/>
        <v>0</v>
      </c>
      <c r="DZ74" s="275">
        <f t="shared" si="59"/>
        <v>0</v>
      </c>
      <c r="EA74" s="273">
        <f t="shared" si="60"/>
        <v>0</v>
      </c>
      <c r="EB74" s="270"/>
      <c r="EC74" s="271"/>
      <c r="ED74" s="271"/>
      <c r="EE74" s="271"/>
      <c r="EF74" s="271"/>
      <c r="EG74" s="271"/>
      <c r="EH74" s="272">
        <v>1</v>
      </c>
      <c r="EI74" s="275">
        <f t="shared" si="61"/>
        <v>0</v>
      </c>
      <c r="EJ74" s="275">
        <f t="shared" si="62"/>
        <v>0</v>
      </c>
      <c r="EK74" s="273">
        <f t="shared" si="63"/>
        <v>0</v>
      </c>
      <c r="EL74" s="270"/>
      <c r="EM74" s="271"/>
      <c r="EN74" s="271"/>
      <c r="EO74" s="271"/>
      <c r="EP74" s="271"/>
      <c r="EQ74" s="271"/>
      <c r="ER74" s="272">
        <v>1</v>
      </c>
      <c r="ES74" s="275">
        <f t="shared" si="64"/>
        <v>0</v>
      </c>
      <c r="ET74" s="275">
        <f t="shared" si="65"/>
        <v>0</v>
      </c>
      <c r="EU74" s="273">
        <f t="shared" si="66"/>
        <v>0</v>
      </c>
      <c r="EV74" s="270"/>
      <c r="EW74" s="271"/>
      <c r="EX74" s="271"/>
      <c r="EY74" s="271"/>
      <c r="EZ74" s="271"/>
      <c r="FA74" s="271"/>
      <c r="FB74" s="272">
        <v>1</v>
      </c>
      <c r="FC74" s="275">
        <f t="shared" si="67"/>
        <v>0</v>
      </c>
      <c r="FD74" s="275">
        <f t="shared" si="68"/>
        <v>0</v>
      </c>
      <c r="FE74" s="273">
        <f t="shared" si="69"/>
        <v>0</v>
      </c>
      <c r="FF74" s="270"/>
      <c r="FG74" s="271"/>
      <c r="FH74" s="271"/>
      <c r="FI74" s="271"/>
      <c r="FJ74" s="271"/>
      <c r="FK74" s="271"/>
      <c r="FL74" s="272">
        <v>1</v>
      </c>
      <c r="FM74" s="275">
        <f t="shared" si="70"/>
        <v>0</v>
      </c>
      <c r="FN74" s="275">
        <f t="shared" si="71"/>
        <v>0</v>
      </c>
      <c r="FO74" s="273">
        <f t="shared" si="72"/>
        <v>0</v>
      </c>
      <c r="FP74" s="270"/>
      <c r="FQ74" s="271"/>
      <c r="FR74" s="271"/>
      <c r="FS74" s="271"/>
      <c r="FT74" s="271"/>
      <c r="FU74" s="271"/>
      <c r="FV74" s="272">
        <v>1</v>
      </c>
      <c r="FW74" s="275">
        <f t="shared" si="73"/>
        <v>0</v>
      </c>
      <c r="FX74" s="275">
        <f t="shared" si="74"/>
        <v>0</v>
      </c>
      <c r="FY74" s="273">
        <f t="shared" si="75"/>
        <v>0</v>
      </c>
      <c r="FZ74" s="270"/>
      <c r="GA74" s="271"/>
      <c r="GB74" s="271"/>
      <c r="GC74" s="271"/>
      <c r="GD74" s="271"/>
      <c r="GE74" s="271"/>
      <c r="GF74" s="272">
        <v>1</v>
      </c>
      <c r="GG74" s="275">
        <f t="shared" si="76"/>
        <v>0</v>
      </c>
      <c r="GH74" s="275">
        <f t="shared" si="77"/>
        <v>0</v>
      </c>
      <c r="GI74" s="273">
        <f t="shared" si="78"/>
        <v>0</v>
      </c>
      <c r="GJ74" s="270"/>
      <c r="GK74" s="271"/>
      <c r="GL74" s="271"/>
      <c r="GM74" s="271"/>
      <c r="GN74" s="271"/>
      <c r="GO74" s="271"/>
      <c r="GP74" s="272">
        <v>1</v>
      </c>
      <c r="GQ74" s="275">
        <f t="shared" si="79"/>
        <v>0</v>
      </c>
      <c r="GR74" s="275">
        <f t="shared" si="80"/>
        <v>0</v>
      </c>
      <c r="GS74" s="273">
        <f t="shared" si="81"/>
        <v>0</v>
      </c>
      <c r="GT74" s="270"/>
      <c r="GU74" s="271"/>
      <c r="GV74" s="271"/>
      <c r="GW74" s="271"/>
      <c r="GX74" s="271"/>
      <c r="GY74" s="271"/>
      <c r="GZ74" s="272">
        <v>1</v>
      </c>
      <c r="HA74" s="275">
        <f t="shared" si="82"/>
        <v>0</v>
      </c>
      <c r="HB74" s="275">
        <f t="shared" si="83"/>
        <v>0</v>
      </c>
      <c r="HC74" s="273">
        <f t="shared" si="84"/>
        <v>0</v>
      </c>
      <c r="HD74" s="270"/>
      <c r="HE74" s="271"/>
      <c r="HF74" s="271"/>
      <c r="HG74" s="271"/>
      <c r="HH74" s="271"/>
      <c r="HI74" s="271"/>
      <c r="HJ74" s="272">
        <v>1</v>
      </c>
      <c r="HK74" s="275">
        <f t="shared" si="85"/>
        <v>0</v>
      </c>
      <c r="HL74" s="275">
        <f t="shared" si="86"/>
        <v>0</v>
      </c>
      <c r="HM74" s="273">
        <f t="shared" si="87"/>
        <v>0</v>
      </c>
      <c r="HN74" s="277">
        <v>1</v>
      </c>
      <c r="HO74" s="278">
        <v>0</v>
      </c>
      <c r="HP74" s="277">
        <v>1</v>
      </c>
      <c r="HQ74" s="278">
        <v>0</v>
      </c>
      <c r="HR74" s="277">
        <v>1</v>
      </c>
      <c r="HS74" s="278">
        <v>0</v>
      </c>
      <c r="HT74" s="277">
        <v>1</v>
      </c>
      <c r="HU74" s="278">
        <v>0</v>
      </c>
      <c r="HV74" s="277">
        <v>1</v>
      </c>
      <c r="HW74" s="278">
        <v>0</v>
      </c>
      <c r="HX74" s="277">
        <v>1</v>
      </c>
      <c r="HY74" s="278">
        <v>0</v>
      </c>
      <c r="HZ74" s="277">
        <v>1</v>
      </c>
      <c r="IA74" s="278">
        <v>0</v>
      </c>
      <c r="IB74" s="277">
        <v>1</v>
      </c>
      <c r="IC74" s="278">
        <v>0</v>
      </c>
      <c r="ID74" s="277">
        <v>1</v>
      </c>
      <c r="IE74" s="278">
        <v>0</v>
      </c>
      <c r="IF74" s="277">
        <v>1</v>
      </c>
      <c r="IG74" s="278">
        <v>0</v>
      </c>
      <c r="IH74" s="277">
        <v>1</v>
      </c>
      <c r="II74" s="278">
        <v>0</v>
      </c>
      <c r="IJ74" s="277">
        <v>1</v>
      </c>
      <c r="IK74" s="278">
        <v>0</v>
      </c>
      <c r="IL74" s="277">
        <v>1</v>
      </c>
      <c r="IM74" s="278">
        <v>0</v>
      </c>
      <c r="IN74" s="277">
        <v>1</v>
      </c>
      <c r="IO74" s="278">
        <v>0</v>
      </c>
      <c r="IP74" s="277">
        <v>1</v>
      </c>
      <c r="IQ74" s="278">
        <v>0</v>
      </c>
      <c r="IR74" s="277">
        <v>1</v>
      </c>
      <c r="IS74" s="278">
        <v>0</v>
      </c>
      <c r="IT74" s="277">
        <v>1</v>
      </c>
      <c r="IU74" s="278">
        <v>0</v>
      </c>
      <c r="IV74" s="277">
        <v>1</v>
      </c>
      <c r="IW74" s="278">
        <v>0</v>
      </c>
      <c r="IX74" s="277">
        <v>1</v>
      </c>
      <c r="IY74" s="278">
        <v>0</v>
      </c>
      <c r="IZ74" s="277">
        <v>1</v>
      </c>
      <c r="JA74" s="278">
        <v>0</v>
      </c>
      <c r="JB74" s="277">
        <v>1</v>
      </c>
      <c r="JC74" s="278">
        <v>0</v>
      </c>
      <c r="JD74" s="277">
        <v>1</v>
      </c>
      <c r="JE74" s="278">
        <v>0</v>
      </c>
      <c r="KB74" s="8"/>
    </row>
    <row r="75" spans="1:288">
      <c r="A75" s="207">
        <v>46093</v>
      </c>
      <c r="B75" s="270"/>
      <c r="C75" s="271"/>
      <c r="D75" s="271"/>
      <c r="E75" s="271"/>
      <c r="F75" s="271"/>
      <c r="G75" s="271"/>
      <c r="H75" s="272">
        <v>1</v>
      </c>
      <c r="I75" s="275">
        <f t="shared" si="22"/>
        <v>0</v>
      </c>
      <c r="J75" s="275">
        <f t="shared" si="23"/>
        <v>0</v>
      </c>
      <c r="K75" s="273">
        <f t="shared" si="24"/>
        <v>0</v>
      </c>
      <c r="L75" s="270"/>
      <c r="M75" s="271"/>
      <c r="N75" s="271"/>
      <c r="O75" s="271"/>
      <c r="P75" s="271"/>
      <c r="Q75" s="271"/>
      <c r="R75" s="272">
        <v>1</v>
      </c>
      <c r="S75" s="275">
        <f t="shared" si="25"/>
        <v>0</v>
      </c>
      <c r="T75" s="275">
        <f t="shared" si="26"/>
        <v>0</v>
      </c>
      <c r="U75" s="273">
        <f t="shared" si="27"/>
        <v>0</v>
      </c>
      <c r="V75" s="270"/>
      <c r="W75" s="271"/>
      <c r="X75" s="271"/>
      <c r="Y75" s="271"/>
      <c r="Z75" s="271"/>
      <c r="AA75" s="271"/>
      <c r="AB75" s="272">
        <v>1</v>
      </c>
      <c r="AC75" s="275">
        <f t="shared" si="28"/>
        <v>0</v>
      </c>
      <c r="AD75" s="275">
        <f t="shared" si="29"/>
        <v>0</v>
      </c>
      <c r="AE75" s="273">
        <f t="shared" si="30"/>
        <v>0</v>
      </c>
      <c r="AF75" s="270"/>
      <c r="AG75" s="271"/>
      <c r="AH75" s="271"/>
      <c r="AI75" s="271"/>
      <c r="AJ75" s="271"/>
      <c r="AK75" s="271"/>
      <c r="AL75" s="272">
        <v>1</v>
      </c>
      <c r="AM75" s="275">
        <f t="shared" si="31"/>
        <v>0</v>
      </c>
      <c r="AN75" s="275">
        <f t="shared" si="32"/>
        <v>0</v>
      </c>
      <c r="AO75" s="273">
        <f t="shared" si="33"/>
        <v>0</v>
      </c>
      <c r="AP75" s="270"/>
      <c r="AQ75" s="271"/>
      <c r="AR75" s="271"/>
      <c r="AS75" s="271"/>
      <c r="AT75" s="271"/>
      <c r="AU75" s="271"/>
      <c r="AV75" s="272">
        <v>1</v>
      </c>
      <c r="AW75" s="275">
        <f t="shared" si="34"/>
        <v>0</v>
      </c>
      <c r="AX75" s="275">
        <f t="shared" si="35"/>
        <v>0</v>
      </c>
      <c r="AY75" s="273">
        <f t="shared" si="36"/>
        <v>0</v>
      </c>
      <c r="AZ75" s="270"/>
      <c r="BA75" s="271"/>
      <c r="BB75" s="271"/>
      <c r="BC75" s="271"/>
      <c r="BD75" s="271"/>
      <c r="BE75" s="271"/>
      <c r="BF75" s="272">
        <v>1</v>
      </c>
      <c r="BG75" s="275">
        <f t="shared" si="37"/>
        <v>0</v>
      </c>
      <c r="BH75" s="275">
        <f t="shared" si="38"/>
        <v>0</v>
      </c>
      <c r="BI75" s="273">
        <f t="shared" si="39"/>
        <v>0</v>
      </c>
      <c r="BJ75" s="270"/>
      <c r="BK75" s="271"/>
      <c r="BL75" s="271"/>
      <c r="BM75" s="271"/>
      <c r="BN75" s="271"/>
      <c r="BO75" s="271"/>
      <c r="BP75" s="272">
        <v>1</v>
      </c>
      <c r="BQ75" s="275">
        <f t="shared" si="40"/>
        <v>0</v>
      </c>
      <c r="BR75" s="275">
        <f t="shared" si="41"/>
        <v>0</v>
      </c>
      <c r="BS75" s="273">
        <f t="shared" si="42"/>
        <v>0</v>
      </c>
      <c r="BT75" s="270"/>
      <c r="BU75" s="271"/>
      <c r="BV75" s="271"/>
      <c r="BW75" s="271"/>
      <c r="BX75" s="271"/>
      <c r="BY75" s="271"/>
      <c r="BZ75" s="272">
        <v>1</v>
      </c>
      <c r="CA75" s="275">
        <f t="shared" si="43"/>
        <v>0</v>
      </c>
      <c r="CB75" s="275">
        <f t="shared" si="44"/>
        <v>0</v>
      </c>
      <c r="CC75" s="273">
        <f t="shared" si="45"/>
        <v>0</v>
      </c>
      <c r="CD75" s="270"/>
      <c r="CE75" s="271"/>
      <c r="CF75" s="271"/>
      <c r="CG75" s="271"/>
      <c r="CH75" s="271"/>
      <c r="CI75" s="271"/>
      <c r="CJ75" s="272">
        <v>1</v>
      </c>
      <c r="CK75" s="275">
        <f t="shared" si="46"/>
        <v>0</v>
      </c>
      <c r="CL75" s="275">
        <f t="shared" si="47"/>
        <v>0</v>
      </c>
      <c r="CM75" s="273">
        <f t="shared" si="48"/>
        <v>0</v>
      </c>
      <c r="CN75" s="270"/>
      <c r="CO75" s="271"/>
      <c r="CP75" s="271"/>
      <c r="CQ75" s="271"/>
      <c r="CR75" s="271"/>
      <c r="CS75" s="271"/>
      <c r="CT75" s="272">
        <v>1</v>
      </c>
      <c r="CU75" s="275">
        <f t="shared" si="49"/>
        <v>0</v>
      </c>
      <c r="CV75" s="275">
        <f t="shared" si="50"/>
        <v>0</v>
      </c>
      <c r="CW75" s="273">
        <f t="shared" si="51"/>
        <v>0</v>
      </c>
      <c r="CX75" s="270"/>
      <c r="CY75" s="271"/>
      <c r="CZ75" s="271"/>
      <c r="DA75" s="271"/>
      <c r="DB75" s="271"/>
      <c r="DC75" s="271"/>
      <c r="DD75" s="272">
        <v>1</v>
      </c>
      <c r="DE75" s="275">
        <f t="shared" si="52"/>
        <v>0</v>
      </c>
      <c r="DF75" s="275">
        <f t="shared" si="53"/>
        <v>0</v>
      </c>
      <c r="DG75" s="273">
        <f t="shared" si="54"/>
        <v>0</v>
      </c>
      <c r="DH75" s="270"/>
      <c r="DI75" s="271"/>
      <c r="DJ75" s="271"/>
      <c r="DK75" s="271"/>
      <c r="DL75" s="271"/>
      <c r="DM75" s="271"/>
      <c r="DN75" s="272">
        <v>1</v>
      </c>
      <c r="DO75" s="275">
        <f t="shared" si="55"/>
        <v>0</v>
      </c>
      <c r="DP75" s="275">
        <f t="shared" si="56"/>
        <v>0</v>
      </c>
      <c r="DQ75" s="273">
        <f t="shared" si="57"/>
        <v>0</v>
      </c>
      <c r="DR75" s="270"/>
      <c r="DS75" s="271"/>
      <c r="DT75" s="271"/>
      <c r="DU75" s="271"/>
      <c r="DV75" s="271"/>
      <c r="DW75" s="271"/>
      <c r="DX75" s="272">
        <v>1</v>
      </c>
      <c r="DY75" s="275">
        <f t="shared" si="58"/>
        <v>0</v>
      </c>
      <c r="DZ75" s="275">
        <f t="shared" si="59"/>
        <v>0</v>
      </c>
      <c r="EA75" s="273">
        <f t="shared" si="60"/>
        <v>0</v>
      </c>
      <c r="EB75" s="270"/>
      <c r="EC75" s="271"/>
      <c r="ED75" s="271"/>
      <c r="EE75" s="271"/>
      <c r="EF75" s="271"/>
      <c r="EG75" s="271"/>
      <c r="EH75" s="272">
        <v>1</v>
      </c>
      <c r="EI75" s="275">
        <f t="shared" si="61"/>
        <v>0</v>
      </c>
      <c r="EJ75" s="275">
        <f t="shared" si="62"/>
        <v>0</v>
      </c>
      <c r="EK75" s="273">
        <f t="shared" si="63"/>
        <v>0</v>
      </c>
      <c r="EL75" s="270"/>
      <c r="EM75" s="271"/>
      <c r="EN75" s="271"/>
      <c r="EO75" s="271"/>
      <c r="EP75" s="271"/>
      <c r="EQ75" s="271"/>
      <c r="ER75" s="272">
        <v>1</v>
      </c>
      <c r="ES75" s="275">
        <f t="shared" si="64"/>
        <v>0</v>
      </c>
      <c r="ET75" s="275">
        <f t="shared" si="65"/>
        <v>0</v>
      </c>
      <c r="EU75" s="273">
        <f t="shared" si="66"/>
        <v>0</v>
      </c>
      <c r="EV75" s="270"/>
      <c r="EW75" s="271"/>
      <c r="EX75" s="271"/>
      <c r="EY75" s="271"/>
      <c r="EZ75" s="271"/>
      <c r="FA75" s="271"/>
      <c r="FB75" s="272">
        <v>1</v>
      </c>
      <c r="FC75" s="275">
        <f t="shared" si="67"/>
        <v>0</v>
      </c>
      <c r="FD75" s="275">
        <f t="shared" si="68"/>
        <v>0</v>
      </c>
      <c r="FE75" s="273">
        <f t="shared" si="69"/>
        <v>0</v>
      </c>
      <c r="FF75" s="270"/>
      <c r="FG75" s="271"/>
      <c r="FH75" s="271"/>
      <c r="FI75" s="271"/>
      <c r="FJ75" s="271"/>
      <c r="FK75" s="271"/>
      <c r="FL75" s="272">
        <v>1</v>
      </c>
      <c r="FM75" s="275">
        <f t="shared" si="70"/>
        <v>0</v>
      </c>
      <c r="FN75" s="275">
        <f t="shared" si="71"/>
        <v>0</v>
      </c>
      <c r="FO75" s="273">
        <f t="shared" si="72"/>
        <v>0</v>
      </c>
      <c r="FP75" s="270"/>
      <c r="FQ75" s="271"/>
      <c r="FR75" s="271"/>
      <c r="FS75" s="271"/>
      <c r="FT75" s="271"/>
      <c r="FU75" s="271"/>
      <c r="FV75" s="272">
        <v>1</v>
      </c>
      <c r="FW75" s="275">
        <f t="shared" si="73"/>
        <v>0</v>
      </c>
      <c r="FX75" s="275">
        <f t="shared" si="74"/>
        <v>0</v>
      </c>
      <c r="FY75" s="273">
        <f t="shared" si="75"/>
        <v>0</v>
      </c>
      <c r="FZ75" s="270"/>
      <c r="GA75" s="271"/>
      <c r="GB75" s="271"/>
      <c r="GC75" s="271"/>
      <c r="GD75" s="271"/>
      <c r="GE75" s="271"/>
      <c r="GF75" s="272">
        <v>1</v>
      </c>
      <c r="GG75" s="275">
        <f t="shared" si="76"/>
        <v>0</v>
      </c>
      <c r="GH75" s="275">
        <f t="shared" si="77"/>
        <v>0</v>
      </c>
      <c r="GI75" s="273">
        <f t="shared" si="78"/>
        <v>0</v>
      </c>
      <c r="GJ75" s="270"/>
      <c r="GK75" s="271"/>
      <c r="GL75" s="271"/>
      <c r="GM75" s="271"/>
      <c r="GN75" s="271"/>
      <c r="GO75" s="271"/>
      <c r="GP75" s="272">
        <v>1</v>
      </c>
      <c r="GQ75" s="275">
        <f t="shared" si="79"/>
        <v>0</v>
      </c>
      <c r="GR75" s="275">
        <f t="shared" si="80"/>
        <v>0</v>
      </c>
      <c r="GS75" s="273">
        <f t="shared" si="81"/>
        <v>0</v>
      </c>
      <c r="GT75" s="270"/>
      <c r="GU75" s="271"/>
      <c r="GV75" s="271"/>
      <c r="GW75" s="271"/>
      <c r="GX75" s="271"/>
      <c r="GY75" s="271"/>
      <c r="GZ75" s="272">
        <v>1</v>
      </c>
      <c r="HA75" s="275">
        <f t="shared" si="82"/>
        <v>0</v>
      </c>
      <c r="HB75" s="275">
        <f t="shared" si="83"/>
        <v>0</v>
      </c>
      <c r="HC75" s="273">
        <f t="shared" si="84"/>
        <v>0</v>
      </c>
      <c r="HD75" s="270"/>
      <c r="HE75" s="271"/>
      <c r="HF75" s="271"/>
      <c r="HG75" s="271"/>
      <c r="HH75" s="271"/>
      <c r="HI75" s="271"/>
      <c r="HJ75" s="272">
        <v>1</v>
      </c>
      <c r="HK75" s="275">
        <f t="shared" si="85"/>
        <v>0</v>
      </c>
      <c r="HL75" s="275">
        <f t="shared" si="86"/>
        <v>0</v>
      </c>
      <c r="HM75" s="273">
        <f t="shared" si="87"/>
        <v>0</v>
      </c>
      <c r="HN75" s="277">
        <v>1</v>
      </c>
      <c r="HO75" s="278">
        <v>0</v>
      </c>
      <c r="HP75" s="277">
        <v>1</v>
      </c>
      <c r="HQ75" s="278">
        <v>0</v>
      </c>
      <c r="HR75" s="277">
        <v>1</v>
      </c>
      <c r="HS75" s="278">
        <v>0</v>
      </c>
      <c r="HT75" s="277">
        <v>1</v>
      </c>
      <c r="HU75" s="278">
        <v>0</v>
      </c>
      <c r="HV75" s="277">
        <v>1</v>
      </c>
      <c r="HW75" s="278">
        <v>0</v>
      </c>
      <c r="HX75" s="277">
        <v>1</v>
      </c>
      <c r="HY75" s="278">
        <v>0</v>
      </c>
      <c r="HZ75" s="277">
        <v>1</v>
      </c>
      <c r="IA75" s="278">
        <v>0</v>
      </c>
      <c r="IB75" s="277">
        <v>1</v>
      </c>
      <c r="IC75" s="278">
        <v>0</v>
      </c>
      <c r="ID75" s="277">
        <v>1</v>
      </c>
      <c r="IE75" s="278">
        <v>0</v>
      </c>
      <c r="IF75" s="277">
        <v>1</v>
      </c>
      <c r="IG75" s="278">
        <v>0</v>
      </c>
      <c r="IH75" s="277">
        <v>1</v>
      </c>
      <c r="II75" s="278">
        <v>0</v>
      </c>
      <c r="IJ75" s="277">
        <v>1</v>
      </c>
      <c r="IK75" s="278">
        <v>0</v>
      </c>
      <c r="IL75" s="277">
        <v>1</v>
      </c>
      <c r="IM75" s="278">
        <v>0</v>
      </c>
      <c r="IN75" s="277">
        <v>1</v>
      </c>
      <c r="IO75" s="278">
        <v>0</v>
      </c>
      <c r="IP75" s="277">
        <v>1</v>
      </c>
      <c r="IQ75" s="278">
        <v>0</v>
      </c>
      <c r="IR75" s="277">
        <v>1</v>
      </c>
      <c r="IS75" s="278">
        <v>0</v>
      </c>
      <c r="IT75" s="277">
        <v>1</v>
      </c>
      <c r="IU75" s="278">
        <v>0</v>
      </c>
      <c r="IV75" s="277">
        <v>1</v>
      </c>
      <c r="IW75" s="278">
        <v>0</v>
      </c>
      <c r="IX75" s="277">
        <v>1</v>
      </c>
      <c r="IY75" s="278">
        <v>0</v>
      </c>
      <c r="IZ75" s="277">
        <v>1</v>
      </c>
      <c r="JA75" s="278">
        <v>0</v>
      </c>
      <c r="JB75" s="277">
        <v>1</v>
      </c>
      <c r="JC75" s="278">
        <v>0</v>
      </c>
      <c r="JD75" s="277">
        <v>1</v>
      </c>
      <c r="JE75" s="278">
        <v>0</v>
      </c>
      <c r="KB75" s="8"/>
    </row>
    <row r="76" spans="1:288">
      <c r="A76" s="207">
        <v>46094</v>
      </c>
      <c r="B76" s="270"/>
      <c r="C76" s="271"/>
      <c r="D76" s="271"/>
      <c r="E76" s="271"/>
      <c r="F76" s="271"/>
      <c r="G76" s="271"/>
      <c r="H76" s="272">
        <v>1</v>
      </c>
      <c r="I76" s="275">
        <f t="shared" si="22"/>
        <v>0</v>
      </c>
      <c r="J76" s="275">
        <f t="shared" si="23"/>
        <v>0</v>
      </c>
      <c r="K76" s="273">
        <f t="shared" si="24"/>
        <v>0</v>
      </c>
      <c r="L76" s="270"/>
      <c r="M76" s="271"/>
      <c r="N76" s="271"/>
      <c r="O76" s="271"/>
      <c r="P76" s="271"/>
      <c r="Q76" s="271"/>
      <c r="R76" s="272">
        <v>1</v>
      </c>
      <c r="S76" s="275">
        <f t="shared" si="25"/>
        <v>0</v>
      </c>
      <c r="T76" s="275">
        <f t="shared" si="26"/>
        <v>0</v>
      </c>
      <c r="U76" s="273">
        <f t="shared" si="27"/>
        <v>0</v>
      </c>
      <c r="V76" s="270"/>
      <c r="W76" s="271"/>
      <c r="X76" s="271"/>
      <c r="Y76" s="271"/>
      <c r="Z76" s="271"/>
      <c r="AA76" s="271"/>
      <c r="AB76" s="272">
        <v>1</v>
      </c>
      <c r="AC76" s="275">
        <f t="shared" si="28"/>
        <v>0</v>
      </c>
      <c r="AD76" s="275">
        <f t="shared" si="29"/>
        <v>0</v>
      </c>
      <c r="AE76" s="273">
        <f t="shared" si="30"/>
        <v>0</v>
      </c>
      <c r="AF76" s="270"/>
      <c r="AG76" s="271"/>
      <c r="AH76" s="271"/>
      <c r="AI76" s="271"/>
      <c r="AJ76" s="271"/>
      <c r="AK76" s="271"/>
      <c r="AL76" s="272">
        <v>1</v>
      </c>
      <c r="AM76" s="275">
        <f t="shared" si="31"/>
        <v>0</v>
      </c>
      <c r="AN76" s="275">
        <f t="shared" si="32"/>
        <v>0</v>
      </c>
      <c r="AO76" s="273">
        <f t="shared" si="33"/>
        <v>0</v>
      </c>
      <c r="AP76" s="270"/>
      <c r="AQ76" s="271"/>
      <c r="AR76" s="271"/>
      <c r="AS76" s="271"/>
      <c r="AT76" s="271"/>
      <c r="AU76" s="271"/>
      <c r="AV76" s="272">
        <v>1</v>
      </c>
      <c r="AW76" s="275">
        <f t="shared" si="34"/>
        <v>0</v>
      </c>
      <c r="AX76" s="275">
        <f t="shared" si="35"/>
        <v>0</v>
      </c>
      <c r="AY76" s="273">
        <f t="shared" si="36"/>
        <v>0</v>
      </c>
      <c r="AZ76" s="270"/>
      <c r="BA76" s="271"/>
      <c r="BB76" s="271"/>
      <c r="BC76" s="271"/>
      <c r="BD76" s="271"/>
      <c r="BE76" s="271"/>
      <c r="BF76" s="272">
        <v>1</v>
      </c>
      <c r="BG76" s="275">
        <f t="shared" si="37"/>
        <v>0</v>
      </c>
      <c r="BH76" s="275">
        <f t="shared" si="38"/>
        <v>0</v>
      </c>
      <c r="BI76" s="273">
        <f t="shared" si="39"/>
        <v>0</v>
      </c>
      <c r="BJ76" s="270"/>
      <c r="BK76" s="271"/>
      <c r="BL76" s="271"/>
      <c r="BM76" s="271"/>
      <c r="BN76" s="271"/>
      <c r="BO76" s="271"/>
      <c r="BP76" s="272">
        <v>1</v>
      </c>
      <c r="BQ76" s="275">
        <f t="shared" si="40"/>
        <v>0</v>
      </c>
      <c r="BR76" s="275">
        <f t="shared" si="41"/>
        <v>0</v>
      </c>
      <c r="BS76" s="273">
        <f t="shared" si="42"/>
        <v>0</v>
      </c>
      <c r="BT76" s="270"/>
      <c r="BU76" s="271"/>
      <c r="BV76" s="271"/>
      <c r="BW76" s="271"/>
      <c r="BX76" s="271"/>
      <c r="BY76" s="271"/>
      <c r="BZ76" s="272">
        <v>1</v>
      </c>
      <c r="CA76" s="275">
        <f t="shared" si="43"/>
        <v>0</v>
      </c>
      <c r="CB76" s="275">
        <f t="shared" si="44"/>
        <v>0</v>
      </c>
      <c r="CC76" s="273">
        <f t="shared" si="45"/>
        <v>0</v>
      </c>
      <c r="CD76" s="270"/>
      <c r="CE76" s="271"/>
      <c r="CF76" s="271"/>
      <c r="CG76" s="271"/>
      <c r="CH76" s="271"/>
      <c r="CI76" s="271"/>
      <c r="CJ76" s="272">
        <v>1</v>
      </c>
      <c r="CK76" s="275">
        <f t="shared" si="46"/>
        <v>0</v>
      </c>
      <c r="CL76" s="275">
        <f t="shared" si="47"/>
        <v>0</v>
      </c>
      <c r="CM76" s="273">
        <f t="shared" si="48"/>
        <v>0</v>
      </c>
      <c r="CN76" s="270"/>
      <c r="CO76" s="271"/>
      <c r="CP76" s="271"/>
      <c r="CQ76" s="271"/>
      <c r="CR76" s="271"/>
      <c r="CS76" s="271"/>
      <c r="CT76" s="272">
        <v>1</v>
      </c>
      <c r="CU76" s="275">
        <f t="shared" si="49"/>
        <v>0</v>
      </c>
      <c r="CV76" s="275">
        <f t="shared" si="50"/>
        <v>0</v>
      </c>
      <c r="CW76" s="273">
        <f t="shared" si="51"/>
        <v>0</v>
      </c>
      <c r="CX76" s="270"/>
      <c r="CY76" s="271"/>
      <c r="CZ76" s="271"/>
      <c r="DA76" s="271"/>
      <c r="DB76" s="271"/>
      <c r="DC76" s="271"/>
      <c r="DD76" s="272">
        <v>1</v>
      </c>
      <c r="DE76" s="275">
        <f t="shared" si="52"/>
        <v>0</v>
      </c>
      <c r="DF76" s="275">
        <f t="shared" si="53"/>
        <v>0</v>
      </c>
      <c r="DG76" s="273">
        <f t="shared" si="54"/>
        <v>0</v>
      </c>
      <c r="DH76" s="270"/>
      <c r="DI76" s="271"/>
      <c r="DJ76" s="271"/>
      <c r="DK76" s="271"/>
      <c r="DL76" s="271"/>
      <c r="DM76" s="271"/>
      <c r="DN76" s="272">
        <v>1</v>
      </c>
      <c r="DO76" s="275">
        <f t="shared" si="55"/>
        <v>0</v>
      </c>
      <c r="DP76" s="275">
        <f t="shared" si="56"/>
        <v>0</v>
      </c>
      <c r="DQ76" s="273">
        <f t="shared" si="57"/>
        <v>0</v>
      </c>
      <c r="DR76" s="270"/>
      <c r="DS76" s="271"/>
      <c r="DT76" s="271"/>
      <c r="DU76" s="271"/>
      <c r="DV76" s="271"/>
      <c r="DW76" s="271"/>
      <c r="DX76" s="272">
        <v>1</v>
      </c>
      <c r="DY76" s="275">
        <f t="shared" si="58"/>
        <v>0</v>
      </c>
      <c r="DZ76" s="275">
        <f t="shared" si="59"/>
        <v>0</v>
      </c>
      <c r="EA76" s="273">
        <f t="shared" si="60"/>
        <v>0</v>
      </c>
      <c r="EB76" s="270"/>
      <c r="EC76" s="271"/>
      <c r="ED76" s="271"/>
      <c r="EE76" s="271"/>
      <c r="EF76" s="271"/>
      <c r="EG76" s="271"/>
      <c r="EH76" s="272">
        <v>1</v>
      </c>
      <c r="EI76" s="275">
        <f t="shared" si="61"/>
        <v>0</v>
      </c>
      <c r="EJ76" s="275">
        <f t="shared" si="62"/>
        <v>0</v>
      </c>
      <c r="EK76" s="273">
        <f t="shared" si="63"/>
        <v>0</v>
      </c>
      <c r="EL76" s="270"/>
      <c r="EM76" s="271"/>
      <c r="EN76" s="271"/>
      <c r="EO76" s="271"/>
      <c r="EP76" s="271"/>
      <c r="EQ76" s="271"/>
      <c r="ER76" s="272">
        <v>1</v>
      </c>
      <c r="ES76" s="275">
        <f t="shared" si="64"/>
        <v>0</v>
      </c>
      <c r="ET76" s="275">
        <f t="shared" si="65"/>
        <v>0</v>
      </c>
      <c r="EU76" s="273">
        <f t="shared" si="66"/>
        <v>0</v>
      </c>
      <c r="EV76" s="270"/>
      <c r="EW76" s="271"/>
      <c r="EX76" s="271"/>
      <c r="EY76" s="271"/>
      <c r="EZ76" s="271"/>
      <c r="FA76" s="271"/>
      <c r="FB76" s="272">
        <v>1</v>
      </c>
      <c r="FC76" s="275">
        <f t="shared" si="67"/>
        <v>0</v>
      </c>
      <c r="FD76" s="275">
        <f t="shared" si="68"/>
        <v>0</v>
      </c>
      <c r="FE76" s="273">
        <f t="shared" si="69"/>
        <v>0</v>
      </c>
      <c r="FF76" s="270"/>
      <c r="FG76" s="271"/>
      <c r="FH76" s="271"/>
      <c r="FI76" s="271"/>
      <c r="FJ76" s="271"/>
      <c r="FK76" s="271"/>
      <c r="FL76" s="272">
        <v>1</v>
      </c>
      <c r="FM76" s="275">
        <f t="shared" si="70"/>
        <v>0</v>
      </c>
      <c r="FN76" s="275">
        <f t="shared" si="71"/>
        <v>0</v>
      </c>
      <c r="FO76" s="273">
        <f t="shared" si="72"/>
        <v>0</v>
      </c>
      <c r="FP76" s="270"/>
      <c r="FQ76" s="271"/>
      <c r="FR76" s="271"/>
      <c r="FS76" s="271"/>
      <c r="FT76" s="271"/>
      <c r="FU76" s="271"/>
      <c r="FV76" s="272">
        <v>1</v>
      </c>
      <c r="FW76" s="275">
        <f t="shared" si="73"/>
        <v>0</v>
      </c>
      <c r="FX76" s="275">
        <f t="shared" si="74"/>
        <v>0</v>
      </c>
      <c r="FY76" s="273">
        <f t="shared" si="75"/>
        <v>0</v>
      </c>
      <c r="FZ76" s="270"/>
      <c r="GA76" s="271"/>
      <c r="GB76" s="271"/>
      <c r="GC76" s="271"/>
      <c r="GD76" s="271"/>
      <c r="GE76" s="271"/>
      <c r="GF76" s="272">
        <v>1</v>
      </c>
      <c r="GG76" s="275">
        <f t="shared" si="76"/>
        <v>0</v>
      </c>
      <c r="GH76" s="275">
        <f t="shared" si="77"/>
        <v>0</v>
      </c>
      <c r="GI76" s="273">
        <f t="shared" si="78"/>
        <v>0</v>
      </c>
      <c r="GJ76" s="270"/>
      <c r="GK76" s="271"/>
      <c r="GL76" s="271"/>
      <c r="GM76" s="271"/>
      <c r="GN76" s="271"/>
      <c r="GO76" s="271"/>
      <c r="GP76" s="272">
        <v>1</v>
      </c>
      <c r="GQ76" s="275">
        <f t="shared" si="79"/>
        <v>0</v>
      </c>
      <c r="GR76" s="275">
        <f t="shared" si="80"/>
        <v>0</v>
      </c>
      <c r="GS76" s="273">
        <f t="shared" si="81"/>
        <v>0</v>
      </c>
      <c r="GT76" s="270"/>
      <c r="GU76" s="271"/>
      <c r="GV76" s="271"/>
      <c r="GW76" s="271"/>
      <c r="GX76" s="271"/>
      <c r="GY76" s="271"/>
      <c r="GZ76" s="272">
        <v>1</v>
      </c>
      <c r="HA76" s="275">
        <f t="shared" si="82"/>
        <v>0</v>
      </c>
      <c r="HB76" s="275">
        <f t="shared" si="83"/>
        <v>0</v>
      </c>
      <c r="HC76" s="273">
        <f t="shared" si="84"/>
        <v>0</v>
      </c>
      <c r="HD76" s="270"/>
      <c r="HE76" s="271"/>
      <c r="HF76" s="271"/>
      <c r="HG76" s="271"/>
      <c r="HH76" s="271"/>
      <c r="HI76" s="271"/>
      <c r="HJ76" s="272">
        <v>1</v>
      </c>
      <c r="HK76" s="275">
        <f t="shared" si="85"/>
        <v>0</v>
      </c>
      <c r="HL76" s="275">
        <f t="shared" si="86"/>
        <v>0</v>
      </c>
      <c r="HM76" s="273">
        <f t="shared" si="87"/>
        <v>0</v>
      </c>
      <c r="HN76" s="277">
        <v>1</v>
      </c>
      <c r="HO76" s="278">
        <v>0</v>
      </c>
      <c r="HP76" s="277">
        <v>1</v>
      </c>
      <c r="HQ76" s="278">
        <v>0</v>
      </c>
      <c r="HR76" s="277">
        <v>1</v>
      </c>
      <c r="HS76" s="278">
        <v>0</v>
      </c>
      <c r="HT76" s="277">
        <v>1</v>
      </c>
      <c r="HU76" s="278">
        <v>0</v>
      </c>
      <c r="HV76" s="277">
        <v>1</v>
      </c>
      <c r="HW76" s="278">
        <v>0</v>
      </c>
      <c r="HX76" s="277">
        <v>1</v>
      </c>
      <c r="HY76" s="278">
        <v>0</v>
      </c>
      <c r="HZ76" s="277">
        <v>1</v>
      </c>
      <c r="IA76" s="278">
        <v>0</v>
      </c>
      <c r="IB76" s="277">
        <v>1</v>
      </c>
      <c r="IC76" s="278">
        <v>0</v>
      </c>
      <c r="ID76" s="277">
        <v>1</v>
      </c>
      <c r="IE76" s="278">
        <v>0</v>
      </c>
      <c r="IF76" s="277">
        <v>1</v>
      </c>
      <c r="IG76" s="278">
        <v>0</v>
      </c>
      <c r="IH76" s="277">
        <v>1</v>
      </c>
      <c r="II76" s="278">
        <v>0</v>
      </c>
      <c r="IJ76" s="277">
        <v>1</v>
      </c>
      <c r="IK76" s="278">
        <v>0</v>
      </c>
      <c r="IL76" s="277">
        <v>1</v>
      </c>
      <c r="IM76" s="278">
        <v>0</v>
      </c>
      <c r="IN76" s="277">
        <v>1</v>
      </c>
      <c r="IO76" s="278">
        <v>0</v>
      </c>
      <c r="IP76" s="277">
        <v>1</v>
      </c>
      <c r="IQ76" s="278">
        <v>0</v>
      </c>
      <c r="IR76" s="277">
        <v>1</v>
      </c>
      <c r="IS76" s="278">
        <v>0</v>
      </c>
      <c r="IT76" s="277">
        <v>1</v>
      </c>
      <c r="IU76" s="278">
        <v>0</v>
      </c>
      <c r="IV76" s="277">
        <v>1</v>
      </c>
      <c r="IW76" s="278">
        <v>0</v>
      </c>
      <c r="IX76" s="277">
        <v>1</v>
      </c>
      <c r="IY76" s="278">
        <v>0</v>
      </c>
      <c r="IZ76" s="277">
        <v>1</v>
      </c>
      <c r="JA76" s="278">
        <v>0</v>
      </c>
      <c r="JB76" s="277">
        <v>1</v>
      </c>
      <c r="JC76" s="278">
        <v>0</v>
      </c>
      <c r="JD76" s="277">
        <v>1</v>
      </c>
      <c r="JE76" s="278">
        <v>0</v>
      </c>
      <c r="KB76" s="8"/>
    </row>
    <row r="77" spans="1:288">
      <c r="A77" s="207">
        <v>46095</v>
      </c>
      <c r="B77" s="270"/>
      <c r="C77" s="271"/>
      <c r="D77" s="271"/>
      <c r="E77" s="271"/>
      <c r="F77" s="271"/>
      <c r="G77" s="271"/>
      <c r="H77" s="272">
        <v>1</v>
      </c>
      <c r="I77" s="275">
        <f t="shared" si="22"/>
        <v>0</v>
      </c>
      <c r="J77" s="275">
        <f t="shared" si="23"/>
        <v>0</v>
      </c>
      <c r="K77" s="273">
        <f t="shared" si="24"/>
        <v>0</v>
      </c>
      <c r="L77" s="270"/>
      <c r="M77" s="271"/>
      <c r="N77" s="271"/>
      <c r="O77" s="271"/>
      <c r="P77" s="271"/>
      <c r="Q77" s="271"/>
      <c r="R77" s="272">
        <v>1</v>
      </c>
      <c r="S77" s="275">
        <f t="shared" si="25"/>
        <v>0</v>
      </c>
      <c r="T77" s="275">
        <f t="shared" si="26"/>
        <v>0</v>
      </c>
      <c r="U77" s="273">
        <f t="shared" si="27"/>
        <v>0</v>
      </c>
      <c r="V77" s="270"/>
      <c r="W77" s="271"/>
      <c r="X77" s="271"/>
      <c r="Y77" s="271"/>
      <c r="Z77" s="271"/>
      <c r="AA77" s="271"/>
      <c r="AB77" s="272">
        <v>1</v>
      </c>
      <c r="AC77" s="275">
        <f t="shared" si="28"/>
        <v>0</v>
      </c>
      <c r="AD77" s="275">
        <f t="shared" si="29"/>
        <v>0</v>
      </c>
      <c r="AE77" s="273">
        <f t="shared" si="30"/>
        <v>0</v>
      </c>
      <c r="AF77" s="270"/>
      <c r="AG77" s="271"/>
      <c r="AH77" s="271"/>
      <c r="AI77" s="271"/>
      <c r="AJ77" s="271"/>
      <c r="AK77" s="271"/>
      <c r="AL77" s="272">
        <v>1</v>
      </c>
      <c r="AM77" s="275">
        <f t="shared" si="31"/>
        <v>0</v>
      </c>
      <c r="AN77" s="275">
        <f t="shared" si="32"/>
        <v>0</v>
      </c>
      <c r="AO77" s="273">
        <f t="shared" si="33"/>
        <v>0</v>
      </c>
      <c r="AP77" s="270"/>
      <c r="AQ77" s="271"/>
      <c r="AR77" s="271"/>
      <c r="AS77" s="271"/>
      <c r="AT77" s="271"/>
      <c r="AU77" s="271"/>
      <c r="AV77" s="272">
        <v>1</v>
      </c>
      <c r="AW77" s="275">
        <f t="shared" si="34"/>
        <v>0</v>
      </c>
      <c r="AX77" s="275">
        <f t="shared" si="35"/>
        <v>0</v>
      </c>
      <c r="AY77" s="273">
        <f t="shared" si="36"/>
        <v>0</v>
      </c>
      <c r="AZ77" s="270"/>
      <c r="BA77" s="271"/>
      <c r="BB77" s="271"/>
      <c r="BC77" s="271"/>
      <c r="BD77" s="271"/>
      <c r="BE77" s="271"/>
      <c r="BF77" s="272">
        <v>1</v>
      </c>
      <c r="BG77" s="275">
        <f t="shared" si="37"/>
        <v>0</v>
      </c>
      <c r="BH77" s="275">
        <f t="shared" si="38"/>
        <v>0</v>
      </c>
      <c r="BI77" s="273">
        <f t="shared" si="39"/>
        <v>0</v>
      </c>
      <c r="BJ77" s="270"/>
      <c r="BK77" s="271"/>
      <c r="BL77" s="271"/>
      <c r="BM77" s="271"/>
      <c r="BN77" s="271"/>
      <c r="BO77" s="271"/>
      <c r="BP77" s="272">
        <v>1</v>
      </c>
      <c r="BQ77" s="275">
        <f t="shared" si="40"/>
        <v>0</v>
      </c>
      <c r="BR77" s="275">
        <f t="shared" si="41"/>
        <v>0</v>
      </c>
      <c r="BS77" s="273">
        <f t="shared" si="42"/>
        <v>0</v>
      </c>
      <c r="BT77" s="270"/>
      <c r="BU77" s="271"/>
      <c r="BV77" s="271"/>
      <c r="BW77" s="271"/>
      <c r="BX77" s="271"/>
      <c r="BY77" s="271"/>
      <c r="BZ77" s="272">
        <v>1</v>
      </c>
      <c r="CA77" s="275">
        <f t="shared" si="43"/>
        <v>0</v>
      </c>
      <c r="CB77" s="275">
        <f t="shared" si="44"/>
        <v>0</v>
      </c>
      <c r="CC77" s="273">
        <f t="shared" si="45"/>
        <v>0</v>
      </c>
      <c r="CD77" s="270"/>
      <c r="CE77" s="271"/>
      <c r="CF77" s="271"/>
      <c r="CG77" s="271"/>
      <c r="CH77" s="271"/>
      <c r="CI77" s="271"/>
      <c r="CJ77" s="272">
        <v>1</v>
      </c>
      <c r="CK77" s="275">
        <f t="shared" si="46"/>
        <v>0</v>
      </c>
      <c r="CL77" s="275">
        <f t="shared" si="47"/>
        <v>0</v>
      </c>
      <c r="CM77" s="273">
        <f t="shared" si="48"/>
        <v>0</v>
      </c>
      <c r="CN77" s="270"/>
      <c r="CO77" s="271"/>
      <c r="CP77" s="271"/>
      <c r="CQ77" s="271"/>
      <c r="CR77" s="271"/>
      <c r="CS77" s="271"/>
      <c r="CT77" s="272">
        <v>1</v>
      </c>
      <c r="CU77" s="275">
        <f t="shared" si="49"/>
        <v>0</v>
      </c>
      <c r="CV77" s="275">
        <f t="shared" si="50"/>
        <v>0</v>
      </c>
      <c r="CW77" s="273">
        <f t="shared" si="51"/>
        <v>0</v>
      </c>
      <c r="CX77" s="270"/>
      <c r="CY77" s="271"/>
      <c r="CZ77" s="271"/>
      <c r="DA77" s="271"/>
      <c r="DB77" s="271"/>
      <c r="DC77" s="271"/>
      <c r="DD77" s="272">
        <v>1</v>
      </c>
      <c r="DE77" s="275">
        <f t="shared" si="52"/>
        <v>0</v>
      </c>
      <c r="DF77" s="275">
        <f t="shared" si="53"/>
        <v>0</v>
      </c>
      <c r="DG77" s="273">
        <f t="shared" si="54"/>
        <v>0</v>
      </c>
      <c r="DH77" s="270"/>
      <c r="DI77" s="271"/>
      <c r="DJ77" s="271"/>
      <c r="DK77" s="271"/>
      <c r="DL77" s="271"/>
      <c r="DM77" s="271"/>
      <c r="DN77" s="272">
        <v>1</v>
      </c>
      <c r="DO77" s="275">
        <f t="shared" si="55"/>
        <v>0</v>
      </c>
      <c r="DP77" s="275">
        <f t="shared" si="56"/>
        <v>0</v>
      </c>
      <c r="DQ77" s="273">
        <f t="shared" si="57"/>
        <v>0</v>
      </c>
      <c r="DR77" s="270"/>
      <c r="DS77" s="271"/>
      <c r="DT77" s="271"/>
      <c r="DU77" s="271"/>
      <c r="DV77" s="271"/>
      <c r="DW77" s="271"/>
      <c r="DX77" s="272">
        <v>1</v>
      </c>
      <c r="DY77" s="275">
        <f t="shared" si="58"/>
        <v>0</v>
      </c>
      <c r="DZ77" s="275">
        <f t="shared" si="59"/>
        <v>0</v>
      </c>
      <c r="EA77" s="273">
        <f t="shared" si="60"/>
        <v>0</v>
      </c>
      <c r="EB77" s="270"/>
      <c r="EC77" s="271"/>
      <c r="ED77" s="271"/>
      <c r="EE77" s="271"/>
      <c r="EF77" s="271"/>
      <c r="EG77" s="271"/>
      <c r="EH77" s="272">
        <v>1</v>
      </c>
      <c r="EI77" s="275">
        <f t="shared" si="61"/>
        <v>0</v>
      </c>
      <c r="EJ77" s="275">
        <f t="shared" si="62"/>
        <v>0</v>
      </c>
      <c r="EK77" s="273">
        <f t="shared" si="63"/>
        <v>0</v>
      </c>
      <c r="EL77" s="270"/>
      <c r="EM77" s="271"/>
      <c r="EN77" s="271"/>
      <c r="EO77" s="271"/>
      <c r="EP77" s="271"/>
      <c r="EQ77" s="271"/>
      <c r="ER77" s="272">
        <v>1</v>
      </c>
      <c r="ES77" s="275">
        <f t="shared" si="64"/>
        <v>0</v>
      </c>
      <c r="ET77" s="275">
        <f t="shared" si="65"/>
        <v>0</v>
      </c>
      <c r="EU77" s="273">
        <f t="shared" si="66"/>
        <v>0</v>
      </c>
      <c r="EV77" s="270"/>
      <c r="EW77" s="271"/>
      <c r="EX77" s="271"/>
      <c r="EY77" s="271"/>
      <c r="EZ77" s="271"/>
      <c r="FA77" s="271"/>
      <c r="FB77" s="272">
        <v>1</v>
      </c>
      <c r="FC77" s="275">
        <f t="shared" si="67"/>
        <v>0</v>
      </c>
      <c r="FD77" s="275">
        <f t="shared" si="68"/>
        <v>0</v>
      </c>
      <c r="FE77" s="273">
        <f t="shared" si="69"/>
        <v>0</v>
      </c>
      <c r="FF77" s="270"/>
      <c r="FG77" s="271"/>
      <c r="FH77" s="271"/>
      <c r="FI77" s="271"/>
      <c r="FJ77" s="271"/>
      <c r="FK77" s="271"/>
      <c r="FL77" s="272">
        <v>1</v>
      </c>
      <c r="FM77" s="275">
        <f t="shared" si="70"/>
        <v>0</v>
      </c>
      <c r="FN77" s="275">
        <f t="shared" si="71"/>
        <v>0</v>
      </c>
      <c r="FO77" s="273">
        <f t="shared" si="72"/>
        <v>0</v>
      </c>
      <c r="FP77" s="270"/>
      <c r="FQ77" s="271"/>
      <c r="FR77" s="271"/>
      <c r="FS77" s="271"/>
      <c r="FT77" s="271"/>
      <c r="FU77" s="271"/>
      <c r="FV77" s="272">
        <v>1</v>
      </c>
      <c r="FW77" s="275">
        <f t="shared" si="73"/>
        <v>0</v>
      </c>
      <c r="FX77" s="275">
        <f t="shared" si="74"/>
        <v>0</v>
      </c>
      <c r="FY77" s="273">
        <f t="shared" si="75"/>
        <v>0</v>
      </c>
      <c r="FZ77" s="270"/>
      <c r="GA77" s="271"/>
      <c r="GB77" s="271"/>
      <c r="GC77" s="271"/>
      <c r="GD77" s="271"/>
      <c r="GE77" s="271"/>
      <c r="GF77" s="272">
        <v>1</v>
      </c>
      <c r="GG77" s="275">
        <f t="shared" si="76"/>
        <v>0</v>
      </c>
      <c r="GH77" s="275">
        <f t="shared" si="77"/>
        <v>0</v>
      </c>
      <c r="GI77" s="273">
        <f t="shared" si="78"/>
        <v>0</v>
      </c>
      <c r="GJ77" s="270"/>
      <c r="GK77" s="271"/>
      <c r="GL77" s="271"/>
      <c r="GM77" s="271"/>
      <c r="GN77" s="271"/>
      <c r="GO77" s="271"/>
      <c r="GP77" s="272">
        <v>1</v>
      </c>
      <c r="GQ77" s="275">
        <f t="shared" si="79"/>
        <v>0</v>
      </c>
      <c r="GR77" s="275">
        <f t="shared" si="80"/>
        <v>0</v>
      </c>
      <c r="GS77" s="273">
        <f t="shared" si="81"/>
        <v>0</v>
      </c>
      <c r="GT77" s="270"/>
      <c r="GU77" s="271"/>
      <c r="GV77" s="271"/>
      <c r="GW77" s="271"/>
      <c r="GX77" s="271"/>
      <c r="GY77" s="271"/>
      <c r="GZ77" s="272">
        <v>1</v>
      </c>
      <c r="HA77" s="275">
        <f t="shared" si="82"/>
        <v>0</v>
      </c>
      <c r="HB77" s="275">
        <f t="shared" si="83"/>
        <v>0</v>
      </c>
      <c r="HC77" s="273">
        <f t="shared" si="84"/>
        <v>0</v>
      </c>
      <c r="HD77" s="270"/>
      <c r="HE77" s="271"/>
      <c r="HF77" s="271"/>
      <c r="HG77" s="271"/>
      <c r="HH77" s="271"/>
      <c r="HI77" s="271"/>
      <c r="HJ77" s="272">
        <v>1</v>
      </c>
      <c r="HK77" s="275">
        <f t="shared" si="85"/>
        <v>0</v>
      </c>
      <c r="HL77" s="275">
        <f t="shared" si="86"/>
        <v>0</v>
      </c>
      <c r="HM77" s="273">
        <f t="shared" si="87"/>
        <v>0</v>
      </c>
      <c r="HN77" s="277">
        <v>1</v>
      </c>
      <c r="HO77" s="278">
        <v>0</v>
      </c>
      <c r="HP77" s="277">
        <v>1</v>
      </c>
      <c r="HQ77" s="278">
        <v>0</v>
      </c>
      <c r="HR77" s="277">
        <v>1</v>
      </c>
      <c r="HS77" s="278">
        <v>0</v>
      </c>
      <c r="HT77" s="277">
        <v>1</v>
      </c>
      <c r="HU77" s="278">
        <v>0</v>
      </c>
      <c r="HV77" s="277">
        <v>1</v>
      </c>
      <c r="HW77" s="278">
        <v>0</v>
      </c>
      <c r="HX77" s="277">
        <v>1</v>
      </c>
      <c r="HY77" s="278">
        <v>0</v>
      </c>
      <c r="HZ77" s="277">
        <v>1</v>
      </c>
      <c r="IA77" s="278">
        <v>0</v>
      </c>
      <c r="IB77" s="277">
        <v>1</v>
      </c>
      <c r="IC77" s="278">
        <v>0</v>
      </c>
      <c r="ID77" s="277">
        <v>1</v>
      </c>
      <c r="IE77" s="278">
        <v>0</v>
      </c>
      <c r="IF77" s="277">
        <v>1</v>
      </c>
      <c r="IG77" s="278">
        <v>0</v>
      </c>
      <c r="IH77" s="277">
        <v>1</v>
      </c>
      <c r="II77" s="278">
        <v>0</v>
      </c>
      <c r="IJ77" s="277">
        <v>1</v>
      </c>
      <c r="IK77" s="278">
        <v>0</v>
      </c>
      <c r="IL77" s="277">
        <v>1</v>
      </c>
      <c r="IM77" s="278">
        <v>0</v>
      </c>
      <c r="IN77" s="277">
        <v>1</v>
      </c>
      <c r="IO77" s="278">
        <v>0</v>
      </c>
      <c r="IP77" s="277">
        <v>1</v>
      </c>
      <c r="IQ77" s="278">
        <v>0</v>
      </c>
      <c r="IR77" s="277">
        <v>1</v>
      </c>
      <c r="IS77" s="278">
        <v>0</v>
      </c>
      <c r="IT77" s="277">
        <v>1</v>
      </c>
      <c r="IU77" s="278">
        <v>0</v>
      </c>
      <c r="IV77" s="277">
        <v>1</v>
      </c>
      <c r="IW77" s="278">
        <v>0</v>
      </c>
      <c r="IX77" s="277">
        <v>1</v>
      </c>
      <c r="IY77" s="278">
        <v>0</v>
      </c>
      <c r="IZ77" s="277">
        <v>1</v>
      </c>
      <c r="JA77" s="278">
        <v>0</v>
      </c>
      <c r="JB77" s="277">
        <v>1</v>
      </c>
      <c r="JC77" s="278">
        <v>0</v>
      </c>
      <c r="JD77" s="277">
        <v>1</v>
      </c>
      <c r="JE77" s="278">
        <v>0</v>
      </c>
      <c r="KB77" s="8"/>
    </row>
    <row r="78" spans="1:288">
      <c r="A78" s="207">
        <v>46096</v>
      </c>
      <c r="B78" s="270"/>
      <c r="C78" s="271"/>
      <c r="D78" s="271"/>
      <c r="E78" s="271"/>
      <c r="F78" s="271"/>
      <c r="G78" s="271"/>
      <c r="H78" s="272">
        <v>1</v>
      </c>
      <c r="I78" s="275">
        <f t="shared" si="22"/>
        <v>0</v>
      </c>
      <c r="J78" s="275">
        <f t="shared" si="23"/>
        <v>0</v>
      </c>
      <c r="K78" s="273">
        <f t="shared" si="24"/>
        <v>0</v>
      </c>
      <c r="L78" s="270"/>
      <c r="M78" s="271"/>
      <c r="N78" s="271"/>
      <c r="O78" s="271"/>
      <c r="P78" s="271"/>
      <c r="Q78" s="271"/>
      <c r="R78" s="272">
        <v>1</v>
      </c>
      <c r="S78" s="275">
        <f t="shared" si="25"/>
        <v>0</v>
      </c>
      <c r="T78" s="275">
        <f t="shared" si="26"/>
        <v>0</v>
      </c>
      <c r="U78" s="273">
        <f t="shared" si="27"/>
        <v>0</v>
      </c>
      <c r="V78" s="270"/>
      <c r="W78" s="271"/>
      <c r="X78" s="271"/>
      <c r="Y78" s="271"/>
      <c r="Z78" s="271"/>
      <c r="AA78" s="271"/>
      <c r="AB78" s="272">
        <v>1</v>
      </c>
      <c r="AC78" s="275">
        <f t="shared" si="28"/>
        <v>0</v>
      </c>
      <c r="AD78" s="275">
        <f t="shared" si="29"/>
        <v>0</v>
      </c>
      <c r="AE78" s="273">
        <f t="shared" si="30"/>
        <v>0</v>
      </c>
      <c r="AF78" s="270"/>
      <c r="AG78" s="271"/>
      <c r="AH78" s="271"/>
      <c r="AI78" s="271"/>
      <c r="AJ78" s="271"/>
      <c r="AK78" s="271"/>
      <c r="AL78" s="272">
        <v>1</v>
      </c>
      <c r="AM78" s="275">
        <f t="shared" si="31"/>
        <v>0</v>
      </c>
      <c r="AN78" s="275">
        <f t="shared" si="32"/>
        <v>0</v>
      </c>
      <c r="AO78" s="273">
        <f t="shared" si="33"/>
        <v>0</v>
      </c>
      <c r="AP78" s="270"/>
      <c r="AQ78" s="271"/>
      <c r="AR78" s="271"/>
      <c r="AS78" s="271"/>
      <c r="AT78" s="271"/>
      <c r="AU78" s="271"/>
      <c r="AV78" s="272">
        <v>1</v>
      </c>
      <c r="AW78" s="275">
        <f t="shared" si="34"/>
        <v>0</v>
      </c>
      <c r="AX78" s="275">
        <f t="shared" si="35"/>
        <v>0</v>
      </c>
      <c r="AY78" s="273">
        <f t="shared" si="36"/>
        <v>0</v>
      </c>
      <c r="AZ78" s="270"/>
      <c r="BA78" s="271"/>
      <c r="BB78" s="271"/>
      <c r="BC78" s="271"/>
      <c r="BD78" s="271"/>
      <c r="BE78" s="271"/>
      <c r="BF78" s="272">
        <v>1</v>
      </c>
      <c r="BG78" s="275">
        <f t="shared" si="37"/>
        <v>0</v>
      </c>
      <c r="BH78" s="275">
        <f t="shared" si="38"/>
        <v>0</v>
      </c>
      <c r="BI78" s="273">
        <f t="shared" si="39"/>
        <v>0</v>
      </c>
      <c r="BJ78" s="270"/>
      <c r="BK78" s="271"/>
      <c r="BL78" s="271"/>
      <c r="BM78" s="271"/>
      <c r="BN78" s="271"/>
      <c r="BO78" s="271"/>
      <c r="BP78" s="272">
        <v>1</v>
      </c>
      <c r="BQ78" s="275">
        <f t="shared" si="40"/>
        <v>0</v>
      </c>
      <c r="BR78" s="275">
        <f t="shared" si="41"/>
        <v>0</v>
      </c>
      <c r="BS78" s="273">
        <f t="shared" si="42"/>
        <v>0</v>
      </c>
      <c r="BT78" s="270"/>
      <c r="BU78" s="271"/>
      <c r="BV78" s="271"/>
      <c r="BW78" s="271"/>
      <c r="BX78" s="271"/>
      <c r="BY78" s="271"/>
      <c r="BZ78" s="272">
        <v>1</v>
      </c>
      <c r="CA78" s="275">
        <f t="shared" si="43"/>
        <v>0</v>
      </c>
      <c r="CB78" s="275">
        <f t="shared" si="44"/>
        <v>0</v>
      </c>
      <c r="CC78" s="273">
        <f t="shared" si="45"/>
        <v>0</v>
      </c>
      <c r="CD78" s="270"/>
      <c r="CE78" s="271"/>
      <c r="CF78" s="271"/>
      <c r="CG78" s="271"/>
      <c r="CH78" s="271"/>
      <c r="CI78" s="271"/>
      <c r="CJ78" s="272">
        <v>1</v>
      </c>
      <c r="CK78" s="275">
        <f t="shared" si="46"/>
        <v>0</v>
      </c>
      <c r="CL78" s="275">
        <f t="shared" si="47"/>
        <v>0</v>
      </c>
      <c r="CM78" s="273">
        <f t="shared" si="48"/>
        <v>0</v>
      </c>
      <c r="CN78" s="270"/>
      <c r="CO78" s="271"/>
      <c r="CP78" s="271"/>
      <c r="CQ78" s="271"/>
      <c r="CR78" s="271"/>
      <c r="CS78" s="271"/>
      <c r="CT78" s="272">
        <v>1</v>
      </c>
      <c r="CU78" s="275">
        <f t="shared" si="49"/>
        <v>0</v>
      </c>
      <c r="CV78" s="275">
        <f t="shared" si="50"/>
        <v>0</v>
      </c>
      <c r="CW78" s="273">
        <f t="shared" si="51"/>
        <v>0</v>
      </c>
      <c r="CX78" s="270"/>
      <c r="CY78" s="271"/>
      <c r="CZ78" s="271"/>
      <c r="DA78" s="271"/>
      <c r="DB78" s="271"/>
      <c r="DC78" s="271"/>
      <c r="DD78" s="272">
        <v>1</v>
      </c>
      <c r="DE78" s="275">
        <f t="shared" si="52"/>
        <v>0</v>
      </c>
      <c r="DF78" s="275">
        <f t="shared" si="53"/>
        <v>0</v>
      </c>
      <c r="DG78" s="273">
        <f t="shared" si="54"/>
        <v>0</v>
      </c>
      <c r="DH78" s="270"/>
      <c r="DI78" s="271"/>
      <c r="DJ78" s="271"/>
      <c r="DK78" s="271"/>
      <c r="DL78" s="271"/>
      <c r="DM78" s="271"/>
      <c r="DN78" s="272">
        <v>1</v>
      </c>
      <c r="DO78" s="275">
        <f t="shared" si="55"/>
        <v>0</v>
      </c>
      <c r="DP78" s="275">
        <f t="shared" si="56"/>
        <v>0</v>
      </c>
      <c r="DQ78" s="273">
        <f t="shared" si="57"/>
        <v>0</v>
      </c>
      <c r="DR78" s="270"/>
      <c r="DS78" s="271"/>
      <c r="DT78" s="271"/>
      <c r="DU78" s="271"/>
      <c r="DV78" s="271"/>
      <c r="DW78" s="271"/>
      <c r="DX78" s="272">
        <v>1</v>
      </c>
      <c r="DY78" s="275">
        <f t="shared" si="58"/>
        <v>0</v>
      </c>
      <c r="DZ78" s="275">
        <f t="shared" si="59"/>
        <v>0</v>
      </c>
      <c r="EA78" s="273">
        <f t="shared" si="60"/>
        <v>0</v>
      </c>
      <c r="EB78" s="270"/>
      <c r="EC78" s="271"/>
      <c r="ED78" s="271"/>
      <c r="EE78" s="271"/>
      <c r="EF78" s="271"/>
      <c r="EG78" s="271"/>
      <c r="EH78" s="272">
        <v>1</v>
      </c>
      <c r="EI78" s="275">
        <f t="shared" si="61"/>
        <v>0</v>
      </c>
      <c r="EJ78" s="275">
        <f t="shared" si="62"/>
        <v>0</v>
      </c>
      <c r="EK78" s="273">
        <f t="shared" si="63"/>
        <v>0</v>
      </c>
      <c r="EL78" s="270"/>
      <c r="EM78" s="271"/>
      <c r="EN78" s="271"/>
      <c r="EO78" s="271"/>
      <c r="EP78" s="271"/>
      <c r="EQ78" s="271"/>
      <c r="ER78" s="272">
        <v>1</v>
      </c>
      <c r="ES78" s="275">
        <f t="shared" si="64"/>
        <v>0</v>
      </c>
      <c r="ET78" s="275">
        <f t="shared" si="65"/>
        <v>0</v>
      </c>
      <c r="EU78" s="273">
        <f t="shared" si="66"/>
        <v>0</v>
      </c>
      <c r="EV78" s="270"/>
      <c r="EW78" s="271"/>
      <c r="EX78" s="271"/>
      <c r="EY78" s="271"/>
      <c r="EZ78" s="271"/>
      <c r="FA78" s="271"/>
      <c r="FB78" s="272">
        <v>1</v>
      </c>
      <c r="FC78" s="275">
        <f t="shared" si="67"/>
        <v>0</v>
      </c>
      <c r="FD78" s="275">
        <f t="shared" si="68"/>
        <v>0</v>
      </c>
      <c r="FE78" s="273">
        <f t="shared" si="69"/>
        <v>0</v>
      </c>
      <c r="FF78" s="270"/>
      <c r="FG78" s="271"/>
      <c r="FH78" s="271"/>
      <c r="FI78" s="271"/>
      <c r="FJ78" s="271"/>
      <c r="FK78" s="271"/>
      <c r="FL78" s="272">
        <v>1</v>
      </c>
      <c r="FM78" s="275">
        <f t="shared" si="70"/>
        <v>0</v>
      </c>
      <c r="FN78" s="275">
        <f t="shared" si="71"/>
        <v>0</v>
      </c>
      <c r="FO78" s="273">
        <f t="shared" si="72"/>
        <v>0</v>
      </c>
      <c r="FP78" s="270"/>
      <c r="FQ78" s="271"/>
      <c r="FR78" s="271"/>
      <c r="FS78" s="271"/>
      <c r="FT78" s="271"/>
      <c r="FU78" s="271"/>
      <c r="FV78" s="272">
        <v>1</v>
      </c>
      <c r="FW78" s="275">
        <f t="shared" si="73"/>
        <v>0</v>
      </c>
      <c r="FX78" s="275">
        <f t="shared" si="74"/>
        <v>0</v>
      </c>
      <c r="FY78" s="273">
        <f t="shared" si="75"/>
        <v>0</v>
      </c>
      <c r="FZ78" s="270"/>
      <c r="GA78" s="271"/>
      <c r="GB78" s="271"/>
      <c r="GC78" s="271"/>
      <c r="GD78" s="271"/>
      <c r="GE78" s="271"/>
      <c r="GF78" s="272">
        <v>1</v>
      </c>
      <c r="GG78" s="275">
        <f t="shared" si="76"/>
        <v>0</v>
      </c>
      <c r="GH78" s="275">
        <f t="shared" si="77"/>
        <v>0</v>
      </c>
      <c r="GI78" s="273">
        <f t="shared" si="78"/>
        <v>0</v>
      </c>
      <c r="GJ78" s="270"/>
      <c r="GK78" s="271"/>
      <c r="GL78" s="271"/>
      <c r="GM78" s="271"/>
      <c r="GN78" s="271"/>
      <c r="GO78" s="271"/>
      <c r="GP78" s="272">
        <v>1</v>
      </c>
      <c r="GQ78" s="275">
        <f t="shared" si="79"/>
        <v>0</v>
      </c>
      <c r="GR78" s="275">
        <f t="shared" si="80"/>
        <v>0</v>
      </c>
      <c r="GS78" s="273">
        <f t="shared" si="81"/>
        <v>0</v>
      </c>
      <c r="GT78" s="270"/>
      <c r="GU78" s="271"/>
      <c r="GV78" s="271"/>
      <c r="GW78" s="271"/>
      <c r="GX78" s="271"/>
      <c r="GY78" s="271"/>
      <c r="GZ78" s="272">
        <v>1</v>
      </c>
      <c r="HA78" s="275">
        <f t="shared" si="82"/>
        <v>0</v>
      </c>
      <c r="HB78" s="275">
        <f t="shared" si="83"/>
        <v>0</v>
      </c>
      <c r="HC78" s="273">
        <f t="shared" si="84"/>
        <v>0</v>
      </c>
      <c r="HD78" s="270"/>
      <c r="HE78" s="271"/>
      <c r="HF78" s="271"/>
      <c r="HG78" s="271"/>
      <c r="HH78" s="271"/>
      <c r="HI78" s="271"/>
      <c r="HJ78" s="272">
        <v>1</v>
      </c>
      <c r="HK78" s="275">
        <f t="shared" si="85"/>
        <v>0</v>
      </c>
      <c r="HL78" s="275">
        <f t="shared" si="86"/>
        <v>0</v>
      </c>
      <c r="HM78" s="273">
        <f t="shared" si="87"/>
        <v>0</v>
      </c>
      <c r="HN78" s="277">
        <v>1</v>
      </c>
      <c r="HO78" s="278">
        <v>0</v>
      </c>
      <c r="HP78" s="277">
        <v>1</v>
      </c>
      <c r="HQ78" s="278">
        <v>0</v>
      </c>
      <c r="HR78" s="277">
        <v>1</v>
      </c>
      <c r="HS78" s="278">
        <v>0</v>
      </c>
      <c r="HT78" s="277">
        <v>1</v>
      </c>
      <c r="HU78" s="278">
        <v>0</v>
      </c>
      <c r="HV78" s="277">
        <v>1</v>
      </c>
      <c r="HW78" s="278">
        <v>0</v>
      </c>
      <c r="HX78" s="277">
        <v>1</v>
      </c>
      <c r="HY78" s="278">
        <v>0</v>
      </c>
      <c r="HZ78" s="277">
        <v>1</v>
      </c>
      <c r="IA78" s="278">
        <v>0</v>
      </c>
      <c r="IB78" s="277">
        <v>1</v>
      </c>
      <c r="IC78" s="278">
        <v>0</v>
      </c>
      <c r="ID78" s="277">
        <v>1</v>
      </c>
      <c r="IE78" s="278">
        <v>0</v>
      </c>
      <c r="IF78" s="277">
        <v>1</v>
      </c>
      <c r="IG78" s="278">
        <v>0</v>
      </c>
      <c r="IH78" s="277">
        <v>1</v>
      </c>
      <c r="II78" s="278">
        <v>0</v>
      </c>
      <c r="IJ78" s="277">
        <v>1</v>
      </c>
      <c r="IK78" s="278">
        <v>0</v>
      </c>
      <c r="IL78" s="277">
        <v>1</v>
      </c>
      <c r="IM78" s="278">
        <v>0</v>
      </c>
      <c r="IN78" s="277">
        <v>1</v>
      </c>
      <c r="IO78" s="278">
        <v>0</v>
      </c>
      <c r="IP78" s="277">
        <v>1</v>
      </c>
      <c r="IQ78" s="278">
        <v>0</v>
      </c>
      <c r="IR78" s="277">
        <v>1</v>
      </c>
      <c r="IS78" s="278">
        <v>0</v>
      </c>
      <c r="IT78" s="277">
        <v>1</v>
      </c>
      <c r="IU78" s="278">
        <v>0</v>
      </c>
      <c r="IV78" s="277">
        <v>1</v>
      </c>
      <c r="IW78" s="278">
        <v>0</v>
      </c>
      <c r="IX78" s="277">
        <v>1</v>
      </c>
      <c r="IY78" s="278">
        <v>0</v>
      </c>
      <c r="IZ78" s="277">
        <v>1</v>
      </c>
      <c r="JA78" s="278">
        <v>0</v>
      </c>
      <c r="JB78" s="277">
        <v>1</v>
      </c>
      <c r="JC78" s="278">
        <v>0</v>
      </c>
      <c r="JD78" s="277">
        <v>1</v>
      </c>
      <c r="JE78" s="278">
        <v>0</v>
      </c>
      <c r="KB78" s="8"/>
    </row>
    <row r="79" spans="1:288">
      <c r="A79" s="207">
        <v>46097</v>
      </c>
      <c r="B79" s="270"/>
      <c r="C79" s="271"/>
      <c r="D79" s="271"/>
      <c r="E79" s="271"/>
      <c r="F79" s="271"/>
      <c r="G79" s="271"/>
      <c r="H79" s="272">
        <v>1</v>
      </c>
      <c r="I79" s="275">
        <f t="shared" si="22"/>
        <v>0</v>
      </c>
      <c r="J79" s="275">
        <f t="shared" si="23"/>
        <v>0</v>
      </c>
      <c r="K79" s="273">
        <f t="shared" si="24"/>
        <v>0</v>
      </c>
      <c r="L79" s="270"/>
      <c r="M79" s="271"/>
      <c r="N79" s="271"/>
      <c r="O79" s="271"/>
      <c r="P79" s="271"/>
      <c r="Q79" s="271"/>
      <c r="R79" s="272">
        <v>1</v>
      </c>
      <c r="S79" s="275">
        <f t="shared" si="25"/>
        <v>0</v>
      </c>
      <c r="T79" s="275">
        <f t="shared" si="26"/>
        <v>0</v>
      </c>
      <c r="U79" s="273">
        <f t="shared" si="27"/>
        <v>0</v>
      </c>
      <c r="V79" s="270"/>
      <c r="W79" s="271"/>
      <c r="X79" s="271"/>
      <c r="Y79" s="271"/>
      <c r="Z79" s="271"/>
      <c r="AA79" s="271"/>
      <c r="AB79" s="272">
        <v>1</v>
      </c>
      <c r="AC79" s="275">
        <f t="shared" si="28"/>
        <v>0</v>
      </c>
      <c r="AD79" s="275">
        <f t="shared" si="29"/>
        <v>0</v>
      </c>
      <c r="AE79" s="273">
        <f t="shared" si="30"/>
        <v>0</v>
      </c>
      <c r="AF79" s="270"/>
      <c r="AG79" s="271"/>
      <c r="AH79" s="271"/>
      <c r="AI79" s="271"/>
      <c r="AJ79" s="271"/>
      <c r="AK79" s="271"/>
      <c r="AL79" s="272">
        <v>1</v>
      </c>
      <c r="AM79" s="275">
        <f t="shared" si="31"/>
        <v>0</v>
      </c>
      <c r="AN79" s="275">
        <f t="shared" si="32"/>
        <v>0</v>
      </c>
      <c r="AO79" s="273">
        <f t="shared" si="33"/>
        <v>0</v>
      </c>
      <c r="AP79" s="270"/>
      <c r="AQ79" s="271"/>
      <c r="AR79" s="271"/>
      <c r="AS79" s="271"/>
      <c r="AT79" s="271"/>
      <c r="AU79" s="271"/>
      <c r="AV79" s="272">
        <v>1</v>
      </c>
      <c r="AW79" s="275">
        <f t="shared" si="34"/>
        <v>0</v>
      </c>
      <c r="AX79" s="275">
        <f t="shared" si="35"/>
        <v>0</v>
      </c>
      <c r="AY79" s="273">
        <f t="shared" si="36"/>
        <v>0</v>
      </c>
      <c r="AZ79" s="270"/>
      <c r="BA79" s="271"/>
      <c r="BB79" s="271"/>
      <c r="BC79" s="271"/>
      <c r="BD79" s="271"/>
      <c r="BE79" s="271"/>
      <c r="BF79" s="272">
        <v>1</v>
      </c>
      <c r="BG79" s="275">
        <f t="shared" si="37"/>
        <v>0</v>
      </c>
      <c r="BH79" s="275">
        <f t="shared" si="38"/>
        <v>0</v>
      </c>
      <c r="BI79" s="273">
        <f t="shared" si="39"/>
        <v>0</v>
      </c>
      <c r="BJ79" s="270"/>
      <c r="BK79" s="271"/>
      <c r="BL79" s="271"/>
      <c r="BM79" s="271"/>
      <c r="BN79" s="271"/>
      <c r="BO79" s="271"/>
      <c r="BP79" s="272">
        <v>1</v>
      </c>
      <c r="BQ79" s="275">
        <f t="shared" si="40"/>
        <v>0</v>
      </c>
      <c r="BR79" s="275">
        <f t="shared" si="41"/>
        <v>0</v>
      </c>
      <c r="BS79" s="273">
        <f t="shared" si="42"/>
        <v>0</v>
      </c>
      <c r="BT79" s="270"/>
      <c r="BU79" s="271"/>
      <c r="BV79" s="271"/>
      <c r="BW79" s="271"/>
      <c r="BX79" s="271"/>
      <c r="BY79" s="271"/>
      <c r="BZ79" s="272">
        <v>1</v>
      </c>
      <c r="CA79" s="275">
        <f t="shared" si="43"/>
        <v>0</v>
      </c>
      <c r="CB79" s="275">
        <f t="shared" si="44"/>
        <v>0</v>
      </c>
      <c r="CC79" s="273">
        <f t="shared" si="45"/>
        <v>0</v>
      </c>
      <c r="CD79" s="270"/>
      <c r="CE79" s="271"/>
      <c r="CF79" s="271"/>
      <c r="CG79" s="271"/>
      <c r="CH79" s="271"/>
      <c r="CI79" s="271"/>
      <c r="CJ79" s="272">
        <v>1</v>
      </c>
      <c r="CK79" s="275">
        <f t="shared" si="46"/>
        <v>0</v>
      </c>
      <c r="CL79" s="275">
        <f t="shared" si="47"/>
        <v>0</v>
      </c>
      <c r="CM79" s="273">
        <f t="shared" si="48"/>
        <v>0</v>
      </c>
      <c r="CN79" s="270"/>
      <c r="CO79" s="271"/>
      <c r="CP79" s="271"/>
      <c r="CQ79" s="271"/>
      <c r="CR79" s="271"/>
      <c r="CS79" s="271"/>
      <c r="CT79" s="272">
        <v>1</v>
      </c>
      <c r="CU79" s="275">
        <f t="shared" si="49"/>
        <v>0</v>
      </c>
      <c r="CV79" s="275">
        <f t="shared" si="50"/>
        <v>0</v>
      </c>
      <c r="CW79" s="273">
        <f t="shared" si="51"/>
        <v>0</v>
      </c>
      <c r="CX79" s="270"/>
      <c r="CY79" s="271"/>
      <c r="CZ79" s="271"/>
      <c r="DA79" s="271"/>
      <c r="DB79" s="271"/>
      <c r="DC79" s="271"/>
      <c r="DD79" s="272">
        <v>1</v>
      </c>
      <c r="DE79" s="275">
        <f t="shared" si="52"/>
        <v>0</v>
      </c>
      <c r="DF79" s="275">
        <f t="shared" si="53"/>
        <v>0</v>
      </c>
      <c r="DG79" s="273">
        <f t="shared" si="54"/>
        <v>0</v>
      </c>
      <c r="DH79" s="270"/>
      <c r="DI79" s="271"/>
      <c r="DJ79" s="271"/>
      <c r="DK79" s="271"/>
      <c r="DL79" s="271"/>
      <c r="DM79" s="271"/>
      <c r="DN79" s="272">
        <v>1</v>
      </c>
      <c r="DO79" s="275">
        <f t="shared" si="55"/>
        <v>0</v>
      </c>
      <c r="DP79" s="275">
        <f t="shared" si="56"/>
        <v>0</v>
      </c>
      <c r="DQ79" s="273">
        <f t="shared" si="57"/>
        <v>0</v>
      </c>
      <c r="DR79" s="270"/>
      <c r="DS79" s="271"/>
      <c r="DT79" s="271"/>
      <c r="DU79" s="271"/>
      <c r="DV79" s="271"/>
      <c r="DW79" s="271"/>
      <c r="DX79" s="272">
        <v>1</v>
      </c>
      <c r="DY79" s="275">
        <f t="shared" si="58"/>
        <v>0</v>
      </c>
      <c r="DZ79" s="275">
        <f t="shared" si="59"/>
        <v>0</v>
      </c>
      <c r="EA79" s="273">
        <f t="shared" si="60"/>
        <v>0</v>
      </c>
      <c r="EB79" s="270"/>
      <c r="EC79" s="271"/>
      <c r="ED79" s="271"/>
      <c r="EE79" s="271"/>
      <c r="EF79" s="271"/>
      <c r="EG79" s="271"/>
      <c r="EH79" s="272">
        <v>1</v>
      </c>
      <c r="EI79" s="275">
        <f t="shared" si="61"/>
        <v>0</v>
      </c>
      <c r="EJ79" s="275">
        <f t="shared" si="62"/>
        <v>0</v>
      </c>
      <c r="EK79" s="273">
        <f t="shared" si="63"/>
        <v>0</v>
      </c>
      <c r="EL79" s="270"/>
      <c r="EM79" s="271"/>
      <c r="EN79" s="271"/>
      <c r="EO79" s="271"/>
      <c r="EP79" s="271"/>
      <c r="EQ79" s="271"/>
      <c r="ER79" s="272">
        <v>1</v>
      </c>
      <c r="ES79" s="275">
        <f t="shared" si="64"/>
        <v>0</v>
      </c>
      <c r="ET79" s="275">
        <f t="shared" si="65"/>
        <v>0</v>
      </c>
      <c r="EU79" s="273">
        <f t="shared" si="66"/>
        <v>0</v>
      </c>
      <c r="EV79" s="270"/>
      <c r="EW79" s="271"/>
      <c r="EX79" s="271"/>
      <c r="EY79" s="271"/>
      <c r="EZ79" s="271"/>
      <c r="FA79" s="271"/>
      <c r="FB79" s="272">
        <v>1</v>
      </c>
      <c r="FC79" s="275">
        <f t="shared" si="67"/>
        <v>0</v>
      </c>
      <c r="FD79" s="275">
        <f t="shared" si="68"/>
        <v>0</v>
      </c>
      <c r="FE79" s="273">
        <f t="shared" si="69"/>
        <v>0</v>
      </c>
      <c r="FF79" s="270"/>
      <c r="FG79" s="271"/>
      <c r="FH79" s="271"/>
      <c r="FI79" s="271"/>
      <c r="FJ79" s="271"/>
      <c r="FK79" s="271"/>
      <c r="FL79" s="272">
        <v>1</v>
      </c>
      <c r="FM79" s="275">
        <f t="shared" si="70"/>
        <v>0</v>
      </c>
      <c r="FN79" s="275">
        <f t="shared" si="71"/>
        <v>0</v>
      </c>
      <c r="FO79" s="273">
        <f t="shared" si="72"/>
        <v>0</v>
      </c>
      <c r="FP79" s="270"/>
      <c r="FQ79" s="271"/>
      <c r="FR79" s="271"/>
      <c r="FS79" s="271"/>
      <c r="FT79" s="271"/>
      <c r="FU79" s="271"/>
      <c r="FV79" s="272">
        <v>1</v>
      </c>
      <c r="FW79" s="275">
        <f t="shared" si="73"/>
        <v>0</v>
      </c>
      <c r="FX79" s="275">
        <f t="shared" si="74"/>
        <v>0</v>
      </c>
      <c r="FY79" s="273">
        <f t="shared" si="75"/>
        <v>0</v>
      </c>
      <c r="FZ79" s="270"/>
      <c r="GA79" s="271"/>
      <c r="GB79" s="271"/>
      <c r="GC79" s="271"/>
      <c r="GD79" s="271"/>
      <c r="GE79" s="271"/>
      <c r="GF79" s="272">
        <v>1</v>
      </c>
      <c r="GG79" s="275">
        <f t="shared" si="76"/>
        <v>0</v>
      </c>
      <c r="GH79" s="275">
        <f t="shared" si="77"/>
        <v>0</v>
      </c>
      <c r="GI79" s="273">
        <f t="shared" si="78"/>
        <v>0</v>
      </c>
      <c r="GJ79" s="270"/>
      <c r="GK79" s="271"/>
      <c r="GL79" s="271"/>
      <c r="GM79" s="271"/>
      <c r="GN79" s="271"/>
      <c r="GO79" s="271"/>
      <c r="GP79" s="272">
        <v>1</v>
      </c>
      <c r="GQ79" s="275">
        <f t="shared" si="79"/>
        <v>0</v>
      </c>
      <c r="GR79" s="275">
        <f t="shared" si="80"/>
        <v>0</v>
      </c>
      <c r="GS79" s="273">
        <f t="shared" si="81"/>
        <v>0</v>
      </c>
      <c r="GT79" s="270"/>
      <c r="GU79" s="271"/>
      <c r="GV79" s="271"/>
      <c r="GW79" s="271"/>
      <c r="GX79" s="271"/>
      <c r="GY79" s="271"/>
      <c r="GZ79" s="272">
        <v>1</v>
      </c>
      <c r="HA79" s="275">
        <f t="shared" si="82"/>
        <v>0</v>
      </c>
      <c r="HB79" s="275">
        <f t="shared" si="83"/>
        <v>0</v>
      </c>
      <c r="HC79" s="273">
        <f t="shared" si="84"/>
        <v>0</v>
      </c>
      <c r="HD79" s="270"/>
      <c r="HE79" s="271"/>
      <c r="HF79" s="271"/>
      <c r="HG79" s="271"/>
      <c r="HH79" s="271"/>
      <c r="HI79" s="271"/>
      <c r="HJ79" s="272">
        <v>1</v>
      </c>
      <c r="HK79" s="275">
        <f t="shared" si="85"/>
        <v>0</v>
      </c>
      <c r="HL79" s="275">
        <f t="shared" si="86"/>
        <v>0</v>
      </c>
      <c r="HM79" s="273">
        <f t="shared" si="87"/>
        <v>0</v>
      </c>
      <c r="HN79" s="277">
        <v>1</v>
      </c>
      <c r="HO79" s="278">
        <v>0</v>
      </c>
      <c r="HP79" s="277">
        <v>1</v>
      </c>
      <c r="HQ79" s="278">
        <v>0</v>
      </c>
      <c r="HR79" s="277">
        <v>1</v>
      </c>
      <c r="HS79" s="278">
        <v>0</v>
      </c>
      <c r="HT79" s="277">
        <v>1</v>
      </c>
      <c r="HU79" s="278">
        <v>0</v>
      </c>
      <c r="HV79" s="277">
        <v>1</v>
      </c>
      <c r="HW79" s="278">
        <v>0</v>
      </c>
      <c r="HX79" s="277">
        <v>1</v>
      </c>
      <c r="HY79" s="278">
        <v>0</v>
      </c>
      <c r="HZ79" s="277">
        <v>1</v>
      </c>
      <c r="IA79" s="278">
        <v>0</v>
      </c>
      <c r="IB79" s="277">
        <v>1</v>
      </c>
      <c r="IC79" s="278">
        <v>0</v>
      </c>
      <c r="ID79" s="277">
        <v>1</v>
      </c>
      <c r="IE79" s="278">
        <v>0</v>
      </c>
      <c r="IF79" s="277">
        <v>1</v>
      </c>
      <c r="IG79" s="278">
        <v>0</v>
      </c>
      <c r="IH79" s="277">
        <v>1</v>
      </c>
      <c r="II79" s="278">
        <v>0</v>
      </c>
      <c r="IJ79" s="277">
        <v>1</v>
      </c>
      <c r="IK79" s="278">
        <v>0</v>
      </c>
      <c r="IL79" s="277">
        <v>1</v>
      </c>
      <c r="IM79" s="278">
        <v>0</v>
      </c>
      <c r="IN79" s="277">
        <v>1</v>
      </c>
      <c r="IO79" s="278">
        <v>0</v>
      </c>
      <c r="IP79" s="277">
        <v>1</v>
      </c>
      <c r="IQ79" s="278">
        <v>0</v>
      </c>
      <c r="IR79" s="277">
        <v>1</v>
      </c>
      <c r="IS79" s="278">
        <v>0</v>
      </c>
      <c r="IT79" s="277">
        <v>1</v>
      </c>
      <c r="IU79" s="278">
        <v>0</v>
      </c>
      <c r="IV79" s="277">
        <v>1</v>
      </c>
      <c r="IW79" s="278">
        <v>0</v>
      </c>
      <c r="IX79" s="277">
        <v>1</v>
      </c>
      <c r="IY79" s="278">
        <v>0</v>
      </c>
      <c r="IZ79" s="277">
        <v>1</v>
      </c>
      <c r="JA79" s="278">
        <v>0</v>
      </c>
      <c r="JB79" s="277">
        <v>1</v>
      </c>
      <c r="JC79" s="278">
        <v>0</v>
      </c>
      <c r="JD79" s="277">
        <v>1</v>
      </c>
      <c r="JE79" s="278">
        <v>0</v>
      </c>
      <c r="KB79" s="8"/>
    </row>
    <row r="80" spans="1:288">
      <c r="A80" s="207">
        <v>46098</v>
      </c>
      <c r="B80" s="270"/>
      <c r="C80" s="271"/>
      <c r="D80" s="271"/>
      <c r="E80" s="271"/>
      <c r="F80" s="271"/>
      <c r="G80" s="271"/>
      <c r="H80" s="272">
        <v>1</v>
      </c>
      <c r="I80" s="275">
        <f t="shared" si="22"/>
        <v>0</v>
      </c>
      <c r="J80" s="275">
        <f t="shared" si="23"/>
        <v>0</v>
      </c>
      <c r="K80" s="273">
        <f t="shared" si="24"/>
        <v>0</v>
      </c>
      <c r="L80" s="270"/>
      <c r="M80" s="271"/>
      <c r="N80" s="271"/>
      <c r="O80" s="271"/>
      <c r="P80" s="271"/>
      <c r="Q80" s="271"/>
      <c r="R80" s="272">
        <v>1</v>
      </c>
      <c r="S80" s="275">
        <f t="shared" si="25"/>
        <v>0</v>
      </c>
      <c r="T80" s="275">
        <f t="shared" si="26"/>
        <v>0</v>
      </c>
      <c r="U80" s="273">
        <f t="shared" si="27"/>
        <v>0</v>
      </c>
      <c r="V80" s="270"/>
      <c r="W80" s="271"/>
      <c r="X80" s="271"/>
      <c r="Y80" s="271"/>
      <c r="Z80" s="271"/>
      <c r="AA80" s="271"/>
      <c r="AB80" s="272">
        <v>1</v>
      </c>
      <c r="AC80" s="275">
        <f t="shared" si="28"/>
        <v>0</v>
      </c>
      <c r="AD80" s="275">
        <f t="shared" si="29"/>
        <v>0</v>
      </c>
      <c r="AE80" s="273">
        <f t="shared" si="30"/>
        <v>0</v>
      </c>
      <c r="AF80" s="270"/>
      <c r="AG80" s="271"/>
      <c r="AH80" s="271"/>
      <c r="AI80" s="271"/>
      <c r="AJ80" s="271"/>
      <c r="AK80" s="271"/>
      <c r="AL80" s="272">
        <v>1</v>
      </c>
      <c r="AM80" s="275">
        <f t="shared" si="31"/>
        <v>0</v>
      </c>
      <c r="AN80" s="275">
        <f t="shared" si="32"/>
        <v>0</v>
      </c>
      <c r="AO80" s="273">
        <f t="shared" si="33"/>
        <v>0</v>
      </c>
      <c r="AP80" s="270"/>
      <c r="AQ80" s="271"/>
      <c r="AR80" s="271"/>
      <c r="AS80" s="271"/>
      <c r="AT80" s="271"/>
      <c r="AU80" s="271"/>
      <c r="AV80" s="272">
        <v>1</v>
      </c>
      <c r="AW80" s="275">
        <f t="shared" si="34"/>
        <v>0</v>
      </c>
      <c r="AX80" s="275">
        <f t="shared" si="35"/>
        <v>0</v>
      </c>
      <c r="AY80" s="273">
        <f t="shared" si="36"/>
        <v>0</v>
      </c>
      <c r="AZ80" s="270"/>
      <c r="BA80" s="271"/>
      <c r="BB80" s="271"/>
      <c r="BC80" s="271"/>
      <c r="BD80" s="271"/>
      <c r="BE80" s="271"/>
      <c r="BF80" s="272">
        <v>1</v>
      </c>
      <c r="BG80" s="275">
        <f t="shared" si="37"/>
        <v>0</v>
      </c>
      <c r="BH80" s="275">
        <f t="shared" si="38"/>
        <v>0</v>
      </c>
      <c r="BI80" s="273">
        <f t="shared" si="39"/>
        <v>0</v>
      </c>
      <c r="BJ80" s="270"/>
      <c r="BK80" s="271"/>
      <c r="BL80" s="271"/>
      <c r="BM80" s="271"/>
      <c r="BN80" s="271"/>
      <c r="BO80" s="271"/>
      <c r="BP80" s="272">
        <v>1</v>
      </c>
      <c r="BQ80" s="275">
        <f t="shared" si="40"/>
        <v>0</v>
      </c>
      <c r="BR80" s="275">
        <f t="shared" si="41"/>
        <v>0</v>
      </c>
      <c r="BS80" s="273">
        <f t="shared" si="42"/>
        <v>0</v>
      </c>
      <c r="BT80" s="270"/>
      <c r="BU80" s="271"/>
      <c r="BV80" s="271"/>
      <c r="BW80" s="271"/>
      <c r="BX80" s="271"/>
      <c r="BY80" s="271"/>
      <c r="BZ80" s="272">
        <v>1</v>
      </c>
      <c r="CA80" s="275">
        <f t="shared" si="43"/>
        <v>0</v>
      </c>
      <c r="CB80" s="275">
        <f t="shared" si="44"/>
        <v>0</v>
      </c>
      <c r="CC80" s="273">
        <f t="shared" si="45"/>
        <v>0</v>
      </c>
      <c r="CD80" s="270"/>
      <c r="CE80" s="271"/>
      <c r="CF80" s="271"/>
      <c r="CG80" s="271"/>
      <c r="CH80" s="271"/>
      <c r="CI80" s="271"/>
      <c r="CJ80" s="272">
        <v>1</v>
      </c>
      <c r="CK80" s="275">
        <f t="shared" si="46"/>
        <v>0</v>
      </c>
      <c r="CL80" s="275">
        <f t="shared" si="47"/>
        <v>0</v>
      </c>
      <c r="CM80" s="273">
        <f t="shared" si="48"/>
        <v>0</v>
      </c>
      <c r="CN80" s="270"/>
      <c r="CO80" s="271"/>
      <c r="CP80" s="271"/>
      <c r="CQ80" s="271"/>
      <c r="CR80" s="271"/>
      <c r="CS80" s="271"/>
      <c r="CT80" s="272">
        <v>1</v>
      </c>
      <c r="CU80" s="275">
        <f t="shared" si="49"/>
        <v>0</v>
      </c>
      <c r="CV80" s="275">
        <f t="shared" si="50"/>
        <v>0</v>
      </c>
      <c r="CW80" s="273">
        <f t="shared" si="51"/>
        <v>0</v>
      </c>
      <c r="CX80" s="270"/>
      <c r="CY80" s="271"/>
      <c r="CZ80" s="271"/>
      <c r="DA80" s="271"/>
      <c r="DB80" s="271"/>
      <c r="DC80" s="271"/>
      <c r="DD80" s="272">
        <v>1</v>
      </c>
      <c r="DE80" s="275">
        <f t="shared" si="52"/>
        <v>0</v>
      </c>
      <c r="DF80" s="275">
        <f t="shared" si="53"/>
        <v>0</v>
      </c>
      <c r="DG80" s="273">
        <f t="shared" si="54"/>
        <v>0</v>
      </c>
      <c r="DH80" s="270"/>
      <c r="DI80" s="271"/>
      <c r="DJ80" s="271"/>
      <c r="DK80" s="271"/>
      <c r="DL80" s="271"/>
      <c r="DM80" s="271"/>
      <c r="DN80" s="272">
        <v>1</v>
      </c>
      <c r="DO80" s="275">
        <f t="shared" si="55"/>
        <v>0</v>
      </c>
      <c r="DP80" s="275">
        <f t="shared" si="56"/>
        <v>0</v>
      </c>
      <c r="DQ80" s="273">
        <f t="shared" si="57"/>
        <v>0</v>
      </c>
      <c r="DR80" s="270"/>
      <c r="DS80" s="271"/>
      <c r="DT80" s="271"/>
      <c r="DU80" s="271"/>
      <c r="DV80" s="271"/>
      <c r="DW80" s="271"/>
      <c r="DX80" s="272">
        <v>1</v>
      </c>
      <c r="DY80" s="275">
        <f t="shared" si="58"/>
        <v>0</v>
      </c>
      <c r="DZ80" s="275">
        <f t="shared" si="59"/>
        <v>0</v>
      </c>
      <c r="EA80" s="273">
        <f t="shared" si="60"/>
        <v>0</v>
      </c>
      <c r="EB80" s="270"/>
      <c r="EC80" s="271"/>
      <c r="ED80" s="271"/>
      <c r="EE80" s="271"/>
      <c r="EF80" s="271"/>
      <c r="EG80" s="271"/>
      <c r="EH80" s="272">
        <v>1</v>
      </c>
      <c r="EI80" s="275">
        <f t="shared" si="61"/>
        <v>0</v>
      </c>
      <c r="EJ80" s="275">
        <f t="shared" si="62"/>
        <v>0</v>
      </c>
      <c r="EK80" s="273">
        <f t="shared" si="63"/>
        <v>0</v>
      </c>
      <c r="EL80" s="270"/>
      <c r="EM80" s="271"/>
      <c r="EN80" s="271"/>
      <c r="EO80" s="271"/>
      <c r="EP80" s="271"/>
      <c r="EQ80" s="271"/>
      <c r="ER80" s="272">
        <v>1</v>
      </c>
      <c r="ES80" s="275">
        <f t="shared" si="64"/>
        <v>0</v>
      </c>
      <c r="ET80" s="275">
        <f t="shared" si="65"/>
        <v>0</v>
      </c>
      <c r="EU80" s="273">
        <f t="shared" si="66"/>
        <v>0</v>
      </c>
      <c r="EV80" s="270"/>
      <c r="EW80" s="271"/>
      <c r="EX80" s="271"/>
      <c r="EY80" s="271"/>
      <c r="EZ80" s="271"/>
      <c r="FA80" s="271"/>
      <c r="FB80" s="272">
        <v>1</v>
      </c>
      <c r="FC80" s="275">
        <f t="shared" si="67"/>
        <v>0</v>
      </c>
      <c r="FD80" s="275">
        <f t="shared" si="68"/>
        <v>0</v>
      </c>
      <c r="FE80" s="273">
        <f t="shared" si="69"/>
        <v>0</v>
      </c>
      <c r="FF80" s="270"/>
      <c r="FG80" s="271"/>
      <c r="FH80" s="271"/>
      <c r="FI80" s="271"/>
      <c r="FJ80" s="271"/>
      <c r="FK80" s="271"/>
      <c r="FL80" s="272">
        <v>1</v>
      </c>
      <c r="FM80" s="275">
        <f t="shared" si="70"/>
        <v>0</v>
      </c>
      <c r="FN80" s="275">
        <f t="shared" si="71"/>
        <v>0</v>
      </c>
      <c r="FO80" s="273">
        <f t="shared" si="72"/>
        <v>0</v>
      </c>
      <c r="FP80" s="270"/>
      <c r="FQ80" s="271"/>
      <c r="FR80" s="271"/>
      <c r="FS80" s="271"/>
      <c r="FT80" s="271"/>
      <c r="FU80" s="271"/>
      <c r="FV80" s="272">
        <v>1</v>
      </c>
      <c r="FW80" s="275">
        <f t="shared" si="73"/>
        <v>0</v>
      </c>
      <c r="FX80" s="275">
        <f t="shared" si="74"/>
        <v>0</v>
      </c>
      <c r="FY80" s="273">
        <f t="shared" si="75"/>
        <v>0</v>
      </c>
      <c r="FZ80" s="270"/>
      <c r="GA80" s="271"/>
      <c r="GB80" s="271"/>
      <c r="GC80" s="271"/>
      <c r="GD80" s="271"/>
      <c r="GE80" s="271"/>
      <c r="GF80" s="272">
        <v>1</v>
      </c>
      <c r="GG80" s="275">
        <f t="shared" si="76"/>
        <v>0</v>
      </c>
      <c r="GH80" s="275">
        <f t="shared" si="77"/>
        <v>0</v>
      </c>
      <c r="GI80" s="273">
        <f t="shared" si="78"/>
        <v>0</v>
      </c>
      <c r="GJ80" s="270"/>
      <c r="GK80" s="271"/>
      <c r="GL80" s="271"/>
      <c r="GM80" s="271"/>
      <c r="GN80" s="271"/>
      <c r="GO80" s="271"/>
      <c r="GP80" s="272">
        <v>1</v>
      </c>
      <c r="GQ80" s="275">
        <f t="shared" si="79"/>
        <v>0</v>
      </c>
      <c r="GR80" s="275">
        <f t="shared" si="80"/>
        <v>0</v>
      </c>
      <c r="GS80" s="273">
        <f t="shared" si="81"/>
        <v>0</v>
      </c>
      <c r="GT80" s="270"/>
      <c r="GU80" s="271"/>
      <c r="GV80" s="271"/>
      <c r="GW80" s="271"/>
      <c r="GX80" s="271"/>
      <c r="GY80" s="271"/>
      <c r="GZ80" s="272">
        <v>1</v>
      </c>
      <c r="HA80" s="275">
        <f t="shared" si="82"/>
        <v>0</v>
      </c>
      <c r="HB80" s="275">
        <f t="shared" si="83"/>
        <v>0</v>
      </c>
      <c r="HC80" s="273">
        <f t="shared" si="84"/>
        <v>0</v>
      </c>
      <c r="HD80" s="270"/>
      <c r="HE80" s="271"/>
      <c r="HF80" s="271"/>
      <c r="HG80" s="271"/>
      <c r="HH80" s="271"/>
      <c r="HI80" s="271"/>
      <c r="HJ80" s="272">
        <v>1</v>
      </c>
      <c r="HK80" s="275">
        <f t="shared" si="85"/>
        <v>0</v>
      </c>
      <c r="HL80" s="275">
        <f t="shared" si="86"/>
        <v>0</v>
      </c>
      <c r="HM80" s="273">
        <f t="shared" si="87"/>
        <v>0</v>
      </c>
      <c r="HN80" s="277">
        <v>1</v>
      </c>
      <c r="HO80" s="278">
        <v>0</v>
      </c>
      <c r="HP80" s="277">
        <v>1</v>
      </c>
      <c r="HQ80" s="278">
        <v>0</v>
      </c>
      <c r="HR80" s="277">
        <v>1</v>
      </c>
      <c r="HS80" s="278">
        <v>0</v>
      </c>
      <c r="HT80" s="277">
        <v>1</v>
      </c>
      <c r="HU80" s="278">
        <v>0</v>
      </c>
      <c r="HV80" s="277">
        <v>1</v>
      </c>
      <c r="HW80" s="278">
        <v>0</v>
      </c>
      <c r="HX80" s="277">
        <v>1</v>
      </c>
      <c r="HY80" s="278">
        <v>0</v>
      </c>
      <c r="HZ80" s="277">
        <v>1</v>
      </c>
      <c r="IA80" s="278">
        <v>0</v>
      </c>
      <c r="IB80" s="277">
        <v>1</v>
      </c>
      <c r="IC80" s="278">
        <v>0</v>
      </c>
      <c r="ID80" s="277">
        <v>1</v>
      </c>
      <c r="IE80" s="278">
        <v>0</v>
      </c>
      <c r="IF80" s="277">
        <v>1</v>
      </c>
      <c r="IG80" s="278">
        <v>0</v>
      </c>
      <c r="IH80" s="277">
        <v>1</v>
      </c>
      <c r="II80" s="278">
        <v>0</v>
      </c>
      <c r="IJ80" s="277">
        <v>1</v>
      </c>
      <c r="IK80" s="278">
        <v>0</v>
      </c>
      <c r="IL80" s="277">
        <v>1</v>
      </c>
      <c r="IM80" s="278">
        <v>0</v>
      </c>
      <c r="IN80" s="277">
        <v>1</v>
      </c>
      <c r="IO80" s="278">
        <v>0</v>
      </c>
      <c r="IP80" s="277">
        <v>1</v>
      </c>
      <c r="IQ80" s="278">
        <v>0</v>
      </c>
      <c r="IR80" s="277">
        <v>1</v>
      </c>
      <c r="IS80" s="278">
        <v>0</v>
      </c>
      <c r="IT80" s="277">
        <v>1</v>
      </c>
      <c r="IU80" s="278">
        <v>0</v>
      </c>
      <c r="IV80" s="277">
        <v>1</v>
      </c>
      <c r="IW80" s="278">
        <v>0</v>
      </c>
      <c r="IX80" s="277">
        <v>1</v>
      </c>
      <c r="IY80" s="278">
        <v>0</v>
      </c>
      <c r="IZ80" s="277">
        <v>1</v>
      </c>
      <c r="JA80" s="278">
        <v>0</v>
      </c>
      <c r="JB80" s="277">
        <v>1</v>
      </c>
      <c r="JC80" s="278">
        <v>0</v>
      </c>
      <c r="JD80" s="277">
        <v>1</v>
      </c>
      <c r="JE80" s="278">
        <v>0</v>
      </c>
      <c r="KB80" s="8"/>
    </row>
    <row r="81" spans="1:288">
      <c r="A81" s="207">
        <v>46099</v>
      </c>
      <c r="B81" s="270"/>
      <c r="C81" s="271"/>
      <c r="D81" s="271"/>
      <c r="E81" s="271"/>
      <c r="F81" s="271"/>
      <c r="G81" s="271"/>
      <c r="H81" s="272">
        <v>1</v>
      </c>
      <c r="I81" s="275">
        <f t="shared" si="22"/>
        <v>0</v>
      </c>
      <c r="J81" s="275">
        <f t="shared" si="23"/>
        <v>0</v>
      </c>
      <c r="K81" s="273">
        <f t="shared" si="24"/>
        <v>0</v>
      </c>
      <c r="L81" s="270"/>
      <c r="M81" s="271"/>
      <c r="N81" s="271"/>
      <c r="O81" s="271"/>
      <c r="P81" s="271"/>
      <c r="Q81" s="271"/>
      <c r="R81" s="272">
        <v>1</v>
      </c>
      <c r="S81" s="275">
        <f t="shared" si="25"/>
        <v>0</v>
      </c>
      <c r="T81" s="275">
        <f t="shared" si="26"/>
        <v>0</v>
      </c>
      <c r="U81" s="273">
        <f t="shared" si="27"/>
        <v>0</v>
      </c>
      <c r="V81" s="270"/>
      <c r="W81" s="271"/>
      <c r="X81" s="271"/>
      <c r="Y81" s="271"/>
      <c r="Z81" s="271"/>
      <c r="AA81" s="271"/>
      <c r="AB81" s="272">
        <v>1</v>
      </c>
      <c r="AC81" s="275">
        <f t="shared" si="28"/>
        <v>0</v>
      </c>
      <c r="AD81" s="275">
        <f t="shared" si="29"/>
        <v>0</v>
      </c>
      <c r="AE81" s="273">
        <f t="shared" si="30"/>
        <v>0</v>
      </c>
      <c r="AF81" s="270"/>
      <c r="AG81" s="271"/>
      <c r="AH81" s="271"/>
      <c r="AI81" s="271"/>
      <c r="AJ81" s="271"/>
      <c r="AK81" s="271"/>
      <c r="AL81" s="272">
        <v>1</v>
      </c>
      <c r="AM81" s="275">
        <f t="shared" si="31"/>
        <v>0</v>
      </c>
      <c r="AN81" s="275">
        <f t="shared" si="32"/>
        <v>0</v>
      </c>
      <c r="AO81" s="273">
        <f t="shared" si="33"/>
        <v>0</v>
      </c>
      <c r="AP81" s="270"/>
      <c r="AQ81" s="271"/>
      <c r="AR81" s="271"/>
      <c r="AS81" s="271"/>
      <c r="AT81" s="271"/>
      <c r="AU81" s="271"/>
      <c r="AV81" s="272">
        <v>1</v>
      </c>
      <c r="AW81" s="275">
        <f t="shared" si="34"/>
        <v>0</v>
      </c>
      <c r="AX81" s="275">
        <f t="shared" si="35"/>
        <v>0</v>
      </c>
      <c r="AY81" s="273">
        <f t="shared" si="36"/>
        <v>0</v>
      </c>
      <c r="AZ81" s="270"/>
      <c r="BA81" s="271"/>
      <c r="BB81" s="271"/>
      <c r="BC81" s="271"/>
      <c r="BD81" s="271"/>
      <c r="BE81" s="271"/>
      <c r="BF81" s="272">
        <v>1</v>
      </c>
      <c r="BG81" s="275">
        <f t="shared" si="37"/>
        <v>0</v>
      </c>
      <c r="BH81" s="275">
        <f t="shared" si="38"/>
        <v>0</v>
      </c>
      <c r="BI81" s="273">
        <f t="shared" si="39"/>
        <v>0</v>
      </c>
      <c r="BJ81" s="270"/>
      <c r="BK81" s="271"/>
      <c r="BL81" s="271"/>
      <c r="BM81" s="271"/>
      <c r="BN81" s="271"/>
      <c r="BO81" s="271"/>
      <c r="BP81" s="272">
        <v>1</v>
      </c>
      <c r="BQ81" s="275">
        <f t="shared" si="40"/>
        <v>0</v>
      </c>
      <c r="BR81" s="275">
        <f t="shared" si="41"/>
        <v>0</v>
      </c>
      <c r="BS81" s="273">
        <f t="shared" si="42"/>
        <v>0</v>
      </c>
      <c r="BT81" s="270"/>
      <c r="BU81" s="271"/>
      <c r="BV81" s="271"/>
      <c r="BW81" s="271"/>
      <c r="BX81" s="271"/>
      <c r="BY81" s="271"/>
      <c r="BZ81" s="272">
        <v>1</v>
      </c>
      <c r="CA81" s="275">
        <f t="shared" si="43"/>
        <v>0</v>
      </c>
      <c r="CB81" s="275">
        <f t="shared" si="44"/>
        <v>0</v>
      </c>
      <c r="CC81" s="273">
        <f t="shared" si="45"/>
        <v>0</v>
      </c>
      <c r="CD81" s="270"/>
      <c r="CE81" s="271"/>
      <c r="CF81" s="271"/>
      <c r="CG81" s="271"/>
      <c r="CH81" s="271"/>
      <c r="CI81" s="271"/>
      <c r="CJ81" s="272">
        <v>1</v>
      </c>
      <c r="CK81" s="275">
        <f t="shared" si="46"/>
        <v>0</v>
      </c>
      <c r="CL81" s="275">
        <f t="shared" si="47"/>
        <v>0</v>
      </c>
      <c r="CM81" s="273">
        <f t="shared" si="48"/>
        <v>0</v>
      </c>
      <c r="CN81" s="270"/>
      <c r="CO81" s="271"/>
      <c r="CP81" s="271"/>
      <c r="CQ81" s="271"/>
      <c r="CR81" s="271"/>
      <c r="CS81" s="271"/>
      <c r="CT81" s="272">
        <v>1</v>
      </c>
      <c r="CU81" s="275">
        <f t="shared" si="49"/>
        <v>0</v>
      </c>
      <c r="CV81" s="275">
        <f t="shared" si="50"/>
        <v>0</v>
      </c>
      <c r="CW81" s="273">
        <f t="shared" si="51"/>
        <v>0</v>
      </c>
      <c r="CX81" s="270"/>
      <c r="CY81" s="271"/>
      <c r="CZ81" s="271"/>
      <c r="DA81" s="271"/>
      <c r="DB81" s="271"/>
      <c r="DC81" s="271"/>
      <c r="DD81" s="272">
        <v>1</v>
      </c>
      <c r="DE81" s="275">
        <f t="shared" si="52"/>
        <v>0</v>
      </c>
      <c r="DF81" s="275">
        <f t="shared" si="53"/>
        <v>0</v>
      </c>
      <c r="DG81" s="273">
        <f t="shared" si="54"/>
        <v>0</v>
      </c>
      <c r="DH81" s="270"/>
      <c r="DI81" s="271"/>
      <c r="DJ81" s="271"/>
      <c r="DK81" s="271"/>
      <c r="DL81" s="271"/>
      <c r="DM81" s="271"/>
      <c r="DN81" s="272">
        <v>1</v>
      </c>
      <c r="DO81" s="275">
        <f t="shared" si="55"/>
        <v>0</v>
      </c>
      <c r="DP81" s="275">
        <f t="shared" si="56"/>
        <v>0</v>
      </c>
      <c r="DQ81" s="273">
        <f t="shared" si="57"/>
        <v>0</v>
      </c>
      <c r="DR81" s="270"/>
      <c r="DS81" s="271"/>
      <c r="DT81" s="271"/>
      <c r="DU81" s="271"/>
      <c r="DV81" s="271"/>
      <c r="DW81" s="271"/>
      <c r="DX81" s="272">
        <v>1</v>
      </c>
      <c r="DY81" s="275">
        <f t="shared" si="58"/>
        <v>0</v>
      </c>
      <c r="DZ81" s="275">
        <f t="shared" si="59"/>
        <v>0</v>
      </c>
      <c r="EA81" s="273">
        <f t="shared" si="60"/>
        <v>0</v>
      </c>
      <c r="EB81" s="270"/>
      <c r="EC81" s="271"/>
      <c r="ED81" s="271"/>
      <c r="EE81" s="271"/>
      <c r="EF81" s="271"/>
      <c r="EG81" s="271"/>
      <c r="EH81" s="272">
        <v>1</v>
      </c>
      <c r="EI81" s="275">
        <f t="shared" si="61"/>
        <v>0</v>
      </c>
      <c r="EJ81" s="275">
        <f t="shared" si="62"/>
        <v>0</v>
      </c>
      <c r="EK81" s="273">
        <f t="shared" si="63"/>
        <v>0</v>
      </c>
      <c r="EL81" s="270"/>
      <c r="EM81" s="271"/>
      <c r="EN81" s="271"/>
      <c r="EO81" s="271"/>
      <c r="EP81" s="271"/>
      <c r="EQ81" s="271"/>
      <c r="ER81" s="272">
        <v>1</v>
      </c>
      <c r="ES81" s="275">
        <f t="shared" si="64"/>
        <v>0</v>
      </c>
      <c r="ET81" s="275">
        <f t="shared" si="65"/>
        <v>0</v>
      </c>
      <c r="EU81" s="273">
        <f t="shared" si="66"/>
        <v>0</v>
      </c>
      <c r="EV81" s="270"/>
      <c r="EW81" s="271"/>
      <c r="EX81" s="271"/>
      <c r="EY81" s="271"/>
      <c r="EZ81" s="271"/>
      <c r="FA81" s="271"/>
      <c r="FB81" s="272">
        <v>1</v>
      </c>
      <c r="FC81" s="275">
        <f t="shared" si="67"/>
        <v>0</v>
      </c>
      <c r="FD81" s="275">
        <f t="shared" si="68"/>
        <v>0</v>
      </c>
      <c r="FE81" s="273">
        <f t="shared" si="69"/>
        <v>0</v>
      </c>
      <c r="FF81" s="270"/>
      <c r="FG81" s="271"/>
      <c r="FH81" s="271"/>
      <c r="FI81" s="271"/>
      <c r="FJ81" s="271"/>
      <c r="FK81" s="271"/>
      <c r="FL81" s="272">
        <v>1</v>
      </c>
      <c r="FM81" s="275">
        <f t="shared" si="70"/>
        <v>0</v>
      </c>
      <c r="FN81" s="275">
        <f t="shared" si="71"/>
        <v>0</v>
      </c>
      <c r="FO81" s="273">
        <f t="shared" si="72"/>
        <v>0</v>
      </c>
      <c r="FP81" s="270"/>
      <c r="FQ81" s="271"/>
      <c r="FR81" s="271"/>
      <c r="FS81" s="271"/>
      <c r="FT81" s="271"/>
      <c r="FU81" s="271"/>
      <c r="FV81" s="272">
        <v>1</v>
      </c>
      <c r="FW81" s="275">
        <f t="shared" si="73"/>
        <v>0</v>
      </c>
      <c r="FX81" s="275">
        <f t="shared" si="74"/>
        <v>0</v>
      </c>
      <c r="FY81" s="273">
        <f t="shared" si="75"/>
        <v>0</v>
      </c>
      <c r="FZ81" s="270"/>
      <c r="GA81" s="271"/>
      <c r="GB81" s="271"/>
      <c r="GC81" s="271"/>
      <c r="GD81" s="271"/>
      <c r="GE81" s="271"/>
      <c r="GF81" s="272">
        <v>1</v>
      </c>
      <c r="GG81" s="275">
        <f t="shared" si="76"/>
        <v>0</v>
      </c>
      <c r="GH81" s="275">
        <f t="shared" si="77"/>
        <v>0</v>
      </c>
      <c r="GI81" s="273">
        <f t="shared" si="78"/>
        <v>0</v>
      </c>
      <c r="GJ81" s="270"/>
      <c r="GK81" s="271"/>
      <c r="GL81" s="271"/>
      <c r="GM81" s="271"/>
      <c r="GN81" s="271"/>
      <c r="GO81" s="271"/>
      <c r="GP81" s="272">
        <v>1</v>
      </c>
      <c r="GQ81" s="275">
        <f t="shared" si="79"/>
        <v>0</v>
      </c>
      <c r="GR81" s="275">
        <f t="shared" si="80"/>
        <v>0</v>
      </c>
      <c r="GS81" s="273">
        <f t="shared" si="81"/>
        <v>0</v>
      </c>
      <c r="GT81" s="270"/>
      <c r="GU81" s="271"/>
      <c r="GV81" s="271"/>
      <c r="GW81" s="271"/>
      <c r="GX81" s="271"/>
      <c r="GY81" s="271"/>
      <c r="GZ81" s="272">
        <v>1</v>
      </c>
      <c r="HA81" s="275">
        <f t="shared" si="82"/>
        <v>0</v>
      </c>
      <c r="HB81" s="275">
        <f t="shared" si="83"/>
        <v>0</v>
      </c>
      <c r="HC81" s="273">
        <f t="shared" si="84"/>
        <v>0</v>
      </c>
      <c r="HD81" s="270"/>
      <c r="HE81" s="271"/>
      <c r="HF81" s="271"/>
      <c r="HG81" s="271"/>
      <c r="HH81" s="271"/>
      <c r="HI81" s="271"/>
      <c r="HJ81" s="272">
        <v>1</v>
      </c>
      <c r="HK81" s="275">
        <f t="shared" si="85"/>
        <v>0</v>
      </c>
      <c r="HL81" s="275">
        <f t="shared" si="86"/>
        <v>0</v>
      </c>
      <c r="HM81" s="273">
        <f t="shared" si="87"/>
        <v>0</v>
      </c>
      <c r="HN81" s="277">
        <v>1</v>
      </c>
      <c r="HO81" s="278">
        <v>0</v>
      </c>
      <c r="HP81" s="277">
        <v>1</v>
      </c>
      <c r="HQ81" s="278">
        <v>0</v>
      </c>
      <c r="HR81" s="277">
        <v>1</v>
      </c>
      <c r="HS81" s="278">
        <v>0</v>
      </c>
      <c r="HT81" s="277">
        <v>1</v>
      </c>
      <c r="HU81" s="278">
        <v>0</v>
      </c>
      <c r="HV81" s="277">
        <v>1</v>
      </c>
      <c r="HW81" s="278">
        <v>0</v>
      </c>
      <c r="HX81" s="277">
        <v>1</v>
      </c>
      <c r="HY81" s="278">
        <v>0</v>
      </c>
      <c r="HZ81" s="277">
        <v>1</v>
      </c>
      <c r="IA81" s="278">
        <v>0</v>
      </c>
      <c r="IB81" s="277">
        <v>1</v>
      </c>
      <c r="IC81" s="278">
        <v>0</v>
      </c>
      <c r="ID81" s="277">
        <v>1</v>
      </c>
      <c r="IE81" s="278">
        <v>0</v>
      </c>
      <c r="IF81" s="277">
        <v>1</v>
      </c>
      <c r="IG81" s="278">
        <v>0</v>
      </c>
      <c r="IH81" s="277">
        <v>1</v>
      </c>
      <c r="II81" s="278">
        <v>0</v>
      </c>
      <c r="IJ81" s="277">
        <v>1</v>
      </c>
      <c r="IK81" s="278">
        <v>0</v>
      </c>
      <c r="IL81" s="277">
        <v>1</v>
      </c>
      <c r="IM81" s="278">
        <v>0</v>
      </c>
      <c r="IN81" s="277">
        <v>1</v>
      </c>
      <c r="IO81" s="278">
        <v>0</v>
      </c>
      <c r="IP81" s="277">
        <v>1</v>
      </c>
      <c r="IQ81" s="278">
        <v>0</v>
      </c>
      <c r="IR81" s="277">
        <v>1</v>
      </c>
      <c r="IS81" s="278">
        <v>0</v>
      </c>
      <c r="IT81" s="277">
        <v>1</v>
      </c>
      <c r="IU81" s="278">
        <v>0</v>
      </c>
      <c r="IV81" s="277">
        <v>1</v>
      </c>
      <c r="IW81" s="278">
        <v>0</v>
      </c>
      <c r="IX81" s="277">
        <v>1</v>
      </c>
      <c r="IY81" s="278">
        <v>0</v>
      </c>
      <c r="IZ81" s="277">
        <v>1</v>
      </c>
      <c r="JA81" s="278">
        <v>0</v>
      </c>
      <c r="JB81" s="277">
        <v>1</v>
      </c>
      <c r="JC81" s="278">
        <v>0</v>
      </c>
      <c r="JD81" s="277">
        <v>1</v>
      </c>
      <c r="JE81" s="278">
        <v>0</v>
      </c>
      <c r="KB81" s="8"/>
    </row>
    <row r="82" spans="1:288">
      <c r="A82" s="207">
        <v>46100</v>
      </c>
      <c r="B82" s="270"/>
      <c r="C82" s="271"/>
      <c r="D82" s="271"/>
      <c r="E82" s="271"/>
      <c r="F82" s="271"/>
      <c r="G82" s="271"/>
      <c r="H82" s="272">
        <v>1</v>
      </c>
      <c r="I82" s="275">
        <f t="shared" si="22"/>
        <v>0</v>
      </c>
      <c r="J82" s="275">
        <f t="shared" si="23"/>
        <v>0</v>
      </c>
      <c r="K82" s="273">
        <f t="shared" si="24"/>
        <v>0</v>
      </c>
      <c r="L82" s="270"/>
      <c r="M82" s="271"/>
      <c r="N82" s="271"/>
      <c r="O82" s="271"/>
      <c r="P82" s="271"/>
      <c r="Q82" s="271"/>
      <c r="R82" s="272">
        <v>1</v>
      </c>
      <c r="S82" s="275">
        <f t="shared" si="25"/>
        <v>0</v>
      </c>
      <c r="T82" s="275">
        <f t="shared" si="26"/>
        <v>0</v>
      </c>
      <c r="U82" s="273">
        <f t="shared" si="27"/>
        <v>0</v>
      </c>
      <c r="V82" s="270"/>
      <c r="W82" s="271"/>
      <c r="X82" s="271"/>
      <c r="Y82" s="271"/>
      <c r="Z82" s="271"/>
      <c r="AA82" s="271"/>
      <c r="AB82" s="272">
        <v>1</v>
      </c>
      <c r="AC82" s="275">
        <f t="shared" si="28"/>
        <v>0</v>
      </c>
      <c r="AD82" s="275">
        <f t="shared" si="29"/>
        <v>0</v>
      </c>
      <c r="AE82" s="273">
        <f t="shared" si="30"/>
        <v>0</v>
      </c>
      <c r="AF82" s="270"/>
      <c r="AG82" s="271"/>
      <c r="AH82" s="271"/>
      <c r="AI82" s="271"/>
      <c r="AJ82" s="271"/>
      <c r="AK82" s="271"/>
      <c r="AL82" s="272">
        <v>1</v>
      </c>
      <c r="AM82" s="275">
        <f t="shared" si="31"/>
        <v>0</v>
      </c>
      <c r="AN82" s="275">
        <f t="shared" si="32"/>
        <v>0</v>
      </c>
      <c r="AO82" s="273">
        <f t="shared" si="33"/>
        <v>0</v>
      </c>
      <c r="AP82" s="270"/>
      <c r="AQ82" s="271"/>
      <c r="AR82" s="271"/>
      <c r="AS82" s="271"/>
      <c r="AT82" s="271"/>
      <c r="AU82" s="271"/>
      <c r="AV82" s="272">
        <v>1</v>
      </c>
      <c r="AW82" s="275">
        <f t="shared" si="34"/>
        <v>0</v>
      </c>
      <c r="AX82" s="275">
        <f t="shared" si="35"/>
        <v>0</v>
      </c>
      <c r="AY82" s="273">
        <f t="shared" si="36"/>
        <v>0</v>
      </c>
      <c r="AZ82" s="270"/>
      <c r="BA82" s="271"/>
      <c r="BB82" s="271"/>
      <c r="BC82" s="271"/>
      <c r="BD82" s="271"/>
      <c r="BE82" s="271"/>
      <c r="BF82" s="272">
        <v>1</v>
      </c>
      <c r="BG82" s="275">
        <f t="shared" si="37"/>
        <v>0</v>
      </c>
      <c r="BH82" s="275">
        <f t="shared" si="38"/>
        <v>0</v>
      </c>
      <c r="BI82" s="273">
        <f t="shared" si="39"/>
        <v>0</v>
      </c>
      <c r="BJ82" s="270"/>
      <c r="BK82" s="271"/>
      <c r="BL82" s="271"/>
      <c r="BM82" s="271"/>
      <c r="BN82" s="271"/>
      <c r="BO82" s="271"/>
      <c r="BP82" s="272">
        <v>1</v>
      </c>
      <c r="BQ82" s="275">
        <f t="shared" si="40"/>
        <v>0</v>
      </c>
      <c r="BR82" s="275">
        <f t="shared" si="41"/>
        <v>0</v>
      </c>
      <c r="BS82" s="273">
        <f t="shared" si="42"/>
        <v>0</v>
      </c>
      <c r="BT82" s="270"/>
      <c r="BU82" s="271"/>
      <c r="BV82" s="271"/>
      <c r="BW82" s="271"/>
      <c r="BX82" s="271"/>
      <c r="BY82" s="271"/>
      <c r="BZ82" s="272">
        <v>1</v>
      </c>
      <c r="CA82" s="275">
        <f t="shared" si="43"/>
        <v>0</v>
      </c>
      <c r="CB82" s="275">
        <f t="shared" si="44"/>
        <v>0</v>
      </c>
      <c r="CC82" s="273">
        <f t="shared" si="45"/>
        <v>0</v>
      </c>
      <c r="CD82" s="270"/>
      <c r="CE82" s="271"/>
      <c r="CF82" s="271"/>
      <c r="CG82" s="271"/>
      <c r="CH82" s="271"/>
      <c r="CI82" s="271"/>
      <c r="CJ82" s="272">
        <v>1</v>
      </c>
      <c r="CK82" s="275">
        <f t="shared" si="46"/>
        <v>0</v>
      </c>
      <c r="CL82" s="275">
        <f t="shared" si="47"/>
        <v>0</v>
      </c>
      <c r="CM82" s="273">
        <f t="shared" si="48"/>
        <v>0</v>
      </c>
      <c r="CN82" s="270"/>
      <c r="CO82" s="271"/>
      <c r="CP82" s="271"/>
      <c r="CQ82" s="271"/>
      <c r="CR82" s="271"/>
      <c r="CS82" s="271"/>
      <c r="CT82" s="272">
        <v>1</v>
      </c>
      <c r="CU82" s="275">
        <f t="shared" si="49"/>
        <v>0</v>
      </c>
      <c r="CV82" s="275">
        <f t="shared" si="50"/>
        <v>0</v>
      </c>
      <c r="CW82" s="273">
        <f t="shared" si="51"/>
        <v>0</v>
      </c>
      <c r="CX82" s="270"/>
      <c r="CY82" s="271"/>
      <c r="CZ82" s="271"/>
      <c r="DA82" s="271"/>
      <c r="DB82" s="271"/>
      <c r="DC82" s="271"/>
      <c r="DD82" s="272">
        <v>1</v>
      </c>
      <c r="DE82" s="275">
        <f t="shared" si="52"/>
        <v>0</v>
      </c>
      <c r="DF82" s="275">
        <f t="shared" si="53"/>
        <v>0</v>
      </c>
      <c r="DG82" s="273">
        <f t="shared" si="54"/>
        <v>0</v>
      </c>
      <c r="DH82" s="270"/>
      <c r="DI82" s="271"/>
      <c r="DJ82" s="271"/>
      <c r="DK82" s="271"/>
      <c r="DL82" s="271"/>
      <c r="DM82" s="271"/>
      <c r="DN82" s="272">
        <v>1</v>
      </c>
      <c r="DO82" s="275">
        <f t="shared" si="55"/>
        <v>0</v>
      </c>
      <c r="DP82" s="275">
        <f t="shared" si="56"/>
        <v>0</v>
      </c>
      <c r="DQ82" s="273">
        <f t="shared" si="57"/>
        <v>0</v>
      </c>
      <c r="DR82" s="270"/>
      <c r="DS82" s="271"/>
      <c r="DT82" s="271"/>
      <c r="DU82" s="271"/>
      <c r="DV82" s="271"/>
      <c r="DW82" s="271"/>
      <c r="DX82" s="272">
        <v>1</v>
      </c>
      <c r="DY82" s="275">
        <f t="shared" si="58"/>
        <v>0</v>
      </c>
      <c r="DZ82" s="275">
        <f t="shared" si="59"/>
        <v>0</v>
      </c>
      <c r="EA82" s="273">
        <f t="shared" si="60"/>
        <v>0</v>
      </c>
      <c r="EB82" s="270"/>
      <c r="EC82" s="271"/>
      <c r="ED82" s="271"/>
      <c r="EE82" s="271"/>
      <c r="EF82" s="271"/>
      <c r="EG82" s="271"/>
      <c r="EH82" s="272">
        <v>1</v>
      </c>
      <c r="EI82" s="275">
        <f t="shared" si="61"/>
        <v>0</v>
      </c>
      <c r="EJ82" s="275">
        <f t="shared" si="62"/>
        <v>0</v>
      </c>
      <c r="EK82" s="273">
        <f t="shared" si="63"/>
        <v>0</v>
      </c>
      <c r="EL82" s="270"/>
      <c r="EM82" s="271"/>
      <c r="EN82" s="271"/>
      <c r="EO82" s="271"/>
      <c r="EP82" s="271"/>
      <c r="EQ82" s="271"/>
      <c r="ER82" s="272">
        <v>1</v>
      </c>
      <c r="ES82" s="275">
        <f t="shared" si="64"/>
        <v>0</v>
      </c>
      <c r="ET82" s="275">
        <f t="shared" si="65"/>
        <v>0</v>
      </c>
      <c r="EU82" s="273">
        <f t="shared" si="66"/>
        <v>0</v>
      </c>
      <c r="EV82" s="270"/>
      <c r="EW82" s="271"/>
      <c r="EX82" s="271"/>
      <c r="EY82" s="271"/>
      <c r="EZ82" s="271"/>
      <c r="FA82" s="271"/>
      <c r="FB82" s="272">
        <v>1</v>
      </c>
      <c r="FC82" s="275">
        <f t="shared" si="67"/>
        <v>0</v>
      </c>
      <c r="FD82" s="275">
        <f t="shared" si="68"/>
        <v>0</v>
      </c>
      <c r="FE82" s="273">
        <f t="shared" si="69"/>
        <v>0</v>
      </c>
      <c r="FF82" s="270"/>
      <c r="FG82" s="271"/>
      <c r="FH82" s="271"/>
      <c r="FI82" s="271"/>
      <c r="FJ82" s="271"/>
      <c r="FK82" s="271"/>
      <c r="FL82" s="272">
        <v>1</v>
      </c>
      <c r="FM82" s="275">
        <f t="shared" si="70"/>
        <v>0</v>
      </c>
      <c r="FN82" s="275">
        <f t="shared" si="71"/>
        <v>0</v>
      </c>
      <c r="FO82" s="273">
        <f t="shared" si="72"/>
        <v>0</v>
      </c>
      <c r="FP82" s="270"/>
      <c r="FQ82" s="271"/>
      <c r="FR82" s="271"/>
      <c r="FS82" s="271"/>
      <c r="FT82" s="271"/>
      <c r="FU82" s="271"/>
      <c r="FV82" s="272">
        <v>1</v>
      </c>
      <c r="FW82" s="275">
        <f t="shared" si="73"/>
        <v>0</v>
      </c>
      <c r="FX82" s="275">
        <f t="shared" si="74"/>
        <v>0</v>
      </c>
      <c r="FY82" s="273">
        <f t="shared" si="75"/>
        <v>0</v>
      </c>
      <c r="FZ82" s="270"/>
      <c r="GA82" s="271"/>
      <c r="GB82" s="271"/>
      <c r="GC82" s="271"/>
      <c r="GD82" s="271"/>
      <c r="GE82" s="271"/>
      <c r="GF82" s="272">
        <v>1</v>
      </c>
      <c r="GG82" s="275">
        <f t="shared" si="76"/>
        <v>0</v>
      </c>
      <c r="GH82" s="275">
        <f t="shared" si="77"/>
        <v>0</v>
      </c>
      <c r="GI82" s="273">
        <f t="shared" si="78"/>
        <v>0</v>
      </c>
      <c r="GJ82" s="270"/>
      <c r="GK82" s="271"/>
      <c r="GL82" s="271"/>
      <c r="GM82" s="271"/>
      <c r="GN82" s="271"/>
      <c r="GO82" s="271"/>
      <c r="GP82" s="272">
        <v>1</v>
      </c>
      <c r="GQ82" s="275">
        <f t="shared" si="79"/>
        <v>0</v>
      </c>
      <c r="GR82" s="275">
        <f t="shared" si="80"/>
        <v>0</v>
      </c>
      <c r="GS82" s="273">
        <f t="shared" si="81"/>
        <v>0</v>
      </c>
      <c r="GT82" s="270"/>
      <c r="GU82" s="271"/>
      <c r="GV82" s="271"/>
      <c r="GW82" s="271"/>
      <c r="GX82" s="271"/>
      <c r="GY82" s="271"/>
      <c r="GZ82" s="272">
        <v>1</v>
      </c>
      <c r="HA82" s="275">
        <f t="shared" si="82"/>
        <v>0</v>
      </c>
      <c r="HB82" s="275">
        <f t="shared" si="83"/>
        <v>0</v>
      </c>
      <c r="HC82" s="273">
        <f t="shared" si="84"/>
        <v>0</v>
      </c>
      <c r="HD82" s="270"/>
      <c r="HE82" s="271"/>
      <c r="HF82" s="271"/>
      <c r="HG82" s="271"/>
      <c r="HH82" s="271"/>
      <c r="HI82" s="271"/>
      <c r="HJ82" s="272">
        <v>1</v>
      </c>
      <c r="HK82" s="275">
        <f t="shared" si="85"/>
        <v>0</v>
      </c>
      <c r="HL82" s="275">
        <f t="shared" si="86"/>
        <v>0</v>
      </c>
      <c r="HM82" s="273">
        <f t="shared" si="87"/>
        <v>0</v>
      </c>
      <c r="HN82" s="277">
        <v>1</v>
      </c>
      <c r="HO82" s="278">
        <v>0</v>
      </c>
      <c r="HP82" s="277">
        <v>1</v>
      </c>
      <c r="HQ82" s="278">
        <v>0</v>
      </c>
      <c r="HR82" s="277">
        <v>1</v>
      </c>
      <c r="HS82" s="278">
        <v>0</v>
      </c>
      <c r="HT82" s="277">
        <v>1</v>
      </c>
      <c r="HU82" s="278">
        <v>0</v>
      </c>
      <c r="HV82" s="277">
        <v>1</v>
      </c>
      <c r="HW82" s="278">
        <v>0</v>
      </c>
      <c r="HX82" s="277">
        <v>1</v>
      </c>
      <c r="HY82" s="278">
        <v>0</v>
      </c>
      <c r="HZ82" s="277">
        <v>1</v>
      </c>
      <c r="IA82" s="278">
        <v>0</v>
      </c>
      <c r="IB82" s="277">
        <v>1</v>
      </c>
      <c r="IC82" s="278">
        <v>0</v>
      </c>
      <c r="ID82" s="277">
        <v>1</v>
      </c>
      <c r="IE82" s="278">
        <v>0</v>
      </c>
      <c r="IF82" s="277">
        <v>1</v>
      </c>
      <c r="IG82" s="278">
        <v>0</v>
      </c>
      <c r="IH82" s="277">
        <v>1</v>
      </c>
      <c r="II82" s="278">
        <v>0</v>
      </c>
      <c r="IJ82" s="277">
        <v>1</v>
      </c>
      <c r="IK82" s="278">
        <v>0</v>
      </c>
      <c r="IL82" s="277">
        <v>1</v>
      </c>
      <c r="IM82" s="278">
        <v>0</v>
      </c>
      <c r="IN82" s="277">
        <v>1</v>
      </c>
      <c r="IO82" s="278">
        <v>0</v>
      </c>
      <c r="IP82" s="277">
        <v>1</v>
      </c>
      <c r="IQ82" s="278">
        <v>0</v>
      </c>
      <c r="IR82" s="277">
        <v>1</v>
      </c>
      <c r="IS82" s="278">
        <v>0</v>
      </c>
      <c r="IT82" s="277">
        <v>1</v>
      </c>
      <c r="IU82" s="278">
        <v>0</v>
      </c>
      <c r="IV82" s="277">
        <v>1</v>
      </c>
      <c r="IW82" s="278">
        <v>0</v>
      </c>
      <c r="IX82" s="277">
        <v>1</v>
      </c>
      <c r="IY82" s="278">
        <v>0</v>
      </c>
      <c r="IZ82" s="277">
        <v>1</v>
      </c>
      <c r="JA82" s="278">
        <v>0</v>
      </c>
      <c r="JB82" s="277">
        <v>1</v>
      </c>
      <c r="JC82" s="278">
        <v>0</v>
      </c>
      <c r="JD82" s="277">
        <v>1</v>
      </c>
      <c r="JE82" s="278">
        <v>0</v>
      </c>
      <c r="KB82" s="8"/>
    </row>
    <row r="83" spans="1:288">
      <c r="A83" s="207">
        <v>46101</v>
      </c>
      <c r="B83" s="270"/>
      <c r="C83" s="271"/>
      <c r="D83" s="271"/>
      <c r="E83" s="271"/>
      <c r="F83" s="271"/>
      <c r="G83" s="271"/>
      <c r="H83" s="272">
        <v>1</v>
      </c>
      <c r="I83" s="275">
        <f t="shared" si="22"/>
        <v>0</v>
      </c>
      <c r="J83" s="275">
        <f t="shared" si="23"/>
        <v>0</v>
      </c>
      <c r="K83" s="273">
        <f t="shared" si="24"/>
        <v>0</v>
      </c>
      <c r="L83" s="270"/>
      <c r="M83" s="271"/>
      <c r="N83" s="271"/>
      <c r="O83" s="271"/>
      <c r="P83" s="271"/>
      <c r="Q83" s="271"/>
      <c r="R83" s="272">
        <v>1</v>
      </c>
      <c r="S83" s="275">
        <f t="shared" si="25"/>
        <v>0</v>
      </c>
      <c r="T83" s="275">
        <f t="shared" si="26"/>
        <v>0</v>
      </c>
      <c r="U83" s="273">
        <f t="shared" si="27"/>
        <v>0</v>
      </c>
      <c r="V83" s="270"/>
      <c r="W83" s="271"/>
      <c r="X83" s="271"/>
      <c r="Y83" s="271"/>
      <c r="Z83" s="271"/>
      <c r="AA83" s="271"/>
      <c r="AB83" s="272">
        <v>1</v>
      </c>
      <c r="AC83" s="275">
        <f t="shared" si="28"/>
        <v>0</v>
      </c>
      <c r="AD83" s="275">
        <f t="shared" si="29"/>
        <v>0</v>
      </c>
      <c r="AE83" s="273">
        <f t="shared" si="30"/>
        <v>0</v>
      </c>
      <c r="AF83" s="270"/>
      <c r="AG83" s="271"/>
      <c r="AH83" s="271"/>
      <c r="AI83" s="271"/>
      <c r="AJ83" s="271"/>
      <c r="AK83" s="271"/>
      <c r="AL83" s="272">
        <v>1</v>
      </c>
      <c r="AM83" s="275">
        <f t="shared" si="31"/>
        <v>0</v>
      </c>
      <c r="AN83" s="275">
        <f t="shared" si="32"/>
        <v>0</v>
      </c>
      <c r="AO83" s="273">
        <f t="shared" si="33"/>
        <v>0</v>
      </c>
      <c r="AP83" s="270"/>
      <c r="AQ83" s="271"/>
      <c r="AR83" s="271"/>
      <c r="AS83" s="271"/>
      <c r="AT83" s="271"/>
      <c r="AU83" s="271"/>
      <c r="AV83" s="272">
        <v>1</v>
      </c>
      <c r="AW83" s="275">
        <f t="shared" si="34"/>
        <v>0</v>
      </c>
      <c r="AX83" s="275">
        <f t="shared" si="35"/>
        <v>0</v>
      </c>
      <c r="AY83" s="273">
        <f t="shared" si="36"/>
        <v>0</v>
      </c>
      <c r="AZ83" s="270"/>
      <c r="BA83" s="271"/>
      <c r="BB83" s="271"/>
      <c r="BC83" s="271"/>
      <c r="BD83" s="271"/>
      <c r="BE83" s="271"/>
      <c r="BF83" s="272">
        <v>1</v>
      </c>
      <c r="BG83" s="275">
        <f t="shared" si="37"/>
        <v>0</v>
      </c>
      <c r="BH83" s="275">
        <f t="shared" si="38"/>
        <v>0</v>
      </c>
      <c r="BI83" s="273">
        <f t="shared" si="39"/>
        <v>0</v>
      </c>
      <c r="BJ83" s="270"/>
      <c r="BK83" s="271"/>
      <c r="BL83" s="271"/>
      <c r="BM83" s="271"/>
      <c r="BN83" s="271"/>
      <c r="BO83" s="271"/>
      <c r="BP83" s="272">
        <v>1</v>
      </c>
      <c r="BQ83" s="275">
        <f t="shared" si="40"/>
        <v>0</v>
      </c>
      <c r="BR83" s="275">
        <f t="shared" si="41"/>
        <v>0</v>
      </c>
      <c r="BS83" s="273">
        <f t="shared" si="42"/>
        <v>0</v>
      </c>
      <c r="BT83" s="270"/>
      <c r="BU83" s="271"/>
      <c r="BV83" s="271"/>
      <c r="BW83" s="271"/>
      <c r="BX83" s="271"/>
      <c r="BY83" s="271"/>
      <c r="BZ83" s="272">
        <v>1</v>
      </c>
      <c r="CA83" s="275">
        <f t="shared" si="43"/>
        <v>0</v>
      </c>
      <c r="CB83" s="275">
        <f t="shared" si="44"/>
        <v>0</v>
      </c>
      <c r="CC83" s="273">
        <f t="shared" si="45"/>
        <v>0</v>
      </c>
      <c r="CD83" s="270"/>
      <c r="CE83" s="271"/>
      <c r="CF83" s="271"/>
      <c r="CG83" s="271"/>
      <c r="CH83" s="271"/>
      <c r="CI83" s="271"/>
      <c r="CJ83" s="272">
        <v>1</v>
      </c>
      <c r="CK83" s="275">
        <f t="shared" si="46"/>
        <v>0</v>
      </c>
      <c r="CL83" s="275">
        <f t="shared" si="47"/>
        <v>0</v>
      </c>
      <c r="CM83" s="273">
        <f t="shared" si="48"/>
        <v>0</v>
      </c>
      <c r="CN83" s="270"/>
      <c r="CO83" s="271"/>
      <c r="CP83" s="271"/>
      <c r="CQ83" s="271"/>
      <c r="CR83" s="271"/>
      <c r="CS83" s="271"/>
      <c r="CT83" s="272">
        <v>1</v>
      </c>
      <c r="CU83" s="275">
        <f t="shared" si="49"/>
        <v>0</v>
      </c>
      <c r="CV83" s="275">
        <f t="shared" si="50"/>
        <v>0</v>
      </c>
      <c r="CW83" s="273">
        <f t="shared" si="51"/>
        <v>0</v>
      </c>
      <c r="CX83" s="270"/>
      <c r="CY83" s="271"/>
      <c r="CZ83" s="271"/>
      <c r="DA83" s="271"/>
      <c r="DB83" s="271"/>
      <c r="DC83" s="271"/>
      <c r="DD83" s="272">
        <v>1</v>
      </c>
      <c r="DE83" s="275">
        <f t="shared" si="52"/>
        <v>0</v>
      </c>
      <c r="DF83" s="275">
        <f t="shared" si="53"/>
        <v>0</v>
      </c>
      <c r="DG83" s="273">
        <f t="shared" si="54"/>
        <v>0</v>
      </c>
      <c r="DH83" s="270"/>
      <c r="DI83" s="271"/>
      <c r="DJ83" s="271"/>
      <c r="DK83" s="271"/>
      <c r="DL83" s="271"/>
      <c r="DM83" s="271"/>
      <c r="DN83" s="272">
        <v>1</v>
      </c>
      <c r="DO83" s="275">
        <f t="shared" si="55"/>
        <v>0</v>
      </c>
      <c r="DP83" s="275">
        <f t="shared" si="56"/>
        <v>0</v>
      </c>
      <c r="DQ83" s="273">
        <f t="shared" si="57"/>
        <v>0</v>
      </c>
      <c r="DR83" s="270"/>
      <c r="DS83" s="271"/>
      <c r="DT83" s="271"/>
      <c r="DU83" s="271"/>
      <c r="DV83" s="271"/>
      <c r="DW83" s="271"/>
      <c r="DX83" s="272">
        <v>1</v>
      </c>
      <c r="DY83" s="275">
        <f t="shared" si="58"/>
        <v>0</v>
      </c>
      <c r="DZ83" s="275">
        <f t="shared" si="59"/>
        <v>0</v>
      </c>
      <c r="EA83" s="273">
        <f t="shared" si="60"/>
        <v>0</v>
      </c>
      <c r="EB83" s="270"/>
      <c r="EC83" s="271"/>
      <c r="ED83" s="271"/>
      <c r="EE83" s="271"/>
      <c r="EF83" s="271"/>
      <c r="EG83" s="271"/>
      <c r="EH83" s="272">
        <v>1</v>
      </c>
      <c r="EI83" s="275">
        <f t="shared" si="61"/>
        <v>0</v>
      </c>
      <c r="EJ83" s="275">
        <f t="shared" si="62"/>
        <v>0</v>
      </c>
      <c r="EK83" s="273">
        <f t="shared" si="63"/>
        <v>0</v>
      </c>
      <c r="EL83" s="270"/>
      <c r="EM83" s="271"/>
      <c r="EN83" s="271"/>
      <c r="EO83" s="271"/>
      <c r="EP83" s="271"/>
      <c r="EQ83" s="271"/>
      <c r="ER83" s="272">
        <v>1</v>
      </c>
      <c r="ES83" s="275">
        <f t="shared" si="64"/>
        <v>0</v>
      </c>
      <c r="ET83" s="275">
        <f t="shared" si="65"/>
        <v>0</v>
      </c>
      <c r="EU83" s="273">
        <f t="shared" si="66"/>
        <v>0</v>
      </c>
      <c r="EV83" s="270"/>
      <c r="EW83" s="271"/>
      <c r="EX83" s="271"/>
      <c r="EY83" s="271"/>
      <c r="EZ83" s="271"/>
      <c r="FA83" s="271"/>
      <c r="FB83" s="272">
        <v>1</v>
      </c>
      <c r="FC83" s="275">
        <f t="shared" si="67"/>
        <v>0</v>
      </c>
      <c r="FD83" s="275">
        <f t="shared" si="68"/>
        <v>0</v>
      </c>
      <c r="FE83" s="273">
        <f t="shared" si="69"/>
        <v>0</v>
      </c>
      <c r="FF83" s="270"/>
      <c r="FG83" s="271"/>
      <c r="FH83" s="271"/>
      <c r="FI83" s="271"/>
      <c r="FJ83" s="271"/>
      <c r="FK83" s="271"/>
      <c r="FL83" s="272">
        <v>1</v>
      </c>
      <c r="FM83" s="275">
        <f t="shared" si="70"/>
        <v>0</v>
      </c>
      <c r="FN83" s="275">
        <f t="shared" si="71"/>
        <v>0</v>
      </c>
      <c r="FO83" s="273">
        <f t="shared" si="72"/>
        <v>0</v>
      </c>
      <c r="FP83" s="270"/>
      <c r="FQ83" s="271"/>
      <c r="FR83" s="271"/>
      <c r="FS83" s="271"/>
      <c r="FT83" s="271"/>
      <c r="FU83" s="271"/>
      <c r="FV83" s="272">
        <v>1</v>
      </c>
      <c r="FW83" s="275">
        <f t="shared" si="73"/>
        <v>0</v>
      </c>
      <c r="FX83" s="275">
        <f t="shared" si="74"/>
        <v>0</v>
      </c>
      <c r="FY83" s="273">
        <f t="shared" si="75"/>
        <v>0</v>
      </c>
      <c r="FZ83" s="270"/>
      <c r="GA83" s="271"/>
      <c r="GB83" s="271"/>
      <c r="GC83" s="271"/>
      <c r="GD83" s="271"/>
      <c r="GE83" s="271"/>
      <c r="GF83" s="272">
        <v>1</v>
      </c>
      <c r="GG83" s="275">
        <f t="shared" si="76"/>
        <v>0</v>
      </c>
      <c r="GH83" s="275">
        <f t="shared" si="77"/>
        <v>0</v>
      </c>
      <c r="GI83" s="273">
        <f t="shared" si="78"/>
        <v>0</v>
      </c>
      <c r="GJ83" s="270"/>
      <c r="GK83" s="271"/>
      <c r="GL83" s="271"/>
      <c r="GM83" s="271"/>
      <c r="GN83" s="271"/>
      <c r="GO83" s="271"/>
      <c r="GP83" s="272">
        <v>1</v>
      </c>
      <c r="GQ83" s="275">
        <f t="shared" si="79"/>
        <v>0</v>
      </c>
      <c r="GR83" s="275">
        <f t="shared" si="80"/>
        <v>0</v>
      </c>
      <c r="GS83" s="273">
        <f t="shared" si="81"/>
        <v>0</v>
      </c>
      <c r="GT83" s="270"/>
      <c r="GU83" s="271"/>
      <c r="GV83" s="271"/>
      <c r="GW83" s="271"/>
      <c r="GX83" s="271"/>
      <c r="GY83" s="271"/>
      <c r="GZ83" s="272">
        <v>1</v>
      </c>
      <c r="HA83" s="275">
        <f t="shared" si="82"/>
        <v>0</v>
      </c>
      <c r="HB83" s="275">
        <f t="shared" si="83"/>
        <v>0</v>
      </c>
      <c r="HC83" s="273">
        <f t="shared" si="84"/>
        <v>0</v>
      </c>
      <c r="HD83" s="270"/>
      <c r="HE83" s="271"/>
      <c r="HF83" s="271"/>
      <c r="HG83" s="271"/>
      <c r="HH83" s="271"/>
      <c r="HI83" s="271"/>
      <c r="HJ83" s="272">
        <v>1</v>
      </c>
      <c r="HK83" s="275">
        <f t="shared" si="85"/>
        <v>0</v>
      </c>
      <c r="HL83" s="275">
        <f t="shared" si="86"/>
        <v>0</v>
      </c>
      <c r="HM83" s="273">
        <f t="shared" si="87"/>
        <v>0</v>
      </c>
      <c r="HN83" s="277">
        <v>1</v>
      </c>
      <c r="HO83" s="278">
        <v>0</v>
      </c>
      <c r="HP83" s="277">
        <v>1</v>
      </c>
      <c r="HQ83" s="278">
        <v>0</v>
      </c>
      <c r="HR83" s="277">
        <v>1</v>
      </c>
      <c r="HS83" s="278">
        <v>0</v>
      </c>
      <c r="HT83" s="277">
        <v>1</v>
      </c>
      <c r="HU83" s="278">
        <v>0</v>
      </c>
      <c r="HV83" s="277">
        <v>1</v>
      </c>
      <c r="HW83" s="278">
        <v>0</v>
      </c>
      <c r="HX83" s="277">
        <v>1</v>
      </c>
      <c r="HY83" s="278">
        <v>0</v>
      </c>
      <c r="HZ83" s="277">
        <v>1</v>
      </c>
      <c r="IA83" s="278">
        <v>0</v>
      </c>
      <c r="IB83" s="277">
        <v>1</v>
      </c>
      <c r="IC83" s="278">
        <v>0</v>
      </c>
      <c r="ID83" s="277">
        <v>1</v>
      </c>
      <c r="IE83" s="278">
        <v>0</v>
      </c>
      <c r="IF83" s="277">
        <v>1</v>
      </c>
      <c r="IG83" s="278">
        <v>0</v>
      </c>
      <c r="IH83" s="277">
        <v>1</v>
      </c>
      <c r="II83" s="278">
        <v>0</v>
      </c>
      <c r="IJ83" s="277">
        <v>1</v>
      </c>
      <c r="IK83" s="278">
        <v>0</v>
      </c>
      <c r="IL83" s="277">
        <v>1</v>
      </c>
      <c r="IM83" s="278">
        <v>0</v>
      </c>
      <c r="IN83" s="277">
        <v>1</v>
      </c>
      <c r="IO83" s="278">
        <v>0</v>
      </c>
      <c r="IP83" s="277">
        <v>1</v>
      </c>
      <c r="IQ83" s="278">
        <v>0</v>
      </c>
      <c r="IR83" s="277">
        <v>1</v>
      </c>
      <c r="IS83" s="278">
        <v>0</v>
      </c>
      <c r="IT83" s="277">
        <v>1</v>
      </c>
      <c r="IU83" s="278">
        <v>0</v>
      </c>
      <c r="IV83" s="277">
        <v>1</v>
      </c>
      <c r="IW83" s="278">
        <v>0</v>
      </c>
      <c r="IX83" s="277">
        <v>1</v>
      </c>
      <c r="IY83" s="278">
        <v>0</v>
      </c>
      <c r="IZ83" s="277">
        <v>1</v>
      </c>
      <c r="JA83" s="278">
        <v>0</v>
      </c>
      <c r="JB83" s="277">
        <v>1</v>
      </c>
      <c r="JC83" s="278">
        <v>0</v>
      </c>
      <c r="JD83" s="277">
        <v>1</v>
      </c>
      <c r="JE83" s="278">
        <v>0</v>
      </c>
      <c r="KB83" s="8"/>
    </row>
    <row r="84" spans="1:288">
      <c r="A84" s="207">
        <v>46102</v>
      </c>
      <c r="B84" s="270"/>
      <c r="C84" s="271"/>
      <c r="D84" s="271"/>
      <c r="E84" s="271"/>
      <c r="F84" s="271"/>
      <c r="G84" s="271"/>
      <c r="H84" s="272">
        <v>1</v>
      </c>
      <c r="I84" s="275">
        <f t="shared" si="22"/>
        <v>0</v>
      </c>
      <c r="J84" s="275">
        <f t="shared" si="23"/>
        <v>0</v>
      </c>
      <c r="K84" s="273">
        <f t="shared" si="24"/>
        <v>0</v>
      </c>
      <c r="L84" s="270"/>
      <c r="M84" s="271"/>
      <c r="N84" s="271"/>
      <c r="O84" s="271"/>
      <c r="P84" s="271"/>
      <c r="Q84" s="271"/>
      <c r="R84" s="272">
        <v>1</v>
      </c>
      <c r="S84" s="275">
        <f t="shared" si="25"/>
        <v>0</v>
      </c>
      <c r="T84" s="275">
        <f t="shared" si="26"/>
        <v>0</v>
      </c>
      <c r="U84" s="273">
        <f t="shared" si="27"/>
        <v>0</v>
      </c>
      <c r="V84" s="270"/>
      <c r="W84" s="271"/>
      <c r="X84" s="271"/>
      <c r="Y84" s="271"/>
      <c r="Z84" s="271"/>
      <c r="AA84" s="271"/>
      <c r="AB84" s="272">
        <v>1</v>
      </c>
      <c r="AC84" s="275">
        <f t="shared" si="28"/>
        <v>0</v>
      </c>
      <c r="AD84" s="275">
        <f t="shared" si="29"/>
        <v>0</v>
      </c>
      <c r="AE84" s="273">
        <f t="shared" si="30"/>
        <v>0</v>
      </c>
      <c r="AF84" s="270"/>
      <c r="AG84" s="271"/>
      <c r="AH84" s="271"/>
      <c r="AI84" s="271"/>
      <c r="AJ84" s="271"/>
      <c r="AK84" s="271"/>
      <c r="AL84" s="272">
        <v>1</v>
      </c>
      <c r="AM84" s="275">
        <f t="shared" si="31"/>
        <v>0</v>
      </c>
      <c r="AN84" s="275">
        <f t="shared" si="32"/>
        <v>0</v>
      </c>
      <c r="AO84" s="273">
        <f t="shared" si="33"/>
        <v>0</v>
      </c>
      <c r="AP84" s="270"/>
      <c r="AQ84" s="271"/>
      <c r="AR84" s="271"/>
      <c r="AS84" s="271"/>
      <c r="AT84" s="271"/>
      <c r="AU84" s="271"/>
      <c r="AV84" s="272">
        <v>1</v>
      </c>
      <c r="AW84" s="275">
        <f t="shared" si="34"/>
        <v>0</v>
      </c>
      <c r="AX84" s="275">
        <f t="shared" si="35"/>
        <v>0</v>
      </c>
      <c r="AY84" s="273">
        <f t="shared" si="36"/>
        <v>0</v>
      </c>
      <c r="AZ84" s="270"/>
      <c r="BA84" s="271"/>
      <c r="BB84" s="271"/>
      <c r="BC84" s="271"/>
      <c r="BD84" s="271"/>
      <c r="BE84" s="271"/>
      <c r="BF84" s="272">
        <v>1</v>
      </c>
      <c r="BG84" s="275">
        <f t="shared" si="37"/>
        <v>0</v>
      </c>
      <c r="BH84" s="275">
        <f t="shared" si="38"/>
        <v>0</v>
      </c>
      <c r="BI84" s="273">
        <f t="shared" si="39"/>
        <v>0</v>
      </c>
      <c r="BJ84" s="270"/>
      <c r="BK84" s="271"/>
      <c r="BL84" s="271"/>
      <c r="BM84" s="271"/>
      <c r="BN84" s="271"/>
      <c r="BO84" s="271"/>
      <c r="BP84" s="272">
        <v>1</v>
      </c>
      <c r="BQ84" s="275">
        <f t="shared" si="40"/>
        <v>0</v>
      </c>
      <c r="BR84" s="275">
        <f t="shared" si="41"/>
        <v>0</v>
      </c>
      <c r="BS84" s="273">
        <f t="shared" si="42"/>
        <v>0</v>
      </c>
      <c r="BT84" s="270"/>
      <c r="BU84" s="271"/>
      <c r="BV84" s="271"/>
      <c r="BW84" s="271"/>
      <c r="BX84" s="271"/>
      <c r="BY84" s="271"/>
      <c r="BZ84" s="272">
        <v>1</v>
      </c>
      <c r="CA84" s="275">
        <f t="shared" si="43"/>
        <v>0</v>
      </c>
      <c r="CB84" s="275">
        <f t="shared" si="44"/>
        <v>0</v>
      </c>
      <c r="CC84" s="273">
        <f t="shared" si="45"/>
        <v>0</v>
      </c>
      <c r="CD84" s="270"/>
      <c r="CE84" s="271"/>
      <c r="CF84" s="271"/>
      <c r="CG84" s="271"/>
      <c r="CH84" s="271"/>
      <c r="CI84" s="271"/>
      <c r="CJ84" s="272">
        <v>1</v>
      </c>
      <c r="CK84" s="275">
        <f t="shared" si="46"/>
        <v>0</v>
      </c>
      <c r="CL84" s="275">
        <f t="shared" si="47"/>
        <v>0</v>
      </c>
      <c r="CM84" s="273">
        <f t="shared" si="48"/>
        <v>0</v>
      </c>
      <c r="CN84" s="270"/>
      <c r="CO84" s="271"/>
      <c r="CP84" s="271"/>
      <c r="CQ84" s="271"/>
      <c r="CR84" s="271"/>
      <c r="CS84" s="271"/>
      <c r="CT84" s="272">
        <v>1</v>
      </c>
      <c r="CU84" s="275">
        <f t="shared" si="49"/>
        <v>0</v>
      </c>
      <c r="CV84" s="275">
        <f t="shared" si="50"/>
        <v>0</v>
      </c>
      <c r="CW84" s="273">
        <f t="shared" si="51"/>
        <v>0</v>
      </c>
      <c r="CX84" s="270"/>
      <c r="CY84" s="271"/>
      <c r="CZ84" s="271"/>
      <c r="DA84" s="271"/>
      <c r="DB84" s="271"/>
      <c r="DC84" s="271"/>
      <c r="DD84" s="272">
        <v>1</v>
      </c>
      <c r="DE84" s="275">
        <f t="shared" si="52"/>
        <v>0</v>
      </c>
      <c r="DF84" s="275">
        <f t="shared" si="53"/>
        <v>0</v>
      </c>
      <c r="DG84" s="273">
        <f t="shared" si="54"/>
        <v>0</v>
      </c>
      <c r="DH84" s="270"/>
      <c r="DI84" s="271"/>
      <c r="DJ84" s="271"/>
      <c r="DK84" s="271"/>
      <c r="DL84" s="271"/>
      <c r="DM84" s="271"/>
      <c r="DN84" s="272">
        <v>1</v>
      </c>
      <c r="DO84" s="275">
        <f t="shared" si="55"/>
        <v>0</v>
      </c>
      <c r="DP84" s="275">
        <f t="shared" si="56"/>
        <v>0</v>
      </c>
      <c r="DQ84" s="273">
        <f t="shared" si="57"/>
        <v>0</v>
      </c>
      <c r="DR84" s="270"/>
      <c r="DS84" s="271"/>
      <c r="DT84" s="271"/>
      <c r="DU84" s="271"/>
      <c r="DV84" s="271"/>
      <c r="DW84" s="271"/>
      <c r="DX84" s="272">
        <v>1</v>
      </c>
      <c r="DY84" s="275">
        <f t="shared" si="58"/>
        <v>0</v>
      </c>
      <c r="DZ84" s="275">
        <f t="shared" si="59"/>
        <v>0</v>
      </c>
      <c r="EA84" s="273">
        <f t="shared" si="60"/>
        <v>0</v>
      </c>
      <c r="EB84" s="270"/>
      <c r="EC84" s="271"/>
      <c r="ED84" s="271"/>
      <c r="EE84" s="271"/>
      <c r="EF84" s="271"/>
      <c r="EG84" s="271"/>
      <c r="EH84" s="272">
        <v>1</v>
      </c>
      <c r="EI84" s="275">
        <f t="shared" si="61"/>
        <v>0</v>
      </c>
      <c r="EJ84" s="275">
        <f t="shared" si="62"/>
        <v>0</v>
      </c>
      <c r="EK84" s="273">
        <f t="shared" si="63"/>
        <v>0</v>
      </c>
      <c r="EL84" s="270"/>
      <c r="EM84" s="271"/>
      <c r="EN84" s="271"/>
      <c r="EO84" s="271"/>
      <c r="EP84" s="271"/>
      <c r="EQ84" s="271"/>
      <c r="ER84" s="272">
        <v>1</v>
      </c>
      <c r="ES84" s="275">
        <f t="shared" si="64"/>
        <v>0</v>
      </c>
      <c r="ET84" s="275">
        <f t="shared" si="65"/>
        <v>0</v>
      </c>
      <c r="EU84" s="273">
        <f t="shared" si="66"/>
        <v>0</v>
      </c>
      <c r="EV84" s="270"/>
      <c r="EW84" s="271"/>
      <c r="EX84" s="271"/>
      <c r="EY84" s="271"/>
      <c r="EZ84" s="271"/>
      <c r="FA84" s="271"/>
      <c r="FB84" s="272">
        <v>1</v>
      </c>
      <c r="FC84" s="275">
        <f t="shared" si="67"/>
        <v>0</v>
      </c>
      <c r="FD84" s="275">
        <f t="shared" si="68"/>
        <v>0</v>
      </c>
      <c r="FE84" s="273">
        <f t="shared" si="69"/>
        <v>0</v>
      </c>
      <c r="FF84" s="270"/>
      <c r="FG84" s="271"/>
      <c r="FH84" s="271"/>
      <c r="FI84" s="271"/>
      <c r="FJ84" s="271"/>
      <c r="FK84" s="271"/>
      <c r="FL84" s="272">
        <v>1</v>
      </c>
      <c r="FM84" s="275">
        <f t="shared" si="70"/>
        <v>0</v>
      </c>
      <c r="FN84" s="275">
        <f t="shared" si="71"/>
        <v>0</v>
      </c>
      <c r="FO84" s="273">
        <f t="shared" si="72"/>
        <v>0</v>
      </c>
      <c r="FP84" s="270"/>
      <c r="FQ84" s="271"/>
      <c r="FR84" s="271"/>
      <c r="FS84" s="271"/>
      <c r="FT84" s="271"/>
      <c r="FU84" s="271"/>
      <c r="FV84" s="272">
        <v>1</v>
      </c>
      <c r="FW84" s="275">
        <f t="shared" si="73"/>
        <v>0</v>
      </c>
      <c r="FX84" s="275">
        <f t="shared" si="74"/>
        <v>0</v>
      </c>
      <c r="FY84" s="273">
        <f t="shared" si="75"/>
        <v>0</v>
      </c>
      <c r="FZ84" s="270"/>
      <c r="GA84" s="271"/>
      <c r="GB84" s="271"/>
      <c r="GC84" s="271"/>
      <c r="GD84" s="271"/>
      <c r="GE84" s="271"/>
      <c r="GF84" s="272">
        <v>1</v>
      </c>
      <c r="GG84" s="275">
        <f t="shared" si="76"/>
        <v>0</v>
      </c>
      <c r="GH84" s="275">
        <f t="shared" si="77"/>
        <v>0</v>
      </c>
      <c r="GI84" s="273">
        <f t="shared" si="78"/>
        <v>0</v>
      </c>
      <c r="GJ84" s="270"/>
      <c r="GK84" s="271"/>
      <c r="GL84" s="271"/>
      <c r="GM84" s="271"/>
      <c r="GN84" s="271"/>
      <c r="GO84" s="271"/>
      <c r="GP84" s="272">
        <v>1</v>
      </c>
      <c r="GQ84" s="275">
        <f t="shared" si="79"/>
        <v>0</v>
      </c>
      <c r="GR84" s="275">
        <f t="shared" si="80"/>
        <v>0</v>
      </c>
      <c r="GS84" s="273">
        <f t="shared" si="81"/>
        <v>0</v>
      </c>
      <c r="GT84" s="270"/>
      <c r="GU84" s="271"/>
      <c r="GV84" s="271"/>
      <c r="GW84" s="271"/>
      <c r="GX84" s="271"/>
      <c r="GY84" s="271"/>
      <c r="GZ84" s="272">
        <v>1</v>
      </c>
      <c r="HA84" s="275">
        <f t="shared" si="82"/>
        <v>0</v>
      </c>
      <c r="HB84" s="275">
        <f t="shared" si="83"/>
        <v>0</v>
      </c>
      <c r="HC84" s="273">
        <f t="shared" si="84"/>
        <v>0</v>
      </c>
      <c r="HD84" s="270"/>
      <c r="HE84" s="271"/>
      <c r="HF84" s="271"/>
      <c r="HG84" s="271"/>
      <c r="HH84" s="271"/>
      <c r="HI84" s="271"/>
      <c r="HJ84" s="272">
        <v>1</v>
      </c>
      <c r="HK84" s="275">
        <f t="shared" si="85"/>
        <v>0</v>
      </c>
      <c r="HL84" s="275">
        <f t="shared" si="86"/>
        <v>0</v>
      </c>
      <c r="HM84" s="273">
        <f t="shared" si="87"/>
        <v>0</v>
      </c>
      <c r="HN84" s="277">
        <v>1</v>
      </c>
      <c r="HO84" s="278">
        <v>0</v>
      </c>
      <c r="HP84" s="277">
        <v>1</v>
      </c>
      <c r="HQ84" s="278">
        <v>0</v>
      </c>
      <c r="HR84" s="277">
        <v>1</v>
      </c>
      <c r="HS84" s="278">
        <v>0</v>
      </c>
      <c r="HT84" s="277">
        <v>1</v>
      </c>
      <c r="HU84" s="278">
        <v>0</v>
      </c>
      <c r="HV84" s="277">
        <v>1</v>
      </c>
      <c r="HW84" s="278">
        <v>0</v>
      </c>
      <c r="HX84" s="277">
        <v>1</v>
      </c>
      <c r="HY84" s="278">
        <v>0</v>
      </c>
      <c r="HZ84" s="277">
        <v>1</v>
      </c>
      <c r="IA84" s="278">
        <v>0</v>
      </c>
      <c r="IB84" s="277">
        <v>1</v>
      </c>
      <c r="IC84" s="278">
        <v>0</v>
      </c>
      <c r="ID84" s="277">
        <v>1</v>
      </c>
      <c r="IE84" s="278">
        <v>0</v>
      </c>
      <c r="IF84" s="277">
        <v>1</v>
      </c>
      <c r="IG84" s="278">
        <v>0</v>
      </c>
      <c r="IH84" s="277">
        <v>1</v>
      </c>
      <c r="II84" s="278">
        <v>0</v>
      </c>
      <c r="IJ84" s="277">
        <v>1</v>
      </c>
      <c r="IK84" s="278">
        <v>0</v>
      </c>
      <c r="IL84" s="277">
        <v>1</v>
      </c>
      <c r="IM84" s="278">
        <v>0</v>
      </c>
      <c r="IN84" s="277">
        <v>1</v>
      </c>
      <c r="IO84" s="278">
        <v>0</v>
      </c>
      <c r="IP84" s="277">
        <v>1</v>
      </c>
      <c r="IQ84" s="278">
        <v>0</v>
      </c>
      <c r="IR84" s="277">
        <v>1</v>
      </c>
      <c r="IS84" s="278">
        <v>0</v>
      </c>
      <c r="IT84" s="277">
        <v>1</v>
      </c>
      <c r="IU84" s="278">
        <v>0</v>
      </c>
      <c r="IV84" s="277">
        <v>1</v>
      </c>
      <c r="IW84" s="278">
        <v>0</v>
      </c>
      <c r="IX84" s="277">
        <v>1</v>
      </c>
      <c r="IY84" s="278">
        <v>0</v>
      </c>
      <c r="IZ84" s="277">
        <v>1</v>
      </c>
      <c r="JA84" s="278">
        <v>0</v>
      </c>
      <c r="JB84" s="277">
        <v>1</v>
      </c>
      <c r="JC84" s="278">
        <v>0</v>
      </c>
      <c r="JD84" s="277">
        <v>1</v>
      </c>
      <c r="JE84" s="278">
        <v>0</v>
      </c>
      <c r="KB84" s="8"/>
    </row>
    <row r="85" spans="1:288">
      <c r="A85" s="207">
        <v>46103</v>
      </c>
      <c r="B85" s="270"/>
      <c r="C85" s="271"/>
      <c r="D85" s="271"/>
      <c r="E85" s="271"/>
      <c r="F85" s="271"/>
      <c r="G85" s="271"/>
      <c r="H85" s="272">
        <v>1</v>
      </c>
      <c r="I85" s="275">
        <f t="shared" si="22"/>
        <v>0</v>
      </c>
      <c r="J85" s="275">
        <f t="shared" si="23"/>
        <v>0</v>
      </c>
      <c r="K85" s="273">
        <f t="shared" si="24"/>
        <v>0</v>
      </c>
      <c r="L85" s="270"/>
      <c r="M85" s="271"/>
      <c r="N85" s="271"/>
      <c r="O85" s="271"/>
      <c r="P85" s="271"/>
      <c r="Q85" s="271"/>
      <c r="R85" s="272">
        <v>1</v>
      </c>
      <c r="S85" s="275">
        <f t="shared" si="25"/>
        <v>0</v>
      </c>
      <c r="T85" s="275">
        <f t="shared" si="26"/>
        <v>0</v>
      </c>
      <c r="U85" s="273">
        <f t="shared" si="27"/>
        <v>0</v>
      </c>
      <c r="V85" s="270"/>
      <c r="W85" s="271"/>
      <c r="X85" s="271"/>
      <c r="Y85" s="271"/>
      <c r="Z85" s="271"/>
      <c r="AA85" s="271"/>
      <c r="AB85" s="272">
        <v>1</v>
      </c>
      <c r="AC85" s="275">
        <f t="shared" si="28"/>
        <v>0</v>
      </c>
      <c r="AD85" s="275">
        <f t="shared" si="29"/>
        <v>0</v>
      </c>
      <c r="AE85" s="273">
        <f t="shared" si="30"/>
        <v>0</v>
      </c>
      <c r="AF85" s="270"/>
      <c r="AG85" s="271"/>
      <c r="AH85" s="271"/>
      <c r="AI85" s="271"/>
      <c r="AJ85" s="271"/>
      <c r="AK85" s="271"/>
      <c r="AL85" s="272">
        <v>1</v>
      </c>
      <c r="AM85" s="275">
        <f t="shared" si="31"/>
        <v>0</v>
      </c>
      <c r="AN85" s="275">
        <f t="shared" si="32"/>
        <v>0</v>
      </c>
      <c r="AO85" s="273">
        <f t="shared" si="33"/>
        <v>0</v>
      </c>
      <c r="AP85" s="270"/>
      <c r="AQ85" s="271"/>
      <c r="AR85" s="271"/>
      <c r="AS85" s="271"/>
      <c r="AT85" s="271"/>
      <c r="AU85" s="271"/>
      <c r="AV85" s="272">
        <v>1</v>
      </c>
      <c r="AW85" s="275">
        <f t="shared" si="34"/>
        <v>0</v>
      </c>
      <c r="AX85" s="275">
        <f t="shared" si="35"/>
        <v>0</v>
      </c>
      <c r="AY85" s="273">
        <f t="shared" si="36"/>
        <v>0</v>
      </c>
      <c r="AZ85" s="270"/>
      <c r="BA85" s="271"/>
      <c r="BB85" s="271"/>
      <c r="BC85" s="271"/>
      <c r="BD85" s="271"/>
      <c r="BE85" s="271"/>
      <c r="BF85" s="272">
        <v>1</v>
      </c>
      <c r="BG85" s="275">
        <f t="shared" si="37"/>
        <v>0</v>
      </c>
      <c r="BH85" s="275">
        <f t="shared" si="38"/>
        <v>0</v>
      </c>
      <c r="BI85" s="273">
        <f t="shared" si="39"/>
        <v>0</v>
      </c>
      <c r="BJ85" s="270"/>
      <c r="BK85" s="271"/>
      <c r="BL85" s="271"/>
      <c r="BM85" s="271"/>
      <c r="BN85" s="271"/>
      <c r="BO85" s="271"/>
      <c r="BP85" s="272">
        <v>1</v>
      </c>
      <c r="BQ85" s="275">
        <f t="shared" si="40"/>
        <v>0</v>
      </c>
      <c r="BR85" s="275">
        <f t="shared" si="41"/>
        <v>0</v>
      </c>
      <c r="BS85" s="273">
        <f t="shared" si="42"/>
        <v>0</v>
      </c>
      <c r="BT85" s="270"/>
      <c r="BU85" s="271"/>
      <c r="BV85" s="271"/>
      <c r="BW85" s="271"/>
      <c r="BX85" s="271"/>
      <c r="BY85" s="271"/>
      <c r="BZ85" s="272">
        <v>1</v>
      </c>
      <c r="CA85" s="275">
        <f t="shared" si="43"/>
        <v>0</v>
      </c>
      <c r="CB85" s="275">
        <f t="shared" si="44"/>
        <v>0</v>
      </c>
      <c r="CC85" s="273">
        <f t="shared" si="45"/>
        <v>0</v>
      </c>
      <c r="CD85" s="270"/>
      <c r="CE85" s="271"/>
      <c r="CF85" s="271"/>
      <c r="CG85" s="271"/>
      <c r="CH85" s="271"/>
      <c r="CI85" s="271"/>
      <c r="CJ85" s="272">
        <v>1</v>
      </c>
      <c r="CK85" s="275">
        <f t="shared" si="46"/>
        <v>0</v>
      </c>
      <c r="CL85" s="275">
        <f t="shared" si="47"/>
        <v>0</v>
      </c>
      <c r="CM85" s="273">
        <f t="shared" si="48"/>
        <v>0</v>
      </c>
      <c r="CN85" s="270"/>
      <c r="CO85" s="271"/>
      <c r="CP85" s="271"/>
      <c r="CQ85" s="271"/>
      <c r="CR85" s="271"/>
      <c r="CS85" s="271"/>
      <c r="CT85" s="272">
        <v>1</v>
      </c>
      <c r="CU85" s="275">
        <f t="shared" si="49"/>
        <v>0</v>
      </c>
      <c r="CV85" s="275">
        <f t="shared" si="50"/>
        <v>0</v>
      </c>
      <c r="CW85" s="273">
        <f t="shared" si="51"/>
        <v>0</v>
      </c>
      <c r="CX85" s="270"/>
      <c r="CY85" s="271"/>
      <c r="CZ85" s="271"/>
      <c r="DA85" s="271"/>
      <c r="DB85" s="271"/>
      <c r="DC85" s="271"/>
      <c r="DD85" s="272">
        <v>1</v>
      </c>
      <c r="DE85" s="275">
        <f t="shared" si="52"/>
        <v>0</v>
      </c>
      <c r="DF85" s="275">
        <f t="shared" si="53"/>
        <v>0</v>
      </c>
      <c r="DG85" s="273">
        <f t="shared" si="54"/>
        <v>0</v>
      </c>
      <c r="DH85" s="270"/>
      <c r="DI85" s="271"/>
      <c r="DJ85" s="271"/>
      <c r="DK85" s="271"/>
      <c r="DL85" s="271"/>
      <c r="DM85" s="271"/>
      <c r="DN85" s="272">
        <v>1</v>
      </c>
      <c r="DO85" s="275">
        <f t="shared" si="55"/>
        <v>0</v>
      </c>
      <c r="DP85" s="275">
        <f t="shared" si="56"/>
        <v>0</v>
      </c>
      <c r="DQ85" s="273">
        <f t="shared" si="57"/>
        <v>0</v>
      </c>
      <c r="DR85" s="270"/>
      <c r="DS85" s="271"/>
      <c r="DT85" s="271"/>
      <c r="DU85" s="271"/>
      <c r="DV85" s="271"/>
      <c r="DW85" s="271"/>
      <c r="DX85" s="272">
        <v>1</v>
      </c>
      <c r="DY85" s="275">
        <f t="shared" si="58"/>
        <v>0</v>
      </c>
      <c r="DZ85" s="275">
        <f t="shared" si="59"/>
        <v>0</v>
      </c>
      <c r="EA85" s="273">
        <f t="shared" si="60"/>
        <v>0</v>
      </c>
      <c r="EB85" s="270"/>
      <c r="EC85" s="271"/>
      <c r="ED85" s="271"/>
      <c r="EE85" s="271"/>
      <c r="EF85" s="271"/>
      <c r="EG85" s="271"/>
      <c r="EH85" s="272">
        <v>1</v>
      </c>
      <c r="EI85" s="275">
        <f t="shared" si="61"/>
        <v>0</v>
      </c>
      <c r="EJ85" s="275">
        <f t="shared" si="62"/>
        <v>0</v>
      </c>
      <c r="EK85" s="273">
        <f t="shared" si="63"/>
        <v>0</v>
      </c>
      <c r="EL85" s="270"/>
      <c r="EM85" s="271"/>
      <c r="EN85" s="271"/>
      <c r="EO85" s="271"/>
      <c r="EP85" s="271"/>
      <c r="EQ85" s="271"/>
      <c r="ER85" s="272">
        <v>1</v>
      </c>
      <c r="ES85" s="275">
        <f t="shared" si="64"/>
        <v>0</v>
      </c>
      <c r="ET85" s="275">
        <f t="shared" si="65"/>
        <v>0</v>
      </c>
      <c r="EU85" s="273">
        <f t="shared" si="66"/>
        <v>0</v>
      </c>
      <c r="EV85" s="270"/>
      <c r="EW85" s="271"/>
      <c r="EX85" s="271"/>
      <c r="EY85" s="271"/>
      <c r="EZ85" s="271"/>
      <c r="FA85" s="271"/>
      <c r="FB85" s="272">
        <v>1</v>
      </c>
      <c r="FC85" s="275">
        <f t="shared" si="67"/>
        <v>0</v>
      </c>
      <c r="FD85" s="275">
        <f t="shared" si="68"/>
        <v>0</v>
      </c>
      <c r="FE85" s="273">
        <f t="shared" si="69"/>
        <v>0</v>
      </c>
      <c r="FF85" s="270"/>
      <c r="FG85" s="271"/>
      <c r="FH85" s="271"/>
      <c r="FI85" s="271"/>
      <c r="FJ85" s="271"/>
      <c r="FK85" s="271"/>
      <c r="FL85" s="272">
        <v>1</v>
      </c>
      <c r="FM85" s="275">
        <f t="shared" si="70"/>
        <v>0</v>
      </c>
      <c r="FN85" s="275">
        <f t="shared" si="71"/>
        <v>0</v>
      </c>
      <c r="FO85" s="273">
        <f t="shared" si="72"/>
        <v>0</v>
      </c>
      <c r="FP85" s="270"/>
      <c r="FQ85" s="271"/>
      <c r="FR85" s="271"/>
      <c r="FS85" s="271"/>
      <c r="FT85" s="271"/>
      <c r="FU85" s="271"/>
      <c r="FV85" s="272">
        <v>1</v>
      </c>
      <c r="FW85" s="275">
        <f t="shared" si="73"/>
        <v>0</v>
      </c>
      <c r="FX85" s="275">
        <f t="shared" si="74"/>
        <v>0</v>
      </c>
      <c r="FY85" s="273">
        <f t="shared" si="75"/>
        <v>0</v>
      </c>
      <c r="FZ85" s="270"/>
      <c r="GA85" s="271"/>
      <c r="GB85" s="271"/>
      <c r="GC85" s="271"/>
      <c r="GD85" s="271"/>
      <c r="GE85" s="271"/>
      <c r="GF85" s="272">
        <v>1</v>
      </c>
      <c r="GG85" s="275">
        <f t="shared" si="76"/>
        <v>0</v>
      </c>
      <c r="GH85" s="275">
        <f t="shared" si="77"/>
        <v>0</v>
      </c>
      <c r="GI85" s="273">
        <f t="shared" si="78"/>
        <v>0</v>
      </c>
      <c r="GJ85" s="270"/>
      <c r="GK85" s="271"/>
      <c r="GL85" s="271"/>
      <c r="GM85" s="271"/>
      <c r="GN85" s="271"/>
      <c r="GO85" s="271"/>
      <c r="GP85" s="272">
        <v>1</v>
      </c>
      <c r="GQ85" s="275">
        <f t="shared" si="79"/>
        <v>0</v>
      </c>
      <c r="GR85" s="275">
        <f t="shared" si="80"/>
        <v>0</v>
      </c>
      <c r="GS85" s="273">
        <f t="shared" si="81"/>
        <v>0</v>
      </c>
      <c r="GT85" s="270"/>
      <c r="GU85" s="271"/>
      <c r="GV85" s="271"/>
      <c r="GW85" s="271"/>
      <c r="GX85" s="271"/>
      <c r="GY85" s="271"/>
      <c r="GZ85" s="272">
        <v>1</v>
      </c>
      <c r="HA85" s="275">
        <f t="shared" si="82"/>
        <v>0</v>
      </c>
      <c r="HB85" s="275">
        <f t="shared" si="83"/>
        <v>0</v>
      </c>
      <c r="HC85" s="273">
        <f t="shared" si="84"/>
        <v>0</v>
      </c>
      <c r="HD85" s="270"/>
      <c r="HE85" s="271"/>
      <c r="HF85" s="271"/>
      <c r="HG85" s="271"/>
      <c r="HH85" s="271"/>
      <c r="HI85" s="271"/>
      <c r="HJ85" s="272">
        <v>1</v>
      </c>
      <c r="HK85" s="275">
        <f t="shared" si="85"/>
        <v>0</v>
      </c>
      <c r="HL85" s="275">
        <f t="shared" si="86"/>
        <v>0</v>
      </c>
      <c r="HM85" s="273">
        <f t="shared" si="87"/>
        <v>0</v>
      </c>
      <c r="HN85" s="277">
        <v>1</v>
      </c>
      <c r="HO85" s="278">
        <v>0</v>
      </c>
      <c r="HP85" s="277">
        <v>1</v>
      </c>
      <c r="HQ85" s="278">
        <v>0</v>
      </c>
      <c r="HR85" s="277">
        <v>1</v>
      </c>
      <c r="HS85" s="278">
        <v>0</v>
      </c>
      <c r="HT85" s="277">
        <v>1</v>
      </c>
      <c r="HU85" s="278">
        <v>0</v>
      </c>
      <c r="HV85" s="277">
        <v>1</v>
      </c>
      <c r="HW85" s="278">
        <v>0</v>
      </c>
      <c r="HX85" s="277">
        <v>1</v>
      </c>
      <c r="HY85" s="278">
        <v>0</v>
      </c>
      <c r="HZ85" s="277">
        <v>1</v>
      </c>
      <c r="IA85" s="278">
        <v>0</v>
      </c>
      <c r="IB85" s="277">
        <v>1</v>
      </c>
      <c r="IC85" s="278">
        <v>0</v>
      </c>
      <c r="ID85" s="277">
        <v>1</v>
      </c>
      <c r="IE85" s="278">
        <v>0</v>
      </c>
      <c r="IF85" s="277">
        <v>1</v>
      </c>
      <c r="IG85" s="278">
        <v>0</v>
      </c>
      <c r="IH85" s="277">
        <v>1</v>
      </c>
      <c r="II85" s="278">
        <v>0</v>
      </c>
      <c r="IJ85" s="277">
        <v>1</v>
      </c>
      <c r="IK85" s="278">
        <v>0</v>
      </c>
      <c r="IL85" s="277">
        <v>1</v>
      </c>
      <c r="IM85" s="278">
        <v>0</v>
      </c>
      <c r="IN85" s="277">
        <v>1</v>
      </c>
      <c r="IO85" s="278">
        <v>0</v>
      </c>
      <c r="IP85" s="277">
        <v>1</v>
      </c>
      <c r="IQ85" s="278">
        <v>0</v>
      </c>
      <c r="IR85" s="277">
        <v>1</v>
      </c>
      <c r="IS85" s="278">
        <v>0</v>
      </c>
      <c r="IT85" s="277">
        <v>1</v>
      </c>
      <c r="IU85" s="278">
        <v>0</v>
      </c>
      <c r="IV85" s="277">
        <v>1</v>
      </c>
      <c r="IW85" s="278">
        <v>0</v>
      </c>
      <c r="IX85" s="277">
        <v>1</v>
      </c>
      <c r="IY85" s="278">
        <v>0</v>
      </c>
      <c r="IZ85" s="277">
        <v>1</v>
      </c>
      <c r="JA85" s="278">
        <v>0</v>
      </c>
      <c r="JB85" s="277">
        <v>1</v>
      </c>
      <c r="JC85" s="278">
        <v>0</v>
      </c>
      <c r="JD85" s="277">
        <v>1</v>
      </c>
      <c r="JE85" s="278">
        <v>0</v>
      </c>
      <c r="KB85" s="8"/>
    </row>
    <row r="86" spans="1:288">
      <c r="A86" s="207">
        <v>46104</v>
      </c>
      <c r="B86" s="270"/>
      <c r="C86" s="271"/>
      <c r="D86" s="271"/>
      <c r="E86" s="271"/>
      <c r="F86" s="271"/>
      <c r="G86" s="271"/>
      <c r="H86" s="272">
        <v>1</v>
      </c>
      <c r="I86" s="275">
        <f t="shared" si="22"/>
        <v>0</v>
      </c>
      <c r="J86" s="275">
        <f t="shared" si="23"/>
        <v>0</v>
      </c>
      <c r="K86" s="273">
        <f t="shared" si="24"/>
        <v>0</v>
      </c>
      <c r="L86" s="270"/>
      <c r="M86" s="271"/>
      <c r="N86" s="271"/>
      <c r="O86" s="271"/>
      <c r="P86" s="271"/>
      <c r="Q86" s="271"/>
      <c r="R86" s="272">
        <v>1</v>
      </c>
      <c r="S86" s="275">
        <f t="shared" si="25"/>
        <v>0</v>
      </c>
      <c r="T86" s="275">
        <f t="shared" si="26"/>
        <v>0</v>
      </c>
      <c r="U86" s="273">
        <f t="shared" si="27"/>
        <v>0</v>
      </c>
      <c r="V86" s="270"/>
      <c r="W86" s="271"/>
      <c r="X86" s="271"/>
      <c r="Y86" s="271"/>
      <c r="Z86" s="271"/>
      <c r="AA86" s="271"/>
      <c r="AB86" s="272">
        <v>1</v>
      </c>
      <c r="AC86" s="275">
        <f t="shared" si="28"/>
        <v>0</v>
      </c>
      <c r="AD86" s="275">
        <f t="shared" si="29"/>
        <v>0</v>
      </c>
      <c r="AE86" s="273">
        <f t="shared" si="30"/>
        <v>0</v>
      </c>
      <c r="AF86" s="270"/>
      <c r="AG86" s="271"/>
      <c r="AH86" s="271"/>
      <c r="AI86" s="271"/>
      <c r="AJ86" s="271"/>
      <c r="AK86" s="271"/>
      <c r="AL86" s="272">
        <v>1</v>
      </c>
      <c r="AM86" s="275">
        <f t="shared" si="31"/>
        <v>0</v>
      </c>
      <c r="AN86" s="275">
        <f t="shared" si="32"/>
        <v>0</v>
      </c>
      <c r="AO86" s="273">
        <f t="shared" si="33"/>
        <v>0</v>
      </c>
      <c r="AP86" s="270"/>
      <c r="AQ86" s="271"/>
      <c r="AR86" s="271"/>
      <c r="AS86" s="271"/>
      <c r="AT86" s="271"/>
      <c r="AU86" s="271"/>
      <c r="AV86" s="272">
        <v>1</v>
      </c>
      <c r="AW86" s="275">
        <f t="shared" si="34"/>
        <v>0</v>
      </c>
      <c r="AX86" s="275">
        <f t="shared" si="35"/>
        <v>0</v>
      </c>
      <c r="AY86" s="273">
        <f t="shared" si="36"/>
        <v>0</v>
      </c>
      <c r="AZ86" s="270"/>
      <c r="BA86" s="271"/>
      <c r="BB86" s="271"/>
      <c r="BC86" s="271"/>
      <c r="BD86" s="271"/>
      <c r="BE86" s="271"/>
      <c r="BF86" s="272">
        <v>1</v>
      </c>
      <c r="BG86" s="275">
        <f t="shared" si="37"/>
        <v>0</v>
      </c>
      <c r="BH86" s="275">
        <f t="shared" si="38"/>
        <v>0</v>
      </c>
      <c r="BI86" s="273">
        <f t="shared" si="39"/>
        <v>0</v>
      </c>
      <c r="BJ86" s="270"/>
      <c r="BK86" s="271"/>
      <c r="BL86" s="271"/>
      <c r="BM86" s="271"/>
      <c r="BN86" s="271"/>
      <c r="BO86" s="271"/>
      <c r="BP86" s="272">
        <v>1</v>
      </c>
      <c r="BQ86" s="275">
        <f t="shared" si="40"/>
        <v>0</v>
      </c>
      <c r="BR86" s="275">
        <f t="shared" si="41"/>
        <v>0</v>
      </c>
      <c r="BS86" s="273">
        <f t="shared" si="42"/>
        <v>0</v>
      </c>
      <c r="BT86" s="270"/>
      <c r="BU86" s="271"/>
      <c r="BV86" s="271"/>
      <c r="BW86" s="271"/>
      <c r="BX86" s="271"/>
      <c r="BY86" s="271"/>
      <c r="BZ86" s="272">
        <v>1</v>
      </c>
      <c r="CA86" s="275">
        <f t="shared" si="43"/>
        <v>0</v>
      </c>
      <c r="CB86" s="275">
        <f t="shared" si="44"/>
        <v>0</v>
      </c>
      <c r="CC86" s="273">
        <f t="shared" si="45"/>
        <v>0</v>
      </c>
      <c r="CD86" s="270"/>
      <c r="CE86" s="271"/>
      <c r="CF86" s="271"/>
      <c r="CG86" s="271"/>
      <c r="CH86" s="271"/>
      <c r="CI86" s="271"/>
      <c r="CJ86" s="272">
        <v>1</v>
      </c>
      <c r="CK86" s="275">
        <f t="shared" si="46"/>
        <v>0</v>
      </c>
      <c r="CL86" s="275">
        <f t="shared" si="47"/>
        <v>0</v>
      </c>
      <c r="CM86" s="273">
        <f t="shared" si="48"/>
        <v>0</v>
      </c>
      <c r="CN86" s="270"/>
      <c r="CO86" s="271"/>
      <c r="CP86" s="271"/>
      <c r="CQ86" s="271"/>
      <c r="CR86" s="271"/>
      <c r="CS86" s="271"/>
      <c r="CT86" s="272">
        <v>1</v>
      </c>
      <c r="CU86" s="275">
        <f t="shared" si="49"/>
        <v>0</v>
      </c>
      <c r="CV86" s="275">
        <f t="shared" si="50"/>
        <v>0</v>
      </c>
      <c r="CW86" s="273">
        <f t="shared" si="51"/>
        <v>0</v>
      </c>
      <c r="CX86" s="270"/>
      <c r="CY86" s="271"/>
      <c r="CZ86" s="271"/>
      <c r="DA86" s="271"/>
      <c r="DB86" s="271"/>
      <c r="DC86" s="271"/>
      <c r="DD86" s="272">
        <v>1</v>
      </c>
      <c r="DE86" s="275">
        <f t="shared" si="52"/>
        <v>0</v>
      </c>
      <c r="DF86" s="275">
        <f t="shared" si="53"/>
        <v>0</v>
      </c>
      <c r="DG86" s="273">
        <f t="shared" si="54"/>
        <v>0</v>
      </c>
      <c r="DH86" s="270"/>
      <c r="DI86" s="271"/>
      <c r="DJ86" s="271"/>
      <c r="DK86" s="271"/>
      <c r="DL86" s="271"/>
      <c r="DM86" s="271"/>
      <c r="DN86" s="272">
        <v>1</v>
      </c>
      <c r="DO86" s="275">
        <f t="shared" si="55"/>
        <v>0</v>
      </c>
      <c r="DP86" s="275">
        <f t="shared" si="56"/>
        <v>0</v>
      </c>
      <c r="DQ86" s="273">
        <f t="shared" si="57"/>
        <v>0</v>
      </c>
      <c r="DR86" s="270"/>
      <c r="DS86" s="271"/>
      <c r="DT86" s="271"/>
      <c r="DU86" s="271"/>
      <c r="DV86" s="271"/>
      <c r="DW86" s="271"/>
      <c r="DX86" s="272">
        <v>1</v>
      </c>
      <c r="DY86" s="275">
        <f t="shared" si="58"/>
        <v>0</v>
      </c>
      <c r="DZ86" s="275">
        <f t="shared" si="59"/>
        <v>0</v>
      </c>
      <c r="EA86" s="273">
        <f t="shared" si="60"/>
        <v>0</v>
      </c>
      <c r="EB86" s="270"/>
      <c r="EC86" s="271"/>
      <c r="ED86" s="271"/>
      <c r="EE86" s="271"/>
      <c r="EF86" s="271"/>
      <c r="EG86" s="271"/>
      <c r="EH86" s="272">
        <v>1</v>
      </c>
      <c r="EI86" s="275">
        <f t="shared" si="61"/>
        <v>0</v>
      </c>
      <c r="EJ86" s="275">
        <f t="shared" si="62"/>
        <v>0</v>
      </c>
      <c r="EK86" s="273">
        <f t="shared" si="63"/>
        <v>0</v>
      </c>
      <c r="EL86" s="270"/>
      <c r="EM86" s="271"/>
      <c r="EN86" s="271"/>
      <c r="EO86" s="271"/>
      <c r="EP86" s="271"/>
      <c r="EQ86" s="271"/>
      <c r="ER86" s="272">
        <v>1</v>
      </c>
      <c r="ES86" s="275">
        <f t="shared" si="64"/>
        <v>0</v>
      </c>
      <c r="ET86" s="275">
        <f t="shared" si="65"/>
        <v>0</v>
      </c>
      <c r="EU86" s="273">
        <f t="shared" si="66"/>
        <v>0</v>
      </c>
      <c r="EV86" s="270"/>
      <c r="EW86" s="271"/>
      <c r="EX86" s="271"/>
      <c r="EY86" s="271"/>
      <c r="EZ86" s="271"/>
      <c r="FA86" s="271"/>
      <c r="FB86" s="272">
        <v>1</v>
      </c>
      <c r="FC86" s="275">
        <f t="shared" si="67"/>
        <v>0</v>
      </c>
      <c r="FD86" s="275">
        <f t="shared" si="68"/>
        <v>0</v>
      </c>
      <c r="FE86" s="273">
        <f t="shared" si="69"/>
        <v>0</v>
      </c>
      <c r="FF86" s="270"/>
      <c r="FG86" s="271"/>
      <c r="FH86" s="271"/>
      <c r="FI86" s="271"/>
      <c r="FJ86" s="271"/>
      <c r="FK86" s="271"/>
      <c r="FL86" s="272">
        <v>1</v>
      </c>
      <c r="FM86" s="275">
        <f t="shared" si="70"/>
        <v>0</v>
      </c>
      <c r="FN86" s="275">
        <f t="shared" si="71"/>
        <v>0</v>
      </c>
      <c r="FO86" s="273">
        <f t="shared" si="72"/>
        <v>0</v>
      </c>
      <c r="FP86" s="270"/>
      <c r="FQ86" s="271"/>
      <c r="FR86" s="271"/>
      <c r="FS86" s="271"/>
      <c r="FT86" s="271"/>
      <c r="FU86" s="271"/>
      <c r="FV86" s="272">
        <v>1</v>
      </c>
      <c r="FW86" s="275">
        <f t="shared" si="73"/>
        <v>0</v>
      </c>
      <c r="FX86" s="275">
        <f t="shared" si="74"/>
        <v>0</v>
      </c>
      <c r="FY86" s="273">
        <f t="shared" si="75"/>
        <v>0</v>
      </c>
      <c r="FZ86" s="270"/>
      <c r="GA86" s="271"/>
      <c r="GB86" s="271"/>
      <c r="GC86" s="271"/>
      <c r="GD86" s="271"/>
      <c r="GE86" s="271"/>
      <c r="GF86" s="272">
        <v>1</v>
      </c>
      <c r="GG86" s="275">
        <f t="shared" si="76"/>
        <v>0</v>
      </c>
      <c r="GH86" s="275">
        <f t="shared" si="77"/>
        <v>0</v>
      </c>
      <c r="GI86" s="273">
        <f t="shared" si="78"/>
        <v>0</v>
      </c>
      <c r="GJ86" s="270"/>
      <c r="GK86" s="271"/>
      <c r="GL86" s="271"/>
      <c r="GM86" s="271"/>
      <c r="GN86" s="271"/>
      <c r="GO86" s="271"/>
      <c r="GP86" s="272">
        <v>1</v>
      </c>
      <c r="GQ86" s="275">
        <f t="shared" si="79"/>
        <v>0</v>
      </c>
      <c r="GR86" s="275">
        <f t="shared" si="80"/>
        <v>0</v>
      </c>
      <c r="GS86" s="273">
        <f t="shared" si="81"/>
        <v>0</v>
      </c>
      <c r="GT86" s="270"/>
      <c r="GU86" s="271"/>
      <c r="GV86" s="271"/>
      <c r="GW86" s="271"/>
      <c r="GX86" s="271"/>
      <c r="GY86" s="271"/>
      <c r="GZ86" s="272">
        <v>1</v>
      </c>
      <c r="HA86" s="275">
        <f t="shared" si="82"/>
        <v>0</v>
      </c>
      <c r="HB86" s="275">
        <f t="shared" si="83"/>
        <v>0</v>
      </c>
      <c r="HC86" s="273">
        <f t="shared" si="84"/>
        <v>0</v>
      </c>
      <c r="HD86" s="270"/>
      <c r="HE86" s="271"/>
      <c r="HF86" s="271"/>
      <c r="HG86" s="271"/>
      <c r="HH86" s="271"/>
      <c r="HI86" s="271"/>
      <c r="HJ86" s="272">
        <v>1</v>
      </c>
      <c r="HK86" s="275">
        <f t="shared" si="85"/>
        <v>0</v>
      </c>
      <c r="HL86" s="275">
        <f t="shared" si="86"/>
        <v>0</v>
      </c>
      <c r="HM86" s="273">
        <f t="shared" si="87"/>
        <v>0</v>
      </c>
      <c r="HN86" s="277">
        <v>1</v>
      </c>
      <c r="HO86" s="278">
        <v>0</v>
      </c>
      <c r="HP86" s="277">
        <v>1</v>
      </c>
      <c r="HQ86" s="278">
        <v>0</v>
      </c>
      <c r="HR86" s="277">
        <v>1</v>
      </c>
      <c r="HS86" s="278">
        <v>0</v>
      </c>
      <c r="HT86" s="277">
        <v>1</v>
      </c>
      <c r="HU86" s="278">
        <v>0</v>
      </c>
      <c r="HV86" s="277">
        <v>1</v>
      </c>
      <c r="HW86" s="278">
        <v>0</v>
      </c>
      <c r="HX86" s="277">
        <v>1</v>
      </c>
      <c r="HY86" s="278">
        <v>0</v>
      </c>
      <c r="HZ86" s="277">
        <v>1</v>
      </c>
      <c r="IA86" s="278">
        <v>0</v>
      </c>
      <c r="IB86" s="277">
        <v>1</v>
      </c>
      <c r="IC86" s="278">
        <v>0</v>
      </c>
      <c r="ID86" s="277">
        <v>1</v>
      </c>
      <c r="IE86" s="278">
        <v>0</v>
      </c>
      <c r="IF86" s="277">
        <v>1</v>
      </c>
      <c r="IG86" s="278">
        <v>0</v>
      </c>
      <c r="IH86" s="277">
        <v>1</v>
      </c>
      <c r="II86" s="278">
        <v>0</v>
      </c>
      <c r="IJ86" s="277">
        <v>1</v>
      </c>
      <c r="IK86" s="278">
        <v>0</v>
      </c>
      <c r="IL86" s="277">
        <v>1</v>
      </c>
      <c r="IM86" s="278">
        <v>0</v>
      </c>
      <c r="IN86" s="277">
        <v>1</v>
      </c>
      <c r="IO86" s="278">
        <v>0</v>
      </c>
      <c r="IP86" s="277">
        <v>1</v>
      </c>
      <c r="IQ86" s="278">
        <v>0</v>
      </c>
      <c r="IR86" s="277">
        <v>1</v>
      </c>
      <c r="IS86" s="278">
        <v>0</v>
      </c>
      <c r="IT86" s="277">
        <v>1</v>
      </c>
      <c r="IU86" s="278">
        <v>0</v>
      </c>
      <c r="IV86" s="277">
        <v>1</v>
      </c>
      <c r="IW86" s="278">
        <v>0</v>
      </c>
      <c r="IX86" s="277">
        <v>1</v>
      </c>
      <c r="IY86" s="278">
        <v>0</v>
      </c>
      <c r="IZ86" s="277">
        <v>1</v>
      </c>
      <c r="JA86" s="278">
        <v>0</v>
      </c>
      <c r="JB86" s="277">
        <v>1</v>
      </c>
      <c r="JC86" s="278">
        <v>0</v>
      </c>
      <c r="JD86" s="277">
        <v>1</v>
      </c>
      <c r="JE86" s="278">
        <v>0</v>
      </c>
      <c r="KB86" s="8"/>
    </row>
    <row r="87" spans="1:288">
      <c r="A87" s="207">
        <v>46105</v>
      </c>
      <c r="B87" s="270"/>
      <c r="C87" s="271"/>
      <c r="D87" s="271"/>
      <c r="E87" s="271"/>
      <c r="F87" s="271"/>
      <c r="G87" s="271"/>
      <c r="H87" s="272">
        <v>1</v>
      </c>
      <c r="I87" s="275">
        <f t="shared" si="22"/>
        <v>0</v>
      </c>
      <c r="J87" s="275">
        <f t="shared" si="23"/>
        <v>0</v>
      </c>
      <c r="K87" s="273">
        <f t="shared" si="24"/>
        <v>0</v>
      </c>
      <c r="L87" s="270"/>
      <c r="M87" s="271"/>
      <c r="N87" s="271"/>
      <c r="O87" s="271"/>
      <c r="P87" s="271"/>
      <c r="Q87" s="271"/>
      <c r="R87" s="272">
        <v>1</v>
      </c>
      <c r="S87" s="275">
        <f t="shared" si="25"/>
        <v>0</v>
      </c>
      <c r="T87" s="275">
        <f t="shared" si="26"/>
        <v>0</v>
      </c>
      <c r="U87" s="273">
        <f t="shared" si="27"/>
        <v>0</v>
      </c>
      <c r="V87" s="270"/>
      <c r="W87" s="271"/>
      <c r="X87" s="271"/>
      <c r="Y87" s="271"/>
      <c r="Z87" s="271"/>
      <c r="AA87" s="271"/>
      <c r="AB87" s="272">
        <v>1</v>
      </c>
      <c r="AC87" s="275">
        <f t="shared" si="28"/>
        <v>0</v>
      </c>
      <c r="AD87" s="275">
        <f t="shared" si="29"/>
        <v>0</v>
      </c>
      <c r="AE87" s="273">
        <f t="shared" si="30"/>
        <v>0</v>
      </c>
      <c r="AF87" s="270"/>
      <c r="AG87" s="271"/>
      <c r="AH87" s="271"/>
      <c r="AI87" s="271"/>
      <c r="AJ87" s="271"/>
      <c r="AK87" s="271"/>
      <c r="AL87" s="272">
        <v>1</v>
      </c>
      <c r="AM87" s="275">
        <f t="shared" si="31"/>
        <v>0</v>
      </c>
      <c r="AN87" s="275">
        <f t="shared" si="32"/>
        <v>0</v>
      </c>
      <c r="AO87" s="273">
        <f t="shared" si="33"/>
        <v>0</v>
      </c>
      <c r="AP87" s="270"/>
      <c r="AQ87" s="271"/>
      <c r="AR87" s="271"/>
      <c r="AS87" s="271"/>
      <c r="AT87" s="271"/>
      <c r="AU87" s="271"/>
      <c r="AV87" s="272">
        <v>1</v>
      </c>
      <c r="AW87" s="275">
        <f t="shared" si="34"/>
        <v>0</v>
      </c>
      <c r="AX87" s="275">
        <f t="shared" si="35"/>
        <v>0</v>
      </c>
      <c r="AY87" s="273">
        <f t="shared" si="36"/>
        <v>0</v>
      </c>
      <c r="AZ87" s="270"/>
      <c r="BA87" s="271"/>
      <c r="BB87" s="271"/>
      <c r="BC87" s="271"/>
      <c r="BD87" s="271"/>
      <c r="BE87" s="271"/>
      <c r="BF87" s="272">
        <v>1</v>
      </c>
      <c r="BG87" s="275">
        <f t="shared" si="37"/>
        <v>0</v>
      </c>
      <c r="BH87" s="275">
        <f t="shared" si="38"/>
        <v>0</v>
      </c>
      <c r="BI87" s="273">
        <f t="shared" si="39"/>
        <v>0</v>
      </c>
      <c r="BJ87" s="270"/>
      <c r="BK87" s="271"/>
      <c r="BL87" s="271"/>
      <c r="BM87" s="271"/>
      <c r="BN87" s="271"/>
      <c r="BO87" s="271"/>
      <c r="BP87" s="272">
        <v>1</v>
      </c>
      <c r="BQ87" s="275">
        <f t="shared" si="40"/>
        <v>0</v>
      </c>
      <c r="BR87" s="275">
        <f t="shared" si="41"/>
        <v>0</v>
      </c>
      <c r="BS87" s="273">
        <f t="shared" si="42"/>
        <v>0</v>
      </c>
      <c r="BT87" s="270"/>
      <c r="BU87" s="271"/>
      <c r="BV87" s="271"/>
      <c r="BW87" s="271"/>
      <c r="BX87" s="271"/>
      <c r="BY87" s="271"/>
      <c r="BZ87" s="272">
        <v>1</v>
      </c>
      <c r="CA87" s="275">
        <f t="shared" si="43"/>
        <v>0</v>
      </c>
      <c r="CB87" s="275">
        <f t="shared" si="44"/>
        <v>0</v>
      </c>
      <c r="CC87" s="273">
        <f t="shared" si="45"/>
        <v>0</v>
      </c>
      <c r="CD87" s="270"/>
      <c r="CE87" s="271"/>
      <c r="CF87" s="271"/>
      <c r="CG87" s="271"/>
      <c r="CH87" s="271"/>
      <c r="CI87" s="271"/>
      <c r="CJ87" s="272">
        <v>1</v>
      </c>
      <c r="CK87" s="275">
        <f t="shared" si="46"/>
        <v>0</v>
      </c>
      <c r="CL87" s="275">
        <f t="shared" si="47"/>
        <v>0</v>
      </c>
      <c r="CM87" s="273">
        <f t="shared" si="48"/>
        <v>0</v>
      </c>
      <c r="CN87" s="270"/>
      <c r="CO87" s="271"/>
      <c r="CP87" s="271"/>
      <c r="CQ87" s="271"/>
      <c r="CR87" s="271"/>
      <c r="CS87" s="271"/>
      <c r="CT87" s="272">
        <v>1</v>
      </c>
      <c r="CU87" s="275">
        <f t="shared" si="49"/>
        <v>0</v>
      </c>
      <c r="CV87" s="275">
        <f t="shared" si="50"/>
        <v>0</v>
      </c>
      <c r="CW87" s="273">
        <f t="shared" si="51"/>
        <v>0</v>
      </c>
      <c r="CX87" s="270"/>
      <c r="CY87" s="271"/>
      <c r="CZ87" s="271"/>
      <c r="DA87" s="271"/>
      <c r="DB87" s="271"/>
      <c r="DC87" s="271"/>
      <c r="DD87" s="272">
        <v>1</v>
      </c>
      <c r="DE87" s="275">
        <f t="shared" si="52"/>
        <v>0</v>
      </c>
      <c r="DF87" s="275">
        <f t="shared" si="53"/>
        <v>0</v>
      </c>
      <c r="DG87" s="273">
        <f t="shared" si="54"/>
        <v>0</v>
      </c>
      <c r="DH87" s="270"/>
      <c r="DI87" s="271"/>
      <c r="DJ87" s="271"/>
      <c r="DK87" s="271"/>
      <c r="DL87" s="271"/>
      <c r="DM87" s="271"/>
      <c r="DN87" s="272">
        <v>1</v>
      </c>
      <c r="DO87" s="275">
        <f t="shared" si="55"/>
        <v>0</v>
      </c>
      <c r="DP87" s="275">
        <f t="shared" si="56"/>
        <v>0</v>
      </c>
      <c r="DQ87" s="273">
        <f t="shared" si="57"/>
        <v>0</v>
      </c>
      <c r="DR87" s="270"/>
      <c r="DS87" s="271"/>
      <c r="DT87" s="271"/>
      <c r="DU87" s="271"/>
      <c r="DV87" s="271"/>
      <c r="DW87" s="271"/>
      <c r="DX87" s="272">
        <v>1</v>
      </c>
      <c r="DY87" s="275">
        <f t="shared" si="58"/>
        <v>0</v>
      </c>
      <c r="DZ87" s="275">
        <f t="shared" si="59"/>
        <v>0</v>
      </c>
      <c r="EA87" s="273">
        <f t="shared" si="60"/>
        <v>0</v>
      </c>
      <c r="EB87" s="270"/>
      <c r="EC87" s="271"/>
      <c r="ED87" s="271"/>
      <c r="EE87" s="271"/>
      <c r="EF87" s="271"/>
      <c r="EG87" s="271"/>
      <c r="EH87" s="272">
        <v>1</v>
      </c>
      <c r="EI87" s="275">
        <f t="shared" si="61"/>
        <v>0</v>
      </c>
      <c r="EJ87" s="275">
        <f t="shared" si="62"/>
        <v>0</v>
      </c>
      <c r="EK87" s="273">
        <f t="shared" si="63"/>
        <v>0</v>
      </c>
      <c r="EL87" s="270"/>
      <c r="EM87" s="271"/>
      <c r="EN87" s="271"/>
      <c r="EO87" s="271"/>
      <c r="EP87" s="271"/>
      <c r="EQ87" s="271"/>
      <c r="ER87" s="272">
        <v>1</v>
      </c>
      <c r="ES87" s="275">
        <f t="shared" si="64"/>
        <v>0</v>
      </c>
      <c r="ET87" s="275">
        <f t="shared" si="65"/>
        <v>0</v>
      </c>
      <c r="EU87" s="273">
        <f t="shared" si="66"/>
        <v>0</v>
      </c>
      <c r="EV87" s="270"/>
      <c r="EW87" s="271"/>
      <c r="EX87" s="271"/>
      <c r="EY87" s="271"/>
      <c r="EZ87" s="271"/>
      <c r="FA87" s="271"/>
      <c r="FB87" s="272">
        <v>1</v>
      </c>
      <c r="FC87" s="275">
        <f t="shared" si="67"/>
        <v>0</v>
      </c>
      <c r="FD87" s="275">
        <f t="shared" si="68"/>
        <v>0</v>
      </c>
      <c r="FE87" s="273">
        <f t="shared" si="69"/>
        <v>0</v>
      </c>
      <c r="FF87" s="270"/>
      <c r="FG87" s="271"/>
      <c r="FH87" s="271"/>
      <c r="FI87" s="271"/>
      <c r="FJ87" s="271"/>
      <c r="FK87" s="271"/>
      <c r="FL87" s="272">
        <v>1</v>
      </c>
      <c r="FM87" s="275">
        <f t="shared" si="70"/>
        <v>0</v>
      </c>
      <c r="FN87" s="275">
        <f t="shared" si="71"/>
        <v>0</v>
      </c>
      <c r="FO87" s="273">
        <f t="shared" si="72"/>
        <v>0</v>
      </c>
      <c r="FP87" s="270"/>
      <c r="FQ87" s="271"/>
      <c r="FR87" s="271"/>
      <c r="FS87" s="271"/>
      <c r="FT87" s="271"/>
      <c r="FU87" s="271"/>
      <c r="FV87" s="272">
        <v>1</v>
      </c>
      <c r="FW87" s="275">
        <f t="shared" si="73"/>
        <v>0</v>
      </c>
      <c r="FX87" s="275">
        <f t="shared" si="74"/>
        <v>0</v>
      </c>
      <c r="FY87" s="273">
        <f t="shared" si="75"/>
        <v>0</v>
      </c>
      <c r="FZ87" s="270"/>
      <c r="GA87" s="271"/>
      <c r="GB87" s="271"/>
      <c r="GC87" s="271"/>
      <c r="GD87" s="271"/>
      <c r="GE87" s="271"/>
      <c r="GF87" s="272">
        <v>1</v>
      </c>
      <c r="GG87" s="275">
        <f t="shared" si="76"/>
        <v>0</v>
      </c>
      <c r="GH87" s="275">
        <f t="shared" si="77"/>
        <v>0</v>
      </c>
      <c r="GI87" s="273">
        <f t="shared" si="78"/>
        <v>0</v>
      </c>
      <c r="GJ87" s="270"/>
      <c r="GK87" s="271"/>
      <c r="GL87" s="271"/>
      <c r="GM87" s="271"/>
      <c r="GN87" s="271"/>
      <c r="GO87" s="271"/>
      <c r="GP87" s="272">
        <v>1</v>
      </c>
      <c r="GQ87" s="275">
        <f t="shared" si="79"/>
        <v>0</v>
      </c>
      <c r="GR87" s="275">
        <f t="shared" si="80"/>
        <v>0</v>
      </c>
      <c r="GS87" s="273">
        <f t="shared" si="81"/>
        <v>0</v>
      </c>
      <c r="GT87" s="270"/>
      <c r="GU87" s="271"/>
      <c r="GV87" s="271"/>
      <c r="GW87" s="271"/>
      <c r="GX87" s="271"/>
      <c r="GY87" s="271"/>
      <c r="GZ87" s="272">
        <v>1</v>
      </c>
      <c r="HA87" s="275">
        <f t="shared" si="82"/>
        <v>0</v>
      </c>
      <c r="HB87" s="275">
        <f t="shared" si="83"/>
        <v>0</v>
      </c>
      <c r="HC87" s="273">
        <f t="shared" si="84"/>
        <v>0</v>
      </c>
      <c r="HD87" s="270"/>
      <c r="HE87" s="271"/>
      <c r="HF87" s="271"/>
      <c r="HG87" s="271"/>
      <c r="HH87" s="271"/>
      <c r="HI87" s="271"/>
      <c r="HJ87" s="272">
        <v>1</v>
      </c>
      <c r="HK87" s="275">
        <f t="shared" si="85"/>
        <v>0</v>
      </c>
      <c r="HL87" s="275">
        <f t="shared" si="86"/>
        <v>0</v>
      </c>
      <c r="HM87" s="273">
        <f t="shared" si="87"/>
        <v>0</v>
      </c>
      <c r="HN87" s="277">
        <v>1</v>
      </c>
      <c r="HO87" s="278">
        <v>0</v>
      </c>
      <c r="HP87" s="277">
        <v>1</v>
      </c>
      <c r="HQ87" s="278">
        <v>0</v>
      </c>
      <c r="HR87" s="277">
        <v>1</v>
      </c>
      <c r="HS87" s="278">
        <v>0</v>
      </c>
      <c r="HT87" s="277">
        <v>1</v>
      </c>
      <c r="HU87" s="278">
        <v>0</v>
      </c>
      <c r="HV87" s="277">
        <v>1</v>
      </c>
      <c r="HW87" s="278">
        <v>0</v>
      </c>
      <c r="HX87" s="277">
        <v>1</v>
      </c>
      <c r="HY87" s="278">
        <v>0</v>
      </c>
      <c r="HZ87" s="277">
        <v>1</v>
      </c>
      <c r="IA87" s="278">
        <v>0</v>
      </c>
      <c r="IB87" s="277">
        <v>1</v>
      </c>
      <c r="IC87" s="278">
        <v>0</v>
      </c>
      <c r="ID87" s="277">
        <v>1</v>
      </c>
      <c r="IE87" s="278">
        <v>0</v>
      </c>
      <c r="IF87" s="277">
        <v>1</v>
      </c>
      <c r="IG87" s="278">
        <v>0</v>
      </c>
      <c r="IH87" s="277">
        <v>1</v>
      </c>
      <c r="II87" s="278">
        <v>0</v>
      </c>
      <c r="IJ87" s="277">
        <v>1</v>
      </c>
      <c r="IK87" s="278">
        <v>0</v>
      </c>
      <c r="IL87" s="277">
        <v>1</v>
      </c>
      <c r="IM87" s="278">
        <v>0</v>
      </c>
      <c r="IN87" s="277">
        <v>1</v>
      </c>
      <c r="IO87" s="278">
        <v>0</v>
      </c>
      <c r="IP87" s="277">
        <v>1</v>
      </c>
      <c r="IQ87" s="278">
        <v>0</v>
      </c>
      <c r="IR87" s="277">
        <v>1</v>
      </c>
      <c r="IS87" s="278">
        <v>0</v>
      </c>
      <c r="IT87" s="277">
        <v>1</v>
      </c>
      <c r="IU87" s="278">
        <v>0</v>
      </c>
      <c r="IV87" s="277">
        <v>1</v>
      </c>
      <c r="IW87" s="278">
        <v>0</v>
      </c>
      <c r="IX87" s="277">
        <v>1</v>
      </c>
      <c r="IY87" s="278">
        <v>0</v>
      </c>
      <c r="IZ87" s="277">
        <v>1</v>
      </c>
      <c r="JA87" s="278">
        <v>0</v>
      </c>
      <c r="JB87" s="277">
        <v>1</v>
      </c>
      <c r="JC87" s="278">
        <v>0</v>
      </c>
      <c r="JD87" s="277">
        <v>1</v>
      </c>
      <c r="JE87" s="278">
        <v>0</v>
      </c>
      <c r="KB87" s="8"/>
    </row>
    <row r="88" spans="1:288">
      <c r="A88" s="207">
        <v>46106</v>
      </c>
      <c r="B88" s="270"/>
      <c r="C88" s="271"/>
      <c r="D88" s="271"/>
      <c r="E88" s="271"/>
      <c r="F88" s="271"/>
      <c r="G88" s="271"/>
      <c r="H88" s="272">
        <v>1</v>
      </c>
      <c r="I88" s="275">
        <f t="shared" si="22"/>
        <v>0</v>
      </c>
      <c r="J88" s="275">
        <f t="shared" si="23"/>
        <v>0</v>
      </c>
      <c r="K88" s="273">
        <f t="shared" si="24"/>
        <v>0</v>
      </c>
      <c r="L88" s="270"/>
      <c r="M88" s="271"/>
      <c r="N88" s="271"/>
      <c r="O88" s="271"/>
      <c r="P88" s="271"/>
      <c r="Q88" s="271"/>
      <c r="R88" s="272">
        <v>1</v>
      </c>
      <c r="S88" s="275">
        <f t="shared" si="25"/>
        <v>0</v>
      </c>
      <c r="T88" s="275">
        <f t="shared" si="26"/>
        <v>0</v>
      </c>
      <c r="U88" s="273">
        <f t="shared" si="27"/>
        <v>0</v>
      </c>
      <c r="V88" s="270"/>
      <c r="W88" s="271">
        <v>0.45833333333333331</v>
      </c>
      <c r="X88" s="271"/>
      <c r="Y88" s="271"/>
      <c r="Z88" s="271"/>
      <c r="AA88" s="271"/>
      <c r="AB88" s="274">
        <f>MOD(W88-V88,1)+MOD(Y88-X88,1)+MOD(AA88-Z88,1)</f>
        <v>0.45833333333333331</v>
      </c>
      <c r="AC88" s="275">
        <f t="shared" si="28"/>
        <v>11</v>
      </c>
      <c r="AD88" s="275">
        <f t="shared" si="29"/>
        <v>0</v>
      </c>
      <c r="AE88" s="273">
        <f t="shared" si="30"/>
        <v>0</v>
      </c>
      <c r="AF88" s="270"/>
      <c r="AG88" s="271"/>
      <c r="AH88" s="271"/>
      <c r="AI88" s="271"/>
      <c r="AJ88" s="271"/>
      <c r="AK88" s="271"/>
      <c r="AL88" s="272">
        <v>1</v>
      </c>
      <c r="AM88" s="275">
        <f t="shared" si="31"/>
        <v>0</v>
      </c>
      <c r="AN88" s="275">
        <f t="shared" si="32"/>
        <v>0</v>
      </c>
      <c r="AO88" s="273">
        <f t="shared" si="33"/>
        <v>0</v>
      </c>
      <c r="AP88" s="270"/>
      <c r="AQ88" s="271"/>
      <c r="AR88" s="271"/>
      <c r="AS88" s="271"/>
      <c r="AT88" s="271"/>
      <c r="AU88" s="271"/>
      <c r="AV88" s="272">
        <v>1</v>
      </c>
      <c r="AW88" s="275">
        <f t="shared" si="34"/>
        <v>0</v>
      </c>
      <c r="AX88" s="275">
        <f t="shared" si="35"/>
        <v>0</v>
      </c>
      <c r="AY88" s="273">
        <f t="shared" si="36"/>
        <v>0</v>
      </c>
      <c r="AZ88" s="270"/>
      <c r="BA88" s="271"/>
      <c r="BB88" s="271"/>
      <c r="BC88" s="271"/>
      <c r="BD88" s="271"/>
      <c r="BE88" s="271"/>
      <c r="BF88" s="272">
        <v>1</v>
      </c>
      <c r="BG88" s="275">
        <f t="shared" si="37"/>
        <v>0</v>
      </c>
      <c r="BH88" s="275">
        <f t="shared" si="38"/>
        <v>0</v>
      </c>
      <c r="BI88" s="273">
        <f t="shared" si="39"/>
        <v>0</v>
      </c>
      <c r="BJ88" s="270"/>
      <c r="BK88" s="271"/>
      <c r="BL88" s="271"/>
      <c r="BM88" s="271"/>
      <c r="BN88" s="271"/>
      <c r="BO88" s="271"/>
      <c r="BP88" s="272">
        <v>1</v>
      </c>
      <c r="BQ88" s="275">
        <f t="shared" si="40"/>
        <v>0</v>
      </c>
      <c r="BR88" s="275">
        <f t="shared" si="41"/>
        <v>0</v>
      </c>
      <c r="BS88" s="273">
        <f t="shared" si="42"/>
        <v>0</v>
      </c>
      <c r="BT88" s="270"/>
      <c r="BU88" s="271"/>
      <c r="BV88" s="271"/>
      <c r="BW88" s="271"/>
      <c r="BX88" s="271"/>
      <c r="BY88" s="271"/>
      <c r="BZ88" s="272">
        <v>1</v>
      </c>
      <c r="CA88" s="275">
        <f t="shared" si="43"/>
        <v>0</v>
      </c>
      <c r="CB88" s="275">
        <f t="shared" si="44"/>
        <v>0</v>
      </c>
      <c r="CC88" s="273">
        <f t="shared" si="45"/>
        <v>0</v>
      </c>
      <c r="CD88" s="270"/>
      <c r="CE88" s="271"/>
      <c r="CF88" s="271"/>
      <c r="CG88" s="271"/>
      <c r="CH88" s="271"/>
      <c r="CI88" s="271"/>
      <c r="CJ88" s="272">
        <v>1</v>
      </c>
      <c r="CK88" s="275">
        <f t="shared" si="46"/>
        <v>0</v>
      </c>
      <c r="CL88" s="275">
        <f t="shared" si="47"/>
        <v>0</v>
      </c>
      <c r="CM88" s="273">
        <f t="shared" si="48"/>
        <v>0</v>
      </c>
      <c r="CN88" s="270">
        <v>0.45833333333333331</v>
      </c>
      <c r="CO88" s="271">
        <v>0.92361111111111116</v>
      </c>
      <c r="CP88" s="271"/>
      <c r="CQ88" s="271"/>
      <c r="CR88" s="271"/>
      <c r="CS88" s="271"/>
      <c r="CT88" s="274">
        <f>MOD(CO88-CN88,1)+MOD(CQ88-CP88,1)+MOD(CS88-CR88,1)</f>
        <v>0.46527777777777785</v>
      </c>
      <c r="CU88" s="275">
        <f t="shared" si="49"/>
        <v>11</v>
      </c>
      <c r="CV88" s="275">
        <f t="shared" si="50"/>
        <v>10</v>
      </c>
      <c r="CW88" s="273">
        <f t="shared" si="51"/>
        <v>1</v>
      </c>
      <c r="CX88" s="270">
        <v>0.45833333333333331</v>
      </c>
      <c r="CY88" s="271">
        <v>0.95138888888888884</v>
      </c>
      <c r="CZ88" s="271"/>
      <c r="DA88" s="271"/>
      <c r="DB88" s="271"/>
      <c r="DC88" s="271"/>
      <c r="DD88" s="274">
        <f>MOD(CY88-CX88,1)+MOD(DA88-CZ88,1)+MOD(DC88-DB88,1)</f>
        <v>0.49305555555555552</v>
      </c>
      <c r="DE88" s="275">
        <f t="shared" si="52"/>
        <v>11</v>
      </c>
      <c r="DF88" s="275">
        <f t="shared" si="53"/>
        <v>50</v>
      </c>
      <c r="DG88" s="273">
        <f t="shared" si="54"/>
        <v>1</v>
      </c>
      <c r="DH88" s="270"/>
      <c r="DI88" s="271"/>
      <c r="DJ88" s="271"/>
      <c r="DK88" s="271"/>
      <c r="DL88" s="271"/>
      <c r="DM88" s="271"/>
      <c r="DN88" s="272">
        <v>1</v>
      </c>
      <c r="DO88" s="275">
        <f t="shared" si="55"/>
        <v>0</v>
      </c>
      <c r="DP88" s="275">
        <f t="shared" si="56"/>
        <v>0</v>
      </c>
      <c r="DQ88" s="273">
        <f t="shared" si="57"/>
        <v>0</v>
      </c>
      <c r="DR88" s="270"/>
      <c r="DS88" s="271"/>
      <c r="DT88" s="271"/>
      <c r="DU88" s="271"/>
      <c r="DV88" s="271"/>
      <c r="DW88" s="271"/>
      <c r="DX88" s="272">
        <v>1</v>
      </c>
      <c r="DY88" s="275">
        <f t="shared" si="58"/>
        <v>0</v>
      </c>
      <c r="DZ88" s="275">
        <f t="shared" si="59"/>
        <v>0</v>
      </c>
      <c r="EA88" s="273">
        <f t="shared" si="60"/>
        <v>0</v>
      </c>
      <c r="EB88" s="270"/>
      <c r="EC88" s="271"/>
      <c r="ED88" s="271"/>
      <c r="EE88" s="271"/>
      <c r="EF88" s="271"/>
      <c r="EG88" s="271"/>
      <c r="EH88" s="272">
        <v>1</v>
      </c>
      <c r="EI88" s="275">
        <f t="shared" si="61"/>
        <v>0</v>
      </c>
      <c r="EJ88" s="275">
        <f t="shared" si="62"/>
        <v>0</v>
      </c>
      <c r="EK88" s="273">
        <f t="shared" si="63"/>
        <v>0</v>
      </c>
      <c r="EL88" s="270"/>
      <c r="EM88" s="271"/>
      <c r="EN88" s="271"/>
      <c r="EO88" s="271"/>
      <c r="EP88" s="271"/>
      <c r="EQ88" s="271"/>
      <c r="ER88" s="272">
        <v>1</v>
      </c>
      <c r="ES88" s="275">
        <f t="shared" si="64"/>
        <v>0</v>
      </c>
      <c r="ET88" s="275">
        <f t="shared" si="65"/>
        <v>0</v>
      </c>
      <c r="EU88" s="273">
        <f t="shared" si="66"/>
        <v>0</v>
      </c>
      <c r="EV88" s="270">
        <v>0.45833333333333331</v>
      </c>
      <c r="EW88" s="271">
        <v>0.90277777777777779</v>
      </c>
      <c r="EX88" s="271"/>
      <c r="EY88" s="271"/>
      <c r="EZ88" s="271"/>
      <c r="FA88" s="271"/>
      <c r="FB88" s="274">
        <f>MOD(EW88-EV88,1)+MOD(EY88-EX88,1)+MOD(FA88-EZ88,1)</f>
        <v>0.44444444444444448</v>
      </c>
      <c r="FC88" s="275">
        <f t="shared" si="67"/>
        <v>10</v>
      </c>
      <c r="FD88" s="275">
        <f t="shared" si="68"/>
        <v>40</v>
      </c>
      <c r="FE88" s="273">
        <f t="shared" si="69"/>
        <v>1</v>
      </c>
      <c r="FF88" s="270"/>
      <c r="FG88" s="271"/>
      <c r="FH88" s="271"/>
      <c r="FI88" s="271"/>
      <c r="FJ88" s="271"/>
      <c r="FK88" s="271"/>
      <c r="FL88" s="272">
        <v>1</v>
      </c>
      <c r="FM88" s="275">
        <f t="shared" si="70"/>
        <v>0</v>
      </c>
      <c r="FN88" s="275">
        <f t="shared" si="71"/>
        <v>0</v>
      </c>
      <c r="FO88" s="273">
        <f t="shared" si="72"/>
        <v>0</v>
      </c>
      <c r="FP88" s="270"/>
      <c r="FQ88" s="271"/>
      <c r="FR88" s="271"/>
      <c r="FS88" s="271"/>
      <c r="FT88" s="271"/>
      <c r="FU88" s="271"/>
      <c r="FV88" s="272">
        <v>1</v>
      </c>
      <c r="FW88" s="275">
        <f t="shared" si="73"/>
        <v>0</v>
      </c>
      <c r="FX88" s="275">
        <f t="shared" si="74"/>
        <v>0</v>
      </c>
      <c r="FY88" s="273">
        <f t="shared" si="75"/>
        <v>0</v>
      </c>
      <c r="FZ88" s="270"/>
      <c r="GA88" s="271"/>
      <c r="GB88" s="271"/>
      <c r="GC88" s="271"/>
      <c r="GD88" s="271"/>
      <c r="GE88" s="271"/>
      <c r="GF88" s="272">
        <v>1</v>
      </c>
      <c r="GG88" s="275">
        <f t="shared" si="76"/>
        <v>0</v>
      </c>
      <c r="GH88" s="275">
        <f t="shared" si="77"/>
        <v>0</v>
      </c>
      <c r="GI88" s="273">
        <f t="shared" si="78"/>
        <v>0</v>
      </c>
      <c r="GJ88" s="270"/>
      <c r="GK88" s="271"/>
      <c r="GL88" s="271"/>
      <c r="GM88" s="271"/>
      <c r="GN88" s="271"/>
      <c r="GO88" s="271"/>
      <c r="GP88" s="272">
        <v>1</v>
      </c>
      <c r="GQ88" s="275">
        <f t="shared" si="79"/>
        <v>0</v>
      </c>
      <c r="GR88" s="275">
        <f t="shared" si="80"/>
        <v>0</v>
      </c>
      <c r="GS88" s="273">
        <f t="shared" si="81"/>
        <v>0</v>
      </c>
      <c r="GT88" s="270"/>
      <c r="GU88" s="271"/>
      <c r="GV88" s="271"/>
      <c r="GW88" s="271"/>
      <c r="GX88" s="271"/>
      <c r="GY88" s="271"/>
      <c r="GZ88" s="272">
        <v>1</v>
      </c>
      <c r="HA88" s="275">
        <f t="shared" si="82"/>
        <v>0</v>
      </c>
      <c r="HB88" s="275">
        <f t="shared" si="83"/>
        <v>0</v>
      </c>
      <c r="HC88" s="273">
        <f t="shared" si="84"/>
        <v>0</v>
      </c>
      <c r="HD88" s="270"/>
      <c r="HE88" s="271"/>
      <c r="HF88" s="271"/>
      <c r="HG88" s="271"/>
      <c r="HH88" s="271"/>
      <c r="HI88" s="271"/>
      <c r="HJ88" s="272">
        <v>1</v>
      </c>
      <c r="HK88" s="275">
        <f t="shared" si="85"/>
        <v>0</v>
      </c>
      <c r="HL88" s="275">
        <f t="shared" si="86"/>
        <v>0</v>
      </c>
      <c r="HM88" s="273">
        <f t="shared" si="87"/>
        <v>0</v>
      </c>
      <c r="HN88" s="277">
        <v>1</v>
      </c>
      <c r="HO88" s="278">
        <v>0</v>
      </c>
      <c r="HP88" s="277">
        <v>1</v>
      </c>
      <c r="HQ88" s="278">
        <v>0</v>
      </c>
      <c r="HR88" s="277">
        <v>0.45833333333333331</v>
      </c>
      <c r="HS88" s="278">
        <v>0</v>
      </c>
      <c r="HT88" s="277">
        <v>1</v>
      </c>
      <c r="HU88" s="278">
        <v>0</v>
      </c>
      <c r="HV88" s="277">
        <v>1</v>
      </c>
      <c r="HW88" s="278">
        <v>0</v>
      </c>
      <c r="HX88" s="277">
        <v>1</v>
      </c>
      <c r="HY88" s="278">
        <v>0</v>
      </c>
      <c r="HZ88" s="277">
        <v>1</v>
      </c>
      <c r="IA88" s="278">
        <v>0</v>
      </c>
      <c r="IB88" s="277">
        <v>1</v>
      </c>
      <c r="IC88" s="278">
        <v>0</v>
      </c>
      <c r="ID88" s="277">
        <v>1</v>
      </c>
      <c r="IE88" s="278">
        <v>0</v>
      </c>
      <c r="IF88" s="277">
        <v>0.46527777777777785</v>
      </c>
      <c r="IG88" s="278">
        <v>1</v>
      </c>
      <c r="IH88" s="277">
        <v>0.49305555555555552</v>
      </c>
      <c r="II88" s="278">
        <v>1</v>
      </c>
      <c r="IJ88" s="277">
        <v>1</v>
      </c>
      <c r="IK88" s="278">
        <v>0</v>
      </c>
      <c r="IL88" s="277">
        <v>1</v>
      </c>
      <c r="IM88" s="278">
        <v>0</v>
      </c>
      <c r="IN88" s="277">
        <v>1</v>
      </c>
      <c r="IO88" s="278">
        <v>0</v>
      </c>
      <c r="IP88" s="277">
        <v>1</v>
      </c>
      <c r="IQ88" s="278">
        <v>0</v>
      </c>
      <c r="IR88" s="277">
        <v>0.44444444444444448</v>
      </c>
      <c r="IS88" s="278">
        <v>1</v>
      </c>
      <c r="IT88" s="277">
        <v>1</v>
      </c>
      <c r="IU88" s="278">
        <v>0</v>
      </c>
      <c r="IV88" s="277">
        <v>1</v>
      </c>
      <c r="IW88" s="278">
        <v>0</v>
      </c>
      <c r="IX88" s="277">
        <v>1</v>
      </c>
      <c r="IY88" s="278">
        <v>0</v>
      </c>
      <c r="IZ88" s="277">
        <v>1</v>
      </c>
      <c r="JA88" s="278">
        <v>0</v>
      </c>
      <c r="JB88" s="277">
        <v>1</v>
      </c>
      <c r="JC88" s="278">
        <v>0</v>
      </c>
      <c r="JD88" s="277">
        <v>1</v>
      </c>
      <c r="JE88" s="278">
        <v>0</v>
      </c>
      <c r="KB88" s="8"/>
    </row>
    <row r="89" spans="1:288">
      <c r="A89" s="207">
        <v>46107</v>
      </c>
      <c r="B89" s="270"/>
      <c r="C89" s="271"/>
      <c r="D89" s="271"/>
      <c r="E89" s="271"/>
      <c r="F89" s="271"/>
      <c r="G89" s="271"/>
      <c r="H89" s="272">
        <v>1</v>
      </c>
      <c r="I89" s="275">
        <f t="shared" si="22"/>
        <v>0</v>
      </c>
      <c r="J89" s="275">
        <f t="shared" si="23"/>
        <v>0</v>
      </c>
      <c r="K89" s="273">
        <f t="shared" si="24"/>
        <v>0</v>
      </c>
      <c r="L89" s="270"/>
      <c r="M89" s="271"/>
      <c r="N89" s="271"/>
      <c r="O89" s="271"/>
      <c r="P89" s="271"/>
      <c r="Q89" s="271"/>
      <c r="R89" s="272">
        <v>1</v>
      </c>
      <c r="S89" s="275">
        <f t="shared" si="25"/>
        <v>0</v>
      </c>
      <c r="T89" s="275">
        <f t="shared" si="26"/>
        <v>0</v>
      </c>
      <c r="U89" s="273">
        <f t="shared" si="27"/>
        <v>0</v>
      </c>
      <c r="V89" s="270"/>
      <c r="W89" s="271"/>
      <c r="X89" s="271"/>
      <c r="Y89" s="271"/>
      <c r="Z89" s="271"/>
      <c r="AA89" s="271"/>
      <c r="AB89" s="272">
        <v>0</v>
      </c>
      <c r="AC89" s="275">
        <f t="shared" si="28"/>
        <v>0</v>
      </c>
      <c r="AD89" s="275">
        <f t="shared" si="29"/>
        <v>0</v>
      </c>
      <c r="AE89" s="273">
        <f t="shared" si="30"/>
        <v>0</v>
      </c>
      <c r="AF89" s="270"/>
      <c r="AG89" s="271"/>
      <c r="AH89" s="271"/>
      <c r="AI89" s="271"/>
      <c r="AJ89" s="271"/>
      <c r="AK89" s="271"/>
      <c r="AL89" s="272">
        <v>1</v>
      </c>
      <c r="AM89" s="275">
        <f t="shared" si="31"/>
        <v>0</v>
      </c>
      <c r="AN89" s="275">
        <f t="shared" si="32"/>
        <v>0</v>
      </c>
      <c r="AO89" s="273">
        <f t="shared" si="33"/>
        <v>0</v>
      </c>
      <c r="AP89" s="270"/>
      <c r="AQ89" s="271"/>
      <c r="AR89" s="271"/>
      <c r="AS89" s="271"/>
      <c r="AT89" s="271"/>
      <c r="AU89" s="271"/>
      <c r="AV89" s="272">
        <v>1</v>
      </c>
      <c r="AW89" s="275">
        <f t="shared" si="34"/>
        <v>0</v>
      </c>
      <c r="AX89" s="275">
        <f t="shared" si="35"/>
        <v>0</v>
      </c>
      <c r="AY89" s="273">
        <f t="shared" si="36"/>
        <v>0</v>
      </c>
      <c r="AZ89" s="270"/>
      <c r="BA89" s="271"/>
      <c r="BB89" s="271"/>
      <c r="BC89" s="271"/>
      <c r="BD89" s="271"/>
      <c r="BE89" s="271"/>
      <c r="BF89" s="272">
        <v>1</v>
      </c>
      <c r="BG89" s="275">
        <f t="shared" si="37"/>
        <v>0</v>
      </c>
      <c r="BH89" s="275">
        <f t="shared" si="38"/>
        <v>0</v>
      </c>
      <c r="BI89" s="273">
        <f t="shared" si="39"/>
        <v>0</v>
      </c>
      <c r="BJ89" s="270"/>
      <c r="BK89" s="271"/>
      <c r="BL89" s="271"/>
      <c r="BM89" s="271"/>
      <c r="BN89" s="271"/>
      <c r="BO89" s="271"/>
      <c r="BP89" s="272">
        <v>1</v>
      </c>
      <c r="BQ89" s="275">
        <f t="shared" si="40"/>
        <v>0</v>
      </c>
      <c r="BR89" s="275">
        <f t="shared" si="41"/>
        <v>0</v>
      </c>
      <c r="BS89" s="273">
        <f t="shared" si="42"/>
        <v>0</v>
      </c>
      <c r="BT89" s="270"/>
      <c r="BU89" s="271"/>
      <c r="BV89" s="271"/>
      <c r="BW89" s="271"/>
      <c r="BX89" s="271"/>
      <c r="BY89" s="271"/>
      <c r="BZ89" s="272">
        <v>1</v>
      </c>
      <c r="CA89" s="275">
        <f t="shared" si="43"/>
        <v>0</v>
      </c>
      <c r="CB89" s="275">
        <f t="shared" si="44"/>
        <v>0</v>
      </c>
      <c r="CC89" s="273">
        <f t="shared" si="45"/>
        <v>0</v>
      </c>
      <c r="CD89" s="270"/>
      <c r="CE89" s="271"/>
      <c r="CF89" s="271"/>
      <c r="CG89" s="271"/>
      <c r="CH89" s="271"/>
      <c r="CI89" s="271"/>
      <c r="CJ89" s="272">
        <v>1</v>
      </c>
      <c r="CK89" s="275">
        <f t="shared" si="46"/>
        <v>0</v>
      </c>
      <c r="CL89" s="275">
        <f t="shared" si="47"/>
        <v>0</v>
      </c>
      <c r="CM89" s="273">
        <f t="shared" si="48"/>
        <v>0</v>
      </c>
      <c r="CN89" s="270">
        <v>4.1666666666666664E-2</v>
      </c>
      <c r="CO89" s="271">
        <v>0.67361111111111116</v>
      </c>
      <c r="CP89" s="271"/>
      <c r="CQ89" s="271"/>
      <c r="CR89" s="271"/>
      <c r="CS89" s="271"/>
      <c r="CT89" s="274">
        <f>MOD(CO89-CN89,1)+MOD(CQ89-CP89,1)+MOD(CS89-CR89,1)</f>
        <v>0.63194444444444453</v>
      </c>
      <c r="CU89" s="275">
        <f t="shared" si="49"/>
        <v>15</v>
      </c>
      <c r="CV89" s="275">
        <f t="shared" si="50"/>
        <v>10</v>
      </c>
      <c r="CW89" s="273">
        <f t="shared" si="51"/>
        <v>1</v>
      </c>
      <c r="CX89" s="270"/>
      <c r="CY89" s="271"/>
      <c r="CZ89" s="271"/>
      <c r="DA89" s="271"/>
      <c r="DB89" s="271"/>
      <c r="DC89" s="271"/>
      <c r="DD89" s="272">
        <v>1</v>
      </c>
      <c r="DE89" s="275">
        <f t="shared" si="52"/>
        <v>0</v>
      </c>
      <c r="DF89" s="275">
        <f t="shared" si="53"/>
        <v>0</v>
      </c>
      <c r="DG89" s="273">
        <f t="shared" si="54"/>
        <v>0</v>
      </c>
      <c r="DH89" s="270"/>
      <c r="DI89" s="271"/>
      <c r="DJ89" s="271"/>
      <c r="DK89" s="271"/>
      <c r="DL89" s="271"/>
      <c r="DM89" s="271"/>
      <c r="DN89" s="272">
        <v>1</v>
      </c>
      <c r="DO89" s="275">
        <f t="shared" si="55"/>
        <v>0</v>
      </c>
      <c r="DP89" s="275">
        <f t="shared" si="56"/>
        <v>0</v>
      </c>
      <c r="DQ89" s="273">
        <f t="shared" si="57"/>
        <v>0</v>
      </c>
      <c r="DR89" s="270"/>
      <c r="DS89" s="271"/>
      <c r="DT89" s="271"/>
      <c r="DU89" s="271"/>
      <c r="DV89" s="271"/>
      <c r="DW89" s="271"/>
      <c r="DX89" s="272">
        <v>1</v>
      </c>
      <c r="DY89" s="275">
        <f t="shared" si="58"/>
        <v>0</v>
      </c>
      <c r="DZ89" s="275">
        <f t="shared" si="59"/>
        <v>0</v>
      </c>
      <c r="EA89" s="273">
        <f t="shared" si="60"/>
        <v>0</v>
      </c>
      <c r="EB89" s="270"/>
      <c r="EC89" s="271"/>
      <c r="ED89" s="271"/>
      <c r="EE89" s="271"/>
      <c r="EF89" s="271"/>
      <c r="EG89" s="271"/>
      <c r="EH89" s="272">
        <v>1</v>
      </c>
      <c r="EI89" s="275">
        <f t="shared" si="61"/>
        <v>0</v>
      </c>
      <c r="EJ89" s="275">
        <f t="shared" si="62"/>
        <v>0</v>
      </c>
      <c r="EK89" s="273">
        <f t="shared" si="63"/>
        <v>0</v>
      </c>
      <c r="EL89" s="270"/>
      <c r="EM89" s="271"/>
      <c r="EN89" s="271"/>
      <c r="EO89" s="271"/>
      <c r="EP89" s="271"/>
      <c r="EQ89" s="271"/>
      <c r="ER89" s="272">
        <v>1</v>
      </c>
      <c r="ES89" s="275">
        <f t="shared" si="64"/>
        <v>0</v>
      </c>
      <c r="ET89" s="275">
        <f t="shared" si="65"/>
        <v>0</v>
      </c>
      <c r="EU89" s="273">
        <f t="shared" si="66"/>
        <v>0</v>
      </c>
      <c r="EV89" s="270"/>
      <c r="EW89" s="271"/>
      <c r="EX89" s="271"/>
      <c r="EY89" s="271"/>
      <c r="EZ89" s="271"/>
      <c r="FA89" s="271"/>
      <c r="FB89" s="272">
        <v>1</v>
      </c>
      <c r="FC89" s="275">
        <f t="shared" si="67"/>
        <v>0</v>
      </c>
      <c r="FD89" s="275">
        <f t="shared" si="68"/>
        <v>0</v>
      </c>
      <c r="FE89" s="273">
        <f t="shared" si="69"/>
        <v>0</v>
      </c>
      <c r="FF89" s="270"/>
      <c r="FG89" s="271"/>
      <c r="FH89" s="271"/>
      <c r="FI89" s="271"/>
      <c r="FJ89" s="271"/>
      <c r="FK89" s="271"/>
      <c r="FL89" s="272">
        <v>1</v>
      </c>
      <c r="FM89" s="275">
        <f t="shared" si="70"/>
        <v>0</v>
      </c>
      <c r="FN89" s="275">
        <f t="shared" si="71"/>
        <v>0</v>
      </c>
      <c r="FO89" s="273">
        <f t="shared" si="72"/>
        <v>0</v>
      </c>
      <c r="FP89" s="270"/>
      <c r="FQ89" s="271"/>
      <c r="FR89" s="271"/>
      <c r="FS89" s="271"/>
      <c r="FT89" s="271"/>
      <c r="FU89" s="271"/>
      <c r="FV89" s="272">
        <v>1</v>
      </c>
      <c r="FW89" s="275">
        <f t="shared" si="73"/>
        <v>0</v>
      </c>
      <c r="FX89" s="275">
        <f t="shared" si="74"/>
        <v>0</v>
      </c>
      <c r="FY89" s="273">
        <f t="shared" si="75"/>
        <v>0</v>
      </c>
      <c r="FZ89" s="270"/>
      <c r="GA89" s="271"/>
      <c r="GB89" s="271"/>
      <c r="GC89" s="271"/>
      <c r="GD89" s="271"/>
      <c r="GE89" s="271"/>
      <c r="GF89" s="272">
        <v>1</v>
      </c>
      <c r="GG89" s="275">
        <f t="shared" si="76"/>
        <v>0</v>
      </c>
      <c r="GH89" s="275">
        <f t="shared" si="77"/>
        <v>0</v>
      </c>
      <c r="GI89" s="273">
        <f t="shared" si="78"/>
        <v>0</v>
      </c>
      <c r="GJ89" s="270"/>
      <c r="GK89" s="271"/>
      <c r="GL89" s="271"/>
      <c r="GM89" s="271"/>
      <c r="GN89" s="271"/>
      <c r="GO89" s="271"/>
      <c r="GP89" s="272">
        <v>1</v>
      </c>
      <c r="GQ89" s="275">
        <f t="shared" si="79"/>
        <v>0</v>
      </c>
      <c r="GR89" s="275">
        <f t="shared" si="80"/>
        <v>0</v>
      </c>
      <c r="GS89" s="273">
        <f t="shared" si="81"/>
        <v>0</v>
      </c>
      <c r="GT89" s="270"/>
      <c r="GU89" s="271"/>
      <c r="GV89" s="271"/>
      <c r="GW89" s="271"/>
      <c r="GX89" s="271"/>
      <c r="GY89" s="271"/>
      <c r="GZ89" s="272">
        <v>1</v>
      </c>
      <c r="HA89" s="275">
        <f t="shared" si="82"/>
        <v>0</v>
      </c>
      <c r="HB89" s="275">
        <f t="shared" si="83"/>
        <v>0</v>
      </c>
      <c r="HC89" s="273">
        <f t="shared" si="84"/>
        <v>0</v>
      </c>
      <c r="HD89" s="270"/>
      <c r="HE89" s="271"/>
      <c r="HF89" s="271"/>
      <c r="HG89" s="271"/>
      <c r="HH89" s="271"/>
      <c r="HI89" s="271"/>
      <c r="HJ89" s="272">
        <v>1</v>
      </c>
      <c r="HK89" s="275">
        <f t="shared" si="85"/>
        <v>0</v>
      </c>
      <c r="HL89" s="275">
        <f t="shared" si="86"/>
        <v>0</v>
      </c>
      <c r="HM89" s="273">
        <f t="shared" si="87"/>
        <v>0</v>
      </c>
      <c r="HN89" s="277">
        <v>1</v>
      </c>
      <c r="HO89" s="278">
        <v>0</v>
      </c>
      <c r="HP89" s="277">
        <v>1</v>
      </c>
      <c r="HQ89" s="278">
        <v>0</v>
      </c>
      <c r="HR89" s="277">
        <v>0</v>
      </c>
      <c r="HS89" s="278">
        <v>0</v>
      </c>
      <c r="HT89" s="277">
        <v>1</v>
      </c>
      <c r="HU89" s="278">
        <v>0</v>
      </c>
      <c r="HV89" s="277">
        <v>1</v>
      </c>
      <c r="HW89" s="278">
        <v>0</v>
      </c>
      <c r="HX89" s="277">
        <v>1</v>
      </c>
      <c r="HY89" s="278">
        <v>0</v>
      </c>
      <c r="HZ89" s="277">
        <v>1</v>
      </c>
      <c r="IA89" s="278">
        <v>0</v>
      </c>
      <c r="IB89" s="277">
        <v>1</v>
      </c>
      <c r="IC89" s="278">
        <v>0</v>
      </c>
      <c r="ID89" s="277">
        <v>1</v>
      </c>
      <c r="IE89" s="278">
        <v>0</v>
      </c>
      <c r="IF89" s="277">
        <v>0.63194444444444453</v>
      </c>
      <c r="IG89" s="278">
        <v>1</v>
      </c>
      <c r="IH89" s="277">
        <v>1</v>
      </c>
      <c r="II89" s="278">
        <v>0</v>
      </c>
      <c r="IJ89" s="277">
        <v>1</v>
      </c>
      <c r="IK89" s="278">
        <v>0</v>
      </c>
      <c r="IL89" s="277">
        <v>1</v>
      </c>
      <c r="IM89" s="278">
        <v>0</v>
      </c>
      <c r="IN89" s="277">
        <v>1</v>
      </c>
      <c r="IO89" s="278">
        <v>0</v>
      </c>
      <c r="IP89" s="277">
        <v>1</v>
      </c>
      <c r="IQ89" s="278">
        <v>0</v>
      </c>
      <c r="IR89" s="277">
        <v>1</v>
      </c>
      <c r="IS89" s="278">
        <v>0</v>
      </c>
      <c r="IT89" s="277">
        <v>1</v>
      </c>
      <c r="IU89" s="278">
        <v>0</v>
      </c>
      <c r="IV89" s="277">
        <v>1</v>
      </c>
      <c r="IW89" s="278">
        <v>0</v>
      </c>
      <c r="IX89" s="277">
        <v>1</v>
      </c>
      <c r="IY89" s="278">
        <v>0</v>
      </c>
      <c r="IZ89" s="277">
        <v>1</v>
      </c>
      <c r="JA89" s="278">
        <v>0</v>
      </c>
      <c r="JB89" s="277">
        <v>1</v>
      </c>
      <c r="JC89" s="278">
        <v>0</v>
      </c>
      <c r="JD89" s="277">
        <v>1</v>
      </c>
      <c r="JE89" s="278">
        <v>0</v>
      </c>
      <c r="KB89" s="8"/>
    </row>
    <row r="90" spans="1:288">
      <c r="A90" s="207">
        <v>46108</v>
      </c>
      <c r="B90" s="270"/>
      <c r="C90" s="271"/>
      <c r="D90" s="271"/>
      <c r="E90" s="271"/>
      <c r="F90" s="271"/>
      <c r="G90" s="271"/>
      <c r="H90" s="272">
        <v>1</v>
      </c>
      <c r="I90" s="275">
        <f t="shared" si="22"/>
        <v>0</v>
      </c>
      <c r="J90" s="275">
        <f t="shared" si="23"/>
        <v>0</v>
      </c>
      <c r="K90" s="273">
        <f t="shared" si="24"/>
        <v>0</v>
      </c>
      <c r="L90" s="270"/>
      <c r="M90" s="271"/>
      <c r="N90" s="271"/>
      <c r="O90" s="271"/>
      <c r="P90" s="271"/>
      <c r="Q90" s="271"/>
      <c r="R90" s="272">
        <v>1</v>
      </c>
      <c r="S90" s="275">
        <f t="shared" si="25"/>
        <v>0</v>
      </c>
      <c r="T90" s="275">
        <f t="shared" si="26"/>
        <v>0</v>
      </c>
      <c r="U90" s="273">
        <f t="shared" si="27"/>
        <v>0</v>
      </c>
      <c r="V90" s="270"/>
      <c r="W90" s="271"/>
      <c r="X90" s="271"/>
      <c r="Y90" s="271"/>
      <c r="Z90" s="271"/>
      <c r="AA90" s="271"/>
      <c r="AB90" s="272">
        <v>0</v>
      </c>
      <c r="AC90" s="275">
        <f t="shared" si="28"/>
        <v>0</v>
      </c>
      <c r="AD90" s="275">
        <f t="shared" si="29"/>
        <v>0</v>
      </c>
      <c r="AE90" s="273">
        <f t="shared" si="30"/>
        <v>0</v>
      </c>
      <c r="AF90" s="270"/>
      <c r="AG90" s="271"/>
      <c r="AH90" s="271"/>
      <c r="AI90" s="271"/>
      <c r="AJ90" s="271"/>
      <c r="AK90" s="271"/>
      <c r="AL90" s="272">
        <v>1</v>
      </c>
      <c r="AM90" s="275">
        <f t="shared" si="31"/>
        <v>0</v>
      </c>
      <c r="AN90" s="275">
        <f t="shared" si="32"/>
        <v>0</v>
      </c>
      <c r="AO90" s="273">
        <f t="shared" si="33"/>
        <v>0</v>
      </c>
      <c r="AP90" s="270"/>
      <c r="AQ90" s="271"/>
      <c r="AR90" s="271"/>
      <c r="AS90" s="271"/>
      <c r="AT90" s="271"/>
      <c r="AU90" s="271"/>
      <c r="AV90" s="272">
        <v>1</v>
      </c>
      <c r="AW90" s="275">
        <f t="shared" si="34"/>
        <v>0</v>
      </c>
      <c r="AX90" s="275">
        <f t="shared" si="35"/>
        <v>0</v>
      </c>
      <c r="AY90" s="273">
        <f t="shared" si="36"/>
        <v>0</v>
      </c>
      <c r="AZ90" s="270"/>
      <c r="BA90" s="271"/>
      <c r="BB90" s="271"/>
      <c r="BC90" s="271"/>
      <c r="BD90" s="271"/>
      <c r="BE90" s="271"/>
      <c r="BF90" s="272">
        <v>1</v>
      </c>
      <c r="BG90" s="275">
        <f t="shared" si="37"/>
        <v>0</v>
      </c>
      <c r="BH90" s="275">
        <f t="shared" si="38"/>
        <v>0</v>
      </c>
      <c r="BI90" s="273">
        <f t="shared" si="39"/>
        <v>0</v>
      </c>
      <c r="BJ90" s="270"/>
      <c r="BK90" s="271"/>
      <c r="BL90" s="271"/>
      <c r="BM90" s="271"/>
      <c r="BN90" s="271"/>
      <c r="BO90" s="271"/>
      <c r="BP90" s="272">
        <v>1</v>
      </c>
      <c r="BQ90" s="275">
        <f t="shared" si="40"/>
        <v>0</v>
      </c>
      <c r="BR90" s="275">
        <f t="shared" si="41"/>
        <v>0</v>
      </c>
      <c r="BS90" s="273">
        <f t="shared" si="42"/>
        <v>0</v>
      </c>
      <c r="BT90" s="270"/>
      <c r="BU90" s="271"/>
      <c r="BV90" s="271"/>
      <c r="BW90" s="271"/>
      <c r="BX90" s="271"/>
      <c r="BY90" s="271"/>
      <c r="BZ90" s="272">
        <v>1</v>
      </c>
      <c r="CA90" s="275">
        <f t="shared" si="43"/>
        <v>0</v>
      </c>
      <c r="CB90" s="275">
        <f t="shared" si="44"/>
        <v>0</v>
      </c>
      <c r="CC90" s="273">
        <f t="shared" si="45"/>
        <v>0</v>
      </c>
      <c r="CD90" s="270"/>
      <c r="CE90" s="271"/>
      <c r="CF90" s="271"/>
      <c r="CG90" s="271"/>
      <c r="CH90" s="271"/>
      <c r="CI90" s="271"/>
      <c r="CJ90" s="272">
        <v>1</v>
      </c>
      <c r="CK90" s="275">
        <f t="shared" si="46"/>
        <v>0</v>
      </c>
      <c r="CL90" s="275">
        <f t="shared" si="47"/>
        <v>0</v>
      </c>
      <c r="CM90" s="273">
        <f t="shared" si="48"/>
        <v>0</v>
      </c>
      <c r="CN90" s="270"/>
      <c r="CO90" s="271"/>
      <c r="CP90" s="271"/>
      <c r="CQ90" s="271"/>
      <c r="CR90" s="271"/>
      <c r="CS90" s="271"/>
      <c r="CT90" s="272">
        <v>1</v>
      </c>
      <c r="CU90" s="275">
        <f t="shared" si="49"/>
        <v>0</v>
      </c>
      <c r="CV90" s="275">
        <f t="shared" si="50"/>
        <v>0</v>
      </c>
      <c r="CW90" s="273">
        <f t="shared" si="51"/>
        <v>0</v>
      </c>
      <c r="CX90" s="270"/>
      <c r="CY90" s="271"/>
      <c r="CZ90" s="271"/>
      <c r="DA90" s="271"/>
      <c r="DB90" s="271"/>
      <c r="DC90" s="271"/>
      <c r="DD90" s="272">
        <v>1</v>
      </c>
      <c r="DE90" s="275">
        <f t="shared" si="52"/>
        <v>0</v>
      </c>
      <c r="DF90" s="275">
        <f t="shared" si="53"/>
        <v>0</v>
      </c>
      <c r="DG90" s="273">
        <f t="shared" si="54"/>
        <v>0</v>
      </c>
      <c r="DH90" s="270"/>
      <c r="DI90" s="271"/>
      <c r="DJ90" s="271"/>
      <c r="DK90" s="271"/>
      <c r="DL90" s="271"/>
      <c r="DM90" s="271"/>
      <c r="DN90" s="272">
        <v>1</v>
      </c>
      <c r="DO90" s="275">
        <f t="shared" si="55"/>
        <v>0</v>
      </c>
      <c r="DP90" s="275">
        <f t="shared" si="56"/>
        <v>0</v>
      </c>
      <c r="DQ90" s="273">
        <f t="shared" si="57"/>
        <v>0</v>
      </c>
      <c r="DR90" s="270"/>
      <c r="DS90" s="271"/>
      <c r="DT90" s="271"/>
      <c r="DU90" s="271"/>
      <c r="DV90" s="271"/>
      <c r="DW90" s="271"/>
      <c r="DX90" s="272">
        <v>1</v>
      </c>
      <c r="DY90" s="275">
        <f t="shared" si="58"/>
        <v>0</v>
      </c>
      <c r="DZ90" s="275">
        <f t="shared" si="59"/>
        <v>0</v>
      </c>
      <c r="EA90" s="273">
        <f t="shared" si="60"/>
        <v>0</v>
      </c>
      <c r="EB90" s="270"/>
      <c r="EC90" s="271"/>
      <c r="ED90" s="271"/>
      <c r="EE90" s="271"/>
      <c r="EF90" s="271"/>
      <c r="EG90" s="271"/>
      <c r="EH90" s="272">
        <v>1</v>
      </c>
      <c r="EI90" s="275">
        <f t="shared" si="61"/>
        <v>0</v>
      </c>
      <c r="EJ90" s="275">
        <f t="shared" si="62"/>
        <v>0</v>
      </c>
      <c r="EK90" s="273">
        <f t="shared" si="63"/>
        <v>0</v>
      </c>
      <c r="EL90" s="270"/>
      <c r="EM90" s="271"/>
      <c r="EN90" s="271"/>
      <c r="EO90" s="271"/>
      <c r="EP90" s="271"/>
      <c r="EQ90" s="271"/>
      <c r="ER90" s="272">
        <v>1</v>
      </c>
      <c r="ES90" s="275">
        <f t="shared" si="64"/>
        <v>0</v>
      </c>
      <c r="ET90" s="275">
        <f t="shared" si="65"/>
        <v>0</v>
      </c>
      <c r="EU90" s="273">
        <f t="shared" si="66"/>
        <v>0</v>
      </c>
      <c r="EV90" s="270"/>
      <c r="EW90" s="271"/>
      <c r="EX90" s="271"/>
      <c r="EY90" s="271"/>
      <c r="EZ90" s="271"/>
      <c r="FA90" s="271"/>
      <c r="FB90" s="272">
        <v>1</v>
      </c>
      <c r="FC90" s="275">
        <f t="shared" si="67"/>
        <v>0</v>
      </c>
      <c r="FD90" s="275">
        <f t="shared" si="68"/>
        <v>0</v>
      </c>
      <c r="FE90" s="273">
        <f t="shared" si="69"/>
        <v>0</v>
      </c>
      <c r="FF90" s="270"/>
      <c r="FG90" s="271"/>
      <c r="FH90" s="271"/>
      <c r="FI90" s="271"/>
      <c r="FJ90" s="271"/>
      <c r="FK90" s="271"/>
      <c r="FL90" s="272">
        <v>1</v>
      </c>
      <c r="FM90" s="275">
        <f t="shared" si="70"/>
        <v>0</v>
      </c>
      <c r="FN90" s="275">
        <f t="shared" si="71"/>
        <v>0</v>
      </c>
      <c r="FO90" s="273">
        <f t="shared" si="72"/>
        <v>0</v>
      </c>
      <c r="FP90" s="270"/>
      <c r="FQ90" s="271"/>
      <c r="FR90" s="271"/>
      <c r="FS90" s="271"/>
      <c r="FT90" s="271"/>
      <c r="FU90" s="271"/>
      <c r="FV90" s="272">
        <v>1</v>
      </c>
      <c r="FW90" s="275">
        <f t="shared" si="73"/>
        <v>0</v>
      </c>
      <c r="FX90" s="275">
        <f t="shared" si="74"/>
        <v>0</v>
      </c>
      <c r="FY90" s="273">
        <f t="shared" si="75"/>
        <v>0</v>
      </c>
      <c r="FZ90" s="270"/>
      <c r="GA90" s="271"/>
      <c r="GB90" s="271"/>
      <c r="GC90" s="271"/>
      <c r="GD90" s="271"/>
      <c r="GE90" s="271"/>
      <c r="GF90" s="272">
        <v>1</v>
      </c>
      <c r="GG90" s="275">
        <f t="shared" si="76"/>
        <v>0</v>
      </c>
      <c r="GH90" s="275">
        <f t="shared" si="77"/>
        <v>0</v>
      </c>
      <c r="GI90" s="273">
        <f t="shared" si="78"/>
        <v>0</v>
      </c>
      <c r="GJ90" s="270"/>
      <c r="GK90" s="271"/>
      <c r="GL90" s="271"/>
      <c r="GM90" s="271"/>
      <c r="GN90" s="271"/>
      <c r="GO90" s="271"/>
      <c r="GP90" s="272">
        <v>1</v>
      </c>
      <c r="GQ90" s="275">
        <f t="shared" si="79"/>
        <v>0</v>
      </c>
      <c r="GR90" s="275">
        <f t="shared" si="80"/>
        <v>0</v>
      </c>
      <c r="GS90" s="273">
        <f t="shared" si="81"/>
        <v>0</v>
      </c>
      <c r="GT90" s="270"/>
      <c r="GU90" s="271"/>
      <c r="GV90" s="271"/>
      <c r="GW90" s="271"/>
      <c r="GX90" s="271"/>
      <c r="GY90" s="271"/>
      <c r="GZ90" s="272">
        <v>1</v>
      </c>
      <c r="HA90" s="275">
        <f t="shared" si="82"/>
        <v>0</v>
      </c>
      <c r="HB90" s="275">
        <f t="shared" si="83"/>
        <v>0</v>
      </c>
      <c r="HC90" s="273">
        <f t="shared" si="84"/>
        <v>0</v>
      </c>
      <c r="HD90" s="270"/>
      <c r="HE90" s="271"/>
      <c r="HF90" s="271"/>
      <c r="HG90" s="271"/>
      <c r="HH90" s="271"/>
      <c r="HI90" s="271"/>
      <c r="HJ90" s="272">
        <v>1</v>
      </c>
      <c r="HK90" s="275">
        <f t="shared" si="85"/>
        <v>0</v>
      </c>
      <c r="HL90" s="275">
        <f t="shared" si="86"/>
        <v>0</v>
      </c>
      <c r="HM90" s="273">
        <f t="shared" si="87"/>
        <v>0</v>
      </c>
      <c r="HN90" s="277">
        <v>1</v>
      </c>
      <c r="HO90" s="278">
        <v>0</v>
      </c>
      <c r="HP90" s="277">
        <v>1</v>
      </c>
      <c r="HQ90" s="278">
        <v>0</v>
      </c>
      <c r="HR90" s="277">
        <v>0</v>
      </c>
      <c r="HS90" s="278">
        <v>0</v>
      </c>
      <c r="HT90" s="277">
        <v>1</v>
      </c>
      <c r="HU90" s="278">
        <v>0</v>
      </c>
      <c r="HV90" s="277">
        <v>1</v>
      </c>
      <c r="HW90" s="278">
        <v>0</v>
      </c>
      <c r="HX90" s="277">
        <v>1</v>
      </c>
      <c r="HY90" s="278">
        <v>0</v>
      </c>
      <c r="HZ90" s="277">
        <v>1</v>
      </c>
      <c r="IA90" s="278">
        <v>0</v>
      </c>
      <c r="IB90" s="277">
        <v>1</v>
      </c>
      <c r="IC90" s="278">
        <v>0</v>
      </c>
      <c r="ID90" s="277">
        <v>1</v>
      </c>
      <c r="IE90" s="278">
        <v>0</v>
      </c>
      <c r="IF90" s="277">
        <v>1</v>
      </c>
      <c r="IG90" s="278">
        <v>0</v>
      </c>
      <c r="IH90" s="277">
        <v>1</v>
      </c>
      <c r="II90" s="278">
        <v>0</v>
      </c>
      <c r="IJ90" s="277">
        <v>1</v>
      </c>
      <c r="IK90" s="278">
        <v>0</v>
      </c>
      <c r="IL90" s="277">
        <v>1</v>
      </c>
      <c r="IM90" s="278">
        <v>0</v>
      </c>
      <c r="IN90" s="277">
        <v>1</v>
      </c>
      <c r="IO90" s="278">
        <v>0</v>
      </c>
      <c r="IP90" s="277">
        <v>1</v>
      </c>
      <c r="IQ90" s="278">
        <v>0</v>
      </c>
      <c r="IR90" s="277">
        <v>1</v>
      </c>
      <c r="IS90" s="278">
        <v>0</v>
      </c>
      <c r="IT90" s="277">
        <v>1</v>
      </c>
      <c r="IU90" s="278">
        <v>0</v>
      </c>
      <c r="IV90" s="277">
        <v>1</v>
      </c>
      <c r="IW90" s="278">
        <v>0</v>
      </c>
      <c r="IX90" s="277">
        <v>1</v>
      </c>
      <c r="IY90" s="278">
        <v>0</v>
      </c>
      <c r="IZ90" s="277">
        <v>1</v>
      </c>
      <c r="JA90" s="278">
        <v>0</v>
      </c>
      <c r="JB90" s="277">
        <v>1</v>
      </c>
      <c r="JC90" s="278">
        <v>0</v>
      </c>
      <c r="JD90" s="277">
        <v>1</v>
      </c>
      <c r="JE90" s="278">
        <v>0</v>
      </c>
      <c r="KB90" s="8"/>
    </row>
    <row r="91" spans="1:288">
      <c r="A91" s="207">
        <v>46109</v>
      </c>
      <c r="B91" s="270"/>
      <c r="C91" s="271"/>
      <c r="D91" s="271"/>
      <c r="E91" s="271"/>
      <c r="F91" s="271"/>
      <c r="G91" s="271"/>
      <c r="H91" s="272">
        <v>1</v>
      </c>
      <c r="I91" s="275">
        <f t="shared" si="22"/>
        <v>0</v>
      </c>
      <c r="J91" s="275">
        <f t="shared" si="23"/>
        <v>0</v>
      </c>
      <c r="K91" s="273">
        <f t="shared" si="24"/>
        <v>0</v>
      </c>
      <c r="L91" s="270"/>
      <c r="M91" s="271"/>
      <c r="N91" s="271"/>
      <c r="O91" s="271"/>
      <c r="P91" s="271"/>
      <c r="Q91" s="271"/>
      <c r="R91" s="272">
        <v>1</v>
      </c>
      <c r="S91" s="275">
        <f t="shared" si="25"/>
        <v>0</v>
      </c>
      <c r="T91" s="275">
        <f t="shared" si="26"/>
        <v>0</v>
      </c>
      <c r="U91" s="273">
        <f t="shared" si="27"/>
        <v>0</v>
      </c>
      <c r="V91" s="270"/>
      <c r="W91" s="271"/>
      <c r="X91" s="271"/>
      <c r="Y91" s="271"/>
      <c r="Z91" s="271"/>
      <c r="AA91" s="271"/>
      <c r="AB91" s="272">
        <v>0</v>
      </c>
      <c r="AC91" s="275">
        <f t="shared" si="28"/>
        <v>0</v>
      </c>
      <c r="AD91" s="275">
        <f t="shared" si="29"/>
        <v>0</v>
      </c>
      <c r="AE91" s="273">
        <f t="shared" si="30"/>
        <v>0</v>
      </c>
      <c r="AF91" s="270"/>
      <c r="AG91" s="271"/>
      <c r="AH91" s="271"/>
      <c r="AI91" s="271"/>
      <c r="AJ91" s="271"/>
      <c r="AK91" s="271"/>
      <c r="AL91" s="272">
        <v>1</v>
      </c>
      <c r="AM91" s="275">
        <f t="shared" si="31"/>
        <v>0</v>
      </c>
      <c r="AN91" s="275">
        <f t="shared" si="32"/>
        <v>0</v>
      </c>
      <c r="AO91" s="273">
        <f t="shared" si="33"/>
        <v>0</v>
      </c>
      <c r="AP91" s="270"/>
      <c r="AQ91" s="271"/>
      <c r="AR91" s="271"/>
      <c r="AS91" s="271"/>
      <c r="AT91" s="271"/>
      <c r="AU91" s="271"/>
      <c r="AV91" s="272">
        <v>1</v>
      </c>
      <c r="AW91" s="275">
        <f t="shared" si="34"/>
        <v>0</v>
      </c>
      <c r="AX91" s="275">
        <f t="shared" si="35"/>
        <v>0</v>
      </c>
      <c r="AY91" s="273">
        <f t="shared" si="36"/>
        <v>0</v>
      </c>
      <c r="AZ91" s="270"/>
      <c r="BA91" s="271"/>
      <c r="BB91" s="271"/>
      <c r="BC91" s="271"/>
      <c r="BD91" s="271"/>
      <c r="BE91" s="271"/>
      <c r="BF91" s="272">
        <v>1</v>
      </c>
      <c r="BG91" s="275">
        <f t="shared" si="37"/>
        <v>0</v>
      </c>
      <c r="BH91" s="275">
        <f t="shared" si="38"/>
        <v>0</v>
      </c>
      <c r="BI91" s="273">
        <f t="shared" si="39"/>
        <v>0</v>
      </c>
      <c r="BJ91" s="270"/>
      <c r="BK91" s="271"/>
      <c r="BL91" s="271"/>
      <c r="BM91" s="271"/>
      <c r="BN91" s="271"/>
      <c r="BO91" s="271"/>
      <c r="BP91" s="272">
        <v>1</v>
      </c>
      <c r="BQ91" s="275">
        <f t="shared" si="40"/>
        <v>0</v>
      </c>
      <c r="BR91" s="275">
        <f t="shared" si="41"/>
        <v>0</v>
      </c>
      <c r="BS91" s="273">
        <f t="shared" si="42"/>
        <v>0</v>
      </c>
      <c r="BT91" s="270"/>
      <c r="BU91" s="271"/>
      <c r="BV91" s="271"/>
      <c r="BW91" s="271"/>
      <c r="BX91" s="271"/>
      <c r="BY91" s="271"/>
      <c r="BZ91" s="272">
        <v>1</v>
      </c>
      <c r="CA91" s="275">
        <f t="shared" si="43"/>
        <v>0</v>
      </c>
      <c r="CB91" s="275">
        <f t="shared" si="44"/>
        <v>0</v>
      </c>
      <c r="CC91" s="273">
        <f t="shared" si="45"/>
        <v>0</v>
      </c>
      <c r="CD91" s="270"/>
      <c r="CE91" s="271"/>
      <c r="CF91" s="271"/>
      <c r="CG91" s="271"/>
      <c r="CH91" s="271"/>
      <c r="CI91" s="271"/>
      <c r="CJ91" s="272">
        <v>1</v>
      </c>
      <c r="CK91" s="275">
        <f t="shared" si="46"/>
        <v>0</v>
      </c>
      <c r="CL91" s="275">
        <f t="shared" si="47"/>
        <v>0</v>
      </c>
      <c r="CM91" s="273">
        <f t="shared" si="48"/>
        <v>0</v>
      </c>
      <c r="CN91" s="270"/>
      <c r="CO91" s="271"/>
      <c r="CP91" s="271"/>
      <c r="CQ91" s="271"/>
      <c r="CR91" s="271"/>
      <c r="CS91" s="271"/>
      <c r="CT91" s="272">
        <v>1</v>
      </c>
      <c r="CU91" s="275">
        <f t="shared" si="49"/>
        <v>0</v>
      </c>
      <c r="CV91" s="275">
        <f t="shared" si="50"/>
        <v>0</v>
      </c>
      <c r="CW91" s="273">
        <f t="shared" si="51"/>
        <v>0</v>
      </c>
      <c r="CX91" s="270"/>
      <c r="CY91" s="271"/>
      <c r="CZ91" s="271"/>
      <c r="DA91" s="271"/>
      <c r="DB91" s="271"/>
      <c r="DC91" s="271"/>
      <c r="DD91" s="272">
        <v>1</v>
      </c>
      <c r="DE91" s="275">
        <f t="shared" si="52"/>
        <v>0</v>
      </c>
      <c r="DF91" s="275">
        <f t="shared" si="53"/>
        <v>0</v>
      </c>
      <c r="DG91" s="273">
        <f t="shared" si="54"/>
        <v>0</v>
      </c>
      <c r="DH91" s="270"/>
      <c r="DI91" s="271"/>
      <c r="DJ91" s="271"/>
      <c r="DK91" s="271"/>
      <c r="DL91" s="271"/>
      <c r="DM91" s="271"/>
      <c r="DN91" s="272">
        <v>1</v>
      </c>
      <c r="DO91" s="275">
        <f t="shared" si="55"/>
        <v>0</v>
      </c>
      <c r="DP91" s="275">
        <f t="shared" si="56"/>
        <v>0</v>
      </c>
      <c r="DQ91" s="273">
        <f t="shared" si="57"/>
        <v>0</v>
      </c>
      <c r="DR91" s="270"/>
      <c r="DS91" s="271"/>
      <c r="DT91" s="271"/>
      <c r="DU91" s="271"/>
      <c r="DV91" s="271"/>
      <c r="DW91" s="271"/>
      <c r="DX91" s="272">
        <v>1</v>
      </c>
      <c r="DY91" s="275">
        <f t="shared" si="58"/>
        <v>0</v>
      </c>
      <c r="DZ91" s="275">
        <f t="shared" si="59"/>
        <v>0</v>
      </c>
      <c r="EA91" s="273">
        <f t="shared" si="60"/>
        <v>0</v>
      </c>
      <c r="EB91" s="270"/>
      <c r="EC91" s="271"/>
      <c r="ED91" s="271"/>
      <c r="EE91" s="271"/>
      <c r="EF91" s="271"/>
      <c r="EG91" s="271"/>
      <c r="EH91" s="272">
        <v>1</v>
      </c>
      <c r="EI91" s="275">
        <f t="shared" si="61"/>
        <v>0</v>
      </c>
      <c r="EJ91" s="275">
        <f t="shared" si="62"/>
        <v>0</v>
      </c>
      <c r="EK91" s="273">
        <f t="shared" si="63"/>
        <v>0</v>
      </c>
      <c r="EL91" s="270"/>
      <c r="EM91" s="271"/>
      <c r="EN91" s="271"/>
      <c r="EO91" s="271"/>
      <c r="EP91" s="271"/>
      <c r="EQ91" s="271"/>
      <c r="ER91" s="272">
        <v>1</v>
      </c>
      <c r="ES91" s="275">
        <f t="shared" si="64"/>
        <v>0</v>
      </c>
      <c r="ET91" s="275">
        <f t="shared" si="65"/>
        <v>0</v>
      </c>
      <c r="EU91" s="273">
        <f t="shared" si="66"/>
        <v>0</v>
      </c>
      <c r="EV91" s="270"/>
      <c r="EW91" s="271"/>
      <c r="EX91" s="271"/>
      <c r="EY91" s="271"/>
      <c r="EZ91" s="271"/>
      <c r="FA91" s="271"/>
      <c r="FB91" s="272">
        <v>1</v>
      </c>
      <c r="FC91" s="275">
        <f t="shared" si="67"/>
        <v>0</v>
      </c>
      <c r="FD91" s="275">
        <f t="shared" si="68"/>
        <v>0</v>
      </c>
      <c r="FE91" s="273">
        <f t="shared" si="69"/>
        <v>0</v>
      </c>
      <c r="FF91" s="270"/>
      <c r="FG91" s="271"/>
      <c r="FH91" s="271"/>
      <c r="FI91" s="271"/>
      <c r="FJ91" s="271"/>
      <c r="FK91" s="271"/>
      <c r="FL91" s="272">
        <v>1</v>
      </c>
      <c r="FM91" s="275">
        <f t="shared" si="70"/>
        <v>0</v>
      </c>
      <c r="FN91" s="275">
        <f t="shared" si="71"/>
        <v>0</v>
      </c>
      <c r="FO91" s="273">
        <f t="shared" si="72"/>
        <v>0</v>
      </c>
      <c r="FP91" s="270"/>
      <c r="FQ91" s="271"/>
      <c r="FR91" s="271"/>
      <c r="FS91" s="271"/>
      <c r="FT91" s="271"/>
      <c r="FU91" s="271"/>
      <c r="FV91" s="272">
        <v>1</v>
      </c>
      <c r="FW91" s="275">
        <f t="shared" si="73"/>
        <v>0</v>
      </c>
      <c r="FX91" s="275">
        <f t="shared" si="74"/>
        <v>0</v>
      </c>
      <c r="FY91" s="273">
        <f t="shared" si="75"/>
        <v>0</v>
      </c>
      <c r="FZ91" s="270"/>
      <c r="GA91" s="271"/>
      <c r="GB91" s="271"/>
      <c r="GC91" s="271"/>
      <c r="GD91" s="271"/>
      <c r="GE91" s="271"/>
      <c r="GF91" s="272">
        <v>1</v>
      </c>
      <c r="GG91" s="275">
        <f t="shared" si="76"/>
        <v>0</v>
      </c>
      <c r="GH91" s="275">
        <f t="shared" si="77"/>
        <v>0</v>
      </c>
      <c r="GI91" s="273">
        <f t="shared" si="78"/>
        <v>0</v>
      </c>
      <c r="GJ91" s="270"/>
      <c r="GK91" s="271"/>
      <c r="GL91" s="271"/>
      <c r="GM91" s="271"/>
      <c r="GN91" s="271"/>
      <c r="GO91" s="271"/>
      <c r="GP91" s="272">
        <v>1</v>
      </c>
      <c r="GQ91" s="275">
        <f t="shared" si="79"/>
        <v>0</v>
      </c>
      <c r="GR91" s="275">
        <f t="shared" si="80"/>
        <v>0</v>
      </c>
      <c r="GS91" s="273">
        <f t="shared" si="81"/>
        <v>0</v>
      </c>
      <c r="GT91" s="270"/>
      <c r="GU91" s="271"/>
      <c r="GV91" s="271"/>
      <c r="GW91" s="271"/>
      <c r="GX91" s="271"/>
      <c r="GY91" s="271"/>
      <c r="GZ91" s="272">
        <v>1</v>
      </c>
      <c r="HA91" s="275">
        <f t="shared" si="82"/>
        <v>0</v>
      </c>
      <c r="HB91" s="275">
        <f t="shared" si="83"/>
        <v>0</v>
      </c>
      <c r="HC91" s="273">
        <f t="shared" si="84"/>
        <v>0</v>
      </c>
      <c r="HD91" s="270"/>
      <c r="HE91" s="271"/>
      <c r="HF91" s="271"/>
      <c r="HG91" s="271"/>
      <c r="HH91" s="271"/>
      <c r="HI91" s="271"/>
      <c r="HJ91" s="272">
        <v>1</v>
      </c>
      <c r="HK91" s="275">
        <f t="shared" si="85"/>
        <v>0</v>
      </c>
      <c r="HL91" s="275">
        <f t="shared" si="86"/>
        <v>0</v>
      </c>
      <c r="HM91" s="273">
        <f t="shared" si="87"/>
        <v>0</v>
      </c>
      <c r="HN91" s="277">
        <v>1</v>
      </c>
      <c r="HO91" s="278">
        <v>0</v>
      </c>
      <c r="HP91" s="277">
        <v>1</v>
      </c>
      <c r="HQ91" s="278">
        <v>0</v>
      </c>
      <c r="HR91" s="277">
        <v>0</v>
      </c>
      <c r="HS91" s="278">
        <v>0</v>
      </c>
      <c r="HT91" s="277">
        <v>1</v>
      </c>
      <c r="HU91" s="278">
        <v>0</v>
      </c>
      <c r="HV91" s="277">
        <v>1</v>
      </c>
      <c r="HW91" s="278">
        <v>0</v>
      </c>
      <c r="HX91" s="277">
        <v>1</v>
      </c>
      <c r="HY91" s="278">
        <v>0</v>
      </c>
      <c r="HZ91" s="277">
        <v>1</v>
      </c>
      <c r="IA91" s="278">
        <v>0</v>
      </c>
      <c r="IB91" s="277">
        <v>1</v>
      </c>
      <c r="IC91" s="278">
        <v>0</v>
      </c>
      <c r="ID91" s="277">
        <v>1</v>
      </c>
      <c r="IE91" s="278">
        <v>0</v>
      </c>
      <c r="IF91" s="277">
        <v>1</v>
      </c>
      <c r="IG91" s="278">
        <v>0</v>
      </c>
      <c r="IH91" s="277">
        <v>1</v>
      </c>
      <c r="II91" s="278">
        <v>0</v>
      </c>
      <c r="IJ91" s="277">
        <v>1</v>
      </c>
      <c r="IK91" s="278">
        <v>0</v>
      </c>
      <c r="IL91" s="277">
        <v>1</v>
      </c>
      <c r="IM91" s="278">
        <v>0</v>
      </c>
      <c r="IN91" s="277">
        <v>1</v>
      </c>
      <c r="IO91" s="278">
        <v>0</v>
      </c>
      <c r="IP91" s="277">
        <v>1</v>
      </c>
      <c r="IQ91" s="278">
        <v>0</v>
      </c>
      <c r="IR91" s="277">
        <v>1</v>
      </c>
      <c r="IS91" s="278">
        <v>0</v>
      </c>
      <c r="IT91" s="277">
        <v>1</v>
      </c>
      <c r="IU91" s="278">
        <v>0</v>
      </c>
      <c r="IV91" s="277">
        <v>1</v>
      </c>
      <c r="IW91" s="278">
        <v>0</v>
      </c>
      <c r="IX91" s="277">
        <v>1</v>
      </c>
      <c r="IY91" s="278">
        <v>0</v>
      </c>
      <c r="IZ91" s="277">
        <v>1</v>
      </c>
      <c r="JA91" s="278">
        <v>0</v>
      </c>
      <c r="JB91" s="277">
        <v>1</v>
      </c>
      <c r="JC91" s="278">
        <v>0</v>
      </c>
      <c r="JD91" s="277">
        <v>1</v>
      </c>
      <c r="JE91" s="278">
        <v>0</v>
      </c>
      <c r="KB91" s="8"/>
    </row>
    <row r="92" spans="1:288">
      <c r="A92" s="207">
        <v>46110</v>
      </c>
      <c r="B92" s="270"/>
      <c r="C92" s="271"/>
      <c r="D92" s="271"/>
      <c r="E92" s="271"/>
      <c r="F92" s="271"/>
      <c r="G92" s="271"/>
      <c r="H92" s="272">
        <v>1</v>
      </c>
      <c r="I92" s="275">
        <f t="shared" si="22"/>
        <v>0</v>
      </c>
      <c r="J92" s="275">
        <f t="shared" si="23"/>
        <v>0</v>
      </c>
      <c r="K92" s="273">
        <f t="shared" si="24"/>
        <v>0</v>
      </c>
      <c r="L92" s="270"/>
      <c r="M92" s="271"/>
      <c r="N92" s="271"/>
      <c r="O92" s="271"/>
      <c r="P92" s="271"/>
      <c r="Q92" s="271"/>
      <c r="R92" s="272">
        <v>1</v>
      </c>
      <c r="S92" s="275">
        <f t="shared" si="25"/>
        <v>0</v>
      </c>
      <c r="T92" s="275">
        <f t="shared" si="26"/>
        <v>0</v>
      </c>
      <c r="U92" s="273">
        <f t="shared" si="27"/>
        <v>0</v>
      </c>
      <c r="V92" s="270"/>
      <c r="W92" s="271"/>
      <c r="X92" s="271"/>
      <c r="Y92" s="271"/>
      <c r="Z92" s="271"/>
      <c r="AA92" s="271"/>
      <c r="AB92" s="272">
        <v>0</v>
      </c>
      <c r="AC92" s="275">
        <f t="shared" si="28"/>
        <v>0</v>
      </c>
      <c r="AD92" s="275">
        <f t="shared" si="29"/>
        <v>0</v>
      </c>
      <c r="AE92" s="273">
        <f t="shared" si="30"/>
        <v>0</v>
      </c>
      <c r="AF92" s="270"/>
      <c r="AG92" s="271"/>
      <c r="AH92" s="271"/>
      <c r="AI92" s="271"/>
      <c r="AJ92" s="271"/>
      <c r="AK92" s="271"/>
      <c r="AL92" s="272">
        <v>1</v>
      </c>
      <c r="AM92" s="275">
        <f t="shared" si="31"/>
        <v>0</v>
      </c>
      <c r="AN92" s="275">
        <f t="shared" si="32"/>
        <v>0</v>
      </c>
      <c r="AO92" s="273">
        <f t="shared" si="33"/>
        <v>0</v>
      </c>
      <c r="AP92" s="270"/>
      <c r="AQ92" s="271"/>
      <c r="AR92" s="271"/>
      <c r="AS92" s="271"/>
      <c r="AT92" s="271"/>
      <c r="AU92" s="271"/>
      <c r="AV92" s="272">
        <v>1</v>
      </c>
      <c r="AW92" s="275">
        <f t="shared" si="34"/>
        <v>0</v>
      </c>
      <c r="AX92" s="275">
        <f t="shared" si="35"/>
        <v>0</v>
      </c>
      <c r="AY92" s="273">
        <f t="shared" si="36"/>
        <v>0</v>
      </c>
      <c r="AZ92" s="270"/>
      <c r="BA92" s="271"/>
      <c r="BB92" s="271"/>
      <c r="BC92" s="271"/>
      <c r="BD92" s="271"/>
      <c r="BE92" s="271"/>
      <c r="BF92" s="272">
        <v>1</v>
      </c>
      <c r="BG92" s="275">
        <f t="shared" si="37"/>
        <v>0</v>
      </c>
      <c r="BH92" s="275">
        <f t="shared" si="38"/>
        <v>0</v>
      </c>
      <c r="BI92" s="273">
        <f t="shared" si="39"/>
        <v>0</v>
      </c>
      <c r="BJ92" s="270"/>
      <c r="BK92" s="271"/>
      <c r="BL92" s="271"/>
      <c r="BM92" s="271"/>
      <c r="BN92" s="271"/>
      <c r="BO92" s="271"/>
      <c r="BP92" s="272">
        <v>1</v>
      </c>
      <c r="BQ92" s="275">
        <f t="shared" si="40"/>
        <v>0</v>
      </c>
      <c r="BR92" s="275">
        <f t="shared" si="41"/>
        <v>0</v>
      </c>
      <c r="BS92" s="273">
        <f t="shared" si="42"/>
        <v>0</v>
      </c>
      <c r="BT92" s="270"/>
      <c r="BU92" s="271"/>
      <c r="BV92" s="271"/>
      <c r="BW92" s="271"/>
      <c r="BX92" s="271"/>
      <c r="BY92" s="271"/>
      <c r="BZ92" s="272">
        <v>1</v>
      </c>
      <c r="CA92" s="275">
        <f t="shared" si="43"/>
        <v>0</v>
      </c>
      <c r="CB92" s="275">
        <f t="shared" si="44"/>
        <v>0</v>
      </c>
      <c r="CC92" s="273">
        <f t="shared" si="45"/>
        <v>0</v>
      </c>
      <c r="CD92" s="270"/>
      <c r="CE92" s="271"/>
      <c r="CF92" s="271"/>
      <c r="CG92" s="271"/>
      <c r="CH92" s="271"/>
      <c r="CI92" s="271"/>
      <c r="CJ92" s="272">
        <v>1</v>
      </c>
      <c r="CK92" s="275">
        <f t="shared" si="46"/>
        <v>0</v>
      </c>
      <c r="CL92" s="275">
        <f t="shared" si="47"/>
        <v>0</v>
      </c>
      <c r="CM92" s="273">
        <f t="shared" si="48"/>
        <v>0</v>
      </c>
      <c r="CN92" s="270"/>
      <c r="CO92" s="271"/>
      <c r="CP92" s="271"/>
      <c r="CQ92" s="271"/>
      <c r="CR92" s="271"/>
      <c r="CS92" s="271"/>
      <c r="CT92" s="272">
        <v>1</v>
      </c>
      <c r="CU92" s="275">
        <f t="shared" si="49"/>
        <v>0</v>
      </c>
      <c r="CV92" s="275">
        <f t="shared" si="50"/>
        <v>0</v>
      </c>
      <c r="CW92" s="273">
        <f t="shared" si="51"/>
        <v>0</v>
      </c>
      <c r="CX92" s="270"/>
      <c r="CY92" s="271"/>
      <c r="CZ92" s="271"/>
      <c r="DA92" s="271"/>
      <c r="DB92" s="271"/>
      <c r="DC92" s="271"/>
      <c r="DD92" s="272">
        <v>1</v>
      </c>
      <c r="DE92" s="275">
        <f t="shared" si="52"/>
        <v>0</v>
      </c>
      <c r="DF92" s="275">
        <f t="shared" si="53"/>
        <v>0</v>
      </c>
      <c r="DG92" s="273">
        <f t="shared" si="54"/>
        <v>0</v>
      </c>
      <c r="DH92" s="270"/>
      <c r="DI92" s="271"/>
      <c r="DJ92" s="271"/>
      <c r="DK92" s="271"/>
      <c r="DL92" s="271"/>
      <c r="DM92" s="271"/>
      <c r="DN92" s="272">
        <v>1</v>
      </c>
      <c r="DO92" s="275">
        <f t="shared" si="55"/>
        <v>0</v>
      </c>
      <c r="DP92" s="275">
        <f t="shared" si="56"/>
        <v>0</v>
      </c>
      <c r="DQ92" s="273">
        <f t="shared" si="57"/>
        <v>0</v>
      </c>
      <c r="DR92" s="270"/>
      <c r="DS92" s="271"/>
      <c r="DT92" s="271"/>
      <c r="DU92" s="271"/>
      <c r="DV92" s="271"/>
      <c r="DW92" s="271"/>
      <c r="DX92" s="272">
        <v>1</v>
      </c>
      <c r="DY92" s="275">
        <f t="shared" si="58"/>
        <v>0</v>
      </c>
      <c r="DZ92" s="275">
        <f t="shared" si="59"/>
        <v>0</v>
      </c>
      <c r="EA92" s="273">
        <f t="shared" si="60"/>
        <v>0</v>
      </c>
      <c r="EB92" s="270"/>
      <c r="EC92" s="271"/>
      <c r="ED92" s="271"/>
      <c r="EE92" s="271"/>
      <c r="EF92" s="271"/>
      <c r="EG92" s="271"/>
      <c r="EH92" s="272">
        <v>1</v>
      </c>
      <c r="EI92" s="275">
        <f t="shared" si="61"/>
        <v>0</v>
      </c>
      <c r="EJ92" s="275">
        <f t="shared" si="62"/>
        <v>0</v>
      </c>
      <c r="EK92" s="273">
        <f t="shared" si="63"/>
        <v>0</v>
      </c>
      <c r="EL92" s="270"/>
      <c r="EM92" s="271"/>
      <c r="EN92" s="271"/>
      <c r="EO92" s="271"/>
      <c r="EP92" s="271"/>
      <c r="EQ92" s="271"/>
      <c r="ER92" s="272">
        <v>1</v>
      </c>
      <c r="ES92" s="275">
        <f t="shared" si="64"/>
        <v>0</v>
      </c>
      <c r="ET92" s="275">
        <f t="shared" si="65"/>
        <v>0</v>
      </c>
      <c r="EU92" s="273">
        <f t="shared" si="66"/>
        <v>0</v>
      </c>
      <c r="EV92" s="270"/>
      <c r="EW92" s="271"/>
      <c r="EX92" s="271"/>
      <c r="EY92" s="271"/>
      <c r="EZ92" s="271"/>
      <c r="FA92" s="271"/>
      <c r="FB92" s="272">
        <v>1</v>
      </c>
      <c r="FC92" s="275">
        <f t="shared" si="67"/>
        <v>0</v>
      </c>
      <c r="FD92" s="275">
        <f t="shared" si="68"/>
        <v>0</v>
      </c>
      <c r="FE92" s="273">
        <f t="shared" si="69"/>
        <v>0</v>
      </c>
      <c r="FF92" s="270"/>
      <c r="FG92" s="271"/>
      <c r="FH92" s="271"/>
      <c r="FI92" s="271"/>
      <c r="FJ92" s="271"/>
      <c r="FK92" s="271"/>
      <c r="FL92" s="272">
        <v>1</v>
      </c>
      <c r="FM92" s="275">
        <f t="shared" si="70"/>
        <v>0</v>
      </c>
      <c r="FN92" s="275">
        <f t="shared" si="71"/>
        <v>0</v>
      </c>
      <c r="FO92" s="273">
        <f t="shared" si="72"/>
        <v>0</v>
      </c>
      <c r="FP92" s="270"/>
      <c r="FQ92" s="271"/>
      <c r="FR92" s="271"/>
      <c r="FS92" s="271"/>
      <c r="FT92" s="271"/>
      <c r="FU92" s="271"/>
      <c r="FV92" s="272">
        <v>1</v>
      </c>
      <c r="FW92" s="275">
        <f t="shared" si="73"/>
        <v>0</v>
      </c>
      <c r="FX92" s="275">
        <f t="shared" si="74"/>
        <v>0</v>
      </c>
      <c r="FY92" s="273">
        <f t="shared" si="75"/>
        <v>0</v>
      </c>
      <c r="FZ92" s="270"/>
      <c r="GA92" s="271"/>
      <c r="GB92" s="271"/>
      <c r="GC92" s="271"/>
      <c r="GD92" s="271"/>
      <c r="GE92" s="271"/>
      <c r="GF92" s="272">
        <v>1</v>
      </c>
      <c r="GG92" s="275">
        <f t="shared" si="76"/>
        <v>0</v>
      </c>
      <c r="GH92" s="275">
        <f t="shared" si="77"/>
        <v>0</v>
      </c>
      <c r="GI92" s="273">
        <f t="shared" si="78"/>
        <v>0</v>
      </c>
      <c r="GJ92" s="270"/>
      <c r="GK92" s="271"/>
      <c r="GL92" s="271"/>
      <c r="GM92" s="271"/>
      <c r="GN92" s="271"/>
      <c r="GO92" s="271"/>
      <c r="GP92" s="272">
        <v>1</v>
      </c>
      <c r="GQ92" s="275">
        <f t="shared" si="79"/>
        <v>0</v>
      </c>
      <c r="GR92" s="275">
        <f t="shared" si="80"/>
        <v>0</v>
      </c>
      <c r="GS92" s="273">
        <f t="shared" si="81"/>
        <v>0</v>
      </c>
      <c r="GT92" s="270"/>
      <c r="GU92" s="271"/>
      <c r="GV92" s="271"/>
      <c r="GW92" s="271"/>
      <c r="GX92" s="271"/>
      <c r="GY92" s="271"/>
      <c r="GZ92" s="272">
        <v>1</v>
      </c>
      <c r="HA92" s="275">
        <f t="shared" si="82"/>
        <v>0</v>
      </c>
      <c r="HB92" s="275">
        <f t="shared" si="83"/>
        <v>0</v>
      </c>
      <c r="HC92" s="273">
        <f t="shared" si="84"/>
        <v>0</v>
      </c>
      <c r="HD92" s="270"/>
      <c r="HE92" s="271"/>
      <c r="HF92" s="271"/>
      <c r="HG92" s="271"/>
      <c r="HH92" s="271"/>
      <c r="HI92" s="271"/>
      <c r="HJ92" s="272">
        <v>1</v>
      </c>
      <c r="HK92" s="275">
        <f t="shared" si="85"/>
        <v>0</v>
      </c>
      <c r="HL92" s="275">
        <f t="shared" si="86"/>
        <v>0</v>
      </c>
      <c r="HM92" s="273">
        <f t="shared" si="87"/>
        <v>0</v>
      </c>
      <c r="HN92" s="277">
        <v>1</v>
      </c>
      <c r="HO92" s="278">
        <v>0</v>
      </c>
      <c r="HP92" s="277">
        <v>1</v>
      </c>
      <c r="HQ92" s="278">
        <v>0</v>
      </c>
      <c r="HR92" s="277">
        <v>0</v>
      </c>
      <c r="HS92" s="278">
        <v>0</v>
      </c>
      <c r="HT92" s="277">
        <v>1</v>
      </c>
      <c r="HU92" s="278">
        <v>0</v>
      </c>
      <c r="HV92" s="277">
        <v>1</v>
      </c>
      <c r="HW92" s="278">
        <v>0</v>
      </c>
      <c r="HX92" s="277">
        <v>1</v>
      </c>
      <c r="HY92" s="278">
        <v>0</v>
      </c>
      <c r="HZ92" s="277">
        <v>1</v>
      </c>
      <c r="IA92" s="278">
        <v>0</v>
      </c>
      <c r="IB92" s="277">
        <v>1</v>
      </c>
      <c r="IC92" s="278">
        <v>0</v>
      </c>
      <c r="ID92" s="277">
        <v>1</v>
      </c>
      <c r="IE92" s="278">
        <v>0</v>
      </c>
      <c r="IF92" s="277">
        <v>1</v>
      </c>
      <c r="IG92" s="278">
        <v>0</v>
      </c>
      <c r="IH92" s="277">
        <v>1</v>
      </c>
      <c r="II92" s="278">
        <v>0</v>
      </c>
      <c r="IJ92" s="277">
        <v>1</v>
      </c>
      <c r="IK92" s="278">
        <v>0</v>
      </c>
      <c r="IL92" s="277">
        <v>1</v>
      </c>
      <c r="IM92" s="278">
        <v>0</v>
      </c>
      <c r="IN92" s="277">
        <v>1</v>
      </c>
      <c r="IO92" s="278">
        <v>0</v>
      </c>
      <c r="IP92" s="277">
        <v>1</v>
      </c>
      <c r="IQ92" s="278">
        <v>0</v>
      </c>
      <c r="IR92" s="277">
        <v>1</v>
      </c>
      <c r="IS92" s="278">
        <v>0</v>
      </c>
      <c r="IT92" s="277">
        <v>1</v>
      </c>
      <c r="IU92" s="278">
        <v>0</v>
      </c>
      <c r="IV92" s="277">
        <v>1</v>
      </c>
      <c r="IW92" s="278">
        <v>0</v>
      </c>
      <c r="IX92" s="277">
        <v>1</v>
      </c>
      <c r="IY92" s="278">
        <v>0</v>
      </c>
      <c r="IZ92" s="277">
        <v>1</v>
      </c>
      <c r="JA92" s="278">
        <v>0</v>
      </c>
      <c r="JB92" s="277">
        <v>1</v>
      </c>
      <c r="JC92" s="278">
        <v>0</v>
      </c>
      <c r="JD92" s="277">
        <v>1</v>
      </c>
      <c r="JE92" s="278">
        <v>0</v>
      </c>
      <c r="KB92" s="8"/>
    </row>
    <row r="93" spans="1:288">
      <c r="A93" s="207">
        <v>46111</v>
      </c>
      <c r="B93" s="270"/>
      <c r="C93" s="271"/>
      <c r="D93" s="271"/>
      <c r="E93" s="271"/>
      <c r="F93" s="271"/>
      <c r="G93" s="271"/>
      <c r="H93" s="272">
        <v>1</v>
      </c>
      <c r="I93" s="275">
        <f t="shared" si="22"/>
        <v>0</v>
      </c>
      <c r="J93" s="275">
        <f t="shared" si="23"/>
        <v>0</v>
      </c>
      <c r="K93" s="273">
        <f t="shared" si="24"/>
        <v>0</v>
      </c>
      <c r="L93" s="270"/>
      <c r="M93" s="271"/>
      <c r="N93" s="271"/>
      <c r="O93" s="271"/>
      <c r="P93" s="271"/>
      <c r="Q93" s="271"/>
      <c r="R93" s="272">
        <v>1</v>
      </c>
      <c r="S93" s="275">
        <f t="shared" si="25"/>
        <v>0</v>
      </c>
      <c r="T93" s="275">
        <f t="shared" si="26"/>
        <v>0</v>
      </c>
      <c r="U93" s="273">
        <f t="shared" si="27"/>
        <v>0</v>
      </c>
      <c r="V93" s="270">
        <v>0.52777777777777779</v>
      </c>
      <c r="W93" s="271"/>
      <c r="X93" s="271"/>
      <c r="Y93" s="271"/>
      <c r="Z93" s="271"/>
      <c r="AA93" s="271"/>
      <c r="AB93" s="274">
        <f>MOD(W93-V93,1)+MOD(Y93-X93,1)+MOD(AA93-Z93,1)</f>
        <v>0.47222222222222221</v>
      </c>
      <c r="AC93" s="275">
        <f t="shared" si="28"/>
        <v>11</v>
      </c>
      <c r="AD93" s="275">
        <f t="shared" si="29"/>
        <v>20</v>
      </c>
      <c r="AE93" s="273">
        <f t="shared" si="30"/>
        <v>1</v>
      </c>
      <c r="AF93" s="270"/>
      <c r="AG93" s="271"/>
      <c r="AH93" s="271"/>
      <c r="AI93" s="271"/>
      <c r="AJ93" s="271"/>
      <c r="AK93" s="271"/>
      <c r="AL93" s="272">
        <v>1</v>
      </c>
      <c r="AM93" s="275">
        <f t="shared" si="31"/>
        <v>0</v>
      </c>
      <c r="AN93" s="275">
        <f t="shared" si="32"/>
        <v>0</v>
      </c>
      <c r="AO93" s="273">
        <f t="shared" si="33"/>
        <v>0</v>
      </c>
      <c r="AP93" s="270"/>
      <c r="AQ93" s="271"/>
      <c r="AR93" s="271"/>
      <c r="AS93" s="271"/>
      <c r="AT93" s="271"/>
      <c r="AU93" s="271"/>
      <c r="AV93" s="272">
        <v>1</v>
      </c>
      <c r="AW93" s="275">
        <f t="shared" si="34"/>
        <v>0</v>
      </c>
      <c r="AX93" s="275">
        <f t="shared" si="35"/>
        <v>0</v>
      </c>
      <c r="AY93" s="273">
        <f t="shared" si="36"/>
        <v>0</v>
      </c>
      <c r="AZ93" s="270"/>
      <c r="BA93" s="271"/>
      <c r="BB93" s="271"/>
      <c r="BC93" s="271"/>
      <c r="BD93" s="271"/>
      <c r="BE93" s="271"/>
      <c r="BF93" s="272">
        <v>1</v>
      </c>
      <c r="BG93" s="275">
        <f t="shared" si="37"/>
        <v>0</v>
      </c>
      <c r="BH93" s="275">
        <f t="shared" si="38"/>
        <v>0</v>
      </c>
      <c r="BI93" s="273">
        <f t="shared" si="39"/>
        <v>0</v>
      </c>
      <c r="BJ93" s="270"/>
      <c r="BK93" s="271"/>
      <c r="BL93" s="271"/>
      <c r="BM93" s="271"/>
      <c r="BN93" s="271"/>
      <c r="BO93" s="271"/>
      <c r="BP93" s="272">
        <v>1</v>
      </c>
      <c r="BQ93" s="275">
        <f t="shared" si="40"/>
        <v>0</v>
      </c>
      <c r="BR93" s="275">
        <f t="shared" si="41"/>
        <v>0</v>
      </c>
      <c r="BS93" s="273">
        <f t="shared" si="42"/>
        <v>0</v>
      </c>
      <c r="BT93" s="270"/>
      <c r="BU93" s="271"/>
      <c r="BV93" s="271"/>
      <c r="BW93" s="271"/>
      <c r="BX93" s="271"/>
      <c r="BY93" s="271"/>
      <c r="BZ93" s="272">
        <v>1</v>
      </c>
      <c r="CA93" s="275">
        <f t="shared" si="43"/>
        <v>0</v>
      </c>
      <c r="CB93" s="275">
        <f t="shared" si="44"/>
        <v>0</v>
      </c>
      <c r="CC93" s="273">
        <f t="shared" si="45"/>
        <v>0</v>
      </c>
      <c r="CD93" s="270"/>
      <c r="CE93" s="271"/>
      <c r="CF93" s="271"/>
      <c r="CG93" s="271"/>
      <c r="CH93" s="271"/>
      <c r="CI93" s="271"/>
      <c r="CJ93" s="272">
        <v>1</v>
      </c>
      <c r="CK93" s="275">
        <f t="shared" si="46"/>
        <v>0</v>
      </c>
      <c r="CL93" s="275">
        <f t="shared" si="47"/>
        <v>0</v>
      </c>
      <c r="CM93" s="273">
        <f t="shared" si="48"/>
        <v>0</v>
      </c>
      <c r="CN93" s="270"/>
      <c r="CO93" s="271"/>
      <c r="CP93" s="271"/>
      <c r="CQ93" s="271"/>
      <c r="CR93" s="271"/>
      <c r="CS93" s="271"/>
      <c r="CT93" s="272">
        <v>1</v>
      </c>
      <c r="CU93" s="275">
        <f t="shared" si="49"/>
        <v>0</v>
      </c>
      <c r="CV93" s="275">
        <f t="shared" si="50"/>
        <v>0</v>
      </c>
      <c r="CW93" s="273">
        <f t="shared" si="51"/>
        <v>0</v>
      </c>
      <c r="CX93" s="270"/>
      <c r="CY93" s="271"/>
      <c r="CZ93" s="271"/>
      <c r="DA93" s="271"/>
      <c r="DB93" s="271"/>
      <c r="DC93" s="271"/>
      <c r="DD93" s="272">
        <v>1</v>
      </c>
      <c r="DE93" s="275">
        <f t="shared" si="52"/>
        <v>0</v>
      </c>
      <c r="DF93" s="275">
        <f t="shared" si="53"/>
        <v>0</v>
      </c>
      <c r="DG93" s="273">
        <f t="shared" si="54"/>
        <v>0</v>
      </c>
      <c r="DH93" s="270"/>
      <c r="DI93" s="271"/>
      <c r="DJ93" s="271"/>
      <c r="DK93" s="271"/>
      <c r="DL93" s="271"/>
      <c r="DM93" s="271"/>
      <c r="DN93" s="272">
        <v>1</v>
      </c>
      <c r="DO93" s="275">
        <f t="shared" si="55"/>
        <v>0</v>
      </c>
      <c r="DP93" s="275">
        <f t="shared" si="56"/>
        <v>0</v>
      </c>
      <c r="DQ93" s="273">
        <f t="shared" si="57"/>
        <v>0</v>
      </c>
      <c r="DR93" s="270"/>
      <c r="DS93" s="271"/>
      <c r="DT93" s="271"/>
      <c r="DU93" s="271"/>
      <c r="DV93" s="271"/>
      <c r="DW93" s="271"/>
      <c r="DX93" s="272">
        <v>1</v>
      </c>
      <c r="DY93" s="275">
        <f t="shared" si="58"/>
        <v>0</v>
      </c>
      <c r="DZ93" s="275">
        <f t="shared" si="59"/>
        <v>0</v>
      </c>
      <c r="EA93" s="273">
        <f t="shared" si="60"/>
        <v>0</v>
      </c>
      <c r="EB93" s="270"/>
      <c r="EC93" s="271"/>
      <c r="ED93" s="271"/>
      <c r="EE93" s="271"/>
      <c r="EF93" s="271"/>
      <c r="EG93" s="271"/>
      <c r="EH93" s="272">
        <v>1</v>
      </c>
      <c r="EI93" s="275">
        <f t="shared" si="61"/>
        <v>0</v>
      </c>
      <c r="EJ93" s="275">
        <f t="shared" si="62"/>
        <v>0</v>
      </c>
      <c r="EK93" s="273">
        <f t="shared" si="63"/>
        <v>0</v>
      </c>
      <c r="EL93" s="270"/>
      <c r="EM93" s="271"/>
      <c r="EN93" s="271"/>
      <c r="EO93" s="271"/>
      <c r="EP93" s="271"/>
      <c r="EQ93" s="271"/>
      <c r="ER93" s="272">
        <v>1</v>
      </c>
      <c r="ES93" s="275">
        <f t="shared" si="64"/>
        <v>0</v>
      </c>
      <c r="ET93" s="275">
        <f t="shared" si="65"/>
        <v>0</v>
      </c>
      <c r="EU93" s="273">
        <f t="shared" si="66"/>
        <v>0</v>
      </c>
      <c r="EV93" s="270"/>
      <c r="EW93" s="271"/>
      <c r="EX93" s="271"/>
      <c r="EY93" s="271"/>
      <c r="EZ93" s="271"/>
      <c r="FA93" s="271"/>
      <c r="FB93" s="272">
        <v>1</v>
      </c>
      <c r="FC93" s="275">
        <f t="shared" si="67"/>
        <v>0</v>
      </c>
      <c r="FD93" s="275">
        <f t="shared" si="68"/>
        <v>0</v>
      </c>
      <c r="FE93" s="273">
        <f t="shared" si="69"/>
        <v>0</v>
      </c>
      <c r="FF93" s="270"/>
      <c r="FG93" s="271"/>
      <c r="FH93" s="271"/>
      <c r="FI93" s="271"/>
      <c r="FJ93" s="271"/>
      <c r="FK93" s="271"/>
      <c r="FL93" s="272">
        <v>1</v>
      </c>
      <c r="FM93" s="275">
        <f t="shared" si="70"/>
        <v>0</v>
      </c>
      <c r="FN93" s="275">
        <f t="shared" si="71"/>
        <v>0</v>
      </c>
      <c r="FO93" s="273">
        <f t="shared" si="72"/>
        <v>0</v>
      </c>
      <c r="FP93" s="270"/>
      <c r="FQ93" s="271"/>
      <c r="FR93" s="271"/>
      <c r="FS93" s="271"/>
      <c r="FT93" s="271"/>
      <c r="FU93" s="271"/>
      <c r="FV93" s="272">
        <v>1</v>
      </c>
      <c r="FW93" s="275">
        <f t="shared" si="73"/>
        <v>0</v>
      </c>
      <c r="FX93" s="275">
        <f t="shared" si="74"/>
        <v>0</v>
      </c>
      <c r="FY93" s="273">
        <f t="shared" si="75"/>
        <v>0</v>
      </c>
      <c r="FZ93" s="270"/>
      <c r="GA93" s="271"/>
      <c r="GB93" s="271"/>
      <c r="GC93" s="271"/>
      <c r="GD93" s="271"/>
      <c r="GE93" s="271"/>
      <c r="GF93" s="272">
        <v>1</v>
      </c>
      <c r="GG93" s="275">
        <f t="shared" si="76"/>
        <v>0</v>
      </c>
      <c r="GH93" s="275">
        <f t="shared" si="77"/>
        <v>0</v>
      </c>
      <c r="GI93" s="273">
        <f t="shared" si="78"/>
        <v>0</v>
      </c>
      <c r="GJ93" s="270"/>
      <c r="GK93" s="271"/>
      <c r="GL93" s="271"/>
      <c r="GM93" s="271"/>
      <c r="GN93" s="271"/>
      <c r="GO93" s="271"/>
      <c r="GP93" s="272">
        <v>1</v>
      </c>
      <c r="GQ93" s="275">
        <f t="shared" si="79"/>
        <v>0</v>
      </c>
      <c r="GR93" s="275">
        <f t="shared" si="80"/>
        <v>0</v>
      </c>
      <c r="GS93" s="273">
        <f t="shared" si="81"/>
        <v>0</v>
      </c>
      <c r="GT93" s="270"/>
      <c r="GU93" s="271"/>
      <c r="GV93" s="271"/>
      <c r="GW93" s="271"/>
      <c r="GX93" s="271"/>
      <c r="GY93" s="271"/>
      <c r="GZ93" s="272">
        <v>1</v>
      </c>
      <c r="HA93" s="275">
        <f t="shared" si="82"/>
        <v>0</v>
      </c>
      <c r="HB93" s="275">
        <f t="shared" si="83"/>
        <v>0</v>
      </c>
      <c r="HC93" s="273">
        <f t="shared" si="84"/>
        <v>0</v>
      </c>
      <c r="HD93" s="270"/>
      <c r="HE93" s="271"/>
      <c r="HF93" s="271"/>
      <c r="HG93" s="271"/>
      <c r="HH93" s="271"/>
      <c r="HI93" s="271"/>
      <c r="HJ93" s="272">
        <v>1</v>
      </c>
      <c r="HK93" s="275">
        <f t="shared" si="85"/>
        <v>0</v>
      </c>
      <c r="HL93" s="275">
        <f t="shared" si="86"/>
        <v>0</v>
      </c>
      <c r="HM93" s="273">
        <f t="shared" si="87"/>
        <v>0</v>
      </c>
      <c r="HN93" s="277">
        <v>1</v>
      </c>
      <c r="HO93" s="278">
        <v>0</v>
      </c>
      <c r="HP93" s="277">
        <v>1</v>
      </c>
      <c r="HQ93" s="278">
        <v>0</v>
      </c>
      <c r="HR93" s="277">
        <v>0.47222222222222221</v>
      </c>
      <c r="HS93" s="278">
        <v>1</v>
      </c>
      <c r="HT93" s="277">
        <v>1</v>
      </c>
      <c r="HU93" s="278">
        <v>0</v>
      </c>
      <c r="HV93" s="277">
        <v>1</v>
      </c>
      <c r="HW93" s="278">
        <v>0</v>
      </c>
      <c r="HX93" s="277">
        <v>1</v>
      </c>
      <c r="HY93" s="278">
        <v>0</v>
      </c>
      <c r="HZ93" s="277">
        <v>1</v>
      </c>
      <c r="IA93" s="278">
        <v>0</v>
      </c>
      <c r="IB93" s="277">
        <v>1</v>
      </c>
      <c r="IC93" s="278">
        <v>0</v>
      </c>
      <c r="ID93" s="277">
        <v>1</v>
      </c>
      <c r="IE93" s="278">
        <v>0</v>
      </c>
      <c r="IF93" s="277">
        <v>1</v>
      </c>
      <c r="IG93" s="278">
        <v>0</v>
      </c>
      <c r="IH93" s="277">
        <v>1</v>
      </c>
      <c r="II93" s="278">
        <v>0</v>
      </c>
      <c r="IJ93" s="277">
        <v>1</v>
      </c>
      <c r="IK93" s="278">
        <v>0</v>
      </c>
      <c r="IL93" s="277">
        <v>1</v>
      </c>
      <c r="IM93" s="278">
        <v>0</v>
      </c>
      <c r="IN93" s="277">
        <v>1</v>
      </c>
      <c r="IO93" s="278">
        <v>0</v>
      </c>
      <c r="IP93" s="277">
        <v>1</v>
      </c>
      <c r="IQ93" s="278">
        <v>0</v>
      </c>
      <c r="IR93" s="277">
        <v>1</v>
      </c>
      <c r="IS93" s="278">
        <v>0</v>
      </c>
      <c r="IT93" s="277">
        <v>1</v>
      </c>
      <c r="IU93" s="278">
        <v>0</v>
      </c>
      <c r="IV93" s="277">
        <v>1</v>
      </c>
      <c r="IW93" s="278">
        <v>0</v>
      </c>
      <c r="IX93" s="277">
        <v>1</v>
      </c>
      <c r="IY93" s="278">
        <v>0</v>
      </c>
      <c r="IZ93" s="277">
        <v>1</v>
      </c>
      <c r="JA93" s="278">
        <v>0</v>
      </c>
      <c r="JB93" s="277">
        <v>1</v>
      </c>
      <c r="JC93" s="278">
        <v>0</v>
      </c>
      <c r="JD93" s="277">
        <v>1</v>
      </c>
      <c r="JE93" s="278">
        <v>0</v>
      </c>
      <c r="KB93" s="8"/>
    </row>
    <row r="94" spans="1:288">
      <c r="A94" s="207">
        <v>46112</v>
      </c>
      <c r="B94" s="270"/>
      <c r="C94" s="271"/>
      <c r="D94" s="271"/>
      <c r="E94" s="271"/>
      <c r="F94" s="271"/>
      <c r="G94" s="271"/>
      <c r="H94" s="272">
        <v>1</v>
      </c>
      <c r="I94" s="275">
        <f t="shared" si="22"/>
        <v>0</v>
      </c>
      <c r="J94" s="275">
        <f t="shared" si="23"/>
        <v>0</v>
      </c>
      <c r="K94" s="273">
        <f t="shared" si="24"/>
        <v>0</v>
      </c>
      <c r="L94" s="270"/>
      <c r="M94" s="271"/>
      <c r="N94" s="271"/>
      <c r="O94" s="271"/>
      <c r="P94" s="271"/>
      <c r="Q94" s="271"/>
      <c r="R94" s="272">
        <v>1</v>
      </c>
      <c r="S94" s="275">
        <f t="shared" si="25"/>
        <v>0</v>
      </c>
      <c r="T94" s="275">
        <f t="shared" si="26"/>
        <v>0</v>
      </c>
      <c r="U94" s="273">
        <f t="shared" si="27"/>
        <v>0</v>
      </c>
      <c r="V94" s="270"/>
      <c r="W94" s="271"/>
      <c r="X94" s="271"/>
      <c r="Y94" s="271"/>
      <c r="Z94" s="271"/>
      <c r="AA94" s="271"/>
      <c r="AB94" s="272">
        <v>1</v>
      </c>
      <c r="AC94" s="275">
        <f t="shared" si="28"/>
        <v>0</v>
      </c>
      <c r="AD94" s="275">
        <f t="shared" si="29"/>
        <v>0</v>
      </c>
      <c r="AE94" s="273">
        <f t="shared" si="30"/>
        <v>0</v>
      </c>
      <c r="AF94" s="270"/>
      <c r="AG94" s="271"/>
      <c r="AH94" s="271"/>
      <c r="AI94" s="271"/>
      <c r="AJ94" s="271"/>
      <c r="AK94" s="271"/>
      <c r="AL94" s="272">
        <v>1</v>
      </c>
      <c r="AM94" s="275">
        <f t="shared" si="31"/>
        <v>0</v>
      </c>
      <c r="AN94" s="275">
        <f t="shared" si="32"/>
        <v>0</v>
      </c>
      <c r="AO94" s="273">
        <f t="shared" si="33"/>
        <v>0</v>
      </c>
      <c r="AP94" s="270"/>
      <c r="AQ94" s="271"/>
      <c r="AR94" s="271"/>
      <c r="AS94" s="271"/>
      <c r="AT94" s="271"/>
      <c r="AU94" s="271"/>
      <c r="AV94" s="272">
        <v>1</v>
      </c>
      <c r="AW94" s="275">
        <f t="shared" si="34"/>
        <v>0</v>
      </c>
      <c r="AX94" s="275">
        <f t="shared" si="35"/>
        <v>0</v>
      </c>
      <c r="AY94" s="273">
        <f t="shared" si="36"/>
        <v>0</v>
      </c>
      <c r="AZ94" s="270"/>
      <c r="BA94" s="271"/>
      <c r="BB94" s="271"/>
      <c r="BC94" s="271"/>
      <c r="BD94" s="271"/>
      <c r="BE94" s="271"/>
      <c r="BF94" s="272">
        <v>1</v>
      </c>
      <c r="BG94" s="275">
        <f t="shared" si="37"/>
        <v>0</v>
      </c>
      <c r="BH94" s="275">
        <f t="shared" si="38"/>
        <v>0</v>
      </c>
      <c r="BI94" s="273">
        <f t="shared" si="39"/>
        <v>0</v>
      </c>
      <c r="BJ94" s="270"/>
      <c r="BK94" s="271"/>
      <c r="BL94" s="271"/>
      <c r="BM94" s="271"/>
      <c r="BN94" s="271"/>
      <c r="BO94" s="271"/>
      <c r="BP94" s="272">
        <v>1</v>
      </c>
      <c r="BQ94" s="275">
        <f t="shared" si="40"/>
        <v>0</v>
      </c>
      <c r="BR94" s="275">
        <f t="shared" si="41"/>
        <v>0</v>
      </c>
      <c r="BS94" s="273">
        <f t="shared" si="42"/>
        <v>0</v>
      </c>
      <c r="BT94" s="270"/>
      <c r="BU94" s="271"/>
      <c r="BV94" s="271"/>
      <c r="BW94" s="271"/>
      <c r="BX94" s="271"/>
      <c r="BY94" s="271"/>
      <c r="BZ94" s="272">
        <v>1</v>
      </c>
      <c r="CA94" s="275">
        <f t="shared" si="43"/>
        <v>0</v>
      </c>
      <c r="CB94" s="275">
        <f t="shared" si="44"/>
        <v>0</v>
      </c>
      <c r="CC94" s="273">
        <f t="shared" si="45"/>
        <v>0</v>
      </c>
      <c r="CD94" s="270"/>
      <c r="CE94" s="271"/>
      <c r="CF94" s="271"/>
      <c r="CG94" s="271"/>
      <c r="CH94" s="271"/>
      <c r="CI94" s="271"/>
      <c r="CJ94" s="272">
        <v>1</v>
      </c>
      <c r="CK94" s="275">
        <f t="shared" si="46"/>
        <v>0</v>
      </c>
      <c r="CL94" s="275">
        <f t="shared" si="47"/>
        <v>0</v>
      </c>
      <c r="CM94" s="273">
        <f t="shared" si="48"/>
        <v>0</v>
      </c>
      <c r="CN94" s="270"/>
      <c r="CO94" s="271"/>
      <c r="CP94" s="271"/>
      <c r="CQ94" s="271"/>
      <c r="CR94" s="271"/>
      <c r="CS94" s="271"/>
      <c r="CT94" s="272">
        <v>1</v>
      </c>
      <c r="CU94" s="275">
        <f t="shared" si="49"/>
        <v>0</v>
      </c>
      <c r="CV94" s="275">
        <f t="shared" si="50"/>
        <v>0</v>
      </c>
      <c r="CW94" s="273">
        <f t="shared" si="51"/>
        <v>0</v>
      </c>
      <c r="CX94" s="270"/>
      <c r="CY94" s="271"/>
      <c r="CZ94" s="271"/>
      <c r="DA94" s="271"/>
      <c r="DB94" s="271"/>
      <c r="DC94" s="271"/>
      <c r="DD94" s="272">
        <v>1</v>
      </c>
      <c r="DE94" s="275">
        <f t="shared" si="52"/>
        <v>0</v>
      </c>
      <c r="DF94" s="275">
        <f t="shared" si="53"/>
        <v>0</v>
      </c>
      <c r="DG94" s="273">
        <f t="shared" si="54"/>
        <v>0</v>
      </c>
      <c r="DH94" s="270"/>
      <c r="DI94" s="271"/>
      <c r="DJ94" s="271"/>
      <c r="DK94" s="271"/>
      <c r="DL94" s="271"/>
      <c r="DM94" s="271"/>
      <c r="DN94" s="272">
        <v>1</v>
      </c>
      <c r="DO94" s="275">
        <f t="shared" si="55"/>
        <v>0</v>
      </c>
      <c r="DP94" s="275">
        <f t="shared" si="56"/>
        <v>0</v>
      </c>
      <c r="DQ94" s="273">
        <f t="shared" si="57"/>
        <v>0</v>
      </c>
      <c r="DR94" s="270"/>
      <c r="DS94" s="271"/>
      <c r="DT94" s="271"/>
      <c r="DU94" s="271"/>
      <c r="DV94" s="271"/>
      <c r="DW94" s="271"/>
      <c r="DX94" s="272">
        <v>1</v>
      </c>
      <c r="DY94" s="275">
        <f t="shared" si="58"/>
        <v>0</v>
      </c>
      <c r="DZ94" s="275">
        <f t="shared" si="59"/>
        <v>0</v>
      </c>
      <c r="EA94" s="273">
        <f t="shared" si="60"/>
        <v>0</v>
      </c>
      <c r="EB94" s="270"/>
      <c r="EC94" s="271"/>
      <c r="ED94" s="271"/>
      <c r="EE94" s="271"/>
      <c r="EF94" s="271"/>
      <c r="EG94" s="271"/>
      <c r="EH94" s="272">
        <v>1</v>
      </c>
      <c r="EI94" s="275">
        <f t="shared" si="61"/>
        <v>0</v>
      </c>
      <c r="EJ94" s="275">
        <f t="shared" si="62"/>
        <v>0</v>
      </c>
      <c r="EK94" s="273">
        <f t="shared" si="63"/>
        <v>0</v>
      </c>
      <c r="EL94" s="270"/>
      <c r="EM94" s="271"/>
      <c r="EN94" s="271"/>
      <c r="EO94" s="271"/>
      <c r="EP94" s="271"/>
      <c r="EQ94" s="271"/>
      <c r="ER94" s="272">
        <v>1</v>
      </c>
      <c r="ES94" s="275">
        <f t="shared" si="64"/>
        <v>0</v>
      </c>
      <c r="ET94" s="275">
        <f t="shared" si="65"/>
        <v>0</v>
      </c>
      <c r="EU94" s="273">
        <f t="shared" si="66"/>
        <v>0</v>
      </c>
      <c r="EV94" s="270"/>
      <c r="EW94" s="271"/>
      <c r="EX94" s="271"/>
      <c r="EY94" s="271"/>
      <c r="EZ94" s="271"/>
      <c r="FA94" s="271"/>
      <c r="FB94" s="272">
        <v>1</v>
      </c>
      <c r="FC94" s="275">
        <f t="shared" si="67"/>
        <v>0</v>
      </c>
      <c r="FD94" s="275">
        <f t="shared" si="68"/>
        <v>0</v>
      </c>
      <c r="FE94" s="273">
        <f t="shared" si="69"/>
        <v>0</v>
      </c>
      <c r="FF94" s="270"/>
      <c r="FG94" s="271"/>
      <c r="FH94" s="271"/>
      <c r="FI94" s="271"/>
      <c r="FJ94" s="271"/>
      <c r="FK94" s="271"/>
      <c r="FL94" s="272">
        <v>1</v>
      </c>
      <c r="FM94" s="275">
        <f t="shared" si="70"/>
        <v>0</v>
      </c>
      <c r="FN94" s="275">
        <f t="shared" si="71"/>
        <v>0</v>
      </c>
      <c r="FO94" s="273">
        <f t="shared" si="72"/>
        <v>0</v>
      </c>
      <c r="FP94" s="270"/>
      <c r="FQ94" s="271"/>
      <c r="FR94" s="271"/>
      <c r="FS94" s="271"/>
      <c r="FT94" s="271"/>
      <c r="FU94" s="271"/>
      <c r="FV94" s="272">
        <v>1</v>
      </c>
      <c r="FW94" s="275">
        <f t="shared" si="73"/>
        <v>0</v>
      </c>
      <c r="FX94" s="275">
        <f t="shared" si="74"/>
        <v>0</v>
      </c>
      <c r="FY94" s="273">
        <f t="shared" si="75"/>
        <v>0</v>
      </c>
      <c r="FZ94" s="270"/>
      <c r="GA94" s="271"/>
      <c r="GB94" s="271"/>
      <c r="GC94" s="271"/>
      <c r="GD94" s="271"/>
      <c r="GE94" s="271"/>
      <c r="GF94" s="272">
        <v>1</v>
      </c>
      <c r="GG94" s="275">
        <f t="shared" si="76"/>
        <v>0</v>
      </c>
      <c r="GH94" s="275">
        <f t="shared" si="77"/>
        <v>0</v>
      </c>
      <c r="GI94" s="273">
        <f t="shared" si="78"/>
        <v>0</v>
      </c>
      <c r="GJ94" s="270"/>
      <c r="GK94" s="271"/>
      <c r="GL94" s="271"/>
      <c r="GM94" s="271"/>
      <c r="GN94" s="271"/>
      <c r="GO94" s="271"/>
      <c r="GP94" s="272">
        <v>1</v>
      </c>
      <c r="GQ94" s="275">
        <f t="shared" si="79"/>
        <v>0</v>
      </c>
      <c r="GR94" s="275">
        <f t="shared" si="80"/>
        <v>0</v>
      </c>
      <c r="GS94" s="273">
        <f t="shared" si="81"/>
        <v>0</v>
      </c>
      <c r="GT94" s="270"/>
      <c r="GU94" s="271"/>
      <c r="GV94" s="271"/>
      <c r="GW94" s="271"/>
      <c r="GX94" s="271"/>
      <c r="GY94" s="271"/>
      <c r="GZ94" s="272">
        <v>1</v>
      </c>
      <c r="HA94" s="275">
        <f t="shared" si="82"/>
        <v>0</v>
      </c>
      <c r="HB94" s="275">
        <f t="shared" si="83"/>
        <v>0</v>
      </c>
      <c r="HC94" s="273">
        <f t="shared" si="84"/>
        <v>0</v>
      </c>
      <c r="HD94" s="270"/>
      <c r="HE94" s="271"/>
      <c r="HF94" s="271"/>
      <c r="HG94" s="271"/>
      <c r="HH94" s="271"/>
      <c r="HI94" s="271"/>
      <c r="HJ94" s="272">
        <v>1</v>
      </c>
      <c r="HK94" s="275">
        <f t="shared" si="85"/>
        <v>0</v>
      </c>
      <c r="HL94" s="275">
        <f t="shared" si="86"/>
        <v>0</v>
      </c>
      <c r="HM94" s="273">
        <f t="shared" si="87"/>
        <v>0</v>
      </c>
      <c r="HN94" s="277">
        <v>1</v>
      </c>
      <c r="HO94" s="278">
        <v>0</v>
      </c>
      <c r="HP94" s="277">
        <v>1</v>
      </c>
      <c r="HQ94" s="278">
        <v>0</v>
      </c>
      <c r="HR94" s="277">
        <v>1</v>
      </c>
      <c r="HS94" s="278">
        <v>0</v>
      </c>
      <c r="HT94" s="277">
        <v>1</v>
      </c>
      <c r="HU94" s="278">
        <v>0</v>
      </c>
      <c r="HV94" s="277">
        <v>1</v>
      </c>
      <c r="HW94" s="278">
        <v>0</v>
      </c>
      <c r="HX94" s="277">
        <v>1</v>
      </c>
      <c r="HY94" s="278">
        <v>0</v>
      </c>
      <c r="HZ94" s="277">
        <v>1</v>
      </c>
      <c r="IA94" s="278">
        <v>0</v>
      </c>
      <c r="IB94" s="277">
        <v>1</v>
      </c>
      <c r="IC94" s="278">
        <v>0</v>
      </c>
      <c r="ID94" s="277">
        <v>1</v>
      </c>
      <c r="IE94" s="278">
        <v>0</v>
      </c>
      <c r="IF94" s="277">
        <v>1</v>
      </c>
      <c r="IG94" s="278">
        <v>0</v>
      </c>
      <c r="IH94" s="277">
        <v>1</v>
      </c>
      <c r="II94" s="278">
        <v>0</v>
      </c>
      <c r="IJ94" s="277">
        <v>1</v>
      </c>
      <c r="IK94" s="278">
        <v>0</v>
      </c>
      <c r="IL94" s="277">
        <v>1</v>
      </c>
      <c r="IM94" s="278">
        <v>0</v>
      </c>
      <c r="IN94" s="277">
        <v>1</v>
      </c>
      <c r="IO94" s="278">
        <v>0</v>
      </c>
      <c r="IP94" s="277">
        <v>1</v>
      </c>
      <c r="IQ94" s="278">
        <v>0</v>
      </c>
      <c r="IR94" s="277">
        <v>1</v>
      </c>
      <c r="IS94" s="278">
        <v>0</v>
      </c>
      <c r="IT94" s="277">
        <v>1</v>
      </c>
      <c r="IU94" s="278">
        <v>0</v>
      </c>
      <c r="IV94" s="277">
        <v>1</v>
      </c>
      <c r="IW94" s="278">
        <v>0</v>
      </c>
      <c r="IX94" s="277">
        <v>1</v>
      </c>
      <c r="IY94" s="278">
        <v>0</v>
      </c>
      <c r="IZ94" s="277">
        <v>1</v>
      </c>
      <c r="JA94" s="278">
        <v>0</v>
      </c>
      <c r="JB94" s="277">
        <v>1</v>
      </c>
      <c r="JC94" s="278">
        <v>0</v>
      </c>
      <c r="JD94" s="277">
        <v>1</v>
      </c>
      <c r="JE94" s="278">
        <v>0</v>
      </c>
      <c r="KB94" s="8"/>
    </row>
    <row r="95" spans="1:288">
      <c r="A95" s="207">
        <v>46113</v>
      </c>
      <c r="JF95" s="236">
        <f t="shared" ref="JF95:JF133" si="88">HN95*24</f>
        <v>0</v>
      </c>
      <c r="JG95" s="235">
        <f t="shared" ref="JG95:JG133" si="89">HP95*24</f>
        <v>0</v>
      </c>
      <c r="JH95" s="235">
        <f t="shared" ref="JH95:JH133" si="90">HR95*24</f>
        <v>0</v>
      </c>
      <c r="JI95" s="235">
        <f t="shared" ref="JI95:JI133" si="91">HT95*24</f>
        <v>0</v>
      </c>
      <c r="JJ95" s="235">
        <f t="shared" ref="JJ95:JJ133" si="92">HV95*24</f>
        <v>0</v>
      </c>
      <c r="JK95" s="235">
        <f t="shared" ref="JK95:JK133" si="93">HX95*24</f>
        <v>0</v>
      </c>
      <c r="JL95" s="235">
        <f t="shared" ref="JL95:JL133" si="94">HZ95*24</f>
        <v>0</v>
      </c>
      <c r="JM95" s="235">
        <f t="shared" ref="JM95:JM133" si="95">IB95*24</f>
        <v>0</v>
      </c>
      <c r="JN95" s="235">
        <f t="shared" ref="JN95:JN133" si="96">ID95*24</f>
        <v>0</v>
      </c>
      <c r="JO95" s="235">
        <f t="shared" ref="JO95:JO133" si="97">IF95*24</f>
        <v>0</v>
      </c>
      <c r="JP95" s="235">
        <f t="shared" ref="JP95:JP133" si="98">IH95*24</f>
        <v>0</v>
      </c>
      <c r="JQ95" s="235">
        <f t="shared" ref="JQ95:JQ133" si="99">IJ95*24</f>
        <v>0</v>
      </c>
      <c r="JR95" s="235">
        <f t="shared" ref="JR95:JR133" si="100">IL95*24</f>
        <v>0</v>
      </c>
      <c r="JS95" s="235">
        <f t="shared" ref="JS95:JS133" si="101">IN95*24</f>
        <v>0</v>
      </c>
      <c r="JT95" s="235">
        <f t="shared" ref="JT95:JT133" si="102">IP95*24</f>
        <v>0</v>
      </c>
      <c r="JU95" s="235">
        <f t="shared" ref="JU95:JU133" si="103">IR95*24</f>
        <v>0</v>
      </c>
      <c r="JV95" s="235">
        <f t="shared" ref="JV95:JV133" si="104">IT95*24</f>
        <v>0</v>
      </c>
      <c r="JW95" s="235">
        <f t="shared" ref="JW95:JW133" si="105">IV95*24</f>
        <v>0</v>
      </c>
      <c r="JX95" s="235">
        <f t="shared" ref="JX95:JX133" si="106">IX95*24</f>
        <v>0</v>
      </c>
      <c r="JY95" s="235">
        <f t="shared" ref="JY95:JY133" si="107">IZ95*24</f>
        <v>0</v>
      </c>
      <c r="JZ95" s="235">
        <f t="shared" ref="JZ95:JZ133" si="108">JB95*24</f>
        <v>0</v>
      </c>
      <c r="KA95" s="237">
        <f t="shared" ref="KA95:KA133" si="109">JD95*24</f>
        <v>0</v>
      </c>
      <c r="KB95" s="248">
        <v>46113</v>
      </c>
    </row>
    <row r="96" spans="1:288">
      <c r="A96" s="207">
        <v>46114</v>
      </c>
      <c r="JF96" s="236">
        <f t="shared" si="88"/>
        <v>0</v>
      </c>
      <c r="JG96" s="235">
        <f t="shared" si="89"/>
        <v>0</v>
      </c>
      <c r="JH96" s="235">
        <f t="shared" si="90"/>
        <v>0</v>
      </c>
      <c r="JI96" s="235">
        <f t="shared" si="91"/>
        <v>0</v>
      </c>
      <c r="JJ96" s="235">
        <f t="shared" si="92"/>
        <v>0</v>
      </c>
      <c r="JK96" s="235">
        <f t="shared" si="93"/>
        <v>0</v>
      </c>
      <c r="JL96" s="235">
        <f t="shared" si="94"/>
        <v>0</v>
      </c>
      <c r="JM96" s="235">
        <f t="shared" si="95"/>
        <v>0</v>
      </c>
      <c r="JN96" s="235">
        <f t="shared" si="96"/>
        <v>0</v>
      </c>
      <c r="JO96" s="235">
        <f t="shared" si="97"/>
        <v>0</v>
      </c>
      <c r="JP96" s="235">
        <f t="shared" si="98"/>
        <v>0</v>
      </c>
      <c r="JQ96" s="235">
        <f t="shared" si="99"/>
        <v>0</v>
      </c>
      <c r="JR96" s="235">
        <f t="shared" si="100"/>
        <v>0</v>
      </c>
      <c r="JS96" s="235">
        <f t="shared" si="101"/>
        <v>0</v>
      </c>
      <c r="JT96" s="235">
        <f t="shared" si="102"/>
        <v>0</v>
      </c>
      <c r="JU96" s="235">
        <f t="shared" si="103"/>
        <v>0</v>
      </c>
      <c r="JV96" s="235">
        <f t="shared" si="104"/>
        <v>0</v>
      </c>
      <c r="JW96" s="235">
        <f t="shared" si="105"/>
        <v>0</v>
      </c>
      <c r="JX96" s="235">
        <f t="shared" si="106"/>
        <v>0</v>
      </c>
      <c r="JY96" s="235">
        <f t="shared" si="107"/>
        <v>0</v>
      </c>
      <c r="JZ96" s="235">
        <f t="shared" si="108"/>
        <v>0</v>
      </c>
      <c r="KA96" s="237">
        <f t="shared" si="109"/>
        <v>0</v>
      </c>
      <c r="KB96" s="248">
        <v>46114</v>
      </c>
    </row>
    <row r="97" spans="1:288">
      <c r="A97" s="207">
        <v>46115</v>
      </c>
      <c r="JF97" s="236">
        <f t="shared" si="88"/>
        <v>0</v>
      </c>
      <c r="JG97" s="235">
        <f t="shared" si="89"/>
        <v>0</v>
      </c>
      <c r="JH97" s="235">
        <f t="shared" si="90"/>
        <v>0</v>
      </c>
      <c r="JI97" s="235">
        <f t="shared" si="91"/>
        <v>0</v>
      </c>
      <c r="JJ97" s="235">
        <f t="shared" si="92"/>
        <v>0</v>
      </c>
      <c r="JK97" s="235">
        <f t="shared" si="93"/>
        <v>0</v>
      </c>
      <c r="JL97" s="235">
        <f t="shared" si="94"/>
        <v>0</v>
      </c>
      <c r="JM97" s="235">
        <f t="shared" si="95"/>
        <v>0</v>
      </c>
      <c r="JN97" s="235">
        <f t="shared" si="96"/>
        <v>0</v>
      </c>
      <c r="JO97" s="235">
        <f t="shared" si="97"/>
        <v>0</v>
      </c>
      <c r="JP97" s="235">
        <f t="shared" si="98"/>
        <v>0</v>
      </c>
      <c r="JQ97" s="235">
        <f t="shared" si="99"/>
        <v>0</v>
      </c>
      <c r="JR97" s="235">
        <f t="shared" si="100"/>
        <v>0</v>
      </c>
      <c r="JS97" s="235">
        <f t="shared" si="101"/>
        <v>0</v>
      </c>
      <c r="JT97" s="235">
        <f t="shared" si="102"/>
        <v>0</v>
      </c>
      <c r="JU97" s="235">
        <f t="shared" si="103"/>
        <v>0</v>
      </c>
      <c r="JV97" s="235">
        <f t="shared" si="104"/>
        <v>0</v>
      </c>
      <c r="JW97" s="235">
        <f t="shared" si="105"/>
        <v>0</v>
      </c>
      <c r="JX97" s="235">
        <f t="shared" si="106"/>
        <v>0</v>
      </c>
      <c r="JY97" s="235">
        <f t="shared" si="107"/>
        <v>0</v>
      </c>
      <c r="JZ97" s="235">
        <f t="shared" si="108"/>
        <v>0</v>
      </c>
      <c r="KA97" s="237">
        <f t="shared" si="109"/>
        <v>0</v>
      </c>
      <c r="KB97" s="248">
        <v>46115</v>
      </c>
    </row>
    <row r="98" spans="1:288">
      <c r="A98" s="207">
        <v>46116</v>
      </c>
      <c r="JF98" s="236">
        <f t="shared" si="88"/>
        <v>0</v>
      </c>
      <c r="JG98" s="235">
        <f t="shared" si="89"/>
        <v>0</v>
      </c>
      <c r="JH98" s="235">
        <f t="shared" si="90"/>
        <v>0</v>
      </c>
      <c r="JI98" s="235">
        <f t="shared" si="91"/>
        <v>0</v>
      </c>
      <c r="JJ98" s="235">
        <f t="shared" si="92"/>
        <v>0</v>
      </c>
      <c r="JK98" s="235">
        <f t="shared" si="93"/>
        <v>0</v>
      </c>
      <c r="JL98" s="235">
        <f t="shared" si="94"/>
        <v>0</v>
      </c>
      <c r="JM98" s="235">
        <f t="shared" si="95"/>
        <v>0</v>
      </c>
      <c r="JN98" s="235">
        <f t="shared" si="96"/>
        <v>0</v>
      </c>
      <c r="JO98" s="235">
        <f t="shared" si="97"/>
        <v>0</v>
      </c>
      <c r="JP98" s="235">
        <f t="shared" si="98"/>
        <v>0</v>
      </c>
      <c r="JQ98" s="235">
        <f t="shared" si="99"/>
        <v>0</v>
      </c>
      <c r="JR98" s="235">
        <f t="shared" si="100"/>
        <v>0</v>
      </c>
      <c r="JS98" s="235">
        <f t="shared" si="101"/>
        <v>0</v>
      </c>
      <c r="JT98" s="235">
        <f t="shared" si="102"/>
        <v>0</v>
      </c>
      <c r="JU98" s="235">
        <f t="shared" si="103"/>
        <v>0</v>
      </c>
      <c r="JV98" s="235">
        <f t="shared" si="104"/>
        <v>0</v>
      </c>
      <c r="JW98" s="235">
        <f t="shared" si="105"/>
        <v>0</v>
      </c>
      <c r="JX98" s="235">
        <f t="shared" si="106"/>
        <v>0</v>
      </c>
      <c r="JY98" s="235">
        <f t="shared" si="107"/>
        <v>0</v>
      </c>
      <c r="JZ98" s="235">
        <f t="shared" si="108"/>
        <v>0</v>
      </c>
      <c r="KA98" s="237">
        <f t="shared" si="109"/>
        <v>0</v>
      </c>
      <c r="KB98" s="248">
        <v>46116</v>
      </c>
    </row>
    <row r="99" spans="1:288">
      <c r="A99" s="207">
        <v>46117</v>
      </c>
      <c r="JF99" s="236">
        <f t="shared" si="88"/>
        <v>0</v>
      </c>
      <c r="JG99" s="235">
        <f t="shared" si="89"/>
        <v>0</v>
      </c>
      <c r="JH99" s="235">
        <f t="shared" si="90"/>
        <v>0</v>
      </c>
      <c r="JI99" s="235">
        <f t="shared" si="91"/>
        <v>0</v>
      </c>
      <c r="JJ99" s="235">
        <f t="shared" si="92"/>
        <v>0</v>
      </c>
      <c r="JK99" s="235">
        <f t="shared" si="93"/>
        <v>0</v>
      </c>
      <c r="JL99" s="235">
        <f t="shared" si="94"/>
        <v>0</v>
      </c>
      <c r="JM99" s="235">
        <f t="shared" si="95"/>
        <v>0</v>
      </c>
      <c r="JN99" s="235">
        <f t="shared" si="96"/>
        <v>0</v>
      </c>
      <c r="JO99" s="235">
        <f t="shared" si="97"/>
        <v>0</v>
      </c>
      <c r="JP99" s="235">
        <f t="shared" si="98"/>
        <v>0</v>
      </c>
      <c r="JQ99" s="235">
        <f t="shared" si="99"/>
        <v>0</v>
      </c>
      <c r="JR99" s="235">
        <f t="shared" si="100"/>
        <v>0</v>
      </c>
      <c r="JS99" s="235">
        <f t="shared" si="101"/>
        <v>0</v>
      </c>
      <c r="JT99" s="235">
        <f t="shared" si="102"/>
        <v>0</v>
      </c>
      <c r="JU99" s="235">
        <f t="shared" si="103"/>
        <v>0</v>
      </c>
      <c r="JV99" s="235">
        <f t="shared" si="104"/>
        <v>0</v>
      </c>
      <c r="JW99" s="235">
        <f t="shared" si="105"/>
        <v>0</v>
      </c>
      <c r="JX99" s="235">
        <f t="shared" si="106"/>
        <v>0</v>
      </c>
      <c r="JY99" s="235">
        <f t="shared" si="107"/>
        <v>0</v>
      </c>
      <c r="JZ99" s="235">
        <f t="shared" si="108"/>
        <v>0</v>
      </c>
      <c r="KA99" s="237">
        <f t="shared" si="109"/>
        <v>0</v>
      </c>
      <c r="KB99" s="248">
        <v>46117</v>
      </c>
    </row>
    <row r="100" spans="1:288">
      <c r="A100" s="207">
        <v>46118</v>
      </c>
      <c r="JF100" s="236">
        <f t="shared" si="88"/>
        <v>0</v>
      </c>
      <c r="JG100" s="235">
        <f t="shared" si="89"/>
        <v>0</v>
      </c>
      <c r="JH100" s="235">
        <f t="shared" si="90"/>
        <v>0</v>
      </c>
      <c r="JI100" s="235">
        <f t="shared" si="91"/>
        <v>0</v>
      </c>
      <c r="JJ100" s="235">
        <f t="shared" si="92"/>
        <v>0</v>
      </c>
      <c r="JK100" s="235">
        <f t="shared" si="93"/>
        <v>0</v>
      </c>
      <c r="JL100" s="235">
        <f t="shared" si="94"/>
        <v>0</v>
      </c>
      <c r="JM100" s="235">
        <f t="shared" si="95"/>
        <v>0</v>
      </c>
      <c r="JN100" s="235">
        <f t="shared" si="96"/>
        <v>0</v>
      </c>
      <c r="JO100" s="235">
        <f t="shared" si="97"/>
        <v>0</v>
      </c>
      <c r="JP100" s="235">
        <f t="shared" si="98"/>
        <v>0</v>
      </c>
      <c r="JQ100" s="235">
        <f t="shared" si="99"/>
        <v>0</v>
      </c>
      <c r="JR100" s="235">
        <f t="shared" si="100"/>
        <v>0</v>
      </c>
      <c r="JS100" s="235">
        <f t="shared" si="101"/>
        <v>0</v>
      </c>
      <c r="JT100" s="235">
        <f t="shared" si="102"/>
        <v>0</v>
      </c>
      <c r="JU100" s="235">
        <f t="shared" si="103"/>
        <v>0</v>
      </c>
      <c r="JV100" s="235">
        <f t="shared" si="104"/>
        <v>0</v>
      </c>
      <c r="JW100" s="235">
        <f t="shared" si="105"/>
        <v>0</v>
      </c>
      <c r="JX100" s="235">
        <f t="shared" si="106"/>
        <v>0</v>
      </c>
      <c r="JY100" s="235">
        <f t="shared" si="107"/>
        <v>0</v>
      </c>
      <c r="JZ100" s="235">
        <f t="shared" si="108"/>
        <v>0</v>
      </c>
      <c r="KA100" s="237">
        <f t="shared" si="109"/>
        <v>0</v>
      </c>
      <c r="KB100" s="248">
        <v>46118</v>
      </c>
    </row>
    <row r="101" spans="1:288">
      <c r="A101" s="207">
        <v>46119</v>
      </c>
      <c r="JF101" s="236">
        <f t="shared" si="88"/>
        <v>0</v>
      </c>
      <c r="JG101" s="235">
        <f t="shared" si="89"/>
        <v>0</v>
      </c>
      <c r="JH101" s="235">
        <f t="shared" si="90"/>
        <v>0</v>
      </c>
      <c r="JI101" s="235">
        <f t="shared" si="91"/>
        <v>0</v>
      </c>
      <c r="JJ101" s="235">
        <f t="shared" si="92"/>
        <v>0</v>
      </c>
      <c r="JK101" s="235">
        <f t="shared" si="93"/>
        <v>0</v>
      </c>
      <c r="JL101" s="235">
        <f t="shared" si="94"/>
        <v>0</v>
      </c>
      <c r="JM101" s="235">
        <f t="shared" si="95"/>
        <v>0</v>
      </c>
      <c r="JN101" s="235">
        <f t="shared" si="96"/>
        <v>0</v>
      </c>
      <c r="JO101" s="235">
        <f t="shared" si="97"/>
        <v>0</v>
      </c>
      <c r="JP101" s="235">
        <f t="shared" si="98"/>
        <v>0</v>
      </c>
      <c r="JQ101" s="235">
        <f t="shared" si="99"/>
        <v>0</v>
      </c>
      <c r="JR101" s="235">
        <f t="shared" si="100"/>
        <v>0</v>
      </c>
      <c r="JS101" s="235">
        <f t="shared" si="101"/>
        <v>0</v>
      </c>
      <c r="JT101" s="235">
        <f t="shared" si="102"/>
        <v>0</v>
      </c>
      <c r="JU101" s="235">
        <f t="shared" si="103"/>
        <v>0</v>
      </c>
      <c r="JV101" s="235">
        <f t="shared" si="104"/>
        <v>0</v>
      </c>
      <c r="JW101" s="235">
        <f t="shared" si="105"/>
        <v>0</v>
      </c>
      <c r="JX101" s="235">
        <f t="shared" si="106"/>
        <v>0</v>
      </c>
      <c r="JY101" s="235">
        <f t="shared" si="107"/>
        <v>0</v>
      </c>
      <c r="JZ101" s="235">
        <f t="shared" si="108"/>
        <v>0</v>
      </c>
      <c r="KA101" s="237">
        <f t="shared" si="109"/>
        <v>0</v>
      </c>
      <c r="KB101" s="248">
        <v>46119</v>
      </c>
    </row>
    <row r="102" spans="1:288">
      <c r="A102" s="207">
        <v>46120</v>
      </c>
      <c r="JF102" s="236">
        <f t="shared" si="88"/>
        <v>0</v>
      </c>
      <c r="JG102" s="235">
        <f t="shared" si="89"/>
        <v>0</v>
      </c>
      <c r="JH102" s="235">
        <f t="shared" si="90"/>
        <v>0</v>
      </c>
      <c r="JI102" s="235">
        <f t="shared" si="91"/>
        <v>0</v>
      </c>
      <c r="JJ102" s="235">
        <f t="shared" si="92"/>
        <v>0</v>
      </c>
      <c r="JK102" s="235">
        <f t="shared" si="93"/>
        <v>0</v>
      </c>
      <c r="JL102" s="235">
        <f t="shared" si="94"/>
        <v>0</v>
      </c>
      <c r="JM102" s="235">
        <f t="shared" si="95"/>
        <v>0</v>
      </c>
      <c r="JN102" s="235">
        <f t="shared" si="96"/>
        <v>0</v>
      </c>
      <c r="JO102" s="235">
        <f t="shared" si="97"/>
        <v>0</v>
      </c>
      <c r="JP102" s="235">
        <f t="shared" si="98"/>
        <v>0</v>
      </c>
      <c r="JQ102" s="235">
        <f t="shared" si="99"/>
        <v>0</v>
      </c>
      <c r="JR102" s="235">
        <f t="shared" si="100"/>
        <v>0</v>
      </c>
      <c r="JS102" s="235">
        <f t="shared" si="101"/>
        <v>0</v>
      </c>
      <c r="JT102" s="235">
        <f t="shared" si="102"/>
        <v>0</v>
      </c>
      <c r="JU102" s="235">
        <f t="shared" si="103"/>
        <v>0</v>
      </c>
      <c r="JV102" s="235">
        <f t="shared" si="104"/>
        <v>0</v>
      </c>
      <c r="JW102" s="235">
        <f t="shared" si="105"/>
        <v>0</v>
      </c>
      <c r="JX102" s="235">
        <f t="shared" si="106"/>
        <v>0</v>
      </c>
      <c r="JY102" s="235">
        <f t="shared" si="107"/>
        <v>0</v>
      </c>
      <c r="JZ102" s="235">
        <f t="shared" si="108"/>
        <v>0</v>
      </c>
      <c r="KA102" s="237">
        <f t="shared" si="109"/>
        <v>0</v>
      </c>
      <c r="KB102" s="248">
        <v>46120</v>
      </c>
    </row>
    <row r="103" spans="1:288">
      <c r="A103" s="207">
        <v>46121</v>
      </c>
      <c r="JF103" s="236">
        <f t="shared" si="88"/>
        <v>0</v>
      </c>
      <c r="JG103" s="235">
        <f t="shared" si="89"/>
        <v>0</v>
      </c>
      <c r="JH103" s="235">
        <f t="shared" si="90"/>
        <v>0</v>
      </c>
      <c r="JI103" s="235">
        <f t="shared" si="91"/>
        <v>0</v>
      </c>
      <c r="JJ103" s="235">
        <f t="shared" si="92"/>
        <v>0</v>
      </c>
      <c r="JK103" s="235">
        <f t="shared" si="93"/>
        <v>0</v>
      </c>
      <c r="JL103" s="235">
        <f t="shared" si="94"/>
        <v>0</v>
      </c>
      <c r="JM103" s="235">
        <f t="shared" si="95"/>
        <v>0</v>
      </c>
      <c r="JN103" s="235">
        <f t="shared" si="96"/>
        <v>0</v>
      </c>
      <c r="JO103" s="235">
        <f t="shared" si="97"/>
        <v>0</v>
      </c>
      <c r="JP103" s="235">
        <f t="shared" si="98"/>
        <v>0</v>
      </c>
      <c r="JQ103" s="235">
        <f t="shared" si="99"/>
        <v>0</v>
      </c>
      <c r="JR103" s="235">
        <f t="shared" si="100"/>
        <v>0</v>
      </c>
      <c r="JS103" s="235">
        <f t="shared" si="101"/>
        <v>0</v>
      </c>
      <c r="JT103" s="235">
        <f t="shared" si="102"/>
        <v>0</v>
      </c>
      <c r="JU103" s="235">
        <f t="shared" si="103"/>
        <v>0</v>
      </c>
      <c r="JV103" s="235">
        <f t="shared" si="104"/>
        <v>0</v>
      </c>
      <c r="JW103" s="235">
        <f t="shared" si="105"/>
        <v>0</v>
      </c>
      <c r="JX103" s="235">
        <f t="shared" si="106"/>
        <v>0</v>
      </c>
      <c r="JY103" s="235">
        <f t="shared" si="107"/>
        <v>0</v>
      </c>
      <c r="JZ103" s="235">
        <f t="shared" si="108"/>
        <v>0</v>
      </c>
      <c r="KA103" s="237">
        <f t="shared" si="109"/>
        <v>0</v>
      </c>
      <c r="KB103" s="248">
        <v>46121</v>
      </c>
    </row>
    <row r="104" spans="1:288">
      <c r="A104" s="207">
        <v>46122</v>
      </c>
      <c r="JF104" s="236">
        <f t="shared" si="88"/>
        <v>0</v>
      </c>
      <c r="JG104" s="235">
        <f t="shared" si="89"/>
        <v>0</v>
      </c>
      <c r="JH104" s="235">
        <f t="shared" si="90"/>
        <v>0</v>
      </c>
      <c r="JI104" s="235">
        <f t="shared" si="91"/>
        <v>0</v>
      </c>
      <c r="JJ104" s="235">
        <f t="shared" si="92"/>
        <v>0</v>
      </c>
      <c r="JK104" s="235">
        <f t="shared" si="93"/>
        <v>0</v>
      </c>
      <c r="JL104" s="235">
        <f t="shared" si="94"/>
        <v>0</v>
      </c>
      <c r="JM104" s="235">
        <f t="shared" si="95"/>
        <v>0</v>
      </c>
      <c r="JN104" s="235">
        <f t="shared" si="96"/>
        <v>0</v>
      </c>
      <c r="JO104" s="235">
        <f t="shared" si="97"/>
        <v>0</v>
      </c>
      <c r="JP104" s="235">
        <f t="shared" si="98"/>
        <v>0</v>
      </c>
      <c r="JQ104" s="235">
        <f t="shared" si="99"/>
        <v>0</v>
      </c>
      <c r="JR104" s="235">
        <f t="shared" si="100"/>
        <v>0</v>
      </c>
      <c r="JS104" s="235">
        <f t="shared" si="101"/>
        <v>0</v>
      </c>
      <c r="JT104" s="235">
        <f t="shared" si="102"/>
        <v>0</v>
      </c>
      <c r="JU104" s="235">
        <f t="shared" si="103"/>
        <v>0</v>
      </c>
      <c r="JV104" s="235">
        <f t="shared" si="104"/>
        <v>0</v>
      </c>
      <c r="JW104" s="235">
        <f t="shared" si="105"/>
        <v>0</v>
      </c>
      <c r="JX104" s="235">
        <f t="shared" si="106"/>
        <v>0</v>
      </c>
      <c r="JY104" s="235">
        <f t="shared" si="107"/>
        <v>0</v>
      </c>
      <c r="JZ104" s="235">
        <f t="shared" si="108"/>
        <v>0</v>
      </c>
      <c r="KA104" s="237">
        <f t="shared" si="109"/>
        <v>0</v>
      </c>
      <c r="KB104" s="248">
        <v>46122</v>
      </c>
    </row>
    <row r="105" spans="1:288">
      <c r="A105" s="207">
        <v>46123</v>
      </c>
      <c r="JF105" s="236">
        <f t="shared" si="88"/>
        <v>0</v>
      </c>
      <c r="JG105" s="235">
        <f t="shared" si="89"/>
        <v>0</v>
      </c>
      <c r="JH105" s="235">
        <f t="shared" si="90"/>
        <v>0</v>
      </c>
      <c r="JI105" s="235">
        <f t="shared" si="91"/>
        <v>0</v>
      </c>
      <c r="JJ105" s="235">
        <f t="shared" si="92"/>
        <v>0</v>
      </c>
      <c r="JK105" s="235">
        <f t="shared" si="93"/>
        <v>0</v>
      </c>
      <c r="JL105" s="235">
        <f t="shared" si="94"/>
        <v>0</v>
      </c>
      <c r="JM105" s="235">
        <f t="shared" si="95"/>
        <v>0</v>
      </c>
      <c r="JN105" s="235">
        <f t="shared" si="96"/>
        <v>0</v>
      </c>
      <c r="JO105" s="235">
        <f t="shared" si="97"/>
        <v>0</v>
      </c>
      <c r="JP105" s="235">
        <f t="shared" si="98"/>
        <v>0</v>
      </c>
      <c r="JQ105" s="235">
        <f t="shared" si="99"/>
        <v>0</v>
      </c>
      <c r="JR105" s="235">
        <f t="shared" si="100"/>
        <v>0</v>
      </c>
      <c r="JS105" s="235">
        <f t="shared" si="101"/>
        <v>0</v>
      </c>
      <c r="JT105" s="235">
        <f t="shared" si="102"/>
        <v>0</v>
      </c>
      <c r="JU105" s="235">
        <f t="shared" si="103"/>
        <v>0</v>
      </c>
      <c r="JV105" s="235">
        <f t="shared" si="104"/>
        <v>0</v>
      </c>
      <c r="JW105" s="235">
        <f t="shared" si="105"/>
        <v>0</v>
      </c>
      <c r="JX105" s="235">
        <f t="shared" si="106"/>
        <v>0</v>
      </c>
      <c r="JY105" s="235">
        <f t="shared" si="107"/>
        <v>0</v>
      </c>
      <c r="JZ105" s="235">
        <f t="shared" si="108"/>
        <v>0</v>
      </c>
      <c r="KA105" s="237">
        <f t="shared" si="109"/>
        <v>0</v>
      </c>
      <c r="KB105" s="248">
        <v>46123</v>
      </c>
    </row>
    <row r="106" spans="1:288">
      <c r="A106" s="207">
        <v>46124</v>
      </c>
      <c r="JF106" s="236">
        <f t="shared" si="88"/>
        <v>0</v>
      </c>
      <c r="JG106" s="235">
        <f t="shared" si="89"/>
        <v>0</v>
      </c>
      <c r="JH106" s="235">
        <f t="shared" si="90"/>
        <v>0</v>
      </c>
      <c r="JI106" s="235">
        <f t="shared" si="91"/>
        <v>0</v>
      </c>
      <c r="JJ106" s="235">
        <f t="shared" si="92"/>
        <v>0</v>
      </c>
      <c r="JK106" s="235">
        <f t="shared" si="93"/>
        <v>0</v>
      </c>
      <c r="JL106" s="235">
        <f t="shared" si="94"/>
        <v>0</v>
      </c>
      <c r="JM106" s="235">
        <f t="shared" si="95"/>
        <v>0</v>
      </c>
      <c r="JN106" s="235">
        <f t="shared" si="96"/>
        <v>0</v>
      </c>
      <c r="JO106" s="235">
        <f t="shared" si="97"/>
        <v>0</v>
      </c>
      <c r="JP106" s="235">
        <f t="shared" si="98"/>
        <v>0</v>
      </c>
      <c r="JQ106" s="235">
        <f t="shared" si="99"/>
        <v>0</v>
      </c>
      <c r="JR106" s="235">
        <f t="shared" si="100"/>
        <v>0</v>
      </c>
      <c r="JS106" s="235">
        <f t="shared" si="101"/>
        <v>0</v>
      </c>
      <c r="JT106" s="235">
        <f t="shared" si="102"/>
        <v>0</v>
      </c>
      <c r="JU106" s="235">
        <f t="shared" si="103"/>
        <v>0</v>
      </c>
      <c r="JV106" s="235">
        <f t="shared" si="104"/>
        <v>0</v>
      </c>
      <c r="JW106" s="235">
        <f t="shared" si="105"/>
        <v>0</v>
      </c>
      <c r="JX106" s="235">
        <f t="shared" si="106"/>
        <v>0</v>
      </c>
      <c r="JY106" s="235">
        <f t="shared" si="107"/>
        <v>0</v>
      </c>
      <c r="JZ106" s="235">
        <f t="shared" si="108"/>
        <v>0</v>
      </c>
      <c r="KA106" s="237">
        <f t="shared" si="109"/>
        <v>0</v>
      </c>
      <c r="KB106" s="248">
        <v>46124</v>
      </c>
    </row>
    <row r="107" spans="1:288">
      <c r="A107" s="207">
        <v>46125</v>
      </c>
      <c r="JF107" s="236">
        <f t="shared" si="88"/>
        <v>0</v>
      </c>
      <c r="JG107" s="235">
        <f t="shared" si="89"/>
        <v>0</v>
      </c>
      <c r="JH107" s="235">
        <f t="shared" si="90"/>
        <v>0</v>
      </c>
      <c r="JI107" s="235">
        <f t="shared" si="91"/>
        <v>0</v>
      </c>
      <c r="JJ107" s="235">
        <f t="shared" si="92"/>
        <v>0</v>
      </c>
      <c r="JK107" s="235">
        <f t="shared" si="93"/>
        <v>0</v>
      </c>
      <c r="JL107" s="235">
        <f t="shared" si="94"/>
        <v>0</v>
      </c>
      <c r="JM107" s="235">
        <f t="shared" si="95"/>
        <v>0</v>
      </c>
      <c r="JN107" s="235">
        <f t="shared" si="96"/>
        <v>0</v>
      </c>
      <c r="JO107" s="235">
        <f t="shared" si="97"/>
        <v>0</v>
      </c>
      <c r="JP107" s="235">
        <f t="shared" si="98"/>
        <v>0</v>
      </c>
      <c r="JQ107" s="235">
        <f t="shared" si="99"/>
        <v>0</v>
      </c>
      <c r="JR107" s="235">
        <f t="shared" si="100"/>
        <v>0</v>
      </c>
      <c r="JS107" s="235">
        <f t="shared" si="101"/>
        <v>0</v>
      </c>
      <c r="JT107" s="235">
        <f t="shared" si="102"/>
        <v>0</v>
      </c>
      <c r="JU107" s="235">
        <f t="shared" si="103"/>
        <v>0</v>
      </c>
      <c r="JV107" s="235">
        <f t="shared" si="104"/>
        <v>0</v>
      </c>
      <c r="JW107" s="235">
        <f t="shared" si="105"/>
        <v>0</v>
      </c>
      <c r="JX107" s="235">
        <f t="shared" si="106"/>
        <v>0</v>
      </c>
      <c r="JY107" s="235">
        <f t="shared" si="107"/>
        <v>0</v>
      </c>
      <c r="JZ107" s="235">
        <f t="shared" si="108"/>
        <v>0</v>
      </c>
      <c r="KA107" s="237">
        <f t="shared" si="109"/>
        <v>0</v>
      </c>
      <c r="KB107" s="248">
        <v>46125</v>
      </c>
    </row>
    <row r="108" spans="1:288">
      <c r="A108" s="207">
        <v>46126</v>
      </c>
      <c r="JF108" s="236">
        <f t="shared" si="88"/>
        <v>0</v>
      </c>
      <c r="JG108" s="235">
        <f t="shared" si="89"/>
        <v>0</v>
      </c>
      <c r="JH108" s="235">
        <f t="shared" si="90"/>
        <v>0</v>
      </c>
      <c r="JI108" s="235">
        <f t="shared" si="91"/>
        <v>0</v>
      </c>
      <c r="JJ108" s="235">
        <f t="shared" si="92"/>
        <v>0</v>
      </c>
      <c r="JK108" s="235">
        <f t="shared" si="93"/>
        <v>0</v>
      </c>
      <c r="JL108" s="235">
        <f t="shared" si="94"/>
        <v>0</v>
      </c>
      <c r="JM108" s="235">
        <f t="shared" si="95"/>
        <v>0</v>
      </c>
      <c r="JN108" s="235">
        <f t="shared" si="96"/>
        <v>0</v>
      </c>
      <c r="JO108" s="235">
        <f t="shared" si="97"/>
        <v>0</v>
      </c>
      <c r="JP108" s="235">
        <f t="shared" si="98"/>
        <v>0</v>
      </c>
      <c r="JQ108" s="235">
        <f t="shared" si="99"/>
        <v>0</v>
      </c>
      <c r="JR108" s="235">
        <f t="shared" si="100"/>
        <v>0</v>
      </c>
      <c r="JS108" s="235">
        <f t="shared" si="101"/>
        <v>0</v>
      </c>
      <c r="JT108" s="235">
        <f t="shared" si="102"/>
        <v>0</v>
      </c>
      <c r="JU108" s="235">
        <f t="shared" si="103"/>
        <v>0</v>
      </c>
      <c r="JV108" s="235">
        <f t="shared" si="104"/>
        <v>0</v>
      </c>
      <c r="JW108" s="235">
        <f t="shared" si="105"/>
        <v>0</v>
      </c>
      <c r="JX108" s="235">
        <f t="shared" si="106"/>
        <v>0</v>
      </c>
      <c r="JY108" s="235">
        <f t="shared" si="107"/>
        <v>0</v>
      </c>
      <c r="JZ108" s="235">
        <f t="shared" si="108"/>
        <v>0</v>
      </c>
      <c r="KA108" s="237">
        <f t="shared" si="109"/>
        <v>0</v>
      </c>
      <c r="KB108" s="248">
        <v>46126</v>
      </c>
    </row>
    <row r="109" spans="1:288">
      <c r="A109" s="207">
        <v>46127</v>
      </c>
      <c r="JF109" s="236">
        <f t="shared" si="88"/>
        <v>0</v>
      </c>
      <c r="JG109" s="235">
        <f t="shared" si="89"/>
        <v>0</v>
      </c>
      <c r="JH109" s="235">
        <f t="shared" si="90"/>
        <v>0</v>
      </c>
      <c r="JI109" s="235">
        <f t="shared" si="91"/>
        <v>0</v>
      </c>
      <c r="JJ109" s="235">
        <f t="shared" si="92"/>
        <v>0</v>
      </c>
      <c r="JK109" s="235">
        <f t="shared" si="93"/>
        <v>0</v>
      </c>
      <c r="JL109" s="235">
        <f t="shared" si="94"/>
        <v>0</v>
      </c>
      <c r="JM109" s="235">
        <f t="shared" si="95"/>
        <v>0</v>
      </c>
      <c r="JN109" s="235">
        <f t="shared" si="96"/>
        <v>0</v>
      </c>
      <c r="JO109" s="235">
        <f t="shared" si="97"/>
        <v>0</v>
      </c>
      <c r="JP109" s="235">
        <f t="shared" si="98"/>
        <v>0</v>
      </c>
      <c r="JQ109" s="235">
        <f t="shared" si="99"/>
        <v>0</v>
      </c>
      <c r="JR109" s="235">
        <f t="shared" si="100"/>
        <v>0</v>
      </c>
      <c r="JS109" s="235">
        <f t="shared" si="101"/>
        <v>0</v>
      </c>
      <c r="JT109" s="235">
        <f t="shared" si="102"/>
        <v>0</v>
      </c>
      <c r="JU109" s="235">
        <f t="shared" si="103"/>
        <v>0</v>
      </c>
      <c r="JV109" s="235">
        <f t="shared" si="104"/>
        <v>0</v>
      </c>
      <c r="JW109" s="235">
        <f t="shared" si="105"/>
        <v>0</v>
      </c>
      <c r="JX109" s="235">
        <f t="shared" si="106"/>
        <v>0</v>
      </c>
      <c r="JY109" s="235">
        <f t="shared" si="107"/>
        <v>0</v>
      </c>
      <c r="JZ109" s="235">
        <f t="shared" si="108"/>
        <v>0</v>
      </c>
      <c r="KA109" s="237">
        <f t="shared" si="109"/>
        <v>0</v>
      </c>
      <c r="KB109" s="248">
        <v>46127</v>
      </c>
    </row>
    <row r="110" spans="1:288">
      <c r="A110" s="207">
        <v>46128</v>
      </c>
      <c r="JF110" s="236">
        <f t="shared" si="88"/>
        <v>0</v>
      </c>
      <c r="JG110" s="235">
        <f t="shared" si="89"/>
        <v>0</v>
      </c>
      <c r="JH110" s="235">
        <f t="shared" si="90"/>
        <v>0</v>
      </c>
      <c r="JI110" s="235">
        <f t="shared" si="91"/>
        <v>0</v>
      </c>
      <c r="JJ110" s="235">
        <f t="shared" si="92"/>
        <v>0</v>
      </c>
      <c r="JK110" s="235">
        <f t="shared" si="93"/>
        <v>0</v>
      </c>
      <c r="JL110" s="235">
        <f t="shared" si="94"/>
        <v>0</v>
      </c>
      <c r="JM110" s="235">
        <f t="shared" si="95"/>
        <v>0</v>
      </c>
      <c r="JN110" s="235">
        <f t="shared" si="96"/>
        <v>0</v>
      </c>
      <c r="JO110" s="235">
        <f t="shared" si="97"/>
        <v>0</v>
      </c>
      <c r="JP110" s="235">
        <f t="shared" si="98"/>
        <v>0</v>
      </c>
      <c r="JQ110" s="235">
        <f t="shared" si="99"/>
        <v>0</v>
      </c>
      <c r="JR110" s="235">
        <f t="shared" si="100"/>
        <v>0</v>
      </c>
      <c r="JS110" s="235">
        <f t="shared" si="101"/>
        <v>0</v>
      </c>
      <c r="JT110" s="235">
        <f t="shared" si="102"/>
        <v>0</v>
      </c>
      <c r="JU110" s="235">
        <f t="shared" si="103"/>
        <v>0</v>
      </c>
      <c r="JV110" s="235">
        <f t="shared" si="104"/>
        <v>0</v>
      </c>
      <c r="JW110" s="235">
        <f t="shared" si="105"/>
        <v>0</v>
      </c>
      <c r="JX110" s="235">
        <f t="shared" si="106"/>
        <v>0</v>
      </c>
      <c r="JY110" s="235">
        <f t="shared" si="107"/>
        <v>0</v>
      </c>
      <c r="JZ110" s="235">
        <f t="shared" si="108"/>
        <v>0</v>
      </c>
      <c r="KA110" s="237">
        <f t="shared" si="109"/>
        <v>0</v>
      </c>
      <c r="KB110" s="248">
        <v>46128</v>
      </c>
    </row>
    <row r="111" spans="1:288">
      <c r="A111" s="207">
        <v>46129</v>
      </c>
      <c r="JF111" s="236">
        <f t="shared" si="88"/>
        <v>0</v>
      </c>
      <c r="JG111" s="235">
        <f t="shared" si="89"/>
        <v>0</v>
      </c>
      <c r="JH111" s="235">
        <f t="shared" si="90"/>
        <v>0</v>
      </c>
      <c r="JI111" s="235">
        <f t="shared" si="91"/>
        <v>0</v>
      </c>
      <c r="JJ111" s="235">
        <f t="shared" si="92"/>
        <v>0</v>
      </c>
      <c r="JK111" s="235">
        <f t="shared" si="93"/>
        <v>0</v>
      </c>
      <c r="JL111" s="235">
        <f t="shared" si="94"/>
        <v>0</v>
      </c>
      <c r="JM111" s="235">
        <f t="shared" si="95"/>
        <v>0</v>
      </c>
      <c r="JN111" s="235">
        <f t="shared" si="96"/>
        <v>0</v>
      </c>
      <c r="JO111" s="235">
        <f t="shared" si="97"/>
        <v>0</v>
      </c>
      <c r="JP111" s="235">
        <f t="shared" si="98"/>
        <v>0</v>
      </c>
      <c r="JQ111" s="235">
        <f t="shared" si="99"/>
        <v>0</v>
      </c>
      <c r="JR111" s="235">
        <f t="shared" si="100"/>
        <v>0</v>
      </c>
      <c r="JS111" s="235">
        <f t="shared" si="101"/>
        <v>0</v>
      </c>
      <c r="JT111" s="235">
        <f t="shared" si="102"/>
        <v>0</v>
      </c>
      <c r="JU111" s="235">
        <f t="shared" si="103"/>
        <v>0</v>
      </c>
      <c r="JV111" s="235">
        <f t="shared" si="104"/>
        <v>0</v>
      </c>
      <c r="JW111" s="235">
        <f t="shared" si="105"/>
        <v>0</v>
      </c>
      <c r="JX111" s="235">
        <f t="shared" si="106"/>
        <v>0</v>
      </c>
      <c r="JY111" s="235">
        <f t="shared" si="107"/>
        <v>0</v>
      </c>
      <c r="JZ111" s="235">
        <f t="shared" si="108"/>
        <v>0</v>
      </c>
      <c r="KA111" s="237">
        <f t="shared" si="109"/>
        <v>0</v>
      </c>
      <c r="KB111" s="248">
        <v>46129</v>
      </c>
    </row>
    <row r="112" spans="1:288">
      <c r="A112" s="207">
        <v>46130</v>
      </c>
      <c r="JF112" s="236">
        <f t="shared" si="88"/>
        <v>0</v>
      </c>
      <c r="JG112" s="235">
        <f t="shared" si="89"/>
        <v>0</v>
      </c>
      <c r="JH112" s="235">
        <f t="shared" si="90"/>
        <v>0</v>
      </c>
      <c r="JI112" s="235">
        <f t="shared" si="91"/>
        <v>0</v>
      </c>
      <c r="JJ112" s="235">
        <f t="shared" si="92"/>
        <v>0</v>
      </c>
      <c r="JK112" s="235">
        <f t="shared" si="93"/>
        <v>0</v>
      </c>
      <c r="JL112" s="235">
        <f t="shared" si="94"/>
        <v>0</v>
      </c>
      <c r="JM112" s="235">
        <f t="shared" si="95"/>
        <v>0</v>
      </c>
      <c r="JN112" s="235">
        <f t="shared" si="96"/>
        <v>0</v>
      </c>
      <c r="JO112" s="235">
        <f t="shared" si="97"/>
        <v>0</v>
      </c>
      <c r="JP112" s="235">
        <f t="shared" si="98"/>
        <v>0</v>
      </c>
      <c r="JQ112" s="235">
        <f t="shared" si="99"/>
        <v>0</v>
      </c>
      <c r="JR112" s="235">
        <f t="shared" si="100"/>
        <v>0</v>
      </c>
      <c r="JS112" s="235">
        <f t="shared" si="101"/>
        <v>0</v>
      </c>
      <c r="JT112" s="235">
        <f t="shared" si="102"/>
        <v>0</v>
      </c>
      <c r="JU112" s="235">
        <f t="shared" si="103"/>
        <v>0</v>
      </c>
      <c r="JV112" s="235">
        <f t="shared" si="104"/>
        <v>0</v>
      </c>
      <c r="JW112" s="235">
        <f t="shared" si="105"/>
        <v>0</v>
      </c>
      <c r="JX112" s="235">
        <f t="shared" si="106"/>
        <v>0</v>
      </c>
      <c r="JY112" s="235">
        <f t="shared" si="107"/>
        <v>0</v>
      </c>
      <c r="JZ112" s="235">
        <f t="shared" si="108"/>
        <v>0</v>
      </c>
      <c r="KA112" s="237">
        <f t="shared" si="109"/>
        <v>0</v>
      </c>
      <c r="KB112" s="248">
        <v>46130</v>
      </c>
    </row>
    <row r="113" spans="1:288">
      <c r="A113" s="207">
        <v>46131</v>
      </c>
      <c r="JF113" s="236">
        <f t="shared" si="88"/>
        <v>0</v>
      </c>
      <c r="JG113" s="235">
        <f t="shared" si="89"/>
        <v>0</v>
      </c>
      <c r="JH113" s="235">
        <f t="shared" si="90"/>
        <v>0</v>
      </c>
      <c r="JI113" s="235">
        <f t="shared" si="91"/>
        <v>0</v>
      </c>
      <c r="JJ113" s="235">
        <f t="shared" si="92"/>
        <v>0</v>
      </c>
      <c r="JK113" s="235">
        <f t="shared" si="93"/>
        <v>0</v>
      </c>
      <c r="JL113" s="235">
        <f t="shared" si="94"/>
        <v>0</v>
      </c>
      <c r="JM113" s="235">
        <f t="shared" si="95"/>
        <v>0</v>
      </c>
      <c r="JN113" s="235">
        <f t="shared" si="96"/>
        <v>0</v>
      </c>
      <c r="JO113" s="235">
        <f t="shared" si="97"/>
        <v>0</v>
      </c>
      <c r="JP113" s="235">
        <f t="shared" si="98"/>
        <v>0</v>
      </c>
      <c r="JQ113" s="235">
        <f t="shared" si="99"/>
        <v>0</v>
      </c>
      <c r="JR113" s="235">
        <f t="shared" si="100"/>
        <v>0</v>
      </c>
      <c r="JS113" s="235">
        <f t="shared" si="101"/>
        <v>0</v>
      </c>
      <c r="JT113" s="235">
        <f t="shared" si="102"/>
        <v>0</v>
      </c>
      <c r="JU113" s="235">
        <f t="shared" si="103"/>
        <v>0</v>
      </c>
      <c r="JV113" s="235">
        <f t="shared" si="104"/>
        <v>0</v>
      </c>
      <c r="JW113" s="235">
        <f t="shared" si="105"/>
        <v>0</v>
      </c>
      <c r="JX113" s="235">
        <f t="shared" si="106"/>
        <v>0</v>
      </c>
      <c r="JY113" s="235">
        <f t="shared" si="107"/>
        <v>0</v>
      </c>
      <c r="JZ113" s="235">
        <f t="shared" si="108"/>
        <v>0</v>
      </c>
      <c r="KA113" s="237">
        <f t="shared" si="109"/>
        <v>0</v>
      </c>
      <c r="KB113" s="248">
        <v>46131</v>
      </c>
    </row>
    <row r="114" spans="1:288">
      <c r="A114" s="207">
        <v>46132</v>
      </c>
      <c r="JF114" s="236">
        <f t="shared" si="88"/>
        <v>0</v>
      </c>
      <c r="JG114" s="235">
        <f t="shared" si="89"/>
        <v>0</v>
      </c>
      <c r="JH114" s="235">
        <f t="shared" si="90"/>
        <v>0</v>
      </c>
      <c r="JI114" s="235">
        <f t="shared" si="91"/>
        <v>0</v>
      </c>
      <c r="JJ114" s="235">
        <f t="shared" si="92"/>
        <v>0</v>
      </c>
      <c r="JK114" s="235">
        <f t="shared" si="93"/>
        <v>0</v>
      </c>
      <c r="JL114" s="235">
        <f t="shared" si="94"/>
        <v>0</v>
      </c>
      <c r="JM114" s="235">
        <f t="shared" si="95"/>
        <v>0</v>
      </c>
      <c r="JN114" s="235">
        <f t="shared" si="96"/>
        <v>0</v>
      </c>
      <c r="JO114" s="235">
        <f t="shared" si="97"/>
        <v>0</v>
      </c>
      <c r="JP114" s="235">
        <f t="shared" si="98"/>
        <v>0</v>
      </c>
      <c r="JQ114" s="235">
        <f t="shared" si="99"/>
        <v>0</v>
      </c>
      <c r="JR114" s="235">
        <f t="shared" si="100"/>
        <v>0</v>
      </c>
      <c r="JS114" s="235">
        <f t="shared" si="101"/>
        <v>0</v>
      </c>
      <c r="JT114" s="235">
        <f t="shared" si="102"/>
        <v>0</v>
      </c>
      <c r="JU114" s="235">
        <f t="shared" si="103"/>
        <v>0</v>
      </c>
      <c r="JV114" s="235">
        <f t="shared" si="104"/>
        <v>0</v>
      </c>
      <c r="JW114" s="235">
        <f t="shared" si="105"/>
        <v>0</v>
      </c>
      <c r="JX114" s="235">
        <f t="shared" si="106"/>
        <v>0</v>
      </c>
      <c r="JY114" s="235">
        <f t="shared" si="107"/>
        <v>0</v>
      </c>
      <c r="JZ114" s="235">
        <f t="shared" si="108"/>
        <v>0</v>
      </c>
      <c r="KA114" s="237">
        <f t="shared" si="109"/>
        <v>0</v>
      </c>
      <c r="KB114" s="248">
        <v>46132</v>
      </c>
    </row>
    <row r="115" spans="1:288">
      <c r="A115" s="207">
        <v>46133</v>
      </c>
      <c r="JF115" s="236">
        <f t="shared" si="88"/>
        <v>0</v>
      </c>
      <c r="JG115" s="235">
        <f t="shared" si="89"/>
        <v>0</v>
      </c>
      <c r="JH115" s="235">
        <f t="shared" si="90"/>
        <v>0</v>
      </c>
      <c r="JI115" s="235">
        <f t="shared" si="91"/>
        <v>0</v>
      </c>
      <c r="JJ115" s="235">
        <f t="shared" si="92"/>
        <v>0</v>
      </c>
      <c r="JK115" s="235">
        <f t="shared" si="93"/>
        <v>0</v>
      </c>
      <c r="JL115" s="235">
        <f t="shared" si="94"/>
        <v>0</v>
      </c>
      <c r="JM115" s="235">
        <f t="shared" si="95"/>
        <v>0</v>
      </c>
      <c r="JN115" s="235">
        <f t="shared" si="96"/>
        <v>0</v>
      </c>
      <c r="JO115" s="235">
        <f t="shared" si="97"/>
        <v>0</v>
      </c>
      <c r="JP115" s="235">
        <f t="shared" si="98"/>
        <v>0</v>
      </c>
      <c r="JQ115" s="235">
        <f t="shared" si="99"/>
        <v>0</v>
      </c>
      <c r="JR115" s="235">
        <f t="shared" si="100"/>
        <v>0</v>
      </c>
      <c r="JS115" s="235">
        <f t="shared" si="101"/>
        <v>0</v>
      </c>
      <c r="JT115" s="235">
        <f t="shared" si="102"/>
        <v>0</v>
      </c>
      <c r="JU115" s="235">
        <f t="shared" si="103"/>
        <v>0</v>
      </c>
      <c r="JV115" s="235">
        <f t="shared" si="104"/>
        <v>0</v>
      </c>
      <c r="JW115" s="235">
        <f t="shared" si="105"/>
        <v>0</v>
      </c>
      <c r="JX115" s="235">
        <f t="shared" si="106"/>
        <v>0</v>
      </c>
      <c r="JY115" s="235">
        <f t="shared" si="107"/>
        <v>0</v>
      </c>
      <c r="JZ115" s="235">
        <f t="shared" si="108"/>
        <v>0</v>
      </c>
      <c r="KA115" s="237">
        <f t="shared" si="109"/>
        <v>0</v>
      </c>
      <c r="KB115" s="248">
        <v>46133</v>
      </c>
    </row>
    <row r="116" spans="1:288">
      <c r="A116" s="207">
        <v>46134</v>
      </c>
      <c r="JF116" s="236">
        <f t="shared" si="88"/>
        <v>0</v>
      </c>
      <c r="JG116" s="235">
        <f t="shared" si="89"/>
        <v>0</v>
      </c>
      <c r="JH116" s="235">
        <f t="shared" si="90"/>
        <v>0</v>
      </c>
      <c r="JI116" s="235">
        <f t="shared" si="91"/>
        <v>0</v>
      </c>
      <c r="JJ116" s="235">
        <f t="shared" si="92"/>
        <v>0</v>
      </c>
      <c r="JK116" s="235">
        <f t="shared" si="93"/>
        <v>0</v>
      </c>
      <c r="JL116" s="235">
        <f t="shared" si="94"/>
        <v>0</v>
      </c>
      <c r="JM116" s="235">
        <f t="shared" si="95"/>
        <v>0</v>
      </c>
      <c r="JN116" s="235">
        <f t="shared" si="96"/>
        <v>0</v>
      </c>
      <c r="JO116" s="235">
        <f t="shared" si="97"/>
        <v>0</v>
      </c>
      <c r="JP116" s="235">
        <f t="shared" si="98"/>
        <v>0</v>
      </c>
      <c r="JQ116" s="235">
        <f t="shared" si="99"/>
        <v>0</v>
      </c>
      <c r="JR116" s="235">
        <f t="shared" si="100"/>
        <v>0</v>
      </c>
      <c r="JS116" s="235">
        <f t="shared" si="101"/>
        <v>0</v>
      </c>
      <c r="JT116" s="235">
        <f t="shared" si="102"/>
        <v>0</v>
      </c>
      <c r="JU116" s="235">
        <f t="shared" si="103"/>
        <v>0</v>
      </c>
      <c r="JV116" s="235">
        <f t="shared" si="104"/>
        <v>0</v>
      </c>
      <c r="JW116" s="235">
        <f t="shared" si="105"/>
        <v>0</v>
      </c>
      <c r="JX116" s="235">
        <f t="shared" si="106"/>
        <v>0</v>
      </c>
      <c r="JY116" s="235">
        <f t="shared" si="107"/>
        <v>0</v>
      </c>
      <c r="JZ116" s="235">
        <f t="shared" si="108"/>
        <v>0</v>
      </c>
      <c r="KA116" s="237">
        <f t="shared" si="109"/>
        <v>0</v>
      </c>
      <c r="KB116" s="248">
        <v>46134</v>
      </c>
    </row>
    <row r="117" spans="1:288">
      <c r="A117" s="207">
        <v>46135</v>
      </c>
      <c r="JF117" s="236">
        <f t="shared" si="88"/>
        <v>0</v>
      </c>
      <c r="JG117" s="235">
        <f t="shared" si="89"/>
        <v>0</v>
      </c>
      <c r="JH117" s="235">
        <f t="shared" si="90"/>
        <v>0</v>
      </c>
      <c r="JI117" s="235">
        <f t="shared" si="91"/>
        <v>0</v>
      </c>
      <c r="JJ117" s="235">
        <f t="shared" si="92"/>
        <v>0</v>
      </c>
      <c r="JK117" s="235">
        <f t="shared" si="93"/>
        <v>0</v>
      </c>
      <c r="JL117" s="235">
        <f t="shared" si="94"/>
        <v>0</v>
      </c>
      <c r="JM117" s="235">
        <f t="shared" si="95"/>
        <v>0</v>
      </c>
      <c r="JN117" s="235">
        <f t="shared" si="96"/>
        <v>0</v>
      </c>
      <c r="JO117" s="235">
        <f t="shared" si="97"/>
        <v>0</v>
      </c>
      <c r="JP117" s="235">
        <f t="shared" si="98"/>
        <v>0</v>
      </c>
      <c r="JQ117" s="235">
        <f t="shared" si="99"/>
        <v>0</v>
      </c>
      <c r="JR117" s="235">
        <f t="shared" si="100"/>
        <v>0</v>
      </c>
      <c r="JS117" s="235">
        <f t="shared" si="101"/>
        <v>0</v>
      </c>
      <c r="JT117" s="235">
        <f t="shared" si="102"/>
        <v>0</v>
      </c>
      <c r="JU117" s="235">
        <f t="shared" si="103"/>
        <v>0</v>
      </c>
      <c r="JV117" s="235">
        <f t="shared" si="104"/>
        <v>0</v>
      </c>
      <c r="JW117" s="235">
        <f t="shared" si="105"/>
        <v>0</v>
      </c>
      <c r="JX117" s="235">
        <f t="shared" si="106"/>
        <v>0</v>
      </c>
      <c r="JY117" s="235">
        <f t="shared" si="107"/>
        <v>0</v>
      </c>
      <c r="JZ117" s="235">
        <f t="shared" si="108"/>
        <v>0</v>
      </c>
      <c r="KA117" s="237">
        <f t="shared" si="109"/>
        <v>0</v>
      </c>
      <c r="KB117" s="248">
        <v>46135</v>
      </c>
    </row>
    <row r="118" spans="1:288">
      <c r="A118" s="207">
        <v>46136</v>
      </c>
      <c r="JF118" s="236">
        <f t="shared" si="88"/>
        <v>0</v>
      </c>
      <c r="JG118" s="235">
        <f t="shared" si="89"/>
        <v>0</v>
      </c>
      <c r="JH118" s="235">
        <f t="shared" si="90"/>
        <v>0</v>
      </c>
      <c r="JI118" s="235">
        <f t="shared" si="91"/>
        <v>0</v>
      </c>
      <c r="JJ118" s="235">
        <f t="shared" si="92"/>
        <v>0</v>
      </c>
      <c r="JK118" s="235">
        <f t="shared" si="93"/>
        <v>0</v>
      </c>
      <c r="JL118" s="235">
        <f t="shared" si="94"/>
        <v>0</v>
      </c>
      <c r="JM118" s="235">
        <f t="shared" si="95"/>
        <v>0</v>
      </c>
      <c r="JN118" s="235">
        <f t="shared" si="96"/>
        <v>0</v>
      </c>
      <c r="JO118" s="235">
        <f t="shared" si="97"/>
        <v>0</v>
      </c>
      <c r="JP118" s="235">
        <f t="shared" si="98"/>
        <v>0</v>
      </c>
      <c r="JQ118" s="235">
        <f t="shared" si="99"/>
        <v>0</v>
      </c>
      <c r="JR118" s="235">
        <f t="shared" si="100"/>
        <v>0</v>
      </c>
      <c r="JS118" s="235">
        <f t="shared" si="101"/>
        <v>0</v>
      </c>
      <c r="JT118" s="235">
        <f t="shared" si="102"/>
        <v>0</v>
      </c>
      <c r="JU118" s="235">
        <f t="shared" si="103"/>
        <v>0</v>
      </c>
      <c r="JV118" s="235">
        <f t="shared" si="104"/>
        <v>0</v>
      </c>
      <c r="JW118" s="235">
        <f t="shared" si="105"/>
        <v>0</v>
      </c>
      <c r="JX118" s="235">
        <f t="shared" si="106"/>
        <v>0</v>
      </c>
      <c r="JY118" s="235">
        <f t="shared" si="107"/>
        <v>0</v>
      </c>
      <c r="JZ118" s="235">
        <f t="shared" si="108"/>
        <v>0</v>
      </c>
      <c r="KA118" s="237">
        <f t="shared" si="109"/>
        <v>0</v>
      </c>
      <c r="KB118" s="248">
        <v>46136</v>
      </c>
    </row>
    <row r="119" spans="1:288">
      <c r="A119" s="207">
        <v>46137</v>
      </c>
      <c r="JF119" s="236">
        <f t="shared" si="88"/>
        <v>0</v>
      </c>
      <c r="JG119" s="235">
        <f t="shared" si="89"/>
        <v>0</v>
      </c>
      <c r="JH119" s="235">
        <f t="shared" si="90"/>
        <v>0</v>
      </c>
      <c r="JI119" s="235">
        <f t="shared" si="91"/>
        <v>0</v>
      </c>
      <c r="JJ119" s="235">
        <f t="shared" si="92"/>
        <v>0</v>
      </c>
      <c r="JK119" s="235">
        <f t="shared" si="93"/>
        <v>0</v>
      </c>
      <c r="JL119" s="235">
        <f t="shared" si="94"/>
        <v>0</v>
      </c>
      <c r="JM119" s="235">
        <f t="shared" si="95"/>
        <v>0</v>
      </c>
      <c r="JN119" s="235">
        <f t="shared" si="96"/>
        <v>0</v>
      </c>
      <c r="JO119" s="235">
        <f t="shared" si="97"/>
        <v>0</v>
      </c>
      <c r="JP119" s="235">
        <f t="shared" si="98"/>
        <v>0</v>
      </c>
      <c r="JQ119" s="235">
        <f t="shared" si="99"/>
        <v>0</v>
      </c>
      <c r="JR119" s="235">
        <f t="shared" si="100"/>
        <v>0</v>
      </c>
      <c r="JS119" s="235">
        <f t="shared" si="101"/>
        <v>0</v>
      </c>
      <c r="JT119" s="235">
        <f t="shared" si="102"/>
        <v>0</v>
      </c>
      <c r="JU119" s="235">
        <f t="shared" si="103"/>
        <v>0</v>
      </c>
      <c r="JV119" s="235">
        <f t="shared" si="104"/>
        <v>0</v>
      </c>
      <c r="JW119" s="235">
        <f t="shared" si="105"/>
        <v>0</v>
      </c>
      <c r="JX119" s="235">
        <f t="shared" si="106"/>
        <v>0</v>
      </c>
      <c r="JY119" s="235">
        <f t="shared" si="107"/>
        <v>0</v>
      </c>
      <c r="JZ119" s="235">
        <f t="shared" si="108"/>
        <v>0</v>
      </c>
      <c r="KA119" s="237">
        <f t="shared" si="109"/>
        <v>0</v>
      </c>
      <c r="KB119" s="248">
        <v>46137</v>
      </c>
    </row>
    <row r="120" spans="1:288">
      <c r="A120" s="207">
        <v>46138</v>
      </c>
      <c r="JF120" s="236">
        <f t="shared" si="88"/>
        <v>0</v>
      </c>
      <c r="JG120" s="235">
        <f t="shared" si="89"/>
        <v>0</v>
      </c>
      <c r="JH120" s="235">
        <f t="shared" si="90"/>
        <v>0</v>
      </c>
      <c r="JI120" s="235">
        <f t="shared" si="91"/>
        <v>0</v>
      </c>
      <c r="JJ120" s="235">
        <f t="shared" si="92"/>
        <v>0</v>
      </c>
      <c r="JK120" s="235">
        <f t="shared" si="93"/>
        <v>0</v>
      </c>
      <c r="JL120" s="235">
        <f t="shared" si="94"/>
        <v>0</v>
      </c>
      <c r="JM120" s="235">
        <f t="shared" si="95"/>
        <v>0</v>
      </c>
      <c r="JN120" s="235">
        <f t="shared" si="96"/>
        <v>0</v>
      </c>
      <c r="JO120" s="235">
        <f t="shared" si="97"/>
        <v>0</v>
      </c>
      <c r="JP120" s="235">
        <f t="shared" si="98"/>
        <v>0</v>
      </c>
      <c r="JQ120" s="235">
        <f t="shared" si="99"/>
        <v>0</v>
      </c>
      <c r="JR120" s="235">
        <f t="shared" si="100"/>
        <v>0</v>
      </c>
      <c r="JS120" s="235">
        <f t="shared" si="101"/>
        <v>0</v>
      </c>
      <c r="JT120" s="235">
        <f t="shared" si="102"/>
        <v>0</v>
      </c>
      <c r="JU120" s="235">
        <f t="shared" si="103"/>
        <v>0</v>
      </c>
      <c r="JV120" s="235">
        <f t="shared" si="104"/>
        <v>0</v>
      </c>
      <c r="JW120" s="235">
        <f t="shared" si="105"/>
        <v>0</v>
      </c>
      <c r="JX120" s="235">
        <f t="shared" si="106"/>
        <v>0</v>
      </c>
      <c r="JY120" s="235">
        <f t="shared" si="107"/>
        <v>0</v>
      </c>
      <c r="JZ120" s="235">
        <f t="shared" si="108"/>
        <v>0</v>
      </c>
      <c r="KA120" s="237">
        <f t="shared" si="109"/>
        <v>0</v>
      </c>
      <c r="KB120" s="248">
        <v>46138</v>
      </c>
    </row>
    <row r="121" spans="1:288">
      <c r="A121" s="207">
        <v>46139</v>
      </c>
      <c r="JF121" s="236">
        <f t="shared" si="88"/>
        <v>0</v>
      </c>
      <c r="JG121" s="235">
        <f t="shared" si="89"/>
        <v>0</v>
      </c>
      <c r="JH121" s="235">
        <f t="shared" si="90"/>
        <v>0</v>
      </c>
      <c r="JI121" s="235">
        <f t="shared" si="91"/>
        <v>0</v>
      </c>
      <c r="JJ121" s="235">
        <f t="shared" si="92"/>
        <v>0</v>
      </c>
      <c r="JK121" s="235">
        <f t="shared" si="93"/>
        <v>0</v>
      </c>
      <c r="JL121" s="235">
        <f t="shared" si="94"/>
        <v>0</v>
      </c>
      <c r="JM121" s="235">
        <f t="shared" si="95"/>
        <v>0</v>
      </c>
      <c r="JN121" s="235">
        <f t="shared" si="96"/>
        <v>0</v>
      </c>
      <c r="JO121" s="235">
        <f t="shared" si="97"/>
        <v>0</v>
      </c>
      <c r="JP121" s="235">
        <f t="shared" si="98"/>
        <v>0</v>
      </c>
      <c r="JQ121" s="235">
        <f t="shared" si="99"/>
        <v>0</v>
      </c>
      <c r="JR121" s="235">
        <f t="shared" si="100"/>
        <v>0</v>
      </c>
      <c r="JS121" s="235">
        <f t="shared" si="101"/>
        <v>0</v>
      </c>
      <c r="JT121" s="235">
        <f t="shared" si="102"/>
        <v>0</v>
      </c>
      <c r="JU121" s="235">
        <f t="shared" si="103"/>
        <v>0</v>
      </c>
      <c r="JV121" s="235">
        <f t="shared" si="104"/>
        <v>0</v>
      </c>
      <c r="JW121" s="235">
        <f t="shared" si="105"/>
        <v>0</v>
      </c>
      <c r="JX121" s="235">
        <f t="shared" si="106"/>
        <v>0</v>
      </c>
      <c r="JY121" s="235">
        <f t="shared" si="107"/>
        <v>0</v>
      </c>
      <c r="JZ121" s="235">
        <f t="shared" si="108"/>
        <v>0</v>
      </c>
      <c r="KA121" s="237">
        <f t="shared" si="109"/>
        <v>0</v>
      </c>
      <c r="KB121" s="248">
        <v>46139</v>
      </c>
    </row>
    <row r="122" spans="1:288">
      <c r="A122" s="207">
        <v>46140</v>
      </c>
      <c r="JF122" s="236">
        <f t="shared" si="88"/>
        <v>0</v>
      </c>
      <c r="JG122" s="235">
        <f t="shared" si="89"/>
        <v>0</v>
      </c>
      <c r="JH122" s="235">
        <f t="shared" si="90"/>
        <v>0</v>
      </c>
      <c r="JI122" s="235">
        <f t="shared" si="91"/>
        <v>0</v>
      </c>
      <c r="JJ122" s="235">
        <f t="shared" si="92"/>
        <v>0</v>
      </c>
      <c r="JK122" s="235">
        <f t="shared" si="93"/>
        <v>0</v>
      </c>
      <c r="JL122" s="235">
        <f t="shared" si="94"/>
        <v>0</v>
      </c>
      <c r="JM122" s="235">
        <f t="shared" si="95"/>
        <v>0</v>
      </c>
      <c r="JN122" s="235">
        <f t="shared" si="96"/>
        <v>0</v>
      </c>
      <c r="JO122" s="235">
        <f t="shared" si="97"/>
        <v>0</v>
      </c>
      <c r="JP122" s="235">
        <f t="shared" si="98"/>
        <v>0</v>
      </c>
      <c r="JQ122" s="235">
        <f t="shared" si="99"/>
        <v>0</v>
      </c>
      <c r="JR122" s="235">
        <f t="shared" si="100"/>
        <v>0</v>
      </c>
      <c r="JS122" s="235">
        <f t="shared" si="101"/>
        <v>0</v>
      </c>
      <c r="JT122" s="235">
        <f t="shared" si="102"/>
        <v>0</v>
      </c>
      <c r="JU122" s="235">
        <f t="shared" si="103"/>
        <v>0</v>
      </c>
      <c r="JV122" s="235">
        <f t="shared" si="104"/>
        <v>0</v>
      </c>
      <c r="JW122" s="235">
        <f t="shared" si="105"/>
        <v>0</v>
      </c>
      <c r="JX122" s="235">
        <f t="shared" si="106"/>
        <v>0</v>
      </c>
      <c r="JY122" s="235">
        <f t="shared" si="107"/>
        <v>0</v>
      </c>
      <c r="JZ122" s="235">
        <f t="shared" si="108"/>
        <v>0</v>
      </c>
      <c r="KA122" s="237">
        <f t="shared" si="109"/>
        <v>0</v>
      </c>
      <c r="KB122" s="248">
        <v>46140</v>
      </c>
    </row>
    <row r="123" spans="1:288">
      <c r="A123" s="207">
        <v>46141</v>
      </c>
      <c r="JF123" s="236">
        <f t="shared" si="88"/>
        <v>0</v>
      </c>
      <c r="JG123" s="235">
        <f t="shared" si="89"/>
        <v>0</v>
      </c>
      <c r="JH123" s="235">
        <f t="shared" si="90"/>
        <v>0</v>
      </c>
      <c r="JI123" s="235">
        <f t="shared" si="91"/>
        <v>0</v>
      </c>
      <c r="JJ123" s="235">
        <f t="shared" si="92"/>
        <v>0</v>
      </c>
      <c r="JK123" s="235">
        <f t="shared" si="93"/>
        <v>0</v>
      </c>
      <c r="JL123" s="235">
        <f t="shared" si="94"/>
        <v>0</v>
      </c>
      <c r="JM123" s="235">
        <f t="shared" si="95"/>
        <v>0</v>
      </c>
      <c r="JN123" s="235">
        <f t="shared" si="96"/>
        <v>0</v>
      </c>
      <c r="JO123" s="235">
        <f t="shared" si="97"/>
        <v>0</v>
      </c>
      <c r="JP123" s="235">
        <f t="shared" si="98"/>
        <v>0</v>
      </c>
      <c r="JQ123" s="235">
        <f t="shared" si="99"/>
        <v>0</v>
      </c>
      <c r="JR123" s="235">
        <f t="shared" si="100"/>
        <v>0</v>
      </c>
      <c r="JS123" s="235">
        <f t="shared" si="101"/>
        <v>0</v>
      </c>
      <c r="JT123" s="235">
        <f t="shared" si="102"/>
        <v>0</v>
      </c>
      <c r="JU123" s="235">
        <f t="shared" si="103"/>
        <v>0</v>
      </c>
      <c r="JV123" s="235">
        <f t="shared" si="104"/>
        <v>0</v>
      </c>
      <c r="JW123" s="235">
        <f t="shared" si="105"/>
        <v>0</v>
      </c>
      <c r="JX123" s="235">
        <f t="shared" si="106"/>
        <v>0</v>
      </c>
      <c r="JY123" s="235">
        <f t="shared" si="107"/>
        <v>0</v>
      </c>
      <c r="JZ123" s="235">
        <f t="shared" si="108"/>
        <v>0</v>
      </c>
      <c r="KA123" s="237">
        <f t="shared" si="109"/>
        <v>0</v>
      </c>
      <c r="KB123" s="248">
        <v>46141</v>
      </c>
    </row>
    <row r="124" spans="1:288">
      <c r="A124" s="207">
        <v>46142</v>
      </c>
      <c r="JF124" s="236">
        <f t="shared" si="88"/>
        <v>0</v>
      </c>
      <c r="JG124" s="235">
        <f t="shared" si="89"/>
        <v>0</v>
      </c>
      <c r="JH124" s="235">
        <f t="shared" si="90"/>
        <v>0</v>
      </c>
      <c r="JI124" s="235">
        <f t="shared" si="91"/>
        <v>0</v>
      </c>
      <c r="JJ124" s="235">
        <f t="shared" si="92"/>
        <v>0</v>
      </c>
      <c r="JK124" s="235">
        <f t="shared" si="93"/>
        <v>0</v>
      </c>
      <c r="JL124" s="235">
        <f t="shared" si="94"/>
        <v>0</v>
      </c>
      <c r="JM124" s="235">
        <f t="shared" si="95"/>
        <v>0</v>
      </c>
      <c r="JN124" s="235">
        <f t="shared" si="96"/>
        <v>0</v>
      </c>
      <c r="JO124" s="235">
        <f t="shared" si="97"/>
        <v>0</v>
      </c>
      <c r="JP124" s="235">
        <f t="shared" si="98"/>
        <v>0</v>
      </c>
      <c r="JQ124" s="235">
        <f t="shared" si="99"/>
        <v>0</v>
      </c>
      <c r="JR124" s="235">
        <f t="shared" si="100"/>
        <v>0</v>
      </c>
      <c r="JS124" s="235">
        <f t="shared" si="101"/>
        <v>0</v>
      </c>
      <c r="JT124" s="235">
        <f t="shared" si="102"/>
        <v>0</v>
      </c>
      <c r="JU124" s="235">
        <f t="shared" si="103"/>
        <v>0</v>
      </c>
      <c r="JV124" s="235">
        <f t="shared" si="104"/>
        <v>0</v>
      </c>
      <c r="JW124" s="235">
        <f t="shared" si="105"/>
        <v>0</v>
      </c>
      <c r="JX124" s="235">
        <f t="shared" si="106"/>
        <v>0</v>
      </c>
      <c r="JY124" s="235">
        <f t="shared" si="107"/>
        <v>0</v>
      </c>
      <c r="JZ124" s="235">
        <f t="shared" si="108"/>
        <v>0</v>
      </c>
      <c r="KA124" s="237">
        <f t="shared" si="109"/>
        <v>0</v>
      </c>
      <c r="KB124" s="248">
        <v>46142</v>
      </c>
    </row>
    <row r="125" spans="1:288">
      <c r="A125" s="207">
        <v>46143</v>
      </c>
      <c r="JF125" s="236">
        <f t="shared" si="88"/>
        <v>0</v>
      </c>
      <c r="JG125" s="235">
        <f t="shared" si="89"/>
        <v>0</v>
      </c>
      <c r="JH125" s="235">
        <f t="shared" si="90"/>
        <v>0</v>
      </c>
      <c r="JI125" s="235">
        <f t="shared" si="91"/>
        <v>0</v>
      </c>
      <c r="JJ125" s="235">
        <f t="shared" si="92"/>
        <v>0</v>
      </c>
      <c r="JK125" s="235">
        <f t="shared" si="93"/>
        <v>0</v>
      </c>
      <c r="JL125" s="235">
        <f t="shared" si="94"/>
        <v>0</v>
      </c>
      <c r="JM125" s="235">
        <f t="shared" si="95"/>
        <v>0</v>
      </c>
      <c r="JN125" s="235">
        <f t="shared" si="96"/>
        <v>0</v>
      </c>
      <c r="JO125" s="235">
        <f t="shared" si="97"/>
        <v>0</v>
      </c>
      <c r="JP125" s="235">
        <f t="shared" si="98"/>
        <v>0</v>
      </c>
      <c r="JQ125" s="235">
        <f t="shared" si="99"/>
        <v>0</v>
      </c>
      <c r="JR125" s="235">
        <f t="shared" si="100"/>
        <v>0</v>
      </c>
      <c r="JS125" s="235">
        <f t="shared" si="101"/>
        <v>0</v>
      </c>
      <c r="JT125" s="235">
        <f t="shared" si="102"/>
        <v>0</v>
      </c>
      <c r="JU125" s="235">
        <f t="shared" si="103"/>
        <v>0</v>
      </c>
      <c r="JV125" s="235">
        <f t="shared" si="104"/>
        <v>0</v>
      </c>
      <c r="JW125" s="235">
        <f t="shared" si="105"/>
        <v>0</v>
      </c>
      <c r="JX125" s="235">
        <f t="shared" si="106"/>
        <v>0</v>
      </c>
      <c r="JY125" s="235">
        <f t="shared" si="107"/>
        <v>0</v>
      </c>
      <c r="JZ125" s="235">
        <f t="shared" si="108"/>
        <v>0</v>
      </c>
      <c r="KA125" s="237">
        <f t="shared" si="109"/>
        <v>0</v>
      </c>
      <c r="KB125" s="248">
        <v>46143</v>
      </c>
    </row>
    <row r="126" spans="1:288">
      <c r="A126" s="207">
        <v>46144</v>
      </c>
      <c r="JF126" s="236">
        <f t="shared" si="88"/>
        <v>0</v>
      </c>
      <c r="JG126" s="235">
        <f t="shared" si="89"/>
        <v>0</v>
      </c>
      <c r="JH126" s="235">
        <f t="shared" si="90"/>
        <v>0</v>
      </c>
      <c r="JI126" s="235">
        <f t="shared" si="91"/>
        <v>0</v>
      </c>
      <c r="JJ126" s="235">
        <f t="shared" si="92"/>
        <v>0</v>
      </c>
      <c r="JK126" s="235">
        <f t="shared" si="93"/>
        <v>0</v>
      </c>
      <c r="JL126" s="235">
        <f t="shared" si="94"/>
        <v>0</v>
      </c>
      <c r="JM126" s="235">
        <f t="shared" si="95"/>
        <v>0</v>
      </c>
      <c r="JN126" s="235">
        <f t="shared" si="96"/>
        <v>0</v>
      </c>
      <c r="JO126" s="235">
        <f t="shared" si="97"/>
        <v>0</v>
      </c>
      <c r="JP126" s="235">
        <f t="shared" si="98"/>
        <v>0</v>
      </c>
      <c r="JQ126" s="235">
        <f t="shared" si="99"/>
        <v>0</v>
      </c>
      <c r="JR126" s="235">
        <f t="shared" si="100"/>
        <v>0</v>
      </c>
      <c r="JS126" s="235">
        <f t="shared" si="101"/>
        <v>0</v>
      </c>
      <c r="JT126" s="235">
        <f t="shared" si="102"/>
        <v>0</v>
      </c>
      <c r="JU126" s="235">
        <f t="shared" si="103"/>
        <v>0</v>
      </c>
      <c r="JV126" s="235">
        <f t="shared" si="104"/>
        <v>0</v>
      </c>
      <c r="JW126" s="235">
        <f t="shared" si="105"/>
        <v>0</v>
      </c>
      <c r="JX126" s="235">
        <f t="shared" si="106"/>
        <v>0</v>
      </c>
      <c r="JY126" s="235">
        <f t="shared" si="107"/>
        <v>0</v>
      </c>
      <c r="JZ126" s="235">
        <f t="shared" si="108"/>
        <v>0</v>
      </c>
      <c r="KA126" s="237">
        <f t="shared" si="109"/>
        <v>0</v>
      </c>
      <c r="KB126" s="248">
        <v>46144</v>
      </c>
    </row>
    <row r="127" spans="1:288">
      <c r="A127" s="207">
        <v>46145</v>
      </c>
      <c r="JF127" s="236">
        <f t="shared" si="88"/>
        <v>0</v>
      </c>
      <c r="JG127" s="235">
        <f t="shared" si="89"/>
        <v>0</v>
      </c>
      <c r="JH127" s="235">
        <f t="shared" si="90"/>
        <v>0</v>
      </c>
      <c r="JI127" s="235">
        <f t="shared" si="91"/>
        <v>0</v>
      </c>
      <c r="JJ127" s="235">
        <f t="shared" si="92"/>
        <v>0</v>
      </c>
      <c r="JK127" s="235">
        <f t="shared" si="93"/>
        <v>0</v>
      </c>
      <c r="JL127" s="235">
        <f t="shared" si="94"/>
        <v>0</v>
      </c>
      <c r="JM127" s="235">
        <f t="shared" si="95"/>
        <v>0</v>
      </c>
      <c r="JN127" s="235">
        <f t="shared" si="96"/>
        <v>0</v>
      </c>
      <c r="JO127" s="235">
        <f t="shared" si="97"/>
        <v>0</v>
      </c>
      <c r="JP127" s="235">
        <f t="shared" si="98"/>
        <v>0</v>
      </c>
      <c r="JQ127" s="235">
        <f t="shared" si="99"/>
        <v>0</v>
      </c>
      <c r="JR127" s="235">
        <f t="shared" si="100"/>
        <v>0</v>
      </c>
      <c r="JS127" s="235">
        <f t="shared" si="101"/>
        <v>0</v>
      </c>
      <c r="JT127" s="235">
        <f t="shared" si="102"/>
        <v>0</v>
      </c>
      <c r="JU127" s="235">
        <f t="shared" si="103"/>
        <v>0</v>
      </c>
      <c r="JV127" s="235">
        <f t="shared" si="104"/>
        <v>0</v>
      </c>
      <c r="JW127" s="235">
        <f t="shared" si="105"/>
        <v>0</v>
      </c>
      <c r="JX127" s="235">
        <f t="shared" si="106"/>
        <v>0</v>
      </c>
      <c r="JY127" s="235">
        <f t="shared" si="107"/>
        <v>0</v>
      </c>
      <c r="JZ127" s="235">
        <f t="shared" si="108"/>
        <v>0</v>
      </c>
      <c r="KA127" s="237">
        <f t="shared" si="109"/>
        <v>0</v>
      </c>
      <c r="KB127" s="248">
        <v>46145</v>
      </c>
    </row>
    <row r="128" spans="1:288">
      <c r="A128" s="207">
        <v>46146</v>
      </c>
      <c r="JF128" s="236">
        <f t="shared" si="88"/>
        <v>0</v>
      </c>
      <c r="JG128" s="235">
        <f t="shared" si="89"/>
        <v>0</v>
      </c>
      <c r="JH128" s="235">
        <f t="shared" si="90"/>
        <v>0</v>
      </c>
      <c r="JI128" s="235">
        <f t="shared" si="91"/>
        <v>0</v>
      </c>
      <c r="JJ128" s="235">
        <f t="shared" si="92"/>
        <v>0</v>
      </c>
      <c r="JK128" s="235">
        <f t="shared" si="93"/>
        <v>0</v>
      </c>
      <c r="JL128" s="235">
        <f t="shared" si="94"/>
        <v>0</v>
      </c>
      <c r="JM128" s="235">
        <f t="shared" si="95"/>
        <v>0</v>
      </c>
      <c r="JN128" s="235">
        <f t="shared" si="96"/>
        <v>0</v>
      </c>
      <c r="JO128" s="235">
        <f t="shared" si="97"/>
        <v>0</v>
      </c>
      <c r="JP128" s="235">
        <f t="shared" si="98"/>
        <v>0</v>
      </c>
      <c r="JQ128" s="235">
        <f t="shared" si="99"/>
        <v>0</v>
      </c>
      <c r="JR128" s="235">
        <f t="shared" si="100"/>
        <v>0</v>
      </c>
      <c r="JS128" s="235">
        <f t="shared" si="101"/>
        <v>0</v>
      </c>
      <c r="JT128" s="235">
        <f t="shared" si="102"/>
        <v>0</v>
      </c>
      <c r="JU128" s="235">
        <f t="shared" si="103"/>
        <v>0</v>
      </c>
      <c r="JV128" s="235">
        <f t="shared" si="104"/>
        <v>0</v>
      </c>
      <c r="JW128" s="235">
        <f t="shared" si="105"/>
        <v>0</v>
      </c>
      <c r="JX128" s="235">
        <f t="shared" si="106"/>
        <v>0</v>
      </c>
      <c r="JY128" s="235">
        <f t="shared" si="107"/>
        <v>0</v>
      </c>
      <c r="JZ128" s="235">
        <f t="shared" si="108"/>
        <v>0</v>
      </c>
      <c r="KA128" s="237">
        <f t="shared" si="109"/>
        <v>0</v>
      </c>
      <c r="KB128" s="248">
        <v>46146</v>
      </c>
    </row>
    <row r="129" spans="1:288">
      <c r="A129" s="207">
        <v>46147</v>
      </c>
      <c r="JF129" s="236">
        <f t="shared" si="88"/>
        <v>0</v>
      </c>
      <c r="JG129" s="235">
        <f t="shared" si="89"/>
        <v>0</v>
      </c>
      <c r="JH129" s="235">
        <f t="shared" si="90"/>
        <v>0</v>
      </c>
      <c r="JI129" s="235">
        <f t="shared" si="91"/>
        <v>0</v>
      </c>
      <c r="JJ129" s="235">
        <f t="shared" si="92"/>
        <v>0</v>
      </c>
      <c r="JK129" s="235">
        <f t="shared" si="93"/>
        <v>0</v>
      </c>
      <c r="JL129" s="235">
        <f t="shared" si="94"/>
        <v>0</v>
      </c>
      <c r="JM129" s="235">
        <f t="shared" si="95"/>
        <v>0</v>
      </c>
      <c r="JN129" s="235">
        <f t="shared" si="96"/>
        <v>0</v>
      </c>
      <c r="JO129" s="235">
        <f t="shared" si="97"/>
        <v>0</v>
      </c>
      <c r="JP129" s="235">
        <f t="shared" si="98"/>
        <v>0</v>
      </c>
      <c r="JQ129" s="235">
        <f t="shared" si="99"/>
        <v>0</v>
      </c>
      <c r="JR129" s="235">
        <f t="shared" si="100"/>
        <v>0</v>
      </c>
      <c r="JS129" s="235">
        <f t="shared" si="101"/>
        <v>0</v>
      </c>
      <c r="JT129" s="235">
        <f t="shared" si="102"/>
        <v>0</v>
      </c>
      <c r="JU129" s="235">
        <f t="shared" si="103"/>
        <v>0</v>
      </c>
      <c r="JV129" s="235">
        <f t="shared" si="104"/>
        <v>0</v>
      </c>
      <c r="JW129" s="235">
        <f t="shared" si="105"/>
        <v>0</v>
      </c>
      <c r="JX129" s="235">
        <f t="shared" si="106"/>
        <v>0</v>
      </c>
      <c r="JY129" s="235">
        <f t="shared" si="107"/>
        <v>0</v>
      </c>
      <c r="JZ129" s="235">
        <f t="shared" si="108"/>
        <v>0</v>
      </c>
      <c r="KA129" s="237">
        <f t="shared" si="109"/>
        <v>0</v>
      </c>
      <c r="KB129" s="248">
        <v>46147</v>
      </c>
    </row>
    <row r="130" spans="1:288">
      <c r="A130" s="207">
        <v>46148</v>
      </c>
      <c r="JF130" s="236">
        <f t="shared" si="88"/>
        <v>0</v>
      </c>
      <c r="JG130" s="235">
        <f t="shared" si="89"/>
        <v>0</v>
      </c>
      <c r="JH130" s="235">
        <f t="shared" si="90"/>
        <v>0</v>
      </c>
      <c r="JI130" s="235">
        <f t="shared" si="91"/>
        <v>0</v>
      </c>
      <c r="JJ130" s="235">
        <f t="shared" si="92"/>
        <v>0</v>
      </c>
      <c r="JK130" s="235">
        <f t="shared" si="93"/>
        <v>0</v>
      </c>
      <c r="JL130" s="235">
        <f t="shared" si="94"/>
        <v>0</v>
      </c>
      <c r="JM130" s="235">
        <f t="shared" si="95"/>
        <v>0</v>
      </c>
      <c r="JN130" s="235">
        <f t="shared" si="96"/>
        <v>0</v>
      </c>
      <c r="JO130" s="235">
        <f t="shared" si="97"/>
        <v>0</v>
      </c>
      <c r="JP130" s="235">
        <f t="shared" si="98"/>
        <v>0</v>
      </c>
      <c r="JQ130" s="235">
        <f t="shared" si="99"/>
        <v>0</v>
      </c>
      <c r="JR130" s="235">
        <f t="shared" si="100"/>
        <v>0</v>
      </c>
      <c r="JS130" s="235">
        <f t="shared" si="101"/>
        <v>0</v>
      </c>
      <c r="JT130" s="235">
        <f t="shared" si="102"/>
        <v>0</v>
      </c>
      <c r="JU130" s="235">
        <f t="shared" si="103"/>
        <v>0</v>
      </c>
      <c r="JV130" s="235">
        <f t="shared" si="104"/>
        <v>0</v>
      </c>
      <c r="JW130" s="235">
        <f t="shared" si="105"/>
        <v>0</v>
      </c>
      <c r="JX130" s="235">
        <f t="shared" si="106"/>
        <v>0</v>
      </c>
      <c r="JY130" s="235">
        <f t="shared" si="107"/>
        <v>0</v>
      </c>
      <c r="JZ130" s="235">
        <f t="shared" si="108"/>
        <v>0</v>
      </c>
      <c r="KA130" s="237">
        <f t="shared" si="109"/>
        <v>0</v>
      </c>
      <c r="KB130" s="248">
        <v>46148</v>
      </c>
    </row>
    <row r="131" spans="1:288">
      <c r="A131" s="207">
        <v>46149</v>
      </c>
      <c r="JF131" s="236">
        <f t="shared" si="88"/>
        <v>0</v>
      </c>
      <c r="JG131" s="235">
        <f t="shared" si="89"/>
        <v>0</v>
      </c>
      <c r="JH131" s="235">
        <f t="shared" si="90"/>
        <v>0</v>
      </c>
      <c r="JI131" s="235">
        <f t="shared" si="91"/>
        <v>0</v>
      </c>
      <c r="JJ131" s="235">
        <f t="shared" si="92"/>
        <v>0</v>
      </c>
      <c r="JK131" s="235">
        <f t="shared" si="93"/>
        <v>0</v>
      </c>
      <c r="JL131" s="235">
        <f t="shared" si="94"/>
        <v>0</v>
      </c>
      <c r="JM131" s="235">
        <f t="shared" si="95"/>
        <v>0</v>
      </c>
      <c r="JN131" s="235">
        <f t="shared" si="96"/>
        <v>0</v>
      </c>
      <c r="JO131" s="235">
        <f t="shared" si="97"/>
        <v>0</v>
      </c>
      <c r="JP131" s="235">
        <f t="shared" si="98"/>
        <v>0</v>
      </c>
      <c r="JQ131" s="235">
        <f t="shared" si="99"/>
        <v>0</v>
      </c>
      <c r="JR131" s="235">
        <f t="shared" si="100"/>
        <v>0</v>
      </c>
      <c r="JS131" s="235">
        <f t="shared" si="101"/>
        <v>0</v>
      </c>
      <c r="JT131" s="235">
        <f t="shared" si="102"/>
        <v>0</v>
      </c>
      <c r="JU131" s="235">
        <f t="shared" si="103"/>
        <v>0</v>
      </c>
      <c r="JV131" s="235">
        <f t="shared" si="104"/>
        <v>0</v>
      </c>
      <c r="JW131" s="235">
        <f t="shared" si="105"/>
        <v>0</v>
      </c>
      <c r="JX131" s="235">
        <f t="shared" si="106"/>
        <v>0</v>
      </c>
      <c r="JY131" s="235">
        <f t="shared" si="107"/>
        <v>0</v>
      </c>
      <c r="JZ131" s="235">
        <f t="shared" si="108"/>
        <v>0</v>
      </c>
      <c r="KA131" s="237">
        <f t="shared" si="109"/>
        <v>0</v>
      </c>
      <c r="KB131" s="248">
        <v>46149</v>
      </c>
    </row>
    <row r="132" spans="1:288">
      <c r="A132" s="207">
        <v>46150</v>
      </c>
      <c r="JF132" s="236">
        <f t="shared" si="88"/>
        <v>0</v>
      </c>
      <c r="JG132" s="235">
        <f t="shared" si="89"/>
        <v>0</v>
      </c>
      <c r="JH132" s="235">
        <f t="shared" si="90"/>
        <v>0</v>
      </c>
      <c r="JI132" s="235">
        <f t="shared" si="91"/>
        <v>0</v>
      </c>
      <c r="JJ132" s="235">
        <f t="shared" si="92"/>
        <v>0</v>
      </c>
      <c r="JK132" s="235">
        <f t="shared" si="93"/>
        <v>0</v>
      </c>
      <c r="JL132" s="235">
        <f t="shared" si="94"/>
        <v>0</v>
      </c>
      <c r="JM132" s="235">
        <f t="shared" si="95"/>
        <v>0</v>
      </c>
      <c r="JN132" s="235">
        <f t="shared" si="96"/>
        <v>0</v>
      </c>
      <c r="JO132" s="235">
        <f t="shared" si="97"/>
        <v>0</v>
      </c>
      <c r="JP132" s="235">
        <f t="shared" si="98"/>
        <v>0</v>
      </c>
      <c r="JQ132" s="235">
        <f t="shared" si="99"/>
        <v>0</v>
      </c>
      <c r="JR132" s="235">
        <f t="shared" si="100"/>
        <v>0</v>
      </c>
      <c r="JS132" s="235">
        <f t="shared" si="101"/>
        <v>0</v>
      </c>
      <c r="JT132" s="235">
        <f t="shared" si="102"/>
        <v>0</v>
      </c>
      <c r="JU132" s="235">
        <f t="shared" si="103"/>
        <v>0</v>
      </c>
      <c r="JV132" s="235">
        <f t="shared" si="104"/>
        <v>0</v>
      </c>
      <c r="JW132" s="235">
        <f t="shared" si="105"/>
        <v>0</v>
      </c>
      <c r="JX132" s="235">
        <f t="shared" si="106"/>
        <v>0</v>
      </c>
      <c r="JY132" s="235">
        <f t="shared" si="107"/>
        <v>0</v>
      </c>
      <c r="JZ132" s="235">
        <f t="shared" si="108"/>
        <v>0</v>
      </c>
      <c r="KA132" s="237">
        <f t="shared" si="109"/>
        <v>0</v>
      </c>
      <c r="KB132" s="248">
        <v>46150</v>
      </c>
    </row>
    <row r="133" spans="1:288">
      <c r="A133" s="207">
        <v>46151</v>
      </c>
      <c r="JF133" s="236">
        <f t="shared" si="88"/>
        <v>0</v>
      </c>
      <c r="JG133" s="235">
        <f t="shared" si="89"/>
        <v>0</v>
      </c>
      <c r="JH133" s="235">
        <f t="shared" si="90"/>
        <v>0</v>
      </c>
      <c r="JI133" s="235">
        <f t="shared" si="91"/>
        <v>0</v>
      </c>
      <c r="JJ133" s="235">
        <f t="shared" si="92"/>
        <v>0</v>
      </c>
      <c r="JK133" s="235">
        <f t="shared" si="93"/>
        <v>0</v>
      </c>
      <c r="JL133" s="235">
        <f t="shared" si="94"/>
        <v>0</v>
      </c>
      <c r="JM133" s="235">
        <f t="shared" si="95"/>
        <v>0</v>
      </c>
      <c r="JN133" s="235">
        <f t="shared" si="96"/>
        <v>0</v>
      </c>
      <c r="JO133" s="235">
        <f t="shared" si="97"/>
        <v>0</v>
      </c>
      <c r="JP133" s="235">
        <f t="shared" si="98"/>
        <v>0</v>
      </c>
      <c r="JQ133" s="235">
        <f t="shared" si="99"/>
        <v>0</v>
      </c>
      <c r="JR133" s="235">
        <f t="shared" si="100"/>
        <v>0</v>
      </c>
      <c r="JS133" s="235">
        <f t="shared" si="101"/>
        <v>0</v>
      </c>
      <c r="JT133" s="235">
        <f t="shared" si="102"/>
        <v>0</v>
      </c>
      <c r="JU133" s="235">
        <f t="shared" si="103"/>
        <v>0</v>
      </c>
      <c r="JV133" s="235">
        <f t="shared" si="104"/>
        <v>0</v>
      </c>
      <c r="JW133" s="235">
        <f t="shared" si="105"/>
        <v>0</v>
      </c>
      <c r="JX133" s="235">
        <f t="shared" si="106"/>
        <v>0</v>
      </c>
      <c r="JY133" s="235">
        <f t="shared" si="107"/>
        <v>0</v>
      </c>
      <c r="JZ133" s="235">
        <f t="shared" si="108"/>
        <v>0</v>
      </c>
      <c r="KA133" s="237">
        <f t="shared" si="109"/>
        <v>0</v>
      </c>
      <c r="KB133" s="248">
        <v>46151</v>
      </c>
    </row>
    <row r="134" spans="1:288">
      <c r="A134" s="207">
        <v>46152</v>
      </c>
      <c r="JF134" s="236">
        <f t="shared" ref="JF134:JF197" si="110">HN134*24</f>
        <v>0</v>
      </c>
      <c r="JG134" s="235">
        <f t="shared" ref="JG134:JG197" si="111">HP134*24</f>
        <v>0</v>
      </c>
      <c r="JH134" s="235">
        <f t="shared" ref="JH134:JH197" si="112">HR134*24</f>
        <v>0</v>
      </c>
      <c r="JI134" s="235">
        <f t="shared" ref="JI134:JI197" si="113">HT134*24</f>
        <v>0</v>
      </c>
      <c r="JJ134" s="235">
        <f t="shared" ref="JJ134:JJ197" si="114">HV134*24</f>
        <v>0</v>
      </c>
      <c r="JK134" s="235">
        <f t="shared" ref="JK134:JK197" si="115">HX134*24</f>
        <v>0</v>
      </c>
      <c r="JL134" s="235">
        <f t="shared" ref="JL134:JL197" si="116">HZ134*24</f>
        <v>0</v>
      </c>
      <c r="JM134" s="235">
        <f t="shared" ref="JM134:JM197" si="117">IB134*24</f>
        <v>0</v>
      </c>
      <c r="JN134" s="235">
        <f t="shared" ref="JN134:JN197" si="118">ID134*24</f>
        <v>0</v>
      </c>
      <c r="JO134" s="235">
        <f t="shared" ref="JO134:JO197" si="119">IF134*24</f>
        <v>0</v>
      </c>
      <c r="JP134" s="235">
        <f t="shared" ref="JP134:JP197" si="120">IH134*24</f>
        <v>0</v>
      </c>
      <c r="JQ134" s="235">
        <f t="shared" ref="JQ134:JQ197" si="121">IJ134*24</f>
        <v>0</v>
      </c>
      <c r="JR134" s="235">
        <f t="shared" ref="JR134:JR197" si="122">IL134*24</f>
        <v>0</v>
      </c>
      <c r="JS134" s="235">
        <f t="shared" ref="JS134:JS197" si="123">IN134*24</f>
        <v>0</v>
      </c>
      <c r="JT134" s="235">
        <f t="shared" ref="JT134:JT197" si="124">IP134*24</f>
        <v>0</v>
      </c>
      <c r="JU134" s="235">
        <f t="shared" ref="JU134:JU197" si="125">IR134*24</f>
        <v>0</v>
      </c>
      <c r="JV134" s="235">
        <f t="shared" ref="JV134:JV197" si="126">IT134*24</f>
        <v>0</v>
      </c>
      <c r="JW134" s="235">
        <f t="shared" ref="JW134:JW197" si="127">IV134*24</f>
        <v>0</v>
      </c>
      <c r="JX134" s="235">
        <f t="shared" ref="JX134:JX197" si="128">IX134*24</f>
        <v>0</v>
      </c>
      <c r="JY134" s="235">
        <f t="shared" ref="JY134:JY197" si="129">IZ134*24</f>
        <v>0</v>
      </c>
      <c r="JZ134" s="235">
        <f t="shared" ref="JZ134:JZ197" si="130">JB134*24</f>
        <v>0</v>
      </c>
      <c r="KA134" s="237">
        <f t="shared" ref="KA134:KA197" si="131">JD134*24</f>
        <v>0</v>
      </c>
      <c r="KB134" s="248">
        <v>46152</v>
      </c>
    </row>
    <row r="135" spans="1:288">
      <c r="A135" s="207">
        <v>46153</v>
      </c>
      <c r="JF135" s="236">
        <f t="shared" si="110"/>
        <v>0</v>
      </c>
      <c r="JG135" s="235">
        <f t="shared" si="111"/>
        <v>0</v>
      </c>
      <c r="JH135" s="235">
        <f t="shared" si="112"/>
        <v>0</v>
      </c>
      <c r="JI135" s="235">
        <f t="shared" si="113"/>
        <v>0</v>
      </c>
      <c r="JJ135" s="235">
        <f t="shared" si="114"/>
        <v>0</v>
      </c>
      <c r="JK135" s="235">
        <f t="shared" si="115"/>
        <v>0</v>
      </c>
      <c r="JL135" s="235">
        <f t="shared" si="116"/>
        <v>0</v>
      </c>
      <c r="JM135" s="235">
        <f t="shared" si="117"/>
        <v>0</v>
      </c>
      <c r="JN135" s="235">
        <f t="shared" si="118"/>
        <v>0</v>
      </c>
      <c r="JO135" s="235">
        <f t="shared" si="119"/>
        <v>0</v>
      </c>
      <c r="JP135" s="235">
        <f t="shared" si="120"/>
        <v>0</v>
      </c>
      <c r="JQ135" s="235">
        <f t="shared" si="121"/>
        <v>0</v>
      </c>
      <c r="JR135" s="235">
        <f t="shared" si="122"/>
        <v>0</v>
      </c>
      <c r="JS135" s="235">
        <f t="shared" si="123"/>
        <v>0</v>
      </c>
      <c r="JT135" s="235">
        <f t="shared" si="124"/>
        <v>0</v>
      </c>
      <c r="JU135" s="235">
        <f t="shared" si="125"/>
        <v>0</v>
      </c>
      <c r="JV135" s="235">
        <f t="shared" si="126"/>
        <v>0</v>
      </c>
      <c r="JW135" s="235">
        <f t="shared" si="127"/>
        <v>0</v>
      </c>
      <c r="JX135" s="235">
        <f t="shared" si="128"/>
        <v>0</v>
      </c>
      <c r="JY135" s="235">
        <f t="shared" si="129"/>
        <v>0</v>
      </c>
      <c r="JZ135" s="235">
        <f t="shared" si="130"/>
        <v>0</v>
      </c>
      <c r="KA135" s="237">
        <f t="shared" si="131"/>
        <v>0</v>
      </c>
      <c r="KB135" s="248">
        <v>46153</v>
      </c>
    </row>
    <row r="136" spans="1:288">
      <c r="A136" s="207">
        <v>46154</v>
      </c>
      <c r="JF136" s="236">
        <f t="shared" si="110"/>
        <v>0</v>
      </c>
      <c r="JG136" s="235">
        <f t="shared" si="111"/>
        <v>0</v>
      </c>
      <c r="JH136" s="235">
        <f t="shared" si="112"/>
        <v>0</v>
      </c>
      <c r="JI136" s="235">
        <f t="shared" si="113"/>
        <v>0</v>
      </c>
      <c r="JJ136" s="235">
        <f t="shared" si="114"/>
        <v>0</v>
      </c>
      <c r="JK136" s="235">
        <f t="shared" si="115"/>
        <v>0</v>
      </c>
      <c r="JL136" s="235">
        <f t="shared" si="116"/>
        <v>0</v>
      </c>
      <c r="JM136" s="235">
        <f t="shared" si="117"/>
        <v>0</v>
      </c>
      <c r="JN136" s="235">
        <f t="shared" si="118"/>
        <v>0</v>
      </c>
      <c r="JO136" s="235">
        <f t="shared" si="119"/>
        <v>0</v>
      </c>
      <c r="JP136" s="235">
        <f t="shared" si="120"/>
        <v>0</v>
      </c>
      <c r="JQ136" s="235">
        <f t="shared" si="121"/>
        <v>0</v>
      </c>
      <c r="JR136" s="235">
        <f t="shared" si="122"/>
        <v>0</v>
      </c>
      <c r="JS136" s="235">
        <f t="shared" si="123"/>
        <v>0</v>
      </c>
      <c r="JT136" s="235">
        <f t="shared" si="124"/>
        <v>0</v>
      </c>
      <c r="JU136" s="235">
        <f t="shared" si="125"/>
        <v>0</v>
      </c>
      <c r="JV136" s="235">
        <f t="shared" si="126"/>
        <v>0</v>
      </c>
      <c r="JW136" s="235">
        <f t="shared" si="127"/>
        <v>0</v>
      </c>
      <c r="JX136" s="235">
        <f t="shared" si="128"/>
        <v>0</v>
      </c>
      <c r="JY136" s="235">
        <f t="shared" si="129"/>
        <v>0</v>
      </c>
      <c r="JZ136" s="235">
        <f t="shared" si="130"/>
        <v>0</v>
      </c>
      <c r="KA136" s="237">
        <f t="shared" si="131"/>
        <v>0</v>
      </c>
      <c r="KB136" s="248">
        <v>46154</v>
      </c>
    </row>
    <row r="137" spans="1:288">
      <c r="A137" s="207">
        <v>46155</v>
      </c>
      <c r="JF137" s="236">
        <f t="shared" si="110"/>
        <v>0</v>
      </c>
      <c r="JG137" s="235">
        <f t="shared" si="111"/>
        <v>0</v>
      </c>
      <c r="JH137" s="235">
        <f t="shared" si="112"/>
        <v>0</v>
      </c>
      <c r="JI137" s="235">
        <f t="shared" si="113"/>
        <v>0</v>
      </c>
      <c r="JJ137" s="235">
        <f t="shared" si="114"/>
        <v>0</v>
      </c>
      <c r="JK137" s="235">
        <f t="shared" si="115"/>
        <v>0</v>
      </c>
      <c r="JL137" s="235">
        <f t="shared" si="116"/>
        <v>0</v>
      </c>
      <c r="JM137" s="235">
        <f t="shared" si="117"/>
        <v>0</v>
      </c>
      <c r="JN137" s="235">
        <f t="shared" si="118"/>
        <v>0</v>
      </c>
      <c r="JO137" s="235">
        <f t="shared" si="119"/>
        <v>0</v>
      </c>
      <c r="JP137" s="235">
        <f t="shared" si="120"/>
        <v>0</v>
      </c>
      <c r="JQ137" s="235">
        <f t="shared" si="121"/>
        <v>0</v>
      </c>
      <c r="JR137" s="235">
        <f t="shared" si="122"/>
        <v>0</v>
      </c>
      <c r="JS137" s="235">
        <f t="shared" si="123"/>
        <v>0</v>
      </c>
      <c r="JT137" s="235">
        <f t="shared" si="124"/>
        <v>0</v>
      </c>
      <c r="JU137" s="235">
        <f t="shared" si="125"/>
        <v>0</v>
      </c>
      <c r="JV137" s="235">
        <f t="shared" si="126"/>
        <v>0</v>
      </c>
      <c r="JW137" s="235">
        <f t="shared" si="127"/>
        <v>0</v>
      </c>
      <c r="JX137" s="235">
        <f t="shared" si="128"/>
        <v>0</v>
      </c>
      <c r="JY137" s="235">
        <f t="shared" si="129"/>
        <v>0</v>
      </c>
      <c r="JZ137" s="235">
        <f t="shared" si="130"/>
        <v>0</v>
      </c>
      <c r="KA137" s="237">
        <f t="shared" si="131"/>
        <v>0</v>
      </c>
      <c r="KB137" s="248">
        <v>46155</v>
      </c>
    </row>
    <row r="138" spans="1:288">
      <c r="A138" s="207">
        <v>46156</v>
      </c>
      <c r="JF138" s="236">
        <f t="shared" si="110"/>
        <v>0</v>
      </c>
      <c r="JG138" s="235">
        <f t="shared" si="111"/>
        <v>0</v>
      </c>
      <c r="JH138" s="235">
        <f t="shared" si="112"/>
        <v>0</v>
      </c>
      <c r="JI138" s="235">
        <f t="shared" si="113"/>
        <v>0</v>
      </c>
      <c r="JJ138" s="235">
        <f t="shared" si="114"/>
        <v>0</v>
      </c>
      <c r="JK138" s="235">
        <f t="shared" si="115"/>
        <v>0</v>
      </c>
      <c r="JL138" s="235">
        <f t="shared" si="116"/>
        <v>0</v>
      </c>
      <c r="JM138" s="235">
        <f t="shared" si="117"/>
        <v>0</v>
      </c>
      <c r="JN138" s="235">
        <f t="shared" si="118"/>
        <v>0</v>
      </c>
      <c r="JO138" s="235">
        <f t="shared" si="119"/>
        <v>0</v>
      </c>
      <c r="JP138" s="235">
        <f t="shared" si="120"/>
        <v>0</v>
      </c>
      <c r="JQ138" s="235">
        <f t="shared" si="121"/>
        <v>0</v>
      </c>
      <c r="JR138" s="235">
        <f t="shared" si="122"/>
        <v>0</v>
      </c>
      <c r="JS138" s="235">
        <f t="shared" si="123"/>
        <v>0</v>
      </c>
      <c r="JT138" s="235">
        <f t="shared" si="124"/>
        <v>0</v>
      </c>
      <c r="JU138" s="235">
        <f t="shared" si="125"/>
        <v>0</v>
      </c>
      <c r="JV138" s="235">
        <f t="shared" si="126"/>
        <v>0</v>
      </c>
      <c r="JW138" s="235">
        <f t="shared" si="127"/>
        <v>0</v>
      </c>
      <c r="JX138" s="235">
        <f t="shared" si="128"/>
        <v>0</v>
      </c>
      <c r="JY138" s="235">
        <f t="shared" si="129"/>
        <v>0</v>
      </c>
      <c r="JZ138" s="235">
        <f t="shared" si="130"/>
        <v>0</v>
      </c>
      <c r="KA138" s="237">
        <f t="shared" si="131"/>
        <v>0</v>
      </c>
      <c r="KB138" s="248">
        <v>46156</v>
      </c>
    </row>
    <row r="139" spans="1:288">
      <c r="A139" s="207">
        <v>46157</v>
      </c>
      <c r="JF139" s="236">
        <f t="shared" si="110"/>
        <v>0</v>
      </c>
      <c r="JG139" s="235">
        <f t="shared" si="111"/>
        <v>0</v>
      </c>
      <c r="JH139" s="235">
        <f t="shared" si="112"/>
        <v>0</v>
      </c>
      <c r="JI139" s="235">
        <f t="shared" si="113"/>
        <v>0</v>
      </c>
      <c r="JJ139" s="235">
        <f t="shared" si="114"/>
        <v>0</v>
      </c>
      <c r="JK139" s="235">
        <f t="shared" si="115"/>
        <v>0</v>
      </c>
      <c r="JL139" s="235">
        <f t="shared" si="116"/>
        <v>0</v>
      </c>
      <c r="JM139" s="235">
        <f t="shared" si="117"/>
        <v>0</v>
      </c>
      <c r="JN139" s="235">
        <f t="shared" si="118"/>
        <v>0</v>
      </c>
      <c r="JO139" s="235">
        <f t="shared" si="119"/>
        <v>0</v>
      </c>
      <c r="JP139" s="235">
        <f t="shared" si="120"/>
        <v>0</v>
      </c>
      <c r="JQ139" s="235">
        <f t="shared" si="121"/>
        <v>0</v>
      </c>
      <c r="JR139" s="235">
        <f t="shared" si="122"/>
        <v>0</v>
      </c>
      <c r="JS139" s="235">
        <f t="shared" si="123"/>
        <v>0</v>
      </c>
      <c r="JT139" s="235">
        <f t="shared" si="124"/>
        <v>0</v>
      </c>
      <c r="JU139" s="235">
        <f t="shared" si="125"/>
        <v>0</v>
      </c>
      <c r="JV139" s="235">
        <f t="shared" si="126"/>
        <v>0</v>
      </c>
      <c r="JW139" s="235">
        <f t="shared" si="127"/>
        <v>0</v>
      </c>
      <c r="JX139" s="235">
        <f t="shared" si="128"/>
        <v>0</v>
      </c>
      <c r="JY139" s="235">
        <f t="shared" si="129"/>
        <v>0</v>
      </c>
      <c r="JZ139" s="235">
        <f t="shared" si="130"/>
        <v>0</v>
      </c>
      <c r="KA139" s="237">
        <f t="shared" si="131"/>
        <v>0</v>
      </c>
      <c r="KB139" s="248">
        <v>46157</v>
      </c>
    </row>
    <row r="140" spans="1:288">
      <c r="A140" s="207">
        <v>46158</v>
      </c>
      <c r="JF140" s="236">
        <f t="shared" si="110"/>
        <v>0</v>
      </c>
      <c r="JG140" s="235">
        <f t="shared" si="111"/>
        <v>0</v>
      </c>
      <c r="JH140" s="235">
        <f t="shared" si="112"/>
        <v>0</v>
      </c>
      <c r="JI140" s="235">
        <f t="shared" si="113"/>
        <v>0</v>
      </c>
      <c r="JJ140" s="235">
        <f t="shared" si="114"/>
        <v>0</v>
      </c>
      <c r="JK140" s="235">
        <f t="shared" si="115"/>
        <v>0</v>
      </c>
      <c r="JL140" s="235">
        <f t="shared" si="116"/>
        <v>0</v>
      </c>
      <c r="JM140" s="235">
        <f t="shared" si="117"/>
        <v>0</v>
      </c>
      <c r="JN140" s="235">
        <f t="shared" si="118"/>
        <v>0</v>
      </c>
      <c r="JO140" s="235">
        <f t="shared" si="119"/>
        <v>0</v>
      </c>
      <c r="JP140" s="235">
        <f t="shared" si="120"/>
        <v>0</v>
      </c>
      <c r="JQ140" s="235">
        <f t="shared" si="121"/>
        <v>0</v>
      </c>
      <c r="JR140" s="235">
        <f t="shared" si="122"/>
        <v>0</v>
      </c>
      <c r="JS140" s="235">
        <f t="shared" si="123"/>
        <v>0</v>
      </c>
      <c r="JT140" s="235">
        <f t="shared" si="124"/>
        <v>0</v>
      </c>
      <c r="JU140" s="235">
        <f t="shared" si="125"/>
        <v>0</v>
      </c>
      <c r="JV140" s="235">
        <f t="shared" si="126"/>
        <v>0</v>
      </c>
      <c r="JW140" s="235">
        <f t="shared" si="127"/>
        <v>0</v>
      </c>
      <c r="JX140" s="235">
        <f t="shared" si="128"/>
        <v>0</v>
      </c>
      <c r="JY140" s="235">
        <f t="shared" si="129"/>
        <v>0</v>
      </c>
      <c r="JZ140" s="235">
        <f t="shared" si="130"/>
        <v>0</v>
      </c>
      <c r="KA140" s="237">
        <f t="shared" si="131"/>
        <v>0</v>
      </c>
      <c r="KB140" s="248">
        <v>46158</v>
      </c>
    </row>
    <row r="141" spans="1:288">
      <c r="A141" s="207">
        <v>46159</v>
      </c>
      <c r="JF141" s="236">
        <f t="shared" si="110"/>
        <v>0</v>
      </c>
      <c r="JG141" s="235">
        <f t="shared" si="111"/>
        <v>0</v>
      </c>
      <c r="JH141" s="235">
        <f t="shared" si="112"/>
        <v>0</v>
      </c>
      <c r="JI141" s="235">
        <f t="shared" si="113"/>
        <v>0</v>
      </c>
      <c r="JJ141" s="235">
        <f t="shared" si="114"/>
        <v>0</v>
      </c>
      <c r="JK141" s="235">
        <f t="shared" si="115"/>
        <v>0</v>
      </c>
      <c r="JL141" s="235">
        <f t="shared" si="116"/>
        <v>0</v>
      </c>
      <c r="JM141" s="235">
        <f t="shared" si="117"/>
        <v>0</v>
      </c>
      <c r="JN141" s="235">
        <f t="shared" si="118"/>
        <v>0</v>
      </c>
      <c r="JO141" s="235">
        <f t="shared" si="119"/>
        <v>0</v>
      </c>
      <c r="JP141" s="235">
        <f t="shared" si="120"/>
        <v>0</v>
      </c>
      <c r="JQ141" s="235">
        <f t="shared" si="121"/>
        <v>0</v>
      </c>
      <c r="JR141" s="235">
        <f t="shared" si="122"/>
        <v>0</v>
      </c>
      <c r="JS141" s="235">
        <f t="shared" si="123"/>
        <v>0</v>
      </c>
      <c r="JT141" s="235">
        <f t="shared" si="124"/>
        <v>0</v>
      </c>
      <c r="JU141" s="235">
        <f t="shared" si="125"/>
        <v>0</v>
      </c>
      <c r="JV141" s="235">
        <f t="shared" si="126"/>
        <v>0</v>
      </c>
      <c r="JW141" s="235">
        <f t="shared" si="127"/>
        <v>0</v>
      </c>
      <c r="JX141" s="235">
        <f t="shared" si="128"/>
        <v>0</v>
      </c>
      <c r="JY141" s="235">
        <f t="shared" si="129"/>
        <v>0</v>
      </c>
      <c r="JZ141" s="235">
        <f t="shared" si="130"/>
        <v>0</v>
      </c>
      <c r="KA141" s="237">
        <f t="shared" si="131"/>
        <v>0</v>
      </c>
      <c r="KB141" s="248">
        <v>46159</v>
      </c>
    </row>
    <row r="142" spans="1:288">
      <c r="A142" s="207">
        <v>46160</v>
      </c>
      <c r="JF142" s="236">
        <f t="shared" si="110"/>
        <v>0</v>
      </c>
      <c r="JG142" s="235">
        <f t="shared" si="111"/>
        <v>0</v>
      </c>
      <c r="JH142" s="235">
        <f t="shared" si="112"/>
        <v>0</v>
      </c>
      <c r="JI142" s="235">
        <f t="shared" si="113"/>
        <v>0</v>
      </c>
      <c r="JJ142" s="235">
        <f t="shared" si="114"/>
        <v>0</v>
      </c>
      <c r="JK142" s="235">
        <f t="shared" si="115"/>
        <v>0</v>
      </c>
      <c r="JL142" s="235">
        <f t="shared" si="116"/>
        <v>0</v>
      </c>
      <c r="JM142" s="235">
        <f t="shared" si="117"/>
        <v>0</v>
      </c>
      <c r="JN142" s="235">
        <f t="shared" si="118"/>
        <v>0</v>
      </c>
      <c r="JO142" s="235">
        <f t="shared" si="119"/>
        <v>0</v>
      </c>
      <c r="JP142" s="235">
        <f t="shared" si="120"/>
        <v>0</v>
      </c>
      <c r="JQ142" s="235">
        <f t="shared" si="121"/>
        <v>0</v>
      </c>
      <c r="JR142" s="235">
        <f t="shared" si="122"/>
        <v>0</v>
      </c>
      <c r="JS142" s="235">
        <f t="shared" si="123"/>
        <v>0</v>
      </c>
      <c r="JT142" s="235">
        <f t="shared" si="124"/>
        <v>0</v>
      </c>
      <c r="JU142" s="235">
        <f t="shared" si="125"/>
        <v>0</v>
      </c>
      <c r="JV142" s="235">
        <f t="shared" si="126"/>
        <v>0</v>
      </c>
      <c r="JW142" s="235">
        <f t="shared" si="127"/>
        <v>0</v>
      </c>
      <c r="JX142" s="235">
        <f t="shared" si="128"/>
        <v>0</v>
      </c>
      <c r="JY142" s="235">
        <f t="shared" si="129"/>
        <v>0</v>
      </c>
      <c r="JZ142" s="235">
        <f t="shared" si="130"/>
        <v>0</v>
      </c>
      <c r="KA142" s="237">
        <f t="shared" si="131"/>
        <v>0</v>
      </c>
      <c r="KB142" s="248">
        <v>46160</v>
      </c>
    </row>
    <row r="143" spans="1:288">
      <c r="A143" s="207">
        <v>46161</v>
      </c>
      <c r="JF143" s="236">
        <f t="shared" si="110"/>
        <v>0</v>
      </c>
      <c r="JG143" s="235">
        <f t="shared" si="111"/>
        <v>0</v>
      </c>
      <c r="JH143" s="235">
        <f t="shared" si="112"/>
        <v>0</v>
      </c>
      <c r="JI143" s="235">
        <f t="shared" si="113"/>
        <v>0</v>
      </c>
      <c r="JJ143" s="235">
        <f t="shared" si="114"/>
        <v>0</v>
      </c>
      <c r="JK143" s="235">
        <f t="shared" si="115"/>
        <v>0</v>
      </c>
      <c r="JL143" s="235">
        <f t="shared" si="116"/>
        <v>0</v>
      </c>
      <c r="JM143" s="235">
        <f t="shared" si="117"/>
        <v>0</v>
      </c>
      <c r="JN143" s="235">
        <f t="shared" si="118"/>
        <v>0</v>
      </c>
      <c r="JO143" s="235">
        <f t="shared" si="119"/>
        <v>0</v>
      </c>
      <c r="JP143" s="235">
        <f t="shared" si="120"/>
        <v>0</v>
      </c>
      <c r="JQ143" s="235">
        <f t="shared" si="121"/>
        <v>0</v>
      </c>
      <c r="JR143" s="235">
        <f t="shared" si="122"/>
        <v>0</v>
      </c>
      <c r="JS143" s="235">
        <f t="shared" si="123"/>
        <v>0</v>
      </c>
      <c r="JT143" s="235">
        <f t="shared" si="124"/>
        <v>0</v>
      </c>
      <c r="JU143" s="235">
        <f t="shared" si="125"/>
        <v>0</v>
      </c>
      <c r="JV143" s="235">
        <f t="shared" si="126"/>
        <v>0</v>
      </c>
      <c r="JW143" s="235">
        <f t="shared" si="127"/>
        <v>0</v>
      </c>
      <c r="JX143" s="235">
        <f t="shared" si="128"/>
        <v>0</v>
      </c>
      <c r="JY143" s="235">
        <f t="shared" si="129"/>
        <v>0</v>
      </c>
      <c r="JZ143" s="235">
        <f t="shared" si="130"/>
        <v>0</v>
      </c>
      <c r="KA143" s="237">
        <f t="shared" si="131"/>
        <v>0</v>
      </c>
      <c r="KB143" s="248">
        <v>46161</v>
      </c>
    </row>
    <row r="144" spans="1:288">
      <c r="A144" s="207">
        <v>46162</v>
      </c>
      <c r="JF144" s="236">
        <f t="shared" si="110"/>
        <v>0</v>
      </c>
      <c r="JG144" s="235">
        <f t="shared" si="111"/>
        <v>0</v>
      </c>
      <c r="JH144" s="235">
        <f t="shared" si="112"/>
        <v>0</v>
      </c>
      <c r="JI144" s="235">
        <f t="shared" si="113"/>
        <v>0</v>
      </c>
      <c r="JJ144" s="235">
        <f t="shared" si="114"/>
        <v>0</v>
      </c>
      <c r="JK144" s="235">
        <f t="shared" si="115"/>
        <v>0</v>
      </c>
      <c r="JL144" s="235">
        <f t="shared" si="116"/>
        <v>0</v>
      </c>
      <c r="JM144" s="235">
        <f t="shared" si="117"/>
        <v>0</v>
      </c>
      <c r="JN144" s="235">
        <f t="shared" si="118"/>
        <v>0</v>
      </c>
      <c r="JO144" s="235">
        <f t="shared" si="119"/>
        <v>0</v>
      </c>
      <c r="JP144" s="235">
        <f t="shared" si="120"/>
        <v>0</v>
      </c>
      <c r="JQ144" s="235">
        <f t="shared" si="121"/>
        <v>0</v>
      </c>
      <c r="JR144" s="235">
        <f t="shared" si="122"/>
        <v>0</v>
      </c>
      <c r="JS144" s="235">
        <f t="shared" si="123"/>
        <v>0</v>
      </c>
      <c r="JT144" s="235">
        <f t="shared" si="124"/>
        <v>0</v>
      </c>
      <c r="JU144" s="235">
        <f t="shared" si="125"/>
        <v>0</v>
      </c>
      <c r="JV144" s="235">
        <f t="shared" si="126"/>
        <v>0</v>
      </c>
      <c r="JW144" s="235">
        <f t="shared" si="127"/>
        <v>0</v>
      </c>
      <c r="JX144" s="235">
        <f t="shared" si="128"/>
        <v>0</v>
      </c>
      <c r="JY144" s="235">
        <f t="shared" si="129"/>
        <v>0</v>
      </c>
      <c r="JZ144" s="235">
        <f t="shared" si="130"/>
        <v>0</v>
      </c>
      <c r="KA144" s="237">
        <f t="shared" si="131"/>
        <v>0</v>
      </c>
      <c r="KB144" s="248">
        <v>46162</v>
      </c>
    </row>
    <row r="145" spans="1:288">
      <c r="A145" s="207">
        <v>46163</v>
      </c>
      <c r="JF145" s="236">
        <f t="shared" si="110"/>
        <v>0</v>
      </c>
      <c r="JG145" s="235">
        <f t="shared" si="111"/>
        <v>0</v>
      </c>
      <c r="JH145" s="235">
        <f t="shared" si="112"/>
        <v>0</v>
      </c>
      <c r="JI145" s="235">
        <f t="shared" si="113"/>
        <v>0</v>
      </c>
      <c r="JJ145" s="235">
        <f t="shared" si="114"/>
        <v>0</v>
      </c>
      <c r="JK145" s="235">
        <f t="shared" si="115"/>
        <v>0</v>
      </c>
      <c r="JL145" s="235">
        <f t="shared" si="116"/>
        <v>0</v>
      </c>
      <c r="JM145" s="235">
        <f t="shared" si="117"/>
        <v>0</v>
      </c>
      <c r="JN145" s="235">
        <f t="shared" si="118"/>
        <v>0</v>
      </c>
      <c r="JO145" s="235">
        <f t="shared" si="119"/>
        <v>0</v>
      </c>
      <c r="JP145" s="235">
        <f t="shared" si="120"/>
        <v>0</v>
      </c>
      <c r="JQ145" s="235">
        <f t="shared" si="121"/>
        <v>0</v>
      </c>
      <c r="JR145" s="235">
        <f t="shared" si="122"/>
        <v>0</v>
      </c>
      <c r="JS145" s="235">
        <f t="shared" si="123"/>
        <v>0</v>
      </c>
      <c r="JT145" s="235">
        <f t="shared" si="124"/>
        <v>0</v>
      </c>
      <c r="JU145" s="235">
        <f t="shared" si="125"/>
        <v>0</v>
      </c>
      <c r="JV145" s="235">
        <f t="shared" si="126"/>
        <v>0</v>
      </c>
      <c r="JW145" s="235">
        <f t="shared" si="127"/>
        <v>0</v>
      </c>
      <c r="JX145" s="235">
        <f t="shared" si="128"/>
        <v>0</v>
      </c>
      <c r="JY145" s="235">
        <f t="shared" si="129"/>
        <v>0</v>
      </c>
      <c r="JZ145" s="235">
        <f t="shared" si="130"/>
        <v>0</v>
      </c>
      <c r="KA145" s="237">
        <f t="shared" si="131"/>
        <v>0</v>
      </c>
      <c r="KB145" s="248">
        <v>46163</v>
      </c>
    </row>
    <row r="146" spans="1:288">
      <c r="A146" s="207">
        <v>46164</v>
      </c>
      <c r="JF146" s="236">
        <f t="shared" si="110"/>
        <v>0</v>
      </c>
      <c r="JG146" s="235">
        <f t="shared" si="111"/>
        <v>0</v>
      </c>
      <c r="JH146" s="235">
        <f t="shared" si="112"/>
        <v>0</v>
      </c>
      <c r="JI146" s="235">
        <f t="shared" si="113"/>
        <v>0</v>
      </c>
      <c r="JJ146" s="235">
        <f t="shared" si="114"/>
        <v>0</v>
      </c>
      <c r="JK146" s="235">
        <f t="shared" si="115"/>
        <v>0</v>
      </c>
      <c r="JL146" s="235">
        <f t="shared" si="116"/>
        <v>0</v>
      </c>
      <c r="JM146" s="235">
        <f t="shared" si="117"/>
        <v>0</v>
      </c>
      <c r="JN146" s="235">
        <f t="shared" si="118"/>
        <v>0</v>
      </c>
      <c r="JO146" s="235">
        <f t="shared" si="119"/>
        <v>0</v>
      </c>
      <c r="JP146" s="235">
        <f t="shared" si="120"/>
        <v>0</v>
      </c>
      <c r="JQ146" s="235">
        <f t="shared" si="121"/>
        <v>0</v>
      </c>
      <c r="JR146" s="235">
        <f t="shared" si="122"/>
        <v>0</v>
      </c>
      <c r="JS146" s="235">
        <f t="shared" si="123"/>
        <v>0</v>
      </c>
      <c r="JT146" s="235">
        <f t="shared" si="124"/>
        <v>0</v>
      </c>
      <c r="JU146" s="235">
        <f t="shared" si="125"/>
        <v>0</v>
      </c>
      <c r="JV146" s="235">
        <f t="shared" si="126"/>
        <v>0</v>
      </c>
      <c r="JW146" s="235">
        <f t="shared" si="127"/>
        <v>0</v>
      </c>
      <c r="JX146" s="235">
        <f t="shared" si="128"/>
        <v>0</v>
      </c>
      <c r="JY146" s="235">
        <f t="shared" si="129"/>
        <v>0</v>
      </c>
      <c r="JZ146" s="235">
        <f t="shared" si="130"/>
        <v>0</v>
      </c>
      <c r="KA146" s="237">
        <f t="shared" si="131"/>
        <v>0</v>
      </c>
      <c r="KB146" s="248">
        <v>46164</v>
      </c>
    </row>
    <row r="147" spans="1:288">
      <c r="A147" s="207">
        <v>46165</v>
      </c>
      <c r="JF147" s="236">
        <f t="shared" si="110"/>
        <v>0</v>
      </c>
      <c r="JG147" s="235">
        <f t="shared" si="111"/>
        <v>0</v>
      </c>
      <c r="JH147" s="235">
        <f t="shared" si="112"/>
        <v>0</v>
      </c>
      <c r="JI147" s="235">
        <f t="shared" si="113"/>
        <v>0</v>
      </c>
      <c r="JJ147" s="235">
        <f t="shared" si="114"/>
        <v>0</v>
      </c>
      <c r="JK147" s="235">
        <f t="shared" si="115"/>
        <v>0</v>
      </c>
      <c r="JL147" s="235">
        <f t="shared" si="116"/>
        <v>0</v>
      </c>
      <c r="JM147" s="235">
        <f t="shared" si="117"/>
        <v>0</v>
      </c>
      <c r="JN147" s="235">
        <f t="shared" si="118"/>
        <v>0</v>
      </c>
      <c r="JO147" s="235">
        <f t="shared" si="119"/>
        <v>0</v>
      </c>
      <c r="JP147" s="235">
        <f t="shared" si="120"/>
        <v>0</v>
      </c>
      <c r="JQ147" s="235">
        <f t="shared" si="121"/>
        <v>0</v>
      </c>
      <c r="JR147" s="235">
        <f t="shared" si="122"/>
        <v>0</v>
      </c>
      <c r="JS147" s="235">
        <f t="shared" si="123"/>
        <v>0</v>
      </c>
      <c r="JT147" s="235">
        <f t="shared" si="124"/>
        <v>0</v>
      </c>
      <c r="JU147" s="235">
        <f t="shared" si="125"/>
        <v>0</v>
      </c>
      <c r="JV147" s="235">
        <f t="shared" si="126"/>
        <v>0</v>
      </c>
      <c r="JW147" s="235">
        <f t="shared" si="127"/>
        <v>0</v>
      </c>
      <c r="JX147" s="235">
        <f t="shared" si="128"/>
        <v>0</v>
      </c>
      <c r="JY147" s="235">
        <f t="shared" si="129"/>
        <v>0</v>
      </c>
      <c r="JZ147" s="235">
        <f t="shared" si="130"/>
        <v>0</v>
      </c>
      <c r="KA147" s="237">
        <f t="shared" si="131"/>
        <v>0</v>
      </c>
      <c r="KB147" s="248">
        <v>46165</v>
      </c>
    </row>
    <row r="148" spans="1:288">
      <c r="A148" s="207">
        <v>46166</v>
      </c>
      <c r="JF148" s="236">
        <f t="shared" si="110"/>
        <v>0</v>
      </c>
      <c r="JG148" s="235">
        <f t="shared" si="111"/>
        <v>0</v>
      </c>
      <c r="JH148" s="235">
        <f t="shared" si="112"/>
        <v>0</v>
      </c>
      <c r="JI148" s="235">
        <f t="shared" si="113"/>
        <v>0</v>
      </c>
      <c r="JJ148" s="235">
        <f t="shared" si="114"/>
        <v>0</v>
      </c>
      <c r="JK148" s="235">
        <f t="shared" si="115"/>
        <v>0</v>
      </c>
      <c r="JL148" s="235">
        <f t="shared" si="116"/>
        <v>0</v>
      </c>
      <c r="JM148" s="235">
        <f t="shared" si="117"/>
        <v>0</v>
      </c>
      <c r="JN148" s="235">
        <f t="shared" si="118"/>
        <v>0</v>
      </c>
      <c r="JO148" s="235">
        <f t="shared" si="119"/>
        <v>0</v>
      </c>
      <c r="JP148" s="235">
        <f t="shared" si="120"/>
        <v>0</v>
      </c>
      <c r="JQ148" s="235">
        <f t="shared" si="121"/>
        <v>0</v>
      </c>
      <c r="JR148" s="235">
        <f t="shared" si="122"/>
        <v>0</v>
      </c>
      <c r="JS148" s="235">
        <f t="shared" si="123"/>
        <v>0</v>
      </c>
      <c r="JT148" s="235">
        <f t="shared" si="124"/>
        <v>0</v>
      </c>
      <c r="JU148" s="235">
        <f t="shared" si="125"/>
        <v>0</v>
      </c>
      <c r="JV148" s="235">
        <f t="shared" si="126"/>
        <v>0</v>
      </c>
      <c r="JW148" s="235">
        <f t="shared" si="127"/>
        <v>0</v>
      </c>
      <c r="JX148" s="235">
        <f t="shared" si="128"/>
        <v>0</v>
      </c>
      <c r="JY148" s="235">
        <f t="shared" si="129"/>
        <v>0</v>
      </c>
      <c r="JZ148" s="235">
        <f t="shared" si="130"/>
        <v>0</v>
      </c>
      <c r="KA148" s="237">
        <f t="shared" si="131"/>
        <v>0</v>
      </c>
      <c r="KB148" s="248">
        <v>46166</v>
      </c>
    </row>
    <row r="149" spans="1:288">
      <c r="A149" s="207">
        <v>46167</v>
      </c>
      <c r="JF149" s="236">
        <f t="shared" si="110"/>
        <v>0</v>
      </c>
      <c r="JG149" s="235">
        <f t="shared" si="111"/>
        <v>0</v>
      </c>
      <c r="JH149" s="235">
        <f t="shared" si="112"/>
        <v>0</v>
      </c>
      <c r="JI149" s="235">
        <f t="shared" si="113"/>
        <v>0</v>
      </c>
      <c r="JJ149" s="235">
        <f t="shared" si="114"/>
        <v>0</v>
      </c>
      <c r="JK149" s="235">
        <f t="shared" si="115"/>
        <v>0</v>
      </c>
      <c r="JL149" s="235">
        <f t="shared" si="116"/>
        <v>0</v>
      </c>
      <c r="JM149" s="235">
        <f t="shared" si="117"/>
        <v>0</v>
      </c>
      <c r="JN149" s="235">
        <f t="shared" si="118"/>
        <v>0</v>
      </c>
      <c r="JO149" s="235">
        <f t="shared" si="119"/>
        <v>0</v>
      </c>
      <c r="JP149" s="235">
        <f t="shared" si="120"/>
        <v>0</v>
      </c>
      <c r="JQ149" s="235">
        <f t="shared" si="121"/>
        <v>0</v>
      </c>
      <c r="JR149" s="235">
        <f t="shared" si="122"/>
        <v>0</v>
      </c>
      <c r="JS149" s="235">
        <f t="shared" si="123"/>
        <v>0</v>
      </c>
      <c r="JT149" s="235">
        <f t="shared" si="124"/>
        <v>0</v>
      </c>
      <c r="JU149" s="235">
        <f t="shared" si="125"/>
        <v>0</v>
      </c>
      <c r="JV149" s="235">
        <f t="shared" si="126"/>
        <v>0</v>
      </c>
      <c r="JW149" s="235">
        <f t="shared" si="127"/>
        <v>0</v>
      </c>
      <c r="JX149" s="235">
        <f t="shared" si="128"/>
        <v>0</v>
      </c>
      <c r="JY149" s="235">
        <f t="shared" si="129"/>
        <v>0</v>
      </c>
      <c r="JZ149" s="235">
        <f t="shared" si="130"/>
        <v>0</v>
      </c>
      <c r="KA149" s="237">
        <f t="shared" si="131"/>
        <v>0</v>
      </c>
      <c r="KB149" s="248">
        <v>46167</v>
      </c>
    </row>
    <row r="150" spans="1:288">
      <c r="A150" s="207">
        <v>46168</v>
      </c>
      <c r="JF150" s="236">
        <f t="shared" si="110"/>
        <v>0</v>
      </c>
      <c r="JG150" s="235">
        <f t="shared" si="111"/>
        <v>0</v>
      </c>
      <c r="JH150" s="235">
        <f t="shared" si="112"/>
        <v>0</v>
      </c>
      <c r="JI150" s="235">
        <f t="shared" si="113"/>
        <v>0</v>
      </c>
      <c r="JJ150" s="235">
        <f t="shared" si="114"/>
        <v>0</v>
      </c>
      <c r="JK150" s="235">
        <f t="shared" si="115"/>
        <v>0</v>
      </c>
      <c r="JL150" s="235">
        <f t="shared" si="116"/>
        <v>0</v>
      </c>
      <c r="JM150" s="235">
        <f t="shared" si="117"/>
        <v>0</v>
      </c>
      <c r="JN150" s="235">
        <f t="shared" si="118"/>
        <v>0</v>
      </c>
      <c r="JO150" s="235">
        <f t="shared" si="119"/>
        <v>0</v>
      </c>
      <c r="JP150" s="235">
        <f t="shared" si="120"/>
        <v>0</v>
      </c>
      <c r="JQ150" s="235">
        <f t="shared" si="121"/>
        <v>0</v>
      </c>
      <c r="JR150" s="235">
        <f t="shared" si="122"/>
        <v>0</v>
      </c>
      <c r="JS150" s="235">
        <f t="shared" si="123"/>
        <v>0</v>
      </c>
      <c r="JT150" s="235">
        <f t="shared" si="124"/>
        <v>0</v>
      </c>
      <c r="JU150" s="235">
        <f t="shared" si="125"/>
        <v>0</v>
      </c>
      <c r="JV150" s="235">
        <f t="shared" si="126"/>
        <v>0</v>
      </c>
      <c r="JW150" s="235">
        <f t="shared" si="127"/>
        <v>0</v>
      </c>
      <c r="JX150" s="235">
        <f t="shared" si="128"/>
        <v>0</v>
      </c>
      <c r="JY150" s="235">
        <f t="shared" si="129"/>
        <v>0</v>
      </c>
      <c r="JZ150" s="235">
        <f t="shared" si="130"/>
        <v>0</v>
      </c>
      <c r="KA150" s="237">
        <f t="shared" si="131"/>
        <v>0</v>
      </c>
      <c r="KB150" s="248">
        <v>46168</v>
      </c>
    </row>
    <row r="151" spans="1:288">
      <c r="A151" s="207">
        <v>46169</v>
      </c>
      <c r="JF151" s="236">
        <f t="shared" si="110"/>
        <v>0</v>
      </c>
      <c r="JG151" s="235">
        <f t="shared" si="111"/>
        <v>0</v>
      </c>
      <c r="JH151" s="235">
        <f t="shared" si="112"/>
        <v>0</v>
      </c>
      <c r="JI151" s="235">
        <f t="shared" si="113"/>
        <v>0</v>
      </c>
      <c r="JJ151" s="235">
        <f t="shared" si="114"/>
        <v>0</v>
      </c>
      <c r="JK151" s="235">
        <f t="shared" si="115"/>
        <v>0</v>
      </c>
      <c r="JL151" s="235">
        <f t="shared" si="116"/>
        <v>0</v>
      </c>
      <c r="JM151" s="235">
        <f t="shared" si="117"/>
        <v>0</v>
      </c>
      <c r="JN151" s="235">
        <f t="shared" si="118"/>
        <v>0</v>
      </c>
      <c r="JO151" s="235">
        <f t="shared" si="119"/>
        <v>0</v>
      </c>
      <c r="JP151" s="235">
        <f t="shared" si="120"/>
        <v>0</v>
      </c>
      <c r="JQ151" s="235">
        <f t="shared" si="121"/>
        <v>0</v>
      </c>
      <c r="JR151" s="235">
        <f t="shared" si="122"/>
        <v>0</v>
      </c>
      <c r="JS151" s="235">
        <f t="shared" si="123"/>
        <v>0</v>
      </c>
      <c r="JT151" s="235">
        <f t="shared" si="124"/>
        <v>0</v>
      </c>
      <c r="JU151" s="235">
        <f t="shared" si="125"/>
        <v>0</v>
      </c>
      <c r="JV151" s="235">
        <f t="shared" si="126"/>
        <v>0</v>
      </c>
      <c r="JW151" s="235">
        <f t="shared" si="127"/>
        <v>0</v>
      </c>
      <c r="JX151" s="235">
        <f t="shared" si="128"/>
        <v>0</v>
      </c>
      <c r="JY151" s="235">
        <f t="shared" si="129"/>
        <v>0</v>
      </c>
      <c r="JZ151" s="235">
        <f t="shared" si="130"/>
        <v>0</v>
      </c>
      <c r="KA151" s="237">
        <f t="shared" si="131"/>
        <v>0</v>
      </c>
      <c r="KB151" s="248">
        <v>46169</v>
      </c>
    </row>
    <row r="152" spans="1:288">
      <c r="A152" s="207">
        <v>46170</v>
      </c>
      <c r="JF152" s="236">
        <f t="shared" si="110"/>
        <v>0</v>
      </c>
      <c r="JG152" s="235">
        <f t="shared" si="111"/>
        <v>0</v>
      </c>
      <c r="JH152" s="235">
        <f t="shared" si="112"/>
        <v>0</v>
      </c>
      <c r="JI152" s="235">
        <f t="shared" si="113"/>
        <v>0</v>
      </c>
      <c r="JJ152" s="235">
        <f t="shared" si="114"/>
        <v>0</v>
      </c>
      <c r="JK152" s="235">
        <f t="shared" si="115"/>
        <v>0</v>
      </c>
      <c r="JL152" s="235">
        <f t="shared" si="116"/>
        <v>0</v>
      </c>
      <c r="JM152" s="235">
        <f t="shared" si="117"/>
        <v>0</v>
      </c>
      <c r="JN152" s="235">
        <f t="shared" si="118"/>
        <v>0</v>
      </c>
      <c r="JO152" s="235">
        <f t="shared" si="119"/>
        <v>0</v>
      </c>
      <c r="JP152" s="235">
        <f t="shared" si="120"/>
        <v>0</v>
      </c>
      <c r="JQ152" s="235">
        <f t="shared" si="121"/>
        <v>0</v>
      </c>
      <c r="JR152" s="235">
        <f t="shared" si="122"/>
        <v>0</v>
      </c>
      <c r="JS152" s="235">
        <f t="shared" si="123"/>
        <v>0</v>
      </c>
      <c r="JT152" s="235">
        <f t="shared" si="124"/>
        <v>0</v>
      </c>
      <c r="JU152" s="235">
        <f t="shared" si="125"/>
        <v>0</v>
      </c>
      <c r="JV152" s="235">
        <f t="shared" si="126"/>
        <v>0</v>
      </c>
      <c r="JW152" s="235">
        <f t="shared" si="127"/>
        <v>0</v>
      </c>
      <c r="JX152" s="235">
        <f t="shared" si="128"/>
        <v>0</v>
      </c>
      <c r="JY152" s="235">
        <f t="shared" si="129"/>
        <v>0</v>
      </c>
      <c r="JZ152" s="235">
        <f t="shared" si="130"/>
        <v>0</v>
      </c>
      <c r="KA152" s="237">
        <f t="shared" si="131"/>
        <v>0</v>
      </c>
      <c r="KB152" s="248">
        <v>46170</v>
      </c>
    </row>
    <row r="153" spans="1:288">
      <c r="A153" s="207">
        <v>46171</v>
      </c>
      <c r="JF153" s="236">
        <f t="shared" si="110"/>
        <v>0</v>
      </c>
      <c r="JG153" s="235">
        <f t="shared" si="111"/>
        <v>0</v>
      </c>
      <c r="JH153" s="235">
        <f t="shared" si="112"/>
        <v>0</v>
      </c>
      <c r="JI153" s="235">
        <f t="shared" si="113"/>
        <v>0</v>
      </c>
      <c r="JJ153" s="235">
        <f t="shared" si="114"/>
        <v>0</v>
      </c>
      <c r="JK153" s="235">
        <f t="shared" si="115"/>
        <v>0</v>
      </c>
      <c r="JL153" s="235">
        <f t="shared" si="116"/>
        <v>0</v>
      </c>
      <c r="JM153" s="235">
        <f t="shared" si="117"/>
        <v>0</v>
      </c>
      <c r="JN153" s="235">
        <f t="shared" si="118"/>
        <v>0</v>
      </c>
      <c r="JO153" s="235">
        <f t="shared" si="119"/>
        <v>0</v>
      </c>
      <c r="JP153" s="235">
        <f t="shared" si="120"/>
        <v>0</v>
      </c>
      <c r="JQ153" s="235">
        <f t="shared" si="121"/>
        <v>0</v>
      </c>
      <c r="JR153" s="235">
        <f t="shared" si="122"/>
        <v>0</v>
      </c>
      <c r="JS153" s="235">
        <f t="shared" si="123"/>
        <v>0</v>
      </c>
      <c r="JT153" s="235">
        <f t="shared" si="124"/>
        <v>0</v>
      </c>
      <c r="JU153" s="235">
        <f t="shared" si="125"/>
        <v>0</v>
      </c>
      <c r="JV153" s="235">
        <f t="shared" si="126"/>
        <v>0</v>
      </c>
      <c r="JW153" s="235">
        <f t="shared" si="127"/>
        <v>0</v>
      </c>
      <c r="JX153" s="235">
        <f t="shared" si="128"/>
        <v>0</v>
      </c>
      <c r="JY153" s="235">
        <f t="shared" si="129"/>
        <v>0</v>
      </c>
      <c r="JZ153" s="235">
        <f t="shared" si="130"/>
        <v>0</v>
      </c>
      <c r="KA153" s="237">
        <f t="shared" si="131"/>
        <v>0</v>
      </c>
      <c r="KB153" s="248">
        <v>46171</v>
      </c>
    </row>
    <row r="154" spans="1:288">
      <c r="A154" s="207">
        <v>46172</v>
      </c>
      <c r="JF154" s="236">
        <f t="shared" si="110"/>
        <v>0</v>
      </c>
      <c r="JG154" s="235">
        <f t="shared" si="111"/>
        <v>0</v>
      </c>
      <c r="JH154" s="235">
        <f t="shared" si="112"/>
        <v>0</v>
      </c>
      <c r="JI154" s="235">
        <f t="shared" si="113"/>
        <v>0</v>
      </c>
      <c r="JJ154" s="235">
        <f t="shared" si="114"/>
        <v>0</v>
      </c>
      <c r="JK154" s="235">
        <f t="shared" si="115"/>
        <v>0</v>
      </c>
      <c r="JL154" s="235">
        <f t="shared" si="116"/>
        <v>0</v>
      </c>
      <c r="JM154" s="235">
        <f t="shared" si="117"/>
        <v>0</v>
      </c>
      <c r="JN154" s="235">
        <f t="shared" si="118"/>
        <v>0</v>
      </c>
      <c r="JO154" s="235">
        <f t="shared" si="119"/>
        <v>0</v>
      </c>
      <c r="JP154" s="235">
        <f t="shared" si="120"/>
        <v>0</v>
      </c>
      <c r="JQ154" s="235">
        <f t="shared" si="121"/>
        <v>0</v>
      </c>
      <c r="JR154" s="235">
        <f t="shared" si="122"/>
        <v>0</v>
      </c>
      <c r="JS154" s="235">
        <f t="shared" si="123"/>
        <v>0</v>
      </c>
      <c r="JT154" s="235">
        <f t="shared" si="124"/>
        <v>0</v>
      </c>
      <c r="JU154" s="235">
        <f t="shared" si="125"/>
        <v>0</v>
      </c>
      <c r="JV154" s="235">
        <f t="shared" si="126"/>
        <v>0</v>
      </c>
      <c r="JW154" s="235">
        <f t="shared" si="127"/>
        <v>0</v>
      </c>
      <c r="JX154" s="235">
        <f t="shared" si="128"/>
        <v>0</v>
      </c>
      <c r="JY154" s="235">
        <f t="shared" si="129"/>
        <v>0</v>
      </c>
      <c r="JZ154" s="235">
        <f t="shared" si="130"/>
        <v>0</v>
      </c>
      <c r="KA154" s="237">
        <f t="shared" si="131"/>
        <v>0</v>
      </c>
      <c r="KB154" s="248">
        <v>46172</v>
      </c>
    </row>
    <row r="155" spans="1:288">
      <c r="A155" s="207">
        <v>46173</v>
      </c>
      <c r="JF155" s="236">
        <f t="shared" si="110"/>
        <v>0</v>
      </c>
      <c r="JG155" s="235">
        <f t="shared" si="111"/>
        <v>0</v>
      </c>
      <c r="JH155" s="235">
        <f t="shared" si="112"/>
        <v>0</v>
      </c>
      <c r="JI155" s="235">
        <f t="shared" si="113"/>
        <v>0</v>
      </c>
      <c r="JJ155" s="235">
        <f t="shared" si="114"/>
        <v>0</v>
      </c>
      <c r="JK155" s="235">
        <f t="shared" si="115"/>
        <v>0</v>
      </c>
      <c r="JL155" s="235">
        <f t="shared" si="116"/>
        <v>0</v>
      </c>
      <c r="JM155" s="235">
        <f t="shared" si="117"/>
        <v>0</v>
      </c>
      <c r="JN155" s="235">
        <f t="shared" si="118"/>
        <v>0</v>
      </c>
      <c r="JO155" s="235">
        <f t="shared" si="119"/>
        <v>0</v>
      </c>
      <c r="JP155" s="235">
        <f t="shared" si="120"/>
        <v>0</v>
      </c>
      <c r="JQ155" s="235">
        <f t="shared" si="121"/>
        <v>0</v>
      </c>
      <c r="JR155" s="235">
        <f t="shared" si="122"/>
        <v>0</v>
      </c>
      <c r="JS155" s="235">
        <f t="shared" si="123"/>
        <v>0</v>
      </c>
      <c r="JT155" s="235">
        <f t="shared" si="124"/>
        <v>0</v>
      </c>
      <c r="JU155" s="235">
        <f t="shared" si="125"/>
        <v>0</v>
      </c>
      <c r="JV155" s="235">
        <f t="shared" si="126"/>
        <v>0</v>
      </c>
      <c r="JW155" s="235">
        <f t="shared" si="127"/>
        <v>0</v>
      </c>
      <c r="JX155" s="235">
        <f t="shared" si="128"/>
        <v>0</v>
      </c>
      <c r="JY155" s="235">
        <f t="shared" si="129"/>
        <v>0</v>
      </c>
      <c r="JZ155" s="235">
        <f t="shared" si="130"/>
        <v>0</v>
      </c>
      <c r="KA155" s="237">
        <f t="shared" si="131"/>
        <v>0</v>
      </c>
      <c r="KB155" s="248">
        <v>46173</v>
      </c>
    </row>
    <row r="156" spans="1:288">
      <c r="A156" s="207">
        <v>46174</v>
      </c>
      <c r="JF156" s="236">
        <f t="shared" si="110"/>
        <v>0</v>
      </c>
      <c r="JG156" s="235">
        <f t="shared" si="111"/>
        <v>0</v>
      </c>
      <c r="JH156" s="235">
        <f t="shared" si="112"/>
        <v>0</v>
      </c>
      <c r="JI156" s="235">
        <f t="shared" si="113"/>
        <v>0</v>
      </c>
      <c r="JJ156" s="235">
        <f t="shared" si="114"/>
        <v>0</v>
      </c>
      <c r="JK156" s="235">
        <f t="shared" si="115"/>
        <v>0</v>
      </c>
      <c r="JL156" s="235">
        <f t="shared" si="116"/>
        <v>0</v>
      </c>
      <c r="JM156" s="235">
        <f t="shared" si="117"/>
        <v>0</v>
      </c>
      <c r="JN156" s="235">
        <f t="shared" si="118"/>
        <v>0</v>
      </c>
      <c r="JO156" s="235">
        <f t="shared" si="119"/>
        <v>0</v>
      </c>
      <c r="JP156" s="235">
        <f t="shared" si="120"/>
        <v>0</v>
      </c>
      <c r="JQ156" s="235">
        <f t="shared" si="121"/>
        <v>0</v>
      </c>
      <c r="JR156" s="235">
        <f t="shared" si="122"/>
        <v>0</v>
      </c>
      <c r="JS156" s="235">
        <f t="shared" si="123"/>
        <v>0</v>
      </c>
      <c r="JT156" s="235">
        <f t="shared" si="124"/>
        <v>0</v>
      </c>
      <c r="JU156" s="235">
        <f t="shared" si="125"/>
        <v>0</v>
      </c>
      <c r="JV156" s="235">
        <f t="shared" si="126"/>
        <v>0</v>
      </c>
      <c r="JW156" s="235">
        <f t="shared" si="127"/>
        <v>0</v>
      </c>
      <c r="JX156" s="235">
        <f t="shared" si="128"/>
        <v>0</v>
      </c>
      <c r="JY156" s="235">
        <f t="shared" si="129"/>
        <v>0</v>
      </c>
      <c r="JZ156" s="235">
        <f t="shared" si="130"/>
        <v>0</v>
      </c>
      <c r="KA156" s="237">
        <f t="shared" si="131"/>
        <v>0</v>
      </c>
      <c r="KB156" s="248">
        <v>46174</v>
      </c>
    </row>
    <row r="157" spans="1:288">
      <c r="A157" s="207">
        <v>46175</v>
      </c>
      <c r="JF157" s="236">
        <f t="shared" si="110"/>
        <v>0</v>
      </c>
      <c r="JG157" s="235">
        <f t="shared" si="111"/>
        <v>0</v>
      </c>
      <c r="JH157" s="235">
        <f t="shared" si="112"/>
        <v>0</v>
      </c>
      <c r="JI157" s="235">
        <f t="shared" si="113"/>
        <v>0</v>
      </c>
      <c r="JJ157" s="235">
        <f t="shared" si="114"/>
        <v>0</v>
      </c>
      <c r="JK157" s="235">
        <f t="shared" si="115"/>
        <v>0</v>
      </c>
      <c r="JL157" s="235">
        <f t="shared" si="116"/>
        <v>0</v>
      </c>
      <c r="JM157" s="235">
        <f t="shared" si="117"/>
        <v>0</v>
      </c>
      <c r="JN157" s="235">
        <f t="shared" si="118"/>
        <v>0</v>
      </c>
      <c r="JO157" s="235">
        <f t="shared" si="119"/>
        <v>0</v>
      </c>
      <c r="JP157" s="235">
        <f t="shared" si="120"/>
        <v>0</v>
      </c>
      <c r="JQ157" s="235">
        <f t="shared" si="121"/>
        <v>0</v>
      </c>
      <c r="JR157" s="235">
        <f t="shared" si="122"/>
        <v>0</v>
      </c>
      <c r="JS157" s="235">
        <f t="shared" si="123"/>
        <v>0</v>
      </c>
      <c r="JT157" s="235">
        <f t="shared" si="124"/>
        <v>0</v>
      </c>
      <c r="JU157" s="235">
        <f t="shared" si="125"/>
        <v>0</v>
      </c>
      <c r="JV157" s="235">
        <f t="shared" si="126"/>
        <v>0</v>
      </c>
      <c r="JW157" s="235">
        <f t="shared" si="127"/>
        <v>0</v>
      </c>
      <c r="JX157" s="235">
        <f t="shared" si="128"/>
        <v>0</v>
      </c>
      <c r="JY157" s="235">
        <f t="shared" si="129"/>
        <v>0</v>
      </c>
      <c r="JZ157" s="235">
        <f t="shared" si="130"/>
        <v>0</v>
      </c>
      <c r="KA157" s="237">
        <f t="shared" si="131"/>
        <v>0</v>
      </c>
      <c r="KB157" s="248">
        <v>46175</v>
      </c>
    </row>
    <row r="158" spans="1:288">
      <c r="A158" s="207">
        <v>46176</v>
      </c>
      <c r="JF158" s="236">
        <f t="shared" si="110"/>
        <v>0</v>
      </c>
      <c r="JG158" s="235">
        <f t="shared" si="111"/>
        <v>0</v>
      </c>
      <c r="JH158" s="235">
        <f t="shared" si="112"/>
        <v>0</v>
      </c>
      <c r="JI158" s="235">
        <f t="shared" si="113"/>
        <v>0</v>
      </c>
      <c r="JJ158" s="235">
        <f t="shared" si="114"/>
        <v>0</v>
      </c>
      <c r="JK158" s="235">
        <f t="shared" si="115"/>
        <v>0</v>
      </c>
      <c r="JL158" s="235">
        <f t="shared" si="116"/>
        <v>0</v>
      </c>
      <c r="JM158" s="235">
        <f t="shared" si="117"/>
        <v>0</v>
      </c>
      <c r="JN158" s="235">
        <f t="shared" si="118"/>
        <v>0</v>
      </c>
      <c r="JO158" s="235">
        <f t="shared" si="119"/>
        <v>0</v>
      </c>
      <c r="JP158" s="235">
        <f t="shared" si="120"/>
        <v>0</v>
      </c>
      <c r="JQ158" s="235">
        <f t="shared" si="121"/>
        <v>0</v>
      </c>
      <c r="JR158" s="235">
        <f t="shared" si="122"/>
        <v>0</v>
      </c>
      <c r="JS158" s="235">
        <f t="shared" si="123"/>
        <v>0</v>
      </c>
      <c r="JT158" s="235">
        <f t="shared" si="124"/>
        <v>0</v>
      </c>
      <c r="JU158" s="235">
        <f t="shared" si="125"/>
        <v>0</v>
      </c>
      <c r="JV158" s="235">
        <f t="shared" si="126"/>
        <v>0</v>
      </c>
      <c r="JW158" s="235">
        <f t="shared" si="127"/>
        <v>0</v>
      </c>
      <c r="JX158" s="235">
        <f t="shared" si="128"/>
        <v>0</v>
      </c>
      <c r="JY158" s="235">
        <f t="shared" si="129"/>
        <v>0</v>
      </c>
      <c r="JZ158" s="235">
        <f t="shared" si="130"/>
        <v>0</v>
      </c>
      <c r="KA158" s="237">
        <f t="shared" si="131"/>
        <v>0</v>
      </c>
      <c r="KB158" s="248">
        <v>46176</v>
      </c>
    </row>
    <row r="159" spans="1:288">
      <c r="A159" s="207">
        <v>46177</v>
      </c>
      <c r="JF159" s="236">
        <f t="shared" si="110"/>
        <v>0</v>
      </c>
      <c r="JG159" s="235">
        <f t="shared" si="111"/>
        <v>0</v>
      </c>
      <c r="JH159" s="235">
        <f t="shared" si="112"/>
        <v>0</v>
      </c>
      <c r="JI159" s="235">
        <f t="shared" si="113"/>
        <v>0</v>
      </c>
      <c r="JJ159" s="235">
        <f t="shared" si="114"/>
        <v>0</v>
      </c>
      <c r="JK159" s="235">
        <f t="shared" si="115"/>
        <v>0</v>
      </c>
      <c r="JL159" s="235">
        <f t="shared" si="116"/>
        <v>0</v>
      </c>
      <c r="JM159" s="235">
        <f t="shared" si="117"/>
        <v>0</v>
      </c>
      <c r="JN159" s="235">
        <f t="shared" si="118"/>
        <v>0</v>
      </c>
      <c r="JO159" s="235">
        <f t="shared" si="119"/>
        <v>0</v>
      </c>
      <c r="JP159" s="235">
        <f t="shared" si="120"/>
        <v>0</v>
      </c>
      <c r="JQ159" s="235">
        <f t="shared" si="121"/>
        <v>0</v>
      </c>
      <c r="JR159" s="235">
        <f t="shared" si="122"/>
        <v>0</v>
      </c>
      <c r="JS159" s="235">
        <f t="shared" si="123"/>
        <v>0</v>
      </c>
      <c r="JT159" s="235">
        <f t="shared" si="124"/>
        <v>0</v>
      </c>
      <c r="JU159" s="235">
        <f t="shared" si="125"/>
        <v>0</v>
      </c>
      <c r="JV159" s="235">
        <f t="shared" si="126"/>
        <v>0</v>
      </c>
      <c r="JW159" s="235">
        <f t="shared" si="127"/>
        <v>0</v>
      </c>
      <c r="JX159" s="235">
        <f t="shared" si="128"/>
        <v>0</v>
      </c>
      <c r="JY159" s="235">
        <f t="shared" si="129"/>
        <v>0</v>
      </c>
      <c r="JZ159" s="235">
        <f t="shared" si="130"/>
        <v>0</v>
      </c>
      <c r="KA159" s="237">
        <f t="shared" si="131"/>
        <v>0</v>
      </c>
      <c r="KB159" s="248">
        <v>46177</v>
      </c>
    </row>
    <row r="160" spans="1:288">
      <c r="A160" s="207">
        <v>46178</v>
      </c>
      <c r="JF160" s="236">
        <f t="shared" si="110"/>
        <v>0</v>
      </c>
      <c r="JG160" s="235">
        <f t="shared" si="111"/>
        <v>0</v>
      </c>
      <c r="JH160" s="235">
        <f t="shared" si="112"/>
        <v>0</v>
      </c>
      <c r="JI160" s="235">
        <f t="shared" si="113"/>
        <v>0</v>
      </c>
      <c r="JJ160" s="235">
        <f t="shared" si="114"/>
        <v>0</v>
      </c>
      <c r="JK160" s="235">
        <f t="shared" si="115"/>
        <v>0</v>
      </c>
      <c r="JL160" s="235">
        <f t="shared" si="116"/>
        <v>0</v>
      </c>
      <c r="JM160" s="235">
        <f t="shared" si="117"/>
        <v>0</v>
      </c>
      <c r="JN160" s="235">
        <f t="shared" si="118"/>
        <v>0</v>
      </c>
      <c r="JO160" s="235">
        <f t="shared" si="119"/>
        <v>0</v>
      </c>
      <c r="JP160" s="235">
        <f t="shared" si="120"/>
        <v>0</v>
      </c>
      <c r="JQ160" s="235">
        <f t="shared" si="121"/>
        <v>0</v>
      </c>
      <c r="JR160" s="235">
        <f t="shared" si="122"/>
        <v>0</v>
      </c>
      <c r="JS160" s="235">
        <f t="shared" si="123"/>
        <v>0</v>
      </c>
      <c r="JT160" s="235">
        <f t="shared" si="124"/>
        <v>0</v>
      </c>
      <c r="JU160" s="235">
        <f t="shared" si="125"/>
        <v>0</v>
      </c>
      <c r="JV160" s="235">
        <f t="shared" si="126"/>
        <v>0</v>
      </c>
      <c r="JW160" s="235">
        <f t="shared" si="127"/>
        <v>0</v>
      </c>
      <c r="JX160" s="235">
        <f t="shared" si="128"/>
        <v>0</v>
      </c>
      <c r="JY160" s="235">
        <f t="shared" si="129"/>
        <v>0</v>
      </c>
      <c r="JZ160" s="235">
        <f t="shared" si="130"/>
        <v>0</v>
      </c>
      <c r="KA160" s="237">
        <f t="shared" si="131"/>
        <v>0</v>
      </c>
      <c r="KB160" s="248">
        <v>46178</v>
      </c>
    </row>
    <row r="161" spans="1:288">
      <c r="A161" s="207">
        <v>46179</v>
      </c>
      <c r="JF161" s="236">
        <f t="shared" si="110"/>
        <v>0</v>
      </c>
      <c r="JG161" s="235">
        <f t="shared" si="111"/>
        <v>0</v>
      </c>
      <c r="JH161" s="235">
        <f t="shared" si="112"/>
        <v>0</v>
      </c>
      <c r="JI161" s="235">
        <f t="shared" si="113"/>
        <v>0</v>
      </c>
      <c r="JJ161" s="235">
        <f t="shared" si="114"/>
        <v>0</v>
      </c>
      <c r="JK161" s="235">
        <f t="shared" si="115"/>
        <v>0</v>
      </c>
      <c r="JL161" s="235">
        <f t="shared" si="116"/>
        <v>0</v>
      </c>
      <c r="JM161" s="235">
        <f t="shared" si="117"/>
        <v>0</v>
      </c>
      <c r="JN161" s="235">
        <f t="shared" si="118"/>
        <v>0</v>
      </c>
      <c r="JO161" s="235">
        <f t="shared" si="119"/>
        <v>0</v>
      </c>
      <c r="JP161" s="235">
        <f t="shared" si="120"/>
        <v>0</v>
      </c>
      <c r="JQ161" s="235">
        <f t="shared" si="121"/>
        <v>0</v>
      </c>
      <c r="JR161" s="235">
        <f t="shared" si="122"/>
        <v>0</v>
      </c>
      <c r="JS161" s="235">
        <f t="shared" si="123"/>
        <v>0</v>
      </c>
      <c r="JT161" s="235">
        <f t="shared" si="124"/>
        <v>0</v>
      </c>
      <c r="JU161" s="235">
        <f t="shared" si="125"/>
        <v>0</v>
      </c>
      <c r="JV161" s="235">
        <f t="shared" si="126"/>
        <v>0</v>
      </c>
      <c r="JW161" s="235">
        <f t="shared" si="127"/>
        <v>0</v>
      </c>
      <c r="JX161" s="235">
        <f t="shared" si="128"/>
        <v>0</v>
      </c>
      <c r="JY161" s="235">
        <f t="shared" si="129"/>
        <v>0</v>
      </c>
      <c r="JZ161" s="235">
        <f t="shared" si="130"/>
        <v>0</v>
      </c>
      <c r="KA161" s="237">
        <f t="shared" si="131"/>
        <v>0</v>
      </c>
      <c r="KB161" s="248">
        <v>46179</v>
      </c>
    </row>
    <row r="162" spans="1:288">
      <c r="A162" s="207">
        <v>46180</v>
      </c>
      <c r="JF162" s="236">
        <f t="shared" si="110"/>
        <v>0</v>
      </c>
      <c r="JG162" s="235">
        <f t="shared" si="111"/>
        <v>0</v>
      </c>
      <c r="JH162" s="235">
        <f t="shared" si="112"/>
        <v>0</v>
      </c>
      <c r="JI162" s="235">
        <f t="shared" si="113"/>
        <v>0</v>
      </c>
      <c r="JJ162" s="235">
        <f t="shared" si="114"/>
        <v>0</v>
      </c>
      <c r="JK162" s="235">
        <f t="shared" si="115"/>
        <v>0</v>
      </c>
      <c r="JL162" s="235">
        <f t="shared" si="116"/>
        <v>0</v>
      </c>
      <c r="JM162" s="235">
        <f t="shared" si="117"/>
        <v>0</v>
      </c>
      <c r="JN162" s="235">
        <f t="shared" si="118"/>
        <v>0</v>
      </c>
      <c r="JO162" s="235">
        <f t="shared" si="119"/>
        <v>0</v>
      </c>
      <c r="JP162" s="235">
        <f t="shared" si="120"/>
        <v>0</v>
      </c>
      <c r="JQ162" s="235">
        <f t="shared" si="121"/>
        <v>0</v>
      </c>
      <c r="JR162" s="235">
        <f t="shared" si="122"/>
        <v>0</v>
      </c>
      <c r="JS162" s="235">
        <f t="shared" si="123"/>
        <v>0</v>
      </c>
      <c r="JT162" s="235">
        <f t="shared" si="124"/>
        <v>0</v>
      </c>
      <c r="JU162" s="235">
        <f t="shared" si="125"/>
        <v>0</v>
      </c>
      <c r="JV162" s="235">
        <f t="shared" si="126"/>
        <v>0</v>
      </c>
      <c r="JW162" s="235">
        <f t="shared" si="127"/>
        <v>0</v>
      </c>
      <c r="JX162" s="235">
        <f t="shared" si="128"/>
        <v>0</v>
      </c>
      <c r="JY162" s="235">
        <f t="shared" si="129"/>
        <v>0</v>
      </c>
      <c r="JZ162" s="235">
        <f t="shared" si="130"/>
        <v>0</v>
      </c>
      <c r="KA162" s="237">
        <f t="shared" si="131"/>
        <v>0</v>
      </c>
      <c r="KB162" s="248">
        <v>46180</v>
      </c>
    </row>
    <row r="163" spans="1:288">
      <c r="A163" s="207">
        <v>46181</v>
      </c>
      <c r="JF163" s="236">
        <f t="shared" si="110"/>
        <v>0</v>
      </c>
      <c r="JG163" s="235">
        <f t="shared" si="111"/>
        <v>0</v>
      </c>
      <c r="JH163" s="235">
        <f t="shared" si="112"/>
        <v>0</v>
      </c>
      <c r="JI163" s="235">
        <f t="shared" si="113"/>
        <v>0</v>
      </c>
      <c r="JJ163" s="235">
        <f t="shared" si="114"/>
        <v>0</v>
      </c>
      <c r="JK163" s="235">
        <f t="shared" si="115"/>
        <v>0</v>
      </c>
      <c r="JL163" s="235">
        <f t="shared" si="116"/>
        <v>0</v>
      </c>
      <c r="JM163" s="235">
        <f t="shared" si="117"/>
        <v>0</v>
      </c>
      <c r="JN163" s="235">
        <f t="shared" si="118"/>
        <v>0</v>
      </c>
      <c r="JO163" s="235">
        <f t="shared" si="119"/>
        <v>0</v>
      </c>
      <c r="JP163" s="235">
        <f t="shared" si="120"/>
        <v>0</v>
      </c>
      <c r="JQ163" s="235">
        <f t="shared" si="121"/>
        <v>0</v>
      </c>
      <c r="JR163" s="235">
        <f t="shared" si="122"/>
        <v>0</v>
      </c>
      <c r="JS163" s="235">
        <f t="shared" si="123"/>
        <v>0</v>
      </c>
      <c r="JT163" s="235">
        <f t="shared" si="124"/>
        <v>0</v>
      </c>
      <c r="JU163" s="235">
        <f t="shared" si="125"/>
        <v>0</v>
      </c>
      <c r="JV163" s="235">
        <f t="shared" si="126"/>
        <v>0</v>
      </c>
      <c r="JW163" s="235">
        <f t="shared" si="127"/>
        <v>0</v>
      </c>
      <c r="JX163" s="235">
        <f t="shared" si="128"/>
        <v>0</v>
      </c>
      <c r="JY163" s="235">
        <f t="shared" si="129"/>
        <v>0</v>
      </c>
      <c r="JZ163" s="235">
        <f t="shared" si="130"/>
        <v>0</v>
      </c>
      <c r="KA163" s="237">
        <f t="shared" si="131"/>
        <v>0</v>
      </c>
      <c r="KB163" s="248">
        <v>46181</v>
      </c>
    </row>
    <row r="164" spans="1:288">
      <c r="A164" s="207">
        <v>46182</v>
      </c>
      <c r="JF164" s="236">
        <f t="shared" si="110"/>
        <v>0</v>
      </c>
      <c r="JG164" s="235">
        <f t="shared" si="111"/>
        <v>0</v>
      </c>
      <c r="JH164" s="235">
        <f t="shared" si="112"/>
        <v>0</v>
      </c>
      <c r="JI164" s="235">
        <f t="shared" si="113"/>
        <v>0</v>
      </c>
      <c r="JJ164" s="235">
        <f t="shared" si="114"/>
        <v>0</v>
      </c>
      <c r="JK164" s="235">
        <f t="shared" si="115"/>
        <v>0</v>
      </c>
      <c r="JL164" s="235">
        <f t="shared" si="116"/>
        <v>0</v>
      </c>
      <c r="JM164" s="235">
        <f t="shared" si="117"/>
        <v>0</v>
      </c>
      <c r="JN164" s="235">
        <f t="shared" si="118"/>
        <v>0</v>
      </c>
      <c r="JO164" s="235">
        <f t="shared" si="119"/>
        <v>0</v>
      </c>
      <c r="JP164" s="235">
        <f t="shared" si="120"/>
        <v>0</v>
      </c>
      <c r="JQ164" s="235">
        <f t="shared" si="121"/>
        <v>0</v>
      </c>
      <c r="JR164" s="235">
        <f t="shared" si="122"/>
        <v>0</v>
      </c>
      <c r="JS164" s="235">
        <f t="shared" si="123"/>
        <v>0</v>
      </c>
      <c r="JT164" s="235">
        <f t="shared" si="124"/>
        <v>0</v>
      </c>
      <c r="JU164" s="235">
        <f t="shared" si="125"/>
        <v>0</v>
      </c>
      <c r="JV164" s="235">
        <f t="shared" si="126"/>
        <v>0</v>
      </c>
      <c r="JW164" s="235">
        <f t="shared" si="127"/>
        <v>0</v>
      </c>
      <c r="JX164" s="235">
        <f t="shared" si="128"/>
        <v>0</v>
      </c>
      <c r="JY164" s="235">
        <f t="shared" si="129"/>
        <v>0</v>
      </c>
      <c r="JZ164" s="235">
        <f t="shared" si="130"/>
        <v>0</v>
      </c>
      <c r="KA164" s="237">
        <f t="shared" si="131"/>
        <v>0</v>
      </c>
      <c r="KB164" s="248">
        <v>46182</v>
      </c>
    </row>
    <row r="165" spans="1:288">
      <c r="A165" s="207">
        <v>46183</v>
      </c>
      <c r="JF165" s="236">
        <f t="shared" si="110"/>
        <v>0</v>
      </c>
      <c r="JG165" s="235">
        <f t="shared" si="111"/>
        <v>0</v>
      </c>
      <c r="JH165" s="235">
        <f t="shared" si="112"/>
        <v>0</v>
      </c>
      <c r="JI165" s="235">
        <f t="shared" si="113"/>
        <v>0</v>
      </c>
      <c r="JJ165" s="235">
        <f t="shared" si="114"/>
        <v>0</v>
      </c>
      <c r="JK165" s="235">
        <f t="shared" si="115"/>
        <v>0</v>
      </c>
      <c r="JL165" s="235">
        <f t="shared" si="116"/>
        <v>0</v>
      </c>
      <c r="JM165" s="235">
        <f t="shared" si="117"/>
        <v>0</v>
      </c>
      <c r="JN165" s="235">
        <f t="shared" si="118"/>
        <v>0</v>
      </c>
      <c r="JO165" s="235">
        <f t="shared" si="119"/>
        <v>0</v>
      </c>
      <c r="JP165" s="235">
        <f t="shared" si="120"/>
        <v>0</v>
      </c>
      <c r="JQ165" s="235">
        <f t="shared" si="121"/>
        <v>0</v>
      </c>
      <c r="JR165" s="235">
        <f t="shared" si="122"/>
        <v>0</v>
      </c>
      <c r="JS165" s="235">
        <f t="shared" si="123"/>
        <v>0</v>
      </c>
      <c r="JT165" s="235">
        <f t="shared" si="124"/>
        <v>0</v>
      </c>
      <c r="JU165" s="235">
        <f t="shared" si="125"/>
        <v>0</v>
      </c>
      <c r="JV165" s="235">
        <f t="shared" si="126"/>
        <v>0</v>
      </c>
      <c r="JW165" s="235">
        <f t="shared" si="127"/>
        <v>0</v>
      </c>
      <c r="JX165" s="235">
        <f t="shared" si="128"/>
        <v>0</v>
      </c>
      <c r="JY165" s="235">
        <f t="shared" si="129"/>
        <v>0</v>
      </c>
      <c r="JZ165" s="235">
        <f t="shared" si="130"/>
        <v>0</v>
      </c>
      <c r="KA165" s="237">
        <f t="shared" si="131"/>
        <v>0</v>
      </c>
      <c r="KB165" s="248">
        <v>46183</v>
      </c>
    </row>
    <row r="166" spans="1:288">
      <c r="A166" s="207">
        <v>46184</v>
      </c>
      <c r="JF166" s="236">
        <f t="shared" si="110"/>
        <v>0</v>
      </c>
      <c r="JG166" s="235">
        <f t="shared" si="111"/>
        <v>0</v>
      </c>
      <c r="JH166" s="235">
        <f t="shared" si="112"/>
        <v>0</v>
      </c>
      <c r="JI166" s="235">
        <f t="shared" si="113"/>
        <v>0</v>
      </c>
      <c r="JJ166" s="235">
        <f t="shared" si="114"/>
        <v>0</v>
      </c>
      <c r="JK166" s="235">
        <f t="shared" si="115"/>
        <v>0</v>
      </c>
      <c r="JL166" s="235">
        <f t="shared" si="116"/>
        <v>0</v>
      </c>
      <c r="JM166" s="235">
        <f t="shared" si="117"/>
        <v>0</v>
      </c>
      <c r="JN166" s="235">
        <f t="shared" si="118"/>
        <v>0</v>
      </c>
      <c r="JO166" s="235">
        <f t="shared" si="119"/>
        <v>0</v>
      </c>
      <c r="JP166" s="235">
        <f t="shared" si="120"/>
        <v>0</v>
      </c>
      <c r="JQ166" s="235">
        <f t="shared" si="121"/>
        <v>0</v>
      </c>
      <c r="JR166" s="235">
        <f t="shared" si="122"/>
        <v>0</v>
      </c>
      <c r="JS166" s="235">
        <f t="shared" si="123"/>
        <v>0</v>
      </c>
      <c r="JT166" s="235">
        <f t="shared" si="124"/>
        <v>0</v>
      </c>
      <c r="JU166" s="235">
        <f t="shared" si="125"/>
        <v>0</v>
      </c>
      <c r="JV166" s="235">
        <f t="shared" si="126"/>
        <v>0</v>
      </c>
      <c r="JW166" s="235">
        <f t="shared" si="127"/>
        <v>0</v>
      </c>
      <c r="JX166" s="235">
        <f t="shared" si="128"/>
        <v>0</v>
      </c>
      <c r="JY166" s="235">
        <f t="shared" si="129"/>
        <v>0</v>
      </c>
      <c r="JZ166" s="235">
        <f t="shared" si="130"/>
        <v>0</v>
      </c>
      <c r="KA166" s="237">
        <f t="shared" si="131"/>
        <v>0</v>
      </c>
      <c r="KB166" s="248">
        <v>46184</v>
      </c>
    </row>
    <row r="167" spans="1:288">
      <c r="A167" s="207">
        <v>46185</v>
      </c>
      <c r="JF167" s="236">
        <f t="shared" si="110"/>
        <v>0</v>
      </c>
      <c r="JG167" s="235">
        <f t="shared" si="111"/>
        <v>0</v>
      </c>
      <c r="JH167" s="235">
        <f t="shared" si="112"/>
        <v>0</v>
      </c>
      <c r="JI167" s="235">
        <f t="shared" si="113"/>
        <v>0</v>
      </c>
      <c r="JJ167" s="235">
        <f t="shared" si="114"/>
        <v>0</v>
      </c>
      <c r="JK167" s="235">
        <f t="shared" si="115"/>
        <v>0</v>
      </c>
      <c r="JL167" s="235">
        <f t="shared" si="116"/>
        <v>0</v>
      </c>
      <c r="JM167" s="235">
        <f t="shared" si="117"/>
        <v>0</v>
      </c>
      <c r="JN167" s="235">
        <f t="shared" si="118"/>
        <v>0</v>
      </c>
      <c r="JO167" s="235">
        <f t="shared" si="119"/>
        <v>0</v>
      </c>
      <c r="JP167" s="235">
        <f t="shared" si="120"/>
        <v>0</v>
      </c>
      <c r="JQ167" s="235">
        <f t="shared" si="121"/>
        <v>0</v>
      </c>
      <c r="JR167" s="235">
        <f t="shared" si="122"/>
        <v>0</v>
      </c>
      <c r="JS167" s="235">
        <f t="shared" si="123"/>
        <v>0</v>
      </c>
      <c r="JT167" s="235">
        <f t="shared" si="124"/>
        <v>0</v>
      </c>
      <c r="JU167" s="235">
        <f t="shared" si="125"/>
        <v>0</v>
      </c>
      <c r="JV167" s="235">
        <f t="shared" si="126"/>
        <v>0</v>
      </c>
      <c r="JW167" s="235">
        <f t="shared" si="127"/>
        <v>0</v>
      </c>
      <c r="JX167" s="235">
        <f t="shared" si="128"/>
        <v>0</v>
      </c>
      <c r="JY167" s="235">
        <f t="shared" si="129"/>
        <v>0</v>
      </c>
      <c r="JZ167" s="235">
        <f t="shared" si="130"/>
        <v>0</v>
      </c>
      <c r="KA167" s="237">
        <f t="shared" si="131"/>
        <v>0</v>
      </c>
      <c r="KB167" s="248">
        <v>46185</v>
      </c>
    </row>
    <row r="168" spans="1:288">
      <c r="A168" s="207">
        <v>46186</v>
      </c>
      <c r="JF168" s="236">
        <f t="shared" si="110"/>
        <v>0</v>
      </c>
      <c r="JG168" s="235">
        <f t="shared" si="111"/>
        <v>0</v>
      </c>
      <c r="JH168" s="235">
        <f t="shared" si="112"/>
        <v>0</v>
      </c>
      <c r="JI168" s="235">
        <f t="shared" si="113"/>
        <v>0</v>
      </c>
      <c r="JJ168" s="235">
        <f t="shared" si="114"/>
        <v>0</v>
      </c>
      <c r="JK168" s="235">
        <f t="shared" si="115"/>
        <v>0</v>
      </c>
      <c r="JL168" s="235">
        <f t="shared" si="116"/>
        <v>0</v>
      </c>
      <c r="JM168" s="235">
        <f t="shared" si="117"/>
        <v>0</v>
      </c>
      <c r="JN168" s="235">
        <f t="shared" si="118"/>
        <v>0</v>
      </c>
      <c r="JO168" s="235">
        <f t="shared" si="119"/>
        <v>0</v>
      </c>
      <c r="JP168" s="235">
        <f t="shared" si="120"/>
        <v>0</v>
      </c>
      <c r="JQ168" s="235">
        <f t="shared" si="121"/>
        <v>0</v>
      </c>
      <c r="JR168" s="235">
        <f t="shared" si="122"/>
        <v>0</v>
      </c>
      <c r="JS168" s="235">
        <f t="shared" si="123"/>
        <v>0</v>
      </c>
      <c r="JT168" s="235">
        <f t="shared" si="124"/>
        <v>0</v>
      </c>
      <c r="JU168" s="235">
        <f t="shared" si="125"/>
        <v>0</v>
      </c>
      <c r="JV168" s="235">
        <f t="shared" si="126"/>
        <v>0</v>
      </c>
      <c r="JW168" s="235">
        <f t="shared" si="127"/>
        <v>0</v>
      </c>
      <c r="JX168" s="235">
        <f t="shared" si="128"/>
        <v>0</v>
      </c>
      <c r="JY168" s="235">
        <f t="shared" si="129"/>
        <v>0</v>
      </c>
      <c r="JZ168" s="235">
        <f t="shared" si="130"/>
        <v>0</v>
      </c>
      <c r="KA168" s="237">
        <f t="shared" si="131"/>
        <v>0</v>
      </c>
      <c r="KB168" s="248">
        <v>46186</v>
      </c>
    </row>
    <row r="169" spans="1:288">
      <c r="A169" s="207">
        <v>46187</v>
      </c>
      <c r="JF169" s="236">
        <f t="shared" si="110"/>
        <v>0</v>
      </c>
      <c r="JG169" s="235">
        <f t="shared" si="111"/>
        <v>0</v>
      </c>
      <c r="JH169" s="235">
        <f t="shared" si="112"/>
        <v>0</v>
      </c>
      <c r="JI169" s="235">
        <f t="shared" si="113"/>
        <v>0</v>
      </c>
      <c r="JJ169" s="235">
        <f t="shared" si="114"/>
        <v>0</v>
      </c>
      <c r="JK169" s="235">
        <f t="shared" si="115"/>
        <v>0</v>
      </c>
      <c r="JL169" s="235">
        <f t="shared" si="116"/>
        <v>0</v>
      </c>
      <c r="JM169" s="235">
        <f t="shared" si="117"/>
        <v>0</v>
      </c>
      <c r="JN169" s="235">
        <f t="shared" si="118"/>
        <v>0</v>
      </c>
      <c r="JO169" s="235">
        <f t="shared" si="119"/>
        <v>0</v>
      </c>
      <c r="JP169" s="235">
        <f t="shared" si="120"/>
        <v>0</v>
      </c>
      <c r="JQ169" s="235">
        <f t="shared" si="121"/>
        <v>0</v>
      </c>
      <c r="JR169" s="235">
        <f t="shared" si="122"/>
        <v>0</v>
      </c>
      <c r="JS169" s="235">
        <f t="shared" si="123"/>
        <v>0</v>
      </c>
      <c r="JT169" s="235">
        <f t="shared" si="124"/>
        <v>0</v>
      </c>
      <c r="JU169" s="235">
        <f t="shared" si="125"/>
        <v>0</v>
      </c>
      <c r="JV169" s="235">
        <f t="shared" si="126"/>
        <v>0</v>
      </c>
      <c r="JW169" s="235">
        <f t="shared" si="127"/>
        <v>0</v>
      </c>
      <c r="JX169" s="235">
        <f t="shared" si="128"/>
        <v>0</v>
      </c>
      <c r="JY169" s="235">
        <f t="shared" si="129"/>
        <v>0</v>
      </c>
      <c r="JZ169" s="235">
        <f t="shared" si="130"/>
        <v>0</v>
      </c>
      <c r="KA169" s="237">
        <f t="shared" si="131"/>
        <v>0</v>
      </c>
      <c r="KB169" s="248">
        <v>46187</v>
      </c>
    </row>
    <row r="170" spans="1:288">
      <c r="A170" s="207">
        <v>46188</v>
      </c>
      <c r="JF170" s="236">
        <f t="shared" si="110"/>
        <v>0</v>
      </c>
      <c r="JG170" s="235">
        <f t="shared" si="111"/>
        <v>0</v>
      </c>
      <c r="JH170" s="235">
        <f t="shared" si="112"/>
        <v>0</v>
      </c>
      <c r="JI170" s="235">
        <f t="shared" si="113"/>
        <v>0</v>
      </c>
      <c r="JJ170" s="235">
        <f t="shared" si="114"/>
        <v>0</v>
      </c>
      <c r="JK170" s="235">
        <f t="shared" si="115"/>
        <v>0</v>
      </c>
      <c r="JL170" s="235">
        <f t="shared" si="116"/>
        <v>0</v>
      </c>
      <c r="JM170" s="235">
        <f t="shared" si="117"/>
        <v>0</v>
      </c>
      <c r="JN170" s="235">
        <f t="shared" si="118"/>
        <v>0</v>
      </c>
      <c r="JO170" s="235">
        <f t="shared" si="119"/>
        <v>0</v>
      </c>
      <c r="JP170" s="235">
        <f t="shared" si="120"/>
        <v>0</v>
      </c>
      <c r="JQ170" s="235">
        <f t="shared" si="121"/>
        <v>0</v>
      </c>
      <c r="JR170" s="235">
        <f t="shared" si="122"/>
        <v>0</v>
      </c>
      <c r="JS170" s="235">
        <f t="shared" si="123"/>
        <v>0</v>
      </c>
      <c r="JT170" s="235">
        <f t="shared" si="124"/>
        <v>0</v>
      </c>
      <c r="JU170" s="235">
        <f t="shared" si="125"/>
        <v>0</v>
      </c>
      <c r="JV170" s="235">
        <f t="shared" si="126"/>
        <v>0</v>
      </c>
      <c r="JW170" s="235">
        <f t="shared" si="127"/>
        <v>0</v>
      </c>
      <c r="JX170" s="235">
        <f t="shared" si="128"/>
        <v>0</v>
      </c>
      <c r="JY170" s="235">
        <f t="shared" si="129"/>
        <v>0</v>
      </c>
      <c r="JZ170" s="235">
        <f t="shared" si="130"/>
        <v>0</v>
      </c>
      <c r="KA170" s="237">
        <f t="shared" si="131"/>
        <v>0</v>
      </c>
      <c r="KB170" s="248">
        <v>46188</v>
      </c>
    </row>
    <row r="171" spans="1:288">
      <c r="A171" s="207">
        <v>46189</v>
      </c>
      <c r="JF171" s="236">
        <f t="shared" si="110"/>
        <v>0</v>
      </c>
      <c r="JG171" s="235">
        <f t="shared" si="111"/>
        <v>0</v>
      </c>
      <c r="JH171" s="235">
        <f t="shared" si="112"/>
        <v>0</v>
      </c>
      <c r="JI171" s="235">
        <f t="shared" si="113"/>
        <v>0</v>
      </c>
      <c r="JJ171" s="235">
        <f t="shared" si="114"/>
        <v>0</v>
      </c>
      <c r="JK171" s="235">
        <f t="shared" si="115"/>
        <v>0</v>
      </c>
      <c r="JL171" s="235">
        <f t="shared" si="116"/>
        <v>0</v>
      </c>
      <c r="JM171" s="235">
        <f t="shared" si="117"/>
        <v>0</v>
      </c>
      <c r="JN171" s="235">
        <f t="shared" si="118"/>
        <v>0</v>
      </c>
      <c r="JO171" s="235">
        <f t="shared" si="119"/>
        <v>0</v>
      </c>
      <c r="JP171" s="235">
        <f t="shared" si="120"/>
        <v>0</v>
      </c>
      <c r="JQ171" s="235">
        <f t="shared" si="121"/>
        <v>0</v>
      </c>
      <c r="JR171" s="235">
        <f t="shared" si="122"/>
        <v>0</v>
      </c>
      <c r="JS171" s="235">
        <f t="shared" si="123"/>
        <v>0</v>
      </c>
      <c r="JT171" s="235">
        <f t="shared" si="124"/>
        <v>0</v>
      </c>
      <c r="JU171" s="235">
        <f t="shared" si="125"/>
        <v>0</v>
      </c>
      <c r="JV171" s="235">
        <f t="shared" si="126"/>
        <v>0</v>
      </c>
      <c r="JW171" s="235">
        <f t="shared" si="127"/>
        <v>0</v>
      </c>
      <c r="JX171" s="235">
        <f t="shared" si="128"/>
        <v>0</v>
      </c>
      <c r="JY171" s="235">
        <f t="shared" si="129"/>
        <v>0</v>
      </c>
      <c r="JZ171" s="235">
        <f t="shared" si="130"/>
        <v>0</v>
      </c>
      <c r="KA171" s="237">
        <f t="shared" si="131"/>
        <v>0</v>
      </c>
      <c r="KB171" s="248">
        <v>46189</v>
      </c>
    </row>
    <row r="172" spans="1:288">
      <c r="A172" s="207">
        <v>46190</v>
      </c>
      <c r="JF172" s="236">
        <f t="shared" si="110"/>
        <v>0</v>
      </c>
      <c r="JG172" s="235">
        <f t="shared" si="111"/>
        <v>0</v>
      </c>
      <c r="JH172" s="235">
        <f t="shared" si="112"/>
        <v>0</v>
      </c>
      <c r="JI172" s="235">
        <f t="shared" si="113"/>
        <v>0</v>
      </c>
      <c r="JJ172" s="235">
        <f t="shared" si="114"/>
        <v>0</v>
      </c>
      <c r="JK172" s="235">
        <f t="shared" si="115"/>
        <v>0</v>
      </c>
      <c r="JL172" s="235">
        <f t="shared" si="116"/>
        <v>0</v>
      </c>
      <c r="JM172" s="235">
        <f t="shared" si="117"/>
        <v>0</v>
      </c>
      <c r="JN172" s="235">
        <f t="shared" si="118"/>
        <v>0</v>
      </c>
      <c r="JO172" s="235">
        <f t="shared" si="119"/>
        <v>0</v>
      </c>
      <c r="JP172" s="235">
        <f t="shared" si="120"/>
        <v>0</v>
      </c>
      <c r="JQ172" s="235">
        <f t="shared" si="121"/>
        <v>0</v>
      </c>
      <c r="JR172" s="235">
        <f t="shared" si="122"/>
        <v>0</v>
      </c>
      <c r="JS172" s="235">
        <f t="shared" si="123"/>
        <v>0</v>
      </c>
      <c r="JT172" s="235">
        <f t="shared" si="124"/>
        <v>0</v>
      </c>
      <c r="JU172" s="235">
        <f t="shared" si="125"/>
        <v>0</v>
      </c>
      <c r="JV172" s="235">
        <f t="shared" si="126"/>
        <v>0</v>
      </c>
      <c r="JW172" s="235">
        <f t="shared" si="127"/>
        <v>0</v>
      </c>
      <c r="JX172" s="235">
        <f t="shared" si="128"/>
        <v>0</v>
      </c>
      <c r="JY172" s="235">
        <f t="shared" si="129"/>
        <v>0</v>
      </c>
      <c r="JZ172" s="235">
        <f t="shared" si="130"/>
        <v>0</v>
      </c>
      <c r="KA172" s="237">
        <f t="shared" si="131"/>
        <v>0</v>
      </c>
      <c r="KB172" s="248">
        <v>46190</v>
      </c>
    </row>
    <row r="173" spans="1:288">
      <c r="A173" s="207">
        <v>46191</v>
      </c>
      <c r="JF173" s="236">
        <f t="shared" si="110"/>
        <v>0</v>
      </c>
      <c r="JG173" s="235">
        <f t="shared" si="111"/>
        <v>0</v>
      </c>
      <c r="JH173" s="235">
        <f t="shared" si="112"/>
        <v>0</v>
      </c>
      <c r="JI173" s="235">
        <f t="shared" si="113"/>
        <v>0</v>
      </c>
      <c r="JJ173" s="235">
        <f t="shared" si="114"/>
        <v>0</v>
      </c>
      <c r="JK173" s="235">
        <f t="shared" si="115"/>
        <v>0</v>
      </c>
      <c r="JL173" s="235">
        <f t="shared" si="116"/>
        <v>0</v>
      </c>
      <c r="JM173" s="235">
        <f t="shared" si="117"/>
        <v>0</v>
      </c>
      <c r="JN173" s="235">
        <f t="shared" si="118"/>
        <v>0</v>
      </c>
      <c r="JO173" s="235">
        <f t="shared" si="119"/>
        <v>0</v>
      </c>
      <c r="JP173" s="235">
        <f t="shared" si="120"/>
        <v>0</v>
      </c>
      <c r="JQ173" s="235">
        <f t="shared" si="121"/>
        <v>0</v>
      </c>
      <c r="JR173" s="235">
        <f t="shared" si="122"/>
        <v>0</v>
      </c>
      <c r="JS173" s="235">
        <f t="shared" si="123"/>
        <v>0</v>
      </c>
      <c r="JT173" s="235">
        <f t="shared" si="124"/>
        <v>0</v>
      </c>
      <c r="JU173" s="235">
        <f t="shared" si="125"/>
        <v>0</v>
      </c>
      <c r="JV173" s="235">
        <f t="shared" si="126"/>
        <v>0</v>
      </c>
      <c r="JW173" s="235">
        <f t="shared" si="127"/>
        <v>0</v>
      </c>
      <c r="JX173" s="235">
        <f t="shared" si="128"/>
        <v>0</v>
      </c>
      <c r="JY173" s="235">
        <f t="shared" si="129"/>
        <v>0</v>
      </c>
      <c r="JZ173" s="235">
        <f t="shared" si="130"/>
        <v>0</v>
      </c>
      <c r="KA173" s="237">
        <f t="shared" si="131"/>
        <v>0</v>
      </c>
      <c r="KB173" s="248">
        <v>46191</v>
      </c>
    </row>
    <row r="174" spans="1:288">
      <c r="A174" s="207">
        <v>46192</v>
      </c>
      <c r="JF174" s="236">
        <f t="shared" si="110"/>
        <v>0</v>
      </c>
      <c r="JG174" s="235">
        <f t="shared" si="111"/>
        <v>0</v>
      </c>
      <c r="JH174" s="235">
        <f t="shared" si="112"/>
        <v>0</v>
      </c>
      <c r="JI174" s="235">
        <f t="shared" si="113"/>
        <v>0</v>
      </c>
      <c r="JJ174" s="235">
        <f t="shared" si="114"/>
        <v>0</v>
      </c>
      <c r="JK174" s="235">
        <f t="shared" si="115"/>
        <v>0</v>
      </c>
      <c r="JL174" s="235">
        <f t="shared" si="116"/>
        <v>0</v>
      </c>
      <c r="JM174" s="235">
        <f t="shared" si="117"/>
        <v>0</v>
      </c>
      <c r="JN174" s="235">
        <f t="shared" si="118"/>
        <v>0</v>
      </c>
      <c r="JO174" s="235">
        <f t="shared" si="119"/>
        <v>0</v>
      </c>
      <c r="JP174" s="235">
        <f t="shared" si="120"/>
        <v>0</v>
      </c>
      <c r="JQ174" s="235">
        <f t="shared" si="121"/>
        <v>0</v>
      </c>
      <c r="JR174" s="235">
        <f t="shared" si="122"/>
        <v>0</v>
      </c>
      <c r="JS174" s="235">
        <f t="shared" si="123"/>
        <v>0</v>
      </c>
      <c r="JT174" s="235">
        <f t="shared" si="124"/>
        <v>0</v>
      </c>
      <c r="JU174" s="235">
        <f t="shared" si="125"/>
        <v>0</v>
      </c>
      <c r="JV174" s="235">
        <f t="shared" si="126"/>
        <v>0</v>
      </c>
      <c r="JW174" s="235">
        <f t="shared" si="127"/>
        <v>0</v>
      </c>
      <c r="JX174" s="235">
        <f t="shared" si="128"/>
        <v>0</v>
      </c>
      <c r="JY174" s="235">
        <f t="shared" si="129"/>
        <v>0</v>
      </c>
      <c r="JZ174" s="235">
        <f t="shared" si="130"/>
        <v>0</v>
      </c>
      <c r="KA174" s="237">
        <f t="shared" si="131"/>
        <v>0</v>
      </c>
      <c r="KB174" s="248">
        <v>46192</v>
      </c>
    </row>
    <row r="175" spans="1:288">
      <c r="A175" s="207">
        <v>46193</v>
      </c>
      <c r="JF175" s="236">
        <f t="shared" si="110"/>
        <v>0</v>
      </c>
      <c r="JG175" s="235">
        <f t="shared" si="111"/>
        <v>0</v>
      </c>
      <c r="JH175" s="235">
        <f t="shared" si="112"/>
        <v>0</v>
      </c>
      <c r="JI175" s="235">
        <f t="shared" si="113"/>
        <v>0</v>
      </c>
      <c r="JJ175" s="235">
        <f t="shared" si="114"/>
        <v>0</v>
      </c>
      <c r="JK175" s="235">
        <f t="shared" si="115"/>
        <v>0</v>
      </c>
      <c r="JL175" s="235">
        <f t="shared" si="116"/>
        <v>0</v>
      </c>
      <c r="JM175" s="235">
        <f t="shared" si="117"/>
        <v>0</v>
      </c>
      <c r="JN175" s="235">
        <f t="shared" si="118"/>
        <v>0</v>
      </c>
      <c r="JO175" s="235">
        <f t="shared" si="119"/>
        <v>0</v>
      </c>
      <c r="JP175" s="235">
        <f t="shared" si="120"/>
        <v>0</v>
      </c>
      <c r="JQ175" s="235">
        <f t="shared" si="121"/>
        <v>0</v>
      </c>
      <c r="JR175" s="235">
        <f t="shared" si="122"/>
        <v>0</v>
      </c>
      <c r="JS175" s="235">
        <f t="shared" si="123"/>
        <v>0</v>
      </c>
      <c r="JT175" s="235">
        <f t="shared" si="124"/>
        <v>0</v>
      </c>
      <c r="JU175" s="235">
        <f t="shared" si="125"/>
        <v>0</v>
      </c>
      <c r="JV175" s="235">
        <f t="shared" si="126"/>
        <v>0</v>
      </c>
      <c r="JW175" s="235">
        <f t="shared" si="127"/>
        <v>0</v>
      </c>
      <c r="JX175" s="235">
        <f t="shared" si="128"/>
        <v>0</v>
      </c>
      <c r="JY175" s="235">
        <f t="shared" si="129"/>
        <v>0</v>
      </c>
      <c r="JZ175" s="235">
        <f t="shared" si="130"/>
        <v>0</v>
      </c>
      <c r="KA175" s="237">
        <f t="shared" si="131"/>
        <v>0</v>
      </c>
      <c r="KB175" s="248">
        <v>46193</v>
      </c>
    </row>
    <row r="176" spans="1:288">
      <c r="A176" s="207">
        <v>46194</v>
      </c>
      <c r="JF176" s="236">
        <f t="shared" si="110"/>
        <v>0</v>
      </c>
      <c r="JG176" s="235">
        <f t="shared" si="111"/>
        <v>0</v>
      </c>
      <c r="JH176" s="235">
        <f t="shared" si="112"/>
        <v>0</v>
      </c>
      <c r="JI176" s="235">
        <f t="shared" si="113"/>
        <v>0</v>
      </c>
      <c r="JJ176" s="235">
        <f t="shared" si="114"/>
        <v>0</v>
      </c>
      <c r="JK176" s="235">
        <f t="shared" si="115"/>
        <v>0</v>
      </c>
      <c r="JL176" s="235">
        <f t="shared" si="116"/>
        <v>0</v>
      </c>
      <c r="JM176" s="235">
        <f t="shared" si="117"/>
        <v>0</v>
      </c>
      <c r="JN176" s="235">
        <f t="shared" si="118"/>
        <v>0</v>
      </c>
      <c r="JO176" s="235">
        <f t="shared" si="119"/>
        <v>0</v>
      </c>
      <c r="JP176" s="235">
        <f t="shared" si="120"/>
        <v>0</v>
      </c>
      <c r="JQ176" s="235">
        <f t="shared" si="121"/>
        <v>0</v>
      </c>
      <c r="JR176" s="235">
        <f t="shared" si="122"/>
        <v>0</v>
      </c>
      <c r="JS176" s="235">
        <f t="shared" si="123"/>
        <v>0</v>
      </c>
      <c r="JT176" s="235">
        <f t="shared" si="124"/>
        <v>0</v>
      </c>
      <c r="JU176" s="235">
        <f t="shared" si="125"/>
        <v>0</v>
      </c>
      <c r="JV176" s="235">
        <f t="shared" si="126"/>
        <v>0</v>
      </c>
      <c r="JW176" s="235">
        <f t="shared" si="127"/>
        <v>0</v>
      </c>
      <c r="JX176" s="235">
        <f t="shared" si="128"/>
        <v>0</v>
      </c>
      <c r="JY176" s="235">
        <f t="shared" si="129"/>
        <v>0</v>
      </c>
      <c r="JZ176" s="235">
        <f t="shared" si="130"/>
        <v>0</v>
      </c>
      <c r="KA176" s="237">
        <f t="shared" si="131"/>
        <v>0</v>
      </c>
      <c r="KB176" s="248">
        <v>46194</v>
      </c>
    </row>
    <row r="177" spans="1:288">
      <c r="A177" s="207">
        <v>46195</v>
      </c>
      <c r="JF177" s="236">
        <f t="shared" si="110"/>
        <v>0</v>
      </c>
      <c r="JG177" s="235">
        <f t="shared" si="111"/>
        <v>0</v>
      </c>
      <c r="JH177" s="235">
        <f t="shared" si="112"/>
        <v>0</v>
      </c>
      <c r="JI177" s="235">
        <f t="shared" si="113"/>
        <v>0</v>
      </c>
      <c r="JJ177" s="235">
        <f t="shared" si="114"/>
        <v>0</v>
      </c>
      <c r="JK177" s="235">
        <f t="shared" si="115"/>
        <v>0</v>
      </c>
      <c r="JL177" s="235">
        <f t="shared" si="116"/>
        <v>0</v>
      </c>
      <c r="JM177" s="235">
        <f t="shared" si="117"/>
        <v>0</v>
      </c>
      <c r="JN177" s="235">
        <f t="shared" si="118"/>
        <v>0</v>
      </c>
      <c r="JO177" s="235">
        <f t="shared" si="119"/>
        <v>0</v>
      </c>
      <c r="JP177" s="235">
        <f t="shared" si="120"/>
        <v>0</v>
      </c>
      <c r="JQ177" s="235">
        <f t="shared" si="121"/>
        <v>0</v>
      </c>
      <c r="JR177" s="235">
        <f t="shared" si="122"/>
        <v>0</v>
      </c>
      <c r="JS177" s="235">
        <f t="shared" si="123"/>
        <v>0</v>
      </c>
      <c r="JT177" s="235">
        <f t="shared" si="124"/>
        <v>0</v>
      </c>
      <c r="JU177" s="235">
        <f t="shared" si="125"/>
        <v>0</v>
      </c>
      <c r="JV177" s="235">
        <f t="shared" si="126"/>
        <v>0</v>
      </c>
      <c r="JW177" s="235">
        <f t="shared" si="127"/>
        <v>0</v>
      </c>
      <c r="JX177" s="235">
        <f t="shared" si="128"/>
        <v>0</v>
      </c>
      <c r="JY177" s="235">
        <f t="shared" si="129"/>
        <v>0</v>
      </c>
      <c r="JZ177" s="235">
        <f t="shared" si="130"/>
        <v>0</v>
      </c>
      <c r="KA177" s="237">
        <f t="shared" si="131"/>
        <v>0</v>
      </c>
      <c r="KB177" s="248">
        <v>46195</v>
      </c>
    </row>
    <row r="178" spans="1:288">
      <c r="A178" s="207">
        <v>46196</v>
      </c>
      <c r="JF178" s="236">
        <f t="shared" si="110"/>
        <v>0</v>
      </c>
      <c r="JG178" s="235">
        <f t="shared" si="111"/>
        <v>0</v>
      </c>
      <c r="JH178" s="235">
        <f t="shared" si="112"/>
        <v>0</v>
      </c>
      <c r="JI178" s="235">
        <f t="shared" si="113"/>
        <v>0</v>
      </c>
      <c r="JJ178" s="235">
        <f t="shared" si="114"/>
        <v>0</v>
      </c>
      <c r="JK178" s="235">
        <f t="shared" si="115"/>
        <v>0</v>
      </c>
      <c r="JL178" s="235">
        <f t="shared" si="116"/>
        <v>0</v>
      </c>
      <c r="JM178" s="235">
        <f t="shared" si="117"/>
        <v>0</v>
      </c>
      <c r="JN178" s="235">
        <f t="shared" si="118"/>
        <v>0</v>
      </c>
      <c r="JO178" s="235">
        <f t="shared" si="119"/>
        <v>0</v>
      </c>
      <c r="JP178" s="235">
        <f t="shared" si="120"/>
        <v>0</v>
      </c>
      <c r="JQ178" s="235">
        <f t="shared" si="121"/>
        <v>0</v>
      </c>
      <c r="JR178" s="235">
        <f t="shared" si="122"/>
        <v>0</v>
      </c>
      <c r="JS178" s="235">
        <f t="shared" si="123"/>
        <v>0</v>
      </c>
      <c r="JT178" s="235">
        <f t="shared" si="124"/>
        <v>0</v>
      </c>
      <c r="JU178" s="235">
        <f t="shared" si="125"/>
        <v>0</v>
      </c>
      <c r="JV178" s="235">
        <f t="shared" si="126"/>
        <v>0</v>
      </c>
      <c r="JW178" s="235">
        <f t="shared" si="127"/>
        <v>0</v>
      </c>
      <c r="JX178" s="235">
        <f t="shared" si="128"/>
        <v>0</v>
      </c>
      <c r="JY178" s="235">
        <f t="shared" si="129"/>
        <v>0</v>
      </c>
      <c r="JZ178" s="235">
        <f t="shared" si="130"/>
        <v>0</v>
      </c>
      <c r="KA178" s="237">
        <f t="shared" si="131"/>
        <v>0</v>
      </c>
      <c r="KB178" s="248">
        <v>46196</v>
      </c>
    </row>
    <row r="179" spans="1:288">
      <c r="A179" s="207">
        <v>46197</v>
      </c>
      <c r="JF179" s="236">
        <f t="shared" si="110"/>
        <v>0</v>
      </c>
      <c r="JG179" s="235">
        <f t="shared" si="111"/>
        <v>0</v>
      </c>
      <c r="JH179" s="235">
        <f t="shared" si="112"/>
        <v>0</v>
      </c>
      <c r="JI179" s="235">
        <f t="shared" si="113"/>
        <v>0</v>
      </c>
      <c r="JJ179" s="235">
        <f t="shared" si="114"/>
        <v>0</v>
      </c>
      <c r="JK179" s="235">
        <f t="shared" si="115"/>
        <v>0</v>
      </c>
      <c r="JL179" s="235">
        <f t="shared" si="116"/>
        <v>0</v>
      </c>
      <c r="JM179" s="235">
        <f t="shared" si="117"/>
        <v>0</v>
      </c>
      <c r="JN179" s="235">
        <f t="shared" si="118"/>
        <v>0</v>
      </c>
      <c r="JO179" s="235">
        <f t="shared" si="119"/>
        <v>0</v>
      </c>
      <c r="JP179" s="235">
        <f t="shared" si="120"/>
        <v>0</v>
      </c>
      <c r="JQ179" s="235">
        <f t="shared" si="121"/>
        <v>0</v>
      </c>
      <c r="JR179" s="235">
        <f t="shared" si="122"/>
        <v>0</v>
      </c>
      <c r="JS179" s="235">
        <f t="shared" si="123"/>
        <v>0</v>
      </c>
      <c r="JT179" s="235">
        <f t="shared" si="124"/>
        <v>0</v>
      </c>
      <c r="JU179" s="235">
        <f t="shared" si="125"/>
        <v>0</v>
      </c>
      <c r="JV179" s="235">
        <f t="shared" si="126"/>
        <v>0</v>
      </c>
      <c r="JW179" s="235">
        <f t="shared" si="127"/>
        <v>0</v>
      </c>
      <c r="JX179" s="235">
        <f t="shared" si="128"/>
        <v>0</v>
      </c>
      <c r="JY179" s="235">
        <f t="shared" si="129"/>
        <v>0</v>
      </c>
      <c r="JZ179" s="235">
        <f t="shared" si="130"/>
        <v>0</v>
      </c>
      <c r="KA179" s="237">
        <f t="shared" si="131"/>
        <v>0</v>
      </c>
      <c r="KB179" s="248">
        <v>46197</v>
      </c>
    </row>
    <row r="180" spans="1:288">
      <c r="A180" s="207">
        <v>46198</v>
      </c>
      <c r="JF180" s="236">
        <f t="shared" si="110"/>
        <v>0</v>
      </c>
      <c r="JG180" s="235">
        <f t="shared" si="111"/>
        <v>0</v>
      </c>
      <c r="JH180" s="235">
        <f t="shared" si="112"/>
        <v>0</v>
      </c>
      <c r="JI180" s="235">
        <f t="shared" si="113"/>
        <v>0</v>
      </c>
      <c r="JJ180" s="235">
        <f t="shared" si="114"/>
        <v>0</v>
      </c>
      <c r="JK180" s="235">
        <f t="shared" si="115"/>
        <v>0</v>
      </c>
      <c r="JL180" s="235">
        <f t="shared" si="116"/>
        <v>0</v>
      </c>
      <c r="JM180" s="235">
        <f t="shared" si="117"/>
        <v>0</v>
      </c>
      <c r="JN180" s="235">
        <f t="shared" si="118"/>
        <v>0</v>
      </c>
      <c r="JO180" s="235">
        <f t="shared" si="119"/>
        <v>0</v>
      </c>
      <c r="JP180" s="235">
        <f t="shared" si="120"/>
        <v>0</v>
      </c>
      <c r="JQ180" s="235">
        <f t="shared" si="121"/>
        <v>0</v>
      </c>
      <c r="JR180" s="235">
        <f t="shared" si="122"/>
        <v>0</v>
      </c>
      <c r="JS180" s="235">
        <f t="shared" si="123"/>
        <v>0</v>
      </c>
      <c r="JT180" s="235">
        <f t="shared" si="124"/>
        <v>0</v>
      </c>
      <c r="JU180" s="235">
        <f t="shared" si="125"/>
        <v>0</v>
      </c>
      <c r="JV180" s="235">
        <f t="shared" si="126"/>
        <v>0</v>
      </c>
      <c r="JW180" s="235">
        <f t="shared" si="127"/>
        <v>0</v>
      </c>
      <c r="JX180" s="235">
        <f t="shared" si="128"/>
        <v>0</v>
      </c>
      <c r="JY180" s="235">
        <f t="shared" si="129"/>
        <v>0</v>
      </c>
      <c r="JZ180" s="235">
        <f t="shared" si="130"/>
        <v>0</v>
      </c>
      <c r="KA180" s="237">
        <f t="shared" si="131"/>
        <v>0</v>
      </c>
      <c r="KB180" s="248">
        <v>46198</v>
      </c>
    </row>
    <row r="181" spans="1:288">
      <c r="A181" s="207">
        <v>46199</v>
      </c>
      <c r="JF181" s="236">
        <f t="shared" si="110"/>
        <v>0</v>
      </c>
      <c r="JG181" s="235">
        <f t="shared" si="111"/>
        <v>0</v>
      </c>
      <c r="JH181" s="235">
        <f t="shared" si="112"/>
        <v>0</v>
      </c>
      <c r="JI181" s="235">
        <f t="shared" si="113"/>
        <v>0</v>
      </c>
      <c r="JJ181" s="235">
        <f t="shared" si="114"/>
        <v>0</v>
      </c>
      <c r="JK181" s="235">
        <f t="shared" si="115"/>
        <v>0</v>
      </c>
      <c r="JL181" s="235">
        <f t="shared" si="116"/>
        <v>0</v>
      </c>
      <c r="JM181" s="235">
        <f t="shared" si="117"/>
        <v>0</v>
      </c>
      <c r="JN181" s="235">
        <f t="shared" si="118"/>
        <v>0</v>
      </c>
      <c r="JO181" s="235">
        <f t="shared" si="119"/>
        <v>0</v>
      </c>
      <c r="JP181" s="235">
        <f t="shared" si="120"/>
        <v>0</v>
      </c>
      <c r="JQ181" s="235">
        <f t="shared" si="121"/>
        <v>0</v>
      </c>
      <c r="JR181" s="235">
        <f t="shared" si="122"/>
        <v>0</v>
      </c>
      <c r="JS181" s="235">
        <f t="shared" si="123"/>
        <v>0</v>
      </c>
      <c r="JT181" s="235">
        <f t="shared" si="124"/>
        <v>0</v>
      </c>
      <c r="JU181" s="235">
        <f t="shared" si="125"/>
        <v>0</v>
      </c>
      <c r="JV181" s="235">
        <f t="shared" si="126"/>
        <v>0</v>
      </c>
      <c r="JW181" s="235">
        <f t="shared" si="127"/>
        <v>0</v>
      </c>
      <c r="JX181" s="235">
        <f t="shared" si="128"/>
        <v>0</v>
      </c>
      <c r="JY181" s="235">
        <f t="shared" si="129"/>
        <v>0</v>
      </c>
      <c r="JZ181" s="235">
        <f t="shared" si="130"/>
        <v>0</v>
      </c>
      <c r="KA181" s="237">
        <f t="shared" si="131"/>
        <v>0</v>
      </c>
      <c r="KB181" s="248">
        <v>46199</v>
      </c>
    </row>
    <row r="182" spans="1:288">
      <c r="A182" s="207">
        <v>46200</v>
      </c>
      <c r="JF182" s="236">
        <f t="shared" si="110"/>
        <v>0</v>
      </c>
      <c r="JG182" s="235">
        <f t="shared" si="111"/>
        <v>0</v>
      </c>
      <c r="JH182" s="235">
        <f t="shared" si="112"/>
        <v>0</v>
      </c>
      <c r="JI182" s="235">
        <f t="shared" si="113"/>
        <v>0</v>
      </c>
      <c r="JJ182" s="235">
        <f t="shared" si="114"/>
        <v>0</v>
      </c>
      <c r="JK182" s="235">
        <f t="shared" si="115"/>
        <v>0</v>
      </c>
      <c r="JL182" s="235">
        <f t="shared" si="116"/>
        <v>0</v>
      </c>
      <c r="JM182" s="235">
        <f t="shared" si="117"/>
        <v>0</v>
      </c>
      <c r="JN182" s="235">
        <f t="shared" si="118"/>
        <v>0</v>
      </c>
      <c r="JO182" s="235">
        <f t="shared" si="119"/>
        <v>0</v>
      </c>
      <c r="JP182" s="235">
        <f t="shared" si="120"/>
        <v>0</v>
      </c>
      <c r="JQ182" s="235">
        <f t="shared" si="121"/>
        <v>0</v>
      </c>
      <c r="JR182" s="235">
        <f t="shared" si="122"/>
        <v>0</v>
      </c>
      <c r="JS182" s="235">
        <f t="shared" si="123"/>
        <v>0</v>
      </c>
      <c r="JT182" s="235">
        <f t="shared" si="124"/>
        <v>0</v>
      </c>
      <c r="JU182" s="235">
        <f t="shared" si="125"/>
        <v>0</v>
      </c>
      <c r="JV182" s="235">
        <f t="shared" si="126"/>
        <v>0</v>
      </c>
      <c r="JW182" s="235">
        <f t="shared" si="127"/>
        <v>0</v>
      </c>
      <c r="JX182" s="235">
        <f t="shared" si="128"/>
        <v>0</v>
      </c>
      <c r="JY182" s="235">
        <f t="shared" si="129"/>
        <v>0</v>
      </c>
      <c r="JZ182" s="235">
        <f t="shared" si="130"/>
        <v>0</v>
      </c>
      <c r="KA182" s="237">
        <f t="shared" si="131"/>
        <v>0</v>
      </c>
      <c r="KB182" s="248">
        <v>46200</v>
      </c>
    </row>
    <row r="183" spans="1:288">
      <c r="A183" s="207">
        <v>46201</v>
      </c>
      <c r="JF183" s="236">
        <f t="shared" si="110"/>
        <v>0</v>
      </c>
      <c r="JG183" s="235">
        <f t="shared" si="111"/>
        <v>0</v>
      </c>
      <c r="JH183" s="235">
        <f t="shared" si="112"/>
        <v>0</v>
      </c>
      <c r="JI183" s="235">
        <f t="shared" si="113"/>
        <v>0</v>
      </c>
      <c r="JJ183" s="235">
        <f t="shared" si="114"/>
        <v>0</v>
      </c>
      <c r="JK183" s="235">
        <f t="shared" si="115"/>
        <v>0</v>
      </c>
      <c r="JL183" s="235">
        <f t="shared" si="116"/>
        <v>0</v>
      </c>
      <c r="JM183" s="235">
        <f t="shared" si="117"/>
        <v>0</v>
      </c>
      <c r="JN183" s="235">
        <f t="shared" si="118"/>
        <v>0</v>
      </c>
      <c r="JO183" s="235">
        <f t="shared" si="119"/>
        <v>0</v>
      </c>
      <c r="JP183" s="235">
        <f t="shared" si="120"/>
        <v>0</v>
      </c>
      <c r="JQ183" s="235">
        <f t="shared" si="121"/>
        <v>0</v>
      </c>
      <c r="JR183" s="235">
        <f t="shared" si="122"/>
        <v>0</v>
      </c>
      <c r="JS183" s="235">
        <f t="shared" si="123"/>
        <v>0</v>
      </c>
      <c r="JT183" s="235">
        <f t="shared" si="124"/>
        <v>0</v>
      </c>
      <c r="JU183" s="235">
        <f t="shared" si="125"/>
        <v>0</v>
      </c>
      <c r="JV183" s="235">
        <f t="shared" si="126"/>
        <v>0</v>
      </c>
      <c r="JW183" s="235">
        <f t="shared" si="127"/>
        <v>0</v>
      </c>
      <c r="JX183" s="235">
        <f t="shared" si="128"/>
        <v>0</v>
      </c>
      <c r="JY183" s="235">
        <f t="shared" si="129"/>
        <v>0</v>
      </c>
      <c r="JZ183" s="235">
        <f t="shared" si="130"/>
        <v>0</v>
      </c>
      <c r="KA183" s="237">
        <f t="shared" si="131"/>
        <v>0</v>
      </c>
      <c r="KB183" s="248">
        <v>46201</v>
      </c>
    </row>
    <row r="184" spans="1:288">
      <c r="A184" s="207">
        <v>46202</v>
      </c>
      <c r="JF184" s="236">
        <f t="shared" si="110"/>
        <v>0</v>
      </c>
      <c r="JG184" s="235">
        <f t="shared" si="111"/>
        <v>0</v>
      </c>
      <c r="JH184" s="235">
        <f t="shared" si="112"/>
        <v>0</v>
      </c>
      <c r="JI184" s="235">
        <f t="shared" si="113"/>
        <v>0</v>
      </c>
      <c r="JJ184" s="235">
        <f t="shared" si="114"/>
        <v>0</v>
      </c>
      <c r="JK184" s="235">
        <f t="shared" si="115"/>
        <v>0</v>
      </c>
      <c r="JL184" s="235">
        <f t="shared" si="116"/>
        <v>0</v>
      </c>
      <c r="JM184" s="235">
        <f t="shared" si="117"/>
        <v>0</v>
      </c>
      <c r="JN184" s="235">
        <f t="shared" si="118"/>
        <v>0</v>
      </c>
      <c r="JO184" s="235">
        <f t="shared" si="119"/>
        <v>0</v>
      </c>
      <c r="JP184" s="235">
        <f t="shared" si="120"/>
        <v>0</v>
      </c>
      <c r="JQ184" s="235">
        <f t="shared" si="121"/>
        <v>0</v>
      </c>
      <c r="JR184" s="235">
        <f t="shared" si="122"/>
        <v>0</v>
      </c>
      <c r="JS184" s="235">
        <f t="shared" si="123"/>
        <v>0</v>
      </c>
      <c r="JT184" s="235">
        <f t="shared" si="124"/>
        <v>0</v>
      </c>
      <c r="JU184" s="235">
        <f t="shared" si="125"/>
        <v>0</v>
      </c>
      <c r="JV184" s="235">
        <f t="shared" si="126"/>
        <v>0</v>
      </c>
      <c r="JW184" s="235">
        <f t="shared" si="127"/>
        <v>0</v>
      </c>
      <c r="JX184" s="235">
        <f t="shared" si="128"/>
        <v>0</v>
      </c>
      <c r="JY184" s="235">
        <f t="shared" si="129"/>
        <v>0</v>
      </c>
      <c r="JZ184" s="235">
        <f t="shared" si="130"/>
        <v>0</v>
      </c>
      <c r="KA184" s="237">
        <f t="shared" si="131"/>
        <v>0</v>
      </c>
      <c r="KB184" s="248">
        <v>46202</v>
      </c>
    </row>
    <row r="185" spans="1:288">
      <c r="A185" s="207">
        <v>46203</v>
      </c>
      <c r="JF185" s="236">
        <f t="shared" si="110"/>
        <v>0</v>
      </c>
      <c r="JG185" s="235">
        <f t="shared" si="111"/>
        <v>0</v>
      </c>
      <c r="JH185" s="235">
        <f t="shared" si="112"/>
        <v>0</v>
      </c>
      <c r="JI185" s="235">
        <f t="shared" si="113"/>
        <v>0</v>
      </c>
      <c r="JJ185" s="235">
        <f t="shared" si="114"/>
        <v>0</v>
      </c>
      <c r="JK185" s="235">
        <f t="shared" si="115"/>
        <v>0</v>
      </c>
      <c r="JL185" s="235">
        <f t="shared" si="116"/>
        <v>0</v>
      </c>
      <c r="JM185" s="235">
        <f t="shared" si="117"/>
        <v>0</v>
      </c>
      <c r="JN185" s="235">
        <f t="shared" si="118"/>
        <v>0</v>
      </c>
      <c r="JO185" s="235">
        <f t="shared" si="119"/>
        <v>0</v>
      </c>
      <c r="JP185" s="235">
        <f t="shared" si="120"/>
        <v>0</v>
      </c>
      <c r="JQ185" s="235">
        <f t="shared" si="121"/>
        <v>0</v>
      </c>
      <c r="JR185" s="235">
        <f t="shared" si="122"/>
        <v>0</v>
      </c>
      <c r="JS185" s="235">
        <f t="shared" si="123"/>
        <v>0</v>
      </c>
      <c r="JT185" s="235">
        <f t="shared" si="124"/>
        <v>0</v>
      </c>
      <c r="JU185" s="235">
        <f t="shared" si="125"/>
        <v>0</v>
      </c>
      <c r="JV185" s="235">
        <f t="shared" si="126"/>
        <v>0</v>
      </c>
      <c r="JW185" s="235">
        <f t="shared" si="127"/>
        <v>0</v>
      </c>
      <c r="JX185" s="235">
        <f t="shared" si="128"/>
        <v>0</v>
      </c>
      <c r="JY185" s="235">
        <f t="shared" si="129"/>
        <v>0</v>
      </c>
      <c r="JZ185" s="235">
        <f t="shared" si="130"/>
        <v>0</v>
      </c>
      <c r="KA185" s="237">
        <f t="shared" si="131"/>
        <v>0</v>
      </c>
      <c r="KB185" s="248">
        <v>46203</v>
      </c>
    </row>
    <row r="186" spans="1:288">
      <c r="A186" s="207">
        <v>46204</v>
      </c>
      <c r="JF186" s="236">
        <f t="shared" si="110"/>
        <v>0</v>
      </c>
      <c r="JG186" s="235">
        <f t="shared" si="111"/>
        <v>0</v>
      </c>
      <c r="JH186" s="235">
        <f t="shared" si="112"/>
        <v>0</v>
      </c>
      <c r="JI186" s="235">
        <f t="shared" si="113"/>
        <v>0</v>
      </c>
      <c r="JJ186" s="235">
        <f t="shared" si="114"/>
        <v>0</v>
      </c>
      <c r="JK186" s="235">
        <f t="shared" si="115"/>
        <v>0</v>
      </c>
      <c r="JL186" s="235">
        <f t="shared" si="116"/>
        <v>0</v>
      </c>
      <c r="JM186" s="235">
        <f t="shared" si="117"/>
        <v>0</v>
      </c>
      <c r="JN186" s="235">
        <f t="shared" si="118"/>
        <v>0</v>
      </c>
      <c r="JO186" s="235">
        <f t="shared" si="119"/>
        <v>0</v>
      </c>
      <c r="JP186" s="235">
        <f t="shared" si="120"/>
        <v>0</v>
      </c>
      <c r="JQ186" s="235">
        <f t="shared" si="121"/>
        <v>0</v>
      </c>
      <c r="JR186" s="235">
        <f t="shared" si="122"/>
        <v>0</v>
      </c>
      <c r="JS186" s="235">
        <f t="shared" si="123"/>
        <v>0</v>
      </c>
      <c r="JT186" s="235">
        <f t="shared" si="124"/>
        <v>0</v>
      </c>
      <c r="JU186" s="235">
        <f t="shared" si="125"/>
        <v>0</v>
      </c>
      <c r="JV186" s="235">
        <f t="shared" si="126"/>
        <v>0</v>
      </c>
      <c r="JW186" s="235">
        <f t="shared" si="127"/>
        <v>0</v>
      </c>
      <c r="JX186" s="235">
        <f t="shared" si="128"/>
        <v>0</v>
      </c>
      <c r="JY186" s="235">
        <f t="shared" si="129"/>
        <v>0</v>
      </c>
      <c r="JZ186" s="235">
        <f t="shared" si="130"/>
        <v>0</v>
      </c>
      <c r="KA186" s="237">
        <f t="shared" si="131"/>
        <v>0</v>
      </c>
      <c r="KB186" s="248">
        <v>46204</v>
      </c>
    </row>
    <row r="187" spans="1:288">
      <c r="A187" s="207">
        <v>46205</v>
      </c>
      <c r="JF187" s="236">
        <f t="shared" si="110"/>
        <v>0</v>
      </c>
      <c r="JG187" s="235">
        <f t="shared" si="111"/>
        <v>0</v>
      </c>
      <c r="JH187" s="235">
        <f t="shared" si="112"/>
        <v>0</v>
      </c>
      <c r="JI187" s="235">
        <f t="shared" si="113"/>
        <v>0</v>
      </c>
      <c r="JJ187" s="235">
        <f t="shared" si="114"/>
        <v>0</v>
      </c>
      <c r="JK187" s="235">
        <f t="shared" si="115"/>
        <v>0</v>
      </c>
      <c r="JL187" s="235">
        <f t="shared" si="116"/>
        <v>0</v>
      </c>
      <c r="JM187" s="235">
        <f t="shared" si="117"/>
        <v>0</v>
      </c>
      <c r="JN187" s="235">
        <f t="shared" si="118"/>
        <v>0</v>
      </c>
      <c r="JO187" s="235">
        <f t="shared" si="119"/>
        <v>0</v>
      </c>
      <c r="JP187" s="235">
        <f t="shared" si="120"/>
        <v>0</v>
      </c>
      <c r="JQ187" s="235">
        <f t="shared" si="121"/>
        <v>0</v>
      </c>
      <c r="JR187" s="235">
        <f t="shared" si="122"/>
        <v>0</v>
      </c>
      <c r="JS187" s="235">
        <f t="shared" si="123"/>
        <v>0</v>
      </c>
      <c r="JT187" s="235">
        <f t="shared" si="124"/>
        <v>0</v>
      </c>
      <c r="JU187" s="235">
        <f t="shared" si="125"/>
        <v>0</v>
      </c>
      <c r="JV187" s="235">
        <f t="shared" si="126"/>
        <v>0</v>
      </c>
      <c r="JW187" s="235">
        <f t="shared" si="127"/>
        <v>0</v>
      </c>
      <c r="JX187" s="235">
        <f t="shared" si="128"/>
        <v>0</v>
      </c>
      <c r="JY187" s="235">
        <f t="shared" si="129"/>
        <v>0</v>
      </c>
      <c r="JZ187" s="235">
        <f t="shared" si="130"/>
        <v>0</v>
      </c>
      <c r="KA187" s="237">
        <f t="shared" si="131"/>
        <v>0</v>
      </c>
      <c r="KB187" s="248">
        <v>46205</v>
      </c>
    </row>
    <row r="188" spans="1:288">
      <c r="A188" s="207">
        <v>46206</v>
      </c>
      <c r="JF188" s="236">
        <f t="shared" si="110"/>
        <v>0</v>
      </c>
      <c r="JG188" s="235">
        <f t="shared" si="111"/>
        <v>0</v>
      </c>
      <c r="JH188" s="235">
        <f t="shared" si="112"/>
        <v>0</v>
      </c>
      <c r="JI188" s="235">
        <f t="shared" si="113"/>
        <v>0</v>
      </c>
      <c r="JJ188" s="235">
        <f t="shared" si="114"/>
        <v>0</v>
      </c>
      <c r="JK188" s="235">
        <f t="shared" si="115"/>
        <v>0</v>
      </c>
      <c r="JL188" s="235">
        <f t="shared" si="116"/>
        <v>0</v>
      </c>
      <c r="JM188" s="235">
        <f t="shared" si="117"/>
        <v>0</v>
      </c>
      <c r="JN188" s="235">
        <f t="shared" si="118"/>
        <v>0</v>
      </c>
      <c r="JO188" s="235">
        <f t="shared" si="119"/>
        <v>0</v>
      </c>
      <c r="JP188" s="235">
        <f t="shared" si="120"/>
        <v>0</v>
      </c>
      <c r="JQ188" s="235">
        <f t="shared" si="121"/>
        <v>0</v>
      </c>
      <c r="JR188" s="235">
        <f t="shared" si="122"/>
        <v>0</v>
      </c>
      <c r="JS188" s="235">
        <f t="shared" si="123"/>
        <v>0</v>
      </c>
      <c r="JT188" s="235">
        <f t="shared" si="124"/>
        <v>0</v>
      </c>
      <c r="JU188" s="235">
        <f t="shared" si="125"/>
        <v>0</v>
      </c>
      <c r="JV188" s="235">
        <f t="shared" si="126"/>
        <v>0</v>
      </c>
      <c r="JW188" s="235">
        <f t="shared" si="127"/>
        <v>0</v>
      </c>
      <c r="JX188" s="235">
        <f t="shared" si="128"/>
        <v>0</v>
      </c>
      <c r="JY188" s="235">
        <f t="shared" si="129"/>
        <v>0</v>
      </c>
      <c r="JZ188" s="235">
        <f t="shared" si="130"/>
        <v>0</v>
      </c>
      <c r="KA188" s="237">
        <f t="shared" si="131"/>
        <v>0</v>
      </c>
      <c r="KB188" s="248">
        <v>46206</v>
      </c>
    </row>
    <row r="189" spans="1:288">
      <c r="A189" s="207">
        <v>46207</v>
      </c>
      <c r="JF189" s="236">
        <f t="shared" si="110"/>
        <v>0</v>
      </c>
      <c r="JG189" s="235">
        <f t="shared" si="111"/>
        <v>0</v>
      </c>
      <c r="JH189" s="235">
        <f t="shared" si="112"/>
        <v>0</v>
      </c>
      <c r="JI189" s="235">
        <f t="shared" si="113"/>
        <v>0</v>
      </c>
      <c r="JJ189" s="235">
        <f t="shared" si="114"/>
        <v>0</v>
      </c>
      <c r="JK189" s="235">
        <f t="shared" si="115"/>
        <v>0</v>
      </c>
      <c r="JL189" s="235">
        <f t="shared" si="116"/>
        <v>0</v>
      </c>
      <c r="JM189" s="235">
        <f t="shared" si="117"/>
        <v>0</v>
      </c>
      <c r="JN189" s="235">
        <f t="shared" si="118"/>
        <v>0</v>
      </c>
      <c r="JO189" s="235">
        <f t="shared" si="119"/>
        <v>0</v>
      </c>
      <c r="JP189" s="235">
        <f t="shared" si="120"/>
        <v>0</v>
      </c>
      <c r="JQ189" s="235">
        <f t="shared" si="121"/>
        <v>0</v>
      </c>
      <c r="JR189" s="235">
        <f t="shared" si="122"/>
        <v>0</v>
      </c>
      <c r="JS189" s="235">
        <f t="shared" si="123"/>
        <v>0</v>
      </c>
      <c r="JT189" s="235">
        <f t="shared" si="124"/>
        <v>0</v>
      </c>
      <c r="JU189" s="235">
        <f t="shared" si="125"/>
        <v>0</v>
      </c>
      <c r="JV189" s="235">
        <f t="shared" si="126"/>
        <v>0</v>
      </c>
      <c r="JW189" s="235">
        <f t="shared" si="127"/>
        <v>0</v>
      </c>
      <c r="JX189" s="235">
        <f t="shared" si="128"/>
        <v>0</v>
      </c>
      <c r="JY189" s="235">
        <f t="shared" si="129"/>
        <v>0</v>
      </c>
      <c r="JZ189" s="235">
        <f t="shared" si="130"/>
        <v>0</v>
      </c>
      <c r="KA189" s="237">
        <f t="shared" si="131"/>
        <v>0</v>
      </c>
      <c r="KB189" s="248">
        <v>46207</v>
      </c>
    </row>
    <row r="190" spans="1:288">
      <c r="A190" s="207">
        <v>46208</v>
      </c>
      <c r="JF190" s="236">
        <f t="shared" si="110"/>
        <v>0</v>
      </c>
      <c r="JG190" s="235">
        <f t="shared" si="111"/>
        <v>0</v>
      </c>
      <c r="JH190" s="235">
        <f t="shared" si="112"/>
        <v>0</v>
      </c>
      <c r="JI190" s="235">
        <f t="shared" si="113"/>
        <v>0</v>
      </c>
      <c r="JJ190" s="235">
        <f t="shared" si="114"/>
        <v>0</v>
      </c>
      <c r="JK190" s="235">
        <f t="shared" si="115"/>
        <v>0</v>
      </c>
      <c r="JL190" s="235">
        <f t="shared" si="116"/>
        <v>0</v>
      </c>
      <c r="JM190" s="235">
        <f t="shared" si="117"/>
        <v>0</v>
      </c>
      <c r="JN190" s="235">
        <f t="shared" si="118"/>
        <v>0</v>
      </c>
      <c r="JO190" s="235">
        <f t="shared" si="119"/>
        <v>0</v>
      </c>
      <c r="JP190" s="235">
        <f t="shared" si="120"/>
        <v>0</v>
      </c>
      <c r="JQ190" s="235">
        <f t="shared" si="121"/>
        <v>0</v>
      </c>
      <c r="JR190" s="235">
        <f t="shared" si="122"/>
        <v>0</v>
      </c>
      <c r="JS190" s="235">
        <f t="shared" si="123"/>
        <v>0</v>
      </c>
      <c r="JT190" s="235">
        <f t="shared" si="124"/>
        <v>0</v>
      </c>
      <c r="JU190" s="235">
        <f t="shared" si="125"/>
        <v>0</v>
      </c>
      <c r="JV190" s="235">
        <f t="shared" si="126"/>
        <v>0</v>
      </c>
      <c r="JW190" s="235">
        <f t="shared" si="127"/>
        <v>0</v>
      </c>
      <c r="JX190" s="235">
        <f t="shared" si="128"/>
        <v>0</v>
      </c>
      <c r="JY190" s="235">
        <f t="shared" si="129"/>
        <v>0</v>
      </c>
      <c r="JZ190" s="235">
        <f t="shared" si="130"/>
        <v>0</v>
      </c>
      <c r="KA190" s="237">
        <f t="shared" si="131"/>
        <v>0</v>
      </c>
      <c r="KB190" s="248">
        <v>46208</v>
      </c>
    </row>
    <row r="191" spans="1:288">
      <c r="A191" s="207">
        <v>46209</v>
      </c>
      <c r="JF191" s="236">
        <f t="shared" si="110"/>
        <v>0</v>
      </c>
      <c r="JG191" s="235">
        <f t="shared" si="111"/>
        <v>0</v>
      </c>
      <c r="JH191" s="235">
        <f t="shared" si="112"/>
        <v>0</v>
      </c>
      <c r="JI191" s="235">
        <f t="shared" si="113"/>
        <v>0</v>
      </c>
      <c r="JJ191" s="235">
        <f t="shared" si="114"/>
        <v>0</v>
      </c>
      <c r="JK191" s="235">
        <f t="shared" si="115"/>
        <v>0</v>
      </c>
      <c r="JL191" s="235">
        <f t="shared" si="116"/>
        <v>0</v>
      </c>
      <c r="JM191" s="235">
        <f t="shared" si="117"/>
        <v>0</v>
      </c>
      <c r="JN191" s="235">
        <f t="shared" si="118"/>
        <v>0</v>
      </c>
      <c r="JO191" s="235">
        <f t="shared" si="119"/>
        <v>0</v>
      </c>
      <c r="JP191" s="235">
        <f t="shared" si="120"/>
        <v>0</v>
      </c>
      <c r="JQ191" s="235">
        <f t="shared" si="121"/>
        <v>0</v>
      </c>
      <c r="JR191" s="235">
        <f t="shared" si="122"/>
        <v>0</v>
      </c>
      <c r="JS191" s="235">
        <f t="shared" si="123"/>
        <v>0</v>
      </c>
      <c r="JT191" s="235">
        <f t="shared" si="124"/>
        <v>0</v>
      </c>
      <c r="JU191" s="235">
        <f t="shared" si="125"/>
        <v>0</v>
      </c>
      <c r="JV191" s="235">
        <f t="shared" si="126"/>
        <v>0</v>
      </c>
      <c r="JW191" s="235">
        <f t="shared" si="127"/>
        <v>0</v>
      </c>
      <c r="JX191" s="235">
        <f t="shared" si="128"/>
        <v>0</v>
      </c>
      <c r="JY191" s="235">
        <f t="shared" si="129"/>
        <v>0</v>
      </c>
      <c r="JZ191" s="235">
        <f t="shared" si="130"/>
        <v>0</v>
      </c>
      <c r="KA191" s="237">
        <f t="shared" si="131"/>
        <v>0</v>
      </c>
      <c r="KB191" s="248">
        <v>46209</v>
      </c>
    </row>
    <row r="192" spans="1:288">
      <c r="A192" s="207">
        <v>46210</v>
      </c>
      <c r="JF192" s="236">
        <f t="shared" si="110"/>
        <v>0</v>
      </c>
      <c r="JG192" s="235">
        <f t="shared" si="111"/>
        <v>0</v>
      </c>
      <c r="JH192" s="235">
        <f t="shared" si="112"/>
        <v>0</v>
      </c>
      <c r="JI192" s="235">
        <f t="shared" si="113"/>
        <v>0</v>
      </c>
      <c r="JJ192" s="235">
        <f t="shared" si="114"/>
        <v>0</v>
      </c>
      <c r="JK192" s="235">
        <f t="shared" si="115"/>
        <v>0</v>
      </c>
      <c r="JL192" s="235">
        <f t="shared" si="116"/>
        <v>0</v>
      </c>
      <c r="JM192" s="235">
        <f t="shared" si="117"/>
        <v>0</v>
      </c>
      <c r="JN192" s="235">
        <f t="shared" si="118"/>
        <v>0</v>
      </c>
      <c r="JO192" s="235">
        <f t="shared" si="119"/>
        <v>0</v>
      </c>
      <c r="JP192" s="235">
        <f t="shared" si="120"/>
        <v>0</v>
      </c>
      <c r="JQ192" s="235">
        <f t="shared" si="121"/>
        <v>0</v>
      </c>
      <c r="JR192" s="235">
        <f t="shared" si="122"/>
        <v>0</v>
      </c>
      <c r="JS192" s="235">
        <f t="shared" si="123"/>
        <v>0</v>
      </c>
      <c r="JT192" s="235">
        <f t="shared" si="124"/>
        <v>0</v>
      </c>
      <c r="JU192" s="235">
        <f t="shared" si="125"/>
        <v>0</v>
      </c>
      <c r="JV192" s="235">
        <f t="shared" si="126"/>
        <v>0</v>
      </c>
      <c r="JW192" s="235">
        <f t="shared" si="127"/>
        <v>0</v>
      </c>
      <c r="JX192" s="235">
        <f t="shared" si="128"/>
        <v>0</v>
      </c>
      <c r="JY192" s="235">
        <f t="shared" si="129"/>
        <v>0</v>
      </c>
      <c r="JZ192" s="235">
        <f t="shared" si="130"/>
        <v>0</v>
      </c>
      <c r="KA192" s="237">
        <f t="shared" si="131"/>
        <v>0</v>
      </c>
      <c r="KB192" s="248">
        <v>46210</v>
      </c>
    </row>
    <row r="193" spans="1:288">
      <c r="A193" s="207">
        <v>46211</v>
      </c>
      <c r="JF193" s="236">
        <f t="shared" si="110"/>
        <v>0</v>
      </c>
      <c r="JG193" s="235">
        <f t="shared" si="111"/>
        <v>0</v>
      </c>
      <c r="JH193" s="235">
        <f t="shared" si="112"/>
        <v>0</v>
      </c>
      <c r="JI193" s="235">
        <f t="shared" si="113"/>
        <v>0</v>
      </c>
      <c r="JJ193" s="235">
        <f t="shared" si="114"/>
        <v>0</v>
      </c>
      <c r="JK193" s="235">
        <f t="shared" si="115"/>
        <v>0</v>
      </c>
      <c r="JL193" s="235">
        <f t="shared" si="116"/>
        <v>0</v>
      </c>
      <c r="JM193" s="235">
        <f t="shared" si="117"/>
        <v>0</v>
      </c>
      <c r="JN193" s="235">
        <f t="shared" si="118"/>
        <v>0</v>
      </c>
      <c r="JO193" s="235">
        <f t="shared" si="119"/>
        <v>0</v>
      </c>
      <c r="JP193" s="235">
        <f t="shared" si="120"/>
        <v>0</v>
      </c>
      <c r="JQ193" s="235">
        <f t="shared" si="121"/>
        <v>0</v>
      </c>
      <c r="JR193" s="235">
        <f t="shared" si="122"/>
        <v>0</v>
      </c>
      <c r="JS193" s="235">
        <f t="shared" si="123"/>
        <v>0</v>
      </c>
      <c r="JT193" s="235">
        <f t="shared" si="124"/>
        <v>0</v>
      </c>
      <c r="JU193" s="235">
        <f t="shared" si="125"/>
        <v>0</v>
      </c>
      <c r="JV193" s="235">
        <f t="shared" si="126"/>
        <v>0</v>
      </c>
      <c r="JW193" s="235">
        <f t="shared" si="127"/>
        <v>0</v>
      </c>
      <c r="JX193" s="235">
        <f t="shared" si="128"/>
        <v>0</v>
      </c>
      <c r="JY193" s="235">
        <f t="shared" si="129"/>
        <v>0</v>
      </c>
      <c r="JZ193" s="235">
        <f t="shared" si="130"/>
        <v>0</v>
      </c>
      <c r="KA193" s="237">
        <f t="shared" si="131"/>
        <v>0</v>
      </c>
      <c r="KB193" s="248">
        <v>46211</v>
      </c>
    </row>
    <row r="194" spans="1:288">
      <c r="A194" s="207">
        <v>46212</v>
      </c>
      <c r="JF194" s="236">
        <f t="shared" si="110"/>
        <v>0</v>
      </c>
      <c r="JG194" s="235">
        <f t="shared" si="111"/>
        <v>0</v>
      </c>
      <c r="JH194" s="235">
        <f t="shared" si="112"/>
        <v>0</v>
      </c>
      <c r="JI194" s="235">
        <f t="shared" si="113"/>
        <v>0</v>
      </c>
      <c r="JJ194" s="235">
        <f t="shared" si="114"/>
        <v>0</v>
      </c>
      <c r="JK194" s="235">
        <f t="shared" si="115"/>
        <v>0</v>
      </c>
      <c r="JL194" s="235">
        <f t="shared" si="116"/>
        <v>0</v>
      </c>
      <c r="JM194" s="235">
        <f t="shared" si="117"/>
        <v>0</v>
      </c>
      <c r="JN194" s="235">
        <f t="shared" si="118"/>
        <v>0</v>
      </c>
      <c r="JO194" s="235">
        <f t="shared" si="119"/>
        <v>0</v>
      </c>
      <c r="JP194" s="235">
        <f t="shared" si="120"/>
        <v>0</v>
      </c>
      <c r="JQ194" s="235">
        <f t="shared" si="121"/>
        <v>0</v>
      </c>
      <c r="JR194" s="235">
        <f t="shared" si="122"/>
        <v>0</v>
      </c>
      <c r="JS194" s="235">
        <f t="shared" si="123"/>
        <v>0</v>
      </c>
      <c r="JT194" s="235">
        <f t="shared" si="124"/>
        <v>0</v>
      </c>
      <c r="JU194" s="235">
        <f t="shared" si="125"/>
        <v>0</v>
      </c>
      <c r="JV194" s="235">
        <f t="shared" si="126"/>
        <v>0</v>
      </c>
      <c r="JW194" s="235">
        <f t="shared" si="127"/>
        <v>0</v>
      </c>
      <c r="JX194" s="235">
        <f t="shared" si="128"/>
        <v>0</v>
      </c>
      <c r="JY194" s="235">
        <f t="shared" si="129"/>
        <v>0</v>
      </c>
      <c r="JZ194" s="235">
        <f t="shared" si="130"/>
        <v>0</v>
      </c>
      <c r="KA194" s="237">
        <f t="shared" si="131"/>
        <v>0</v>
      </c>
      <c r="KB194" s="248">
        <v>46212</v>
      </c>
    </row>
    <row r="195" spans="1:288">
      <c r="A195" s="207">
        <v>46213</v>
      </c>
      <c r="JF195" s="236">
        <f t="shared" si="110"/>
        <v>0</v>
      </c>
      <c r="JG195" s="235">
        <f t="shared" si="111"/>
        <v>0</v>
      </c>
      <c r="JH195" s="235">
        <f t="shared" si="112"/>
        <v>0</v>
      </c>
      <c r="JI195" s="235">
        <f t="shared" si="113"/>
        <v>0</v>
      </c>
      <c r="JJ195" s="235">
        <f t="shared" si="114"/>
        <v>0</v>
      </c>
      <c r="JK195" s="235">
        <f t="shared" si="115"/>
        <v>0</v>
      </c>
      <c r="JL195" s="235">
        <f t="shared" si="116"/>
        <v>0</v>
      </c>
      <c r="JM195" s="235">
        <f t="shared" si="117"/>
        <v>0</v>
      </c>
      <c r="JN195" s="235">
        <f t="shared" si="118"/>
        <v>0</v>
      </c>
      <c r="JO195" s="235">
        <f t="shared" si="119"/>
        <v>0</v>
      </c>
      <c r="JP195" s="235">
        <f t="shared" si="120"/>
        <v>0</v>
      </c>
      <c r="JQ195" s="235">
        <f t="shared" si="121"/>
        <v>0</v>
      </c>
      <c r="JR195" s="235">
        <f t="shared" si="122"/>
        <v>0</v>
      </c>
      <c r="JS195" s="235">
        <f t="shared" si="123"/>
        <v>0</v>
      </c>
      <c r="JT195" s="235">
        <f t="shared" si="124"/>
        <v>0</v>
      </c>
      <c r="JU195" s="235">
        <f t="shared" si="125"/>
        <v>0</v>
      </c>
      <c r="JV195" s="235">
        <f t="shared" si="126"/>
        <v>0</v>
      </c>
      <c r="JW195" s="235">
        <f t="shared" si="127"/>
        <v>0</v>
      </c>
      <c r="JX195" s="235">
        <f t="shared" si="128"/>
        <v>0</v>
      </c>
      <c r="JY195" s="235">
        <f t="shared" si="129"/>
        <v>0</v>
      </c>
      <c r="JZ195" s="235">
        <f t="shared" si="130"/>
        <v>0</v>
      </c>
      <c r="KA195" s="237">
        <f t="shared" si="131"/>
        <v>0</v>
      </c>
      <c r="KB195" s="248">
        <v>46213</v>
      </c>
    </row>
    <row r="196" spans="1:288">
      <c r="A196" s="207">
        <v>46214</v>
      </c>
      <c r="JF196" s="236">
        <f t="shared" si="110"/>
        <v>0</v>
      </c>
      <c r="JG196" s="235">
        <f t="shared" si="111"/>
        <v>0</v>
      </c>
      <c r="JH196" s="235">
        <f t="shared" si="112"/>
        <v>0</v>
      </c>
      <c r="JI196" s="235">
        <f t="shared" si="113"/>
        <v>0</v>
      </c>
      <c r="JJ196" s="235">
        <f t="shared" si="114"/>
        <v>0</v>
      </c>
      <c r="JK196" s="235">
        <f t="shared" si="115"/>
        <v>0</v>
      </c>
      <c r="JL196" s="235">
        <f t="shared" si="116"/>
        <v>0</v>
      </c>
      <c r="JM196" s="235">
        <f t="shared" si="117"/>
        <v>0</v>
      </c>
      <c r="JN196" s="235">
        <f t="shared" si="118"/>
        <v>0</v>
      </c>
      <c r="JO196" s="235">
        <f t="shared" si="119"/>
        <v>0</v>
      </c>
      <c r="JP196" s="235">
        <f t="shared" si="120"/>
        <v>0</v>
      </c>
      <c r="JQ196" s="235">
        <f t="shared" si="121"/>
        <v>0</v>
      </c>
      <c r="JR196" s="235">
        <f t="shared" si="122"/>
        <v>0</v>
      </c>
      <c r="JS196" s="235">
        <f t="shared" si="123"/>
        <v>0</v>
      </c>
      <c r="JT196" s="235">
        <f t="shared" si="124"/>
        <v>0</v>
      </c>
      <c r="JU196" s="235">
        <f t="shared" si="125"/>
        <v>0</v>
      </c>
      <c r="JV196" s="235">
        <f t="shared" si="126"/>
        <v>0</v>
      </c>
      <c r="JW196" s="235">
        <f t="shared" si="127"/>
        <v>0</v>
      </c>
      <c r="JX196" s="235">
        <f t="shared" si="128"/>
        <v>0</v>
      </c>
      <c r="JY196" s="235">
        <f t="shared" si="129"/>
        <v>0</v>
      </c>
      <c r="JZ196" s="235">
        <f t="shared" si="130"/>
        <v>0</v>
      </c>
      <c r="KA196" s="237">
        <f t="shared" si="131"/>
        <v>0</v>
      </c>
      <c r="KB196" s="248">
        <v>46214</v>
      </c>
    </row>
    <row r="197" spans="1:288">
      <c r="A197" s="207">
        <v>46215</v>
      </c>
      <c r="JF197" s="236">
        <f t="shared" si="110"/>
        <v>0</v>
      </c>
      <c r="JG197" s="235">
        <f t="shared" si="111"/>
        <v>0</v>
      </c>
      <c r="JH197" s="235">
        <f t="shared" si="112"/>
        <v>0</v>
      </c>
      <c r="JI197" s="235">
        <f t="shared" si="113"/>
        <v>0</v>
      </c>
      <c r="JJ197" s="235">
        <f t="shared" si="114"/>
        <v>0</v>
      </c>
      <c r="JK197" s="235">
        <f t="shared" si="115"/>
        <v>0</v>
      </c>
      <c r="JL197" s="235">
        <f t="shared" si="116"/>
        <v>0</v>
      </c>
      <c r="JM197" s="235">
        <f t="shared" si="117"/>
        <v>0</v>
      </c>
      <c r="JN197" s="235">
        <f t="shared" si="118"/>
        <v>0</v>
      </c>
      <c r="JO197" s="235">
        <f t="shared" si="119"/>
        <v>0</v>
      </c>
      <c r="JP197" s="235">
        <f t="shared" si="120"/>
        <v>0</v>
      </c>
      <c r="JQ197" s="235">
        <f t="shared" si="121"/>
        <v>0</v>
      </c>
      <c r="JR197" s="235">
        <f t="shared" si="122"/>
        <v>0</v>
      </c>
      <c r="JS197" s="235">
        <f t="shared" si="123"/>
        <v>0</v>
      </c>
      <c r="JT197" s="235">
        <f t="shared" si="124"/>
        <v>0</v>
      </c>
      <c r="JU197" s="235">
        <f t="shared" si="125"/>
        <v>0</v>
      </c>
      <c r="JV197" s="235">
        <f t="shared" si="126"/>
        <v>0</v>
      </c>
      <c r="JW197" s="235">
        <f t="shared" si="127"/>
        <v>0</v>
      </c>
      <c r="JX197" s="235">
        <f t="shared" si="128"/>
        <v>0</v>
      </c>
      <c r="JY197" s="235">
        <f t="shared" si="129"/>
        <v>0</v>
      </c>
      <c r="JZ197" s="235">
        <f t="shared" si="130"/>
        <v>0</v>
      </c>
      <c r="KA197" s="237">
        <f t="shared" si="131"/>
        <v>0</v>
      </c>
      <c r="KB197" s="248">
        <v>46215</v>
      </c>
    </row>
    <row r="198" spans="1:288">
      <c r="A198" s="207">
        <v>46216</v>
      </c>
      <c r="JF198" s="236">
        <f t="shared" ref="JF198:JF261" si="132">HN198*24</f>
        <v>0</v>
      </c>
      <c r="JG198" s="235">
        <f t="shared" ref="JG198:JG261" si="133">HP198*24</f>
        <v>0</v>
      </c>
      <c r="JH198" s="235">
        <f t="shared" ref="JH198:JH261" si="134">HR198*24</f>
        <v>0</v>
      </c>
      <c r="JI198" s="235">
        <f t="shared" ref="JI198:JI261" si="135">HT198*24</f>
        <v>0</v>
      </c>
      <c r="JJ198" s="235">
        <f t="shared" ref="JJ198:JJ261" si="136">HV198*24</f>
        <v>0</v>
      </c>
      <c r="JK198" s="235">
        <f t="shared" ref="JK198:JK261" si="137">HX198*24</f>
        <v>0</v>
      </c>
      <c r="JL198" s="235">
        <f t="shared" ref="JL198:JL261" si="138">HZ198*24</f>
        <v>0</v>
      </c>
      <c r="JM198" s="235">
        <f t="shared" ref="JM198:JM261" si="139">IB198*24</f>
        <v>0</v>
      </c>
      <c r="JN198" s="235">
        <f t="shared" ref="JN198:JN261" si="140">ID198*24</f>
        <v>0</v>
      </c>
      <c r="JO198" s="235">
        <f t="shared" ref="JO198:JO261" si="141">IF198*24</f>
        <v>0</v>
      </c>
      <c r="JP198" s="235">
        <f t="shared" ref="JP198:JP261" si="142">IH198*24</f>
        <v>0</v>
      </c>
      <c r="JQ198" s="235">
        <f t="shared" ref="JQ198:JQ261" si="143">IJ198*24</f>
        <v>0</v>
      </c>
      <c r="JR198" s="235">
        <f t="shared" ref="JR198:JR261" si="144">IL198*24</f>
        <v>0</v>
      </c>
      <c r="JS198" s="235">
        <f t="shared" ref="JS198:JS261" si="145">IN198*24</f>
        <v>0</v>
      </c>
      <c r="JT198" s="235">
        <f t="shared" ref="JT198:JT261" si="146">IP198*24</f>
        <v>0</v>
      </c>
      <c r="JU198" s="235">
        <f t="shared" ref="JU198:JU261" si="147">IR198*24</f>
        <v>0</v>
      </c>
      <c r="JV198" s="235">
        <f t="shared" ref="JV198:JV261" si="148">IT198*24</f>
        <v>0</v>
      </c>
      <c r="JW198" s="235">
        <f t="shared" ref="JW198:JW261" si="149">IV198*24</f>
        <v>0</v>
      </c>
      <c r="JX198" s="235">
        <f t="shared" ref="JX198:JX261" si="150">IX198*24</f>
        <v>0</v>
      </c>
      <c r="JY198" s="235">
        <f t="shared" ref="JY198:JY261" si="151">IZ198*24</f>
        <v>0</v>
      </c>
      <c r="JZ198" s="235">
        <f t="shared" ref="JZ198:JZ261" si="152">JB198*24</f>
        <v>0</v>
      </c>
      <c r="KA198" s="237">
        <f t="shared" ref="KA198:KA261" si="153">JD198*24</f>
        <v>0</v>
      </c>
      <c r="KB198" s="248">
        <v>46216</v>
      </c>
    </row>
    <row r="199" spans="1:288">
      <c r="A199" s="207">
        <v>46217</v>
      </c>
      <c r="JF199" s="236">
        <f t="shared" si="132"/>
        <v>0</v>
      </c>
      <c r="JG199" s="235">
        <f t="shared" si="133"/>
        <v>0</v>
      </c>
      <c r="JH199" s="235">
        <f t="shared" si="134"/>
        <v>0</v>
      </c>
      <c r="JI199" s="235">
        <f t="shared" si="135"/>
        <v>0</v>
      </c>
      <c r="JJ199" s="235">
        <f t="shared" si="136"/>
        <v>0</v>
      </c>
      <c r="JK199" s="235">
        <f t="shared" si="137"/>
        <v>0</v>
      </c>
      <c r="JL199" s="235">
        <f t="shared" si="138"/>
        <v>0</v>
      </c>
      <c r="JM199" s="235">
        <f t="shared" si="139"/>
        <v>0</v>
      </c>
      <c r="JN199" s="235">
        <f t="shared" si="140"/>
        <v>0</v>
      </c>
      <c r="JO199" s="235">
        <f t="shared" si="141"/>
        <v>0</v>
      </c>
      <c r="JP199" s="235">
        <f t="shared" si="142"/>
        <v>0</v>
      </c>
      <c r="JQ199" s="235">
        <f t="shared" si="143"/>
        <v>0</v>
      </c>
      <c r="JR199" s="235">
        <f t="shared" si="144"/>
        <v>0</v>
      </c>
      <c r="JS199" s="235">
        <f t="shared" si="145"/>
        <v>0</v>
      </c>
      <c r="JT199" s="235">
        <f t="shared" si="146"/>
        <v>0</v>
      </c>
      <c r="JU199" s="235">
        <f t="shared" si="147"/>
        <v>0</v>
      </c>
      <c r="JV199" s="235">
        <f t="shared" si="148"/>
        <v>0</v>
      </c>
      <c r="JW199" s="235">
        <f t="shared" si="149"/>
        <v>0</v>
      </c>
      <c r="JX199" s="235">
        <f t="shared" si="150"/>
        <v>0</v>
      </c>
      <c r="JY199" s="235">
        <f t="shared" si="151"/>
        <v>0</v>
      </c>
      <c r="JZ199" s="235">
        <f t="shared" si="152"/>
        <v>0</v>
      </c>
      <c r="KA199" s="237">
        <f t="shared" si="153"/>
        <v>0</v>
      </c>
      <c r="KB199" s="248">
        <v>46217</v>
      </c>
    </row>
    <row r="200" spans="1:288">
      <c r="A200" s="207">
        <v>46218</v>
      </c>
      <c r="JF200" s="236">
        <f t="shared" si="132"/>
        <v>0</v>
      </c>
      <c r="JG200" s="235">
        <f t="shared" si="133"/>
        <v>0</v>
      </c>
      <c r="JH200" s="235">
        <f t="shared" si="134"/>
        <v>0</v>
      </c>
      <c r="JI200" s="235">
        <f t="shared" si="135"/>
        <v>0</v>
      </c>
      <c r="JJ200" s="235">
        <f t="shared" si="136"/>
        <v>0</v>
      </c>
      <c r="JK200" s="235">
        <f t="shared" si="137"/>
        <v>0</v>
      </c>
      <c r="JL200" s="235">
        <f t="shared" si="138"/>
        <v>0</v>
      </c>
      <c r="JM200" s="235">
        <f t="shared" si="139"/>
        <v>0</v>
      </c>
      <c r="JN200" s="235">
        <f t="shared" si="140"/>
        <v>0</v>
      </c>
      <c r="JO200" s="235">
        <f t="shared" si="141"/>
        <v>0</v>
      </c>
      <c r="JP200" s="235">
        <f t="shared" si="142"/>
        <v>0</v>
      </c>
      <c r="JQ200" s="235">
        <f t="shared" si="143"/>
        <v>0</v>
      </c>
      <c r="JR200" s="235">
        <f t="shared" si="144"/>
        <v>0</v>
      </c>
      <c r="JS200" s="235">
        <f t="shared" si="145"/>
        <v>0</v>
      </c>
      <c r="JT200" s="235">
        <f t="shared" si="146"/>
        <v>0</v>
      </c>
      <c r="JU200" s="235">
        <f t="shared" si="147"/>
        <v>0</v>
      </c>
      <c r="JV200" s="235">
        <f t="shared" si="148"/>
        <v>0</v>
      </c>
      <c r="JW200" s="235">
        <f t="shared" si="149"/>
        <v>0</v>
      </c>
      <c r="JX200" s="235">
        <f t="shared" si="150"/>
        <v>0</v>
      </c>
      <c r="JY200" s="235">
        <f t="shared" si="151"/>
        <v>0</v>
      </c>
      <c r="JZ200" s="235">
        <f t="shared" si="152"/>
        <v>0</v>
      </c>
      <c r="KA200" s="237">
        <f t="shared" si="153"/>
        <v>0</v>
      </c>
      <c r="KB200" s="248">
        <v>46218</v>
      </c>
    </row>
    <row r="201" spans="1:288">
      <c r="A201" s="207">
        <v>46219</v>
      </c>
      <c r="JF201" s="236">
        <f t="shared" si="132"/>
        <v>0</v>
      </c>
      <c r="JG201" s="235">
        <f t="shared" si="133"/>
        <v>0</v>
      </c>
      <c r="JH201" s="235">
        <f t="shared" si="134"/>
        <v>0</v>
      </c>
      <c r="JI201" s="235">
        <f t="shared" si="135"/>
        <v>0</v>
      </c>
      <c r="JJ201" s="235">
        <f t="shared" si="136"/>
        <v>0</v>
      </c>
      <c r="JK201" s="235">
        <f t="shared" si="137"/>
        <v>0</v>
      </c>
      <c r="JL201" s="235">
        <f t="shared" si="138"/>
        <v>0</v>
      </c>
      <c r="JM201" s="235">
        <f t="shared" si="139"/>
        <v>0</v>
      </c>
      <c r="JN201" s="235">
        <f t="shared" si="140"/>
        <v>0</v>
      </c>
      <c r="JO201" s="235">
        <f t="shared" si="141"/>
        <v>0</v>
      </c>
      <c r="JP201" s="235">
        <f t="shared" si="142"/>
        <v>0</v>
      </c>
      <c r="JQ201" s="235">
        <f t="shared" si="143"/>
        <v>0</v>
      </c>
      <c r="JR201" s="235">
        <f t="shared" si="144"/>
        <v>0</v>
      </c>
      <c r="JS201" s="235">
        <f t="shared" si="145"/>
        <v>0</v>
      </c>
      <c r="JT201" s="235">
        <f t="shared" si="146"/>
        <v>0</v>
      </c>
      <c r="JU201" s="235">
        <f t="shared" si="147"/>
        <v>0</v>
      </c>
      <c r="JV201" s="235">
        <f t="shared" si="148"/>
        <v>0</v>
      </c>
      <c r="JW201" s="235">
        <f t="shared" si="149"/>
        <v>0</v>
      </c>
      <c r="JX201" s="235">
        <f t="shared" si="150"/>
        <v>0</v>
      </c>
      <c r="JY201" s="235">
        <f t="shared" si="151"/>
        <v>0</v>
      </c>
      <c r="JZ201" s="235">
        <f t="shared" si="152"/>
        <v>0</v>
      </c>
      <c r="KA201" s="237">
        <f t="shared" si="153"/>
        <v>0</v>
      </c>
      <c r="KB201" s="248">
        <v>46219</v>
      </c>
    </row>
    <row r="202" spans="1:288">
      <c r="A202" s="207">
        <v>46220</v>
      </c>
      <c r="JF202" s="236">
        <f t="shared" si="132"/>
        <v>0</v>
      </c>
      <c r="JG202" s="235">
        <f t="shared" si="133"/>
        <v>0</v>
      </c>
      <c r="JH202" s="235">
        <f t="shared" si="134"/>
        <v>0</v>
      </c>
      <c r="JI202" s="235">
        <f t="shared" si="135"/>
        <v>0</v>
      </c>
      <c r="JJ202" s="235">
        <f t="shared" si="136"/>
        <v>0</v>
      </c>
      <c r="JK202" s="235">
        <f t="shared" si="137"/>
        <v>0</v>
      </c>
      <c r="JL202" s="235">
        <f t="shared" si="138"/>
        <v>0</v>
      </c>
      <c r="JM202" s="235">
        <f t="shared" si="139"/>
        <v>0</v>
      </c>
      <c r="JN202" s="235">
        <f t="shared" si="140"/>
        <v>0</v>
      </c>
      <c r="JO202" s="235">
        <f t="shared" si="141"/>
        <v>0</v>
      </c>
      <c r="JP202" s="235">
        <f t="shared" si="142"/>
        <v>0</v>
      </c>
      <c r="JQ202" s="235">
        <f t="shared" si="143"/>
        <v>0</v>
      </c>
      <c r="JR202" s="235">
        <f t="shared" si="144"/>
        <v>0</v>
      </c>
      <c r="JS202" s="235">
        <f t="shared" si="145"/>
        <v>0</v>
      </c>
      <c r="JT202" s="235">
        <f t="shared" si="146"/>
        <v>0</v>
      </c>
      <c r="JU202" s="235">
        <f t="shared" si="147"/>
        <v>0</v>
      </c>
      <c r="JV202" s="235">
        <f t="shared" si="148"/>
        <v>0</v>
      </c>
      <c r="JW202" s="235">
        <f t="shared" si="149"/>
        <v>0</v>
      </c>
      <c r="JX202" s="235">
        <f t="shared" si="150"/>
        <v>0</v>
      </c>
      <c r="JY202" s="235">
        <f t="shared" si="151"/>
        <v>0</v>
      </c>
      <c r="JZ202" s="235">
        <f t="shared" si="152"/>
        <v>0</v>
      </c>
      <c r="KA202" s="237">
        <f t="shared" si="153"/>
        <v>0</v>
      </c>
      <c r="KB202" s="248">
        <v>46220</v>
      </c>
    </row>
    <row r="203" spans="1:288">
      <c r="A203" s="207">
        <v>46221</v>
      </c>
      <c r="JF203" s="236">
        <f t="shared" si="132"/>
        <v>0</v>
      </c>
      <c r="JG203" s="235">
        <f t="shared" si="133"/>
        <v>0</v>
      </c>
      <c r="JH203" s="235">
        <f t="shared" si="134"/>
        <v>0</v>
      </c>
      <c r="JI203" s="235">
        <f t="shared" si="135"/>
        <v>0</v>
      </c>
      <c r="JJ203" s="235">
        <f t="shared" si="136"/>
        <v>0</v>
      </c>
      <c r="JK203" s="235">
        <f t="shared" si="137"/>
        <v>0</v>
      </c>
      <c r="JL203" s="235">
        <f t="shared" si="138"/>
        <v>0</v>
      </c>
      <c r="JM203" s="235">
        <f t="shared" si="139"/>
        <v>0</v>
      </c>
      <c r="JN203" s="235">
        <f t="shared" si="140"/>
        <v>0</v>
      </c>
      <c r="JO203" s="235">
        <f t="shared" si="141"/>
        <v>0</v>
      </c>
      <c r="JP203" s="235">
        <f t="shared" si="142"/>
        <v>0</v>
      </c>
      <c r="JQ203" s="235">
        <f t="shared" si="143"/>
        <v>0</v>
      </c>
      <c r="JR203" s="235">
        <f t="shared" si="144"/>
        <v>0</v>
      </c>
      <c r="JS203" s="235">
        <f t="shared" si="145"/>
        <v>0</v>
      </c>
      <c r="JT203" s="235">
        <f t="shared" si="146"/>
        <v>0</v>
      </c>
      <c r="JU203" s="235">
        <f t="shared" si="147"/>
        <v>0</v>
      </c>
      <c r="JV203" s="235">
        <f t="shared" si="148"/>
        <v>0</v>
      </c>
      <c r="JW203" s="235">
        <f t="shared" si="149"/>
        <v>0</v>
      </c>
      <c r="JX203" s="235">
        <f t="shared" si="150"/>
        <v>0</v>
      </c>
      <c r="JY203" s="235">
        <f t="shared" si="151"/>
        <v>0</v>
      </c>
      <c r="JZ203" s="235">
        <f t="shared" si="152"/>
        <v>0</v>
      </c>
      <c r="KA203" s="237">
        <f t="shared" si="153"/>
        <v>0</v>
      </c>
      <c r="KB203" s="248">
        <v>46221</v>
      </c>
    </row>
    <row r="204" spans="1:288">
      <c r="A204" s="207">
        <v>46222</v>
      </c>
      <c r="JF204" s="236">
        <f t="shared" si="132"/>
        <v>0</v>
      </c>
      <c r="JG204" s="235">
        <f t="shared" si="133"/>
        <v>0</v>
      </c>
      <c r="JH204" s="235">
        <f t="shared" si="134"/>
        <v>0</v>
      </c>
      <c r="JI204" s="235">
        <f t="shared" si="135"/>
        <v>0</v>
      </c>
      <c r="JJ204" s="235">
        <f t="shared" si="136"/>
        <v>0</v>
      </c>
      <c r="JK204" s="235">
        <f t="shared" si="137"/>
        <v>0</v>
      </c>
      <c r="JL204" s="235">
        <f t="shared" si="138"/>
        <v>0</v>
      </c>
      <c r="JM204" s="235">
        <f t="shared" si="139"/>
        <v>0</v>
      </c>
      <c r="JN204" s="235">
        <f t="shared" si="140"/>
        <v>0</v>
      </c>
      <c r="JO204" s="235">
        <f t="shared" si="141"/>
        <v>0</v>
      </c>
      <c r="JP204" s="235">
        <f t="shared" si="142"/>
        <v>0</v>
      </c>
      <c r="JQ204" s="235">
        <f t="shared" si="143"/>
        <v>0</v>
      </c>
      <c r="JR204" s="235">
        <f t="shared" si="144"/>
        <v>0</v>
      </c>
      <c r="JS204" s="235">
        <f t="shared" si="145"/>
        <v>0</v>
      </c>
      <c r="JT204" s="235">
        <f t="shared" si="146"/>
        <v>0</v>
      </c>
      <c r="JU204" s="235">
        <f t="shared" si="147"/>
        <v>0</v>
      </c>
      <c r="JV204" s="235">
        <f t="shared" si="148"/>
        <v>0</v>
      </c>
      <c r="JW204" s="235">
        <f t="shared" si="149"/>
        <v>0</v>
      </c>
      <c r="JX204" s="235">
        <f t="shared" si="150"/>
        <v>0</v>
      </c>
      <c r="JY204" s="235">
        <f t="shared" si="151"/>
        <v>0</v>
      </c>
      <c r="JZ204" s="235">
        <f t="shared" si="152"/>
        <v>0</v>
      </c>
      <c r="KA204" s="237">
        <f t="shared" si="153"/>
        <v>0</v>
      </c>
      <c r="KB204" s="248">
        <v>46222</v>
      </c>
    </row>
    <row r="205" spans="1:288">
      <c r="A205" s="207">
        <v>46223</v>
      </c>
      <c r="JF205" s="236">
        <f t="shared" si="132"/>
        <v>0</v>
      </c>
      <c r="JG205" s="235">
        <f t="shared" si="133"/>
        <v>0</v>
      </c>
      <c r="JH205" s="235">
        <f t="shared" si="134"/>
        <v>0</v>
      </c>
      <c r="JI205" s="235">
        <f t="shared" si="135"/>
        <v>0</v>
      </c>
      <c r="JJ205" s="235">
        <f t="shared" si="136"/>
        <v>0</v>
      </c>
      <c r="JK205" s="235">
        <f t="shared" si="137"/>
        <v>0</v>
      </c>
      <c r="JL205" s="235">
        <f t="shared" si="138"/>
        <v>0</v>
      </c>
      <c r="JM205" s="235">
        <f t="shared" si="139"/>
        <v>0</v>
      </c>
      <c r="JN205" s="235">
        <f t="shared" si="140"/>
        <v>0</v>
      </c>
      <c r="JO205" s="235">
        <f t="shared" si="141"/>
        <v>0</v>
      </c>
      <c r="JP205" s="235">
        <f t="shared" si="142"/>
        <v>0</v>
      </c>
      <c r="JQ205" s="235">
        <f t="shared" si="143"/>
        <v>0</v>
      </c>
      <c r="JR205" s="235">
        <f t="shared" si="144"/>
        <v>0</v>
      </c>
      <c r="JS205" s="235">
        <f t="shared" si="145"/>
        <v>0</v>
      </c>
      <c r="JT205" s="235">
        <f t="shared" si="146"/>
        <v>0</v>
      </c>
      <c r="JU205" s="235">
        <f t="shared" si="147"/>
        <v>0</v>
      </c>
      <c r="JV205" s="235">
        <f t="shared" si="148"/>
        <v>0</v>
      </c>
      <c r="JW205" s="235">
        <f t="shared" si="149"/>
        <v>0</v>
      </c>
      <c r="JX205" s="235">
        <f t="shared" si="150"/>
        <v>0</v>
      </c>
      <c r="JY205" s="235">
        <f t="shared" si="151"/>
        <v>0</v>
      </c>
      <c r="JZ205" s="235">
        <f t="shared" si="152"/>
        <v>0</v>
      </c>
      <c r="KA205" s="237">
        <f t="shared" si="153"/>
        <v>0</v>
      </c>
      <c r="KB205" s="248">
        <v>46223</v>
      </c>
    </row>
    <row r="206" spans="1:288">
      <c r="A206" s="207">
        <v>46224</v>
      </c>
      <c r="JF206" s="236">
        <f t="shared" si="132"/>
        <v>0</v>
      </c>
      <c r="JG206" s="235">
        <f t="shared" si="133"/>
        <v>0</v>
      </c>
      <c r="JH206" s="235">
        <f t="shared" si="134"/>
        <v>0</v>
      </c>
      <c r="JI206" s="235">
        <f t="shared" si="135"/>
        <v>0</v>
      </c>
      <c r="JJ206" s="235">
        <f t="shared" si="136"/>
        <v>0</v>
      </c>
      <c r="JK206" s="235">
        <f t="shared" si="137"/>
        <v>0</v>
      </c>
      <c r="JL206" s="235">
        <f t="shared" si="138"/>
        <v>0</v>
      </c>
      <c r="JM206" s="235">
        <f t="shared" si="139"/>
        <v>0</v>
      </c>
      <c r="JN206" s="235">
        <f t="shared" si="140"/>
        <v>0</v>
      </c>
      <c r="JO206" s="235">
        <f t="shared" si="141"/>
        <v>0</v>
      </c>
      <c r="JP206" s="235">
        <f t="shared" si="142"/>
        <v>0</v>
      </c>
      <c r="JQ206" s="235">
        <f t="shared" si="143"/>
        <v>0</v>
      </c>
      <c r="JR206" s="235">
        <f t="shared" si="144"/>
        <v>0</v>
      </c>
      <c r="JS206" s="235">
        <f t="shared" si="145"/>
        <v>0</v>
      </c>
      <c r="JT206" s="235">
        <f t="shared" si="146"/>
        <v>0</v>
      </c>
      <c r="JU206" s="235">
        <f t="shared" si="147"/>
        <v>0</v>
      </c>
      <c r="JV206" s="235">
        <f t="shared" si="148"/>
        <v>0</v>
      </c>
      <c r="JW206" s="235">
        <f t="shared" si="149"/>
        <v>0</v>
      </c>
      <c r="JX206" s="235">
        <f t="shared" si="150"/>
        <v>0</v>
      </c>
      <c r="JY206" s="235">
        <f t="shared" si="151"/>
        <v>0</v>
      </c>
      <c r="JZ206" s="235">
        <f t="shared" si="152"/>
        <v>0</v>
      </c>
      <c r="KA206" s="237">
        <f t="shared" si="153"/>
        <v>0</v>
      </c>
      <c r="KB206" s="248">
        <v>46224</v>
      </c>
    </row>
    <row r="207" spans="1:288">
      <c r="A207" s="207">
        <v>46225</v>
      </c>
      <c r="JF207" s="236">
        <f t="shared" si="132"/>
        <v>0</v>
      </c>
      <c r="JG207" s="235">
        <f t="shared" si="133"/>
        <v>0</v>
      </c>
      <c r="JH207" s="235">
        <f t="shared" si="134"/>
        <v>0</v>
      </c>
      <c r="JI207" s="235">
        <f t="shared" si="135"/>
        <v>0</v>
      </c>
      <c r="JJ207" s="235">
        <f t="shared" si="136"/>
        <v>0</v>
      </c>
      <c r="JK207" s="235">
        <f t="shared" si="137"/>
        <v>0</v>
      </c>
      <c r="JL207" s="235">
        <f t="shared" si="138"/>
        <v>0</v>
      </c>
      <c r="JM207" s="235">
        <f t="shared" si="139"/>
        <v>0</v>
      </c>
      <c r="JN207" s="235">
        <f t="shared" si="140"/>
        <v>0</v>
      </c>
      <c r="JO207" s="235">
        <f t="shared" si="141"/>
        <v>0</v>
      </c>
      <c r="JP207" s="235">
        <f t="shared" si="142"/>
        <v>0</v>
      </c>
      <c r="JQ207" s="235">
        <f t="shared" si="143"/>
        <v>0</v>
      </c>
      <c r="JR207" s="235">
        <f t="shared" si="144"/>
        <v>0</v>
      </c>
      <c r="JS207" s="235">
        <f t="shared" si="145"/>
        <v>0</v>
      </c>
      <c r="JT207" s="235">
        <f t="shared" si="146"/>
        <v>0</v>
      </c>
      <c r="JU207" s="235">
        <f t="shared" si="147"/>
        <v>0</v>
      </c>
      <c r="JV207" s="235">
        <f t="shared" si="148"/>
        <v>0</v>
      </c>
      <c r="JW207" s="235">
        <f t="shared" si="149"/>
        <v>0</v>
      </c>
      <c r="JX207" s="235">
        <f t="shared" si="150"/>
        <v>0</v>
      </c>
      <c r="JY207" s="235">
        <f t="shared" si="151"/>
        <v>0</v>
      </c>
      <c r="JZ207" s="235">
        <f t="shared" si="152"/>
        <v>0</v>
      </c>
      <c r="KA207" s="237">
        <f t="shared" si="153"/>
        <v>0</v>
      </c>
      <c r="KB207" s="248">
        <v>46225</v>
      </c>
    </row>
    <row r="208" spans="1:288">
      <c r="A208" s="207">
        <v>46226</v>
      </c>
      <c r="JF208" s="236">
        <f t="shared" si="132"/>
        <v>0</v>
      </c>
      <c r="JG208" s="235">
        <f t="shared" si="133"/>
        <v>0</v>
      </c>
      <c r="JH208" s="235">
        <f t="shared" si="134"/>
        <v>0</v>
      </c>
      <c r="JI208" s="235">
        <f t="shared" si="135"/>
        <v>0</v>
      </c>
      <c r="JJ208" s="235">
        <f t="shared" si="136"/>
        <v>0</v>
      </c>
      <c r="JK208" s="235">
        <f t="shared" si="137"/>
        <v>0</v>
      </c>
      <c r="JL208" s="235">
        <f t="shared" si="138"/>
        <v>0</v>
      </c>
      <c r="JM208" s="235">
        <f t="shared" si="139"/>
        <v>0</v>
      </c>
      <c r="JN208" s="235">
        <f t="shared" si="140"/>
        <v>0</v>
      </c>
      <c r="JO208" s="235">
        <f t="shared" si="141"/>
        <v>0</v>
      </c>
      <c r="JP208" s="235">
        <f t="shared" si="142"/>
        <v>0</v>
      </c>
      <c r="JQ208" s="235">
        <f t="shared" si="143"/>
        <v>0</v>
      </c>
      <c r="JR208" s="235">
        <f t="shared" si="144"/>
        <v>0</v>
      </c>
      <c r="JS208" s="235">
        <f t="shared" si="145"/>
        <v>0</v>
      </c>
      <c r="JT208" s="235">
        <f t="shared" si="146"/>
        <v>0</v>
      </c>
      <c r="JU208" s="235">
        <f t="shared" si="147"/>
        <v>0</v>
      </c>
      <c r="JV208" s="235">
        <f t="shared" si="148"/>
        <v>0</v>
      </c>
      <c r="JW208" s="235">
        <f t="shared" si="149"/>
        <v>0</v>
      </c>
      <c r="JX208" s="235">
        <f t="shared" si="150"/>
        <v>0</v>
      </c>
      <c r="JY208" s="235">
        <f t="shared" si="151"/>
        <v>0</v>
      </c>
      <c r="JZ208" s="235">
        <f t="shared" si="152"/>
        <v>0</v>
      </c>
      <c r="KA208" s="237">
        <f t="shared" si="153"/>
        <v>0</v>
      </c>
      <c r="KB208" s="248">
        <v>46226</v>
      </c>
    </row>
    <row r="209" spans="1:288">
      <c r="A209" s="207">
        <v>46227</v>
      </c>
      <c r="JF209" s="236">
        <f t="shared" si="132"/>
        <v>0</v>
      </c>
      <c r="JG209" s="235">
        <f t="shared" si="133"/>
        <v>0</v>
      </c>
      <c r="JH209" s="235">
        <f t="shared" si="134"/>
        <v>0</v>
      </c>
      <c r="JI209" s="235">
        <f t="shared" si="135"/>
        <v>0</v>
      </c>
      <c r="JJ209" s="235">
        <f t="shared" si="136"/>
        <v>0</v>
      </c>
      <c r="JK209" s="235">
        <f t="shared" si="137"/>
        <v>0</v>
      </c>
      <c r="JL209" s="235">
        <f t="shared" si="138"/>
        <v>0</v>
      </c>
      <c r="JM209" s="235">
        <f t="shared" si="139"/>
        <v>0</v>
      </c>
      <c r="JN209" s="235">
        <f t="shared" si="140"/>
        <v>0</v>
      </c>
      <c r="JO209" s="235">
        <f t="shared" si="141"/>
        <v>0</v>
      </c>
      <c r="JP209" s="235">
        <f t="shared" si="142"/>
        <v>0</v>
      </c>
      <c r="JQ209" s="235">
        <f t="shared" si="143"/>
        <v>0</v>
      </c>
      <c r="JR209" s="235">
        <f t="shared" si="144"/>
        <v>0</v>
      </c>
      <c r="JS209" s="235">
        <f t="shared" si="145"/>
        <v>0</v>
      </c>
      <c r="JT209" s="235">
        <f t="shared" si="146"/>
        <v>0</v>
      </c>
      <c r="JU209" s="235">
        <f t="shared" si="147"/>
        <v>0</v>
      </c>
      <c r="JV209" s="235">
        <f t="shared" si="148"/>
        <v>0</v>
      </c>
      <c r="JW209" s="235">
        <f t="shared" si="149"/>
        <v>0</v>
      </c>
      <c r="JX209" s="235">
        <f t="shared" si="150"/>
        <v>0</v>
      </c>
      <c r="JY209" s="235">
        <f t="shared" si="151"/>
        <v>0</v>
      </c>
      <c r="JZ209" s="235">
        <f t="shared" si="152"/>
        <v>0</v>
      </c>
      <c r="KA209" s="237">
        <f t="shared" si="153"/>
        <v>0</v>
      </c>
      <c r="KB209" s="248">
        <v>46227</v>
      </c>
    </row>
    <row r="210" spans="1:288">
      <c r="A210" s="207">
        <v>46228</v>
      </c>
      <c r="JF210" s="236">
        <f t="shared" si="132"/>
        <v>0</v>
      </c>
      <c r="JG210" s="235">
        <f t="shared" si="133"/>
        <v>0</v>
      </c>
      <c r="JH210" s="235">
        <f t="shared" si="134"/>
        <v>0</v>
      </c>
      <c r="JI210" s="235">
        <f t="shared" si="135"/>
        <v>0</v>
      </c>
      <c r="JJ210" s="235">
        <f t="shared" si="136"/>
        <v>0</v>
      </c>
      <c r="JK210" s="235">
        <f t="shared" si="137"/>
        <v>0</v>
      </c>
      <c r="JL210" s="235">
        <f t="shared" si="138"/>
        <v>0</v>
      </c>
      <c r="JM210" s="235">
        <f t="shared" si="139"/>
        <v>0</v>
      </c>
      <c r="JN210" s="235">
        <f t="shared" si="140"/>
        <v>0</v>
      </c>
      <c r="JO210" s="235">
        <f t="shared" si="141"/>
        <v>0</v>
      </c>
      <c r="JP210" s="235">
        <f t="shared" si="142"/>
        <v>0</v>
      </c>
      <c r="JQ210" s="235">
        <f t="shared" si="143"/>
        <v>0</v>
      </c>
      <c r="JR210" s="235">
        <f t="shared" si="144"/>
        <v>0</v>
      </c>
      <c r="JS210" s="235">
        <f t="shared" si="145"/>
        <v>0</v>
      </c>
      <c r="JT210" s="235">
        <f t="shared" si="146"/>
        <v>0</v>
      </c>
      <c r="JU210" s="235">
        <f t="shared" si="147"/>
        <v>0</v>
      </c>
      <c r="JV210" s="235">
        <f t="shared" si="148"/>
        <v>0</v>
      </c>
      <c r="JW210" s="235">
        <f t="shared" si="149"/>
        <v>0</v>
      </c>
      <c r="JX210" s="235">
        <f t="shared" si="150"/>
        <v>0</v>
      </c>
      <c r="JY210" s="235">
        <f t="shared" si="151"/>
        <v>0</v>
      </c>
      <c r="JZ210" s="235">
        <f t="shared" si="152"/>
        <v>0</v>
      </c>
      <c r="KA210" s="237">
        <f t="shared" si="153"/>
        <v>0</v>
      </c>
      <c r="KB210" s="248">
        <v>46228</v>
      </c>
    </row>
    <row r="211" spans="1:288">
      <c r="A211" s="207">
        <v>46229</v>
      </c>
      <c r="JF211" s="236">
        <f t="shared" si="132"/>
        <v>0</v>
      </c>
      <c r="JG211" s="235">
        <f t="shared" si="133"/>
        <v>0</v>
      </c>
      <c r="JH211" s="235">
        <f t="shared" si="134"/>
        <v>0</v>
      </c>
      <c r="JI211" s="235">
        <f t="shared" si="135"/>
        <v>0</v>
      </c>
      <c r="JJ211" s="235">
        <f t="shared" si="136"/>
        <v>0</v>
      </c>
      <c r="JK211" s="235">
        <f t="shared" si="137"/>
        <v>0</v>
      </c>
      <c r="JL211" s="235">
        <f t="shared" si="138"/>
        <v>0</v>
      </c>
      <c r="JM211" s="235">
        <f t="shared" si="139"/>
        <v>0</v>
      </c>
      <c r="JN211" s="235">
        <f t="shared" si="140"/>
        <v>0</v>
      </c>
      <c r="JO211" s="235">
        <f t="shared" si="141"/>
        <v>0</v>
      </c>
      <c r="JP211" s="235">
        <f t="shared" si="142"/>
        <v>0</v>
      </c>
      <c r="JQ211" s="235">
        <f t="shared" si="143"/>
        <v>0</v>
      </c>
      <c r="JR211" s="235">
        <f t="shared" si="144"/>
        <v>0</v>
      </c>
      <c r="JS211" s="235">
        <f t="shared" si="145"/>
        <v>0</v>
      </c>
      <c r="JT211" s="235">
        <f t="shared" si="146"/>
        <v>0</v>
      </c>
      <c r="JU211" s="235">
        <f t="shared" si="147"/>
        <v>0</v>
      </c>
      <c r="JV211" s="235">
        <f t="shared" si="148"/>
        <v>0</v>
      </c>
      <c r="JW211" s="235">
        <f t="shared" si="149"/>
        <v>0</v>
      </c>
      <c r="JX211" s="235">
        <f t="shared" si="150"/>
        <v>0</v>
      </c>
      <c r="JY211" s="235">
        <f t="shared" si="151"/>
        <v>0</v>
      </c>
      <c r="JZ211" s="235">
        <f t="shared" si="152"/>
        <v>0</v>
      </c>
      <c r="KA211" s="237">
        <f t="shared" si="153"/>
        <v>0</v>
      </c>
      <c r="KB211" s="248">
        <v>46229</v>
      </c>
    </row>
    <row r="212" spans="1:288">
      <c r="A212" s="207">
        <v>46230</v>
      </c>
      <c r="JF212" s="236">
        <f t="shared" si="132"/>
        <v>0</v>
      </c>
      <c r="JG212" s="235">
        <f t="shared" si="133"/>
        <v>0</v>
      </c>
      <c r="JH212" s="235">
        <f t="shared" si="134"/>
        <v>0</v>
      </c>
      <c r="JI212" s="235">
        <f t="shared" si="135"/>
        <v>0</v>
      </c>
      <c r="JJ212" s="235">
        <f t="shared" si="136"/>
        <v>0</v>
      </c>
      <c r="JK212" s="235">
        <f t="shared" si="137"/>
        <v>0</v>
      </c>
      <c r="JL212" s="235">
        <f t="shared" si="138"/>
        <v>0</v>
      </c>
      <c r="JM212" s="235">
        <f t="shared" si="139"/>
        <v>0</v>
      </c>
      <c r="JN212" s="235">
        <f t="shared" si="140"/>
        <v>0</v>
      </c>
      <c r="JO212" s="235">
        <f t="shared" si="141"/>
        <v>0</v>
      </c>
      <c r="JP212" s="235">
        <f t="shared" si="142"/>
        <v>0</v>
      </c>
      <c r="JQ212" s="235">
        <f t="shared" si="143"/>
        <v>0</v>
      </c>
      <c r="JR212" s="235">
        <f t="shared" si="144"/>
        <v>0</v>
      </c>
      <c r="JS212" s="235">
        <f t="shared" si="145"/>
        <v>0</v>
      </c>
      <c r="JT212" s="235">
        <f t="shared" si="146"/>
        <v>0</v>
      </c>
      <c r="JU212" s="235">
        <f t="shared" si="147"/>
        <v>0</v>
      </c>
      <c r="JV212" s="235">
        <f t="shared" si="148"/>
        <v>0</v>
      </c>
      <c r="JW212" s="235">
        <f t="shared" si="149"/>
        <v>0</v>
      </c>
      <c r="JX212" s="235">
        <f t="shared" si="150"/>
        <v>0</v>
      </c>
      <c r="JY212" s="235">
        <f t="shared" si="151"/>
        <v>0</v>
      </c>
      <c r="JZ212" s="235">
        <f t="shared" si="152"/>
        <v>0</v>
      </c>
      <c r="KA212" s="237">
        <f t="shared" si="153"/>
        <v>0</v>
      </c>
      <c r="KB212" s="248">
        <v>46230</v>
      </c>
    </row>
    <row r="213" spans="1:288">
      <c r="A213" s="207">
        <v>46231</v>
      </c>
      <c r="JF213" s="236">
        <f t="shared" si="132"/>
        <v>0</v>
      </c>
      <c r="JG213" s="235">
        <f t="shared" si="133"/>
        <v>0</v>
      </c>
      <c r="JH213" s="235">
        <f t="shared" si="134"/>
        <v>0</v>
      </c>
      <c r="JI213" s="235">
        <f t="shared" si="135"/>
        <v>0</v>
      </c>
      <c r="JJ213" s="235">
        <f t="shared" si="136"/>
        <v>0</v>
      </c>
      <c r="JK213" s="235">
        <f t="shared" si="137"/>
        <v>0</v>
      </c>
      <c r="JL213" s="235">
        <f t="shared" si="138"/>
        <v>0</v>
      </c>
      <c r="JM213" s="235">
        <f t="shared" si="139"/>
        <v>0</v>
      </c>
      <c r="JN213" s="235">
        <f t="shared" si="140"/>
        <v>0</v>
      </c>
      <c r="JO213" s="235">
        <f t="shared" si="141"/>
        <v>0</v>
      </c>
      <c r="JP213" s="235">
        <f t="shared" si="142"/>
        <v>0</v>
      </c>
      <c r="JQ213" s="235">
        <f t="shared" si="143"/>
        <v>0</v>
      </c>
      <c r="JR213" s="235">
        <f t="shared" si="144"/>
        <v>0</v>
      </c>
      <c r="JS213" s="235">
        <f t="shared" si="145"/>
        <v>0</v>
      </c>
      <c r="JT213" s="235">
        <f t="shared" si="146"/>
        <v>0</v>
      </c>
      <c r="JU213" s="235">
        <f t="shared" si="147"/>
        <v>0</v>
      </c>
      <c r="JV213" s="235">
        <f t="shared" si="148"/>
        <v>0</v>
      </c>
      <c r="JW213" s="235">
        <f t="shared" si="149"/>
        <v>0</v>
      </c>
      <c r="JX213" s="235">
        <f t="shared" si="150"/>
        <v>0</v>
      </c>
      <c r="JY213" s="235">
        <f t="shared" si="151"/>
        <v>0</v>
      </c>
      <c r="JZ213" s="235">
        <f t="shared" si="152"/>
        <v>0</v>
      </c>
      <c r="KA213" s="237">
        <f t="shared" si="153"/>
        <v>0</v>
      </c>
      <c r="KB213" s="248">
        <v>46231</v>
      </c>
    </row>
    <row r="214" spans="1:288">
      <c r="A214" s="207">
        <v>46232</v>
      </c>
      <c r="JF214" s="236">
        <f t="shared" si="132"/>
        <v>0</v>
      </c>
      <c r="JG214" s="235">
        <f t="shared" si="133"/>
        <v>0</v>
      </c>
      <c r="JH214" s="235">
        <f t="shared" si="134"/>
        <v>0</v>
      </c>
      <c r="JI214" s="235">
        <f t="shared" si="135"/>
        <v>0</v>
      </c>
      <c r="JJ214" s="235">
        <f t="shared" si="136"/>
        <v>0</v>
      </c>
      <c r="JK214" s="235">
        <f t="shared" si="137"/>
        <v>0</v>
      </c>
      <c r="JL214" s="235">
        <f t="shared" si="138"/>
        <v>0</v>
      </c>
      <c r="JM214" s="235">
        <f t="shared" si="139"/>
        <v>0</v>
      </c>
      <c r="JN214" s="235">
        <f t="shared" si="140"/>
        <v>0</v>
      </c>
      <c r="JO214" s="235">
        <f t="shared" si="141"/>
        <v>0</v>
      </c>
      <c r="JP214" s="235">
        <f t="shared" si="142"/>
        <v>0</v>
      </c>
      <c r="JQ214" s="235">
        <f t="shared" si="143"/>
        <v>0</v>
      </c>
      <c r="JR214" s="235">
        <f t="shared" si="144"/>
        <v>0</v>
      </c>
      <c r="JS214" s="235">
        <f t="shared" si="145"/>
        <v>0</v>
      </c>
      <c r="JT214" s="235">
        <f t="shared" si="146"/>
        <v>0</v>
      </c>
      <c r="JU214" s="235">
        <f t="shared" si="147"/>
        <v>0</v>
      </c>
      <c r="JV214" s="235">
        <f t="shared" si="148"/>
        <v>0</v>
      </c>
      <c r="JW214" s="235">
        <f t="shared" si="149"/>
        <v>0</v>
      </c>
      <c r="JX214" s="235">
        <f t="shared" si="150"/>
        <v>0</v>
      </c>
      <c r="JY214" s="235">
        <f t="shared" si="151"/>
        <v>0</v>
      </c>
      <c r="JZ214" s="235">
        <f t="shared" si="152"/>
        <v>0</v>
      </c>
      <c r="KA214" s="237">
        <f t="shared" si="153"/>
        <v>0</v>
      </c>
      <c r="KB214" s="248">
        <v>46232</v>
      </c>
    </row>
    <row r="215" spans="1:288">
      <c r="A215" s="207">
        <v>46233</v>
      </c>
      <c r="JF215" s="236">
        <f t="shared" si="132"/>
        <v>0</v>
      </c>
      <c r="JG215" s="235">
        <f t="shared" si="133"/>
        <v>0</v>
      </c>
      <c r="JH215" s="235">
        <f t="shared" si="134"/>
        <v>0</v>
      </c>
      <c r="JI215" s="235">
        <f t="shared" si="135"/>
        <v>0</v>
      </c>
      <c r="JJ215" s="235">
        <f t="shared" si="136"/>
        <v>0</v>
      </c>
      <c r="JK215" s="235">
        <f t="shared" si="137"/>
        <v>0</v>
      </c>
      <c r="JL215" s="235">
        <f t="shared" si="138"/>
        <v>0</v>
      </c>
      <c r="JM215" s="235">
        <f t="shared" si="139"/>
        <v>0</v>
      </c>
      <c r="JN215" s="235">
        <f t="shared" si="140"/>
        <v>0</v>
      </c>
      <c r="JO215" s="235">
        <f t="shared" si="141"/>
        <v>0</v>
      </c>
      <c r="JP215" s="235">
        <f t="shared" si="142"/>
        <v>0</v>
      </c>
      <c r="JQ215" s="235">
        <f t="shared" si="143"/>
        <v>0</v>
      </c>
      <c r="JR215" s="235">
        <f t="shared" si="144"/>
        <v>0</v>
      </c>
      <c r="JS215" s="235">
        <f t="shared" si="145"/>
        <v>0</v>
      </c>
      <c r="JT215" s="235">
        <f t="shared" si="146"/>
        <v>0</v>
      </c>
      <c r="JU215" s="235">
        <f t="shared" si="147"/>
        <v>0</v>
      </c>
      <c r="JV215" s="235">
        <f t="shared" si="148"/>
        <v>0</v>
      </c>
      <c r="JW215" s="235">
        <f t="shared" si="149"/>
        <v>0</v>
      </c>
      <c r="JX215" s="235">
        <f t="shared" si="150"/>
        <v>0</v>
      </c>
      <c r="JY215" s="235">
        <f t="shared" si="151"/>
        <v>0</v>
      </c>
      <c r="JZ215" s="235">
        <f t="shared" si="152"/>
        <v>0</v>
      </c>
      <c r="KA215" s="237">
        <f t="shared" si="153"/>
        <v>0</v>
      </c>
      <c r="KB215" s="248">
        <v>46233</v>
      </c>
    </row>
    <row r="216" spans="1:288">
      <c r="A216" s="207">
        <v>46234</v>
      </c>
      <c r="JF216" s="236">
        <f t="shared" si="132"/>
        <v>0</v>
      </c>
      <c r="JG216" s="235">
        <f t="shared" si="133"/>
        <v>0</v>
      </c>
      <c r="JH216" s="235">
        <f t="shared" si="134"/>
        <v>0</v>
      </c>
      <c r="JI216" s="235">
        <f t="shared" si="135"/>
        <v>0</v>
      </c>
      <c r="JJ216" s="235">
        <f t="shared" si="136"/>
        <v>0</v>
      </c>
      <c r="JK216" s="235">
        <f t="shared" si="137"/>
        <v>0</v>
      </c>
      <c r="JL216" s="235">
        <f t="shared" si="138"/>
        <v>0</v>
      </c>
      <c r="JM216" s="235">
        <f t="shared" si="139"/>
        <v>0</v>
      </c>
      <c r="JN216" s="235">
        <f t="shared" si="140"/>
        <v>0</v>
      </c>
      <c r="JO216" s="235">
        <f t="shared" si="141"/>
        <v>0</v>
      </c>
      <c r="JP216" s="235">
        <f t="shared" si="142"/>
        <v>0</v>
      </c>
      <c r="JQ216" s="235">
        <f t="shared" si="143"/>
        <v>0</v>
      </c>
      <c r="JR216" s="235">
        <f t="shared" si="144"/>
        <v>0</v>
      </c>
      <c r="JS216" s="235">
        <f t="shared" si="145"/>
        <v>0</v>
      </c>
      <c r="JT216" s="235">
        <f t="shared" si="146"/>
        <v>0</v>
      </c>
      <c r="JU216" s="235">
        <f t="shared" si="147"/>
        <v>0</v>
      </c>
      <c r="JV216" s="235">
        <f t="shared" si="148"/>
        <v>0</v>
      </c>
      <c r="JW216" s="235">
        <f t="shared" si="149"/>
        <v>0</v>
      </c>
      <c r="JX216" s="235">
        <f t="shared" si="150"/>
        <v>0</v>
      </c>
      <c r="JY216" s="235">
        <f t="shared" si="151"/>
        <v>0</v>
      </c>
      <c r="JZ216" s="235">
        <f t="shared" si="152"/>
        <v>0</v>
      </c>
      <c r="KA216" s="237">
        <f t="shared" si="153"/>
        <v>0</v>
      </c>
      <c r="KB216" s="248">
        <v>46234</v>
      </c>
    </row>
    <row r="217" spans="1:288">
      <c r="A217" s="207">
        <v>46235</v>
      </c>
      <c r="JF217" s="236">
        <f t="shared" si="132"/>
        <v>0</v>
      </c>
      <c r="JG217" s="235">
        <f t="shared" si="133"/>
        <v>0</v>
      </c>
      <c r="JH217" s="235">
        <f t="shared" si="134"/>
        <v>0</v>
      </c>
      <c r="JI217" s="235">
        <f t="shared" si="135"/>
        <v>0</v>
      </c>
      <c r="JJ217" s="235">
        <f t="shared" si="136"/>
        <v>0</v>
      </c>
      <c r="JK217" s="235">
        <f t="shared" si="137"/>
        <v>0</v>
      </c>
      <c r="JL217" s="235">
        <f t="shared" si="138"/>
        <v>0</v>
      </c>
      <c r="JM217" s="235">
        <f t="shared" si="139"/>
        <v>0</v>
      </c>
      <c r="JN217" s="235">
        <f t="shared" si="140"/>
        <v>0</v>
      </c>
      <c r="JO217" s="235">
        <f t="shared" si="141"/>
        <v>0</v>
      </c>
      <c r="JP217" s="235">
        <f t="shared" si="142"/>
        <v>0</v>
      </c>
      <c r="JQ217" s="235">
        <f t="shared" si="143"/>
        <v>0</v>
      </c>
      <c r="JR217" s="235">
        <f t="shared" si="144"/>
        <v>0</v>
      </c>
      <c r="JS217" s="235">
        <f t="shared" si="145"/>
        <v>0</v>
      </c>
      <c r="JT217" s="235">
        <f t="shared" si="146"/>
        <v>0</v>
      </c>
      <c r="JU217" s="235">
        <f t="shared" si="147"/>
        <v>0</v>
      </c>
      <c r="JV217" s="235">
        <f t="shared" si="148"/>
        <v>0</v>
      </c>
      <c r="JW217" s="235">
        <f t="shared" si="149"/>
        <v>0</v>
      </c>
      <c r="JX217" s="235">
        <f t="shared" si="150"/>
        <v>0</v>
      </c>
      <c r="JY217" s="235">
        <f t="shared" si="151"/>
        <v>0</v>
      </c>
      <c r="JZ217" s="235">
        <f t="shared" si="152"/>
        <v>0</v>
      </c>
      <c r="KA217" s="237">
        <f t="shared" si="153"/>
        <v>0</v>
      </c>
      <c r="KB217" s="248">
        <v>46235</v>
      </c>
    </row>
    <row r="218" spans="1:288">
      <c r="A218" s="207">
        <v>46236</v>
      </c>
      <c r="JF218" s="236">
        <f t="shared" si="132"/>
        <v>0</v>
      </c>
      <c r="JG218" s="235">
        <f t="shared" si="133"/>
        <v>0</v>
      </c>
      <c r="JH218" s="235">
        <f t="shared" si="134"/>
        <v>0</v>
      </c>
      <c r="JI218" s="235">
        <f t="shared" si="135"/>
        <v>0</v>
      </c>
      <c r="JJ218" s="235">
        <f t="shared" si="136"/>
        <v>0</v>
      </c>
      <c r="JK218" s="235">
        <f t="shared" si="137"/>
        <v>0</v>
      </c>
      <c r="JL218" s="235">
        <f t="shared" si="138"/>
        <v>0</v>
      </c>
      <c r="JM218" s="235">
        <f t="shared" si="139"/>
        <v>0</v>
      </c>
      <c r="JN218" s="235">
        <f t="shared" si="140"/>
        <v>0</v>
      </c>
      <c r="JO218" s="235">
        <f t="shared" si="141"/>
        <v>0</v>
      </c>
      <c r="JP218" s="235">
        <f t="shared" si="142"/>
        <v>0</v>
      </c>
      <c r="JQ218" s="235">
        <f t="shared" si="143"/>
        <v>0</v>
      </c>
      <c r="JR218" s="235">
        <f t="shared" si="144"/>
        <v>0</v>
      </c>
      <c r="JS218" s="235">
        <f t="shared" si="145"/>
        <v>0</v>
      </c>
      <c r="JT218" s="235">
        <f t="shared" si="146"/>
        <v>0</v>
      </c>
      <c r="JU218" s="235">
        <f t="shared" si="147"/>
        <v>0</v>
      </c>
      <c r="JV218" s="235">
        <f t="shared" si="148"/>
        <v>0</v>
      </c>
      <c r="JW218" s="235">
        <f t="shared" si="149"/>
        <v>0</v>
      </c>
      <c r="JX218" s="235">
        <f t="shared" si="150"/>
        <v>0</v>
      </c>
      <c r="JY218" s="235">
        <f t="shared" si="151"/>
        <v>0</v>
      </c>
      <c r="JZ218" s="235">
        <f t="shared" si="152"/>
        <v>0</v>
      </c>
      <c r="KA218" s="237">
        <f t="shared" si="153"/>
        <v>0</v>
      </c>
      <c r="KB218" s="248">
        <v>46236</v>
      </c>
    </row>
    <row r="219" spans="1:288">
      <c r="A219" s="207">
        <v>46237</v>
      </c>
      <c r="JF219" s="236">
        <f t="shared" si="132"/>
        <v>0</v>
      </c>
      <c r="JG219" s="235">
        <f t="shared" si="133"/>
        <v>0</v>
      </c>
      <c r="JH219" s="235">
        <f t="shared" si="134"/>
        <v>0</v>
      </c>
      <c r="JI219" s="235">
        <f t="shared" si="135"/>
        <v>0</v>
      </c>
      <c r="JJ219" s="235">
        <f t="shared" si="136"/>
        <v>0</v>
      </c>
      <c r="JK219" s="235">
        <f t="shared" si="137"/>
        <v>0</v>
      </c>
      <c r="JL219" s="235">
        <f t="shared" si="138"/>
        <v>0</v>
      </c>
      <c r="JM219" s="235">
        <f t="shared" si="139"/>
        <v>0</v>
      </c>
      <c r="JN219" s="235">
        <f t="shared" si="140"/>
        <v>0</v>
      </c>
      <c r="JO219" s="235">
        <f t="shared" si="141"/>
        <v>0</v>
      </c>
      <c r="JP219" s="235">
        <f t="shared" si="142"/>
        <v>0</v>
      </c>
      <c r="JQ219" s="235">
        <f t="shared" si="143"/>
        <v>0</v>
      </c>
      <c r="JR219" s="235">
        <f t="shared" si="144"/>
        <v>0</v>
      </c>
      <c r="JS219" s="235">
        <f t="shared" si="145"/>
        <v>0</v>
      </c>
      <c r="JT219" s="235">
        <f t="shared" si="146"/>
        <v>0</v>
      </c>
      <c r="JU219" s="235">
        <f t="shared" si="147"/>
        <v>0</v>
      </c>
      <c r="JV219" s="235">
        <f t="shared" si="148"/>
        <v>0</v>
      </c>
      <c r="JW219" s="235">
        <f t="shared" si="149"/>
        <v>0</v>
      </c>
      <c r="JX219" s="235">
        <f t="shared" si="150"/>
        <v>0</v>
      </c>
      <c r="JY219" s="235">
        <f t="shared" si="151"/>
        <v>0</v>
      </c>
      <c r="JZ219" s="235">
        <f t="shared" si="152"/>
        <v>0</v>
      </c>
      <c r="KA219" s="237">
        <f t="shared" si="153"/>
        <v>0</v>
      </c>
      <c r="KB219" s="248">
        <v>46237</v>
      </c>
    </row>
    <row r="220" spans="1:288">
      <c r="A220" s="207">
        <v>46238</v>
      </c>
      <c r="JF220" s="236">
        <f t="shared" si="132"/>
        <v>0</v>
      </c>
      <c r="JG220" s="235">
        <f t="shared" si="133"/>
        <v>0</v>
      </c>
      <c r="JH220" s="235">
        <f t="shared" si="134"/>
        <v>0</v>
      </c>
      <c r="JI220" s="235">
        <f t="shared" si="135"/>
        <v>0</v>
      </c>
      <c r="JJ220" s="235">
        <f t="shared" si="136"/>
        <v>0</v>
      </c>
      <c r="JK220" s="235">
        <f t="shared" si="137"/>
        <v>0</v>
      </c>
      <c r="JL220" s="235">
        <f t="shared" si="138"/>
        <v>0</v>
      </c>
      <c r="JM220" s="235">
        <f t="shared" si="139"/>
        <v>0</v>
      </c>
      <c r="JN220" s="235">
        <f t="shared" si="140"/>
        <v>0</v>
      </c>
      <c r="JO220" s="235">
        <f t="shared" si="141"/>
        <v>0</v>
      </c>
      <c r="JP220" s="235">
        <f t="shared" si="142"/>
        <v>0</v>
      </c>
      <c r="JQ220" s="235">
        <f t="shared" si="143"/>
        <v>0</v>
      </c>
      <c r="JR220" s="235">
        <f t="shared" si="144"/>
        <v>0</v>
      </c>
      <c r="JS220" s="235">
        <f t="shared" si="145"/>
        <v>0</v>
      </c>
      <c r="JT220" s="235">
        <f t="shared" si="146"/>
        <v>0</v>
      </c>
      <c r="JU220" s="235">
        <f t="shared" si="147"/>
        <v>0</v>
      </c>
      <c r="JV220" s="235">
        <f t="shared" si="148"/>
        <v>0</v>
      </c>
      <c r="JW220" s="235">
        <f t="shared" si="149"/>
        <v>0</v>
      </c>
      <c r="JX220" s="235">
        <f t="shared" si="150"/>
        <v>0</v>
      </c>
      <c r="JY220" s="235">
        <f t="shared" si="151"/>
        <v>0</v>
      </c>
      <c r="JZ220" s="235">
        <f t="shared" si="152"/>
        <v>0</v>
      </c>
      <c r="KA220" s="237">
        <f t="shared" si="153"/>
        <v>0</v>
      </c>
      <c r="KB220" s="248">
        <v>46238</v>
      </c>
    </row>
    <row r="221" spans="1:288">
      <c r="A221" s="207">
        <v>46239</v>
      </c>
      <c r="JF221" s="236">
        <f t="shared" si="132"/>
        <v>0</v>
      </c>
      <c r="JG221" s="235">
        <f t="shared" si="133"/>
        <v>0</v>
      </c>
      <c r="JH221" s="235">
        <f t="shared" si="134"/>
        <v>0</v>
      </c>
      <c r="JI221" s="235">
        <f t="shared" si="135"/>
        <v>0</v>
      </c>
      <c r="JJ221" s="235">
        <f t="shared" si="136"/>
        <v>0</v>
      </c>
      <c r="JK221" s="235">
        <f t="shared" si="137"/>
        <v>0</v>
      </c>
      <c r="JL221" s="235">
        <f t="shared" si="138"/>
        <v>0</v>
      </c>
      <c r="JM221" s="235">
        <f t="shared" si="139"/>
        <v>0</v>
      </c>
      <c r="JN221" s="235">
        <f t="shared" si="140"/>
        <v>0</v>
      </c>
      <c r="JO221" s="235">
        <f t="shared" si="141"/>
        <v>0</v>
      </c>
      <c r="JP221" s="235">
        <f t="shared" si="142"/>
        <v>0</v>
      </c>
      <c r="JQ221" s="235">
        <f t="shared" si="143"/>
        <v>0</v>
      </c>
      <c r="JR221" s="235">
        <f t="shared" si="144"/>
        <v>0</v>
      </c>
      <c r="JS221" s="235">
        <f t="shared" si="145"/>
        <v>0</v>
      </c>
      <c r="JT221" s="235">
        <f t="shared" si="146"/>
        <v>0</v>
      </c>
      <c r="JU221" s="235">
        <f t="shared" si="147"/>
        <v>0</v>
      </c>
      <c r="JV221" s="235">
        <f t="shared" si="148"/>
        <v>0</v>
      </c>
      <c r="JW221" s="235">
        <f t="shared" si="149"/>
        <v>0</v>
      </c>
      <c r="JX221" s="235">
        <f t="shared" si="150"/>
        <v>0</v>
      </c>
      <c r="JY221" s="235">
        <f t="shared" si="151"/>
        <v>0</v>
      </c>
      <c r="JZ221" s="235">
        <f t="shared" si="152"/>
        <v>0</v>
      </c>
      <c r="KA221" s="237">
        <f t="shared" si="153"/>
        <v>0</v>
      </c>
      <c r="KB221" s="248">
        <v>46239</v>
      </c>
    </row>
    <row r="222" spans="1:288">
      <c r="A222" s="207">
        <v>46240</v>
      </c>
      <c r="JF222" s="236">
        <f t="shared" si="132"/>
        <v>0</v>
      </c>
      <c r="JG222" s="235">
        <f t="shared" si="133"/>
        <v>0</v>
      </c>
      <c r="JH222" s="235">
        <f t="shared" si="134"/>
        <v>0</v>
      </c>
      <c r="JI222" s="235">
        <f t="shared" si="135"/>
        <v>0</v>
      </c>
      <c r="JJ222" s="235">
        <f t="shared" si="136"/>
        <v>0</v>
      </c>
      <c r="JK222" s="235">
        <f t="shared" si="137"/>
        <v>0</v>
      </c>
      <c r="JL222" s="235">
        <f t="shared" si="138"/>
        <v>0</v>
      </c>
      <c r="JM222" s="235">
        <f t="shared" si="139"/>
        <v>0</v>
      </c>
      <c r="JN222" s="235">
        <f t="shared" si="140"/>
        <v>0</v>
      </c>
      <c r="JO222" s="235">
        <f t="shared" si="141"/>
        <v>0</v>
      </c>
      <c r="JP222" s="235">
        <f t="shared" si="142"/>
        <v>0</v>
      </c>
      <c r="JQ222" s="235">
        <f t="shared" si="143"/>
        <v>0</v>
      </c>
      <c r="JR222" s="235">
        <f t="shared" si="144"/>
        <v>0</v>
      </c>
      <c r="JS222" s="235">
        <f t="shared" si="145"/>
        <v>0</v>
      </c>
      <c r="JT222" s="235">
        <f t="shared" si="146"/>
        <v>0</v>
      </c>
      <c r="JU222" s="235">
        <f t="shared" si="147"/>
        <v>0</v>
      </c>
      <c r="JV222" s="235">
        <f t="shared" si="148"/>
        <v>0</v>
      </c>
      <c r="JW222" s="235">
        <f t="shared" si="149"/>
        <v>0</v>
      </c>
      <c r="JX222" s="235">
        <f t="shared" si="150"/>
        <v>0</v>
      </c>
      <c r="JY222" s="235">
        <f t="shared" si="151"/>
        <v>0</v>
      </c>
      <c r="JZ222" s="235">
        <f t="shared" si="152"/>
        <v>0</v>
      </c>
      <c r="KA222" s="237">
        <f t="shared" si="153"/>
        <v>0</v>
      </c>
      <c r="KB222" s="248">
        <v>46240</v>
      </c>
    </row>
    <row r="223" spans="1:288">
      <c r="A223" s="207">
        <v>46241</v>
      </c>
      <c r="JF223" s="236">
        <f t="shared" si="132"/>
        <v>0</v>
      </c>
      <c r="JG223" s="235">
        <f t="shared" si="133"/>
        <v>0</v>
      </c>
      <c r="JH223" s="235">
        <f t="shared" si="134"/>
        <v>0</v>
      </c>
      <c r="JI223" s="235">
        <f t="shared" si="135"/>
        <v>0</v>
      </c>
      <c r="JJ223" s="235">
        <f t="shared" si="136"/>
        <v>0</v>
      </c>
      <c r="JK223" s="235">
        <f t="shared" si="137"/>
        <v>0</v>
      </c>
      <c r="JL223" s="235">
        <f t="shared" si="138"/>
        <v>0</v>
      </c>
      <c r="JM223" s="235">
        <f t="shared" si="139"/>
        <v>0</v>
      </c>
      <c r="JN223" s="235">
        <f t="shared" si="140"/>
        <v>0</v>
      </c>
      <c r="JO223" s="235">
        <f t="shared" si="141"/>
        <v>0</v>
      </c>
      <c r="JP223" s="235">
        <f t="shared" si="142"/>
        <v>0</v>
      </c>
      <c r="JQ223" s="235">
        <f t="shared" si="143"/>
        <v>0</v>
      </c>
      <c r="JR223" s="235">
        <f t="shared" si="144"/>
        <v>0</v>
      </c>
      <c r="JS223" s="235">
        <f t="shared" si="145"/>
        <v>0</v>
      </c>
      <c r="JT223" s="235">
        <f t="shared" si="146"/>
        <v>0</v>
      </c>
      <c r="JU223" s="235">
        <f t="shared" si="147"/>
        <v>0</v>
      </c>
      <c r="JV223" s="235">
        <f t="shared" si="148"/>
        <v>0</v>
      </c>
      <c r="JW223" s="235">
        <f t="shared" si="149"/>
        <v>0</v>
      </c>
      <c r="JX223" s="235">
        <f t="shared" si="150"/>
        <v>0</v>
      </c>
      <c r="JY223" s="235">
        <f t="shared" si="151"/>
        <v>0</v>
      </c>
      <c r="JZ223" s="235">
        <f t="shared" si="152"/>
        <v>0</v>
      </c>
      <c r="KA223" s="237">
        <f t="shared" si="153"/>
        <v>0</v>
      </c>
      <c r="KB223" s="248">
        <v>46241</v>
      </c>
    </row>
    <row r="224" spans="1:288">
      <c r="A224" s="207">
        <v>46242</v>
      </c>
      <c r="JF224" s="236">
        <f t="shared" si="132"/>
        <v>0</v>
      </c>
      <c r="JG224" s="235">
        <f t="shared" si="133"/>
        <v>0</v>
      </c>
      <c r="JH224" s="235">
        <f t="shared" si="134"/>
        <v>0</v>
      </c>
      <c r="JI224" s="235">
        <f t="shared" si="135"/>
        <v>0</v>
      </c>
      <c r="JJ224" s="235">
        <f t="shared" si="136"/>
        <v>0</v>
      </c>
      <c r="JK224" s="235">
        <f t="shared" si="137"/>
        <v>0</v>
      </c>
      <c r="JL224" s="235">
        <f t="shared" si="138"/>
        <v>0</v>
      </c>
      <c r="JM224" s="235">
        <f t="shared" si="139"/>
        <v>0</v>
      </c>
      <c r="JN224" s="235">
        <f t="shared" si="140"/>
        <v>0</v>
      </c>
      <c r="JO224" s="235">
        <f t="shared" si="141"/>
        <v>0</v>
      </c>
      <c r="JP224" s="235">
        <f t="shared" si="142"/>
        <v>0</v>
      </c>
      <c r="JQ224" s="235">
        <f t="shared" si="143"/>
        <v>0</v>
      </c>
      <c r="JR224" s="235">
        <f t="shared" si="144"/>
        <v>0</v>
      </c>
      <c r="JS224" s="235">
        <f t="shared" si="145"/>
        <v>0</v>
      </c>
      <c r="JT224" s="235">
        <f t="shared" si="146"/>
        <v>0</v>
      </c>
      <c r="JU224" s="235">
        <f t="shared" si="147"/>
        <v>0</v>
      </c>
      <c r="JV224" s="235">
        <f t="shared" si="148"/>
        <v>0</v>
      </c>
      <c r="JW224" s="235">
        <f t="shared" si="149"/>
        <v>0</v>
      </c>
      <c r="JX224" s="235">
        <f t="shared" si="150"/>
        <v>0</v>
      </c>
      <c r="JY224" s="235">
        <f t="shared" si="151"/>
        <v>0</v>
      </c>
      <c r="JZ224" s="235">
        <f t="shared" si="152"/>
        <v>0</v>
      </c>
      <c r="KA224" s="237">
        <f t="shared" si="153"/>
        <v>0</v>
      </c>
      <c r="KB224" s="248">
        <v>46242</v>
      </c>
    </row>
    <row r="225" spans="1:288">
      <c r="A225" s="207">
        <v>46243</v>
      </c>
      <c r="JF225" s="236">
        <f t="shared" si="132"/>
        <v>0</v>
      </c>
      <c r="JG225" s="235">
        <f t="shared" si="133"/>
        <v>0</v>
      </c>
      <c r="JH225" s="235">
        <f t="shared" si="134"/>
        <v>0</v>
      </c>
      <c r="JI225" s="235">
        <f t="shared" si="135"/>
        <v>0</v>
      </c>
      <c r="JJ225" s="235">
        <f t="shared" si="136"/>
        <v>0</v>
      </c>
      <c r="JK225" s="235">
        <f t="shared" si="137"/>
        <v>0</v>
      </c>
      <c r="JL225" s="235">
        <f t="shared" si="138"/>
        <v>0</v>
      </c>
      <c r="JM225" s="235">
        <f t="shared" si="139"/>
        <v>0</v>
      </c>
      <c r="JN225" s="235">
        <f t="shared" si="140"/>
        <v>0</v>
      </c>
      <c r="JO225" s="235">
        <f t="shared" si="141"/>
        <v>0</v>
      </c>
      <c r="JP225" s="235">
        <f t="shared" si="142"/>
        <v>0</v>
      </c>
      <c r="JQ225" s="235">
        <f t="shared" si="143"/>
        <v>0</v>
      </c>
      <c r="JR225" s="235">
        <f t="shared" si="144"/>
        <v>0</v>
      </c>
      <c r="JS225" s="235">
        <f t="shared" si="145"/>
        <v>0</v>
      </c>
      <c r="JT225" s="235">
        <f t="shared" si="146"/>
        <v>0</v>
      </c>
      <c r="JU225" s="235">
        <f t="shared" si="147"/>
        <v>0</v>
      </c>
      <c r="JV225" s="235">
        <f t="shared" si="148"/>
        <v>0</v>
      </c>
      <c r="JW225" s="235">
        <f t="shared" si="149"/>
        <v>0</v>
      </c>
      <c r="JX225" s="235">
        <f t="shared" si="150"/>
        <v>0</v>
      </c>
      <c r="JY225" s="235">
        <f t="shared" si="151"/>
        <v>0</v>
      </c>
      <c r="JZ225" s="235">
        <f t="shared" si="152"/>
        <v>0</v>
      </c>
      <c r="KA225" s="237">
        <f t="shared" si="153"/>
        <v>0</v>
      </c>
      <c r="KB225" s="248">
        <v>46243</v>
      </c>
    </row>
    <row r="226" spans="1:288">
      <c r="A226" s="207">
        <v>46244</v>
      </c>
      <c r="JF226" s="236">
        <f t="shared" si="132"/>
        <v>0</v>
      </c>
      <c r="JG226" s="235">
        <f t="shared" si="133"/>
        <v>0</v>
      </c>
      <c r="JH226" s="235">
        <f t="shared" si="134"/>
        <v>0</v>
      </c>
      <c r="JI226" s="235">
        <f t="shared" si="135"/>
        <v>0</v>
      </c>
      <c r="JJ226" s="235">
        <f t="shared" si="136"/>
        <v>0</v>
      </c>
      <c r="JK226" s="235">
        <f t="shared" si="137"/>
        <v>0</v>
      </c>
      <c r="JL226" s="235">
        <f t="shared" si="138"/>
        <v>0</v>
      </c>
      <c r="JM226" s="235">
        <f t="shared" si="139"/>
        <v>0</v>
      </c>
      <c r="JN226" s="235">
        <f t="shared" si="140"/>
        <v>0</v>
      </c>
      <c r="JO226" s="235">
        <f t="shared" si="141"/>
        <v>0</v>
      </c>
      <c r="JP226" s="235">
        <f t="shared" si="142"/>
        <v>0</v>
      </c>
      <c r="JQ226" s="235">
        <f t="shared" si="143"/>
        <v>0</v>
      </c>
      <c r="JR226" s="235">
        <f t="shared" si="144"/>
        <v>0</v>
      </c>
      <c r="JS226" s="235">
        <f t="shared" si="145"/>
        <v>0</v>
      </c>
      <c r="JT226" s="235">
        <f t="shared" si="146"/>
        <v>0</v>
      </c>
      <c r="JU226" s="235">
        <f t="shared" si="147"/>
        <v>0</v>
      </c>
      <c r="JV226" s="235">
        <f t="shared" si="148"/>
        <v>0</v>
      </c>
      <c r="JW226" s="235">
        <f t="shared" si="149"/>
        <v>0</v>
      </c>
      <c r="JX226" s="235">
        <f t="shared" si="150"/>
        <v>0</v>
      </c>
      <c r="JY226" s="235">
        <f t="shared" si="151"/>
        <v>0</v>
      </c>
      <c r="JZ226" s="235">
        <f t="shared" si="152"/>
        <v>0</v>
      </c>
      <c r="KA226" s="237">
        <f t="shared" si="153"/>
        <v>0</v>
      </c>
      <c r="KB226" s="248">
        <v>46244</v>
      </c>
    </row>
    <row r="227" spans="1:288">
      <c r="A227" s="207">
        <v>46245</v>
      </c>
      <c r="JF227" s="236">
        <f t="shared" si="132"/>
        <v>0</v>
      </c>
      <c r="JG227" s="235">
        <f t="shared" si="133"/>
        <v>0</v>
      </c>
      <c r="JH227" s="235">
        <f t="shared" si="134"/>
        <v>0</v>
      </c>
      <c r="JI227" s="235">
        <f t="shared" si="135"/>
        <v>0</v>
      </c>
      <c r="JJ227" s="235">
        <f t="shared" si="136"/>
        <v>0</v>
      </c>
      <c r="JK227" s="235">
        <f t="shared" si="137"/>
        <v>0</v>
      </c>
      <c r="JL227" s="235">
        <f t="shared" si="138"/>
        <v>0</v>
      </c>
      <c r="JM227" s="235">
        <f t="shared" si="139"/>
        <v>0</v>
      </c>
      <c r="JN227" s="235">
        <f t="shared" si="140"/>
        <v>0</v>
      </c>
      <c r="JO227" s="235">
        <f t="shared" si="141"/>
        <v>0</v>
      </c>
      <c r="JP227" s="235">
        <f t="shared" si="142"/>
        <v>0</v>
      </c>
      <c r="JQ227" s="235">
        <f t="shared" si="143"/>
        <v>0</v>
      </c>
      <c r="JR227" s="235">
        <f t="shared" si="144"/>
        <v>0</v>
      </c>
      <c r="JS227" s="235">
        <f t="shared" si="145"/>
        <v>0</v>
      </c>
      <c r="JT227" s="235">
        <f t="shared" si="146"/>
        <v>0</v>
      </c>
      <c r="JU227" s="235">
        <f t="shared" si="147"/>
        <v>0</v>
      </c>
      <c r="JV227" s="235">
        <f t="shared" si="148"/>
        <v>0</v>
      </c>
      <c r="JW227" s="235">
        <f t="shared" si="149"/>
        <v>0</v>
      </c>
      <c r="JX227" s="235">
        <f t="shared" si="150"/>
        <v>0</v>
      </c>
      <c r="JY227" s="235">
        <f t="shared" si="151"/>
        <v>0</v>
      </c>
      <c r="JZ227" s="235">
        <f t="shared" si="152"/>
        <v>0</v>
      </c>
      <c r="KA227" s="237">
        <f t="shared" si="153"/>
        <v>0</v>
      </c>
      <c r="KB227" s="248">
        <v>46245</v>
      </c>
    </row>
    <row r="228" spans="1:288">
      <c r="A228" s="207">
        <v>46246</v>
      </c>
      <c r="JF228" s="236">
        <f t="shared" si="132"/>
        <v>0</v>
      </c>
      <c r="JG228" s="235">
        <f t="shared" si="133"/>
        <v>0</v>
      </c>
      <c r="JH228" s="235">
        <f t="shared" si="134"/>
        <v>0</v>
      </c>
      <c r="JI228" s="235">
        <f t="shared" si="135"/>
        <v>0</v>
      </c>
      <c r="JJ228" s="235">
        <f t="shared" si="136"/>
        <v>0</v>
      </c>
      <c r="JK228" s="235">
        <f t="shared" si="137"/>
        <v>0</v>
      </c>
      <c r="JL228" s="235">
        <f t="shared" si="138"/>
        <v>0</v>
      </c>
      <c r="JM228" s="235">
        <f t="shared" si="139"/>
        <v>0</v>
      </c>
      <c r="JN228" s="235">
        <f t="shared" si="140"/>
        <v>0</v>
      </c>
      <c r="JO228" s="235">
        <f t="shared" si="141"/>
        <v>0</v>
      </c>
      <c r="JP228" s="235">
        <f t="shared" si="142"/>
        <v>0</v>
      </c>
      <c r="JQ228" s="235">
        <f t="shared" si="143"/>
        <v>0</v>
      </c>
      <c r="JR228" s="235">
        <f t="shared" si="144"/>
        <v>0</v>
      </c>
      <c r="JS228" s="235">
        <f t="shared" si="145"/>
        <v>0</v>
      </c>
      <c r="JT228" s="235">
        <f t="shared" si="146"/>
        <v>0</v>
      </c>
      <c r="JU228" s="235">
        <f t="shared" si="147"/>
        <v>0</v>
      </c>
      <c r="JV228" s="235">
        <f t="shared" si="148"/>
        <v>0</v>
      </c>
      <c r="JW228" s="235">
        <f t="shared" si="149"/>
        <v>0</v>
      </c>
      <c r="JX228" s="235">
        <f t="shared" si="150"/>
        <v>0</v>
      </c>
      <c r="JY228" s="235">
        <f t="shared" si="151"/>
        <v>0</v>
      </c>
      <c r="JZ228" s="235">
        <f t="shared" si="152"/>
        <v>0</v>
      </c>
      <c r="KA228" s="237">
        <f t="shared" si="153"/>
        <v>0</v>
      </c>
      <c r="KB228" s="248">
        <v>46246</v>
      </c>
    </row>
    <row r="229" spans="1:288">
      <c r="A229" s="207">
        <v>46247</v>
      </c>
      <c r="JF229" s="236">
        <f t="shared" si="132"/>
        <v>0</v>
      </c>
      <c r="JG229" s="235">
        <f t="shared" si="133"/>
        <v>0</v>
      </c>
      <c r="JH229" s="235">
        <f t="shared" si="134"/>
        <v>0</v>
      </c>
      <c r="JI229" s="235">
        <f t="shared" si="135"/>
        <v>0</v>
      </c>
      <c r="JJ229" s="235">
        <f t="shared" si="136"/>
        <v>0</v>
      </c>
      <c r="JK229" s="235">
        <f t="shared" si="137"/>
        <v>0</v>
      </c>
      <c r="JL229" s="235">
        <f t="shared" si="138"/>
        <v>0</v>
      </c>
      <c r="JM229" s="235">
        <f t="shared" si="139"/>
        <v>0</v>
      </c>
      <c r="JN229" s="235">
        <f t="shared" si="140"/>
        <v>0</v>
      </c>
      <c r="JO229" s="235">
        <f t="shared" si="141"/>
        <v>0</v>
      </c>
      <c r="JP229" s="235">
        <f t="shared" si="142"/>
        <v>0</v>
      </c>
      <c r="JQ229" s="235">
        <f t="shared" si="143"/>
        <v>0</v>
      </c>
      <c r="JR229" s="235">
        <f t="shared" si="144"/>
        <v>0</v>
      </c>
      <c r="JS229" s="235">
        <f t="shared" si="145"/>
        <v>0</v>
      </c>
      <c r="JT229" s="235">
        <f t="shared" si="146"/>
        <v>0</v>
      </c>
      <c r="JU229" s="235">
        <f t="shared" si="147"/>
        <v>0</v>
      </c>
      <c r="JV229" s="235">
        <f t="shared" si="148"/>
        <v>0</v>
      </c>
      <c r="JW229" s="235">
        <f t="shared" si="149"/>
        <v>0</v>
      </c>
      <c r="JX229" s="235">
        <f t="shared" si="150"/>
        <v>0</v>
      </c>
      <c r="JY229" s="235">
        <f t="shared" si="151"/>
        <v>0</v>
      </c>
      <c r="JZ229" s="235">
        <f t="shared" si="152"/>
        <v>0</v>
      </c>
      <c r="KA229" s="237">
        <f t="shared" si="153"/>
        <v>0</v>
      </c>
      <c r="KB229" s="248">
        <v>46247</v>
      </c>
    </row>
    <row r="230" spans="1:288">
      <c r="A230" s="207">
        <v>46248</v>
      </c>
      <c r="JF230" s="236">
        <f t="shared" si="132"/>
        <v>0</v>
      </c>
      <c r="JG230" s="235">
        <f t="shared" si="133"/>
        <v>0</v>
      </c>
      <c r="JH230" s="235">
        <f t="shared" si="134"/>
        <v>0</v>
      </c>
      <c r="JI230" s="235">
        <f t="shared" si="135"/>
        <v>0</v>
      </c>
      <c r="JJ230" s="235">
        <f t="shared" si="136"/>
        <v>0</v>
      </c>
      <c r="JK230" s="235">
        <f t="shared" si="137"/>
        <v>0</v>
      </c>
      <c r="JL230" s="235">
        <f t="shared" si="138"/>
        <v>0</v>
      </c>
      <c r="JM230" s="235">
        <f t="shared" si="139"/>
        <v>0</v>
      </c>
      <c r="JN230" s="235">
        <f t="shared" si="140"/>
        <v>0</v>
      </c>
      <c r="JO230" s="235">
        <f t="shared" si="141"/>
        <v>0</v>
      </c>
      <c r="JP230" s="235">
        <f t="shared" si="142"/>
        <v>0</v>
      </c>
      <c r="JQ230" s="235">
        <f t="shared" si="143"/>
        <v>0</v>
      </c>
      <c r="JR230" s="235">
        <f t="shared" si="144"/>
        <v>0</v>
      </c>
      <c r="JS230" s="235">
        <f t="shared" si="145"/>
        <v>0</v>
      </c>
      <c r="JT230" s="235">
        <f t="shared" si="146"/>
        <v>0</v>
      </c>
      <c r="JU230" s="235">
        <f t="shared" si="147"/>
        <v>0</v>
      </c>
      <c r="JV230" s="235">
        <f t="shared" si="148"/>
        <v>0</v>
      </c>
      <c r="JW230" s="235">
        <f t="shared" si="149"/>
        <v>0</v>
      </c>
      <c r="JX230" s="235">
        <f t="shared" si="150"/>
        <v>0</v>
      </c>
      <c r="JY230" s="235">
        <f t="shared" si="151"/>
        <v>0</v>
      </c>
      <c r="JZ230" s="235">
        <f t="shared" si="152"/>
        <v>0</v>
      </c>
      <c r="KA230" s="237">
        <f t="shared" si="153"/>
        <v>0</v>
      </c>
      <c r="KB230" s="248">
        <v>46248</v>
      </c>
    </row>
    <row r="231" spans="1:288">
      <c r="A231" s="207">
        <v>46249</v>
      </c>
      <c r="JF231" s="236">
        <f t="shared" si="132"/>
        <v>0</v>
      </c>
      <c r="JG231" s="235">
        <f t="shared" si="133"/>
        <v>0</v>
      </c>
      <c r="JH231" s="235">
        <f t="shared" si="134"/>
        <v>0</v>
      </c>
      <c r="JI231" s="235">
        <f t="shared" si="135"/>
        <v>0</v>
      </c>
      <c r="JJ231" s="235">
        <f t="shared" si="136"/>
        <v>0</v>
      </c>
      <c r="JK231" s="235">
        <f t="shared" si="137"/>
        <v>0</v>
      </c>
      <c r="JL231" s="235">
        <f t="shared" si="138"/>
        <v>0</v>
      </c>
      <c r="JM231" s="235">
        <f t="shared" si="139"/>
        <v>0</v>
      </c>
      <c r="JN231" s="235">
        <f t="shared" si="140"/>
        <v>0</v>
      </c>
      <c r="JO231" s="235">
        <f t="shared" si="141"/>
        <v>0</v>
      </c>
      <c r="JP231" s="235">
        <f t="shared" si="142"/>
        <v>0</v>
      </c>
      <c r="JQ231" s="235">
        <f t="shared" si="143"/>
        <v>0</v>
      </c>
      <c r="JR231" s="235">
        <f t="shared" si="144"/>
        <v>0</v>
      </c>
      <c r="JS231" s="235">
        <f t="shared" si="145"/>
        <v>0</v>
      </c>
      <c r="JT231" s="235">
        <f t="shared" si="146"/>
        <v>0</v>
      </c>
      <c r="JU231" s="235">
        <f t="shared" si="147"/>
        <v>0</v>
      </c>
      <c r="JV231" s="235">
        <f t="shared" si="148"/>
        <v>0</v>
      </c>
      <c r="JW231" s="235">
        <f t="shared" si="149"/>
        <v>0</v>
      </c>
      <c r="JX231" s="235">
        <f t="shared" si="150"/>
        <v>0</v>
      </c>
      <c r="JY231" s="235">
        <f t="shared" si="151"/>
        <v>0</v>
      </c>
      <c r="JZ231" s="235">
        <f t="shared" si="152"/>
        <v>0</v>
      </c>
      <c r="KA231" s="237">
        <f t="shared" si="153"/>
        <v>0</v>
      </c>
      <c r="KB231" s="248">
        <v>46249</v>
      </c>
    </row>
    <row r="232" spans="1:288">
      <c r="A232" s="207">
        <v>46250</v>
      </c>
      <c r="JF232" s="236">
        <f t="shared" si="132"/>
        <v>0</v>
      </c>
      <c r="JG232" s="235">
        <f t="shared" si="133"/>
        <v>0</v>
      </c>
      <c r="JH232" s="235">
        <f t="shared" si="134"/>
        <v>0</v>
      </c>
      <c r="JI232" s="235">
        <f t="shared" si="135"/>
        <v>0</v>
      </c>
      <c r="JJ232" s="235">
        <f t="shared" si="136"/>
        <v>0</v>
      </c>
      <c r="JK232" s="235">
        <f t="shared" si="137"/>
        <v>0</v>
      </c>
      <c r="JL232" s="235">
        <f t="shared" si="138"/>
        <v>0</v>
      </c>
      <c r="JM232" s="235">
        <f t="shared" si="139"/>
        <v>0</v>
      </c>
      <c r="JN232" s="235">
        <f t="shared" si="140"/>
        <v>0</v>
      </c>
      <c r="JO232" s="235">
        <f t="shared" si="141"/>
        <v>0</v>
      </c>
      <c r="JP232" s="235">
        <f t="shared" si="142"/>
        <v>0</v>
      </c>
      <c r="JQ232" s="235">
        <f t="shared" si="143"/>
        <v>0</v>
      </c>
      <c r="JR232" s="235">
        <f t="shared" si="144"/>
        <v>0</v>
      </c>
      <c r="JS232" s="235">
        <f t="shared" si="145"/>
        <v>0</v>
      </c>
      <c r="JT232" s="235">
        <f t="shared" si="146"/>
        <v>0</v>
      </c>
      <c r="JU232" s="235">
        <f t="shared" si="147"/>
        <v>0</v>
      </c>
      <c r="JV232" s="235">
        <f t="shared" si="148"/>
        <v>0</v>
      </c>
      <c r="JW232" s="235">
        <f t="shared" si="149"/>
        <v>0</v>
      </c>
      <c r="JX232" s="235">
        <f t="shared" si="150"/>
        <v>0</v>
      </c>
      <c r="JY232" s="235">
        <f t="shared" si="151"/>
        <v>0</v>
      </c>
      <c r="JZ232" s="235">
        <f t="shared" si="152"/>
        <v>0</v>
      </c>
      <c r="KA232" s="237">
        <f t="shared" si="153"/>
        <v>0</v>
      </c>
      <c r="KB232" s="248">
        <v>46250</v>
      </c>
    </row>
    <row r="233" spans="1:288">
      <c r="A233" s="207">
        <v>46251</v>
      </c>
      <c r="JF233" s="236">
        <f t="shared" si="132"/>
        <v>0</v>
      </c>
      <c r="JG233" s="235">
        <f t="shared" si="133"/>
        <v>0</v>
      </c>
      <c r="JH233" s="235">
        <f t="shared" si="134"/>
        <v>0</v>
      </c>
      <c r="JI233" s="235">
        <f t="shared" si="135"/>
        <v>0</v>
      </c>
      <c r="JJ233" s="235">
        <f t="shared" si="136"/>
        <v>0</v>
      </c>
      <c r="JK233" s="235">
        <f t="shared" si="137"/>
        <v>0</v>
      </c>
      <c r="JL233" s="235">
        <f t="shared" si="138"/>
        <v>0</v>
      </c>
      <c r="JM233" s="235">
        <f t="shared" si="139"/>
        <v>0</v>
      </c>
      <c r="JN233" s="235">
        <f t="shared" si="140"/>
        <v>0</v>
      </c>
      <c r="JO233" s="235">
        <f t="shared" si="141"/>
        <v>0</v>
      </c>
      <c r="JP233" s="235">
        <f t="shared" si="142"/>
        <v>0</v>
      </c>
      <c r="JQ233" s="235">
        <f t="shared" si="143"/>
        <v>0</v>
      </c>
      <c r="JR233" s="235">
        <f t="shared" si="144"/>
        <v>0</v>
      </c>
      <c r="JS233" s="235">
        <f t="shared" si="145"/>
        <v>0</v>
      </c>
      <c r="JT233" s="235">
        <f t="shared" si="146"/>
        <v>0</v>
      </c>
      <c r="JU233" s="235">
        <f t="shared" si="147"/>
        <v>0</v>
      </c>
      <c r="JV233" s="235">
        <f t="shared" si="148"/>
        <v>0</v>
      </c>
      <c r="JW233" s="235">
        <f t="shared" si="149"/>
        <v>0</v>
      </c>
      <c r="JX233" s="235">
        <f t="shared" si="150"/>
        <v>0</v>
      </c>
      <c r="JY233" s="235">
        <f t="shared" si="151"/>
        <v>0</v>
      </c>
      <c r="JZ233" s="235">
        <f t="shared" si="152"/>
        <v>0</v>
      </c>
      <c r="KA233" s="237">
        <f t="shared" si="153"/>
        <v>0</v>
      </c>
      <c r="KB233" s="248">
        <v>46251</v>
      </c>
    </row>
    <row r="234" spans="1:288">
      <c r="A234" s="207">
        <v>46252</v>
      </c>
      <c r="JF234" s="236">
        <f t="shared" si="132"/>
        <v>0</v>
      </c>
      <c r="JG234" s="235">
        <f t="shared" si="133"/>
        <v>0</v>
      </c>
      <c r="JH234" s="235">
        <f t="shared" si="134"/>
        <v>0</v>
      </c>
      <c r="JI234" s="235">
        <f t="shared" si="135"/>
        <v>0</v>
      </c>
      <c r="JJ234" s="235">
        <f t="shared" si="136"/>
        <v>0</v>
      </c>
      <c r="JK234" s="235">
        <f t="shared" si="137"/>
        <v>0</v>
      </c>
      <c r="JL234" s="235">
        <f t="shared" si="138"/>
        <v>0</v>
      </c>
      <c r="JM234" s="235">
        <f t="shared" si="139"/>
        <v>0</v>
      </c>
      <c r="JN234" s="235">
        <f t="shared" si="140"/>
        <v>0</v>
      </c>
      <c r="JO234" s="235">
        <f t="shared" si="141"/>
        <v>0</v>
      </c>
      <c r="JP234" s="235">
        <f t="shared" si="142"/>
        <v>0</v>
      </c>
      <c r="JQ234" s="235">
        <f t="shared" si="143"/>
        <v>0</v>
      </c>
      <c r="JR234" s="235">
        <f t="shared" si="144"/>
        <v>0</v>
      </c>
      <c r="JS234" s="235">
        <f t="shared" si="145"/>
        <v>0</v>
      </c>
      <c r="JT234" s="235">
        <f t="shared" si="146"/>
        <v>0</v>
      </c>
      <c r="JU234" s="235">
        <f t="shared" si="147"/>
        <v>0</v>
      </c>
      <c r="JV234" s="235">
        <f t="shared" si="148"/>
        <v>0</v>
      </c>
      <c r="JW234" s="235">
        <f t="shared" si="149"/>
        <v>0</v>
      </c>
      <c r="JX234" s="235">
        <f t="shared" si="150"/>
        <v>0</v>
      </c>
      <c r="JY234" s="235">
        <f t="shared" si="151"/>
        <v>0</v>
      </c>
      <c r="JZ234" s="235">
        <f t="shared" si="152"/>
        <v>0</v>
      </c>
      <c r="KA234" s="237">
        <f t="shared" si="153"/>
        <v>0</v>
      </c>
      <c r="KB234" s="248">
        <v>46252</v>
      </c>
    </row>
    <row r="235" spans="1:288">
      <c r="A235" s="207">
        <v>46253</v>
      </c>
      <c r="JF235" s="236">
        <f t="shared" si="132"/>
        <v>0</v>
      </c>
      <c r="JG235" s="235">
        <f t="shared" si="133"/>
        <v>0</v>
      </c>
      <c r="JH235" s="235">
        <f t="shared" si="134"/>
        <v>0</v>
      </c>
      <c r="JI235" s="235">
        <f t="shared" si="135"/>
        <v>0</v>
      </c>
      <c r="JJ235" s="235">
        <f t="shared" si="136"/>
        <v>0</v>
      </c>
      <c r="JK235" s="235">
        <f t="shared" si="137"/>
        <v>0</v>
      </c>
      <c r="JL235" s="235">
        <f t="shared" si="138"/>
        <v>0</v>
      </c>
      <c r="JM235" s="235">
        <f t="shared" si="139"/>
        <v>0</v>
      </c>
      <c r="JN235" s="235">
        <f t="shared" si="140"/>
        <v>0</v>
      </c>
      <c r="JO235" s="235">
        <f t="shared" si="141"/>
        <v>0</v>
      </c>
      <c r="JP235" s="235">
        <f t="shared" si="142"/>
        <v>0</v>
      </c>
      <c r="JQ235" s="235">
        <f t="shared" si="143"/>
        <v>0</v>
      </c>
      <c r="JR235" s="235">
        <f t="shared" si="144"/>
        <v>0</v>
      </c>
      <c r="JS235" s="235">
        <f t="shared" si="145"/>
        <v>0</v>
      </c>
      <c r="JT235" s="235">
        <f t="shared" si="146"/>
        <v>0</v>
      </c>
      <c r="JU235" s="235">
        <f t="shared" si="147"/>
        <v>0</v>
      </c>
      <c r="JV235" s="235">
        <f t="shared" si="148"/>
        <v>0</v>
      </c>
      <c r="JW235" s="235">
        <f t="shared" si="149"/>
        <v>0</v>
      </c>
      <c r="JX235" s="235">
        <f t="shared" si="150"/>
        <v>0</v>
      </c>
      <c r="JY235" s="235">
        <f t="shared" si="151"/>
        <v>0</v>
      </c>
      <c r="JZ235" s="235">
        <f t="shared" si="152"/>
        <v>0</v>
      </c>
      <c r="KA235" s="237">
        <f t="shared" si="153"/>
        <v>0</v>
      </c>
      <c r="KB235" s="248">
        <v>46253</v>
      </c>
    </row>
    <row r="236" spans="1:288">
      <c r="A236" s="207">
        <v>46254</v>
      </c>
      <c r="JF236" s="236">
        <f t="shared" si="132"/>
        <v>0</v>
      </c>
      <c r="JG236" s="235">
        <f t="shared" si="133"/>
        <v>0</v>
      </c>
      <c r="JH236" s="235">
        <f t="shared" si="134"/>
        <v>0</v>
      </c>
      <c r="JI236" s="235">
        <f t="shared" si="135"/>
        <v>0</v>
      </c>
      <c r="JJ236" s="235">
        <f t="shared" si="136"/>
        <v>0</v>
      </c>
      <c r="JK236" s="235">
        <f t="shared" si="137"/>
        <v>0</v>
      </c>
      <c r="JL236" s="235">
        <f t="shared" si="138"/>
        <v>0</v>
      </c>
      <c r="JM236" s="235">
        <f t="shared" si="139"/>
        <v>0</v>
      </c>
      <c r="JN236" s="235">
        <f t="shared" si="140"/>
        <v>0</v>
      </c>
      <c r="JO236" s="235">
        <f t="shared" si="141"/>
        <v>0</v>
      </c>
      <c r="JP236" s="235">
        <f t="shared" si="142"/>
        <v>0</v>
      </c>
      <c r="JQ236" s="235">
        <f t="shared" si="143"/>
        <v>0</v>
      </c>
      <c r="JR236" s="235">
        <f t="shared" si="144"/>
        <v>0</v>
      </c>
      <c r="JS236" s="235">
        <f t="shared" si="145"/>
        <v>0</v>
      </c>
      <c r="JT236" s="235">
        <f t="shared" si="146"/>
        <v>0</v>
      </c>
      <c r="JU236" s="235">
        <f t="shared" si="147"/>
        <v>0</v>
      </c>
      <c r="JV236" s="235">
        <f t="shared" si="148"/>
        <v>0</v>
      </c>
      <c r="JW236" s="235">
        <f t="shared" si="149"/>
        <v>0</v>
      </c>
      <c r="JX236" s="235">
        <f t="shared" si="150"/>
        <v>0</v>
      </c>
      <c r="JY236" s="235">
        <f t="shared" si="151"/>
        <v>0</v>
      </c>
      <c r="JZ236" s="235">
        <f t="shared" si="152"/>
        <v>0</v>
      </c>
      <c r="KA236" s="237">
        <f t="shared" si="153"/>
        <v>0</v>
      </c>
      <c r="KB236" s="248">
        <v>46254</v>
      </c>
    </row>
    <row r="237" spans="1:288">
      <c r="A237" s="207">
        <v>46255</v>
      </c>
      <c r="JF237" s="236">
        <f t="shared" si="132"/>
        <v>0</v>
      </c>
      <c r="JG237" s="235">
        <f t="shared" si="133"/>
        <v>0</v>
      </c>
      <c r="JH237" s="235">
        <f t="shared" si="134"/>
        <v>0</v>
      </c>
      <c r="JI237" s="235">
        <f t="shared" si="135"/>
        <v>0</v>
      </c>
      <c r="JJ237" s="235">
        <f t="shared" si="136"/>
        <v>0</v>
      </c>
      <c r="JK237" s="235">
        <f t="shared" si="137"/>
        <v>0</v>
      </c>
      <c r="JL237" s="235">
        <f t="shared" si="138"/>
        <v>0</v>
      </c>
      <c r="JM237" s="235">
        <f t="shared" si="139"/>
        <v>0</v>
      </c>
      <c r="JN237" s="235">
        <f t="shared" si="140"/>
        <v>0</v>
      </c>
      <c r="JO237" s="235">
        <f t="shared" si="141"/>
        <v>0</v>
      </c>
      <c r="JP237" s="235">
        <f t="shared" si="142"/>
        <v>0</v>
      </c>
      <c r="JQ237" s="235">
        <f t="shared" si="143"/>
        <v>0</v>
      </c>
      <c r="JR237" s="235">
        <f t="shared" si="144"/>
        <v>0</v>
      </c>
      <c r="JS237" s="235">
        <f t="shared" si="145"/>
        <v>0</v>
      </c>
      <c r="JT237" s="235">
        <f t="shared" si="146"/>
        <v>0</v>
      </c>
      <c r="JU237" s="235">
        <f t="shared" si="147"/>
        <v>0</v>
      </c>
      <c r="JV237" s="235">
        <f t="shared" si="148"/>
        <v>0</v>
      </c>
      <c r="JW237" s="235">
        <f t="shared" si="149"/>
        <v>0</v>
      </c>
      <c r="JX237" s="235">
        <f t="shared" si="150"/>
        <v>0</v>
      </c>
      <c r="JY237" s="235">
        <f t="shared" si="151"/>
        <v>0</v>
      </c>
      <c r="JZ237" s="235">
        <f t="shared" si="152"/>
        <v>0</v>
      </c>
      <c r="KA237" s="237">
        <f t="shared" si="153"/>
        <v>0</v>
      </c>
      <c r="KB237" s="248">
        <v>46255</v>
      </c>
    </row>
    <row r="238" spans="1:288">
      <c r="A238" s="207">
        <v>46256</v>
      </c>
      <c r="JF238" s="236">
        <f t="shared" si="132"/>
        <v>0</v>
      </c>
      <c r="JG238" s="235">
        <f t="shared" si="133"/>
        <v>0</v>
      </c>
      <c r="JH238" s="235">
        <f t="shared" si="134"/>
        <v>0</v>
      </c>
      <c r="JI238" s="235">
        <f t="shared" si="135"/>
        <v>0</v>
      </c>
      <c r="JJ238" s="235">
        <f t="shared" si="136"/>
        <v>0</v>
      </c>
      <c r="JK238" s="235">
        <f t="shared" si="137"/>
        <v>0</v>
      </c>
      <c r="JL238" s="235">
        <f t="shared" si="138"/>
        <v>0</v>
      </c>
      <c r="JM238" s="235">
        <f t="shared" si="139"/>
        <v>0</v>
      </c>
      <c r="JN238" s="235">
        <f t="shared" si="140"/>
        <v>0</v>
      </c>
      <c r="JO238" s="235">
        <f t="shared" si="141"/>
        <v>0</v>
      </c>
      <c r="JP238" s="235">
        <f t="shared" si="142"/>
        <v>0</v>
      </c>
      <c r="JQ238" s="235">
        <f t="shared" si="143"/>
        <v>0</v>
      </c>
      <c r="JR238" s="235">
        <f t="shared" si="144"/>
        <v>0</v>
      </c>
      <c r="JS238" s="235">
        <f t="shared" si="145"/>
        <v>0</v>
      </c>
      <c r="JT238" s="235">
        <f t="shared" si="146"/>
        <v>0</v>
      </c>
      <c r="JU238" s="235">
        <f t="shared" si="147"/>
        <v>0</v>
      </c>
      <c r="JV238" s="235">
        <f t="shared" si="148"/>
        <v>0</v>
      </c>
      <c r="JW238" s="235">
        <f t="shared" si="149"/>
        <v>0</v>
      </c>
      <c r="JX238" s="235">
        <f t="shared" si="150"/>
        <v>0</v>
      </c>
      <c r="JY238" s="235">
        <f t="shared" si="151"/>
        <v>0</v>
      </c>
      <c r="JZ238" s="235">
        <f t="shared" si="152"/>
        <v>0</v>
      </c>
      <c r="KA238" s="237">
        <f t="shared" si="153"/>
        <v>0</v>
      </c>
      <c r="KB238" s="248">
        <v>46256</v>
      </c>
    </row>
    <row r="239" spans="1:288">
      <c r="A239" s="207">
        <v>46257</v>
      </c>
      <c r="JF239" s="236">
        <f t="shared" si="132"/>
        <v>0</v>
      </c>
      <c r="JG239" s="235">
        <f t="shared" si="133"/>
        <v>0</v>
      </c>
      <c r="JH239" s="235">
        <f t="shared" si="134"/>
        <v>0</v>
      </c>
      <c r="JI239" s="235">
        <f t="shared" si="135"/>
        <v>0</v>
      </c>
      <c r="JJ239" s="235">
        <f t="shared" si="136"/>
        <v>0</v>
      </c>
      <c r="JK239" s="235">
        <f t="shared" si="137"/>
        <v>0</v>
      </c>
      <c r="JL239" s="235">
        <f t="shared" si="138"/>
        <v>0</v>
      </c>
      <c r="JM239" s="235">
        <f t="shared" si="139"/>
        <v>0</v>
      </c>
      <c r="JN239" s="235">
        <f t="shared" si="140"/>
        <v>0</v>
      </c>
      <c r="JO239" s="235">
        <f t="shared" si="141"/>
        <v>0</v>
      </c>
      <c r="JP239" s="235">
        <f t="shared" si="142"/>
        <v>0</v>
      </c>
      <c r="JQ239" s="235">
        <f t="shared" si="143"/>
        <v>0</v>
      </c>
      <c r="JR239" s="235">
        <f t="shared" si="144"/>
        <v>0</v>
      </c>
      <c r="JS239" s="235">
        <f t="shared" si="145"/>
        <v>0</v>
      </c>
      <c r="JT239" s="235">
        <f t="shared" si="146"/>
        <v>0</v>
      </c>
      <c r="JU239" s="235">
        <f t="shared" si="147"/>
        <v>0</v>
      </c>
      <c r="JV239" s="235">
        <f t="shared" si="148"/>
        <v>0</v>
      </c>
      <c r="JW239" s="235">
        <f t="shared" si="149"/>
        <v>0</v>
      </c>
      <c r="JX239" s="235">
        <f t="shared" si="150"/>
        <v>0</v>
      </c>
      <c r="JY239" s="235">
        <f t="shared" si="151"/>
        <v>0</v>
      </c>
      <c r="JZ239" s="235">
        <f t="shared" si="152"/>
        <v>0</v>
      </c>
      <c r="KA239" s="237">
        <f t="shared" si="153"/>
        <v>0</v>
      </c>
      <c r="KB239" s="248">
        <v>46257</v>
      </c>
    </row>
    <row r="240" spans="1:288">
      <c r="A240" s="207">
        <v>46258</v>
      </c>
      <c r="JF240" s="236">
        <f t="shared" si="132"/>
        <v>0</v>
      </c>
      <c r="JG240" s="235">
        <f t="shared" si="133"/>
        <v>0</v>
      </c>
      <c r="JH240" s="235">
        <f t="shared" si="134"/>
        <v>0</v>
      </c>
      <c r="JI240" s="235">
        <f t="shared" si="135"/>
        <v>0</v>
      </c>
      <c r="JJ240" s="235">
        <f t="shared" si="136"/>
        <v>0</v>
      </c>
      <c r="JK240" s="235">
        <f t="shared" si="137"/>
        <v>0</v>
      </c>
      <c r="JL240" s="235">
        <f t="shared" si="138"/>
        <v>0</v>
      </c>
      <c r="JM240" s="235">
        <f t="shared" si="139"/>
        <v>0</v>
      </c>
      <c r="JN240" s="235">
        <f t="shared" si="140"/>
        <v>0</v>
      </c>
      <c r="JO240" s="235">
        <f t="shared" si="141"/>
        <v>0</v>
      </c>
      <c r="JP240" s="235">
        <f t="shared" si="142"/>
        <v>0</v>
      </c>
      <c r="JQ240" s="235">
        <f t="shared" si="143"/>
        <v>0</v>
      </c>
      <c r="JR240" s="235">
        <f t="shared" si="144"/>
        <v>0</v>
      </c>
      <c r="JS240" s="235">
        <f t="shared" si="145"/>
        <v>0</v>
      </c>
      <c r="JT240" s="235">
        <f t="shared" si="146"/>
        <v>0</v>
      </c>
      <c r="JU240" s="235">
        <f t="shared" si="147"/>
        <v>0</v>
      </c>
      <c r="JV240" s="235">
        <f t="shared" si="148"/>
        <v>0</v>
      </c>
      <c r="JW240" s="235">
        <f t="shared" si="149"/>
        <v>0</v>
      </c>
      <c r="JX240" s="235">
        <f t="shared" si="150"/>
        <v>0</v>
      </c>
      <c r="JY240" s="235">
        <f t="shared" si="151"/>
        <v>0</v>
      </c>
      <c r="JZ240" s="235">
        <f t="shared" si="152"/>
        <v>0</v>
      </c>
      <c r="KA240" s="237">
        <f t="shared" si="153"/>
        <v>0</v>
      </c>
      <c r="KB240" s="248">
        <v>46258</v>
      </c>
    </row>
    <row r="241" spans="1:288">
      <c r="A241" s="207">
        <v>46259</v>
      </c>
      <c r="JF241" s="236">
        <f t="shared" si="132"/>
        <v>0</v>
      </c>
      <c r="JG241" s="235">
        <f t="shared" si="133"/>
        <v>0</v>
      </c>
      <c r="JH241" s="235">
        <f t="shared" si="134"/>
        <v>0</v>
      </c>
      <c r="JI241" s="235">
        <f t="shared" si="135"/>
        <v>0</v>
      </c>
      <c r="JJ241" s="235">
        <f t="shared" si="136"/>
        <v>0</v>
      </c>
      <c r="JK241" s="235">
        <f t="shared" si="137"/>
        <v>0</v>
      </c>
      <c r="JL241" s="235">
        <f t="shared" si="138"/>
        <v>0</v>
      </c>
      <c r="JM241" s="235">
        <f t="shared" si="139"/>
        <v>0</v>
      </c>
      <c r="JN241" s="235">
        <f t="shared" si="140"/>
        <v>0</v>
      </c>
      <c r="JO241" s="235">
        <f t="shared" si="141"/>
        <v>0</v>
      </c>
      <c r="JP241" s="235">
        <f t="shared" si="142"/>
        <v>0</v>
      </c>
      <c r="JQ241" s="235">
        <f t="shared" si="143"/>
        <v>0</v>
      </c>
      <c r="JR241" s="235">
        <f t="shared" si="144"/>
        <v>0</v>
      </c>
      <c r="JS241" s="235">
        <f t="shared" si="145"/>
        <v>0</v>
      </c>
      <c r="JT241" s="235">
        <f t="shared" si="146"/>
        <v>0</v>
      </c>
      <c r="JU241" s="235">
        <f t="shared" si="147"/>
        <v>0</v>
      </c>
      <c r="JV241" s="235">
        <f t="shared" si="148"/>
        <v>0</v>
      </c>
      <c r="JW241" s="235">
        <f t="shared" si="149"/>
        <v>0</v>
      </c>
      <c r="JX241" s="235">
        <f t="shared" si="150"/>
        <v>0</v>
      </c>
      <c r="JY241" s="235">
        <f t="shared" si="151"/>
        <v>0</v>
      </c>
      <c r="JZ241" s="235">
        <f t="shared" si="152"/>
        <v>0</v>
      </c>
      <c r="KA241" s="237">
        <f t="shared" si="153"/>
        <v>0</v>
      </c>
      <c r="KB241" s="248">
        <v>46259</v>
      </c>
    </row>
    <row r="242" spans="1:288">
      <c r="A242" s="207">
        <v>46260</v>
      </c>
      <c r="JF242" s="236">
        <f t="shared" si="132"/>
        <v>0</v>
      </c>
      <c r="JG242" s="235">
        <f t="shared" si="133"/>
        <v>0</v>
      </c>
      <c r="JH242" s="235">
        <f t="shared" si="134"/>
        <v>0</v>
      </c>
      <c r="JI242" s="235">
        <f t="shared" si="135"/>
        <v>0</v>
      </c>
      <c r="JJ242" s="235">
        <f t="shared" si="136"/>
        <v>0</v>
      </c>
      <c r="JK242" s="235">
        <f t="shared" si="137"/>
        <v>0</v>
      </c>
      <c r="JL242" s="235">
        <f t="shared" si="138"/>
        <v>0</v>
      </c>
      <c r="JM242" s="235">
        <f t="shared" si="139"/>
        <v>0</v>
      </c>
      <c r="JN242" s="235">
        <f t="shared" si="140"/>
        <v>0</v>
      </c>
      <c r="JO242" s="235">
        <f t="shared" si="141"/>
        <v>0</v>
      </c>
      <c r="JP242" s="235">
        <f t="shared" si="142"/>
        <v>0</v>
      </c>
      <c r="JQ242" s="235">
        <f t="shared" si="143"/>
        <v>0</v>
      </c>
      <c r="JR242" s="235">
        <f t="shared" si="144"/>
        <v>0</v>
      </c>
      <c r="JS242" s="235">
        <f t="shared" si="145"/>
        <v>0</v>
      </c>
      <c r="JT242" s="235">
        <f t="shared" si="146"/>
        <v>0</v>
      </c>
      <c r="JU242" s="235">
        <f t="shared" si="147"/>
        <v>0</v>
      </c>
      <c r="JV242" s="235">
        <f t="shared" si="148"/>
        <v>0</v>
      </c>
      <c r="JW242" s="235">
        <f t="shared" si="149"/>
        <v>0</v>
      </c>
      <c r="JX242" s="235">
        <f t="shared" si="150"/>
        <v>0</v>
      </c>
      <c r="JY242" s="235">
        <f t="shared" si="151"/>
        <v>0</v>
      </c>
      <c r="JZ242" s="235">
        <f t="shared" si="152"/>
        <v>0</v>
      </c>
      <c r="KA242" s="237">
        <f t="shared" si="153"/>
        <v>0</v>
      </c>
      <c r="KB242" s="248">
        <v>46260</v>
      </c>
    </row>
    <row r="243" spans="1:288">
      <c r="A243" s="207">
        <v>46261</v>
      </c>
      <c r="JF243" s="236">
        <f t="shared" si="132"/>
        <v>0</v>
      </c>
      <c r="JG243" s="235">
        <f t="shared" si="133"/>
        <v>0</v>
      </c>
      <c r="JH243" s="235">
        <f t="shared" si="134"/>
        <v>0</v>
      </c>
      <c r="JI243" s="235">
        <f t="shared" si="135"/>
        <v>0</v>
      </c>
      <c r="JJ243" s="235">
        <f t="shared" si="136"/>
        <v>0</v>
      </c>
      <c r="JK243" s="235">
        <f t="shared" si="137"/>
        <v>0</v>
      </c>
      <c r="JL243" s="235">
        <f t="shared" si="138"/>
        <v>0</v>
      </c>
      <c r="JM243" s="235">
        <f t="shared" si="139"/>
        <v>0</v>
      </c>
      <c r="JN243" s="235">
        <f t="shared" si="140"/>
        <v>0</v>
      </c>
      <c r="JO243" s="235">
        <f t="shared" si="141"/>
        <v>0</v>
      </c>
      <c r="JP243" s="235">
        <f t="shared" si="142"/>
        <v>0</v>
      </c>
      <c r="JQ243" s="235">
        <f t="shared" si="143"/>
        <v>0</v>
      </c>
      <c r="JR243" s="235">
        <f t="shared" si="144"/>
        <v>0</v>
      </c>
      <c r="JS243" s="235">
        <f t="shared" si="145"/>
        <v>0</v>
      </c>
      <c r="JT243" s="235">
        <f t="shared" si="146"/>
        <v>0</v>
      </c>
      <c r="JU243" s="235">
        <f t="shared" si="147"/>
        <v>0</v>
      </c>
      <c r="JV243" s="235">
        <f t="shared" si="148"/>
        <v>0</v>
      </c>
      <c r="JW243" s="235">
        <f t="shared" si="149"/>
        <v>0</v>
      </c>
      <c r="JX243" s="235">
        <f t="shared" si="150"/>
        <v>0</v>
      </c>
      <c r="JY243" s="235">
        <f t="shared" si="151"/>
        <v>0</v>
      </c>
      <c r="JZ243" s="235">
        <f t="shared" si="152"/>
        <v>0</v>
      </c>
      <c r="KA243" s="237">
        <f t="shared" si="153"/>
        <v>0</v>
      </c>
      <c r="KB243" s="248">
        <v>46261</v>
      </c>
    </row>
    <row r="244" spans="1:288">
      <c r="A244" s="207">
        <v>46262</v>
      </c>
      <c r="JF244" s="236">
        <f t="shared" si="132"/>
        <v>0</v>
      </c>
      <c r="JG244" s="235">
        <f t="shared" si="133"/>
        <v>0</v>
      </c>
      <c r="JH244" s="235">
        <f t="shared" si="134"/>
        <v>0</v>
      </c>
      <c r="JI244" s="235">
        <f t="shared" si="135"/>
        <v>0</v>
      </c>
      <c r="JJ244" s="235">
        <f t="shared" si="136"/>
        <v>0</v>
      </c>
      <c r="JK244" s="235">
        <f t="shared" si="137"/>
        <v>0</v>
      </c>
      <c r="JL244" s="235">
        <f t="shared" si="138"/>
        <v>0</v>
      </c>
      <c r="JM244" s="235">
        <f t="shared" si="139"/>
        <v>0</v>
      </c>
      <c r="JN244" s="235">
        <f t="shared" si="140"/>
        <v>0</v>
      </c>
      <c r="JO244" s="235">
        <f t="shared" si="141"/>
        <v>0</v>
      </c>
      <c r="JP244" s="235">
        <f t="shared" si="142"/>
        <v>0</v>
      </c>
      <c r="JQ244" s="235">
        <f t="shared" si="143"/>
        <v>0</v>
      </c>
      <c r="JR244" s="235">
        <f t="shared" si="144"/>
        <v>0</v>
      </c>
      <c r="JS244" s="235">
        <f t="shared" si="145"/>
        <v>0</v>
      </c>
      <c r="JT244" s="235">
        <f t="shared" si="146"/>
        <v>0</v>
      </c>
      <c r="JU244" s="235">
        <f t="shared" si="147"/>
        <v>0</v>
      </c>
      <c r="JV244" s="235">
        <f t="shared" si="148"/>
        <v>0</v>
      </c>
      <c r="JW244" s="235">
        <f t="shared" si="149"/>
        <v>0</v>
      </c>
      <c r="JX244" s="235">
        <f t="shared" si="150"/>
        <v>0</v>
      </c>
      <c r="JY244" s="235">
        <f t="shared" si="151"/>
        <v>0</v>
      </c>
      <c r="JZ244" s="235">
        <f t="shared" si="152"/>
        <v>0</v>
      </c>
      <c r="KA244" s="237">
        <f t="shared" si="153"/>
        <v>0</v>
      </c>
      <c r="KB244" s="248">
        <v>46262</v>
      </c>
    </row>
    <row r="245" spans="1:288">
      <c r="A245" s="207">
        <v>46263</v>
      </c>
      <c r="JF245" s="236">
        <f t="shared" si="132"/>
        <v>0</v>
      </c>
      <c r="JG245" s="235">
        <f t="shared" si="133"/>
        <v>0</v>
      </c>
      <c r="JH245" s="235">
        <f t="shared" si="134"/>
        <v>0</v>
      </c>
      <c r="JI245" s="235">
        <f t="shared" si="135"/>
        <v>0</v>
      </c>
      <c r="JJ245" s="235">
        <f t="shared" si="136"/>
        <v>0</v>
      </c>
      <c r="JK245" s="235">
        <f t="shared" si="137"/>
        <v>0</v>
      </c>
      <c r="JL245" s="235">
        <f t="shared" si="138"/>
        <v>0</v>
      </c>
      <c r="JM245" s="235">
        <f t="shared" si="139"/>
        <v>0</v>
      </c>
      <c r="JN245" s="235">
        <f t="shared" si="140"/>
        <v>0</v>
      </c>
      <c r="JO245" s="235">
        <f t="shared" si="141"/>
        <v>0</v>
      </c>
      <c r="JP245" s="235">
        <f t="shared" si="142"/>
        <v>0</v>
      </c>
      <c r="JQ245" s="235">
        <f t="shared" si="143"/>
        <v>0</v>
      </c>
      <c r="JR245" s="235">
        <f t="shared" si="144"/>
        <v>0</v>
      </c>
      <c r="JS245" s="235">
        <f t="shared" si="145"/>
        <v>0</v>
      </c>
      <c r="JT245" s="235">
        <f t="shared" si="146"/>
        <v>0</v>
      </c>
      <c r="JU245" s="235">
        <f t="shared" si="147"/>
        <v>0</v>
      </c>
      <c r="JV245" s="235">
        <f t="shared" si="148"/>
        <v>0</v>
      </c>
      <c r="JW245" s="235">
        <f t="shared" si="149"/>
        <v>0</v>
      </c>
      <c r="JX245" s="235">
        <f t="shared" si="150"/>
        <v>0</v>
      </c>
      <c r="JY245" s="235">
        <f t="shared" si="151"/>
        <v>0</v>
      </c>
      <c r="JZ245" s="235">
        <f t="shared" si="152"/>
        <v>0</v>
      </c>
      <c r="KA245" s="237">
        <f t="shared" si="153"/>
        <v>0</v>
      </c>
      <c r="KB245" s="248">
        <v>46263</v>
      </c>
    </row>
    <row r="246" spans="1:288">
      <c r="A246" s="207">
        <v>46264</v>
      </c>
      <c r="JF246" s="236">
        <f t="shared" si="132"/>
        <v>0</v>
      </c>
      <c r="JG246" s="235">
        <f t="shared" si="133"/>
        <v>0</v>
      </c>
      <c r="JH246" s="235">
        <f t="shared" si="134"/>
        <v>0</v>
      </c>
      <c r="JI246" s="235">
        <f t="shared" si="135"/>
        <v>0</v>
      </c>
      <c r="JJ246" s="235">
        <f t="shared" si="136"/>
        <v>0</v>
      </c>
      <c r="JK246" s="235">
        <f t="shared" si="137"/>
        <v>0</v>
      </c>
      <c r="JL246" s="235">
        <f t="shared" si="138"/>
        <v>0</v>
      </c>
      <c r="JM246" s="235">
        <f t="shared" si="139"/>
        <v>0</v>
      </c>
      <c r="JN246" s="235">
        <f t="shared" si="140"/>
        <v>0</v>
      </c>
      <c r="JO246" s="235">
        <f t="shared" si="141"/>
        <v>0</v>
      </c>
      <c r="JP246" s="235">
        <f t="shared" si="142"/>
        <v>0</v>
      </c>
      <c r="JQ246" s="235">
        <f t="shared" si="143"/>
        <v>0</v>
      </c>
      <c r="JR246" s="235">
        <f t="shared" si="144"/>
        <v>0</v>
      </c>
      <c r="JS246" s="235">
        <f t="shared" si="145"/>
        <v>0</v>
      </c>
      <c r="JT246" s="235">
        <f t="shared" si="146"/>
        <v>0</v>
      </c>
      <c r="JU246" s="235">
        <f t="shared" si="147"/>
        <v>0</v>
      </c>
      <c r="JV246" s="235">
        <f t="shared" si="148"/>
        <v>0</v>
      </c>
      <c r="JW246" s="235">
        <f t="shared" si="149"/>
        <v>0</v>
      </c>
      <c r="JX246" s="235">
        <f t="shared" si="150"/>
        <v>0</v>
      </c>
      <c r="JY246" s="235">
        <f t="shared" si="151"/>
        <v>0</v>
      </c>
      <c r="JZ246" s="235">
        <f t="shared" si="152"/>
        <v>0</v>
      </c>
      <c r="KA246" s="237">
        <f t="shared" si="153"/>
        <v>0</v>
      </c>
      <c r="KB246" s="248">
        <v>46264</v>
      </c>
    </row>
    <row r="247" spans="1:288">
      <c r="A247" s="207">
        <v>46265</v>
      </c>
      <c r="JF247" s="236">
        <f t="shared" si="132"/>
        <v>0</v>
      </c>
      <c r="JG247" s="235">
        <f t="shared" si="133"/>
        <v>0</v>
      </c>
      <c r="JH247" s="235">
        <f t="shared" si="134"/>
        <v>0</v>
      </c>
      <c r="JI247" s="235">
        <f t="shared" si="135"/>
        <v>0</v>
      </c>
      <c r="JJ247" s="235">
        <f t="shared" si="136"/>
        <v>0</v>
      </c>
      <c r="JK247" s="235">
        <f t="shared" si="137"/>
        <v>0</v>
      </c>
      <c r="JL247" s="235">
        <f t="shared" si="138"/>
        <v>0</v>
      </c>
      <c r="JM247" s="235">
        <f t="shared" si="139"/>
        <v>0</v>
      </c>
      <c r="JN247" s="235">
        <f t="shared" si="140"/>
        <v>0</v>
      </c>
      <c r="JO247" s="235">
        <f t="shared" si="141"/>
        <v>0</v>
      </c>
      <c r="JP247" s="235">
        <f t="shared" si="142"/>
        <v>0</v>
      </c>
      <c r="JQ247" s="235">
        <f t="shared" si="143"/>
        <v>0</v>
      </c>
      <c r="JR247" s="235">
        <f t="shared" si="144"/>
        <v>0</v>
      </c>
      <c r="JS247" s="235">
        <f t="shared" si="145"/>
        <v>0</v>
      </c>
      <c r="JT247" s="235">
        <f t="shared" si="146"/>
        <v>0</v>
      </c>
      <c r="JU247" s="235">
        <f t="shared" si="147"/>
        <v>0</v>
      </c>
      <c r="JV247" s="235">
        <f t="shared" si="148"/>
        <v>0</v>
      </c>
      <c r="JW247" s="235">
        <f t="shared" si="149"/>
        <v>0</v>
      </c>
      <c r="JX247" s="235">
        <f t="shared" si="150"/>
        <v>0</v>
      </c>
      <c r="JY247" s="235">
        <f t="shared" si="151"/>
        <v>0</v>
      </c>
      <c r="JZ247" s="235">
        <f t="shared" si="152"/>
        <v>0</v>
      </c>
      <c r="KA247" s="237">
        <f t="shared" si="153"/>
        <v>0</v>
      </c>
      <c r="KB247" s="248">
        <v>46265</v>
      </c>
    </row>
    <row r="248" spans="1:288">
      <c r="A248" s="207">
        <v>46266</v>
      </c>
      <c r="JF248" s="236">
        <f t="shared" si="132"/>
        <v>0</v>
      </c>
      <c r="JG248" s="235">
        <f t="shared" si="133"/>
        <v>0</v>
      </c>
      <c r="JH248" s="235">
        <f t="shared" si="134"/>
        <v>0</v>
      </c>
      <c r="JI248" s="235">
        <f t="shared" si="135"/>
        <v>0</v>
      </c>
      <c r="JJ248" s="235">
        <f t="shared" si="136"/>
        <v>0</v>
      </c>
      <c r="JK248" s="235">
        <f t="shared" si="137"/>
        <v>0</v>
      </c>
      <c r="JL248" s="235">
        <f t="shared" si="138"/>
        <v>0</v>
      </c>
      <c r="JM248" s="235">
        <f t="shared" si="139"/>
        <v>0</v>
      </c>
      <c r="JN248" s="235">
        <f t="shared" si="140"/>
        <v>0</v>
      </c>
      <c r="JO248" s="235">
        <f t="shared" si="141"/>
        <v>0</v>
      </c>
      <c r="JP248" s="235">
        <f t="shared" si="142"/>
        <v>0</v>
      </c>
      <c r="JQ248" s="235">
        <f t="shared" si="143"/>
        <v>0</v>
      </c>
      <c r="JR248" s="235">
        <f t="shared" si="144"/>
        <v>0</v>
      </c>
      <c r="JS248" s="235">
        <f t="shared" si="145"/>
        <v>0</v>
      </c>
      <c r="JT248" s="235">
        <f t="shared" si="146"/>
        <v>0</v>
      </c>
      <c r="JU248" s="235">
        <f t="shared" si="147"/>
        <v>0</v>
      </c>
      <c r="JV248" s="235">
        <f t="shared" si="148"/>
        <v>0</v>
      </c>
      <c r="JW248" s="235">
        <f t="shared" si="149"/>
        <v>0</v>
      </c>
      <c r="JX248" s="235">
        <f t="shared" si="150"/>
        <v>0</v>
      </c>
      <c r="JY248" s="235">
        <f t="shared" si="151"/>
        <v>0</v>
      </c>
      <c r="JZ248" s="235">
        <f t="shared" si="152"/>
        <v>0</v>
      </c>
      <c r="KA248" s="237">
        <f t="shared" si="153"/>
        <v>0</v>
      </c>
      <c r="KB248" s="248">
        <v>46266</v>
      </c>
    </row>
    <row r="249" spans="1:288">
      <c r="A249" s="207">
        <v>46267</v>
      </c>
      <c r="JF249" s="236">
        <f t="shared" si="132"/>
        <v>0</v>
      </c>
      <c r="JG249" s="235">
        <f t="shared" si="133"/>
        <v>0</v>
      </c>
      <c r="JH249" s="235">
        <f t="shared" si="134"/>
        <v>0</v>
      </c>
      <c r="JI249" s="235">
        <f t="shared" si="135"/>
        <v>0</v>
      </c>
      <c r="JJ249" s="235">
        <f t="shared" si="136"/>
        <v>0</v>
      </c>
      <c r="JK249" s="235">
        <f t="shared" si="137"/>
        <v>0</v>
      </c>
      <c r="JL249" s="235">
        <f t="shared" si="138"/>
        <v>0</v>
      </c>
      <c r="JM249" s="235">
        <f t="shared" si="139"/>
        <v>0</v>
      </c>
      <c r="JN249" s="235">
        <f t="shared" si="140"/>
        <v>0</v>
      </c>
      <c r="JO249" s="235">
        <f t="shared" si="141"/>
        <v>0</v>
      </c>
      <c r="JP249" s="235">
        <f t="shared" si="142"/>
        <v>0</v>
      </c>
      <c r="JQ249" s="235">
        <f t="shared" si="143"/>
        <v>0</v>
      </c>
      <c r="JR249" s="235">
        <f t="shared" si="144"/>
        <v>0</v>
      </c>
      <c r="JS249" s="235">
        <f t="shared" si="145"/>
        <v>0</v>
      </c>
      <c r="JT249" s="235">
        <f t="shared" si="146"/>
        <v>0</v>
      </c>
      <c r="JU249" s="235">
        <f t="shared" si="147"/>
        <v>0</v>
      </c>
      <c r="JV249" s="235">
        <f t="shared" si="148"/>
        <v>0</v>
      </c>
      <c r="JW249" s="235">
        <f t="shared" si="149"/>
        <v>0</v>
      </c>
      <c r="JX249" s="235">
        <f t="shared" si="150"/>
        <v>0</v>
      </c>
      <c r="JY249" s="235">
        <f t="shared" si="151"/>
        <v>0</v>
      </c>
      <c r="JZ249" s="235">
        <f t="shared" si="152"/>
        <v>0</v>
      </c>
      <c r="KA249" s="237">
        <f t="shared" si="153"/>
        <v>0</v>
      </c>
      <c r="KB249" s="248">
        <v>46267</v>
      </c>
    </row>
    <row r="250" spans="1:288">
      <c r="A250" s="207">
        <v>46268</v>
      </c>
      <c r="JF250" s="236">
        <f t="shared" si="132"/>
        <v>0</v>
      </c>
      <c r="JG250" s="235">
        <f t="shared" si="133"/>
        <v>0</v>
      </c>
      <c r="JH250" s="235">
        <f t="shared" si="134"/>
        <v>0</v>
      </c>
      <c r="JI250" s="235">
        <f t="shared" si="135"/>
        <v>0</v>
      </c>
      <c r="JJ250" s="235">
        <f t="shared" si="136"/>
        <v>0</v>
      </c>
      <c r="JK250" s="235">
        <f t="shared" si="137"/>
        <v>0</v>
      </c>
      <c r="JL250" s="235">
        <f t="shared" si="138"/>
        <v>0</v>
      </c>
      <c r="JM250" s="235">
        <f t="shared" si="139"/>
        <v>0</v>
      </c>
      <c r="JN250" s="235">
        <f t="shared" si="140"/>
        <v>0</v>
      </c>
      <c r="JO250" s="235">
        <f t="shared" si="141"/>
        <v>0</v>
      </c>
      <c r="JP250" s="235">
        <f t="shared" si="142"/>
        <v>0</v>
      </c>
      <c r="JQ250" s="235">
        <f t="shared" si="143"/>
        <v>0</v>
      </c>
      <c r="JR250" s="235">
        <f t="shared" si="144"/>
        <v>0</v>
      </c>
      <c r="JS250" s="235">
        <f t="shared" si="145"/>
        <v>0</v>
      </c>
      <c r="JT250" s="235">
        <f t="shared" si="146"/>
        <v>0</v>
      </c>
      <c r="JU250" s="235">
        <f t="shared" si="147"/>
        <v>0</v>
      </c>
      <c r="JV250" s="235">
        <f t="shared" si="148"/>
        <v>0</v>
      </c>
      <c r="JW250" s="235">
        <f t="shared" si="149"/>
        <v>0</v>
      </c>
      <c r="JX250" s="235">
        <f t="shared" si="150"/>
        <v>0</v>
      </c>
      <c r="JY250" s="235">
        <f t="shared" si="151"/>
        <v>0</v>
      </c>
      <c r="JZ250" s="235">
        <f t="shared" si="152"/>
        <v>0</v>
      </c>
      <c r="KA250" s="237">
        <f t="shared" si="153"/>
        <v>0</v>
      </c>
      <c r="KB250" s="248">
        <v>46268</v>
      </c>
    </row>
    <row r="251" spans="1:288">
      <c r="A251" s="207">
        <v>46269</v>
      </c>
      <c r="JF251" s="236">
        <f t="shared" si="132"/>
        <v>0</v>
      </c>
      <c r="JG251" s="235">
        <f t="shared" si="133"/>
        <v>0</v>
      </c>
      <c r="JH251" s="235">
        <f t="shared" si="134"/>
        <v>0</v>
      </c>
      <c r="JI251" s="235">
        <f t="shared" si="135"/>
        <v>0</v>
      </c>
      <c r="JJ251" s="235">
        <f t="shared" si="136"/>
        <v>0</v>
      </c>
      <c r="JK251" s="235">
        <f t="shared" si="137"/>
        <v>0</v>
      </c>
      <c r="JL251" s="235">
        <f t="shared" si="138"/>
        <v>0</v>
      </c>
      <c r="JM251" s="235">
        <f t="shared" si="139"/>
        <v>0</v>
      </c>
      <c r="JN251" s="235">
        <f t="shared" si="140"/>
        <v>0</v>
      </c>
      <c r="JO251" s="235">
        <f t="shared" si="141"/>
        <v>0</v>
      </c>
      <c r="JP251" s="235">
        <f t="shared" si="142"/>
        <v>0</v>
      </c>
      <c r="JQ251" s="235">
        <f t="shared" si="143"/>
        <v>0</v>
      </c>
      <c r="JR251" s="235">
        <f t="shared" si="144"/>
        <v>0</v>
      </c>
      <c r="JS251" s="235">
        <f t="shared" si="145"/>
        <v>0</v>
      </c>
      <c r="JT251" s="235">
        <f t="shared" si="146"/>
        <v>0</v>
      </c>
      <c r="JU251" s="235">
        <f t="shared" si="147"/>
        <v>0</v>
      </c>
      <c r="JV251" s="235">
        <f t="shared" si="148"/>
        <v>0</v>
      </c>
      <c r="JW251" s="235">
        <f t="shared" si="149"/>
        <v>0</v>
      </c>
      <c r="JX251" s="235">
        <f t="shared" si="150"/>
        <v>0</v>
      </c>
      <c r="JY251" s="235">
        <f t="shared" si="151"/>
        <v>0</v>
      </c>
      <c r="JZ251" s="235">
        <f t="shared" si="152"/>
        <v>0</v>
      </c>
      <c r="KA251" s="237">
        <f t="shared" si="153"/>
        <v>0</v>
      </c>
      <c r="KB251" s="248">
        <v>46269</v>
      </c>
    </row>
    <row r="252" spans="1:288">
      <c r="A252" s="207">
        <v>46270</v>
      </c>
      <c r="JF252" s="236">
        <f t="shared" si="132"/>
        <v>0</v>
      </c>
      <c r="JG252" s="235">
        <f t="shared" si="133"/>
        <v>0</v>
      </c>
      <c r="JH252" s="235">
        <f t="shared" si="134"/>
        <v>0</v>
      </c>
      <c r="JI252" s="235">
        <f t="shared" si="135"/>
        <v>0</v>
      </c>
      <c r="JJ252" s="235">
        <f t="shared" si="136"/>
        <v>0</v>
      </c>
      <c r="JK252" s="235">
        <f t="shared" si="137"/>
        <v>0</v>
      </c>
      <c r="JL252" s="235">
        <f t="shared" si="138"/>
        <v>0</v>
      </c>
      <c r="JM252" s="235">
        <f t="shared" si="139"/>
        <v>0</v>
      </c>
      <c r="JN252" s="235">
        <f t="shared" si="140"/>
        <v>0</v>
      </c>
      <c r="JO252" s="235">
        <f t="shared" si="141"/>
        <v>0</v>
      </c>
      <c r="JP252" s="235">
        <f t="shared" si="142"/>
        <v>0</v>
      </c>
      <c r="JQ252" s="235">
        <f t="shared" si="143"/>
        <v>0</v>
      </c>
      <c r="JR252" s="235">
        <f t="shared" si="144"/>
        <v>0</v>
      </c>
      <c r="JS252" s="235">
        <f t="shared" si="145"/>
        <v>0</v>
      </c>
      <c r="JT252" s="235">
        <f t="shared" si="146"/>
        <v>0</v>
      </c>
      <c r="JU252" s="235">
        <f t="shared" si="147"/>
        <v>0</v>
      </c>
      <c r="JV252" s="235">
        <f t="shared" si="148"/>
        <v>0</v>
      </c>
      <c r="JW252" s="235">
        <f t="shared" si="149"/>
        <v>0</v>
      </c>
      <c r="JX252" s="235">
        <f t="shared" si="150"/>
        <v>0</v>
      </c>
      <c r="JY252" s="235">
        <f t="shared" si="151"/>
        <v>0</v>
      </c>
      <c r="JZ252" s="235">
        <f t="shared" si="152"/>
        <v>0</v>
      </c>
      <c r="KA252" s="237">
        <f t="shared" si="153"/>
        <v>0</v>
      </c>
      <c r="KB252" s="248">
        <v>46270</v>
      </c>
    </row>
    <row r="253" spans="1:288">
      <c r="A253" s="207">
        <v>46271</v>
      </c>
      <c r="JF253" s="236">
        <f t="shared" si="132"/>
        <v>0</v>
      </c>
      <c r="JG253" s="235">
        <f t="shared" si="133"/>
        <v>0</v>
      </c>
      <c r="JH253" s="235">
        <f t="shared" si="134"/>
        <v>0</v>
      </c>
      <c r="JI253" s="235">
        <f t="shared" si="135"/>
        <v>0</v>
      </c>
      <c r="JJ253" s="235">
        <f t="shared" si="136"/>
        <v>0</v>
      </c>
      <c r="JK253" s="235">
        <f t="shared" si="137"/>
        <v>0</v>
      </c>
      <c r="JL253" s="235">
        <f t="shared" si="138"/>
        <v>0</v>
      </c>
      <c r="JM253" s="235">
        <f t="shared" si="139"/>
        <v>0</v>
      </c>
      <c r="JN253" s="235">
        <f t="shared" si="140"/>
        <v>0</v>
      </c>
      <c r="JO253" s="235">
        <f t="shared" si="141"/>
        <v>0</v>
      </c>
      <c r="JP253" s="235">
        <f t="shared" si="142"/>
        <v>0</v>
      </c>
      <c r="JQ253" s="235">
        <f t="shared" si="143"/>
        <v>0</v>
      </c>
      <c r="JR253" s="235">
        <f t="shared" si="144"/>
        <v>0</v>
      </c>
      <c r="JS253" s="235">
        <f t="shared" si="145"/>
        <v>0</v>
      </c>
      <c r="JT253" s="235">
        <f t="shared" si="146"/>
        <v>0</v>
      </c>
      <c r="JU253" s="235">
        <f t="shared" si="147"/>
        <v>0</v>
      </c>
      <c r="JV253" s="235">
        <f t="shared" si="148"/>
        <v>0</v>
      </c>
      <c r="JW253" s="235">
        <f t="shared" si="149"/>
        <v>0</v>
      </c>
      <c r="JX253" s="235">
        <f t="shared" si="150"/>
        <v>0</v>
      </c>
      <c r="JY253" s="235">
        <f t="shared" si="151"/>
        <v>0</v>
      </c>
      <c r="JZ253" s="235">
        <f t="shared" si="152"/>
        <v>0</v>
      </c>
      <c r="KA253" s="237">
        <f t="shared" si="153"/>
        <v>0</v>
      </c>
      <c r="KB253" s="248">
        <v>46271</v>
      </c>
    </row>
    <row r="254" spans="1:288">
      <c r="A254" s="207">
        <v>46272</v>
      </c>
      <c r="JF254" s="236">
        <f t="shared" si="132"/>
        <v>0</v>
      </c>
      <c r="JG254" s="235">
        <f t="shared" si="133"/>
        <v>0</v>
      </c>
      <c r="JH254" s="235">
        <f t="shared" si="134"/>
        <v>0</v>
      </c>
      <c r="JI254" s="235">
        <f t="shared" si="135"/>
        <v>0</v>
      </c>
      <c r="JJ254" s="235">
        <f t="shared" si="136"/>
        <v>0</v>
      </c>
      <c r="JK254" s="235">
        <f t="shared" si="137"/>
        <v>0</v>
      </c>
      <c r="JL254" s="235">
        <f t="shared" si="138"/>
        <v>0</v>
      </c>
      <c r="JM254" s="235">
        <f t="shared" si="139"/>
        <v>0</v>
      </c>
      <c r="JN254" s="235">
        <f t="shared" si="140"/>
        <v>0</v>
      </c>
      <c r="JO254" s="235">
        <f t="shared" si="141"/>
        <v>0</v>
      </c>
      <c r="JP254" s="235">
        <f t="shared" si="142"/>
        <v>0</v>
      </c>
      <c r="JQ254" s="235">
        <f t="shared" si="143"/>
        <v>0</v>
      </c>
      <c r="JR254" s="235">
        <f t="shared" si="144"/>
        <v>0</v>
      </c>
      <c r="JS254" s="235">
        <f t="shared" si="145"/>
        <v>0</v>
      </c>
      <c r="JT254" s="235">
        <f t="shared" si="146"/>
        <v>0</v>
      </c>
      <c r="JU254" s="235">
        <f t="shared" si="147"/>
        <v>0</v>
      </c>
      <c r="JV254" s="235">
        <f t="shared" si="148"/>
        <v>0</v>
      </c>
      <c r="JW254" s="235">
        <f t="shared" si="149"/>
        <v>0</v>
      </c>
      <c r="JX254" s="235">
        <f t="shared" si="150"/>
        <v>0</v>
      </c>
      <c r="JY254" s="235">
        <f t="shared" si="151"/>
        <v>0</v>
      </c>
      <c r="JZ254" s="235">
        <f t="shared" si="152"/>
        <v>0</v>
      </c>
      <c r="KA254" s="237">
        <f t="shared" si="153"/>
        <v>0</v>
      </c>
      <c r="KB254" s="248">
        <v>46272</v>
      </c>
    </row>
    <row r="255" spans="1:288">
      <c r="A255" s="207">
        <v>46273</v>
      </c>
      <c r="JF255" s="236">
        <f t="shared" si="132"/>
        <v>0</v>
      </c>
      <c r="JG255" s="235">
        <f t="shared" si="133"/>
        <v>0</v>
      </c>
      <c r="JH255" s="235">
        <f t="shared" si="134"/>
        <v>0</v>
      </c>
      <c r="JI255" s="235">
        <f t="shared" si="135"/>
        <v>0</v>
      </c>
      <c r="JJ255" s="235">
        <f t="shared" si="136"/>
        <v>0</v>
      </c>
      <c r="JK255" s="235">
        <f t="shared" si="137"/>
        <v>0</v>
      </c>
      <c r="JL255" s="235">
        <f t="shared" si="138"/>
        <v>0</v>
      </c>
      <c r="JM255" s="235">
        <f t="shared" si="139"/>
        <v>0</v>
      </c>
      <c r="JN255" s="235">
        <f t="shared" si="140"/>
        <v>0</v>
      </c>
      <c r="JO255" s="235">
        <f t="shared" si="141"/>
        <v>0</v>
      </c>
      <c r="JP255" s="235">
        <f t="shared" si="142"/>
        <v>0</v>
      </c>
      <c r="JQ255" s="235">
        <f t="shared" si="143"/>
        <v>0</v>
      </c>
      <c r="JR255" s="235">
        <f t="shared" si="144"/>
        <v>0</v>
      </c>
      <c r="JS255" s="235">
        <f t="shared" si="145"/>
        <v>0</v>
      </c>
      <c r="JT255" s="235">
        <f t="shared" si="146"/>
        <v>0</v>
      </c>
      <c r="JU255" s="235">
        <f t="shared" si="147"/>
        <v>0</v>
      </c>
      <c r="JV255" s="235">
        <f t="shared" si="148"/>
        <v>0</v>
      </c>
      <c r="JW255" s="235">
        <f t="shared" si="149"/>
        <v>0</v>
      </c>
      <c r="JX255" s="235">
        <f t="shared" si="150"/>
        <v>0</v>
      </c>
      <c r="JY255" s="235">
        <f t="shared" si="151"/>
        <v>0</v>
      </c>
      <c r="JZ255" s="235">
        <f t="shared" si="152"/>
        <v>0</v>
      </c>
      <c r="KA255" s="237">
        <f t="shared" si="153"/>
        <v>0</v>
      </c>
      <c r="KB255" s="248">
        <v>46273</v>
      </c>
    </row>
    <row r="256" spans="1:288">
      <c r="A256" s="207">
        <v>46274</v>
      </c>
      <c r="JF256" s="236">
        <f t="shared" si="132"/>
        <v>0</v>
      </c>
      <c r="JG256" s="235">
        <f t="shared" si="133"/>
        <v>0</v>
      </c>
      <c r="JH256" s="235">
        <f t="shared" si="134"/>
        <v>0</v>
      </c>
      <c r="JI256" s="235">
        <f t="shared" si="135"/>
        <v>0</v>
      </c>
      <c r="JJ256" s="235">
        <f t="shared" si="136"/>
        <v>0</v>
      </c>
      <c r="JK256" s="235">
        <f t="shared" si="137"/>
        <v>0</v>
      </c>
      <c r="JL256" s="235">
        <f t="shared" si="138"/>
        <v>0</v>
      </c>
      <c r="JM256" s="235">
        <f t="shared" si="139"/>
        <v>0</v>
      </c>
      <c r="JN256" s="235">
        <f t="shared" si="140"/>
        <v>0</v>
      </c>
      <c r="JO256" s="235">
        <f t="shared" si="141"/>
        <v>0</v>
      </c>
      <c r="JP256" s="235">
        <f t="shared" si="142"/>
        <v>0</v>
      </c>
      <c r="JQ256" s="235">
        <f t="shared" si="143"/>
        <v>0</v>
      </c>
      <c r="JR256" s="235">
        <f t="shared" si="144"/>
        <v>0</v>
      </c>
      <c r="JS256" s="235">
        <f t="shared" si="145"/>
        <v>0</v>
      </c>
      <c r="JT256" s="235">
        <f t="shared" si="146"/>
        <v>0</v>
      </c>
      <c r="JU256" s="235">
        <f t="shared" si="147"/>
        <v>0</v>
      </c>
      <c r="JV256" s="235">
        <f t="shared" si="148"/>
        <v>0</v>
      </c>
      <c r="JW256" s="235">
        <f t="shared" si="149"/>
        <v>0</v>
      </c>
      <c r="JX256" s="235">
        <f t="shared" si="150"/>
        <v>0</v>
      </c>
      <c r="JY256" s="235">
        <f t="shared" si="151"/>
        <v>0</v>
      </c>
      <c r="JZ256" s="235">
        <f t="shared" si="152"/>
        <v>0</v>
      </c>
      <c r="KA256" s="237">
        <f t="shared" si="153"/>
        <v>0</v>
      </c>
      <c r="KB256" s="248">
        <v>46274</v>
      </c>
    </row>
    <row r="257" spans="1:288">
      <c r="A257" s="207">
        <v>46275</v>
      </c>
      <c r="JF257" s="236">
        <f t="shared" si="132"/>
        <v>0</v>
      </c>
      <c r="JG257" s="235">
        <f t="shared" si="133"/>
        <v>0</v>
      </c>
      <c r="JH257" s="235">
        <f t="shared" si="134"/>
        <v>0</v>
      </c>
      <c r="JI257" s="235">
        <f t="shared" si="135"/>
        <v>0</v>
      </c>
      <c r="JJ257" s="235">
        <f t="shared" si="136"/>
        <v>0</v>
      </c>
      <c r="JK257" s="235">
        <f t="shared" si="137"/>
        <v>0</v>
      </c>
      <c r="JL257" s="235">
        <f t="shared" si="138"/>
        <v>0</v>
      </c>
      <c r="JM257" s="235">
        <f t="shared" si="139"/>
        <v>0</v>
      </c>
      <c r="JN257" s="235">
        <f t="shared" si="140"/>
        <v>0</v>
      </c>
      <c r="JO257" s="235">
        <f t="shared" si="141"/>
        <v>0</v>
      </c>
      <c r="JP257" s="235">
        <f t="shared" si="142"/>
        <v>0</v>
      </c>
      <c r="JQ257" s="235">
        <f t="shared" si="143"/>
        <v>0</v>
      </c>
      <c r="JR257" s="235">
        <f t="shared" si="144"/>
        <v>0</v>
      </c>
      <c r="JS257" s="235">
        <f t="shared" si="145"/>
        <v>0</v>
      </c>
      <c r="JT257" s="235">
        <f t="shared" si="146"/>
        <v>0</v>
      </c>
      <c r="JU257" s="235">
        <f t="shared" si="147"/>
        <v>0</v>
      </c>
      <c r="JV257" s="235">
        <f t="shared" si="148"/>
        <v>0</v>
      </c>
      <c r="JW257" s="235">
        <f t="shared" si="149"/>
        <v>0</v>
      </c>
      <c r="JX257" s="235">
        <f t="shared" si="150"/>
        <v>0</v>
      </c>
      <c r="JY257" s="235">
        <f t="shared" si="151"/>
        <v>0</v>
      </c>
      <c r="JZ257" s="235">
        <f t="shared" si="152"/>
        <v>0</v>
      </c>
      <c r="KA257" s="237">
        <f t="shared" si="153"/>
        <v>0</v>
      </c>
      <c r="KB257" s="248">
        <v>46275</v>
      </c>
    </row>
    <row r="258" spans="1:288">
      <c r="A258" s="207">
        <v>46276</v>
      </c>
      <c r="JF258" s="236">
        <f t="shared" si="132"/>
        <v>0</v>
      </c>
      <c r="JG258" s="235">
        <f t="shared" si="133"/>
        <v>0</v>
      </c>
      <c r="JH258" s="235">
        <f t="shared" si="134"/>
        <v>0</v>
      </c>
      <c r="JI258" s="235">
        <f t="shared" si="135"/>
        <v>0</v>
      </c>
      <c r="JJ258" s="235">
        <f t="shared" si="136"/>
        <v>0</v>
      </c>
      <c r="JK258" s="235">
        <f t="shared" si="137"/>
        <v>0</v>
      </c>
      <c r="JL258" s="235">
        <f t="shared" si="138"/>
        <v>0</v>
      </c>
      <c r="JM258" s="235">
        <f t="shared" si="139"/>
        <v>0</v>
      </c>
      <c r="JN258" s="235">
        <f t="shared" si="140"/>
        <v>0</v>
      </c>
      <c r="JO258" s="235">
        <f t="shared" si="141"/>
        <v>0</v>
      </c>
      <c r="JP258" s="235">
        <f t="shared" si="142"/>
        <v>0</v>
      </c>
      <c r="JQ258" s="235">
        <f t="shared" si="143"/>
        <v>0</v>
      </c>
      <c r="JR258" s="235">
        <f t="shared" si="144"/>
        <v>0</v>
      </c>
      <c r="JS258" s="235">
        <f t="shared" si="145"/>
        <v>0</v>
      </c>
      <c r="JT258" s="235">
        <f t="shared" si="146"/>
        <v>0</v>
      </c>
      <c r="JU258" s="235">
        <f t="shared" si="147"/>
        <v>0</v>
      </c>
      <c r="JV258" s="235">
        <f t="shared" si="148"/>
        <v>0</v>
      </c>
      <c r="JW258" s="235">
        <f t="shared" si="149"/>
        <v>0</v>
      </c>
      <c r="JX258" s="235">
        <f t="shared" si="150"/>
        <v>0</v>
      </c>
      <c r="JY258" s="235">
        <f t="shared" si="151"/>
        <v>0</v>
      </c>
      <c r="JZ258" s="235">
        <f t="shared" si="152"/>
        <v>0</v>
      </c>
      <c r="KA258" s="237">
        <f t="shared" si="153"/>
        <v>0</v>
      </c>
      <c r="KB258" s="248">
        <v>46276</v>
      </c>
    </row>
    <row r="259" spans="1:288">
      <c r="A259" s="207">
        <v>46277</v>
      </c>
      <c r="JF259" s="236">
        <f t="shared" si="132"/>
        <v>0</v>
      </c>
      <c r="JG259" s="235">
        <f t="shared" si="133"/>
        <v>0</v>
      </c>
      <c r="JH259" s="235">
        <f t="shared" si="134"/>
        <v>0</v>
      </c>
      <c r="JI259" s="235">
        <f t="shared" si="135"/>
        <v>0</v>
      </c>
      <c r="JJ259" s="235">
        <f t="shared" si="136"/>
        <v>0</v>
      </c>
      <c r="JK259" s="235">
        <f t="shared" si="137"/>
        <v>0</v>
      </c>
      <c r="JL259" s="235">
        <f t="shared" si="138"/>
        <v>0</v>
      </c>
      <c r="JM259" s="235">
        <f t="shared" si="139"/>
        <v>0</v>
      </c>
      <c r="JN259" s="235">
        <f t="shared" si="140"/>
        <v>0</v>
      </c>
      <c r="JO259" s="235">
        <f t="shared" si="141"/>
        <v>0</v>
      </c>
      <c r="JP259" s="235">
        <f t="shared" si="142"/>
        <v>0</v>
      </c>
      <c r="JQ259" s="235">
        <f t="shared" si="143"/>
        <v>0</v>
      </c>
      <c r="JR259" s="235">
        <f t="shared" si="144"/>
        <v>0</v>
      </c>
      <c r="JS259" s="235">
        <f t="shared" si="145"/>
        <v>0</v>
      </c>
      <c r="JT259" s="235">
        <f t="shared" si="146"/>
        <v>0</v>
      </c>
      <c r="JU259" s="235">
        <f t="shared" si="147"/>
        <v>0</v>
      </c>
      <c r="JV259" s="235">
        <f t="shared" si="148"/>
        <v>0</v>
      </c>
      <c r="JW259" s="235">
        <f t="shared" si="149"/>
        <v>0</v>
      </c>
      <c r="JX259" s="235">
        <f t="shared" si="150"/>
        <v>0</v>
      </c>
      <c r="JY259" s="235">
        <f t="shared" si="151"/>
        <v>0</v>
      </c>
      <c r="JZ259" s="235">
        <f t="shared" si="152"/>
        <v>0</v>
      </c>
      <c r="KA259" s="237">
        <f t="shared" si="153"/>
        <v>0</v>
      </c>
      <c r="KB259" s="248">
        <v>46277</v>
      </c>
    </row>
    <row r="260" spans="1:288">
      <c r="A260" s="207">
        <v>46278</v>
      </c>
      <c r="JF260" s="236">
        <f t="shared" si="132"/>
        <v>0</v>
      </c>
      <c r="JG260" s="235">
        <f t="shared" si="133"/>
        <v>0</v>
      </c>
      <c r="JH260" s="235">
        <f t="shared" si="134"/>
        <v>0</v>
      </c>
      <c r="JI260" s="235">
        <f t="shared" si="135"/>
        <v>0</v>
      </c>
      <c r="JJ260" s="235">
        <f t="shared" si="136"/>
        <v>0</v>
      </c>
      <c r="JK260" s="235">
        <f t="shared" si="137"/>
        <v>0</v>
      </c>
      <c r="JL260" s="235">
        <f t="shared" si="138"/>
        <v>0</v>
      </c>
      <c r="JM260" s="235">
        <f t="shared" si="139"/>
        <v>0</v>
      </c>
      <c r="JN260" s="235">
        <f t="shared" si="140"/>
        <v>0</v>
      </c>
      <c r="JO260" s="235">
        <f t="shared" si="141"/>
        <v>0</v>
      </c>
      <c r="JP260" s="235">
        <f t="shared" si="142"/>
        <v>0</v>
      </c>
      <c r="JQ260" s="235">
        <f t="shared" si="143"/>
        <v>0</v>
      </c>
      <c r="JR260" s="235">
        <f t="shared" si="144"/>
        <v>0</v>
      </c>
      <c r="JS260" s="235">
        <f t="shared" si="145"/>
        <v>0</v>
      </c>
      <c r="JT260" s="235">
        <f t="shared" si="146"/>
        <v>0</v>
      </c>
      <c r="JU260" s="235">
        <f t="shared" si="147"/>
        <v>0</v>
      </c>
      <c r="JV260" s="235">
        <f t="shared" si="148"/>
        <v>0</v>
      </c>
      <c r="JW260" s="235">
        <f t="shared" si="149"/>
        <v>0</v>
      </c>
      <c r="JX260" s="235">
        <f t="shared" si="150"/>
        <v>0</v>
      </c>
      <c r="JY260" s="235">
        <f t="shared" si="151"/>
        <v>0</v>
      </c>
      <c r="JZ260" s="235">
        <f t="shared" si="152"/>
        <v>0</v>
      </c>
      <c r="KA260" s="237">
        <f t="shared" si="153"/>
        <v>0</v>
      </c>
      <c r="KB260" s="248">
        <v>46278</v>
      </c>
    </row>
    <row r="261" spans="1:288">
      <c r="A261" s="207">
        <v>46279</v>
      </c>
      <c r="JF261" s="236">
        <f t="shared" si="132"/>
        <v>0</v>
      </c>
      <c r="JG261" s="235">
        <f t="shared" si="133"/>
        <v>0</v>
      </c>
      <c r="JH261" s="235">
        <f t="shared" si="134"/>
        <v>0</v>
      </c>
      <c r="JI261" s="235">
        <f t="shared" si="135"/>
        <v>0</v>
      </c>
      <c r="JJ261" s="235">
        <f t="shared" si="136"/>
        <v>0</v>
      </c>
      <c r="JK261" s="235">
        <f t="shared" si="137"/>
        <v>0</v>
      </c>
      <c r="JL261" s="235">
        <f t="shared" si="138"/>
        <v>0</v>
      </c>
      <c r="JM261" s="235">
        <f t="shared" si="139"/>
        <v>0</v>
      </c>
      <c r="JN261" s="235">
        <f t="shared" si="140"/>
        <v>0</v>
      </c>
      <c r="JO261" s="235">
        <f t="shared" si="141"/>
        <v>0</v>
      </c>
      <c r="JP261" s="235">
        <f t="shared" si="142"/>
        <v>0</v>
      </c>
      <c r="JQ261" s="235">
        <f t="shared" si="143"/>
        <v>0</v>
      </c>
      <c r="JR261" s="235">
        <f t="shared" si="144"/>
        <v>0</v>
      </c>
      <c r="JS261" s="235">
        <f t="shared" si="145"/>
        <v>0</v>
      </c>
      <c r="JT261" s="235">
        <f t="shared" si="146"/>
        <v>0</v>
      </c>
      <c r="JU261" s="235">
        <f t="shared" si="147"/>
        <v>0</v>
      </c>
      <c r="JV261" s="235">
        <f t="shared" si="148"/>
        <v>0</v>
      </c>
      <c r="JW261" s="235">
        <f t="shared" si="149"/>
        <v>0</v>
      </c>
      <c r="JX261" s="235">
        <f t="shared" si="150"/>
        <v>0</v>
      </c>
      <c r="JY261" s="235">
        <f t="shared" si="151"/>
        <v>0</v>
      </c>
      <c r="JZ261" s="235">
        <f t="shared" si="152"/>
        <v>0</v>
      </c>
      <c r="KA261" s="237">
        <f t="shared" si="153"/>
        <v>0</v>
      </c>
      <c r="KB261" s="248">
        <v>46279</v>
      </c>
    </row>
    <row r="262" spans="1:288">
      <c r="A262" s="207">
        <v>46280</v>
      </c>
      <c r="JF262" s="236">
        <f t="shared" ref="JF262:JF325" si="154">HN262*24</f>
        <v>0</v>
      </c>
      <c r="JG262" s="235">
        <f t="shared" ref="JG262:JG325" si="155">HP262*24</f>
        <v>0</v>
      </c>
      <c r="JH262" s="235">
        <f t="shared" ref="JH262:JH325" si="156">HR262*24</f>
        <v>0</v>
      </c>
      <c r="JI262" s="235">
        <f t="shared" ref="JI262:JI325" si="157">HT262*24</f>
        <v>0</v>
      </c>
      <c r="JJ262" s="235">
        <f t="shared" ref="JJ262:JJ325" si="158">HV262*24</f>
        <v>0</v>
      </c>
      <c r="JK262" s="235">
        <f t="shared" ref="JK262:JK325" si="159">HX262*24</f>
        <v>0</v>
      </c>
      <c r="JL262" s="235">
        <f t="shared" ref="JL262:JL325" si="160">HZ262*24</f>
        <v>0</v>
      </c>
      <c r="JM262" s="235">
        <f t="shared" ref="JM262:JM325" si="161">IB262*24</f>
        <v>0</v>
      </c>
      <c r="JN262" s="235">
        <f t="shared" ref="JN262:JN325" si="162">ID262*24</f>
        <v>0</v>
      </c>
      <c r="JO262" s="235">
        <f t="shared" ref="JO262:JO325" si="163">IF262*24</f>
        <v>0</v>
      </c>
      <c r="JP262" s="235">
        <f t="shared" ref="JP262:JP325" si="164">IH262*24</f>
        <v>0</v>
      </c>
      <c r="JQ262" s="235">
        <f t="shared" ref="JQ262:JQ325" si="165">IJ262*24</f>
        <v>0</v>
      </c>
      <c r="JR262" s="235">
        <f t="shared" ref="JR262:JR325" si="166">IL262*24</f>
        <v>0</v>
      </c>
      <c r="JS262" s="235">
        <f t="shared" ref="JS262:JS325" si="167">IN262*24</f>
        <v>0</v>
      </c>
      <c r="JT262" s="235">
        <f t="shared" ref="JT262:JT325" si="168">IP262*24</f>
        <v>0</v>
      </c>
      <c r="JU262" s="235">
        <f t="shared" ref="JU262:JU325" si="169">IR262*24</f>
        <v>0</v>
      </c>
      <c r="JV262" s="235">
        <f t="shared" ref="JV262:JV325" si="170">IT262*24</f>
        <v>0</v>
      </c>
      <c r="JW262" s="235">
        <f t="shared" ref="JW262:JW325" si="171">IV262*24</f>
        <v>0</v>
      </c>
      <c r="JX262" s="235">
        <f t="shared" ref="JX262:JX325" si="172">IX262*24</f>
        <v>0</v>
      </c>
      <c r="JY262" s="235">
        <f t="shared" ref="JY262:JY325" si="173">IZ262*24</f>
        <v>0</v>
      </c>
      <c r="JZ262" s="235">
        <f t="shared" ref="JZ262:JZ325" si="174">JB262*24</f>
        <v>0</v>
      </c>
      <c r="KA262" s="237">
        <f t="shared" ref="KA262:KA325" si="175">JD262*24</f>
        <v>0</v>
      </c>
      <c r="KB262" s="248">
        <v>46280</v>
      </c>
    </row>
    <row r="263" spans="1:288">
      <c r="A263" s="207">
        <v>46281</v>
      </c>
      <c r="JF263" s="236">
        <f t="shared" si="154"/>
        <v>0</v>
      </c>
      <c r="JG263" s="235">
        <f t="shared" si="155"/>
        <v>0</v>
      </c>
      <c r="JH263" s="235">
        <f t="shared" si="156"/>
        <v>0</v>
      </c>
      <c r="JI263" s="235">
        <f t="shared" si="157"/>
        <v>0</v>
      </c>
      <c r="JJ263" s="235">
        <f t="shared" si="158"/>
        <v>0</v>
      </c>
      <c r="JK263" s="235">
        <f t="shared" si="159"/>
        <v>0</v>
      </c>
      <c r="JL263" s="235">
        <f t="shared" si="160"/>
        <v>0</v>
      </c>
      <c r="JM263" s="235">
        <f t="shared" si="161"/>
        <v>0</v>
      </c>
      <c r="JN263" s="235">
        <f t="shared" si="162"/>
        <v>0</v>
      </c>
      <c r="JO263" s="235">
        <f t="shared" si="163"/>
        <v>0</v>
      </c>
      <c r="JP263" s="235">
        <f t="shared" si="164"/>
        <v>0</v>
      </c>
      <c r="JQ263" s="235">
        <f t="shared" si="165"/>
        <v>0</v>
      </c>
      <c r="JR263" s="235">
        <f t="shared" si="166"/>
        <v>0</v>
      </c>
      <c r="JS263" s="235">
        <f t="shared" si="167"/>
        <v>0</v>
      </c>
      <c r="JT263" s="235">
        <f t="shared" si="168"/>
        <v>0</v>
      </c>
      <c r="JU263" s="235">
        <f t="shared" si="169"/>
        <v>0</v>
      </c>
      <c r="JV263" s="235">
        <f t="shared" si="170"/>
        <v>0</v>
      </c>
      <c r="JW263" s="235">
        <f t="shared" si="171"/>
        <v>0</v>
      </c>
      <c r="JX263" s="235">
        <f t="shared" si="172"/>
        <v>0</v>
      </c>
      <c r="JY263" s="235">
        <f t="shared" si="173"/>
        <v>0</v>
      </c>
      <c r="JZ263" s="235">
        <f t="shared" si="174"/>
        <v>0</v>
      </c>
      <c r="KA263" s="237">
        <f t="shared" si="175"/>
        <v>0</v>
      </c>
      <c r="KB263" s="248">
        <v>46281</v>
      </c>
    </row>
    <row r="264" spans="1:288">
      <c r="A264" s="207">
        <v>46282</v>
      </c>
      <c r="JF264" s="236">
        <f t="shared" si="154"/>
        <v>0</v>
      </c>
      <c r="JG264" s="235">
        <f t="shared" si="155"/>
        <v>0</v>
      </c>
      <c r="JH264" s="235">
        <f t="shared" si="156"/>
        <v>0</v>
      </c>
      <c r="JI264" s="235">
        <f t="shared" si="157"/>
        <v>0</v>
      </c>
      <c r="JJ264" s="235">
        <f t="shared" si="158"/>
        <v>0</v>
      </c>
      <c r="JK264" s="235">
        <f t="shared" si="159"/>
        <v>0</v>
      </c>
      <c r="JL264" s="235">
        <f t="shared" si="160"/>
        <v>0</v>
      </c>
      <c r="JM264" s="235">
        <f t="shared" si="161"/>
        <v>0</v>
      </c>
      <c r="JN264" s="235">
        <f t="shared" si="162"/>
        <v>0</v>
      </c>
      <c r="JO264" s="235">
        <f t="shared" si="163"/>
        <v>0</v>
      </c>
      <c r="JP264" s="235">
        <f t="shared" si="164"/>
        <v>0</v>
      </c>
      <c r="JQ264" s="235">
        <f t="shared" si="165"/>
        <v>0</v>
      </c>
      <c r="JR264" s="235">
        <f t="shared" si="166"/>
        <v>0</v>
      </c>
      <c r="JS264" s="235">
        <f t="shared" si="167"/>
        <v>0</v>
      </c>
      <c r="JT264" s="235">
        <f t="shared" si="168"/>
        <v>0</v>
      </c>
      <c r="JU264" s="235">
        <f t="shared" si="169"/>
        <v>0</v>
      </c>
      <c r="JV264" s="235">
        <f t="shared" si="170"/>
        <v>0</v>
      </c>
      <c r="JW264" s="235">
        <f t="shared" si="171"/>
        <v>0</v>
      </c>
      <c r="JX264" s="235">
        <f t="shared" si="172"/>
        <v>0</v>
      </c>
      <c r="JY264" s="235">
        <f t="shared" si="173"/>
        <v>0</v>
      </c>
      <c r="JZ264" s="235">
        <f t="shared" si="174"/>
        <v>0</v>
      </c>
      <c r="KA264" s="237">
        <f t="shared" si="175"/>
        <v>0</v>
      </c>
      <c r="KB264" s="248">
        <v>46282</v>
      </c>
    </row>
    <row r="265" spans="1:288">
      <c r="A265" s="207">
        <v>46283</v>
      </c>
      <c r="JF265" s="236">
        <f t="shared" si="154"/>
        <v>0</v>
      </c>
      <c r="JG265" s="235">
        <f t="shared" si="155"/>
        <v>0</v>
      </c>
      <c r="JH265" s="235">
        <f t="shared" si="156"/>
        <v>0</v>
      </c>
      <c r="JI265" s="235">
        <f t="shared" si="157"/>
        <v>0</v>
      </c>
      <c r="JJ265" s="235">
        <f t="shared" si="158"/>
        <v>0</v>
      </c>
      <c r="JK265" s="235">
        <f t="shared" si="159"/>
        <v>0</v>
      </c>
      <c r="JL265" s="235">
        <f t="shared" si="160"/>
        <v>0</v>
      </c>
      <c r="JM265" s="235">
        <f t="shared" si="161"/>
        <v>0</v>
      </c>
      <c r="JN265" s="235">
        <f t="shared" si="162"/>
        <v>0</v>
      </c>
      <c r="JO265" s="235">
        <f t="shared" si="163"/>
        <v>0</v>
      </c>
      <c r="JP265" s="235">
        <f t="shared" si="164"/>
        <v>0</v>
      </c>
      <c r="JQ265" s="235">
        <f t="shared" si="165"/>
        <v>0</v>
      </c>
      <c r="JR265" s="235">
        <f t="shared" si="166"/>
        <v>0</v>
      </c>
      <c r="JS265" s="235">
        <f t="shared" si="167"/>
        <v>0</v>
      </c>
      <c r="JT265" s="235">
        <f t="shared" si="168"/>
        <v>0</v>
      </c>
      <c r="JU265" s="235">
        <f t="shared" si="169"/>
        <v>0</v>
      </c>
      <c r="JV265" s="235">
        <f t="shared" si="170"/>
        <v>0</v>
      </c>
      <c r="JW265" s="235">
        <f t="shared" si="171"/>
        <v>0</v>
      </c>
      <c r="JX265" s="235">
        <f t="shared" si="172"/>
        <v>0</v>
      </c>
      <c r="JY265" s="235">
        <f t="shared" si="173"/>
        <v>0</v>
      </c>
      <c r="JZ265" s="235">
        <f t="shared" si="174"/>
        <v>0</v>
      </c>
      <c r="KA265" s="237">
        <f t="shared" si="175"/>
        <v>0</v>
      </c>
      <c r="KB265" s="248">
        <v>46283</v>
      </c>
    </row>
    <row r="266" spans="1:288">
      <c r="A266" s="207">
        <v>46284</v>
      </c>
      <c r="JF266" s="236">
        <f t="shared" si="154"/>
        <v>0</v>
      </c>
      <c r="JG266" s="235">
        <f t="shared" si="155"/>
        <v>0</v>
      </c>
      <c r="JH266" s="235">
        <f t="shared" si="156"/>
        <v>0</v>
      </c>
      <c r="JI266" s="235">
        <f t="shared" si="157"/>
        <v>0</v>
      </c>
      <c r="JJ266" s="235">
        <f t="shared" si="158"/>
        <v>0</v>
      </c>
      <c r="JK266" s="235">
        <f t="shared" si="159"/>
        <v>0</v>
      </c>
      <c r="JL266" s="235">
        <f t="shared" si="160"/>
        <v>0</v>
      </c>
      <c r="JM266" s="235">
        <f t="shared" si="161"/>
        <v>0</v>
      </c>
      <c r="JN266" s="235">
        <f t="shared" si="162"/>
        <v>0</v>
      </c>
      <c r="JO266" s="235">
        <f t="shared" si="163"/>
        <v>0</v>
      </c>
      <c r="JP266" s="235">
        <f t="shared" si="164"/>
        <v>0</v>
      </c>
      <c r="JQ266" s="235">
        <f t="shared" si="165"/>
        <v>0</v>
      </c>
      <c r="JR266" s="235">
        <f t="shared" si="166"/>
        <v>0</v>
      </c>
      <c r="JS266" s="235">
        <f t="shared" si="167"/>
        <v>0</v>
      </c>
      <c r="JT266" s="235">
        <f t="shared" si="168"/>
        <v>0</v>
      </c>
      <c r="JU266" s="235">
        <f t="shared" si="169"/>
        <v>0</v>
      </c>
      <c r="JV266" s="235">
        <f t="shared" si="170"/>
        <v>0</v>
      </c>
      <c r="JW266" s="235">
        <f t="shared" si="171"/>
        <v>0</v>
      </c>
      <c r="JX266" s="235">
        <f t="shared" si="172"/>
        <v>0</v>
      </c>
      <c r="JY266" s="235">
        <f t="shared" si="173"/>
        <v>0</v>
      </c>
      <c r="JZ266" s="235">
        <f t="shared" si="174"/>
        <v>0</v>
      </c>
      <c r="KA266" s="237">
        <f t="shared" si="175"/>
        <v>0</v>
      </c>
      <c r="KB266" s="248">
        <v>46284</v>
      </c>
    </row>
    <row r="267" spans="1:288">
      <c r="A267" s="207">
        <v>46285</v>
      </c>
      <c r="JF267" s="236">
        <f t="shared" si="154"/>
        <v>0</v>
      </c>
      <c r="JG267" s="235">
        <f t="shared" si="155"/>
        <v>0</v>
      </c>
      <c r="JH267" s="235">
        <f t="shared" si="156"/>
        <v>0</v>
      </c>
      <c r="JI267" s="235">
        <f t="shared" si="157"/>
        <v>0</v>
      </c>
      <c r="JJ267" s="235">
        <f t="shared" si="158"/>
        <v>0</v>
      </c>
      <c r="JK267" s="235">
        <f t="shared" si="159"/>
        <v>0</v>
      </c>
      <c r="JL267" s="235">
        <f t="shared" si="160"/>
        <v>0</v>
      </c>
      <c r="JM267" s="235">
        <f t="shared" si="161"/>
        <v>0</v>
      </c>
      <c r="JN267" s="235">
        <f t="shared" si="162"/>
        <v>0</v>
      </c>
      <c r="JO267" s="235">
        <f t="shared" si="163"/>
        <v>0</v>
      </c>
      <c r="JP267" s="235">
        <f t="shared" si="164"/>
        <v>0</v>
      </c>
      <c r="JQ267" s="235">
        <f t="shared" si="165"/>
        <v>0</v>
      </c>
      <c r="JR267" s="235">
        <f t="shared" si="166"/>
        <v>0</v>
      </c>
      <c r="JS267" s="235">
        <f t="shared" si="167"/>
        <v>0</v>
      </c>
      <c r="JT267" s="235">
        <f t="shared" si="168"/>
        <v>0</v>
      </c>
      <c r="JU267" s="235">
        <f t="shared" si="169"/>
        <v>0</v>
      </c>
      <c r="JV267" s="235">
        <f t="shared" si="170"/>
        <v>0</v>
      </c>
      <c r="JW267" s="235">
        <f t="shared" si="171"/>
        <v>0</v>
      </c>
      <c r="JX267" s="235">
        <f t="shared" si="172"/>
        <v>0</v>
      </c>
      <c r="JY267" s="235">
        <f t="shared" si="173"/>
        <v>0</v>
      </c>
      <c r="JZ267" s="235">
        <f t="shared" si="174"/>
        <v>0</v>
      </c>
      <c r="KA267" s="237">
        <f t="shared" si="175"/>
        <v>0</v>
      </c>
      <c r="KB267" s="248">
        <v>46285</v>
      </c>
    </row>
    <row r="268" spans="1:288">
      <c r="A268" s="207">
        <v>46286</v>
      </c>
      <c r="JF268" s="236">
        <f t="shared" si="154"/>
        <v>0</v>
      </c>
      <c r="JG268" s="235">
        <f t="shared" si="155"/>
        <v>0</v>
      </c>
      <c r="JH268" s="235">
        <f t="shared" si="156"/>
        <v>0</v>
      </c>
      <c r="JI268" s="235">
        <f t="shared" si="157"/>
        <v>0</v>
      </c>
      <c r="JJ268" s="235">
        <f t="shared" si="158"/>
        <v>0</v>
      </c>
      <c r="JK268" s="235">
        <f t="shared" si="159"/>
        <v>0</v>
      </c>
      <c r="JL268" s="235">
        <f t="shared" si="160"/>
        <v>0</v>
      </c>
      <c r="JM268" s="235">
        <f t="shared" si="161"/>
        <v>0</v>
      </c>
      <c r="JN268" s="235">
        <f t="shared" si="162"/>
        <v>0</v>
      </c>
      <c r="JO268" s="235">
        <f t="shared" si="163"/>
        <v>0</v>
      </c>
      <c r="JP268" s="235">
        <f t="shared" si="164"/>
        <v>0</v>
      </c>
      <c r="JQ268" s="235">
        <f t="shared" si="165"/>
        <v>0</v>
      </c>
      <c r="JR268" s="235">
        <f t="shared" si="166"/>
        <v>0</v>
      </c>
      <c r="JS268" s="235">
        <f t="shared" si="167"/>
        <v>0</v>
      </c>
      <c r="JT268" s="235">
        <f t="shared" si="168"/>
        <v>0</v>
      </c>
      <c r="JU268" s="235">
        <f t="shared" si="169"/>
        <v>0</v>
      </c>
      <c r="JV268" s="235">
        <f t="shared" si="170"/>
        <v>0</v>
      </c>
      <c r="JW268" s="235">
        <f t="shared" si="171"/>
        <v>0</v>
      </c>
      <c r="JX268" s="235">
        <f t="shared" si="172"/>
        <v>0</v>
      </c>
      <c r="JY268" s="235">
        <f t="shared" si="173"/>
        <v>0</v>
      </c>
      <c r="JZ268" s="235">
        <f t="shared" si="174"/>
        <v>0</v>
      </c>
      <c r="KA268" s="237">
        <f t="shared" si="175"/>
        <v>0</v>
      </c>
      <c r="KB268" s="248">
        <v>46286</v>
      </c>
    </row>
    <row r="269" spans="1:288">
      <c r="A269" s="207">
        <v>46287</v>
      </c>
      <c r="JF269" s="236">
        <f t="shared" si="154"/>
        <v>0</v>
      </c>
      <c r="JG269" s="235">
        <f t="shared" si="155"/>
        <v>0</v>
      </c>
      <c r="JH269" s="235">
        <f t="shared" si="156"/>
        <v>0</v>
      </c>
      <c r="JI269" s="235">
        <f t="shared" si="157"/>
        <v>0</v>
      </c>
      <c r="JJ269" s="235">
        <f t="shared" si="158"/>
        <v>0</v>
      </c>
      <c r="JK269" s="235">
        <f t="shared" si="159"/>
        <v>0</v>
      </c>
      <c r="JL269" s="235">
        <f t="shared" si="160"/>
        <v>0</v>
      </c>
      <c r="JM269" s="235">
        <f t="shared" si="161"/>
        <v>0</v>
      </c>
      <c r="JN269" s="235">
        <f t="shared" si="162"/>
        <v>0</v>
      </c>
      <c r="JO269" s="235">
        <f t="shared" si="163"/>
        <v>0</v>
      </c>
      <c r="JP269" s="235">
        <f t="shared" si="164"/>
        <v>0</v>
      </c>
      <c r="JQ269" s="235">
        <f t="shared" si="165"/>
        <v>0</v>
      </c>
      <c r="JR269" s="235">
        <f t="shared" si="166"/>
        <v>0</v>
      </c>
      <c r="JS269" s="235">
        <f t="shared" si="167"/>
        <v>0</v>
      </c>
      <c r="JT269" s="235">
        <f t="shared" si="168"/>
        <v>0</v>
      </c>
      <c r="JU269" s="235">
        <f t="shared" si="169"/>
        <v>0</v>
      </c>
      <c r="JV269" s="235">
        <f t="shared" si="170"/>
        <v>0</v>
      </c>
      <c r="JW269" s="235">
        <f t="shared" si="171"/>
        <v>0</v>
      </c>
      <c r="JX269" s="235">
        <f t="shared" si="172"/>
        <v>0</v>
      </c>
      <c r="JY269" s="235">
        <f t="shared" si="173"/>
        <v>0</v>
      </c>
      <c r="JZ269" s="235">
        <f t="shared" si="174"/>
        <v>0</v>
      </c>
      <c r="KA269" s="237">
        <f t="shared" si="175"/>
        <v>0</v>
      </c>
      <c r="KB269" s="248">
        <v>46287</v>
      </c>
    </row>
    <row r="270" spans="1:288">
      <c r="A270" s="207">
        <v>46288</v>
      </c>
      <c r="JF270" s="236">
        <f t="shared" si="154"/>
        <v>0</v>
      </c>
      <c r="JG270" s="235">
        <f t="shared" si="155"/>
        <v>0</v>
      </c>
      <c r="JH270" s="235">
        <f t="shared" si="156"/>
        <v>0</v>
      </c>
      <c r="JI270" s="235">
        <f t="shared" si="157"/>
        <v>0</v>
      </c>
      <c r="JJ270" s="235">
        <f t="shared" si="158"/>
        <v>0</v>
      </c>
      <c r="JK270" s="235">
        <f t="shared" si="159"/>
        <v>0</v>
      </c>
      <c r="JL270" s="235">
        <f t="shared" si="160"/>
        <v>0</v>
      </c>
      <c r="JM270" s="235">
        <f t="shared" si="161"/>
        <v>0</v>
      </c>
      <c r="JN270" s="235">
        <f t="shared" si="162"/>
        <v>0</v>
      </c>
      <c r="JO270" s="235">
        <f t="shared" si="163"/>
        <v>0</v>
      </c>
      <c r="JP270" s="235">
        <f t="shared" si="164"/>
        <v>0</v>
      </c>
      <c r="JQ270" s="235">
        <f t="shared" si="165"/>
        <v>0</v>
      </c>
      <c r="JR270" s="235">
        <f t="shared" si="166"/>
        <v>0</v>
      </c>
      <c r="JS270" s="235">
        <f t="shared" si="167"/>
        <v>0</v>
      </c>
      <c r="JT270" s="235">
        <f t="shared" si="168"/>
        <v>0</v>
      </c>
      <c r="JU270" s="235">
        <f t="shared" si="169"/>
        <v>0</v>
      </c>
      <c r="JV270" s="235">
        <f t="shared" si="170"/>
        <v>0</v>
      </c>
      <c r="JW270" s="235">
        <f t="shared" si="171"/>
        <v>0</v>
      </c>
      <c r="JX270" s="235">
        <f t="shared" si="172"/>
        <v>0</v>
      </c>
      <c r="JY270" s="235">
        <f t="shared" si="173"/>
        <v>0</v>
      </c>
      <c r="JZ270" s="235">
        <f t="shared" si="174"/>
        <v>0</v>
      </c>
      <c r="KA270" s="237">
        <f t="shared" si="175"/>
        <v>0</v>
      </c>
      <c r="KB270" s="248">
        <v>46288</v>
      </c>
    </row>
    <row r="271" spans="1:288">
      <c r="A271" s="207">
        <v>46289</v>
      </c>
      <c r="JF271" s="236">
        <f t="shared" si="154"/>
        <v>0</v>
      </c>
      <c r="JG271" s="235">
        <f t="shared" si="155"/>
        <v>0</v>
      </c>
      <c r="JH271" s="235">
        <f t="shared" si="156"/>
        <v>0</v>
      </c>
      <c r="JI271" s="235">
        <f t="shared" si="157"/>
        <v>0</v>
      </c>
      <c r="JJ271" s="235">
        <f t="shared" si="158"/>
        <v>0</v>
      </c>
      <c r="JK271" s="235">
        <f t="shared" si="159"/>
        <v>0</v>
      </c>
      <c r="JL271" s="235">
        <f t="shared" si="160"/>
        <v>0</v>
      </c>
      <c r="JM271" s="235">
        <f t="shared" si="161"/>
        <v>0</v>
      </c>
      <c r="JN271" s="235">
        <f t="shared" si="162"/>
        <v>0</v>
      </c>
      <c r="JO271" s="235">
        <f t="shared" si="163"/>
        <v>0</v>
      </c>
      <c r="JP271" s="235">
        <f t="shared" si="164"/>
        <v>0</v>
      </c>
      <c r="JQ271" s="235">
        <f t="shared" si="165"/>
        <v>0</v>
      </c>
      <c r="JR271" s="235">
        <f t="shared" si="166"/>
        <v>0</v>
      </c>
      <c r="JS271" s="235">
        <f t="shared" si="167"/>
        <v>0</v>
      </c>
      <c r="JT271" s="235">
        <f t="shared" si="168"/>
        <v>0</v>
      </c>
      <c r="JU271" s="235">
        <f t="shared" si="169"/>
        <v>0</v>
      </c>
      <c r="JV271" s="235">
        <f t="shared" si="170"/>
        <v>0</v>
      </c>
      <c r="JW271" s="235">
        <f t="shared" si="171"/>
        <v>0</v>
      </c>
      <c r="JX271" s="235">
        <f t="shared" si="172"/>
        <v>0</v>
      </c>
      <c r="JY271" s="235">
        <f t="shared" si="173"/>
        <v>0</v>
      </c>
      <c r="JZ271" s="235">
        <f t="shared" si="174"/>
        <v>0</v>
      </c>
      <c r="KA271" s="237">
        <f t="shared" si="175"/>
        <v>0</v>
      </c>
      <c r="KB271" s="248">
        <v>46289</v>
      </c>
    </row>
    <row r="272" spans="1:288">
      <c r="A272" s="207">
        <v>46290</v>
      </c>
      <c r="JF272" s="236">
        <f t="shared" si="154"/>
        <v>0</v>
      </c>
      <c r="JG272" s="235">
        <f t="shared" si="155"/>
        <v>0</v>
      </c>
      <c r="JH272" s="235">
        <f t="shared" si="156"/>
        <v>0</v>
      </c>
      <c r="JI272" s="235">
        <f t="shared" si="157"/>
        <v>0</v>
      </c>
      <c r="JJ272" s="235">
        <f t="shared" si="158"/>
        <v>0</v>
      </c>
      <c r="JK272" s="235">
        <f t="shared" si="159"/>
        <v>0</v>
      </c>
      <c r="JL272" s="235">
        <f t="shared" si="160"/>
        <v>0</v>
      </c>
      <c r="JM272" s="235">
        <f t="shared" si="161"/>
        <v>0</v>
      </c>
      <c r="JN272" s="235">
        <f t="shared" si="162"/>
        <v>0</v>
      </c>
      <c r="JO272" s="235">
        <f t="shared" si="163"/>
        <v>0</v>
      </c>
      <c r="JP272" s="235">
        <f t="shared" si="164"/>
        <v>0</v>
      </c>
      <c r="JQ272" s="235">
        <f t="shared" si="165"/>
        <v>0</v>
      </c>
      <c r="JR272" s="235">
        <f t="shared" si="166"/>
        <v>0</v>
      </c>
      <c r="JS272" s="235">
        <f t="shared" si="167"/>
        <v>0</v>
      </c>
      <c r="JT272" s="235">
        <f t="shared" si="168"/>
        <v>0</v>
      </c>
      <c r="JU272" s="235">
        <f t="shared" si="169"/>
        <v>0</v>
      </c>
      <c r="JV272" s="235">
        <f t="shared" si="170"/>
        <v>0</v>
      </c>
      <c r="JW272" s="235">
        <f t="shared" si="171"/>
        <v>0</v>
      </c>
      <c r="JX272" s="235">
        <f t="shared" si="172"/>
        <v>0</v>
      </c>
      <c r="JY272" s="235">
        <f t="shared" si="173"/>
        <v>0</v>
      </c>
      <c r="JZ272" s="235">
        <f t="shared" si="174"/>
        <v>0</v>
      </c>
      <c r="KA272" s="237">
        <f t="shared" si="175"/>
        <v>0</v>
      </c>
      <c r="KB272" s="248">
        <v>46290</v>
      </c>
    </row>
    <row r="273" spans="1:288">
      <c r="A273" s="207">
        <v>46291</v>
      </c>
      <c r="JF273" s="236">
        <f t="shared" si="154"/>
        <v>0</v>
      </c>
      <c r="JG273" s="235">
        <f t="shared" si="155"/>
        <v>0</v>
      </c>
      <c r="JH273" s="235">
        <f t="shared" si="156"/>
        <v>0</v>
      </c>
      <c r="JI273" s="235">
        <f t="shared" si="157"/>
        <v>0</v>
      </c>
      <c r="JJ273" s="235">
        <f t="shared" si="158"/>
        <v>0</v>
      </c>
      <c r="JK273" s="235">
        <f t="shared" si="159"/>
        <v>0</v>
      </c>
      <c r="JL273" s="235">
        <f t="shared" si="160"/>
        <v>0</v>
      </c>
      <c r="JM273" s="235">
        <f t="shared" si="161"/>
        <v>0</v>
      </c>
      <c r="JN273" s="235">
        <f t="shared" si="162"/>
        <v>0</v>
      </c>
      <c r="JO273" s="235">
        <f t="shared" si="163"/>
        <v>0</v>
      </c>
      <c r="JP273" s="235">
        <f t="shared" si="164"/>
        <v>0</v>
      </c>
      <c r="JQ273" s="235">
        <f t="shared" si="165"/>
        <v>0</v>
      </c>
      <c r="JR273" s="235">
        <f t="shared" si="166"/>
        <v>0</v>
      </c>
      <c r="JS273" s="235">
        <f t="shared" si="167"/>
        <v>0</v>
      </c>
      <c r="JT273" s="235">
        <f t="shared" si="168"/>
        <v>0</v>
      </c>
      <c r="JU273" s="235">
        <f t="shared" si="169"/>
        <v>0</v>
      </c>
      <c r="JV273" s="235">
        <f t="shared" si="170"/>
        <v>0</v>
      </c>
      <c r="JW273" s="235">
        <f t="shared" si="171"/>
        <v>0</v>
      </c>
      <c r="JX273" s="235">
        <f t="shared" si="172"/>
        <v>0</v>
      </c>
      <c r="JY273" s="235">
        <f t="shared" si="173"/>
        <v>0</v>
      </c>
      <c r="JZ273" s="235">
        <f t="shared" si="174"/>
        <v>0</v>
      </c>
      <c r="KA273" s="237">
        <f t="shared" si="175"/>
        <v>0</v>
      </c>
      <c r="KB273" s="248">
        <v>46291</v>
      </c>
    </row>
    <row r="274" spans="1:288">
      <c r="A274" s="207">
        <v>46292</v>
      </c>
      <c r="JF274" s="236">
        <f t="shared" si="154"/>
        <v>0</v>
      </c>
      <c r="JG274" s="235">
        <f t="shared" si="155"/>
        <v>0</v>
      </c>
      <c r="JH274" s="235">
        <f t="shared" si="156"/>
        <v>0</v>
      </c>
      <c r="JI274" s="235">
        <f t="shared" si="157"/>
        <v>0</v>
      </c>
      <c r="JJ274" s="235">
        <f t="shared" si="158"/>
        <v>0</v>
      </c>
      <c r="JK274" s="235">
        <f t="shared" si="159"/>
        <v>0</v>
      </c>
      <c r="JL274" s="235">
        <f t="shared" si="160"/>
        <v>0</v>
      </c>
      <c r="JM274" s="235">
        <f t="shared" si="161"/>
        <v>0</v>
      </c>
      <c r="JN274" s="235">
        <f t="shared" si="162"/>
        <v>0</v>
      </c>
      <c r="JO274" s="235">
        <f t="shared" si="163"/>
        <v>0</v>
      </c>
      <c r="JP274" s="235">
        <f t="shared" si="164"/>
        <v>0</v>
      </c>
      <c r="JQ274" s="235">
        <f t="shared" si="165"/>
        <v>0</v>
      </c>
      <c r="JR274" s="235">
        <f t="shared" si="166"/>
        <v>0</v>
      </c>
      <c r="JS274" s="235">
        <f t="shared" si="167"/>
        <v>0</v>
      </c>
      <c r="JT274" s="235">
        <f t="shared" si="168"/>
        <v>0</v>
      </c>
      <c r="JU274" s="235">
        <f t="shared" si="169"/>
        <v>0</v>
      </c>
      <c r="JV274" s="235">
        <f t="shared" si="170"/>
        <v>0</v>
      </c>
      <c r="JW274" s="235">
        <f t="shared" si="171"/>
        <v>0</v>
      </c>
      <c r="JX274" s="235">
        <f t="shared" si="172"/>
        <v>0</v>
      </c>
      <c r="JY274" s="235">
        <f t="shared" si="173"/>
        <v>0</v>
      </c>
      <c r="JZ274" s="235">
        <f t="shared" si="174"/>
        <v>0</v>
      </c>
      <c r="KA274" s="237">
        <f t="shared" si="175"/>
        <v>0</v>
      </c>
      <c r="KB274" s="248">
        <v>46292</v>
      </c>
    </row>
    <row r="275" spans="1:288">
      <c r="A275" s="207">
        <v>46293</v>
      </c>
      <c r="JF275" s="236">
        <f t="shared" si="154"/>
        <v>0</v>
      </c>
      <c r="JG275" s="235">
        <f t="shared" si="155"/>
        <v>0</v>
      </c>
      <c r="JH275" s="235">
        <f t="shared" si="156"/>
        <v>0</v>
      </c>
      <c r="JI275" s="235">
        <f t="shared" si="157"/>
        <v>0</v>
      </c>
      <c r="JJ275" s="235">
        <f t="shared" si="158"/>
        <v>0</v>
      </c>
      <c r="JK275" s="235">
        <f t="shared" si="159"/>
        <v>0</v>
      </c>
      <c r="JL275" s="235">
        <f t="shared" si="160"/>
        <v>0</v>
      </c>
      <c r="JM275" s="235">
        <f t="shared" si="161"/>
        <v>0</v>
      </c>
      <c r="JN275" s="235">
        <f t="shared" si="162"/>
        <v>0</v>
      </c>
      <c r="JO275" s="235">
        <f t="shared" si="163"/>
        <v>0</v>
      </c>
      <c r="JP275" s="235">
        <f t="shared" si="164"/>
        <v>0</v>
      </c>
      <c r="JQ275" s="235">
        <f t="shared" si="165"/>
        <v>0</v>
      </c>
      <c r="JR275" s="235">
        <f t="shared" si="166"/>
        <v>0</v>
      </c>
      <c r="JS275" s="235">
        <f t="shared" si="167"/>
        <v>0</v>
      </c>
      <c r="JT275" s="235">
        <f t="shared" si="168"/>
        <v>0</v>
      </c>
      <c r="JU275" s="235">
        <f t="shared" si="169"/>
        <v>0</v>
      </c>
      <c r="JV275" s="235">
        <f t="shared" si="170"/>
        <v>0</v>
      </c>
      <c r="JW275" s="235">
        <f t="shared" si="171"/>
        <v>0</v>
      </c>
      <c r="JX275" s="235">
        <f t="shared" si="172"/>
        <v>0</v>
      </c>
      <c r="JY275" s="235">
        <f t="shared" si="173"/>
        <v>0</v>
      </c>
      <c r="JZ275" s="235">
        <f t="shared" si="174"/>
        <v>0</v>
      </c>
      <c r="KA275" s="237">
        <f t="shared" si="175"/>
        <v>0</v>
      </c>
      <c r="KB275" s="248">
        <v>46293</v>
      </c>
    </row>
    <row r="276" spans="1:288">
      <c r="A276" s="207">
        <v>46294</v>
      </c>
      <c r="JF276" s="236">
        <f t="shared" si="154"/>
        <v>0</v>
      </c>
      <c r="JG276" s="235">
        <f t="shared" si="155"/>
        <v>0</v>
      </c>
      <c r="JH276" s="235">
        <f t="shared" si="156"/>
        <v>0</v>
      </c>
      <c r="JI276" s="235">
        <f t="shared" si="157"/>
        <v>0</v>
      </c>
      <c r="JJ276" s="235">
        <f t="shared" si="158"/>
        <v>0</v>
      </c>
      <c r="JK276" s="235">
        <f t="shared" si="159"/>
        <v>0</v>
      </c>
      <c r="JL276" s="235">
        <f t="shared" si="160"/>
        <v>0</v>
      </c>
      <c r="JM276" s="235">
        <f t="shared" si="161"/>
        <v>0</v>
      </c>
      <c r="JN276" s="235">
        <f t="shared" si="162"/>
        <v>0</v>
      </c>
      <c r="JO276" s="235">
        <f t="shared" si="163"/>
        <v>0</v>
      </c>
      <c r="JP276" s="235">
        <f t="shared" si="164"/>
        <v>0</v>
      </c>
      <c r="JQ276" s="235">
        <f t="shared" si="165"/>
        <v>0</v>
      </c>
      <c r="JR276" s="235">
        <f t="shared" si="166"/>
        <v>0</v>
      </c>
      <c r="JS276" s="235">
        <f t="shared" si="167"/>
        <v>0</v>
      </c>
      <c r="JT276" s="235">
        <f t="shared" si="168"/>
        <v>0</v>
      </c>
      <c r="JU276" s="235">
        <f t="shared" si="169"/>
        <v>0</v>
      </c>
      <c r="JV276" s="235">
        <f t="shared" si="170"/>
        <v>0</v>
      </c>
      <c r="JW276" s="235">
        <f t="shared" si="171"/>
        <v>0</v>
      </c>
      <c r="JX276" s="235">
        <f t="shared" si="172"/>
        <v>0</v>
      </c>
      <c r="JY276" s="235">
        <f t="shared" si="173"/>
        <v>0</v>
      </c>
      <c r="JZ276" s="235">
        <f t="shared" si="174"/>
        <v>0</v>
      </c>
      <c r="KA276" s="237">
        <f t="shared" si="175"/>
        <v>0</v>
      </c>
      <c r="KB276" s="248">
        <v>46294</v>
      </c>
    </row>
    <row r="277" spans="1:288">
      <c r="A277" s="207">
        <v>46295</v>
      </c>
      <c r="JF277" s="236">
        <f t="shared" si="154"/>
        <v>0</v>
      </c>
      <c r="JG277" s="235">
        <f t="shared" si="155"/>
        <v>0</v>
      </c>
      <c r="JH277" s="235">
        <f t="shared" si="156"/>
        <v>0</v>
      </c>
      <c r="JI277" s="235">
        <f t="shared" si="157"/>
        <v>0</v>
      </c>
      <c r="JJ277" s="235">
        <f t="shared" si="158"/>
        <v>0</v>
      </c>
      <c r="JK277" s="235">
        <f t="shared" si="159"/>
        <v>0</v>
      </c>
      <c r="JL277" s="235">
        <f t="shared" si="160"/>
        <v>0</v>
      </c>
      <c r="JM277" s="235">
        <f t="shared" si="161"/>
        <v>0</v>
      </c>
      <c r="JN277" s="235">
        <f t="shared" si="162"/>
        <v>0</v>
      </c>
      <c r="JO277" s="235">
        <f t="shared" si="163"/>
        <v>0</v>
      </c>
      <c r="JP277" s="235">
        <f t="shared" si="164"/>
        <v>0</v>
      </c>
      <c r="JQ277" s="235">
        <f t="shared" si="165"/>
        <v>0</v>
      </c>
      <c r="JR277" s="235">
        <f t="shared" si="166"/>
        <v>0</v>
      </c>
      <c r="JS277" s="235">
        <f t="shared" si="167"/>
        <v>0</v>
      </c>
      <c r="JT277" s="235">
        <f t="shared" si="168"/>
        <v>0</v>
      </c>
      <c r="JU277" s="235">
        <f t="shared" si="169"/>
        <v>0</v>
      </c>
      <c r="JV277" s="235">
        <f t="shared" si="170"/>
        <v>0</v>
      </c>
      <c r="JW277" s="235">
        <f t="shared" si="171"/>
        <v>0</v>
      </c>
      <c r="JX277" s="235">
        <f t="shared" si="172"/>
        <v>0</v>
      </c>
      <c r="JY277" s="235">
        <f t="shared" si="173"/>
        <v>0</v>
      </c>
      <c r="JZ277" s="235">
        <f t="shared" si="174"/>
        <v>0</v>
      </c>
      <c r="KA277" s="237">
        <f t="shared" si="175"/>
        <v>0</v>
      </c>
      <c r="KB277" s="248">
        <v>46295</v>
      </c>
    </row>
    <row r="278" spans="1:288">
      <c r="A278" s="207">
        <v>46296</v>
      </c>
      <c r="JF278" s="236">
        <f t="shared" si="154"/>
        <v>0</v>
      </c>
      <c r="JG278" s="235">
        <f t="shared" si="155"/>
        <v>0</v>
      </c>
      <c r="JH278" s="235">
        <f t="shared" si="156"/>
        <v>0</v>
      </c>
      <c r="JI278" s="235">
        <f t="shared" si="157"/>
        <v>0</v>
      </c>
      <c r="JJ278" s="235">
        <f t="shared" si="158"/>
        <v>0</v>
      </c>
      <c r="JK278" s="235">
        <f t="shared" si="159"/>
        <v>0</v>
      </c>
      <c r="JL278" s="235">
        <f t="shared" si="160"/>
        <v>0</v>
      </c>
      <c r="JM278" s="235">
        <f t="shared" si="161"/>
        <v>0</v>
      </c>
      <c r="JN278" s="235">
        <f t="shared" si="162"/>
        <v>0</v>
      </c>
      <c r="JO278" s="235">
        <f t="shared" si="163"/>
        <v>0</v>
      </c>
      <c r="JP278" s="235">
        <f t="shared" si="164"/>
        <v>0</v>
      </c>
      <c r="JQ278" s="235">
        <f t="shared" si="165"/>
        <v>0</v>
      </c>
      <c r="JR278" s="235">
        <f t="shared" si="166"/>
        <v>0</v>
      </c>
      <c r="JS278" s="235">
        <f t="shared" si="167"/>
        <v>0</v>
      </c>
      <c r="JT278" s="235">
        <f t="shared" si="168"/>
        <v>0</v>
      </c>
      <c r="JU278" s="235">
        <f t="shared" si="169"/>
        <v>0</v>
      </c>
      <c r="JV278" s="235">
        <f t="shared" si="170"/>
        <v>0</v>
      </c>
      <c r="JW278" s="235">
        <f t="shared" si="171"/>
        <v>0</v>
      </c>
      <c r="JX278" s="235">
        <f t="shared" si="172"/>
        <v>0</v>
      </c>
      <c r="JY278" s="235">
        <f t="shared" si="173"/>
        <v>0</v>
      </c>
      <c r="JZ278" s="235">
        <f t="shared" si="174"/>
        <v>0</v>
      </c>
      <c r="KA278" s="237">
        <f t="shared" si="175"/>
        <v>0</v>
      </c>
      <c r="KB278" s="248">
        <v>46296</v>
      </c>
    </row>
    <row r="279" spans="1:288">
      <c r="A279" s="207">
        <v>46297</v>
      </c>
      <c r="JF279" s="236">
        <f t="shared" si="154"/>
        <v>0</v>
      </c>
      <c r="JG279" s="235">
        <f t="shared" si="155"/>
        <v>0</v>
      </c>
      <c r="JH279" s="235">
        <f t="shared" si="156"/>
        <v>0</v>
      </c>
      <c r="JI279" s="235">
        <f t="shared" si="157"/>
        <v>0</v>
      </c>
      <c r="JJ279" s="235">
        <f t="shared" si="158"/>
        <v>0</v>
      </c>
      <c r="JK279" s="235">
        <f t="shared" si="159"/>
        <v>0</v>
      </c>
      <c r="JL279" s="235">
        <f t="shared" si="160"/>
        <v>0</v>
      </c>
      <c r="JM279" s="235">
        <f t="shared" si="161"/>
        <v>0</v>
      </c>
      <c r="JN279" s="235">
        <f t="shared" si="162"/>
        <v>0</v>
      </c>
      <c r="JO279" s="235">
        <f t="shared" si="163"/>
        <v>0</v>
      </c>
      <c r="JP279" s="235">
        <f t="shared" si="164"/>
        <v>0</v>
      </c>
      <c r="JQ279" s="235">
        <f t="shared" si="165"/>
        <v>0</v>
      </c>
      <c r="JR279" s="235">
        <f t="shared" si="166"/>
        <v>0</v>
      </c>
      <c r="JS279" s="235">
        <f t="shared" si="167"/>
        <v>0</v>
      </c>
      <c r="JT279" s="235">
        <f t="shared" si="168"/>
        <v>0</v>
      </c>
      <c r="JU279" s="235">
        <f t="shared" si="169"/>
        <v>0</v>
      </c>
      <c r="JV279" s="235">
        <f t="shared" si="170"/>
        <v>0</v>
      </c>
      <c r="JW279" s="235">
        <f t="shared" si="171"/>
        <v>0</v>
      </c>
      <c r="JX279" s="235">
        <f t="shared" si="172"/>
        <v>0</v>
      </c>
      <c r="JY279" s="235">
        <f t="shared" si="173"/>
        <v>0</v>
      </c>
      <c r="JZ279" s="235">
        <f t="shared" si="174"/>
        <v>0</v>
      </c>
      <c r="KA279" s="237">
        <f t="shared" si="175"/>
        <v>0</v>
      </c>
      <c r="KB279" s="248">
        <v>46297</v>
      </c>
    </row>
    <row r="280" spans="1:288">
      <c r="A280" s="207">
        <v>46298</v>
      </c>
      <c r="JF280" s="236">
        <f t="shared" si="154"/>
        <v>0</v>
      </c>
      <c r="JG280" s="235">
        <f t="shared" si="155"/>
        <v>0</v>
      </c>
      <c r="JH280" s="235">
        <f t="shared" si="156"/>
        <v>0</v>
      </c>
      <c r="JI280" s="235">
        <f t="shared" si="157"/>
        <v>0</v>
      </c>
      <c r="JJ280" s="235">
        <f t="shared" si="158"/>
        <v>0</v>
      </c>
      <c r="JK280" s="235">
        <f t="shared" si="159"/>
        <v>0</v>
      </c>
      <c r="JL280" s="235">
        <f t="shared" si="160"/>
        <v>0</v>
      </c>
      <c r="JM280" s="235">
        <f t="shared" si="161"/>
        <v>0</v>
      </c>
      <c r="JN280" s="235">
        <f t="shared" si="162"/>
        <v>0</v>
      </c>
      <c r="JO280" s="235">
        <f t="shared" si="163"/>
        <v>0</v>
      </c>
      <c r="JP280" s="235">
        <f t="shared" si="164"/>
        <v>0</v>
      </c>
      <c r="JQ280" s="235">
        <f t="shared" si="165"/>
        <v>0</v>
      </c>
      <c r="JR280" s="235">
        <f t="shared" si="166"/>
        <v>0</v>
      </c>
      <c r="JS280" s="235">
        <f t="shared" si="167"/>
        <v>0</v>
      </c>
      <c r="JT280" s="235">
        <f t="shared" si="168"/>
        <v>0</v>
      </c>
      <c r="JU280" s="235">
        <f t="shared" si="169"/>
        <v>0</v>
      </c>
      <c r="JV280" s="235">
        <f t="shared" si="170"/>
        <v>0</v>
      </c>
      <c r="JW280" s="235">
        <f t="shared" si="171"/>
        <v>0</v>
      </c>
      <c r="JX280" s="235">
        <f t="shared" si="172"/>
        <v>0</v>
      </c>
      <c r="JY280" s="235">
        <f t="shared" si="173"/>
        <v>0</v>
      </c>
      <c r="JZ280" s="235">
        <f t="shared" si="174"/>
        <v>0</v>
      </c>
      <c r="KA280" s="237">
        <f t="shared" si="175"/>
        <v>0</v>
      </c>
      <c r="KB280" s="248">
        <v>46298</v>
      </c>
    </row>
    <row r="281" spans="1:288">
      <c r="A281" s="207">
        <v>46299</v>
      </c>
      <c r="JF281" s="236">
        <f t="shared" si="154"/>
        <v>0</v>
      </c>
      <c r="JG281" s="235">
        <f t="shared" si="155"/>
        <v>0</v>
      </c>
      <c r="JH281" s="235">
        <f t="shared" si="156"/>
        <v>0</v>
      </c>
      <c r="JI281" s="235">
        <f t="shared" si="157"/>
        <v>0</v>
      </c>
      <c r="JJ281" s="235">
        <f t="shared" si="158"/>
        <v>0</v>
      </c>
      <c r="JK281" s="235">
        <f t="shared" si="159"/>
        <v>0</v>
      </c>
      <c r="JL281" s="235">
        <f t="shared" si="160"/>
        <v>0</v>
      </c>
      <c r="JM281" s="235">
        <f t="shared" si="161"/>
        <v>0</v>
      </c>
      <c r="JN281" s="235">
        <f t="shared" si="162"/>
        <v>0</v>
      </c>
      <c r="JO281" s="235">
        <f t="shared" si="163"/>
        <v>0</v>
      </c>
      <c r="JP281" s="235">
        <f t="shared" si="164"/>
        <v>0</v>
      </c>
      <c r="JQ281" s="235">
        <f t="shared" si="165"/>
        <v>0</v>
      </c>
      <c r="JR281" s="235">
        <f t="shared" si="166"/>
        <v>0</v>
      </c>
      <c r="JS281" s="235">
        <f t="shared" si="167"/>
        <v>0</v>
      </c>
      <c r="JT281" s="235">
        <f t="shared" si="168"/>
        <v>0</v>
      </c>
      <c r="JU281" s="235">
        <f t="shared" si="169"/>
        <v>0</v>
      </c>
      <c r="JV281" s="235">
        <f t="shared" si="170"/>
        <v>0</v>
      </c>
      <c r="JW281" s="235">
        <f t="shared" si="171"/>
        <v>0</v>
      </c>
      <c r="JX281" s="235">
        <f t="shared" si="172"/>
        <v>0</v>
      </c>
      <c r="JY281" s="235">
        <f t="shared" si="173"/>
        <v>0</v>
      </c>
      <c r="JZ281" s="235">
        <f t="shared" si="174"/>
        <v>0</v>
      </c>
      <c r="KA281" s="237">
        <f t="shared" si="175"/>
        <v>0</v>
      </c>
      <c r="KB281" s="248">
        <v>46299</v>
      </c>
    </row>
    <row r="282" spans="1:288">
      <c r="A282" s="207">
        <v>46300</v>
      </c>
      <c r="JF282" s="236">
        <f t="shared" si="154"/>
        <v>0</v>
      </c>
      <c r="JG282" s="235">
        <f t="shared" si="155"/>
        <v>0</v>
      </c>
      <c r="JH282" s="235">
        <f t="shared" si="156"/>
        <v>0</v>
      </c>
      <c r="JI282" s="235">
        <f t="shared" si="157"/>
        <v>0</v>
      </c>
      <c r="JJ282" s="235">
        <f t="shared" si="158"/>
        <v>0</v>
      </c>
      <c r="JK282" s="235">
        <f t="shared" si="159"/>
        <v>0</v>
      </c>
      <c r="JL282" s="235">
        <f t="shared" si="160"/>
        <v>0</v>
      </c>
      <c r="JM282" s="235">
        <f t="shared" si="161"/>
        <v>0</v>
      </c>
      <c r="JN282" s="235">
        <f t="shared" si="162"/>
        <v>0</v>
      </c>
      <c r="JO282" s="235">
        <f t="shared" si="163"/>
        <v>0</v>
      </c>
      <c r="JP282" s="235">
        <f t="shared" si="164"/>
        <v>0</v>
      </c>
      <c r="JQ282" s="235">
        <f t="shared" si="165"/>
        <v>0</v>
      </c>
      <c r="JR282" s="235">
        <f t="shared" si="166"/>
        <v>0</v>
      </c>
      <c r="JS282" s="235">
        <f t="shared" si="167"/>
        <v>0</v>
      </c>
      <c r="JT282" s="235">
        <f t="shared" si="168"/>
        <v>0</v>
      </c>
      <c r="JU282" s="235">
        <f t="shared" si="169"/>
        <v>0</v>
      </c>
      <c r="JV282" s="235">
        <f t="shared" si="170"/>
        <v>0</v>
      </c>
      <c r="JW282" s="235">
        <f t="shared" si="171"/>
        <v>0</v>
      </c>
      <c r="JX282" s="235">
        <f t="shared" si="172"/>
        <v>0</v>
      </c>
      <c r="JY282" s="235">
        <f t="shared" si="173"/>
        <v>0</v>
      </c>
      <c r="JZ282" s="235">
        <f t="shared" si="174"/>
        <v>0</v>
      </c>
      <c r="KA282" s="237">
        <f t="shared" si="175"/>
        <v>0</v>
      </c>
      <c r="KB282" s="248">
        <v>46300</v>
      </c>
    </row>
    <row r="283" spans="1:288">
      <c r="A283" s="207">
        <v>46301</v>
      </c>
      <c r="JF283" s="236">
        <f t="shared" si="154"/>
        <v>0</v>
      </c>
      <c r="JG283" s="235">
        <f t="shared" si="155"/>
        <v>0</v>
      </c>
      <c r="JH283" s="235">
        <f t="shared" si="156"/>
        <v>0</v>
      </c>
      <c r="JI283" s="235">
        <f t="shared" si="157"/>
        <v>0</v>
      </c>
      <c r="JJ283" s="235">
        <f t="shared" si="158"/>
        <v>0</v>
      </c>
      <c r="JK283" s="235">
        <f t="shared" si="159"/>
        <v>0</v>
      </c>
      <c r="JL283" s="235">
        <f t="shared" si="160"/>
        <v>0</v>
      </c>
      <c r="JM283" s="235">
        <f t="shared" si="161"/>
        <v>0</v>
      </c>
      <c r="JN283" s="235">
        <f t="shared" si="162"/>
        <v>0</v>
      </c>
      <c r="JO283" s="235">
        <f t="shared" si="163"/>
        <v>0</v>
      </c>
      <c r="JP283" s="235">
        <f t="shared" si="164"/>
        <v>0</v>
      </c>
      <c r="JQ283" s="235">
        <f t="shared" si="165"/>
        <v>0</v>
      </c>
      <c r="JR283" s="235">
        <f t="shared" si="166"/>
        <v>0</v>
      </c>
      <c r="JS283" s="235">
        <f t="shared" si="167"/>
        <v>0</v>
      </c>
      <c r="JT283" s="235">
        <f t="shared" si="168"/>
        <v>0</v>
      </c>
      <c r="JU283" s="235">
        <f t="shared" si="169"/>
        <v>0</v>
      </c>
      <c r="JV283" s="235">
        <f t="shared" si="170"/>
        <v>0</v>
      </c>
      <c r="JW283" s="235">
        <f t="shared" si="171"/>
        <v>0</v>
      </c>
      <c r="JX283" s="235">
        <f t="shared" si="172"/>
        <v>0</v>
      </c>
      <c r="JY283" s="235">
        <f t="shared" si="173"/>
        <v>0</v>
      </c>
      <c r="JZ283" s="235">
        <f t="shared" si="174"/>
        <v>0</v>
      </c>
      <c r="KA283" s="237">
        <f t="shared" si="175"/>
        <v>0</v>
      </c>
      <c r="KB283" s="248">
        <v>46301</v>
      </c>
    </row>
    <row r="284" spans="1:288">
      <c r="A284" s="207">
        <v>46302</v>
      </c>
      <c r="JF284" s="236">
        <f t="shared" si="154"/>
        <v>0</v>
      </c>
      <c r="JG284" s="235">
        <f t="shared" si="155"/>
        <v>0</v>
      </c>
      <c r="JH284" s="235">
        <f t="shared" si="156"/>
        <v>0</v>
      </c>
      <c r="JI284" s="235">
        <f t="shared" si="157"/>
        <v>0</v>
      </c>
      <c r="JJ284" s="235">
        <f t="shared" si="158"/>
        <v>0</v>
      </c>
      <c r="JK284" s="235">
        <f t="shared" si="159"/>
        <v>0</v>
      </c>
      <c r="JL284" s="235">
        <f t="shared" si="160"/>
        <v>0</v>
      </c>
      <c r="JM284" s="235">
        <f t="shared" si="161"/>
        <v>0</v>
      </c>
      <c r="JN284" s="235">
        <f t="shared" si="162"/>
        <v>0</v>
      </c>
      <c r="JO284" s="235">
        <f t="shared" si="163"/>
        <v>0</v>
      </c>
      <c r="JP284" s="235">
        <f t="shared" si="164"/>
        <v>0</v>
      </c>
      <c r="JQ284" s="235">
        <f t="shared" si="165"/>
        <v>0</v>
      </c>
      <c r="JR284" s="235">
        <f t="shared" si="166"/>
        <v>0</v>
      </c>
      <c r="JS284" s="235">
        <f t="shared" si="167"/>
        <v>0</v>
      </c>
      <c r="JT284" s="235">
        <f t="shared" si="168"/>
        <v>0</v>
      </c>
      <c r="JU284" s="235">
        <f t="shared" si="169"/>
        <v>0</v>
      </c>
      <c r="JV284" s="235">
        <f t="shared" si="170"/>
        <v>0</v>
      </c>
      <c r="JW284" s="235">
        <f t="shared" si="171"/>
        <v>0</v>
      </c>
      <c r="JX284" s="235">
        <f t="shared" si="172"/>
        <v>0</v>
      </c>
      <c r="JY284" s="235">
        <f t="shared" si="173"/>
        <v>0</v>
      </c>
      <c r="JZ284" s="235">
        <f t="shared" si="174"/>
        <v>0</v>
      </c>
      <c r="KA284" s="237">
        <f t="shared" si="175"/>
        <v>0</v>
      </c>
      <c r="KB284" s="248">
        <v>46302</v>
      </c>
    </row>
    <row r="285" spans="1:288">
      <c r="A285" s="207">
        <v>46303</v>
      </c>
      <c r="JF285" s="236">
        <f t="shared" si="154"/>
        <v>0</v>
      </c>
      <c r="JG285" s="235">
        <f t="shared" si="155"/>
        <v>0</v>
      </c>
      <c r="JH285" s="235">
        <f t="shared" si="156"/>
        <v>0</v>
      </c>
      <c r="JI285" s="235">
        <f t="shared" si="157"/>
        <v>0</v>
      </c>
      <c r="JJ285" s="235">
        <f t="shared" si="158"/>
        <v>0</v>
      </c>
      <c r="JK285" s="235">
        <f t="shared" si="159"/>
        <v>0</v>
      </c>
      <c r="JL285" s="235">
        <f t="shared" si="160"/>
        <v>0</v>
      </c>
      <c r="JM285" s="235">
        <f t="shared" si="161"/>
        <v>0</v>
      </c>
      <c r="JN285" s="235">
        <f t="shared" si="162"/>
        <v>0</v>
      </c>
      <c r="JO285" s="235">
        <f t="shared" si="163"/>
        <v>0</v>
      </c>
      <c r="JP285" s="235">
        <f t="shared" si="164"/>
        <v>0</v>
      </c>
      <c r="JQ285" s="235">
        <f t="shared" si="165"/>
        <v>0</v>
      </c>
      <c r="JR285" s="235">
        <f t="shared" si="166"/>
        <v>0</v>
      </c>
      <c r="JS285" s="235">
        <f t="shared" si="167"/>
        <v>0</v>
      </c>
      <c r="JT285" s="235">
        <f t="shared" si="168"/>
        <v>0</v>
      </c>
      <c r="JU285" s="235">
        <f t="shared" si="169"/>
        <v>0</v>
      </c>
      <c r="JV285" s="235">
        <f t="shared" si="170"/>
        <v>0</v>
      </c>
      <c r="JW285" s="235">
        <f t="shared" si="171"/>
        <v>0</v>
      </c>
      <c r="JX285" s="235">
        <f t="shared" si="172"/>
        <v>0</v>
      </c>
      <c r="JY285" s="235">
        <f t="shared" si="173"/>
        <v>0</v>
      </c>
      <c r="JZ285" s="235">
        <f t="shared" si="174"/>
        <v>0</v>
      </c>
      <c r="KA285" s="237">
        <f t="shared" si="175"/>
        <v>0</v>
      </c>
      <c r="KB285" s="248">
        <v>46303</v>
      </c>
    </row>
    <row r="286" spans="1:288">
      <c r="A286" s="207">
        <v>46304</v>
      </c>
      <c r="JF286" s="236">
        <f t="shared" si="154"/>
        <v>0</v>
      </c>
      <c r="JG286" s="235">
        <f t="shared" si="155"/>
        <v>0</v>
      </c>
      <c r="JH286" s="235">
        <f t="shared" si="156"/>
        <v>0</v>
      </c>
      <c r="JI286" s="235">
        <f t="shared" si="157"/>
        <v>0</v>
      </c>
      <c r="JJ286" s="235">
        <f t="shared" si="158"/>
        <v>0</v>
      </c>
      <c r="JK286" s="235">
        <f t="shared" si="159"/>
        <v>0</v>
      </c>
      <c r="JL286" s="235">
        <f t="shared" si="160"/>
        <v>0</v>
      </c>
      <c r="JM286" s="235">
        <f t="shared" si="161"/>
        <v>0</v>
      </c>
      <c r="JN286" s="235">
        <f t="shared" si="162"/>
        <v>0</v>
      </c>
      <c r="JO286" s="235">
        <f t="shared" si="163"/>
        <v>0</v>
      </c>
      <c r="JP286" s="235">
        <f t="shared" si="164"/>
        <v>0</v>
      </c>
      <c r="JQ286" s="235">
        <f t="shared" si="165"/>
        <v>0</v>
      </c>
      <c r="JR286" s="235">
        <f t="shared" si="166"/>
        <v>0</v>
      </c>
      <c r="JS286" s="235">
        <f t="shared" si="167"/>
        <v>0</v>
      </c>
      <c r="JT286" s="235">
        <f t="shared" si="168"/>
        <v>0</v>
      </c>
      <c r="JU286" s="235">
        <f t="shared" si="169"/>
        <v>0</v>
      </c>
      <c r="JV286" s="235">
        <f t="shared" si="170"/>
        <v>0</v>
      </c>
      <c r="JW286" s="235">
        <f t="shared" si="171"/>
        <v>0</v>
      </c>
      <c r="JX286" s="235">
        <f t="shared" si="172"/>
        <v>0</v>
      </c>
      <c r="JY286" s="235">
        <f t="shared" si="173"/>
        <v>0</v>
      </c>
      <c r="JZ286" s="235">
        <f t="shared" si="174"/>
        <v>0</v>
      </c>
      <c r="KA286" s="237">
        <f t="shared" si="175"/>
        <v>0</v>
      </c>
      <c r="KB286" s="248">
        <v>46304</v>
      </c>
    </row>
    <row r="287" spans="1:288">
      <c r="A287" s="207">
        <v>46305</v>
      </c>
      <c r="JF287" s="236">
        <f t="shared" si="154"/>
        <v>0</v>
      </c>
      <c r="JG287" s="235">
        <f t="shared" si="155"/>
        <v>0</v>
      </c>
      <c r="JH287" s="235">
        <f t="shared" si="156"/>
        <v>0</v>
      </c>
      <c r="JI287" s="235">
        <f t="shared" si="157"/>
        <v>0</v>
      </c>
      <c r="JJ287" s="235">
        <f t="shared" si="158"/>
        <v>0</v>
      </c>
      <c r="JK287" s="235">
        <f t="shared" si="159"/>
        <v>0</v>
      </c>
      <c r="JL287" s="235">
        <f t="shared" si="160"/>
        <v>0</v>
      </c>
      <c r="JM287" s="235">
        <f t="shared" si="161"/>
        <v>0</v>
      </c>
      <c r="JN287" s="235">
        <f t="shared" si="162"/>
        <v>0</v>
      </c>
      <c r="JO287" s="235">
        <f t="shared" si="163"/>
        <v>0</v>
      </c>
      <c r="JP287" s="235">
        <f t="shared" si="164"/>
        <v>0</v>
      </c>
      <c r="JQ287" s="235">
        <f t="shared" si="165"/>
        <v>0</v>
      </c>
      <c r="JR287" s="235">
        <f t="shared" si="166"/>
        <v>0</v>
      </c>
      <c r="JS287" s="235">
        <f t="shared" si="167"/>
        <v>0</v>
      </c>
      <c r="JT287" s="235">
        <f t="shared" si="168"/>
        <v>0</v>
      </c>
      <c r="JU287" s="235">
        <f t="shared" si="169"/>
        <v>0</v>
      </c>
      <c r="JV287" s="235">
        <f t="shared" si="170"/>
        <v>0</v>
      </c>
      <c r="JW287" s="235">
        <f t="shared" si="171"/>
        <v>0</v>
      </c>
      <c r="JX287" s="235">
        <f t="shared" si="172"/>
        <v>0</v>
      </c>
      <c r="JY287" s="235">
        <f t="shared" si="173"/>
        <v>0</v>
      </c>
      <c r="JZ287" s="235">
        <f t="shared" si="174"/>
        <v>0</v>
      </c>
      <c r="KA287" s="237">
        <f t="shared" si="175"/>
        <v>0</v>
      </c>
      <c r="KB287" s="248">
        <v>46305</v>
      </c>
    </row>
    <row r="288" spans="1:288">
      <c r="A288" s="207">
        <v>46306</v>
      </c>
      <c r="JF288" s="236">
        <f t="shared" si="154"/>
        <v>0</v>
      </c>
      <c r="JG288" s="235">
        <f t="shared" si="155"/>
        <v>0</v>
      </c>
      <c r="JH288" s="235">
        <f t="shared" si="156"/>
        <v>0</v>
      </c>
      <c r="JI288" s="235">
        <f t="shared" si="157"/>
        <v>0</v>
      </c>
      <c r="JJ288" s="235">
        <f t="shared" si="158"/>
        <v>0</v>
      </c>
      <c r="JK288" s="235">
        <f t="shared" si="159"/>
        <v>0</v>
      </c>
      <c r="JL288" s="235">
        <f t="shared" si="160"/>
        <v>0</v>
      </c>
      <c r="JM288" s="235">
        <f t="shared" si="161"/>
        <v>0</v>
      </c>
      <c r="JN288" s="235">
        <f t="shared" si="162"/>
        <v>0</v>
      </c>
      <c r="JO288" s="235">
        <f t="shared" si="163"/>
        <v>0</v>
      </c>
      <c r="JP288" s="235">
        <f t="shared" si="164"/>
        <v>0</v>
      </c>
      <c r="JQ288" s="235">
        <f t="shared" si="165"/>
        <v>0</v>
      </c>
      <c r="JR288" s="235">
        <f t="shared" si="166"/>
        <v>0</v>
      </c>
      <c r="JS288" s="235">
        <f t="shared" si="167"/>
        <v>0</v>
      </c>
      <c r="JT288" s="235">
        <f t="shared" si="168"/>
        <v>0</v>
      </c>
      <c r="JU288" s="235">
        <f t="shared" si="169"/>
        <v>0</v>
      </c>
      <c r="JV288" s="235">
        <f t="shared" si="170"/>
        <v>0</v>
      </c>
      <c r="JW288" s="235">
        <f t="shared" si="171"/>
        <v>0</v>
      </c>
      <c r="JX288" s="235">
        <f t="shared" si="172"/>
        <v>0</v>
      </c>
      <c r="JY288" s="235">
        <f t="shared" si="173"/>
        <v>0</v>
      </c>
      <c r="JZ288" s="235">
        <f t="shared" si="174"/>
        <v>0</v>
      </c>
      <c r="KA288" s="237">
        <f t="shared" si="175"/>
        <v>0</v>
      </c>
      <c r="KB288" s="248">
        <v>46306</v>
      </c>
    </row>
    <row r="289" spans="1:288">
      <c r="A289" s="207">
        <v>46307</v>
      </c>
      <c r="JF289" s="236">
        <f t="shared" si="154"/>
        <v>0</v>
      </c>
      <c r="JG289" s="235">
        <f t="shared" si="155"/>
        <v>0</v>
      </c>
      <c r="JH289" s="235">
        <f t="shared" si="156"/>
        <v>0</v>
      </c>
      <c r="JI289" s="235">
        <f t="shared" si="157"/>
        <v>0</v>
      </c>
      <c r="JJ289" s="235">
        <f t="shared" si="158"/>
        <v>0</v>
      </c>
      <c r="JK289" s="235">
        <f t="shared" si="159"/>
        <v>0</v>
      </c>
      <c r="JL289" s="235">
        <f t="shared" si="160"/>
        <v>0</v>
      </c>
      <c r="JM289" s="235">
        <f t="shared" si="161"/>
        <v>0</v>
      </c>
      <c r="JN289" s="235">
        <f t="shared" si="162"/>
        <v>0</v>
      </c>
      <c r="JO289" s="235">
        <f t="shared" si="163"/>
        <v>0</v>
      </c>
      <c r="JP289" s="235">
        <f t="shared" si="164"/>
        <v>0</v>
      </c>
      <c r="JQ289" s="235">
        <f t="shared" si="165"/>
        <v>0</v>
      </c>
      <c r="JR289" s="235">
        <f t="shared" si="166"/>
        <v>0</v>
      </c>
      <c r="JS289" s="235">
        <f t="shared" si="167"/>
        <v>0</v>
      </c>
      <c r="JT289" s="235">
        <f t="shared" si="168"/>
        <v>0</v>
      </c>
      <c r="JU289" s="235">
        <f t="shared" si="169"/>
        <v>0</v>
      </c>
      <c r="JV289" s="235">
        <f t="shared" si="170"/>
        <v>0</v>
      </c>
      <c r="JW289" s="235">
        <f t="shared" si="171"/>
        <v>0</v>
      </c>
      <c r="JX289" s="235">
        <f t="shared" si="172"/>
        <v>0</v>
      </c>
      <c r="JY289" s="235">
        <f t="shared" si="173"/>
        <v>0</v>
      </c>
      <c r="JZ289" s="235">
        <f t="shared" si="174"/>
        <v>0</v>
      </c>
      <c r="KA289" s="237">
        <f t="shared" si="175"/>
        <v>0</v>
      </c>
      <c r="KB289" s="248">
        <v>46307</v>
      </c>
    </row>
    <row r="290" spans="1:288">
      <c r="A290" s="207">
        <v>46308</v>
      </c>
      <c r="JF290" s="236">
        <f t="shared" si="154"/>
        <v>0</v>
      </c>
      <c r="JG290" s="235">
        <f t="shared" si="155"/>
        <v>0</v>
      </c>
      <c r="JH290" s="235">
        <f t="shared" si="156"/>
        <v>0</v>
      </c>
      <c r="JI290" s="235">
        <f t="shared" si="157"/>
        <v>0</v>
      </c>
      <c r="JJ290" s="235">
        <f t="shared" si="158"/>
        <v>0</v>
      </c>
      <c r="JK290" s="235">
        <f t="shared" si="159"/>
        <v>0</v>
      </c>
      <c r="JL290" s="235">
        <f t="shared" si="160"/>
        <v>0</v>
      </c>
      <c r="JM290" s="235">
        <f t="shared" si="161"/>
        <v>0</v>
      </c>
      <c r="JN290" s="235">
        <f t="shared" si="162"/>
        <v>0</v>
      </c>
      <c r="JO290" s="235">
        <f t="shared" si="163"/>
        <v>0</v>
      </c>
      <c r="JP290" s="235">
        <f t="shared" si="164"/>
        <v>0</v>
      </c>
      <c r="JQ290" s="235">
        <f t="shared" si="165"/>
        <v>0</v>
      </c>
      <c r="JR290" s="235">
        <f t="shared" si="166"/>
        <v>0</v>
      </c>
      <c r="JS290" s="235">
        <f t="shared" si="167"/>
        <v>0</v>
      </c>
      <c r="JT290" s="235">
        <f t="shared" si="168"/>
        <v>0</v>
      </c>
      <c r="JU290" s="235">
        <f t="shared" si="169"/>
        <v>0</v>
      </c>
      <c r="JV290" s="235">
        <f t="shared" si="170"/>
        <v>0</v>
      </c>
      <c r="JW290" s="235">
        <f t="shared" si="171"/>
        <v>0</v>
      </c>
      <c r="JX290" s="235">
        <f t="shared" si="172"/>
        <v>0</v>
      </c>
      <c r="JY290" s="235">
        <f t="shared" si="173"/>
        <v>0</v>
      </c>
      <c r="JZ290" s="235">
        <f t="shared" si="174"/>
        <v>0</v>
      </c>
      <c r="KA290" s="237">
        <f t="shared" si="175"/>
        <v>0</v>
      </c>
      <c r="KB290" s="248">
        <v>46308</v>
      </c>
    </row>
    <row r="291" spans="1:288">
      <c r="A291" s="207">
        <v>46309</v>
      </c>
      <c r="JF291" s="236">
        <f t="shared" si="154"/>
        <v>0</v>
      </c>
      <c r="JG291" s="235">
        <f t="shared" si="155"/>
        <v>0</v>
      </c>
      <c r="JH291" s="235">
        <f t="shared" si="156"/>
        <v>0</v>
      </c>
      <c r="JI291" s="235">
        <f t="shared" si="157"/>
        <v>0</v>
      </c>
      <c r="JJ291" s="235">
        <f t="shared" si="158"/>
        <v>0</v>
      </c>
      <c r="JK291" s="235">
        <f t="shared" si="159"/>
        <v>0</v>
      </c>
      <c r="JL291" s="235">
        <f t="shared" si="160"/>
        <v>0</v>
      </c>
      <c r="JM291" s="235">
        <f t="shared" si="161"/>
        <v>0</v>
      </c>
      <c r="JN291" s="235">
        <f t="shared" si="162"/>
        <v>0</v>
      </c>
      <c r="JO291" s="235">
        <f t="shared" si="163"/>
        <v>0</v>
      </c>
      <c r="JP291" s="235">
        <f t="shared" si="164"/>
        <v>0</v>
      </c>
      <c r="JQ291" s="235">
        <f t="shared" si="165"/>
        <v>0</v>
      </c>
      <c r="JR291" s="235">
        <f t="shared" si="166"/>
        <v>0</v>
      </c>
      <c r="JS291" s="235">
        <f t="shared" si="167"/>
        <v>0</v>
      </c>
      <c r="JT291" s="235">
        <f t="shared" si="168"/>
        <v>0</v>
      </c>
      <c r="JU291" s="235">
        <f t="shared" si="169"/>
        <v>0</v>
      </c>
      <c r="JV291" s="235">
        <f t="shared" si="170"/>
        <v>0</v>
      </c>
      <c r="JW291" s="235">
        <f t="shared" si="171"/>
        <v>0</v>
      </c>
      <c r="JX291" s="235">
        <f t="shared" si="172"/>
        <v>0</v>
      </c>
      <c r="JY291" s="235">
        <f t="shared" si="173"/>
        <v>0</v>
      </c>
      <c r="JZ291" s="235">
        <f t="shared" si="174"/>
        <v>0</v>
      </c>
      <c r="KA291" s="237">
        <f t="shared" si="175"/>
        <v>0</v>
      </c>
      <c r="KB291" s="248">
        <v>46309</v>
      </c>
    </row>
    <row r="292" spans="1:288">
      <c r="A292" s="207">
        <v>46310</v>
      </c>
      <c r="JF292" s="236">
        <f t="shared" si="154"/>
        <v>0</v>
      </c>
      <c r="JG292" s="235">
        <f t="shared" si="155"/>
        <v>0</v>
      </c>
      <c r="JH292" s="235">
        <f t="shared" si="156"/>
        <v>0</v>
      </c>
      <c r="JI292" s="235">
        <f t="shared" si="157"/>
        <v>0</v>
      </c>
      <c r="JJ292" s="235">
        <f t="shared" si="158"/>
        <v>0</v>
      </c>
      <c r="JK292" s="235">
        <f t="shared" si="159"/>
        <v>0</v>
      </c>
      <c r="JL292" s="235">
        <f t="shared" si="160"/>
        <v>0</v>
      </c>
      <c r="JM292" s="235">
        <f t="shared" si="161"/>
        <v>0</v>
      </c>
      <c r="JN292" s="235">
        <f t="shared" si="162"/>
        <v>0</v>
      </c>
      <c r="JO292" s="235">
        <f t="shared" si="163"/>
        <v>0</v>
      </c>
      <c r="JP292" s="235">
        <f t="shared" si="164"/>
        <v>0</v>
      </c>
      <c r="JQ292" s="235">
        <f t="shared" si="165"/>
        <v>0</v>
      </c>
      <c r="JR292" s="235">
        <f t="shared" si="166"/>
        <v>0</v>
      </c>
      <c r="JS292" s="235">
        <f t="shared" si="167"/>
        <v>0</v>
      </c>
      <c r="JT292" s="235">
        <f t="shared" si="168"/>
        <v>0</v>
      </c>
      <c r="JU292" s="235">
        <f t="shared" si="169"/>
        <v>0</v>
      </c>
      <c r="JV292" s="235">
        <f t="shared" si="170"/>
        <v>0</v>
      </c>
      <c r="JW292" s="235">
        <f t="shared" si="171"/>
        <v>0</v>
      </c>
      <c r="JX292" s="235">
        <f t="shared" si="172"/>
        <v>0</v>
      </c>
      <c r="JY292" s="235">
        <f t="shared" si="173"/>
        <v>0</v>
      </c>
      <c r="JZ292" s="235">
        <f t="shared" si="174"/>
        <v>0</v>
      </c>
      <c r="KA292" s="237">
        <f t="shared" si="175"/>
        <v>0</v>
      </c>
      <c r="KB292" s="248">
        <v>46310</v>
      </c>
    </row>
    <row r="293" spans="1:288">
      <c r="A293" s="207">
        <v>46311</v>
      </c>
      <c r="JF293" s="236">
        <f t="shared" si="154"/>
        <v>0</v>
      </c>
      <c r="JG293" s="235">
        <f t="shared" si="155"/>
        <v>0</v>
      </c>
      <c r="JH293" s="235">
        <f t="shared" si="156"/>
        <v>0</v>
      </c>
      <c r="JI293" s="235">
        <f t="shared" si="157"/>
        <v>0</v>
      </c>
      <c r="JJ293" s="235">
        <f t="shared" si="158"/>
        <v>0</v>
      </c>
      <c r="JK293" s="235">
        <f t="shared" si="159"/>
        <v>0</v>
      </c>
      <c r="JL293" s="235">
        <f t="shared" si="160"/>
        <v>0</v>
      </c>
      <c r="JM293" s="235">
        <f t="shared" si="161"/>
        <v>0</v>
      </c>
      <c r="JN293" s="235">
        <f t="shared" si="162"/>
        <v>0</v>
      </c>
      <c r="JO293" s="235">
        <f t="shared" si="163"/>
        <v>0</v>
      </c>
      <c r="JP293" s="235">
        <f t="shared" si="164"/>
        <v>0</v>
      </c>
      <c r="JQ293" s="235">
        <f t="shared" si="165"/>
        <v>0</v>
      </c>
      <c r="JR293" s="235">
        <f t="shared" si="166"/>
        <v>0</v>
      </c>
      <c r="JS293" s="235">
        <f t="shared" si="167"/>
        <v>0</v>
      </c>
      <c r="JT293" s="235">
        <f t="shared" si="168"/>
        <v>0</v>
      </c>
      <c r="JU293" s="235">
        <f t="shared" si="169"/>
        <v>0</v>
      </c>
      <c r="JV293" s="235">
        <f t="shared" si="170"/>
        <v>0</v>
      </c>
      <c r="JW293" s="235">
        <f t="shared" si="171"/>
        <v>0</v>
      </c>
      <c r="JX293" s="235">
        <f t="shared" si="172"/>
        <v>0</v>
      </c>
      <c r="JY293" s="235">
        <f t="shared" si="173"/>
        <v>0</v>
      </c>
      <c r="JZ293" s="235">
        <f t="shared" si="174"/>
        <v>0</v>
      </c>
      <c r="KA293" s="237">
        <f t="shared" si="175"/>
        <v>0</v>
      </c>
      <c r="KB293" s="248">
        <v>46311</v>
      </c>
    </row>
    <row r="294" spans="1:288">
      <c r="A294" s="207">
        <v>46312</v>
      </c>
      <c r="JF294" s="236">
        <f t="shared" si="154"/>
        <v>0</v>
      </c>
      <c r="JG294" s="235">
        <f t="shared" si="155"/>
        <v>0</v>
      </c>
      <c r="JH294" s="235">
        <f t="shared" si="156"/>
        <v>0</v>
      </c>
      <c r="JI294" s="235">
        <f t="shared" si="157"/>
        <v>0</v>
      </c>
      <c r="JJ294" s="235">
        <f t="shared" si="158"/>
        <v>0</v>
      </c>
      <c r="JK294" s="235">
        <f t="shared" si="159"/>
        <v>0</v>
      </c>
      <c r="JL294" s="235">
        <f t="shared" si="160"/>
        <v>0</v>
      </c>
      <c r="JM294" s="235">
        <f t="shared" si="161"/>
        <v>0</v>
      </c>
      <c r="JN294" s="235">
        <f t="shared" si="162"/>
        <v>0</v>
      </c>
      <c r="JO294" s="235">
        <f t="shared" si="163"/>
        <v>0</v>
      </c>
      <c r="JP294" s="235">
        <f t="shared" si="164"/>
        <v>0</v>
      </c>
      <c r="JQ294" s="235">
        <f t="shared" si="165"/>
        <v>0</v>
      </c>
      <c r="JR294" s="235">
        <f t="shared" si="166"/>
        <v>0</v>
      </c>
      <c r="JS294" s="235">
        <f t="shared" si="167"/>
        <v>0</v>
      </c>
      <c r="JT294" s="235">
        <f t="shared" si="168"/>
        <v>0</v>
      </c>
      <c r="JU294" s="235">
        <f t="shared" si="169"/>
        <v>0</v>
      </c>
      <c r="JV294" s="235">
        <f t="shared" si="170"/>
        <v>0</v>
      </c>
      <c r="JW294" s="235">
        <f t="shared" si="171"/>
        <v>0</v>
      </c>
      <c r="JX294" s="235">
        <f t="shared" si="172"/>
        <v>0</v>
      </c>
      <c r="JY294" s="235">
        <f t="shared" si="173"/>
        <v>0</v>
      </c>
      <c r="JZ294" s="235">
        <f t="shared" si="174"/>
        <v>0</v>
      </c>
      <c r="KA294" s="237">
        <f t="shared" si="175"/>
        <v>0</v>
      </c>
      <c r="KB294" s="248">
        <v>46312</v>
      </c>
    </row>
    <row r="295" spans="1:288">
      <c r="A295" s="207">
        <v>46313</v>
      </c>
      <c r="JF295" s="236">
        <f t="shared" si="154"/>
        <v>0</v>
      </c>
      <c r="JG295" s="235">
        <f t="shared" si="155"/>
        <v>0</v>
      </c>
      <c r="JH295" s="235">
        <f t="shared" si="156"/>
        <v>0</v>
      </c>
      <c r="JI295" s="235">
        <f t="shared" si="157"/>
        <v>0</v>
      </c>
      <c r="JJ295" s="235">
        <f t="shared" si="158"/>
        <v>0</v>
      </c>
      <c r="JK295" s="235">
        <f t="shared" si="159"/>
        <v>0</v>
      </c>
      <c r="JL295" s="235">
        <f t="shared" si="160"/>
        <v>0</v>
      </c>
      <c r="JM295" s="235">
        <f t="shared" si="161"/>
        <v>0</v>
      </c>
      <c r="JN295" s="235">
        <f t="shared" si="162"/>
        <v>0</v>
      </c>
      <c r="JO295" s="235">
        <f t="shared" si="163"/>
        <v>0</v>
      </c>
      <c r="JP295" s="235">
        <f t="shared" si="164"/>
        <v>0</v>
      </c>
      <c r="JQ295" s="235">
        <f t="shared" si="165"/>
        <v>0</v>
      </c>
      <c r="JR295" s="235">
        <f t="shared" si="166"/>
        <v>0</v>
      </c>
      <c r="JS295" s="235">
        <f t="shared" si="167"/>
        <v>0</v>
      </c>
      <c r="JT295" s="235">
        <f t="shared" si="168"/>
        <v>0</v>
      </c>
      <c r="JU295" s="235">
        <f t="shared" si="169"/>
        <v>0</v>
      </c>
      <c r="JV295" s="235">
        <f t="shared" si="170"/>
        <v>0</v>
      </c>
      <c r="JW295" s="235">
        <f t="shared" si="171"/>
        <v>0</v>
      </c>
      <c r="JX295" s="235">
        <f t="shared" si="172"/>
        <v>0</v>
      </c>
      <c r="JY295" s="235">
        <f t="shared" si="173"/>
        <v>0</v>
      </c>
      <c r="JZ295" s="235">
        <f t="shared" si="174"/>
        <v>0</v>
      </c>
      <c r="KA295" s="237">
        <f t="shared" si="175"/>
        <v>0</v>
      </c>
      <c r="KB295" s="248">
        <v>46313</v>
      </c>
    </row>
    <row r="296" spans="1:288">
      <c r="A296" s="207">
        <v>46314</v>
      </c>
      <c r="JF296" s="236">
        <f t="shared" si="154"/>
        <v>0</v>
      </c>
      <c r="JG296" s="235">
        <f t="shared" si="155"/>
        <v>0</v>
      </c>
      <c r="JH296" s="235">
        <f t="shared" si="156"/>
        <v>0</v>
      </c>
      <c r="JI296" s="235">
        <f t="shared" si="157"/>
        <v>0</v>
      </c>
      <c r="JJ296" s="235">
        <f t="shared" si="158"/>
        <v>0</v>
      </c>
      <c r="JK296" s="235">
        <f t="shared" si="159"/>
        <v>0</v>
      </c>
      <c r="JL296" s="235">
        <f t="shared" si="160"/>
        <v>0</v>
      </c>
      <c r="JM296" s="235">
        <f t="shared" si="161"/>
        <v>0</v>
      </c>
      <c r="JN296" s="235">
        <f t="shared" si="162"/>
        <v>0</v>
      </c>
      <c r="JO296" s="235">
        <f t="shared" si="163"/>
        <v>0</v>
      </c>
      <c r="JP296" s="235">
        <f t="shared" si="164"/>
        <v>0</v>
      </c>
      <c r="JQ296" s="235">
        <f t="shared" si="165"/>
        <v>0</v>
      </c>
      <c r="JR296" s="235">
        <f t="shared" si="166"/>
        <v>0</v>
      </c>
      <c r="JS296" s="235">
        <f t="shared" si="167"/>
        <v>0</v>
      </c>
      <c r="JT296" s="235">
        <f t="shared" si="168"/>
        <v>0</v>
      </c>
      <c r="JU296" s="235">
        <f t="shared" si="169"/>
        <v>0</v>
      </c>
      <c r="JV296" s="235">
        <f t="shared" si="170"/>
        <v>0</v>
      </c>
      <c r="JW296" s="235">
        <f t="shared" si="171"/>
        <v>0</v>
      </c>
      <c r="JX296" s="235">
        <f t="shared" si="172"/>
        <v>0</v>
      </c>
      <c r="JY296" s="235">
        <f t="shared" si="173"/>
        <v>0</v>
      </c>
      <c r="JZ296" s="235">
        <f t="shared" si="174"/>
        <v>0</v>
      </c>
      <c r="KA296" s="237">
        <f t="shared" si="175"/>
        <v>0</v>
      </c>
      <c r="KB296" s="248">
        <v>46314</v>
      </c>
    </row>
    <row r="297" spans="1:288">
      <c r="A297" s="207">
        <v>46315</v>
      </c>
      <c r="JF297" s="236">
        <f t="shared" si="154"/>
        <v>0</v>
      </c>
      <c r="JG297" s="235">
        <f t="shared" si="155"/>
        <v>0</v>
      </c>
      <c r="JH297" s="235">
        <f t="shared" si="156"/>
        <v>0</v>
      </c>
      <c r="JI297" s="235">
        <f t="shared" si="157"/>
        <v>0</v>
      </c>
      <c r="JJ297" s="235">
        <f t="shared" si="158"/>
        <v>0</v>
      </c>
      <c r="JK297" s="235">
        <f t="shared" si="159"/>
        <v>0</v>
      </c>
      <c r="JL297" s="235">
        <f t="shared" si="160"/>
        <v>0</v>
      </c>
      <c r="JM297" s="235">
        <f t="shared" si="161"/>
        <v>0</v>
      </c>
      <c r="JN297" s="235">
        <f t="shared" si="162"/>
        <v>0</v>
      </c>
      <c r="JO297" s="235">
        <f t="shared" si="163"/>
        <v>0</v>
      </c>
      <c r="JP297" s="235">
        <f t="shared" si="164"/>
        <v>0</v>
      </c>
      <c r="JQ297" s="235">
        <f t="shared" si="165"/>
        <v>0</v>
      </c>
      <c r="JR297" s="235">
        <f t="shared" si="166"/>
        <v>0</v>
      </c>
      <c r="JS297" s="235">
        <f t="shared" si="167"/>
        <v>0</v>
      </c>
      <c r="JT297" s="235">
        <f t="shared" si="168"/>
        <v>0</v>
      </c>
      <c r="JU297" s="235">
        <f t="shared" si="169"/>
        <v>0</v>
      </c>
      <c r="JV297" s="235">
        <f t="shared" si="170"/>
        <v>0</v>
      </c>
      <c r="JW297" s="235">
        <f t="shared" si="171"/>
        <v>0</v>
      </c>
      <c r="JX297" s="235">
        <f t="shared" si="172"/>
        <v>0</v>
      </c>
      <c r="JY297" s="235">
        <f t="shared" si="173"/>
        <v>0</v>
      </c>
      <c r="JZ297" s="235">
        <f t="shared" si="174"/>
        <v>0</v>
      </c>
      <c r="KA297" s="237">
        <f t="shared" si="175"/>
        <v>0</v>
      </c>
      <c r="KB297" s="248">
        <v>46315</v>
      </c>
    </row>
    <row r="298" spans="1:288">
      <c r="A298" s="207">
        <v>46316</v>
      </c>
      <c r="JF298" s="236">
        <f t="shared" si="154"/>
        <v>0</v>
      </c>
      <c r="JG298" s="235">
        <f t="shared" si="155"/>
        <v>0</v>
      </c>
      <c r="JH298" s="235">
        <f t="shared" si="156"/>
        <v>0</v>
      </c>
      <c r="JI298" s="235">
        <f t="shared" si="157"/>
        <v>0</v>
      </c>
      <c r="JJ298" s="235">
        <f t="shared" si="158"/>
        <v>0</v>
      </c>
      <c r="JK298" s="235">
        <f t="shared" si="159"/>
        <v>0</v>
      </c>
      <c r="JL298" s="235">
        <f t="shared" si="160"/>
        <v>0</v>
      </c>
      <c r="JM298" s="235">
        <f t="shared" si="161"/>
        <v>0</v>
      </c>
      <c r="JN298" s="235">
        <f t="shared" si="162"/>
        <v>0</v>
      </c>
      <c r="JO298" s="235">
        <f t="shared" si="163"/>
        <v>0</v>
      </c>
      <c r="JP298" s="235">
        <f t="shared" si="164"/>
        <v>0</v>
      </c>
      <c r="JQ298" s="235">
        <f t="shared" si="165"/>
        <v>0</v>
      </c>
      <c r="JR298" s="235">
        <f t="shared" si="166"/>
        <v>0</v>
      </c>
      <c r="JS298" s="235">
        <f t="shared" si="167"/>
        <v>0</v>
      </c>
      <c r="JT298" s="235">
        <f t="shared" si="168"/>
        <v>0</v>
      </c>
      <c r="JU298" s="235">
        <f t="shared" si="169"/>
        <v>0</v>
      </c>
      <c r="JV298" s="235">
        <f t="shared" si="170"/>
        <v>0</v>
      </c>
      <c r="JW298" s="235">
        <f t="shared" si="171"/>
        <v>0</v>
      </c>
      <c r="JX298" s="235">
        <f t="shared" si="172"/>
        <v>0</v>
      </c>
      <c r="JY298" s="235">
        <f t="shared" si="173"/>
        <v>0</v>
      </c>
      <c r="JZ298" s="235">
        <f t="shared" si="174"/>
        <v>0</v>
      </c>
      <c r="KA298" s="237">
        <f t="shared" si="175"/>
        <v>0</v>
      </c>
      <c r="KB298" s="248">
        <v>46316</v>
      </c>
    </row>
    <row r="299" spans="1:288">
      <c r="A299" s="207">
        <v>46317</v>
      </c>
      <c r="JF299" s="236">
        <f t="shared" si="154"/>
        <v>0</v>
      </c>
      <c r="JG299" s="235">
        <f t="shared" si="155"/>
        <v>0</v>
      </c>
      <c r="JH299" s="235">
        <f t="shared" si="156"/>
        <v>0</v>
      </c>
      <c r="JI299" s="235">
        <f t="shared" si="157"/>
        <v>0</v>
      </c>
      <c r="JJ299" s="235">
        <f t="shared" si="158"/>
        <v>0</v>
      </c>
      <c r="JK299" s="235">
        <f t="shared" si="159"/>
        <v>0</v>
      </c>
      <c r="JL299" s="235">
        <f t="shared" si="160"/>
        <v>0</v>
      </c>
      <c r="JM299" s="235">
        <f t="shared" si="161"/>
        <v>0</v>
      </c>
      <c r="JN299" s="235">
        <f t="shared" si="162"/>
        <v>0</v>
      </c>
      <c r="JO299" s="235">
        <f t="shared" si="163"/>
        <v>0</v>
      </c>
      <c r="JP299" s="235">
        <f t="shared" si="164"/>
        <v>0</v>
      </c>
      <c r="JQ299" s="235">
        <f t="shared" si="165"/>
        <v>0</v>
      </c>
      <c r="JR299" s="235">
        <f t="shared" si="166"/>
        <v>0</v>
      </c>
      <c r="JS299" s="235">
        <f t="shared" si="167"/>
        <v>0</v>
      </c>
      <c r="JT299" s="235">
        <f t="shared" si="168"/>
        <v>0</v>
      </c>
      <c r="JU299" s="235">
        <f t="shared" si="169"/>
        <v>0</v>
      </c>
      <c r="JV299" s="235">
        <f t="shared" si="170"/>
        <v>0</v>
      </c>
      <c r="JW299" s="235">
        <f t="shared" si="171"/>
        <v>0</v>
      </c>
      <c r="JX299" s="235">
        <f t="shared" si="172"/>
        <v>0</v>
      </c>
      <c r="JY299" s="235">
        <f t="shared" si="173"/>
        <v>0</v>
      </c>
      <c r="JZ299" s="235">
        <f t="shared" si="174"/>
        <v>0</v>
      </c>
      <c r="KA299" s="237">
        <f t="shared" si="175"/>
        <v>0</v>
      </c>
      <c r="KB299" s="248">
        <v>46317</v>
      </c>
    </row>
    <row r="300" spans="1:288">
      <c r="A300" s="207">
        <v>46318</v>
      </c>
      <c r="JF300" s="236">
        <f t="shared" si="154"/>
        <v>0</v>
      </c>
      <c r="JG300" s="235">
        <f t="shared" si="155"/>
        <v>0</v>
      </c>
      <c r="JH300" s="235">
        <f t="shared" si="156"/>
        <v>0</v>
      </c>
      <c r="JI300" s="235">
        <f t="shared" si="157"/>
        <v>0</v>
      </c>
      <c r="JJ300" s="235">
        <f t="shared" si="158"/>
        <v>0</v>
      </c>
      <c r="JK300" s="235">
        <f t="shared" si="159"/>
        <v>0</v>
      </c>
      <c r="JL300" s="235">
        <f t="shared" si="160"/>
        <v>0</v>
      </c>
      <c r="JM300" s="235">
        <f t="shared" si="161"/>
        <v>0</v>
      </c>
      <c r="JN300" s="235">
        <f t="shared" si="162"/>
        <v>0</v>
      </c>
      <c r="JO300" s="235">
        <f t="shared" si="163"/>
        <v>0</v>
      </c>
      <c r="JP300" s="235">
        <f t="shared" si="164"/>
        <v>0</v>
      </c>
      <c r="JQ300" s="235">
        <f t="shared" si="165"/>
        <v>0</v>
      </c>
      <c r="JR300" s="235">
        <f t="shared" si="166"/>
        <v>0</v>
      </c>
      <c r="JS300" s="235">
        <f t="shared" si="167"/>
        <v>0</v>
      </c>
      <c r="JT300" s="235">
        <f t="shared" si="168"/>
        <v>0</v>
      </c>
      <c r="JU300" s="235">
        <f t="shared" si="169"/>
        <v>0</v>
      </c>
      <c r="JV300" s="235">
        <f t="shared" si="170"/>
        <v>0</v>
      </c>
      <c r="JW300" s="235">
        <f t="shared" si="171"/>
        <v>0</v>
      </c>
      <c r="JX300" s="235">
        <f t="shared" si="172"/>
        <v>0</v>
      </c>
      <c r="JY300" s="235">
        <f t="shared" si="173"/>
        <v>0</v>
      </c>
      <c r="JZ300" s="235">
        <f t="shared" si="174"/>
        <v>0</v>
      </c>
      <c r="KA300" s="237">
        <f t="shared" si="175"/>
        <v>0</v>
      </c>
      <c r="KB300" s="248">
        <v>46318</v>
      </c>
    </row>
    <row r="301" spans="1:288">
      <c r="A301" s="207">
        <v>46319</v>
      </c>
      <c r="JF301" s="236">
        <f t="shared" si="154"/>
        <v>0</v>
      </c>
      <c r="JG301" s="235">
        <f t="shared" si="155"/>
        <v>0</v>
      </c>
      <c r="JH301" s="235">
        <f t="shared" si="156"/>
        <v>0</v>
      </c>
      <c r="JI301" s="235">
        <f t="shared" si="157"/>
        <v>0</v>
      </c>
      <c r="JJ301" s="235">
        <f t="shared" si="158"/>
        <v>0</v>
      </c>
      <c r="JK301" s="235">
        <f t="shared" si="159"/>
        <v>0</v>
      </c>
      <c r="JL301" s="235">
        <f t="shared" si="160"/>
        <v>0</v>
      </c>
      <c r="JM301" s="235">
        <f t="shared" si="161"/>
        <v>0</v>
      </c>
      <c r="JN301" s="235">
        <f t="shared" si="162"/>
        <v>0</v>
      </c>
      <c r="JO301" s="235">
        <f t="shared" si="163"/>
        <v>0</v>
      </c>
      <c r="JP301" s="235">
        <f t="shared" si="164"/>
        <v>0</v>
      </c>
      <c r="JQ301" s="235">
        <f t="shared" si="165"/>
        <v>0</v>
      </c>
      <c r="JR301" s="235">
        <f t="shared" si="166"/>
        <v>0</v>
      </c>
      <c r="JS301" s="235">
        <f t="shared" si="167"/>
        <v>0</v>
      </c>
      <c r="JT301" s="235">
        <f t="shared" si="168"/>
        <v>0</v>
      </c>
      <c r="JU301" s="235">
        <f t="shared" si="169"/>
        <v>0</v>
      </c>
      <c r="JV301" s="235">
        <f t="shared" si="170"/>
        <v>0</v>
      </c>
      <c r="JW301" s="235">
        <f t="shared" si="171"/>
        <v>0</v>
      </c>
      <c r="JX301" s="235">
        <f t="shared" si="172"/>
        <v>0</v>
      </c>
      <c r="JY301" s="235">
        <f t="shared" si="173"/>
        <v>0</v>
      </c>
      <c r="JZ301" s="235">
        <f t="shared" si="174"/>
        <v>0</v>
      </c>
      <c r="KA301" s="237">
        <f t="shared" si="175"/>
        <v>0</v>
      </c>
      <c r="KB301" s="248">
        <v>46319</v>
      </c>
    </row>
    <row r="302" spans="1:288">
      <c r="A302" s="207">
        <v>46320</v>
      </c>
      <c r="JF302" s="236">
        <f t="shared" si="154"/>
        <v>0</v>
      </c>
      <c r="JG302" s="235">
        <f t="shared" si="155"/>
        <v>0</v>
      </c>
      <c r="JH302" s="235">
        <f t="shared" si="156"/>
        <v>0</v>
      </c>
      <c r="JI302" s="235">
        <f t="shared" si="157"/>
        <v>0</v>
      </c>
      <c r="JJ302" s="235">
        <f t="shared" si="158"/>
        <v>0</v>
      </c>
      <c r="JK302" s="235">
        <f t="shared" si="159"/>
        <v>0</v>
      </c>
      <c r="JL302" s="235">
        <f t="shared" si="160"/>
        <v>0</v>
      </c>
      <c r="JM302" s="235">
        <f t="shared" si="161"/>
        <v>0</v>
      </c>
      <c r="JN302" s="235">
        <f t="shared" si="162"/>
        <v>0</v>
      </c>
      <c r="JO302" s="235">
        <f t="shared" si="163"/>
        <v>0</v>
      </c>
      <c r="JP302" s="235">
        <f t="shared" si="164"/>
        <v>0</v>
      </c>
      <c r="JQ302" s="235">
        <f t="shared" si="165"/>
        <v>0</v>
      </c>
      <c r="JR302" s="235">
        <f t="shared" si="166"/>
        <v>0</v>
      </c>
      <c r="JS302" s="235">
        <f t="shared" si="167"/>
        <v>0</v>
      </c>
      <c r="JT302" s="235">
        <f t="shared" si="168"/>
        <v>0</v>
      </c>
      <c r="JU302" s="235">
        <f t="shared" si="169"/>
        <v>0</v>
      </c>
      <c r="JV302" s="235">
        <f t="shared" si="170"/>
        <v>0</v>
      </c>
      <c r="JW302" s="235">
        <f t="shared" si="171"/>
        <v>0</v>
      </c>
      <c r="JX302" s="235">
        <f t="shared" si="172"/>
        <v>0</v>
      </c>
      <c r="JY302" s="235">
        <f t="shared" si="173"/>
        <v>0</v>
      </c>
      <c r="JZ302" s="235">
        <f t="shared" si="174"/>
        <v>0</v>
      </c>
      <c r="KA302" s="237">
        <f t="shared" si="175"/>
        <v>0</v>
      </c>
      <c r="KB302" s="248">
        <v>46320</v>
      </c>
    </row>
    <row r="303" spans="1:288">
      <c r="A303" s="207">
        <v>46321</v>
      </c>
      <c r="JF303" s="236">
        <f t="shared" si="154"/>
        <v>0</v>
      </c>
      <c r="JG303" s="235">
        <f t="shared" si="155"/>
        <v>0</v>
      </c>
      <c r="JH303" s="235">
        <f t="shared" si="156"/>
        <v>0</v>
      </c>
      <c r="JI303" s="235">
        <f t="shared" si="157"/>
        <v>0</v>
      </c>
      <c r="JJ303" s="235">
        <f t="shared" si="158"/>
        <v>0</v>
      </c>
      <c r="JK303" s="235">
        <f t="shared" si="159"/>
        <v>0</v>
      </c>
      <c r="JL303" s="235">
        <f t="shared" si="160"/>
        <v>0</v>
      </c>
      <c r="JM303" s="235">
        <f t="shared" si="161"/>
        <v>0</v>
      </c>
      <c r="JN303" s="235">
        <f t="shared" si="162"/>
        <v>0</v>
      </c>
      <c r="JO303" s="235">
        <f t="shared" si="163"/>
        <v>0</v>
      </c>
      <c r="JP303" s="235">
        <f t="shared" si="164"/>
        <v>0</v>
      </c>
      <c r="JQ303" s="235">
        <f t="shared" si="165"/>
        <v>0</v>
      </c>
      <c r="JR303" s="235">
        <f t="shared" si="166"/>
        <v>0</v>
      </c>
      <c r="JS303" s="235">
        <f t="shared" si="167"/>
        <v>0</v>
      </c>
      <c r="JT303" s="235">
        <f t="shared" si="168"/>
        <v>0</v>
      </c>
      <c r="JU303" s="235">
        <f t="shared" si="169"/>
        <v>0</v>
      </c>
      <c r="JV303" s="235">
        <f t="shared" si="170"/>
        <v>0</v>
      </c>
      <c r="JW303" s="235">
        <f t="shared" si="171"/>
        <v>0</v>
      </c>
      <c r="JX303" s="235">
        <f t="shared" si="172"/>
        <v>0</v>
      </c>
      <c r="JY303" s="235">
        <f t="shared" si="173"/>
        <v>0</v>
      </c>
      <c r="JZ303" s="235">
        <f t="shared" si="174"/>
        <v>0</v>
      </c>
      <c r="KA303" s="237">
        <f t="shared" si="175"/>
        <v>0</v>
      </c>
      <c r="KB303" s="248">
        <v>46321</v>
      </c>
    </row>
    <row r="304" spans="1:288">
      <c r="A304" s="207">
        <v>46322</v>
      </c>
      <c r="JF304" s="236">
        <f t="shared" si="154"/>
        <v>0</v>
      </c>
      <c r="JG304" s="235">
        <f t="shared" si="155"/>
        <v>0</v>
      </c>
      <c r="JH304" s="235">
        <f t="shared" si="156"/>
        <v>0</v>
      </c>
      <c r="JI304" s="235">
        <f t="shared" si="157"/>
        <v>0</v>
      </c>
      <c r="JJ304" s="235">
        <f t="shared" si="158"/>
        <v>0</v>
      </c>
      <c r="JK304" s="235">
        <f t="shared" si="159"/>
        <v>0</v>
      </c>
      <c r="JL304" s="235">
        <f t="shared" si="160"/>
        <v>0</v>
      </c>
      <c r="JM304" s="235">
        <f t="shared" si="161"/>
        <v>0</v>
      </c>
      <c r="JN304" s="235">
        <f t="shared" si="162"/>
        <v>0</v>
      </c>
      <c r="JO304" s="235">
        <f t="shared" si="163"/>
        <v>0</v>
      </c>
      <c r="JP304" s="235">
        <f t="shared" si="164"/>
        <v>0</v>
      </c>
      <c r="JQ304" s="235">
        <f t="shared" si="165"/>
        <v>0</v>
      </c>
      <c r="JR304" s="235">
        <f t="shared" si="166"/>
        <v>0</v>
      </c>
      <c r="JS304" s="235">
        <f t="shared" si="167"/>
        <v>0</v>
      </c>
      <c r="JT304" s="235">
        <f t="shared" si="168"/>
        <v>0</v>
      </c>
      <c r="JU304" s="235">
        <f t="shared" si="169"/>
        <v>0</v>
      </c>
      <c r="JV304" s="235">
        <f t="shared" si="170"/>
        <v>0</v>
      </c>
      <c r="JW304" s="235">
        <f t="shared" si="171"/>
        <v>0</v>
      </c>
      <c r="JX304" s="235">
        <f t="shared" si="172"/>
        <v>0</v>
      </c>
      <c r="JY304" s="235">
        <f t="shared" si="173"/>
        <v>0</v>
      </c>
      <c r="JZ304" s="235">
        <f t="shared" si="174"/>
        <v>0</v>
      </c>
      <c r="KA304" s="237">
        <f t="shared" si="175"/>
        <v>0</v>
      </c>
      <c r="KB304" s="248">
        <v>46322</v>
      </c>
    </row>
    <row r="305" spans="1:288">
      <c r="A305" s="207">
        <v>46323</v>
      </c>
      <c r="JF305" s="236">
        <f t="shared" si="154"/>
        <v>0</v>
      </c>
      <c r="JG305" s="235">
        <f t="shared" si="155"/>
        <v>0</v>
      </c>
      <c r="JH305" s="235">
        <f t="shared" si="156"/>
        <v>0</v>
      </c>
      <c r="JI305" s="235">
        <f t="shared" si="157"/>
        <v>0</v>
      </c>
      <c r="JJ305" s="235">
        <f t="shared" si="158"/>
        <v>0</v>
      </c>
      <c r="JK305" s="235">
        <f t="shared" si="159"/>
        <v>0</v>
      </c>
      <c r="JL305" s="235">
        <f t="shared" si="160"/>
        <v>0</v>
      </c>
      <c r="JM305" s="235">
        <f t="shared" si="161"/>
        <v>0</v>
      </c>
      <c r="JN305" s="235">
        <f t="shared" si="162"/>
        <v>0</v>
      </c>
      <c r="JO305" s="235">
        <f t="shared" si="163"/>
        <v>0</v>
      </c>
      <c r="JP305" s="235">
        <f t="shared" si="164"/>
        <v>0</v>
      </c>
      <c r="JQ305" s="235">
        <f t="shared" si="165"/>
        <v>0</v>
      </c>
      <c r="JR305" s="235">
        <f t="shared" si="166"/>
        <v>0</v>
      </c>
      <c r="JS305" s="235">
        <f t="shared" si="167"/>
        <v>0</v>
      </c>
      <c r="JT305" s="235">
        <f t="shared" si="168"/>
        <v>0</v>
      </c>
      <c r="JU305" s="235">
        <f t="shared" si="169"/>
        <v>0</v>
      </c>
      <c r="JV305" s="235">
        <f t="shared" si="170"/>
        <v>0</v>
      </c>
      <c r="JW305" s="235">
        <f t="shared" si="171"/>
        <v>0</v>
      </c>
      <c r="JX305" s="235">
        <f t="shared" si="172"/>
        <v>0</v>
      </c>
      <c r="JY305" s="235">
        <f t="shared" si="173"/>
        <v>0</v>
      </c>
      <c r="JZ305" s="235">
        <f t="shared" si="174"/>
        <v>0</v>
      </c>
      <c r="KA305" s="237">
        <f t="shared" si="175"/>
        <v>0</v>
      </c>
      <c r="KB305" s="248">
        <v>46323</v>
      </c>
    </row>
    <row r="306" spans="1:288">
      <c r="A306" s="207">
        <v>46324</v>
      </c>
      <c r="JF306" s="236">
        <f t="shared" si="154"/>
        <v>0</v>
      </c>
      <c r="JG306" s="235">
        <f t="shared" si="155"/>
        <v>0</v>
      </c>
      <c r="JH306" s="235">
        <f t="shared" si="156"/>
        <v>0</v>
      </c>
      <c r="JI306" s="235">
        <f t="shared" si="157"/>
        <v>0</v>
      </c>
      <c r="JJ306" s="235">
        <f t="shared" si="158"/>
        <v>0</v>
      </c>
      <c r="JK306" s="235">
        <f t="shared" si="159"/>
        <v>0</v>
      </c>
      <c r="JL306" s="235">
        <f t="shared" si="160"/>
        <v>0</v>
      </c>
      <c r="JM306" s="235">
        <f t="shared" si="161"/>
        <v>0</v>
      </c>
      <c r="JN306" s="235">
        <f t="shared" si="162"/>
        <v>0</v>
      </c>
      <c r="JO306" s="235">
        <f t="shared" si="163"/>
        <v>0</v>
      </c>
      <c r="JP306" s="235">
        <f t="shared" si="164"/>
        <v>0</v>
      </c>
      <c r="JQ306" s="235">
        <f t="shared" si="165"/>
        <v>0</v>
      </c>
      <c r="JR306" s="235">
        <f t="shared" si="166"/>
        <v>0</v>
      </c>
      <c r="JS306" s="235">
        <f t="shared" si="167"/>
        <v>0</v>
      </c>
      <c r="JT306" s="235">
        <f t="shared" si="168"/>
        <v>0</v>
      </c>
      <c r="JU306" s="235">
        <f t="shared" si="169"/>
        <v>0</v>
      </c>
      <c r="JV306" s="235">
        <f t="shared" si="170"/>
        <v>0</v>
      </c>
      <c r="JW306" s="235">
        <f t="shared" si="171"/>
        <v>0</v>
      </c>
      <c r="JX306" s="235">
        <f t="shared" si="172"/>
        <v>0</v>
      </c>
      <c r="JY306" s="235">
        <f t="shared" si="173"/>
        <v>0</v>
      </c>
      <c r="JZ306" s="235">
        <f t="shared" si="174"/>
        <v>0</v>
      </c>
      <c r="KA306" s="237">
        <f t="shared" si="175"/>
        <v>0</v>
      </c>
      <c r="KB306" s="248">
        <v>46324</v>
      </c>
    </row>
    <row r="307" spans="1:288">
      <c r="A307" s="207">
        <v>46325</v>
      </c>
      <c r="JF307" s="236">
        <f t="shared" si="154"/>
        <v>0</v>
      </c>
      <c r="JG307" s="235">
        <f t="shared" si="155"/>
        <v>0</v>
      </c>
      <c r="JH307" s="235">
        <f t="shared" si="156"/>
        <v>0</v>
      </c>
      <c r="JI307" s="235">
        <f t="shared" si="157"/>
        <v>0</v>
      </c>
      <c r="JJ307" s="235">
        <f t="shared" si="158"/>
        <v>0</v>
      </c>
      <c r="JK307" s="235">
        <f t="shared" si="159"/>
        <v>0</v>
      </c>
      <c r="JL307" s="235">
        <f t="shared" si="160"/>
        <v>0</v>
      </c>
      <c r="JM307" s="235">
        <f t="shared" si="161"/>
        <v>0</v>
      </c>
      <c r="JN307" s="235">
        <f t="shared" si="162"/>
        <v>0</v>
      </c>
      <c r="JO307" s="235">
        <f t="shared" si="163"/>
        <v>0</v>
      </c>
      <c r="JP307" s="235">
        <f t="shared" si="164"/>
        <v>0</v>
      </c>
      <c r="JQ307" s="235">
        <f t="shared" si="165"/>
        <v>0</v>
      </c>
      <c r="JR307" s="235">
        <f t="shared" si="166"/>
        <v>0</v>
      </c>
      <c r="JS307" s="235">
        <f t="shared" si="167"/>
        <v>0</v>
      </c>
      <c r="JT307" s="235">
        <f t="shared" si="168"/>
        <v>0</v>
      </c>
      <c r="JU307" s="235">
        <f t="shared" si="169"/>
        <v>0</v>
      </c>
      <c r="JV307" s="235">
        <f t="shared" si="170"/>
        <v>0</v>
      </c>
      <c r="JW307" s="235">
        <f t="shared" si="171"/>
        <v>0</v>
      </c>
      <c r="JX307" s="235">
        <f t="shared" si="172"/>
        <v>0</v>
      </c>
      <c r="JY307" s="235">
        <f t="shared" si="173"/>
        <v>0</v>
      </c>
      <c r="JZ307" s="235">
        <f t="shared" si="174"/>
        <v>0</v>
      </c>
      <c r="KA307" s="237">
        <f t="shared" si="175"/>
        <v>0</v>
      </c>
      <c r="KB307" s="248">
        <v>46325</v>
      </c>
    </row>
    <row r="308" spans="1:288">
      <c r="A308" s="207">
        <v>46326</v>
      </c>
      <c r="JF308" s="236">
        <f t="shared" si="154"/>
        <v>0</v>
      </c>
      <c r="JG308" s="235">
        <f t="shared" si="155"/>
        <v>0</v>
      </c>
      <c r="JH308" s="235">
        <f t="shared" si="156"/>
        <v>0</v>
      </c>
      <c r="JI308" s="235">
        <f t="shared" si="157"/>
        <v>0</v>
      </c>
      <c r="JJ308" s="235">
        <f t="shared" si="158"/>
        <v>0</v>
      </c>
      <c r="JK308" s="235">
        <f t="shared" si="159"/>
        <v>0</v>
      </c>
      <c r="JL308" s="235">
        <f t="shared" si="160"/>
        <v>0</v>
      </c>
      <c r="JM308" s="235">
        <f t="shared" si="161"/>
        <v>0</v>
      </c>
      <c r="JN308" s="235">
        <f t="shared" si="162"/>
        <v>0</v>
      </c>
      <c r="JO308" s="235">
        <f t="shared" si="163"/>
        <v>0</v>
      </c>
      <c r="JP308" s="235">
        <f t="shared" si="164"/>
        <v>0</v>
      </c>
      <c r="JQ308" s="235">
        <f t="shared" si="165"/>
        <v>0</v>
      </c>
      <c r="JR308" s="235">
        <f t="shared" si="166"/>
        <v>0</v>
      </c>
      <c r="JS308" s="235">
        <f t="shared" si="167"/>
        <v>0</v>
      </c>
      <c r="JT308" s="235">
        <f t="shared" si="168"/>
        <v>0</v>
      </c>
      <c r="JU308" s="235">
        <f t="shared" si="169"/>
        <v>0</v>
      </c>
      <c r="JV308" s="235">
        <f t="shared" si="170"/>
        <v>0</v>
      </c>
      <c r="JW308" s="235">
        <f t="shared" si="171"/>
        <v>0</v>
      </c>
      <c r="JX308" s="235">
        <f t="shared" si="172"/>
        <v>0</v>
      </c>
      <c r="JY308" s="235">
        <f t="shared" si="173"/>
        <v>0</v>
      </c>
      <c r="JZ308" s="235">
        <f t="shared" si="174"/>
        <v>0</v>
      </c>
      <c r="KA308" s="237">
        <f t="shared" si="175"/>
        <v>0</v>
      </c>
      <c r="KB308" s="248">
        <v>46326</v>
      </c>
    </row>
    <row r="309" spans="1:288">
      <c r="A309" s="207">
        <v>46327</v>
      </c>
      <c r="JF309" s="236">
        <f t="shared" si="154"/>
        <v>0</v>
      </c>
      <c r="JG309" s="235">
        <f t="shared" si="155"/>
        <v>0</v>
      </c>
      <c r="JH309" s="235">
        <f t="shared" si="156"/>
        <v>0</v>
      </c>
      <c r="JI309" s="235">
        <f t="shared" si="157"/>
        <v>0</v>
      </c>
      <c r="JJ309" s="235">
        <f t="shared" si="158"/>
        <v>0</v>
      </c>
      <c r="JK309" s="235">
        <f t="shared" si="159"/>
        <v>0</v>
      </c>
      <c r="JL309" s="235">
        <f t="shared" si="160"/>
        <v>0</v>
      </c>
      <c r="JM309" s="235">
        <f t="shared" si="161"/>
        <v>0</v>
      </c>
      <c r="JN309" s="235">
        <f t="shared" si="162"/>
        <v>0</v>
      </c>
      <c r="JO309" s="235">
        <f t="shared" si="163"/>
        <v>0</v>
      </c>
      <c r="JP309" s="235">
        <f t="shared" si="164"/>
        <v>0</v>
      </c>
      <c r="JQ309" s="235">
        <f t="shared" si="165"/>
        <v>0</v>
      </c>
      <c r="JR309" s="235">
        <f t="shared" si="166"/>
        <v>0</v>
      </c>
      <c r="JS309" s="235">
        <f t="shared" si="167"/>
        <v>0</v>
      </c>
      <c r="JT309" s="235">
        <f t="shared" si="168"/>
        <v>0</v>
      </c>
      <c r="JU309" s="235">
        <f t="shared" si="169"/>
        <v>0</v>
      </c>
      <c r="JV309" s="235">
        <f t="shared" si="170"/>
        <v>0</v>
      </c>
      <c r="JW309" s="235">
        <f t="shared" si="171"/>
        <v>0</v>
      </c>
      <c r="JX309" s="235">
        <f t="shared" si="172"/>
        <v>0</v>
      </c>
      <c r="JY309" s="235">
        <f t="shared" si="173"/>
        <v>0</v>
      </c>
      <c r="JZ309" s="235">
        <f t="shared" si="174"/>
        <v>0</v>
      </c>
      <c r="KA309" s="237">
        <f t="shared" si="175"/>
        <v>0</v>
      </c>
      <c r="KB309" s="248">
        <v>46327</v>
      </c>
    </row>
    <row r="310" spans="1:288">
      <c r="A310" s="207">
        <v>46328</v>
      </c>
      <c r="JF310" s="236">
        <f t="shared" si="154"/>
        <v>0</v>
      </c>
      <c r="JG310" s="235">
        <f t="shared" si="155"/>
        <v>0</v>
      </c>
      <c r="JH310" s="235">
        <f t="shared" si="156"/>
        <v>0</v>
      </c>
      <c r="JI310" s="235">
        <f t="shared" si="157"/>
        <v>0</v>
      </c>
      <c r="JJ310" s="235">
        <f t="shared" si="158"/>
        <v>0</v>
      </c>
      <c r="JK310" s="235">
        <f t="shared" si="159"/>
        <v>0</v>
      </c>
      <c r="JL310" s="235">
        <f t="shared" si="160"/>
        <v>0</v>
      </c>
      <c r="JM310" s="235">
        <f t="shared" si="161"/>
        <v>0</v>
      </c>
      <c r="JN310" s="235">
        <f t="shared" si="162"/>
        <v>0</v>
      </c>
      <c r="JO310" s="235">
        <f t="shared" si="163"/>
        <v>0</v>
      </c>
      <c r="JP310" s="235">
        <f t="shared" si="164"/>
        <v>0</v>
      </c>
      <c r="JQ310" s="235">
        <f t="shared" si="165"/>
        <v>0</v>
      </c>
      <c r="JR310" s="235">
        <f t="shared" si="166"/>
        <v>0</v>
      </c>
      <c r="JS310" s="235">
        <f t="shared" si="167"/>
        <v>0</v>
      </c>
      <c r="JT310" s="235">
        <f t="shared" si="168"/>
        <v>0</v>
      </c>
      <c r="JU310" s="235">
        <f t="shared" si="169"/>
        <v>0</v>
      </c>
      <c r="JV310" s="235">
        <f t="shared" si="170"/>
        <v>0</v>
      </c>
      <c r="JW310" s="235">
        <f t="shared" si="171"/>
        <v>0</v>
      </c>
      <c r="JX310" s="235">
        <f t="shared" si="172"/>
        <v>0</v>
      </c>
      <c r="JY310" s="235">
        <f t="shared" si="173"/>
        <v>0</v>
      </c>
      <c r="JZ310" s="235">
        <f t="shared" si="174"/>
        <v>0</v>
      </c>
      <c r="KA310" s="237">
        <f t="shared" si="175"/>
        <v>0</v>
      </c>
      <c r="KB310" s="248">
        <v>46328</v>
      </c>
    </row>
    <row r="311" spans="1:288">
      <c r="A311" s="207">
        <v>46329</v>
      </c>
      <c r="JF311" s="236">
        <f t="shared" si="154"/>
        <v>0</v>
      </c>
      <c r="JG311" s="235">
        <f t="shared" si="155"/>
        <v>0</v>
      </c>
      <c r="JH311" s="235">
        <f t="shared" si="156"/>
        <v>0</v>
      </c>
      <c r="JI311" s="235">
        <f t="shared" si="157"/>
        <v>0</v>
      </c>
      <c r="JJ311" s="235">
        <f t="shared" si="158"/>
        <v>0</v>
      </c>
      <c r="JK311" s="235">
        <f t="shared" si="159"/>
        <v>0</v>
      </c>
      <c r="JL311" s="235">
        <f t="shared" si="160"/>
        <v>0</v>
      </c>
      <c r="JM311" s="235">
        <f t="shared" si="161"/>
        <v>0</v>
      </c>
      <c r="JN311" s="235">
        <f t="shared" si="162"/>
        <v>0</v>
      </c>
      <c r="JO311" s="235">
        <f t="shared" si="163"/>
        <v>0</v>
      </c>
      <c r="JP311" s="235">
        <f t="shared" si="164"/>
        <v>0</v>
      </c>
      <c r="JQ311" s="235">
        <f t="shared" si="165"/>
        <v>0</v>
      </c>
      <c r="JR311" s="235">
        <f t="shared" si="166"/>
        <v>0</v>
      </c>
      <c r="JS311" s="235">
        <f t="shared" si="167"/>
        <v>0</v>
      </c>
      <c r="JT311" s="235">
        <f t="shared" si="168"/>
        <v>0</v>
      </c>
      <c r="JU311" s="235">
        <f t="shared" si="169"/>
        <v>0</v>
      </c>
      <c r="JV311" s="235">
        <f t="shared" si="170"/>
        <v>0</v>
      </c>
      <c r="JW311" s="235">
        <f t="shared" si="171"/>
        <v>0</v>
      </c>
      <c r="JX311" s="235">
        <f t="shared" si="172"/>
        <v>0</v>
      </c>
      <c r="JY311" s="235">
        <f t="shared" si="173"/>
        <v>0</v>
      </c>
      <c r="JZ311" s="235">
        <f t="shared" si="174"/>
        <v>0</v>
      </c>
      <c r="KA311" s="237">
        <f t="shared" si="175"/>
        <v>0</v>
      </c>
      <c r="KB311" s="248">
        <v>46329</v>
      </c>
    </row>
    <row r="312" spans="1:288">
      <c r="A312" s="207">
        <v>46330</v>
      </c>
      <c r="JF312" s="236">
        <f t="shared" si="154"/>
        <v>0</v>
      </c>
      <c r="JG312" s="235">
        <f t="shared" si="155"/>
        <v>0</v>
      </c>
      <c r="JH312" s="235">
        <f t="shared" si="156"/>
        <v>0</v>
      </c>
      <c r="JI312" s="235">
        <f t="shared" si="157"/>
        <v>0</v>
      </c>
      <c r="JJ312" s="235">
        <f t="shared" si="158"/>
        <v>0</v>
      </c>
      <c r="JK312" s="235">
        <f t="shared" si="159"/>
        <v>0</v>
      </c>
      <c r="JL312" s="235">
        <f t="shared" si="160"/>
        <v>0</v>
      </c>
      <c r="JM312" s="235">
        <f t="shared" si="161"/>
        <v>0</v>
      </c>
      <c r="JN312" s="235">
        <f t="shared" si="162"/>
        <v>0</v>
      </c>
      <c r="JO312" s="235">
        <f t="shared" si="163"/>
        <v>0</v>
      </c>
      <c r="JP312" s="235">
        <f t="shared" si="164"/>
        <v>0</v>
      </c>
      <c r="JQ312" s="235">
        <f t="shared" si="165"/>
        <v>0</v>
      </c>
      <c r="JR312" s="235">
        <f t="shared" si="166"/>
        <v>0</v>
      </c>
      <c r="JS312" s="235">
        <f t="shared" si="167"/>
        <v>0</v>
      </c>
      <c r="JT312" s="235">
        <f t="shared" si="168"/>
        <v>0</v>
      </c>
      <c r="JU312" s="235">
        <f t="shared" si="169"/>
        <v>0</v>
      </c>
      <c r="JV312" s="235">
        <f t="shared" si="170"/>
        <v>0</v>
      </c>
      <c r="JW312" s="235">
        <f t="shared" si="171"/>
        <v>0</v>
      </c>
      <c r="JX312" s="235">
        <f t="shared" si="172"/>
        <v>0</v>
      </c>
      <c r="JY312" s="235">
        <f t="shared" si="173"/>
        <v>0</v>
      </c>
      <c r="JZ312" s="235">
        <f t="shared" si="174"/>
        <v>0</v>
      </c>
      <c r="KA312" s="237">
        <f t="shared" si="175"/>
        <v>0</v>
      </c>
      <c r="KB312" s="248">
        <v>46330</v>
      </c>
    </row>
    <row r="313" spans="1:288">
      <c r="A313" s="207">
        <v>46331</v>
      </c>
      <c r="JF313" s="236">
        <f t="shared" si="154"/>
        <v>0</v>
      </c>
      <c r="JG313" s="235">
        <f t="shared" si="155"/>
        <v>0</v>
      </c>
      <c r="JH313" s="235">
        <f t="shared" si="156"/>
        <v>0</v>
      </c>
      <c r="JI313" s="235">
        <f t="shared" si="157"/>
        <v>0</v>
      </c>
      <c r="JJ313" s="235">
        <f t="shared" si="158"/>
        <v>0</v>
      </c>
      <c r="JK313" s="235">
        <f t="shared" si="159"/>
        <v>0</v>
      </c>
      <c r="JL313" s="235">
        <f t="shared" si="160"/>
        <v>0</v>
      </c>
      <c r="JM313" s="235">
        <f t="shared" si="161"/>
        <v>0</v>
      </c>
      <c r="JN313" s="235">
        <f t="shared" si="162"/>
        <v>0</v>
      </c>
      <c r="JO313" s="235">
        <f t="shared" si="163"/>
        <v>0</v>
      </c>
      <c r="JP313" s="235">
        <f t="shared" si="164"/>
        <v>0</v>
      </c>
      <c r="JQ313" s="235">
        <f t="shared" si="165"/>
        <v>0</v>
      </c>
      <c r="JR313" s="235">
        <f t="shared" si="166"/>
        <v>0</v>
      </c>
      <c r="JS313" s="235">
        <f t="shared" si="167"/>
        <v>0</v>
      </c>
      <c r="JT313" s="235">
        <f t="shared" si="168"/>
        <v>0</v>
      </c>
      <c r="JU313" s="235">
        <f t="shared" si="169"/>
        <v>0</v>
      </c>
      <c r="JV313" s="235">
        <f t="shared" si="170"/>
        <v>0</v>
      </c>
      <c r="JW313" s="235">
        <f t="shared" si="171"/>
        <v>0</v>
      </c>
      <c r="JX313" s="235">
        <f t="shared" si="172"/>
        <v>0</v>
      </c>
      <c r="JY313" s="235">
        <f t="shared" si="173"/>
        <v>0</v>
      </c>
      <c r="JZ313" s="235">
        <f t="shared" si="174"/>
        <v>0</v>
      </c>
      <c r="KA313" s="237">
        <f t="shared" si="175"/>
        <v>0</v>
      </c>
      <c r="KB313" s="248">
        <v>46331</v>
      </c>
    </row>
    <row r="314" spans="1:288">
      <c r="A314" s="207">
        <v>46332</v>
      </c>
      <c r="JF314" s="236">
        <f t="shared" si="154"/>
        <v>0</v>
      </c>
      <c r="JG314" s="235">
        <f t="shared" si="155"/>
        <v>0</v>
      </c>
      <c r="JH314" s="235">
        <f t="shared" si="156"/>
        <v>0</v>
      </c>
      <c r="JI314" s="235">
        <f t="shared" si="157"/>
        <v>0</v>
      </c>
      <c r="JJ314" s="235">
        <f t="shared" si="158"/>
        <v>0</v>
      </c>
      <c r="JK314" s="235">
        <f t="shared" si="159"/>
        <v>0</v>
      </c>
      <c r="JL314" s="235">
        <f t="shared" si="160"/>
        <v>0</v>
      </c>
      <c r="JM314" s="235">
        <f t="shared" si="161"/>
        <v>0</v>
      </c>
      <c r="JN314" s="235">
        <f t="shared" si="162"/>
        <v>0</v>
      </c>
      <c r="JO314" s="235">
        <f t="shared" si="163"/>
        <v>0</v>
      </c>
      <c r="JP314" s="235">
        <f t="shared" si="164"/>
        <v>0</v>
      </c>
      <c r="JQ314" s="235">
        <f t="shared" si="165"/>
        <v>0</v>
      </c>
      <c r="JR314" s="235">
        <f t="shared" si="166"/>
        <v>0</v>
      </c>
      <c r="JS314" s="235">
        <f t="shared" si="167"/>
        <v>0</v>
      </c>
      <c r="JT314" s="235">
        <f t="shared" si="168"/>
        <v>0</v>
      </c>
      <c r="JU314" s="235">
        <f t="shared" si="169"/>
        <v>0</v>
      </c>
      <c r="JV314" s="235">
        <f t="shared" si="170"/>
        <v>0</v>
      </c>
      <c r="JW314" s="235">
        <f t="shared" si="171"/>
        <v>0</v>
      </c>
      <c r="JX314" s="235">
        <f t="shared" si="172"/>
        <v>0</v>
      </c>
      <c r="JY314" s="235">
        <f t="shared" si="173"/>
        <v>0</v>
      </c>
      <c r="JZ314" s="235">
        <f t="shared" si="174"/>
        <v>0</v>
      </c>
      <c r="KA314" s="237">
        <f t="shared" si="175"/>
        <v>0</v>
      </c>
      <c r="KB314" s="248">
        <v>46332</v>
      </c>
    </row>
    <row r="315" spans="1:288">
      <c r="A315" s="207">
        <v>46333</v>
      </c>
      <c r="JF315" s="236">
        <f t="shared" si="154"/>
        <v>0</v>
      </c>
      <c r="JG315" s="235">
        <f t="shared" si="155"/>
        <v>0</v>
      </c>
      <c r="JH315" s="235">
        <f t="shared" si="156"/>
        <v>0</v>
      </c>
      <c r="JI315" s="235">
        <f t="shared" si="157"/>
        <v>0</v>
      </c>
      <c r="JJ315" s="235">
        <f t="shared" si="158"/>
        <v>0</v>
      </c>
      <c r="JK315" s="235">
        <f t="shared" si="159"/>
        <v>0</v>
      </c>
      <c r="JL315" s="235">
        <f t="shared" si="160"/>
        <v>0</v>
      </c>
      <c r="JM315" s="235">
        <f t="shared" si="161"/>
        <v>0</v>
      </c>
      <c r="JN315" s="235">
        <f t="shared" si="162"/>
        <v>0</v>
      </c>
      <c r="JO315" s="235">
        <f t="shared" si="163"/>
        <v>0</v>
      </c>
      <c r="JP315" s="235">
        <f t="shared" si="164"/>
        <v>0</v>
      </c>
      <c r="JQ315" s="235">
        <f t="shared" si="165"/>
        <v>0</v>
      </c>
      <c r="JR315" s="235">
        <f t="shared" si="166"/>
        <v>0</v>
      </c>
      <c r="JS315" s="235">
        <f t="shared" si="167"/>
        <v>0</v>
      </c>
      <c r="JT315" s="235">
        <f t="shared" si="168"/>
        <v>0</v>
      </c>
      <c r="JU315" s="235">
        <f t="shared" si="169"/>
        <v>0</v>
      </c>
      <c r="JV315" s="235">
        <f t="shared" si="170"/>
        <v>0</v>
      </c>
      <c r="JW315" s="235">
        <f t="shared" si="171"/>
        <v>0</v>
      </c>
      <c r="JX315" s="235">
        <f t="shared" si="172"/>
        <v>0</v>
      </c>
      <c r="JY315" s="235">
        <f t="shared" si="173"/>
        <v>0</v>
      </c>
      <c r="JZ315" s="235">
        <f t="shared" si="174"/>
        <v>0</v>
      </c>
      <c r="KA315" s="237">
        <f t="shared" si="175"/>
        <v>0</v>
      </c>
      <c r="KB315" s="248">
        <v>46333</v>
      </c>
    </row>
    <row r="316" spans="1:288">
      <c r="A316" s="207">
        <v>46334</v>
      </c>
      <c r="JF316" s="236">
        <f t="shared" si="154"/>
        <v>0</v>
      </c>
      <c r="JG316" s="235">
        <f t="shared" si="155"/>
        <v>0</v>
      </c>
      <c r="JH316" s="235">
        <f t="shared" si="156"/>
        <v>0</v>
      </c>
      <c r="JI316" s="235">
        <f t="shared" si="157"/>
        <v>0</v>
      </c>
      <c r="JJ316" s="235">
        <f t="shared" si="158"/>
        <v>0</v>
      </c>
      <c r="JK316" s="235">
        <f t="shared" si="159"/>
        <v>0</v>
      </c>
      <c r="JL316" s="235">
        <f t="shared" si="160"/>
        <v>0</v>
      </c>
      <c r="JM316" s="235">
        <f t="shared" si="161"/>
        <v>0</v>
      </c>
      <c r="JN316" s="235">
        <f t="shared" si="162"/>
        <v>0</v>
      </c>
      <c r="JO316" s="235">
        <f t="shared" si="163"/>
        <v>0</v>
      </c>
      <c r="JP316" s="235">
        <f t="shared" si="164"/>
        <v>0</v>
      </c>
      <c r="JQ316" s="235">
        <f t="shared" si="165"/>
        <v>0</v>
      </c>
      <c r="JR316" s="235">
        <f t="shared" si="166"/>
        <v>0</v>
      </c>
      <c r="JS316" s="235">
        <f t="shared" si="167"/>
        <v>0</v>
      </c>
      <c r="JT316" s="235">
        <f t="shared" si="168"/>
        <v>0</v>
      </c>
      <c r="JU316" s="235">
        <f t="shared" si="169"/>
        <v>0</v>
      </c>
      <c r="JV316" s="235">
        <f t="shared" si="170"/>
        <v>0</v>
      </c>
      <c r="JW316" s="235">
        <f t="shared" si="171"/>
        <v>0</v>
      </c>
      <c r="JX316" s="235">
        <f t="shared" si="172"/>
        <v>0</v>
      </c>
      <c r="JY316" s="235">
        <f t="shared" si="173"/>
        <v>0</v>
      </c>
      <c r="JZ316" s="235">
        <f t="shared" si="174"/>
        <v>0</v>
      </c>
      <c r="KA316" s="237">
        <f t="shared" si="175"/>
        <v>0</v>
      </c>
      <c r="KB316" s="248">
        <v>46334</v>
      </c>
    </row>
    <row r="317" spans="1:288">
      <c r="A317" s="207">
        <v>46335</v>
      </c>
      <c r="JF317" s="236">
        <f t="shared" si="154"/>
        <v>0</v>
      </c>
      <c r="JG317" s="235">
        <f t="shared" si="155"/>
        <v>0</v>
      </c>
      <c r="JH317" s="235">
        <f t="shared" si="156"/>
        <v>0</v>
      </c>
      <c r="JI317" s="235">
        <f t="shared" si="157"/>
        <v>0</v>
      </c>
      <c r="JJ317" s="235">
        <f t="shared" si="158"/>
        <v>0</v>
      </c>
      <c r="JK317" s="235">
        <f t="shared" si="159"/>
        <v>0</v>
      </c>
      <c r="JL317" s="235">
        <f t="shared" si="160"/>
        <v>0</v>
      </c>
      <c r="JM317" s="235">
        <f t="shared" si="161"/>
        <v>0</v>
      </c>
      <c r="JN317" s="235">
        <f t="shared" si="162"/>
        <v>0</v>
      </c>
      <c r="JO317" s="235">
        <f t="shared" si="163"/>
        <v>0</v>
      </c>
      <c r="JP317" s="235">
        <f t="shared" si="164"/>
        <v>0</v>
      </c>
      <c r="JQ317" s="235">
        <f t="shared" si="165"/>
        <v>0</v>
      </c>
      <c r="JR317" s="235">
        <f t="shared" si="166"/>
        <v>0</v>
      </c>
      <c r="JS317" s="235">
        <f t="shared" si="167"/>
        <v>0</v>
      </c>
      <c r="JT317" s="235">
        <f t="shared" si="168"/>
        <v>0</v>
      </c>
      <c r="JU317" s="235">
        <f t="shared" si="169"/>
        <v>0</v>
      </c>
      <c r="JV317" s="235">
        <f t="shared" si="170"/>
        <v>0</v>
      </c>
      <c r="JW317" s="235">
        <f t="shared" si="171"/>
        <v>0</v>
      </c>
      <c r="JX317" s="235">
        <f t="shared" si="172"/>
        <v>0</v>
      </c>
      <c r="JY317" s="235">
        <f t="shared" si="173"/>
        <v>0</v>
      </c>
      <c r="JZ317" s="235">
        <f t="shared" si="174"/>
        <v>0</v>
      </c>
      <c r="KA317" s="237">
        <f t="shared" si="175"/>
        <v>0</v>
      </c>
      <c r="KB317" s="248">
        <v>46335</v>
      </c>
    </row>
    <row r="318" spans="1:288">
      <c r="A318" s="207">
        <v>46336</v>
      </c>
      <c r="JF318" s="236">
        <f t="shared" si="154"/>
        <v>0</v>
      </c>
      <c r="JG318" s="235">
        <f t="shared" si="155"/>
        <v>0</v>
      </c>
      <c r="JH318" s="235">
        <f t="shared" si="156"/>
        <v>0</v>
      </c>
      <c r="JI318" s="235">
        <f t="shared" si="157"/>
        <v>0</v>
      </c>
      <c r="JJ318" s="235">
        <f t="shared" si="158"/>
        <v>0</v>
      </c>
      <c r="JK318" s="235">
        <f t="shared" si="159"/>
        <v>0</v>
      </c>
      <c r="JL318" s="235">
        <f t="shared" si="160"/>
        <v>0</v>
      </c>
      <c r="JM318" s="235">
        <f t="shared" si="161"/>
        <v>0</v>
      </c>
      <c r="JN318" s="235">
        <f t="shared" si="162"/>
        <v>0</v>
      </c>
      <c r="JO318" s="235">
        <f t="shared" si="163"/>
        <v>0</v>
      </c>
      <c r="JP318" s="235">
        <f t="shared" si="164"/>
        <v>0</v>
      </c>
      <c r="JQ318" s="235">
        <f t="shared" si="165"/>
        <v>0</v>
      </c>
      <c r="JR318" s="235">
        <f t="shared" si="166"/>
        <v>0</v>
      </c>
      <c r="JS318" s="235">
        <f t="shared" si="167"/>
        <v>0</v>
      </c>
      <c r="JT318" s="235">
        <f t="shared" si="168"/>
        <v>0</v>
      </c>
      <c r="JU318" s="235">
        <f t="shared" si="169"/>
        <v>0</v>
      </c>
      <c r="JV318" s="235">
        <f t="shared" si="170"/>
        <v>0</v>
      </c>
      <c r="JW318" s="235">
        <f t="shared" si="171"/>
        <v>0</v>
      </c>
      <c r="JX318" s="235">
        <f t="shared" si="172"/>
        <v>0</v>
      </c>
      <c r="JY318" s="235">
        <f t="shared" si="173"/>
        <v>0</v>
      </c>
      <c r="JZ318" s="235">
        <f t="shared" si="174"/>
        <v>0</v>
      </c>
      <c r="KA318" s="237">
        <f t="shared" si="175"/>
        <v>0</v>
      </c>
      <c r="KB318" s="248">
        <v>46336</v>
      </c>
    </row>
    <row r="319" spans="1:288">
      <c r="A319" s="207">
        <v>46337</v>
      </c>
      <c r="JF319" s="236">
        <f t="shared" si="154"/>
        <v>0</v>
      </c>
      <c r="JG319" s="235">
        <f t="shared" si="155"/>
        <v>0</v>
      </c>
      <c r="JH319" s="235">
        <f t="shared" si="156"/>
        <v>0</v>
      </c>
      <c r="JI319" s="235">
        <f t="shared" si="157"/>
        <v>0</v>
      </c>
      <c r="JJ319" s="235">
        <f t="shared" si="158"/>
        <v>0</v>
      </c>
      <c r="JK319" s="235">
        <f t="shared" si="159"/>
        <v>0</v>
      </c>
      <c r="JL319" s="235">
        <f t="shared" si="160"/>
        <v>0</v>
      </c>
      <c r="JM319" s="235">
        <f t="shared" si="161"/>
        <v>0</v>
      </c>
      <c r="JN319" s="235">
        <f t="shared" si="162"/>
        <v>0</v>
      </c>
      <c r="JO319" s="235">
        <f t="shared" si="163"/>
        <v>0</v>
      </c>
      <c r="JP319" s="235">
        <f t="shared" si="164"/>
        <v>0</v>
      </c>
      <c r="JQ319" s="235">
        <f t="shared" si="165"/>
        <v>0</v>
      </c>
      <c r="JR319" s="235">
        <f t="shared" si="166"/>
        <v>0</v>
      </c>
      <c r="JS319" s="235">
        <f t="shared" si="167"/>
        <v>0</v>
      </c>
      <c r="JT319" s="235">
        <f t="shared" si="168"/>
        <v>0</v>
      </c>
      <c r="JU319" s="235">
        <f t="shared" si="169"/>
        <v>0</v>
      </c>
      <c r="JV319" s="235">
        <f t="shared" si="170"/>
        <v>0</v>
      </c>
      <c r="JW319" s="235">
        <f t="shared" si="171"/>
        <v>0</v>
      </c>
      <c r="JX319" s="235">
        <f t="shared" si="172"/>
        <v>0</v>
      </c>
      <c r="JY319" s="235">
        <f t="shared" si="173"/>
        <v>0</v>
      </c>
      <c r="JZ319" s="235">
        <f t="shared" si="174"/>
        <v>0</v>
      </c>
      <c r="KA319" s="237">
        <f t="shared" si="175"/>
        <v>0</v>
      </c>
      <c r="KB319" s="248">
        <v>46337</v>
      </c>
    </row>
    <row r="320" spans="1:288">
      <c r="A320" s="207">
        <v>46338</v>
      </c>
      <c r="JF320" s="236">
        <f t="shared" si="154"/>
        <v>0</v>
      </c>
      <c r="JG320" s="235">
        <f t="shared" si="155"/>
        <v>0</v>
      </c>
      <c r="JH320" s="235">
        <f t="shared" si="156"/>
        <v>0</v>
      </c>
      <c r="JI320" s="235">
        <f t="shared" si="157"/>
        <v>0</v>
      </c>
      <c r="JJ320" s="235">
        <f t="shared" si="158"/>
        <v>0</v>
      </c>
      <c r="JK320" s="235">
        <f t="shared" si="159"/>
        <v>0</v>
      </c>
      <c r="JL320" s="235">
        <f t="shared" si="160"/>
        <v>0</v>
      </c>
      <c r="JM320" s="235">
        <f t="shared" si="161"/>
        <v>0</v>
      </c>
      <c r="JN320" s="235">
        <f t="shared" si="162"/>
        <v>0</v>
      </c>
      <c r="JO320" s="235">
        <f t="shared" si="163"/>
        <v>0</v>
      </c>
      <c r="JP320" s="235">
        <f t="shared" si="164"/>
        <v>0</v>
      </c>
      <c r="JQ320" s="235">
        <f t="shared" si="165"/>
        <v>0</v>
      </c>
      <c r="JR320" s="235">
        <f t="shared" si="166"/>
        <v>0</v>
      </c>
      <c r="JS320" s="235">
        <f t="shared" si="167"/>
        <v>0</v>
      </c>
      <c r="JT320" s="235">
        <f t="shared" si="168"/>
        <v>0</v>
      </c>
      <c r="JU320" s="235">
        <f t="shared" si="169"/>
        <v>0</v>
      </c>
      <c r="JV320" s="235">
        <f t="shared" si="170"/>
        <v>0</v>
      </c>
      <c r="JW320" s="235">
        <f t="shared" si="171"/>
        <v>0</v>
      </c>
      <c r="JX320" s="235">
        <f t="shared" si="172"/>
        <v>0</v>
      </c>
      <c r="JY320" s="235">
        <f t="shared" si="173"/>
        <v>0</v>
      </c>
      <c r="JZ320" s="235">
        <f t="shared" si="174"/>
        <v>0</v>
      </c>
      <c r="KA320" s="237">
        <f t="shared" si="175"/>
        <v>0</v>
      </c>
      <c r="KB320" s="248">
        <v>46338</v>
      </c>
    </row>
    <row r="321" spans="1:288">
      <c r="A321" s="207">
        <v>46339</v>
      </c>
      <c r="JF321" s="236">
        <f t="shared" si="154"/>
        <v>0</v>
      </c>
      <c r="JG321" s="235">
        <f t="shared" si="155"/>
        <v>0</v>
      </c>
      <c r="JH321" s="235">
        <f t="shared" si="156"/>
        <v>0</v>
      </c>
      <c r="JI321" s="235">
        <f t="shared" si="157"/>
        <v>0</v>
      </c>
      <c r="JJ321" s="235">
        <f t="shared" si="158"/>
        <v>0</v>
      </c>
      <c r="JK321" s="235">
        <f t="shared" si="159"/>
        <v>0</v>
      </c>
      <c r="JL321" s="235">
        <f t="shared" si="160"/>
        <v>0</v>
      </c>
      <c r="JM321" s="235">
        <f t="shared" si="161"/>
        <v>0</v>
      </c>
      <c r="JN321" s="235">
        <f t="shared" si="162"/>
        <v>0</v>
      </c>
      <c r="JO321" s="235">
        <f t="shared" si="163"/>
        <v>0</v>
      </c>
      <c r="JP321" s="235">
        <f t="shared" si="164"/>
        <v>0</v>
      </c>
      <c r="JQ321" s="235">
        <f t="shared" si="165"/>
        <v>0</v>
      </c>
      <c r="JR321" s="235">
        <f t="shared" si="166"/>
        <v>0</v>
      </c>
      <c r="JS321" s="235">
        <f t="shared" si="167"/>
        <v>0</v>
      </c>
      <c r="JT321" s="235">
        <f t="shared" si="168"/>
        <v>0</v>
      </c>
      <c r="JU321" s="235">
        <f t="shared" si="169"/>
        <v>0</v>
      </c>
      <c r="JV321" s="235">
        <f t="shared" si="170"/>
        <v>0</v>
      </c>
      <c r="JW321" s="235">
        <f t="shared" si="171"/>
        <v>0</v>
      </c>
      <c r="JX321" s="235">
        <f t="shared" si="172"/>
        <v>0</v>
      </c>
      <c r="JY321" s="235">
        <f t="shared" si="173"/>
        <v>0</v>
      </c>
      <c r="JZ321" s="235">
        <f t="shared" si="174"/>
        <v>0</v>
      </c>
      <c r="KA321" s="237">
        <f t="shared" si="175"/>
        <v>0</v>
      </c>
      <c r="KB321" s="248">
        <v>46339</v>
      </c>
    </row>
    <row r="322" spans="1:288">
      <c r="A322" s="207">
        <v>46340</v>
      </c>
      <c r="JF322" s="236">
        <f t="shared" si="154"/>
        <v>0</v>
      </c>
      <c r="JG322" s="235">
        <f t="shared" si="155"/>
        <v>0</v>
      </c>
      <c r="JH322" s="235">
        <f t="shared" si="156"/>
        <v>0</v>
      </c>
      <c r="JI322" s="235">
        <f t="shared" si="157"/>
        <v>0</v>
      </c>
      <c r="JJ322" s="235">
        <f t="shared" si="158"/>
        <v>0</v>
      </c>
      <c r="JK322" s="235">
        <f t="shared" si="159"/>
        <v>0</v>
      </c>
      <c r="JL322" s="235">
        <f t="shared" si="160"/>
        <v>0</v>
      </c>
      <c r="JM322" s="235">
        <f t="shared" si="161"/>
        <v>0</v>
      </c>
      <c r="JN322" s="235">
        <f t="shared" si="162"/>
        <v>0</v>
      </c>
      <c r="JO322" s="235">
        <f t="shared" si="163"/>
        <v>0</v>
      </c>
      <c r="JP322" s="235">
        <f t="shared" si="164"/>
        <v>0</v>
      </c>
      <c r="JQ322" s="235">
        <f t="shared" si="165"/>
        <v>0</v>
      </c>
      <c r="JR322" s="235">
        <f t="shared" si="166"/>
        <v>0</v>
      </c>
      <c r="JS322" s="235">
        <f t="shared" si="167"/>
        <v>0</v>
      </c>
      <c r="JT322" s="235">
        <f t="shared" si="168"/>
        <v>0</v>
      </c>
      <c r="JU322" s="235">
        <f t="shared" si="169"/>
        <v>0</v>
      </c>
      <c r="JV322" s="235">
        <f t="shared" si="170"/>
        <v>0</v>
      </c>
      <c r="JW322" s="235">
        <f t="shared" si="171"/>
        <v>0</v>
      </c>
      <c r="JX322" s="235">
        <f t="shared" si="172"/>
        <v>0</v>
      </c>
      <c r="JY322" s="235">
        <f t="shared" si="173"/>
        <v>0</v>
      </c>
      <c r="JZ322" s="235">
        <f t="shared" si="174"/>
        <v>0</v>
      </c>
      <c r="KA322" s="237">
        <f t="shared" si="175"/>
        <v>0</v>
      </c>
      <c r="KB322" s="248">
        <v>46340</v>
      </c>
    </row>
    <row r="323" spans="1:288">
      <c r="A323" s="207">
        <v>46341</v>
      </c>
      <c r="JF323" s="236">
        <f t="shared" si="154"/>
        <v>0</v>
      </c>
      <c r="JG323" s="235">
        <f t="shared" si="155"/>
        <v>0</v>
      </c>
      <c r="JH323" s="235">
        <f t="shared" si="156"/>
        <v>0</v>
      </c>
      <c r="JI323" s="235">
        <f t="shared" si="157"/>
        <v>0</v>
      </c>
      <c r="JJ323" s="235">
        <f t="shared" si="158"/>
        <v>0</v>
      </c>
      <c r="JK323" s="235">
        <f t="shared" si="159"/>
        <v>0</v>
      </c>
      <c r="JL323" s="235">
        <f t="shared" si="160"/>
        <v>0</v>
      </c>
      <c r="JM323" s="235">
        <f t="shared" si="161"/>
        <v>0</v>
      </c>
      <c r="JN323" s="235">
        <f t="shared" si="162"/>
        <v>0</v>
      </c>
      <c r="JO323" s="235">
        <f t="shared" si="163"/>
        <v>0</v>
      </c>
      <c r="JP323" s="235">
        <f t="shared" si="164"/>
        <v>0</v>
      </c>
      <c r="JQ323" s="235">
        <f t="shared" si="165"/>
        <v>0</v>
      </c>
      <c r="JR323" s="235">
        <f t="shared" si="166"/>
        <v>0</v>
      </c>
      <c r="JS323" s="235">
        <f t="shared" si="167"/>
        <v>0</v>
      </c>
      <c r="JT323" s="235">
        <f t="shared" si="168"/>
        <v>0</v>
      </c>
      <c r="JU323" s="235">
        <f t="shared" si="169"/>
        <v>0</v>
      </c>
      <c r="JV323" s="235">
        <f t="shared" si="170"/>
        <v>0</v>
      </c>
      <c r="JW323" s="235">
        <f t="shared" si="171"/>
        <v>0</v>
      </c>
      <c r="JX323" s="235">
        <f t="shared" si="172"/>
        <v>0</v>
      </c>
      <c r="JY323" s="235">
        <f t="shared" si="173"/>
        <v>0</v>
      </c>
      <c r="JZ323" s="235">
        <f t="shared" si="174"/>
        <v>0</v>
      </c>
      <c r="KA323" s="237">
        <f t="shared" si="175"/>
        <v>0</v>
      </c>
      <c r="KB323" s="248">
        <v>46341</v>
      </c>
    </row>
    <row r="324" spans="1:288">
      <c r="A324" s="207">
        <v>46342</v>
      </c>
      <c r="JF324" s="236">
        <f t="shared" si="154"/>
        <v>0</v>
      </c>
      <c r="JG324" s="235">
        <f t="shared" si="155"/>
        <v>0</v>
      </c>
      <c r="JH324" s="235">
        <f t="shared" si="156"/>
        <v>0</v>
      </c>
      <c r="JI324" s="235">
        <f t="shared" si="157"/>
        <v>0</v>
      </c>
      <c r="JJ324" s="235">
        <f t="shared" si="158"/>
        <v>0</v>
      </c>
      <c r="JK324" s="235">
        <f t="shared" si="159"/>
        <v>0</v>
      </c>
      <c r="JL324" s="235">
        <f t="shared" si="160"/>
        <v>0</v>
      </c>
      <c r="JM324" s="235">
        <f t="shared" si="161"/>
        <v>0</v>
      </c>
      <c r="JN324" s="235">
        <f t="shared" si="162"/>
        <v>0</v>
      </c>
      <c r="JO324" s="235">
        <f t="shared" si="163"/>
        <v>0</v>
      </c>
      <c r="JP324" s="235">
        <f t="shared" si="164"/>
        <v>0</v>
      </c>
      <c r="JQ324" s="235">
        <f t="shared" si="165"/>
        <v>0</v>
      </c>
      <c r="JR324" s="235">
        <f t="shared" si="166"/>
        <v>0</v>
      </c>
      <c r="JS324" s="235">
        <f t="shared" si="167"/>
        <v>0</v>
      </c>
      <c r="JT324" s="235">
        <f t="shared" si="168"/>
        <v>0</v>
      </c>
      <c r="JU324" s="235">
        <f t="shared" si="169"/>
        <v>0</v>
      </c>
      <c r="JV324" s="235">
        <f t="shared" si="170"/>
        <v>0</v>
      </c>
      <c r="JW324" s="235">
        <f t="shared" si="171"/>
        <v>0</v>
      </c>
      <c r="JX324" s="235">
        <f t="shared" si="172"/>
        <v>0</v>
      </c>
      <c r="JY324" s="235">
        <f t="shared" si="173"/>
        <v>0</v>
      </c>
      <c r="JZ324" s="235">
        <f t="shared" si="174"/>
        <v>0</v>
      </c>
      <c r="KA324" s="237">
        <f t="shared" si="175"/>
        <v>0</v>
      </c>
      <c r="KB324" s="248">
        <v>46342</v>
      </c>
    </row>
    <row r="325" spans="1:288">
      <c r="A325" s="207">
        <v>46343</v>
      </c>
      <c r="JF325" s="236">
        <f t="shared" si="154"/>
        <v>0</v>
      </c>
      <c r="JG325" s="235">
        <f t="shared" si="155"/>
        <v>0</v>
      </c>
      <c r="JH325" s="235">
        <f t="shared" si="156"/>
        <v>0</v>
      </c>
      <c r="JI325" s="235">
        <f t="shared" si="157"/>
        <v>0</v>
      </c>
      <c r="JJ325" s="235">
        <f t="shared" si="158"/>
        <v>0</v>
      </c>
      <c r="JK325" s="235">
        <f t="shared" si="159"/>
        <v>0</v>
      </c>
      <c r="JL325" s="235">
        <f t="shared" si="160"/>
        <v>0</v>
      </c>
      <c r="JM325" s="235">
        <f t="shared" si="161"/>
        <v>0</v>
      </c>
      <c r="JN325" s="235">
        <f t="shared" si="162"/>
        <v>0</v>
      </c>
      <c r="JO325" s="235">
        <f t="shared" si="163"/>
        <v>0</v>
      </c>
      <c r="JP325" s="235">
        <f t="shared" si="164"/>
        <v>0</v>
      </c>
      <c r="JQ325" s="235">
        <f t="shared" si="165"/>
        <v>0</v>
      </c>
      <c r="JR325" s="235">
        <f t="shared" si="166"/>
        <v>0</v>
      </c>
      <c r="JS325" s="235">
        <f t="shared" si="167"/>
        <v>0</v>
      </c>
      <c r="JT325" s="235">
        <f t="shared" si="168"/>
        <v>0</v>
      </c>
      <c r="JU325" s="235">
        <f t="shared" si="169"/>
        <v>0</v>
      </c>
      <c r="JV325" s="235">
        <f t="shared" si="170"/>
        <v>0</v>
      </c>
      <c r="JW325" s="235">
        <f t="shared" si="171"/>
        <v>0</v>
      </c>
      <c r="JX325" s="235">
        <f t="shared" si="172"/>
        <v>0</v>
      </c>
      <c r="JY325" s="235">
        <f t="shared" si="173"/>
        <v>0</v>
      </c>
      <c r="JZ325" s="235">
        <f t="shared" si="174"/>
        <v>0</v>
      </c>
      <c r="KA325" s="237">
        <f t="shared" si="175"/>
        <v>0</v>
      </c>
      <c r="KB325" s="248">
        <v>46343</v>
      </c>
    </row>
    <row r="326" spans="1:288">
      <c r="A326" s="207">
        <v>46344</v>
      </c>
      <c r="JF326" s="236">
        <f t="shared" ref="JF326:JF369" si="176">HN326*24</f>
        <v>0</v>
      </c>
      <c r="JG326" s="235">
        <f t="shared" ref="JG326:JG369" si="177">HP326*24</f>
        <v>0</v>
      </c>
      <c r="JH326" s="235">
        <f t="shared" ref="JH326:JH369" si="178">HR326*24</f>
        <v>0</v>
      </c>
      <c r="JI326" s="235">
        <f t="shared" ref="JI326:JI369" si="179">HT326*24</f>
        <v>0</v>
      </c>
      <c r="JJ326" s="235">
        <f t="shared" ref="JJ326:JJ369" si="180">HV326*24</f>
        <v>0</v>
      </c>
      <c r="JK326" s="235">
        <f t="shared" ref="JK326:JK369" si="181">HX326*24</f>
        <v>0</v>
      </c>
      <c r="JL326" s="235">
        <f t="shared" ref="JL326:JL369" si="182">HZ326*24</f>
        <v>0</v>
      </c>
      <c r="JM326" s="235">
        <f t="shared" ref="JM326:JM369" si="183">IB326*24</f>
        <v>0</v>
      </c>
      <c r="JN326" s="235">
        <f t="shared" ref="JN326:JN369" si="184">ID326*24</f>
        <v>0</v>
      </c>
      <c r="JO326" s="235">
        <f t="shared" ref="JO326:JO369" si="185">IF326*24</f>
        <v>0</v>
      </c>
      <c r="JP326" s="235">
        <f t="shared" ref="JP326:JP369" si="186">IH326*24</f>
        <v>0</v>
      </c>
      <c r="JQ326" s="235">
        <f t="shared" ref="JQ326:JQ369" si="187">IJ326*24</f>
        <v>0</v>
      </c>
      <c r="JR326" s="235">
        <f t="shared" ref="JR326:JR369" si="188">IL326*24</f>
        <v>0</v>
      </c>
      <c r="JS326" s="235">
        <f t="shared" ref="JS326:JS369" si="189">IN326*24</f>
        <v>0</v>
      </c>
      <c r="JT326" s="235">
        <f t="shared" ref="JT326:JT369" si="190">IP326*24</f>
        <v>0</v>
      </c>
      <c r="JU326" s="235">
        <f t="shared" ref="JU326:JU369" si="191">IR326*24</f>
        <v>0</v>
      </c>
      <c r="JV326" s="235">
        <f t="shared" ref="JV326:JV369" si="192">IT326*24</f>
        <v>0</v>
      </c>
      <c r="JW326" s="235">
        <f t="shared" ref="JW326:JW369" si="193">IV326*24</f>
        <v>0</v>
      </c>
      <c r="JX326" s="235">
        <f t="shared" ref="JX326:JX369" si="194">IX326*24</f>
        <v>0</v>
      </c>
      <c r="JY326" s="235">
        <f t="shared" ref="JY326:JY369" si="195">IZ326*24</f>
        <v>0</v>
      </c>
      <c r="JZ326" s="235">
        <f t="shared" ref="JZ326:JZ369" si="196">JB326*24</f>
        <v>0</v>
      </c>
      <c r="KA326" s="237">
        <f t="shared" ref="KA326:KA369" si="197">JD326*24</f>
        <v>0</v>
      </c>
      <c r="KB326" s="248">
        <v>46344</v>
      </c>
    </row>
    <row r="327" spans="1:288">
      <c r="A327" s="207">
        <v>46345</v>
      </c>
      <c r="JF327" s="236">
        <f t="shared" si="176"/>
        <v>0</v>
      </c>
      <c r="JG327" s="235">
        <f t="shared" si="177"/>
        <v>0</v>
      </c>
      <c r="JH327" s="235">
        <f t="shared" si="178"/>
        <v>0</v>
      </c>
      <c r="JI327" s="235">
        <f t="shared" si="179"/>
        <v>0</v>
      </c>
      <c r="JJ327" s="235">
        <f t="shared" si="180"/>
        <v>0</v>
      </c>
      <c r="JK327" s="235">
        <f t="shared" si="181"/>
        <v>0</v>
      </c>
      <c r="JL327" s="235">
        <f t="shared" si="182"/>
        <v>0</v>
      </c>
      <c r="JM327" s="235">
        <f t="shared" si="183"/>
        <v>0</v>
      </c>
      <c r="JN327" s="235">
        <f t="shared" si="184"/>
        <v>0</v>
      </c>
      <c r="JO327" s="235">
        <f t="shared" si="185"/>
        <v>0</v>
      </c>
      <c r="JP327" s="235">
        <f t="shared" si="186"/>
        <v>0</v>
      </c>
      <c r="JQ327" s="235">
        <f t="shared" si="187"/>
        <v>0</v>
      </c>
      <c r="JR327" s="235">
        <f t="shared" si="188"/>
        <v>0</v>
      </c>
      <c r="JS327" s="235">
        <f t="shared" si="189"/>
        <v>0</v>
      </c>
      <c r="JT327" s="235">
        <f t="shared" si="190"/>
        <v>0</v>
      </c>
      <c r="JU327" s="235">
        <f t="shared" si="191"/>
        <v>0</v>
      </c>
      <c r="JV327" s="235">
        <f t="shared" si="192"/>
        <v>0</v>
      </c>
      <c r="JW327" s="235">
        <f t="shared" si="193"/>
        <v>0</v>
      </c>
      <c r="JX327" s="235">
        <f t="shared" si="194"/>
        <v>0</v>
      </c>
      <c r="JY327" s="235">
        <f t="shared" si="195"/>
        <v>0</v>
      </c>
      <c r="JZ327" s="235">
        <f t="shared" si="196"/>
        <v>0</v>
      </c>
      <c r="KA327" s="237">
        <f t="shared" si="197"/>
        <v>0</v>
      </c>
      <c r="KB327" s="248">
        <v>46345</v>
      </c>
    </row>
    <row r="328" spans="1:288">
      <c r="A328" s="207">
        <v>46346</v>
      </c>
      <c r="JF328" s="236">
        <f t="shared" si="176"/>
        <v>0</v>
      </c>
      <c r="JG328" s="235">
        <f t="shared" si="177"/>
        <v>0</v>
      </c>
      <c r="JH328" s="235">
        <f t="shared" si="178"/>
        <v>0</v>
      </c>
      <c r="JI328" s="235">
        <f t="shared" si="179"/>
        <v>0</v>
      </c>
      <c r="JJ328" s="235">
        <f t="shared" si="180"/>
        <v>0</v>
      </c>
      <c r="JK328" s="235">
        <f t="shared" si="181"/>
        <v>0</v>
      </c>
      <c r="JL328" s="235">
        <f t="shared" si="182"/>
        <v>0</v>
      </c>
      <c r="JM328" s="235">
        <f t="shared" si="183"/>
        <v>0</v>
      </c>
      <c r="JN328" s="235">
        <f t="shared" si="184"/>
        <v>0</v>
      </c>
      <c r="JO328" s="235">
        <f t="shared" si="185"/>
        <v>0</v>
      </c>
      <c r="JP328" s="235">
        <f t="shared" si="186"/>
        <v>0</v>
      </c>
      <c r="JQ328" s="235">
        <f t="shared" si="187"/>
        <v>0</v>
      </c>
      <c r="JR328" s="235">
        <f t="shared" si="188"/>
        <v>0</v>
      </c>
      <c r="JS328" s="235">
        <f t="shared" si="189"/>
        <v>0</v>
      </c>
      <c r="JT328" s="235">
        <f t="shared" si="190"/>
        <v>0</v>
      </c>
      <c r="JU328" s="235">
        <f t="shared" si="191"/>
        <v>0</v>
      </c>
      <c r="JV328" s="235">
        <f t="shared" si="192"/>
        <v>0</v>
      </c>
      <c r="JW328" s="235">
        <f t="shared" si="193"/>
        <v>0</v>
      </c>
      <c r="JX328" s="235">
        <f t="shared" si="194"/>
        <v>0</v>
      </c>
      <c r="JY328" s="235">
        <f t="shared" si="195"/>
        <v>0</v>
      </c>
      <c r="JZ328" s="235">
        <f t="shared" si="196"/>
        <v>0</v>
      </c>
      <c r="KA328" s="237">
        <f t="shared" si="197"/>
        <v>0</v>
      </c>
      <c r="KB328" s="248">
        <v>46346</v>
      </c>
    </row>
    <row r="329" spans="1:288">
      <c r="A329" s="207">
        <v>46347</v>
      </c>
      <c r="JF329" s="236">
        <f t="shared" si="176"/>
        <v>0</v>
      </c>
      <c r="JG329" s="235">
        <f t="shared" si="177"/>
        <v>0</v>
      </c>
      <c r="JH329" s="235">
        <f t="shared" si="178"/>
        <v>0</v>
      </c>
      <c r="JI329" s="235">
        <f t="shared" si="179"/>
        <v>0</v>
      </c>
      <c r="JJ329" s="235">
        <f t="shared" si="180"/>
        <v>0</v>
      </c>
      <c r="JK329" s="235">
        <f t="shared" si="181"/>
        <v>0</v>
      </c>
      <c r="JL329" s="235">
        <f t="shared" si="182"/>
        <v>0</v>
      </c>
      <c r="JM329" s="235">
        <f t="shared" si="183"/>
        <v>0</v>
      </c>
      <c r="JN329" s="235">
        <f t="shared" si="184"/>
        <v>0</v>
      </c>
      <c r="JO329" s="235">
        <f t="shared" si="185"/>
        <v>0</v>
      </c>
      <c r="JP329" s="235">
        <f t="shared" si="186"/>
        <v>0</v>
      </c>
      <c r="JQ329" s="235">
        <f t="shared" si="187"/>
        <v>0</v>
      </c>
      <c r="JR329" s="235">
        <f t="shared" si="188"/>
        <v>0</v>
      </c>
      <c r="JS329" s="235">
        <f t="shared" si="189"/>
        <v>0</v>
      </c>
      <c r="JT329" s="235">
        <f t="shared" si="190"/>
        <v>0</v>
      </c>
      <c r="JU329" s="235">
        <f t="shared" si="191"/>
        <v>0</v>
      </c>
      <c r="JV329" s="235">
        <f t="shared" si="192"/>
        <v>0</v>
      </c>
      <c r="JW329" s="235">
        <f t="shared" si="193"/>
        <v>0</v>
      </c>
      <c r="JX329" s="235">
        <f t="shared" si="194"/>
        <v>0</v>
      </c>
      <c r="JY329" s="235">
        <f t="shared" si="195"/>
        <v>0</v>
      </c>
      <c r="JZ329" s="235">
        <f t="shared" si="196"/>
        <v>0</v>
      </c>
      <c r="KA329" s="237">
        <f t="shared" si="197"/>
        <v>0</v>
      </c>
      <c r="KB329" s="248">
        <v>46347</v>
      </c>
    </row>
    <row r="330" spans="1:288">
      <c r="A330" s="207">
        <v>46348</v>
      </c>
      <c r="JF330" s="236">
        <f t="shared" si="176"/>
        <v>0</v>
      </c>
      <c r="JG330" s="235">
        <f t="shared" si="177"/>
        <v>0</v>
      </c>
      <c r="JH330" s="235">
        <f t="shared" si="178"/>
        <v>0</v>
      </c>
      <c r="JI330" s="235">
        <f t="shared" si="179"/>
        <v>0</v>
      </c>
      <c r="JJ330" s="235">
        <f t="shared" si="180"/>
        <v>0</v>
      </c>
      <c r="JK330" s="235">
        <f t="shared" si="181"/>
        <v>0</v>
      </c>
      <c r="JL330" s="235">
        <f t="shared" si="182"/>
        <v>0</v>
      </c>
      <c r="JM330" s="235">
        <f t="shared" si="183"/>
        <v>0</v>
      </c>
      <c r="JN330" s="235">
        <f t="shared" si="184"/>
        <v>0</v>
      </c>
      <c r="JO330" s="235">
        <f t="shared" si="185"/>
        <v>0</v>
      </c>
      <c r="JP330" s="235">
        <f t="shared" si="186"/>
        <v>0</v>
      </c>
      <c r="JQ330" s="235">
        <f t="shared" si="187"/>
        <v>0</v>
      </c>
      <c r="JR330" s="235">
        <f t="shared" si="188"/>
        <v>0</v>
      </c>
      <c r="JS330" s="235">
        <f t="shared" si="189"/>
        <v>0</v>
      </c>
      <c r="JT330" s="235">
        <f t="shared" si="190"/>
        <v>0</v>
      </c>
      <c r="JU330" s="235">
        <f t="shared" si="191"/>
        <v>0</v>
      </c>
      <c r="JV330" s="235">
        <f t="shared" si="192"/>
        <v>0</v>
      </c>
      <c r="JW330" s="235">
        <f t="shared" si="193"/>
        <v>0</v>
      </c>
      <c r="JX330" s="235">
        <f t="shared" si="194"/>
        <v>0</v>
      </c>
      <c r="JY330" s="235">
        <f t="shared" si="195"/>
        <v>0</v>
      </c>
      <c r="JZ330" s="235">
        <f t="shared" si="196"/>
        <v>0</v>
      </c>
      <c r="KA330" s="237">
        <f t="shared" si="197"/>
        <v>0</v>
      </c>
      <c r="KB330" s="248">
        <v>46348</v>
      </c>
    </row>
    <row r="331" spans="1:288">
      <c r="A331" s="207">
        <v>46349</v>
      </c>
      <c r="JF331" s="236">
        <f t="shared" si="176"/>
        <v>0</v>
      </c>
      <c r="JG331" s="235">
        <f t="shared" si="177"/>
        <v>0</v>
      </c>
      <c r="JH331" s="235">
        <f t="shared" si="178"/>
        <v>0</v>
      </c>
      <c r="JI331" s="235">
        <f t="shared" si="179"/>
        <v>0</v>
      </c>
      <c r="JJ331" s="235">
        <f t="shared" si="180"/>
        <v>0</v>
      </c>
      <c r="JK331" s="235">
        <f t="shared" si="181"/>
        <v>0</v>
      </c>
      <c r="JL331" s="235">
        <f t="shared" si="182"/>
        <v>0</v>
      </c>
      <c r="JM331" s="235">
        <f t="shared" si="183"/>
        <v>0</v>
      </c>
      <c r="JN331" s="235">
        <f t="shared" si="184"/>
        <v>0</v>
      </c>
      <c r="JO331" s="235">
        <f t="shared" si="185"/>
        <v>0</v>
      </c>
      <c r="JP331" s="235">
        <f t="shared" si="186"/>
        <v>0</v>
      </c>
      <c r="JQ331" s="235">
        <f t="shared" si="187"/>
        <v>0</v>
      </c>
      <c r="JR331" s="235">
        <f t="shared" si="188"/>
        <v>0</v>
      </c>
      <c r="JS331" s="235">
        <f t="shared" si="189"/>
        <v>0</v>
      </c>
      <c r="JT331" s="235">
        <f t="shared" si="190"/>
        <v>0</v>
      </c>
      <c r="JU331" s="235">
        <f t="shared" si="191"/>
        <v>0</v>
      </c>
      <c r="JV331" s="235">
        <f t="shared" si="192"/>
        <v>0</v>
      </c>
      <c r="JW331" s="235">
        <f t="shared" si="193"/>
        <v>0</v>
      </c>
      <c r="JX331" s="235">
        <f t="shared" si="194"/>
        <v>0</v>
      </c>
      <c r="JY331" s="235">
        <f t="shared" si="195"/>
        <v>0</v>
      </c>
      <c r="JZ331" s="235">
        <f t="shared" si="196"/>
        <v>0</v>
      </c>
      <c r="KA331" s="237">
        <f t="shared" si="197"/>
        <v>0</v>
      </c>
      <c r="KB331" s="248">
        <v>46349</v>
      </c>
    </row>
    <row r="332" spans="1:288">
      <c r="A332" s="207">
        <v>46350</v>
      </c>
      <c r="JF332" s="236">
        <f t="shared" si="176"/>
        <v>0</v>
      </c>
      <c r="JG332" s="235">
        <f t="shared" si="177"/>
        <v>0</v>
      </c>
      <c r="JH332" s="235">
        <f t="shared" si="178"/>
        <v>0</v>
      </c>
      <c r="JI332" s="235">
        <f t="shared" si="179"/>
        <v>0</v>
      </c>
      <c r="JJ332" s="235">
        <f t="shared" si="180"/>
        <v>0</v>
      </c>
      <c r="JK332" s="235">
        <f t="shared" si="181"/>
        <v>0</v>
      </c>
      <c r="JL332" s="235">
        <f t="shared" si="182"/>
        <v>0</v>
      </c>
      <c r="JM332" s="235">
        <f t="shared" si="183"/>
        <v>0</v>
      </c>
      <c r="JN332" s="235">
        <f t="shared" si="184"/>
        <v>0</v>
      </c>
      <c r="JO332" s="235">
        <f t="shared" si="185"/>
        <v>0</v>
      </c>
      <c r="JP332" s="235">
        <f t="shared" si="186"/>
        <v>0</v>
      </c>
      <c r="JQ332" s="235">
        <f t="shared" si="187"/>
        <v>0</v>
      </c>
      <c r="JR332" s="235">
        <f t="shared" si="188"/>
        <v>0</v>
      </c>
      <c r="JS332" s="235">
        <f t="shared" si="189"/>
        <v>0</v>
      </c>
      <c r="JT332" s="235">
        <f t="shared" si="190"/>
        <v>0</v>
      </c>
      <c r="JU332" s="235">
        <f t="shared" si="191"/>
        <v>0</v>
      </c>
      <c r="JV332" s="235">
        <f t="shared" si="192"/>
        <v>0</v>
      </c>
      <c r="JW332" s="235">
        <f t="shared" si="193"/>
        <v>0</v>
      </c>
      <c r="JX332" s="235">
        <f t="shared" si="194"/>
        <v>0</v>
      </c>
      <c r="JY332" s="235">
        <f t="shared" si="195"/>
        <v>0</v>
      </c>
      <c r="JZ332" s="235">
        <f t="shared" si="196"/>
        <v>0</v>
      </c>
      <c r="KA332" s="237">
        <f t="shared" si="197"/>
        <v>0</v>
      </c>
      <c r="KB332" s="248">
        <v>46350</v>
      </c>
    </row>
    <row r="333" spans="1:288">
      <c r="A333" s="207">
        <v>46351</v>
      </c>
      <c r="JF333" s="236">
        <f t="shared" si="176"/>
        <v>0</v>
      </c>
      <c r="JG333" s="235">
        <f t="shared" si="177"/>
        <v>0</v>
      </c>
      <c r="JH333" s="235">
        <f t="shared" si="178"/>
        <v>0</v>
      </c>
      <c r="JI333" s="235">
        <f t="shared" si="179"/>
        <v>0</v>
      </c>
      <c r="JJ333" s="235">
        <f t="shared" si="180"/>
        <v>0</v>
      </c>
      <c r="JK333" s="235">
        <f t="shared" si="181"/>
        <v>0</v>
      </c>
      <c r="JL333" s="235">
        <f t="shared" si="182"/>
        <v>0</v>
      </c>
      <c r="JM333" s="235">
        <f t="shared" si="183"/>
        <v>0</v>
      </c>
      <c r="JN333" s="235">
        <f t="shared" si="184"/>
        <v>0</v>
      </c>
      <c r="JO333" s="235">
        <f t="shared" si="185"/>
        <v>0</v>
      </c>
      <c r="JP333" s="235">
        <f t="shared" si="186"/>
        <v>0</v>
      </c>
      <c r="JQ333" s="235">
        <f t="shared" si="187"/>
        <v>0</v>
      </c>
      <c r="JR333" s="235">
        <f t="shared" si="188"/>
        <v>0</v>
      </c>
      <c r="JS333" s="235">
        <f t="shared" si="189"/>
        <v>0</v>
      </c>
      <c r="JT333" s="235">
        <f t="shared" si="190"/>
        <v>0</v>
      </c>
      <c r="JU333" s="235">
        <f t="shared" si="191"/>
        <v>0</v>
      </c>
      <c r="JV333" s="235">
        <f t="shared" si="192"/>
        <v>0</v>
      </c>
      <c r="JW333" s="235">
        <f t="shared" si="193"/>
        <v>0</v>
      </c>
      <c r="JX333" s="235">
        <f t="shared" si="194"/>
        <v>0</v>
      </c>
      <c r="JY333" s="235">
        <f t="shared" si="195"/>
        <v>0</v>
      </c>
      <c r="JZ333" s="235">
        <f t="shared" si="196"/>
        <v>0</v>
      </c>
      <c r="KA333" s="237">
        <f t="shared" si="197"/>
        <v>0</v>
      </c>
      <c r="KB333" s="248">
        <v>46351</v>
      </c>
    </row>
    <row r="334" spans="1:288">
      <c r="A334" s="207">
        <v>46352</v>
      </c>
      <c r="JF334" s="236">
        <f t="shared" si="176"/>
        <v>0</v>
      </c>
      <c r="JG334" s="235">
        <f t="shared" si="177"/>
        <v>0</v>
      </c>
      <c r="JH334" s="235">
        <f t="shared" si="178"/>
        <v>0</v>
      </c>
      <c r="JI334" s="235">
        <f t="shared" si="179"/>
        <v>0</v>
      </c>
      <c r="JJ334" s="235">
        <f t="shared" si="180"/>
        <v>0</v>
      </c>
      <c r="JK334" s="235">
        <f t="shared" si="181"/>
        <v>0</v>
      </c>
      <c r="JL334" s="235">
        <f t="shared" si="182"/>
        <v>0</v>
      </c>
      <c r="JM334" s="235">
        <f t="shared" si="183"/>
        <v>0</v>
      </c>
      <c r="JN334" s="235">
        <f t="shared" si="184"/>
        <v>0</v>
      </c>
      <c r="JO334" s="235">
        <f t="shared" si="185"/>
        <v>0</v>
      </c>
      <c r="JP334" s="235">
        <f t="shared" si="186"/>
        <v>0</v>
      </c>
      <c r="JQ334" s="235">
        <f t="shared" si="187"/>
        <v>0</v>
      </c>
      <c r="JR334" s="235">
        <f t="shared" si="188"/>
        <v>0</v>
      </c>
      <c r="JS334" s="235">
        <f t="shared" si="189"/>
        <v>0</v>
      </c>
      <c r="JT334" s="235">
        <f t="shared" si="190"/>
        <v>0</v>
      </c>
      <c r="JU334" s="235">
        <f t="shared" si="191"/>
        <v>0</v>
      </c>
      <c r="JV334" s="235">
        <f t="shared" si="192"/>
        <v>0</v>
      </c>
      <c r="JW334" s="235">
        <f t="shared" si="193"/>
        <v>0</v>
      </c>
      <c r="JX334" s="235">
        <f t="shared" si="194"/>
        <v>0</v>
      </c>
      <c r="JY334" s="235">
        <f t="shared" si="195"/>
        <v>0</v>
      </c>
      <c r="JZ334" s="235">
        <f t="shared" si="196"/>
        <v>0</v>
      </c>
      <c r="KA334" s="237">
        <f t="shared" si="197"/>
        <v>0</v>
      </c>
      <c r="KB334" s="248">
        <v>46352</v>
      </c>
    </row>
    <row r="335" spans="1:288">
      <c r="A335" s="207">
        <v>46353</v>
      </c>
      <c r="JF335" s="236">
        <f t="shared" si="176"/>
        <v>0</v>
      </c>
      <c r="JG335" s="235">
        <f t="shared" si="177"/>
        <v>0</v>
      </c>
      <c r="JH335" s="235">
        <f t="shared" si="178"/>
        <v>0</v>
      </c>
      <c r="JI335" s="235">
        <f t="shared" si="179"/>
        <v>0</v>
      </c>
      <c r="JJ335" s="235">
        <f t="shared" si="180"/>
        <v>0</v>
      </c>
      <c r="JK335" s="235">
        <f t="shared" si="181"/>
        <v>0</v>
      </c>
      <c r="JL335" s="235">
        <f t="shared" si="182"/>
        <v>0</v>
      </c>
      <c r="JM335" s="235">
        <f t="shared" si="183"/>
        <v>0</v>
      </c>
      <c r="JN335" s="235">
        <f t="shared" si="184"/>
        <v>0</v>
      </c>
      <c r="JO335" s="235">
        <f t="shared" si="185"/>
        <v>0</v>
      </c>
      <c r="JP335" s="235">
        <f t="shared" si="186"/>
        <v>0</v>
      </c>
      <c r="JQ335" s="235">
        <f t="shared" si="187"/>
        <v>0</v>
      </c>
      <c r="JR335" s="235">
        <f t="shared" si="188"/>
        <v>0</v>
      </c>
      <c r="JS335" s="235">
        <f t="shared" si="189"/>
        <v>0</v>
      </c>
      <c r="JT335" s="235">
        <f t="shared" si="190"/>
        <v>0</v>
      </c>
      <c r="JU335" s="235">
        <f t="shared" si="191"/>
        <v>0</v>
      </c>
      <c r="JV335" s="235">
        <f t="shared" si="192"/>
        <v>0</v>
      </c>
      <c r="JW335" s="235">
        <f t="shared" si="193"/>
        <v>0</v>
      </c>
      <c r="JX335" s="235">
        <f t="shared" si="194"/>
        <v>0</v>
      </c>
      <c r="JY335" s="235">
        <f t="shared" si="195"/>
        <v>0</v>
      </c>
      <c r="JZ335" s="235">
        <f t="shared" si="196"/>
        <v>0</v>
      </c>
      <c r="KA335" s="237">
        <f t="shared" si="197"/>
        <v>0</v>
      </c>
      <c r="KB335" s="248">
        <v>46353</v>
      </c>
    </row>
    <row r="336" spans="1:288">
      <c r="A336" s="207">
        <v>46354</v>
      </c>
      <c r="JF336" s="236">
        <f t="shared" si="176"/>
        <v>0</v>
      </c>
      <c r="JG336" s="235">
        <f t="shared" si="177"/>
        <v>0</v>
      </c>
      <c r="JH336" s="235">
        <f t="shared" si="178"/>
        <v>0</v>
      </c>
      <c r="JI336" s="235">
        <f t="shared" si="179"/>
        <v>0</v>
      </c>
      <c r="JJ336" s="235">
        <f t="shared" si="180"/>
        <v>0</v>
      </c>
      <c r="JK336" s="235">
        <f t="shared" si="181"/>
        <v>0</v>
      </c>
      <c r="JL336" s="235">
        <f t="shared" si="182"/>
        <v>0</v>
      </c>
      <c r="JM336" s="235">
        <f t="shared" si="183"/>
        <v>0</v>
      </c>
      <c r="JN336" s="235">
        <f t="shared" si="184"/>
        <v>0</v>
      </c>
      <c r="JO336" s="235">
        <f t="shared" si="185"/>
        <v>0</v>
      </c>
      <c r="JP336" s="235">
        <f t="shared" si="186"/>
        <v>0</v>
      </c>
      <c r="JQ336" s="235">
        <f t="shared" si="187"/>
        <v>0</v>
      </c>
      <c r="JR336" s="235">
        <f t="shared" si="188"/>
        <v>0</v>
      </c>
      <c r="JS336" s="235">
        <f t="shared" si="189"/>
        <v>0</v>
      </c>
      <c r="JT336" s="235">
        <f t="shared" si="190"/>
        <v>0</v>
      </c>
      <c r="JU336" s="235">
        <f t="shared" si="191"/>
        <v>0</v>
      </c>
      <c r="JV336" s="235">
        <f t="shared" si="192"/>
        <v>0</v>
      </c>
      <c r="JW336" s="235">
        <f t="shared" si="193"/>
        <v>0</v>
      </c>
      <c r="JX336" s="235">
        <f t="shared" si="194"/>
        <v>0</v>
      </c>
      <c r="JY336" s="235">
        <f t="shared" si="195"/>
        <v>0</v>
      </c>
      <c r="JZ336" s="235">
        <f t="shared" si="196"/>
        <v>0</v>
      </c>
      <c r="KA336" s="237">
        <f t="shared" si="197"/>
        <v>0</v>
      </c>
      <c r="KB336" s="248">
        <v>46354</v>
      </c>
    </row>
    <row r="337" spans="1:288">
      <c r="A337" s="207">
        <v>46355</v>
      </c>
      <c r="JF337" s="236">
        <f t="shared" si="176"/>
        <v>0</v>
      </c>
      <c r="JG337" s="235">
        <f t="shared" si="177"/>
        <v>0</v>
      </c>
      <c r="JH337" s="235">
        <f t="shared" si="178"/>
        <v>0</v>
      </c>
      <c r="JI337" s="235">
        <f t="shared" si="179"/>
        <v>0</v>
      </c>
      <c r="JJ337" s="235">
        <f t="shared" si="180"/>
        <v>0</v>
      </c>
      <c r="JK337" s="235">
        <f t="shared" si="181"/>
        <v>0</v>
      </c>
      <c r="JL337" s="235">
        <f t="shared" si="182"/>
        <v>0</v>
      </c>
      <c r="JM337" s="235">
        <f t="shared" si="183"/>
        <v>0</v>
      </c>
      <c r="JN337" s="235">
        <f t="shared" si="184"/>
        <v>0</v>
      </c>
      <c r="JO337" s="235">
        <f t="shared" si="185"/>
        <v>0</v>
      </c>
      <c r="JP337" s="235">
        <f t="shared" si="186"/>
        <v>0</v>
      </c>
      <c r="JQ337" s="235">
        <f t="shared" si="187"/>
        <v>0</v>
      </c>
      <c r="JR337" s="235">
        <f t="shared" si="188"/>
        <v>0</v>
      </c>
      <c r="JS337" s="235">
        <f t="shared" si="189"/>
        <v>0</v>
      </c>
      <c r="JT337" s="235">
        <f t="shared" si="190"/>
        <v>0</v>
      </c>
      <c r="JU337" s="235">
        <f t="shared" si="191"/>
        <v>0</v>
      </c>
      <c r="JV337" s="235">
        <f t="shared" si="192"/>
        <v>0</v>
      </c>
      <c r="JW337" s="235">
        <f t="shared" si="193"/>
        <v>0</v>
      </c>
      <c r="JX337" s="235">
        <f t="shared" si="194"/>
        <v>0</v>
      </c>
      <c r="JY337" s="235">
        <f t="shared" si="195"/>
        <v>0</v>
      </c>
      <c r="JZ337" s="235">
        <f t="shared" si="196"/>
        <v>0</v>
      </c>
      <c r="KA337" s="237">
        <f t="shared" si="197"/>
        <v>0</v>
      </c>
      <c r="KB337" s="248">
        <v>46355</v>
      </c>
    </row>
    <row r="338" spans="1:288">
      <c r="A338" s="207">
        <v>46356</v>
      </c>
      <c r="JF338" s="236">
        <f t="shared" si="176"/>
        <v>0</v>
      </c>
      <c r="JG338" s="235">
        <f t="shared" si="177"/>
        <v>0</v>
      </c>
      <c r="JH338" s="235">
        <f t="shared" si="178"/>
        <v>0</v>
      </c>
      <c r="JI338" s="235">
        <f t="shared" si="179"/>
        <v>0</v>
      </c>
      <c r="JJ338" s="235">
        <f t="shared" si="180"/>
        <v>0</v>
      </c>
      <c r="JK338" s="235">
        <f t="shared" si="181"/>
        <v>0</v>
      </c>
      <c r="JL338" s="235">
        <f t="shared" si="182"/>
        <v>0</v>
      </c>
      <c r="JM338" s="235">
        <f t="shared" si="183"/>
        <v>0</v>
      </c>
      <c r="JN338" s="235">
        <f t="shared" si="184"/>
        <v>0</v>
      </c>
      <c r="JO338" s="235">
        <f t="shared" si="185"/>
        <v>0</v>
      </c>
      <c r="JP338" s="235">
        <f t="shared" si="186"/>
        <v>0</v>
      </c>
      <c r="JQ338" s="235">
        <f t="shared" si="187"/>
        <v>0</v>
      </c>
      <c r="JR338" s="235">
        <f t="shared" si="188"/>
        <v>0</v>
      </c>
      <c r="JS338" s="235">
        <f t="shared" si="189"/>
        <v>0</v>
      </c>
      <c r="JT338" s="235">
        <f t="shared" si="190"/>
        <v>0</v>
      </c>
      <c r="JU338" s="235">
        <f t="shared" si="191"/>
        <v>0</v>
      </c>
      <c r="JV338" s="235">
        <f t="shared" si="192"/>
        <v>0</v>
      </c>
      <c r="JW338" s="235">
        <f t="shared" si="193"/>
        <v>0</v>
      </c>
      <c r="JX338" s="235">
        <f t="shared" si="194"/>
        <v>0</v>
      </c>
      <c r="JY338" s="235">
        <f t="shared" si="195"/>
        <v>0</v>
      </c>
      <c r="JZ338" s="235">
        <f t="shared" si="196"/>
        <v>0</v>
      </c>
      <c r="KA338" s="237">
        <f t="shared" si="197"/>
        <v>0</v>
      </c>
      <c r="KB338" s="248">
        <v>46356</v>
      </c>
    </row>
    <row r="339" spans="1:288">
      <c r="A339" s="207">
        <v>46357</v>
      </c>
      <c r="JF339" s="236">
        <f t="shared" si="176"/>
        <v>0</v>
      </c>
      <c r="JG339" s="235">
        <f t="shared" si="177"/>
        <v>0</v>
      </c>
      <c r="JH339" s="235">
        <f t="shared" si="178"/>
        <v>0</v>
      </c>
      <c r="JI339" s="235">
        <f t="shared" si="179"/>
        <v>0</v>
      </c>
      <c r="JJ339" s="235">
        <f t="shared" si="180"/>
        <v>0</v>
      </c>
      <c r="JK339" s="235">
        <f t="shared" si="181"/>
        <v>0</v>
      </c>
      <c r="JL339" s="235">
        <f t="shared" si="182"/>
        <v>0</v>
      </c>
      <c r="JM339" s="235">
        <f t="shared" si="183"/>
        <v>0</v>
      </c>
      <c r="JN339" s="235">
        <f t="shared" si="184"/>
        <v>0</v>
      </c>
      <c r="JO339" s="235">
        <f t="shared" si="185"/>
        <v>0</v>
      </c>
      <c r="JP339" s="235">
        <f t="shared" si="186"/>
        <v>0</v>
      </c>
      <c r="JQ339" s="235">
        <f t="shared" si="187"/>
        <v>0</v>
      </c>
      <c r="JR339" s="235">
        <f t="shared" si="188"/>
        <v>0</v>
      </c>
      <c r="JS339" s="235">
        <f t="shared" si="189"/>
        <v>0</v>
      </c>
      <c r="JT339" s="235">
        <f t="shared" si="190"/>
        <v>0</v>
      </c>
      <c r="JU339" s="235">
        <f t="shared" si="191"/>
        <v>0</v>
      </c>
      <c r="JV339" s="235">
        <f t="shared" si="192"/>
        <v>0</v>
      </c>
      <c r="JW339" s="235">
        <f t="shared" si="193"/>
        <v>0</v>
      </c>
      <c r="JX339" s="235">
        <f t="shared" si="194"/>
        <v>0</v>
      </c>
      <c r="JY339" s="235">
        <f t="shared" si="195"/>
        <v>0</v>
      </c>
      <c r="JZ339" s="235">
        <f t="shared" si="196"/>
        <v>0</v>
      </c>
      <c r="KA339" s="237">
        <f t="shared" si="197"/>
        <v>0</v>
      </c>
      <c r="KB339" s="248">
        <v>46357</v>
      </c>
    </row>
    <row r="340" spans="1:288">
      <c r="A340" s="207">
        <v>46358</v>
      </c>
      <c r="JF340" s="236">
        <f t="shared" si="176"/>
        <v>0</v>
      </c>
      <c r="JG340" s="235">
        <f t="shared" si="177"/>
        <v>0</v>
      </c>
      <c r="JH340" s="235">
        <f t="shared" si="178"/>
        <v>0</v>
      </c>
      <c r="JI340" s="235">
        <f t="shared" si="179"/>
        <v>0</v>
      </c>
      <c r="JJ340" s="235">
        <f t="shared" si="180"/>
        <v>0</v>
      </c>
      <c r="JK340" s="235">
        <f t="shared" si="181"/>
        <v>0</v>
      </c>
      <c r="JL340" s="235">
        <f t="shared" si="182"/>
        <v>0</v>
      </c>
      <c r="JM340" s="235">
        <f t="shared" si="183"/>
        <v>0</v>
      </c>
      <c r="JN340" s="235">
        <f t="shared" si="184"/>
        <v>0</v>
      </c>
      <c r="JO340" s="235">
        <f t="shared" si="185"/>
        <v>0</v>
      </c>
      <c r="JP340" s="235">
        <f t="shared" si="186"/>
        <v>0</v>
      </c>
      <c r="JQ340" s="235">
        <f t="shared" si="187"/>
        <v>0</v>
      </c>
      <c r="JR340" s="235">
        <f t="shared" si="188"/>
        <v>0</v>
      </c>
      <c r="JS340" s="235">
        <f t="shared" si="189"/>
        <v>0</v>
      </c>
      <c r="JT340" s="235">
        <f t="shared" si="190"/>
        <v>0</v>
      </c>
      <c r="JU340" s="235">
        <f t="shared" si="191"/>
        <v>0</v>
      </c>
      <c r="JV340" s="235">
        <f t="shared" si="192"/>
        <v>0</v>
      </c>
      <c r="JW340" s="235">
        <f t="shared" si="193"/>
        <v>0</v>
      </c>
      <c r="JX340" s="235">
        <f t="shared" si="194"/>
        <v>0</v>
      </c>
      <c r="JY340" s="235">
        <f t="shared" si="195"/>
        <v>0</v>
      </c>
      <c r="JZ340" s="235">
        <f t="shared" si="196"/>
        <v>0</v>
      </c>
      <c r="KA340" s="237">
        <f t="shared" si="197"/>
        <v>0</v>
      </c>
      <c r="KB340" s="248">
        <v>46358</v>
      </c>
    </row>
    <row r="341" spans="1:288">
      <c r="A341" s="207">
        <v>46359</v>
      </c>
      <c r="JF341" s="236">
        <f t="shared" si="176"/>
        <v>0</v>
      </c>
      <c r="JG341" s="235">
        <f t="shared" si="177"/>
        <v>0</v>
      </c>
      <c r="JH341" s="235">
        <f t="shared" si="178"/>
        <v>0</v>
      </c>
      <c r="JI341" s="235">
        <f t="shared" si="179"/>
        <v>0</v>
      </c>
      <c r="JJ341" s="235">
        <f t="shared" si="180"/>
        <v>0</v>
      </c>
      <c r="JK341" s="235">
        <f t="shared" si="181"/>
        <v>0</v>
      </c>
      <c r="JL341" s="235">
        <f t="shared" si="182"/>
        <v>0</v>
      </c>
      <c r="JM341" s="235">
        <f t="shared" si="183"/>
        <v>0</v>
      </c>
      <c r="JN341" s="235">
        <f t="shared" si="184"/>
        <v>0</v>
      </c>
      <c r="JO341" s="235">
        <f t="shared" si="185"/>
        <v>0</v>
      </c>
      <c r="JP341" s="235">
        <f t="shared" si="186"/>
        <v>0</v>
      </c>
      <c r="JQ341" s="235">
        <f t="shared" si="187"/>
        <v>0</v>
      </c>
      <c r="JR341" s="235">
        <f t="shared" si="188"/>
        <v>0</v>
      </c>
      <c r="JS341" s="235">
        <f t="shared" si="189"/>
        <v>0</v>
      </c>
      <c r="JT341" s="235">
        <f t="shared" si="190"/>
        <v>0</v>
      </c>
      <c r="JU341" s="235">
        <f t="shared" si="191"/>
        <v>0</v>
      </c>
      <c r="JV341" s="235">
        <f t="shared" si="192"/>
        <v>0</v>
      </c>
      <c r="JW341" s="235">
        <f t="shared" si="193"/>
        <v>0</v>
      </c>
      <c r="JX341" s="235">
        <f t="shared" si="194"/>
        <v>0</v>
      </c>
      <c r="JY341" s="235">
        <f t="shared" si="195"/>
        <v>0</v>
      </c>
      <c r="JZ341" s="235">
        <f t="shared" si="196"/>
        <v>0</v>
      </c>
      <c r="KA341" s="237">
        <f t="shared" si="197"/>
        <v>0</v>
      </c>
      <c r="KB341" s="248">
        <v>46359</v>
      </c>
    </row>
    <row r="342" spans="1:288">
      <c r="A342" s="207">
        <v>46360</v>
      </c>
      <c r="JF342" s="236">
        <f t="shared" si="176"/>
        <v>0</v>
      </c>
      <c r="JG342" s="235">
        <f t="shared" si="177"/>
        <v>0</v>
      </c>
      <c r="JH342" s="235">
        <f t="shared" si="178"/>
        <v>0</v>
      </c>
      <c r="JI342" s="235">
        <f t="shared" si="179"/>
        <v>0</v>
      </c>
      <c r="JJ342" s="235">
        <f t="shared" si="180"/>
        <v>0</v>
      </c>
      <c r="JK342" s="235">
        <f t="shared" si="181"/>
        <v>0</v>
      </c>
      <c r="JL342" s="235">
        <f t="shared" si="182"/>
        <v>0</v>
      </c>
      <c r="JM342" s="235">
        <f t="shared" si="183"/>
        <v>0</v>
      </c>
      <c r="JN342" s="235">
        <f t="shared" si="184"/>
        <v>0</v>
      </c>
      <c r="JO342" s="235">
        <f t="shared" si="185"/>
        <v>0</v>
      </c>
      <c r="JP342" s="235">
        <f t="shared" si="186"/>
        <v>0</v>
      </c>
      <c r="JQ342" s="235">
        <f t="shared" si="187"/>
        <v>0</v>
      </c>
      <c r="JR342" s="235">
        <f t="shared" si="188"/>
        <v>0</v>
      </c>
      <c r="JS342" s="235">
        <f t="shared" si="189"/>
        <v>0</v>
      </c>
      <c r="JT342" s="235">
        <f t="shared" si="190"/>
        <v>0</v>
      </c>
      <c r="JU342" s="235">
        <f t="shared" si="191"/>
        <v>0</v>
      </c>
      <c r="JV342" s="235">
        <f t="shared" si="192"/>
        <v>0</v>
      </c>
      <c r="JW342" s="235">
        <f t="shared" si="193"/>
        <v>0</v>
      </c>
      <c r="JX342" s="235">
        <f t="shared" si="194"/>
        <v>0</v>
      </c>
      <c r="JY342" s="235">
        <f t="shared" si="195"/>
        <v>0</v>
      </c>
      <c r="JZ342" s="235">
        <f t="shared" si="196"/>
        <v>0</v>
      </c>
      <c r="KA342" s="237">
        <f t="shared" si="197"/>
        <v>0</v>
      </c>
      <c r="KB342" s="248">
        <v>46360</v>
      </c>
    </row>
    <row r="343" spans="1:288">
      <c r="A343" s="207">
        <v>46361</v>
      </c>
      <c r="JF343" s="236">
        <f t="shared" si="176"/>
        <v>0</v>
      </c>
      <c r="JG343" s="235">
        <f t="shared" si="177"/>
        <v>0</v>
      </c>
      <c r="JH343" s="235">
        <f t="shared" si="178"/>
        <v>0</v>
      </c>
      <c r="JI343" s="235">
        <f t="shared" si="179"/>
        <v>0</v>
      </c>
      <c r="JJ343" s="235">
        <f t="shared" si="180"/>
        <v>0</v>
      </c>
      <c r="JK343" s="235">
        <f t="shared" si="181"/>
        <v>0</v>
      </c>
      <c r="JL343" s="235">
        <f t="shared" si="182"/>
        <v>0</v>
      </c>
      <c r="JM343" s="235">
        <f t="shared" si="183"/>
        <v>0</v>
      </c>
      <c r="JN343" s="235">
        <f t="shared" si="184"/>
        <v>0</v>
      </c>
      <c r="JO343" s="235">
        <f t="shared" si="185"/>
        <v>0</v>
      </c>
      <c r="JP343" s="235">
        <f t="shared" si="186"/>
        <v>0</v>
      </c>
      <c r="JQ343" s="235">
        <f t="shared" si="187"/>
        <v>0</v>
      </c>
      <c r="JR343" s="235">
        <f t="shared" si="188"/>
        <v>0</v>
      </c>
      <c r="JS343" s="235">
        <f t="shared" si="189"/>
        <v>0</v>
      </c>
      <c r="JT343" s="235">
        <f t="shared" si="190"/>
        <v>0</v>
      </c>
      <c r="JU343" s="235">
        <f t="shared" si="191"/>
        <v>0</v>
      </c>
      <c r="JV343" s="235">
        <f t="shared" si="192"/>
        <v>0</v>
      </c>
      <c r="JW343" s="235">
        <f t="shared" si="193"/>
        <v>0</v>
      </c>
      <c r="JX343" s="235">
        <f t="shared" si="194"/>
        <v>0</v>
      </c>
      <c r="JY343" s="235">
        <f t="shared" si="195"/>
        <v>0</v>
      </c>
      <c r="JZ343" s="235">
        <f t="shared" si="196"/>
        <v>0</v>
      </c>
      <c r="KA343" s="237">
        <f t="shared" si="197"/>
        <v>0</v>
      </c>
      <c r="KB343" s="248">
        <v>46361</v>
      </c>
    </row>
    <row r="344" spans="1:288">
      <c r="A344" s="207">
        <v>46362</v>
      </c>
      <c r="JF344" s="236">
        <f t="shared" si="176"/>
        <v>0</v>
      </c>
      <c r="JG344" s="235">
        <f t="shared" si="177"/>
        <v>0</v>
      </c>
      <c r="JH344" s="235">
        <f t="shared" si="178"/>
        <v>0</v>
      </c>
      <c r="JI344" s="235">
        <f t="shared" si="179"/>
        <v>0</v>
      </c>
      <c r="JJ344" s="235">
        <f t="shared" si="180"/>
        <v>0</v>
      </c>
      <c r="JK344" s="235">
        <f t="shared" si="181"/>
        <v>0</v>
      </c>
      <c r="JL344" s="235">
        <f t="shared" si="182"/>
        <v>0</v>
      </c>
      <c r="JM344" s="235">
        <f t="shared" si="183"/>
        <v>0</v>
      </c>
      <c r="JN344" s="235">
        <f t="shared" si="184"/>
        <v>0</v>
      </c>
      <c r="JO344" s="235">
        <f t="shared" si="185"/>
        <v>0</v>
      </c>
      <c r="JP344" s="235">
        <f t="shared" si="186"/>
        <v>0</v>
      </c>
      <c r="JQ344" s="235">
        <f t="shared" si="187"/>
        <v>0</v>
      </c>
      <c r="JR344" s="235">
        <f t="shared" si="188"/>
        <v>0</v>
      </c>
      <c r="JS344" s="235">
        <f t="shared" si="189"/>
        <v>0</v>
      </c>
      <c r="JT344" s="235">
        <f t="shared" si="190"/>
        <v>0</v>
      </c>
      <c r="JU344" s="235">
        <f t="shared" si="191"/>
        <v>0</v>
      </c>
      <c r="JV344" s="235">
        <f t="shared" si="192"/>
        <v>0</v>
      </c>
      <c r="JW344" s="235">
        <f t="shared" si="193"/>
        <v>0</v>
      </c>
      <c r="JX344" s="235">
        <f t="shared" si="194"/>
        <v>0</v>
      </c>
      <c r="JY344" s="235">
        <f t="shared" si="195"/>
        <v>0</v>
      </c>
      <c r="JZ344" s="235">
        <f t="shared" si="196"/>
        <v>0</v>
      </c>
      <c r="KA344" s="237">
        <f t="shared" si="197"/>
        <v>0</v>
      </c>
      <c r="KB344" s="248">
        <v>46362</v>
      </c>
    </row>
    <row r="345" spans="1:288">
      <c r="A345" s="207">
        <v>46363</v>
      </c>
      <c r="JF345" s="236">
        <f t="shared" si="176"/>
        <v>0</v>
      </c>
      <c r="JG345" s="235">
        <f t="shared" si="177"/>
        <v>0</v>
      </c>
      <c r="JH345" s="235">
        <f t="shared" si="178"/>
        <v>0</v>
      </c>
      <c r="JI345" s="235">
        <f t="shared" si="179"/>
        <v>0</v>
      </c>
      <c r="JJ345" s="235">
        <f t="shared" si="180"/>
        <v>0</v>
      </c>
      <c r="JK345" s="235">
        <f t="shared" si="181"/>
        <v>0</v>
      </c>
      <c r="JL345" s="235">
        <f t="shared" si="182"/>
        <v>0</v>
      </c>
      <c r="JM345" s="235">
        <f t="shared" si="183"/>
        <v>0</v>
      </c>
      <c r="JN345" s="235">
        <f t="shared" si="184"/>
        <v>0</v>
      </c>
      <c r="JO345" s="235">
        <f t="shared" si="185"/>
        <v>0</v>
      </c>
      <c r="JP345" s="235">
        <f t="shared" si="186"/>
        <v>0</v>
      </c>
      <c r="JQ345" s="235">
        <f t="shared" si="187"/>
        <v>0</v>
      </c>
      <c r="JR345" s="235">
        <f t="shared" si="188"/>
        <v>0</v>
      </c>
      <c r="JS345" s="235">
        <f t="shared" si="189"/>
        <v>0</v>
      </c>
      <c r="JT345" s="235">
        <f t="shared" si="190"/>
        <v>0</v>
      </c>
      <c r="JU345" s="235">
        <f t="shared" si="191"/>
        <v>0</v>
      </c>
      <c r="JV345" s="235">
        <f t="shared" si="192"/>
        <v>0</v>
      </c>
      <c r="JW345" s="235">
        <f t="shared" si="193"/>
        <v>0</v>
      </c>
      <c r="JX345" s="235">
        <f t="shared" si="194"/>
        <v>0</v>
      </c>
      <c r="JY345" s="235">
        <f t="shared" si="195"/>
        <v>0</v>
      </c>
      <c r="JZ345" s="235">
        <f t="shared" si="196"/>
        <v>0</v>
      </c>
      <c r="KA345" s="237">
        <f t="shared" si="197"/>
        <v>0</v>
      </c>
      <c r="KB345" s="248">
        <v>46363</v>
      </c>
    </row>
    <row r="346" spans="1:288">
      <c r="A346" s="207">
        <v>46364</v>
      </c>
      <c r="JF346" s="236">
        <f t="shared" si="176"/>
        <v>0</v>
      </c>
      <c r="JG346" s="235">
        <f t="shared" si="177"/>
        <v>0</v>
      </c>
      <c r="JH346" s="235">
        <f t="shared" si="178"/>
        <v>0</v>
      </c>
      <c r="JI346" s="235">
        <f t="shared" si="179"/>
        <v>0</v>
      </c>
      <c r="JJ346" s="235">
        <f t="shared" si="180"/>
        <v>0</v>
      </c>
      <c r="JK346" s="235">
        <f t="shared" si="181"/>
        <v>0</v>
      </c>
      <c r="JL346" s="235">
        <f t="shared" si="182"/>
        <v>0</v>
      </c>
      <c r="JM346" s="235">
        <f t="shared" si="183"/>
        <v>0</v>
      </c>
      <c r="JN346" s="235">
        <f t="shared" si="184"/>
        <v>0</v>
      </c>
      <c r="JO346" s="235">
        <f t="shared" si="185"/>
        <v>0</v>
      </c>
      <c r="JP346" s="235">
        <f t="shared" si="186"/>
        <v>0</v>
      </c>
      <c r="JQ346" s="235">
        <f t="shared" si="187"/>
        <v>0</v>
      </c>
      <c r="JR346" s="235">
        <f t="shared" si="188"/>
        <v>0</v>
      </c>
      <c r="JS346" s="235">
        <f t="shared" si="189"/>
        <v>0</v>
      </c>
      <c r="JT346" s="235">
        <f t="shared" si="190"/>
        <v>0</v>
      </c>
      <c r="JU346" s="235">
        <f t="shared" si="191"/>
        <v>0</v>
      </c>
      <c r="JV346" s="235">
        <f t="shared" si="192"/>
        <v>0</v>
      </c>
      <c r="JW346" s="235">
        <f t="shared" si="193"/>
        <v>0</v>
      </c>
      <c r="JX346" s="235">
        <f t="shared" si="194"/>
        <v>0</v>
      </c>
      <c r="JY346" s="235">
        <f t="shared" si="195"/>
        <v>0</v>
      </c>
      <c r="JZ346" s="235">
        <f t="shared" si="196"/>
        <v>0</v>
      </c>
      <c r="KA346" s="237">
        <f t="shared" si="197"/>
        <v>0</v>
      </c>
      <c r="KB346" s="248">
        <v>46364</v>
      </c>
    </row>
    <row r="347" spans="1:288">
      <c r="A347" s="207">
        <v>46365</v>
      </c>
      <c r="JF347" s="236">
        <f t="shared" si="176"/>
        <v>0</v>
      </c>
      <c r="JG347" s="235">
        <f t="shared" si="177"/>
        <v>0</v>
      </c>
      <c r="JH347" s="235">
        <f t="shared" si="178"/>
        <v>0</v>
      </c>
      <c r="JI347" s="235">
        <f t="shared" si="179"/>
        <v>0</v>
      </c>
      <c r="JJ347" s="235">
        <f t="shared" si="180"/>
        <v>0</v>
      </c>
      <c r="JK347" s="235">
        <f t="shared" si="181"/>
        <v>0</v>
      </c>
      <c r="JL347" s="235">
        <f t="shared" si="182"/>
        <v>0</v>
      </c>
      <c r="JM347" s="235">
        <f t="shared" si="183"/>
        <v>0</v>
      </c>
      <c r="JN347" s="235">
        <f t="shared" si="184"/>
        <v>0</v>
      </c>
      <c r="JO347" s="235">
        <f t="shared" si="185"/>
        <v>0</v>
      </c>
      <c r="JP347" s="235">
        <f t="shared" si="186"/>
        <v>0</v>
      </c>
      <c r="JQ347" s="235">
        <f t="shared" si="187"/>
        <v>0</v>
      </c>
      <c r="JR347" s="235">
        <f t="shared" si="188"/>
        <v>0</v>
      </c>
      <c r="JS347" s="235">
        <f t="shared" si="189"/>
        <v>0</v>
      </c>
      <c r="JT347" s="235">
        <f t="shared" si="190"/>
        <v>0</v>
      </c>
      <c r="JU347" s="235">
        <f t="shared" si="191"/>
        <v>0</v>
      </c>
      <c r="JV347" s="235">
        <f t="shared" si="192"/>
        <v>0</v>
      </c>
      <c r="JW347" s="235">
        <f t="shared" si="193"/>
        <v>0</v>
      </c>
      <c r="JX347" s="235">
        <f t="shared" si="194"/>
        <v>0</v>
      </c>
      <c r="JY347" s="235">
        <f t="shared" si="195"/>
        <v>0</v>
      </c>
      <c r="JZ347" s="235">
        <f t="shared" si="196"/>
        <v>0</v>
      </c>
      <c r="KA347" s="237">
        <f t="shared" si="197"/>
        <v>0</v>
      </c>
      <c r="KB347" s="248">
        <v>46365</v>
      </c>
    </row>
    <row r="348" spans="1:288">
      <c r="A348" s="207">
        <v>46366</v>
      </c>
      <c r="JF348" s="236">
        <f t="shared" si="176"/>
        <v>0</v>
      </c>
      <c r="JG348" s="235">
        <f t="shared" si="177"/>
        <v>0</v>
      </c>
      <c r="JH348" s="235">
        <f t="shared" si="178"/>
        <v>0</v>
      </c>
      <c r="JI348" s="235">
        <f t="shared" si="179"/>
        <v>0</v>
      </c>
      <c r="JJ348" s="235">
        <f t="shared" si="180"/>
        <v>0</v>
      </c>
      <c r="JK348" s="235">
        <f t="shared" si="181"/>
        <v>0</v>
      </c>
      <c r="JL348" s="235">
        <f t="shared" si="182"/>
        <v>0</v>
      </c>
      <c r="JM348" s="235">
        <f t="shared" si="183"/>
        <v>0</v>
      </c>
      <c r="JN348" s="235">
        <f t="shared" si="184"/>
        <v>0</v>
      </c>
      <c r="JO348" s="235">
        <f t="shared" si="185"/>
        <v>0</v>
      </c>
      <c r="JP348" s="235">
        <f t="shared" si="186"/>
        <v>0</v>
      </c>
      <c r="JQ348" s="235">
        <f t="shared" si="187"/>
        <v>0</v>
      </c>
      <c r="JR348" s="235">
        <f t="shared" si="188"/>
        <v>0</v>
      </c>
      <c r="JS348" s="235">
        <f t="shared" si="189"/>
        <v>0</v>
      </c>
      <c r="JT348" s="235">
        <f t="shared" si="190"/>
        <v>0</v>
      </c>
      <c r="JU348" s="235">
        <f t="shared" si="191"/>
        <v>0</v>
      </c>
      <c r="JV348" s="235">
        <f t="shared" si="192"/>
        <v>0</v>
      </c>
      <c r="JW348" s="235">
        <f t="shared" si="193"/>
        <v>0</v>
      </c>
      <c r="JX348" s="235">
        <f t="shared" si="194"/>
        <v>0</v>
      </c>
      <c r="JY348" s="235">
        <f t="shared" si="195"/>
        <v>0</v>
      </c>
      <c r="JZ348" s="235">
        <f t="shared" si="196"/>
        <v>0</v>
      </c>
      <c r="KA348" s="237">
        <f t="shared" si="197"/>
        <v>0</v>
      </c>
      <c r="KB348" s="248">
        <v>46366</v>
      </c>
    </row>
    <row r="349" spans="1:288">
      <c r="A349" s="207">
        <v>46367</v>
      </c>
      <c r="JF349" s="236">
        <f t="shared" si="176"/>
        <v>0</v>
      </c>
      <c r="JG349" s="235">
        <f t="shared" si="177"/>
        <v>0</v>
      </c>
      <c r="JH349" s="235">
        <f t="shared" si="178"/>
        <v>0</v>
      </c>
      <c r="JI349" s="235">
        <f t="shared" si="179"/>
        <v>0</v>
      </c>
      <c r="JJ349" s="235">
        <f t="shared" si="180"/>
        <v>0</v>
      </c>
      <c r="JK349" s="235">
        <f t="shared" si="181"/>
        <v>0</v>
      </c>
      <c r="JL349" s="235">
        <f t="shared" si="182"/>
        <v>0</v>
      </c>
      <c r="JM349" s="235">
        <f t="shared" si="183"/>
        <v>0</v>
      </c>
      <c r="JN349" s="235">
        <f t="shared" si="184"/>
        <v>0</v>
      </c>
      <c r="JO349" s="235">
        <f t="shared" si="185"/>
        <v>0</v>
      </c>
      <c r="JP349" s="235">
        <f t="shared" si="186"/>
        <v>0</v>
      </c>
      <c r="JQ349" s="235">
        <f t="shared" si="187"/>
        <v>0</v>
      </c>
      <c r="JR349" s="235">
        <f t="shared" si="188"/>
        <v>0</v>
      </c>
      <c r="JS349" s="235">
        <f t="shared" si="189"/>
        <v>0</v>
      </c>
      <c r="JT349" s="235">
        <f t="shared" si="190"/>
        <v>0</v>
      </c>
      <c r="JU349" s="235">
        <f t="shared" si="191"/>
        <v>0</v>
      </c>
      <c r="JV349" s="235">
        <f t="shared" si="192"/>
        <v>0</v>
      </c>
      <c r="JW349" s="235">
        <f t="shared" si="193"/>
        <v>0</v>
      </c>
      <c r="JX349" s="235">
        <f t="shared" si="194"/>
        <v>0</v>
      </c>
      <c r="JY349" s="235">
        <f t="shared" si="195"/>
        <v>0</v>
      </c>
      <c r="JZ349" s="235">
        <f t="shared" si="196"/>
        <v>0</v>
      </c>
      <c r="KA349" s="237">
        <f t="shared" si="197"/>
        <v>0</v>
      </c>
      <c r="KB349" s="248">
        <v>46367</v>
      </c>
    </row>
    <row r="350" spans="1:288">
      <c r="A350" s="207">
        <v>46368</v>
      </c>
      <c r="JF350" s="236">
        <f t="shared" si="176"/>
        <v>0</v>
      </c>
      <c r="JG350" s="235">
        <f t="shared" si="177"/>
        <v>0</v>
      </c>
      <c r="JH350" s="235">
        <f t="shared" si="178"/>
        <v>0</v>
      </c>
      <c r="JI350" s="235">
        <f t="shared" si="179"/>
        <v>0</v>
      </c>
      <c r="JJ350" s="235">
        <f t="shared" si="180"/>
        <v>0</v>
      </c>
      <c r="JK350" s="235">
        <f t="shared" si="181"/>
        <v>0</v>
      </c>
      <c r="JL350" s="235">
        <f t="shared" si="182"/>
        <v>0</v>
      </c>
      <c r="JM350" s="235">
        <f t="shared" si="183"/>
        <v>0</v>
      </c>
      <c r="JN350" s="235">
        <f t="shared" si="184"/>
        <v>0</v>
      </c>
      <c r="JO350" s="235">
        <f t="shared" si="185"/>
        <v>0</v>
      </c>
      <c r="JP350" s="235">
        <f t="shared" si="186"/>
        <v>0</v>
      </c>
      <c r="JQ350" s="235">
        <f t="shared" si="187"/>
        <v>0</v>
      </c>
      <c r="JR350" s="235">
        <f t="shared" si="188"/>
        <v>0</v>
      </c>
      <c r="JS350" s="235">
        <f t="shared" si="189"/>
        <v>0</v>
      </c>
      <c r="JT350" s="235">
        <f t="shared" si="190"/>
        <v>0</v>
      </c>
      <c r="JU350" s="235">
        <f t="shared" si="191"/>
        <v>0</v>
      </c>
      <c r="JV350" s="235">
        <f t="shared" si="192"/>
        <v>0</v>
      </c>
      <c r="JW350" s="235">
        <f t="shared" si="193"/>
        <v>0</v>
      </c>
      <c r="JX350" s="235">
        <f t="shared" si="194"/>
        <v>0</v>
      </c>
      <c r="JY350" s="235">
        <f t="shared" si="195"/>
        <v>0</v>
      </c>
      <c r="JZ350" s="235">
        <f t="shared" si="196"/>
        <v>0</v>
      </c>
      <c r="KA350" s="237">
        <f t="shared" si="197"/>
        <v>0</v>
      </c>
      <c r="KB350" s="248">
        <v>46368</v>
      </c>
    </row>
    <row r="351" spans="1:288">
      <c r="A351" s="207">
        <v>46369</v>
      </c>
      <c r="JF351" s="236">
        <f t="shared" si="176"/>
        <v>0</v>
      </c>
      <c r="JG351" s="235">
        <f t="shared" si="177"/>
        <v>0</v>
      </c>
      <c r="JH351" s="235">
        <f t="shared" si="178"/>
        <v>0</v>
      </c>
      <c r="JI351" s="235">
        <f t="shared" si="179"/>
        <v>0</v>
      </c>
      <c r="JJ351" s="235">
        <f t="shared" si="180"/>
        <v>0</v>
      </c>
      <c r="JK351" s="235">
        <f t="shared" si="181"/>
        <v>0</v>
      </c>
      <c r="JL351" s="235">
        <f t="shared" si="182"/>
        <v>0</v>
      </c>
      <c r="JM351" s="235">
        <f t="shared" si="183"/>
        <v>0</v>
      </c>
      <c r="JN351" s="235">
        <f t="shared" si="184"/>
        <v>0</v>
      </c>
      <c r="JO351" s="235">
        <f t="shared" si="185"/>
        <v>0</v>
      </c>
      <c r="JP351" s="235">
        <f t="shared" si="186"/>
        <v>0</v>
      </c>
      <c r="JQ351" s="235">
        <f t="shared" si="187"/>
        <v>0</v>
      </c>
      <c r="JR351" s="235">
        <f t="shared" si="188"/>
        <v>0</v>
      </c>
      <c r="JS351" s="235">
        <f t="shared" si="189"/>
        <v>0</v>
      </c>
      <c r="JT351" s="235">
        <f t="shared" si="190"/>
        <v>0</v>
      </c>
      <c r="JU351" s="235">
        <f t="shared" si="191"/>
        <v>0</v>
      </c>
      <c r="JV351" s="235">
        <f t="shared" si="192"/>
        <v>0</v>
      </c>
      <c r="JW351" s="235">
        <f t="shared" si="193"/>
        <v>0</v>
      </c>
      <c r="JX351" s="235">
        <f t="shared" si="194"/>
        <v>0</v>
      </c>
      <c r="JY351" s="235">
        <f t="shared" si="195"/>
        <v>0</v>
      </c>
      <c r="JZ351" s="235">
        <f t="shared" si="196"/>
        <v>0</v>
      </c>
      <c r="KA351" s="237">
        <f t="shared" si="197"/>
        <v>0</v>
      </c>
      <c r="KB351" s="248">
        <v>46369</v>
      </c>
    </row>
    <row r="352" spans="1:288">
      <c r="A352" s="207">
        <v>46370</v>
      </c>
      <c r="JF352" s="236">
        <f t="shared" si="176"/>
        <v>0</v>
      </c>
      <c r="JG352" s="235">
        <f t="shared" si="177"/>
        <v>0</v>
      </c>
      <c r="JH352" s="235">
        <f t="shared" si="178"/>
        <v>0</v>
      </c>
      <c r="JI352" s="235">
        <f t="shared" si="179"/>
        <v>0</v>
      </c>
      <c r="JJ352" s="235">
        <f t="shared" si="180"/>
        <v>0</v>
      </c>
      <c r="JK352" s="235">
        <f t="shared" si="181"/>
        <v>0</v>
      </c>
      <c r="JL352" s="235">
        <f t="shared" si="182"/>
        <v>0</v>
      </c>
      <c r="JM352" s="235">
        <f t="shared" si="183"/>
        <v>0</v>
      </c>
      <c r="JN352" s="235">
        <f t="shared" si="184"/>
        <v>0</v>
      </c>
      <c r="JO352" s="235">
        <f t="shared" si="185"/>
        <v>0</v>
      </c>
      <c r="JP352" s="235">
        <f t="shared" si="186"/>
        <v>0</v>
      </c>
      <c r="JQ352" s="235">
        <f t="shared" si="187"/>
        <v>0</v>
      </c>
      <c r="JR352" s="235">
        <f t="shared" si="188"/>
        <v>0</v>
      </c>
      <c r="JS352" s="235">
        <f t="shared" si="189"/>
        <v>0</v>
      </c>
      <c r="JT352" s="235">
        <f t="shared" si="190"/>
        <v>0</v>
      </c>
      <c r="JU352" s="235">
        <f t="shared" si="191"/>
        <v>0</v>
      </c>
      <c r="JV352" s="235">
        <f t="shared" si="192"/>
        <v>0</v>
      </c>
      <c r="JW352" s="235">
        <f t="shared" si="193"/>
        <v>0</v>
      </c>
      <c r="JX352" s="235">
        <f t="shared" si="194"/>
        <v>0</v>
      </c>
      <c r="JY352" s="235">
        <f t="shared" si="195"/>
        <v>0</v>
      </c>
      <c r="JZ352" s="235">
        <f t="shared" si="196"/>
        <v>0</v>
      </c>
      <c r="KA352" s="237">
        <f t="shared" si="197"/>
        <v>0</v>
      </c>
      <c r="KB352" s="248">
        <v>46370</v>
      </c>
    </row>
    <row r="353" spans="1:288">
      <c r="A353" s="207">
        <v>46371</v>
      </c>
      <c r="JF353" s="236">
        <f t="shared" si="176"/>
        <v>0</v>
      </c>
      <c r="JG353" s="235">
        <f t="shared" si="177"/>
        <v>0</v>
      </c>
      <c r="JH353" s="235">
        <f t="shared" si="178"/>
        <v>0</v>
      </c>
      <c r="JI353" s="235">
        <f t="shared" si="179"/>
        <v>0</v>
      </c>
      <c r="JJ353" s="235">
        <f t="shared" si="180"/>
        <v>0</v>
      </c>
      <c r="JK353" s="235">
        <f t="shared" si="181"/>
        <v>0</v>
      </c>
      <c r="JL353" s="235">
        <f t="shared" si="182"/>
        <v>0</v>
      </c>
      <c r="JM353" s="235">
        <f t="shared" si="183"/>
        <v>0</v>
      </c>
      <c r="JN353" s="235">
        <f t="shared" si="184"/>
        <v>0</v>
      </c>
      <c r="JO353" s="235">
        <f t="shared" si="185"/>
        <v>0</v>
      </c>
      <c r="JP353" s="235">
        <f t="shared" si="186"/>
        <v>0</v>
      </c>
      <c r="JQ353" s="235">
        <f t="shared" si="187"/>
        <v>0</v>
      </c>
      <c r="JR353" s="235">
        <f t="shared" si="188"/>
        <v>0</v>
      </c>
      <c r="JS353" s="235">
        <f t="shared" si="189"/>
        <v>0</v>
      </c>
      <c r="JT353" s="235">
        <f t="shared" si="190"/>
        <v>0</v>
      </c>
      <c r="JU353" s="235">
        <f t="shared" si="191"/>
        <v>0</v>
      </c>
      <c r="JV353" s="235">
        <f t="shared" si="192"/>
        <v>0</v>
      </c>
      <c r="JW353" s="235">
        <f t="shared" si="193"/>
        <v>0</v>
      </c>
      <c r="JX353" s="235">
        <f t="shared" si="194"/>
        <v>0</v>
      </c>
      <c r="JY353" s="235">
        <f t="shared" si="195"/>
        <v>0</v>
      </c>
      <c r="JZ353" s="235">
        <f t="shared" si="196"/>
        <v>0</v>
      </c>
      <c r="KA353" s="237">
        <f t="shared" si="197"/>
        <v>0</v>
      </c>
      <c r="KB353" s="248">
        <v>46371</v>
      </c>
    </row>
    <row r="354" spans="1:288">
      <c r="A354" s="207">
        <v>46372</v>
      </c>
      <c r="JF354" s="236">
        <f t="shared" si="176"/>
        <v>0</v>
      </c>
      <c r="JG354" s="235">
        <f t="shared" si="177"/>
        <v>0</v>
      </c>
      <c r="JH354" s="235">
        <f t="shared" si="178"/>
        <v>0</v>
      </c>
      <c r="JI354" s="235">
        <f t="shared" si="179"/>
        <v>0</v>
      </c>
      <c r="JJ354" s="235">
        <f t="shared" si="180"/>
        <v>0</v>
      </c>
      <c r="JK354" s="235">
        <f t="shared" si="181"/>
        <v>0</v>
      </c>
      <c r="JL354" s="235">
        <f t="shared" si="182"/>
        <v>0</v>
      </c>
      <c r="JM354" s="235">
        <f t="shared" si="183"/>
        <v>0</v>
      </c>
      <c r="JN354" s="235">
        <f t="shared" si="184"/>
        <v>0</v>
      </c>
      <c r="JO354" s="235">
        <f t="shared" si="185"/>
        <v>0</v>
      </c>
      <c r="JP354" s="235">
        <f t="shared" si="186"/>
        <v>0</v>
      </c>
      <c r="JQ354" s="235">
        <f t="shared" si="187"/>
        <v>0</v>
      </c>
      <c r="JR354" s="235">
        <f t="shared" si="188"/>
        <v>0</v>
      </c>
      <c r="JS354" s="235">
        <f t="shared" si="189"/>
        <v>0</v>
      </c>
      <c r="JT354" s="235">
        <f t="shared" si="190"/>
        <v>0</v>
      </c>
      <c r="JU354" s="235">
        <f t="shared" si="191"/>
        <v>0</v>
      </c>
      <c r="JV354" s="235">
        <f t="shared" si="192"/>
        <v>0</v>
      </c>
      <c r="JW354" s="235">
        <f t="shared" si="193"/>
        <v>0</v>
      </c>
      <c r="JX354" s="235">
        <f t="shared" si="194"/>
        <v>0</v>
      </c>
      <c r="JY354" s="235">
        <f t="shared" si="195"/>
        <v>0</v>
      </c>
      <c r="JZ354" s="235">
        <f t="shared" si="196"/>
        <v>0</v>
      </c>
      <c r="KA354" s="237">
        <f t="shared" si="197"/>
        <v>0</v>
      </c>
      <c r="KB354" s="248">
        <v>46372</v>
      </c>
    </row>
    <row r="355" spans="1:288">
      <c r="A355" s="207">
        <v>46373</v>
      </c>
      <c r="JF355" s="236">
        <f t="shared" si="176"/>
        <v>0</v>
      </c>
      <c r="JG355" s="235">
        <f t="shared" si="177"/>
        <v>0</v>
      </c>
      <c r="JH355" s="235">
        <f t="shared" si="178"/>
        <v>0</v>
      </c>
      <c r="JI355" s="235">
        <f t="shared" si="179"/>
        <v>0</v>
      </c>
      <c r="JJ355" s="235">
        <f t="shared" si="180"/>
        <v>0</v>
      </c>
      <c r="JK355" s="235">
        <f t="shared" si="181"/>
        <v>0</v>
      </c>
      <c r="JL355" s="235">
        <f t="shared" si="182"/>
        <v>0</v>
      </c>
      <c r="JM355" s="235">
        <f t="shared" si="183"/>
        <v>0</v>
      </c>
      <c r="JN355" s="235">
        <f t="shared" si="184"/>
        <v>0</v>
      </c>
      <c r="JO355" s="235">
        <f t="shared" si="185"/>
        <v>0</v>
      </c>
      <c r="JP355" s="235">
        <f t="shared" si="186"/>
        <v>0</v>
      </c>
      <c r="JQ355" s="235">
        <f t="shared" si="187"/>
        <v>0</v>
      </c>
      <c r="JR355" s="235">
        <f t="shared" si="188"/>
        <v>0</v>
      </c>
      <c r="JS355" s="235">
        <f t="shared" si="189"/>
        <v>0</v>
      </c>
      <c r="JT355" s="235">
        <f t="shared" si="190"/>
        <v>0</v>
      </c>
      <c r="JU355" s="235">
        <f t="shared" si="191"/>
        <v>0</v>
      </c>
      <c r="JV355" s="235">
        <f t="shared" si="192"/>
        <v>0</v>
      </c>
      <c r="JW355" s="235">
        <f t="shared" si="193"/>
        <v>0</v>
      </c>
      <c r="JX355" s="235">
        <f t="shared" si="194"/>
        <v>0</v>
      </c>
      <c r="JY355" s="235">
        <f t="shared" si="195"/>
        <v>0</v>
      </c>
      <c r="JZ355" s="235">
        <f t="shared" si="196"/>
        <v>0</v>
      </c>
      <c r="KA355" s="237">
        <f t="shared" si="197"/>
        <v>0</v>
      </c>
      <c r="KB355" s="248">
        <v>46373</v>
      </c>
    </row>
    <row r="356" spans="1:288">
      <c r="A356" s="207">
        <v>46374</v>
      </c>
      <c r="JF356" s="236">
        <f t="shared" si="176"/>
        <v>0</v>
      </c>
      <c r="JG356" s="235">
        <f t="shared" si="177"/>
        <v>0</v>
      </c>
      <c r="JH356" s="235">
        <f t="shared" si="178"/>
        <v>0</v>
      </c>
      <c r="JI356" s="235">
        <f t="shared" si="179"/>
        <v>0</v>
      </c>
      <c r="JJ356" s="235">
        <f t="shared" si="180"/>
        <v>0</v>
      </c>
      <c r="JK356" s="235">
        <f t="shared" si="181"/>
        <v>0</v>
      </c>
      <c r="JL356" s="235">
        <f t="shared" si="182"/>
        <v>0</v>
      </c>
      <c r="JM356" s="235">
        <f t="shared" si="183"/>
        <v>0</v>
      </c>
      <c r="JN356" s="235">
        <f t="shared" si="184"/>
        <v>0</v>
      </c>
      <c r="JO356" s="235">
        <f t="shared" si="185"/>
        <v>0</v>
      </c>
      <c r="JP356" s="235">
        <f t="shared" si="186"/>
        <v>0</v>
      </c>
      <c r="JQ356" s="235">
        <f t="shared" si="187"/>
        <v>0</v>
      </c>
      <c r="JR356" s="235">
        <f t="shared" si="188"/>
        <v>0</v>
      </c>
      <c r="JS356" s="235">
        <f t="shared" si="189"/>
        <v>0</v>
      </c>
      <c r="JT356" s="235">
        <f t="shared" si="190"/>
        <v>0</v>
      </c>
      <c r="JU356" s="235">
        <f t="shared" si="191"/>
        <v>0</v>
      </c>
      <c r="JV356" s="235">
        <f t="shared" si="192"/>
        <v>0</v>
      </c>
      <c r="JW356" s="235">
        <f t="shared" si="193"/>
        <v>0</v>
      </c>
      <c r="JX356" s="235">
        <f t="shared" si="194"/>
        <v>0</v>
      </c>
      <c r="JY356" s="235">
        <f t="shared" si="195"/>
        <v>0</v>
      </c>
      <c r="JZ356" s="235">
        <f t="shared" si="196"/>
        <v>0</v>
      </c>
      <c r="KA356" s="237">
        <f t="shared" si="197"/>
        <v>0</v>
      </c>
      <c r="KB356" s="248">
        <v>46374</v>
      </c>
    </row>
    <row r="357" spans="1:288">
      <c r="A357" s="207">
        <v>46375</v>
      </c>
      <c r="JF357" s="236">
        <f t="shared" si="176"/>
        <v>0</v>
      </c>
      <c r="JG357" s="235">
        <f t="shared" si="177"/>
        <v>0</v>
      </c>
      <c r="JH357" s="235">
        <f t="shared" si="178"/>
        <v>0</v>
      </c>
      <c r="JI357" s="235">
        <f t="shared" si="179"/>
        <v>0</v>
      </c>
      <c r="JJ357" s="235">
        <f t="shared" si="180"/>
        <v>0</v>
      </c>
      <c r="JK357" s="235">
        <f t="shared" si="181"/>
        <v>0</v>
      </c>
      <c r="JL357" s="235">
        <f t="shared" si="182"/>
        <v>0</v>
      </c>
      <c r="JM357" s="235">
        <f t="shared" si="183"/>
        <v>0</v>
      </c>
      <c r="JN357" s="235">
        <f t="shared" si="184"/>
        <v>0</v>
      </c>
      <c r="JO357" s="235">
        <f t="shared" si="185"/>
        <v>0</v>
      </c>
      <c r="JP357" s="235">
        <f t="shared" si="186"/>
        <v>0</v>
      </c>
      <c r="JQ357" s="235">
        <f t="shared" si="187"/>
        <v>0</v>
      </c>
      <c r="JR357" s="235">
        <f t="shared" si="188"/>
        <v>0</v>
      </c>
      <c r="JS357" s="235">
        <f t="shared" si="189"/>
        <v>0</v>
      </c>
      <c r="JT357" s="235">
        <f t="shared" si="190"/>
        <v>0</v>
      </c>
      <c r="JU357" s="235">
        <f t="shared" si="191"/>
        <v>0</v>
      </c>
      <c r="JV357" s="235">
        <f t="shared" si="192"/>
        <v>0</v>
      </c>
      <c r="JW357" s="235">
        <f t="shared" si="193"/>
        <v>0</v>
      </c>
      <c r="JX357" s="235">
        <f t="shared" si="194"/>
        <v>0</v>
      </c>
      <c r="JY357" s="235">
        <f t="shared" si="195"/>
        <v>0</v>
      </c>
      <c r="JZ357" s="235">
        <f t="shared" si="196"/>
        <v>0</v>
      </c>
      <c r="KA357" s="237">
        <f t="shared" si="197"/>
        <v>0</v>
      </c>
      <c r="KB357" s="248">
        <v>46375</v>
      </c>
    </row>
    <row r="358" spans="1:288">
      <c r="A358" s="207">
        <v>46376</v>
      </c>
      <c r="JF358" s="236">
        <f t="shared" si="176"/>
        <v>0</v>
      </c>
      <c r="JG358" s="235">
        <f t="shared" si="177"/>
        <v>0</v>
      </c>
      <c r="JH358" s="235">
        <f t="shared" si="178"/>
        <v>0</v>
      </c>
      <c r="JI358" s="235">
        <f t="shared" si="179"/>
        <v>0</v>
      </c>
      <c r="JJ358" s="235">
        <f t="shared" si="180"/>
        <v>0</v>
      </c>
      <c r="JK358" s="235">
        <f t="shared" si="181"/>
        <v>0</v>
      </c>
      <c r="JL358" s="235">
        <f t="shared" si="182"/>
        <v>0</v>
      </c>
      <c r="JM358" s="235">
        <f t="shared" si="183"/>
        <v>0</v>
      </c>
      <c r="JN358" s="235">
        <f t="shared" si="184"/>
        <v>0</v>
      </c>
      <c r="JO358" s="235">
        <f t="shared" si="185"/>
        <v>0</v>
      </c>
      <c r="JP358" s="235">
        <f t="shared" si="186"/>
        <v>0</v>
      </c>
      <c r="JQ358" s="235">
        <f t="shared" si="187"/>
        <v>0</v>
      </c>
      <c r="JR358" s="235">
        <f t="shared" si="188"/>
        <v>0</v>
      </c>
      <c r="JS358" s="235">
        <f t="shared" si="189"/>
        <v>0</v>
      </c>
      <c r="JT358" s="235">
        <f t="shared" si="190"/>
        <v>0</v>
      </c>
      <c r="JU358" s="235">
        <f t="shared" si="191"/>
        <v>0</v>
      </c>
      <c r="JV358" s="235">
        <f t="shared" si="192"/>
        <v>0</v>
      </c>
      <c r="JW358" s="235">
        <f t="shared" si="193"/>
        <v>0</v>
      </c>
      <c r="JX358" s="235">
        <f t="shared" si="194"/>
        <v>0</v>
      </c>
      <c r="JY358" s="235">
        <f t="shared" si="195"/>
        <v>0</v>
      </c>
      <c r="JZ358" s="235">
        <f t="shared" si="196"/>
        <v>0</v>
      </c>
      <c r="KA358" s="237">
        <f t="shared" si="197"/>
        <v>0</v>
      </c>
      <c r="KB358" s="248">
        <v>46376</v>
      </c>
    </row>
    <row r="359" spans="1:288">
      <c r="A359" s="207">
        <v>46377</v>
      </c>
      <c r="JF359" s="236">
        <f t="shared" si="176"/>
        <v>0</v>
      </c>
      <c r="JG359" s="235">
        <f t="shared" si="177"/>
        <v>0</v>
      </c>
      <c r="JH359" s="235">
        <f t="shared" si="178"/>
        <v>0</v>
      </c>
      <c r="JI359" s="235">
        <f t="shared" si="179"/>
        <v>0</v>
      </c>
      <c r="JJ359" s="235">
        <f t="shared" si="180"/>
        <v>0</v>
      </c>
      <c r="JK359" s="235">
        <f t="shared" si="181"/>
        <v>0</v>
      </c>
      <c r="JL359" s="235">
        <f t="shared" si="182"/>
        <v>0</v>
      </c>
      <c r="JM359" s="235">
        <f t="shared" si="183"/>
        <v>0</v>
      </c>
      <c r="JN359" s="235">
        <f t="shared" si="184"/>
        <v>0</v>
      </c>
      <c r="JO359" s="235">
        <f t="shared" si="185"/>
        <v>0</v>
      </c>
      <c r="JP359" s="235">
        <f t="shared" si="186"/>
        <v>0</v>
      </c>
      <c r="JQ359" s="235">
        <f t="shared" si="187"/>
        <v>0</v>
      </c>
      <c r="JR359" s="235">
        <f t="shared" si="188"/>
        <v>0</v>
      </c>
      <c r="JS359" s="235">
        <f t="shared" si="189"/>
        <v>0</v>
      </c>
      <c r="JT359" s="235">
        <f t="shared" si="190"/>
        <v>0</v>
      </c>
      <c r="JU359" s="235">
        <f t="shared" si="191"/>
        <v>0</v>
      </c>
      <c r="JV359" s="235">
        <f t="shared" si="192"/>
        <v>0</v>
      </c>
      <c r="JW359" s="235">
        <f t="shared" si="193"/>
        <v>0</v>
      </c>
      <c r="JX359" s="235">
        <f t="shared" si="194"/>
        <v>0</v>
      </c>
      <c r="JY359" s="235">
        <f t="shared" si="195"/>
        <v>0</v>
      </c>
      <c r="JZ359" s="235">
        <f t="shared" si="196"/>
        <v>0</v>
      </c>
      <c r="KA359" s="237">
        <f t="shared" si="197"/>
        <v>0</v>
      </c>
      <c r="KB359" s="248">
        <v>46377</v>
      </c>
    </row>
    <row r="360" spans="1:288">
      <c r="A360" s="207">
        <v>46378</v>
      </c>
      <c r="JF360" s="236">
        <f t="shared" si="176"/>
        <v>0</v>
      </c>
      <c r="JG360" s="235">
        <f t="shared" si="177"/>
        <v>0</v>
      </c>
      <c r="JH360" s="235">
        <f t="shared" si="178"/>
        <v>0</v>
      </c>
      <c r="JI360" s="235">
        <f t="shared" si="179"/>
        <v>0</v>
      </c>
      <c r="JJ360" s="235">
        <f t="shared" si="180"/>
        <v>0</v>
      </c>
      <c r="JK360" s="235">
        <f t="shared" si="181"/>
        <v>0</v>
      </c>
      <c r="JL360" s="235">
        <f t="shared" si="182"/>
        <v>0</v>
      </c>
      <c r="JM360" s="235">
        <f t="shared" si="183"/>
        <v>0</v>
      </c>
      <c r="JN360" s="235">
        <f t="shared" si="184"/>
        <v>0</v>
      </c>
      <c r="JO360" s="235">
        <f t="shared" si="185"/>
        <v>0</v>
      </c>
      <c r="JP360" s="235">
        <f t="shared" si="186"/>
        <v>0</v>
      </c>
      <c r="JQ360" s="235">
        <f t="shared" si="187"/>
        <v>0</v>
      </c>
      <c r="JR360" s="235">
        <f t="shared" si="188"/>
        <v>0</v>
      </c>
      <c r="JS360" s="235">
        <f t="shared" si="189"/>
        <v>0</v>
      </c>
      <c r="JT360" s="235">
        <f t="shared" si="190"/>
        <v>0</v>
      </c>
      <c r="JU360" s="235">
        <f t="shared" si="191"/>
        <v>0</v>
      </c>
      <c r="JV360" s="235">
        <f t="shared" si="192"/>
        <v>0</v>
      </c>
      <c r="JW360" s="235">
        <f t="shared" si="193"/>
        <v>0</v>
      </c>
      <c r="JX360" s="235">
        <f t="shared" si="194"/>
        <v>0</v>
      </c>
      <c r="JY360" s="235">
        <f t="shared" si="195"/>
        <v>0</v>
      </c>
      <c r="JZ360" s="235">
        <f t="shared" si="196"/>
        <v>0</v>
      </c>
      <c r="KA360" s="237">
        <f t="shared" si="197"/>
        <v>0</v>
      </c>
      <c r="KB360" s="248">
        <v>46378</v>
      </c>
    </row>
    <row r="361" spans="1:288">
      <c r="A361" s="207">
        <v>46379</v>
      </c>
      <c r="JF361" s="236">
        <f t="shared" si="176"/>
        <v>0</v>
      </c>
      <c r="JG361" s="235">
        <f t="shared" si="177"/>
        <v>0</v>
      </c>
      <c r="JH361" s="235">
        <f t="shared" si="178"/>
        <v>0</v>
      </c>
      <c r="JI361" s="235">
        <f t="shared" si="179"/>
        <v>0</v>
      </c>
      <c r="JJ361" s="235">
        <f t="shared" si="180"/>
        <v>0</v>
      </c>
      <c r="JK361" s="235">
        <f t="shared" si="181"/>
        <v>0</v>
      </c>
      <c r="JL361" s="235">
        <f t="shared" si="182"/>
        <v>0</v>
      </c>
      <c r="JM361" s="235">
        <f t="shared" si="183"/>
        <v>0</v>
      </c>
      <c r="JN361" s="235">
        <f t="shared" si="184"/>
        <v>0</v>
      </c>
      <c r="JO361" s="235">
        <f t="shared" si="185"/>
        <v>0</v>
      </c>
      <c r="JP361" s="235">
        <f t="shared" si="186"/>
        <v>0</v>
      </c>
      <c r="JQ361" s="235">
        <f t="shared" si="187"/>
        <v>0</v>
      </c>
      <c r="JR361" s="235">
        <f t="shared" si="188"/>
        <v>0</v>
      </c>
      <c r="JS361" s="235">
        <f t="shared" si="189"/>
        <v>0</v>
      </c>
      <c r="JT361" s="235">
        <f t="shared" si="190"/>
        <v>0</v>
      </c>
      <c r="JU361" s="235">
        <f t="shared" si="191"/>
        <v>0</v>
      </c>
      <c r="JV361" s="235">
        <f t="shared" si="192"/>
        <v>0</v>
      </c>
      <c r="JW361" s="235">
        <f t="shared" si="193"/>
        <v>0</v>
      </c>
      <c r="JX361" s="235">
        <f t="shared" si="194"/>
        <v>0</v>
      </c>
      <c r="JY361" s="235">
        <f t="shared" si="195"/>
        <v>0</v>
      </c>
      <c r="JZ361" s="235">
        <f t="shared" si="196"/>
        <v>0</v>
      </c>
      <c r="KA361" s="237">
        <f t="shared" si="197"/>
        <v>0</v>
      </c>
      <c r="KB361" s="248">
        <v>46379</v>
      </c>
    </row>
    <row r="362" spans="1:288">
      <c r="A362" s="207">
        <v>46380</v>
      </c>
      <c r="JF362" s="236">
        <f t="shared" si="176"/>
        <v>0</v>
      </c>
      <c r="JG362" s="235">
        <f t="shared" si="177"/>
        <v>0</v>
      </c>
      <c r="JH362" s="235">
        <f t="shared" si="178"/>
        <v>0</v>
      </c>
      <c r="JI362" s="235">
        <f t="shared" si="179"/>
        <v>0</v>
      </c>
      <c r="JJ362" s="235">
        <f t="shared" si="180"/>
        <v>0</v>
      </c>
      <c r="JK362" s="235">
        <f t="shared" si="181"/>
        <v>0</v>
      </c>
      <c r="JL362" s="235">
        <f t="shared" si="182"/>
        <v>0</v>
      </c>
      <c r="JM362" s="235">
        <f t="shared" si="183"/>
        <v>0</v>
      </c>
      <c r="JN362" s="235">
        <f t="shared" si="184"/>
        <v>0</v>
      </c>
      <c r="JO362" s="235">
        <f t="shared" si="185"/>
        <v>0</v>
      </c>
      <c r="JP362" s="235">
        <f t="shared" si="186"/>
        <v>0</v>
      </c>
      <c r="JQ362" s="235">
        <f t="shared" si="187"/>
        <v>0</v>
      </c>
      <c r="JR362" s="235">
        <f t="shared" si="188"/>
        <v>0</v>
      </c>
      <c r="JS362" s="235">
        <f t="shared" si="189"/>
        <v>0</v>
      </c>
      <c r="JT362" s="235">
        <f t="shared" si="190"/>
        <v>0</v>
      </c>
      <c r="JU362" s="235">
        <f t="shared" si="191"/>
        <v>0</v>
      </c>
      <c r="JV362" s="235">
        <f t="shared" si="192"/>
        <v>0</v>
      </c>
      <c r="JW362" s="235">
        <f t="shared" si="193"/>
        <v>0</v>
      </c>
      <c r="JX362" s="235">
        <f t="shared" si="194"/>
        <v>0</v>
      </c>
      <c r="JY362" s="235">
        <f t="shared" si="195"/>
        <v>0</v>
      </c>
      <c r="JZ362" s="235">
        <f t="shared" si="196"/>
        <v>0</v>
      </c>
      <c r="KA362" s="237">
        <f t="shared" si="197"/>
        <v>0</v>
      </c>
      <c r="KB362" s="248">
        <v>46380</v>
      </c>
    </row>
    <row r="363" spans="1:288">
      <c r="A363" s="207">
        <v>46381</v>
      </c>
      <c r="JF363" s="236">
        <f t="shared" si="176"/>
        <v>0</v>
      </c>
      <c r="JG363" s="235">
        <f t="shared" si="177"/>
        <v>0</v>
      </c>
      <c r="JH363" s="235">
        <f t="shared" si="178"/>
        <v>0</v>
      </c>
      <c r="JI363" s="235">
        <f t="shared" si="179"/>
        <v>0</v>
      </c>
      <c r="JJ363" s="235">
        <f t="shared" si="180"/>
        <v>0</v>
      </c>
      <c r="JK363" s="235">
        <f t="shared" si="181"/>
        <v>0</v>
      </c>
      <c r="JL363" s="235">
        <f t="shared" si="182"/>
        <v>0</v>
      </c>
      <c r="JM363" s="235">
        <f t="shared" si="183"/>
        <v>0</v>
      </c>
      <c r="JN363" s="235">
        <f t="shared" si="184"/>
        <v>0</v>
      </c>
      <c r="JO363" s="235">
        <f t="shared" si="185"/>
        <v>0</v>
      </c>
      <c r="JP363" s="235">
        <f t="shared" si="186"/>
        <v>0</v>
      </c>
      <c r="JQ363" s="235">
        <f t="shared" si="187"/>
        <v>0</v>
      </c>
      <c r="JR363" s="235">
        <f t="shared" si="188"/>
        <v>0</v>
      </c>
      <c r="JS363" s="235">
        <f t="shared" si="189"/>
        <v>0</v>
      </c>
      <c r="JT363" s="235">
        <f t="shared" si="190"/>
        <v>0</v>
      </c>
      <c r="JU363" s="235">
        <f t="shared" si="191"/>
        <v>0</v>
      </c>
      <c r="JV363" s="235">
        <f t="shared" si="192"/>
        <v>0</v>
      </c>
      <c r="JW363" s="235">
        <f t="shared" si="193"/>
        <v>0</v>
      </c>
      <c r="JX363" s="235">
        <f t="shared" si="194"/>
        <v>0</v>
      </c>
      <c r="JY363" s="235">
        <f t="shared" si="195"/>
        <v>0</v>
      </c>
      <c r="JZ363" s="235">
        <f t="shared" si="196"/>
        <v>0</v>
      </c>
      <c r="KA363" s="237">
        <f t="shared" si="197"/>
        <v>0</v>
      </c>
      <c r="KB363" s="248">
        <v>46381</v>
      </c>
    </row>
    <row r="364" spans="1:288">
      <c r="A364" s="207">
        <v>46382</v>
      </c>
      <c r="JF364" s="236">
        <f t="shared" si="176"/>
        <v>0</v>
      </c>
      <c r="JG364" s="235">
        <f t="shared" si="177"/>
        <v>0</v>
      </c>
      <c r="JH364" s="235">
        <f t="shared" si="178"/>
        <v>0</v>
      </c>
      <c r="JI364" s="235">
        <f t="shared" si="179"/>
        <v>0</v>
      </c>
      <c r="JJ364" s="235">
        <f t="shared" si="180"/>
        <v>0</v>
      </c>
      <c r="JK364" s="235">
        <f t="shared" si="181"/>
        <v>0</v>
      </c>
      <c r="JL364" s="235">
        <f t="shared" si="182"/>
        <v>0</v>
      </c>
      <c r="JM364" s="235">
        <f t="shared" si="183"/>
        <v>0</v>
      </c>
      <c r="JN364" s="235">
        <f t="shared" si="184"/>
        <v>0</v>
      </c>
      <c r="JO364" s="235">
        <f t="shared" si="185"/>
        <v>0</v>
      </c>
      <c r="JP364" s="235">
        <f t="shared" si="186"/>
        <v>0</v>
      </c>
      <c r="JQ364" s="235">
        <f t="shared" si="187"/>
        <v>0</v>
      </c>
      <c r="JR364" s="235">
        <f t="shared" si="188"/>
        <v>0</v>
      </c>
      <c r="JS364" s="235">
        <f t="shared" si="189"/>
        <v>0</v>
      </c>
      <c r="JT364" s="235">
        <f t="shared" si="190"/>
        <v>0</v>
      </c>
      <c r="JU364" s="235">
        <f t="shared" si="191"/>
        <v>0</v>
      </c>
      <c r="JV364" s="235">
        <f t="shared" si="192"/>
        <v>0</v>
      </c>
      <c r="JW364" s="235">
        <f t="shared" si="193"/>
        <v>0</v>
      </c>
      <c r="JX364" s="235">
        <f t="shared" si="194"/>
        <v>0</v>
      </c>
      <c r="JY364" s="235">
        <f t="shared" si="195"/>
        <v>0</v>
      </c>
      <c r="JZ364" s="235">
        <f t="shared" si="196"/>
        <v>0</v>
      </c>
      <c r="KA364" s="237">
        <f t="shared" si="197"/>
        <v>0</v>
      </c>
      <c r="KB364" s="248">
        <v>46382</v>
      </c>
    </row>
    <row r="365" spans="1:288">
      <c r="A365" s="207">
        <v>46383</v>
      </c>
      <c r="JF365" s="236">
        <f t="shared" si="176"/>
        <v>0</v>
      </c>
      <c r="JG365" s="235">
        <f t="shared" si="177"/>
        <v>0</v>
      </c>
      <c r="JH365" s="235">
        <f t="shared" si="178"/>
        <v>0</v>
      </c>
      <c r="JI365" s="235">
        <f t="shared" si="179"/>
        <v>0</v>
      </c>
      <c r="JJ365" s="235">
        <f t="shared" si="180"/>
        <v>0</v>
      </c>
      <c r="JK365" s="235">
        <f t="shared" si="181"/>
        <v>0</v>
      </c>
      <c r="JL365" s="235">
        <f t="shared" si="182"/>
        <v>0</v>
      </c>
      <c r="JM365" s="235">
        <f t="shared" si="183"/>
        <v>0</v>
      </c>
      <c r="JN365" s="235">
        <f t="shared" si="184"/>
        <v>0</v>
      </c>
      <c r="JO365" s="235">
        <f t="shared" si="185"/>
        <v>0</v>
      </c>
      <c r="JP365" s="235">
        <f t="shared" si="186"/>
        <v>0</v>
      </c>
      <c r="JQ365" s="235">
        <f t="shared" si="187"/>
        <v>0</v>
      </c>
      <c r="JR365" s="235">
        <f t="shared" si="188"/>
        <v>0</v>
      </c>
      <c r="JS365" s="235">
        <f t="shared" si="189"/>
        <v>0</v>
      </c>
      <c r="JT365" s="235">
        <f t="shared" si="190"/>
        <v>0</v>
      </c>
      <c r="JU365" s="235">
        <f t="shared" si="191"/>
        <v>0</v>
      </c>
      <c r="JV365" s="235">
        <f t="shared" si="192"/>
        <v>0</v>
      </c>
      <c r="JW365" s="235">
        <f t="shared" si="193"/>
        <v>0</v>
      </c>
      <c r="JX365" s="235">
        <f t="shared" si="194"/>
        <v>0</v>
      </c>
      <c r="JY365" s="235">
        <f t="shared" si="195"/>
        <v>0</v>
      </c>
      <c r="JZ365" s="235">
        <f t="shared" si="196"/>
        <v>0</v>
      </c>
      <c r="KA365" s="237">
        <f t="shared" si="197"/>
        <v>0</v>
      </c>
      <c r="KB365" s="248">
        <v>46383</v>
      </c>
    </row>
    <row r="366" spans="1:288">
      <c r="A366" s="207">
        <v>46384</v>
      </c>
      <c r="JF366" s="236">
        <f t="shared" si="176"/>
        <v>0</v>
      </c>
      <c r="JG366" s="235">
        <f t="shared" si="177"/>
        <v>0</v>
      </c>
      <c r="JH366" s="235">
        <f t="shared" si="178"/>
        <v>0</v>
      </c>
      <c r="JI366" s="235">
        <f t="shared" si="179"/>
        <v>0</v>
      </c>
      <c r="JJ366" s="235">
        <f t="shared" si="180"/>
        <v>0</v>
      </c>
      <c r="JK366" s="235">
        <f t="shared" si="181"/>
        <v>0</v>
      </c>
      <c r="JL366" s="235">
        <f t="shared" si="182"/>
        <v>0</v>
      </c>
      <c r="JM366" s="235">
        <f t="shared" si="183"/>
        <v>0</v>
      </c>
      <c r="JN366" s="235">
        <f t="shared" si="184"/>
        <v>0</v>
      </c>
      <c r="JO366" s="235">
        <f t="shared" si="185"/>
        <v>0</v>
      </c>
      <c r="JP366" s="235">
        <f t="shared" si="186"/>
        <v>0</v>
      </c>
      <c r="JQ366" s="235">
        <f t="shared" si="187"/>
        <v>0</v>
      </c>
      <c r="JR366" s="235">
        <f t="shared" si="188"/>
        <v>0</v>
      </c>
      <c r="JS366" s="235">
        <f t="shared" si="189"/>
        <v>0</v>
      </c>
      <c r="JT366" s="235">
        <f t="shared" si="190"/>
        <v>0</v>
      </c>
      <c r="JU366" s="235">
        <f t="shared" si="191"/>
        <v>0</v>
      </c>
      <c r="JV366" s="235">
        <f t="shared" si="192"/>
        <v>0</v>
      </c>
      <c r="JW366" s="235">
        <f t="shared" si="193"/>
        <v>0</v>
      </c>
      <c r="JX366" s="235">
        <f t="shared" si="194"/>
        <v>0</v>
      </c>
      <c r="JY366" s="235">
        <f t="shared" si="195"/>
        <v>0</v>
      </c>
      <c r="JZ366" s="235">
        <f t="shared" si="196"/>
        <v>0</v>
      </c>
      <c r="KA366" s="237">
        <f t="shared" si="197"/>
        <v>0</v>
      </c>
      <c r="KB366" s="248">
        <v>46384</v>
      </c>
    </row>
    <row r="367" spans="1:288">
      <c r="A367" s="207">
        <v>46385</v>
      </c>
      <c r="JF367" s="236">
        <f t="shared" si="176"/>
        <v>0</v>
      </c>
      <c r="JG367" s="235">
        <f t="shared" si="177"/>
        <v>0</v>
      </c>
      <c r="JH367" s="235">
        <f t="shared" si="178"/>
        <v>0</v>
      </c>
      <c r="JI367" s="235">
        <f t="shared" si="179"/>
        <v>0</v>
      </c>
      <c r="JJ367" s="235">
        <f t="shared" si="180"/>
        <v>0</v>
      </c>
      <c r="JK367" s="235">
        <f t="shared" si="181"/>
        <v>0</v>
      </c>
      <c r="JL367" s="235">
        <f t="shared" si="182"/>
        <v>0</v>
      </c>
      <c r="JM367" s="235">
        <f t="shared" si="183"/>
        <v>0</v>
      </c>
      <c r="JN367" s="235">
        <f t="shared" si="184"/>
        <v>0</v>
      </c>
      <c r="JO367" s="235">
        <f t="shared" si="185"/>
        <v>0</v>
      </c>
      <c r="JP367" s="235">
        <f t="shared" si="186"/>
        <v>0</v>
      </c>
      <c r="JQ367" s="235">
        <f t="shared" si="187"/>
        <v>0</v>
      </c>
      <c r="JR367" s="235">
        <f t="shared" si="188"/>
        <v>0</v>
      </c>
      <c r="JS367" s="235">
        <f t="shared" si="189"/>
        <v>0</v>
      </c>
      <c r="JT367" s="235">
        <f t="shared" si="190"/>
        <v>0</v>
      </c>
      <c r="JU367" s="235">
        <f t="shared" si="191"/>
        <v>0</v>
      </c>
      <c r="JV367" s="235">
        <f t="shared" si="192"/>
        <v>0</v>
      </c>
      <c r="JW367" s="235">
        <f t="shared" si="193"/>
        <v>0</v>
      </c>
      <c r="JX367" s="235">
        <f t="shared" si="194"/>
        <v>0</v>
      </c>
      <c r="JY367" s="235">
        <f t="shared" si="195"/>
        <v>0</v>
      </c>
      <c r="JZ367" s="235">
        <f t="shared" si="196"/>
        <v>0</v>
      </c>
      <c r="KA367" s="237">
        <f t="shared" si="197"/>
        <v>0</v>
      </c>
      <c r="KB367" s="248">
        <v>46385</v>
      </c>
    </row>
    <row r="368" spans="1:288">
      <c r="A368" s="207">
        <v>46386</v>
      </c>
      <c r="JF368" s="236">
        <f t="shared" si="176"/>
        <v>0</v>
      </c>
      <c r="JG368" s="235">
        <f t="shared" si="177"/>
        <v>0</v>
      </c>
      <c r="JH368" s="235">
        <f t="shared" si="178"/>
        <v>0</v>
      </c>
      <c r="JI368" s="235">
        <f t="shared" si="179"/>
        <v>0</v>
      </c>
      <c r="JJ368" s="235">
        <f t="shared" si="180"/>
        <v>0</v>
      </c>
      <c r="JK368" s="235">
        <f t="shared" si="181"/>
        <v>0</v>
      </c>
      <c r="JL368" s="235">
        <f t="shared" si="182"/>
        <v>0</v>
      </c>
      <c r="JM368" s="235">
        <f t="shared" si="183"/>
        <v>0</v>
      </c>
      <c r="JN368" s="235">
        <f t="shared" si="184"/>
        <v>0</v>
      </c>
      <c r="JO368" s="235">
        <f t="shared" si="185"/>
        <v>0</v>
      </c>
      <c r="JP368" s="235">
        <f t="shared" si="186"/>
        <v>0</v>
      </c>
      <c r="JQ368" s="235">
        <f t="shared" si="187"/>
        <v>0</v>
      </c>
      <c r="JR368" s="235">
        <f t="shared" si="188"/>
        <v>0</v>
      </c>
      <c r="JS368" s="235">
        <f t="shared" si="189"/>
        <v>0</v>
      </c>
      <c r="JT368" s="235">
        <f t="shared" si="190"/>
        <v>0</v>
      </c>
      <c r="JU368" s="235">
        <f t="shared" si="191"/>
        <v>0</v>
      </c>
      <c r="JV368" s="235">
        <f t="shared" si="192"/>
        <v>0</v>
      </c>
      <c r="JW368" s="235">
        <f t="shared" si="193"/>
        <v>0</v>
      </c>
      <c r="JX368" s="235">
        <f t="shared" si="194"/>
        <v>0</v>
      </c>
      <c r="JY368" s="235">
        <f t="shared" si="195"/>
        <v>0</v>
      </c>
      <c r="JZ368" s="235">
        <f t="shared" si="196"/>
        <v>0</v>
      </c>
      <c r="KA368" s="237">
        <f t="shared" si="197"/>
        <v>0</v>
      </c>
      <c r="KB368" s="248">
        <v>46386</v>
      </c>
    </row>
    <row r="369" spans="1:288">
      <c r="A369" s="207">
        <v>46387</v>
      </c>
      <c r="JF369" s="229">
        <f t="shared" si="176"/>
        <v>0</v>
      </c>
      <c r="JG369" s="230">
        <f t="shared" si="177"/>
        <v>0</v>
      </c>
      <c r="JH369" s="230">
        <f t="shared" si="178"/>
        <v>0</v>
      </c>
      <c r="JI369" s="230">
        <f t="shared" si="179"/>
        <v>0</v>
      </c>
      <c r="JJ369" s="230">
        <f t="shared" si="180"/>
        <v>0</v>
      </c>
      <c r="JK369" s="230">
        <f t="shared" si="181"/>
        <v>0</v>
      </c>
      <c r="JL369" s="230">
        <f t="shared" si="182"/>
        <v>0</v>
      </c>
      <c r="JM369" s="230">
        <f t="shared" si="183"/>
        <v>0</v>
      </c>
      <c r="JN369" s="230">
        <f t="shared" si="184"/>
        <v>0</v>
      </c>
      <c r="JO369" s="230">
        <f t="shared" si="185"/>
        <v>0</v>
      </c>
      <c r="JP369" s="230">
        <f t="shared" si="186"/>
        <v>0</v>
      </c>
      <c r="JQ369" s="230">
        <f t="shared" si="187"/>
        <v>0</v>
      </c>
      <c r="JR369" s="230">
        <f t="shared" si="188"/>
        <v>0</v>
      </c>
      <c r="JS369" s="230">
        <f t="shared" si="189"/>
        <v>0</v>
      </c>
      <c r="JT369" s="230">
        <f t="shared" si="190"/>
        <v>0</v>
      </c>
      <c r="JU369" s="230">
        <f t="shared" si="191"/>
        <v>0</v>
      </c>
      <c r="JV369" s="230">
        <f t="shared" si="192"/>
        <v>0</v>
      </c>
      <c r="JW369" s="230">
        <f t="shared" si="193"/>
        <v>0</v>
      </c>
      <c r="JX369" s="230">
        <f t="shared" si="194"/>
        <v>0</v>
      </c>
      <c r="JY369" s="230">
        <f t="shared" si="195"/>
        <v>0</v>
      </c>
      <c r="JZ369" s="230">
        <f t="shared" si="196"/>
        <v>0</v>
      </c>
      <c r="KA369" s="238">
        <f t="shared" si="197"/>
        <v>0</v>
      </c>
      <c r="KB369" s="248">
        <v>46387</v>
      </c>
    </row>
  </sheetData>
  <mergeCells count="24">
    <mergeCell ref="DH3:DQ3"/>
    <mergeCell ref="B3:K3"/>
    <mergeCell ref="L3:U3"/>
    <mergeCell ref="V3:AE3"/>
    <mergeCell ref="AF3:AO3"/>
    <mergeCell ref="AP3:AY3"/>
    <mergeCell ref="AZ3:BI3"/>
    <mergeCell ref="BJ3:BS3"/>
    <mergeCell ref="BT3:CC3"/>
    <mergeCell ref="CD3:CM3"/>
    <mergeCell ref="CN3:CW3"/>
    <mergeCell ref="CX3:DG3"/>
    <mergeCell ref="JF3:KA3"/>
    <mergeCell ref="KB3:KY3"/>
    <mergeCell ref="DR3:EA3"/>
    <mergeCell ref="EB3:EK3"/>
    <mergeCell ref="EL3:EU3"/>
    <mergeCell ref="EV3:FE3"/>
    <mergeCell ref="FF3:FO3"/>
    <mergeCell ref="FZ3:GI3"/>
    <mergeCell ref="GJ3:GS3"/>
    <mergeCell ref="GT3:HC3"/>
    <mergeCell ref="HD3:HM3"/>
    <mergeCell ref="FP3:FY3"/>
  </mergeCells>
  <phoneticPr fontId="3" type="noConversion"/>
  <conditionalFormatting sqref="B5:HM35">
    <cfRule type="containsBlanks" dxfId="13" priority="4">
      <formula>LEN(TRIM(B5))=0</formula>
    </cfRule>
  </conditionalFormatting>
  <conditionalFormatting sqref="B64:HM94">
    <cfRule type="containsBlanks" dxfId="12" priority="1">
      <formula>LEN(TRIM(B64))=0</formula>
    </cfRule>
  </conditionalFormatting>
  <conditionalFormatting sqref="FM41:GF63">
    <cfRule type="containsBlanks" dxfId="11" priority="9">
      <formula>LEN(TRIM(FM41))=0</formula>
    </cfRule>
  </conditionalFormatting>
  <conditionalFormatting sqref="FM36:GO40">
    <cfRule type="containsBlanks" dxfId="10" priority="10">
      <formula>LEN(TRIM(FM36))=0</formula>
    </cfRule>
  </conditionalFormatting>
  <conditionalFormatting sqref="GG41:GO52">
    <cfRule type="containsBlanks" dxfId="9" priority="11">
      <formula>LEN(TRIM(GG41))=0</formula>
    </cfRule>
  </conditionalFormatting>
  <conditionalFormatting sqref="GG53:GY63">
    <cfRule type="containsBlanks" dxfId="8" priority="7">
      <formula>LEN(TRIM(GG53))=0</formula>
    </cfRule>
  </conditionalFormatting>
  <conditionalFormatting sqref="GP36:GY52">
    <cfRule type="containsBlanks" dxfId="7" priority="8">
      <formula>LEN(TRIM(GP36))=0</formula>
    </cfRule>
  </conditionalFormatting>
  <conditionalFormatting sqref="GZ36:HM63">
    <cfRule type="containsBlanks" dxfId="6" priority="6">
      <formula>LEN(TRIM(GZ36))=0</formula>
    </cfRule>
  </conditionalFormatting>
  <conditionalFormatting sqref="KB5:KB63 B36:FL63 KB95:KB369">
    <cfRule type="containsBlanks" dxfId="5" priority="5">
      <formula>LEN(TRIM(B5))=0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F52AB-8E7E-44B6-8205-4299823E86D0}">
  <dimension ref="A3:AC370"/>
  <sheetViews>
    <sheetView showGridLines="0" topLeftCell="A73" zoomScale="85" zoomScaleNormal="85" workbookViewId="0">
      <pane xSplit="1" topLeftCell="B1" activePane="topRight" state="frozen"/>
      <selection pane="topRight" activeCell="A102" sqref="A102"/>
    </sheetView>
  </sheetViews>
  <sheetFormatPr defaultColWidth="8.58203125" defaultRowHeight="17"/>
  <cols>
    <col min="1" max="1" width="9.75" style="8" bestFit="1" customWidth="1"/>
    <col min="2" max="2" width="8.58203125" style="8"/>
    <col min="3" max="4" width="10" style="8" bestFit="1" customWidth="1"/>
    <col min="5" max="12" width="8.58203125" style="8"/>
    <col min="13" max="16" width="11.58203125" style="8" customWidth="1"/>
    <col min="17" max="17" width="15" style="8" bestFit="1" customWidth="1"/>
    <col min="18" max="18" width="11.58203125" style="8" customWidth="1"/>
    <col min="19" max="22" width="8.58203125" style="8"/>
    <col min="23" max="23" width="11.58203125" style="8" bestFit="1" customWidth="1"/>
    <col min="24" max="26" width="6.58203125" style="8" bestFit="1" customWidth="1"/>
    <col min="27" max="27" width="11.25" style="8" bestFit="1" customWidth="1"/>
    <col min="28" max="28" width="7.58203125" style="8" bestFit="1" customWidth="1"/>
    <col min="29" max="16384" width="8.58203125" style="8"/>
  </cols>
  <sheetData>
    <row r="3" spans="1:29">
      <c r="A3" s="4" t="s">
        <v>26</v>
      </c>
      <c r="B3" s="1" t="s">
        <v>93</v>
      </c>
      <c r="C3" s="1" t="s">
        <v>93</v>
      </c>
      <c r="D3" s="1" t="s">
        <v>93</v>
      </c>
      <c r="E3" s="1" t="s">
        <v>93</v>
      </c>
      <c r="F3" s="1" t="s">
        <v>93</v>
      </c>
      <c r="G3" s="1" t="s">
        <v>94</v>
      </c>
      <c r="H3" s="1" t="s">
        <v>93</v>
      </c>
      <c r="I3" s="1" t="s">
        <v>180</v>
      </c>
      <c r="J3" s="1" t="s">
        <v>96</v>
      </c>
      <c r="K3" s="1" t="s">
        <v>96</v>
      </c>
      <c r="L3" s="1" t="s">
        <v>97</v>
      </c>
      <c r="M3" s="33" t="s">
        <v>181</v>
      </c>
      <c r="N3" s="33"/>
      <c r="O3" s="33"/>
      <c r="P3" s="33"/>
      <c r="Q3" s="33"/>
      <c r="R3" s="33"/>
      <c r="S3" s="280" t="s">
        <v>40</v>
      </c>
      <c r="T3" s="280"/>
      <c r="U3" s="280"/>
      <c r="V3" s="280"/>
      <c r="W3" s="33" t="s">
        <v>182</v>
      </c>
      <c r="X3" s="33"/>
      <c r="Y3" s="33"/>
      <c r="Z3" s="33"/>
      <c r="AA3" s="33"/>
      <c r="AB3" s="33"/>
      <c r="AC3" s="33" t="s">
        <v>183</v>
      </c>
    </row>
    <row r="4" spans="1:29">
      <c r="A4" s="5" t="s">
        <v>104</v>
      </c>
      <c r="B4" s="2" t="s">
        <v>105</v>
      </c>
      <c r="C4" s="2" t="s">
        <v>106</v>
      </c>
      <c r="D4" s="2" t="s">
        <v>107</v>
      </c>
      <c r="E4" s="2" t="s">
        <v>108</v>
      </c>
      <c r="F4" s="2" t="s">
        <v>109</v>
      </c>
      <c r="G4" s="2" t="s">
        <v>110</v>
      </c>
      <c r="H4" s="2" t="s">
        <v>111</v>
      </c>
      <c r="I4" s="3" t="s">
        <v>112</v>
      </c>
      <c r="J4" s="7" t="s">
        <v>113</v>
      </c>
      <c r="K4" s="7" t="s">
        <v>114</v>
      </c>
      <c r="L4" s="7" t="s">
        <v>115</v>
      </c>
      <c r="M4" s="7" t="s">
        <v>47</v>
      </c>
      <c r="N4" s="7" t="s">
        <v>48</v>
      </c>
      <c r="O4" s="7" t="s">
        <v>49</v>
      </c>
      <c r="P4" s="7" t="s">
        <v>50</v>
      </c>
      <c r="Q4" s="7" t="s">
        <v>51</v>
      </c>
      <c r="R4" s="7" t="s">
        <v>52</v>
      </c>
      <c r="S4" s="7" t="s">
        <v>53</v>
      </c>
      <c r="T4" s="7" t="s">
        <v>54</v>
      </c>
      <c r="U4" s="7" t="s">
        <v>55</v>
      </c>
      <c r="V4" s="7" t="s">
        <v>56</v>
      </c>
      <c r="W4" s="7" t="s">
        <v>57</v>
      </c>
      <c r="X4" s="7" t="s">
        <v>58</v>
      </c>
      <c r="Y4" s="7" t="s">
        <v>59</v>
      </c>
      <c r="Z4" s="7" t="s">
        <v>60</v>
      </c>
      <c r="AA4" s="7" t="s">
        <v>61</v>
      </c>
      <c r="AB4" s="7" t="s">
        <v>62</v>
      </c>
      <c r="AC4" s="7" t="s">
        <v>117</v>
      </c>
    </row>
    <row r="5" spans="1:29">
      <c r="A5" s="6">
        <v>46022</v>
      </c>
      <c r="B5" s="9">
        <v>651.20000000000005</v>
      </c>
      <c r="C5" s="9">
        <v>247667</v>
      </c>
      <c r="D5" s="9">
        <v>239580</v>
      </c>
      <c r="E5" s="9">
        <v>17003.900000000001</v>
      </c>
      <c r="F5" s="9">
        <v>14269.93</v>
      </c>
      <c r="G5" s="9">
        <v>4034.1</v>
      </c>
      <c r="H5" s="9">
        <v>32935</v>
      </c>
      <c r="I5" s="9">
        <f>11868+2862</f>
        <v>14730</v>
      </c>
      <c r="J5" s="10">
        <v>33.53</v>
      </c>
      <c r="K5" s="10">
        <v>33.04</v>
      </c>
      <c r="L5" s="9">
        <v>8039</v>
      </c>
      <c r="M5" s="10">
        <v>193789.61999999732</v>
      </c>
      <c r="N5" s="10">
        <v>0</v>
      </c>
      <c r="O5" s="10">
        <v>0</v>
      </c>
      <c r="P5" s="10">
        <v>0</v>
      </c>
      <c r="Q5" s="10"/>
      <c r="R5" s="10">
        <v>0</v>
      </c>
      <c r="W5" s="11"/>
      <c r="X5" s="11"/>
      <c r="Y5" s="11"/>
      <c r="Z5" s="11"/>
      <c r="AA5" s="11"/>
      <c r="AB5" s="11"/>
    </row>
    <row r="6" spans="1:29">
      <c r="A6" s="6">
        <v>46023</v>
      </c>
      <c r="B6" s="9">
        <v>651.20000000000005</v>
      </c>
      <c r="C6" s="9">
        <v>247711</v>
      </c>
      <c r="D6" s="9">
        <v>239580</v>
      </c>
      <c r="E6" s="9">
        <v>17009.240000000002</v>
      </c>
      <c r="F6" s="9">
        <v>14288.95</v>
      </c>
      <c r="G6" s="9">
        <v>4034.7</v>
      </c>
      <c r="H6" s="9">
        <v>33008</v>
      </c>
      <c r="I6" s="9">
        <v>14863</v>
      </c>
      <c r="J6" s="10">
        <v>33.44</v>
      </c>
      <c r="K6" s="10">
        <v>33.1</v>
      </c>
      <c r="L6" s="9">
        <v>7998</v>
      </c>
      <c r="M6" s="10">
        <v>198819.31000000238</v>
      </c>
      <c r="N6" s="10">
        <v>11207.579999999842</v>
      </c>
      <c r="O6" s="10">
        <v>0</v>
      </c>
      <c r="P6" s="10">
        <v>0</v>
      </c>
      <c r="Q6" s="10"/>
      <c r="R6" s="10">
        <v>11207.579999999842</v>
      </c>
      <c r="S6" s="9">
        <f>[18]운전시간외!C3</f>
        <v>24</v>
      </c>
      <c r="T6" s="9">
        <f>[18]운전시간외!D3</f>
        <v>0</v>
      </c>
      <c r="U6" s="9">
        <f>[18]운전시간외!E3</f>
        <v>0</v>
      </c>
      <c r="V6" s="9">
        <f>[18]운전시간외!F3</f>
        <v>0</v>
      </c>
      <c r="W6" s="11">
        <f>[18]생산!F3</f>
        <v>1223</v>
      </c>
      <c r="X6" s="11">
        <f>[18]생산!G3</f>
        <v>0</v>
      </c>
      <c r="Y6" s="11">
        <f>[18]생산!H3</f>
        <v>0</v>
      </c>
      <c r="Z6" s="11">
        <f>[18]생산!I3</f>
        <v>0</v>
      </c>
      <c r="AA6" s="11">
        <f>[18]생산!J3</f>
        <v>0</v>
      </c>
      <c r="AB6" s="11">
        <f>[18]생산!K3</f>
        <v>1223</v>
      </c>
      <c r="AC6" s="11">
        <f>ROUNDDOWN('[19]2026년'!G2/1000,1)</f>
        <v>72.5</v>
      </c>
    </row>
    <row r="7" spans="1:29">
      <c r="A7" s="6">
        <v>46024</v>
      </c>
      <c r="B7" s="9">
        <v>651.20000000000005</v>
      </c>
      <c r="C7" s="9">
        <v>247738</v>
      </c>
      <c r="D7" s="9">
        <v>239672</v>
      </c>
      <c r="E7" s="9">
        <v>17015</v>
      </c>
      <c r="F7" s="9">
        <v>14308</v>
      </c>
      <c r="G7" s="9">
        <v>4035.6</v>
      </c>
      <c r="H7" s="9">
        <v>33130</v>
      </c>
      <c r="I7" s="9">
        <f>12204+2921</f>
        <v>15125</v>
      </c>
      <c r="J7" s="10">
        <v>33.32</v>
      </c>
      <c r="K7" s="10">
        <v>33.11</v>
      </c>
      <c r="L7" s="9">
        <v>7434</v>
      </c>
      <c r="M7" s="10">
        <v>192757.96000000089</v>
      </c>
      <c r="N7" s="10">
        <v>65164.800000000047</v>
      </c>
      <c r="O7" s="10">
        <v>0</v>
      </c>
      <c r="P7" s="10">
        <v>0</v>
      </c>
      <c r="Q7" s="10"/>
      <c r="R7" s="10">
        <v>65164.800000000047</v>
      </c>
      <c r="S7" s="9">
        <f>[18]운전시간외!C4</f>
        <v>24</v>
      </c>
      <c r="T7" s="9">
        <f>[18]운전시간외!D4</f>
        <v>2</v>
      </c>
      <c r="U7" s="9">
        <f>[18]운전시간외!E4</f>
        <v>0</v>
      </c>
      <c r="V7" s="9">
        <f>[18]운전시간외!F4</f>
        <v>0</v>
      </c>
      <c r="W7" s="11">
        <f>[18]생산!F4</f>
        <v>1246</v>
      </c>
      <c r="X7" s="11">
        <f>[18]생산!G4</f>
        <v>89</v>
      </c>
      <c r="Y7" s="11">
        <f>[18]생산!H4</f>
        <v>0</v>
      </c>
      <c r="Z7" s="11">
        <f>[18]생산!I4</f>
        <v>0</v>
      </c>
      <c r="AA7" s="11">
        <f>[18]생산!J4</f>
        <v>89</v>
      </c>
      <c r="AB7" s="11">
        <f>[18]생산!K4</f>
        <v>1335</v>
      </c>
      <c r="AC7" s="11">
        <f>ROUNDDOWN('[19]2026년'!G3/1000,1)</f>
        <v>70</v>
      </c>
    </row>
    <row r="8" spans="1:29">
      <c r="A8" s="6">
        <v>46025</v>
      </c>
      <c r="B8" s="9">
        <v>651.20000000000005</v>
      </c>
      <c r="C8" s="9">
        <v>247827</v>
      </c>
      <c r="D8" s="9">
        <v>239672</v>
      </c>
      <c r="E8" s="9">
        <v>17022.66</v>
      </c>
      <c r="F8" s="9">
        <v>14330.01</v>
      </c>
      <c r="G8" s="9">
        <v>4036.8</v>
      </c>
      <c r="H8" s="9">
        <v>33336</v>
      </c>
      <c r="I8" s="9">
        <f>12340+2951</f>
        <v>15291</v>
      </c>
      <c r="J8" s="10">
        <v>33.44</v>
      </c>
      <c r="K8" s="10">
        <v>33.03</v>
      </c>
      <c r="L8" s="9">
        <v>8107</v>
      </c>
      <c r="M8" s="10">
        <v>197169.61999999732</v>
      </c>
      <c r="N8" s="10">
        <v>58486.39000000013</v>
      </c>
      <c r="O8" s="10">
        <v>0</v>
      </c>
      <c r="P8" s="10">
        <v>0</v>
      </c>
      <c r="Q8" s="10"/>
      <c r="R8" s="10">
        <v>58486.39000000013</v>
      </c>
      <c r="S8" s="9">
        <f>[18]운전시간외!C5</f>
        <v>24</v>
      </c>
      <c r="T8" s="9">
        <f>[18]운전시간외!D5</f>
        <v>10</v>
      </c>
      <c r="U8" s="9">
        <f>[18]운전시간외!E5</f>
        <v>0</v>
      </c>
      <c r="V8" s="9">
        <f>[18]운전시간외!F5</f>
        <v>0</v>
      </c>
      <c r="W8" s="11">
        <f>[18]생산!F5</f>
        <v>1225</v>
      </c>
      <c r="X8" s="11">
        <f>[18]생산!G5</f>
        <v>587</v>
      </c>
      <c r="Y8" s="11">
        <f>[18]생산!H5</f>
        <v>0</v>
      </c>
      <c r="Z8" s="11">
        <f>[18]생산!I5</f>
        <v>0</v>
      </c>
      <c r="AA8" s="11">
        <f>[18]생산!J5</f>
        <v>587</v>
      </c>
      <c r="AB8" s="11">
        <f>[18]생산!K5</f>
        <v>1812</v>
      </c>
      <c r="AC8" s="11">
        <f>ROUNDDOWN('[19]2026년'!G4/1000,1)</f>
        <v>71.900000000000006</v>
      </c>
    </row>
    <row r="9" spans="1:29">
      <c r="A9" s="6">
        <v>46026</v>
      </c>
      <c r="B9" s="9">
        <v>651.20000000000005</v>
      </c>
      <c r="C9" s="9">
        <v>247872</v>
      </c>
      <c r="D9" s="9">
        <v>239672</v>
      </c>
      <c r="E9" s="9">
        <v>17032.650000000001</v>
      </c>
      <c r="F9" s="9">
        <v>14352.44</v>
      </c>
      <c r="G9" s="9">
        <v>4037.5</v>
      </c>
      <c r="H9" s="9">
        <v>33409</v>
      </c>
      <c r="I9" s="9">
        <f>12427+2982</f>
        <v>15409</v>
      </c>
      <c r="J9" s="10">
        <v>33.08</v>
      </c>
      <c r="K9" s="10">
        <v>33.229999999999997</v>
      </c>
      <c r="L9" s="9">
        <v>8095</v>
      </c>
      <c r="M9" s="10">
        <v>197706.50999999791</v>
      </c>
      <c r="N9" s="10">
        <v>0</v>
      </c>
      <c r="O9" s="10">
        <v>0</v>
      </c>
      <c r="P9" s="10">
        <v>0</v>
      </c>
      <c r="Q9" s="10"/>
      <c r="R9" s="10">
        <v>0</v>
      </c>
      <c r="S9" s="9">
        <f>[18]운전시간외!C6</f>
        <v>24</v>
      </c>
      <c r="T9" s="9">
        <f>[18]운전시간외!D6</f>
        <v>15</v>
      </c>
      <c r="U9" s="9">
        <f>[18]운전시간외!E6</f>
        <v>0</v>
      </c>
      <c r="V9" s="9">
        <f>[18]운전시간외!F6</f>
        <v>0</v>
      </c>
      <c r="W9" s="11">
        <f>[18]생산!F6</f>
        <v>1242</v>
      </c>
      <c r="X9" s="11">
        <f>[18]생산!G6</f>
        <v>518</v>
      </c>
      <c r="Y9" s="11">
        <f>[18]생산!H6</f>
        <v>0</v>
      </c>
      <c r="Z9" s="11">
        <f>[18]생산!I6</f>
        <v>0</v>
      </c>
      <c r="AA9" s="11">
        <f>[18]생산!J6</f>
        <v>518</v>
      </c>
      <c r="AB9" s="11">
        <f>[18]생산!K6</f>
        <v>1760</v>
      </c>
      <c r="AC9" s="11">
        <f>ROUNDDOWN('[19]2026년'!G5/1000,1)</f>
        <v>68.5</v>
      </c>
    </row>
    <row r="10" spans="1:29">
      <c r="A10" s="6">
        <v>46027</v>
      </c>
      <c r="B10" s="9">
        <v>651.20000000000005</v>
      </c>
      <c r="C10" s="9">
        <v>247872</v>
      </c>
      <c r="D10" s="9">
        <v>239734</v>
      </c>
      <c r="E10" s="9">
        <v>17042.12</v>
      </c>
      <c r="F10" s="9">
        <v>14375.73</v>
      </c>
      <c r="G10" s="9">
        <v>4038.2</v>
      </c>
      <c r="H10" s="9">
        <v>33454</v>
      </c>
      <c r="I10" s="9">
        <f>12556+3014</f>
        <v>15570</v>
      </c>
      <c r="J10" s="10">
        <v>33.24</v>
      </c>
      <c r="K10" s="10">
        <v>33.06</v>
      </c>
      <c r="L10" s="9">
        <v>8014</v>
      </c>
      <c r="M10" s="10">
        <v>198227.56000000238</v>
      </c>
      <c r="N10" s="10">
        <v>0</v>
      </c>
      <c r="O10" s="10">
        <v>0</v>
      </c>
      <c r="P10" s="10">
        <v>0</v>
      </c>
      <c r="Q10" s="10"/>
      <c r="R10" s="10">
        <v>0</v>
      </c>
      <c r="S10" s="9">
        <f>[18]운전시간외!C7</f>
        <v>24</v>
      </c>
      <c r="T10" s="9">
        <f>[18]운전시간외!D7</f>
        <v>0</v>
      </c>
      <c r="U10" s="9">
        <f>[18]운전시간외!E7</f>
        <v>0</v>
      </c>
      <c r="V10" s="9">
        <f>[18]운전시간외!F7</f>
        <v>0</v>
      </c>
      <c r="W10" s="11">
        <f>[18]생산!F7</f>
        <v>1243</v>
      </c>
      <c r="X10" s="11">
        <f>[18]생산!G7</f>
        <v>0</v>
      </c>
      <c r="Y10" s="11">
        <f>[18]생산!H7</f>
        <v>0</v>
      </c>
      <c r="Z10" s="11">
        <f>[18]생산!I7</f>
        <v>0</v>
      </c>
      <c r="AA10" s="11">
        <f>[18]생산!J7</f>
        <v>0</v>
      </c>
      <c r="AB10" s="11">
        <f>[18]생산!K7</f>
        <v>1243</v>
      </c>
      <c r="AC10" s="11">
        <f>ROUNDDOWN('[19]2026년'!G6/1000,1)</f>
        <v>78.5</v>
      </c>
    </row>
    <row r="11" spans="1:29">
      <c r="A11" s="6">
        <v>46028</v>
      </c>
      <c r="B11" s="9">
        <v>651.20000000000005</v>
      </c>
      <c r="C11" s="9">
        <v>247944</v>
      </c>
      <c r="D11" s="9">
        <v>239763</v>
      </c>
      <c r="E11" s="9">
        <v>17045.72</v>
      </c>
      <c r="F11" s="9">
        <v>14397.53</v>
      </c>
      <c r="G11" s="9">
        <v>4038.8</v>
      </c>
      <c r="H11" s="9">
        <v>33506</v>
      </c>
      <c r="I11" s="9">
        <f>12735+3041</f>
        <v>15776</v>
      </c>
      <c r="J11" s="10">
        <v>33.69</v>
      </c>
      <c r="K11" s="10">
        <v>33.04</v>
      </c>
      <c r="L11" s="9">
        <v>8360</v>
      </c>
      <c r="M11" s="10">
        <v>195704.11999999732</v>
      </c>
      <c r="N11" s="10">
        <v>0</v>
      </c>
      <c r="O11" s="10">
        <v>0</v>
      </c>
      <c r="P11" s="10">
        <v>0</v>
      </c>
      <c r="Q11" s="10"/>
      <c r="R11" s="10">
        <v>0</v>
      </c>
      <c r="S11" s="9">
        <f>[18]운전시간외!C8</f>
        <v>24</v>
      </c>
      <c r="T11" s="9">
        <f>[18]운전시간외!D8</f>
        <v>0</v>
      </c>
      <c r="U11" s="9">
        <f>[18]운전시간외!E8</f>
        <v>0</v>
      </c>
      <c r="V11" s="9">
        <f>[18]운전시간외!F8</f>
        <v>0</v>
      </c>
      <c r="W11" s="11">
        <f>[18]생산!F8</f>
        <v>1254</v>
      </c>
      <c r="X11" s="11">
        <f>[18]생산!G8</f>
        <v>0</v>
      </c>
      <c r="Y11" s="11">
        <f>[18]생산!H8</f>
        <v>0</v>
      </c>
      <c r="Z11" s="11">
        <f>[18]생산!I8</f>
        <v>0</v>
      </c>
      <c r="AA11" s="11">
        <f>[18]생산!J8</f>
        <v>0</v>
      </c>
      <c r="AB11" s="11">
        <f>[18]생산!K8</f>
        <v>1254</v>
      </c>
      <c r="AC11" s="11">
        <f>ROUNDDOWN('[19]2026년'!G7/1000,1)</f>
        <v>75</v>
      </c>
    </row>
    <row r="12" spans="1:29">
      <c r="A12" s="6">
        <v>46029</v>
      </c>
      <c r="B12" s="9">
        <v>651.20000000000005</v>
      </c>
      <c r="C12" s="9">
        <v>247990</v>
      </c>
      <c r="D12" s="9">
        <v>239797</v>
      </c>
      <c r="E12" s="9">
        <v>17055.03</v>
      </c>
      <c r="F12" s="9">
        <v>14418.34</v>
      </c>
      <c r="G12" s="9">
        <v>4039.8</v>
      </c>
      <c r="H12" s="9">
        <v>33624</v>
      </c>
      <c r="I12" s="9">
        <f>3074+12905</f>
        <v>15979</v>
      </c>
      <c r="J12" s="10">
        <v>33.613</v>
      </c>
      <c r="K12" s="10">
        <v>33.021000000000001</v>
      </c>
      <c r="L12" s="9">
        <v>8492.8780000000006</v>
      </c>
      <c r="M12" s="10">
        <v>199516.97000000626</v>
      </c>
      <c r="N12" s="10">
        <v>0</v>
      </c>
      <c r="O12" s="10">
        <v>0</v>
      </c>
      <c r="P12" s="10">
        <v>0</v>
      </c>
      <c r="Q12" s="10"/>
      <c r="R12" s="10">
        <v>0</v>
      </c>
      <c r="S12" s="9">
        <f>[18]운전시간외!C9</f>
        <v>24</v>
      </c>
      <c r="T12" s="9">
        <f>[18]운전시간외!D9</f>
        <v>0</v>
      </c>
      <c r="U12" s="9">
        <f>[18]운전시간외!E9</f>
        <v>0</v>
      </c>
      <c r="V12" s="9">
        <f>[18]운전시간외!F9</f>
        <v>0</v>
      </c>
      <c r="W12" s="11">
        <f>[18]생산!F9</f>
        <v>1253.2449999999999</v>
      </c>
      <c r="X12" s="11">
        <f>[18]생산!G9</f>
        <v>0</v>
      </c>
      <c r="Y12" s="11">
        <f>[18]생산!H9</f>
        <v>0</v>
      </c>
      <c r="Z12" s="11">
        <f>[18]생산!I9</f>
        <v>0</v>
      </c>
      <c r="AA12" s="11">
        <f>[18]생산!J9</f>
        <v>0</v>
      </c>
      <c r="AB12" s="11">
        <f>[18]생산!K9</f>
        <v>1253.2449999999999</v>
      </c>
      <c r="AC12" s="11">
        <f>ROUNDDOWN('[19]2026년'!G8/1000,1)</f>
        <v>78.7</v>
      </c>
    </row>
    <row r="13" spans="1:29">
      <c r="A13" s="6">
        <v>46030</v>
      </c>
      <c r="B13" s="9">
        <v>651.20000000000005</v>
      </c>
      <c r="C13" s="9">
        <v>248051</v>
      </c>
      <c r="D13" s="9">
        <v>239824</v>
      </c>
      <c r="E13" s="9">
        <v>17060.45</v>
      </c>
      <c r="F13" s="9">
        <v>14439.66</v>
      </c>
      <c r="G13" s="9">
        <v>4041.2</v>
      </c>
      <c r="H13" s="9">
        <v>33877</v>
      </c>
      <c r="I13" s="9">
        <f>3102+13038</f>
        <v>16140</v>
      </c>
      <c r="J13" s="10">
        <v>33.606999999999999</v>
      </c>
      <c r="K13" s="10">
        <v>33.081000000000003</v>
      </c>
      <c r="L13" s="9">
        <v>8590.9359999999997</v>
      </c>
      <c r="M13" s="10">
        <v>198945.79999999702</v>
      </c>
      <c r="N13" s="10">
        <v>0</v>
      </c>
      <c r="O13" s="10">
        <v>0</v>
      </c>
      <c r="P13" s="10">
        <v>0</v>
      </c>
      <c r="Q13" s="10"/>
      <c r="R13" s="10">
        <v>0</v>
      </c>
      <c r="S13" s="9">
        <f>[18]운전시간외!C10</f>
        <v>24</v>
      </c>
      <c r="T13" s="9">
        <f>[18]운전시간외!D10</f>
        <v>0</v>
      </c>
      <c r="U13" s="9">
        <f>[18]운전시간외!E10</f>
        <v>0</v>
      </c>
      <c r="V13" s="9">
        <f>[18]운전시간외!F10</f>
        <v>0</v>
      </c>
      <c r="W13" s="11">
        <f>[18]생산!F10</f>
        <v>1256.4369999999999</v>
      </c>
      <c r="X13" s="11">
        <f>[18]생산!G10</f>
        <v>0</v>
      </c>
      <c r="Y13" s="11">
        <f>[18]생산!H10</f>
        <v>0</v>
      </c>
      <c r="Z13" s="11">
        <f>[18]생산!I10</f>
        <v>0</v>
      </c>
      <c r="AA13" s="11">
        <f>[18]생산!J10</f>
        <v>0</v>
      </c>
      <c r="AB13" s="11">
        <f>[18]생산!K10</f>
        <v>1256.4369999999999</v>
      </c>
      <c r="AC13" s="11">
        <f>ROUNDDOWN('[19]2026년'!G9/1000,1)</f>
        <v>77.099999999999994</v>
      </c>
    </row>
    <row r="14" spans="1:29">
      <c r="A14" s="6">
        <v>46031</v>
      </c>
      <c r="B14" s="9">
        <v>651.20000000000005</v>
      </c>
      <c r="C14" s="9">
        <v>248165</v>
      </c>
      <c r="D14" s="9">
        <v>239829</v>
      </c>
      <c r="E14" s="9">
        <v>17065.53</v>
      </c>
      <c r="F14" s="9">
        <v>14459.7</v>
      </c>
      <c r="G14" s="9">
        <v>4042.2</v>
      </c>
      <c r="H14" s="9">
        <v>34015</v>
      </c>
      <c r="I14" s="9">
        <f>3130+13214</f>
        <v>16344</v>
      </c>
      <c r="J14" s="10">
        <v>33.64</v>
      </c>
      <c r="K14" s="10">
        <v>33.119999999999997</v>
      </c>
      <c r="L14" s="9">
        <v>8533</v>
      </c>
      <c r="M14" s="10">
        <v>197742.83999999613</v>
      </c>
      <c r="N14" s="10">
        <v>0</v>
      </c>
      <c r="O14" s="10">
        <v>0</v>
      </c>
      <c r="P14" s="10">
        <v>0</v>
      </c>
      <c r="Q14" s="10"/>
      <c r="R14" s="10">
        <v>0</v>
      </c>
      <c r="S14" s="9">
        <f>[18]운전시간외!C11</f>
        <v>24</v>
      </c>
      <c r="T14" s="9">
        <f>[18]운전시간외!D11</f>
        <v>0</v>
      </c>
      <c r="U14" s="9">
        <f>[18]운전시간외!E11</f>
        <v>0</v>
      </c>
      <c r="V14" s="9">
        <f>[18]운전시간외!F11</f>
        <v>0</v>
      </c>
      <c r="W14" s="11">
        <f>[18]생산!F11</f>
        <v>1250.3180000000002</v>
      </c>
      <c r="X14" s="11">
        <f>[18]생산!G11</f>
        <v>0</v>
      </c>
      <c r="Y14" s="11">
        <f>[18]생산!H11</f>
        <v>0</v>
      </c>
      <c r="Z14" s="11">
        <f>[18]생산!I11</f>
        <v>0</v>
      </c>
      <c r="AA14" s="11">
        <f>[18]생산!J11</f>
        <v>0</v>
      </c>
      <c r="AB14" s="11">
        <f>[18]생산!K11</f>
        <v>1250.3180000000002</v>
      </c>
      <c r="AC14" s="11">
        <f>ROUNDDOWN('[19]2026년'!G10/1000,1)</f>
        <v>59.3</v>
      </c>
    </row>
    <row r="15" spans="1:29">
      <c r="A15" s="6">
        <v>46032</v>
      </c>
      <c r="B15" s="9">
        <v>651.20000000000005</v>
      </c>
      <c r="C15" s="9">
        <v>248165</v>
      </c>
      <c r="D15" s="9">
        <v>239871</v>
      </c>
      <c r="E15" s="9">
        <v>17069.080000000002</v>
      </c>
      <c r="F15" s="9">
        <v>14482</v>
      </c>
      <c r="G15" s="9">
        <v>4042.9</v>
      </c>
      <c r="H15" s="9">
        <v>34096</v>
      </c>
      <c r="I15" s="9">
        <v>16460</v>
      </c>
      <c r="J15" s="10">
        <v>33.56</v>
      </c>
      <c r="K15" s="10">
        <v>33.07</v>
      </c>
      <c r="L15" s="9">
        <v>8465</v>
      </c>
      <c r="M15" s="10">
        <v>199460.59000000358</v>
      </c>
      <c r="N15" s="10">
        <v>221.17999999993481</v>
      </c>
      <c r="O15" s="10">
        <v>0</v>
      </c>
      <c r="P15" s="10">
        <v>0</v>
      </c>
      <c r="Q15" s="10"/>
      <c r="R15" s="10">
        <v>221.17999999993481</v>
      </c>
      <c r="S15" s="9">
        <f>[18]운전시간외!C12</f>
        <v>24</v>
      </c>
      <c r="T15" s="9">
        <f>[18]운전시간외!D12</f>
        <v>0</v>
      </c>
      <c r="U15" s="9">
        <f>[18]운전시간외!E12</f>
        <v>0</v>
      </c>
      <c r="V15" s="9">
        <f>[18]운전시간외!F12</f>
        <v>0</v>
      </c>
      <c r="W15" s="11">
        <f>[18]생산!F12</f>
        <v>1249</v>
      </c>
      <c r="X15" s="11">
        <f>[18]생산!G12</f>
        <v>0</v>
      </c>
      <c r="Y15" s="11">
        <f>[18]생산!H12</f>
        <v>0</v>
      </c>
      <c r="Z15" s="11">
        <f>[18]생산!I12</f>
        <v>0</v>
      </c>
      <c r="AA15" s="11">
        <f>[18]생산!J12</f>
        <v>0</v>
      </c>
      <c r="AB15" s="11">
        <f>[18]생산!K12</f>
        <v>1249</v>
      </c>
      <c r="AC15" s="11">
        <f>ROUNDDOWN('[19]2026년'!G11/1000,1)</f>
        <v>76.099999999999994</v>
      </c>
    </row>
    <row r="16" spans="1:29">
      <c r="A16" s="6">
        <v>46033</v>
      </c>
      <c r="B16" s="9">
        <v>651.20000000000005</v>
      </c>
      <c r="C16" s="9">
        <v>248165</v>
      </c>
      <c r="D16" s="9">
        <v>239914</v>
      </c>
      <c r="E16" s="9">
        <v>17072.48</v>
      </c>
      <c r="F16" s="9">
        <v>14501.86</v>
      </c>
      <c r="G16" s="9">
        <v>4043.7</v>
      </c>
      <c r="H16" s="9">
        <v>34167</v>
      </c>
      <c r="I16" s="9">
        <v>16576</v>
      </c>
      <c r="J16" s="10">
        <v>33.200000000000003</v>
      </c>
      <c r="K16" s="10">
        <v>33.03</v>
      </c>
      <c r="L16" s="9">
        <v>8395</v>
      </c>
      <c r="M16" s="10">
        <v>192423.42000000179</v>
      </c>
      <c r="N16" s="10">
        <v>33315.149999999907</v>
      </c>
      <c r="O16" s="10">
        <v>0</v>
      </c>
      <c r="P16" s="10">
        <v>0</v>
      </c>
      <c r="Q16" s="10"/>
      <c r="R16" s="10">
        <v>33315.149999999907</v>
      </c>
      <c r="S16" s="9">
        <f>[18]운전시간외!C13</f>
        <v>24</v>
      </c>
      <c r="T16" s="9">
        <f>[18]운전시간외!D13</f>
        <v>0</v>
      </c>
      <c r="U16" s="9">
        <f>[18]운전시간외!E13</f>
        <v>0</v>
      </c>
      <c r="V16" s="9">
        <f>[18]운전시간외!F13</f>
        <v>0</v>
      </c>
      <c r="W16" s="11">
        <f>[18]생산!F13</f>
        <v>1246</v>
      </c>
      <c r="X16" s="11">
        <f>[18]생산!G13</f>
        <v>0</v>
      </c>
      <c r="Y16" s="11">
        <f>[18]생산!H13</f>
        <v>0</v>
      </c>
      <c r="Z16" s="11">
        <f>[18]생산!I13</f>
        <v>0</v>
      </c>
      <c r="AA16" s="11">
        <f>[18]생산!J13</f>
        <v>0</v>
      </c>
      <c r="AB16" s="11">
        <f>[18]생산!K13</f>
        <v>1246</v>
      </c>
      <c r="AC16" s="11">
        <f>ROUNDDOWN('[19]2026년'!G12/1000,1)</f>
        <v>79.900000000000006</v>
      </c>
    </row>
    <row r="17" spans="1:29">
      <c r="A17" s="6">
        <v>46034</v>
      </c>
      <c r="B17" s="9">
        <v>651.20000000000005</v>
      </c>
      <c r="C17" s="9">
        <v>248210</v>
      </c>
      <c r="D17" s="9">
        <v>239961</v>
      </c>
      <c r="E17" s="9">
        <v>17077.46</v>
      </c>
      <c r="F17" s="9">
        <v>14520.93</v>
      </c>
      <c r="G17" s="9">
        <v>4044.7</v>
      </c>
      <c r="H17" s="9">
        <v>34316</v>
      </c>
      <c r="I17" s="9">
        <v>16749</v>
      </c>
      <c r="J17" s="10">
        <v>33.29</v>
      </c>
      <c r="K17" s="10">
        <v>33.14</v>
      </c>
      <c r="L17" s="9">
        <v>8330</v>
      </c>
      <c r="M17" s="10">
        <v>197392.46999999881</v>
      </c>
      <c r="N17" s="10">
        <v>0</v>
      </c>
      <c r="O17" s="10">
        <v>0</v>
      </c>
      <c r="P17" s="10">
        <v>0</v>
      </c>
      <c r="Q17" s="10"/>
      <c r="R17" s="10">
        <v>0</v>
      </c>
      <c r="S17" s="9">
        <f>[18]운전시간외!C14</f>
        <v>24</v>
      </c>
      <c r="T17" s="9">
        <f>[18]운전시간외!D14</f>
        <v>6</v>
      </c>
      <c r="U17" s="9">
        <f>[18]운전시간외!E14</f>
        <v>0</v>
      </c>
      <c r="V17" s="9">
        <f>[18]운전시간외!F14</f>
        <v>0</v>
      </c>
      <c r="W17" s="11">
        <f>[18]생산!F14</f>
        <v>1243</v>
      </c>
      <c r="X17" s="11">
        <f>[18]생산!G14</f>
        <v>292</v>
      </c>
      <c r="Y17" s="11">
        <f>[18]생산!H14</f>
        <v>0</v>
      </c>
      <c r="Z17" s="11">
        <f>[18]생산!I14</f>
        <v>0</v>
      </c>
      <c r="AA17" s="11">
        <f>[18]생산!J14</f>
        <v>292</v>
      </c>
      <c r="AB17" s="11">
        <f>[18]생산!K14</f>
        <v>1535</v>
      </c>
      <c r="AC17" s="11">
        <f>ROUNDDOWN('[19]2026년'!G13/1000,1)</f>
        <v>70.400000000000006</v>
      </c>
    </row>
    <row r="18" spans="1:29">
      <c r="A18" s="6">
        <v>46035</v>
      </c>
      <c r="B18" s="9">
        <v>651.20000000000005</v>
      </c>
      <c r="C18" s="9">
        <v>248263</v>
      </c>
      <c r="D18" s="9">
        <v>239961</v>
      </c>
      <c r="E18" s="9">
        <v>17083.02</v>
      </c>
      <c r="F18" s="9">
        <v>14542.57</v>
      </c>
      <c r="G18" s="9">
        <v>4045.3</v>
      </c>
      <c r="H18" s="9">
        <v>34379</v>
      </c>
      <c r="I18" s="9">
        <f>3237+13669</f>
        <v>16906</v>
      </c>
      <c r="J18" s="10">
        <v>33.18</v>
      </c>
      <c r="K18" s="10">
        <v>33.04</v>
      </c>
      <c r="L18" s="9">
        <v>8136</v>
      </c>
      <c r="M18" s="10">
        <v>196359.94999999553</v>
      </c>
      <c r="N18" s="10">
        <v>0</v>
      </c>
      <c r="O18" s="10">
        <v>0</v>
      </c>
      <c r="P18" s="10">
        <v>0</v>
      </c>
      <c r="Q18" s="10"/>
      <c r="R18" s="10">
        <v>0</v>
      </c>
      <c r="S18" s="9">
        <f>[18]운전시간외!C15</f>
        <v>24</v>
      </c>
      <c r="T18" s="9">
        <f>[18]운전시간외!D15</f>
        <v>0</v>
      </c>
      <c r="U18" s="9">
        <f>[18]운전시간외!E15</f>
        <v>0</v>
      </c>
      <c r="V18" s="9">
        <f>[18]운전시간외!F15</f>
        <v>0</v>
      </c>
      <c r="W18" s="11">
        <f>[18]생산!F15</f>
        <v>1248</v>
      </c>
      <c r="X18" s="11">
        <f>[18]생산!G15</f>
        <v>0</v>
      </c>
      <c r="Y18" s="11">
        <f>[18]생산!H15</f>
        <v>0</v>
      </c>
      <c r="Z18" s="11">
        <f>[18]생산!I15</f>
        <v>0</v>
      </c>
      <c r="AA18" s="11">
        <f>[18]생산!J15</f>
        <v>0</v>
      </c>
      <c r="AB18" s="11">
        <f>[18]생산!K15</f>
        <v>1248</v>
      </c>
      <c r="AC18" s="11">
        <f>ROUNDDOWN('[19]2026년'!G14/1000,1)</f>
        <v>76.7</v>
      </c>
    </row>
    <row r="19" spans="1:29">
      <c r="A19" s="6">
        <v>46036</v>
      </c>
      <c r="B19" s="9">
        <v>651.20000000000005</v>
      </c>
      <c r="C19" s="9">
        <v>248296</v>
      </c>
      <c r="D19" s="9">
        <v>240026</v>
      </c>
      <c r="E19" s="9">
        <v>17087.96</v>
      </c>
      <c r="F19" s="9">
        <v>14563.56</v>
      </c>
      <c r="G19" s="9">
        <v>4046.3</v>
      </c>
      <c r="H19" s="9">
        <v>34500</v>
      </c>
      <c r="I19" s="9">
        <f>3266+13880</f>
        <v>17146</v>
      </c>
      <c r="J19" s="10">
        <v>33.36</v>
      </c>
      <c r="K19" s="10">
        <v>33</v>
      </c>
      <c r="L19" s="9">
        <v>8331</v>
      </c>
      <c r="M19" s="10">
        <v>196254.91000000387</v>
      </c>
      <c r="N19" s="10">
        <v>0</v>
      </c>
      <c r="O19" s="10">
        <v>0</v>
      </c>
      <c r="P19" s="10">
        <v>0</v>
      </c>
      <c r="Q19" s="10"/>
      <c r="R19" s="10">
        <v>0</v>
      </c>
      <c r="S19" s="9">
        <f>[18]운전시간외!C16</f>
        <v>24</v>
      </c>
      <c r="T19" s="9">
        <f>[18]운전시간외!D16</f>
        <v>0</v>
      </c>
      <c r="U19" s="9">
        <f>[18]운전시간외!E16</f>
        <v>0</v>
      </c>
      <c r="V19" s="9">
        <f>[18]운전시간외!F16</f>
        <v>0</v>
      </c>
      <c r="W19" s="11">
        <f>[18]생산!F16</f>
        <v>1247</v>
      </c>
      <c r="X19" s="11">
        <f>[18]생산!G16</f>
        <v>0</v>
      </c>
      <c r="Y19" s="11">
        <f>[18]생산!H16</f>
        <v>0</v>
      </c>
      <c r="Z19" s="11">
        <f>[18]생산!I16</f>
        <v>0</v>
      </c>
      <c r="AA19" s="11">
        <f>[18]생산!J16</f>
        <v>0</v>
      </c>
      <c r="AB19" s="11">
        <f>[18]생산!K16</f>
        <v>1247</v>
      </c>
      <c r="AC19" s="11">
        <f>ROUNDDOWN('[19]2026년'!G15/1000,1)</f>
        <v>76.400000000000006</v>
      </c>
    </row>
    <row r="20" spans="1:29">
      <c r="A20" s="6">
        <v>46037</v>
      </c>
      <c r="B20" s="9">
        <v>651.20000000000005</v>
      </c>
      <c r="C20" s="9">
        <v>248342</v>
      </c>
      <c r="D20" s="9">
        <v>240048</v>
      </c>
      <c r="E20" s="9">
        <v>17093.25</v>
      </c>
      <c r="F20" s="9">
        <v>14585.46</v>
      </c>
      <c r="G20" s="9">
        <v>4047.6</v>
      </c>
      <c r="H20" s="9">
        <v>34719</v>
      </c>
      <c r="I20" s="9">
        <f>3293+14003</f>
        <v>17296</v>
      </c>
      <c r="J20" s="10">
        <v>33.5</v>
      </c>
      <c r="K20" s="10">
        <v>33</v>
      </c>
      <c r="L20" s="9">
        <v>8060</v>
      </c>
      <c r="M20" s="10">
        <v>193644.11999999732</v>
      </c>
      <c r="N20" s="10">
        <v>0</v>
      </c>
      <c r="O20" s="10">
        <v>0</v>
      </c>
      <c r="P20" s="10">
        <v>0</v>
      </c>
      <c r="Q20" s="10"/>
      <c r="R20" s="10">
        <v>0</v>
      </c>
      <c r="S20" s="9">
        <f>[18]운전시간외!C17</f>
        <v>24</v>
      </c>
      <c r="T20" s="9">
        <f>[18]운전시간외!D17</f>
        <v>0</v>
      </c>
      <c r="U20" s="9">
        <f>[18]운전시간외!E17</f>
        <v>0</v>
      </c>
      <c r="V20" s="9">
        <f>[18]운전시간외!F17</f>
        <v>0</v>
      </c>
      <c r="W20" s="11">
        <f>[18]생산!F17</f>
        <v>1249</v>
      </c>
      <c r="X20" s="11">
        <f>[18]생산!G17</f>
        <v>0</v>
      </c>
      <c r="Y20" s="11">
        <f>[18]생산!H17</f>
        <v>0</v>
      </c>
      <c r="Z20" s="11">
        <f>[18]생산!I17</f>
        <v>0</v>
      </c>
      <c r="AA20" s="11">
        <f>[18]생산!J17</f>
        <v>0</v>
      </c>
      <c r="AB20" s="11">
        <f>[18]생산!K17</f>
        <v>1249</v>
      </c>
      <c r="AC20" s="11">
        <f>ROUNDDOWN('[19]2026년'!G16/1000,1)</f>
        <v>66.900000000000006</v>
      </c>
    </row>
    <row r="21" spans="1:29">
      <c r="A21" s="6">
        <v>46038</v>
      </c>
      <c r="B21" s="9">
        <v>651.20000000000005</v>
      </c>
      <c r="C21" s="9">
        <v>248412</v>
      </c>
      <c r="D21" s="9">
        <v>240111</v>
      </c>
      <c r="E21" s="9">
        <v>17097.72</v>
      </c>
      <c r="F21" s="9">
        <v>14606</v>
      </c>
      <c r="G21" s="9">
        <v>4048.6</v>
      </c>
      <c r="H21" s="9">
        <v>34815</v>
      </c>
      <c r="I21" s="9">
        <f>3322+14223</f>
        <v>17545</v>
      </c>
      <c r="J21" s="10">
        <v>33.795999999999999</v>
      </c>
      <c r="K21" s="10">
        <v>32.965000000000003</v>
      </c>
      <c r="L21" s="9">
        <v>8455.75</v>
      </c>
      <c r="M21" s="10">
        <v>180803.06000000238</v>
      </c>
      <c r="N21" s="10">
        <v>0</v>
      </c>
      <c r="O21" s="10">
        <v>0</v>
      </c>
      <c r="P21" s="10">
        <v>0</v>
      </c>
      <c r="Q21" s="10"/>
      <c r="R21" s="10">
        <v>0</v>
      </c>
      <c r="S21" s="9">
        <f>[18]운전시간외!C18</f>
        <v>24</v>
      </c>
      <c r="T21" s="9">
        <f>[18]운전시간외!D18</f>
        <v>0</v>
      </c>
      <c r="U21" s="9">
        <f>[18]운전시간외!E18</f>
        <v>0</v>
      </c>
      <c r="V21" s="9">
        <f>[18]운전시간외!F18</f>
        <v>0</v>
      </c>
      <c r="W21" s="11">
        <f>[18]생산!F18</f>
        <v>1247.6909999999998</v>
      </c>
      <c r="X21" s="11">
        <f>[18]생산!G18</f>
        <v>0</v>
      </c>
      <c r="Y21" s="11">
        <f>[18]생산!H18</f>
        <v>0</v>
      </c>
      <c r="Z21" s="11">
        <f>[18]생산!I18</f>
        <v>0</v>
      </c>
      <c r="AA21" s="11">
        <f>[18]생산!J18</f>
        <v>0</v>
      </c>
      <c r="AB21" s="11">
        <f>[18]생산!K18</f>
        <v>1247.6909999999998</v>
      </c>
      <c r="AC21" s="11">
        <f>ROUNDDOWN('[19]2026년'!G17/1000,1)</f>
        <v>74.900000000000006</v>
      </c>
    </row>
    <row r="22" spans="1:29">
      <c r="A22" s="6">
        <v>46039</v>
      </c>
      <c r="B22" s="9">
        <v>651.20000000000005</v>
      </c>
      <c r="C22" s="9">
        <v>248412</v>
      </c>
      <c r="D22" s="9">
        <v>240153</v>
      </c>
      <c r="E22" s="9">
        <v>17100.330000000002</v>
      </c>
      <c r="F22" s="9">
        <v>14627.14</v>
      </c>
      <c r="G22" s="9">
        <v>4049.6</v>
      </c>
      <c r="H22" s="9">
        <v>34955</v>
      </c>
      <c r="I22" s="9">
        <f>3346+14309</f>
        <v>17655</v>
      </c>
      <c r="J22" s="10">
        <v>33.713000000000001</v>
      </c>
      <c r="K22" s="10">
        <v>32.957000000000001</v>
      </c>
      <c r="L22" s="9">
        <v>8367.7829999999994</v>
      </c>
      <c r="M22" s="10">
        <v>141563.42000000179</v>
      </c>
      <c r="N22" s="10">
        <v>0</v>
      </c>
      <c r="O22" s="10">
        <v>0</v>
      </c>
      <c r="P22" s="10">
        <v>0</v>
      </c>
      <c r="Q22" s="10"/>
      <c r="R22" s="10">
        <v>0</v>
      </c>
      <c r="S22" s="9">
        <f>[18]운전시간외!C19</f>
        <v>24</v>
      </c>
      <c r="T22" s="9">
        <f>[18]운전시간외!D19</f>
        <v>0</v>
      </c>
      <c r="U22" s="9">
        <f>[18]운전시간외!E19</f>
        <v>0</v>
      </c>
      <c r="V22" s="9">
        <f>[18]운전시간외!F19</f>
        <v>0</v>
      </c>
      <c r="W22" s="11">
        <f>[18]생산!F19</f>
        <v>1139.3460000000005</v>
      </c>
      <c r="X22" s="11">
        <f>[18]생산!G19</f>
        <v>0</v>
      </c>
      <c r="Y22" s="11">
        <f>[18]생산!H19</f>
        <v>0</v>
      </c>
      <c r="Z22" s="11">
        <f>[18]생산!I19</f>
        <v>0</v>
      </c>
      <c r="AA22" s="11">
        <f>[18]생산!J19</f>
        <v>0</v>
      </c>
      <c r="AB22" s="11">
        <f>[18]생산!K19</f>
        <v>1139.3460000000005</v>
      </c>
      <c r="AC22" s="11">
        <f>ROUNDDOWN('[19]2026년'!G18/1000,1)</f>
        <v>70.2</v>
      </c>
    </row>
    <row r="23" spans="1:29">
      <c r="A23" s="6">
        <v>46040</v>
      </c>
      <c r="B23" s="9">
        <v>651.20000000000005</v>
      </c>
      <c r="C23" s="9">
        <v>248412</v>
      </c>
      <c r="D23" s="9">
        <v>240195</v>
      </c>
      <c r="E23" s="9">
        <v>17102.59</v>
      </c>
      <c r="F23" s="9">
        <v>14643.24</v>
      </c>
      <c r="G23" s="9">
        <v>4050.3</v>
      </c>
      <c r="H23" s="9">
        <v>35031</v>
      </c>
      <c r="I23" s="9">
        <f>3371+14365</f>
        <v>17736</v>
      </c>
      <c r="J23" s="10">
        <v>33.72</v>
      </c>
      <c r="K23" s="10">
        <v>33.07</v>
      </c>
      <c r="L23" s="9">
        <v>8278</v>
      </c>
      <c r="M23" s="10">
        <v>202158.62999999523</v>
      </c>
      <c r="N23" s="10">
        <v>0</v>
      </c>
      <c r="O23" s="10">
        <v>0</v>
      </c>
      <c r="P23" s="10">
        <v>0</v>
      </c>
      <c r="Q23" s="10"/>
      <c r="R23" s="10">
        <v>0</v>
      </c>
      <c r="S23" s="9">
        <f>[18]운전시간외!C20</f>
        <v>19</v>
      </c>
      <c r="T23" s="9">
        <f>[18]운전시간외!D20</f>
        <v>0</v>
      </c>
      <c r="U23" s="9">
        <f>[18]운전시간외!E20</f>
        <v>0</v>
      </c>
      <c r="V23" s="9">
        <f>[18]운전시간외!F20</f>
        <v>0</v>
      </c>
      <c r="W23" s="11">
        <f>[18]생산!F20</f>
        <v>900.96299999999974</v>
      </c>
      <c r="X23" s="11">
        <f>[18]생산!G20</f>
        <v>0</v>
      </c>
      <c r="Y23" s="11">
        <f>[18]생산!H20</f>
        <v>0</v>
      </c>
      <c r="Z23" s="11">
        <f>[18]생산!I20</f>
        <v>0</v>
      </c>
      <c r="AA23" s="11">
        <f>[18]생산!J20</f>
        <v>0</v>
      </c>
      <c r="AB23" s="11">
        <f>[18]생산!K20</f>
        <v>900.96299999999974</v>
      </c>
      <c r="AC23" s="11">
        <f>ROUNDDOWN('[19]2026년'!G19/1000,1)</f>
        <v>50.1</v>
      </c>
    </row>
    <row r="24" spans="1:29">
      <c r="A24" s="6">
        <v>46041</v>
      </c>
      <c r="B24" s="9">
        <v>651.20000000000005</v>
      </c>
      <c r="C24" s="9">
        <v>248481</v>
      </c>
      <c r="D24" s="9">
        <v>240217</v>
      </c>
      <c r="E24" s="9">
        <v>17108.349999999999</v>
      </c>
      <c r="F24" s="9">
        <v>14663.11</v>
      </c>
      <c r="G24" s="9">
        <v>4051.3</v>
      </c>
      <c r="H24" s="9">
        <v>35197</v>
      </c>
      <c r="I24" s="9">
        <f>3400+14597</f>
        <v>17997</v>
      </c>
      <c r="J24" s="10">
        <v>33.51</v>
      </c>
      <c r="K24" s="10">
        <v>32.869999999999997</v>
      </c>
      <c r="L24" s="9">
        <v>8660</v>
      </c>
      <c r="M24" s="10">
        <v>196331.77000000328</v>
      </c>
      <c r="N24" s="10">
        <v>0</v>
      </c>
      <c r="O24" s="10">
        <v>0</v>
      </c>
      <c r="P24" s="10">
        <v>0</v>
      </c>
      <c r="Q24" s="10"/>
      <c r="R24" s="10">
        <v>0</v>
      </c>
      <c r="S24" s="9">
        <f>[18]운전시간외!C21</f>
        <v>24</v>
      </c>
      <c r="T24" s="9">
        <f>[18]운전시간외!D21</f>
        <v>0</v>
      </c>
      <c r="U24" s="9">
        <f>[18]운전시간외!E21</f>
        <v>0</v>
      </c>
      <c r="V24" s="9">
        <f>[18]운전시간외!F21</f>
        <v>0</v>
      </c>
      <c r="W24" s="11">
        <f>[18]생산!F21</f>
        <v>1252</v>
      </c>
      <c r="X24" s="11">
        <f>[18]생산!G21</f>
        <v>0</v>
      </c>
      <c r="Y24" s="11">
        <f>[18]생산!H21</f>
        <v>0</v>
      </c>
      <c r="Z24" s="11">
        <f>[18]생산!I21</f>
        <v>0</v>
      </c>
      <c r="AA24" s="11">
        <f>[18]생산!J21</f>
        <v>0</v>
      </c>
      <c r="AB24" s="11">
        <f>[18]생산!K21</f>
        <v>1252</v>
      </c>
      <c r="AC24" s="11">
        <f>ROUNDDOWN('[19]2026년'!G20/1000,1)</f>
        <v>74.2</v>
      </c>
    </row>
    <row r="25" spans="1:29">
      <c r="A25" s="6">
        <v>46042</v>
      </c>
      <c r="B25" s="9">
        <v>651.20000000000005</v>
      </c>
      <c r="C25" s="9">
        <v>248541</v>
      </c>
      <c r="D25" s="9">
        <v>240217</v>
      </c>
      <c r="E25" s="9">
        <v>17113.73</v>
      </c>
      <c r="F25" s="9">
        <v>14680.9</v>
      </c>
      <c r="G25" s="9">
        <v>4052.5</v>
      </c>
      <c r="H25" s="9">
        <v>35326</v>
      </c>
      <c r="I25" s="9">
        <f>3428+14724</f>
        <v>18152</v>
      </c>
      <c r="J25" s="10">
        <v>33.54</v>
      </c>
      <c r="K25" s="10">
        <v>32.9</v>
      </c>
      <c r="L25" s="9">
        <v>8663</v>
      </c>
      <c r="M25" s="10">
        <f>[18]생산!BA22</f>
        <v>196331.77000000328</v>
      </c>
      <c r="N25" s="10">
        <f>[18]생산!BB22</f>
        <v>0</v>
      </c>
      <c r="O25" s="10">
        <f>[18]생산!BC22</f>
        <v>0</v>
      </c>
      <c r="P25" s="10">
        <f>[18]생산!BD22</f>
        <v>0</v>
      </c>
      <c r="Q25" s="10">
        <f>[18]생산!BE22</f>
        <v>0</v>
      </c>
      <c r="R25" s="10">
        <f>[18]생산!BF22</f>
        <v>0</v>
      </c>
      <c r="S25" s="9">
        <f>[18]운전시간외!C22</f>
        <v>24</v>
      </c>
      <c r="T25" s="9">
        <f>[18]운전시간외!D22</f>
        <v>0</v>
      </c>
      <c r="U25" s="9">
        <f>[18]운전시간외!E22</f>
        <v>0</v>
      </c>
      <c r="V25" s="9">
        <f>[18]운전시간외!F22</f>
        <v>0</v>
      </c>
      <c r="W25" s="11">
        <f>[18]생산!F22</f>
        <v>1256</v>
      </c>
      <c r="X25" s="11">
        <f>[18]생산!G22</f>
        <v>0</v>
      </c>
      <c r="Y25" s="11">
        <f>[18]생산!H22</f>
        <v>0</v>
      </c>
      <c r="Z25" s="11">
        <f>[18]생산!I22</f>
        <v>0</v>
      </c>
      <c r="AA25" s="11">
        <f>[18]생산!J22</f>
        <v>0</v>
      </c>
      <c r="AB25" s="11">
        <f>[18]생산!K22</f>
        <v>1256</v>
      </c>
      <c r="AC25" s="11">
        <f>ROUNDDOWN('[19]2026년'!G21/1000,1)</f>
        <v>70.900000000000006</v>
      </c>
    </row>
    <row r="26" spans="1:29">
      <c r="A26" s="6">
        <v>46043</v>
      </c>
      <c r="B26" s="9">
        <f>'[18]key-in(LO)'!AA24</f>
        <v>651.20000000000005</v>
      </c>
      <c r="C26" s="9">
        <f>'[18]key-in(LO)'!AB24</f>
        <v>248564</v>
      </c>
      <c r="D26" s="9">
        <f>'[18]key-in(LO)'!AC24</f>
        <v>240254</v>
      </c>
      <c r="E26" s="9">
        <f>'[18]key-in(LO)'!AD24</f>
        <v>17118.27</v>
      </c>
      <c r="F26" s="9">
        <f>'[18]key-in(LO)'!AE24</f>
        <v>14698.25</v>
      </c>
      <c r="G26" s="9">
        <f>'[18]key-in(LO)'!AF24</f>
        <v>4053.5</v>
      </c>
      <c r="H26" s="9">
        <f>'[18]key-in(LO)'!AG24</f>
        <v>35452</v>
      </c>
      <c r="I26" s="9">
        <f>'[18]key-in(LO)'!AH24</f>
        <v>18353</v>
      </c>
      <c r="J26" s="10">
        <f>'[18]key-in(ACO)'!$AR24</f>
        <v>33.07</v>
      </c>
      <c r="K26" s="10">
        <f>'[18]key-in(ACO)'!$AS24</f>
        <v>32.75</v>
      </c>
      <c r="L26" s="9">
        <f>'[18]key-in(ACO)'!$AV24</f>
        <v>8319</v>
      </c>
      <c r="M26" s="10">
        <f>[18]생산!BA23</f>
        <v>195874.45000000298</v>
      </c>
      <c r="N26" s="10">
        <f>[18]생산!BB23</f>
        <v>0</v>
      </c>
      <c r="O26" s="10">
        <f>[18]생산!BC23</f>
        <v>0</v>
      </c>
      <c r="P26" s="10">
        <f>[18]생산!BD23</f>
        <v>0</v>
      </c>
      <c r="Q26" s="10">
        <f>[18]생산!BE23</f>
        <v>0</v>
      </c>
      <c r="R26" s="10">
        <f>[18]생산!BF23</f>
        <v>0</v>
      </c>
      <c r="S26" s="9">
        <f>[18]운전시간외!C23</f>
        <v>24</v>
      </c>
      <c r="T26" s="9">
        <f>[18]운전시간외!D23</f>
        <v>0</v>
      </c>
      <c r="U26" s="9">
        <f>[18]운전시간외!E23</f>
        <v>0</v>
      </c>
      <c r="V26" s="9">
        <f>[18]운전시간외!F23</f>
        <v>0</v>
      </c>
      <c r="W26" s="11">
        <f>[18]생산!F23</f>
        <v>1246</v>
      </c>
      <c r="X26" s="11">
        <f>[18]생산!G23</f>
        <v>0</v>
      </c>
      <c r="Y26" s="11">
        <f>[18]생산!H23</f>
        <v>0</v>
      </c>
      <c r="Z26" s="11">
        <f>[18]생산!I23</f>
        <v>0</v>
      </c>
      <c r="AA26" s="11">
        <f>[18]생산!J23</f>
        <v>0</v>
      </c>
      <c r="AB26" s="11">
        <f>[18]생산!K23</f>
        <v>1246</v>
      </c>
      <c r="AC26" s="11">
        <f>ROUNDDOWN('[19]2026년'!G22/1000,1)</f>
        <v>74.7</v>
      </c>
    </row>
    <row r="27" spans="1:29">
      <c r="A27" s="6">
        <v>46044</v>
      </c>
      <c r="B27" s="9">
        <f>'[18]key-in(LO)'!AA25</f>
        <v>651.20000000000005</v>
      </c>
      <c r="C27" s="9">
        <f>'[18]key-in(LO)'!AB25</f>
        <v>248564</v>
      </c>
      <c r="D27" s="9">
        <f>'[18]key-in(LO)'!AC25</f>
        <v>240297</v>
      </c>
      <c r="E27" s="9">
        <f>'[18]key-in(LO)'!AD25</f>
        <v>17123.259999999998</v>
      </c>
      <c r="F27" s="9">
        <f>'[18]key-in(LO)'!AE25</f>
        <v>14716.02</v>
      </c>
      <c r="G27" s="9">
        <f>'[18]key-in(LO)'!AF25</f>
        <v>4055</v>
      </c>
      <c r="H27" s="9">
        <f>'[18]key-in(LO)'!AG25</f>
        <v>35624</v>
      </c>
      <c r="I27" s="9">
        <f>'[18]key-in(LO)'!AH25</f>
        <v>18539</v>
      </c>
      <c r="J27" s="10">
        <f>'[18]key-in(ACO)'!$AR25</f>
        <v>33.25</v>
      </c>
      <c r="K27" s="10">
        <f>'[18]key-in(ACO)'!$AS25</f>
        <v>32.68</v>
      </c>
      <c r="L27" s="9">
        <f>'[18]key-in(ACO)'!$AV25</f>
        <v>8100</v>
      </c>
      <c r="M27" s="10">
        <f>[18]생산!BA24</f>
        <v>197636.55999999493</v>
      </c>
      <c r="N27" s="10">
        <f>[18]생산!BB24</f>
        <v>93993.350000000093</v>
      </c>
      <c r="O27" s="10">
        <f>[18]생산!BC24</f>
        <v>0</v>
      </c>
      <c r="P27" s="10">
        <f>[18]생산!BD24</f>
        <v>0</v>
      </c>
      <c r="Q27" s="10">
        <f>[18]생산!BE24</f>
        <v>0</v>
      </c>
      <c r="R27" s="10">
        <f>[18]생산!BF24</f>
        <v>93993.350000000093</v>
      </c>
      <c r="S27" s="9">
        <f>[18]운전시간외!C24</f>
        <v>24</v>
      </c>
      <c r="T27" s="9">
        <f>[18]운전시간외!D24</f>
        <v>14</v>
      </c>
      <c r="U27" s="9">
        <f>[18]운전시간외!E24</f>
        <v>0</v>
      </c>
      <c r="V27" s="9">
        <f>[18]운전시간외!F24</f>
        <v>0</v>
      </c>
      <c r="W27" s="11">
        <f>[18]생산!F24</f>
        <v>1248</v>
      </c>
      <c r="X27" s="11">
        <f>[18]생산!G24</f>
        <v>828</v>
      </c>
      <c r="Y27" s="11">
        <f>[18]생산!H24</f>
        <v>0</v>
      </c>
      <c r="Z27" s="11">
        <f>[18]생산!I24</f>
        <v>0</v>
      </c>
      <c r="AA27" s="11">
        <f>[18]생산!J24</f>
        <v>828</v>
      </c>
      <c r="AB27" s="11">
        <f>[18]생산!K24</f>
        <v>2076</v>
      </c>
      <c r="AC27" s="11">
        <f>ROUNDDOWN('[19]2026년'!G23/1000,1)</f>
        <v>79.099999999999994</v>
      </c>
    </row>
    <row r="28" spans="1:29">
      <c r="A28" s="6">
        <v>46045</v>
      </c>
      <c r="B28" s="9">
        <f>'[18]key-in(LO)'!AA26</f>
        <v>651.20000000000005</v>
      </c>
      <c r="C28" s="9">
        <f>'[18]key-in(LO)'!AB26</f>
        <v>248636</v>
      </c>
      <c r="D28" s="9">
        <f>'[18]key-in(LO)'!AC26</f>
        <v>240319</v>
      </c>
      <c r="E28" s="9">
        <f>'[18]key-in(LO)'!AD26</f>
        <v>17128.849999999999</v>
      </c>
      <c r="F28" s="9">
        <f>'[18]key-in(LO)'!AE26</f>
        <v>14734.47</v>
      </c>
      <c r="G28" s="9">
        <f>'[18]key-in(LO)'!AF26</f>
        <v>4056.3</v>
      </c>
      <c r="H28" s="9">
        <f>'[18]key-in(LO)'!AG26</f>
        <v>35843</v>
      </c>
      <c r="I28" s="9">
        <f>'[18]key-in(LO)'!AH26</f>
        <v>18709</v>
      </c>
      <c r="J28" s="10">
        <f>'[18]key-in(ACO)'!$AR26</f>
        <v>33.090000000000003</v>
      </c>
      <c r="K28" s="10">
        <f>'[18]key-in(ACO)'!$AS26</f>
        <v>32.64</v>
      </c>
      <c r="L28" s="9">
        <f>'[18]key-in(ACO)'!$AV26</f>
        <v>8224</v>
      </c>
      <c r="M28" s="10">
        <f>[18]생산!BA25</f>
        <v>199251.25</v>
      </c>
      <c r="N28" s="10">
        <f>[18]생산!BB25</f>
        <v>0</v>
      </c>
      <c r="O28" s="10">
        <f>[18]생산!BC25</f>
        <v>0</v>
      </c>
      <c r="P28" s="10">
        <f>[18]생산!BD25</f>
        <v>0</v>
      </c>
      <c r="Q28" s="10">
        <f>[18]생산!BE25</f>
        <v>0</v>
      </c>
      <c r="R28" s="10">
        <f>[18]생산!BF25</f>
        <v>0</v>
      </c>
      <c r="S28" s="9">
        <f>[18]운전시간외!C25</f>
        <v>24</v>
      </c>
      <c r="T28" s="9">
        <f>[18]운전시간외!D25</f>
        <v>0</v>
      </c>
      <c r="U28" s="9">
        <f>[18]운전시간외!E25</f>
        <v>0</v>
      </c>
      <c r="V28" s="9">
        <f>[18]운전시간외!F25</f>
        <v>0</v>
      </c>
      <c r="W28" s="11">
        <f>[18]생산!F25</f>
        <v>1247</v>
      </c>
      <c r="X28" s="11">
        <f>[18]생산!G25</f>
        <v>0</v>
      </c>
      <c r="Y28" s="11">
        <f>[18]생산!H25</f>
        <v>0</v>
      </c>
      <c r="Z28" s="11">
        <f>[18]생산!I25</f>
        <v>0</v>
      </c>
      <c r="AA28" s="11">
        <f>[18]생산!J25</f>
        <v>0</v>
      </c>
      <c r="AB28" s="11">
        <f>[18]생산!K25</f>
        <v>1247</v>
      </c>
      <c r="AC28" s="11">
        <f>ROUNDDOWN('[19]2026년'!G24/1000,1)</f>
        <v>74.599999999999994</v>
      </c>
    </row>
    <row r="29" spans="1:29">
      <c r="A29" s="6">
        <v>46046</v>
      </c>
      <c r="B29" s="9">
        <f>'[18]key-in(LO)'!AA27</f>
        <v>651.20000000000005</v>
      </c>
      <c r="C29" s="9">
        <f>'[18]key-in(LO)'!AB27</f>
        <v>248683</v>
      </c>
      <c r="D29" s="9">
        <f>'[18]key-in(LO)'!AC27</f>
        <v>240319</v>
      </c>
      <c r="E29" s="9">
        <f>'[18]key-in(LO)'!AD27</f>
        <v>17132.89</v>
      </c>
      <c r="F29" s="9">
        <f>'[18]key-in(LO)'!AE27</f>
        <v>14753.2</v>
      </c>
      <c r="G29" s="9">
        <f>'[18]key-in(LO)'!AF27</f>
        <v>4057.2</v>
      </c>
      <c r="H29" s="9">
        <f>'[18]key-in(LO)'!AG27</f>
        <v>35983</v>
      </c>
      <c r="I29" s="9">
        <f>'[18]key-in(LO)'!AH27</f>
        <v>18856</v>
      </c>
      <c r="J29" s="10">
        <f>'[18]key-in(ACO)'!$AR27</f>
        <v>32.950000000000003</v>
      </c>
      <c r="K29" s="10">
        <f>'[18]key-in(ACO)'!$AS27</f>
        <v>32.61</v>
      </c>
      <c r="L29" s="9">
        <f>'[18]key-in(ACO)'!$AV27</f>
        <v>8150</v>
      </c>
      <c r="M29" s="10">
        <f>[18]생산!BA26</f>
        <v>198598.77000000328</v>
      </c>
      <c r="N29" s="10">
        <f>[18]생산!BB26</f>
        <v>0</v>
      </c>
      <c r="O29" s="10">
        <f>[18]생산!BC26</f>
        <v>0</v>
      </c>
      <c r="P29" s="10">
        <f>[18]생산!BD26</f>
        <v>0</v>
      </c>
      <c r="Q29" s="10">
        <f>[18]생산!BE26</f>
        <v>0</v>
      </c>
      <c r="R29" s="10">
        <f>[18]생산!BF26</f>
        <v>0</v>
      </c>
      <c r="S29" s="9">
        <f>[18]운전시간외!C26</f>
        <v>24</v>
      </c>
      <c r="T29" s="9">
        <f>[18]운전시간외!D26</f>
        <v>0</v>
      </c>
      <c r="U29" s="9">
        <f>[18]운전시간외!E26</f>
        <v>0</v>
      </c>
      <c r="V29" s="9">
        <f>[18]운전시간외!F26</f>
        <v>0</v>
      </c>
      <c r="W29" s="11">
        <f>[18]생산!F26</f>
        <v>1245</v>
      </c>
      <c r="X29" s="11">
        <f>[18]생산!G26</f>
        <v>0</v>
      </c>
      <c r="Y29" s="11">
        <f>[18]생산!H26</f>
        <v>0</v>
      </c>
      <c r="Z29" s="11">
        <f>[18]생산!I26</f>
        <v>0</v>
      </c>
      <c r="AA29" s="11">
        <f>[18]생산!J26</f>
        <v>0</v>
      </c>
      <c r="AB29" s="11">
        <f>[18]생산!K26</f>
        <v>1245</v>
      </c>
      <c r="AC29" s="11">
        <f>ROUNDDOWN('[19]2026년'!G25/1000,1)</f>
        <v>81.3</v>
      </c>
    </row>
    <row r="30" spans="1:29">
      <c r="A30" s="6">
        <v>46047</v>
      </c>
      <c r="B30" s="9">
        <f>'[18]key-in(LO)'!AA28</f>
        <v>651.20000000000005</v>
      </c>
      <c r="C30" s="9">
        <f>'[18]key-in(LO)'!AB28</f>
        <v>248728</v>
      </c>
      <c r="D30" s="9">
        <f>'[18]key-in(LO)'!AC28</f>
        <v>240319</v>
      </c>
      <c r="E30" s="9">
        <f>'[18]key-in(LO)'!AD28</f>
        <v>17136.8</v>
      </c>
      <c r="F30" s="9">
        <f>'[18]key-in(LO)'!AE28</f>
        <v>14771.91</v>
      </c>
      <c r="G30" s="9">
        <f>'[18]key-in(LO)'!AF28</f>
        <v>4057.9</v>
      </c>
      <c r="H30" s="9">
        <f>'[18]key-in(LO)'!AG28</f>
        <v>36047</v>
      </c>
      <c r="I30" s="9">
        <f>'[18]key-in(LO)'!AH28</f>
        <v>18963</v>
      </c>
      <c r="J30" s="10">
        <f>'[18]key-in(ACO)'!$AR28</f>
        <v>33.35</v>
      </c>
      <c r="K30" s="10">
        <f>'[18]key-in(ACO)'!$AS28</f>
        <v>32.659999999999997</v>
      </c>
      <c r="L30" s="9">
        <f>'[18]key-in(ACO)'!$AV28</f>
        <v>7987</v>
      </c>
      <c r="M30" s="10">
        <f>[18]생산!BA27</f>
        <v>190879.75999999791</v>
      </c>
      <c r="N30" s="10">
        <f>[18]생산!BB27</f>
        <v>0</v>
      </c>
      <c r="O30" s="10">
        <f>[18]생산!BC27</f>
        <v>0</v>
      </c>
      <c r="P30" s="10">
        <f>[18]생산!BD27</f>
        <v>0</v>
      </c>
      <c r="Q30" s="10">
        <f>[18]생산!BE27</f>
        <v>0</v>
      </c>
      <c r="R30" s="10">
        <f>[18]생산!BF27</f>
        <v>0</v>
      </c>
      <c r="S30" s="9">
        <f>[18]운전시간외!C27</f>
        <v>24</v>
      </c>
      <c r="T30" s="9">
        <f>[18]운전시간외!D27</f>
        <v>0</v>
      </c>
      <c r="U30" s="9">
        <f>[18]운전시간외!E27</f>
        <v>0</v>
      </c>
      <c r="V30" s="9">
        <f>[18]운전시간외!F27</f>
        <v>0</v>
      </c>
      <c r="W30" s="11">
        <f>[18]생산!F27</f>
        <v>1207</v>
      </c>
      <c r="X30" s="11">
        <f>[18]생산!G27</f>
        <v>0</v>
      </c>
      <c r="Y30" s="11">
        <f>[18]생산!H27</f>
        <v>0</v>
      </c>
      <c r="Z30" s="11">
        <f>[18]생산!I27</f>
        <v>0</v>
      </c>
      <c r="AA30" s="11">
        <f>[18]생산!J27</f>
        <v>0</v>
      </c>
      <c r="AB30" s="11">
        <f>[18]생산!K27</f>
        <v>1207</v>
      </c>
      <c r="AC30" s="11">
        <f>ROUNDDOWN('[19]2026년'!G26/1000,1)</f>
        <v>75.5</v>
      </c>
    </row>
    <row r="31" spans="1:29">
      <c r="A31" s="6">
        <v>46048</v>
      </c>
      <c r="B31" s="12">
        <f>'[18]key-in(LO)'!AA29</f>
        <v>651.20000000000005</v>
      </c>
      <c r="C31" s="12">
        <f>'[18]key-in(LO)'!AB29</f>
        <v>248728</v>
      </c>
      <c r="D31" s="12">
        <f>'[18]key-in(LO)'!AC29</f>
        <v>240400</v>
      </c>
      <c r="E31" s="12">
        <f>'[18]key-in(LO)'!AD29</f>
        <v>17142.419999999998</v>
      </c>
      <c r="F31" s="12">
        <f>'[18]key-in(LO)'!AE29</f>
        <v>14788.99</v>
      </c>
      <c r="G31" s="115">
        <f>'[18]key-in(LO)'!AF29</f>
        <v>0.6</v>
      </c>
      <c r="H31" s="12">
        <f>'[18]key-in(LO)'!AG29</f>
        <v>36165</v>
      </c>
      <c r="I31" s="12">
        <f>'[18]key-in(LO)'!AH29</f>
        <v>19188</v>
      </c>
      <c r="J31" s="10">
        <f>'[18]key-in(ACO)'!$AR29</f>
        <v>33.006</v>
      </c>
      <c r="K31" s="10">
        <f>'[18]key-in(ACO)'!$AS29</f>
        <v>32.505000000000003</v>
      </c>
      <c r="L31" s="9">
        <f>'[18]key-in(ACO)'!$AV29</f>
        <v>8496.3050000000003</v>
      </c>
      <c r="M31" s="10">
        <f>[18]생산!BA28</f>
        <v>196015.34000000358</v>
      </c>
      <c r="N31" s="10">
        <f>[18]생산!BB28</f>
        <v>0</v>
      </c>
      <c r="O31" s="10">
        <f>[18]생산!BC28</f>
        <v>0</v>
      </c>
      <c r="P31" s="10">
        <f>[18]생산!BD28</f>
        <v>0</v>
      </c>
      <c r="Q31" s="10">
        <f>[18]생산!BE28</f>
        <v>0</v>
      </c>
      <c r="R31" s="10">
        <f>[18]생산!BF28</f>
        <v>0</v>
      </c>
      <c r="S31" s="9">
        <f>[18]운전시간외!C28</f>
        <v>24</v>
      </c>
      <c r="T31" s="9">
        <f>[18]운전시간외!D28</f>
        <v>0</v>
      </c>
      <c r="U31" s="9">
        <f>[18]운전시간외!E28</f>
        <v>0</v>
      </c>
      <c r="V31" s="9">
        <f>[18]운전시간외!F28</f>
        <v>0</v>
      </c>
      <c r="W31" s="11">
        <f>[18]생산!F28</f>
        <v>1255.5110000000004</v>
      </c>
      <c r="X31" s="11">
        <f>[18]생산!G28</f>
        <v>0</v>
      </c>
      <c r="Y31" s="11">
        <f>[18]생산!H28</f>
        <v>0</v>
      </c>
      <c r="Z31" s="11">
        <f>[18]생산!I28</f>
        <v>0</v>
      </c>
      <c r="AA31" s="11">
        <f>[18]생산!J28</f>
        <v>0</v>
      </c>
      <c r="AB31" s="11">
        <f>[18]생산!K28</f>
        <v>1255.5110000000004</v>
      </c>
      <c r="AC31" s="11">
        <f>ROUNDDOWN('[19]2026년'!G27/1000,1)</f>
        <v>69.400000000000006</v>
      </c>
    </row>
    <row r="32" spans="1:29">
      <c r="A32" s="6">
        <v>46049</v>
      </c>
      <c r="B32" s="12">
        <f>'[18]key-in(LO)'!AA30</f>
        <v>651.20000000000005</v>
      </c>
      <c r="C32" s="12">
        <f>'[18]key-in(LO)'!AB30</f>
        <v>248788</v>
      </c>
      <c r="D32" s="12">
        <f>'[18]key-in(LO)'!AC30</f>
        <v>240420</v>
      </c>
      <c r="E32" s="12">
        <f>'[18]key-in(LO)'!AD30</f>
        <v>17147.46</v>
      </c>
      <c r="F32" s="12">
        <f>'[18]key-in(LO)'!AE30</f>
        <v>14808.23</v>
      </c>
      <c r="G32" s="115">
        <f>'[18]key-in(LO)'!AF30</f>
        <v>2</v>
      </c>
      <c r="H32" s="12">
        <f>'[18]key-in(LO)'!AG30</f>
        <v>36392</v>
      </c>
      <c r="I32" s="12">
        <f>'[18]key-in(LO)'!AH30</f>
        <v>19355</v>
      </c>
      <c r="J32" s="10">
        <f>'[18]key-in(ACO)'!$AR30</f>
        <v>32.799999999999997</v>
      </c>
      <c r="K32" s="10">
        <f>'[18]key-in(ACO)'!$AS30</f>
        <v>32.409999999999997</v>
      </c>
      <c r="L32" s="9">
        <f>'[18]key-in(ACO)'!$AV30</f>
        <v>8122.5450000000001</v>
      </c>
      <c r="M32" s="10">
        <f>[18]생산!BA29</f>
        <v>197436.95999999344</v>
      </c>
      <c r="N32" s="10">
        <f>[18]생산!BB29</f>
        <v>0</v>
      </c>
      <c r="O32" s="10">
        <f>[18]생산!BC29</f>
        <v>0</v>
      </c>
      <c r="P32" s="10">
        <f>[18]생산!BD29</f>
        <v>0</v>
      </c>
      <c r="Q32" s="10">
        <f>[18]생산!BE29</f>
        <v>0</v>
      </c>
      <c r="R32" s="10">
        <f>[18]생산!BF29</f>
        <v>0</v>
      </c>
      <c r="S32" s="9">
        <f>[18]운전시간외!C29</f>
        <v>24</v>
      </c>
      <c r="T32" s="9">
        <f>[18]운전시간외!D29</f>
        <v>0</v>
      </c>
      <c r="U32" s="9">
        <f>[18]운전시간외!E29</f>
        <v>0</v>
      </c>
      <c r="V32" s="9">
        <f>[18]운전시간외!F29</f>
        <v>0</v>
      </c>
      <c r="W32" s="11">
        <f>[18]생산!F29</f>
        <v>1243.732</v>
      </c>
      <c r="X32" s="11">
        <f>[18]생산!G29</f>
        <v>0</v>
      </c>
      <c r="Y32" s="11">
        <f>[18]생산!H29</f>
        <v>0</v>
      </c>
      <c r="Z32" s="11">
        <f>[18]생산!I29</f>
        <v>0</v>
      </c>
      <c r="AA32" s="11">
        <f>[18]생산!J29</f>
        <v>0</v>
      </c>
      <c r="AB32" s="11">
        <f>[18]생산!K29</f>
        <v>1243.732</v>
      </c>
      <c r="AC32" s="11">
        <f>ROUNDDOWN('[19]2026년'!G28/1000,1)</f>
        <v>73.7</v>
      </c>
    </row>
    <row r="33" spans="1:29">
      <c r="A33" s="6">
        <v>46050</v>
      </c>
      <c r="B33" s="12">
        <f>'[18]key-in(LO)'!AA31</f>
        <v>651.20000000000005</v>
      </c>
      <c r="C33" s="12">
        <f>'[18]key-in(LO)'!AB31</f>
        <v>248839</v>
      </c>
      <c r="D33" s="12">
        <f>'[18]key-in(LO)'!AC31</f>
        <v>240420</v>
      </c>
      <c r="E33" s="12">
        <f>'[18]key-in(LO)'!AD31</f>
        <v>17151.98</v>
      </c>
      <c r="F33" s="12">
        <f>'[18]key-in(LO)'!AE31</f>
        <v>14827.73</v>
      </c>
      <c r="G33" s="115">
        <f>'[18]key-in(LO)'!AF31</f>
        <v>3.1</v>
      </c>
      <c r="H33" s="12">
        <f>'[18]key-in(LO)'!AG31</f>
        <v>36577</v>
      </c>
      <c r="I33" s="12">
        <f>'[18]key-in(LO)'!AH31</f>
        <v>19511</v>
      </c>
      <c r="J33" s="10">
        <f>'[18]key-in(ACO)'!$AR31</f>
        <v>32.82</v>
      </c>
      <c r="K33" s="10">
        <f>'[18]key-in(ACO)'!$AS31</f>
        <v>32.380000000000003</v>
      </c>
      <c r="L33" s="9">
        <f>'[18]key-in(ACO)'!$AV31</f>
        <v>8230</v>
      </c>
      <c r="M33" s="10">
        <f>[18]생산!BA30</f>
        <v>198156.38000000268</v>
      </c>
      <c r="N33" s="10">
        <f>[18]생산!BB30</f>
        <v>0</v>
      </c>
      <c r="O33" s="10">
        <f>[18]생산!BC30</f>
        <v>0</v>
      </c>
      <c r="P33" s="10">
        <f>[18]생산!BD30</f>
        <v>0</v>
      </c>
      <c r="Q33" s="10">
        <f>[18]생산!BE30</f>
        <v>0</v>
      </c>
      <c r="R33" s="10">
        <f>[18]생산!BF30</f>
        <v>0</v>
      </c>
      <c r="S33" s="9">
        <f>[18]운전시간외!C30</f>
        <v>24</v>
      </c>
      <c r="T33" s="9">
        <f>[18]운전시간외!D30</f>
        <v>0</v>
      </c>
      <c r="U33" s="9">
        <f>[18]운전시간외!E30</f>
        <v>0</v>
      </c>
      <c r="V33" s="9">
        <f>[18]운전시간외!F30</f>
        <v>0</v>
      </c>
      <c r="W33" s="11">
        <f>[18]생산!F30</f>
        <v>1248.7569999999996</v>
      </c>
      <c r="X33" s="11">
        <f>[18]생산!G30</f>
        <v>0</v>
      </c>
      <c r="Y33" s="11">
        <f>[18]생산!H30</f>
        <v>0</v>
      </c>
      <c r="Z33" s="11">
        <f>[18]생산!I30</f>
        <v>0</v>
      </c>
      <c r="AA33" s="11">
        <f>[18]생산!J30</f>
        <v>0</v>
      </c>
      <c r="AB33" s="11">
        <f>[18]생산!K30</f>
        <v>1248.7569999999996</v>
      </c>
      <c r="AC33" s="11">
        <f>ROUNDDOWN('[19]2026년'!G29/1000,1)</f>
        <v>77.7</v>
      </c>
    </row>
    <row r="34" spans="1:29">
      <c r="A34" s="6">
        <v>46051</v>
      </c>
      <c r="B34" s="12">
        <f>'[18]key-in(LO)'!AA32</f>
        <v>651.20000000000005</v>
      </c>
      <c r="C34" s="12">
        <f>'[18]key-in(LO)'!AB32</f>
        <v>248858</v>
      </c>
      <c r="D34" s="12">
        <f>'[18]key-in(LO)'!AC32</f>
        <v>240473</v>
      </c>
      <c r="E34" s="12">
        <f>'[18]key-in(LO)'!AD32</f>
        <v>17157.169999999998</v>
      </c>
      <c r="F34" s="12">
        <f>'[18]key-in(LO)'!AE32</f>
        <v>14846.8</v>
      </c>
      <c r="G34" s="115">
        <f>'[18]key-in(LO)'!AF32</f>
        <v>3.9</v>
      </c>
      <c r="H34" s="12">
        <f>'[18]key-in(LO)'!AG32</f>
        <v>36689</v>
      </c>
      <c r="I34" s="12">
        <f>'[18]key-in(LO)'!AH32</f>
        <v>19679</v>
      </c>
      <c r="J34" s="10">
        <f>'[18]key-in(ACO)'!$AR32</f>
        <v>32.729999999999997</v>
      </c>
      <c r="K34" s="10">
        <f>'[18]key-in(ACO)'!$AS32</f>
        <v>32.340000000000003</v>
      </c>
      <c r="L34" s="9">
        <f>'[18]key-in(ACO)'!$AV32</f>
        <v>8248</v>
      </c>
      <c r="M34" s="10">
        <f>[18]생산!BA31</f>
        <v>197448.1799999997</v>
      </c>
      <c r="N34" s="10">
        <f>[18]생산!BB31</f>
        <v>0</v>
      </c>
      <c r="O34" s="10">
        <f>[18]생산!BC31</f>
        <v>0</v>
      </c>
      <c r="P34" s="10">
        <f>[18]생산!BD31</f>
        <v>0</v>
      </c>
      <c r="Q34" s="10">
        <f>[18]생산!BE31</f>
        <v>0</v>
      </c>
      <c r="R34" s="10">
        <f>[18]생산!BF31</f>
        <v>0</v>
      </c>
      <c r="S34" s="9">
        <f>[18]운전시간외!C31</f>
        <v>24</v>
      </c>
      <c r="T34" s="9">
        <f>[18]운전시간외!D31</f>
        <v>0</v>
      </c>
      <c r="U34" s="9">
        <f>[18]운전시간외!E31</f>
        <v>0</v>
      </c>
      <c r="V34" s="9">
        <f>[18]운전시간외!F31</f>
        <v>0</v>
      </c>
      <c r="W34" s="11">
        <f>[18]생산!F31</f>
        <v>1243</v>
      </c>
      <c r="X34" s="11">
        <f>[18]생산!G31</f>
        <v>0</v>
      </c>
      <c r="Y34" s="11">
        <f>[18]생산!H31</f>
        <v>0</v>
      </c>
      <c r="Z34" s="11">
        <f>[18]생산!I31</f>
        <v>0</v>
      </c>
      <c r="AA34" s="11">
        <f>[18]생산!J31</f>
        <v>0</v>
      </c>
      <c r="AB34" s="11">
        <f>[18]생산!K31</f>
        <v>1243</v>
      </c>
      <c r="AC34" s="11">
        <f>ROUNDDOWN('[19]2026년'!G30/1000,1)</f>
        <v>77.599999999999994</v>
      </c>
    </row>
    <row r="35" spans="1:29">
      <c r="A35" s="6">
        <v>46052</v>
      </c>
      <c r="B35" s="12">
        <f>'[18]key-in(LO)'!AA33</f>
        <v>651.20000000000005</v>
      </c>
      <c r="C35" s="12">
        <f>'[18]key-in(LO)'!AB33</f>
        <v>248858</v>
      </c>
      <c r="D35" s="12">
        <f>'[18]key-in(LO)'!AC33</f>
        <v>240542</v>
      </c>
      <c r="E35" s="12">
        <f>'[18]key-in(LO)'!AD33</f>
        <v>17161.169999999998</v>
      </c>
      <c r="F35" s="12">
        <f>'[18]key-in(LO)'!AE33</f>
        <v>14865.64</v>
      </c>
      <c r="G35" s="115">
        <f>'[18]key-in(LO)'!AF33</f>
        <v>4.5999999999999996</v>
      </c>
      <c r="H35" s="12">
        <f>'[18]key-in(LO)'!AG33</f>
        <v>36756</v>
      </c>
      <c r="I35" s="12">
        <f>'[18]key-in(LO)'!AH33</f>
        <v>19837</v>
      </c>
      <c r="J35" s="10">
        <f>'[18]key-in(ACO)'!$AR33</f>
        <v>32.72</v>
      </c>
      <c r="K35" s="10">
        <f>'[18]key-in(ACO)'!$AS33</f>
        <v>32.36</v>
      </c>
      <c r="L35" s="9">
        <f>'[18]key-in(ACO)'!$AV33</f>
        <v>8677</v>
      </c>
      <c r="M35" s="10">
        <f>[18]생산!BA32</f>
        <v>196745.93999999762</v>
      </c>
      <c r="N35" s="10">
        <f>[18]생산!BB32</f>
        <v>0</v>
      </c>
      <c r="O35" s="10">
        <f>[18]생산!BC32</f>
        <v>0</v>
      </c>
      <c r="P35" s="10">
        <f>[18]생산!BD32</f>
        <v>0</v>
      </c>
      <c r="Q35" s="10">
        <f>[18]생산!BE32</f>
        <v>0</v>
      </c>
      <c r="R35" s="10">
        <f>[18]생산!BF32</f>
        <v>0</v>
      </c>
      <c r="S35" s="9">
        <f>[18]운전시간외!C32</f>
        <v>24</v>
      </c>
      <c r="T35" s="9">
        <f>[18]운전시간외!D32</f>
        <v>0</v>
      </c>
      <c r="U35" s="9">
        <f>[18]운전시간외!E32</f>
        <v>0</v>
      </c>
      <c r="V35" s="9">
        <f>[18]운전시간외!F32</f>
        <v>0</v>
      </c>
      <c r="W35" s="11">
        <f>[18]생산!F32</f>
        <v>1249</v>
      </c>
      <c r="X35" s="11">
        <f>[18]생산!G32</f>
        <v>0</v>
      </c>
      <c r="Y35" s="11">
        <f>[18]생산!H32</f>
        <v>0</v>
      </c>
      <c r="Z35" s="11">
        <f>[18]생산!I32</f>
        <v>0</v>
      </c>
      <c r="AA35" s="11">
        <f>[18]생산!J32</f>
        <v>0</v>
      </c>
      <c r="AB35" s="11">
        <f>[18]생산!K32</f>
        <v>1249</v>
      </c>
      <c r="AC35" s="11">
        <f>ROUNDDOWN('[19]2026년'!G31/1000,1)</f>
        <v>79.599999999999994</v>
      </c>
    </row>
    <row r="36" spans="1:29">
      <c r="A36" s="6">
        <v>46053</v>
      </c>
      <c r="B36" s="12">
        <f>'[18]key-in(LO)'!AA34</f>
        <v>651.20000000000005</v>
      </c>
      <c r="C36" s="12">
        <f>'[18]key-in(LO)'!AB34</f>
        <v>248881</v>
      </c>
      <c r="D36" s="12">
        <f>'[18]key-in(LO)'!AC34</f>
        <v>240564</v>
      </c>
      <c r="E36" s="12">
        <f>'[18]key-in(LO)'!AD34</f>
        <v>17163.62</v>
      </c>
      <c r="F36" s="12">
        <f>'[18]key-in(LO)'!AE34</f>
        <v>14884.77</v>
      </c>
      <c r="G36" s="115">
        <f>'[18]key-in(LO)'!AF34</f>
        <v>5.2</v>
      </c>
      <c r="H36" s="12">
        <f>'[18]key-in(LO)'!AG34</f>
        <v>36827</v>
      </c>
      <c r="I36" s="12">
        <f>'[18]key-in(LO)'!AH34</f>
        <v>19949</v>
      </c>
      <c r="J36" s="10">
        <f>'[18]key-in(ACO)'!$AR34</f>
        <v>32.65</v>
      </c>
      <c r="K36" s="10">
        <f>'[18]key-in(ACO)'!$AS34</f>
        <v>32.36</v>
      </c>
      <c r="L36" s="9">
        <f>'[18]key-in(ACO)'!$AV34</f>
        <v>8513</v>
      </c>
      <c r="M36" s="10">
        <f>[18]생산!BA33</f>
        <v>198383.49000000209</v>
      </c>
      <c r="N36" s="10">
        <f>[18]생산!BB33</f>
        <v>0</v>
      </c>
      <c r="O36" s="10">
        <f>[18]생산!BC33</f>
        <v>0</v>
      </c>
      <c r="P36" s="10">
        <f>[18]생산!BD33</f>
        <v>0</v>
      </c>
      <c r="Q36" s="10">
        <f>[18]생산!BE33</f>
        <v>0</v>
      </c>
      <c r="R36" s="10">
        <f>[18]생산!BF33</f>
        <v>0</v>
      </c>
      <c r="S36" s="9">
        <f>[18]운전시간외!C33</f>
        <v>24</v>
      </c>
      <c r="T36" s="9">
        <f>[18]운전시간외!D33</f>
        <v>0</v>
      </c>
      <c r="U36" s="9">
        <f>[18]운전시간외!E33</f>
        <v>0</v>
      </c>
      <c r="V36" s="9">
        <f>[18]운전시간외!F33</f>
        <v>0</v>
      </c>
      <c r="W36" s="11">
        <f>[18]생산!F33</f>
        <v>1238</v>
      </c>
      <c r="X36" s="11">
        <f>[18]생산!G33</f>
        <v>0</v>
      </c>
      <c r="Y36" s="11">
        <f>[18]생산!H33</f>
        <v>0</v>
      </c>
      <c r="Z36" s="11">
        <f>[18]생산!I33</f>
        <v>0</v>
      </c>
      <c r="AA36" s="11">
        <f>[18]생산!J33</f>
        <v>0</v>
      </c>
      <c r="AB36" s="11">
        <f>[18]생산!K33</f>
        <v>1238</v>
      </c>
      <c r="AC36" s="11">
        <f>ROUNDDOWN('[19]2026년'!G32/1000,1)</f>
        <v>77.900000000000006</v>
      </c>
    </row>
    <row r="37" spans="1:29">
      <c r="A37" s="6">
        <v>46054</v>
      </c>
      <c r="B37" s="12">
        <f>'[18]key-in(LO)'!AA35</f>
        <v>651.20000000000005</v>
      </c>
      <c r="C37" s="12">
        <f>'[18]key-in(LO)'!AB35</f>
        <v>248929</v>
      </c>
      <c r="D37" s="12">
        <f>'[18]key-in(LO)'!AC35</f>
        <v>240564</v>
      </c>
      <c r="E37" s="12">
        <f>'[18]key-in(LO)'!AD35</f>
        <v>17166.27</v>
      </c>
      <c r="F37" s="12">
        <f>'[18]key-in(LO)'!AE35</f>
        <v>14904.57</v>
      </c>
      <c r="G37" s="115">
        <f>'[18]key-in(LO)'!AF35</f>
        <v>6.1</v>
      </c>
      <c r="H37" s="12">
        <f>'[18]key-in(LO)'!AG35</f>
        <v>36888</v>
      </c>
      <c r="I37" s="12">
        <f>'[18]key-in(LO)'!AH35</f>
        <v>20073</v>
      </c>
      <c r="J37" s="10">
        <f>'[18]key-in(ACO)'!$AR35</f>
        <v>32.93</v>
      </c>
      <c r="K37" s="10">
        <f>'[18]key-in(ACO)'!$AS35</f>
        <v>32.380000000000003</v>
      </c>
      <c r="L37" s="9">
        <f>'[18]key-in(ACO)'!$AV35</f>
        <v>8364</v>
      </c>
      <c r="M37" s="10">
        <f>[18]생산!BA34</f>
        <v>177707.49000000209</v>
      </c>
      <c r="N37" s="10">
        <f>[18]생산!BB34</f>
        <v>0</v>
      </c>
      <c r="O37" s="10">
        <f>[18]생산!BC34</f>
        <v>0</v>
      </c>
      <c r="P37" s="10">
        <f>[18]생산!BD34</f>
        <v>0</v>
      </c>
      <c r="Q37" s="10">
        <f>[18]생산!BE34</f>
        <v>0</v>
      </c>
      <c r="R37" s="10">
        <f>[18]생산!BF34</f>
        <v>0</v>
      </c>
      <c r="S37" s="9">
        <f>[18]운전시간외!C34</f>
        <v>24</v>
      </c>
      <c r="T37" s="9">
        <f>[18]운전시간외!D34</f>
        <v>0</v>
      </c>
      <c r="U37" s="9">
        <f>[18]운전시간외!E34</f>
        <v>0</v>
      </c>
      <c r="V37" s="9">
        <f>[18]운전시간외!F34</f>
        <v>0</v>
      </c>
      <c r="W37" s="11">
        <f>[18]생산!F34</f>
        <v>1126</v>
      </c>
      <c r="X37" s="11">
        <f>[18]생산!G34</f>
        <v>0</v>
      </c>
      <c r="Y37" s="11">
        <f>[18]생산!H34</f>
        <v>0</v>
      </c>
      <c r="Z37" s="11">
        <f>[18]생산!I34</f>
        <v>0</v>
      </c>
      <c r="AA37" s="11">
        <f>[18]생산!J34</f>
        <v>0</v>
      </c>
      <c r="AB37" s="11">
        <f>[18]생산!K34</f>
        <v>1126</v>
      </c>
      <c r="AC37" s="11">
        <f>ROUNDDOWN('[19]2026년'!G33/1000,1)</f>
        <v>64.2</v>
      </c>
    </row>
    <row r="38" spans="1:29">
      <c r="A38" s="6">
        <v>46055</v>
      </c>
      <c r="B38" s="12">
        <f>'[18]key-in(LO)'!AA36</f>
        <v>651.20000000000005</v>
      </c>
      <c r="C38" s="12">
        <f>'[18]key-in(LO)'!AB36</f>
        <v>249015</v>
      </c>
      <c r="D38" s="12">
        <f>'[18]key-in(LO)'!AC36</f>
        <v>240564</v>
      </c>
      <c r="E38" s="12">
        <f>'[18]key-in(LO)'!AD36</f>
        <v>17171.169999999998</v>
      </c>
      <c r="F38" s="12">
        <f>'[18]key-in(LO)'!AE36</f>
        <v>14924.34</v>
      </c>
      <c r="G38" s="115">
        <f>'[18]key-in(LO)'!AF36</f>
        <v>7.2</v>
      </c>
      <c r="H38" s="12">
        <f>'[18]key-in(LO)'!AG36</f>
        <v>37003</v>
      </c>
      <c r="I38" s="12">
        <f>'[18]key-in(LO)'!AH36</f>
        <v>20247</v>
      </c>
      <c r="J38" s="10">
        <f>'[18]key-in(ACO)'!$AR36</f>
        <v>33.299999999999997</v>
      </c>
      <c r="K38" s="10">
        <f>'[18]key-in(ACO)'!$AS36</f>
        <v>32.659999999999997</v>
      </c>
      <c r="L38" s="9">
        <f>'[18]key-in(ACO)'!$AV36</f>
        <v>8160</v>
      </c>
      <c r="M38" s="10">
        <f>[18]생산!BA35</f>
        <v>198776.49000000209</v>
      </c>
      <c r="N38" s="10">
        <f>[18]생산!BB35</f>
        <v>0</v>
      </c>
      <c r="O38" s="10">
        <f>[18]생산!BC35</f>
        <v>0</v>
      </c>
      <c r="P38" s="10">
        <f>[18]생산!BD35</f>
        <v>0</v>
      </c>
      <c r="Q38" s="10">
        <f>[18]생산!BE35</f>
        <v>0</v>
      </c>
      <c r="R38" s="10">
        <f>[18]생산!BF35</f>
        <v>0</v>
      </c>
      <c r="S38" s="9">
        <f>[18]운전시간외!C35</f>
        <v>24</v>
      </c>
      <c r="T38" s="9">
        <f>[18]운전시간외!D35</f>
        <v>0</v>
      </c>
      <c r="U38" s="9">
        <f>[18]운전시간외!E35</f>
        <v>0</v>
      </c>
      <c r="V38" s="9">
        <f>[18]운전시간외!F35</f>
        <v>0</v>
      </c>
      <c r="W38" s="11">
        <f>[18]생산!F35</f>
        <v>1243</v>
      </c>
      <c r="X38" s="11">
        <f>[18]생산!G35</f>
        <v>0</v>
      </c>
      <c r="Y38" s="11">
        <f>[18]생산!H35</f>
        <v>0</v>
      </c>
      <c r="Z38" s="11">
        <f>[18]생산!I35</f>
        <v>0</v>
      </c>
      <c r="AA38" s="11">
        <f>[18]생산!J35</f>
        <v>0</v>
      </c>
      <c r="AB38" s="11">
        <f>[18]생산!K35</f>
        <v>1243</v>
      </c>
      <c r="AC38" s="11">
        <f>ROUNDDOWN('[19]2026년'!G34/1000,1)</f>
        <v>77.2</v>
      </c>
    </row>
    <row r="39" spans="1:29">
      <c r="A39" s="6">
        <v>46056</v>
      </c>
      <c r="B39" s="12">
        <f>'[18]key-in(LO)'!AA37</f>
        <v>651.20000000000005</v>
      </c>
      <c r="C39" s="12">
        <f>'[18]key-in(LO)'!AB37</f>
        <v>249038</v>
      </c>
      <c r="D39" s="12">
        <f>'[18]key-in(LO)'!AC37</f>
        <v>240624</v>
      </c>
      <c r="E39" s="12">
        <f>'[18]key-in(LO)'!AD37</f>
        <v>17175.400000000001</v>
      </c>
      <c r="F39" s="12">
        <f>'[18]key-in(LO)'!AE37</f>
        <v>14942.59</v>
      </c>
      <c r="G39" s="115">
        <f>'[18]key-in(LO)'!AF37</f>
        <v>8.1999999999999993</v>
      </c>
      <c r="H39" s="12">
        <f>'[18]key-in(LO)'!AG37</f>
        <v>37122</v>
      </c>
      <c r="I39" s="12">
        <f>'[18]key-in(LO)'!AH37</f>
        <v>20401</v>
      </c>
      <c r="J39" s="10">
        <f>'[18]key-in(ACO)'!$AR37</f>
        <v>33.72</v>
      </c>
      <c r="K39" s="10">
        <f>'[18]key-in(ACO)'!$AS37</f>
        <v>33.299999999999997</v>
      </c>
      <c r="L39" s="9">
        <f>'[18]key-in(ACO)'!$AV37</f>
        <v>8687</v>
      </c>
      <c r="M39" s="10">
        <f>[18]생산!BA36</f>
        <v>196295.22999999672</v>
      </c>
      <c r="N39" s="10">
        <f>[18]생산!BB36</f>
        <v>0</v>
      </c>
      <c r="O39" s="10">
        <f>[18]생산!BC36</f>
        <v>0</v>
      </c>
      <c r="P39" s="10">
        <f>[18]생산!BD36</f>
        <v>0</v>
      </c>
      <c r="Q39" s="10">
        <f>[18]생산!BE36</f>
        <v>0</v>
      </c>
      <c r="R39" s="10">
        <f>[18]생산!BF36</f>
        <v>0</v>
      </c>
      <c r="S39" s="9">
        <f>[18]운전시간외!C36</f>
        <v>24</v>
      </c>
      <c r="T39" s="9">
        <f>[18]운전시간외!D36</f>
        <v>0</v>
      </c>
      <c r="U39" s="9">
        <f>[18]운전시간외!E36</f>
        <v>0</v>
      </c>
      <c r="V39" s="9">
        <f>[18]운전시간외!F36</f>
        <v>0</v>
      </c>
      <c r="W39" s="11">
        <f>[18]생산!F36</f>
        <v>1249</v>
      </c>
      <c r="X39" s="11">
        <f>[18]생산!G36</f>
        <v>0</v>
      </c>
      <c r="Y39" s="11">
        <f>[18]생산!H36</f>
        <v>0</v>
      </c>
      <c r="Z39" s="11">
        <f>[18]생산!I36</f>
        <v>0</v>
      </c>
      <c r="AA39" s="11">
        <f>[18]생산!J36</f>
        <v>0</v>
      </c>
      <c r="AB39" s="11">
        <f>[18]생산!K36</f>
        <v>1249</v>
      </c>
      <c r="AC39" s="11">
        <f>ROUNDDOWN('[19]2026년'!G35/1000,1)</f>
        <v>78.7</v>
      </c>
    </row>
    <row r="40" spans="1:29">
      <c r="A40" s="6">
        <v>46057</v>
      </c>
      <c r="B40" s="12">
        <f>'[18]key-in(LO)'!AA38</f>
        <v>651.20000000000005</v>
      </c>
      <c r="C40" s="12">
        <f>'[18]key-in(LO)'!AB38</f>
        <v>249088</v>
      </c>
      <c r="D40" s="12">
        <f>'[18]key-in(LO)'!AC38</f>
        <v>240649</v>
      </c>
      <c r="E40" s="12">
        <f>'[18]key-in(LO)'!AD38</f>
        <v>17180.78</v>
      </c>
      <c r="F40" s="12">
        <f>'[18]key-in(LO)'!AE38</f>
        <v>14963.24</v>
      </c>
      <c r="G40" s="115">
        <f>'[18]key-in(LO)'!AF38</f>
        <v>9.5</v>
      </c>
      <c r="H40" s="12">
        <f>'[18]key-in(LO)'!AG38</f>
        <v>37232</v>
      </c>
      <c r="I40" s="12">
        <f>'[18]key-in(LO)'!AH38</f>
        <v>20594</v>
      </c>
      <c r="J40" s="10">
        <f>'[18]key-in(ACO)'!$AR38</f>
        <v>33.661999999999999</v>
      </c>
      <c r="K40" s="10">
        <f>'[18]key-in(ACO)'!$AS38</f>
        <v>33.279000000000003</v>
      </c>
      <c r="L40" s="9">
        <f>'[18]key-in(ACO)'!$AV38</f>
        <v>8337.6990000000005</v>
      </c>
      <c r="M40" s="10">
        <f>[18]생산!BA37</f>
        <v>195728.46000000089</v>
      </c>
      <c r="N40" s="10">
        <f>[18]생산!BB37</f>
        <v>0</v>
      </c>
      <c r="O40" s="10">
        <f>[18]생산!BC37</f>
        <v>0</v>
      </c>
      <c r="P40" s="10">
        <f>[18]생산!BD37</f>
        <v>0</v>
      </c>
      <c r="Q40" s="10">
        <f>[18]생산!BE37</f>
        <v>0</v>
      </c>
      <c r="R40" s="10">
        <f>[18]생산!BF37</f>
        <v>0</v>
      </c>
      <c r="S40" s="9">
        <f>[18]운전시간외!C37</f>
        <v>24</v>
      </c>
      <c r="T40" s="9">
        <f>[18]운전시간외!D37</f>
        <v>0</v>
      </c>
      <c r="U40" s="9">
        <f>[18]운전시간외!E37</f>
        <v>0</v>
      </c>
      <c r="V40" s="9">
        <f>[18]운전시간외!F37</f>
        <v>0</v>
      </c>
      <c r="W40" s="11">
        <f>[18]생산!F37</f>
        <v>1243.8500000000004</v>
      </c>
      <c r="X40" s="11">
        <f>[18]생산!G37</f>
        <v>0</v>
      </c>
      <c r="Y40" s="11">
        <f>[18]생산!H37</f>
        <v>0</v>
      </c>
      <c r="Z40" s="11">
        <f>[18]생산!I37</f>
        <v>0</v>
      </c>
      <c r="AA40" s="11">
        <f>[18]생산!J37</f>
        <v>0</v>
      </c>
      <c r="AB40" s="11">
        <f>[18]생산!K37</f>
        <v>1243.8500000000004</v>
      </c>
      <c r="AC40" s="11">
        <f>ROUNDDOWN('[19]2026년'!G36/1000,1)</f>
        <v>74.2</v>
      </c>
    </row>
    <row r="41" spans="1:29">
      <c r="A41" s="6">
        <v>46058</v>
      </c>
      <c r="B41" s="12">
        <f>'[18]key-in(LO)'!AA39</f>
        <v>651.20000000000005</v>
      </c>
      <c r="C41" s="12">
        <f>'[18]key-in(LO)'!AB39</f>
        <v>249136</v>
      </c>
      <c r="D41" s="12">
        <f>'[18]key-in(LO)'!AC39</f>
        <v>240649</v>
      </c>
      <c r="E41" s="12">
        <f>'[18]key-in(LO)'!AD39</f>
        <v>17186.47</v>
      </c>
      <c r="F41" s="12">
        <f>'[18]key-in(LO)'!AE39</f>
        <v>14984.99</v>
      </c>
      <c r="G41" s="115">
        <f>'[18]key-in(LO)'!AF39</f>
        <v>10.7</v>
      </c>
      <c r="H41" s="12">
        <f>'[18]key-in(LO)'!AG39</f>
        <v>37430</v>
      </c>
      <c r="I41" s="12">
        <f>'[18]key-in(LO)'!AH39</f>
        <v>20752</v>
      </c>
      <c r="J41" s="10">
        <f>'[18]key-in(ACO)'!$AR39</f>
        <v>33.880000000000003</v>
      </c>
      <c r="K41" s="10">
        <f>'[18]key-in(ACO)'!$AS39</f>
        <v>33.176000000000002</v>
      </c>
      <c r="L41" s="9">
        <f>'[18]key-in(ACO)'!$AV39</f>
        <v>8205.75</v>
      </c>
      <c r="M41" s="10">
        <f>[18]생산!BA38</f>
        <v>197029.77000000328</v>
      </c>
      <c r="N41" s="10">
        <f>[18]생산!BB38</f>
        <v>0</v>
      </c>
      <c r="O41" s="10">
        <f>[18]생산!BC38</f>
        <v>0</v>
      </c>
      <c r="P41" s="10">
        <f>[18]생산!BD38</f>
        <v>0</v>
      </c>
      <c r="Q41" s="10">
        <f>[18]생산!BE38</f>
        <v>0</v>
      </c>
      <c r="R41" s="10">
        <f>[18]생산!BF38</f>
        <v>0</v>
      </c>
      <c r="S41" s="9">
        <f>[18]운전시간외!C38</f>
        <v>24</v>
      </c>
      <c r="T41" s="9">
        <f>[18]운전시간외!D38</f>
        <v>0</v>
      </c>
      <c r="U41" s="9">
        <f>[18]운전시간외!E38</f>
        <v>0</v>
      </c>
      <c r="V41" s="9">
        <f>[18]운전시간외!F38</f>
        <v>0</v>
      </c>
      <c r="W41" s="11">
        <f>[18]생산!F38</f>
        <v>1249.9349999999995</v>
      </c>
      <c r="X41" s="11">
        <f>[18]생산!G38</f>
        <v>0</v>
      </c>
      <c r="Y41" s="11">
        <f>[18]생산!H38</f>
        <v>0</v>
      </c>
      <c r="Z41" s="11">
        <f>[18]생산!I38</f>
        <v>0</v>
      </c>
      <c r="AA41" s="11">
        <f>[18]생산!J38</f>
        <v>0</v>
      </c>
      <c r="AB41" s="11">
        <f>[18]생산!K38</f>
        <v>1249.9349999999995</v>
      </c>
      <c r="AC41" s="11">
        <f>ROUNDDOWN('[19]2026년'!G37/1000,1)</f>
        <v>70.900000000000006</v>
      </c>
    </row>
    <row r="42" spans="1:29">
      <c r="A42" s="6">
        <v>46059</v>
      </c>
      <c r="B42" s="12">
        <f>'[18]key-in(LO)'!AA40</f>
        <v>651.20000000000005</v>
      </c>
      <c r="C42" s="12">
        <f>'[18]key-in(LO)'!AB40</f>
        <v>249165</v>
      </c>
      <c r="D42" s="12">
        <f>'[18]key-in(LO)'!AC40</f>
        <v>240722</v>
      </c>
      <c r="E42" s="12">
        <f>'[18]key-in(LO)'!AD40</f>
        <v>17190.79</v>
      </c>
      <c r="F42" s="12">
        <f>'[18]key-in(LO)'!AE40</f>
        <v>15000.77</v>
      </c>
      <c r="G42" s="115">
        <f>'[18]key-in(LO)'!AF40</f>
        <v>11.8</v>
      </c>
      <c r="H42" s="12">
        <f>'[18]key-in(LO)'!AG40</f>
        <v>37592</v>
      </c>
      <c r="I42" s="12">
        <f>'[18]key-in(LO)'!AH40</f>
        <v>20953</v>
      </c>
      <c r="J42" s="10">
        <f>'[18]key-in(ACO)'!$AR40</f>
        <v>33.67</v>
      </c>
      <c r="K42" s="10">
        <f>'[18]key-in(ACO)'!$AS40</f>
        <v>33.200000000000003</v>
      </c>
      <c r="L42" s="9">
        <f>'[18]key-in(ACO)'!$AV40</f>
        <v>8392</v>
      </c>
      <c r="M42" s="10">
        <f>[18]생산!BA39</f>
        <v>139041.94999999553</v>
      </c>
      <c r="N42" s="10">
        <f>[18]생산!BB39</f>
        <v>0</v>
      </c>
      <c r="O42" s="10">
        <f>[18]생산!BC39</f>
        <v>0</v>
      </c>
      <c r="P42" s="10">
        <f>[18]생산!BD39</f>
        <v>0</v>
      </c>
      <c r="Q42" s="10">
        <f>[18]생산!BE39</f>
        <v>0</v>
      </c>
      <c r="R42" s="10">
        <f>[18]생산!BF39</f>
        <v>0</v>
      </c>
      <c r="S42" s="9">
        <f>[18]운전시간외!C39</f>
        <v>19</v>
      </c>
      <c r="T42" s="9">
        <f>[18]운전시간외!D39</f>
        <v>0</v>
      </c>
      <c r="U42" s="9">
        <f>[18]운전시간외!E39</f>
        <v>0</v>
      </c>
      <c r="V42" s="9">
        <f>[18]운전시간외!F39</f>
        <v>0</v>
      </c>
      <c r="W42" s="11">
        <f>[18]생산!F39</f>
        <v>886.21500000000003</v>
      </c>
      <c r="X42" s="11">
        <f>[18]생산!G39</f>
        <v>0</v>
      </c>
      <c r="Y42" s="11">
        <f>[18]생산!H39</f>
        <v>0</v>
      </c>
      <c r="Z42" s="11">
        <f>[18]생산!I39</f>
        <v>0</v>
      </c>
      <c r="AA42" s="11">
        <f>[18]생산!J39</f>
        <v>0</v>
      </c>
      <c r="AB42" s="11">
        <f>[18]생산!K39</f>
        <v>886.21500000000003</v>
      </c>
      <c r="AC42" s="11">
        <f>ROUNDDOWN('[19]2026년'!G38/1000,1)</f>
        <v>44.2</v>
      </c>
    </row>
    <row r="43" spans="1:29">
      <c r="A43" s="6">
        <v>46060</v>
      </c>
      <c r="B43" s="12">
        <f>'[18]key-in(LO)'!AA41</f>
        <v>651.20000000000005</v>
      </c>
      <c r="C43" s="12">
        <f>'[18]key-in(LO)'!AB41</f>
        <v>249165</v>
      </c>
      <c r="D43" s="12">
        <f>'[18]key-in(LO)'!AC41</f>
        <v>240777</v>
      </c>
      <c r="E43" s="12">
        <f>'[18]key-in(LO)'!AD41</f>
        <v>17193.91</v>
      </c>
      <c r="F43" s="12">
        <f>'[18]key-in(LO)'!AE41</f>
        <v>15018.6</v>
      </c>
      <c r="G43" s="115">
        <f>'[18]key-in(LO)'!AF41</f>
        <v>12.5</v>
      </c>
      <c r="H43" s="12">
        <f>'[18]key-in(LO)'!AG41</f>
        <v>37673</v>
      </c>
      <c r="I43" s="12">
        <f>'[18]key-in(LO)'!AH41</f>
        <v>21075</v>
      </c>
      <c r="J43" s="10">
        <f>'[18]key-in(ACO)'!$AR41</f>
        <v>33.78</v>
      </c>
      <c r="K43" s="10">
        <f>'[18]key-in(ACO)'!$AS41</f>
        <v>33.19</v>
      </c>
      <c r="L43" s="9">
        <f>'[18]key-in(ACO)'!$AV41</f>
        <v>8228</v>
      </c>
      <c r="M43" s="10">
        <f>[18]생산!BA40</f>
        <v>195601.91000000387</v>
      </c>
      <c r="N43" s="10">
        <f>[18]생산!BB40</f>
        <v>0</v>
      </c>
      <c r="O43" s="10">
        <f>[18]생산!BC40</f>
        <v>0</v>
      </c>
      <c r="P43" s="10">
        <f>[18]생산!BD40</f>
        <v>0</v>
      </c>
      <c r="Q43" s="10">
        <f>[18]생산!BE40</f>
        <v>0</v>
      </c>
      <c r="R43" s="10">
        <f>[18]생산!BF40</f>
        <v>0</v>
      </c>
      <c r="S43" s="9">
        <f>[18]운전시간외!C40</f>
        <v>24</v>
      </c>
      <c r="T43" s="9">
        <f>[18]운전시간외!D40</f>
        <v>0</v>
      </c>
      <c r="U43" s="9">
        <f>[18]운전시간외!E40</f>
        <v>0</v>
      </c>
      <c r="V43" s="9">
        <f>[18]운전시간외!F40</f>
        <v>0</v>
      </c>
      <c r="W43" s="11">
        <f>[18]생산!F40</f>
        <v>1270</v>
      </c>
      <c r="X43" s="11">
        <f>[18]생산!G40</f>
        <v>0</v>
      </c>
      <c r="Y43" s="11">
        <f>[18]생산!H40</f>
        <v>0</v>
      </c>
      <c r="Z43" s="11">
        <f>[18]생산!I40</f>
        <v>0</v>
      </c>
      <c r="AA43" s="11">
        <f>[18]생산!J40</f>
        <v>0</v>
      </c>
      <c r="AB43" s="11">
        <f>[18]생산!K40</f>
        <v>1270</v>
      </c>
      <c r="AC43" s="11">
        <f>ROUNDDOWN('[19]2026년'!G39/1000,1)</f>
        <v>71.400000000000006</v>
      </c>
    </row>
    <row r="44" spans="1:29">
      <c r="A44" s="6">
        <v>46061</v>
      </c>
      <c r="B44" s="12">
        <f>'[18]key-in(LO)'!AA42</f>
        <v>651.20000000000005</v>
      </c>
      <c r="C44" s="12">
        <f>'[18]key-in(LO)'!AB42</f>
        <v>249190</v>
      </c>
      <c r="D44" s="12">
        <f>'[18]key-in(LO)'!AC42</f>
        <v>240814</v>
      </c>
      <c r="E44" s="12">
        <f>'[18]key-in(LO)'!AD42</f>
        <v>17197.599999999999</v>
      </c>
      <c r="F44" s="12">
        <f>'[18]key-in(LO)'!AE42</f>
        <v>15036.84</v>
      </c>
      <c r="G44" s="115">
        <f>'[18]key-in(LO)'!AF42</f>
        <v>13.3</v>
      </c>
      <c r="H44" s="12">
        <f>'[18]key-in(LO)'!AG42</f>
        <v>37705</v>
      </c>
      <c r="I44" s="12">
        <f>'[18]key-in(LO)'!AH42</f>
        <v>21205</v>
      </c>
      <c r="J44" s="10">
        <f>'[18]key-in(ACO)'!$AR42</f>
        <v>33.619999999999997</v>
      </c>
      <c r="K44" s="10">
        <f>'[18]key-in(ACO)'!$AS42</f>
        <v>33.15</v>
      </c>
      <c r="L44" s="9">
        <f>'[18]key-in(ACO)'!$AV42</f>
        <v>8418</v>
      </c>
      <c r="M44" s="10">
        <f>[18]생산!BA41</f>
        <v>197119.82999999821</v>
      </c>
      <c r="N44" s="10">
        <f>[18]생산!BB41</f>
        <v>0</v>
      </c>
      <c r="O44" s="10">
        <f>[18]생산!BC41</f>
        <v>0</v>
      </c>
      <c r="P44" s="10">
        <f>[18]생산!BD41</f>
        <v>0</v>
      </c>
      <c r="Q44" s="10">
        <f>[18]생산!BE41</f>
        <v>0</v>
      </c>
      <c r="R44" s="10">
        <f>[18]생산!BF41</f>
        <v>0</v>
      </c>
      <c r="S44" s="9">
        <f>[18]운전시간외!C41</f>
        <v>24</v>
      </c>
      <c r="T44" s="9">
        <f>[18]운전시간외!D41</f>
        <v>0</v>
      </c>
      <c r="U44" s="9">
        <f>[18]운전시간외!E41</f>
        <v>0</v>
      </c>
      <c r="V44" s="9">
        <f>[18]운전시간외!F41</f>
        <v>0</v>
      </c>
      <c r="W44" s="11">
        <f>[18]생산!F41</f>
        <v>1269</v>
      </c>
      <c r="X44" s="11">
        <f>[18]생산!G41</f>
        <v>0</v>
      </c>
      <c r="Y44" s="11">
        <f>[18]생산!H41</f>
        <v>0</v>
      </c>
      <c r="Z44" s="11">
        <f>[18]생산!I41</f>
        <v>0</v>
      </c>
      <c r="AA44" s="11">
        <f>[18]생산!J41</f>
        <v>0</v>
      </c>
      <c r="AB44" s="11">
        <f>[18]생산!K41</f>
        <v>1269</v>
      </c>
      <c r="AC44" s="11">
        <f>ROUNDDOWN('[19]2026년'!G40/1000,1)</f>
        <v>75.3</v>
      </c>
    </row>
    <row r="45" spans="1:29">
      <c r="A45" s="6">
        <v>46062</v>
      </c>
      <c r="B45" s="12">
        <f>'[18]key-in(LO)'!AA43</f>
        <v>651.20000000000005</v>
      </c>
      <c r="C45" s="12">
        <f>'[18]key-in(LO)'!AB43</f>
        <v>249283</v>
      </c>
      <c r="D45" s="12">
        <f>'[18]key-in(LO)'!AC43</f>
        <v>240814</v>
      </c>
      <c r="E45" s="12">
        <f>'[18]key-in(LO)'!AD43</f>
        <v>17202.650000000001</v>
      </c>
      <c r="F45" s="12">
        <f>'[18]key-in(LO)'!AE43</f>
        <v>15055.33</v>
      </c>
      <c r="G45" s="115">
        <f>'[18]key-in(LO)'!AF43</f>
        <v>14.3</v>
      </c>
      <c r="H45" s="12">
        <f>'[18]key-in(LO)'!AG43</f>
        <v>37790</v>
      </c>
      <c r="I45" s="12">
        <f>'[18]key-in(LO)'!AH43</f>
        <v>21366</v>
      </c>
      <c r="J45" s="10">
        <f>'[18]key-in(ACO)'!$AR43</f>
        <v>33.75</v>
      </c>
      <c r="K45" s="10">
        <f>'[18]key-in(ACO)'!$AS43</f>
        <v>33.18</v>
      </c>
      <c r="L45" s="9">
        <f>'[18]key-in(ACO)'!$AV43</f>
        <v>8337</v>
      </c>
      <c r="M45" s="10">
        <f>[18]생산!BA42</f>
        <v>191506.51999999583</v>
      </c>
      <c r="N45" s="10">
        <f>[18]생산!BB42</f>
        <v>0</v>
      </c>
      <c r="O45" s="10">
        <f>[18]생산!BC42</f>
        <v>0</v>
      </c>
      <c r="P45" s="10">
        <f>[18]생산!BD42</f>
        <v>0</v>
      </c>
      <c r="Q45" s="10">
        <f>[18]생산!BE42</f>
        <v>0</v>
      </c>
      <c r="R45" s="10">
        <f>[18]생산!BF42</f>
        <v>0</v>
      </c>
      <c r="S45" s="9">
        <f>[18]운전시간외!C42</f>
        <v>24</v>
      </c>
      <c r="T45" s="9">
        <f>[18]운전시간외!D42</f>
        <v>0</v>
      </c>
      <c r="U45" s="9">
        <f>[18]운전시간외!E42</f>
        <v>0</v>
      </c>
      <c r="V45" s="9">
        <f>[18]운전시간외!F42</f>
        <v>0</v>
      </c>
      <c r="W45" s="11">
        <f>[18]생산!F42</f>
        <v>1239</v>
      </c>
      <c r="X45" s="11">
        <f>[18]생산!G42</f>
        <v>0</v>
      </c>
      <c r="Y45" s="11">
        <f>[18]생산!H42</f>
        <v>0</v>
      </c>
      <c r="Z45" s="11">
        <f>[18]생산!I42</f>
        <v>0</v>
      </c>
      <c r="AA45" s="11">
        <f>[18]생산!J42</f>
        <v>0</v>
      </c>
      <c r="AB45" s="11">
        <f>[18]생산!K42</f>
        <v>1239</v>
      </c>
      <c r="AC45" s="11">
        <f>ROUNDDOWN('[19]2026년'!G41/1000,1)</f>
        <v>65.599999999999994</v>
      </c>
    </row>
    <row r="46" spans="1:29">
      <c r="A46" s="6">
        <v>46063</v>
      </c>
      <c r="B46" s="12">
        <f>'[18]key-in(LO)'!AA44</f>
        <v>651.20000000000005</v>
      </c>
      <c r="C46" s="12">
        <f>'[18]key-in(LO)'!AB44</f>
        <v>249317</v>
      </c>
      <c r="D46" s="12">
        <f>'[18]key-in(LO)'!AC44</f>
        <v>240854</v>
      </c>
      <c r="E46" s="12">
        <f>'[18]key-in(LO)'!AD44</f>
        <v>17207</v>
      </c>
      <c r="F46" s="12">
        <f>'[18]key-in(LO)'!AE44</f>
        <v>15075.68</v>
      </c>
      <c r="G46" s="115">
        <f>'[18]key-in(LO)'!AF44</f>
        <v>15.5</v>
      </c>
      <c r="H46" s="12">
        <f>'[18]key-in(LO)'!AG44</f>
        <v>37973</v>
      </c>
      <c r="I46" s="12">
        <f>'[18]key-in(LO)'!AH44</f>
        <v>21572</v>
      </c>
      <c r="J46" s="10">
        <f>'[18]key-in(ACO)'!$AR44</f>
        <v>33.369999999999997</v>
      </c>
      <c r="K46" s="10">
        <f>'[18]key-in(ACO)'!$AS44</f>
        <v>33.08</v>
      </c>
      <c r="L46" s="9">
        <f>'[18]key-in(ACO)'!$AV44</f>
        <v>8406</v>
      </c>
      <c r="M46" s="10">
        <f>[18]생산!BA43</f>
        <v>196417.79000000656</v>
      </c>
      <c r="N46" s="10">
        <f>[18]생산!BB43</f>
        <v>0</v>
      </c>
      <c r="O46" s="10">
        <f>[18]생산!BC43</f>
        <v>0</v>
      </c>
      <c r="P46" s="10">
        <f>[18]생산!BD43</f>
        <v>0</v>
      </c>
      <c r="Q46" s="10">
        <f>[18]생산!BE43</f>
        <v>0</v>
      </c>
      <c r="R46" s="10">
        <f>[18]생산!BF43</f>
        <v>0</v>
      </c>
      <c r="S46" s="9">
        <f>[18]운전시간외!C43</f>
        <v>24</v>
      </c>
      <c r="T46" s="9">
        <f>[18]운전시간외!D43</f>
        <v>0</v>
      </c>
      <c r="U46" s="9">
        <f>[18]운전시간외!E43</f>
        <v>0</v>
      </c>
      <c r="V46" s="9">
        <f>[18]운전시간외!F43</f>
        <v>0</v>
      </c>
      <c r="W46" s="11">
        <f>[18]생산!F43</f>
        <v>1255</v>
      </c>
      <c r="X46" s="11">
        <f>[18]생산!G43</f>
        <v>0</v>
      </c>
      <c r="Y46" s="11">
        <f>[18]생산!H43</f>
        <v>0</v>
      </c>
      <c r="Z46" s="11">
        <f>[18]생산!I43</f>
        <v>0</v>
      </c>
      <c r="AA46" s="11">
        <f>[18]생산!J43</f>
        <v>0</v>
      </c>
      <c r="AB46" s="11">
        <f>[18]생산!K43</f>
        <v>1255</v>
      </c>
      <c r="AC46" s="11">
        <f>ROUNDDOWN('[19]2026년'!G42/1000,1)</f>
        <v>64.3</v>
      </c>
    </row>
    <row r="47" spans="1:29">
      <c r="A47" s="6">
        <v>46064</v>
      </c>
      <c r="B47" s="12">
        <f>'[18]key-in(LO)'!AA45</f>
        <v>651.20000000000005</v>
      </c>
      <c r="C47" s="12">
        <f>'[18]key-in(LO)'!AB45</f>
        <v>249317</v>
      </c>
      <c r="D47" s="12">
        <f>'[18]key-in(LO)'!AC45</f>
        <v>240931</v>
      </c>
      <c r="E47" s="12">
        <f>'[18]key-in(LO)'!AD45</f>
        <v>17212.77</v>
      </c>
      <c r="F47" s="12">
        <f>'[18]key-in(LO)'!AE45</f>
        <v>15096.17</v>
      </c>
      <c r="G47" s="115">
        <f>'[18]key-in(LO)'!AF45</f>
        <v>16.5</v>
      </c>
      <c r="H47" s="12">
        <f>'[18]key-in(LO)'!AG45</f>
        <v>38141</v>
      </c>
      <c r="I47" s="12">
        <f>'[18]key-in(LO)'!AH45</f>
        <v>21738</v>
      </c>
      <c r="J47" s="10">
        <f>'[18]key-in(ACO)'!$AR45</f>
        <v>33.39</v>
      </c>
      <c r="K47" s="10">
        <f>'[18]key-in(ACO)'!$AS45</f>
        <v>33.07</v>
      </c>
      <c r="L47" s="9">
        <f>'[18]key-in(ACO)'!$AV45</f>
        <v>8569</v>
      </c>
      <c r="M47" s="10">
        <f>[18]생산!BA44</f>
        <v>195832.66999999434</v>
      </c>
      <c r="N47" s="10">
        <f>[18]생산!BB44</f>
        <v>0</v>
      </c>
      <c r="O47" s="10">
        <f>[18]생산!BC44</f>
        <v>0</v>
      </c>
      <c r="P47" s="10">
        <f>[18]생산!BD44</f>
        <v>0</v>
      </c>
      <c r="Q47" s="10">
        <f>[18]생산!BE44</f>
        <v>0</v>
      </c>
      <c r="R47" s="10">
        <f>[18]생산!BF44</f>
        <v>0</v>
      </c>
      <c r="S47" s="9">
        <f>[18]운전시간외!C44</f>
        <v>24</v>
      </c>
      <c r="T47" s="9">
        <f>[18]운전시간외!D44</f>
        <v>0</v>
      </c>
      <c r="U47" s="9">
        <f>[18]운전시간외!E44</f>
        <v>0</v>
      </c>
      <c r="V47" s="9">
        <f>[18]운전시간외!F44</f>
        <v>0</v>
      </c>
      <c r="W47" s="11">
        <f>[18]생산!F44</f>
        <v>1257</v>
      </c>
      <c r="X47" s="11">
        <f>[18]생산!G44</f>
        <v>0</v>
      </c>
      <c r="Y47" s="11">
        <f>[18]생산!H44</f>
        <v>0</v>
      </c>
      <c r="Z47" s="11">
        <f>[18]생산!I44</f>
        <v>0</v>
      </c>
      <c r="AA47" s="11">
        <f>[18]생산!J44</f>
        <v>0</v>
      </c>
      <c r="AB47" s="11">
        <f>[18]생산!K44</f>
        <v>1257</v>
      </c>
      <c r="AC47" s="11">
        <f>ROUNDDOWN('[19]2026년'!G43/1000,1)</f>
        <v>75</v>
      </c>
    </row>
    <row r="48" spans="1:29">
      <c r="A48" s="6">
        <v>46065</v>
      </c>
      <c r="B48" s="12">
        <f>'[18]key-in(LO)'!AA46</f>
        <v>651.20000000000005</v>
      </c>
      <c r="C48" s="12">
        <f>'[18]key-in(LO)'!AB46</f>
        <v>249336</v>
      </c>
      <c r="D48" s="12">
        <f>'[18]key-in(LO)'!AC46</f>
        <v>240938</v>
      </c>
      <c r="E48" s="12">
        <f>'[18]key-in(LO)'!AD46</f>
        <v>17219.28</v>
      </c>
      <c r="F48" s="12">
        <f>'[18]key-in(LO)'!AE46</f>
        <v>15116.58</v>
      </c>
      <c r="G48" s="115">
        <f>'[18]key-in(LO)'!AF46</f>
        <v>17.3</v>
      </c>
      <c r="H48" s="12">
        <f>'[18]key-in(LO)'!AG46</f>
        <v>38254</v>
      </c>
      <c r="I48" s="12">
        <f>'[18]key-in(LO)'!AH46</f>
        <v>21848</v>
      </c>
      <c r="J48" s="10">
        <f>'[18]key-in(ACO)'!$AR46</f>
        <v>33.590000000000003</v>
      </c>
      <c r="K48" s="10">
        <f>'[18]key-in(ACO)'!$AS46</f>
        <v>33.26</v>
      </c>
      <c r="L48" s="9">
        <f>'[18]key-in(ACO)'!$AV46</f>
        <v>6388</v>
      </c>
      <c r="M48" s="10">
        <f>[18]생산!BA45</f>
        <v>196425.25</v>
      </c>
      <c r="N48" s="10">
        <f>[18]생산!BB45</f>
        <v>0</v>
      </c>
      <c r="O48" s="10">
        <f>[18]생산!BC45</f>
        <v>0</v>
      </c>
      <c r="P48" s="10">
        <f>[18]생산!BD45</f>
        <v>0</v>
      </c>
      <c r="Q48" s="10">
        <f>[18]생산!BE45</f>
        <v>0</v>
      </c>
      <c r="R48" s="10">
        <f>[18]생산!BF45</f>
        <v>0</v>
      </c>
      <c r="S48" s="9">
        <f>[18]운전시간외!C45</f>
        <v>24</v>
      </c>
      <c r="T48" s="9">
        <f>[18]운전시간외!D45</f>
        <v>0</v>
      </c>
      <c r="U48" s="9">
        <f>[18]운전시간외!E45</f>
        <v>0</v>
      </c>
      <c r="V48" s="9">
        <f>[18]운전시간외!F45</f>
        <v>0</v>
      </c>
      <c r="W48" s="11">
        <f>[18]생산!F45</f>
        <v>1262</v>
      </c>
      <c r="X48" s="11">
        <f>[18]생산!G45</f>
        <v>0</v>
      </c>
      <c r="Y48" s="11">
        <f>[18]생산!H45</f>
        <v>0</v>
      </c>
      <c r="Z48" s="11">
        <f>[18]생산!I45</f>
        <v>0</v>
      </c>
      <c r="AA48" s="11">
        <f>[18]생산!J45</f>
        <v>0</v>
      </c>
      <c r="AB48" s="11">
        <f>[18]생산!K45</f>
        <v>1262</v>
      </c>
      <c r="AC48" s="11">
        <f>ROUNDDOWN('[19]2026년'!G44/1000,1)</f>
        <v>75.099999999999994</v>
      </c>
    </row>
    <row r="49" spans="1:29">
      <c r="A49" s="6">
        <v>46066</v>
      </c>
      <c r="B49" s="12">
        <f>'[18]key-in(LO)'!AA47</f>
        <v>651.20000000000005</v>
      </c>
      <c r="C49" s="12">
        <f>'[18]key-in(LO)'!AB47</f>
        <v>249424</v>
      </c>
      <c r="D49" s="12">
        <f>'[18]key-in(LO)'!AC47</f>
        <v>240982</v>
      </c>
      <c r="E49" s="12">
        <f>'[18]key-in(LO)'!AD47</f>
        <v>17225.05</v>
      </c>
      <c r="F49" s="12">
        <f>'[18]key-in(LO)'!AE47</f>
        <v>15139.01</v>
      </c>
      <c r="G49" s="115">
        <f>'[18]key-in(LO)'!AF47</f>
        <v>18.3</v>
      </c>
      <c r="H49" s="12">
        <f>'[18]key-in(LO)'!AG47</f>
        <v>38382</v>
      </c>
      <c r="I49" s="12">
        <f>'[18]key-in(LO)'!AH47</f>
        <v>22104</v>
      </c>
      <c r="J49" s="10">
        <f>'[18]key-in(ACO)'!$AR47</f>
        <v>34.07</v>
      </c>
      <c r="K49" s="10">
        <f>'[18]key-in(ACO)'!$AS47</f>
        <v>33.426000000000002</v>
      </c>
      <c r="L49" s="9">
        <f>'[18]key-in(ACO)'!$AV47</f>
        <v>8332.5589999999993</v>
      </c>
      <c r="M49" s="10">
        <f>[18]생산!BA46</f>
        <v>193930.53999999911</v>
      </c>
      <c r="N49" s="10">
        <f>[18]생산!BB46</f>
        <v>0</v>
      </c>
      <c r="O49" s="10">
        <f>[18]생산!BC46</f>
        <v>0</v>
      </c>
      <c r="P49" s="10">
        <f>[18]생산!BD46</f>
        <v>0</v>
      </c>
      <c r="Q49" s="10">
        <f>[18]생산!BE46</f>
        <v>0</v>
      </c>
      <c r="R49" s="10">
        <f>[18]생산!BF46</f>
        <v>0</v>
      </c>
      <c r="S49" s="9">
        <f>[18]운전시간외!C46</f>
        <v>24</v>
      </c>
      <c r="T49" s="9">
        <f>[18]운전시간외!D46</f>
        <v>0</v>
      </c>
      <c r="U49" s="9">
        <f>[18]운전시간외!E46</f>
        <v>0</v>
      </c>
      <c r="V49" s="9">
        <f>[18]운전시간외!F46</f>
        <v>0</v>
      </c>
      <c r="W49" s="11">
        <f>[18]생산!F46</f>
        <v>1264.4169999999995</v>
      </c>
      <c r="X49" s="11">
        <f>[18]생산!G46</f>
        <v>0</v>
      </c>
      <c r="Y49" s="11">
        <f>[18]생산!H46</f>
        <v>0</v>
      </c>
      <c r="Z49" s="11">
        <f>[18]생산!I46</f>
        <v>0</v>
      </c>
      <c r="AA49" s="11">
        <f>[18]생산!J46</f>
        <v>0</v>
      </c>
      <c r="AB49" s="11">
        <f>[18]생산!K46</f>
        <v>1264.4169999999995</v>
      </c>
      <c r="AC49" s="11">
        <f>ROUNDDOWN('[19]2026년'!G45/1000,1)</f>
        <v>63</v>
      </c>
    </row>
    <row r="50" spans="1:29">
      <c r="A50" s="6">
        <v>46067</v>
      </c>
      <c r="B50" s="12">
        <f>'[18]key-in(LO)'!AA48</f>
        <v>651.20000000000005</v>
      </c>
      <c r="C50" s="12">
        <f>'[18]key-in(LO)'!AB48</f>
        <v>249424</v>
      </c>
      <c r="D50" s="12">
        <f>'[18]key-in(LO)'!AC48</f>
        <v>241026</v>
      </c>
      <c r="E50" s="12">
        <f>'[18]key-in(LO)'!AD48</f>
        <v>17228.689999999999</v>
      </c>
      <c r="F50" s="12">
        <f>'[18]key-in(LO)'!AE48</f>
        <v>15162.37</v>
      </c>
      <c r="G50" s="115">
        <f>'[18]key-in(LO)'!AF48</f>
        <v>19.2</v>
      </c>
      <c r="H50" s="12">
        <f>'[18]key-in(LO)'!AG48</f>
        <v>38513</v>
      </c>
      <c r="I50" s="12">
        <f>'[18]key-in(LO)'!AH48</f>
        <v>22219</v>
      </c>
      <c r="J50" s="10">
        <f>'[18]key-in(ACO)'!$AR48</f>
        <v>34.081000000000003</v>
      </c>
      <c r="K50" s="10">
        <f>'[18]key-in(ACO)'!$AS48</f>
        <v>33.320999999999998</v>
      </c>
      <c r="L50" s="9">
        <f>'[18]key-in(ACO)'!$AV48</f>
        <v>8073.6109999999999</v>
      </c>
      <c r="M50" s="10">
        <f>[18]생산!BA47</f>
        <v>195191.70000000298</v>
      </c>
      <c r="N50" s="10">
        <f>[18]생산!BB47</f>
        <v>0</v>
      </c>
      <c r="O50" s="10">
        <f>[18]생산!BC47</f>
        <v>0</v>
      </c>
      <c r="P50" s="10">
        <f>[18]생산!BD47</f>
        <v>0</v>
      </c>
      <c r="Q50" s="10">
        <f>[18]생산!BE47</f>
        <v>0</v>
      </c>
      <c r="R50" s="10">
        <f>[18]생산!BF47</f>
        <v>0</v>
      </c>
      <c r="S50" s="9">
        <f>[18]운전시간외!C47</f>
        <v>24</v>
      </c>
      <c r="T50" s="9">
        <f>[18]운전시간외!D47</f>
        <v>0</v>
      </c>
      <c r="U50" s="9">
        <f>[18]운전시간외!E47</f>
        <v>0</v>
      </c>
      <c r="V50" s="9">
        <f>[18]운전시간외!F47</f>
        <v>0</v>
      </c>
      <c r="W50" s="11">
        <f>[18]생산!F47</f>
        <v>1255.3780000000002</v>
      </c>
      <c r="X50" s="11">
        <f>[18]생산!G47</f>
        <v>0</v>
      </c>
      <c r="Y50" s="11">
        <f>[18]생산!H47</f>
        <v>0</v>
      </c>
      <c r="Z50" s="11">
        <f>[18]생산!I47</f>
        <v>0</v>
      </c>
      <c r="AA50" s="11">
        <f>[18]생산!J47</f>
        <v>0</v>
      </c>
      <c r="AB50" s="11">
        <f>[18]생산!K47</f>
        <v>1255.3780000000002</v>
      </c>
      <c r="AC50" s="11">
        <f>ROUNDDOWN('[19]2026년'!G46/1000,1)</f>
        <v>65.8</v>
      </c>
    </row>
    <row r="51" spans="1:29">
      <c r="A51" s="6">
        <v>46068</v>
      </c>
      <c r="B51" s="12">
        <f>'[18]key-in(LO)'!AA49</f>
        <v>651.20000000000005</v>
      </c>
      <c r="C51" s="12">
        <f>'[18]key-in(LO)'!AB49</f>
        <v>249489</v>
      </c>
      <c r="D51" s="12">
        <f>'[18]key-in(LO)'!AC49</f>
        <v>241078</v>
      </c>
      <c r="E51" s="12">
        <f>'[18]key-in(LO)'!AD49</f>
        <v>17230.91</v>
      </c>
      <c r="F51" s="12">
        <f>'[18]key-in(LO)'!AE49</f>
        <v>15186.44</v>
      </c>
      <c r="G51" s="115">
        <f>'[18]key-in(LO)'!AF49</f>
        <v>20.100000000000001</v>
      </c>
      <c r="H51" s="12">
        <f>'[18]key-in(LO)'!AG49</f>
        <v>38592</v>
      </c>
      <c r="I51" s="12">
        <f>'[18]key-in(LO)'!AH49</f>
        <v>22425</v>
      </c>
      <c r="J51" s="10">
        <f>'[18]key-in(ACO)'!$AR49</f>
        <v>33.911000000000001</v>
      </c>
      <c r="K51" s="10">
        <f>'[18]key-in(ACO)'!$AS49</f>
        <v>33.334000000000003</v>
      </c>
      <c r="L51" s="9">
        <f>'[18]key-in(ACO)'!$AV49</f>
        <v>8465.8410000000003</v>
      </c>
      <c r="M51" s="10">
        <f>[18]생산!BA48</f>
        <v>153669.07999999821</v>
      </c>
      <c r="N51" s="10">
        <f>[18]생산!BB48</f>
        <v>0</v>
      </c>
      <c r="O51" s="10">
        <f>[18]생산!BC48</f>
        <v>0</v>
      </c>
      <c r="P51" s="10">
        <f>[18]생산!BD48</f>
        <v>0</v>
      </c>
      <c r="Q51" s="10">
        <f>[18]생산!BE48</f>
        <v>0</v>
      </c>
      <c r="R51" s="10">
        <f>[18]생산!BF48</f>
        <v>0</v>
      </c>
      <c r="S51" s="9">
        <f>[18]운전시간외!C48</f>
        <v>24</v>
      </c>
      <c r="T51" s="9">
        <f>[18]운전시간외!D48</f>
        <v>0</v>
      </c>
      <c r="U51" s="9">
        <f>[18]운전시간외!E48</f>
        <v>0</v>
      </c>
      <c r="V51" s="9">
        <f>[18]운전시간외!F48</f>
        <v>0</v>
      </c>
      <c r="W51" s="11">
        <f>[18]생산!F48</f>
        <v>989.88900000000012</v>
      </c>
      <c r="X51" s="11">
        <f>[18]생산!G48</f>
        <v>0</v>
      </c>
      <c r="Y51" s="11">
        <f>[18]생산!H48</f>
        <v>0</v>
      </c>
      <c r="Z51" s="11">
        <f>[18]생산!I48</f>
        <v>0</v>
      </c>
      <c r="AA51" s="11">
        <f>[18]생산!J48</f>
        <v>0</v>
      </c>
      <c r="AB51" s="11">
        <f>[18]생산!K48</f>
        <v>989.88900000000012</v>
      </c>
      <c r="AC51" s="11">
        <f>ROUNDDOWN('[19]2026년'!G47/1000,1)</f>
        <v>55</v>
      </c>
    </row>
    <row r="52" spans="1:29">
      <c r="A52" s="6">
        <v>46069</v>
      </c>
      <c r="B52" s="12">
        <f>'[18]key-in(LO)'!AA50</f>
        <v>651.20000000000005</v>
      </c>
      <c r="C52" s="12">
        <f>'[18]key-in(LO)'!AB50</f>
        <v>249545</v>
      </c>
      <c r="D52" s="12">
        <f>'[18]key-in(LO)'!AC50</f>
        <v>241078</v>
      </c>
      <c r="E52" s="12">
        <f>'[18]key-in(LO)'!AD50</f>
        <v>17233.46</v>
      </c>
      <c r="F52" s="12">
        <f>'[18]key-in(LO)'!AE50</f>
        <v>15204.81</v>
      </c>
      <c r="G52" s="115">
        <f>'[18]key-in(LO)'!AF50</f>
        <v>21</v>
      </c>
      <c r="H52" s="12">
        <f>'[18]key-in(LO)'!AG50</f>
        <v>38709</v>
      </c>
      <c r="I52" s="12">
        <f>'[18]key-in(LO)'!AH50</f>
        <v>22538</v>
      </c>
      <c r="J52" s="10">
        <f>'[18]key-in(ACO)'!$AR50</f>
        <v>34.01</v>
      </c>
      <c r="K52" s="10">
        <f>'[18]key-in(ACO)'!$AS50</f>
        <v>33.33</v>
      </c>
      <c r="L52" s="9">
        <f>'[18]key-in(ACO)'!$AV50</f>
        <v>8156</v>
      </c>
      <c r="M52" s="10">
        <f>[18]생산!BA49</f>
        <v>121653.23000000417</v>
      </c>
      <c r="N52" s="10">
        <f>[18]생산!BB49</f>
        <v>0</v>
      </c>
      <c r="O52" s="10">
        <f>[18]생산!BC49</f>
        <v>0</v>
      </c>
      <c r="P52" s="10">
        <f>[18]생산!BD49</f>
        <v>0</v>
      </c>
      <c r="Q52" s="10">
        <f>[18]생산!BE49</f>
        <v>0</v>
      </c>
      <c r="R52" s="10">
        <f>[18]생산!BF49</f>
        <v>0</v>
      </c>
      <c r="S52" s="9">
        <f>[18]운전시간외!C49</f>
        <v>17</v>
      </c>
      <c r="T52" s="9">
        <f>[18]운전시간외!D49</f>
        <v>0</v>
      </c>
      <c r="U52" s="9">
        <f>[18]운전시간외!E49</f>
        <v>0</v>
      </c>
      <c r="V52" s="9">
        <f>[18]운전시간외!F49</f>
        <v>0</v>
      </c>
      <c r="W52" s="11">
        <f>[18]생산!F49</f>
        <v>782.3159999999998</v>
      </c>
      <c r="X52" s="11">
        <f>[18]생산!G49</f>
        <v>0</v>
      </c>
      <c r="Y52" s="11">
        <f>[18]생산!H49</f>
        <v>0</v>
      </c>
      <c r="Z52" s="11">
        <f>[18]생산!I49</f>
        <v>0</v>
      </c>
      <c r="AA52" s="11">
        <f>[18]생산!J49</f>
        <v>0</v>
      </c>
      <c r="AB52" s="11">
        <f>[18]생산!K49</f>
        <v>782.3159999999998</v>
      </c>
      <c r="AC52" s="11">
        <f>ROUNDDOWN('[19]2026년'!G48/1000,1)</f>
        <v>45.3</v>
      </c>
    </row>
    <row r="53" spans="1:29">
      <c r="A53" s="6">
        <v>46070</v>
      </c>
      <c r="B53" s="12">
        <f>'[18]key-in(LO)'!AA51</f>
        <v>651.20000000000005</v>
      </c>
      <c r="C53" s="12">
        <f>'[18]key-in(LO)'!AB51</f>
        <v>249591</v>
      </c>
      <c r="D53" s="12">
        <f>'[18]key-in(LO)'!AC51</f>
        <v>241101</v>
      </c>
      <c r="E53" s="12">
        <f>'[18]key-in(LO)'!AD51</f>
        <v>17235.669999999998</v>
      </c>
      <c r="F53" s="12">
        <f>'[18]key-in(LO)'!AE51</f>
        <v>15221.01</v>
      </c>
      <c r="G53" s="115">
        <f>'[18]key-in(LO)'!AF51</f>
        <v>21.7</v>
      </c>
      <c r="H53" s="12">
        <f>'[18]key-in(LO)'!AG51</f>
        <v>38765</v>
      </c>
      <c r="I53" s="12">
        <f>'[18]key-in(LO)'!AH51</f>
        <v>22694</v>
      </c>
      <c r="J53" s="10">
        <f>'[18]key-in(ACO)'!$AR51</f>
        <v>33.81</v>
      </c>
      <c r="K53" s="10">
        <f>'[18]key-in(ACO)'!$AS51</f>
        <v>33.26</v>
      </c>
      <c r="L53" s="9">
        <f>'[18]key-in(ACO)'!$AV51</f>
        <v>8665</v>
      </c>
      <c r="M53" s="10">
        <f>[18]생산!BA50</f>
        <v>129943.08999999613</v>
      </c>
      <c r="N53" s="10">
        <f>[18]생산!BB50</f>
        <v>0</v>
      </c>
      <c r="O53" s="10">
        <f>[18]생산!BC50</f>
        <v>0</v>
      </c>
      <c r="P53" s="10">
        <f>[18]생산!BD50</f>
        <v>0</v>
      </c>
      <c r="Q53" s="10">
        <f>[18]생산!BE50</f>
        <v>0</v>
      </c>
      <c r="R53" s="10">
        <f>[18]생산!BF50</f>
        <v>0</v>
      </c>
      <c r="S53" s="9">
        <f>[18]운전시간외!C50</f>
        <v>17</v>
      </c>
      <c r="T53" s="9">
        <f>[18]운전시간외!D50</f>
        <v>0</v>
      </c>
      <c r="U53" s="9">
        <f>[18]운전시간외!E50</f>
        <v>0</v>
      </c>
      <c r="V53" s="9">
        <f>[18]운전시간외!F50</f>
        <v>0</v>
      </c>
      <c r="W53" s="11">
        <f>[18]생산!F50</f>
        <v>818</v>
      </c>
      <c r="X53" s="11">
        <f>[18]생산!G50</f>
        <v>0</v>
      </c>
      <c r="Y53" s="11">
        <f>[18]생산!H50</f>
        <v>0</v>
      </c>
      <c r="Z53" s="11">
        <f>[18]생산!I50</f>
        <v>0</v>
      </c>
      <c r="AA53" s="11">
        <f>[18]생산!J50</f>
        <v>0</v>
      </c>
      <c r="AB53" s="11">
        <f>[18]생산!K50</f>
        <v>818</v>
      </c>
      <c r="AC53" s="11">
        <f>ROUNDDOWN('[19]2026년'!G49/1000,1)</f>
        <v>47</v>
      </c>
    </row>
    <row r="54" spans="1:29">
      <c r="A54" s="6">
        <v>46071</v>
      </c>
      <c r="B54" s="12">
        <f>'[18]key-in(LO)'!AA52</f>
        <v>651.20000000000005</v>
      </c>
      <c r="C54" s="12">
        <f>'[18]key-in(LO)'!AB52</f>
        <v>249591</v>
      </c>
      <c r="D54" s="12">
        <f>'[18]key-in(LO)'!AC52</f>
        <v>241178</v>
      </c>
      <c r="E54" s="12">
        <f>'[18]key-in(LO)'!AD52</f>
        <v>17237.39</v>
      </c>
      <c r="F54" s="12">
        <f>'[18]key-in(LO)'!AE52</f>
        <v>15238.38</v>
      </c>
      <c r="G54" s="115">
        <f>'[18]key-in(LO)'!AF52</f>
        <v>22.7</v>
      </c>
      <c r="H54" s="12">
        <f>'[18]key-in(LO)'!AG52</f>
        <v>38897</v>
      </c>
      <c r="I54" s="12">
        <f>'[18]key-in(LO)'!AH52</f>
        <v>22850</v>
      </c>
      <c r="J54" s="10">
        <f>'[18]key-in(ACO)'!$AR52</f>
        <v>33.83</v>
      </c>
      <c r="K54" s="10">
        <f>'[18]key-in(ACO)'!$AS52</f>
        <v>33.24</v>
      </c>
      <c r="L54" s="9">
        <f>'[18]key-in(ACO)'!$AV52</f>
        <v>8271</v>
      </c>
      <c r="M54" s="10">
        <f>[18]생산!BA51</f>
        <v>124679.16000000387</v>
      </c>
      <c r="N54" s="10">
        <f>[18]생산!BB51</f>
        <v>0</v>
      </c>
      <c r="O54" s="10">
        <f>[18]생산!BC51</f>
        <v>0</v>
      </c>
      <c r="P54" s="10">
        <f>[18]생산!BD51</f>
        <v>0</v>
      </c>
      <c r="Q54" s="10">
        <f>[18]생산!BE51</f>
        <v>0</v>
      </c>
      <c r="R54" s="10">
        <f>[18]생산!BF51</f>
        <v>0</v>
      </c>
      <c r="S54" s="9">
        <f>[18]운전시간외!C51</f>
        <v>18</v>
      </c>
      <c r="T54" s="9">
        <f>[18]운전시간외!D51</f>
        <v>0</v>
      </c>
      <c r="U54" s="9">
        <f>[18]운전시간외!E51</f>
        <v>0</v>
      </c>
      <c r="V54" s="9">
        <f>[18]운전시간외!F51</f>
        <v>0</v>
      </c>
      <c r="W54" s="11">
        <f>[18]생산!F51</f>
        <v>810</v>
      </c>
      <c r="X54" s="11">
        <f>[18]생산!G51</f>
        <v>0</v>
      </c>
      <c r="Y54" s="11">
        <f>[18]생산!H51</f>
        <v>0</v>
      </c>
      <c r="Z54" s="11">
        <f>[18]생산!I51</f>
        <v>0</v>
      </c>
      <c r="AA54" s="11">
        <f>[18]생산!J51</f>
        <v>0</v>
      </c>
      <c r="AB54" s="11">
        <f>[18]생산!K51</f>
        <v>810</v>
      </c>
      <c r="AC54" s="11">
        <f>ROUNDDOWN('[19]2026년'!G50/1000,1)</f>
        <v>45.6</v>
      </c>
    </row>
    <row r="55" spans="1:29">
      <c r="A55" s="6">
        <v>46072</v>
      </c>
      <c r="B55" s="12">
        <f>'[18]key-in(LO)'!AA53</f>
        <v>651.20000000000005</v>
      </c>
      <c r="C55" s="12">
        <f>'[18]key-in(LO)'!AB53</f>
        <v>249686</v>
      </c>
      <c r="D55" s="12">
        <f>'[18]key-in(LO)'!AC53</f>
        <v>241201</v>
      </c>
      <c r="E55" s="12">
        <f>'[18]key-in(LO)'!AD53</f>
        <v>17241.18</v>
      </c>
      <c r="F55" s="12">
        <f>'[18]key-in(LO)'!AE53</f>
        <v>15259.02</v>
      </c>
      <c r="G55" s="115">
        <f>'[18]key-in(LO)'!AF53</f>
        <v>23.7</v>
      </c>
      <c r="H55" s="12">
        <f>'[18]key-in(LO)'!AG53</f>
        <v>38982</v>
      </c>
      <c r="I55" s="12">
        <f>'[18]key-in(LO)'!AH53</f>
        <v>23104</v>
      </c>
      <c r="J55" s="10">
        <f>'[18]key-in(ACO)'!$AR53</f>
        <v>33.840000000000003</v>
      </c>
      <c r="K55" s="10">
        <f>'[18]key-in(ACO)'!$AS53</f>
        <v>33.15</v>
      </c>
      <c r="L55" s="9">
        <f>'[18]key-in(ACO)'!$AV53</f>
        <v>8375</v>
      </c>
      <c r="M55" s="10">
        <f>[18]생산!BA52</f>
        <v>164397.25</v>
      </c>
      <c r="N55" s="10">
        <f>[18]생산!BB52</f>
        <v>0</v>
      </c>
      <c r="O55" s="10">
        <f>[18]생산!BC52</f>
        <v>0</v>
      </c>
      <c r="P55" s="10">
        <f>[18]생산!BD52</f>
        <v>0</v>
      </c>
      <c r="Q55" s="10">
        <f>[18]생산!BE52</f>
        <v>0</v>
      </c>
      <c r="R55" s="10">
        <f>[18]생산!BF52</f>
        <v>0</v>
      </c>
      <c r="S55" s="9">
        <f>[18]운전시간외!C52</f>
        <v>24</v>
      </c>
      <c r="T55" s="9">
        <f>[18]운전시간외!D52</f>
        <v>0</v>
      </c>
      <c r="U55" s="9">
        <f>[18]운전시간외!E52</f>
        <v>0</v>
      </c>
      <c r="V55" s="9">
        <f>[18]운전시간외!F52</f>
        <v>0</v>
      </c>
      <c r="W55" s="11">
        <f>[18]생산!F52</f>
        <v>1056</v>
      </c>
      <c r="X55" s="11">
        <f>[18]생산!G52</f>
        <v>0</v>
      </c>
      <c r="Y55" s="11">
        <f>[18]생산!H52</f>
        <v>0</v>
      </c>
      <c r="Z55" s="11">
        <f>[18]생산!I52</f>
        <v>0</v>
      </c>
      <c r="AA55" s="11">
        <f>[18]생산!J52</f>
        <v>0</v>
      </c>
      <c r="AB55" s="11">
        <f>[18]생산!K52</f>
        <v>1056</v>
      </c>
      <c r="AC55" s="11">
        <f>ROUNDDOWN('[19]2026년'!G51/1000,1)</f>
        <v>58.3</v>
      </c>
    </row>
    <row r="56" spans="1:29">
      <c r="A56" s="6">
        <v>46073</v>
      </c>
      <c r="B56" s="12">
        <f>'[18]key-in(LO)'!AA54</f>
        <v>651.20000000000005</v>
      </c>
      <c r="C56" s="12">
        <f>'[18]key-in(LO)'!AB54</f>
        <v>249731</v>
      </c>
      <c r="D56" s="12">
        <f>'[18]key-in(LO)'!AC54</f>
        <v>241250</v>
      </c>
      <c r="E56" s="12">
        <f>'[18]key-in(LO)'!AD54</f>
        <v>17245.73</v>
      </c>
      <c r="F56" s="12">
        <f>'[18]key-in(LO)'!AE54</f>
        <v>15283.01</v>
      </c>
      <c r="G56" s="115">
        <f>'[18]key-in(LO)'!AF54</f>
        <v>25</v>
      </c>
      <c r="H56" s="12">
        <f>'[18]key-in(LO)'!AG54</f>
        <v>39109</v>
      </c>
      <c r="I56" s="12">
        <f>'[18]key-in(LO)'!AH54</f>
        <v>23260</v>
      </c>
      <c r="J56" s="10">
        <f>'[18]key-in(ACO)'!$AR54</f>
        <v>33.78</v>
      </c>
      <c r="K56" s="10">
        <f>'[18]key-in(ACO)'!$AS54</f>
        <v>33.14</v>
      </c>
      <c r="L56" s="9">
        <f>'[18]key-in(ACO)'!$AV54</f>
        <v>8168</v>
      </c>
      <c r="M56" s="10">
        <f>[18]생산!BA53</f>
        <v>171067.78999999911</v>
      </c>
      <c r="N56" s="10">
        <f>[18]생산!BB53</f>
        <v>0</v>
      </c>
      <c r="O56" s="10">
        <f>[18]생산!BC53</f>
        <v>0</v>
      </c>
      <c r="P56" s="10">
        <f>[18]생산!BD53</f>
        <v>0</v>
      </c>
      <c r="Q56" s="10">
        <f>[18]생산!BE53</f>
        <v>0</v>
      </c>
      <c r="R56" s="10">
        <f>[18]생산!BF53</f>
        <v>0</v>
      </c>
      <c r="S56" s="9">
        <f>[18]운전시간외!C53</f>
        <v>24</v>
      </c>
      <c r="T56" s="9">
        <f>[18]운전시간외!D53</f>
        <v>0</v>
      </c>
      <c r="U56" s="9">
        <f>[18]운전시간외!E53</f>
        <v>0</v>
      </c>
      <c r="V56" s="9">
        <f>[18]운전시간외!F53</f>
        <v>0</v>
      </c>
      <c r="W56" s="11">
        <f>[18]생산!F53</f>
        <v>1099</v>
      </c>
      <c r="X56" s="11">
        <f>[18]생산!G53</f>
        <v>0</v>
      </c>
      <c r="Y56" s="11">
        <f>[18]생산!H53</f>
        <v>0</v>
      </c>
      <c r="Z56" s="11">
        <f>[18]생산!I53</f>
        <v>0</v>
      </c>
      <c r="AA56" s="11">
        <f>[18]생산!J53</f>
        <v>0</v>
      </c>
      <c r="AB56" s="11">
        <f>[18]생산!K53</f>
        <v>1099</v>
      </c>
      <c r="AC56" s="11">
        <f>ROUNDDOWN('[19]2026년'!G52/1000,1)</f>
        <v>50.5</v>
      </c>
    </row>
    <row r="57" spans="1:29">
      <c r="A57" s="6">
        <v>46074</v>
      </c>
      <c r="B57" s="12">
        <f>'[18]key-in(LO)'!AA55</f>
        <v>651.20000000000005</v>
      </c>
      <c r="C57" s="12">
        <f>'[18]key-in(LO)'!AB55</f>
        <v>249731</v>
      </c>
      <c r="D57" s="12">
        <f>'[18]key-in(LO)'!AC55</f>
        <v>241316</v>
      </c>
      <c r="E57" s="12">
        <f>'[18]key-in(LO)'!AD55</f>
        <v>17247.939999999999</v>
      </c>
      <c r="F57" s="12">
        <f>'[18]key-in(LO)'!AE55</f>
        <v>15307.35</v>
      </c>
      <c r="G57" s="115">
        <f>'[18]key-in(LO)'!AF55</f>
        <v>26.2</v>
      </c>
      <c r="H57" s="12">
        <f>'[18]key-in(LO)'!AG55</f>
        <v>39337</v>
      </c>
      <c r="I57" s="12">
        <f>'[18]key-in(LO)'!AH55</f>
        <v>23411</v>
      </c>
      <c r="J57" s="10">
        <f>'[18]key-in(ACO)'!$AR55</f>
        <v>33.770000000000003</v>
      </c>
      <c r="K57" s="10">
        <f>'[18]key-in(ACO)'!$AS55</f>
        <v>33.1</v>
      </c>
      <c r="L57" s="9">
        <f>'[18]key-in(ACO)'!$AV55</f>
        <v>8166</v>
      </c>
      <c r="M57" s="10">
        <f>[18]생산!BA54</f>
        <v>127072.28999999911</v>
      </c>
      <c r="N57" s="10">
        <f>[18]생산!BB54</f>
        <v>0</v>
      </c>
      <c r="O57" s="10">
        <f>[18]생산!BC54</f>
        <v>0</v>
      </c>
      <c r="P57" s="10">
        <f>[18]생산!BD54</f>
        <v>0</v>
      </c>
      <c r="Q57" s="10">
        <f>[18]생산!BE54</f>
        <v>0</v>
      </c>
      <c r="R57" s="10">
        <f>[18]생산!BF54</f>
        <v>0</v>
      </c>
      <c r="S57" s="9">
        <f>[18]운전시간외!C54</f>
        <v>18</v>
      </c>
      <c r="T57" s="9">
        <f>[18]운전시간외!D54</f>
        <v>0</v>
      </c>
      <c r="U57" s="9">
        <f>[18]운전시간외!E54</f>
        <v>0</v>
      </c>
      <c r="V57" s="9">
        <f>[18]운전시간외!F54</f>
        <v>0</v>
      </c>
      <c r="W57" s="11">
        <f>[18]생산!F54</f>
        <v>814</v>
      </c>
      <c r="X57" s="11">
        <f>[18]생산!G54</f>
        <v>0</v>
      </c>
      <c r="Y57" s="11">
        <f>[18]생산!H54</f>
        <v>0</v>
      </c>
      <c r="Z57" s="11">
        <f>[18]생산!I54</f>
        <v>0</v>
      </c>
      <c r="AA57" s="11">
        <f>[18]생산!J54</f>
        <v>0</v>
      </c>
      <c r="AB57" s="11">
        <f>[18]생산!K54</f>
        <v>814</v>
      </c>
      <c r="AC57" s="11">
        <f>ROUNDDOWN('[19]2026년'!G53/1000,1)</f>
        <v>46.3</v>
      </c>
    </row>
    <row r="58" spans="1:29">
      <c r="A58" s="6">
        <v>46075</v>
      </c>
      <c r="B58" s="12">
        <f>'[18]key-in(LO)'!AA56</f>
        <v>651.20000000000005</v>
      </c>
      <c r="C58" s="12">
        <f>'[18]key-in(LO)'!AB56</f>
        <v>249731</v>
      </c>
      <c r="D58" s="12">
        <f>'[18]key-in(LO)'!AC56</f>
        <v>241360</v>
      </c>
      <c r="E58" s="12">
        <f>'[18]key-in(LO)'!AD56</f>
        <v>17249.919999999998</v>
      </c>
      <c r="F58" s="12">
        <f>'[18]key-in(LO)'!AE56</f>
        <v>15321.32</v>
      </c>
      <c r="G58" s="115">
        <f>'[18]key-in(LO)'!AF56</f>
        <v>26.8</v>
      </c>
      <c r="H58" s="12">
        <f>'[18]key-in(LO)'!AG56</f>
        <v>39387</v>
      </c>
      <c r="I58" s="12">
        <f>'[18]key-in(LO)'!AH56</f>
        <v>23520</v>
      </c>
      <c r="J58" s="10">
        <f>'[18]key-in(ACO)'!$AR56</f>
        <v>33.51</v>
      </c>
      <c r="K58" s="10">
        <f>'[18]key-in(ACO)'!$AS56</f>
        <v>33.049999999999997</v>
      </c>
      <c r="L58" s="9">
        <f>'[18]key-in(ACO)'!$AV56</f>
        <v>8433</v>
      </c>
      <c r="M58" s="10">
        <f>[18]생산!BA55</f>
        <v>45966.5</v>
      </c>
      <c r="N58" s="10">
        <f>[18]생산!BB55</f>
        <v>0</v>
      </c>
      <c r="O58" s="10">
        <f>[18]생산!BC55</f>
        <v>0</v>
      </c>
      <c r="P58" s="10">
        <f>[18]생산!BD55</f>
        <v>0</v>
      </c>
      <c r="Q58" s="10">
        <f>[18]생산!BE55</f>
        <v>0</v>
      </c>
      <c r="R58" s="10">
        <f>[18]생산!BF55</f>
        <v>0</v>
      </c>
      <c r="S58" s="9">
        <f>[18]운전시간외!C55</f>
        <v>8</v>
      </c>
      <c r="T58" s="9">
        <f>[18]운전시간외!D55</f>
        <v>0</v>
      </c>
      <c r="U58" s="9">
        <f>[18]운전시간외!E55</f>
        <v>0</v>
      </c>
      <c r="V58" s="9">
        <f>[18]운전시간외!F55</f>
        <v>0</v>
      </c>
      <c r="W58" s="11">
        <f>[18]생산!F55</f>
        <v>306</v>
      </c>
      <c r="X58" s="11">
        <f>[18]생산!G55</f>
        <v>0</v>
      </c>
      <c r="Y58" s="11">
        <f>[18]생산!H55</f>
        <v>0</v>
      </c>
      <c r="Z58" s="11">
        <f>[18]생산!I55</f>
        <v>0</v>
      </c>
      <c r="AA58" s="11">
        <f>[18]생산!J55</f>
        <v>0</v>
      </c>
      <c r="AB58" s="11">
        <f>[18]생산!K55</f>
        <v>306</v>
      </c>
      <c r="AC58" s="11">
        <f>ROUNDDOWN('[19]2026년'!G54/1000,1)</f>
        <v>15.6</v>
      </c>
    </row>
    <row r="59" spans="1:29">
      <c r="A59" s="6">
        <v>46076</v>
      </c>
      <c r="B59" s="12">
        <f>'[18]key-in(LO)'!AA57</f>
        <v>651.20000000000005</v>
      </c>
      <c r="C59" s="12">
        <f>'[18]key-in(LO)'!AB57</f>
        <v>249788</v>
      </c>
      <c r="D59" s="12">
        <f>'[18]key-in(LO)'!AC57</f>
        <v>241360</v>
      </c>
      <c r="E59" s="12">
        <f>'[18]key-in(LO)'!AD57</f>
        <v>17254.52</v>
      </c>
      <c r="F59" s="12">
        <f>'[18]key-in(LO)'!AE57</f>
        <v>15342.43</v>
      </c>
      <c r="G59" s="115">
        <f>'[18]key-in(LO)'!AF57</f>
        <v>27.6</v>
      </c>
      <c r="H59" s="12">
        <f>'[18]key-in(LO)'!AG57</f>
        <v>39480</v>
      </c>
      <c r="I59" s="12">
        <f>'[18]key-in(LO)'!AH57</f>
        <v>23635</v>
      </c>
      <c r="J59" s="10">
        <f>'[18]key-in(ACO)'!$AR57</f>
        <v>33.869</v>
      </c>
      <c r="K59" s="10">
        <f>'[18]key-in(ACO)'!$AS57</f>
        <v>33.026000000000003</v>
      </c>
      <c r="L59" s="9">
        <f>'[18]key-in(ACO)'!$AV57</f>
        <v>7989.8339999999998</v>
      </c>
      <c r="M59" s="10">
        <f>[18]생산!BA56</f>
        <v>115059.92000000179</v>
      </c>
      <c r="N59" s="10">
        <f>[18]생산!BB56</f>
        <v>0</v>
      </c>
      <c r="O59" s="10">
        <f>[18]생산!BC56</f>
        <v>0</v>
      </c>
      <c r="P59" s="10">
        <f>[18]생산!BD56</f>
        <v>0</v>
      </c>
      <c r="Q59" s="10">
        <f>[18]생산!BE56</f>
        <v>0</v>
      </c>
      <c r="R59" s="10">
        <f>[18]생산!BF56</f>
        <v>0</v>
      </c>
      <c r="S59" s="9">
        <f>[18]운전시간외!C56</f>
        <v>19</v>
      </c>
      <c r="T59" s="9">
        <f>[18]운전시간외!D56</f>
        <v>0</v>
      </c>
      <c r="U59" s="9">
        <f>[18]운전시간외!E56</f>
        <v>0</v>
      </c>
      <c r="V59" s="9">
        <f>[18]운전시간외!F56</f>
        <v>0</v>
      </c>
      <c r="W59" s="11">
        <f>[18]생산!F56</f>
        <v>743.28600000000006</v>
      </c>
      <c r="X59" s="11">
        <f>[18]생산!G56</f>
        <v>0</v>
      </c>
      <c r="Y59" s="11">
        <f>[18]생산!H56</f>
        <v>0</v>
      </c>
      <c r="Z59" s="11">
        <f>[18]생산!I56</f>
        <v>0</v>
      </c>
      <c r="AA59" s="11">
        <f>[18]생산!J56</f>
        <v>0</v>
      </c>
      <c r="AB59" s="11">
        <f>[18]생산!K56</f>
        <v>743.28600000000006</v>
      </c>
      <c r="AC59" s="11">
        <f>ROUNDDOWN('[19]2026년'!G55/1000,1)</f>
        <v>40.5</v>
      </c>
    </row>
    <row r="60" spans="1:29">
      <c r="A60" s="6">
        <v>46077</v>
      </c>
      <c r="B60" s="12">
        <f>'[18]key-in(LO)'!AA58</f>
        <v>651.20000000000005</v>
      </c>
      <c r="C60" s="12">
        <f>'[18]key-in(LO)'!AB58</f>
        <v>249841</v>
      </c>
      <c r="D60" s="12">
        <f>'[18]key-in(LO)'!AC58</f>
        <v>241360</v>
      </c>
      <c r="E60" s="12">
        <f>'[18]key-in(LO)'!AD58</f>
        <v>17258.87</v>
      </c>
      <c r="F60" s="12">
        <f>'[18]key-in(LO)'!AE58</f>
        <v>15346.4</v>
      </c>
      <c r="G60" s="115">
        <f>'[18]key-in(LO)'!AF58</f>
        <v>28.3</v>
      </c>
      <c r="H60" s="12">
        <f>'[18]key-in(LO)'!AG58</f>
        <v>39532</v>
      </c>
      <c r="I60" s="12">
        <f>'[18]key-in(LO)'!AH58</f>
        <v>23741</v>
      </c>
      <c r="J60" s="10">
        <f>'[18]key-in(ACO)'!$AR58</f>
        <v>33.53</v>
      </c>
      <c r="K60" s="10">
        <f>'[18]key-in(ACO)'!$AS58</f>
        <v>33.067999999999998</v>
      </c>
      <c r="L60" s="9">
        <f>'[18]key-in(ACO)'!$AV58</f>
        <v>8264.9660000000003</v>
      </c>
      <c r="M60" s="10">
        <f>[18]생산!BA57</f>
        <v>0</v>
      </c>
      <c r="N60" s="10">
        <f>[18]생산!BB57</f>
        <v>0</v>
      </c>
      <c r="O60" s="10">
        <f>[18]생산!BC57</f>
        <v>0</v>
      </c>
      <c r="P60" s="10">
        <f>[18]생산!BD57</f>
        <v>0</v>
      </c>
      <c r="Q60" s="10">
        <f>[18]생산!BE57</f>
        <v>0</v>
      </c>
      <c r="R60" s="10">
        <f>[18]생산!BF57</f>
        <v>0</v>
      </c>
      <c r="S60" s="9">
        <f>[18]운전시간외!C57</f>
        <v>0</v>
      </c>
      <c r="T60" s="9">
        <f>[18]운전시간외!D57</f>
        <v>0</v>
      </c>
      <c r="U60" s="9">
        <f>[18]운전시간외!E57</f>
        <v>0</v>
      </c>
      <c r="V60" s="9">
        <f>[18]운전시간외!F57</f>
        <v>0</v>
      </c>
      <c r="W60" s="11">
        <f>[18]생산!F57</f>
        <v>0</v>
      </c>
      <c r="X60" s="11">
        <f>[18]생산!G57</f>
        <v>0</v>
      </c>
      <c r="Y60" s="11">
        <f>[18]생산!H57</f>
        <v>0</v>
      </c>
      <c r="Z60" s="11">
        <f>[18]생산!I57</f>
        <v>0</v>
      </c>
      <c r="AA60" s="11">
        <f>[18]생산!J57</f>
        <v>0</v>
      </c>
      <c r="AB60" s="11">
        <f>[18]생산!K57</f>
        <v>0</v>
      </c>
      <c r="AC60" s="11">
        <f>ROUNDDOWN('[19]2026년'!G56/1000,1)</f>
        <v>0</v>
      </c>
    </row>
    <row r="61" spans="1:29">
      <c r="A61" s="6">
        <v>46078</v>
      </c>
      <c r="B61" s="12">
        <f>'[18]key-in(LO)'!AA59</f>
        <v>651.20000000000005</v>
      </c>
      <c r="C61" s="12">
        <f>'[18]key-in(LO)'!AB59</f>
        <v>249871</v>
      </c>
      <c r="D61" s="12">
        <f>'[18]key-in(LO)'!AC59</f>
        <v>241360</v>
      </c>
      <c r="E61" s="12">
        <f>'[18]key-in(LO)'!AD59</f>
        <v>17263.28</v>
      </c>
      <c r="F61" s="12">
        <f>'[18]key-in(LO)'!AE59</f>
        <v>15348.53</v>
      </c>
      <c r="G61" s="115">
        <f>'[18]key-in(LO)'!AF59</f>
        <v>28.8</v>
      </c>
      <c r="H61" s="12">
        <f>'[18]key-in(LO)'!AG59</f>
        <v>39580</v>
      </c>
      <c r="I61" s="12">
        <f>'[18]key-in(LO)'!AH59</f>
        <v>23806</v>
      </c>
      <c r="J61" s="10">
        <f>'[18]key-in(ACO)'!$AR59</f>
        <v>33.46</v>
      </c>
      <c r="K61" s="10">
        <f>'[18]key-in(ACO)'!$AS59</f>
        <v>33.020000000000003</v>
      </c>
      <c r="L61" s="9">
        <f>'[18]key-in(ACO)'!$AV59</f>
        <v>8253</v>
      </c>
      <c r="M61" s="10">
        <f>[18]생산!BA58</f>
        <v>0</v>
      </c>
      <c r="N61" s="10">
        <f>[18]생산!BB58</f>
        <v>0</v>
      </c>
      <c r="O61" s="10">
        <f>[18]생산!BC58</f>
        <v>0</v>
      </c>
      <c r="P61" s="10">
        <f>[18]생산!BD58</f>
        <v>0</v>
      </c>
      <c r="Q61" s="10">
        <f>[18]생산!BE58</f>
        <v>0</v>
      </c>
      <c r="R61" s="10">
        <f>[18]생산!BF58</f>
        <v>0</v>
      </c>
      <c r="S61" s="9">
        <f>[18]운전시간외!C58</f>
        <v>0</v>
      </c>
      <c r="T61" s="9">
        <f>[18]운전시간외!D58</f>
        <v>0</v>
      </c>
      <c r="U61" s="9">
        <f>[18]운전시간외!E58</f>
        <v>0</v>
      </c>
      <c r="V61" s="9">
        <f>[18]운전시간외!F58</f>
        <v>0</v>
      </c>
      <c r="W61" s="11">
        <f>[18]생산!F58</f>
        <v>0</v>
      </c>
      <c r="X61" s="11">
        <f>[18]생산!G58</f>
        <v>0</v>
      </c>
      <c r="Y61" s="11">
        <f>[18]생산!H58</f>
        <v>0</v>
      </c>
      <c r="Z61" s="11">
        <f>[18]생산!I58</f>
        <v>0</v>
      </c>
      <c r="AA61" s="11">
        <f>[18]생산!J58</f>
        <v>0</v>
      </c>
      <c r="AB61" s="11">
        <f>[18]생산!K58</f>
        <v>0</v>
      </c>
      <c r="AC61" s="11">
        <f>ROUNDDOWN('[19]2026년'!G57/1000,1)</f>
        <v>0</v>
      </c>
    </row>
    <row r="62" spans="1:29">
      <c r="A62" s="6">
        <v>46079</v>
      </c>
      <c r="B62" s="12">
        <f>'[18]key-in(LO)'!AA60</f>
        <v>651.20000000000005</v>
      </c>
      <c r="C62" s="12">
        <f>'[18]key-in(LO)'!AB60</f>
        <v>249883</v>
      </c>
      <c r="D62" s="12">
        <f>'[18]key-in(LO)'!AC60</f>
        <v>241360</v>
      </c>
      <c r="E62" s="12">
        <f>'[18]key-in(LO)'!AD60</f>
        <v>17267.36</v>
      </c>
      <c r="F62" s="12">
        <f>'[18]key-in(LO)'!AE60</f>
        <v>15349.91</v>
      </c>
      <c r="G62" s="115">
        <f>'[18]key-in(LO)'!AF60</f>
        <v>29.2</v>
      </c>
      <c r="H62" s="12">
        <f>'[18]key-in(LO)'!AG60</f>
        <v>39580</v>
      </c>
      <c r="I62" s="12">
        <f>'[18]key-in(LO)'!AH60</f>
        <v>23829</v>
      </c>
      <c r="J62" s="10">
        <f>'[18]key-in(ACO)'!$AR60</f>
        <v>33.5</v>
      </c>
      <c r="K62" s="10">
        <f>'[18]key-in(ACO)'!$AS60</f>
        <v>33.049999999999997</v>
      </c>
      <c r="L62" s="9">
        <f>'[18]key-in(ACO)'!$AV60</f>
        <v>8402</v>
      </c>
      <c r="M62" s="10">
        <f>[18]생산!BA59</f>
        <v>0</v>
      </c>
      <c r="N62" s="10">
        <f>[18]생산!BB59</f>
        <v>0</v>
      </c>
      <c r="O62" s="10">
        <f>[18]생산!BC59</f>
        <v>0</v>
      </c>
      <c r="P62" s="10">
        <f>[18]생산!BD59</f>
        <v>0</v>
      </c>
      <c r="Q62" s="10">
        <f>[18]생산!BE59</f>
        <v>0</v>
      </c>
      <c r="R62" s="10">
        <f>[18]생산!BF59</f>
        <v>0</v>
      </c>
      <c r="S62" s="9">
        <f>[18]운전시간외!C59</f>
        <v>0</v>
      </c>
      <c r="T62" s="9">
        <f>[18]운전시간외!D59</f>
        <v>0</v>
      </c>
      <c r="U62" s="9">
        <f>[18]운전시간외!E59</f>
        <v>0</v>
      </c>
      <c r="V62" s="9">
        <f>[18]운전시간외!F59</f>
        <v>0</v>
      </c>
      <c r="W62" s="11">
        <f>[18]생산!F59</f>
        <v>0</v>
      </c>
      <c r="X62" s="11">
        <f>[18]생산!G59</f>
        <v>0</v>
      </c>
      <c r="Y62" s="11">
        <f>[18]생산!H59</f>
        <v>0</v>
      </c>
      <c r="Z62" s="11">
        <f>[18]생산!I59</f>
        <v>0</v>
      </c>
      <c r="AA62" s="11">
        <f>[18]생산!J59</f>
        <v>0</v>
      </c>
      <c r="AB62" s="11">
        <f>[18]생산!K59</f>
        <v>0</v>
      </c>
      <c r="AC62" s="11">
        <f>ROUNDDOWN('[19]2026년'!G58/1000,1)</f>
        <v>0</v>
      </c>
    </row>
    <row r="63" spans="1:29">
      <c r="A63" s="6">
        <v>46080</v>
      </c>
      <c r="B63" s="12">
        <f>'[18]key-in(LO)'!AA61</f>
        <v>651.20000000000005</v>
      </c>
      <c r="C63" s="12">
        <f>'[18]key-in(LO)'!AB61</f>
        <v>249883</v>
      </c>
      <c r="D63" s="12">
        <f>'[18]key-in(LO)'!AC61</f>
        <v>241384</v>
      </c>
      <c r="E63" s="12">
        <f>'[18]key-in(LO)'!AD61</f>
        <v>17272.73</v>
      </c>
      <c r="F63" s="12">
        <f>'[18]key-in(LO)'!AE61</f>
        <v>15350.98</v>
      </c>
      <c r="G63" s="115">
        <f>'[18]key-in(LO)'!AF61</f>
        <v>30</v>
      </c>
      <c r="H63" s="12">
        <f>'[18]key-in(LO)'!AG61</f>
        <v>39674</v>
      </c>
      <c r="I63" s="12">
        <f>'[18]key-in(LO)'!AH61</f>
        <v>23964</v>
      </c>
      <c r="J63" s="10">
        <f>'[18]key-in(ACO)'!$AR61</f>
        <v>33.76</v>
      </c>
      <c r="K63" s="10">
        <f>'[18]key-in(ACO)'!$AS61</f>
        <v>33.020000000000003</v>
      </c>
      <c r="L63" s="9">
        <f>'[18]key-in(ACO)'!$AV61</f>
        <v>8604</v>
      </c>
      <c r="M63" s="10">
        <f>[18]생산!BA60</f>
        <v>0</v>
      </c>
      <c r="N63" s="10">
        <f>[18]생산!BB60</f>
        <v>0</v>
      </c>
      <c r="O63" s="10">
        <f>[18]생산!BC60</f>
        <v>0</v>
      </c>
      <c r="P63" s="10">
        <f>[18]생산!BD60</f>
        <v>0</v>
      </c>
      <c r="Q63" s="10">
        <f>[18]생산!BE60</f>
        <v>0</v>
      </c>
      <c r="R63" s="10">
        <f>[18]생산!BF60</f>
        <v>0</v>
      </c>
      <c r="S63" s="9">
        <f>[18]운전시간외!C60</f>
        <v>0</v>
      </c>
      <c r="T63" s="9">
        <f>[18]운전시간외!D60</f>
        <v>0</v>
      </c>
      <c r="U63" s="9">
        <f>[18]운전시간외!E60</f>
        <v>0</v>
      </c>
      <c r="V63" s="9">
        <f>[18]운전시간외!F60</f>
        <v>0</v>
      </c>
      <c r="W63" s="11">
        <f>[18]생산!F60</f>
        <v>0</v>
      </c>
      <c r="X63" s="11">
        <f>[18]생산!G60</f>
        <v>0</v>
      </c>
      <c r="Y63" s="11">
        <f>[18]생산!H60</f>
        <v>0</v>
      </c>
      <c r="Z63" s="11">
        <f>[18]생산!I60</f>
        <v>0</v>
      </c>
      <c r="AA63" s="11">
        <f>[18]생산!J60</f>
        <v>0</v>
      </c>
      <c r="AB63" s="11">
        <f>[18]생산!K60</f>
        <v>0</v>
      </c>
      <c r="AC63" s="11">
        <f>ROUNDDOWN('[19]2026년'!G59/1000,1)</f>
        <v>0</v>
      </c>
    </row>
    <row r="64" spans="1:29">
      <c r="A64" s="6">
        <v>46081</v>
      </c>
      <c r="B64" s="12">
        <f>'[18]key-in(LO)'!AA62</f>
        <v>651.20000000000005</v>
      </c>
      <c r="C64" s="12">
        <f>'[18]key-in(LO)'!AB62</f>
        <v>249883</v>
      </c>
      <c r="D64" s="12">
        <f>'[18]key-in(LO)'!AC62</f>
        <v>241384</v>
      </c>
      <c r="E64" s="12">
        <f>'[18]key-in(LO)'!AD62</f>
        <v>17274.310000000001</v>
      </c>
      <c r="F64" s="12">
        <f>'[18]key-in(LO)'!AE62</f>
        <v>15352.07</v>
      </c>
      <c r="G64" s="115">
        <f>'[18]key-in(LO)'!AF62</f>
        <v>30.4</v>
      </c>
      <c r="H64" s="12">
        <f>'[18]key-in(LO)'!AG62</f>
        <v>39674</v>
      </c>
      <c r="I64" s="12">
        <f>'[18]key-in(LO)'!AH62</f>
        <v>23985</v>
      </c>
      <c r="J64" s="10">
        <f>'[18]key-in(ACO)'!$AR62</f>
        <v>33.729999999999997</v>
      </c>
      <c r="K64" s="10">
        <f>'[18]key-in(ACO)'!$AS62</f>
        <v>32.979999999999997</v>
      </c>
      <c r="L64" s="9">
        <f>'[18]key-in(ACO)'!$AV62</f>
        <v>8384</v>
      </c>
      <c r="M64" s="10">
        <f>[18]생산!BA61</f>
        <v>0</v>
      </c>
      <c r="N64" s="10">
        <f>[18]생산!BB61</f>
        <v>0</v>
      </c>
      <c r="O64" s="10">
        <f>[18]생산!BC61</f>
        <v>0</v>
      </c>
      <c r="P64" s="10">
        <f>[18]생산!BD61</f>
        <v>0</v>
      </c>
      <c r="Q64" s="10">
        <f>[18]생산!BE61</f>
        <v>0</v>
      </c>
      <c r="R64" s="10">
        <f>[18]생산!BF61</f>
        <v>0</v>
      </c>
      <c r="S64" s="9">
        <f>[18]운전시간외!C61</f>
        <v>0</v>
      </c>
      <c r="T64" s="9">
        <f>[18]운전시간외!D61</f>
        <v>0</v>
      </c>
      <c r="U64" s="9">
        <f>[18]운전시간외!E61</f>
        <v>0</v>
      </c>
      <c r="V64" s="9">
        <f>[18]운전시간외!F61</f>
        <v>0</v>
      </c>
      <c r="W64" s="11">
        <f>[18]생산!F61</f>
        <v>0</v>
      </c>
      <c r="X64" s="11">
        <f>[18]생산!G61</f>
        <v>0</v>
      </c>
      <c r="Y64" s="11">
        <f>[18]생산!H61</f>
        <v>0</v>
      </c>
      <c r="Z64" s="11">
        <f>[18]생산!I61</f>
        <v>0</v>
      </c>
      <c r="AA64" s="11">
        <f>[18]생산!J61</f>
        <v>0</v>
      </c>
      <c r="AB64" s="11">
        <f>[18]생산!K61</f>
        <v>0</v>
      </c>
      <c r="AC64" s="11">
        <f>ROUNDDOWN('[19]2026년'!G60/1000,1)</f>
        <v>0</v>
      </c>
    </row>
    <row r="65" spans="1:29">
      <c r="A65" s="6">
        <v>46082</v>
      </c>
      <c r="B65" s="12">
        <f>'[18]key-in(LO)'!AA63</f>
        <v>651.20000000000005</v>
      </c>
      <c r="C65" s="12">
        <f>'[18]key-in(LO)'!AB63</f>
        <v>249883</v>
      </c>
      <c r="D65" s="12">
        <f>'[18]key-in(LO)'!AC63</f>
        <v>241384</v>
      </c>
      <c r="E65" s="12">
        <f>'[18]key-in(LO)'!AD63</f>
        <v>17275.900000000001</v>
      </c>
      <c r="F65" s="12">
        <f>'[18]key-in(LO)'!AE63</f>
        <v>15353.25</v>
      </c>
      <c r="G65" s="115">
        <f>'[18]key-in(LO)'!AF63</f>
        <v>30.8</v>
      </c>
      <c r="H65" s="12">
        <f>'[18]key-in(LO)'!AG63</f>
        <v>39674</v>
      </c>
      <c r="I65" s="12">
        <f>'[18]key-in(LO)'!AH63</f>
        <v>24006</v>
      </c>
      <c r="J65" s="10">
        <f>'[18]key-in(ACO)'!$AR63</f>
        <v>33.67</v>
      </c>
      <c r="K65" s="10">
        <f>'[18]key-in(ACO)'!$AS63</f>
        <v>32.99</v>
      </c>
      <c r="L65" s="9">
        <f>'[18]key-in(ACO)'!$AV63</f>
        <v>8169</v>
      </c>
      <c r="M65" s="10">
        <f>[18]생산!BA62</f>
        <v>0</v>
      </c>
      <c r="N65" s="10">
        <f>[18]생산!BB62</f>
        <v>0</v>
      </c>
      <c r="O65" s="10">
        <f>[18]생산!BC62</f>
        <v>0</v>
      </c>
      <c r="P65" s="10">
        <f>[18]생산!BD62</f>
        <v>0</v>
      </c>
      <c r="Q65" s="10">
        <f>[18]생산!BE62</f>
        <v>0</v>
      </c>
      <c r="R65" s="10">
        <f>[18]생산!BF62</f>
        <v>0</v>
      </c>
      <c r="S65" s="9">
        <f>[18]운전시간외!C62</f>
        <v>0</v>
      </c>
      <c r="T65" s="9">
        <f>[18]운전시간외!D62</f>
        <v>0</v>
      </c>
      <c r="U65" s="9">
        <f>[18]운전시간외!E62</f>
        <v>0</v>
      </c>
      <c r="V65" s="9">
        <f>[18]운전시간외!F62</f>
        <v>0</v>
      </c>
      <c r="W65" s="11">
        <f>[18]생산!F62</f>
        <v>0</v>
      </c>
      <c r="X65" s="11">
        <f>[18]생산!G62</f>
        <v>0</v>
      </c>
      <c r="Y65" s="11">
        <f>[18]생산!H62</f>
        <v>0</v>
      </c>
      <c r="Z65" s="11">
        <f>[18]생산!I62</f>
        <v>0</v>
      </c>
      <c r="AA65" s="11">
        <f>[18]생산!J62</f>
        <v>0</v>
      </c>
      <c r="AB65" s="11">
        <f>[18]생산!K62</f>
        <v>0</v>
      </c>
      <c r="AC65" s="11">
        <f>ROUNDDOWN('[19]2026년'!G61/1000,1)</f>
        <v>0</v>
      </c>
    </row>
    <row r="66" spans="1:29">
      <c r="A66" s="6">
        <v>46083</v>
      </c>
      <c r="B66" s="12">
        <f>'[18]key-in(LO)'!AA64</f>
        <v>651.20000000000005</v>
      </c>
      <c r="C66" s="12">
        <f>'[18]key-in(LO)'!AB64</f>
        <v>249883</v>
      </c>
      <c r="D66" s="12">
        <f>'[18]key-in(LO)'!AC64</f>
        <v>241401</v>
      </c>
      <c r="E66" s="12">
        <f>'[18]key-in(LO)'!AD64</f>
        <v>17277.759999999998</v>
      </c>
      <c r="F66" s="12">
        <f>'[18]key-in(LO)'!AE64</f>
        <v>15354.56</v>
      </c>
      <c r="G66" s="115">
        <f>'[18]key-in(LO)'!AF64</f>
        <v>31.2</v>
      </c>
      <c r="H66" s="12">
        <f>'[18]key-in(LO)'!AG64</f>
        <v>39674</v>
      </c>
      <c r="I66" s="12">
        <f>'[18]key-in(LO)'!AH64</f>
        <v>24071</v>
      </c>
      <c r="J66" s="10">
        <f>'[18]key-in(ACO)'!$AR64</f>
        <v>33.31</v>
      </c>
      <c r="K66" s="10">
        <f>'[18]key-in(ACO)'!$AS64</f>
        <v>32.97</v>
      </c>
      <c r="L66" s="9">
        <f>'[18]key-in(ACO)'!$AV64</f>
        <v>8650</v>
      </c>
      <c r="M66" s="10">
        <f>[18]생산!BA63</f>
        <v>0</v>
      </c>
      <c r="N66" s="10">
        <f>[18]생산!BB63</f>
        <v>0</v>
      </c>
      <c r="O66" s="10">
        <f>[18]생산!BC63</f>
        <v>0</v>
      </c>
      <c r="P66" s="10">
        <f>[18]생산!BD63</f>
        <v>0</v>
      </c>
      <c r="Q66" s="10">
        <f>[18]생산!BE63</f>
        <v>0</v>
      </c>
      <c r="R66" s="10">
        <f>[18]생산!BF63</f>
        <v>0</v>
      </c>
      <c r="S66" s="9">
        <f>[18]운전시간외!C63</f>
        <v>0</v>
      </c>
      <c r="T66" s="9">
        <f>[18]운전시간외!D63</f>
        <v>0</v>
      </c>
      <c r="U66" s="9">
        <f>[18]운전시간외!E63</f>
        <v>0</v>
      </c>
      <c r="V66" s="9">
        <f>[18]운전시간외!F63</f>
        <v>0</v>
      </c>
      <c r="W66" s="11">
        <f>[18]생산!F63</f>
        <v>0</v>
      </c>
      <c r="X66" s="11">
        <f>[18]생산!G63</f>
        <v>0</v>
      </c>
      <c r="Y66" s="11">
        <f>[18]생산!H63</f>
        <v>0</v>
      </c>
      <c r="Z66" s="11">
        <f>[18]생산!I63</f>
        <v>0</v>
      </c>
      <c r="AA66" s="11">
        <f>[18]생산!J63</f>
        <v>0</v>
      </c>
      <c r="AB66" s="11">
        <f>[18]생산!K63</f>
        <v>0</v>
      </c>
      <c r="AC66" s="11">
        <f>ROUNDDOWN('[19]2026년'!G62/1000,1)</f>
        <v>0</v>
      </c>
    </row>
    <row r="67" spans="1:29">
      <c r="A67" s="6">
        <v>46084</v>
      </c>
      <c r="B67" s="12">
        <f>'[18]key-in(LO)'!AA65</f>
        <v>651.20000000000005</v>
      </c>
      <c r="C67" s="12">
        <f>'[18]key-in(LO)'!AB65</f>
        <v>249883</v>
      </c>
      <c r="D67" s="12">
        <f>'[18]key-in(LO)'!AC65</f>
        <v>241421</v>
      </c>
      <c r="E67" s="12">
        <f>'[18]key-in(LO)'!AD65</f>
        <v>17282.009999999998</v>
      </c>
      <c r="F67" s="12">
        <f>'[18]key-in(LO)'!AE65</f>
        <v>15360</v>
      </c>
      <c r="G67" s="115">
        <f>'[18]key-in(LO)'!AF65</f>
        <v>31.9</v>
      </c>
      <c r="H67" s="12">
        <f>'[18]key-in(LO)'!AG65</f>
        <v>39758</v>
      </c>
      <c r="I67" s="12">
        <f>'[18]key-in(LO)'!AH65</f>
        <v>24137</v>
      </c>
      <c r="J67" s="10">
        <f>'[18]key-in(ACO)'!$AR65</f>
        <v>33.42</v>
      </c>
      <c r="K67" s="10">
        <f>'[18]key-in(ACO)'!$AS65</f>
        <v>32.97</v>
      </c>
      <c r="L67" s="9">
        <f>'[18]key-in(ACO)'!$AV65</f>
        <v>8382</v>
      </c>
      <c r="M67" s="10">
        <f>[18]생산!BA64</f>
        <v>18806.789999999106</v>
      </c>
      <c r="N67" s="10">
        <f>[18]생산!BB64</f>
        <v>0</v>
      </c>
      <c r="O67" s="10">
        <f>[18]생산!BC64</f>
        <v>0</v>
      </c>
      <c r="P67" s="10">
        <f>[18]생산!BD64</f>
        <v>0</v>
      </c>
      <c r="Q67" s="10">
        <f>[18]생산!BE64</f>
        <v>0</v>
      </c>
      <c r="R67" s="10">
        <f>[18]생산!BF64</f>
        <v>0</v>
      </c>
      <c r="S67" s="9">
        <f>[18]운전시간외!C64</f>
        <v>10</v>
      </c>
      <c r="T67" s="9">
        <f>[18]운전시간외!D64</f>
        <v>0</v>
      </c>
      <c r="U67" s="9">
        <f>[18]운전시간외!E64</f>
        <v>0</v>
      </c>
      <c r="V67" s="9">
        <f>[18]운전시간외!F64</f>
        <v>0</v>
      </c>
      <c r="W67" s="11">
        <f>[18]생산!F64</f>
        <v>104.38700000000063</v>
      </c>
      <c r="X67" s="11">
        <f>[18]생산!G64</f>
        <v>0</v>
      </c>
      <c r="Y67" s="11">
        <f>[18]생산!H64</f>
        <v>0</v>
      </c>
      <c r="Z67" s="11">
        <f>[18]생산!I64</f>
        <v>0</v>
      </c>
      <c r="AA67" s="11">
        <f>[18]생산!J64</f>
        <v>0</v>
      </c>
      <c r="AB67" s="11">
        <f>[18]생산!K64</f>
        <v>104.38700000000063</v>
      </c>
      <c r="AC67" s="11">
        <f>ROUNDDOWN('[19]2026년'!G63/1000,1)</f>
        <v>6.8</v>
      </c>
    </row>
    <row r="68" spans="1:29">
      <c r="A68" s="6">
        <v>46085</v>
      </c>
      <c r="B68" s="12">
        <f>'[18]key-in(LO)'!AA66</f>
        <v>651.20000000000005</v>
      </c>
      <c r="C68" s="12">
        <f>'[18]key-in(LO)'!AB66</f>
        <v>249883</v>
      </c>
      <c r="D68" s="12">
        <f>'[18]key-in(LO)'!AC66</f>
        <v>241438</v>
      </c>
      <c r="E68" s="12">
        <f>'[18]key-in(LO)'!AD66</f>
        <v>17285.25</v>
      </c>
      <c r="F68" s="12">
        <f>'[18]key-in(LO)'!AE66</f>
        <v>15362.72</v>
      </c>
      <c r="G68" s="115">
        <f>'[18]key-in(LO)'!AF66</f>
        <v>32.299999999999997</v>
      </c>
      <c r="H68" s="12">
        <f>'[18]key-in(LO)'!AG66</f>
        <v>39758</v>
      </c>
      <c r="I68" s="12">
        <f>'[18]key-in(LO)'!AH66</f>
        <v>24158</v>
      </c>
      <c r="J68" s="10">
        <f>'[18]key-in(ACO)'!$AR66</f>
        <v>33.575000000000003</v>
      </c>
      <c r="K68" s="10">
        <f>'[18]key-in(ACO)'!$AS66</f>
        <v>33.929000000000002</v>
      </c>
      <c r="L68" s="9">
        <f>'[18]key-in(ACO)'!$AV66</f>
        <v>8556.8539999999994</v>
      </c>
      <c r="M68" s="10">
        <f>[18]생산!BA65</f>
        <v>0</v>
      </c>
      <c r="N68" s="10">
        <f>[18]생산!BB65</f>
        <v>0</v>
      </c>
      <c r="O68" s="10">
        <f>[18]생산!BC65</f>
        <v>0</v>
      </c>
      <c r="P68" s="10">
        <f>[18]생산!BD65</f>
        <v>0</v>
      </c>
      <c r="Q68" s="10">
        <f>[18]생산!BE65</f>
        <v>0</v>
      </c>
      <c r="R68" s="10">
        <f>[18]생산!BF65</f>
        <v>0</v>
      </c>
      <c r="S68" s="9">
        <f>[18]운전시간외!C65</f>
        <v>0</v>
      </c>
      <c r="T68" s="9">
        <f>[18]운전시간외!D65</f>
        <v>0</v>
      </c>
      <c r="U68" s="9">
        <f>[18]운전시간외!E65</f>
        <v>0</v>
      </c>
      <c r="V68" s="9">
        <f>[18]운전시간외!F65</f>
        <v>0</v>
      </c>
      <c r="W68" s="11">
        <f>[18]생산!F65</f>
        <v>0</v>
      </c>
      <c r="X68" s="11">
        <f>[18]생산!G65</f>
        <v>0</v>
      </c>
      <c r="Y68" s="11">
        <f>[18]생산!H65</f>
        <v>0</v>
      </c>
      <c r="Z68" s="11">
        <f>[18]생산!I65</f>
        <v>0</v>
      </c>
      <c r="AA68" s="11">
        <f>[18]생산!J65</f>
        <v>0</v>
      </c>
      <c r="AB68" s="11">
        <f>[18]생산!K65</f>
        <v>0</v>
      </c>
      <c r="AC68" s="11">
        <f>ROUNDDOWN('[19]2026년'!G64/1000,1)</f>
        <v>0</v>
      </c>
    </row>
    <row r="69" spans="1:29">
      <c r="A69" s="6">
        <v>46086</v>
      </c>
      <c r="B69" s="12">
        <f>'[18]key-in(LO)'!AA67</f>
        <v>651.20000000000005</v>
      </c>
      <c r="C69" s="12">
        <f>'[18]key-in(LO)'!AB67</f>
        <v>249922</v>
      </c>
      <c r="D69" s="12">
        <f>'[18]key-in(LO)'!AC67</f>
        <v>241438</v>
      </c>
      <c r="E69" s="12">
        <f>'[18]key-in(LO)'!AD67</f>
        <v>17289.36</v>
      </c>
      <c r="F69" s="12">
        <f>'[18]key-in(LO)'!AE67</f>
        <v>15364.82</v>
      </c>
      <c r="G69" s="115">
        <f>'[18]key-in(LO)'!AF67</f>
        <v>32.9</v>
      </c>
      <c r="H69" s="12">
        <f>'[18]key-in(LO)'!AG67</f>
        <v>39803</v>
      </c>
      <c r="I69" s="12">
        <f>'[18]key-in(LO)'!AH67</f>
        <v>24264</v>
      </c>
      <c r="J69" s="10">
        <f>'[18]key-in(ACO)'!$AR67</f>
        <v>33.353000000000002</v>
      </c>
      <c r="K69" s="10">
        <f>'[18]key-in(ACO)'!$AS67</f>
        <v>32.917999999999999</v>
      </c>
      <c r="L69" s="9">
        <f>'[18]key-in(ACO)'!$AV67</f>
        <v>8419.0020000000004</v>
      </c>
      <c r="M69" s="10">
        <f>[18]생산!BA66</f>
        <v>0</v>
      </c>
      <c r="N69" s="10">
        <f>[18]생산!BB66</f>
        <v>0</v>
      </c>
      <c r="O69" s="10">
        <f>[18]생산!BC66</f>
        <v>0</v>
      </c>
      <c r="P69" s="10">
        <f>[18]생산!BD66</f>
        <v>0</v>
      </c>
      <c r="Q69" s="10">
        <f>[18]생산!BE66</f>
        <v>0</v>
      </c>
      <c r="R69" s="10">
        <f>[18]생산!BF66</f>
        <v>0</v>
      </c>
      <c r="S69" s="9">
        <f>[18]운전시간외!C66</f>
        <v>0</v>
      </c>
      <c r="T69" s="9">
        <f>[18]운전시간외!D66</f>
        <v>0</v>
      </c>
      <c r="U69" s="9">
        <f>[18]운전시간외!E66</f>
        <v>0</v>
      </c>
      <c r="V69" s="9">
        <f>[18]운전시간외!F66</f>
        <v>0</v>
      </c>
      <c r="W69" s="11">
        <f>[18]생산!F66</f>
        <v>0</v>
      </c>
      <c r="X69" s="11">
        <f>[18]생산!G66</f>
        <v>0</v>
      </c>
      <c r="Y69" s="11">
        <f>[18]생산!H66</f>
        <v>0</v>
      </c>
      <c r="Z69" s="11">
        <f>[18]생산!I66</f>
        <v>0</v>
      </c>
      <c r="AA69" s="11">
        <f>[18]생산!J66</f>
        <v>0</v>
      </c>
      <c r="AB69" s="11">
        <f>[18]생산!K66</f>
        <v>0</v>
      </c>
      <c r="AC69" s="11">
        <f>ROUNDDOWN('[19]2026년'!G65/1000,1)</f>
        <v>0</v>
      </c>
    </row>
    <row r="70" spans="1:29">
      <c r="A70" s="6">
        <v>46087</v>
      </c>
      <c r="B70" s="12">
        <f>'[18]key-in(LO)'!AA68</f>
        <v>651.20000000000005</v>
      </c>
      <c r="C70" s="12">
        <f>'[18]key-in(LO)'!AB68</f>
        <v>249975</v>
      </c>
      <c r="D70" s="12">
        <f>'[18]key-in(LO)'!AC68</f>
        <v>241438</v>
      </c>
      <c r="E70" s="12">
        <f>'[18]key-in(LO)'!AD68</f>
        <v>17293.080000000002</v>
      </c>
      <c r="F70" s="12">
        <f>'[18]key-in(LO)'!AE68</f>
        <v>15373.54</v>
      </c>
      <c r="G70" s="115">
        <f>'[18]key-in(LO)'!AF68</f>
        <v>33.700000000000003</v>
      </c>
      <c r="H70" s="12">
        <f>'[18]key-in(LO)'!AG68</f>
        <v>39887</v>
      </c>
      <c r="I70" s="12">
        <f>'[18]key-in(LO)'!AH68</f>
        <v>24329</v>
      </c>
      <c r="J70" s="10">
        <f>'[18]key-in(ACO)'!$AR68</f>
        <v>32.979999999999997</v>
      </c>
      <c r="K70" s="10">
        <f>'[18]key-in(ACO)'!$AS68</f>
        <v>32.99</v>
      </c>
      <c r="L70" s="9">
        <f>'[18]key-in(ACO)'!$AV68</f>
        <v>8366</v>
      </c>
      <c r="M70" s="10">
        <f>[18]생산!BA67</f>
        <v>58840.25</v>
      </c>
      <c r="N70" s="10">
        <f>[18]생산!BB67</f>
        <v>0</v>
      </c>
      <c r="O70" s="10">
        <f>[18]생산!BC67</f>
        <v>0</v>
      </c>
      <c r="P70" s="10">
        <f>[18]생산!BD67</f>
        <v>0</v>
      </c>
      <c r="Q70" s="10">
        <f>[18]생산!BE67</f>
        <v>0</v>
      </c>
      <c r="R70" s="10">
        <f>[18]생산!BF67</f>
        <v>0</v>
      </c>
      <c r="S70" s="9">
        <f>[18]운전시간외!C67</f>
        <v>10</v>
      </c>
      <c r="T70" s="9">
        <f>[18]운전시간외!D67</f>
        <v>0</v>
      </c>
      <c r="U70" s="9">
        <f>[18]운전시간외!E67</f>
        <v>0</v>
      </c>
      <c r="V70" s="9">
        <f>[18]운전시간외!F67</f>
        <v>0</v>
      </c>
      <c r="W70" s="11">
        <f>[18]생산!F67</f>
        <v>368.32699999999932</v>
      </c>
      <c r="X70" s="11">
        <f>[18]생산!G67</f>
        <v>0</v>
      </c>
      <c r="Y70" s="11">
        <f>[18]생산!H67</f>
        <v>0</v>
      </c>
      <c r="Z70" s="11">
        <f>[18]생산!I67</f>
        <v>0</v>
      </c>
      <c r="AA70" s="11">
        <f>[18]생산!J67</f>
        <v>0</v>
      </c>
      <c r="AB70" s="11">
        <f>[18]생산!K67</f>
        <v>368.32699999999932</v>
      </c>
      <c r="AC70" s="11">
        <f>ROUNDDOWN('[19]2026년'!G66/1000,1)</f>
        <v>23.7</v>
      </c>
    </row>
    <row r="71" spans="1:29">
      <c r="A71" s="6">
        <v>46088</v>
      </c>
      <c r="B71" s="12">
        <f>'[18]key-in(LO)'!AA69</f>
        <v>651.20000000000005</v>
      </c>
      <c r="C71" s="12">
        <f>'[18]key-in(LO)'!AB69</f>
        <v>250019</v>
      </c>
      <c r="D71" s="12">
        <f>'[18]key-in(LO)'!AC69</f>
        <v>241438</v>
      </c>
      <c r="E71" s="12">
        <f>'[18]key-in(LO)'!AD69</f>
        <v>17294.310000000001</v>
      </c>
      <c r="F71" s="12">
        <f>'[18]key-in(LO)'!AE69</f>
        <v>15396</v>
      </c>
      <c r="G71" s="115">
        <f>'[18]key-in(LO)'!AF69</f>
        <v>34.299999999999997</v>
      </c>
      <c r="H71" s="12">
        <f>'[18]key-in(LO)'!AG69</f>
        <v>39933</v>
      </c>
      <c r="I71" s="12">
        <f>'[18]key-in(LO)'!AH69</f>
        <v>24471</v>
      </c>
      <c r="J71" s="10">
        <f>'[18]key-in(ACO)'!$AR69</f>
        <v>33.409999999999997</v>
      </c>
      <c r="K71" s="10">
        <f>'[18]key-in(ACO)'!$AS69</f>
        <v>32.97</v>
      </c>
      <c r="L71" s="9">
        <f>'[18]key-in(ACO)'!$AV69</f>
        <v>8420</v>
      </c>
      <c r="M71" s="10">
        <f>[18]생산!BA68</f>
        <v>197048.3900000006</v>
      </c>
      <c r="N71" s="10">
        <f>[18]생산!BB68</f>
        <v>0</v>
      </c>
      <c r="O71" s="10">
        <f>[18]생산!BC68</f>
        <v>0</v>
      </c>
      <c r="P71" s="10">
        <f>[18]생산!BD68</f>
        <v>0</v>
      </c>
      <c r="Q71" s="10">
        <f>[18]생산!BE68</f>
        <v>0</v>
      </c>
      <c r="R71" s="10">
        <f>[18]생산!BF68</f>
        <v>0</v>
      </c>
      <c r="S71" s="9">
        <f>[18]운전시간외!C68</f>
        <v>24</v>
      </c>
      <c r="T71" s="9">
        <f>[18]운전시간외!D68</f>
        <v>0</v>
      </c>
      <c r="U71" s="9">
        <f>[18]운전시간외!E68</f>
        <v>0</v>
      </c>
      <c r="V71" s="9">
        <f>[18]운전시간외!F68</f>
        <v>0</v>
      </c>
      <c r="W71" s="11">
        <f>[18]생산!F68</f>
        <v>1255</v>
      </c>
      <c r="X71" s="11">
        <f>[18]생산!G68</f>
        <v>0</v>
      </c>
      <c r="Y71" s="11">
        <f>[18]생산!H68</f>
        <v>0</v>
      </c>
      <c r="Z71" s="11">
        <f>[18]생산!I68</f>
        <v>0</v>
      </c>
      <c r="AA71" s="11">
        <f>[18]생산!J68</f>
        <v>0</v>
      </c>
      <c r="AB71" s="11">
        <f>[18]생산!K68</f>
        <v>1255</v>
      </c>
      <c r="AC71" s="11">
        <f>ROUNDDOWN('[19]2026년'!G67/1000,1)</f>
        <v>75.599999999999994</v>
      </c>
    </row>
    <row r="72" spans="1:29">
      <c r="A72" s="6">
        <v>46089</v>
      </c>
      <c r="B72" s="12">
        <f>'[18]key-in(LO)'!AA70</f>
        <v>651.20000000000005</v>
      </c>
      <c r="C72" s="12">
        <f>'[18]key-in(LO)'!AB70</f>
        <v>250042</v>
      </c>
      <c r="D72" s="12">
        <f>'[18]key-in(LO)'!AC70</f>
        <v>241460</v>
      </c>
      <c r="E72" s="12">
        <f>'[18]key-in(LO)'!AD70</f>
        <v>17295.75</v>
      </c>
      <c r="F72" s="12">
        <f>'[18]key-in(LO)'!AE70</f>
        <v>15418.62</v>
      </c>
      <c r="G72" s="115">
        <f>'[18]key-in(LO)'!AF70</f>
        <v>35</v>
      </c>
      <c r="H72" s="12">
        <f>'[18]key-in(LO)'!AG70</f>
        <v>40020</v>
      </c>
      <c r="I72" s="12">
        <f>'[18]key-in(LO)'!AH70</f>
        <v>24575</v>
      </c>
      <c r="J72" s="10">
        <f>'[18]key-in(ACO)'!$AR70</f>
        <v>33.380000000000003</v>
      </c>
      <c r="K72" s="10">
        <f>'[18]key-in(ACO)'!$AS70</f>
        <v>32.92</v>
      </c>
      <c r="L72" s="9">
        <f>'[18]key-in(ACO)'!$AV70</f>
        <v>8165</v>
      </c>
      <c r="M72" s="10">
        <f>[18]생산!BA69</f>
        <v>194029.6400000006</v>
      </c>
      <c r="N72" s="10">
        <f>[18]생산!BB69</f>
        <v>0</v>
      </c>
      <c r="O72" s="10">
        <f>[18]생산!BC69</f>
        <v>0</v>
      </c>
      <c r="P72" s="10">
        <f>[18]생산!BD69</f>
        <v>0</v>
      </c>
      <c r="Q72" s="10">
        <f>[18]생산!BE69</f>
        <v>0</v>
      </c>
      <c r="R72" s="10">
        <f>[18]생산!BF69</f>
        <v>0</v>
      </c>
      <c r="S72" s="9">
        <f>[18]운전시간외!C69</f>
        <v>24</v>
      </c>
      <c r="T72" s="9">
        <f>[18]운전시간외!D69</f>
        <v>0</v>
      </c>
      <c r="U72" s="9">
        <f>[18]운전시간외!E69</f>
        <v>0</v>
      </c>
      <c r="V72" s="9">
        <f>[18]운전시간외!F69</f>
        <v>0</v>
      </c>
      <c r="W72" s="11">
        <f>[18]생산!F69</f>
        <v>1241</v>
      </c>
      <c r="X72" s="11">
        <f>[18]생산!G69</f>
        <v>0</v>
      </c>
      <c r="Y72" s="11">
        <f>[18]생산!H69</f>
        <v>0</v>
      </c>
      <c r="Z72" s="11">
        <f>[18]생산!I69</f>
        <v>0</v>
      </c>
      <c r="AA72" s="11">
        <f>[18]생산!J69</f>
        <v>0</v>
      </c>
      <c r="AB72" s="11">
        <f>[18]생산!K69</f>
        <v>1241</v>
      </c>
      <c r="AC72" s="11">
        <f>ROUNDDOWN('[19]2026년'!G68/1000,1)</f>
        <v>71.099999999999994</v>
      </c>
    </row>
    <row r="73" spans="1:29">
      <c r="A73" s="6">
        <v>46090</v>
      </c>
      <c r="B73" s="12">
        <f>'[18]key-in(LO)'!AA71</f>
        <v>651.20000000000005</v>
      </c>
      <c r="C73" s="12">
        <f>'[18]key-in(LO)'!AB71</f>
        <v>250095</v>
      </c>
      <c r="D73" s="12">
        <f>'[18]key-in(LO)'!AC71</f>
        <v>241507</v>
      </c>
      <c r="E73" s="12">
        <f>'[18]key-in(LO)'!AD71</f>
        <v>17300.87</v>
      </c>
      <c r="F73" s="12">
        <f>'[18]key-in(LO)'!AE71</f>
        <v>15437.54</v>
      </c>
      <c r="G73" s="115">
        <f>'[18]key-in(LO)'!AF71</f>
        <v>35.9</v>
      </c>
      <c r="H73" s="12">
        <f>'[18]key-in(LO)'!AG71</f>
        <v>40112</v>
      </c>
      <c r="I73" s="12">
        <f>'[18]key-in(LO)'!AH71</f>
        <v>24739</v>
      </c>
      <c r="J73" s="10">
        <f>'[18]key-in(ACO)'!$AR71</f>
        <v>33.409999999999997</v>
      </c>
      <c r="K73" s="10">
        <f>'[18]key-in(ACO)'!$AS71</f>
        <v>32.82</v>
      </c>
      <c r="L73" s="9">
        <f>'[18]key-in(ACO)'!$AV71</f>
        <v>8669</v>
      </c>
      <c r="M73" s="10">
        <f>[18]생산!BA70</f>
        <v>129863.62</v>
      </c>
      <c r="N73" s="10">
        <f>[18]생산!BB70</f>
        <v>0</v>
      </c>
      <c r="O73" s="10">
        <f>[18]생산!BC70</f>
        <v>0</v>
      </c>
      <c r="P73" s="10">
        <f>[18]생산!BD70</f>
        <v>0</v>
      </c>
      <c r="Q73" s="10">
        <f>[18]생산!BE70</f>
        <v>0</v>
      </c>
      <c r="R73" s="10">
        <f>[18]생산!BF70</f>
        <v>0</v>
      </c>
      <c r="S73" s="9">
        <f>[18]운전시간외!C70</f>
        <v>20</v>
      </c>
      <c r="T73" s="9">
        <f>[18]운전시간외!D70</f>
        <v>0</v>
      </c>
      <c r="U73" s="9">
        <f>[18]운전시간외!E70</f>
        <v>0</v>
      </c>
      <c r="V73" s="9">
        <f>[18]운전시간외!F70</f>
        <v>0</v>
      </c>
      <c r="W73" s="11">
        <f>[18]생산!F70</f>
        <v>840</v>
      </c>
      <c r="X73" s="11">
        <f>[18]생산!G70</f>
        <v>0</v>
      </c>
      <c r="Y73" s="11">
        <f>[18]생산!H70</f>
        <v>0</v>
      </c>
      <c r="Z73" s="11">
        <f>[18]생산!I70</f>
        <v>0</v>
      </c>
      <c r="AA73" s="11">
        <f>[18]생산!J70</f>
        <v>0</v>
      </c>
      <c r="AB73" s="11">
        <f>[18]생산!K70</f>
        <v>840</v>
      </c>
      <c r="AC73" s="11">
        <f>ROUNDDOWN('[19]2026년'!G69/1000,1)</f>
        <v>39.799999999999997</v>
      </c>
    </row>
    <row r="74" spans="1:29">
      <c r="A74" s="6">
        <v>46091</v>
      </c>
      <c r="B74" s="12">
        <f>'[18]key-in(LO)'!AA72</f>
        <v>651.20000000000005</v>
      </c>
      <c r="C74" s="12">
        <f>'[18]key-in(LO)'!AB72</f>
        <v>250117</v>
      </c>
      <c r="D74" s="12">
        <f>'[18]key-in(LO)'!AC72</f>
        <v>241530</v>
      </c>
      <c r="E74" s="12">
        <f>'[18]key-in(LO)'!AD72</f>
        <v>17305.150000000001</v>
      </c>
      <c r="F74" s="12">
        <f>'[18]key-in(LO)'!AE72</f>
        <v>15460.88</v>
      </c>
      <c r="G74" s="115">
        <f>'[18]key-in(LO)'!AF72</f>
        <v>36.799999999999997</v>
      </c>
      <c r="H74" s="12">
        <f>'[18]key-in(LO)'!AG72</f>
        <v>40239</v>
      </c>
      <c r="I74" s="12">
        <f>'[18]key-in(LO)'!AH72</f>
        <v>24887</v>
      </c>
      <c r="J74" s="10">
        <f>'[18]key-in(ACO)'!$AR72</f>
        <v>33.479999999999997</v>
      </c>
      <c r="K74" s="10">
        <f>'[18]key-in(ACO)'!$AS72</f>
        <v>32.770000000000003</v>
      </c>
      <c r="L74" s="9">
        <f>'[18]key-in(ACO)'!$AV72</f>
        <v>8280</v>
      </c>
      <c r="M74" s="10">
        <f>[18]생산!BA71</f>
        <v>194440.47999999672</v>
      </c>
      <c r="N74" s="10">
        <f>[18]생산!BB71</f>
        <v>0</v>
      </c>
      <c r="O74" s="10">
        <f>[18]생산!BC71</f>
        <v>0</v>
      </c>
      <c r="P74" s="10">
        <f>[18]생산!BD71</f>
        <v>0</v>
      </c>
      <c r="Q74" s="10">
        <f>[18]생산!BE71</f>
        <v>0</v>
      </c>
      <c r="R74" s="10">
        <f>[18]생산!BF71</f>
        <v>0</v>
      </c>
      <c r="S74" s="9">
        <f>[18]운전시간외!C71</f>
        <v>24</v>
      </c>
      <c r="T74" s="9">
        <f>[18]운전시간외!D71</f>
        <v>0</v>
      </c>
      <c r="U74" s="9">
        <f>[18]운전시간외!E71</f>
        <v>0</v>
      </c>
      <c r="V74" s="9">
        <f>[18]운전시간외!F71</f>
        <v>0</v>
      </c>
      <c r="W74" s="11">
        <f>[18]생산!F71</f>
        <v>1227</v>
      </c>
      <c r="X74" s="11">
        <f>[18]생산!G71</f>
        <v>0</v>
      </c>
      <c r="Y74" s="11">
        <f>[18]생산!H71</f>
        <v>0</v>
      </c>
      <c r="Z74" s="11">
        <f>[18]생산!I71</f>
        <v>0</v>
      </c>
      <c r="AA74" s="11">
        <f>[18]생산!J71</f>
        <v>0</v>
      </c>
      <c r="AB74" s="11">
        <f>[18]생산!K71</f>
        <v>1227</v>
      </c>
      <c r="AC74" s="11">
        <f>ROUNDDOWN('[19]2026년'!G70/1000,1)</f>
        <v>61.2</v>
      </c>
    </row>
    <row r="75" spans="1:29">
      <c r="A75" s="6">
        <v>46092</v>
      </c>
      <c r="B75" s="12">
        <f>'[18]key-in(LO)'!AA73</f>
        <v>651.20000000000005</v>
      </c>
      <c r="C75" s="12">
        <f>'[18]key-in(LO)'!AB73</f>
        <v>250117</v>
      </c>
      <c r="D75" s="12">
        <f>'[18]key-in(LO)'!AC73</f>
        <v>241567</v>
      </c>
      <c r="E75" s="12">
        <f>'[18]key-in(LO)'!AD73</f>
        <v>17308.91</v>
      </c>
      <c r="F75" s="12">
        <f>'[18]key-in(LO)'!AE73</f>
        <v>15464.39</v>
      </c>
      <c r="G75" s="115">
        <f>'[18]key-in(LO)'!AF73</f>
        <v>37.299999999999997</v>
      </c>
      <c r="H75" s="12">
        <f>'[18]key-in(LO)'!AG73</f>
        <v>40277</v>
      </c>
      <c r="I75" s="12">
        <f>'[18]key-in(LO)'!AH73</f>
        <v>24953</v>
      </c>
      <c r="J75" s="10">
        <f>'[18]key-in(ACO)'!$AR73</f>
        <v>33.08</v>
      </c>
      <c r="K75" s="10">
        <f>'[18]key-in(ACO)'!$AS73</f>
        <v>32.79</v>
      </c>
      <c r="L75" s="9">
        <f>'[18]key-in(ACO)'!$AV73</f>
        <v>8362</v>
      </c>
      <c r="M75" s="10">
        <f>[18]생산!BA72</f>
        <v>0</v>
      </c>
      <c r="N75" s="10">
        <f>[18]생산!BB72</f>
        <v>0</v>
      </c>
      <c r="O75" s="10">
        <f>[18]생산!BC72</f>
        <v>0</v>
      </c>
      <c r="P75" s="10">
        <f>[18]생산!BD72</f>
        <v>0</v>
      </c>
      <c r="Q75" s="10">
        <f>[18]생산!BE72</f>
        <v>0</v>
      </c>
      <c r="R75" s="10">
        <f>[18]생산!BF72</f>
        <v>0</v>
      </c>
      <c r="S75" s="9">
        <f>[18]운전시간외!C72</f>
        <v>0</v>
      </c>
      <c r="T75" s="9">
        <f>[18]운전시간외!D72</f>
        <v>0</v>
      </c>
      <c r="U75" s="9">
        <f>[18]운전시간외!E72</f>
        <v>0</v>
      </c>
      <c r="V75" s="9">
        <f>[18]운전시간외!F72</f>
        <v>0</v>
      </c>
      <c r="W75" s="11">
        <f>[18]생산!F72</f>
        <v>0</v>
      </c>
      <c r="X75" s="11">
        <f>[18]생산!G72</f>
        <v>0</v>
      </c>
      <c r="Y75" s="11">
        <f>[18]생산!H72</f>
        <v>0</v>
      </c>
      <c r="Z75" s="11">
        <f>[18]생산!I72</f>
        <v>0</v>
      </c>
      <c r="AA75" s="11">
        <f>[18]생산!J72</f>
        <v>0</v>
      </c>
      <c r="AB75" s="11">
        <f>[18]생산!K72</f>
        <v>0</v>
      </c>
      <c r="AC75" s="11">
        <f>ROUNDDOWN('[19]2026년'!G71/1000,1)</f>
        <v>0</v>
      </c>
    </row>
    <row r="76" spans="1:29">
      <c r="A76" s="6">
        <v>46093</v>
      </c>
      <c r="B76" s="12">
        <f>'[18]key-in(LO)'!AA74</f>
        <v>651.20000000000005</v>
      </c>
      <c r="C76" s="12">
        <f>'[18]key-in(LO)'!AB74</f>
        <v>250162</v>
      </c>
      <c r="D76" s="12">
        <f>'[18]key-in(LO)'!AC74</f>
        <v>241621</v>
      </c>
      <c r="E76" s="12">
        <f>'[18]key-in(LO)'!AD74</f>
        <v>17312.23</v>
      </c>
      <c r="F76" s="12">
        <f>'[18]key-in(LO)'!AE74</f>
        <v>15483.72</v>
      </c>
      <c r="G76" s="115">
        <f>'[18]key-in(LO)'!AF74</f>
        <v>38.200000000000003</v>
      </c>
      <c r="H76" s="12">
        <f>'[18]key-in(LO)'!AG74</f>
        <v>40386</v>
      </c>
      <c r="I76" s="12">
        <f>'[18]key-in(LO)'!AH74</f>
        <v>25132</v>
      </c>
      <c r="J76" s="10">
        <f>'[18]key-in(ACO)'!$AR74</f>
        <v>33.270000000000003</v>
      </c>
      <c r="K76" s="10">
        <f>'[18]key-in(ACO)'!$AS74</f>
        <v>32.97</v>
      </c>
      <c r="L76" s="9">
        <f>'[18]key-in(ACO)'!$AV74</f>
        <v>8650</v>
      </c>
      <c r="M76" s="10">
        <f>[18]생산!BA73</f>
        <v>128339.70000000001</v>
      </c>
      <c r="N76" s="10">
        <f>[18]생산!BB73</f>
        <v>0</v>
      </c>
      <c r="O76" s="10">
        <f>[18]생산!BC73</f>
        <v>0</v>
      </c>
      <c r="P76" s="10">
        <f>[18]생산!BD73</f>
        <v>0</v>
      </c>
      <c r="Q76" s="10">
        <f>[18]생산!BE73</f>
        <v>0</v>
      </c>
      <c r="R76" s="10">
        <f>[18]생산!BF73</f>
        <v>0</v>
      </c>
      <c r="S76" s="9">
        <f>[18]운전시간외!C73</f>
        <v>20</v>
      </c>
      <c r="T76" s="9">
        <f>[18]운전시간외!D73</f>
        <v>0</v>
      </c>
      <c r="U76" s="9">
        <f>[18]운전시간외!E73</f>
        <v>0</v>
      </c>
      <c r="V76" s="9">
        <f>[18]운전시간외!F73</f>
        <v>0</v>
      </c>
      <c r="W76" s="11">
        <f>[18]생산!F73</f>
        <v>812</v>
      </c>
      <c r="X76" s="11">
        <f>[18]생산!G73</f>
        <v>0</v>
      </c>
      <c r="Y76" s="11">
        <f>[18]생산!H73</f>
        <v>0</v>
      </c>
      <c r="Z76" s="11">
        <f>[18]생산!I73</f>
        <v>0</v>
      </c>
      <c r="AA76" s="11">
        <f>[18]생산!J73</f>
        <v>0</v>
      </c>
      <c r="AB76" s="11">
        <f>[18]생산!K73</f>
        <v>812</v>
      </c>
      <c r="AC76" s="11">
        <f>ROUNDDOWN('[19]2026년'!G72/1000,1)</f>
        <v>37.700000000000003</v>
      </c>
    </row>
    <row r="77" spans="1:29">
      <c r="A77" s="6">
        <v>46094</v>
      </c>
      <c r="B77" s="12">
        <f>'[18]key-in(LO)'!AA75</f>
        <v>651.20000000000005</v>
      </c>
      <c r="C77" s="12">
        <f>'[18]key-in(LO)'!AB75</f>
        <v>250210</v>
      </c>
      <c r="D77" s="12">
        <f>'[18]key-in(LO)'!AC75</f>
        <v>241657</v>
      </c>
      <c r="E77" s="12">
        <f>'[18]key-in(LO)'!AD75</f>
        <v>17315.86</v>
      </c>
      <c r="F77" s="12">
        <f>'[18]key-in(LO)'!AE75</f>
        <v>15502.87</v>
      </c>
      <c r="G77" s="115">
        <f>'[18]key-in(LO)'!AF75</f>
        <v>39.299999999999997</v>
      </c>
      <c r="H77" s="12">
        <f>'[18]key-in(LO)'!AG75</f>
        <v>40558</v>
      </c>
      <c r="I77" s="12">
        <f>'[18]key-in(LO)'!AH75</f>
        <v>25330</v>
      </c>
      <c r="J77" s="10">
        <f>'[18]key-in(ACO)'!$AR75</f>
        <v>33.838999999999999</v>
      </c>
      <c r="K77" s="10">
        <f>'[18]key-in(ACO)'!$AS75</f>
        <v>33.063000000000002</v>
      </c>
      <c r="L77" s="9">
        <f>'[18]key-in(ACO)'!$AV75</f>
        <v>8684.6129999999994</v>
      </c>
      <c r="M77" s="10">
        <f>[18]생산!BA74</f>
        <v>126804.49000000209</v>
      </c>
      <c r="N77" s="10">
        <f>[18]생산!BB74</f>
        <v>0</v>
      </c>
      <c r="O77" s="10">
        <f>[18]생산!BC74</f>
        <v>0</v>
      </c>
      <c r="P77" s="10">
        <f>[18]생산!BD74</f>
        <v>0</v>
      </c>
      <c r="Q77" s="10">
        <f>[18]생산!BE74</f>
        <v>0</v>
      </c>
      <c r="R77" s="10">
        <f>[18]생산!BF74</f>
        <v>0</v>
      </c>
      <c r="S77" s="9">
        <f>[18]운전시간외!C74</f>
        <v>17</v>
      </c>
      <c r="T77" s="9">
        <f>[18]운전시간외!D74</f>
        <v>0</v>
      </c>
      <c r="U77" s="9">
        <f>[18]운전시간외!E74</f>
        <v>0</v>
      </c>
      <c r="V77" s="9">
        <f>[18]운전시간외!F74</f>
        <v>0</v>
      </c>
      <c r="W77" s="11">
        <f>[18]생산!F74</f>
        <v>818.6899999999996</v>
      </c>
      <c r="X77" s="11">
        <f>[18]생산!G74</f>
        <v>0</v>
      </c>
      <c r="Y77" s="11">
        <f>[18]생산!H74</f>
        <v>0</v>
      </c>
      <c r="Z77" s="11">
        <f>[18]생산!I74</f>
        <v>0</v>
      </c>
      <c r="AA77" s="11">
        <f>[18]생산!J74</f>
        <v>0</v>
      </c>
      <c r="AB77" s="11">
        <f>[18]생산!K74</f>
        <v>818.6899999999996</v>
      </c>
      <c r="AC77" s="11">
        <f>ROUNDDOWN('[19]2026년'!G73/1000,1)</f>
        <v>39.1</v>
      </c>
    </row>
    <row r="78" spans="1:29">
      <c r="A78" s="6">
        <v>46095</v>
      </c>
      <c r="B78" s="12">
        <f>'[18]key-in(LO)'!AA76</f>
        <v>651.20000000000005</v>
      </c>
      <c r="C78" s="12">
        <f>'[18]key-in(LO)'!AB76</f>
        <v>250228</v>
      </c>
      <c r="D78" s="12">
        <f>'[18]key-in(LO)'!AC76</f>
        <v>241657</v>
      </c>
      <c r="E78" s="12">
        <f>'[18]key-in(LO)'!AD76</f>
        <v>17317.939999999999</v>
      </c>
      <c r="F78" s="12">
        <f>'[18]key-in(LO)'!AE76</f>
        <v>15505.48</v>
      </c>
      <c r="G78" s="115">
        <f>'[18]key-in(LO)'!AF76</f>
        <v>40.4</v>
      </c>
      <c r="H78" s="12">
        <f>'[18]key-in(LO)'!AG76</f>
        <v>40624</v>
      </c>
      <c r="I78" s="12">
        <f>'[18]key-in(LO)'!AH76</f>
        <v>25390</v>
      </c>
      <c r="J78" s="10">
        <f>'[18]key-in(ACO)'!$AR76</f>
        <v>33.725999999999999</v>
      </c>
      <c r="K78" s="10">
        <f>'[18]key-in(ACO)'!$AS76</f>
        <v>33.128999999999998</v>
      </c>
      <c r="L78" s="9">
        <f>'[18]key-in(ACO)'!$AV76</f>
        <v>8699.0840000000007</v>
      </c>
      <c r="M78" s="10">
        <f>[18]생산!BA75</f>
        <v>0</v>
      </c>
      <c r="N78" s="10">
        <f>[18]생산!BB75</f>
        <v>0</v>
      </c>
      <c r="O78" s="10">
        <f>[18]생산!BC75</f>
        <v>0</v>
      </c>
      <c r="P78" s="10">
        <f>[18]생산!BD75</f>
        <v>0</v>
      </c>
      <c r="Q78" s="10">
        <f>[18]생산!BE75</f>
        <v>0</v>
      </c>
      <c r="R78" s="10">
        <f>[18]생산!BF75</f>
        <v>0</v>
      </c>
      <c r="S78" s="9">
        <f>[18]운전시간외!C75</f>
        <v>0</v>
      </c>
      <c r="T78" s="9">
        <f>[18]운전시간외!D75</f>
        <v>0</v>
      </c>
      <c r="U78" s="9">
        <f>[18]운전시간외!E75</f>
        <v>0</v>
      </c>
      <c r="V78" s="9">
        <f>[18]운전시간외!F75</f>
        <v>0</v>
      </c>
      <c r="W78" s="11">
        <f>[18]생산!F75</f>
        <v>0</v>
      </c>
      <c r="X78" s="11">
        <f>[18]생산!G75</f>
        <v>0</v>
      </c>
      <c r="Y78" s="11">
        <f>[18]생산!H75</f>
        <v>0</v>
      </c>
      <c r="Z78" s="11">
        <f>[18]생산!I75</f>
        <v>0</v>
      </c>
      <c r="AA78" s="11">
        <f>[18]생산!J75</f>
        <v>0</v>
      </c>
      <c r="AB78" s="11">
        <f>[18]생산!K75</f>
        <v>0</v>
      </c>
      <c r="AC78" s="11">
        <f>ROUNDDOWN('[19]2026년'!G74/1000,1)</f>
        <v>0</v>
      </c>
    </row>
    <row r="79" spans="1:29">
      <c r="A79" s="6">
        <v>46096</v>
      </c>
      <c r="B79" s="12">
        <f>'[18]key-in(LO)'!AA77</f>
        <v>651.20000000000005</v>
      </c>
      <c r="C79" s="12">
        <f>'[18]key-in(LO)'!AB77</f>
        <v>250228</v>
      </c>
      <c r="D79" s="12">
        <f>'[18]key-in(LO)'!AC77</f>
        <v>241657</v>
      </c>
      <c r="E79" s="12">
        <f>'[18]key-in(LO)'!AD77</f>
        <v>17319.439999999999</v>
      </c>
      <c r="F79" s="12">
        <f>'[18]key-in(LO)'!AE77</f>
        <v>15507.62</v>
      </c>
      <c r="G79" s="115">
        <f>'[18]key-in(LO)'!AF77</f>
        <v>41</v>
      </c>
      <c r="H79" s="12">
        <f>'[18]key-in(LO)'!AG77</f>
        <v>40666</v>
      </c>
      <c r="I79" s="12">
        <f>'[18]key-in(LO)'!AH77</f>
        <v>25409</v>
      </c>
      <c r="J79" s="10">
        <f>'[18]key-in(ACO)'!$AR77</f>
        <v>33.674999999999997</v>
      </c>
      <c r="K79" s="10">
        <f>'[18]key-in(ACO)'!$AS77</f>
        <v>33.134</v>
      </c>
      <c r="L79" s="9">
        <f>'[18]key-in(ACO)'!$AV77</f>
        <v>8199.4670000000006</v>
      </c>
      <c r="M79" s="10">
        <f>[18]생산!BA76</f>
        <v>0</v>
      </c>
      <c r="N79" s="10">
        <f>[18]생산!BB76</f>
        <v>0</v>
      </c>
      <c r="O79" s="10">
        <f>[18]생산!BC76</f>
        <v>0</v>
      </c>
      <c r="P79" s="10">
        <f>[18]생산!BD76</f>
        <v>0</v>
      </c>
      <c r="Q79" s="10">
        <f>[18]생산!BE76</f>
        <v>0</v>
      </c>
      <c r="R79" s="10">
        <f>[18]생산!BF76</f>
        <v>0</v>
      </c>
      <c r="S79" s="9">
        <f>[18]운전시간외!C76</f>
        <v>0</v>
      </c>
      <c r="T79" s="9">
        <f>[18]운전시간외!D76</f>
        <v>0</v>
      </c>
      <c r="U79" s="9">
        <f>[18]운전시간외!E76</f>
        <v>0</v>
      </c>
      <c r="V79" s="9">
        <f>[18]운전시간외!F76</f>
        <v>0</v>
      </c>
      <c r="W79" s="11">
        <f>[18]생산!F76</f>
        <v>0</v>
      </c>
      <c r="X79" s="11">
        <f>[18]생산!G76</f>
        <v>0</v>
      </c>
      <c r="Y79" s="11">
        <f>[18]생산!H76</f>
        <v>0</v>
      </c>
      <c r="Z79" s="11">
        <f>[18]생산!I76</f>
        <v>0</v>
      </c>
      <c r="AA79" s="11">
        <f>[18]생산!J76</f>
        <v>0</v>
      </c>
      <c r="AB79" s="11">
        <f>[18]생산!K76</f>
        <v>0</v>
      </c>
      <c r="AC79" s="11">
        <f>ROUNDDOWN('[19]2026년'!G75/1000,1)</f>
        <v>0</v>
      </c>
    </row>
    <row r="80" spans="1:29">
      <c r="A80" s="6">
        <v>46097</v>
      </c>
      <c r="B80" s="12">
        <f>'[18]key-in(LO)'!AA78</f>
        <v>651.20000000000005</v>
      </c>
      <c r="C80" s="12">
        <f>'[18]key-in(LO)'!AB78</f>
        <v>250250</v>
      </c>
      <c r="D80" s="12">
        <f>'[18]key-in(LO)'!AC78</f>
        <v>241686</v>
      </c>
      <c r="E80" s="12">
        <f>'[18]key-in(LO)'!AD78</f>
        <v>17323.77</v>
      </c>
      <c r="F80" s="12">
        <f>'[18]key-in(LO)'!AE78</f>
        <v>15514.44</v>
      </c>
      <c r="G80" s="115">
        <f>'[18]key-in(LO)'!AF78</f>
        <v>41.7</v>
      </c>
      <c r="H80" s="12">
        <f>'[18]key-in(LO)'!AG78</f>
        <v>40745</v>
      </c>
      <c r="I80" s="12">
        <f>'[18]key-in(LO)'!AH78</f>
        <v>25524</v>
      </c>
      <c r="J80" s="10">
        <f>'[18]key-in(ACO)'!$AR78</f>
        <v>33.76</v>
      </c>
      <c r="K80" s="10">
        <f>'[18]key-in(ACO)'!$AS78</f>
        <v>33.22</v>
      </c>
      <c r="L80" s="9">
        <f>'[18]key-in(ACO)'!$AV78</f>
        <v>7675</v>
      </c>
      <c r="M80" s="10">
        <f>[18]생산!BA77</f>
        <v>17880.289999999106</v>
      </c>
      <c r="N80" s="10">
        <f>[18]생산!BB77</f>
        <v>0</v>
      </c>
      <c r="O80" s="10">
        <f>[18]생산!BC77</f>
        <v>0</v>
      </c>
      <c r="P80" s="10">
        <f>[18]생산!BD77</f>
        <v>0</v>
      </c>
      <c r="Q80" s="10">
        <f>[18]생산!BE77</f>
        <v>0</v>
      </c>
      <c r="R80" s="10">
        <f>[18]생산!BF77</f>
        <v>0</v>
      </c>
      <c r="S80" s="9">
        <f>[18]운전시간외!C77</f>
        <v>8</v>
      </c>
      <c r="T80" s="9">
        <f>[18]운전시간외!D77</f>
        <v>0</v>
      </c>
      <c r="U80" s="9">
        <f>[18]운전시간외!E77</f>
        <v>0</v>
      </c>
      <c r="V80" s="9">
        <f>[18]운전시간외!F77</f>
        <v>0</v>
      </c>
      <c r="W80" s="11">
        <f>[18]생산!F77</f>
        <v>113.3100000000004</v>
      </c>
      <c r="X80" s="11">
        <f>[18]생산!G77</f>
        <v>0</v>
      </c>
      <c r="Y80" s="11">
        <f>[18]생산!H77</f>
        <v>0</v>
      </c>
      <c r="Z80" s="11">
        <f>[18]생산!I77</f>
        <v>0</v>
      </c>
      <c r="AA80" s="11">
        <f>[18]생산!J77</f>
        <v>0</v>
      </c>
      <c r="AB80" s="11">
        <f>[18]생산!K77</f>
        <v>113.3100000000004</v>
      </c>
      <c r="AC80" s="11">
        <f>ROUNDDOWN('[19]2026년'!G76/1000,1)</f>
        <v>8.6999999999999993</v>
      </c>
    </row>
    <row r="81" spans="1:29">
      <c r="A81" s="6">
        <v>46098</v>
      </c>
      <c r="B81" s="12">
        <f>'[18]key-in(LO)'!AA79</f>
        <v>651.20000000000005</v>
      </c>
      <c r="C81" s="12">
        <f>'[18]key-in(LO)'!AB79</f>
        <v>250250</v>
      </c>
      <c r="D81" s="12">
        <f>'[18]key-in(LO)'!AC79</f>
        <v>241725</v>
      </c>
      <c r="E81" s="12">
        <f>'[18]key-in(LO)'!AD79</f>
        <v>17328.060000000001</v>
      </c>
      <c r="F81" s="12">
        <f>'[18]key-in(LO)'!AE79</f>
        <v>15517.6</v>
      </c>
      <c r="G81" s="115">
        <f>'[18]key-in(LO)'!AF79</f>
        <v>42.4</v>
      </c>
      <c r="H81" s="12">
        <f>'[18]key-in(LO)'!AG79</f>
        <v>40807</v>
      </c>
      <c r="I81" s="12">
        <f>'[18]key-in(LO)'!AH79</f>
        <v>25591</v>
      </c>
      <c r="J81" s="10">
        <f>'[18]key-in(ACO)'!$AR79</f>
        <v>33.81</v>
      </c>
      <c r="K81" s="10">
        <f>'[18]key-in(ACO)'!$AS79</f>
        <v>33.25</v>
      </c>
      <c r="L81" s="9">
        <f>'[18]key-in(ACO)'!$AV79</f>
        <v>7023</v>
      </c>
      <c r="M81" s="10">
        <f>[18]생산!BA78</f>
        <v>0</v>
      </c>
      <c r="N81" s="10">
        <f>[18]생산!BB78</f>
        <v>0</v>
      </c>
      <c r="O81" s="10">
        <f>[18]생산!BC78</f>
        <v>0</v>
      </c>
      <c r="P81" s="10">
        <f>[18]생산!BD78</f>
        <v>0</v>
      </c>
      <c r="Q81" s="10">
        <f>[18]생산!BE78</f>
        <v>0</v>
      </c>
      <c r="R81" s="10">
        <f>[18]생산!BF78</f>
        <v>0</v>
      </c>
      <c r="S81" s="9">
        <f>[18]운전시간외!C78</f>
        <v>0</v>
      </c>
      <c r="T81" s="9">
        <f>[18]운전시간외!D78</f>
        <v>0</v>
      </c>
      <c r="U81" s="9">
        <f>[18]운전시간외!E78</f>
        <v>0</v>
      </c>
      <c r="V81" s="9">
        <f>[18]운전시간외!F78</f>
        <v>0</v>
      </c>
      <c r="W81" s="11">
        <f>[18]생산!F78</f>
        <v>0</v>
      </c>
      <c r="X81" s="11">
        <f>[18]생산!G78</f>
        <v>0</v>
      </c>
      <c r="Y81" s="11">
        <f>[18]생산!H78</f>
        <v>0</v>
      </c>
      <c r="Z81" s="11">
        <f>[18]생산!I78</f>
        <v>0</v>
      </c>
      <c r="AA81" s="11">
        <f>[18]생산!J78</f>
        <v>0</v>
      </c>
      <c r="AB81" s="11">
        <f>[18]생산!K78</f>
        <v>0</v>
      </c>
      <c r="AC81" s="11">
        <f>ROUNDDOWN('[19]2026년'!G77/1000,1)</f>
        <v>0</v>
      </c>
    </row>
    <row r="82" spans="1:29">
      <c r="A82" s="6">
        <v>46099</v>
      </c>
      <c r="B82" s="12">
        <f>'[18]key-in(LO)'!AA80</f>
        <v>651.20000000000005</v>
      </c>
      <c r="C82" s="12">
        <f>'[18]key-in(LO)'!AB80</f>
        <v>250369</v>
      </c>
      <c r="D82" s="12">
        <f>'[18]key-in(LO)'!AC80</f>
        <v>241725</v>
      </c>
      <c r="E82" s="12">
        <f>'[18]key-in(LO)'!AD80</f>
        <v>17331.28</v>
      </c>
      <c r="F82" s="12">
        <f>'[18]key-in(LO)'!AE80</f>
        <v>15526.17</v>
      </c>
      <c r="G82" s="115">
        <f>'[18]key-in(LO)'!AF80</f>
        <v>43.2</v>
      </c>
      <c r="H82" s="12">
        <f>'[18]key-in(LO)'!AG80</f>
        <v>40918</v>
      </c>
      <c r="I82" s="12">
        <f>'[18]key-in(LO)'!AH80</f>
        <v>25781</v>
      </c>
      <c r="J82" s="10">
        <f>'[18]key-in(ACO)'!$AR80</f>
        <v>33.909999999999997</v>
      </c>
      <c r="K82" s="10">
        <f>'[18]key-in(ACO)'!$AS80</f>
        <v>33.270000000000003</v>
      </c>
      <c r="L82" s="9">
        <f>'[18]key-in(ACO)'!$AV80</f>
        <v>8678</v>
      </c>
      <c r="M82" s="10">
        <f>[18]생산!BA79</f>
        <v>27274.90000000596</v>
      </c>
      <c r="N82" s="10">
        <f>[18]생산!BB79</f>
        <v>0</v>
      </c>
      <c r="O82" s="10">
        <f>[18]생산!BC79</f>
        <v>0</v>
      </c>
      <c r="P82" s="10">
        <f>[18]생산!BD79</f>
        <v>0</v>
      </c>
      <c r="Q82" s="10">
        <f>[18]생산!BE79</f>
        <v>0</v>
      </c>
      <c r="R82" s="10">
        <f>[18]생산!BF79</f>
        <v>0</v>
      </c>
      <c r="S82" s="9">
        <f>[18]운전시간외!C79</f>
        <v>11</v>
      </c>
      <c r="T82" s="9">
        <f>[18]운전시간외!D79</f>
        <v>0</v>
      </c>
      <c r="U82" s="9">
        <f>[18]운전시간외!E79</f>
        <v>0</v>
      </c>
      <c r="V82" s="9">
        <f>[18]운전시간외!F79</f>
        <v>0</v>
      </c>
      <c r="W82" s="11">
        <f>[18]생산!F79</f>
        <v>172</v>
      </c>
      <c r="X82" s="11">
        <f>[18]생산!G79</f>
        <v>0</v>
      </c>
      <c r="Y82" s="11">
        <f>[18]생산!H79</f>
        <v>0</v>
      </c>
      <c r="Z82" s="11">
        <f>[18]생산!I79</f>
        <v>0</v>
      </c>
      <c r="AA82" s="11">
        <f>[18]생산!J79</f>
        <v>0</v>
      </c>
      <c r="AB82" s="11">
        <f>[18]생산!K79</f>
        <v>172</v>
      </c>
      <c r="AC82" s="11">
        <f>ROUNDDOWN('[19]2026년'!G78/1000,1)</f>
        <v>8</v>
      </c>
    </row>
    <row r="83" spans="1:29">
      <c r="A83" s="6">
        <v>46100</v>
      </c>
      <c r="B83" s="12">
        <f>'[18]key-in(LO)'!AA81</f>
        <v>651.20000000000005</v>
      </c>
      <c r="C83" s="12">
        <f>'[18]key-in(LO)'!AB81</f>
        <v>250369</v>
      </c>
      <c r="D83" s="12">
        <f>'[18]key-in(LO)'!AC81</f>
        <v>241779</v>
      </c>
      <c r="E83" s="12">
        <f>'[18]key-in(LO)'!AD81</f>
        <v>17334.93</v>
      </c>
      <c r="F83" s="12">
        <f>'[18]key-in(LO)'!AE81</f>
        <v>15534.03</v>
      </c>
      <c r="G83" s="115">
        <f>'[18]key-in(LO)'!AF81</f>
        <v>44</v>
      </c>
      <c r="H83" s="12">
        <f>'[18]key-in(LO)'!AG81</f>
        <v>40977</v>
      </c>
      <c r="I83" s="12">
        <f>'[18]key-in(LO)'!AH81</f>
        <v>25890</v>
      </c>
      <c r="J83" s="10">
        <f>'[18]key-in(ACO)'!$AR81</f>
        <v>34.01</v>
      </c>
      <c r="K83" s="10">
        <f>'[18]key-in(ACO)'!$AS81</f>
        <v>33.340000000000003</v>
      </c>
      <c r="L83" s="9">
        <f>'[18]key-in(ACO)'!$AV81</f>
        <v>8139</v>
      </c>
      <c r="M83" s="10">
        <f>[18]생산!BA80</f>
        <v>17274.819999992847</v>
      </c>
      <c r="N83" s="10">
        <f>[18]생산!BB80</f>
        <v>0</v>
      </c>
      <c r="O83" s="10">
        <f>[18]생산!BC80</f>
        <v>0</v>
      </c>
      <c r="P83" s="10">
        <f>[18]생산!BD80</f>
        <v>0</v>
      </c>
      <c r="Q83" s="10">
        <f>[18]생산!BE80</f>
        <v>0</v>
      </c>
      <c r="R83" s="10">
        <f>[18]생산!BF80</f>
        <v>0</v>
      </c>
      <c r="S83" s="9">
        <f>[18]운전시간외!C80</f>
        <v>8</v>
      </c>
      <c r="T83" s="9">
        <f>[18]운전시간외!D80</f>
        <v>0</v>
      </c>
      <c r="U83" s="9">
        <f>[18]운전시간외!E80</f>
        <v>0</v>
      </c>
      <c r="V83" s="9">
        <f>[18]운전시간외!F80</f>
        <v>0</v>
      </c>
      <c r="W83" s="11">
        <f>[18]생산!F80</f>
        <v>108</v>
      </c>
      <c r="X83" s="11">
        <f>[18]생산!G80</f>
        <v>0</v>
      </c>
      <c r="Y83" s="11">
        <f>[18]생산!H80</f>
        <v>0</v>
      </c>
      <c r="Z83" s="11">
        <f>[18]생산!I80</f>
        <v>0</v>
      </c>
      <c r="AA83" s="11">
        <f>[18]생산!J80</f>
        <v>0</v>
      </c>
      <c r="AB83" s="11">
        <f>[18]생산!K80</f>
        <v>108</v>
      </c>
      <c r="AC83" s="11">
        <f>ROUNDDOWN('[19]2026년'!G79/1000,1)</f>
        <v>5.6</v>
      </c>
    </row>
    <row r="84" spans="1:29">
      <c r="A84" s="6">
        <v>46101</v>
      </c>
      <c r="B84" s="12">
        <f>'[18]key-in(LO)'!AA82</f>
        <v>651.20000000000005</v>
      </c>
      <c r="C84" s="12">
        <f>'[18]key-in(LO)'!AB82</f>
        <v>250427</v>
      </c>
      <c r="D84" s="12">
        <f>'[18]key-in(LO)'!AC82</f>
        <v>241794</v>
      </c>
      <c r="E84" s="12">
        <f>'[18]key-in(LO)'!AD82</f>
        <v>17338.419999999998</v>
      </c>
      <c r="F84" s="12">
        <f>'[18]key-in(LO)'!AE82</f>
        <v>15536.98</v>
      </c>
      <c r="G84" s="115">
        <f>'[18]key-in(LO)'!AF82</f>
        <v>45</v>
      </c>
      <c r="H84" s="12">
        <f>'[18]key-in(LO)'!AG82</f>
        <v>41052</v>
      </c>
      <c r="I84" s="12">
        <f>'[18]key-in(LO)'!AH82</f>
        <v>26038</v>
      </c>
      <c r="J84" s="10">
        <f>'[18]key-in(ACO)'!$AR82</f>
        <v>34.020000000000003</v>
      </c>
      <c r="K84" s="10">
        <f>'[18]key-in(ACO)'!$AS82</f>
        <v>33.369999999999997</v>
      </c>
      <c r="L84" s="9">
        <f>'[18]key-in(ACO)'!$AV82</f>
        <v>8608</v>
      </c>
      <c r="M84" s="10">
        <f>[18]생산!BA81</f>
        <v>0</v>
      </c>
      <c r="N84" s="10">
        <f>[18]생산!BB81</f>
        <v>0</v>
      </c>
      <c r="O84" s="10">
        <f>[18]생산!BC81</f>
        <v>0</v>
      </c>
      <c r="P84" s="10">
        <f>[18]생산!BD81</f>
        <v>0</v>
      </c>
      <c r="Q84" s="10">
        <f>[18]생산!BE81</f>
        <v>0</v>
      </c>
      <c r="R84" s="10">
        <f>[18]생산!BF81</f>
        <v>0</v>
      </c>
      <c r="S84" s="9">
        <f>[18]운전시간외!C81</f>
        <v>0</v>
      </c>
      <c r="T84" s="9">
        <f>[18]운전시간외!D81</f>
        <v>0</v>
      </c>
      <c r="U84" s="9">
        <f>[18]운전시간외!E81</f>
        <v>0</v>
      </c>
      <c r="V84" s="9">
        <f>[18]운전시간외!F81</f>
        <v>0</v>
      </c>
      <c r="W84" s="11">
        <f>[18]생산!F81</f>
        <v>0</v>
      </c>
      <c r="X84" s="11">
        <f>[18]생산!G81</f>
        <v>0</v>
      </c>
      <c r="Y84" s="11">
        <f>[18]생산!H81</f>
        <v>0</v>
      </c>
      <c r="Z84" s="11">
        <f>[18]생산!I81</f>
        <v>0</v>
      </c>
      <c r="AA84" s="11">
        <f>[18]생산!J81</f>
        <v>0</v>
      </c>
      <c r="AB84" s="11">
        <f>[18]생산!K81</f>
        <v>0</v>
      </c>
      <c r="AC84" s="11">
        <f>ROUNDDOWN('[19]2026년'!G80/1000,1)</f>
        <v>0</v>
      </c>
    </row>
    <row r="85" spans="1:29">
      <c r="A85" s="6">
        <v>46102</v>
      </c>
      <c r="B85" s="12">
        <f>'[18]key-in(LO)'!AA83</f>
        <v>651.20000000000005</v>
      </c>
      <c r="C85" s="12">
        <f>'[18]key-in(LO)'!AB83</f>
        <v>250427</v>
      </c>
      <c r="D85" s="12">
        <f>'[18]key-in(LO)'!AC83</f>
        <v>241794</v>
      </c>
      <c r="E85" s="12">
        <f>'[18]key-in(LO)'!AD83</f>
        <v>17339.47</v>
      </c>
      <c r="F85" s="12">
        <f>'[18]key-in(LO)'!AE83</f>
        <v>15539.68</v>
      </c>
      <c r="G85" s="115">
        <f>'[18]key-in(LO)'!AF83</f>
        <v>46.1</v>
      </c>
      <c r="H85" s="12">
        <f>'[18]key-in(LO)'!AG83</f>
        <v>41052</v>
      </c>
      <c r="I85" s="12">
        <f>'[18]key-in(LO)'!AH83</f>
        <v>26058</v>
      </c>
      <c r="J85" s="10">
        <f>'[18]key-in(ACO)'!$AR83</f>
        <v>34</v>
      </c>
      <c r="K85" s="10">
        <f>'[18]key-in(ACO)'!$AS83</f>
        <v>33.43</v>
      </c>
      <c r="L85" s="9">
        <f>'[18]key-in(ACO)'!$AV83</f>
        <v>8037</v>
      </c>
      <c r="M85" s="10">
        <f>[18]생산!BA82</f>
        <v>0</v>
      </c>
      <c r="N85" s="10">
        <f>[18]생산!BB82</f>
        <v>0</v>
      </c>
      <c r="O85" s="10">
        <f>[18]생산!BC82</f>
        <v>0</v>
      </c>
      <c r="P85" s="10">
        <f>[18]생산!BD82</f>
        <v>0</v>
      </c>
      <c r="Q85" s="10">
        <f>[18]생산!BE82</f>
        <v>0</v>
      </c>
      <c r="R85" s="10">
        <f>[18]생산!BF82</f>
        <v>0</v>
      </c>
      <c r="S85" s="9">
        <f>[18]운전시간외!C82</f>
        <v>0</v>
      </c>
      <c r="T85" s="9">
        <f>[18]운전시간외!D82</f>
        <v>0</v>
      </c>
      <c r="U85" s="9">
        <f>[18]운전시간외!E82</f>
        <v>0</v>
      </c>
      <c r="V85" s="9">
        <f>[18]운전시간외!F82</f>
        <v>0</v>
      </c>
      <c r="W85" s="11">
        <f>[18]생산!F82</f>
        <v>0</v>
      </c>
      <c r="X85" s="11">
        <f>[18]생산!G82</f>
        <v>0</v>
      </c>
      <c r="Y85" s="11">
        <f>[18]생산!H82</f>
        <v>0</v>
      </c>
      <c r="Z85" s="11">
        <f>[18]생산!I82</f>
        <v>0</v>
      </c>
      <c r="AA85" s="11">
        <f>[18]생산!J82</f>
        <v>0</v>
      </c>
      <c r="AB85" s="11">
        <f>[18]생산!K82</f>
        <v>0</v>
      </c>
      <c r="AC85" s="11">
        <f>ROUNDDOWN('[19]2026년'!G81/1000,1)</f>
        <v>0</v>
      </c>
    </row>
    <row r="86" spans="1:29">
      <c r="A86" s="6">
        <v>46103</v>
      </c>
      <c r="B86" s="12">
        <f>'[18]key-in(LO)'!AA84</f>
        <v>651.20000000000005</v>
      </c>
      <c r="C86" s="12">
        <f>'[18]key-in(LO)'!AB84</f>
        <v>250427</v>
      </c>
      <c r="D86" s="12">
        <f>'[18]key-in(LO)'!AC84</f>
        <v>241794</v>
      </c>
      <c r="E86" s="12">
        <f>'[18]key-in(LO)'!AD84</f>
        <v>17340.86</v>
      </c>
      <c r="F86" s="12">
        <f>'[18]key-in(LO)'!AE84</f>
        <v>15542.13</v>
      </c>
      <c r="G86" s="115">
        <f>'[18]key-in(LO)'!AF84</f>
        <v>46.8</v>
      </c>
      <c r="H86" s="12">
        <f>'[18]key-in(LO)'!AG84</f>
        <v>41136</v>
      </c>
      <c r="I86" s="12">
        <f>'[18]key-in(LO)'!AH84</f>
        <v>26077</v>
      </c>
      <c r="J86" s="10">
        <f>'[18]key-in(ACO)'!$AR84</f>
        <v>34.01</v>
      </c>
      <c r="K86" s="10">
        <f>'[18]key-in(ACO)'!$AS84</f>
        <v>33.479999999999997</v>
      </c>
      <c r="L86" s="9">
        <f>'[18]key-in(ACO)'!$AV84</f>
        <v>7743</v>
      </c>
      <c r="M86" s="10">
        <f>[18]생산!BA83</f>
        <v>0</v>
      </c>
      <c r="N86" s="10">
        <f>[18]생산!BB83</f>
        <v>0</v>
      </c>
      <c r="O86" s="10">
        <f>[18]생산!BC83</f>
        <v>0</v>
      </c>
      <c r="P86" s="10">
        <f>[18]생산!BD83</f>
        <v>0</v>
      </c>
      <c r="Q86" s="10">
        <f>[18]생산!BE83</f>
        <v>0</v>
      </c>
      <c r="R86" s="10">
        <f>[18]생산!BF83</f>
        <v>0</v>
      </c>
      <c r="S86" s="9">
        <f>[18]운전시간외!C83</f>
        <v>0</v>
      </c>
      <c r="T86" s="9">
        <f>[18]운전시간외!D83</f>
        <v>0</v>
      </c>
      <c r="U86" s="9">
        <f>[18]운전시간외!E83</f>
        <v>0</v>
      </c>
      <c r="V86" s="9">
        <f>[18]운전시간외!F83</f>
        <v>0</v>
      </c>
      <c r="W86" s="11">
        <f>[18]생산!F83</f>
        <v>0</v>
      </c>
      <c r="X86" s="11">
        <f>[18]생산!G83</f>
        <v>0</v>
      </c>
      <c r="Y86" s="11">
        <f>[18]생산!H83</f>
        <v>0</v>
      </c>
      <c r="Z86" s="11">
        <f>[18]생산!I83</f>
        <v>0</v>
      </c>
      <c r="AA86" s="11">
        <f>[18]생산!J83</f>
        <v>0</v>
      </c>
      <c r="AB86" s="11">
        <f>[18]생산!K83</f>
        <v>0</v>
      </c>
      <c r="AC86" s="11">
        <f>ROUNDDOWN('[19]2026년'!G82/1000,1)</f>
        <v>0</v>
      </c>
    </row>
    <row r="87" spans="1:29">
      <c r="A87" s="6">
        <v>46104</v>
      </c>
      <c r="B87" s="12">
        <f>'[18]key-in(LO)'!AA85</f>
        <v>651.20000000000005</v>
      </c>
      <c r="C87" s="12">
        <f>'[18]key-in(LO)'!AB85</f>
        <v>250451</v>
      </c>
      <c r="D87" s="12">
        <f>'[18]key-in(LO)'!AC85</f>
        <v>241829</v>
      </c>
      <c r="E87" s="12">
        <f>'[18]key-in(LO)'!AD85</f>
        <v>17344.91</v>
      </c>
      <c r="F87" s="12">
        <f>'[18]key-in(LO)'!AE85</f>
        <v>15543.87</v>
      </c>
      <c r="G87" s="115">
        <f>'[18]key-in(LO)'!AF85</f>
        <v>47.6</v>
      </c>
      <c r="H87" s="12">
        <f>'[18]key-in(LO)'!AG85</f>
        <v>41208</v>
      </c>
      <c r="I87" s="12">
        <f>'[18]key-in(LO)'!AH85</f>
        <v>26229</v>
      </c>
      <c r="J87" s="10">
        <f>'[18]key-in(ACO)'!$AR85</f>
        <v>34.033999999999999</v>
      </c>
      <c r="K87" s="10">
        <f>'[18]key-in(ACO)'!$AS85</f>
        <v>33.465000000000003</v>
      </c>
      <c r="L87" s="9">
        <f>'[18]key-in(ACO)'!$AV85</f>
        <v>8639.4879999999994</v>
      </c>
      <c r="M87" s="10">
        <f>[18]생산!BA84</f>
        <v>0</v>
      </c>
      <c r="N87" s="10">
        <f>[18]생산!BB84</f>
        <v>0</v>
      </c>
      <c r="O87" s="10">
        <f>[18]생산!BC84</f>
        <v>0</v>
      </c>
      <c r="P87" s="10">
        <f>[18]생산!BD84</f>
        <v>0</v>
      </c>
      <c r="Q87" s="10">
        <f>[18]생산!BE84</f>
        <v>0</v>
      </c>
      <c r="R87" s="10">
        <f>[18]생산!BF84</f>
        <v>0</v>
      </c>
      <c r="S87" s="9">
        <f>[18]운전시간외!C84</f>
        <v>0</v>
      </c>
      <c r="T87" s="9">
        <f>[18]운전시간외!D84</f>
        <v>0</v>
      </c>
      <c r="U87" s="9">
        <f>[18]운전시간외!E84</f>
        <v>0</v>
      </c>
      <c r="V87" s="9">
        <f>[18]운전시간외!F84</f>
        <v>0</v>
      </c>
      <c r="W87" s="11">
        <f>[18]생산!F84</f>
        <v>0</v>
      </c>
      <c r="X87" s="11">
        <f>[18]생산!G84</f>
        <v>0</v>
      </c>
      <c r="Y87" s="11">
        <f>[18]생산!H84</f>
        <v>0</v>
      </c>
      <c r="Z87" s="11">
        <f>[18]생산!I84</f>
        <v>0</v>
      </c>
      <c r="AA87" s="11">
        <f>[18]생산!J84</f>
        <v>0</v>
      </c>
      <c r="AB87" s="11">
        <f>[18]생산!K84</f>
        <v>0</v>
      </c>
      <c r="AC87" s="11">
        <f>ROUNDDOWN('[19]2026년'!G83/1000,1)</f>
        <v>0</v>
      </c>
    </row>
    <row r="88" spans="1:29">
      <c r="A88" s="6">
        <v>46105</v>
      </c>
      <c r="B88" s="12">
        <f>'[18]key-in(LO)'!AA86</f>
        <v>651.20000000000005</v>
      </c>
      <c r="C88" s="12">
        <f>'[18]key-in(LO)'!AB86</f>
        <v>250498</v>
      </c>
      <c r="D88" s="12">
        <f>'[18]key-in(LO)'!AC86</f>
        <v>241829</v>
      </c>
      <c r="E88" s="12">
        <f>'[18]key-in(LO)'!AD86</f>
        <v>17349.29</v>
      </c>
      <c r="F88" s="12">
        <f>'[18]key-in(LO)'!AE86</f>
        <v>15544.85</v>
      </c>
      <c r="G88" s="115">
        <f>'[18]key-in(LO)'!AF86</f>
        <v>48.3</v>
      </c>
      <c r="H88" s="12">
        <f>'[18]key-in(LO)'!AG86</f>
        <v>41272</v>
      </c>
      <c r="I88" s="12">
        <f>'[18]key-in(LO)'!AH86</f>
        <v>26317</v>
      </c>
      <c r="J88" s="10">
        <f>'[18]key-in(ACO)'!$AR86</f>
        <v>34.026000000000003</v>
      </c>
      <c r="K88" s="10">
        <f>'[18]key-in(ACO)'!$AS86</f>
        <v>33.408000000000001</v>
      </c>
      <c r="L88" s="9">
        <f>'[18]key-in(ACO)'!$AV86</f>
        <v>8693.9429999999993</v>
      </c>
      <c r="M88" s="10">
        <f>[18]생산!BA85</f>
        <v>0</v>
      </c>
      <c r="N88" s="10">
        <f>[18]생산!BB85</f>
        <v>0</v>
      </c>
      <c r="O88" s="10">
        <f>[18]생산!BC85</f>
        <v>0</v>
      </c>
      <c r="P88" s="10">
        <f>[18]생산!BD85</f>
        <v>0</v>
      </c>
      <c r="Q88" s="10">
        <f>[18]생산!BE85</f>
        <v>0</v>
      </c>
      <c r="R88" s="10">
        <f>[18]생산!BF85</f>
        <v>0</v>
      </c>
      <c r="S88" s="9">
        <f>[18]운전시간외!C85</f>
        <v>0</v>
      </c>
      <c r="T88" s="9">
        <f>[18]운전시간외!D85</f>
        <v>0</v>
      </c>
      <c r="U88" s="9">
        <f>[18]운전시간외!E85</f>
        <v>0</v>
      </c>
      <c r="V88" s="9">
        <f>[18]운전시간외!F85</f>
        <v>0</v>
      </c>
      <c r="W88" s="11">
        <f>[18]생산!F85</f>
        <v>0</v>
      </c>
      <c r="X88" s="11">
        <f>[18]생산!G85</f>
        <v>0</v>
      </c>
      <c r="Y88" s="11">
        <f>[18]생산!H85</f>
        <v>0</v>
      </c>
      <c r="Z88" s="11">
        <f>[18]생산!I85</f>
        <v>0</v>
      </c>
      <c r="AA88" s="11">
        <f>[18]생산!J85</f>
        <v>0</v>
      </c>
      <c r="AB88" s="11">
        <f>[18]생산!K85</f>
        <v>0</v>
      </c>
      <c r="AC88" s="11">
        <f>ROUNDDOWN('[19]2026년'!G84/1000,1)</f>
        <v>0</v>
      </c>
    </row>
    <row r="89" spans="1:29">
      <c r="A89" s="6">
        <v>46106</v>
      </c>
      <c r="B89" s="12">
        <f>'[18]key-in(LO)'!AA87</f>
        <v>651.20000000000005</v>
      </c>
      <c r="C89" s="12">
        <f>'[18]key-in(LO)'!AB87</f>
        <v>250498</v>
      </c>
      <c r="D89" s="12">
        <f>'[18]key-in(LO)'!AC87</f>
        <v>241829</v>
      </c>
      <c r="E89" s="12">
        <f>'[18]key-in(LO)'!AD87</f>
        <v>17353.86</v>
      </c>
      <c r="F89" s="12">
        <f>'[18]key-in(LO)'!AE87</f>
        <v>15546.2</v>
      </c>
      <c r="G89" s="115">
        <f>'[18]key-in(LO)'!AF87</f>
        <v>49.4</v>
      </c>
      <c r="H89" s="12">
        <f>'[18]key-in(LO)'!AG87</f>
        <v>41357</v>
      </c>
      <c r="I89" s="12">
        <f>'[18]key-in(LO)'!AH87</f>
        <v>26380</v>
      </c>
      <c r="J89" s="10">
        <f>'[18]key-in(ACO)'!$AR87</f>
        <v>34</v>
      </c>
      <c r="K89" s="10">
        <f>'[18]key-in(ACO)'!$AS87</f>
        <v>33.33</v>
      </c>
      <c r="L89" s="9">
        <f>'[18]key-in(ACO)'!$AV87</f>
        <v>7755</v>
      </c>
      <c r="M89" s="10">
        <f>[18]생산!BA86</f>
        <v>216.22000000625849</v>
      </c>
      <c r="N89" s="10">
        <f>[18]생산!BB86</f>
        <v>0</v>
      </c>
      <c r="O89" s="10">
        <f>[18]생산!BC86</f>
        <v>0</v>
      </c>
      <c r="P89" s="10">
        <f>[18]생산!BD86</f>
        <v>0</v>
      </c>
      <c r="Q89" s="10">
        <f>[18]생산!BE86</f>
        <v>0</v>
      </c>
      <c r="R89" s="10">
        <f>[18]생산!BF86</f>
        <v>0</v>
      </c>
      <c r="S89" s="9">
        <f>[18]운전시간외!C86</f>
        <v>0</v>
      </c>
      <c r="T89" s="9">
        <f>[18]운전시간외!D86</f>
        <v>0</v>
      </c>
      <c r="U89" s="9">
        <f>[18]운전시간외!E86</f>
        <v>0</v>
      </c>
      <c r="V89" s="9">
        <f>[18]운전시간외!F86</f>
        <v>0</v>
      </c>
      <c r="W89" s="11">
        <f>[18]생산!F86</f>
        <v>0</v>
      </c>
      <c r="X89" s="11">
        <f>[18]생산!G86</f>
        <v>0</v>
      </c>
      <c r="Y89" s="11">
        <f>[18]생산!H86</f>
        <v>0</v>
      </c>
      <c r="Z89" s="11">
        <f>[18]생산!I86</f>
        <v>0</v>
      </c>
      <c r="AA89" s="11">
        <f>[18]생산!J86</f>
        <v>0</v>
      </c>
      <c r="AB89" s="11">
        <f>[18]생산!K86</f>
        <v>0</v>
      </c>
      <c r="AC89" s="11">
        <f>ROUNDDOWN('[19]2026년'!G85/1000,1)</f>
        <v>0</v>
      </c>
    </row>
    <row r="90" spans="1:29">
      <c r="A90" s="6">
        <v>46107</v>
      </c>
      <c r="B90" s="12">
        <f>'[18]key-in(LO)'!AA88</f>
        <v>651.20000000000005</v>
      </c>
      <c r="C90" s="12">
        <f>'[18]key-in(LO)'!AB88</f>
        <v>250498</v>
      </c>
      <c r="D90" s="12">
        <f>'[18]key-in(LO)'!AC88</f>
        <v>241869</v>
      </c>
      <c r="E90" s="12">
        <f>'[18]key-in(LO)'!AD88</f>
        <v>17358.05</v>
      </c>
      <c r="F90" s="12">
        <f>'[18]key-in(LO)'!AE88</f>
        <v>15546.95</v>
      </c>
      <c r="G90" s="115">
        <f>'[18]key-in(LO)'!AF88</f>
        <v>50.5</v>
      </c>
      <c r="H90" s="12">
        <f>'[18]key-in(LO)'!AG88</f>
        <v>41507</v>
      </c>
      <c r="I90" s="12">
        <f>'[18]key-in(LO)'!AH88</f>
        <v>26448</v>
      </c>
      <c r="J90" s="10">
        <f>'[18]key-in(ACO)'!$AR88</f>
        <v>33.97</v>
      </c>
      <c r="K90" s="10">
        <f>'[18]key-in(ACO)'!$AS88</f>
        <v>33.43</v>
      </c>
      <c r="L90" s="9">
        <f>'[18]key-in(ACO)'!$AV88</f>
        <v>7903</v>
      </c>
      <c r="M90" s="10">
        <f>[18]생산!BA87</f>
        <v>0</v>
      </c>
      <c r="N90" s="10">
        <f>[18]생산!BB87</f>
        <v>0</v>
      </c>
      <c r="O90" s="10">
        <f>[18]생산!BC87</f>
        <v>0</v>
      </c>
      <c r="P90" s="10">
        <f>[18]생산!BD87</f>
        <v>0</v>
      </c>
      <c r="Q90" s="10">
        <f>[18]생산!BE87</f>
        <v>0</v>
      </c>
      <c r="R90" s="10">
        <f>[18]생산!BF87</f>
        <v>0</v>
      </c>
      <c r="S90" s="9">
        <f>[18]운전시간외!C87</f>
        <v>0</v>
      </c>
      <c r="T90" s="9">
        <f>[18]운전시간외!D87</f>
        <v>0</v>
      </c>
      <c r="U90" s="9">
        <f>[18]운전시간외!E87</f>
        <v>0</v>
      </c>
      <c r="V90" s="9">
        <f>[18]운전시간외!F87</f>
        <v>0</v>
      </c>
      <c r="W90" s="11">
        <f>[18]생산!F87</f>
        <v>0</v>
      </c>
      <c r="X90" s="11">
        <f>[18]생산!G87</f>
        <v>0</v>
      </c>
      <c r="Y90" s="11">
        <f>[18]생산!H87</f>
        <v>0</v>
      </c>
      <c r="Z90" s="11">
        <f>[18]생산!I87</f>
        <v>0</v>
      </c>
      <c r="AA90" s="11">
        <f>[18]생산!J87</f>
        <v>0</v>
      </c>
      <c r="AB90" s="11">
        <f>[18]생산!K87</f>
        <v>0</v>
      </c>
      <c r="AC90" s="11">
        <f>ROUNDDOWN('[19]2026년'!G86/1000,1)</f>
        <v>0</v>
      </c>
    </row>
    <row r="91" spans="1:29">
      <c r="A91" s="6">
        <v>46108</v>
      </c>
      <c r="B91" s="12">
        <f>'[18]key-in(LO)'!AA89</f>
        <v>651.20000000000005</v>
      </c>
      <c r="C91" s="12">
        <f>'[18]key-in(LO)'!AB89</f>
        <v>250542</v>
      </c>
      <c r="D91" s="12">
        <f>'[18]key-in(LO)'!AC89</f>
        <v>241892</v>
      </c>
      <c r="E91" s="12">
        <f>'[18]key-in(LO)'!AD89</f>
        <v>17361.32</v>
      </c>
      <c r="F91" s="12">
        <f>'[18]key-in(LO)'!AE89</f>
        <v>15547.68</v>
      </c>
      <c r="G91" s="115">
        <f>'[18]key-in(LO)'!AF89</f>
        <v>51.4</v>
      </c>
      <c r="H91" s="12">
        <f>'[18]key-in(LO)'!AG89</f>
        <v>41633</v>
      </c>
      <c r="I91" s="12">
        <f>'[18]key-in(LO)'!AH89</f>
        <v>26599</v>
      </c>
      <c r="J91" s="10">
        <f>'[18]key-in(ACO)'!$AR89</f>
        <v>34.020000000000003</v>
      </c>
      <c r="K91" s="10">
        <f>'[18]key-in(ACO)'!$AS89</f>
        <v>33.340000000000003</v>
      </c>
      <c r="L91" s="9">
        <f>'[18]key-in(ACO)'!$AV89</f>
        <v>8658</v>
      </c>
      <c r="M91" s="10">
        <f>[18]생산!BA88</f>
        <v>0</v>
      </c>
      <c r="N91" s="10">
        <f>[18]생산!BB88</f>
        <v>0</v>
      </c>
      <c r="O91" s="10">
        <f>[18]생산!BC88</f>
        <v>0</v>
      </c>
      <c r="P91" s="10">
        <f>[18]생산!BD88</f>
        <v>0</v>
      </c>
      <c r="Q91" s="10">
        <f>[18]생산!BE88</f>
        <v>0</v>
      </c>
      <c r="R91" s="10">
        <f>[18]생산!BF88</f>
        <v>0</v>
      </c>
      <c r="S91" s="9">
        <f>[18]운전시간외!C88</f>
        <v>0</v>
      </c>
      <c r="T91" s="9">
        <f>[18]운전시간외!D88</f>
        <v>0</v>
      </c>
      <c r="U91" s="9">
        <f>[18]운전시간외!E88</f>
        <v>0</v>
      </c>
      <c r="V91" s="9">
        <f>[18]운전시간외!F88</f>
        <v>0</v>
      </c>
      <c r="W91" s="11">
        <f>[18]생산!F88</f>
        <v>0</v>
      </c>
      <c r="X91" s="11">
        <f>[18]생산!G88</f>
        <v>0</v>
      </c>
      <c r="Y91" s="11">
        <f>[18]생산!H88</f>
        <v>0</v>
      </c>
      <c r="Z91" s="11">
        <f>[18]생산!I88</f>
        <v>0</v>
      </c>
      <c r="AA91" s="11">
        <f>[18]생산!J88</f>
        <v>0</v>
      </c>
      <c r="AB91" s="11">
        <f>[18]생산!K88</f>
        <v>0</v>
      </c>
      <c r="AC91" s="11">
        <f>ROUNDDOWN('[19]2026년'!G87/1000,1)</f>
        <v>0</v>
      </c>
    </row>
    <row r="92" spans="1:29">
      <c r="A92" s="6">
        <v>46109</v>
      </c>
      <c r="B92" s="12">
        <f>'[18]key-in(LO)'!AA90</f>
        <v>651.20000000000005</v>
      </c>
      <c r="C92" s="12">
        <f>'[18]key-in(LO)'!AB90</f>
        <v>250542</v>
      </c>
      <c r="D92" s="12">
        <f>'[18]key-in(LO)'!AC90</f>
        <v>241892</v>
      </c>
      <c r="E92" s="12">
        <f>'[18]key-in(LO)'!AD90</f>
        <v>17363.63</v>
      </c>
      <c r="F92" s="12">
        <f>'[18]key-in(LO)'!AE90</f>
        <v>15548.93</v>
      </c>
      <c r="G92" s="115">
        <f>'[18]key-in(LO)'!AF90</f>
        <v>52.3</v>
      </c>
      <c r="H92" s="12">
        <f>'[18]key-in(LO)'!AG90</f>
        <v>41758</v>
      </c>
      <c r="I92" s="12">
        <f>'[18]key-in(LO)'!AH90</f>
        <v>26620</v>
      </c>
      <c r="J92" s="10">
        <f>'[18]key-in(ACO)'!$AR90</f>
        <v>34.04</v>
      </c>
      <c r="K92" s="10">
        <f>'[18]key-in(ACO)'!$AS90</f>
        <v>33.31</v>
      </c>
      <c r="L92" s="9">
        <f>'[18]key-in(ACO)'!$AV90</f>
        <v>8361</v>
      </c>
      <c r="M92" s="10">
        <f>[18]생산!BA89</f>
        <v>0</v>
      </c>
      <c r="N92" s="10">
        <f>[18]생산!BB89</f>
        <v>0</v>
      </c>
      <c r="O92" s="10">
        <f>[18]생산!BC89</f>
        <v>0</v>
      </c>
      <c r="P92" s="10">
        <f>[18]생산!BD89</f>
        <v>0</v>
      </c>
      <c r="Q92" s="10">
        <f>[18]생산!BE89</f>
        <v>0</v>
      </c>
      <c r="R92" s="10">
        <f>[18]생산!BF89</f>
        <v>0</v>
      </c>
      <c r="S92" s="9">
        <f>[18]운전시간외!C89</f>
        <v>0</v>
      </c>
      <c r="T92" s="9">
        <f>[18]운전시간외!D89</f>
        <v>0</v>
      </c>
      <c r="U92" s="9">
        <f>[18]운전시간외!E89</f>
        <v>0</v>
      </c>
      <c r="V92" s="9">
        <f>[18]운전시간외!F89</f>
        <v>0</v>
      </c>
      <c r="W92" s="11">
        <f>[18]생산!F89</f>
        <v>0</v>
      </c>
      <c r="X92" s="11">
        <f>[18]생산!G89</f>
        <v>0</v>
      </c>
      <c r="Y92" s="11">
        <f>[18]생산!H89</f>
        <v>0</v>
      </c>
      <c r="Z92" s="11">
        <f>[18]생산!I89</f>
        <v>0</v>
      </c>
      <c r="AA92" s="11">
        <f>[18]생산!J89</f>
        <v>0</v>
      </c>
      <c r="AB92" s="11">
        <f>[18]생산!K89</f>
        <v>0</v>
      </c>
      <c r="AC92" s="11">
        <f>ROUNDDOWN('[19]2026년'!G88/1000,1)</f>
        <v>0</v>
      </c>
    </row>
    <row r="93" spans="1:29">
      <c r="A93" s="6">
        <v>46110</v>
      </c>
      <c r="B93" s="12">
        <f>'[18]key-in(LO)'!AA91</f>
        <v>651.20000000000005</v>
      </c>
      <c r="C93" s="12">
        <f>'[18]key-in(LO)'!AB91</f>
        <v>250542</v>
      </c>
      <c r="D93" s="12">
        <f>'[18]key-in(LO)'!AC91</f>
        <v>241892</v>
      </c>
      <c r="E93" s="12">
        <f>'[18]key-in(LO)'!AD91</f>
        <v>17365.37</v>
      </c>
      <c r="F93" s="12">
        <f>'[18]key-in(LO)'!AE91</f>
        <v>15550.31</v>
      </c>
      <c r="G93" s="115">
        <f>'[18]key-in(LO)'!AF91</f>
        <v>52.8</v>
      </c>
      <c r="H93" s="12">
        <f>'[18]key-in(LO)'!AG91</f>
        <v>41786</v>
      </c>
      <c r="I93" s="12">
        <f>'[18]key-in(LO)'!AH91</f>
        <v>26640</v>
      </c>
      <c r="J93" s="10">
        <f>'[18]key-in(ACO)'!$AR91</f>
        <v>34.06</v>
      </c>
      <c r="K93" s="10">
        <f>'[18]key-in(ACO)'!$AS91</f>
        <v>33.299999999999997</v>
      </c>
      <c r="L93" s="9">
        <f>'[18]key-in(ACO)'!$AV91</f>
        <v>7833</v>
      </c>
      <c r="M93" s="10">
        <f>[18]생산!BA90</f>
        <v>0</v>
      </c>
      <c r="N93" s="10">
        <f>[18]생산!BB90</f>
        <v>0</v>
      </c>
      <c r="O93" s="10">
        <f>[18]생산!BC90</f>
        <v>0</v>
      </c>
      <c r="P93" s="10">
        <f>[18]생산!BD90</f>
        <v>0</v>
      </c>
      <c r="Q93" s="10">
        <f>[18]생산!BE90</f>
        <v>0</v>
      </c>
      <c r="R93" s="10">
        <f>[18]생산!BF90</f>
        <v>0</v>
      </c>
      <c r="S93" s="9">
        <f>[18]운전시간외!C90</f>
        <v>0</v>
      </c>
      <c r="T93" s="9">
        <f>[18]운전시간외!D90</f>
        <v>0</v>
      </c>
      <c r="U93" s="9">
        <f>[18]운전시간외!E90</f>
        <v>0</v>
      </c>
      <c r="V93" s="9">
        <f>[18]운전시간외!F90</f>
        <v>0</v>
      </c>
      <c r="W93" s="11">
        <f>[18]생산!F90</f>
        <v>0</v>
      </c>
      <c r="X93" s="11">
        <f>[18]생산!G90</f>
        <v>0</v>
      </c>
      <c r="Y93" s="11">
        <f>[18]생산!H90</f>
        <v>0</v>
      </c>
      <c r="Z93" s="11">
        <f>[18]생산!I90</f>
        <v>0</v>
      </c>
      <c r="AA93" s="11">
        <f>[18]생산!J90</f>
        <v>0</v>
      </c>
      <c r="AB93" s="11">
        <f>[18]생산!K90</f>
        <v>0</v>
      </c>
      <c r="AC93" s="11">
        <f>ROUNDDOWN('[19]2026년'!G89/1000,1)</f>
        <v>0</v>
      </c>
    </row>
    <row r="94" spans="1:29">
      <c r="A94" s="6">
        <v>46111</v>
      </c>
      <c r="B94" s="12">
        <f>'[18]key-in(LO)'!AA92</f>
        <v>651.20000000000005</v>
      </c>
      <c r="C94" s="12">
        <f>'[18]key-in(LO)'!AB92</f>
        <v>250565</v>
      </c>
      <c r="D94" s="12">
        <f>'[18]key-in(LO)'!AC92</f>
        <v>241892</v>
      </c>
      <c r="E94" s="12">
        <f>'[18]key-in(LO)'!AD92</f>
        <v>17367.54</v>
      </c>
      <c r="F94" s="12">
        <f>'[18]key-in(LO)'!AE92</f>
        <v>15551.04</v>
      </c>
      <c r="G94" s="115">
        <f>'[18]key-in(LO)'!AF92</f>
        <v>53.2</v>
      </c>
      <c r="H94" s="12">
        <f>'[18]key-in(LO)'!AG92</f>
        <v>41800</v>
      </c>
      <c r="I94" s="12">
        <f>'[18]key-in(LO)'!AH92</f>
        <v>26701</v>
      </c>
      <c r="J94" s="10">
        <f>'[18]key-in(ACO)'!$AR92</f>
        <v>33.99</v>
      </c>
      <c r="K94" s="10">
        <f>'[18]key-in(ACO)'!$AS92</f>
        <v>33.35</v>
      </c>
      <c r="L94" s="9">
        <f>'[18]key-in(ACO)'!$AV92</f>
        <v>8456</v>
      </c>
      <c r="M94" s="10">
        <f>[18]생산!BA91</f>
        <v>0</v>
      </c>
      <c r="N94" s="10">
        <f>[18]생산!BB91</f>
        <v>0</v>
      </c>
      <c r="O94" s="10">
        <f>[18]생산!BC91</f>
        <v>0</v>
      </c>
      <c r="P94" s="10">
        <f>[18]생산!BD91</f>
        <v>0</v>
      </c>
      <c r="Q94" s="10">
        <f>[18]생산!BE91</f>
        <v>0</v>
      </c>
      <c r="R94" s="10">
        <f>[18]생산!BF91</f>
        <v>0</v>
      </c>
      <c r="S94" s="9">
        <f>[18]운전시간외!C91</f>
        <v>0</v>
      </c>
      <c r="T94" s="9">
        <f>[18]운전시간외!D91</f>
        <v>0</v>
      </c>
      <c r="U94" s="9">
        <f>[18]운전시간외!E91</f>
        <v>0</v>
      </c>
      <c r="V94" s="9">
        <f>[18]운전시간외!F91</f>
        <v>0</v>
      </c>
      <c r="W94" s="11">
        <f>[18]생산!F91</f>
        <v>0</v>
      </c>
      <c r="X94" s="11">
        <f>[18]생산!G91</f>
        <v>0</v>
      </c>
      <c r="Y94" s="11">
        <f>[18]생산!H91</f>
        <v>0</v>
      </c>
      <c r="Z94" s="11">
        <f>[18]생산!I91</f>
        <v>0</v>
      </c>
      <c r="AA94" s="11">
        <f>[18]생산!J91</f>
        <v>0</v>
      </c>
      <c r="AB94" s="11">
        <f>[18]생산!K91</f>
        <v>0</v>
      </c>
      <c r="AC94" s="11">
        <f>ROUNDDOWN('[19]2026년'!G90/1000,1)</f>
        <v>0</v>
      </c>
    </row>
    <row r="95" spans="1:29">
      <c r="A95" s="6">
        <v>46112</v>
      </c>
      <c r="B95" s="12">
        <f>'[18]key-in(LO)'!AA93</f>
        <v>651.20000000000005</v>
      </c>
      <c r="C95" s="12">
        <f>'[18]key-in(LO)'!AB93</f>
        <v>250573</v>
      </c>
      <c r="D95" s="12">
        <f>'[18]key-in(LO)'!AC93</f>
        <v>241892</v>
      </c>
      <c r="E95" s="12">
        <f>'[18]key-in(LO)'!AD93</f>
        <v>17369.16</v>
      </c>
      <c r="F95" s="12">
        <f>'[18]key-in(LO)'!AE93</f>
        <v>15551.3</v>
      </c>
      <c r="G95" s="115">
        <f>'[18]key-in(LO)'!AF93</f>
        <v>53.7</v>
      </c>
      <c r="H95" s="12">
        <f>'[18]key-in(LO)'!AG93</f>
        <v>41814</v>
      </c>
      <c r="I95" s="12">
        <f>'[18]key-in(LO)'!AH93</f>
        <v>26722</v>
      </c>
      <c r="J95" s="10">
        <f>'[18]key-in(ACO)'!$AR93</f>
        <v>34.04</v>
      </c>
      <c r="K95" s="10">
        <f>'[18]key-in(ACO)'!$AS93</f>
        <v>33.369999999999997</v>
      </c>
      <c r="L95" s="9">
        <f>'[18]key-in(ACO)'!$AV93</f>
        <v>8314</v>
      </c>
      <c r="M95" s="10">
        <f>[18]생산!BA92</f>
        <v>0</v>
      </c>
      <c r="N95" s="10">
        <f>[18]생산!BB92</f>
        <v>0</v>
      </c>
      <c r="O95" s="10">
        <f>[18]생산!BC92</f>
        <v>0</v>
      </c>
      <c r="P95" s="10">
        <f>[18]생산!BD92</f>
        <v>0</v>
      </c>
      <c r="Q95" s="10">
        <f>[18]생산!BE92</f>
        <v>0</v>
      </c>
      <c r="R95" s="10">
        <f>[18]생산!BF92</f>
        <v>0</v>
      </c>
      <c r="S95" s="9">
        <f>[18]운전시간외!C92</f>
        <v>0</v>
      </c>
      <c r="T95" s="9">
        <f>[18]운전시간외!D92</f>
        <v>0</v>
      </c>
      <c r="U95" s="9">
        <f>[18]운전시간외!E92</f>
        <v>0</v>
      </c>
      <c r="V95" s="9">
        <f>[18]운전시간외!F92</f>
        <v>0</v>
      </c>
      <c r="W95" s="11">
        <f>[18]생산!F92</f>
        <v>0</v>
      </c>
      <c r="X95" s="11">
        <f>[18]생산!G92</f>
        <v>0</v>
      </c>
      <c r="Y95" s="11">
        <f>[18]생산!H92</f>
        <v>0</v>
      </c>
      <c r="Z95" s="11">
        <f>[18]생산!I92</f>
        <v>0</v>
      </c>
      <c r="AA95" s="11">
        <f>[18]생산!J92</f>
        <v>0</v>
      </c>
      <c r="AB95" s="11">
        <f>[18]생산!K92</f>
        <v>0</v>
      </c>
      <c r="AC95" s="11">
        <f>ROUNDDOWN('[19]2026년'!G91/1000,1)</f>
        <v>0</v>
      </c>
    </row>
    <row r="96" spans="1:29">
      <c r="A96" s="6">
        <v>46113</v>
      </c>
      <c r="B96" s="12">
        <f>'[18]key-in(LO)'!AA94</f>
        <v>651.20000000000005</v>
      </c>
      <c r="C96" s="12">
        <f>'[18]key-in(LO)'!AB94</f>
        <v>250573</v>
      </c>
      <c r="D96" s="12">
        <f>'[18]key-in(LO)'!AC94</f>
        <v>241927</v>
      </c>
      <c r="E96" s="12">
        <f>'[18]key-in(LO)'!AD94</f>
        <v>17372.919999999998</v>
      </c>
      <c r="F96" s="12">
        <f>'[18]key-in(LO)'!AE94</f>
        <v>15551.53</v>
      </c>
      <c r="G96" s="115">
        <f>'[18]key-in(LO)'!AF94</f>
        <v>54.6</v>
      </c>
      <c r="H96" s="12">
        <f>'[18]key-in(LO)'!AG94</f>
        <v>41925</v>
      </c>
      <c r="I96" s="12">
        <f>'[18]key-in(LO)'!AH94</f>
        <v>26835</v>
      </c>
      <c r="J96" s="10">
        <f>'[18]key-in(ACO)'!$AR94</f>
        <v>34.024000000000001</v>
      </c>
      <c r="K96" s="10">
        <f>'[18]key-in(ACO)'!$AS94</f>
        <v>33.283999999999999</v>
      </c>
      <c r="L96" s="9">
        <f>'[18]key-in(ACO)'!$AV94</f>
        <v>8299.0480000000007</v>
      </c>
      <c r="M96" s="10">
        <f>[18]생산!BA93</f>
        <v>0</v>
      </c>
      <c r="N96" s="10">
        <f>[18]생산!BB93</f>
        <v>0</v>
      </c>
      <c r="O96" s="10">
        <f>[18]생산!BC93</f>
        <v>0</v>
      </c>
      <c r="P96" s="10">
        <f>[18]생산!BD93</f>
        <v>0</v>
      </c>
      <c r="Q96" s="10">
        <f>[18]생산!BE93</f>
        <v>0</v>
      </c>
      <c r="R96" s="10">
        <f>[18]생산!BF93</f>
        <v>0</v>
      </c>
      <c r="S96" s="9">
        <f>[18]운전시간외!C93</f>
        <v>0</v>
      </c>
      <c r="T96" s="9">
        <f>[18]운전시간외!D93</f>
        <v>0</v>
      </c>
      <c r="U96" s="9">
        <f>[18]운전시간외!E93</f>
        <v>0</v>
      </c>
      <c r="V96" s="9">
        <f>[18]운전시간외!F93</f>
        <v>0</v>
      </c>
      <c r="W96" s="11">
        <f>[18]생산!F93</f>
        <v>0</v>
      </c>
      <c r="X96" s="11">
        <f>[18]생산!G93</f>
        <v>0</v>
      </c>
      <c r="Y96" s="11">
        <f>[18]생산!H93</f>
        <v>0</v>
      </c>
      <c r="Z96" s="11">
        <f>[18]생산!I93</f>
        <v>0</v>
      </c>
      <c r="AA96" s="11">
        <f>[18]생산!J93</f>
        <v>0</v>
      </c>
      <c r="AB96" s="11">
        <f>[18]생산!K93</f>
        <v>0</v>
      </c>
      <c r="AC96" s="11"/>
    </row>
    <row r="97" spans="1:29">
      <c r="A97" s="6">
        <v>46114</v>
      </c>
      <c r="B97" s="12">
        <f>'[18]key-in(LO)'!AA95</f>
        <v>651.20000000000005</v>
      </c>
      <c r="C97" s="12">
        <f>'[18]key-in(LO)'!AB95</f>
        <v>250619</v>
      </c>
      <c r="D97" s="12">
        <f>'[18]key-in(LO)'!AC95</f>
        <v>241927</v>
      </c>
      <c r="E97" s="12">
        <f>'[18]key-in(LO)'!AD95</f>
        <v>17376.78</v>
      </c>
      <c r="F97" s="12">
        <f>'[18]key-in(LO)'!AE95</f>
        <v>15551.73</v>
      </c>
      <c r="G97" s="115">
        <f>'[18]key-in(LO)'!AF95</f>
        <v>55.6</v>
      </c>
      <c r="H97" s="12">
        <f>'[18]key-in(LO)'!AG95</f>
        <v>41990</v>
      </c>
      <c r="I97" s="12">
        <f>'[18]key-in(LO)'!AH95</f>
        <v>26967</v>
      </c>
      <c r="J97" s="10">
        <f>'[18]key-in(ACO)'!$AR95</f>
        <v>33.841999999999999</v>
      </c>
      <c r="K97" s="10">
        <f>'[18]key-in(ACO)'!$AS95</f>
        <v>33.262999999999998</v>
      </c>
      <c r="L97" s="9">
        <f>'[18]key-in(ACO)'!$AV95</f>
        <v>7848.9359999999997</v>
      </c>
      <c r="M97" s="10">
        <f>[18]생산!BA94</f>
        <v>0</v>
      </c>
      <c r="N97" s="10">
        <f>[18]생산!BB94</f>
        <v>0</v>
      </c>
      <c r="O97" s="10">
        <f>[18]생산!BC94</f>
        <v>0</v>
      </c>
      <c r="P97" s="10">
        <f>[18]생산!BD94</f>
        <v>0</v>
      </c>
      <c r="Q97" s="10">
        <f>[18]생산!BE94</f>
        <v>0</v>
      </c>
      <c r="R97" s="10">
        <f>[18]생산!BF94</f>
        <v>0</v>
      </c>
      <c r="S97" s="9">
        <f>[18]운전시간외!C94</f>
        <v>0</v>
      </c>
      <c r="T97" s="9">
        <f>[18]운전시간외!D94</f>
        <v>0</v>
      </c>
      <c r="U97" s="9">
        <f>[18]운전시간외!E94</f>
        <v>0</v>
      </c>
      <c r="V97" s="9">
        <f>[18]운전시간외!F94</f>
        <v>0</v>
      </c>
      <c r="W97" s="11">
        <f>[18]생산!F94</f>
        <v>0</v>
      </c>
      <c r="X97" s="11">
        <f>[18]생산!G94</f>
        <v>0</v>
      </c>
      <c r="Y97" s="11">
        <f>[18]생산!H94</f>
        <v>0</v>
      </c>
      <c r="Z97" s="11">
        <f>[18]생산!I94</f>
        <v>0</v>
      </c>
      <c r="AA97" s="11">
        <f>[18]생산!J94</f>
        <v>0</v>
      </c>
      <c r="AB97" s="11">
        <f>[18]생산!K94</f>
        <v>0</v>
      </c>
      <c r="AC97" s="11"/>
    </row>
    <row r="98" spans="1:29">
      <c r="A98" s="6">
        <v>46115</v>
      </c>
      <c r="B98" s="12">
        <f>'[18]key-in(LO)'!AA96</f>
        <v>651.20000000000005</v>
      </c>
      <c r="C98" s="12">
        <f>'[18]key-in(LO)'!AB96</f>
        <v>250669</v>
      </c>
      <c r="D98" s="12">
        <f>'[18]key-in(LO)'!AC96</f>
        <v>241927</v>
      </c>
      <c r="E98" s="12">
        <f>'[18]key-in(LO)'!AD96</f>
        <v>17380.830000000002</v>
      </c>
      <c r="F98" s="12">
        <f>'[18]key-in(LO)'!AE96</f>
        <v>15552.1</v>
      </c>
      <c r="G98" s="115">
        <f>'[18]key-in(LO)'!AF96</f>
        <v>56.6</v>
      </c>
      <c r="H98" s="12">
        <f>'[18]key-in(LO)'!AG96</f>
        <v>42091</v>
      </c>
      <c r="I98" s="12">
        <f>'[18]key-in(LO)'!AH96</f>
        <v>27037</v>
      </c>
      <c r="J98" s="10">
        <f>'[18]key-in(ACO)'!$AR96</f>
        <v>34</v>
      </c>
      <c r="K98" s="10">
        <f>'[18]key-in(ACO)'!$AS96</f>
        <v>33.340000000000003</v>
      </c>
      <c r="L98" s="9">
        <f>'[18]key-in(ACO)'!$AV96</f>
        <v>7901</v>
      </c>
      <c r="M98" s="10">
        <f>[18]생산!BA95</f>
        <v>0</v>
      </c>
      <c r="N98" s="10">
        <f>[18]생산!BB95</f>
        <v>0</v>
      </c>
      <c r="O98" s="10">
        <f>[18]생산!BC95</f>
        <v>0</v>
      </c>
      <c r="P98" s="10">
        <f>[18]생산!BD95</f>
        <v>0</v>
      </c>
      <c r="Q98" s="10">
        <f>[18]생산!BE95</f>
        <v>0</v>
      </c>
      <c r="R98" s="10">
        <f>[18]생산!BF95</f>
        <v>0</v>
      </c>
      <c r="S98" s="9">
        <f>[18]운전시간외!C95</f>
        <v>0</v>
      </c>
      <c r="T98" s="9">
        <f>[18]운전시간외!D95</f>
        <v>0</v>
      </c>
      <c r="U98" s="9">
        <f>[18]운전시간외!E95</f>
        <v>0</v>
      </c>
      <c r="V98" s="9">
        <f>[18]운전시간외!F95</f>
        <v>0</v>
      </c>
      <c r="W98" s="11">
        <f>[18]생산!F95</f>
        <v>0</v>
      </c>
      <c r="X98" s="11">
        <f>[18]생산!G95</f>
        <v>0</v>
      </c>
      <c r="Y98" s="11">
        <f>[18]생산!H95</f>
        <v>0</v>
      </c>
      <c r="Z98" s="11">
        <f>[18]생산!I95</f>
        <v>0</v>
      </c>
      <c r="AA98" s="11">
        <f>[18]생산!J95</f>
        <v>0</v>
      </c>
      <c r="AB98" s="11">
        <f>[18]생산!K95</f>
        <v>0</v>
      </c>
      <c r="AC98" s="11"/>
    </row>
    <row r="99" spans="1:29">
      <c r="A99" s="6">
        <v>46116</v>
      </c>
      <c r="B99" s="12">
        <f>'[18]key-in(LO)'!AA97</f>
        <v>651.20000000000005</v>
      </c>
      <c r="C99" s="12">
        <f>'[18]key-in(LO)'!AB97</f>
        <v>250669</v>
      </c>
      <c r="D99" s="12">
        <f>'[18]key-in(LO)'!AC97</f>
        <v>241927</v>
      </c>
      <c r="E99" s="12">
        <f>'[18]key-in(LO)'!AD97</f>
        <v>17382.29</v>
      </c>
      <c r="F99" s="12">
        <f>'[18]key-in(LO)'!AE97</f>
        <v>15552.43</v>
      </c>
      <c r="G99" s="115">
        <f>'[18]key-in(LO)'!AF97</f>
        <v>57.5</v>
      </c>
      <c r="H99" s="12">
        <f>'[18]key-in(LO)'!AG97</f>
        <v>42182</v>
      </c>
      <c r="I99" s="12">
        <f>'[18]key-in(LO)'!AH97</f>
        <v>27058</v>
      </c>
      <c r="J99" s="10">
        <f>'[18]key-in(ACO)'!$AR97</f>
        <v>33.81</v>
      </c>
      <c r="K99" s="10">
        <f>'[18]key-in(ACO)'!$AS97</f>
        <v>33.369999999999997</v>
      </c>
      <c r="L99" s="9">
        <f>'[18]key-in(ACO)'!$AV97</f>
        <v>7509</v>
      </c>
      <c r="M99" s="10">
        <f>[18]생산!BA96</f>
        <v>0</v>
      </c>
      <c r="N99" s="10">
        <f>[18]생산!BB96</f>
        <v>0</v>
      </c>
      <c r="O99" s="10">
        <f>[18]생산!BC96</f>
        <v>0</v>
      </c>
      <c r="P99" s="10">
        <f>[18]생산!BD96</f>
        <v>0</v>
      </c>
      <c r="Q99" s="10">
        <f>[18]생산!BE96</f>
        <v>0</v>
      </c>
      <c r="R99" s="10">
        <f>[18]생산!BF96</f>
        <v>0</v>
      </c>
      <c r="S99" s="9">
        <f>[18]운전시간외!C96</f>
        <v>0</v>
      </c>
      <c r="T99" s="9">
        <f>[18]운전시간외!D96</f>
        <v>0</v>
      </c>
      <c r="U99" s="9">
        <f>[18]운전시간외!E96</f>
        <v>0</v>
      </c>
      <c r="V99" s="9">
        <f>[18]운전시간외!F96</f>
        <v>0</v>
      </c>
      <c r="W99" s="11">
        <f>[18]생산!F96</f>
        <v>0</v>
      </c>
      <c r="X99" s="11">
        <f>[18]생산!G96</f>
        <v>0</v>
      </c>
      <c r="Y99" s="11">
        <f>[18]생산!H96</f>
        <v>0</v>
      </c>
      <c r="Z99" s="11">
        <f>[18]생산!I96</f>
        <v>0</v>
      </c>
      <c r="AA99" s="11">
        <f>[18]생산!J96</f>
        <v>0</v>
      </c>
      <c r="AB99" s="11">
        <f>[18]생산!K96</f>
        <v>0</v>
      </c>
      <c r="AC99" s="11"/>
    </row>
    <row r="100" spans="1:29">
      <c r="A100" s="6">
        <v>46117</v>
      </c>
      <c r="B100" s="12">
        <f>'[18]key-in(LO)'!AA98</f>
        <v>651.20000000000005</v>
      </c>
      <c r="C100" s="12">
        <f>'[18]key-in(LO)'!AB98</f>
        <v>250682</v>
      </c>
      <c r="D100" s="12">
        <f>'[18]key-in(LO)'!AC98</f>
        <v>241927</v>
      </c>
      <c r="E100" s="12">
        <f>'[18]key-in(LO)'!AD98</f>
        <v>17384.09</v>
      </c>
      <c r="F100" s="12">
        <f>'[18]key-in(LO)'!AE98</f>
        <v>15553.09</v>
      </c>
      <c r="G100" s="115">
        <f>'[18]key-in(LO)'!AF98</f>
        <v>57.9</v>
      </c>
      <c r="H100" s="12">
        <f>'[18]key-in(LO)'!AG98</f>
        <v>42182</v>
      </c>
      <c r="I100" s="12">
        <f>'[18]key-in(LO)'!AH98</f>
        <v>27124</v>
      </c>
      <c r="J100" s="10">
        <f>'[18]key-in(ACO)'!$AR98</f>
        <v>33.770000000000003</v>
      </c>
      <c r="K100" s="10">
        <f>'[18]key-in(ACO)'!$AS98</f>
        <v>33.42</v>
      </c>
      <c r="L100" s="9">
        <f>'[18]key-in(ACO)'!$AV98</f>
        <v>7566</v>
      </c>
      <c r="M100" s="10">
        <f>[18]생산!BA97</f>
        <v>492.32999999821186</v>
      </c>
      <c r="N100" s="10">
        <f>[18]생산!BB97</f>
        <v>0</v>
      </c>
      <c r="O100" s="10">
        <f>[18]생산!BC97</f>
        <v>0</v>
      </c>
      <c r="P100" s="10">
        <f>[18]생산!BD97</f>
        <v>0</v>
      </c>
      <c r="Q100" s="10">
        <f>[18]생산!BE97</f>
        <v>0</v>
      </c>
      <c r="R100" s="10">
        <f>[18]생산!BF97</f>
        <v>0</v>
      </c>
      <c r="S100" s="9">
        <f>[18]운전시간외!C97</f>
        <v>1</v>
      </c>
      <c r="T100" s="9">
        <f>[18]운전시간외!D97</f>
        <v>0</v>
      </c>
      <c r="U100" s="9">
        <f>[18]운전시간외!E97</f>
        <v>0</v>
      </c>
      <c r="V100" s="9">
        <f>[18]운전시간외!F97</f>
        <v>0</v>
      </c>
      <c r="W100" s="11">
        <f>[18]생산!F97</f>
        <v>0</v>
      </c>
      <c r="X100" s="11">
        <f>[18]생산!G97</f>
        <v>0</v>
      </c>
      <c r="Y100" s="11">
        <f>[18]생산!H97</f>
        <v>0</v>
      </c>
      <c r="Z100" s="11">
        <f>[18]생산!I97</f>
        <v>0</v>
      </c>
      <c r="AA100" s="11">
        <f>[18]생산!J97</f>
        <v>0</v>
      </c>
      <c r="AB100" s="11">
        <f>[18]생산!K97</f>
        <v>0</v>
      </c>
      <c r="AC100" s="11"/>
    </row>
    <row r="101" spans="1:29">
      <c r="A101" s="6">
        <v>46118</v>
      </c>
      <c r="B101" s="12">
        <f>'[18]key-in(LO)'!AA99</f>
        <v>651.20000000000005</v>
      </c>
      <c r="C101" s="12">
        <f>'[18]key-in(LO)'!AB99</f>
        <v>250695</v>
      </c>
      <c r="D101" s="12">
        <f>'[18]key-in(LO)'!AC99</f>
        <v>241954</v>
      </c>
      <c r="E101" s="12">
        <f>'[18]key-in(LO)'!AD99</f>
        <v>17387.95</v>
      </c>
      <c r="F101" s="12">
        <f>'[18]key-in(LO)'!AE99</f>
        <v>15553.64</v>
      </c>
      <c r="G101" s="115">
        <f>'[18]key-in(LO)'!AF99</f>
        <v>58.7</v>
      </c>
      <c r="H101" s="12">
        <f>'[18]key-in(LO)'!AG99</f>
        <v>42256</v>
      </c>
      <c r="I101" s="12">
        <f>'[18]key-in(LO)'!AH99</f>
        <v>27200</v>
      </c>
      <c r="J101" s="10">
        <f>'[18]key-in(ACO)'!$AR99</f>
        <v>33.81</v>
      </c>
      <c r="K101" s="10">
        <f>'[18]key-in(ACO)'!$AS99</f>
        <v>33.44</v>
      </c>
      <c r="L101" s="9">
        <f>'[18]key-in(ACO)'!$AV99</f>
        <v>7697</v>
      </c>
      <c r="M101" s="10">
        <f>[18]생산!BA98</f>
        <v>831.85999999940395</v>
      </c>
      <c r="N101" s="10">
        <f>[18]생산!BB98</f>
        <v>0</v>
      </c>
      <c r="O101" s="10">
        <f>[18]생산!BC98</f>
        <v>0</v>
      </c>
      <c r="P101" s="10">
        <f>[18]생산!BD98</f>
        <v>0</v>
      </c>
      <c r="Q101" s="10">
        <f>[18]생산!BE98</f>
        <v>0</v>
      </c>
      <c r="R101" s="10">
        <f>[18]생산!BF98</f>
        <v>0</v>
      </c>
      <c r="S101" s="9">
        <f>[18]운전시간외!C98</f>
        <v>0</v>
      </c>
      <c r="T101" s="9">
        <f>[18]운전시간외!D98</f>
        <v>0</v>
      </c>
      <c r="U101" s="9">
        <f>[18]운전시간외!E98</f>
        <v>0</v>
      </c>
      <c r="V101" s="9">
        <f>[18]운전시간외!F98</f>
        <v>0</v>
      </c>
      <c r="W101" s="11">
        <f>[18]생산!F98</f>
        <v>0</v>
      </c>
      <c r="X101" s="11">
        <f>[18]생산!G98</f>
        <v>0</v>
      </c>
      <c r="Y101" s="11">
        <f>[18]생산!H98</f>
        <v>0</v>
      </c>
      <c r="Z101" s="11">
        <f>[18]생산!I98</f>
        <v>0</v>
      </c>
      <c r="AA101" s="11">
        <f>[18]생산!J98</f>
        <v>0</v>
      </c>
      <c r="AB101" s="11">
        <f>[18]생산!K98</f>
        <v>0</v>
      </c>
      <c r="AC101" s="11"/>
    </row>
    <row r="102" spans="1:29">
      <c r="A102" s="6">
        <v>46119</v>
      </c>
      <c r="B102" s="12">
        <f>'[18]key-in(LO)'!AA100</f>
        <v>651.20000000000005</v>
      </c>
      <c r="C102" s="12">
        <f>'[18]key-in(LO)'!AB100</f>
        <v>250695</v>
      </c>
      <c r="D102" s="12">
        <f>'[18]key-in(LO)'!AC100</f>
        <v>242009</v>
      </c>
      <c r="E102" s="12">
        <f>'[18]key-in(LO)'!AD100</f>
        <v>17392.349999999999</v>
      </c>
      <c r="F102" s="12">
        <f>'[18]key-in(LO)'!AE100</f>
        <v>15559.19</v>
      </c>
      <c r="G102" s="115">
        <f>'[18]key-in(LO)'!AF100</f>
        <v>59.4</v>
      </c>
      <c r="H102" s="12">
        <f>'[18]key-in(LO)'!AG100</f>
        <v>42316</v>
      </c>
      <c r="I102" s="12">
        <f>'[18]key-in(LO)'!AH100</f>
        <v>27280</v>
      </c>
      <c r="J102" s="10">
        <f>'[18]key-in(ACO)'!$AR100</f>
        <v>34.03</v>
      </c>
      <c r="K102" s="10">
        <f>'[18]key-in(ACO)'!$AS100</f>
        <v>33.520000000000003</v>
      </c>
      <c r="L102" s="9">
        <f>'[18]key-in(ACO)'!$AV100</f>
        <v>7737</v>
      </c>
      <c r="M102" s="10">
        <f>[18]생산!BA99</f>
        <v>20127.75</v>
      </c>
      <c r="N102" s="10">
        <f>[18]생산!BB99</f>
        <v>0</v>
      </c>
      <c r="O102" s="10">
        <f>[18]생산!BC99</f>
        <v>0</v>
      </c>
      <c r="P102" s="10">
        <f>[18]생산!BD99</f>
        <v>0</v>
      </c>
      <c r="Q102" s="10">
        <f>[18]생산!BE99</f>
        <v>0</v>
      </c>
      <c r="R102" s="10">
        <f>[18]생산!BF99</f>
        <v>0</v>
      </c>
      <c r="S102" s="9">
        <f>[18]운전시간외!C99</f>
        <v>11</v>
      </c>
      <c r="T102" s="9">
        <f>[18]운전시간외!D99</f>
        <v>0</v>
      </c>
      <c r="U102" s="9">
        <f>[18]운전시간외!E99</f>
        <v>0</v>
      </c>
      <c r="V102" s="9">
        <f>[18]운전시간외!F99</f>
        <v>0</v>
      </c>
      <c r="W102" s="11">
        <f>[18]생산!F99</f>
        <v>114</v>
      </c>
      <c r="X102" s="11">
        <f>[18]생산!G99</f>
        <v>0</v>
      </c>
      <c r="Y102" s="11">
        <f>[18]생산!H99</f>
        <v>0</v>
      </c>
      <c r="Z102" s="11">
        <f>[18]생산!I99</f>
        <v>0</v>
      </c>
      <c r="AA102" s="11">
        <f>[18]생산!J99</f>
        <v>0</v>
      </c>
      <c r="AB102" s="11">
        <f>[18]생산!K99</f>
        <v>114</v>
      </c>
      <c r="AC102" s="11"/>
    </row>
    <row r="103" spans="1:29">
      <c r="A103" s="6">
        <v>46120</v>
      </c>
      <c r="B103" s="12">
        <f>'[18]key-in(LO)'!AA101</f>
        <v>0</v>
      </c>
      <c r="C103" s="12">
        <f>'[18]key-in(LO)'!AB101</f>
        <v>0</v>
      </c>
      <c r="D103" s="12">
        <f>'[18]key-in(LO)'!AC101</f>
        <v>0</v>
      </c>
      <c r="E103" s="12">
        <f>'[18]key-in(LO)'!AD101</f>
        <v>0</v>
      </c>
      <c r="F103" s="12">
        <f>'[18]key-in(LO)'!AE101</f>
        <v>0</v>
      </c>
      <c r="G103" s="115">
        <f>'[18]key-in(LO)'!AF101</f>
        <v>0</v>
      </c>
      <c r="H103" s="12">
        <f>'[18]key-in(LO)'!AG101</f>
        <v>0</v>
      </c>
      <c r="I103" s="12">
        <f>'[18]key-in(LO)'!AH101</f>
        <v>0</v>
      </c>
      <c r="J103" s="10">
        <f>'[18]key-in(ACO)'!$AR101</f>
        <v>0</v>
      </c>
      <c r="K103" s="10">
        <f>'[18]key-in(ACO)'!$AS101</f>
        <v>0</v>
      </c>
      <c r="L103" s="9">
        <f>'[18]key-in(ACO)'!$AV101</f>
        <v>0</v>
      </c>
      <c r="M103" s="10">
        <f>[18]생산!BA100</f>
        <v>0</v>
      </c>
      <c r="N103" s="10">
        <f>[18]생산!BB100</f>
        <v>0</v>
      </c>
      <c r="O103" s="10">
        <f>[18]생산!BC100</f>
        <v>0</v>
      </c>
      <c r="P103" s="10">
        <f>[18]생산!BD100</f>
        <v>0</v>
      </c>
      <c r="Q103" s="10">
        <f>[18]생산!BE100</f>
        <v>0</v>
      </c>
      <c r="R103" s="10">
        <f>[18]생산!BF100</f>
        <v>0</v>
      </c>
      <c r="S103" s="9">
        <f>[18]운전시간외!C100</f>
        <v>0</v>
      </c>
      <c r="T103" s="9">
        <f>[18]운전시간외!D100</f>
        <v>0</v>
      </c>
      <c r="U103" s="9">
        <f>[18]운전시간외!E100</f>
        <v>0</v>
      </c>
      <c r="V103" s="9">
        <f>[18]운전시간외!F100</f>
        <v>0</v>
      </c>
      <c r="W103" s="11">
        <f>[18]생산!F100</f>
        <v>0</v>
      </c>
      <c r="X103" s="11">
        <f>[18]생산!G100</f>
        <v>0</v>
      </c>
      <c r="Y103" s="11">
        <f>[18]생산!H100</f>
        <v>0</v>
      </c>
      <c r="Z103" s="11">
        <f>[18]생산!I100</f>
        <v>0</v>
      </c>
      <c r="AA103" s="11">
        <f>[18]생산!J100</f>
        <v>0</v>
      </c>
      <c r="AB103" s="11">
        <f>[18]생산!K100</f>
        <v>0</v>
      </c>
      <c r="AC103" s="11"/>
    </row>
    <row r="104" spans="1:29">
      <c r="A104" s="6">
        <v>46121</v>
      </c>
      <c r="B104" s="12">
        <f>'[18]key-in(LO)'!AA102</f>
        <v>0</v>
      </c>
      <c r="C104" s="12">
        <f>'[18]key-in(LO)'!AB102</f>
        <v>0</v>
      </c>
      <c r="D104" s="12">
        <f>'[18]key-in(LO)'!AC102</f>
        <v>0</v>
      </c>
      <c r="E104" s="12">
        <f>'[18]key-in(LO)'!AD102</f>
        <v>0</v>
      </c>
      <c r="F104" s="12">
        <f>'[18]key-in(LO)'!AE102</f>
        <v>0</v>
      </c>
      <c r="G104" s="115">
        <f>'[18]key-in(LO)'!AF102</f>
        <v>0</v>
      </c>
      <c r="H104" s="12">
        <f>'[18]key-in(LO)'!AG102</f>
        <v>0</v>
      </c>
      <c r="I104" s="12">
        <f>'[18]key-in(LO)'!AH102</f>
        <v>0</v>
      </c>
      <c r="J104" s="10">
        <f>'[18]key-in(ACO)'!$AR102</f>
        <v>0</v>
      </c>
      <c r="K104" s="10">
        <f>'[18]key-in(ACO)'!$AS102</f>
        <v>0</v>
      </c>
      <c r="L104" s="9">
        <f>'[18]key-in(ACO)'!$AV102</f>
        <v>0</v>
      </c>
      <c r="M104" s="10">
        <f>[18]생산!BA101</f>
        <v>0</v>
      </c>
      <c r="N104" s="10">
        <f>[18]생산!BB101</f>
        <v>0</v>
      </c>
      <c r="O104" s="10">
        <f>[18]생산!BC101</f>
        <v>0</v>
      </c>
      <c r="P104" s="10">
        <f>[18]생산!BD101</f>
        <v>0</v>
      </c>
      <c r="Q104" s="10">
        <f>[18]생산!BE101</f>
        <v>0</v>
      </c>
      <c r="R104" s="10">
        <f>[18]생산!BF101</f>
        <v>0</v>
      </c>
      <c r="S104" s="9">
        <f>[18]운전시간외!C101</f>
        <v>0</v>
      </c>
      <c r="T104" s="9">
        <f>[18]운전시간외!D101</f>
        <v>0</v>
      </c>
      <c r="U104" s="9">
        <f>[18]운전시간외!E101</f>
        <v>0</v>
      </c>
      <c r="V104" s="9">
        <f>[18]운전시간외!F101</f>
        <v>0</v>
      </c>
      <c r="W104" s="11">
        <f>[18]생산!F101</f>
        <v>0</v>
      </c>
      <c r="X104" s="11">
        <f>[18]생산!G101</f>
        <v>0</v>
      </c>
      <c r="Y104" s="11">
        <f>[18]생산!H101</f>
        <v>0</v>
      </c>
      <c r="Z104" s="11">
        <f>[18]생산!I101</f>
        <v>0</v>
      </c>
      <c r="AA104" s="11">
        <f>[18]생산!J101</f>
        <v>0</v>
      </c>
      <c r="AB104" s="11">
        <f>[18]생산!K101</f>
        <v>0</v>
      </c>
      <c r="AC104" s="11"/>
    </row>
    <row r="105" spans="1:29">
      <c r="A105" s="6">
        <v>46122</v>
      </c>
      <c r="B105" s="12">
        <f>'[18]key-in(LO)'!AA103</f>
        <v>0</v>
      </c>
      <c r="C105" s="12">
        <f>'[18]key-in(LO)'!AB103</f>
        <v>0</v>
      </c>
      <c r="D105" s="12">
        <f>'[18]key-in(LO)'!AC103</f>
        <v>0</v>
      </c>
      <c r="E105" s="12">
        <f>'[18]key-in(LO)'!AD103</f>
        <v>0</v>
      </c>
      <c r="F105" s="12">
        <f>'[18]key-in(LO)'!AE103</f>
        <v>0</v>
      </c>
      <c r="G105" s="115">
        <f>'[18]key-in(LO)'!AF103</f>
        <v>0</v>
      </c>
      <c r="H105" s="12">
        <f>'[18]key-in(LO)'!AG103</f>
        <v>0</v>
      </c>
      <c r="I105" s="12">
        <f>'[18]key-in(LO)'!AH103</f>
        <v>0</v>
      </c>
      <c r="J105" s="10">
        <f>'[18]key-in(ACO)'!$AR103</f>
        <v>0</v>
      </c>
      <c r="K105" s="10">
        <f>'[18]key-in(ACO)'!$AS103</f>
        <v>0</v>
      </c>
      <c r="L105" s="9">
        <f>'[18]key-in(ACO)'!$AV103</f>
        <v>0</v>
      </c>
      <c r="M105" s="10">
        <f>[18]생산!BA102</f>
        <v>0</v>
      </c>
      <c r="N105" s="10">
        <f>[18]생산!BB102</f>
        <v>0</v>
      </c>
      <c r="O105" s="10">
        <f>[18]생산!BC102</f>
        <v>0</v>
      </c>
      <c r="P105" s="10">
        <f>[18]생산!BD102</f>
        <v>0</v>
      </c>
      <c r="Q105" s="10">
        <f>[18]생산!BE102</f>
        <v>0</v>
      </c>
      <c r="R105" s="10">
        <f>[18]생산!BF102</f>
        <v>0</v>
      </c>
      <c r="S105" s="9">
        <f>[18]운전시간외!C102</f>
        <v>0</v>
      </c>
      <c r="T105" s="9">
        <f>[18]운전시간외!D102</f>
        <v>0</v>
      </c>
      <c r="U105" s="9">
        <f>[18]운전시간외!E102</f>
        <v>0</v>
      </c>
      <c r="V105" s="9">
        <f>[18]운전시간외!F102</f>
        <v>0</v>
      </c>
      <c r="W105" s="11">
        <f>[18]생산!F102</f>
        <v>0</v>
      </c>
      <c r="X105" s="11">
        <f>[18]생산!G102</f>
        <v>0</v>
      </c>
      <c r="Y105" s="11">
        <f>[18]생산!H102</f>
        <v>0</v>
      </c>
      <c r="Z105" s="11">
        <f>[18]생산!I102</f>
        <v>0</v>
      </c>
      <c r="AA105" s="11">
        <f>[18]생산!J102</f>
        <v>0</v>
      </c>
      <c r="AB105" s="11">
        <f>[18]생산!K102</f>
        <v>0</v>
      </c>
      <c r="AC105" s="11"/>
    </row>
    <row r="106" spans="1:29">
      <c r="A106" s="6">
        <v>46123</v>
      </c>
      <c r="B106" s="12">
        <f>'[18]key-in(LO)'!AA104</f>
        <v>0</v>
      </c>
      <c r="C106" s="12">
        <f>'[18]key-in(LO)'!AB104</f>
        <v>0</v>
      </c>
      <c r="D106" s="12">
        <f>'[18]key-in(LO)'!AC104</f>
        <v>0</v>
      </c>
      <c r="E106" s="12">
        <f>'[18]key-in(LO)'!AD104</f>
        <v>0</v>
      </c>
      <c r="F106" s="12">
        <f>'[18]key-in(LO)'!AE104</f>
        <v>0</v>
      </c>
      <c r="G106" s="115">
        <f>'[18]key-in(LO)'!AF104</f>
        <v>0</v>
      </c>
      <c r="H106" s="12">
        <f>'[18]key-in(LO)'!AG104</f>
        <v>0</v>
      </c>
      <c r="I106" s="12">
        <f>'[18]key-in(LO)'!AH104</f>
        <v>0</v>
      </c>
      <c r="J106" s="10">
        <f>'[18]key-in(ACO)'!$AR104</f>
        <v>0</v>
      </c>
      <c r="K106" s="10">
        <f>'[18]key-in(ACO)'!$AS104</f>
        <v>0</v>
      </c>
      <c r="L106" s="9">
        <f>'[18]key-in(ACO)'!$AV104</f>
        <v>0</v>
      </c>
      <c r="M106" s="10">
        <f>[18]생산!BA103</f>
        <v>0</v>
      </c>
      <c r="N106" s="10">
        <f>[18]생산!BB103</f>
        <v>0</v>
      </c>
      <c r="O106" s="10">
        <f>[18]생산!BC103</f>
        <v>0</v>
      </c>
      <c r="P106" s="10">
        <f>[18]생산!BD103</f>
        <v>0</v>
      </c>
      <c r="Q106" s="10">
        <f>[18]생산!BE103</f>
        <v>0</v>
      </c>
      <c r="R106" s="10">
        <f>[18]생산!BF103</f>
        <v>0</v>
      </c>
      <c r="S106" s="9">
        <f>[18]운전시간외!C103</f>
        <v>0</v>
      </c>
      <c r="T106" s="9">
        <f>[18]운전시간외!D103</f>
        <v>0</v>
      </c>
      <c r="U106" s="9">
        <f>[18]운전시간외!E103</f>
        <v>0</v>
      </c>
      <c r="V106" s="9">
        <f>[18]운전시간외!F103</f>
        <v>0</v>
      </c>
      <c r="W106" s="11">
        <f>[18]생산!F103</f>
        <v>0</v>
      </c>
      <c r="X106" s="11">
        <f>[18]생산!G103</f>
        <v>0</v>
      </c>
      <c r="Y106" s="11">
        <f>[18]생산!H103</f>
        <v>0</v>
      </c>
      <c r="Z106" s="11">
        <f>[18]생산!I103</f>
        <v>0</v>
      </c>
      <c r="AA106" s="11">
        <f>[18]생산!J103</f>
        <v>0</v>
      </c>
      <c r="AB106" s="11">
        <f>[18]생산!K103</f>
        <v>0</v>
      </c>
      <c r="AC106" s="11"/>
    </row>
    <row r="107" spans="1:29">
      <c r="A107" s="6">
        <v>46124</v>
      </c>
      <c r="B107" s="12">
        <f>'[18]key-in(LO)'!AA105</f>
        <v>0</v>
      </c>
      <c r="C107" s="12">
        <f>'[18]key-in(LO)'!AB105</f>
        <v>0</v>
      </c>
      <c r="D107" s="12">
        <f>'[18]key-in(LO)'!AC105</f>
        <v>0</v>
      </c>
      <c r="E107" s="12">
        <f>'[18]key-in(LO)'!AD105</f>
        <v>0</v>
      </c>
      <c r="F107" s="12">
        <f>'[18]key-in(LO)'!AE105</f>
        <v>0</v>
      </c>
      <c r="G107" s="115">
        <f>'[18]key-in(LO)'!AF105</f>
        <v>0</v>
      </c>
      <c r="H107" s="12">
        <f>'[18]key-in(LO)'!AG105</f>
        <v>0</v>
      </c>
      <c r="I107" s="12">
        <f>'[18]key-in(LO)'!AH105</f>
        <v>0</v>
      </c>
      <c r="J107" s="10">
        <f>'[18]key-in(ACO)'!$AR105</f>
        <v>0</v>
      </c>
      <c r="K107" s="10">
        <f>'[18]key-in(ACO)'!$AS105</f>
        <v>0</v>
      </c>
      <c r="L107" s="9">
        <f>'[18]key-in(ACO)'!$AV105</f>
        <v>0</v>
      </c>
      <c r="M107" s="10">
        <f>[18]생산!BA104</f>
        <v>0</v>
      </c>
      <c r="N107" s="10">
        <f>[18]생산!BB104</f>
        <v>0</v>
      </c>
      <c r="O107" s="10">
        <f>[18]생산!BC104</f>
        <v>0</v>
      </c>
      <c r="P107" s="10">
        <f>[18]생산!BD104</f>
        <v>0</v>
      </c>
      <c r="Q107" s="10">
        <f>[18]생산!BE104</f>
        <v>0</v>
      </c>
      <c r="R107" s="10">
        <f>[18]생산!BF104</f>
        <v>0</v>
      </c>
      <c r="S107" s="9">
        <f>[18]운전시간외!C104</f>
        <v>0</v>
      </c>
      <c r="T107" s="9">
        <f>[18]운전시간외!D104</f>
        <v>0</v>
      </c>
      <c r="U107" s="9">
        <f>[18]운전시간외!E104</f>
        <v>0</v>
      </c>
      <c r="V107" s="9">
        <f>[18]운전시간외!F104</f>
        <v>0</v>
      </c>
      <c r="W107" s="11">
        <f>[18]생산!F104</f>
        <v>0</v>
      </c>
      <c r="X107" s="11">
        <f>[18]생산!G104</f>
        <v>0</v>
      </c>
      <c r="Y107" s="11">
        <f>[18]생산!H104</f>
        <v>0</v>
      </c>
      <c r="Z107" s="11">
        <f>[18]생산!I104</f>
        <v>0</v>
      </c>
      <c r="AA107" s="11">
        <f>[18]생산!J104</f>
        <v>0</v>
      </c>
      <c r="AB107" s="11">
        <f>[18]생산!K104</f>
        <v>0</v>
      </c>
      <c r="AC107" s="11"/>
    </row>
    <row r="108" spans="1:29">
      <c r="A108" s="6">
        <v>46125</v>
      </c>
      <c r="B108" s="12">
        <f>'[18]key-in(LO)'!AA106</f>
        <v>0</v>
      </c>
      <c r="C108" s="12">
        <f>'[18]key-in(LO)'!AB106</f>
        <v>0</v>
      </c>
      <c r="D108" s="12">
        <f>'[18]key-in(LO)'!AC106</f>
        <v>0</v>
      </c>
      <c r="E108" s="12">
        <f>'[18]key-in(LO)'!AD106</f>
        <v>0</v>
      </c>
      <c r="F108" s="12">
        <f>'[18]key-in(LO)'!AE106</f>
        <v>0</v>
      </c>
      <c r="G108" s="115">
        <f>'[18]key-in(LO)'!AF106</f>
        <v>0</v>
      </c>
      <c r="H108" s="12">
        <f>'[18]key-in(LO)'!AG106</f>
        <v>0</v>
      </c>
      <c r="I108" s="12">
        <f>'[18]key-in(LO)'!AH106</f>
        <v>0</v>
      </c>
      <c r="J108" s="10">
        <f>'[18]key-in(ACO)'!$AR106</f>
        <v>0</v>
      </c>
      <c r="K108" s="10">
        <f>'[18]key-in(ACO)'!$AS106</f>
        <v>0</v>
      </c>
      <c r="L108" s="9">
        <f>'[18]key-in(ACO)'!$AV106</f>
        <v>0</v>
      </c>
      <c r="M108" s="10">
        <f>[18]생산!BA105</f>
        <v>0</v>
      </c>
      <c r="N108" s="10">
        <f>[18]생산!BB105</f>
        <v>0</v>
      </c>
      <c r="O108" s="10">
        <f>[18]생산!BC105</f>
        <v>0</v>
      </c>
      <c r="P108" s="10">
        <f>[18]생산!BD105</f>
        <v>0</v>
      </c>
      <c r="Q108" s="10">
        <f>[18]생산!BE105</f>
        <v>0</v>
      </c>
      <c r="R108" s="10">
        <f>[18]생산!BF105</f>
        <v>0</v>
      </c>
      <c r="S108" s="9">
        <f>[18]운전시간외!C105</f>
        <v>0</v>
      </c>
      <c r="T108" s="9">
        <f>[18]운전시간외!D105</f>
        <v>0</v>
      </c>
      <c r="U108" s="9">
        <f>[18]운전시간외!E105</f>
        <v>0</v>
      </c>
      <c r="V108" s="9">
        <f>[18]운전시간외!F105</f>
        <v>0</v>
      </c>
      <c r="W108" s="11">
        <f>[18]생산!F105</f>
        <v>0</v>
      </c>
      <c r="X108" s="11">
        <f>[18]생산!G105</f>
        <v>0</v>
      </c>
      <c r="Y108" s="11">
        <f>[18]생산!H105</f>
        <v>0</v>
      </c>
      <c r="Z108" s="11">
        <f>[18]생산!I105</f>
        <v>0</v>
      </c>
      <c r="AA108" s="11">
        <f>[18]생산!J105</f>
        <v>0</v>
      </c>
      <c r="AB108" s="11">
        <f>[18]생산!K105</f>
        <v>0</v>
      </c>
      <c r="AC108" s="11"/>
    </row>
    <row r="109" spans="1:29">
      <c r="A109" s="6">
        <v>46126</v>
      </c>
      <c r="B109" s="12">
        <f>'[18]key-in(LO)'!AA107</f>
        <v>0</v>
      </c>
      <c r="C109" s="12">
        <f>'[18]key-in(LO)'!AB107</f>
        <v>0</v>
      </c>
      <c r="D109" s="12">
        <f>'[18]key-in(LO)'!AC107</f>
        <v>0</v>
      </c>
      <c r="E109" s="12">
        <f>'[18]key-in(LO)'!AD107</f>
        <v>0</v>
      </c>
      <c r="F109" s="12">
        <f>'[18]key-in(LO)'!AE107</f>
        <v>0</v>
      </c>
      <c r="G109" s="115">
        <f>'[18]key-in(LO)'!AF107</f>
        <v>0</v>
      </c>
      <c r="H109" s="12">
        <f>'[18]key-in(LO)'!AG107</f>
        <v>0</v>
      </c>
      <c r="I109" s="12">
        <f>'[18]key-in(LO)'!AH107</f>
        <v>0</v>
      </c>
      <c r="J109" s="10">
        <f>'[18]key-in(ACO)'!$AR107</f>
        <v>0</v>
      </c>
      <c r="K109" s="10">
        <f>'[18]key-in(ACO)'!$AS107</f>
        <v>0</v>
      </c>
      <c r="L109" s="9">
        <f>'[18]key-in(ACO)'!$AV107</f>
        <v>0</v>
      </c>
      <c r="M109" s="10">
        <f>[18]생산!BA106</f>
        <v>0</v>
      </c>
      <c r="N109" s="10">
        <f>[18]생산!BB106</f>
        <v>0</v>
      </c>
      <c r="O109" s="10">
        <f>[18]생산!BC106</f>
        <v>0</v>
      </c>
      <c r="P109" s="10">
        <f>[18]생산!BD106</f>
        <v>0</v>
      </c>
      <c r="Q109" s="10">
        <f>[18]생산!BE106</f>
        <v>0</v>
      </c>
      <c r="R109" s="10">
        <f>[18]생산!BF106</f>
        <v>0</v>
      </c>
      <c r="S109" s="9">
        <f>[18]운전시간외!C106</f>
        <v>0</v>
      </c>
      <c r="T109" s="9">
        <f>[18]운전시간외!D106</f>
        <v>0</v>
      </c>
      <c r="U109" s="9">
        <f>[18]운전시간외!E106</f>
        <v>0</v>
      </c>
      <c r="V109" s="9">
        <f>[18]운전시간외!F106</f>
        <v>0</v>
      </c>
      <c r="W109" s="11">
        <f>[18]생산!F106</f>
        <v>0</v>
      </c>
      <c r="X109" s="11">
        <f>[18]생산!G106</f>
        <v>0</v>
      </c>
      <c r="Y109" s="11">
        <f>[18]생산!H106</f>
        <v>0</v>
      </c>
      <c r="Z109" s="11">
        <f>[18]생산!I106</f>
        <v>0</v>
      </c>
      <c r="AA109" s="11">
        <f>[18]생산!J106</f>
        <v>0</v>
      </c>
      <c r="AB109" s="11">
        <f>[18]생산!K106</f>
        <v>0</v>
      </c>
      <c r="AC109" s="11"/>
    </row>
    <row r="110" spans="1:29">
      <c r="A110" s="6">
        <v>46127</v>
      </c>
      <c r="B110" s="12">
        <f>'[18]key-in(LO)'!AA108</f>
        <v>0</v>
      </c>
      <c r="C110" s="12">
        <f>'[18]key-in(LO)'!AB108</f>
        <v>0</v>
      </c>
      <c r="D110" s="12">
        <f>'[18]key-in(LO)'!AC108</f>
        <v>0</v>
      </c>
      <c r="E110" s="12">
        <f>'[18]key-in(LO)'!AD108</f>
        <v>0</v>
      </c>
      <c r="F110" s="12">
        <f>'[18]key-in(LO)'!AE108</f>
        <v>0</v>
      </c>
      <c r="G110" s="115">
        <f>'[18]key-in(LO)'!AF108</f>
        <v>0</v>
      </c>
      <c r="H110" s="12">
        <f>'[18]key-in(LO)'!AG108</f>
        <v>0</v>
      </c>
      <c r="I110" s="12">
        <f>'[18]key-in(LO)'!AH108</f>
        <v>0</v>
      </c>
      <c r="J110" s="10">
        <f>'[18]key-in(ACO)'!$AR108</f>
        <v>0</v>
      </c>
      <c r="K110" s="10">
        <f>'[18]key-in(ACO)'!$AS108</f>
        <v>0</v>
      </c>
      <c r="L110" s="9">
        <f>'[18]key-in(ACO)'!$AV108</f>
        <v>0</v>
      </c>
      <c r="M110" s="10">
        <f>[18]생산!BA107</f>
        <v>0</v>
      </c>
      <c r="N110" s="10">
        <f>[18]생산!BB107</f>
        <v>0</v>
      </c>
      <c r="O110" s="10">
        <f>[18]생산!BC107</f>
        <v>0</v>
      </c>
      <c r="P110" s="10">
        <f>[18]생산!BD107</f>
        <v>0</v>
      </c>
      <c r="Q110" s="10">
        <f>[18]생산!BE107</f>
        <v>0</v>
      </c>
      <c r="R110" s="10">
        <f>[18]생산!BF107</f>
        <v>0</v>
      </c>
      <c r="S110" s="9">
        <f>[18]운전시간외!C107</f>
        <v>0</v>
      </c>
      <c r="T110" s="9">
        <f>[18]운전시간외!D107</f>
        <v>0</v>
      </c>
      <c r="U110" s="9">
        <f>[18]운전시간외!E107</f>
        <v>0</v>
      </c>
      <c r="V110" s="9">
        <f>[18]운전시간외!F107</f>
        <v>0</v>
      </c>
      <c r="W110" s="11">
        <f>[18]생산!F107</f>
        <v>0</v>
      </c>
      <c r="X110" s="11">
        <f>[18]생산!G107</f>
        <v>0</v>
      </c>
      <c r="Y110" s="11">
        <f>[18]생산!H107</f>
        <v>0</v>
      </c>
      <c r="Z110" s="11">
        <f>[18]생산!I107</f>
        <v>0</v>
      </c>
      <c r="AA110" s="11">
        <f>[18]생산!J107</f>
        <v>0</v>
      </c>
      <c r="AB110" s="11">
        <f>[18]생산!K107</f>
        <v>0</v>
      </c>
      <c r="AC110" s="11"/>
    </row>
    <row r="111" spans="1:29">
      <c r="A111" s="6">
        <v>46128</v>
      </c>
      <c r="B111" s="12">
        <f>'[18]key-in(LO)'!AA109</f>
        <v>0</v>
      </c>
      <c r="C111" s="12">
        <f>'[18]key-in(LO)'!AB109</f>
        <v>0</v>
      </c>
      <c r="D111" s="12">
        <f>'[18]key-in(LO)'!AC109</f>
        <v>0</v>
      </c>
      <c r="E111" s="12">
        <f>'[18]key-in(LO)'!AD109</f>
        <v>0</v>
      </c>
      <c r="F111" s="12">
        <f>'[18]key-in(LO)'!AE109</f>
        <v>0</v>
      </c>
      <c r="G111" s="115">
        <f>'[18]key-in(LO)'!AF109</f>
        <v>0</v>
      </c>
      <c r="H111" s="12">
        <f>'[18]key-in(LO)'!AG109</f>
        <v>0</v>
      </c>
      <c r="I111" s="12">
        <f>'[18]key-in(LO)'!AH109</f>
        <v>0</v>
      </c>
      <c r="J111" s="10">
        <f>'[18]key-in(ACO)'!$AR109</f>
        <v>0</v>
      </c>
      <c r="K111" s="10">
        <f>'[18]key-in(ACO)'!$AS109</f>
        <v>0</v>
      </c>
      <c r="L111" s="9">
        <f>'[18]key-in(ACO)'!$AV109</f>
        <v>0</v>
      </c>
      <c r="M111" s="10">
        <f>[18]생산!BA108</f>
        <v>0</v>
      </c>
      <c r="N111" s="10">
        <f>[18]생산!BB108</f>
        <v>0</v>
      </c>
      <c r="O111" s="10">
        <f>[18]생산!BC108</f>
        <v>0</v>
      </c>
      <c r="P111" s="10">
        <f>[18]생산!BD108</f>
        <v>0</v>
      </c>
      <c r="Q111" s="10">
        <f>[18]생산!BE108</f>
        <v>0</v>
      </c>
      <c r="R111" s="10">
        <f>[18]생산!BF108</f>
        <v>0</v>
      </c>
      <c r="S111" s="9">
        <f>[18]운전시간외!C108</f>
        <v>0</v>
      </c>
      <c r="T111" s="9">
        <f>[18]운전시간외!D108</f>
        <v>0</v>
      </c>
      <c r="U111" s="9">
        <f>[18]운전시간외!E108</f>
        <v>0</v>
      </c>
      <c r="V111" s="9">
        <f>[18]운전시간외!F108</f>
        <v>0</v>
      </c>
      <c r="W111" s="11">
        <f>[18]생산!F108</f>
        <v>0</v>
      </c>
      <c r="X111" s="11">
        <f>[18]생산!G108</f>
        <v>0</v>
      </c>
      <c r="Y111" s="11">
        <f>[18]생산!H108</f>
        <v>0</v>
      </c>
      <c r="Z111" s="11">
        <f>[18]생산!I108</f>
        <v>0</v>
      </c>
      <c r="AA111" s="11">
        <f>[18]생산!J108</f>
        <v>0</v>
      </c>
      <c r="AB111" s="11">
        <f>[18]생산!K108</f>
        <v>0</v>
      </c>
      <c r="AC111" s="11"/>
    </row>
    <row r="112" spans="1:29">
      <c r="A112" s="6">
        <v>46129</v>
      </c>
      <c r="B112" s="12">
        <f>'[18]key-in(LO)'!AA110</f>
        <v>0</v>
      </c>
      <c r="C112" s="12">
        <f>'[18]key-in(LO)'!AB110</f>
        <v>0</v>
      </c>
      <c r="D112" s="12">
        <f>'[18]key-in(LO)'!AC110</f>
        <v>0</v>
      </c>
      <c r="E112" s="12">
        <f>'[18]key-in(LO)'!AD110</f>
        <v>0</v>
      </c>
      <c r="F112" s="12">
        <f>'[18]key-in(LO)'!AE110</f>
        <v>0</v>
      </c>
      <c r="G112" s="115">
        <f>'[18]key-in(LO)'!AF110</f>
        <v>0</v>
      </c>
      <c r="H112" s="12">
        <f>'[18]key-in(LO)'!AG110</f>
        <v>0</v>
      </c>
      <c r="I112" s="12">
        <f>'[18]key-in(LO)'!AH110</f>
        <v>0</v>
      </c>
      <c r="J112" s="10">
        <f>'[18]key-in(ACO)'!$AR110</f>
        <v>0</v>
      </c>
      <c r="K112" s="10">
        <f>'[18]key-in(ACO)'!$AS110</f>
        <v>0</v>
      </c>
      <c r="L112" s="9">
        <f>'[18]key-in(ACO)'!$AV110</f>
        <v>0</v>
      </c>
      <c r="M112" s="10">
        <f>[18]생산!BA109</f>
        <v>0</v>
      </c>
      <c r="N112" s="10">
        <f>[18]생산!BB109</f>
        <v>0</v>
      </c>
      <c r="O112" s="10">
        <f>[18]생산!BC109</f>
        <v>0</v>
      </c>
      <c r="P112" s="10">
        <f>[18]생산!BD109</f>
        <v>0</v>
      </c>
      <c r="Q112" s="10">
        <f>[18]생산!BE109</f>
        <v>0</v>
      </c>
      <c r="R112" s="10">
        <f>[18]생산!BF109</f>
        <v>0</v>
      </c>
      <c r="S112" s="9">
        <f>[18]운전시간외!C109</f>
        <v>0</v>
      </c>
      <c r="T112" s="9">
        <f>[18]운전시간외!D109</f>
        <v>0</v>
      </c>
      <c r="U112" s="9">
        <f>[18]운전시간외!E109</f>
        <v>0</v>
      </c>
      <c r="V112" s="9">
        <f>[18]운전시간외!F109</f>
        <v>0</v>
      </c>
      <c r="W112" s="11">
        <f>[18]생산!F109</f>
        <v>0</v>
      </c>
      <c r="X112" s="11">
        <f>[18]생산!G109</f>
        <v>0</v>
      </c>
      <c r="Y112" s="11">
        <f>[18]생산!H109</f>
        <v>0</v>
      </c>
      <c r="Z112" s="11">
        <f>[18]생산!I109</f>
        <v>0</v>
      </c>
      <c r="AA112" s="11">
        <f>[18]생산!J109</f>
        <v>0</v>
      </c>
      <c r="AB112" s="11">
        <f>[18]생산!K109</f>
        <v>0</v>
      </c>
      <c r="AC112" s="11"/>
    </row>
    <row r="113" spans="1:29">
      <c r="A113" s="6">
        <v>46130</v>
      </c>
      <c r="B113" s="12">
        <f>'[18]key-in(LO)'!AA111</f>
        <v>0</v>
      </c>
      <c r="C113" s="12">
        <f>'[18]key-in(LO)'!AB111</f>
        <v>0</v>
      </c>
      <c r="D113" s="12">
        <f>'[18]key-in(LO)'!AC111</f>
        <v>0</v>
      </c>
      <c r="E113" s="12">
        <f>'[18]key-in(LO)'!AD111</f>
        <v>0</v>
      </c>
      <c r="F113" s="12">
        <f>'[18]key-in(LO)'!AE111</f>
        <v>0</v>
      </c>
      <c r="G113" s="115">
        <f>'[18]key-in(LO)'!AF111</f>
        <v>0</v>
      </c>
      <c r="H113" s="12">
        <f>'[18]key-in(LO)'!AG111</f>
        <v>0</v>
      </c>
      <c r="I113" s="12">
        <f>'[18]key-in(LO)'!AH111</f>
        <v>0</v>
      </c>
      <c r="J113" s="10">
        <f>'[18]key-in(ACO)'!$AR111</f>
        <v>0</v>
      </c>
      <c r="K113" s="10">
        <f>'[18]key-in(ACO)'!$AS111</f>
        <v>0</v>
      </c>
      <c r="L113" s="9">
        <f>'[18]key-in(ACO)'!$AV111</f>
        <v>0</v>
      </c>
      <c r="M113" s="10">
        <f>[18]생산!BA110</f>
        <v>0</v>
      </c>
      <c r="N113" s="10">
        <f>[18]생산!BB110</f>
        <v>0</v>
      </c>
      <c r="O113" s="10">
        <f>[18]생산!BC110</f>
        <v>0</v>
      </c>
      <c r="P113" s="10">
        <f>[18]생산!BD110</f>
        <v>0</v>
      </c>
      <c r="Q113" s="10">
        <f>[18]생산!BE110</f>
        <v>0</v>
      </c>
      <c r="R113" s="10">
        <f>[18]생산!BF110</f>
        <v>0</v>
      </c>
      <c r="S113" s="9">
        <f>[18]운전시간외!C110</f>
        <v>0</v>
      </c>
      <c r="T113" s="9">
        <f>[18]운전시간외!D110</f>
        <v>0</v>
      </c>
      <c r="U113" s="9">
        <f>[18]운전시간외!E110</f>
        <v>0</v>
      </c>
      <c r="V113" s="9">
        <f>[18]운전시간외!F110</f>
        <v>0</v>
      </c>
      <c r="W113" s="11">
        <f>[18]생산!F110</f>
        <v>0</v>
      </c>
      <c r="X113" s="11">
        <f>[18]생산!G110</f>
        <v>0</v>
      </c>
      <c r="Y113" s="11">
        <f>[18]생산!H110</f>
        <v>0</v>
      </c>
      <c r="Z113" s="11">
        <f>[18]생산!I110</f>
        <v>0</v>
      </c>
      <c r="AA113" s="11">
        <f>[18]생산!J110</f>
        <v>0</v>
      </c>
      <c r="AB113" s="11">
        <f>[18]생산!K110</f>
        <v>0</v>
      </c>
      <c r="AC113" s="11"/>
    </row>
    <row r="114" spans="1:29">
      <c r="A114" s="6">
        <v>46131</v>
      </c>
      <c r="B114" s="12">
        <f>'[18]key-in(LO)'!AA112</f>
        <v>0</v>
      </c>
      <c r="C114" s="12">
        <f>'[18]key-in(LO)'!AB112</f>
        <v>0</v>
      </c>
      <c r="D114" s="12">
        <f>'[18]key-in(LO)'!AC112</f>
        <v>0</v>
      </c>
      <c r="E114" s="12">
        <f>'[18]key-in(LO)'!AD112</f>
        <v>0</v>
      </c>
      <c r="F114" s="12">
        <f>'[18]key-in(LO)'!AE112</f>
        <v>0</v>
      </c>
      <c r="G114" s="115">
        <f>'[18]key-in(LO)'!AF112</f>
        <v>0</v>
      </c>
      <c r="H114" s="12">
        <f>'[18]key-in(LO)'!AG112</f>
        <v>0</v>
      </c>
      <c r="I114" s="12">
        <f>'[18]key-in(LO)'!AH112</f>
        <v>0</v>
      </c>
      <c r="J114" s="10">
        <f>'[18]key-in(ACO)'!$AR112</f>
        <v>0</v>
      </c>
      <c r="K114" s="10">
        <f>'[18]key-in(ACO)'!$AS112</f>
        <v>0</v>
      </c>
      <c r="L114" s="9">
        <f>'[18]key-in(ACO)'!$AV112</f>
        <v>0</v>
      </c>
      <c r="M114" s="10">
        <f>[18]생산!BA111</f>
        <v>0</v>
      </c>
      <c r="N114" s="10">
        <f>[18]생산!BB111</f>
        <v>0</v>
      </c>
      <c r="O114" s="10">
        <f>[18]생산!BC111</f>
        <v>0</v>
      </c>
      <c r="P114" s="10">
        <f>[18]생산!BD111</f>
        <v>0</v>
      </c>
      <c r="Q114" s="10">
        <f>[18]생산!BE111</f>
        <v>0</v>
      </c>
      <c r="R114" s="10">
        <f>[18]생산!BF111</f>
        <v>0</v>
      </c>
      <c r="S114" s="9">
        <f>[18]운전시간외!C111</f>
        <v>0</v>
      </c>
      <c r="T114" s="9">
        <f>[18]운전시간외!D111</f>
        <v>0</v>
      </c>
      <c r="U114" s="9">
        <f>[18]운전시간외!E111</f>
        <v>0</v>
      </c>
      <c r="V114" s="9">
        <f>[18]운전시간외!F111</f>
        <v>0</v>
      </c>
      <c r="W114" s="11">
        <f>[18]생산!F111</f>
        <v>0</v>
      </c>
      <c r="X114" s="11">
        <f>[18]생산!G111</f>
        <v>0</v>
      </c>
      <c r="Y114" s="11">
        <f>[18]생산!H111</f>
        <v>0</v>
      </c>
      <c r="Z114" s="11">
        <f>[18]생산!I111</f>
        <v>0</v>
      </c>
      <c r="AA114" s="11">
        <f>[18]생산!J111</f>
        <v>0</v>
      </c>
      <c r="AB114" s="11">
        <f>[18]생산!K111</f>
        <v>0</v>
      </c>
      <c r="AC114" s="11"/>
    </row>
    <row r="115" spans="1:29">
      <c r="A115" s="6">
        <v>46132</v>
      </c>
      <c r="B115" s="12">
        <f>'[18]key-in(LO)'!AA113</f>
        <v>0</v>
      </c>
      <c r="C115" s="12">
        <f>'[18]key-in(LO)'!AB113</f>
        <v>0</v>
      </c>
      <c r="D115" s="12">
        <f>'[18]key-in(LO)'!AC113</f>
        <v>0</v>
      </c>
      <c r="E115" s="12">
        <f>'[18]key-in(LO)'!AD113</f>
        <v>0</v>
      </c>
      <c r="F115" s="12">
        <f>'[18]key-in(LO)'!AE113</f>
        <v>0</v>
      </c>
      <c r="G115" s="115">
        <f>'[18]key-in(LO)'!AF113</f>
        <v>0</v>
      </c>
      <c r="H115" s="12">
        <f>'[18]key-in(LO)'!AG113</f>
        <v>0</v>
      </c>
      <c r="I115" s="12">
        <f>'[18]key-in(LO)'!AH113</f>
        <v>0</v>
      </c>
      <c r="J115" s="10">
        <f>'[18]key-in(ACO)'!$AR113</f>
        <v>0</v>
      </c>
      <c r="K115" s="10">
        <f>'[18]key-in(ACO)'!$AS113</f>
        <v>0</v>
      </c>
      <c r="L115" s="9">
        <f>'[18]key-in(ACO)'!$AV113</f>
        <v>0</v>
      </c>
      <c r="M115" s="10">
        <f>[18]생산!BA112</f>
        <v>0</v>
      </c>
      <c r="N115" s="10">
        <f>[18]생산!BB112</f>
        <v>0</v>
      </c>
      <c r="O115" s="10">
        <f>[18]생산!BC112</f>
        <v>0</v>
      </c>
      <c r="P115" s="10">
        <f>[18]생산!BD112</f>
        <v>0</v>
      </c>
      <c r="Q115" s="10">
        <f>[18]생산!BE112</f>
        <v>0</v>
      </c>
      <c r="R115" s="10">
        <f>[18]생산!BF112</f>
        <v>0</v>
      </c>
      <c r="S115" s="9">
        <f>[18]운전시간외!C112</f>
        <v>0</v>
      </c>
      <c r="T115" s="9">
        <f>[18]운전시간외!D112</f>
        <v>0</v>
      </c>
      <c r="U115" s="9">
        <f>[18]운전시간외!E112</f>
        <v>0</v>
      </c>
      <c r="V115" s="9">
        <f>[18]운전시간외!F112</f>
        <v>0</v>
      </c>
      <c r="W115" s="11">
        <f>[18]생산!F112</f>
        <v>0</v>
      </c>
      <c r="X115" s="11">
        <f>[18]생산!G112</f>
        <v>0</v>
      </c>
      <c r="Y115" s="11">
        <f>[18]생산!H112</f>
        <v>0</v>
      </c>
      <c r="Z115" s="11">
        <f>[18]생산!I112</f>
        <v>0</v>
      </c>
      <c r="AA115" s="11">
        <f>[18]생산!J112</f>
        <v>0</v>
      </c>
      <c r="AB115" s="11">
        <f>[18]생산!K112</f>
        <v>0</v>
      </c>
      <c r="AC115" s="11"/>
    </row>
    <row r="116" spans="1:29">
      <c r="A116" s="6">
        <v>46133</v>
      </c>
      <c r="B116" s="12">
        <f>'[18]key-in(LO)'!AA114</f>
        <v>0</v>
      </c>
      <c r="C116" s="12">
        <f>'[18]key-in(LO)'!AB114</f>
        <v>0</v>
      </c>
      <c r="D116" s="12">
        <f>'[18]key-in(LO)'!AC114</f>
        <v>0</v>
      </c>
      <c r="E116" s="12">
        <f>'[18]key-in(LO)'!AD114</f>
        <v>0</v>
      </c>
      <c r="F116" s="12">
        <f>'[18]key-in(LO)'!AE114</f>
        <v>0</v>
      </c>
      <c r="G116" s="115">
        <f>'[18]key-in(LO)'!AF114</f>
        <v>0</v>
      </c>
      <c r="H116" s="12">
        <f>'[18]key-in(LO)'!AG114</f>
        <v>0</v>
      </c>
      <c r="I116" s="12">
        <f>'[18]key-in(LO)'!AH114</f>
        <v>0</v>
      </c>
      <c r="J116" s="10">
        <f>'[18]key-in(ACO)'!$AR114</f>
        <v>0</v>
      </c>
      <c r="K116" s="10">
        <f>'[18]key-in(ACO)'!$AS114</f>
        <v>0</v>
      </c>
      <c r="L116" s="9">
        <f>'[18]key-in(ACO)'!$AV114</f>
        <v>0</v>
      </c>
      <c r="M116" s="10">
        <f>[18]생산!BA113</f>
        <v>0</v>
      </c>
      <c r="N116" s="10">
        <f>[18]생산!BB113</f>
        <v>0</v>
      </c>
      <c r="O116" s="10">
        <f>[18]생산!BC113</f>
        <v>0</v>
      </c>
      <c r="P116" s="10">
        <f>[18]생산!BD113</f>
        <v>0</v>
      </c>
      <c r="Q116" s="10">
        <f>[18]생산!BE113</f>
        <v>0</v>
      </c>
      <c r="R116" s="10">
        <f>[18]생산!BF113</f>
        <v>0</v>
      </c>
      <c r="S116" s="9">
        <f>[18]운전시간외!C113</f>
        <v>0</v>
      </c>
      <c r="T116" s="9">
        <f>[18]운전시간외!D113</f>
        <v>0</v>
      </c>
      <c r="U116" s="9">
        <f>[18]운전시간외!E113</f>
        <v>0</v>
      </c>
      <c r="V116" s="9">
        <f>[18]운전시간외!F113</f>
        <v>0</v>
      </c>
      <c r="W116" s="11">
        <f>[18]생산!F113</f>
        <v>0</v>
      </c>
      <c r="X116" s="11">
        <f>[18]생산!G113</f>
        <v>0</v>
      </c>
      <c r="Y116" s="11">
        <f>[18]생산!H113</f>
        <v>0</v>
      </c>
      <c r="Z116" s="11">
        <f>[18]생산!I113</f>
        <v>0</v>
      </c>
      <c r="AA116" s="11">
        <f>[18]생산!J113</f>
        <v>0</v>
      </c>
      <c r="AB116" s="11">
        <f>[18]생산!K113</f>
        <v>0</v>
      </c>
      <c r="AC116" s="11"/>
    </row>
    <row r="117" spans="1:29">
      <c r="A117" s="6">
        <v>46134</v>
      </c>
      <c r="B117" s="12">
        <f>'[18]key-in(LO)'!AA115</f>
        <v>0</v>
      </c>
      <c r="C117" s="12">
        <f>'[18]key-in(LO)'!AB115</f>
        <v>0</v>
      </c>
      <c r="D117" s="12">
        <f>'[18]key-in(LO)'!AC115</f>
        <v>0</v>
      </c>
      <c r="E117" s="12">
        <f>'[18]key-in(LO)'!AD115</f>
        <v>0</v>
      </c>
      <c r="F117" s="12">
        <f>'[18]key-in(LO)'!AE115</f>
        <v>0</v>
      </c>
      <c r="G117" s="115">
        <f>'[18]key-in(LO)'!AF115</f>
        <v>0</v>
      </c>
      <c r="H117" s="12">
        <f>'[18]key-in(LO)'!AG115</f>
        <v>0</v>
      </c>
      <c r="I117" s="12">
        <f>'[18]key-in(LO)'!AH115</f>
        <v>0</v>
      </c>
      <c r="J117" s="10">
        <f>'[18]key-in(ACO)'!$AR115</f>
        <v>0</v>
      </c>
      <c r="K117" s="10">
        <f>'[18]key-in(ACO)'!$AS115</f>
        <v>0</v>
      </c>
      <c r="L117" s="9">
        <f>'[18]key-in(ACO)'!$AV115</f>
        <v>0</v>
      </c>
      <c r="M117" s="10">
        <f>[18]생산!BA114</f>
        <v>0</v>
      </c>
      <c r="N117" s="10">
        <f>[18]생산!BB114</f>
        <v>0</v>
      </c>
      <c r="O117" s="10">
        <f>[18]생산!BC114</f>
        <v>0</v>
      </c>
      <c r="P117" s="10">
        <f>[18]생산!BD114</f>
        <v>0</v>
      </c>
      <c r="Q117" s="10">
        <f>[18]생산!BE114</f>
        <v>0</v>
      </c>
      <c r="R117" s="10">
        <f>[18]생산!BF114</f>
        <v>0</v>
      </c>
      <c r="S117" s="9">
        <f>[18]운전시간외!C114</f>
        <v>0</v>
      </c>
      <c r="T117" s="9">
        <f>[18]운전시간외!D114</f>
        <v>0</v>
      </c>
      <c r="U117" s="9">
        <f>[18]운전시간외!E114</f>
        <v>0</v>
      </c>
      <c r="V117" s="9">
        <f>[18]운전시간외!F114</f>
        <v>0</v>
      </c>
      <c r="W117" s="11">
        <f>[18]생산!F114</f>
        <v>0</v>
      </c>
      <c r="X117" s="11">
        <f>[18]생산!G114</f>
        <v>0</v>
      </c>
      <c r="Y117" s="11">
        <f>[18]생산!H114</f>
        <v>0</v>
      </c>
      <c r="Z117" s="11">
        <f>[18]생산!I114</f>
        <v>0</v>
      </c>
      <c r="AA117" s="11">
        <f>[18]생산!J114</f>
        <v>0</v>
      </c>
      <c r="AB117" s="11">
        <f>[18]생산!K114</f>
        <v>0</v>
      </c>
      <c r="AC117" s="11"/>
    </row>
    <row r="118" spans="1:29">
      <c r="A118" s="6">
        <v>46135</v>
      </c>
      <c r="B118" s="12">
        <f>'[18]key-in(LO)'!AA116</f>
        <v>0</v>
      </c>
      <c r="C118" s="12">
        <f>'[18]key-in(LO)'!AB116</f>
        <v>0</v>
      </c>
      <c r="D118" s="12">
        <f>'[18]key-in(LO)'!AC116</f>
        <v>0</v>
      </c>
      <c r="E118" s="12">
        <f>'[18]key-in(LO)'!AD116</f>
        <v>0</v>
      </c>
      <c r="F118" s="12">
        <f>'[18]key-in(LO)'!AE116</f>
        <v>0</v>
      </c>
      <c r="G118" s="115">
        <f>'[18]key-in(LO)'!AF116</f>
        <v>0</v>
      </c>
      <c r="H118" s="12">
        <f>'[18]key-in(LO)'!AG116</f>
        <v>0</v>
      </c>
      <c r="I118" s="12">
        <f>'[18]key-in(LO)'!AH116</f>
        <v>0</v>
      </c>
      <c r="J118" s="10">
        <f>'[18]key-in(ACO)'!$AR116</f>
        <v>0</v>
      </c>
      <c r="K118" s="10">
        <f>'[18]key-in(ACO)'!$AS116</f>
        <v>0</v>
      </c>
      <c r="L118" s="9">
        <f>'[18]key-in(ACO)'!$AV116</f>
        <v>0</v>
      </c>
      <c r="M118" s="10">
        <f>[18]생산!BA115</f>
        <v>0</v>
      </c>
      <c r="N118" s="10">
        <f>[18]생산!BB115</f>
        <v>0</v>
      </c>
      <c r="O118" s="10">
        <f>[18]생산!BC115</f>
        <v>0</v>
      </c>
      <c r="P118" s="10">
        <f>[18]생산!BD115</f>
        <v>0</v>
      </c>
      <c r="Q118" s="10">
        <f>[18]생산!BE115</f>
        <v>0</v>
      </c>
      <c r="R118" s="10">
        <f>[18]생산!BF115</f>
        <v>0</v>
      </c>
      <c r="S118" s="9">
        <f>[18]운전시간외!C115</f>
        <v>0</v>
      </c>
      <c r="T118" s="9">
        <f>[18]운전시간외!D115</f>
        <v>0</v>
      </c>
      <c r="U118" s="9">
        <f>[18]운전시간외!E115</f>
        <v>0</v>
      </c>
      <c r="V118" s="9">
        <f>[18]운전시간외!F115</f>
        <v>0</v>
      </c>
      <c r="W118" s="11">
        <f>[18]생산!F115</f>
        <v>0</v>
      </c>
      <c r="X118" s="11">
        <f>[18]생산!G115</f>
        <v>0</v>
      </c>
      <c r="Y118" s="11">
        <f>[18]생산!H115</f>
        <v>0</v>
      </c>
      <c r="Z118" s="11">
        <f>[18]생산!I115</f>
        <v>0</v>
      </c>
      <c r="AA118" s="11">
        <f>[18]생산!J115</f>
        <v>0</v>
      </c>
      <c r="AB118" s="11">
        <f>[18]생산!K115</f>
        <v>0</v>
      </c>
      <c r="AC118" s="11"/>
    </row>
    <row r="119" spans="1:29">
      <c r="A119" s="6">
        <v>46136</v>
      </c>
      <c r="B119" s="12">
        <f>'[18]key-in(LO)'!AA117</f>
        <v>0</v>
      </c>
      <c r="C119" s="12">
        <f>'[18]key-in(LO)'!AB117</f>
        <v>0</v>
      </c>
      <c r="D119" s="12">
        <f>'[18]key-in(LO)'!AC117</f>
        <v>0</v>
      </c>
      <c r="E119" s="12">
        <f>'[18]key-in(LO)'!AD117</f>
        <v>0</v>
      </c>
      <c r="F119" s="12">
        <f>'[18]key-in(LO)'!AE117</f>
        <v>0</v>
      </c>
      <c r="G119" s="115">
        <f>'[18]key-in(LO)'!AF117</f>
        <v>0</v>
      </c>
      <c r="H119" s="12">
        <f>'[18]key-in(LO)'!AG117</f>
        <v>0</v>
      </c>
      <c r="I119" s="12">
        <f>'[18]key-in(LO)'!AH117</f>
        <v>0</v>
      </c>
      <c r="J119" s="10">
        <f>'[18]key-in(ACO)'!$AR117</f>
        <v>0</v>
      </c>
      <c r="K119" s="10">
        <f>'[18]key-in(ACO)'!$AS117</f>
        <v>0</v>
      </c>
      <c r="L119" s="9">
        <f>'[18]key-in(ACO)'!$AV117</f>
        <v>0</v>
      </c>
      <c r="M119" s="10">
        <f>[18]생산!BA116</f>
        <v>0</v>
      </c>
      <c r="N119" s="10">
        <f>[18]생산!BB116</f>
        <v>0</v>
      </c>
      <c r="O119" s="10">
        <f>[18]생산!BC116</f>
        <v>0</v>
      </c>
      <c r="P119" s="10">
        <f>[18]생산!BD116</f>
        <v>0</v>
      </c>
      <c r="Q119" s="10">
        <f>[18]생산!BE116</f>
        <v>0</v>
      </c>
      <c r="R119" s="10">
        <f>[18]생산!BF116</f>
        <v>0</v>
      </c>
      <c r="S119" s="9">
        <f>[18]운전시간외!C116</f>
        <v>0</v>
      </c>
      <c r="T119" s="9">
        <f>[18]운전시간외!D116</f>
        <v>0</v>
      </c>
      <c r="U119" s="9">
        <f>[18]운전시간외!E116</f>
        <v>0</v>
      </c>
      <c r="V119" s="9">
        <f>[18]운전시간외!F116</f>
        <v>0</v>
      </c>
      <c r="W119" s="11">
        <f>[18]생산!F116</f>
        <v>0</v>
      </c>
      <c r="X119" s="11">
        <f>[18]생산!G116</f>
        <v>0</v>
      </c>
      <c r="Y119" s="11">
        <f>[18]생산!H116</f>
        <v>0</v>
      </c>
      <c r="Z119" s="11">
        <f>[18]생산!I116</f>
        <v>0</v>
      </c>
      <c r="AA119" s="11">
        <f>[18]생산!J116</f>
        <v>0</v>
      </c>
      <c r="AB119" s="11">
        <f>[18]생산!K116</f>
        <v>0</v>
      </c>
      <c r="AC119" s="11"/>
    </row>
    <row r="120" spans="1:29">
      <c r="A120" s="6">
        <v>46137</v>
      </c>
      <c r="B120" s="12">
        <f>'[18]key-in(LO)'!AA118</f>
        <v>0</v>
      </c>
      <c r="C120" s="12">
        <f>'[18]key-in(LO)'!AB118</f>
        <v>0</v>
      </c>
      <c r="D120" s="12">
        <f>'[18]key-in(LO)'!AC118</f>
        <v>0</v>
      </c>
      <c r="E120" s="12">
        <f>'[18]key-in(LO)'!AD118</f>
        <v>0</v>
      </c>
      <c r="F120" s="12">
        <f>'[18]key-in(LO)'!AE118</f>
        <v>0</v>
      </c>
      <c r="G120" s="115">
        <f>'[18]key-in(LO)'!AF118</f>
        <v>0</v>
      </c>
      <c r="H120" s="12">
        <f>'[18]key-in(LO)'!AG118</f>
        <v>0</v>
      </c>
      <c r="I120" s="12">
        <f>'[18]key-in(LO)'!AH118</f>
        <v>0</v>
      </c>
      <c r="J120" s="10">
        <f>'[18]key-in(ACO)'!$AR118</f>
        <v>0</v>
      </c>
      <c r="K120" s="10">
        <f>'[18]key-in(ACO)'!$AS118</f>
        <v>0</v>
      </c>
      <c r="L120" s="9">
        <f>'[18]key-in(ACO)'!$AV118</f>
        <v>0</v>
      </c>
      <c r="M120" s="10">
        <f>[18]생산!BA117</f>
        <v>0</v>
      </c>
      <c r="N120" s="10">
        <f>[18]생산!BB117</f>
        <v>0</v>
      </c>
      <c r="O120" s="10">
        <f>[18]생산!BC117</f>
        <v>0</v>
      </c>
      <c r="P120" s="10">
        <f>[18]생산!BD117</f>
        <v>0</v>
      </c>
      <c r="Q120" s="10">
        <f>[18]생산!BE117</f>
        <v>0</v>
      </c>
      <c r="R120" s="10">
        <f>[18]생산!BF117</f>
        <v>0</v>
      </c>
      <c r="S120" s="9">
        <f>[18]운전시간외!C117</f>
        <v>0</v>
      </c>
      <c r="T120" s="9">
        <f>[18]운전시간외!D117</f>
        <v>0</v>
      </c>
      <c r="U120" s="9">
        <f>[18]운전시간외!E117</f>
        <v>0</v>
      </c>
      <c r="V120" s="9">
        <f>[18]운전시간외!F117</f>
        <v>0</v>
      </c>
      <c r="W120" s="11">
        <f>[18]생산!F117</f>
        <v>0</v>
      </c>
      <c r="X120" s="11">
        <f>[18]생산!G117</f>
        <v>0</v>
      </c>
      <c r="Y120" s="11">
        <f>[18]생산!H117</f>
        <v>0</v>
      </c>
      <c r="Z120" s="11">
        <f>[18]생산!I117</f>
        <v>0</v>
      </c>
      <c r="AA120" s="11">
        <f>[18]생산!J117</f>
        <v>0</v>
      </c>
      <c r="AB120" s="11">
        <f>[18]생산!K117</f>
        <v>0</v>
      </c>
      <c r="AC120" s="11"/>
    </row>
    <row r="121" spans="1:29">
      <c r="A121" s="6">
        <v>46138</v>
      </c>
      <c r="B121" s="12">
        <f>'[18]key-in(LO)'!AA119</f>
        <v>0</v>
      </c>
      <c r="C121" s="12">
        <f>'[18]key-in(LO)'!AB119</f>
        <v>0</v>
      </c>
      <c r="D121" s="12">
        <f>'[18]key-in(LO)'!AC119</f>
        <v>0</v>
      </c>
      <c r="E121" s="12">
        <f>'[18]key-in(LO)'!AD119</f>
        <v>0</v>
      </c>
      <c r="F121" s="12">
        <f>'[18]key-in(LO)'!AE119</f>
        <v>0</v>
      </c>
      <c r="G121" s="115">
        <f>'[18]key-in(LO)'!AF119</f>
        <v>0</v>
      </c>
      <c r="H121" s="12">
        <f>'[18]key-in(LO)'!AG119</f>
        <v>0</v>
      </c>
      <c r="I121" s="12">
        <f>'[18]key-in(LO)'!AH119</f>
        <v>0</v>
      </c>
      <c r="J121" s="10">
        <f>'[18]key-in(ACO)'!$AR119</f>
        <v>0</v>
      </c>
      <c r="K121" s="10">
        <f>'[18]key-in(ACO)'!$AS119</f>
        <v>0</v>
      </c>
      <c r="L121" s="9">
        <f>'[18]key-in(ACO)'!$AV119</f>
        <v>0</v>
      </c>
      <c r="M121" s="10">
        <f>[18]생산!BA118</f>
        <v>0</v>
      </c>
      <c r="N121" s="10">
        <f>[18]생산!BB118</f>
        <v>0</v>
      </c>
      <c r="O121" s="10">
        <f>[18]생산!BC118</f>
        <v>0</v>
      </c>
      <c r="P121" s="10">
        <f>[18]생산!BD118</f>
        <v>0</v>
      </c>
      <c r="Q121" s="10">
        <f>[18]생산!BE118</f>
        <v>0</v>
      </c>
      <c r="R121" s="10">
        <f>[18]생산!BF118</f>
        <v>0</v>
      </c>
      <c r="S121" s="9">
        <f>[18]운전시간외!C118</f>
        <v>0</v>
      </c>
      <c r="T121" s="9">
        <f>[18]운전시간외!D118</f>
        <v>0</v>
      </c>
      <c r="U121" s="9">
        <f>[18]운전시간외!E118</f>
        <v>0</v>
      </c>
      <c r="V121" s="9">
        <f>[18]운전시간외!F118</f>
        <v>0</v>
      </c>
      <c r="W121" s="11">
        <f>[18]생산!F118</f>
        <v>0</v>
      </c>
      <c r="X121" s="11">
        <f>[18]생산!G118</f>
        <v>0</v>
      </c>
      <c r="Y121" s="11">
        <f>[18]생산!H118</f>
        <v>0</v>
      </c>
      <c r="Z121" s="11">
        <f>[18]생산!I118</f>
        <v>0</v>
      </c>
      <c r="AA121" s="11">
        <f>[18]생산!J118</f>
        <v>0</v>
      </c>
      <c r="AB121" s="11">
        <f>[18]생산!K118</f>
        <v>0</v>
      </c>
      <c r="AC121" s="11"/>
    </row>
    <row r="122" spans="1:29">
      <c r="A122" s="6">
        <v>46139</v>
      </c>
      <c r="B122" s="12">
        <f>'[18]key-in(LO)'!AA120</f>
        <v>0</v>
      </c>
      <c r="C122" s="12">
        <f>'[18]key-in(LO)'!AB120</f>
        <v>0</v>
      </c>
      <c r="D122" s="12">
        <f>'[18]key-in(LO)'!AC120</f>
        <v>0</v>
      </c>
      <c r="E122" s="12">
        <f>'[18]key-in(LO)'!AD120</f>
        <v>0</v>
      </c>
      <c r="F122" s="12">
        <f>'[18]key-in(LO)'!AE120</f>
        <v>0</v>
      </c>
      <c r="G122" s="115">
        <f>'[18]key-in(LO)'!AF120</f>
        <v>0</v>
      </c>
      <c r="H122" s="12">
        <f>'[18]key-in(LO)'!AG120</f>
        <v>0</v>
      </c>
      <c r="I122" s="12">
        <f>'[18]key-in(LO)'!AH120</f>
        <v>0</v>
      </c>
      <c r="J122" s="10">
        <f>'[18]key-in(ACO)'!$AR120</f>
        <v>0</v>
      </c>
      <c r="K122" s="10">
        <f>'[18]key-in(ACO)'!$AS120</f>
        <v>0</v>
      </c>
      <c r="L122" s="9">
        <f>'[18]key-in(ACO)'!$AV120</f>
        <v>0</v>
      </c>
      <c r="M122" s="10">
        <f>[18]생산!BA119</f>
        <v>0</v>
      </c>
      <c r="N122" s="10">
        <f>[18]생산!BB119</f>
        <v>0</v>
      </c>
      <c r="O122" s="10">
        <f>[18]생산!BC119</f>
        <v>0</v>
      </c>
      <c r="P122" s="10">
        <f>[18]생산!BD119</f>
        <v>0</v>
      </c>
      <c r="Q122" s="10">
        <f>[18]생산!BE119</f>
        <v>0</v>
      </c>
      <c r="R122" s="10">
        <f>[18]생산!BF119</f>
        <v>0</v>
      </c>
      <c r="S122" s="9">
        <f>[18]운전시간외!C119</f>
        <v>0</v>
      </c>
      <c r="T122" s="9">
        <f>[18]운전시간외!D119</f>
        <v>0</v>
      </c>
      <c r="U122" s="9">
        <f>[18]운전시간외!E119</f>
        <v>0</v>
      </c>
      <c r="V122" s="9">
        <f>[18]운전시간외!F119</f>
        <v>0</v>
      </c>
      <c r="W122" s="11">
        <f>[18]생산!F119</f>
        <v>0</v>
      </c>
      <c r="X122" s="11">
        <f>[18]생산!G119</f>
        <v>0</v>
      </c>
      <c r="Y122" s="11">
        <f>[18]생산!H119</f>
        <v>0</v>
      </c>
      <c r="Z122" s="11">
        <f>[18]생산!I119</f>
        <v>0</v>
      </c>
      <c r="AA122" s="11">
        <f>[18]생산!J119</f>
        <v>0</v>
      </c>
      <c r="AB122" s="11">
        <f>[18]생산!K119</f>
        <v>0</v>
      </c>
      <c r="AC122" s="11"/>
    </row>
    <row r="123" spans="1:29">
      <c r="A123" s="6">
        <v>46140</v>
      </c>
      <c r="B123" s="12">
        <f>'[18]key-in(LO)'!AA121</f>
        <v>0</v>
      </c>
      <c r="C123" s="12">
        <f>'[18]key-in(LO)'!AB121</f>
        <v>0</v>
      </c>
      <c r="D123" s="12">
        <f>'[18]key-in(LO)'!AC121</f>
        <v>0</v>
      </c>
      <c r="E123" s="12">
        <f>'[18]key-in(LO)'!AD121</f>
        <v>0</v>
      </c>
      <c r="F123" s="12">
        <f>'[18]key-in(LO)'!AE121</f>
        <v>0</v>
      </c>
      <c r="G123" s="115">
        <f>'[18]key-in(LO)'!AF121</f>
        <v>0</v>
      </c>
      <c r="H123" s="12">
        <f>'[18]key-in(LO)'!AG121</f>
        <v>0</v>
      </c>
      <c r="I123" s="12">
        <f>'[18]key-in(LO)'!AH121</f>
        <v>0</v>
      </c>
      <c r="J123" s="10">
        <f>'[18]key-in(ACO)'!$AR121</f>
        <v>0</v>
      </c>
      <c r="K123" s="10">
        <f>'[18]key-in(ACO)'!$AS121</f>
        <v>0</v>
      </c>
      <c r="L123" s="9">
        <f>'[18]key-in(ACO)'!$AV121</f>
        <v>0</v>
      </c>
      <c r="M123" s="10">
        <f>[18]생산!BA120</f>
        <v>0</v>
      </c>
      <c r="N123" s="10">
        <f>[18]생산!BB120</f>
        <v>0</v>
      </c>
      <c r="O123" s="10">
        <f>[18]생산!BC120</f>
        <v>0</v>
      </c>
      <c r="P123" s="10">
        <f>[18]생산!BD120</f>
        <v>0</v>
      </c>
      <c r="Q123" s="10">
        <f>[18]생산!BE120</f>
        <v>0</v>
      </c>
      <c r="R123" s="10">
        <f>[18]생산!BF120</f>
        <v>0</v>
      </c>
      <c r="S123" s="9">
        <f>[18]운전시간외!C120</f>
        <v>0</v>
      </c>
      <c r="T123" s="9">
        <f>[18]운전시간외!D120</f>
        <v>0</v>
      </c>
      <c r="U123" s="9">
        <f>[18]운전시간외!E120</f>
        <v>0</v>
      </c>
      <c r="V123" s="9">
        <f>[18]운전시간외!F120</f>
        <v>0</v>
      </c>
      <c r="W123" s="11">
        <f>[18]생산!F120</f>
        <v>0</v>
      </c>
      <c r="X123" s="11">
        <f>[18]생산!G120</f>
        <v>0</v>
      </c>
      <c r="Y123" s="11">
        <f>[18]생산!H120</f>
        <v>0</v>
      </c>
      <c r="Z123" s="11">
        <f>[18]생산!I120</f>
        <v>0</v>
      </c>
      <c r="AA123" s="11">
        <f>[18]생산!J120</f>
        <v>0</v>
      </c>
      <c r="AB123" s="11">
        <f>[18]생산!K120</f>
        <v>0</v>
      </c>
      <c r="AC123" s="11"/>
    </row>
    <row r="124" spans="1:29">
      <c r="A124" s="6">
        <v>46141</v>
      </c>
      <c r="B124" s="12">
        <f>'[18]key-in(LO)'!AA122</f>
        <v>0</v>
      </c>
      <c r="C124" s="12">
        <f>'[18]key-in(LO)'!AB122</f>
        <v>0</v>
      </c>
      <c r="D124" s="12">
        <f>'[18]key-in(LO)'!AC122</f>
        <v>0</v>
      </c>
      <c r="E124" s="12">
        <f>'[18]key-in(LO)'!AD122</f>
        <v>0</v>
      </c>
      <c r="F124" s="12">
        <f>'[18]key-in(LO)'!AE122</f>
        <v>0</v>
      </c>
      <c r="G124" s="115">
        <f>'[18]key-in(LO)'!AF122</f>
        <v>0</v>
      </c>
      <c r="H124" s="12">
        <f>'[18]key-in(LO)'!AG122</f>
        <v>0</v>
      </c>
      <c r="I124" s="12">
        <f>'[18]key-in(LO)'!AH122</f>
        <v>0</v>
      </c>
      <c r="J124" s="10">
        <f>'[18]key-in(ACO)'!$AR122</f>
        <v>0</v>
      </c>
      <c r="K124" s="10">
        <f>'[18]key-in(ACO)'!$AS122</f>
        <v>0</v>
      </c>
      <c r="L124" s="9">
        <f>'[18]key-in(ACO)'!$AV122</f>
        <v>0</v>
      </c>
      <c r="M124" s="10">
        <f>[18]생산!BA121</f>
        <v>0</v>
      </c>
      <c r="N124" s="10">
        <f>[18]생산!BB121</f>
        <v>0</v>
      </c>
      <c r="O124" s="10">
        <f>[18]생산!BC121</f>
        <v>0</v>
      </c>
      <c r="P124" s="10">
        <f>[18]생산!BD121</f>
        <v>0</v>
      </c>
      <c r="Q124" s="10">
        <f>[18]생산!BE121</f>
        <v>0</v>
      </c>
      <c r="R124" s="10">
        <f>[18]생산!BF121</f>
        <v>0</v>
      </c>
      <c r="S124" s="9">
        <f>[18]운전시간외!C121</f>
        <v>0</v>
      </c>
      <c r="T124" s="9">
        <f>[18]운전시간외!D121</f>
        <v>0</v>
      </c>
      <c r="U124" s="9">
        <f>[18]운전시간외!E121</f>
        <v>0</v>
      </c>
      <c r="V124" s="9">
        <f>[18]운전시간외!F121</f>
        <v>0</v>
      </c>
      <c r="W124" s="11">
        <f>[18]생산!F121</f>
        <v>0</v>
      </c>
      <c r="X124" s="11">
        <f>[18]생산!G121</f>
        <v>0</v>
      </c>
      <c r="Y124" s="11">
        <f>[18]생산!H121</f>
        <v>0</v>
      </c>
      <c r="Z124" s="11">
        <f>[18]생산!I121</f>
        <v>0</v>
      </c>
      <c r="AA124" s="11">
        <f>[18]생산!J121</f>
        <v>0</v>
      </c>
      <c r="AB124" s="11">
        <f>[18]생산!K121</f>
        <v>0</v>
      </c>
      <c r="AC124" s="11"/>
    </row>
    <row r="125" spans="1:29">
      <c r="A125" s="6">
        <v>46142</v>
      </c>
      <c r="B125" s="12">
        <f>'[18]key-in(LO)'!AA123</f>
        <v>0</v>
      </c>
      <c r="C125" s="12">
        <f>'[18]key-in(LO)'!AB123</f>
        <v>0</v>
      </c>
      <c r="D125" s="12">
        <f>'[18]key-in(LO)'!AC123</f>
        <v>0</v>
      </c>
      <c r="E125" s="12">
        <f>'[18]key-in(LO)'!AD123</f>
        <v>0</v>
      </c>
      <c r="F125" s="12">
        <f>'[18]key-in(LO)'!AE123</f>
        <v>0</v>
      </c>
      <c r="G125" s="115">
        <f>'[18]key-in(LO)'!AF123</f>
        <v>0</v>
      </c>
      <c r="H125" s="12">
        <f>'[18]key-in(LO)'!AG123</f>
        <v>0</v>
      </c>
      <c r="I125" s="12">
        <f>'[18]key-in(LO)'!AH123</f>
        <v>0</v>
      </c>
      <c r="J125" s="10">
        <f>'[18]key-in(ACO)'!$AR123</f>
        <v>0</v>
      </c>
      <c r="K125" s="10">
        <f>'[18]key-in(ACO)'!$AS123</f>
        <v>0</v>
      </c>
      <c r="L125" s="9">
        <f>'[18]key-in(ACO)'!$AV123</f>
        <v>0</v>
      </c>
      <c r="M125" s="10">
        <f>[18]생산!BA122</f>
        <v>0</v>
      </c>
      <c r="N125" s="10">
        <f>[18]생산!BB122</f>
        <v>0</v>
      </c>
      <c r="O125" s="10">
        <f>[18]생산!BC122</f>
        <v>0</v>
      </c>
      <c r="P125" s="10">
        <f>[18]생산!BD122</f>
        <v>0</v>
      </c>
      <c r="Q125" s="10">
        <f>[18]생산!BE122</f>
        <v>0</v>
      </c>
      <c r="R125" s="10">
        <f>[18]생산!BF122</f>
        <v>0</v>
      </c>
      <c r="S125" s="9">
        <f>[18]운전시간외!C122</f>
        <v>0</v>
      </c>
      <c r="T125" s="9">
        <f>[18]운전시간외!D122</f>
        <v>0</v>
      </c>
      <c r="U125" s="9">
        <f>[18]운전시간외!E122</f>
        <v>0</v>
      </c>
      <c r="V125" s="9">
        <f>[18]운전시간외!F122</f>
        <v>0</v>
      </c>
      <c r="W125" s="11">
        <f>[18]생산!F122</f>
        <v>0</v>
      </c>
      <c r="X125" s="11">
        <f>[18]생산!G122</f>
        <v>0</v>
      </c>
      <c r="Y125" s="11">
        <f>[18]생산!H122</f>
        <v>0</v>
      </c>
      <c r="Z125" s="11">
        <f>[18]생산!I122</f>
        <v>0</v>
      </c>
      <c r="AA125" s="11">
        <f>[18]생산!J122</f>
        <v>0</v>
      </c>
      <c r="AB125" s="11">
        <f>[18]생산!K122</f>
        <v>0</v>
      </c>
      <c r="AC125" s="11"/>
    </row>
    <row r="126" spans="1:29">
      <c r="A126" s="6">
        <v>46143</v>
      </c>
      <c r="B126" s="12">
        <f>'[18]key-in(LO)'!AA124</f>
        <v>0</v>
      </c>
      <c r="C126" s="12">
        <f>'[18]key-in(LO)'!AB124</f>
        <v>0</v>
      </c>
      <c r="D126" s="12">
        <f>'[18]key-in(LO)'!AC124</f>
        <v>0</v>
      </c>
      <c r="E126" s="12">
        <f>'[18]key-in(LO)'!AD124</f>
        <v>0</v>
      </c>
      <c r="F126" s="12">
        <f>'[18]key-in(LO)'!AE124</f>
        <v>0</v>
      </c>
      <c r="G126" s="115">
        <f>'[18]key-in(LO)'!AF124</f>
        <v>0</v>
      </c>
      <c r="H126" s="12">
        <f>'[18]key-in(LO)'!AG124</f>
        <v>0</v>
      </c>
      <c r="I126" s="12">
        <f>'[18]key-in(LO)'!AH124</f>
        <v>0</v>
      </c>
      <c r="J126" s="10">
        <f>'[18]key-in(ACO)'!$AR124</f>
        <v>0</v>
      </c>
      <c r="K126" s="10">
        <f>'[18]key-in(ACO)'!$AS124</f>
        <v>0</v>
      </c>
      <c r="L126" s="9">
        <f>'[18]key-in(ACO)'!$AV124</f>
        <v>0</v>
      </c>
      <c r="M126" s="10">
        <f>[18]생산!BA123</f>
        <v>0</v>
      </c>
      <c r="N126" s="10">
        <f>[18]생산!BB123</f>
        <v>0</v>
      </c>
      <c r="O126" s="10">
        <f>[18]생산!BC123</f>
        <v>0</v>
      </c>
      <c r="P126" s="10">
        <f>[18]생산!BD123</f>
        <v>0</v>
      </c>
      <c r="Q126" s="10">
        <f>[18]생산!BE123</f>
        <v>0</v>
      </c>
      <c r="R126" s="10">
        <f>[18]생산!BF123</f>
        <v>0</v>
      </c>
      <c r="S126" s="9">
        <f>[18]운전시간외!C123</f>
        <v>0</v>
      </c>
      <c r="T126" s="9">
        <f>[18]운전시간외!D123</f>
        <v>0</v>
      </c>
      <c r="U126" s="9">
        <f>[18]운전시간외!E123</f>
        <v>0</v>
      </c>
      <c r="V126" s="9">
        <f>[18]운전시간외!F123</f>
        <v>0</v>
      </c>
      <c r="W126" s="11">
        <f>[18]생산!F123</f>
        <v>0</v>
      </c>
      <c r="X126" s="11">
        <f>[18]생산!G123</f>
        <v>0</v>
      </c>
      <c r="Y126" s="11">
        <f>[18]생산!H123</f>
        <v>0</v>
      </c>
      <c r="Z126" s="11">
        <f>[18]생산!I123</f>
        <v>0</v>
      </c>
      <c r="AA126" s="11">
        <f>[18]생산!J123</f>
        <v>0</v>
      </c>
      <c r="AB126" s="11">
        <f>[18]생산!K123</f>
        <v>0</v>
      </c>
      <c r="AC126" s="11"/>
    </row>
    <row r="127" spans="1:29">
      <c r="A127" s="6">
        <v>46144</v>
      </c>
      <c r="B127" s="12">
        <f>'[18]key-in(LO)'!AA125</f>
        <v>0</v>
      </c>
      <c r="C127" s="12">
        <f>'[18]key-in(LO)'!AB125</f>
        <v>0</v>
      </c>
      <c r="D127" s="12">
        <f>'[18]key-in(LO)'!AC125</f>
        <v>0</v>
      </c>
      <c r="E127" s="12">
        <f>'[18]key-in(LO)'!AD125</f>
        <v>0</v>
      </c>
      <c r="F127" s="12">
        <f>'[18]key-in(LO)'!AE125</f>
        <v>0</v>
      </c>
      <c r="G127" s="115">
        <f>'[18]key-in(LO)'!AF125</f>
        <v>0</v>
      </c>
      <c r="H127" s="12">
        <f>'[18]key-in(LO)'!AG125</f>
        <v>0</v>
      </c>
      <c r="I127" s="12">
        <f>'[18]key-in(LO)'!AH125</f>
        <v>0</v>
      </c>
      <c r="J127" s="10">
        <f>'[18]key-in(ACO)'!$AR125</f>
        <v>0</v>
      </c>
      <c r="K127" s="10">
        <f>'[18]key-in(ACO)'!$AS125</f>
        <v>0</v>
      </c>
      <c r="L127" s="9">
        <f>'[18]key-in(ACO)'!$AV125</f>
        <v>0</v>
      </c>
      <c r="M127" s="10">
        <f>[18]생산!BA124</f>
        <v>0</v>
      </c>
      <c r="N127" s="10">
        <f>[18]생산!BB124</f>
        <v>0</v>
      </c>
      <c r="O127" s="10">
        <f>[18]생산!BC124</f>
        <v>0</v>
      </c>
      <c r="P127" s="10">
        <f>[18]생산!BD124</f>
        <v>0</v>
      </c>
      <c r="Q127" s="10">
        <f>[18]생산!BE124</f>
        <v>0</v>
      </c>
      <c r="R127" s="10">
        <f>[18]생산!BF124</f>
        <v>0</v>
      </c>
      <c r="S127" s="9">
        <f>[18]운전시간외!C124</f>
        <v>0</v>
      </c>
      <c r="T127" s="9">
        <f>[18]운전시간외!D124</f>
        <v>0</v>
      </c>
      <c r="U127" s="9">
        <f>[18]운전시간외!E124</f>
        <v>0</v>
      </c>
      <c r="V127" s="9">
        <f>[18]운전시간외!F124</f>
        <v>0</v>
      </c>
      <c r="W127" s="11">
        <f>[18]생산!F124</f>
        <v>0</v>
      </c>
      <c r="X127" s="11">
        <f>[18]생산!G124</f>
        <v>0</v>
      </c>
      <c r="Y127" s="11">
        <f>[18]생산!H124</f>
        <v>0</v>
      </c>
      <c r="Z127" s="11">
        <f>[18]생산!I124</f>
        <v>0</v>
      </c>
      <c r="AA127" s="11">
        <f>[18]생산!J124</f>
        <v>0</v>
      </c>
      <c r="AB127" s="11">
        <f>[18]생산!K124</f>
        <v>0</v>
      </c>
      <c r="AC127" s="11"/>
    </row>
    <row r="128" spans="1:29">
      <c r="A128" s="6">
        <v>46145</v>
      </c>
      <c r="B128" s="12">
        <f>'[18]key-in(LO)'!AA126</f>
        <v>0</v>
      </c>
      <c r="C128" s="12">
        <f>'[18]key-in(LO)'!AB126</f>
        <v>0</v>
      </c>
      <c r="D128" s="12">
        <f>'[18]key-in(LO)'!AC126</f>
        <v>0</v>
      </c>
      <c r="E128" s="12">
        <f>'[18]key-in(LO)'!AD126</f>
        <v>0</v>
      </c>
      <c r="F128" s="12">
        <f>'[18]key-in(LO)'!AE126</f>
        <v>0</v>
      </c>
      <c r="G128" s="115">
        <f>'[18]key-in(LO)'!AF126</f>
        <v>0</v>
      </c>
      <c r="H128" s="12">
        <f>'[18]key-in(LO)'!AG126</f>
        <v>0</v>
      </c>
      <c r="I128" s="12">
        <f>'[18]key-in(LO)'!AH126</f>
        <v>0</v>
      </c>
      <c r="J128" s="10">
        <f>'[18]key-in(ACO)'!$AR126</f>
        <v>0</v>
      </c>
      <c r="K128" s="10">
        <f>'[18]key-in(ACO)'!$AS126</f>
        <v>0</v>
      </c>
      <c r="L128" s="9">
        <f>'[18]key-in(ACO)'!$AV126</f>
        <v>0</v>
      </c>
      <c r="M128" s="10">
        <f>[18]생산!BA125</f>
        <v>0</v>
      </c>
      <c r="N128" s="10">
        <f>[18]생산!BB125</f>
        <v>0</v>
      </c>
      <c r="O128" s="10">
        <f>[18]생산!BC125</f>
        <v>0</v>
      </c>
      <c r="P128" s="10">
        <f>[18]생산!BD125</f>
        <v>0</v>
      </c>
      <c r="Q128" s="10">
        <f>[18]생산!BE125</f>
        <v>0</v>
      </c>
      <c r="R128" s="10">
        <f>[18]생산!BF125</f>
        <v>0</v>
      </c>
      <c r="S128" s="9">
        <f>[18]운전시간외!C125</f>
        <v>0</v>
      </c>
      <c r="T128" s="9">
        <f>[18]운전시간외!D125</f>
        <v>0</v>
      </c>
      <c r="U128" s="9">
        <f>[18]운전시간외!E125</f>
        <v>0</v>
      </c>
      <c r="V128" s="9">
        <f>[18]운전시간외!F125</f>
        <v>0</v>
      </c>
      <c r="W128" s="11">
        <f>[18]생산!F125</f>
        <v>0</v>
      </c>
      <c r="X128" s="11">
        <f>[18]생산!G125</f>
        <v>0</v>
      </c>
      <c r="Y128" s="11">
        <f>[18]생산!H125</f>
        <v>0</v>
      </c>
      <c r="Z128" s="11">
        <f>[18]생산!I125</f>
        <v>0</v>
      </c>
      <c r="AA128" s="11">
        <f>[18]생산!J125</f>
        <v>0</v>
      </c>
      <c r="AB128" s="11">
        <f>[18]생산!K125</f>
        <v>0</v>
      </c>
      <c r="AC128" s="11"/>
    </row>
    <row r="129" spans="1:29">
      <c r="A129" s="6">
        <v>46146</v>
      </c>
      <c r="B129" s="12">
        <f>'[18]key-in(LO)'!AA127</f>
        <v>0</v>
      </c>
      <c r="C129" s="12">
        <f>'[18]key-in(LO)'!AB127</f>
        <v>0</v>
      </c>
      <c r="D129" s="12">
        <f>'[18]key-in(LO)'!AC127</f>
        <v>0</v>
      </c>
      <c r="E129" s="12">
        <f>'[18]key-in(LO)'!AD127</f>
        <v>0</v>
      </c>
      <c r="F129" s="12">
        <f>'[18]key-in(LO)'!AE127</f>
        <v>0</v>
      </c>
      <c r="G129" s="115">
        <f>'[18]key-in(LO)'!AF127</f>
        <v>0</v>
      </c>
      <c r="H129" s="12">
        <f>'[18]key-in(LO)'!AG127</f>
        <v>0</v>
      </c>
      <c r="I129" s="12">
        <f>'[18]key-in(LO)'!AH127</f>
        <v>0</v>
      </c>
      <c r="J129" s="10">
        <f>'[18]key-in(ACO)'!$AR127</f>
        <v>0</v>
      </c>
      <c r="K129" s="10">
        <f>'[18]key-in(ACO)'!$AS127</f>
        <v>0</v>
      </c>
      <c r="L129" s="9">
        <f>'[18]key-in(ACO)'!$AV127</f>
        <v>0</v>
      </c>
      <c r="M129" s="10">
        <f>[18]생산!BA126</f>
        <v>0</v>
      </c>
      <c r="N129" s="10">
        <f>[18]생산!BB126</f>
        <v>0</v>
      </c>
      <c r="O129" s="10">
        <f>[18]생산!BC126</f>
        <v>0</v>
      </c>
      <c r="P129" s="10">
        <f>[18]생산!BD126</f>
        <v>0</v>
      </c>
      <c r="Q129" s="10">
        <f>[18]생산!BE126</f>
        <v>0</v>
      </c>
      <c r="R129" s="10">
        <f>[18]생산!BF126</f>
        <v>0</v>
      </c>
      <c r="S129" s="9">
        <f>[18]운전시간외!C126</f>
        <v>0</v>
      </c>
      <c r="T129" s="9">
        <f>[18]운전시간외!D126</f>
        <v>0</v>
      </c>
      <c r="U129" s="9">
        <f>[18]운전시간외!E126</f>
        <v>0</v>
      </c>
      <c r="V129" s="9">
        <f>[18]운전시간외!F126</f>
        <v>0</v>
      </c>
      <c r="W129" s="11">
        <f>[18]생산!F126</f>
        <v>0</v>
      </c>
      <c r="X129" s="11">
        <f>[18]생산!G126</f>
        <v>0</v>
      </c>
      <c r="Y129" s="11">
        <f>[18]생산!H126</f>
        <v>0</v>
      </c>
      <c r="Z129" s="11">
        <f>[18]생산!I126</f>
        <v>0</v>
      </c>
      <c r="AA129" s="11">
        <f>[18]생산!J126</f>
        <v>0</v>
      </c>
      <c r="AB129" s="11">
        <f>[18]생산!K126</f>
        <v>0</v>
      </c>
      <c r="AC129" s="11"/>
    </row>
    <row r="130" spans="1:29">
      <c r="A130" s="6">
        <v>46147</v>
      </c>
      <c r="B130" s="12">
        <f>'[18]key-in(LO)'!AA128</f>
        <v>0</v>
      </c>
      <c r="C130" s="12">
        <f>'[18]key-in(LO)'!AB128</f>
        <v>0</v>
      </c>
      <c r="D130" s="12">
        <f>'[18]key-in(LO)'!AC128</f>
        <v>0</v>
      </c>
      <c r="E130" s="12">
        <f>'[18]key-in(LO)'!AD128</f>
        <v>0</v>
      </c>
      <c r="F130" s="12">
        <f>'[18]key-in(LO)'!AE128</f>
        <v>0</v>
      </c>
      <c r="G130" s="115">
        <f>'[18]key-in(LO)'!AF128</f>
        <v>0</v>
      </c>
      <c r="H130" s="12">
        <f>'[18]key-in(LO)'!AG128</f>
        <v>0</v>
      </c>
      <c r="I130" s="12">
        <f>'[18]key-in(LO)'!AH128</f>
        <v>0</v>
      </c>
      <c r="J130" s="10">
        <f>'[18]key-in(ACO)'!$AR128</f>
        <v>0</v>
      </c>
      <c r="K130" s="10">
        <f>'[18]key-in(ACO)'!$AS128</f>
        <v>0</v>
      </c>
      <c r="L130" s="9">
        <f>'[18]key-in(ACO)'!$AV128</f>
        <v>0</v>
      </c>
      <c r="M130" s="10">
        <f>[18]생산!BA127</f>
        <v>0</v>
      </c>
      <c r="N130" s="10">
        <f>[18]생산!BB127</f>
        <v>0</v>
      </c>
      <c r="O130" s="10">
        <f>[18]생산!BC127</f>
        <v>0</v>
      </c>
      <c r="P130" s="10">
        <f>[18]생산!BD127</f>
        <v>0</v>
      </c>
      <c r="Q130" s="10">
        <f>[18]생산!BE127</f>
        <v>0</v>
      </c>
      <c r="R130" s="10">
        <f>[18]생산!BF127</f>
        <v>0</v>
      </c>
      <c r="S130" s="9">
        <f>[18]운전시간외!C127</f>
        <v>0</v>
      </c>
      <c r="T130" s="9">
        <f>[18]운전시간외!D127</f>
        <v>0</v>
      </c>
      <c r="U130" s="9">
        <f>[18]운전시간외!E127</f>
        <v>0</v>
      </c>
      <c r="V130" s="9">
        <f>[18]운전시간외!F127</f>
        <v>0</v>
      </c>
      <c r="W130" s="11">
        <f>[18]생산!F127</f>
        <v>0</v>
      </c>
      <c r="X130" s="11">
        <f>[18]생산!G127</f>
        <v>0</v>
      </c>
      <c r="Y130" s="11">
        <f>[18]생산!H127</f>
        <v>0</v>
      </c>
      <c r="Z130" s="11">
        <f>[18]생산!I127</f>
        <v>0</v>
      </c>
      <c r="AA130" s="11">
        <f>[18]생산!J127</f>
        <v>0</v>
      </c>
      <c r="AB130" s="11">
        <f>[18]생산!K127</f>
        <v>0</v>
      </c>
      <c r="AC130" s="11"/>
    </row>
    <row r="131" spans="1:29">
      <c r="A131" s="6">
        <v>46148</v>
      </c>
      <c r="B131" s="12">
        <f>'[18]key-in(LO)'!AA129</f>
        <v>0</v>
      </c>
      <c r="C131" s="12">
        <f>'[18]key-in(LO)'!AB129</f>
        <v>0</v>
      </c>
      <c r="D131" s="12">
        <f>'[18]key-in(LO)'!AC129</f>
        <v>0</v>
      </c>
      <c r="E131" s="12">
        <f>'[18]key-in(LO)'!AD129</f>
        <v>0</v>
      </c>
      <c r="F131" s="12">
        <f>'[18]key-in(LO)'!AE129</f>
        <v>0</v>
      </c>
      <c r="G131" s="115">
        <f>'[18]key-in(LO)'!AF129</f>
        <v>0</v>
      </c>
      <c r="H131" s="12">
        <f>'[18]key-in(LO)'!AG129</f>
        <v>0</v>
      </c>
      <c r="I131" s="12">
        <f>'[18]key-in(LO)'!AH129</f>
        <v>0</v>
      </c>
      <c r="J131" s="10">
        <f>'[18]key-in(ACO)'!$AR129</f>
        <v>0</v>
      </c>
      <c r="K131" s="10">
        <f>'[18]key-in(ACO)'!$AS129</f>
        <v>0</v>
      </c>
      <c r="L131" s="9">
        <f>'[18]key-in(ACO)'!$AV129</f>
        <v>0</v>
      </c>
      <c r="M131" s="10">
        <f>[18]생산!BA128</f>
        <v>0</v>
      </c>
      <c r="N131" s="10">
        <f>[18]생산!BB128</f>
        <v>0</v>
      </c>
      <c r="O131" s="10">
        <f>[18]생산!BC128</f>
        <v>0</v>
      </c>
      <c r="P131" s="10">
        <f>[18]생산!BD128</f>
        <v>0</v>
      </c>
      <c r="Q131" s="10">
        <f>[18]생산!BE128</f>
        <v>0</v>
      </c>
      <c r="R131" s="10">
        <f>[18]생산!BF128</f>
        <v>0</v>
      </c>
      <c r="S131" s="9">
        <f>[18]운전시간외!C128</f>
        <v>0</v>
      </c>
      <c r="T131" s="9">
        <f>[18]운전시간외!D128</f>
        <v>0</v>
      </c>
      <c r="U131" s="9">
        <f>[18]운전시간외!E128</f>
        <v>0</v>
      </c>
      <c r="V131" s="9">
        <f>[18]운전시간외!F128</f>
        <v>0</v>
      </c>
      <c r="W131" s="11">
        <f>[18]생산!F128</f>
        <v>0</v>
      </c>
      <c r="X131" s="11">
        <f>[18]생산!G128</f>
        <v>0</v>
      </c>
      <c r="Y131" s="11">
        <f>[18]생산!H128</f>
        <v>0</v>
      </c>
      <c r="Z131" s="11">
        <f>[18]생산!I128</f>
        <v>0</v>
      </c>
      <c r="AA131" s="11">
        <f>[18]생산!J128</f>
        <v>0</v>
      </c>
      <c r="AB131" s="11">
        <f>[18]생산!K128</f>
        <v>0</v>
      </c>
      <c r="AC131" s="11"/>
    </row>
    <row r="132" spans="1:29">
      <c r="A132" s="6">
        <v>46149</v>
      </c>
      <c r="B132" s="12">
        <f>'[18]key-in(LO)'!AA130</f>
        <v>0</v>
      </c>
      <c r="C132" s="12">
        <f>'[18]key-in(LO)'!AB130</f>
        <v>0</v>
      </c>
      <c r="D132" s="12">
        <f>'[18]key-in(LO)'!AC130</f>
        <v>0</v>
      </c>
      <c r="E132" s="12">
        <f>'[18]key-in(LO)'!AD130</f>
        <v>0</v>
      </c>
      <c r="F132" s="12">
        <f>'[18]key-in(LO)'!AE130</f>
        <v>0</v>
      </c>
      <c r="G132" s="115">
        <f>'[18]key-in(LO)'!AF130</f>
        <v>0</v>
      </c>
      <c r="H132" s="12">
        <f>'[18]key-in(LO)'!AG130</f>
        <v>0</v>
      </c>
      <c r="I132" s="12">
        <f>'[18]key-in(LO)'!AH130</f>
        <v>0</v>
      </c>
      <c r="J132" s="10">
        <f>'[18]key-in(ACO)'!$AR130</f>
        <v>0</v>
      </c>
      <c r="K132" s="10">
        <f>'[18]key-in(ACO)'!$AS130</f>
        <v>0</v>
      </c>
      <c r="L132" s="9">
        <f>'[18]key-in(ACO)'!$AV130</f>
        <v>0</v>
      </c>
      <c r="M132" s="10">
        <f>[18]생산!BA129</f>
        <v>0</v>
      </c>
      <c r="N132" s="10">
        <f>[18]생산!BB129</f>
        <v>0</v>
      </c>
      <c r="O132" s="10">
        <f>[18]생산!BC129</f>
        <v>0</v>
      </c>
      <c r="P132" s="10">
        <f>[18]생산!BD129</f>
        <v>0</v>
      </c>
      <c r="Q132" s="10">
        <f>[18]생산!BE129</f>
        <v>0</v>
      </c>
      <c r="R132" s="10">
        <f>[18]생산!BF129</f>
        <v>0</v>
      </c>
      <c r="S132" s="9">
        <f>[18]운전시간외!C129</f>
        <v>0</v>
      </c>
      <c r="T132" s="9">
        <f>[18]운전시간외!D129</f>
        <v>0</v>
      </c>
      <c r="U132" s="9">
        <f>[18]운전시간외!E129</f>
        <v>0</v>
      </c>
      <c r="V132" s="9">
        <f>[18]운전시간외!F129</f>
        <v>0</v>
      </c>
      <c r="W132" s="11">
        <f>[18]생산!F129</f>
        <v>0</v>
      </c>
      <c r="X132" s="11">
        <f>[18]생산!G129</f>
        <v>0</v>
      </c>
      <c r="Y132" s="11">
        <f>[18]생산!H129</f>
        <v>0</v>
      </c>
      <c r="Z132" s="11">
        <f>[18]생산!I129</f>
        <v>0</v>
      </c>
      <c r="AA132" s="11">
        <f>[18]생산!J129</f>
        <v>0</v>
      </c>
      <c r="AB132" s="11">
        <f>[18]생산!K129</f>
        <v>0</v>
      </c>
      <c r="AC132" s="11"/>
    </row>
    <row r="133" spans="1:29">
      <c r="A133" s="6">
        <v>46150</v>
      </c>
      <c r="B133" s="12">
        <f>'[18]key-in(LO)'!AA131</f>
        <v>0</v>
      </c>
      <c r="C133" s="12">
        <f>'[18]key-in(LO)'!AB131</f>
        <v>0</v>
      </c>
      <c r="D133" s="12">
        <f>'[18]key-in(LO)'!AC131</f>
        <v>0</v>
      </c>
      <c r="E133" s="12">
        <f>'[18]key-in(LO)'!AD131</f>
        <v>0</v>
      </c>
      <c r="F133" s="12">
        <f>'[18]key-in(LO)'!AE131</f>
        <v>0</v>
      </c>
      <c r="G133" s="115">
        <f>'[18]key-in(LO)'!AF131</f>
        <v>0</v>
      </c>
      <c r="H133" s="12">
        <f>'[18]key-in(LO)'!AG131</f>
        <v>0</v>
      </c>
      <c r="I133" s="12">
        <f>'[18]key-in(LO)'!AH131</f>
        <v>0</v>
      </c>
      <c r="J133" s="10">
        <f>'[18]key-in(ACO)'!$AR131</f>
        <v>0</v>
      </c>
      <c r="K133" s="10">
        <f>'[18]key-in(ACO)'!$AS131</f>
        <v>0</v>
      </c>
      <c r="L133" s="9">
        <f>'[18]key-in(ACO)'!$AV131</f>
        <v>0</v>
      </c>
      <c r="M133" s="10">
        <f>[18]생산!BA130</f>
        <v>0</v>
      </c>
      <c r="N133" s="10">
        <f>[18]생산!BB130</f>
        <v>0</v>
      </c>
      <c r="O133" s="10">
        <f>[18]생산!BC130</f>
        <v>0</v>
      </c>
      <c r="P133" s="10">
        <f>[18]생산!BD130</f>
        <v>0</v>
      </c>
      <c r="Q133" s="10">
        <f>[18]생산!BE130</f>
        <v>0</v>
      </c>
      <c r="R133" s="10">
        <f>[18]생산!BF130</f>
        <v>0</v>
      </c>
      <c r="S133" s="9">
        <f>[18]운전시간외!C130</f>
        <v>0</v>
      </c>
      <c r="T133" s="9">
        <f>[18]운전시간외!D130</f>
        <v>0</v>
      </c>
      <c r="U133" s="9">
        <f>[18]운전시간외!E130</f>
        <v>0</v>
      </c>
      <c r="V133" s="9">
        <f>[18]운전시간외!F130</f>
        <v>0</v>
      </c>
      <c r="W133" s="11">
        <f>[18]생산!F130</f>
        <v>0</v>
      </c>
      <c r="X133" s="11">
        <f>[18]생산!G130</f>
        <v>0</v>
      </c>
      <c r="Y133" s="11">
        <f>[18]생산!H130</f>
        <v>0</v>
      </c>
      <c r="Z133" s="11">
        <f>[18]생산!I130</f>
        <v>0</v>
      </c>
      <c r="AA133" s="11">
        <f>[18]생산!J130</f>
        <v>0</v>
      </c>
      <c r="AB133" s="11">
        <f>[18]생산!K130</f>
        <v>0</v>
      </c>
      <c r="AC133" s="11"/>
    </row>
    <row r="134" spans="1:29">
      <c r="A134" s="6">
        <v>46151</v>
      </c>
      <c r="B134" s="12">
        <f>'[18]key-in(LO)'!AA132</f>
        <v>0</v>
      </c>
      <c r="C134" s="12">
        <f>'[18]key-in(LO)'!AB132</f>
        <v>0</v>
      </c>
      <c r="D134" s="12">
        <f>'[18]key-in(LO)'!AC132</f>
        <v>0</v>
      </c>
      <c r="E134" s="12">
        <f>'[18]key-in(LO)'!AD132</f>
        <v>0</v>
      </c>
      <c r="F134" s="12">
        <f>'[18]key-in(LO)'!AE132</f>
        <v>0</v>
      </c>
      <c r="G134" s="115">
        <f>'[18]key-in(LO)'!AF132</f>
        <v>0</v>
      </c>
      <c r="H134" s="12">
        <f>'[18]key-in(LO)'!AG132</f>
        <v>0</v>
      </c>
      <c r="I134" s="12">
        <f>'[18]key-in(LO)'!AH132</f>
        <v>0</v>
      </c>
      <c r="J134" s="10">
        <f>'[18]key-in(ACO)'!$AR132</f>
        <v>0</v>
      </c>
      <c r="K134" s="10">
        <f>'[18]key-in(ACO)'!$AS132</f>
        <v>0</v>
      </c>
      <c r="L134" s="9">
        <f>'[18]key-in(ACO)'!$AV132</f>
        <v>0</v>
      </c>
      <c r="M134" s="10">
        <f>[18]생산!BA131</f>
        <v>0</v>
      </c>
      <c r="N134" s="10">
        <f>[18]생산!BB131</f>
        <v>0</v>
      </c>
      <c r="O134" s="10">
        <f>[18]생산!BC131</f>
        <v>0</v>
      </c>
      <c r="P134" s="10">
        <f>[18]생산!BD131</f>
        <v>0</v>
      </c>
      <c r="Q134" s="10">
        <f>[18]생산!BE131</f>
        <v>0</v>
      </c>
      <c r="R134" s="10">
        <f>[18]생산!BF131</f>
        <v>0</v>
      </c>
      <c r="S134" s="9">
        <f>[18]운전시간외!C131</f>
        <v>0</v>
      </c>
      <c r="T134" s="9">
        <f>[18]운전시간외!D131</f>
        <v>0</v>
      </c>
      <c r="U134" s="9">
        <f>[18]운전시간외!E131</f>
        <v>0</v>
      </c>
      <c r="V134" s="9">
        <f>[18]운전시간외!F131</f>
        <v>0</v>
      </c>
      <c r="W134" s="11">
        <f>[18]생산!F131</f>
        <v>0</v>
      </c>
      <c r="X134" s="11">
        <f>[18]생산!G131</f>
        <v>0</v>
      </c>
      <c r="Y134" s="11">
        <f>[18]생산!H131</f>
        <v>0</v>
      </c>
      <c r="Z134" s="11">
        <f>[18]생산!I131</f>
        <v>0</v>
      </c>
      <c r="AA134" s="11">
        <f>[18]생산!J131</f>
        <v>0</v>
      </c>
      <c r="AB134" s="11">
        <f>[18]생산!K131</f>
        <v>0</v>
      </c>
      <c r="AC134" s="11"/>
    </row>
    <row r="135" spans="1:29">
      <c r="A135" s="6">
        <v>46152</v>
      </c>
      <c r="B135" s="12">
        <f>'[18]key-in(LO)'!AA133</f>
        <v>0</v>
      </c>
      <c r="C135" s="12">
        <f>'[18]key-in(LO)'!AB133</f>
        <v>0</v>
      </c>
      <c r="D135" s="12">
        <f>'[18]key-in(LO)'!AC133</f>
        <v>0</v>
      </c>
      <c r="E135" s="12">
        <f>'[18]key-in(LO)'!AD133</f>
        <v>0</v>
      </c>
      <c r="F135" s="12">
        <f>'[18]key-in(LO)'!AE133</f>
        <v>0</v>
      </c>
      <c r="G135" s="115">
        <f>'[18]key-in(LO)'!AF133</f>
        <v>0</v>
      </c>
      <c r="H135" s="12">
        <f>'[18]key-in(LO)'!AG133</f>
        <v>0</v>
      </c>
      <c r="I135" s="12">
        <f>'[18]key-in(LO)'!AH133</f>
        <v>0</v>
      </c>
      <c r="J135" s="10">
        <f>'[18]key-in(ACO)'!$AR133</f>
        <v>0</v>
      </c>
      <c r="K135" s="10">
        <f>'[18]key-in(ACO)'!$AS133</f>
        <v>0</v>
      </c>
      <c r="L135" s="9">
        <f>'[18]key-in(ACO)'!$AV133</f>
        <v>0</v>
      </c>
      <c r="M135" s="10">
        <f>[18]생산!BA132</f>
        <v>0</v>
      </c>
      <c r="N135" s="10">
        <f>[18]생산!BB132</f>
        <v>0</v>
      </c>
      <c r="O135" s="10">
        <f>[18]생산!BC132</f>
        <v>0</v>
      </c>
      <c r="P135" s="10">
        <f>[18]생산!BD132</f>
        <v>0</v>
      </c>
      <c r="Q135" s="10">
        <f>[18]생산!BE132</f>
        <v>0</v>
      </c>
      <c r="R135" s="10">
        <f>[18]생산!BF132</f>
        <v>0</v>
      </c>
      <c r="S135" s="9">
        <f>[18]운전시간외!C132</f>
        <v>0</v>
      </c>
      <c r="T135" s="9">
        <f>[18]운전시간외!D132</f>
        <v>0</v>
      </c>
      <c r="U135" s="9">
        <f>[18]운전시간외!E132</f>
        <v>0</v>
      </c>
      <c r="V135" s="9">
        <f>[18]운전시간외!F132</f>
        <v>0</v>
      </c>
      <c r="W135" s="11">
        <f>[18]생산!F132</f>
        <v>0</v>
      </c>
      <c r="X135" s="11">
        <f>[18]생산!G132</f>
        <v>0</v>
      </c>
      <c r="Y135" s="11">
        <f>[18]생산!H132</f>
        <v>0</v>
      </c>
      <c r="Z135" s="11">
        <f>[18]생산!I132</f>
        <v>0</v>
      </c>
      <c r="AA135" s="11">
        <f>[18]생산!J132</f>
        <v>0</v>
      </c>
      <c r="AB135" s="11">
        <f>[18]생산!K132</f>
        <v>0</v>
      </c>
      <c r="AC135" s="11"/>
    </row>
    <row r="136" spans="1:29">
      <c r="A136" s="6">
        <v>46153</v>
      </c>
      <c r="B136" s="12">
        <f>'[18]key-in(LO)'!AA134</f>
        <v>0</v>
      </c>
      <c r="C136" s="12">
        <f>'[18]key-in(LO)'!AB134</f>
        <v>0</v>
      </c>
      <c r="D136" s="12">
        <f>'[18]key-in(LO)'!AC134</f>
        <v>0</v>
      </c>
      <c r="E136" s="12">
        <f>'[18]key-in(LO)'!AD134</f>
        <v>0</v>
      </c>
      <c r="F136" s="12">
        <f>'[18]key-in(LO)'!AE134</f>
        <v>0</v>
      </c>
      <c r="G136" s="115">
        <f>'[18]key-in(LO)'!AF134</f>
        <v>0</v>
      </c>
      <c r="H136" s="12">
        <f>'[18]key-in(LO)'!AG134</f>
        <v>0</v>
      </c>
      <c r="I136" s="12">
        <f>'[18]key-in(LO)'!AH134</f>
        <v>0</v>
      </c>
      <c r="J136" s="10">
        <f>'[18]key-in(ACO)'!$AR134</f>
        <v>0</v>
      </c>
      <c r="K136" s="10">
        <f>'[18]key-in(ACO)'!$AS134</f>
        <v>0</v>
      </c>
      <c r="L136" s="9">
        <f>'[18]key-in(ACO)'!$AV134</f>
        <v>0</v>
      </c>
      <c r="M136" s="10">
        <f>[18]생산!BA133</f>
        <v>0</v>
      </c>
      <c r="N136" s="10">
        <f>[18]생산!BB133</f>
        <v>0</v>
      </c>
      <c r="O136" s="10">
        <f>[18]생산!BC133</f>
        <v>0</v>
      </c>
      <c r="P136" s="10">
        <f>[18]생산!BD133</f>
        <v>0</v>
      </c>
      <c r="Q136" s="10">
        <f>[18]생산!BE133</f>
        <v>0</v>
      </c>
      <c r="R136" s="10">
        <f>[18]생산!BF133</f>
        <v>0</v>
      </c>
      <c r="S136" s="9">
        <f>[18]운전시간외!C133</f>
        <v>0</v>
      </c>
      <c r="T136" s="9">
        <f>[18]운전시간외!D133</f>
        <v>0</v>
      </c>
      <c r="U136" s="9">
        <f>[18]운전시간외!E133</f>
        <v>0</v>
      </c>
      <c r="V136" s="9">
        <f>[18]운전시간외!F133</f>
        <v>0</v>
      </c>
      <c r="W136" s="11">
        <f>[18]생산!F133</f>
        <v>0</v>
      </c>
      <c r="X136" s="11">
        <f>[18]생산!G133</f>
        <v>0</v>
      </c>
      <c r="Y136" s="11">
        <f>[18]생산!H133</f>
        <v>0</v>
      </c>
      <c r="Z136" s="11">
        <f>[18]생산!I133</f>
        <v>0</v>
      </c>
      <c r="AA136" s="11">
        <f>[18]생산!J133</f>
        <v>0</v>
      </c>
      <c r="AB136" s="11">
        <f>[18]생산!K133</f>
        <v>0</v>
      </c>
      <c r="AC136" s="11"/>
    </row>
    <row r="137" spans="1:29">
      <c r="A137" s="6">
        <v>46154</v>
      </c>
      <c r="B137" s="12">
        <f>'[18]key-in(LO)'!AA135</f>
        <v>0</v>
      </c>
      <c r="C137" s="12">
        <f>'[18]key-in(LO)'!AB135</f>
        <v>0</v>
      </c>
      <c r="D137" s="12">
        <f>'[18]key-in(LO)'!AC135</f>
        <v>0</v>
      </c>
      <c r="E137" s="12">
        <f>'[18]key-in(LO)'!AD135</f>
        <v>0</v>
      </c>
      <c r="F137" s="12">
        <f>'[18]key-in(LO)'!AE135</f>
        <v>0</v>
      </c>
      <c r="G137" s="115">
        <f>'[18]key-in(LO)'!AF135</f>
        <v>0</v>
      </c>
      <c r="H137" s="12">
        <f>'[18]key-in(LO)'!AG135</f>
        <v>0</v>
      </c>
      <c r="I137" s="12">
        <f>'[18]key-in(LO)'!AH135</f>
        <v>0</v>
      </c>
      <c r="J137" s="10">
        <f>'[18]key-in(ACO)'!$AR135</f>
        <v>0</v>
      </c>
      <c r="K137" s="10">
        <f>'[18]key-in(ACO)'!$AS135</f>
        <v>0</v>
      </c>
      <c r="L137" s="9">
        <f>'[18]key-in(ACO)'!$AV135</f>
        <v>0</v>
      </c>
      <c r="M137" s="10">
        <f>[18]생산!BA134</f>
        <v>0</v>
      </c>
      <c r="N137" s="10">
        <f>[18]생산!BB134</f>
        <v>0</v>
      </c>
      <c r="O137" s="10">
        <f>[18]생산!BC134</f>
        <v>0</v>
      </c>
      <c r="P137" s="10">
        <f>[18]생산!BD134</f>
        <v>0</v>
      </c>
      <c r="Q137" s="10">
        <f>[18]생산!BE134</f>
        <v>0</v>
      </c>
      <c r="R137" s="10">
        <f>[18]생산!BF134</f>
        <v>0</v>
      </c>
      <c r="S137" s="9">
        <f>[18]운전시간외!C134</f>
        <v>0</v>
      </c>
      <c r="T137" s="9">
        <f>[18]운전시간외!D134</f>
        <v>0</v>
      </c>
      <c r="U137" s="9">
        <f>[18]운전시간외!E134</f>
        <v>0</v>
      </c>
      <c r="V137" s="9">
        <f>[18]운전시간외!F134</f>
        <v>0</v>
      </c>
      <c r="W137" s="11">
        <f>[18]생산!F134</f>
        <v>0</v>
      </c>
      <c r="X137" s="11">
        <f>[18]생산!G134</f>
        <v>0</v>
      </c>
      <c r="Y137" s="11">
        <f>[18]생산!H134</f>
        <v>0</v>
      </c>
      <c r="Z137" s="11">
        <f>[18]생산!I134</f>
        <v>0</v>
      </c>
      <c r="AA137" s="11">
        <f>[18]생산!J134</f>
        <v>0</v>
      </c>
      <c r="AB137" s="11">
        <f>[18]생산!K134</f>
        <v>0</v>
      </c>
      <c r="AC137" s="11"/>
    </row>
    <row r="138" spans="1:29">
      <c r="A138" s="6">
        <v>46155</v>
      </c>
      <c r="B138" s="12">
        <f>'[18]key-in(LO)'!AA136</f>
        <v>0</v>
      </c>
      <c r="C138" s="12">
        <f>'[18]key-in(LO)'!AB136</f>
        <v>0</v>
      </c>
      <c r="D138" s="12">
        <f>'[18]key-in(LO)'!AC136</f>
        <v>0</v>
      </c>
      <c r="E138" s="12">
        <f>'[18]key-in(LO)'!AD136</f>
        <v>0</v>
      </c>
      <c r="F138" s="12">
        <f>'[18]key-in(LO)'!AE136</f>
        <v>0</v>
      </c>
      <c r="G138" s="115">
        <f>'[18]key-in(LO)'!AF136</f>
        <v>0</v>
      </c>
      <c r="H138" s="12">
        <f>'[18]key-in(LO)'!AG136</f>
        <v>0</v>
      </c>
      <c r="I138" s="12">
        <f>'[18]key-in(LO)'!AH136</f>
        <v>0</v>
      </c>
      <c r="J138" s="10">
        <f>'[18]key-in(ACO)'!$AR136</f>
        <v>0</v>
      </c>
      <c r="K138" s="10">
        <f>'[18]key-in(ACO)'!$AS136</f>
        <v>0</v>
      </c>
      <c r="L138" s="9">
        <f>'[18]key-in(ACO)'!$AV136</f>
        <v>0</v>
      </c>
      <c r="M138" s="10">
        <f>[18]생산!BA135</f>
        <v>0</v>
      </c>
      <c r="N138" s="10">
        <f>[18]생산!BB135</f>
        <v>0</v>
      </c>
      <c r="O138" s="10">
        <f>[18]생산!BC135</f>
        <v>0</v>
      </c>
      <c r="P138" s="10">
        <f>[18]생산!BD135</f>
        <v>0</v>
      </c>
      <c r="Q138" s="10">
        <f>[18]생산!BE135</f>
        <v>0</v>
      </c>
      <c r="R138" s="10">
        <f>[18]생산!BF135</f>
        <v>0</v>
      </c>
      <c r="S138" s="9">
        <f>[18]운전시간외!C135</f>
        <v>0</v>
      </c>
      <c r="T138" s="9">
        <f>[18]운전시간외!D135</f>
        <v>0</v>
      </c>
      <c r="U138" s="9">
        <f>[18]운전시간외!E135</f>
        <v>0</v>
      </c>
      <c r="V138" s="9">
        <f>[18]운전시간외!F135</f>
        <v>0</v>
      </c>
      <c r="W138" s="11">
        <f>[18]생산!F135</f>
        <v>0</v>
      </c>
      <c r="X138" s="11">
        <f>[18]생산!G135</f>
        <v>0</v>
      </c>
      <c r="Y138" s="11">
        <f>[18]생산!H135</f>
        <v>0</v>
      </c>
      <c r="Z138" s="11">
        <f>[18]생산!I135</f>
        <v>0</v>
      </c>
      <c r="AA138" s="11">
        <f>[18]생산!J135</f>
        <v>0</v>
      </c>
      <c r="AB138" s="11">
        <f>[18]생산!K135</f>
        <v>0</v>
      </c>
      <c r="AC138" s="11"/>
    </row>
    <row r="139" spans="1:29">
      <c r="A139" s="6">
        <v>46156</v>
      </c>
      <c r="B139" s="12">
        <f>'[18]key-in(LO)'!AA137</f>
        <v>0</v>
      </c>
      <c r="C139" s="12">
        <f>'[18]key-in(LO)'!AB137</f>
        <v>0</v>
      </c>
      <c r="D139" s="12">
        <f>'[18]key-in(LO)'!AC137</f>
        <v>0</v>
      </c>
      <c r="E139" s="12">
        <f>'[18]key-in(LO)'!AD137</f>
        <v>0</v>
      </c>
      <c r="F139" s="12">
        <f>'[18]key-in(LO)'!AE137</f>
        <v>0</v>
      </c>
      <c r="G139" s="115">
        <f>'[18]key-in(LO)'!AF137</f>
        <v>0</v>
      </c>
      <c r="H139" s="12">
        <f>'[18]key-in(LO)'!AG137</f>
        <v>0</v>
      </c>
      <c r="I139" s="12">
        <f>'[18]key-in(LO)'!AH137</f>
        <v>0</v>
      </c>
      <c r="J139" s="10">
        <f>'[18]key-in(ACO)'!$AR137</f>
        <v>0</v>
      </c>
      <c r="K139" s="10">
        <f>'[18]key-in(ACO)'!$AS137</f>
        <v>0</v>
      </c>
      <c r="L139" s="9">
        <f>'[18]key-in(ACO)'!$AV137</f>
        <v>0</v>
      </c>
      <c r="M139" s="10">
        <f>[18]생산!BA136</f>
        <v>0</v>
      </c>
      <c r="N139" s="10">
        <f>[18]생산!BB136</f>
        <v>0</v>
      </c>
      <c r="O139" s="10">
        <f>[18]생산!BC136</f>
        <v>0</v>
      </c>
      <c r="P139" s="10">
        <f>[18]생산!BD136</f>
        <v>0</v>
      </c>
      <c r="Q139" s="10">
        <f>[18]생산!BE136</f>
        <v>0</v>
      </c>
      <c r="R139" s="10">
        <f>[18]생산!BF136</f>
        <v>0</v>
      </c>
      <c r="S139" s="9">
        <f>[18]운전시간외!C136</f>
        <v>0</v>
      </c>
      <c r="T139" s="9">
        <f>[18]운전시간외!D136</f>
        <v>0</v>
      </c>
      <c r="U139" s="9">
        <f>[18]운전시간외!E136</f>
        <v>0</v>
      </c>
      <c r="V139" s="9">
        <f>[18]운전시간외!F136</f>
        <v>0</v>
      </c>
      <c r="W139" s="11">
        <f>[18]생산!F136</f>
        <v>0</v>
      </c>
      <c r="X139" s="11">
        <f>[18]생산!G136</f>
        <v>0</v>
      </c>
      <c r="Y139" s="11">
        <f>[18]생산!H136</f>
        <v>0</v>
      </c>
      <c r="Z139" s="11">
        <f>[18]생산!I136</f>
        <v>0</v>
      </c>
      <c r="AA139" s="11">
        <f>[18]생산!J136</f>
        <v>0</v>
      </c>
      <c r="AB139" s="11">
        <f>[18]생산!K136</f>
        <v>0</v>
      </c>
      <c r="AC139" s="11"/>
    </row>
    <row r="140" spans="1:29">
      <c r="A140" s="6">
        <v>46157</v>
      </c>
      <c r="B140" s="12">
        <f>'[18]key-in(LO)'!AA138</f>
        <v>0</v>
      </c>
      <c r="C140" s="12">
        <f>'[18]key-in(LO)'!AB138</f>
        <v>0</v>
      </c>
      <c r="D140" s="12">
        <f>'[18]key-in(LO)'!AC138</f>
        <v>0</v>
      </c>
      <c r="E140" s="12">
        <f>'[18]key-in(LO)'!AD138</f>
        <v>0</v>
      </c>
      <c r="F140" s="12">
        <f>'[18]key-in(LO)'!AE138</f>
        <v>0</v>
      </c>
      <c r="G140" s="115">
        <f>'[18]key-in(LO)'!AF138</f>
        <v>0</v>
      </c>
      <c r="H140" s="12">
        <f>'[18]key-in(LO)'!AG138</f>
        <v>0</v>
      </c>
      <c r="I140" s="12">
        <f>'[18]key-in(LO)'!AH138</f>
        <v>0</v>
      </c>
      <c r="J140" s="10">
        <f>'[18]key-in(ACO)'!$AR138</f>
        <v>0</v>
      </c>
      <c r="K140" s="10">
        <f>'[18]key-in(ACO)'!$AS138</f>
        <v>0</v>
      </c>
      <c r="L140" s="9">
        <f>'[18]key-in(ACO)'!$AV138</f>
        <v>0</v>
      </c>
      <c r="M140" s="10">
        <f>[18]생산!BA137</f>
        <v>0</v>
      </c>
      <c r="N140" s="10">
        <f>[18]생산!BB137</f>
        <v>0</v>
      </c>
      <c r="O140" s="10">
        <f>[18]생산!BC137</f>
        <v>0</v>
      </c>
      <c r="P140" s="10">
        <f>[18]생산!BD137</f>
        <v>0</v>
      </c>
      <c r="Q140" s="10">
        <f>[18]생산!BE137</f>
        <v>0</v>
      </c>
      <c r="R140" s="10">
        <f>[18]생산!BF137</f>
        <v>0</v>
      </c>
      <c r="S140" s="9">
        <f>[18]운전시간외!C137</f>
        <v>0</v>
      </c>
      <c r="T140" s="9">
        <f>[18]운전시간외!D137</f>
        <v>0</v>
      </c>
      <c r="U140" s="9">
        <f>[18]운전시간외!E137</f>
        <v>0</v>
      </c>
      <c r="V140" s="9">
        <f>[18]운전시간외!F137</f>
        <v>0</v>
      </c>
      <c r="W140" s="11">
        <f>[18]생산!F137</f>
        <v>0</v>
      </c>
      <c r="X140" s="11">
        <f>[18]생산!G137</f>
        <v>0</v>
      </c>
      <c r="Y140" s="11">
        <f>[18]생산!H137</f>
        <v>0</v>
      </c>
      <c r="Z140" s="11">
        <f>[18]생산!I137</f>
        <v>0</v>
      </c>
      <c r="AA140" s="11">
        <f>[18]생산!J137</f>
        <v>0</v>
      </c>
      <c r="AB140" s="11">
        <f>[18]생산!K137</f>
        <v>0</v>
      </c>
      <c r="AC140" s="11"/>
    </row>
    <row r="141" spans="1:29">
      <c r="A141" s="6">
        <v>46158</v>
      </c>
      <c r="B141" s="12">
        <f>'[18]key-in(LO)'!AA139</f>
        <v>0</v>
      </c>
      <c r="C141" s="12">
        <f>'[18]key-in(LO)'!AB139</f>
        <v>0</v>
      </c>
      <c r="D141" s="12">
        <f>'[18]key-in(LO)'!AC139</f>
        <v>0</v>
      </c>
      <c r="E141" s="12">
        <f>'[18]key-in(LO)'!AD139</f>
        <v>0</v>
      </c>
      <c r="F141" s="12">
        <f>'[18]key-in(LO)'!AE139</f>
        <v>0</v>
      </c>
      <c r="G141" s="115">
        <f>'[18]key-in(LO)'!AF139</f>
        <v>0</v>
      </c>
      <c r="H141" s="12">
        <f>'[18]key-in(LO)'!AG139</f>
        <v>0</v>
      </c>
      <c r="I141" s="12">
        <f>'[18]key-in(LO)'!AH139</f>
        <v>0</v>
      </c>
      <c r="J141" s="10">
        <f>'[18]key-in(ACO)'!$AR139</f>
        <v>0</v>
      </c>
      <c r="K141" s="10">
        <f>'[18]key-in(ACO)'!$AS139</f>
        <v>0</v>
      </c>
      <c r="L141" s="9">
        <f>'[18]key-in(ACO)'!$AV139</f>
        <v>0</v>
      </c>
      <c r="M141" s="10">
        <f>[18]생산!BA138</f>
        <v>0</v>
      </c>
      <c r="N141" s="10">
        <f>[18]생산!BB138</f>
        <v>0</v>
      </c>
      <c r="O141" s="10">
        <f>[18]생산!BC138</f>
        <v>0</v>
      </c>
      <c r="P141" s="10">
        <f>[18]생산!BD138</f>
        <v>0</v>
      </c>
      <c r="Q141" s="10">
        <f>[18]생산!BE138</f>
        <v>0</v>
      </c>
      <c r="R141" s="10">
        <f>[18]생산!BF138</f>
        <v>0</v>
      </c>
      <c r="S141" s="9">
        <f>[18]운전시간외!C138</f>
        <v>0</v>
      </c>
      <c r="T141" s="9">
        <f>[18]운전시간외!D138</f>
        <v>0</v>
      </c>
      <c r="U141" s="9">
        <f>[18]운전시간외!E138</f>
        <v>0</v>
      </c>
      <c r="V141" s="9">
        <f>[18]운전시간외!F138</f>
        <v>0</v>
      </c>
      <c r="W141" s="11">
        <f>[18]생산!F138</f>
        <v>0</v>
      </c>
      <c r="X141" s="11">
        <f>[18]생산!G138</f>
        <v>0</v>
      </c>
      <c r="Y141" s="11">
        <f>[18]생산!H138</f>
        <v>0</v>
      </c>
      <c r="Z141" s="11">
        <f>[18]생산!I138</f>
        <v>0</v>
      </c>
      <c r="AA141" s="11">
        <f>[18]생산!J138</f>
        <v>0</v>
      </c>
      <c r="AB141" s="11">
        <f>[18]생산!K138</f>
        <v>0</v>
      </c>
      <c r="AC141" s="11"/>
    </row>
    <row r="142" spans="1:29">
      <c r="A142" s="6">
        <v>46159</v>
      </c>
      <c r="B142" s="12">
        <f>'[18]key-in(LO)'!AA140</f>
        <v>0</v>
      </c>
      <c r="C142" s="12">
        <f>'[18]key-in(LO)'!AB140</f>
        <v>0</v>
      </c>
      <c r="D142" s="12">
        <f>'[18]key-in(LO)'!AC140</f>
        <v>0</v>
      </c>
      <c r="E142" s="12">
        <f>'[18]key-in(LO)'!AD140</f>
        <v>0</v>
      </c>
      <c r="F142" s="12">
        <f>'[18]key-in(LO)'!AE140</f>
        <v>0</v>
      </c>
      <c r="G142" s="115">
        <f>'[18]key-in(LO)'!AF140</f>
        <v>0</v>
      </c>
      <c r="H142" s="12">
        <f>'[18]key-in(LO)'!AG140</f>
        <v>0</v>
      </c>
      <c r="I142" s="12">
        <f>'[18]key-in(LO)'!AH140</f>
        <v>0</v>
      </c>
      <c r="J142" s="10">
        <f>'[18]key-in(ACO)'!$AR140</f>
        <v>0</v>
      </c>
      <c r="K142" s="10">
        <f>'[18]key-in(ACO)'!$AS140</f>
        <v>0</v>
      </c>
      <c r="L142" s="9">
        <f>'[18]key-in(ACO)'!$AV140</f>
        <v>0</v>
      </c>
      <c r="M142" s="10">
        <f>[18]생산!BA139</f>
        <v>0</v>
      </c>
      <c r="N142" s="10">
        <f>[18]생산!BB139</f>
        <v>0</v>
      </c>
      <c r="O142" s="10">
        <f>[18]생산!BC139</f>
        <v>0</v>
      </c>
      <c r="P142" s="10">
        <f>[18]생산!BD139</f>
        <v>0</v>
      </c>
      <c r="Q142" s="10">
        <f>[18]생산!BE139</f>
        <v>0</v>
      </c>
      <c r="R142" s="10">
        <f>[18]생산!BF139</f>
        <v>0</v>
      </c>
      <c r="S142" s="9">
        <f>[18]운전시간외!C139</f>
        <v>0</v>
      </c>
      <c r="T142" s="9">
        <f>[18]운전시간외!D139</f>
        <v>0</v>
      </c>
      <c r="U142" s="9">
        <f>[18]운전시간외!E139</f>
        <v>0</v>
      </c>
      <c r="V142" s="9">
        <f>[18]운전시간외!F139</f>
        <v>0</v>
      </c>
      <c r="W142" s="11">
        <f>[18]생산!F139</f>
        <v>0</v>
      </c>
      <c r="X142" s="11">
        <f>[18]생산!G139</f>
        <v>0</v>
      </c>
      <c r="Y142" s="11">
        <f>[18]생산!H139</f>
        <v>0</v>
      </c>
      <c r="Z142" s="11">
        <f>[18]생산!I139</f>
        <v>0</v>
      </c>
      <c r="AA142" s="11">
        <f>[18]생산!J139</f>
        <v>0</v>
      </c>
      <c r="AB142" s="11">
        <f>[18]생산!K139</f>
        <v>0</v>
      </c>
      <c r="AC142" s="11"/>
    </row>
    <row r="143" spans="1:29">
      <c r="A143" s="6">
        <v>46160</v>
      </c>
      <c r="B143" s="12">
        <f>'[18]key-in(LO)'!AA141</f>
        <v>0</v>
      </c>
      <c r="C143" s="12">
        <f>'[18]key-in(LO)'!AB141</f>
        <v>0</v>
      </c>
      <c r="D143" s="12">
        <f>'[18]key-in(LO)'!AC141</f>
        <v>0</v>
      </c>
      <c r="E143" s="12">
        <f>'[18]key-in(LO)'!AD141</f>
        <v>0</v>
      </c>
      <c r="F143" s="12">
        <f>'[18]key-in(LO)'!AE141</f>
        <v>0</v>
      </c>
      <c r="G143" s="115">
        <f>'[18]key-in(LO)'!AF141</f>
        <v>0</v>
      </c>
      <c r="H143" s="12">
        <f>'[18]key-in(LO)'!AG141</f>
        <v>0</v>
      </c>
      <c r="I143" s="12">
        <f>'[18]key-in(LO)'!AH141</f>
        <v>0</v>
      </c>
      <c r="J143" s="10">
        <f>'[18]key-in(ACO)'!$AR141</f>
        <v>0</v>
      </c>
      <c r="K143" s="10">
        <f>'[18]key-in(ACO)'!$AS141</f>
        <v>0</v>
      </c>
      <c r="L143" s="9">
        <f>'[18]key-in(ACO)'!$AV141</f>
        <v>0</v>
      </c>
      <c r="M143" s="10">
        <f>[18]생산!BA140</f>
        <v>0</v>
      </c>
      <c r="N143" s="10">
        <f>[18]생산!BB140</f>
        <v>0</v>
      </c>
      <c r="O143" s="10">
        <f>[18]생산!BC140</f>
        <v>0</v>
      </c>
      <c r="P143" s="10">
        <f>[18]생산!BD140</f>
        <v>0</v>
      </c>
      <c r="Q143" s="10">
        <f>[18]생산!BE140</f>
        <v>0</v>
      </c>
      <c r="R143" s="10">
        <f>[18]생산!BF140</f>
        <v>0</v>
      </c>
      <c r="S143" s="9">
        <f>[18]운전시간외!C140</f>
        <v>0</v>
      </c>
      <c r="T143" s="9">
        <f>[18]운전시간외!D140</f>
        <v>0</v>
      </c>
      <c r="U143" s="9">
        <f>[18]운전시간외!E140</f>
        <v>0</v>
      </c>
      <c r="V143" s="9">
        <f>[18]운전시간외!F140</f>
        <v>0</v>
      </c>
      <c r="W143" s="11">
        <f>[18]생산!F140</f>
        <v>0</v>
      </c>
      <c r="X143" s="11">
        <f>[18]생산!G140</f>
        <v>0</v>
      </c>
      <c r="Y143" s="11">
        <f>[18]생산!H140</f>
        <v>0</v>
      </c>
      <c r="Z143" s="11">
        <f>[18]생산!I140</f>
        <v>0</v>
      </c>
      <c r="AA143" s="11">
        <f>[18]생산!J140</f>
        <v>0</v>
      </c>
      <c r="AB143" s="11">
        <f>[18]생산!K140</f>
        <v>0</v>
      </c>
      <c r="AC143" s="11"/>
    </row>
    <row r="144" spans="1:29">
      <c r="A144" s="6">
        <v>46161</v>
      </c>
      <c r="B144" s="12">
        <f>'[18]key-in(LO)'!AA142</f>
        <v>0</v>
      </c>
      <c r="C144" s="12">
        <f>'[18]key-in(LO)'!AB142</f>
        <v>0</v>
      </c>
      <c r="D144" s="12">
        <f>'[18]key-in(LO)'!AC142</f>
        <v>0</v>
      </c>
      <c r="E144" s="12">
        <f>'[18]key-in(LO)'!AD142</f>
        <v>0</v>
      </c>
      <c r="F144" s="12">
        <f>'[18]key-in(LO)'!AE142</f>
        <v>0</v>
      </c>
      <c r="G144" s="115">
        <f>'[18]key-in(LO)'!AF142</f>
        <v>0</v>
      </c>
      <c r="H144" s="12">
        <f>'[18]key-in(LO)'!AG142</f>
        <v>0</v>
      </c>
      <c r="I144" s="12">
        <f>'[18]key-in(LO)'!AH142</f>
        <v>0</v>
      </c>
      <c r="J144" s="10">
        <f>'[18]key-in(ACO)'!$AR142</f>
        <v>0</v>
      </c>
      <c r="K144" s="10">
        <f>'[18]key-in(ACO)'!$AS142</f>
        <v>0</v>
      </c>
      <c r="L144" s="9">
        <f>'[18]key-in(ACO)'!$AV142</f>
        <v>0</v>
      </c>
      <c r="M144" s="10">
        <f>[18]생산!BA141</f>
        <v>0</v>
      </c>
      <c r="N144" s="10">
        <f>[18]생산!BB141</f>
        <v>0</v>
      </c>
      <c r="O144" s="10">
        <f>[18]생산!BC141</f>
        <v>0</v>
      </c>
      <c r="P144" s="10">
        <f>[18]생산!BD141</f>
        <v>0</v>
      </c>
      <c r="Q144" s="10">
        <f>[18]생산!BE141</f>
        <v>0</v>
      </c>
      <c r="R144" s="10">
        <f>[18]생산!BF141</f>
        <v>0</v>
      </c>
      <c r="S144" s="9">
        <f>[18]운전시간외!C141</f>
        <v>0</v>
      </c>
      <c r="T144" s="9">
        <f>[18]운전시간외!D141</f>
        <v>0</v>
      </c>
      <c r="U144" s="9">
        <f>[18]운전시간외!E141</f>
        <v>0</v>
      </c>
      <c r="V144" s="9">
        <f>[18]운전시간외!F141</f>
        <v>0</v>
      </c>
      <c r="W144" s="11">
        <f>[18]생산!F141</f>
        <v>0</v>
      </c>
      <c r="X144" s="11">
        <f>[18]생산!G141</f>
        <v>0</v>
      </c>
      <c r="Y144" s="11">
        <f>[18]생산!H141</f>
        <v>0</v>
      </c>
      <c r="Z144" s="11">
        <f>[18]생산!I141</f>
        <v>0</v>
      </c>
      <c r="AA144" s="11">
        <f>[18]생산!J141</f>
        <v>0</v>
      </c>
      <c r="AB144" s="11">
        <f>[18]생산!K141</f>
        <v>0</v>
      </c>
      <c r="AC144" s="11"/>
    </row>
    <row r="145" spans="1:29">
      <c r="A145" s="6">
        <v>46162</v>
      </c>
      <c r="B145" s="12">
        <f>'[18]key-in(LO)'!AA143</f>
        <v>0</v>
      </c>
      <c r="C145" s="12">
        <f>'[18]key-in(LO)'!AB143</f>
        <v>0</v>
      </c>
      <c r="D145" s="12">
        <f>'[18]key-in(LO)'!AC143</f>
        <v>0</v>
      </c>
      <c r="E145" s="12">
        <f>'[18]key-in(LO)'!AD143</f>
        <v>0</v>
      </c>
      <c r="F145" s="12">
        <f>'[18]key-in(LO)'!AE143</f>
        <v>0</v>
      </c>
      <c r="G145" s="115">
        <f>'[18]key-in(LO)'!AF143</f>
        <v>0</v>
      </c>
      <c r="H145" s="12">
        <f>'[18]key-in(LO)'!AG143</f>
        <v>0</v>
      </c>
      <c r="I145" s="12">
        <f>'[18]key-in(LO)'!AH143</f>
        <v>0</v>
      </c>
      <c r="J145" s="10">
        <f>'[18]key-in(ACO)'!$AR143</f>
        <v>0</v>
      </c>
      <c r="K145" s="10">
        <f>'[18]key-in(ACO)'!$AS143</f>
        <v>0</v>
      </c>
      <c r="L145" s="9">
        <f>'[18]key-in(ACO)'!$AV143</f>
        <v>0</v>
      </c>
      <c r="M145" s="10">
        <f>[18]생산!BA142</f>
        <v>0</v>
      </c>
      <c r="N145" s="10">
        <f>[18]생산!BB142</f>
        <v>0</v>
      </c>
      <c r="O145" s="10">
        <f>[18]생산!BC142</f>
        <v>0</v>
      </c>
      <c r="P145" s="10">
        <f>[18]생산!BD142</f>
        <v>0</v>
      </c>
      <c r="Q145" s="10">
        <f>[18]생산!BE142</f>
        <v>0</v>
      </c>
      <c r="R145" s="10">
        <f>[18]생산!BF142</f>
        <v>0</v>
      </c>
      <c r="S145" s="9">
        <f>[18]운전시간외!C142</f>
        <v>0</v>
      </c>
      <c r="T145" s="9">
        <f>[18]운전시간외!D142</f>
        <v>0</v>
      </c>
      <c r="U145" s="9">
        <f>[18]운전시간외!E142</f>
        <v>0</v>
      </c>
      <c r="V145" s="9">
        <f>[18]운전시간외!F142</f>
        <v>0</v>
      </c>
      <c r="W145" s="11">
        <f>[18]생산!F142</f>
        <v>0</v>
      </c>
      <c r="X145" s="11">
        <f>[18]생산!G142</f>
        <v>0</v>
      </c>
      <c r="Y145" s="11">
        <f>[18]생산!H142</f>
        <v>0</v>
      </c>
      <c r="Z145" s="11">
        <f>[18]생산!I142</f>
        <v>0</v>
      </c>
      <c r="AA145" s="11">
        <f>[18]생산!J142</f>
        <v>0</v>
      </c>
      <c r="AB145" s="11">
        <f>[18]생산!K142</f>
        <v>0</v>
      </c>
      <c r="AC145" s="11"/>
    </row>
    <row r="146" spans="1:29">
      <c r="A146" s="6">
        <v>46163</v>
      </c>
      <c r="B146" s="12">
        <f>'[18]key-in(LO)'!AA144</f>
        <v>0</v>
      </c>
      <c r="C146" s="12">
        <f>'[18]key-in(LO)'!AB144</f>
        <v>0</v>
      </c>
      <c r="D146" s="12">
        <f>'[18]key-in(LO)'!AC144</f>
        <v>0</v>
      </c>
      <c r="E146" s="12">
        <f>'[18]key-in(LO)'!AD144</f>
        <v>0</v>
      </c>
      <c r="F146" s="12">
        <f>'[18]key-in(LO)'!AE144</f>
        <v>0</v>
      </c>
      <c r="G146" s="115">
        <f>'[18]key-in(LO)'!AF144</f>
        <v>0</v>
      </c>
      <c r="H146" s="12">
        <f>'[18]key-in(LO)'!AG144</f>
        <v>0</v>
      </c>
      <c r="I146" s="12">
        <f>'[18]key-in(LO)'!AH144</f>
        <v>0</v>
      </c>
      <c r="J146" s="10">
        <f>'[18]key-in(ACO)'!$AR144</f>
        <v>0</v>
      </c>
      <c r="K146" s="10">
        <f>'[18]key-in(ACO)'!$AS144</f>
        <v>0</v>
      </c>
      <c r="L146" s="9">
        <f>'[18]key-in(ACO)'!$AV144</f>
        <v>0</v>
      </c>
      <c r="M146" s="10">
        <f>[18]생산!BA143</f>
        <v>0</v>
      </c>
      <c r="N146" s="10">
        <f>[18]생산!BB143</f>
        <v>0</v>
      </c>
      <c r="O146" s="10">
        <f>[18]생산!BC143</f>
        <v>0</v>
      </c>
      <c r="P146" s="10">
        <f>[18]생산!BD143</f>
        <v>0</v>
      </c>
      <c r="Q146" s="10">
        <f>[18]생산!BE143</f>
        <v>0</v>
      </c>
      <c r="R146" s="10">
        <f>[18]생산!BF143</f>
        <v>0</v>
      </c>
      <c r="S146" s="9">
        <f>[18]운전시간외!C143</f>
        <v>0</v>
      </c>
      <c r="T146" s="9">
        <f>[18]운전시간외!D143</f>
        <v>0</v>
      </c>
      <c r="U146" s="9">
        <f>[18]운전시간외!E143</f>
        <v>0</v>
      </c>
      <c r="V146" s="9">
        <f>[18]운전시간외!F143</f>
        <v>0</v>
      </c>
      <c r="W146" s="11">
        <f>[18]생산!F143</f>
        <v>0</v>
      </c>
      <c r="X146" s="11">
        <f>[18]생산!G143</f>
        <v>0</v>
      </c>
      <c r="Y146" s="11">
        <f>[18]생산!H143</f>
        <v>0</v>
      </c>
      <c r="Z146" s="11">
        <f>[18]생산!I143</f>
        <v>0</v>
      </c>
      <c r="AA146" s="11">
        <f>[18]생산!J143</f>
        <v>0</v>
      </c>
      <c r="AB146" s="11">
        <f>[18]생산!K143</f>
        <v>0</v>
      </c>
      <c r="AC146" s="11"/>
    </row>
    <row r="147" spans="1:29">
      <c r="A147" s="6">
        <v>46164</v>
      </c>
      <c r="B147" s="12">
        <f>'[18]key-in(LO)'!AA145</f>
        <v>0</v>
      </c>
      <c r="C147" s="12">
        <f>'[18]key-in(LO)'!AB145</f>
        <v>0</v>
      </c>
      <c r="D147" s="12">
        <f>'[18]key-in(LO)'!AC145</f>
        <v>0</v>
      </c>
      <c r="E147" s="12">
        <f>'[18]key-in(LO)'!AD145</f>
        <v>0</v>
      </c>
      <c r="F147" s="12">
        <f>'[18]key-in(LO)'!AE145</f>
        <v>0</v>
      </c>
      <c r="G147" s="115">
        <f>'[18]key-in(LO)'!AF145</f>
        <v>0</v>
      </c>
      <c r="H147" s="12">
        <f>'[18]key-in(LO)'!AG145</f>
        <v>0</v>
      </c>
      <c r="I147" s="12">
        <f>'[18]key-in(LO)'!AH145</f>
        <v>0</v>
      </c>
      <c r="J147" s="10">
        <f>'[18]key-in(ACO)'!$AR145</f>
        <v>0</v>
      </c>
      <c r="K147" s="10">
        <f>'[18]key-in(ACO)'!$AS145</f>
        <v>0</v>
      </c>
      <c r="L147" s="9">
        <f>'[18]key-in(ACO)'!$AV145</f>
        <v>0</v>
      </c>
      <c r="M147" s="10">
        <f>[18]생산!BA144</f>
        <v>0</v>
      </c>
      <c r="N147" s="10">
        <f>[18]생산!BB144</f>
        <v>0</v>
      </c>
      <c r="O147" s="10">
        <f>[18]생산!BC144</f>
        <v>0</v>
      </c>
      <c r="P147" s="10">
        <f>[18]생산!BD144</f>
        <v>0</v>
      </c>
      <c r="Q147" s="10">
        <f>[18]생산!BE144</f>
        <v>0</v>
      </c>
      <c r="R147" s="10">
        <f>[18]생산!BF144</f>
        <v>0</v>
      </c>
      <c r="S147" s="9">
        <f>[18]운전시간외!C144</f>
        <v>0</v>
      </c>
      <c r="T147" s="9">
        <f>[18]운전시간외!D144</f>
        <v>0</v>
      </c>
      <c r="U147" s="9">
        <f>[18]운전시간외!E144</f>
        <v>0</v>
      </c>
      <c r="V147" s="9">
        <f>[18]운전시간외!F144</f>
        <v>0</v>
      </c>
      <c r="W147" s="11">
        <f>[18]생산!F144</f>
        <v>0</v>
      </c>
      <c r="X147" s="11">
        <f>[18]생산!G144</f>
        <v>0</v>
      </c>
      <c r="Y147" s="11">
        <f>[18]생산!H144</f>
        <v>0</v>
      </c>
      <c r="Z147" s="11">
        <f>[18]생산!I144</f>
        <v>0</v>
      </c>
      <c r="AA147" s="11">
        <f>[18]생산!J144</f>
        <v>0</v>
      </c>
      <c r="AB147" s="11">
        <f>[18]생산!K144</f>
        <v>0</v>
      </c>
      <c r="AC147" s="11"/>
    </row>
    <row r="148" spans="1:29">
      <c r="A148" s="6">
        <v>46165</v>
      </c>
      <c r="B148" s="12">
        <f>'[18]key-in(LO)'!AA146</f>
        <v>0</v>
      </c>
      <c r="C148" s="12">
        <f>'[18]key-in(LO)'!AB146</f>
        <v>0</v>
      </c>
      <c r="D148" s="12">
        <f>'[18]key-in(LO)'!AC146</f>
        <v>0</v>
      </c>
      <c r="E148" s="12">
        <f>'[18]key-in(LO)'!AD146</f>
        <v>0</v>
      </c>
      <c r="F148" s="12">
        <f>'[18]key-in(LO)'!AE146</f>
        <v>0</v>
      </c>
      <c r="G148" s="115">
        <f>'[18]key-in(LO)'!AF146</f>
        <v>0</v>
      </c>
      <c r="H148" s="12">
        <f>'[18]key-in(LO)'!AG146</f>
        <v>0</v>
      </c>
      <c r="I148" s="12">
        <f>'[18]key-in(LO)'!AH146</f>
        <v>0</v>
      </c>
      <c r="J148" s="10">
        <f>'[18]key-in(ACO)'!$AR146</f>
        <v>0</v>
      </c>
      <c r="K148" s="10">
        <f>'[18]key-in(ACO)'!$AS146</f>
        <v>0</v>
      </c>
      <c r="L148" s="9">
        <f>'[18]key-in(ACO)'!$AV146</f>
        <v>0</v>
      </c>
      <c r="M148" s="10">
        <f>[18]생산!BA145</f>
        <v>0</v>
      </c>
      <c r="N148" s="10">
        <f>[18]생산!BB145</f>
        <v>0</v>
      </c>
      <c r="O148" s="10">
        <f>[18]생산!BC145</f>
        <v>0</v>
      </c>
      <c r="P148" s="10">
        <f>[18]생산!BD145</f>
        <v>0</v>
      </c>
      <c r="Q148" s="10">
        <f>[18]생산!BE145</f>
        <v>0</v>
      </c>
      <c r="R148" s="10">
        <f>[18]생산!BF145</f>
        <v>0</v>
      </c>
      <c r="S148" s="9">
        <f>[18]운전시간외!C145</f>
        <v>0</v>
      </c>
      <c r="T148" s="9">
        <f>[18]운전시간외!D145</f>
        <v>0</v>
      </c>
      <c r="U148" s="9">
        <f>[18]운전시간외!E145</f>
        <v>0</v>
      </c>
      <c r="V148" s="9">
        <f>[18]운전시간외!F145</f>
        <v>0</v>
      </c>
      <c r="W148" s="11">
        <f>[18]생산!F145</f>
        <v>0</v>
      </c>
      <c r="X148" s="11">
        <f>[18]생산!G145</f>
        <v>0</v>
      </c>
      <c r="Y148" s="11">
        <f>[18]생산!H145</f>
        <v>0</v>
      </c>
      <c r="Z148" s="11">
        <f>[18]생산!I145</f>
        <v>0</v>
      </c>
      <c r="AA148" s="11">
        <f>[18]생산!J145</f>
        <v>0</v>
      </c>
      <c r="AB148" s="11">
        <f>[18]생산!K145</f>
        <v>0</v>
      </c>
      <c r="AC148" s="11"/>
    </row>
    <row r="149" spans="1:29">
      <c r="A149" s="6">
        <v>46166</v>
      </c>
      <c r="B149" s="12">
        <f>'[18]key-in(LO)'!AA147</f>
        <v>0</v>
      </c>
      <c r="C149" s="12">
        <f>'[18]key-in(LO)'!AB147</f>
        <v>0</v>
      </c>
      <c r="D149" s="12">
        <f>'[18]key-in(LO)'!AC147</f>
        <v>0</v>
      </c>
      <c r="E149" s="12">
        <f>'[18]key-in(LO)'!AD147</f>
        <v>0</v>
      </c>
      <c r="F149" s="12">
        <f>'[18]key-in(LO)'!AE147</f>
        <v>0</v>
      </c>
      <c r="G149" s="115">
        <f>'[18]key-in(LO)'!AF147</f>
        <v>0</v>
      </c>
      <c r="H149" s="12">
        <f>'[18]key-in(LO)'!AG147</f>
        <v>0</v>
      </c>
      <c r="I149" s="12">
        <f>'[18]key-in(LO)'!AH147</f>
        <v>0</v>
      </c>
      <c r="J149" s="10">
        <f>'[18]key-in(ACO)'!$AR147</f>
        <v>0</v>
      </c>
      <c r="K149" s="10">
        <f>'[18]key-in(ACO)'!$AS147</f>
        <v>0</v>
      </c>
      <c r="L149" s="9">
        <f>'[18]key-in(ACO)'!$AV147</f>
        <v>0</v>
      </c>
      <c r="M149" s="10">
        <f>[18]생산!BA146</f>
        <v>0</v>
      </c>
      <c r="N149" s="10">
        <f>[18]생산!BB146</f>
        <v>0</v>
      </c>
      <c r="O149" s="10">
        <f>[18]생산!BC146</f>
        <v>0</v>
      </c>
      <c r="P149" s="10">
        <f>[18]생산!BD146</f>
        <v>0</v>
      </c>
      <c r="Q149" s="10">
        <f>[18]생산!BE146</f>
        <v>0</v>
      </c>
      <c r="R149" s="10">
        <f>[18]생산!BF146</f>
        <v>0</v>
      </c>
      <c r="S149" s="9">
        <f>[18]운전시간외!C146</f>
        <v>0</v>
      </c>
      <c r="T149" s="9">
        <f>[18]운전시간외!D146</f>
        <v>0</v>
      </c>
      <c r="U149" s="9">
        <f>[18]운전시간외!E146</f>
        <v>0</v>
      </c>
      <c r="V149" s="9">
        <f>[18]운전시간외!F146</f>
        <v>0</v>
      </c>
      <c r="W149" s="11">
        <f>[18]생산!F146</f>
        <v>0</v>
      </c>
      <c r="X149" s="11">
        <f>[18]생산!G146</f>
        <v>0</v>
      </c>
      <c r="Y149" s="11">
        <f>[18]생산!H146</f>
        <v>0</v>
      </c>
      <c r="Z149" s="11">
        <f>[18]생산!I146</f>
        <v>0</v>
      </c>
      <c r="AA149" s="11">
        <f>[18]생산!J146</f>
        <v>0</v>
      </c>
      <c r="AB149" s="11">
        <f>[18]생산!K146</f>
        <v>0</v>
      </c>
      <c r="AC149" s="11"/>
    </row>
    <row r="150" spans="1:29">
      <c r="A150" s="6">
        <v>46167</v>
      </c>
      <c r="B150" s="12">
        <f>'[18]key-in(LO)'!AA148</f>
        <v>0</v>
      </c>
      <c r="C150" s="12">
        <f>'[18]key-in(LO)'!AB148</f>
        <v>0</v>
      </c>
      <c r="D150" s="12">
        <f>'[18]key-in(LO)'!AC148</f>
        <v>0</v>
      </c>
      <c r="E150" s="12">
        <f>'[18]key-in(LO)'!AD148</f>
        <v>0</v>
      </c>
      <c r="F150" s="12">
        <f>'[18]key-in(LO)'!AE148</f>
        <v>0</v>
      </c>
      <c r="G150" s="115">
        <f>'[18]key-in(LO)'!AF148</f>
        <v>0</v>
      </c>
      <c r="H150" s="12">
        <f>'[18]key-in(LO)'!AG148</f>
        <v>0</v>
      </c>
      <c r="I150" s="12">
        <f>'[18]key-in(LO)'!AH148</f>
        <v>0</v>
      </c>
      <c r="J150" s="10">
        <f>'[18]key-in(ACO)'!$AR148</f>
        <v>0</v>
      </c>
      <c r="K150" s="10">
        <f>'[18]key-in(ACO)'!$AS148</f>
        <v>0</v>
      </c>
      <c r="L150" s="9">
        <f>'[18]key-in(ACO)'!$AV148</f>
        <v>0</v>
      </c>
      <c r="M150" s="10">
        <f>[18]생산!BA147</f>
        <v>0</v>
      </c>
      <c r="N150" s="10">
        <f>[18]생산!BB147</f>
        <v>0</v>
      </c>
      <c r="O150" s="10">
        <f>[18]생산!BC147</f>
        <v>0</v>
      </c>
      <c r="P150" s="10">
        <f>[18]생산!BD147</f>
        <v>0</v>
      </c>
      <c r="Q150" s="10">
        <f>[18]생산!BE147</f>
        <v>0</v>
      </c>
      <c r="R150" s="10">
        <f>[18]생산!BF147</f>
        <v>0</v>
      </c>
      <c r="S150" s="9">
        <f>[18]운전시간외!C147</f>
        <v>0</v>
      </c>
      <c r="T150" s="9">
        <f>[18]운전시간외!D147</f>
        <v>0</v>
      </c>
      <c r="U150" s="9">
        <f>[18]운전시간외!E147</f>
        <v>0</v>
      </c>
      <c r="V150" s="9">
        <f>[18]운전시간외!F147</f>
        <v>0</v>
      </c>
      <c r="W150" s="11">
        <f>[18]생산!F147</f>
        <v>0</v>
      </c>
      <c r="X150" s="11">
        <f>[18]생산!G147</f>
        <v>0</v>
      </c>
      <c r="Y150" s="11">
        <f>[18]생산!H147</f>
        <v>0</v>
      </c>
      <c r="Z150" s="11">
        <f>[18]생산!I147</f>
        <v>0</v>
      </c>
      <c r="AA150" s="11">
        <f>[18]생산!J147</f>
        <v>0</v>
      </c>
      <c r="AB150" s="11">
        <f>[18]생산!K147</f>
        <v>0</v>
      </c>
      <c r="AC150" s="11"/>
    </row>
    <row r="151" spans="1:29">
      <c r="A151" s="6">
        <v>46168</v>
      </c>
      <c r="B151" s="12">
        <f>'[18]key-in(LO)'!AA149</f>
        <v>0</v>
      </c>
      <c r="C151" s="12">
        <f>'[18]key-in(LO)'!AB149</f>
        <v>0</v>
      </c>
      <c r="D151" s="12">
        <f>'[18]key-in(LO)'!AC149</f>
        <v>0</v>
      </c>
      <c r="E151" s="12">
        <f>'[18]key-in(LO)'!AD149</f>
        <v>0</v>
      </c>
      <c r="F151" s="12">
        <f>'[18]key-in(LO)'!AE149</f>
        <v>0</v>
      </c>
      <c r="G151" s="115">
        <f>'[18]key-in(LO)'!AF149</f>
        <v>0</v>
      </c>
      <c r="H151" s="12">
        <f>'[18]key-in(LO)'!AG149</f>
        <v>0</v>
      </c>
      <c r="I151" s="12">
        <f>'[18]key-in(LO)'!AH149</f>
        <v>0</v>
      </c>
      <c r="J151" s="10">
        <f>'[18]key-in(ACO)'!$AR149</f>
        <v>0</v>
      </c>
      <c r="K151" s="10">
        <f>'[18]key-in(ACO)'!$AS149</f>
        <v>0</v>
      </c>
      <c r="L151" s="9">
        <f>'[18]key-in(ACO)'!$AV149</f>
        <v>0</v>
      </c>
      <c r="M151" s="10">
        <f>[18]생산!BA148</f>
        <v>0</v>
      </c>
      <c r="N151" s="10">
        <f>[18]생산!BB148</f>
        <v>0</v>
      </c>
      <c r="O151" s="10">
        <f>[18]생산!BC148</f>
        <v>0</v>
      </c>
      <c r="P151" s="10">
        <f>[18]생산!BD148</f>
        <v>0</v>
      </c>
      <c r="Q151" s="10">
        <f>[18]생산!BE148</f>
        <v>0</v>
      </c>
      <c r="R151" s="10">
        <f>[18]생산!BF148</f>
        <v>0</v>
      </c>
      <c r="S151" s="9">
        <f>[18]운전시간외!C148</f>
        <v>0</v>
      </c>
      <c r="T151" s="9">
        <f>[18]운전시간외!D148</f>
        <v>0</v>
      </c>
      <c r="U151" s="9">
        <f>[18]운전시간외!E148</f>
        <v>0</v>
      </c>
      <c r="V151" s="9">
        <f>[18]운전시간외!F148</f>
        <v>0</v>
      </c>
      <c r="W151" s="11">
        <f>[18]생산!F148</f>
        <v>0</v>
      </c>
      <c r="X151" s="11">
        <f>[18]생산!G148</f>
        <v>0</v>
      </c>
      <c r="Y151" s="11">
        <f>[18]생산!H148</f>
        <v>0</v>
      </c>
      <c r="Z151" s="11">
        <f>[18]생산!I148</f>
        <v>0</v>
      </c>
      <c r="AA151" s="11">
        <f>[18]생산!J148</f>
        <v>0</v>
      </c>
      <c r="AB151" s="11">
        <f>[18]생산!K148</f>
        <v>0</v>
      </c>
      <c r="AC151" s="11"/>
    </row>
    <row r="152" spans="1:29">
      <c r="A152" s="6">
        <v>46169</v>
      </c>
      <c r="B152" s="12">
        <f>'[18]key-in(LO)'!AA150</f>
        <v>0</v>
      </c>
      <c r="C152" s="12">
        <f>'[18]key-in(LO)'!AB150</f>
        <v>0</v>
      </c>
      <c r="D152" s="12">
        <f>'[18]key-in(LO)'!AC150</f>
        <v>0</v>
      </c>
      <c r="E152" s="12">
        <f>'[18]key-in(LO)'!AD150</f>
        <v>0</v>
      </c>
      <c r="F152" s="12">
        <f>'[18]key-in(LO)'!AE150</f>
        <v>0</v>
      </c>
      <c r="G152" s="115">
        <f>'[18]key-in(LO)'!AF150</f>
        <v>0</v>
      </c>
      <c r="H152" s="12">
        <f>'[18]key-in(LO)'!AG150</f>
        <v>0</v>
      </c>
      <c r="I152" s="12">
        <f>'[18]key-in(LO)'!AH150</f>
        <v>0</v>
      </c>
      <c r="J152" s="10">
        <f>'[18]key-in(ACO)'!$AR150</f>
        <v>0</v>
      </c>
      <c r="K152" s="10">
        <f>'[18]key-in(ACO)'!$AS150</f>
        <v>0</v>
      </c>
      <c r="L152" s="9">
        <f>'[18]key-in(ACO)'!$AV150</f>
        <v>0</v>
      </c>
      <c r="M152" s="10">
        <f>[18]생산!BA149</f>
        <v>0</v>
      </c>
      <c r="N152" s="10">
        <f>[18]생산!BB149</f>
        <v>0</v>
      </c>
      <c r="O152" s="10">
        <f>[18]생산!BC149</f>
        <v>0</v>
      </c>
      <c r="P152" s="10">
        <f>[18]생산!BD149</f>
        <v>0</v>
      </c>
      <c r="Q152" s="10">
        <f>[18]생산!BE149</f>
        <v>0</v>
      </c>
      <c r="R152" s="10">
        <f>[18]생산!BF149</f>
        <v>0</v>
      </c>
      <c r="S152" s="9">
        <f>[18]운전시간외!C149</f>
        <v>0</v>
      </c>
      <c r="T152" s="9">
        <f>[18]운전시간외!D149</f>
        <v>0</v>
      </c>
      <c r="U152" s="9">
        <f>[18]운전시간외!E149</f>
        <v>0</v>
      </c>
      <c r="V152" s="9">
        <f>[18]운전시간외!F149</f>
        <v>0</v>
      </c>
      <c r="W152" s="11">
        <f>[18]생산!F149</f>
        <v>0</v>
      </c>
      <c r="X152" s="11">
        <f>[18]생산!G149</f>
        <v>0</v>
      </c>
      <c r="Y152" s="11">
        <f>[18]생산!H149</f>
        <v>0</v>
      </c>
      <c r="Z152" s="11">
        <f>[18]생산!I149</f>
        <v>0</v>
      </c>
      <c r="AA152" s="11">
        <f>[18]생산!J149</f>
        <v>0</v>
      </c>
      <c r="AB152" s="11">
        <f>[18]생산!K149</f>
        <v>0</v>
      </c>
      <c r="AC152" s="11"/>
    </row>
    <row r="153" spans="1:29">
      <c r="A153" s="6">
        <v>46170</v>
      </c>
      <c r="B153" s="12">
        <f>'[18]key-in(LO)'!AA151</f>
        <v>0</v>
      </c>
      <c r="C153" s="12">
        <f>'[18]key-in(LO)'!AB151</f>
        <v>0</v>
      </c>
      <c r="D153" s="12">
        <f>'[18]key-in(LO)'!AC151</f>
        <v>0</v>
      </c>
      <c r="E153" s="12">
        <f>'[18]key-in(LO)'!AD151</f>
        <v>0</v>
      </c>
      <c r="F153" s="12">
        <f>'[18]key-in(LO)'!AE151</f>
        <v>0</v>
      </c>
      <c r="G153" s="115">
        <f>'[18]key-in(LO)'!AF151</f>
        <v>0</v>
      </c>
      <c r="H153" s="12">
        <f>'[18]key-in(LO)'!AG151</f>
        <v>0</v>
      </c>
      <c r="I153" s="12">
        <f>'[18]key-in(LO)'!AH151</f>
        <v>0</v>
      </c>
      <c r="J153" s="10">
        <f>'[18]key-in(ACO)'!$AR151</f>
        <v>0</v>
      </c>
      <c r="K153" s="10">
        <f>'[18]key-in(ACO)'!$AS151</f>
        <v>0</v>
      </c>
      <c r="L153" s="9">
        <f>'[18]key-in(ACO)'!$AV151</f>
        <v>0</v>
      </c>
      <c r="M153" s="10">
        <f>[18]생산!BA150</f>
        <v>0</v>
      </c>
      <c r="N153" s="10">
        <f>[18]생산!BB150</f>
        <v>0</v>
      </c>
      <c r="O153" s="10">
        <f>[18]생산!BC150</f>
        <v>0</v>
      </c>
      <c r="P153" s="10">
        <f>[18]생산!BD150</f>
        <v>0</v>
      </c>
      <c r="Q153" s="10">
        <f>[18]생산!BE150</f>
        <v>0</v>
      </c>
      <c r="R153" s="10">
        <f>[18]생산!BF150</f>
        <v>0</v>
      </c>
      <c r="S153" s="9">
        <f>[18]운전시간외!C150</f>
        <v>0</v>
      </c>
      <c r="T153" s="9">
        <f>[18]운전시간외!D150</f>
        <v>0</v>
      </c>
      <c r="U153" s="9">
        <f>[18]운전시간외!E150</f>
        <v>0</v>
      </c>
      <c r="V153" s="9">
        <f>[18]운전시간외!F150</f>
        <v>0</v>
      </c>
      <c r="W153" s="11">
        <f>[18]생산!F150</f>
        <v>0</v>
      </c>
      <c r="X153" s="11">
        <f>[18]생산!G150</f>
        <v>0</v>
      </c>
      <c r="Y153" s="11">
        <f>[18]생산!H150</f>
        <v>0</v>
      </c>
      <c r="Z153" s="11">
        <f>[18]생산!I150</f>
        <v>0</v>
      </c>
      <c r="AA153" s="11">
        <f>[18]생산!J150</f>
        <v>0</v>
      </c>
      <c r="AB153" s="11">
        <f>[18]생산!K150</f>
        <v>0</v>
      </c>
      <c r="AC153" s="11"/>
    </row>
    <row r="154" spans="1:29">
      <c r="A154" s="6">
        <v>46171</v>
      </c>
      <c r="B154" s="12">
        <f>'[18]key-in(LO)'!AA152</f>
        <v>0</v>
      </c>
      <c r="C154" s="12">
        <f>'[18]key-in(LO)'!AB152</f>
        <v>0</v>
      </c>
      <c r="D154" s="12">
        <f>'[18]key-in(LO)'!AC152</f>
        <v>0</v>
      </c>
      <c r="E154" s="12">
        <f>'[18]key-in(LO)'!AD152</f>
        <v>0</v>
      </c>
      <c r="F154" s="12">
        <f>'[18]key-in(LO)'!AE152</f>
        <v>0</v>
      </c>
      <c r="G154" s="115">
        <f>'[18]key-in(LO)'!AF152</f>
        <v>0</v>
      </c>
      <c r="H154" s="12">
        <f>'[18]key-in(LO)'!AG152</f>
        <v>0</v>
      </c>
      <c r="I154" s="12">
        <f>'[18]key-in(LO)'!AH152</f>
        <v>0</v>
      </c>
      <c r="J154" s="10">
        <f>'[18]key-in(ACO)'!$AR152</f>
        <v>0</v>
      </c>
      <c r="K154" s="10">
        <f>'[18]key-in(ACO)'!$AS152</f>
        <v>0</v>
      </c>
      <c r="L154" s="9">
        <f>'[18]key-in(ACO)'!$AV152</f>
        <v>0</v>
      </c>
      <c r="M154" s="10">
        <f>[18]생산!BA151</f>
        <v>0</v>
      </c>
      <c r="N154" s="10">
        <f>[18]생산!BB151</f>
        <v>0</v>
      </c>
      <c r="O154" s="10">
        <f>[18]생산!BC151</f>
        <v>0</v>
      </c>
      <c r="P154" s="10">
        <f>[18]생산!BD151</f>
        <v>0</v>
      </c>
      <c r="Q154" s="10">
        <f>[18]생산!BE151</f>
        <v>0</v>
      </c>
      <c r="R154" s="10">
        <f>[18]생산!BF151</f>
        <v>0</v>
      </c>
      <c r="S154" s="9">
        <f>[18]운전시간외!C151</f>
        <v>0</v>
      </c>
      <c r="T154" s="9">
        <f>[18]운전시간외!D151</f>
        <v>0</v>
      </c>
      <c r="U154" s="9">
        <f>[18]운전시간외!E151</f>
        <v>0</v>
      </c>
      <c r="V154" s="9">
        <f>[18]운전시간외!F151</f>
        <v>0</v>
      </c>
      <c r="W154" s="11">
        <f>[18]생산!F151</f>
        <v>0</v>
      </c>
      <c r="X154" s="11">
        <f>[18]생산!G151</f>
        <v>0</v>
      </c>
      <c r="Y154" s="11">
        <f>[18]생산!H151</f>
        <v>0</v>
      </c>
      <c r="Z154" s="11">
        <f>[18]생산!I151</f>
        <v>0</v>
      </c>
      <c r="AA154" s="11">
        <f>[18]생산!J151</f>
        <v>0</v>
      </c>
      <c r="AB154" s="11">
        <f>[18]생산!K151</f>
        <v>0</v>
      </c>
      <c r="AC154" s="11"/>
    </row>
    <row r="155" spans="1:29">
      <c r="A155" s="6">
        <v>46172</v>
      </c>
      <c r="B155" s="12">
        <f>'[18]key-in(LO)'!AA153</f>
        <v>0</v>
      </c>
      <c r="C155" s="12">
        <f>'[18]key-in(LO)'!AB153</f>
        <v>0</v>
      </c>
      <c r="D155" s="12">
        <f>'[18]key-in(LO)'!AC153</f>
        <v>0</v>
      </c>
      <c r="E155" s="12">
        <f>'[18]key-in(LO)'!AD153</f>
        <v>0</v>
      </c>
      <c r="F155" s="12">
        <f>'[18]key-in(LO)'!AE153</f>
        <v>0</v>
      </c>
      <c r="G155" s="115">
        <f>'[18]key-in(LO)'!AF153</f>
        <v>0</v>
      </c>
      <c r="H155" s="12">
        <f>'[18]key-in(LO)'!AG153</f>
        <v>0</v>
      </c>
      <c r="I155" s="12">
        <f>'[18]key-in(LO)'!AH153</f>
        <v>0</v>
      </c>
      <c r="J155" s="10">
        <f>'[18]key-in(ACO)'!$AR153</f>
        <v>0</v>
      </c>
      <c r="K155" s="10">
        <f>'[18]key-in(ACO)'!$AS153</f>
        <v>0</v>
      </c>
      <c r="L155" s="9">
        <f>'[18]key-in(ACO)'!$AV153</f>
        <v>0</v>
      </c>
      <c r="M155" s="10">
        <f>[18]생산!BA152</f>
        <v>0</v>
      </c>
      <c r="N155" s="10">
        <f>[18]생산!BB152</f>
        <v>0</v>
      </c>
      <c r="O155" s="10">
        <f>[18]생산!BC152</f>
        <v>0</v>
      </c>
      <c r="P155" s="10">
        <f>[18]생산!BD152</f>
        <v>0</v>
      </c>
      <c r="Q155" s="10">
        <f>[18]생산!BE152</f>
        <v>0</v>
      </c>
      <c r="R155" s="10">
        <f>[18]생산!BF152</f>
        <v>0</v>
      </c>
      <c r="S155" s="9">
        <f>[18]운전시간외!C152</f>
        <v>0</v>
      </c>
      <c r="T155" s="9">
        <f>[18]운전시간외!D152</f>
        <v>0</v>
      </c>
      <c r="U155" s="9">
        <f>[18]운전시간외!E152</f>
        <v>0</v>
      </c>
      <c r="V155" s="9">
        <f>[18]운전시간외!F152</f>
        <v>0</v>
      </c>
      <c r="W155" s="11">
        <f>[18]생산!F152</f>
        <v>0</v>
      </c>
      <c r="X155" s="11">
        <f>[18]생산!G152</f>
        <v>0</v>
      </c>
      <c r="Y155" s="11">
        <f>[18]생산!H152</f>
        <v>0</v>
      </c>
      <c r="Z155" s="11">
        <f>[18]생산!I152</f>
        <v>0</v>
      </c>
      <c r="AA155" s="11">
        <f>[18]생산!J152</f>
        <v>0</v>
      </c>
      <c r="AB155" s="11">
        <f>[18]생산!K152</f>
        <v>0</v>
      </c>
      <c r="AC155" s="11"/>
    </row>
    <row r="156" spans="1:29">
      <c r="A156" s="6">
        <v>46173</v>
      </c>
      <c r="B156" s="12">
        <f>'[18]key-in(LO)'!AA154</f>
        <v>0</v>
      </c>
      <c r="C156" s="12">
        <f>'[18]key-in(LO)'!AB154</f>
        <v>0</v>
      </c>
      <c r="D156" s="12">
        <f>'[18]key-in(LO)'!AC154</f>
        <v>0</v>
      </c>
      <c r="E156" s="12">
        <f>'[18]key-in(LO)'!AD154</f>
        <v>0</v>
      </c>
      <c r="F156" s="12">
        <f>'[18]key-in(LO)'!AE154</f>
        <v>0</v>
      </c>
      <c r="G156" s="115">
        <f>'[18]key-in(LO)'!AF154</f>
        <v>0</v>
      </c>
      <c r="H156" s="12">
        <f>'[18]key-in(LO)'!AG154</f>
        <v>0</v>
      </c>
      <c r="I156" s="12">
        <f>'[18]key-in(LO)'!AH154</f>
        <v>0</v>
      </c>
      <c r="J156" s="10">
        <f>'[18]key-in(ACO)'!$AR154</f>
        <v>0</v>
      </c>
      <c r="K156" s="10">
        <f>'[18]key-in(ACO)'!$AS154</f>
        <v>0</v>
      </c>
      <c r="L156" s="9">
        <f>'[18]key-in(ACO)'!$AV154</f>
        <v>0</v>
      </c>
      <c r="M156" s="10">
        <f>[18]생산!BA153</f>
        <v>0</v>
      </c>
      <c r="N156" s="10">
        <f>[18]생산!BB153</f>
        <v>0</v>
      </c>
      <c r="O156" s="10">
        <f>[18]생산!BC153</f>
        <v>0</v>
      </c>
      <c r="P156" s="10">
        <f>[18]생산!BD153</f>
        <v>0</v>
      </c>
      <c r="Q156" s="10">
        <f>[18]생산!BE153</f>
        <v>0</v>
      </c>
      <c r="R156" s="10">
        <f>[18]생산!BF153</f>
        <v>0</v>
      </c>
      <c r="S156" s="9">
        <f>[18]운전시간외!C153</f>
        <v>0</v>
      </c>
      <c r="T156" s="9">
        <f>[18]운전시간외!D153</f>
        <v>0</v>
      </c>
      <c r="U156" s="9">
        <f>[18]운전시간외!E153</f>
        <v>0</v>
      </c>
      <c r="V156" s="9">
        <f>[18]운전시간외!F153</f>
        <v>0</v>
      </c>
      <c r="W156" s="11">
        <f>[18]생산!F153</f>
        <v>0</v>
      </c>
      <c r="X156" s="11">
        <f>[18]생산!G153</f>
        <v>0</v>
      </c>
      <c r="Y156" s="11">
        <f>[18]생산!H153</f>
        <v>0</v>
      </c>
      <c r="Z156" s="11">
        <f>[18]생산!I153</f>
        <v>0</v>
      </c>
      <c r="AA156" s="11">
        <f>[18]생산!J153</f>
        <v>0</v>
      </c>
      <c r="AB156" s="11">
        <f>[18]생산!K153</f>
        <v>0</v>
      </c>
      <c r="AC156" s="11"/>
    </row>
    <row r="157" spans="1:29">
      <c r="A157" s="6">
        <v>46174</v>
      </c>
      <c r="B157" s="12">
        <f>'[18]key-in(LO)'!AA155</f>
        <v>0</v>
      </c>
      <c r="C157" s="12">
        <f>'[18]key-in(LO)'!AB155</f>
        <v>0</v>
      </c>
      <c r="D157" s="12">
        <f>'[18]key-in(LO)'!AC155</f>
        <v>0</v>
      </c>
      <c r="E157" s="12">
        <f>'[18]key-in(LO)'!AD155</f>
        <v>0</v>
      </c>
      <c r="F157" s="12">
        <f>'[18]key-in(LO)'!AE155</f>
        <v>0</v>
      </c>
      <c r="G157" s="115">
        <f>'[18]key-in(LO)'!AF155</f>
        <v>0</v>
      </c>
      <c r="H157" s="12">
        <f>'[18]key-in(LO)'!AG155</f>
        <v>0</v>
      </c>
      <c r="I157" s="12">
        <f>'[18]key-in(LO)'!AH155</f>
        <v>0</v>
      </c>
      <c r="J157" s="10">
        <f>'[18]key-in(ACO)'!$AR155</f>
        <v>0</v>
      </c>
      <c r="K157" s="10">
        <f>'[18]key-in(ACO)'!$AS155</f>
        <v>0</v>
      </c>
      <c r="L157" s="9">
        <f>'[18]key-in(ACO)'!$AV155</f>
        <v>0</v>
      </c>
      <c r="M157" s="10">
        <f>[18]생산!BA154</f>
        <v>0</v>
      </c>
      <c r="N157" s="10">
        <f>[18]생산!BB154</f>
        <v>0</v>
      </c>
      <c r="O157" s="10">
        <f>[18]생산!BC154</f>
        <v>0</v>
      </c>
      <c r="P157" s="10">
        <f>[18]생산!BD154</f>
        <v>0</v>
      </c>
      <c r="Q157" s="10">
        <f>[18]생산!BE154</f>
        <v>0</v>
      </c>
      <c r="R157" s="10">
        <f>[18]생산!BF154</f>
        <v>0</v>
      </c>
      <c r="S157" s="9">
        <f>[18]운전시간외!C154</f>
        <v>0</v>
      </c>
      <c r="T157" s="9">
        <f>[18]운전시간외!D154</f>
        <v>0</v>
      </c>
      <c r="U157" s="9">
        <f>[18]운전시간외!E154</f>
        <v>0</v>
      </c>
      <c r="V157" s="9">
        <f>[18]운전시간외!F154</f>
        <v>0</v>
      </c>
      <c r="W157" s="11">
        <f>[18]생산!F154</f>
        <v>0</v>
      </c>
      <c r="X157" s="11">
        <f>[18]생산!G154</f>
        <v>0</v>
      </c>
      <c r="Y157" s="11">
        <f>[18]생산!H154</f>
        <v>0</v>
      </c>
      <c r="Z157" s="11">
        <f>[18]생산!I154</f>
        <v>0</v>
      </c>
      <c r="AA157" s="11">
        <f>[18]생산!J154</f>
        <v>0</v>
      </c>
      <c r="AB157" s="11">
        <f>[18]생산!K154</f>
        <v>0</v>
      </c>
      <c r="AC157" s="11"/>
    </row>
    <row r="158" spans="1:29">
      <c r="A158" s="6">
        <v>46175</v>
      </c>
      <c r="B158" s="12">
        <f>'[18]key-in(LO)'!AA156</f>
        <v>0</v>
      </c>
      <c r="C158" s="12">
        <f>'[18]key-in(LO)'!AB156</f>
        <v>0</v>
      </c>
      <c r="D158" s="12">
        <f>'[18]key-in(LO)'!AC156</f>
        <v>0</v>
      </c>
      <c r="E158" s="12">
        <f>'[18]key-in(LO)'!AD156</f>
        <v>0</v>
      </c>
      <c r="F158" s="12">
        <f>'[18]key-in(LO)'!AE156</f>
        <v>0</v>
      </c>
      <c r="G158" s="115">
        <f>'[18]key-in(LO)'!AF156</f>
        <v>0</v>
      </c>
      <c r="H158" s="12">
        <f>'[18]key-in(LO)'!AG156</f>
        <v>0</v>
      </c>
      <c r="I158" s="12">
        <f>'[18]key-in(LO)'!AH156</f>
        <v>0</v>
      </c>
      <c r="J158" s="10">
        <f>'[18]key-in(ACO)'!$AR156</f>
        <v>0</v>
      </c>
      <c r="K158" s="10">
        <f>'[18]key-in(ACO)'!$AS156</f>
        <v>0</v>
      </c>
      <c r="L158" s="9">
        <f>'[18]key-in(ACO)'!$AV156</f>
        <v>0</v>
      </c>
      <c r="M158" s="10">
        <f>[18]생산!BA155</f>
        <v>0</v>
      </c>
      <c r="N158" s="10">
        <f>[18]생산!BB155</f>
        <v>0</v>
      </c>
      <c r="O158" s="10">
        <f>[18]생산!BC155</f>
        <v>0</v>
      </c>
      <c r="P158" s="10">
        <f>[18]생산!BD155</f>
        <v>0</v>
      </c>
      <c r="Q158" s="10">
        <f>[18]생산!BE155</f>
        <v>0</v>
      </c>
      <c r="R158" s="10">
        <f>[18]생산!BF155</f>
        <v>0</v>
      </c>
      <c r="S158" s="9">
        <f>[18]운전시간외!C155</f>
        <v>0</v>
      </c>
      <c r="T158" s="9">
        <f>[18]운전시간외!D155</f>
        <v>0</v>
      </c>
      <c r="U158" s="9">
        <f>[18]운전시간외!E155</f>
        <v>0</v>
      </c>
      <c r="V158" s="9">
        <f>[18]운전시간외!F155</f>
        <v>0</v>
      </c>
      <c r="W158" s="11">
        <f>[18]생산!F155</f>
        <v>0</v>
      </c>
      <c r="X158" s="11">
        <f>[18]생산!G155</f>
        <v>0</v>
      </c>
      <c r="Y158" s="11">
        <f>[18]생산!H155</f>
        <v>0</v>
      </c>
      <c r="Z158" s="11">
        <f>[18]생산!I155</f>
        <v>0</v>
      </c>
      <c r="AA158" s="11">
        <f>[18]생산!J155</f>
        <v>0</v>
      </c>
      <c r="AB158" s="11">
        <f>[18]생산!K155</f>
        <v>0</v>
      </c>
      <c r="AC158" s="11"/>
    </row>
    <row r="159" spans="1:29">
      <c r="A159" s="6">
        <v>46176</v>
      </c>
      <c r="B159" s="12">
        <f>'[18]key-in(LO)'!AA157</f>
        <v>0</v>
      </c>
      <c r="C159" s="12">
        <f>'[18]key-in(LO)'!AB157</f>
        <v>0</v>
      </c>
      <c r="D159" s="12">
        <f>'[18]key-in(LO)'!AC157</f>
        <v>0</v>
      </c>
      <c r="E159" s="12">
        <f>'[18]key-in(LO)'!AD157</f>
        <v>0</v>
      </c>
      <c r="F159" s="12">
        <f>'[18]key-in(LO)'!AE157</f>
        <v>0</v>
      </c>
      <c r="G159" s="115">
        <f>'[18]key-in(LO)'!AF157</f>
        <v>0</v>
      </c>
      <c r="H159" s="12">
        <f>'[18]key-in(LO)'!AG157</f>
        <v>0</v>
      </c>
      <c r="I159" s="12">
        <f>'[18]key-in(LO)'!AH157</f>
        <v>0</v>
      </c>
      <c r="J159" s="10">
        <f>'[18]key-in(ACO)'!$AR157</f>
        <v>0</v>
      </c>
      <c r="K159" s="10">
        <f>'[18]key-in(ACO)'!$AS157</f>
        <v>0</v>
      </c>
      <c r="L159" s="9">
        <f>'[18]key-in(ACO)'!$AV157</f>
        <v>0</v>
      </c>
      <c r="M159" s="10">
        <f>[18]생산!BA156</f>
        <v>0</v>
      </c>
      <c r="N159" s="10">
        <f>[18]생산!BB156</f>
        <v>0</v>
      </c>
      <c r="O159" s="10">
        <f>[18]생산!BC156</f>
        <v>0</v>
      </c>
      <c r="P159" s="10">
        <f>[18]생산!BD156</f>
        <v>0</v>
      </c>
      <c r="Q159" s="10">
        <f>[18]생산!BE156</f>
        <v>0</v>
      </c>
      <c r="R159" s="10">
        <f>[18]생산!BF156</f>
        <v>0</v>
      </c>
      <c r="S159" s="9">
        <f>[18]운전시간외!C156</f>
        <v>0</v>
      </c>
      <c r="T159" s="9">
        <f>[18]운전시간외!D156</f>
        <v>0</v>
      </c>
      <c r="U159" s="9">
        <f>[18]운전시간외!E156</f>
        <v>0</v>
      </c>
      <c r="V159" s="9">
        <f>[18]운전시간외!F156</f>
        <v>0</v>
      </c>
      <c r="W159" s="11">
        <f>[18]생산!F156</f>
        <v>0</v>
      </c>
      <c r="X159" s="11">
        <f>[18]생산!G156</f>
        <v>0</v>
      </c>
      <c r="Y159" s="11">
        <f>[18]생산!H156</f>
        <v>0</v>
      </c>
      <c r="Z159" s="11">
        <f>[18]생산!I156</f>
        <v>0</v>
      </c>
      <c r="AA159" s="11">
        <f>[18]생산!J156</f>
        <v>0</v>
      </c>
      <c r="AB159" s="11">
        <f>[18]생산!K156</f>
        <v>0</v>
      </c>
      <c r="AC159" s="11"/>
    </row>
    <row r="160" spans="1:29">
      <c r="A160" s="6">
        <v>46177</v>
      </c>
      <c r="B160" s="12">
        <f>'[18]key-in(LO)'!AA158</f>
        <v>0</v>
      </c>
      <c r="C160" s="12">
        <f>'[18]key-in(LO)'!AB158</f>
        <v>0</v>
      </c>
      <c r="D160" s="12">
        <f>'[18]key-in(LO)'!AC158</f>
        <v>0</v>
      </c>
      <c r="E160" s="12">
        <f>'[18]key-in(LO)'!AD158</f>
        <v>0</v>
      </c>
      <c r="F160" s="12">
        <f>'[18]key-in(LO)'!AE158</f>
        <v>0</v>
      </c>
      <c r="G160" s="115">
        <f>'[18]key-in(LO)'!AF158</f>
        <v>0</v>
      </c>
      <c r="H160" s="12">
        <f>'[18]key-in(LO)'!AG158</f>
        <v>0</v>
      </c>
      <c r="I160" s="12">
        <f>'[18]key-in(LO)'!AH158</f>
        <v>0</v>
      </c>
      <c r="J160" s="10">
        <f>'[18]key-in(ACO)'!$AR158</f>
        <v>0</v>
      </c>
      <c r="K160" s="10">
        <f>'[18]key-in(ACO)'!$AS158</f>
        <v>0</v>
      </c>
      <c r="L160" s="9">
        <f>'[18]key-in(ACO)'!$AV158</f>
        <v>0</v>
      </c>
      <c r="M160" s="10">
        <f>[18]생산!BA157</f>
        <v>0</v>
      </c>
      <c r="N160" s="10">
        <f>[18]생산!BB157</f>
        <v>0</v>
      </c>
      <c r="O160" s="10">
        <f>[18]생산!BC157</f>
        <v>0</v>
      </c>
      <c r="P160" s="10">
        <f>[18]생산!BD157</f>
        <v>0</v>
      </c>
      <c r="Q160" s="10">
        <f>[18]생산!BE157</f>
        <v>0</v>
      </c>
      <c r="R160" s="10">
        <f>[18]생산!BF157</f>
        <v>0</v>
      </c>
      <c r="S160" s="9">
        <f>[18]운전시간외!C157</f>
        <v>0</v>
      </c>
      <c r="T160" s="9">
        <f>[18]운전시간외!D157</f>
        <v>0</v>
      </c>
      <c r="U160" s="9">
        <f>[18]운전시간외!E157</f>
        <v>0</v>
      </c>
      <c r="V160" s="9">
        <f>[18]운전시간외!F157</f>
        <v>0</v>
      </c>
      <c r="W160" s="11">
        <f>[18]생산!F157</f>
        <v>0</v>
      </c>
      <c r="X160" s="11">
        <f>[18]생산!G157</f>
        <v>0</v>
      </c>
      <c r="Y160" s="11">
        <f>[18]생산!H157</f>
        <v>0</v>
      </c>
      <c r="Z160" s="11">
        <f>[18]생산!I157</f>
        <v>0</v>
      </c>
      <c r="AA160" s="11">
        <f>[18]생산!J157</f>
        <v>0</v>
      </c>
      <c r="AB160" s="11">
        <f>[18]생산!K157</f>
        <v>0</v>
      </c>
      <c r="AC160" s="11"/>
    </row>
    <row r="161" spans="1:29">
      <c r="A161" s="6">
        <v>46178</v>
      </c>
      <c r="B161" s="12">
        <f>'[18]key-in(LO)'!AA159</f>
        <v>0</v>
      </c>
      <c r="C161" s="12">
        <f>'[18]key-in(LO)'!AB159</f>
        <v>0</v>
      </c>
      <c r="D161" s="12">
        <f>'[18]key-in(LO)'!AC159</f>
        <v>0</v>
      </c>
      <c r="E161" s="12">
        <f>'[18]key-in(LO)'!AD159</f>
        <v>0</v>
      </c>
      <c r="F161" s="12">
        <f>'[18]key-in(LO)'!AE159</f>
        <v>0</v>
      </c>
      <c r="G161" s="115">
        <f>'[18]key-in(LO)'!AF159</f>
        <v>0</v>
      </c>
      <c r="H161" s="12">
        <f>'[18]key-in(LO)'!AG159</f>
        <v>0</v>
      </c>
      <c r="I161" s="12">
        <f>'[18]key-in(LO)'!AH159</f>
        <v>0</v>
      </c>
      <c r="J161" s="10">
        <f>'[18]key-in(ACO)'!$AR159</f>
        <v>0</v>
      </c>
      <c r="K161" s="10">
        <f>'[18]key-in(ACO)'!$AS159</f>
        <v>0</v>
      </c>
      <c r="L161" s="9">
        <f>'[18]key-in(ACO)'!$AV159</f>
        <v>0</v>
      </c>
      <c r="M161" s="10">
        <f>[18]생산!BA158</f>
        <v>0</v>
      </c>
      <c r="N161" s="10">
        <f>[18]생산!BB158</f>
        <v>0</v>
      </c>
      <c r="O161" s="10">
        <f>[18]생산!BC158</f>
        <v>0</v>
      </c>
      <c r="P161" s="10">
        <f>[18]생산!BD158</f>
        <v>0</v>
      </c>
      <c r="Q161" s="10">
        <f>[18]생산!BE158</f>
        <v>0</v>
      </c>
      <c r="R161" s="10">
        <f>[18]생산!BF158</f>
        <v>0</v>
      </c>
      <c r="S161" s="9">
        <f>[18]운전시간외!C158</f>
        <v>0</v>
      </c>
      <c r="T161" s="9">
        <f>[18]운전시간외!D158</f>
        <v>0</v>
      </c>
      <c r="U161" s="9">
        <f>[18]운전시간외!E158</f>
        <v>0</v>
      </c>
      <c r="V161" s="9">
        <f>[18]운전시간외!F158</f>
        <v>0</v>
      </c>
      <c r="W161" s="11">
        <f>[18]생산!F158</f>
        <v>0</v>
      </c>
      <c r="X161" s="11">
        <f>[18]생산!G158</f>
        <v>0</v>
      </c>
      <c r="Y161" s="11">
        <f>[18]생산!H158</f>
        <v>0</v>
      </c>
      <c r="Z161" s="11">
        <f>[18]생산!I158</f>
        <v>0</v>
      </c>
      <c r="AA161" s="11">
        <f>[18]생산!J158</f>
        <v>0</v>
      </c>
      <c r="AB161" s="11">
        <f>[18]생산!K158</f>
        <v>0</v>
      </c>
      <c r="AC161" s="11"/>
    </row>
    <row r="162" spans="1:29">
      <c r="A162" s="6">
        <v>46179</v>
      </c>
      <c r="B162" s="12">
        <f>'[18]key-in(LO)'!AA160</f>
        <v>0</v>
      </c>
      <c r="C162" s="12">
        <f>'[18]key-in(LO)'!AB160</f>
        <v>0</v>
      </c>
      <c r="D162" s="12">
        <f>'[18]key-in(LO)'!AC160</f>
        <v>0</v>
      </c>
      <c r="E162" s="12">
        <f>'[18]key-in(LO)'!AD160</f>
        <v>0</v>
      </c>
      <c r="F162" s="12">
        <f>'[18]key-in(LO)'!AE160</f>
        <v>0</v>
      </c>
      <c r="G162" s="115">
        <f>'[18]key-in(LO)'!AF160</f>
        <v>0</v>
      </c>
      <c r="H162" s="12">
        <f>'[18]key-in(LO)'!AG160</f>
        <v>0</v>
      </c>
      <c r="I162" s="12">
        <f>'[18]key-in(LO)'!AH160</f>
        <v>0</v>
      </c>
      <c r="J162" s="10">
        <f>'[18]key-in(ACO)'!$AR160</f>
        <v>0</v>
      </c>
      <c r="K162" s="10">
        <f>'[18]key-in(ACO)'!$AS160</f>
        <v>0</v>
      </c>
      <c r="L162" s="9">
        <f>'[18]key-in(ACO)'!$AV160</f>
        <v>0</v>
      </c>
      <c r="M162" s="10">
        <f>[18]생산!BA159</f>
        <v>0</v>
      </c>
      <c r="N162" s="10">
        <f>[18]생산!BB159</f>
        <v>0</v>
      </c>
      <c r="O162" s="10">
        <f>[18]생산!BC159</f>
        <v>0</v>
      </c>
      <c r="P162" s="10">
        <f>[18]생산!BD159</f>
        <v>0</v>
      </c>
      <c r="Q162" s="10">
        <f>[18]생산!BE159</f>
        <v>0</v>
      </c>
      <c r="R162" s="10">
        <f>[18]생산!BF159</f>
        <v>0</v>
      </c>
      <c r="S162" s="9">
        <f>[18]운전시간외!C159</f>
        <v>0</v>
      </c>
      <c r="T162" s="9">
        <f>[18]운전시간외!D159</f>
        <v>0</v>
      </c>
      <c r="U162" s="9">
        <f>[18]운전시간외!E159</f>
        <v>0</v>
      </c>
      <c r="V162" s="9">
        <f>[18]운전시간외!F159</f>
        <v>0</v>
      </c>
      <c r="W162" s="11">
        <f>[18]생산!F159</f>
        <v>0</v>
      </c>
      <c r="X162" s="11">
        <f>[18]생산!G159</f>
        <v>0</v>
      </c>
      <c r="Y162" s="11">
        <f>[18]생산!H159</f>
        <v>0</v>
      </c>
      <c r="Z162" s="11">
        <f>[18]생산!I159</f>
        <v>0</v>
      </c>
      <c r="AA162" s="11">
        <f>[18]생산!J159</f>
        <v>0</v>
      </c>
      <c r="AB162" s="11">
        <f>[18]생산!K159</f>
        <v>0</v>
      </c>
      <c r="AC162" s="11"/>
    </row>
    <row r="163" spans="1:29">
      <c r="A163" s="6">
        <v>46180</v>
      </c>
      <c r="B163" s="12">
        <f>'[18]key-in(LO)'!AA161</f>
        <v>0</v>
      </c>
      <c r="C163" s="12">
        <f>'[18]key-in(LO)'!AB161</f>
        <v>0</v>
      </c>
      <c r="D163" s="12">
        <f>'[18]key-in(LO)'!AC161</f>
        <v>0</v>
      </c>
      <c r="E163" s="12">
        <f>'[18]key-in(LO)'!AD161</f>
        <v>0</v>
      </c>
      <c r="F163" s="12">
        <f>'[18]key-in(LO)'!AE161</f>
        <v>0</v>
      </c>
      <c r="G163" s="115">
        <f>'[18]key-in(LO)'!AF161</f>
        <v>0</v>
      </c>
      <c r="H163" s="12">
        <f>'[18]key-in(LO)'!AG161</f>
        <v>0</v>
      </c>
      <c r="I163" s="12">
        <f>'[18]key-in(LO)'!AH161</f>
        <v>0</v>
      </c>
      <c r="J163" s="10">
        <f>'[18]key-in(ACO)'!$AR161</f>
        <v>0</v>
      </c>
      <c r="K163" s="10">
        <f>'[18]key-in(ACO)'!$AS161</f>
        <v>0</v>
      </c>
      <c r="L163" s="9">
        <f>'[18]key-in(ACO)'!$AV161</f>
        <v>0</v>
      </c>
      <c r="M163" s="10">
        <f>[18]생산!BA160</f>
        <v>0</v>
      </c>
      <c r="N163" s="10">
        <f>[18]생산!BB160</f>
        <v>0</v>
      </c>
      <c r="O163" s="10">
        <f>[18]생산!BC160</f>
        <v>0</v>
      </c>
      <c r="P163" s="10">
        <f>[18]생산!BD160</f>
        <v>0</v>
      </c>
      <c r="Q163" s="10">
        <f>[18]생산!BE160</f>
        <v>0</v>
      </c>
      <c r="R163" s="10">
        <f>[18]생산!BF160</f>
        <v>0</v>
      </c>
      <c r="S163" s="9">
        <f>[18]운전시간외!C160</f>
        <v>0</v>
      </c>
      <c r="T163" s="9">
        <f>[18]운전시간외!D160</f>
        <v>0</v>
      </c>
      <c r="U163" s="9">
        <f>[18]운전시간외!E160</f>
        <v>0</v>
      </c>
      <c r="V163" s="9">
        <f>[18]운전시간외!F160</f>
        <v>0</v>
      </c>
      <c r="W163" s="11">
        <f>[18]생산!F160</f>
        <v>0</v>
      </c>
      <c r="X163" s="11">
        <f>[18]생산!G160</f>
        <v>0</v>
      </c>
      <c r="Y163" s="11">
        <f>[18]생산!H160</f>
        <v>0</v>
      </c>
      <c r="Z163" s="11">
        <f>[18]생산!I160</f>
        <v>0</v>
      </c>
      <c r="AA163" s="11">
        <f>[18]생산!J160</f>
        <v>0</v>
      </c>
      <c r="AB163" s="11">
        <f>[18]생산!K160</f>
        <v>0</v>
      </c>
      <c r="AC163" s="11"/>
    </row>
    <row r="164" spans="1:29">
      <c r="A164" s="6">
        <v>46181</v>
      </c>
      <c r="B164" s="12">
        <f>'[18]key-in(LO)'!AA162</f>
        <v>0</v>
      </c>
      <c r="C164" s="12">
        <f>'[18]key-in(LO)'!AB162</f>
        <v>0</v>
      </c>
      <c r="D164" s="12">
        <f>'[18]key-in(LO)'!AC162</f>
        <v>0</v>
      </c>
      <c r="E164" s="12">
        <f>'[18]key-in(LO)'!AD162</f>
        <v>0</v>
      </c>
      <c r="F164" s="12">
        <f>'[18]key-in(LO)'!AE162</f>
        <v>0</v>
      </c>
      <c r="G164" s="115">
        <f>'[18]key-in(LO)'!AF162</f>
        <v>0</v>
      </c>
      <c r="H164" s="12">
        <f>'[18]key-in(LO)'!AG162</f>
        <v>0</v>
      </c>
      <c r="I164" s="12">
        <f>'[18]key-in(LO)'!AH162</f>
        <v>0</v>
      </c>
      <c r="J164" s="10">
        <f>'[18]key-in(ACO)'!$AR162</f>
        <v>0</v>
      </c>
      <c r="K164" s="10">
        <f>'[18]key-in(ACO)'!$AS162</f>
        <v>0</v>
      </c>
      <c r="L164" s="9">
        <f>'[18]key-in(ACO)'!$AV162</f>
        <v>0</v>
      </c>
      <c r="M164" s="10">
        <f>[18]생산!BA161</f>
        <v>0</v>
      </c>
      <c r="N164" s="10">
        <f>[18]생산!BB161</f>
        <v>0</v>
      </c>
      <c r="O164" s="10">
        <f>[18]생산!BC161</f>
        <v>0</v>
      </c>
      <c r="P164" s="10">
        <f>[18]생산!BD161</f>
        <v>0</v>
      </c>
      <c r="Q164" s="10">
        <f>[18]생산!BE161</f>
        <v>0</v>
      </c>
      <c r="R164" s="10">
        <f>[18]생산!BF161</f>
        <v>0</v>
      </c>
      <c r="S164" s="9">
        <f>[18]운전시간외!C161</f>
        <v>0</v>
      </c>
      <c r="T164" s="9">
        <f>[18]운전시간외!D161</f>
        <v>0</v>
      </c>
      <c r="U164" s="9">
        <f>[18]운전시간외!E161</f>
        <v>0</v>
      </c>
      <c r="V164" s="9">
        <f>[18]운전시간외!F161</f>
        <v>0</v>
      </c>
      <c r="W164" s="11">
        <f>[18]생산!F161</f>
        <v>0</v>
      </c>
      <c r="X164" s="11">
        <f>[18]생산!G161</f>
        <v>0</v>
      </c>
      <c r="Y164" s="11">
        <f>[18]생산!H161</f>
        <v>0</v>
      </c>
      <c r="Z164" s="11">
        <f>[18]생산!I161</f>
        <v>0</v>
      </c>
      <c r="AA164" s="11">
        <f>[18]생산!J161</f>
        <v>0</v>
      </c>
      <c r="AB164" s="11">
        <f>[18]생산!K161</f>
        <v>0</v>
      </c>
      <c r="AC164" s="11"/>
    </row>
    <row r="165" spans="1:29">
      <c r="A165" s="6">
        <v>46182</v>
      </c>
      <c r="B165" s="12">
        <f>'[18]key-in(LO)'!AA163</f>
        <v>0</v>
      </c>
      <c r="C165" s="12">
        <f>'[18]key-in(LO)'!AB163</f>
        <v>0</v>
      </c>
      <c r="D165" s="12">
        <f>'[18]key-in(LO)'!AC163</f>
        <v>0</v>
      </c>
      <c r="E165" s="12">
        <f>'[18]key-in(LO)'!AD163</f>
        <v>0</v>
      </c>
      <c r="F165" s="12">
        <f>'[18]key-in(LO)'!AE163</f>
        <v>0</v>
      </c>
      <c r="G165" s="115">
        <f>'[18]key-in(LO)'!AF163</f>
        <v>0</v>
      </c>
      <c r="H165" s="12">
        <f>'[18]key-in(LO)'!AG163</f>
        <v>0</v>
      </c>
      <c r="I165" s="12">
        <f>'[18]key-in(LO)'!AH163</f>
        <v>0</v>
      </c>
      <c r="J165" s="10">
        <f>'[18]key-in(ACO)'!$AR163</f>
        <v>0</v>
      </c>
      <c r="K165" s="10">
        <f>'[18]key-in(ACO)'!$AS163</f>
        <v>0</v>
      </c>
      <c r="L165" s="9">
        <f>'[18]key-in(ACO)'!$AV163</f>
        <v>0</v>
      </c>
      <c r="M165" s="10">
        <f>[18]생산!BA162</f>
        <v>0</v>
      </c>
      <c r="N165" s="10">
        <f>[18]생산!BB162</f>
        <v>0</v>
      </c>
      <c r="O165" s="10">
        <f>[18]생산!BC162</f>
        <v>0</v>
      </c>
      <c r="P165" s="10">
        <f>[18]생산!BD162</f>
        <v>0</v>
      </c>
      <c r="Q165" s="10">
        <f>[18]생산!BE162</f>
        <v>0</v>
      </c>
      <c r="R165" s="10">
        <f>[18]생산!BF162</f>
        <v>0</v>
      </c>
      <c r="S165" s="9">
        <f>[18]운전시간외!C162</f>
        <v>0</v>
      </c>
      <c r="T165" s="9">
        <f>[18]운전시간외!D162</f>
        <v>0</v>
      </c>
      <c r="U165" s="9">
        <f>[18]운전시간외!E162</f>
        <v>0</v>
      </c>
      <c r="V165" s="9">
        <f>[18]운전시간외!F162</f>
        <v>0</v>
      </c>
      <c r="W165" s="11">
        <f>[18]생산!F162</f>
        <v>0</v>
      </c>
      <c r="X165" s="11">
        <f>[18]생산!G162</f>
        <v>0</v>
      </c>
      <c r="Y165" s="11">
        <f>[18]생산!H162</f>
        <v>0</v>
      </c>
      <c r="Z165" s="11">
        <f>[18]생산!I162</f>
        <v>0</v>
      </c>
      <c r="AA165" s="11">
        <f>[18]생산!J162</f>
        <v>0</v>
      </c>
      <c r="AB165" s="11">
        <f>[18]생산!K162</f>
        <v>0</v>
      </c>
      <c r="AC165" s="11"/>
    </row>
    <row r="166" spans="1:29">
      <c r="A166" s="6">
        <v>46183</v>
      </c>
      <c r="B166" s="12">
        <f>'[18]key-in(LO)'!AA164</f>
        <v>0</v>
      </c>
      <c r="C166" s="12">
        <f>'[18]key-in(LO)'!AB164</f>
        <v>0</v>
      </c>
      <c r="D166" s="12">
        <f>'[18]key-in(LO)'!AC164</f>
        <v>0</v>
      </c>
      <c r="E166" s="12">
        <f>'[18]key-in(LO)'!AD164</f>
        <v>0</v>
      </c>
      <c r="F166" s="12">
        <f>'[18]key-in(LO)'!AE164</f>
        <v>0</v>
      </c>
      <c r="G166" s="115">
        <f>'[18]key-in(LO)'!AF164</f>
        <v>0</v>
      </c>
      <c r="H166" s="12">
        <f>'[18]key-in(LO)'!AG164</f>
        <v>0</v>
      </c>
      <c r="I166" s="12">
        <f>'[18]key-in(LO)'!AH164</f>
        <v>0</v>
      </c>
      <c r="J166" s="10">
        <f>'[18]key-in(ACO)'!$AR164</f>
        <v>0</v>
      </c>
      <c r="K166" s="10">
        <f>'[18]key-in(ACO)'!$AS164</f>
        <v>0</v>
      </c>
      <c r="L166" s="9">
        <f>'[18]key-in(ACO)'!$AV164</f>
        <v>0</v>
      </c>
      <c r="M166" s="10">
        <f>[18]생산!BA163</f>
        <v>0</v>
      </c>
      <c r="N166" s="10">
        <f>[18]생산!BB163</f>
        <v>0</v>
      </c>
      <c r="O166" s="10">
        <f>[18]생산!BC163</f>
        <v>0</v>
      </c>
      <c r="P166" s="10">
        <f>[18]생산!BD163</f>
        <v>0</v>
      </c>
      <c r="Q166" s="10">
        <f>[18]생산!BE163</f>
        <v>0</v>
      </c>
      <c r="R166" s="10">
        <f>[18]생산!BF163</f>
        <v>0</v>
      </c>
      <c r="S166" s="9">
        <f>[18]운전시간외!C163</f>
        <v>0</v>
      </c>
      <c r="T166" s="9">
        <f>[18]운전시간외!D163</f>
        <v>0</v>
      </c>
      <c r="U166" s="9">
        <f>[18]운전시간외!E163</f>
        <v>0</v>
      </c>
      <c r="V166" s="9">
        <f>[18]운전시간외!F163</f>
        <v>0</v>
      </c>
      <c r="W166" s="11">
        <f>[18]생산!F163</f>
        <v>0</v>
      </c>
      <c r="X166" s="11">
        <f>[18]생산!G163</f>
        <v>0</v>
      </c>
      <c r="Y166" s="11">
        <f>[18]생산!H163</f>
        <v>0</v>
      </c>
      <c r="Z166" s="11">
        <f>[18]생산!I163</f>
        <v>0</v>
      </c>
      <c r="AA166" s="11">
        <f>[18]생산!J163</f>
        <v>0</v>
      </c>
      <c r="AB166" s="11">
        <f>[18]생산!K163</f>
        <v>0</v>
      </c>
      <c r="AC166" s="11"/>
    </row>
    <row r="167" spans="1:29">
      <c r="A167" s="6">
        <v>46184</v>
      </c>
      <c r="B167" s="12">
        <f>'[18]key-in(LO)'!AA165</f>
        <v>0</v>
      </c>
      <c r="C167" s="12">
        <f>'[18]key-in(LO)'!AB165</f>
        <v>0</v>
      </c>
      <c r="D167" s="12">
        <f>'[18]key-in(LO)'!AC165</f>
        <v>0</v>
      </c>
      <c r="E167" s="12">
        <f>'[18]key-in(LO)'!AD165</f>
        <v>0</v>
      </c>
      <c r="F167" s="12">
        <f>'[18]key-in(LO)'!AE165</f>
        <v>0</v>
      </c>
      <c r="G167" s="115">
        <f>'[18]key-in(LO)'!AF165</f>
        <v>0</v>
      </c>
      <c r="H167" s="12">
        <f>'[18]key-in(LO)'!AG165</f>
        <v>0</v>
      </c>
      <c r="I167" s="12">
        <f>'[18]key-in(LO)'!AH165</f>
        <v>0</v>
      </c>
      <c r="J167" s="10">
        <f>'[18]key-in(ACO)'!$AR165</f>
        <v>0</v>
      </c>
      <c r="K167" s="10">
        <f>'[18]key-in(ACO)'!$AS165</f>
        <v>0</v>
      </c>
      <c r="L167" s="9">
        <f>'[18]key-in(ACO)'!$AV165</f>
        <v>0</v>
      </c>
      <c r="M167" s="10">
        <f>[18]생산!BA164</f>
        <v>0</v>
      </c>
      <c r="N167" s="10">
        <f>[18]생산!BB164</f>
        <v>0</v>
      </c>
      <c r="O167" s="10">
        <f>[18]생산!BC164</f>
        <v>0</v>
      </c>
      <c r="P167" s="10">
        <f>[18]생산!BD164</f>
        <v>0</v>
      </c>
      <c r="Q167" s="10">
        <f>[18]생산!BE164</f>
        <v>0</v>
      </c>
      <c r="R167" s="10">
        <f>[18]생산!BF164</f>
        <v>0</v>
      </c>
      <c r="S167" s="9">
        <f>[18]운전시간외!C164</f>
        <v>0</v>
      </c>
      <c r="T167" s="9">
        <f>[18]운전시간외!D164</f>
        <v>0</v>
      </c>
      <c r="U167" s="9">
        <f>[18]운전시간외!E164</f>
        <v>0</v>
      </c>
      <c r="V167" s="9">
        <f>[18]운전시간외!F164</f>
        <v>0</v>
      </c>
      <c r="W167" s="11">
        <f>[18]생산!F164</f>
        <v>0</v>
      </c>
      <c r="X167" s="11">
        <f>[18]생산!G164</f>
        <v>0</v>
      </c>
      <c r="Y167" s="11">
        <f>[18]생산!H164</f>
        <v>0</v>
      </c>
      <c r="Z167" s="11">
        <f>[18]생산!I164</f>
        <v>0</v>
      </c>
      <c r="AA167" s="11">
        <f>[18]생산!J164</f>
        <v>0</v>
      </c>
      <c r="AB167" s="11">
        <f>[18]생산!K164</f>
        <v>0</v>
      </c>
      <c r="AC167" s="11"/>
    </row>
    <row r="168" spans="1:29">
      <c r="A168" s="6">
        <v>46185</v>
      </c>
      <c r="B168" s="12">
        <f>'[18]key-in(LO)'!AA166</f>
        <v>0</v>
      </c>
      <c r="C168" s="12">
        <f>'[18]key-in(LO)'!AB166</f>
        <v>0</v>
      </c>
      <c r="D168" s="12">
        <f>'[18]key-in(LO)'!AC166</f>
        <v>0</v>
      </c>
      <c r="E168" s="12">
        <f>'[18]key-in(LO)'!AD166</f>
        <v>0</v>
      </c>
      <c r="F168" s="12">
        <f>'[18]key-in(LO)'!AE166</f>
        <v>0</v>
      </c>
      <c r="G168" s="115">
        <f>'[18]key-in(LO)'!AF166</f>
        <v>0</v>
      </c>
      <c r="H168" s="12">
        <f>'[18]key-in(LO)'!AG166</f>
        <v>0</v>
      </c>
      <c r="I168" s="12">
        <f>'[18]key-in(LO)'!AH166</f>
        <v>0</v>
      </c>
      <c r="J168" s="10">
        <f>'[18]key-in(ACO)'!$AR166</f>
        <v>0</v>
      </c>
      <c r="K168" s="10">
        <f>'[18]key-in(ACO)'!$AS166</f>
        <v>0</v>
      </c>
      <c r="L168" s="9">
        <f>'[18]key-in(ACO)'!$AV166</f>
        <v>0</v>
      </c>
      <c r="M168" s="10">
        <f>[18]생산!BA165</f>
        <v>0</v>
      </c>
      <c r="N168" s="10">
        <f>[18]생산!BB165</f>
        <v>0</v>
      </c>
      <c r="O168" s="10">
        <f>[18]생산!BC165</f>
        <v>0</v>
      </c>
      <c r="P168" s="10">
        <f>[18]생산!BD165</f>
        <v>0</v>
      </c>
      <c r="Q168" s="10">
        <f>[18]생산!BE165</f>
        <v>0</v>
      </c>
      <c r="R168" s="10">
        <f>[18]생산!BF165</f>
        <v>0</v>
      </c>
      <c r="S168" s="9">
        <f>[18]운전시간외!C165</f>
        <v>0</v>
      </c>
      <c r="T168" s="9">
        <f>[18]운전시간외!D165</f>
        <v>0</v>
      </c>
      <c r="U168" s="9">
        <f>[18]운전시간외!E165</f>
        <v>0</v>
      </c>
      <c r="V168" s="9">
        <f>[18]운전시간외!F165</f>
        <v>0</v>
      </c>
      <c r="W168" s="11">
        <f>[18]생산!F165</f>
        <v>0</v>
      </c>
      <c r="X168" s="11">
        <f>[18]생산!G165</f>
        <v>0</v>
      </c>
      <c r="Y168" s="11">
        <f>[18]생산!H165</f>
        <v>0</v>
      </c>
      <c r="Z168" s="11">
        <f>[18]생산!I165</f>
        <v>0</v>
      </c>
      <c r="AA168" s="11">
        <f>[18]생산!J165</f>
        <v>0</v>
      </c>
      <c r="AB168" s="11">
        <f>[18]생산!K165</f>
        <v>0</v>
      </c>
      <c r="AC168" s="11"/>
    </row>
    <row r="169" spans="1:29">
      <c r="A169" s="6">
        <v>46186</v>
      </c>
      <c r="B169" s="12">
        <f>'[18]key-in(LO)'!AA167</f>
        <v>0</v>
      </c>
      <c r="C169" s="12">
        <f>'[18]key-in(LO)'!AB167</f>
        <v>0</v>
      </c>
      <c r="D169" s="12">
        <f>'[18]key-in(LO)'!AC167</f>
        <v>0</v>
      </c>
      <c r="E169" s="12">
        <f>'[18]key-in(LO)'!AD167</f>
        <v>0</v>
      </c>
      <c r="F169" s="12">
        <f>'[18]key-in(LO)'!AE167</f>
        <v>0</v>
      </c>
      <c r="G169" s="115">
        <f>'[18]key-in(LO)'!AF167</f>
        <v>0</v>
      </c>
      <c r="H169" s="12">
        <f>'[18]key-in(LO)'!AG167</f>
        <v>0</v>
      </c>
      <c r="I169" s="12">
        <f>'[18]key-in(LO)'!AH167</f>
        <v>0</v>
      </c>
      <c r="J169" s="10">
        <f>'[18]key-in(ACO)'!$AR167</f>
        <v>0</v>
      </c>
      <c r="K169" s="10">
        <f>'[18]key-in(ACO)'!$AS167</f>
        <v>0</v>
      </c>
      <c r="L169" s="9">
        <f>'[18]key-in(ACO)'!$AV167</f>
        <v>0</v>
      </c>
      <c r="M169" s="10">
        <f>[18]생산!BA166</f>
        <v>0</v>
      </c>
      <c r="N169" s="10">
        <f>[18]생산!BB166</f>
        <v>0</v>
      </c>
      <c r="O169" s="10">
        <f>[18]생산!BC166</f>
        <v>0</v>
      </c>
      <c r="P169" s="10">
        <f>[18]생산!BD166</f>
        <v>0</v>
      </c>
      <c r="Q169" s="10">
        <f>[18]생산!BE166</f>
        <v>0</v>
      </c>
      <c r="R169" s="10">
        <f>[18]생산!BF166</f>
        <v>0</v>
      </c>
      <c r="S169" s="9">
        <f>[18]운전시간외!C166</f>
        <v>0</v>
      </c>
      <c r="T169" s="9">
        <f>[18]운전시간외!D166</f>
        <v>0</v>
      </c>
      <c r="U169" s="9">
        <f>[18]운전시간외!E166</f>
        <v>0</v>
      </c>
      <c r="V169" s="9">
        <f>[18]운전시간외!F166</f>
        <v>0</v>
      </c>
      <c r="W169" s="11">
        <f>[18]생산!F166</f>
        <v>0</v>
      </c>
      <c r="X169" s="11">
        <f>[18]생산!G166</f>
        <v>0</v>
      </c>
      <c r="Y169" s="11">
        <f>[18]생산!H166</f>
        <v>0</v>
      </c>
      <c r="Z169" s="11">
        <f>[18]생산!I166</f>
        <v>0</v>
      </c>
      <c r="AA169" s="11">
        <f>[18]생산!J166</f>
        <v>0</v>
      </c>
      <c r="AB169" s="11">
        <f>[18]생산!K166</f>
        <v>0</v>
      </c>
      <c r="AC169" s="11"/>
    </row>
    <row r="170" spans="1:29">
      <c r="A170" s="6">
        <v>46187</v>
      </c>
      <c r="B170" s="12">
        <f>'[18]key-in(LO)'!AA168</f>
        <v>0</v>
      </c>
      <c r="C170" s="12">
        <f>'[18]key-in(LO)'!AB168</f>
        <v>0</v>
      </c>
      <c r="D170" s="12">
        <f>'[18]key-in(LO)'!AC168</f>
        <v>0</v>
      </c>
      <c r="E170" s="12">
        <f>'[18]key-in(LO)'!AD168</f>
        <v>0</v>
      </c>
      <c r="F170" s="12">
        <f>'[18]key-in(LO)'!AE168</f>
        <v>0</v>
      </c>
      <c r="G170" s="115">
        <f>'[18]key-in(LO)'!AF168</f>
        <v>0</v>
      </c>
      <c r="H170" s="12">
        <f>'[18]key-in(LO)'!AG168</f>
        <v>0</v>
      </c>
      <c r="I170" s="12">
        <f>'[18]key-in(LO)'!AH168</f>
        <v>0</v>
      </c>
      <c r="J170" s="10">
        <f>'[18]key-in(ACO)'!$AR168</f>
        <v>0</v>
      </c>
      <c r="K170" s="10">
        <f>'[18]key-in(ACO)'!$AS168</f>
        <v>0</v>
      </c>
      <c r="L170" s="9">
        <f>'[18]key-in(ACO)'!$AV168</f>
        <v>0</v>
      </c>
      <c r="M170" s="10">
        <f>[18]생산!BA167</f>
        <v>0</v>
      </c>
      <c r="N170" s="10">
        <f>[18]생산!BB167</f>
        <v>0</v>
      </c>
      <c r="O170" s="10">
        <f>[18]생산!BC167</f>
        <v>0</v>
      </c>
      <c r="P170" s="10">
        <f>[18]생산!BD167</f>
        <v>0</v>
      </c>
      <c r="Q170" s="10">
        <f>[18]생산!BE167</f>
        <v>0</v>
      </c>
      <c r="R170" s="10">
        <f>[18]생산!BF167</f>
        <v>0</v>
      </c>
      <c r="S170" s="9">
        <f>[18]운전시간외!C167</f>
        <v>0</v>
      </c>
      <c r="T170" s="9">
        <f>[18]운전시간외!D167</f>
        <v>0</v>
      </c>
      <c r="U170" s="9">
        <f>[18]운전시간외!E167</f>
        <v>0</v>
      </c>
      <c r="V170" s="9">
        <f>[18]운전시간외!F167</f>
        <v>0</v>
      </c>
      <c r="W170" s="11">
        <f>[18]생산!F167</f>
        <v>0</v>
      </c>
      <c r="X170" s="11">
        <f>[18]생산!G167</f>
        <v>0</v>
      </c>
      <c r="Y170" s="11">
        <f>[18]생산!H167</f>
        <v>0</v>
      </c>
      <c r="Z170" s="11">
        <f>[18]생산!I167</f>
        <v>0</v>
      </c>
      <c r="AA170" s="11">
        <f>[18]생산!J167</f>
        <v>0</v>
      </c>
      <c r="AB170" s="11">
        <f>[18]생산!K167</f>
        <v>0</v>
      </c>
      <c r="AC170" s="11"/>
    </row>
    <row r="171" spans="1:29">
      <c r="A171" s="6">
        <v>46188</v>
      </c>
      <c r="B171" s="12">
        <f>'[18]key-in(LO)'!AA169</f>
        <v>0</v>
      </c>
      <c r="C171" s="12">
        <f>'[18]key-in(LO)'!AB169</f>
        <v>0</v>
      </c>
      <c r="D171" s="12">
        <f>'[18]key-in(LO)'!AC169</f>
        <v>0</v>
      </c>
      <c r="E171" s="12">
        <f>'[18]key-in(LO)'!AD169</f>
        <v>0</v>
      </c>
      <c r="F171" s="12">
        <f>'[18]key-in(LO)'!AE169</f>
        <v>0</v>
      </c>
      <c r="G171" s="115">
        <f>'[18]key-in(LO)'!AF169</f>
        <v>0</v>
      </c>
      <c r="H171" s="12">
        <f>'[18]key-in(LO)'!AG169</f>
        <v>0</v>
      </c>
      <c r="I171" s="12">
        <f>'[18]key-in(LO)'!AH169</f>
        <v>0</v>
      </c>
      <c r="J171" s="10">
        <f>'[18]key-in(ACO)'!$AR169</f>
        <v>0</v>
      </c>
      <c r="K171" s="10">
        <f>'[18]key-in(ACO)'!$AS169</f>
        <v>0</v>
      </c>
      <c r="L171" s="9">
        <f>'[18]key-in(ACO)'!$AV169</f>
        <v>0</v>
      </c>
      <c r="M171" s="10">
        <f>[18]생산!BA168</f>
        <v>0</v>
      </c>
      <c r="N171" s="10">
        <f>[18]생산!BB168</f>
        <v>0</v>
      </c>
      <c r="O171" s="10">
        <f>[18]생산!BC168</f>
        <v>0</v>
      </c>
      <c r="P171" s="10">
        <f>[18]생산!BD168</f>
        <v>0</v>
      </c>
      <c r="Q171" s="10">
        <f>[18]생산!BE168</f>
        <v>0</v>
      </c>
      <c r="R171" s="10">
        <f>[18]생산!BF168</f>
        <v>0</v>
      </c>
      <c r="S171" s="9">
        <f>[18]운전시간외!C168</f>
        <v>0</v>
      </c>
      <c r="T171" s="9">
        <f>[18]운전시간외!D168</f>
        <v>0</v>
      </c>
      <c r="U171" s="9">
        <f>[18]운전시간외!E168</f>
        <v>0</v>
      </c>
      <c r="V171" s="9">
        <f>[18]운전시간외!F168</f>
        <v>0</v>
      </c>
      <c r="W171" s="11">
        <f>[18]생산!F168</f>
        <v>0</v>
      </c>
      <c r="X171" s="11">
        <f>[18]생산!G168</f>
        <v>0</v>
      </c>
      <c r="Y171" s="11">
        <f>[18]생산!H168</f>
        <v>0</v>
      </c>
      <c r="Z171" s="11">
        <f>[18]생산!I168</f>
        <v>0</v>
      </c>
      <c r="AA171" s="11">
        <f>[18]생산!J168</f>
        <v>0</v>
      </c>
      <c r="AB171" s="11">
        <f>[18]생산!K168</f>
        <v>0</v>
      </c>
      <c r="AC171" s="11"/>
    </row>
    <row r="172" spans="1:29">
      <c r="A172" s="6">
        <v>46189</v>
      </c>
      <c r="B172" s="12">
        <f>'[18]key-in(LO)'!AA170</f>
        <v>0</v>
      </c>
      <c r="C172" s="12">
        <f>'[18]key-in(LO)'!AB170</f>
        <v>0</v>
      </c>
      <c r="D172" s="12">
        <f>'[18]key-in(LO)'!AC170</f>
        <v>0</v>
      </c>
      <c r="E172" s="12">
        <f>'[18]key-in(LO)'!AD170</f>
        <v>0</v>
      </c>
      <c r="F172" s="12">
        <f>'[18]key-in(LO)'!AE170</f>
        <v>0</v>
      </c>
      <c r="G172" s="115">
        <f>'[18]key-in(LO)'!AF170</f>
        <v>0</v>
      </c>
      <c r="H172" s="12">
        <f>'[18]key-in(LO)'!AG170</f>
        <v>0</v>
      </c>
      <c r="I172" s="12">
        <f>'[18]key-in(LO)'!AH170</f>
        <v>0</v>
      </c>
      <c r="J172" s="10">
        <f>'[18]key-in(ACO)'!$AR170</f>
        <v>0</v>
      </c>
      <c r="K172" s="10">
        <f>'[18]key-in(ACO)'!$AS170</f>
        <v>0</v>
      </c>
      <c r="L172" s="9">
        <f>'[18]key-in(ACO)'!$AV170</f>
        <v>0</v>
      </c>
      <c r="M172" s="10">
        <f>[18]생산!BA169</f>
        <v>0</v>
      </c>
      <c r="N172" s="10">
        <f>[18]생산!BB169</f>
        <v>0</v>
      </c>
      <c r="O172" s="10">
        <f>[18]생산!BC169</f>
        <v>0</v>
      </c>
      <c r="P172" s="10">
        <f>[18]생산!BD169</f>
        <v>0</v>
      </c>
      <c r="Q172" s="10">
        <f>[18]생산!BE169</f>
        <v>0</v>
      </c>
      <c r="R172" s="10">
        <f>[18]생산!BF169</f>
        <v>0</v>
      </c>
      <c r="S172" s="9">
        <f>[18]운전시간외!C169</f>
        <v>0</v>
      </c>
      <c r="T172" s="9">
        <f>[18]운전시간외!D169</f>
        <v>0</v>
      </c>
      <c r="U172" s="9">
        <f>[18]운전시간외!E169</f>
        <v>0</v>
      </c>
      <c r="V172" s="9">
        <f>[18]운전시간외!F169</f>
        <v>0</v>
      </c>
      <c r="W172" s="11">
        <f>[18]생산!F169</f>
        <v>0</v>
      </c>
      <c r="X172" s="11">
        <f>[18]생산!G169</f>
        <v>0</v>
      </c>
      <c r="Y172" s="11">
        <f>[18]생산!H169</f>
        <v>0</v>
      </c>
      <c r="Z172" s="11">
        <f>[18]생산!I169</f>
        <v>0</v>
      </c>
      <c r="AA172" s="11">
        <f>[18]생산!J169</f>
        <v>0</v>
      </c>
      <c r="AB172" s="11">
        <f>[18]생산!K169</f>
        <v>0</v>
      </c>
      <c r="AC172" s="11"/>
    </row>
    <row r="173" spans="1:29">
      <c r="A173" s="6">
        <v>46190</v>
      </c>
      <c r="B173" s="12">
        <f>'[18]key-in(LO)'!AA171</f>
        <v>0</v>
      </c>
      <c r="C173" s="12">
        <f>'[18]key-in(LO)'!AB171</f>
        <v>0</v>
      </c>
      <c r="D173" s="12">
        <f>'[18]key-in(LO)'!AC171</f>
        <v>0</v>
      </c>
      <c r="E173" s="12">
        <f>'[18]key-in(LO)'!AD171</f>
        <v>0</v>
      </c>
      <c r="F173" s="12">
        <f>'[18]key-in(LO)'!AE171</f>
        <v>0</v>
      </c>
      <c r="G173" s="115">
        <f>'[18]key-in(LO)'!AF171</f>
        <v>0</v>
      </c>
      <c r="H173" s="12">
        <f>'[18]key-in(LO)'!AG171</f>
        <v>0</v>
      </c>
      <c r="I173" s="12">
        <f>'[18]key-in(LO)'!AH171</f>
        <v>0</v>
      </c>
      <c r="J173" s="10">
        <f>'[18]key-in(ACO)'!$AR171</f>
        <v>0</v>
      </c>
      <c r="K173" s="10">
        <f>'[18]key-in(ACO)'!$AS171</f>
        <v>0</v>
      </c>
      <c r="L173" s="9">
        <f>'[18]key-in(ACO)'!$AV171</f>
        <v>0</v>
      </c>
      <c r="M173" s="10">
        <f>[18]생산!BA170</f>
        <v>0</v>
      </c>
      <c r="N173" s="10">
        <f>[18]생산!BB170</f>
        <v>0</v>
      </c>
      <c r="O173" s="10">
        <f>[18]생산!BC170</f>
        <v>0</v>
      </c>
      <c r="P173" s="10">
        <f>[18]생산!BD170</f>
        <v>0</v>
      </c>
      <c r="Q173" s="10">
        <f>[18]생산!BE170</f>
        <v>0</v>
      </c>
      <c r="R173" s="10">
        <f>[18]생산!BF170</f>
        <v>0</v>
      </c>
      <c r="S173" s="9">
        <f>[18]운전시간외!C170</f>
        <v>0</v>
      </c>
      <c r="T173" s="9">
        <f>[18]운전시간외!D170</f>
        <v>0</v>
      </c>
      <c r="U173" s="9">
        <f>[18]운전시간외!E170</f>
        <v>0</v>
      </c>
      <c r="V173" s="9">
        <f>[18]운전시간외!F170</f>
        <v>0</v>
      </c>
      <c r="W173" s="11">
        <f>[18]생산!F170</f>
        <v>0</v>
      </c>
      <c r="X173" s="11">
        <f>[18]생산!G170</f>
        <v>0</v>
      </c>
      <c r="Y173" s="11">
        <f>[18]생산!H170</f>
        <v>0</v>
      </c>
      <c r="Z173" s="11">
        <f>[18]생산!I170</f>
        <v>0</v>
      </c>
      <c r="AA173" s="11">
        <f>[18]생산!J170</f>
        <v>0</v>
      </c>
      <c r="AB173" s="11">
        <f>[18]생산!K170</f>
        <v>0</v>
      </c>
      <c r="AC173" s="11"/>
    </row>
    <row r="174" spans="1:29">
      <c r="A174" s="6">
        <v>46191</v>
      </c>
      <c r="B174" s="12">
        <f>'[18]key-in(LO)'!AA172</f>
        <v>0</v>
      </c>
      <c r="C174" s="12">
        <f>'[18]key-in(LO)'!AB172</f>
        <v>0</v>
      </c>
      <c r="D174" s="12">
        <f>'[18]key-in(LO)'!AC172</f>
        <v>0</v>
      </c>
      <c r="E174" s="12">
        <f>'[18]key-in(LO)'!AD172</f>
        <v>0</v>
      </c>
      <c r="F174" s="12">
        <f>'[18]key-in(LO)'!AE172</f>
        <v>0</v>
      </c>
      <c r="G174" s="115">
        <f>'[18]key-in(LO)'!AF172</f>
        <v>0</v>
      </c>
      <c r="H174" s="12">
        <f>'[18]key-in(LO)'!AG172</f>
        <v>0</v>
      </c>
      <c r="I174" s="12">
        <f>'[18]key-in(LO)'!AH172</f>
        <v>0</v>
      </c>
      <c r="J174" s="10">
        <f>'[18]key-in(ACO)'!$AR172</f>
        <v>0</v>
      </c>
      <c r="K174" s="10">
        <f>'[18]key-in(ACO)'!$AS172</f>
        <v>0</v>
      </c>
      <c r="L174" s="9">
        <f>'[18]key-in(ACO)'!$AV172</f>
        <v>0</v>
      </c>
      <c r="M174" s="10">
        <f>[18]생산!BA171</f>
        <v>0</v>
      </c>
      <c r="N174" s="10">
        <f>[18]생산!BB171</f>
        <v>0</v>
      </c>
      <c r="O174" s="10">
        <f>[18]생산!BC171</f>
        <v>0</v>
      </c>
      <c r="P174" s="10">
        <f>[18]생산!BD171</f>
        <v>0</v>
      </c>
      <c r="Q174" s="10">
        <f>[18]생산!BE171</f>
        <v>0</v>
      </c>
      <c r="R174" s="10">
        <f>[18]생산!BF171</f>
        <v>0</v>
      </c>
      <c r="S174" s="9">
        <f>[18]운전시간외!C171</f>
        <v>0</v>
      </c>
      <c r="T174" s="9">
        <f>[18]운전시간외!D171</f>
        <v>0</v>
      </c>
      <c r="U174" s="9">
        <f>[18]운전시간외!E171</f>
        <v>0</v>
      </c>
      <c r="V174" s="9">
        <f>[18]운전시간외!F171</f>
        <v>0</v>
      </c>
      <c r="W174" s="11">
        <f>[18]생산!F171</f>
        <v>0</v>
      </c>
      <c r="X174" s="11">
        <f>[18]생산!G171</f>
        <v>0</v>
      </c>
      <c r="Y174" s="11">
        <f>[18]생산!H171</f>
        <v>0</v>
      </c>
      <c r="Z174" s="11">
        <f>[18]생산!I171</f>
        <v>0</v>
      </c>
      <c r="AA174" s="11">
        <f>[18]생산!J171</f>
        <v>0</v>
      </c>
      <c r="AB174" s="11">
        <f>[18]생산!K171</f>
        <v>0</v>
      </c>
      <c r="AC174" s="11"/>
    </row>
    <row r="175" spans="1:29">
      <c r="A175" s="6">
        <v>46192</v>
      </c>
      <c r="B175" s="12">
        <f>'[18]key-in(LO)'!AA173</f>
        <v>0</v>
      </c>
      <c r="C175" s="12">
        <f>'[18]key-in(LO)'!AB173</f>
        <v>0</v>
      </c>
      <c r="D175" s="12">
        <f>'[18]key-in(LO)'!AC173</f>
        <v>0</v>
      </c>
      <c r="E175" s="12">
        <f>'[18]key-in(LO)'!AD173</f>
        <v>0</v>
      </c>
      <c r="F175" s="12">
        <f>'[18]key-in(LO)'!AE173</f>
        <v>0</v>
      </c>
      <c r="G175" s="115">
        <f>'[18]key-in(LO)'!AF173</f>
        <v>0</v>
      </c>
      <c r="H175" s="12">
        <f>'[18]key-in(LO)'!AG173</f>
        <v>0</v>
      </c>
      <c r="I175" s="12">
        <f>'[18]key-in(LO)'!AH173</f>
        <v>0</v>
      </c>
      <c r="J175" s="10">
        <f>'[18]key-in(ACO)'!$AR173</f>
        <v>0</v>
      </c>
      <c r="K175" s="10">
        <f>'[18]key-in(ACO)'!$AS173</f>
        <v>0</v>
      </c>
      <c r="L175" s="9">
        <f>'[18]key-in(ACO)'!$AV173</f>
        <v>0</v>
      </c>
      <c r="M175" s="10">
        <f>[18]생산!BA172</f>
        <v>0</v>
      </c>
      <c r="N175" s="10">
        <f>[18]생산!BB172</f>
        <v>0</v>
      </c>
      <c r="O175" s="10">
        <f>[18]생산!BC172</f>
        <v>0</v>
      </c>
      <c r="P175" s="10">
        <f>[18]생산!BD172</f>
        <v>0</v>
      </c>
      <c r="Q175" s="10">
        <f>[18]생산!BE172</f>
        <v>0</v>
      </c>
      <c r="R175" s="10">
        <f>[18]생산!BF172</f>
        <v>0</v>
      </c>
      <c r="S175" s="9">
        <f>[18]운전시간외!C172</f>
        <v>0</v>
      </c>
      <c r="T175" s="9">
        <f>[18]운전시간외!D172</f>
        <v>0</v>
      </c>
      <c r="U175" s="9">
        <f>[18]운전시간외!E172</f>
        <v>0</v>
      </c>
      <c r="V175" s="9">
        <f>[18]운전시간외!F172</f>
        <v>0</v>
      </c>
      <c r="W175" s="11">
        <f>[18]생산!F172</f>
        <v>0</v>
      </c>
      <c r="X175" s="11">
        <f>[18]생산!G172</f>
        <v>0</v>
      </c>
      <c r="Y175" s="11">
        <f>[18]생산!H172</f>
        <v>0</v>
      </c>
      <c r="Z175" s="11">
        <f>[18]생산!I172</f>
        <v>0</v>
      </c>
      <c r="AA175" s="11">
        <f>[18]생산!J172</f>
        <v>0</v>
      </c>
      <c r="AB175" s="11">
        <f>[18]생산!K172</f>
        <v>0</v>
      </c>
      <c r="AC175" s="11"/>
    </row>
    <row r="176" spans="1:29">
      <c r="A176" s="6">
        <v>46193</v>
      </c>
      <c r="B176" s="12">
        <f>'[18]key-in(LO)'!AA174</f>
        <v>0</v>
      </c>
      <c r="C176" s="12">
        <f>'[18]key-in(LO)'!AB174</f>
        <v>0</v>
      </c>
      <c r="D176" s="12">
        <f>'[18]key-in(LO)'!AC174</f>
        <v>0</v>
      </c>
      <c r="E176" s="12">
        <f>'[18]key-in(LO)'!AD174</f>
        <v>0</v>
      </c>
      <c r="F176" s="12">
        <f>'[18]key-in(LO)'!AE174</f>
        <v>0</v>
      </c>
      <c r="G176" s="115">
        <f>'[18]key-in(LO)'!AF174</f>
        <v>0</v>
      </c>
      <c r="H176" s="12">
        <f>'[18]key-in(LO)'!AG174</f>
        <v>0</v>
      </c>
      <c r="I176" s="12">
        <f>'[18]key-in(LO)'!AH174</f>
        <v>0</v>
      </c>
      <c r="J176" s="10">
        <f>'[18]key-in(ACO)'!$AR174</f>
        <v>0</v>
      </c>
      <c r="K176" s="10">
        <f>'[18]key-in(ACO)'!$AS174</f>
        <v>0</v>
      </c>
      <c r="L176" s="9">
        <f>'[18]key-in(ACO)'!$AV174</f>
        <v>0</v>
      </c>
      <c r="M176" s="10">
        <f>[18]생산!BA173</f>
        <v>0</v>
      </c>
      <c r="N176" s="10">
        <f>[18]생산!BB173</f>
        <v>0</v>
      </c>
      <c r="O176" s="10">
        <f>[18]생산!BC173</f>
        <v>0</v>
      </c>
      <c r="P176" s="10">
        <f>[18]생산!BD173</f>
        <v>0</v>
      </c>
      <c r="Q176" s="10">
        <f>[18]생산!BE173</f>
        <v>0</v>
      </c>
      <c r="R176" s="10">
        <f>[18]생산!BF173</f>
        <v>0</v>
      </c>
      <c r="S176" s="9">
        <f>[18]운전시간외!C173</f>
        <v>0</v>
      </c>
      <c r="T176" s="9">
        <f>[18]운전시간외!D173</f>
        <v>0</v>
      </c>
      <c r="U176" s="9">
        <f>[18]운전시간외!E173</f>
        <v>0</v>
      </c>
      <c r="V176" s="9">
        <f>[18]운전시간외!F173</f>
        <v>0</v>
      </c>
      <c r="W176" s="11">
        <f>[18]생산!F173</f>
        <v>0</v>
      </c>
      <c r="X176" s="11">
        <f>[18]생산!G173</f>
        <v>0</v>
      </c>
      <c r="Y176" s="11">
        <f>[18]생산!H173</f>
        <v>0</v>
      </c>
      <c r="Z176" s="11">
        <f>[18]생산!I173</f>
        <v>0</v>
      </c>
      <c r="AA176" s="11">
        <f>[18]생산!J173</f>
        <v>0</v>
      </c>
      <c r="AB176" s="11">
        <f>[18]생산!K173</f>
        <v>0</v>
      </c>
      <c r="AC176" s="11"/>
    </row>
    <row r="177" spans="1:29">
      <c r="A177" s="6">
        <v>46194</v>
      </c>
      <c r="B177" s="12">
        <f>'[18]key-in(LO)'!AA175</f>
        <v>0</v>
      </c>
      <c r="C177" s="12">
        <f>'[18]key-in(LO)'!AB175</f>
        <v>0</v>
      </c>
      <c r="D177" s="12">
        <f>'[18]key-in(LO)'!AC175</f>
        <v>0</v>
      </c>
      <c r="E177" s="12">
        <f>'[18]key-in(LO)'!AD175</f>
        <v>0</v>
      </c>
      <c r="F177" s="12">
        <f>'[18]key-in(LO)'!AE175</f>
        <v>0</v>
      </c>
      <c r="G177" s="115">
        <f>'[18]key-in(LO)'!AF175</f>
        <v>0</v>
      </c>
      <c r="H177" s="12">
        <f>'[18]key-in(LO)'!AG175</f>
        <v>0</v>
      </c>
      <c r="I177" s="12">
        <f>'[18]key-in(LO)'!AH175</f>
        <v>0</v>
      </c>
      <c r="J177" s="10">
        <f>'[18]key-in(ACO)'!$AR175</f>
        <v>0</v>
      </c>
      <c r="K177" s="10">
        <f>'[18]key-in(ACO)'!$AS175</f>
        <v>0</v>
      </c>
      <c r="L177" s="9">
        <f>'[18]key-in(ACO)'!$AV175</f>
        <v>0</v>
      </c>
      <c r="M177" s="10">
        <f>[18]생산!BA174</f>
        <v>0</v>
      </c>
      <c r="N177" s="10">
        <f>[18]생산!BB174</f>
        <v>0</v>
      </c>
      <c r="O177" s="10">
        <f>[18]생산!BC174</f>
        <v>0</v>
      </c>
      <c r="P177" s="10">
        <f>[18]생산!BD174</f>
        <v>0</v>
      </c>
      <c r="Q177" s="10">
        <f>[18]생산!BE174</f>
        <v>0</v>
      </c>
      <c r="R177" s="10">
        <f>[18]생산!BF174</f>
        <v>0</v>
      </c>
      <c r="S177" s="9">
        <f>[18]운전시간외!C174</f>
        <v>0</v>
      </c>
      <c r="T177" s="9">
        <f>[18]운전시간외!D174</f>
        <v>0</v>
      </c>
      <c r="U177" s="9">
        <f>[18]운전시간외!E174</f>
        <v>0</v>
      </c>
      <c r="V177" s="9">
        <f>[18]운전시간외!F174</f>
        <v>0</v>
      </c>
      <c r="W177" s="11">
        <f>[18]생산!F174</f>
        <v>0</v>
      </c>
      <c r="X177" s="11">
        <f>[18]생산!G174</f>
        <v>0</v>
      </c>
      <c r="Y177" s="11">
        <f>[18]생산!H174</f>
        <v>0</v>
      </c>
      <c r="Z177" s="11">
        <f>[18]생산!I174</f>
        <v>0</v>
      </c>
      <c r="AA177" s="11">
        <f>[18]생산!J174</f>
        <v>0</v>
      </c>
      <c r="AB177" s="11">
        <f>[18]생산!K174</f>
        <v>0</v>
      </c>
      <c r="AC177" s="11"/>
    </row>
    <row r="178" spans="1:29">
      <c r="A178" s="6">
        <v>46195</v>
      </c>
      <c r="B178" s="12">
        <f>'[18]key-in(LO)'!AA176</f>
        <v>0</v>
      </c>
      <c r="C178" s="12">
        <f>'[18]key-in(LO)'!AB176</f>
        <v>0</v>
      </c>
      <c r="D178" s="12">
        <f>'[18]key-in(LO)'!AC176</f>
        <v>0</v>
      </c>
      <c r="E178" s="12">
        <f>'[18]key-in(LO)'!AD176</f>
        <v>0</v>
      </c>
      <c r="F178" s="12">
        <f>'[18]key-in(LO)'!AE176</f>
        <v>0</v>
      </c>
      <c r="G178" s="115">
        <f>'[18]key-in(LO)'!AF176</f>
        <v>0</v>
      </c>
      <c r="H178" s="12">
        <f>'[18]key-in(LO)'!AG176</f>
        <v>0</v>
      </c>
      <c r="I178" s="12">
        <f>'[18]key-in(LO)'!AH176</f>
        <v>0</v>
      </c>
      <c r="J178" s="10">
        <f>'[18]key-in(ACO)'!$AR176</f>
        <v>0</v>
      </c>
      <c r="K178" s="10">
        <f>'[18]key-in(ACO)'!$AS176</f>
        <v>0</v>
      </c>
      <c r="L178" s="9">
        <f>'[18]key-in(ACO)'!$AV176</f>
        <v>0</v>
      </c>
      <c r="M178" s="10">
        <f>[18]생산!BA175</f>
        <v>0</v>
      </c>
      <c r="N178" s="10">
        <f>[18]생산!BB175</f>
        <v>0</v>
      </c>
      <c r="O178" s="10">
        <f>[18]생산!BC175</f>
        <v>0</v>
      </c>
      <c r="P178" s="10">
        <f>[18]생산!BD175</f>
        <v>0</v>
      </c>
      <c r="Q178" s="10">
        <f>[18]생산!BE175</f>
        <v>0</v>
      </c>
      <c r="R178" s="10">
        <f>[18]생산!BF175</f>
        <v>0</v>
      </c>
      <c r="S178" s="9">
        <f>[18]운전시간외!C175</f>
        <v>0</v>
      </c>
      <c r="T178" s="9">
        <f>[18]운전시간외!D175</f>
        <v>0</v>
      </c>
      <c r="U178" s="9">
        <f>[18]운전시간외!E175</f>
        <v>0</v>
      </c>
      <c r="V178" s="9">
        <f>[18]운전시간외!F175</f>
        <v>0</v>
      </c>
      <c r="W178" s="11">
        <f>[18]생산!F175</f>
        <v>0</v>
      </c>
      <c r="X178" s="11">
        <f>[18]생산!G175</f>
        <v>0</v>
      </c>
      <c r="Y178" s="11">
        <f>[18]생산!H175</f>
        <v>0</v>
      </c>
      <c r="Z178" s="11">
        <f>[18]생산!I175</f>
        <v>0</v>
      </c>
      <c r="AA178" s="11">
        <f>[18]생산!J175</f>
        <v>0</v>
      </c>
      <c r="AB178" s="11">
        <f>[18]생산!K175</f>
        <v>0</v>
      </c>
      <c r="AC178" s="11"/>
    </row>
    <row r="179" spans="1:29">
      <c r="A179" s="6">
        <v>46196</v>
      </c>
      <c r="B179" s="12">
        <f>'[18]key-in(LO)'!AA177</f>
        <v>0</v>
      </c>
      <c r="C179" s="12">
        <f>'[18]key-in(LO)'!AB177</f>
        <v>0</v>
      </c>
      <c r="D179" s="12">
        <f>'[18]key-in(LO)'!AC177</f>
        <v>0</v>
      </c>
      <c r="E179" s="12">
        <f>'[18]key-in(LO)'!AD177</f>
        <v>0</v>
      </c>
      <c r="F179" s="12">
        <f>'[18]key-in(LO)'!AE177</f>
        <v>0</v>
      </c>
      <c r="G179" s="115">
        <f>'[18]key-in(LO)'!AF177</f>
        <v>0</v>
      </c>
      <c r="H179" s="12">
        <f>'[18]key-in(LO)'!AG177</f>
        <v>0</v>
      </c>
      <c r="I179" s="12">
        <f>'[18]key-in(LO)'!AH177</f>
        <v>0</v>
      </c>
      <c r="J179" s="10">
        <f>'[18]key-in(ACO)'!$AR177</f>
        <v>0</v>
      </c>
      <c r="K179" s="10">
        <f>'[18]key-in(ACO)'!$AS177</f>
        <v>0</v>
      </c>
      <c r="L179" s="9">
        <f>'[18]key-in(ACO)'!$AV177</f>
        <v>0</v>
      </c>
      <c r="M179" s="10">
        <f>[18]생산!BA176</f>
        <v>0</v>
      </c>
      <c r="N179" s="10">
        <f>[18]생산!BB176</f>
        <v>0</v>
      </c>
      <c r="O179" s="10">
        <f>[18]생산!BC176</f>
        <v>0</v>
      </c>
      <c r="P179" s="10">
        <f>[18]생산!BD176</f>
        <v>0</v>
      </c>
      <c r="Q179" s="10">
        <f>[18]생산!BE176</f>
        <v>0</v>
      </c>
      <c r="R179" s="10">
        <f>[18]생산!BF176</f>
        <v>0</v>
      </c>
      <c r="S179" s="9">
        <f>[18]운전시간외!C176</f>
        <v>0</v>
      </c>
      <c r="T179" s="9">
        <f>[18]운전시간외!D176</f>
        <v>0</v>
      </c>
      <c r="U179" s="9">
        <f>[18]운전시간외!E176</f>
        <v>0</v>
      </c>
      <c r="V179" s="9">
        <f>[18]운전시간외!F176</f>
        <v>0</v>
      </c>
      <c r="W179" s="11">
        <f>[18]생산!F176</f>
        <v>0</v>
      </c>
      <c r="X179" s="11">
        <f>[18]생산!G176</f>
        <v>0</v>
      </c>
      <c r="Y179" s="11">
        <f>[18]생산!H176</f>
        <v>0</v>
      </c>
      <c r="Z179" s="11">
        <f>[18]생산!I176</f>
        <v>0</v>
      </c>
      <c r="AA179" s="11">
        <f>[18]생산!J176</f>
        <v>0</v>
      </c>
      <c r="AB179" s="11">
        <f>[18]생산!K176</f>
        <v>0</v>
      </c>
      <c r="AC179" s="11"/>
    </row>
    <row r="180" spans="1:29">
      <c r="A180" s="6">
        <v>46197</v>
      </c>
      <c r="B180" s="12">
        <f>'[18]key-in(LO)'!AA178</f>
        <v>0</v>
      </c>
      <c r="C180" s="12">
        <f>'[18]key-in(LO)'!AB178</f>
        <v>0</v>
      </c>
      <c r="D180" s="12">
        <f>'[18]key-in(LO)'!AC178</f>
        <v>0</v>
      </c>
      <c r="E180" s="12">
        <f>'[18]key-in(LO)'!AD178</f>
        <v>0</v>
      </c>
      <c r="F180" s="12">
        <f>'[18]key-in(LO)'!AE178</f>
        <v>0</v>
      </c>
      <c r="G180" s="115">
        <f>'[18]key-in(LO)'!AF178</f>
        <v>0</v>
      </c>
      <c r="H180" s="12">
        <f>'[18]key-in(LO)'!AG178</f>
        <v>0</v>
      </c>
      <c r="I180" s="12">
        <f>'[18]key-in(LO)'!AH178</f>
        <v>0</v>
      </c>
      <c r="J180" s="10">
        <f>'[18]key-in(ACO)'!$AR178</f>
        <v>0</v>
      </c>
      <c r="K180" s="10">
        <f>'[18]key-in(ACO)'!$AS178</f>
        <v>0</v>
      </c>
      <c r="L180" s="9">
        <f>'[18]key-in(ACO)'!$AV178</f>
        <v>0</v>
      </c>
      <c r="M180" s="10">
        <f>[18]생산!BA177</f>
        <v>0</v>
      </c>
      <c r="N180" s="10">
        <f>[18]생산!BB177</f>
        <v>0</v>
      </c>
      <c r="O180" s="10">
        <f>[18]생산!BC177</f>
        <v>0</v>
      </c>
      <c r="P180" s="10">
        <f>[18]생산!BD177</f>
        <v>0</v>
      </c>
      <c r="Q180" s="10">
        <f>[18]생산!BE177</f>
        <v>0</v>
      </c>
      <c r="R180" s="10">
        <f>[18]생산!BF177</f>
        <v>0</v>
      </c>
      <c r="S180" s="9">
        <f>[18]운전시간외!C177</f>
        <v>0</v>
      </c>
      <c r="T180" s="9">
        <f>[18]운전시간외!D177</f>
        <v>0</v>
      </c>
      <c r="U180" s="9">
        <f>[18]운전시간외!E177</f>
        <v>0</v>
      </c>
      <c r="V180" s="9">
        <f>[18]운전시간외!F177</f>
        <v>0</v>
      </c>
      <c r="W180" s="11">
        <f>[18]생산!F177</f>
        <v>0</v>
      </c>
      <c r="X180" s="11">
        <f>[18]생산!G177</f>
        <v>0</v>
      </c>
      <c r="Y180" s="11">
        <f>[18]생산!H177</f>
        <v>0</v>
      </c>
      <c r="Z180" s="11">
        <f>[18]생산!I177</f>
        <v>0</v>
      </c>
      <c r="AA180" s="11">
        <f>[18]생산!J177</f>
        <v>0</v>
      </c>
      <c r="AB180" s="11">
        <f>[18]생산!K177</f>
        <v>0</v>
      </c>
      <c r="AC180" s="11"/>
    </row>
    <row r="181" spans="1:29">
      <c r="A181" s="6">
        <v>46198</v>
      </c>
      <c r="B181" s="12">
        <f>'[18]key-in(LO)'!AA179</f>
        <v>0</v>
      </c>
      <c r="C181" s="12">
        <f>'[18]key-in(LO)'!AB179</f>
        <v>0</v>
      </c>
      <c r="D181" s="12">
        <f>'[18]key-in(LO)'!AC179</f>
        <v>0</v>
      </c>
      <c r="E181" s="12">
        <f>'[18]key-in(LO)'!AD179</f>
        <v>0</v>
      </c>
      <c r="F181" s="12">
        <f>'[18]key-in(LO)'!AE179</f>
        <v>0</v>
      </c>
      <c r="G181" s="115">
        <f>'[18]key-in(LO)'!AF179</f>
        <v>0</v>
      </c>
      <c r="H181" s="12">
        <f>'[18]key-in(LO)'!AG179</f>
        <v>0</v>
      </c>
      <c r="I181" s="12">
        <f>'[18]key-in(LO)'!AH179</f>
        <v>0</v>
      </c>
      <c r="J181" s="10">
        <f>'[18]key-in(ACO)'!$AR179</f>
        <v>0</v>
      </c>
      <c r="K181" s="10">
        <f>'[18]key-in(ACO)'!$AS179</f>
        <v>0</v>
      </c>
      <c r="L181" s="9">
        <f>'[18]key-in(ACO)'!$AV179</f>
        <v>0</v>
      </c>
      <c r="M181" s="10">
        <f>[18]생산!BA178</f>
        <v>0</v>
      </c>
      <c r="N181" s="10">
        <f>[18]생산!BB178</f>
        <v>0</v>
      </c>
      <c r="O181" s="10">
        <f>[18]생산!BC178</f>
        <v>0</v>
      </c>
      <c r="P181" s="10">
        <f>[18]생산!BD178</f>
        <v>0</v>
      </c>
      <c r="Q181" s="10">
        <f>[18]생산!BE178</f>
        <v>0</v>
      </c>
      <c r="R181" s="10">
        <f>[18]생산!BF178</f>
        <v>0</v>
      </c>
      <c r="S181" s="9">
        <f>[18]운전시간외!C178</f>
        <v>0</v>
      </c>
      <c r="T181" s="9">
        <f>[18]운전시간외!D178</f>
        <v>0</v>
      </c>
      <c r="U181" s="9">
        <f>[18]운전시간외!E178</f>
        <v>0</v>
      </c>
      <c r="V181" s="9">
        <f>[18]운전시간외!F178</f>
        <v>0</v>
      </c>
      <c r="W181" s="11">
        <f>[18]생산!F178</f>
        <v>0</v>
      </c>
      <c r="X181" s="11">
        <f>[18]생산!G178</f>
        <v>0</v>
      </c>
      <c r="Y181" s="11">
        <f>[18]생산!H178</f>
        <v>0</v>
      </c>
      <c r="Z181" s="11">
        <f>[18]생산!I178</f>
        <v>0</v>
      </c>
      <c r="AA181" s="11">
        <f>[18]생산!J178</f>
        <v>0</v>
      </c>
      <c r="AB181" s="11">
        <f>[18]생산!K178</f>
        <v>0</v>
      </c>
      <c r="AC181" s="11"/>
    </row>
    <row r="182" spans="1:29">
      <c r="A182" s="6">
        <v>46199</v>
      </c>
      <c r="B182" s="12">
        <f>'[18]key-in(LO)'!AA180</f>
        <v>0</v>
      </c>
      <c r="C182" s="12">
        <f>'[18]key-in(LO)'!AB180</f>
        <v>0</v>
      </c>
      <c r="D182" s="12">
        <f>'[18]key-in(LO)'!AC180</f>
        <v>0</v>
      </c>
      <c r="E182" s="12">
        <f>'[18]key-in(LO)'!AD180</f>
        <v>0</v>
      </c>
      <c r="F182" s="12">
        <f>'[18]key-in(LO)'!AE180</f>
        <v>0</v>
      </c>
      <c r="G182" s="115">
        <f>'[18]key-in(LO)'!AF180</f>
        <v>0</v>
      </c>
      <c r="H182" s="12">
        <f>'[18]key-in(LO)'!AG180</f>
        <v>0</v>
      </c>
      <c r="I182" s="12">
        <f>'[18]key-in(LO)'!AH180</f>
        <v>0</v>
      </c>
      <c r="J182" s="10">
        <f>'[18]key-in(ACO)'!$AR180</f>
        <v>0</v>
      </c>
      <c r="K182" s="10">
        <f>'[18]key-in(ACO)'!$AS180</f>
        <v>0</v>
      </c>
      <c r="L182" s="9">
        <f>'[18]key-in(ACO)'!$AV180</f>
        <v>0</v>
      </c>
      <c r="M182" s="10">
        <f>[18]생산!BA179</f>
        <v>0</v>
      </c>
      <c r="N182" s="10">
        <f>[18]생산!BB179</f>
        <v>0</v>
      </c>
      <c r="O182" s="10">
        <f>[18]생산!BC179</f>
        <v>0</v>
      </c>
      <c r="P182" s="10">
        <f>[18]생산!BD179</f>
        <v>0</v>
      </c>
      <c r="Q182" s="10">
        <f>[18]생산!BE179</f>
        <v>0</v>
      </c>
      <c r="R182" s="10">
        <f>[18]생산!BF179</f>
        <v>0</v>
      </c>
      <c r="S182" s="9">
        <f>[18]운전시간외!C179</f>
        <v>0</v>
      </c>
      <c r="T182" s="9">
        <f>[18]운전시간외!D179</f>
        <v>0</v>
      </c>
      <c r="U182" s="9">
        <f>[18]운전시간외!E179</f>
        <v>0</v>
      </c>
      <c r="V182" s="9">
        <f>[18]운전시간외!F179</f>
        <v>0</v>
      </c>
      <c r="W182" s="11">
        <f>[18]생산!F179</f>
        <v>0</v>
      </c>
      <c r="X182" s="11">
        <f>[18]생산!G179</f>
        <v>0</v>
      </c>
      <c r="Y182" s="11">
        <f>[18]생산!H179</f>
        <v>0</v>
      </c>
      <c r="Z182" s="11">
        <f>[18]생산!I179</f>
        <v>0</v>
      </c>
      <c r="AA182" s="11">
        <f>[18]생산!J179</f>
        <v>0</v>
      </c>
      <c r="AB182" s="11">
        <f>[18]생산!K179</f>
        <v>0</v>
      </c>
      <c r="AC182" s="11"/>
    </row>
    <row r="183" spans="1:29">
      <c r="A183" s="6">
        <v>46200</v>
      </c>
      <c r="B183" s="12">
        <f>'[18]key-in(LO)'!AA181</f>
        <v>0</v>
      </c>
      <c r="C183" s="12">
        <f>'[18]key-in(LO)'!AB181</f>
        <v>0</v>
      </c>
      <c r="D183" s="12">
        <f>'[18]key-in(LO)'!AC181</f>
        <v>0</v>
      </c>
      <c r="E183" s="12">
        <f>'[18]key-in(LO)'!AD181</f>
        <v>0</v>
      </c>
      <c r="F183" s="12">
        <f>'[18]key-in(LO)'!AE181</f>
        <v>0</v>
      </c>
      <c r="G183" s="115">
        <f>'[18]key-in(LO)'!AF181</f>
        <v>0</v>
      </c>
      <c r="H183" s="12">
        <f>'[18]key-in(LO)'!AG181</f>
        <v>0</v>
      </c>
      <c r="I183" s="12">
        <f>'[18]key-in(LO)'!AH181</f>
        <v>0</v>
      </c>
      <c r="J183" s="10">
        <f>'[18]key-in(ACO)'!$AR181</f>
        <v>0</v>
      </c>
      <c r="K183" s="10">
        <f>'[18]key-in(ACO)'!$AS181</f>
        <v>0</v>
      </c>
      <c r="L183" s="9">
        <f>'[18]key-in(ACO)'!$AV181</f>
        <v>0</v>
      </c>
      <c r="M183" s="10">
        <f>[18]생산!BA180</f>
        <v>0</v>
      </c>
      <c r="N183" s="10">
        <f>[18]생산!BB180</f>
        <v>0</v>
      </c>
      <c r="O183" s="10">
        <f>[18]생산!BC180</f>
        <v>0</v>
      </c>
      <c r="P183" s="10">
        <f>[18]생산!BD180</f>
        <v>0</v>
      </c>
      <c r="Q183" s="10">
        <f>[18]생산!BE180</f>
        <v>0</v>
      </c>
      <c r="R183" s="10">
        <f>[18]생산!BF180</f>
        <v>0</v>
      </c>
      <c r="S183" s="9">
        <f>[18]운전시간외!C180</f>
        <v>0</v>
      </c>
      <c r="T183" s="9">
        <f>[18]운전시간외!D180</f>
        <v>0</v>
      </c>
      <c r="U183" s="9">
        <f>[18]운전시간외!E180</f>
        <v>0</v>
      </c>
      <c r="V183" s="9">
        <f>[18]운전시간외!F180</f>
        <v>0</v>
      </c>
      <c r="W183" s="11">
        <f>[18]생산!F180</f>
        <v>0</v>
      </c>
      <c r="X183" s="11">
        <f>[18]생산!G180</f>
        <v>0</v>
      </c>
      <c r="Y183" s="11">
        <f>[18]생산!H180</f>
        <v>0</v>
      </c>
      <c r="Z183" s="11">
        <f>[18]생산!I180</f>
        <v>0</v>
      </c>
      <c r="AA183" s="11">
        <f>[18]생산!J180</f>
        <v>0</v>
      </c>
      <c r="AB183" s="11">
        <f>[18]생산!K180</f>
        <v>0</v>
      </c>
      <c r="AC183" s="11"/>
    </row>
    <row r="184" spans="1:29">
      <c r="A184" s="6">
        <v>46201</v>
      </c>
      <c r="B184" s="12">
        <f>'[18]key-in(LO)'!AA182</f>
        <v>0</v>
      </c>
      <c r="C184" s="12">
        <f>'[18]key-in(LO)'!AB182</f>
        <v>0</v>
      </c>
      <c r="D184" s="12">
        <f>'[18]key-in(LO)'!AC182</f>
        <v>0</v>
      </c>
      <c r="E184" s="12">
        <f>'[18]key-in(LO)'!AD182</f>
        <v>0</v>
      </c>
      <c r="F184" s="12">
        <f>'[18]key-in(LO)'!AE182</f>
        <v>0</v>
      </c>
      <c r="G184" s="115">
        <f>'[18]key-in(LO)'!AF182</f>
        <v>0</v>
      </c>
      <c r="H184" s="12">
        <f>'[18]key-in(LO)'!AG182</f>
        <v>0</v>
      </c>
      <c r="I184" s="12">
        <f>'[18]key-in(LO)'!AH182</f>
        <v>0</v>
      </c>
      <c r="J184" s="10">
        <f>'[18]key-in(ACO)'!$AR182</f>
        <v>0</v>
      </c>
      <c r="K184" s="10">
        <f>'[18]key-in(ACO)'!$AS182</f>
        <v>0</v>
      </c>
      <c r="L184" s="9">
        <f>'[18]key-in(ACO)'!$AV182</f>
        <v>0</v>
      </c>
      <c r="M184" s="10">
        <f>[18]생산!BA181</f>
        <v>0</v>
      </c>
      <c r="N184" s="10">
        <f>[18]생산!BB181</f>
        <v>0</v>
      </c>
      <c r="O184" s="10">
        <f>[18]생산!BC181</f>
        <v>0</v>
      </c>
      <c r="P184" s="10">
        <f>[18]생산!BD181</f>
        <v>0</v>
      </c>
      <c r="Q184" s="10">
        <f>[18]생산!BE181</f>
        <v>0</v>
      </c>
      <c r="R184" s="10">
        <f>[18]생산!BF181</f>
        <v>0</v>
      </c>
      <c r="S184" s="9">
        <f>[18]운전시간외!C181</f>
        <v>0</v>
      </c>
      <c r="T184" s="9">
        <f>[18]운전시간외!D181</f>
        <v>0</v>
      </c>
      <c r="U184" s="9">
        <f>[18]운전시간외!E181</f>
        <v>0</v>
      </c>
      <c r="V184" s="9">
        <f>[18]운전시간외!F181</f>
        <v>0</v>
      </c>
      <c r="W184" s="11">
        <f>[18]생산!F181</f>
        <v>0</v>
      </c>
      <c r="X184" s="11">
        <f>[18]생산!G181</f>
        <v>0</v>
      </c>
      <c r="Y184" s="11">
        <f>[18]생산!H181</f>
        <v>0</v>
      </c>
      <c r="Z184" s="11">
        <f>[18]생산!I181</f>
        <v>0</v>
      </c>
      <c r="AA184" s="11">
        <f>[18]생산!J181</f>
        <v>0</v>
      </c>
      <c r="AB184" s="11">
        <f>[18]생산!K181</f>
        <v>0</v>
      </c>
      <c r="AC184" s="11"/>
    </row>
    <row r="185" spans="1:29">
      <c r="A185" s="6">
        <v>46202</v>
      </c>
      <c r="B185" s="12">
        <f>'[18]key-in(LO)'!AA183</f>
        <v>0</v>
      </c>
      <c r="C185" s="12">
        <f>'[18]key-in(LO)'!AB183</f>
        <v>0</v>
      </c>
      <c r="D185" s="12">
        <f>'[18]key-in(LO)'!AC183</f>
        <v>0</v>
      </c>
      <c r="E185" s="12">
        <f>'[18]key-in(LO)'!AD183</f>
        <v>0</v>
      </c>
      <c r="F185" s="12">
        <f>'[18]key-in(LO)'!AE183</f>
        <v>0</v>
      </c>
      <c r="G185" s="115">
        <f>'[18]key-in(LO)'!AF183</f>
        <v>0</v>
      </c>
      <c r="H185" s="12">
        <f>'[18]key-in(LO)'!AG183</f>
        <v>0</v>
      </c>
      <c r="I185" s="12">
        <f>'[18]key-in(LO)'!AH183</f>
        <v>0</v>
      </c>
      <c r="J185" s="10">
        <f>'[18]key-in(ACO)'!$AR183</f>
        <v>0</v>
      </c>
      <c r="K185" s="10">
        <f>'[18]key-in(ACO)'!$AS183</f>
        <v>0</v>
      </c>
      <c r="L185" s="9">
        <f>'[18]key-in(ACO)'!$AV183</f>
        <v>0</v>
      </c>
      <c r="M185" s="10">
        <f>[18]생산!BA182</f>
        <v>0</v>
      </c>
      <c r="N185" s="10">
        <f>[18]생산!BB182</f>
        <v>0</v>
      </c>
      <c r="O185" s="10">
        <f>[18]생산!BC182</f>
        <v>0</v>
      </c>
      <c r="P185" s="10">
        <f>[18]생산!BD182</f>
        <v>0</v>
      </c>
      <c r="Q185" s="10">
        <f>[18]생산!BE182</f>
        <v>0</v>
      </c>
      <c r="R185" s="10">
        <f>[18]생산!BF182</f>
        <v>0</v>
      </c>
      <c r="S185" s="9">
        <f>[18]운전시간외!C182</f>
        <v>0</v>
      </c>
      <c r="T185" s="9">
        <f>[18]운전시간외!D182</f>
        <v>0</v>
      </c>
      <c r="U185" s="9">
        <f>[18]운전시간외!E182</f>
        <v>0</v>
      </c>
      <c r="V185" s="9">
        <f>[18]운전시간외!F182</f>
        <v>0</v>
      </c>
      <c r="W185" s="11">
        <f>[18]생산!F182</f>
        <v>0</v>
      </c>
      <c r="X185" s="11">
        <f>[18]생산!G182</f>
        <v>0</v>
      </c>
      <c r="Y185" s="11">
        <f>[18]생산!H182</f>
        <v>0</v>
      </c>
      <c r="Z185" s="11">
        <f>[18]생산!I182</f>
        <v>0</v>
      </c>
      <c r="AA185" s="11">
        <f>[18]생산!J182</f>
        <v>0</v>
      </c>
      <c r="AB185" s="11">
        <f>[18]생산!K182</f>
        <v>0</v>
      </c>
      <c r="AC185" s="11"/>
    </row>
    <row r="186" spans="1:29">
      <c r="A186" s="6">
        <v>46203</v>
      </c>
      <c r="B186" s="12">
        <f>'[18]key-in(LO)'!AA184</f>
        <v>0</v>
      </c>
      <c r="C186" s="12">
        <f>'[18]key-in(LO)'!AB184</f>
        <v>0</v>
      </c>
      <c r="D186" s="12">
        <f>'[18]key-in(LO)'!AC184</f>
        <v>0</v>
      </c>
      <c r="E186" s="12">
        <f>'[18]key-in(LO)'!AD184</f>
        <v>0</v>
      </c>
      <c r="F186" s="12">
        <f>'[18]key-in(LO)'!AE184</f>
        <v>0</v>
      </c>
      <c r="G186" s="115">
        <f>'[18]key-in(LO)'!AF184</f>
        <v>0</v>
      </c>
      <c r="H186" s="12">
        <f>'[18]key-in(LO)'!AG184</f>
        <v>0</v>
      </c>
      <c r="I186" s="12">
        <f>'[18]key-in(LO)'!AH184</f>
        <v>0</v>
      </c>
      <c r="J186" s="10">
        <f>'[18]key-in(ACO)'!$AR184</f>
        <v>0</v>
      </c>
      <c r="K186" s="10">
        <f>'[18]key-in(ACO)'!$AS184</f>
        <v>0</v>
      </c>
      <c r="L186" s="9">
        <f>'[18]key-in(ACO)'!$AV184</f>
        <v>0</v>
      </c>
      <c r="M186" s="10">
        <f>[18]생산!BA183</f>
        <v>0</v>
      </c>
      <c r="N186" s="10">
        <f>[18]생산!BB183</f>
        <v>0</v>
      </c>
      <c r="O186" s="10">
        <f>[18]생산!BC183</f>
        <v>0</v>
      </c>
      <c r="P186" s="10">
        <f>[18]생산!BD183</f>
        <v>0</v>
      </c>
      <c r="Q186" s="10">
        <f>[18]생산!BE183</f>
        <v>0</v>
      </c>
      <c r="R186" s="10">
        <f>[18]생산!BF183</f>
        <v>0</v>
      </c>
      <c r="S186" s="9">
        <f>[18]운전시간외!C183</f>
        <v>0</v>
      </c>
      <c r="T186" s="9">
        <f>[18]운전시간외!D183</f>
        <v>0</v>
      </c>
      <c r="U186" s="9">
        <f>[18]운전시간외!E183</f>
        <v>0</v>
      </c>
      <c r="V186" s="9">
        <f>[18]운전시간외!F183</f>
        <v>0</v>
      </c>
      <c r="W186" s="11">
        <f>[18]생산!F183</f>
        <v>0</v>
      </c>
      <c r="X186" s="11">
        <f>[18]생산!G183</f>
        <v>0</v>
      </c>
      <c r="Y186" s="11">
        <f>[18]생산!H183</f>
        <v>0</v>
      </c>
      <c r="Z186" s="11">
        <f>[18]생산!I183</f>
        <v>0</v>
      </c>
      <c r="AA186" s="11">
        <f>[18]생산!J183</f>
        <v>0</v>
      </c>
      <c r="AB186" s="11">
        <f>[18]생산!K183</f>
        <v>0</v>
      </c>
      <c r="AC186" s="11"/>
    </row>
    <row r="187" spans="1:29">
      <c r="A187" s="6">
        <v>46204</v>
      </c>
      <c r="B187" s="12">
        <f>'[18]key-in(LO)'!AA185</f>
        <v>0</v>
      </c>
      <c r="C187" s="12">
        <f>'[18]key-in(LO)'!AB185</f>
        <v>0</v>
      </c>
      <c r="D187" s="12">
        <f>'[18]key-in(LO)'!AC185</f>
        <v>0</v>
      </c>
      <c r="E187" s="12">
        <f>'[18]key-in(LO)'!AD185</f>
        <v>0</v>
      </c>
      <c r="F187" s="12">
        <f>'[18]key-in(LO)'!AE185</f>
        <v>0</v>
      </c>
      <c r="G187" s="115">
        <f>'[18]key-in(LO)'!AF185</f>
        <v>0</v>
      </c>
      <c r="H187" s="12">
        <f>'[18]key-in(LO)'!AG185</f>
        <v>0</v>
      </c>
      <c r="I187" s="12">
        <f>'[18]key-in(LO)'!AH185</f>
        <v>0</v>
      </c>
      <c r="J187" s="10">
        <f>'[18]key-in(ACO)'!$AR185</f>
        <v>0</v>
      </c>
      <c r="K187" s="10">
        <f>'[18]key-in(ACO)'!$AS185</f>
        <v>0</v>
      </c>
      <c r="L187" s="9">
        <f>'[18]key-in(ACO)'!$AV185</f>
        <v>0</v>
      </c>
      <c r="M187" s="10">
        <f>[18]생산!BA184</f>
        <v>0</v>
      </c>
      <c r="N187" s="10">
        <f>[18]생산!BB184</f>
        <v>0</v>
      </c>
      <c r="O187" s="10">
        <f>[18]생산!BC184</f>
        <v>0</v>
      </c>
      <c r="P187" s="10">
        <f>[18]생산!BD184</f>
        <v>0</v>
      </c>
      <c r="Q187" s="10">
        <f>[18]생산!BE184</f>
        <v>0</v>
      </c>
      <c r="R187" s="10">
        <f>[18]생산!BF184</f>
        <v>0</v>
      </c>
      <c r="S187" s="9">
        <f>[18]운전시간외!C184</f>
        <v>0</v>
      </c>
      <c r="T187" s="9">
        <f>[18]운전시간외!D184</f>
        <v>0</v>
      </c>
      <c r="U187" s="9">
        <f>[18]운전시간외!E184</f>
        <v>0</v>
      </c>
      <c r="V187" s="9">
        <f>[18]운전시간외!F184</f>
        <v>0</v>
      </c>
      <c r="W187" s="11">
        <f>[18]생산!F184</f>
        <v>0</v>
      </c>
      <c r="X187" s="11">
        <f>[18]생산!G184</f>
        <v>0</v>
      </c>
      <c r="Y187" s="11">
        <f>[18]생산!H184</f>
        <v>0</v>
      </c>
      <c r="Z187" s="11">
        <f>[18]생산!I184</f>
        <v>0</v>
      </c>
      <c r="AA187" s="11">
        <f>[18]생산!J184</f>
        <v>0</v>
      </c>
      <c r="AB187" s="11">
        <f>[18]생산!K184</f>
        <v>0</v>
      </c>
      <c r="AC187" s="11"/>
    </row>
    <row r="188" spans="1:29">
      <c r="A188" s="6">
        <v>46205</v>
      </c>
      <c r="B188" s="12">
        <f>'[18]key-in(LO)'!AA186</f>
        <v>0</v>
      </c>
      <c r="C188" s="12">
        <f>'[18]key-in(LO)'!AB186</f>
        <v>0</v>
      </c>
      <c r="D188" s="12">
        <f>'[18]key-in(LO)'!AC186</f>
        <v>0</v>
      </c>
      <c r="E188" s="12">
        <f>'[18]key-in(LO)'!AD186</f>
        <v>0</v>
      </c>
      <c r="F188" s="12">
        <f>'[18]key-in(LO)'!AE186</f>
        <v>0</v>
      </c>
      <c r="G188" s="115">
        <f>'[18]key-in(LO)'!AF186</f>
        <v>0</v>
      </c>
      <c r="H188" s="12">
        <f>'[18]key-in(LO)'!AG186</f>
        <v>0</v>
      </c>
      <c r="I188" s="12">
        <f>'[18]key-in(LO)'!AH186</f>
        <v>0</v>
      </c>
      <c r="J188" s="10">
        <f>'[18]key-in(ACO)'!$AR186</f>
        <v>0</v>
      </c>
      <c r="K188" s="10">
        <f>'[18]key-in(ACO)'!$AS186</f>
        <v>0</v>
      </c>
      <c r="L188" s="9">
        <f>'[18]key-in(ACO)'!$AV186</f>
        <v>0</v>
      </c>
      <c r="M188" s="10">
        <f>[18]생산!BA185</f>
        <v>0</v>
      </c>
      <c r="N188" s="10">
        <f>[18]생산!BB185</f>
        <v>0</v>
      </c>
      <c r="O188" s="10">
        <f>[18]생산!BC185</f>
        <v>0</v>
      </c>
      <c r="P188" s="10">
        <f>[18]생산!BD185</f>
        <v>0</v>
      </c>
      <c r="Q188" s="10">
        <f>[18]생산!BE185</f>
        <v>0</v>
      </c>
      <c r="R188" s="10">
        <f>[18]생산!BF185</f>
        <v>0</v>
      </c>
      <c r="S188" s="9">
        <f>[18]운전시간외!C185</f>
        <v>0</v>
      </c>
      <c r="T188" s="9">
        <f>[18]운전시간외!D185</f>
        <v>0</v>
      </c>
      <c r="U188" s="9">
        <f>[18]운전시간외!E185</f>
        <v>0</v>
      </c>
      <c r="V188" s="9">
        <f>[18]운전시간외!F185</f>
        <v>0</v>
      </c>
      <c r="W188" s="11">
        <f>[18]생산!F185</f>
        <v>0</v>
      </c>
      <c r="X188" s="11">
        <f>[18]생산!G185</f>
        <v>0</v>
      </c>
      <c r="Y188" s="11">
        <f>[18]생산!H185</f>
        <v>0</v>
      </c>
      <c r="Z188" s="11">
        <f>[18]생산!I185</f>
        <v>0</v>
      </c>
      <c r="AA188" s="11">
        <f>[18]생산!J185</f>
        <v>0</v>
      </c>
      <c r="AB188" s="11">
        <f>[18]생산!K185</f>
        <v>0</v>
      </c>
      <c r="AC188" s="11"/>
    </row>
    <row r="189" spans="1:29">
      <c r="A189" s="6">
        <v>46206</v>
      </c>
      <c r="B189" s="12">
        <f>'[18]key-in(LO)'!AA187</f>
        <v>0</v>
      </c>
      <c r="C189" s="12">
        <f>'[18]key-in(LO)'!AB187</f>
        <v>0</v>
      </c>
      <c r="D189" s="12">
        <f>'[18]key-in(LO)'!AC187</f>
        <v>0</v>
      </c>
      <c r="E189" s="12">
        <f>'[18]key-in(LO)'!AD187</f>
        <v>0</v>
      </c>
      <c r="F189" s="12">
        <f>'[18]key-in(LO)'!AE187</f>
        <v>0</v>
      </c>
      <c r="G189" s="115">
        <f>'[18]key-in(LO)'!AF187</f>
        <v>0</v>
      </c>
      <c r="H189" s="12">
        <f>'[18]key-in(LO)'!AG187</f>
        <v>0</v>
      </c>
      <c r="I189" s="12">
        <f>'[18]key-in(LO)'!AH187</f>
        <v>0</v>
      </c>
      <c r="J189" s="10">
        <f>'[18]key-in(ACO)'!$AR187</f>
        <v>0</v>
      </c>
      <c r="K189" s="10">
        <f>'[18]key-in(ACO)'!$AS187</f>
        <v>0</v>
      </c>
      <c r="L189" s="9">
        <f>'[18]key-in(ACO)'!$AV187</f>
        <v>0</v>
      </c>
      <c r="M189" s="10">
        <f>[18]생산!BA186</f>
        <v>0</v>
      </c>
      <c r="N189" s="10">
        <f>[18]생산!BB186</f>
        <v>0</v>
      </c>
      <c r="O189" s="10">
        <f>[18]생산!BC186</f>
        <v>0</v>
      </c>
      <c r="P189" s="10">
        <f>[18]생산!BD186</f>
        <v>0</v>
      </c>
      <c r="Q189" s="10">
        <f>[18]생산!BE186</f>
        <v>0</v>
      </c>
      <c r="R189" s="10">
        <f>[18]생산!BF186</f>
        <v>0</v>
      </c>
      <c r="S189" s="9">
        <f>[18]운전시간외!C186</f>
        <v>0</v>
      </c>
      <c r="T189" s="9">
        <f>[18]운전시간외!D186</f>
        <v>0</v>
      </c>
      <c r="U189" s="9">
        <f>[18]운전시간외!E186</f>
        <v>0</v>
      </c>
      <c r="V189" s="9">
        <f>[18]운전시간외!F186</f>
        <v>0</v>
      </c>
      <c r="W189" s="11">
        <f>[18]생산!F186</f>
        <v>0</v>
      </c>
      <c r="X189" s="11">
        <f>[18]생산!G186</f>
        <v>0</v>
      </c>
      <c r="Y189" s="11">
        <f>[18]생산!H186</f>
        <v>0</v>
      </c>
      <c r="Z189" s="11">
        <f>[18]생산!I186</f>
        <v>0</v>
      </c>
      <c r="AA189" s="11">
        <f>[18]생산!J186</f>
        <v>0</v>
      </c>
      <c r="AB189" s="11">
        <f>[18]생산!K186</f>
        <v>0</v>
      </c>
      <c r="AC189" s="11"/>
    </row>
    <row r="190" spans="1:29">
      <c r="A190" s="6">
        <v>46207</v>
      </c>
      <c r="B190" s="12">
        <f>'[18]key-in(LO)'!AA188</f>
        <v>0</v>
      </c>
      <c r="C190" s="12">
        <f>'[18]key-in(LO)'!AB188</f>
        <v>0</v>
      </c>
      <c r="D190" s="12">
        <f>'[18]key-in(LO)'!AC188</f>
        <v>0</v>
      </c>
      <c r="E190" s="12">
        <f>'[18]key-in(LO)'!AD188</f>
        <v>0</v>
      </c>
      <c r="F190" s="12">
        <f>'[18]key-in(LO)'!AE188</f>
        <v>0</v>
      </c>
      <c r="G190" s="115">
        <f>'[18]key-in(LO)'!AF188</f>
        <v>0</v>
      </c>
      <c r="H190" s="12">
        <f>'[18]key-in(LO)'!AG188</f>
        <v>0</v>
      </c>
      <c r="I190" s="12">
        <f>'[18]key-in(LO)'!AH188</f>
        <v>0</v>
      </c>
      <c r="J190" s="10">
        <f>'[18]key-in(ACO)'!$AR188</f>
        <v>0</v>
      </c>
      <c r="K190" s="10">
        <f>'[18]key-in(ACO)'!$AS188</f>
        <v>0</v>
      </c>
      <c r="L190" s="9">
        <f>'[18]key-in(ACO)'!$AV188</f>
        <v>0</v>
      </c>
      <c r="M190" s="10">
        <f>[18]생산!BA187</f>
        <v>0</v>
      </c>
      <c r="N190" s="10">
        <f>[18]생산!BB187</f>
        <v>0</v>
      </c>
      <c r="O190" s="10">
        <f>[18]생산!BC187</f>
        <v>0</v>
      </c>
      <c r="P190" s="10">
        <f>[18]생산!BD187</f>
        <v>0</v>
      </c>
      <c r="Q190" s="10">
        <f>[18]생산!BE187</f>
        <v>0</v>
      </c>
      <c r="R190" s="10">
        <f>[18]생산!BF187</f>
        <v>0</v>
      </c>
      <c r="S190" s="9">
        <f>[18]운전시간외!C187</f>
        <v>0</v>
      </c>
      <c r="T190" s="9">
        <f>[18]운전시간외!D187</f>
        <v>0</v>
      </c>
      <c r="U190" s="9">
        <f>[18]운전시간외!E187</f>
        <v>0</v>
      </c>
      <c r="V190" s="9">
        <f>[18]운전시간외!F187</f>
        <v>0</v>
      </c>
      <c r="W190" s="11">
        <f>[18]생산!F187</f>
        <v>0</v>
      </c>
      <c r="X190" s="11">
        <f>[18]생산!G187</f>
        <v>0</v>
      </c>
      <c r="Y190" s="11">
        <f>[18]생산!H187</f>
        <v>0</v>
      </c>
      <c r="Z190" s="11">
        <f>[18]생산!I187</f>
        <v>0</v>
      </c>
      <c r="AA190" s="11">
        <f>[18]생산!J187</f>
        <v>0</v>
      </c>
      <c r="AB190" s="11">
        <f>[18]생산!K187</f>
        <v>0</v>
      </c>
      <c r="AC190" s="11"/>
    </row>
    <row r="191" spans="1:29">
      <c r="A191" s="6">
        <v>46208</v>
      </c>
      <c r="B191" s="12">
        <f>'[18]key-in(LO)'!AA189</f>
        <v>0</v>
      </c>
      <c r="C191" s="12">
        <f>'[18]key-in(LO)'!AB189</f>
        <v>0</v>
      </c>
      <c r="D191" s="12">
        <f>'[18]key-in(LO)'!AC189</f>
        <v>0</v>
      </c>
      <c r="E191" s="12">
        <f>'[18]key-in(LO)'!AD189</f>
        <v>0</v>
      </c>
      <c r="F191" s="12">
        <f>'[18]key-in(LO)'!AE189</f>
        <v>0</v>
      </c>
      <c r="G191" s="115">
        <f>'[18]key-in(LO)'!AF189</f>
        <v>0</v>
      </c>
      <c r="H191" s="12">
        <f>'[18]key-in(LO)'!AG189</f>
        <v>0</v>
      </c>
      <c r="I191" s="12">
        <f>'[18]key-in(LO)'!AH189</f>
        <v>0</v>
      </c>
      <c r="J191" s="10">
        <f>'[18]key-in(ACO)'!$AR189</f>
        <v>0</v>
      </c>
      <c r="K191" s="10">
        <f>'[18]key-in(ACO)'!$AS189</f>
        <v>0</v>
      </c>
      <c r="L191" s="9">
        <f>'[18]key-in(ACO)'!$AV189</f>
        <v>0</v>
      </c>
      <c r="M191" s="10">
        <f>[18]생산!BA188</f>
        <v>0</v>
      </c>
      <c r="N191" s="10">
        <f>[18]생산!BB188</f>
        <v>0</v>
      </c>
      <c r="O191" s="10">
        <f>[18]생산!BC188</f>
        <v>0</v>
      </c>
      <c r="P191" s="10">
        <f>[18]생산!BD188</f>
        <v>0</v>
      </c>
      <c r="Q191" s="10">
        <f>[18]생산!BE188</f>
        <v>0</v>
      </c>
      <c r="R191" s="10">
        <f>[18]생산!BF188</f>
        <v>0</v>
      </c>
      <c r="S191" s="9">
        <f>[18]운전시간외!C188</f>
        <v>0</v>
      </c>
      <c r="T191" s="9">
        <f>[18]운전시간외!D188</f>
        <v>0</v>
      </c>
      <c r="U191" s="9">
        <f>[18]운전시간외!E188</f>
        <v>0</v>
      </c>
      <c r="V191" s="9">
        <f>[18]운전시간외!F188</f>
        <v>0</v>
      </c>
      <c r="W191" s="11">
        <f>[18]생산!F188</f>
        <v>0</v>
      </c>
      <c r="X191" s="11">
        <f>[18]생산!G188</f>
        <v>0</v>
      </c>
      <c r="Y191" s="11">
        <f>[18]생산!H188</f>
        <v>0</v>
      </c>
      <c r="Z191" s="11">
        <f>[18]생산!I188</f>
        <v>0</v>
      </c>
      <c r="AA191" s="11">
        <f>[18]생산!J188</f>
        <v>0</v>
      </c>
      <c r="AB191" s="11">
        <f>[18]생산!K188</f>
        <v>0</v>
      </c>
      <c r="AC191" s="11"/>
    </row>
    <row r="192" spans="1:29">
      <c r="A192" s="6">
        <v>46209</v>
      </c>
      <c r="B192" s="12">
        <f>'[18]key-in(LO)'!AA190</f>
        <v>0</v>
      </c>
      <c r="C192" s="12">
        <f>'[18]key-in(LO)'!AB190</f>
        <v>0</v>
      </c>
      <c r="D192" s="12">
        <f>'[18]key-in(LO)'!AC190</f>
        <v>0</v>
      </c>
      <c r="E192" s="12">
        <f>'[18]key-in(LO)'!AD190</f>
        <v>0</v>
      </c>
      <c r="F192" s="12">
        <f>'[18]key-in(LO)'!AE190</f>
        <v>0</v>
      </c>
      <c r="G192" s="115">
        <f>'[18]key-in(LO)'!AF190</f>
        <v>0</v>
      </c>
      <c r="H192" s="12">
        <f>'[18]key-in(LO)'!AG190</f>
        <v>0</v>
      </c>
      <c r="I192" s="12">
        <f>'[18]key-in(LO)'!AH190</f>
        <v>0</v>
      </c>
      <c r="J192" s="10">
        <f>'[18]key-in(ACO)'!$AR190</f>
        <v>0</v>
      </c>
      <c r="K192" s="10">
        <f>'[18]key-in(ACO)'!$AS190</f>
        <v>0</v>
      </c>
      <c r="L192" s="9">
        <f>'[18]key-in(ACO)'!$AV190</f>
        <v>0</v>
      </c>
      <c r="M192" s="10">
        <f>[18]생산!BA189</f>
        <v>0</v>
      </c>
      <c r="N192" s="10">
        <f>[18]생산!BB189</f>
        <v>0</v>
      </c>
      <c r="O192" s="10">
        <f>[18]생산!BC189</f>
        <v>0</v>
      </c>
      <c r="P192" s="10">
        <f>[18]생산!BD189</f>
        <v>0</v>
      </c>
      <c r="Q192" s="10">
        <f>[18]생산!BE189</f>
        <v>0</v>
      </c>
      <c r="R192" s="10">
        <f>[18]생산!BF189</f>
        <v>0</v>
      </c>
      <c r="S192" s="9">
        <f>[18]운전시간외!C189</f>
        <v>0</v>
      </c>
      <c r="T192" s="9">
        <f>[18]운전시간외!D189</f>
        <v>0</v>
      </c>
      <c r="U192" s="9">
        <f>[18]운전시간외!E189</f>
        <v>0</v>
      </c>
      <c r="V192" s="9">
        <f>[18]운전시간외!F189</f>
        <v>0</v>
      </c>
      <c r="W192" s="11">
        <f>[18]생산!F189</f>
        <v>0</v>
      </c>
      <c r="X192" s="11">
        <f>[18]생산!G189</f>
        <v>0</v>
      </c>
      <c r="Y192" s="11">
        <f>[18]생산!H189</f>
        <v>0</v>
      </c>
      <c r="Z192" s="11">
        <f>[18]생산!I189</f>
        <v>0</v>
      </c>
      <c r="AA192" s="11">
        <f>[18]생산!J189</f>
        <v>0</v>
      </c>
      <c r="AB192" s="11">
        <f>[18]생산!K189</f>
        <v>0</v>
      </c>
      <c r="AC192" s="11"/>
    </row>
    <row r="193" spans="1:29">
      <c r="A193" s="6">
        <v>46210</v>
      </c>
      <c r="B193" s="12">
        <f>'[18]key-in(LO)'!AA191</f>
        <v>0</v>
      </c>
      <c r="C193" s="12">
        <f>'[18]key-in(LO)'!AB191</f>
        <v>0</v>
      </c>
      <c r="D193" s="12">
        <f>'[18]key-in(LO)'!AC191</f>
        <v>0</v>
      </c>
      <c r="E193" s="12">
        <f>'[18]key-in(LO)'!AD191</f>
        <v>0</v>
      </c>
      <c r="F193" s="12">
        <f>'[18]key-in(LO)'!AE191</f>
        <v>0</v>
      </c>
      <c r="G193" s="115">
        <f>'[18]key-in(LO)'!AF191</f>
        <v>0</v>
      </c>
      <c r="H193" s="12">
        <f>'[18]key-in(LO)'!AG191</f>
        <v>0</v>
      </c>
      <c r="I193" s="12">
        <f>'[18]key-in(LO)'!AH191</f>
        <v>0</v>
      </c>
      <c r="J193" s="10">
        <f>'[18]key-in(ACO)'!$AR191</f>
        <v>0</v>
      </c>
      <c r="K193" s="10">
        <f>'[18]key-in(ACO)'!$AS191</f>
        <v>0</v>
      </c>
      <c r="L193" s="9">
        <f>'[18]key-in(ACO)'!$AV191</f>
        <v>0</v>
      </c>
      <c r="M193" s="10">
        <f>[18]생산!BA190</f>
        <v>0</v>
      </c>
      <c r="N193" s="10">
        <f>[18]생산!BB190</f>
        <v>0</v>
      </c>
      <c r="O193" s="10">
        <f>[18]생산!BC190</f>
        <v>0</v>
      </c>
      <c r="P193" s="10">
        <f>[18]생산!BD190</f>
        <v>0</v>
      </c>
      <c r="Q193" s="10">
        <f>[18]생산!BE190</f>
        <v>0</v>
      </c>
      <c r="R193" s="10">
        <f>[18]생산!BF190</f>
        <v>0</v>
      </c>
      <c r="S193" s="9">
        <f>[18]운전시간외!C190</f>
        <v>0</v>
      </c>
      <c r="T193" s="9">
        <f>[18]운전시간외!D190</f>
        <v>0</v>
      </c>
      <c r="U193" s="9">
        <f>[18]운전시간외!E190</f>
        <v>0</v>
      </c>
      <c r="V193" s="9">
        <f>[18]운전시간외!F190</f>
        <v>0</v>
      </c>
      <c r="W193" s="11">
        <f>[18]생산!F190</f>
        <v>0</v>
      </c>
      <c r="X193" s="11">
        <f>[18]생산!G190</f>
        <v>0</v>
      </c>
      <c r="Y193" s="11">
        <f>[18]생산!H190</f>
        <v>0</v>
      </c>
      <c r="Z193" s="11">
        <f>[18]생산!I190</f>
        <v>0</v>
      </c>
      <c r="AA193" s="11">
        <f>[18]생산!J190</f>
        <v>0</v>
      </c>
      <c r="AB193" s="11">
        <f>[18]생산!K190</f>
        <v>0</v>
      </c>
      <c r="AC193" s="11"/>
    </row>
    <row r="194" spans="1:29">
      <c r="A194" s="6">
        <v>46211</v>
      </c>
      <c r="B194" s="12">
        <f>'[18]key-in(LO)'!AA192</f>
        <v>0</v>
      </c>
      <c r="C194" s="12">
        <f>'[18]key-in(LO)'!AB192</f>
        <v>0</v>
      </c>
      <c r="D194" s="12">
        <f>'[18]key-in(LO)'!AC192</f>
        <v>0</v>
      </c>
      <c r="E194" s="12">
        <f>'[18]key-in(LO)'!AD192</f>
        <v>0</v>
      </c>
      <c r="F194" s="12">
        <f>'[18]key-in(LO)'!AE192</f>
        <v>0</v>
      </c>
      <c r="G194" s="115">
        <f>'[18]key-in(LO)'!AF192</f>
        <v>0</v>
      </c>
      <c r="H194" s="12">
        <f>'[18]key-in(LO)'!AG192</f>
        <v>0</v>
      </c>
      <c r="I194" s="12">
        <f>'[18]key-in(LO)'!AH192</f>
        <v>0</v>
      </c>
      <c r="J194" s="10">
        <f>'[18]key-in(ACO)'!$AR192</f>
        <v>0</v>
      </c>
      <c r="K194" s="10">
        <f>'[18]key-in(ACO)'!$AS192</f>
        <v>0</v>
      </c>
      <c r="L194" s="9">
        <f>'[18]key-in(ACO)'!$AV192</f>
        <v>0</v>
      </c>
      <c r="M194" s="10">
        <f>[18]생산!BA191</f>
        <v>0</v>
      </c>
      <c r="N194" s="10">
        <f>[18]생산!BB191</f>
        <v>0</v>
      </c>
      <c r="O194" s="10">
        <f>[18]생산!BC191</f>
        <v>0</v>
      </c>
      <c r="P194" s="10">
        <f>[18]생산!BD191</f>
        <v>0</v>
      </c>
      <c r="Q194" s="10">
        <f>[18]생산!BE191</f>
        <v>0</v>
      </c>
      <c r="R194" s="10">
        <f>[18]생산!BF191</f>
        <v>0</v>
      </c>
      <c r="S194" s="9">
        <f>[18]운전시간외!C191</f>
        <v>0</v>
      </c>
      <c r="T194" s="9">
        <f>[18]운전시간외!D191</f>
        <v>0</v>
      </c>
      <c r="U194" s="9">
        <f>[18]운전시간외!E191</f>
        <v>0</v>
      </c>
      <c r="V194" s="9">
        <f>[18]운전시간외!F191</f>
        <v>0</v>
      </c>
      <c r="W194" s="11">
        <f>[18]생산!F191</f>
        <v>0</v>
      </c>
      <c r="X194" s="11">
        <f>[18]생산!G191</f>
        <v>0</v>
      </c>
      <c r="Y194" s="11">
        <f>[18]생산!H191</f>
        <v>0</v>
      </c>
      <c r="Z194" s="11">
        <f>[18]생산!I191</f>
        <v>0</v>
      </c>
      <c r="AA194" s="11">
        <f>[18]생산!J191</f>
        <v>0</v>
      </c>
      <c r="AB194" s="11">
        <f>[18]생산!K191</f>
        <v>0</v>
      </c>
      <c r="AC194" s="11"/>
    </row>
    <row r="195" spans="1:29">
      <c r="A195" s="6">
        <v>46212</v>
      </c>
      <c r="B195" s="12">
        <f>'[18]key-in(LO)'!AA193</f>
        <v>0</v>
      </c>
      <c r="C195" s="12">
        <f>'[18]key-in(LO)'!AB193</f>
        <v>0</v>
      </c>
      <c r="D195" s="12">
        <f>'[18]key-in(LO)'!AC193</f>
        <v>0</v>
      </c>
      <c r="E195" s="12">
        <f>'[18]key-in(LO)'!AD193</f>
        <v>0</v>
      </c>
      <c r="F195" s="12">
        <f>'[18]key-in(LO)'!AE193</f>
        <v>0</v>
      </c>
      <c r="G195" s="115">
        <f>'[18]key-in(LO)'!AF193</f>
        <v>0</v>
      </c>
      <c r="H195" s="12">
        <f>'[18]key-in(LO)'!AG193</f>
        <v>0</v>
      </c>
      <c r="I195" s="12">
        <f>'[18]key-in(LO)'!AH193</f>
        <v>0</v>
      </c>
      <c r="J195" s="10">
        <f>'[18]key-in(ACO)'!$AR193</f>
        <v>0</v>
      </c>
      <c r="K195" s="10">
        <f>'[18]key-in(ACO)'!$AS193</f>
        <v>0</v>
      </c>
      <c r="L195" s="9">
        <f>'[18]key-in(ACO)'!$AV193</f>
        <v>0</v>
      </c>
      <c r="M195" s="10">
        <f>[18]생산!BA192</f>
        <v>0</v>
      </c>
      <c r="N195" s="10">
        <f>[18]생산!BB192</f>
        <v>0</v>
      </c>
      <c r="O195" s="10">
        <f>[18]생산!BC192</f>
        <v>0</v>
      </c>
      <c r="P195" s="10">
        <f>[18]생산!BD192</f>
        <v>0</v>
      </c>
      <c r="Q195" s="10">
        <f>[18]생산!BE192</f>
        <v>0</v>
      </c>
      <c r="R195" s="10">
        <f>[18]생산!BF192</f>
        <v>0</v>
      </c>
      <c r="S195" s="9">
        <f>[18]운전시간외!C192</f>
        <v>0</v>
      </c>
      <c r="T195" s="9">
        <f>[18]운전시간외!D192</f>
        <v>0</v>
      </c>
      <c r="U195" s="9">
        <f>[18]운전시간외!E192</f>
        <v>0</v>
      </c>
      <c r="V195" s="9">
        <f>[18]운전시간외!F192</f>
        <v>0</v>
      </c>
      <c r="W195" s="11">
        <f>[18]생산!F192</f>
        <v>0</v>
      </c>
      <c r="X195" s="11">
        <f>[18]생산!G192</f>
        <v>0</v>
      </c>
      <c r="Y195" s="11">
        <f>[18]생산!H192</f>
        <v>0</v>
      </c>
      <c r="Z195" s="11">
        <f>[18]생산!I192</f>
        <v>0</v>
      </c>
      <c r="AA195" s="11">
        <f>[18]생산!J192</f>
        <v>0</v>
      </c>
      <c r="AB195" s="11">
        <f>[18]생산!K192</f>
        <v>0</v>
      </c>
      <c r="AC195" s="11"/>
    </row>
    <row r="196" spans="1:29">
      <c r="A196" s="6">
        <v>46213</v>
      </c>
      <c r="B196" s="12">
        <f>'[18]key-in(LO)'!AA194</f>
        <v>0</v>
      </c>
      <c r="C196" s="12">
        <f>'[18]key-in(LO)'!AB194</f>
        <v>0</v>
      </c>
      <c r="D196" s="12">
        <f>'[18]key-in(LO)'!AC194</f>
        <v>0</v>
      </c>
      <c r="E196" s="12">
        <f>'[18]key-in(LO)'!AD194</f>
        <v>0</v>
      </c>
      <c r="F196" s="12">
        <f>'[18]key-in(LO)'!AE194</f>
        <v>0</v>
      </c>
      <c r="G196" s="115">
        <f>'[18]key-in(LO)'!AF194</f>
        <v>0</v>
      </c>
      <c r="H196" s="12">
        <f>'[18]key-in(LO)'!AG194</f>
        <v>0</v>
      </c>
      <c r="I196" s="12">
        <f>'[18]key-in(LO)'!AH194</f>
        <v>0</v>
      </c>
      <c r="J196" s="10">
        <f>'[18]key-in(ACO)'!$AR194</f>
        <v>0</v>
      </c>
      <c r="K196" s="10">
        <f>'[18]key-in(ACO)'!$AS194</f>
        <v>0</v>
      </c>
      <c r="L196" s="9">
        <f>'[18]key-in(ACO)'!$AV194</f>
        <v>0</v>
      </c>
      <c r="M196" s="10">
        <f>[18]생산!BA193</f>
        <v>0</v>
      </c>
      <c r="N196" s="10">
        <f>[18]생산!BB193</f>
        <v>0</v>
      </c>
      <c r="O196" s="10">
        <f>[18]생산!BC193</f>
        <v>0</v>
      </c>
      <c r="P196" s="10">
        <f>[18]생산!BD193</f>
        <v>0</v>
      </c>
      <c r="Q196" s="10">
        <f>[18]생산!BE193</f>
        <v>0</v>
      </c>
      <c r="R196" s="10">
        <f>[18]생산!BF193</f>
        <v>0</v>
      </c>
      <c r="S196" s="9">
        <f>[18]운전시간외!C193</f>
        <v>0</v>
      </c>
      <c r="T196" s="9">
        <f>[18]운전시간외!D193</f>
        <v>0</v>
      </c>
      <c r="U196" s="9">
        <f>[18]운전시간외!E193</f>
        <v>0</v>
      </c>
      <c r="V196" s="9">
        <f>[18]운전시간외!F193</f>
        <v>0</v>
      </c>
      <c r="W196" s="11">
        <f>[18]생산!F193</f>
        <v>0</v>
      </c>
      <c r="X196" s="11">
        <f>[18]생산!G193</f>
        <v>0</v>
      </c>
      <c r="Y196" s="11">
        <f>[18]생산!H193</f>
        <v>0</v>
      </c>
      <c r="Z196" s="11">
        <f>[18]생산!I193</f>
        <v>0</v>
      </c>
      <c r="AA196" s="11">
        <f>[18]생산!J193</f>
        <v>0</v>
      </c>
      <c r="AB196" s="11">
        <f>[18]생산!K193</f>
        <v>0</v>
      </c>
      <c r="AC196" s="11"/>
    </row>
    <row r="197" spans="1:29">
      <c r="A197" s="6">
        <v>46214</v>
      </c>
      <c r="B197" s="12">
        <f>'[18]key-in(LO)'!AA195</f>
        <v>0</v>
      </c>
      <c r="C197" s="12">
        <f>'[18]key-in(LO)'!AB195</f>
        <v>0</v>
      </c>
      <c r="D197" s="12">
        <f>'[18]key-in(LO)'!AC195</f>
        <v>0</v>
      </c>
      <c r="E197" s="12">
        <f>'[18]key-in(LO)'!AD195</f>
        <v>0</v>
      </c>
      <c r="F197" s="12">
        <f>'[18]key-in(LO)'!AE195</f>
        <v>0</v>
      </c>
      <c r="G197" s="115">
        <f>'[18]key-in(LO)'!AF195</f>
        <v>0</v>
      </c>
      <c r="H197" s="12">
        <f>'[18]key-in(LO)'!AG195</f>
        <v>0</v>
      </c>
      <c r="I197" s="12">
        <f>'[18]key-in(LO)'!AH195</f>
        <v>0</v>
      </c>
      <c r="J197" s="10">
        <f>'[18]key-in(ACO)'!$AR195</f>
        <v>0</v>
      </c>
      <c r="K197" s="10">
        <f>'[18]key-in(ACO)'!$AS195</f>
        <v>0</v>
      </c>
      <c r="L197" s="9">
        <f>'[18]key-in(ACO)'!$AV195</f>
        <v>0</v>
      </c>
      <c r="M197" s="10">
        <f>[18]생산!BA194</f>
        <v>0</v>
      </c>
      <c r="N197" s="10">
        <f>[18]생산!BB194</f>
        <v>0</v>
      </c>
      <c r="O197" s="10">
        <f>[18]생산!BC194</f>
        <v>0</v>
      </c>
      <c r="P197" s="10">
        <f>[18]생산!BD194</f>
        <v>0</v>
      </c>
      <c r="Q197" s="10">
        <f>[18]생산!BE194</f>
        <v>0</v>
      </c>
      <c r="R197" s="10">
        <f>[18]생산!BF194</f>
        <v>0</v>
      </c>
      <c r="S197" s="9">
        <f>[18]운전시간외!C194</f>
        <v>0</v>
      </c>
      <c r="T197" s="9">
        <f>[18]운전시간외!D194</f>
        <v>0</v>
      </c>
      <c r="U197" s="9">
        <f>[18]운전시간외!E194</f>
        <v>0</v>
      </c>
      <c r="V197" s="9">
        <f>[18]운전시간외!F194</f>
        <v>0</v>
      </c>
      <c r="W197" s="11">
        <f>[18]생산!F194</f>
        <v>0</v>
      </c>
      <c r="X197" s="11">
        <f>[18]생산!G194</f>
        <v>0</v>
      </c>
      <c r="Y197" s="11">
        <f>[18]생산!H194</f>
        <v>0</v>
      </c>
      <c r="Z197" s="11">
        <f>[18]생산!I194</f>
        <v>0</v>
      </c>
      <c r="AA197" s="11">
        <f>[18]생산!J194</f>
        <v>0</v>
      </c>
      <c r="AB197" s="11">
        <f>[18]생산!K194</f>
        <v>0</v>
      </c>
      <c r="AC197" s="11"/>
    </row>
    <row r="198" spans="1:29">
      <c r="A198" s="6">
        <v>46215</v>
      </c>
      <c r="B198" s="12">
        <f>'[18]key-in(LO)'!AA196</f>
        <v>0</v>
      </c>
      <c r="C198" s="12">
        <f>'[18]key-in(LO)'!AB196</f>
        <v>0</v>
      </c>
      <c r="D198" s="12">
        <f>'[18]key-in(LO)'!AC196</f>
        <v>0</v>
      </c>
      <c r="E198" s="12">
        <f>'[18]key-in(LO)'!AD196</f>
        <v>0</v>
      </c>
      <c r="F198" s="12">
        <f>'[18]key-in(LO)'!AE196</f>
        <v>0</v>
      </c>
      <c r="G198" s="115">
        <f>'[18]key-in(LO)'!AF196</f>
        <v>0</v>
      </c>
      <c r="H198" s="12">
        <f>'[18]key-in(LO)'!AG196</f>
        <v>0</v>
      </c>
      <c r="I198" s="12">
        <f>'[18]key-in(LO)'!AH196</f>
        <v>0</v>
      </c>
      <c r="J198" s="10">
        <f>'[18]key-in(ACO)'!$AR196</f>
        <v>0</v>
      </c>
      <c r="K198" s="10">
        <f>'[18]key-in(ACO)'!$AS196</f>
        <v>0</v>
      </c>
      <c r="L198" s="9">
        <f>'[18]key-in(ACO)'!$AV196</f>
        <v>0</v>
      </c>
      <c r="M198" s="10">
        <f>[18]생산!BA195</f>
        <v>0</v>
      </c>
      <c r="N198" s="10">
        <f>[18]생산!BB195</f>
        <v>0</v>
      </c>
      <c r="O198" s="10">
        <f>[18]생산!BC195</f>
        <v>0</v>
      </c>
      <c r="P198" s="10">
        <f>[18]생산!BD195</f>
        <v>0</v>
      </c>
      <c r="Q198" s="10">
        <f>[18]생산!BE195</f>
        <v>0</v>
      </c>
      <c r="R198" s="10">
        <f>[18]생산!BF195</f>
        <v>0</v>
      </c>
      <c r="S198" s="9">
        <f>[18]운전시간외!C195</f>
        <v>0</v>
      </c>
      <c r="T198" s="9">
        <f>[18]운전시간외!D195</f>
        <v>0</v>
      </c>
      <c r="U198" s="9">
        <f>[18]운전시간외!E195</f>
        <v>0</v>
      </c>
      <c r="V198" s="9">
        <f>[18]운전시간외!F195</f>
        <v>0</v>
      </c>
      <c r="W198" s="11">
        <f>[18]생산!F195</f>
        <v>0</v>
      </c>
      <c r="X198" s="11">
        <f>[18]생산!G195</f>
        <v>0</v>
      </c>
      <c r="Y198" s="11">
        <f>[18]생산!H195</f>
        <v>0</v>
      </c>
      <c r="Z198" s="11">
        <f>[18]생산!I195</f>
        <v>0</v>
      </c>
      <c r="AA198" s="11">
        <f>[18]생산!J195</f>
        <v>0</v>
      </c>
      <c r="AB198" s="11">
        <f>[18]생산!K195</f>
        <v>0</v>
      </c>
      <c r="AC198" s="11"/>
    </row>
    <row r="199" spans="1:29">
      <c r="A199" s="6">
        <v>46216</v>
      </c>
      <c r="B199" s="12">
        <f>'[18]key-in(LO)'!AA197</f>
        <v>0</v>
      </c>
      <c r="C199" s="12">
        <f>'[18]key-in(LO)'!AB197</f>
        <v>0</v>
      </c>
      <c r="D199" s="12">
        <f>'[18]key-in(LO)'!AC197</f>
        <v>0</v>
      </c>
      <c r="E199" s="12">
        <f>'[18]key-in(LO)'!AD197</f>
        <v>0</v>
      </c>
      <c r="F199" s="12">
        <f>'[18]key-in(LO)'!AE197</f>
        <v>0</v>
      </c>
      <c r="G199" s="115">
        <f>'[18]key-in(LO)'!AF197</f>
        <v>0</v>
      </c>
      <c r="H199" s="12">
        <f>'[18]key-in(LO)'!AG197</f>
        <v>0</v>
      </c>
      <c r="I199" s="12">
        <f>'[18]key-in(LO)'!AH197</f>
        <v>0</v>
      </c>
      <c r="J199" s="10">
        <f>'[18]key-in(ACO)'!$AR197</f>
        <v>0</v>
      </c>
      <c r="K199" s="10">
        <f>'[18]key-in(ACO)'!$AS197</f>
        <v>0</v>
      </c>
      <c r="L199" s="9">
        <f>'[18]key-in(ACO)'!$AV197</f>
        <v>0</v>
      </c>
      <c r="M199" s="10">
        <f>[18]생산!BA196</f>
        <v>0</v>
      </c>
      <c r="N199" s="10">
        <f>[18]생산!BB196</f>
        <v>0</v>
      </c>
      <c r="O199" s="10">
        <f>[18]생산!BC196</f>
        <v>0</v>
      </c>
      <c r="P199" s="10">
        <f>[18]생산!BD196</f>
        <v>0</v>
      </c>
      <c r="Q199" s="10">
        <f>[18]생산!BE196</f>
        <v>0</v>
      </c>
      <c r="R199" s="10">
        <f>[18]생산!BF196</f>
        <v>0</v>
      </c>
      <c r="S199" s="9">
        <f>[18]운전시간외!C196</f>
        <v>0</v>
      </c>
      <c r="T199" s="9">
        <f>[18]운전시간외!D196</f>
        <v>0</v>
      </c>
      <c r="U199" s="9">
        <f>[18]운전시간외!E196</f>
        <v>0</v>
      </c>
      <c r="V199" s="9">
        <f>[18]운전시간외!F196</f>
        <v>0</v>
      </c>
      <c r="W199" s="11">
        <f>[18]생산!F196</f>
        <v>0</v>
      </c>
      <c r="X199" s="11">
        <f>[18]생산!G196</f>
        <v>0</v>
      </c>
      <c r="Y199" s="11">
        <f>[18]생산!H196</f>
        <v>0</v>
      </c>
      <c r="Z199" s="11">
        <f>[18]생산!I196</f>
        <v>0</v>
      </c>
      <c r="AA199" s="11">
        <f>[18]생산!J196</f>
        <v>0</v>
      </c>
      <c r="AB199" s="11">
        <f>[18]생산!K196</f>
        <v>0</v>
      </c>
      <c r="AC199" s="11"/>
    </row>
    <row r="200" spans="1:29">
      <c r="A200" s="6">
        <v>46217</v>
      </c>
      <c r="B200" s="12">
        <f>'[18]key-in(LO)'!AA198</f>
        <v>0</v>
      </c>
      <c r="C200" s="12">
        <f>'[18]key-in(LO)'!AB198</f>
        <v>0</v>
      </c>
      <c r="D200" s="12">
        <f>'[18]key-in(LO)'!AC198</f>
        <v>0</v>
      </c>
      <c r="E200" s="12">
        <f>'[18]key-in(LO)'!AD198</f>
        <v>0</v>
      </c>
      <c r="F200" s="12">
        <f>'[18]key-in(LO)'!AE198</f>
        <v>0</v>
      </c>
      <c r="G200" s="115">
        <f>'[18]key-in(LO)'!AF198</f>
        <v>0</v>
      </c>
      <c r="H200" s="12">
        <f>'[18]key-in(LO)'!AG198</f>
        <v>0</v>
      </c>
      <c r="I200" s="12">
        <f>'[18]key-in(LO)'!AH198</f>
        <v>0</v>
      </c>
      <c r="J200" s="10">
        <f>'[18]key-in(ACO)'!$AR198</f>
        <v>0</v>
      </c>
      <c r="K200" s="10">
        <f>'[18]key-in(ACO)'!$AS198</f>
        <v>0</v>
      </c>
      <c r="L200" s="9">
        <f>'[18]key-in(ACO)'!$AV198</f>
        <v>0</v>
      </c>
      <c r="M200" s="10">
        <f>[18]생산!BA197</f>
        <v>0</v>
      </c>
      <c r="N200" s="10">
        <f>[18]생산!BB197</f>
        <v>0</v>
      </c>
      <c r="O200" s="10">
        <f>[18]생산!BC197</f>
        <v>0</v>
      </c>
      <c r="P200" s="10">
        <f>[18]생산!BD197</f>
        <v>0</v>
      </c>
      <c r="Q200" s="10">
        <f>[18]생산!BE197</f>
        <v>0</v>
      </c>
      <c r="R200" s="10">
        <f>[18]생산!BF197</f>
        <v>0</v>
      </c>
      <c r="S200" s="9">
        <f>[18]운전시간외!C197</f>
        <v>0</v>
      </c>
      <c r="T200" s="9">
        <f>[18]운전시간외!D197</f>
        <v>0</v>
      </c>
      <c r="U200" s="9">
        <f>[18]운전시간외!E197</f>
        <v>0</v>
      </c>
      <c r="V200" s="9">
        <f>[18]운전시간외!F197</f>
        <v>0</v>
      </c>
      <c r="W200" s="11">
        <f>[18]생산!F197</f>
        <v>0</v>
      </c>
      <c r="X200" s="11">
        <f>[18]생산!G197</f>
        <v>0</v>
      </c>
      <c r="Y200" s="11">
        <f>[18]생산!H197</f>
        <v>0</v>
      </c>
      <c r="Z200" s="11">
        <f>[18]생산!I197</f>
        <v>0</v>
      </c>
      <c r="AA200" s="11">
        <f>[18]생산!J197</f>
        <v>0</v>
      </c>
      <c r="AB200" s="11">
        <f>[18]생산!K197</f>
        <v>0</v>
      </c>
      <c r="AC200" s="11"/>
    </row>
    <row r="201" spans="1:29">
      <c r="A201" s="6">
        <v>46218</v>
      </c>
      <c r="B201" s="12">
        <f>'[18]key-in(LO)'!AA199</f>
        <v>0</v>
      </c>
      <c r="C201" s="12">
        <f>'[18]key-in(LO)'!AB199</f>
        <v>0</v>
      </c>
      <c r="D201" s="12">
        <f>'[18]key-in(LO)'!AC199</f>
        <v>0</v>
      </c>
      <c r="E201" s="12">
        <f>'[18]key-in(LO)'!AD199</f>
        <v>0</v>
      </c>
      <c r="F201" s="12">
        <f>'[18]key-in(LO)'!AE199</f>
        <v>0</v>
      </c>
      <c r="G201" s="115">
        <f>'[18]key-in(LO)'!AF199</f>
        <v>0</v>
      </c>
      <c r="H201" s="12">
        <f>'[18]key-in(LO)'!AG199</f>
        <v>0</v>
      </c>
      <c r="I201" s="12">
        <f>'[18]key-in(LO)'!AH199</f>
        <v>0</v>
      </c>
      <c r="J201" s="10">
        <f>'[18]key-in(ACO)'!$AR199</f>
        <v>0</v>
      </c>
      <c r="K201" s="10">
        <f>'[18]key-in(ACO)'!$AS199</f>
        <v>0</v>
      </c>
      <c r="L201" s="9">
        <f>'[18]key-in(ACO)'!$AV199</f>
        <v>0</v>
      </c>
      <c r="M201" s="10">
        <f>[18]생산!BA198</f>
        <v>0</v>
      </c>
      <c r="N201" s="10">
        <f>[18]생산!BB198</f>
        <v>0</v>
      </c>
      <c r="O201" s="10">
        <f>[18]생산!BC198</f>
        <v>0</v>
      </c>
      <c r="P201" s="10">
        <f>[18]생산!BD198</f>
        <v>0</v>
      </c>
      <c r="Q201" s="10">
        <f>[18]생산!BE198</f>
        <v>0</v>
      </c>
      <c r="R201" s="10">
        <f>[18]생산!BF198</f>
        <v>0</v>
      </c>
      <c r="S201" s="9">
        <f>[18]운전시간외!C198</f>
        <v>0</v>
      </c>
      <c r="T201" s="9">
        <f>[18]운전시간외!D198</f>
        <v>0</v>
      </c>
      <c r="U201" s="9">
        <f>[18]운전시간외!E198</f>
        <v>0</v>
      </c>
      <c r="V201" s="9">
        <f>[18]운전시간외!F198</f>
        <v>0</v>
      </c>
      <c r="W201" s="11">
        <f>[18]생산!F198</f>
        <v>0</v>
      </c>
      <c r="X201" s="11">
        <f>[18]생산!G198</f>
        <v>0</v>
      </c>
      <c r="Y201" s="11">
        <f>[18]생산!H198</f>
        <v>0</v>
      </c>
      <c r="Z201" s="11">
        <f>[18]생산!I198</f>
        <v>0</v>
      </c>
      <c r="AA201" s="11">
        <f>[18]생산!J198</f>
        <v>0</v>
      </c>
      <c r="AB201" s="11">
        <f>[18]생산!K198</f>
        <v>0</v>
      </c>
      <c r="AC201" s="11"/>
    </row>
    <row r="202" spans="1:29">
      <c r="A202" s="6">
        <v>46219</v>
      </c>
      <c r="B202" s="12">
        <f>'[18]key-in(LO)'!AA200</f>
        <v>0</v>
      </c>
      <c r="C202" s="12">
        <f>'[18]key-in(LO)'!AB200</f>
        <v>0</v>
      </c>
      <c r="D202" s="12">
        <f>'[18]key-in(LO)'!AC200</f>
        <v>0</v>
      </c>
      <c r="E202" s="12">
        <f>'[18]key-in(LO)'!AD200</f>
        <v>0</v>
      </c>
      <c r="F202" s="12">
        <f>'[18]key-in(LO)'!AE200</f>
        <v>0</v>
      </c>
      <c r="G202" s="115">
        <f>'[18]key-in(LO)'!AF200</f>
        <v>0</v>
      </c>
      <c r="H202" s="12">
        <f>'[18]key-in(LO)'!AG200</f>
        <v>0</v>
      </c>
      <c r="I202" s="12">
        <f>'[18]key-in(LO)'!AH200</f>
        <v>0</v>
      </c>
      <c r="J202" s="10">
        <f>'[18]key-in(ACO)'!$AR200</f>
        <v>0</v>
      </c>
      <c r="K202" s="10">
        <f>'[18]key-in(ACO)'!$AS200</f>
        <v>0</v>
      </c>
      <c r="L202" s="9">
        <f>'[18]key-in(ACO)'!$AV200</f>
        <v>0</v>
      </c>
      <c r="M202" s="10">
        <f>[18]생산!BA199</f>
        <v>0</v>
      </c>
      <c r="N202" s="10">
        <f>[18]생산!BB199</f>
        <v>0</v>
      </c>
      <c r="O202" s="10">
        <f>[18]생산!BC199</f>
        <v>0</v>
      </c>
      <c r="P202" s="10">
        <f>[18]생산!BD199</f>
        <v>0</v>
      </c>
      <c r="Q202" s="10">
        <f>[18]생산!BE199</f>
        <v>0</v>
      </c>
      <c r="R202" s="10">
        <f>[18]생산!BF199</f>
        <v>0</v>
      </c>
      <c r="S202" s="9">
        <f>[18]운전시간외!C199</f>
        <v>0</v>
      </c>
      <c r="T202" s="9">
        <f>[18]운전시간외!D199</f>
        <v>0</v>
      </c>
      <c r="U202" s="9">
        <f>[18]운전시간외!E199</f>
        <v>0</v>
      </c>
      <c r="V202" s="9">
        <f>[18]운전시간외!F199</f>
        <v>0</v>
      </c>
      <c r="W202" s="11">
        <f>[18]생산!F199</f>
        <v>0</v>
      </c>
      <c r="X202" s="11">
        <f>[18]생산!G199</f>
        <v>0</v>
      </c>
      <c r="Y202" s="11">
        <f>[18]생산!H199</f>
        <v>0</v>
      </c>
      <c r="Z202" s="11">
        <f>[18]생산!I199</f>
        <v>0</v>
      </c>
      <c r="AA202" s="11">
        <f>[18]생산!J199</f>
        <v>0</v>
      </c>
      <c r="AB202" s="11">
        <f>[18]생산!K199</f>
        <v>0</v>
      </c>
      <c r="AC202" s="11"/>
    </row>
    <row r="203" spans="1:29">
      <c r="A203" s="6">
        <v>46220</v>
      </c>
      <c r="B203" s="12">
        <f>'[18]key-in(LO)'!AA201</f>
        <v>0</v>
      </c>
      <c r="C203" s="12">
        <f>'[18]key-in(LO)'!AB201</f>
        <v>0</v>
      </c>
      <c r="D203" s="12">
        <f>'[18]key-in(LO)'!AC201</f>
        <v>0</v>
      </c>
      <c r="E203" s="12">
        <f>'[18]key-in(LO)'!AD201</f>
        <v>0</v>
      </c>
      <c r="F203" s="12">
        <f>'[18]key-in(LO)'!AE201</f>
        <v>0</v>
      </c>
      <c r="G203" s="115">
        <f>'[18]key-in(LO)'!AF201</f>
        <v>0</v>
      </c>
      <c r="H203" s="12">
        <f>'[18]key-in(LO)'!AG201</f>
        <v>0</v>
      </c>
      <c r="I203" s="12">
        <f>'[18]key-in(LO)'!AH201</f>
        <v>0</v>
      </c>
      <c r="J203" s="10">
        <f>'[18]key-in(ACO)'!$AR201</f>
        <v>0</v>
      </c>
      <c r="K203" s="10">
        <f>'[18]key-in(ACO)'!$AS201</f>
        <v>0</v>
      </c>
      <c r="L203" s="9">
        <f>'[18]key-in(ACO)'!$AV201</f>
        <v>0</v>
      </c>
      <c r="M203" s="10">
        <f>[18]생산!BA200</f>
        <v>0</v>
      </c>
      <c r="N203" s="10">
        <f>[18]생산!BB200</f>
        <v>0</v>
      </c>
      <c r="O203" s="10">
        <f>[18]생산!BC200</f>
        <v>0</v>
      </c>
      <c r="P203" s="10">
        <f>[18]생산!BD200</f>
        <v>0</v>
      </c>
      <c r="Q203" s="10">
        <f>[18]생산!BE200</f>
        <v>0</v>
      </c>
      <c r="R203" s="10">
        <f>[18]생산!BF200</f>
        <v>0</v>
      </c>
      <c r="S203" s="9">
        <f>[18]운전시간외!C200</f>
        <v>0</v>
      </c>
      <c r="T203" s="9">
        <f>[18]운전시간외!D200</f>
        <v>0</v>
      </c>
      <c r="U203" s="9">
        <f>[18]운전시간외!E200</f>
        <v>0</v>
      </c>
      <c r="V203" s="9">
        <f>[18]운전시간외!F200</f>
        <v>0</v>
      </c>
      <c r="W203" s="11">
        <f>[18]생산!F200</f>
        <v>0</v>
      </c>
      <c r="X203" s="11">
        <f>[18]생산!G200</f>
        <v>0</v>
      </c>
      <c r="Y203" s="11">
        <f>[18]생산!H200</f>
        <v>0</v>
      </c>
      <c r="Z203" s="11">
        <f>[18]생산!I200</f>
        <v>0</v>
      </c>
      <c r="AA203" s="11">
        <f>[18]생산!J200</f>
        <v>0</v>
      </c>
      <c r="AB203" s="11">
        <f>[18]생산!K200</f>
        <v>0</v>
      </c>
      <c r="AC203" s="11"/>
    </row>
    <row r="204" spans="1:29">
      <c r="A204" s="6">
        <v>46221</v>
      </c>
      <c r="B204" s="12">
        <f>'[18]key-in(LO)'!AA202</f>
        <v>0</v>
      </c>
      <c r="C204" s="12">
        <f>'[18]key-in(LO)'!AB202</f>
        <v>0</v>
      </c>
      <c r="D204" s="12">
        <f>'[18]key-in(LO)'!AC202</f>
        <v>0</v>
      </c>
      <c r="E204" s="12">
        <f>'[18]key-in(LO)'!AD202</f>
        <v>0</v>
      </c>
      <c r="F204" s="12">
        <f>'[18]key-in(LO)'!AE202</f>
        <v>0</v>
      </c>
      <c r="G204" s="115">
        <f>'[18]key-in(LO)'!AF202</f>
        <v>0</v>
      </c>
      <c r="H204" s="12">
        <f>'[18]key-in(LO)'!AG202</f>
        <v>0</v>
      </c>
      <c r="I204" s="12">
        <f>'[18]key-in(LO)'!AH202</f>
        <v>0</v>
      </c>
      <c r="J204" s="10">
        <f>'[18]key-in(ACO)'!$AR202</f>
        <v>0</v>
      </c>
      <c r="K204" s="10">
        <f>'[18]key-in(ACO)'!$AS202</f>
        <v>0</v>
      </c>
      <c r="L204" s="9">
        <f>'[18]key-in(ACO)'!$AV202</f>
        <v>0</v>
      </c>
      <c r="M204" s="10">
        <f>[18]생산!BA201</f>
        <v>0</v>
      </c>
      <c r="N204" s="10">
        <f>[18]생산!BB201</f>
        <v>0</v>
      </c>
      <c r="O204" s="10">
        <f>[18]생산!BC201</f>
        <v>0</v>
      </c>
      <c r="P204" s="10">
        <f>[18]생산!BD201</f>
        <v>0</v>
      </c>
      <c r="Q204" s="10">
        <f>[18]생산!BE201</f>
        <v>0</v>
      </c>
      <c r="R204" s="10">
        <f>[18]생산!BF201</f>
        <v>0</v>
      </c>
      <c r="S204" s="9">
        <f>[18]운전시간외!C201</f>
        <v>0</v>
      </c>
      <c r="T204" s="9">
        <f>[18]운전시간외!D201</f>
        <v>0</v>
      </c>
      <c r="U204" s="9">
        <f>[18]운전시간외!E201</f>
        <v>0</v>
      </c>
      <c r="V204" s="9">
        <f>[18]운전시간외!F201</f>
        <v>0</v>
      </c>
      <c r="W204" s="11">
        <f>[18]생산!F201</f>
        <v>0</v>
      </c>
      <c r="X204" s="11">
        <f>[18]생산!G201</f>
        <v>0</v>
      </c>
      <c r="Y204" s="11">
        <f>[18]생산!H201</f>
        <v>0</v>
      </c>
      <c r="Z204" s="11">
        <f>[18]생산!I201</f>
        <v>0</v>
      </c>
      <c r="AA204" s="11">
        <f>[18]생산!J201</f>
        <v>0</v>
      </c>
      <c r="AB204" s="11">
        <f>[18]생산!K201</f>
        <v>0</v>
      </c>
      <c r="AC204" s="11"/>
    </row>
    <row r="205" spans="1:29">
      <c r="A205" s="6">
        <v>46222</v>
      </c>
      <c r="B205" s="12">
        <f>'[18]key-in(LO)'!AA203</f>
        <v>0</v>
      </c>
      <c r="C205" s="12">
        <f>'[18]key-in(LO)'!AB203</f>
        <v>0</v>
      </c>
      <c r="D205" s="12">
        <f>'[18]key-in(LO)'!AC203</f>
        <v>0</v>
      </c>
      <c r="E205" s="12">
        <f>'[18]key-in(LO)'!AD203</f>
        <v>0</v>
      </c>
      <c r="F205" s="12">
        <f>'[18]key-in(LO)'!AE203</f>
        <v>0</v>
      </c>
      <c r="G205" s="115">
        <f>'[18]key-in(LO)'!AF203</f>
        <v>0</v>
      </c>
      <c r="H205" s="12">
        <f>'[18]key-in(LO)'!AG203</f>
        <v>0</v>
      </c>
      <c r="I205" s="12">
        <f>'[18]key-in(LO)'!AH203</f>
        <v>0</v>
      </c>
      <c r="J205" s="10">
        <f>'[18]key-in(ACO)'!$AR203</f>
        <v>0</v>
      </c>
      <c r="K205" s="10">
        <f>'[18]key-in(ACO)'!$AS203</f>
        <v>0</v>
      </c>
      <c r="L205" s="9">
        <f>'[18]key-in(ACO)'!$AV203</f>
        <v>0</v>
      </c>
      <c r="M205" s="10">
        <f>[18]생산!BA202</f>
        <v>0</v>
      </c>
      <c r="N205" s="10">
        <f>[18]생산!BB202</f>
        <v>0</v>
      </c>
      <c r="O205" s="10">
        <f>[18]생산!BC202</f>
        <v>0</v>
      </c>
      <c r="P205" s="10">
        <f>[18]생산!BD202</f>
        <v>0</v>
      </c>
      <c r="Q205" s="10">
        <f>[18]생산!BE202</f>
        <v>0</v>
      </c>
      <c r="R205" s="10">
        <f>[18]생산!BF202</f>
        <v>0</v>
      </c>
      <c r="S205" s="9">
        <f>[18]운전시간외!C202</f>
        <v>0</v>
      </c>
      <c r="T205" s="9">
        <f>[18]운전시간외!D202</f>
        <v>0</v>
      </c>
      <c r="U205" s="9">
        <f>[18]운전시간외!E202</f>
        <v>0</v>
      </c>
      <c r="V205" s="9">
        <f>[18]운전시간외!F202</f>
        <v>0</v>
      </c>
      <c r="W205" s="11">
        <f>[18]생산!F202</f>
        <v>0</v>
      </c>
      <c r="X205" s="11">
        <f>[18]생산!G202</f>
        <v>0</v>
      </c>
      <c r="Y205" s="11">
        <f>[18]생산!H202</f>
        <v>0</v>
      </c>
      <c r="Z205" s="11">
        <f>[18]생산!I202</f>
        <v>0</v>
      </c>
      <c r="AA205" s="11">
        <f>[18]생산!J202</f>
        <v>0</v>
      </c>
      <c r="AB205" s="11">
        <f>[18]생산!K202</f>
        <v>0</v>
      </c>
      <c r="AC205" s="11"/>
    </row>
    <row r="206" spans="1:29">
      <c r="A206" s="6">
        <v>46223</v>
      </c>
      <c r="B206" s="12">
        <f>'[18]key-in(LO)'!AA204</f>
        <v>0</v>
      </c>
      <c r="C206" s="12">
        <f>'[18]key-in(LO)'!AB204</f>
        <v>0</v>
      </c>
      <c r="D206" s="12">
        <f>'[18]key-in(LO)'!AC204</f>
        <v>0</v>
      </c>
      <c r="E206" s="12">
        <f>'[18]key-in(LO)'!AD204</f>
        <v>0</v>
      </c>
      <c r="F206" s="12">
        <f>'[18]key-in(LO)'!AE204</f>
        <v>0</v>
      </c>
      <c r="G206" s="115">
        <f>'[18]key-in(LO)'!AF204</f>
        <v>0</v>
      </c>
      <c r="H206" s="12">
        <f>'[18]key-in(LO)'!AG204</f>
        <v>0</v>
      </c>
      <c r="I206" s="12">
        <f>'[18]key-in(LO)'!AH204</f>
        <v>0</v>
      </c>
      <c r="J206" s="10">
        <f>'[18]key-in(ACO)'!$AR204</f>
        <v>0</v>
      </c>
      <c r="K206" s="10">
        <f>'[18]key-in(ACO)'!$AS204</f>
        <v>0</v>
      </c>
      <c r="L206" s="9">
        <f>'[18]key-in(ACO)'!$AV204</f>
        <v>0</v>
      </c>
      <c r="M206" s="10">
        <f>[18]생산!BA203</f>
        <v>0</v>
      </c>
      <c r="N206" s="10">
        <f>[18]생산!BB203</f>
        <v>0</v>
      </c>
      <c r="O206" s="10">
        <f>[18]생산!BC203</f>
        <v>0</v>
      </c>
      <c r="P206" s="10">
        <f>[18]생산!BD203</f>
        <v>0</v>
      </c>
      <c r="Q206" s="10">
        <f>[18]생산!BE203</f>
        <v>0</v>
      </c>
      <c r="R206" s="10">
        <f>[18]생산!BF203</f>
        <v>0</v>
      </c>
      <c r="S206" s="9">
        <f>[18]운전시간외!C203</f>
        <v>0</v>
      </c>
      <c r="T206" s="9">
        <f>[18]운전시간외!D203</f>
        <v>0</v>
      </c>
      <c r="U206" s="9">
        <f>[18]운전시간외!E203</f>
        <v>0</v>
      </c>
      <c r="V206" s="9">
        <f>[18]운전시간외!F203</f>
        <v>0</v>
      </c>
      <c r="W206" s="11">
        <f>[18]생산!F203</f>
        <v>0</v>
      </c>
      <c r="X206" s="11">
        <f>[18]생산!G203</f>
        <v>0</v>
      </c>
      <c r="Y206" s="11">
        <f>[18]생산!H203</f>
        <v>0</v>
      </c>
      <c r="Z206" s="11">
        <f>[18]생산!I203</f>
        <v>0</v>
      </c>
      <c r="AA206" s="11">
        <f>[18]생산!J203</f>
        <v>0</v>
      </c>
      <c r="AB206" s="11">
        <f>[18]생산!K203</f>
        <v>0</v>
      </c>
      <c r="AC206" s="11"/>
    </row>
    <row r="207" spans="1:29">
      <c r="A207" s="6">
        <v>46224</v>
      </c>
      <c r="B207" s="12">
        <f>'[18]key-in(LO)'!AA205</f>
        <v>0</v>
      </c>
      <c r="C207" s="12">
        <f>'[18]key-in(LO)'!AB205</f>
        <v>0</v>
      </c>
      <c r="D207" s="12">
        <f>'[18]key-in(LO)'!AC205</f>
        <v>0</v>
      </c>
      <c r="E207" s="12">
        <f>'[18]key-in(LO)'!AD205</f>
        <v>0</v>
      </c>
      <c r="F207" s="12">
        <f>'[18]key-in(LO)'!AE205</f>
        <v>0</v>
      </c>
      <c r="G207" s="115">
        <f>'[18]key-in(LO)'!AF205</f>
        <v>0</v>
      </c>
      <c r="H207" s="12">
        <f>'[18]key-in(LO)'!AG205</f>
        <v>0</v>
      </c>
      <c r="I207" s="12">
        <f>'[18]key-in(LO)'!AH205</f>
        <v>0</v>
      </c>
      <c r="J207" s="10">
        <f>'[18]key-in(ACO)'!$AR205</f>
        <v>0</v>
      </c>
      <c r="K207" s="10">
        <f>'[18]key-in(ACO)'!$AS205</f>
        <v>0</v>
      </c>
      <c r="L207" s="9">
        <f>'[18]key-in(ACO)'!$AV205</f>
        <v>0</v>
      </c>
      <c r="M207" s="10">
        <f>[18]생산!BA204</f>
        <v>0</v>
      </c>
      <c r="N207" s="10">
        <f>[18]생산!BB204</f>
        <v>0</v>
      </c>
      <c r="O207" s="10">
        <f>[18]생산!BC204</f>
        <v>0</v>
      </c>
      <c r="P207" s="10">
        <f>[18]생산!BD204</f>
        <v>0</v>
      </c>
      <c r="Q207" s="10">
        <f>[18]생산!BE204</f>
        <v>0</v>
      </c>
      <c r="R207" s="10">
        <f>[18]생산!BF204</f>
        <v>0</v>
      </c>
      <c r="S207" s="9">
        <f>[18]운전시간외!C204</f>
        <v>0</v>
      </c>
      <c r="T207" s="9">
        <f>[18]운전시간외!D204</f>
        <v>0</v>
      </c>
      <c r="U207" s="9">
        <f>[18]운전시간외!E204</f>
        <v>0</v>
      </c>
      <c r="V207" s="9">
        <f>[18]운전시간외!F204</f>
        <v>0</v>
      </c>
      <c r="W207" s="11">
        <f>[18]생산!F204</f>
        <v>0</v>
      </c>
      <c r="X207" s="11">
        <f>[18]생산!G204</f>
        <v>0</v>
      </c>
      <c r="Y207" s="11">
        <f>[18]생산!H204</f>
        <v>0</v>
      </c>
      <c r="Z207" s="11">
        <f>[18]생산!I204</f>
        <v>0</v>
      </c>
      <c r="AA207" s="11">
        <f>[18]생산!J204</f>
        <v>0</v>
      </c>
      <c r="AB207" s="11">
        <f>[18]생산!K204</f>
        <v>0</v>
      </c>
      <c r="AC207" s="11"/>
    </row>
    <row r="208" spans="1:29">
      <c r="A208" s="6">
        <v>46225</v>
      </c>
      <c r="B208" s="12">
        <f>'[18]key-in(LO)'!AA206</f>
        <v>0</v>
      </c>
      <c r="C208" s="12">
        <f>'[18]key-in(LO)'!AB206</f>
        <v>0</v>
      </c>
      <c r="D208" s="12">
        <f>'[18]key-in(LO)'!AC206</f>
        <v>0</v>
      </c>
      <c r="E208" s="12">
        <f>'[18]key-in(LO)'!AD206</f>
        <v>0</v>
      </c>
      <c r="F208" s="12">
        <f>'[18]key-in(LO)'!AE206</f>
        <v>0</v>
      </c>
      <c r="G208" s="115">
        <f>'[18]key-in(LO)'!AF206</f>
        <v>0</v>
      </c>
      <c r="H208" s="12">
        <f>'[18]key-in(LO)'!AG206</f>
        <v>0</v>
      </c>
      <c r="I208" s="12">
        <f>'[18]key-in(LO)'!AH206</f>
        <v>0</v>
      </c>
      <c r="J208" s="10">
        <f>'[18]key-in(ACO)'!$AR206</f>
        <v>0</v>
      </c>
      <c r="K208" s="10">
        <f>'[18]key-in(ACO)'!$AS206</f>
        <v>0</v>
      </c>
      <c r="L208" s="9">
        <f>'[18]key-in(ACO)'!$AV206</f>
        <v>0</v>
      </c>
      <c r="M208" s="10">
        <f>[18]생산!BA205</f>
        <v>0</v>
      </c>
      <c r="N208" s="10">
        <f>[18]생산!BB205</f>
        <v>0</v>
      </c>
      <c r="O208" s="10">
        <f>[18]생산!BC205</f>
        <v>0</v>
      </c>
      <c r="P208" s="10">
        <f>[18]생산!BD205</f>
        <v>0</v>
      </c>
      <c r="Q208" s="10">
        <f>[18]생산!BE205</f>
        <v>0</v>
      </c>
      <c r="R208" s="10">
        <f>[18]생산!BF205</f>
        <v>0</v>
      </c>
      <c r="S208" s="9">
        <f>[18]운전시간외!C205</f>
        <v>0</v>
      </c>
      <c r="T208" s="9">
        <f>[18]운전시간외!D205</f>
        <v>0</v>
      </c>
      <c r="U208" s="9">
        <f>[18]운전시간외!E205</f>
        <v>0</v>
      </c>
      <c r="V208" s="9">
        <f>[18]운전시간외!F205</f>
        <v>0</v>
      </c>
      <c r="W208" s="11">
        <f>[18]생산!F205</f>
        <v>0</v>
      </c>
      <c r="X208" s="11">
        <f>[18]생산!G205</f>
        <v>0</v>
      </c>
      <c r="Y208" s="11">
        <f>[18]생산!H205</f>
        <v>0</v>
      </c>
      <c r="Z208" s="11">
        <f>[18]생산!I205</f>
        <v>0</v>
      </c>
      <c r="AA208" s="11">
        <f>[18]생산!J205</f>
        <v>0</v>
      </c>
      <c r="AB208" s="11">
        <f>[18]생산!K205</f>
        <v>0</v>
      </c>
      <c r="AC208" s="11"/>
    </row>
    <row r="209" spans="1:29">
      <c r="A209" s="6">
        <v>46226</v>
      </c>
      <c r="B209" s="12">
        <f>'[18]key-in(LO)'!AA207</f>
        <v>0</v>
      </c>
      <c r="C209" s="12">
        <f>'[18]key-in(LO)'!AB207</f>
        <v>0</v>
      </c>
      <c r="D209" s="12">
        <f>'[18]key-in(LO)'!AC207</f>
        <v>0</v>
      </c>
      <c r="E209" s="12">
        <f>'[18]key-in(LO)'!AD207</f>
        <v>0</v>
      </c>
      <c r="F209" s="12">
        <f>'[18]key-in(LO)'!AE207</f>
        <v>0</v>
      </c>
      <c r="G209" s="115">
        <f>'[18]key-in(LO)'!AF207</f>
        <v>0</v>
      </c>
      <c r="H209" s="12">
        <f>'[18]key-in(LO)'!AG207</f>
        <v>0</v>
      </c>
      <c r="I209" s="12">
        <f>'[18]key-in(LO)'!AH207</f>
        <v>0</v>
      </c>
      <c r="J209" s="10">
        <f>'[18]key-in(ACO)'!$AR207</f>
        <v>0</v>
      </c>
      <c r="K209" s="10">
        <f>'[18]key-in(ACO)'!$AS207</f>
        <v>0</v>
      </c>
      <c r="L209" s="9">
        <f>'[18]key-in(ACO)'!$AV207</f>
        <v>0</v>
      </c>
      <c r="M209" s="10">
        <f>[18]생산!BA206</f>
        <v>0</v>
      </c>
      <c r="N209" s="10">
        <f>[18]생산!BB206</f>
        <v>0</v>
      </c>
      <c r="O209" s="10">
        <f>[18]생산!BC206</f>
        <v>0</v>
      </c>
      <c r="P209" s="10">
        <f>[18]생산!BD206</f>
        <v>0</v>
      </c>
      <c r="Q209" s="10">
        <f>[18]생산!BE206</f>
        <v>0</v>
      </c>
      <c r="R209" s="10">
        <f>[18]생산!BF206</f>
        <v>0</v>
      </c>
      <c r="S209" s="9">
        <f>[18]운전시간외!C206</f>
        <v>0</v>
      </c>
      <c r="T209" s="9">
        <f>[18]운전시간외!D206</f>
        <v>0</v>
      </c>
      <c r="U209" s="9">
        <f>[18]운전시간외!E206</f>
        <v>0</v>
      </c>
      <c r="V209" s="9">
        <f>[18]운전시간외!F206</f>
        <v>0</v>
      </c>
      <c r="W209" s="11">
        <f>[18]생산!F206</f>
        <v>0</v>
      </c>
      <c r="X209" s="11">
        <f>[18]생산!G206</f>
        <v>0</v>
      </c>
      <c r="Y209" s="11">
        <f>[18]생산!H206</f>
        <v>0</v>
      </c>
      <c r="Z209" s="11">
        <f>[18]생산!I206</f>
        <v>0</v>
      </c>
      <c r="AA209" s="11">
        <f>[18]생산!J206</f>
        <v>0</v>
      </c>
      <c r="AB209" s="11">
        <f>[18]생산!K206</f>
        <v>0</v>
      </c>
      <c r="AC209" s="11"/>
    </row>
    <row r="210" spans="1:29">
      <c r="A210" s="6">
        <v>46227</v>
      </c>
      <c r="B210" s="12">
        <f>'[18]key-in(LO)'!AA208</f>
        <v>0</v>
      </c>
      <c r="C210" s="12">
        <f>'[18]key-in(LO)'!AB208</f>
        <v>0</v>
      </c>
      <c r="D210" s="12">
        <f>'[18]key-in(LO)'!AC208</f>
        <v>0</v>
      </c>
      <c r="E210" s="12">
        <f>'[18]key-in(LO)'!AD208</f>
        <v>0</v>
      </c>
      <c r="F210" s="12">
        <f>'[18]key-in(LO)'!AE208</f>
        <v>0</v>
      </c>
      <c r="G210" s="115">
        <f>'[18]key-in(LO)'!AF208</f>
        <v>0</v>
      </c>
      <c r="H210" s="12">
        <f>'[18]key-in(LO)'!AG208</f>
        <v>0</v>
      </c>
      <c r="I210" s="12">
        <f>'[18]key-in(LO)'!AH208</f>
        <v>0</v>
      </c>
      <c r="J210" s="10">
        <f>'[18]key-in(ACO)'!$AR208</f>
        <v>0</v>
      </c>
      <c r="K210" s="10">
        <f>'[18]key-in(ACO)'!$AS208</f>
        <v>0</v>
      </c>
      <c r="L210" s="9">
        <f>'[18]key-in(ACO)'!$AV208</f>
        <v>0</v>
      </c>
      <c r="M210" s="10">
        <f>[18]생산!BA207</f>
        <v>0</v>
      </c>
      <c r="N210" s="10">
        <f>[18]생산!BB207</f>
        <v>0</v>
      </c>
      <c r="O210" s="10">
        <f>[18]생산!BC207</f>
        <v>0</v>
      </c>
      <c r="P210" s="10">
        <f>[18]생산!BD207</f>
        <v>0</v>
      </c>
      <c r="Q210" s="10">
        <f>[18]생산!BE207</f>
        <v>0</v>
      </c>
      <c r="R210" s="10">
        <f>[18]생산!BF207</f>
        <v>0</v>
      </c>
      <c r="S210" s="9">
        <f>[18]운전시간외!C207</f>
        <v>0</v>
      </c>
      <c r="T210" s="9">
        <f>[18]운전시간외!D207</f>
        <v>0</v>
      </c>
      <c r="U210" s="9">
        <f>[18]운전시간외!E207</f>
        <v>0</v>
      </c>
      <c r="V210" s="9">
        <f>[18]운전시간외!F207</f>
        <v>0</v>
      </c>
      <c r="W210" s="11">
        <f>[18]생산!F207</f>
        <v>0</v>
      </c>
      <c r="X210" s="11">
        <f>[18]생산!G207</f>
        <v>0</v>
      </c>
      <c r="Y210" s="11">
        <f>[18]생산!H207</f>
        <v>0</v>
      </c>
      <c r="Z210" s="11">
        <f>[18]생산!I207</f>
        <v>0</v>
      </c>
      <c r="AA210" s="11">
        <f>[18]생산!J207</f>
        <v>0</v>
      </c>
      <c r="AB210" s="11">
        <f>[18]생산!K207</f>
        <v>0</v>
      </c>
      <c r="AC210" s="11"/>
    </row>
    <row r="211" spans="1:29">
      <c r="A211" s="6">
        <v>46228</v>
      </c>
      <c r="B211" s="12">
        <f>'[18]key-in(LO)'!AA209</f>
        <v>0</v>
      </c>
      <c r="C211" s="12">
        <f>'[18]key-in(LO)'!AB209</f>
        <v>0</v>
      </c>
      <c r="D211" s="12">
        <f>'[18]key-in(LO)'!AC209</f>
        <v>0</v>
      </c>
      <c r="E211" s="12">
        <f>'[18]key-in(LO)'!AD209</f>
        <v>0</v>
      </c>
      <c r="F211" s="12">
        <f>'[18]key-in(LO)'!AE209</f>
        <v>0</v>
      </c>
      <c r="G211" s="115">
        <f>'[18]key-in(LO)'!AF209</f>
        <v>0</v>
      </c>
      <c r="H211" s="12">
        <f>'[18]key-in(LO)'!AG209</f>
        <v>0</v>
      </c>
      <c r="I211" s="12">
        <f>'[18]key-in(LO)'!AH209</f>
        <v>0</v>
      </c>
      <c r="J211" s="10">
        <f>'[18]key-in(ACO)'!$AR209</f>
        <v>0</v>
      </c>
      <c r="K211" s="10">
        <f>'[18]key-in(ACO)'!$AS209</f>
        <v>0</v>
      </c>
      <c r="L211" s="9">
        <f>'[18]key-in(ACO)'!$AV209</f>
        <v>0</v>
      </c>
      <c r="M211" s="10">
        <f>[18]생산!BA208</f>
        <v>0</v>
      </c>
      <c r="N211" s="10">
        <f>[18]생산!BB208</f>
        <v>0</v>
      </c>
      <c r="O211" s="10">
        <f>[18]생산!BC208</f>
        <v>0</v>
      </c>
      <c r="P211" s="10">
        <f>[18]생산!BD208</f>
        <v>0</v>
      </c>
      <c r="Q211" s="10">
        <f>[18]생산!BE208</f>
        <v>0</v>
      </c>
      <c r="R211" s="10">
        <f>[18]생산!BF208</f>
        <v>0</v>
      </c>
      <c r="S211" s="9">
        <f>[18]운전시간외!C208</f>
        <v>0</v>
      </c>
      <c r="T211" s="9">
        <f>[18]운전시간외!D208</f>
        <v>0</v>
      </c>
      <c r="U211" s="9">
        <f>[18]운전시간외!E208</f>
        <v>0</v>
      </c>
      <c r="V211" s="9">
        <f>[18]운전시간외!F208</f>
        <v>0</v>
      </c>
      <c r="W211" s="11">
        <f>[18]생산!F208</f>
        <v>0</v>
      </c>
      <c r="X211" s="11">
        <f>[18]생산!G208</f>
        <v>0</v>
      </c>
      <c r="Y211" s="11">
        <f>[18]생산!H208</f>
        <v>0</v>
      </c>
      <c r="Z211" s="11">
        <f>[18]생산!I208</f>
        <v>0</v>
      </c>
      <c r="AA211" s="11">
        <f>[18]생산!J208</f>
        <v>0</v>
      </c>
      <c r="AB211" s="11">
        <f>[18]생산!K208</f>
        <v>0</v>
      </c>
      <c r="AC211" s="11"/>
    </row>
    <row r="212" spans="1:29">
      <c r="A212" s="6">
        <v>46229</v>
      </c>
      <c r="B212" s="12">
        <f>'[18]key-in(LO)'!AA210</f>
        <v>0</v>
      </c>
      <c r="C212" s="12">
        <f>'[18]key-in(LO)'!AB210</f>
        <v>0</v>
      </c>
      <c r="D212" s="12">
        <f>'[18]key-in(LO)'!AC210</f>
        <v>0</v>
      </c>
      <c r="E212" s="12">
        <f>'[18]key-in(LO)'!AD210</f>
        <v>0</v>
      </c>
      <c r="F212" s="12">
        <f>'[18]key-in(LO)'!AE210</f>
        <v>0</v>
      </c>
      <c r="G212" s="115">
        <f>'[18]key-in(LO)'!AF210</f>
        <v>0</v>
      </c>
      <c r="H212" s="12">
        <f>'[18]key-in(LO)'!AG210</f>
        <v>0</v>
      </c>
      <c r="I212" s="12">
        <f>'[18]key-in(LO)'!AH210</f>
        <v>0</v>
      </c>
      <c r="J212" s="10">
        <f>'[18]key-in(ACO)'!$AR210</f>
        <v>0</v>
      </c>
      <c r="K212" s="10">
        <f>'[18]key-in(ACO)'!$AS210</f>
        <v>0</v>
      </c>
      <c r="L212" s="9">
        <f>'[18]key-in(ACO)'!$AV210</f>
        <v>0</v>
      </c>
      <c r="M212" s="10">
        <f>[18]생산!BA209</f>
        <v>0</v>
      </c>
      <c r="N212" s="10">
        <f>[18]생산!BB209</f>
        <v>0</v>
      </c>
      <c r="O212" s="10">
        <f>[18]생산!BC209</f>
        <v>0</v>
      </c>
      <c r="P212" s="10">
        <f>[18]생산!BD209</f>
        <v>0</v>
      </c>
      <c r="Q212" s="10">
        <f>[18]생산!BE209</f>
        <v>0</v>
      </c>
      <c r="R212" s="10">
        <f>[18]생산!BF209</f>
        <v>0</v>
      </c>
      <c r="S212" s="9">
        <f>[18]운전시간외!C209</f>
        <v>0</v>
      </c>
      <c r="T212" s="9">
        <f>[18]운전시간외!D209</f>
        <v>0</v>
      </c>
      <c r="U212" s="9">
        <f>[18]운전시간외!E209</f>
        <v>0</v>
      </c>
      <c r="V212" s="9">
        <f>[18]운전시간외!F209</f>
        <v>0</v>
      </c>
      <c r="W212" s="11">
        <f>[18]생산!F209</f>
        <v>0</v>
      </c>
      <c r="X212" s="11">
        <f>[18]생산!G209</f>
        <v>0</v>
      </c>
      <c r="Y212" s="11">
        <f>[18]생산!H209</f>
        <v>0</v>
      </c>
      <c r="Z212" s="11">
        <f>[18]생산!I209</f>
        <v>0</v>
      </c>
      <c r="AA212" s="11">
        <f>[18]생산!J209</f>
        <v>0</v>
      </c>
      <c r="AB212" s="11">
        <f>[18]생산!K209</f>
        <v>0</v>
      </c>
      <c r="AC212" s="11"/>
    </row>
    <row r="213" spans="1:29">
      <c r="A213" s="6">
        <v>46230</v>
      </c>
      <c r="B213" s="12">
        <f>'[18]key-in(LO)'!AA211</f>
        <v>0</v>
      </c>
      <c r="C213" s="12">
        <f>'[18]key-in(LO)'!AB211</f>
        <v>0</v>
      </c>
      <c r="D213" s="12">
        <f>'[18]key-in(LO)'!AC211</f>
        <v>0</v>
      </c>
      <c r="E213" s="12">
        <f>'[18]key-in(LO)'!AD211</f>
        <v>0</v>
      </c>
      <c r="F213" s="12">
        <f>'[18]key-in(LO)'!AE211</f>
        <v>0</v>
      </c>
      <c r="G213" s="115">
        <f>'[18]key-in(LO)'!AF211</f>
        <v>0</v>
      </c>
      <c r="H213" s="12">
        <f>'[18]key-in(LO)'!AG211</f>
        <v>0</v>
      </c>
      <c r="I213" s="12">
        <f>'[18]key-in(LO)'!AH211</f>
        <v>0</v>
      </c>
      <c r="J213" s="10">
        <f>'[18]key-in(ACO)'!$AR211</f>
        <v>0</v>
      </c>
      <c r="K213" s="10">
        <f>'[18]key-in(ACO)'!$AS211</f>
        <v>0</v>
      </c>
      <c r="L213" s="9">
        <f>'[18]key-in(ACO)'!$AV211</f>
        <v>0</v>
      </c>
      <c r="M213" s="10">
        <f>[18]생산!BA210</f>
        <v>0</v>
      </c>
      <c r="N213" s="10">
        <f>[18]생산!BB210</f>
        <v>0</v>
      </c>
      <c r="O213" s="10">
        <f>[18]생산!BC210</f>
        <v>0</v>
      </c>
      <c r="P213" s="10">
        <f>[18]생산!BD210</f>
        <v>0</v>
      </c>
      <c r="Q213" s="10">
        <f>[18]생산!BE210</f>
        <v>0</v>
      </c>
      <c r="R213" s="10">
        <f>[18]생산!BF210</f>
        <v>0</v>
      </c>
      <c r="S213" s="9">
        <f>[18]운전시간외!C210</f>
        <v>0</v>
      </c>
      <c r="T213" s="9">
        <f>[18]운전시간외!D210</f>
        <v>0</v>
      </c>
      <c r="U213" s="9">
        <f>[18]운전시간외!E210</f>
        <v>0</v>
      </c>
      <c r="V213" s="9">
        <f>[18]운전시간외!F210</f>
        <v>0</v>
      </c>
      <c r="W213" s="11">
        <f>[18]생산!F210</f>
        <v>0</v>
      </c>
      <c r="X213" s="11">
        <f>[18]생산!G210</f>
        <v>0</v>
      </c>
      <c r="Y213" s="11">
        <f>[18]생산!H210</f>
        <v>0</v>
      </c>
      <c r="Z213" s="11">
        <f>[18]생산!I210</f>
        <v>0</v>
      </c>
      <c r="AA213" s="11">
        <f>[18]생산!J210</f>
        <v>0</v>
      </c>
      <c r="AB213" s="11">
        <f>[18]생산!K210</f>
        <v>0</v>
      </c>
      <c r="AC213" s="11"/>
    </row>
    <row r="214" spans="1:29">
      <c r="A214" s="6">
        <v>46231</v>
      </c>
      <c r="B214" s="12">
        <f>'[18]key-in(LO)'!AA212</f>
        <v>0</v>
      </c>
      <c r="C214" s="12">
        <f>'[18]key-in(LO)'!AB212</f>
        <v>0</v>
      </c>
      <c r="D214" s="12">
        <f>'[18]key-in(LO)'!AC212</f>
        <v>0</v>
      </c>
      <c r="E214" s="12">
        <f>'[18]key-in(LO)'!AD212</f>
        <v>0</v>
      </c>
      <c r="F214" s="12">
        <f>'[18]key-in(LO)'!AE212</f>
        <v>0</v>
      </c>
      <c r="G214" s="115">
        <f>'[18]key-in(LO)'!AF212</f>
        <v>0</v>
      </c>
      <c r="H214" s="12">
        <f>'[18]key-in(LO)'!AG212</f>
        <v>0</v>
      </c>
      <c r="I214" s="12">
        <f>'[18]key-in(LO)'!AH212</f>
        <v>0</v>
      </c>
      <c r="J214" s="10">
        <f>'[18]key-in(ACO)'!$AR212</f>
        <v>0</v>
      </c>
      <c r="K214" s="10">
        <f>'[18]key-in(ACO)'!$AS212</f>
        <v>0</v>
      </c>
      <c r="L214" s="9">
        <f>'[18]key-in(ACO)'!$AV212</f>
        <v>0</v>
      </c>
      <c r="M214" s="10">
        <f>[18]생산!BA211</f>
        <v>0</v>
      </c>
      <c r="N214" s="10">
        <f>[18]생산!BB211</f>
        <v>0</v>
      </c>
      <c r="O214" s="10">
        <f>[18]생산!BC211</f>
        <v>0</v>
      </c>
      <c r="P214" s="10">
        <f>[18]생산!BD211</f>
        <v>0</v>
      </c>
      <c r="Q214" s="10">
        <f>[18]생산!BE211</f>
        <v>0</v>
      </c>
      <c r="R214" s="10">
        <f>[18]생산!BF211</f>
        <v>0</v>
      </c>
      <c r="S214" s="9">
        <f>[18]운전시간외!C211</f>
        <v>0</v>
      </c>
      <c r="T214" s="9">
        <f>[18]운전시간외!D211</f>
        <v>0</v>
      </c>
      <c r="U214" s="9">
        <f>[18]운전시간외!E211</f>
        <v>0</v>
      </c>
      <c r="V214" s="9">
        <f>[18]운전시간외!F211</f>
        <v>0</v>
      </c>
      <c r="W214" s="11">
        <f>[18]생산!F211</f>
        <v>0</v>
      </c>
      <c r="X214" s="11">
        <f>[18]생산!G211</f>
        <v>0</v>
      </c>
      <c r="Y214" s="11">
        <f>[18]생산!H211</f>
        <v>0</v>
      </c>
      <c r="Z214" s="11">
        <f>[18]생산!I211</f>
        <v>0</v>
      </c>
      <c r="AA214" s="11">
        <f>[18]생산!J211</f>
        <v>0</v>
      </c>
      <c r="AB214" s="11">
        <f>[18]생산!K211</f>
        <v>0</v>
      </c>
      <c r="AC214" s="11"/>
    </row>
    <row r="215" spans="1:29">
      <c r="A215" s="6">
        <v>46232</v>
      </c>
      <c r="B215" s="12">
        <f>'[18]key-in(LO)'!AA213</f>
        <v>0</v>
      </c>
      <c r="C215" s="12">
        <f>'[18]key-in(LO)'!AB213</f>
        <v>0</v>
      </c>
      <c r="D215" s="12">
        <f>'[18]key-in(LO)'!AC213</f>
        <v>0</v>
      </c>
      <c r="E215" s="12">
        <f>'[18]key-in(LO)'!AD213</f>
        <v>0</v>
      </c>
      <c r="F215" s="12">
        <f>'[18]key-in(LO)'!AE213</f>
        <v>0</v>
      </c>
      <c r="G215" s="115">
        <f>'[18]key-in(LO)'!AF213</f>
        <v>0</v>
      </c>
      <c r="H215" s="12">
        <f>'[18]key-in(LO)'!AG213</f>
        <v>0</v>
      </c>
      <c r="I215" s="12">
        <f>'[18]key-in(LO)'!AH213</f>
        <v>0</v>
      </c>
      <c r="J215" s="10">
        <f>'[18]key-in(ACO)'!$AR213</f>
        <v>0</v>
      </c>
      <c r="K215" s="10">
        <f>'[18]key-in(ACO)'!$AS213</f>
        <v>0</v>
      </c>
      <c r="L215" s="9">
        <f>'[18]key-in(ACO)'!$AV213</f>
        <v>0</v>
      </c>
      <c r="M215" s="10">
        <f>[18]생산!BA212</f>
        <v>0</v>
      </c>
      <c r="N215" s="10">
        <f>[18]생산!BB212</f>
        <v>0</v>
      </c>
      <c r="O215" s="10">
        <f>[18]생산!BC212</f>
        <v>0</v>
      </c>
      <c r="P215" s="10">
        <f>[18]생산!BD212</f>
        <v>0</v>
      </c>
      <c r="Q215" s="10">
        <f>[18]생산!BE212</f>
        <v>0</v>
      </c>
      <c r="R215" s="10">
        <f>[18]생산!BF212</f>
        <v>0</v>
      </c>
      <c r="S215" s="9">
        <f>[18]운전시간외!C212</f>
        <v>0</v>
      </c>
      <c r="T215" s="9">
        <f>[18]운전시간외!D212</f>
        <v>0</v>
      </c>
      <c r="U215" s="9">
        <f>[18]운전시간외!E212</f>
        <v>0</v>
      </c>
      <c r="V215" s="9">
        <f>[18]운전시간외!F212</f>
        <v>0</v>
      </c>
      <c r="W215" s="11">
        <f>[18]생산!F212</f>
        <v>0</v>
      </c>
      <c r="X215" s="11">
        <f>[18]생산!G212</f>
        <v>0</v>
      </c>
      <c r="Y215" s="11">
        <f>[18]생산!H212</f>
        <v>0</v>
      </c>
      <c r="Z215" s="11">
        <f>[18]생산!I212</f>
        <v>0</v>
      </c>
      <c r="AA215" s="11">
        <f>[18]생산!J212</f>
        <v>0</v>
      </c>
      <c r="AB215" s="11">
        <f>[18]생산!K212</f>
        <v>0</v>
      </c>
      <c r="AC215" s="11"/>
    </row>
    <row r="216" spans="1:29">
      <c r="A216" s="6">
        <v>46233</v>
      </c>
      <c r="B216" s="12">
        <f>'[18]key-in(LO)'!AA214</f>
        <v>0</v>
      </c>
      <c r="C216" s="12">
        <f>'[18]key-in(LO)'!AB214</f>
        <v>0</v>
      </c>
      <c r="D216" s="12">
        <f>'[18]key-in(LO)'!AC214</f>
        <v>0</v>
      </c>
      <c r="E216" s="12">
        <f>'[18]key-in(LO)'!AD214</f>
        <v>0</v>
      </c>
      <c r="F216" s="12">
        <f>'[18]key-in(LO)'!AE214</f>
        <v>0</v>
      </c>
      <c r="G216" s="115">
        <f>'[18]key-in(LO)'!AF214</f>
        <v>0</v>
      </c>
      <c r="H216" s="12">
        <f>'[18]key-in(LO)'!AG214</f>
        <v>0</v>
      </c>
      <c r="I216" s="12">
        <f>'[18]key-in(LO)'!AH214</f>
        <v>0</v>
      </c>
      <c r="J216" s="10">
        <f>'[18]key-in(ACO)'!$AR214</f>
        <v>0</v>
      </c>
      <c r="K216" s="10">
        <f>'[18]key-in(ACO)'!$AS214</f>
        <v>0</v>
      </c>
      <c r="L216" s="9">
        <f>'[18]key-in(ACO)'!$AV214</f>
        <v>0</v>
      </c>
      <c r="M216" s="10">
        <f>[18]생산!BA213</f>
        <v>0</v>
      </c>
      <c r="N216" s="10">
        <f>[18]생산!BB213</f>
        <v>0</v>
      </c>
      <c r="O216" s="10">
        <f>[18]생산!BC213</f>
        <v>0</v>
      </c>
      <c r="P216" s="10">
        <f>[18]생산!BD213</f>
        <v>0</v>
      </c>
      <c r="Q216" s="10">
        <f>[18]생산!BE213</f>
        <v>0</v>
      </c>
      <c r="R216" s="10">
        <f>[18]생산!BF213</f>
        <v>0</v>
      </c>
      <c r="S216" s="9">
        <f>[18]운전시간외!C213</f>
        <v>0</v>
      </c>
      <c r="T216" s="9">
        <f>[18]운전시간외!D213</f>
        <v>0</v>
      </c>
      <c r="U216" s="9">
        <f>[18]운전시간외!E213</f>
        <v>0</v>
      </c>
      <c r="V216" s="9">
        <f>[18]운전시간외!F213</f>
        <v>0</v>
      </c>
      <c r="W216" s="11">
        <f>[18]생산!F213</f>
        <v>0</v>
      </c>
      <c r="X216" s="11">
        <f>[18]생산!G213</f>
        <v>0</v>
      </c>
      <c r="Y216" s="11">
        <f>[18]생산!H213</f>
        <v>0</v>
      </c>
      <c r="Z216" s="11">
        <f>[18]생산!I213</f>
        <v>0</v>
      </c>
      <c r="AA216" s="11">
        <f>[18]생산!J213</f>
        <v>0</v>
      </c>
      <c r="AB216" s="11">
        <f>[18]생산!K213</f>
        <v>0</v>
      </c>
      <c r="AC216" s="11"/>
    </row>
    <row r="217" spans="1:29">
      <c r="A217" s="6">
        <v>46234</v>
      </c>
      <c r="B217" s="12">
        <f>'[18]key-in(LO)'!AA215</f>
        <v>0</v>
      </c>
      <c r="C217" s="12">
        <f>'[18]key-in(LO)'!AB215</f>
        <v>0</v>
      </c>
      <c r="D217" s="12">
        <f>'[18]key-in(LO)'!AC215</f>
        <v>0</v>
      </c>
      <c r="E217" s="12">
        <f>'[18]key-in(LO)'!AD215</f>
        <v>0</v>
      </c>
      <c r="F217" s="12">
        <f>'[18]key-in(LO)'!AE215</f>
        <v>0</v>
      </c>
      <c r="G217" s="115">
        <f>'[18]key-in(LO)'!AF215</f>
        <v>0</v>
      </c>
      <c r="H217" s="12">
        <f>'[18]key-in(LO)'!AG215</f>
        <v>0</v>
      </c>
      <c r="I217" s="12">
        <f>'[18]key-in(LO)'!AH215</f>
        <v>0</v>
      </c>
      <c r="J217" s="10">
        <f>'[18]key-in(ACO)'!$AR215</f>
        <v>0</v>
      </c>
      <c r="K217" s="10">
        <f>'[18]key-in(ACO)'!$AS215</f>
        <v>0</v>
      </c>
      <c r="L217" s="9">
        <f>'[18]key-in(ACO)'!$AV215</f>
        <v>0</v>
      </c>
      <c r="M217" s="10">
        <f>[18]생산!BA214</f>
        <v>0</v>
      </c>
      <c r="N217" s="10">
        <f>[18]생산!BB214</f>
        <v>0</v>
      </c>
      <c r="O217" s="10">
        <f>[18]생산!BC214</f>
        <v>0</v>
      </c>
      <c r="P217" s="10">
        <f>[18]생산!BD214</f>
        <v>0</v>
      </c>
      <c r="Q217" s="10">
        <f>[18]생산!BE214</f>
        <v>0</v>
      </c>
      <c r="R217" s="10">
        <f>[18]생산!BF214</f>
        <v>0</v>
      </c>
      <c r="S217" s="9">
        <f>[18]운전시간외!C214</f>
        <v>0</v>
      </c>
      <c r="T217" s="9">
        <f>[18]운전시간외!D214</f>
        <v>0</v>
      </c>
      <c r="U217" s="9">
        <f>[18]운전시간외!E214</f>
        <v>0</v>
      </c>
      <c r="V217" s="9">
        <f>[18]운전시간외!F214</f>
        <v>0</v>
      </c>
      <c r="W217" s="11">
        <f>[18]생산!F214</f>
        <v>0</v>
      </c>
      <c r="X217" s="11">
        <f>[18]생산!G214</f>
        <v>0</v>
      </c>
      <c r="Y217" s="11">
        <f>[18]생산!H214</f>
        <v>0</v>
      </c>
      <c r="Z217" s="11">
        <f>[18]생산!I214</f>
        <v>0</v>
      </c>
      <c r="AA217" s="11">
        <f>[18]생산!J214</f>
        <v>0</v>
      </c>
      <c r="AB217" s="11">
        <f>[18]생산!K214</f>
        <v>0</v>
      </c>
      <c r="AC217" s="11"/>
    </row>
    <row r="218" spans="1:29">
      <c r="A218" s="6">
        <v>46235</v>
      </c>
      <c r="B218" s="12">
        <f>'[18]key-in(LO)'!AA216</f>
        <v>0</v>
      </c>
      <c r="C218" s="12">
        <f>'[18]key-in(LO)'!AB216</f>
        <v>0</v>
      </c>
      <c r="D218" s="12">
        <f>'[18]key-in(LO)'!AC216</f>
        <v>0</v>
      </c>
      <c r="E218" s="12">
        <f>'[18]key-in(LO)'!AD216</f>
        <v>0</v>
      </c>
      <c r="F218" s="12">
        <f>'[18]key-in(LO)'!AE216</f>
        <v>0</v>
      </c>
      <c r="G218" s="115">
        <f>'[18]key-in(LO)'!AF216</f>
        <v>0</v>
      </c>
      <c r="H218" s="12">
        <f>'[18]key-in(LO)'!AG216</f>
        <v>0</v>
      </c>
      <c r="I218" s="12">
        <f>'[18]key-in(LO)'!AH216</f>
        <v>0</v>
      </c>
      <c r="J218" s="10">
        <f>'[18]key-in(ACO)'!$AR216</f>
        <v>0</v>
      </c>
      <c r="K218" s="10">
        <f>'[18]key-in(ACO)'!$AS216</f>
        <v>0</v>
      </c>
      <c r="L218" s="9">
        <f>'[18]key-in(ACO)'!$AV216</f>
        <v>0</v>
      </c>
      <c r="M218" s="10">
        <f>[18]생산!BA215</f>
        <v>0</v>
      </c>
      <c r="N218" s="10">
        <f>[18]생산!BB215</f>
        <v>0</v>
      </c>
      <c r="O218" s="10">
        <f>[18]생산!BC215</f>
        <v>0</v>
      </c>
      <c r="P218" s="10">
        <f>[18]생산!BD215</f>
        <v>0</v>
      </c>
      <c r="Q218" s="10">
        <f>[18]생산!BE215</f>
        <v>0</v>
      </c>
      <c r="R218" s="10">
        <f>[18]생산!BF215</f>
        <v>0</v>
      </c>
      <c r="S218" s="9">
        <f>[18]운전시간외!C215</f>
        <v>0</v>
      </c>
      <c r="T218" s="9">
        <f>[18]운전시간외!D215</f>
        <v>0</v>
      </c>
      <c r="U218" s="9">
        <f>[18]운전시간외!E215</f>
        <v>0</v>
      </c>
      <c r="V218" s="9">
        <f>[18]운전시간외!F215</f>
        <v>0</v>
      </c>
      <c r="W218" s="11">
        <f>[18]생산!F215</f>
        <v>0</v>
      </c>
      <c r="X218" s="11">
        <f>[18]생산!G215</f>
        <v>0</v>
      </c>
      <c r="Y218" s="11">
        <f>[18]생산!H215</f>
        <v>0</v>
      </c>
      <c r="Z218" s="11">
        <f>[18]생산!I215</f>
        <v>0</v>
      </c>
      <c r="AA218" s="11">
        <f>[18]생산!J215</f>
        <v>0</v>
      </c>
      <c r="AB218" s="11">
        <f>[18]생산!K215</f>
        <v>0</v>
      </c>
      <c r="AC218" s="11"/>
    </row>
    <row r="219" spans="1:29">
      <c r="A219" s="6">
        <v>46236</v>
      </c>
      <c r="B219" s="12">
        <f>'[18]key-in(LO)'!AA217</f>
        <v>0</v>
      </c>
      <c r="C219" s="12">
        <f>'[18]key-in(LO)'!AB217</f>
        <v>0</v>
      </c>
      <c r="D219" s="12">
        <f>'[18]key-in(LO)'!AC217</f>
        <v>0</v>
      </c>
      <c r="E219" s="12">
        <f>'[18]key-in(LO)'!AD217</f>
        <v>0</v>
      </c>
      <c r="F219" s="12">
        <f>'[18]key-in(LO)'!AE217</f>
        <v>0</v>
      </c>
      <c r="G219" s="115">
        <f>'[18]key-in(LO)'!AF217</f>
        <v>0</v>
      </c>
      <c r="H219" s="12">
        <f>'[18]key-in(LO)'!AG217</f>
        <v>0</v>
      </c>
      <c r="I219" s="12">
        <f>'[18]key-in(LO)'!AH217</f>
        <v>0</v>
      </c>
      <c r="J219" s="10">
        <f>'[18]key-in(ACO)'!$AR217</f>
        <v>0</v>
      </c>
      <c r="K219" s="10">
        <f>'[18]key-in(ACO)'!$AS217</f>
        <v>0</v>
      </c>
      <c r="L219" s="9">
        <f>'[18]key-in(ACO)'!$AV217</f>
        <v>0</v>
      </c>
      <c r="M219" s="10">
        <f>[18]생산!BA216</f>
        <v>0</v>
      </c>
      <c r="N219" s="10">
        <f>[18]생산!BB216</f>
        <v>0</v>
      </c>
      <c r="O219" s="10">
        <f>[18]생산!BC216</f>
        <v>0</v>
      </c>
      <c r="P219" s="10">
        <f>[18]생산!BD216</f>
        <v>0</v>
      </c>
      <c r="Q219" s="10">
        <f>[18]생산!BE216</f>
        <v>0</v>
      </c>
      <c r="R219" s="10">
        <f>[18]생산!BF216</f>
        <v>0</v>
      </c>
      <c r="S219" s="9">
        <f>[18]운전시간외!C216</f>
        <v>0</v>
      </c>
      <c r="T219" s="9">
        <f>[18]운전시간외!D216</f>
        <v>0</v>
      </c>
      <c r="U219" s="9">
        <f>[18]운전시간외!E216</f>
        <v>0</v>
      </c>
      <c r="V219" s="9">
        <f>[18]운전시간외!F216</f>
        <v>0</v>
      </c>
      <c r="W219" s="11">
        <f>[18]생산!F216</f>
        <v>0</v>
      </c>
      <c r="X219" s="11">
        <f>[18]생산!G216</f>
        <v>0</v>
      </c>
      <c r="Y219" s="11">
        <f>[18]생산!H216</f>
        <v>0</v>
      </c>
      <c r="Z219" s="11">
        <f>[18]생산!I216</f>
        <v>0</v>
      </c>
      <c r="AA219" s="11">
        <f>[18]생산!J216</f>
        <v>0</v>
      </c>
      <c r="AB219" s="11">
        <f>[18]생산!K216</f>
        <v>0</v>
      </c>
      <c r="AC219" s="11"/>
    </row>
    <row r="220" spans="1:29">
      <c r="A220" s="6">
        <v>46237</v>
      </c>
      <c r="B220" s="12">
        <f>'[18]key-in(LO)'!AA218</f>
        <v>0</v>
      </c>
      <c r="C220" s="12">
        <f>'[18]key-in(LO)'!AB218</f>
        <v>0</v>
      </c>
      <c r="D220" s="12">
        <f>'[18]key-in(LO)'!AC218</f>
        <v>0</v>
      </c>
      <c r="E220" s="12">
        <f>'[18]key-in(LO)'!AD218</f>
        <v>0</v>
      </c>
      <c r="F220" s="12">
        <f>'[18]key-in(LO)'!AE218</f>
        <v>0</v>
      </c>
      <c r="G220" s="115">
        <f>'[18]key-in(LO)'!AF218</f>
        <v>0</v>
      </c>
      <c r="H220" s="12">
        <f>'[18]key-in(LO)'!AG218</f>
        <v>0</v>
      </c>
      <c r="I220" s="12">
        <f>'[18]key-in(LO)'!AH218</f>
        <v>0</v>
      </c>
      <c r="J220" s="10">
        <f>'[18]key-in(ACO)'!$AR218</f>
        <v>0</v>
      </c>
      <c r="K220" s="10">
        <f>'[18]key-in(ACO)'!$AS218</f>
        <v>0</v>
      </c>
      <c r="L220" s="9">
        <f>'[18]key-in(ACO)'!$AV218</f>
        <v>0</v>
      </c>
      <c r="M220" s="10">
        <f>[18]생산!BA217</f>
        <v>0</v>
      </c>
      <c r="N220" s="10">
        <f>[18]생산!BB217</f>
        <v>0</v>
      </c>
      <c r="O220" s="10">
        <f>[18]생산!BC217</f>
        <v>0</v>
      </c>
      <c r="P220" s="10">
        <f>[18]생산!BD217</f>
        <v>0</v>
      </c>
      <c r="Q220" s="10">
        <f>[18]생산!BE217</f>
        <v>0</v>
      </c>
      <c r="R220" s="10">
        <f>[18]생산!BF217</f>
        <v>0</v>
      </c>
      <c r="S220" s="9">
        <f>[18]운전시간외!C217</f>
        <v>0</v>
      </c>
      <c r="T220" s="9">
        <f>[18]운전시간외!D217</f>
        <v>0</v>
      </c>
      <c r="U220" s="9">
        <f>[18]운전시간외!E217</f>
        <v>0</v>
      </c>
      <c r="V220" s="9">
        <f>[18]운전시간외!F217</f>
        <v>0</v>
      </c>
      <c r="W220" s="11">
        <f>[18]생산!F217</f>
        <v>0</v>
      </c>
      <c r="X220" s="11">
        <f>[18]생산!G217</f>
        <v>0</v>
      </c>
      <c r="Y220" s="11">
        <f>[18]생산!H217</f>
        <v>0</v>
      </c>
      <c r="Z220" s="11">
        <f>[18]생산!I217</f>
        <v>0</v>
      </c>
      <c r="AA220" s="11">
        <f>[18]생산!J217</f>
        <v>0</v>
      </c>
      <c r="AB220" s="11">
        <f>[18]생산!K217</f>
        <v>0</v>
      </c>
      <c r="AC220" s="11"/>
    </row>
    <row r="221" spans="1:29">
      <c r="A221" s="6">
        <v>46238</v>
      </c>
      <c r="B221" s="12">
        <f>'[18]key-in(LO)'!AA219</f>
        <v>0</v>
      </c>
      <c r="C221" s="12">
        <f>'[18]key-in(LO)'!AB219</f>
        <v>0</v>
      </c>
      <c r="D221" s="12">
        <f>'[18]key-in(LO)'!AC219</f>
        <v>0</v>
      </c>
      <c r="E221" s="12">
        <f>'[18]key-in(LO)'!AD219</f>
        <v>0</v>
      </c>
      <c r="F221" s="12">
        <f>'[18]key-in(LO)'!AE219</f>
        <v>0</v>
      </c>
      <c r="G221" s="115">
        <f>'[18]key-in(LO)'!AF219</f>
        <v>0</v>
      </c>
      <c r="H221" s="12">
        <f>'[18]key-in(LO)'!AG219</f>
        <v>0</v>
      </c>
      <c r="I221" s="12">
        <f>'[18]key-in(LO)'!AH219</f>
        <v>0</v>
      </c>
      <c r="J221" s="10">
        <f>'[18]key-in(ACO)'!$AR219</f>
        <v>0</v>
      </c>
      <c r="K221" s="10">
        <f>'[18]key-in(ACO)'!$AS219</f>
        <v>0</v>
      </c>
      <c r="L221" s="9">
        <f>'[18]key-in(ACO)'!$AV219</f>
        <v>0</v>
      </c>
      <c r="M221" s="10">
        <f>[18]생산!BA218</f>
        <v>0</v>
      </c>
      <c r="N221" s="10">
        <f>[18]생산!BB218</f>
        <v>0</v>
      </c>
      <c r="O221" s="10">
        <f>[18]생산!BC218</f>
        <v>0</v>
      </c>
      <c r="P221" s="10">
        <f>[18]생산!BD218</f>
        <v>0</v>
      </c>
      <c r="Q221" s="10">
        <f>[18]생산!BE218</f>
        <v>0</v>
      </c>
      <c r="R221" s="10">
        <f>[18]생산!BF218</f>
        <v>0</v>
      </c>
      <c r="S221" s="9">
        <f>[18]운전시간외!C218</f>
        <v>0</v>
      </c>
      <c r="T221" s="9">
        <f>[18]운전시간외!D218</f>
        <v>0</v>
      </c>
      <c r="U221" s="9">
        <f>[18]운전시간외!E218</f>
        <v>0</v>
      </c>
      <c r="V221" s="9">
        <f>[18]운전시간외!F218</f>
        <v>0</v>
      </c>
      <c r="W221" s="11">
        <f>[18]생산!F218</f>
        <v>0</v>
      </c>
      <c r="X221" s="11">
        <f>[18]생산!G218</f>
        <v>0</v>
      </c>
      <c r="Y221" s="11">
        <f>[18]생산!H218</f>
        <v>0</v>
      </c>
      <c r="Z221" s="11">
        <f>[18]생산!I218</f>
        <v>0</v>
      </c>
      <c r="AA221" s="11">
        <f>[18]생산!J218</f>
        <v>0</v>
      </c>
      <c r="AB221" s="11">
        <f>[18]생산!K218</f>
        <v>0</v>
      </c>
      <c r="AC221" s="11"/>
    </row>
    <row r="222" spans="1:29">
      <c r="A222" s="6">
        <v>46239</v>
      </c>
      <c r="B222" s="12">
        <f>'[18]key-in(LO)'!AA220</f>
        <v>0</v>
      </c>
      <c r="C222" s="12">
        <f>'[18]key-in(LO)'!AB220</f>
        <v>0</v>
      </c>
      <c r="D222" s="12">
        <f>'[18]key-in(LO)'!AC220</f>
        <v>0</v>
      </c>
      <c r="E222" s="12">
        <f>'[18]key-in(LO)'!AD220</f>
        <v>0</v>
      </c>
      <c r="F222" s="12">
        <f>'[18]key-in(LO)'!AE220</f>
        <v>0</v>
      </c>
      <c r="G222" s="115">
        <f>'[18]key-in(LO)'!AF220</f>
        <v>0</v>
      </c>
      <c r="H222" s="12">
        <f>'[18]key-in(LO)'!AG220</f>
        <v>0</v>
      </c>
      <c r="I222" s="12">
        <f>'[18]key-in(LO)'!AH220</f>
        <v>0</v>
      </c>
      <c r="J222" s="10">
        <f>'[18]key-in(ACO)'!$AR220</f>
        <v>0</v>
      </c>
      <c r="K222" s="10">
        <f>'[18]key-in(ACO)'!$AS220</f>
        <v>0</v>
      </c>
      <c r="L222" s="9">
        <f>'[18]key-in(ACO)'!$AV220</f>
        <v>0</v>
      </c>
      <c r="M222" s="10">
        <f>[18]생산!BA219</f>
        <v>0</v>
      </c>
      <c r="N222" s="10">
        <f>[18]생산!BB219</f>
        <v>0</v>
      </c>
      <c r="O222" s="10">
        <f>[18]생산!BC219</f>
        <v>0</v>
      </c>
      <c r="P222" s="10">
        <f>[18]생산!BD219</f>
        <v>0</v>
      </c>
      <c r="Q222" s="10">
        <f>[18]생산!BE219</f>
        <v>0</v>
      </c>
      <c r="R222" s="10">
        <f>[18]생산!BF219</f>
        <v>0</v>
      </c>
      <c r="S222" s="9">
        <f>[18]운전시간외!C219</f>
        <v>0</v>
      </c>
      <c r="T222" s="9">
        <f>[18]운전시간외!D219</f>
        <v>0</v>
      </c>
      <c r="U222" s="9">
        <f>[18]운전시간외!E219</f>
        <v>0</v>
      </c>
      <c r="V222" s="9">
        <f>[18]운전시간외!F219</f>
        <v>0</v>
      </c>
      <c r="W222" s="11">
        <f>[18]생산!F219</f>
        <v>0</v>
      </c>
      <c r="X222" s="11">
        <f>[18]생산!G219</f>
        <v>0</v>
      </c>
      <c r="Y222" s="11">
        <f>[18]생산!H219</f>
        <v>0</v>
      </c>
      <c r="Z222" s="11">
        <f>[18]생산!I219</f>
        <v>0</v>
      </c>
      <c r="AA222" s="11">
        <f>[18]생산!J219</f>
        <v>0</v>
      </c>
      <c r="AB222" s="11">
        <f>[18]생산!K219</f>
        <v>0</v>
      </c>
      <c r="AC222" s="11"/>
    </row>
    <row r="223" spans="1:29">
      <c r="A223" s="6">
        <v>46240</v>
      </c>
      <c r="B223" s="12">
        <f>'[18]key-in(LO)'!AA221</f>
        <v>0</v>
      </c>
      <c r="C223" s="12">
        <f>'[18]key-in(LO)'!AB221</f>
        <v>0</v>
      </c>
      <c r="D223" s="12">
        <f>'[18]key-in(LO)'!AC221</f>
        <v>0</v>
      </c>
      <c r="E223" s="12">
        <f>'[18]key-in(LO)'!AD221</f>
        <v>0</v>
      </c>
      <c r="F223" s="12">
        <f>'[18]key-in(LO)'!AE221</f>
        <v>0</v>
      </c>
      <c r="G223" s="115">
        <f>'[18]key-in(LO)'!AF221</f>
        <v>0</v>
      </c>
      <c r="H223" s="12">
        <f>'[18]key-in(LO)'!AG221</f>
        <v>0</v>
      </c>
      <c r="I223" s="12">
        <f>'[18]key-in(LO)'!AH221</f>
        <v>0</v>
      </c>
      <c r="J223" s="10">
        <f>'[18]key-in(ACO)'!$AR221</f>
        <v>0</v>
      </c>
      <c r="K223" s="10">
        <f>'[18]key-in(ACO)'!$AS221</f>
        <v>0</v>
      </c>
      <c r="L223" s="9">
        <f>'[18]key-in(ACO)'!$AV221</f>
        <v>0</v>
      </c>
      <c r="M223" s="10">
        <f>[18]생산!BA220</f>
        <v>0</v>
      </c>
      <c r="N223" s="10">
        <f>[18]생산!BB220</f>
        <v>0</v>
      </c>
      <c r="O223" s="10">
        <f>[18]생산!BC220</f>
        <v>0</v>
      </c>
      <c r="P223" s="10">
        <f>[18]생산!BD220</f>
        <v>0</v>
      </c>
      <c r="Q223" s="10">
        <f>[18]생산!BE220</f>
        <v>0</v>
      </c>
      <c r="R223" s="10">
        <f>[18]생산!BF220</f>
        <v>0</v>
      </c>
      <c r="S223" s="9">
        <f>[18]운전시간외!C220</f>
        <v>0</v>
      </c>
      <c r="T223" s="9">
        <f>[18]운전시간외!D220</f>
        <v>0</v>
      </c>
      <c r="U223" s="9">
        <f>[18]운전시간외!E220</f>
        <v>0</v>
      </c>
      <c r="V223" s="9">
        <f>[18]운전시간외!F220</f>
        <v>0</v>
      </c>
      <c r="W223" s="11">
        <f>[18]생산!F220</f>
        <v>0</v>
      </c>
      <c r="X223" s="11">
        <f>[18]생산!G220</f>
        <v>0</v>
      </c>
      <c r="Y223" s="11">
        <f>[18]생산!H220</f>
        <v>0</v>
      </c>
      <c r="Z223" s="11">
        <f>[18]생산!I220</f>
        <v>0</v>
      </c>
      <c r="AA223" s="11">
        <f>[18]생산!J220</f>
        <v>0</v>
      </c>
      <c r="AB223" s="11">
        <f>[18]생산!K220</f>
        <v>0</v>
      </c>
      <c r="AC223" s="11"/>
    </row>
    <row r="224" spans="1:29">
      <c r="A224" s="6">
        <v>46241</v>
      </c>
      <c r="B224" s="12">
        <f>'[18]key-in(LO)'!AA222</f>
        <v>0</v>
      </c>
      <c r="C224" s="12">
        <f>'[18]key-in(LO)'!AB222</f>
        <v>0</v>
      </c>
      <c r="D224" s="12">
        <f>'[18]key-in(LO)'!AC222</f>
        <v>0</v>
      </c>
      <c r="E224" s="12">
        <f>'[18]key-in(LO)'!AD222</f>
        <v>0</v>
      </c>
      <c r="F224" s="12">
        <f>'[18]key-in(LO)'!AE222</f>
        <v>0</v>
      </c>
      <c r="G224" s="115">
        <f>'[18]key-in(LO)'!AF222</f>
        <v>0</v>
      </c>
      <c r="H224" s="12">
        <f>'[18]key-in(LO)'!AG222</f>
        <v>0</v>
      </c>
      <c r="I224" s="12">
        <f>'[18]key-in(LO)'!AH222</f>
        <v>0</v>
      </c>
      <c r="J224" s="10">
        <f>'[18]key-in(ACO)'!$AR222</f>
        <v>0</v>
      </c>
      <c r="K224" s="10">
        <f>'[18]key-in(ACO)'!$AS222</f>
        <v>0</v>
      </c>
      <c r="L224" s="9">
        <f>'[18]key-in(ACO)'!$AV222</f>
        <v>0</v>
      </c>
      <c r="M224" s="10">
        <f>[18]생산!BA221</f>
        <v>0</v>
      </c>
      <c r="N224" s="10">
        <f>[18]생산!BB221</f>
        <v>0</v>
      </c>
      <c r="O224" s="10">
        <f>[18]생산!BC221</f>
        <v>0</v>
      </c>
      <c r="P224" s="10">
        <f>[18]생산!BD221</f>
        <v>0</v>
      </c>
      <c r="Q224" s="10">
        <f>[18]생산!BE221</f>
        <v>0</v>
      </c>
      <c r="R224" s="10">
        <f>[18]생산!BF221</f>
        <v>0</v>
      </c>
      <c r="S224" s="9">
        <f>[18]운전시간외!C221</f>
        <v>0</v>
      </c>
      <c r="T224" s="9">
        <f>[18]운전시간외!D221</f>
        <v>0</v>
      </c>
      <c r="U224" s="9">
        <f>[18]운전시간외!E221</f>
        <v>0</v>
      </c>
      <c r="V224" s="9">
        <f>[18]운전시간외!F221</f>
        <v>0</v>
      </c>
      <c r="W224" s="11">
        <f>[18]생산!F221</f>
        <v>0</v>
      </c>
      <c r="X224" s="11">
        <f>[18]생산!G221</f>
        <v>0</v>
      </c>
      <c r="Y224" s="11">
        <f>[18]생산!H221</f>
        <v>0</v>
      </c>
      <c r="Z224" s="11">
        <f>[18]생산!I221</f>
        <v>0</v>
      </c>
      <c r="AA224" s="11">
        <f>[18]생산!J221</f>
        <v>0</v>
      </c>
      <c r="AB224" s="11">
        <f>[18]생산!K221</f>
        <v>0</v>
      </c>
      <c r="AC224" s="11"/>
    </row>
    <row r="225" spans="1:29">
      <c r="A225" s="6">
        <v>46242</v>
      </c>
      <c r="B225" s="12">
        <f>'[18]key-in(LO)'!AA223</f>
        <v>0</v>
      </c>
      <c r="C225" s="12">
        <f>'[18]key-in(LO)'!AB223</f>
        <v>0</v>
      </c>
      <c r="D225" s="12">
        <f>'[18]key-in(LO)'!AC223</f>
        <v>0</v>
      </c>
      <c r="E225" s="12">
        <f>'[18]key-in(LO)'!AD223</f>
        <v>0</v>
      </c>
      <c r="F225" s="12">
        <f>'[18]key-in(LO)'!AE223</f>
        <v>0</v>
      </c>
      <c r="G225" s="115">
        <f>'[18]key-in(LO)'!AF223</f>
        <v>0</v>
      </c>
      <c r="H225" s="12">
        <f>'[18]key-in(LO)'!AG223</f>
        <v>0</v>
      </c>
      <c r="I225" s="12">
        <f>'[18]key-in(LO)'!AH223</f>
        <v>0</v>
      </c>
      <c r="J225" s="10">
        <f>'[18]key-in(ACO)'!$AR223</f>
        <v>0</v>
      </c>
      <c r="K225" s="10">
        <f>'[18]key-in(ACO)'!$AS223</f>
        <v>0</v>
      </c>
      <c r="L225" s="9">
        <f>'[18]key-in(ACO)'!$AV223</f>
        <v>0</v>
      </c>
      <c r="M225" s="10">
        <f>[18]생산!BA222</f>
        <v>0</v>
      </c>
      <c r="N225" s="10">
        <f>[18]생산!BB222</f>
        <v>0</v>
      </c>
      <c r="O225" s="10">
        <f>[18]생산!BC222</f>
        <v>0</v>
      </c>
      <c r="P225" s="10">
        <f>[18]생산!BD222</f>
        <v>0</v>
      </c>
      <c r="Q225" s="10">
        <f>[18]생산!BE222</f>
        <v>0</v>
      </c>
      <c r="R225" s="10">
        <f>[18]생산!BF222</f>
        <v>0</v>
      </c>
      <c r="S225" s="9">
        <f>[18]운전시간외!C222</f>
        <v>0</v>
      </c>
      <c r="T225" s="9">
        <f>[18]운전시간외!D222</f>
        <v>0</v>
      </c>
      <c r="U225" s="9">
        <f>[18]운전시간외!E222</f>
        <v>0</v>
      </c>
      <c r="V225" s="9">
        <f>[18]운전시간외!F222</f>
        <v>0</v>
      </c>
      <c r="W225" s="11">
        <f>[18]생산!F222</f>
        <v>0</v>
      </c>
      <c r="X225" s="11">
        <f>[18]생산!G222</f>
        <v>0</v>
      </c>
      <c r="Y225" s="11">
        <f>[18]생산!H222</f>
        <v>0</v>
      </c>
      <c r="Z225" s="11">
        <f>[18]생산!I222</f>
        <v>0</v>
      </c>
      <c r="AA225" s="11">
        <f>[18]생산!J222</f>
        <v>0</v>
      </c>
      <c r="AB225" s="11">
        <f>[18]생산!K222</f>
        <v>0</v>
      </c>
      <c r="AC225" s="11"/>
    </row>
    <row r="226" spans="1:29">
      <c r="A226" s="6">
        <v>46243</v>
      </c>
      <c r="B226" s="12">
        <f>'[18]key-in(LO)'!AA224</f>
        <v>0</v>
      </c>
      <c r="C226" s="12">
        <f>'[18]key-in(LO)'!AB224</f>
        <v>0</v>
      </c>
      <c r="D226" s="12">
        <f>'[18]key-in(LO)'!AC224</f>
        <v>0</v>
      </c>
      <c r="E226" s="12">
        <f>'[18]key-in(LO)'!AD224</f>
        <v>0</v>
      </c>
      <c r="F226" s="12">
        <f>'[18]key-in(LO)'!AE224</f>
        <v>0</v>
      </c>
      <c r="G226" s="115">
        <f>'[18]key-in(LO)'!AF224</f>
        <v>0</v>
      </c>
      <c r="H226" s="12">
        <f>'[18]key-in(LO)'!AG224</f>
        <v>0</v>
      </c>
      <c r="I226" s="12">
        <f>'[18]key-in(LO)'!AH224</f>
        <v>0</v>
      </c>
      <c r="J226" s="10">
        <f>'[18]key-in(ACO)'!$AR224</f>
        <v>0</v>
      </c>
      <c r="K226" s="10">
        <f>'[18]key-in(ACO)'!$AS224</f>
        <v>0</v>
      </c>
      <c r="L226" s="9">
        <f>'[18]key-in(ACO)'!$AV224</f>
        <v>0</v>
      </c>
      <c r="M226" s="10">
        <f>[18]생산!BA223</f>
        <v>0</v>
      </c>
      <c r="N226" s="10">
        <f>[18]생산!BB223</f>
        <v>0</v>
      </c>
      <c r="O226" s="10">
        <f>[18]생산!BC223</f>
        <v>0</v>
      </c>
      <c r="P226" s="10">
        <f>[18]생산!BD223</f>
        <v>0</v>
      </c>
      <c r="Q226" s="10">
        <f>[18]생산!BE223</f>
        <v>0</v>
      </c>
      <c r="R226" s="10">
        <f>[18]생산!BF223</f>
        <v>0</v>
      </c>
      <c r="S226" s="9">
        <f>[18]운전시간외!C223</f>
        <v>0</v>
      </c>
      <c r="T226" s="9">
        <f>[18]운전시간외!D223</f>
        <v>0</v>
      </c>
      <c r="U226" s="9">
        <f>[18]운전시간외!E223</f>
        <v>0</v>
      </c>
      <c r="V226" s="9">
        <f>[18]운전시간외!F223</f>
        <v>0</v>
      </c>
      <c r="W226" s="11">
        <f>[18]생산!F223</f>
        <v>0</v>
      </c>
      <c r="X226" s="11">
        <f>[18]생산!G223</f>
        <v>0</v>
      </c>
      <c r="Y226" s="11">
        <f>[18]생산!H223</f>
        <v>0</v>
      </c>
      <c r="Z226" s="11">
        <f>[18]생산!I223</f>
        <v>0</v>
      </c>
      <c r="AA226" s="11">
        <f>[18]생산!J223</f>
        <v>0</v>
      </c>
      <c r="AB226" s="11">
        <f>[18]생산!K223</f>
        <v>0</v>
      </c>
      <c r="AC226" s="11"/>
    </row>
    <row r="227" spans="1:29">
      <c r="A227" s="6">
        <v>46244</v>
      </c>
      <c r="B227" s="12">
        <f>'[18]key-in(LO)'!AA225</f>
        <v>0</v>
      </c>
      <c r="C227" s="12">
        <f>'[18]key-in(LO)'!AB225</f>
        <v>0</v>
      </c>
      <c r="D227" s="12">
        <f>'[18]key-in(LO)'!AC225</f>
        <v>0</v>
      </c>
      <c r="E227" s="12">
        <f>'[18]key-in(LO)'!AD225</f>
        <v>0</v>
      </c>
      <c r="F227" s="12">
        <f>'[18]key-in(LO)'!AE225</f>
        <v>0</v>
      </c>
      <c r="G227" s="115">
        <f>'[18]key-in(LO)'!AF225</f>
        <v>0</v>
      </c>
      <c r="H227" s="12">
        <f>'[18]key-in(LO)'!AG225</f>
        <v>0</v>
      </c>
      <c r="I227" s="12">
        <f>'[18]key-in(LO)'!AH225</f>
        <v>0</v>
      </c>
      <c r="J227" s="10">
        <f>'[18]key-in(ACO)'!$AR225</f>
        <v>0</v>
      </c>
      <c r="K227" s="10">
        <f>'[18]key-in(ACO)'!$AS225</f>
        <v>0</v>
      </c>
      <c r="L227" s="9">
        <f>'[18]key-in(ACO)'!$AV225</f>
        <v>0</v>
      </c>
      <c r="M227" s="10">
        <f>[18]생산!BA224</f>
        <v>0</v>
      </c>
      <c r="N227" s="10">
        <f>[18]생산!BB224</f>
        <v>0</v>
      </c>
      <c r="O227" s="10">
        <f>[18]생산!BC224</f>
        <v>0</v>
      </c>
      <c r="P227" s="10">
        <f>[18]생산!BD224</f>
        <v>0</v>
      </c>
      <c r="Q227" s="10">
        <f>[18]생산!BE224</f>
        <v>0</v>
      </c>
      <c r="R227" s="10">
        <f>[18]생산!BF224</f>
        <v>0</v>
      </c>
      <c r="S227" s="9">
        <f>[18]운전시간외!C224</f>
        <v>0</v>
      </c>
      <c r="T227" s="9">
        <f>[18]운전시간외!D224</f>
        <v>0</v>
      </c>
      <c r="U227" s="9">
        <f>[18]운전시간외!E224</f>
        <v>0</v>
      </c>
      <c r="V227" s="9">
        <f>[18]운전시간외!F224</f>
        <v>0</v>
      </c>
      <c r="W227" s="11">
        <f>[18]생산!F224</f>
        <v>0</v>
      </c>
      <c r="X227" s="11">
        <f>[18]생산!G224</f>
        <v>0</v>
      </c>
      <c r="Y227" s="11">
        <f>[18]생산!H224</f>
        <v>0</v>
      </c>
      <c r="Z227" s="11">
        <f>[18]생산!I224</f>
        <v>0</v>
      </c>
      <c r="AA227" s="11">
        <f>[18]생산!J224</f>
        <v>0</v>
      </c>
      <c r="AB227" s="11">
        <f>[18]생산!K224</f>
        <v>0</v>
      </c>
      <c r="AC227" s="11"/>
    </row>
    <row r="228" spans="1:29">
      <c r="A228" s="6">
        <v>46245</v>
      </c>
      <c r="B228" s="12">
        <f>'[18]key-in(LO)'!AA226</f>
        <v>0</v>
      </c>
      <c r="C228" s="12">
        <f>'[18]key-in(LO)'!AB226</f>
        <v>0</v>
      </c>
      <c r="D228" s="12">
        <f>'[18]key-in(LO)'!AC226</f>
        <v>0</v>
      </c>
      <c r="E228" s="12">
        <f>'[18]key-in(LO)'!AD226</f>
        <v>0</v>
      </c>
      <c r="F228" s="12">
        <f>'[18]key-in(LO)'!AE226</f>
        <v>0</v>
      </c>
      <c r="G228" s="115">
        <f>'[18]key-in(LO)'!AF226</f>
        <v>0</v>
      </c>
      <c r="H228" s="12">
        <f>'[18]key-in(LO)'!AG226</f>
        <v>0</v>
      </c>
      <c r="I228" s="12">
        <f>'[18]key-in(LO)'!AH226</f>
        <v>0</v>
      </c>
      <c r="J228" s="10">
        <f>'[18]key-in(ACO)'!$AR226</f>
        <v>0</v>
      </c>
      <c r="K228" s="10">
        <f>'[18]key-in(ACO)'!$AS226</f>
        <v>0</v>
      </c>
      <c r="L228" s="9">
        <f>'[18]key-in(ACO)'!$AV226</f>
        <v>0</v>
      </c>
      <c r="M228" s="10">
        <f>[18]생산!BA225</f>
        <v>0</v>
      </c>
      <c r="N228" s="10">
        <f>[18]생산!BB225</f>
        <v>0</v>
      </c>
      <c r="O228" s="10">
        <f>[18]생산!BC225</f>
        <v>0</v>
      </c>
      <c r="P228" s="10">
        <f>[18]생산!BD225</f>
        <v>0</v>
      </c>
      <c r="Q228" s="10">
        <f>[18]생산!BE225</f>
        <v>0</v>
      </c>
      <c r="R228" s="10">
        <f>[18]생산!BF225</f>
        <v>0</v>
      </c>
      <c r="S228" s="9">
        <f>[18]운전시간외!C225</f>
        <v>0</v>
      </c>
      <c r="T228" s="9">
        <f>[18]운전시간외!D225</f>
        <v>0</v>
      </c>
      <c r="U228" s="9">
        <f>[18]운전시간외!E225</f>
        <v>0</v>
      </c>
      <c r="V228" s="9">
        <f>[18]운전시간외!F225</f>
        <v>0</v>
      </c>
      <c r="W228" s="11">
        <f>[18]생산!F225</f>
        <v>0</v>
      </c>
      <c r="X228" s="11">
        <f>[18]생산!G225</f>
        <v>0</v>
      </c>
      <c r="Y228" s="11">
        <f>[18]생산!H225</f>
        <v>0</v>
      </c>
      <c r="Z228" s="11">
        <f>[18]생산!I225</f>
        <v>0</v>
      </c>
      <c r="AA228" s="11">
        <f>[18]생산!J225</f>
        <v>0</v>
      </c>
      <c r="AB228" s="11">
        <f>[18]생산!K225</f>
        <v>0</v>
      </c>
      <c r="AC228" s="11"/>
    </row>
    <row r="229" spans="1:29">
      <c r="A229" s="6">
        <v>46246</v>
      </c>
      <c r="B229" s="12">
        <f>'[18]key-in(LO)'!AA227</f>
        <v>0</v>
      </c>
      <c r="C229" s="12">
        <f>'[18]key-in(LO)'!AB227</f>
        <v>0</v>
      </c>
      <c r="D229" s="12">
        <f>'[18]key-in(LO)'!AC227</f>
        <v>0</v>
      </c>
      <c r="E229" s="12">
        <f>'[18]key-in(LO)'!AD227</f>
        <v>0</v>
      </c>
      <c r="F229" s="12">
        <f>'[18]key-in(LO)'!AE227</f>
        <v>0</v>
      </c>
      <c r="G229" s="115">
        <f>'[18]key-in(LO)'!AF227</f>
        <v>0</v>
      </c>
      <c r="H229" s="12">
        <f>'[18]key-in(LO)'!AG227</f>
        <v>0</v>
      </c>
      <c r="I229" s="12">
        <f>'[18]key-in(LO)'!AH227</f>
        <v>0</v>
      </c>
      <c r="J229" s="10">
        <f>'[18]key-in(ACO)'!$AR227</f>
        <v>0</v>
      </c>
      <c r="K229" s="10">
        <f>'[18]key-in(ACO)'!$AS227</f>
        <v>0</v>
      </c>
      <c r="L229" s="9">
        <f>'[18]key-in(ACO)'!$AV227</f>
        <v>0</v>
      </c>
      <c r="M229" s="10">
        <f>[18]생산!BA226</f>
        <v>0</v>
      </c>
      <c r="N229" s="10">
        <f>[18]생산!BB226</f>
        <v>0</v>
      </c>
      <c r="O229" s="10">
        <f>[18]생산!BC226</f>
        <v>0</v>
      </c>
      <c r="P229" s="10">
        <f>[18]생산!BD226</f>
        <v>0</v>
      </c>
      <c r="Q229" s="10">
        <f>[18]생산!BE226</f>
        <v>0</v>
      </c>
      <c r="R229" s="10">
        <f>[18]생산!BF226</f>
        <v>0</v>
      </c>
      <c r="S229" s="9">
        <f>[18]운전시간외!C226</f>
        <v>0</v>
      </c>
      <c r="T229" s="9">
        <f>[18]운전시간외!D226</f>
        <v>0</v>
      </c>
      <c r="U229" s="9">
        <f>[18]운전시간외!E226</f>
        <v>0</v>
      </c>
      <c r="V229" s="9">
        <f>[18]운전시간외!F226</f>
        <v>0</v>
      </c>
      <c r="W229" s="11">
        <f>[18]생산!F226</f>
        <v>0</v>
      </c>
      <c r="X229" s="11">
        <f>[18]생산!G226</f>
        <v>0</v>
      </c>
      <c r="Y229" s="11">
        <f>[18]생산!H226</f>
        <v>0</v>
      </c>
      <c r="Z229" s="11">
        <f>[18]생산!I226</f>
        <v>0</v>
      </c>
      <c r="AA229" s="11">
        <f>[18]생산!J226</f>
        <v>0</v>
      </c>
      <c r="AB229" s="11">
        <f>[18]생산!K226</f>
        <v>0</v>
      </c>
      <c r="AC229" s="11"/>
    </row>
    <row r="230" spans="1:29">
      <c r="A230" s="6">
        <v>46247</v>
      </c>
      <c r="B230" s="12">
        <f>'[18]key-in(LO)'!AA228</f>
        <v>0</v>
      </c>
      <c r="C230" s="12">
        <f>'[18]key-in(LO)'!AB228</f>
        <v>0</v>
      </c>
      <c r="D230" s="12">
        <f>'[18]key-in(LO)'!AC228</f>
        <v>0</v>
      </c>
      <c r="E230" s="12">
        <f>'[18]key-in(LO)'!AD228</f>
        <v>0</v>
      </c>
      <c r="F230" s="12">
        <f>'[18]key-in(LO)'!AE228</f>
        <v>0</v>
      </c>
      <c r="G230" s="115">
        <f>'[18]key-in(LO)'!AF228</f>
        <v>0</v>
      </c>
      <c r="H230" s="12">
        <f>'[18]key-in(LO)'!AG228</f>
        <v>0</v>
      </c>
      <c r="I230" s="12">
        <f>'[18]key-in(LO)'!AH228</f>
        <v>0</v>
      </c>
      <c r="J230" s="10">
        <f>'[18]key-in(ACO)'!$AR228</f>
        <v>0</v>
      </c>
      <c r="K230" s="10">
        <f>'[18]key-in(ACO)'!$AS228</f>
        <v>0</v>
      </c>
      <c r="L230" s="9">
        <f>'[18]key-in(ACO)'!$AV228</f>
        <v>0</v>
      </c>
      <c r="M230" s="10">
        <f>[18]생산!BA227</f>
        <v>0</v>
      </c>
      <c r="N230" s="10">
        <f>[18]생산!BB227</f>
        <v>0</v>
      </c>
      <c r="O230" s="10">
        <f>[18]생산!BC227</f>
        <v>0</v>
      </c>
      <c r="P230" s="10">
        <f>[18]생산!BD227</f>
        <v>0</v>
      </c>
      <c r="Q230" s="10">
        <f>[18]생산!BE227</f>
        <v>0</v>
      </c>
      <c r="R230" s="10">
        <f>[18]생산!BF227</f>
        <v>0</v>
      </c>
      <c r="S230" s="9">
        <f>[18]운전시간외!C227</f>
        <v>0</v>
      </c>
      <c r="T230" s="9">
        <f>[18]운전시간외!D227</f>
        <v>0</v>
      </c>
      <c r="U230" s="9">
        <f>[18]운전시간외!E227</f>
        <v>0</v>
      </c>
      <c r="V230" s="9">
        <f>[18]운전시간외!F227</f>
        <v>0</v>
      </c>
      <c r="W230" s="11">
        <f>[18]생산!F227</f>
        <v>0</v>
      </c>
      <c r="X230" s="11">
        <f>[18]생산!G227</f>
        <v>0</v>
      </c>
      <c r="Y230" s="11">
        <f>[18]생산!H227</f>
        <v>0</v>
      </c>
      <c r="Z230" s="11">
        <f>[18]생산!I227</f>
        <v>0</v>
      </c>
      <c r="AA230" s="11">
        <f>[18]생산!J227</f>
        <v>0</v>
      </c>
      <c r="AB230" s="11">
        <f>[18]생산!K227</f>
        <v>0</v>
      </c>
      <c r="AC230" s="11"/>
    </row>
    <row r="231" spans="1:29">
      <c r="A231" s="6">
        <v>46248</v>
      </c>
      <c r="B231" s="12">
        <f>'[18]key-in(LO)'!AA229</f>
        <v>0</v>
      </c>
      <c r="C231" s="12">
        <f>'[18]key-in(LO)'!AB229</f>
        <v>0</v>
      </c>
      <c r="D231" s="12">
        <f>'[18]key-in(LO)'!AC229</f>
        <v>0</v>
      </c>
      <c r="E231" s="12">
        <f>'[18]key-in(LO)'!AD229</f>
        <v>0</v>
      </c>
      <c r="F231" s="12">
        <f>'[18]key-in(LO)'!AE229</f>
        <v>0</v>
      </c>
      <c r="G231" s="115">
        <f>'[18]key-in(LO)'!AF229</f>
        <v>0</v>
      </c>
      <c r="H231" s="12">
        <f>'[18]key-in(LO)'!AG229</f>
        <v>0</v>
      </c>
      <c r="I231" s="12">
        <f>'[18]key-in(LO)'!AH229</f>
        <v>0</v>
      </c>
      <c r="J231" s="10">
        <f>'[18]key-in(ACO)'!$AR229</f>
        <v>0</v>
      </c>
      <c r="K231" s="10">
        <f>'[18]key-in(ACO)'!$AS229</f>
        <v>0</v>
      </c>
      <c r="L231" s="9">
        <f>'[18]key-in(ACO)'!$AV229</f>
        <v>0</v>
      </c>
      <c r="M231" s="10">
        <f>[18]생산!BA228</f>
        <v>0</v>
      </c>
      <c r="N231" s="10">
        <f>[18]생산!BB228</f>
        <v>0</v>
      </c>
      <c r="O231" s="10">
        <f>[18]생산!BC228</f>
        <v>0</v>
      </c>
      <c r="P231" s="10">
        <f>[18]생산!BD228</f>
        <v>0</v>
      </c>
      <c r="Q231" s="10">
        <f>[18]생산!BE228</f>
        <v>0</v>
      </c>
      <c r="R231" s="10">
        <f>[18]생산!BF228</f>
        <v>0</v>
      </c>
      <c r="S231" s="9">
        <f>[18]운전시간외!C228</f>
        <v>0</v>
      </c>
      <c r="T231" s="9">
        <f>[18]운전시간외!D228</f>
        <v>0</v>
      </c>
      <c r="U231" s="9">
        <f>[18]운전시간외!E228</f>
        <v>0</v>
      </c>
      <c r="V231" s="9">
        <f>[18]운전시간외!F228</f>
        <v>0</v>
      </c>
      <c r="W231" s="11">
        <f>[18]생산!F228</f>
        <v>0</v>
      </c>
      <c r="X231" s="11">
        <f>[18]생산!G228</f>
        <v>0</v>
      </c>
      <c r="Y231" s="11">
        <f>[18]생산!H228</f>
        <v>0</v>
      </c>
      <c r="Z231" s="11">
        <f>[18]생산!I228</f>
        <v>0</v>
      </c>
      <c r="AA231" s="11">
        <f>[18]생산!J228</f>
        <v>0</v>
      </c>
      <c r="AB231" s="11">
        <f>[18]생산!K228</f>
        <v>0</v>
      </c>
      <c r="AC231" s="11"/>
    </row>
    <row r="232" spans="1:29">
      <c r="A232" s="6">
        <v>46249</v>
      </c>
      <c r="B232" s="12">
        <f>'[18]key-in(LO)'!AA230</f>
        <v>0</v>
      </c>
      <c r="C232" s="12">
        <f>'[18]key-in(LO)'!AB230</f>
        <v>0</v>
      </c>
      <c r="D232" s="12">
        <f>'[18]key-in(LO)'!AC230</f>
        <v>0</v>
      </c>
      <c r="E232" s="12">
        <f>'[18]key-in(LO)'!AD230</f>
        <v>0</v>
      </c>
      <c r="F232" s="12">
        <f>'[18]key-in(LO)'!AE230</f>
        <v>0</v>
      </c>
      <c r="G232" s="115">
        <f>'[18]key-in(LO)'!AF230</f>
        <v>0</v>
      </c>
      <c r="H232" s="12">
        <f>'[18]key-in(LO)'!AG230</f>
        <v>0</v>
      </c>
      <c r="I232" s="12">
        <f>'[18]key-in(LO)'!AH230</f>
        <v>0</v>
      </c>
      <c r="J232" s="10">
        <f>'[18]key-in(ACO)'!$AR230</f>
        <v>0</v>
      </c>
      <c r="K232" s="10">
        <f>'[18]key-in(ACO)'!$AS230</f>
        <v>0</v>
      </c>
      <c r="L232" s="9">
        <f>'[18]key-in(ACO)'!$AV230</f>
        <v>0</v>
      </c>
      <c r="M232" s="10">
        <f>[18]생산!BA229</f>
        <v>0</v>
      </c>
      <c r="N232" s="10">
        <f>[18]생산!BB229</f>
        <v>0</v>
      </c>
      <c r="O232" s="10">
        <f>[18]생산!BC229</f>
        <v>0</v>
      </c>
      <c r="P232" s="10">
        <f>[18]생산!BD229</f>
        <v>0</v>
      </c>
      <c r="Q232" s="10">
        <f>[18]생산!BE229</f>
        <v>0</v>
      </c>
      <c r="R232" s="10">
        <f>[18]생산!BF229</f>
        <v>0</v>
      </c>
      <c r="S232" s="9">
        <f>[18]운전시간외!C229</f>
        <v>0</v>
      </c>
      <c r="T232" s="9">
        <f>[18]운전시간외!D229</f>
        <v>0</v>
      </c>
      <c r="U232" s="9">
        <f>[18]운전시간외!E229</f>
        <v>0</v>
      </c>
      <c r="V232" s="9">
        <f>[18]운전시간외!F229</f>
        <v>0</v>
      </c>
      <c r="W232" s="11">
        <f>[18]생산!F229</f>
        <v>0</v>
      </c>
      <c r="X232" s="11">
        <f>[18]생산!G229</f>
        <v>0</v>
      </c>
      <c r="Y232" s="11">
        <f>[18]생산!H229</f>
        <v>0</v>
      </c>
      <c r="Z232" s="11">
        <f>[18]생산!I229</f>
        <v>0</v>
      </c>
      <c r="AA232" s="11">
        <f>[18]생산!J229</f>
        <v>0</v>
      </c>
      <c r="AB232" s="11">
        <f>[18]생산!K229</f>
        <v>0</v>
      </c>
      <c r="AC232" s="11"/>
    </row>
    <row r="233" spans="1:29">
      <c r="A233" s="6">
        <v>46250</v>
      </c>
      <c r="B233" s="12">
        <f>'[18]key-in(LO)'!AA231</f>
        <v>0</v>
      </c>
      <c r="C233" s="12">
        <f>'[18]key-in(LO)'!AB231</f>
        <v>0</v>
      </c>
      <c r="D233" s="12">
        <f>'[18]key-in(LO)'!AC231</f>
        <v>0</v>
      </c>
      <c r="E233" s="12">
        <f>'[18]key-in(LO)'!AD231</f>
        <v>0</v>
      </c>
      <c r="F233" s="12">
        <f>'[18]key-in(LO)'!AE231</f>
        <v>0</v>
      </c>
      <c r="G233" s="115">
        <f>'[18]key-in(LO)'!AF231</f>
        <v>0</v>
      </c>
      <c r="H233" s="12">
        <f>'[18]key-in(LO)'!AG231</f>
        <v>0</v>
      </c>
      <c r="I233" s="12">
        <f>'[18]key-in(LO)'!AH231</f>
        <v>0</v>
      </c>
      <c r="J233" s="10">
        <f>'[18]key-in(ACO)'!$AR231</f>
        <v>0</v>
      </c>
      <c r="K233" s="10">
        <f>'[18]key-in(ACO)'!$AS231</f>
        <v>0</v>
      </c>
      <c r="L233" s="9">
        <f>'[18]key-in(ACO)'!$AV231</f>
        <v>0</v>
      </c>
      <c r="M233" s="10">
        <f>[18]생산!BA230</f>
        <v>0</v>
      </c>
      <c r="N233" s="10">
        <f>[18]생산!BB230</f>
        <v>0</v>
      </c>
      <c r="O233" s="10">
        <f>[18]생산!BC230</f>
        <v>0</v>
      </c>
      <c r="P233" s="10">
        <f>[18]생산!BD230</f>
        <v>0</v>
      </c>
      <c r="Q233" s="10">
        <f>[18]생산!BE230</f>
        <v>0</v>
      </c>
      <c r="R233" s="10">
        <f>[18]생산!BF230</f>
        <v>0</v>
      </c>
      <c r="S233" s="9">
        <f>[18]운전시간외!C230</f>
        <v>0</v>
      </c>
      <c r="T233" s="9">
        <f>[18]운전시간외!D230</f>
        <v>0</v>
      </c>
      <c r="U233" s="9">
        <f>[18]운전시간외!E230</f>
        <v>0</v>
      </c>
      <c r="V233" s="9">
        <f>[18]운전시간외!F230</f>
        <v>0</v>
      </c>
      <c r="W233" s="11">
        <f>[18]생산!F230</f>
        <v>0</v>
      </c>
      <c r="X233" s="11">
        <f>[18]생산!G230</f>
        <v>0</v>
      </c>
      <c r="Y233" s="11">
        <f>[18]생산!H230</f>
        <v>0</v>
      </c>
      <c r="Z233" s="11">
        <f>[18]생산!I230</f>
        <v>0</v>
      </c>
      <c r="AA233" s="11">
        <f>[18]생산!J230</f>
        <v>0</v>
      </c>
      <c r="AB233" s="11">
        <f>[18]생산!K230</f>
        <v>0</v>
      </c>
      <c r="AC233" s="11"/>
    </row>
    <row r="234" spans="1:29">
      <c r="A234" s="6">
        <v>46251</v>
      </c>
      <c r="B234" s="12">
        <f>'[18]key-in(LO)'!AA232</f>
        <v>0</v>
      </c>
      <c r="C234" s="12">
        <f>'[18]key-in(LO)'!AB232</f>
        <v>0</v>
      </c>
      <c r="D234" s="12">
        <f>'[18]key-in(LO)'!AC232</f>
        <v>0</v>
      </c>
      <c r="E234" s="12">
        <f>'[18]key-in(LO)'!AD232</f>
        <v>0</v>
      </c>
      <c r="F234" s="12">
        <f>'[18]key-in(LO)'!AE232</f>
        <v>0</v>
      </c>
      <c r="G234" s="115">
        <f>'[18]key-in(LO)'!AF232</f>
        <v>0</v>
      </c>
      <c r="H234" s="12">
        <f>'[18]key-in(LO)'!AG232</f>
        <v>0</v>
      </c>
      <c r="I234" s="12">
        <f>'[18]key-in(LO)'!AH232</f>
        <v>0</v>
      </c>
      <c r="J234" s="10">
        <f>'[18]key-in(ACO)'!$AR232</f>
        <v>0</v>
      </c>
      <c r="K234" s="10">
        <f>'[18]key-in(ACO)'!$AS232</f>
        <v>0</v>
      </c>
      <c r="L234" s="9">
        <f>'[18]key-in(ACO)'!$AV232</f>
        <v>0</v>
      </c>
      <c r="M234" s="10">
        <f>[18]생산!BA231</f>
        <v>0</v>
      </c>
      <c r="N234" s="10">
        <f>[18]생산!BB231</f>
        <v>0</v>
      </c>
      <c r="O234" s="10">
        <f>[18]생산!BC231</f>
        <v>0</v>
      </c>
      <c r="P234" s="10">
        <f>[18]생산!BD231</f>
        <v>0</v>
      </c>
      <c r="Q234" s="10">
        <f>[18]생산!BE231</f>
        <v>0</v>
      </c>
      <c r="R234" s="10">
        <f>[18]생산!BF231</f>
        <v>0</v>
      </c>
      <c r="S234" s="9">
        <f>[18]운전시간외!C231</f>
        <v>0</v>
      </c>
      <c r="T234" s="9">
        <f>[18]운전시간외!D231</f>
        <v>0</v>
      </c>
      <c r="U234" s="9">
        <f>[18]운전시간외!E231</f>
        <v>0</v>
      </c>
      <c r="V234" s="9">
        <f>[18]운전시간외!F231</f>
        <v>0</v>
      </c>
      <c r="W234" s="11">
        <f>[18]생산!F231</f>
        <v>0</v>
      </c>
      <c r="X234" s="11">
        <f>[18]생산!G231</f>
        <v>0</v>
      </c>
      <c r="Y234" s="11">
        <f>[18]생산!H231</f>
        <v>0</v>
      </c>
      <c r="Z234" s="11">
        <f>[18]생산!I231</f>
        <v>0</v>
      </c>
      <c r="AA234" s="11">
        <f>[18]생산!J231</f>
        <v>0</v>
      </c>
      <c r="AB234" s="11">
        <f>[18]생산!K231</f>
        <v>0</v>
      </c>
      <c r="AC234" s="11"/>
    </row>
    <row r="235" spans="1:29">
      <c r="A235" s="6">
        <v>46252</v>
      </c>
      <c r="B235" s="12">
        <f>'[18]key-in(LO)'!AA233</f>
        <v>0</v>
      </c>
      <c r="C235" s="12">
        <f>'[18]key-in(LO)'!AB233</f>
        <v>0</v>
      </c>
      <c r="D235" s="12">
        <f>'[18]key-in(LO)'!AC233</f>
        <v>0</v>
      </c>
      <c r="E235" s="12">
        <f>'[18]key-in(LO)'!AD233</f>
        <v>0</v>
      </c>
      <c r="F235" s="12">
        <f>'[18]key-in(LO)'!AE233</f>
        <v>0</v>
      </c>
      <c r="G235" s="115">
        <f>'[18]key-in(LO)'!AF233</f>
        <v>0</v>
      </c>
      <c r="H235" s="12">
        <f>'[18]key-in(LO)'!AG233</f>
        <v>0</v>
      </c>
      <c r="I235" s="12">
        <f>'[18]key-in(LO)'!AH233</f>
        <v>0</v>
      </c>
      <c r="J235" s="10">
        <f>'[18]key-in(ACO)'!$AR233</f>
        <v>0</v>
      </c>
      <c r="K235" s="10">
        <f>'[18]key-in(ACO)'!$AS233</f>
        <v>0</v>
      </c>
      <c r="L235" s="9">
        <f>'[18]key-in(ACO)'!$AV233</f>
        <v>0</v>
      </c>
      <c r="M235" s="10">
        <f>[18]생산!BA232</f>
        <v>0</v>
      </c>
      <c r="N235" s="10">
        <f>[18]생산!BB232</f>
        <v>0</v>
      </c>
      <c r="O235" s="10">
        <f>[18]생산!BC232</f>
        <v>0</v>
      </c>
      <c r="P235" s="10">
        <f>[18]생산!BD232</f>
        <v>0</v>
      </c>
      <c r="Q235" s="10">
        <f>[18]생산!BE232</f>
        <v>0</v>
      </c>
      <c r="R235" s="10">
        <f>[18]생산!BF232</f>
        <v>0</v>
      </c>
      <c r="S235" s="9">
        <f>[18]운전시간외!C232</f>
        <v>0</v>
      </c>
      <c r="T235" s="9">
        <f>[18]운전시간외!D232</f>
        <v>0</v>
      </c>
      <c r="U235" s="9">
        <f>[18]운전시간외!E232</f>
        <v>0</v>
      </c>
      <c r="V235" s="9">
        <f>[18]운전시간외!F232</f>
        <v>0</v>
      </c>
      <c r="W235" s="11">
        <f>[18]생산!F232</f>
        <v>0</v>
      </c>
      <c r="X235" s="11">
        <f>[18]생산!G232</f>
        <v>0</v>
      </c>
      <c r="Y235" s="11">
        <f>[18]생산!H232</f>
        <v>0</v>
      </c>
      <c r="Z235" s="11">
        <f>[18]생산!I232</f>
        <v>0</v>
      </c>
      <c r="AA235" s="11">
        <f>[18]생산!J232</f>
        <v>0</v>
      </c>
      <c r="AB235" s="11">
        <f>[18]생산!K232</f>
        <v>0</v>
      </c>
      <c r="AC235" s="11"/>
    </row>
    <row r="236" spans="1:29">
      <c r="A236" s="6">
        <v>46253</v>
      </c>
      <c r="B236" s="12">
        <f>'[18]key-in(LO)'!AA234</f>
        <v>0</v>
      </c>
      <c r="C236" s="12">
        <f>'[18]key-in(LO)'!AB234</f>
        <v>0</v>
      </c>
      <c r="D236" s="12">
        <f>'[18]key-in(LO)'!AC234</f>
        <v>0</v>
      </c>
      <c r="E236" s="12">
        <f>'[18]key-in(LO)'!AD234</f>
        <v>0</v>
      </c>
      <c r="F236" s="12">
        <f>'[18]key-in(LO)'!AE234</f>
        <v>0</v>
      </c>
      <c r="G236" s="115">
        <f>'[18]key-in(LO)'!AF234</f>
        <v>0</v>
      </c>
      <c r="H236" s="12">
        <f>'[18]key-in(LO)'!AG234</f>
        <v>0</v>
      </c>
      <c r="I236" s="12">
        <f>'[18]key-in(LO)'!AH234</f>
        <v>0</v>
      </c>
      <c r="J236" s="10">
        <f>'[18]key-in(ACO)'!$AR234</f>
        <v>0</v>
      </c>
      <c r="K236" s="10">
        <f>'[18]key-in(ACO)'!$AS234</f>
        <v>0</v>
      </c>
      <c r="L236" s="9">
        <f>'[18]key-in(ACO)'!$AV234</f>
        <v>0</v>
      </c>
      <c r="M236" s="10">
        <f>[18]생산!BA233</f>
        <v>0</v>
      </c>
      <c r="N236" s="10">
        <f>[18]생산!BB233</f>
        <v>0</v>
      </c>
      <c r="O236" s="10">
        <f>[18]생산!BC233</f>
        <v>0</v>
      </c>
      <c r="P236" s="10">
        <f>[18]생산!BD233</f>
        <v>0</v>
      </c>
      <c r="Q236" s="10">
        <f>[18]생산!BE233</f>
        <v>0</v>
      </c>
      <c r="R236" s="10">
        <f>[18]생산!BF233</f>
        <v>0</v>
      </c>
      <c r="S236" s="9">
        <f>[18]운전시간외!C233</f>
        <v>0</v>
      </c>
      <c r="T236" s="9">
        <f>[18]운전시간외!D233</f>
        <v>0</v>
      </c>
      <c r="U236" s="9">
        <f>[18]운전시간외!E233</f>
        <v>0</v>
      </c>
      <c r="V236" s="9">
        <f>[18]운전시간외!F233</f>
        <v>0</v>
      </c>
      <c r="W236" s="11">
        <f>[18]생산!F233</f>
        <v>0</v>
      </c>
      <c r="X236" s="11">
        <f>[18]생산!G233</f>
        <v>0</v>
      </c>
      <c r="Y236" s="11">
        <f>[18]생산!H233</f>
        <v>0</v>
      </c>
      <c r="Z236" s="11">
        <f>[18]생산!I233</f>
        <v>0</v>
      </c>
      <c r="AA236" s="11">
        <f>[18]생산!J233</f>
        <v>0</v>
      </c>
      <c r="AB236" s="11">
        <f>[18]생산!K233</f>
        <v>0</v>
      </c>
      <c r="AC236" s="11"/>
    </row>
    <row r="237" spans="1:29">
      <c r="A237" s="6">
        <v>46254</v>
      </c>
      <c r="B237" s="12">
        <f>'[18]key-in(LO)'!AA235</f>
        <v>0</v>
      </c>
      <c r="C237" s="12">
        <f>'[18]key-in(LO)'!AB235</f>
        <v>0</v>
      </c>
      <c r="D237" s="12">
        <f>'[18]key-in(LO)'!AC235</f>
        <v>0</v>
      </c>
      <c r="E237" s="12">
        <f>'[18]key-in(LO)'!AD235</f>
        <v>0</v>
      </c>
      <c r="F237" s="12">
        <f>'[18]key-in(LO)'!AE235</f>
        <v>0</v>
      </c>
      <c r="G237" s="115">
        <f>'[18]key-in(LO)'!AF235</f>
        <v>0</v>
      </c>
      <c r="H237" s="12">
        <f>'[18]key-in(LO)'!AG235</f>
        <v>0</v>
      </c>
      <c r="I237" s="12">
        <f>'[18]key-in(LO)'!AH235</f>
        <v>0</v>
      </c>
      <c r="J237" s="10">
        <f>'[18]key-in(ACO)'!$AR235</f>
        <v>0</v>
      </c>
      <c r="K237" s="10">
        <f>'[18]key-in(ACO)'!$AS235</f>
        <v>0</v>
      </c>
      <c r="L237" s="9">
        <f>'[18]key-in(ACO)'!$AV235</f>
        <v>0</v>
      </c>
      <c r="M237" s="10">
        <f>[18]생산!BA234</f>
        <v>0</v>
      </c>
      <c r="N237" s="10">
        <f>[18]생산!BB234</f>
        <v>0</v>
      </c>
      <c r="O237" s="10">
        <f>[18]생산!BC234</f>
        <v>0</v>
      </c>
      <c r="P237" s="10">
        <f>[18]생산!BD234</f>
        <v>0</v>
      </c>
      <c r="Q237" s="10">
        <f>[18]생산!BE234</f>
        <v>0</v>
      </c>
      <c r="R237" s="10">
        <f>[18]생산!BF234</f>
        <v>0</v>
      </c>
      <c r="S237" s="9">
        <f>[18]운전시간외!C234</f>
        <v>0</v>
      </c>
      <c r="T237" s="9">
        <f>[18]운전시간외!D234</f>
        <v>0</v>
      </c>
      <c r="U237" s="9">
        <f>[18]운전시간외!E234</f>
        <v>0</v>
      </c>
      <c r="V237" s="9">
        <f>[18]운전시간외!F234</f>
        <v>0</v>
      </c>
      <c r="W237" s="11">
        <f>[18]생산!F234</f>
        <v>0</v>
      </c>
      <c r="X237" s="11">
        <f>[18]생산!G234</f>
        <v>0</v>
      </c>
      <c r="Y237" s="11">
        <f>[18]생산!H234</f>
        <v>0</v>
      </c>
      <c r="Z237" s="11">
        <f>[18]생산!I234</f>
        <v>0</v>
      </c>
      <c r="AA237" s="11">
        <f>[18]생산!J234</f>
        <v>0</v>
      </c>
      <c r="AB237" s="11">
        <f>[18]생산!K234</f>
        <v>0</v>
      </c>
      <c r="AC237" s="11"/>
    </row>
    <row r="238" spans="1:29">
      <c r="A238" s="6">
        <v>46255</v>
      </c>
      <c r="B238" s="12">
        <f>'[18]key-in(LO)'!AA236</f>
        <v>0</v>
      </c>
      <c r="C238" s="12">
        <f>'[18]key-in(LO)'!AB236</f>
        <v>0</v>
      </c>
      <c r="D238" s="12">
        <f>'[18]key-in(LO)'!AC236</f>
        <v>0</v>
      </c>
      <c r="E238" s="12">
        <f>'[18]key-in(LO)'!AD236</f>
        <v>0</v>
      </c>
      <c r="F238" s="12">
        <f>'[18]key-in(LO)'!AE236</f>
        <v>0</v>
      </c>
      <c r="G238" s="115">
        <f>'[18]key-in(LO)'!AF236</f>
        <v>0</v>
      </c>
      <c r="H238" s="12">
        <f>'[18]key-in(LO)'!AG236</f>
        <v>0</v>
      </c>
      <c r="I238" s="12">
        <f>'[18]key-in(LO)'!AH236</f>
        <v>0</v>
      </c>
      <c r="J238" s="10">
        <f>'[18]key-in(ACO)'!$AR236</f>
        <v>0</v>
      </c>
      <c r="K238" s="10">
        <f>'[18]key-in(ACO)'!$AS236</f>
        <v>0</v>
      </c>
      <c r="L238" s="9">
        <f>'[18]key-in(ACO)'!$AV236</f>
        <v>0</v>
      </c>
      <c r="M238" s="10">
        <f>[18]생산!BA235</f>
        <v>0</v>
      </c>
      <c r="N238" s="10">
        <f>[18]생산!BB235</f>
        <v>0</v>
      </c>
      <c r="O238" s="10">
        <f>[18]생산!BC235</f>
        <v>0</v>
      </c>
      <c r="P238" s="10">
        <f>[18]생산!BD235</f>
        <v>0</v>
      </c>
      <c r="Q238" s="10">
        <f>[18]생산!BE235</f>
        <v>0</v>
      </c>
      <c r="R238" s="10">
        <f>[18]생산!BF235</f>
        <v>0</v>
      </c>
      <c r="S238" s="9">
        <f>[18]운전시간외!C235</f>
        <v>0</v>
      </c>
      <c r="T238" s="9">
        <f>[18]운전시간외!D235</f>
        <v>0</v>
      </c>
      <c r="U238" s="9">
        <f>[18]운전시간외!E235</f>
        <v>0</v>
      </c>
      <c r="V238" s="9">
        <f>[18]운전시간외!F235</f>
        <v>0</v>
      </c>
      <c r="W238" s="11">
        <f>[18]생산!F235</f>
        <v>0</v>
      </c>
      <c r="X238" s="11">
        <f>[18]생산!G235</f>
        <v>0</v>
      </c>
      <c r="Y238" s="11">
        <f>[18]생산!H235</f>
        <v>0</v>
      </c>
      <c r="Z238" s="11">
        <f>[18]생산!I235</f>
        <v>0</v>
      </c>
      <c r="AA238" s="11">
        <f>[18]생산!J235</f>
        <v>0</v>
      </c>
      <c r="AB238" s="11">
        <f>[18]생산!K235</f>
        <v>0</v>
      </c>
      <c r="AC238" s="11"/>
    </row>
    <row r="239" spans="1:29">
      <c r="A239" s="6">
        <v>46256</v>
      </c>
      <c r="B239" s="12">
        <f>'[18]key-in(LO)'!AA237</f>
        <v>0</v>
      </c>
      <c r="C239" s="12">
        <f>'[18]key-in(LO)'!AB237</f>
        <v>0</v>
      </c>
      <c r="D239" s="12">
        <f>'[18]key-in(LO)'!AC237</f>
        <v>0</v>
      </c>
      <c r="E239" s="12">
        <f>'[18]key-in(LO)'!AD237</f>
        <v>0</v>
      </c>
      <c r="F239" s="12">
        <f>'[18]key-in(LO)'!AE237</f>
        <v>0</v>
      </c>
      <c r="G239" s="115">
        <f>'[18]key-in(LO)'!AF237</f>
        <v>0</v>
      </c>
      <c r="H239" s="12">
        <f>'[18]key-in(LO)'!AG237</f>
        <v>0</v>
      </c>
      <c r="I239" s="12">
        <f>'[18]key-in(LO)'!AH237</f>
        <v>0</v>
      </c>
      <c r="J239" s="10">
        <f>'[18]key-in(ACO)'!$AR237</f>
        <v>0</v>
      </c>
      <c r="K239" s="10">
        <f>'[18]key-in(ACO)'!$AS237</f>
        <v>0</v>
      </c>
      <c r="L239" s="9">
        <f>'[18]key-in(ACO)'!$AV237</f>
        <v>0</v>
      </c>
      <c r="M239" s="10">
        <f>[18]생산!BA236</f>
        <v>0</v>
      </c>
      <c r="N239" s="10">
        <f>[18]생산!BB236</f>
        <v>0</v>
      </c>
      <c r="O239" s="10">
        <f>[18]생산!BC236</f>
        <v>0</v>
      </c>
      <c r="P239" s="10">
        <f>[18]생산!BD236</f>
        <v>0</v>
      </c>
      <c r="Q239" s="10">
        <f>[18]생산!BE236</f>
        <v>0</v>
      </c>
      <c r="R239" s="10">
        <f>[18]생산!BF236</f>
        <v>0</v>
      </c>
      <c r="S239" s="9">
        <f>[18]운전시간외!C236</f>
        <v>0</v>
      </c>
      <c r="T239" s="9">
        <f>[18]운전시간외!D236</f>
        <v>0</v>
      </c>
      <c r="U239" s="9">
        <f>[18]운전시간외!E236</f>
        <v>0</v>
      </c>
      <c r="V239" s="9">
        <f>[18]운전시간외!F236</f>
        <v>0</v>
      </c>
      <c r="W239" s="11">
        <f>[18]생산!F236</f>
        <v>0</v>
      </c>
      <c r="X239" s="11">
        <f>[18]생산!G236</f>
        <v>0</v>
      </c>
      <c r="Y239" s="11">
        <f>[18]생산!H236</f>
        <v>0</v>
      </c>
      <c r="Z239" s="11">
        <f>[18]생산!I236</f>
        <v>0</v>
      </c>
      <c r="AA239" s="11">
        <f>[18]생산!J236</f>
        <v>0</v>
      </c>
      <c r="AB239" s="11">
        <f>[18]생산!K236</f>
        <v>0</v>
      </c>
      <c r="AC239" s="11"/>
    </row>
    <row r="240" spans="1:29">
      <c r="A240" s="6">
        <v>46257</v>
      </c>
      <c r="B240" s="12">
        <f>'[18]key-in(LO)'!AA238</f>
        <v>0</v>
      </c>
      <c r="C240" s="12">
        <f>'[18]key-in(LO)'!AB238</f>
        <v>0</v>
      </c>
      <c r="D240" s="12">
        <f>'[18]key-in(LO)'!AC238</f>
        <v>0</v>
      </c>
      <c r="E240" s="12">
        <f>'[18]key-in(LO)'!AD238</f>
        <v>0</v>
      </c>
      <c r="F240" s="12">
        <f>'[18]key-in(LO)'!AE238</f>
        <v>0</v>
      </c>
      <c r="G240" s="115">
        <f>'[18]key-in(LO)'!AF238</f>
        <v>0</v>
      </c>
      <c r="H240" s="12">
        <f>'[18]key-in(LO)'!AG238</f>
        <v>0</v>
      </c>
      <c r="I240" s="12">
        <f>'[18]key-in(LO)'!AH238</f>
        <v>0</v>
      </c>
      <c r="J240" s="10">
        <f>'[18]key-in(ACO)'!$AR238</f>
        <v>0</v>
      </c>
      <c r="K240" s="10">
        <f>'[18]key-in(ACO)'!$AS238</f>
        <v>0</v>
      </c>
      <c r="L240" s="9">
        <f>'[18]key-in(ACO)'!$AV238</f>
        <v>0</v>
      </c>
      <c r="M240" s="10">
        <f>[18]생산!BA237</f>
        <v>0</v>
      </c>
      <c r="N240" s="10">
        <f>[18]생산!BB237</f>
        <v>0</v>
      </c>
      <c r="O240" s="10">
        <f>[18]생산!BC237</f>
        <v>0</v>
      </c>
      <c r="P240" s="10">
        <f>[18]생산!BD237</f>
        <v>0</v>
      </c>
      <c r="Q240" s="10">
        <f>[18]생산!BE237</f>
        <v>0</v>
      </c>
      <c r="R240" s="10">
        <f>[18]생산!BF237</f>
        <v>0</v>
      </c>
      <c r="S240" s="9">
        <f>[18]운전시간외!C237</f>
        <v>0</v>
      </c>
      <c r="T240" s="9">
        <f>[18]운전시간외!D237</f>
        <v>0</v>
      </c>
      <c r="U240" s="9">
        <f>[18]운전시간외!E237</f>
        <v>0</v>
      </c>
      <c r="V240" s="9">
        <f>[18]운전시간외!F237</f>
        <v>0</v>
      </c>
      <c r="W240" s="11">
        <f>[18]생산!F237</f>
        <v>0</v>
      </c>
      <c r="X240" s="11">
        <f>[18]생산!G237</f>
        <v>0</v>
      </c>
      <c r="Y240" s="11">
        <f>[18]생산!H237</f>
        <v>0</v>
      </c>
      <c r="Z240" s="11">
        <f>[18]생산!I237</f>
        <v>0</v>
      </c>
      <c r="AA240" s="11">
        <f>[18]생산!J237</f>
        <v>0</v>
      </c>
      <c r="AB240" s="11">
        <f>[18]생산!K237</f>
        <v>0</v>
      </c>
      <c r="AC240" s="11"/>
    </row>
    <row r="241" spans="1:29">
      <c r="A241" s="6">
        <v>46258</v>
      </c>
      <c r="B241" s="12">
        <f>'[18]key-in(LO)'!AA239</f>
        <v>0</v>
      </c>
      <c r="C241" s="12">
        <f>'[18]key-in(LO)'!AB239</f>
        <v>0</v>
      </c>
      <c r="D241" s="12">
        <f>'[18]key-in(LO)'!AC239</f>
        <v>0</v>
      </c>
      <c r="E241" s="12">
        <f>'[18]key-in(LO)'!AD239</f>
        <v>0</v>
      </c>
      <c r="F241" s="12">
        <f>'[18]key-in(LO)'!AE239</f>
        <v>0</v>
      </c>
      <c r="G241" s="115">
        <f>'[18]key-in(LO)'!AF239</f>
        <v>0</v>
      </c>
      <c r="H241" s="12">
        <f>'[18]key-in(LO)'!AG239</f>
        <v>0</v>
      </c>
      <c r="I241" s="12">
        <f>'[18]key-in(LO)'!AH239</f>
        <v>0</v>
      </c>
      <c r="J241" s="10">
        <f>'[18]key-in(ACO)'!$AR239</f>
        <v>0</v>
      </c>
      <c r="K241" s="10">
        <f>'[18]key-in(ACO)'!$AS239</f>
        <v>0</v>
      </c>
      <c r="L241" s="9">
        <f>'[18]key-in(ACO)'!$AV239</f>
        <v>0</v>
      </c>
      <c r="M241" s="10">
        <f>[18]생산!BA238</f>
        <v>0</v>
      </c>
      <c r="N241" s="10">
        <f>[18]생산!BB238</f>
        <v>0</v>
      </c>
      <c r="O241" s="10">
        <f>[18]생산!BC238</f>
        <v>0</v>
      </c>
      <c r="P241" s="10">
        <f>[18]생산!BD238</f>
        <v>0</v>
      </c>
      <c r="Q241" s="10">
        <f>[18]생산!BE238</f>
        <v>0</v>
      </c>
      <c r="R241" s="10">
        <f>[18]생산!BF238</f>
        <v>0</v>
      </c>
      <c r="S241" s="9">
        <f>[18]운전시간외!C238</f>
        <v>0</v>
      </c>
      <c r="T241" s="9">
        <f>[18]운전시간외!D238</f>
        <v>0</v>
      </c>
      <c r="U241" s="9">
        <f>[18]운전시간외!E238</f>
        <v>0</v>
      </c>
      <c r="V241" s="9">
        <f>[18]운전시간외!F238</f>
        <v>0</v>
      </c>
      <c r="W241" s="11">
        <f>[18]생산!F238</f>
        <v>0</v>
      </c>
      <c r="X241" s="11">
        <f>[18]생산!G238</f>
        <v>0</v>
      </c>
      <c r="Y241" s="11">
        <f>[18]생산!H238</f>
        <v>0</v>
      </c>
      <c r="Z241" s="11">
        <f>[18]생산!I238</f>
        <v>0</v>
      </c>
      <c r="AA241" s="11">
        <f>[18]생산!J238</f>
        <v>0</v>
      </c>
      <c r="AB241" s="11">
        <f>[18]생산!K238</f>
        <v>0</v>
      </c>
      <c r="AC241" s="11"/>
    </row>
    <row r="242" spans="1:29">
      <c r="A242" s="6">
        <v>46259</v>
      </c>
      <c r="B242" s="12">
        <f>'[18]key-in(LO)'!AA240</f>
        <v>0</v>
      </c>
      <c r="C242" s="12">
        <f>'[18]key-in(LO)'!AB240</f>
        <v>0</v>
      </c>
      <c r="D242" s="12">
        <f>'[18]key-in(LO)'!AC240</f>
        <v>0</v>
      </c>
      <c r="E242" s="12">
        <f>'[18]key-in(LO)'!AD240</f>
        <v>0</v>
      </c>
      <c r="F242" s="12">
        <f>'[18]key-in(LO)'!AE240</f>
        <v>0</v>
      </c>
      <c r="G242" s="115">
        <f>'[18]key-in(LO)'!AF240</f>
        <v>0</v>
      </c>
      <c r="H242" s="12">
        <f>'[18]key-in(LO)'!AG240</f>
        <v>0</v>
      </c>
      <c r="I242" s="12">
        <f>'[18]key-in(LO)'!AH240</f>
        <v>0</v>
      </c>
      <c r="J242" s="10">
        <f>'[18]key-in(ACO)'!$AR240</f>
        <v>0</v>
      </c>
      <c r="K242" s="10">
        <f>'[18]key-in(ACO)'!$AS240</f>
        <v>0</v>
      </c>
      <c r="L242" s="9">
        <f>'[18]key-in(ACO)'!$AV240</f>
        <v>0</v>
      </c>
      <c r="M242" s="10">
        <f>[18]생산!BA239</f>
        <v>0</v>
      </c>
      <c r="N242" s="10">
        <f>[18]생산!BB239</f>
        <v>0</v>
      </c>
      <c r="O242" s="10">
        <f>[18]생산!BC239</f>
        <v>0</v>
      </c>
      <c r="P242" s="10">
        <f>[18]생산!BD239</f>
        <v>0</v>
      </c>
      <c r="Q242" s="10">
        <f>[18]생산!BE239</f>
        <v>0</v>
      </c>
      <c r="R242" s="10">
        <f>[18]생산!BF239</f>
        <v>0</v>
      </c>
      <c r="S242" s="9">
        <f>[18]운전시간외!C239</f>
        <v>0</v>
      </c>
      <c r="T242" s="9">
        <f>[18]운전시간외!D239</f>
        <v>0</v>
      </c>
      <c r="U242" s="9">
        <f>[18]운전시간외!E239</f>
        <v>0</v>
      </c>
      <c r="V242" s="9">
        <f>[18]운전시간외!F239</f>
        <v>0</v>
      </c>
      <c r="W242" s="11">
        <f>[18]생산!F239</f>
        <v>0</v>
      </c>
      <c r="X242" s="11">
        <f>[18]생산!G239</f>
        <v>0</v>
      </c>
      <c r="Y242" s="11">
        <f>[18]생산!H239</f>
        <v>0</v>
      </c>
      <c r="Z242" s="11">
        <f>[18]생산!I239</f>
        <v>0</v>
      </c>
      <c r="AA242" s="11">
        <f>[18]생산!J239</f>
        <v>0</v>
      </c>
      <c r="AB242" s="11">
        <f>[18]생산!K239</f>
        <v>0</v>
      </c>
      <c r="AC242" s="11"/>
    </row>
    <row r="243" spans="1:29">
      <c r="A243" s="6">
        <v>46260</v>
      </c>
      <c r="B243" s="12">
        <f>'[18]key-in(LO)'!AA241</f>
        <v>0</v>
      </c>
      <c r="C243" s="12">
        <f>'[18]key-in(LO)'!AB241</f>
        <v>0</v>
      </c>
      <c r="D243" s="12">
        <f>'[18]key-in(LO)'!AC241</f>
        <v>0</v>
      </c>
      <c r="E243" s="12">
        <f>'[18]key-in(LO)'!AD241</f>
        <v>0</v>
      </c>
      <c r="F243" s="12">
        <f>'[18]key-in(LO)'!AE241</f>
        <v>0</v>
      </c>
      <c r="G243" s="115">
        <f>'[18]key-in(LO)'!AF241</f>
        <v>0</v>
      </c>
      <c r="H243" s="12">
        <f>'[18]key-in(LO)'!AG241</f>
        <v>0</v>
      </c>
      <c r="I243" s="12">
        <f>'[18]key-in(LO)'!AH241</f>
        <v>0</v>
      </c>
      <c r="J243" s="10">
        <f>'[18]key-in(ACO)'!$AR241</f>
        <v>0</v>
      </c>
      <c r="K243" s="10">
        <f>'[18]key-in(ACO)'!$AS241</f>
        <v>0</v>
      </c>
      <c r="L243" s="9">
        <f>'[18]key-in(ACO)'!$AV241</f>
        <v>0</v>
      </c>
      <c r="M243" s="10">
        <f>[18]생산!BA240</f>
        <v>0</v>
      </c>
      <c r="N243" s="10">
        <f>[18]생산!BB240</f>
        <v>0</v>
      </c>
      <c r="O243" s="10">
        <f>[18]생산!BC240</f>
        <v>0</v>
      </c>
      <c r="P243" s="10">
        <f>[18]생산!BD240</f>
        <v>0</v>
      </c>
      <c r="Q243" s="10">
        <f>[18]생산!BE240</f>
        <v>0</v>
      </c>
      <c r="R243" s="10">
        <f>[18]생산!BF240</f>
        <v>0</v>
      </c>
      <c r="S243" s="9">
        <f>[18]운전시간외!C240</f>
        <v>0</v>
      </c>
      <c r="T243" s="9">
        <f>[18]운전시간외!D240</f>
        <v>0</v>
      </c>
      <c r="U243" s="9">
        <f>[18]운전시간외!E240</f>
        <v>0</v>
      </c>
      <c r="V243" s="9">
        <f>[18]운전시간외!F240</f>
        <v>0</v>
      </c>
      <c r="W243" s="11">
        <f>[18]생산!F240</f>
        <v>0</v>
      </c>
      <c r="X243" s="11">
        <f>[18]생산!G240</f>
        <v>0</v>
      </c>
      <c r="Y243" s="11">
        <f>[18]생산!H240</f>
        <v>0</v>
      </c>
      <c r="Z243" s="11">
        <f>[18]생산!I240</f>
        <v>0</v>
      </c>
      <c r="AA243" s="11">
        <f>[18]생산!J240</f>
        <v>0</v>
      </c>
      <c r="AB243" s="11">
        <f>[18]생산!K240</f>
        <v>0</v>
      </c>
      <c r="AC243" s="11"/>
    </row>
    <row r="244" spans="1:29">
      <c r="A244" s="6">
        <v>46261</v>
      </c>
      <c r="B244" s="12">
        <f>'[18]key-in(LO)'!AA242</f>
        <v>0</v>
      </c>
      <c r="C244" s="12">
        <f>'[18]key-in(LO)'!AB242</f>
        <v>0</v>
      </c>
      <c r="D244" s="12">
        <f>'[18]key-in(LO)'!AC242</f>
        <v>0</v>
      </c>
      <c r="E244" s="12">
        <f>'[18]key-in(LO)'!AD242</f>
        <v>0</v>
      </c>
      <c r="F244" s="12">
        <f>'[18]key-in(LO)'!AE242</f>
        <v>0</v>
      </c>
      <c r="G244" s="115">
        <f>'[18]key-in(LO)'!AF242</f>
        <v>0</v>
      </c>
      <c r="H244" s="12">
        <f>'[18]key-in(LO)'!AG242</f>
        <v>0</v>
      </c>
      <c r="I244" s="12">
        <f>'[18]key-in(LO)'!AH242</f>
        <v>0</v>
      </c>
      <c r="J244" s="10">
        <f>'[18]key-in(ACO)'!$AR242</f>
        <v>0</v>
      </c>
      <c r="K244" s="10">
        <f>'[18]key-in(ACO)'!$AS242</f>
        <v>0</v>
      </c>
      <c r="L244" s="9">
        <f>'[18]key-in(ACO)'!$AV242</f>
        <v>0</v>
      </c>
      <c r="M244" s="10">
        <f>[18]생산!BA241</f>
        <v>0</v>
      </c>
      <c r="N244" s="10">
        <f>[18]생산!BB241</f>
        <v>0</v>
      </c>
      <c r="O244" s="10">
        <f>[18]생산!BC241</f>
        <v>0</v>
      </c>
      <c r="P244" s="10">
        <f>[18]생산!BD241</f>
        <v>0</v>
      </c>
      <c r="Q244" s="10">
        <f>[18]생산!BE241</f>
        <v>0</v>
      </c>
      <c r="R244" s="10">
        <f>[18]생산!BF241</f>
        <v>0</v>
      </c>
      <c r="S244" s="9">
        <f>[18]운전시간외!C241</f>
        <v>0</v>
      </c>
      <c r="T244" s="9">
        <f>[18]운전시간외!D241</f>
        <v>0</v>
      </c>
      <c r="U244" s="9">
        <f>[18]운전시간외!E241</f>
        <v>0</v>
      </c>
      <c r="V244" s="9">
        <f>[18]운전시간외!F241</f>
        <v>0</v>
      </c>
      <c r="W244" s="11">
        <f>[18]생산!F241</f>
        <v>0</v>
      </c>
      <c r="X244" s="11">
        <f>[18]생산!G241</f>
        <v>0</v>
      </c>
      <c r="Y244" s="11">
        <f>[18]생산!H241</f>
        <v>0</v>
      </c>
      <c r="Z244" s="11">
        <f>[18]생산!I241</f>
        <v>0</v>
      </c>
      <c r="AA244" s="11">
        <f>[18]생산!J241</f>
        <v>0</v>
      </c>
      <c r="AB244" s="11">
        <f>[18]생산!K241</f>
        <v>0</v>
      </c>
      <c r="AC244" s="11"/>
    </row>
    <row r="245" spans="1:29">
      <c r="A245" s="6">
        <v>46262</v>
      </c>
      <c r="B245" s="12">
        <f>'[18]key-in(LO)'!AA243</f>
        <v>0</v>
      </c>
      <c r="C245" s="12">
        <f>'[18]key-in(LO)'!AB243</f>
        <v>0</v>
      </c>
      <c r="D245" s="12">
        <f>'[18]key-in(LO)'!AC243</f>
        <v>0</v>
      </c>
      <c r="E245" s="12">
        <f>'[18]key-in(LO)'!AD243</f>
        <v>0</v>
      </c>
      <c r="F245" s="12">
        <f>'[18]key-in(LO)'!AE243</f>
        <v>0</v>
      </c>
      <c r="G245" s="115">
        <f>'[18]key-in(LO)'!AF243</f>
        <v>0</v>
      </c>
      <c r="H245" s="12">
        <f>'[18]key-in(LO)'!AG243</f>
        <v>0</v>
      </c>
      <c r="I245" s="12">
        <f>'[18]key-in(LO)'!AH243</f>
        <v>0</v>
      </c>
      <c r="J245" s="10">
        <f>'[18]key-in(ACO)'!$AR243</f>
        <v>0</v>
      </c>
      <c r="K245" s="10">
        <f>'[18]key-in(ACO)'!$AS243</f>
        <v>0</v>
      </c>
      <c r="L245" s="9">
        <f>'[18]key-in(ACO)'!$AV243</f>
        <v>0</v>
      </c>
      <c r="M245" s="10">
        <f>[18]생산!BA242</f>
        <v>0</v>
      </c>
      <c r="N245" s="10">
        <f>[18]생산!BB242</f>
        <v>0</v>
      </c>
      <c r="O245" s="10">
        <f>[18]생산!BC242</f>
        <v>0</v>
      </c>
      <c r="P245" s="10">
        <f>[18]생산!BD242</f>
        <v>0</v>
      </c>
      <c r="Q245" s="10">
        <f>[18]생산!BE242</f>
        <v>0</v>
      </c>
      <c r="R245" s="10">
        <f>[18]생산!BF242</f>
        <v>0</v>
      </c>
      <c r="S245" s="9">
        <f>[18]운전시간외!C242</f>
        <v>0</v>
      </c>
      <c r="T245" s="9">
        <f>[18]운전시간외!D242</f>
        <v>0</v>
      </c>
      <c r="U245" s="9">
        <f>[18]운전시간외!E242</f>
        <v>0</v>
      </c>
      <c r="V245" s="9">
        <f>[18]운전시간외!F242</f>
        <v>0</v>
      </c>
      <c r="W245" s="11">
        <f>[18]생산!F242</f>
        <v>0</v>
      </c>
      <c r="X245" s="11">
        <f>[18]생산!G242</f>
        <v>0</v>
      </c>
      <c r="Y245" s="11">
        <f>[18]생산!H242</f>
        <v>0</v>
      </c>
      <c r="Z245" s="11">
        <f>[18]생산!I242</f>
        <v>0</v>
      </c>
      <c r="AA245" s="11">
        <f>[18]생산!J242</f>
        <v>0</v>
      </c>
      <c r="AB245" s="11">
        <f>[18]생산!K242</f>
        <v>0</v>
      </c>
      <c r="AC245" s="11"/>
    </row>
    <row r="246" spans="1:29">
      <c r="A246" s="6">
        <v>46263</v>
      </c>
      <c r="B246" s="12">
        <f>'[18]key-in(LO)'!AA244</f>
        <v>0</v>
      </c>
      <c r="C246" s="12">
        <f>'[18]key-in(LO)'!AB244</f>
        <v>0</v>
      </c>
      <c r="D246" s="12">
        <f>'[18]key-in(LO)'!AC244</f>
        <v>0</v>
      </c>
      <c r="E246" s="12">
        <f>'[18]key-in(LO)'!AD244</f>
        <v>0</v>
      </c>
      <c r="F246" s="12">
        <f>'[18]key-in(LO)'!AE244</f>
        <v>0</v>
      </c>
      <c r="G246" s="115">
        <f>'[18]key-in(LO)'!AF244</f>
        <v>0</v>
      </c>
      <c r="H246" s="12">
        <f>'[18]key-in(LO)'!AG244</f>
        <v>0</v>
      </c>
      <c r="I246" s="12">
        <f>'[18]key-in(LO)'!AH244</f>
        <v>0</v>
      </c>
      <c r="J246" s="10">
        <f>'[18]key-in(ACO)'!$AR244</f>
        <v>0</v>
      </c>
      <c r="K246" s="10">
        <f>'[18]key-in(ACO)'!$AS244</f>
        <v>0</v>
      </c>
      <c r="L246" s="9">
        <f>'[18]key-in(ACO)'!$AV244</f>
        <v>0</v>
      </c>
      <c r="M246" s="10">
        <f>[18]생산!BA243</f>
        <v>0</v>
      </c>
      <c r="N246" s="10">
        <f>[18]생산!BB243</f>
        <v>0</v>
      </c>
      <c r="O246" s="10">
        <f>[18]생산!BC243</f>
        <v>0</v>
      </c>
      <c r="P246" s="10">
        <f>[18]생산!BD243</f>
        <v>0</v>
      </c>
      <c r="Q246" s="10">
        <f>[18]생산!BE243</f>
        <v>0</v>
      </c>
      <c r="R246" s="10">
        <f>[18]생산!BF243</f>
        <v>0</v>
      </c>
      <c r="S246" s="9">
        <f>[18]운전시간외!C243</f>
        <v>0</v>
      </c>
      <c r="T246" s="9">
        <f>[18]운전시간외!D243</f>
        <v>0</v>
      </c>
      <c r="U246" s="9">
        <f>[18]운전시간외!E243</f>
        <v>0</v>
      </c>
      <c r="V246" s="9">
        <f>[18]운전시간외!F243</f>
        <v>0</v>
      </c>
      <c r="W246" s="11">
        <f>[18]생산!F243</f>
        <v>0</v>
      </c>
      <c r="X246" s="11">
        <f>[18]생산!G243</f>
        <v>0</v>
      </c>
      <c r="Y246" s="11">
        <f>[18]생산!H243</f>
        <v>0</v>
      </c>
      <c r="Z246" s="11">
        <f>[18]생산!I243</f>
        <v>0</v>
      </c>
      <c r="AA246" s="11">
        <f>[18]생산!J243</f>
        <v>0</v>
      </c>
      <c r="AB246" s="11">
        <f>[18]생산!K243</f>
        <v>0</v>
      </c>
      <c r="AC246" s="11"/>
    </row>
    <row r="247" spans="1:29">
      <c r="A247" s="6">
        <v>46264</v>
      </c>
      <c r="B247" s="12">
        <f>'[18]key-in(LO)'!AA245</f>
        <v>0</v>
      </c>
      <c r="C247" s="12">
        <f>'[18]key-in(LO)'!AB245</f>
        <v>0</v>
      </c>
      <c r="D247" s="12">
        <f>'[18]key-in(LO)'!AC245</f>
        <v>0</v>
      </c>
      <c r="E247" s="12">
        <f>'[18]key-in(LO)'!AD245</f>
        <v>0</v>
      </c>
      <c r="F247" s="12">
        <f>'[18]key-in(LO)'!AE245</f>
        <v>0</v>
      </c>
      <c r="G247" s="115">
        <f>'[18]key-in(LO)'!AF245</f>
        <v>0</v>
      </c>
      <c r="H247" s="12">
        <f>'[18]key-in(LO)'!AG245</f>
        <v>0</v>
      </c>
      <c r="I247" s="12">
        <f>'[18]key-in(LO)'!AH245</f>
        <v>0</v>
      </c>
      <c r="J247" s="10">
        <f>'[18]key-in(ACO)'!$AR245</f>
        <v>0</v>
      </c>
      <c r="K247" s="10">
        <f>'[18]key-in(ACO)'!$AS245</f>
        <v>0</v>
      </c>
      <c r="L247" s="9">
        <f>'[18]key-in(ACO)'!$AV245</f>
        <v>0</v>
      </c>
      <c r="M247" s="10">
        <f>[18]생산!BA244</f>
        <v>0</v>
      </c>
      <c r="N247" s="10">
        <f>[18]생산!BB244</f>
        <v>0</v>
      </c>
      <c r="O247" s="10">
        <f>[18]생산!BC244</f>
        <v>0</v>
      </c>
      <c r="P247" s="10">
        <f>[18]생산!BD244</f>
        <v>0</v>
      </c>
      <c r="Q247" s="10">
        <f>[18]생산!BE244</f>
        <v>0</v>
      </c>
      <c r="R247" s="10">
        <f>[18]생산!BF244</f>
        <v>0</v>
      </c>
      <c r="S247" s="9">
        <f>[18]운전시간외!C244</f>
        <v>0</v>
      </c>
      <c r="T247" s="9">
        <f>[18]운전시간외!D244</f>
        <v>0</v>
      </c>
      <c r="U247" s="9">
        <f>[18]운전시간외!E244</f>
        <v>0</v>
      </c>
      <c r="V247" s="9">
        <f>[18]운전시간외!F244</f>
        <v>0</v>
      </c>
      <c r="W247" s="11">
        <f>[18]생산!F244</f>
        <v>0</v>
      </c>
      <c r="X247" s="11">
        <f>[18]생산!G244</f>
        <v>0</v>
      </c>
      <c r="Y247" s="11">
        <f>[18]생산!H244</f>
        <v>0</v>
      </c>
      <c r="Z247" s="11">
        <f>[18]생산!I244</f>
        <v>0</v>
      </c>
      <c r="AA247" s="11">
        <f>[18]생산!J244</f>
        <v>0</v>
      </c>
      <c r="AB247" s="11">
        <f>[18]생산!K244</f>
        <v>0</v>
      </c>
      <c r="AC247" s="11"/>
    </row>
    <row r="248" spans="1:29">
      <c r="A248" s="6">
        <v>46265</v>
      </c>
      <c r="B248" s="12">
        <f>'[18]key-in(LO)'!AA246</f>
        <v>0</v>
      </c>
      <c r="C248" s="12">
        <f>'[18]key-in(LO)'!AB246</f>
        <v>0</v>
      </c>
      <c r="D248" s="12">
        <f>'[18]key-in(LO)'!AC246</f>
        <v>0</v>
      </c>
      <c r="E248" s="12">
        <f>'[18]key-in(LO)'!AD246</f>
        <v>0</v>
      </c>
      <c r="F248" s="12">
        <f>'[18]key-in(LO)'!AE246</f>
        <v>0</v>
      </c>
      <c r="G248" s="115">
        <f>'[18]key-in(LO)'!AF246</f>
        <v>0</v>
      </c>
      <c r="H248" s="12">
        <f>'[18]key-in(LO)'!AG246</f>
        <v>0</v>
      </c>
      <c r="I248" s="12">
        <f>'[18]key-in(LO)'!AH246</f>
        <v>0</v>
      </c>
      <c r="J248" s="10">
        <f>'[18]key-in(ACO)'!$AR246</f>
        <v>0</v>
      </c>
      <c r="K248" s="10">
        <f>'[18]key-in(ACO)'!$AS246</f>
        <v>0</v>
      </c>
      <c r="L248" s="9">
        <f>'[18]key-in(ACO)'!$AV246</f>
        <v>0</v>
      </c>
      <c r="M248" s="10">
        <f>[18]생산!BA245</f>
        <v>0</v>
      </c>
      <c r="N248" s="10">
        <f>[18]생산!BB245</f>
        <v>0</v>
      </c>
      <c r="O248" s="10">
        <f>[18]생산!BC245</f>
        <v>0</v>
      </c>
      <c r="P248" s="10">
        <f>[18]생산!BD245</f>
        <v>0</v>
      </c>
      <c r="Q248" s="10">
        <f>[18]생산!BE245</f>
        <v>0</v>
      </c>
      <c r="R248" s="10">
        <f>[18]생산!BF245</f>
        <v>0</v>
      </c>
      <c r="S248" s="9">
        <f>[18]운전시간외!C245</f>
        <v>0</v>
      </c>
      <c r="T248" s="9">
        <f>[18]운전시간외!D245</f>
        <v>0</v>
      </c>
      <c r="U248" s="9">
        <f>[18]운전시간외!E245</f>
        <v>0</v>
      </c>
      <c r="V248" s="9">
        <f>[18]운전시간외!F245</f>
        <v>0</v>
      </c>
      <c r="W248" s="11">
        <f>[18]생산!F245</f>
        <v>0</v>
      </c>
      <c r="X248" s="11">
        <f>[18]생산!G245</f>
        <v>0</v>
      </c>
      <c r="Y248" s="11">
        <f>[18]생산!H245</f>
        <v>0</v>
      </c>
      <c r="Z248" s="11">
        <f>[18]생산!I245</f>
        <v>0</v>
      </c>
      <c r="AA248" s="11">
        <f>[18]생산!J245</f>
        <v>0</v>
      </c>
      <c r="AB248" s="11">
        <f>[18]생산!K245</f>
        <v>0</v>
      </c>
      <c r="AC248" s="11"/>
    </row>
    <row r="249" spans="1:29">
      <c r="A249" s="6">
        <v>46266</v>
      </c>
      <c r="B249" s="12">
        <f>'[18]key-in(LO)'!AA247</f>
        <v>0</v>
      </c>
      <c r="C249" s="12">
        <f>'[18]key-in(LO)'!AB247</f>
        <v>0</v>
      </c>
      <c r="D249" s="12">
        <f>'[18]key-in(LO)'!AC247</f>
        <v>0</v>
      </c>
      <c r="E249" s="12">
        <f>'[18]key-in(LO)'!AD247</f>
        <v>0</v>
      </c>
      <c r="F249" s="12">
        <f>'[18]key-in(LO)'!AE247</f>
        <v>0</v>
      </c>
      <c r="G249" s="115">
        <f>'[18]key-in(LO)'!AF247</f>
        <v>0</v>
      </c>
      <c r="H249" s="12">
        <f>'[18]key-in(LO)'!AG247</f>
        <v>0</v>
      </c>
      <c r="I249" s="12">
        <f>'[18]key-in(LO)'!AH247</f>
        <v>0</v>
      </c>
      <c r="J249" s="10">
        <f>'[18]key-in(ACO)'!$AR247</f>
        <v>0</v>
      </c>
      <c r="K249" s="10">
        <f>'[18]key-in(ACO)'!$AS247</f>
        <v>0</v>
      </c>
      <c r="L249" s="9">
        <f>'[18]key-in(ACO)'!$AV247</f>
        <v>0</v>
      </c>
      <c r="M249" s="10">
        <f>[18]생산!BA246</f>
        <v>0</v>
      </c>
      <c r="N249" s="10">
        <f>[18]생산!BB246</f>
        <v>0</v>
      </c>
      <c r="O249" s="10">
        <f>[18]생산!BC246</f>
        <v>0</v>
      </c>
      <c r="P249" s="10">
        <f>[18]생산!BD246</f>
        <v>0</v>
      </c>
      <c r="Q249" s="10">
        <f>[18]생산!BE246</f>
        <v>0</v>
      </c>
      <c r="R249" s="10">
        <f>[18]생산!BF246</f>
        <v>0</v>
      </c>
      <c r="S249" s="9">
        <f>[18]운전시간외!C246</f>
        <v>0</v>
      </c>
      <c r="T249" s="9">
        <f>[18]운전시간외!D246</f>
        <v>0</v>
      </c>
      <c r="U249" s="9">
        <f>[18]운전시간외!E246</f>
        <v>0</v>
      </c>
      <c r="V249" s="9">
        <f>[18]운전시간외!F246</f>
        <v>0</v>
      </c>
      <c r="W249" s="11">
        <f>[18]생산!F246</f>
        <v>0</v>
      </c>
      <c r="X249" s="11">
        <f>[18]생산!G246</f>
        <v>0</v>
      </c>
      <c r="Y249" s="11">
        <f>[18]생산!H246</f>
        <v>0</v>
      </c>
      <c r="Z249" s="11">
        <f>[18]생산!I246</f>
        <v>0</v>
      </c>
      <c r="AA249" s="11">
        <f>[18]생산!J246</f>
        <v>0</v>
      </c>
      <c r="AB249" s="11">
        <f>[18]생산!K246</f>
        <v>0</v>
      </c>
      <c r="AC249" s="11"/>
    </row>
    <row r="250" spans="1:29">
      <c r="A250" s="6">
        <v>46267</v>
      </c>
      <c r="B250" s="12">
        <f>'[18]key-in(LO)'!AA248</f>
        <v>0</v>
      </c>
      <c r="C250" s="12">
        <f>'[18]key-in(LO)'!AB248</f>
        <v>0</v>
      </c>
      <c r="D250" s="12">
        <f>'[18]key-in(LO)'!AC248</f>
        <v>0</v>
      </c>
      <c r="E250" s="12">
        <f>'[18]key-in(LO)'!AD248</f>
        <v>0</v>
      </c>
      <c r="F250" s="12">
        <f>'[18]key-in(LO)'!AE248</f>
        <v>0</v>
      </c>
      <c r="G250" s="115">
        <f>'[18]key-in(LO)'!AF248</f>
        <v>0</v>
      </c>
      <c r="H250" s="12">
        <f>'[18]key-in(LO)'!AG248</f>
        <v>0</v>
      </c>
      <c r="I250" s="12">
        <f>'[18]key-in(LO)'!AH248</f>
        <v>0</v>
      </c>
      <c r="J250" s="10">
        <f>'[18]key-in(ACO)'!$AR248</f>
        <v>0</v>
      </c>
      <c r="K250" s="10">
        <f>'[18]key-in(ACO)'!$AS248</f>
        <v>0</v>
      </c>
      <c r="L250" s="9">
        <f>'[18]key-in(ACO)'!$AV248</f>
        <v>0</v>
      </c>
      <c r="M250" s="10">
        <f>[18]생산!BA247</f>
        <v>0</v>
      </c>
      <c r="N250" s="10">
        <f>[18]생산!BB247</f>
        <v>0</v>
      </c>
      <c r="O250" s="10">
        <f>[18]생산!BC247</f>
        <v>0</v>
      </c>
      <c r="P250" s="10">
        <f>[18]생산!BD247</f>
        <v>0</v>
      </c>
      <c r="Q250" s="10">
        <f>[18]생산!BE247</f>
        <v>0</v>
      </c>
      <c r="R250" s="10">
        <f>[18]생산!BF247</f>
        <v>0</v>
      </c>
      <c r="S250" s="9">
        <f>[18]운전시간외!C247</f>
        <v>0</v>
      </c>
      <c r="T250" s="9">
        <f>[18]운전시간외!D247</f>
        <v>0</v>
      </c>
      <c r="U250" s="9">
        <f>[18]운전시간외!E247</f>
        <v>0</v>
      </c>
      <c r="V250" s="9">
        <f>[18]운전시간외!F247</f>
        <v>0</v>
      </c>
      <c r="W250" s="11">
        <f>[18]생산!F247</f>
        <v>0</v>
      </c>
      <c r="X250" s="11">
        <f>[18]생산!G247</f>
        <v>0</v>
      </c>
      <c r="Y250" s="11">
        <f>[18]생산!H247</f>
        <v>0</v>
      </c>
      <c r="Z250" s="11">
        <f>[18]생산!I247</f>
        <v>0</v>
      </c>
      <c r="AA250" s="11">
        <f>[18]생산!J247</f>
        <v>0</v>
      </c>
      <c r="AB250" s="11">
        <f>[18]생산!K247</f>
        <v>0</v>
      </c>
      <c r="AC250" s="11"/>
    </row>
    <row r="251" spans="1:29">
      <c r="A251" s="6">
        <v>46268</v>
      </c>
      <c r="B251" s="12">
        <f>'[18]key-in(LO)'!AA249</f>
        <v>0</v>
      </c>
      <c r="C251" s="12">
        <f>'[18]key-in(LO)'!AB249</f>
        <v>0</v>
      </c>
      <c r="D251" s="12">
        <f>'[18]key-in(LO)'!AC249</f>
        <v>0</v>
      </c>
      <c r="E251" s="12">
        <f>'[18]key-in(LO)'!AD249</f>
        <v>0</v>
      </c>
      <c r="F251" s="12">
        <f>'[18]key-in(LO)'!AE249</f>
        <v>0</v>
      </c>
      <c r="G251" s="115">
        <f>'[18]key-in(LO)'!AF249</f>
        <v>0</v>
      </c>
      <c r="H251" s="12">
        <f>'[18]key-in(LO)'!AG249</f>
        <v>0</v>
      </c>
      <c r="I251" s="12">
        <f>'[18]key-in(LO)'!AH249</f>
        <v>0</v>
      </c>
      <c r="J251" s="10">
        <f>'[18]key-in(ACO)'!$AR249</f>
        <v>0</v>
      </c>
      <c r="K251" s="10">
        <f>'[18]key-in(ACO)'!$AS249</f>
        <v>0</v>
      </c>
      <c r="L251" s="9">
        <f>'[18]key-in(ACO)'!$AV249</f>
        <v>0</v>
      </c>
      <c r="M251" s="10">
        <f>[18]생산!BA248</f>
        <v>0</v>
      </c>
      <c r="N251" s="10">
        <f>[18]생산!BB248</f>
        <v>0</v>
      </c>
      <c r="O251" s="10">
        <f>[18]생산!BC248</f>
        <v>0</v>
      </c>
      <c r="P251" s="10">
        <f>[18]생산!BD248</f>
        <v>0</v>
      </c>
      <c r="Q251" s="10">
        <f>[18]생산!BE248</f>
        <v>0</v>
      </c>
      <c r="R251" s="10">
        <f>[18]생산!BF248</f>
        <v>0</v>
      </c>
      <c r="S251" s="9">
        <f>[18]운전시간외!C248</f>
        <v>0</v>
      </c>
      <c r="T251" s="9">
        <f>[18]운전시간외!D248</f>
        <v>0</v>
      </c>
      <c r="U251" s="9">
        <f>[18]운전시간외!E248</f>
        <v>0</v>
      </c>
      <c r="V251" s="9">
        <f>[18]운전시간외!F248</f>
        <v>0</v>
      </c>
      <c r="W251" s="11">
        <f>[18]생산!F248</f>
        <v>0</v>
      </c>
      <c r="X251" s="11">
        <f>[18]생산!G248</f>
        <v>0</v>
      </c>
      <c r="Y251" s="11">
        <f>[18]생산!H248</f>
        <v>0</v>
      </c>
      <c r="Z251" s="11">
        <f>[18]생산!I248</f>
        <v>0</v>
      </c>
      <c r="AA251" s="11">
        <f>[18]생산!J248</f>
        <v>0</v>
      </c>
      <c r="AB251" s="11">
        <f>[18]생산!K248</f>
        <v>0</v>
      </c>
      <c r="AC251" s="11"/>
    </row>
    <row r="252" spans="1:29">
      <c r="A252" s="6">
        <v>46269</v>
      </c>
      <c r="B252" s="12">
        <f>'[18]key-in(LO)'!AA250</f>
        <v>0</v>
      </c>
      <c r="C252" s="12">
        <f>'[18]key-in(LO)'!AB250</f>
        <v>0</v>
      </c>
      <c r="D252" s="12">
        <f>'[18]key-in(LO)'!AC250</f>
        <v>0</v>
      </c>
      <c r="E252" s="12">
        <f>'[18]key-in(LO)'!AD250</f>
        <v>0</v>
      </c>
      <c r="F252" s="12">
        <f>'[18]key-in(LO)'!AE250</f>
        <v>0</v>
      </c>
      <c r="G252" s="115">
        <f>'[18]key-in(LO)'!AF250</f>
        <v>0</v>
      </c>
      <c r="H252" s="12">
        <f>'[18]key-in(LO)'!AG250</f>
        <v>0</v>
      </c>
      <c r="I252" s="12">
        <f>'[18]key-in(LO)'!AH250</f>
        <v>0</v>
      </c>
      <c r="J252" s="10">
        <f>'[18]key-in(ACO)'!$AR250</f>
        <v>0</v>
      </c>
      <c r="K252" s="10">
        <f>'[18]key-in(ACO)'!$AS250</f>
        <v>0</v>
      </c>
      <c r="L252" s="9">
        <f>'[18]key-in(ACO)'!$AV250</f>
        <v>0</v>
      </c>
      <c r="M252" s="10">
        <f>[18]생산!BA249</f>
        <v>0</v>
      </c>
      <c r="N252" s="10">
        <f>[18]생산!BB249</f>
        <v>0</v>
      </c>
      <c r="O252" s="10">
        <f>[18]생산!BC249</f>
        <v>0</v>
      </c>
      <c r="P252" s="10">
        <f>[18]생산!BD249</f>
        <v>0</v>
      </c>
      <c r="Q252" s="10">
        <f>[18]생산!BE249</f>
        <v>0</v>
      </c>
      <c r="R252" s="10">
        <f>[18]생산!BF249</f>
        <v>0</v>
      </c>
      <c r="S252" s="9">
        <f>[18]운전시간외!C249</f>
        <v>0</v>
      </c>
      <c r="T252" s="9">
        <f>[18]운전시간외!D249</f>
        <v>0</v>
      </c>
      <c r="U252" s="9">
        <f>[18]운전시간외!E249</f>
        <v>0</v>
      </c>
      <c r="V252" s="9">
        <f>[18]운전시간외!F249</f>
        <v>0</v>
      </c>
      <c r="W252" s="11">
        <f>[18]생산!F249</f>
        <v>0</v>
      </c>
      <c r="X252" s="11">
        <f>[18]생산!G249</f>
        <v>0</v>
      </c>
      <c r="Y252" s="11">
        <f>[18]생산!H249</f>
        <v>0</v>
      </c>
      <c r="Z252" s="11">
        <f>[18]생산!I249</f>
        <v>0</v>
      </c>
      <c r="AA252" s="11">
        <f>[18]생산!J249</f>
        <v>0</v>
      </c>
      <c r="AB252" s="11">
        <f>[18]생산!K249</f>
        <v>0</v>
      </c>
      <c r="AC252" s="11"/>
    </row>
    <row r="253" spans="1:29">
      <c r="A253" s="6">
        <v>46270</v>
      </c>
      <c r="B253" s="12">
        <f>'[18]key-in(LO)'!AA251</f>
        <v>0</v>
      </c>
      <c r="C253" s="12">
        <f>'[18]key-in(LO)'!AB251</f>
        <v>0</v>
      </c>
      <c r="D253" s="12">
        <f>'[18]key-in(LO)'!AC251</f>
        <v>0</v>
      </c>
      <c r="E253" s="12">
        <f>'[18]key-in(LO)'!AD251</f>
        <v>0</v>
      </c>
      <c r="F253" s="12">
        <f>'[18]key-in(LO)'!AE251</f>
        <v>0</v>
      </c>
      <c r="G253" s="115">
        <f>'[18]key-in(LO)'!AF251</f>
        <v>0</v>
      </c>
      <c r="H253" s="12">
        <f>'[18]key-in(LO)'!AG251</f>
        <v>0</v>
      </c>
      <c r="I253" s="12">
        <f>'[18]key-in(LO)'!AH251</f>
        <v>0</v>
      </c>
      <c r="J253" s="10">
        <f>'[18]key-in(ACO)'!$AR251</f>
        <v>0</v>
      </c>
      <c r="K253" s="10">
        <f>'[18]key-in(ACO)'!$AS251</f>
        <v>0</v>
      </c>
      <c r="L253" s="9">
        <f>'[18]key-in(ACO)'!$AV251</f>
        <v>0</v>
      </c>
      <c r="M253" s="10">
        <f>[18]생산!BA250</f>
        <v>0</v>
      </c>
      <c r="N253" s="10">
        <f>[18]생산!BB250</f>
        <v>0</v>
      </c>
      <c r="O253" s="10">
        <f>[18]생산!BC250</f>
        <v>0</v>
      </c>
      <c r="P253" s="10">
        <f>[18]생산!BD250</f>
        <v>0</v>
      </c>
      <c r="Q253" s="10">
        <f>[18]생산!BE250</f>
        <v>0</v>
      </c>
      <c r="R253" s="10">
        <f>[18]생산!BF250</f>
        <v>0</v>
      </c>
      <c r="S253" s="9">
        <f>[18]운전시간외!C250</f>
        <v>0</v>
      </c>
      <c r="T253" s="9">
        <f>[18]운전시간외!D250</f>
        <v>0</v>
      </c>
      <c r="U253" s="9">
        <f>[18]운전시간외!E250</f>
        <v>0</v>
      </c>
      <c r="V253" s="9">
        <f>[18]운전시간외!F250</f>
        <v>0</v>
      </c>
      <c r="W253" s="11">
        <f>[18]생산!F250</f>
        <v>0</v>
      </c>
      <c r="X253" s="11">
        <f>[18]생산!G250</f>
        <v>0</v>
      </c>
      <c r="Y253" s="11">
        <f>[18]생산!H250</f>
        <v>0</v>
      </c>
      <c r="Z253" s="11">
        <f>[18]생산!I250</f>
        <v>0</v>
      </c>
      <c r="AA253" s="11">
        <f>[18]생산!J250</f>
        <v>0</v>
      </c>
      <c r="AB253" s="11">
        <f>[18]생산!K250</f>
        <v>0</v>
      </c>
      <c r="AC253" s="11"/>
    </row>
    <row r="254" spans="1:29">
      <c r="A254" s="6">
        <v>46271</v>
      </c>
      <c r="B254" s="12">
        <f>'[18]key-in(LO)'!AA252</f>
        <v>0</v>
      </c>
      <c r="C254" s="12">
        <f>'[18]key-in(LO)'!AB252</f>
        <v>0</v>
      </c>
      <c r="D254" s="12">
        <f>'[18]key-in(LO)'!AC252</f>
        <v>0</v>
      </c>
      <c r="E254" s="12">
        <f>'[18]key-in(LO)'!AD252</f>
        <v>0</v>
      </c>
      <c r="F254" s="12">
        <f>'[18]key-in(LO)'!AE252</f>
        <v>0</v>
      </c>
      <c r="G254" s="115">
        <f>'[18]key-in(LO)'!AF252</f>
        <v>0</v>
      </c>
      <c r="H254" s="12">
        <f>'[18]key-in(LO)'!AG252</f>
        <v>0</v>
      </c>
      <c r="I254" s="12">
        <f>'[18]key-in(LO)'!AH252</f>
        <v>0</v>
      </c>
      <c r="J254" s="10">
        <f>'[18]key-in(ACO)'!$AR252</f>
        <v>0</v>
      </c>
      <c r="K254" s="10">
        <f>'[18]key-in(ACO)'!$AS252</f>
        <v>0</v>
      </c>
      <c r="L254" s="9">
        <f>'[18]key-in(ACO)'!$AV252</f>
        <v>0</v>
      </c>
      <c r="M254" s="10">
        <f>[18]생산!BA251</f>
        <v>0</v>
      </c>
      <c r="N254" s="10">
        <f>[18]생산!BB251</f>
        <v>0</v>
      </c>
      <c r="O254" s="10">
        <f>[18]생산!BC251</f>
        <v>0</v>
      </c>
      <c r="P254" s="10">
        <f>[18]생산!BD251</f>
        <v>0</v>
      </c>
      <c r="Q254" s="10">
        <f>[18]생산!BE251</f>
        <v>0</v>
      </c>
      <c r="R254" s="10">
        <f>[18]생산!BF251</f>
        <v>0</v>
      </c>
      <c r="S254" s="9">
        <f>[18]운전시간외!C251</f>
        <v>0</v>
      </c>
      <c r="T254" s="9">
        <f>[18]운전시간외!D251</f>
        <v>0</v>
      </c>
      <c r="U254" s="9">
        <f>[18]운전시간외!E251</f>
        <v>0</v>
      </c>
      <c r="V254" s="9">
        <f>[18]운전시간외!F251</f>
        <v>0</v>
      </c>
      <c r="W254" s="11">
        <f>[18]생산!F251</f>
        <v>0</v>
      </c>
      <c r="X254" s="11">
        <f>[18]생산!G251</f>
        <v>0</v>
      </c>
      <c r="Y254" s="11">
        <f>[18]생산!H251</f>
        <v>0</v>
      </c>
      <c r="Z254" s="11">
        <f>[18]생산!I251</f>
        <v>0</v>
      </c>
      <c r="AA254" s="11">
        <f>[18]생산!J251</f>
        <v>0</v>
      </c>
      <c r="AB254" s="11">
        <f>[18]생산!K251</f>
        <v>0</v>
      </c>
      <c r="AC254" s="11"/>
    </row>
    <row r="255" spans="1:29">
      <c r="A255" s="6">
        <v>46272</v>
      </c>
      <c r="B255" s="12">
        <f>'[18]key-in(LO)'!AA253</f>
        <v>0</v>
      </c>
      <c r="C255" s="12">
        <f>'[18]key-in(LO)'!AB253</f>
        <v>0</v>
      </c>
      <c r="D255" s="12">
        <f>'[18]key-in(LO)'!AC253</f>
        <v>0</v>
      </c>
      <c r="E255" s="12">
        <f>'[18]key-in(LO)'!AD253</f>
        <v>0</v>
      </c>
      <c r="F255" s="12">
        <f>'[18]key-in(LO)'!AE253</f>
        <v>0</v>
      </c>
      <c r="G255" s="115">
        <f>'[18]key-in(LO)'!AF253</f>
        <v>0</v>
      </c>
      <c r="H255" s="12">
        <f>'[18]key-in(LO)'!AG253</f>
        <v>0</v>
      </c>
      <c r="I255" s="12">
        <f>'[18]key-in(LO)'!AH253</f>
        <v>0</v>
      </c>
      <c r="J255" s="10">
        <f>'[18]key-in(ACO)'!$AR253</f>
        <v>0</v>
      </c>
      <c r="K255" s="10">
        <f>'[18]key-in(ACO)'!$AS253</f>
        <v>0</v>
      </c>
      <c r="L255" s="9">
        <f>'[18]key-in(ACO)'!$AV253</f>
        <v>0</v>
      </c>
      <c r="M255" s="10">
        <f>[18]생산!BA252</f>
        <v>0</v>
      </c>
      <c r="N255" s="10">
        <f>[18]생산!BB252</f>
        <v>0</v>
      </c>
      <c r="O255" s="10">
        <f>[18]생산!BC252</f>
        <v>0</v>
      </c>
      <c r="P255" s="10">
        <f>[18]생산!BD252</f>
        <v>0</v>
      </c>
      <c r="Q255" s="10">
        <f>[18]생산!BE252</f>
        <v>0</v>
      </c>
      <c r="R255" s="10">
        <f>[18]생산!BF252</f>
        <v>0</v>
      </c>
      <c r="S255" s="9">
        <f>[18]운전시간외!C252</f>
        <v>0</v>
      </c>
      <c r="T255" s="9">
        <f>[18]운전시간외!D252</f>
        <v>0</v>
      </c>
      <c r="U255" s="9">
        <f>[18]운전시간외!E252</f>
        <v>0</v>
      </c>
      <c r="V255" s="9">
        <f>[18]운전시간외!F252</f>
        <v>0</v>
      </c>
      <c r="W255" s="11">
        <f>[18]생산!F252</f>
        <v>0</v>
      </c>
      <c r="X255" s="11">
        <f>[18]생산!G252</f>
        <v>0</v>
      </c>
      <c r="Y255" s="11">
        <f>[18]생산!H252</f>
        <v>0</v>
      </c>
      <c r="Z255" s="11">
        <f>[18]생산!I252</f>
        <v>0</v>
      </c>
      <c r="AA255" s="11">
        <f>[18]생산!J252</f>
        <v>0</v>
      </c>
      <c r="AB255" s="11">
        <f>[18]생산!K252</f>
        <v>0</v>
      </c>
      <c r="AC255" s="11"/>
    </row>
    <row r="256" spans="1:29">
      <c r="A256" s="6">
        <v>46273</v>
      </c>
      <c r="B256" s="12">
        <f>'[18]key-in(LO)'!AA254</f>
        <v>0</v>
      </c>
      <c r="C256" s="12">
        <f>'[18]key-in(LO)'!AB254</f>
        <v>0</v>
      </c>
      <c r="D256" s="12">
        <f>'[18]key-in(LO)'!AC254</f>
        <v>0</v>
      </c>
      <c r="E256" s="12">
        <f>'[18]key-in(LO)'!AD254</f>
        <v>0</v>
      </c>
      <c r="F256" s="12">
        <f>'[18]key-in(LO)'!AE254</f>
        <v>0</v>
      </c>
      <c r="G256" s="115">
        <f>'[18]key-in(LO)'!AF254</f>
        <v>0</v>
      </c>
      <c r="H256" s="12">
        <f>'[18]key-in(LO)'!AG254</f>
        <v>0</v>
      </c>
      <c r="I256" s="12">
        <f>'[18]key-in(LO)'!AH254</f>
        <v>0</v>
      </c>
      <c r="J256" s="10">
        <f>'[18]key-in(ACO)'!$AR254</f>
        <v>0</v>
      </c>
      <c r="K256" s="10">
        <f>'[18]key-in(ACO)'!$AS254</f>
        <v>0</v>
      </c>
      <c r="L256" s="9">
        <f>'[18]key-in(ACO)'!$AV254</f>
        <v>0</v>
      </c>
      <c r="M256" s="10">
        <f>[18]생산!BA253</f>
        <v>0</v>
      </c>
      <c r="N256" s="10">
        <f>[18]생산!BB253</f>
        <v>0</v>
      </c>
      <c r="O256" s="10">
        <f>[18]생산!BC253</f>
        <v>0</v>
      </c>
      <c r="P256" s="10">
        <f>[18]생산!BD253</f>
        <v>0</v>
      </c>
      <c r="Q256" s="10">
        <f>[18]생산!BE253</f>
        <v>0</v>
      </c>
      <c r="R256" s="10">
        <f>[18]생산!BF253</f>
        <v>0</v>
      </c>
      <c r="S256" s="9">
        <f>[18]운전시간외!C253</f>
        <v>0</v>
      </c>
      <c r="T256" s="9">
        <f>[18]운전시간외!D253</f>
        <v>0</v>
      </c>
      <c r="U256" s="9">
        <f>[18]운전시간외!E253</f>
        <v>0</v>
      </c>
      <c r="V256" s="9">
        <f>[18]운전시간외!F253</f>
        <v>0</v>
      </c>
      <c r="W256" s="11">
        <f>[18]생산!F253</f>
        <v>0</v>
      </c>
      <c r="X256" s="11">
        <f>[18]생산!G253</f>
        <v>0</v>
      </c>
      <c r="Y256" s="11">
        <f>[18]생산!H253</f>
        <v>0</v>
      </c>
      <c r="Z256" s="11">
        <f>[18]생산!I253</f>
        <v>0</v>
      </c>
      <c r="AA256" s="11">
        <f>[18]생산!J253</f>
        <v>0</v>
      </c>
      <c r="AB256" s="11">
        <f>[18]생산!K253</f>
        <v>0</v>
      </c>
      <c r="AC256" s="11"/>
    </row>
    <row r="257" spans="1:29">
      <c r="A257" s="6">
        <v>46274</v>
      </c>
      <c r="B257" s="12">
        <f>'[18]key-in(LO)'!AA255</f>
        <v>0</v>
      </c>
      <c r="C257" s="12">
        <f>'[18]key-in(LO)'!AB255</f>
        <v>0</v>
      </c>
      <c r="D257" s="12">
        <f>'[18]key-in(LO)'!AC255</f>
        <v>0</v>
      </c>
      <c r="E257" s="12">
        <f>'[18]key-in(LO)'!AD255</f>
        <v>0</v>
      </c>
      <c r="F257" s="12">
        <f>'[18]key-in(LO)'!AE255</f>
        <v>0</v>
      </c>
      <c r="G257" s="115">
        <f>'[18]key-in(LO)'!AF255</f>
        <v>0</v>
      </c>
      <c r="H257" s="12">
        <f>'[18]key-in(LO)'!AG255</f>
        <v>0</v>
      </c>
      <c r="I257" s="12">
        <f>'[18]key-in(LO)'!AH255</f>
        <v>0</v>
      </c>
      <c r="J257" s="10">
        <f>'[18]key-in(ACO)'!$AR255</f>
        <v>0</v>
      </c>
      <c r="K257" s="10">
        <f>'[18]key-in(ACO)'!$AS255</f>
        <v>0</v>
      </c>
      <c r="L257" s="9">
        <f>'[18]key-in(ACO)'!$AV255</f>
        <v>0</v>
      </c>
      <c r="M257" s="10">
        <f>[18]생산!BA254</f>
        <v>0</v>
      </c>
      <c r="N257" s="10">
        <f>[18]생산!BB254</f>
        <v>0</v>
      </c>
      <c r="O257" s="10">
        <f>[18]생산!BC254</f>
        <v>0</v>
      </c>
      <c r="P257" s="10">
        <f>[18]생산!BD254</f>
        <v>0</v>
      </c>
      <c r="Q257" s="10">
        <f>[18]생산!BE254</f>
        <v>0</v>
      </c>
      <c r="R257" s="10">
        <f>[18]생산!BF254</f>
        <v>0</v>
      </c>
      <c r="S257" s="9">
        <f>[18]운전시간외!C254</f>
        <v>0</v>
      </c>
      <c r="T257" s="9">
        <f>[18]운전시간외!D254</f>
        <v>0</v>
      </c>
      <c r="U257" s="9">
        <f>[18]운전시간외!E254</f>
        <v>0</v>
      </c>
      <c r="V257" s="9">
        <f>[18]운전시간외!F254</f>
        <v>0</v>
      </c>
      <c r="W257" s="11">
        <f>[18]생산!F254</f>
        <v>0</v>
      </c>
      <c r="X257" s="11">
        <f>[18]생산!G254</f>
        <v>0</v>
      </c>
      <c r="Y257" s="11">
        <f>[18]생산!H254</f>
        <v>0</v>
      </c>
      <c r="Z257" s="11">
        <f>[18]생산!I254</f>
        <v>0</v>
      </c>
      <c r="AA257" s="11">
        <f>[18]생산!J254</f>
        <v>0</v>
      </c>
      <c r="AB257" s="11">
        <f>[18]생산!K254</f>
        <v>0</v>
      </c>
      <c r="AC257" s="11"/>
    </row>
    <row r="258" spans="1:29">
      <c r="A258" s="6">
        <v>46275</v>
      </c>
      <c r="B258" s="12">
        <f>'[18]key-in(LO)'!AA256</f>
        <v>0</v>
      </c>
      <c r="C258" s="12">
        <f>'[18]key-in(LO)'!AB256</f>
        <v>0</v>
      </c>
      <c r="D258" s="12">
        <f>'[18]key-in(LO)'!AC256</f>
        <v>0</v>
      </c>
      <c r="E258" s="12">
        <f>'[18]key-in(LO)'!AD256</f>
        <v>0</v>
      </c>
      <c r="F258" s="12">
        <f>'[18]key-in(LO)'!AE256</f>
        <v>0</v>
      </c>
      <c r="G258" s="115">
        <f>'[18]key-in(LO)'!AF256</f>
        <v>0</v>
      </c>
      <c r="H258" s="12">
        <f>'[18]key-in(LO)'!AG256</f>
        <v>0</v>
      </c>
      <c r="I258" s="12">
        <f>'[18]key-in(LO)'!AH256</f>
        <v>0</v>
      </c>
      <c r="J258" s="10">
        <f>'[18]key-in(ACO)'!$AR256</f>
        <v>0</v>
      </c>
      <c r="K258" s="10">
        <f>'[18]key-in(ACO)'!$AS256</f>
        <v>0</v>
      </c>
      <c r="L258" s="9">
        <f>'[18]key-in(ACO)'!$AV256</f>
        <v>0</v>
      </c>
      <c r="M258" s="10">
        <f>[18]생산!BA255</f>
        <v>0</v>
      </c>
      <c r="N258" s="10">
        <f>[18]생산!BB255</f>
        <v>0</v>
      </c>
      <c r="O258" s="10">
        <f>[18]생산!BC255</f>
        <v>0</v>
      </c>
      <c r="P258" s="10">
        <f>[18]생산!BD255</f>
        <v>0</v>
      </c>
      <c r="Q258" s="10">
        <f>[18]생산!BE255</f>
        <v>0</v>
      </c>
      <c r="R258" s="10">
        <f>[18]생산!BF255</f>
        <v>0</v>
      </c>
      <c r="S258" s="9">
        <f>[18]운전시간외!C255</f>
        <v>0</v>
      </c>
      <c r="T258" s="9">
        <f>[18]운전시간외!D255</f>
        <v>0</v>
      </c>
      <c r="U258" s="9">
        <f>[18]운전시간외!E255</f>
        <v>0</v>
      </c>
      <c r="V258" s="9">
        <f>[18]운전시간외!F255</f>
        <v>0</v>
      </c>
      <c r="W258" s="11">
        <f>[18]생산!F255</f>
        <v>0</v>
      </c>
      <c r="X258" s="11">
        <f>[18]생산!G255</f>
        <v>0</v>
      </c>
      <c r="Y258" s="11">
        <f>[18]생산!H255</f>
        <v>0</v>
      </c>
      <c r="Z258" s="11">
        <f>[18]생산!I255</f>
        <v>0</v>
      </c>
      <c r="AA258" s="11">
        <f>[18]생산!J255</f>
        <v>0</v>
      </c>
      <c r="AB258" s="11">
        <f>[18]생산!K255</f>
        <v>0</v>
      </c>
      <c r="AC258" s="11"/>
    </row>
    <row r="259" spans="1:29">
      <c r="A259" s="6">
        <v>46276</v>
      </c>
      <c r="B259" s="12">
        <f>'[18]key-in(LO)'!AA257</f>
        <v>0</v>
      </c>
      <c r="C259" s="12">
        <f>'[18]key-in(LO)'!AB257</f>
        <v>0</v>
      </c>
      <c r="D259" s="12">
        <f>'[18]key-in(LO)'!AC257</f>
        <v>0</v>
      </c>
      <c r="E259" s="12">
        <f>'[18]key-in(LO)'!AD257</f>
        <v>0</v>
      </c>
      <c r="F259" s="12">
        <f>'[18]key-in(LO)'!AE257</f>
        <v>0</v>
      </c>
      <c r="G259" s="115">
        <f>'[18]key-in(LO)'!AF257</f>
        <v>0</v>
      </c>
      <c r="H259" s="12">
        <f>'[18]key-in(LO)'!AG257</f>
        <v>0</v>
      </c>
      <c r="I259" s="12">
        <f>'[18]key-in(LO)'!AH257</f>
        <v>0</v>
      </c>
      <c r="J259" s="10">
        <f>'[18]key-in(ACO)'!$AR257</f>
        <v>0</v>
      </c>
      <c r="K259" s="10">
        <f>'[18]key-in(ACO)'!$AS257</f>
        <v>0</v>
      </c>
      <c r="L259" s="9">
        <f>'[18]key-in(ACO)'!$AV257</f>
        <v>0</v>
      </c>
      <c r="M259" s="10">
        <f>[18]생산!BA256</f>
        <v>0</v>
      </c>
      <c r="N259" s="10">
        <f>[18]생산!BB256</f>
        <v>0</v>
      </c>
      <c r="O259" s="10">
        <f>[18]생산!BC256</f>
        <v>0</v>
      </c>
      <c r="P259" s="10">
        <f>[18]생산!BD256</f>
        <v>0</v>
      </c>
      <c r="Q259" s="10">
        <f>[18]생산!BE256</f>
        <v>0</v>
      </c>
      <c r="R259" s="10">
        <f>[18]생산!BF256</f>
        <v>0</v>
      </c>
      <c r="S259" s="9">
        <f>[18]운전시간외!C256</f>
        <v>0</v>
      </c>
      <c r="T259" s="9">
        <f>[18]운전시간외!D256</f>
        <v>0</v>
      </c>
      <c r="U259" s="9">
        <f>[18]운전시간외!E256</f>
        <v>0</v>
      </c>
      <c r="V259" s="9">
        <f>[18]운전시간외!F256</f>
        <v>0</v>
      </c>
      <c r="W259" s="11">
        <f>[18]생산!F256</f>
        <v>0</v>
      </c>
      <c r="X259" s="11">
        <f>[18]생산!G256</f>
        <v>0</v>
      </c>
      <c r="Y259" s="11">
        <f>[18]생산!H256</f>
        <v>0</v>
      </c>
      <c r="Z259" s="11">
        <f>[18]생산!I256</f>
        <v>0</v>
      </c>
      <c r="AA259" s="11">
        <f>[18]생산!J256</f>
        <v>0</v>
      </c>
      <c r="AB259" s="11">
        <f>[18]생산!K256</f>
        <v>0</v>
      </c>
      <c r="AC259" s="11"/>
    </row>
    <row r="260" spans="1:29">
      <c r="A260" s="6">
        <v>46277</v>
      </c>
      <c r="B260" s="12">
        <f>'[18]key-in(LO)'!AA258</f>
        <v>0</v>
      </c>
      <c r="C260" s="12">
        <f>'[18]key-in(LO)'!AB258</f>
        <v>0</v>
      </c>
      <c r="D260" s="12">
        <f>'[18]key-in(LO)'!AC258</f>
        <v>0</v>
      </c>
      <c r="E260" s="12">
        <f>'[18]key-in(LO)'!AD258</f>
        <v>0</v>
      </c>
      <c r="F260" s="12">
        <f>'[18]key-in(LO)'!AE258</f>
        <v>0</v>
      </c>
      <c r="G260" s="115">
        <f>'[18]key-in(LO)'!AF258</f>
        <v>0</v>
      </c>
      <c r="H260" s="12">
        <f>'[18]key-in(LO)'!AG258</f>
        <v>0</v>
      </c>
      <c r="I260" s="12">
        <f>'[18]key-in(LO)'!AH258</f>
        <v>0</v>
      </c>
      <c r="J260" s="10">
        <f>'[18]key-in(ACO)'!$AR258</f>
        <v>0</v>
      </c>
      <c r="K260" s="10">
        <f>'[18]key-in(ACO)'!$AS258</f>
        <v>0</v>
      </c>
      <c r="L260" s="9">
        <f>'[18]key-in(ACO)'!$AV258</f>
        <v>0</v>
      </c>
      <c r="M260" s="10">
        <f>[18]생산!BA257</f>
        <v>0</v>
      </c>
      <c r="N260" s="10">
        <f>[18]생산!BB257</f>
        <v>0</v>
      </c>
      <c r="O260" s="10">
        <f>[18]생산!BC257</f>
        <v>0</v>
      </c>
      <c r="P260" s="10">
        <f>[18]생산!BD257</f>
        <v>0</v>
      </c>
      <c r="Q260" s="10">
        <f>[18]생산!BE257</f>
        <v>0</v>
      </c>
      <c r="R260" s="10">
        <f>[18]생산!BF257</f>
        <v>0</v>
      </c>
      <c r="S260" s="9">
        <f>[18]운전시간외!C257</f>
        <v>0</v>
      </c>
      <c r="T260" s="9">
        <f>[18]운전시간외!D257</f>
        <v>0</v>
      </c>
      <c r="U260" s="9">
        <f>[18]운전시간외!E257</f>
        <v>0</v>
      </c>
      <c r="V260" s="9">
        <f>[18]운전시간외!F257</f>
        <v>0</v>
      </c>
      <c r="W260" s="11">
        <f>[18]생산!F257</f>
        <v>0</v>
      </c>
      <c r="X260" s="11">
        <f>[18]생산!G257</f>
        <v>0</v>
      </c>
      <c r="Y260" s="11">
        <f>[18]생산!H257</f>
        <v>0</v>
      </c>
      <c r="Z260" s="11">
        <f>[18]생산!I257</f>
        <v>0</v>
      </c>
      <c r="AA260" s="11">
        <f>[18]생산!J257</f>
        <v>0</v>
      </c>
      <c r="AB260" s="11">
        <f>[18]생산!K257</f>
        <v>0</v>
      </c>
      <c r="AC260" s="11"/>
    </row>
    <row r="261" spans="1:29">
      <c r="A261" s="6">
        <v>46278</v>
      </c>
      <c r="B261" s="12">
        <f>'[18]key-in(LO)'!AA259</f>
        <v>0</v>
      </c>
      <c r="C261" s="12">
        <f>'[18]key-in(LO)'!AB259</f>
        <v>0</v>
      </c>
      <c r="D261" s="12">
        <f>'[18]key-in(LO)'!AC259</f>
        <v>0</v>
      </c>
      <c r="E261" s="12">
        <f>'[18]key-in(LO)'!AD259</f>
        <v>0</v>
      </c>
      <c r="F261" s="12">
        <f>'[18]key-in(LO)'!AE259</f>
        <v>0</v>
      </c>
      <c r="G261" s="115">
        <f>'[18]key-in(LO)'!AF259</f>
        <v>0</v>
      </c>
      <c r="H261" s="12">
        <f>'[18]key-in(LO)'!AG259</f>
        <v>0</v>
      </c>
      <c r="I261" s="12">
        <f>'[18]key-in(LO)'!AH259</f>
        <v>0</v>
      </c>
      <c r="J261" s="10">
        <f>'[18]key-in(ACO)'!$AR259</f>
        <v>0</v>
      </c>
      <c r="K261" s="10">
        <f>'[18]key-in(ACO)'!$AS259</f>
        <v>0</v>
      </c>
      <c r="L261" s="9">
        <f>'[18]key-in(ACO)'!$AV259</f>
        <v>0</v>
      </c>
      <c r="M261" s="10">
        <f>[18]생산!BA258</f>
        <v>0</v>
      </c>
      <c r="N261" s="10">
        <f>[18]생산!BB258</f>
        <v>0</v>
      </c>
      <c r="O261" s="10">
        <f>[18]생산!BC258</f>
        <v>0</v>
      </c>
      <c r="P261" s="10">
        <f>[18]생산!BD258</f>
        <v>0</v>
      </c>
      <c r="Q261" s="10">
        <f>[18]생산!BE258</f>
        <v>0</v>
      </c>
      <c r="R261" s="10">
        <f>[18]생산!BF258</f>
        <v>0</v>
      </c>
      <c r="S261" s="9">
        <f>[18]운전시간외!C258</f>
        <v>0</v>
      </c>
      <c r="T261" s="9">
        <f>[18]운전시간외!D258</f>
        <v>0</v>
      </c>
      <c r="U261" s="9">
        <f>[18]운전시간외!E258</f>
        <v>0</v>
      </c>
      <c r="V261" s="9">
        <f>[18]운전시간외!F258</f>
        <v>0</v>
      </c>
      <c r="W261" s="11">
        <f>[18]생산!F258</f>
        <v>0</v>
      </c>
      <c r="X261" s="11">
        <f>[18]생산!G258</f>
        <v>0</v>
      </c>
      <c r="Y261" s="11">
        <f>[18]생산!H258</f>
        <v>0</v>
      </c>
      <c r="Z261" s="11">
        <f>[18]생산!I258</f>
        <v>0</v>
      </c>
      <c r="AA261" s="11">
        <f>[18]생산!J258</f>
        <v>0</v>
      </c>
      <c r="AB261" s="11">
        <f>[18]생산!K258</f>
        <v>0</v>
      </c>
      <c r="AC261" s="11"/>
    </row>
    <row r="262" spans="1:29">
      <c r="A262" s="6">
        <v>46279</v>
      </c>
      <c r="B262" s="12">
        <f>'[18]key-in(LO)'!AA260</f>
        <v>0</v>
      </c>
      <c r="C262" s="12">
        <f>'[18]key-in(LO)'!AB260</f>
        <v>0</v>
      </c>
      <c r="D262" s="12">
        <f>'[18]key-in(LO)'!AC260</f>
        <v>0</v>
      </c>
      <c r="E262" s="12">
        <f>'[18]key-in(LO)'!AD260</f>
        <v>0</v>
      </c>
      <c r="F262" s="12">
        <f>'[18]key-in(LO)'!AE260</f>
        <v>0</v>
      </c>
      <c r="G262" s="115">
        <f>'[18]key-in(LO)'!AF260</f>
        <v>0</v>
      </c>
      <c r="H262" s="12">
        <f>'[18]key-in(LO)'!AG260</f>
        <v>0</v>
      </c>
      <c r="I262" s="12">
        <f>'[18]key-in(LO)'!AH260</f>
        <v>0</v>
      </c>
      <c r="J262" s="10">
        <f>'[18]key-in(ACO)'!$AR260</f>
        <v>0</v>
      </c>
      <c r="K262" s="10">
        <f>'[18]key-in(ACO)'!$AS260</f>
        <v>0</v>
      </c>
      <c r="L262" s="9">
        <f>'[18]key-in(ACO)'!$AV260</f>
        <v>0</v>
      </c>
      <c r="M262" s="10">
        <f>[18]생산!BA259</f>
        <v>0</v>
      </c>
      <c r="N262" s="10">
        <f>[18]생산!BB259</f>
        <v>0</v>
      </c>
      <c r="O262" s="10">
        <f>[18]생산!BC259</f>
        <v>0</v>
      </c>
      <c r="P262" s="10">
        <f>[18]생산!BD259</f>
        <v>0</v>
      </c>
      <c r="Q262" s="10">
        <f>[18]생산!BE259</f>
        <v>0</v>
      </c>
      <c r="R262" s="10">
        <f>[18]생산!BF259</f>
        <v>0</v>
      </c>
      <c r="S262" s="9">
        <f>[18]운전시간외!C259</f>
        <v>0</v>
      </c>
      <c r="T262" s="9">
        <f>[18]운전시간외!D259</f>
        <v>0</v>
      </c>
      <c r="U262" s="9">
        <f>[18]운전시간외!E259</f>
        <v>0</v>
      </c>
      <c r="V262" s="9">
        <f>[18]운전시간외!F259</f>
        <v>0</v>
      </c>
      <c r="W262" s="11">
        <f>[18]생산!F259</f>
        <v>0</v>
      </c>
      <c r="X262" s="11">
        <f>[18]생산!G259</f>
        <v>0</v>
      </c>
      <c r="Y262" s="11">
        <f>[18]생산!H259</f>
        <v>0</v>
      </c>
      <c r="Z262" s="11">
        <f>[18]생산!I259</f>
        <v>0</v>
      </c>
      <c r="AA262" s="11">
        <f>[18]생산!J259</f>
        <v>0</v>
      </c>
      <c r="AB262" s="11">
        <f>[18]생산!K259</f>
        <v>0</v>
      </c>
      <c r="AC262" s="11"/>
    </row>
    <row r="263" spans="1:29">
      <c r="A263" s="6">
        <v>46280</v>
      </c>
      <c r="B263" s="12">
        <f>'[18]key-in(LO)'!AA261</f>
        <v>0</v>
      </c>
      <c r="C263" s="12">
        <f>'[18]key-in(LO)'!AB261</f>
        <v>0</v>
      </c>
      <c r="D263" s="12">
        <f>'[18]key-in(LO)'!AC261</f>
        <v>0</v>
      </c>
      <c r="E263" s="12">
        <f>'[18]key-in(LO)'!AD261</f>
        <v>0</v>
      </c>
      <c r="F263" s="12">
        <f>'[18]key-in(LO)'!AE261</f>
        <v>0</v>
      </c>
      <c r="G263" s="115">
        <f>'[18]key-in(LO)'!AF261</f>
        <v>0</v>
      </c>
      <c r="H263" s="12">
        <f>'[18]key-in(LO)'!AG261</f>
        <v>0</v>
      </c>
      <c r="I263" s="12">
        <f>'[18]key-in(LO)'!AH261</f>
        <v>0</v>
      </c>
      <c r="J263" s="10">
        <f>'[18]key-in(ACO)'!$AR261</f>
        <v>0</v>
      </c>
      <c r="K263" s="10">
        <f>'[18]key-in(ACO)'!$AS261</f>
        <v>0</v>
      </c>
      <c r="L263" s="9">
        <f>'[18]key-in(ACO)'!$AV261</f>
        <v>0</v>
      </c>
      <c r="M263" s="10">
        <f>[18]생산!BA260</f>
        <v>0</v>
      </c>
      <c r="N263" s="10">
        <f>[18]생산!BB260</f>
        <v>0</v>
      </c>
      <c r="O263" s="10">
        <f>[18]생산!BC260</f>
        <v>0</v>
      </c>
      <c r="P263" s="10">
        <f>[18]생산!BD260</f>
        <v>0</v>
      </c>
      <c r="Q263" s="10">
        <f>[18]생산!BE260</f>
        <v>0</v>
      </c>
      <c r="R263" s="10">
        <f>[18]생산!BF260</f>
        <v>0</v>
      </c>
      <c r="S263" s="9">
        <f>[18]운전시간외!C260</f>
        <v>0</v>
      </c>
      <c r="T263" s="9">
        <f>[18]운전시간외!D260</f>
        <v>0</v>
      </c>
      <c r="U263" s="9">
        <f>[18]운전시간외!E260</f>
        <v>0</v>
      </c>
      <c r="V263" s="9">
        <f>[18]운전시간외!F260</f>
        <v>0</v>
      </c>
      <c r="W263" s="11">
        <f>[18]생산!F260</f>
        <v>0</v>
      </c>
      <c r="X263" s="11">
        <f>[18]생산!G260</f>
        <v>0</v>
      </c>
      <c r="Y263" s="11">
        <f>[18]생산!H260</f>
        <v>0</v>
      </c>
      <c r="Z263" s="11">
        <f>[18]생산!I260</f>
        <v>0</v>
      </c>
      <c r="AA263" s="11">
        <f>[18]생산!J260</f>
        <v>0</v>
      </c>
      <c r="AB263" s="11">
        <f>[18]생산!K260</f>
        <v>0</v>
      </c>
      <c r="AC263" s="11"/>
    </row>
    <row r="264" spans="1:29">
      <c r="A264" s="6">
        <v>46281</v>
      </c>
      <c r="B264" s="12">
        <f>'[18]key-in(LO)'!AA262</f>
        <v>0</v>
      </c>
      <c r="C264" s="12">
        <f>'[18]key-in(LO)'!AB262</f>
        <v>0</v>
      </c>
      <c r="D264" s="12">
        <f>'[18]key-in(LO)'!AC262</f>
        <v>0</v>
      </c>
      <c r="E264" s="12">
        <f>'[18]key-in(LO)'!AD262</f>
        <v>0</v>
      </c>
      <c r="F264" s="12">
        <f>'[18]key-in(LO)'!AE262</f>
        <v>0</v>
      </c>
      <c r="G264" s="115">
        <f>'[18]key-in(LO)'!AF262</f>
        <v>0</v>
      </c>
      <c r="H264" s="12">
        <f>'[18]key-in(LO)'!AG262</f>
        <v>0</v>
      </c>
      <c r="I264" s="12">
        <f>'[18]key-in(LO)'!AH262</f>
        <v>0</v>
      </c>
      <c r="J264" s="10">
        <f>'[18]key-in(ACO)'!$AR262</f>
        <v>0</v>
      </c>
      <c r="K264" s="10">
        <f>'[18]key-in(ACO)'!$AS262</f>
        <v>0</v>
      </c>
      <c r="L264" s="9">
        <f>'[18]key-in(ACO)'!$AV262</f>
        <v>0</v>
      </c>
      <c r="M264" s="10">
        <f>[18]생산!BA261</f>
        <v>0</v>
      </c>
      <c r="N264" s="10">
        <f>[18]생산!BB261</f>
        <v>0</v>
      </c>
      <c r="O264" s="10">
        <f>[18]생산!BC261</f>
        <v>0</v>
      </c>
      <c r="P264" s="10">
        <f>[18]생산!BD261</f>
        <v>0</v>
      </c>
      <c r="Q264" s="10">
        <f>[18]생산!BE261</f>
        <v>0</v>
      </c>
      <c r="R264" s="10">
        <f>[18]생산!BF261</f>
        <v>0</v>
      </c>
      <c r="S264" s="9">
        <f>[18]운전시간외!C261</f>
        <v>0</v>
      </c>
      <c r="T264" s="9">
        <f>[18]운전시간외!D261</f>
        <v>0</v>
      </c>
      <c r="U264" s="9">
        <f>[18]운전시간외!E261</f>
        <v>0</v>
      </c>
      <c r="V264" s="9">
        <f>[18]운전시간외!F261</f>
        <v>0</v>
      </c>
      <c r="W264" s="11">
        <f>[18]생산!F261</f>
        <v>0</v>
      </c>
      <c r="X264" s="11">
        <f>[18]생산!G261</f>
        <v>0</v>
      </c>
      <c r="Y264" s="11">
        <f>[18]생산!H261</f>
        <v>0</v>
      </c>
      <c r="Z264" s="11">
        <f>[18]생산!I261</f>
        <v>0</v>
      </c>
      <c r="AA264" s="11">
        <f>[18]생산!J261</f>
        <v>0</v>
      </c>
      <c r="AB264" s="11">
        <f>[18]생산!K261</f>
        <v>0</v>
      </c>
      <c r="AC264" s="11"/>
    </row>
    <row r="265" spans="1:29">
      <c r="A265" s="6">
        <v>46282</v>
      </c>
      <c r="B265" s="12">
        <f>'[18]key-in(LO)'!AA263</f>
        <v>0</v>
      </c>
      <c r="C265" s="12">
        <f>'[18]key-in(LO)'!AB263</f>
        <v>0</v>
      </c>
      <c r="D265" s="12">
        <f>'[18]key-in(LO)'!AC263</f>
        <v>0</v>
      </c>
      <c r="E265" s="12">
        <f>'[18]key-in(LO)'!AD263</f>
        <v>0</v>
      </c>
      <c r="F265" s="12">
        <f>'[18]key-in(LO)'!AE263</f>
        <v>0</v>
      </c>
      <c r="G265" s="115">
        <f>'[18]key-in(LO)'!AF263</f>
        <v>0</v>
      </c>
      <c r="H265" s="12">
        <f>'[18]key-in(LO)'!AG263</f>
        <v>0</v>
      </c>
      <c r="I265" s="12">
        <f>'[18]key-in(LO)'!AH263</f>
        <v>0</v>
      </c>
      <c r="J265" s="10">
        <f>'[18]key-in(ACO)'!$AR263</f>
        <v>0</v>
      </c>
      <c r="K265" s="10">
        <f>'[18]key-in(ACO)'!$AS263</f>
        <v>0</v>
      </c>
      <c r="L265" s="9">
        <f>'[18]key-in(ACO)'!$AV263</f>
        <v>0</v>
      </c>
      <c r="M265" s="10">
        <f>[18]생산!BA262</f>
        <v>0</v>
      </c>
      <c r="N265" s="10">
        <f>[18]생산!BB262</f>
        <v>0</v>
      </c>
      <c r="O265" s="10">
        <f>[18]생산!BC262</f>
        <v>0</v>
      </c>
      <c r="P265" s="10">
        <f>[18]생산!BD262</f>
        <v>0</v>
      </c>
      <c r="Q265" s="10">
        <f>[18]생산!BE262</f>
        <v>0</v>
      </c>
      <c r="R265" s="10">
        <f>[18]생산!BF262</f>
        <v>0</v>
      </c>
      <c r="S265" s="9">
        <f>[18]운전시간외!C262</f>
        <v>0</v>
      </c>
      <c r="T265" s="9">
        <f>[18]운전시간외!D262</f>
        <v>0</v>
      </c>
      <c r="U265" s="9">
        <f>[18]운전시간외!E262</f>
        <v>0</v>
      </c>
      <c r="V265" s="9">
        <f>[18]운전시간외!F262</f>
        <v>0</v>
      </c>
      <c r="W265" s="11">
        <f>[18]생산!F262</f>
        <v>0</v>
      </c>
      <c r="X265" s="11">
        <f>[18]생산!G262</f>
        <v>0</v>
      </c>
      <c r="Y265" s="11">
        <f>[18]생산!H262</f>
        <v>0</v>
      </c>
      <c r="Z265" s="11">
        <f>[18]생산!I262</f>
        <v>0</v>
      </c>
      <c r="AA265" s="11">
        <f>[18]생산!J262</f>
        <v>0</v>
      </c>
      <c r="AB265" s="11">
        <f>[18]생산!K262</f>
        <v>0</v>
      </c>
      <c r="AC265" s="11"/>
    </row>
    <row r="266" spans="1:29">
      <c r="A266" s="6">
        <v>46283</v>
      </c>
      <c r="B266" s="12">
        <f>'[18]key-in(LO)'!AA264</f>
        <v>0</v>
      </c>
      <c r="C266" s="12">
        <f>'[18]key-in(LO)'!AB264</f>
        <v>0</v>
      </c>
      <c r="D266" s="12">
        <f>'[18]key-in(LO)'!AC264</f>
        <v>0</v>
      </c>
      <c r="E266" s="12">
        <f>'[18]key-in(LO)'!AD264</f>
        <v>0</v>
      </c>
      <c r="F266" s="12">
        <f>'[18]key-in(LO)'!AE264</f>
        <v>0</v>
      </c>
      <c r="G266" s="115">
        <f>'[18]key-in(LO)'!AF264</f>
        <v>0</v>
      </c>
      <c r="H266" s="12">
        <f>'[18]key-in(LO)'!AG264</f>
        <v>0</v>
      </c>
      <c r="I266" s="12">
        <f>'[18]key-in(LO)'!AH264</f>
        <v>0</v>
      </c>
      <c r="J266" s="10">
        <f>'[18]key-in(ACO)'!$AR264</f>
        <v>0</v>
      </c>
      <c r="K266" s="10">
        <f>'[18]key-in(ACO)'!$AS264</f>
        <v>0</v>
      </c>
      <c r="L266" s="9">
        <f>'[18]key-in(ACO)'!$AV264</f>
        <v>0</v>
      </c>
      <c r="M266" s="10">
        <f>[18]생산!BA263</f>
        <v>0</v>
      </c>
      <c r="N266" s="10">
        <f>[18]생산!BB263</f>
        <v>0</v>
      </c>
      <c r="O266" s="10">
        <f>[18]생산!BC263</f>
        <v>0</v>
      </c>
      <c r="P266" s="10">
        <f>[18]생산!BD263</f>
        <v>0</v>
      </c>
      <c r="Q266" s="10">
        <f>[18]생산!BE263</f>
        <v>0</v>
      </c>
      <c r="R266" s="10">
        <f>[18]생산!BF263</f>
        <v>0</v>
      </c>
      <c r="S266" s="9">
        <f>[18]운전시간외!C263</f>
        <v>0</v>
      </c>
      <c r="T266" s="9">
        <f>[18]운전시간외!D263</f>
        <v>0</v>
      </c>
      <c r="U266" s="9">
        <f>[18]운전시간외!E263</f>
        <v>0</v>
      </c>
      <c r="V266" s="9">
        <f>[18]운전시간외!F263</f>
        <v>0</v>
      </c>
      <c r="W266" s="11">
        <f>[18]생산!F263</f>
        <v>0</v>
      </c>
      <c r="X266" s="11">
        <f>[18]생산!G263</f>
        <v>0</v>
      </c>
      <c r="Y266" s="11">
        <f>[18]생산!H263</f>
        <v>0</v>
      </c>
      <c r="Z266" s="11">
        <f>[18]생산!I263</f>
        <v>0</v>
      </c>
      <c r="AA266" s="11">
        <f>[18]생산!J263</f>
        <v>0</v>
      </c>
      <c r="AB266" s="11">
        <f>[18]생산!K263</f>
        <v>0</v>
      </c>
      <c r="AC266" s="11"/>
    </row>
    <row r="267" spans="1:29">
      <c r="A267" s="6">
        <v>46284</v>
      </c>
      <c r="B267" s="12">
        <f>'[18]key-in(LO)'!AA265</f>
        <v>0</v>
      </c>
      <c r="C267" s="12">
        <f>'[18]key-in(LO)'!AB265</f>
        <v>0</v>
      </c>
      <c r="D267" s="12">
        <f>'[18]key-in(LO)'!AC265</f>
        <v>0</v>
      </c>
      <c r="E267" s="12">
        <f>'[18]key-in(LO)'!AD265</f>
        <v>0</v>
      </c>
      <c r="F267" s="12">
        <f>'[18]key-in(LO)'!AE265</f>
        <v>0</v>
      </c>
      <c r="G267" s="115">
        <f>'[18]key-in(LO)'!AF265</f>
        <v>0</v>
      </c>
      <c r="H267" s="12">
        <f>'[18]key-in(LO)'!AG265</f>
        <v>0</v>
      </c>
      <c r="I267" s="12">
        <f>'[18]key-in(LO)'!AH265</f>
        <v>0</v>
      </c>
      <c r="J267" s="10">
        <f>'[18]key-in(ACO)'!$AR265</f>
        <v>0</v>
      </c>
      <c r="K267" s="10">
        <f>'[18]key-in(ACO)'!$AS265</f>
        <v>0</v>
      </c>
      <c r="L267" s="9">
        <f>'[18]key-in(ACO)'!$AV265</f>
        <v>0</v>
      </c>
      <c r="M267" s="10">
        <f>[18]생산!BA264</f>
        <v>0</v>
      </c>
      <c r="N267" s="10">
        <f>[18]생산!BB264</f>
        <v>0</v>
      </c>
      <c r="O267" s="10">
        <f>[18]생산!BC264</f>
        <v>0</v>
      </c>
      <c r="P267" s="10">
        <f>[18]생산!BD264</f>
        <v>0</v>
      </c>
      <c r="Q267" s="10">
        <f>[18]생산!BE264</f>
        <v>0</v>
      </c>
      <c r="R267" s="10">
        <f>[18]생산!BF264</f>
        <v>0</v>
      </c>
      <c r="S267" s="9">
        <f>[18]운전시간외!C264</f>
        <v>0</v>
      </c>
      <c r="T267" s="9">
        <f>[18]운전시간외!D264</f>
        <v>0</v>
      </c>
      <c r="U267" s="9">
        <f>[18]운전시간외!E264</f>
        <v>0</v>
      </c>
      <c r="V267" s="9">
        <f>[18]운전시간외!F264</f>
        <v>0</v>
      </c>
      <c r="W267" s="11">
        <f>[18]생산!F264</f>
        <v>0</v>
      </c>
      <c r="X267" s="11">
        <f>[18]생산!G264</f>
        <v>0</v>
      </c>
      <c r="Y267" s="11">
        <f>[18]생산!H264</f>
        <v>0</v>
      </c>
      <c r="Z267" s="11">
        <f>[18]생산!I264</f>
        <v>0</v>
      </c>
      <c r="AA267" s="11">
        <f>[18]생산!J264</f>
        <v>0</v>
      </c>
      <c r="AB267" s="11">
        <f>[18]생산!K264</f>
        <v>0</v>
      </c>
      <c r="AC267" s="11"/>
    </row>
    <row r="268" spans="1:29">
      <c r="A268" s="6">
        <v>46285</v>
      </c>
      <c r="B268" s="12">
        <f>'[18]key-in(LO)'!AA266</f>
        <v>0</v>
      </c>
      <c r="C268" s="12">
        <f>'[18]key-in(LO)'!AB266</f>
        <v>0</v>
      </c>
      <c r="D268" s="12">
        <f>'[18]key-in(LO)'!AC266</f>
        <v>0</v>
      </c>
      <c r="E268" s="12">
        <f>'[18]key-in(LO)'!AD266</f>
        <v>0</v>
      </c>
      <c r="F268" s="12">
        <f>'[18]key-in(LO)'!AE266</f>
        <v>0</v>
      </c>
      <c r="G268" s="115">
        <f>'[18]key-in(LO)'!AF266</f>
        <v>0</v>
      </c>
      <c r="H268" s="12">
        <f>'[18]key-in(LO)'!AG266</f>
        <v>0</v>
      </c>
      <c r="I268" s="12">
        <f>'[18]key-in(LO)'!AH266</f>
        <v>0</v>
      </c>
      <c r="J268" s="10">
        <f>'[18]key-in(ACO)'!$AR266</f>
        <v>0</v>
      </c>
      <c r="K268" s="10">
        <f>'[18]key-in(ACO)'!$AS266</f>
        <v>0</v>
      </c>
      <c r="L268" s="9">
        <f>'[18]key-in(ACO)'!$AV266</f>
        <v>0</v>
      </c>
      <c r="M268" s="10">
        <f>[18]생산!BA265</f>
        <v>0</v>
      </c>
      <c r="N268" s="10">
        <f>[18]생산!BB265</f>
        <v>0</v>
      </c>
      <c r="O268" s="10">
        <f>[18]생산!BC265</f>
        <v>0</v>
      </c>
      <c r="P268" s="10">
        <f>[18]생산!BD265</f>
        <v>0</v>
      </c>
      <c r="Q268" s="10">
        <f>[18]생산!BE265</f>
        <v>0</v>
      </c>
      <c r="R268" s="10">
        <f>[18]생산!BF265</f>
        <v>0</v>
      </c>
      <c r="S268" s="9">
        <f>[18]운전시간외!C265</f>
        <v>0</v>
      </c>
      <c r="T268" s="9">
        <f>[18]운전시간외!D265</f>
        <v>0</v>
      </c>
      <c r="U268" s="9">
        <f>[18]운전시간외!E265</f>
        <v>0</v>
      </c>
      <c r="V268" s="9">
        <f>[18]운전시간외!F265</f>
        <v>0</v>
      </c>
      <c r="W268" s="11">
        <f>[18]생산!F265</f>
        <v>0</v>
      </c>
      <c r="X268" s="11">
        <f>[18]생산!G265</f>
        <v>0</v>
      </c>
      <c r="Y268" s="11">
        <f>[18]생산!H265</f>
        <v>0</v>
      </c>
      <c r="Z268" s="11">
        <f>[18]생산!I265</f>
        <v>0</v>
      </c>
      <c r="AA268" s="11">
        <f>[18]생산!J265</f>
        <v>0</v>
      </c>
      <c r="AB268" s="11">
        <f>[18]생산!K265</f>
        <v>0</v>
      </c>
      <c r="AC268" s="11"/>
    </row>
    <row r="269" spans="1:29">
      <c r="A269" s="6">
        <v>46286</v>
      </c>
      <c r="B269" s="12">
        <f>'[18]key-in(LO)'!AA267</f>
        <v>0</v>
      </c>
      <c r="C269" s="12">
        <f>'[18]key-in(LO)'!AB267</f>
        <v>0</v>
      </c>
      <c r="D269" s="12">
        <f>'[18]key-in(LO)'!AC267</f>
        <v>0</v>
      </c>
      <c r="E269" s="12">
        <f>'[18]key-in(LO)'!AD267</f>
        <v>0</v>
      </c>
      <c r="F269" s="12">
        <f>'[18]key-in(LO)'!AE267</f>
        <v>0</v>
      </c>
      <c r="G269" s="115">
        <f>'[18]key-in(LO)'!AF267</f>
        <v>0</v>
      </c>
      <c r="H269" s="12">
        <f>'[18]key-in(LO)'!AG267</f>
        <v>0</v>
      </c>
      <c r="I269" s="12">
        <f>'[18]key-in(LO)'!AH267</f>
        <v>0</v>
      </c>
      <c r="J269" s="10">
        <f>'[18]key-in(ACO)'!$AR267</f>
        <v>0</v>
      </c>
      <c r="K269" s="10">
        <f>'[18]key-in(ACO)'!$AS267</f>
        <v>0</v>
      </c>
      <c r="L269" s="9">
        <f>'[18]key-in(ACO)'!$AV267</f>
        <v>0</v>
      </c>
      <c r="M269" s="10">
        <f>[18]생산!BA266</f>
        <v>0</v>
      </c>
      <c r="N269" s="10">
        <f>[18]생산!BB266</f>
        <v>0</v>
      </c>
      <c r="O269" s="10">
        <f>[18]생산!BC266</f>
        <v>0</v>
      </c>
      <c r="P269" s="10">
        <f>[18]생산!BD266</f>
        <v>0</v>
      </c>
      <c r="Q269" s="10">
        <f>[18]생산!BE266</f>
        <v>0</v>
      </c>
      <c r="R269" s="10">
        <f>[18]생산!BF266</f>
        <v>0</v>
      </c>
      <c r="S269" s="9">
        <f>[18]운전시간외!C266</f>
        <v>0</v>
      </c>
      <c r="T269" s="9">
        <f>[18]운전시간외!D266</f>
        <v>0</v>
      </c>
      <c r="U269" s="9">
        <f>[18]운전시간외!E266</f>
        <v>0</v>
      </c>
      <c r="V269" s="9">
        <f>[18]운전시간외!F266</f>
        <v>0</v>
      </c>
      <c r="W269" s="11">
        <f>[18]생산!F266</f>
        <v>0</v>
      </c>
      <c r="X269" s="11">
        <f>[18]생산!G266</f>
        <v>0</v>
      </c>
      <c r="Y269" s="11">
        <f>[18]생산!H266</f>
        <v>0</v>
      </c>
      <c r="Z269" s="11">
        <f>[18]생산!I266</f>
        <v>0</v>
      </c>
      <c r="AA269" s="11">
        <f>[18]생산!J266</f>
        <v>0</v>
      </c>
      <c r="AB269" s="11">
        <f>[18]생산!K266</f>
        <v>0</v>
      </c>
      <c r="AC269" s="11"/>
    </row>
    <row r="270" spans="1:29">
      <c r="A270" s="6">
        <v>46287</v>
      </c>
      <c r="B270" s="12">
        <f>'[18]key-in(LO)'!AA268</f>
        <v>0</v>
      </c>
      <c r="C270" s="12">
        <f>'[18]key-in(LO)'!AB268</f>
        <v>0</v>
      </c>
      <c r="D270" s="12">
        <f>'[18]key-in(LO)'!AC268</f>
        <v>0</v>
      </c>
      <c r="E270" s="12">
        <f>'[18]key-in(LO)'!AD268</f>
        <v>0</v>
      </c>
      <c r="F270" s="12">
        <f>'[18]key-in(LO)'!AE268</f>
        <v>0</v>
      </c>
      <c r="G270" s="115">
        <f>'[18]key-in(LO)'!AF268</f>
        <v>0</v>
      </c>
      <c r="H270" s="12">
        <f>'[18]key-in(LO)'!AG268</f>
        <v>0</v>
      </c>
      <c r="I270" s="12">
        <f>'[18]key-in(LO)'!AH268</f>
        <v>0</v>
      </c>
      <c r="J270" s="10">
        <f>'[18]key-in(ACO)'!$AR268</f>
        <v>0</v>
      </c>
      <c r="K270" s="10">
        <f>'[18]key-in(ACO)'!$AS268</f>
        <v>0</v>
      </c>
      <c r="L270" s="9">
        <f>'[18]key-in(ACO)'!$AV268</f>
        <v>0</v>
      </c>
      <c r="M270" s="10">
        <f>[18]생산!BA267</f>
        <v>0</v>
      </c>
      <c r="N270" s="10">
        <f>[18]생산!BB267</f>
        <v>0</v>
      </c>
      <c r="O270" s="10">
        <f>[18]생산!BC267</f>
        <v>0</v>
      </c>
      <c r="P270" s="10">
        <f>[18]생산!BD267</f>
        <v>0</v>
      </c>
      <c r="Q270" s="10">
        <f>[18]생산!BE267</f>
        <v>0</v>
      </c>
      <c r="R270" s="10">
        <f>[18]생산!BF267</f>
        <v>0</v>
      </c>
      <c r="S270" s="9">
        <f>[18]운전시간외!C267</f>
        <v>0</v>
      </c>
      <c r="T270" s="9">
        <f>[18]운전시간외!D267</f>
        <v>0</v>
      </c>
      <c r="U270" s="9">
        <f>[18]운전시간외!E267</f>
        <v>0</v>
      </c>
      <c r="V270" s="9">
        <f>[18]운전시간외!F267</f>
        <v>0</v>
      </c>
      <c r="W270" s="11">
        <f>[18]생산!F267</f>
        <v>0</v>
      </c>
      <c r="X270" s="11">
        <f>[18]생산!G267</f>
        <v>0</v>
      </c>
      <c r="Y270" s="11">
        <f>[18]생산!H267</f>
        <v>0</v>
      </c>
      <c r="Z270" s="11">
        <f>[18]생산!I267</f>
        <v>0</v>
      </c>
      <c r="AA270" s="11">
        <f>[18]생산!J267</f>
        <v>0</v>
      </c>
      <c r="AB270" s="11">
        <f>[18]생산!K267</f>
        <v>0</v>
      </c>
      <c r="AC270" s="11"/>
    </row>
    <row r="271" spans="1:29">
      <c r="A271" s="6">
        <v>46288</v>
      </c>
      <c r="B271" s="12">
        <f>'[18]key-in(LO)'!AA269</f>
        <v>0</v>
      </c>
      <c r="C271" s="12">
        <f>'[18]key-in(LO)'!AB269</f>
        <v>0</v>
      </c>
      <c r="D271" s="12">
        <f>'[18]key-in(LO)'!AC269</f>
        <v>0</v>
      </c>
      <c r="E271" s="12">
        <f>'[18]key-in(LO)'!AD269</f>
        <v>0</v>
      </c>
      <c r="F271" s="12">
        <f>'[18]key-in(LO)'!AE269</f>
        <v>0</v>
      </c>
      <c r="G271" s="115">
        <f>'[18]key-in(LO)'!AF269</f>
        <v>0</v>
      </c>
      <c r="H271" s="12">
        <f>'[18]key-in(LO)'!AG269</f>
        <v>0</v>
      </c>
      <c r="I271" s="12">
        <f>'[18]key-in(LO)'!AH269</f>
        <v>0</v>
      </c>
      <c r="J271" s="10">
        <f>'[18]key-in(ACO)'!$AR269</f>
        <v>0</v>
      </c>
      <c r="K271" s="10">
        <f>'[18]key-in(ACO)'!$AS269</f>
        <v>0</v>
      </c>
      <c r="L271" s="9">
        <f>'[18]key-in(ACO)'!$AV269</f>
        <v>0</v>
      </c>
      <c r="M271" s="10">
        <f>[18]생산!BA268</f>
        <v>0</v>
      </c>
      <c r="N271" s="10">
        <f>[18]생산!BB268</f>
        <v>0</v>
      </c>
      <c r="O271" s="10">
        <f>[18]생산!BC268</f>
        <v>0</v>
      </c>
      <c r="P271" s="10">
        <f>[18]생산!BD268</f>
        <v>0</v>
      </c>
      <c r="Q271" s="10">
        <f>[18]생산!BE268</f>
        <v>0</v>
      </c>
      <c r="R271" s="10">
        <f>[18]생산!BF268</f>
        <v>0</v>
      </c>
      <c r="S271" s="9">
        <f>[18]운전시간외!C268</f>
        <v>0</v>
      </c>
      <c r="T271" s="9">
        <f>[18]운전시간외!D268</f>
        <v>0</v>
      </c>
      <c r="U271" s="9">
        <f>[18]운전시간외!E268</f>
        <v>0</v>
      </c>
      <c r="V271" s="9">
        <f>[18]운전시간외!F268</f>
        <v>0</v>
      </c>
      <c r="W271" s="11">
        <f>[18]생산!F268</f>
        <v>0</v>
      </c>
      <c r="X271" s="11">
        <f>[18]생산!G268</f>
        <v>0</v>
      </c>
      <c r="Y271" s="11">
        <f>[18]생산!H268</f>
        <v>0</v>
      </c>
      <c r="Z271" s="11">
        <f>[18]생산!I268</f>
        <v>0</v>
      </c>
      <c r="AA271" s="11">
        <f>[18]생산!J268</f>
        <v>0</v>
      </c>
      <c r="AB271" s="11">
        <f>[18]생산!K268</f>
        <v>0</v>
      </c>
      <c r="AC271" s="11"/>
    </row>
    <row r="272" spans="1:29">
      <c r="A272" s="6">
        <v>46289</v>
      </c>
      <c r="B272" s="12">
        <f>'[18]key-in(LO)'!AA270</f>
        <v>0</v>
      </c>
      <c r="C272" s="12">
        <f>'[18]key-in(LO)'!AB270</f>
        <v>0</v>
      </c>
      <c r="D272" s="12">
        <f>'[18]key-in(LO)'!AC270</f>
        <v>0</v>
      </c>
      <c r="E272" s="12">
        <f>'[18]key-in(LO)'!AD270</f>
        <v>0</v>
      </c>
      <c r="F272" s="12">
        <f>'[18]key-in(LO)'!AE270</f>
        <v>0</v>
      </c>
      <c r="G272" s="115">
        <f>'[18]key-in(LO)'!AF270</f>
        <v>0</v>
      </c>
      <c r="H272" s="12">
        <f>'[18]key-in(LO)'!AG270</f>
        <v>0</v>
      </c>
      <c r="I272" s="12">
        <f>'[18]key-in(LO)'!AH270</f>
        <v>0</v>
      </c>
      <c r="J272" s="10">
        <f>'[18]key-in(ACO)'!$AR270</f>
        <v>0</v>
      </c>
      <c r="K272" s="10">
        <f>'[18]key-in(ACO)'!$AS270</f>
        <v>0</v>
      </c>
      <c r="L272" s="9">
        <f>'[18]key-in(ACO)'!$AV270</f>
        <v>0</v>
      </c>
      <c r="M272" s="10">
        <f>[18]생산!BA269</f>
        <v>0</v>
      </c>
      <c r="N272" s="10">
        <f>[18]생산!BB269</f>
        <v>0</v>
      </c>
      <c r="O272" s="10">
        <f>[18]생산!BC269</f>
        <v>0</v>
      </c>
      <c r="P272" s="10">
        <f>[18]생산!BD269</f>
        <v>0</v>
      </c>
      <c r="Q272" s="10">
        <f>[18]생산!BE269</f>
        <v>0</v>
      </c>
      <c r="R272" s="10">
        <f>[18]생산!BF269</f>
        <v>0</v>
      </c>
      <c r="S272" s="9">
        <f>[18]운전시간외!C269</f>
        <v>0</v>
      </c>
      <c r="T272" s="9">
        <f>[18]운전시간외!D269</f>
        <v>0</v>
      </c>
      <c r="U272" s="9">
        <f>[18]운전시간외!E269</f>
        <v>0</v>
      </c>
      <c r="V272" s="9">
        <f>[18]운전시간외!F269</f>
        <v>0</v>
      </c>
      <c r="W272" s="11">
        <f>[18]생산!F269</f>
        <v>0</v>
      </c>
      <c r="X272" s="11">
        <f>[18]생산!G269</f>
        <v>0</v>
      </c>
      <c r="Y272" s="11">
        <f>[18]생산!H269</f>
        <v>0</v>
      </c>
      <c r="Z272" s="11">
        <f>[18]생산!I269</f>
        <v>0</v>
      </c>
      <c r="AA272" s="11">
        <f>[18]생산!J269</f>
        <v>0</v>
      </c>
      <c r="AB272" s="11">
        <f>[18]생산!K269</f>
        <v>0</v>
      </c>
      <c r="AC272" s="11"/>
    </row>
    <row r="273" spans="1:29">
      <c r="A273" s="6">
        <v>46290</v>
      </c>
      <c r="B273" s="12">
        <f>'[18]key-in(LO)'!AA271</f>
        <v>0</v>
      </c>
      <c r="C273" s="12">
        <f>'[18]key-in(LO)'!AB271</f>
        <v>0</v>
      </c>
      <c r="D273" s="12">
        <f>'[18]key-in(LO)'!AC271</f>
        <v>0</v>
      </c>
      <c r="E273" s="12">
        <f>'[18]key-in(LO)'!AD271</f>
        <v>0</v>
      </c>
      <c r="F273" s="12">
        <f>'[18]key-in(LO)'!AE271</f>
        <v>0</v>
      </c>
      <c r="G273" s="115">
        <f>'[18]key-in(LO)'!AF271</f>
        <v>0</v>
      </c>
      <c r="H273" s="12">
        <f>'[18]key-in(LO)'!AG271</f>
        <v>0</v>
      </c>
      <c r="I273" s="12">
        <f>'[18]key-in(LO)'!AH271</f>
        <v>0</v>
      </c>
      <c r="J273" s="10">
        <f>'[18]key-in(ACO)'!$AR271</f>
        <v>0</v>
      </c>
      <c r="K273" s="10">
        <f>'[18]key-in(ACO)'!$AS271</f>
        <v>0</v>
      </c>
      <c r="L273" s="9">
        <f>'[18]key-in(ACO)'!$AV271</f>
        <v>0</v>
      </c>
      <c r="M273" s="10">
        <f>[18]생산!BA270</f>
        <v>0</v>
      </c>
      <c r="N273" s="10">
        <f>[18]생산!BB270</f>
        <v>0</v>
      </c>
      <c r="O273" s="10">
        <f>[18]생산!BC270</f>
        <v>0</v>
      </c>
      <c r="P273" s="10">
        <f>[18]생산!BD270</f>
        <v>0</v>
      </c>
      <c r="Q273" s="10">
        <f>[18]생산!BE270</f>
        <v>0</v>
      </c>
      <c r="R273" s="10">
        <f>[18]생산!BF270</f>
        <v>0</v>
      </c>
      <c r="S273" s="9">
        <f>[18]운전시간외!C270</f>
        <v>0</v>
      </c>
      <c r="T273" s="9">
        <f>[18]운전시간외!D270</f>
        <v>0</v>
      </c>
      <c r="U273" s="9">
        <f>[18]운전시간외!E270</f>
        <v>0</v>
      </c>
      <c r="V273" s="9">
        <f>[18]운전시간외!F270</f>
        <v>0</v>
      </c>
      <c r="W273" s="11">
        <f>[18]생산!F270</f>
        <v>0</v>
      </c>
      <c r="X273" s="11">
        <f>[18]생산!G270</f>
        <v>0</v>
      </c>
      <c r="Y273" s="11">
        <f>[18]생산!H270</f>
        <v>0</v>
      </c>
      <c r="Z273" s="11">
        <f>[18]생산!I270</f>
        <v>0</v>
      </c>
      <c r="AA273" s="11">
        <f>[18]생산!J270</f>
        <v>0</v>
      </c>
      <c r="AB273" s="11">
        <f>[18]생산!K270</f>
        <v>0</v>
      </c>
      <c r="AC273" s="11"/>
    </row>
    <row r="274" spans="1:29">
      <c r="A274" s="6">
        <v>46291</v>
      </c>
      <c r="B274" s="12">
        <f>'[18]key-in(LO)'!AA272</f>
        <v>0</v>
      </c>
      <c r="C274" s="12">
        <f>'[18]key-in(LO)'!AB272</f>
        <v>0</v>
      </c>
      <c r="D274" s="12">
        <f>'[18]key-in(LO)'!AC272</f>
        <v>0</v>
      </c>
      <c r="E274" s="12">
        <f>'[18]key-in(LO)'!AD272</f>
        <v>0</v>
      </c>
      <c r="F274" s="12">
        <f>'[18]key-in(LO)'!AE272</f>
        <v>0</v>
      </c>
      <c r="G274" s="115">
        <f>'[18]key-in(LO)'!AF272</f>
        <v>0</v>
      </c>
      <c r="H274" s="12">
        <f>'[18]key-in(LO)'!AG272</f>
        <v>0</v>
      </c>
      <c r="I274" s="12">
        <f>'[18]key-in(LO)'!AH272</f>
        <v>0</v>
      </c>
      <c r="J274" s="10">
        <f>'[18]key-in(ACO)'!$AR272</f>
        <v>0</v>
      </c>
      <c r="K274" s="10">
        <f>'[18]key-in(ACO)'!$AS272</f>
        <v>0</v>
      </c>
      <c r="L274" s="9">
        <f>'[18]key-in(ACO)'!$AV272</f>
        <v>0</v>
      </c>
      <c r="M274" s="10">
        <f>[18]생산!BA271</f>
        <v>0</v>
      </c>
      <c r="N274" s="10">
        <f>[18]생산!BB271</f>
        <v>0</v>
      </c>
      <c r="O274" s="10">
        <f>[18]생산!BC271</f>
        <v>0</v>
      </c>
      <c r="P274" s="10">
        <f>[18]생산!BD271</f>
        <v>0</v>
      </c>
      <c r="Q274" s="10">
        <f>[18]생산!BE271</f>
        <v>0</v>
      </c>
      <c r="R274" s="10">
        <f>[18]생산!BF271</f>
        <v>0</v>
      </c>
      <c r="S274" s="9">
        <f>[18]운전시간외!C271</f>
        <v>0</v>
      </c>
      <c r="T274" s="9">
        <f>[18]운전시간외!D271</f>
        <v>0</v>
      </c>
      <c r="U274" s="9">
        <f>[18]운전시간외!E271</f>
        <v>0</v>
      </c>
      <c r="V274" s="9">
        <f>[18]운전시간외!F271</f>
        <v>0</v>
      </c>
      <c r="W274" s="11">
        <f>[18]생산!F271</f>
        <v>0</v>
      </c>
      <c r="X274" s="11">
        <f>[18]생산!G271</f>
        <v>0</v>
      </c>
      <c r="Y274" s="11">
        <f>[18]생산!H271</f>
        <v>0</v>
      </c>
      <c r="Z274" s="11">
        <f>[18]생산!I271</f>
        <v>0</v>
      </c>
      <c r="AA274" s="11">
        <f>[18]생산!J271</f>
        <v>0</v>
      </c>
      <c r="AB274" s="11">
        <f>[18]생산!K271</f>
        <v>0</v>
      </c>
      <c r="AC274" s="11"/>
    </row>
    <row r="275" spans="1:29">
      <c r="A275" s="6">
        <v>46292</v>
      </c>
      <c r="B275" s="12">
        <f>'[18]key-in(LO)'!AA273</f>
        <v>0</v>
      </c>
      <c r="C275" s="12">
        <f>'[18]key-in(LO)'!AB273</f>
        <v>0</v>
      </c>
      <c r="D275" s="12">
        <f>'[18]key-in(LO)'!AC273</f>
        <v>0</v>
      </c>
      <c r="E275" s="12">
        <f>'[18]key-in(LO)'!AD273</f>
        <v>0</v>
      </c>
      <c r="F275" s="12">
        <f>'[18]key-in(LO)'!AE273</f>
        <v>0</v>
      </c>
      <c r="G275" s="115">
        <f>'[18]key-in(LO)'!AF273</f>
        <v>0</v>
      </c>
      <c r="H275" s="12">
        <f>'[18]key-in(LO)'!AG273</f>
        <v>0</v>
      </c>
      <c r="I275" s="12">
        <f>'[18]key-in(LO)'!AH273</f>
        <v>0</v>
      </c>
      <c r="J275" s="10">
        <f>'[18]key-in(ACO)'!$AR273</f>
        <v>0</v>
      </c>
      <c r="K275" s="10">
        <f>'[18]key-in(ACO)'!$AS273</f>
        <v>0</v>
      </c>
      <c r="L275" s="9">
        <f>'[18]key-in(ACO)'!$AV273</f>
        <v>0</v>
      </c>
      <c r="M275" s="10">
        <f>[18]생산!BA272</f>
        <v>0</v>
      </c>
      <c r="N275" s="10">
        <f>[18]생산!BB272</f>
        <v>0</v>
      </c>
      <c r="O275" s="10">
        <f>[18]생산!BC272</f>
        <v>0</v>
      </c>
      <c r="P275" s="10">
        <f>[18]생산!BD272</f>
        <v>0</v>
      </c>
      <c r="Q275" s="10">
        <f>[18]생산!BE272</f>
        <v>0</v>
      </c>
      <c r="R275" s="10">
        <f>[18]생산!BF272</f>
        <v>0</v>
      </c>
      <c r="S275" s="9">
        <f>[18]운전시간외!C272</f>
        <v>0</v>
      </c>
      <c r="T275" s="9">
        <f>[18]운전시간외!D272</f>
        <v>0</v>
      </c>
      <c r="U275" s="9">
        <f>[18]운전시간외!E272</f>
        <v>0</v>
      </c>
      <c r="V275" s="9">
        <f>[18]운전시간외!F272</f>
        <v>0</v>
      </c>
      <c r="W275" s="11">
        <f>[18]생산!F272</f>
        <v>0</v>
      </c>
      <c r="X275" s="11">
        <f>[18]생산!G272</f>
        <v>0</v>
      </c>
      <c r="Y275" s="11">
        <f>[18]생산!H272</f>
        <v>0</v>
      </c>
      <c r="Z275" s="11">
        <f>[18]생산!I272</f>
        <v>0</v>
      </c>
      <c r="AA275" s="11">
        <f>[18]생산!J272</f>
        <v>0</v>
      </c>
      <c r="AB275" s="11">
        <f>[18]생산!K272</f>
        <v>0</v>
      </c>
      <c r="AC275" s="11"/>
    </row>
    <row r="276" spans="1:29">
      <c r="A276" s="6">
        <v>46293</v>
      </c>
      <c r="B276" s="12">
        <f>'[18]key-in(LO)'!AA274</f>
        <v>0</v>
      </c>
      <c r="C276" s="12">
        <f>'[18]key-in(LO)'!AB274</f>
        <v>0</v>
      </c>
      <c r="D276" s="12">
        <f>'[18]key-in(LO)'!AC274</f>
        <v>0</v>
      </c>
      <c r="E276" s="12">
        <f>'[18]key-in(LO)'!AD274</f>
        <v>0</v>
      </c>
      <c r="F276" s="12">
        <f>'[18]key-in(LO)'!AE274</f>
        <v>0</v>
      </c>
      <c r="G276" s="115">
        <f>'[18]key-in(LO)'!AF274</f>
        <v>0</v>
      </c>
      <c r="H276" s="12">
        <f>'[18]key-in(LO)'!AG274</f>
        <v>0</v>
      </c>
      <c r="I276" s="12">
        <f>'[18]key-in(LO)'!AH274</f>
        <v>0</v>
      </c>
      <c r="J276" s="10">
        <f>'[18]key-in(ACO)'!$AR274</f>
        <v>0</v>
      </c>
      <c r="K276" s="10">
        <f>'[18]key-in(ACO)'!$AS274</f>
        <v>0</v>
      </c>
      <c r="L276" s="9">
        <f>'[18]key-in(ACO)'!$AV274</f>
        <v>0</v>
      </c>
      <c r="M276" s="10">
        <f>[18]생산!BA273</f>
        <v>0</v>
      </c>
      <c r="N276" s="10">
        <f>[18]생산!BB273</f>
        <v>0</v>
      </c>
      <c r="O276" s="10">
        <f>[18]생산!BC273</f>
        <v>0</v>
      </c>
      <c r="P276" s="10">
        <f>[18]생산!BD273</f>
        <v>0</v>
      </c>
      <c r="Q276" s="10">
        <f>[18]생산!BE273</f>
        <v>0</v>
      </c>
      <c r="R276" s="10">
        <f>[18]생산!BF273</f>
        <v>0</v>
      </c>
      <c r="S276" s="9">
        <f>[18]운전시간외!C273</f>
        <v>0</v>
      </c>
      <c r="T276" s="9">
        <f>[18]운전시간외!D273</f>
        <v>0</v>
      </c>
      <c r="U276" s="9">
        <f>[18]운전시간외!E273</f>
        <v>0</v>
      </c>
      <c r="V276" s="9">
        <f>[18]운전시간외!F273</f>
        <v>0</v>
      </c>
      <c r="W276" s="11">
        <f>[18]생산!F273</f>
        <v>0</v>
      </c>
      <c r="X276" s="11">
        <f>[18]생산!G273</f>
        <v>0</v>
      </c>
      <c r="Y276" s="11">
        <f>[18]생산!H273</f>
        <v>0</v>
      </c>
      <c r="Z276" s="11">
        <f>[18]생산!I273</f>
        <v>0</v>
      </c>
      <c r="AA276" s="11">
        <f>[18]생산!J273</f>
        <v>0</v>
      </c>
      <c r="AB276" s="11">
        <f>[18]생산!K273</f>
        <v>0</v>
      </c>
      <c r="AC276" s="11"/>
    </row>
    <row r="277" spans="1:29">
      <c r="A277" s="6">
        <v>46294</v>
      </c>
      <c r="B277" s="12">
        <f>'[18]key-in(LO)'!AA275</f>
        <v>0</v>
      </c>
      <c r="C277" s="12">
        <f>'[18]key-in(LO)'!AB275</f>
        <v>0</v>
      </c>
      <c r="D277" s="12">
        <f>'[18]key-in(LO)'!AC275</f>
        <v>0</v>
      </c>
      <c r="E277" s="12">
        <f>'[18]key-in(LO)'!AD275</f>
        <v>0</v>
      </c>
      <c r="F277" s="12">
        <f>'[18]key-in(LO)'!AE275</f>
        <v>0</v>
      </c>
      <c r="G277" s="115">
        <f>'[18]key-in(LO)'!AF275</f>
        <v>0</v>
      </c>
      <c r="H277" s="12">
        <f>'[18]key-in(LO)'!AG275</f>
        <v>0</v>
      </c>
      <c r="I277" s="12">
        <f>'[18]key-in(LO)'!AH275</f>
        <v>0</v>
      </c>
      <c r="J277" s="10">
        <f>'[18]key-in(ACO)'!$AR275</f>
        <v>0</v>
      </c>
      <c r="K277" s="10">
        <f>'[18]key-in(ACO)'!$AS275</f>
        <v>0</v>
      </c>
      <c r="L277" s="9">
        <f>'[18]key-in(ACO)'!$AV275</f>
        <v>0</v>
      </c>
      <c r="M277" s="10">
        <f>[18]생산!BA274</f>
        <v>0</v>
      </c>
      <c r="N277" s="10">
        <f>[18]생산!BB274</f>
        <v>0</v>
      </c>
      <c r="O277" s="10">
        <f>[18]생산!BC274</f>
        <v>0</v>
      </c>
      <c r="P277" s="10">
        <f>[18]생산!BD274</f>
        <v>0</v>
      </c>
      <c r="Q277" s="10">
        <f>[18]생산!BE274</f>
        <v>0</v>
      </c>
      <c r="R277" s="10">
        <f>[18]생산!BF274</f>
        <v>0</v>
      </c>
      <c r="S277" s="9">
        <f>[18]운전시간외!C274</f>
        <v>0</v>
      </c>
      <c r="T277" s="9">
        <f>[18]운전시간외!D274</f>
        <v>0</v>
      </c>
      <c r="U277" s="9">
        <f>[18]운전시간외!E274</f>
        <v>0</v>
      </c>
      <c r="V277" s="9">
        <f>[18]운전시간외!F274</f>
        <v>0</v>
      </c>
      <c r="W277" s="11">
        <f>[18]생산!F274</f>
        <v>0</v>
      </c>
      <c r="X277" s="11">
        <f>[18]생산!G274</f>
        <v>0</v>
      </c>
      <c r="Y277" s="11">
        <f>[18]생산!H274</f>
        <v>0</v>
      </c>
      <c r="Z277" s="11">
        <f>[18]생산!I274</f>
        <v>0</v>
      </c>
      <c r="AA277" s="11">
        <f>[18]생산!J274</f>
        <v>0</v>
      </c>
      <c r="AB277" s="11">
        <f>[18]생산!K274</f>
        <v>0</v>
      </c>
      <c r="AC277" s="11"/>
    </row>
    <row r="278" spans="1:29">
      <c r="A278" s="6">
        <v>46295</v>
      </c>
      <c r="B278" s="12">
        <f>'[18]key-in(LO)'!AA276</f>
        <v>0</v>
      </c>
      <c r="C278" s="12">
        <f>'[18]key-in(LO)'!AB276</f>
        <v>0</v>
      </c>
      <c r="D278" s="12">
        <f>'[18]key-in(LO)'!AC276</f>
        <v>0</v>
      </c>
      <c r="E278" s="12">
        <f>'[18]key-in(LO)'!AD276</f>
        <v>0</v>
      </c>
      <c r="F278" s="12">
        <f>'[18]key-in(LO)'!AE276</f>
        <v>0</v>
      </c>
      <c r="G278" s="115">
        <f>'[18]key-in(LO)'!AF276</f>
        <v>0</v>
      </c>
      <c r="H278" s="12">
        <f>'[18]key-in(LO)'!AG276</f>
        <v>0</v>
      </c>
      <c r="I278" s="12">
        <f>'[18]key-in(LO)'!AH276</f>
        <v>0</v>
      </c>
      <c r="J278" s="10">
        <f>'[18]key-in(ACO)'!$AR276</f>
        <v>0</v>
      </c>
      <c r="K278" s="10">
        <f>'[18]key-in(ACO)'!$AS276</f>
        <v>0</v>
      </c>
      <c r="L278" s="9">
        <f>'[18]key-in(ACO)'!$AV276</f>
        <v>0</v>
      </c>
      <c r="M278" s="10">
        <f>[18]생산!BA275</f>
        <v>0</v>
      </c>
      <c r="N278" s="10">
        <f>[18]생산!BB275</f>
        <v>0</v>
      </c>
      <c r="O278" s="10">
        <f>[18]생산!BC275</f>
        <v>0</v>
      </c>
      <c r="P278" s="10">
        <f>[18]생산!BD275</f>
        <v>0</v>
      </c>
      <c r="Q278" s="10">
        <f>[18]생산!BE275</f>
        <v>0</v>
      </c>
      <c r="R278" s="10">
        <f>[18]생산!BF275</f>
        <v>0</v>
      </c>
      <c r="S278" s="9">
        <f>[18]운전시간외!C275</f>
        <v>0</v>
      </c>
      <c r="T278" s="9">
        <f>[18]운전시간외!D275</f>
        <v>0</v>
      </c>
      <c r="U278" s="9">
        <f>[18]운전시간외!E275</f>
        <v>0</v>
      </c>
      <c r="V278" s="9">
        <f>[18]운전시간외!F275</f>
        <v>0</v>
      </c>
      <c r="W278" s="11">
        <f>[18]생산!F275</f>
        <v>0</v>
      </c>
      <c r="X278" s="11">
        <f>[18]생산!G275</f>
        <v>0</v>
      </c>
      <c r="Y278" s="11">
        <f>[18]생산!H275</f>
        <v>0</v>
      </c>
      <c r="Z278" s="11">
        <f>[18]생산!I275</f>
        <v>0</v>
      </c>
      <c r="AA278" s="11">
        <f>[18]생산!J275</f>
        <v>0</v>
      </c>
      <c r="AB278" s="11">
        <f>[18]생산!K275</f>
        <v>0</v>
      </c>
      <c r="AC278" s="11"/>
    </row>
    <row r="279" spans="1:29">
      <c r="A279" s="6">
        <v>46296</v>
      </c>
      <c r="B279" s="12">
        <f>'[18]key-in(LO)'!AA277</f>
        <v>0</v>
      </c>
      <c r="C279" s="12">
        <f>'[18]key-in(LO)'!AB277</f>
        <v>0</v>
      </c>
      <c r="D279" s="12">
        <f>'[18]key-in(LO)'!AC277</f>
        <v>0</v>
      </c>
      <c r="E279" s="12">
        <f>'[18]key-in(LO)'!AD277</f>
        <v>0</v>
      </c>
      <c r="F279" s="12">
        <f>'[18]key-in(LO)'!AE277</f>
        <v>0</v>
      </c>
      <c r="G279" s="115">
        <f>'[18]key-in(LO)'!AF277</f>
        <v>0</v>
      </c>
      <c r="H279" s="12">
        <f>'[18]key-in(LO)'!AG277</f>
        <v>0</v>
      </c>
      <c r="I279" s="12">
        <f>'[18]key-in(LO)'!AH277</f>
        <v>0</v>
      </c>
      <c r="J279" s="10">
        <f>'[18]key-in(ACO)'!$AR277</f>
        <v>0</v>
      </c>
      <c r="K279" s="10">
        <f>'[18]key-in(ACO)'!$AS277</f>
        <v>0</v>
      </c>
      <c r="L279" s="9">
        <f>'[18]key-in(ACO)'!$AV277</f>
        <v>0</v>
      </c>
      <c r="M279" s="10">
        <f>[18]생산!BA276</f>
        <v>0</v>
      </c>
      <c r="N279" s="10">
        <f>[18]생산!BB276</f>
        <v>0</v>
      </c>
      <c r="O279" s="10">
        <f>[18]생산!BC276</f>
        <v>0</v>
      </c>
      <c r="P279" s="10">
        <f>[18]생산!BD276</f>
        <v>0</v>
      </c>
      <c r="Q279" s="10">
        <f>[18]생산!BE276</f>
        <v>0</v>
      </c>
      <c r="R279" s="10">
        <f>[18]생산!BF276</f>
        <v>0</v>
      </c>
      <c r="S279" s="9">
        <f>[18]운전시간외!C276</f>
        <v>0</v>
      </c>
      <c r="T279" s="9">
        <f>[18]운전시간외!D276</f>
        <v>0</v>
      </c>
      <c r="U279" s="9">
        <f>[18]운전시간외!E276</f>
        <v>0</v>
      </c>
      <c r="V279" s="9">
        <f>[18]운전시간외!F276</f>
        <v>0</v>
      </c>
      <c r="W279" s="11">
        <f>[18]생산!F276</f>
        <v>0</v>
      </c>
      <c r="X279" s="11">
        <f>[18]생산!G276</f>
        <v>0</v>
      </c>
      <c r="Y279" s="11">
        <f>[18]생산!H276</f>
        <v>0</v>
      </c>
      <c r="Z279" s="11">
        <f>[18]생산!I276</f>
        <v>0</v>
      </c>
      <c r="AA279" s="11">
        <f>[18]생산!J276</f>
        <v>0</v>
      </c>
      <c r="AB279" s="11">
        <f>[18]생산!K276</f>
        <v>0</v>
      </c>
      <c r="AC279" s="11"/>
    </row>
    <row r="280" spans="1:29">
      <c r="A280" s="6">
        <v>46297</v>
      </c>
      <c r="B280" s="12">
        <f>'[18]key-in(LO)'!AA278</f>
        <v>0</v>
      </c>
      <c r="C280" s="12">
        <f>'[18]key-in(LO)'!AB278</f>
        <v>0</v>
      </c>
      <c r="D280" s="12">
        <f>'[18]key-in(LO)'!AC278</f>
        <v>0</v>
      </c>
      <c r="E280" s="12">
        <f>'[18]key-in(LO)'!AD278</f>
        <v>0</v>
      </c>
      <c r="F280" s="12">
        <f>'[18]key-in(LO)'!AE278</f>
        <v>0</v>
      </c>
      <c r="G280" s="115">
        <f>'[18]key-in(LO)'!AF278</f>
        <v>0</v>
      </c>
      <c r="H280" s="12">
        <f>'[18]key-in(LO)'!AG278</f>
        <v>0</v>
      </c>
      <c r="I280" s="12">
        <f>'[18]key-in(LO)'!AH278</f>
        <v>0</v>
      </c>
      <c r="J280" s="10">
        <f>'[18]key-in(ACO)'!$AR278</f>
        <v>0</v>
      </c>
      <c r="K280" s="10">
        <f>'[18]key-in(ACO)'!$AS278</f>
        <v>0</v>
      </c>
      <c r="L280" s="9">
        <f>'[18]key-in(ACO)'!$AV278</f>
        <v>0</v>
      </c>
      <c r="M280" s="10">
        <f>[18]생산!BA277</f>
        <v>0</v>
      </c>
      <c r="N280" s="10">
        <f>[18]생산!BB277</f>
        <v>0</v>
      </c>
      <c r="O280" s="10">
        <f>[18]생산!BC277</f>
        <v>0</v>
      </c>
      <c r="P280" s="10">
        <f>[18]생산!BD277</f>
        <v>0</v>
      </c>
      <c r="Q280" s="10">
        <f>[18]생산!BE277</f>
        <v>0</v>
      </c>
      <c r="R280" s="10">
        <f>[18]생산!BF277</f>
        <v>0</v>
      </c>
      <c r="S280" s="9">
        <f>[18]운전시간외!C277</f>
        <v>0</v>
      </c>
      <c r="T280" s="9">
        <f>[18]운전시간외!D277</f>
        <v>0</v>
      </c>
      <c r="U280" s="9">
        <f>[18]운전시간외!E277</f>
        <v>0</v>
      </c>
      <c r="V280" s="9">
        <f>[18]운전시간외!F277</f>
        <v>0</v>
      </c>
      <c r="W280" s="11">
        <f>[18]생산!F277</f>
        <v>0</v>
      </c>
      <c r="X280" s="11">
        <f>[18]생산!G277</f>
        <v>0</v>
      </c>
      <c r="Y280" s="11">
        <f>[18]생산!H277</f>
        <v>0</v>
      </c>
      <c r="Z280" s="11">
        <f>[18]생산!I277</f>
        <v>0</v>
      </c>
      <c r="AA280" s="11">
        <f>[18]생산!J277</f>
        <v>0</v>
      </c>
      <c r="AB280" s="11">
        <f>[18]생산!K277</f>
        <v>0</v>
      </c>
      <c r="AC280" s="11"/>
    </row>
    <row r="281" spans="1:29">
      <c r="A281" s="6">
        <v>46298</v>
      </c>
      <c r="B281" s="12">
        <f>'[18]key-in(LO)'!AA279</f>
        <v>0</v>
      </c>
      <c r="C281" s="12">
        <f>'[18]key-in(LO)'!AB279</f>
        <v>0</v>
      </c>
      <c r="D281" s="12">
        <f>'[18]key-in(LO)'!AC279</f>
        <v>0</v>
      </c>
      <c r="E281" s="12">
        <f>'[18]key-in(LO)'!AD279</f>
        <v>0</v>
      </c>
      <c r="F281" s="12">
        <f>'[18]key-in(LO)'!AE279</f>
        <v>0</v>
      </c>
      <c r="G281" s="115">
        <f>'[18]key-in(LO)'!AF279</f>
        <v>0</v>
      </c>
      <c r="H281" s="12">
        <f>'[18]key-in(LO)'!AG279</f>
        <v>0</v>
      </c>
      <c r="I281" s="12">
        <f>'[18]key-in(LO)'!AH279</f>
        <v>0</v>
      </c>
      <c r="J281" s="10">
        <f>'[18]key-in(ACO)'!$AR279</f>
        <v>0</v>
      </c>
      <c r="K281" s="10">
        <f>'[18]key-in(ACO)'!$AS279</f>
        <v>0</v>
      </c>
      <c r="L281" s="9">
        <f>'[18]key-in(ACO)'!$AV279</f>
        <v>0</v>
      </c>
      <c r="M281" s="10">
        <f>[18]생산!BA278</f>
        <v>0</v>
      </c>
      <c r="N281" s="10">
        <f>[18]생산!BB278</f>
        <v>0</v>
      </c>
      <c r="O281" s="10">
        <f>[18]생산!BC278</f>
        <v>0</v>
      </c>
      <c r="P281" s="10">
        <f>[18]생산!BD278</f>
        <v>0</v>
      </c>
      <c r="Q281" s="10">
        <f>[18]생산!BE278</f>
        <v>0</v>
      </c>
      <c r="R281" s="10">
        <f>[18]생산!BF278</f>
        <v>0</v>
      </c>
      <c r="S281" s="9">
        <f>[18]운전시간외!C278</f>
        <v>0</v>
      </c>
      <c r="T281" s="9">
        <f>[18]운전시간외!D278</f>
        <v>0</v>
      </c>
      <c r="U281" s="9">
        <f>[18]운전시간외!E278</f>
        <v>0</v>
      </c>
      <c r="V281" s="9">
        <f>[18]운전시간외!F278</f>
        <v>0</v>
      </c>
      <c r="W281" s="11">
        <f>[18]생산!F278</f>
        <v>0</v>
      </c>
      <c r="X281" s="11">
        <f>[18]생산!G278</f>
        <v>0</v>
      </c>
      <c r="Y281" s="11">
        <f>[18]생산!H278</f>
        <v>0</v>
      </c>
      <c r="Z281" s="11">
        <f>[18]생산!I278</f>
        <v>0</v>
      </c>
      <c r="AA281" s="11">
        <f>[18]생산!J278</f>
        <v>0</v>
      </c>
      <c r="AB281" s="11">
        <f>[18]생산!K278</f>
        <v>0</v>
      </c>
      <c r="AC281" s="11"/>
    </row>
    <row r="282" spans="1:29">
      <c r="A282" s="6">
        <v>46299</v>
      </c>
      <c r="B282" s="12">
        <f>'[18]key-in(LO)'!AA280</f>
        <v>0</v>
      </c>
      <c r="C282" s="12">
        <f>'[18]key-in(LO)'!AB280</f>
        <v>0</v>
      </c>
      <c r="D282" s="12">
        <f>'[18]key-in(LO)'!AC280</f>
        <v>0</v>
      </c>
      <c r="E282" s="12">
        <f>'[18]key-in(LO)'!AD280</f>
        <v>0</v>
      </c>
      <c r="F282" s="12">
        <f>'[18]key-in(LO)'!AE280</f>
        <v>0</v>
      </c>
      <c r="G282" s="115">
        <f>'[18]key-in(LO)'!AF280</f>
        <v>0</v>
      </c>
      <c r="H282" s="12">
        <f>'[18]key-in(LO)'!AG280</f>
        <v>0</v>
      </c>
      <c r="I282" s="12">
        <f>'[18]key-in(LO)'!AH280</f>
        <v>0</v>
      </c>
      <c r="J282" s="10">
        <f>'[18]key-in(ACO)'!$AR280</f>
        <v>0</v>
      </c>
      <c r="K282" s="10">
        <f>'[18]key-in(ACO)'!$AS280</f>
        <v>0</v>
      </c>
      <c r="L282" s="9">
        <f>'[18]key-in(ACO)'!$AV280</f>
        <v>0</v>
      </c>
      <c r="M282" s="10">
        <f>[18]생산!BA279</f>
        <v>0</v>
      </c>
      <c r="N282" s="10">
        <f>[18]생산!BB279</f>
        <v>0</v>
      </c>
      <c r="O282" s="10">
        <f>[18]생산!BC279</f>
        <v>0</v>
      </c>
      <c r="P282" s="10">
        <f>[18]생산!BD279</f>
        <v>0</v>
      </c>
      <c r="Q282" s="10">
        <f>[18]생산!BE279</f>
        <v>0</v>
      </c>
      <c r="R282" s="10">
        <f>[18]생산!BF279</f>
        <v>0</v>
      </c>
      <c r="S282" s="9">
        <f>[18]운전시간외!C279</f>
        <v>0</v>
      </c>
      <c r="T282" s="9">
        <f>[18]운전시간외!D279</f>
        <v>0</v>
      </c>
      <c r="U282" s="9">
        <f>[18]운전시간외!E279</f>
        <v>0</v>
      </c>
      <c r="V282" s="9">
        <f>[18]운전시간외!F279</f>
        <v>0</v>
      </c>
      <c r="W282" s="11">
        <f>[18]생산!F279</f>
        <v>0</v>
      </c>
      <c r="X282" s="11">
        <f>[18]생산!G279</f>
        <v>0</v>
      </c>
      <c r="Y282" s="11">
        <f>[18]생산!H279</f>
        <v>0</v>
      </c>
      <c r="Z282" s="11">
        <f>[18]생산!I279</f>
        <v>0</v>
      </c>
      <c r="AA282" s="11">
        <f>[18]생산!J279</f>
        <v>0</v>
      </c>
      <c r="AB282" s="11">
        <f>[18]생산!K279</f>
        <v>0</v>
      </c>
      <c r="AC282" s="11"/>
    </row>
    <row r="283" spans="1:29">
      <c r="A283" s="6">
        <v>46300</v>
      </c>
      <c r="B283" s="12">
        <f>'[18]key-in(LO)'!AA281</f>
        <v>0</v>
      </c>
      <c r="C283" s="12">
        <f>'[18]key-in(LO)'!AB281</f>
        <v>0</v>
      </c>
      <c r="D283" s="12">
        <f>'[18]key-in(LO)'!AC281</f>
        <v>0</v>
      </c>
      <c r="E283" s="12">
        <f>'[18]key-in(LO)'!AD281</f>
        <v>0</v>
      </c>
      <c r="F283" s="12">
        <f>'[18]key-in(LO)'!AE281</f>
        <v>0</v>
      </c>
      <c r="G283" s="115">
        <f>'[18]key-in(LO)'!AF281</f>
        <v>0</v>
      </c>
      <c r="H283" s="12">
        <f>'[18]key-in(LO)'!AG281</f>
        <v>0</v>
      </c>
      <c r="I283" s="12">
        <f>'[18]key-in(LO)'!AH281</f>
        <v>0</v>
      </c>
      <c r="J283" s="10">
        <f>'[18]key-in(ACO)'!$AR281</f>
        <v>0</v>
      </c>
      <c r="K283" s="10">
        <f>'[18]key-in(ACO)'!$AS281</f>
        <v>0</v>
      </c>
      <c r="L283" s="9">
        <f>'[18]key-in(ACO)'!$AV281</f>
        <v>0</v>
      </c>
      <c r="M283" s="10">
        <f>[18]생산!BA280</f>
        <v>0</v>
      </c>
      <c r="N283" s="10">
        <f>[18]생산!BB280</f>
        <v>0</v>
      </c>
      <c r="O283" s="10">
        <f>[18]생산!BC280</f>
        <v>0</v>
      </c>
      <c r="P283" s="10">
        <f>[18]생산!BD280</f>
        <v>0</v>
      </c>
      <c r="Q283" s="10">
        <f>[18]생산!BE280</f>
        <v>0</v>
      </c>
      <c r="R283" s="10">
        <f>[18]생산!BF280</f>
        <v>0</v>
      </c>
      <c r="S283" s="9">
        <f>[18]운전시간외!C280</f>
        <v>0</v>
      </c>
      <c r="T283" s="9">
        <f>[18]운전시간외!D280</f>
        <v>0</v>
      </c>
      <c r="U283" s="9">
        <f>[18]운전시간외!E280</f>
        <v>0</v>
      </c>
      <c r="V283" s="9">
        <f>[18]운전시간외!F280</f>
        <v>0</v>
      </c>
      <c r="W283" s="11">
        <f>[18]생산!F280</f>
        <v>0</v>
      </c>
      <c r="X283" s="11">
        <f>[18]생산!G280</f>
        <v>0</v>
      </c>
      <c r="Y283" s="11">
        <f>[18]생산!H280</f>
        <v>0</v>
      </c>
      <c r="Z283" s="11">
        <f>[18]생산!I280</f>
        <v>0</v>
      </c>
      <c r="AA283" s="11">
        <f>[18]생산!J280</f>
        <v>0</v>
      </c>
      <c r="AB283" s="11">
        <f>[18]생산!K280</f>
        <v>0</v>
      </c>
      <c r="AC283" s="11"/>
    </row>
    <row r="284" spans="1:29">
      <c r="A284" s="6">
        <v>46301</v>
      </c>
      <c r="B284" s="12">
        <f>'[18]key-in(LO)'!AA282</f>
        <v>0</v>
      </c>
      <c r="C284" s="12">
        <f>'[18]key-in(LO)'!AB282</f>
        <v>0</v>
      </c>
      <c r="D284" s="12">
        <f>'[18]key-in(LO)'!AC282</f>
        <v>0</v>
      </c>
      <c r="E284" s="12">
        <f>'[18]key-in(LO)'!AD282</f>
        <v>0</v>
      </c>
      <c r="F284" s="12">
        <f>'[18]key-in(LO)'!AE282</f>
        <v>0</v>
      </c>
      <c r="G284" s="115">
        <f>'[18]key-in(LO)'!AF282</f>
        <v>0</v>
      </c>
      <c r="H284" s="12">
        <f>'[18]key-in(LO)'!AG282</f>
        <v>0</v>
      </c>
      <c r="I284" s="12">
        <f>'[18]key-in(LO)'!AH282</f>
        <v>0</v>
      </c>
      <c r="J284" s="10">
        <f>'[18]key-in(ACO)'!$AR282</f>
        <v>0</v>
      </c>
      <c r="K284" s="10">
        <f>'[18]key-in(ACO)'!$AS282</f>
        <v>0</v>
      </c>
      <c r="L284" s="9">
        <f>'[18]key-in(ACO)'!$AV282</f>
        <v>0</v>
      </c>
      <c r="M284" s="10">
        <f>[18]생산!BA281</f>
        <v>0</v>
      </c>
      <c r="N284" s="10">
        <f>[18]생산!BB281</f>
        <v>0</v>
      </c>
      <c r="O284" s="10">
        <f>[18]생산!BC281</f>
        <v>0</v>
      </c>
      <c r="P284" s="10">
        <f>[18]생산!BD281</f>
        <v>0</v>
      </c>
      <c r="Q284" s="10">
        <f>[18]생산!BE281</f>
        <v>0</v>
      </c>
      <c r="R284" s="10">
        <f>[18]생산!BF281</f>
        <v>0</v>
      </c>
      <c r="S284" s="9">
        <f>[18]운전시간외!C281</f>
        <v>0</v>
      </c>
      <c r="T284" s="9">
        <f>[18]운전시간외!D281</f>
        <v>0</v>
      </c>
      <c r="U284" s="9">
        <f>[18]운전시간외!E281</f>
        <v>0</v>
      </c>
      <c r="V284" s="9">
        <f>[18]운전시간외!F281</f>
        <v>0</v>
      </c>
      <c r="W284" s="11">
        <f>[18]생산!F281</f>
        <v>0</v>
      </c>
      <c r="X284" s="11">
        <f>[18]생산!G281</f>
        <v>0</v>
      </c>
      <c r="Y284" s="11">
        <f>[18]생산!H281</f>
        <v>0</v>
      </c>
      <c r="Z284" s="11">
        <f>[18]생산!I281</f>
        <v>0</v>
      </c>
      <c r="AA284" s="11">
        <f>[18]생산!J281</f>
        <v>0</v>
      </c>
      <c r="AB284" s="11">
        <f>[18]생산!K281</f>
        <v>0</v>
      </c>
      <c r="AC284" s="11"/>
    </row>
    <row r="285" spans="1:29">
      <c r="A285" s="6">
        <v>46302</v>
      </c>
      <c r="B285" s="12">
        <f>'[18]key-in(LO)'!AA283</f>
        <v>0</v>
      </c>
      <c r="C285" s="12">
        <f>'[18]key-in(LO)'!AB283</f>
        <v>0</v>
      </c>
      <c r="D285" s="12">
        <f>'[18]key-in(LO)'!AC283</f>
        <v>0</v>
      </c>
      <c r="E285" s="12">
        <f>'[18]key-in(LO)'!AD283</f>
        <v>0</v>
      </c>
      <c r="F285" s="12">
        <f>'[18]key-in(LO)'!AE283</f>
        <v>0</v>
      </c>
      <c r="G285" s="115">
        <f>'[18]key-in(LO)'!AF283</f>
        <v>0</v>
      </c>
      <c r="H285" s="12">
        <f>'[18]key-in(LO)'!AG283</f>
        <v>0</v>
      </c>
      <c r="I285" s="12">
        <f>'[18]key-in(LO)'!AH283</f>
        <v>0</v>
      </c>
      <c r="J285" s="10">
        <f>'[18]key-in(ACO)'!$AR283</f>
        <v>0</v>
      </c>
      <c r="K285" s="10">
        <f>'[18]key-in(ACO)'!$AS283</f>
        <v>0</v>
      </c>
      <c r="L285" s="9">
        <f>'[18]key-in(ACO)'!$AV283</f>
        <v>0</v>
      </c>
      <c r="M285" s="10">
        <f>[18]생산!BA282</f>
        <v>0</v>
      </c>
      <c r="N285" s="10">
        <f>[18]생산!BB282</f>
        <v>0</v>
      </c>
      <c r="O285" s="10">
        <f>[18]생산!BC282</f>
        <v>0</v>
      </c>
      <c r="P285" s="10">
        <f>[18]생산!BD282</f>
        <v>0</v>
      </c>
      <c r="Q285" s="10">
        <f>[18]생산!BE282</f>
        <v>0</v>
      </c>
      <c r="R285" s="10">
        <f>[18]생산!BF282</f>
        <v>0</v>
      </c>
      <c r="S285" s="9">
        <f>[18]운전시간외!C282</f>
        <v>0</v>
      </c>
      <c r="T285" s="9">
        <f>[18]운전시간외!D282</f>
        <v>0</v>
      </c>
      <c r="U285" s="9">
        <f>[18]운전시간외!E282</f>
        <v>0</v>
      </c>
      <c r="V285" s="9">
        <f>[18]운전시간외!F282</f>
        <v>0</v>
      </c>
      <c r="W285" s="11">
        <f>[18]생산!F282</f>
        <v>0</v>
      </c>
      <c r="X285" s="11">
        <f>[18]생산!G282</f>
        <v>0</v>
      </c>
      <c r="Y285" s="11">
        <f>[18]생산!H282</f>
        <v>0</v>
      </c>
      <c r="Z285" s="11">
        <f>[18]생산!I282</f>
        <v>0</v>
      </c>
      <c r="AA285" s="11">
        <f>[18]생산!J282</f>
        <v>0</v>
      </c>
      <c r="AB285" s="11">
        <f>[18]생산!K282</f>
        <v>0</v>
      </c>
      <c r="AC285" s="11"/>
    </row>
    <row r="286" spans="1:29">
      <c r="A286" s="6">
        <v>46303</v>
      </c>
      <c r="B286" s="12">
        <f>'[18]key-in(LO)'!AA284</f>
        <v>0</v>
      </c>
      <c r="C286" s="12">
        <f>'[18]key-in(LO)'!AB284</f>
        <v>0</v>
      </c>
      <c r="D286" s="12">
        <f>'[18]key-in(LO)'!AC284</f>
        <v>0</v>
      </c>
      <c r="E286" s="12">
        <f>'[18]key-in(LO)'!AD284</f>
        <v>0</v>
      </c>
      <c r="F286" s="12">
        <f>'[18]key-in(LO)'!AE284</f>
        <v>0</v>
      </c>
      <c r="G286" s="115">
        <f>'[18]key-in(LO)'!AF284</f>
        <v>0</v>
      </c>
      <c r="H286" s="12">
        <f>'[18]key-in(LO)'!AG284</f>
        <v>0</v>
      </c>
      <c r="I286" s="12">
        <f>'[18]key-in(LO)'!AH284</f>
        <v>0</v>
      </c>
      <c r="J286" s="10">
        <f>'[18]key-in(ACO)'!$AR284</f>
        <v>0</v>
      </c>
      <c r="K286" s="10">
        <f>'[18]key-in(ACO)'!$AS284</f>
        <v>0</v>
      </c>
      <c r="L286" s="9">
        <f>'[18]key-in(ACO)'!$AV284</f>
        <v>0</v>
      </c>
      <c r="M286" s="10">
        <f>[18]생산!BA283</f>
        <v>0</v>
      </c>
      <c r="N286" s="10">
        <f>[18]생산!BB283</f>
        <v>0</v>
      </c>
      <c r="O286" s="10">
        <f>[18]생산!BC283</f>
        <v>0</v>
      </c>
      <c r="P286" s="10">
        <f>[18]생산!BD283</f>
        <v>0</v>
      </c>
      <c r="Q286" s="10">
        <f>[18]생산!BE283</f>
        <v>0</v>
      </c>
      <c r="R286" s="10">
        <f>[18]생산!BF283</f>
        <v>0</v>
      </c>
      <c r="S286" s="9">
        <f>[18]운전시간외!C283</f>
        <v>0</v>
      </c>
      <c r="T286" s="9">
        <f>[18]운전시간외!D283</f>
        <v>0</v>
      </c>
      <c r="U286" s="9">
        <f>[18]운전시간외!E283</f>
        <v>0</v>
      </c>
      <c r="V286" s="9">
        <f>[18]운전시간외!F283</f>
        <v>0</v>
      </c>
      <c r="W286" s="11">
        <f>[18]생산!F283</f>
        <v>0</v>
      </c>
      <c r="X286" s="11">
        <f>[18]생산!G283</f>
        <v>0</v>
      </c>
      <c r="Y286" s="11">
        <f>[18]생산!H283</f>
        <v>0</v>
      </c>
      <c r="Z286" s="11">
        <f>[18]생산!I283</f>
        <v>0</v>
      </c>
      <c r="AA286" s="11">
        <f>[18]생산!J283</f>
        <v>0</v>
      </c>
      <c r="AB286" s="11">
        <f>[18]생산!K283</f>
        <v>0</v>
      </c>
      <c r="AC286" s="11"/>
    </row>
    <row r="287" spans="1:29">
      <c r="A287" s="6">
        <v>46304</v>
      </c>
      <c r="B287" s="12">
        <f>'[18]key-in(LO)'!AA285</f>
        <v>0</v>
      </c>
      <c r="C287" s="12">
        <f>'[18]key-in(LO)'!AB285</f>
        <v>0</v>
      </c>
      <c r="D287" s="12">
        <f>'[18]key-in(LO)'!AC285</f>
        <v>0</v>
      </c>
      <c r="E287" s="12">
        <f>'[18]key-in(LO)'!AD285</f>
        <v>0</v>
      </c>
      <c r="F287" s="12">
        <f>'[18]key-in(LO)'!AE285</f>
        <v>0</v>
      </c>
      <c r="G287" s="115">
        <f>'[18]key-in(LO)'!AF285</f>
        <v>0</v>
      </c>
      <c r="H287" s="12">
        <f>'[18]key-in(LO)'!AG285</f>
        <v>0</v>
      </c>
      <c r="I287" s="12">
        <f>'[18]key-in(LO)'!AH285</f>
        <v>0</v>
      </c>
      <c r="J287" s="10">
        <f>'[18]key-in(ACO)'!$AR285</f>
        <v>0</v>
      </c>
      <c r="K287" s="10">
        <f>'[18]key-in(ACO)'!$AS285</f>
        <v>0</v>
      </c>
      <c r="L287" s="9">
        <f>'[18]key-in(ACO)'!$AV285</f>
        <v>0</v>
      </c>
      <c r="M287" s="10">
        <f>[18]생산!BA284</f>
        <v>0</v>
      </c>
      <c r="N287" s="10">
        <f>[18]생산!BB284</f>
        <v>0</v>
      </c>
      <c r="O287" s="10">
        <f>[18]생산!BC284</f>
        <v>0</v>
      </c>
      <c r="P287" s="10">
        <f>[18]생산!BD284</f>
        <v>0</v>
      </c>
      <c r="Q287" s="10">
        <f>[18]생산!BE284</f>
        <v>0</v>
      </c>
      <c r="R287" s="10">
        <f>[18]생산!BF284</f>
        <v>0</v>
      </c>
      <c r="S287" s="9">
        <f>[18]운전시간외!C284</f>
        <v>0</v>
      </c>
      <c r="T287" s="9">
        <f>[18]운전시간외!D284</f>
        <v>0</v>
      </c>
      <c r="U287" s="9">
        <f>[18]운전시간외!E284</f>
        <v>0</v>
      </c>
      <c r="V287" s="9">
        <f>[18]운전시간외!F284</f>
        <v>0</v>
      </c>
      <c r="W287" s="11">
        <f>[18]생산!F284</f>
        <v>0</v>
      </c>
      <c r="X287" s="11">
        <f>[18]생산!G284</f>
        <v>0</v>
      </c>
      <c r="Y287" s="11">
        <f>[18]생산!H284</f>
        <v>0</v>
      </c>
      <c r="Z287" s="11">
        <f>[18]생산!I284</f>
        <v>0</v>
      </c>
      <c r="AA287" s="11">
        <f>[18]생산!J284</f>
        <v>0</v>
      </c>
      <c r="AB287" s="11">
        <f>[18]생산!K284</f>
        <v>0</v>
      </c>
      <c r="AC287" s="11"/>
    </row>
    <row r="288" spans="1:29">
      <c r="A288" s="6">
        <v>46305</v>
      </c>
      <c r="B288" s="12">
        <f>'[18]key-in(LO)'!AA286</f>
        <v>0</v>
      </c>
      <c r="C288" s="12">
        <f>'[18]key-in(LO)'!AB286</f>
        <v>0</v>
      </c>
      <c r="D288" s="12">
        <f>'[18]key-in(LO)'!AC286</f>
        <v>0</v>
      </c>
      <c r="E288" s="12">
        <f>'[18]key-in(LO)'!AD286</f>
        <v>0</v>
      </c>
      <c r="F288" s="12">
        <f>'[18]key-in(LO)'!AE286</f>
        <v>0</v>
      </c>
      <c r="G288" s="115">
        <f>'[18]key-in(LO)'!AF286</f>
        <v>0</v>
      </c>
      <c r="H288" s="12">
        <f>'[18]key-in(LO)'!AG286</f>
        <v>0</v>
      </c>
      <c r="I288" s="12">
        <f>'[18]key-in(LO)'!AH286</f>
        <v>0</v>
      </c>
      <c r="J288" s="10">
        <f>'[18]key-in(ACO)'!$AR286</f>
        <v>0</v>
      </c>
      <c r="K288" s="10">
        <f>'[18]key-in(ACO)'!$AS286</f>
        <v>0</v>
      </c>
      <c r="L288" s="9">
        <f>'[18]key-in(ACO)'!$AV286</f>
        <v>0</v>
      </c>
      <c r="M288" s="10">
        <f>[18]생산!BA285</f>
        <v>0</v>
      </c>
      <c r="N288" s="10">
        <f>[18]생산!BB285</f>
        <v>0</v>
      </c>
      <c r="O288" s="10">
        <f>[18]생산!BC285</f>
        <v>0</v>
      </c>
      <c r="P288" s="10">
        <f>[18]생산!BD285</f>
        <v>0</v>
      </c>
      <c r="Q288" s="10">
        <f>[18]생산!BE285</f>
        <v>0</v>
      </c>
      <c r="R288" s="10">
        <f>[18]생산!BF285</f>
        <v>0</v>
      </c>
      <c r="S288" s="9">
        <f>[18]운전시간외!C285</f>
        <v>0</v>
      </c>
      <c r="T288" s="9">
        <f>[18]운전시간외!D285</f>
        <v>0</v>
      </c>
      <c r="U288" s="9">
        <f>[18]운전시간외!E285</f>
        <v>0</v>
      </c>
      <c r="V288" s="9">
        <f>[18]운전시간외!F285</f>
        <v>0</v>
      </c>
      <c r="W288" s="11">
        <f>[18]생산!F285</f>
        <v>0</v>
      </c>
      <c r="X288" s="11">
        <f>[18]생산!G285</f>
        <v>0</v>
      </c>
      <c r="Y288" s="11">
        <f>[18]생산!H285</f>
        <v>0</v>
      </c>
      <c r="Z288" s="11">
        <f>[18]생산!I285</f>
        <v>0</v>
      </c>
      <c r="AA288" s="11">
        <f>[18]생산!J285</f>
        <v>0</v>
      </c>
      <c r="AB288" s="11">
        <f>[18]생산!K285</f>
        <v>0</v>
      </c>
      <c r="AC288" s="11"/>
    </row>
    <row r="289" spans="1:29">
      <c r="A289" s="6">
        <v>46306</v>
      </c>
      <c r="B289" s="12">
        <f>'[18]key-in(LO)'!AA287</f>
        <v>0</v>
      </c>
      <c r="C289" s="12">
        <f>'[18]key-in(LO)'!AB287</f>
        <v>0</v>
      </c>
      <c r="D289" s="12">
        <f>'[18]key-in(LO)'!AC287</f>
        <v>0</v>
      </c>
      <c r="E289" s="12">
        <f>'[18]key-in(LO)'!AD287</f>
        <v>0</v>
      </c>
      <c r="F289" s="12">
        <f>'[18]key-in(LO)'!AE287</f>
        <v>0</v>
      </c>
      <c r="G289" s="115">
        <f>'[18]key-in(LO)'!AF287</f>
        <v>0</v>
      </c>
      <c r="H289" s="12">
        <f>'[18]key-in(LO)'!AG287</f>
        <v>0</v>
      </c>
      <c r="I289" s="12">
        <f>'[18]key-in(LO)'!AH287</f>
        <v>0</v>
      </c>
      <c r="J289" s="10">
        <f>'[18]key-in(ACO)'!$AR287</f>
        <v>0</v>
      </c>
      <c r="K289" s="10">
        <f>'[18]key-in(ACO)'!$AS287</f>
        <v>0</v>
      </c>
      <c r="L289" s="9">
        <f>'[18]key-in(ACO)'!$AV287</f>
        <v>0</v>
      </c>
      <c r="M289" s="10">
        <f>[18]생산!BA286</f>
        <v>0</v>
      </c>
      <c r="N289" s="10">
        <f>[18]생산!BB286</f>
        <v>0</v>
      </c>
      <c r="O289" s="10">
        <f>[18]생산!BC286</f>
        <v>0</v>
      </c>
      <c r="P289" s="10">
        <f>[18]생산!BD286</f>
        <v>0</v>
      </c>
      <c r="Q289" s="10">
        <f>[18]생산!BE286</f>
        <v>0</v>
      </c>
      <c r="R289" s="10">
        <f>[18]생산!BF286</f>
        <v>0</v>
      </c>
      <c r="S289" s="9">
        <f>[18]운전시간외!C286</f>
        <v>0</v>
      </c>
      <c r="T289" s="9">
        <f>[18]운전시간외!D286</f>
        <v>0</v>
      </c>
      <c r="U289" s="9">
        <f>[18]운전시간외!E286</f>
        <v>0</v>
      </c>
      <c r="V289" s="9">
        <f>[18]운전시간외!F286</f>
        <v>0</v>
      </c>
      <c r="W289" s="11">
        <f>[18]생산!F286</f>
        <v>0</v>
      </c>
      <c r="X289" s="11">
        <f>[18]생산!G286</f>
        <v>0</v>
      </c>
      <c r="Y289" s="11">
        <f>[18]생산!H286</f>
        <v>0</v>
      </c>
      <c r="Z289" s="11">
        <f>[18]생산!I286</f>
        <v>0</v>
      </c>
      <c r="AA289" s="11">
        <f>[18]생산!J286</f>
        <v>0</v>
      </c>
      <c r="AB289" s="11">
        <f>[18]생산!K286</f>
        <v>0</v>
      </c>
      <c r="AC289" s="11"/>
    </row>
    <row r="290" spans="1:29">
      <c r="A290" s="6">
        <v>46307</v>
      </c>
      <c r="B290" s="12">
        <f>'[18]key-in(LO)'!AA288</f>
        <v>0</v>
      </c>
      <c r="C290" s="12">
        <f>'[18]key-in(LO)'!AB288</f>
        <v>0</v>
      </c>
      <c r="D290" s="12">
        <f>'[18]key-in(LO)'!AC288</f>
        <v>0</v>
      </c>
      <c r="E290" s="12">
        <f>'[18]key-in(LO)'!AD288</f>
        <v>0</v>
      </c>
      <c r="F290" s="12">
        <f>'[18]key-in(LO)'!AE288</f>
        <v>0</v>
      </c>
      <c r="G290" s="115">
        <f>'[18]key-in(LO)'!AF288</f>
        <v>0</v>
      </c>
      <c r="H290" s="12">
        <f>'[18]key-in(LO)'!AG288</f>
        <v>0</v>
      </c>
      <c r="I290" s="12">
        <f>'[18]key-in(LO)'!AH288</f>
        <v>0</v>
      </c>
      <c r="J290" s="10">
        <f>'[18]key-in(ACO)'!$AR288</f>
        <v>0</v>
      </c>
      <c r="K290" s="10">
        <f>'[18]key-in(ACO)'!$AS288</f>
        <v>0</v>
      </c>
      <c r="L290" s="9">
        <f>'[18]key-in(ACO)'!$AV288</f>
        <v>0</v>
      </c>
      <c r="M290" s="10">
        <f>[18]생산!BA287</f>
        <v>0</v>
      </c>
      <c r="N290" s="10">
        <f>[18]생산!BB287</f>
        <v>0</v>
      </c>
      <c r="O290" s="10">
        <f>[18]생산!BC287</f>
        <v>0</v>
      </c>
      <c r="P290" s="10">
        <f>[18]생산!BD287</f>
        <v>0</v>
      </c>
      <c r="Q290" s="10">
        <f>[18]생산!BE287</f>
        <v>0</v>
      </c>
      <c r="R290" s="10">
        <f>[18]생산!BF287</f>
        <v>0</v>
      </c>
      <c r="S290" s="9">
        <f>[18]운전시간외!C287</f>
        <v>0</v>
      </c>
      <c r="T290" s="9">
        <f>[18]운전시간외!D287</f>
        <v>0</v>
      </c>
      <c r="U290" s="9">
        <f>[18]운전시간외!E287</f>
        <v>0</v>
      </c>
      <c r="V290" s="9">
        <f>[18]운전시간외!F287</f>
        <v>0</v>
      </c>
      <c r="W290" s="11">
        <f>[18]생산!F287</f>
        <v>0</v>
      </c>
      <c r="X290" s="11">
        <f>[18]생산!G287</f>
        <v>0</v>
      </c>
      <c r="Y290" s="11">
        <f>[18]생산!H287</f>
        <v>0</v>
      </c>
      <c r="Z290" s="11">
        <f>[18]생산!I287</f>
        <v>0</v>
      </c>
      <c r="AA290" s="11">
        <f>[18]생산!J287</f>
        <v>0</v>
      </c>
      <c r="AB290" s="11">
        <f>[18]생산!K287</f>
        <v>0</v>
      </c>
      <c r="AC290" s="11"/>
    </row>
    <row r="291" spans="1:29">
      <c r="A291" s="6">
        <v>46308</v>
      </c>
      <c r="B291" s="12">
        <f>'[18]key-in(LO)'!AA289</f>
        <v>0</v>
      </c>
      <c r="C291" s="12">
        <f>'[18]key-in(LO)'!AB289</f>
        <v>0</v>
      </c>
      <c r="D291" s="12">
        <f>'[18]key-in(LO)'!AC289</f>
        <v>0</v>
      </c>
      <c r="E291" s="12">
        <f>'[18]key-in(LO)'!AD289</f>
        <v>0</v>
      </c>
      <c r="F291" s="12">
        <f>'[18]key-in(LO)'!AE289</f>
        <v>0</v>
      </c>
      <c r="G291" s="115">
        <f>'[18]key-in(LO)'!AF289</f>
        <v>0</v>
      </c>
      <c r="H291" s="12">
        <f>'[18]key-in(LO)'!AG289</f>
        <v>0</v>
      </c>
      <c r="I291" s="12">
        <f>'[18]key-in(LO)'!AH289</f>
        <v>0</v>
      </c>
      <c r="J291" s="10">
        <f>'[18]key-in(ACO)'!$AR289</f>
        <v>0</v>
      </c>
      <c r="K291" s="10">
        <f>'[18]key-in(ACO)'!$AS289</f>
        <v>0</v>
      </c>
      <c r="L291" s="9">
        <f>'[18]key-in(ACO)'!$AV289</f>
        <v>0</v>
      </c>
      <c r="M291" s="10">
        <f>[18]생산!BA288</f>
        <v>0</v>
      </c>
      <c r="N291" s="10">
        <f>[18]생산!BB288</f>
        <v>0</v>
      </c>
      <c r="O291" s="10">
        <f>[18]생산!BC288</f>
        <v>0</v>
      </c>
      <c r="P291" s="10">
        <f>[18]생산!BD288</f>
        <v>0</v>
      </c>
      <c r="Q291" s="10">
        <f>[18]생산!BE288</f>
        <v>0</v>
      </c>
      <c r="R291" s="10">
        <f>[18]생산!BF288</f>
        <v>0</v>
      </c>
      <c r="S291" s="9">
        <f>[18]운전시간외!C288</f>
        <v>0</v>
      </c>
      <c r="T291" s="9">
        <f>[18]운전시간외!D288</f>
        <v>0</v>
      </c>
      <c r="U291" s="9">
        <f>[18]운전시간외!E288</f>
        <v>0</v>
      </c>
      <c r="V291" s="9">
        <f>[18]운전시간외!F288</f>
        <v>0</v>
      </c>
      <c r="W291" s="11">
        <f>[18]생산!F288</f>
        <v>0</v>
      </c>
      <c r="X291" s="11">
        <f>[18]생산!G288</f>
        <v>0</v>
      </c>
      <c r="Y291" s="11">
        <f>[18]생산!H288</f>
        <v>0</v>
      </c>
      <c r="Z291" s="11">
        <f>[18]생산!I288</f>
        <v>0</v>
      </c>
      <c r="AA291" s="11">
        <f>[18]생산!J288</f>
        <v>0</v>
      </c>
      <c r="AB291" s="11">
        <f>[18]생산!K288</f>
        <v>0</v>
      </c>
      <c r="AC291" s="11"/>
    </row>
    <row r="292" spans="1:29">
      <c r="A292" s="6">
        <v>46309</v>
      </c>
      <c r="B292" s="12">
        <f>'[18]key-in(LO)'!AA290</f>
        <v>0</v>
      </c>
      <c r="C292" s="12">
        <f>'[18]key-in(LO)'!AB290</f>
        <v>0</v>
      </c>
      <c r="D292" s="12">
        <f>'[18]key-in(LO)'!AC290</f>
        <v>0</v>
      </c>
      <c r="E292" s="12">
        <f>'[18]key-in(LO)'!AD290</f>
        <v>0</v>
      </c>
      <c r="F292" s="12">
        <f>'[18]key-in(LO)'!AE290</f>
        <v>0</v>
      </c>
      <c r="G292" s="115">
        <f>'[18]key-in(LO)'!AF290</f>
        <v>0</v>
      </c>
      <c r="H292" s="12">
        <f>'[18]key-in(LO)'!AG290</f>
        <v>0</v>
      </c>
      <c r="I292" s="12">
        <f>'[18]key-in(LO)'!AH290</f>
        <v>0</v>
      </c>
      <c r="J292" s="10">
        <f>'[18]key-in(ACO)'!$AR290</f>
        <v>0</v>
      </c>
      <c r="K292" s="10">
        <f>'[18]key-in(ACO)'!$AS290</f>
        <v>0</v>
      </c>
      <c r="L292" s="9">
        <f>'[18]key-in(ACO)'!$AV290</f>
        <v>0</v>
      </c>
      <c r="M292" s="10">
        <f>[18]생산!BA289</f>
        <v>0</v>
      </c>
      <c r="N292" s="10">
        <f>[18]생산!BB289</f>
        <v>0</v>
      </c>
      <c r="O292" s="10">
        <f>[18]생산!BC289</f>
        <v>0</v>
      </c>
      <c r="P292" s="10">
        <f>[18]생산!BD289</f>
        <v>0</v>
      </c>
      <c r="Q292" s="10">
        <f>[18]생산!BE289</f>
        <v>0</v>
      </c>
      <c r="R292" s="10">
        <f>[18]생산!BF289</f>
        <v>0</v>
      </c>
      <c r="S292" s="9">
        <f>[18]운전시간외!C289</f>
        <v>0</v>
      </c>
      <c r="T292" s="9">
        <f>[18]운전시간외!D289</f>
        <v>0</v>
      </c>
      <c r="U292" s="9">
        <f>[18]운전시간외!E289</f>
        <v>0</v>
      </c>
      <c r="V292" s="9">
        <f>[18]운전시간외!F289</f>
        <v>0</v>
      </c>
      <c r="W292" s="11">
        <f>[18]생산!F289</f>
        <v>0</v>
      </c>
      <c r="X292" s="11">
        <f>[18]생산!G289</f>
        <v>0</v>
      </c>
      <c r="Y292" s="11">
        <f>[18]생산!H289</f>
        <v>0</v>
      </c>
      <c r="Z292" s="11">
        <f>[18]생산!I289</f>
        <v>0</v>
      </c>
      <c r="AA292" s="11">
        <f>[18]생산!J289</f>
        <v>0</v>
      </c>
      <c r="AB292" s="11">
        <f>[18]생산!K289</f>
        <v>0</v>
      </c>
      <c r="AC292" s="11"/>
    </row>
    <row r="293" spans="1:29">
      <c r="A293" s="6">
        <v>46310</v>
      </c>
      <c r="B293" s="12">
        <f>'[18]key-in(LO)'!AA291</f>
        <v>0</v>
      </c>
      <c r="C293" s="12">
        <f>'[18]key-in(LO)'!AB291</f>
        <v>0</v>
      </c>
      <c r="D293" s="12">
        <f>'[18]key-in(LO)'!AC291</f>
        <v>0</v>
      </c>
      <c r="E293" s="12">
        <f>'[18]key-in(LO)'!AD291</f>
        <v>0</v>
      </c>
      <c r="F293" s="12">
        <f>'[18]key-in(LO)'!AE291</f>
        <v>0</v>
      </c>
      <c r="G293" s="115">
        <f>'[18]key-in(LO)'!AF291</f>
        <v>0</v>
      </c>
      <c r="H293" s="12">
        <f>'[18]key-in(LO)'!AG291</f>
        <v>0</v>
      </c>
      <c r="I293" s="12">
        <f>'[18]key-in(LO)'!AH291</f>
        <v>0</v>
      </c>
      <c r="J293" s="10">
        <f>'[18]key-in(ACO)'!$AR291</f>
        <v>0</v>
      </c>
      <c r="K293" s="10">
        <f>'[18]key-in(ACO)'!$AS291</f>
        <v>0</v>
      </c>
      <c r="L293" s="9">
        <f>'[18]key-in(ACO)'!$AV291</f>
        <v>0</v>
      </c>
      <c r="M293" s="10">
        <f>[18]생산!BA290</f>
        <v>0</v>
      </c>
      <c r="N293" s="10">
        <f>[18]생산!BB290</f>
        <v>0</v>
      </c>
      <c r="O293" s="10">
        <f>[18]생산!BC290</f>
        <v>0</v>
      </c>
      <c r="P293" s="10">
        <f>[18]생산!BD290</f>
        <v>0</v>
      </c>
      <c r="Q293" s="10">
        <f>[18]생산!BE290</f>
        <v>0</v>
      </c>
      <c r="R293" s="10">
        <f>[18]생산!BF290</f>
        <v>0</v>
      </c>
      <c r="S293" s="9">
        <f>[18]운전시간외!C290</f>
        <v>0</v>
      </c>
      <c r="T293" s="9">
        <f>[18]운전시간외!D290</f>
        <v>0</v>
      </c>
      <c r="U293" s="9">
        <f>[18]운전시간외!E290</f>
        <v>0</v>
      </c>
      <c r="V293" s="9">
        <f>[18]운전시간외!F290</f>
        <v>0</v>
      </c>
      <c r="W293" s="11">
        <f>[18]생산!F290</f>
        <v>0</v>
      </c>
      <c r="X293" s="11">
        <f>[18]생산!G290</f>
        <v>0</v>
      </c>
      <c r="Y293" s="11">
        <f>[18]생산!H290</f>
        <v>0</v>
      </c>
      <c r="Z293" s="11">
        <f>[18]생산!I290</f>
        <v>0</v>
      </c>
      <c r="AA293" s="11">
        <f>[18]생산!J290</f>
        <v>0</v>
      </c>
      <c r="AB293" s="11">
        <f>[18]생산!K290</f>
        <v>0</v>
      </c>
      <c r="AC293" s="11"/>
    </row>
    <row r="294" spans="1:29">
      <c r="A294" s="6">
        <v>46311</v>
      </c>
      <c r="B294" s="12">
        <f>'[18]key-in(LO)'!AA292</f>
        <v>0</v>
      </c>
      <c r="C294" s="12">
        <f>'[18]key-in(LO)'!AB292</f>
        <v>0</v>
      </c>
      <c r="D294" s="12">
        <f>'[18]key-in(LO)'!AC292</f>
        <v>0</v>
      </c>
      <c r="E294" s="12">
        <f>'[18]key-in(LO)'!AD292</f>
        <v>0</v>
      </c>
      <c r="F294" s="12">
        <f>'[18]key-in(LO)'!AE292</f>
        <v>0</v>
      </c>
      <c r="G294" s="115">
        <f>'[18]key-in(LO)'!AF292</f>
        <v>0</v>
      </c>
      <c r="H294" s="12">
        <f>'[18]key-in(LO)'!AG292</f>
        <v>0</v>
      </c>
      <c r="I294" s="12">
        <f>'[18]key-in(LO)'!AH292</f>
        <v>0</v>
      </c>
      <c r="J294" s="10">
        <f>'[18]key-in(ACO)'!$AR292</f>
        <v>0</v>
      </c>
      <c r="K294" s="10">
        <f>'[18]key-in(ACO)'!$AS292</f>
        <v>0</v>
      </c>
      <c r="L294" s="9">
        <f>'[18]key-in(ACO)'!$AV292</f>
        <v>0</v>
      </c>
      <c r="M294" s="10">
        <f>[18]생산!BA291</f>
        <v>0</v>
      </c>
      <c r="N294" s="10">
        <f>[18]생산!BB291</f>
        <v>0</v>
      </c>
      <c r="O294" s="10">
        <f>[18]생산!BC291</f>
        <v>0</v>
      </c>
      <c r="P294" s="10">
        <f>[18]생산!BD291</f>
        <v>0</v>
      </c>
      <c r="Q294" s="10">
        <f>[18]생산!BE291</f>
        <v>0</v>
      </c>
      <c r="R294" s="10">
        <f>[18]생산!BF291</f>
        <v>0</v>
      </c>
      <c r="S294" s="9">
        <f>[18]운전시간외!C291</f>
        <v>0</v>
      </c>
      <c r="T294" s="9">
        <f>[18]운전시간외!D291</f>
        <v>0</v>
      </c>
      <c r="U294" s="9">
        <f>[18]운전시간외!E291</f>
        <v>0</v>
      </c>
      <c r="V294" s="9">
        <f>[18]운전시간외!F291</f>
        <v>0</v>
      </c>
      <c r="W294" s="11">
        <f>[18]생산!F291</f>
        <v>0</v>
      </c>
      <c r="X294" s="11">
        <f>[18]생산!G291</f>
        <v>0</v>
      </c>
      <c r="Y294" s="11">
        <f>[18]생산!H291</f>
        <v>0</v>
      </c>
      <c r="Z294" s="11">
        <f>[18]생산!I291</f>
        <v>0</v>
      </c>
      <c r="AA294" s="11">
        <f>[18]생산!J291</f>
        <v>0</v>
      </c>
      <c r="AB294" s="11">
        <f>[18]생산!K291</f>
        <v>0</v>
      </c>
      <c r="AC294" s="11"/>
    </row>
    <row r="295" spans="1:29">
      <c r="A295" s="6">
        <v>46312</v>
      </c>
      <c r="B295" s="12">
        <f>'[18]key-in(LO)'!AA293</f>
        <v>0</v>
      </c>
      <c r="C295" s="12">
        <f>'[18]key-in(LO)'!AB293</f>
        <v>0</v>
      </c>
      <c r="D295" s="12">
        <f>'[18]key-in(LO)'!AC293</f>
        <v>0</v>
      </c>
      <c r="E295" s="12">
        <f>'[18]key-in(LO)'!AD293</f>
        <v>0</v>
      </c>
      <c r="F295" s="12">
        <f>'[18]key-in(LO)'!AE293</f>
        <v>0</v>
      </c>
      <c r="G295" s="115">
        <f>'[18]key-in(LO)'!AF293</f>
        <v>0</v>
      </c>
      <c r="H295" s="12">
        <f>'[18]key-in(LO)'!AG293</f>
        <v>0</v>
      </c>
      <c r="I295" s="12">
        <f>'[18]key-in(LO)'!AH293</f>
        <v>0</v>
      </c>
      <c r="J295" s="10">
        <f>'[18]key-in(ACO)'!$AR293</f>
        <v>0</v>
      </c>
      <c r="K295" s="10">
        <f>'[18]key-in(ACO)'!$AS293</f>
        <v>0</v>
      </c>
      <c r="L295" s="9">
        <f>'[18]key-in(ACO)'!$AV293</f>
        <v>0</v>
      </c>
      <c r="M295" s="10">
        <f>[18]생산!BA292</f>
        <v>0</v>
      </c>
      <c r="N295" s="10">
        <f>[18]생산!BB292</f>
        <v>0</v>
      </c>
      <c r="O295" s="10">
        <f>[18]생산!BC292</f>
        <v>0</v>
      </c>
      <c r="P295" s="10">
        <f>[18]생산!BD292</f>
        <v>0</v>
      </c>
      <c r="Q295" s="10">
        <f>[18]생산!BE292</f>
        <v>0</v>
      </c>
      <c r="R295" s="10">
        <f>[18]생산!BF292</f>
        <v>0</v>
      </c>
      <c r="S295" s="9">
        <f>[18]운전시간외!C292</f>
        <v>0</v>
      </c>
      <c r="T295" s="9">
        <f>[18]운전시간외!D292</f>
        <v>0</v>
      </c>
      <c r="U295" s="9">
        <f>[18]운전시간외!E292</f>
        <v>0</v>
      </c>
      <c r="V295" s="9">
        <f>[18]운전시간외!F292</f>
        <v>0</v>
      </c>
      <c r="W295" s="11">
        <f>[18]생산!F292</f>
        <v>0</v>
      </c>
      <c r="X295" s="11">
        <f>[18]생산!G292</f>
        <v>0</v>
      </c>
      <c r="Y295" s="11">
        <f>[18]생산!H292</f>
        <v>0</v>
      </c>
      <c r="Z295" s="11">
        <f>[18]생산!I292</f>
        <v>0</v>
      </c>
      <c r="AA295" s="11">
        <f>[18]생산!J292</f>
        <v>0</v>
      </c>
      <c r="AB295" s="11">
        <f>[18]생산!K292</f>
        <v>0</v>
      </c>
      <c r="AC295" s="11"/>
    </row>
    <row r="296" spans="1:29">
      <c r="A296" s="6">
        <v>46313</v>
      </c>
      <c r="B296" s="12">
        <f>'[18]key-in(LO)'!AA294</f>
        <v>0</v>
      </c>
      <c r="C296" s="12">
        <f>'[18]key-in(LO)'!AB294</f>
        <v>0</v>
      </c>
      <c r="D296" s="12">
        <f>'[18]key-in(LO)'!AC294</f>
        <v>0</v>
      </c>
      <c r="E296" s="12">
        <f>'[18]key-in(LO)'!AD294</f>
        <v>0</v>
      </c>
      <c r="F296" s="12">
        <f>'[18]key-in(LO)'!AE294</f>
        <v>0</v>
      </c>
      <c r="G296" s="115">
        <f>'[18]key-in(LO)'!AF294</f>
        <v>0</v>
      </c>
      <c r="H296" s="12">
        <f>'[18]key-in(LO)'!AG294</f>
        <v>0</v>
      </c>
      <c r="I296" s="12">
        <f>'[18]key-in(LO)'!AH294</f>
        <v>0</v>
      </c>
      <c r="J296" s="10">
        <f>'[18]key-in(ACO)'!$AR294</f>
        <v>0</v>
      </c>
      <c r="K296" s="10">
        <f>'[18]key-in(ACO)'!$AS294</f>
        <v>0</v>
      </c>
      <c r="L296" s="9">
        <f>'[18]key-in(ACO)'!$AV294</f>
        <v>0</v>
      </c>
      <c r="M296" s="10">
        <f>[18]생산!BA293</f>
        <v>0</v>
      </c>
      <c r="N296" s="10">
        <f>[18]생산!BB293</f>
        <v>0</v>
      </c>
      <c r="O296" s="10">
        <f>[18]생산!BC293</f>
        <v>0</v>
      </c>
      <c r="P296" s="10">
        <f>[18]생산!BD293</f>
        <v>0</v>
      </c>
      <c r="Q296" s="10">
        <f>[18]생산!BE293</f>
        <v>0</v>
      </c>
      <c r="R296" s="10">
        <f>[18]생산!BF293</f>
        <v>0</v>
      </c>
      <c r="S296" s="9">
        <f>[18]운전시간외!C293</f>
        <v>0</v>
      </c>
      <c r="T296" s="9">
        <f>[18]운전시간외!D293</f>
        <v>0</v>
      </c>
      <c r="U296" s="9">
        <f>[18]운전시간외!E293</f>
        <v>0</v>
      </c>
      <c r="V296" s="9">
        <f>[18]운전시간외!F293</f>
        <v>0</v>
      </c>
      <c r="W296" s="11">
        <f>[18]생산!F293</f>
        <v>0</v>
      </c>
      <c r="X296" s="11">
        <f>[18]생산!G293</f>
        <v>0</v>
      </c>
      <c r="Y296" s="11">
        <f>[18]생산!H293</f>
        <v>0</v>
      </c>
      <c r="Z296" s="11">
        <f>[18]생산!I293</f>
        <v>0</v>
      </c>
      <c r="AA296" s="11">
        <f>[18]생산!J293</f>
        <v>0</v>
      </c>
      <c r="AB296" s="11">
        <f>[18]생산!K293</f>
        <v>0</v>
      </c>
      <c r="AC296" s="11"/>
    </row>
    <row r="297" spans="1:29">
      <c r="A297" s="6">
        <v>46314</v>
      </c>
      <c r="B297" s="12">
        <f>'[18]key-in(LO)'!AA295</f>
        <v>0</v>
      </c>
      <c r="C297" s="12">
        <f>'[18]key-in(LO)'!AB295</f>
        <v>0</v>
      </c>
      <c r="D297" s="12">
        <f>'[18]key-in(LO)'!AC295</f>
        <v>0</v>
      </c>
      <c r="E297" s="12">
        <f>'[18]key-in(LO)'!AD295</f>
        <v>0</v>
      </c>
      <c r="F297" s="12">
        <f>'[18]key-in(LO)'!AE295</f>
        <v>0</v>
      </c>
      <c r="G297" s="115">
        <f>'[18]key-in(LO)'!AF295</f>
        <v>0</v>
      </c>
      <c r="H297" s="12">
        <f>'[18]key-in(LO)'!AG295</f>
        <v>0</v>
      </c>
      <c r="I297" s="12">
        <f>'[18]key-in(LO)'!AH295</f>
        <v>0</v>
      </c>
      <c r="J297" s="10">
        <f>'[18]key-in(ACO)'!$AR295</f>
        <v>0</v>
      </c>
      <c r="K297" s="10">
        <f>'[18]key-in(ACO)'!$AS295</f>
        <v>0</v>
      </c>
      <c r="L297" s="9">
        <f>'[18]key-in(ACO)'!$AV295</f>
        <v>0</v>
      </c>
      <c r="M297" s="10">
        <f>[18]생산!BA294</f>
        <v>0</v>
      </c>
      <c r="N297" s="10">
        <f>[18]생산!BB294</f>
        <v>0</v>
      </c>
      <c r="O297" s="10">
        <f>[18]생산!BC294</f>
        <v>0</v>
      </c>
      <c r="P297" s="10">
        <f>[18]생산!BD294</f>
        <v>0</v>
      </c>
      <c r="Q297" s="10">
        <f>[18]생산!BE294</f>
        <v>0</v>
      </c>
      <c r="R297" s="10">
        <f>[18]생산!BF294</f>
        <v>0</v>
      </c>
      <c r="S297" s="9">
        <f>[18]운전시간외!C294</f>
        <v>0</v>
      </c>
      <c r="T297" s="9">
        <f>[18]운전시간외!D294</f>
        <v>0</v>
      </c>
      <c r="U297" s="9">
        <f>[18]운전시간외!E294</f>
        <v>0</v>
      </c>
      <c r="V297" s="9">
        <f>[18]운전시간외!F294</f>
        <v>0</v>
      </c>
      <c r="W297" s="11">
        <f>[18]생산!F294</f>
        <v>0</v>
      </c>
      <c r="X297" s="11">
        <f>[18]생산!G294</f>
        <v>0</v>
      </c>
      <c r="Y297" s="11">
        <f>[18]생산!H294</f>
        <v>0</v>
      </c>
      <c r="Z297" s="11">
        <f>[18]생산!I294</f>
        <v>0</v>
      </c>
      <c r="AA297" s="11">
        <f>[18]생산!J294</f>
        <v>0</v>
      </c>
      <c r="AB297" s="11">
        <f>[18]생산!K294</f>
        <v>0</v>
      </c>
      <c r="AC297" s="11"/>
    </row>
    <row r="298" spans="1:29">
      <c r="A298" s="6">
        <v>46315</v>
      </c>
      <c r="B298" s="12">
        <f>'[18]key-in(LO)'!AA296</f>
        <v>0</v>
      </c>
      <c r="C298" s="12">
        <f>'[18]key-in(LO)'!AB296</f>
        <v>0</v>
      </c>
      <c r="D298" s="12">
        <f>'[18]key-in(LO)'!AC296</f>
        <v>0</v>
      </c>
      <c r="E298" s="12">
        <f>'[18]key-in(LO)'!AD296</f>
        <v>0</v>
      </c>
      <c r="F298" s="12">
        <f>'[18]key-in(LO)'!AE296</f>
        <v>0</v>
      </c>
      <c r="G298" s="115">
        <f>'[18]key-in(LO)'!AF296</f>
        <v>0</v>
      </c>
      <c r="H298" s="12">
        <f>'[18]key-in(LO)'!AG296</f>
        <v>0</v>
      </c>
      <c r="I298" s="12">
        <f>'[18]key-in(LO)'!AH296</f>
        <v>0</v>
      </c>
      <c r="J298" s="10">
        <f>'[18]key-in(ACO)'!$AR296</f>
        <v>0</v>
      </c>
      <c r="K298" s="10">
        <f>'[18]key-in(ACO)'!$AS296</f>
        <v>0</v>
      </c>
      <c r="L298" s="9">
        <f>'[18]key-in(ACO)'!$AV296</f>
        <v>0</v>
      </c>
      <c r="M298" s="10">
        <f>[18]생산!BA295</f>
        <v>0</v>
      </c>
      <c r="N298" s="10">
        <f>[18]생산!BB295</f>
        <v>0</v>
      </c>
      <c r="O298" s="10">
        <f>[18]생산!BC295</f>
        <v>0</v>
      </c>
      <c r="P298" s="10">
        <f>[18]생산!BD295</f>
        <v>0</v>
      </c>
      <c r="Q298" s="10">
        <f>[18]생산!BE295</f>
        <v>0</v>
      </c>
      <c r="R298" s="10">
        <f>[18]생산!BF295</f>
        <v>0</v>
      </c>
      <c r="S298" s="9">
        <f>[18]운전시간외!C295</f>
        <v>0</v>
      </c>
      <c r="T298" s="9">
        <f>[18]운전시간외!D295</f>
        <v>0</v>
      </c>
      <c r="U298" s="9">
        <f>[18]운전시간외!E295</f>
        <v>0</v>
      </c>
      <c r="V298" s="9">
        <f>[18]운전시간외!F295</f>
        <v>0</v>
      </c>
      <c r="W298" s="11">
        <f>[18]생산!F295</f>
        <v>0</v>
      </c>
      <c r="X298" s="11">
        <f>[18]생산!G295</f>
        <v>0</v>
      </c>
      <c r="Y298" s="11">
        <f>[18]생산!H295</f>
        <v>0</v>
      </c>
      <c r="Z298" s="11">
        <f>[18]생산!I295</f>
        <v>0</v>
      </c>
      <c r="AA298" s="11">
        <f>[18]생산!J295</f>
        <v>0</v>
      </c>
      <c r="AB298" s="11">
        <f>[18]생산!K295</f>
        <v>0</v>
      </c>
      <c r="AC298" s="11"/>
    </row>
    <row r="299" spans="1:29">
      <c r="A299" s="6">
        <v>46316</v>
      </c>
      <c r="B299" s="12">
        <f>'[18]key-in(LO)'!AA297</f>
        <v>0</v>
      </c>
      <c r="C299" s="12">
        <f>'[18]key-in(LO)'!AB297</f>
        <v>0</v>
      </c>
      <c r="D299" s="12">
        <f>'[18]key-in(LO)'!AC297</f>
        <v>0</v>
      </c>
      <c r="E299" s="12">
        <f>'[18]key-in(LO)'!AD297</f>
        <v>0</v>
      </c>
      <c r="F299" s="12">
        <f>'[18]key-in(LO)'!AE297</f>
        <v>0</v>
      </c>
      <c r="G299" s="115">
        <f>'[18]key-in(LO)'!AF297</f>
        <v>0</v>
      </c>
      <c r="H299" s="12">
        <f>'[18]key-in(LO)'!AG297</f>
        <v>0</v>
      </c>
      <c r="I299" s="12">
        <f>'[18]key-in(LO)'!AH297</f>
        <v>0</v>
      </c>
      <c r="J299" s="10">
        <f>'[18]key-in(ACO)'!$AR297</f>
        <v>0</v>
      </c>
      <c r="K299" s="10">
        <f>'[18]key-in(ACO)'!$AS297</f>
        <v>0</v>
      </c>
      <c r="L299" s="9">
        <f>'[18]key-in(ACO)'!$AV297</f>
        <v>0</v>
      </c>
      <c r="M299" s="10">
        <f>[18]생산!BA296</f>
        <v>0</v>
      </c>
      <c r="N299" s="10">
        <f>[18]생산!BB296</f>
        <v>0</v>
      </c>
      <c r="O299" s="10">
        <f>[18]생산!BC296</f>
        <v>0</v>
      </c>
      <c r="P299" s="10">
        <f>[18]생산!BD296</f>
        <v>0</v>
      </c>
      <c r="Q299" s="10">
        <f>[18]생산!BE296</f>
        <v>0</v>
      </c>
      <c r="R299" s="10">
        <f>[18]생산!BF296</f>
        <v>0</v>
      </c>
      <c r="S299" s="9">
        <f>[18]운전시간외!C296</f>
        <v>0</v>
      </c>
      <c r="T299" s="9">
        <f>[18]운전시간외!D296</f>
        <v>0</v>
      </c>
      <c r="U299" s="9">
        <f>[18]운전시간외!E296</f>
        <v>0</v>
      </c>
      <c r="V299" s="9">
        <f>[18]운전시간외!F296</f>
        <v>0</v>
      </c>
      <c r="W299" s="11">
        <f>[18]생산!F296</f>
        <v>0</v>
      </c>
      <c r="X299" s="11">
        <f>[18]생산!G296</f>
        <v>0</v>
      </c>
      <c r="Y299" s="11">
        <f>[18]생산!H296</f>
        <v>0</v>
      </c>
      <c r="Z299" s="11">
        <f>[18]생산!I296</f>
        <v>0</v>
      </c>
      <c r="AA299" s="11">
        <f>[18]생산!J296</f>
        <v>0</v>
      </c>
      <c r="AB299" s="11">
        <f>[18]생산!K296</f>
        <v>0</v>
      </c>
      <c r="AC299" s="11"/>
    </row>
    <row r="300" spans="1:29">
      <c r="A300" s="6">
        <v>46317</v>
      </c>
      <c r="B300" s="12">
        <f>'[18]key-in(LO)'!AA298</f>
        <v>0</v>
      </c>
      <c r="C300" s="12">
        <f>'[18]key-in(LO)'!AB298</f>
        <v>0</v>
      </c>
      <c r="D300" s="12">
        <f>'[18]key-in(LO)'!AC298</f>
        <v>0</v>
      </c>
      <c r="E300" s="12">
        <f>'[18]key-in(LO)'!AD298</f>
        <v>0</v>
      </c>
      <c r="F300" s="12">
        <f>'[18]key-in(LO)'!AE298</f>
        <v>0</v>
      </c>
      <c r="G300" s="115">
        <f>'[18]key-in(LO)'!AF298</f>
        <v>0</v>
      </c>
      <c r="H300" s="12">
        <f>'[18]key-in(LO)'!AG298</f>
        <v>0</v>
      </c>
      <c r="I300" s="12">
        <f>'[18]key-in(LO)'!AH298</f>
        <v>0</v>
      </c>
      <c r="J300" s="10">
        <f>'[18]key-in(ACO)'!$AR298</f>
        <v>0</v>
      </c>
      <c r="K300" s="10">
        <f>'[18]key-in(ACO)'!$AS298</f>
        <v>0</v>
      </c>
      <c r="L300" s="9">
        <f>'[18]key-in(ACO)'!$AV298</f>
        <v>0</v>
      </c>
      <c r="M300" s="10">
        <f>[18]생산!BA297</f>
        <v>0</v>
      </c>
      <c r="N300" s="10">
        <f>[18]생산!BB297</f>
        <v>0</v>
      </c>
      <c r="O300" s="10">
        <f>[18]생산!BC297</f>
        <v>0</v>
      </c>
      <c r="P300" s="10">
        <f>[18]생산!BD297</f>
        <v>0</v>
      </c>
      <c r="Q300" s="10">
        <f>[18]생산!BE297</f>
        <v>0</v>
      </c>
      <c r="R300" s="10">
        <f>[18]생산!BF297</f>
        <v>0</v>
      </c>
      <c r="S300" s="9">
        <f>[18]운전시간외!C297</f>
        <v>0</v>
      </c>
      <c r="T300" s="9">
        <f>[18]운전시간외!D297</f>
        <v>0</v>
      </c>
      <c r="U300" s="9">
        <f>[18]운전시간외!E297</f>
        <v>0</v>
      </c>
      <c r="V300" s="9">
        <f>[18]운전시간외!F297</f>
        <v>0</v>
      </c>
      <c r="W300" s="11">
        <f>[18]생산!F297</f>
        <v>0</v>
      </c>
      <c r="X300" s="11">
        <f>[18]생산!G297</f>
        <v>0</v>
      </c>
      <c r="Y300" s="11">
        <f>[18]생산!H297</f>
        <v>0</v>
      </c>
      <c r="Z300" s="11">
        <f>[18]생산!I297</f>
        <v>0</v>
      </c>
      <c r="AA300" s="11">
        <f>[18]생산!J297</f>
        <v>0</v>
      </c>
      <c r="AB300" s="11">
        <f>[18]생산!K297</f>
        <v>0</v>
      </c>
      <c r="AC300" s="11"/>
    </row>
    <row r="301" spans="1:29">
      <c r="A301" s="6">
        <v>46318</v>
      </c>
      <c r="B301" s="12">
        <f>'[18]key-in(LO)'!AA299</f>
        <v>0</v>
      </c>
      <c r="C301" s="12">
        <f>'[18]key-in(LO)'!AB299</f>
        <v>0</v>
      </c>
      <c r="D301" s="12">
        <f>'[18]key-in(LO)'!AC299</f>
        <v>0</v>
      </c>
      <c r="E301" s="12">
        <f>'[18]key-in(LO)'!AD299</f>
        <v>0</v>
      </c>
      <c r="F301" s="12">
        <f>'[18]key-in(LO)'!AE299</f>
        <v>0</v>
      </c>
      <c r="G301" s="115">
        <f>'[18]key-in(LO)'!AF299</f>
        <v>0</v>
      </c>
      <c r="H301" s="12">
        <f>'[18]key-in(LO)'!AG299</f>
        <v>0</v>
      </c>
      <c r="I301" s="12">
        <f>'[18]key-in(LO)'!AH299</f>
        <v>0</v>
      </c>
      <c r="J301" s="10">
        <f>'[18]key-in(ACO)'!$AR299</f>
        <v>0</v>
      </c>
      <c r="K301" s="10">
        <f>'[18]key-in(ACO)'!$AS299</f>
        <v>0</v>
      </c>
      <c r="L301" s="9">
        <f>'[18]key-in(ACO)'!$AV299</f>
        <v>0</v>
      </c>
      <c r="M301" s="10">
        <f>[18]생산!BA298</f>
        <v>0</v>
      </c>
      <c r="N301" s="10">
        <f>[18]생산!BB298</f>
        <v>0</v>
      </c>
      <c r="O301" s="10">
        <f>[18]생산!BC298</f>
        <v>0</v>
      </c>
      <c r="P301" s="10">
        <f>[18]생산!BD298</f>
        <v>0</v>
      </c>
      <c r="Q301" s="10">
        <f>[18]생산!BE298</f>
        <v>0</v>
      </c>
      <c r="R301" s="10">
        <f>[18]생산!BF298</f>
        <v>0</v>
      </c>
      <c r="S301" s="9">
        <f>[18]운전시간외!C298</f>
        <v>0</v>
      </c>
      <c r="T301" s="9">
        <f>[18]운전시간외!D298</f>
        <v>0</v>
      </c>
      <c r="U301" s="9">
        <f>[18]운전시간외!E298</f>
        <v>0</v>
      </c>
      <c r="V301" s="9">
        <f>[18]운전시간외!F298</f>
        <v>0</v>
      </c>
      <c r="W301" s="11">
        <f>[18]생산!F298</f>
        <v>0</v>
      </c>
      <c r="X301" s="11">
        <f>[18]생산!G298</f>
        <v>0</v>
      </c>
      <c r="Y301" s="11">
        <f>[18]생산!H298</f>
        <v>0</v>
      </c>
      <c r="Z301" s="11">
        <f>[18]생산!I298</f>
        <v>0</v>
      </c>
      <c r="AA301" s="11">
        <f>[18]생산!J298</f>
        <v>0</v>
      </c>
      <c r="AB301" s="11">
        <f>[18]생산!K298</f>
        <v>0</v>
      </c>
      <c r="AC301" s="11"/>
    </row>
    <row r="302" spans="1:29">
      <c r="A302" s="6">
        <v>46319</v>
      </c>
      <c r="B302" s="12">
        <f>'[18]key-in(LO)'!AA300</f>
        <v>0</v>
      </c>
      <c r="C302" s="12">
        <f>'[18]key-in(LO)'!AB300</f>
        <v>0</v>
      </c>
      <c r="D302" s="12">
        <f>'[18]key-in(LO)'!AC300</f>
        <v>0</v>
      </c>
      <c r="E302" s="12">
        <f>'[18]key-in(LO)'!AD300</f>
        <v>0</v>
      </c>
      <c r="F302" s="12">
        <f>'[18]key-in(LO)'!AE300</f>
        <v>0</v>
      </c>
      <c r="G302" s="115">
        <f>'[18]key-in(LO)'!AF300</f>
        <v>0</v>
      </c>
      <c r="H302" s="12">
        <f>'[18]key-in(LO)'!AG300</f>
        <v>0</v>
      </c>
      <c r="I302" s="12">
        <f>'[18]key-in(LO)'!AH300</f>
        <v>0</v>
      </c>
      <c r="J302" s="10">
        <f>'[18]key-in(ACO)'!$AR300</f>
        <v>0</v>
      </c>
      <c r="K302" s="10">
        <f>'[18]key-in(ACO)'!$AS300</f>
        <v>0</v>
      </c>
      <c r="L302" s="9">
        <f>'[18]key-in(ACO)'!$AV300</f>
        <v>0</v>
      </c>
      <c r="M302" s="10">
        <f>[18]생산!BA299</f>
        <v>0</v>
      </c>
      <c r="N302" s="10">
        <f>[18]생산!BB299</f>
        <v>0</v>
      </c>
      <c r="O302" s="10">
        <f>[18]생산!BC299</f>
        <v>0</v>
      </c>
      <c r="P302" s="10">
        <f>[18]생산!BD299</f>
        <v>0</v>
      </c>
      <c r="Q302" s="10">
        <f>[18]생산!BE299</f>
        <v>0</v>
      </c>
      <c r="R302" s="10">
        <f>[18]생산!BF299</f>
        <v>0</v>
      </c>
      <c r="S302" s="9">
        <f>[18]운전시간외!C299</f>
        <v>0</v>
      </c>
      <c r="T302" s="9">
        <f>[18]운전시간외!D299</f>
        <v>0</v>
      </c>
      <c r="U302" s="9">
        <f>[18]운전시간외!E299</f>
        <v>0</v>
      </c>
      <c r="V302" s="9">
        <f>[18]운전시간외!F299</f>
        <v>0</v>
      </c>
      <c r="W302" s="11">
        <f>[18]생산!F299</f>
        <v>0</v>
      </c>
      <c r="X302" s="11">
        <f>[18]생산!G299</f>
        <v>0</v>
      </c>
      <c r="Y302" s="11">
        <f>[18]생산!H299</f>
        <v>0</v>
      </c>
      <c r="Z302" s="11">
        <f>[18]생산!I299</f>
        <v>0</v>
      </c>
      <c r="AA302" s="11">
        <f>[18]생산!J299</f>
        <v>0</v>
      </c>
      <c r="AB302" s="11">
        <f>[18]생산!K299</f>
        <v>0</v>
      </c>
      <c r="AC302" s="11"/>
    </row>
    <row r="303" spans="1:29">
      <c r="A303" s="6">
        <v>46320</v>
      </c>
      <c r="B303" s="12">
        <f>'[18]key-in(LO)'!AA301</f>
        <v>0</v>
      </c>
      <c r="C303" s="12">
        <f>'[18]key-in(LO)'!AB301</f>
        <v>0</v>
      </c>
      <c r="D303" s="12">
        <f>'[18]key-in(LO)'!AC301</f>
        <v>0</v>
      </c>
      <c r="E303" s="12">
        <f>'[18]key-in(LO)'!AD301</f>
        <v>0</v>
      </c>
      <c r="F303" s="12">
        <f>'[18]key-in(LO)'!AE301</f>
        <v>0</v>
      </c>
      <c r="G303" s="115">
        <f>'[18]key-in(LO)'!AF301</f>
        <v>0</v>
      </c>
      <c r="H303" s="12">
        <f>'[18]key-in(LO)'!AG301</f>
        <v>0</v>
      </c>
      <c r="I303" s="12">
        <f>'[18]key-in(LO)'!AH301</f>
        <v>0</v>
      </c>
      <c r="J303" s="10">
        <f>'[18]key-in(ACO)'!$AR301</f>
        <v>0</v>
      </c>
      <c r="K303" s="10">
        <f>'[18]key-in(ACO)'!$AS301</f>
        <v>0</v>
      </c>
      <c r="L303" s="9">
        <f>'[18]key-in(ACO)'!$AV301</f>
        <v>0</v>
      </c>
      <c r="M303" s="10">
        <f>[18]생산!BA300</f>
        <v>0</v>
      </c>
      <c r="N303" s="10">
        <f>[18]생산!BB300</f>
        <v>0</v>
      </c>
      <c r="O303" s="10">
        <f>[18]생산!BC300</f>
        <v>0</v>
      </c>
      <c r="P303" s="10">
        <f>[18]생산!BD300</f>
        <v>0</v>
      </c>
      <c r="Q303" s="10">
        <f>[18]생산!BE300</f>
        <v>0</v>
      </c>
      <c r="R303" s="10">
        <f>[18]생산!BF300</f>
        <v>0</v>
      </c>
      <c r="S303" s="9">
        <f>[18]운전시간외!C300</f>
        <v>0</v>
      </c>
      <c r="T303" s="9">
        <f>[18]운전시간외!D300</f>
        <v>0</v>
      </c>
      <c r="U303" s="9">
        <f>[18]운전시간외!E300</f>
        <v>0</v>
      </c>
      <c r="V303" s="9">
        <f>[18]운전시간외!F300</f>
        <v>0</v>
      </c>
      <c r="W303" s="11">
        <f>[18]생산!F300</f>
        <v>0</v>
      </c>
      <c r="X303" s="11">
        <f>[18]생산!G300</f>
        <v>0</v>
      </c>
      <c r="Y303" s="11">
        <f>[18]생산!H300</f>
        <v>0</v>
      </c>
      <c r="Z303" s="11">
        <f>[18]생산!I300</f>
        <v>0</v>
      </c>
      <c r="AA303" s="11">
        <f>[18]생산!J300</f>
        <v>0</v>
      </c>
      <c r="AB303" s="11">
        <f>[18]생산!K300</f>
        <v>0</v>
      </c>
      <c r="AC303" s="11"/>
    </row>
    <row r="304" spans="1:29">
      <c r="A304" s="6">
        <v>46321</v>
      </c>
      <c r="B304" s="12">
        <f>'[18]key-in(LO)'!AA302</f>
        <v>0</v>
      </c>
      <c r="C304" s="12">
        <f>'[18]key-in(LO)'!AB302</f>
        <v>0</v>
      </c>
      <c r="D304" s="12">
        <f>'[18]key-in(LO)'!AC302</f>
        <v>0</v>
      </c>
      <c r="E304" s="12">
        <f>'[18]key-in(LO)'!AD302</f>
        <v>0</v>
      </c>
      <c r="F304" s="12">
        <f>'[18]key-in(LO)'!AE302</f>
        <v>0</v>
      </c>
      <c r="G304" s="115">
        <f>'[18]key-in(LO)'!AF302</f>
        <v>0</v>
      </c>
      <c r="H304" s="12">
        <f>'[18]key-in(LO)'!AG302</f>
        <v>0</v>
      </c>
      <c r="I304" s="12">
        <f>'[18]key-in(LO)'!AH302</f>
        <v>0</v>
      </c>
      <c r="J304" s="10">
        <f>'[18]key-in(ACO)'!$AR302</f>
        <v>0</v>
      </c>
      <c r="K304" s="10">
        <f>'[18]key-in(ACO)'!$AS302</f>
        <v>0</v>
      </c>
      <c r="L304" s="9">
        <f>'[18]key-in(ACO)'!$AV302</f>
        <v>0</v>
      </c>
      <c r="M304" s="10">
        <f>[18]생산!BA301</f>
        <v>0</v>
      </c>
      <c r="N304" s="10">
        <f>[18]생산!BB301</f>
        <v>0</v>
      </c>
      <c r="O304" s="10">
        <f>[18]생산!BC301</f>
        <v>0</v>
      </c>
      <c r="P304" s="10">
        <f>[18]생산!BD301</f>
        <v>0</v>
      </c>
      <c r="Q304" s="10">
        <f>[18]생산!BE301</f>
        <v>0</v>
      </c>
      <c r="R304" s="10">
        <f>[18]생산!BF301</f>
        <v>0</v>
      </c>
      <c r="S304" s="9">
        <f>[18]운전시간외!C301</f>
        <v>0</v>
      </c>
      <c r="T304" s="9">
        <f>[18]운전시간외!D301</f>
        <v>0</v>
      </c>
      <c r="U304" s="9">
        <f>[18]운전시간외!E301</f>
        <v>0</v>
      </c>
      <c r="V304" s="9">
        <f>[18]운전시간외!F301</f>
        <v>0</v>
      </c>
      <c r="W304" s="11">
        <f>[18]생산!F301</f>
        <v>0</v>
      </c>
      <c r="X304" s="11">
        <f>[18]생산!G301</f>
        <v>0</v>
      </c>
      <c r="Y304" s="11">
        <f>[18]생산!H301</f>
        <v>0</v>
      </c>
      <c r="Z304" s="11">
        <f>[18]생산!I301</f>
        <v>0</v>
      </c>
      <c r="AA304" s="11">
        <f>[18]생산!J301</f>
        <v>0</v>
      </c>
      <c r="AB304" s="11">
        <f>[18]생산!K301</f>
        <v>0</v>
      </c>
      <c r="AC304" s="11"/>
    </row>
    <row r="305" spans="1:29">
      <c r="A305" s="6">
        <v>46322</v>
      </c>
      <c r="B305" s="12">
        <f>'[18]key-in(LO)'!AA303</f>
        <v>0</v>
      </c>
      <c r="C305" s="12">
        <f>'[18]key-in(LO)'!AB303</f>
        <v>0</v>
      </c>
      <c r="D305" s="12">
        <f>'[18]key-in(LO)'!AC303</f>
        <v>0</v>
      </c>
      <c r="E305" s="12">
        <f>'[18]key-in(LO)'!AD303</f>
        <v>0</v>
      </c>
      <c r="F305" s="12">
        <f>'[18]key-in(LO)'!AE303</f>
        <v>0</v>
      </c>
      <c r="G305" s="115">
        <f>'[18]key-in(LO)'!AF303</f>
        <v>0</v>
      </c>
      <c r="H305" s="12">
        <f>'[18]key-in(LO)'!AG303</f>
        <v>0</v>
      </c>
      <c r="I305" s="12">
        <f>'[18]key-in(LO)'!AH303</f>
        <v>0</v>
      </c>
      <c r="J305" s="10">
        <f>'[18]key-in(ACO)'!$AR303</f>
        <v>0</v>
      </c>
      <c r="K305" s="10">
        <f>'[18]key-in(ACO)'!$AS303</f>
        <v>0</v>
      </c>
      <c r="L305" s="9">
        <f>'[18]key-in(ACO)'!$AV303</f>
        <v>0</v>
      </c>
      <c r="M305" s="10">
        <f>[18]생산!BA302</f>
        <v>0</v>
      </c>
      <c r="N305" s="10">
        <f>[18]생산!BB302</f>
        <v>0</v>
      </c>
      <c r="O305" s="10">
        <f>[18]생산!BC302</f>
        <v>0</v>
      </c>
      <c r="P305" s="10">
        <f>[18]생산!BD302</f>
        <v>0</v>
      </c>
      <c r="Q305" s="10">
        <f>[18]생산!BE302</f>
        <v>0</v>
      </c>
      <c r="R305" s="10">
        <f>[18]생산!BF302</f>
        <v>0</v>
      </c>
      <c r="S305" s="9">
        <f>[18]운전시간외!C302</f>
        <v>0</v>
      </c>
      <c r="T305" s="9">
        <f>[18]운전시간외!D302</f>
        <v>0</v>
      </c>
      <c r="U305" s="9">
        <f>[18]운전시간외!E302</f>
        <v>0</v>
      </c>
      <c r="V305" s="9">
        <f>[18]운전시간외!F302</f>
        <v>0</v>
      </c>
      <c r="W305" s="11">
        <f>[18]생산!F302</f>
        <v>0</v>
      </c>
      <c r="X305" s="11">
        <f>[18]생산!G302</f>
        <v>0</v>
      </c>
      <c r="Y305" s="11">
        <f>[18]생산!H302</f>
        <v>0</v>
      </c>
      <c r="Z305" s="11">
        <f>[18]생산!I302</f>
        <v>0</v>
      </c>
      <c r="AA305" s="11">
        <f>[18]생산!J302</f>
        <v>0</v>
      </c>
      <c r="AB305" s="11">
        <f>[18]생산!K302</f>
        <v>0</v>
      </c>
      <c r="AC305" s="11"/>
    </row>
    <row r="306" spans="1:29">
      <c r="A306" s="6">
        <v>46323</v>
      </c>
      <c r="B306" s="12">
        <f>'[18]key-in(LO)'!AA304</f>
        <v>0</v>
      </c>
      <c r="C306" s="12">
        <f>'[18]key-in(LO)'!AB304</f>
        <v>0</v>
      </c>
      <c r="D306" s="12">
        <f>'[18]key-in(LO)'!AC304</f>
        <v>0</v>
      </c>
      <c r="E306" s="12">
        <f>'[18]key-in(LO)'!AD304</f>
        <v>0</v>
      </c>
      <c r="F306" s="12">
        <f>'[18]key-in(LO)'!AE304</f>
        <v>0</v>
      </c>
      <c r="G306" s="115">
        <f>'[18]key-in(LO)'!AF304</f>
        <v>0</v>
      </c>
      <c r="H306" s="12">
        <f>'[18]key-in(LO)'!AG304</f>
        <v>0</v>
      </c>
      <c r="I306" s="12">
        <f>'[18]key-in(LO)'!AH304</f>
        <v>0</v>
      </c>
      <c r="J306" s="10">
        <f>'[18]key-in(ACO)'!$AR304</f>
        <v>0</v>
      </c>
      <c r="K306" s="10">
        <f>'[18]key-in(ACO)'!$AS304</f>
        <v>0</v>
      </c>
      <c r="L306" s="9">
        <f>'[18]key-in(ACO)'!$AV304</f>
        <v>0</v>
      </c>
      <c r="M306" s="10">
        <f>[18]생산!BA303</f>
        <v>0</v>
      </c>
      <c r="N306" s="10">
        <f>[18]생산!BB303</f>
        <v>0</v>
      </c>
      <c r="O306" s="10">
        <f>[18]생산!BC303</f>
        <v>0</v>
      </c>
      <c r="P306" s="10">
        <f>[18]생산!BD303</f>
        <v>0</v>
      </c>
      <c r="Q306" s="10">
        <f>[18]생산!BE303</f>
        <v>0</v>
      </c>
      <c r="R306" s="10">
        <f>[18]생산!BF303</f>
        <v>0</v>
      </c>
      <c r="S306" s="9">
        <f>[18]운전시간외!C303</f>
        <v>0</v>
      </c>
      <c r="T306" s="9">
        <f>[18]운전시간외!D303</f>
        <v>0</v>
      </c>
      <c r="U306" s="9">
        <f>[18]운전시간외!E303</f>
        <v>0</v>
      </c>
      <c r="V306" s="9">
        <f>[18]운전시간외!F303</f>
        <v>0</v>
      </c>
      <c r="W306" s="11">
        <f>[18]생산!F303</f>
        <v>0</v>
      </c>
      <c r="X306" s="11">
        <f>[18]생산!G303</f>
        <v>0</v>
      </c>
      <c r="Y306" s="11">
        <f>[18]생산!H303</f>
        <v>0</v>
      </c>
      <c r="Z306" s="11">
        <f>[18]생산!I303</f>
        <v>0</v>
      </c>
      <c r="AA306" s="11">
        <f>[18]생산!J303</f>
        <v>0</v>
      </c>
      <c r="AB306" s="11">
        <f>[18]생산!K303</f>
        <v>0</v>
      </c>
      <c r="AC306" s="11"/>
    </row>
    <row r="307" spans="1:29">
      <c r="A307" s="6">
        <v>46324</v>
      </c>
      <c r="B307" s="12">
        <f>'[18]key-in(LO)'!AA305</f>
        <v>0</v>
      </c>
      <c r="C307" s="12">
        <f>'[18]key-in(LO)'!AB305</f>
        <v>0</v>
      </c>
      <c r="D307" s="12">
        <f>'[18]key-in(LO)'!AC305</f>
        <v>0</v>
      </c>
      <c r="E307" s="12">
        <f>'[18]key-in(LO)'!AD305</f>
        <v>0</v>
      </c>
      <c r="F307" s="12">
        <f>'[18]key-in(LO)'!AE305</f>
        <v>0</v>
      </c>
      <c r="G307" s="115">
        <f>'[18]key-in(LO)'!AF305</f>
        <v>0</v>
      </c>
      <c r="H307" s="12">
        <f>'[18]key-in(LO)'!AG305</f>
        <v>0</v>
      </c>
      <c r="I307" s="12">
        <f>'[18]key-in(LO)'!AH305</f>
        <v>0</v>
      </c>
      <c r="J307" s="10">
        <f>'[18]key-in(ACO)'!$AR305</f>
        <v>0</v>
      </c>
      <c r="K307" s="10">
        <f>'[18]key-in(ACO)'!$AS305</f>
        <v>0</v>
      </c>
      <c r="L307" s="9">
        <f>'[18]key-in(ACO)'!$AV305</f>
        <v>0</v>
      </c>
      <c r="M307" s="10">
        <f>[18]생산!BA304</f>
        <v>0</v>
      </c>
      <c r="N307" s="10">
        <f>[18]생산!BB304</f>
        <v>0</v>
      </c>
      <c r="O307" s="10">
        <f>[18]생산!BC304</f>
        <v>0</v>
      </c>
      <c r="P307" s="10">
        <f>[18]생산!BD304</f>
        <v>0</v>
      </c>
      <c r="Q307" s="10">
        <f>[18]생산!BE304</f>
        <v>0</v>
      </c>
      <c r="R307" s="10">
        <f>[18]생산!BF304</f>
        <v>0</v>
      </c>
      <c r="S307" s="9">
        <f>[18]운전시간외!C304</f>
        <v>0</v>
      </c>
      <c r="T307" s="9">
        <f>[18]운전시간외!D304</f>
        <v>0</v>
      </c>
      <c r="U307" s="9">
        <f>[18]운전시간외!E304</f>
        <v>0</v>
      </c>
      <c r="V307" s="9">
        <f>[18]운전시간외!F304</f>
        <v>0</v>
      </c>
      <c r="W307" s="11">
        <f>[18]생산!F304</f>
        <v>0</v>
      </c>
      <c r="X307" s="11">
        <f>[18]생산!G304</f>
        <v>0</v>
      </c>
      <c r="Y307" s="11">
        <f>[18]생산!H304</f>
        <v>0</v>
      </c>
      <c r="Z307" s="11">
        <f>[18]생산!I304</f>
        <v>0</v>
      </c>
      <c r="AA307" s="11">
        <f>[18]생산!J304</f>
        <v>0</v>
      </c>
      <c r="AB307" s="11">
        <f>[18]생산!K304</f>
        <v>0</v>
      </c>
      <c r="AC307" s="11"/>
    </row>
    <row r="308" spans="1:29">
      <c r="A308" s="6">
        <v>46325</v>
      </c>
      <c r="B308" s="12">
        <f>'[18]key-in(LO)'!AA306</f>
        <v>0</v>
      </c>
      <c r="C308" s="12">
        <f>'[18]key-in(LO)'!AB306</f>
        <v>0</v>
      </c>
      <c r="D308" s="12">
        <f>'[18]key-in(LO)'!AC306</f>
        <v>0</v>
      </c>
      <c r="E308" s="12">
        <f>'[18]key-in(LO)'!AD306</f>
        <v>0</v>
      </c>
      <c r="F308" s="12">
        <f>'[18]key-in(LO)'!AE306</f>
        <v>0</v>
      </c>
      <c r="G308" s="115">
        <f>'[18]key-in(LO)'!AF306</f>
        <v>0</v>
      </c>
      <c r="H308" s="12">
        <f>'[18]key-in(LO)'!AG306</f>
        <v>0</v>
      </c>
      <c r="I308" s="12">
        <f>'[18]key-in(LO)'!AH306</f>
        <v>0</v>
      </c>
      <c r="J308" s="10">
        <f>'[18]key-in(ACO)'!$AR306</f>
        <v>0</v>
      </c>
      <c r="K308" s="10">
        <f>'[18]key-in(ACO)'!$AS306</f>
        <v>0</v>
      </c>
      <c r="L308" s="9">
        <f>'[18]key-in(ACO)'!$AV306</f>
        <v>0</v>
      </c>
      <c r="M308" s="10">
        <f>[18]생산!BA305</f>
        <v>0</v>
      </c>
      <c r="N308" s="10">
        <f>[18]생산!BB305</f>
        <v>0</v>
      </c>
      <c r="O308" s="10">
        <f>[18]생산!BC305</f>
        <v>0</v>
      </c>
      <c r="P308" s="10">
        <f>[18]생산!BD305</f>
        <v>0</v>
      </c>
      <c r="Q308" s="10">
        <f>[18]생산!BE305</f>
        <v>0</v>
      </c>
      <c r="R308" s="10">
        <f>[18]생산!BF305</f>
        <v>0</v>
      </c>
      <c r="S308" s="9">
        <f>[18]운전시간외!C305</f>
        <v>0</v>
      </c>
      <c r="T308" s="9">
        <f>[18]운전시간외!D305</f>
        <v>0</v>
      </c>
      <c r="U308" s="9">
        <f>[18]운전시간외!E305</f>
        <v>0</v>
      </c>
      <c r="V308" s="9">
        <f>[18]운전시간외!F305</f>
        <v>0</v>
      </c>
      <c r="W308" s="11">
        <f>[18]생산!F305</f>
        <v>0</v>
      </c>
      <c r="X308" s="11">
        <f>[18]생산!G305</f>
        <v>0</v>
      </c>
      <c r="Y308" s="11">
        <f>[18]생산!H305</f>
        <v>0</v>
      </c>
      <c r="Z308" s="11">
        <f>[18]생산!I305</f>
        <v>0</v>
      </c>
      <c r="AA308" s="11">
        <f>[18]생산!J305</f>
        <v>0</v>
      </c>
      <c r="AB308" s="11">
        <f>[18]생산!K305</f>
        <v>0</v>
      </c>
      <c r="AC308" s="11"/>
    </row>
    <row r="309" spans="1:29">
      <c r="A309" s="6">
        <v>46326</v>
      </c>
      <c r="B309" s="12">
        <f>'[18]key-in(LO)'!AA307</f>
        <v>0</v>
      </c>
      <c r="C309" s="12">
        <f>'[18]key-in(LO)'!AB307</f>
        <v>0</v>
      </c>
      <c r="D309" s="12">
        <f>'[18]key-in(LO)'!AC307</f>
        <v>0</v>
      </c>
      <c r="E309" s="12">
        <f>'[18]key-in(LO)'!AD307</f>
        <v>0</v>
      </c>
      <c r="F309" s="12">
        <f>'[18]key-in(LO)'!AE307</f>
        <v>0</v>
      </c>
      <c r="G309" s="115">
        <f>'[18]key-in(LO)'!AF307</f>
        <v>0</v>
      </c>
      <c r="H309" s="12">
        <f>'[18]key-in(LO)'!AG307</f>
        <v>0</v>
      </c>
      <c r="I309" s="12">
        <f>'[18]key-in(LO)'!AH307</f>
        <v>0</v>
      </c>
      <c r="J309" s="10">
        <f>'[18]key-in(ACO)'!$AR307</f>
        <v>0</v>
      </c>
      <c r="K309" s="10">
        <f>'[18]key-in(ACO)'!$AS307</f>
        <v>0</v>
      </c>
      <c r="L309" s="9">
        <f>'[18]key-in(ACO)'!$AV307</f>
        <v>0</v>
      </c>
      <c r="M309" s="10">
        <f>[18]생산!BA306</f>
        <v>0</v>
      </c>
      <c r="N309" s="10">
        <f>[18]생산!BB306</f>
        <v>0</v>
      </c>
      <c r="O309" s="10">
        <f>[18]생산!BC306</f>
        <v>0</v>
      </c>
      <c r="P309" s="10">
        <f>[18]생산!BD306</f>
        <v>0</v>
      </c>
      <c r="Q309" s="10">
        <f>[18]생산!BE306</f>
        <v>0</v>
      </c>
      <c r="R309" s="10">
        <f>[18]생산!BF306</f>
        <v>0</v>
      </c>
      <c r="S309" s="9">
        <f>[18]운전시간외!C306</f>
        <v>0</v>
      </c>
      <c r="T309" s="9">
        <f>[18]운전시간외!D306</f>
        <v>0</v>
      </c>
      <c r="U309" s="9">
        <f>[18]운전시간외!E306</f>
        <v>0</v>
      </c>
      <c r="V309" s="9">
        <f>[18]운전시간외!F306</f>
        <v>0</v>
      </c>
      <c r="W309" s="11">
        <f>[18]생산!F306</f>
        <v>0</v>
      </c>
      <c r="X309" s="11">
        <f>[18]생산!G306</f>
        <v>0</v>
      </c>
      <c r="Y309" s="11">
        <f>[18]생산!H306</f>
        <v>0</v>
      </c>
      <c r="Z309" s="11">
        <f>[18]생산!I306</f>
        <v>0</v>
      </c>
      <c r="AA309" s="11">
        <f>[18]생산!J306</f>
        <v>0</v>
      </c>
      <c r="AB309" s="11">
        <f>[18]생산!K306</f>
        <v>0</v>
      </c>
      <c r="AC309" s="11"/>
    </row>
    <row r="310" spans="1:29">
      <c r="A310" s="6">
        <v>46327</v>
      </c>
      <c r="B310" s="12">
        <f>'[18]key-in(LO)'!AA308</f>
        <v>0</v>
      </c>
      <c r="C310" s="12">
        <f>'[18]key-in(LO)'!AB308</f>
        <v>0</v>
      </c>
      <c r="D310" s="12">
        <f>'[18]key-in(LO)'!AC308</f>
        <v>0</v>
      </c>
      <c r="E310" s="12">
        <f>'[18]key-in(LO)'!AD308</f>
        <v>0</v>
      </c>
      <c r="F310" s="12">
        <f>'[18]key-in(LO)'!AE308</f>
        <v>0</v>
      </c>
      <c r="G310" s="115">
        <f>'[18]key-in(LO)'!AF308</f>
        <v>0</v>
      </c>
      <c r="H310" s="12">
        <f>'[18]key-in(LO)'!AG308</f>
        <v>0</v>
      </c>
      <c r="I310" s="12">
        <f>'[18]key-in(LO)'!AH308</f>
        <v>0</v>
      </c>
      <c r="J310" s="10">
        <f>'[18]key-in(ACO)'!$AR308</f>
        <v>0</v>
      </c>
      <c r="K310" s="10">
        <f>'[18]key-in(ACO)'!$AS308</f>
        <v>0</v>
      </c>
      <c r="L310" s="9">
        <f>'[18]key-in(ACO)'!$AV308</f>
        <v>0</v>
      </c>
      <c r="M310" s="10">
        <f>[18]생산!BA307</f>
        <v>0</v>
      </c>
      <c r="N310" s="10">
        <f>[18]생산!BB307</f>
        <v>0</v>
      </c>
      <c r="O310" s="10">
        <f>[18]생산!BC307</f>
        <v>0</v>
      </c>
      <c r="P310" s="10">
        <f>[18]생산!BD307</f>
        <v>0</v>
      </c>
      <c r="Q310" s="10">
        <f>[18]생산!BE307</f>
        <v>0</v>
      </c>
      <c r="R310" s="10">
        <f>[18]생산!BF307</f>
        <v>0</v>
      </c>
      <c r="S310" s="9">
        <f>[18]운전시간외!C307</f>
        <v>0</v>
      </c>
      <c r="T310" s="9">
        <f>[18]운전시간외!D307</f>
        <v>0</v>
      </c>
      <c r="U310" s="9">
        <f>[18]운전시간외!E307</f>
        <v>0</v>
      </c>
      <c r="V310" s="9">
        <f>[18]운전시간외!F307</f>
        <v>0</v>
      </c>
      <c r="W310" s="11">
        <f>[18]생산!F307</f>
        <v>0</v>
      </c>
      <c r="X310" s="11">
        <f>[18]생산!G307</f>
        <v>0</v>
      </c>
      <c r="Y310" s="11">
        <f>[18]생산!H307</f>
        <v>0</v>
      </c>
      <c r="Z310" s="11">
        <f>[18]생산!I307</f>
        <v>0</v>
      </c>
      <c r="AA310" s="11">
        <f>[18]생산!J307</f>
        <v>0</v>
      </c>
      <c r="AB310" s="11">
        <f>[18]생산!K307</f>
        <v>0</v>
      </c>
      <c r="AC310" s="11"/>
    </row>
    <row r="311" spans="1:29">
      <c r="A311" s="6">
        <v>46328</v>
      </c>
      <c r="B311" s="12">
        <f>'[18]key-in(LO)'!AA309</f>
        <v>0</v>
      </c>
      <c r="C311" s="12">
        <f>'[18]key-in(LO)'!AB309</f>
        <v>0</v>
      </c>
      <c r="D311" s="12">
        <f>'[18]key-in(LO)'!AC309</f>
        <v>0</v>
      </c>
      <c r="E311" s="12">
        <f>'[18]key-in(LO)'!AD309</f>
        <v>0</v>
      </c>
      <c r="F311" s="12">
        <f>'[18]key-in(LO)'!AE309</f>
        <v>0</v>
      </c>
      <c r="G311" s="115">
        <f>'[18]key-in(LO)'!AF309</f>
        <v>0</v>
      </c>
      <c r="H311" s="12">
        <f>'[18]key-in(LO)'!AG309</f>
        <v>0</v>
      </c>
      <c r="I311" s="12">
        <f>'[18]key-in(LO)'!AH309</f>
        <v>0</v>
      </c>
      <c r="J311" s="10">
        <f>'[18]key-in(ACO)'!$AR309</f>
        <v>0</v>
      </c>
      <c r="K311" s="10">
        <f>'[18]key-in(ACO)'!$AS309</f>
        <v>0</v>
      </c>
      <c r="L311" s="9">
        <f>'[18]key-in(ACO)'!$AV309</f>
        <v>0</v>
      </c>
      <c r="M311" s="10">
        <f>[18]생산!BA308</f>
        <v>0</v>
      </c>
      <c r="N311" s="10">
        <f>[18]생산!BB308</f>
        <v>0</v>
      </c>
      <c r="O311" s="10">
        <f>[18]생산!BC308</f>
        <v>0</v>
      </c>
      <c r="P311" s="10">
        <f>[18]생산!BD308</f>
        <v>0</v>
      </c>
      <c r="Q311" s="10">
        <f>[18]생산!BE308</f>
        <v>0</v>
      </c>
      <c r="R311" s="10">
        <f>[18]생산!BF308</f>
        <v>0</v>
      </c>
      <c r="S311" s="9">
        <f>[18]운전시간외!C308</f>
        <v>0</v>
      </c>
      <c r="T311" s="9">
        <f>[18]운전시간외!D308</f>
        <v>0</v>
      </c>
      <c r="U311" s="9">
        <f>[18]운전시간외!E308</f>
        <v>0</v>
      </c>
      <c r="V311" s="9">
        <f>[18]운전시간외!F308</f>
        <v>0</v>
      </c>
      <c r="W311" s="11">
        <f>[18]생산!F308</f>
        <v>0</v>
      </c>
      <c r="X311" s="11">
        <f>[18]생산!G308</f>
        <v>0</v>
      </c>
      <c r="Y311" s="11">
        <f>[18]생산!H308</f>
        <v>0</v>
      </c>
      <c r="Z311" s="11">
        <f>[18]생산!I308</f>
        <v>0</v>
      </c>
      <c r="AA311" s="11">
        <f>[18]생산!J308</f>
        <v>0</v>
      </c>
      <c r="AB311" s="11">
        <f>[18]생산!K308</f>
        <v>0</v>
      </c>
      <c r="AC311" s="11"/>
    </row>
    <row r="312" spans="1:29">
      <c r="A312" s="6">
        <v>46329</v>
      </c>
      <c r="B312" s="12">
        <f>'[18]key-in(LO)'!AA310</f>
        <v>0</v>
      </c>
      <c r="C312" s="12">
        <f>'[18]key-in(LO)'!AB310</f>
        <v>0</v>
      </c>
      <c r="D312" s="12">
        <f>'[18]key-in(LO)'!AC310</f>
        <v>0</v>
      </c>
      <c r="E312" s="12">
        <f>'[18]key-in(LO)'!AD310</f>
        <v>0</v>
      </c>
      <c r="F312" s="12">
        <f>'[18]key-in(LO)'!AE310</f>
        <v>0</v>
      </c>
      <c r="G312" s="115">
        <f>'[18]key-in(LO)'!AF310</f>
        <v>0</v>
      </c>
      <c r="H312" s="12">
        <f>'[18]key-in(LO)'!AG310</f>
        <v>0</v>
      </c>
      <c r="I312" s="12">
        <f>'[18]key-in(LO)'!AH310</f>
        <v>0</v>
      </c>
      <c r="J312" s="10">
        <f>'[18]key-in(ACO)'!$AR310</f>
        <v>0</v>
      </c>
      <c r="K312" s="10">
        <f>'[18]key-in(ACO)'!$AS310</f>
        <v>0</v>
      </c>
      <c r="L312" s="9">
        <f>'[18]key-in(ACO)'!$AV310</f>
        <v>0</v>
      </c>
      <c r="M312" s="10">
        <f>[18]생산!BA309</f>
        <v>0</v>
      </c>
      <c r="N312" s="10">
        <f>[18]생산!BB309</f>
        <v>0</v>
      </c>
      <c r="O312" s="10">
        <f>[18]생산!BC309</f>
        <v>0</v>
      </c>
      <c r="P312" s="10">
        <f>[18]생산!BD309</f>
        <v>0</v>
      </c>
      <c r="Q312" s="10">
        <f>[18]생산!BE309</f>
        <v>0</v>
      </c>
      <c r="R312" s="10">
        <f>[18]생산!BF309</f>
        <v>0</v>
      </c>
      <c r="S312" s="9">
        <f>[18]운전시간외!C309</f>
        <v>0</v>
      </c>
      <c r="T312" s="9">
        <f>[18]운전시간외!D309</f>
        <v>0</v>
      </c>
      <c r="U312" s="9">
        <f>[18]운전시간외!E309</f>
        <v>0</v>
      </c>
      <c r="V312" s="9">
        <f>[18]운전시간외!F309</f>
        <v>0</v>
      </c>
      <c r="W312" s="11">
        <f>[18]생산!F309</f>
        <v>0</v>
      </c>
      <c r="X312" s="11">
        <f>[18]생산!G309</f>
        <v>0</v>
      </c>
      <c r="Y312" s="11">
        <f>[18]생산!H309</f>
        <v>0</v>
      </c>
      <c r="Z312" s="11">
        <f>[18]생산!I309</f>
        <v>0</v>
      </c>
      <c r="AA312" s="11">
        <f>[18]생산!J309</f>
        <v>0</v>
      </c>
      <c r="AB312" s="11">
        <f>[18]생산!K309</f>
        <v>0</v>
      </c>
      <c r="AC312" s="11"/>
    </row>
    <row r="313" spans="1:29">
      <c r="A313" s="6">
        <v>46330</v>
      </c>
      <c r="B313" s="12">
        <f>'[18]key-in(LO)'!AA311</f>
        <v>0</v>
      </c>
      <c r="C313" s="12">
        <f>'[18]key-in(LO)'!AB311</f>
        <v>0</v>
      </c>
      <c r="D313" s="12">
        <f>'[18]key-in(LO)'!AC311</f>
        <v>0</v>
      </c>
      <c r="E313" s="12">
        <f>'[18]key-in(LO)'!AD311</f>
        <v>0</v>
      </c>
      <c r="F313" s="12">
        <f>'[18]key-in(LO)'!AE311</f>
        <v>0</v>
      </c>
      <c r="G313" s="115">
        <f>'[18]key-in(LO)'!AF311</f>
        <v>0</v>
      </c>
      <c r="H313" s="12">
        <f>'[18]key-in(LO)'!AG311</f>
        <v>0</v>
      </c>
      <c r="I313" s="12">
        <f>'[18]key-in(LO)'!AH311</f>
        <v>0</v>
      </c>
      <c r="J313" s="10">
        <f>'[18]key-in(ACO)'!$AR311</f>
        <v>0</v>
      </c>
      <c r="K313" s="10">
        <f>'[18]key-in(ACO)'!$AS311</f>
        <v>0</v>
      </c>
      <c r="L313" s="9">
        <f>'[18]key-in(ACO)'!$AV311</f>
        <v>0</v>
      </c>
      <c r="M313" s="10">
        <f>[18]생산!BA310</f>
        <v>0</v>
      </c>
      <c r="N313" s="10">
        <f>[18]생산!BB310</f>
        <v>0</v>
      </c>
      <c r="O313" s="10">
        <f>[18]생산!BC310</f>
        <v>0</v>
      </c>
      <c r="P313" s="10">
        <f>[18]생산!BD310</f>
        <v>0</v>
      </c>
      <c r="Q313" s="10">
        <f>[18]생산!BE310</f>
        <v>0</v>
      </c>
      <c r="R313" s="10">
        <f>[18]생산!BF310</f>
        <v>0</v>
      </c>
      <c r="S313" s="9">
        <f>[18]운전시간외!C310</f>
        <v>0</v>
      </c>
      <c r="T313" s="9">
        <f>[18]운전시간외!D310</f>
        <v>0</v>
      </c>
      <c r="U313" s="9">
        <f>[18]운전시간외!E310</f>
        <v>0</v>
      </c>
      <c r="V313" s="9">
        <f>[18]운전시간외!F310</f>
        <v>0</v>
      </c>
      <c r="W313" s="11">
        <f>[18]생산!F310</f>
        <v>0</v>
      </c>
      <c r="X313" s="11">
        <f>[18]생산!G310</f>
        <v>0</v>
      </c>
      <c r="Y313" s="11">
        <f>[18]생산!H310</f>
        <v>0</v>
      </c>
      <c r="Z313" s="11">
        <f>[18]생산!I310</f>
        <v>0</v>
      </c>
      <c r="AA313" s="11">
        <f>[18]생산!J310</f>
        <v>0</v>
      </c>
      <c r="AB313" s="11">
        <f>[18]생산!K310</f>
        <v>0</v>
      </c>
      <c r="AC313" s="11"/>
    </row>
    <row r="314" spans="1:29">
      <c r="A314" s="6">
        <v>46331</v>
      </c>
      <c r="B314" s="12">
        <f>'[18]key-in(LO)'!AA312</f>
        <v>0</v>
      </c>
      <c r="C314" s="12">
        <f>'[18]key-in(LO)'!AB312</f>
        <v>0</v>
      </c>
      <c r="D314" s="12">
        <f>'[18]key-in(LO)'!AC312</f>
        <v>0</v>
      </c>
      <c r="E314" s="12">
        <f>'[18]key-in(LO)'!AD312</f>
        <v>0</v>
      </c>
      <c r="F314" s="12">
        <f>'[18]key-in(LO)'!AE312</f>
        <v>0</v>
      </c>
      <c r="G314" s="115">
        <f>'[18]key-in(LO)'!AF312</f>
        <v>0</v>
      </c>
      <c r="H314" s="12">
        <f>'[18]key-in(LO)'!AG312</f>
        <v>0</v>
      </c>
      <c r="I314" s="12">
        <f>'[18]key-in(LO)'!AH312</f>
        <v>0</v>
      </c>
      <c r="J314" s="10">
        <f>'[18]key-in(ACO)'!$AR312</f>
        <v>0</v>
      </c>
      <c r="K314" s="10">
        <f>'[18]key-in(ACO)'!$AS312</f>
        <v>0</v>
      </c>
      <c r="L314" s="9">
        <f>'[18]key-in(ACO)'!$AV312</f>
        <v>0</v>
      </c>
      <c r="M314" s="10">
        <f>[18]생산!BA311</f>
        <v>0</v>
      </c>
      <c r="N314" s="10">
        <f>[18]생산!BB311</f>
        <v>0</v>
      </c>
      <c r="O314" s="10">
        <f>[18]생산!BC311</f>
        <v>0</v>
      </c>
      <c r="P314" s="10">
        <f>[18]생산!BD311</f>
        <v>0</v>
      </c>
      <c r="Q314" s="10">
        <f>[18]생산!BE311</f>
        <v>0</v>
      </c>
      <c r="R314" s="10">
        <f>[18]생산!BF311</f>
        <v>0</v>
      </c>
      <c r="S314" s="9">
        <f>[18]운전시간외!C311</f>
        <v>0</v>
      </c>
      <c r="T314" s="9">
        <f>[18]운전시간외!D311</f>
        <v>0</v>
      </c>
      <c r="U314" s="9">
        <f>[18]운전시간외!E311</f>
        <v>0</v>
      </c>
      <c r="V314" s="9">
        <f>[18]운전시간외!F311</f>
        <v>0</v>
      </c>
      <c r="W314" s="11">
        <f>[18]생산!F311</f>
        <v>0</v>
      </c>
      <c r="X314" s="11">
        <f>[18]생산!G311</f>
        <v>0</v>
      </c>
      <c r="Y314" s="11">
        <f>[18]생산!H311</f>
        <v>0</v>
      </c>
      <c r="Z314" s="11">
        <f>[18]생산!I311</f>
        <v>0</v>
      </c>
      <c r="AA314" s="11">
        <f>[18]생산!J311</f>
        <v>0</v>
      </c>
      <c r="AB314" s="11">
        <f>[18]생산!K311</f>
        <v>0</v>
      </c>
      <c r="AC314" s="11"/>
    </row>
    <row r="315" spans="1:29">
      <c r="A315" s="6">
        <v>46332</v>
      </c>
      <c r="B315" s="12">
        <f>'[18]key-in(LO)'!AA313</f>
        <v>0</v>
      </c>
      <c r="C315" s="12">
        <f>'[18]key-in(LO)'!AB313</f>
        <v>0</v>
      </c>
      <c r="D315" s="12">
        <f>'[18]key-in(LO)'!AC313</f>
        <v>0</v>
      </c>
      <c r="E315" s="12">
        <f>'[18]key-in(LO)'!AD313</f>
        <v>0</v>
      </c>
      <c r="F315" s="12">
        <f>'[18]key-in(LO)'!AE313</f>
        <v>0</v>
      </c>
      <c r="G315" s="115">
        <f>'[18]key-in(LO)'!AF313</f>
        <v>0</v>
      </c>
      <c r="H315" s="12">
        <f>'[18]key-in(LO)'!AG313</f>
        <v>0</v>
      </c>
      <c r="I315" s="12">
        <f>'[18]key-in(LO)'!AH313</f>
        <v>0</v>
      </c>
      <c r="J315" s="10">
        <f>'[18]key-in(ACO)'!$AR313</f>
        <v>0</v>
      </c>
      <c r="K315" s="10">
        <f>'[18]key-in(ACO)'!$AS313</f>
        <v>0</v>
      </c>
      <c r="L315" s="9">
        <f>'[18]key-in(ACO)'!$AV313</f>
        <v>0</v>
      </c>
      <c r="M315" s="10">
        <f>[18]생산!BA312</f>
        <v>0</v>
      </c>
      <c r="N315" s="10">
        <f>[18]생산!BB312</f>
        <v>0</v>
      </c>
      <c r="O315" s="10">
        <f>[18]생산!BC312</f>
        <v>0</v>
      </c>
      <c r="P315" s="10">
        <f>[18]생산!BD312</f>
        <v>0</v>
      </c>
      <c r="Q315" s="10">
        <f>[18]생산!BE312</f>
        <v>0</v>
      </c>
      <c r="R315" s="10">
        <f>[18]생산!BF312</f>
        <v>0</v>
      </c>
      <c r="S315" s="9">
        <f>[18]운전시간외!C312</f>
        <v>0</v>
      </c>
      <c r="T315" s="9">
        <f>[18]운전시간외!D312</f>
        <v>0</v>
      </c>
      <c r="U315" s="9">
        <f>[18]운전시간외!E312</f>
        <v>0</v>
      </c>
      <c r="V315" s="9">
        <f>[18]운전시간외!F312</f>
        <v>0</v>
      </c>
      <c r="W315" s="11">
        <f>[18]생산!F312</f>
        <v>0</v>
      </c>
      <c r="X315" s="11">
        <f>[18]생산!G312</f>
        <v>0</v>
      </c>
      <c r="Y315" s="11">
        <f>[18]생산!H312</f>
        <v>0</v>
      </c>
      <c r="Z315" s="11">
        <f>[18]생산!I312</f>
        <v>0</v>
      </c>
      <c r="AA315" s="11">
        <f>[18]생산!J312</f>
        <v>0</v>
      </c>
      <c r="AB315" s="11">
        <f>[18]생산!K312</f>
        <v>0</v>
      </c>
      <c r="AC315" s="11"/>
    </row>
    <row r="316" spans="1:29">
      <c r="A316" s="6">
        <v>46333</v>
      </c>
      <c r="B316" s="12">
        <f>'[18]key-in(LO)'!AA314</f>
        <v>0</v>
      </c>
      <c r="C316" s="12">
        <f>'[18]key-in(LO)'!AB314</f>
        <v>0</v>
      </c>
      <c r="D316" s="12">
        <f>'[18]key-in(LO)'!AC314</f>
        <v>0</v>
      </c>
      <c r="E316" s="12">
        <f>'[18]key-in(LO)'!AD314</f>
        <v>0</v>
      </c>
      <c r="F316" s="12">
        <f>'[18]key-in(LO)'!AE314</f>
        <v>0</v>
      </c>
      <c r="G316" s="115">
        <f>'[18]key-in(LO)'!AF314</f>
        <v>0</v>
      </c>
      <c r="H316" s="12">
        <f>'[18]key-in(LO)'!AG314</f>
        <v>0</v>
      </c>
      <c r="I316" s="12">
        <f>'[18]key-in(LO)'!AH314</f>
        <v>0</v>
      </c>
      <c r="J316" s="10">
        <f>'[18]key-in(ACO)'!$AR314</f>
        <v>0</v>
      </c>
      <c r="K316" s="10">
        <f>'[18]key-in(ACO)'!$AS314</f>
        <v>0</v>
      </c>
      <c r="L316" s="9">
        <f>'[18]key-in(ACO)'!$AV314</f>
        <v>0</v>
      </c>
      <c r="M316" s="10">
        <f>[18]생산!BA313</f>
        <v>0</v>
      </c>
      <c r="N316" s="10">
        <f>[18]생산!BB313</f>
        <v>0</v>
      </c>
      <c r="O316" s="10">
        <f>[18]생산!BC313</f>
        <v>0</v>
      </c>
      <c r="P316" s="10">
        <f>[18]생산!BD313</f>
        <v>0</v>
      </c>
      <c r="Q316" s="10">
        <f>[18]생산!BE313</f>
        <v>0</v>
      </c>
      <c r="R316" s="10">
        <f>[18]생산!BF313</f>
        <v>0</v>
      </c>
      <c r="S316" s="9">
        <f>[18]운전시간외!C313</f>
        <v>0</v>
      </c>
      <c r="T316" s="9">
        <f>[18]운전시간외!D313</f>
        <v>0</v>
      </c>
      <c r="U316" s="9">
        <f>[18]운전시간외!E313</f>
        <v>0</v>
      </c>
      <c r="V316" s="9">
        <f>[18]운전시간외!F313</f>
        <v>0</v>
      </c>
      <c r="W316" s="11">
        <f>[18]생산!F313</f>
        <v>0</v>
      </c>
      <c r="X316" s="11">
        <f>[18]생산!G313</f>
        <v>0</v>
      </c>
      <c r="Y316" s="11">
        <f>[18]생산!H313</f>
        <v>0</v>
      </c>
      <c r="Z316" s="11">
        <f>[18]생산!I313</f>
        <v>0</v>
      </c>
      <c r="AA316" s="11">
        <f>[18]생산!J313</f>
        <v>0</v>
      </c>
      <c r="AB316" s="11">
        <f>[18]생산!K313</f>
        <v>0</v>
      </c>
      <c r="AC316" s="11"/>
    </row>
    <row r="317" spans="1:29">
      <c r="A317" s="6">
        <v>46334</v>
      </c>
      <c r="B317" s="12">
        <f>'[18]key-in(LO)'!AA315</f>
        <v>0</v>
      </c>
      <c r="C317" s="12">
        <f>'[18]key-in(LO)'!AB315</f>
        <v>0</v>
      </c>
      <c r="D317" s="12">
        <f>'[18]key-in(LO)'!AC315</f>
        <v>0</v>
      </c>
      <c r="E317" s="12">
        <f>'[18]key-in(LO)'!AD315</f>
        <v>0</v>
      </c>
      <c r="F317" s="12">
        <f>'[18]key-in(LO)'!AE315</f>
        <v>0</v>
      </c>
      <c r="G317" s="115">
        <f>'[18]key-in(LO)'!AF315</f>
        <v>0</v>
      </c>
      <c r="H317" s="12">
        <f>'[18]key-in(LO)'!AG315</f>
        <v>0</v>
      </c>
      <c r="I317" s="12">
        <f>'[18]key-in(LO)'!AH315</f>
        <v>0</v>
      </c>
      <c r="J317" s="10">
        <f>'[18]key-in(ACO)'!$AR315</f>
        <v>0</v>
      </c>
      <c r="K317" s="10">
        <f>'[18]key-in(ACO)'!$AS315</f>
        <v>0</v>
      </c>
      <c r="L317" s="9">
        <f>'[18]key-in(ACO)'!$AV315</f>
        <v>0</v>
      </c>
      <c r="M317" s="10">
        <f>[18]생산!BA314</f>
        <v>0</v>
      </c>
      <c r="N317" s="10">
        <f>[18]생산!BB314</f>
        <v>0</v>
      </c>
      <c r="O317" s="10">
        <f>[18]생산!BC314</f>
        <v>0</v>
      </c>
      <c r="P317" s="10">
        <f>[18]생산!BD314</f>
        <v>0</v>
      </c>
      <c r="Q317" s="10">
        <f>[18]생산!BE314</f>
        <v>0</v>
      </c>
      <c r="R317" s="10">
        <f>[18]생산!BF314</f>
        <v>0</v>
      </c>
      <c r="S317" s="9">
        <f>[18]운전시간외!C314</f>
        <v>0</v>
      </c>
      <c r="T317" s="9">
        <f>[18]운전시간외!D314</f>
        <v>0</v>
      </c>
      <c r="U317" s="9">
        <f>[18]운전시간외!E314</f>
        <v>0</v>
      </c>
      <c r="V317" s="9">
        <f>[18]운전시간외!F314</f>
        <v>0</v>
      </c>
      <c r="W317" s="11">
        <f>[18]생산!F314</f>
        <v>0</v>
      </c>
      <c r="X317" s="11">
        <f>[18]생산!G314</f>
        <v>0</v>
      </c>
      <c r="Y317" s="11">
        <f>[18]생산!H314</f>
        <v>0</v>
      </c>
      <c r="Z317" s="11">
        <f>[18]생산!I314</f>
        <v>0</v>
      </c>
      <c r="AA317" s="11">
        <f>[18]생산!J314</f>
        <v>0</v>
      </c>
      <c r="AB317" s="11">
        <f>[18]생산!K314</f>
        <v>0</v>
      </c>
      <c r="AC317" s="11"/>
    </row>
    <row r="318" spans="1:29">
      <c r="A318" s="6">
        <v>46335</v>
      </c>
      <c r="B318" s="12">
        <f>'[18]key-in(LO)'!AA316</f>
        <v>0</v>
      </c>
      <c r="C318" s="12">
        <f>'[18]key-in(LO)'!AB316</f>
        <v>0</v>
      </c>
      <c r="D318" s="12">
        <f>'[18]key-in(LO)'!AC316</f>
        <v>0</v>
      </c>
      <c r="E318" s="12">
        <f>'[18]key-in(LO)'!AD316</f>
        <v>0</v>
      </c>
      <c r="F318" s="12">
        <f>'[18]key-in(LO)'!AE316</f>
        <v>0</v>
      </c>
      <c r="G318" s="115">
        <f>'[18]key-in(LO)'!AF316</f>
        <v>0</v>
      </c>
      <c r="H318" s="12">
        <f>'[18]key-in(LO)'!AG316</f>
        <v>0</v>
      </c>
      <c r="I318" s="12">
        <f>'[18]key-in(LO)'!AH316</f>
        <v>0</v>
      </c>
      <c r="J318" s="10">
        <f>'[18]key-in(ACO)'!$AR316</f>
        <v>0</v>
      </c>
      <c r="K318" s="10">
        <f>'[18]key-in(ACO)'!$AS316</f>
        <v>0</v>
      </c>
      <c r="L318" s="9">
        <f>'[18]key-in(ACO)'!$AV316</f>
        <v>0</v>
      </c>
      <c r="M318" s="10">
        <f>[18]생산!BA315</f>
        <v>0</v>
      </c>
      <c r="N318" s="10">
        <f>[18]생산!BB315</f>
        <v>0</v>
      </c>
      <c r="O318" s="10">
        <f>[18]생산!BC315</f>
        <v>0</v>
      </c>
      <c r="P318" s="10">
        <f>[18]생산!BD315</f>
        <v>0</v>
      </c>
      <c r="Q318" s="10">
        <f>[18]생산!BE315</f>
        <v>0</v>
      </c>
      <c r="R318" s="10">
        <f>[18]생산!BF315</f>
        <v>0</v>
      </c>
      <c r="S318" s="9">
        <f>[18]운전시간외!C315</f>
        <v>0</v>
      </c>
      <c r="T318" s="9">
        <f>[18]운전시간외!D315</f>
        <v>0</v>
      </c>
      <c r="U318" s="9">
        <f>[18]운전시간외!E315</f>
        <v>0</v>
      </c>
      <c r="V318" s="9">
        <f>[18]운전시간외!F315</f>
        <v>0</v>
      </c>
      <c r="W318" s="11">
        <f>[18]생산!F315</f>
        <v>0</v>
      </c>
      <c r="X318" s="11">
        <f>[18]생산!G315</f>
        <v>0</v>
      </c>
      <c r="Y318" s="11">
        <f>[18]생산!H315</f>
        <v>0</v>
      </c>
      <c r="Z318" s="11">
        <f>[18]생산!I315</f>
        <v>0</v>
      </c>
      <c r="AA318" s="11">
        <f>[18]생산!J315</f>
        <v>0</v>
      </c>
      <c r="AB318" s="11">
        <f>[18]생산!K315</f>
        <v>0</v>
      </c>
      <c r="AC318" s="11"/>
    </row>
    <row r="319" spans="1:29">
      <c r="A319" s="6">
        <v>46336</v>
      </c>
      <c r="B319" s="12">
        <f>'[18]key-in(LO)'!AA317</f>
        <v>0</v>
      </c>
      <c r="C319" s="12">
        <f>'[18]key-in(LO)'!AB317</f>
        <v>0</v>
      </c>
      <c r="D319" s="12">
        <f>'[18]key-in(LO)'!AC317</f>
        <v>0</v>
      </c>
      <c r="E319" s="12">
        <f>'[18]key-in(LO)'!AD317</f>
        <v>0</v>
      </c>
      <c r="F319" s="12">
        <f>'[18]key-in(LO)'!AE317</f>
        <v>0</v>
      </c>
      <c r="G319" s="115">
        <f>'[18]key-in(LO)'!AF317</f>
        <v>0</v>
      </c>
      <c r="H319" s="12">
        <f>'[18]key-in(LO)'!AG317</f>
        <v>0</v>
      </c>
      <c r="I319" s="12">
        <f>'[18]key-in(LO)'!AH317</f>
        <v>0</v>
      </c>
      <c r="J319" s="10">
        <f>'[18]key-in(ACO)'!$AR317</f>
        <v>0</v>
      </c>
      <c r="K319" s="10">
        <f>'[18]key-in(ACO)'!$AS317</f>
        <v>0</v>
      </c>
      <c r="L319" s="9">
        <f>'[18]key-in(ACO)'!$AV317</f>
        <v>0</v>
      </c>
      <c r="M319" s="10">
        <f>[18]생산!BA316</f>
        <v>0</v>
      </c>
      <c r="N319" s="10">
        <f>[18]생산!BB316</f>
        <v>0</v>
      </c>
      <c r="O319" s="10">
        <f>[18]생산!BC316</f>
        <v>0</v>
      </c>
      <c r="P319" s="10">
        <f>[18]생산!BD316</f>
        <v>0</v>
      </c>
      <c r="Q319" s="10">
        <f>[18]생산!BE316</f>
        <v>0</v>
      </c>
      <c r="R319" s="10">
        <f>[18]생산!BF316</f>
        <v>0</v>
      </c>
      <c r="S319" s="9">
        <f>[18]운전시간외!C316</f>
        <v>0</v>
      </c>
      <c r="T319" s="9">
        <f>[18]운전시간외!D316</f>
        <v>0</v>
      </c>
      <c r="U319" s="9">
        <f>[18]운전시간외!E316</f>
        <v>0</v>
      </c>
      <c r="V319" s="9">
        <f>[18]운전시간외!F316</f>
        <v>0</v>
      </c>
      <c r="W319" s="11">
        <f>[18]생산!F316</f>
        <v>0</v>
      </c>
      <c r="X319" s="11">
        <f>[18]생산!G316</f>
        <v>0</v>
      </c>
      <c r="Y319" s="11">
        <f>[18]생산!H316</f>
        <v>0</v>
      </c>
      <c r="Z319" s="11">
        <f>[18]생산!I316</f>
        <v>0</v>
      </c>
      <c r="AA319" s="11">
        <f>[18]생산!J316</f>
        <v>0</v>
      </c>
      <c r="AB319" s="11">
        <f>[18]생산!K316</f>
        <v>0</v>
      </c>
      <c r="AC319" s="11"/>
    </row>
    <row r="320" spans="1:29">
      <c r="A320" s="6">
        <v>46337</v>
      </c>
      <c r="B320" s="12">
        <f>'[18]key-in(LO)'!AA318</f>
        <v>0</v>
      </c>
      <c r="C320" s="12">
        <f>'[18]key-in(LO)'!AB318</f>
        <v>0</v>
      </c>
      <c r="D320" s="12">
        <f>'[18]key-in(LO)'!AC318</f>
        <v>0</v>
      </c>
      <c r="E320" s="12">
        <f>'[18]key-in(LO)'!AD318</f>
        <v>0</v>
      </c>
      <c r="F320" s="12">
        <f>'[18]key-in(LO)'!AE318</f>
        <v>0</v>
      </c>
      <c r="G320" s="115">
        <f>'[18]key-in(LO)'!AF318</f>
        <v>0</v>
      </c>
      <c r="H320" s="12">
        <f>'[18]key-in(LO)'!AG318</f>
        <v>0</v>
      </c>
      <c r="I320" s="12">
        <f>'[18]key-in(LO)'!AH318</f>
        <v>0</v>
      </c>
      <c r="J320" s="10">
        <f>'[18]key-in(ACO)'!$AR318</f>
        <v>0</v>
      </c>
      <c r="K320" s="10">
        <f>'[18]key-in(ACO)'!$AS318</f>
        <v>0</v>
      </c>
      <c r="L320" s="9">
        <f>'[18]key-in(ACO)'!$AV318</f>
        <v>0</v>
      </c>
      <c r="M320" s="10">
        <f>[18]생산!BA317</f>
        <v>0</v>
      </c>
      <c r="N320" s="10">
        <f>[18]생산!BB317</f>
        <v>0</v>
      </c>
      <c r="O320" s="10">
        <f>[18]생산!BC317</f>
        <v>0</v>
      </c>
      <c r="P320" s="10">
        <f>[18]생산!BD317</f>
        <v>0</v>
      </c>
      <c r="Q320" s="10">
        <f>[18]생산!BE317</f>
        <v>0</v>
      </c>
      <c r="R320" s="10">
        <f>[18]생산!BF317</f>
        <v>0</v>
      </c>
      <c r="S320" s="9">
        <f>[18]운전시간외!C317</f>
        <v>0</v>
      </c>
      <c r="T320" s="9">
        <f>[18]운전시간외!D317</f>
        <v>0</v>
      </c>
      <c r="U320" s="9">
        <f>[18]운전시간외!E317</f>
        <v>0</v>
      </c>
      <c r="V320" s="9">
        <f>[18]운전시간외!F317</f>
        <v>0</v>
      </c>
      <c r="W320" s="11">
        <f>[18]생산!F317</f>
        <v>0</v>
      </c>
      <c r="X320" s="11">
        <f>[18]생산!G317</f>
        <v>0</v>
      </c>
      <c r="Y320" s="11">
        <f>[18]생산!H317</f>
        <v>0</v>
      </c>
      <c r="Z320" s="11">
        <f>[18]생산!I317</f>
        <v>0</v>
      </c>
      <c r="AA320" s="11">
        <f>[18]생산!J317</f>
        <v>0</v>
      </c>
      <c r="AB320" s="11">
        <f>[18]생산!K317</f>
        <v>0</v>
      </c>
      <c r="AC320" s="11"/>
    </row>
    <row r="321" spans="1:29">
      <c r="A321" s="6">
        <v>46338</v>
      </c>
      <c r="B321" s="12">
        <f>'[18]key-in(LO)'!AA319</f>
        <v>0</v>
      </c>
      <c r="C321" s="12">
        <f>'[18]key-in(LO)'!AB319</f>
        <v>0</v>
      </c>
      <c r="D321" s="12">
        <f>'[18]key-in(LO)'!AC319</f>
        <v>0</v>
      </c>
      <c r="E321" s="12">
        <f>'[18]key-in(LO)'!AD319</f>
        <v>0</v>
      </c>
      <c r="F321" s="12">
        <f>'[18]key-in(LO)'!AE319</f>
        <v>0</v>
      </c>
      <c r="G321" s="115">
        <f>'[18]key-in(LO)'!AF319</f>
        <v>0</v>
      </c>
      <c r="H321" s="12">
        <f>'[18]key-in(LO)'!AG319</f>
        <v>0</v>
      </c>
      <c r="I321" s="12">
        <f>'[18]key-in(LO)'!AH319</f>
        <v>0</v>
      </c>
      <c r="J321" s="10">
        <f>'[18]key-in(ACO)'!$AR319</f>
        <v>0</v>
      </c>
      <c r="K321" s="10">
        <f>'[18]key-in(ACO)'!$AS319</f>
        <v>0</v>
      </c>
      <c r="L321" s="9">
        <f>'[18]key-in(ACO)'!$AV319</f>
        <v>0</v>
      </c>
      <c r="M321" s="10">
        <f>[18]생산!BA318</f>
        <v>0</v>
      </c>
      <c r="N321" s="10">
        <f>[18]생산!BB318</f>
        <v>0</v>
      </c>
      <c r="O321" s="10">
        <f>[18]생산!BC318</f>
        <v>0</v>
      </c>
      <c r="P321" s="10">
        <f>[18]생산!BD318</f>
        <v>0</v>
      </c>
      <c r="Q321" s="10">
        <f>[18]생산!BE318</f>
        <v>0</v>
      </c>
      <c r="R321" s="10">
        <f>[18]생산!BF318</f>
        <v>0</v>
      </c>
      <c r="S321" s="9">
        <f>[18]운전시간외!C318</f>
        <v>0</v>
      </c>
      <c r="T321" s="9">
        <f>[18]운전시간외!D318</f>
        <v>0</v>
      </c>
      <c r="U321" s="9">
        <f>[18]운전시간외!E318</f>
        <v>0</v>
      </c>
      <c r="V321" s="9">
        <f>[18]운전시간외!F318</f>
        <v>0</v>
      </c>
      <c r="W321" s="11">
        <f>[18]생산!F318</f>
        <v>0</v>
      </c>
      <c r="X321" s="11">
        <f>[18]생산!G318</f>
        <v>0</v>
      </c>
      <c r="Y321" s="11">
        <f>[18]생산!H318</f>
        <v>0</v>
      </c>
      <c r="Z321" s="11">
        <f>[18]생산!I318</f>
        <v>0</v>
      </c>
      <c r="AA321" s="11">
        <f>[18]생산!J318</f>
        <v>0</v>
      </c>
      <c r="AB321" s="11">
        <f>[18]생산!K318</f>
        <v>0</v>
      </c>
      <c r="AC321" s="11"/>
    </row>
    <row r="322" spans="1:29">
      <c r="A322" s="6">
        <v>46339</v>
      </c>
      <c r="B322" s="12">
        <f>'[18]key-in(LO)'!AA320</f>
        <v>0</v>
      </c>
      <c r="C322" s="12">
        <f>'[18]key-in(LO)'!AB320</f>
        <v>0</v>
      </c>
      <c r="D322" s="12">
        <f>'[18]key-in(LO)'!AC320</f>
        <v>0</v>
      </c>
      <c r="E322" s="12">
        <f>'[18]key-in(LO)'!AD320</f>
        <v>0</v>
      </c>
      <c r="F322" s="12">
        <f>'[18]key-in(LO)'!AE320</f>
        <v>0</v>
      </c>
      <c r="G322" s="115">
        <f>'[18]key-in(LO)'!AF320</f>
        <v>0</v>
      </c>
      <c r="H322" s="12">
        <f>'[18]key-in(LO)'!AG320</f>
        <v>0</v>
      </c>
      <c r="I322" s="12">
        <f>'[18]key-in(LO)'!AH320</f>
        <v>0</v>
      </c>
      <c r="J322" s="10">
        <f>'[18]key-in(ACO)'!$AR320</f>
        <v>0</v>
      </c>
      <c r="K322" s="10">
        <f>'[18]key-in(ACO)'!$AS320</f>
        <v>0</v>
      </c>
      <c r="L322" s="9">
        <f>'[18]key-in(ACO)'!$AV320</f>
        <v>0</v>
      </c>
      <c r="M322" s="10">
        <f>[18]생산!BA319</f>
        <v>0</v>
      </c>
      <c r="N322" s="10">
        <f>[18]생산!BB319</f>
        <v>0</v>
      </c>
      <c r="O322" s="10">
        <f>[18]생산!BC319</f>
        <v>0</v>
      </c>
      <c r="P322" s="10">
        <f>[18]생산!BD319</f>
        <v>0</v>
      </c>
      <c r="Q322" s="10">
        <f>[18]생산!BE319</f>
        <v>0</v>
      </c>
      <c r="R322" s="10">
        <f>[18]생산!BF319</f>
        <v>0</v>
      </c>
      <c r="S322" s="9">
        <f>[18]운전시간외!C319</f>
        <v>0</v>
      </c>
      <c r="T322" s="9">
        <f>[18]운전시간외!D319</f>
        <v>0</v>
      </c>
      <c r="U322" s="9">
        <f>[18]운전시간외!E319</f>
        <v>0</v>
      </c>
      <c r="V322" s="9">
        <f>[18]운전시간외!F319</f>
        <v>0</v>
      </c>
      <c r="W322" s="11">
        <f>[18]생산!F319</f>
        <v>0</v>
      </c>
      <c r="X322" s="11">
        <f>[18]생산!G319</f>
        <v>0</v>
      </c>
      <c r="Y322" s="11">
        <f>[18]생산!H319</f>
        <v>0</v>
      </c>
      <c r="Z322" s="11">
        <f>[18]생산!I319</f>
        <v>0</v>
      </c>
      <c r="AA322" s="11">
        <f>[18]생산!J319</f>
        <v>0</v>
      </c>
      <c r="AB322" s="11">
        <f>[18]생산!K319</f>
        <v>0</v>
      </c>
      <c r="AC322" s="11"/>
    </row>
    <row r="323" spans="1:29">
      <c r="A323" s="6">
        <v>46340</v>
      </c>
      <c r="B323" s="12">
        <f>'[18]key-in(LO)'!AA321</f>
        <v>0</v>
      </c>
      <c r="C323" s="12">
        <f>'[18]key-in(LO)'!AB321</f>
        <v>0</v>
      </c>
      <c r="D323" s="12">
        <f>'[18]key-in(LO)'!AC321</f>
        <v>0</v>
      </c>
      <c r="E323" s="12">
        <f>'[18]key-in(LO)'!AD321</f>
        <v>0</v>
      </c>
      <c r="F323" s="12">
        <f>'[18]key-in(LO)'!AE321</f>
        <v>0</v>
      </c>
      <c r="G323" s="115">
        <f>'[18]key-in(LO)'!AF321</f>
        <v>0</v>
      </c>
      <c r="H323" s="12">
        <f>'[18]key-in(LO)'!AG321</f>
        <v>0</v>
      </c>
      <c r="I323" s="12">
        <f>'[18]key-in(LO)'!AH321</f>
        <v>0</v>
      </c>
      <c r="J323" s="10">
        <f>'[18]key-in(ACO)'!$AR321</f>
        <v>0</v>
      </c>
      <c r="K323" s="10">
        <f>'[18]key-in(ACO)'!$AS321</f>
        <v>0</v>
      </c>
      <c r="L323" s="9">
        <f>'[18]key-in(ACO)'!$AV321</f>
        <v>0</v>
      </c>
      <c r="M323" s="10">
        <f>[18]생산!BA320</f>
        <v>0</v>
      </c>
      <c r="N323" s="10">
        <f>[18]생산!BB320</f>
        <v>0</v>
      </c>
      <c r="O323" s="10">
        <f>[18]생산!BC320</f>
        <v>0</v>
      </c>
      <c r="P323" s="10">
        <f>[18]생산!BD320</f>
        <v>0</v>
      </c>
      <c r="Q323" s="10">
        <f>[18]생산!BE320</f>
        <v>0</v>
      </c>
      <c r="R323" s="10">
        <f>[18]생산!BF320</f>
        <v>0</v>
      </c>
      <c r="S323" s="9">
        <f>[18]운전시간외!C320</f>
        <v>0</v>
      </c>
      <c r="T323" s="9">
        <f>[18]운전시간외!D320</f>
        <v>0</v>
      </c>
      <c r="U323" s="9">
        <f>[18]운전시간외!E320</f>
        <v>0</v>
      </c>
      <c r="V323" s="9">
        <f>[18]운전시간외!F320</f>
        <v>0</v>
      </c>
      <c r="W323" s="11">
        <f>[18]생산!F320</f>
        <v>0</v>
      </c>
      <c r="X323" s="11">
        <f>[18]생산!G320</f>
        <v>0</v>
      </c>
      <c r="Y323" s="11">
        <f>[18]생산!H320</f>
        <v>0</v>
      </c>
      <c r="Z323" s="11">
        <f>[18]생산!I320</f>
        <v>0</v>
      </c>
      <c r="AA323" s="11">
        <f>[18]생산!J320</f>
        <v>0</v>
      </c>
      <c r="AB323" s="11">
        <f>[18]생산!K320</f>
        <v>0</v>
      </c>
      <c r="AC323" s="11"/>
    </row>
    <row r="324" spans="1:29">
      <c r="A324" s="6">
        <v>46341</v>
      </c>
      <c r="B324" s="12">
        <f>'[18]key-in(LO)'!AA322</f>
        <v>0</v>
      </c>
      <c r="C324" s="12">
        <f>'[18]key-in(LO)'!AB322</f>
        <v>0</v>
      </c>
      <c r="D324" s="12">
        <f>'[18]key-in(LO)'!AC322</f>
        <v>0</v>
      </c>
      <c r="E324" s="12">
        <f>'[18]key-in(LO)'!AD322</f>
        <v>0</v>
      </c>
      <c r="F324" s="12">
        <f>'[18]key-in(LO)'!AE322</f>
        <v>0</v>
      </c>
      <c r="G324" s="115">
        <f>'[18]key-in(LO)'!AF322</f>
        <v>0</v>
      </c>
      <c r="H324" s="12">
        <f>'[18]key-in(LO)'!AG322</f>
        <v>0</v>
      </c>
      <c r="I324" s="12">
        <f>'[18]key-in(LO)'!AH322</f>
        <v>0</v>
      </c>
      <c r="J324" s="10">
        <f>'[18]key-in(ACO)'!$AR322</f>
        <v>0</v>
      </c>
      <c r="K324" s="10">
        <f>'[18]key-in(ACO)'!$AS322</f>
        <v>0</v>
      </c>
      <c r="L324" s="9">
        <f>'[18]key-in(ACO)'!$AV322</f>
        <v>0</v>
      </c>
      <c r="M324" s="10">
        <f>[18]생산!BA321</f>
        <v>0</v>
      </c>
      <c r="N324" s="10">
        <f>[18]생산!BB321</f>
        <v>0</v>
      </c>
      <c r="O324" s="10">
        <f>[18]생산!BC321</f>
        <v>0</v>
      </c>
      <c r="P324" s="10">
        <f>[18]생산!BD321</f>
        <v>0</v>
      </c>
      <c r="Q324" s="10">
        <f>[18]생산!BE321</f>
        <v>0</v>
      </c>
      <c r="R324" s="10">
        <f>[18]생산!BF321</f>
        <v>0</v>
      </c>
      <c r="S324" s="9">
        <f>[18]운전시간외!C321</f>
        <v>0</v>
      </c>
      <c r="T324" s="9">
        <f>[18]운전시간외!D321</f>
        <v>0</v>
      </c>
      <c r="U324" s="9">
        <f>[18]운전시간외!E321</f>
        <v>0</v>
      </c>
      <c r="V324" s="9">
        <f>[18]운전시간외!F321</f>
        <v>0</v>
      </c>
      <c r="W324" s="11">
        <f>[18]생산!F321</f>
        <v>0</v>
      </c>
      <c r="X324" s="11">
        <f>[18]생산!G321</f>
        <v>0</v>
      </c>
      <c r="Y324" s="11">
        <f>[18]생산!H321</f>
        <v>0</v>
      </c>
      <c r="Z324" s="11">
        <f>[18]생산!I321</f>
        <v>0</v>
      </c>
      <c r="AA324" s="11">
        <f>[18]생산!J321</f>
        <v>0</v>
      </c>
      <c r="AB324" s="11">
        <f>[18]생산!K321</f>
        <v>0</v>
      </c>
      <c r="AC324" s="11"/>
    </row>
    <row r="325" spans="1:29">
      <c r="A325" s="6">
        <v>46342</v>
      </c>
      <c r="B325" s="12">
        <f>'[18]key-in(LO)'!AA323</f>
        <v>0</v>
      </c>
      <c r="C325" s="12">
        <f>'[18]key-in(LO)'!AB323</f>
        <v>0</v>
      </c>
      <c r="D325" s="12">
        <f>'[18]key-in(LO)'!AC323</f>
        <v>0</v>
      </c>
      <c r="E325" s="12">
        <f>'[18]key-in(LO)'!AD323</f>
        <v>0</v>
      </c>
      <c r="F325" s="12">
        <f>'[18]key-in(LO)'!AE323</f>
        <v>0</v>
      </c>
      <c r="G325" s="115">
        <f>'[18]key-in(LO)'!AF323</f>
        <v>0</v>
      </c>
      <c r="H325" s="12">
        <f>'[18]key-in(LO)'!AG323</f>
        <v>0</v>
      </c>
      <c r="I325" s="12">
        <f>'[18]key-in(LO)'!AH323</f>
        <v>0</v>
      </c>
      <c r="J325" s="10">
        <f>'[18]key-in(ACO)'!$AR323</f>
        <v>0</v>
      </c>
      <c r="K325" s="10">
        <f>'[18]key-in(ACO)'!$AS323</f>
        <v>0</v>
      </c>
      <c r="L325" s="9">
        <f>'[18]key-in(ACO)'!$AV323</f>
        <v>0</v>
      </c>
      <c r="M325" s="10">
        <f>[18]생산!BA322</f>
        <v>0</v>
      </c>
      <c r="N325" s="10">
        <f>[18]생산!BB322</f>
        <v>0</v>
      </c>
      <c r="O325" s="10">
        <f>[18]생산!BC322</f>
        <v>0</v>
      </c>
      <c r="P325" s="10">
        <f>[18]생산!BD322</f>
        <v>0</v>
      </c>
      <c r="Q325" s="10">
        <f>[18]생산!BE322</f>
        <v>0</v>
      </c>
      <c r="R325" s="10">
        <f>[18]생산!BF322</f>
        <v>0</v>
      </c>
      <c r="S325" s="9">
        <f>[18]운전시간외!C322</f>
        <v>0</v>
      </c>
      <c r="T325" s="9">
        <f>[18]운전시간외!D322</f>
        <v>0</v>
      </c>
      <c r="U325" s="9">
        <f>[18]운전시간외!E322</f>
        <v>0</v>
      </c>
      <c r="V325" s="9">
        <f>[18]운전시간외!F322</f>
        <v>0</v>
      </c>
      <c r="W325" s="11">
        <f>[18]생산!F322</f>
        <v>0</v>
      </c>
      <c r="X325" s="11">
        <f>[18]생산!G322</f>
        <v>0</v>
      </c>
      <c r="Y325" s="11">
        <f>[18]생산!H322</f>
        <v>0</v>
      </c>
      <c r="Z325" s="11">
        <f>[18]생산!I322</f>
        <v>0</v>
      </c>
      <c r="AA325" s="11">
        <f>[18]생산!J322</f>
        <v>0</v>
      </c>
      <c r="AB325" s="11">
        <f>[18]생산!K322</f>
        <v>0</v>
      </c>
      <c r="AC325" s="11"/>
    </row>
    <row r="326" spans="1:29">
      <c r="A326" s="6">
        <v>46343</v>
      </c>
      <c r="B326" s="12">
        <f>'[18]key-in(LO)'!AA324</f>
        <v>0</v>
      </c>
      <c r="C326" s="12">
        <f>'[18]key-in(LO)'!AB324</f>
        <v>0</v>
      </c>
      <c r="D326" s="12">
        <f>'[18]key-in(LO)'!AC324</f>
        <v>0</v>
      </c>
      <c r="E326" s="12">
        <f>'[18]key-in(LO)'!AD324</f>
        <v>0</v>
      </c>
      <c r="F326" s="12">
        <f>'[18]key-in(LO)'!AE324</f>
        <v>0</v>
      </c>
      <c r="G326" s="115">
        <f>'[18]key-in(LO)'!AF324</f>
        <v>0</v>
      </c>
      <c r="H326" s="12">
        <f>'[18]key-in(LO)'!AG324</f>
        <v>0</v>
      </c>
      <c r="I326" s="12">
        <f>'[18]key-in(LO)'!AH324</f>
        <v>0</v>
      </c>
      <c r="J326" s="10">
        <f>'[18]key-in(ACO)'!$AR324</f>
        <v>0</v>
      </c>
      <c r="K326" s="10">
        <f>'[18]key-in(ACO)'!$AS324</f>
        <v>0</v>
      </c>
      <c r="L326" s="9">
        <f>'[18]key-in(ACO)'!$AV324</f>
        <v>0</v>
      </c>
      <c r="M326" s="10">
        <f>[18]생산!BA323</f>
        <v>0</v>
      </c>
      <c r="N326" s="10">
        <f>[18]생산!BB323</f>
        <v>0</v>
      </c>
      <c r="O326" s="10">
        <f>[18]생산!BC323</f>
        <v>0</v>
      </c>
      <c r="P326" s="10">
        <f>[18]생산!BD323</f>
        <v>0</v>
      </c>
      <c r="Q326" s="10">
        <f>[18]생산!BE323</f>
        <v>0</v>
      </c>
      <c r="R326" s="10">
        <f>[18]생산!BF323</f>
        <v>0</v>
      </c>
      <c r="S326" s="9">
        <f>[18]운전시간외!C323</f>
        <v>0</v>
      </c>
      <c r="T326" s="9">
        <f>[18]운전시간외!D323</f>
        <v>0</v>
      </c>
      <c r="U326" s="9">
        <f>[18]운전시간외!E323</f>
        <v>0</v>
      </c>
      <c r="V326" s="9">
        <f>[18]운전시간외!F323</f>
        <v>0</v>
      </c>
      <c r="W326" s="11">
        <f>[18]생산!F323</f>
        <v>0</v>
      </c>
      <c r="X326" s="11">
        <f>[18]생산!G323</f>
        <v>0</v>
      </c>
      <c r="Y326" s="11">
        <f>[18]생산!H323</f>
        <v>0</v>
      </c>
      <c r="Z326" s="11">
        <f>[18]생산!I323</f>
        <v>0</v>
      </c>
      <c r="AA326" s="11">
        <f>[18]생산!J323</f>
        <v>0</v>
      </c>
      <c r="AB326" s="11">
        <f>[18]생산!K323</f>
        <v>0</v>
      </c>
      <c r="AC326" s="11"/>
    </row>
    <row r="327" spans="1:29">
      <c r="A327" s="6">
        <v>46344</v>
      </c>
      <c r="B327" s="12">
        <f>'[18]key-in(LO)'!AA325</f>
        <v>0</v>
      </c>
      <c r="C327" s="12">
        <f>'[18]key-in(LO)'!AB325</f>
        <v>0</v>
      </c>
      <c r="D327" s="12">
        <f>'[18]key-in(LO)'!AC325</f>
        <v>0</v>
      </c>
      <c r="E327" s="12">
        <f>'[18]key-in(LO)'!AD325</f>
        <v>0</v>
      </c>
      <c r="F327" s="12">
        <f>'[18]key-in(LO)'!AE325</f>
        <v>0</v>
      </c>
      <c r="G327" s="115">
        <f>'[18]key-in(LO)'!AF325</f>
        <v>0</v>
      </c>
      <c r="H327" s="12">
        <f>'[18]key-in(LO)'!AG325</f>
        <v>0</v>
      </c>
      <c r="I327" s="12">
        <f>'[18]key-in(LO)'!AH325</f>
        <v>0</v>
      </c>
      <c r="J327" s="10">
        <f>'[18]key-in(ACO)'!$AR325</f>
        <v>0</v>
      </c>
      <c r="K327" s="10">
        <f>'[18]key-in(ACO)'!$AS325</f>
        <v>0</v>
      </c>
      <c r="L327" s="9">
        <f>'[18]key-in(ACO)'!$AV325</f>
        <v>0</v>
      </c>
      <c r="M327" s="10">
        <f>[18]생산!BA324</f>
        <v>0</v>
      </c>
      <c r="N327" s="10">
        <f>[18]생산!BB324</f>
        <v>0</v>
      </c>
      <c r="O327" s="10">
        <f>[18]생산!BC324</f>
        <v>0</v>
      </c>
      <c r="P327" s="10">
        <f>[18]생산!BD324</f>
        <v>0</v>
      </c>
      <c r="Q327" s="10">
        <f>[18]생산!BE324</f>
        <v>0</v>
      </c>
      <c r="R327" s="10">
        <f>[18]생산!BF324</f>
        <v>0</v>
      </c>
      <c r="S327" s="9">
        <f>[18]운전시간외!C324</f>
        <v>0</v>
      </c>
      <c r="T327" s="9">
        <f>[18]운전시간외!D324</f>
        <v>0</v>
      </c>
      <c r="U327" s="9">
        <f>[18]운전시간외!E324</f>
        <v>0</v>
      </c>
      <c r="V327" s="9">
        <f>[18]운전시간외!F324</f>
        <v>0</v>
      </c>
      <c r="W327" s="11">
        <f>[18]생산!F324</f>
        <v>0</v>
      </c>
      <c r="X327" s="11">
        <f>[18]생산!G324</f>
        <v>0</v>
      </c>
      <c r="Y327" s="11">
        <f>[18]생산!H324</f>
        <v>0</v>
      </c>
      <c r="Z327" s="11">
        <f>[18]생산!I324</f>
        <v>0</v>
      </c>
      <c r="AA327" s="11">
        <f>[18]생산!J324</f>
        <v>0</v>
      </c>
      <c r="AB327" s="11">
        <f>[18]생산!K324</f>
        <v>0</v>
      </c>
      <c r="AC327" s="11"/>
    </row>
    <row r="328" spans="1:29">
      <c r="A328" s="6">
        <v>46345</v>
      </c>
      <c r="B328" s="12">
        <f>'[18]key-in(LO)'!AA326</f>
        <v>0</v>
      </c>
      <c r="C328" s="12">
        <f>'[18]key-in(LO)'!AB326</f>
        <v>0</v>
      </c>
      <c r="D328" s="12">
        <f>'[18]key-in(LO)'!AC326</f>
        <v>0</v>
      </c>
      <c r="E328" s="12">
        <f>'[18]key-in(LO)'!AD326</f>
        <v>0</v>
      </c>
      <c r="F328" s="12">
        <f>'[18]key-in(LO)'!AE326</f>
        <v>0</v>
      </c>
      <c r="G328" s="115">
        <f>'[18]key-in(LO)'!AF326</f>
        <v>0</v>
      </c>
      <c r="H328" s="12">
        <f>'[18]key-in(LO)'!AG326</f>
        <v>0</v>
      </c>
      <c r="I328" s="12">
        <f>'[18]key-in(LO)'!AH326</f>
        <v>0</v>
      </c>
      <c r="J328" s="10">
        <f>'[18]key-in(ACO)'!$AR326</f>
        <v>0</v>
      </c>
      <c r="K328" s="10">
        <f>'[18]key-in(ACO)'!$AS326</f>
        <v>0</v>
      </c>
      <c r="L328" s="9">
        <f>'[18]key-in(ACO)'!$AV326</f>
        <v>0</v>
      </c>
      <c r="M328" s="10">
        <f>[18]생산!BA325</f>
        <v>0</v>
      </c>
      <c r="N328" s="10">
        <f>[18]생산!BB325</f>
        <v>0</v>
      </c>
      <c r="O328" s="10">
        <f>[18]생산!BC325</f>
        <v>0</v>
      </c>
      <c r="P328" s="10">
        <f>[18]생산!BD325</f>
        <v>0</v>
      </c>
      <c r="Q328" s="10">
        <f>[18]생산!BE325</f>
        <v>0</v>
      </c>
      <c r="R328" s="10">
        <f>[18]생산!BF325</f>
        <v>0</v>
      </c>
      <c r="S328" s="9">
        <f>[18]운전시간외!C325</f>
        <v>0</v>
      </c>
      <c r="T328" s="9">
        <f>[18]운전시간외!D325</f>
        <v>0</v>
      </c>
      <c r="U328" s="9">
        <f>[18]운전시간외!E325</f>
        <v>0</v>
      </c>
      <c r="V328" s="9">
        <f>[18]운전시간외!F325</f>
        <v>0</v>
      </c>
      <c r="W328" s="11">
        <f>[18]생산!F325</f>
        <v>0</v>
      </c>
      <c r="X328" s="11">
        <f>[18]생산!G325</f>
        <v>0</v>
      </c>
      <c r="Y328" s="11">
        <f>[18]생산!H325</f>
        <v>0</v>
      </c>
      <c r="Z328" s="11">
        <f>[18]생산!I325</f>
        <v>0</v>
      </c>
      <c r="AA328" s="11">
        <f>[18]생산!J325</f>
        <v>0</v>
      </c>
      <c r="AB328" s="11">
        <f>[18]생산!K325</f>
        <v>0</v>
      </c>
      <c r="AC328" s="11"/>
    </row>
    <row r="329" spans="1:29">
      <c r="A329" s="6">
        <v>46346</v>
      </c>
      <c r="B329" s="12">
        <f>'[18]key-in(LO)'!AA327</f>
        <v>0</v>
      </c>
      <c r="C329" s="12">
        <f>'[18]key-in(LO)'!AB327</f>
        <v>0</v>
      </c>
      <c r="D329" s="12">
        <f>'[18]key-in(LO)'!AC327</f>
        <v>0</v>
      </c>
      <c r="E329" s="12">
        <f>'[18]key-in(LO)'!AD327</f>
        <v>0</v>
      </c>
      <c r="F329" s="12">
        <f>'[18]key-in(LO)'!AE327</f>
        <v>0</v>
      </c>
      <c r="G329" s="115">
        <f>'[18]key-in(LO)'!AF327</f>
        <v>0</v>
      </c>
      <c r="H329" s="12">
        <f>'[18]key-in(LO)'!AG327</f>
        <v>0</v>
      </c>
      <c r="I329" s="12">
        <f>'[18]key-in(LO)'!AH327</f>
        <v>0</v>
      </c>
      <c r="J329" s="10">
        <f>'[18]key-in(ACO)'!$AR327</f>
        <v>0</v>
      </c>
      <c r="K329" s="10">
        <f>'[18]key-in(ACO)'!$AS327</f>
        <v>0</v>
      </c>
      <c r="L329" s="9">
        <f>'[18]key-in(ACO)'!$AV327</f>
        <v>0</v>
      </c>
      <c r="M329" s="10">
        <f>[18]생산!BA326</f>
        <v>0</v>
      </c>
      <c r="N329" s="10">
        <f>[18]생산!BB326</f>
        <v>0</v>
      </c>
      <c r="O329" s="10">
        <f>[18]생산!BC326</f>
        <v>0</v>
      </c>
      <c r="P329" s="10">
        <f>[18]생산!BD326</f>
        <v>0</v>
      </c>
      <c r="Q329" s="10">
        <f>[18]생산!BE326</f>
        <v>0</v>
      </c>
      <c r="R329" s="10">
        <f>[18]생산!BF326</f>
        <v>0</v>
      </c>
      <c r="S329" s="9">
        <f>[18]운전시간외!C326</f>
        <v>0</v>
      </c>
      <c r="T329" s="9">
        <f>[18]운전시간외!D326</f>
        <v>0</v>
      </c>
      <c r="U329" s="9">
        <f>[18]운전시간외!E326</f>
        <v>0</v>
      </c>
      <c r="V329" s="9">
        <f>[18]운전시간외!F326</f>
        <v>0</v>
      </c>
      <c r="W329" s="11">
        <f>[18]생산!F326</f>
        <v>0</v>
      </c>
      <c r="X329" s="11">
        <f>[18]생산!G326</f>
        <v>0</v>
      </c>
      <c r="Y329" s="11">
        <f>[18]생산!H326</f>
        <v>0</v>
      </c>
      <c r="Z329" s="11">
        <f>[18]생산!I326</f>
        <v>0</v>
      </c>
      <c r="AA329" s="11">
        <f>[18]생산!J326</f>
        <v>0</v>
      </c>
      <c r="AB329" s="11">
        <f>[18]생산!K326</f>
        <v>0</v>
      </c>
      <c r="AC329" s="11"/>
    </row>
    <row r="330" spans="1:29">
      <c r="A330" s="6">
        <v>46347</v>
      </c>
      <c r="B330" s="12">
        <f>'[18]key-in(LO)'!AA328</f>
        <v>0</v>
      </c>
      <c r="C330" s="12">
        <f>'[18]key-in(LO)'!AB328</f>
        <v>0</v>
      </c>
      <c r="D330" s="12">
        <f>'[18]key-in(LO)'!AC328</f>
        <v>0</v>
      </c>
      <c r="E330" s="12">
        <f>'[18]key-in(LO)'!AD328</f>
        <v>0</v>
      </c>
      <c r="F330" s="12">
        <f>'[18]key-in(LO)'!AE328</f>
        <v>0</v>
      </c>
      <c r="G330" s="115">
        <f>'[18]key-in(LO)'!AF328</f>
        <v>0</v>
      </c>
      <c r="H330" s="12">
        <f>'[18]key-in(LO)'!AG328</f>
        <v>0</v>
      </c>
      <c r="I330" s="12">
        <f>'[18]key-in(LO)'!AH328</f>
        <v>0</v>
      </c>
      <c r="J330" s="10">
        <f>'[18]key-in(ACO)'!$AR328</f>
        <v>0</v>
      </c>
      <c r="K330" s="10">
        <f>'[18]key-in(ACO)'!$AS328</f>
        <v>0</v>
      </c>
      <c r="L330" s="9">
        <f>'[18]key-in(ACO)'!$AV328</f>
        <v>0</v>
      </c>
      <c r="M330" s="10">
        <f>[18]생산!BA327</f>
        <v>0</v>
      </c>
      <c r="N330" s="10">
        <f>[18]생산!BB327</f>
        <v>0</v>
      </c>
      <c r="O330" s="10">
        <f>[18]생산!BC327</f>
        <v>0</v>
      </c>
      <c r="P330" s="10">
        <f>[18]생산!BD327</f>
        <v>0</v>
      </c>
      <c r="Q330" s="10">
        <f>[18]생산!BE327</f>
        <v>0</v>
      </c>
      <c r="R330" s="10">
        <f>[18]생산!BF327</f>
        <v>0</v>
      </c>
      <c r="S330" s="9">
        <f>[18]운전시간외!C327</f>
        <v>0</v>
      </c>
      <c r="T330" s="9">
        <f>[18]운전시간외!D327</f>
        <v>0</v>
      </c>
      <c r="U330" s="9">
        <f>[18]운전시간외!E327</f>
        <v>0</v>
      </c>
      <c r="V330" s="9">
        <f>[18]운전시간외!F327</f>
        <v>0</v>
      </c>
      <c r="W330" s="11">
        <f>[18]생산!F327</f>
        <v>0</v>
      </c>
      <c r="X330" s="11">
        <f>[18]생산!G327</f>
        <v>0</v>
      </c>
      <c r="Y330" s="11">
        <f>[18]생산!H327</f>
        <v>0</v>
      </c>
      <c r="Z330" s="11">
        <f>[18]생산!I327</f>
        <v>0</v>
      </c>
      <c r="AA330" s="11">
        <f>[18]생산!J327</f>
        <v>0</v>
      </c>
      <c r="AB330" s="11">
        <f>[18]생산!K327</f>
        <v>0</v>
      </c>
      <c r="AC330" s="11"/>
    </row>
    <row r="331" spans="1:29">
      <c r="A331" s="6">
        <v>46348</v>
      </c>
      <c r="B331" s="12">
        <f>'[18]key-in(LO)'!AA329</f>
        <v>0</v>
      </c>
      <c r="C331" s="12">
        <f>'[18]key-in(LO)'!AB329</f>
        <v>0</v>
      </c>
      <c r="D331" s="12">
        <f>'[18]key-in(LO)'!AC329</f>
        <v>0</v>
      </c>
      <c r="E331" s="12">
        <f>'[18]key-in(LO)'!AD329</f>
        <v>0</v>
      </c>
      <c r="F331" s="12">
        <f>'[18]key-in(LO)'!AE329</f>
        <v>0</v>
      </c>
      <c r="G331" s="115">
        <f>'[18]key-in(LO)'!AF329</f>
        <v>0</v>
      </c>
      <c r="H331" s="12">
        <f>'[18]key-in(LO)'!AG329</f>
        <v>0</v>
      </c>
      <c r="I331" s="12">
        <f>'[18]key-in(LO)'!AH329</f>
        <v>0</v>
      </c>
      <c r="J331" s="10">
        <f>'[18]key-in(ACO)'!$AR329</f>
        <v>0</v>
      </c>
      <c r="K331" s="10">
        <f>'[18]key-in(ACO)'!$AS329</f>
        <v>0</v>
      </c>
      <c r="L331" s="9">
        <f>'[18]key-in(ACO)'!$AV329</f>
        <v>0</v>
      </c>
      <c r="M331" s="10">
        <f>[18]생산!BA328</f>
        <v>0</v>
      </c>
      <c r="N331" s="10">
        <f>[18]생산!BB328</f>
        <v>0</v>
      </c>
      <c r="O331" s="10">
        <f>[18]생산!BC328</f>
        <v>0</v>
      </c>
      <c r="P331" s="10">
        <f>[18]생산!BD328</f>
        <v>0</v>
      </c>
      <c r="Q331" s="10">
        <f>[18]생산!BE328</f>
        <v>0</v>
      </c>
      <c r="R331" s="10">
        <f>[18]생산!BF328</f>
        <v>0</v>
      </c>
      <c r="S331" s="9">
        <f>[18]운전시간외!C328</f>
        <v>0</v>
      </c>
      <c r="T331" s="9">
        <f>[18]운전시간외!D328</f>
        <v>0</v>
      </c>
      <c r="U331" s="9">
        <f>[18]운전시간외!E328</f>
        <v>0</v>
      </c>
      <c r="V331" s="9">
        <f>[18]운전시간외!F328</f>
        <v>0</v>
      </c>
      <c r="W331" s="11">
        <f>[18]생산!F328</f>
        <v>0</v>
      </c>
      <c r="X331" s="11">
        <f>[18]생산!G328</f>
        <v>0</v>
      </c>
      <c r="Y331" s="11">
        <f>[18]생산!H328</f>
        <v>0</v>
      </c>
      <c r="Z331" s="11">
        <f>[18]생산!I328</f>
        <v>0</v>
      </c>
      <c r="AA331" s="11">
        <f>[18]생산!J328</f>
        <v>0</v>
      </c>
      <c r="AB331" s="11">
        <f>[18]생산!K328</f>
        <v>0</v>
      </c>
      <c r="AC331" s="11"/>
    </row>
    <row r="332" spans="1:29">
      <c r="A332" s="6">
        <v>46349</v>
      </c>
      <c r="B332" s="12">
        <f>'[18]key-in(LO)'!AA330</f>
        <v>0</v>
      </c>
      <c r="C332" s="12">
        <f>'[18]key-in(LO)'!AB330</f>
        <v>0</v>
      </c>
      <c r="D332" s="12">
        <f>'[18]key-in(LO)'!AC330</f>
        <v>0</v>
      </c>
      <c r="E332" s="12">
        <f>'[18]key-in(LO)'!AD330</f>
        <v>0</v>
      </c>
      <c r="F332" s="12">
        <f>'[18]key-in(LO)'!AE330</f>
        <v>0</v>
      </c>
      <c r="G332" s="115">
        <f>'[18]key-in(LO)'!AF330</f>
        <v>0</v>
      </c>
      <c r="H332" s="12">
        <f>'[18]key-in(LO)'!AG330</f>
        <v>0</v>
      </c>
      <c r="I332" s="12">
        <f>'[18]key-in(LO)'!AH330</f>
        <v>0</v>
      </c>
      <c r="J332" s="10">
        <f>'[18]key-in(ACO)'!$AR330</f>
        <v>0</v>
      </c>
      <c r="K332" s="10">
        <f>'[18]key-in(ACO)'!$AS330</f>
        <v>0</v>
      </c>
      <c r="L332" s="9">
        <f>'[18]key-in(ACO)'!$AV330</f>
        <v>0</v>
      </c>
      <c r="M332" s="10">
        <f>[18]생산!BA329</f>
        <v>0</v>
      </c>
      <c r="N332" s="10">
        <f>[18]생산!BB329</f>
        <v>0</v>
      </c>
      <c r="O332" s="10">
        <f>[18]생산!BC329</f>
        <v>0</v>
      </c>
      <c r="P332" s="10">
        <f>[18]생산!BD329</f>
        <v>0</v>
      </c>
      <c r="Q332" s="10">
        <f>[18]생산!BE329</f>
        <v>0</v>
      </c>
      <c r="R332" s="10">
        <f>[18]생산!BF329</f>
        <v>0</v>
      </c>
      <c r="S332" s="9">
        <f>[18]운전시간외!C329</f>
        <v>0</v>
      </c>
      <c r="T332" s="9">
        <f>[18]운전시간외!D329</f>
        <v>0</v>
      </c>
      <c r="U332" s="9">
        <f>[18]운전시간외!E329</f>
        <v>0</v>
      </c>
      <c r="V332" s="9">
        <f>[18]운전시간외!F329</f>
        <v>0</v>
      </c>
      <c r="W332" s="11">
        <f>[18]생산!F329</f>
        <v>0</v>
      </c>
      <c r="X332" s="11">
        <f>[18]생산!G329</f>
        <v>0</v>
      </c>
      <c r="Y332" s="11">
        <f>[18]생산!H329</f>
        <v>0</v>
      </c>
      <c r="Z332" s="11">
        <f>[18]생산!I329</f>
        <v>0</v>
      </c>
      <c r="AA332" s="11">
        <f>[18]생산!J329</f>
        <v>0</v>
      </c>
      <c r="AB332" s="11">
        <f>[18]생산!K329</f>
        <v>0</v>
      </c>
      <c r="AC332" s="11"/>
    </row>
    <row r="333" spans="1:29">
      <c r="A333" s="6">
        <v>46350</v>
      </c>
      <c r="B333" s="12">
        <f>'[18]key-in(LO)'!AA331</f>
        <v>0</v>
      </c>
      <c r="C333" s="12">
        <f>'[18]key-in(LO)'!AB331</f>
        <v>0</v>
      </c>
      <c r="D333" s="12">
        <f>'[18]key-in(LO)'!AC331</f>
        <v>0</v>
      </c>
      <c r="E333" s="12">
        <f>'[18]key-in(LO)'!AD331</f>
        <v>0</v>
      </c>
      <c r="F333" s="12">
        <f>'[18]key-in(LO)'!AE331</f>
        <v>0</v>
      </c>
      <c r="G333" s="115">
        <f>'[18]key-in(LO)'!AF331</f>
        <v>0</v>
      </c>
      <c r="H333" s="12">
        <f>'[18]key-in(LO)'!AG331</f>
        <v>0</v>
      </c>
      <c r="I333" s="12">
        <f>'[18]key-in(LO)'!AH331</f>
        <v>0</v>
      </c>
      <c r="J333" s="10">
        <f>'[18]key-in(ACO)'!$AR331</f>
        <v>0</v>
      </c>
      <c r="K333" s="10">
        <f>'[18]key-in(ACO)'!$AS331</f>
        <v>0</v>
      </c>
      <c r="L333" s="9">
        <f>'[18]key-in(ACO)'!$AV331</f>
        <v>0</v>
      </c>
      <c r="M333" s="10">
        <f>[18]생산!BA330</f>
        <v>0</v>
      </c>
      <c r="N333" s="10">
        <f>[18]생산!BB330</f>
        <v>0</v>
      </c>
      <c r="O333" s="10">
        <f>[18]생산!BC330</f>
        <v>0</v>
      </c>
      <c r="P333" s="10">
        <f>[18]생산!BD330</f>
        <v>0</v>
      </c>
      <c r="Q333" s="10">
        <f>[18]생산!BE330</f>
        <v>0</v>
      </c>
      <c r="R333" s="10">
        <f>[18]생산!BF330</f>
        <v>0</v>
      </c>
      <c r="S333" s="9">
        <f>[18]운전시간외!C330</f>
        <v>0</v>
      </c>
      <c r="T333" s="9">
        <f>[18]운전시간외!D330</f>
        <v>0</v>
      </c>
      <c r="U333" s="9">
        <f>[18]운전시간외!E330</f>
        <v>0</v>
      </c>
      <c r="V333" s="9">
        <f>[18]운전시간외!F330</f>
        <v>0</v>
      </c>
      <c r="W333" s="11">
        <f>[18]생산!F330</f>
        <v>0</v>
      </c>
      <c r="X333" s="11">
        <f>[18]생산!G330</f>
        <v>0</v>
      </c>
      <c r="Y333" s="11">
        <f>[18]생산!H330</f>
        <v>0</v>
      </c>
      <c r="Z333" s="11">
        <f>[18]생산!I330</f>
        <v>0</v>
      </c>
      <c r="AA333" s="11">
        <f>[18]생산!J330</f>
        <v>0</v>
      </c>
      <c r="AB333" s="11">
        <f>[18]생산!K330</f>
        <v>0</v>
      </c>
      <c r="AC333" s="11"/>
    </row>
    <row r="334" spans="1:29">
      <c r="A334" s="6">
        <v>46351</v>
      </c>
      <c r="B334" s="12">
        <f>'[18]key-in(LO)'!AA332</f>
        <v>0</v>
      </c>
      <c r="C334" s="12">
        <f>'[18]key-in(LO)'!AB332</f>
        <v>0</v>
      </c>
      <c r="D334" s="12">
        <f>'[18]key-in(LO)'!AC332</f>
        <v>0</v>
      </c>
      <c r="E334" s="12">
        <f>'[18]key-in(LO)'!AD332</f>
        <v>0</v>
      </c>
      <c r="F334" s="12">
        <f>'[18]key-in(LO)'!AE332</f>
        <v>0</v>
      </c>
      <c r="G334" s="115">
        <f>'[18]key-in(LO)'!AF332</f>
        <v>0</v>
      </c>
      <c r="H334" s="12">
        <f>'[18]key-in(LO)'!AG332</f>
        <v>0</v>
      </c>
      <c r="I334" s="12">
        <f>'[18]key-in(LO)'!AH332</f>
        <v>0</v>
      </c>
      <c r="J334" s="10">
        <f>'[18]key-in(ACO)'!$AR332</f>
        <v>0</v>
      </c>
      <c r="K334" s="10">
        <f>'[18]key-in(ACO)'!$AS332</f>
        <v>0</v>
      </c>
      <c r="L334" s="9">
        <f>'[18]key-in(ACO)'!$AV332</f>
        <v>0</v>
      </c>
      <c r="M334" s="10">
        <f>[18]생산!BA331</f>
        <v>0</v>
      </c>
      <c r="N334" s="10">
        <f>[18]생산!BB331</f>
        <v>0</v>
      </c>
      <c r="O334" s="10">
        <f>[18]생산!BC331</f>
        <v>0</v>
      </c>
      <c r="P334" s="10">
        <f>[18]생산!BD331</f>
        <v>0</v>
      </c>
      <c r="Q334" s="10">
        <f>[18]생산!BE331</f>
        <v>0</v>
      </c>
      <c r="R334" s="10">
        <f>[18]생산!BF331</f>
        <v>0</v>
      </c>
      <c r="S334" s="9">
        <f>[18]운전시간외!C331</f>
        <v>0</v>
      </c>
      <c r="T334" s="9">
        <f>[18]운전시간외!D331</f>
        <v>0</v>
      </c>
      <c r="U334" s="9">
        <f>[18]운전시간외!E331</f>
        <v>0</v>
      </c>
      <c r="V334" s="9">
        <f>[18]운전시간외!F331</f>
        <v>0</v>
      </c>
      <c r="W334" s="11">
        <f>[18]생산!F331</f>
        <v>0</v>
      </c>
      <c r="X334" s="11">
        <f>[18]생산!G331</f>
        <v>0</v>
      </c>
      <c r="Y334" s="11">
        <f>[18]생산!H331</f>
        <v>0</v>
      </c>
      <c r="Z334" s="11">
        <f>[18]생산!I331</f>
        <v>0</v>
      </c>
      <c r="AA334" s="11">
        <f>[18]생산!J331</f>
        <v>0</v>
      </c>
      <c r="AB334" s="11">
        <f>[18]생산!K331</f>
        <v>0</v>
      </c>
      <c r="AC334" s="11"/>
    </row>
    <row r="335" spans="1:29">
      <c r="A335" s="6">
        <v>46352</v>
      </c>
      <c r="B335" s="12">
        <f>'[18]key-in(LO)'!AA333</f>
        <v>0</v>
      </c>
      <c r="C335" s="12">
        <f>'[18]key-in(LO)'!AB333</f>
        <v>0</v>
      </c>
      <c r="D335" s="12">
        <f>'[18]key-in(LO)'!AC333</f>
        <v>0</v>
      </c>
      <c r="E335" s="12">
        <f>'[18]key-in(LO)'!AD333</f>
        <v>0</v>
      </c>
      <c r="F335" s="12">
        <f>'[18]key-in(LO)'!AE333</f>
        <v>0</v>
      </c>
      <c r="G335" s="115">
        <f>'[18]key-in(LO)'!AF333</f>
        <v>0</v>
      </c>
      <c r="H335" s="12">
        <f>'[18]key-in(LO)'!AG333</f>
        <v>0</v>
      </c>
      <c r="I335" s="12">
        <f>'[18]key-in(LO)'!AH333</f>
        <v>0</v>
      </c>
      <c r="J335" s="10">
        <f>'[18]key-in(ACO)'!$AR333</f>
        <v>0</v>
      </c>
      <c r="K335" s="10">
        <f>'[18]key-in(ACO)'!$AS333</f>
        <v>0</v>
      </c>
      <c r="L335" s="9">
        <f>'[18]key-in(ACO)'!$AV333</f>
        <v>0</v>
      </c>
      <c r="M335" s="10">
        <f>[18]생산!BA332</f>
        <v>0</v>
      </c>
      <c r="N335" s="10">
        <f>[18]생산!BB332</f>
        <v>0</v>
      </c>
      <c r="O335" s="10">
        <f>[18]생산!BC332</f>
        <v>0</v>
      </c>
      <c r="P335" s="10">
        <f>[18]생산!BD332</f>
        <v>0</v>
      </c>
      <c r="Q335" s="10">
        <f>[18]생산!BE332</f>
        <v>0</v>
      </c>
      <c r="R335" s="10">
        <f>[18]생산!BF332</f>
        <v>0</v>
      </c>
      <c r="S335" s="9">
        <f>[18]운전시간외!C332</f>
        <v>0</v>
      </c>
      <c r="T335" s="9">
        <f>[18]운전시간외!D332</f>
        <v>0</v>
      </c>
      <c r="U335" s="9">
        <f>[18]운전시간외!E332</f>
        <v>0</v>
      </c>
      <c r="V335" s="9">
        <f>[18]운전시간외!F332</f>
        <v>0</v>
      </c>
      <c r="W335" s="11">
        <f>[18]생산!F332</f>
        <v>0</v>
      </c>
      <c r="X335" s="11">
        <f>[18]생산!G332</f>
        <v>0</v>
      </c>
      <c r="Y335" s="11">
        <f>[18]생산!H332</f>
        <v>0</v>
      </c>
      <c r="Z335" s="11">
        <f>[18]생산!I332</f>
        <v>0</v>
      </c>
      <c r="AA335" s="11">
        <f>[18]생산!J332</f>
        <v>0</v>
      </c>
      <c r="AB335" s="11">
        <f>[18]생산!K332</f>
        <v>0</v>
      </c>
      <c r="AC335" s="11"/>
    </row>
    <row r="336" spans="1:29">
      <c r="A336" s="6">
        <v>46353</v>
      </c>
      <c r="B336" s="12">
        <f>'[18]key-in(LO)'!AA334</f>
        <v>0</v>
      </c>
      <c r="C336" s="12">
        <f>'[18]key-in(LO)'!AB334</f>
        <v>0</v>
      </c>
      <c r="D336" s="12">
        <f>'[18]key-in(LO)'!AC334</f>
        <v>0</v>
      </c>
      <c r="E336" s="12">
        <f>'[18]key-in(LO)'!AD334</f>
        <v>0</v>
      </c>
      <c r="F336" s="12">
        <f>'[18]key-in(LO)'!AE334</f>
        <v>0</v>
      </c>
      <c r="G336" s="115">
        <f>'[18]key-in(LO)'!AF334</f>
        <v>0</v>
      </c>
      <c r="H336" s="12">
        <f>'[18]key-in(LO)'!AG334</f>
        <v>0</v>
      </c>
      <c r="I336" s="12">
        <f>'[18]key-in(LO)'!AH334</f>
        <v>0</v>
      </c>
      <c r="J336" s="10">
        <f>'[18]key-in(ACO)'!$AR334</f>
        <v>0</v>
      </c>
      <c r="K336" s="10">
        <f>'[18]key-in(ACO)'!$AS334</f>
        <v>0</v>
      </c>
      <c r="L336" s="9">
        <f>'[18]key-in(ACO)'!$AV334</f>
        <v>0</v>
      </c>
      <c r="M336" s="10">
        <f>[18]생산!BA333</f>
        <v>0</v>
      </c>
      <c r="N336" s="10">
        <f>[18]생산!BB333</f>
        <v>0</v>
      </c>
      <c r="O336" s="10">
        <f>[18]생산!BC333</f>
        <v>0</v>
      </c>
      <c r="P336" s="10">
        <f>[18]생산!BD333</f>
        <v>0</v>
      </c>
      <c r="Q336" s="10">
        <f>[18]생산!BE333</f>
        <v>0</v>
      </c>
      <c r="R336" s="10">
        <f>[18]생산!BF333</f>
        <v>0</v>
      </c>
      <c r="S336" s="9">
        <f>[18]운전시간외!C333</f>
        <v>0</v>
      </c>
      <c r="T336" s="9">
        <f>[18]운전시간외!D333</f>
        <v>0</v>
      </c>
      <c r="U336" s="9">
        <f>[18]운전시간외!E333</f>
        <v>0</v>
      </c>
      <c r="V336" s="9">
        <f>[18]운전시간외!F333</f>
        <v>0</v>
      </c>
      <c r="W336" s="11">
        <f>[18]생산!F333</f>
        <v>0</v>
      </c>
      <c r="X336" s="11">
        <f>[18]생산!G333</f>
        <v>0</v>
      </c>
      <c r="Y336" s="11">
        <f>[18]생산!H333</f>
        <v>0</v>
      </c>
      <c r="Z336" s="11">
        <f>[18]생산!I333</f>
        <v>0</v>
      </c>
      <c r="AA336" s="11">
        <f>[18]생산!J333</f>
        <v>0</v>
      </c>
      <c r="AB336" s="11">
        <f>[18]생산!K333</f>
        <v>0</v>
      </c>
      <c r="AC336" s="11"/>
    </row>
    <row r="337" spans="1:29">
      <c r="A337" s="6">
        <v>46354</v>
      </c>
      <c r="B337" s="12">
        <f>'[18]key-in(LO)'!AA335</f>
        <v>0</v>
      </c>
      <c r="C337" s="12">
        <f>'[18]key-in(LO)'!AB335</f>
        <v>0</v>
      </c>
      <c r="D337" s="12">
        <f>'[18]key-in(LO)'!AC335</f>
        <v>0</v>
      </c>
      <c r="E337" s="12">
        <f>'[18]key-in(LO)'!AD335</f>
        <v>0</v>
      </c>
      <c r="F337" s="12">
        <f>'[18]key-in(LO)'!AE335</f>
        <v>0</v>
      </c>
      <c r="G337" s="115">
        <f>'[18]key-in(LO)'!AF335</f>
        <v>0</v>
      </c>
      <c r="H337" s="12">
        <f>'[18]key-in(LO)'!AG335</f>
        <v>0</v>
      </c>
      <c r="I337" s="12">
        <f>'[18]key-in(LO)'!AH335</f>
        <v>0</v>
      </c>
      <c r="J337" s="10">
        <f>'[18]key-in(ACO)'!$AR335</f>
        <v>0</v>
      </c>
      <c r="K337" s="10">
        <f>'[18]key-in(ACO)'!$AS335</f>
        <v>0</v>
      </c>
      <c r="L337" s="9">
        <f>'[18]key-in(ACO)'!$AV335</f>
        <v>0</v>
      </c>
      <c r="M337" s="10">
        <f>[18]생산!BA334</f>
        <v>0</v>
      </c>
      <c r="N337" s="10">
        <f>[18]생산!BB334</f>
        <v>0</v>
      </c>
      <c r="O337" s="10">
        <f>[18]생산!BC334</f>
        <v>0</v>
      </c>
      <c r="P337" s="10">
        <f>[18]생산!BD334</f>
        <v>0</v>
      </c>
      <c r="Q337" s="10">
        <f>[18]생산!BE334</f>
        <v>0</v>
      </c>
      <c r="R337" s="10">
        <f>[18]생산!BF334</f>
        <v>0</v>
      </c>
      <c r="S337" s="9">
        <f>[18]운전시간외!C334</f>
        <v>0</v>
      </c>
      <c r="T337" s="9">
        <f>[18]운전시간외!D334</f>
        <v>0</v>
      </c>
      <c r="U337" s="9">
        <f>[18]운전시간외!E334</f>
        <v>0</v>
      </c>
      <c r="V337" s="9">
        <f>[18]운전시간외!F334</f>
        <v>0</v>
      </c>
      <c r="W337" s="11">
        <f>[18]생산!F334</f>
        <v>0</v>
      </c>
      <c r="X337" s="11">
        <f>[18]생산!G334</f>
        <v>0</v>
      </c>
      <c r="Y337" s="11">
        <f>[18]생산!H334</f>
        <v>0</v>
      </c>
      <c r="Z337" s="11">
        <f>[18]생산!I334</f>
        <v>0</v>
      </c>
      <c r="AA337" s="11">
        <f>[18]생산!J334</f>
        <v>0</v>
      </c>
      <c r="AB337" s="11">
        <f>[18]생산!K334</f>
        <v>0</v>
      </c>
      <c r="AC337" s="11"/>
    </row>
    <row r="338" spans="1:29">
      <c r="A338" s="6">
        <v>46355</v>
      </c>
      <c r="B338" s="12">
        <f>'[18]key-in(LO)'!AA336</f>
        <v>0</v>
      </c>
      <c r="C338" s="12">
        <f>'[18]key-in(LO)'!AB336</f>
        <v>0</v>
      </c>
      <c r="D338" s="12">
        <f>'[18]key-in(LO)'!AC336</f>
        <v>0</v>
      </c>
      <c r="E338" s="12">
        <f>'[18]key-in(LO)'!AD336</f>
        <v>0</v>
      </c>
      <c r="F338" s="12">
        <f>'[18]key-in(LO)'!AE336</f>
        <v>0</v>
      </c>
      <c r="G338" s="115">
        <f>'[18]key-in(LO)'!AF336</f>
        <v>0</v>
      </c>
      <c r="H338" s="12">
        <f>'[18]key-in(LO)'!AG336</f>
        <v>0</v>
      </c>
      <c r="I338" s="12">
        <f>'[18]key-in(LO)'!AH336</f>
        <v>0</v>
      </c>
      <c r="J338" s="10">
        <f>'[18]key-in(ACO)'!$AR336</f>
        <v>0</v>
      </c>
      <c r="K338" s="10">
        <f>'[18]key-in(ACO)'!$AS336</f>
        <v>0</v>
      </c>
      <c r="L338" s="9">
        <f>'[18]key-in(ACO)'!$AV336</f>
        <v>0</v>
      </c>
      <c r="M338" s="10">
        <f>[18]생산!BA335</f>
        <v>0</v>
      </c>
      <c r="N338" s="10">
        <f>[18]생산!BB335</f>
        <v>0</v>
      </c>
      <c r="O338" s="10">
        <f>[18]생산!BC335</f>
        <v>0</v>
      </c>
      <c r="P338" s="10">
        <f>[18]생산!BD335</f>
        <v>0</v>
      </c>
      <c r="Q338" s="10">
        <f>[18]생산!BE335</f>
        <v>0</v>
      </c>
      <c r="R338" s="10">
        <f>[18]생산!BF335</f>
        <v>0</v>
      </c>
      <c r="S338" s="9">
        <f>[18]운전시간외!C335</f>
        <v>0</v>
      </c>
      <c r="T338" s="9">
        <f>[18]운전시간외!D335</f>
        <v>0</v>
      </c>
      <c r="U338" s="9">
        <f>[18]운전시간외!E335</f>
        <v>0</v>
      </c>
      <c r="V338" s="9">
        <f>[18]운전시간외!F335</f>
        <v>0</v>
      </c>
      <c r="W338" s="11">
        <f>[18]생산!F335</f>
        <v>0</v>
      </c>
      <c r="X338" s="11">
        <f>[18]생산!G335</f>
        <v>0</v>
      </c>
      <c r="Y338" s="11">
        <f>[18]생산!H335</f>
        <v>0</v>
      </c>
      <c r="Z338" s="11">
        <f>[18]생산!I335</f>
        <v>0</v>
      </c>
      <c r="AA338" s="11">
        <f>[18]생산!J335</f>
        <v>0</v>
      </c>
      <c r="AB338" s="11">
        <f>[18]생산!K335</f>
        <v>0</v>
      </c>
      <c r="AC338" s="11"/>
    </row>
    <row r="339" spans="1:29">
      <c r="A339" s="6">
        <v>46356</v>
      </c>
      <c r="B339" s="12">
        <f>'[18]key-in(LO)'!AA337</f>
        <v>0</v>
      </c>
      <c r="C339" s="12">
        <f>'[18]key-in(LO)'!AB337</f>
        <v>0</v>
      </c>
      <c r="D339" s="12">
        <f>'[18]key-in(LO)'!AC337</f>
        <v>0</v>
      </c>
      <c r="E339" s="12">
        <f>'[18]key-in(LO)'!AD337</f>
        <v>0</v>
      </c>
      <c r="F339" s="12">
        <f>'[18]key-in(LO)'!AE337</f>
        <v>0</v>
      </c>
      <c r="G339" s="115">
        <f>'[18]key-in(LO)'!AF337</f>
        <v>0</v>
      </c>
      <c r="H339" s="12">
        <f>'[18]key-in(LO)'!AG337</f>
        <v>0</v>
      </c>
      <c r="I339" s="12">
        <f>'[18]key-in(LO)'!AH337</f>
        <v>0</v>
      </c>
      <c r="J339" s="10">
        <f>'[18]key-in(ACO)'!$AR337</f>
        <v>0</v>
      </c>
      <c r="K339" s="10">
        <f>'[18]key-in(ACO)'!$AS337</f>
        <v>0</v>
      </c>
      <c r="L339" s="9">
        <f>'[18]key-in(ACO)'!$AV337</f>
        <v>0</v>
      </c>
      <c r="M339" s="10">
        <f>[18]생산!BA336</f>
        <v>0</v>
      </c>
      <c r="N339" s="10">
        <f>[18]생산!BB336</f>
        <v>0</v>
      </c>
      <c r="O339" s="10">
        <f>[18]생산!BC336</f>
        <v>0</v>
      </c>
      <c r="P339" s="10">
        <f>[18]생산!BD336</f>
        <v>0</v>
      </c>
      <c r="Q339" s="10">
        <f>[18]생산!BE336</f>
        <v>0</v>
      </c>
      <c r="R339" s="10">
        <f>[18]생산!BF336</f>
        <v>0</v>
      </c>
      <c r="S339" s="9">
        <f>[18]운전시간외!C336</f>
        <v>0</v>
      </c>
      <c r="T339" s="9">
        <f>[18]운전시간외!D336</f>
        <v>0</v>
      </c>
      <c r="U339" s="9">
        <f>[18]운전시간외!E336</f>
        <v>0</v>
      </c>
      <c r="V339" s="9">
        <f>[18]운전시간외!F336</f>
        <v>0</v>
      </c>
      <c r="W339" s="11">
        <f>[18]생산!F336</f>
        <v>0</v>
      </c>
      <c r="X339" s="11">
        <f>[18]생산!G336</f>
        <v>0</v>
      </c>
      <c r="Y339" s="11">
        <f>[18]생산!H336</f>
        <v>0</v>
      </c>
      <c r="Z339" s="11">
        <f>[18]생산!I336</f>
        <v>0</v>
      </c>
      <c r="AA339" s="11">
        <f>[18]생산!J336</f>
        <v>0</v>
      </c>
      <c r="AB339" s="11">
        <f>[18]생산!K336</f>
        <v>0</v>
      </c>
      <c r="AC339" s="11"/>
    </row>
    <row r="340" spans="1:29">
      <c r="A340" s="6">
        <v>46357</v>
      </c>
      <c r="B340" s="12">
        <f>'[18]key-in(LO)'!AA338</f>
        <v>0</v>
      </c>
      <c r="C340" s="12">
        <f>'[18]key-in(LO)'!AB338</f>
        <v>0</v>
      </c>
      <c r="D340" s="12">
        <f>'[18]key-in(LO)'!AC338</f>
        <v>0</v>
      </c>
      <c r="E340" s="12">
        <f>'[18]key-in(LO)'!AD338</f>
        <v>0</v>
      </c>
      <c r="F340" s="12">
        <f>'[18]key-in(LO)'!AE338</f>
        <v>0</v>
      </c>
      <c r="G340" s="115">
        <f>'[18]key-in(LO)'!AF338</f>
        <v>0</v>
      </c>
      <c r="H340" s="12">
        <f>'[18]key-in(LO)'!AG338</f>
        <v>0</v>
      </c>
      <c r="I340" s="12">
        <f>'[18]key-in(LO)'!AH338</f>
        <v>0</v>
      </c>
      <c r="J340" s="10">
        <f>'[18]key-in(ACO)'!$AR338</f>
        <v>0</v>
      </c>
      <c r="K340" s="10">
        <f>'[18]key-in(ACO)'!$AS338</f>
        <v>0</v>
      </c>
      <c r="L340" s="9">
        <f>'[18]key-in(ACO)'!$AV338</f>
        <v>0</v>
      </c>
      <c r="M340" s="10">
        <f>[18]생산!BA337</f>
        <v>0</v>
      </c>
      <c r="N340" s="10">
        <f>[18]생산!BB337</f>
        <v>0</v>
      </c>
      <c r="O340" s="10">
        <f>[18]생산!BC337</f>
        <v>0</v>
      </c>
      <c r="P340" s="10">
        <f>[18]생산!BD337</f>
        <v>0</v>
      </c>
      <c r="Q340" s="10">
        <f>[18]생산!BE337</f>
        <v>0</v>
      </c>
      <c r="R340" s="10">
        <f>[18]생산!BF337</f>
        <v>0</v>
      </c>
      <c r="S340" s="9">
        <f>[18]운전시간외!C337</f>
        <v>0</v>
      </c>
      <c r="T340" s="9">
        <f>[18]운전시간외!D337</f>
        <v>0</v>
      </c>
      <c r="U340" s="9">
        <f>[18]운전시간외!E337</f>
        <v>0</v>
      </c>
      <c r="V340" s="9">
        <f>[18]운전시간외!F337</f>
        <v>0</v>
      </c>
      <c r="W340" s="11">
        <f>[18]생산!F337</f>
        <v>0</v>
      </c>
      <c r="X340" s="11">
        <f>[18]생산!G337</f>
        <v>0</v>
      </c>
      <c r="Y340" s="11">
        <f>[18]생산!H337</f>
        <v>0</v>
      </c>
      <c r="Z340" s="11">
        <f>[18]생산!I337</f>
        <v>0</v>
      </c>
      <c r="AA340" s="11">
        <f>[18]생산!J337</f>
        <v>0</v>
      </c>
      <c r="AB340" s="11">
        <f>[18]생산!K337</f>
        <v>0</v>
      </c>
      <c r="AC340" s="11"/>
    </row>
    <row r="341" spans="1:29">
      <c r="A341" s="6">
        <v>46358</v>
      </c>
      <c r="B341" s="12">
        <f>'[18]key-in(LO)'!AA339</f>
        <v>0</v>
      </c>
      <c r="C341" s="12">
        <f>'[18]key-in(LO)'!AB339</f>
        <v>0</v>
      </c>
      <c r="D341" s="12">
        <f>'[18]key-in(LO)'!AC339</f>
        <v>0</v>
      </c>
      <c r="E341" s="12">
        <f>'[18]key-in(LO)'!AD339</f>
        <v>0</v>
      </c>
      <c r="F341" s="12">
        <f>'[18]key-in(LO)'!AE339</f>
        <v>0</v>
      </c>
      <c r="G341" s="115">
        <f>'[18]key-in(LO)'!AF339</f>
        <v>0</v>
      </c>
      <c r="H341" s="12">
        <f>'[18]key-in(LO)'!AG339</f>
        <v>0</v>
      </c>
      <c r="I341" s="12">
        <f>'[18]key-in(LO)'!AH339</f>
        <v>0</v>
      </c>
      <c r="J341" s="10">
        <f>'[18]key-in(ACO)'!$AR339</f>
        <v>0</v>
      </c>
      <c r="K341" s="10">
        <f>'[18]key-in(ACO)'!$AS339</f>
        <v>0</v>
      </c>
      <c r="L341" s="9">
        <f>'[18]key-in(ACO)'!$AV339</f>
        <v>0</v>
      </c>
      <c r="M341" s="10">
        <f>[18]생산!BA338</f>
        <v>0</v>
      </c>
      <c r="N341" s="10">
        <f>[18]생산!BB338</f>
        <v>0</v>
      </c>
      <c r="O341" s="10">
        <f>[18]생산!BC338</f>
        <v>0</v>
      </c>
      <c r="P341" s="10">
        <f>[18]생산!BD338</f>
        <v>0</v>
      </c>
      <c r="Q341" s="10">
        <f>[18]생산!BE338</f>
        <v>0</v>
      </c>
      <c r="R341" s="10">
        <f>[18]생산!BF338</f>
        <v>0</v>
      </c>
      <c r="S341" s="9">
        <f>[18]운전시간외!C338</f>
        <v>0</v>
      </c>
      <c r="T341" s="9">
        <f>[18]운전시간외!D338</f>
        <v>0</v>
      </c>
      <c r="U341" s="9">
        <f>[18]운전시간외!E338</f>
        <v>0</v>
      </c>
      <c r="V341" s="9">
        <f>[18]운전시간외!F338</f>
        <v>0</v>
      </c>
      <c r="W341" s="11">
        <f>[18]생산!F338</f>
        <v>0</v>
      </c>
      <c r="X341" s="11">
        <f>[18]생산!G338</f>
        <v>0</v>
      </c>
      <c r="Y341" s="11">
        <f>[18]생산!H338</f>
        <v>0</v>
      </c>
      <c r="Z341" s="11">
        <f>[18]생산!I338</f>
        <v>0</v>
      </c>
      <c r="AA341" s="11">
        <f>[18]생산!J338</f>
        <v>0</v>
      </c>
      <c r="AB341" s="11">
        <f>[18]생산!K338</f>
        <v>0</v>
      </c>
      <c r="AC341" s="11"/>
    </row>
    <row r="342" spans="1:29">
      <c r="A342" s="6">
        <v>46359</v>
      </c>
      <c r="B342" s="12">
        <f>'[18]key-in(LO)'!AA340</f>
        <v>0</v>
      </c>
      <c r="C342" s="12">
        <f>'[18]key-in(LO)'!AB340</f>
        <v>0</v>
      </c>
      <c r="D342" s="12">
        <f>'[18]key-in(LO)'!AC340</f>
        <v>0</v>
      </c>
      <c r="E342" s="12">
        <f>'[18]key-in(LO)'!AD340</f>
        <v>0</v>
      </c>
      <c r="F342" s="12">
        <f>'[18]key-in(LO)'!AE340</f>
        <v>0</v>
      </c>
      <c r="G342" s="115">
        <f>'[18]key-in(LO)'!AF340</f>
        <v>0</v>
      </c>
      <c r="H342" s="12">
        <f>'[18]key-in(LO)'!AG340</f>
        <v>0</v>
      </c>
      <c r="I342" s="12">
        <f>'[18]key-in(LO)'!AH340</f>
        <v>0</v>
      </c>
      <c r="J342" s="10">
        <f>'[18]key-in(ACO)'!$AR340</f>
        <v>0</v>
      </c>
      <c r="K342" s="10">
        <f>'[18]key-in(ACO)'!$AS340</f>
        <v>0</v>
      </c>
      <c r="L342" s="9">
        <f>'[18]key-in(ACO)'!$AV340</f>
        <v>0</v>
      </c>
      <c r="M342" s="10">
        <f>[18]생산!BA339</f>
        <v>0</v>
      </c>
      <c r="N342" s="10">
        <f>[18]생산!BB339</f>
        <v>0</v>
      </c>
      <c r="O342" s="10">
        <f>[18]생산!BC339</f>
        <v>0</v>
      </c>
      <c r="P342" s="10">
        <f>[18]생산!BD339</f>
        <v>0</v>
      </c>
      <c r="Q342" s="10">
        <f>[18]생산!BE339</f>
        <v>0</v>
      </c>
      <c r="R342" s="10">
        <f>[18]생산!BF339</f>
        <v>0</v>
      </c>
      <c r="S342" s="9">
        <f>[18]운전시간외!C339</f>
        <v>0</v>
      </c>
      <c r="T342" s="9">
        <f>[18]운전시간외!D339</f>
        <v>0</v>
      </c>
      <c r="U342" s="9">
        <f>[18]운전시간외!E339</f>
        <v>0</v>
      </c>
      <c r="V342" s="9">
        <f>[18]운전시간외!F339</f>
        <v>0</v>
      </c>
      <c r="W342" s="11">
        <f>[18]생산!F339</f>
        <v>0</v>
      </c>
      <c r="X342" s="11">
        <f>[18]생산!G339</f>
        <v>0</v>
      </c>
      <c r="Y342" s="11">
        <f>[18]생산!H339</f>
        <v>0</v>
      </c>
      <c r="Z342" s="11">
        <f>[18]생산!I339</f>
        <v>0</v>
      </c>
      <c r="AA342" s="11">
        <f>[18]생산!J339</f>
        <v>0</v>
      </c>
      <c r="AB342" s="11">
        <f>[18]생산!K339</f>
        <v>0</v>
      </c>
      <c r="AC342" s="11"/>
    </row>
    <row r="343" spans="1:29">
      <c r="A343" s="6">
        <v>46360</v>
      </c>
      <c r="B343" s="12">
        <f>'[18]key-in(LO)'!AA341</f>
        <v>0</v>
      </c>
      <c r="C343" s="12">
        <f>'[18]key-in(LO)'!AB341</f>
        <v>0</v>
      </c>
      <c r="D343" s="12">
        <f>'[18]key-in(LO)'!AC341</f>
        <v>0</v>
      </c>
      <c r="E343" s="12">
        <f>'[18]key-in(LO)'!AD341</f>
        <v>0</v>
      </c>
      <c r="F343" s="12">
        <f>'[18]key-in(LO)'!AE341</f>
        <v>0</v>
      </c>
      <c r="G343" s="115">
        <f>'[18]key-in(LO)'!AF341</f>
        <v>0</v>
      </c>
      <c r="H343" s="12">
        <f>'[18]key-in(LO)'!AG341</f>
        <v>0</v>
      </c>
      <c r="I343" s="12">
        <f>'[18]key-in(LO)'!AH341</f>
        <v>0</v>
      </c>
      <c r="J343" s="10">
        <f>'[18]key-in(ACO)'!$AR341</f>
        <v>0</v>
      </c>
      <c r="K343" s="10">
        <f>'[18]key-in(ACO)'!$AS341</f>
        <v>0</v>
      </c>
      <c r="L343" s="9">
        <f>'[18]key-in(ACO)'!$AV341</f>
        <v>0</v>
      </c>
      <c r="M343" s="10">
        <f>[18]생산!BA340</f>
        <v>0</v>
      </c>
      <c r="N343" s="10">
        <f>[18]생산!BB340</f>
        <v>0</v>
      </c>
      <c r="O343" s="10">
        <f>[18]생산!BC340</f>
        <v>0</v>
      </c>
      <c r="P343" s="10">
        <f>[18]생산!BD340</f>
        <v>0</v>
      </c>
      <c r="Q343" s="10">
        <f>[18]생산!BE340</f>
        <v>0</v>
      </c>
      <c r="R343" s="10">
        <f>[18]생산!BF340</f>
        <v>0</v>
      </c>
      <c r="S343" s="9">
        <f>[18]운전시간외!C340</f>
        <v>0</v>
      </c>
      <c r="T343" s="9">
        <f>[18]운전시간외!D340</f>
        <v>0</v>
      </c>
      <c r="U343" s="9">
        <f>[18]운전시간외!E340</f>
        <v>0</v>
      </c>
      <c r="V343" s="9">
        <f>[18]운전시간외!F340</f>
        <v>0</v>
      </c>
      <c r="W343" s="11">
        <f>[18]생산!F340</f>
        <v>0</v>
      </c>
      <c r="X343" s="11">
        <f>[18]생산!G340</f>
        <v>0</v>
      </c>
      <c r="Y343" s="11">
        <f>[18]생산!H340</f>
        <v>0</v>
      </c>
      <c r="Z343" s="11">
        <f>[18]생산!I340</f>
        <v>0</v>
      </c>
      <c r="AA343" s="11">
        <f>[18]생산!J340</f>
        <v>0</v>
      </c>
      <c r="AB343" s="11">
        <f>[18]생산!K340</f>
        <v>0</v>
      </c>
      <c r="AC343" s="11"/>
    </row>
    <row r="344" spans="1:29">
      <c r="A344" s="6">
        <v>46361</v>
      </c>
      <c r="B344" s="12">
        <f>'[18]key-in(LO)'!AA342</f>
        <v>0</v>
      </c>
      <c r="C344" s="12">
        <f>'[18]key-in(LO)'!AB342</f>
        <v>0</v>
      </c>
      <c r="D344" s="12">
        <f>'[18]key-in(LO)'!AC342</f>
        <v>0</v>
      </c>
      <c r="E344" s="12">
        <f>'[18]key-in(LO)'!AD342</f>
        <v>0</v>
      </c>
      <c r="F344" s="12">
        <f>'[18]key-in(LO)'!AE342</f>
        <v>0</v>
      </c>
      <c r="G344" s="115">
        <f>'[18]key-in(LO)'!AF342</f>
        <v>0</v>
      </c>
      <c r="H344" s="12">
        <f>'[18]key-in(LO)'!AG342</f>
        <v>0</v>
      </c>
      <c r="I344" s="12">
        <f>'[18]key-in(LO)'!AH342</f>
        <v>0</v>
      </c>
      <c r="J344" s="10">
        <f>'[18]key-in(ACO)'!$AR342</f>
        <v>0</v>
      </c>
      <c r="K344" s="10">
        <f>'[18]key-in(ACO)'!$AS342</f>
        <v>0</v>
      </c>
      <c r="L344" s="9">
        <f>'[18]key-in(ACO)'!$AV342</f>
        <v>0</v>
      </c>
      <c r="M344" s="10">
        <f>[18]생산!BA341</f>
        <v>0</v>
      </c>
      <c r="N344" s="10">
        <f>[18]생산!BB341</f>
        <v>0</v>
      </c>
      <c r="O344" s="10">
        <f>[18]생산!BC341</f>
        <v>0</v>
      </c>
      <c r="P344" s="10">
        <f>[18]생산!BD341</f>
        <v>0</v>
      </c>
      <c r="Q344" s="10">
        <f>[18]생산!BE341</f>
        <v>0</v>
      </c>
      <c r="R344" s="10">
        <f>[18]생산!BF341</f>
        <v>0</v>
      </c>
      <c r="S344" s="9">
        <f>[18]운전시간외!C341</f>
        <v>0</v>
      </c>
      <c r="T344" s="9">
        <f>[18]운전시간외!D341</f>
        <v>0</v>
      </c>
      <c r="U344" s="9">
        <f>[18]운전시간외!E341</f>
        <v>0</v>
      </c>
      <c r="V344" s="9">
        <f>[18]운전시간외!F341</f>
        <v>0</v>
      </c>
      <c r="W344" s="11">
        <f>[18]생산!F341</f>
        <v>0</v>
      </c>
      <c r="X344" s="11">
        <f>[18]생산!G341</f>
        <v>0</v>
      </c>
      <c r="Y344" s="11">
        <f>[18]생산!H341</f>
        <v>0</v>
      </c>
      <c r="Z344" s="11">
        <f>[18]생산!I341</f>
        <v>0</v>
      </c>
      <c r="AA344" s="11">
        <f>[18]생산!J341</f>
        <v>0</v>
      </c>
      <c r="AB344" s="11">
        <f>[18]생산!K341</f>
        <v>0</v>
      </c>
      <c r="AC344" s="11"/>
    </row>
    <row r="345" spans="1:29">
      <c r="A345" s="6">
        <v>46362</v>
      </c>
      <c r="B345" s="12">
        <f>'[18]key-in(LO)'!AA343</f>
        <v>0</v>
      </c>
      <c r="C345" s="12">
        <f>'[18]key-in(LO)'!AB343</f>
        <v>0</v>
      </c>
      <c r="D345" s="12">
        <f>'[18]key-in(LO)'!AC343</f>
        <v>0</v>
      </c>
      <c r="E345" s="12">
        <f>'[18]key-in(LO)'!AD343</f>
        <v>0</v>
      </c>
      <c r="F345" s="12">
        <f>'[18]key-in(LO)'!AE343</f>
        <v>0</v>
      </c>
      <c r="G345" s="115">
        <f>'[18]key-in(LO)'!AF343</f>
        <v>0</v>
      </c>
      <c r="H345" s="12">
        <f>'[18]key-in(LO)'!AG343</f>
        <v>0</v>
      </c>
      <c r="I345" s="12">
        <f>'[18]key-in(LO)'!AH343</f>
        <v>0</v>
      </c>
      <c r="J345" s="10">
        <f>'[18]key-in(ACO)'!$AR343</f>
        <v>0</v>
      </c>
      <c r="K345" s="10">
        <f>'[18]key-in(ACO)'!$AS343</f>
        <v>0</v>
      </c>
      <c r="L345" s="9">
        <f>'[18]key-in(ACO)'!$AV343</f>
        <v>0</v>
      </c>
      <c r="M345" s="10">
        <f>[18]생산!BA342</f>
        <v>0</v>
      </c>
      <c r="N345" s="10">
        <f>[18]생산!BB342</f>
        <v>0</v>
      </c>
      <c r="O345" s="10">
        <f>[18]생산!BC342</f>
        <v>0</v>
      </c>
      <c r="P345" s="10">
        <f>[18]생산!BD342</f>
        <v>0</v>
      </c>
      <c r="Q345" s="10">
        <f>[18]생산!BE342</f>
        <v>0</v>
      </c>
      <c r="R345" s="10">
        <f>[18]생산!BF342</f>
        <v>0</v>
      </c>
      <c r="S345" s="9">
        <f>[18]운전시간외!C342</f>
        <v>0</v>
      </c>
      <c r="T345" s="9">
        <f>[18]운전시간외!D342</f>
        <v>0</v>
      </c>
      <c r="U345" s="9">
        <f>[18]운전시간외!E342</f>
        <v>0</v>
      </c>
      <c r="V345" s="9">
        <f>[18]운전시간외!F342</f>
        <v>0</v>
      </c>
      <c r="W345" s="11">
        <f>[18]생산!F342</f>
        <v>0</v>
      </c>
      <c r="X345" s="11">
        <f>[18]생산!G342</f>
        <v>0</v>
      </c>
      <c r="Y345" s="11">
        <f>[18]생산!H342</f>
        <v>0</v>
      </c>
      <c r="Z345" s="11">
        <f>[18]생산!I342</f>
        <v>0</v>
      </c>
      <c r="AA345" s="11">
        <f>[18]생산!J342</f>
        <v>0</v>
      </c>
      <c r="AB345" s="11">
        <f>[18]생산!K342</f>
        <v>0</v>
      </c>
      <c r="AC345" s="11"/>
    </row>
    <row r="346" spans="1:29">
      <c r="A346" s="6">
        <v>46363</v>
      </c>
      <c r="B346" s="12">
        <f>'[18]key-in(LO)'!AA344</f>
        <v>0</v>
      </c>
      <c r="C346" s="12">
        <f>'[18]key-in(LO)'!AB344</f>
        <v>0</v>
      </c>
      <c r="D346" s="12">
        <f>'[18]key-in(LO)'!AC344</f>
        <v>0</v>
      </c>
      <c r="E346" s="12">
        <f>'[18]key-in(LO)'!AD344</f>
        <v>0</v>
      </c>
      <c r="F346" s="12">
        <f>'[18]key-in(LO)'!AE344</f>
        <v>0</v>
      </c>
      <c r="G346" s="115">
        <f>'[18]key-in(LO)'!AF344</f>
        <v>0</v>
      </c>
      <c r="H346" s="12">
        <f>'[18]key-in(LO)'!AG344</f>
        <v>0</v>
      </c>
      <c r="I346" s="12">
        <f>'[18]key-in(LO)'!AH344</f>
        <v>0</v>
      </c>
      <c r="J346" s="10">
        <f>'[18]key-in(ACO)'!$AR344</f>
        <v>0</v>
      </c>
      <c r="K346" s="10">
        <f>'[18]key-in(ACO)'!$AS344</f>
        <v>0</v>
      </c>
      <c r="L346" s="9">
        <f>'[18]key-in(ACO)'!$AV344</f>
        <v>0</v>
      </c>
      <c r="M346" s="10">
        <f>[18]생산!BA343</f>
        <v>0</v>
      </c>
      <c r="N346" s="10">
        <f>[18]생산!BB343</f>
        <v>0</v>
      </c>
      <c r="O346" s="10">
        <f>[18]생산!BC343</f>
        <v>0</v>
      </c>
      <c r="P346" s="10">
        <f>[18]생산!BD343</f>
        <v>0</v>
      </c>
      <c r="Q346" s="10">
        <f>[18]생산!BE343</f>
        <v>0</v>
      </c>
      <c r="R346" s="10">
        <f>[18]생산!BF343</f>
        <v>0</v>
      </c>
      <c r="S346" s="9">
        <f>[18]운전시간외!C343</f>
        <v>0</v>
      </c>
      <c r="T346" s="9">
        <f>[18]운전시간외!D343</f>
        <v>0</v>
      </c>
      <c r="U346" s="9">
        <f>[18]운전시간외!E343</f>
        <v>0</v>
      </c>
      <c r="V346" s="9">
        <f>[18]운전시간외!F343</f>
        <v>0</v>
      </c>
      <c r="W346" s="11">
        <f>[18]생산!F343</f>
        <v>0</v>
      </c>
      <c r="X346" s="11">
        <f>[18]생산!G343</f>
        <v>0</v>
      </c>
      <c r="Y346" s="11">
        <f>[18]생산!H343</f>
        <v>0</v>
      </c>
      <c r="Z346" s="11">
        <f>[18]생산!I343</f>
        <v>0</v>
      </c>
      <c r="AA346" s="11">
        <f>[18]생산!J343</f>
        <v>0</v>
      </c>
      <c r="AB346" s="11">
        <f>[18]생산!K343</f>
        <v>0</v>
      </c>
      <c r="AC346" s="11"/>
    </row>
    <row r="347" spans="1:29">
      <c r="A347" s="6">
        <v>46364</v>
      </c>
      <c r="B347" s="12">
        <f>'[18]key-in(LO)'!AA345</f>
        <v>0</v>
      </c>
      <c r="C347" s="12">
        <f>'[18]key-in(LO)'!AB345</f>
        <v>0</v>
      </c>
      <c r="D347" s="12">
        <f>'[18]key-in(LO)'!AC345</f>
        <v>0</v>
      </c>
      <c r="E347" s="12">
        <f>'[18]key-in(LO)'!AD345</f>
        <v>0</v>
      </c>
      <c r="F347" s="12">
        <f>'[18]key-in(LO)'!AE345</f>
        <v>0</v>
      </c>
      <c r="G347" s="115">
        <f>'[18]key-in(LO)'!AF345</f>
        <v>0</v>
      </c>
      <c r="H347" s="12">
        <f>'[18]key-in(LO)'!AG345</f>
        <v>0</v>
      </c>
      <c r="I347" s="12">
        <f>'[18]key-in(LO)'!AH345</f>
        <v>0</v>
      </c>
      <c r="J347" s="10">
        <f>'[18]key-in(ACO)'!$AR345</f>
        <v>0</v>
      </c>
      <c r="K347" s="10">
        <f>'[18]key-in(ACO)'!$AS345</f>
        <v>0</v>
      </c>
      <c r="L347" s="9">
        <f>'[18]key-in(ACO)'!$AV345</f>
        <v>0</v>
      </c>
      <c r="M347" s="10">
        <f>[18]생산!BA344</f>
        <v>0</v>
      </c>
      <c r="N347" s="10">
        <f>[18]생산!BB344</f>
        <v>0</v>
      </c>
      <c r="O347" s="10">
        <f>[18]생산!BC344</f>
        <v>0</v>
      </c>
      <c r="P347" s="10">
        <f>[18]생산!BD344</f>
        <v>0</v>
      </c>
      <c r="Q347" s="10">
        <f>[18]생산!BE344</f>
        <v>0</v>
      </c>
      <c r="R347" s="10">
        <f>[18]생산!BF344</f>
        <v>0</v>
      </c>
      <c r="S347" s="9">
        <f>[18]운전시간외!C344</f>
        <v>0</v>
      </c>
      <c r="T347" s="9">
        <f>[18]운전시간외!D344</f>
        <v>0</v>
      </c>
      <c r="U347" s="9">
        <f>[18]운전시간외!E344</f>
        <v>0</v>
      </c>
      <c r="V347" s="9">
        <f>[18]운전시간외!F344</f>
        <v>0</v>
      </c>
      <c r="W347" s="11">
        <f>[18]생산!F344</f>
        <v>0</v>
      </c>
      <c r="X347" s="11">
        <f>[18]생산!G344</f>
        <v>0</v>
      </c>
      <c r="Y347" s="11">
        <f>[18]생산!H344</f>
        <v>0</v>
      </c>
      <c r="Z347" s="11">
        <f>[18]생산!I344</f>
        <v>0</v>
      </c>
      <c r="AA347" s="11">
        <f>[18]생산!J344</f>
        <v>0</v>
      </c>
      <c r="AB347" s="11">
        <f>[18]생산!K344</f>
        <v>0</v>
      </c>
      <c r="AC347" s="11"/>
    </row>
    <row r="348" spans="1:29">
      <c r="A348" s="6">
        <v>46365</v>
      </c>
      <c r="B348" s="12">
        <f>'[18]key-in(LO)'!AA346</f>
        <v>0</v>
      </c>
      <c r="C348" s="12">
        <f>'[18]key-in(LO)'!AB346</f>
        <v>0</v>
      </c>
      <c r="D348" s="12">
        <f>'[18]key-in(LO)'!AC346</f>
        <v>0</v>
      </c>
      <c r="E348" s="12">
        <f>'[18]key-in(LO)'!AD346</f>
        <v>0</v>
      </c>
      <c r="F348" s="12">
        <f>'[18]key-in(LO)'!AE346</f>
        <v>0</v>
      </c>
      <c r="G348" s="115">
        <f>'[18]key-in(LO)'!AF346</f>
        <v>0</v>
      </c>
      <c r="H348" s="12">
        <f>'[18]key-in(LO)'!AG346</f>
        <v>0</v>
      </c>
      <c r="I348" s="12">
        <f>'[18]key-in(LO)'!AH346</f>
        <v>0</v>
      </c>
      <c r="J348" s="10">
        <f>'[18]key-in(ACO)'!$AR346</f>
        <v>0</v>
      </c>
      <c r="K348" s="10">
        <f>'[18]key-in(ACO)'!$AS346</f>
        <v>0</v>
      </c>
      <c r="L348" s="9">
        <f>'[18]key-in(ACO)'!$AV346</f>
        <v>0</v>
      </c>
      <c r="M348" s="10">
        <f>[18]생산!BA345</f>
        <v>0</v>
      </c>
      <c r="N348" s="10">
        <f>[18]생산!BB345</f>
        <v>0</v>
      </c>
      <c r="O348" s="10">
        <f>[18]생산!BC345</f>
        <v>0</v>
      </c>
      <c r="P348" s="10">
        <f>[18]생산!BD345</f>
        <v>0</v>
      </c>
      <c r="Q348" s="10">
        <f>[18]생산!BE345</f>
        <v>0</v>
      </c>
      <c r="R348" s="10">
        <f>[18]생산!BF345</f>
        <v>0</v>
      </c>
      <c r="S348" s="9">
        <f>[18]운전시간외!C345</f>
        <v>0</v>
      </c>
      <c r="T348" s="9">
        <f>[18]운전시간외!D345</f>
        <v>0</v>
      </c>
      <c r="U348" s="9">
        <f>[18]운전시간외!E345</f>
        <v>0</v>
      </c>
      <c r="V348" s="9">
        <f>[18]운전시간외!F345</f>
        <v>0</v>
      </c>
      <c r="W348" s="11">
        <f>[18]생산!F345</f>
        <v>0</v>
      </c>
      <c r="X348" s="11">
        <f>[18]생산!G345</f>
        <v>0</v>
      </c>
      <c r="Y348" s="11">
        <f>[18]생산!H345</f>
        <v>0</v>
      </c>
      <c r="Z348" s="11">
        <f>[18]생산!I345</f>
        <v>0</v>
      </c>
      <c r="AA348" s="11">
        <f>[18]생산!J345</f>
        <v>0</v>
      </c>
      <c r="AB348" s="11">
        <f>[18]생산!K345</f>
        <v>0</v>
      </c>
      <c r="AC348" s="11"/>
    </row>
    <row r="349" spans="1:29">
      <c r="A349" s="6">
        <v>46366</v>
      </c>
      <c r="B349" s="12">
        <f>'[18]key-in(LO)'!AA347</f>
        <v>0</v>
      </c>
      <c r="C349" s="12">
        <f>'[18]key-in(LO)'!AB347</f>
        <v>0</v>
      </c>
      <c r="D349" s="12">
        <f>'[18]key-in(LO)'!AC347</f>
        <v>0</v>
      </c>
      <c r="E349" s="12">
        <f>'[18]key-in(LO)'!AD347</f>
        <v>0</v>
      </c>
      <c r="F349" s="12">
        <f>'[18]key-in(LO)'!AE347</f>
        <v>0</v>
      </c>
      <c r="G349" s="115">
        <f>'[18]key-in(LO)'!AF347</f>
        <v>0</v>
      </c>
      <c r="H349" s="12">
        <f>'[18]key-in(LO)'!AG347</f>
        <v>0</v>
      </c>
      <c r="I349" s="12">
        <f>'[18]key-in(LO)'!AH347</f>
        <v>0</v>
      </c>
      <c r="J349" s="10">
        <f>'[18]key-in(ACO)'!$AR347</f>
        <v>0</v>
      </c>
      <c r="K349" s="10">
        <f>'[18]key-in(ACO)'!$AS347</f>
        <v>0</v>
      </c>
      <c r="L349" s="9">
        <f>'[18]key-in(ACO)'!$AV347</f>
        <v>0</v>
      </c>
      <c r="M349" s="10">
        <f>[18]생산!BA346</f>
        <v>0</v>
      </c>
      <c r="N349" s="10">
        <f>[18]생산!BB346</f>
        <v>0</v>
      </c>
      <c r="O349" s="10">
        <f>[18]생산!BC346</f>
        <v>0</v>
      </c>
      <c r="P349" s="10">
        <f>[18]생산!BD346</f>
        <v>0</v>
      </c>
      <c r="Q349" s="10">
        <f>[18]생산!BE346</f>
        <v>0</v>
      </c>
      <c r="R349" s="10">
        <f>[18]생산!BF346</f>
        <v>0</v>
      </c>
      <c r="S349" s="9">
        <f>[18]운전시간외!C346</f>
        <v>0</v>
      </c>
      <c r="T349" s="9">
        <f>[18]운전시간외!D346</f>
        <v>0</v>
      </c>
      <c r="U349" s="9">
        <f>[18]운전시간외!E346</f>
        <v>0</v>
      </c>
      <c r="V349" s="9">
        <f>[18]운전시간외!F346</f>
        <v>0</v>
      </c>
      <c r="W349" s="11">
        <f>[18]생산!F346</f>
        <v>0</v>
      </c>
      <c r="X349" s="11">
        <f>[18]생산!G346</f>
        <v>0</v>
      </c>
      <c r="Y349" s="11">
        <f>[18]생산!H346</f>
        <v>0</v>
      </c>
      <c r="Z349" s="11">
        <f>[18]생산!I346</f>
        <v>0</v>
      </c>
      <c r="AA349" s="11">
        <f>[18]생산!J346</f>
        <v>0</v>
      </c>
      <c r="AB349" s="11">
        <f>[18]생산!K346</f>
        <v>0</v>
      </c>
      <c r="AC349" s="11"/>
    </row>
    <row r="350" spans="1:29">
      <c r="A350" s="6">
        <v>46367</v>
      </c>
      <c r="B350" s="12">
        <f>'[18]key-in(LO)'!AA348</f>
        <v>0</v>
      </c>
      <c r="C350" s="12">
        <f>'[18]key-in(LO)'!AB348</f>
        <v>0</v>
      </c>
      <c r="D350" s="12">
        <f>'[18]key-in(LO)'!AC348</f>
        <v>0</v>
      </c>
      <c r="E350" s="12">
        <f>'[18]key-in(LO)'!AD348</f>
        <v>0</v>
      </c>
      <c r="F350" s="12">
        <f>'[18]key-in(LO)'!AE348</f>
        <v>0</v>
      </c>
      <c r="G350" s="115">
        <f>'[18]key-in(LO)'!AF348</f>
        <v>0</v>
      </c>
      <c r="H350" s="12">
        <f>'[18]key-in(LO)'!AG348</f>
        <v>0</v>
      </c>
      <c r="I350" s="12">
        <f>'[18]key-in(LO)'!AH348</f>
        <v>0</v>
      </c>
      <c r="J350" s="10">
        <f>'[18]key-in(ACO)'!$AR348</f>
        <v>0</v>
      </c>
      <c r="K350" s="10">
        <f>'[18]key-in(ACO)'!$AS348</f>
        <v>0</v>
      </c>
      <c r="L350" s="9">
        <f>'[18]key-in(ACO)'!$AV348</f>
        <v>0</v>
      </c>
      <c r="M350" s="10">
        <f>[18]생산!BA347</f>
        <v>0</v>
      </c>
      <c r="N350" s="10">
        <f>[18]생산!BB347</f>
        <v>0</v>
      </c>
      <c r="O350" s="10">
        <f>[18]생산!BC347</f>
        <v>0</v>
      </c>
      <c r="P350" s="10">
        <f>[18]생산!BD347</f>
        <v>0</v>
      </c>
      <c r="Q350" s="10">
        <f>[18]생산!BE347</f>
        <v>0</v>
      </c>
      <c r="R350" s="10">
        <f>[18]생산!BF347</f>
        <v>0</v>
      </c>
      <c r="S350" s="9">
        <f>[18]운전시간외!C347</f>
        <v>0</v>
      </c>
      <c r="T350" s="9">
        <f>[18]운전시간외!D347</f>
        <v>0</v>
      </c>
      <c r="U350" s="9">
        <f>[18]운전시간외!E347</f>
        <v>0</v>
      </c>
      <c r="V350" s="9">
        <f>[18]운전시간외!F347</f>
        <v>0</v>
      </c>
      <c r="W350" s="11">
        <f>[18]생산!F347</f>
        <v>0</v>
      </c>
      <c r="X350" s="11">
        <f>[18]생산!G347</f>
        <v>0</v>
      </c>
      <c r="Y350" s="11">
        <f>[18]생산!H347</f>
        <v>0</v>
      </c>
      <c r="Z350" s="11">
        <f>[18]생산!I347</f>
        <v>0</v>
      </c>
      <c r="AA350" s="11">
        <f>[18]생산!J347</f>
        <v>0</v>
      </c>
      <c r="AB350" s="11">
        <f>[18]생산!K347</f>
        <v>0</v>
      </c>
      <c r="AC350" s="11"/>
    </row>
    <row r="351" spans="1:29">
      <c r="A351" s="6">
        <v>46368</v>
      </c>
      <c r="B351" s="12">
        <f>'[18]key-in(LO)'!AA349</f>
        <v>0</v>
      </c>
      <c r="C351" s="12">
        <f>'[18]key-in(LO)'!AB349</f>
        <v>0</v>
      </c>
      <c r="D351" s="12">
        <f>'[18]key-in(LO)'!AC349</f>
        <v>0</v>
      </c>
      <c r="E351" s="12">
        <f>'[18]key-in(LO)'!AD349</f>
        <v>0</v>
      </c>
      <c r="F351" s="12">
        <f>'[18]key-in(LO)'!AE349</f>
        <v>0</v>
      </c>
      <c r="G351" s="115">
        <f>'[18]key-in(LO)'!AF349</f>
        <v>0</v>
      </c>
      <c r="H351" s="12">
        <f>'[18]key-in(LO)'!AG349</f>
        <v>0</v>
      </c>
      <c r="I351" s="12">
        <f>'[18]key-in(LO)'!AH349</f>
        <v>0</v>
      </c>
      <c r="J351" s="10">
        <f>'[18]key-in(ACO)'!$AR349</f>
        <v>0</v>
      </c>
      <c r="K351" s="10">
        <f>'[18]key-in(ACO)'!$AS349</f>
        <v>0</v>
      </c>
      <c r="L351" s="9">
        <f>'[18]key-in(ACO)'!$AV349</f>
        <v>0</v>
      </c>
      <c r="M351" s="10">
        <f>[18]생산!BA348</f>
        <v>0</v>
      </c>
      <c r="N351" s="10">
        <f>[18]생산!BB348</f>
        <v>0</v>
      </c>
      <c r="O351" s="10">
        <f>[18]생산!BC348</f>
        <v>0</v>
      </c>
      <c r="P351" s="10">
        <f>[18]생산!BD348</f>
        <v>0</v>
      </c>
      <c r="Q351" s="10">
        <f>[18]생산!BE348</f>
        <v>0</v>
      </c>
      <c r="R351" s="10">
        <f>[18]생산!BF348</f>
        <v>0</v>
      </c>
      <c r="S351" s="9">
        <f>[18]운전시간외!C348</f>
        <v>0</v>
      </c>
      <c r="T351" s="9">
        <f>[18]운전시간외!D348</f>
        <v>0</v>
      </c>
      <c r="U351" s="9">
        <f>[18]운전시간외!E348</f>
        <v>0</v>
      </c>
      <c r="V351" s="9">
        <f>[18]운전시간외!F348</f>
        <v>0</v>
      </c>
      <c r="W351" s="11">
        <f>[18]생산!F348</f>
        <v>0</v>
      </c>
      <c r="X351" s="11">
        <f>[18]생산!G348</f>
        <v>0</v>
      </c>
      <c r="Y351" s="11">
        <f>[18]생산!H348</f>
        <v>0</v>
      </c>
      <c r="Z351" s="11">
        <f>[18]생산!I348</f>
        <v>0</v>
      </c>
      <c r="AA351" s="11">
        <f>[18]생산!J348</f>
        <v>0</v>
      </c>
      <c r="AB351" s="11">
        <f>[18]생산!K348</f>
        <v>0</v>
      </c>
      <c r="AC351" s="11"/>
    </row>
    <row r="352" spans="1:29">
      <c r="A352" s="6">
        <v>46369</v>
      </c>
      <c r="B352" s="12">
        <f>'[18]key-in(LO)'!AA350</f>
        <v>0</v>
      </c>
      <c r="C352" s="12">
        <f>'[18]key-in(LO)'!AB350</f>
        <v>0</v>
      </c>
      <c r="D352" s="12">
        <f>'[18]key-in(LO)'!AC350</f>
        <v>0</v>
      </c>
      <c r="E352" s="12">
        <f>'[18]key-in(LO)'!AD350</f>
        <v>0</v>
      </c>
      <c r="F352" s="12">
        <f>'[18]key-in(LO)'!AE350</f>
        <v>0</v>
      </c>
      <c r="G352" s="115">
        <f>'[18]key-in(LO)'!AF350</f>
        <v>0</v>
      </c>
      <c r="H352" s="12">
        <f>'[18]key-in(LO)'!AG350</f>
        <v>0</v>
      </c>
      <c r="I352" s="12">
        <f>'[18]key-in(LO)'!AH350</f>
        <v>0</v>
      </c>
      <c r="J352" s="10">
        <f>'[18]key-in(ACO)'!$AR350</f>
        <v>0</v>
      </c>
      <c r="K352" s="10">
        <f>'[18]key-in(ACO)'!$AS350</f>
        <v>0</v>
      </c>
      <c r="L352" s="9">
        <f>'[18]key-in(ACO)'!$AV350</f>
        <v>0</v>
      </c>
      <c r="M352" s="10">
        <f>[18]생산!BA349</f>
        <v>0</v>
      </c>
      <c r="N352" s="10">
        <f>[18]생산!BB349</f>
        <v>0</v>
      </c>
      <c r="O352" s="10">
        <f>[18]생산!BC349</f>
        <v>0</v>
      </c>
      <c r="P352" s="10">
        <f>[18]생산!BD349</f>
        <v>0</v>
      </c>
      <c r="Q352" s="10">
        <f>[18]생산!BE349</f>
        <v>0</v>
      </c>
      <c r="R352" s="10">
        <f>[18]생산!BF349</f>
        <v>0</v>
      </c>
      <c r="S352" s="9">
        <f>[18]운전시간외!C349</f>
        <v>0</v>
      </c>
      <c r="T352" s="9">
        <f>[18]운전시간외!D349</f>
        <v>0</v>
      </c>
      <c r="U352" s="9">
        <f>[18]운전시간외!E349</f>
        <v>0</v>
      </c>
      <c r="V352" s="9">
        <f>[18]운전시간외!F349</f>
        <v>0</v>
      </c>
      <c r="W352" s="11">
        <f>[18]생산!F349</f>
        <v>0</v>
      </c>
      <c r="X352" s="11">
        <f>[18]생산!G349</f>
        <v>0</v>
      </c>
      <c r="Y352" s="11">
        <f>[18]생산!H349</f>
        <v>0</v>
      </c>
      <c r="Z352" s="11">
        <f>[18]생산!I349</f>
        <v>0</v>
      </c>
      <c r="AA352" s="11">
        <f>[18]생산!J349</f>
        <v>0</v>
      </c>
      <c r="AB352" s="11">
        <f>[18]생산!K349</f>
        <v>0</v>
      </c>
      <c r="AC352" s="11"/>
    </row>
    <row r="353" spans="1:29">
      <c r="A353" s="6">
        <v>46370</v>
      </c>
      <c r="B353" s="12">
        <f>'[18]key-in(LO)'!AA351</f>
        <v>0</v>
      </c>
      <c r="C353" s="12">
        <f>'[18]key-in(LO)'!AB351</f>
        <v>0</v>
      </c>
      <c r="D353" s="12">
        <f>'[18]key-in(LO)'!AC351</f>
        <v>0</v>
      </c>
      <c r="E353" s="12">
        <f>'[18]key-in(LO)'!AD351</f>
        <v>0</v>
      </c>
      <c r="F353" s="12">
        <f>'[18]key-in(LO)'!AE351</f>
        <v>0</v>
      </c>
      <c r="G353" s="115">
        <f>'[18]key-in(LO)'!AF351</f>
        <v>0</v>
      </c>
      <c r="H353" s="12">
        <f>'[18]key-in(LO)'!AG351</f>
        <v>0</v>
      </c>
      <c r="I353" s="12">
        <f>'[18]key-in(LO)'!AH351</f>
        <v>0</v>
      </c>
      <c r="J353" s="10">
        <f>'[18]key-in(ACO)'!$AR351</f>
        <v>0</v>
      </c>
      <c r="K353" s="10">
        <f>'[18]key-in(ACO)'!$AS351</f>
        <v>0</v>
      </c>
      <c r="L353" s="9">
        <f>'[18]key-in(ACO)'!$AV351</f>
        <v>0</v>
      </c>
      <c r="M353" s="10">
        <f>[18]생산!BA350</f>
        <v>0</v>
      </c>
      <c r="N353" s="10">
        <f>[18]생산!BB350</f>
        <v>0</v>
      </c>
      <c r="O353" s="10">
        <f>[18]생산!BC350</f>
        <v>0</v>
      </c>
      <c r="P353" s="10">
        <f>[18]생산!BD350</f>
        <v>0</v>
      </c>
      <c r="Q353" s="10">
        <f>[18]생산!BE350</f>
        <v>0</v>
      </c>
      <c r="R353" s="10">
        <f>[18]생산!BF350</f>
        <v>0</v>
      </c>
      <c r="S353" s="9">
        <f>[18]운전시간외!C350</f>
        <v>0</v>
      </c>
      <c r="T353" s="9">
        <f>[18]운전시간외!D350</f>
        <v>0</v>
      </c>
      <c r="U353" s="9">
        <f>[18]운전시간외!E350</f>
        <v>0</v>
      </c>
      <c r="V353" s="9">
        <f>[18]운전시간외!F350</f>
        <v>0</v>
      </c>
      <c r="W353" s="11">
        <f>[18]생산!F350</f>
        <v>0</v>
      </c>
      <c r="X353" s="11">
        <f>[18]생산!G350</f>
        <v>0</v>
      </c>
      <c r="Y353" s="11">
        <f>[18]생산!H350</f>
        <v>0</v>
      </c>
      <c r="Z353" s="11">
        <f>[18]생산!I350</f>
        <v>0</v>
      </c>
      <c r="AA353" s="11">
        <f>[18]생산!J350</f>
        <v>0</v>
      </c>
      <c r="AB353" s="11">
        <f>[18]생산!K350</f>
        <v>0</v>
      </c>
      <c r="AC353" s="11"/>
    </row>
    <row r="354" spans="1:29">
      <c r="A354" s="6">
        <v>46371</v>
      </c>
      <c r="B354" s="12">
        <f>'[18]key-in(LO)'!AA352</f>
        <v>0</v>
      </c>
      <c r="C354" s="12">
        <f>'[18]key-in(LO)'!AB352</f>
        <v>0</v>
      </c>
      <c r="D354" s="12">
        <f>'[18]key-in(LO)'!AC352</f>
        <v>0</v>
      </c>
      <c r="E354" s="12">
        <f>'[18]key-in(LO)'!AD352</f>
        <v>0</v>
      </c>
      <c r="F354" s="12">
        <f>'[18]key-in(LO)'!AE352</f>
        <v>0</v>
      </c>
      <c r="G354" s="115">
        <f>'[18]key-in(LO)'!AF352</f>
        <v>0</v>
      </c>
      <c r="H354" s="12">
        <f>'[18]key-in(LO)'!AG352</f>
        <v>0</v>
      </c>
      <c r="I354" s="12">
        <f>'[18]key-in(LO)'!AH352</f>
        <v>0</v>
      </c>
      <c r="J354" s="10">
        <f>'[18]key-in(ACO)'!$AR352</f>
        <v>0</v>
      </c>
      <c r="K354" s="10">
        <f>'[18]key-in(ACO)'!$AS352</f>
        <v>0</v>
      </c>
      <c r="L354" s="9">
        <f>'[18]key-in(ACO)'!$AV352</f>
        <v>0</v>
      </c>
      <c r="M354" s="10">
        <f>[18]생산!BA351</f>
        <v>0</v>
      </c>
      <c r="N354" s="10">
        <f>[18]생산!BB351</f>
        <v>0</v>
      </c>
      <c r="O354" s="10">
        <f>[18]생산!BC351</f>
        <v>0</v>
      </c>
      <c r="P354" s="10">
        <f>[18]생산!BD351</f>
        <v>0</v>
      </c>
      <c r="Q354" s="10">
        <f>[18]생산!BE351</f>
        <v>0</v>
      </c>
      <c r="R354" s="10">
        <f>[18]생산!BF351</f>
        <v>0</v>
      </c>
      <c r="S354" s="9">
        <f>[18]운전시간외!C351</f>
        <v>0</v>
      </c>
      <c r="T354" s="9">
        <f>[18]운전시간외!D351</f>
        <v>0</v>
      </c>
      <c r="U354" s="9">
        <f>[18]운전시간외!E351</f>
        <v>0</v>
      </c>
      <c r="V354" s="9">
        <f>[18]운전시간외!F351</f>
        <v>0</v>
      </c>
      <c r="W354" s="11">
        <f>[18]생산!F351</f>
        <v>0</v>
      </c>
      <c r="X354" s="11">
        <f>[18]생산!G351</f>
        <v>0</v>
      </c>
      <c r="Y354" s="11">
        <f>[18]생산!H351</f>
        <v>0</v>
      </c>
      <c r="Z354" s="11">
        <f>[18]생산!I351</f>
        <v>0</v>
      </c>
      <c r="AA354" s="11">
        <f>[18]생산!J351</f>
        <v>0</v>
      </c>
      <c r="AB354" s="11">
        <f>[18]생산!K351</f>
        <v>0</v>
      </c>
      <c r="AC354" s="11"/>
    </row>
    <row r="355" spans="1:29">
      <c r="A355" s="6">
        <v>46372</v>
      </c>
      <c r="B355" s="12">
        <f>'[18]key-in(LO)'!AA353</f>
        <v>0</v>
      </c>
      <c r="C355" s="12">
        <f>'[18]key-in(LO)'!AB353</f>
        <v>0</v>
      </c>
      <c r="D355" s="12">
        <f>'[18]key-in(LO)'!AC353</f>
        <v>0</v>
      </c>
      <c r="E355" s="12">
        <f>'[18]key-in(LO)'!AD353</f>
        <v>0</v>
      </c>
      <c r="F355" s="12">
        <f>'[18]key-in(LO)'!AE353</f>
        <v>0</v>
      </c>
      <c r="G355" s="115">
        <f>'[18]key-in(LO)'!AF353</f>
        <v>0</v>
      </c>
      <c r="H355" s="12">
        <f>'[18]key-in(LO)'!AG353</f>
        <v>0</v>
      </c>
      <c r="I355" s="12">
        <f>'[18]key-in(LO)'!AH353</f>
        <v>0</v>
      </c>
      <c r="J355" s="10">
        <f>'[18]key-in(ACO)'!$AR353</f>
        <v>0</v>
      </c>
      <c r="K355" s="10">
        <f>'[18]key-in(ACO)'!$AS353</f>
        <v>0</v>
      </c>
      <c r="L355" s="9">
        <f>'[18]key-in(ACO)'!$AV353</f>
        <v>0</v>
      </c>
      <c r="M355" s="10">
        <f>[18]생산!BA352</f>
        <v>0</v>
      </c>
      <c r="N355" s="10">
        <f>[18]생산!BB352</f>
        <v>0</v>
      </c>
      <c r="O355" s="10">
        <f>[18]생산!BC352</f>
        <v>0</v>
      </c>
      <c r="P355" s="10">
        <f>[18]생산!BD352</f>
        <v>0</v>
      </c>
      <c r="Q355" s="10">
        <f>[18]생산!BE352</f>
        <v>0</v>
      </c>
      <c r="R355" s="10">
        <f>[18]생산!BF352</f>
        <v>0</v>
      </c>
      <c r="S355" s="9">
        <f>[18]운전시간외!C352</f>
        <v>0</v>
      </c>
      <c r="T355" s="9">
        <f>[18]운전시간외!D352</f>
        <v>0</v>
      </c>
      <c r="U355" s="9">
        <f>[18]운전시간외!E352</f>
        <v>0</v>
      </c>
      <c r="V355" s="9">
        <f>[18]운전시간외!F352</f>
        <v>0</v>
      </c>
      <c r="W355" s="11">
        <f>[18]생산!F352</f>
        <v>0</v>
      </c>
      <c r="X355" s="11">
        <f>[18]생산!G352</f>
        <v>0</v>
      </c>
      <c r="Y355" s="11">
        <f>[18]생산!H352</f>
        <v>0</v>
      </c>
      <c r="Z355" s="11">
        <f>[18]생산!I352</f>
        <v>0</v>
      </c>
      <c r="AA355" s="11">
        <f>[18]생산!J352</f>
        <v>0</v>
      </c>
      <c r="AB355" s="11">
        <f>[18]생산!K352</f>
        <v>0</v>
      </c>
      <c r="AC355" s="11"/>
    </row>
    <row r="356" spans="1:29">
      <c r="A356" s="6">
        <v>46373</v>
      </c>
      <c r="B356" s="12">
        <f>'[18]key-in(LO)'!AA354</f>
        <v>0</v>
      </c>
      <c r="C356" s="12">
        <f>'[18]key-in(LO)'!AB354</f>
        <v>0</v>
      </c>
      <c r="D356" s="12">
        <f>'[18]key-in(LO)'!AC354</f>
        <v>0</v>
      </c>
      <c r="E356" s="12">
        <f>'[18]key-in(LO)'!AD354</f>
        <v>0</v>
      </c>
      <c r="F356" s="12">
        <f>'[18]key-in(LO)'!AE354</f>
        <v>0</v>
      </c>
      <c r="G356" s="115">
        <f>'[18]key-in(LO)'!AF354</f>
        <v>0</v>
      </c>
      <c r="H356" s="12">
        <f>'[18]key-in(LO)'!AG354</f>
        <v>0</v>
      </c>
      <c r="I356" s="12">
        <f>'[18]key-in(LO)'!AH354</f>
        <v>0</v>
      </c>
      <c r="J356" s="10">
        <f>'[18]key-in(ACO)'!$AR354</f>
        <v>0</v>
      </c>
      <c r="K356" s="10">
        <f>'[18]key-in(ACO)'!$AS354</f>
        <v>0</v>
      </c>
      <c r="L356" s="9">
        <f>'[18]key-in(ACO)'!$AV354</f>
        <v>0</v>
      </c>
      <c r="M356" s="10">
        <f>[18]생산!BA353</f>
        <v>0</v>
      </c>
      <c r="N356" s="10">
        <f>[18]생산!BB353</f>
        <v>0</v>
      </c>
      <c r="O356" s="10">
        <f>[18]생산!BC353</f>
        <v>0</v>
      </c>
      <c r="P356" s="10">
        <f>[18]생산!BD353</f>
        <v>0</v>
      </c>
      <c r="Q356" s="10">
        <f>[18]생산!BE353</f>
        <v>0</v>
      </c>
      <c r="R356" s="10">
        <f>[18]생산!BF353</f>
        <v>0</v>
      </c>
      <c r="S356" s="9">
        <f>[18]운전시간외!C353</f>
        <v>0</v>
      </c>
      <c r="T356" s="9">
        <f>[18]운전시간외!D353</f>
        <v>0</v>
      </c>
      <c r="U356" s="9">
        <f>[18]운전시간외!E353</f>
        <v>0</v>
      </c>
      <c r="V356" s="9">
        <f>[18]운전시간외!F353</f>
        <v>0</v>
      </c>
      <c r="W356" s="11">
        <f>[18]생산!F353</f>
        <v>0</v>
      </c>
      <c r="X356" s="11">
        <f>[18]생산!G353</f>
        <v>0</v>
      </c>
      <c r="Y356" s="11">
        <f>[18]생산!H353</f>
        <v>0</v>
      </c>
      <c r="Z356" s="11">
        <f>[18]생산!I353</f>
        <v>0</v>
      </c>
      <c r="AA356" s="11">
        <f>[18]생산!J353</f>
        <v>0</v>
      </c>
      <c r="AB356" s="11">
        <f>[18]생산!K353</f>
        <v>0</v>
      </c>
      <c r="AC356" s="11"/>
    </row>
    <row r="357" spans="1:29">
      <c r="A357" s="6">
        <v>46374</v>
      </c>
      <c r="B357" s="12">
        <f>'[18]key-in(LO)'!AA355</f>
        <v>0</v>
      </c>
      <c r="C357" s="12">
        <f>'[18]key-in(LO)'!AB355</f>
        <v>0</v>
      </c>
      <c r="D357" s="12">
        <f>'[18]key-in(LO)'!AC355</f>
        <v>0</v>
      </c>
      <c r="E357" s="12">
        <f>'[18]key-in(LO)'!AD355</f>
        <v>0</v>
      </c>
      <c r="F357" s="12">
        <f>'[18]key-in(LO)'!AE355</f>
        <v>0</v>
      </c>
      <c r="G357" s="115">
        <f>'[18]key-in(LO)'!AF355</f>
        <v>0</v>
      </c>
      <c r="H357" s="12">
        <f>'[18]key-in(LO)'!AG355</f>
        <v>0</v>
      </c>
      <c r="I357" s="12">
        <f>'[18]key-in(LO)'!AH355</f>
        <v>0</v>
      </c>
      <c r="J357" s="10">
        <f>'[18]key-in(ACO)'!$AR355</f>
        <v>0</v>
      </c>
      <c r="K357" s="10">
        <f>'[18]key-in(ACO)'!$AS355</f>
        <v>0</v>
      </c>
      <c r="L357" s="9">
        <f>'[18]key-in(ACO)'!$AV355</f>
        <v>0</v>
      </c>
      <c r="M357" s="10">
        <f>[18]생산!BA354</f>
        <v>0</v>
      </c>
      <c r="N357" s="10">
        <f>[18]생산!BB354</f>
        <v>0</v>
      </c>
      <c r="O357" s="10">
        <f>[18]생산!BC354</f>
        <v>0</v>
      </c>
      <c r="P357" s="10">
        <f>[18]생산!BD354</f>
        <v>0</v>
      </c>
      <c r="Q357" s="10">
        <f>[18]생산!BE354</f>
        <v>0</v>
      </c>
      <c r="R357" s="10">
        <f>[18]생산!BF354</f>
        <v>0</v>
      </c>
      <c r="S357" s="9">
        <f>[18]운전시간외!C354</f>
        <v>0</v>
      </c>
      <c r="T357" s="9">
        <f>[18]운전시간외!D354</f>
        <v>0</v>
      </c>
      <c r="U357" s="9">
        <f>[18]운전시간외!E354</f>
        <v>0</v>
      </c>
      <c r="V357" s="9">
        <f>[18]운전시간외!F354</f>
        <v>0</v>
      </c>
      <c r="W357" s="11">
        <f>[18]생산!F354</f>
        <v>0</v>
      </c>
      <c r="X357" s="11">
        <f>[18]생산!G354</f>
        <v>0</v>
      </c>
      <c r="Y357" s="11">
        <f>[18]생산!H354</f>
        <v>0</v>
      </c>
      <c r="Z357" s="11">
        <f>[18]생산!I354</f>
        <v>0</v>
      </c>
      <c r="AA357" s="11">
        <f>[18]생산!J354</f>
        <v>0</v>
      </c>
      <c r="AB357" s="11">
        <f>[18]생산!K354</f>
        <v>0</v>
      </c>
      <c r="AC357" s="11"/>
    </row>
    <row r="358" spans="1:29">
      <c r="A358" s="6">
        <v>46375</v>
      </c>
      <c r="B358" s="12">
        <f>'[18]key-in(LO)'!AA356</f>
        <v>0</v>
      </c>
      <c r="C358" s="12">
        <f>'[18]key-in(LO)'!AB356</f>
        <v>0</v>
      </c>
      <c r="D358" s="12">
        <f>'[18]key-in(LO)'!AC356</f>
        <v>0</v>
      </c>
      <c r="E358" s="12">
        <f>'[18]key-in(LO)'!AD356</f>
        <v>0</v>
      </c>
      <c r="F358" s="12">
        <f>'[18]key-in(LO)'!AE356</f>
        <v>0</v>
      </c>
      <c r="G358" s="115">
        <f>'[18]key-in(LO)'!AF356</f>
        <v>0</v>
      </c>
      <c r="H358" s="12">
        <f>'[18]key-in(LO)'!AG356</f>
        <v>0</v>
      </c>
      <c r="I358" s="12">
        <f>'[18]key-in(LO)'!AH356</f>
        <v>0</v>
      </c>
      <c r="J358" s="10">
        <f>'[18]key-in(ACO)'!$AR356</f>
        <v>0</v>
      </c>
      <c r="K358" s="10">
        <f>'[18]key-in(ACO)'!$AS356</f>
        <v>0</v>
      </c>
      <c r="L358" s="9">
        <f>'[18]key-in(ACO)'!$AV356</f>
        <v>0</v>
      </c>
      <c r="M358" s="10">
        <f>[18]생산!BA355</f>
        <v>0</v>
      </c>
      <c r="N358" s="10">
        <f>[18]생산!BB355</f>
        <v>0</v>
      </c>
      <c r="O358" s="10">
        <f>[18]생산!BC355</f>
        <v>0</v>
      </c>
      <c r="P358" s="10">
        <f>[18]생산!BD355</f>
        <v>0</v>
      </c>
      <c r="Q358" s="10">
        <f>[18]생산!BE355</f>
        <v>0</v>
      </c>
      <c r="R358" s="10">
        <f>[18]생산!BF355</f>
        <v>0</v>
      </c>
      <c r="S358" s="9">
        <f>[18]운전시간외!C355</f>
        <v>0</v>
      </c>
      <c r="T358" s="9">
        <f>[18]운전시간외!D355</f>
        <v>0</v>
      </c>
      <c r="U358" s="9">
        <f>[18]운전시간외!E355</f>
        <v>0</v>
      </c>
      <c r="V358" s="9">
        <f>[18]운전시간외!F355</f>
        <v>0</v>
      </c>
      <c r="W358" s="11">
        <f>[18]생산!F355</f>
        <v>0</v>
      </c>
      <c r="X358" s="11">
        <f>[18]생산!G355</f>
        <v>0</v>
      </c>
      <c r="Y358" s="11">
        <f>[18]생산!H355</f>
        <v>0</v>
      </c>
      <c r="Z358" s="11">
        <f>[18]생산!I355</f>
        <v>0</v>
      </c>
      <c r="AA358" s="11">
        <f>[18]생산!J355</f>
        <v>0</v>
      </c>
      <c r="AB358" s="11">
        <f>[18]생산!K355</f>
        <v>0</v>
      </c>
      <c r="AC358" s="11"/>
    </row>
    <row r="359" spans="1:29">
      <c r="A359" s="6">
        <v>46376</v>
      </c>
      <c r="B359" s="12">
        <f>'[18]key-in(LO)'!AA357</f>
        <v>0</v>
      </c>
      <c r="C359" s="12">
        <f>'[18]key-in(LO)'!AB357</f>
        <v>0</v>
      </c>
      <c r="D359" s="12">
        <f>'[18]key-in(LO)'!AC357</f>
        <v>0</v>
      </c>
      <c r="E359" s="12">
        <f>'[18]key-in(LO)'!AD357</f>
        <v>0</v>
      </c>
      <c r="F359" s="12">
        <f>'[18]key-in(LO)'!AE357</f>
        <v>0</v>
      </c>
      <c r="G359" s="115">
        <f>'[18]key-in(LO)'!AF357</f>
        <v>0</v>
      </c>
      <c r="H359" s="12">
        <f>'[18]key-in(LO)'!AG357</f>
        <v>0</v>
      </c>
      <c r="I359" s="12">
        <f>'[18]key-in(LO)'!AH357</f>
        <v>0</v>
      </c>
      <c r="J359" s="10">
        <f>'[18]key-in(ACO)'!$AR357</f>
        <v>0</v>
      </c>
      <c r="K359" s="10">
        <f>'[18]key-in(ACO)'!$AS357</f>
        <v>0</v>
      </c>
      <c r="L359" s="9">
        <f>'[18]key-in(ACO)'!$AV357</f>
        <v>0</v>
      </c>
      <c r="M359" s="10">
        <f>[18]생산!BA356</f>
        <v>0</v>
      </c>
      <c r="N359" s="10">
        <f>[18]생산!BB356</f>
        <v>0</v>
      </c>
      <c r="O359" s="10">
        <f>[18]생산!BC356</f>
        <v>0</v>
      </c>
      <c r="P359" s="10">
        <f>[18]생산!BD356</f>
        <v>0</v>
      </c>
      <c r="Q359" s="10">
        <f>[18]생산!BE356</f>
        <v>0</v>
      </c>
      <c r="R359" s="10">
        <f>[18]생산!BF356</f>
        <v>0</v>
      </c>
      <c r="S359" s="9">
        <f>[18]운전시간외!C356</f>
        <v>0</v>
      </c>
      <c r="T359" s="9">
        <f>[18]운전시간외!D356</f>
        <v>0</v>
      </c>
      <c r="U359" s="9">
        <f>[18]운전시간외!E356</f>
        <v>0</v>
      </c>
      <c r="V359" s="9">
        <f>[18]운전시간외!F356</f>
        <v>0</v>
      </c>
      <c r="W359" s="11">
        <f>[18]생산!F356</f>
        <v>0</v>
      </c>
      <c r="X359" s="11">
        <f>[18]생산!G356</f>
        <v>0</v>
      </c>
      <c r="Y359" s="11">
        <f>[18]생산!H356</f>
        <v>0</v>
      </c>
      <c r="Z359" s="11">
        <f>[18]생산!I356</f>
        <v>0</v>
      </c>
      <c r="AA359" s="11">
        <f>[18]생산!J356</f>
        <v>0</v>
      </c>
      <c r="AB359" s="11">
        <f>[18]생산!K356</f>
        <v>0</v>
      </c>
      <c r="AC359" s="11"/>
    </row>
    <row r="360" spans="1:29">
      <c r="A360" s="6">
        <v>46377</v>
      </c>
      <c r="B360" s="12">
        <f>'[18]key-in(LO)'!AA358</f>
        <v>0</v>
      </c>
      <c r="C360" s="12">
        <f>'[18]key-in(LO)'!AB358</f>
        <v>0</v>
      </c>
      <c r="D360" s="12">
        <f>'[18]key-in(LO)'!AC358</f>
        <v>0</v>
      </c>
      <c r="E360" s="12">
        <f>'[18]key-in(LO)'!AD358</f>
        <v>0</v>
      </c>
      <c r="F360" s="12">
        <f>'[18]key-in(LO)'!AE358</f>
        <v>0</v>
      </c>
      <c r="G360" s="115">
        <f>'[18]key-in(LO)'!AF358</f>
        <v>0</v>
      </c>
      <c r="H360" s="12">
        <f>'[18]key-in(LO)'!AG358</f>
        <v>0</v>
      </c>
      <c r="I360" s="12">
        <f>'[18]key-in(LO)'!AH358</f>
        <v>0</v>
      </c>
      <c r="J360" s="10">
        <f>'[18]key-in(ACO)'!$AR358</f>
        <v>0</v>
      </c>
      <c r="K360" s="10">
        <f>'[18]key-in(ACO)'!$AS358</f>
        <v>0</v>
      </c>
      <c r="L360" s="9">
        <f>'[18]key-in(ACO)'!$AV358</f>
        <v>0</v>
      </c>
      <c r="M360" s="10">
        <f>[18]생산!BA357</f>
        <v>0</v>
      </c>
      <c r="N360" s="10">
        <f>[18]생산!BB357</f>
        <v>0</v>
      </c>
      <c r="O360" s="10">
        <f>[18]생산!BC357</f>
        <v>0</v>
      </c>
      <c r="P360" s="10">
        <f>[18]생산!BD357</f>
        <v>0</v>
      </c>
      <c r="Q360" s="10">
        <f>[18]생산!BE357</f>
        <v>0</v>
      </c>
      <c r="R360" s="10">
        <f>[18]생산!BF357</f>
        <v>0</v>
      </c>
      <c r="S360" s="9">
        <f>[18]운전시간외!C357</f>
        <v>0</v>
      </c>
      <c r="T360" s="9">
        <f>[18]운전시간외!D357</f>
        <v>0</v>
      </c>
      <c r="U360" s="9">
        <f>[18]운전시간외!E357</f>
        <v>0</v>
      </c>
      <c r="V360" s="9">
        <f>[18]운전시간외!F357</f>
        <v>0</v>
      </c>
      <c r="W360" s="11">
        <f>[18]생산!F357</f>
        <v>0</v>
      </c>
      <c r="X360" s="11">
        <f>[18]생산!G357</f>
        <v>0</v>
      </c>
      <c r="Y360" s="11">
        <f>[18]생산!H357</f>
        <v>0</v>
      </c>
      <c r="Z360" s="11">
        <f>[18]생산!I357</f>
        <v>0</v>
      </c>
      <c r="AA360" s="11">
        <f>[18]생산!J357</f>
        <v>0</v>
      </c>
      <c r="AB360" s="11">
        <f>[18]생산!K357</f>
        <v>0</v>
      </c>
      <c r="AC360" s="11"/>
    </row>
    <row r="361" spans="1:29">
      <c r="A361" s="6">
        <v>46378</v>
      </c>
      <c r="B361" s="12">
        <f>'[18]key-in(LO)'!AA359</f>
        <v>0</v>
      </c>
      <c r="C361" s="12">
        <f>'[18]key-in(LO)'!AB359</f>
        <v>0</v>
      </c>
      <c r="D361" s="12">
        <f>'[18]key-in(LO)'!AC359</f>
        <v>0</v>
      </c>
      <c r="E361" s="12">
        <f>'[18]key-in(LO)'!AD359</f>
        <v>0</v>
      </c>
      <c r="F361" s="12">
        <f>'[18]key-in(LO)'!AE359</f>
        <v>0</v>
      </c>
      <c r="G361" s="115">
        <f>'[18]key-in(LO)'!AF359</f>
        <v>0</v>
      </c>
      <c r="H361" s="12">
        <f>'[18]key-in(LO)'!AG359</f>
        <v>0</v>
      </c>
      <c r="I361" s="12">
        <f>'[18]key-in(LO)'!AH359</f>
        <v>0</v>
      </c>
      <c r="J361" s="10">
        <f>'[18]key-in(ACO)'!$AR359</f>
        <v>0</v>
      </c>
      <c r="K361" s="10">
        <f>'[18]key-in(ACO)'!$AS359</f>
        <v>0</v>
      </c>
      <c r="L361" s="9">
        <f>'[18]key-in(ACO)'!$AV359</f>
        <v>0</v>
      </c>
      <c r="M361" s="10">
        <f>[18]생산!BA358</f>
        <v>0</v>
      </c>
      <c r="N361" s="10">
        <f>[18]생산!BB358</f>
        <v>0</v>
      </c>
      <c r="O361" s="10">
        <f>[18]생산!BC358</f>
        <v>0</v>
      </c>
      <c r="P361" s="10">
        <f>[18]생산!BD358</f>
        <v>0</v>
      </c>
      <c r="Q361" s="10">
        <f>[18]생산!BE358</f>
        <v>0</v>
      </c>
      <c r="R361" s="10">
        <f>[18]생산!BF358</f>
        <v>0</v>
      </c>
      <c r="S361" s="9">
        <f>[18]운전시간외!C358</f>
        <v>0</v>
      </c>
      <c r="T361" s="9">
        <f>[18]운전시간외!D358</f>
        <v>0</v>
      </c>
      <c r="U361" s="9">
        <f>[18]운전시간외!E358</f>
        <v>0</v>
      </c>
      <c r="V361" s="9">
        <f>[18]운전시간외!F358</f>
        <v>0</v>
      </c>
      <c r="W361" s="11">
        <f>[18]생산!F358</f>
        <v>0</v>
      </c>
      <c r="X361" s="11">
        <f>[18]생산!G358</f>
        <v>0</v>
      </c>
      <c r="Y361" s="11">
        <f>[18]생산!H358</f>
        <v>0</v>
      </c>
      <c r="Z361" s="11">
        <f>[18]생산!I358</f>
        <v>0</v>
      </c>
      <c r="AA361" s="11">
        <f>[18]생산!J358</f>
        <v>0</v>
      </c>
      <c r="AB361" s="11">
        <f>[18]생산!K358</f>
        <v>0</v>
      </c>
      <c r="AC361" s="11"/>
    </row>
    <row r="362" spans="1:29">
      <c r="A362" s="6">
        <v>46379</v>
      </c>
      <c r="B362" s="12">
        <f>'[18]key-in(LO)'!AA360</f>
        <v>0</v>
      </c>
      <c r="C362" s="12">
        <f>'[18]key-in(LO)'!AB360</f>
        <v>0</v>
      </c>
      <c r="D362" s="12">
        <f>'[18]key-in(LO)'!AC360</f>
        <v>0</v>
      </c>
      <c r="E362" s="12">
        <f>'[18]key-in(LO)'!AD360</f>
        <v>0</v>
      </c>
      <c r="F362" s="12">
        <f>'[18]key-in(LO)'!AE360</f>
        <v>0</v>
      </c>
      <c r="G362" s="115">
        <f>'[18]key-in(LO)'!AF360</f>
        <v>0</v>
      </c>
      <c r="H362" s="12">
        <f>'[18]key-in(LO)'!AG360</f>
        <v>0</v>
      </c>
      <c r="I362" s="12">
        <f>'[18]key-in(LO)'!AH360</f>
        <v>0</v>
      </c>
      <c r="J362" s="10">
        <f>'[18]key-in(ACO)'!$AR360</f>
        <v>0</v>
      </c>
      <c r="K362" s="10">
        <f>'[18]key-in(ACO)'!$AS360</f>
        <v>0</v>
      </c>
      <c r="L362" s="9">
        <f>'[18]key-in(ACO)'!$AV360</f>
        <v>0</v>
      </c>
      <c r="M362" s="10">
        <f>[18]생산!BA359</f>
        <v>0</v>
      </c>
      <c r="N362" s="10">
        <f>[18]생산!BB359</f>
        <v>0</v>
      </c>
      <c r="O362" s="10">
        <f>[18]생산!BC359</f>
        <v>0</v>
      </c>
      <c r="P362" s="10">
        <f>[18]생산!BD359</f>
        <v>0</v>
      </c>
      <c r="Q362" s="10">
        <f>[18]생산!BE359</f>
        <v>0</v>
      </c>
      <c r="R362" s="10">
        <f>[18]생산!BF359</f>
        <v>0</v>
      </c>
      <c r="S362" s="9">
        <f>[18]운전시간외!C359</f>
        <v>0</v>
      </c>
      <c r="T362" s="9">
        <f>[18]운전시간외!D359</f>
        <v>0</v>
      </c>
      <c r="U362" s="9">
        <f>[18]운전시간외!E359</f>
        <v>0</v>
      </c>
      <c r="V362" s="9">
        <f>[18]운전시간외!F359</f>
        <v>0</v>
      </c>
      <c r="W362" s="11">
        <f>[18]생산!F359</f>
        <v>0</v>
      </c>
      <c r="X362" s="11">
        <f>[18]생산!G359</f>
        <v>0</v>
      </c>
      <c r="Y362" s="11">
        <f>[18]생산!H359</f>
        <v>0</v>
      </c>
      <c r="Z362" s="11">
        <f>[18]생산!I359</f>
        <v>0</v>
      </c>
      <c r="AA362" s="11">
        <f>[18]생산!J359</f>
        <v>0</v>
      </c>
      <c r="AB362" s="11">
        <f>[18]생산!K359</f>
        <v>0</v>
      </c>
      <c r="AC362" s="11"/>
    </row>
    <row r="363" spans="1:29">
      <c r="A363" s="6">
        <v>46380</v>
      </c>
      <c r="B363" s="12">
        <f>'[18]key-in(LO)'!AA361</f>
        <v>0</v>
      </c>
      <c r="C363" s="12">
        <f>'[18]key-in(LO)'!AB361</f>
        <v>0</v>
      </c>
      <c r="D363" s="12">
        <f>'[18]key-in(LO)'!AC361</f>
        <v>0</v>
      </c>
      <c r="E363" s="12">
        <f>'[18]key-in(LO)'!AD361</f>
        <v>0</v>
      </c>
      <c r="F363" s="12">
        <f>'[18]key-in(LO)'!AE361</f>
        <v>0</v>
      </c>
      <c r="G363" s="115">
        <f>'[18]key-in(LO)'!AF361</f>
        <v>0</v>
      </c>
      <c r="H363" s="12">
        <f>'[18]key-in(LO)'!AG361</f>
        <v>0</v>
      </c>
      <c r="I363" s="12">
        <f>'[18]key-in(LO)'!AH361</f>
        <v>0</v>
      </c>
      <c r="J363" s="10">
        <f>'[18]key-in(ACO)'!$AR361</f>
        <v>0</v>
      </c>
      <c r="K363" s="10">
        <f>'[18]key-in(ACO)'!$AS361</f>
        <v>0</v>
      </c>
      <c r="L363" s="9">
        <f>'[18]key-in(ACO)'!$AV361</f>
        <v>0</v>
      </c>
      <c r="M363" s="10">
        <f>[18]생산!BA360</f>
        <v>0</v>
      </c>
      <c r="N363" s="10">
        <f>[18]생산!BB360</f>
        <v>0</v>
      </c>
      <c r="O363" s="10">
        <f>[18]생산!BC360</f>
        <v>0</v>
      </c>
      <c r="P363" s="10">
        <f>[18]생산!BD360</f>
        <v>0</v>
      </c>
      <c r="Q363" s="10">
        <f>[18]생산!BE360</f>
        <v>0</v>
      </c>
      <c r="R363" s="10">
        <f>[18]생산!BF360</f>
        <v>0</v>
      </c>
      <c r="S363" s="9">
        <f>[18]운전시간외!C360</f>
        <v>0</v>
      </c>
      <c r="T363" s="9">
        <f>[18]운전시간외!D360</f>
        <v>0</v>
      </c>
      <c r="U363" s="9">
        <f>[18]운전시간외!E360</f>
        <v>0</v>
      </c>
      <c r="V363" s="9">
        <f>[18]운전시간외!F360</f>
        <v>0</v>
      </c>
      <c r="W363" s="11">
        <f>[18]생산!F360</f>
        <v>0</v>
      </c>
      <c r="X363" s="11">
        <f>[18]생산!G360</f>
        <v>0</v>
      </c>
      <c r="Y363" s="11">
        <f>[18]생산!H360</f>
        <v>0</v>
      </c>
      <c r="Z363" s="11">
        <f>[18]생산!I360</f>
        <v>0</v>
      </c>
      <c r="AA363" s="11">
        <f>[18]생산!J360</f>
        <v>0</v>
      </c>
      <c r="AB363" s="11">
        <f>[18]생산!K360</f>
        <v>0</v>
      </c>
      <c r="AC363" s="11"/>
    </row>
    <row r="364" spans="1:29">
      <c r="A364" s="6">
        <v>46381</v>
      </c>
      <c r="B364" s="12">
        <f>'[18]key-in(LO)'!AA362</f>
        <v>0</v>
      </c>
      <c r="C364" s="12">
        <f>'[18]key-in(LO)'!AB362</f>
        <v>0</v>
      </c>
      <c r="D364" s="12">
        <f>'[18]key-in(LO)'!AC362</f>
        <v>0</v>
      </c>
      <c r="E364" s="12">
        <f>'[18]key-in(LO)'!AD362</f>
        <v>0</v>
      </c>
      <c r="F364" s="12">
        <f>'[18]key-in(LO)'!AE362</f>
        <v>0</v>
      </c>
      <c r="G364" s="115">
        <f>'[18]key-in(LO)'!AF362</f>
        <v>0</v>
      </c>
      <c r="H364" s="12">
        <f>'[18]key-in(LO)'!AG362</f>
        <v>0</v>
      </c>
      <c r="I364" s="12">
        <f>'[18]key-in(LO)'!AH362</f>
        <v>0</v>
      </c>
      <c r="J364" s="10">
        <f>'[18]key-in(ACO)'!$AR362</f>
        <v>0</v>
      </c>
      <c r="K364" s="10">
        <f>'[18]key-in(ACO)'!$AS362</f>
        <v>0</v>
      </c>
      <c r="L364" s="9">
        <f>'[18]key-in(ACO)'!$AV362</f>
        <v>0</v>
      </c>
      <c r="M364" s="10">
        <f>[18]생산!BA361</f>
        <v>0</v>
      </c>
      <c r="N364" s="10">
        <f>[18]생산!BB361</f>
        <v>0</v>
      </c>
      <c r="O364" s="10">
        <f>[18]생산!BC361</f>
        <v>0</v>
      </c>
      <c r="P364" s="10">
        <f>[18]생산!BD361</f>
        <v>0</v>
      </c>
      <c r="Q364" s="10">
        <f>[18]생산!BE361</f>
        <v>0</v>
      </c>
      <c r="R364" s="10">
        <f>[18]생산!BF361</f>
        <v>0</v>
      </c>
      <c r="S364" s="9">
        <f>[18]운전시간외!C361</f>
        <v>0</v>
      </c>
      <c r="T364" s="9">
        <f>[18]운전시간외!D361</f>
        <v>0</v>
      </c>
      <c r="U364" s="9">
        <f>[18]운전시간외!E361</f>
        <v>0</v>
      </c>
      <c r="V364" s="9">
        <f>[18]운전시간외!F361</f>
        <v>0</v>
      </c>
      <c r="W364" s="11">
        <f>[18]생산!F361</f>
        <v>0</v>
      </c>
      <c r="X364" s="11">
        <f>[18]생산!G361</f>
        <v>0</v>
      </c>
      <c r="Y364" s="11">
        <f>[18]생산!H361</f>
        <v>0</v>
      </c>
      <c r="Z364" s="11">
        <f>[18]생산!I361</f>
        <v>0</v>
      </c>
      <c r="AA364" s="11">
        <f>[18]생산!J361</f>
        <v>0</v>
      </c>
      <c r="AB364" s="11">
        <f>[18]생산!K361</f>
        <v>0</v>
      </c>
      <c r="AC364" s="11"/>
    </row>
    <row r="365" spans="1:29">
      <c r="A365" s="6">
        <v>46382</v>
      </c>
      <c r="B365" s="12">
        <f>'[18]key-in(LO)'!AA363</f>
        <v>0</v>
      </c>
      <c r="C365" s="12">
        <f>'[18]key-in(LO)'!AB363</f>
        <v>0</v>
      </c>
      <c r="D365" s="12">
        <f>'[18]key-in(LO)'!AC363</f>
        <v>0</v>
      </c>
      <c r="E365" s="12">
        <f>'[18]key-in(LO)'!AD363</f>
        <v>0</v>
      </c>
      <c r="F365" s="12">
        <f>'[18]key-in(LO)'!AE363</f>
        <v>0</v>
      </c>
      <c r="G365" s="115">
        <f>'[18]key-in(LO)'!AF363</f>
        <v>0</v>
      </c>
      <c r="H365" s="12">
        <f>'[18]key-in(LO)'!AG363</f>
        <v>0</v>
      </c>
      <c r="I365" s="12">
        <f>'[18]key-in(LO)'!AH363</f>
        <v>0</v>
      </c>
      <c r="J365" s="10">
        <f>'[18]key-in(ACO)'!$AR363</f>
        <v>0</v>
      </c>
      <c r="K365" s="10">
        <f>'[18]key-in(ACO)'!$AS363</f>
        <v>0</v>
      </c>
      <c r="L365" s="9">
        <f>'[18]key-in(ACO)'!$AV363</f>
        <v>0</v>
      </c>
      <c r="M365" s="10">
        <f>[18]생산!BA362</f>
        <v>0</v>
      </c>
      <c r="N365" s="10">
        <f>[18]생산!BB362</f>
        <v>0</v>
      </c>
      <c r="O365" s="10">
        <f>[18]생산!BC362</f>
        <v>0</v>
      </c>
      <c r="P365" s="10">
        <f>[18]생산!BD362</f>
        <v>0</v>
      </c>
      <c r="Q365" s="10">
        <f>[18]생산!BE362</f>
        <v>0</v>
      </c>
      <c r="R365" s="10">
        <f>[18]생산!BF362</f>
        <v>0</v>
      </c>
      <c r="S365" s="9">
        <f>[18]운전시간외!C362</f>
        <v>0</v>
      </c>
      <c r="T365" s="9">
        <f>[18]운전시간외!D362</f>
        <v>0</v>
      </c>
      <c r="U365" s="9">
        <f>[18]운전시간외!E362</f>
        <v>0</v>
      </c>
      <c r="V365" s="9">
        <f>[18]운전시간외!F362</f>
        <v>0</v>
      </c>
      <c r="W365" s="11">
        <f>[18]생산!F362</f>
        <v>0</v>
      </c>
      <c r="X365" s="11">
        <f>[18]생산!G362</f>
        <v>0</v>
      </c>
      <c r="Y365" s="11">
        <f>[18]생산!H362</f>
        <v>0</v>
      </c>
      <c r="Z365" s="11">
        <f>[18]생산!I362</f>
        <v>0</v>
      </c>
      <c r="AA365" s="11">
        <f>[18]생산!J362</f>
        <v>0</v>
      </c>
      <c r="AB365" s="11">
        <f>[18]생산!K362</f>
        <v>0</v>
      </c>
      <c r="AC365" s="11"/>
    </row>
    <row r="366" spans="1:29">
      <c r="A366" s="6">
        <v>46383</v>
      </c>
      <c r="B366" s="12">
        <f>'[18]key-in(LO)'!AA364</f>
        <v>0</v>
      </c>
      <c r="C366" s="12">
        <f>'[18]key-in(LO)'!AB364</f>
        <v>0</v>
      </c>
      <c r="D366" s="12">
        <f>'[18]key-in(LO)'!AC364</f>
        <v>0</v>
      </c>
      <c r="E366" s="12">
        <f>'[18]key-in(LO)'!AD364</f>
        <v>0</v>
      </c>
      <c r="F366" s="12">
        <f>'[18]key-in(LO)'!AE364</f>
        <v>0</v>
      </c>
      <c r="G366" s="115">
        <f>'[18]key-in(LO)'!AF364</f>
        <v>0</v>
      </c>
      <c r="H366" s="12">
        <f>'[18]key-in(LO)'!AG364</f>
        <v>0</v>
      </c>
      <c r="I366" s="12">
        <f>'[18]key-in(LO)'!AH364</f>
        <v>0</v>
      </c>
      <c r="J366" s="10">
        <f>'[18]key-in(ACO)'!$AR364</f>
        <v>0</v>
      </c>
      <c r="K366" s="10">
        <f>'[18]key-in(ACO)'!$AS364</f>
        <v>0</v>
      </c>
      <c r="L366" s="9">
        <f>'[18]key-in(ACO)'!$AV364</f>
        <v>0</v>
      </c>
      <c r="M366" s="10">
        <f>[18]생산!BA363</f>
        <v>0</v>
      </c>
      <c r="N366" s="10">
        <f>[18]생산!BB363</f>
        <v>0</v>
      </c>
      <c r="O366" s="10">
        <f>[18]생산!BC363</f>
        <v>0</v>
      </c>
      <c r="P366" s="10">
        <f>[18]생산!BD363</f>
        <v>0</v>
      </c>
      <c r="Q366" s="10">
        <f>[18]생산!BE363</f>
        <v>0</v>
      </c>
      <c r="R366" s="10">
        <f>[18]생산!BF363</f>
        <v>0</v>
      </c>
      <c r="S366" s="9">
        <f>[18]운전시간외!C363</f>
        <v>0</v>
      </c>
      <c r="T366" s="9">
        <f>[18]운전시간외!D363</f>
        <v>0</v>
      </c>
      <c r="U366" s="9">
        <f>[18]운전시간외!E363</f>
        <v>0</v>
      </c>
      <c r="V366" s="9">
        <f>[18]운전시간외!F363</f>
        <v>0</v>
      </c>
      <c r="W366" s="11">
        <f>[18]생산!F363</f>
        <v>0</v>
      </c>
      <c r="X366" s="11">
        <f>[18]생산!G363</f>
        <v>0</v>
      </c>
      <c r="Y366" s="11">
        <f>[18]생산!H363</f>
        <v>0</v>
      </c>
      <c r="Z366" s="11">
        <f>[18]생산!I363</f>
        <v>0</v>
      </c>
      <c r="AA366" s="11">
        <f>[18]생산!J363</f>
        <v>0</v>
      </c>
      <c r="AB366" s="11">
        <f>[18]생산!K363</f>
        <v>0</v>
      </c>
      <c r="AC366" s="11"/>
    </row>
    <row r="367" spans="1:29">
      <c r="A367" s="6">
        <v>46384</v>
      </c>
      <c r="B367" s="12">
        <f>'[18]key-in(LO)'!AA365</f>
        <v>0</v>
      </c>
      <c r="C367" s="12">
        <f>'[18]key-in(LO)'!AB365</f>
        <v>0</v>
      </c>
      <c r="D367" s="12">
        <f>'[18]key-in(LO)'!AC365</f>
        <v>0</v>
      </c>
      <c r="E367" s="12">
        <f>'[18]key-in(LO)'!AD365</f>
        <v>0</v>
      </c>
      <c r="F367" s="12">
        <f>'[18]key-in(LO)'!AE365</f>
        <v>0</v>
      </c>
      <c r="G367" s="115">
        <f>'[18]key-in(LO)'!AF365</f>
        <v>0</v>
      </c>
      <c r="H367" s="12">
        <f>'[18]key-in(LO)'!AG365</f>
        <v>0</v>
      </c>
      <c r="I367" s="12">
        <f>'[18]key-in(LO)'!AH365</f>
        <v>0</v>
      </c>
      <c r="J367" s="10">
        <f>'[18]key-in(ACO)'!$AR365</f>
        <v>0</v>
      </c>
      <c r="K367" s="10">
        <f>'[18]key-in(ACO)'!$AS365</f>
        <v>0</v>
      </c>
      <c r="L367" s="9">
        <f>'[18]key-in(ACO)'!$AV365</f>
        <v>0</v>
      </c>
      <c r="M367" s="10">
        <f>[18]생산!BA364</f>
        <v>0</v>
      </c>
      <c r="N367" s="10">
        <f>[18]생산!BB364</f>
        <v>0</v>
      </c>
      <c r="O367" s="10">
        <f>[18]생산!BC364</f>
        <v>0</v>
      </c>
      <c r="P367" s="10">
        <f>[18]생산!BD364</f>
        <v>0</v>
      </c>
      <c r="Q367" s="10">
        <f>[18]생산!BE364</f>
        <v>0</v>
      </c>
      <c r="R367" s="10">
        <f>[18]생산!BF364</f>
        <v>0</v>
      </c>
      <c r="S367" s="9">
        <f>[18]운전시간외!C364</f>
        <v>0</v>
      </c>
      <c r="T367" s="9">
        <f>[18]운전시간외!D364</f>
        <v>0</v>
      </c>
      <c r="U367" s="9">
        <f>[18]운전시간외!E364</f>
        <v>0</v>
      </c>
      <c r="V367" s="9">
        <f>[18]운전시간외!F364</f>
        <v>0</v>
      </c>
      <c r="W367" s="11">
        <f>[18]생산!F364</f>
        <v>0</v>
      </c>
      <c r="X367" s="11">
        <f>[18]생산!G364</f>
        <v>0</v>
      </c>
      <c r="Y367" s="11">
        <f>[18]생산!H364</f>
        <v>0</v>
      </c>
      <c r="Z367" s="11">
        <f>[18]생산!I364</f>
        <v>0</v>
      </c>
      <c r="AA367" s="11">
        <f>[18]생산!J364</f>
        <v>0</v>
      </c>
      <c r="AB367" s="11">
        <f>[18]생산!K364</f>
        <v>0</v>
      </c>
      <c r="AC367" s="11"/>
    </row>
    <row r="368" spans="1:29">
      <c r="A368" s="6">
        <v>46385</v>
      </c>
      <c r="B368" s="12">
        <f>'[18]key-in(LO)'!AA366</f>
        <v>0</v>
      </c>
      <c r="C368" s="12">
        <f>'[18]key-in(LO)'!AB366</f>
        <v>0</v>
      </c>
      <c r="D368" s="12">
        <f>'[18]key-in(LO)'!AC366</f>
        <v>0</v>
      </c>
      <c r="E368" s="12">
        <f>'[18]key-in(LO)'!AD366</f>
        <v>0</v>
      </c>
      <c r="F368" s="12">
        <f>'[18]key-in(LO)'!AE366</f>
        <v>0</v>
      </c>
      <c r="G368" s="115">
        <f>'[18]key-in(LO)'!AF366</f>
        <v>0</v>
      </c>
      <c r="H368" s="12">
        <f>'[18]key-in(LO)'!AG366</f>
        <v>0</v>
      </c>
      <c r="I368" s="12">
        <f>'[18]key-in(LO)'!AH366</f>
        <v>0</v>
      </c>
      <c r="J368" s="10">
        <f>'[18]key-in(ACO)'!$AR366</f>
        <v>0</v>
      </c>
      <c r="K368" s="10">
        <f>'[18]key-in(ACO)'!$AS366</f>
        <v>0</v>
      </c>
      <c r="L368" s="9">
        <f>'[18]key-in(ACO)'!$AV366</f>
        <v>0</v>
      </c>
      <c r="M368" s="10">
        <f>[18]생산!BA365</f>
        <v>0</v>
      </c>
      <c r="N368" s="10">
        <f>[18]생산!BB365</f>
        <v>0</v>
      </c>
      <c r="O368" s="10">
        <f>[18]생산!BC365</f>
        <v>0</v>
      </c>
      <c r="P368" s="10">
        <f>[18]생산!BD365</f>
        <v>0</v>
      </c>
      <c r="Q368" s="10">
        <f>[18]생산!BE365</f>
        <v>0</v>
      </c>
      <c r="R368" s="10">
        <f>[18]생산!BF365</f>
        <v>0</v>
      </c>
      <c r="S368" s="9">
        <f>[18]운전시간외!C365</f>
        <v>0</v>
      </c>
      <c r="T368" s="9">
        <f>[18]운전시간외!D365</f>
        <v>0</v>
      </c>
      <c r="U368" s="9">
        <f>[18]운전시간외!E365</f>
        <v>0</v>
      </c>
      <c r="V368" s="9">
        <f>[18]운전시간외!F365</f>
        <v>0</v>
      </c>
      <c r="W368" s="11">
        <f>[18]생산!F365</f>
        <v>0</v>
      </c>
      <c r="X368" s="11">
        <f>[18]생산!G365</f>
        <v>0</v>
      </c>
      <c r="Y368" s="11">
        <f>[18]생산!H365</f>
        <v>0</v>
      </c>
      <c r="Z368" s="11">
        <f>[18]생산!I365</f>
        <v>0</v>
      </c>
      <c r="AA368" s="11">
        <f>[18]생산!J365</f>
        <v>0</v>
      </c>
      <c r="AB368" s="11">
        <f>[18]생산!K365</f>
        <v>0</v>
      </c>
      <c r="AC368" s="11"/>
    </row>
    <row r="369" spans="1:29">
      <c r="A369" s="6">
        <v>46386</v>
      </c>
      <c r="B369" s="12">
        <f>'[18]key-in(LO)'!AA367</f>
        <v>0</v>
      </c>
      <c r="C369" s="12">
        <f>'[18]key-in(LO)'!AB367</f>
        <v>0</v>
      </c>
      <c r="D369" s="12">
        <f>'[18]key-in(LO)'!AC367</f>
        <v>0</v>
      </c>
      <c r="E369" s="12">
        <f>'[18]key-in(LO)'!AD367</f>
        <v>0</v>
      </c>
      <c r="F369" s="12">
        <f>'[18]key-in(LO)'!AE367</f>
        <v>0</v>
      </c>
      <c r="G369" s="115">
        <f>'[18]key-in(LO)'!AF367</f>
        <v>0</v>
      </c>
      <c r="H369" s="12">
        <f>'[18]key-in(LO)'!AG367</f>
        <v>0</v>
      </c>
      <c r="I369" s="12">
        <f>'[18]key-in(LO)'!AH367</f>
        <v>0</v>
      </c>
      <c r="J369" s="10">
        <f>'[18]key-in(ACO)'!$AR367</f>
        <v>0</v>
      </c>
      <c r="K369" s="10">
        <f>'[18]key-in(ACO)'!$AS367</f>
        <v>0</v>
      </c>
      <c r="L369" s="9">
        <f>'[18]key-in(ACO)'!$AV367</f>
        <v>0</v>
      </c>
      <c r="M369" s="10">
        <f>[18]생산!BA366</f>
        <v>0</v>
      </c>
      <c r="N369" s="10">
        <f>[18]생산!BB366</f>
        <v>0</v>
      </c>
      <c r="O369" s="10">
        <f>[18]생산!BC366</f>
        <v>0</v>
      </c>
      <c r="P369" s="10">
        <f>[18]생산!BD366</f>
        <v>0</v>
      </c>
      <c r="Q369" s="10">
        <f>[18]생산!BE366</f>
        <v>0</v>
      </c>
      <c r="R369" s="10">
        <f>[18]생산!BF366</f>
        <v>0</v>
      </c>
      <c r="S369" s="9">
        <f>[18]운전시간외!C366</f>
        <v>0</v>
      </c>
      <c r="T369" s="9">
        <f>[18]운전시간외!D366</f>
        <v>0</v>
      </c>
      <c r="U369" s="9">
        <f>[18]운전시간외!E366</f>
        <v>0</v>
      </c>
      <c r="V369" s="9">
        <f>[18]운전시간외!F366</f>
        <v>0</v>
      </c>
      <c r="W369" s="11">
        <f>[18]생산!F366</f>
        <v>0</v>
      </c>
      <c r="X369" s="11">
        <f>[18]생산!G366</f>
        <v>0</v>
      </c>
      <c r="Y369" s="11">
        <f>[18]생산!H366</f>
        <v>0</v>
      </c>
      <c r="Z369" s="11">
        <f>[18]생산!I366</f>
        <v>0</v>
      </c>
      <c r="AA369" s="11">
        <f>[18]생산!J366</f>
        <v>0</v>
      </c>
      <c r="AB369" s="11">
        <f>[18]생산!K366</f>
        <v>0</v>
      </c>
      <c r="AC369" s="11"/>
    </row>
    <row r="370" spans="1:29">
      <c r="A370" s="6">
        <v>46387</v>
      </c>
      <c r="B370" s="12">
        <f>'[18]key-in(LO)'!AA368</f>
        <v>0</v>
      </c>
      <c r="C370" s="12">
        <f>'[18]key-in(LO)'!AB368</f>
        <v>0</v>
      </c>
      <c r="D370" s="12">
        <f>'[18]key-in(LO)'!AC368</f>
        <v>0</v>
      </c>
      <c r="E370" s="12">
        <f>'[18]key-in(LO)'!AD368</f>
        <v>0</v>
      </c>
      <c r="F370" s="12">
        <f>'[18]key-in(LO)'!AE368</f>
        <v>0</v>
      </c>
      <c r="G370" s="115">
        <f>'[18]key-in(LO)'!AF368</f>
        <v>0</v>
      </c>
      <c r="H370" s="12">
        <f>'[18]key-in(LO)'!AG368</f>
        <v>0</v>
      </c>
      <c r="I370" s="12">
        <f>'[18]key-in(LO)'!AH368</f>
        <v>0</v>
      </c>
      <c r="J370" s="10">
        <f>'[18]key-in(ACO)'!$AR368</f>
        <v>0</v>
      </c>
      <c r="K370" s="10">
        <f>'[18]key-in(ACO)'!$AS368</f>
        <v>0</v>
      </c>
      <c r="L370" s="9">
        <f>'[18]key-in(ACO)'!$AV368</f>
        <v>0</v>
      </c>
      <c r="M370" s="10">
        <f>[18]생산!BA367</f>
        <v>0</v>
      </c>
      <c r="N370" s="10">
        <f>[18]생산!BB367</f>
        <v>0</v>
      </c>
      <c r="O370" s="10">
        <f>[18]생산!BC367</f>
        <v>0</v>
      </c>
      <c r="P370" s="10">
        <f>[18]생산!BD367</f>
        <v>0</v>
      </c>
      <c r="Q370" s="10">
        <f>[18]생산!BE367</f>
        <v>0</v>
      </c>
      <c r="R370" s="10">
        <f>[18]생산!BF367</f>
        <v>0</v>
      </c>
      <c r="S370" s="9">
        <f>[18]운전시간외!C367</f>
        <v>0</v>
      </c>
      <c r="T370" s="9">
        <f>[18]운전시간외!D367</f>
        <v>0</v>
      </c>
      <c r="U370" s="9">
        <f>[18]운전시간외!E367</f>
        <v>0</v>
      </c>
      <c r="V370" s="9">
        <f>[18]운전시간외!F367</f>
        <v>0</v>
      </c>
      <c r="W370" s="11">
        <f>[18]생산!F367</f>
        <v>0</v>
      </c>
      <c r="X370" s="11">
        <f>[18]생산!G367</f>
        <v>0</v>
      </c>
      <c r="Y370" s="11">
        <f>[18]생산!H367</f>
        <v>0</v>
      </c>
      <c r="Z370" s="11">
        <f>[18]생산!I367</f>
        <v>0</v>
      </c>
      <c r="AA370" s="11">
        <f>[18]생산!J367</f>
        <v>0</v>
      </c>
      <c r="AB370" s="11">
        <f>[18]생산!K367</f>
        <v>0</v>
      </c>
    </row>
  </sheetData>
  <mergeCells count="1">
    <mergeCell ref="S3:V3"/>
  </mergeCells>
  <phoneticPr fontId="4" type="noConversion"/>
  <conditionalFormatting sqref="B5:M30">
    <cfRule type="expression" dxfId="4" priority="2">
      <formula>TODAY()-1=$A5</formula>
    </cfRule>
  </conditionalFormatting>
  <conditionalFormatting sqref="N5:R5 A5:A370">
    <cfRule type="expression" dxfId="3" priority="6">
      <formula>TODAY()-1=$A5</formula>
    </cfRule>
  </conditionalFormatting>
  <conditionalFormatting sqref="S6:V370">
    <cfRule type="expression" dxfId="2" priority="31">
      <formula>TODAY()-1=$A5</formula>
    </cfRule>
  </conditionalFormatting>
  <conditionalFormatting sqref="W5:AB370 N6:V6 N7:R30 S7:AB370 B31:R370">
    <cfRule type="expression" dxfId="1" priority="4">
      <formula>TODAY()-1=$A5</formula>
    </cfRule>
  </conditionalFormatting>
  <conditionalFormatting sqref="AC6:AC369">
    <cfRule type="expression" dxfId="0" priority="1">
      <formula>TODAY()-1=$A6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0459D-474C-42A8-8823-C3764A1027E3}">
  <dimension ref="B2:AL370"/>
  <sheetViews>
    <sheetView zoomScale="85" zoomScaleNormal="85" workbookViewId="0">
      <selection activeCell="D24" sqref="D24"/>
    </sheetView>
  </sheetViews>
  <sheetFormatPr defaultRowHeight="17"/>
  <cols>
    <col min="2" max="2" width="9.75" bestFit="1" customWidth="1"/>
    <col min="27" max="27" width="10.58203125" style="8" bestFit="1" customWidth="1"/>
    <col min="28" max="28" width="23.25" style="8" bestFit="1" customWidth="1"/>
    <col min="29" max="29" width="22" style="8" bestFit="1" customWidth="1"/>
    <col min="30" max="30" width="8.75" style="8" bestFit="1" customWidth="1"/>
    <col min="31" max="32" width="7" style="8" bestFit="1" customWidth="1"/>
    <col min="33" max="33" width="5.25" style="8" bestFit="1" customWidth="1"/>
    <col min="34" max="34" width="42.75" style="8" bestFit="1" customWidth="1"/>
  </cols>
  <sheetData>
    <row r="2" spans="2:38">
      <c r="B2" s="8"/>
      <c r="C2" s="8"/>
      <c r="AA2" s="8" t="s">
        <v>184</v>
      </c>
    </row>
    <row r="3" spans="2:38">
      <c r="B3" s="24" t="s">
        <v>26</v>
      </c>
      <c r="C3" s="24" t="s">
        <v>95</v>
      </c>
      <c r="D3" s="13" t="s">
        <v>93</v>
      </c>
      <c r="F3" s="24" t="s">
        <v>93</v>
      </c>
      <c r="H3" s="128" t="s">
        <v>185</v>
      </c>
      <c r="I3" s="128" t="s">
        <v>93</v>
      </c>
      <c r="J3" s="128" t="s">
        <v>93</v>
      </c>
      <c r="K3" s="128" t="s">
        <v>93</v>
      </c>
      <c r="L3" s="128" t="s">
        <v>93</v>
      </c>
      <c r="M3" s="128" t="s">
        <v>93</v>
      </c>
      <c r="N3" s="128" t="s">
        <v>93</v>
      </c>
      <c r="AA3" s="170"/>
      <c r="AB3" s="170"/>
      <c r="AC3" s="170"/>
      <c r="AD3" s="170" t="s">
        <v>186</v>
      </c>
      <c r="AE3" s="170" t="s">
        <v>187</v>
      </c>
      <c r="AF3" s="170" t="s">
        <v>188</v>
      </c>
      <c r="AG3" s="170" t="s">
        <v>189</v>
      </c>
      <c r="AH3" s="170" t="s">
        <v>190</v>
      </c>
      <c r="AI3" s="130"/>
      <c r="AJ3" s="130"/>
      <c r="AK3" s="130"/>
      <c r="AL3" s="130"/>
    </row>
    <row r="4" spans="2:38">
      <c r="B4" s="124" t="s">
        <v>104</v>
      </c>
      <c r="C4" s="125" t="s">
        <v>112</v>
      </c>
      <c r="D4" s="37" t="s">
        <v>108</v>
      </c>
      <c r="F4" s="125" t="s">
        <v>191</v>
      </c>
      <c r="H4" s="129" t="s">
        <v>117</v>
      </c>
      <c r="I4" s="129" t="s">
        <v>54</v>
      </c>
      <c r="J4" s="129" t="s">
        <v>192</v>
      </c>
      <c r="K4" s="129" t="s">
        <v>56</v>
      </c>
      <c r="L4" s="129" t="s">
        <v>191</v>
      </c>
      <c r="M4" s="129" t="s">
        <v>191</v>
      </c>
      <c r="N4" s="129" t="s">
        <v>191</v>
      </c>
      <c r="AA4" s="170"/>
      <c r="AB4" s="170"/>
      <c r="AC4" s="170"/>
      <c r="AD4" s="170"/>
      <c r="AE4" s="170"/>
      <c r="AF4" s="170"/>
      <c r="AG4" s="170"/>
      <c r="AH4" s="170"/>
      <c r="AI4" s="130"/>
      <c r="AJ4" s="130"/>
      <c r="AK4" s="130"/>
      <c r="AL4" s="130"/>
    </row>
    <row r="5" spans="2:38">
      <c r="B5" s="25">
        <v>46022</v>
      </c>
      <c r="C5" s="126">
        <f>일별!Q23</f>
        <v>81</v>
      </c>
      <c r="D5" s="15">
        <f>일별!I23</f>
        <v>2.2599999999983993</v>
      </c>
      <c r="F5" s="126">
        <f>C5-D5</f>
        <v>78.740000000001601</v>
      </c>
      <c r="AA5" s="170" t="s">
        <v>193</v>
      </c>
      <c r="AB5" s="170" t="s">
        <v>194</v>
      </c>
      <c r="AC5" s="170"/>
      <c r="AD5" s="170" t="s">
        <v>195</v>
      </c>
      <c r="AE5" s="170" t="s">
        <v>196</v>
      </c>
      <c r="AF5" s="170"/>
      <c r="AG5" s="170"/>
      <c r="AH5" s="170"/>
      <c r="AI5" s="130"/>
      <c r="AJ5" s="130"/>
      <c r="AK5" s="130"/>
      <c r="AL5" s="130"/>
    </row>
    <row r="6" spans="2:38">
      <c r="B6" s="25">
        <v>46023</v>
      </c>
      <c r="C6" s="126">
        <f>일별!Q24</f>
        <v>261</v>
      </c>
      <c r="D6" s="15">
        <f>일별!I24</f>
        <v>5.7599999999983993</v>
      </c>
      <c r="F6" s="126">
        <f t="shared" ref="F6:F23" si="0">C6-D6</f>
        <v>255.2400000000016</v>
      </c>
      <c r="AA6" s="170" t="s">
        <v>197</v>
      </c>
      <c r="AB6" s="170" t="s">
        <v>198</v>
      </c>
      <c r="AC6" s="170"/>
      <c r="AD6" s="170" t="s">
        <v>199</v>
      </c>
      <c r="AE6" s="170" t="s">
        <v>200</v>
      </c>
      <c r="AF6" s="170" t="s">
        <v>200</v>
      </c>
      <c r="AG6" s="170"/>
      <c r="AH6" s="170" t="s">
        <v>201</v>
      </c>
      <c r="AI6" s="130"/>
      <c r="AJ6" s="130"/>
      <c r="AK6" s="130"/>
      <c r="AL6" s="130"/>
    </row>
    <row r="7" spans="2:38">
      <c r="B7" s="25">
        <v>46024</v>
      </c>
      <c r="C7" s="126">
        <f>일별!Q25</f>
        <v>155</v>
      </c>
      <c r="D7" s="15">
        <f>일별!I25</f>
        <v>5.3800000000010186</v>
      </c>
      <c r="F7" s="126">
        <f t="shared" si="0"/>
        <v>149.61999999999898</v>
      </c>
      <c r="AA7" s="170"/>
      <c r="AB7" s="170" t="s">
        <v>202</v>
      </c>
      <c r="AC7" s="170"/>
      <c r="AD7" s="170" t="s">
        <v>195</v>
      </c>
      <c r="AE7" s="170" t="s">
        <v>200</v>
      </c>
      <c r="AF7" s="170" t="s">
        <v>200</v>
      </c>
      <c r="AG7" s="170"/>
      <c r="AH7" s="170" t="s">
        <v>203</v>
      </c>
      <c r="AI7" s="130"/>
      <c r="AJ7" s="130"/>
      <c r="AK7" s="130"/>
      <c r="AL7" s="130"/>
    </row>
    <row r="8" spans="2:38">
      <c r="B8" s="25">
        <v>46025</v>
      </c>
      <c r="C8" s="126">
        <f>일별!Q26</f>
        <v>201</v>
      </c>
      <c r="D8" s="15">
        <f>일별!I26</f>
        <v>4.5400000000008731</v>
      </c>
      <c r="F8" s="126">
        <f t="shared" si="0"/>
        <v>196.45999999999913</v>
      </c>
      <c r="AA8" s="170"/>
      <c r="AB8" s="171" t="s">
        <v>204</v>
      </c>
      <c r="AC8" s="171" t="s">
        <v>205</v>
      </c>
      <c r="AD8" s="170" t="s">
        <v>195</v>
      </c>
      <c r="AE8" s="170" t="s">
        <v>200</v>
      </c>
      <c r="AF8" s="170">
        <v>0.64300000000000002</v>
      </c>
      <c r="AG8" s="170" t="s">
        <v>206</v>
      </c>
      <c r="AH8" s="170" t="s">
        <v>207</v>
      </c>
      <c r="AI8" s="130"/>
      <c r="AJ8" s="130"/>
      <c r="AK8" s="130"/>
      <c r="AL8" s="130"/>
    </row>
    <row r="9" spans="2:38">
      <c r="B9" s="25">
        <v>46026</v>
      </c>
      <c r="C9" s="126">
        <f>일별!Q27</f>
        <v>186</v>
      </c>
      <c r="D9" s="15">
        <f>일별!I27</f>
        <v>4.9899999999979627</v>
      </c>
      <c r="F9" s="126">
        <f t="shared" si="0"/>
        <v>181.01000000000204</v>
      </c>
      <c r="AA9" s="170"/>
      <c r="AB9" s="170" t="s">
        <v>208</v>
      </c>
      <c r="AC9" s="170"/>
      <c r="AD9" s="170" t="s">
        <v>195</v>
      </c>
      <c r="AE9" s="170" t="s">
        <v>200</v>
      </c>
      <c r="AF9" s="170" t="s">
        <v>200</v>
      </c>
      <c r="AG9" s="170"/>
      <c r="AH9" s="170" t="s">
        <v>209</v>
      </c>
      <c r="AI9" s="130"/>
      <c r="AJ9" s="130"/>
      <c r="AK9" s="130"/>
      <c r="AL9" s="130"/>
    </row>
    <row r="10" spans="2:38">
      <c r="B10" s="25">
        <v>46027</v>
      </c>
      <c r="C10" s="126">
        <f>일별!Q28</f>
        <v>170</v>
      </c>
      <c r="D10" s="15">
        <f>일별!I28</f>
        <v>5.5900000000001455</v>
      </c>
      <c r="F10" s="126">
        <f t="shared" si="0"/>
        <v>164.40999999999985</v>
      </c>
      <c r="AA10" s="170"/>
      <c r="AB10" s="170" t="s">
        <v>210</v>
      </c>
      <c r="AC10" s="171" t="s">
        <v>211</v>
      </c>
      <c r="AD10" s="170" t="s">
        <v>195</v>
      </c>
      <c r="AE10" s="170" t="s">
        <v>200</v>
      </c>
      <c r="AF10" s="170">
        <v>0.5</v>
      </c>
      <c r="AG10" s="170" t="s">
        <v>212</v>
      </c>
      <c r="AH10" s="170" t="s">
        <v>213</v>
      </c>
      <c r="AI10" s="130"/>
      <c r="AJ10" s="130"/>
      <c r="AK10" s="130"/>
      <c r="AL10" s="130"/>
    </row>
    <row r="11" spans="2:38">
      <c r="B11" s="25">
        <v>46028</v>
      </c>
      <c r="C11" s="126">
        <f>일별!Q29</f>
        <v>147</v>
      </c>
      <c r="D11" s="15">
        <f>일별!I29</f>
        <v>4.0400000000008731</v>
      </c>
      <c r="F11" s="126">
        <f t="shared" si="0"/>
        <v>142.95999999999913</v>
      </c>
      <c r="AA11" s="170"/>
      <c r="AB11" s="170"/>
      <c r="AC11" s="170" t="s">
        <v>214</v>
      </c>
      <c r="AD11" s="170"/>
      <c r="AE11" s="170"/>
      <c r="AF11" s="170" t="s">
        <v>200</v>
      </c>
      <c r="AG11" s="170"/>
      <c r="AH11" s="170"/>
      <c r="AI11" s="130"/>
      <c r="AJ11" s="130"/>
      <c r="AK11" s="130"/>
      <c r="AL11" s="130"/>
    </row>
    <row r="12" spans="2:38">
      <c r="B12" s="25">
        <v>46029</v>
      </c>
      <c r="C12" s="126">
        <f>일별!Q30</f>
        <v>107</v>
      </c>
      <c r="D12" s="15">
        <f>일별!I30</f>
        <v>3.9099999999998545</v>
      </c>
      <c r="F12" s="126">
        <f t="shared" si="0"/>
        <v>103.09000000000015</v>
      </c>
      <c r="AA12" s="170"/>
      <c r="AB12" s="170"/>
      <c r="AC12" s="171" t="s">
        <v>215</v>
      </c>
      <c r="AD12" s="170"/>
      <c r="AE12" s="170"/>
      <c r="AF12" s="170" t="s">
        <v>200</v>
      </c>
      <c r="AG12" s="170"/>
      <c r="AH12" s="170"/>
      <c r="AI12" s="130"/>
      <c r="AJ12" s="130"/>
      <c r="AK12" s="130"/>
      <c r="AL12" s="130"/>
    </row>
    <row r="13" spans="2:38">
      <c r="B13" s="25">
        <v>46030</v>
      </c>
      <c r="C13" s="126">
        <f>일별!Q31</f>
        <v>225</v>
      </c>
      <c r="D13" s="15">
        <f>일별!I31</f>
        <v>5.6199999999989814</v>
      </c>
      <c r="F13" s="126">
        <f t="shared" si="0"/>
        <v>219.38000000000102</v>
      </c>
      <c r="AA13" s="170"/>
      <c r="AB13" s="170" t="s">
        <v>216</v>
      </c>
      <c r="AC13" s="170" t="s">
        <v>200</v>
      </c>
      <c r="AD13" s="170" t="s">
        <v>195</v>
      </c>
      <c r="AE13" s="170" t="s">
        <v>200</v>
      </c>
      <c r="AF13" s="170" t="s">
        <v>200</v>
      </c>
      <c r="AG13" s="170"/>
      <c r="AH13" s="170" t="s">
        <v>217</v>
      </c>
      <c r="AI13" s="130"/>
      <c r="AJ13" s="130"/>
      <c r="AK13" s="130"/>
      <c r="AL13" s="130"/>
    </row>
    <row r="14" spans="2:38">
      <c r="B14" s="25">
        <v>46031</v>
      </c>
      <c r="C14" s="126">
        <f>일별!Q32</f>
        <v>167</v>
      </c>
      <c r="D14" s="15">
        <f>일별!I32</f>
        <v>5.0400000000008731</v>
      </c>
      <c r="F14" s="126">
        <f t="shared" si="0"/>
        <v>161.95999999999913</v>
      </c>
      <c r="AA14" s="170"/>
      <c r="AB14" s="170" t="s">
        <v>218</v>
      </c>
      <c r="AC14" s="170"/>
      <c r="AD14" s="170" t="s">
        <v>199</v>
      </c>
      <c r="AE14" s="170" t="s">
        <v>200</v>
      </c>
      <c r="AF14" s="170" t="s">
        <v>200</v>
      </c>
      <c r="AG14" s="170" t="s">
        <v>200</v>
      </c>
      <c r="AH14" s="170" t="s">
        <v>219</v>
      </c>
      <c r="AI14" s="130"/>
      <c r="AJ14" s="130"/>
      <c r="AK14" s="130"/>
      <c r="AL14" s="130"/>
    </row>
    <row r="15" spans="2:38">
      <c r="B15" s="25">
        <v>46032</v>
      </c>
      <c r="C15" s="126">
        <f>일별!Q33</f>
        <v>156</v>
      </c>
      <c r="D15" s="15">
        <f>일별!I33</f>
        <v>4.5200000000004366</v>
      </c>
      <c r="F15" s="126">
        <f t="shared" si="0"/>
        <v>151.47999999999956</v>
      </c>
      <c r="AA15" s="170"/>
      <c r="AB15" s="170" t="s">
        <v>220</v>
      </c>
      <c r="AC15" s="170" t="s">
        <v>221</v>
      </c>
      <c r="AD15" s="170" t="s">
        <v>222</v>
      </c>
      <c r="AE15" s="170"/>
      <c r="AF15" s="170"/>
      <c r="AG15" s="170"/>
      <c r="AH15" s="170" t="s">
        <v>223</v>
      </c>
      <c r="AI15" s="130"/>
      <c r="AJ15" s="130"/>
      <c r="AK15" s="130"/>
      <c r="AL15" s="130"/>
    </row>
    <row r="16" spans="2:38">
      <c r="B16" s="25">
        <v>46033</v>
      </c>
      <c r="C16" s="126">
        <f>일별!Q34</f>
        <v>168</v>
      </c>
      <c r="D16" s="15">
        <f>일별!I34</f>
        <v>5.1899999999986903</v>
      </c>
      <c r="F16" s="126">
        <f t="shared" si="0"/>
        <v>162.81000000000131</v>
      </c>
      <c r="AA16" s="170"/>
      <c r="AB16" s="170" t="s">
        <v>224</v>
      </c>
      <c r="AC16" s="170" t="s">
        <v>225</v>
      </c>
      <c r="AD16" s="170" t="s">
        <v>226</v>
      </c>
      <c r="AE16" s="170"/>
      <c r="AF16" s="170">
        <v>460</v>
      </c>
      <c r="AG16" s="170" t="s">
        <v>227</v>
      </c>
      <c r="AH16" s="170" t="s">
        <v>228</v>
      </c>
      <c r="AI16" s="130"/>
      <c r="AJ16" s="130"/>
      <c r="AK16" s="130"/>
      <c r="AL16" s="130"/>
    </row>
    <row r="17" spans="2:38">
      <c r="B17" s="25">
        <v>46034</v>
      </c>
      <c r="C17" s="126">
        <f>일별!Q35</f>
        <v>158</v>
      </c>
      <c r="D17" s="15">
        <f>일별!I35</f>
        <v>4</v>
      </c>
      <c r="F17" s="126">
        <f t="shared" si="0"/>
        <v>154</v>
      </c>
      <c r="AA17" s="170"/>
      <c r="AB17" s="170" t="s">
        <v>229</v>
      </c>
      <c r="AC17" s="170"/>
      <c r="AD17" s="170"/>
      <c r="AE17" s="170"/>
      <c r="AF17" s="170">
        <v>2.1</v>
      </c>
      <c r="AG17" s="170" t="s">
        <v>12</v>
      </c>
      <c r="AH17" s="170" t="s">
        <v>230</v>
      </c>
      <c r="AI17" s="130"/>
      <c r="AJ17" s="130"/>
      <c r="AK17" s="130"/>
      <c r="AL17" s="130"/>
    </row>
    <row r="18" spans="2:38">
      <c r="B18" s="25">
        <v>46035</v>
      </c>
      <c r="C18" s="126">
        <f>일별!Q36</f>
        <v>112</v>
      </c>
      <c r="D18" s="15">
        <f>일별!I36</f>
        <v>2.4500000000007276</v>
      </c>
      <c r="F18" s="126">
        <f t="shared" si="0"/>
        <v>109.54999999999927</v>
      </c>
      <c r="AA18" s="172"/>
      <c r="AB18" s="172" t="s">
        <v>231</v>
      </c>
      <c r="AC18" s="172"/>
      <c r="AD18" s="172"/>
      <c r="AE18" s="172"/>
      <c r="AF18" s="172"/>
      <c r="AG18" s="172"/>
      <c r="AH18" s="172"/>
    </row>
    <row r="19" spans="2:38">
      <c r="B19" s="25">
        <v>46036</v>
      </c>
      <c r="C19" s="126">
        <f>일별!Q37</f>
        <v>124</v>
      </c>
      <c r="D19" s="15">
        <f>일별!I37</f>
        <v>2.6500000000014552</v>
      </c>
      <c r="F19" s="126">
        <f t="shared" si="0"/>
        <v>121.34999999999854</v>
      </c>
      <c r="AA19" s="172"/>
      <c r="AB19" s="172" t="s">
        <v>232</v>
      </c>
      <c r="AC19" s="172"/>
      <c r="AD19" s="172"/>
      <c r="AE19" s="172"/>
      <c r="AF19" s="172"/>
      <c r="AG19" s="172"/>
      <c r="AH19" s="172"/>
    </row>
    <row r="20" spans="2:38">
      <c r="B20" s="25">
        <v>46037</v>
      </c>
      <c r="C20" s="126">
        <f>일별!Q38</f>
        <v>174</v>
      </c>
      <c r="D20" s="15">
        <f>일별!I38</f>
        <v>4.8999999999978172</v>
      </c>
      <c r="F20" s="126">
        <f t="shared" si="0"/>
        <v>169.10000000000218</v>
      </c>
    </row>
    <row r="21" spans="2:38">
      <c r="B21" s="25">
        <v>46038</v>
      </c>
      <c r="C21" s="126">
        <f>일별!Q39</f>
        <v>154</v>
      </c>
      <c r="D21" s="15">
        <f>일별!I39</f>
        <v>4.2300000000032014</v>
      </c>
      <c r="F21" s="126">
        <f t="shared" si="0"/>
        <v>149.7699999999968</v>
      </c>
    </row>
    <row r="22" spans="2:38">
      <c r="B22" s="25">
        <v>46039</v>
      </c>
      <c r="C22" s="126">
        <f>일별!Q40</f>
        <v>193</v>
      </c>
      <c r="D22" s="15">
        <f>일별!I40</f>
        <v>5.3799999999973807</v>
      </c>
      <c r="F22" s="126">
        <f t="shared" si="0"/>
        <v>187.62000000000262</v>
      </c>
    </row>
    <row r="23" spans="2:38">
      <c r="B23" s="25">
        <v>46040</v>
      </c>
      <c r="C23" s="126">
        <f>일별!Q41</f>
        <v>158</v>
      </c>
      <c r="D23" s="15">
        <f>일별!I41</f>
        <v>5.6900000000023283</v>
      </c>
      <c r="F23" s="126">
        <f t="shared" si="0"/>
        <v>152.30999999999767</v>
      </c>
    </row>
    <row r="24" spans="2:38">
      <c r="B24" s="25">
        <v>46041</v>
      </c>
      <c r="C24" s="126">
        <f>일별!Q42</f>
        <v>201</v>
      </c>
      <c r="D24" s="15">
        <f>일별!I42</f>
        <v>4.319999999999709</v>
      </c>
      <c r="F24" s="126">
        <f>IFERROR(C24-D24,"")</f>
        <v>196.68000000000029</v>
      </c>
    </row>
    <row r="25" spans="2:38">
      <c r="B25" s="25">
        <v>46042</v>
      </c>
      <c r="C25" s="126">
        <f>일별!Q43</f>
        <v>122</v>
      </c>
      <c r="D25" s="15">
        <f>일별!I43</f>
        <v>3.1199999999989814</v>
      </c>
      <c r="F25" s="126">
        <f t="shared" ref="F25:F88" si="1">IFERROR(C25-D25,"")</f>
        <v>118.88000000000102</v>
      </c>
    </row>
    <row r="26" spans="2:38">
      <c r="B26" s="25">
        <v>46043</v>
      </c>
      <c r="C26" s="126">
        <f>일별!Q44</f>
        <v>130</v>
      </c>
      <c r="D26" s="15">
        <f>일별!I44</f>
        <v>3.6899999999986903</v>
      </c>
      <c r="F26" s="126">
        <f t="shared" si="1"/>
        <v>126.31000000000131</v>
      </c>
    </row>
    <row r="27" spans="2:38">
      <c r="B27" s="25">
        <v>46044</v>
      </c>
      <c r="C27" s="126">
        <f>일별!Q45</f>
        <v>161</v>
      </c>
      <c r="D27" s="15">
        <f>일별!I45</f>
        <v>5.0500000000029104</v>
      </c>
      <c r="F27" s="126">
        <f t="shared" si="1"/>
        <v>155.94999999999709</v>
      </c>
    </row>
    <row r="28" spans="2:38">
      <c r="B28" s="25">
        <v>46045</v>
      </c>
      <c r="C28" s="126">
        <f>일별!Q46</f>
        <v>206</v>
      </c>
      <c r="D28" s="15">
        <f>일별!I46</f>
        <v>4.3499999999985448</v>
      </c>
      <c r="F28" s="126">
        <f t="shared" si="1"/>
        <v>201.65000000000146</v>
      </c>
    </row>
    <row r="29" spans="2:38">
      <c r="B29" s="25">
        <v>46046</v>
      </c>
      <c r="C29" s="126">
        <f>일별!Q47</f>
        <v>166</v>
      </c>
      <c r="D29" s="15">
        <f>일별!I47</f>
        <v>5.7700000000004366</v>
      </c>
      <c r="F29" s="126">
        <f t="shared" si="1"/>
        <v>160.22999999999956</v>
      </c>
    </row>
    <row r="30" spans="2:38">
      <c r="B30" s="25">
        <v>46047</v>
      </c>
      <c r="C30" s="126">
        <f>일별!Q48</f>
        <v>110</v>
      </c>
      <c r="D30" s="15">
        <f>일별!I48</f>
        <v>6.5099999999983993</v>
      </c>
      <c r="F30" s="126">
        <f t="shared" si="1"/>
        <v>103.4900000000016</v>
      </c>
    </row>
    <row r="31" spans="2:38">
      <c r="B31" s="25">
        <v>46048</v>
      </c>
      <c r="C31" s="126">
        <f>일별!Q49</f>
        <v>256</v>
      </c>
      <c r="D31" s="15">
        <f>일별!I49</f>
        <v>5.7700000000004366</v>
      </c>
      <c r="F31" s="126">
        <f t="shared" si="1"/>
        <v>250.22999999999956</v>
      </c>
    </row>
    <row r="32" spans="2:38">
      <c r="B32" s="25">
        <v>46049</v>
      </c>
      <c r="C32" s="126">
        <f>일별!Q50</f>
        <v>115</v>
      </c>
      <c r="D32" s="15">
        <f>일별!I50</f>
        <v>3.6399999999994179</v>
      </c>
      <c r="F32" s="126">
        <f t="shared" si="1"/>
        <v>111.36000000000058</v>
      </c>
    </row>
    <row r="33" spans="2:6">
      <c r="B33" s="25">
        <v>46050</v>
      </c>
      <c r="C33" s="126">
        <f>일별!Q51</f>
        <v>206</v>
      </c>
      <c r="D33" s="15">
        <f>일별!I51</f>
        <v>2.2200000000011642</v>
      </c>
      <c r="F33" s="126">
        <f t="shared" si="1"/>
        <v>203.77999999999884</v>
      </c>
    </row>
    <row r="34" spans="2:6">
      <c r="B34" s="25">
        <v>46051</v>
      </c>
      <c r="C34" s="126">
        <f>일별!Q52</f>
        <v>113</v>
      </c>
      <c r="D34" s="15">
        <f>일별!I52</f>
        <v>2.5499999999992724</v>
      </c>
      <c r="F34" s="126">
        <f t="shared" si="1"/>
        <v>110.45000000000073</v>
      </c>
    </row>
    <row r="35" spans="2:6">
      <c r="B35" s="25">
        <v>46052</v>
      </c>
      <c r="C35" s="126">
        <f>일별!Q53</f>
        <v>156</v>
      </c>
      <c r="D35" s="15">
        <f>일별!I53</f>
        <v>2.2099999999991269</v>
      </c>
      <c r="F35" s="126">
        <f t="shared" si="1"/>
        <v>153.79000000000087</v>
      </c>
    </row>
    <row r="36" spans="2:6">
      <c r="B36" s="25">
        <v>46053</v>
      </c>
      <c r="C36" s="126">
        <f>일별!Q54</f>
        <v>156</v>
      </c>
      <c r="D36" s="15">
        <f>일별!I54</f>
        <v>1.7200000000011642</v>
      </c>
      <c r="F36" s="126">
        <f t="shared" si="1"/>
        <v>154.27999999999884</v>
      </c>
    </row>
    <row r="37" spans="2:6">
      <c r="B37" s="25">
        <v>46054</v>
      </c>
      <c r="C37" s="126">
        <f>일별!Q55</f>
        <v>254</v>
      </c>
      <c r="D37" s="15">
        <f>일별!I55</f>
        <v>3.7900000000008731</v>
      </c>
      <c r="F37" s="126">
        <f t="shared" si="1"/>
        <v>250.20999999999913</v>
      </c>
    </row>
    <row r="38" spans="2:6">
      <c r="B38" s="25">
        <v>46055</v>
      </c>
      <c r="C38" s="126">
        <f>일별!Q56</f>
        <v>156</v>
      </c>
      <c r="D38" s="15">
        <f>일별!I56</f>
        <v>4.5499999999992724</v>
      </c>
      <c r="F38" s="126">
        <f t="shared" si="1"/>
        <v>151.45000000000073</v>
      </c>
    </row>
    <row r="39" spans="2:6">
      <c r="B39" s="25">
        <v>46056</v>
      </c>
      <c r="C39" s="126">
        <f>일별!Q57</f>
        <v>151</v>
      </c>
      <c r="D39" s="15">
        <f>일별!I57</f>
        <v>2.2099999999991269</v>
      </c>
      <c r="F39" s="126">
        <f t="shared" si="1"/>
        <v>148.79000000000087</v>
      </c>
    </row>
    <row r="40" spans="2:6">
      <c r="B40" s="25">
        <v>46057</v>
      </c>
      <c r="C40" s="126">
        <f>일별!Q58</f>
        <v>109</v>
      </c>
      <c r="D40" s="15">
        <f>일별!I58</f>
        <v>1.9799999999995634</v>
      </c>
      <c r="F40" s="126">
        <f t="shared" si="1"/>
        <v>107.02000000000044</v>
      </c>
    </row>
    <row r="41" spans="2:6">
      <c r="B41" s="25">
        <v>46058</v>
      </c>
      <c r="C41" s="126">
        <f>일별!Q59</f>
        <v>115</v>
      </c>
      <c r="D41" s="15">
        <f>일별!I59</f>
        <v>4.6000000000021828</v>
      </c>
      <c r="F41" s="126">
        <f t="shared" si="1"/>
        <v>110.39999999999782</v>
      </c>
    </row>
    <row r="42" spans="2:6">
      <c r="B42" s="25">
        <v>46059</v>
      </c>
      <c r="C42" s="126">
        <f>일별!Q60</f>
        <v>106</v>
      </c>
      <c r="D42" s="15">
        <f>일별!I60</f>
        <v>4.3499999999985448</v>
      </c>
      <c r="F42" s="126">
        <f t="shared" si="1"/>
        <v>101.65000000000146</v>
      </c>
    </row>
    <row r="43" spans="2:6">
      <c r="B43" s="25">
        <v>46060</v>
      </c>
      <c r="C43" s="126">
        <f>일별!Q61</f>
        <v>65</v>
      </c>
      <c r="D43" s="15">
        <f>일별!I61</f>
        <v>4.4099999999998545</v>
      </c>
      <c r="F43" s="126">
        <f t="shared" si="1"/>
        <v>60.590000000000146</v>
      </c>
    </row>
    <row r="44" spans="2:6">
      <c r="B44" s="25">
        <v>46061</v>
      </c>
      <c r="C44" s="126">
        <f>일별!Q62</f>
        <v>23</v>
      </c>
      <c r="D44" s="15">
        <f>일별!I62</f>
        <v>4.0800000000017462</v>
      </c>
      <c r="F44" s="126">
        <f t="shared" si="1"/>
        <v>18.919999999998254</v>
      </c>
    </row>
    <row r="45" spans="2:6">
      <c r="B45" s="25">
        <v>46062</v>
      </c>
      <c r="C45" s="126">
        <f>일별!Q63</f>
        <v>135</v>
      </c>
      <c r="D45" s="15">
        <f>일별!I63</f>
        <v>5.3699999999989814</v>
      </c>
      <c r="F45" s="126">
        <f t="shared" si="1"/>
        <v>129.63000000000102</v>
      </c>
    </row>
    <row r="46" spans="2:6">
      <c r="B46" s="25">
        <v>46063</v>
      </c>
      <c r="C46" s="126">
        <f>일별!Q64</f>
        <v>21</v>
      </c>
      <c r="D46" s="15">
        <f>일별!I64</f>
        <v>1.5800000000017462</v>
      </c>
      <c r="F46" s="126">
        <f t="shared" si="1"/>
        <v>19.419999999998254</v>
      </c>
    </row>
    <row r="47" spans="2:6">
      <c r="B47" s="25">
        <v>46064</v>
      </c>
      <c r="C47" s="126">
        <f>일별!Q65</f>
        <v>21</v>
      </c>
      <c r="D47" s="15">
        <f>일별!I65</f>
        <v>1.5900000000001455</v>
      </c>
      <c r="F47" s="126">
        <f t="shared" si="1"/>
        <v>19.409999999999854</v>
      </c>
    </row>
    <row r="48" spans="2:6">
      <c r="B48" s="25">
        <v>46065</v>
      </c>
      <c r="C48" s="126">
        <f>일별!Q66</f>
        <v>65</v>
      </c>
      <c r="D48" s="15">
        <f>일별!I66</f>
        <v>1.8599999999969441</v>
      </c>
      <c r="F48" s="126">
        <f t="shared" si="1"/>
        <v>63.140000000003056</v>
      </c>
    </row>
    <row r="49" spans="2:6">
      <c r="B49" s="25">
        <v>46066</v>
      </c>
      <c r="C49" s="126">
        <f>일별!Q67</f>
        <v>66</v>
      </c>
      <c r="D49" s="15">
        <f>일별!I67</f>
        <v>4.25</v>
      </c>
      <c r="F49" s="126">
        <f t="shared" si="1"/>
        <v>61.75</v>
      </c>
    </row>
    <row r="50" spans="2:6">
      <c r="B50" s="25">
        <v>46067</v>
      </c>
      <c r="C50" s="126">
        <f>일별!Q68</f>
        <v>21</v>
      </c>
      <c r="D50" s="15">
        <f>일별!I68</f>
        <v>3.2400000000016007</v>
      </c>
      <c r="F50" s="126">
        <f t="shared" si="1"/>
        <v>17.759999999998399</v>
      </c>
    </row>
    <row r="51" spans="2:6">
      <c r="B51" s="25">
        <v>46068</v>
      </c>
      <c r="C51" s="126">
        <f>일별!Q69</f>
        <v>106</v>
      </c>
      <c r="D51" s="15">
        <f>일별!I69</f>
        <v>4.1100000000005821</v>
      </c>
      <c r="F51" s="126">
        <f t="shared" si="1"/>
        <v>101.88999999999942</v>
      </c>
    </row>
    <row r="52" spans="2:6">
      <c r="B52" s="25">
        <v>46069</v>
      </c>
      <c r="C52" s="126">
        <f>일별!Q70</f>
        <v>65</v>
      </c>
      <c r="D52" s="15">
        <f>일별!I70</f>
        <v>3.7200000000011642</v>
      </c>
      <c r="F52" s="126">
        <f t="shared" si="1"/>
        <v>61.279999999998836</v>
      </c>
    </row>
    <row r="53" spans="2:6">
      <c r="B53" s="25">
        <v>46070</v>
      </c>
      <c r="C53" s="126">
        <f>일별!Q71</f>
        <v>142</v>
      </c>
      <c r="D53" s="15">
        <f>일별!I71</f>
        <v>1.2299999999995634</v>
      </c>
      <c r="F53" s="126">
        <f t="shared" si="1"/>
        <v>140.77000000000044</v>
      </c>
    </row>
    <row r="54" spans="2:6">
      <c r="B54" s="25">
        <v>46071</v>
      </c>
      <c r="C54" s="126">
        <f>일별!Q72</f>
        <v>104</v>
      </c>
      <c r="D54" s="15">
        <f>일별!I72</f>
        <v>1.4399999999986903</v>
      </c>
      <c r="F54" s="126">
        <f t="shared" si="1"/>
        <v>102.56000000000131</v>
      </c>
    </row>
    <row r="55" spans="2:6">
      <c r="B55" s="25">
        <v>46072</v>
      </c>
      <c r="C55" s="126">
        <f>일별!Q73</f>
        <v>164</v>
      </c>
      <c r="D55" s="15">
        <f>일별!I73</f>
        <v>5.1199999999989814</v>
      </c>
      <c r="F55" s="126">
        <f t="shared" si="1"/>
        <v>158.88000000000102</v>
      </c>
    </row>
    <row r="56" spans="2:6">
      <c r="B56" s="25">
        <v>46073</v>
      </c>
      <c r="C56" s="126">
        <f>일별!Q74</f>
        <v>148</v>
      </c>
      <c r="D56" s="15">
        <f>일별!I74</f>
        <v>4.2800000000024738</v>
      </c>
      <c r="F56" s="126">
        <f t="shared" si="1"/>
        <v>143.71999999999753</v>
      </c>
    </row>
    <row r="57" spans="2:6">
      <c r="B57" s="25">
        <v>46074</v>
      </c>
      <c r="C57" s="126">
        <f>일별!Q75</f>
        <v>66</v>
      </c>
      <c r="D57" s="15">
        <f>일별!I75</f>
        <v>3.7599999999983993</v>
      </c>
      <c r="F57" s="126">
        <f t="shared" si="1"/>
        <v>62.240000000001601</v>
      </c>
    </row>
    <row r="58" spans="2:6">
      <c r="B58" s="25">
        <v>46075</v>
      </c>
      <c r="C58" s="126">
        <f>일별!Q76</f>
        <v>179</v>
      </c>
      <c r="D58" s="15">
        <f>일별!I76</f>
        <v>3.319999999999709</v>
      </c>
      <c r="F58" s="126">
        <f t="shared" si="1"/>
        <v>175.68000000000029</v>
      </c>
    </row>
    <row r="59" spans="2:6">
      <c r="B59" s="25">
        <v>46076</v>
      </c>
      <c r="C59" s="126">
        <f>일별!Q77</f>
        <v>198</v>
      </c>
      <c r="D59" s="15">
        <f>일별!I77</f>
        <v>3.6300000000010186</v>
      </c>
      <c r="F59" s="126">
        <f t="shared" si="1"/>
        <v>194.36999999999898</v>
      </c>
    </row>
    <row r="60" spans="2:6">
      <c r="B60" s="25">
        <v>46077</v>
      </c>
      <c r="C60" s="126">
        <f>일별!Q78</f>
        <v>60</v>
      </c>
      <c r="D60" s="15">
        <f>일별!I78</f>
        <v>2.0799999999981083</v>
      </c>
      <c r="F60" s="126">
        <f t="shared" si="1"/>
        <v>57.920000000001892</v>
      </c>
    </row>
    <row r="61" spans="2:6">
      <c r="B61" s="25">
        <v>46078</v>
      </c>
      <c r="C61" s="126">
        <f>일별!Q79</f>
        <v>19</v>
      </c>
      <c r="D61" s="15">
        <f>일별!I79</f>
        <v>1.5</v>
      </c>
      <c r="F61" s="126">
        <f t="shared" si="1"/>
        <v>17.5</v>
      </c>
    </row>
    <row r="62" spans="2:6">
      <c r="B62" s="25">
        <v>46079</v>
      </c>
      <c r="C62" s="126">
        <f>일별!Q80</f>
        <v>115</v>
      </c>
      <c r="D62" s="15">
        <f>일별!I80</f>
        <v>4.3300000000017462</v>
      </c>
      <c r="F62" s="126">
        <f t="shared" si="1"/>
        <v>110.66999999999825</v>
      </c>
    </row>
    <row r="63" spans="2:6">
      <c r="B63" s="25">
        <v>46080</v>
      </c>
      <c r="C63" s="126">
        <f>일별!Q81</f>
        <v>67</v>
      </c>
      <c r="D63" s="15">
        <f>일별!I81</f>
        <v>4.2900000000008731</v>
      </c>
      <c r="F63" s="126">
        <f t="shared" si="1"/>
        <v>62.709999999999127</v>
      </c>
    </row>
    <row r="64" spans="2:6">
      <c r="B64" s="25">
        <v>46081</v>
      </c>
      <c r="C64" s="126">
        <f>일별!Q82</f>
        <v>190</v>
      </c>
      <c r="D64" s="15">
        <f>일별!I82</f>
        <v>3.2199999999975262</v>
      </c>
      <c r="F64" s="126">
        <f t="shared" si="1"/>
        <v>186.78000000000247</v>
      </c>
    </row>
    <row r="65" spans="2:6">
      <c r="B65" s="25">
        <v>46082</v>
      </c>
      <c r="C65" s="126">
        <f>일별!Q83</f>
        <v>109</v>
      </c>
      <c r="D65" s="15">
        <f>일별!I83</f>
        <v>3.6500000000014552</v>
      </c>
      <c r="F65" s="126">
        <f t="shared" si="1"/>
        <v>105.34999999999854</v>
      </c>
    </row>
    <row r="66" spans="2:6">
      <c r="B66" s="25">
        <v>46083</v>
      </c>
      <c r="C66" s="126">
        <f>일별!Q84</f>
        <v>148</v>
      </c>
      <c r="D66" s="15">
        <f>일별!I84</f>
        <v>3.4899999999979627</v>
      </c>
      <c r="F66" s="126">
        <f t="shared" si="1"/>
        <v>144.51000000000204</v>
      </c>
    </row>
    <row r="67" spans="2:6">
      <c r="B67" s="25">
        <v>46084</v>
      </c>
      <c r="C67" s="126">
        <f>일별!Q85</f>
        <v>20</v>
      </c>
      <c r="D67" s="15">
        <f>일별!I85</f>
        <v>1.0500000000029104</v>
      </c>
      <c r="F67" s="126">
        <f t="shared" si="1"/>
        <v>18.94999999999709</v>
      </c>
    </row>
    <row r="68" spans="2:6">
      <c r="B68" s="25">
        <v>46085</v>
      </c>
      <c r="C68" s="126">
        <f>일별!Q86</f>
        <v>19</v>
      </c>
      <c r="D68" s="15">
        <f>일별!I86</f>
        <v>1.3899999999994179</v>
      </c>
      <c r="F68" s="126">
        <f t="shared" si="1"/>
        <v>17.610000000000582</v>
      </c>
    </row>
    <row r="69" spans="2:6">
      <c r="B69" s="25">
        <v>46086</v>
      </c>
      <c r="C69" s="126">
        <f>일별!Q87</f>
        <v>152</v>
      </c>
      <c r="D69" s="15">
        <f>일별!I87</f>
        <v>4.0499999999992724</v>
      </c>
      <c r="F69" s="126">
        <f t="shared" si="1"/>
        <v>147.95000000000073</v>
      </c>
    </row>
    <row r="70" spans="2:6">
      <c r="B70" s="25">
        <v>46087</v>
      </c>
      <c r="C70" s="126">
        <f>일별!Q88</f>
        <v>88</v>
      </c>
      <c r="D70" s="15">
        <f>일별!I88</f>
        <v>4.3800000000010186</v>
      </c>
      <c r="F70" s="126">
        <f t="shared" si="1"/>
        <v>83.619999999998981</v>
      </c>
    </row>
    <row r="71" spans="2:6">
      <c r="B71" s="25">
        <v>46088</v>
      </c>
      <c r="C71" s="126">
        <f>일별!Q89</f>
        <v>63</v>
      </c>
      <c r="D71" s="15">
        <f>일별!I89</f>
        <v>4.569999999999709</v>
      </c>
      <c r="F71" s="126">
        <f t="shared" si="1"/>
        <v>58.430000000000291</v>
      </c>
    </row>
    <row r="72" spans="2:6">
      <c r="B72" s="25">
        <v>46089</v>
      </c>
      <c r="C72" s="126">
        <f>일별!Q90</f>
        <v>68</v>
      </c>
      <c r="D72" s="15">
        <f>일별!I90</f>
        <v>4.1899999999986903</v>
      </c>
      <c r="F72" s="126">
        <f t="shared" si="1"/>
        <v>63.81000000000131</v>
      </c>
    </row>
    <row r="73" spans="2:6">
      <c r="B73" s="25">
        <v>46090</v>
      </c>
      <c r="C73" s="126">
        <f>일별!Q91</f>
        <v>151</v>
      </c>
      <c r="D73" s="15">
        <f>일별!I91</f>
        <v>3.2700000000004366</v>
      </c>
      <c r="F73" s="126">
        <f t="shared" si="1"/>
        <v>147.72999999999956</v>
      </c>
    </row>
    <row r="74" spans="2:6">
      <c r="B74" s="25">
        <v>46091</v>
      </c>
      <c r="C74" s="126">
        <f>일별!Q92</f>
        <v>21</v>
      </c>
      <c r="D74" s="15">
        <f>일별!I92</f>
        <v>2.3100000000013097</v>
      </c>
      <c r="F74" s="126">
        <f t="shared" si="1"/>
        <v>18.68999999999869</v>
      </c>
    </row>
    <row r="75" spans="2:6">
      <c r="B75" s="25">
        <v>46092</v>
      </c>
      <c r="C75" s="126">
        <f>일별!Q93</f>
        <v>20</v>
      </c>
      <c r="D75" s="15">
        <f>일별!I93</f>
        <v>1.7399999999979627</v>
      </c>
      <c r="F75" s="126">
        <f t="shared" si="1"/>
        <v>18.260000000002037</v>
      </c>
    </row>
    <row r="76" spans="2:6">
      <c r="B76" s="25">
        <v>46093</v>
      </c>
      <c r="C76" s="126">
        <f>일별!Q94</f>
        <v>61</v>
      </c>
      <c r="D76" s="15">
        <f>일별!I94</f>
        <v>2.1700000000018917</v>
      </c>
      <c r="F76" s="126">
        <f t="shared" si="1"/>
        <v>58.829999999998108</v>
      </c>
    </row>
    <row r="77" spans="2:6">
      <c r="B77" s="25">
        <v>46094</v>
      </c>
      <c r="C77" s="126">
        <f>일별!Q95</f>
        <v>21</v>
      </c>
      <c r="D77" s="15">
        <f>일별!I95</f>
        <v>1.6199999999989814</v>
      </c>
      <c r="F77" s="126">
        <f t="shared" si="1"/>
        <v>19.380000000001019</v>
      </c>
    </row>
    <row r="78" spans="2:6">
      <c r="B78" s="25">
        <v>46095</v>
      </c>
      <c r="C78" s="126">
        <f>일별!Q96</f>
        <v>113</v>
      </c>
      <c r="D78" s="15">
        <f>일별!I96</f>
        <v>3.7599999999983993</v>
      </c>
      <c r="F78" s="126">
        <f t="shared" si="1"/>
        <v>109.2400000000016</v>
      </c>
    </row>
    <row r="79" spans="2:6">
      <c r="B79" s="25">
        <v>46096</v>
      </c>
      <c r="C79" s="126">
        <f>일별!Q97</f>
        <v>132</v>
      </c>
      <c r="D79" s="15">
        <f>일별!I97</f>
        <v>3.8600000000005821</v>
      </c>
      <c r="F79" s="126">
        <f t="shared" si="1"/>
        <v>128.13999999999942</v>
      </c>
    </row>
    <row r="80" spans="2:6">
      <c r="B80" s="25">
        <v>46097</v>
      </c>
      <c r="C80" s="126">
        <f>일별!Q98</f>
        <v>70</v>
      </c>
      <c r="D80" s="15">
        <f>일별!I98</f>
        <v>4.0500000000029104</v>
      </c>
      <c r="F80" s="126">
        <f t="shared" si="1"/>
        <v>65.94999999999709</v>
      </c>
    </row>
    <row r="81" spans="2:6">
      <c r="B81" s="25">
        <v>46098</v>
      </c>
      <c r="C81" s="126">
        <f>일별!Q99</f>
        <v>21</v>
      </c>
      <c r="D81" s="15">
        <f>일별!I99</f>
        <v>1.4599999999991269</v>
      </c>
      <c r="F81" s="126">
        <f t="shared" si="1"/>
        <v>19.540000000000873</v>
      </c>
    </row>
    <row r="82" spans="2:6">
      <c r="B82" s="25">
        <v>46099</v>
      </c>
      <c r="C82" s="126">
        <f>일별!Q100</f>
        <v>66</v>
      </c>
      <c r="D82" s="15">
        <f>일별!I100</f>
        <v>1.7999999999992724</v>
      </c>
      <c r="F82" s="126">
        <f t="shared" si="1"/>
        <v>64.200000000000728</v>
      </c>
    </row>
    <row r="83" spans="2:6">
      <c r="B83" s="25">
        <v>46100</v>
      </c>
      <c r="C83" s="126">
        <f>일별!Q101</f>
        <v>76</v>
      </c>
      <c r="D83" s="15">
        <f>일별!I101</f>
        <v>3.8600000000005821</v>
      </c>
      <c r="F83" s="126">
        <f t="shared" si="1"/>
        <v>72.139999999999418</v>
      </c>
    </row>
    <row r="84" spans="2:6">
      <c r="B84" s="25">
        <v>46101</v>
      </c>
      <c r="C84" s="126">
        <f>일별!Q102</f>
        <v>80</v>
      </c>
      <c r="D84" s="15">
        <f>일별!I102</f>
        <v>4.3999999999978172</v>
      </c>
      <c r="F84" s="126">
        <f t="shared" si="1"/>
        <v>75.600000000002183</v>
      </c>
    </row>
    <row r="85" spans="2:6">
      <c r="B85" s="25">
        <v>46102</v>
      </c>
      <c r="C85" s="126" t="str">
        <f>일별!Q103</f>
        <v/>
      </c>
      <c r="D85" s="15" t="str">
        <f>일별!I103</f>
        <v/>
      </c>
      <c r="F85" s="126" t="str">
        <f t="shared" si="1"/>
        <v/>
      </c>
    </row>
    <row r="86" spans="2:6">
      <c r="B86" s="25">
        <v>46103</v>
      </c>
      <c r="C86" s="126" t="str">
        <f>일별!Q104</f>
        <v/>
      </c>
      <c r="D86" s="15" t="str">
        <f>일별!I104</f>
        <v/>
      </c>
      <c r="F86" s="126" t="str">
        <f t="shared" si="1"/>
        <v/>
      </c>
    </row>
    <row r="87" spans="2:6">
      <c r="B87" s="25">
        <v>46104</v>
      </c>
      <c r="C87" s="126" t="str">
        <f>일별!Q105</f>
        <v/>
      </c>
      <c r="D87" s="15" t="str">
        <f>일별!I105</f>
        <v/>
      </c>
      <c r="F87" s="126" t="str">
        <f t="shared" si="1"/>
        <v/>
      </c>
    </row>
    <row r="88" spans="2:6">
      <c r="B88" s="25">
        <v>46105</v>
      </c>
      <c r="C88" s="126" t="str">
        <f>일별!Q106</f>
        <v/>
      </c>
      <c r="D88" s="15" t="str">
        <f>일별!I106</f>
        <v/>
      </c>
      <c r="F88" s="126" t="str">
        <f t="shared" si="1"/>
        <v/>
      </c>
    </row>
    <row r="89" spans="2:6">
      <c r="B89" s="25">
        <v>46106</v>
      </c>
      <c r="C89" s="126" t="str">
        <f>일별!Q107</f>
        <v/>
      </c>
      <c r="D89" s="15" t="str">
        <f>일별!I107</f>
        <v/>
      </c>
      <c r="F89" s="126" t="str">
        <f t="shared" ref="F89:F152" si="2">IFERROR(C89-D89,"")</f>
        <v/>
      </c>
    </row>
    <row r="90" spans="2:6">
      <c r="B90" s="25">
        <v>46107</v>
      </c>
      <c r="C90" s="126" t="str">
        <f>일별!Q108</f>
        <v/>
      </c>
      <c r="D90" s="15" t="str">
        <f>일별!I108</f>
        <v/>
      </c>
      <c r="F90" s="126" t="str">
        <f t="shared" si="2"/>
        <v/>
      </c>
    </row>
    <row r="91" spans="2:6">
      <c r="B91" s="25">
        <v>46108</v>
      </c>
      <c r="C91" s="126" t="str">
        <f>일별!Q109</f>
        <v/>
      </c>
      <c r="D91" s="15" t="str">
        <f>일별!I109</f>
        <v/>
      </c>
      <c r="F91" s="126" t="str">
        <f t="shared" si="2"/>
        <v/>
      </c>
    </row>
    <row r="92" spans="2:6">
      <c r="B92" s="25">
        <v>46109</v>
      </c>
      <c r="C92" s="126" t="str">
        <f>일별!Q110</f>
        <v/>
      </c>
      <c r="D92" s="15" t="str">
        <f>일별!I110</f>
        <v/>
      </c>
      <c r="F92" s="126" t="str">
        <f t="shared" si="2"/>
        <v/>
      </c>
    </row>
    <row r="93" spans="2:6">
      <c r="B93" s="25">
        <v>46110</v>
      </c>
      <c r="C93" s="126" t="str">
        <f>일별!Q111</f>
        <v/>
      </c>
      <c r="D93" s="15" t="str">
        <f>일별!I111</f>
        <v/>
      </c>
      <c r="F93" s="126" t="str">
        <f t="shared" si="2"/>
        <v/>
      </c>
    </row>
    <row r="94" spans="2:6">
      <c r="B94" s="25">
        <v>46111</v>
      </c>
      <c r="C94" s="126" t="str">
        <f>일별!Q112</f>
        <v/>
      </c>
      <c r="D94" s="15" t="str">
        <f>일별!I112</f>
        <v/>
      </c>
      <c r="F94" s="126" t="str">
        <f t="shared" si="2"/>
        <v/>
      </c>
    </row>
    <row r="95" spans="2:6">
      <c r="B95" s="25">
        <v>46112</v>
      </c>
      <c r="C95" s="126" t="str">
        <f>일별!Q113</f>
        <v/>
      </c>
      <c r="D95" s="15" t="str">
        <f>일별!I113</f>
        <v/>
      </c>
      <c r="F95" s="126" t="str">
        <f t="shared" si="2"/>
        <v/>
      </c>
    </row>
    <row r="96" spans="2:6">
      <c r="B96" s="25">
        <v>46113</v>
      </c>
      <c r="C96" s="126" t="str">
        <f>일별!Q114</f>
        <v/>
      </c>
      <c r="D96" s="15" t="str">
        <f>일별!I114</f>
        <v/>
      </c>
      <c r="F96" s="126" t="str">
        <f t="shared" si="2"/>
        <v/>
      </c>
    </row>
    <row r="97" spans="2:6">
      <c r="B97" s="25">
        <v>46114</v>
      </c>
      <c r="C97" s="126" t="str">
        <f>일별!Q115</f>
        <v/>
      </c>
      <c r="D97" s="15" t="str">
        <f>일별!I115</f>
        <v/>
      </c>
      <c r="F97" s="126" t="str">
        <f t="shared" si="2"/>
        <v/>
      </c>
    </row>
    <row r="98" spans="2:6">
      <c r="B98" s="25">
        <v>46115</v>
      </c>
      <c r="C98" s="126" t="str">
        <f>일별!Q116</f>
        <v/>
      </c>
      <c r="D98" s="15" t="str">
        <f>일별!I116</f>
        <v/>
      </c>
      <c r="F98" s="126" t="str">
        <f t="shared" si="2"/>
        <v/>
      </c>
    </row>
    <row r="99" spans="2:6">
      <c r="B99" s="25">
        <v>46116</v>
      </c>
      <c r="C99" s="126" t="str">
        <f>일별!Q117</f>
        <v/>
      </c>
      <c r="D99" s="15" t="str">
        <f>일별!I117</f>
        <v/>
      </c>
      <c r="F99" s="126" t="str">
        <f t="shared" si="2"/>
        <v/>
      </c>
    </row>
    <row r="100" spans="2:6">
      <c r="B100" s="25">
        <v>46117</v>
      </c>
      <c r="C100" s="126" t="str">
        <f>일별!Q118</f>
        <v/>
      </c>
      <c r="D100" s="15" t="str">
        <f>일별!I118</f>
        <v/>
      </c>
      <c r="F100" s="126" t="str">
        <f t="shared" si="2"/>
        <v/>
      </c>
    </row>
    <row r="101" spans="2:6">
      <c r="B101" s="25">
        <v>46118</v>
      </c>
      <c r="C101" s="126" t="str">
        <f>일별!Q119</f>
        <v/>
      </c>
      <c r="D101" s="15" t="str">
        <f>일별!I119</f>
        <v/>
      </c>
      <c r="F101" s="126" t="str">
        <f t="shared" si="2"/>
        <v/>
      </c>
    </row>
    <row r="102" spans="2:6">
      <c r="B102" s="25">
        <v>46119</v>
      </c>
      <c r="C102" s="126" t="str">
        <f>일별!Q120</f>
        <v/>
      </c>
      <c r="D102" s="15" t="str">
        <f>일별!I120</f>
        <v/>
      </c>
      <c r="F102" s="126" t="str">
        <f t="shared" si="2"/>
        <v/>
      </c>
    </row>
    <row r="103" spans="2:6">
      <c r="B103" s="25">
        <v>46120</v>
      </c>
      <c r="C103" s="126" t="str">
        <f>일별!Q121</f>
        <v/>
      </c>
      <c r="D103" s="15" t="str">
        <f>일별!I121</f>
        <v/>
      </c>
      <c r="F103" s="126" t="str">
        <f t="shared" si="2"/>
        <v/>
      </c>
    </row>
    <row r="104" spans="2:6">
      <c r="B104" s="25">
        <v>46121</v>
      </c>
      <c r="C104" s="126" t="str">
        <f>일별!Q122</f>
        <v/>
      </c>
      <c r="D104" s="15" t="str">
        <f>일별!I122</f>
        <v/>
      </c>
      <c r="F104" s="126" t="str">
        <f t="shared" si="2"/>
        <v/>
      </c>
    </row>
    <row r="105" spans="2:6">
      <c r="B105" s="25">
        <v>46122</v>
      </c>
      <c r="C105" s="126" t="str">
        <f>일별!Q123</f>
        <v/>
      </c>
      <c r="D105" s="15" t="str">
        <f>일별!I123</f>
        <v/>
      </c>
      <c r="F105" s="126" t="str">
        <f t="shared" si="2"/>
        <v/>
      </c>
    </row>
    <row r="106" spans="2:6">
      <c r="B106" s="25">
        <v>46123</v>
      </c>
      <c r="C106" s="126" t="str">
        <f>일별!Q124</f>
        <v/>
      </c>
      <c r="D106" s="15" t="str">
        <f>일별!I124</f>
        <v/>
      </c>
      <c r="F106" s="126" t="str">
        <f t="shared" si="2"/>
        <v/>
      </c>
    </row>
    <row r="107" spans="2:6">
      <c r="B107" s="25">
        <v>46124</v>
      </c>
      <c r="C107" s="126" t="str">
        <f>일별!Q125</f>
        <v/>
      </c>
      <c r="D107" s="15" t="str">
        <f>일별!I125</f>
        <v/>
      </c>
      <c r="F107" s="126" t="str">
        <f t="shared" si="2"/>
        <v/>
      </c>
    </row>
    <row r="108" spans="2:6">
      <c r="B108" s="25">
        <v>46125</v>
      </c>
      <c r="C108" s="126" t="str">
        <f>일별!Q126</f>
        <v/>
      </c>
      <c r="D108" s="15" t="str">
        <f>일별!I126</f>
        <v/>
      </c>
      <c r="F108" s="126" t="str">
        <f t="shared" si="2"/>
        <v/>
      </c>
    </row>
    <row r="109" spans="2:6">
      <c r="B109" s="25">
        <v>46126</v>
      </c>
      <c r="C109" s="126" t="str">
        <f>일별!Q127</f>
        <v/>
      </c>
      <c r="D109" s="15" t="str">
        <f>일별!I127</f>
        <v/>
      </c>
      <c r="F109" s="126" t="str">
        <f t="shared" si="2"/>
        <v/>
      </c>
    </row>
    <row r="110" spans="2:6">
      <c r="B110" s="25">
        <v>46127</v>
      </c>
      <c r="C110" s="126" t="str">
        <f>일별!Q128</f>
        <v/>
      </c>
      <c r="D110" s="15" t="str">
        <f>일별!I128</f>
        <v/>
      </c>
      <c r="F110" s="126" t="str">
        <f t="shared" si="2"/>
        <v/>
      </c>
    </row>
    <row r="111" spans="2:6">
      <c r="B111" s="25">
        <v>46128</v>
      </c>
      <c r="C111" s="126" t="str">
        <f>일별!Q129</f>
        <v/>
      </c>
      <c r="D111" s="15" t="str">
        <f>일별!I129</f>
        <v/>
      </c>
      <c r="F111" s="126" t="str">
        <f t="shared" si="2"/>
        <v/>
      </c>
    </row>
    <row r="112" spans="2:6">
      <c r="B112" s="25">
        <v>46129</v>
      </c>
      <c r="C112" s="126" t="str">
        <f>일별!Q130</f>
        <v/>
      </c>
      <c r="D112" s="15" t="str">
        <f>일별!I130</f>
        <v/>
      </c>
      <c r="F112" s="126" t="str">
        <f t="shared" si="2"/>
        <v/>
      </c>
    </row>
    <row r="113" spans="2:6">
      <c r="B113" s="25">
        <v>46130</v>
      </c>
      <c r="C113" s="126" t="str">
        <f>일별!Q131</f>
        <v/>
      </c>
      <c r="D113" s="15" t="str">
        <f>일별!I131</f>
        <v/>
      </c>
      <c r="F113" s="126" t="str">
        <f t="shared" si="2"/>
        <v/>
      </c>
    </row>
    <row r="114" spans="2:6">
      <c r="B114" s="25">
        <v>46131</v>
      </c>
      <c r="C114" s="126" t="str">
        <f>일별!Q132</f>
        <v/>
      </c>
      <c r="D114" s="15" t="str">
        <f>일별!I132</f>
        <v/>
      </c>
      <c r="F114" s="126" t="str">
        <f t="shared" si="2"/>
        <v/>
      </c>
    </row>
    <row r="115" spans="2:6">
      <c r="B115" s="25">
        <v>46132</v>
      </c>
      <c r="C115" s="126" t="str">
        <f>일별!Q133</f>
        <v/>
      </c>
      <c r="D115" s="15" t="str">
        <f>일별!I133</f>
        <v/>
      </c>
      <c r="F115" s="126" t="str">
        <f t="shared" si="2"/>
        <v/>
      </c>
    </row>
    <row r="116" spans="2:6">
      <c r="B116" s="25">
        <v>46133</v>
      </c>
      <c r="C116" s="126" t="str">
        <f>일별!Q134</f>
        <v/>
      </c>
      <c r="D116" s="15" t="str">
        <f>일별!I134</f>
        <v/>
      </c>
      <c r="F116" s="126" t="str">
        <f t="shared" si="2"/>
        <v/>
      </c>
    </row>
    <row r="117" spans="2:6">
      <c r="B117" s="25">
        <v>46134</v>
      </c>
      <c r="C117" s="126" t="str">
        <f>일별!Q135</f>
        <v/>
      </c>
      <c r="D117" s="15" t="str">
        <f>일별!I135</f>
        <v/>
      </c>
      <c r="F117" s="126" t="str">
        <f t="shared" si="2"/>
        <v/>
      </c>
    </row>
    <row r="118" spans="2:6">
      <c r="B118" s="25">
        <v>46135</v>
      </c>
      <c r="C118" s="126" t="str">
        <f>일별!Q136</f>
        <v/>
      </c>
      <c r="D118" s="15" t="str">
        <f>일별!I136</f>
        <v/>
      </c>
      <c r="F118" s="126" t="str">
        <f t="shared" si="2"/>
        <v/>
      </c>
    </row>
    <row r="119" spans="2:6">
      <c r="B119" s="25">
        <v>46136</v>
      </c>
      <c r="C119" s="126" t="str">
        <f>일별!Q137</f>
        <v/>
      </c>
      <c r="D119" s="15" t="str">
        <f>일별!I137</f>
        <v/>
      </c>
      <c r="F119" s="126" t="str">
        <f t="shared" si="2"/>
        <v/>
      </c>
    </row>
    <row r="120" spans="2:6">
      <c r="B120" s="25">
        <v>46137</v>
      </c>
      <c r="C120" s="126" t="str">
        <f>일별!Q138</f>
        <v/>
      </c>
      <c r="D120" s="15" t="str">
        <f>일별!I138</f>
        <v/>
      </c>
      <c r="F120" s="126" t="str">
        <f t="shared" si="2"/>
        <v/>
      </c>
    </row>
    <row r="121" spans="2:6">
      <c r="B121" s="25">
        <v>46138</v>
      </c>
      <c r="C121" s="126" t="str">
        <f>일별!Q139</f>
        <v/>
      </c>
      <c r="D121" s="15" t="str">
        <f>일별!I139</f>
        <v/>
      </c>
      <c r="F121" s="126" t="str">
        <f t="shared" si="2"/>
        <v/>
      </c>
    </row>
    <row r="122" spans="2:6">
      <c r="B122" s="25">
        <v>46139</v>
      </c>
      <c r="C122" s="126" t="str">
        <f>일별!Q140</f>
        <v/>
      </c>
      <c r="D122" s="15" t="str">
        <f>일별!I140</f>
        <v/>
      </c>
      <c r="F122" s="126" t="str">
        <f t="shared" si="2"/>
        <v/>
      </c>
    </row>
    <row r="123" spans="2:6">
      <c r="B123" s="25">
        <v>46140</v>
      </c>
      <c r="C123" s="126" t="str">
        <f>일별!Q141</f>
        <v/>
      </c>
      <c r="D123" s="15" t="str">
        <f>일별!I141</f>
        <v/>
      </c>
      <c r="F123" s="126" t="str">
        <f t="shared" si="2"/>
        <v/>
      </c>
    </row>
    <row r="124" spans="2:6">
      <c r="B124" s="25">
        <v>46141</v>
      </c>
      <c r="C124" s="126" t="str">
        <f>일별!Q142</f>
        <v/>
      </c>
      <c r="D124" s="15" t="str">
        <f>일별!I142</f>
        <v/>
      </c>
      <c r="F124" s="126" t="str">
        <f t="shared" si="2"/>
        <v/>
      </c>
    </row>
    <row r="125" spans="2:6">
      <c r="B125" s="25">
        <v>46142</v>
      </c>
      <c r="C125" s="126" t="str">
        <f>일별!Q143</f>
        <v/>
      </c>
      <c r="D125" s="15" t="str">
        <f>일별!I143</f>
        <v/>
      </c>
      <c r="F125" s="126" t="str">
        <f t="shared" si="2"/>
        <v/>
      </c>
    </row>
    <row r="126" spans="2:6">
      <c r="B126" s="25">
        <v>46143</v>
      </c>
      <c r="C126" s="126" t="str">
        <f>일별!Q144</f>
        <v/>
      </c>
      <c r="D126" s="15" t="str">
        <f>일별!I144</f>
        <v/>
      </c>
      <c r="F126" s="126" t="str">
        <f t="shared" si="2"/>
        <v/>
      </c>
    </row>
    <row r="127" spans="2:6">
      <c r="B127" s="25">
        <v>46144</v>
      </c>
      <c r="C127" s="126" t="str">
        <f>일별!Q145</f>
        <v/>
      </c>
      <c r="D127" s="15" t="str">
        <f>일별!I145</f>
        <v/>
      </c>
      <c r="F127" s="126" t="str">
        <f t="shared" si="2"/>
        <v/>
      </c>
    </row>
    <row r="128" spans="2:6">
      <c r="B128" s="25">
        <v>46145</v>
      </c>
      <c r="C128" s="126" t="str">
        <f>일별!Q146</f>
        <v/>
      </c>
      <c r="D128" s="15" t="str">
        <f>일별!I146</f>
        <v/>
      </c>
      <c r="F128" s="126" t="str">
        <f t="shared" si="2"/>
        <v/>
      </c>
    </row>
    <row r="129" spans="2:6">
      <c r="B129" s="25">
        <v>46146</v>
      </c>
      <c r="C129" s="126" t="str">
        <f>일별!Q147</f>
        <v/>
      </c>
      <c r="D129" s="15" t="str">
        <f>일별!I147</f>
        <v/>
      </c>
      <c r="F129" s="126" t="str">
        <f t="shared" si="2"/>
        <v/>
      </c>
    </row>
    <row r="130" spans="2:6">
      <c r="B130" s="25">
        <v>46147</v>
      </c>
      <c r="C130" s="126" t="str">
        <f>일별!Q148</f>
        <v/>
      </c>
      <c r="D130" s="15" t="str">
        <f>일별!I148</f>
        <v/>
      </c>
      <c r="F130" s="126" t="str">
        <f t="shared" si="2"/>
        <v/>
      </c>
    </row>
    <row r="131" spans="2:6">
      <c r="B131" s="25">
        <v>46148</v>
      </c>
      <c r="C131" s="126" t="str">
        <f>일별!Q149</f>
        <v/>
      </c>
      <c r="D131" s="15" t="str">
        <f>일별!I149</f>
        <v/>
      </c>
      <c r="F131" s="126" t="str">
        <f t="shared" si="2"/>
        <v/>
      </c>
    </row>
    <row r="132" spans="2:6">
      <c r="B132" s="25">
        <v>46149</v>
      </c>
      <c r="C132" s="126" t="str">
        <f>일별!Q150</f>
        <v/>
      </c>
      <c r="D132" s="15" t="str">
        <f>일별!I150</f>
        <v/>
      </c>
      <c r="F132" s="126" t="str">
        <f t="shared" si="2"/>
        <v/>
      </c>
    </row>
    <row r="133" spans="2:6">
      <c r="B133" s="25">
        <v>46150</v>
      </c>
      <c r="C133" s="126" t="str">
        <f>일별!Q151</f>
        <v/>
      </c>
      <c r="D133" s="15" t="str">
        <f>일별!I151</f>
        <v/>
      </c>
      <c r="F133" s="126" t="str">
        <f t="shared" si="2"/>
        <v/>
      </c>
    </row>
    <row r="134" spans="2:6">
      <c r="B134" s="25">
        <v>46151</v>
      </c>
      <c r="C134" s="126" t="str">
        <f>일별!Q152</f>
        <v/>
      </c>
      <c r="D134" s="15" t="str">
        <f>일별!I152</f>
        <v/>
      </c>
      <c r="F134" s="126" t="str">
        <f t="shared" si="2"/>
        <v/>
      </c>
    </row>
    <row r="135" spans="2:6">
      <c r="B135" s="25">
        <v>46152</v>
      </c>
      <c r="C135" s="126" t="str">
        <f>일별!Q153</f>
        <v/>
      </c>
      <c r="D135" s="15" t="str">
        <f>일별!I153</f>
        <v/>
      </c>
      <c r="F135" s="126" t="str">
        <f t="shared" si="2"/>
        <v/>
      </c>
    </row>
    <row r="136" spans="2:6">
      <c r="B136" s="25">
        <v>46153</v>
      </c>
      <c r="C136" s="126" t="str">
        <f>일별!Q154</f>
        <v/>
      </c>
      <c r="D136" s="15" t="str">
        <f>일별!I154</f>
        <v/>
      </c>
      <c r="F136" s="126" t="str">
        <f t="shared" si="2"/>
        <v/>
      </c>
    </row>
    <row r="137" spans="2:6">
      <c r="B137" s="25">
        <v>46154</v>
      </c>
      <c r="C137" s="126" t="str">
        <f>일별!Q155</f>
        <v/>
      </c>
      <c r="D137" s="15" t="str">
        <f>일별!I155</f>
        <v/>
      </c>
      <c r="F137" s="126" t="str">
        <f t="shared" si="2"/>
        <v/>
      </c>
    </row>
    <row r="138" spans="2:6">
      <c r="B138" s="25">
        <v>46155</v>
      </c>
      <c r="C138" s="126" t="str">
        <f>일별!Q156</f>
        <v/>
      </c>
      <c r="D138" s="15" t="str">
        <f>일별!I156</f>
        <v/>
      </c>
      <c r="F138" s="126" t="str">
        <f t="shared" si="2"/>
        <v/>
      </c>
    </row>
    <row r="139" spans="2:6">
      <c r="B139" s="25">
        <v>46156</v>
      </c>
      <c r="C139" s="126" t="str">
        <f>일별!Q157</f>
        <v/>
      </c>
      <c r="D139" s="15" t="str">
        <f>일별!I157</f>
        <v/>
      </c>
      <c r="F139" s="126" t="str">
        <f t="shared" si="2"/>
        <v/>
      </c>
    </row>
    <row r="140" spans="2:6">
      <c r="B140" s="25">
        <v>46157</v>
      </c>
      <c r="C140" s="126" t="str">
        <f>일별!Q158</f>
        <v/>
      </c>
      <c r="D140" s="15" t="str">
        <f>일별!I158</f>
        <v/>
      </c>
      <c r="F140" s="126" t="str">
        <f t="shared" si="2"/>
        <v/>
      </c>
    </row>
    <row r="141" spans="2:6">
      <c r="B141" s="25">
        <v>46158</v>
      </c>
      <c r="C141" s="126" t="str">
        <f>일별!Q159</f>
        <v/>
      </c>
      <c r="D141" s="15" t="str">
        <f>일별!I159</f>
        <v/>
      </c>
      <c r="F141" s="126" t="str">
        <f t="shared" si="2"/>
        <v/>
      </c>
    </row>
    <row r="142" spans="2:6">
      <c r="B142" s="25">
        <v>46159</v>
      </c>
      <c r="C142" s="126" t="str">
        <f>일별!Q160</f>
        <v/>
      </c>
      <c r="D142" s="15" t="str">
        <f>일별!I160</f>
        <v/>
      </c>
      <c r="F142" s="126" t="str">
        <f t="shared" si="2"/>
        <v/>
      </c>
    </row>
    <row r="143" spans="2:6">
      <c r="B143" s="25">
        <v>46160</v>
      </c>
      <c r="C143" s="126" t="str">
        <f>일별!Q161</f>
        <v/>
      </c>
      <c r="D143" s="15" t="str">
        <f>일별!I161</f>
        <v/>
      </c>
      <c r="F143" s="126" t="str">
        <f t="shared" si="2"/>
        <v/>
      </c>
    </row>
    <row r="144" spans="2:6">
      <c r="B144" s="25">
        <v>46161</v>
      </c>
      <c r="C144" s="126" t="str">
        <f>일별!Q162</f>
        <v/>
      </c>
      <c r="D144" s="15" t="str">
        <f>일별!I162</f>
        <v/>
      </c>
      <c r="F144" s="126" t="str">
        <f t="shared" si="2"/>
        <v/>
      </c>
    </row>
    <row r="145" spans="2:6">
      <c r="B145" s="25">
        <v>46162</v>
      </c>
      <c r="C145" s="126" t="str">
        <f>일별!Q163</f>
        <v/>
      </c>
      <c r="D145" s="15" t="str">
        <f>일별!I163</f>
        <v/>
      </c>
      <c r="F145" s="126" t="str">
        <f t="shared" si="2"/>
        <v/>
      </c>
    </row>
    <row r="146" spans="2:6">
      <c r="B146" s="25">
        <v>46163</v>
      </c>
      <c r="C146" s="126" t="str">
        <f>일별!Q164</f>
        <v/>
      </c>
      <c r="D146" s="15" t="str">
        <f>일별!I164</f>
        <v/>
      </c>
      <c r="F146" s="126" t="str">
        <f t="shared" si="2"/>
        <v/>
      </c>
    </row>
    <row r="147" spans="2:6">
      <c r="B147" s="25">
        <v>46164</v>
      </c>
      <c r="C147" s="126" t="str">
        <f>일별!Q165</f>
        <v/>
      </c>
      <c r="D147" s="15" t="str">
        <f>일별!I165</f>
        <v/>
      </c>
      <c r="F147" s="126" t="str">
        <f t="shared" si="2"/>
        <v/>
      </c>
    </row>
    <row r="148" spans="2:6">
      <c r="B148" s="25">
        <v>46165</v>
      </c>
      <c r="C148" s="126" t="str">
        <f>일별!Q166</f>
        <v/>
      </c>
      <c r="D148" s="15" t="str">
        <f>일별!I166</f>
        <v/>
      </c>
      <c r="F148" s="126" t="str">
        <f t="shared" si="2"/>
        <v/>
      </c>
    </row>
    <row r="149" spans="2:6">
      <c r="B149" s="25">
        <v>46166</v>
      </c>
      <c r="C149" s="126" t="str">
        <f>일별!Q167</f>
        <v/>
      </c>
      <c r="D149" s="15" t="str">
        <f>일별!I167</f>
        <v/>
      </c>
      <c r="F149" s="126" t="str">
        <f t="shared" si="2"/>
        <v/>
      </c>
    </row>
    <row r="150" spans="2:6">
      <c r="B150" s="25">
        <v>46167</v>
      </c>
      <c r="C150" s="126" t="str">
        <f>일별!Q168</f>
        <v/>
      </c>
      <c r="D150" s="15" t="str">
        <f>일별!I168</f>
        <v/>
      </c>
      <c r="F150" s="126" t="str">
        <f t="shared" si="2"/>
        <v/>
      </c>
    </row>
    <row r="151" spans="2:6">
      <c r="B151" s="25">
        <v>46168</v>
      </c>
      <c r="C151" s="126" t="str">
        <f>일별!Q169</f>
        <v/>
      </c>
      <c r="D151" s="15" t="str">
        <f>일별!I169</f>
        <v/>
      </c>
      <c r="F151" s="126" t="str">
        <f t="shared" si="2"/>
        <v/>
      </c>
    </row>
    <row r="152" spans="2:6">
      <c r="B152" s="25">
        <v>46169</v>
      </c>
      <c r="C152" s="126" t="str">
        <f>일별!Q170</f>
        <v/>
      </c>
      <c r="D152" s="15" t="str">
        <f>일별!I170</f>
        <v/>
      </c>
      <c r="F152" s="126" t="str">
        <f t="shared" si="2"/>
        <v/>
      </c>
    </row>
    <row r="153" spans="2:6">
      <c r="B153" s="25">
        <v>46170</v>
      </c>
      <c r="C153" s="126" t="str">
        <f>일별!Q171</f>
        <v/>
      </c>
      <c r="D153" s="15" t="str">
        <f>일별!I171</f>
        <v/>
      </c>
      <c r="F153" s="126" t="str">
        <f t="shared" ref="F153:F216" si="3">IFERROR(C153-D153,"")</f>
        <v/>
      </c>
    </row>
    <row r="154" spans="2:6">
      <c r="B154" s="25">
        <v>46171</v>
      </c>
      <c r="C154" s="126" t="str">
        <f>일별!Q172</f>
        <v/>
      </c>
      <c r="D154" s="15" t="str">
        <f>일별!I172</f>
        <v/>
      </c>
      <c r="F154" s="126" t="str">
        <f t="shared" si="3"/>
        <v/>
      </c>
    </row>
    <row r="155" spans="2:6">
      <c r="B155" s="25">
        <v>46172</v>
      </c>
      <c r="C155" s="126" t="str">
        <f>일별!Q173</f>
        <v/>
      </c>
      <c r="D155" s="15" t="str">
        <f>일별!I173</f>
        <v/>
      </c>
      <c r="F155" s="126" t="str">
        <f t="shared" si="3"/>
        <v/>
      </c>
    </row>
    <row r="156" spans="2:6">
      <c r="B156" s="25">
        <v>46173</v>
      </c>
      <c r="C156" s="126" t="str">
        <f>일별!Q174</f>
        <v/>
      </c>
      <c r="D156" s="15" t="str">
        <f>일별!I174</f>
        <v/>
      </c>
      <c r="F156" s="126" t="str">
        <f t="shared" si="3"/>
        <v/>
      </c>
    </row>
    <row r="157" spans="2:6">
      <c r="B157" s="25">
        <v>46174</v>
      </c>
      <c r="C157" s="126" t="str">
        <f>일별!Q175</f>
        <v/>
      </c>
      <c r="D157" s="15" t="str">
        <f>일별!I175</f>
        <v/>
      </c>
      <c r="F157" s="126" t="str">
        <f t="shared" si="3"/>
        <v/>
      </c>
    </row>
    <row r="158" spans="2:6">
      <c r="B158" s="25">
        <v>46175</v>
      </c>
      <c r="C158" s="126" t="str">
        <f>일별!Q176</f>
        <v/>
      </c>
      <c r="D158" s="15" t="str">
        <f>일별!I176</f>
        <v/>
      </c>
      <c r="F158" s="126" t="str">
        <f t="shared" si="3"/>
        <v/>
      </c>
    </row>
    <row r="159" spans="2:6">
      <c r="B159" s="25">
        <v>46176</v>
      </c>
      <c r="C159" s="126" t="str">
        <f>일별!Q177</f>
        <v/>
      </c>
      <c r="D159" s="15" t="str">
        <f>일별!I177</f>
        <v/>
      </c>
      <c r="F159" s="126" t="str">
        <f t="shared" si="3"/>
        <v/>
      </c>
    </row>
    <row r="160" spans="2:6">
      <c r="B160" s="25">
        <v>46177</v>
      </c>
      <c r="C160" s="126" t="str">
        <f>일별!Q178</f>
        <v/>
      </c>
      <c r="D160" s="15" t="str">
        <f>일별!I178</f>
        <v/>
      </c>
      <c r="F160" s="126" t="str">
        <f t="shared" si="3"/>
        <v/>
      </c>
    </row>
    <row r="161" spans="2:6">
      <c r="B161" s="25">
        <v>46178</v>
      </c>
      <c r="C161" s="126" t="str">
        <f>일별!Q179</f>
        <v/>
      </c>
      <c r="D161" s="15" t="str">
        <f>일별!I179</f>
        <v/>
      </c>
      <c r="F161" s="126" t="str">
        <f t="shared" si="3"/>
        <v/>
      </c>
    </row>
    <row r="162" spans="2:6">
      <c r="B162" s="25">
        <v>46179</v>
      </c>
      <c r="C162" s="126" t="str">
        <f>일별!Q180</f>
        <v/>
      </c>
      <c r="D162" s="15" t="str">
        <f>일별!I180</f>
        <v/>
      </c>
      <c r="F162" s="126" t="str">
        <f t="shared" si="3"/>
        <v/>
      </c>
    </row>
    <row r="163" spans="2:6">
      <c r="B163" s="25">
        <v>46180</v>
      </c>
      <c r="C163" s="126" t="str">
        <f>일별!Q181</f>
        <v/>
      </c>
      <c r="D163" s="15" t="str">
        <f>일별!I181</f>
        <v/>
      </c>
      <c r="F163" s="126" t="str">
        <f t="shared" si="3"/>
        <v/>
      </c>
    </row>
    <row r="164" spans="2:6">
      <c r="B164" s="25">
        <v>46181</v>
      </c>
      <c r="C164" s="126" t="str">
        <f>일별!Q182</f>
        <v/>
      </c>
      <c r="D164" s="15" t="str">
        <f>일별!I182</f>
        <v/>
      </c>
      <c r="F164" s="126" t="str">
        <f t="shared" si="3"/>
        <v/>
      </c>
    </row>
    <row r="165" spans="2:6">
      <c r="B165" s="25">
        <v>46182</v>
      </c>
      <c r="C165" s="126" t="str">
        <f>일별!Q183</f>
        <v/>
      </c>
      <c r="D165" s="15" t="str">
        <f>일별!I183</f>
        <v/>
      </c>
      <c r="F165" s="126" t="str">
        <f t="shared" si="3"/>
        <v/>
      </c>
    </row>
    <row r="166" spans="2:6">
      <c r="B166" s="25">
        <v>46183</v>
      </c>
      <c r="C166" s="126" t="str">
        <f>일별!Q184</f>
        <v/>
      </c>
      <c r="D166" s="15" t="str">
        <f>일별!I184</f>
        <v/>
      </c>
      <c r="F166" s="126" t="str">
        <f t="shared" si="3"/>
        <v/>
      </c>
    </row>
    <row r="167" spans="2:6">
      <c r="B167" s="25">
        <v>46184</v>
      </c>
      <c r="C167" s="126" t="str">
        <f>일별!Q185</f>
        <v/>
      </c>
      <c r="D167" s="15" t="str">
        <f>일별!I185</f>
        <v/>
      </c>
      <c r="F167" s="126" t="str">
        <f t="shared" si="3"/>
        <v/>
      </c>
    </row>
    <row r="168" spans="2:6">
      <c r="B168" s="25">
        <v>46185</v>
      </c>
      <c r="C168" s="126" t="str">
        <f>일별!Q186</f>
        <v/>
      </c>
      <c r="D168" s="15" t="str">
        <f>일별!I186</f>
        <v/>
      </c>
      <c r="F168" s="126" t="str">
        <f t="shared" si="3"/>
        <v/>
      </c>
    </row>
    <row r="169" spans="2:6">
      <c r="B169" s="25">
        <v>46186</v>
      </c>
      <c r="C169" s="126" t="str">
        <f>일별!Q187</f>
        <v/>
      </c>
      <c r="D169" s="15" t="str">
        <f>일별!I187</f>
        <v/>
      </c>
      <c r="F169" s="126" t="str">
        <f t="shared" si="3"/>
        <v/>
      </c>
    </row>
    <row r="170" spans="2:6">
      <c r="B170" s="25">
        <v>46187</v>
      </c>
      <c r="C170" s="126" t="str">
        <f>일별!Q188</f>
        <v/>
      </c>
      <c r="D170" s="15" t="str">
        <f>일별!I188</f>
        <v/>
      </c>
      <c r="F170" s="126" t="str">
        <f t="shared" si="3"/>
        <v/>
      </c>
    </row>
    <row r="171" spans="2:6">
      <c r="B171" s="25">
        <v>46188</v>
      </c>
      <c r="C171" s="126" t="str">
        <f>일별!Q189</f>
        <v/>
      </c>
      <c r="D171" s="15" t="str">
        <f>일별!I189</f>
        <v/>
      </c>
      <c r="F171" s="126" t="str">
        <f t="shared" si="3"/>
        <v/>
      </c>
    </row>
    <row r="172" spans="2:6">
      <c r="B172" s="25">
        <v>46189</v>
      </c>
      <c r="C172" s="126" t="str">
        <f>일별!Q190</f>
        <v/>
      </c>
      <c r="D172" s="15" t="str">
        <f>일별!I190</f>
        <v/>
      </c>
      <c r="F172" s="126" t="str">
        <f t="shared" si="3"/>
        <v/>
      </c>
    </row>
    <row r="173" spans="2:6">
      <c r="B173" s="25">
        <v>46190</v>
      </c>
      <c r="C173" s="126" t="str">
        <f>일별!Q191</f>
        <v/>
      </c>
      <c r="D173" s="15" t="str">
        <f>일별!I191</f>
        <v/>
      </c>
      <c r="F173" s="126" t="str">
        <f t="shared" si="3"/>
        <v/>
      </c>
    </row>
    <row r="174" spans="2:6">
      <c r="B174" s="25">
        <v>46191</v>
      </c>
      <c r="C174" s="126" t="str">
        <f>일별!Q192</f>
        <v/>
      </c>
      <c r="D174" s="15" t="str">
        <f>일별!I192</f>
        <v/>
      </c>
      <c r="F174" s="126" t="str">
        <f t="shared" si="3"/>
        <v/>
      </c>
    </row>
    <row r="175" spans="2:6">
      <c r="B175" s="25">
        <v>46192</v>
      </c>
      <c r="C175" s="126" t="str">
        <f>일별!Q193</f>
        <v/>
      </c>
      <c r="D175" s="15" t="str">
        <f>일별!I193</f>
        <v/>
      </c>
      <c r="F175" s="126" t="str">
        <f t="shared" si="3"/>
        <v/>
      </c>
    </row>
    <row r="176" spans="2:6">
      <c r="B176" s="25">
        <v>46193</v>
      </c>
      <c r="C176" s="126" t="str">
        <f>일별!Q194</f>
        <v/>
      </c>
      <c r="D176" s="15" t="str">
        <f>일별!I194</f>
        <v/>
      </c>
      <c r="F176" s="126" t="str">
        <f t="shared" si="3"/>
        <v/>
      </c>
    </row>
    <row r="177" spans="2:6">
      <c r="B177" s="25">
        <v>46194</v>
      </c>
      <c r="C177" s="126" t="str">
        <f>일별!Q195</f>
        <v/>
      </c>
      <c r="D177" s="15" t="str">
        <f>일별!I195</f>
        <v/>
      </c>
      <c r="F177" s="126" t="str">
        <f t="shared" si="3"/>
        <v/>
      </c>
    </row>
    <row r="178" spans="2:6">
      <c r="B178" s="25">
        <v>46195</v>
      </c>
      <c r="C178" s="126" t="str">
        <f>일별!Q196</f>
        <v/>
      </c>
      <c r="D178" s="15" t="str">
        <f>일별!I196</f>
        <v/>
      </c>
      <c r="F178" s="126" t="str">
        <f t="shared" si="3"/>
        <v/>
      </c>
    </row>
    <row r="179" spans="2:6">
      <c r="B179" s="25">
        <v>46196</v>
      </c>
      <c r="C179" s="126" t="str">
        <f>일별!Q197</f>
        <v/>
      </c>
      <c r="D179" s="15" t="str">
        <f>일별!I197</f>
        <v/>
      </c>
      <c r="F179" s="126" t="str">
        <f t="shared" si="3"/>
        <v/>
      </c>
    </row>
    <row r="180" spans="2:6">
      <c r="B180" s="25">
        <v>46197</v>
      </c>
      <c r="C180" s="126" t="str">
        <f>일별!Q198</f>
        <v/>
      </c>
      <c r="D180" s="15" t="str">
        <f>일별!I198</f>
        <v/>
      </c>
      <c r="F180" s="126" t="str">
        <f t="shared" si="3"/>
        <v/>
      </c>
    </row>
    <row r="181" spans="2:6">
      <c r="B181" s="25">
        <v>46198</v>
      </c>
      <c r="C181" s="126" t="str">
        <f>일별!Q199</f>
        <v/>
      </c>
      <c r="D181" s="15" t="str">
        <f>일별!I199</f>
        <v/>
      </c>
      <c r="F181" s="126" t="str">
        <f t="shared" si="3"/>
        <v/>
      </c>
    </row>
    <row r="182" spans="2:6">
      <c r="B182" s="25">
        <v>46199</v>
      </c>
      <c r="C182" s="126" t="str">
        <f>일별!Q200</f>
        <v/>
      </c>
      <c r="D182" s="15" t="str">
        <f>일별!I200</f>
        <v/>
      </c>
      <c r="F182" s="126" t="str">
        <f t="shared" si="3"/>
        <v/>
      </c>
    </row>
    <row r="183" spans="2:6">
      <c r="B183" s="25">
        <v>46200</v>
      </c>
      <c r="C183" s="126" t="str">
        <f>일별!Q201</f>
        <v/>
      </c>
      <c r="D183" s="15" t="str">
        <f>일별!I201</f>
        <v/>
      </c>
      <c r="F183" s="126" t="str">
        <f t="shared" si="3"/>
        <v/>
      </c>
    </row>
    <row r="184" spans="2:6">
      <c r="B184" s="25">
        <v>46201</v>
      </c>
      <c r="C184" s="126" t="str">
        <f>일별!Q202</f>
        <v/>
      </c>
      <c r="D184" s="15" t="str">
        <f>일별!I202</f>
        <v/>
      </c>
      <c r="F184" s="126" t="str">
        <f t="shared" si="3"/>
        <v/>
      </c>
    </row>
    <row r="185" spans="2:6">
      <c r="B185" s="25">
        <v>46202</v>
      </c>
      <c r="C185" s="126" t="str">
        <f>일별!Q203</f>
        <v/>
      </c>
      <c r="D185" s="15" t="str">
        <f>일별!I203</f>
        <v/>
      </c>
      <c r="F185" s="126" t="str">
        <f t="shared" si="3"/>
        <v/>
      </c>
    </row>
    <row r="186" spans="2:6">
      <c r="B186" s="25">
        <v>46203</v>
      </c>
      <c r="C186" s="126" t="str">
        <f>일별!Q204</f>
        <v/>
      </c>
      <c r="D186" s="15" t="str">
        <f>일별!I204</f>
        <v/>
      </c>
      <c r="F186" s="126" t="str">
        <f t="shared" si="3"/>
        <v/>
      </c>
    </row>
    <row r="187" spans="2:6">
      <c r="B187" s="25">
        <v>46204</v>
      </c>
      <c r="C187" s="126" t="str">
        <f>일별!Q205</f>
        <v/>
      </c>
      <c r="D187" s="15" t="str">
        <f>일별!I205</f>
        <v/>
      </c>
      <c r="F187" s="126" t="str">
        <f t="shared" si="3"/>
        <v/>
      </c>
    </row>
    <row r="188" spans="2:6">
      <c r="B188" s="25">
        <v>46205</v>
      </c>
      <c r="C188" s="126" t="str">
        <f>일별!Q206</f>
        <v/>
      </c>
      <c r="D188" s="15" t="str">
        <f>일별!I206</f>
        <v/>
      </c>
      <c r="F188" s="126" t="str">
        <f t="shared" si="3"/>
        <v/>
      </c>
    </row>
    <row r="189" spans="2:6">
      <c r="B189" s="25">
        <v>46206</v>
      </c>
      <c r="C189" s="126" t="str">
        <f>일별!Q207</f>
        <v/>
      </c>
      <c r="D189" s="15" t="str">
        <f>일별!I207</f>
        <v/>
      </c>
      <c r="F189" s="126" t="str">
        <f t="shared" si="3"/>
        <v/>
      </c>
    </row>
    <row r="190" spans="2:6">
      <c r="B190" s="25">
        <v>46207</v>
      </c>
      <c r="C190" s="126" t="str">
        <f>일별!Q208</f>
        <v/>
      </c>
      <c r="D190" s="15" t="str">
        <f>일별!I208</f>
        <v/>
      </c>
      <c r="F190" s="126" t="str">
        <f t="shared" si="3"/>
        <v/>
      </c>
    </row>
    <row r="191" spans="2:6">
      <c r="B191" s="25">
        <v>46208</v>
      </c>
      <c r="C191" s="126" t="str">
        <f>일별!Q209</f>
        <v/>
      </c>
      <c r="D191" s="15" t="str">
        <f>일별!I209</f>
        <v/>
      </c>
      <c r="F191" s="126" t="str">
        <f t="shared" si="3"/>
        <v/>
      </c>
    </row>
    <row r="192" spans="2:6">
      <c r="B192" s="25">
        <v>46209</v>
      </c>
      <c r="C192" s="126" t="str">
        <f>일별!Q210</f>
        <v/>
      </c>
      <c r="D192" s="15" t="str">
        <f>일별!I210</f>
        <v/>
      </c>
      <c r="F192" s="126" t="str">
        <f t="shared" si="3"/>
        <v/>
      </c>
    </row>
    <row r="193" spans="2:6">
      <c r="B193" s="25">
        <v>46210</v>
      </c>
      <c r="C193" s="126" t="str">
        <f>일별!Q211</f>
        <v/>
      </c>
      <c r="D193" s="15" t="str">
        <f>일별!I211</f>
        <v/>
      </c>
      <c r="F193" s="126" t="str">
        <f t="shared" si="3"/>
        <v/>
      </c>
    </row>
    <row r="194" spans="2:6">
      <c r="B194" s="25">
        <v>46211</v>
      </c>
      <c r="C194" s="126" t="str">
        <f>일별!Q212</f>
        <v/>
      </c>
      <c r="D194" s="15" t="str">
        <f>일별!I212</f>
        <v/>
      </c>
      <c r="F194" s="126" t="str">
        <f t="shared" si="3"/>
        <v/>
      </c>
    </row>
    <row r="195" spans="2:6">
      <c r="B195" s="25">
        <v>46212</v>
      </c>
      <c r="C195" s="126" t="str">
        <f>일별!Q213</f>
        <v/>
      </c>
      <c r="D195" s="15" t="str">
        <f>일별!I213</f>
        <v/>
      </c>
      <c r="F195" s="126" t="str">
        <f t="shared" si="3"/>
        <v/>
      </c>
    </row>
    <row r="196" spans="2:6">
      <c r="B196" s="25">
        <v>46213</v>
      </c>
      <c r="C196" s="126" t="str">
        <f>일별!Q214</f>
        <v/>
      </c>
      <c r="D196" s="15" t="str">
        <f>일별!I214</f>
        <v/>
      </c>
      <c r="F196" s="126" t="str">
        <f t="shared" si="3"/>
        <v/>
      </c>
    </row>
    <row r="197" spans="2:6">
      <c r="B197" s="25">
        <v>46214</v>
      </c>
      <c r="C197" s="126" t="str">
        <f>일별!Q215</f>
        <v/>
      </c>
      <c r="D197" s="15" t="str">
        <f>일별!I215</f>
        <v/>
      </c>
      <c r="F197" s="126" t="str">
        <f t="shared" si="3"/>
        <v/>
      </c>
    </row>
    <row r="198" spans="2:6">
      <c r="B198" s="25">
        <v>46215</v>
      </c>
      <c r="C198" s="126" t="str">
        <f>일별!Q216</f>
        <v/>
      </c>
      <c r="D198" s="15" t="str">
        <f>일별!I216</f>
        <v/>
      </c>
      <c r="F198" s="126" t="str">
        <f t="shared" si="3"/>
        <v/>
      </c>
    </row>
    <row r="199" spans="2:6">
      <c r="B199" s="25">
        <v>46216</v>
      </c>
      <c r="C199" s="126" t="str">
        <f>일별!Q217</f>
        <v/>
      </c>
      <c r="D199" s="15" t="str">
        <f>일별!I217</f>
        <v/>
      </c>
      <c r="F199" s="126" t="str">
        <f t="shared" si="3"/>
        <v/>
      </c>
    </row>
    <row r="200" spans="2:6">
      <c r="B200" s="25">
        <v>46217</v>
      </c>
      <c r="C200" s="126" t="str">
        <f>일별!Q218</f>
        <v/>
      </c>
      <c r="D200" s="15" t="str">
        <f>일별!I218</f>
        <v/>
      </c>
      <c r="F200" s="126" t="str">
        <f t="shared" si="3"/>
        <v/>
      </c>
    </row>
    <row r="201" spans="2:6">
      <c r="B201" s="25">
        <v>46218</v>
      </c>
      <c r="C201" s="126" t="str">
        <f>일별!Q219</f>
        <v/>
      </c>
      <c r="D201" s="15" t="str">
        <f>일별!I219</f>
        <v/>
      </c>
      <c r="F201" s="126" t="str">
        <f t="shared" si="3"/>
        <v/>
      </c>
    </row>
    <row r="202" spans="2:6">
      <c r="B202" s="25">
        <v>46219</v>
      </c>
      <c r="C202" s="126" t="str">
        <f>일별!Q220</f>
        <v/>
      </c>
      <c r="D202" s="15" t="str">
        <f>일별!I220</f>
        <v/>
      </c>
      <c r="F202" s="126" t="str">
        <f t="shared" si="3"/>
        <v/>
      </c>
    </row>
    <row r="203" spans="2:6">
      <c r="B203" s="25">
        <v>46220</v>
      </c>
      <c r="C203" s="126" t="str">
        <f>일별!Q221</f>
        <v/>
      </c>
      <c r="D203" s="15" t="str">
        <f>일별!I221</f>
        <v/>
      </c>
      <c r="F203" s="126" t="str">
        <f t="shared" si="3"/>
        <v/>
      </c>
    </row>
    <row r="204" spans="2:6">
      <c r="B204" s="25">
        <v>46221</v>
      </c>
      <c r="C204" s="126" t="str">
        <f>일별!Q222</f>
        <v/>
      </c>
      <c r="D204" s="15" t="str">
        <f>일별!I222</f>
        <v/>
      </c>
      <c r="F204" s="126" t="str">
        <f t="shared" si="3"/>
        <v/>
      </c>
    </row>
    <row r="205" spans="2:6">
      <c r="B205" s="25">
        <v>46222</v>
      </c>
      <c r="C205" s="126" t="str">
        <f>일별!Q223</f>
        <v/>
      </c>
      <c r="D205" s="15" t="str">
        <f>일별!I223</f>
        <v/>
      </c>
      <c r="F205" s="126" t="str">
        <f t="shared" si="3"/>
        <v/>
      </c>
    </row>
    <row r="206" spans="2:6">
      <c r="B206" s="25">
        <v>46223</v>
      </c>
      <c r="C206" s="126" t="str">
        <f>일별!Q224</f>
        <v/>
      </c>
      <c r="D206" s="15" t="str">
        <f>일별!I224</f>
        <v/>
      </c>
      <c r="F206" s="126" t="str">
        <f t="shared" si="3"/>
        <v/>
      </c>
    </row>
    <row r="207" spans="2:6">
      <c r="B207" s="25">
        <v>46224</v>
      </c>
      <c r="C207" s="126" t="str">
        <f>일별!Q225</f>
        <v/>
      </c>
      <c r="D207" s="15" t="str">
        <f>일별!I225</f>
        <v/>
      </c>
      <c r="F207" s="126" t="str">
        <f t="shared" si="3"/>
        <v/>
      </c>
    </row>
    <row r="208" spans="2:6">
      <c r="B208" s="25">
        <v>46225</v>
      </c>
      <c r="C208" s="126" t="str">
        <f>일별!Q226</f>
        <v/>
      </c>
      <c r="D208" s="15" t="str">
        <f>일별!I226</f>
        <v/>
      </c>
      <c r="F208" s="126" t="str">
        <f t="shared" si="3"/>
        <v/>
      </c>
    </row>
    <row r="209" spans="2:6">
      <c r="B209" s="25">
        <v>46226</v>
      </c>
      <c r="C209" s="126" t="str">
        <f>일별!Q227</f>
        <v/>
      </c>
      <c r="D209" s="15" t="str">
        <f>일별!I227</f>
        <v/>
      </c>
      <c r="F209" s="126" t="str">
        <f t="shared" si="3"/>
        <v/>
      </c>
    </row>
    <row r="210" spans="2:6">
      <c r="B210" s="25">
        <v>46227</v>
      </c>
      <c r="C210" s="126" t="str">
        <f>일별!Q228</f>
        <v/>
      </c>
      <c r="D210" s="15" t="str">
        <f>일별!I228</f>
        <v/>
      </c>
      <c r="F210" s="126" t="str">
        <f t="shared" si="3"/>
        <v/>
      </c>
    </row>
    <row r="211" spans="2:6">
      <c r="B211" s="25">
        <v>46228</v>
      </c>
      <c r="C211" s="126" t="str">
        <f>일별!Q229</f>
        <v/>
      </c>
      <c r="D211" s="15" t="str">
        <f>일별!I229</f>
        <v/>
      </c>
      <c r="F211" s="126" t="str">
        <f t="shared" si="3"/>
        <v/>
      </c>
    </row>
    <row r="212" spans="2:6">
      <c r="B212" s="25">
        <v>46229</v>
      </c>
      <c r="C212" s="126" t="str">
        <f>일별!Q230</f>
        <v/>
      </c>
      <c r="D212" s="15" t="str">
        <f>일별!I230</f>
        <v/>
      </c>
      <c r="F212" s="126" t="str">
        <f t="shared" si="3"/>
        <v/>
      </c>
    </row>
    <row r="213" spans="2:6">
      <c r="B213" s="25">
        <v>46230</v>
      </c>
      <c r="C213" s="126" t="str">
        <f>일별!Q231</f>
        <v/>
      </c>
      <c r="D213" s="15" t="str">
        <f>일별!I231</f>
        <v/>
      </c>
      <c r="F213" s="126" t="str">
        <f t="shared" si="3"/>
        <v/>
      </c>
    </row>
    <row r="214" spans="2:6">
      <c r="B214" s="25">
        <v>46231</v>
      </c>
      <c r="C214" s="126" t="str">
        <f>일별!Q232</f>
        <v/>
      </c>
      <c r="D214" s="15" t="str">
        <f>일별!I232</f>
        <v/>
      </c>
      <c r="F214" s="126" t="str">
        <f t="shared" si="3"/>
        <v/>
      </c>
    </row>
    <row r="215" spans="2:6">
      <c r="B215" s="25">
        <v>46232</v>
      </c>
      <c r="C215" s="126" t="str">
        <f>일별!Q233</f>
        <v/>
      </c>
      <c r="D215" s="15" t="str">
        <f>일별!I233</f>
        <v/>
      </c>
      <c r="F215" s="126" t="str">
        <f t="shared" si="3"/>
        <v/>
      </c>
    </row>
    <row r="216" spans="2:6">
      <c r="B216" s="25">
        <v>46233</v>
      </c>
      <c r="C216" s="126" t="str">
        <f>일별!Q234</f>
        <v/>
      </c>
      <c r="D216" s="15" t="str">
        <f>일별!I234</f>
        <v/>
      </c>
      <c r="F216" s="126" t="str">
        <f t="shared" si="3"/>
        <v/>
      </c>
    </row>
    <row r="217" spans="2:6">
      <c r="B217" s="25">
        <v>46234</v>
      </c>
      <c r="C217" s="126" t="str">
        <f>일별!Q235</f>
        <v/>
      </c>
      <c r="D217" s="15" t="str">
        <f>일별!I235</f>
        <v/>
      </c>
      <c r="F217" s="126" t="str">
        <f t="shared" ref="F217:F280" si="4">IFERROR(C217-D217,"")</f>
        <v/>
      </c>
    </row>
    <row r="218" spans="2:6">
      <c r="B218" s="25">
        <v>46235</v>
      </c>
      <c r="C218" s="126" t="str">
        <f>일별!Q236</f>
        <v/>
      </c>
      <c r="D218" s="15" t="str">
        <f>일별!I236</f>
        <v/>
      </c>
      <c r="F218" s="126" t="str">
        <f t="shared" si="4"/>
        <v/>
      </c>
    </row>
    <row r="219" spans="2:6">
      <c r="B219" s="25">
        <v>46236</v>
      </c>
      <c r="C219" s="126" t="str">
        <f>일별!Q237</f>
        <v/>
      </c>
      <c r="D219" s="15" t="str">
        <f>일별!I237</f>
        <v/>
      </c>
      <c r="F219" s="126" t="str">
        <f t="shared" si="4"/>
        <v/>
      </c>
    </row>
    <row r="220" spans="2:6">
      <c r="B220" s="25">
        <v>46237</v>
      </c>
      <c r="C220" s="126" t="str">
        <f>일별!Q238</f>
        <v/>
      </c>
      <c r="D220" s="15" t="str">
        <f>일별!I238</f>
        <v/>
      </c>
      <c r="F220" s="126" t="str">
        <f t="shared" si="4"/>
        <v/>
      </c>
    </row>
    <row r="221" spans="2:6">
      <c r="B221" s="25">
        <v>46238</v>
      </c>
      <c r="C221" s="126" t="str">
        <f>일별!Q239</f>
        <v/>
      </c>
      <c r="D221" s="15" t="str">
        <f>일별!I239</f>
        <v/>
      </c>
      <c r="F221" s="126" t="str">
        <f t="shared" si="4"/>
        <v/>
      </c>
    </row>
    <row r="222" spans="2:6">
      <c r="B222" s="25">
        <v>46239</v>
      </c>
      <c r="C222" s="126" t="str">
        <f>일별!Q240</f>
        <v/>
      </c>
      <c r="D222" s="15" t="str">
        <f>일별!I240</f>
        <v/>
      </c>
      <c r="F222" s="126" t="str">
        <f t="shared" si="4"/>
        <v/>
      </c>
    </row>
    <row r="223" spans="2:6">
      <c r="B223" s="25">
        <v>46240</v>
      </c>
      <c r="C223" s="126" t="str">
        <f>일별!Q241</f>
        <v/>
      </c>
      <c r="D223" s="15" t="str">
        <f>일별!I241</f>
        <v/>
      </c>
      <c r="F223" s="126" t="str">
        <f t="shared" si="4"/>
        <v/>
      </c>
    </row>
    <row r="224" spans="2:6">
      <c r="B224" s="25">
        <v>46241</v>
      </c>
      <c r="C224" s="126" t="str">
        <f>일별!Q242</f>
        <v/>
      </c>
      <c r="D224" s="15" t="str">
        <f>일별!I242</f>
        <v/>
      </c>
      <c r="F224" s="126" t="str">
        <f t="shared" si="4"/>
        <v/>
      </c>
    </row>
    <row r="225" spans="2:6">
      <c r="B225" s="25">
        <v>46242</v>
      </c>
      <c r="C225" s="126" t="str">
        <f>일별!Q243</f>
        <v/>
      </c>
      <c r="D225" s="15" t="str">
        <f>일별!I243</f>
        <v/>
      </c>
      <c r="F225" s="126" t="str">
        <f t="shared" si="4"/>
        <v/>
      </c>
    </row>
    <row r="226" spans="2:6">
      <c r="B226" s="25">
        <v>46243</v>
      </c>
      <c r="C226" s="126" t="str">
        <f>일별!Q244</f>
        <v/>
      </c>
      <c r="D226" s="15" t="str">
        <f>일별!I244</f>
        <v/>
      </c>
      <c r="F226" s="126" t="str">
        <f t="shared" si="4"/>
        <v/>
      </c>
    </row>
    <row r="227" spans="2:6">
      <c r="B227" s="25">
        <v>46244</v>
      </c>
      <c r="C227" s="126" t="str">
        <f>일별!Q245</f>
        <v/>
      </c>
      <c r="D227" s="15" t="str">
        <f>일별!I245</f>
        <v/>
      </c>
      <c r="F227" s="126" t="str">
        <f t="shared" si="4"/>
        <v/>
      </c>
    </row>
    <row r="228" spans="2:6">
      <c r="B228" s="25">
        <v>46245</v>
      </c>
      <c r="C228" s="126" t="str">
        <f>일별!Q246</f>
        <v/>
      </c>
      <c r="D228" s="15" t="str">
        <f>일별!I246</f>
        <v/>
      </c>
      <c r="F228" s="126" t="str">
        <f t="shared" si="4"/>
        <v/>
      </c>
    </row>
    <row r="229" spans="2:6">
      <c r="B229" s="25">
        <v>46246</v>
      </c>
      <c r="C229" s="126" t="str">
        <f>일별!Q247</f>
        <v/>
      </c>
      <c r="D229" s="15" t="str">
        <f>일별!I247</f>
        <v/>
      </c>
      <c r="F229" s="126" t="str">
        <f t="shared" si="4"/>
        <v/>
      </c>
    </row>
    <row r="230" spans="2:6">
      <c r="B230" s="25">
        <v>46247</v>
      </c>
      <c r="C230" s="126" t="str">
        <f>일별!Q248</f>
        <v/>
      </c>
      <c r="D230" s="15" t="str">
        <f>일별!I248</f>
        <v/>
      </c>
      <c r="F230" s="126" t="str">
        <f t="shared" si="4"/>
        <v/>
      </c>
    </row>
    <row r="231" spans="2:6">
      <c r="B231" s="25">
        <v>46248</v>
      </c>
      <c r="C231" s="126" t="str">
        <f>일별!Q249</f>
        <v/>
      </c>
      <c r="D231" s="15" t="str">
        <f>일별!I249</f>
        <v/>
      </c>
      <c r="F231" s="126" t="str">
        <f t="shared" si="4"/>
        <v/>
      </c>
    </row>
    <row r="232" spans="2:6">
      <c r="B232" s="25">
        <v>46249</v>
      </c>
      <c r="C232" s="126" t="str">
        <f>일별!Q250</f>
        <v/>
      </c>
      <c r="D232" s="15" t="str">
        <f>일별!I250</f>
        <v/>
      </c>
      <c r="F232" s="126" t="str">
        <f t="shared" si="4"/>
        <v/>
      </c>
    </row>
    <row r="233" spans="2:6">
      <c r="B233" s="25">
        <v>46250</v>
      </c>
      <c r="C233" s="126" t="str">
        <f>일별!Q251</f>
        <v/>
      </c>
      <c r="D233" s="15" t="str">
        <f>일별!I251</f>
        <v/>
      </c>
      <c r="F233" s="126" t="str">
        <f t="shared" si="4"/>
        <v/>
      </c>
    </row>
    <row r="234" spans="2:6">
      <c r="B234" s="25">
        <v>46251</v>
      </c>
      <c r="C234" s="126" t="str">
        <f>일별!Q252</f>
        <v/>
      </c>
      <c r="D234" s="15" t="str">
        <f>일별!I252</f>
        <v/>
      </c>
      <c r="F234" s="126" t="str">
        <f t="shared" si="4"/>
        <v/>
      </c>
    </row>
    <row r="235" spans="2:6">
      <c r="B235" s="25">
        <v>46252</v>
      </c>
      <c r="C235" s="126" t="str">
        <f>일별!Q253</f>
        <v/>
      </c>
      <c r="D235" s="15" t="str">
        <f>일별!I253</f>
        <v/>
      </c>
      <c r="F235" s="126" t="str">
        <f t="shared" si="4"/>
        <v/>
      </c>
    </row>
    <row r="236" spans="2:6">
      <c r="B236" s="25">
        <v>46253</v>
      </c>
      <c r="C236" s="126" t="str">
        <f>일별!Q254</f>
        <v/>
      </c>
      <c r="D236" s="15" t="str">
        <f>일별!I254</f>
        <v/>
      </c>
      <c r="F236" s="126" t="str">
        <f t="shared" si="4"/>
        <v/>
      </c>
    </row>
    <row r="237" spans="2:6">
      <c r="B237" s="25">
        <v>46254</v>
      </c>
      <c r="C237" s="126" t="str">
        <f>일별!Q255</f>
        <v/>
      </c>
      <c r="D237" s="15" t="str">
        <f>일별!I255</f>
        <v/>
      </c>
      <c r="F237" s="126" t="str">
        <f t="shared" si="4"/>
        <v/>
      </c>
    </row>
    <row r="238" spans="2:6">
      <c r="B238" s="25">
        <v>46255</v>
      </c>
      <c r="C238" s="126" t="str">
        <f>일별!Q256</f>
        <v/>
      </c>
      <c r="D238" s="15" t="str">
        <f>일별!I256</f>
        <v/>
      </c>
      <c r="F238" s="126" t="str">
        <f t="shared" si="4"/>
        <v/>
      </c>
    </row>
    <row r="239" spans="2:6">
      <c r="B239" s="25">
        <v>46256</v>
      </c>
      <c r="C239" s="126" t="str">
        <f>일별!Q257</f>
        <v/>
      </c>
      <c r="D239" s="15" t="str">
        <f>일별!I257</f>
        <v/>
      </c>
      <c r="F239" s="126" t="str">
        <f t="shared" si="4"/>
        <v/>
      </c>
    </row>
    <row r="240" spans="2:6">
      <c r="B240" s="25">
        <v>46257</v>
      </c>
      <c r="C240" s="126" t="str">
        <f>일별!Q258</f>
        <v/>
      </c>
      <c r="D240" s="15" t="str">
        <f>일별!I258</f>
        <v/>
      </c>
      <c r="F240" s="126" t="str">
        <f t="shared" si="4"/>
        <v/>
      </c>
    </row>
    <row r="241" spans="2:6">
      <c r="B241" s="25">
        <v>46258</v>
      </c>
      <c r="C241" s="126" t="str">
        <f>일별!Q259</f>
        <v/>
      </c>
      <c r="D241" s="15" t="str">
        <f>일별!I259</f>
        <v/>
      </c>
      <c r="F241" s="126" t="str">
        <f t="shared" si="4"/>
        <v/>
      </c>
    </row>
    <row r="242" spans="2:6">
      <c r="B242" s="25">
        <v>46259</v>
      </c>
      <c r="C242" s="126" t="str">
        <f>일별!Q260</f>
        <v/>
      </c>
      <c r="D242" s="15" t="str">
        <f>일별!I260</f>
        <v/>
      </c>
      <c r="F242" s="126" t="str">
        <f t="shared" si="4"/>
        <v/>
      </c>
    </row>
    <row r="243" spans="2:6">
      <c r="B243" s="25">
        <v>46260</v>
      </c>
      <c r="C243" s="126" t="str">
        <f>일별!Q261</f>
        <v/>
      </c>
      <c r="D243" s="15" t="str">
        <f>일별!I261</f>
        <v/>
      </c>
      <c r="F243" s="126" t="str">
        <f t="shared" si="4"/>
        <v/>
      </c>
    </row>
    <row r="244" spans="2:6">
      <c r="B244" s="25">
        <v>46261</v>
      </c>
      <c r="C244" s="126" t="str">
        <f>일별!Q262</f>
        <v/>
      </c>
      <c r="D244" s="15" t="str">
        <f>일별!I262</f>
        <v/>
      </c>
      <c r="F244" s="126" t="str">
        <f t="shared" si="4"/>
        <v/>
      </c>
    </row>
    <row r="245" spans="2:6">
      <c r="B245" s="25">
        <v>46262</v>
      </c>
      <c r="C245" s="126" t="str">
        <f>일별!Q263</f>
        <v/>
      </c>
      <c r="D245" s="15" t="str">
        <f>일별!I263</f>
        <v/>
      </c>
      <c r="F245" s="126" t="str">
        <f t="shared" si="4"/>
        <v/>
      </c>
    </row>
    <row r="246" spans="2:6">
      <c r="B246" s="25">
        <v>46263</v>
      </c>
      <c r="C246" s="126" t="str">
        <f>일별!Q264</f>
        <v/>
      </c>
      <c r="D246" s="15" t="str">
        <f>일별!I264</f>
        <v/>
      </c>
      <c r="F246" s="126" t="str">
        <f t="shared" si="4"/>
        <v/>
      </c>
    </row>
    <row r="247" spans="2:6">
      <c r="B247" s="25">
        <v>46264</v>
      </c>
      <c r="C247" s="126" t="str">
        <f>일별!Q265</f>
        <v/>
      </c>
      <c r="D247" s="15" t="str">
        <f>일별!I265</f>
        <v/>
      </c>
      <c r="F247" s="126" t="str">
        <f t="shared" si="4"/>
        <v/>
      </c>
    </row>
    <row r="248" spans="2:6">
      <c r="B248" s="25">
        <v>46265</v>
      </c>
      <c r="C248" s="126" t="str">
        <f>일별!Q266</f>
        <v/>
      </c>
      <c r="D248" s="15" t="str">
        <f>일별!I266</f>
        <v/>
      </c>
      <c r="F248" s="126" t="str">
        <f t="shared" si="4"/>
        <v/>
      </c>
    </row>
    <row r="249" spans="2:6">
      <c r="B249" s="25">
        <v>46266</v>
      </c>
      <c r="C249" s="126" t="str">
        <f>일별!Q267</f>
        <v/>
      </c>
      <c r="D249" s="15" t="str">
        <f>일별!I267</f>
        <v/>
      </c>
      <c r="F249" s="126" t="str">
        <f t="shared" si="4"/>
        <v/>
      </c>
    </row>
    <row r="250" spans="2:6">
      <c r="B250" s="25">
        <v>46267</v>
      </c>
      <c r="C250" s="126" t="str">
        <f>일별!Q268</f>
        <v/>
      </c>
      <c r="D250" s="15" t="str">
        <f>일별!I268</f>
        <v/>
      </c>
      <c r="F250" s="126" t="str">
        <f t="shared" si="4"/>
        <v/>
      </c>
    </row>
    <row r="251" spans="2:6">
      <c r="B251" s="25">
        <v>46268</v>
      </c>
      <c r="C251" s="126" t="str">
        <f>일별!Q269</f>
        <v/>
      </c>
      <c r="D251" s="15" t="str">
        <f>일별!I269</f>
        <v/>
      </c>
      <c r="F251" s="126" t="str">
        <f t="shared" si="4"/>
        <v/>
      </c>
    </row>
    <row r="252" spans="2:6">
      <c r="B252" s="25">
        <v>46269</v>
      </c>
      <c r="C252" s="126" t="str">
        <f>일별!Q270</f>
        <v/>
      </c>
      <c r="D252" s="15" t="str">
        <f>일별!I270</f>
        <v/>
      </c>
      <c r="F252" s="126" t="str">
        <f t="shared" si="4"/>
        <v/>
      </c>
    </row>
    <row r="253" spans="2:6">
      <c r="B253" s="25">
        <v>46270</v>
      </c>
      <c r="C253" s="126" t="str">
        <f>일별!Q271</f>
        <v/>
      </c>
      <c r="D253" s="15" t="str">
        <f>일별!I271</f>
        <v/>
      </c>
      <c r="F253" s="126" t="str">
        <f t="shared" si="4"/>
        <v/>
      </c>
    </row>
    <row r="254" spans="2:6">
      <c r="B254" s="25">
        <v>46271</v>
      </c>
      <c r="C254" s="126" t="str">
        <f>일별!Q272</f>
        <v/>
      </c>
      <c r="D254" s="15" t="str">
        <f>일별!I272</f>
        <v/>
      </c>
      <c r="F254" s="126" t="str">
        <f t="shared" si="4"/>
        <v/>
      </c>
    </row>
    <row r="255" spans="2:6">
      <c r="B255" s="25">
        <v>46272</v>
      </c>
      <c r="C255" s="126" t="str">
        <f>일별!Q273</f>
        <v/>
      </c>
      <c r="D255" s="15" t="str">
        <f>일별!I273</f>
        <v/>
      </c>
      <c r="F255" s="126" t="str">
        <f t="shared" si="4"/>
        <v/>
      </c>
    </row>
    <row r="256" spans="2:6">
      <c r="B256" s="25">
        <v>46273</v>
      </c>
      <c r="C256" s="126" t="str">
        <f>일별!Q274</f>
        <v/>
      </c>
      <c r="D256" s="15" t="str">
        <f>일별!I274</f>
        <v/>
      </c>
      <c r="F256" s="126" t="str">
        <f t="shared" si="4"/>
        <v/>
      </c>
    </row>
    <row r="257" spans="2:6">
      <c r="B257" s="25">
        <v>46274</v>
      </c>
      <c r="C257" s="126" t="str">
        <f>일별!Q275</f>
        <v/>
      </c>
      <c r="D257" s="15" t="str">
        <f>일별!I275</f>
        <v/>
      </c>
      <c r="F257" s="126" t="str">
        <f t="shared" si="4"/>
        <v/>
      </c>
    </row>
    <row r="258" spans="2:6">
      <c r="B258" s="25">
        <v>46275</v>
      </c>
      <c r="C258" s="126" t="str">
        <f>일별!Q276</f>
        <v/>
      </c>
      <c r="D258" s="15" t="str">
        <f>일별!I276</f>
        <v/>
      </c>
      <c r="F258" s="126" t="str">
        <f t="shared" si="4"/>
        <v/>
      </c>
    </row>
    <row r="259" spans="2:6">
      <c r="B259" s="25">
        <v>46276</v>
      </c>
      <c r="C259" s="126" t="str">
        <f>일별!Q277</f>
        <v/>
      </c>
      <c r="D259" s="15" t="str">
        <f>일별!I277</f>
        <v/>
      </c>
      <c r="F259" s="126" t="str">
        <f t="shared" si="4"/>
        <v/>
      </c>
    </row>
    <row r="260" spans="2:6">
      <c r="B260" s="25">
        <v>46277</v>
      </c>
      <c r="C260" s="126" t="str">
        <f>일별!Q278</f>
        <v/>
      </c>
      <c r="D260" s="15" t="str">
        <f>일별!I278</f>
        <v/>
      </c>
      <c r="F260" s="126" t="str">
        <f t="shared" si="4"/>
        <v/>
      </c>
    </row>
    <row r="261" spans="2:6">
      <c r="B261" s="25">
        <v>46278</v>
      </c>
      <c r="C261" s="126" t="str">
        <f>일별!Q279</f>
        <v/>
      </c>
      <c r="D261" s="15" t="str">
        <f>일별!I279</f>
        <v/>
      </c>
      <c r="F261" s="126" t="str">
        <f t="shared" si="4"/>
        <v/>
      </c>
    </row>
    <row r="262" spans="2:6">
      <c r="B262" s="25">
        <v>46279</v>
      </c>
      <c r="C262" s="126" t="str">
        <f>일별!Q280</f>
        <v/>
      </c>
      <c r="D262" s="15" t="str">
        <f>일별!I280</f>
        <v/>
      </c>
      <c r="F262" s="126" t="str">
        <f t="shared" si="4"/>
        <v/>
      </c>
    </row>
    <row r="263" spans="2:6">
      <c r="B263" s="25">
        <v>46280</v>
      </c>
      <c r="C263" s="126" t="str">
        <f>일별!Q281</f>
        <v/>
      </c>
      <c r="D263" s="15" t="str">
        <f>일별!I281</f>
        <v/>
      </c>
      <c r="F263" s="126" t="str">
        <f t="shared" si="4"/>
        <v/>
      </c>
    </row>
    <row r="264" spans="2:6">
      <c r="B264" s="25">
        <v>46281</v>
      </c>
      <c r="C264" s="126" t="str">
        <f>일별!Q282</f>
        <v/>
      </c>
      <c r="D264" s="15" t="str">
        <f>일별!I282</f>
        <v/>
      </c>
      <c r="F264" s="126" t="str">
        <f t="shared" si="4"/>
        <v/>
      </c>
    </row>
    <row r="265" spans="2:6">
      <c r="B265" s="25">
        <v>46282</v>
      </c>
      <c r="C265" s="126" t="str">
        <f>일별!Q283</f>
        <v/>
      </c>
      <c r="D265" s="15" t="str">
        <f>일별!I283</f>
        <v/>
      </c>
      <c r="F265" s="126" t="str">
        <f t="shared" si="4"/>
        <v/>
      </c>
    </row>
    <row r="266" spans="2:6">
      <c r="B266" s="25">
        <v>46283</v>
      </c>
      <c r="C266" s="126" t="str">
        <f>일별!Q284</f>
        <v/>
      </c>
      <c r="D266" s="15" t="str">
        <f>일별!I284</f>
        <v/>
      </c>
      <c r="F266" s="126" t="str">
        <f t="shared" si="4"/>
        <v/>
      </c>
    </row>
    <row r="267" spans="2:6">
      <c r="B267" s="25">
        <v>46284</v>
      </c>
      <c r="C267" s="126" t="str">
        <f>일별!Q285</f>
        <v/>
      </c>
      <c r="D267" s="15" t="str">
        <f>일별!I285</f>
        <v/>
      </c>
      <c r="F267" s="126" t="str">
        <f t="shared" si="4"/>
        <v/>
      </c>
    </row>
    <row r="268" spans="2:6">
      <c r="B268" s="25">
        <v>46285</v>
      </c>
      <c r="C268" s="126" t="str">
        <f>일별!Q286</f>
        <v/>
      </c>
      <c r="D268" s="15" t="str">
        <f>일별!I286</f>
        <v/>
      </c>
      <c r="F268" s="126" t="str">
        <f t="shared" si="4"/>
        <v/>
      </c>
    </row>
    <row r="269" spans="2:6">
      <c r="B269" s="25">
        <v>46286</v>
      </c>
      <c r="C269" s="126" t="str">
        <f>일별!Q287</f>
        <v/>
      </c>
      <c r="D269" s="15" t="str">
        <f>일별!I287</f>
        <v/>
      </c>
      <c r="F269" s="126" t="str">
        <f t="shared" si="4"/>
        <v/>
      </c>
    </row>
    <row r="270" spans="2:6">
      <c r="B270" s="25">
        <v>46287</v>
      </c>
      <c r="C270" s="126" t="str">
        <f>일별!Q288</f>
        <v/>
      </c>
      <c r="D270" s="15" t="str">
        <f>일별!I288</f>
        <v/>
      </c>
      <c r="F270" s="126" t="str">
        <f t="shared" si="4"/>
        <v/>
      </c>
    </row>
    <row r="271" spans="2:6">
      <c r="B271" s="25">
        <v>46288</v>
      </c>
      <c r="C271" s="126" t="str">
        <f>일별!Q289</f>
        <v/>
      </c>
      <c r="D271" s="15" t="str">
        <f>일별!I289</f>
        <v/>
      </c>
      <c r="F271" s="126" t="str">
        <f t="shared" si="4"/>
        <v/>
      </c>
    </row>
    <row r="272" spans="2:6">
      <c r="B272" s="25">
        <v>46289</v>
      </c>
      <c r="C272" s="126" t="str">
        <f>일별!Q290</f>
        <v/>
      </c>
      <c r="D272" s="15" t="str">
        <f>일별!I290</f>
        <v/>
      </c>
      <c r="F272" s="126" t="str">
        <f t="shared" si="4"/>
        <v/>
      </c>
    </row>
    <row r="273" spans="2:6">
      <c r="B273" s="25">
        <v>46290</v>
      </c>
      <c r="C273" s="126" t="str">
        <f>일별!Q291</f>
        <v/>
      </c>
      <c r="D273" s="15" t="str">
        <f>일별!I291</f>
        <v/>
      </c>
      <c r="F273" s="126" t="str">
        <f t="shared" si="4"/>
        <v/>
      </c>
    </row>
    <row r="274" spans="2:6">
      <c r="B274" s="25">
        <v>46291</v>
      </c>
      <c r="C274" s="126" t="str">
        <f>일별!Q292</f>
        <v/>
      </c>
      <c r="D274" s="15" t="str">
        <f>일별!I292</f>
        <v/>
      </c>
      <c r="F274" s="126" t="str">
        <f t="shared" si="4"/>
        <v/>
      </c>
    </row>
    <row r="275" spans="2:6">
      <c r="B275" s="25">
        <v>46292</v>
      </c>
      <c r="C275" s="126" t="str">
        <f>일별!Q293</f>
        <v/>
      </c>
      <c r="D275" s="15" t="str">
        <f>일별!I293</f>
        <v/>
      </c>
      <c r="F275" s="126" t="str">
        <f t="shared" si="4"/>
        <v/>
      </c>
    </row>
    <row r="276" spans="2:6">
      <c r="B276" s="25">
        <v>46293</v>
      </c>
      <c r="C276" s="126" t="str">
        <f>일별!Q294</f>
        <v/>
      </c>
      <c r="D276" s="15" t="str">
        <f>일별!I294</f>
        <v/>
      </c>
      <c r="F276" s="126" t="str">
        <f t="shared" si="4"/>
        <v/>
      </c>
    </row>
    <row r="277" spans="2:6">
      <c r="B277" s="25">
        <v>46294</v>
      </c>
      <c r="C277" s="126" t="str">
        <f>일별!Q295</f>
        <v/>
      </c>
      <c r="D277" s="15" t="str">
        <f>일별!I295</f>
        <v/>
      </c>
      <c r="F277" s="126" t="str">
        <f t="shared" si="4"/>
        <v/>
      </c>
    </row>
    <row r="278" spans="2:6">
      <c r="B278" s="25">
        <v>46295</v>
      </c>
      <c r="C278" s="126" t="str">
        <f>일별!Q296</f>
        <v/>
      </c>
      <c r="D278" s="15" t="str">
        <f>일별!I296</f>
        <v/>
      </c>
      <c r="F278" s="126" t="str">
        <f t="shared" si="4"/>
        <v/>
      </c>
    </row>
    <row r="279" spans="2:6">
      <c r="B279" s="25">
        <v>46296</v>
      </c>
      <c r="C279" s="126" t="str">
        <f>일별!Q297</f>
        <v/>
      </c>
      <c r="D279" s="15" t="str">
        <f>일별!I297</f>
        <v/>
      </c>
      <c r="F279" s="126" t="str">
        <f t="shared" si="4"/>
        <v/>
      </c>
    </row>
    <row r="280" spans="2:6">
      <c r="B280" s="25">
        <v>46297</v>
      </c>
      <c r="C280" s="126" t="str">
        <f>일별!Q298</f>
        <v/>
      </c>
      <c r="D280" s="15" t="str">
        <f>일별!I298</f>
        <v/>
      </c>
      <c r="F280" s="126" t="str">
        <f t="shared" si="4"/>
        <v/>
      </c>
    </row>
    <row r="281" spans="2:6">
      <c r="B281" s="25">
        <v>46298</v>
      </c>
      <c r="C281" s="126" t="str">
        <f>일별!Q299</f>
        <v/>
      </c>
      <c r="D281" s="15" t="str">
        <f>일별!I299</f>
        <v/>
      </c>
      <c r="F281" s="126" t="str">
        <f t="shared" ref="F281:F344" si="5">IFERROR(C281-D281,"")</f>
        <v/>
      </c>
    </row>
    <row r="282" spans="2:6">
      <c r="B282" s="25">
        <v>46299</v>
      </c>
      <c r="C282" s="126" t="str">
        <f>일별!Q300</f>
        <v/>
      </c>
      <c r="D282" s="15" t="str">
        <f>일별!I300</f>
        <v/>
      </c>
      <c r="F282" s="126" t="str">
        <f t="shared" si="5"/>
        <v/>
      </c>
    </row>
    <row r="283" spans="2:6">
      <c r="B283" s="25">
        <v>46300</v>
      </c>
      <c r="C283" s="126" t="str">
        <f>일별!Q301</f>
        <v/>
      </c>
      <c r="D283" s="15" t="str">
        <f>일별!I301</f>
        <v/>
      </c>
      <c r="F283" s="126" t="str">
        <f t="shared" si="5"/>
        <v/>
      </c>
    </row>
    <row r="284" spans="2:6">
      <c r="B284" s="25">
        <v>46301</v>
      </c>
      <c r="C284" s="126" t="str">
        <f>일별!Q302</f>
        <v/>
      </c>
      <c r="D284" s="15" t="str">
        <f>일별!I302</f>
        <v/>
      </c>
      <c r="F284" s="126" t="str">
        <f t="shared" si="5"/>
        <v/>
      </c>
    </row>
    <row r="285" spans="2:6">
      <c r="B285" s="25">
        <v>46302</v>
      </c>
      <c r="C285" s="126" t="str">
        <f>일별!Q303</f>
        <v/>
      </c>
      <c r="D285" s="15" t="str">
        <f>일별!I303</f>
        <v/>
      </c>
      <c r="F285" s="126" t="str">
        <f t="shared" si="5"/>
        <v/>
      </c>
    </row>
    <row r="286" spans="2:6">
      <c r="B286" s="25">
        <v>46303</v>
      </c>
      <c r="C286" s="126" t="str">
        <f>일별!Q304</f>
        <v/>
      </c>
      <c r="D286" s="15" t="str">
        <f>일별!I304</f>
        <v/>
      </c>
      <c r="F286" s="126" t="str">
        <f t="shared" si="5"/>
        <v/>
      </c>
    </row>
    <row r="287" spans="2:6">
      <c r="B287" s="25">
        <v>46304</v>
      </c>
      <c r="C287" s="126" t="str">
        <f>일별!Q305</f>
        <v/>
      </c>
      <c r="D287" s="15" t="str">
        <f>일별!I305</f>
        <v/>
      </c>
      <c r="F287" s="126" t="str">
        <f t="shared" si="5"/>
        <v/>
      </c>
    </row>
    <row r="288" spans="2:6">
      <c r="B288" s="25">
        <v>46305</v>
      </c>
      <c r="C288" s="126" t="str">
        <f>일별!Q306</f>
        <v/>
      </c>
      <c r="D288" s="15" t="str">
        <f>일별!I306</f>
        <v/>
      </c>
      <c r="F288" s="126" t="str">
        <f t="shared" si="5"/>
        <v/>
      </c>
    </row>
    <row r="289" spans="2:6">
      <c r="B289" s="25">
        <v>46306</v>
      </c>
      <c r="C289" s="126" t="str">
        <f>일별!Q307</f>
        <v/>
      </c>
      <c r="D289" s="15" t="str">
        <f>일별!I307</f>
        <v/>
      </c>
      <c r="F289" s="126" t="str">
        <f t="shared" si="5"/>
        <v/>
      </c>
    </row>
    <row r="290" spans="2:6">
      <c r="B290" s="25">
        <v>46307</v>
      </c>
      <c r="C290" s="126" t="str">
        <f>일별!Q308</f>
        <v/>
      </c>
      <c r="D290" s="15" t="str">
        <f>일별!I308</f>
        <v/>
      </c>
      <c r="F290" s="126" t="str">
        <f t="shared" si="5"/>
        <v/>
      </c>
    </row>
    <row r="291" spans="2:6">
      <c r="B291" s="25">
        <v>46308</v>
      </c>
      <c r="C291" s="126" t="str">
        <f>일별!Q309</f>
        <v/>
      </c>
      <c r="D291" s="15" t="str">
        <f>일별!I309</f>
        <v/>
      </c>
      <c r="F291" s="126" t="str">
        <f t="shared" si="5"/>
        <v/>
      </c>
    </row>
    <row r="292" spans="2:6">
      <c r="B292" s="25">
        <v>46309</v>
      </c>
      <c r="C292" s="126" t="str">
        <f>일별!Q310</f>
        <v/>
      </c>
      <c r="D292" s="15" t="str">
        <f>일별!I310</f>
        <v/>
      </c>
      <c r="F292" s="126" t="str">
        <f t="shared" si="5"/>
        <v/>
      </c>
    </row>
    <row r="293" spans="2:6">
      <c r="B293" s="25">
        <v>46310</v>
      </c>
      <c r="C293" s="126" t="str">
        <f>일별!Q311</f>
        <v/>
      </c>
      <c r="D293" s="15" t="str">
        <f>일별!I311</f>
        <v/>
      </c>
      <c r="F293" s="126" t="str">
        <f t="shared" si="5"/>
        <v/>
      </c>
    </row>
    <row r="294" spans="2:6">
      <c r="B294" s="25">
        <v>46311</v>
      </c>
      <c r="C294" s="126" t="str">
        <f>일별!Q312</f>
        <v/>
      </c>
      <c r="D294" s="15" t="str">
        <f>일별!I312</f>
        <v/>
      </c>
      <c r="F294" s="126" t="str">
        <f t="shared" si="5"/>
        <v/>
      </c>
    </row>
    <row r="295" spans="2:6">
      <c r="B295" s="25">
        <v>46312</v>
      </c>
      <c r="C295" s="126" t="str">
        <f>일별!Q313</f>
        <v/>
      </c>
      <c r="D295" s="15" t="str">
        <f>일별!I313</f>
        <v/>
      </c>
      <c r="F295" s="126" t="str">
        <f t="shared" si="5"/>
        <v/>
      </c>
    </row>
    <row r="296" spans="2:6">
      <c r="B296" s="25">
        <v>46313</v>
      </c>
      <c r="C296" s="126" t="str">
        <f>일별!Q314</f>
        <v/>
      </c>
      <c r="D296" s="15" t="str">
        <f>일별!I314</f>
        <v/>
      </c>
      <c r="F296" s="126" t="str">
        <f t="shared" si="5"/>
        <v/>
      </c>
    </row>
    <row r="297" spans="2:6">
      <c r="B297" s="25">
        <v>46314</v>
      </c>
      <c r="C297" s="126" t="str">
        <f>일별!Q315</f>
        <v/>
      </c>
      <c r="D297" s="15" t="str">
        <f>일별!I315</f>
        <v/>
      </c>
      <c r="F297" s="126" t="str">
        <f t="shared" si="5"/>
        <v/>
      </c>
    </row>
    <row r="298" spans="2:6">
      <c r="B298" s="25">
        <v>46315</v>
      </c>
      <c r="C298" s="126" t="str">
        <f>일별!Q316</f>
        <v/>
      </c>
      <c r="D298" s="15" t="str">
        <f>일별!I316</f>
        <v/>
      </c>
      <c r="F298" s="126" t="str">
        <f t="shared" si="5"/>
        <v/>
      </c>
    </row>
    <row r="299" spans="2:6">
      <c r="B299" s="25">
        <v>46316</v>
      </c>
      <c r="C299" s="126" t="str">
        <f>일별!Q317</f>
        <v/>
      </c>
      <c r="D299" s="15" t="str">
        <f>일별!I317</f>
        <v/>
      </c>
      <c r="F299" s="126" t="str">
        <f t="shared" si="5"/>
        <v/>
      </c>
    </row>
    <row r="300" spans="2:6">
      <c r="B300" s="25">
        <v>46317</v>
      </c>
      <c r="C300" s="126" t="str">
        <f>일별!Q318</f>
        <v/>
      </c>
      <c r="D300" s="15" t="str">
        <f>일별!I318</f>
        <v/>
      </c>
      <c r="F300" s="126" t="str">
        <f t="shared" si="5"/>
        <v/>
      </c>
    </row>
    <row r="301" spans="2:6">
      <c r="B301" s="25">
        <v>46318</v>
      </c>
      <c r="C301" s="126" t="str">
        <f>일별!Q319</f>
        <v/>
      </c>
      <c r="D301" s="15" t="str">
        <f>일별!I319</f>
        <v/>
      </c>
      <c r="F301" s="126" t="str">
        <f t="shared" si="5"/>
        <v/>
      </c>
    </row>
    <row r="302" spans="2:6">
      <c r="B302" s="25">
        <v>46319</v>
      </c>
      <c r="C302" s="126" t="str">
        <f>일별!Q320</f>
        <v/>
      </c>
      <c r="D302" s="15" t="str">
        <f>일별!I320</f>
        <v/>
      </c>
      <c r="F302" s="126" t="str">
        <f t="shared" si="5"/>
        <v/>
      </c>
    </row>
    <row r="303" spans="2:6">
      <c r="B303" s="25">
        <v>46320</v>
      </c>
      <c r="C303" s="126" t="str">
        <f>일별!Q321</f>
        <v/>
      </c>
      <c r="D303" s="15" t="str">
        <f>일별!I321</f>
        <v/>
      </c>
      <c r="F303" s="126" t="str">
        <f t="shared" si="5"/>
        <v/>
      </c>
    </row>
    <row r="304" spans="2:6">
      <c r="B304" s="25">
        <v>46321</v>
      </c>
      <c r="C304" s="126" t="str">
        <f>일별!Q322</f>
        <v/>
      </c>
      <c r="D304" s="15" t="str">
        <f>일별!I322</f>
        <v/>
      </c>
      <c r="F304" s="126" t="str">
        <f t="shared" si="5"/>
        <v/>
      </c>
    </row>
    <row r="305" spans="2:6">
      <c r="B305" s="25">
        <v>46322</v>
      </c>
      <c r="C305" s="126" t="str">
        <f>일별!Q323</f>
        <v/>
      </c>
      <c r="D305" s="15" t="str">
        <f>일별!I323</f>
        <v/>
      </c>
      <c r="F305" s="126" t="str">
        <f t="shared" si="5"/>
        <v/>
      </c>
    </row>
    <row r="306" spans="2:6">
      <c r="B306" s="25">
        <v>46323</v>
      </c>
      <c r="C306" s="126" t="str">
        <f>일별!Q324</f>
        <v/>
      </c>
      <c r="D306" s="15" t="str">
        <f>일별!I324</f>
        <v/>
      </c>
      <c r="F306" s="126" t="str">
        <f t="shared" si="5"/>
        <v/>
      </c>
    </row>
    <row r="307" spans="2:6">
      <c r="B307" s="25">
        <v>46324</v>
      </c>
      <c r="C307" s="126" t="str">
        <f>일별!Q325</f>
        <v/>
      </c>
      <c r="D307" s="15" t="str">
        <f>일별!I325</f>
        <v/>
      </c>
      <c r="F307" s="126" t="str">
        <f t="shared" si="5"/>
        <v/>
      </c>
    </row>
    <row r="308" spans="2:6">
      <c r="B308" s="25">
        <v>46325</v>
      </c>
      <c r="C308" s="126" t="str">
        <f>일별!Q326</f>
        <v/>
      </c>
      <c r="D308" s="15" t="str">
        <f>일별!I326</f>
        <v/>
      </c>
      <c r="F308" s="126" t="str">
        <f t="shared" si="5"/>
        <v/>
      </c>
    </row>
    <row r="309" spans="2:6">
      <c r="B309" s="25">
        <v>46326</v>
      </c>
      <c r="C309" s="126" t="str">
        <f>일별!Q327</f>
        <v/>
      </c>
      <c r="D309" s="15" t="str">
        <f>일별!I327</f>
        <v/>
      </c>
      <c r="F309" s="126" t="str">
        <f t="shared" si="5"/>
        <v/>
      </c>
    </row>
    <row r="310" spans="2:6">
      <c r="B310" s="25">
        <v>46327</v>
      </c>
      <c r="C310" s="126" t="str">
        <f>일별!Q328</f>
        <v/>
      </c>
      <c r="D310" s="15" t="str">
        <f>일별!I328</f>
        <v/>
      </c>
      <c r="F310" s="126" t="str">
        <f t="shared" si="5"/>
        <v/>
      </c>
    </row>
    <row r="311" spans="2:6">
      <c r="B311" s="25">
        <v>46328</v>
      </c>
      <c r="C311" s="126" t="str">
        <f>일별!Q329</f>
        <v/>
      </c>
      <c r="D311" s="15" t="str">
        <f>일별!I329</f>
        <v/>
      </c>
      <c r="F311" s="126" t="str">
        <f t="shared" si="5"/>
        <v/>
      </c>
    </row>
    <row r="312" spans="2:6">
      <c r="B312" s="25">
        <v>46329</v>
      </c>
      <c r="C312" s="126" t="str">
        <f>일별!Q330</f>
        <v/>
      </c>
      <c r="D312" s="15" t="str">
        <f>일별!I330</f>
        <v/>
      </c>
      <c r="F312" s="126" t="str">
        <f t="shared" si="5"/>
        <v/>
      </c>
    </row>
    <row r="313" spans="2:6">
      <c r="B313" s="25">
        <v>46330</v>
      </c>
      <c r="C313" s="126" t="str">
        <f>일별!Q331</f>
        <v/>
      </c>
      <c r="D313" s="15" t="str">
        <f>일별!I331</f>
        <v/>
      </c>
      <c r="F313" s="126" t="str">
        <f t="shared" si="5"/>
        <v/>
      </c>
    </row>
    <row r="314" spans="2:6">
      <c r="B314" s="25">
        <v>46331</v>
      </c>
      <c r="C314" s="126" t="str">
        <f>일별!Q332</f>
        <v/>
      </c>
      <c r="D314" s="15" t="str">
        <f>일별!I332</f>
        <v/>
      </c>
      <c r="F314" s="126" t="str">
        <f t="shared" si="5"/>
        <v/>
      </c>
    </row>
    <row r="315" spans="2:6">
      <c r="B315" s="25">
        <v>46332</v>
      </c>
      <c r="C315" s="126" t="str">
        <f>일별!Q333</f>
        <v/>
      </c>
      <c r="D315" s="15" t="str">
        <f>일별!I333</f>
        <v/>
      </c>
      <c r="F315" s="126" t="str">
        <f t="shared" si="5"/>
        <v/>
      </c>
    </row>
    <row r="316" spans="2:6">
      <c r="B316" s="25">
        <v>46333</v>
      </c>
      <c r="C316" s="126" t="str">
        <f>일별!Q334</f>
        <v/>
      </c>
      <c r="D316" s="15" t="str">
        <f>일별!I334</f>
        <v/>
      </c>
      <c r="F316" s="126" t="str">
        <f t="shared" si="5"/>
        <v/>
      </c>
    </row>
    <row r="317" spans="2:6">
      <c r="B317" s="25">
        <v>46334</v>
      </c>
      <c r="C317" s="126" t="str">
        <f>일별!Q335</f>
        <v/>
      </c>
      <c r="D317" s="15" t="str">
        <f>일별!I335</f>
        <v/>
      </c>
      <c r="F317" s="126" t="str">
        <f t="shared" si="5"/>
        <v/>
      </c>
    </row>
    <row r="318" spans="2:6">
      <c r="B318" s="25">
        <v>46335</v>
      </c>
      <c r="C318" s="126" t="str">
        <f>일별!Q336</f>
        <v/>
      </c>
      <c r="D318" s="15" t="str">
        <f>일별!I336</f>
        <v/>
      </c>
      <c r="F318" s="126" t="str">
        <f t="shared" si="5"/>
        <v/>
      </c>
    </row>
    <row r="319" spans="2:6">
      <c r="B319" s="25">
        <v>46336</v>
      </c>
      <c r="C319" s="126" t="str">
        <f>일별!Q337</f>
        <v/>
      </c>
      <c r="D319" s="15" t="str">
        <f>일별!I337</f>
        <v/>
      </c>
      <c r="F319" s="126" t="str">
        <f t="shared" si="5"/>
        <v/>
      </c>
    </row>
    <row r="320" spans="2:6">
      <c r="B320" s="25">
        <v>46337</v>
      </c>
      <c r="C320" s="126" t="str">
        <f>일별!Q338</f>
        <v/>
      </c>
      <c r="D320" s="15" t="str">
        <f>일별!I338</f>
        <v/>
      </c>
      <c r="F320" s="126" t="str">
        <f t="shared" si="5"/>
        <v/>
      </c>
    </row>
    <row r="321" spans="2:6">
      <c r="B321" s="25">
        <v>46338</v>
      </c>
      <c r="C321" s="126" t="str">
        <f>일별!Q339</f>
        <v/>
      </c>
      <c r="D321" s="15" t="str">
        <f>일별!I339</f>
        <v/>
      </c>
      <c r="F321" s="126" t="str">
        <f t="shared" si="5"/>
        <v/>
      </c>
    </row>
    <row r="322" spans="2:6">
      <c r="B322" s="25">
        <v>46339</v>
      </c>
      <c r="C322" s="126" t="str">
        <f>일별!Q340</f>
        <v/>
      </c>
      <c r="D322" s="15" t="str">
        <f>일별!I340</f>
        <v/>
      </c>
      <c r="F322" s="126" t="str">
        <f t="shared" si="5"/>
        <v/>
      </c>
    </row>
    <row r="323" spans="2:6">
      <c r="B323" s="25">
        <v>46340</v>
      </c>
      <c r="C323" s="126" t="str">
        <f>일별!Q341</f>
        <v/>
      </c>
      <c r="D323" s="15" t="str">
        <f>일별!I341</f>
        <v/>
      </c>
      <c r="F323" s="126" t="str">
        <f t="shared" si="5"/>
        <v/>
      </c>
    </row>
    <row r="324" spans="2:6">
      <c r="B324" s="25">
        <v>46341</v>
      </c>
      <c r="C324" s="126" t="str">
        <f>일별!Q342</f>
        <v/>
      </c>
      <c r="D324" s="15" t="str">
        <f>일별!I342</f>
        <v/>
      </c>
      <c r="F324" s="126" t="str">
        <f t="shared" si="5"/>
        <v/>
      </c>
    </row>
    <row r="325" spans="2:6">
      <c r="B325" s="25">
        <v>46342</v>
      </c>
      <c r="C325" s="126" t="str">
        <f>일별!Q343</f>
        <v/>
      </c>
      <c r="D325" s="15" t="str">
        <f>일별!I343</f>
        <v/>
      </c>
      <c r="F325" s="126" t="str">
        <f t="shared" si="5"/>
        <v/>
      </c>
    </row>
    <row r="326" spans="2:6">
      <c r="B326" s="25">
        <v>46343</v>
      </c>
      <c r="C326" s="126" t="str">
        <f>일별!Q344</f>
        <v/>
      </c>
      <c r="D326" s="15" t="str">
        <f>일별!I344</f>
        <v/>
      </c>
      <c r="F326" s="126" t="str">
        <f t="shared" si="5"/>
        <v/>
      </c>
    </row>
    <row r="327" spans="2:6">
      <c r="B327" s="25">
        <v>46344</v>
      </c>
      <c r="C327" s="126" t="str">
        <f>일별!Q345</f>
        <v/>
      </c>
      <c r="D327" s="15" t="str">
        <f>일별!I345</f>
        <v/>
      </c>
      <c r="F327" s="126" t="str">
        <f t="shared" si="5"/>
        <v/>
      </c>
    </row>
    <row r="328" spans="2:6">
      <c r="B328" s="25">
        <v>46345</v>
      </c>
      <c r="C328" s="126" t="str">
        <f>일별!Q346</f>
        <v/>
      </c>
      <c r="D328" s="15" t="str">
        <f>일별!I346</f>
        <v/>
      </c>
      <c r="F328" s="126" t="str">
        <f t="shared" si="5"/>
        <v/>
      </c>
    </row>
    <row r="329" spans="2:6">
      <c r="B329" s="25">
        <v>46346</v>
      </c>
      <c r="C329" s="126" t="str">
        <f>일별!Q347</f>
        <v/>
      </c>
      <c r="D329" s="15" t="str">
        <f>일별!I347</f>
        <v/>
      </c>
      <c r="F329" s="126" t="str">
        <f t="shared" si="5"/>
        <v/>
      </c>
    </row>
    <row r="330" spans="2:6">
      <c r="B330" s="25">
        <v>46347</v>
      </c>
      <c r="C330" s="126" t="str">
        <f>일별!Q348</f>
        <v/>
      </c>
      <c r="D330" s="15" t="str">
        <f>일별!I348</f>
        <v/>
      </c>
      <c r="F330" s="126" t="str">
        <f t="shared" si="5"/>
        <v/>
      </c>
    </row>
    <row r="331" spans="2:6">
      <c r="B331" s="25">
        <v>46348</v>
      </c>
      <c r="C331" s="126" t="str">
        <f>일별!Q349</f>
        <v/>
      </c>
      <c r="D331" s="15" t="str">
        <f>일별!I349</f>
        <v/>
      </c>
      <c r="F331" s="126" t="str">
        <f t="shared" si="5"/>
        <v/>
      </c>
    </row>
    <row r="332" spans="2:6">
      <c r="B332" s="25">
        <v>46349</v>
      </c>
      <c r="C332" s="126" t="str">
        <f>일별!Q350</f>
        <v/>
      </c>
      <c r="D332" s="15" t="str">
        <f>일별!I350</f>
        <v/>
      </c>
      <c r="F332" s="126" t="str">
        <f t="shared" si="5"/>
        <v/>
      </c>
    </row>
    <row r="333" spans="2:6">
      <c r="B333" s="25">
        <v>46350</v>
      </c>
      <c r="C333" s="126" t="str">
        <f>일별!Q351</f>
        <v/>
      </c>
      <c r="D333" s="15" t="str">
        <f>일별!I351</f>
        <v/>
      </c>
      <c r="F333" s="126" t="str">
        <f t="shared" si="5"/>
        <v/>
      </c>
    </row>
    <row r="334" spans="2:6">
      <c r="B334" s="25">
        <v>46351</v>
      </c>
      <c r="C334" s="126" t="str">
        <f>일별!Q352</f>
        <v/>
      </c>
      <c r="D334" s="15" t="str">
        <f>일별!I352</f>
        <v/>
      </c>
      <c r="F334" s="126" t="str">
        <f t="shared" si="5"/>
        <v/>
      </c>
    </row>
    <row r="335" spans="2:6">
      <c r="B335" s="25">
        <v>46352</v>
      </c>
      <c r="C335" s="126" t="str">
        <f>일별!Q353</f>
        <v/>
      </c>
      <c r="D335" s="15" t="str">
        <f>일별!I353</f>
        <v/>
      </c>
      <c r="F335" s="126" t="str">
        <f t="shared" si="5"/>
        <v/>
      </c>
    </row>
    <row r="336" spans="2:6">
      <c r="B336" s="25">
        <v>46353</v>
      </c>
      <c r="C336" s="126" t="str">
        <f>일별!Q354</f>
        <v/>
      </c>
      <c r="D336" s="15" t="str">
        <f>일별!I354</f>
        <v/>
      </c>
      <c r="F336" s="126" t="str">
        <f t="shared" si="5"/>
        <v/>
      </c>
    </row>
    <row r="337" spans="2:6">
      <c r="B337" s="25">
        <v>46354</v>
      </c>
      <c r="C337" s="126" t="str">
        <f>일별!Q355</f>
        <v/>
      </c>
      <c r="D337" s="15" t="str">
        <f>일별!I355</f>
        <v/>
      </c>
      <c r="F337" s="126" t="str">
        <f t="shared" si="5"/>
        <v/>
      </c>
    </row>
    <row r="338" spans="2:6">
      <c r="B338" s="25">
        <v>46355</v>
      </c>
      <c r="C338" s="126" t="str">
        <f>일별!Q356</f>
        <v/>
      </c>
      <c r="D338" s="15" t="str">
        <f>일별!I356</f>
        <v/>
      </c>
      <c r="F338" s="126" t="str">
        <f t="shared" si="5"/>
        <v/>
      </c>
    </row>
    <row r="339" spans="2:6">
      <c r="B339" s="25">
        <v>46356</v>
      </c>
      <c r="C339" s="126" t="str">
        <f>일별!Q357</f>
        <v/>
      </c>
      <c r="D339" s="15" t="str">
        <f>일별!I357</f>
        <v/>
      </c>
      <c r="F339" s="126" t="str">
        <f t="shared" si="5"/>
        <v/>
      </c>
    </row>
    <row r="340" spans="2:6">
      <c r="B340" s="25">
        <v>46357</v>
      </c>
      <c r="C340" s="126" t="str">
        <f>일별!Q358</f>
        <v/>
      </c>
      <c r="D340" s="15" t="str">
        <f>일별!I358</f>
        <v/>
      </c>
      <c r="F340" s="126" t="str">
        <f t="shared" si="5"/>
        <v/>
      </c>
    </row>
    <row r="341" spans="2:6">
      <c r="B341" s="25">
        <v>46358</v>
      </c>
      <c r="C341" s="126" t="str">
        <f>일별!Q359</f>
        <v/>
      </c>
      <c r="D341" s="15" t="str">
        <f>일별!I359</f>
        <v/>
      </c>
      <c r="F341" s="126" t="str">
        <f t="shared" si="5"/>
        <v/>
      </c>
    </row>
    <row r="342" spans="2:6">
      <c r="B342" s="25">
        <v>46359</v>
      </c>
      <c r="C342" s="126" t="str">
        <f>일별!Q360</f>
        <v/>
      </c>
      <c r="D342" s="15" t="str">
        <f>일별!I360</f>
        <v/>
      </c>
      <c r="F342" s="126" t="str">
        <f t="shared" si="5"/>
        <v/>
      </c>
    </row>
    <row r="343" spans="2:6">
      <c r="B343" s="25">
        <v>46360</v>
      </c>
      <c r="C343" s="126" t="str">
        <f>일별!Q361</f>
        <v/>
      </c>
      <c r="D343" s="15" t="str">
        <f>일별!I361</f>
        <v/>
      </c>
      <c r="F343" s="126" t="str">
        <f t="shared" si="5"/>
        <v/>
      </c>
    </row>
    <row r="344" spans="2:6">
      <c r="B344" s="25">
        <v>46361</v>
      </c>
      <c r="C344" s="126" t="str">
        <f>일별!Q362</f>
        <v/>
      </c>
      <c r="D344" s="15" t="str">
        <f>일별!I362</f>
        <v/>
      </c>
      <c r="F344" s="126" t="str">
        <f t="shared" si="5"/>
        <v/>
      </c>
    </row>
    <row r="345" spans="2:6">
      <c r="B345" s="25">
        <v>46362</v>
      </c>
      <c r="C345" s="126" t="str">
        <f>일별!Q363</f>
        <v/>
      </c>
      <c r="D345" s="15" t="str">
        <f>일별!I363</f>
        <v/>
      </c>
      <c r="F345" s="126" t="str">
        <f t="shared" ref="F345:F370" si="6">IFERROR(C345-D345,"")</f>
        <v/>
      </c>
    </row>
    <row r="346" spans="2:6">
      <c r="B346" s="25">
        <v>46363</v>
      </c>
      <c r="C346" s="126" t="str">
        <f>일별!Q364</f>
        <v/>
      </c>
      <c r="D346" s="15" t="str">
        <f>일별!I364</f>
        <v/>
      </c>
      <c r="F346" s="126" t="str">
        <f t="shared" si="6"/>
        <v/>
      </c>
    </row>
    <row r="347" spans="2:6">
      <c r="B347" s="25">
        <v>46364</v>
      </c>
      <c r="C347" s="126" t="str">
        <f>일별!Q365</f>
        <v/>
      </c>
      <c r="D347" s="15" t="str">
        <f>일별!I365</f>
        <v/>
      </c>
      <c r="F347" s="126" t="str">
        <f t="shared" si="6"/>
        <v/>
      </c>
    </row>
    <row r="348" spans="2:6">
      <c r="B348" s="25">
        <v>46365</v>
      </c>
      <c r="C348" s="126" t="str">
        <f>일별!Q366</f>
        <v/>
      </c>
      <c r="D348" s="15" t="str">
        <f>일별!I366</f>
        <v/>
      </c>
      <c r="F348" s="126" t="str">
        <f t="shared" si="6"/>
        <v/>
      </c>
    </row>
    <row r="349" spans="2:6">
      <c r="B349" s="25">
        <v>46366</v>
      </c>
      <c r="C349" s="126" t="str">
        <f>일별!Q367</f>
        <v/>
      </c>
      <c r="D349" s="15" t="str">
        <f>일별!I367</f>
        <v/>
      </c>
      <c r="F349" s="126" t="str">
        <f t="shared" si="6"/>
        <v/>
      </c>
    </row>
    <row r="350" spans="2:6">
      <c r="B350" s="25">
        <v>46367</v>
      </c>
      <c r="C350" s="126" t="str">
        <f>일별!Q368</f>
        <v/>
      </c>
      <c r="D350" s="15" t="str">
        <f>일별!I368</f>
        <v/>
      </c>
      <c r="F350" s="126" t="str">
        <f t="shared" si="6"/>
        <v/>
      </c>
    </row>
    <row r="351" spans="2:6">
      <c r="B351" s="25">
        <v>46368</v>
      </c>
      <c r="C351" s="126" t="str">
        <f>일별!Q369</f>
        <v/>
      </c>
      <c r="D351" s="15" t="str">
        <f>일별!I369</f>
        <v/>
      </c>
      <c r="F351" s="126" t="str">
        <f t="shared" si="6"/>
        <v/>
      </c>
    </row>
    <row r="352" spans="2:6">
      <c r="B352" s="25">
        <v>46369</v>
      </c>
      <c r="C352" s="126" t="str">
        <f>일별!Q370</f>
        <v/>
      </c>
      <c r="D352" s="15" t="str">
        <f>일별!I370</f>
        <v/>
      </c>
      <c r="F352" s="126" t="str">
        <f t="shared" si="6"/>
        <v/>
      </c>
    </row>
    <row r="353" spans="2:6">
      <c r="B353" s="25">
        <v>46370</v>
      </c>
      <c r="C353" s="126">
        <f>일별!Q371</f>
        <v>0</v>
      </c>
      <c r="D353" s="15">
        <f>일별!I371</f>
        <v>0</v>
      </c>
      <c r="F353" s="126">
        <f t="shared" si="6"/>
        <v>0</v>
      </c>
    </row>
    <row r="354" spans="2:6">
      <c r="B354" s="25">
        <v>46371</v>
      </c>
      <c r="C354" s="126">
        <f>일별!Q372</f>
        <v>0</v>
      </c>
      <c r="D354" s="15">
        <f>일별!I372</f>
        <v>0</v>
      </c>
      <c r="F354" s="126">
        <f t="shared" si="6"/>
        <v>0</v>
      </c>
    </row>
    <row r="355" spans="2:6">
      <c r="B355" s="25">
        <v>46372</v>
      </c>
      <c r="C355" s="126">
        <f>일별!Q373</f>
        <v>0</v>
      </c>
      <c r="D355" s="15">
        <f>일별!I373</f>
        <v>0</v>
      </c>
      <c r="F355" s="126">
        <f t="shared" si="6"/>
        <v>0</v>
      </c>
    </row>
    <row r="356" spans="2:6">
      <c r="B356" s="25">
        <v>46373</v>
      </c>
      <c r="C356" s="126">
        <f>일별!Q374</f>
        <v>0</v>
      </c>
      <c r="D356" s="15">
        <f>일별!I374</f>
        <v>0</v>
      </c>
      <c r="F356" s="126">
        <f t="shared" si="6"/>
        <v>0</v>
      </c>
    </row>
    <row r="357" spans="2:6">
      <c r="B357" s="25">
        <v>46374</v>
      </c>
      <c r="C357" s="126">
        <f>일별!Q375</f>
        <v>0</v>
      </c>
      <c r="D357" s="15">
        <f>일별!I375</f>
        <v>0</v>
      </c>
      <c r="F357" s="126">
        <f t="shared" si="6"/>
        <v>0</v>
      </c>
    </row>
    <row r="358" spans="2:6">
      <c r="B358" s="25">
        <v>46375</v>
      </c>
      <c r="C358" s="126">
        <f>일별!Q376</f>
        <v>0</v>
      </c>
      <c r="D358" s="15">
        <f>일별!I376</f>
        <v>0</v>
      </c>
      <c r="F358" s="126">
        <f t="shared" si="6"/>
        <v>0</v>
      </c>
    </row>
    <row r="359" spans="2:6">
      <c r="B359" s="25">
        <v>46376</v>
      </c>
      <c r="C359" s="126">
        <f>일별!Q377</f>
        <v>0</v>
      </c>
      <c r="D359" s="15">
        <f>일별!I377</f>
        <v>0</v>
      </c>
      <c r="F359" s="126">
        <f t="shared" si="6"/>
        <v>0</v>
      </c>
    </row>
    <row r="360" spans="2:6">
      <c r="B360" s="25">
        <v>46377</v>
      </c>
      <c r="C360" s="126">
        <f>일별!Q378</f>
        <v>0</v>
      </c>
      <c r="D360" s="15">
        <f>일별!I378</f>
        <v>0</v>
      </c>
      <c r="F360" s="126">
        <f t="shared" si="6"/>
        <v>0</v>
      </c>
    </row>
    <row r="361" spans="2:6">
      <c r="B361" s="25">
        <v>46378</v>
      </c>
      <c r="C361" s="126">
        <f>일별!Q379</f>
        <v>0</v>
      </c>
      <c r="D361" s="15">
        <f>일별!I379</f>
        <v>0</v>
      </c>
      <c r="F361" s="126">
        <f t="shared" si="6"/>
        <v>0</v>
      </c>
    </row>
    <row r="362" spans="2:6">
      <c r="B362" s="25">
        <v>46379</v>
      </c>
      <c r="C362" s="126">
        <f>일별!Q380</f>
        <v>0</v>
      </c>
      <c r="D362" s="15">
        <f>일별!I380</f>
        <v>0</v>
      </c>
      <c r="F362" s="126">
        <f t="shared" si="6"/>
        <v>0</v>
      </c>
    </row>
    <row r="363" spans="2:6">
      <c r="B363" s="25">
        <v>46380</v>
      </c>
      <c r="C363" s="126">
        <f>일별!Q381</f>
        <v>0</v>
      </c>
      <c r="D363" s="15">
        <f>일별!I381</f>
        <v>0</v>
      </c>
      <c r="F363" s="126">
        <f t="shared" si="6"/>
        <v>0</v>
      </c>
    </row>
    <row r="364" spans="2:6">
      <c r="B364" s="25">
        <v>46381</v>
      </c>
      <c r="C364" s="126">
        <f>일별!Q382</f>
        <v>0</v>
      </c>
      <c r="D364" s="15">
        <f>일별!I382</f>
        <v>0</v>
      </c>
      <c r="F364" s="126">
        <f t="shared" si="6"/>
        <v>0</v>
      </c>
    </row>
    <row r="365" spans="2:6">
      <c r="B365" s="25">
        <v>46382</v>
      </c>
      <c r="C365" s="126">
        <f>일별!Q383</f>
        <v>0</v>
      </c>
      <c r="D365" s="15">
        <f>일별!I383</f>
        <v>0</v>
      </c>
      <c r="F365" s="126">
        <f t="shared" si="6"/>
        <v>0</v>
      </c>
    </row>
    <row r="366" spans="2:6">
      <c r="B366" s="25">
        <v>46383</v>
      </c>
      <c r="C366" s="126">
        <f>일별!Q384</f>
        <v>0</v>
      </c>
      <c r="D366" s="15">
        <f>일별!I384</f>
        <v>0</v>
      </c>
      <c r="F366" s="126">
        <f t="shared" si="6"/>
        <v>0</v>
      </c>
    </row>
    <row r="367" spans="2:6">
      <c r="B367" s="25">
        <v>46384</v>
      </c>
      <c r="C367" s="126">
        <f>일별!Q385</f>
        <v>0</v>
      </c>
      <c r="D367" s="15">
        <f>일별!I385</f>
        <v>0</v>
      </c>
      <c r="F367" s="126">
        <f t="shared" si="6"/>
        <v>0</v>
      </c>
    </row>
    <row r="368" spans="2:6">
      <c r="B368" s="25">
        <v>46385</v>
      </c>
      <c r="C368" s="126">
        <f>일별!Q386</f>
        <v>0</v>
      </c>
      <c r="D368" s="15">
        <f>일별!I386</f>
        <v>0</v>
      </c>
      <c r="F368" s="126">
        <f t="shared" si="6"/>
        <v>0</v>
      </c>
    </row>
    <row r="369" spans="2:6">
      <c r="B369" s="25">
        <v>46386</v>
      </c>
      <c r="C369" s="126">
        <f>일별!Q387</f>
        <v>0</v>
      </c>
      <c r="D369" s="15">
        <f>일별!I387</f>
        <v>0</v>
      </c>
      <c r="F369" s="126">
        <f t="shared" si="6"/>
        <v>0</v>
      </c>
    </row>
    <row r="370" spans="2:6">
      <c r="B370" s="26">
        <v>46387</v>
      </c>
      <c r="C370" s="126">
        <f>일별!Q388</f>
        <v>0</v>
      </c>
      <c r="D370" s="15">
        <f>일별!I388</f>
        <v>0</v>
      </c>
      <c r="F370" s="127">
        <f t="shared" si="6"/>
        <v>0</v>
      </c>
    </row>
  </sheetData>
  <phoneticPr fontId="3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D5417-52A2-414D-9CB7-4620EE6E2290}">
  <dimension ref="A1:BO48"/>
  <sheetViews>
    <sheetView showGridLines="0" defaultGridColor="0" colorId="8" zoomScale="55" zoomScaleNormal="55" workbookViewId="0">
      <selection activeCell="L2" sqref="L2:N2"/>
    </sheetView>
  </sheetViews>
  <sheetFormatPr defaultColWidth="3" defaultRowHeight="17"/>
  <cols>
    <col min="1" max="27" width="3" style="130"/>
    <col min="28" max="28" width="3" style="130" customWidth="1"/>
    <col min="29" max="66" width="3" style="130"/>
    <col min="67" max="67" width="3.33203125" style="130" customWidth="1"/>
    <col min="68" max="16384" width="3" style="130"/>
  </cols>
  <sheetData>
    <row r="1" spans="1:63" ht="17.5" thickTop="1">
      <c r="A1" s="156"/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4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3"/>
      <c r="AP1" s="153"/>
      <c r="AQ1" s="153"/>
      <c r="AR1" s="153"/>
      <c r="AS1" s="153"/>
      <c r="AT1" s="153"/>
      <c r="AU1" s="153"/>
      <c r="AV1" s="153"/>
      <c r="AW1" s="153"/>
      <c r="AX1" s="153"/>
      <c r="AY1" s="153"/>
      <c r="AZ1" s="153"/>
      <c r="BA1" s="153"/>
      <c r="BB1" s="153"/>
      <c r="BC1" s="153"/>
      <c r="BD1" s="153"/>
      <c r="BE1" s="153"/>
      <c r="BF1" s="153"/>
      <c r="BG1" s="153"/>
      <c r="BH1" s="153"/>
      <c r="BI1" s="153"/>
      <c r="BJ1" s="153"/>
      <c r="BK1" s="152"/>
    </row>
    <row r="2" spans="1:63">
      <c r="A2" s="146"/>
      <c r="B2" s="136" t="s">
        <v>233</v>
      </c>
      <c r="C2" s="136"/>
      <c r="D2" s="136"/>
      <c r="E2" s="136"/>
      <c r="F2" s="136"/>
      <c r="G2" s="136"/>
      <c r="H2" s="136" t="s">
        <v>234</v>
      </c>
      <c r="I2" s="136"/>
      <c r="J2" s="136"/>
      <c r="K2" s="136"/>
      <c r="L2" s="335">
        <v>0.6</v>
      </c>
      <c r="M2" s="335"/>
      <c r="N2" s="335"/>
      <c r="O2" s="150"/>
      <c r="BK2" s="134"/>
    </row>
    <row r="3" spans="1:63" s="136" customFormat="1">
      <c r="A3" s="151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50"/>
      <c r="BK3" s="149"/>
    </row>
    <row r="4" spans="1:63">
      <c r="A4" s="146"/>
      <c r="B4" s="148"/>
      <c r="C4" s="148"/>
      <c r="D4" s="148"/>
      <c r="F4" s="130" t="s">
        <v>235</v>
      </c>
      <c r="O4" s="145"/>
      <c r="AY4" s="130" t="s">
        <v>236</v>
      </c>
      <c r="BK4" s="134"/>
    </row>
    <row r="5" spans="1:63">
      <c r="A5" s="146"/>
      <c r="B5" s="147"/>
      <c r="C5" s="147"/>
      <c r="D5" s="147"/>
      <c r="F5" s="130" t="s">
        <v>237</v>
      </c>
      <c r="O5" s="145"/>
      <c r="U5" s="130" t="s">
        <v>236</v>
      </c>
      <c r="AY5" s="336">
        <v>0</v>
      </c>
      <c r="AZ5" s="336"/>
      <c r="BA5" s="336"/>
      <c r="BB5" s="135" t="s">
        <v>238</v>
      </c>
      <c r="BK5" s="134"/>
    </row>
    <row r="6" spans="1:63">
      <c r="A6" s="146"/>
      <c r="B6" s="337"/>
      <c r="C6" s="337"/>
      <c r="D6" s="337"/>
      <c r="F6" s="130" t="s">
        <v>239</v>
      </c>
      <c r="O6" s="145"/>
      <c r="U6" s="336">
        <v>0</v>
      </c>
      <c r="V6" s="336"/>
      <c r="W6" s="336"/>
      <c r="X6" s="135" t="s">
        <v>238</v>
      </c>
      <c r="BK6" s="134"/>
    </row>
    <row r="7" spans="1:63">
      <c r="A7" s="146"/>
      <c r="B7" s="338"/>
      <c r="C7" s="338"/>
      <c r="D7" s="338"/>
      <c r="O7" s="145"/>
      <c r="AY7" s="130" t="s">
        <v>236</v>
      </c>
      <c r="BK7" s="134"/>
    </row>
    <row r="8" spans="1:63">
      <c r="A8" s="146"/>
      <c r="O8" s="145"/>
      <c r="AY8" s="339">
        <f>IF(L2="미가동",0,16.7)</f>
        <v>16.7</v>
      </c>
      <c r="AZ8" s="339"/>
      <c r="BA8" s="339"/>
      <c r="BB8" s="135" t="s">
        <v>238</v>
      </c>
      <c r="BK8" s="134"/>
    </row>
    <row r="9" spans="1:63" ht="17.5" thickBot="1">
      <c r="A9" s="144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2"/>
      <c r="BK9" s="134"/>
    </row>
    <row r="10" spans="1:63" ht="17.5" thickTop="1">
      <c r="A10" s="137"/>
      <c r="J10" s="130" t="s">
        <v>240</v>
      </c>
      <c r="AY10" s="130" t="s">
        <v>236</v>
      </c>
      <c r="BE10" s="136"/>
      <c r="BK10" s="134"/>
    </row>
    <row r="11" spans="1:63">
      <c r="A11" s="137"/>
      <c r="J11" s="341">
        <f>U6+AY5+AY8+AY11+AY14+AY18+AY25+C26</f>
        <v>73.740068307013019</v>
      </c>
      <c r="K11" s="341"/>
      <c r="L11" s="341"/>
      <c r="M11" s="135" t="s">
        <v>238</v>
      </c>
      <c r="AY11" s="340">
        <v>0.65300000000000002</v>
      </c>
      <c r="AZ11" s="340"/>
      <c r="BA11" s="340"/>
      <c r="BB11" s="135" t="s">
        <v>238</v>
      </c>
      <c r="BK11" s="134"/>
    </row>
    <row r="12" spans="1:63">
      <c r="A12" s="137"/>
      <c r="BK12" s="134"/>
    </row>
    <row r="13" spans="1:63">
      <c r="A13" s="137"/>
      <c r="AY13" s="130" t="s">
        <v>236</v>
      </c>
      <c r="BK13" s="134"/>
    </row>
    <row r="14" spans="1:63">
      <c r="A14" s="137"/>
      <c r="AY14" s="340">
        <v>1.92</v>
      </c>
      <c r="AZ14" s="340"/>
      <c r="BA14" s="340"/>
      <c r="BB14" s="135" t="s">
        <v>238</v>
      </c>
      <c r="BK14" s="134"/>
    </row>
    <row r="15" spans="1:63">
      <c r="A15" s="137"/>
      <c r="AB15" s="141" t="s">
        <v>241</v>
      </c>
      <c r="BK15" s="134"/>
    </row>
    <row r="16" spans="1:63">
      <c r="A16" s="137"/>
      <c r="AB16" s="140">
        <v>0.2</v>
      </c>
      <c r="BK16" s="134"/>
    </row>
    <row r="17" spans="1:63">
      <c r="A17" s="137"/>
      <c r="AB17" s="140">
        <v>0.4</v>
      </c>
      <c r="AY17" s="130" t="s">
        <v>242</v>
      </c>
      <c r="BK17" s="134"/>
    </row>
    <row r="18" spans="1:63">
      <c r="A18" s="137"/>
      <c r="AB18" s="140">
        <v>0.6</v>
      </c>
      <c r="AY18" s="341">
        <f>BD28+BD31+BD34+BD37+BD40+C35</f>
        <v>44.613185307179585</v>
      </c>
      <c r="AZ18" s="341"/>
      <c r="BA18" s="341"/>
      <c r="BB18" s="135" t="s">
        <v>238</v>
      </c>
      <c r="BK18" s="134"/>
    </row>
    <row r="19" spans="1:63">
      <c r="A19" s="137"/>
      <c r="AB19" s="140">
        <v>0.8</v>
      </c>
      <c r="BK19" s="134"/>
    </row>
    <row r="20" spans="1:63">
      <c r="A20" s="137"/>
      <c r="AB20" s="140">
        <v>1</v>
      </c>
      <c r="BK20" s="134"/>
    </row>
    <row r="21" spans="1:63">
      <c r="A21" s="137"/>
      <c r="BK21" s="134"/>
    </row>
    <row r="22" spans="1:63">
      <c r="A22" s="137"/>
      <c r="BK22" s="134"/>
    </row>
    <row r="23" spans="1:63">
      <c r="A23" s="137"/>
      <c r="BK23" s="134"/>
    </row>
    <row r="24" spans="1:63">
      <c r="A24" s="137"/>
      <c r="AY24" s="130" t="s">
        <v>236</v>
      </c>
      <c r="BK24" s="134"/>
    </row>
    <row r="25" spans="1:63">
      <c r="A25" s="137"/>
      <c r="C25" s="130" t="s">
        <v>236</v>
      </c>
      <c r="AY25" s="341">
        <f>AY18/180*17.97</f>
        <v>4.4538829998334277</v>
      </c>
      <c r="AZ25" s="341"/>
      <c r="BA25" s="341"/>
      <c r="BB25" s="135" t="s">
        <v>238</v>
      </c>
      <c r="BK25" s="134"/>
    </row>
    <row r="26" spans="1:63">
      <c r="A26" s="137"/>
      <c r="C26" s="340">
        <v>5.4</v>
      </c>
      <c r="D26" s="340"/>
      <c r="E26" s="340"/>
      <c r="F26" s="135" t="s">
        <v>238</v>
      </c>
      <c r="BK26" s="134"/>
    </row>
    <row r="27" spans="1:63">
      <c r="A27" s="137"/>
      <c r="BD27" s="130" t="s">
        <v>236</v>
      </c>
      <c r="BK27" s="134"/>
    </row>
    <row r="28" spans="1:63">
      <c r="A28" s="137"/>
      <c r="BD28" s="334">
        <f>IF(L2="미가동",0,IF(L2=20%,PI()/4*4^2*0.1*2.5,IF(L2=40%,PI()/4*4^2*0.1*4,IF(L2=60%,PI()/4*4^2*0.1*5,IF(L2=80%,PI()/4*4^2*0.1*8,IF(L2=100%,PI()/4*4^2*0.1*12))))))</f>
        <v>6.2831853071795862</v>
      </c>
      <c r="BE28" s="334"/>
      <c r="BF28" s="334"/>
      <c r="BG28" s="139" t="s">
        <v>238</v>
      </c>
      <c r="BK28" s="134"/>
    </row>
    <row r="29" spans="1:63">
      <c r="A29" s="137"/>
      <c r="BK29" s="134"/>
    </row>
    <row r="30" spans="1:63">
      <c r="A30" s="137"/>
      <c r="BD30" s="130" t="s">
        <v>236</v>
      </c>
      <c r="BK30" s="134"/>
    </row>
    <row r="31" spans="1:63">
      <c r="A31" s="137"/>
      <c r="BD31" s="334">
        <f>IF(L2="미가동",0,IF(L2=20%,0.35*24,IF(L2=40%,0.475*24,IF(L2=60%,0.575*24,IF(L2=80%,0.65*24,IF(L2=100%,0.7*24))))))</f>
        <v>13.799999999999999</v>
      </c>
      <c r="BE31" s="334"/>
      <c r="BF31" s="334"/>
      <c r="BG31" s="135" t="s">
        <v>238</v>
      </c>
      <c r="BK31" s="134"/>
    </row>
    <row r="32" spans="1:63">
      <c r="A32" s="137"/>
      <c r="BK32" s="134"/>
    </row>
    <row r="33" spans="1:67">
      <c r="A33" s="137"/>
      <c r="BD33" s="130" t="s">
        <v>236</v>
      </c>
      <c r="BK33" s="134"/>
    </row>
    <row r="34" spans="1:67">
      <c r="A34" s="137"/>
      <c r="C34" s="130" t="s">
        <v>236</v>
      </c>
      <c r="BD34" s="340">
        <v>0.26</v>
      </c>
      <c r="BE34" s="340"/>
      <c r="BF34" s="340"/>
      <c r="BG34" s="135" t="s">
        <v>238</v>
      </c>
      <c r="BK34" s="134"/>
    </row>
    <row r="35" spans="1:67">
      <c r="A35" s="137"/>
      <c r="C35" s="338">
        <f>2.25+20.58</f>
        <v>22.83</v>
      </c>
      <c r="D35" s="338"/>
      <c r="E35" s="338"/>
      <c r="F35" s="135" t="s">
        <v>238</v>
      </c>
      <c r="BK35" s="134"/>
    </row>
    <row r="36" spans="1:67">
      <c r="A36" s="137"/>
      <c r="BD36" s="130" t="s">
        <v>236</v>
      </c>
      <c r="BK36" s="134"/>
    </row>
    <row r="37" spans="1:67">
      <c r="A37" s="137"/>
      <c r="BD37" s="340">
        <v>1.44</v>
      </c>
      <c r="BE37" s="340"/>
      <c r="BF37" s="340"/>
      <c r="BG37" s="135" t="s">
        <v>238</v>
      </c>
      <c r="BK37" s="134"/>
    </row>
    <row r="38" spans="1:67">
      <c r="A38" s="137"/>
      <c r="BK38" s="134"/>
    </row>
    <row r="39" spans="1:67">
      <c r="A39" s="137"/>
      <c r="C39" s="130" t="s">
        <v>236</v>
      </c>
      <c r="BD39" s="130" t="s">
        <v>236</v>
      </c>
      <c r="BK39" s="134"/>
    </row>
    <row r="40" spans="1:67">
      <c r="A40" s="137"/>
      <c r="C40" s="341">
        <f>AY18/180*(17.57+3.16)</f>
        <v>5.1379518412101826</v>
      </c>
      <c r="D40" s="341"/>
      <c r="E40" s="341"/>
      <c r="F40" s="135" t="s">
        <v>238</v>
      </c>
      <c r="BD40" s="336">
        <v>0</v>
      </c>
      <c r="BE40" s="336"/>
      <c r="BF40" s="336"/>
      <c r="BG40" s="135" t="s">
        <v>238</v>
      </c>
      <c r="BK40" s="134"/>
    </row>
    <row r="41" spans="1:67">
      <c r="A41" s="137"/>
      <c r="BK41" s="134"/>
    </row>
    <row r="42" spans="1:67">
      <c r="A42" s="137"/>
      <c r="BK42" s="134"/>
    </row>
    <row r="43" spans="1:67">
      <c r="A43" s="137"/>
      <c r="BK43" s="134"/>
    </row>
    <row r="44" spans="1:67">
      <c r="A44" s="137"/>
      <c r="BK44" s="134"/>
    </row>
    <row r="45" spans="1:67">
      <c r="A45" s="137"/>
      <c r="AP45" s="130" t="s">
        <v>236</v>
      </c>
      <c r="BK45" s="134"/>
      <c r="BO45" s="138"/>
    </row>
    <row r="46" spans="1:67">
      <c r="A46" s="137"/>
      <c r="AF46" s="136"/>
      <c r="AP46" s="342">
        <f>AY8+AY11+AY25+C35+C40</f>
        <v>49.774834841043607</v>
      </c>
      <c r="AQ46" s="342"/>
      <c r="AR46" s="342"/>
      <c r="AS46" s="135" t="s">
        <v>238</v>
      </c>
      <c r="BK46" s="134"/>
    </row>
    <row r="47" spans="1:67" ht="17.5" thickBot="1">
      <c r="A47" s="133"/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  <c r="AK47" s="132"/>
      <c r="AL47" s="132"/>
      <c r="AM47" s="132"/>
      <c r="AN47" s="132"/>
      <c r="AO47" s="132"/>
      <c r="AP47" s="132"/>
      <c r="AQ47" s="132"/>
      <c r="AR47" s="132"/>
      <c r="AS47" s="132"/>
      <c r="AT47" s="132"/>
      <c r="AU47" s="132"/>
      <c r="AV47" s="132"/>
      <c r="AW47" s="132"/>
      <c r="AX47" s="132"/>
      <c r="AY47" s="132"/>
      <c r="AZ47" s="132"/>
      <c r="BA47" s="132"/>
      <c r="BB47" s="132"/>
      <c r="BC47" s="132"/>
      <c r="BD47" s="132"/>
      <c r="BE47" s="132"/>
      <c r="BF47" s="132"/>
      <c r="BG47" s="132"/>
      <c r="BH47" s="132"/>
      <c r="BI47" s="132"/>
      <c r="BJ47" s="132"/>
      <c r="BK47" s="131"/>
    </row>
    <row r="48" spans="1:67" ht="17.5" thickTop="1"/>
  </sheetData>
  <mergeCells count="20">
    <mergeCell ref="AP46:AR46"/>
    <mergeCell ref="BD31:BF31"/>
    <mergeCell ref="BD34:BF34"/>
    <mergeCell ref="C35:E35"/>
    <mergeCell ref="BD37:BF37"/>
    <mergeCell ref="C40:E40"/>
    <mergeCell ref="BD40:BF40"/>
    <mergeCell ref="BD28:BF28"/>
    <mergeCell ref="L2:N2"/>
    <mergeCell ref="AY5:BA5"/>
    <mergeCell ref="B6:D6"/>
    <mergeCell ref="U6:W6"/>
    <mergeCell ref="B7:D7"/>
    <mergeCell ref="AY8:BA8"/>
    <mergeCell ref="C26:E26"/>
    <mergeCell ref="J11:L11"/>
    <mergeCell ref="AY11:BA11"/>
    <mergeCell ref="AY14:BA14"/>
    <mergeCell ref="AY18:BA18"/>
    <mergeCell ref="AY25:BA25"/>
  </mergeCells>
  <phoneticPr fontId="3" type="noConversion"/>
  <dataValidations count="1">
    <dataValidation type="list" allowBlank="1" showInputMessage="1" showErrorMessage="1" sqref="L2:N2" xr:uid="{8371B6C1-ACBC-4260-AAE8-A38BCB3FE8D0}">
      <formula1>$AB$15:$AB$20</formula1>
    </dataValidation>
  </dataValidations>
  <printOptions horizontalCentered="1" verticalCentered="1"/>
  <pageMargins left="0" right="0" top="0" bottom="0" header="0.31496062992125984" footer="0.31496062992125984"/>
  <pageSetup paperSize="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d0084d-1aca-489e-9e25-ce818e0e2aa5">
      <Terms xmlns="http://schemas.microsoft.com/office/infopath/2007/PartnerControls"/>
    </lcf76f155ced4ddcb4097134ff3c332f>
    <TaxCatchAll xmlns="e9bf0e0b-2541-4fad-a4b1-46a37718fc9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F42A224B328C44ABB631DAB991174D4" ma:contentTypeVersion="14" ma:contentTypeDescription="새 문서를 만듭니다." ma:contentTypeScope="" ma:versionID="eeba4cdb24fb4e7830899cfe5626e1fe">
  <xsd:schema xmlns:xsd="http://www.w3.org/2001/XMLSchema" xmlns:xs="http://www.w3.org/2001/XMLSchema" xmlns:p="http://schemas.microsoft.com/office/2006/metadata/properties" xmlns:ns2="23d0084d-1aca-489e-9e25-ce818e0e2aa5" xmlns:ns3="e9bf0e0b-2541-4fad-a4b1-46a37718fc96" targetNamespace="http://schemas.microsoft.com/office/2006/metadata/properties" ma:root="true" ma:fieldsID="9a6fd878e066d932ce2008fbdc40b507" ns2:_="" ns3:_="">
    <xsd:import namespace="23d0084d-1aca-489e-9e25-ce818e0e2aa5"/>
    <xsd:import namespace="e9bf0e0b-2541-4fad-a4b1-46a37718fc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d0084d-1aca-489e-9e25-ce818e0e2a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e068de7c-0542-411d-a706-ba5c6998e3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bf0e0b-2541-4fad-a4b1-46a37718fc9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c40a62c-38fe-43d8-83ee-e96bc8e1717c}" ma:internalName="TaxCatchAll" ma:showField="CatchAllData" ma:web="e9bf0e0b-2541-4fad-a4b1-46a37718fc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3BA957-FF22-4F67-A59F-54CA980FD984}">
  <ds:schemaRefs>
    <ds:schemaRef ds:uri="http://schemas.microsoft.com/office/2006/documentManagement/types"/>
    <ds:schemaRef ds:uri="e9bf0e0b-2541-4fad-a4b1-46a37718fc96"/>
    <ds:schemaRef ds:uri="http://www.w3.org/XML/1998/namespace"/>
    <ds:schemaRef ds:uri="http://schemas.openxmlformats.org/package/2006/metadata/core-properties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23d0084d-1aca-489e-9e25-ce818e0e2aa5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A72610F4-EEC0-4E28-AF36-D6520D105B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F40E72-49D5-4991-B20C-D53591A386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d0084d-1aca-489e-9e25-ce818e0e2aa5"/>
    <ds:schemaRef ds:uri="e9bf0e0b-2541-4fad-a4b1-46a37718fc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2026년</vt:lpstr>
      <vt:lpstr>월별</vt:lpstr>
      <vt:lpstr>일일</vt:lpstr>
      <vt:lpstr>일별</vt:lpstr>
      <vt:lpstr>연료전지_원본</vt:lpstr>
      <vt:lpstr>운전실적_원본</vt:lpstr>
      <vt:lpstr>산정</vt:lpstr>
      <vt:lpstr>Waterbalance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강 다혜</dc:creator>
  <cp:keywords/>
  <dc:description/>
  <cp:lastModifiedBy>강 다혜</cp:lastModifiedBy>
  <cp:revision/>
  <dcterms:created xsi:type="dcterms:W3CDTF">2026-01-22T00:11:09Z</dcterms:created>
  <dcterms:modified xsi:type="dcterms:W3CDTF">2026-04-07T23:53:49Z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0x0101002F42A224B328C44ABB631DAB991174D4</vt:lpwstr>
  </property>
  <property fmtid="{D5CDD505-2E9C-101B-9397-08002B2CF9AE}" pid="3" name="MediaServiceImageTags">
    <vt:lpwstr/>
  </property>
</Properties>
</file>